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ae58359f1b34543" /></Relationships>
</file>

<file path=xl/workbook.xml><?xml version="1.0" encoding="utf-8"?>
<x:workbook xmlns:x="http://schemas.openxmlformats.org/spreadsheetml/2006/main">
  <x:sheets>
    <x:sheet xmlns:r="http://schemas.openxmlformats.org/officeDocument/2006/relationships" name="00 Read Me" sheetId="1" r:id="R180bdaaa385244da"/>
    <x:sheet xmlns:r="http://schemas.openxmlformats.org/officeDocument/2006/relationships" name="01 Registration" sheetId="2" r:id="R5d235829af164c77"/>
    <x:sheet xmlns:r="http://schemas.openxmlformats.org/officeDocument/2006/relationships" name="02 State Model" sheetId="3" r:id="Re245175745f44a47"/>
    <x:sheet xmlns:r="http://schemas.openxmlformats.org/officeDocument/2006/relationships" name="03 Constraints" sheetId="4" r:id="R85f59515879d4976"/>
    <x:sheet xmlns:r="http://schemas.openxmlformats.org/officeDocument/2006/relationships" name="04 Compiler" sheetId="5" r:id="R7be18c13ac064c1b"/>
    <x:sheet xmlns:r="http://schemas.openxmlformats.org/officeDocument/2006/relationships" name="05 Ensemble" sheetId="6" r:id="Rceed887fc20541fa"/>
    <x:sheet xmlns:r="http://schemas.openxmlformats.org/officeDocument/2006/relationships" name="06 Validation" sheetId="7" r:id="R2d3367ff27e940dd"/>
    <x:sheet xmlns:r="http://schemas.openxmlformats.org/officeDocument/2006/relationships" name="07 Privacy Custody" sheetId="8" r:id="R51b25fec72e541a0"/>
    <x:sheet xmlns:r="http://schemas.openxmlformats.org/officeDocument/2006/relationships" name="08 Failure Tests" sheetId="9" r:id="R980839dafeb04cf0"/>
    <x:sheet xmlns:r="http://schemas.openxmlformats.org/officeDocument/2006/relationships" name="09 Empty Outputs" sheetId="10" r:id="R2a9e1da3245a47d8"/>
    <x:sheet xmlns:r="http://schemas.openxmlformats.org/officeDocument/2006/relationships" name="10 Sources" sheetId="11" r:id="R941dbd30289b41e6"/>
    <x:sheet xmlns:r="http://schemas.openxmlformats.org/officeDocument/2006/relationships" name="11 Integrity" sheetId="12" r:id="Rf78592326ea04bb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7">
    <x:font>
      <x:sz val="11"/>
      <x:name val="Carlito"/>
    </x:font>
    <x:font>
      <x:b/>
      <x:sz val="16"/>
      <x:color rgb="FF17324D"/>
      <x:name val="Arial"/>
    </x:font>
    <x:font>
      <x:i/>
      <x:sz val="10"/>
      <x:color rgb="FF667085"/>
      <x:name val="Arial"/>
    </x:font>
    <x:font>
      <x:b/>
      <x:sz val="11"/>
      <x:color rgb="FF17324D"/>
      <x:name val="Arial"/>
    </x:font>
    <x:font>
      <x:b/>
      <x:sz val="10"/>
      <x:color rgb="FFFFFFFF"/>
      <x:name val="Arial"/>
    </x:font>
    <x:font>
      <x:sz val="10"/>
      <x:color rgb="FF1F2937"/>
      <x:name val="Arial"/>
    </x:font>
    <x:font>
      <x:b/>
      <x:sz val="10"/>
      <x:color rgb="FF1F2937"/>
      <x:name val="Arial"/>
    </x:font>
  </x:fonts>
  <x:fills count="5">
    <x:fill>
      <x:patternFill patternType="none"/>
    </x:fill>
    <x:fill>
      <x:patternFill patternType="gray125"/>
    </x:fill>
    <x:fill>
      <x:patternFill patternType="solid">
        <x:fgColor rgb="FFEAF1F7"/>
      </x:patternFill>
    </x:fill>
    <x:fill>
      <x:patternFill patternType="solid">
        <x:fgColor rgb="FF17324D"/>
      </x:patternFill>
    </x:fill>
    <x:fill>
      <x:patternFill patternType="solid">
        <x:fgColor rgb="FFFFF3D6"/>
      </x:patternFill>
    </x:fill>
  </x:fills>
  <x:borders count="6">
    <x:border/>
    <x:border>
      <x:bottom style="thin">
        <x:color rgb="FF315B7D"/>
      </x:bottom>
    </x:border>
    <x:border>
      <x:left style="thin">
        <x:color rgb="FFD7DEE5"/>
      </x:left>
      <x:top style="thin">
        <x:color rgb="FFD7DEE5"/>
      </x:top>
      <x:bottom style="thin">
        <x:color rgb="FFD7DEE5"/>
      </x:bottom>
    </x:border>
    <x:border>
      <x:top style="thin">
        <x:color rgb="FFD7DEE5"/>
      </x:top>
      <x:bottom style="thin">
        <x:color rgb="FFD7DEE5"/>
      </x:bottom>
    </x:border>
    <x:border>
      <x:right style="thin">
        <x:color rgb="FFD7DEE5"/>
      </x:right>
      <x:top style="thin">
        <x:color rgb="FFD7DEE5"/>
      </x:top>
      <x:bottom style="thin">
        <x:color rgb="FFD7DEE5"/>
      </x:bottom>
    </x:border>
    <x:border>
      <x:bottom style="thin">
        <x:color rgb="FFD7DEE5"/>
      </x:bottom>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0" fillId="0" borderId="1"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4"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center"/>
    </x:xf>
    <x:xf numFmtId="0" fontId="4" fillId="3" borderId="0" xfId="0" applyNumberFormat="1" applyFont="1" applyFill="1" applyBorder="1" applyAlignment="1">
      <x:alignment horizontal="center" vertical="center"/>
    </x:xf>
    <x:xf numFmtId="0" fontId="4" fillId="3" borderId="0" xfId="0" applyNumberFormat="1" applyFont="1" applyFill="1" applyBorder="1" applyAlignment="1">
      <x:alignment horizontal="center" vertical="center" wrapText="1"/>
    </x:xf>
    <x:xf numFmtId="0" fontId="5" fillId="0" borderId="0" xfId="0" applyNumberFormat="1" applyFont="1" applyFill="1" applyBorder="1"/>
    <x:xf numFmtId="0" fontId="5" fillId="0" borderId="0" xfId="0" applyNumberFormat="1" applyFont="1" applyFill="1" applyBorder="1" applyAlignment="1">
      <x:alignment vertical="top"/>
    </x:xf>
    <x:xf numFmtId="0" fontId="5" fillId="0" borderId="0"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wrapText="1"/>
    </x:xf>
    <x:xf numFmtId="200" fontId="5" fillId="0" borderId="3" xfId="0" applyNumberFormat="1" applyFont="1" applyFill="1" applyBorder="1" applyAlignment="1">
      <x:alignment vertical="top" wrapText="1"/>
    </x:xf>
    <x:xf numFmtId="200" fontId="5" fillId="0" borderId="5" xfId="0" applyNumberFormat="1" applyFont="1" applyFill="1" applyBorder="1" applyAlignment="1">
      <x:alignment vertical="top" wrapText="1"/>
    </x:xf>
    <x:xf numFmtId="201" fontId="5" fillId="0" borderId="5" xfId="0" applyNumberFormat="1" applyFont="1" applyFill="1" applyBorder="1" applyAlignment="1">
      <x:alignment vertical="top" wrapText="1"/>
    </x:xf>
    <x:xf numFmtId="201" fontId="5" fillId="0" borderId="3" xfId="0" applyNumberFormat="1" applyFont="1" applyFill="1" applyBorder="1" applyAlignment="1">
      <x:alignment vertical="top" wrapText="1"/>
    </x:xf>
    <x:xf numFmtId="0" fontId="0" fillId="4" borderId="0" xfId="0" applyNumberFormat="1" applyFont="1" applyFill="1" applyBorder="1" applyAlignment="1">
      <x:alignment wrapText="1"/>
    </x:xf>
    <x:xf numFmtId="0" fontId="5" fillId="0" borderId="5" xfId="0" applyNumberFormat="1" applyFont="1" applyFill="1" applyBorder="1" applyAlignment="1">
      <x:alignment horizontal="center" vertical="top" wrapText="1"/>
    </x:xf>
    <x:xf numFmtId="0" fontId="5" fillId="0" borderId="3" xfId="0" applyNumberFormat="1" applyFont="1" applyFill="1" applyBorder="1" applyAlignment="1">
      <x:alignment horizontal="center" vertical="top" wrapText="1"/>
    </x:xf>
  </x:cellXfs>
  <x:cellStyles count="1">
    <x:cellStyle name="Normal" xfId="0"/>
  </x:cellStyles>
  <x:dxfs count="2">
    <x:dxf>
      <x:font>
        <x:b/>
        <x:color rgb="FF9B1C1C"/>
      </x:font>
      <x:fill>
        <x:patternFill patternType="solid">
          <x:bgColor rgb="FFFBEAEA"/>
        </x:patternFill>
      </x:fill>
    </x:dxf>
    <x:dxf>
      <x:font>
        <x:b/>
        <x:color rgb="FF166534"/>
      </x:font>
      <x:fill>
        <x:patternFill patternType="solid">
          <x:bgColor rgb="FFE8F3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2014e3b2cf549e7" /><Relationship Type="http://schemas.openxmlformats.org/officeDocument/2006/relationships/theme" Target="/xl/theme/theme1.xml" Id="R4847880f6dc74e41" /><Relationship Type="http://schemas.openxmlformats.org/officeDocument/2006/relationships/sharedStrings" Target="/xl/sharedStrings.xml" Id="R0094f5f5ffb24e79" /><Relationship Type="http://schemas.openxmlformats.org/officeDocument/2006/relationships/worksheet" Target="/xl/worksheets/sheet1.xml" Id="R180bdaaa385244da" /><Relationship Type="http://schemas.openxmlformats.org/officeDocument/2006/relationships/worksheet" Target="/xl/worksheets/sheet2.xml" Id="R5d235829af164c77" /><Relationship Type="http://schemas.openxmlformats.org/officeDocument/2006/relationships/worksheet" Target="/xl/worksheets/sheet3.xml" Id="Re245175745f44a47" /><Relationship Type="http://schemas.openxmlformats.org/officeDocument/2006/relationships/worksheet" Target="/xl/worksheets/sheet4.xml" Id="R85f59515879d4976" /><Relationship Type="http://schemas.openxmlformats.org/officeDocument/2006/relationships/worksheet" Target="/xl/worksheets/sheet5.xml" Id="R7be18c13ac064c1b" /><Relationship Type="http://schemas.openxmlformats.org/officeDocument/2006/relationships/worksheet" Target="/xl/worksheets/sheet6.xml" Id="Rceed887fc20541fa" /><Relationship Type="http://schemas.openxmlformats.org/officeDocument/2006/relationships/worksheet" Target="/xl/worksheets/sheet7.xml" Id="R2d3367ff27e940dd" /><Relationship Type="http://schemas.openxmlformats.org/officeDocument/2006/relationships/worksheet" Target="/xl/worksheets/sheet8.xml" Id="R51b25fec72e541a0" /><Relationship Type="http://schemas.openxmlformats.org/officeDocument/2006/relationships/worksheet" Target="/xl/worksheets/sheet9.xml" Id="R980839dafeb04cf0" /><Relationship Type="http://schemas.openxmlformats.org/officeDocument/2006/relationships/worksheet" Target="/xl/worksheets/sheet10.xml" Id="R2a9e1da3245a47d8" /><Relationship Type="http://schemas.openxmlformats.org/officeDocument/2006/relationships/worksheet" Target="/xl/worksheets/sheet11.xml" Id="R941dbd30289b41e6" /><Relationship Type="http://schemas.openxmlformats.org/officeDocument/2006/relationships/worksheet" Target="/xl/worksheets/sheet12.xml" Id="Rf78592326ea04bb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315B7D"/>
  </x:sheetPr>
  <x:sheetViews>
    <x:sheetView showGridLines="0" workbookViewId="0"/>
  </x:sheetViews>
  <x:sheetFormatPr defaultRowHeight="15"/>
  <x:cols>
    <x:col min="1" max="1" width="23" hidden="0" customWidth="1"/>
    <x:col min="2" max="2" width="32" hidden="0" customWidth="1"/>
    <x:col min="3" max="3" width="34" hidden="0" customWidth="1"/>
    <x:col min="4" max="4" width="34" hidden="0" customWidth="1"/>
    <x:col min="5" max="5" width="24" hidden="0" customWidth="1"/>
    <x:col min="6" max="6" width="28" hidden="0" customWidth="1"/>
  </x:cols>
  <x:sheetData>
    <x:row r="1">
      <x:c r="A1" s="1" t="str">
        <x:v>New York L0 civil-state compiler registration</x:v>
      </x:c>
    </x:row>
    <x:row r="2">
      <x:c r="A2" s="2" t="str">
        <x:v>Method and rejection rules fixed before any synthetic record or architecture outcome exists</x:v>
      </x:c>
    </x:row>
    <x:row r="3">
      <x:c r="A3" s="3"/>
      <x:c r="B3" s="3"/>
      <x:c r="C3" s="3"/>
      <x:c r="D3" s="3"/>
      <x:c r="E3" s="3"/>
      <x:c r="F3" s="3"/>
    </x:row>
    <x:row r="5">
      <x:c r="A5" s="6" t="str">
        <x:v>Decision</x:v>
      </x:c>
      <x:c r="B5" s="7"/>
      <x:c r="C5" s="7"/>
      <x:c r="D5" s="7"/>
      <x:c r="E5" s="7"/>
      <x:c r="F5" s="8"/>
    </x:row>
    <x:row r="6" ht="28" customHeight="1">
      <x:c r="A6" s="13" t="str">
        <x:v>Item</x:v>
      </x:c>
      <x:c r="B6" s="13" t="str">
        <x:v>Registered position</x:v>
      </x:c>
      <x:c r="C6" s="13" t="str">
        <x:v>Implication</x:v>
      </x:c>
      <x:c r="D6" s="13" t="str">
        <x:v>Current state</x:v>
      </x:c>
    </x:row>
    <x:row r="7" ht="42" customHeight="1">
      <x:c r="A7" s="17" t="str">
        <x:v>Analytic universe</x:v>
      </x:c>
      <x:c r="B7" s="17" t="str">
        <x:v>2020–2024 ACS population, household, housing and group-quarters estimates</x:v>
      </x:c>
      <x:c r="C7" s="17" t="str">
        <x:v>Keeps published margins and PUMS donor vintage coherent</x:v>
      </x:c>
      <x:c r="D7" s="17" t="str">
        <x:v>registered</x:v>
      </x:c>
    </x:row>
    <x:row r="8" ht="42" customHeight="1">
      <x:c r="A8" s="18" t="str">
        <x:v>Selection universe</x:v>
      </x:c>
      <x:c r="B8" s="18" t="str">
        <x:v>2020 Census exact population</x:v>
      </x:c>
      <x:c r="C8" s="18" t="str">
        <x:v>Used only to explain the outcome-blind catchment selection</x:v>
      </x:c>
      <x:c r="D8" s="18" t="str">
        <x:v>registered separately</x:v>
      </x:c>
    </x:row>
    <x:row r="9" ht="42" customHeight="1">
      <x:c r="A9" s="18" t="str">
        <x:v>Synthesis unit</x:v>
      </x:c>
      <x:c r="B9" s="18" t="str">
        <x:v>Households with linked persons; group quarters separate</x:v>
      </x:c>
      <x:c r="C9" s="18" t="str">
        <x:v>No independent person draw can break household relationships</x:v>
      </x:c>
      <x:c r="D9" s="18" t="str">
        <x:v>method registered</x:v>
      </x:c>
    </x:row>
    <x:row r="10" ht="42" customHeight="1">
      <x:c r="A10" s="18" t="str">
        <x:v>Building resolution</x:v>
      </x:c>
      <x:c r="B10" s="18" t="str">
        <x:v>Tract × public structure/tenure class</x:v>
      </x:c>
      <x:c r="C10" s="18" t="str">
        <x:v>No exact address, unit, floor or outage operability is fabricated</x:v>
      </x:c>
      <x:c r="D10" s="18" t="str">
        <x:v>method registered; input gate open</x:v>
      </x:c>
    </x:row>
    <x:row r="11" ht="42" customHeight="1">
      <x:c r="A11" s="18" t="str">
        <x:v>Ensemble</x:v>
      </x:c>
      <x:c r="B11" s="18" t="str">
        <x:v>Nested K = 125, 250, 500, 1,000</x:v>
      </x:c>
      <x:c r="C11" s="18" t="str">
        <x:v>K chosen from input-only convergence; every K balances over 1,000 worlds</x:v>
      </x:c>
      <x:c r="D11" s="18" t="str">
        <x:v>empty</x:v>
      </x:c>
    </x:row>
    <x:row r="12" ht="42" customHeight="1">
      <x:c r="A12" s="18" t="str">
        <x:v>Release</x:v>
      </x:c>
      <x:c r="B12" s="18" t="str">
        <x:v>Aggregate diagnostics and commitments only</x:v>
      </x:c>
      <x:c r="C12" s="18" t="str">
        <x:v>Synthetic data is not presumed anonymous</x:v>
      </x:c>
      <x:c r="D12" s="18" t="str">
        <x:v>microdata release prohibited</x:v>
      </x:c>
    </x:row>
    <x:row r="13" ht="42" customHeight="1">
      <x:c r="A13" s="18" t="str">
        <x:v>Architecture access</x:v>
      </x:c>
      <x:c r="B13" s="18" t="str">
        <x:v>A2/S3 outcome fields unavailable</x:v>
      </x:c>
      <x:c r="C13" s="18" t="str">
        <x:v>Compiler choices cannot adapt to a preferred winner</x:v>
      </x:c>
      <x:c r="D13" s="18" t="str">
        <x:v>sealed</x:v>
      </x:c>
    </x:row>
    <x:row r="16">
      <x:c r="A16" s="6" t="str">
        <x:v>How to use this workbook</x:v>
      </x:c>
      <x:c r="B16" s="7"/>
      <x:c r="C16" s="7"/>
      <x:c r="D16" s="7"/>
      <x:c r="E16" s="7"/>
      <x:c r="F16" s="8"/>
    </x:row>
    <x:row r="17" ht="28" customHeight="1">
      <x:c r="A17" s="13" t="str">
        <x:v>Question</x:v>
      </x:c>
      <x:c r="B17" s="13" t="str">
        <x:v>Sheet</x:v>
      </x:c>
      <x:c r="C17" s="13" t="str">
        <x:v>What to inspect</x:v>
      </x:c>
    </x:row>
    <x:row r="18" ht="34" customHeight="1">
      <x:c r="A18" s="17" t="str">
        <x:v>What is bound?</x:v>
      </x:c>
      <x:c r="B18" s="17" t="str">
        <x:v>01 Registration</x:v>
      </x:c>
      <x:c r="C18" s="17" t="str">
        <x:v>parent records, denominator authority, scale and commitments</x:v>
      </x:c>
    </x:row>
    <x:row r="19" ht="34" customHeight="1">
      <x:c r="A19" s="18" t="str">
        <x:v>What can be represented?</x:v>
      </x:c>
      <x:c r="B19" s="18" t="str">
        <x:v>02 State Model</x:v>
      </x:c>
      <x:c r="C19" s="18" t="str">
        <x:v>observed, synthetic, unknown and sealed layers</x:v>
      </x:c>
    </x:row>
    <x:row r="20" ht="34" customHeight="1">
      <x:c r="A20" s="18" t="str">
        <x:v>What can never be relaxed?</x:v>
      </x:c>
      <x:c r="B20" s="18" t="str">
        <x:v>03 Constraints</x:v>
      </x:c>
      <x:c r="C20" s="18" t="str">
        <x:v>hard identities, non-invention and access controls</x:v>
      </x:c>
    </x:row>
    <x:row r="21" ht="34" customHeight="1">
      <x:c r="A21" s="18" t="str">
        <x:v>How would records be generated?</x:v>
      </x:c>
      <x:c r="B21" s="18" t="str">
        <x:v>04 Compiler</x:v>
      </x:c>
      <x:c r="C21" s="18" t="str">
        <x:v>target draws, donor support, multilevel fit and building assignment</x:v>
      </x:c>
    </x:row>
    <x:row r="22" ht="34" customHeight="1">
      <x:c r="A22" s="18" t="str">
        <x:v>How is structural uncertainty paired?</x:v>
      </x:c>
      <x:c r="B22" s="18" t="str">
        <x:v>05 Ensemble</x:v>
      </x:c>
      <x:c r="C22" s="18" t="str">
        <x:v>nested K ladder and deterministic balanced map</x:v>
      </x:c>
    </x:row>
    <x:row r="23" ht="34" customHeight="1">
      <x:c r="A23" s="18" t="str">
        <x:v>What rejects a build?</x:v>
      </x:c>
      <x:c r="B23" s="18" t="str">
        <x:v>06 Validation / 08 Failure Tests</x:v>
      </x:c>
      <x:c r="C23" s="18" t="str">
        <x:v>fit, convergence, sensitivity and deliberate break tests</x:v>
      </x:c>
    </x:row>
    <x:row r="24" ht="34" customHeight="1">
      <x:c r="A24" s="18" t="str">
        <x:v>Who can see what?</x:v>
      </x:c>
      <x:c r="B24" s="18" t="str">
        <x:v>07 Privacy Custody</x:v>
      </x:c>
      <x:c r="C24" s="18" t="str">
        <x:v>release tiers, role separation and attacks</x:v>
      </x:c>
    </x:row>
    <x:row r="25" ht="34" customHeight="1">
      <x:c r="A25" s="18" t="str">
        <x:v>What exists now?</x:v>
      </x:c>
      <x:c r="B25" s="18" t="str">
        <x:v>09 Empty Outputs</x:v>
      </x:c>
      <x:c r="C25" s="18" t="str">
        <x:v>zero synthetic and outcome records</x:v>
      </x:c>
    </x:row>
    <x:row r="28" ht="84" customHeight="1">
      <x:c r="A28" s="21" t="str">
        <x:v>Boundary</x:v>
      </x:c>
      <x:c r="B28" s="21" t="str">
        <x:v>This workbook registers an algorithm and evidence contract. It is not a synthetic population, operational registry, privacy certification, architecture result or acquisition baseline.</x:v>
      </x:c>
      <x:c r="C28" s="21"/>
      <x:c r="D28" s="21"/>
      <x:c r="E28" s="21"/>
      <x:c r="F28" s="21"/>
    </x:row>
  </x:sheetData>
  <x:pageMargins left="0.7" right="0.7" top="0.75" bottom="0.75" header="0.3" footer="0.3"/>
</x:worksheet>
</file>

<file path=xl/worksheets/sheet2.xml><?xml version="1.0" encoding="utf-8"?>
<x:worksheet xmlns:x="http://schemas.openxmlformats.org/spreadsheetml/2006/main">
  <x:sheetPr>
    <x:tabColor rgb="FF315B7D"/>
  </x:sheetPr>
  <x:sheetViews>
    <x:sheetView showGridLines="0" workbookViewId="0"/>
  </x:sheetViews>
  <x:sheetFormatPr defaultRowHeight="15"/>
  <x:cols>
    <x:col min="1" max="1" width="31" hidden="0" customWidth="1"/>
    <x:col min="2" max="2" width="28" hidden="0" customWidth="1"/>
    <x:col min="3" max="3" width="22" hidden="0" customWidth="1"/>
    <x:col min="4" max="4" width="20" hidden="0" customWidth="1"/>
    <x:col min="5" max="5" width="20" hidden="0" customWidth="1"/>
    <x:col min="6" max="6" width="20" hidden="0" customWidth="1"/>
    <x:col min="7" max="7" width="22" hidden="0" customWidth="1"/>
    <x:col min="8" max="8" width="35" hidden="0" customWidth="1"/>
  </x:cols>
  <x:sheetData>
    <x:row r="1">
      <x:c r="A1" s="1" t="str">
        <x:v>Registration and scale</x:v>
      </x:c>
    </x:row>
    <x:row r="2">
      <x:c r="A2" s="2" t="str">
        <x:v>Parent commitments, denominator authority and planning-scale consequences</x:v>
      </x:c>
    </x:row>
    <x:row r="3">
      <x:c r="A3" s="3"/>
      <x:c r="B3" s="3"/>
      <x:c r="C3" s="3"/>
      <x:c r="D3" s="3"/>
      <x:c r="E3" s="3"/>
      <x:c r="F3" s="3"/>
      <x:c r="G3" s="3"/>
      <x:c r="H3" s="3"/>
    </x:row>
    <x:row r="5" ht="28" customHeight="1">
      <x:c r="A5" s="13" t="str">
        <x:v>Field</x:v>
      </x:c>
      <x:c r="B5" s="13" t="str">
        <x:v>Value</x:v>
      </x:c>
      <x:c r="C5" s="13" t="str">
        <x:v>Unit / type</x:v>
      </x:c>
      <x:c r="D5" s="13" t="str">
        <x:v>Authority / note</x:v>
      </x:c>
    </x:row>
    <x:row r="6" ht="28" customHeight="1">
      <x:c r="A6" s="17" t="str">
        <x:v>registration_id</x:v>
      </x:c>
      <x:c r="B6" s="17" t="str">
        <x:v>DF-NYC-L0-PR46-COMPILER-v1</x:v>
      </x:c>
      <x:c r="C6" s="17" t="str">
        <x:v>text</x:v>
      </x:c>
      <x:c r="D6" s="17" t="str">
        <x:v>this pass</x:v>
      </x:c>
    </x:row>
    <x:row r="7" ht="28" customHeight="1">
      <x:c r="A7" s="18" t="str">
        <x:v>status</x:v>
      </x:c>
      <x:c r="B7" s="18" t="str">
        <x:v>PREREGISTERED_NO_SYNTHETIC_RECORDS</x:v>
      </x:c>
      <x:c r="C7" s="18" t="str">
        <x:v>state</x:v>
      </x:c>
      <x:c r="D7" s="18" t="str">
        <x:v>no execution</x:v>
      </x:c>
    </x:row>
    <x:row r="8" ht="28" customHeight="1">
      <x:c r="A8" s="18" t="str">
        <x:v>parent_protocol</x:v>
      </x:c>
      <x:c r="B8" s="18" t="str">
        <x:v>DF-NYC-HB-PR38-v1</x:v>
      </x:c>
      <x:c r="C8" s="18" t="str">
        <x:v>text</x:v>
      </x:c>
      <x:c r="D8" s="18" t="str">
        <x:v>Pass 38</x:v>
      </x:c>
    </x:row>
    <x:row r="9" ht="28" customHeight="1">
      <x:c r="A9" s="18" t="str">
        <x:v>parent_empty_registry</x:v>
      </x:c>
      <x:c r="B9" s="18" t="str">
        <x:v>DF-NYC-L0-PR42-EMPTY-v1</x:v>
      </x:c>
      <x:c r="C9" s="18" t="str">
        <x:v>text</x:v>
      </x:c>
      <x:c r="D9" s="18" t="str">
        <x:v>8124258f13574d1fd03243a49067e6e592e16dbda757ca4e2a219c1eb5d6ae94</x:v>
      </x:c>
    </x:row>
    <x:row r="10" ht="28" customHeight="1">
      <x:c r="A10" s="18" t="str">
        <x:v>parent_world_generator</x:v>
      </x:c>
      <x:c r="B10" s="18" t="str">
        <x:v>DF-NYC-L0-PR43-GEN-v1</x:v>
      </x:c>
      <x:c r="C10" s="18" t="str">
        <x:v>text</x:v>
      </x:c>
      <x:c r="D10" s="18" t="str">
        <x:v>2c774e7c2e29b5971eafe7d16e665cb445738c1a105a3e7890200da93bb47836</x:v>
      </x:c>
    </x:row>
    <x:row r="11" ht="28" customHeight="1">
      <x:c r="A11" s="18" t="str">
        <x:v>parent_input_registry</x:v>
      </x:c>
      <x:c r="B11" s="18" t="str">
        <x:v>DF-NYC-L0-PR44-INPUTS-v1</x:v>
      </x:c>
      <x:c r="C11" s="18" t="str">
        <x:v>text</x:v>
      </x:c>
      <x:c r="D11" s="18" t="str">
        <x:v>a073ad784d6d02963a1b1676989482cad90ce7ffe9e00849ed50deb53d11da73</x:v>
      </x:c>
    </x:row>
    <x:row r="12" ht="28" customHeight="1">
      <x:c r="A12" s="18" t="str">
        <x:v>analytic_population_authority</x:v>
      </x:c>
      <x:c r="B12" s="18" t="str">
        <x:v>2020–2024 ACS five-year</x:v>
      </x:c>
      <x:c r="C12" s="18" t="str">
        <x:v>text</x:v>
      </x:c>
      <x:c r="D12" s="18" t="str">
        <x:v>campaign analytic universe</x:v>
      </x:c>
    </x:row>
    <x:row r="13" ht="28" customHeight="1">
      <x:c r="A13" s="18" t="str">
        <x:v>analytic_population</x:v>
      </x:c>
      <x:c r="B13" s="22" t="n">
        <x:v>403320</x:v>
      </x:c>
      <x:c r="C13" s="18" t="str">
        <x:v>people</x:v>
      </x:c>
      <x:c r="D13" s="18" t="str">
        <x:v>published estimate</x:v>
      </x:c>
    </x:row>
    <x:row r="14" ht="28" customHeight="1">
      <x:c r="A14" s="18" t="str">
        <x:v>selection_population</x:v>
      </x:c>
      <x:c r="B14" s="22" t="n">
        <x:v>414234</x:v>
      </x:c>
      <x:c r="C14" s="18" t="str">
        <x:v>people</x:v>
      </x:c>
      <x:c r="D14" s="18" t="str">
        <x:v>2020 Census; selection only</x:v>
      </x:c>
    </x:row>
    <x:row r="15" ht="28" customHeight="1">
      <x:c r="A15" s="18" t="str">
        <x:v>households</x:v>
      </x:c>
      <x:c r="B15" s="22" t="n">
        <x:v>170678</x:v>
      </x:c>
      <x:c r="C15" s="18" t="str">
        <x:v>households</x:v>
      </x:c>
      <x:c r="D15" s="18" t="str">
        <x:v>published estimate</x:v>
      </x:c>
    </x:row>
    <x:row r="16" ht="28" customHeight="1">
      <x:c r="A16" s="18" t="str">
        <x:v>occupied_housing_units</x:v>
      </x:c>
      <x:c r="B16" s="22" t="n">
        <x:v>170678</x:v>
      </x:c>
      <x:c r="C16" s="18" t="str">
        <x:v>units</x:v>
      </x:c>
      <x:c r="D16" s="18" t="str">
        <x:v>published estimate</x:v>
      </x:c>
    </x:row>
    <x:row r="17" ht="28" customHeight="1">
      <x:c r="A17" s="18" t="str">
        <x:v>housing_units</x:v>
      </x:c>
      <x:c r="B17" s="22" t="n">
        <x:v>188061</x:v>
      </x:c>
      <x:c r="C17" s="18" t="str">
        <x:v>units</x:v>
      </x:c>
      <x:c r="D17" s="18" t="str">
        <x:v>published estimate</x:v>
      </x:c>
    </x:row>
    <x:row r="18" ht="28" customHeight="1">
      <x:c r="A18" s="18" t="str">
        <x:v>group_quarters_population</x:v>
      </x:c>
      <x:c r="B18" s="22" t="n">
        <x:v>7808</x:v>
      </x:c>
      <x:c r="C18" s="18" t="str">
        <x:v>people</x:v>
      </x:c>
      <x:c r="D18" s="18" t="str">
        <x:v>published estimate</x:v>
      </x:c>
    </x:row>
    <x:row r="19" ht="28" customHeight="1">
      <x:c r="A19" s="18" t="str">
        <x:v>tracts</x:v>
      </x:c>
      <x:c r="B19" s="22" t="n">
        <x:v>87</x:v>
      </x:c>
      <x:c r="C19" s="18" t="str">
        <x:v>tracts</x:v>
      </x:c>
      <x:c r="D19" s="18" t="str">
        <x:v>frozen reference geography</x:v>
      </x:c>
    </x:row>
    <x:row r="20" ht="28" customHeight="1">
      <x:c r="A20" s="18" t="str">
        <x:v>catchments</x:v>
      </x:c>
      <x:c r="B20" s="22" t="n">
        <x:v>12</x:v>
      </x:c>
      <x:c r="C20" s="18" t="str">
        <x:v>catchments</x:v>
      </x:c>
      <x:c r="D20" s="18" t="str">
        <x:v>disclosed reference set</x:v>
      </x:c>
    </x:row>
    <x:row r="21" ht="28" customHeight="1">
      <x:c r="A21" s="18" t="str">
        <x:v>world_replicates</x:v>
      </x:c>
      <x:c r="B21" s="22" t="n">
        <x:v>1000</x:v>
      </x:c>
      <x:c r="C21" s="18" t="str">
        <x:v>replicates</x:v>
      </x:c>
      <x:c r="D21" s="18" t="str">
        <x:v>existing registered worlds</x:v>
      </x:c>
    </x:row>
    <x:row r="22" ht="28" customHeight="1">
      <x:c r="A22" s="18" t="str">
        <x:v>primary_candidate_K</x:v>
      </x:c>
      <x:c r="B22" s="22" t="n">
        <x:v>250</x:v>
      </x:c>
      <x:c r="C22" s="18" t="str">
        <x:v>members</x:v>
      </x:c>
      <x:c r="D22" s="18" t="str">
        <x:v>subject to input-only convergence</x:v>
      </x:c>
    </x:row>
    <x:row r="23" ht="28" customHeight="1">
      <x:c r="A23" s="18" t="str">
        <x:v>synthetic_records_now</x:v>
      </x:c>
      <x:c r="B23" s="22" t="n">
        <x:v>0</x:v>
      </x:c>
      <x:c r="C23" s="18" t="str">
        <x:v>records</x:v>
      </x:c>
      <x:c r="D23" s="18" t="str">
        <x:v>binding</x:v>
      </x:c>
    </x:row>
    <x:row r="24" ht="28" customHeight="1">
      <x:c r="A24" s="18" t="str">
        <x:v>architecture_results_now</x:v>
      </x:c>
      <x:c r="B24" s="22" t="n">
        <x:v>0</x:v>
      </x:c>
      <x:c r="C24" s="18" t="str">
        <x:v>records</x:v>
      </x:c>
      <x:c r="D24" s="18" t="str">
        <x:v>binding</x:v>
      </x:c>
    </x:row>
    <x:row r="25" ht="28" customHeight="1">
      <x:c r="A25" s="18" t="str">
        <x:v>specification_sha256</x:v>
      </x:c>
      <x:c r="B25" s="18" t="str">
        <x:v>17fe27f1c3e7c1a1813b03e6797037e10bba88d8dec93ce2dc3136efd26aa86b</x:v>
      </x:c>
      <x:c r="C25" s="18" t="str">
        <x:v>SHA-256</x:v>
      </x:c>
      <x:c r="D25" s="18" t="str">
        <x:v>canonical JSON</x:v>
      </x:c>
    </x:row>
    <x:row r="26" ht="28" customHeight="1">
      <x:c r="A26" s="18" t="str">
        <x:v>registration_sha256</x:v>
      </x:c>
      <x:c r="B26" s="18" t="str">
        <x:v>1e38c1dbeb96dd816641b0da0dfa554fb8a1713b71e5149285094c9525d8d5b3</x:v>
      </x:c>
      <x:c r="C26" s="18" t="str">
        <x:v>SHA-256</x:v>
      </x:c>
      <x:c r="D26" s="18" t="str">
        <x:v>all method records</x:v>
      </x:c>
    </x:row>
    <x:row r="28">
      <x:c r="A28" s="6" t="str">
        <x:v>Planning scale by ensemble candidate</x:v>
      </x:c>
      <x:c r="B28" s="7"/>
      <x:c r="C28" s="7"/>
      <x:c r="D28" s="7"/>
      <x:c r="E28" s="7"/>
      <x:c r="F28" s="7"/>
      <x:c r="G28" s="7"/>
      <x:c r="H28" s="8"/>
    </x:row>
    <x:row r="29" ht="28" customHeight="1">
      <x:c r="A29" s="13" t="str">
        <x:v>K</x:v>
      </x:c>
      <x:c r="B29" s="13" t="str">
        <x:v>Person-realization rows</x:v>
      </x:c>
      <x:c r="C29" s="13" t="str">
        <x:v>Household-realization rows</x:v>
      </x:c>
      <x:c r="D29" s="13" t="str">
        <x:v>Worlds per member</x:v>
      </x:c>
      <x:c r="E29" s="13" t="str">
        <x:v>Approx state rows</x:v>
      </x:c>
      <x:c r="F29" s="13" t="str">
        <x:v>Approx raw storage (GB)</x:v>
      </x:c>
      <x:c r="G29" s="13" t="str">
        <x:v>Note</x:v>
      </x:c>
    </x:row>
    <x:row r="30" ht="30" customHeight="1">
      <x:c r="A30" s="23" t="n">
        <x:v>125</x:v>
      </x:c>
      <x:c r="B30" s="23" t="n">
        <x:f>$B$13*A30</x:f>
        <x:v>50415000</x:v>
      </x:c>
      <x:c r="C30" s="23" t="n">
        <x:f>$B$15*A30</x:f>
        <x:v>21334750</x:v>
      </x:c>
      <x:c r="D30" s="23" t="n">
        <x:f>$B$21/A30</x:f>
        <x:v>8</x:v>
      </x:c>
      <x:c r="E30" s="23" t="n">
        <x:f>B30+C30+C30</x:f>
        <x:v>93084500</x:v>
      </x:c>
      <x:c r="F30" s="24" t="n">
        <x:f>(B30*240+C30*160+C30*80)/1000000000</x:f>
        <x:v>17.21994</x:v>
      </x:c>
      <x:c r="G30" s="17" t="str">
        <x:v>Reference-size planning only</x:v>
      </x:c>
    </x:row>
    <x:row r="31" ht="30" customHeight="1">
      <x:c r="A31" s="22" t="n">
        <x:v>250</x:v>
      </x:c>
      <x:c r="B31" s="22" t="n">
        <x:f>$B$13*A31</x:f>
        <x:v>100830000</x:v>
      </x:c>
      <x:c r="C31" s="22" t="n">
        <x:f>$B$15*A31</x:f>
        <x:v>42669500</x:v>
      </x:c>
      <x:c r="D31" s="22" t="n">
        <x:f>$B$21/A31</x:f>
        <x:v>4</x:v>
      </x:c>
      <x:c r="E31" s="22" t="n">
        <x:f>B31+C31+C31</x:f>
        <x:v>186169000</x:v>
      </x:c>
      <x:c r="F31" s="25" t="n">
        <x:f>(B31*240+C31*160+C31*80)/1000000000</x:f>
        <x:v>34.43988</x:v>
      </x:c>
      <x:c r="G31" s="18" t="str">
        <x:v>Reference-size planning only</x:v>
      </x:c>
    </x:row>
    <x:row r="32" ht="30" customHeight="1">
      <x:c r="A32" s="22" t="n">
        <x:v>500</x:v>
      </x:c>
      <x:c r="B32" s="22" t="n">
        <x:f>$B$13*A32</x:f>
        <x:v>201660000</x:v>
      </x:c>
      <x:c r="C32" s="22" t="n">
        <x:f>$B$15*A32</x:f>
        <x:v>85339000</x:v>
      </x:c>
      <x:c r="D32" s="22" t="n">
        <x:f>$B$21/A32</x:f>
        <x:v>2</x:v>
      </x:c>
      <x:c r="E32" s="22" t="n">
        <x:f>B32+C32+C32</x:f>
        <x:v>372338000</x:v>
      </x:c>
      <x:c r="F32" s="25" t="n">
        <x:f>(B32*240+C32*160+C32*80)/1000000000</x:f>
        <x:v>68.87976</x:v>
      </x:c>
      <x:c r="G32" s="18" t="str">
        <x:v>Reference-size planning only</x:v>
      </x:c>
    </x:row>
    <x:row r="33" ht="30" customHeight="1">
      <x:c r="A33" s="22" t="n">
        <x:v>1000</x:v>
      </x:c>
      <x:c r="B33" s="22" t="n">
        <x:f>$B$13*A33</x:f>
        <x:v>403320000</x:v>
      </x:c>
      <x:c r="C33" s="22" t="n">
        <x:f>$B$15*A33</x:f>
        <x:v>170678000</x:v>
      </x:c>
      <x:c r="D33" s="22" t="n">
        <x:f>$B$21/A33</x:f>
        <x:v>1</x:v>
      </x:c>
      <x:c r="E33" s="22" t="n">
        <x:f>B33+C33+C33</x:f>
        <x:v>744676000</x:v>
      </x:c>
      <x:c r="F33" s="25" t="n">
        <x:f>(B33*240+C33*160+C33*80)/1000000000</x:f>
        <x:v>137.75952</x:v>
      </x:c>
      <x:c r="G33" s="18" t="str">
        <x:v>Reference-size planning only</x:v>
      </x:c>
    </x:row>
    <x:row r="35" ht="110" customHeight="1">
      <x:c r="A35" s="26" t="str">
        <x:v>Planning note</x:v>
      </x:c>
      <x:c r="B35" s="26" t="str">
        <x:v>The scale calculation uses point-estimate row counts and simple byte assumptions. The accepted ensemble may vary by coherent target draw and should use immutable base records plus member deltas rather than duplicate every full record.</x:v>
      </x:c>
      <x:c r="C35" s="26"/>
      <x:c r="D35" s="26"/>
      <x:c r="E35" s="26"/>
      <x:c r="F35" s="26"/>
      <x:c r="G35" s="26"/>
      <x:c r="H35" s="26"/>
    </x:row>
  </x:sheetData>
  <x:pageMargins left="0.7" right="0.7" top="0.75" bottom="0.75" header="0.3" footer="0.3"/>
</x:worksheet>
</file>

<file path=xl/worksheets/sheet3.xml><?xml version="1.0" encoding="utf-8"?>
<x:worksheet xmlns:x="http://schemas.openxmlformats.org/spreadsheetml/2006/main">
  <x:sheetPr>
    <x:tabColor rgb="FF315B7D"/>
  </x:sheetPr>
  <x:sheetViews>
    <x:sheetView showGridLines="0" workbookViewId="0">
      <x:pane ySplit="15" topLeftCell="A16" activePane="bottomLeft" state="frozen"/>
    </x:sheetView>
  </x:sheetViews>
  <x:sheetFormatPr defaultRowHeight="15"/>
  <x:cols>
    <x:col min="1" max="1" width="23" hidden="0" customWidth="1"/>
    <x:col min="2" max="2" width="42" hidden="0" customWidth="1"/>
    <x:col min="3" max="3" width="28" hidden="0" customWidth="1"/>
    <x:col min="4" max="4" width="20" hidden="0" customWidth="1"/>
    <x:col min="5" max="5" width="34" hidden="0" customWidth="1"/>
    <x:col min="6" max="6" width="42" hidden="0" customWidth="1"/>
  </x:cols>
  <x:sheetData>
    <x:row r="1">
      <x:c r="A1" s="1" t="str">
        <x:v>Civil-state layers and schema</x:v>
      </x:c>
    </x:row>
    <x:row r="2">
      <x:c r="A2" s="2" t="str">
        <x:v>Observed evidence, modeled structure, incident state and architecture response remain separate</x:v>
      </x:c>
    </x:row>
    <x:row r="3">
      <x:c r="A3" s="3"/>
      <x:c r="B3" s="3"/>
      <x:c r="C3" s="3"/>
      <x:c r="D3" s="3"/>
      <x:c r="E3" s="3"/>
      <x:c r="F3" s="3"/>
    </x:row>
    <x:row r="5" ht="28" customHeight="1">
      <x:c r="A5" s="13" t="str">
        <x:v>Layer</x:v>
      </x:c>
      <x:c r="B5" s="13" t="str">
        <x:v>Content</x:v>
      </x:c>
      <x:c r="C5" s="13" t="str">
        <x:v>Permitted state</x:v>
      </x:c>
      <x:c r="D5" s="13" t="str">
        <x:v>Current state</x:v>
      </x:c>
      <x:c r="E5" s="13" t="str">
        <x:v>Owner</x:v>
      </x:c>
    </x:row>
    <x:row r="6" ht="40" customHeight="1">
      <x:c r="A6" s="17" t="str">
        <x:v>Observed evidence</x:v>
      </x:c>
      <x:c r="B6" s="17" t="str">
        <x:v>published estimates, margins, variance replicates, administrative proxies</x:v>
      </x:c>
      <x:c r="C6" s="17" t="str">
        <x:v>OBSERVED / PROXY / UNKNOWN</x:v>
      </x:c>
      <x:c r="D6" s="17" t="str">
        <x:v>partially populated</x:v>
      </x:c>
      <x:c r="E6" s="17" t="str">
        <x:v>source and bounded use</x:v>
      </x:c>
    </x:row>
    <x:row r="7" ht="40" customHeight="1">
      <x:c r="A7" s="18" t="str">
        <x:v>Coherent target</x:v>
      </x:c>
      <x:c r="B7" s="18" t="str">
        <x:v>joint integer counts drawn from registered uncertainty representation</x:v>
      </x:c>
      <x:c r="C7" s="18" t="str">
        <x:v>DRAWN / REJECTED</x:v>
      </x:c>
      <x:c r="D7" s="18" t="str">
        <x:v>empty</x:v>
      </x:c>
      <x:c r="E7" s="18" t="str">
        <x:v>compiler operator</x:v>
      </x:c>
    </x:row>
    <x:row r="8" ht="40" customHeight="1">
      <x:c r="A8" s="18" t="str">
        <x:v>Structural synthetic</x:v>
      </x:c>
      <x:c r="B8" s="18" t="str">
        <x:v>persons, households, group quarters and public building classes</x:v>
      </x:c>
      <x:c r="C8" s="18" t="str">
        <x:v>SYNTHETIC / UNKNOWN</x:v>
      </x:c>
      <x:c r="D8" s="18" t="str">
        <x:v>empty</x:v>
      </x:c>
      <x:c r="E8" s="18" t="str">
        <x:v>controlled research enclave</x:v>
      </x:c>
    </x:row>
    <x:row r="9" ht="40" customHeight="1">
      <x:c r="A9" s="18" t="str">
        <x:v>Operational building</x:v>
      </x:c>
      <x:c r="B9" s="18" t="str">
        <x:v>power, pump, elevator, cooling, communications and thermal state</x:v>
      </x:c>
      <x:c r="C9" s="18" t="str">
        <x:v>OBSERVED / MODELED / UNKNOWN</x:v>
      </x:c>
      <x:c r="D9" s="18" t="str">
        <x:v>empty</x:v>
      </x:c>
      <x:c r="E9" s="18" t="str">
        <x:v>separate governed evidence program</x:v>
      </x:c>
    </x:row>
    <x:row r="10" ht="40" customHeight="1">
      <x:c r="A10" s="18" t="str">
        <x:v>Stress world</x:v>
      </x:c>
      <x:c r="B10" s="18" t="str">
        <x:v>twelve registered environmental and operating factors</x:v>
      </x:c>
      <x:c r="C10" s="18" t="str">
        <x:v>REGISTERED</x:v>
      </x:c>
      <x:c r="D10" s="18" t="str">
        <x:v>populated</x:v>
      </x:c>
      <x:c r="E10" s="18" t="str">
        <x:v>world-generator authority</x:v>
      </x:c>
    </x:row>
    <x:row r="11" ht="40" customHeight="1">
      <x:c r="A11" s="18" t="str">
        <x:v>Architecture response</x:v>
      </x:c>
      <x:c r="B11" s="18" t="str">
        <x:v>A2 and S3 service paths, outcomes and adjudication</x:v>
      </x:c>
      <x:c r="C11" s="18" t="str">
        <x:v>SEALED</x:v>
      </x:c>
      <x:c r="D11" s="18" t="str">
        <x:v>empty</x:v>
      </x:c>
      <x:c r="E11" s="18" t="str">
        <x:v>architecture operator after L0</x:v>
      </x:c>
    </x:row>
    <x:row r="14">
      <x:c r="A14" s="6" t="str">
        <x:v>Minimum relational schema</x:v>
      </x:c>
      <x:c r="B14" s="7"/>
      <x:c r="C14" s="7"/>
      <x:c r="D14" s="7"/>
      <x:c r="E14" s="7"/>
      <x:c r="F14" s="8"/>
    </x:row>
    <x:row r="15" ht="28" customHeight="1">
      <x:c r="A15" s="13" t="str">
        <x:v>Entity</x:v>
      </x:c>
      <x:c r="B15" s="13" t="str">
        <x:v>Field</x:v>
      </x:c>
      <x:c r="C15" s="13" t="str">
        <x:v>Evidence / generator</x:v>
      </x:c>
      <x:c r="D15" s="13" t="str">
        <x:v>Current state</x:v>
      </x:c>
      <x:c r="E15" s="13" t="str">
        <x:v>Release</x:v>
      </x:c>
      <x:c r="F15" s="13" t="str">
        <x:v>Non-invention rule</x:v>
      </x:c>
    </x:row>
    <x:row r="16" ht="38" customHeight="1">
      <x:c r="A16" s="17" t="str">
        <x:v>person</x:v>
      </x:c>
      <x:c r="B16" s="17" t="str">
        <x:v>synthetic_person_id</x:v>
      </x:c>
      <x:c r="C16" s="17" t="str">
        <x:v>compiler</x:v>
      </x:c>
      <x:c r="D16" s="17" t="str">
        <x:v>EMPTY</x:v>
      </x:c>
      <x:c r="E16" s="17" t="str">
        <x:v>controlled only</x:v>
      </x:c>
      <x:c r="F16" s="17" t="str">
        <x:v>new namespace; never source identifier</x:v>
      </x:c>
    </x:row>
    <x:row r="17" ht="38" customHeight="1">
      <x:c r="A17" s="18" t="str">
        <x:v>person</x:v>
      </x:c>
      <x:c r="B17" s="18" t="str">
        <x:v>synthetic_household_id</x:v>
      </x:c>
      <x:c r="C17" s="18" t="str">
        <x:v>compiler</x:v>
      </x:c>
      <x:c r="D17" s="18" t="str">
        <x:v>EMPTY</x:v>
      </x:c>
      <x:c r="E17" s="18" t="str">
        <x:v>controlled only</x:v>
      </x:c>
      <x:c r="F17" s="18" t="str">
        <x:v>exactly one household or GQ binding</x:v>
      </x:c>
    </x:row>
    <x:row r="18" ht="38" customHeight="1">
      <x:c r="A18" s="18" t="str">
        <x:v>person</x:v>
      </x:c>
      <x:c r="B18" s="18" t="str">
        <x:v>age_band</x:v>
      </x:c>
      <x:c r="C18" s="18" t="str">
        <x:v>PUMS donor + tract targets</x:v>
      </x:c>
      <x:c r="D18" s="18" t="str">
        <x:v>EMPTY</x:v>
      </x:c>
      <x:c r="E18" s="18" t="str">
        <x:v>aggregate public</x:v>
      </x:c>
      <x:c r="F18" s="18" t="str">
        <x:v>donor relation preserved</x:v>
      </x:c>
    </x:row>
    <x:row r="19" ht="38" customHeight="1">
      <x:c r="A19" s="18" t="str">
        <x:v>person</x:v>
      </x:c>
      <x:c r="B19" s="18" t="str">
        <x:v>disability vector</x:v>
      </x:c>
      <x:c r="C19" s="18" t="str">
        <x:v>PUMS donor + tract targets</x:v>
      </x:c>
      <x:c r="D19" s="18" t="str">
        <x:v>EMPTY</x:v>
      </x:c>
      <x:c r="E19" s="18" t="str">
        <x:v>aggregate public</x:v>
      </x:c>
      <x:c r="F19" s="18" t="str">
        <x:v>types remain nonexclusive</x:v>
      </x:c>
    </x:row>
    <x:row r="20" ht="38" customHeight="1">
      <x:c r="A20" s="18" t="str">
        <x:v>person</x:v>
      </x:c>
      <x:c r="B20" s="18" t="str">
        <x:v>medical_power_class</x:v>
      </x:c>
      <x:c r="C20" s="18" t="str">
        <x:v>authorized protected evidence</x:v>
      </x:c>
      <x:c r="D20" s="18" t="str">
        <x:v>UNKNOWN</x:v>
      </x:c>
      <x:c r="E20" s="18" t="str">
        <x:v>not public</x:v>
      </x:c>
      <x:c r="F20" s="18" t="str">
        <x:v>no proportional downscale</x:v>
      </x:c>
    </x:row>
    <x:row r="21" ht="38" customHeight="1">
      <x:c r="A21" s="18" t="str">
        <x:v>person</x:v>
      </x:c>
      <x:c r="B21" s="18" t="str">
        <x:v>mobility_assistance</x:v>
      </x:c>
      <x:c r="C21" s="18" t="str">
        <x:v>authorized evidence or trial model</x:v>
      </x:c>
      <x:c r="D21" s="18" t="str">
        <x:v>UNKNOWN</x:v>
      </x:c>
      <x:c r="E21" s="18" t="str">
        <x:v>aggregate public</x:v>
      </x:c>
      <x:c r="F21" s="18" t="str">
        <x:v>not inferred from disability alone</x:v>
      </x:c>
    </x:row>
    <x:row r="22" ht="38" customHeight="1">
      <x:c r="A22" s="18" t="str">
        <x:v>person</x:v>
      </x:c>
      <x:c r="B22" s="18" t="str">
        <x:v>language_access</x:v>
      </x:c>
      <x:c r="C22" s="18" t="str">
        <x:v>PUMS/ACS household evidence</x:v>
      </x:c>
      <x:c r="D22" s="18" t="str">
        <x:v>EMPTY</x:v>
      </x:c>
      <x:c r="E22" s="18" t="str">
        <x:v>aggregate public</x:v>
      </x:c>
      <x:c r="F22" s="18" t="str">
        <x:v>household and person universe explicit</x:v>
      </x:c>
    </x:row>
    <x:row r="23" ht="38" customHeight="1">
      <x:c r="A23" s="18" t="str">
        <x:v>person</x:v>
      </x:c>
      <x:c r="B23" s="18" t="str">
        <x:v>caregiver_binding</x:v>
      </x:c>
      <x:c r="C23" s="18" t="str">
        <x:v>authorized protected evidence</x:v>
      </x:c>
      <x:c r="D23" s="18" t="str">
        <x:v>UNKNOWN</x:v>
      </x:c>
      <x:c r="E23" s="18" t="str">
        <x:v>not public</x:v>
      </x:c>
      <x:c r="F23" s="18" t="str">
        <x:v>family relation is insufficient</x:v>
      </x:c>
    </x:row>
    <x:row r="24" ht="38" customHeight="1">
      <x:c r="A24" s="18" t="str">
        <x:v>household</x:v>
      </x:c>
      <x:c r="B24" s="18" t="str">
        <x:v>synthetic_household_id</x:v>
      </x:c>
      <x:c r="C24" s="18" t="str">
        <x:v>compiler</x:v>
      </x:c>
      <x:c r="D24" s="18" t="str">
        <x:v>EMPTY</x:v>
      </x:c>
      <x:c r="E24" s="18" t="str">
        <x:v>controlled only</x:v>
      </x:c>
      <x:c r="F24" s="18" t="str">
        <x:v>unique synthetic identifier</x:v>
      </x:c>
    </x:row>
    <x:row r="25" ht="38" customHeight="1">
      <x:c r="A25" s="18" t="str">
        <x:v>household</x:v>
      </x:c>
      <x:c r="B25" s="18" t="str">
        <x:v>member_ids</x:v>
      </x:c>
      <x:c r="C25" s="18" t="str">
        <x:v>compiler</x:v>
      </x:c>
      <x:c r="D25" s="18" t="str">
        <x:v>EMPTY</x:v>
      </x:c>
      <x:c r="E25" s="18" t="str">
        <x:v>not public</x:v>
      </x:c>
      <x:c r="F25" s="18" t="str">
        <x:v>donor household kept intact</x:v>
      </x:c>
    </x:row>
    <x:row r="26" ht="38" customHeight="1">
      <x:c r="A26" s="18" t="str">
        <x:v>household</x:v>
      </x:c>
      <x:c r="B26" s="18" t="str">
        <x:v>household_type</x:v>
      </x:c>
      <x:c r="C26" s="18" t="str">
        <x:v>PUMS donor + ACS controls</x:v>
      </x:c>
      <x:c r="D26" s="18" t="str">
        <x:v>EMPTY</x:v>
      </x:c>
      <x:c r="E26" s="18" t="str">
        <x:v>aggregate public</x:v>
      </x:c>
      <x:c r="F26" s="18" t="str">
        <x:v>family/nonfamily and size</x:v>
      </x:c>
    </x:row>
    <x:row r="27" ht="38" customHeight="1">
      <x:c r="A27" s="18" t="str">
        <x:v>household</x:v>
      </x:c>
      <x:c r="B27" s="18" t="str">
        <x:v>vehicle_access</x:v>
      </x:c>
      <x:c r="C27" s="18" t="str">
        <x:v>PUMS donor + ACS controls</x:v>
      </x:c>
      <x:c r="D27" s="18" t="str">
        <x:v>EMPTY</x:v>
      </x:c>
      <x:c r="E27" s="18" t="str">
        <x:v>aggregate public</x:v>
      </x:c>
      <x:c r="F27" s="18" t="str">
        <x:v>not equivalent to evacuation capacity</x:v>
      </x:c>
    </x:row>
    <x:row r="28" ht="38" customHeight="1">
      <x:c r="A28" s="18" t="str">
        <x:v>household</x:v>
      </x:c>
      <x:c r="B28" s="18" t="str">
        <x:v>lawful_disposition</x:v>
      </x:c>
      <x:c r="C28" s="18" t="str">
        <x:v>architecture process</x:v>
      </x:c>
      <x:c r="D28" s="18" t="str">
        <x:v>SEALED</x:v>
      </x:c>
      <x:c r="E28" s="18" t="str">
        <x:v>not public</x:v>
      </x:c>
      <x:c r="F28" s="18" t="str">
        <x:v>not a compiler output</x:v>
      </x:c>
    </x:row>
    <x:row r="29" ht="38" customHeight="1">
      <x:c r="A29" s="18" t="str">
        <x:v>building</x:v>
      </x:c>
      <x:c r="B29" s="18" t="str">
        <x:v>public_building_class</x:v>
      </x:c>
      <x:c r="C29" s="18" t="str">
        <x:v>PLUTO/ACS capacity</x:v>
      </x:c>
      <x:c r="D29" s="18" t="str">
        <x:v>EMPTY</x:v>
      </x:c>
      <x:c r="E29" s="18" t="str">
        <x:v>aggregate public</x:v>
      </x:c>
      <x:c r="F29" s="18" t="str">
        <x:v>tract × structure × tenure bin</x:v>
      </x:c>
    </x:row>
    <x:row r="30" ht="38" customHeight="1">
      <x:c r="A30" s="18" t="str">
        <x:v>building</x:v>
      </x:c>
      <x:c r="B30" s="18" t="str">
        <x:v>exact_address</x:v>
      </x:c>
      <x:c r="C30" s="18" t="str">
        <x:v>governed building evidence</x:v>
      </x:c>
      <x:c r="D30" s="18" t="str">
        <x:v>UNKNOWN</x:v>
      </x:c>
      <x:c r="E30" s="18" t="str">
        <x:v>prohibited public</x:v>
      </x:c>
      <x:c r="F30" s="18" t="str">
        <x:v>not assigned in public compiler</x:v>
      </x:c>
    </x:row>
    <x:row r="31" ht="38" customHeight="1">
      <x:c r="A31" s="18" t="str">
        <x:v>building</x:v>
      </x:c>
      <x:c r="B31" s="18" t="str">
        <x:v>unit_or_floor</x:v>
      </x:c>
      <x:c r="C31" s="18" t="str">
        <x:v>governed building evidence</x:v>
      </x:c>
      <x:c r="D31" s="18" t="str">
        <x:v>UNKNOWN</x:v>
      </x:c>
      <x:c r="E31" s="18" t="str">
        <x:v>prohibited public</x:v>
      </x:c>
      <x:c r="F31" s="18" t="str">
        <x:v>not fabricated</x:v>
      </x:c>
    </x:row>
    <x:row r="32" ht="38" customHeight="1">
      <x:c r="A32" s="18" t="str">
        <x:v>building</x:v>
      </x:c>
      <x:c r="B32" s="18" t="str">
        <x:v>elevator_bank_state</x:v>
      </x:c>
      <x:c r="C32" s="18" t="str">
        <x:v>building observatory</x:v>
      </x:c>
      <x:c r="D32" s="18" t="str">
        <x:v>UNKNOWN</x:v>
      </x:c>
      <x:c r="E32" s="18" t="str">
        <x:v>not public</x:v>
      </x:c>
      <x:c r="F32" s="18" t="str">
        <x:v>incident state required</x:v>
      </x:c>
    </x:row>
    <x:row r="33" ht="38" customHeight="1">
      <x:c r="A33" s="18" t="str">
        <x:v>building</x:v>
      </x:c>
      <x:c r="B33" s="18" t="str">
        <x:v>domestic_water_state</x:v>
      </x:c>
      <x:c r="C33" s="18" t="str">
        <x:v>building observatory</x:v>
      </x:c>
      <x:c r="D33" s="18" t="str">
        <x:v>UNKNOWN</x:v>
      </x:c>
      <x:c r="E33" s="18" t="str">
        <x:v>not public</x:v>
      </x:c>
      <x:c r="F33" s="18" t="str">
        <x:v>pressure zone and pumps required</x:v>
      </x:c>
    </x:row>
    <x:row r="34" ht="38" customHeight="1">
      <x:c r="A34" s="18" t="str">
        <x:v>building</x:v>
      </x:c>
      <x:c r="B34" s="18" t="str">
        <x:v>cooling_and_thermal_state</x:v>
      </x:c>
      <x:c r="C34" s="18" t="str">
        <x:v>instrumented archetype program</x:v>
      </x:c>
      <x:c r="D34" s="18" t="str">
        <x:v>UNKNOWN</x:v>
      </x:c>
      <x:c r="E34" s="18" t="str">
        <x:v>aggregate public</x:v>
      </x:c>
      <x:c r="F34" s="18" t="str">
        <x:v>administrative proxy insufficient</x:v>
      </x:c>
    </x:row>
    <x:row r="35" ht="38" customHeight="1">
      <x:c r="A35" s="18" t="str">
        <x:v>building</x:v>
      </x:c>
      <x:c r="B35" s="18" t="str">
        <x:v>emergency_power_topology</x:v>
      </x:c>
      <x:c r="C35" s="18" t="str">
        <x:v>governed one-line evidence</x:v>
      </x:c>
      <x:c r="D35" s="18" t="str">
        <x:v>UNKNOWN</x:v>
      </x:c>
      <x:c r="E35" s="18" t="str">
        <x:v>not public</x:v>
      </x:c>
      <x:c r="F35" s="18" t="str">
        <x:v>installed equipment is not operability</x:v>
      </x:c>
    </x:row>
  </x:sheetData>
  <x:pageMargins left="0.7" right="0.7" top="0.75" bottom="0.75" header="0.3" footer="0.3"/>
</x:worksheet>
</file>

<file path=xl/worksheets/sheet4.xml><?xml version="1.0" encoding="utf-8"?>
<x:worksheet xmlns:x="http://schemas.openxmlformats.org/spreadsheetml/2006/main">
  <x:sheetPr>
    <x:tabColor rgb="FF315B7D"/>
  </x:sheetPr>
  <x:sheetViews>
    <x:sheetView showGridLines="0" workbookViewId="0">
      <x:pane ySplit="5" topLeftCell="A6" activePane="bottomLeft" state="frozen"/>
    </x:sheetView>
  </x:sheetViews>
  <x:sheetFormatPr defaultRowHeight="15"/>
  <x:cols>
    <x:col min="1" max="1" width="12" hidden="0" customWidth="1"/>
    <x:col min="2" max="2" width="22" hidden="0" customWidth="1"/>
    <x:col min="3" max="3" width="58" hidden="0" customWidth="1"/>
    <x:col min="4" max="4" width="13" hidden="0" customWidth="1"/>
    <x:col min="5" max="5" width="34" hidden="0" customWidth="1"/>
    <x:col min="6" max="6" width="24" hidden="0" customWidth="1"/>
  </x:cols>
  <x:sheetData>
    <x:row r="1">
      <x:c r="A1" s="1" t="str">
        <x:v>Constraint registry</x:v>
      </x:c>
    </x:row>
    <x:row r="2">
      <x:c r="A2" s="2" t="str">
        <x:v>Hard identities and governance rules are constraints, not objective-function weights</x:v>
      </x:c>
    </x:row>
    <x:row r="3">
      <x:c r="A3" s="3"/>
      <x:c r="B3" s="3"/>
      <x:c r="C3" s="3"/>
      <x:c r="D3" s="3"/>
      <x:c r="E3" s="3"/>
      <x:c r="F3" s="3"/>
    </x:row>
    <x:row r="5" ht="28" customHeight="1">
      <x:c r="A5" s="13" t="str">
        <x:v>ID</x:v>
      </x:c>
      <x:c r="B5" s="13" t="str">
        <x:v>Domain</x:v>
      </x:c>
      <x:c r="C5" s="13" t="str">
        <x:v>Constraint</x:v>
      </x:c>
      <x:c r="D5" s="13" t="str">
        <x:v>Class</x:v>
      </x:c>
      <x:c r="E5" s="13" t="str">
        <x:v>Test</x:v>
      </x:c>
      <x:c r="F5" s="13" t="str">
        <x:v>Failure action</x:v>
      </x:c>
    </x:row>
    <x:row r="6" ht="38" customHeight="1">
      <x:c r="A6" s="17" t="str">
        <x:v>C-001</x:v>
      </x:c>
      <x:c r="B6" s="17" t="str">
        <x:v>person</x:v>
      </x:c>
      <x:c r="C6" s="17" t="str">
        <x:v>Population count equals the coherent catchment target draw</x:v>
      </x:c>
      <x:c r="D6" s="17" t="str">
        <x:v>HARD</x:v>
      </x:c>
      <x:c r="E6" s="17" t="str">
        <x:v>exact integer equality</x:v>
      </x:c>
      <x:c r="F6" s="17" t="str">
        <x:v>reject member</x:v>
      </x:c>
    </x:row>
    <x:row r="7" ht="38" customHeight="1">
      <x:c r="A7" s="18" t="str">
        <x:v>C-002</x:v>
      </x:c>
      <x:c r="B7" s="18" t="str">
        <x:v>person</x:v>
      </x:c>
      <x:c r="C7" s="18" t="str">
        <x:v>Every person belongs to exactly one household or group-quarters record</x:v>
      </x:c>
      <x:c r="D7" s="18" t="str">
        <x:v>HARD</x:v>
      </x:c>
      <x:c r="E7" s="18" t="str">
        <x:v>exact partition</x:v>
      </x:c>
      <x:c r="F7" s="18" t="str">
        <x:v>reject member</x:v>
      </x:c>
    </x:row>
    <x:row r="8" ht="38" customHeight="1">
      <x:c r="A8" s="18" t="str">
        <x:v>C-003</x:v>
      </x:c>
      <x:c r="B8" s="18" t="str">
        <x:v>household</x:v>
      </x:c>
      <x:c r="C8" s="18" t="str">
        <x:v>Household size equals the number of linked person records</x:v>
      </x:c>
      <x:c r="D8" s="18" t="str">
        <x:v>HARD</x:v>
      </x:c>
      <x:c r="E8" s="18" t="str">
        <x:v>exact integer equality</x:v>
      </x:c>
      <x:c r="F8" s="18" t="str">
        <x:v>reject member</x:v>
      </x:c>
    </x:row>
    <x:row r="9" ht="38" customHeight="1">
      <x:c r="A9" s="18" t="str">
        <x:v>C-004</x:v>
      </x:c>
      <x:c r="B9" s="18" t="str">
        <x:v>household</x:v>
      </x:c>
      <x:c r="C9" s="18" t="str">
        <x:v>All donor household relationships remain linked during replication</x:v>
      </x:c>
      <x:c r="D9" s="18" t="str">
        <x:v>HARD</x:v>
      </x:c>
      <x:c r="E9" s="18" t="str">
        <x:v>no split or independent person draw</x:v>
      </x:c>
      <x:c r="F9" s="18" t="str">
        <x:v>reject member</x:v>
      </x:c>
    </x:row>
    <x:row r="10" ht="38" customHeight="1">
      <x:c r="A10" s="18" t="str">
        <x:v>C-005</x:v>
      </x:c>
      <x:c r="B10" s="18" t="str">
        <x:v>household</x:v>
      </x:c>
      <x:c r="C10" s="18" t="str">
        <x:v>Household count equals the coherent target draw</x:v>
      </x:c>
      <x:c r="D10" s="18" t="str">
        <x:v>HARD</x:v>
      </x:c>
      <x:c r="E10" s="18" t="str">
        <x:v>exact integer equality</x:v>
      </x:c>
      <x:c r="F10" s="18" t="str">
        <x:v>reject member</x:v>
      </x:c>
    </x:row>
    <x:row r="11" ht="38" customHeight="1">
      <x:c r="A11" s="18" t="str">
        <x:v>C-006</x:v>
      </x:c>
      <x:c r="B11" s="18" t="str">
        <x:v>group quarters</x:v>
      </x:c>
      <x:c r="C11" s="18" t="str">
        <x:v>Group-quarters persons remain outside the household and occupied-unit universe</x:v>
      </x:c>
      <x:c r="D11" s="18" t="str">
        <x:v>HARD</x:v>
      </x:c>
      <x:c r="E11" s="18" t="str">
        <x:v>exact partition</x:v>
      </x:c>
      <x:c r="F11" s="18" t="str">
        <x:v>reject member</x:v>
      </x:c>
    </x:row>
    <x:row r="12" ht="38" customHeight="1">
      <x:c r="A12" s="18" t="str">
        <x:v>C-007</x:v>
      </x:c>
      <x:c r="B12" s="18" t="str">
        <x:v>building class</x:v>
      </x:c>
      <x:c r="C12" s="18" t="str">
        <x:v>Assigned occupied households do not exceed registered class capacity</x:v>
      </x:c>
      <x:c r="D12" s="18" t="str">
        <x:v>HARD</x:v>
      </x:c>
      <x:c r="E12" s="18" t="str">
        <x:v>zero over-capacity bins</x:v>
      </x:c>
      <x:c r="F12" s="18" t="str">
        <x:v>reject member</x:v>
      </x:c>
    </x:row>
    <x:row r="13" ht="38" customHeight="1">
      <x:c r="A13" s="18" t="str">
        <x:v>C-008</x:v>
      </x:c>
      <x:c r="B13" s="18" t="str">
        <x:v>building class</x:v>
      </x:c>
      <x:c r="C13" s="18" t="str">
        <x:v>Each household receives at most one building-class assignment</x:v>
      </x:c>
      <x:c r="D13" s="18" t="str">
        <x:v>HARD</x:v>
      </x:c>
      <x:c r="E13" s="18" t="str">
        <x:v>0 or 1 assignment</x:v>
      </x:c>
      <x:c r="F13" s="18" t="str">
        <x:v>reject member</x:v>
      </x:c>
    </x:row>
    <x:row r="14" ht="38" customHeight="1">
      <x:c r="A14" s="18" t="str">
        <x:v>C-009</x:v>
      </x:c>
      <x:c r="B14" s="18" t="str">
        <x:v>geography</x:v>
      </x:c>
      <x:c r="C14" s="18" t="str">
        <x:v>PUMS donor geography is represented as PUMA support, never tract observation</x:v>
      </x:c>
      <x:c r="D14" s="18" t="str">
        <x:v>HARD</x:v>
      </x:c>
      <x:c r="E14" s="18" t="str">
        <x:v>no tract-origin claim</x:v>
      </x:c>
      <x:c r="F14" s="18" t="str">
        <x:v>reject run</x:v>
      </x:c>
    </x:row>
    <x:row r="15" ht="38" customHeight="1">
      <x:c r="A15" s="18" t="str">
        <x:v>C-010</x:v>
      </x:c>
      <x:c r="B15" s="18" t="str">
        <x:v>disability</x:v>
      </x:c>
      <x:c r="C15" s="18" t="str">
        <x:v>Nonexclusive difficulty types are not summed as unique people</x:v>
      </x:c>
      <x:c r="D15" s="18" t="str">
        <x:v>HARD</x:v>
      </x:c>
      <x:c r="E15" s="18" t="str">
        <x:v>identity prohibition</x:v>
      </x:c>
      <x:c r="F15" s="18" t="str">
        <x:v>reject run</x:v>
      </x:c>
    </x:row>
    <x:row r="16" ht="38" customHeight="1">
      <x:c r="A16" s="18" t="str">
        <x:v>C-011</x:v>
      </x:c>
      <x:c r="B16" s="18" t="str">
        <x:v>medical power</x:v>
      </x:c>
      <x:c r="C16" s="18" t="str">
        <x:v>Absent authorized evidence remains UNKNOWN</x:v>
      </x:c>
      <x:c r="D16" s="18" t="str">
        <x:v>HARD</x:v>
      </x:c>
      <x:c r="E16" s="18" t="str">
        <x:v>no inferred negative or independence draw</x:v>
      </x:c>
      <x:c r="F16" s="18" t="str">
        <x:v>reject run</x:v>
      </x:c>
    </x:row>
    <x:row r="17" ht="38" customHeight="1">
      <x:c r="A17" s="18" t="str">
        <x:v>C-012</x:v>
      </x:c>
      <x:c r="B17" s="18" t="str">
        <x:v>caregiver</x:v>
      </x:c>
      <x:c r="C17" s="18" t="str">
        <x:v>Family relationship does not imply caregiver status</x:v>
      </x:c>
      <x:c r="D17" s="18" t="str">
        <x:v>HARD</x:v>
      </x:c>
      <x:c r="E17" s="18" t="str">
        <x:v>caregiver field remains UNKNOWN</x:v>
      </x:c>
      <x:c r="F17" s="18" t="str">
        <x:v>reject run</x:v>
      </x:c>
    </x:row>
    <x:row r="18" ht="38" customHeight="1">
      <x:c r="A18" s="18" t="str">
        <x:v>C-013</x:v>
      </x:c>
      <x:c r="B18" s="18" t="str">
        <x:v>building state</x:v>
      </x:c>
      <x:c r="C18" s="18" t="str">
        <x:v>Administrative records do not imply outage operability</x:v>
      </x:c>
      <x:c r="D18" s="18" t="str">
        <x:v>HARD</x:v>
      </x:c>
      <x:c r="E18" s="18" t="str">
        <x:v>operability fields remain UNKNOWN</x:v>
      </x:c>
      <x:c r="F18" s="18" t="str">
        <x:v>reject run</x:v>
      </x:c>
    </x:row>
    <x:row r="19" ht="38" customHeight="1">
      <x:c r="A19" s="18" t="str">
        <x:v>C-014</x:v>
      </x:c>
      <x:c r="B19" s="18" t="str">
        <x:v>building state</x:v>
      </x:c>
      <x:c r="C19" s="18" t="str">
        <x:v>Exact unit, floor, address and elevator-bank assignment are prohibited in public mode</x:v>
      </x:c>
      <x:c r="D19" s="18" t="str">
        <x:v>HARD</x:v>
      </x:c>
      <x:c r="E19" s="18" t="str">
        <x:v>no public exact-location field</x:v>
      </x:c>
      <x:c r="F19" s="18" t="str">
        <x:v>reject release</x:v>
      </x:c>
    </x:row>
    <x:row r="20" ht="38" customHeight="1">
      <x:c r="A20" s="18" t="str">
        <x:v>C-015</x:v>
      </x:c>
      <x:c r="B20" s="18" t="str">
        <x:v>identifier</x:v>
      </x:c>
      <x:c r="C20" s="18" t="str">
        <x:v>Synthetic identifiers cannot reproduce source SERIALNO or protected identifiers</x:v>
      </x:c>
      <x:c r="D20" s="18" t="str">
        <x:v>HARD</x:v>
      </x:c>
      <x:c r="E20" s="18" t="str">
        <x:v>namespace and collision audit</x:v>
      </x:c>
      <x:c r="F20" s="18" t="str">
        <x:v>reject release</x:v>
      </x:c>
    </x:row>
    <x:row r="21" ht="38" customHeight="1">
      <x:c r="A21" s="18" t="str">
        <x:v>C-016</x:v>
      </x:c>
      <x:c r="B21" s="18" t="str">
        <x:v>counts</x:v>
      </x:c>
      <x:c r="C21" s="18" t="str">
        <x:v>Counts and capacities are nonnegative integers</x:v>
      </x:c>
      <x:c r="D21" s="18" t="str">
        <x:v>HARD</x:v>
      </x:c>
      <x:c r="E21" s="18" t="str">
        <x:v>minimum &gt;= 0 and integer</x:v>
      </x:c>
      <x:c r="F21" s="18" t="str">
        <x:v>reject member</x:v>
      </x:c>
    </x:row>
    <x:row r="22" ht="38" customHeight="1">
      <x:c r="A22" s="18" t="str">
        <x:v>C-017</x:v>
      </x:c>
      <x:c r="B22" s="18" t="str">
        <x:v>margins</x:v>
      </x:c>
      <x:c r="C22" s="18" t="str">
        <x:v>Published subtotal identities remain feasible after projection</x:v>
      </x:c>
      <x:c r="D22" s="18" t="str">
        <x:v>HARD</x:v>
      </x:c>
      <x:c r="E22" s="18" t="str">
        <x:v>all registered equalities and inequalities</x:v>
      </x:c>
      <x:c r="F22" s="18" t="str">
        <x:v>reject target draw</x:v>
      </x:c>
    </x:row>
    <x:row r="23" ht="38" customHeight="1">
      <x:c r="A23" s="18" t="str">
        <x:v>C-018</x:v>
      </x:c>
      <x:c r="B23" s="18" t="str">
        <x:v>vintage</x:v>
      </x:c>
      <x:c r="C23" s="18" t="str">
        <x:v>Selection and analytic denominators remain separately labeled</x:v>
      </x:c>
      <x:c r="D23" s="18" t="str">
        <x:v>HARD</x:v>
      </x:c>
      <x:c r="E23" s="18" t="str">
        <x:v>2020 selection; 2020–2024 analytic</x:v>
      </x:c>
      <x:c r="F23" s="18" t="str">
        <x:v>reject run</x:v>
      </x:c>
    </x:row>
    <x:row r="24" ht="38" customHeight="1">
      <x:c r="A24" s="18" t="str">
        <x:v>C-019</x:v>
      </x:c>
      <x:c r="B24" s="18" t="str">
        <x:v>donor support</x:v>
      </x:c>
      <x:c r="C24" s="18" t="str">
        <x:v>A target cell with no donor support triggers pool escalation before relaxation</x:v>
      </x:c>
      <x:c r="D24" s="18" t="str">
        <x:v>HARD</x:v>
      </x:c>
      <x:c r="E24" s="18" t="str">
        <x:v>local → adjacent → NYC; then stop</x:v>
      </x:c>
      <x:c r="F24" s="18" t="str">
        <x:v>reject target draw</x:v>
      </x:c>
    </x:row>
    <x:row r="25" ht="38" customHeight="1">
      <x:c r="A25" s="18" t="str">
        <x:v>C-020</x:v>
      </x:c>
      <x:c r="B25" s="18" t="str">
        <x:v>donor pool</x:v>
      </x:c>
      <x:c r="C25" s="18" t="str">
        <x:v>Pool expansion is logged and included in sensitivity reporting</x:v>
      </x:c>
      <x:c r="D25" s="18" t="str">
        <x:v>HARD</x:v>
      </x:c>
      <x:c r="E25" s="18" t="str">
        <x:v>one recorded support tier per class</x:v>
      </x:c>
      <x:c r="F25" s="18" t="str">
        <x:v>reject run</x:v>
      </x:c>
    </x:row>
    <x:row r="26" ht="38" customHeight="1">
      <x:c r="A26" s="18" t="str">
        <x:v>C-021</x:v>
      </x:c>
      <x:c r="B26" s="18" t="str">
        <x:v>randomness</x:v>
      </x:c>
      <x:c r="C26" s="18" t="str">
        <x:v>All streams derive from the registered label and seed scheme</x:v>
      </x:c>
      <x:c r="D26" s="18" t="str">
        <x:v>HARD</x:v>
      </x:c>
      <x:c r="E26" s="18" t="str">
        <x:v>byte-identical rerun</x:v>
      </x:c>
      <x:c r="F26" s="18" t="str">
        <x:v>reject run</x:v>
      </x:c>
    </x:row>
    <x:row r="27" ht="38" customHeight="1">
      <x:c r="A27" s="18" t="str">
        <x:v>C-022</x:v>
      </x:c>
      <x:c r="B27" s="18" t="str">
        <x:v>solver</x:v>
      </x:c>
      <x:c r="C27" s="18" t="str">
        <x:v>Integer solution reports objective, bound and optimality gap</x:v>
      </x:c>
      <x:c r="D27" s="18" t="str">
        <x:v>HARD</x:v>
      </x:c>
      <x:c r="E27" s="18" t="str">
        <x:v>gap &lt;= 0.1% or approved exact-time stop</x:v>
      </x:c>
      <x:c r="F27" s="18" t="str">
        <x:v>reject member</x:v>
      </x:c>
    </x:row>
    <x:row r="28" ht="38" customHeight="1">
      <x:c r="A28" s="18" t="str">
        <x:v>C-023</x:v>
      </x:c>
      <x:c r="B28" s="18" t="str">
        <x:v>outcome blindness</x:v>
      </x:c>
      <x:c r="C28" s="18" t="str">
        <x:v>Compiler configuration cannot access A2, S3 or campaign outcome fields</x:v>
      </x:c>
      <x:c r="D28" s="18" t="str">
        <x:v>HARD</x:v>
      </x:c>
      <x:c r="E28" s="18" t="str">
        <x:v>access-control attestation</x:v>
      </x:c>
      <x:c r="F28" s="18" t="str">
        <x:v>reject registration</x:v>
      </x:c>
    </x:row>
    <x:row r="29" ht="38" customHeight="1">
      <x:c r="A29" s="18" t="str">
        <x:v>C-024</x:v>
      </x:c>
      <x:c r="B29" s="18" t="str">
        <x:v>holdout</x:v>
      </x:c>
      <x:c r="C29" s="18" t="str">
        <x:v>Holdout contents cannot tune weights, thresholds or ensemble size</x:v>
      </x:c>
      <x:c r="D29" s="18" t="str">
        <x:v>HARD</x:v>
      </x:c>
      <x:c r="E29" s="18" t="str">
        <x:v>custody and audit proof</x:v>
      </x:c>
      <x:c r="F29" s="18" t="str">
        <x:v>reject registration</x:v>
      </x:c>
    </x:row>
    <x:row r="30" ht="38" customHeight="1">
      <x:c r="A30" s="18" t="str">
        <x:v>C-025</x:v>
      </x:c>
      <x:c r="B30" s="18" t="str">
        <x:v>source custody</x:v>
      </x:c>
      <x:c r="C30" s="18" t="str">
        <x:v>All source objects match registered cryptographic commitments</x:v>
      </x:c>
      <x:c r="D30" s="18" t="str">
        <x:v>HARD</x:v>
      </x:c>
      <x:c r="E30" s="18" t="str">
        <x:v>SHA-256 exact match</x:v>
      </x:c>
      <x:c r="F30" s="18" t="str">
        <x:v>reject run</x:v>
      </x:c>
    </x:row>
    <x:row r="31" ht="38" customHeight="1">
      <x:c r="A31" s="18" t="str">
        <x:v>C-026</x:v>
      </x:c>
      <x:c r="B31" s="18" t="str">
        <x:v>missingness</x:v>
      </x:c>
      <x:c r="C31" s="18" t="str">
        <x:v>UNKNOWN, NOT_APPLICABLE, STRUCTURAL_ZERO and observed zero remain distinct</x:v>
      </x:c>
      <x:c r="D31" s="18" t="str">
        <x:v>HARD</x:v>
      </x:c>
      <x:c r="E31" s="18" t="str">
        <x:v>state-domain validation</x:v>
      </x:c>
      <x:c r="F31" s="18" t="str">
        <x:v>reject run</x:v>
      </x:c>
    </x:row>
    <x:row r="32" ht="38" customHeight="1">
      <x:c r="A32" s="18" t="str">
        <x:v>C-027</x:v>
      </x:c>
      <x:c r="B32" s="18" t="str">
        <x:v>release</x:v>
      </x:c>
      <x:c r="C32" s="18" t="str">
        <x:v>Public products contain aggregate diagnostics and commitments only</x:v>
      </x:c>
      <x:c r="D32" s="18" t="str">
        <x:v>HARD</x:v>
      </x:c>
      <x:c r="E32" s="18" t="str">
        <x:v>zero public relational microdata rows</x:v>
      </x:c>
      <x:c r="F32" s="18" t="str">
        <x:v>reject release</x:v>
      </x:c>
    </x:row>
    <x:row r="33" ht="38" customHeight="1">
      <x:c r="A33" s="18" t="str">
        <x:v>C-028</x:v>
      </x:c>
      <x:c r="B33" s="18" t="str">
        <x:v>architecture</x:v>
      </x:c>
      <x:c r="C33" s="18" t="str">
        <x:v>Compiler outputs cannot populate registered architecture or campaign outcomes</x:v>
      </x:c>
      <x:c r="D33" s="18" t="str">
        <x:v>HARD</x:v>
      </x:c>
      <x:c r="E33" s="18" t="str">
        <x:v>all outcome cells remain blank</x:v>
      </x:c>
      <x:c r="F33" s="18" t="str">
        <x:v>reject run</x:v>
      </x:c>
    </x:row>
  </x:sheetData>
  <x:pageMargins left="0.7" right="0.7" top="0.75" bottom="0.75" header="0.3" footer="0.3"/>
</x:worksheet>
</file>

<file path=xl/worksheets/sheet5.xml><?xml version="1.0" encoding="utf-8"?>
<x:worksheet xmlns:x="http://schemas.openxmlformats.org/spreadsheetml/2006/main">
  <x:sheetPr>
    <x:tabColor rgb="FF315B7D"/>
  </x:sheetPr>
  <x:sheetViews>
    <x:sheetView showGridLines="0" workbookViewId="0"/>
  </x:sheetViews>
  <x:sheetFormatPr defaultRowHeight="15"/>
  <x:cols>
    <x:col min="1" max="1" width="10" hidden="0" customWidth="1"/>
    <x:col min="2" max="2" width="25" hidden="0" customWidth="1"/>
    <x:col min="3" max="3" width="44" hidden="0" customWidth="1"/>
    <x:col min="4" max="4" width="44" hidden="0" customWidth="1"/>
    <x:col min="5" max="5" width="35" hidden="0" customWidth="1"/>
    <x:col min="6" max="6" width="30" hidden="0" customWidth="1"/>
    <x:col min="7" max="7" width="28" hidden="0" customWidth="1"/>
  </x:cols>
  <x:sheetData>
    <x:row r="1">
      <x:c r="A1" s="1" t="str">
        <x:v>Compiler algorithm</x:v>
      </x:c>
    </x:row>
    <x:row r="2">
      <x:c r="A2" s="2" t="str">
        <x:v>A household-preserving constrained synthesis followed by public building-class assignment</x:v>
      </x:c>
    </x:row>
    <x:row r="3">
      <x:c r="A3" s="3"/>
      <x:c r="B3" s="3"/>
      <x:c r="C3" s="3"/>
      <x:c r="D3" s="3"/>
      <x:c r="E3" s="3"/>
      <x:c r="F3" s="3"/>
      <x:c r="G3" s="3"/>
    </x:row>
    <x:row r="5" ht="28" customHeight="1">
      <x:c r="A5" s="13" t="str">
        <x:v>Stage</x:v>
      </x:c>
      <x:c r="B5" s="13" t="str">
        <x:v>Name</x:v>
      </x:c>
      <x:c r="C5" s="13" t="str">
        <x:v>Inputs</x:v>
      </x:c>
      <x:c r="D5" s="13" t="str">
        <x:v>Operation / output</x:v>
      </x:c>
      <x:c r="E5" s="13" t="str">
        <x:v>Stop condition</x:v>
      </x:c>
    </x:row>
    <x:row r="6" ht="48" customHeight="1">
      <x:c r="A6" s="17" t="n">
        <x:v>0</x:v>
      </x:c>
      <x:c r="B6" s="17" t="str">
        <x:v>Freeze authority</x:v>
      </x:c>
      <x:c r="C6" s="17" t="str">
        <x:v>Parent hashes, analytic universe, variable universes, public/protected evidence</x:v>
      </x:c>
      <x:c r="D6" s="17" t="str">
        <x:v>Immutable source manifest and executable schema</x:v>
      </x:c>
      <x:c r="E6" s="17" t="str">
        <x:v>hash or universe mismatch</x:v>
      </x:c>
    </x:row>
    <x:row r="7" ht="48" customHeight="1">
      <x:c r="A7" s="18" t="n">
        <x:v>1</x:v>
      </x:c>
      <x:c r="B7" s="18" t="str">
        <x:v>Construct target uncertainty</x:v>
      </x:c>
      <x:c r="C7" s="18" t="str">
        <x:v>ACS estimates, 80 variance replicates where published, disclosed RSS margins elsewhere</x:v>
      </x:c>
      <x:c r="D7" s="18" t="str">
        <x:v>Covariance blocks and registered alternate-correlation cases</x:v>
      </x:c>
      <x:c r="E7" s="18" t="str">
        <x:v>non-positive or infeasible covariance</x:v>
      </x:c>
    </x:row>
    <x:row r="8" ht="48" customHeight="1">
      <x:c r="A8" s="18" t="n">
        <x:v>2</x:v>
      </x:c>
      <x:c r="B8" s="18" t="str">
        <x:v>Draw coherent targets</x:v>
      </x:c>
      <x:c r="C8" s="18" t="str">
        <x:v>Deterministic labeled quasi-random vectors</x:v>
      </x:c>
      <x:c r="D8" s="18" t="str">
        <x:v>Nearest feasible integer target vector under identities and bounds</x:v>
      </x:c>
      <x:c r="E8" s="18" t="str">
        <x:v>projection distance exceeds threshold</x:v>
      </x:c>
    </x:row>
    <x:row r="9" ht="48" customHeight="1">
      <x:c r="A9" s="18" t="n">
        <x:v>3</x:v>
      </x:c>
      <x:c r="B9" s="18" t="str">
        <x:v>Build donor support</x:v>
      </x:c>
      <x:c r="C9" s="18" t="str">
        <x:v>2020–2024 New York PUMS housing/person records joined by SERIALNO</x:v>
      </x:c>
      <x:c r="D9" s="18" t="str">
        <x:v>Household-preserving donor equivalence classes by eligible PUMA support tier</x:v>
      </x:c>
      <x:c r="E9" s="18" t="str">
        <x:v>unsupported target after pool ladder</x:v>
      </x:c>
    </x:row>
    <x:row r="10" ht="48" customHeight="1">
      <x:c r="A10" s="18" t="n">
        <x:v>4</x:v>
      </x:c>
      <x:c r="B10" s="18" t="str">
        <x:v>Fit continuous weights</x:v>
      </x:c>
      <x:c r="C10" s="18" t="str">
        <x:v>Household and person control matrices plus survey weights</x:v>
      </x:c>
      <x:c r="D10" s="18" t="str">
        <x:v>IPU/entropy-regularized household weights</x:v>
      </x:c>
      <x:c r="E10" s="18" t="str">
        <x:v>nonconvergence or unstable concentration</x:v>
      </x:c>
    </x:row>
    <x:row r="11" ht="48" customHeight="1">
      <x:c r="A11" s="18" t="n">
        <x:v>5</x:v>
      </x:c>
      <x:c r="B11" s="18" t="str">
        <x:v>Solve integer households</x:v>
      </x:c>
      <x:c r="C11" s="18" t="str">
        <x:v>Continuous weights and coherent targets</x:v>
      </x:c>
      <x:c r="D11" s="18" t="str">
        <x:v>Nonnegative integer donor-class counts with exact core totals</x:v>
      </x:c>
      <x:c r="E11" s="18" t="str">
        <x:v>infeasible or solver gap exceeds rule</x:v>
      </x:c>
    </x:row>
    <x:row r="12" ht="48" customHeight="1">
      <x:c r="A12" s="18" t="n">
        <x:v>6</x:v>
      </x:c>
      <x:c r="B12" s="18" t="str">
        <x:v>Assign building classes</x:v>
      </x:c>
      <x:c r="C12" s="18" t="str">
        <x:v>Synthetic households and registered housing-class capacity</x:v>
      </x:c>
      <x:c r="D12" s="18" t="str">
        <x:v>Min-cost-flow household-to-class assignment in public mode</x:v>
      </x:c>
      <x:c r="E12" s="18" t="str">
        <x:v>capacity or tenure/structure tolerance failure</x:v>
      </x:c>
    </x:row>
    <x:row r="13" ht="48" customHeight="1">
      <x:c r="A13" s="18" t="n">
        <x:v>7</x:v>
      </x:c>
      <x:c r="B13" s="18" t="str">
        <x:v>Validate ensemble</x:v>
      </x:c>
      <x:c r="C13" s="18" t="str">
        <x:v>Nested 125/250/500/1,000 candidate members</x:v>
      </x:c>
      <x:c r="D13" s="18" t="str">
        <x:v>Input-only fit, uncertainty, joint, sensitivity and convergence diagnostics</x:v>
      </x:c>
      <x:c r="E13" s="18" t="str">
        <x:v>predeclared rule fails at K=1,000</x:v>
      </x:c>
    </x:row>
    <x:row r="14" ht="48" customHeight="1">
      <x:c r="A14" s="18" t="n">
        <x:v>8</x:v>
      </x:c>
      <x:c r="B14" s="18" t="str">
        <x:v>Commit and release</x:v>
      </x:c>
      <x:c r="C14" s="18" t="str">
        <x:v>Approved ensemble in controlled environment</x:v>
      </x:c>
      <x:c r="D14" s="18" t="str">
        <x:v>Hashes and aggregate public diagnostics; no public relational records</x:v>
      </x:c>
      <x:c r="E14" s="18" t="str">
        <x:v>privacy, custody or reproduction failure</x:v>
      </x:c>
    </x:row>
    <x:row r="17">
      <x:c r="A17" s="6" t="str">
        <x:v>Registered mathematical decisions</x:v>
      </x:c>
      <x:c r="B17" s="7"/>
      <x:c r="C17" s="7"/>
      <x:c r="D17" s="7"/>
      <x:c r="E17" s="7"/>
      <x:c r="F17" s="7"/>
      <x:c r="G17" s="8"/>
    </x:row>
    <x:row r="18" ht="28" customHeight="1">
      <x:c r="A18" s="13" t="str">
        <x:v>Decision</x:v>
      </x:c>
      <x:c r="B18" s="13" t="str">
        <x:v>Registered rule</x:v>
      </x:c>
      <x:c r="C18" s="13" t="str">
        <x:v>Why it is bounded</x:v>
      </x:c>
      <x:c r="D18" s="13" t="str">
        <x:v>Alternative / sensitivity</x:v>
      </x:c>
    </x:row>
    <x:row r="19" ht="48" customHeight="1">
      <x:c r="A19" s="17" t="str">
        <x:v>Analytic denominator</x:v>
      </x:c>
      <x:c r="B19" s="17" t="str">
        <x:v>2020–2024 ACS point estimates and universes</x:v>
      </x:c>
      <x:c r="C19" s="17" t="str">
        <x:v>Matches PUMS vintage and published controls</x:v>
      </x:c>
      <x:c r="D19" s="17" t="str">
        <x:v>2020 Census remains selection reference only</x:v>
      </x:c>
    </x:row>
    <x:row r="20" ht="48" customHeight="1">
      <x:c r="A20" s="18" t="str">
        <x:v>VRE covariance</x:v>
      </x:c>
      <x:c r="B20" s="18" t="str">
        <x:v>Σ = (4/80) Σr (θr−θ)(θr−θ)'</x:v>
      </x:c>
      <x:c r="C20" s="18" t="str">
        <x:v>Uses published replicate structure</x:v>
      </x:c>
      <x:c r="D20" s="18" t="str">
        <x:v>eigenvalue/PSD and projection audit</x:v>
      </x:c>
    </x:row>
    <x:row r="21" ht="48" customHeight="1">
      <x:c r="A21" s="18" t="str">
        <x:v>Non-VRE covariance</x:v>
      </x:c>
      <x:c r="B21" s="18" t="str">
        <x:v>No covariance is inferred as fact</x:v>
      </x:c>
      <x:c r="C21" s="18" t="str">
        <x:v>RSS margins do not identify joints</x:v>
      </x:c>
      <x:c r="D21" s="18" t="str">
        <x:v>independent, positive-block and feasible-bound cases</x:v>
      </x:c>
    </x:row>
    <x:row r="22" ht="48" customHeight="1">
      <x:c r="A22" s="18" t="str">
        <x:v>Target projection</x:v>
      </x:c>
      <x:c r="B22" s="18" t="str">
        <x:v>nearest feasible integer vector under declared identities</x:v>
      </x:c>
      <x:c r="C22" s="18" t="str">
        <x:v>prevents negative or contradictory populations</x:v>
      </x:c>
      <x:c r="D22" s="18" t="str">
        <x:v>projection distance reported</x:v>
      </x:c>
    </x:row>
    <x:row r="23" ht="48" customHeight="1">
      <x:c r="A23" s="18" t="str">
        <x:v>Donor seed</x:v>
      </x:c>
      <x:c r="B23" s="18" t="str">
        <x:v>PUMS WGTP/PWGTP and linked SERIALNO households</x:v>
      </x:c>
      <x:c r="C23" s="18" t="str">
        <x:v>preserves survey weighting and household structure</x:v>
      </x:c>
      <x:c r="D23" s="18" t="str">
        <x:v>alternate eligible PUMA pools</x:v>
      </x:c>
    </x:row>
    <x:row r="24" ht="48" customHeight="1">
      <x:c r="A24" s="18" t="str">
        <x:v>Continuous fit</x:v>
      </x:c>
      <x:c r="B24" s="18" t="str">
        <x:v>IPU with entropy regularization</x:v>
      </x:c>
      <x:c r="C24" s="18" t="str">
        <x:v>fits household and person controls without independent person draws</x:v>
      </x:c>
      <x:c r="D24" s="18" t="str">
        <x:v>Auld–Mohammadian benchmark</x:v>
      </x:c>
    </x:row>
    <x:row r="25" ht="48" customHeight="1">
      <x:c r="A25" s="18" t="str">
        <x:v>Integer fit</x:v>
      </x:c>
      <x:c r="B25" s="18" t="str">
        <x:v>integer donor-equivalence-class counts</x:v>
      </x:c>
      <x:c r="C25" s="18" t="str">
        <x:v>core totals and relations remain exact</x:v>
      </x:c>
      <x:c r="D25" s="18" t="str">
        <x:v>TRS benchmark; not admission method</x:v>
      </x:c>
    </x:row>
    <x:row r="26" ht="48" customHeight="1">
      <x:c r="A26" s="18" t="str">
        <x:v>Objective</x:v>
      </x:c>
      <x:c r="B26" s="18" t="str">
        <x:v>sum_m w_m*((A_m n-t_m)/max(1,SE_m))^2 + lambda_KL*D_KL(n||w) + lambda_joint*D_joint + lambda_concentration*C</x:v>
      </x:c>
      <x:c r="C26" s="18" t="str">
        <x:v>standardizes residuals by source uncertainty</x:v>
      </x:c>
      <x:c r="D26" s="18" t="str">
        <x:v>all weights and lambdas frozen before execution</x:v>
      </x:c>
    </x:row>
    <x:row r="27" ht="48" customHeight="1">
      <x:c r="A27" s="18" t="str">
        <x:v>Building assignment</x:v>
      </x:c>
      <x:c r="B27" s="18" t="str">
        <x:v>min-cost flow into tract × structure × tenure capacity</x:v>
      </x:c>
      <x:c r="C27" s="18" t="str">
        <x:v>public mode avoids false address precision</x:v>
      </x:c>
      <x:c r="D27" s="18" t="str">
        <x:v>protected exact mode requires new authority</x:v>
      </x:c>
    </x:row>
    <x:row r="28" ht="48" customHeight="1">
      <x:c r="A28" s="18" t="str">
        <x:v>Unsupported field</x:v>
      </x:c>
      <x:c r="B28" s="18" t="str">
        <x:v>retain UNKNOWN</x:v>
      </x:c>
      <x:c r="C28" s="18" t="str">
        <x:v>absence of evidence is not zero</x:v>
      </x:c>
      <x:c r="D28" s="18" t="str">
        <x:v>new evidence requires versioned registry</x:v>
      </x:c>
    </x:row>
    <x:row r="29" ht="48" customHeight="1">
      <x:c r="A29" s="18" t="str">
        <x:v>Public release</x:v>
      </x:c>
      <x:c r="B29" s="18" t="str">
        <x:v>aggregate diagnostics and hashes only</x:v>
      </x:c>
      <x:c r="C29" s="18" t="str">
        <x:v>synthetic does not mean anonymous</x:v>
      </x:c>
      <x:c r="D29" s="18" t="str">
        <x:v>DP release requires separate policy decision</x:v>
      </x:c>
    </x:row>
  </x:sheetData>
  <x:pageMargins left="0.7" right="0.7" top="0.75" bottom="0.75" header="0.3" footer="0.3"/>
</x:worksheet>
</file>

<file path=xl/worksheets/sheet6.xml><?xml version="1.0" encoding="utf-8"?>
<x:worksheet xmlns:x="http://schemas.openxmlformats.org/spreadsheetml/2006/main">
  <x:sheetPr>
    <x:tabColor rgb="FF315B7D"/>
  </x:sheetPr>
  <x:sheetViews>
    <x:sheetView showGridLines="0" workbookViewId="0">
      <x:pane ySplit="25" topLeftCell="A26" activePane="bottomLeft" state="frozen"/>
    </x:sheetView>
  </x:sheetViews>
  <x:sheetFormatPr defaultRowHeight="15"/>
  <x:cols>
    <x:col min="1" max="1" width="18" hidden="0" customWidth="1"/>
    <x:col min="2" max="2" width="22" hidden="0" customWidth="1"/>
    <x:col min="3" max="3" width="22" hidden="0" customWidth="1"/>
    <x:col min="4" max="4" width="22" hidden="0" customWidth="1"/>
    <x:col min="5" max="5" width="22" hidden="0" customWidth="1"/>
    <x:col min="6" max="6" width="22" hidden="0" customWidth="1"/>
    <x:col min="7" max="7" width="24" hidden="0" customWidth="1"/>
    <x:col min="8" max="8" width="48" hidden="0" customWidth="1"/>
  </x:cols>
  <x:sheetData>
    <x:row r="1">
      <x:c r="A1" s="1" t="str">
        <x:v>Structural ensemble and world pairing</x:v>
      </x:c>
    </x:row>
    <x:row r="2">
      <x:c r="A2" s="2" t="str">
        <x:v>Nested candidates are chosen from input diagnostics before architecture access</x:v>
      </x:c>
    </x:row>
    <x:row r="3">
      <x:c r="A3" s="3"/>
      <x:c r="B3" s="3"/>
      <x:c r="C3" s="3"/>
      <x:c r="D3" s="3"/>
      <x:c r="E3" s="3"/>
      <x:c r="F3" s="3"/>
      <x:c r="G3" s="3"/>
      <x:c r="H3" s="3"/>
    </x:row>
    <x:row r="5" ht="28" customHeight="1">
      <x:c r="A5" s="13" t="str">
        <x:v>Constant</x:v>
      </x:c>
      <x:c r="B5" s="13" t="str">
        <x:v>Value</x:v>
      </x:c>
      <x:c r="C5" s="13" t="str">
        <x:v>Meaning</x:v>
      </x:c>
    </x:row>
    <x:row r="6" ht="30" customHeight="1">
      <x:c r="A6" s="17" t="str">
        <x:v>pairing_step</x:v>
      </x:c>
      <x:c r="B6" s="17" t="n">
        <x:v>73</x:v>
      </x:c>
      <x:c r="C6" s="17" t="str">
        <x:v>coprime to 125, 250, 500 and 1,000</x:v>
      </x:c>
    </x:row>
    <x:row r="7" ht="30" customHeight="1">
      <x:c r="A7" s="18" t="str">
        <x:v>pairing_offset</x:v>
      </x:c>
      <x:c r="B7" s="18" t="n">
        <x:v>19</x:v>
      </x:c>
      <x:c r="C7" s="18" t="str">
        <x:v>registered fixed offset</x:v>
      </x:c>
    </x:row>
    <x:row r="8" ht="30" customHeight="1">
      <x:c r="A8" s="18" t="str">
        <x:v>world_count</x:v>
      </x:c>
      <x:c r="B8" s="18" t="n">
        <x:v>1000</x:v>
      </x:c>
      <x:c r="C8" s="18" t="str">
        <x:v>existing global campaign replicates</x:v>
      </x:c>
    </x:row>
    <x:row r="9" ht="30" customHeight="1">
      <x:c r="A9" s="18" t="str">
        <x:v>member_rule</x:v>
      </x:c>
      <x:c r="B9" s="18" t="str">
        <x:v>1 + MOD(73 × (replicate − 1) + 19, K)</x:v>
      </x:c>
      <x:c r="C9" s="18" t="str">
        <x:v>same metropolitan member across all 12 catchments</x:v>
      </x:c>
    </x:row>
    <x:row r="11" ht="28" customHeight="1">
      <x:c r="A11" s="13" t="str">
        <x:v>K</x:v>
      </x:c>
      <x:c r="B11" s="13" t="str">
        <x:v>Person rows</x:v>
      </x:c>
      <x:c r="C11" s="13" t="str">
        <x:v>Household rows</x:v>
      </x:c>
      <x:c r="D11" s="13" t="str">
        <x:v>Worlds/member</x:v>
      </x:c>
      <x:c r="E11" s="13" t="str">
        <x:v>Divisibility</x:v>
      </x:c>
      <x:c r="F11" s="13" t="str">
        <x:v>Use of member 1</x:v>
      </x:c>
      <x:c r="G11" s="13" t="str">
        <x:v>Use of member K</x:v>
      </x:c>
      <x:c r="H11" s="13" t="str">
        <x:v>Acceptance role</x:v>
      </x:c>
    </x:row>
    <x:row r="12" ht="34" customHeight="1">
      <x:c r="A12" s="23" t="n">
        <x:v>125</x:v>
      </x:c>
      <x:c r="B12" s="23" t="n">
        <x:f>'01 Registration'!$B$13*A12</x:f>
        <x:v>50415000</x:v>
      </x:c>
      <x:c r="C12" s="23" t="n">
        <x:f>'01 Registration'!$B$15*A12</x:f>
        <x:v>21334750</x:v>
      </x:c>
      <x:c r="D12" s="23" t="n">
        <x:f>$B$8/A12</x:f>
        <x:v>8</x:v>
      </x:c>
      <x:c r="E12" s="17" t="str">
        <x:f>IF(MOD($B$8,A12)=0,"PASS","FAIL")</x:f>
        <x:v>PASS</x:v>
      </x:c>
      <x:c r="F12" s="17" t="n">
        <x:f>COUNTIF(B$26:B$1025,1)</x:f>
        <x:v>8</x:v>
      </x:c>
      <x:c r="G12" s="17" t="n">
        <x:f>COUNTIF(B$26:B$1025,A12)</x:f>
        <x:v>8</x:v>
      </x:c>
      <x:c r="H12" s="17" t="str">
        <x:v>pilot convergence reference</x:v>
      </x:c>
    </x:row>
    <x:row r="13" ht="34" customHeight="1">
      <x:c r="A13" s="22" t="n">
        <x:v>250</x:v>
      </x:c>
      <x:c r="B13" s="22" t="n">
        <x:f>'01 Registration'!$B$13*A13</x:f>
        <x:v>100830000</x:v>
      </x:c>
      <x:c r="C13" s="22" t="n">
        <x:f>'01 Registration'!$B$15*A13</x:f>
        <x:v>42669500</x:v>
      </x:c>
      <x:c r="D13" s="22" t="n">
        <x:f>$B$8/A13</x:f>
        <x:v>4</x:v>
      </x:c>
      <x:c r="E13" s="18" t="str">
        <x:f>IF(MOD($B$8,A13)=0,"PASS","FAIL")</x:f>
        <x:v>PASS</x:v>
      </x:c>
      <x:c r="F13" s="18" t="n">
        <x:f>COUNTIF(C$26:C$1025,1)</x:f>
        <x:v>4</x:v>
      </x:c>
      <x:c r="G13" s="18" t="n">
        <x:f>COUNTIF(C$26:C$1025,A13)</x:f>
        <x:v>4</x:v>
      </x:c>
      <x:c r="H13" s="18" t="str">
        <x:v>primary candidate</x:v>
      </x:c>
    </x:row>
    <x:row r="14" ht="34" customHeight="1">
      <x:c r="A14" s="22" t="n">
        <x:v>500</x:v>
      </x:c>
      <x:c r="B14" s="22" t="n">
        <x:f>'01 Registration'!$B$13*A14</x:f>
        <x:v>201660000</x:v>
      </x:c>
      <x:c r="C14" s="22" t="n">
        <x:f>'01 Registration'!$B$15*A14</x:f>
        <x:v>85339000</x:v>
      </x:c>
      <x:c r="D14" s="22" t="n">
        <x:f>$B$8/A14</x:f>
        <x:v>2</x:v>
      </x:c>
      <x:c r="E14" s="18" t="str">
        <x:f>IF(MOD($B$8,A14)=0,"PASS","FAIL")</x:f>
        <x:v>PASS</x:v>
      </x:c>
      <x:c r="F14" s="18" t="n">
        <x:f>COUNTIF(D$26:D$1025,1)</x:f>
        <x:v>2</x:v>
      </x:c>
      <x:c r="G14" s="18" t="n">
        <x:f>COUNTIF(D$26:D$1025,A14)</x:f>
        <x:v>2</x:v>
      </x:c>
      <x:c r="H14" s="18" t="str">
        <x:v>first escalation</x:v>
      </x:c>
    </x:row>
    <x:row r="15" ht="34" customHeight="1">
      <x:c r="A15" s="22" t="n">
        <x:v>1000</x:v>
      </x:c>
      <x:c r="B15" s="22" t="n">
        <x:f>'01 Registration'!$B$13*A15</x:f>
        <x:v>403320000</x:v>
      </x:c>
      <x:c r="C15" s="22" t="n">
        <x:f>'01 Registration'!$B$15*A15</x:f>
        <x:v>170678000</x:v>
      </x:c>
      <x:c r="D15" s="22" t="n">
        <x:f>$B$8/A15</x:f>
        <x:v>1</x:v>
      </x:c>
      <x:c r="E15" s="18" t="str">
        <x:f>IF(MOD($B$8,A15)=0,"PASS","FAIL")</x:f>
        <x:v>PASS</x:v>
      </x:c>
      <x:c r="F15" s="18" t="n">
        <x:f>COUNTIF(E$26:E$1025,1)</x:f>
        <x:v>1</x:v>
      </x:c>
      <x:c r="G15" s="18" t="n">
        <x:f>COUNTIF(E$26:E$1025,A15)</x:f>
        <x:v>1</x:v>
      </x:c>
      <x:c r="H15" s="18" t="str">
        <x:v>final escalation; failure stops</x:v>
      </x:c>
    </x:row>
    <x:row r="18">
      <x:c r="A18" s="6" t="str">
        <x:v>Candidate pairing commitments</x:v>
      </x:c>
      <x:c r="B18" s="7"/>
      <x:c r="C18" s="7"/>
      <x:c r="D18" s="7"/>
      <x:c r="E18" s="7"/>
      <x:c r="F18" s="7"/>
      <x:c r="G18" s="7"/>
      <x:c r="H18" s="8"/>
    </x:row>
    <x:row r="19" ht="28" customHeight="1">
      <x:c r="A19" s="13" t="str">
        <x:v>K</x:v>
      </x:c>
      <x:c r="B19" s="13" t="str">
        <x:v>Pairing SHA-256</x:v>
      </x:c>
      <x:c r="C19" s="13" t="str">
        <x:v>Expected worlds/member</x:v>
      </x:c>
      <x:c r="D19" s="13" t="str">
        <x:v>Status</x:v>
      </x:c>
    </x:row>
    <x:row r="20" ht="54" customHeight="1">
      <x:c r="A20" s="17" t="n">
        <x:v>125</x:v>
      </x:c>
      <x:c r="B20" s="17" t="str">
        <x:v>198b05fa66028d19557d71eb97bdf5f2c71fc1bdcdda4e2bb9cdfcabe2cc8c76</x:v>
      </x:c>
      <x:c r="C20" s="17" t="n">
        <x:v>8</x:v>
      </x:c>
      <x:c r="D20" s="17" t="str">
        <x:v>identity map only; no outcomes</x:v>
      </x:c>
    </x:row>
    <x:row r="21" ht="54" customHeight="1">
      <x:c r="A21" s="18" t="n">
        <x:v>250</x:v>
      </x:c>
      <x:c r="B21" s="18" t="str">
        <x:v>efef5b9731e9755096f949bd7f4d462ac4dc1dabcd8c66a12aeaf06d568dd93c</x:v>
      </x:c>
      <x:c r="C21" s="18" t="n">
        <x:v>4</x:v>
      </x:c>
      <x:c r="D21" s="18" t="str">
        <x:v>identity map only; no outcomes</x:v>
      </x:c>
    </x:row>
    <x:row r="22" ht="54" customHeight="1">
      <x:c r="A22" s="18" t="n">
        <x:v>500</x:v>
      </x:c>
      <x:c r="B22" s="18" t="str">
        <x:v>79d6ca2a48e3c573501468986f03eec8d2a449018de6618514b5ab216361b574</x:v>
      </x:c>
      <x:c r="C22" s="18" t="n">
        <x:v>2</x:v>
      </x:c>
      <x:c r="D22" s="18" t="str">
        <x:v>identity map only; no outcomes</x:v>
      </x:c>
    </x:row>
    <x:row r="23" ht="54" customHeight="1">
      <x:c r="A23" s="18" t="n">
        <x:v>1000</x:v>
      </x:c>
      <x:c r="B23" s="18" t="str">
        <x:v>04e5e6f0740578bd3aa9b30692a37a9a6b65b58787df72953e3235b59152a63b</x:v>
      </x:c>
      <x:c r="C23" s="18" t="n">
        <x:v>1</x:v>
      </x:c>
      <x:c r="D23" s="18" t="str">
        <x:v>identity map only; no outcomes</x:v>
      </x:c>
    </x:row>
    <x:row r="25" ht="28" customHeight="1">
      <x:c r="A25" s="13" t="str">
        <x:v>Global replicate</x:v>
      </x:c>
      <x:c r="B25" s="13" t="str">
        <x:v>K=125 member</x:v>
      </x:c>
      <x:c r="C25" s="13" t="str">
        <x:v>K=250 member</x:v>
      </x:c>
      <x:c r="D25" s="13" t="str">
        <x:v>K=500 member</x:v>
      </x:c>
      <x:c r="E25" s="13" t="str">
        <x:v>K=1,000 member</x:v>
      </x:c>
      <x:c r="F25" s="13" t="str">
        <x:v>Architecture result</x:v>
      </x:c>
      <x:c r="G25" s="13" t="str">
        <x:v>Campaign result</x:v>
      </x:c>
      <x:c r="H25" s="13" t="str">
        <x:v>Note</x:v>
      </x:c>
    </x:row>
    <x:row r="26" ht="22" customHeight="1">
      <x:c r="A26" s="23" t="n">
        <x:v>1</x:v>
      </x:c>
      <x:c r="B26" s="23" t="n">
        <x:f>MOD($B$6*(A26-1)+$B$7,$A$12)+1</x:f>
        <x:v>20</x:v>
      </x:c>
      <x:c r="C26" s="23" t="n">
        <x:f>MOD($B$6*(A26-1)+$B$7,$A$13)+1</x:f>
        <x:v>20</x:v>
      </x:c>
      <x:c r="D26" s="23" t="n">
        <x:f>MOD($B$6*(A26-1)+$B$7,$A$14)+1</x:f>
        <x:v>20</x:v>
      </x:c>
      <x:c r="E26" s="23" t="n">
        <x:f>MOD($B$6*(A26-1)+$B$7,$A$15)+1</x:f>
        <x:v>20</x:v>
      </x:c>
      <x:c r="F26" s="17"/>
      <x:c r="G26" s="17"/>
      <x:c r="H26" s="17" t="str">
        <x:v>pairing identity only</x:v>
      </x:c>
    </x:row>
    <x:row r="27" ht="22" customHeight="1">
      <x:c r="A27" s="22" t="n">
        <x:v>2</x:v>
      </x:c>
      <x:c r="B27" s="22" t="n">
        <x:f>MOD($B$6*(A27-1)+$B$7,$A$12)+1</x:f>
        <x:v>93</x:v>
      </x:c>
      <x:c r="C27" s="22" t="n">
        <x:f>MOD($B$6*(A27-1)+$B$7,$A$13)+1</x:f>
        <x:v>93</x:v>
      </x:c>
      <x:c r="D27" s="22" t="n">
        <x:f>MOD($B$6*(A27-1)+$B$7,$A$14)+1</x:f>
        <x:v>93</x:v>
      </x:c>
      <x:c r="E27" s="22" t="n">
        <x:f>MOD($B$6*(A27-1)+$B$7,$A$15)+1</x:f>
        <x:v>93</x:v>
      </x:c>
      <x:c r="F27" s="18"/>
      <x:c r="G27" s="18"/>
      <x:c r="H27" s="18" t="str">
        <x:v>pairing identity only</x:v>
      </x:c>
    </x:row>
    <x:row r="28" ht="22" customHeight="1">
      <x:c r="A28" s="22" t="n">
        <x:v>3</x:v>
      </x:c>
      <x:c r="B28" s="22" t="n">
        <x:f>MOD($B$6*(A28-1)+$B$7,$A$12)+1</x:f>
        <x:v>41</x:v>
      </x:c>
      <x:c r="C28" s="22" t="n">
        <x:f>MOD($B$6*(A28-1)+$B$7,$A$13)+1</x:f>
        <x:v>166</x:v>
      </x:c>
      <x:c r="D28" s="22" t="n">
        <x:f>MOD($B$6*(A28-1)+$B$7,$A$14)+1</x:f>
        <x:v>166</x:v>
      </x:c>
      <x:c r="E28" s="22" t="n">
        <x:f>MOD($B$6*(A28-1)+$B$7,$A$15)+1</x:f>
        <x:v>166</x:v>
      </x:c>
      <x:c r="F28" s="18"/>
      <x:c r="G28" s="18"/>
      <x:c r="H28" s="18" t="str">
        <x:v>pairing identity only</x:v>
      </x:c>
    </x:row>
    <x:row r="29" ht="22" customHeight="1">
      <x:c r="A29" s="22" t="n">
        <x:v>4</x:v>
      </x:c>
      <x:c r="B29" s="22" t="n">
        <x:f>MOD($B$6*(A29-1)+$B$7,$A$12)+1</x:f>
        <x:v>114</x:v>
      </x:c>
      <x:c r="C29" s="22" t="n">
        <x:f>MOD($B$6*(A29-1)+$B$7,$A$13)+1</x:f>
        <x:v>239</x:v>
      </x:c>
      <x:c r="D29" s="22" t="n">
        <x:f>MOD($B$6*(A29-1)+$B$7,$A$14)+1</x:f>
        <x:v>239</x:v>
      </x:c>
      <x:c r="E29" s="22" t="n">
        <x:f>MOD($B$6*(A29-1)+$B$7,$A$15)+1</x:f>
        <x:v>239</x:v>
      </x:c>
      <x:c r="F29" s="18"/>
      <x:c r="G29" s="18"/>
      <x:c r="H29" s="18" t="str">
        <x:v>pairing identity only</x:v>
      </x:c>
    </x:row>
    <x:row r="30" ht="22" customHeight="1">
      <x:c r="A30" s="22" t="n">
        <x:v>5</x:v>
      </x:c>
      <x:c r="B30" s="22" t="n">
        <x:f>MOD($B$6*(A30-1)+$B$7,$A$12)+1</x:f>
        <x:v>62</x:v>
      </x:c>
      <x:c r="C30" s="22" t="n">
        <x:f>MOD($B$6*(A30-1)+$B$7,$A$13)+1</x:f>
        <x:v>62</x:v>
      </x:c>
      <x:c r="D30" s="22" t="n">
        <x:f>MOD($B$6*(A30-1)+$B$7,$A$14)+1</x:f>
        <x:v>312</x:v>
      </x:c>
      <x:c r="E30" s="22" t="n">
        <x:f>MOD($B$6*(A30-1)+$B$7,$A$15)+1</x:f>
        <x:v>312</x:v>
      </x:c>
      <x:c r="F30" s="18"/>
      <x:c r="G30" s="18"/>
      <x:c r="H30" s="18" t="str">
        <x:v>pairing identity only</x:v>
      </x:c>
    </x:row>
    <x:row r="31" ht="22" customHeight="1">
      <x:c r="A31" s="22" t="n">
        <x:v>6</x:v>
      </x:c>
      <x:c r="B31" s="22" t="n">
        <x:f>MOD($B$6*(A31-1)+$B$7,$A$12)+1</x:f>
        <x:v>10</x:v>
      </x:c>
      <x:c r="C31" s="22" t="n">
        <x:f>MOD($B$6*(A31-1)+$B$7,$A$13)+1</x:f>
        <x:v>135</x:v>
      </x:c>
      <x:c r="D31" s="22" t="n">
        <x:f>MOD($B$6*(A31-1)+$B$7,$A$14)+1</x:f>
        <x:v>385</x:v>
      </x:c>
      <x:c r="E31" s="22" t="n">
        <x:f>MOD($B$6*(A31-1)+$B$7,$A$15)+1</x:f>
        <x:v>385</x:v>
      </x:c>
      <x:c r="F31" s="18"/>
      <x:c r="G31" s="18"/>
      <x:c r="H31" s="18" t="str">
        <x:v>pairing identity only</x:v>
      </x:c>
    </x:row>
    <x:row r="32" ht="22" customHeight="1">
      <x:c r="A32" s="22" t="n">
        <x:v>7</x:v>
      </x:c>
      <x:c r="B32" s="22" t="n">
        <x:f>MOD($B$6*(A32-1)+$B$7,$A$12)+1</x:f>
        <x:v>83</x:v>
      </x:c>
      <x:c r="C32" s="22" t="n">
        <x:f>MOD($B$6*(A32-1)+$B$7,$A$13)+1</x:f>
        <x:v>208</x:v>
      </x:c>
      <x:c r="D32" s="22" t="n">
        <x:f>MOD($B$6*(A32-1)+$B$7,$A$14)+1</x:f>
        <x:v>458</x:v>
      </x:c>
      <x:c r="E32" s="22" t="n">
        <x:f>MOD($B$6*(A32-1)+$B$7,$A$15)+1</x:f>
        <x:v>458</x:v>
      </x:c>
      <x:c r="F32" s="18"/>
      <x:c r="G32" s="18"/>
      <x:c r="H32" s="18" t="str">
        <x:v>pairing identity only</x:v>
      </x:c>
    </x:row>
    <x:row r="33" ht="22" customHeight="1">
      <x:c r="A33" s="22" t="n">
        <x:v>8</x:v>
      </x:c>
      <x:c r="B33" s="22" t="n">
        <x:f>MOD($B$6*(A33-1)+$B$7,$A$12)+1</x:f>
        <x:v>31</x:v>
      </x:c>
      <x:c r="C33" s="22" t="n">
        <x:f>MOD($B$6*(A33-1)+$B$7,$A$13)+1</x:f>
        <x:v>31</x:v>
      </x:c>
      <x:c r="D33" s="22" t="n">
        <x:f>MOD($B$6*(A33-1)+$B$7,$A$14)+1</x:f>
        <x:v>31</x:v>
      </x:c>
      <x:c r="E33" s="22" t="n">
        <x:f>MOD($B$6*(A33-1)+$B$7,$A$15)+1</x:f>
        <x:v>531</x:v>
      </x:c>
      <x:c r="F33" s="18"/>
      <x:c r="G33" s="18"/>
      <x:c r="H33" s="18" t="str">
        <x:v>pairing identity only</x:v>
      </x:c>
    </x:row>
    <x:row r="34" ht="22" customHeight="1">
      <x:c r="A34" s="22" t="n">
        <x:v>9</x:v>
      </x:c>
      <x:c r="B34" s="22" t="n">
        <x:f>MOD($B$6*(A34-1)+$B$7,$A$12)+1</x:f>
        <x:v>104</x:v>
      </x:c>
      <x:c r="C34" s="22" t="n">
        <x:f>MOD($B$6*(A34-1)+$B$7,$A$13)+1</x:f>
        <x:v>104</x:v>
      </x:c>
      <x:c r="D34" s="22" t="n">
        <x:f>MOD($B$6*(A34-1)+$B$7,$A$14)+1</x:f>
        <x:v>104</x:v>
      </x:c>
      <x:c r="E34" s="22" t="n">
        <x:f>MOD($B$6*(A34-1)+$B$7,$A$15)+1</x:f>
        <x:v>604</x:v>
      </x:c>
      <x:c r="F34" s="18"/>
      <x:c r="G34" s="18"/>
      <x:c r="H34" s="18" t="str">
        <x:v>pairing identity only</x:v>
      </x:c>
    </x:row>
    <x:row r="35" ht="22" customHeight="1">
      <x:c r="A35" s="22" t="n">
        <x:v>10</x:v>
      </x:c>
      <x:c r="B35" s="22" t="n">
        <x:f>MOD($B$6*(A35-1)+$B$7,$A$12)+1</x:f>
        <x:v>52</x:v>
      </x:c>
      <x:c r="C35" s="22" t="n">
        <x:f>MOD($B$6*(A35-1)+$B$7,$A$13)+1</x:f>
        <x:v>177</x:v>
      </x:c>
      <x:c r="D35" s="22" t="n">
        <x:f>MOD($B$6*(A35-1)+$B$7,$A$14)+1</x:f>
        <x:v>177</x:v>
      </x:c>
      <x:c r="E35" s="22" t="n">
        <x:f>MOD($B$6*(A35-1)+$B$7,$A$15)+1</x:f>
        <x:v>677</x:v>
      </x:c>
      <x:c r="F35" s="18"/>
      <x:c r="G35" s="18"/>
      <x:c r="H35" s="18" t="str">
        <x:v>pairing identity only</x:v>
      </x:c>
    </x:row>
    <x:row r="36" ht="22" customHeight="1">
      <x:c r="A36" s="22" t="n">
        <x:v>11</x:v>
      </x:c>
      <x:c r="B36" s="22" t="n">
        <x:f>MOD($B$6*(A36-1)+$B$7,$A$12)+1</x:f>
        <x:v>125</x:v>
      </x:c>
      <x:c r="C36" s="22" t="n">
        <x:f>MOD($B$6*(A36-1)+$B$7,$A$13)+1</x:f>
        <x:v>250</x:v>
      </x:c>
      <x:c r="D36" s="22" t="n">
        <x:f>MOD($B$6*(A36-1)+$B$7,$A$14)+1</x:f>
        <x:v>250</x:v>
      </x:c>
      <x:c r="E36" s="22" t="n">
        <x:f>MOD($B$6*(A36-1)+$B$7,$A$15)+1</x:f>
        <x:v>750</x:v>
      </x:c>
      <x:c r="F36" s="18"/>
      <x:c r="G36" s="18"/>
      <x:c r="H36" s="18" t="str">
        <x:v>pairing identity only</x:v>
      </x:c>
    </x:row>
    <x:row r="37" ht="22" customHeight="1">
      <x:c r="A37" s="22" t="n">
        <x:v>12</x:v>
      </x:c>
      <x:c r="B37" s="22" t="n">
        <x:f>MOD($B$6*(A37-1)+$B$7,$A$12)+1</x:f>
        <x:v>73</x:v>
      </x:c>
      <x:c r="C37" s="22" t="n">
        <x:f>MOD($B$6*(A37-1)+$B$7,$A$13)+1</x:f>
        <x:v>73</x:v>
      </x:c>
      <x:c r="D37" s="22" t="n">
        <x:f>MOD($B$6*(A37-1)+$B$7,$A$14)+1</x:f>
        <x:v>323</x:v>
      </x:c>
      <x:c r="E37" s="22" t="n">
        <x:f>MOD($B$6*(A37-1)+$B$7,$A$15)+1</x:f>
        <x:v>823</x:v>
      </x:c>
      <x:c r="F37" s="18"/>
      <x:c r="G37" s="18"/>
      <x:c r="H37" s="18" t="str">
        <x:v>pairing identity only</x:v>
      </x:c>
    </x:row>
    <x:row r="38" ht="22" customHeight="1">
      <x:c r="A38" s="22" t="n">
        <x:v>13</x:v>
      </x:c>
      <x:c r="B38" s="22" t="n">
        <x:f>MOD($B$6*(A38-1)+$B$7,$A$12)+1</x:f>
        <x:v>21</x:v>
      </x:c>
      <x:c r="C38" s="22" t="n">
        <x:f>MOD($B$6*(A38-1)+$B$7,$A$13)+1</x:f>
        <x:v>146</x:v>
      </x:c>
      <x:c r="D38" s="22" t="n">
        <x:f>MOD($B$6*(A38-1)+$B$7,$A$14)+1</x:f>
        <x:v>396</x:v>
      </x:c>
      <x:c r="E38" s="22" t="n">
        <x:f>MOD($B$6*(A38-1)+$B$7,$A$15)+1</x:f>
        <x:v>896</x:v>
      </x:c>
      <x:c r="F38" s="18"/>
      <x:c r="G38" s="18"/>
      <x:c r="H38" s="18" t="str">
        <x:v>pairing identity only</x:v>
      </x:c>
    </x:row>
    <x:row r="39" ht="22" customHeight="1">
      <x:c r="A39" s="22" t="n">
        <x:v>14</x:v>
      </x:c>
      <x:c r="B39" s="22" t="n">
        <x:f>MOD($B$6*(A39-1)+$B$7,$A$12)+1</x:f>
        <x:v>94</x:v>
      </x:c>
      <x:c r="C39" s="22" t="n">
        <x:f>MOD($B$6*(A39-1)+$B$7,$A$13)+1</x:f>
        <x:v>219</x:v>
      </x:c>
      <x:c r="D39" s="22" t="n">
        <x:f>MOD($B$6*(A39-1)+$B$7,$A$14)+1</x:f>
        <x:v>469</x:v>
      </x:c>
      <x:c r="E39" s="22" t="n">
        <x:f>MOD($B$6*(A39-1)+$B$7,$A$15)+1</x:f>
        <x:v>969</x:v>
      </x:c>
      <x:c r="F39" s="18"/>
      <x:c r="G39" s="18"/>
      <x:c r="H39" s="18" t="str">
        <x:v>pairing identity only</x:v>
      </x:c>
    </x:row>
    <x:row r="40" ht="22" customHeight="1">
      <x:c r="A40" s="22" t="n">
        <x:v>15</x:v>
      </x:c>
      <x:c r="B40" s="22" t="n">
        <x:f>MOD($B$6*(A40-1)+$B$7,$A$12)+1</x:f>
        <x:v>42</x:v>
      </x:c>
      <x:c r="C40" s="22" t="n">
        <x:f>MOD($B$6*(A40-1)+$B$7,$A$13)+1</x:f>
        <x:v>42</x:v>
      </x:c>
      <x:c r="D40" s="22" t="n">
        <x:f>MOD($B$6*(A40-1)+$B$7,$A$14)+1</x:f>
        <x:v>42</x:v>
      </x:c>
      <x:c r="E40" s="22" t="n">
        <x:f>MOD($B$6*(A40-1)+$B$7,$A$15)+1</x:f>
        <x:v>42</x:v>
      </x:c>
      <x:c r="F40" s="18"/>
      <x:c r="G40" s="18"/>
      <x:c r="H40" s="18" t="str">
        <x:v>pairing identity only</x:v>
      </x:c>
    </x:row>
    <x:row r="41" ht="22" customHeight="1">
      <x:c r="A41" s="22" t="n">
        <x:v>16</x:v>
      </x:c>
      <x:c r="B41" s="22" t="n">
        <x:f>MOD($B$6*(A41-1)+$B$7,$A$12)+1</x:f>
        <x:v>115</x:v>
      </x:c>
      <x:c r="C41" s="22" t="n">
        <x:f>MOD($B$6*(A41-1)+$B$7,$A$13)+1</x:f>
        <x:v>115</x:v>
      </x:c>
      <x:c r="D41" s="22" t="n">
        <x:f>MOD($B$6*(A41-1)+$B$7,$A$14)+1</x:f>
        <x:v>115</x:v>
      </x:c>
      <x:c r="E41" s="22" t="n">
        <x:f>MOD($B$6*(A41-1)+$B$7,$A$15)+1</x:f>
        <x:v>115</x:v>
      </x:c>
      <x:c r="F41" s="18"/>
      <x:c r="G41" s="18"/>
      <x:c r="H41" s="18" t="str">
        <x:v>pairing identity only</x:v>
      </x:c>
    </x:row>
    <x:row r="42" ht="22" customHeight="1">
      <x:c r="A42" s="22" t="n">
        <x:v>17</x:v>
      </x:c>
      <x:c r="B42" s="22" t="n">
        <x:f>MOD($B$6*(A42-1)+$B$7,$A$12)+1</x:f>
        <x:v>63</x:v>
      </x:c>
      <x:c r="C42" s="22" t="n">
        <x:f>MOD($B$6*(A42-1)+$B$7,$A$13)+1</x:f>
        <x:v>188</x:v>
      </x:c>
      <x:c r="D42" s="22" t="n">
        <x:f>MOD($B$6*(A42-1)+$B$7,$A$14)+1</x:f>
        <x:v>188</x:v>
      </x:c>
      <x:c r="E42" s="22" t="n">
        <x:f>MOD($B$6*(A42-1)+$B$7,$A$15)+1</x:f>
        <x:v>188</x:v>
      </x:c>
      <x:c r="F42" s="18"/>
      <x:c r="G42" s="18"/>
      <x:c r="H42" s="18" t="str">
        <x:v>pairing identity only</x:v>
      </x:c>
    </x:row>
    <x:row r="43" ht="22" customHeight="1">
      <x:c r="A43" s="22" t="n">
        <x:v>18</x:v>
      </x:c>
      <x:c r="B43" s="22" t="n">
        <x:f>MOD($B$6*(A43-1)+$B$7,$A$12)+1</x:f>
        <x:v>11</x:v>
      </x:c>
      <x:c r="C43" s="22" t="n">
        <x:f>MOD($B$6*(A43-1)+$B$7,$A$13)+1</x:f>
        <x:v>11</x:v>
      </x:c>
      <x:c r="D43" s="22" t="n">
        <x:f>MOD($B$6*(A43-1)+$B$7,$A$14)+1</x:f>
        <x:v>261</x:v>
      </x:c>
      <x:c r="E43" s="22" t="n">
        <x:f>MOD($B$6*(A43-1)+$B$7,$A$15)+1</x:f>
        <x:v>261</x:v>
      </x:c>
      <x:c r="F43" s="18"/>
      <x:c r="G43" s="18"/>
      <x:c r="H43" s="18" t="str">
        <x:v>pairing identity only</x:v>
      </x:c>
    </x:row>
    <x:row r="44" ht="22" customHeight="1">
      <x:c r="A44" s="22" t="n">
        <x:v>19</x:v>
      </x:c>
      <x:c r="B44" s="22" t="n">
        <x:f>MOD($B$6*(A44-1)+$B$7,$A$12)+1</x:f>
        <x:v>84</x:v>
      </x:c>
      <x:c r="C44" s="22" t="n">
        <x:f>MOD($B$6*(A44-1)+$B$7,$A$13)+1</x:f>
        <x:v>84</x:v>
      </x:c>
      <x:c r="D44" s="22" t="n">
        <x:f>MOD($B$6*(A44-1)+$B$7,$A$14)+1</x:f>
        <x:v>334</x:v>
      </x:c>
      <x:c r="E44" s="22" t="n">
        <x:f>MOD($B$6*(A44-1)+$B$7,$A$15)+1</x:f>
        <x:v>334</x:v>
      </x:c>
      <x:c r="F44" s="18"/>
      <x:c r="G44" s="18"/>
      <x:c r="H44" s="18" t="str">
        <x:v>pairing identity only</x:v>
      </x:c>
    </x:row>
    <x:row r="45" ht="22" customHeight="1">
      <x:c r="A45" s="22" t="n">
        <x:v>20</x:v>
      </x:c>
      <x:c r="B45" s="22" t="n">
        <x:f>MOD($B$6*(A45-1)+$B$7,$A$12)+1</x:f>
        <x:v>32</x:v>
      </x:c>
      <x:c r="C45" s="22" t="n">
        <x:f>MOD($B$6*(A45-1)+$B$7,$A$13)+1</x:f>
        <x:v>157</x:v>
      </x:c>
      <x:c r="D45" s="22" t="n">
        <x:f>MOD($B$6*(A45-1)+$B$7,$A$14)+1</x:f>
        <x:v>407</x:v>
      </x:c>
      <x:c r="E45" s="22" t="n">
        <x:f>MOD($B$6*(A45-1)+$B$7,$A$15)+1</x:f>
        <x:v>407</x:v>
      </x:c>
      <x:c r="F45" s="18"/>
      <x:c r="G45" s="18"/>
      <x:c r="H45" s="18" t="str">
        <x:v>pairing identity only</x:v>
      </x:c>
    </x:row>
    <x:row r="46" ht="22" customHeight="1">
      <x:c r="A46" s="22" t="n">
        <x:v>21</x:v>
      </x:c>
      <x:c r="B46" s="22" t="n">
        <x:f>MOD($B$6*(A46-1)+$B$7,$A$12)+1</x:f>
        <x:v>105</x:v>
      </x:c>
      <x:c r="C46" s="22" t="n">
        <x:f>MOD($B$6*(A46-1)+$B$7,$A$13)+1</x:f>
        <x:v>230</x:v>
      </x:c>
      <x:c r="D46" s="22" t="n">
        <x:f>MOD($B$6*(A46-1)+$B$7,$A$14)+1</x:f>
        <x:v>480</x:v>
      </x:c>
      <x:c r="E46" s="22" t="n">
        <x:f>MOD($B$6*(A46-1)+$B$7,$A$15)+1</x:f>
        <x:v>480</x:v>
      </x:c>
      <x:c r="F46" s="18"/>
      <x:c r="G46" s="18"/>
      <x:c r="H46" s="18" t="str">
        <x:v>pairing identity only</x:v>
      </x:c>
    </x:row>
    <x:row r="47" ht="22" customHeight="1">
      <x:c r="A47" s="22" t="n">
        <x:v>22</x:v>
      </x:c>
      <x:c r="B47" s="22" t="n">
        <x:f>MOD($B$6*(A47-1)+$B$7,$A$12)+1</x:f>
        <x:v>53</x:v>
      </x:c>
      <x:c r="C47" s="22" t="n">
        <x:f>MOD($B$6*(A47-1)+$B$7,$A$13)+1</x:f>
        <x:v>53</x:v>
      </x:c>
      <x:c r="D47" s="22" t="n">
        <x:f>MOD($B$6*(A47-1)+$B$7,$A$14)+1</x:f>
        <x:v>53</x:v>
      </x:c>
      <x:c r="E47" s="22" t="n">
        <x:f>MOD($B$6*(A47-1)+$B$7,$A$15)+1</x:f>
        <x:v>553</x:v>
      </x:c>
      <x:c r="F47" s="18"/>
      <x:c r="G47" s="18"/>
      <x:c r="H47" s="18" t="str">
        <x:v>pairing identity only</x:v>
      </x:c>
    </x:row>
    <x:row r="48" ht="22" customHeight="1">
      <x:c r="A48" s="22" t="n">
        <x:v>23</x:v>
      </x:c>
      <x:c r="B48" s="22" t="n">
        <x:f>MOD($B$6*(A48-1)+$B$7,$A$12)+1</x:f>
        <x:v>1</x:v>
      </x:c>
      <x:c r="C48" s="22" t="n">
        <x:f>MOD($B$6*(A48-1)+$B$7,$A$13)+1</x:f>
        <x:v>126</x:v>
      </x:c>
      <x:c r="D48" s="22" t="n">
        <x:f>MOD($B$6*(A48-1)+$B$7,$A$14)+1</x:f>
        <x:v>126</x:v>
      </x:c>
      <x:c r="E48" s="22" t="n">
        <x:f>MOD($B$6*(A48-1)+$B$7,$A$15)+1</x:f>
        <x:v>626</x:v>
      </x:c>
      <x:c r="F48" s="18"/>
      <x:c r="G48" s="18"/>
      <x:c r="H48" s="18" t="str">
        <x:v>pairing identity only</x:v>
      </x:c>
    </x:row>
    <x:row r="49" ht="22" customHeight="1">
      <x:c r="A49" s="22" t="n">
        <x:v>24</x:v>
      </x:c>
      <x:c r="B49" s="22" t="n">
        <x:f>MOD($B$6*(A49-1)+$B$7,$A$12)+1</x:f>
        <x:v>74</x:v>
      </x:c>
      <x:c r="C49" s="22" t="n">
        <x:f>MOD($B$6*(A49-1)+$B$7,$A$13)+1</x:f>
        <x:v>199</x:v>
      </x:c>
      <x:c r="D49" s="22" t="n">
        <x:f>MOD($B$6*(A49-1)+$B$7,$A$14)+1</x:f>
        <x:v>199</x:v>
      </x:c>
      <x:c r="E49" s="22" t="n">
        <x:f>MOD($B$6*(A49-1)+$B$7,$A$15)+1</x:f>
        <x:v>699</x:v>
      </x:c>
      <x:c r="F49" s="18"/>
      <x:c r="G49" s="18"/>
      <x:c r="H49" s="18" t="str">
        <x:v>pairing identity only</x:v>
      </x:c>
    </x:row>
    <x:row r="50" ht="22" customHeight="1">
      <x:c r="A50" s="22" t="n">
        <x:v>25</x:v>
      </x:c>
      <x:c r="B50" s="22" t="n">
        <x:f>MOD($B$6*(A50-1)+$B$7,$A$12)+1</x:f>
        <x:v>22</x:v>
      </x:c>
      <x:c r="C50" s="22" t="n">
        <x:f>MOD($B$6*(A50-1)+$B$7,$A$13)+1</x:f>
        <x:v>22</x:v>
      </x:c>
      <x:c r="D50" s="22" t="n">
        <x:f>MOD($B$6*(A50-1)+$B$7,$A$14)+1</x:f>
        <x:v>272</x:v>
      </x:c>
      <x:c r="E50" s="22" t="n">
        <x:f>MOD($B$6*(A50-1)+$B$7,$A$15)+1</x:f>
        <x:v>772</x:v>
      </x:c>
      <x:c r="F50" s="18"/>
      <x:c r="G50" s="18"/>
      <x:c r="H50" s="18" t="str">
        <x:v>pairing identity only</x:v>
      </x:c>
    </x:row>
    <x:row r="51" ht="22" customHeight="1">
      <x:c r="A51" s="22" t="n">
        <x:v>26</x:v>
      </x:c>
      <x:c r="B51" s="22" t="n">
        <x:f>MOD($B$6*(A51-1)+$B$7,$A$12)+1</x:f>
        <x:v>95</x:v>
      </x:c>
      <x:c r="C51" s="22" t="n">
        <x:f>MOD($B$6*(A51-1)+$B$7,$A$13)+1</x:f>
        <x:v>95</x:v>
      </x:c>
      <x:c r="D51" s="22" t="n">
        <x:f>MOD($B$6*(A51-1)+$B$7,$A$14)+1</x:f>
        <x:v>345</x:v>
      </x:c>
      <x:c r="E51" s="22" t="n">
        <x:f>MOD($B$6*(A51-1)+$B$7,$A$15)+1</x:f>
        <x:v>845</x:v>
      </x:c>
      <x:c r="F51" s="18"/>
      <x:c r="G51" s="18"/>
      <x:c r="H51" s="18" t="str">
        <x:v>pairing identity only</x:v>
      </x:c>
    </x:row>
    <x:row r="52" ht="22" customHeight="1">
      <x:c r="A52" s="22" t="n">
        <x:v>27</x:v>
      </x:c>
      <x:c r="B52" s="22" t="n">
        <x:f>MOD($B$6*(A52-1)+$B$7,$A$12)+1</x:f>
        <x:v>43</x:v>
      </x:c>
      <x:c r="C52" s="22" t="n">
        <x:f>MOD($B$6*(A52-1)+$B$7,$A$13)+1</x:f>
        <x:v>168</x:v>
      </x:c>
      <x:c r="D52" s="22" t="n">
        <x:f>MOD($B$6*(A52-1)+$B$7,$A$14)+1</x:f>
        <x:v>418</x:v>
      </x:c>
      <x:c r="E52" s="22" t="n">
        <x:f>MOD($B$6*(A52-1)+$B$7,$A$15)+1</x:f>
        <x:v>918</x:v>
      </x:c>
      <x:c r="F52" s="18"/>
      <x:c r="G52" s="18"/>
      <x:c r="H52" s="18" t="str">
        <x:v>pairing identity only</x:v>
      </x:c>
    </x:row>
    <x:row r="53" ht="22" customHeight="1">
      <x:c r="A53" s="22" t="n">
        <x:v>28</x:v>
      </x:c>
      <x:c r="B53" s="22" t="n">
        <x:f>MOD($B$6*(A53-1)+$B$7,$A$12)+1</x:f>
        <x:v>116</x:v>
      </x:c>
      <x:c r="C53" s="22" t="n">
        <x:f>MOD($B$6*(A53-1)+$B$7,$A$13)+1</x:f>
        <x:v>241</x:v>
      </x:c>
      <x:c r="D53" s="22" t="n">
        <x:f>MOD($B$6*(A53-1)+$B$7,$A$14)+1</x:f>
        <x:v>491</x:v>
      </x:c>
      <x:c r="E53" s="22" t="n">
        <x:f>MOD($B$6*(A53-1)+$B$7,$A$15)+1</x:f>
        <x:v>991</x:v>
      </x:c>
      <x:c r="F53" s="18"/>
      <x:c r="G53" s="18"/>
      <x:c r="H53" s="18" t="str">
        <x:v>pairing identity only</x:v>
      </x:c>
    </x:row>
    <x:row r="54" ht="22" customHeight="1">
      <x:c r="A54" s="22" t="n">
        <x:v>29</x:v>
      </x:c>
      <x:c r="B54" s="22" t="n">
        <x:f>MOD($B$6*(A54-1)+$B$7,$A$12)+1</x:f>
        <x:v>64</x:v>
      </x:c>
      <x:c r="C54" s="22" t="n">
        <x:f>MOD($B$6*(A54-1)+$B$7,$A$13)+1</x:f>
        <x:v>64</x:v>
      </x:c>
      <x:c r="D54" s="22" t="n">
        <x:f>MOD($B$6*(A54-1)+$B$7,$A$14)+1</x:f>
        <x:v>64</x:v>
      </x:c>
      <x:c r="E54" s="22" t="n">
        <x:f>MOD($B$6*(A54-1)+$B$7,$A$15)+1</x:f>
        <x:v>64</x:v>
      </x:c>
      <x:c r="F54" s="18"/>
      <x:c r="G54" s="18"/>
      <x:c r="H54" s="18" t="str">
        <x:v>pairing identity only</x:v>
      </x:c>
    </x:row>
    <x:row r="55" ht="22" customHeight="1">
      <x:c r="A55" s="22" t="n">
        <x:v>30</x:v>
      </x:c>
      <x:c r="B55" s="22" t="n">
        <x:f>MOD($B$6*(A55-1)+$B$7,$A$12)+1</x:f>
        <x:v>12</x:v>
      </x:c>
      <x:c r="C55" s="22" t="n">
        <x:f>MOD($B$6*(A55-1)+$B$7,$A$13)+1</x:f>
        <x:v>137</x:v>
      </x:c>
      <x:c r="D55" s="22" t="n">
        <x:f>MOD($B$6*(A55-1)+$B$7,$A$14)+1</x:f>
        <x:v>137</x:v>
      </x:c>
      <x:c r="E55" s="22" t="n">
        <x:f>MOD($B$6*(A55-1)+$B$7,$A$15)+1</x:f>
        <x:v>137</x:v>
      </x:c>
      <x:c r="F55" s="18"/>
      <x:c r="G55" s="18"/>
      <x:c r="H55" s="18" t="str">
        <x:v>pairing identity only</x:v>
      </x:c>
    </x:row>
    <x:row r="56" ht="22" customHeight="1">
      <x:c r="A56" s="22" t="n">
        <x:v>31</x:v>
      </x:c>
      <x:c r="B56" s="22" t="n">
        <x:f>MOD($B$6*(A56-1)+$B$7,$A$12)+1</x:f>
        <x:v>85</x:v>
      </x:c>
      <x:c r="C56" s="22" t="n">
        <x:f>MOD($B$6*(A56-1)+$B$7,$A$13)+1</x:f>
        <x:v>210</x:v>
      </x:c>
      <x:c r="D56" s="22" t="n">
        <x:f>MOD($B$6*(A56-1)+$B$7,$A$14)+1</x:f>
        <x:v>210</x:v>
      </x:c>
      <x:c r="E56" s="22" t="n">
        <x:f>MOD($B$6*(A56-1)+$B$7,$A$15)+1</x:f>
        <x:v>210</x:v>
      </x:c>
      <x:c r="F56" s="18"/>
      <x:c r="G56" s="18"/>
      <x:c r="H56" s="18" t="str">
        <x:v>pairing identity only</x:v>
      </x:c>
    </x:row>
    <x:row r="57" ht="22" customHeight="1">
      <x:c r="A57" s="22" t="n">
        <x:v>32</x:v>
      </x:c>
      <x:c r="B57" s="22" t="n">
        <x:f>MOD($B$6*(A57-1)+$B$7,$A$12)+1</x:f>
        <x:v>33</x:v>
      </x:c>
      <x:c r="C57" s="22" t="n">
        <x:f>MOD($B$6*(A57-1)+$B$7,$A$13)+1</x:f>
        <x:v>33</x:v>
      </x:c>
      <x:c r="D57" s="22" t="n">
        <x:f>MOD($B$6*(A57-1)+$B$7,$A$14)+1</x:f>
        <x:v>283</x:v>
      </x:c>
      <x:c r="E57" s="22" t="n">
        <x:f>MOD($B$6*(A57-1)+$B$7,$A$15)+1</x:f>
        <x:v>283</x:v>
      </x:c>
      <x:c r="F57" s="18"/>
      <x:c r="G57" s="18"/>
      <x:c r="H57" s="18" t="str">
        <x:v>pairing identity only</x:v>
      </x:c>
    </x:row>
    <x:row r="58" ht="22" customHeight="1">
      <x:c r="A58" s="22" t="n">
        <x:v>33</x:v>
      </x:c>
      <x:c r="B58" s="22" t="n">
        <x:f>MOD($B$6*(A58-1)+$B$7,$A$12)+1</x:f>
        <x:v>106</x:v>
      </x:c>
      <x:c r="C58" s="22" t="n">
        <x:f>MOD($B$6*(A58-1)+$B$7,$A$13)+1</x:f>
        <x:v>106</x:v>
      </x:c>
      <x:c r="D58" s="22" t="n">
        <x:f>MOD($B$6*(A58-1)+$B$7,$A$14)+1</x:f>
        <x:v>356</x:v>
      </x:c>
      <x:c r="E58" s="22" t="n">
        <x:f>MOD($B$6*(A58-1)+$B$7,$A$15)+1</x:f>
        <x:v>356</x:v>
      </x:c>
      <x:c r="F58" s="18"/>
      <x:c r="G58" s="18"/>
      <x:c r="H58" s="18" t="str">
        <x:v>pairing identity only</x:v>
      </x:c>
    </x:row>
    <x:row r="59" ht="22" customHeight="1">
      <x:c r="A59" s="22" t="n">
        <x:v>34</x:v>
      </x:c>
      <x:c r="B59" s="22" t="n">
        <x:f>MOD($B$6*(A59-1)+$B$7,$A$12)+1</x:f>
        <x:v>54</x:v>
      </x:c>
      <x:c r="C59" s="22" t="n">
        <x:f>MOD($B$6*(A59-1)+$B$7,$A$13)+1</x:f>
        <x:v>179</x:v>
      </x:c>
      <x:c r="D59" s="22" t="n">
        <x:f>MOD($B$6*(A59-1)+$B$7,$A$14)+1</x:f>
        <x:v>429</x:v>
      </x:c>
      <x:c r="E59" s="22" t="n">
        <x:f>MOD($B$6*(A59-1)+$B$7,$A$15)+1</x:f>
        <x:v>429</x:v>
      </x:c>
      <x:c r="F59" s="18"/>
      <x:c r="G59" s="18"/>
      <x:c r="H59" s="18" t="str">
        <x:v>pairing identity only</x:v>
      </x:c>
    </x:row>
    <x:row r="60" ht="22" customHeight="1">
      <x:c r="A60" s="22" t="n">
        <x:v>35</x:v>
      </x:c>
      <x:c r="B60" s="22" t="n">
        <x:f>MOD($B$6*(A60-1)+$B$7,$A$12)+1</x:f>
        <x:v>2</x:v>
      </x:c>
      <x:c r="C60" s="22" t="n">
        <x:f>MOD($B$6*(A60-1)+$B$7,$A$13)+1</x:f>
        <x:v>2</x:v>
      </x:c>
      <x:c r="D60" s="22" t="n">
        <x:f>MOD($B$6*(A60-1)+$B$7,$A$14)+1</x:f>
        <x:v>2</x:v>
      </x:c>
      <x:c r="E60" s="22" t="n">
        <x:f>MOD($B$6*(A60-1)+$B$7,$A$15)+1</x:f>
        <x:v>502</x:v>
      </x:c>
      <x:c r="F60" s="18"/>
      <x:c r="G60" s="18"/>
      <x:c r="H60" s="18" t="str">
        <x:v>pairing identity only</x:v>
      </x:c>
    </x:row>
    <x:row r="61" ht="22" customHeight="1">
      <x:c r="A61" s="22" t="n">
        <x:v>36</x:v>
      </x:c>
      <x:c r="B61" s="22" t="n">
        <x:f>MOD($B$6*(A61-1)+$B$7,$A$12)+1</x:f>
        <x:v>75</x:v>
      </x:c>
      <x:c r="C61" s="22" t="n">
        <x:f>MOD($B$6*(A61-1)+$B$7,$A$13)+1</x:f>
        <x:v>75</x:v>
      </x:c>
      <x:c r="D61" s="22" t="n">
        <x:f>MOD($B$6*(A61-1)+$B$7,$A$14)+1</x:f>
        <x:v>75</x:v>
      </x:c>
      <x:c r="E61" s="22" t="n">
        <x:f>MOD($B$6*(A61-1)+$B$7,$A$15)+1</x:f>
        <x:v>575</x:v>
      </x:c>
      <x:c r="F61" s="18"/>
      <x:c r="G61" s="18"/>
      <x:c r="H61" s="18" t="str">
        <x:v>pairing identity only</x:v>
      </x:c>
    </x:row>
    <x:row r="62" ht="22" customHeight="1">
      <x:c r="A62" s="22" t="n">
        <x:v>37</x:v>
      </x:c>
      <x:c r="B62" s="22" t="n">
        <x:f>MOD($B$6*(A62-1)+$B$7,$A$12)+1</x:f>
        <x:v>23</x:v>
      </x:c>
      <x:c r="C62" s="22" t="n">
        <x:f>MOD($B$6*(A62-1)+$B$7,$A$13)+1</x:f>
        <x:v>148</x:v>
      </x:c>
      <x:c r="D62" s="22" t="n">
        <x:f>MOD($B$6*(A62-1)+$B$7,$A$14)+1</x:f>
        <x:v>148</x:v>
      </x:c>
      <x:c r="E62" s="22" t="n">
        <x:f>MOD($B$6*(A62-1)+$B$7,$A$15)+1</x:f>
        <x:v>648</x:v>
      </x:c>
      <x:c r="F62" s="18"/>
      <x:c r="G62" s="18"/>
      <x:c r="H62" s="18" t="str">
        <x:v>pairing identity only</x:v>
      </x:c>
    </x:row>
    <x:row r="63" ht="22" customHeight="1">
      <x:c r="A63" s="22" t="n">
        <x:v>38</x:v>
      </x:c>
      <x:c r="B63" s="22" t="n">
        <x:f>MOD($B$6*(A63-1)+$B$7,$A$12)+1</x:f>
        <x:v>96</x:v>
      </x:c>
      <x:c r="C63" s="22" t="n">
        <x:f>MOD($B$6*(A63-1)+$B$7,$A$13)+1</x:f>
        <x:v>221</x:v>
      </x:c>
      <x:c r="D63" s="22" t="n">
        <x:f>MOD($B$6*(A63-1)+$B$7,$A$14)+1</x:f>
        <x:v>221</x:v>
      </x:c>
      <x:c r="E63" s="22" t="n">
        <x:f>MOD($B$6*(A63-1)+$B$7,$A$15)+1</x:f>
        <x:v>721</x:v>
      </x:c>
      <x:c r="F63" s="18"/>
      <x:c r="G63" s="18"/>
      <x:c r="H63" s="18" t="str">
        <x:v>pairing identity only</x:v>
      </x:c>
    </x:row>
    <x:row r="64" ht="22" customHeight="1">
      <x:c r="A64" s="22" t="n">
        <x:v>39</x:v>
      </x:c>
      <x:c r="B64" s="22" t="n">
        <x:f>MOD($B$6*(A64-1)+$B$7,$A$12)+1</x:f>
        <x:v>44</x:v>
      </x:c>
      <x:c r="C64" s="22" t="n">
        <x:f>MOD($B$6*(A64-1)+$B$7,$A$13)+1</x:f>
        <x:v>44</x:v>
      </x:c>
      <x:c r="D64" s="22" t="n">
        <x:f>MOD($B$6*(A64-1)+$B$7,$A$14)+1</x:f>
        <x:v>294</x:v>
      </x:c>
      <x:c r="E64" s="22" t="n">
        <x:f>MOD($B$6*(A64-1)+$B$7,$A$15)+1</x:f>
        <x:v>794</x:v>
      </x:c>
      <x:c r="F64" s="18"/>
      <x:c r="G64" s="18"/>
      <x:c r="H64" s="18" t="str">
        <x:v>pairing identity only</x:v>
      </x:c>
    </x:row>
    <x:row r="65" ht="22" customHeight="1">
      <x:c r="A65" s="22" t="n">
        <x:v>40</x:v>
      </x:c>
      <x:c r="B65" s="22" t="n">
        <x:f>MOD($B$6*(A65-1)+$B$7,$A$12)+1</x:f>
        <x:v>117</x:v>
      </x:c>
      <x:c r="C65" s="22" t="n">
        <x:f>MOD($B$6*(A65-1)+$B$7,$A$13)+1</x:f>
        <x:v>117</x:v>
      </x:c>
      <x:c r="D65" s="22" t="n">
        <x:f>MOD($B$6*(A65-1)+$B$7,$A$14)+1</x:f>
        <x:v>367</x:v>
      </x:c>
      <x:c r="E65" s="22" t="n">
        <x:f>MOD($B$6*(A65-1)+$B$7,$A$15)+1</x:f>
        <x:v>867</x:v>
      </x:c>
      <x:c r="F65" s="18"/>
      <x:c r="G65" s="18"/>
      <x:c r="H65" s="18" t="str">
        <x:v>pairing identity only</x:v>
      </x:c>
    </x:row>
    <x:row r="66" ht="22" customHeight="1">
      <x:c r="A66" s="22" t="n">
        <x:v>41</x:v>
      </x:c>
      <x:c r="B66" s="22" t="n">
        <x:f>MOD($B$6*(A66-1)+$B$7,$A$12)+1</x:f>
        <x:v>65</x:v>
      </x:c>
      <x:c r="C66" s="22" t="n">
        <x:f>MOD($B$6*(A66-1)+$B$7,$A$13)+1</x:f>
        <x:v>190</x:v>
      </x:c>
      <x:c r="D66" s="22" t="n">
        <x:f>MOD($B$6*(A66-1)+$B$7,$A$14)+1</x:f>
        <x:v>440</x:v>
      </x:c>
      <x:c r="E66" s="22" t="n">
        <x:f>MOD($B$6*(A66-1)+$B$7,$A$15)+1</x:f>
        <x:v>940</x:v>
      </x:c>
      <x:c r="F66" s="18"/>
      <x:c r="G66" s="18"/>
      <x:c r="H66" s="18" t="str">
        <x:v>pairing identity only</x:v>
      </x:c>
    </x:row>
    <x:row r="67" ht="22" customHeight="1">
      <x:c r="A67" s="22" t="n">
        <x:v>42</x:v>
      </x:c>
      <x:c r="B67" s="22" t="n">
        <x:f>MOD($B$6*(A67-1)+$B$7,$A$12)+1</x:f>
        <x:v>13</x:v>
      </x:c>
      <x:c r="C67" s="22" t="n">
        <x:f>MOD($B$6*(A67-1)+$B$7,$A$13)+1</x:f>
        <x:v>13</x:v>
      </x:c>
      <x:c r="D67" s="22" t="n">
        <x:f>MOD($B$6*(A67-1)+$B$7,$A$14)+1</x:f>
        <x:v>13</x:v>
      </x:c>
      <x:c r="E67" s="22" t="n">
        <x:f>MOD($B$6*(A67-1)+$B$7,$A$15)+1</x:f>
        <x:v>13</x:v>
      </x:c>
      <x:c r="F67" s="18"/>
      <x:c r="G67" s="18"/>
      <x:c r="H67" s="18" t="str">
        <x:v>pairing identity only</x:v>
      </x:c>
    </x:row>
    <x:row r="68" ht="22" customHeight="1">
      <x:c r="A68" s="22" t="n">
        <x:v>43</x:v>
      </x:c>
      <x:c r="B68" s="22" t="n">
        <x:f>MOD($B$6*(A68-1)+$B$7,$A$12)+1</x:f>
        <x:v>86</x:v>
      </x:c>
      <x:c r="C68" s="22" t="n">
        <x:f>MOD($B$6*(A68-1)+$B$7,$A$13)+1</x:f>
        <x:v>86</x:v>
      </x:c>
      <x:c r="D68" s="22" t="n">
        <x:f>MOD($B$6*(A68-1)+$B$7,$A$14)+1</x:f>
        <x:v>86</x:v>
      </x:c>
      <x:c r="E68" s="22" t="n">
        <x:f>MOD($B$6*(A68-1)+$B$7,$A$15)+1</x:f>
        <x:v>86</x:v>
      </x:c>
      <x:c r="F68" s="18"/>
      <x:c r="G68" s="18"/>
      <x:c r="H68" s="18" t="str">
        <x:v>pairing identity only</x:v>
      </x:c>
    </x:row>
    <x:row r="69" ht="22" customHeight="1">
      <x:c r="A69" s="22" t="n">
        <x:v>44</x:v>
      </x:c>
      <x:c r="B69" s="22" t="n">
        <x:f>MOD($B$6*(A69-1)+$B$7,$A$12)+1</x:f>
        <x:v>34</x:v>
      </x:c>
      <x:c r="C69" s="22" t="n">
        <x:f>MOD($B$6*(A69-1)+$B$7,$A$13)+1</x:f>
        <x:v>159</x:v>
      </x:c>
      <x:c r="D69" s="22" t="n">
        <x:f>MOD($B$6*(A69-1)+$B$7,$A$14)+1</x:f>
        <x:v>159</x:v>
      </x:c>
      <x:c r="E69" s="22" t="n">
        <x:f>MOD($B$6*(A69-1)+$B$7,$A$15)+1</x:f>
        <x:v>159</x:v>
      </x:c>
      <x:c r="F69" s="18"/>
      <x:c r="G69" s="18"/>
      <x:c r="H69" s="18" t="str">
        <x:v>pairing identity only</x:v>
      </x:c>
    </x:row>
    <x:row r="70" ht="22" customHeight="1">
      <x:c r="A70" s="22" t="n">
        <x:v>45</x:v>
      </x:c>
      <x:c r="B70" s="22" t="n">
        <x:f>MOD($B$6*(A70-1)+$B$7,$A$12)+1</x:f>
        <x:v>107</x:v>
      </x:c>
      <x:c r="C70" s="22" t="n">
        <x:f>MOD($B$6*(A70-1)+$B$7,$A$13)+1</x:f>
        <x:v>232</x:v>
      </x:c>
      <x:c r="D70" s="22" t="n">
        <x:f>MOD($B$6*(A70-1)+$B$7,$A$14)+1</x:f>
        <x:v>232</x:v>
      </x:c>
      <x:c r="E70" s="22" t="n">
        <x:f>MOD($B$6*(A70-1)+$B$7,$A$15)+1</x:f>
        <x:v>232</x:v>
      </x:c>
      <x:c r="F70" s="18"/>
      <x:c r="G70" s="18"/>
      <x:c r="H70" s="18" t="str">
        <x:v>pairing identity only</x:v>
      </x:c>
    </x:row>
    <x:row r="71" ht="22" customHeight="1">
      <x:c r="A71" s="22" t="n">
        <x:v>46</x:v>
      </x:c>
      <x:c r="B71" s="22" t="n">
        <x:f>MOD($B$6*(A71-1)+$B$7,$A$12)+1</x:f>
        <x:v>55</x:v>
      </x:c>
      <x:c r="C71" s="22" t="n">
        <x:f>MOD($B$6*(A71-1)+$B$7,$A$13)+1</x:f>
        <x:v>55</x:v>
      </x:c>
      <x:c r="D71" s="22" t="n">
        <x:f>MOD($B$6*(A71-1)+$B$7,$A$14)+1</x:f>
        <x:v>305</x:v>
      </x:c>
      <x:c r="E71" s="22" t="n">
        <x:f>MOD($B$6*(A71-1)+$B$7,$A$15)+1</x:f>
        <x:v>305</x:v>
      </x:c>
      <x:c r="F71" s="18"/>
      <x:c r="G71" s="18"/>
      <x:c r="H71" s="18" t="str">
        <x:v>pairing identity only</x:v>
      </x:c>
    </x:row>
    <x:row r="72" ht="22" customHeight="1">
      <x:c r="A72" s="22" t="n">
        <x:v>47</x:v>
      </x:c>
      <x:c r="B72" s="22" t="n">
        <x:f>MOD($B$6*(A72-1)+$B$7,$A$12)+1</x:f>
        <x:v>3</x:v>
      </x:c>
      <x:c r="C72" s="22" t="n">
        <x:f>MOD($B$6*(A72-1)+$B$7,$A$13)+1</x:f>
        <x:v>128</x:v>
      </x:c>
      <x:c r="D72" s="22" t="n">
        <x:f>MOD($B$6*(A72-1)+$B$7,$A$14)+1</x:f>
        <x:v>378</x:v>
      </x:c>
      <x:c r="E72" s="22" t="n">
        <x:f>MOD($B$6*(A72-1)+$B$7,$A$15)+1</x:f>
        <x:v>378</x:v>
      </x:c>
      <x:c r="F72" s="18"/>
      <x:c r="G72" s="18"/>
      <x:c r="H72" s="18" t="str">
        <x:v>pairing identity only</x:v>
      </x:c>
    </x:row>
    <x:row r="73" ht="22" customHeight="1">
      <x:c r="A73" s="22" t="n">
        <x:v>48</x:v>
      </x:c>
      <x:c r="B73" s="22" t="n">
        <x:f>MOD($B$6*(A73-1)+$B$7,$A$12)+1</x:f>
        <x:v>76</x:v>
      </x:c>
      <x:c r="C73" s="22" t="n">
        <x:f>MOD($B$6*(A73-1)+$B$7,$A$13)+1</x:f>
        <x:v>201</x:v>
      </x:c>
      <x:c r="D73" s="22" t="n">
        <x:f>MOD($B$6*(A73-1)+$B$7,$A$14)+1</x:f>
        <x:v>451</x:v>
      </x:c>
      <x:c r="E73" s="22" t="n">
        <x:f>MOD($B$6*(A73-1)+$B$7,$A$15)+1</x:f>
        <x:v>451</x:v>
      </x:c>
      <x:c r="F73" s="18"/>
      <x:c r="G73" s="18"/>
      <x:c r="H73" s="18" t="str">
        <x:v>pairing identity only</x:v>
      </x:c>
    </x:row>
    <x:row r="74" ht="22" customHeight="1">
      <x:c r="A74" s="22" t="n">
        <x:v>49</x:v>
      </x:c>
      <x:c r="B74" s="22" t="n">
        <x:f>MOD($B$6*(A74-1)+$B$7,$A$12)+1</x:f>
        <x:v>24</x:v>
      </x:c>
      <x:c r="C74" s="22" t="n">
        <x:f>MOD($B$6*(A74-1)+$B$7,$A$13)+1</x:f>
        <x:v>24</x:v>
      </x:c>
      <x:c r="D74" s="22" t="n">
        <x:f>MOD($B$6*(A74-1)+$B$7,$A$14)+1</x:f>
        <x:v>24</x:v>
      </x:c>
      <x:c r="E74" s="22" t="n">
        <x:f>MOD($B$6*(A74-1)+$B$7,$A$15)+1</x:f>
        <x:v>524</x:v>
      </x:c>
      <x:c r="F74" s="18"/>
      <x:c r="G74" s="18"/>
      <x:c r="H74" s="18" t="str">
        <x:v>pairing identity only</x:v>
      </x:c>
    </x:row>
    <x:row r="75" ht="22" customHeight="1">
      <x:c r="A75" s="22" t="n">
        <x:v>50</x:v>
      </x:c>
      <x:c r="B75" s="22" t="n">
        <x:f>MOD($B$6*(A75-1)+$B$7,$A$12)+1</x:f>
        <x:v>97</x:v>
      </x:c>
      <x:c r="C75" s="22" t="n">
        <x:f>MOD($B$6*(A75-1)+$B$7,$A$13)+1</x:f>
        <x:v>97</x:v>
      </x:c>
      <x:c r="D75" s="22" t="n">
        <x:f>MOD($B$6*(A75-1)+$B$7,$A$14)+1</x:f>
        <x:v>97</x:v>
      </x:c>
      <x:c r="E75" s="22" t="n">
        <x:f>MOD($B$6*(A75-1)+$B$7,$A$15)+1</x:f>
        <x:v>597</x:v>
      </x:c>
      <x:c r="F75" s="18"/>
      <x:c r="G75" s="18"/>
      <x:c r="H75" s="18" t="str">
        <x:v>pairing identity only</x:v>
      </x:c>
    </x:row>
    <x:row r="76" ht="22" customHeight="1">
      <x:c r="A76" s="22" t="n">
        <x:v>51</x:v>
      </x:c>
      <x:c r="B76" s="22" t="n">
        <x:f>MOD($B$6*(A76-1)+$B$7,$A$12)+1</x:f>
        <x:v>45</x:v>
      </x:c>
      <x:c r="C76" s="22" t="n">
        <x:f>MOD($B$6*(A76-1)+$B$7,$A$13)+1</x:f>
        <x:v>170</x:v>
      </x:c>
      <x:c r="D76" s="22" t="n">
        <x:f>MOD($B$6*(A76-1)+$B$7,$A$14)+1</x:f>
        <x:v>170</x:v>
      </x:c>
      <x:c r="E76" s="22" t="n">
        <x:f>MOD($B$6*(A76-1)+$B$7,$A$15)+1</x:f>
        <x:v>670</x:v>
      </x:c>
      <x:c r="F76" s="18"/>
      <x:c r="G76" s="18"/>
      <x:c r="H76" s="18" t="str">
        <x:v>pairing identity only</x:v>
      </x:c>
    </x:row>
    <x:row r="77" ht="22" customHeight="1">
      <x:c r="A77" s="22" t="n">
        <x:v>52</x:v>
      </x:c>
      <x:c r="B77" s="22" t="n">
        <x:f>MOD($B$6*(A77-1)+$B$7,$A$12)+1</x:f>
        <x:v>118</x:v>
      </x:c>
      <x:c r="C77" s="22" t="n">
        <x:f>MOD($B$6*(A77-1)+$B$7,$A$13)+1</x:f>
        <x:v>243</x:v>
      </x:c>
      <x:c r="D77" s="22" t="n">
        <x:f>MOD($B$6*(A77-1)+$B$7,$A$14)+1</x:f>
        <x:v>243</x:v>
      </x:c>
      <x:c r="E77" s="22" t="n">
        <x:f>MOD($B$6*(A77-1)+$B$7,$A$15)+1</x:f>
        <x:v>743</x:v>
      </x:c>
      <x:c r="F77" s="18"/>
      <x:c r="G77" s="18"/>
      <x:c r="H77" s="18" t="str">
        <x:v>pairing identity only</x:v>
      </x:c>
    </x:row>
    <x:row r="78" ht="22" customHeight="1">
      <x:c r="A78" s="22" t="n">
        <x:v>53</x:v>
      </x:c>
      <x:c r="B78" s="22" t="n">
        <x:f>MOD($B$6*(A78-1)+$B$7,$A$12)+1</x:f>
        <x:v>66</x:v>
      </x:c>
      <x:c r="C78" s="22" t="n">
        <x:f>MOD($B$6*(A78-1)+$B$7,$A$13)+1</x:f>
        <x:v>66</x:v>
      </x:c>
      <x:c r="D78" s="22" t="n">
        <x:f>MOD($B$6*(A78-1)+$B$7,$A$14)+1</x:f>
        <x:v>316</x:v>
      </x:c>
      <x:c r="E78" s="22" t="n">
        <x:f>MOD($B$6*(A78-1)+$B$7,$A$15)+1</x:f>
        <x:v>816</x:v>
      </x:c>
      <x:c r="F78" s="18"/>
      <x:c r="G78" s="18"/>
      <x:c r="H78" s="18" t="str">
        <x:v>pairing identity only</x:v>
      </x:c>
    </x:row>
    <x:row r="79" ht="22" customHeight="1">
      <x:c r="A79" s="22" t="n">
        <x:v>54</x:v>
      </x:c>
      <x:c r="B79" s="22" t="n">
        <x:f>MOD($B$6*(A79-1)+$B$7,$A$12)+1</x:f>
        <x:v>14</x:v>
      </x:c>
      <x:c r="C79" s="22" t="n">
        <x:f>MOD($B$6*(A79-1)+$B$7,$A$13)+1</x:f>
        <x:v>139</x:v>
      </x:c>
      <x:c r="D79" s="22" t="n">
        <x:f>MOD($B$6*(A79-1)+$B$7,$A$14)+1</x:f>
        <x:v>389</x:v>
      </x:c>
      <x:c r="E79" s="22" t="n">
        <x:f>MOD($B$6*(A79-1)+$B$7,$A$15)+1</x:f>
        <x:v>889</x:v>
      </x:c>
      <x:c r="F79" s="18"/>
      <x:c r="G79" s="18"/>
      <x:c r="H79" s="18" t="str">
        <x:v>pairing identity only</x:v>
      </x:c>
    </x:row>
    <x:row r="80" ht="22" customHeight="1">
      <x:c r="A80" s="22" t="n">
        <x:v>55</x:v>
      </x:c>
      <x:c r="B80" s="22" t="n">
        <x:f>MOD($B$6*(A80-1)+$B$7,$A$12)+1</x:f>
        <x:v>87</x:v>
      </x:c>
      <x:c r="C80" s="22" t="n">
        <x:f>MOD($B$6*(A80-1)+$B$7,$A$13)+1</x:f>
        <x:v>212</x:v>
      </x:c>
      <x:c r="D80" s="22" t="n">
        <x:f>MOD($B$6*(A80-1)+$B$7,$A$14)+1</x:f>
        <x:v>462</x:v>
      </x:c>
      <x:c r="E80" s="22" t="n">
        <x:f>MOD($B$6*(A80-1)+$B$7,$A$15)+1</x:f>
        <x:v>962</x:v>
      </x:c>
      <x:c r="F80" s="18"/>
      <x:c r="G80" s="18"/>
      <x:c r="H80" s="18" t="str">
        <x:v>pairing identity only</x:v>
      </x:c>
    </x:row>
    <x:row r="81" ht="22" customHeight="1">
      <x:c r="A81" s="22" t="n">
        <x:v>56</x:v>
      </x:c>
      <x:c r="B81" s="22" t="n">
        <x:f>MOD($B$6*(A81-1)+$B$7,$A$12)+1</x:f>
        <x:v>35</x:v>
      </x:c>
      <x:c r="C81" s="22" t="n">
        <x:f>MOD($B$6*(A81-1)+$B$7,$A$13)+1</x:f>
        <x:v>35</x:v>
      </x:c>
      <x:c r="D81" s="22" t="n">
        <x:f>MOD($B$6*(A81-1)+$B$7,$A$14)+1</x:f>
        <x:v>35</x:v>
      </x:c>
      <x:c r="E81" s="22" t="n">
        <x:f>MOD($B$6*(A81-1)+$B$7,$A$15)+1</x:f>
        <x:v>35</x:v>
      </x:c>
      <x:c r="F81" s="18"/>
      <x:c r="G81" s="18"/>
      <x:c r="H81" s="18" t="str">
        <x:v>pairing identity only</x:v>
      </x:c>
    </x:row>
    <x:row r="82" ht="22" customHeight="1">
      <x:c r="A82" s="22" t="n">
        <x:v>57</x:v>
      </x:c>
      <x:c r="B82" s="22" t="n">
        <x:f>MOD($B$6*(A82-1)+$B$7,$A$12)+1</x:f>
        <x:v>108</x:v>
      </x:c>
      <x:c r="C82" s="22" t="n">
        <x:f>MOD($B$6*(A82-1)+$B$7,$A$13)+1</x:f>
        <x:v>108</x:v>
      </x:c>
      <x:c r="D82" s="22" t="n">
        <x:f>MOD($B$6*(A82-1)+$B$7,$A$14)+1</x:f>
        <x:v>108</x:v>
      </x:c>
      <x:c r="E82" s="22" t="n">
        <x:f>MOD($B$6*(A82-1)+$B$7,$A$15)+1</x:f>
        <x:v>108</x:v>
      </x:c>
      <x:c r="F82" s="18"/>
      <x:c r="G82" s="18"/>
      <x:c r="H82" s="18" t="str">
        <x:v>pairing identity only</x:v>
      </x:c>
    </x:row>
    <x:row r="83" ht="22" customHeight="1">
      <x:c r="A83" s="22" t="n">
        <x:v>58</x:v>
      </x:c>
      <x:c r="B83" s="22" t="n">
        <x:f>MOD($B$6*(A83-1)+$B$7,$A$12)+1</x:f>
        <x:v>56</x:v>
      </x:c>
      <x:c r="C83" s="22" t="n">
        <x:f>MOD($B$6*(A83-1)+$B$7,$A$13)+1</x:f>
        <x:v>181</x:v>
      </x:c>
      <x:c r="D83" s="22" t="n">
        <x:f>MOD($B$6*(A83-1)+$B$7,$A$14)+1</x:f>
        <x:v>181</x:v>
      </x:c>
      <x:c r="E83" s="22" t="n">
        <x:f>MOD($B$6*(A83-1)+$B$7,$A$15)+1</x:f>
        <x:v>181</x:v>
      </x:c>
      <x:c r="F83" s="18"/>
      <x:c r="G83" s="18"/>
      <x:c r="H83" s="18" t="str">
        <x:v>pairing identity only</x:v>
      </x:c>
    </x:row>
    <x:row r="84" ht="22" customHeight="1">
      <x:c r="A84" s="22" t="n">
        <x:v>59</x:v>
      </x:c>
      <x:c r="B84" s="22" t="n">
        <x:f>MOD($B$6*(A84-1)+$B$7,$A$12)+1</x:f>
        <x:v>4</x:v>
      </x:c>
      <x:c r="C84" s="22" t="n">
        <x:f>MOD($B$6*(A84-1)+$B$7,$A$13)+1</x:f>
        <x:v>4</x:v>
      </x:c>
      <x:c r="D84" s="22" t="n">
        <x:f>MOD($B$6*(A84-1)+$B$7,$A$14)+1</x:f>
        <x:v>254</x:v>
      </x:c>
      <x:c r="E84" s="22" t="n">
        <x:f>MOD($B$6*(A84-1)+$B$7,$A$15)+1</x:f>
        <x:v>254</x:v>
      </x:c>
      <x:c r="F84" s="18"/>
      <x:c r="G84" s="18"/>
      <x:c r="H84" s="18" t="str">
        <x:v>pairing identity only</x:v>
      </x:c>
    </x:row>
    <x:row r="85" ht="22" customHeight="1">
      <x:c r="A85" s="22" t="n">
        <x:v>60</x:v>
      </x:c>
      <x:c r="B85" s="22" t="n">
        <x:f>MOD($B$6*(A85-1)+$B$7,$A$12)+1</x:f>
        <x:v>77</x:v>
      </x:c>
      <x:c r="C85" s="22" t="n">
        <x:f>MOD($B$6*(A85-1)+$B$7,$A$13)+1</x:f>
        <x:v>77</x:v>
      </x:c>
      <x:c r="D85" s="22" t="n">
        <x:f>MOD($B$6*(A85-1)+$B$7,$A$14)+1</x:f>
        <x:v>327</x:v>
      </x:c>
      <x:c r="E85" s="22" t="n">
        <x:f>MOD($B$6*(A85-1)+$B$7,$A$15)+1</x:f>
        <x:v>327</x:v>
      </x:c>
      <x:c r="F85" s="18"/>
      <x:c r="G85" s="18"/>
      <x:c r="H85" s="18" t="str">
        <x:v>pairing identity only</x:v>
      </x:c>
    </x:row>
    <x:row r="86" ht="22" customHeight="1">
      <x:c r="A86" s="22" t="n">
        <x:v>61</x:v>
      </x:c>
      <x:c r="B86" s="22" t="n">
        <x:f>MOD($B$6*(A86-1)+$B$7,$A$12)+1</x:f>
        <x:v>25</x:v>
      </x:c>
      <x:c r="C86" s="22" t="n">
        <x:f>MOD($B$6*(A86-1)+$B$7,$A$13)+1</x:f>
        <x:v>150</x:v>
      </x:c>
      <x:c r="D86" s="22" t="n">
        <x:f>MOD($B$6*(A86-1)+$B$7,$A$14)+1</x:f>
        <x:v>400</x:v>
      </x:c>
      <x:c r="E86" s="22" t="n">
        <x:f>MOD($B$6*(A86-1)+$B$7,$A$15)+1</x:f>
        <x:v>400</x:v>
      </x:c>
      <x:c r="F86" s="18"/>
      <x:c r="G86" s="18"/>
      <x:c r="H86" s="18" t="str">
        <x:v>pairing identity only</x:v>
      </x:c>
    </x:row>
    <x:row r="87" ht="22" customHeight="1">
      <x:c r="A87" s="22" t="n">
        <x:v>62</x:v>
      </x:c>
      <x:c r="B87" s="22" t="n">
        <x:f>MOD($B$6*(A87-1)+$B$7,$A$12)+1</x:f>
        <x:v>98</x:v>
      </x:c>
      <x:c r="C87" s="22" t="n">
        <x:f>MOD($B$6*(A87-1)+$B$7,$A$13)+1</x:f>
        <x:v>223</x:v>
      </x:c>
      <x:c r="D87" s="22" t="n">
        <x:f>MOD($B$6*(A87-1)+$B$7,$A$14)+1</x:f>
        <x:v>473</x:v>
      </x:c>
      <x:c r="E87" s="22" t="n">
        <x:f>MOD($B$6*(A87-1)+$B$7,$A$15)+1</x:f>
        <x:v>473</x:v>
      </x:c>
      <x:c r="F87" s="18"/>
      <x:c r="G87" s="18"/>
      <x:c r="H87" s="18" t="str">
        <x:v>pairing identity only</x:v>
      </x:c>
    </x:row>
    <x:row r="88" ht="22" customHeight="1">
      <x:c r="A88" s="22" t="n">
        <x:v>63</x:v>
      </x:c>
      <x:c r="B88" s="22" t="n">
        <x:f>MOD($B$6*(A88-1)+$B$7,$A$12)+1</x:f>
        <x:v>46</x:v>
      </x:c>
      <x:c r="C88" s="22" t="n">
        <x:f>MOD($B$6*(A88-1)+$B$7,$A$13)+1</x:f>
        <x:v>46</x:v>
      </x:c>
      <x:c r="D88" s="22" t="n">
        <x:f>MOD($B$6*(A88-1)+$B$7,$A$14)+1</x:f>
        <x:v>46</x:v>
      </x:c>
      <x:c r="E88" s="22" t="n">
        <x:f>MOD($B$6*(A88-1)+$B$7,$A$15)+1</x:f>
        <x:v>546</x:v>
      </x:c>
      <x:c r="F88" s="18"/>
      <x:c r="G88" s="18"/>
      <x:c r="H88" s="18" t="str">
        <x:v>pairing identity only</x:v>
      </x:c>
    </x:row>
    <x:row r="89" ht="22" customHeight="1">
      <x:c r="A89" s="22" t="n">
        <x:v>64</x:v>
      </x:c>
      <x:c r="B89" s="22" t="n">
        <x:f>MOD($B$6*(A89-1)+$B$7,$A$12)+1</x:f>
        <x:v>119</x:v>
      </x:c>
      <x:c r="C89" s="22" t="n">
        <x:f>MOD($B$6*(A89-1)+$B$7,$A$13)+1</x:f>
        <x:v>119</x:v>
      </x:c>
      <x:c r="D89" s="22" t="n">
        <x:f>MOD($B$6*(A89-1)+$B$7,$A$14)+1</x:f>
        <x:v>119</x:v>
      </x:c>
      <x:c r="E89" s="22" t="n">
        <x:f>MOD($B$6*(A89-1)+$B$7,$A$15)+1</x:f>
        <x:v>619</x:v>
      </x:c>
      <x:c r="F89" s="18"/>
      <x:c r="G89" s="18"/>
      <x:c r="H89" s="18" t="str">
        <x:v>pairing identity only</x:v>
      </x:c>
    </x:row>
    <x:row r="90" ht="22" customHeight="1">
      <x:c r="A90" s="22" t="n">
        <x:v>65</x:v>
      </x:c>
      <x:c r="B90" s="22" t="n">
        <x:f>MOD($B$6*(A90-1)+$B$7,$A$12)+1</x:f>
        <x:v>67</x:v>
      </x:c>
      <x:c r="C90" s="22" t="n">
        <x:f>MOD($B$6*(A90-1)+$B$7,$A$13)+1</x:f>
        <x:v>192</x:v>
      </x:c>
      <x:c r="D90" s="22" t="n">
        <x:f>MOD($B$6*(A90-1)+$B$7,$A$14)+1</x:f>
        <x:v>192</x:v>
      </x:c>
      <x:c r="E90" s="22" t="n">
        <x:f>MOD($B$6*(A90-1)+$B$7,$A$15)+1</x:f>
        <x:v>692</x:v>
      </x:c>
      <x:c r="F90" s="18"/>
      <x:c r="G90" s="18"/>
      <x:c r="H90" s="18" t="str">
        <x:v>pairing identity only</x:v>
      </x:c>
    </x:row>
    <x:row r="91" ht="22" customHeight="1">
      <x:c r="A91" s="22" t="n">
        <x:v>66</x:v>
      </x:c>
      <x:c r="B91" s="22" t="n">
        <x:f>MOD($B$6*(A91-1)+$B$7,$A$12)+1</x:f>
        <x:v>15</x:v>
      </x:c>
      <x:c r="C91" s="22" t="n">
        <x:f>MOD($B$6*(A91-1)+$B$7,$A$13)+1</x:f>
        <x:v>15</x:v>
      </x:c>
      <x:c r="D91" s="22" t="n">
        <x:f>MOD($B$6*(A91-1)+$B$7,$A$14)+1</x:f>
        <x:v>265</x:v>
      </x:c>
      <x:c r="E91" s="22" t="n">
        <x:f>MOD($B$6*(A91-1)+$B$7,$A$15)+1</x:f>
        <x:v>765</x:v>
      </x:c>
      <x:c r="F91" s="18"/>
      <x:c r="G91" s="18"/>
      <x:c r="H91" s="18" t="str">
        <x:v>pairing identity only</x:v>
      </x:c>
    </x:row>
    <x:row r="92" ht="22" customHeight="1">
      <x:c r="A92" s="22" t="n">
        <x:v>67</x:v>
      </x:c>
      <x:c r="B92" s="22" t="n">
        <x:f>MOD($B$6*(A92-1)+$B$7,$A$12)+1</x:f>
        <x:v>88</x:v>
      </x:c>
      <x:c r="C92" s="22" t="n">
        <x:f>MOD($B$6*(A92-1)+$B$7,$A$13)+1</x:f>
        <x:v>88</x:v>
      </x:c>
      <x:c r="D92" s="22" t="n">
        <x:f>MOD($B$6*(A92-1)+$B$7,$A$14)+1</x:f>
        <x:v>338</x:v>
      </x:c>
      <x:c r="E92" s="22" t="n">
        <x:f>MOD($B$6*(A92-1)+$B$7,$A$15)+1</x:f>
        <x:v>838</x:v>
      </x:c>
      <x:c r="F92" s="18"/>
      <x:c r="G92" s="18"/>
      <x:c r="H92" s="18" t="str">
        <x:v>pairing identity only</x:v>
      </x:c>
    </x:row>
    <x:row r="93" ht="22" customHeight="1">
      <x:c r="A93" s="22" t="n">
        <x:v>68</x:v>
      </x:c>
      <x:c r="B93" s="22" t="n">
        <x:f>MOD($B$6*(A93-1)+$B$7,$A$12)+1</x:f>
        <x:v>36</x:v>
      </x:c>
      <x:c r="C93" s="22" t="n">
        <x:f>MOD($B$6*(A93-1)+$B$7,$A$13)+1</x:f>
        <x:v>161</x:v>
      </x:c>
      <x:c r="D93" s="22" t="n">
        <x:f>MOD($B$6*(A93-1)+$B$7,$A$14)+1</x:f>
        <x:v>411</x:v>
      </x:c>
      <x:c r="E93" s="22" t="n">
        <x:f>MOD($B$6*(A93-1)+$B$7,$A$15)+1</x:f>
        <x:v>911</x:v>
      </x:c>
      <x:c r="F93" s="18"/>
      <x:c r="G93" s="18"/>
      <x:c r="H93" s="18" t="str">
        <x:v>pairing identity only</x:v>
      </x:c>
    </x:row>
    <x:row r="94" ht="22" customHeight="1">
      <x:c r="A94" s="22" t="n">
        <x:v>69</x:v>
      </x:c>
      <x:c r="B94" s="22" t="n">
        <x:f>MOD($B$6*(A94-1)+$B$7,$A$12)+1</x:f>
        <x:v>109</x:v>
      </x:c>
      <x:c r="C94" s="22" t="n">
        <x:f>MOD($B$6*(A94-1)+$B$7,$A$13)+1</x:f>
        <x:v>234</x:v>
      </x:c>
      <x:c r="D94" s="22" t="n">
        <x:f>MOD($B$6*(A94-1)+$B$7,$A$14)+1</x:f>
        <x:v>484</x:v>
      </x:c>
      <x:c r="E94" s="22" t="n">
        <x:f>MOD($B$6*(A94-1)+$B$7,$A$15)+1</x:f>
        <x:v>984</x:v>
      </x:c>
      <x:c r="F94" s="18"/>
      <x:c r="G94" s="18"/>
      <x:c r="H94" s="18" t="str">
        <x:v>pairing identity only</x:v>
      </x:c>
    </x:row>
    <x:row r="95" ht="22" customHeight="1">
      <x:c r="A95" s="22" t="n">
        <x:v>70</x:v>
      </x:c>
      <x:c r="B95" s="22" t="n">
        <x:f>MOD($B$6*(A95-1)+$B$7,$A$12)+1</x:f>
        <x:v>57</x:v>
      </x:c>
      <x:c r="C95" s="22" t="n">
        <x:f>MOD($B$6*(A95-1)+$B$7,$A$13)+1</x:f>
        <x:v>57</x:v>
      </x:c>
      <x:c r="D95" s="22" t="n">
        <x:f>MOD($B$6*(A95-1)+$B$7,$A$14)+1</x:f>
        <x:v>57</x:v>
      </x:c>
      <x:c r="E95" s="22" t="n">
        <x:f>MOD($B$6*(A95-1)+$B$7,$A$15)+1</x:f>
        <x:v>57</x:v>
      </x:c>
      <x:c r="F95" s="18"/>
      <x:c r="G95" s="18"/>
      <x:c r="H95" s="18" t="str">
        <x:v>pairing identity only</x:v>
      </x:c>
    </x:row>
    <x:row r="96" ht="22" customHeight="1">
      <x:c r="A96" s="22" t="n">
        <x:v>71</x:v>
      </x:c>
      <x:c r="B96" s="22" t="n">
        <x:f>MOD($B$6*(A96-1)+$B$7,$A$12)+1</x:f>
        <x:v>5</x:v>
      </x:c>
      <x:c r="C96" s="22" t="n">
        <x:f>MOD($B$6*(A96-1)+$B$7,$A$13)+1</x:f>
        <x:v>130</x:v>
      </x:c>
      <x:c r="D96" s="22" t="n">
        <x:f>MOD($B$6*(A96-1)+$B$7,$A$14)+1</x:f>
        <x:v>130</x:v>
      </x:c>
      <x:c r="E96" s="22" t="n">
        <x:f>MOD($B$6*(A96-1)+$B$7,$A$15)+1</x:f>
        <x:v>130</x:v>
      </x:c>
      <x:c r="F96" s="18"/>
      <x:c r="G96" s="18"/>
      <x:c r="H96" s="18" t="str">
        <x:v>pairing identity only</x:v>
      </x:c>
    </x:row>
    <x:row r="97" ht="22" customHeight="1">
      <x:c r="A97" s="22" t="n">
        <x:v>72</x:v>
      </x:c>
      <x:c r="B97" s="22" t="n">
        <x:f>MOD($B$6*(A97-1)+$B$7,$A$12)+1</x:f>
        <x:v>78</x:v>
      </x:c>
      <x:c r="C97" s="22" t="n">
        <x:f>MOD($B$6*(A97-1)+$B$7,$A$13)+1</x:f>
        <x:v>203</x:v>
      </x:c>
      <x:c r="D97" s="22" t="n">
        <x:f>MOD($B$6*(A97-1)+$B$7,$A$14)+1</x:f>
        <x:v>203</x:v>
      </x:c>
      <x:c r="E97" s="22" t="n">
        <x:f>MOD($B$6*(A97-1)+$B$7,$A$15)+1</x:f>
        <x:v>203</x:v>
      </x:c>
      <x:c r="F97" s="18"/>
      <x:c r="G97" s="18"/>
      <x:c r="H97" s="18" t="str">
        <x:v>pairing identity only</x:v>
      </x:c>
    </x:row>
    <x:row r="98" ht="22" customHeight="1">
      <x:c r="A98" s="22" t="n">
        <x:v>73</x:v>
      </x:c>
      <x:c r="B98" s="22" t="n">
        <x:f>MOD($B$6*(A98-1)+$B$7,$A$12)+1</x:f>
        <x:v>26</x:v>
      </x:c>
      <x:c r="C98" s="22" t="n">
        <x:f>MOD($B$6*(A98-1)+$B$7,$A$13)+1</x:f>
        <x:v>26</x:v>
      </x:c>
      <x:c r="D98" s="22" t="n">
        <x:f>MOD($B$6*(A98-1)+$B$7,$A$14)+1</x:f>
        <x:v>276</x:v>
      </x:c>
      <x:c r="E98" s="22" t="n">
        <x:f>MOD($B$6*(A98-1)+$B$7,$A$15)+1</x:f>
        <x:v>276</x:v>
      </x:c>
      <x:c r="F98" s="18"/>
      <x:c r="G98" s="18"/>
      <x:c r="H98" s="18" t="str">
        <x:v>pairing identity only</x:v>
      </x:c>
    </x:row>
    <x:row r="99" ht="22" customHeight="1">
      <x:c r="A99" s="22" t="n">
        <x:v>74</x:v>
      </x:c>
      <x:c r="B99" s="22" t="n">
        <x:f>MOD($B$6*(A99-1)+$B$7,$A$12)+1</x:f>
        <x:v>99</x:v>
      </x:c>
      <x:c r="C99" s="22" t="n">
        <x:f>MOD($B$6*(A99-1)+$B$7,$A$13)+1</x:f>
        <x:v>99</x:v>
      </x:c>
      <x:c r="D99" s="22" t="n">
        <x:f>MOD($B$6*(A99-1)+$B$7,$A$14)+1</x:f>
        <x:v>349</x:v>
      </x:c>
      <x:c r="E99" s="22" t="n">
        <x:f>MOD($B$6*(A99-1)+$B$7,$A$15)+1</x:f>
        <x:v>349</x:v>
      </x:c>
      <x:c r="F99" s="18"/>
      <x:c r="G99" s="18"/>
      <x:c r="H99" s="18" t="str">
        <x:v>pairing identity only</x:v>
      </x:c>
    </x:row>
    <x:row r="100" ht="22" customHeight="1">
      <x:c r="A100" s="22" t="n">
        <x:v>75</x:v>
      </x:c>
      <x:c r="B100" s="22" t="n">
        <x:f>MOD($B$6*(A100-1)+$B$7,$A$12)+1</x:f>
        <x:v>47</x:v>
      </x:c>
      <x:c r="C100" s="22" t="n">
        <x:f>MOD($B$6*(A100-1)+$B$7,$A$13)+1</x:f>
        <x:v>172</x:v>
      </x:c>
      <x:c r="D100" s="22" t="n">
        <x:f>MOD($B$6*(A100-1)+$B$7,$A$14)+1</x:f>
        <x:v>422</x:v>
      </x:c>
      <x:c r="E100" s="22" t="n">
        <x:f>MOD($B$6*(A100-1)+$B$7,$A$15)+1</x:f>
        <x:v>422</x:v>
      </x:c>
      <x:c r="F100" s="18"/>
      <x:c r="G100" s="18"/>
      <x:c r="H100" s="18" t="str">
        <x:v>pairing identity only</x:v>
      </x:c>
    </x:row>
    <x:row r="101" ht="22" customHeight="1">
      <x:c r="A101" s="22" t="n">
        <x:v>76</x:v>
      </x:c>
      <x:c r="B101" s="22" t="n">
        <x:f>MOD($B$6*(A101-1)+$B$7,$A$12)+1</x:f>
        <x:v>120</x:v>
      </x:c>
      <x:c r="C101" s="22" t="n">
        <x:f>MOD($B$6*(A101-1)+$B$7,$A$13)+1</x:f>
        <x:v>245</x:v>
      </x:c>
      <x:c r="D101" s="22" t="n">
        <x:f>MOD($B$6*(A101-1)+$B$7,$A$14)+1</x:f>
        <x:v>495</x:v>
      </x:c>
      <x:c r="E101" s="22" t="n">
        <x:f>MOD($B$6*(A101-1)+$B$7,$A$15)+1</x:f>
        <x:v>495</x:v>
      </x:c>
      <x:c r="F101" s="18"/>
      <x:c r="G101" s="18"/>
      <x:c r="H101" s="18" t="str">
        <x:v>pairing identity only</x:v>
      </x:c>
    </x:row>
    <x:row r="102" ht="22" customHeight="1">
      <x:c r="A102" s="22" t="n">
        <x:v>77</x:v>
      </x:c>
      <x:c r="B102" s="22" t="n">
        <x:f>MOD($B$6*(A102-1)+$B$7,$A$12)+1</x:f>
        <x:v>68</x:v>
      </x:c>
      <x:c r="C102" s="22" t="n">
        <x:f>MOD($B$6*(A102-1)+$B$7,$A$13)+1</x:f>
        <x:v>68</x:v>
      </x:c>
      <x:c r="D102" s="22" t="n">
        <x:f>MOD($B$6*(A102-1)+$B$7,$A$14)+1</x:f>
        <x:v>68</x:v>
      </x:c>
      <x:c r="E102" s="22" t="n">
        <x:f>MOD($B$6*(A102-1)+$B$7,$A$15)+1</x:f>
        <x:v>568</x:v>
      </x:c>
      <x:c r="F102" s="18"/>
      <x:c r="G102" s="18"/>
      <x:c r="H102" s="18" t="str">
        <x:v>pairing identity only</x:v>
      </x:c>
    </x:row>
    <x:row r="103" ht="22" customHeight="1">
      <x:c r="A103" s="22" t="n">
        <x:v>78</x:v>
      </x:c>
      <x:c r="B103" s="22" t="n">
        <x:f>MOD($B$6*(A103-1)+$B$7,$A$12)+1</x:f>
        <x:v>16</x:v>
      </x:c>
      <x:c r="C103" s="22" t="n">
        <x:f>MOD($B$6*(A103-1)+$B$7,$A$13)+1</x:f>
        <x:v>141</x:v>
      </x:c>
      <x:c r="D103" s="22" t="n">
        <x:f>MOD($B$6*(A103-1)+$B$7,$A$14)+1</x:f>
        <x:v>141</x:v>
      </x:c>
      <x:c r="E103" s="22" t="n">
        <x:f>MOD($B$6*(A103-1)+$B$7,$A$15)+1</x:f>
        <x:v>641</x:v>
      </x:c>
      <x:c r="F103" s="18"/>
      <x:c r="G103" s="18"/>
      <x:c r="H103" s="18" t="str">
        <x:v>pairing identity only</x:v>
      </x:c>
    </x:row>
    <x:row r="104" ht="22" customHeight="1">
      <x:c r="A104" s="22" t="n">
        <x:v>79</x:v>
      </x:c>
      <x:c r="B104" s="22" t="n">
        <x:f>MOD($B$6*(A104-1)+$B$7,$A$12)+1</x:f>
        <x:v>89</x:v>
      </x:c>
      <x:c r="C104" s="22" t="n">
        <x:f>MOD($B$6*(A104-1)+$B$7,$A$13)+1</x:f>
        <x:v>214</x:v>
      </x:c>
      <x:c r="D104" s="22" t="n">
        <x:f>MOD($B$6*(A104-1)+$B$7,$A$14)+1</x:f>
        <x:v>214</x:v>
      </x:c>
      <x:c r="E104" s="22" t="n">
        <x:f>MOD($B$6*(A104-1)+$B$7,$A$15)+1</x:f>
        <x:v>714</x:v>
      </x:c>
      <x:c r="F104" s="18"/>
      <x:c r="G104" s="18"/>
      <x:c r="H104" s="18" t="str">
        <x:v>pairing identity only</x:v>
      </x:c>
    </x:row>
    <x:row r="105" ht="22" customHeight="1">
      <x:c r="A105" s="22" t="n">
        <x:v>80</x:v>
      </x:c>
      <x:c r="B105" s="22" t="n">
        <x:f>MOD($B$6*(A105-1)+$B$7,$A$12)+1</x:f>
        <x:v>37</x:v>
      </x:c>
      <x:c r="C105" s="22" t="n">
        <x:f>MOD($B$6*(A105-1)+$B$7,$A$13)+1</x:f>
        <x:v>37</x:v>
      </x:c>
      <x:c r="D105" s="22" t="n">
        <x:f>MOD($B$6*(A105-1)+$B$7,$A$14)+1</x:f>
        <x:v>287</x:v>
      </x:c>
      <x:c r="E105" s="22" t="n">
        <x:f>MOD($B$6*(A105-1)+$B$7,$A$15)+1</x:f>
        <x:v>787</x:v>
      </x:c>
      <x:c r="F105" s="18"/>
      <x:c r="G105" s="18"/>
      <x:c r="H105" s="18" t="str">
        <x:v>pairing identity only</x:v>
      </x:c>
    </x:row>
    <x:row r="106" ht="22" customHeight="1">
      <x:c r="A106" s="22" t="n">
        <x:v>81</x:v>
      </x:c>
      <x:c r="B106" s="22" t="n">
        <x:f>MOD($B$6*(A106-1)+$B$7,$A$12)+1</x:f>
        <x:v>110</x:v>
      </x:c>
      <x:c r="C106" s="22" t="n">
        <x:f>MOD($B$6*(A106-1)+$B$7,$A$13)+1</x:f>
        <x:v>110</x:v>
      </x:c>
      <x:c r="D106" s="22" t="n">
        <x:f>MOD($B$6*(A106-1)+$B$7,$A$14)+1</x:f>
        <x:v>360</x:v>
      </x:c>
      <x:c r="E106" s="22" t="n">
        <x:f>MOD($B$6*(A106-1)+$B$7,$A$15)+1</x:f>
        <x:v>860</x:v>
      </x:c>
      <x:c r="F106" s="18"/>
      <x:c r="G106" s="18"/>
      <x:c r="H106" s="18" t="str">
        <x:v>pairing identity only</x:v>
      </x:c>
    </x:row>
    <x:row r="107" ht="22" customHeight="1">
      <x:c r="A107" s="22" t="n">
        <x:v>82</x:v>
      </x:c>
      <x:c r="B107" s="22" t="n">
        <x:f>MOD($B$6*(A107-1)+$B$7,$A$12)+1</x:f>
        <x:v>58</x:v>
      </x:c>
      <x:c r="C107" s="22" t="n">
        <x:f>MOD($B$6*(A107-1)+$B$7,$A$13)+1</x:f>
        <x:v>183</x:v>
      </x:c>
      <x:c r="D107" s="22" t="n">
        <x:f>MOD($B$6*(A107-1)+$B$7,$A$14)+1</x:f>
        <x:v>433</x:v>
      </x:c>
      <x:c r="E107" s="22" t="n">
        <x:f>MOD($B$6*(A107-1)+$B$7,$A$15)+1</x:f>
        <x:v>933</x:v>
      </x:c>
      <x:c r="F107" s="18"/>
      <x:c r="G107" s="18"/>
      <x:c r="H107" s="18" t="str">
        <x:v>pairing identity only</x:v>
      </x:c>
    </x:row>
    <x:row r="108" ht="22" customHeight="1">
      <x:c r="A108" s="22" t="n">
        <x:v>83</x:v>
      </x:c>
      <x:c r="B108" s="22" t="n">
        <x:f>MOD($B$6*(A108-1)+$B$7,$A$12)+1</x:f>
        <x:v>6</x:v>
      </x:c>
      <x:c r="C108" s="22" t="n">
        <x:f>MOD($B$6*(A108-1)+$B$7,$A$13)+1</x:f>
        <x:v>6</x:v>
      </x:c>
      <x:c r="D108" s="22" t="n">
        <x:f>MOD($B$6*(A108-1)+$B$7,$A$14)+1</x:f>
        <x:v>6</x:v>
      </x:c>
      <x:c r="E108" s="22" t="n">
        <x:f>MOD($B$6*(A108-1)+$B$7,$A$15)+1</x:f>
        <x:v>6</x:v>
      </x:c>
      <x:c r="F108" s="18"/>
      <x:c r="G108" s="18"/>
      <x:c r="H108" s="18" t="str">
        <x:v>pairing identity only</x:v>
      </x:c>
    </x:row>
    <x:row r="109" ht="22" customHeight="1">
      <x:c r="A109" s="22" t="n">
        <x:v>84</x:v>
      </x:c>
      <x:c r="B109" s="22" t="n">
        <x:f>MOD($B$6*(A109-1)+$B$7,$A$12)+1</x:f>
        <x:v>79</x:v>
      </x:c>
      <x:c r="C109" s="22" t="n">
        <x:f>MOD($B$6*(A109-1)+$B$7,$A$13)+1</x:f>
        <x:v>79</x:v>
      </x:c>
      <x:c r="D109" s="22" t="n">
        <x:f>MOD($B$6*(A109-1)+$B$7,$A$14)+1</x:f>
        <x:v>79</x:v>
      </x:c>
      <x:c r="E109" s="22" t="n">
        <x:f>MOD($B$6*(A109-1)+$B$7,$A$15)+1</x:f>
        <x:v>79</x:v>
      </x:c>
      <x:c r="F109" s="18"/>
      <x:c r="G109" s="18"/>
      <x:c r="H109" s="18" t="str">
        <x:v>pairing identity only</x:v>
      </x:c>
    </x:row>
    <x:row r="110" ht="22" customHeight="1">
      <x:c r="A110" s="22" t="n">
        <x:v>85</x:v>
      </x:c>
      <x:c r="B110" s="22" t="n">
        <x:f>MOD($B$6*(A110-1)+$B$7,$A$12)+1</x:f>
        <x:v>27</x:v>
      </x:c>
      <x:c r="C110" s="22" t="n">
        <x:f>MOD($B$6*(A110-1)+$B$7,$A$13)+1</x:f>
        <x:v>152</x:v>
      </x:c>
      <x:c r="D110" s="22" t="n">
        <x:f>MOD($B$6*(A110-1)+$B$7,$A$14)+1</x:f>
        <x:v>152</x:v>
      </x:c>
      <x:c r="E110" s="22" t="n">
        <x:f>MOD($B$6*(A110-1)+$B$7,$A$15)+1</x:f>
        <x:v>152</x:v>
      </x:c>
      <x:c r="F110" s="18"/>
      <x:c r="G110" s="18"/>
      <x:c r="H110" s="18" t="str">
        <x:v>pairing identity only</x:v>
      </x:c>
    </x:row>
    <x:row r="111" ht="22" customHeight="1">
      <x:c r="A111" s="22" t="n">
        <x:v>86</x:v>
      </x:c>
      <x:c r="B111" s="22" t="n">
        <x:f>MOD($B$6*(A111-1)+$B$7,$A$12)+1</x:f>
        <x:v>100</x:v>
      </x:c>
      <x:c r="C111" s="22" t="n">
        <x:f>MOD($B$6*(A111-1)+$B$7,$A$13)+1</x:f>
        <x:v>225</x:v>
      </x:c>
      <x:c r="D111" s="22" t="n">
        <x:f>MOD($B$6*(A111-1)+$B$7,$A$14)+1</x:f>
        <x:v>225</x:v>
      </x:c>
      <x:c r="E111" s="22" t="n">
        <x:f>MOD($B$6*(A111-1)+$B$7,$A$15)+1</x:f>
        <x:v>225</x:v>
      </x:c>
      <x:c r="F111" s="18"/>
      <x:c r="G111" s="18"/>
      <x:c r="H111" s="18" t="str">
        <x:v>pairing identity only</x:v>
      </x:c>
    </x:row>
    <x:row r="112" ht="22" customHeight="1">
      <x:c r="A112" s="22" t="n">
        <x:v>87</x:v>
      </x:c>
      <x:c r="B112" s="22" t="n">
        <x:f>MOD($B$6*(A112-1)+$B$7,$A$12)+1</x:f>
        <x:v>48</x:v>
      </x:c>
      <x:c r="C112" s="22" t="n">
        <x:f>MOD($B$6*(A112-1)+$B$7,$A$13)+1</x:f>
        <x:v>48</x:v>
      </x:c>
      <x:c r="D112" s="22" t="n">
        <x:f>MOD($B$6*(A112-1)+$B$7,$A$14)+1</x:f>
        <x:v>298</x:v>
      </x:c>
      <x:c r="E112" s="22" t="n">
        <x:f>MOD($B$6*(A112-1)+$B$7,$A$15)+1</x:f>
        <x:v>298</x:v>
      </x:c>
      <x:c r="F112" s="18"/>
      <x:c r="G112" s="18"/>
      <x:c r="H112" s="18" t="str">
        <x:v>pairing identity only</x:v>
      </x:c>
    </x:row>
    <x:row r="113" ht="22" customHeight="1">
      <x:c r="A113" s="22" t="n">
        <x:v>88</x:v>
      </x:c>
      <x:c r="B113" s="22" t="n">
        <x:f>MOD($B$6*(A113-1)+$B$7,$A$12)+1</x:f>
        <x:v>121</x:v>
      </x:c>
      <x:c r="C113" s="22" t="n">
        <x:f>MOD($B$6*(A113-1)+$B$7,$A$13)+1</x:f>
        <x:v>121</x:v>
      </x:c>
      <x:c r="D113" s="22" t="n">
        <x:f>MOD($B$6*(A113-1)+$B$7,$A$14)+1</x:f>
        <x:v>371</x:v>
      </x:c>
      <x:c r="E113" s="22" t="n">
        <x:f>MOD($B$6*(A113-1)+$B$7,$A$15)+1</x:f>
        <x:v>371</x:v>
      </x:c>
      <x:c r="F113" s="18"/>
      <x:c r="G113" s="18"/>
      <x:c r="H113" s="18" t="str">
        <x:v>pairing identity only</x:v>
      </x:c>
    </x:row>
    <x:row r="114" ht="22" customHeight="1">
      <x:c r="A114" s="22" t="n">
        <x:v>89</x:v>
      </x:c>
      <x:c r="B114" s="22" t="n">
        <x:f>MOD($B$6*(A114-1)+$B$7,$A$12)+1</x:f>
        <x:v>69</x:v>
      </x:c>
      <x:c r="C114" s="22" t="n">
        <x:f>MOD($B$6*(A114-1)+$B$7,$A$13)+1</x:f>
        <x:v>194</x:v>
      </x:c>
      <x:c r="D114" s="22" t="n">
        <x:f>MOD($B$6*(A114-1)+$B$7,$A$14)+1</x:f>
        <x:v>444</x:v>
      </x:c>
      <x:c r="E114" s="22" t="n">
        <x:f>MOD($B$6*(A114-1)+$B$7,$A$15)+1</x:f>
        <x:v>444</x:v>
      </x:c>
      <x:c r="F114" s="18"/>
      <x:c r="G114" s="18"/>
      <x:c r="H114" s="18" t="str">
        <x:v>pairing identity only</x:v>
      </x:c>
    </x:row>
    <x:row r="115" ht="22" customHeight="1">
      <x:c r="A115" s="22" t="n">
        <x:v>90</x:v>
      </x:c>
      <x:c r="B115" s="22" t="n">
        <x:f>MOD($B$6*(A115-1)+$B$7,$A$12)+1</x:f>
        <x:v>17</x:v>
      </x:c>
      <x:c r="C115" s="22" t="n">
        <x:f>MOD($B$6*(A115-1)+$B$7,$A$13)+1</x:f>
        <x:v>17</x:v>
      </x:c>
      <x:c r="D115" s="22" t="n">
        <x:f>MOD($B$6*(A115-1)+$B$7,$A$14)+1</x:f>
        <x:v>17</x:v>
      </x:c>
      <x:c r="E115" s="22" t="n">
        <x:f>MOD($B$6*(A115-1)+$B$7,$A$15)+1</x:f>
        <x:v>517</x:v>
      </x:c>
      <x:c r="F115" s="18"/>
      <x:c r="G115" s="18"/>
      <x:c r="H115" s="18" t="str">
        <x:v>pairing identity only</x:v>
      </x:c>
    </x:row>
    <x:row r="116" ht="22" customHeight="1">
      <x:c r="A116" s="22" t="n">
        <x:v>91</x:v>
      </x:c>
      <x:c r="B116" s="22" t="n">
        <x:f>MOD($B$6*(A116-1)+$B$7,$A$12)+1</x:f>
        <x:v>90</x:v>
      </x:c>
      <x:c r="C116" s="22" t="n">
        <x:f>MOD($B$6*(A116-1)+$B$7,$A$13)+1</x:f>
        <x:v>90</x:v>
      </x:c>
      <x:c r="D116" s="22" t="n">
        <x:f>MOD($B$6*(A116-1)+$B$7,$A$14)+1</x:f>
        <x:v>90</x:v>
      </x:c>
      <x:c r="E116" s="22" t="n">
        <x:f>MOD($B$6*(A116-1)+$B$7,$A$15)+1</x:f>
        <x:v>590</x:v>
      </x:c>
      <x:c r="F116" s="18"/>
      <x:c r="G116" s="18"/>
      <x:c r="H116" s="18" t="str">
        <x:v>pairing identity only</x:v>
      </x:c>
    </x:row>
    <x:row r="117" ht="22" customHeight="1">
      <x:c r="A117" s="22" t="n">
        <x:v>92</x:v>
      </x:c>
      <x:c r="B117" s="22" t="n">
        <x:f>MOD($B$6*(A117-1)+$B$7,$A$12)+1</x:f>
        <x:v>38</x:v>
      </x:c>
      <x:c r="C117" s="22" t="n">
        <x:f>MOD($B$6*(A117-1)+$B$7,$A$13)+1</x:f>
        <x:v>163</x:v>
      </x:c>
      <x:c r="D117" s="22" t="n">
        <x:f>MOD($B$6*(A117-1)+$B$7,$A$14)+1</x:f>
        <x:v>163</x:v>
      </x:c>
      <x:c r="E117" s="22" t="n">
        <x:f>MOD($B$6*(A117-1)+$B$7,$A$15)+1</x:f>
        <x:v>663</x:v>
      </x:c>
      <x:c r="F117" s="18"/>
      <x:c r="G117" s="18"/>
      <x:c r="H117" s="18" t="str">
        <x:v>pairing identity only</x:v>
      </x:c>
    </x:row>
    <x:row r="118" ht="22" customHeight="1">
      <x:c r="A118" s="22" t="n">
        <x:v>93</x:v>
      </x:c>
      <x:c r="B118" s="22" t="n">
        <x:f>MOD($B$6*(A118-1)+$B$7,$A$12)+1</x:f>
        <x:v>111</x:v>
      </x:c>
      <x:c r="C118" s="22" t="n">
        <x:f>MOD($B$6*(A118-1)+$B$7,$A$13)+1</x:f>
        <x:v>236</x:v>
      </x:c>
      <x:c r="D118" s="22" t="n">
        <x:f>MOD($B$6*(A118-1)+$B$7,$A$14)+1</x:f>
        <x:v>236</x:v>
      </x:c>
      <x:c r="E118" s="22" t="n">
        <x:f>MOD($B$6*(A118-1)+$B$7,$A$15)+1</x:f>
        <x:v>736</x:v>
      </x:c>
      <x:c r="F118" s="18"/>
      <x:c r="G118" s="18"/>
      <x:c r="H118" s="18" t="str">
        <x:v>pairing identity only</x:v>
      </x:c>
    </x:row>
    <x:row r="119" ht="22" customHeight="1">
      <x:c r="A119" s="22" t="n">
        <x:v>94</x:v>
      </x:c>
      <x:c r="B119" s="22" t="n">
        <x:f>MOD($B$6*(A119-1)+$B$7,$A$12)+1</x:f>
        <x:v>59</x:v>
      </x:c>
      <x:c r="C119" s="22" t="n">
        <x:f>MOD($B$6*(A119-1)+$B$7,$A$13)+1</x:f>
        <x:v>59</x:v>
      </x:c>
      <x:c r="D119" s="22" t="n">
        <x:f>MOD($B$6*(A119-1)+$B$7,$A$14)+1</x:f>
        <x:v>309</x:v>
      </x:c>
      <x:c r="E119" s="22" t="n">
        <x:f>MOD($B$6*(A119-1)+$B$7,$A$15)+1</x:f>
        <x:v>809</x:v>
      </x:c>
      <x:c r="F119" s="18"/>
      <x:c r="G119" s="18"/>
      <x:c r="H119" s="18" t="str">
        <x:v>pairing identity only</x:v>
      </x:c>
    </x:row>
    <x:row r="120" ht="22" customHeight="1">
      <x:c r="A120" s="22" t="n">
        <x:v>95</x:v>
      </x:c>
      <x:c r="B120" s="22" t="n">
        <x:f>MOD($B$6*(A120-1)+$B$7,$A$12)+1</x:f>
        <x:v>7</x:v>
      </x:c>
      <x:c r="C120" s="22" t="n">
        <x:f>MOD($B$6*(A120-1)+$B$7,$A$13)+1</x:f>
        <x:v>132</x:v>
      </x:c>
      <x:c r="D120" s="22" t="n">
        <x:f>MOD($B$6*(A120-1)+$B$7,$A$14)+1</x:f>
        <x:v>382</x:v>
      </x:c>
      <x:c r="E120" s="22" t="n">
        <x:f>MOD($B$6*(A120-1)+$B$7,$A$15)+1</x:f>
        <x:v>882</x:v>
      </x:c>
      <x:c r="F120" s="18"/>
      <x:c r="G120" s="18"/>
      <x:c r="H120" s="18" t="str">
        <x:v>pairing identity only</x:v>
      </x:c>
    </x:row>
    <x:row r="121" ht="22" customHeight="1">
      <x:c r="A121" s="22" t="n">
        <x:v>96</x:v>
      </x:c>
      <x:c r="B121" s="22" t="n">
        <x:f>MOD($B$6*(A121-1)+$B$7,$A$12)+1</x:f>
        <x:v>80</x:v>
      </x:c>
      <x:c r="C121" s="22" t="n">
        <x:f>MOD($B$6*(A121-1)+$B$7,$A$13)+1</x:f>
        <x:v>205</x:v>
      </x:c>
      <x:c r="D121" s="22" t="n">
        <x:f>MOD($B$6*(A121-1)+$B$7,$A$14)+1</x:f>
        <x:v>455</x:v>
      </x:c>
      <x:c r="E121" s="22" t="n">
        <x:f>MOD($B$6*(A121-1)+$B$7,$A$15)+1</x:f>
        <x:v>955</x:v>
      </x:c>
      <x:c r="F121" s="18"/>
      <x:c r="G121" s="18"/>
      <x:c r="H121" s="18" t="str">
        <x:v>pairing identity only</x:v>
      </x:c>
    </x:row>
    <x:row r="122" ht="22" customHeight="1">
      <x:c r="A122" s="22" t="n">
        <x:v>97</x:v>
      </x:c>
      <x:c r="B122" s="22" t="n">
        <x:f>MOD($B$6*(A122-1)+$B$7,$A$12)+1</x:f>
        <x:v>28</x:v>
      </x:c>
      <x:c r="C122" s="22" t="n">
        <x:f>MOD($B$6*(A122-1)+$B$7,$A$13)+1</x:f>
        <x:v>28</x:v>
      </x:c>
      <x:c r="D122" s="22" t="n">
        <x:f>MOD($B$6*(A122-1)+$B$7,$A$14)+1</x:f>
        <x:v>28</x:v>
      </x:c>
      <x:c r="E122" s="22" t="n">
        <x:f>MOD($B$6*(A122-1)+$B$7,$A$15)+1</x:f>
        <x:v>28</x:v>
      </x:c>
      <x:c r="F122" s="18"/>
      <x:c r="G122" s="18"/>
      <x:c r="H122" s="18" t="str">
        <x:v>pairing identity only</x:v>
      </x:c>
    </x:row>
    <x:row r="123" ht="22" customHeight="1">
      <x:c r="A123" s="22" t="n">
        <x:v>98</x:v>
      </x:c>
      <x:c r="B123" s="22" t="n">
        <x:f>MOD($B$6*(A123-1)+$B$7,$A$12)+1</x:f>
        <x:v>101</x:v>
      </x:c>
      <x:c r="C123" s="22" t="n">
        <x:f>MOD($B$6*(A123-1)+$B$7,$A$13)+1</x:f>
        <x:v>101</x:v>
      </x:c>
      <x:c r="D123" s="22" t="n">
        <x:f>MOD($B$6*(A123-1)+$B$7,$A$14)+1</x:f>
        <x:v>101</x:v>
      </x:c>
      <x:c r="E123" s="22" t="n">
        <x:f>MOD($B$6*(A123-1)+$B$7,$A$15)+1</x:f>
        <x:v>101</x:v>
      </x:c>
      <x:c r="F123" s="18"/>
      <x:c r="G123" s="18"/>
      <x:c r="H123" s="18" t="str">
        <x:v>pairing identity only</x:v>
      </x:c>
    </x:row>
    <x:row r="124" ht="22" customHeight="1">
      <x:c r="A124" s="22" t="n">
        <x:v>99</x:v>
      </x:c>
      <x:c r="B124" s="22" t="n">
        <x:f>MOD($B$6*(A124-1)+$B$7,$A$12)+1</x:f>
        <x:v>49</x:v>
      </x:c>
      <x:c r="C124" s="22" t="n">
        <x:f>MOD($B$6*(A124-1)+$B$7,$A$13)+1</x:f>
        <x:v>174</x:v>
      </x:c>
      <x:c r="D124" s="22" t="n">
        <x:f>MOD($B$6*(A124-1)+$B$7,$A$14)+1</x:f>
        <x:v>174</x:v>
      </x:c>
      <x:c r="E124" s="22" t="n">
        <x:f>MOD($B$6*(A124-1)+$B$7,$A$15)+1</x:f>
        <x:v>174</x:v>
      </x:c>
      <x:c r="F124" s="18"/>
      <x:c r="G124" s="18"/>
      <x:c r="H124" s="18" t="str">
        <x:v>pairing identity only</x:v>
      </x:c>
    </x:row>
    <x:row r="125" ht="22" customHeight="1">
      <x:c r="A125" s="22" t="n">
        <x:v>100</x:v>
      </x:c>
      <x:c r="B125" s="22" t="n">
        <x:f>MOD($B$6*(A125-1)+$B$7,$A$12)+1</x:f>
        <x:v>122</x:v>
      </x:c>
      <x:c r="C125" s="22" t="n">
        <x:f>MOD($B$6*(A125-1)+$B$7,$A$13)+1</x:f>
        <x:v>247</x:v>
      </x:c>
      <x:c r="D125" s="22" t="n">
        <x:f>MOD($B$6*(A125-1)+$B$7,$A$14)+1</x:f>
        <x:v>247</x:v>
      </x:c>
      <x:c r="E125" s="22" t="n">
        <x:f>MOD($B$6*(A125-1)+$B$7,$A$15)+1</x:f>
        <x:v>247</x:v>
      </x:c>
      <x:c r="F125" s="18"/>
      <x:c r="G125" s="18"/>
      <x:c r="H125" s="18" t="str">
        <x:v>pairing identity only</x:v>
      </x:c>
    </x:row>
    <x:row r="126" ht="22" customHeight="1">
      <x:c r="A126" s="22" t="n">
        <x:v>101</x:v>
      </x:c>
      <x:c r="B126" s="22" t="n">
        <x:f>MOD($B$6*(A126-1)+$B$7,$A$12)+1</x:f>
        <x:v>70</x:v>
      </x:c>
      <x:c r="C126" s="22" t="n">
        <x:f>MOD($B$6*(A126-1)+$B$7,$A$13)+1</x:f>
        <x:v>70</x:v>
      </x:c>
      <x:c r="D126" s="22" t="n">
        <x:f>MOD($B$6*(A126-1)+$B$7,$A$14)+1</x:f>
        <x:v>320</x:v>
      </x:c>
      <x:c r="E126" s="22" t="n">
        <x:f>MOD($B$6*(A126-1)+$B$7,$A$15)+1</x:f>
        <x:v>320</x:v>
      </x:c>
      <x:c r="F126" s="18"/>
      <x:c r="G126" s="18"/>
      <x:c r="H126" s="18" t="str">
        <x:v>pairing identity only</x:v>
      </x:c>
    </x:row>
    <x:row r="127" ht="22" customHeight="1">
      <x:c r="A127" s="22" t="n">
        <x:v>102</x:v>
      </x:c>
      <x:c r="B127" s="22" t="n">
        <x:f>MOD($B$6*(A127-1)+$B$7,$A$12)+1</x:f>
        <x:v>18</x:v>
      </x:c>
      <x:c r="C127" s="22" t="n">
        <x:f>MOD($B$6*(A127-1)+$B$7,$A$13)+1</x:f>
        <x:v>143</x:v>
      </x:c>
      <x:c r="D127" s="22" t="n">
        <x:f>MOD($B$6*(A127-1)+$B$7,$A$14)+1</x:f>
        <x:v>393</x:v>
      </x:c>
      <x:c r="E127" s="22" t="n">
        <x:f>MOD($B$6*(A127-1)+$B$7,$A$15)+1</x:f>
        <x:v>393</x:v>
      </x:c>
      <x:c r="F127" s="18"/>
      <x:c r="G127" s="18"/>
      <x:c r="H127" s="18" t="str">
        <x:v>pairing identity only</x:v>
      </x:c>
    </x:row>
    <x:row r="128" ht="22" customHeight="1">
      <x:c r="A128" s="22" t="n">
        <x:v>103</x:v>
      </x:c>
      <x:c r="B128" s="22" t="n">
        <x:f>MOD($B$6*(A128-1)+$B$7,$A$12)+1</x:f>
        <x:v>91</x:v>
      </x:c>
      <x:c r="C128" s="22" t="n">
        <x:f>MOD($B$6*(A128-1)+$B$7,$A$13)+1</x:f>
        <x:v>216</x:v>
      </x:c>
      <x:c r="D128" s="22" t="n">
        <x:f>MOD($B$6*(A128-1)+$B$7,$A$14)+1</x:f>
        <x:v>466</x:v>
      </x:c>
      <x:c r="E128" s="22" t="n">
        <x:f>MOD($B$6*(A128-1)+$B$7,$A$15)+1</x:f>
        <x:v>466</x:v>
      </x:c>
      <x:c r="F128" s="18"/>
      <x:c r="G128" s="18"/>
      <x:c r="H128" s="18" t="str">
        <x:v>pairing identity only</x:v>
      </x:c>
    </x:row>
    <x:row r="129" ht="22" customHeight="1">
      <x:c r="A129" s="22" t="n">
        <x:v>104</x:v>
      </x:c>
      <x:c r="B129" s="22" t="n">
        <x:f>MOD($B$6*(A129-1)+$B$7,$A$12)+1</x:f>
        <x:v>39</x:v>
      </x:c>
      <x:c r="C129" s="22" t="n">
        <x:f>MOD($B$6*(A129-1)+$B$7,$A$13)+1</x:f>
        <x:v>39</x:v>
      </x:c>
      <x:c r="D129" s="22" t="n">
        <x:f>MOD($B$6*(A129-1)+$B$7,$A$14)+1</x:f>
        <x:v>39</x:v>
      </x:c>
      <x:c r="E129" s="22" t="n">
        <x:f>MOD($B$6*(A129-1)+$B$7,$A$15)+1</x:f>
        <x:v>539</x:v>
      </x:c>
      <x:c r="F129" s="18"/>
      <x:c r="G129" s="18"/>
      <x:c r="H129" s="18" t="str">
        <x:v>pairing identity only</x:v>
      </x:c>
    </x:row>
    <x:row r="130" ht="22" customHeight="1">
      <x:c r="A130" s="22" t="n">
        <x:v>105</x:v>
      </x:c>
      <x:c r="B130" s="22" t="n">
        <x:f>MOD($B$6*(A130-1)+$B$7,$A$12)+1</x:f>
        <x:v>112</x:v>
      </x:c>
      <x:c r="C130" s="22" t="n">
        <x:f>MOD($B$6*(A130-1)+$B$7,$A$13)+1</x:f>
        <x:v>112</x:v>
      </x:c>
      <x:c r="D130" s="22" t="n">
        <x:f>MOD($B$6*(A130-1)+$B$7,$A$14)+1</x:f>
        <x:v>112</x:v>
      </x:c>
      <x:c r="E130" s="22" t="n">
        <x:f>MOD($B$6*(A130-1)+$B$7,$A$15)+1</x:f>
        <x:v>612</x:v>
      </x:c>
      <x:c r="F130" s="18"/>
      <x:c r="G130" s="18"/>
      <x:c r="H130" s="18" t="str">
        <x:v>pairing identity only</x:v>
      </x:c>
    </x:row>
    <x:row r="131" ht="22" customHeight="1">
      <x:c r="A131" s="22" t="n">
        <x:v>106</x:v>
      </x:c>
      <x:c r="B131" s="22" t="n">
        <x:f>MOD($B$6*(A131-1)+$B$7,$A$12)+1</x:f>
        <x:v>60</x:v>
      </x:c>
      <x:c r="C131" s="22" t="n">
        <x:f>MOD($B$6*(A131-1)+$B$7,$A$13)+1</x:f>
        <x:v>185</x:v>
      </x:c>
      <x:c r="D131" s="22" t="n">
        <x:f>MOD($B$6*(A131-1)+$B$7,$A$14)+1</x:f>
        <x:v>185</x:v>
      </x:c>
      <x:c r="E131" s="22" t="n">
        <x:f>MOD($B$6*(A131-1)+$B$7,$A$15)+1</x:f>
        <x:v>685</x:v>
      </x:c>
      <x:c r="F131" s="18"/>
      <x:c r="G131" s="18"/>
      <x:c r="H131" s="18" t="str">
        <x:v>pairing identity only</x:v>
      </x:c>
    </x:row>
    <x:row r="132" ht="22" customHeight="1">
      <x:c r="A132" s="22" t="n">
        <x:v>107</x:v>
      </x:c>
      <x:c r="B132" s="22" t="n">
        <x:f>MOD($B$6*(A132-1)+$B$7,$A$12)+1</x:f>
        <x:v>8</x:v>
      </x:c>
      <x:c r="C132" s="22" t="n">
        <x:f>MOD($B$6*(A132-1)+$B$7,$A$13)+1</x:f>
        <x:v>8</x:v>
      </x:c>
      <x:c r="D132" s="22" t="n">
        <x:f>MOD($B$6*(A132-1)+$B$7,$A$14)+1</x:f>
        <x:v>258</x:v>
      </x:c>
      <x:c r="E132" s="22" t="n">
        <x:f>MOD($B$6*(A132-1)+$B$7,$A$15)+1</x:f>
        <x:v>758</x:v>
      </x:c>
      <x:c r="F132" s="18"/>
      <x:c r="G132" s="18"/>
      <x:c r="H132" s="18" t="str">
        <x:v>pairing identity only</x:v>
      </x:c>
    </x:row>
    <x:row r="133" ht="22" customHeight="1">
      <x:c r="A133" s="22" t="n">
        <x:v>108</x:v>
      </x:c>
      <x:c r="B133" s="22" t="n">
        <x:f>MOD($B$6*(A133-1)+$B$7,$A$12)+1</x:f>
        <x:v>81</x:v>
      </x:c>
      <x:c r="C133" s="22" t="n">
        <x:f>MOD($B$6*(A133-1)+$B$7,$A$13)+1</x:f>
        <x:v>81</x:v>
      </x:c>
      <x:c r="D133" s="22" t="n">
        <x:f>MOD($B$6*(A133-1)+$B$7,$A$14)+1</x:f>
        <x:v>331</x:v>
      </x:c>
      <x:c r="E133" s="22" t="n">
        <x:f>MOD($B$6*(A133-1)+$B$7,$A$15)+1</x:f>
        <x:v>831</x:v>
      </x:c>
      <x:c r="F133" s="18"/>
      <x:c r="G133" s="18"/>
      <x:c r="H133" s="18" t="str">
        <x:v>pairing identity only</x:v>
      </x:c>
    </x:row>
    <x:row r="134" ht="22" customHeight="1">
      <x:c r="A134" s="22" t="n">
        <x:v>109</x:v>
      </x:c>
      <x:c r="B134" s="22" t="n">
        <x:f>MOD($B$6*(A134-1)+$B$7,$A$12)+1</x:f>
        <x:v>29</x:v>
      </x:c>
      <x:c r="C134" s="22" t="n">
        <x:f>MOD($B$6*(A134-1)+$B$7,$A$13)+1</x:f>
        <x:v>154</x:v>
      </x:c>
      <x:c r="D134" s="22" t="n">
        <x:f>MOD($B$6*(A134-1)+$B$7,$A$14)+1</x:f>
        <x:v>404</x:v>
      </x:c>
      <x:c r="E134" s="22" t="n">
        <x:f>MOD($B$6*(A134-1)+$B$7,$A$15)+1</x:f>
        <x:v>904</x:v>
      </x:c>
      <x:c r="F134" s="18"/>
      <x:c r="G134" s="18"/>
      <x:c r="H134" s="18" t="str">
        <x:v>pairing identity only</x:v>
      </x:c>
    </x:row>
    <x:row r="135" ht="22" customHeight="1">
      <x:c r="A135" s="22" t="n">
        <x:v>110</x:v>
      </x:c>
      <x:c r="B135" s="22" t="n">
        <x:f>MOD($B$6*(A135-1)+$B$7,$A$12)+1</x:f>
        <x:v>102</x:v>
      </x:c>
      <x:c r="C135" s="22" t="n">
        <x:f>MOD($B$6*(A135-1)+$B$7,$A$13)+1</x:f>
        <x:v>227</x:v>
      </x:c>
      <x:c r="D135" s="22" t="n">
        <x:f>MOD($B$6*(A135-1)+$B$7,$A$14)+1</x:f>
        <x:v>477</x:v>
      </x:c>
      <x:c r="E135" s="22" t="n">
        <x:f>MOD($B$6*(A135-1)+$B$7,$A$15)+1</x:f>
        <x:v>977</x:v>
      </x:c>
      <x:c r="F135" s="18"/>
      <x:c r="G135" s="18"/>
      <x:c r="H135" s="18" t="str">
        <x:v>pairing identity only</x:v>
      </x:c>
    </x:row>
    <x:row r="136" ht="22" customHeight="1">
      <x:c r="A136" s="22" t="n">
        <x:v>111</x:v>
      </x:c>
      <x:c r="B136" s="22" t="n">
        <x:f>MOD($B$6*(A136-1)+$B$7,$A$12)+1</x:f>
        <x:v>50</x:v>
      </x:c>
      <x:c r="C136" s="22" t="n">
        <x:f>MOD($B$6*(A136-1)+$B$7,$A$13)+1</x:f>
        <x:v>50</x:v>
      </x:c>
      <x:c r="D136" s="22" t="n">
        <x:f>MOD($B$6*(A136-1)+$B$7,$A$14)+1</x:f>
        <x:v>50</x:v>
      </x:c>
      <x:c r="E136" s="22" t="n">
        <x:f>MOD($B$6*(A136-1)+$B$7,$A$15)+1</x:f>
        <x:v>50</x:v>
      </x:c>
      <x:c r="F136" s="18"/>
      <x:c r="G136" s="18"/>
      <x:c r="H136" s="18" t="str">
        <x:v>pairing identity only</x:v>
      </x:c>
    </x:row>
    <x:row r="137" ht="22" customHeight="1">
      <x:c r="A137" s="22" t="n">
        <x:v>112</x:v>
      </x:c>
      <x:c r="B137" s="22" t="n">
        <x:f>MOD($B$6*(A137-1)+$B$7,$A$12)+1</x:f>
        <x:v>123</x:v>
      </x:c>
      <x:c r="C137" s="22" t="n">
        <x:f>MOD($B$6*(A137-1)+$B$7,$A$13)+1</x:f>
        <x:v>123</x:v>
      </x:c>
      <x:c r="D137" s="22" t="n">
        <x:f>MOD($B$6*(A137-1)+$B$7,$A$14)+1</x:f>
        <x:v>123</x:v>
      </x:c>
      <x:c r="E137" s="22" t="n">
        <x:f>MOD($B$6*(A137-1)+$B$7,$A$15)+1</x:f>
        <x:v>123</x:v>
      </x:c>
      <x:c r="F137" s="18"/>
      <x:c r="G137" s="18"/>
      <x:c r="H137" s="18" t="str">
        <x:v>pairing identity only</x:v>
      </x:c>
    </x:row>
    <x:row r="138" ht="22" customHeight="1">
      <x:c r="A138" s="22" t="n">
        <x:v>113</x:v>
      </x:c>
      <x:c r="B138" s="22" t="n">
        <x:f>MOD($B$6*(A138-1)+$B$7,$A$12)+1</x:f>
        <x:v>71</x:v>
      </x:c>
      <x:c r="C138" s="22" t="n">
        <x:f>MOD($B$6*(A138-1)+$B$7,$A$13)+1</x:f>
        <x:v>196</x:v>
      </x:c>
      <x:c r="D138" s="22" t="n">
        <x:f>MOD($B$6*(A138-1)+$B$7,$A$14)+1</x:f>
        <x:v>196</x:v>
      </x:c>
      <x:c r="E138" s="22" t="n">
        <x:f>MOD($B$6*(A138-1)+$B$7,$A$15)+1</x:f>
        <x:v>196</x:v>
      </x:c>
      <x:c r="F138" s="18"/>
      <x:c r="G138" s="18"/>
      <x:c r="H138" s="18" t="str">
        <x:v>pairing identity only</x:v>
      </x:c>
    </x:row>
    <x:row r="139" ht="22" customHeight="1">
      <x:c r="A139" s="22" t="n">
        <x:v>114</x:v>
      </x:c>
      <x:c r="B139" s="22" t="n">
        <x:f>MOD($B$6*(A139-1)+$B$7,$A$12)+1</x:f>
        <x:v>19</x:v>
      </x:c>
      <x:c r="C139" s="22" t="n">
        <x:f>MOD($B$6*(A139-1)+$B$7,$A$13)+1</x:f>
        <x:v>19</x:v>
      </x:c>
      <x:c r="D139" s="22" t="n">
        <x:f>MOD($B$6*(A139-1)+$B$7,$A$14)+1</x:f>
        <x:v>269</x:v>
      </x:c>
      <x:c r="E139" s="22" t="n">
        <x:f>MOD($B$6*(A139-1)+$B$7,$A$15)+1</x:f>
        <x:v>269</x:v>
      </x:c>
      <x:c r="F139" s="18"/>
      <x:c r="G139" s="18"/>
      <x:c r="H139" s="18" t="str">
        <x:v>pairing identity only</x:v>
      </x:c>
    </x:row>
    <x:row r="140" ht="22" customHeight="1">
      <x:c r="A140" s="22" t="n">
        <x:v>115</x:v>
      </x:c>
      <x:c r="B140" s="22" t="n">
        <x:f>MOD($B$6*(A140-1)+$B$7,$A$12)+1</x:f>
        <x:v>92</x:v>
      </x:c>
      <x:c r="C140" s="22" t="n">
        <x:f>MOD($B$6*(A140-1)+$B$7,$A$13)+1</x:f>
        <x:v>92</x:v>
      </x:c>
      <x:c r="D140" s="22" t="n">
        <x:f>MOD($B$6*(A140-1)+$B$7,$A$14)+1</x:f>
        <x:v>342</x:v>
      </x:c>
      <x:c r="E140" s="22" t="n">
        <x:f>MOD($B$6*(A140-1)+$B$7,$A$15)+1</x:f>
        <x:v>342</x:v>
      </x:c>
      <x:c r="F140" s="18"/>
      <x:c r="G140" s="18"/>
      <x:c r="H140" s="18" t="str">
        <x:v>pairing identity only</x:v>
      </x:c>
    </x:row>
    <x:row r="141" ht="22" customHeight="1">
      <x:c r="A141" s="22" t="n">
        <x:v>116</x:v>
      </x:c>
      <x:c r="B141" s="22" t="n">
        <x:f>MOD($B$6*(A141-1)+$B$7,$A$12)+1</x:f>
        <x:v>40</x:v>
      </x:c>
      <x:c r="C141" s="22" t="n">
        <x:f>MOD($B$6*(A141-1)+$B$7,$A$13)+1</x:f>
        <x:v>165</x:v>
      </x:c>
      <x:c r="D141" s="22" t="n">
        <x:f>MOD($B$6*(A141-1)+$B$7,$A$14)+1</x:f>
        <x:v>415</x:v>
      </x:c>
      <x:c r="E141" s="22" t="n">
        <x:f>MOD($B$6*(A141-1)+$B$7,$A$15)+1</x:f>
        <x:v>415</x:v>
      </x:c>
      <x:c r="F141" s="18"/>
      <x:c r="G141" s="18"/>
      <x:c r="H141" s="18" t="str">
        <x:v>pairing identity only</x:v>
      </x:c>
    </x:row>
    <x:row r="142" ht="22" customHeight="1">
      <x:c r="A142" s="22" t="n">
        <x:v>117</x:v>
      </x:c>
      <x:c r="B142" s="22" t="n">
        <x:f>MOD($B$6*(A142-1)+$B$7,$A$12)+1</x:f>
        <x:v>113</x:v>
      </x:c>
      <x:c r="C142" s="22" t="n">
        <x:f>MOD($B$6*(A142-1)+$B$7,$A$13)+1</x:f>
        <x:v>238</x:v>
      </x:c>
      <x:c r="D142" s="22" t="n">
        <x:f>MOD($B$6*(A142-1)+$B$7,$A$14)+1</x:f>
        <x:v>488</x:v>
      </x:c>
      <x:c r="E142" s="22" t="n">
        <x:f>MOD($B$6*(A142-1)+$B$7,$A$15)+1</x:f>
        <x:v>488</x:v>
      </x:c>
      <x:c r="F142" s="18"/>
      <x:c r="G142" s="18"/>
      <x:c r="H142" s="18" t="str">
        <x:v>pairing identity only</x:v>
      </x:c>
    </x:row>
    <x:row r="143" ht="22" customHeight="1">
      <x:c r="A143" s="22" t="n">
        <x:v>118</x:v>
      </x:c>
      <x:c r="B143" s="22" t="n">
        <x:f>MOD($B$6*(A143-1)+$B$7,$A$12)+1</x:f>
        <x:v>61</x:v>
      </x:c>
      <x:c r="C143" s="22" t="n">
        <x:f>MOD($B$6*(A143-1)+$B$7,$A$13)+1</x:f>
        <x:v>61</x:v>
      </x:c>
      <x:c r="D143" s="22" t="n">
        <x:f>MOD($B$6*(A143-1)+$B$7,$A$14)+1</x:f>
        <x:v>61</x:v>
      </x:c>
      <x:c r="E143" s="22" t="n">
        <x:f>MOD($B$6*(A143-1)+$B$7,$A$15)+1</x:f>
        <x:v>561</x:v>
      </x:c>
      <x:c r="F143" s="18"/>
      <x:c r="G143" s="18"/>
      <x:c r="H143" s="18" t="str">
        <x:v>pairing identity only</x:v>
      </x:c>
    </x:row>
    <x:row r="144" ht="22" customHeight="1">
      <x:c r="A144" s="22" t="n">
        <x:v>119</x:v>
      </x:c>
      <x:c r="B144" s="22" t="n">
        <x:f>MOD($B$6*(A144-1)+$B$7,$A$12)+1</x:f>
        <x:v>9</x:v>
      </x:c>
      <x:c r="C144" s="22" t="n">
        <x:f>MOD($B$6*(A144-1)+$B$7,$A$13)+1</x:f>
        <x:v>134</x:v>
      </x:c>
      <x:c r="D144" s="22" t="n">
        <x:f>MOD($B$6*(A144-1)+$B$7,$A$14)+1</x:f>
        <x:v>134</x:v>
      </x:c>
      <x:c r="E144" s="22" t="n">
        <x:f>MOD($B$6*(A144-1)+$B$7,$A$15)+1</x:f>
        <x:v>634</x:v>
      </x:c>
      <x:c r="F144" s="18"/>
      <x:c r="G144" s="18"/>
      <x:c r="H144" s="18" t="str">
        <x:v>pairing identity only</x:v>
      </x:c>
    </x:row>
    <x:row r="145" ht="22" customHeight="1">
      <x:c r="A145" s="22" t="n">
        <x:v>120</x:v>
      </x:c>
      <x:c r="B145" s="22" t="n">
        <x:f>MOD($B$6*(A145-1)+$B$7,$A$12)+1</x:f>
        <x:v>82</x:v>
      </x:c>
      <x:c r="C145" s="22" t="n">
        <x:f>MOD($B$6*(A145-1)+$B$7,$A$13)+1</x:f>
        <x:v>207</x:v>
      </x:c>
      <x:c r="D145" s="22" t="n">
        <x:f>MOD($B$6*(A145-1)+$B$7,$A$14)+1</x:f>
        <x:v>207</x:v>
      </x:c>
      <x:c r="E145" s="22" t="n">
        <x:f>MOD($B$6*(A145-1)+$B$7,$A$15)+1</x:f>
        <x:v>707</x:v>
      </x:c>
      <x:c r="F145" s="18"/>
      <x:c r="G145" s="18"/>
      <x:c r="H145" s="18" t="str">
        <x:v>pairing identity only</x:v>
      </x:c>
    </x:row>
    <x:row r="146" ht="22" customHeight="1">
      <x:c r="A146" s="22" t="n">
        <x:v>121</x:v>
      </x:c>
      <x:c r="B146" s="22" t="n">
        <x:f>MOD($B$6*(A146-1)+$B$7,$A$12)+1</x:f>
        <x:v>30</x:v>
      </x:c>
      <x:c r="C146" s="22" t="n">
        <x:f>MOD($B$6*(A146-1)+$B$7,$A$13)+1</x:f>
        <x:v>30</x:v>
      </x:c>
      <x:c r="D146" s="22" t="n">
        <x:f>MOD($B$6*(A146-1)+$B$7,$A$14)+1</x:f>
        <x:v>280</x:v>
      </x:c>
      <x:c r="E146" s="22" t="n">
        <x:f>MOD($B$6*(A146-1)+$B$7,$A$15)+1</x:f>
        <x:v>780</x:v>
      </x:c>
      <x:c r="F146" s="18"/>
      <x:c r="G146" s="18"/>
      <x:c r="H146" s="18" t="str">
        <x:v>pairing identity only</x:v>
      </x:c>
    </x:row>
    <x:row r="147" ht="22" customHeight="1">
      <x:c r="A147" s="22" t="n">
        <x:v>122</x:v>
      </x:c>
      <x:c r="B147" s="22" t="n">
        <x:f>MOD($B$6*(A147-1)+$B$7,$A$12)+1</x:f>
        <x:v>103</x:v>
      </x:c>
      <x:c r="C147" s="22" t="n">
        <x:f>MOD($B$6*(A147-1)+$B$7,$A$13)+1</x:f>
        <x:v>103</x:v>
      </x:c>
      <x:c r="D147" s="22" t="n">
        <x:f>MOD($B$6*(A147-1)+$B$7,$A$14)+1</x:f>
        <x:v>353</x:v>
      </x:c>
      <x:c r="E147" s="22" t="n">
        <x:f>MOD($B$6*(A147-1)+$B$7,$A$15)+1</x:f>
        <x:v>853</x:v>
      </x:c>
      <x:c r="F147" s="18"/>
      <x:c r="G147" s="18"/>
      <x:c r="H147" s="18" t="str">
        <x:v>pairing identity only</x:v>
      </x:c>
    </x:row>
    <x:row r="148" ht="22" customHeight="1">
      <x:c r="A148" s="22" t="n">
        <x:v>123</x:v>
      </x:c>
      <x:c r="B148" s="22" t="n">
        <x:f>MOD($B$6*(A148-1)+$B$7,$A$12)+1</x:f>
        <x:v>51</x:v>
      </x:c>
      <x:c r="C148" s="22" t="n">
        <x:f>MOD($B$6*(A148-1)+$B$7,$A$13)+1</x:f>
        <x:v>176</x:v>
      </x:c>
      <x:c r="D148" s="22" t="n">
        <x:f>MOD($B$6*(A148-1)+$B$7,$A$14)+1</x:f>
        <x:v>426</x:v>
      </x:c>
      <x:c r="E148" s="22" t="n">
        <x:f>MOD($B$6*(A148-1)+$B$7,$A$15)+1</x:f>
        <x:v>926</x:v>
      </x:c>
      <x:c r="F148" s="18"/>
      <x:c r="G148" s="18"/>
      <x:c r="H148" s="18" t="str">
        <x:v>pairing identity only</x:v>
      </x:c>
    </x:row>
    <x:row r="149" ht="22" customHeight="1">
      <x:c r="A149" s="22" t="n">
        <x:v>124</x:v>
      </x:c>
      <x:c r="B149" s="22" t="n">
        <x:f>MOD($B$6*(A149-1)+$B$7,$A$12)+1</x:f>
        <x:v>124</x:v>
      </x:c>
      <x:c r="C149" s="22" t="n">
        <x:f>MOD($B$6*(A149-1)+$B$7,$A$13)+1</x:f>
        <x:v>249</x:v>
      </x:c>
      <x:c r="D149" s="22" t="n">
        <x:f>MOD($B$6*(A149-1)+$B$7,$A$14)+1</x:f>
        <x:v>499</x:v>
      </x:c>
      <x:c r="E149" s="22" t="n">
        <x:f>MOD($B$6*(A149-1)+$B$7,$A$15)+1</x:f>
        <x:v>999</x:v>
      </x:c>
      <x:c r="F149" s="18"/>
      <x:c r="G149" s="18"/>
      <x:c r="H149" s="18" t="str">
        <x:v>pairing identity only</x:v>
      </x:c>
    </x:row>
    <x:row r="150" ht="22" customHeight="1">
      <x:c r="A150" s="22" t="n">
        <x:v>125</x:v>
      </x:c>
      <x:c r="B150" s="22" t="n">
        <x:f>MOD($B$6*(A150-1)+$B$7,$A$12)+1</x:f>
        <x:v>72</x:v>
      </x:c>
      <x:c r="C150" s="22" t="n">
        <x:f>MOD($B$6*(A150-1)+$B$7,$A$13)+1</x:f>
        <x:v>72</x:v>
      </x:c>
      <x:c r="D150" s="22" t="n">
        <x:f>MOD($B$6*(A150-1)+$B$7,$A$14)+1</x:f>
        <x:v>72</x:v>
      </x:c>
      <x:c r="E150" s="22" t="n">
        <x:f>MOD($B$6*(A150-1)+$B$7,$A$15)+1</x:f>
        <x:v>72</x:v>
      </x:c>
      <x:c r="F150" s="18"/>
      <x:c r="G150" s="18"/>
      <x:c r="H150" s="18" t="str">
        <x:v>pairing identity only</x:v>
      </x:c>
    </x:row>
    <x:row r="151" ht="22" customHeight="1">
      <x:c r="A151" s="22" t="n">
        <x:v>126</x:v>
      </x:c>
      <x:c r="B151" s="22" t="n">
        <x:f>MOD($B$6*(A151-1)+$B$7,$A$12)+1</x:f>
        <x:v>20</x:v>
      </x:c>
      <x:c r="C151" s="22" t="n">
        <x:f>MOD($B$6*(A151-1)+$B$7,$A$13)+1</x:f>
        <x:v>145</x:v>
      </x:c>
      <x:c r="D151" s="22" t="n">
        <x:f>MOD($B$6*(A151-1)+$B$7,$A$14)+1</x:f>
        <x:v>145</x:v>
      </x:c>
      <x:c r="E151" s="22" t="n">
        <x:f>MOD($B$6*(A151-1)+$B$7,$A$15)+1</x:f>
        <x:v>145</x:v>
      </x:c>
      <x:c r="F151" s="18"/>
      <x:c r="G151" s="18"/>
      <x:c r="H151" s="18" t="str">
        <x:v>pairing identity only</x:v>
      </x:c>
    </x:row>
    <x:row r="152" ht="22" customHeight="1">
      <x:c r="A152" s="22" t="n">
        <x:v>127</x:v>
      </x:c>
      <x:c r="B152" s="22" t="n">
        <x:f>MOD($B$6*(A152-1)+$B$7,$A$12)+1</x:f>
        <x:v>93</x:v>
      </x:c>
      <x:c r="C152" s="22" t="n">
        <x:f>MOD($B$6*(A152-1)+$B$7,$A$13)+1</x:f>
        <x:v>218</x:v>
      </x:c>
      <x:c r="D152" s="22" t="n">
        <x:f>MOD($B$6*(A152-1)+$B$7,$A$14)+1</x:f>
        <x:v>218</x:v>
      </x:c>
      <x:c r="E152" s="22" t="n">
        <x:f>MOD($B$6*(A152-1)+$B$7,$A$15)+1</x:f>
        <x:v>218</x:v>
      </x:c>
      <x:c r="F152" s="18"/>
      <x:c r="G152" s="18"/>
      <x:c r="H152" s="18" t="str">
        <x:v>pairing identity only</x:v>
      </x:c>
    </x:row>
    <x:row r="153" ht="22" customHeight="1">
      <x:c r="A153" s="22" t="n">
        <x:v>128</x:v>
      </x:c>
      <x:c r="B153" s="22" t="n">
        <x:f>MOD($B$6*(A153-1)+$B$7,$A$12)+1</x:f>
        <x:v>41</x:v>
      </x:c>
      <x:c r="C153" s="22" t="n">
        <x:f>MOD($B$6*(A153-1)+$B$7,$A$13)+1</x:f>
        <x:v>41</x:v>
      </x:c>
      <x:c r="D153" s="22" t="n">
        <x:f>MOD($B$6*(A153-1)+$B$7,$A$14)+1</x:f>
        <x:v>291</x:v>
      </x:c>
      <x:c r="E153" s="22" t="n">
        <x:f>MOD($B$6*(A153-1)+$B$7,$A$15)+1</x:f>
        <x:v>291</x:v>
      </x:c>
      <x:c r="F153" s="18"/>
      <x:c r="G153" s="18"/>
      <x:c r="H153" s="18" t="str">
        <x:v>pairing identity only</x:v>
      </x:c>
    </x:row>
    <x:row r="154" ht="22" customHeight="1">
      <x:c r="A154" s="22" t="n">
        <x:v>129</x:v>
      </x:c>
      <x:c r="B154" s="22" t="n">
        <x:f>MOD($B$6*(A154-1)+$B$7,$A$12)+1</x:f>
        <x:v>114</x:v>
      </x:c>
      <x:c r="C154" s="22" t="n">
        <x:f>MOD($B$6*(A154-1)+$B$7,$A$13)+1</x:f>
        <x:v>114</x:v>
      </x:c>
      <x:c r="D154" s="22" t="n">
        <x:f>MOD($B$6*(A154-1)+$B$7,$A$14)+1</x:f>
        <x:v>364</x:v>
      </x:c>
      <x:c r="E154" s="22" t="n">
        <x:f>MOD($B$6*(A154-1)+$B$7,$A$15)+1</x:f>
        <x:v>364</x:v>
      </x:c>
      <x:c r="F154" s="18"/>
      <x:c r="G154" s="18"/>
      <x:c r="H154" s="18" t="str">
        <x:v>pairing identity only</x:v>
      </x:c>
    </x:row>
    <x:row r="155" ht="22" customHeight="1">
      <x:c r="A155" s="22" t="n">
        <x:v>130</x:v>
      </x:c>
      <x:c r="B155" s="22" t="n">
        <x:f>MOD($B$6*(A155-1)+$B$7,$A$12)+1</x:f>
        <x:v>62</x:v>
      </x:c>
      <x:c r="C155" s="22" t="n">
        <x:f>MOD($B$6*(A155-1)+$B$7,$A$13)+1</x:f>
        <x:v>187</x:v>
      </x:c>
      <x:c r="D155" s="22" t="n">
        <x:f>MOD($B$6*(A155-1)+$B$7,$A$14)+1</x:f>
        <x:v>437</x:v>
      </x:c>
      <x:c r="E155" s="22" t="n">
        <x:f>MOD($B$6*(A155-1)+$B$7,$A$15)+1</x:f>
        <x:v>437</x:v>
      </x:c>
      <x:c r="F155" s="18"/>
      <x:c r="G155" s="18"/>
      <x:c r="H155" s="18" t="str">
        <x:v>pairing identity only</x:v>
      </x:c>
    </x:row>
    <x:row r="156" ht="22" customHeight="1">
      <x:c r="A156" s="22" t="n">
        <x:v>131</x:v>
      </x:c>
      <x:c r="B156" s="22" t="n">
        <x:f>MOD($B$6*(A156-1)+$B$7,$A$12)+1</x:f>
        <x:v>10</x:v>
      </x:c>
      <x:c r="C156" s="22" t="n">
        <x:f>MOD($B$6*(A156-1)+$B$7,$A$13)+1</x:f>
        <x:v>10</x:v>
      </x:c>
      <x:c r="D156" s="22" t="n">
        <x:f>MOD($B$6*(A156-1)+$B$7,$A$14)+1</x:f>
        <x:v>10</x:v>
      </x:c>
      <x:c r="E156" s="22" t="n">
        <x:f>MOD($B$6*(A156-1)+$B$7,$A$15)+1</x:f>
        <x:v>510</x:v>
      </x:c>
      <x:c r="F156" s="18"/>
      <x:c r="G156" s="18"/>
      <x:c r="H156" s="18" t="str">
        <x:v>pairing identity only</x:v>
      </x:c>
    </x:row>
    <x:row r="157" ht="22" customHeight="1">
      <x:c r="A157" s="22" t="n">
        <x:v>132</x:v>
      </x:c>
      <x:c r="B157" s="22" t="n">
        <x:f>MOD($B$6*(A157-1)+$B$7,$A$12)+1</x:f>
        <x:v>83</x:v>
      </x:c>
      <x:c r="C157" s="22" t="n">
        <x:f>MOD($B$6*(A157-1)+$B$7,$A$13)+1</x:f>
        <x:v>83</x:v>
      </x:c>
      <x:c r="D157" s="22" t="n">
        <x:f>MOD($B$6*(A157-1)+$B$7,$A$14)+1</x:f>
        <x:v>83</x:v>
      </x:c>
      <x:c r="E157" s="22" t="n">
        <x:f>MOD($B$6*(A157-1)+$B$7,$A$15)+1</x:f>
        <x:v>583</x:v>
      </x:c>
      <x:c r="F157" s="18"/>
      <x:c r="G157" s="18"/>
      <x:c r="H157" s="18" t="str">
        <x:v>pairing identity only</x:v>
      </x:c>
    </x:row>
    <x:row r="158" ht="22" customHeight="1">
      <x:c r="A158" s="22" t="n">
        <x:v>133</x:v>
      </x:c>
      <x:c r="B158" s="22" t="n">
        <x:f>MOD($B$6*(A158-1)+$B$7,$A$12)+1</x:f>
        <x:v>31</x:v>
      </x:c>
      <x:c r="C158" s="22" t="n">
        <x:f>MOD($B$6*(A158-1)+$B$7,$A$13)+1</x:f>
        <x:v>156</x:v>
      </x:c>
      <x:c r="D158" s="22" t="n">
        <x:f>MOD($B$6*(A158-1)+$B$7,$A$14)+1</x:f>
        <x:v>156</x:v>
      </x:c>
      <x:c r="E158" s="22" t="n">
        <x:f>MOD($B$6*(A158-1)+$B$7,$A$15)+1</x:f>
        <x:v>656</x:v>
      </x:c>
      <x:c r="F158" s="18"/>
      <x:c r="G158" s="18"/>
      <x:c r="H158" s="18" t="str">
        <x:v>pairing identity only</x:v>
      </x:c>
    </x:row>
    <x:row r="159" ht="22" customHeight="1">
      <x:c r="A159" s="22" t="n">
        <x:v>134</x:v>
      </x:c>
      <x:c r="B159" s="22" t="n">
        <x:f>MOD($B$6*(A159-1)+$B$7,$A$12)+1</x:f>
        <x:v>104</x:v>
      </x:c>
      <x:c r="C159" s="22" t="n">
        <x:f>MOD($B$6*(A159-1)+$B$7,$A$13)+1</x:f>
        <x:v>229</x:v>
      </x:c>
      <x:c r="D159" s="22" t="n">
        <x:f>MOD($B$6*(A159-1)+$B$7,$A$14)+1</x:f>
        <x:v>229</x:v>
      </x:c>
      <x:c r="E159" s="22" t="n">
        <x:f>MOD($B$6*(A159-1)+$B$7,$A$15)+1</x:f>
        <x:v>729</x:v>
      </x:c>
      <x:c r="F159" s="18"/>
      <x:c r="G159" s="18"/>
      <x:c r="H159" s="18" t="str">
        <x:v>pairing identity only</x:v>
      </x:c>
    </x:row>
    <x:row r="160" ht="22" customHeight="1">
      <x:c r="A160" s="22" t="n">
        <x:v>135</x:v>
      </x:c>
      <x:c r="B160" s="22" t="n">
        <x:f>MOD($B$6*(A160-1)+$B$7,$A$12)+1</x:f>
        <x:v>52</x:v>
      </x:c>
      <x:c r="C160" s="22" t="n">
        <x:f>MOD($B$6*(A160-1)+$B$7,$A$13)+1</x:f>
        <x:v>52</x:v>
      </x:c>
      <x:c r="D160" s="22" t="n">
        <x:f>MOD($B$6*(A160-1)+$B$7,$A$14)+1</x:f>
        <x:v>302</x:v>
      </x:c>
      <x:c r="E160" s="22" t="n">
        <x:f>MOD($B$6*(A160-1)+$B$7,$A$15)+1</x:f>
        <x:v>802</x:v>
      </x:c>
      <x:c r="F160" s="18"/>
      <x:c r="G160" s="18"/>
      <x:c r="H160" s="18" t="str">
        <x:v>pairing identity only</x:v>
      </x:c>
    </x:row>
    <x:row r="161" ht="22" customHeight="1">
      <x:c r="A161" s="22" t="n">
        <x:v>136</x:v>
      </x:c>
      <x:c r="B161" s="22" t="n">
        <x:f>MOD($B$6*(A161-1)+$B$7,$A$12)+1</x:f>
        <x:v>125</x:v>
      </x:c>
      <x:c r="C161" s="22" t="n">
        <x:f>MOD($B$6*(A161-1)+$B$7,$A$13)+1</x:f>
        <x:v>125</x:v>
      </x:c>
      <x:c r="D161" s="22" t="n">
        <x:f>MOD($B$6*(A161-1)+$B$7,$A$14)+1</x:f>
        <x:v>375</x:v>
      </x:c>
      <x:c r="E161" s="22" t="n">
        <x:f>MOD($B$6*(A161-1)+$B$7,$A$15)+1</x:f>
        <x:v>875</x:v>
      </x:c>
      <x:c r="F161" s="18"/>
      <x:c r="G161" s="18"/>
      <x:c r="H161" s="18" t="str">
        <x:v>pairing identity only</x:v>
      </x:c>
    </x:row>
    <x:row r="162" ht="22" customHeight="1">
      <x:c r="A162" s="22" t="n">
        <x:v>137</x:v>
      </x:c>
      <x:c r="B162" s="22" t="n">
        <x:f>MOD($B$6*(A162-1)+$B$7,$A$12)+1</x:f>
        <x:v>73</x:v>
      </x:c>
      <x:c r="C162" s="22" t="n">
        <x:f>MOD($B$6*(A162-1)+$B$7,$A$13)+1</x:f>
        <x:v>198</x:v>
      </x:c>
      <x:c r="D162" s="22" t="n">
        <x:f>MOD($B$6*(A162-1)+$B$7,$A$14)+1</x:f>
        <x:v>448</x:v>
      </x:c>
      <x:c r="E162" s="22" t="n">
        <x:f>MOD($B$6*(A162-1)+$B$7,$A$15)+1</x:f>
        <x:v>948</x:v>
      </x:c>
      <x:c r="F162" s="18"/>
      <x:c r="G162" s="18"/>
      <x:c r="H162" s="18" t="str">
        <x:v>pairing identity only</x:v>
      </x:c>
    </x:row>
    <x:row r="163" ht="22" customHeight="1">
      <x:c r="A163" s="22" t="n">
        <x:v>138</x:v>
      </x:c>
      <x:c r="B163" s="22" t="n">
        <x:f>MOD($B$6*(A163-1)+$B$7,$A$12)+1</x:f>
        <x:v>21</x:v>
      </x:c>
      <x:c r="C163" s="22" t="n">
        <x:f>MOD($B$6*(A163-1)+$B$7,$A$13)+1</x:f>
        <x:v>21</x:v>
      </x:c>
      <x:c r="D163" s="22" t="n">
        <x:f>MOD($B$6*(A163-1)+$B$7,$A$14)+1</x:f>
        <x:v>21</x:v>
      </x:c>
      <x:c r="E163" s="22" t="n">
        <x:f>MOD($B$6*(A163-1)+$B$7,$A$15)+1</x:f>
        <x:v>21</x:v>
      </x:c>
      <x:c r="F163" s="18"/>
      <x:c r="G163" s="18"/>
      <x:c r="H163" s="18" t="str">
        <x:v>pairing identity only</x:v>
      </x:c>
    </x:row>
    <x:row r="164" ht="22" customHeight="1">
      <x:c r="A164" s="22" t="n">
        <x:v>139</x:v>
      </x:c>
      <x:c r="B164" s="22" t="n">
        <x:f>MOD($B$6*(A164-1)+$B$7,$A$12)+1</x:f>
        <x:v>94</x:v>
      </x:c>
      <x:c r="C164" s="22" t="n">
        <x:f>MOD($B$6*(A164-1)+$B$7,$A$13)+1</x:f>
        <x:v>94</x:v>
      </x:c>
      <x:c r="D164" s="22" t="n">
        <x:f>MOD($B$6*(A164-1)+$B$7,$A$14)+1</x:f>
        <x:v>94</x:v>
      </x:c>
      <x:c r="E164" s="22" t="n">
        <x:f>MOD($B$6*(A164-1)+$B$7,$A$15)+1</x:f>
        <x:v>94</x:v>
      </x:c>
      <x:c r="F164" s="18"/>
      <x:c r="G164" s="18"/>
      <x:c r="H164" s="18" t="str">
        <x:v>pairing identity only</x:v>
      </x:c>
    </x:row>
    <x:row r="165" ht="22" customHeight="1">
      <x:c r="A165" s="22" t="n">
        <x:v>140</x:v>
      </x:c>
      <x:c r="B165" s="22" t="n">
        <x:f>MOD($B$6*(A165-1)+$B$7,$A$12)+1</x:f>
        <x:v>42</x:v>
      </x:c>
      <x:c r="C165" s="22" t="n">
        <x:f>MOD($B$6*(A165-1)+$B$7,$A$13)+1</x:f>
        <x:v>167</x:v>
      </x:c>
      <x:c r="D165" s="22" t="n">
        <x:f>MOD($B$6*(A165-1)+$B$7,$A$14)+1</x:f>
        <x:v>167</x:v>
      </x:c>
      <x:c r="E165" s="22" t="n">
        <x:f>MOD($B$6*(A165-1)+$B$7,$A$15)+1</x:f>
        <x:v>167</x:v>
      </x:c>
      <x:c r="F165" s="18"/>
      <x:c r="G165" s="18"/>
      <x:c r="H165" s="18" t="str">
        <x:v>pairing identity only</x:v>
      </x:c>
    </x:row>
    <x:row r="166" ht="22" customHeight="1">
      <x:c r="A166" s="22" t="n">
        <x:v>141</x:v>
      </x:c>
      <x:c r="B166" s="22" t="n">
        <x:f>MOD($B$6*(A166-1)+$B$7,$A$12)+1</x:f>
        <x:v>115</x:v>
      </x:c>
      <x:c r="C166" s="22" t="n">
        <x:f>MOD($B$6*(A166-1)+$B$7,$A$13)+1</x:f>
        <x:v>240</x:v>
      </x:c>
      <x:c r="D166" s="22" t="n">
        <x:f>MOD($B$6*(A166-1)+$B$7,$A$14)+1</x:f>
        <x:v>240</x:v>
      </x:c>
      <x:c r="E166" s="22" t="n">
        <x:f>MOD($B$6*(A166-1)+$B$7,$A$15)+1</x:f>
        <x:v>240</x:v>
      </x:c>
      <x:c r="F166" s="18"/>
      <x:c r="G166" s="18"/>
      <x:c r="H166" s="18" t="str">
        <x:v>pairing identity only</x:v>
      </x:c>
    </x:row>
    <x:row r="167" ht="22" customHeight="1">
      <x:c r="A167" s="22" t="n">
        <x:v>142</x:v>
      </x:c>
      <x:c r="B167" s="22" t="n">
        <x:f>MOD($B$6*(A167-1)+$B$7,$A$12)+1</x:f>
        <x:v>63</x:v>
      </x:c>
      <x:c r="C167" s="22" t="n">
        <x:f>MOD($B$6*(A167-1)+$B$7,$A$13)+1</x:f>
        <x:v>63</x:v>
      </x:c>
      <x:c r="D167" s="22" t="n">
        <x:f>MOD($B$6*(A167-1)+$B$7,$A$14)+1</x:f>
        <x:v>313</x:v>
      </x:c>
      <x:c r="E167" s="22" t="n">
        <x:f>MOD($B$6*(A167-1)+$B$7,$A$15)+1</x:f>
        <x:v>313</x:v>
      </x:c>
      <x:c r="F167" s="18"/>
      <x:c r="G167" s="18"/>
      <x:c r="H167" s="18" t="str">
        <x:v>pairing identity only</x:v>
      </x:c>
    </x:row>
    <x:row r="168" ht="22" customHeight="1">
      <x:c r="A168" s="22" t="n">
        <x:v>143</x:v>
      </x:c>
      <x:c r="B168" s="22" t="n">
        <x:f>MOD($B$6*(A168-1)+$B$7,$A$12)+1</x:f>
        <x:v>11</x:v>
      </x:c>
      <x:c r="C168" s="22" t="n">
        <x:f>MOD($B$6*(A168-1)+$B$7,$A$13)+1</x:f>
        <x:v>136</x:v>
      </x:c>
      <x:c r="D168" s="22" t="n">
        <x:f>MOD($B$6*(A168-1)+$B$7,$A$14)+1</x:f>
        <x:v>386</x:v>
      </x:c>
      <x:c r="E168" s="22" t="n">
        <x:f>MOD($B$6*(A168-1)+$B$7,$A$15)+1</x:f>
        <x:v>386</x:v>
      </x:c>
      <x:c r="F168" s="18"/>
      <x:c r="G168" s="18"/>
      <x:c r="H168" s="18" t="str">
        <x:v>pairing identity only</x:v>
      </x:c>
    </x:row>
    <x:row r="169" ht="22" customHeight="1">
      <x:c r="A169" s="22" t="n">
        <x:v>144</x:v>
      </x:c>
      <x:c r="B169" s="22" t="n">
        <x:f>MOD($B$6*(A169-1)+$B$7,$A$12)+1</x:f>
        <x:v>84</x:v>
      </x:c>
      <x:c r="C169" s="22" t="n">
        <x:f>MOD($B$6*(A169-1)+$B$7,$A$13)+1</x:f>
        <x:v>209</x:v>
      </x:c>
      <x:c r="D169" s="22" t="n">
        <x:f>MOD($B$6*(A169-1)+$B$7,$A$14)+1</x:f>
        <x:v>459</x:v>
      </x:c>
      <x:c r="E169" s="22" t="n">
        <x:f>MOD($B$6*(A169-1)+$B$7,$A$15)+1</x:f>
        <x:v>459</x:v>
      </x:c>
      <x:c r="F169" s="18"/>
      <x:c r="G169" s="18"/>
      <x:c r="H169" s="18" t="str">
        <x:v>pairing identity only</x:v>
      </x:c>
    </x:row>
    <x:row r="170" ht="22" customHeight="1">
      <x:c r="A170" s="22" t="n">
        <x:v>145</x:v>
      </x:c>
      <x:c r="B170" s="22" t="n">
        <x:f>MOD($B$6*(A170-1)+$B$7,$A$12)+1</x:f>
        <x:v>32</x:v>
      </x:c>
      <x:c r="C170" s="22" t="n">
        <x:f>MOD($B$6*(A170-1)+$B$7,$A$13)+1</x:f>
        <x:v>32</x:v>
      </x:c>
      <x:c r="D170" s="22" t="n">
        <x:f>MOD($B$6*(A170-1)+$B$7,$A$14)+1</x:f>
        <x:v>32</x:v>
      </x:c>
      <x:c r="E170" s="22" t="n">
        <x:f>MOD($B$6*(A170-1)+$B$7,$A$15)+1</x:f>
        <x:v>532</x:v>
      </x:c>
      <x:c r="F170" s="18"/>
      <x:c r="G170" s="18"/>
      <x:c r="H170" s="18" t="str">
        <x:v>pairing identity only</x:v>
      </x:c>
    </x:row>
    <x:row r="171" ht="22" customHeight="1">
      <x:c r="A171" s="22" t="n">
        <x:v>146</x:v>
      </x:c>
      <x:c r="B171" s="22" t="n">
        <x:f>MOD($B$6*(A171-1)+$B$7,$A$12)+1</x:f>
        <x:v>105</x:v>
      </x:c>
      <x:c r="C171" s="22" t="n">
        <x:f>MOD($B$6*(A171-1)+$B$7,$A$13)+1</x:f>
        <x:v>105</x:v>
      </x:c>
      <x:c r="D171" s="22" t="n">
        <x:f>MOD($B$6*(A171-1)+$B$7,$A$14)+1</x:f>
        <x:v>105</x:v>
      </x:c>
      <x:c r="E171" s="22" t="n">
        <x:f>MOD($B$6*(A171-1)+$B$7,$A$15)+1</x:f>
        <x:v>605</x:v>
      </x:c>
      <x:c r="F171" s="18"/>
      <x:c r="G171" s="18"/>
      <x:c r="H171" s="18" t="str">
        <x:v>pairing identity only</x:v>
      </x:c>
    </x:row>
    <x:row r="172" ht="22" customHeight="1">
      <x:c r="A172" s="22" t="n">
        <x:v>147</x:v>
      </x:c>
      <x:c r="B172" s="22" t="n">
        <x:f>MOD($B$6*(A172-1)+$B$7,$A$12)+1</x:f>
        <x:v>53</x:v>
      </x:c>
      <x:c r="C172" s="22" t="n">
        <x:f>MOD($B$6*(A172-1)+$B$7,$A$13)+1</x:f>
        <x:v>178</x:v>
      </x:c>
      <x:c r="D172" s="22" t="n">
        <x:f>MOD($B$6*(A172-1)+$B$7,$A$14)+1</x:f>
        <x:v>178</x:v>
      </x:c>
      <x:c r="E172" s="22" t="n">
        <x:f>MOD($B$6*(A172-1)+$B$7,$A$15)+1</x:f>
        <x:v>678</x:v>
      </x:c>
      <x:c r="F172" s="18"/>
      <x:c r="G172" s="18"/>
      <x:c r="H172" s="18" t="str">
        <x:v>pairing identity only</x:v>
      </x:c>
    </x:row>
    <x:row r="173" ht="22" customHeight="1">
      <x:c r="A173" s="22" t="n">
        <x:v>148</x:v>
      </x:c>
      <x:c r="B173" s="22" t="n">
        <x:f>MOD($B$6*(A173-1)+$B$7,$A$12)+1</x:f>
        <x:v>1</x:v>
      </x:c>
      <x:c r="C173" s="22" t="n">
        <x:f>MOD($B$6*(A173-1)+$B$7,$A$13)+1</x:f>
        <x:v>1</x:v>
      </x:c>
      <x:c r="D173" s="22" t="n">
        <x:f>MOD($B$6*(A173-1)+$B$7,$A$14)+1</x:f>
        <x:v>251</x:v>
      </x:c>
      <x:c r="E173" s="22" t="n">
        <x:f>MOD($B$6*(A173-1)+$B$7,$A$15)+1</x:f>
        <x:v>751</x:v>
      </x:c>
      <x:c r="F173" s="18"/>
      <x:c r="G173" s="18"/>
      <x:c r="H173" s="18" t="str">
        <x:v>pairing identity only</x:v>
      </x:c>
    </x:row>
    <x:row r="174" ht="22" customHeight="1">
      <x:c r="A174" s="22" t="n">
        <x:v>149</x:v>
      </x:c>
      <x:c r="B174" s="22" t="n">
        <x:f>MOD($B$6*(A174-1)+$B$7,$A$12)+1</x:f>
        <x:v>74</x:v>
      </x:c>
      <x:c r="C174" s="22" t="n">
        <x:f>MOD($B$6*(A174-1)+$B$7,$A$13)+1</x:f>
        <x:v>74</x:v>
      </x:c>
      <x:c r="D174" s="22" t="n">
        <x:f>MOD($B$6*(A174-1)+$B$7,$A$14)+1</x:f>
        <x:v>324</x:v>
      </x:c>
      <x:c r="E174" s="22" t="n">
        <x:f>MOD($B$6*(A174-1)+$B$7,$A$15)+1</x:f>
        <x:v>824</x:v>
      </x:c>
      <x:c r="F174" s="18"/>
      <x:c r="G174" s="18"/>
      <x:c r="H174" s="18" t="str">
        <x:v>pairing identity only</x:v>
      </x:c>
    </x:row>
    <x:row r="175" ht="22" customHeight="1">
      <x:c r="A175" s="22" t="n">
        <x:v>150</x:v>
      </x:c>
      <x:c r="B175" s="22" t="n">
        <x:f>MOD($B$6*(A175-1)+$B$7,$A$12)+1</x:f>
        <x:v>22</x:v>
      </x:c>
      <x:c r="C175" s="22" t="n">
        <x:f>MOD($B$6*(A175-1)+$B$7,$A$13)+1</x:f>
        <x:v>147</x:v>
      </x:c>
      <x:c r="D175" s="22" t="n">
        <x:f>MOD($B$6*(A175-1)+$B$7,$A$14)+1</x:f>
        <x:v>397</x:v>
      </x:c>
      <x:c r="E175" s="22" t="n">
        <x:f>MOD($B$6*(A175-1)+$B$7,$A$15)+1</x:f>
        <x:v>897</x:v>
      </x:c>
      <x:c r="F175" s="18"/>
      <x:c r="G175" s="18"/>
      <x:c r="H175" s="18" t="str">
        <x:v>pairing identity only</x:v>
      </x:c>
    </x:row>
    <x:row r="176" ht="22" customHeight="1">
      <x:c r="A176" s="22" t="n">
        <x:v>151</x:v>
      </x:c>
      <x:c r="B176" s="22" t="n">
        <x:f>MOD($B$6*(A176-1)+$B$7,$A$12)+1</x:f>
        <x:v>95</x:v>
      </x:c>
      <x:c r="C176" s="22" t="n">
        <x:f>MOD($B$6*(A176-1)+$B$7,$A$13)+1</x:f>
        <x:v>220</x:v>
      </x:c>
      <x:c r="D176" s="22" t="n">
        <x:f>MOD($B$6*(A176-1)+$B$7,$A$14)+1</x:f>
        <x:v>470</x:v>
      </x:c>
      <x:c r="E176" s="22" t="n">
        <x:f>MOD($B$6*(A176-1)+$B$7,$A$15)+1</x:f>
        <x:v>970</x:v>
      </x:c>
      <x:c r="F176" s="18"/>
      <x:c r="G176" s="18"/>
      <x:c r="H176" s="18" t="str">
        <x:v>pairing identity only</x:v>
      </x:c>
    </x:row>
    <x:row r="177" ht="22" customHeight="1">
      <x:c r="A177" s="22" t="n">
        <x:v>152</x:v>
      </x:c>
      <x:c r="B177" s="22" t="n">
        <x:f>MOD($B$6*(A177-1)+$B$7,$A$12)+1</x:f>
        <x:v>43</x:v>
      </x:c>
      <x:c r="C177" s="22" t="n">
        <x:f>MOD($B$6*(A177-1)+$B$7,$A$13)+1</x:f>
        <x:v>43</x:v>
      </x:c>
      <x:c r="D177" s="22" t="n">
        <x:f>MOD($B$6*(A177-1)+$B$7,$A$14)+1</x:f>
        <x:v>43</x:v>
      </x:c>
      <x:c r="E177" s="22" t="n">
        <x:f>MOD($B$6*(A177-1)+$B$7,$A$15)+1</x:f>
        <x:v>43</x:v>
      </x:c>
      <x:c r="F177" s="18"/>
      <x:c r="G177" s="18"/>
      <x:c r="H177" s="18" t="str">
        <x:v>pairing identity only</x:v>
      </x:c>
    </x:row>
    <x:row r="178" ht="22" customHeight="1">
      <x:c r="A178" s="22" t="n">
        <x:v>153</x:v>
      </x:c>
      <x:c r="B178" s="22" t="n">
        <x:f>MOD($B$6*(A178-1)+$B$7,$A$12)+1</x:f>
        <x:v>116</x:v>
      </x:c>
      <x:c r="C178" s="22" t="n">
        <x:f>MOD($B$6*(A178-1)+$B$7,$A$13)+1</x:f>
        <x:v>116</x:v>
      </x:c>
      <x:c r="D178" s="22" t="n">
        <x:f>MOD($B$6*(A178-1)+$B$7,$A$14)+1</x:f>
        <x:v>116</x:v>
      </x:c>
      <x:c r="E178" s="22" t="n">
        <x:f>MOD($B$6*(A178-1)+$B$7,$A$15)+1</x:f>
        <x:v>116</x:v>
      </x:c>
      <x:c r="F178" s="18"/>
      <x:c r="G178" s="18"/>
      <x:c r="H178" s="18" t="str">
        <x:v>pairing identity only</x:v>
      </x:c>
    </x:row>
    <x:row r="179" ht="22" customHeight="1">
      <x:c r="A179" s="22" t="n">
        <x:v>154</x:v>
      </x:c>
      <x:c r="B179" s="22" t="n">
        <x:f>MOD($B$6*(A179-1)+$B$7,$A$12)+1</x:f>
        <x:v>64</x:v>
      </x:c>
      <x:c r="C179" s="22" t="n">
        <x:f>MOD($B$6*(A179-1)+$B$7,$A$13)+1</x:f>
        <x:v>189</x:v>
      </x:c>
      <x:c r="D179" s="22" t="n">
        <x:f>MOD($B$6*(A179-1)+$B$7,$A$14)+1</x:f>
        <x:v>189</x:v>
      </x:c>
      <x:c r="E179" s="22" t="n">
        <x:f>MOD($B$6*(A179-1)+$B$7,$A$15)+1</x:f>
        <x:v>189</x:v>
      </x:c>
      <x:c r="F179" s="18"/>
      <x:c r="G179" s="18"/>
      <x:c r="H179" s="18" t="str">
        <x:v>pairing identity only</x:v>
      </x:c>
    </x:row>
    <x:row r="180" ht="22" customHeight="1">
      <x:c r="A180" s="22" t="n">
        <x:v>155</x:v>
      </x:c>
      <x:c r="B180" s="22" t="n">
        <x:f>MOD($B$6*(A180-1)+$B$7,$A$12)+1</x:f>
        <x:v>12</x:v>
      </x:c>
      <x:c r="C180" s="22" t="n">
        <x:f>MOD($B$6*(A180-1)+$B$7,$A$13)+1</x:f>
        <x:v>12</x:v>
      </x:c>
      <x:c r="D180" s="22" t="n">
        <x:f>MOD($B$6*(A180-1)+$B$7,$A$14)+1</x:f>
        <x:v>262</x:v>
      </x:c>
      <x:c r="E180" s="22" t="n">
        <x:f>MOD($B$6*(A180-1)+$B$7,$A$15)+1</x:f>
        <x:v>262</x:v>
      </x:c>
      <x:c r="F180" s="18"/>
      <x:c r="G180" s="18"/>
      <x:c r="H180" s="18" t="str">
        <x:v>pairing identity only</x:v>
      </x:c>
    </x:row>
    <x:row r="181" ht="22" customHeight="1">
      <x:c r="A181" s="22" t="n">
        <x:v>156</x:v>
      </x:c>
      <x:c r="B181" s="22" t="n">
        <x:f>MOD($B$6*(A181-1)+$B$7,$A$12)+1</x:f>
        <x:v>85</x:v>
      </x:c>
      <x:c r="C181" s="22" t="n">
        <x:f>MOD($B$6*(A181-1)+$B$7,$A$13)+1</x:f>
        <x:v>85</x:v>
      </x:c>
      <x:c r="D181" s="22" t="n">
        <x:f>MOD($B$6*(A181-1)+$B$7,$A$14)+1</x:f>
        <x:v>335</x:v>
      </x:c>
      <x:c r="E181" s="22" t="n">
        <x:f>MOD($B$6*(A181-1)+$B$7,$A$15)+1</x:f>
        <x:v>335</x:v>
      </x:c>
      <x:c r="F181" s="18"/>
      <x:c r="G181" s="18"/>
      <x:c r="H181" s="18" t="str">
        <x:v>pairing identity only</x:v>
      </x:c>
    </x:row>
    <x:row r="182" ht="22" customHeight="1">
      <x:c r="A182" s="22" t="n">
        <x:v>157</x:v>
      </x:c>
      <x:c r="B182" s="22" t="n">
        <x:f>MOD($B$6*(A182-1)+$B$7,$A$12)+1</x:f>
        <x:v>33</x:v>
      </x:c>
      <x:c r="C182" s="22" t="n">
        <x:f>MOD($B$6*(A182-1)+$B$7,$A$13)+1</x:f>
        <x:v>158</x:v>
      </x:c>
      <x:c r="D182" s="22" t="n">
        <x:f>MOD($B$6*(A182-1)+$B$7,$A$14)+1</x:f>
        <x:v>408</x:v>
      </x:c>
      <x:c r="E182" s="22" t="n">
        <x:f>MOD($B$6*(A182-1)+$B$7,$A$15)+1</x:f>
        <x:v>408</x:v>
      </x:c>
      <x:c r="F182" s="18"/>
      <x:c r="G182" s="18"/>
      <x:c r="H182" s="18" t="str">
        <x:v>pairing identity only</x:v>
      </x:c>
    </x:row>
    <x:row r="183" ht="22" customHeight="1">
      <x:c r="A183" s="22" t="n">
        <x:v>158</x:v>
      </x:c>
      <x:c r="B183" s="22" t="n">
        <x:f>MOD($B$6*(A183-1)+$B$7,$A$12)+1</x:f>
        <x:v>106</x:v>
      </x:c>
      <x:c r="C183" s="22" t="n">
        <x:f>MOD($B$6*(A183-1)+$B$7,$A$13)+1</x:f>
        <x:v>231</x:v>
      </x:c>
      <x:c r="D183" s="22" t="n">
        <x:f>MOD($B$6*(A183-1)+$B$7,$A$14)+1</x:f>
        <x:v>481</x:v>
      </x:c>
      <x:c r="E183" s="22" t="n">
        <x:f>MOD($B$6*(A183-1)+$B$7,$A$15)+1</x:f>
        <x:v>481</x:v>
      </x:c>
      <x:c r="F183" s="18"/>
      <x:c r="G183" s="18"/>
      <x:c r="H183" s="18" t="str">
        <x:v>pairing identity only</x:v>
      </x:c>
    </x:row>
    <x:row r="184" ht="22" customHeight="1">
      <x:c r="A184" s="22" t="n">
        <x:v>159</x:v>
      </x:c>
      <x:c r="B184" s="22" t="n">
        <x:f>MOD($B$6*(A184-1)+$B$7,$A$12)+1</x:f>
        <x:v>54</x:v>
      </x:c>
      <x:c r="C184" s="22" t="n">
        <x:f>MOD($B$6*(A184-1)+$B$7,$A$13)+1</x:f>
        <x:v>54</x:v>
      </x:c>
      <x:c r="D184" s="22" t="n">
        <x:f>MOD($B$6*(A184-1)+$B$7,$A$14)+1</x:f>
        <x:v>54</x:v>
      </x:c>
      <x:c r="E184" s="22" t="n">
        <x:f>MOD($B$6*(A184-1)+$B$7,$A$15)+1</x:f>
        <x:v>554</x:v>
      </x:c>
      <x:c r="F184" s="18"/>
      <x:c r="G184" s="18"/>
      <x:c r="H184" s="18" t="str">
        <x:v>pairing identity only</x:v>
      </x:c>
    </x:row>
    <x:row r="185" ht="22" customHeight="1">
      <x:c r="A185" s="22" t="n">
        <x:v>160</x:v>
      </x:c>
      <x:c r="B185" s="22" t="n">
        <x:f>MOD($B$6*(A185-1)+$B$7,$A$12)+1</x:f>
        <x:v>2</x:v>
      </x:c>
      <x:c r="C185" s="22" t="n">
        <x:f>MOD($B$6*(A185-1)+$B$7,$A$13)+1</x:f>
        <x:v>127</x:v>
      </x:c>
      <x:c r="D185" s="22" t="n">
        <x:f>MOD($B$6*(A185-1)+$B$7,$A$14)+1</x:f>
        <x:v>127</x:v>
      </x:c>
      <x:c r="E185" s="22" t="n">
        <x:f>MOD($B$6*(A185-1)+$B$7,$A$15)+1</x:f>
        <x:v>627</x:v>
      </x:c>
      <x:c r="F185" s="18"/>
      <x:c r="G185" s="18"/>
      <x:c r="H185" s="18" t="str">
        <x:v>pairing identity only</x:v>
      </x:c>
    </x:row>
    <x:row r="186" ht="22" customHeight="1">
      <x:c r="A186" s="22" t="n">
        <x:v>161</x:v>
      </x:c>
      <x:c r="B186" s="22" t="n">
        <x:f>MOD($B$6*(A186-1)+$B$7,$A$12)+1</x:f>
        <x:v>75</x:v>
      </x:c>
      <x:c r="C186" s="22" t="n">
        <x:f>MOD($B$6*(A186-1)+$B$7,$A$13)+1</x:f>
        <x:v>200</x:v>
      </x:c>
      <x:c r="D186" s="22" t="n">
        <x:f>MOD($B$6*(A186-1)+$B$7,$A$14)+1</x:f>
        <x:v>200</x:v>
      </x:c>
      <x:c r="E186" s="22" t="n">
        <x:f>MOD($B$6*(A186-1)+$B$7,$A$15)+1</x:f>
        <x:v>700</x:v>
      </x:c>
      <x:c r="F186" s="18"/>
      <x:c r="G186" s="18"/>
      <x:c r="H186" s="18" t="str">
        <x:v>pairing identity only</x:v>
      </x:c>
    </x:row>
    <x:row r="187" ht="22" customHeight="1">
      <x:c r="A187" s="22" t="n">
        <x:v>162</x:v>
      </x:c>
      <x:c r="B187" s="22" t="n">
        <x:f>MOD($B$6*(A187-1)+$B$7,$A$12)+1</x:f>
        <x:v>23</x:v>
      </x:c>
      <x:c r="C187" s="22" t="n">
        <x:f>MOD($B$6*(A187-1)+$B$7,$A$13)+1</x:f>
        <x:v>23</x:v>
      </x:c>
      <x:c r="D187" s="22" t="n">
        <x:f>MOD($B$6*(A187-1)+$B$7,$A$14)+1</x:f>
        <x:v>273</x:v>
      </x:c>
      <x:c r="E187" s="22" t="n">
        <x:f>MOD($B$6*(A187-1)+$B$7,$A$15)+1</x:f>
        <x:v>773</x:v>
      </x:c>
      <x:c r="F187" s="18"/>
      <x:c r="G187" s="18"/>
      <x:c r="H187" s="18" t="str">
        <x:v>pairing identity only</x:v>
      </x:c>
    </x:row>
    <x:row r="188" ht="22" customHeight="1">
      <x:c r="A188" s="22" t="n">
        <x:v>163</x:v>
      </x:c>
      <x:c r="B188" s="22" t="n">
        <x:f>MOD($B$6*(A188-1)+$B$7,$A$12)+1</x:f>
        <x:v>96</x:v>
      </x:c>
      <x:c r="C188" s="22" t="n">
        <x:f>MOD($B$6*(A188-1)+$B$7,$A$13)+1</x:f>
        <x:v>96</x:v>
      </x:c>
      <x:c r="D188" s="22" t="n">
        <x:f>MOD($B$6*(A188-1)+$B$7,$A$14)+1</x:f>
        <x:v>346</x:v>
      </x:c>
      <x:c r="E188" s="22" t="n">
        <x:f>MOD($B$6*(A188-1)+$B$7,$A$15)+1</x:f>
        <x:v>846</x:v>
      </x:c>
      <x:c r="F188" s="18"/>
      <x:c r="G188" s="18"/>
      <x:c r="H188" s="18" t="str">
        <x:v>pairing identity only</x:v>
      </x:c>
    </x:row>
    <x:row r="189" ht="22" customHeight="1">
      <x:c r="A189" s="22" t="n">
        <x:v>164</x:v>
      </x:c>
      <x:c r="B189" s="22" t="n">
        <x:f>MOD($B$6*(A189-1)+$B$7,$A$12)+1</x:f>
        <x:v>44</x:v>
      </x:c>
      <x:c r="C189" s="22" t="n">
        <x:f>MOD($B$6*(A189-1)+$B$7,$A$13)+1</x:f>
        <x:v>169</x:v>
      </x:c>
      <x:c r="D189" s="22" t="n">
        <x:f>MOD($B$6*(A189-1)+$B$7,$A$14)+1</x:f>
        <x:v>419</x:v>
      </x:c>
      <x:c r="E189" s="22" t="n">
        <x:f>MOD($B$6*(A189-1)+$B$7,$A$15)+1</x:f>
        <x:v>919</x:v>
      </x:c>
      <x:c r="F189" s="18"/>
      <x:c r="G189" s="18"/>
      <x:c r="H189" s="18" t="str">
        <x:v>pairing identity only</x:v>
      </x:c>
    </x:row>
    <x:row r="190" ht="22" customHeight="1">
      <x:c r="A190" s="22" t="n">
        <x:v>165</x:v>
      </x:c>
      <x:c r="B190" s="22" t="n">
        <x:f>MOD($B$6*(A190-1)+$B$7,$A$12)+1</x:f>
        <x:v>117</x:v>
      </x:c>
      <x:c r="C190" s="22" t="n">
        <x:f>MOD($B$6*(A190-1)+$B$7,$A$13)+1</x:f>
        <x:v>242</x:v>
      </x:c>
      <x:c r="D190" s="22" t="n">
        <x:f>MOD($B$6*(A190-1)+$B$7,$A$14)+1</x:f>
        <x:v>492</x:v>
      </x:c>
      <x:c r="E190" s="22" t="n">
        <x:f>MOD($B$6*(A190-1)+$B$7,$A$15)+1</x:f>
        <x:v>992</x:v>
      </x:c>
      <x:c r="F190" s="18"/>
      <x:c r="G190" s="18"/>
      <x:c r="H190" s="18" t="str">
        <x:v>pairing identity only</x:v>
      </x:c>
    </x:row>
    <x:row r="191" ht="22" customHeight="1">
      <x:c r="A191" s="22" t="n">
        <x:v>166</x:v>
      </x:c>
      <x:c r="B191" s="22" t="n">
        <x:f>MOD($B$6*(A191-1)+$B$7,$A$12)+1</x:f>
        <x:v>65</x:v>
      </x:c>
      <x:c r="C191" s="22" t="n">
        <x:f>MOD($B$6*(A191-1)+$B$7,$A$13)+1</x:f>
        <x:v>65</x:v>
      </x:c>
      <x:c r="D191" s="22" t="n">
        <x:f>MOD($B$6*(A191-1)+$B$7,$A$14)+1</x:f>
        <x:v>65</x:v>
      </x:c>
      <x:c r="E191" s="22" t="n">
        <x:f>MOD($B$6*(A191-1)+$B$7,$A$15)+1</x:f>
        <x:v>65</x:v>
      </x:c>
      <x:c r="F191" s="18"/>
      <x:c r="G191" s="18"/>
      <x:c r="H191" s="18" t="str">
        <x:v>pairing identity only</x:v>
      </x:c>
    </x:row>
    <x:row r="192" ht="22" customHeight="1">
      <x:c r="A192" s="22" t="n">
        <x:v>167</x:v>
      </x:c>
      <x:c r="B192" s="22" t="n">
        <x:f>MOD($B$6*(A192-1)+$B$7,$A$12)+1</x:f>
        <x:v>13</x:v>
      </x:c>
      <x:c r="C192" s="22" t="n">
        <x:f>MOD($B$6*(A192-1)+$B$7,$A$13)+1</x:f>
        <x:v>138</x:v>
      </x:c>
      <x:c r="D192" s="22" t="n">
        <x:f>MOD($B$6*(A192-1)+$B$7,$A$14)+1</x:f>
        <x:v>138</x:v>
      </x:c>
      <x:c r="E192" s="22" t="n">
        <x:f>MOD($B$6*(A192-1)+$B$7,$A$15)+1</x:f>
        <x:v>138</x:v>
      </x:c>
      <x:c r="F192" s="18"/>
      <x:c r="G192" s="18"/>
      <x:c r="H192" s="18" t="str">
        <x:v>pairing identity only</x:v>
      </x:c>
    </x:row>
    <x:row r="193" ht="22" customHeight="1">
      <x:c r="A193" s="22" t="n">
        <x:v>168</x:v>
      </x:c>
      <x:c r="B193" s="22" t="n">
        <x:f>MOD($B$6*(A193-1)+$B$7,$A$12)+1</x:f>
        <x:v>86</x:v>
      </x:c>
      <x:c r="C193" s="22" t="n">
        <x:f>MOD($B$6*(A193-1)+$B$7,$A$13)+1</x:f>
        <x:v>211</x:v>
      </x:c>
      <x:c r="D193" s="22" t="n">
        <x:f>MOD($B$6*(A193-1)+$B$7,$A$14)+1</x:f>
        <x:v>211</x:v>
      </x:c>
      <x:c r="E193" s="22" t="n">
        <x:f>MOD($B$6*(A193-1)+$B$7,$A$15)+1</x:f>
        <x:v>211</x:v>
      </x:c>
      <x:c r="F193" s="18"/>
      <x:c r="G193" s="18"/>
      <x:c r="H193" s="18" t="str">
        <x:v>pairing identity only</x:v>
      </x:c>
    </x:row>
    <x:row r="194" ht="22" customHeight="1">
      <x:c r="A194" s="22" t="n">
        <x:v>169</x:v>
      </x:c>
      <x:c r="B194" s="22" t="n">
        <x:f>MOD($B$6*(A194-1)+$B$7,$A$12)+1</x:f>
        <x:v>34</x:v>
      </x:c>
      <x:c r="C194" s="22" t="n">
        <x:f>MOD($B$6*(A194-1)+$B$7,$A$13)+1</x:f>
        <x:v>34</x:v>
      </x:c>
      <x:c r="D194" s="22" t="n">
        <x:f>MOD($B$6*(A194-1)+$B$7,$A$14)+1</x:f>
        <x:v>284</x:v>
      </x:c>
      <x:c r="E194" s="22" t="n">
        <x:f>MOD($B$6*(A194-1)+$B$7,$A$15)+1</x:f>
        <x:v>284</x:v>
      </x:c>
      <x:c r="F194" s="18"/>
      <x:c r="G194" s="18"/>
      <x:c r="H194" s="18" t="str">
        <x:v>pairing identity only</x:v>
      </x:c>
    </x:row>
    <x:row r="195" ht="22" customHeight="1">
      <x:c r="A195" s="22" t="n">
        <x:v>170</x:v>
      </x:c>
      <x:c r="B195" s="22" t="n">
        <x:f>MOD($B$6*(A195-1)+$B$7,$A$12)+1</x:f>
        <x:v>107</x:v>
      </x:c>
      <x:c r="C195" s="22" t="n">
        <x:f>MOD($B$6*(A195-1)+$B$7,$A$13)+1</x:f>
        <x:v>107</x:v>
      </x:c>
      <x:c r="D195" s="22" t="n">
        <x:f>MOD($B$6*(A195-1)+$B$7,$A$14)+1</x:f>
        <x:v>357</x:v>
      </x:c>
      <x:c r="E195" s="22" t="n">
        <x:f>MOD($B$6*(A195-1)+$B$7,$A$15)+1</x:f>
        <x:v>357</x:v>
      </x:c>
      <x:c r="F195" s="18"/>
      <x:c r="G195" s="18"/>
      <x:c r="H195" s="18" t="str">
        <x:v>pairing identity only</x:v>
      </x:c>
    </x:row>
    <x:row r="196" ht="22" customHeight="1">
      <x:c r="A196" s="22" t="n">
        <x:v>171</x:v>
      </x:c>
      <x:c r="B196" s="22" t="n">
        <x:f>MOD($B$6*(A196-1)+$B$7,$A$12)+1</x:f>
        <x:v>55</x:v>
      </x:c>
      <x:c r="C196" s="22" t="n">
        <x:f>MOD($B$6*(A196-1)+$B$7,$A$13)+1</x:f>
        <x:v>180</x:v>
      </x:c>
      <x:c r="D196" s="22" t="n">
        <x:f>MOD($B$6*(A196-1)+$B$7,$A$14)+1</x:f>
        <x:v>430</x:v>
      </x:c>
      <x:c r="E196" s="22" t="n">
        <x:f>MOD($B$6*(A196-1)+$B$7,$A$15)+1</x:f>
        <x:v>430</x:v>
      </x:c>
      <x:c r="F196" s="18"/>
      <x:c r="G196" s="18"/>
      <x:c r="H196" s="18" t="str">
        <x:v>pairing identity only</x:v>
      </x:c>
    </x:row>
    <x:row r="197" ht="22" customHeight="1">
      <x:c r="A197" s="22" t="n">
        <x:v>172</x:v>
      </x:c>
      <x:c r="B197" s="22" t="n">
        <x:f>MOD($B$6*(A197-1)+$B$7,$A$12)+1</x:f>
        <x:v>3</x:v>
      </x:c>
      <x:c r="C197" s="22" t="n">
        <x:f>MOD($B$6*(A197-1)+$B$7,$A$13)+1</x:f>
        <x:v>3</x:v>
      </x:c>
      <x:c r="D197" s="22" t="n">
        <x:f>MOD($B$6*(A197-1)+$B$7,$A$14)+1</x:f>
        <x:v>3</x:v>
      </x:c>
      <x:c r="E197" s="22" t="n">
        <x:f>MOD($B$6*(A197-1)+$B$7,$A$15)+1</x:f>
        <x:v>503</x:v>
      </x:c>
      <x:c r="F197" s="18"/>
      <x:c r="G197" s="18"/>
      <x:c r="H197" s="18" t="str">
        <x:v>pairing identity only</x:v>
      </x:c>
    </x:row>
    <x:row r="198" ht="22" customHeight="1">
      <x:c r="A198" s="22" t="n">
        <x:v>173</x:v>
      </x:c>
      <x:c r="B198" s="22" t="n">
        <x:f>MOD($B$6*(A198-1)+$B$7,$A$12)+1</x:f>
        <x:v>76</x:v>
      </x:c>
      <x:c r="C198" s="22" t="n">
        <x:f>MOD($B$6*(A198-1)+$B$7,$A$13)+1</x:f>
        <x:v>76</x:v>
      </x:c>
      <x:c r="D198" s="22" t="n">
        <x:f>MOD($B$6*(A198-1)+$B$7,$A$14)+1</x:f>
        <x:v>76</x:v>
      </x:c>
      <x:c r="E198" s="22" t="n">
        <x:f>MOD($B$6*(A198-1)+$B$7,$A$15)+1</x:f>
        <x:v>576</x:v>
      </x:c>
      <x:c r="F198" s="18"/>
      <x:c r="G198" s="18"/>
      <x:c r="H198" s="18" t="str">
        <x:v>pairing identity only</x:v>
      </x:c>
    </x:row>
    <x:row r="199" ht="22" customHeight="1">
      <x:c r="A199" s="22" t="n">
        <x:v>174</x:v>
      </x:c>
      <x:c r="B199" s="22" t="n">
        <x:f>MOD($B$6*(A199-1)+$B$7,$A$12)+1</x:f>
        <x:v>24</x:v>
      </x:c>
      <x:c r="C199" s="22" t="n">
        <x:f>MOD($B$6*(A199-1)+$B$7,$A$13)+1</x:f>
        <x:v>149</x:v>
      </x:c>
      <x:c r="D199" s="22" t="n">
        <x:f>MOD($B$6*(A199-1)+$B$7,$A$14)+1</x:f>
        <x:v>149</x:v>
      </x:c>
      <x:c r="E199" s="22" t="n">
        <x:f>MOD($B$6*(A199-1)+$B$7,$A$15)+1</x:f>
        <x:v>649</x:v>
      </x:c>
      <x:c r="F199" s="18"/>
      <x:c r="G199" s="18"/>
      <x:c r="H199" s="18" t="str">
        <x:v>pairing identity only</x:v>
      </x:c>
    </x:row>
    <x:row r="200" ht="22" customHeight="1">
      <x:c r="A200" s="22" t="n">
        <x:v>175</x:v>
      </x:c>
      <x:c r="B200" s="22" t="n">
        <x:f>MOD($B$6*(A200-1)+$B$7,$A$12)+1</x:f>
        <x:v>97</x:v>
      </x:c>
      <x:c r="C200" s="22" t="n">
        <x:f>MOD($B$6*(A200-1)+$B$7,$A$13)+1</x:f>
        <x:v>222</x:v>
      </x:c>
      <x:c r="D200" s="22" t="n">
        <x:f>MOD($B$6*(A200-1)+$B$7,$A$14)+1</x:f>
        <x:v>222</x:v>
      </x:c>
      <x:c r="E200" s="22" t="n">
        <x:f>MOD($B$6*(A200-1)+$B$7,$A$15)+1</x:f>
        <x:v>722</x:v>
      </x:c>
      <x:c r="F200" s="18"/>
      <x:c r="G200" s="18"/>
      <x:c r="H200" s="18" t="str">
        <x:v>pairing identity only</x:v>
      </x:c>
    </x:row>
    <x:row r="201" ht="22" customHeight="1">
      <x:c r="A201" s="22" t="n">
        <x:v>176</x:v>
      </x:c>
      <x:c r="B201" s="22" t="n">
        <x:f>MOD($B$6*(A201-1)+$B$7,$A$12)+1</x:f>
        <x:v>45</x:v>
      </x:c>
      <x:c r="C201" s="22" t="n">
        <x:f>MOD($B$6*(A201-1)+$B$7,$A$13)+1</x:f>
        <x:v>45</x:v>
      </x:c>
      <x:c r="D201" s="22" t="n">
        <x:f>MOD($B$6*(A201-1)+$B$7,$A$14)+1</x:f>
        <x:v>295</x:v>
      </x:c>
      <x:c r="E201" s="22" t="n">
        <x:f>MOD($B$6*(A201-1)+$B$7,$A$15)+1</x:f>
        <x:v>795</x:v>
      </x:c>
      <x:c r="F201" s="18"/>
      <x:c r="G201" s="18"/>
      <x:c r="H201" s="18" t="str">
        <x:v>pairing identity only</x:v>
      </x:c>
    </x:row>
    <x:row r="202" ht="22" customHeight="1">
      <x:c r="A202" s="22" t="n">
        <x:v>177</x:v>
      </x:c>
      <x:c r="B202" s="22" t="n">
        <x:f>MOD($B$6*(A202-1)+$B$7,$A$12)+1</x:f>
        <x:v>118</x:v>
      </x:c>
      <x:c r="C202" s="22" t="n">
        <x:f>MOD($B$6*(A202-1)+$B$7,$A$13)+1</x:f>
        <x:v>118</x:v>
      </x:c>
      <x:c r="D202" s="22" t="n">
        <x:f>MOD($B$6*(A202-1)+$B$7,$A$14)+1</x:f>
        <x:v>368</x:v>
      </x:c>
      <x:c r="E202" s="22" t="n">
        <x:f>MOD($B$6*(A202-1)+$B$7,$A$15)+1</x:f>
        <x:v>868</x:v>
      </x:c>
      <x:c r="F202" s="18"/>
      <x:c r="G202" s="18"/>
      <x:c r="H202" s="18" t="str">
        <x:v>pairing identity only</x:v>
      </x:c>
    </x:row>
    <x:row r="203" ht="22" customHeight="1">
      <x:c r="A203" s="22" t="n">
        <x:v>178</x:v>
      </x:c>
      <x:c r="B203" s="22" t="n">
        <x:f>MOD($B$6*(A203-1)+$B$7,$A$12)+1</x:f>
        <x:v>66</x:v>
      </x:c>
      <x:c r="C203" s="22" t="n">
        <x:f>MOD($B$6*(A203-1)+$B$7,$A$13)+1</x:f>
        <x:v>191</x:v>
      </x:c>
      <x:c r="D203" s="22" t="n">
        <x:f>MOD($B$6*(A203-1)+$B$7,$A$14)+1</x:f>
        <x:v>441</x:v>
      </x:c>
      <x:c r="E203" s="22" t="n">
        <x:f>MOD($B$6*(A203-1)+$B$7,$A$15)+1</x:f>
        <x:v>941</x:v>
      </x:c>
      <x:c r="F203" s="18"/>
      <x:c r="G203" s="18"/>
      <x:c r="H203" s="18" t="str">
        <x:v>pairing identity only</x:v>
      </x:c>
    </x:row>
    <x:row r="204" ht="22" customHeight="1">
      <x:c r="A204" s="22" t="n">
        <x:v>179</x:v>
      </x:c>
      <x:c r="B204" s="22" t="n">
        <x:f>MOD($B$6*(A204-1)+$B$7,$A$12)+1</x:f>
        <x:v>14</x:v>
      </x:c>
      <x:c r="C204" s="22" t="n">
        <x:f>MOD($B$6*(A204-1)+$B$7,$A$13)+1</x:f>
        <x:v>14</x:v>
      </x:c>
      <x:c r="D204" s="22" t="n">
        <x:f>MOD($B$6*(A204-1)+$B$7,$A$14)+1</x:f>
        <x:v>14</x:v>
      </x:c>
      <x:c r="E204" s="22" t="n">
        <x:f>MOD($B$6*(A204-1)+$B$7,$A$15)+1</x:f>
        <x:v>14</x:v>
      </x:c>
      <x:c r="F204" s="18"/>
      <x:c r="G204" s="18"/>
      <x:c r="H204" s="18" t="str">
        <x:v>pairing identity only</x:v>
      </x:c>
    </x:row>
    <x:row r="205" ht="22" customHeight="1">
      <x:c r="A205" s="22" t="n">
        <x:v>180</x:v>
      </x:c>
      <x:c r="B205" s="22" t="n">
        <x:f>MOD($B$6*(A205-1)+$B$7,$A$12)+1</x:f>
        <x:v>87</x:v>
      </x:c>
      <x:c r="C205" s="22" t="n">
        <x:f>MOD($B$6*(A205-1)+$B$7,$A$13)+1</x:f>
        <x:v>87</x:v>
      </x:c>
      <x:c r="D205" s="22" t="n">
        <x:f>MOD($B$6*(A205-1)+$B$7,$A$14)+1</x:f>
        <x:v>87</x:v>
      </x:c>
      <x:c r="E205" s="22" t="n">
        <x:f>MOD($B$6*(A205-1)+$B$7,$A$15)+1</x:f>
        <x:v>87</x:v>
      </x:c>
      <x:c r="F205" s="18"/>
      <x:c r="G205" s="18"/>
      <x:c r="H205" s="18" t="str">
        <x:v>pairing identity only</x:v>
      </x:c>
    </x:row>
    <x:row r="206" ht="22" customHeight="1">
      <x:c r="A206" s="22" t="n">
        <x:v>181</x:v>
      </x:c>
      <x:c r="B206" s="22" t="n">
        <x:f>MOD($B$6*(A206-1)+$B$7,$A$12)+1</x:f>
        <x:v>35</x:v>
      </x:c>
      <x:c r="C206" s="22" t="n">
        <x:f>MOD($B$6*(A206-1)+$B$7,$A$13)+1</x:f>
        <x:v>160</x:v>
      </x:c>
      <x:c r="D206" s="22" t="n">
        <x:f>MOD($B$6*(A206-1)+$B$7,$A$14)+1</x:f>
        <x:v>160</x:v>
      </x:c>
      <x:c r="E206" s="22" t="n">
        <x:f>MOD($B$6*(A206-1)+$B$7,$A$15)+1</x:f>
        <x:v>160</x:v>
      </x:c>
      <x:c r="F206" s="18"/>
      <x:c r="G206" s="18"/>
      <x:c r="H206" s="18" t="str">
        <x:v>pairing identity only</x:v>
      </x:c>
    </x:row>
    <x:row r="207" ht="22" customHeight="1">
      <x:c r="A207" s="22" t="n">
        <x:v>182</x:v>
      </x:c>
      <x:c r="B207" s="22" t="n">
        <x:f>MOD($B$6*(A207-1)+$B$7,$A$12)+1</x:f>
        <x:v>108</x:v>
      </x:c>
      <x:c r="C207" s="22" t="n">
        <x:f>MOD($B$6*(A207-1)+$B$7,$A$13)+1</x:f>
        <x:v>233</x:v>
      </x:c>
      <x:c r="D207" s="22" t="n">
        <x:f>MOD($B$6*(A207-1)+$B$7,$A$14)+1</x:f>
        <x:v>233</x:v>
      </x:c>
      <x:c r="E207" s="22" t="n">
        <x:f>MOD($B$6*(A207-1)+$B$7,$A$15)+1</x:f>
        <x:v>233</x:v>
      </x:c>
      <x:c r="F207" s="18"/>
      <x:c r="G207" s="18"/>
      <x:c r="H207" s="18" t="str">
        <x:v>pairing identity only</x:v>
      </x:c>
    </x:row>
    <x:row r="208" ht="22" customHeight="1">
      <x:c r="A208" s="22" t="n">
        <x:v>183</x:v>
      </x:c>
      <x:c r="B208" s="22" t="n">
        <x:f>MOD($B$6*(A208-1)+$B$7,$A$12)+1</x:f>
        <x:v>56</x:v>
      </x:c>
      <x:c r="C208" s="22" t="n">
        <x:f>MOD($B$6*(A208-1)+$B$7,$A$13)+1</x:f>
        <x:v>56</x:v>
      </x:c>
      <x:c r="D208" s="22" t="n">
        <x:f>MOD($B$6*(A208-1)+$B$7,$A$14)+1</x:f>
        <x:v>306</x:v>
      </x:c>
      <x:c r="E208" s="22" t="n">
        <x:f>MOD($B$6*(A208-1)+$B$7,$A$15)+1</x:f>
        <x:v>306</x:v>
      </x:c>
      <x:c r="F208" s="18"/>
      <x:c r="G208" s="18"/>
      <x:c r="H208" s="18" t="str">
        <x:v>pairing identity only</x:v>
      </x:c>
    </x:row>
    <x:row r="209" ht="22" customHeight="1">
      <x:c r="A209" s="22" t="n">
        <x:v>184</x:v>
      </x:c>
      <x:c r="B209" s="22" t="n">
        <x:f>MOD($B$6*(A209-1)+$B$7,$A$12)+1</x:f>
        <x:v>4</x:v>
      </x:c>
      <x:c r="C209" s="22" t="n">
        <x:f>MOD($B$6*(A209-1)+$B$7,$A$13)+1</x:f>
        <x:v>129</x:v>
      </x:c>
      <x:c r="D209" s="22" t="n">
        <x:f>MOD($B$6*(A209-1)+$B$7,$A$14)+1</x:f>
        <x:v>379</x:v>
      </x:c>
      <x:c r="E209" s="22" t="n">
        <x:f>MOD($B$6*(A209-1)+$B$7,$A$15)+1</x:f>
        <x:v>379</x:v>
      </x:c>
      <x:c r="F209" s="18"/>
      <x:c r="G209" s="18"/>
      <x:c r="H209" s="18" t="str">
        <x:v>pairing identity only</x:v>
      </x:c>
    </x:row>
    <x:row r="210" ht="22" customHeight="1">
      <x:c r="A210" s="22" t="n">
        <x:v>185</x:v>
      </x:c>
      <x:c r="B210" s="22" t="n">
        <x:f>MOD($B$6*(A210-1)+$B$7,$A$12)+1</x:f>
        <x:v>77</x:v>
      </x:c>
      <x:c r="C210" s="22" t="n">
        <x:f>MOD($B$6*(A210-1)+$B$7,$A$13)+1</x:f>
        <x:v>202</x:v>
      </x:c>
      <x:c r="D210" s="22" t="n">
        <x:f>MOD($B$6*(A210-1)+$B$7,$A$14)+1</x:f>
        <x:v>452</x:v>
      </x:c>
      <x:c r="E210" s="22" t="n">
        <x:f>MOD($B$6*(A210-1)+$B$7,$A$15)+1</x:f>
        <x:v>452</x:v>
      </x:c>
      <x:c r="F210" s="18"/>
      <x:c r="G210" s="18"/>
      <x:c r="H210" s="18" t="str">
        <x:v>pairing identity only</x:v>
      </x:c>
    </x:row>
    <x:row r="211" ht="22" customHeight="1">
      <x:c r="A211" s="22" t="n">
        <x:v>186</x:v>
      </x:c>
      <x:c r="B211" s="22" t="n">
        <x:f>MOD($B$6*(A211-1)+$B$7,$A$12)+1</x:f>
        <x:v>25</x:v>
      </x:c>
      <x:c r="C211" s="22" t="n">
        <x:f>MOD($B$6*(A211-1)+$B$7,$A$13)+1</x:f>
        <x:v>25</x:v>
      </x:c>
      <x:c r="D211" s="22" t="n">
        <x:f>MOD($B$6*(A211-1)+$B$7,$A$14)+1</x:f>
        <x:v>25</x:v>
      </x:c>
      <x:c r="E211" s="22" t="n">
        <x:f>MOD($B$6*(A211-1)+$B$7,$A$15)+1</x:f>
        <x:v>525</x:v>
      </x:c>
      <x:c r="F211" s="18"/>
      <x:c r="G211" s="18"/>
      <x:c r="H211" s="18" t="str">
        <x:v>pairing identity only</x:v>
      </x:c>
    </x:row>
    <x:row r="212" ht="22" customHeight="1">
      <x:c r="A212" s="22" t="n">
        <x:v>187</x:v>
      </x:c>
      <x:c r="B212" s="22" t="n">
        <x:f>MOD($B$6*(A212-1)+$B$7,$A$12)+1</x:f>
        <x:v>98</x:v>
      </x:c>
      <x:c r="C212" s="22" t="n">
        <x:f>MOD($B$6*(A212-1)+$B$7,$A$13)+1</x:f>
        <x:v>98</x:v>
      </x:c>
      <x:c r="D212" s="22" t="n">
        <x:f>MOD($B$6*(A212-1)+$B$7,$A$14)+1</x:f>
        <x:v>98</x:v>
      </x:c>
      <x:c r="E212" s="22" t="n">
        <x:f>MOD($B$6*(A212-1)+$B$7,$A$15)+1</x:f>
        <x:v>598</x:v>
      </x:c>
      <x:c r="F212" s="18"/>
      <x:c r="G212" s="18"/>
      <x:c r="H212" s="18" t="str">
        <x:v>pairing identity only</x:v>
      </x:c>
    </x:row>
    <x:row r="213" ht="22" customHeight="1">
      <x:c r="A213" s="22" t="n">
        <x:v>188</x:v>
      </x:c>
      <x:c r="B213" s="22" t="n">
        <x:f>MOD($B$6*(A213-1)+$B$7,$A$12)+1</x:f>
        <x:v>46</x:v>
      </x:c>
      <x:c r="C213" s="22" t="n">
        <x:f>MOD($B$6*(A213-1)+$B$7,$A$13)+1</x:f>
        <x:v>171</x:v>
      </x:c>
      <x:c r="D213" s="22" t="n">
        <x:f>MOD($B$6*(A213-1)+$B$7,$A$14)+1</x:f>
        <x:v>171</x:v>
      </x:c>
      <x:c r="E213" s="22" t="n">
        <x:f>MOD($B$6*(A213-1)+$B$7,$A$15)+1</x:f>
        <x:v>671</x:v>
      </x:c>
      <x:c r="F213" s="18"/>
      <x:c r="G213" s="18"/>
      <x:c r="H213" s="18" t="str">
        <x:v>pairing identity only</x:v>
      </x:c>
    </x:row>
    <x:row r="214" ht="22" customHeight="1">
      <x:c r="A214" s="22" t="n">
        <x:v>189</x:v>
      </x:c>
      <x:c r="B214" s="22" t="n">
        <x:f>MOD($B$6*(A214-1)+$B$7,$A$12)+1</x:f>
        <x:v>119</x:v>
      </x:c>
      <x:c r="C214" s="22" t="n">
        <x:f>MOD($B$6*(A214-1)+$B$7,$A$13)+1</x:f>
        <x:v>244</x:v>
      </x:c>
      <x:c r="D214" s="22" t="n">
        <x:f>MOD($B$6*(A214-1)+$B$7,$A$14)+1</x:f>
        <x:v>244</x:v>
      </x:c>
      <x:c r="E214" s="22" t="n">
        <x:f>MOD($B$6*(A214-1)+$B$7,$A$15)+1</x:f>
        <x:v>744</x:v>
      </x:c>
      <x:c r="F214" s="18"/>
      <x:c r="G214" s="18"/>
      <x:c r="H214" s="18" t="str">
        <x:v>pairing identity only</x:v>
      </x:c>
    </x:row>
    <x:row r="215" ht="22" customHeight="1">
      <x:c r="A215" s="22" t="n">
        <x:v>190</x:v>
      </x:c>
      <x:c r="B215" s="22" t="n">
        <x:f>MOD($B$6*(A215-1)+$B$7,$A$12)+1</x:f>
        <x:v>67</x:v>
      </x:c>
      <x:c r="C215" s="22" t="n">
        <x:f>MOD($B$6*(A215-1)+$B$7,$A$13)+1</x:f>
        <x:v>67</x:v>
      </x:c>
      <x:c r="D215" s="22" t="n">
        <x:f>MOD($B$6*(A215-1)+$B$7,$A$14)+1</x:f>
        <x:v>317</x:v>
      </x:c>
      <x:c r="E215" s="22" t="n">
        <x:f>MOD($B$6*(A215-1)+$B$7,$A$15)+1</x:f>
        <x:v>817</x:v>
      </x:c>
      <x:c r="F215" s="18"/>
      <x:c r="G215" s="18"/>
      <x:c r="H215" s="18" t="str">
        <x:v>pairing identity only</x:v>
      </x:c>
    </x:row>
    <x:row r="216" ht="22" customHeight="1">
      <x:c r="A216" s="22" t="n">
        <x:v>191</x:v>
      </x:c>
      <x:c r="B216" s="22" t="n">
        <x:f>MOD($B$6*(A216-1)+$B$7,$A$12)+1</x:f>
        <x:v>15</x:v>
      </x:c>
      <x:c r="C216" s="22" t="n">
        <x:f>MOD($B$6*(A216-1)+$B$7,$A$13)+1</x:f>
        <x:v>140</x:v>
      </x:c>
      <x:c r="D216" s="22" t="n">
        <x:f>MOD($B$6*(A216-1)+$B$7,$A$14)+1</x:f>
        <x:v>390</x:v>
      </x:c>
      <x:c r="E216" s="22" t="n">
        <x:f>MOD($B$6*(A216-1)+$B$7,$A$15)+1</x:f>
        <x:v>890</x:v>
      </x:c>
      <x:c r="F216" s="18"/>
      <x:c r="G216" s="18"/>
      <x:c r="H216" s="18" t="str">
        <x:v>pairing identity only</x:v>
      </x:c>
    </x:row>
    <x:row r="217" ht="22" customHeight="1">
      <x:c r="A217" s="22" t="n">
        <x:v>192</x:v>
      </x:c>
      <x:c r="B217" s="22" t="n">
        <x:f>MOD($B$6*(A217-1)+$B$7,$A$12)+1</x:f>
        <x:v>88</x:v>
      </x:c>
      <x:c r="C217" s="22" t="n">
        <x:f>MOD($B$6*(A217-1)+$B$7,$A$13)+1</x:f>
        <x:v>213</x:v>
      </x:c>
      <x:c r="D217" s="22" t="n">
        <x:f>MOD($B$6*(A217-1)+$B$7,$A$14)+1</x:f>
        <x:v>463</x:v>
      </x:c>
      <x:c r="E217" s="22" t="n">
        <x:f>MOD($B$6*(A217-1)+$B$7,$A$15)+1</x:f>
        <x:v>963</x:v>
      </x:c>
      <x:c r="F217" s="18"/>
      <x:c r="G217" s="18"/>
      <x:c r="H217" s="18" t="str">
        <x:v>pairing identity only</x:v>
      </x:c>
    </x:row>
    <x:row r="218" ht="22" customHeight="1">
      <x:c r="A218" s="22" t="n">
        <x:v>193</x:v>
      </x:c>
      <x:c r="B218" s="22" t="n">
        <x:f>MOD($B$6*(A218-1)+$B$7,$A$12)+1</x:f>
        <x:v>36</x:v>
      </x:c>
      <x:c r="C218" s="22" t="n">
        <x:f>MOD($B$6*(A218-1)+$B$7,$A$13)+1</x:f>
        <x:v>36</x:v>
      </x:c>
      <x:c r="D218" s="22" t="n">
        <x:f>MOD($B$6*(A218-1)+$B$7,$A$14)+1</x:f>
        <x:v>36</x:v>
      </x:c>
      <x:c r="E218" s="22" t="n">
        <x:f>MOD($B$6*(A218-1)+$B$7,$A$15)+1</x:f>
        <x:v>36</x:v>
      </x:c>
      <x:c r="F218" s="18"/>
      <x:c r="G218" s="18"/>
      <x:c r="H218" s="18" t="str">
        <x:v>pairing identity only</x:v>
      </x:c>
    </x:row>
    <x:row r="219" ht="22" customHeight="1">
      <x:c r="A219" s="22" t="n">
        <x:v>194</x:v>
      </x:c>
      <x:c r="B219" s="22" t="n">
        <x:f>MOD($B$6*(A219-1)+$B$7,$A$12)+1</x:f>
        <x:v>109</x:v>
      </x:c>
      <x:c r="C219" s="22" t="n">
        <x:f>MOD($B$6*(A219-1)+$B$7,$A$13)+1</x:f>
        <x:v>109</x:v>
      </x:c>
      <x:c r="D219" s="22" t="n">
        <x:f>MOD($B$6*(A219-1)+$B$7,$A$14)+1</x:f>
        <x:v>109</x:v>
      </x:c>
      <x:c r="E219" s="22" t="n">
        <x:f>MOD($B$6*(A219-1)+$B$7,$A$15)+1</x:f>
        <x:v>109</x:v>
      </x:c>
      <x:c r="F219" s="18"/>
      <x:c r="G219" s="18"/>
      <x:c r="H219" s="18" t="str">
        <x:v>pairing identity only</x:v>
      </x:c>
    </x:row>
    <x:row r="220" ht="22" customHeight="1">
      <x:c r="A220" s="22" t="n">
        <x:v>195</x:v>
      </x:c>
      <x:c r="B220" s="22" t="n">
        <x:f>MOD($B$6*(A220-1)+$B$7,$A$12)+1</x:f>
        <x:v>57</x:v>
      </x:c>
      <x:c r="C220" s="22" t="n">
        <x:f>MOD($B$6*(A220-1)+$B$7,$A$13)+1</x:f>
        <x:v>182</x:v>
      </x:c>
      <x:c r="D220" s="22" t="n">
        <x:f>MOD($B$6*(A220-1)+$B$7,$A$14)+1</x:f>
        <x:v>182</x:v>
      </x:c>
      <x:c r="E220" s="22" t="n">
        <x:f>MOD($B$6*(A220-1)+$B$7,$A$15)+1</x:f>
        <x:v>182</x:v>
      </x:c>
      <x:c r="F220" s="18"/>
      <x:c r="G220" s="18"/>
      <x:c r="H220" s="18" t="str">
        <x:v>pairing identity only</x:v>
      </x:c>
    </x:row>
    <x:row r="221" ht="22" customHeight="1">
      <x:c r="A221" s="22" t="n">
        <x:v>196</x:v>
      </x:c>
      <x:c r="B221" s="22" t="n">
        <x:f>MOD($B$6*(A221-1)+$B$7,$A$12)+1</x:f>
        <x:v>5</x:v>
      </x:c>
      <x:c r="C221" s="22" t="n">
        <x:f>MOD($B$6*(A221-1)+$B$7,$A$13)+1</x:f>
        <x:v>5</x:v>
      </x:c>
      <x:c r="D221" s="22" t="n">
        <x:f>MOD($B$6*(A221-1)+$B$7,$A$14)+1</x:f>
        <x:v>255</x:v>
      </x:c>
      <x:c r="E221" s="22" t="n">
        <x:f>MOD($B$6*(A221-1)+$B$7,$A$15)+1</x:f>
        <x:v>255</x:v>
      </x:c>
      <x:c r="F221" s="18"/>
      <x:c r="G221" s="18"/>
      <x:c r="H221" s="18" t="str">
        <x:v>pairing identity only</x:v>
      </x:c>
    </x:row>
    <x:row r="222" ht="22" customHeight="1">
      <x:c r="A222" s="22" t="n">
        <x:v>197</x:v>
      </x:c>
      <x:c r="B222" s="22" t="n">
        <x:f>MOD($B$6*(A222-1)+$B$7,$A$12)+1</x:f>
        <x:v>78</x:v>
      </x:c>
      <x:c r="C222" s="22" t="n">
        <x:f>MOD($B$6*(A222-1)+$B$7,$A$13)+1</x:f>
        <x:v>78</x:v>
      </x:c>
      <x:c r="D222" s="22" t="n">
        <x:f>MOD($B$6*(A222-1)+$B$7,$A$14)+1</x:f>
        <x:v>328</x:v>
      </x:c>
      <x:c r="E222" s="22" t="n">
        <x:f>MOD($B$6*(A222-1)+$B$7,$A$15)+1</x:f>
        <x:v>328</x:v>
      </x:c>
      <x:c r="F222" s="18"/>
      <x:c r="G222" s="18"/>
      <x:c r="H222" s="18" t="str">
        <x:v>pairing identity only</x:v>
      </x:c>
    </x:row>
    <x:row r="223" ht="22" customHeight="1">
      <x:c r="A223" s="22" t="n">
        <x:v>198</x:v>
      </x:c>
      <x:c r="B223" s="22" t="n">
        <x:f>MOD($B$6*(A223-1)+$B$7,$A$12)+1</x:f>
        <x:v>26</x:v>
      </x:c>
      <x:c r="C223" s="22" t="n">
        <x:f>MOD($B$6*(A223-1)+$B$7,$A$13)+1</x:f>
        <x:v>151</x:v>
      </x:c>
      <x:c r="D223" s="22" t="n">
        <x:f>MOD($B$6*(A223-1)+$B$7,$A$14)+1</x:f>
        <x:v>401</x:v>
      </x:c>
      <x:c r="E223" s="22" t="n">
        <x:f>MOD($B$6*(A223-1)+$B$7,$A$15)+1</x:f>
        <x:v>401</x:v>
      </x:c>
      <x:c r="F223" s="18"/>
      <x:c r="G223" s="18"/>
      <x:c r="H223" s="18" t="str">
        <x:v>pairing identity only</x:v>
      </x:c>
    </x:row>
    <x:row r="224" ht="22" customHeight="1">
      <x:c r="A224" s="22" t="n">
        <x:v>199</x:v>
      </x:c>
      <x:c r="B224" s="22" t="n">
        <x:f>MOD($B$6*(A224-1)+$B$7,$A$12)+1</x:f>
        <x:v>99</x:v>
      </x:c>
      <x:c r="C224" s="22" t="n">
        <x:f>MOD($B$6*(A224-1)+$B$7,$A$13)+1</x:f>
        <x:v>224</x:v>
      </x:c>
      <x:c r="D224" s="22" t="n">
        <x:f>MOD($B$6*(A224-1)+$B$7,$A$14)+1</x:f>
        <x:v>474</x:v>
      </x:c>
      <x:c r="E224" s="22" t="n">
        <x:f>MOD($B$6*(A224-1)+$B$7,$A$15)+1</x:f>
        <x:v>474</x:v>
      </x:c>
      <x:c r="F224" s="18"/>
      <x:c r="G224" s="18"/>
      <x:c r="H224" s="18" t="str">
        <x:v>pairing identity only</x:v>
      </x:c>
    </x:row>
    <x:row r="225" ht="22" customHeight="1">
      <x:c r="A225" s="22" t="n">
        <x:v>200</x:v>
      </x:c>
      <x:c r="B225" s="22" t="n">
        <x:f>MOD($B$6*(A225-1)+$B$7,$A$12)+1</x:f>
        <x:v>47</x:v>
      </x:c>
      <x:c r="C225" s="22" t="n">
        <x:f>MOD($B$6*(A225-1)+$B$7,$A$13)+1</x:f>
        <x:v>47</x:v>
      </x:c>
      <x:c r="D225" s="22" t="n">
        <x:f>MOD($B$6*(A225-1)+$B$7,$A$14)+1</x:f>
        <x:v>47</x:v>
      </x:c>
      <x:c r="E225" s="22" t="n">
        <x:f>MOD($B$6*(A225-1)+$B$7,$A$15)+1</x:f>
        <x:v>547</x:v>
      </x:c>
      <x:c r="F225" s="18"/>
      <x:c r="G225" s="18"/>
      <x:c r="H225" s="18" t="str">
        <x:v>pairing identity only</x:v>
      </x:c>
    </x:row>
    <x:row r="226" ht="22" customHeight="1">
      <x:c r="A226" s="22" t="n">
        <x:v>201</x:v>
      </x:c>
      <x:c r="B226" s="22" t="n">
        <x:f>MOD($B$6*(A226-1)+$B$7,$A$12)+1</x:f>
        <x:v>120</x:v>
      </x:c>
      <x:c r="C226" s="22" t="n">
        <x:f>MOD($B$6*(A226-1)+$B$7,$A$13)+1</x:f>
        <x:v>120</x:v>
      </x:c>
      <x:c r="D226" s="22" t="n">
        <x:f>MOD($B$6*(A226-1)+$B$7,$A$14)+1</x:f>
        <x:v>120</x:v>
      </x:c>
      <x:c r="E226" s="22" t="n">
        <x:f>MOD($B$6*(A226-1)+$B$7,$A$15)+1</x:f>
        <x:v>620</x:v>
      </x:c>
      <x:c r="F226" s="18"/>
      <x:c r="G226" s="18"/>
      <x:c r="H226" s="18" t="str">
        <x:v>pairing identity only</x:v>
      </x:c>
    </x:row>
    <x:row r="227" ht="22" customHeight="1">
      <x:c r="A227" s="22" t="n">
        <x:v>202</x:v>
      </x:c>
      <x:c r="B227" s="22" t="n">
        <x:f>MOD($B$6*(A227-1)+$B$7,$A$12)+1</x:f>
        <x:v>68</x:v>
      </x:c>
      <x:c r="C227" s="22" t="n">
        <x:f>MOD($B$6*(A227-1)+$B$7,$A$13)+1</x:f>
        <x:v>193</x:v>
      </x:c>
      <x:c r="D227" s="22" t="n">
        <x:f>MOD($B$6*(A227-1)+$B$7,$A$14)+1</x:f>
        <x:v>193</x:v>
      </x:c>
      <x:c r="E227" s="22" t="n">
        <x:f>MOD($B$6*(A227-1)+$B$7,$A$15)+1</x:f>
        <x:v>693</x:v>
      </x:c>
      <x:c r="F227" s="18"/>
      <x:c r="G227" s="18"/>
      <x:c r="H227" s="18" t="str">
        <x:v>pairing identity only</x:v>
      </x:c>
    </x:row>
    <x:row r="228" ht="22" customHeight="1">
      <x:c r="A228" s="22" t="n">
        <x:v>203</x:v>
      </x:c>
      <x:c r="B228" s="22" t="n">
        <x:f>MOD($B$6*(A228-1)+$B$7,$A$12)+1</x:f>
        <x:v>16</x:v>
      </x:c>
      <x:c r="C228" s="22" t="n">
        <x:f>MOD($B$6*(A228-1)+$B$7,$A$13)+1</x:f>
        <x:v>16</x:v>
      </x:c>
      <x:c r="D228" s="22" t="n">
        <x:f>MOD($B$6*(A228-1)+$B$7,$A$14)+1</x:f>
        <x:v>266</x:v>
      </x:c>
      <x:c r="E228" s="22" t="n">
        <x:f>MOD($B$6*(A228-1)+$B$7,$A$15)+1</x:f>
        <x:v>766</x:v>
      </x:c>
      <x:c r="F228" s="18"/>
      <x:c r="G228" s="18"/>
      <x:c r="H228" s="18" t="str">
        <x:v>pairing identity only</x:v>
      </x:c>
    </x:row>
    <x:row r="229" ht="22" customHeight="1">
      <x:c r="A229" s="22" t="n">
        <x:v>204</x:v>
      </x:c>
      <x:c r="B229" s="22" t="n">
        <x:f>MOD($B$6*(A229-1)+$B$7,$A$12)+1</x:f>
        <x:v>89</x:v>
      </x:c>
      <x:c r="C229" s="22" t="n">
        <x:f>MOD($B$6*(A229-1)+$B$7,$A$13)+1</x:f>
        <x:v>89</x:v>
      </x:c>
      <x:c r="D229" s="22" t="n">
        <x:f>MOD($B$6*(A229-1)+$B$7,$A$14)+1</x:f>
        <x:v>339</x:v>
      </x:c>
      <x:c r="E229" s="22" t="n">
        <x:f>MOD($B$6*(A229-1)+$B$7,$A$15)+1</x:f>
        <x:v>839</x:v>
      </x:c>
      <x:c r="F229" s="18"/>
      <x:c r="G229" s="18"/>
      <x:c r="H229" s="18" t="str">
        <x:v>pairing identity only</x:v>
      </x:c>
    </x:row>
    <x:row r="230" ht="22" customHeight="1">
      <x:c r="A230" s="22" t="n">
        <x:v>205</x:v>
      </x:c>
      <x:c r="B230" s="22" t="n">
        <x:f>MOD($B$6*(A230-1)+$B$7,$A$12)+1</x:f>
        <x:v>37</x:v>
      </x:c>
      <x:c r="C230" s="22" t="n">
        <x:f>MOD($B$6*(A230-1)+$B$7,$A$13)+1</x:f>
        <x:v>162</x:v>
      </x:c>
      <x:c r="D230" s="22" t="n">
        <x:f>MOD($B$6*(A230-1)+$B$7,$A$14)+1</x:f>
        <x:v>412</x:v>
      </x:c>
      <x:c r="E230" s="22" t="n">
        <x:f>MOD($B$6*(A230-1)+$B$7,$A$15)+1</x:f>
        <x:v>912</x:v>
      </x:c>
      <x:c r="F230" s="18"/>
      <x:c r="G230" s="18"/>
      <x:c r="H230" s="18" t="str">
        <x:v>pairing identity only</x:v>
      </x:c>
    </x:row>
    <x:row r="231" ht="22" customHeight="1">
      <x:c r="A231" s="22" t="n">
        <x:v>206</x:v>
      </x:c>
      <x:c r="B231" s="22" t="n">
        <x:f>MOD($B$6*(A231-1)+$B$7,$A$12)+1</x:f>
        <x:v>110</x:v>
      </x:c>
      <x:c r="C231" s="22" t="n">
        <x:f>MOD($B$6*(A231-1)+$B$7,$A$13)+1</x:f>
        <x:v>235</x:v>
      </x:c>
      <x:c r="D231" s="22" t="n">
        <x:f>MOD($B$6*(A231-1)+$B$7,$A$14)+1</x:f>
        <x:v>485</x:v>
      </x:c>
      <x:c r="E231" s="22" t="n">
        <x:f>MOD($B$6*(A231-1)+$B$7,$A$15)+1</x:f>
        <x:v>985</x:v>
      </x:c>
      <x:c r="F231" s="18"/>
      <x:c r="G231" s="18"/>
      <x:c r="H231" s="18" t="str">
        <x:v>pairing identity only</x:v>
      </x:c>
    </x:row>
    <x:row r="232" ht="22" customHeight="1">
      <x:c r="A232" s="22" t="n">
        <x:v>207</x:v>
      </x:c>
      <x:c r="B232" s="22" t="n">
        <x:f>MOD($B$6*(A232-1)+$B$7,$A$12)+1</x:f>
        <x:v>58</x:v>
      </x:c>
      <x:c r="C232" s="22" t="n">
        <x:f>MOD($B$6*(A232-1)+$B$7,$A$13)+1</x:f>
        <x:v>58</x:v>
      </x:c>
      <x:c r="D232" s="22" t="n">
        <x:f>MOD($B$6*(A232-1)+$B$7,$A$14)+1</x:f>
        <x:v>58</x:v>
      </x:c>
      <x:c r="E232" s="22" t="n">
        <x:f>MOD($B$6*(A232-1)+$B$7,$A$15)+1</x:f>
        <x:v>58</x:v>
      </x:c>
      <x:c r="F232" s="18"/>
      <x:c r="G232" s="18"/>
      <x:c r="H232" s="18" t="str">
        <x:v>pairing identity only</x:v>
      </x:c>
    </x:row>
    <x:row r="233" ht="22" customHeight="1">
      <x:c r="A233" s="22" t="n">
        <x:v>208</x:v>
      </x:c>
      <x:c r="B233" s="22" t="n">
        <x:f>MOD($B$6*(A233-1)+$B$7,$A$12)+1</x:f>
        <x:v>6</x:v>
      </x:c>
      <x:c r="C233" s="22" t="n">
        <x:f>MOD($B$6*(A233-1)+$B$7,$A$13)+1</x:f>
        <x:v>131</x:v>
      </x:c>
      <x:c r="D233" s="22" t="n">
        <x:f>MOD($B$6*(A233-1)+$B$7,$A$14)+1</x:f>
        <x:v>131</x:v>
      </x:c>
      <x:c r="E233" s="22" t="n">
        <x:f>MOD($B$6*(A233-1)+$B$7,$A$15)+1</x:f>
        <x:v>131</x:v>
      </x:c>
      <x:c r="F233" s="18"/>
      <x:c r="G233" s="18"/>
      <x:c r="H233" s="18" t="str">
        <x:v>pairing identity only</x:v>
      </x:c>
    </x:row>
    <x:row r="234" ht="22" customHeight="1">
      <x:c r="A234" s="22" t="n">
        <x:v>209</x:v>
      </x:c>
      <x:c r="B234" s="22" t="n">
        <x:f>MOD($B$6*(A234-1)+$B$7,$A$12)+1</x:f>
        <x:v>79</x:v>
      </x:c>
      <x:c r="C234" s="22" t="n">
        <x:f>MOD($B$6*(A234-1)+$B$7,$A$13)+1</x:f>
        <x:v>204</x:v>
      </x:c>
      <x:c r="D234" s="22" t="n">
        <x:f>MOD($B$6*(A234-1)+$B$7,$A$14)+1</x:f>
        <x:v>204</x:v>
      </x:c>
      <x:c r="E234" s="22" t="n">
        <x:f>MOD($B$6*(A234-1)+$B$7,$A$15)+1</x:f>
        <x:v>204</x:v>
      </x:c>
      <x:c r="F234" s="18"/>
      <x:c r="G234" s="18"/>
      <x:c r="H234" s="18" t="str">
        <x:v>pairing identity only</x:v>
      </x:c>
    </x:row>
    <x:row r="235" ht="22" customHeight="1">
      <x:c r="A235" s="22" t="n">
        <x:v>210</x:v>
      </x:c>
      <x:c r="B235" s="22" t="n">
        <x:f>MOD($B$6*(A235-1)+$B$7,$A$12)+1</x:f>
        <x:v>27</x:v>
      </x:c>
      <x:c r="C235" s="22" t="n">
        <x:f>MOD($B$6*(A235-1)+$B$7,$A$13)+1</x:f>
        <x:v>27</x:v>
      </x:c>
      <x:c r="D235" s="22" t="n">
        <x:f>MOD($B$6*(A235-1)+$B$7,$A$14)+1</x:f>
        <x:v>277</x:v>
      </x:c>
      <x:c r="E235" s="22" t="n">
        <x:f>MOD($B$6*(A235-1)+$B$7,$A$15)+1</x:f>
        <x:v>277</x:v>
      </x:c>
      <x:c r="F235" s="18"/>
      <x:c r="G235" s="18"/>
      <x:c r="H235" s="18" t="str">
        <x:v>pairing identity only</x:v>
      </x:c>
    </x:row>
    <x:row r="236" ht="22" customHeight="1">
      <x:c r="A236" s="22" t="n">
        <x:v>211</x:v>
      </x:c>
      <x:c r="B236" s="22" t="n">
        <x:f>MOD($B$6*(A236-1)+$B$7,$A$12)+1</x:f>
        <x:v>100</x:v>
      </x:c>
      <x:c r="C236" s="22" t="n">
        <x:f>MOD($B$6*(A236-1)+$B$7,$A$13)+1</x:f>
        <x:v>100</x:v>
      </x:c>
      <x:c r="D236" s="22" t="n">
        <x:f>MOD($B$6*(A236-1)+$B$7,$A$14)+1</x:f>
        <x:v>350</x:v>
      </x:c>
      <x:c r="E236" s="22" t="n">
        <x:f>MOD($B$6*(A236-1)+$B$7,$A$15)+1</x:f>
        <x:v>350</x:v>
      </x:c>
      <x:c r="F236" s="18"/>
      <x:c r="G236" s="18"/>
      <x:c r="H236" s="18" t="str">
        <x:v>pairing identity only</x:v>
      </x:c>
    </x:row>
    <x:row r="237" ht="22" customHeight="1">
      <x:c r="A237" s="22" t="n">
        <x:v>212</x:v>
      </x:c>
      <x:c r="B237" s="22" t="n">
        <x:f>MOD($B$6*(A237-1)+$B$7,$A$12)+1</x:f>
        <x:v>48</x:v>
      </x:c>
      <x:c r="C237" s="22" t="n">
        <x:f>MOD($B$6*(A237-1)+$B$7,$A$13)+1</x:f>
        <x:v>173</x:v>
      </x:c>
      <x:c r="D237" s="22" t="n">
        <x:f>MOD($B$6*(A237-1)+$B$7,$A$14)+1</x:f>
        <x:v>423</x:v>
      </x:c>
      <x:c r="E237" s="22" t="n">
        <x:f>MOD($B$6*(A237-1)+$B$7,$A$15)+1</x:f>
        <x:v>423</x:v>
      </x:c>
      <x:c r="F237" s="18"/>
      <x:c r="G237" s="18"/>
      <x:c r="H237" s="18" t="str">
        <x:v>pairing identity only</x:v>
      </x:c>
    </x:row>
    <x:row r="238" ht="22" customHeight="1">
      <x:c r="A238" s="22" t="n">
        <x:v>213</x:v>
      </x:c>
      <x:c r="B238" s="22" t="n">
        <x:f>MOD($B$6*(A238-1)+$B$7,$A$12)+1</x:f>
        <x:v>121</x:v>
      </x:c>
      <x:c r="C238" s="22" t="n">
        <x:f>MOD($B$6*(A238-1)+$B$7,$A$13)+1</x:f>
        <x:v>246</x:v>
      </x:c>
      <x:c r="D238" s="22" t="n">
        <x:f>MOD($B$6*(A238-1)+$B$7,$A$14)+1</x:f>
        <x:v>496</x:v>
      </x:c>
      <x:c r="E238" s="22" t="n">
        <x:f>MOD($B$6*(A238-1)+$B$7,$A$15)+1</x:f>
        <x:v>496</x:v>
      </x:c>
      <x:c r="F238" s="18"/>
      <x:c r="G238" s="18"/>
      <x:c r="H238" s="18" t="str">
        <x:v>pairing identity only</x:v>
      </x:c>
    </x:row>
    <x:row r="239" ht="22" customHeight="1">
      <x:c r="A239" s="22" t="n">
        <x:v>214</x:v>
      </x:c>
      <x:c r="B239" s="22" t="n">
        <x:f>MOD($B$6*(A239-1)+$B$7,$A$12)+1</x:f>
        <x:v>69</x:v>
      </x:c>
      <x:c r="C239" s="22" t="n">
        <x:f>MOD($B$6*(A239-1)+$B$7,$A$13)+1</x:f>
        <x:v>69</x:v>
      </x:c>
      <x:c r="D239" s="22" t="n">
        <x:f>MOD($B$6*(A239-1)+$B$7,$A$14)+1</x:f>
        <x:v>69</x:v>
      </x:c>
      <x:c r="E239" s="22" t="n">
        <x:f>MOD($B$6*(A239-1)+$B$7,$A$15)+1</x:f>
        <x:v>569</x:v>
      </x:c>
      <x:c r="F239" s="18"/>
      <x:c r="G239" s="18"/>
      <x:c r="H239" s="18" t="str">
        <x:v>pairing identity only</x:v>
      </x:c>
    </x:row>
    <x:row r="240" ht="22" customHeight="1">
      <x:c r="A240" s="22" t="n">
        <x:v>215</x:v>
      </x:c>
      <x:c r="B240" s="22" t="n">
        <x:f>MOD($B$6*(A240-1)+$B$7,$A$12)+1</x:f>
        <x:v>17</x:v>
      </x:c>
      <x:c r="C240" s="22" t="n">
        <x:f>MOD($B$6*(A240-1)+$B$7,$A$13)+1</x:f>
        <x:v>142</x:v>
      </x:c>
      <x:c r="D240" s="22" t="n">
        <x:f>MOD($B$6*(A240-1)+$B$7,$A$14)+1</x:f>
        <x:v>142</x:v>
      </x:c>
      <x:c r="E240" s="22" t="n">
        <x:f>MOD($B$6*(A240-1)+$B$7,$A$15)+1</x:f>
        <x:v>642</x:v>
      </x:c>
      <x:c r="F240" s="18"/>
      <x:c r="G240" s="18"/>
      <x:c r="H240" s="18" t="str">
        <x:v>pairing identity only</x:v>
      </x:c>
    </x:row>
    <x:row r="241" ht="22" customHeight="1">
      <x:c r="A241" s="22" t="n">
        <x:v>216</x:v>
      </x:c>
      <x:c r="B241" s="22" t="n">
        <x:f>MOD($B$6*(A241-1)+$B$7,$A$12)+1</x:f>
        <x:v>90</x:v>
      </x:c>
      <x:c r="C241" s="22" t="n">
        <x:f>MOD($B$6*(A241-1)+$B$7,$A$13)+1</x:f>
        <x:v>215</x:v>
      </x:c>
      <x:c r="D241" s="22" t="n">
        <x:f>MOD($B$6*(A241-1)+$B$7,$A$14)+1</x:f>
        <x:v>215</x:v>
      </x:c>
      <x:c r="E241" s="22" t="n">
        <x:f>MOD($B$6*(A241-1)+$B$7,$A$15)+1</x:f>
        <x:v>715</x:v>
      </x:c>
      <x:c r="F241" s="18"/>
      <x:c r="G241" s="18"/>
      <x:c r="H241" s="18" t="str">
        <x:v>pairing identity only</x:v>
      </x:c>
    </x:row>
    <x:row r="242" ht="22" customHeight="1">
      <x:c r="A242" s="22" t="n">
        <x:v>217</x:v>
      </x:c>
      <x:c r="B242" s="22" t="n">
        <x:f>MOD($B$6*(A242-1)+$B$7,$A$12)+1</x:f>
        <x:v>38</x:v>
      </x:c>
      <x:c r="C242" s="22" t="n">
        <x:f>MOD($B$6*(A242-1)+$B$7,$A$13)+1</x:f>
        <x:v>38</x:v>
      </x:c>
      <x:c r="D242" s="22" t="n">
        <x:f>MOD($B$6*(A242-1)+$B$7,$A$14)+1</x:f>
        <x:v>288</x:v>
      </x:c>
      <x:c r="E242" s="22" t="n">
        <x:f>MOD($B$6*(A242-1)+$B$7,$A$15)+1</x:f>
        <x:v>788</x:v>
      </x:c>
      <x:c r="F242" s="18"/>
      <x:c r="G242" s="18"/>
      <x:c r="H242" s="18" t="str">
        <x:v>pairing identity only</x:v>
      </x:c>
    </x:row>
    <x:row r="243" ht="22" customHeight="1">
      <x:c r="A243" s="22" t="n">
        <x:v>218</x:v>
      </x:c>
      <x:c r="B243" s="22" t="n">
        <x:f>MOD($B$6*(A243-1)+$B$7,$A$12)+1</x:f>
        <x:v>111</x:v>
      </x:c>
      <x:c r="C243" s="22" t="n">
        <x:f>MOD($B$6*(A243-1)+$B$7,$A$13)+1</x:f>
        <x:v>111</x:v>
      </x:c>
      <x:c r="D243" s="22" t="n">
        <x:f>MOD($B$6*(A243-1)+$B$7,$A$14)+1</x:f>
        <x:v>361</x:v>
      </x:c>
      <x:c r="E243" s="22" t="n">
        <x:f>MOD($B$6*(A243-1)+$B$7,$A$15)+1</x:f>
        <x:v>861</x:v>
      </x:c>
      <x:c r="F243" s="18"/>
      <x:c r="G243" s="18"/>
      <x:c r="H243" s="18" t="str">
        <x:v>pairing identity only</x:v>
      </x:c>
    </x:row>
    <x:row r="244" ht="22" customHeight="1">
      <x:c r="A244" s="22" t="n">
        <x:v>219</x:v>
      </x:c>
      <x:c r="B244" s="22" t="n">
        <x:f>MOD($B$6*(A244-1)+$B$7,$A$12)+1</x:f>
        <x:v>59</x:v>
      </x:c>
      <x:c r="C244" s="22" t="n">
        <x:f>MOD($B$6*(A244-1)+$B$7,$A$13)+1</x:f>
        <x:v>184</x:v>
      </x:c>
      <x:c r="D244" s="22" t="n">
        <x:f>MOD($B$6*(A244-1)+$B$7,$A$14)+1</x:f>
        <x:v>434</x:v>
      </x:c>
      <x:c r="E244" s="22" t="n">
        <x:f>MOD($B$6*(A244-1)+$B$7,$A$15)+1</x:f>
        <x:v>934</x:v>
      </x:c>
      <x:c r="F244" s="18"/>
      <x:c r="G244" s="18"/>
      <x:c r="H244" s="18" t="str">
        <x:v>pairing identity only</x:v>
      </x:c>
    </x:row>
    <x:row r="245" ht="22" customHeight="1">
      <x:c r="A245" s="22" t="n">
        <x:v>220</x:v>
      </x:c>
      <x:c r="B245" s="22" t="n">
        <x:f>MOD($B$6*(A245-1)+$B$7,$A$12)+1</x:f>
        <x:v>7</x:v>
      </x:c>
      <x:c r="C245" s="22" t="n">
        <x:f>MOD($B$6*(A245-1)+$B$7,$A$13)+1</x:f>
        <x:v>7</x:v>
      </x:c>
      <x:c r="D245" s="22" t="n">
        <x:f>MOD($B$6*(A245-1)+$B$7,$A$14)+1</x:f>
        <x:v>7</x:v>
      </x:c>
      <x:c r="E245" s="22" t="n">
        <x:f>MOD($B$6*(A245-1)+$B$7,$A$15)+1</x:f>
        <x:v>7</x:v>
      </x:c>
      <x:c r="F245" s="18"/>
      <x:c r="G245" s="18"/>
      <x:c r="H245" s="18" t="str">
        <x:v>pairing identity only</x:v>
      </x:c>
    </x:row>
    <x:row r="246" ht="22" customHeight="1">
      <x:c r="A246" s="22" t="n">
        <x:v>221</x:v>
      </x:c>
      <x:c r="B246" s="22" t="n">
        <x:f>MOD($B$6*(A246-1)+$B$7,$A$12)+1</x:f>
        <x:v>80</x:v>
      </x:c>
      <x:c r="C246" s="22" t="n">
        <x:f>MOD($B$6*(A246-1)+$B$7,$A$13)+1</x:f>
        <x:v>80</x:v>
      </x:c>
      <x:c r="D246" s="22" t="n">
        <x:f>MOD($B$6*(A246-1)+$B$7,$A$14)+1</x:f>
        <x:v>80</x:v>
      </x:c>
      <x:c r="E246" s="22" t="n">
        <x:f>MOD($B$6*(A246-1)+$B$7,$A$15)+1</x:f>
        <x:v>80</x:v>
      </x:c>
      <x:c r="F246" s="18"/>
      <x:c r="G246" s="18"/>
      <x:c r="H246" s="18" t="str">
        <x:v>pairing identity only</x:v>
      </x:c>
    </x:row>
    <x:row r="247" ht="22" customHeight="1">
      <x:c r="A247" s="22" t="n">
        <x:v>222</x:v>
      </x:c>
      <x:c r="B247" s="22" t="n">
        <x:f>MOD($B$6*(A247-1)+$B$7,$A$12)+1</x:f>
        <x:v>28</x:v>
      </x:c>
      <x:c r="C247" s="22" t="n">
        <x:f>MOD($B$6*(A247-1)+$B$7,$A$13)+1</x:f>
        <x:v>153</x:v>
      </x:c>
      <x:c r="D247" s="22" t="n">
        <x:f>MOD($B$6*(A247-1)+$B$7,$A$14)+1</x:f>
        <x:v>153</x:v>
      </x:c>
      <x:c r="E247" s="22" t="n">
        <x:f>MOD($B$6*(A247-1)+$B$7,$A$15)+1</x:f>
        <x:v>153</x:v>
      </x:c>
      <x:c r="F247" s="18"/>
      <x:c r="G247" s="18"/>
      <x:c r="H247" s="18" t="str">
        <x:v>pairing identity only</x:v>
      </x:c>
    </x:row>
    <x:row r="248" ht="22" customHeight="1">
      <x:c r="A248" s="22" t="n">
        <x:v>223</x:v>
      </x:c>
      <x:c r="B248" s="22" t="n">
        <x:f>MOD($B$6*(A248-1)+$B$7,$A$12)+1</x:f>
        <x:v>101</x:v>
      </x:c>
      <x:c r="C248" s="22" t="n">
        <x:f>MOD($B$6*(A248-1)+$B$7,$A$13)+1</x:f>
        <x:v>226</x:v>
      </x:c>
      <x:c r="D248" s="22" t="n">
        <x:f>MOD($B$6*(A248-1)+$B$7,$A$14)+1</x:f>
        <x:v>226</x:v>
      </x:c>
      <x:c r="E248" s="22" t="n">
        <x:f>MOD($B$6*(A248-1)+$B$7,$A$15)+1</x:f>
        <x:v>226</x:v>
      </x:c>
      <x:c r="F248" s="18"/>
      <x:c r="G248" s="18"/>
      <x:c r="H248" s="18" t="str">
        <x:v>pairing identity only</x:v>
      </x:c>
    </x:row>
    <x:row r="249" ht="22" customHeight="1">
      <x:c r="A249" s="22" t="n">
        <x:v>224</x:v>
      </x:c>
      <x:c r="B249" s="22" t="n">
        <x:f>MOD($B$6*(A249-1)+$B$7,$A$12)+1</x:f>
        <x:v>49</x:v>
      </x:c>
      <x:c r="C249" s="22" t="n">
        <x:f>MOD($B$6*(A249-1)+$B$7,$A$13)+1</x:f>
        <x:v>49</x:v>
      </x:c>
      <x:c r="D249" s="22" t="n">
        <x:f>MOD($B$6*(A249-1)+$B$7,$A$14)+1</x:f>
        <x:v>299</x:v>
      </x:c>
      <x:c r="E249" s="22" t="n">
        <x:f>MOD($B$6*(A249-1)+$B$7,$A$15)+1</x:f>
        <x:v>299</x:v>
      </x:c>
      <x:c r="F249" s="18"/>
      <x:c r="G249" s="18"/>
      <x:c r="H249" s="18" t="str">
        <x:v>pairing identity only</x:v>
      </x:c>
    </x:row>
    <x:row r="250" ht="22" customHeight="1">
      <x:c r="A250" s="22" t="n">
        <x:v>225</x:v>
      </x:c>
      <x:c r="B250" s="22" t="n">
        <x:f>MOD($B$6*(A250-1)+$B$7,$A$12)+1</x:f>
        <x:v>122</x:v>
      </x:c>
      <x:c r="C250" s="22" t="n">
        <x:f>MOD($B$6*(A250-1)+$B$7,$A$13)+1</x:f>
        <x:v>122</x:v>
      </x:c>
      <x:c r="D250" s="22" t="n">
        <x:f>MOD($B$6*(A250-1)+$B$7,$A$14)+1</x:f>
        <x:v>372</x:v>
      </x:c>
      <x:c r="E250" s="22" t="n">
        <x:f>MOD($B$6*(A250-1)+$B$7,$A$15)+1</x:f>
        <x:v>372</x:v>
      </x:c>
      <x:c r="F250" s="18"/>
      <x:c r="G250" s="18"/>
      <x:c r="H250" s="18" t="str">
        <x:v>pairing identity only</x:v>
      </x:c>
    </x:row>
    <x:row r="251" ht="22" customHeight="1">
      <x:c r="A251" s="22" t="n">
        <x:v>226</x:v>
      </x:c>
      <x:c r="B251" s="22" t="n">
        <x:f>MOD($B$6*(A251-1)+$B$7,$A$12)+1</x:f>
        <x:v>70</x:v>
      </x:c>
      <x:c r="C251" s="22" t="n">
        <x:f>MOD($B$6*(A251-1)+$B$7,$A$13)+1</x:f>
        <x:v>195</x:v>
      </x:c>
      <x:c r="D251" s="22" t="n">
        <x:f>MOD($B$6*(A251-1)+$B$7,$A$14)+1</x:f>
        <x:v>445</x:v>
      </x:c>
      <x:c r="E251" s="22" t="n">
        <x:f>MOD($B$6*(A251-1)+$B$7,$A$15)+1</x:f>
        <x:v>445</x:v>
      </x:c>
      <x:c r="F251" s="18"/>
      <x:c r="G251" s="18"/>
      <x:c r="H251" s="18" t="str">
        <x:v>pairing identity only</x:v>
      </x:c>
    </x:row>
    <x:row r="252" ht="22" customHeight="1">
      <x:c r="A252" s="22" t="n">
        <x:v>227</x:v>
      </x:c>
      <x:c r="B252" s="22" t="n">
        <x:f>MOD($B$6*(A252-1)+$B$7,$A$12)+1</x:f>
        <x:v>18</x:v>
      </x:c>
      <x:c r="C252" s="22" t="n">
        <x:f>MOD($B$6*(A252-1)+$B$7,$A$13)+1</x:f>
        <x:v>18</x:v>
      </x:c>
      <x:c r="D252" s="22" t="n">
        <x:f>MOD($B$6*(A252-1)+$B$7,$A$14)+1</x:f>
        <x:v>18</x:v>
      </x:c>
      <x:c r="E252" s="22" t="n">
        <x:f>MOD($B$6*(A252-1)+$B$7,$A$15)+1</x:f>
        <x:v>518</x:v>
      </x:c>
      <x:c r="F252" s="18"/>
      <x:c r="G252" s="18"/>
      <x:c r="H252" s="18" t="str">
        <x:v>pairing identity only</x:v>
      </x:c>
    </x:row>
    <x:row r="253" ht="22" customHeight="1">
      <x:c r="A253" s="22" t="n">
        <x:v>228</x:v>
      </x:c>
      <x:c r="B253" s="22" t="n">
        <x:f>MOD($B$6*(A253-1)+$B$7,$A$12)+1</x:f>
        <x:v>91</x:v>
      </x:c>
      <x:c r="C253" s="22" t="n">
        <x:f>MOD($B$6*(A253-1)+$B$7,$A$13)+1</x:f>
        <x:v>91</x:v>
      </x:c>
      <x:c r="D253" s="22" t="n">
        <x:f>MOD($B$6*(A253-1)+$B$7,$A$14)+1</x:f>
        <x:v>91</x:v>
      </x:c>
      <x:c r="E253" s="22" t="n">
        <x:f>MOD($B$6*(A253-1)+$B$7,$A$15)+1</x:f>
        <x:v>591</x:v>
      </x:c>
      <x:c r="F253" s="18"/>
      <x:c r="G253" s="18"/>
      <x:c r="H253" s="18" t="str">
        <x:v>pairing identity only</x:v>
      </x:c>
    </x:row>
    <x:row r="254" ht="22" customHeight="1">
      <x:c r="A254" s="22" t="n">
        <x:v>229</x:v>
      </x:c>
      <x:c r="B254" s="22" t="n">
        <x:f>MOD($B$6*(A254-1)+$B$7,$A$12)+1</x:f>
        <x:v>39</x:v>
      </x:c>
      <x:c r="C254" s="22" t="n">
        <x:f>MOD($B$6*(A254-1)+$B$7,$A$13)+1</x:f>
        <x:v>164</x:v>
      </x:c>
      <x:c r="D254" s="22" t="n">
        <x:f>MOD($B$6*(A254-1)+$B$7,$A$14)+1</x:f>
        <x:v>164</x:v>
      </x:c>
      <x:c r="E254" s="22" t="n">
        <x:f>MOD($B$6*(A254-1)+$B$7,$A$15)+1</x:f>
        <x:v>664</x:v>
      </x:c>
      <x:c r="F254" s="18"/>
      <x:c r="G254" s="18"/>
      <x:c r="H254" s="18" t="str">
        <x:v>pairing identity only</x:v>
      </x:c>
    </x:row>
    <x:row r="255" ht="22" customHeight="1">
      <x:c r="A255" s="22" t="n">
        <x:v>230</x:v>
      </x:c>
      <x:c r="B255" s="22" t="n">
        <x:f>MOD($B$6*(A255-1)+$B$7,$A$12)+1</x:f>
        <x:v>112</x:v>
      </x:c>
      <x:c r="C255" s="22" t="n">
        <x:f>MOD($B$6*(A255-1)+$B$7,$A$13)+1</x:f>
        <x:v>237</x:v>
      </x:c>
      <x:c r="D255" s="22" t="n">
        <x:f>MOD($B$6*(A255-1)+$B$7,$A$14)+1</x:f>
        <x:v>237</x:v>
      </x:c>
      <x:c r="E255" s="22" t="n">
        <x:f>MOD($B$6*(A255-1)+$B$7,$A$15)+1</x:f>
        <x:v>737</x:v>
      </x:c>
      <x:c r="F255" s="18"/>
      <x:c r="G255" s="18"/>
      <x:c r="H255" s="18" t="str">
        <x:v>pairing identity only</x:v>
      </x:c>
    </x:row>
    <x:row r="256" ht="22" customHeight="1">
      <x:c r="A256" s="22" t="n">
        <x:v>231</x:v>
      </x:c>
      <x:c r="B256" s="22" t="n">
        <x:f>MOD($B$6*(A256-1)+$B$7,$A$12)+1</x:f>
        <x:v>60</x:v>
      </x:c>
      <x:c r="C256" s="22" t="n">
        <x:f>MOD($B$6*(A256-1)+$B$7,$A$13)+1</x:f>
        <x:v>60</x:v>
      </x:c>
      <x:c r="D256" s="22" t="n">
        <x:f>MOD($B$6*(A256-1)+$B$7,$A$14)+1</x:f>
        <x:v>310</x:v>
      </x:c>
      <x:c r="E256" s="22" t="n">
        <x:f>MOD($B$6*(A256-1)+$B$7,$A$15)+1</x:f>
        <x:v>810</x:v>
      </x:c>
      <x:c r="F256" s="18"/>
      <x:c r="G256" s="18"/>
      <x:c r="H256" s="18" t="str">
        <x:v>pairing identity only</x:v>
      </x:c>
    </x:row>
    <x:row r="257" ht="22" customHeight="1">
      <x:c r="A257" s="22" t="n">
        <x:v>232</x:v>
      </x:c>
      <x:c r="B257" s="22" t="n">
        <x:f>MOD($B$6*(A257-1)+$B$7,$A$12)+1</x:f>
        <x:v>8</x:v>
      </x:c>
      <x:c r="C257" s="22" t="n">
        <x:f>MOD($B$6*(A257-1)+$B$7,$A$13)+1</x:f>
        <x:v>133</x:v>
      </x:c>
      <x:c r="D257" s="22" t="n">
        <x:f>MOD($B$6*(A257-1)+$B$7,$A$14)+1</x:f>
        <x:v>383</x:v>
      </x:c>
      <x:c r="E257" s="22" t="n">
        <x:f>MOD($B$6*(A257-1)+$B$7,$A$15)+1</x:f>
        <x:v>883</x:v>
      </x:c>
      <x:c r="F257" s="18"/>
      <x:c r="G257" s="18"/>
      <x:c r="H257" s="18" t="str">
        <x:v>pairing identity only</x:v>
      </x:c>
    </x:row>
    <x:row r="258" ht="22" customHeight="1">
      <x:c r="A258" s="22" t="n">
        <x:v>233</x:v>
      </x:c>
      <x:c r="B258" s="22" t="n">
        <x:f>MOD($B$6*(A258-1)+$B$7,$A$12)+1</x:f>
        <x:v>81</x:v>
      </x:c>
      <x:c r="C258" s="22" t="n">
        <x:f>MOD($B$6*(A258-1)+$B$7,$A$13)+1</x:f>
        <x:v>206</x:v>
      </x:c>
      <x:c r="D258" s="22" t="n">
        <x:f>MOD($B$6*(A258-1)+$B$7,$A$14)+1</x:f>
        <x:v>456</x:v>
      </x:c>
      <x:c r="E258" s="22" t="n">
        <x:f>MOD($B$6*(A258-1)+$B$7,$A$15)+1</x:f>
        <x:v>956</x:v>
      </x:c>
      <x:c r="F258" s="18"/>
      <x:c r="G258" s="18"/>
      <x:c r="H258" s="18" t="str">
        <x:v>pairing identity only</x:v>
      </x:c>
    </x:row>
    <x:row r="259" ht="22" customHeight="1">
      <x:c r="A259" s="22" t="n">
        <x:v>234</x:v>
      </x:c>
      <x:c r="B259" s="22" t="n">
        <x:f>MOD($B$6*(A259-1)+$B$7,$A$12)+1</x:f>
        <x:v>29</x:v>
      </x:c>
      <x:c r="C259" s="22" t="n">
        <x:f>MOD($B$6*(A259-1)+$B$7,$A$13)+1</x:f>
        <x:v>29</x:v>
      </x:c>
      <x:c r="D259" s="22" t="n">
        <x:f>MOD($B$6*(A259-1)+$B$7,$A$14)+1</x:f>
        <x:v>29</x:v>
      </x:c>
      <x:c r="E259" s="22" t="n">
        <x:f>MOD($B$6*(A259-1)+$B$7,$A$15)+1</x:f>
        <x:v>29</x:v>
      </x:c>
      <x:c r="F259" s="18"/>
      <x:c r="G259" s="18"/>
      <x:c r="H259" s="18" t="str">
        <x:v>pairing identity only</x:v>
      </x:c>
    </x:row>
    <x:row r="260" ht="22" customHeight="1">
      <x:c r="A260" s="22" t="n">
        <x:v>235</x:v>
      </x:c>
      <x:c r="B260" s="22" t="n">
        <x:f>MOD($B$6*(A260-1)+$B$7,$A$12)+1</x:f>
        <x:v>102</x:v>
      </x:c>
      <x:c r="C260" s="22" t="n">
        <x:f>MOD($B$6*(A260-1)+$B$7,$A$13)+1</x:f>
        <x:v>102</x:v>
      </x:c>
      <x:c r="D260" s="22" t="n">
        <x:f>MOD($B$6*(A260-1)+$B$7,$A$14)+1</x:f>
        <x:v>102</x:v>
      </x:c>
      <x:c r="E260" s="22" t="n">
        <x:f>MOD($B$6*(A260-1)+$B$7,$A$15)+1</x:f>
        <x:v>102</x:v>
      </x:c>
      <x:c r="F260" s="18"/>
      <x:c r="G260" s="18"/>
      <x:c r="H260" s="18" t="str">
        <x:v>pairing identity only</x:v>
      </x:c>
    </x:row>
    <x:row r="261" ht="22" customHeight="1">
      <x:c r="A261" s="22" t="n">
        <x:v>236</x:v>
      </x:c>
      <x:c r="B261" s="22" t="n">
        <x:f>MOD($B$6*(A261-1)+$B$7,$A$12)+1</x:f>
        <x:v>50</x:v>
      </x:c>
      <x:c r="C261" s="22" t="n">
        <x:f>MOD($B$6*(A261-1)+$B$7,$A$13)+1</x:f>
        <x:v>175</x:v>
      </x:c>
      <x:c r="D261" s="22" t="n">
        <x:f>MOD($B$6*(A261-1)+$B$7,$A$14)+1</x:f>
        <x:v>175</x:v>
      </x:c>
      <x:c r="E261" s="22" t="n">
        <x:f>MOD($B$6*(A261-1)+$B$7,$A$15)+1</x:f>
        <x:v>175</x:v>
      </x:c>
      <x:c r="F261" s="18"/>
      <x:c r="G261" s="18"/>
      <x:c r="H261" s="18" t="str">
        <x:v>pairing identity only</x:v>
      </x:c>
    </x:row>
    <x:row r="262" ht="22" customHeight="1">
      <x:c r="A262" s="22" t="n">
        <x:v>237</x:v>
      </x:c>
      <x:c r="B262" s="22" t="n">
        <x:f>MOD($B$6*(A262-1)+$B$7,$A$12)+1</x:f>
        <x:v>123</x:v>
      </x:c>
      <x:c r="C262" s="22" t="n">
        <x:f>MOD($B$6*(A262-1)+$B$7,$A$13)+1</x:f>
        <x:v>248</x:v>
      </x:c>
      <x:c r="D262" s="22" t="n">
        <x:f>MOD($B$6*(A262-1)+$B$7,$A$14)+1</x:f>
        <x:v>248</x:v>
      </x:c>
      <x:c r="E262" s="22" t="n">
        <x:f>MOD($B$6*(A262-1)+$B$7,$A$15)+1</x:f>
        <x:v>248</x:v>
      </x:c>
      <x:c r="F262" s="18"/>
      <x:c r="G262" s="18"/>
      <x:c r="H262" s="18" t="str">
        <x:v>pairing identity only</x:v>
      </x:c>
    </x:row>
    <x:row r="263" ht="22" customHeight="1">
      <x:c r="A263" s="22" t="n">
        <x:v>238</x:v>
      </x:c>
      <x:c r="B263" s="22" t="n">
        <x:f>MOD($B$6*(A263-1)+$B$7,$A$12)+1</x:f>
        <x:v>71</x:v>
      </x:c>
      <x:c r="C263" s="22" t="n">
        <x:f>MOD($B$6*(A263-1)+$B$7,$A$13)+1</x:f>
        <x:v>71</x:v>
      </x:c>
      <x:c r="D263" s="22" t="n">
        <x:f>MOD($B$6*(A263-1)+$B$7,$A$14)+1</x:f>
        <x:v>321</x:v>
      </x:c>
      <x:c r="E263" s="22" t="n">
        <x:f>MOD($B$6*(A263-1)+$B$7,$A$15)+1</x:f>
        <x:v>321</x:v>
      </x:c>
      <x:c r="F263" s="18"/>
      <x:c r="G263" s="18"/>
      <x:c r="H263" s="18" t="str">
        <x:v>pairing identity only</x:v>
      </x:c>
    </x:row>
    <x:row r="264" ht="22" customHeight="1">
      <x:c r="A264" s="22" t="n">
        <x:v>239</x:v>
      </x:c>
      <x:c r="B264" s="22" t="n">
        <x:f>MOD($B$6*(A264-1)+$B$7,$A$12)+1</x:f>
        <x:v>19</x:v>
      </x:c>
      <x:c r="C264" s="22" t="n">
        <x:f>MOD($B$6*(A264-1)+$B$7,$A$13)+1</x:f>
        <x:v>144</x:v>
      </x:c>
      <x:c r="D264" s="22" t="n">
        <x:f>MOD($B$6*(A264-1)+$B$7,$A$14)+1</x:f>
        <x:v>394</x:v>
      </x:c>
      <x:c r="E264" s="22" t="n">
        <x:f>MOD($B$6*(A264-1)+$B$7,$A$15)+1</x:f>
        <x:v>394</x:v>
      </x:c>
      <x:c r="F264" s="18"/>
      <x:c r="G264" s="18"/>
      <x:c r="H264" s="18" t="str">
        <x:v>pairing identity only</x:v>
      </x:c>
    </x:row>
    <x:row r="265" ht="22" customHeight="1">
      <x:c r="A265" s="22" t="n">
        <x:v>240</x:v>
      </x:c>
      <x:c r="B265" s="22" t="n">
        <x:f>MOD($B$6*(A265-1)+$B$7,$A$12)+1</x:f>
        <x:v>92</x:v>
      </x:c>
      <x:c r="C265" s="22" t="n">
        <x:f>MOD($B$6*(A265-1)+$B$7,$A$13)+1</x:f>
        <x:v>217</x:v>
      </x:c>
      <x:c r="D265" s="22" t="n">
        <x:f>MOD($B$6*(A265-1)+$B$7,$A$14)+1</x:f>
        <x:v>467</x:v>
      </x:c>
      <x:c r="E265" s="22" t="n">
        <x:f>MOD($B$6*(A265-1)+$B$7,$A$15)+1</x:f>
        <x:v>467</x:v>
      </x:c>
      <x:c r="F265" s="18"/>
      <x:c r="G265" s="18"/>
      <x:c r="H265" s="18" t="str">
        <x:v>pairing identity only</x:v>
      </x:c>
    </x:row>
    <x:row r="266" ht="22" customHeight="1">
      <x:c r="A266" s="22" t="n">
        <x:v>241</x:v>
      </x:c>
      <x:c r="B266" s="22" t="n">
        <x:f>MOD($B$6*(A266-1)+$B$7,$A$12)+1</x:f>
        <x:v>40</x:v>
      </x:c>
      <x:c r="C266" s="22" t="n">
        <x:f>MOD($B$6*(A266-1)+$B$7,$A$13)+1</x:f>
        <x:v>40</x:v>
      </x:c>
      <x:c r="D266" s="22" t="n">
        <x:f>MOD($B$6*(A266-1)+$B$7,$A$14)+1</x:f>
        <x:v>40</x:v>
      </x:c>
      <x:c r="E266" s="22" t="n">
        <x:f>MOD($B$6*(A266-1)+$B$7,$A$15)+1</x:f>
        <x:v>540</x:v>
      </x:c>
      <x:c r="F266" s="18"/>
      <x:c r="G266" s="18"/>
      <x:c r="H266" s="18" t="str">
        <x:v>pairing identity only</x:v>
      </x:c>
    </x:row>
    <x:row r="267" ht="22" customHeight="1">
      <x:c r="A267" s="22" t="n">
        <x:v>242</x:v>
      </x:c>
      <x:c r="B267" s="22" t="n">
        <x:f>MOD($B$6*(A267-1)+$B$7,$A$12)+1</x:f>
        <x:v>113</x:v>
      </x:c>
      <x:c r="C267" s="22" t="n">
        <x:f>MOD($B$6*(A267-1)+$B$7,$A$13)+1</x:f>
        <x:v>113</x:v>
      </x:c>
      <x:c r="D267" s="22" t="n">
        <x:f>MOD($B$6*(A267-1)+$B$7,$A$14)+1</x:f>
        <x:v>113</x:v>
      </x:c>
      <x:c r="E267" s="22" t="n">
        <x:f>MOD($B$6*(A267-1)+$B$7,$A$15)+1</x:f>
        <x:v>613</x:v>
      </x:c>
      <x:c r="F267" s="18"/>
      <x:c r="G267" s="18"/>
      <x:c r="H267" s="18" t="str">
        <x:v>pairing identity only</x:v>
      </x:c>
    </x:row>
    <x:row r="268" ht="22" customHeight="1">
      <x:c r="A268" s="22" t="n">
        <x:v>243</x:v>
      </x:c>
      <x:c r="B268" s="22" t="n">
        <x:f>MOD($B$6*(A268-1)+$B$7,$A$12)+1</x:f>
        <x:v>61</x:v>
      </x:c>
      <x:c r="C268" s="22" t="n">
        <x:f>MOD($B$6*(A268-1)+$B$7,$A$13)+1</x:f>
        <x:v>186</x:v>
      </x:c>
      <x:c r="D268" s="22" t="n">
        <x:f>MOD($B$6*(A268-1)+$B$7,$A$14)+1</x:f>
        <x:v>186</x:v>
      </x:c>
      <x:c r="E268" s="22" t="n">
        <x:f>MOD($B$6*(A268-1)+$B$7,$A$15)+1</x:f>
        <x:v>686</x:v>
      </x:c>
      <x:c r="F268" s="18"/>
      <x:c r="G268" s="18"/>
      <x:c r="H268" s="18" t="str">
        <x:v>pairing identity only</x:v>
      </x:c>
    </x:row>
    <x:row r="269" ht="22" customHeight="1">
      <x:c r="A269" s="22" t="n">
        <x:v>244</x:v>
      </x:c>
      <x:c r="B269" s="22" t="n">
        <x:f>MOD($B$6*(A269-1)+$B$7,$A$12)+1</x:f>
        <x:v>9</x:v>
      </x:c>
      <x:c r="C269" s="22" t="n">
        <x:f>MOD($B$6*(A269-1)+$B$7,$A$13)+1</x:f>
        <x:v>9</x:v>
      </x:c>
      <x:c r="D269" s="22" t="n">
        <x:f>MOD($B$6*(A269-1)+$B$7,$A$14)+1</x:f>
        <x:v>259</x:v>
      </x:c>
      <x:c r="E269" s="22" t="n">
        <x:f>MOD($B$6*(A269-1)+$B$7,$A$15)+1</x:f>
        <x:v>759</x:v>
      </x:c>
      <x:c r="F269" s="18"/>
      <x:c r="G269" s="18"/>
      <x:c r="H269" s="18" t="str">
        <x:v>pairing identity only</x:v>
      </x:c>
    </x:row>
    <x:row r="270" ht="22" customHeight="1">
      <x:c r="A270" s="22" t="n">
        <x:v>245</x:v>
      </x:c>
      <x:c r="B270" s="22" t="n">
        <x:f>MOD($B$6*(A270-1)+$B$7,$A$12)+1</x:f>
        <x:v>82</x:v>
      </x:c>
      <x:c r="C270" s="22" t="n">
        <x:f>MOD($B$6*(A270-1)+$B$7,$A$13)+1</x:f>
        <x:v>82</x:v>
      </x:c>
      <x:c r="D270" s="22" t="n">
        <x:f>MOD($B$6*(A270-1)+$B$7,$A$14)+1</x:f>
        <x:v>332</x:v>
      </x:c>
      <x:c r="E270" s="22" t="n">
        <x:f>MOD($B$6*(A270-1)+$B$7,$A$15)+1</x:f>
        <x:v>832</x:v>
      </x:c>
      <x:c r="F270" s="18"/>
      <x:c r="G270" s="18"/>
      <x:c r="H270" s="18" t="str">
        <x:v>pairing identity only</x:v>
      </x:c>
    </x:row>
    <x:row r="271" ht="22" customHeight="1">
      <x:c r="A271" s="22" t="n">
        <x:v>246</x:v>
      </x:c>
      <x:c r="B271" s="22" t="n">
        <x:f>MOD($B$6*(A271-1)+$B$7,$A$12)+1</x:f>
        <x:v>30</x:v>
      </x:c>
      <x:c r="C271" s="22" t="n">
        <x:f>MOD($B$6*(A271-1)+$B$7,$A$13)+1</x:f>
        <x:v>155</x:v>
      </x:c>
      <x:c r="D271" s="22" t="n">
        <x:f>MOD($B$6*(A271-1)+$B$7,$A$14)+1</x:f>
        <x:v>405</x:v>
      </x:c>
      <x:c r="E271" s="22" t="n">
        <x:f>MOD($B$6*(A271-1)+$B$7,$A$15)+1</x:f>
        <x:v>905</x:v>
      </x:c>
      <x:c r="F271" s="18"/>
      <x:c r="G271" s="18"/>
      <x:c r="H271" s="18" t="str">
        <x:v>pairing identity only</x:v>
      </x:c>
    </x:row>
    <x:row r="272" ht="22" customHeight="1">
      <x:c r="A272" s="22" t="n">
        <x:v>247</x:v>
      </x:c>
      <x:c r="B272" s="22" t="n">
        <x:f>MOD($B$6*(A272-1)+$B$7,$A$12)+1</x:f>
        <x:v>103</x:v>
      </x:c>
      <x:c r="C272" s="22" t="n">
        <x:f>MOD($B$6*(A272-1)+$B$7,$A$13)+1</x:f>
        <x:v>228</x:v>
      </x:c>
      <x:c r="D272" s="22" t="n">
        <x:f>MOD($B$6*(A272-1)+$B$7,$A$14)+1</x:f>
        <x:v>478</x:v>
      </x:c>
      <x:c r="E272" s="22" t="n">
        <x:f>MOD($B$6*(A272-1)+$B$7,$A$15)+1</x:f>
        <x:v>978</x:v>
      </x:c>
      <x:c r="F272" s="18"/>
      <x:c r="G272" s="18"/>
      <x:c r="H272" s="18" t="str">
        <x:v>pairing identity only</x:v>
      </x:c>
    </x:row>
    <x:row r="273" ht="22" customHeight="1">
      <x:c r="A273" s="22" t="n">
        <x:v>248</x:v>
      </x:c>
      <x:c r="B273" s="22" t="n">
        <x:f>MOD($B$6*(A273-1)+$B$7,$A$12)+1</x:f>
        <x:v>51</x:v>
      </x:c>
      <x:c r="C273" s="22" t="n">
        <x:f>MOD($B$6*(A273-1)+$B$7,$A$13)+1</x:f>
        <x:v>51</x:v>
      </x:c>
      <x:c r="D273" s="22" t="n">
        <x:f>MOD($B$6*(A273-1)+$B$7,$A$14)+1</x:f>
        <x:v>51</x:v>
      </x:c>
      <x:c r="E273" s="22" t="n">
        <x:f>MOD($B$6*(A273-1)+$B$7,$A$15)+1</x:f>
        <x:v>51</x:v>
      </x:c>
      <x:c r="F273" s="18"/>
      <x:c r="G273" s="18"/>
      <x:c r="H273" s="18" t="str">
        <x:v>pairing identity only</x:v>
      </x:c>
    </x:row>
    <x:row r="274" ht="22" customHeight="1">
      <x:c r="A274" s="22" t="n">
        <x:v>249</x:v>
      </x:c>
      <x:c r="B274" s="22" t="n">
        <x:f>MOD($B$6*(A274-1)+$B$7,$A$12)+1</x:f>
        <x:v>124</x:v>
      </x:c>
      <x:c r="C274" s="22" t="n">
        <x:f>MOD($B$6*(A274-1)+$B$7,$A$13)+1</x:f>
        <x:v>124</x:v>
      </x:c>
      <x:c r="D274" s="22" t="n">
        <x:f>MOD($B$6*(A274-1)+$B$7,$A$14)+1</x:f>
        <x:v>124</x:v>
      </x:c>
      <x:c r="E274" s="22" t="n">
        <x:f>MOD($B$6*(A274-1)+$B$7,$A$15)+1</x:f>
        <x:v>124</x:v>
      </x:c>
      <x:c r="F274" s="18"/>
      <x:c r="G274" s="18"/>
      <x:c r="H274" s="18" t="str">
        <x:v>pairing identity only</x:v>
      </x:c>
    </x:row>
    <x:row r="275" ht="22" customHeight="1">
      <x:c r="A275" s="22" t="n">
        <x:v>250</x:v>
      </x:c>
      <x:c r="B275" s="22" t="n">
        <x:f>MOD($B$6*(A275-1)+$B$7,$A$12)+1</x:f>
        <x:v>72</x:v>
      </x:c>
      <x:c r="C275" s="22" t="n">
        <x:f>MOD($B$6*(A275-1)+$B$7,$A$13)+1</x:f>
        <x:v>197</x:v>
      </x:c>
      <x:c r="D275" s="22" t="n">
        <x:f>MOD($B$6*(A275-1)+$B$7,$A$14)+1</x:f>
        <x:v>197</x:v>
      </x:c>
      <x:c r="E275" s="22" t="n">
        <x:f>MOD($B$6*(A275-1)+$B$7,$A$15)+1</x:f>
        <x:v>197</x:v>
      </x:c>
      <x:c r="F275" s="18"/>
      <x:c r="G275" s="18"/>
      <x:c r="H275" s="18" t="str">
        <x:v>pairing identity only</x:v>
      </x:c>
    </x:row>
    <x:row r="276" ht="22" customHeight="1">
      <x:c r="A276" s="22" t="n">
        <x:v>251</x:v>
      </x:c>
      <x:c r="B276" s="22" t="n">
        <x:f>MOD($B$6*(A276-1)+$B$7,$A$12)+1</x:f>
        <x:v>20</x:v>
      </x:c>
      <x:c r="C276" s="22" t="n">
        <x:f>MOD($B$6*(A276-1)+$B$7,$A$13)+1</x:f>
        <x:v>20</x:v>
      </x:c>
      <x:c r="D276" s="22" t="n">
        <x:f>MOD($B$6*(A276-1)+$B$7,$A$14)+1</x:f>
        <x:v>270</x:v>
      </x:c>
      <x:c r="E276" s="22" t="n">
        <x:f>MOD($B$6*(A276-1)+$B$7,$A$15)+1</x:f>
        <x:v>270</x:v>
      </x:c>
      <x:c r="F276" s="18"/>
      <x:c r="G276" s="18"/>
      <x:c r="H276" s="18" t="str">
        <x:v>pairing identity only</x:v>
      </x:c>
    </x:row>
    <x:row r="277" ht="22" customHeight="1">
      <x:c r="A277" s="22" t="n">
        <x:v>252</x:v>
      </x:c>
      <x:c r="B277" s="22" t="n">
        <x:f>MOD($B$6*(A277-1)+$B$7,$A$12)+1</x:f>
        <x:v>93</x:v>
      </x:c>
      <x:c r="C277" s="22" t="n">
        <x:f>MOD($B$6*(A277-1)+$B$7,$A$13)+1</x:f>
        <x:v>93</x:v>
      </x:c>
      <x:c r="D277" s="22" t="n">
        <x:f>MOD($B$6*(A277-1)+$B$7,$A$14)+1</x:f>
        <x:v>343</x:v>
      </x:c>
      <x:c r="E277" s="22" t="n">
        <x:f>MOD($B$6*(A277-1)+$B$7,$A$15)+1</x:f>
        <x:v>343</x:v>
      </x:c>
      <x:c r="F277" s="18"/>
      <x:c r="G277" s="18"/>
      <x:c r="H277" s="18" t="str">
        <x:v>pairing identity only</x:v>
      </x:c>
    </x:row>
    <x:row r="278" ht="22" customHeight="1">
      <x:c r="A278" s="22" t="n">
        <x:v>253</x:v>
      </x:c>
      <x:c r="B278" s="22" t="n">
        <x:f>MOD($B$6*(A278-1)+$B$7,$A$12)+1</x:f>
        <x:v>41</x:v>
      </x:c>
      <x:c r="C278" s="22" t="n">
        <x:f>MOD($B$6*(A278-1)+$B$7,$A$13)+1</x:f>
        <x:v>166</x:v>
      </x:c>
      <x:c r="D278" s="22" t="n">
        <x:f>MOD($B$6*(A278-1)+$B$7,$A$14)+1</x:f>
        <x:v>416</x:v>
      </x:c>
      <x:c r="E278" s="22" t="n">
        <x:f>MOD($B$6*(A278-1)+$B$7,$A$15)+1</x:f>
        <x:v>416</x:v>
      </x:c>
      <x:c r="F278" s="18"/>
      <x:c r="G278" s="18"/>
      <x:c r="H278" s="18" t="str">
        <x:v>pairing identity only</x:v>
      </x:c>
    </x:row>
    <x:row r="279" ht="22" customHeight="1">
      <x:c r="A279" s="22" t="n">
        <x:v>254</x:v>
      </x:c>
      <x:c r="B279" s="22" t="n">
        <x:f>MOD($B$6*(A279-1)+$B$7,$A$12)+1</x:f>
        <x:v>114</x:v>
      </x:c>
      <x:c r="C279" s="22" t="n">
        <x:f>MOD($B$6*(A279-1)+$B$7,$A$13)+1</x:f>
        <x:v>239</x:v>
      </x:c>
      <x:c r="D279" s="22" t="n">
        <x:f>MOD($B$6*(A279-1)+$B$7,$A$14)+1</x:f>
        <x:v>489</x:v>
      </x:c>
      <x:c r="E279" s="22" t="n">
        <x:f>MOD($B$6*(A279-1)+$B$7,$A$15)+1</x:f>
        <x:v>489</x:v>
      </x:c>
      <x:c r="F279" s="18"/>
      <x:c r="G279" s="18"/>
      <x:c r="H279" s="18" t="str">
        <x:v>pairing identity only</x:v>
      </x:c>
    </x:row>
    <x:row r="280" ht="22" customHeight="1">
      <x:c r="A280" s="22" t="n">
        <x:v>255</x:v>
      </x:c>
      <x:c r="B280" s="22" t="n">
        <x:f>MOD($B$6*(A280-1)+$B$7,$A$12)+1</x:f>
        <x:v>62</x:v>
      </x:c>
      <x:c r="C280" s="22" t="n">
        <x:f>MOD($B$6*(A280-1)+$B$7,$A$13)+1</x:f>
        <x:v>62</x:v>
      </x:c>
      <x:c r="D280" s="22" t="n">
        <x:f>MOD($B$6*(A280-1)+$B$7,$A$14)+1</x:f>
        <x:v>62</x:v>
      </x:c>
      <x:c r="E280" s="22" t="n">
        <x:f>MOD($B$6*(A280-1)+$B$7,$A$15)+1</x:f>
        <x:v>562</x:v>
      </x:c>
      <x:c r="F280" s="18"/>
      <x:c r="G280" s="18"/>
      <x:c r="H280" s="18" t="str">
        <x:v>pairing identity only</x:v>
      </x:c>
    </x:row>
    <x:row r="281" ht="22" customHeight="1">
      <x:c r="A281" s="22" t="n">
        <x:v>256</x:v>
      </x:c>
      <x:c r="B281" s="22" t="n">
        <x:f>MOD($B$6*(A281-1)+$B$7,$A$12)+1</x:f>
        <x:v>10</x:v>
      </x:c>
      <x:c r="C281" s="22" t="n">
        <x:f>MOD($B$6*(A281-1)+$B$7,$A$13)+1</x:f>
        <x:v>135</x:v>
      </x:c>
      <x:c r="D281" s="22" t="n">
        <x:f>MOD($B$6*(A281-1)+$B$7,$A$14)+1</x:f>
        <x:v>135</x:v>
      </x:c>
      <x:c r="E281" s="22" t="n">
        <x:f>MOD($B$6*(A281-1)+$B$7,$A$15)+1</x:f>
        <x:v>635</x:v>
      </x:c>
      <x:c r="F281" s="18"/>
      <x:c r="G281" s="18"/>
      <x:c r="H281" s="18" t="str">
        <x:v>pairing identity only</x:v>
      </x:c>
    </x:row>
    <x:row r="282" ht="22" customHeight="1">
      <x:c r="A282" s="22" t="n">
        <x:v>257</x:v>
      </x:c>
      <x:c r="B282" s="22" t="n">
        <x:f>MOD($B$6*(A282-1)+$B$7,$A$12)+1</x:f>
        <x:v>83</x:v>
      </x:c>
      <x:c r="C282" s="22" t="n">
        <x:f>MOD($B$6*(A282-1)+$B$7,$A$13)+1</x:f>
        <x:v>208</x:v>
      </x:c>
      <x:c r="D282" s="22" t="n">
        <x:f>MOD($B$6*(A282-1)+$B$7,$A$14)+1</x:f>
        <x:v>208</x:v>
      </x:c>
      <x:c r="E282" s="22" t="n">
        <x:f>MOD($B$6*(A282-1)+$B$7,$A$15)+1</x:f>
        <x:v>708</x:v>
      </x:c>
      <x:c r="F282" s="18"/>
      <x:c r="G282" s="18"/>
      <x:c r="H282" s="18" t="str">
        <x:v>pairing identity only</x:v>
      </x:c>
    </x:row>
    <x:row r="283" ht="22" customHeight="1">
      <x:c r="A283" s="22" t="n">
        <x:v>258</x:v>
      </x:c>
      <x:c r="B283" s="22" t="n">
        <x:f>MOD($B$6*(A283-1)+$B$7,$A$12)+1</x:f>
        <x:v>31</x:v>
      </x:c>
      <x:c r="C283" s="22" t="n">
        <x:f>MOD($B$6*(A283-1)+$B$7,$A$13)+1</x:f>
        <x:v>31</x:v>
      </x:c>
      <x:c r="D283" s="22" t="n">
        <x:f>MOD($B$6*(A283-1)+$B$7,$A$14)+1</x:f>
        <x:v>281</x:v>
      </x:c>
      <x:c r="E283" s="22" t="n">
        <x:f>MOD($B$6*(A283-1)+$B$7,$A$15)+1</x:f>
        <x:v>781</x:v>
      </x:c>
      <x:c r="F283" s="18"/>
      <x:c r="G283" s="18"/>
      <x:c r="H283" s="18" t="str">
        <x:v>pairing identity only</x:v>
      </x:c>
    </x:row>
    <x:row r="284" ht="22" customHeight="1">
      <x:c r="A284" s="22" t="n">
        <x:v>259</x:v>
      </x:c>
      <x:c r="B284" s="22" t="n">
        <x:f>MOD($B$6*(A284-1)+$B$7,$A$12)+1</x:f>
        <x:v>104</x:v>
      </x:c>
      <x:c r="C284" s="22" t="n">
        <x:f>MOD($B$6*(A284-1)+$B$7,$A$13)+1</x:f>
        <x:v>104</x:v>
      </x:c>
      <x:c r="D284" s="22" t="n">
        <x:f>MOD($B$6*(A284-1)+$B$7,$A$14)+1</x:f>
        <x:v>354</x:v>
      </x:c>
      <x:c r="E284" s="22" t="n">
        <x:f>MOD($B$6*(A284-1)+$B$7,$A$15)+1</x:f>
        <x:v>854</x:v>
      </x:c>
      <x:c r="F284" s="18"/>
      <x:c r="G284" s="18"/>
      <x:c r="H284" s="18" t="str">
        <x:v>pairing identity only</x:v>
      </x:c>
    </x:row>
    <x:row r="285" ht="22" customHeight="1">
      <x:c r="A285" s="22" t="n">
        <x:v>260</x:v>
      </x:c>
      <x:c r="B285" s="22" t="n">
        <x:f>MOD($B$6*(A285-1)+$B$7,$A$12)+1</x:f>
        <x:v>52</x:v>
      </x:c>
      <x:c r="C285" s="22" t="n">
        <x:f>MOD($B$6*(A285-1)+$B$7,$A$13)+1</x:f>
        <x:v>177</x:v>
      </x:c>
      <x:c r="D285" s="22" t="n">
        <x:f>MOD($B$6*(A285-1)+$B$7,$A$14)+1</x:f>
        <x:v>427</x:v>
      </x:c>
      <x:c r="E285" s="22" t="n">
        <x:f>MOD($B$6*(A285-1)+$B$7,$A$15)+1</x:f>
        <x:v>927</x:v>
      </x:c>
      <x:c r="F285" s="18"/>
      <x:c r="G285" s="18"/>
      <x:c r="H285" s="18" t="str">
        <x:v>pairing identity only</x:v>
      </x:c>
    </x:row>
    <x:row r="286" ht="22" customHeight="1">
      <x:c r="A286" s="22" t="n">
        <x:v>261</x:v>
      </x:c>
      <x:c r="B286" s="22" t="n">
        <x:f>MOD($B$6*(A286-1)+$B$7,$A$12)+1</x:f>
        <x:v>125</x:v>
      </x:c>
      <x:c r="C286" s="22" t="n">
        <x:f>MOD($B$6*(A286-1)+$B$7,$A$13)+1</x:f>
        <x:v>250</x:v>
      </x:c>
      <x:c r="D286" s="22" t="n">
        <x:f>MOD($B$6*(A286-1)+$B$7,$A$14)+1</x:f>
        <x:v>500</x:v>
      </x:c>
      <x:c r="E286" s="22" t="n">
        <x:f>MOD($B$6*(A286-1)+$B$7,$A$15)+1</x:f>
        <x:v>1000</x:v>
      </x:c>
      <x:c r="F286" s="18"/>
      <x:c r="G286" s="18"/>
      <x:c r="H286" s="18" t="str">
        <x:v>pairing identity only</x:v>
      </x:c>
    </x:row>
    <x:row r="287" ht="22" customHeight="1">
      <x:c r="A287" s="22" t="n">
        <x:v>262</x:v>
      </x:c>
      <x:c r="B287" s="22" t="n">
        <x:f>MOD($B$6*(A287-1)+$B$7,$A$12)+1</x:f>
        <x:v>73</x:v>
      </x:c>
      <x:c r="C287" s="22" t="n">
        <x:f>MOD($B$6*(A287-1)+$B$7,$A$13)+1</x:f>
        <x:v>73</x:v>
      </x:c>
      <x:c r="D287" s="22" t="n">
        <x:f>MOD($B$6*(A287-1)+$B$7,$A$14)+1</x:f>
        <x:v>73</x:v>
      </x:c>
      <x:c r="E287" s="22" t="n">
        <x:f>MOD($B$6*(A287-1)+$B$7,$A$15)+1</x:f>
        <x:v>73</x:v>
      </x:c>
      <x:c r="F287" s="18"/>
      <x:c r="G287" s="18"/>
      <x:c r="H287" s="18" t="str">
        <x:v>pairing identity only</x:v>
      </x:c>
    </x:row>
    <x:row r="288" ht="22" customHeight="1">
      <x:c r="A288" s="22" t="n">
        <x:v>263</x:v>
      </x:c>
      <x:c r="B288" s="22" t="n">
        <x:f>MOD($B$6*(A288-1)+$B$7,$A$12)+1</x:f>
        <x:v>21</x:v>
      </x:c>
      <x:c r="C288" s="22" t="n">
        <x:f>MOD($B$6*(A288-1)+$B$7,$A$13)+1</x:f>
        <x:v>146</x:v>
      </x:c>
      <x:c r="D288" s="22" t="n">
        <x:f>MOD($B$6*(A288-1)+$B$7,$A$14)+1</x:f>
        <x:v>146</x:v>
      </x:c>
      <x:c r="E288" s="22" t="n">
        <x:f>MOD($B$6*(A288-1)+$B$7,$A$15)+1</x:f>
        <x:v>146</x:v>
      </x:c>
      <x:c r="F288" s="18"/>
      <x:c r="G288" s="18"/>
      <x:c r="H288" s="18" t="str">
        <x:v>pairing identity only</x:v>
      </x:c>
    </x:row>
    <x:row r="289" ht="22" customHeight="1">
      <x:c r="A289" s="22" t="n">
        <x:v>264</x:v>
      </x:c>
      <x:c r="B289" s="22" t="n">
        <x:f>MOD($B$6*(A289-1)+$B$7,$A$12)+1</x:f>
        <x:v>94</x:v>
      </x:c>
      <x:c r="C289" s="22" t="n">
        <x:f>MOD($B$6*(A289-1)+$B$7,$A$13)+1</x:f>
        <x:v>219</x:v>
      </x:c>
      <x:c r="D289" s="22" t="n">
        <x:f>MOD($B$6*(A289-1)+$B$7,$A$14)+1</x:f>
        <x:v>219</x:v>
      </x:c>
      <x:c r="E289" s="22" t="n">
        <x:f>MOD($B$6*(A289-1)+$B$7,$A$15)+1</x:f>
        <x:v>219</x:v>
      </x:c>
      <x:c r="F289" s="18"/>
      <x:c r="G289" s="18"/>
      <x:c r="H289" s="18" t="str">
        <x:v>pairing identity only</x:v>
      </x:c>
    </x:row>
    <x:row r="290" ht="22" customHeight="1">
      <x:c r="A290" s="22" t="n">
        <x:v>265</x:v>
      </x:c>
      <x:c r="B290" s="22" t="n">
        <x:f>MOD($B$6*(A290-1)+$B$7,$A$12)+1</x:f>
        <x:v>42</x:v>
      </x:c>
      <x:c r="C290" s="22" t="n">
        <x:f>MOD($B$6*(A290-1)+$B$7,$A$13)+1</x:f>
        <x:v>42</x:v>
      </x:c>
      <x:c r="D290" s="22" t="n">
        <x:f>MOD($B$6*(A290-1)+$B$7,$A$14)+1</x:f>
        <x:v>292</x:v>
      </x:c>
      <x:c r="E290" s="22" t="n">
        <x:f>MOD($B$6*(A290-1)+$B$7,$A$15)+1</x:f>
        <x:v>292</x:v>
      </x:c>
      <x:c r="F290" s="18"/>
      <x:c r="G290" s="18"/>
      <x:c r="H290" s="18" t="str">
        <x:v>pairing identity only</x:v>
      </x:c>
    </x:row>
    <x:row r="291" ht="22" customHeight="1">
      <x:c r="A291" s="22" t="n">
        <x:v>266</x:v>
      </x:c>
      <x:c r="B291" s="22" t="n">
        <x:f>MOD($B$6*(A291-1)+$B$7,$A$12)+1</x:f>
        <x:v>115</x:v>
      </x:c>
      <x:c r="C291" s="22" t="n">
        <x:f>MOD($B$6*(A291-1)+$B$7,$A$13)+1</x:f>
        <x:v>115</x:v>
      </x:c>
      <x:c r="D291" s="22" t="n">
        <x:f>MOD($B$6*(A291-1)+$B$7,$A$14)+1</x:f>
        <x:v>365</x:v>
      </x:c>
      <x:c r="E291" s="22" t="n">
        <x:f>MOD($B$6*(A291-1)+$B$7,$A$15)+1</x:f>
        <x:v>365</x:v>
      </x:c>
      <x:c r="F291" s="18"/>
      <x:c r="G291" s="18"/>
      <x:c r="H291" s="18" t="str">
        <x:v>pairing identity only</x:v>
      </x:c>
    </x:row>
    <x:row r="292" ht="22" customHeight="1">
      <x:c r="A292" s="22" t="n">
        <x:v>267</x:v>
      </x:c>
      <x:c r="B292" s="22" t="n">
        <x:f>MOD($B$6*(A292-1)+$B$7,$A$12)+1</x:f>
        <x:v>63</x:v>
      </x:c>
      <x:c r="C292" s="22" t="n">
        <x:f>MOD($B$6*(A292-1)+$B$7,$A$13)+1</x:f>
        <x:v>188</x:v>
      </x:c>
      <x:c r="D292" s="22" t="n">
        <x:f>MOD($B$6*(A292-1)+$B$7,$A$14)+1</x:f>
        <x:v>438</x:v>
      </x:c>
      <x:c r="E292" s="22" t="n">
        <x:f>MOD($B$6*(A292-1)+$B$7,$A$15)+1</x:f>
        <x:v>438</x:v>
      </x:c>
      <x:c r="F292" s="18"/>
      <x:c r="G292" s="18"/>
      <x:c r="H292" s="18" t="str">
        <x:v>pairing identity only</x:v>
      </x:c>
    </x:row>
    <x:row r="293" ht="22" customHeight="1">
      <x:c r="A293" s="22" t="n">
        <x:v>268</x:v>
      </x:c>
      <x:c r="B293" s="22" t="n">
        <x:f>MOD($B$6*(A293-1)+$B$7,$A$12)+1</x:f>
        <x:v>11</x:v>
      </x:c>
      <x:c r="C293" s="22" t="n">
        <x:f>MOD($B$6*(A293-1)+$B$7,$A$13)+1</x:f>
        <x:v>11</x:v>
      </x:c>
      <x:c r="D293" s="22" t="n">
        <x:f>MOD($B$6*(A293-1)+$B$7,$A$14)+1</x:f>
        <x:v>11</x:v>
      </x:c>
      <x:c r="E293" s="22" t="n">
        <x:f>MOD($B$6*(A293-1)+$B$7,$A$15)+1</x:f>
        <x:v>511</x:v>
      </x:c>
      <x:c r="F293" s="18"/>
      <x:c r="G293" s="18"/>
      <x:c r="H293" s="18" t="str">
        <x:v>pairing identity only</x:v>
      </x:c>
    </x:row>
    <x:row r="294" ht="22" customHeight="1">
      <x:c r="A294" s="22" t="n">
        <x:v>269</x:v>
      </x:c>
      <x:c r="B294" s="22" t="n">
        <x:f>MOD($B$6*(A294-1)+$B$7,$A$12)+1</x:f>
        <x:v>84</x:v>
      </x:c>
      <x:c r="C294" s="22" t="n">
        <x:f>MOD($B$6*(A294-1)+$B$7,$A$13)+1</x:f>
        <x:v>84</x:v>
      </x:c>
      <x:c r="D294" s="22" t="n">
        <x:f>MOD($B$6*(A294-1)+$B$7,$A$14)+1</x:f>
        <x:v>84</x:v>
      </x:c>
      <x:c r="E294" s="22" t="n">
        <x:f>MOD($B$6*(A294-1)+$B$7,$A$15)+1</x:f>
        <x:v>584</x:v>
      </x:c>
      <x:c r="F294" s="18"/>
      <x:c r="G294" s="18"/>
      <x:c r="H294" s="18" t="str">
        <x:v>pairing identity only</x:v>
      </x:c>
    </x:row>
    <x:row r="295" ht="22" customHeight="1">
      <x:c r="A295" s="22" t="n">
        <x:v>270</x:v>
      </x:c>
      <x:c r="B295" s="22" t="n">
        <x:f>MOD($B$6*(A295-1)+$B$7,$A$12)+1</x:f>
        <x:v>32</x:v>
      </x:c>
      <x:c r="C295" s="22" t="n">
        <x:f>MOD($B$6*(A295-1)+$B$7,$A$13)+1</x:f>
        <x:v>157</x:v>
      </x:c>
      <x:c r="D295" s="22" t="n">
        <x:f>MOD($B$6*(A295-1)+$B$7,$A$14)+1</x:f>
        <x:v>157</x:v>
      </x:c>
      <x:c r="E295" s="22" t="n">
        <x:f>MOD($B$6*(A295-1)+$B$7,$A$15)+1</x:f>
        <x:v>657</x:v>
      </x:c>
      <x:c r="F295" s="18"/>
      <x:c r="G295" s="18"/>
      <x:c r="H295" s="18" t="str">
        <x:v>pairing identity only</x:v>
      </x:c>
    </x:row>
    <x:row r="296" ht="22" customHeight="1">
      <x:c r="A296" s="22" t="n">
        <x:v>271</x:v>
      </x:c>
      <x:c r="B296" s="22" t="n">
        <x:f>MOD($B$6*(A296-1)+$B$7,$A$12)+1</x:f>
        <x:v>105</x:v>
      </x:c>
      <x:c r="C296" s="22" t="n">
        <x:f>MOD($B$6*(A296-1)+$B$7,$A$13)+1</x:f>
        <x:v>230</x:v>
      </x:c>
      <x:c r="D296" s="22" t="n">
        <x:f>MOD($B$6*(A296-1)+$B$7,$A$14)+1</x:f>
        <x:v>230</x:v>
      </x:c>
      <x:c r="E296" s="22" t="n">
        <x:f>MOD($B$6*(A296-1)+$B$7,$A$15)+1</x:f>
        <x:v>730</x:v>
      </x:c>
      <x:c r="F296" s="18"/>
      <x:c r="G296" s="18"/>
      <x:c r="H296" s="18" t="str">
        <x:v>pairing identity only</x:v>
      </x:c>
    </x:row>
    <x:row r="297" ht="22" customHeight="1">
      <x:c r="A297" s="22" t="n">
        <x:v>272</x:v>
      </x:c>
      <x:c r="B297" s="22" t="n">
        <x:f>MOD($B$6*(A297-1)+$B$7,$A$12)+1</x:f>
        <x:v>53</x:v>
      </x:c>
      <x:c r="C297" s="22" t="n">
        <x:f>MOD($B$6*(A297-1)+$B$7,$A$13)+1</x:f>
        <x:v>53</x:v>
      </x:c>
      <x:c r="D297" s="22" t="n">
        <x:f>MOD($B$6*(A297-1)+$B$7,$A$14)+1</x:f>
        <x:v>303</x:v>
      </x:c>
      <x:c r="E297" s="22" t="n">
        <x:f>MOD($B$6*(A297-1)+$B$7,$A$15)+1</x:f>
        <x:v>803</x:v>
      </x:c>
      <x:c r="F297" s="18"/>
      <x:c r="G297" s="18"/>
      <x:c r="H297" s="18" t="str">
        <x:v>pairing identity only</x:v>
      </x:c>
    </x:row>
    <x:row r="298" ht="22" customHeight="1">
      <x:c r="A298" s="22" t="n">
        <x:v>273</x:v>
      </x:c>
      <x:c r="B298" s="22" t="n">
        <x:f>MOD($B$6*(A298-1)+$B$7,$A$12)+1</x:f>
        <x:v>1</x:v>
      </x:c>
      <x:c r="C298" s="22" t="n">
        <x:f>MOD($B$6*(A298-1)+$B$7,$A$13)+1</x:f>
        <x:v>126</x:v>
      </x:c>
      <x:c r="D298" s="22" t="n">
        <x:f>MOD($B$6*(A298-1)+$B$7,$A$14)+1</x:f>
        <x:v>376</x:v>
      </x:c>
      <x:c r="E298" s="22" t="n">
        <x:f>MOD($B$6*(A298-1)+$B$7,$A$15)+1</x:f>
        <x:v>876</x:v>
      </x:c>
      <x:c r="F298" s="18"/>
      <x:c r="G298" s="18"/>
      <x:c r="H298" s="18" t="str">
        <x:v>pairing identity only</x:v>
      </x:c>
    </x:row>
    <x:row r="299" ht="22" customHeight="1">
      <x:c r="A299" s="22" t="n">
        <x:v>274</x:v>
      </x:c>
      <x:c r="B299" s="22" t="n">
        <x:f>MOD($B$6*(A299-1)+$B$7,$A$12)+1</x:f>
        <x:v>74</x:v>
      </x:c>
      <x:c r="C299" s="22" t="n">
        <x:f>MOD($B$6*(A299-1)+$B$7,$A$13)+1</x:f>
        <x:v>199</x:v>
      </x:c>
      <x:c r="D299" s="22" t="n">
        <x:f>MOD($B$6*(A299-1)+$B$7,$A$14)+1</x:f>
        <x:v>449</x:v>
      </x:c>
      <x:c r="E299" s="22" t="n">
        <x:f>MOD($B$6*(A299-1)+$B$7,$A$15)+1</x:f>
        <x:v>949</x:v>
      </x:c>
      <x:c r="F299" s="18"/>
      <x:c r="G299" s="18"/>
      <x:c r="H299" s="18" t="str">
        <x:v>pairing identity only</x:v>
      </x:c>
    </x:row>
    <x:row r="300" ht="22" customHeight="1">
      <x:c r="A300" s="22" t="n">
        <x:v>275</x:v>
      </x:c>
      <x:c r="B300" s="22" t="n">
        <x:f>MOD($B$6*(A300-1)+$B$7,$A$12)+1</x:f>
        <x:v>22</x:v>
      </x:c>
      <x:c r="C300" s="22" t="n">
        <x:f>MOD($B$6*(A300-1)+$B$7,$A$13)+1</x:f>
        <x:v>22</x:v>
      </x:c>
      <x:c r="D300" s="22" t="n">
        <x:f>MOD($B$6*(A300-1)+$B$7,$A$14)+1</x:f>
        <x:v>22</x:v>
      </x:c>
      <x:c r="E300" s="22" t="n">
        <x:f>MOD($B$6*(A300-1)+$B$7,$A$15)+1</x:f>
        <x:v>22</x:v>
      </x:c>
      <x:c r="F300" s="18"/>
      <x:c r="G300" s="18"/>
      <x:c r="H300" s="18" t="str">
        <x:v>pairing identity only</x:v>
      </x:c>
    </x:row>
    <x:row r="301" ht="22" customHeight="1">
      <x:c r="A301" s="22" t="n">
        <x:v>276</x:v>
      </x:c>
      <x:c r="B301" s="22" t="n">
        <x:f>MOD($B$6*(A301-1)+$B$7,$A$12)+1</x:f>
        <x:v>95</x:v>
      </x:c>
      <x:c r="C301" s="22" t="n">
        <x:f>MOD($B$6*(A301-1)+$B$7,$A$13)+1</x:f>
        <x:v>95</x:v>
      </x:c>
      <x:c r="D301" s="22" t="n">
        <x:f>MOD($B$6*(A301-1)+$B$7,$A$14)+1</x:f>
        <x:v>95</x:v>
      </x:c>
      <x:c r="E301" s="22" t="n">
        <x:f>MOD($B$6*(A301-1)+$B$7,$A$15)+1</x:f>
        <x:v>95</x:v>
      </x:c>
      <x:c r="F301" s="18"/>
      <x:c r="G301" s="18"/>
      <x:c r="H301" s="18" t="str">
        <x:v>pairing identity only</x:v>
      </x:c>
    </x:row>
    <x:row r="302" ht="22" customHeight="1">
      <x:c r="A302" s="22" t="n">
        <x:v>277</x:v>
      </x:c>
      <x:c r="B302" s="22" t="n">
        <x:f>MOD($B$6*(A302-1)+$B$7,$A$12)+1</x:f>
        <x:v>43</x:v>
      </x:c>
      <x:c r="C302" s="22" t="n">
        <x:f>MOD($B$6*(A302-1)+$B$7,$A$13)+1</x:f>
        <x:v>168</x:v>
      </x:c>
      <x:c r="D302" s="22" t="n">
        <x:f>MOD($B$6*(A302-1)+$B$7,$A$14)+1</x:f>
        <x:v>168</x:v>
      </x:c>
      <x:c r="E302" s="22" t="n">
        <x:f>MOD($B$6*(A302-1)+$B$7,$A$15)+1</x:f>
        <x:v>168</x:v>
      </x:c>
      <x:c r="F302" s="18"/>
      <x:c r="G302" s="18"/>
      <x:c r="H302" s="18" t="str">
        <x:v>pairing identity only</x:v>
      </x:c>
    </x:row>
    <x:row r="303" ht="22" customHeight="1">
      <x:c r="A303" s="22" t="n">
        <x:v>278</x:v>
      </x:c>
      <x:c r="B303" s="22" t="n">
        <x:f>MOD($B$6*(A303-1)+$B$7,$A$12)+1</x:f>
        <x:v>116</x:v>
      </x:c>
      <x:c r="C303" s="22" t="n">
        <x:f>MOD($B$6*(A303-1)+$B$7,$A$13)+1</x:f>
        <x:v>241</x:v>
      </x:c>
      <x:c r="D303" s="22" t="n">
        <x:f>MOD($B$6*(A303-1)+$B$7,$A$14)+1</x:f>
        <x:v>241</x:v>
      </x:c>
      <x:c r="E303" s="22" t="n">
        <x:f>MOD($B$6*(A303-1)+$B$7,$A$15)+1</x:f>
        <x:v>241</x:v>
      </x:c>
      <x:c r="F303" s="18"/>
      <x:c r="G303" s="18"/>
      <x:c r="H303" s="18" t="str">
        <x:v>pairing identity only</x:v>
      </x:c>
    </x:row>
    <x:row r="304" ht="22" customHeight="1">
      <x:c r="A304" s="22" t="n">
        <x:v>279</x:v>
      </x:c>
      <x:c r="B304" s="22" t="n">
        <x:f>MOD($B$6*(A304-1)+$B$7,$A$12)+1</x:f>
        <x:v>64</x:v>
      </x:c>
      <x:c r="C304" s="22" t="n">
        <x:f>MOD($B$6*(A304-1)+$B$7,$A$13)+1</x:f>
        <x:v>64</x:v>
      </x:c>
      <x:c r="D304" s="22" t="n">
        <x:f>MOD($B$6*(A304-1)+$B$7,$A$14)+1</x:f>
        <x:v>314</x:v>
      </x:c>
      <x:c r="E304" s="22" t="n">
        <x:f>MOD($B$6*(A304-1)+$B$7,$A$15)+1</x:f>
        <x:v>314</x:v>
      </x:c>
      <x:c r="F304" s="18"/>
      <x:c r="G304" s="18"/>
      <x:c r="H304" s="18" t="str">
        <x:v>pairing identity only</x:v>
      </x:c>
    </x:row>
    <x:row r="305" ht="22" customHeight="1">
      <x:c r="A305" s="22" t="n">
        <x:v>280</x:v>
      </x:c>
      <x:c r="B305" s="22" t="n">
        <x:f>MOD($B$6*(A305-1)+$B$7,$A$12)+1</x:f>
        <x:v>12</x:v>
      </x:c>
      <x:c r="C305" s="22" t="n">
        <x:f>MOD($B$6*(A305-1)+$B$7,$A$13)+1</x:f>
        <x:v>137</x:v>
      </x:c>
      <x:c r="D305" s="22" t="n">
        <x:f>MOD($B$6*(A305-1)+$B$7,$A$14)+1</x:f>
        <x:v>387</x:v>
      </x:c>
      <x:c r="E305" s="22" t="n">
        <x:f>MOD($B$6*(A305-1)+$B$7,$A$15)+1</x:f>
        <x:v>387</x:v>
      </x:c>
      <x:c r="F305" s="18"/>
      <x:c r="G305" s="18"/>
      <x:c r="H305" s="18" t="str">
        <x:v>pairing identity only</x:v>
      </x:c>
    </x:row>
    <x:row r="306" ht="22" customHeight="1">
      <x:c r="A306" s="22" t="n">
        <x:v>281</x:v>
      </x:c>
      <x:c r="B306" s="22" t="n">
        <x:f>MOD($B$6*(A306-1)+$B$7,$A$12)+1</x:f>
        <x:v>85</x:v>
      </x:c>
      <x:c r="C306" s="22" t="n">
        <x:f>MOD($B$6*(A306-1)+$B$7,$A$13)+1</x:f>
        <x:v>210</x:v>
      </x:c>
      <x:c r="D306" s="22" t="n">
        <x:f>MOD($B$6*(A306-1)+$B$7,$A$14)+1</x:f>
        <x:v>460</x:v>
      </x:c>
      <x:c r="E306" s="22" t="n">
        <x:f>MOD($B$6*(A306-1)+$B$7,$A$15)+1</x:f>
        <x:v>460</x:v>
      </x:c>
      <x:c r="F306" s="18"/>
      <x:c r="G306" s="18"/>
      <x:c r="H306" s="18" t="str">
        <x:v>pairing identity only</x:v>
      </x:c>
    </x:row>
    <x:row r="307" ht="22" customHeight="1">
      <x:c r="A307" s="22" t="n">
        <x:v>282</x:v>
      </x:c>
      <x:c r="B307" s="22" t="n">
        <x:f>MOD($B$6*(A307-1)+$B$7,$A$12)+1</x:f>
        <x:v>33</x:v>
      </x:c>
      <x:c r="C307" s="22" t="n">
        <x:f>MOD($B$6*(A307-1)+$B$7,$A$13)+1</x:f>
        <x:v>33</x:v>
      </x:c>
      <x:c r="D307" s="22" t="n">
        <x:f>MOD($B$6*(A307-1)+$B$7,$A$14)+1</x:f>
        <x:v>33</x:v>
      </x:c>
      <x:c r="E307" s="22" t="n">
        <x:f>MOD($B$6*(A307-1)+$B$7,$A$15)+1</x:f>
        <x:v>533</x:v>
      </x:c>
      <x:c r="F307" s="18"/>
      <x:c r="G307" s="18"/>
      <x:c r="H307" s="18" t="str">
        <x:v>pairing identity only</x:v>
      </x:c>
    </x:row>
    <x:row r="308" ht="22" customHeight="1">
      <x:c r="A308" s="22" t="n">
        <x:v>283</x:v>
      </x:c>
      <x:c r="B308" s="22" t="n">
        <x:f>MOD($B$6*(A308-1)+$B$7,$A$12)+1</x:f>
        <x:v>106</x:v>
      </x:c>
      <x:c r="C308" s="22" t="n">
        <x:f>MOD($B$6*(A308-1)+$B$7,$A$13)+1</x:f>
        <x:v>106</x:v>
      </x:c>
      <x:c r="D308" s="22" t="n">
        <x:f>MOD($B$6*(A308-1)+$B$7,$A$14)+1</x:f>
        <x:v>106</x:v>
      </x:c>
      <x:c r="E308" s="22" t="n">
        <x:f>MOD($B$6*(A308-1)+$B$7,$A$15)+1</x:f>
        <x:v>606</x:v>
      </x:c>
      <x:c r="F308" s="18"/>
      <x:c r="G308" s="18"/>
      <x:c r="H308" s="18" t="str">
        <x:v>pairing identity only</x:v>
      </x:c>
    </x:row>
    <x:row r="309" ht="22" customHeight="1">
      <x:c r="A309" s="22" t="n">
        <x:v>284</x:v>
      </x:c>
      <x:c r="B309" s="22" t="n">
        <x:f>MOD($B$6*(A309-1)+$B$7,$A$12)+1</x:f>
        <x:v>54</x:v>
      </x:c>
      <x:c r="C309" s="22" t="n">
        <x:f>MOD($B$6*(A309-1)+$B$7,$A$13)+1</x:f>
        <x:v>179</x:v>
      </x:c>
      <x:c r="D309" s="22" t="n">
        <x:f>MOD($B$6*(A309-1)+$B$7,$A$14)+1</x:f>
        <x:v>179</x:v>
      </x:c>
      <x:c r="E309" s="22" t="n">
        <x:f>MOD($B$6*(A309-1)+$B$7,$A$15)+1</x:f>
        <x:v>679</x:v>
      </x:c>
      <x:c r="F309" s="18"/>
      <x:c r="G309" s="18"/>
      <x:c r="H309" s="18" t="str">
        <x:v>pairing identity only</x:v>
      </x:c>
    </x:row>
    <x:row r="310" ht="22" customHeight="1">
      <x:c r="A310" s="22" t="n">
        <x:v>285</x:v>
      </x:c>
      <x:c r="B310" s="22" t="n">
        <x:f>MOD($B$6*(A310-1)+$B$7,$A$12)+1</x:f>
        <x:v>2</x:v>
      </x:c>
      <x:c r="C310" s="22" t="n">
        <x:f>MOD($B$6*(A310-1)+$B$7,$A$13)+1</x:f>
        <x:v>2</x:v>
      </x:c>
      <x:c r="D310" s="22" t="n">
        <x:f>MOD($B$6*(A310-1)+$B$7,$A$14)+1</x:f>
        <x:v>252</x:v>
      </x:c>
      <x:c r="E310" s="22" t="n">
        <x:f>MOD($B$6*(A310-1)+$B$7,$A$15)+1</x:f>
        <x:v>752</x:v>
      </x:c>
      <x:c r="F310" s="18"/>
      <x:c r="G310" s="18"/>
      <x:c r="H310" s="18" t="str">
        <x:v>pairing identity only</x:v>
      </x:c>
    </x:row>
    <x:row r="311" ht="22" customHeight="1">
      <x:c r="A311" s="22" t="n">
        <x:v>286</x:v>
      </x:c>
      <x:c r="B311" s="22" t="n">
        <x:f>MOD($B$6*(A311-1)+$B$7,$A$12)+1</x:f>
        <x:v>75</x:v>
      </x:c>
      <x:c r="C311" s="22" t="n">
        <x:f>MOD($B$6*(A311-1)+$B$7,$A$13)+1</x:f>
        <x:v>75</x:v>
      </x:c>
      <x:c r="D311" s="22" t="n">
        <x:f>MOD($B$6*(A311-1)+$B$7,$A$14)+1</x:f>
        <x:v>325</x:v>
      </x:c>
      <x:c r="E311" s="22" t="n">
        <x:f>MOD($B$6*(A311-1)+$B$7,$A$15)+1</x:f>
        <x:v>825</x:v>
      </x:c>
      <x:c r="F311" s="18"/>
      <x:c r="G311" s="18"/>
      <x:c r="H311" s="18" t="str">
        <x:v>pairing identity only</x:v>
      </x:c>
    </x:row>
    <x:row r="312" ht="22" customHeight="1">
      <x:c r="A312" s="22" t="n">
        <x:v>287</x:v>
      </x:c>
      <x:c r="B312" s="22" t="n">
        <x:f>MOD($B$6*(A312-1)+$B$7,$A$12)+1</x:f>
        <x:v>23</x:v>
      </x:c>
      <x:c r="C312" s="22" t="n">
        <x:f>MOD($B$6*(A312-1)+$B$7,$A$13)+1</x:f>
        <x:v>148</x:v>
      </x:c>
      <x:c r="D312" s="22" t="n">
        <x:f>MOD($B$6*(A312-1)+$B$7,$A$14)+1</x:f>
        <x:v>398</x:v>
      </x:c>
      <x:c r="E312" s="22" t="n">
        <x:f>MOD($B$6*(A312-1)+$B$7,$A$15)+1</x:f>
        <x:v>898</x:v>
      </x:c>
      <x:c r="F312" s="18"/>
      <x:c r="G312" s="18"/>
      <x:c r="H312" s="18" t="str">
        <x:v>pairing identity only</x:v>
      </x:c>
    </x:row>
    <x:row r="313" ht="22" customHeight="1">
      <x:c r="A313" s="22" t="n">
        <x:v>288</x:v>
      </x:c>
      <x:c r="B313" s="22" t="n">
        <x:f>MOD($B$6*(A313-1)+$B$7,$A$12)+1</x:f>
        <x:v>96</x:v>
      </x:c>
      <x:c r="C313" s="22" t="n">
        <x:f>MOD($B$6*(A313-1)+$B$7,$A$13)+1</x:f>
        <x:v>221</x:v>
      </x:c>
      <x:c r="D313" s="22" t="n">
        <x:f>MOD($B$6*(A313-1)+$B$7,$A$14)+1</x:f>
        <x:v>471</x:v>
      </x:c>
      <x:c r="E313" s="22" t="n">
        <x:f>MOD($B$6*(A313-1)+$B$7,$A$15)+1</x:f>
        <x:v>971</x:v>
      </x:c>
      <x:c r="F313" s="18"/>
      <x:c r="G313" s="18"/>
      <x:c r="H313" s="18" t="str">
        <x:v>pairing identity only</x:v>
      </x:c>
    </x:row>
    <x:row r="314" ht="22" customHeight="1">
      <x:c r="A314" s="22" t="n">
        <x:v>289</x:v>
      </x:c>
      <x:c r="B314" s="22" t="n">
        <x:f>MOD($B$6*(A314-1)+$B$7,$A$12)+1</x:f>
        <x:v>44</x:v>
      </x:c>
      <x:c r="C314" s="22" t="n">
        <x:f>MOD($B$6*(A314-1)+$B$7,$A$13)+1</x:f>
        <x:v>44</x:v>
      </x:c>
      <x:c r="D314" s="22" t="n">
        <x:f>MOD($B$6*(A314-1)+$B$7,$A$14)+1</x:f>
        <x:v>44</x:v>
      </x:c>
      <x:c r="E314" s="22" t="n">
        <x:f>MOD($B$6*(A314-1)+$B$7,$A$15)+1</x:f>
        <x:v>44</x:v>
      </x:c>
      <x:c r="F314" s="18"/>
      <x:c r="G314" s="18"/>
      <x:c r="H314" s="18" t="str">
        <x:v>pairing identity only</x:v>
      </x:c>
    </x:row>
    <x:row r="315" ht="22" customHeight="1">
      <x:c r="A315" s="22" t="n">
        <x:v>290</x:v>
      </x:c>
      <x:c r="B315" s="22" t="n">
        <x:f>MOD($B$6*(A315-1)+$B$7,$A$12)+1</x:f>
        <x:v>117</x:v>
      </x:c>
      <x:c r="C315" s="22" t="n">
        <x:f>MOD($B$6*(A315-1)+$B$7,$A$13)+1</x:f>
        <x:v>117</x:v>
      </x:c>
      <x:c r="D315" s="22" t="n">
        <x:f>MOD($B$6*(A315-1)+$B$7,$A$14)+1</x:f>
        <x:v>117</x:v>
      </x:c>
      <x:c r="E315" s="22" t="n">
        <x:f>MOD($B$6*(A315-1)+$B$7,$A$15)+1</x:f>
        <x:v>117</x:v>
      </x:c>
      <x:c r="F315" s="18"/>
      <x:c r="G315" s="18"/>
      <x:c r="H315" s="18" t="str">
        <x:v>pairing identity only</x:v>
      </x:c>
    </x:row>
    <x:row r="316" ht="22" customHeight="1">
      <x:c r="A316" s="22" t="n">
        <x:v>291</x:v>
      </x:c>
      <x:c r="B316" s="22" t="n">
        <x:f>MOD($B$6*(A316-1)+$B$7,$A$12)+1</x:f>
        <x:v>65</x:v>
      </x:c>
      <x:c r="C316" s="22" t="n">
        <x:f>MOD($B$6*(A316-1)+$B$7,$A$13)+1</x:f>
        <x:v>190</x:v>
      </x:c>
      <x:c r="D316" s="22" t="n">
        <x:f>MOD($B$6*(A316-1)+$B$7,$A$14)+1</x:f>
        <x:v>190</x:v>
      </x:c>
      <x:c r="E316" s="22" t="n">
        <x:f>MOD($B$6*(A316-1)+$B$7,$A$15)+1</x:f>
        <x:v>190</x:v>
      </x:c>
      <x:c r="F316" s="18"/>
      <x:c r="G316" s="18"/>
      <x:c r="H316" s="18" t="str">
        <x:v>pairing identity only</x:v>
      </x:c>
    </x:row>
    <x:row r="317" ht="22" customHeight="1">
      <x:c r="A317" s="22" t="n">
        <x:v>292</x:v>
      </x:c>
      <x:c r="B317" s="22" t="n">
        <x:f>MOD($B$6*(A317-1)+$B$7,$A$12)+1</x:f>
        <x:v>13</x:v>
      </x:c>
      <x:c r="C317" s="22" t="n">
        <x:f>MOD($B$6*(A317-1)+$B$7,$A$13)+1</x:f>
        <x:v>13</x:v>
      </x:c>
      <x:c r="D317" s="22" t="n">
        <x:f>MOD($B$6*(A317-1)+$B$7,$A$14)+1</x:f>
        <x:v>263</x:v>
      </x:c>
      <x:c r="E317" s="22" t="n">
        <x:f>MOD($B$6*(A317-1)+$B$7,$A$15)+1</x:f>
        <x:v>263</x:v>
      </x:c>
      <x:c r="F317" s="18"/>
      <x:c r="G317" s="18"/>
      <x:c r="H317" s="18" t="str">
        <x:v>pairing identity only</x:v>
      </x:c>
    </x:row>
    <x:row r="318" ht="22" customHeight="1">
      <x:c r="A318" s="22" t="n">
        <x:v>293</x:v>
      </x:c>
      <x:c r="B318" s="22" t="n">
        <x:f>MOD($B$6*(A318-1)+$B$7,$A$12)+1</x:f>
        <x:v>86</x:v>
      </x:c>
      <x:c r="C318" s="22" t="n">
        <x:f>MOD($B$6*(A318-1)+$B$7,$A$13)+1</x:f>
        <x:v>86</x:v>
      </x:c>
      <x:c r="D318" s="22" t="n">
        <x:f>MOD($B$6*(A318-1)+$B$7,$A$14)+1</x:f>
        <x:v>336</x:v>
      </x:c>
      <x:c r="E318" s="22" t="n">
        <x:f>MOD($B$6*(A318-1)+$B$7,$A$15)+1</x:f>
        <x:v>336</x:v>
      </x:c>
      <x:c r="F318" s="18"/>
      <x:c r="G318" s="18"/>
      <x:c r="H318" s="18" t="str">
        <x:v>pairing identity only</x:v>
      </x:c>
    </x:row>
    <x:row r="319" ht="22" customHeight="1">
      <x:c r="A319" s="22" t="n">
        <x:v>294</x:v>
      </x:c>
      <x:c r="B319" s="22" t="n">
        <x:f>MOD($B$6*(A319-1)+$B$7,$A$12)+1</x:f>
        <x:v>34</x:v>
      </x:c>
      <x:c r="C319" s="22" t="n">
        <x:f>MOD($B$6*(A319-1)+$B$7,$A$13)+1</x:f>
        <x:v>159</x:v>
      </x:c>
      <x:c r="D319" s="22" t="n">
        <x:f>MOD($B$6*(A319-1)+$B$7,$A$14)+1</x:f>
        <x:v>409</x:v>
      </x:c>
      <x:c r="E319" s="22" t="n">
        <x:f>MOD($B$6*(A319-1)+$B$7,$A$15)+1</x:f>
        <x:v>409</x:v>
      </x:c>
      <x:c r="F319" s="18"/>
      <x:c r="G319" s="18"/>
      <x:c r="H319" s="18" t="str">
        <x:v>pairing identity only</x:v>
      </x:c>
    </x:row>
    <x:row r="320" ht="22" customHeight="1">
      <x:c r="A320" s="22" t="n">
        <x:v>295</x:v>
      </x:c>
      <x:c r="B320" s="22" t="n">
        <x:f>MOD($B$6*(A320-1)+$B$7,$A$12)+1</x:f>
        <x:v>107</x:v>
      </x:c>
      <x:c r="C320" s="22" t="n">
        <x:f>MOD($B$6*(A320-1)+$B$7,$A$13)+1</x:f>
        <x:v>232</x:v>
      </x:c>
      <x:c r="D320" s="22" t="n">
        <x:f>MOD($B$6*(A320-1)+$B$7,$A$14)+1</x:f>
        <x:v>482</x:v>
      </x:c>
      <x:c r="E320" s="22" t="n">
        <x:f>MOD($B$6*(A320-1)+$B$7,$A$15)+1</x:f>
        <x:v>482</x:v>
      </x:c>
      <x:c r="F320" s="18"/>
      <x:c r="G320" s="18"/>
      <x:c r="H320" s="18" t="str">
        <x:v>pairing identity only</x:v>
      </x:c>
    </x:row>
    <x:row r="321" ht="22" customHeight="1">
      <x:c r="A321" s="22" t="n">
        <x:v>296</x:v>
      </x:c>
      <x:c r="B321" s="22" t="n">
        <x:f>MOD($B$6*(A321-1)+$B$7,$A$12)+1</x:f>
        <x:v>55</x:v>
      </x:c>
      <x:c r="C321" s="22" t="n">
        <x:f>MOD($B$6*(A321-1)+$B$7,$A$13)+1</x:f>
        <x:v>55</x:v>
      </x:c>
      <x:c r="D321" s="22" t="n">
        <x:f>MOD($B$6*(A321-1)+$B$7,$A$14)+1</x:f>
        <x:v>55</x:v>
      </x:c>
      <x:c r="E321" s="22" t="n">
        <x:f>MOD($B$6*(A321-1)+$B$7,$A$15)+1</x:f>
        <x:v>555</x:v>
      </x:c>
      <x:c r="F321" s="18"/>
      <x:c r="G321" s="18"/>
      <x:c r="H321" s="18" t="str">
        <x:v>pairing identity only</x:v>
      </x:c>
    </x:row>
    <x:row r="322" ht="22" customHeight="1">
      <x:c r="A322" s="22" t="n">
        <x:v>297</x:v>
      </x:c>
      <x:c r="B322" s="22" t="n">
        <x:f>MOD($B$6*(A322-1)+$B$7,$A$12)+1</x:f>
        <x:v>3</x:v>
      </x:c>
      <x:c r="C322" s="22" t="n">
        <x:f>MOD($B$6*(A322-1)+$B$7,$A$13)+1</x:f>
        <x:v>128</x:v>
      </x:c>
      <x:c r="D322" s="22" t="n">
        <x:f>MOD($B$6*(A322-1)+$B$7,$A$14)+1</x:f>
        <x:v>128</x:v>
      </x:c>
      <x:c r="E322" s="22" t="n">
        <x:f>MOD($B$6*(A322-1)+$B$7,$A$15)+1</x:f>
        <x:v>628</x:v>
      </x:c>
      <x:c r="F322" s="18"/>
      <x:c r="G322" s="18"/>
      <x:c r="H322" s="18" t="str">
        <x:v>pairing identity only</x:v>
      </x:c>
    </x:row>
    <x:row r="323" ht="22" customHeight="1">
      <x:c r="A323" s="22" t="n">
        <x:v>298</x:v>
      </x:c>
      <x:c r="B323" s="22" t="n">
        <x:f>MOD($B$6*(A323-1)+$B$7,$A$12)+1</x:f>
        <x:v>76</x:v>
      </x:c>
      <x:c r="C323" s="22" t="n">
        <x:f>MOD($B$6*(A323-1)+$B$7,$A$13)+1</x:f>
        <x:v>201</x:v>
      </x:c>
      <x:c r="D323" s="22" t="n">
        <x:f>MOD($B$6*(A323-1)+$B$7,$A$14)+1</x:f>
        <x:v>201</x:v>
      </x:c>
      <x:c r="E323" s="22" t="n">
        <x:f>MOD($B$6*(A323-1)+$B$7,$A$15)+1</x:f>
        <x:v>701</x:v>
      </x:c>
      <x:c r="F323" s="18"/>
      <x:c r="G323" s="18"/>
      <x:c r="H323" s="18" t="str">
        <x:v>pairing identity only</x:v>
      </x:c>
    </x:row>
    <x:row r="324" ht="22" customHeight="1">
      <x:c r="A324" s="22" t="n">
        <x:v>299</x:v>
      </x:c>
      <x:c r="B324" s="22" t="n">
        <x:f>MOD($B$6*(A324-1)+$B$7,$A$12)+1</x:f>
        <x:v>24</x:v>
      </x:c>
      <x:c r="C324" s="22" t="n">
        <x:f>MOD($B$6*(A324-1)+$B$7,$A$13)+1</x:f>
        <x:v>24</x:v>
      </x:c>
      <x:c r="D324" s="22" t="n">
        <x:f>MOD($B$6*(A324-1)+$B$7,$A$14)+1</x:f>
        <x:v>274</x:v>
      </x:c>
      <x:c r="E324" s="22" t="n">
        <x:f>MOD($B$6*(A324-1)+$B$7,$A$15)+1</x:f>
        <x:v>774</x:v>
      </x:c>
      <x:c r="F324" s="18"/>
      <x:c r="G324" s="18"/>
      <x:c r="H324" s="18" t="str">
        <x:v>pairing identity only</x:v>
      </x:c>
    </x:row>
    <x:row r="325" ht="22" customHeight="1">
      <x:c r="A325" s="22" t="n">
        <x:v>300</x:v>
      </x:c>
      <x:c r="B325" s="22" t="n">
        <x:f>MOD($B$6*(A325-1)+$B$7,$A$12)+1</x:f>
        <x:v>97</x:v>
      </x:c>
      <x:c r="C325" s="22" t="n">
        <x:f>MOD($B$6*(A325-1)+$B$7,$A$13)+1</x:f>
        <x:v>97</x:v>
      </x:c>
      <x:c r="D325" s="22" t="n">
        <x:f>MOD($B$6*(A325-1)+$B$7,$A$14)+1</x:f>
        <x:v>347</x:v>
      </x:c>
      <x:c r="E325" s="22" t="n">
        <x:f>MOD($B$6*(A325-1)+$B$7,$A$15)+1</x:f>
        <x:v>847</x:v>
      </x:c>
      <x:c r="F325" s="18"/>
      <x:c r="G325" s="18"/>
      <x:c r="H325" s="18" t="str">
        <x:v>pairing identity only</x:v>
      </x:c>
    </x:row>
    <x:row r="326" ht="22" customHeight="1">
      <x:c r="A326" s="22" t="n">
        <x:v>301</x:v>
      </x:c>
      <x:c r="B326" s="22" t="n">
        <x:f>MOD($B$6*(A326-1)+$B$7,$A$12)+1</x:f>
        <x:v>45</x:v>
      </x:c>
      <x:c r="C326" s="22" t="n">
        <x:f>MOD($B$6*(A326-1)+$B$7,$A$13)+1</x:f>
        <x:v>170</x:v>
      </x:c>
      <x:c r="D326" s="22" t="n">
        <x:f>MOD($B$6*(A326-1)+$B$7,$A$14)+1</x:f>
        <x:v>420</x:v>
      </x:c>
      <x:c r="E326" s="22" t="n">
        <x:f>MOD($B$6*(A326-1)+$B$7,$A$15)+1</x:f>
        <x:v>920</x:v>
      </x:c>
      <x:c r="F326" s="18"/>
      <x:c r="G326" s="18"/>
      <x:c r="H326" s="18" t="str">
        <x:v>pairing identity only</x:v>
      </x:c>
    </x:row>
    <x:row r="327" ht="22" customHeight="1">
      <x:c r="A327" s="22" t="n">
        <x:v>302</x:v>
      </x:c>
      <x:c r="B327" s="22" t="n">
        <x:f>MOD($B$6*(A327-1)+$B$7,$A$12)+1</x:f>
        <x:v>118</x:v>
      </x:c>
      <x:c r="C327" s="22" t="n">
        <x:f>MOD($B$6*(A327-1)+$B$7,$A$13)+1</x:f>
        <x:v>243</x:v>
      </x:c>
      <x:c r="D327" s="22" t="n">
        <x:f>MOD($B$6*(A327-1)+$B$7,$A$14)+1</x:f>
        <x:v>493</x:v>
      </x:c>
      <x:c r="E327" s="22" t="n">
        <x:f>MOD($B$6*(A327-1)+$B$7,$A$15)+1</x:f>
        <x:v>993</x:v>
      </x:c>
      <x:c r="F327" s="18"/>
      <x:c r="G327" s="18"/>
      <x:c r="H327" s="18" t="str">
        <x:v>pairing identity only</x:v>
      </x:c>
    </x:row>
    <x:row r="328" ht="22" customHeight="1">
      <x:c r="A328" s="22" t="n">
        <x:v>303</x:v>
      </x:c>
      <x:c r="B328" s="22" t="n">
        <x:f>MOD($B$6*(A328-1)+$B$7,$A$12)+1</x:f>
        <x:v>66</x:v>
      </x:c>
      <x:c r="C328" s="22" t="n">
        <x:f>MOD($B$6*(A328-1)+$B$7,$A$13)+1</x:f>
        <x:v>66</x:v>
      </x:c>
      <x:c r="D328" s="22" t="n">
        <x:f>MOD($B$6*(A328-1)+$B$7,$A$14)+1</x:f>
        <x:v>66</x:v>
      </x:c>
      <x:c r="E328" s="22" t="n">
        <x:f>MOD($B$6*(A328-1)+$B$7,$A$15)+1</x:f>
        <x:v>66</x:v>
      </x:c>
      <x:c r="F328" s="18"/>
      <x:c r="G328" s="18"/>
      <x:c r="H328" s="18" t="str">
        <x:v>pairing identity only</x:v>
      </x:c>
    </x:row>
    <x:row r="329" ht="22" customHeight="1">
      <x:c r="A329" s="22" t="n">
        <x:v>304</x:v>
      </x:c>
      <x:c r="B329" s="22" t="n">
        <x:f>MOD($B$6*(A329-1)+$B$7,$A$12)+1</x:f>
        <x:v>14</x:v>
      </x:c>
      <x:c r="C329" s="22" t="n">
        <x:f>MOD($B$6*(A329-1)+$B$7,$A$13)+1</x:f>
        <x:v>139</x:v>
      </x:c>
      <x:c r="D329" s="22" t="n">
        <x:f>MOD($B$6*(A329-1)+$B$7,$A$14)+1</x:f>
        <x:v>139</x:v>
      </x:c>
      <x:c r="E329" s="22" t="n">
        <x:f>MOD($B$6*(A329-1)+$B$7,$A$15)+1</x:f>
        <x:v>139</x:v>
      </x:c>
      <x:c r="F329" s="18"/>
      <x:c r="G329" s="18"/>
      <x:c r="H329" s="18" t="str">
        <x:v>pairing identity only</x:v>
      </x:c>
    </x:row>
    <x:row r="330" ht="22" customHeight="1">
      <x:c r="A330" s="22" t="n">
        <x:v>305</x:v>
      </x:c>
      <x:c r="B330" s="22" t="n">
        <x:f>MOD($B$6*(A330-1)+$B$7,$A$12)+1</x:f>
        <x:v>87</x:v>
      </x:c>
      <x:c r="C330" s="22" t="n">
        <x:f>MOD($B$6*(A330-1)+$B$7,$A$13)+1</x:f>
        <x:v>212</x:v>
      </x:c>
      <x:c r="D330" s="22" t="n">
        <x:f>MOD($B$6*(A330-1)+$B$7,$A$14)+1</x:f>
        <x:v>212</x:v>
      </x:c>
      <x:c r="E330" s="22" t="n">
        <x:f>MOD($B$6*(A330-1)+$B$7,$A$15)+1</x:f>
        <x:v>212</x:v>
      </x:c>
      <x:c r="F330" s="18"/>
      <x:c r="G330" s="18"/>
      <x:c r="H330" s="18" t="str">
        <x:v>pairing identity only</x:v>
      </x:c>
    </x:row>
    <x:row r="331" ht="22" customHeight="1">
      <x:c r="A331" s="22" t="n">
        <x:v>306</x:v>
      </x:c>
      <x:c r="B331" s="22" t="n">
        <x:f>MOD($B$6*(A331-1)+$B$7,$A$12)+1</x:f>
        <x:v>35</x:v>
      </x:c>
      <x:c r="C331" s="22" t="n">
        <x:f>MOD($B$6*(A331-1)+$B$7,$A$13)+1</x:f>
        <x:v>35</x:v>
      </x:c>
      <x:c r="D331" s="22" t="n">
        <x:f>MOD($B$6*(A331-1)+$B$7,$A$14)+1</x:f>
        <x:v>285</x:v>
      </x:c>
      <x:c r="E331" s="22" t="n">
        <x:f>MOD($B$6*(A331-1)+$B$7,$A$15)+1</x:f>
        <x:v>285</x:v>
      </x:c>
      <x:c r="F331" s="18"/>
      <x:c r="G331" s="18"/>
      <x:c r="H331" s="18" t="str">
        <x:v>pairing identity only</x:v>
      </x:c>
    </x:row>
    <x:row r="332" ht="22" customHeight="1">
      <x:c r="A332" s="22" t="n">
        <x:v>307</x:v>
      </x:c>
      <x:c r="B332" s="22" t="n">
        <x:f>MOD($B$6*(A332-1)+$B$7,$A$12)+1</x:f>
        <x:v>108</x:v>
      </x:c>
      <x:c r="C332" s="22" t="n">
        <x:f>MOD($B$6*(A332-1)+$B$7,$A$13)+1</x:f>
        <x:v>108</x:v>
      </x:c>
      <x:c r="D332" s="22" t="n">
        <x:f>MOD($B$6*(A332-1)+$B$7,$A$14)+1</x:f>
        <x:v>358</x:v>
      </x:c>
      <x:c r="E332" s="22" t="n">
        <x:f>MOD($B$6*(A332-1)+$B$7,$A$15)+1</x:f>
        <x:v>358</x:v>
      </x:c>
      <x:c r="F332" s="18"/>
      <x:c r="G332" s="18"/>
      <x:c r="H332" s="18" t="str">
        <x:v>pairing identity only</x:v>
      </x:c>
    </x:row>
    <x:row r="333" ht="22" customHeight="1">
      <x:c r="A333" s="22" t="n">
        <x:v>308</x:v>
      </x:c>
      <x:c r="B333" s="22" t="n">
        <x:f>MOD($B$6*(A333-1)+$B$7,$A$12)+1</x:f>
        <x:v>56</x:v>
      </x:c>
      <x:c r="C333" s="22" t="n">
        <x:f>MOD($B$6*(A333-1)+$B$7,$A$13)+1</x:f>
        <x:v>181</x:v>
      </x:c>
      <x:c r="D333" s="22" t="n">
        <x:f>MOD($B$6*(A333-1)+$B$7,$A$14)+1</x:f>
        <x:v>431</x:v>
      </x:c>
      <x:c r="E333" s="22" t="n">
        <x:f>MOD($B$6*(A333-1)+$B$7,$A$15)+1</x:f>
        <x:v>431</x:v>
      </x:c>
      <x:c r="F333" s="18"/>
      <x:c r="G333" s="18"/>
      <x:c r="H333" s="18" t="str">
        <x:v>pairing identity only</x:v>
      </x:c>
    </x:row>
    <x:row r="334" ht="22" customHeight="1">
      <x:c r="A334" s="22" t="n">
        <x:v>309</x:v>
      </x:c>
      <x:c r="B334" s="22" t="n">
        <x:f>MOD($B$6*(A334-1)+$B$7,$A$12)+1</x:f>
        <x:v>4</x:v>
      </x:c>
      <x:c r="C334" s="22" t="n">
        <x:f>MOD($B$6*(A334-1)+$B$7,$A$13)+1</x:f>
        <x:v>4</x:v>
      </x:c>
      <x:c r="D334" s="22" t="n">
        <x:f>MOD($B$6*(A334-1)+$B$7,$A$14)+1</x:f>
        <x:v>4</x:v>
      </x:c>
      <x:c r="E334" s="22" t="n">
        <x:f>MOD($B$6*(A334-1)+$B$7,$A$15)+1</x:f>
        <x:v>504</x:v>
      </x:c>
      <x:c r="F334" s="18"/>
      <x:c r="G334" s="18"/>
      <x:c r="H334" s="18" t="str">
        <x:v>pairing identity only</x:v>
      </x:c>
    </x:row>
    <x:row r="335" ht="22" customHeight="1">
      <x:c r="A335" s="22" t="n">
        <x:v>310</x:v>
      </x:c>
      <x:c r="B335" s="22" t="n">
        <x:f>MOD($B$6*(A335-1)+$B$7,$A$12)+1</x:f>
        <x:v>77</x:v>
      </x:c>
      <x:c r="C335" s="22" t="n">
        <x:f>MOD($B$6*(A335-1)+$B$7,$A$13)+1</x:f>
        <x:v>77</x:v>
      </x:c>
      <x:c r="D335" s="22" t="n">
        <x:f>MOD($B$6*(A335-1)+$B$7,$A$14)+1</x:f>
        <x:v>77</x:v>
      </x:c>
      <x:c r="E335" s="22" t="n">
        <x:f>MOD($B$6*(A335-1)+$B$7,$A$15)+1</x:f>
        <x:v>577</x:v>
      </x:c>
      <x:c r="F335" s="18"/>
      <x:c r="G335" s="18"/>
      <x:c r="H335" s="18" t="str">
        <x:v>pairing identity only</x:v>
      </x:c>
    </x:row>
    <x:row r="336" ht="22" customHeight="1">
      <x:c r="A336" s="22" t="n">
        <x:v>311</x:v>
      </x:c>
      <x:c r="B336" s="22" t="n">
        <x:f>MOD($B$6*(A336-1)+$B$7,$A$12)+1</x:f>
        <x:v>25</x:v>
      </x:c>
      <x:c r="C336" s="22" t="n">
        <x:f>MOD($B$6*(A336-1)+$B$7,$A$13)+1</x:f>
        <x:v>150</x:v>
      </x:c>
      <x:c r="D336" s="22" t="n">
        <x:f>MOD($B$6*(A336-1)+$B$7,$A$14)+1</x:f>
        <x:v>150</x:v>
      </x:c>
      <x:c r="E336" s="22" t="n">
        <x:f>MOD($B$6*(A336-1)+$B$7,$A$15)+1</x:f>
        <x:v>650</x:v>
      </x:c>
      <x:c r="F336" s="18"/>
      <x:c r="G336" s="18"/>
      <x:c r="H336" s="18" t="str">
        <x:v>pairing identity only</x:v>
      </x:c>
    </x:row>
    <x:row r="337" ht="22" customHeight="1">
      <x:c r="A337" s="22" t="n">
        <x:v>312</x:v>
      </x:c>
      <x:c r="B337" s="22" t="n">
        <x:f>MOD($B$6*(A337-1)+$B$7,$A$12)+1</x:f>
        <x:v>98</x:v>
      </x:c>
      <x:c r="C337" s="22" t="n">
        <x:f>MOD($B$6*(A337-1)+$B$7,$A$13)+1</x:f>
        <x:v>223</x:v>
      </x:c>
      <x:c r="D337" s="22" t="n">
        <x:f>MOD($B$6*(A337-1)+$B$7,$A$14)+1</x:f>
        <x:v>223</x:v>
      </x:c>
      <x:c r="E337" s="22" t="n">
        <x:f>MOD($B$6*(A337-1)+$B$7,$A$15)+1</x:f>
        <x:v>723</x:v>
      </x:c>
      <x:c r="F337" s="18"/>
      <x:c r="G337" s="18"/>
      <x:c r="H337" s="18" t="str">
        <x:v>pairing identity only</x:v>
      </x:c>
    </x:row>
    <x:row r="338" ht="22" customHeight="1">
      <x:c r="A338" s="22" t="n">
        <x:v>313</x:v>
      </x:c>
      <x:c r="B338" s="22" t="n">
        <x:f>MOD($B$6*(A338-1)+$B$7,$A$12)+1</x:f>
        <x:v>46</x:v>
      </x:c>
      <x:c r="C338" s="22" t="n">
        <x:f>MOD($B$6*(A338-1)+$B$7,$A$13)+1</x:f>
        <x:v>46</x:v>
      </x:c>
      <x:c r="D338" s="22" t="n">
        <x:f>MOD($B$6*(A338-1)+$B$7,$A$14)+1</x:f>
        <x:v>296</x:v>
      </x:c>
      <x:c r="E338" s="22" t="n">
        <x:f>MOD($B$6*(A338-1)+$B$7,$A$15)+1</x:f>
        <x:v>796</x:v>
      </x:c>
      <x:c r="F338" s="18"/>
      <x:c r="G338" s="18"/>
      <x:c r="H338" s="18" t="str">
        <x:v>pairing identity only</x:v>
      </x:c>
    </x:row>
    <x:row r="339" ht="22" customHeight="1">
      <x:c r="A339" s="22" t="n">
        <x:v>314</x:v>
      </x:c>
      <x:c r="B339" s="22" t="n">
        <x:f>MOD($B$6*(A339-1)+$B$7,$A$12)+1</x:f>
        <x:v>119</x:v>
      </x:c>
      <x:c r="C339" s="22" t="n">
        <x:f>MOD($B$6*(A339-1)+$B$7,$A$13)+1</x:f>
        <x:v>119</x:v>
      </x:c>
      <x:c r="D339" s="22" t="n">
        <x:f>MOD($B$6*(A339-1)+$B$7,$A$14)+1</x:f>
        <x:v>369</x:v>
      </x:c>
      <x:c r="E339" s="22" t="n">
        <x:f>MOD($B$6*(A339-1)+$B$7,$A$15)+1</x:f>
        <x:v>869</x:v>
      </x:c>
      <x:c r="F339" s="18"/>
      <x:c r="G339" s="18"/>
      <x:c r="H339" s="18" t="str">
        <x:v>pairing identity only</x:v>
      </x:c>
    </x:row>
    <x:row r="340" ht="22" customHeight="1">
      <x:c r="A340" s="22" t="n">
        <x:v>315</x:v>
      </x:c>
      <x:c r="B340" s="22" t="n">
        <x:f>MOD($B$6*(A340-1)+$B$7,$A$12)+1</x:f>
        <x:v>67</x:v>
      </x:c>
      <x:c r="C340" s="22" t="n">
        <x:f>MOD($B$6*(A340-1)+$B$7,$A$13)+1</x:f>
        <x:v>192</x:v>
      </x:c>
      <x:c r="D340" s="22" t="n">
        <x:f>MOD($B$6*(A340-1)+$B$7,$A$14)+1</x:f>
        <x:v>442</x:v>
      </x:c>
      <x:c r="E340" s="22" t="n">
        <x:f>MOD($B$6*(A340-1)+$B$7,$A$15)+1</x:f>
        <x:v>942</x:v>
      </x:c>
      <x:c r="F340" s="18"/>
      <x:c r="G340" s="18"/>
      <x:c r="H340" s="18" t="str">
        <x:v>pairing identity only</x:v>
      </x:c>
    </x:row>
    <x:row r="341" ht="22" customHeight="1">
      <x:c r="A341" s="22" t="n">
        <x:v>316</x:v>
      </x:c>
      <x:c r="B341" s="22" t="n">
        <x:f>MOD($B$6*(A341-1)+$B$7,$A$12)+1</x:f>
        <x:v>15</x:v>
      </x:c>
      <x:c r="C341" s="22" t="n">
        <x:f>MOD($B$6*(A341-1)+$B$7,$A$13)+1</x:f>
        <x:v>15</x:v>
      </x:c>
      <x:c r="D341" s="22" t="n">
        <x:f>MOD($B$6*(A341-1)+$B$7,$A$14)+1</x:f>
        <x:v>15</x:v>
      </x:c>
      <x:c r="E341" s="22" t="n">
        <x:f>MOD($B$6*(A341-1)+$B$7,$A$15)+1</x:f>
        <x:v>15</x:v>
      </x:c>
      <x:c r="F341" s="18"/>
      <x:c r="G341" s="18"/>
      <x:c r="H341" s="18" t="str">
        <x:v>pairing identity only</x:v>
      </x:c>
    </x:row>
    <x:row r="342" ht="22" customHeight="1">
      <x:c r="A342" s="22" t="n">
        <x:v>317</x:v>
      </x:c>
      <x:c r="B342" s="22" t="n">
        <x:f>MOD($B$6*(A342-1)+$B$7,$A$12)+1</x:f>
        <x:v>88</x:v>
      </x:c>
      <x:c r="C342" s="22" t="n">
        <x:f>MOD($B$6*(A342-1)+$B$7,$A$13)+1</x:f>
        <x:v>88</x:v>
      </x:c>
      <x:c r="D342" s="22" t="n">
        <x:f>MOD($B$6*(A342-1)+$B$7,$A$14)+1</x:f>
        <x:v>88</x:v>
      </x:c>
      <x:c r="E342" s="22" t="n">
        <x:f>MOD($B$6*(A342-1)+$B$7,$A$15)+1</x:f>
        <x:v>88</x:v>
      </x:c>
      <x:c r="F342" s="18"/>
      <x:c r="G342" s="18"/>
      <x:c r="H342" s="18" t="str">
        <x:v>pairing identity only</x:v>
      </x:c>
    </x:row>
    <x:row r="343" ht="22" customHeight="1">
      <x:c r="A343" s="22" t="n">
        <x:v>318</x:v>
      </x:c>
      <x:c r="B343" s="22" t="n">
        <x:f>MOD($B$6*(A343-1)+$B$7,$A$12)+1</x:f>
        <x:v>36</x:v>
      </x:c>
      <x:c r="C343" s="22" t="n">
        <x:f>MOD($B$6*(A343-1)+$B$7,$A$13)+1</x:f>
        <x:v>161</x:v>
      </x:c>
      <x:c r="D343" s="22" t="n">
        <x:f>MOD($B$6*(A343-1)+$B$7,$A$14)+1</x:f>
        <x:v>161</x:v>
      </x:c>
      <x:c r="E343" s="22" t="n">
        <x:f>MOD($B$6*(A343-1)+$B$7,$A$15)+1</x:f>
        <x:v>161</x:v>
      </x:c>
      <x:c r="F343" s="18"/>
      <x:c r="G343" s="18"/>
      <x:c r="H343" s="18" t="str">
        <x:v>pairing identity only</x:v>
      </x:c>
    </x:row>
    <x:row r="344" ht="22" customHeight="1">
      <x:c r="A344" s="22" t="n">
        <x:v>319</x:v>
      </x:c>
      <x:c r="B344" s="22" t="n">
        <x:f>MOD($B$6*(A344-1)+$B$7,$A$12)+1</x:f>
        <x:v>109</x:v>
      </x:c>
      <x:c r="C344" s="22" t="n">
        <x:f>MOD($B$6*(A344-1)+$B$7,$A$13)+1</x:f>
        <x:v>234</x:v>
      </x:c>
      <x:c r="D344" s="22" t="n">
        <x:f>MOD($B$6*(A344-1)+$B$7,$A$14)+1</x:f>
        <x:v>234</x:v>
      </x:c>
      <x:c r="E344" s="22" t="n">
        <x:f>MOD($B$6*(A344-1)+$B$7,$A$15)+1</x:f>
        <x:v>234</x:v>
      </x:c>
      <x:c r="F344" s="18"/>
      <x:c r="G344" s="18"/>
      <x:c r="H344" s="18" t="str">
        <x:v>pairing identity only</x:v>
      </x:c>
    </x:row>
    <x:row r="345" ht="22" customHeight="1">
      <x:c r="A345" s="22" t="n">
        <x:v>320</x:v>
      </x:c>
      <x:c r="B345" s="22" t="n">
        <x:f>MOD($B$6*(A345-1)+$B$7,$A$12)+1</x:f>
        <x:v>57</x:v>
      </x:c>
      <x:c r="C345" s="22" t="n">
        <x:f>MOD($B$6*(A345-1)+$B$7,$A$13)+1</x:f>
        <x:v>57</x:v>
      </x:c>
      <x:c r="D345" s="22" t="n">
        <x:f>MOD($B$6*(A345-1)+$B$7,$A$14)+1</x:f>
        <x:v>307</x:v>
      </x:c>
      <x:c r="E345" s="22" t="n">
        <x:f>MOD($B$6*(A345-1)+$B$7,$A$15)+1</x:f>
        <x:v>307</x:v>
      </x:c>
      <x:c r="F345" s="18"/>
      <x:c r="G345" s="18"/>
      <x:c r="H345" s="18" t="str">
        <x:v>pairing identity only</x:v>
      </x:c>
    </x:row>
    <x:row r="346" ht="22" customHeight="1">
      <x:c r="A346" s="22" t="n">
        <x:v>321</x:v>
      </x:c>
      <x:c r="B346" s="22" t="n">
        <x:f>MOD($B$6*(A346-1)+$B$7,$A$12)+1</x:f>
        <x:v>5</x:v>
      </x:c>
      <x:c r="C346" s="22" t="n">
        <x:f>MOD($B$6*(A346-1)+$B$7,$A$13)+1</x:f>
        <x:v>130</x:v>
      </x:c>
      <x:c r="D346" s="22" t="n">
        <x:f>MOD($B$6*(A346-1)+$B$7,$A$14)+1</x:f>
        <x:v>380</x:v>
      </x:c>
      <x:c r="E346" s="22" t="n">
        <x:f>MOD($B$6*(A346-1)+$B$7,$A$15)+1</x:f>
        <x:v>380</x:v>
      </x:c>
      <x:c r="F346" s="18"/>
      <x:c r="G346" s="18"/>
      <x:c r="H346" s="18" t="str">
        <x:v>pairing identity only</x:v>
      </x:c>
    </x:row>
    <x:row r="347" ht="22" customHeight="1">
      <x:c r="A347" s="22" t="n">
        <x:v>322</x:v>
      </x:c>
      <x:c r="B347" s="22" t="n">
        <x:f>MOD($B$6*(A347-1)+$B$7,$A$12)+1</x:f>
        <x:v>78</x:v>
      </x:c>
      <x:c r="C347" s="22" t="n">
        <x:f>MOD($B$6*(A347-1)+$B$7,$A$13)+1</x:f>
        <x:v>203</x:v>
      </x:c>
      <x:c r="D347" s="22" t="n">
        <x:f>MOD($B$6*(A347-1)+$B$7,$A$14)+1</x:f>
        <x:v>453</x:v>
      </x:c>
      <x:c r="E347" s="22" t="n">
        <x:f>MOD($B$6*(A347-1)+$B$7,$A$15)+1</x:f>
        <x:v>453</x:v>
      </x:c>
      <x:c r="F347" s="18"/>
      <x:c r="G347" s="18"/>
      <x:c r="H347" s="18" t="str">
        <x:v>pairing identity only</x:v>
      </x:c>
    </x:row>
    <x:row r="348" ht="22" customHeight="1">
      <x:c r="A348" s="22" t="n">
        <x:v>323</x:v>
      </x:c>
      <x:c r="B348" s="22" t="n">
        <x:f>MOD($B$6*(A348-1)+$B$7,$A$12)+1</x:f>
        <x:v>26</x:v>
      </x:c>
      <x:c r="C348" s="22" t="n">
        <x:f>MOD($B$6*(A348-1)+$B$7,$A$13)+1</x:f>
        <x:v>26</x:v>
      </x:c>
      <x:c r="D348" s="22" t="n">
        <x:f>MOD($B$6*(A348-1)+$B$7,$A$14)+1</x:f>
        <x:v>26</x:v>
      </x:c>
      <x:c r="E348" s="22" t="n">
        <x:f>MOD($B$6*(A348-1)+$B$7,$A$15)+1</x:f>
        <x:v>526</x:v>
      </x:c>
      <x:c r="F348" s="18"/>
      <x:c r="G348" s="18"/>
      <x:c r="H348" s="18" t="str">
        <x:v>pairing identity only</x:v>
      </x:c>
    </x:row>
    <x:row r="349" ht="22" customHeight="1">
      <x:c r="A349" s="22" t="n">
        <x:v>324</x:v>
      </x:c>
      <x:c r="B349" s="22" t="n">
        <x:f>MOD($B$6*(A349-1)+$B$7,$A$12)+1</x:f>
        <x:v>99</x:v>
      </x:c>
      <x:c r="C349" s="22" t="n">
        <x:f>MOD($B$6*(A349-1)+$B$7,$A$13)+1</x:f>
        <x:v>99</x:v>
      </x:c>
      <x:c r="D349" s="22" t="n">
        <x:f>MOD($B$6*(A349-1)+$B$7,$A$14)+1</x:f>
        <x:v>99</x:v>
      </x:c>
      <x:c r="E349" s="22" t="n">
        <x:f>MOD($B$6*(A349-1)+$B$7,$A$15)+1</x:f>
        <x:v>599</x:v>
      </x:c>
      <x:c r="F349" s="18"/>
      <x:c r="G349" s="18"/>
      <x:c r="H349" s="18" t="str">
        <x:v>pairing identity only</x:v>
      </x:c>
    </x:row>
    <x:row r="350" ht="22" customHeight="1">
      <x:c r="A350" s="22" t="n">
        <x:v>325</x:v>
      </x:c>
      <x:c r="B350" s="22" t="n">
        <x:f>MOD($B$6*(A350-1)+$B$7,$A$12)+1</x:f>
        <x:v>47</x:v>
      </x:c>
      <x:c r="C350" s="22" t="n">
        <x:f>MOD($B$6*(A350-1)+$B$7,$A$13)+1</x:f>
        <x:v>172</x:v>
      </x:c>
      <x:c r="D350" s="22" t="n">
        <x:f>MOD($B$6*(A350-1)+$B$7,$A$14)+1</x:f>
        <x:v>172</x:v>
      </x:c>
      <x:c r="E350" s="22" t="n">
        <x:f>MOD($B$6*(A350-1)+$B$7,$A$15)+1</x:f>
        <x:v>672</x:v>
      </x:c>
      <x:c r="F350" s="18"/>
      <x:c r="G350" s="18"/>
      <x:c r="H350" s="18" t="str">
        <x:v>pairing identity only</x:v>
      </x:c>
    </x:row>
    <x:row r="351" ht="22" customHeight="1">
      <x:c r="A351" s="22" t="n">
        <x:v>326</x:v>
      </x:c>
      <x:c r="B351" s="22" t="n">
        <x:f>MOD($B$6*(A351-1)+$B$7,$A$12)+1</x:f>
        <x:v>120</x:v>
      </x:c>
      <x:c r="C351" s="22" t="n">
        <x:f>MOD($B$6*(A351-1)+$B$7,$A$13)+1</x:f>
        <x:v>245</x:v>
      </x:c>
      <x:c r="D351" s="22" t="n">
        <x:f>MOD($B$6*(A351-1)+$B$7,$A$14)+1</x:f>
        <x:v>245</x:v>
      </x:c>
      <x:c r="E351" s="22" t="n">
        <x:f>MOD($B$6*(A351-1)+$B$7,$A$15)+1</x:f>
        <x:v>745</x:v>
      </x:c>
      <x:c r="F351" s="18"/>
      <x:c r="G351" s="18"/>
      <x:c r="H351" s="18" t="str">
        <x:v>pairing identity only</x:v>
      </x:c>
    </x:row>
    <x:row r="352" ht="22" customHeight="1">
      <x:c r="A352" s="22" t="n">
        <x:v>327</x:v>
      </x:c>
      <x:c r="B352" s="22" t="n">
        <x:f>MOD($B$6*(A352-1)+$B$7,$A$12)+1</x:f>
        <x:v>68</x:v>
      </x:c>
      <x:c r="C352" s="22" t="n">
        <x:f>MOD($B$6*(A352-1)+$B$7,$A$13)+1</x:f>
        <x:v>68</x:v>
      </x:c>
      <x:c r="D352" s="22" t="n">
        <x:f>MOD($B$6*(A352-1)+$B$7,$A$14)+1</x:f>
        <x:v>318</x:v>
      </x:c>
      <x:c r="E352" s="22" t="n">
        <x:f>MOD($B$6*(A352-1)+$B$7,$A$15)+1</x:f>
        <x:v>818</x:v>
      </x:c>
      <x:c r="F352" s="18"/>
      <x:c r="G352" s="18"/>
      <x:c r="H352" s="18" t="str">
        <x:v>pairing identity only</x:v>
      </x:c>
    </x:row>
    <x:row r="353" ht="22" customHeight="1">
      <x:c r="A353" s="22" t="n">
        <x:v>328</x:v>
      </x:c>
      <x:c r="B353" s="22" t="n">
        <x:f>MOD($B$6*(A353-1)+$B$7,$A$12)+1</x:f>
        <x:v>16</x:v>
      </x:c>
      <x:c r="C353" s="22" t="n">
        <x:f>MOD($B$6*(A353-1)+$B$7,$A$13)+1</x:f>
        <x:v>141</x:v>
      </x:c>
      <x:c r="D353" s="22" t="n">
        <x:f>MOD($B$6*(A353-1)+$B$7,$A$14)+1</x:f>
        <x:v>391</x:v>
      </x:c>
      <x:c r="E353" s="22" t="n">
        <x:f>MOD($B$6*(A353-1)+$B$7,$A$15)+1</x:f>
        <x:v>891</x:v>
      </x:c>
      <x:c r="F353" s="18"/>
      <x:c r="G353" s="18"/>
      <x:c r="H353" s="18" t="str">
        <x:v>pairing identity only</x:v>
      </x:c>
    </x:row>
    <x:row r="354" ht="22" customHeight="1">
      <x:c r="A354" s="22" t="n">
        <x:v>329</x:v>
      </x:c>
      <x:c r="B354" s="22" t="n">
        <x:f>MOD($B$6*(A354-1)+$B$7,$A$12)+1</x:f>
        <x:v>89</x:v>
      </x:c>
      <x:c r="C354" s="22" t="n">
        <x:f>MOD($B$6*(A354-1)+$B$7,$A$13)+1</x:f>
        <x:v>214</x:v>
      </x:c>
      <x:c r="D354" s="22" t="n">
        <x:f>MOD($B$6*(A354-1)+$B$7,$A$14)+1</x:f>
        <x:v>464</x:v>
      </x:c>
      <x:c r="E354" s="22" t="n">
        <x:f>MOD($B$6*(A354-1)+$B$7,$A$15)+1</x:f>
        <x:v>964</x:v>
      </x:c>
      <x:c r="F354" s="18"/>
      <x:c r="G354" s="18"/>
      <x:c r="H354" s="18" t="str">
        <x:v>pairing identity only</x:v>
      </x:c>
    </x:row>
    <x:row r="355" ht="22" customHeight="1">
      <x:c r="A355" s="22" t="n">
        <x:v>330</x:v>
      </x:c>
      <x:c r="B355" s="22" t="n">
        <x:f>MOD($B$6*(A355-1)+$B$7,$A$12)+1</x:f>
        <x:v>37</x:v>
      </x:c>
      <x:c r="C355" s="22" t="n">
        <x:f>MOD($B$6*(A355-1)+$B$7,$A$13)+1</x:f>
        <x:v>37</x:v>
      </x:c>
      <x:c r="D355" s="22" t="n">
        <x:f>MOD($B$6*(A355-1)+$B$7,$A$14)+1</x:f>
        <x:v>37</x:v>
      </x:c>
      <x:c r="E355" s="22" t="n">
        <x:f>MOD($B$6*(A355-1)+$B$7,$A$15)+1</x:f>
        <x:v>37</x:v>
      </x:c>
      <x:c r="F355" s="18"/>
      <x:c r="G355" s="18"/>
      <x:c r="H355" s="18" t="str">
        <x:v>pairing identity only</x:v>
      </x:c>
    </x:row>
    <x:row r="356" ht="22" customHeight="1">
      <x:c r="A356" s="22" t="n">
        <x:v>331</x:v>
      </x:c>
      <x:c r="B356" s="22" t="n">
        <x:f>MOD($B$6*(A356-1)+$B$7,$A$12)+1</x:f>
        <x:v>110</x:v>
      </x:c>
      <x:c r="C356" s="22" t="n">
        <x:f>MOD($B$6*(A356-1)+$B$7,$A$13)+1</x:f>
        <x:v>110</x:v>
      </x:c>
      <x:c r="D356" s="22" t="n">
        <x:f>MOD($B$6*(A356-1)+$B$7,$A$14)+1</x:f>
        <x:v>110</x:v>
      </x:c>
      <x:c r="E356" s="22" t="n">
        <x:f>MOD($B$6*(A356-1)+$B$7,$A$15)+1</x:f>
        <x:v>110</x:v>
      </x:c>
      <x:c r="F356" s="18"/>
      <x:c r="G356" s="18"/>
      <x:c r="H356" s="18" t="str">
        <x:v>pairing identity only</x:v>
      </x:c>
    </x:row>
    <x:row r="357" ht="22" customHeight="1">
      <x:c r="A357" s="22" t="n">
        <x:v>332</x:v>
      </x:c>
      <x:c r="B357" s="22" t="n">
        <x:f>MOD($B$6*(A357-1)+$B$7,$A$12)+1</x:f>
        <x:v>58</x:v>
      </x:c>
      <x:c r="C357" s="22" t="n">
        <x:f>MOD($B$6*(A357-1)+$B$7,$A$13)+1</x:f>
        <x:v>183</x:v>
      </x:c>
      <x:c r="D357" s="22" t="n">
        <x:f>MOD($B$6*(A357-1)+$B$7,$A$14)+1</x:f>
        <x:v>183</x:v>
      </x:c>
      <x:c r="E357" s="22" t="n">
        <x:f>MOD($B$6*(A357-1)+$B$7,$A$15)+1</x:f>
        <x:v>183</x:v>
      </x:c>
      <x:c r="F357" s="18"/>
      <x:c r="G357" s="18"/>
      <x:c r="H357" s="18" t="str">
        <x:v>pairing identity only</x:v>
      </x:c>
    </x:row>
    <x:row r="358" ht="22" customHeight="1">
      <x:c r="A358" s="22" t="n">
        <x:v>333</x:v>
      </x:c>
      <x:c r="B358" s="22" t="n">
        <x:f>MOD($B$6*(A358-1)+$B$7,$A$12)+1</x:f>
        <x:v>6</x:v>
      </x:c>
      <x:c r="C358" s="22" t="n">
        <x:f>MOD($B$6*(A358-1)+$B$7,$A$13)+1</x:f>
        <x:v>6</x:v>
      </x:c>
      <x:c r="D358" s="22" t="n">
        <x:f>MOD($B$6*(A358-1)+$B$7,$A$14)+1</x:f>
        <x:v>256</x:v>
      </x:c>
      <x:c r="E358" s="22" t="n">
        <x:f>MOD($B$6*(A358-1)+$B$7,$A$15)+1</x:f>
        <x:v>256</x:v>
      </x:c>
      <x:c r="F358" s="18"/>
      <x:c r="G358" s="18"/>
      <x:c r="H358" s="18" t="str">
        <x:v>pairing identity only</x:v>
      </x:c>
    </x:row>
    <x:row r="359" ht="22" customHeight="1">
      <x:c r="A359" s="22" t="n">
        <x:v>334</x:v>
      </x:c>
      <x:c r="B359" s="22" t="n">
        <x:f>MOD($B$6*(A359-1)+$B$7,$A$12)+1</x:f>
        <x:v>79</x:v>
      </x:c>
      <x:c r="C359" s="22" t="n">
        <x:f>MOD($B$6*(A359-1)+$B$7,$A$13)+1</x:f>
        <x:v>79</x:v>
      </x:c>
      <x:c r="D359" s="22" t="n">
        <x:f>MOD($B$6*(A359-1)+$B$7,$A$14)+1</x:f>
        <x:v>329</x:v>
      </x:c>
      <x:c r="E359" s="22" t="n">
        <x:f>MOD($B$6*(A359-1)+$B$7,$A$15)+1</x:f>
        <x:v>329</x:v>
      </x:c>
      <x:c r="F359" s="18"/>
      <x:c r="G359" s="18"/>
      <x:c r="H359" s="18" t="str">
        <x:v>pairing identity only</x:v>
      </x:c>
    </x:row>
    <x:row r="360" ht="22" customHeight="1">
      <x:c r="A360" s="22" t="n">
        <x:v>335</x:v>
      </x:c>
      <x:c r="B360" s="22" t="n">
        <x:f>MOD($B$6*(A360-1)+$B$7,$A$12)+1</x:f>
        <x:v>27</x:v>
      </x:c>
      <x:c r="C360" s="22" t="n">
        <x:f>MOD($B$6*(A360-1)+$B$7,$A$13)+1</x:f>
        <x:v>152</x:v>
      </x:c>
      <x:c r="D360" s="22" t="n">
        <x:f>MOD($B$6*(A360-1)+$B$7,$A$14)+1</x:f>
        <x:v>402</x:v>
      </x:c>
      <x:c r="E360" s="22" t="n">
        <x:f>MOD($B$6*(A360-1)+$B$7,$A$15)+1</x:f>
        <x:v>402</x:v>
      </x:c>
      <x:c r="F360" s="18"/>
      <x:c r="G360" s="18"/>
      <x:c r="H360" s="18" t="str">
        <x:v>pairing identity only</x:v>
      </x:c>
    </x:row>
    <x:row r="361" ht="22" customHeight="1">
      <x:c r="A361" s="22" t="n">
        <x:v>336</x:v>
      </x:c>
      <x:c r="B361" s="22" t="n">
        <x:f>MOD($B$6*(A361-1)+$B$7,$A$12)+1</x:f>
        <x:v>100</x:v>
      </x:c>
      <x:c r="C361" s="22" t="n">
        <x:f>MOD($B$6*(A361-1)+$B$7,$A$13)+1</x:f>
        <x:v>225</x:v>
      </x:c>
      <x:c r="D361" s="22" t="n">
        <x:f>MOD($B$6*(A361-1)+$B$7,$A$14)+1</x:f>
        <x:v>475</x:v>
      </x:c>
      <x:c r="E361" s="22" t="n">
        <x:f>MOD($B$6*(A361-1)+$B$7,$A$15)+1</x:f>
        <x:v>475</x:v>
      </x:c>
      <x:c r="F361" s="18"/>
      <x:c r="G361" s="18"/>
      <x:c r="H361" s="18" t="str">
        <x:v>pairing identity only</x:v>
      </x:c>
    </x:row>
    <x:row r="362" ht="22" customHeight="1">
      <x:c r="A362" s="22" t="n">
        <x:v>337</x:v>
      </x:c>
      <x:c r="B362" s="22" t="n">
        <x:f>MOD($B$6*(A362-1)+$B$7,$A$12)+1</x:f>
        <x:v>48</x:v>
      </x:c>
      <x:c r="C362" s="22" t="n">
        <x:f>MOD($B$6*(A362-1)+$B$7,$A$13)+1</x:f>
        <x:v>48</x:v>
      </x:c>
      <x:c r="D362" s="22" t="n">
        <x:f>MOD($B$6*(A362-1)+$B$7,$A$14)+1</x:f>
        <x:v>48</x:v>
      </x:c>
      <x:c r="E362" s="22" t="n">
        <x:f>MOD($B$6*(A362-1)+$B$7,$A$15)+1</x:f>
        <x:v>548</x:v>
      </x:c>
      <x:c r="F362" s="18"/>
      <x:c r="G362" s="18"/>
      <x:c r="H362" s="18" t="str">
        <x:v>pairing identity only</x:v>
      </x:c>
    </x:row>
    <x:row r="363" ht="22" customHeight="1">
      <x:c r="A363" s="22" t="n">
        <x:v>338</x:v>
      </x:c>
      <x:c r="B363" s="22" t="n">
        <x:f>MOD($B$6*(A363-1)+$B$7,$A$12)+1</x:f>
        <x:v>121</x:v>
      </x:c>
      <x:c r="C363" s="22" t="n">
        <x:f>MOD($B$6*(A363-1)+$B$7,$A$13)+1</x:f>
        <x:v>121</x:v>
      </x:c>
      <x:c r="D363" s="22" t="n">
        <x:f>MOD($B$6*(A363-1)+$B$7,$A$14)+1</x:f>
        <x:v>121</x:v>
      </x:c>
      <x:c r="E363" s="22" t="n">
        <x:f>MOD($B$6*(A363-1)+$B$7,$A$15)+1</x:f>
        <x:v>621</x:v>
      </x:c>
      <x:c r="F363" s="18"/>
      <x:c r="G363" s="18"/>
      <x:c r="H363" s="18" t="str">
        <x:v>pairing identity only</x:v>
      </x:c>
    </x:row>
    <x:row r="364" ht="22" customHeight="1">
      <x:c r="A364" s="22" t="n">
        <x:v>339</x:v>
      </x:c>
      <x:c r="B364" s="22" t="n">
        <x:f>MOD($B$6*(A364-1)+$B$7,$A$12)+1</x:f>
        <x:v>69</x:v>
      </x:c>
      <x:c r="C364" s="22" t="n">
        <x:f>MOD($B$6*(A364-1)+$B$7,$A$13)+1</x:f>
        <x:v>194</x:v>
      </x:c>
      <x:c r="D364" s="22" t="n">
        <x:f>MOD($B$6*(A364-1)+$B$7,$A$14)+1</x:f>
        <x:v>194</x:v>
      </x:c>
      <x:c r="E364" s="22" t="n">
        <x:f>MOD($B$6*(A364-1)+$B$7,$A$15)+1</x:f>
        <x:v>694</x:v>
      </x:c>
      <x:c r="F364" s="18"/>
      <x:c r="G364" s="18"/>
      <x:c r="H364" s="18" t="str">
        <x:v>pairing identity only</x:v>
      </x:c>
    </x:row>
    <x:row r="365" ht="22" customHeight="1">
      <x:c r="A365" s="22" t="n">
        <x:v>340</x:v>
      </x:c>
      <x:c r="B365" s="22" t="n">
        <x:f>MOD($B$6*(A365-1)+$B$7,$A$12)+1</x:f>
        <x:v>17</x:v>
      </x:c>
      <x:c r="C365" s="22" t="n">
        <x:f>MOD($B$6*(A365-1)+$B$7,$A$13)+1</x:f>
        <x:v>17</x:v>
      </x:c>
      <x:c r="D365" s="22" t="n">
        <x:f>MOD($B$6*(A365-1)+$B$7,$A$14)+1</x:f>
        <x:v>267</x:v>
      </x:c>
      <x:c r="E365" s="22" t="n">
        <x:f>MOD($B$6*(A365-1)+$B$7,$A$15)+1</x:f>
        <x:v>767</x:v>
      </x:c>
      <x:c r="F365" s="18"/>
      <x:c r="G365" s="18"/>
      <x:c r="H365" s="18" t="str">
        <x:v>pairing identity only</x:v>
      </x:c>
    </x:row>
    <x:row r="366" ht="22" customHeight="1">
      <x:c r="A366" s="22" t="n">
        <x:v>341</x:v>
      </x:c>
      <x:c r="B366" s="22" t="n">
        <x:f>MOD($B$6*(A366-1)+$B$7,$A$12)+1</x:f>
        <x:v>90</x:v>
      </x:c>
      <x:c r="C366" s="22" t="n">
        <x:f>MOD($B$6*(A366-1)+$B$7,$A$13)+1</x:f>
        <x:v>90</x:v>
      </x:c>
      <x:c r="D366" s="22" t="n">
        <x:f>MOD($B$6*(A366-1)+$B$7,$A$14)+1</x:f>
        <x:v>340</x:v>
      </x:c>
      <x:c r="E366" s="22" t="n">
        <x:f>MOD($B$6*(A366-1)+$B$7,$A$15)+1</x:f>
        <x:v>840</x:v>
      </x:c>
      <x:c r="F366" s="18"/>
      <x:c r="G366" s="18"/>
      <x:c r="H366" s="18" t="str">
        <x:v>pairing identity only</x:v>
      </x:c>
    </x:row>
    <x:row r="367" ht="22" customHeight="1">
      <x:c r="A367" s="22" t="n">
        <x:v>342</x:v>
      </x:c>
      <x:c r="B367" s="22" t="n">
        <x:f>MOD($B$6*(A367-1)+$B$7,$A$12)+1</x:f>
        <x:v>38</x:v>
      </x:c>
      <x:c r="C367" s="22" t="n">
        <x:f>MOD($B$6*(A367-1)+$B$7,$A$13)+1</x:f>
        <x:v>163</x:v>
      </x:c>
      <x:c r="D367" s="22" t="n">
        <x:f>MOD($B$6*(A367-1)+$B$7,$A$14)+1</x:f>
        <x:v>413</x:v>
      </x:c>
      <x:c r="E367" s="22" t="n">
        <x:f>MOD($B$6*(A367-1)+$B$7,$A$15)+1</x:f>
        <x:v>913</x:v>
      </x:c>
      <x:c r="F367" s="18"/>
      <x:c r="G367" s="18"/>
      <x:c r="H367" s="18" t="str">
        <x:v>pairing identity only</x:v>
      </x:c>
    </x:row>
    <x:row r="368" ht="22" customHeight="1">
      <x:c r="A368" s="22" t="n">
        <x:v>343</x:v>
      </x:c>
      <x:c r="B368" s="22" t="n">
        <x:f>MOD($B$6*(A368-1)+$B$7,$A$12)+1</x:f>
        <x:v>111</x:v>
      </x:c>
      <x:c r="C368" s="22" t="n">
        <x:f>MOD($B$6*(A368-1)+$B$7,$A$13)+1</x:f>
        <x:v>236</x:v>
      </x:c>
      <x:c r="D368" s="22" t="n">
        <x:f>MOD($B$6*(A368-1)+$B$7,$A$14)+1</x:f>
        <x:v>486</x:v>
      </x:c>
      <x:c r="E368" s="22" t="n">
        <x:f>MOD($B$6*(A368-1)+$B$7,$A$15)+1</x:f>
        <x:v>986</x:v>
      </x:c>
      <x:c r="F368" s="18"/>
      <x:c r="G368" s="18"/>
      <x:c r="H368" s="18" t="str">
        <x:v>pairing identity only</x:v>
      </x:c>
    </x:row>
    <x:row r="369" ht="22" customHeight="1">
      <x:c r="A369" s="22" t="n">
        <x:v>344</x:v>
      </x:c>
      <x:c r="B369" s="22" t="n">
        <x:f>MOD($B$6*(A369-1)+$B$7,$A$12)+1</x:f>
        <x:v>59</x:v>
      </x:c>
      <x:c r="C369" s="22" t="n">
        <x:f>MOD($B$6*(A369-1)+$B$7,$A$13)+1</x:f>
        <x:v>59</x:v>
      </x:c>
      <x:c r="D369" s="22" t="n">
        <x:f>MOD($B$6*(A369-1)+$B$7,$A$14)+1</x:f>
        <x:v>59</x:v>
      </x:c>
      <x:c r="E369" s="22" t="n">
        <x:f>MOD($B$6*(A369-1)+$B$7,$A$15)+1</x:f>
        <x:v>59</x:v>
      </x:c>
      <x:c r="F369" s="18"/>
      <x:c r="G369" s="18"/>
      <x:c r="H369" s="18" t="str">
        <x:v>pairing identity only</x:v>
      </x:c>
    </x:row>
    <x:row r="370" ht="22" customHeight="1">
      <x:c r="A370" s="22" t="n">
        <x:v>345</x:v>
      </x:c>
      <x:c r="B370" s="22" t="n">
        <x:f>MOD($B$6*(A370-1)+$B$7,$A$12)+1</x:f>
        <x:v>7</x:v>
      </x:c>
      <x:c r="C370" s="22" t="n">
        <x:f>MOD($B$6*(A370-1)+$B$7,$A$13)+1</x:f>
        <x:v>132</x:v>
      </x:c>
      <x:c r="D370" s="22" t="n">
        <x:f>MOD($B$6*(A370-1)+$B$7,$A$14)+1</x:f>
        <x:v>132</x:v>
      </x:c>
      <x:c r="E370" s="22" t="n">
        <x:f>MOD($B$6*(A370-1)+$B$7,$A$15)+1</x:f>
        <x:v>132</x:v>
      </x:c>
      <x:c r="F370" s="18"/>
      <x:c r="G370" s="18"/>
      <x:c r="H370" s="18" t="str">
        <x:v>pairing identity only</x:v>
      </x:c>
    </x:row>
    <x:row r="371" ht="22" customHeight="1">
      <x:c r="A371" s="22" t="n">
        <x:v>346</x:v>
      </x:c>
      <x:c r="B371" s="22" t="n">
        <x:f>MOD($B$6*(A371-1)+$B$7,$A$12)+1</x:f>
        <x:v>80</x:v>
      </x:c>
      <x:c r="C371" s="22" t="n">
        <x:f>MOD($B$6*(A371-1)+$B$7,$A$13)+1</x:f>
        <x:v>205</x:v>
      </x:c>
      <x:c r="D371" s="22" t="n">
        <x:f>MOD($B$6*(A371-1)+$B$7,$A$14)+1</x:f>
        <x:v>205</x:v>
      </x:c>
      <x:c r="E371" s="22" t="n">
        <x:f>MOD($B$6*(A371-1)+$B$7,$A$15)+1</x:f>
        <x:v>205</x:v>
      </x:c>
      <x:c r="F371" s="18"/>
      <x:c r="G371" s="18"/>
      <x:c r="H371" s="18" t="str">
        <x:v>pairing identity only</x:v>
      </x:c>
    </x:row>
    <x:row r="372" ht="22" customHeight="1">
      <x:c r="A372" s="22" t="n">
        <x:v>347</x:v>
      </x:c>
      <x:c r="B372" s="22" t="n">
        <x:f>MOD($B$6*(A372-1)+$B$7,$A$12)+1</x:f>
        <x:v>28</x:v>
      </x:c>
      <x:c r="C372" s="22" t="n">
        <x:f>MOD($B$6*(A372-1)+$B$7,$A$13)+1</x:f>
        <x:v>28</x:v>
      </x:c>
      <x:c r="D372" s="22" t="n">
        <x:f>MOD($B$6*(A372-1)+$B$7,$A$14)+1</x:f>
        <x:v>278</x:v>
      </x:c>
      <x:c r="E372" s="22" t="n">
        <x:f>MOD($B$6*(A372-1)+$B$7,$A$15)+1</x:f>
        <x:v>278</x:v>
      </x:c>
      <x:c r="F372" s="18"/>
      <x:c r="G372" s="18"/>
      <x:c r="H372" s="18" t="str">
        <x:v>pairing identity only</x:v>
      </x:c>
    </x:row>
    <x:row r="373" ht="22" customHeight="1">
      <x:c r="A373" s="22" t="n">
        <x:v>348</x:v>
      </x:c>
      <x:c r="B373" s="22" t="n">
        <x:f>MOD($B$6*(A373-1)+$B$7,$A$12)+1</x:f>
        <x:v>101</x:v>
      </x:c>
      <x:c r="C373" s="22" t="n">
        <x:f>MOD($B$6*(A373-1)+$B$7,$A$13)+1</x:f>
        <x:v>101</x:v>
      </x:c>
      <x:c r="D373" s="22" t="n">
        <x:f>MOD($B$6*(A373-1)+$B$7,$A$14)+1</x:f>
        <x:v>351</x:v>
      </x:c>
      <x:c r="E373" s="22" t="n">
        <x:f>MOD($B$6*(A373-1)+$B$7,$A$15)+1</x:f>
        <x:v>351</x:v>
      </x:c>
      <x:c r="F373" s="18"/>
      <x:c r="G373" s="18"/>
      <x:c r="H373" s="18" t="str">
        <x:v>pairing identity only</x:v>
      </x:c>
    </x:row>
    <x:row r="374" ht="22" customHeight="1">
      <x:c r="A374" s="22" t="n">
        <x:v>349</x:v>
      </x:c>
      <x:c r="B374" s="22" t="n">
        <x:f>MOD($B$6*(A374-1)+$B$7,$A$12)+1</x:f>
        <x:v>49</x:v>
      </x:c>
      <x:c r="C374" s="22" t="n">
        <x:f>MOD($B$6*(A374-1)+$B$7,$A$13)+1</x:f>
        <x:v>174</x:v>
      </x:c>
      <x:c r="D374" s="22" t="n">
        <x:f>MOD($B$6*(A374-1)+$B$7,$A$14)+1</x:f>
        <x:v>424</x:v>
      </x:c>
      <x:c r="E374" s="22" t="n">
        <x:f>MOD($B$6*(A374-1)+$B$7,$A$15)+1</x:f>
        <x:v>424</x:v>
      </x:c>
      <x:c r="F374" s="18"/>
      <x:c r="G374" s="18"/>
      <x:c r="H374" s="18" t="str">
        <x:v>pairing identity only</x:v>
      </x:c>
    </x:row>
    <x:row r="375" ht="22" customHeight="1">
      <x:c r="A375" s="22" t="n">
        <x:v>350</x:v>
      </x:c>
      <x:c r="B375" s="22" t="n">
        <x:f>MOD($B$6*(A375-1)+$B$7,$A$12)+1</x:f>
        <x:v>122</x:v>
      </x:c>
      <x:c r="C375" s="22" t="n">
        <x:f>MOD($B$6*(A375-1)+$B$7,$A$13)+1</x:f>
        <x:v>247</x:v>
      </x:c>
      <x:c r="D375" s="22" t="n">
        <x:f>MOD($B$6*(A375-1)+$B$7,$A$14)+1</x:f>
        <x:v>497</x:v>
      </x:c>
      <x:c r="E375" s="22" t="n">
        <x:f>MOD($B$6*(A375-1)+$B$7,$A$15)+1</x:f>
        <x:v>497</x:v>
      </x:c>
      <x:c r="F375" s="18"/>
      <x:c r="G375" s="18"/>
      <x:c r="H375" s="18" t="str">
        <x:v>pairing identity only</x:v>
      </x:c>
    </x:row>
    <x:row r="376" ht="22" customHeight="1">
      <x:c r="A376" s="22" t="n">
        <x:v>351</x:v>
      </x:c>
      <x:c r="B376" s="22" t="n">
        <x:f>MOD($B$6*(A376-1)+$B$7,$A$12)+1</x:f>
        <x:v>70</x:v>
      </x:c>
      <x:c r="C376" s="22" t="n">
        <x:f>MOD($B$6*(A376-1)+$B$7,$A$13)+1</x:f>
        <x:v>70</x:v>
      </x:c>
      <x:c r="D376" s="22" t="n">
        <x:f>MOD($B$6*(A376-1)+$B$7,$A$14)+1</x:f>
        <x:v>70</x:v>
      </x:c>
      <x:c r="E376" s="22" t="n">
        <x:f>MOD($B$6*(A376-1)+$B$7,$A$15)+1</x:f>
        <x:v>570</x:v>
      </x:c>
      <x:c r="F376" s="18"/>
      <x:c r="G376" s="18"/>
      <x:c r="H376" s="18" t="str">
        <x:v>pairing identity only</x:v>
      </x:c>
    </x:row>
    <x:row r="377" ht="22" customHeight="1">
      <x:c r="A377" s="22" t="n">
        <x:v>352</x:v>
      </x:c>
      <x:c r="B377" s="22" t="n">
        <x:f>MOD($B$6*(A377-1)+$B$7,$A$12)+1</x:f>
        <x:v>18</x:v>
      </x:c>
      <x:c r="C377" s="22" t="n">
        <x:f>MOD($B$6*(A377-1)+$B$7,$A$13)+1</x:f>
        <x:v>143</x:v>
      </x:c>
      <x:c r="D377" s="22" t="n">
        <x:f>MOD($B$6*(A377-1)+$B$7,$A$14)+1</x:f>
        <x:v>143</x:v>
      </x:c>
      <x:c r="E377" s="22" t="n">
        <x:f>MOD($B$6*(A377-1)+$B$7,$A$15)+1</x:f>
        <x:v>643</x:v>
      </x:c>
      <x:c r="F377" s="18"/>
      <x:c r="G377" s="18"/>
      <x:c r="H377" s="18" t="str">
        <x:v>pairing identity only</x:v>
      </x:c>
    </x:row>
    <x:row r="378" ht="22" customHeight="1">
      <x:c r="A378" s="22" t="n">
        <x:v>353</x:v>
      </x:c>
      <x:c r="B378" s="22" t="n">
        <x:f>MOD($B$6*(A378-1)+$B$7,$A$12)+1</x:f>
        <x:v>91</x:v>
      </x:c>
      <x:c r="C378" s="22" t="n">
        <x:f>MOD($B$6*(A378-1)+$B$7,$A$13)+1</x:f>
        <x:v>216</x:v>
      </x:c>
      <x:c r="D378" s="22" t="n">
        <x:f>MOD($B$6*(A378-1)+$B$7,$A$14)+1</x:f>
        <x:v>216</x:v>
      </x:c>
      <x:c r="E378" s="22" t="n">
        <x:f>MOD($B$6*(A378-1)+$B$7,$A$15)+1</x:f>
        <x:v>716</x:v>
      </x:c>
      <x:c r="F378" s="18"/>
      <x:c r="G378" s="18"/>
      <x:c r="H378" s="18" t="str">
        <x:v>pairing identity only</x:v>
      </x:c>
    </x:row>
    <x:row r="379" ht="22" customHeight="1">
      <x:c r="A379" s="22" t="n">
        <x:v>354</x:v>
      </x:c>
      <x:c r="B379" s="22" t="n">
        <x:f>MOD($B$6*(A379-1)+$B$7,$A$12)+1</x:f>
        <x:v>39</x:v>
      </x:c>
      <x:c r="C379" s="22" t="n">
        <x:f>MOD($B$6*(A379-1)+$B$7,$A$13)+1</x:f>
        <x:v>39</x:v>
      </x:c>
      <x:c r="D379" s="22" t="n">
        <x:f>MOD($B$6*(A379-1)+$B$7,$A$14)+1</x:f>
        <x:v>289</x:v>
      </x:c>
      <x:c r="E379" s="22" t="n">
        <x:f>MOD($B$6*(A379-1)+$B$7,$A$15)+1</x:f>
        <x:v>789</x:v>
      </x:c>
      <x:c r="F379" s="18"/>
      <x:c r="G379" s="18"/>
      <x:c r="H379" s="18" t="str">
        <x:v>pairing identity only</x:v>
      </x:c>
    </x:row>
    <x:row r="380" ht="22" customHeight="1">
      <x:c r="A380" s="22" t="n">
        <x:v>355</x:v>
      </x:c>
      <x:c r="B380" s="22" t="n">
        <x:f>MOD($B$6*(A380-1)+$B$7,$A$12)+1</x:f>
        <x:v>112</x:v>
      </x:c>
      <x:c r="C380" s="22" t="n">
        <x:f>MOD($B$6*(A380-1)+$B$7,$A$13)+1</x:f>
        <x:v>112</x:v>
      </x:c>
      <x:c r="D380" s="22" t="n">
        <x:f>MOD($B$6*(A380-1)+$B$7,$A$14)+1</x:f>
        <x:v>362</x:v>
      </x:c>
      <x:c r="E380" s="22" t="n">
        <x:f>MOD($B$6*(A380-1)+$B$7,$A$15)+1</x:f>
        <x:v>862</x:v>
      </x:c>
      <x:c r="F380" s="18"/>
      <x:c r="G380" s="18"/>
      <x:c r="H380" s="18" t="str">
        <x:v>pairing identity only</x:v>
      </x:c>
    </x:row>
    <x:row r="381" ht="22" customHeight="1">
      <x:c r="A381" s="22" t="n">
        <x:v>356</x:v>
      </x:c>
      <x:c r="B381" s="22" t="n">
        <x:f>MOD($B$6*(A381-1)+$B$7,$A$12)+1</x:f>
        <x:v>60</x:v>
      </x:c>
      <x:c r="C381" s="22" t="n">
        <x:f>MOD($B$6*(A381-1)+$B$7,$A$13)+1</x:f>
        <x:v>185</x:v>
      </x:c>
      <x:c r="D381" s="22" t="n">
        <x:f>MOD($B$6*(A381-1)+$B$7,$A$14)+1</x:f>
        <x:v>435</x:v>
      </x:c>
      <x:c r="E381" s="22" t="n">
        <x:f>MOD($B$6*(A381-1)+$B$7,$A$15)+1</x:f>
        <x:v>935</x:v>
      </x:c>
      <x:c r="F381" s="18"/>
      <x:c r="G381" s="18"/>
      <x:c r="H381" s="18" t="str">
        <x:v>pairing identity only</x:v>
      </x:c>
    </x:row>
    <x:row r="382" ht="22" customHeight="1">
      <x:c r="A382" s="22" t="n">
        <x:v>357</x:v>
      </x:c>
      <x:c r="B382" s="22" t="n">
        <x:f>MOD($B$6*(A382-1)+$B$7,$A$12)+1</x:f>
        <x:v>8</x:v>
      </x:c>
      <x:c r="C382" s="22" t="n">
        <x:f>MOD($B$6*(A382-1)+$B$7,$A$13)+1</x:f>
        <x:v>8</x:v>
      </x:c>
      <x:c r="D382" s="22" t="n">
        <x:f>MOD($B$6*(A382-1)+$B$7,$A$14)+1</x:f>
        <x:v>8</x:v>
      </x:c>
      <x:c r="E382" s="22" t="n">
        <x:f>MOD($B$6*(A382-1)+$B$7,$A$15)+1</x:f>
        <x:v>8</x:v>
      </x:c>
      <x:c r="F382" s="18"/>
      <x:c r="G382" s="18"/>
      <x:c r="H382" s="18" t="str">
        <x:v>pairing identity only</x:v>
      </x:c>
    </x:row>
    <x:row r="383" ht="22" customHeight="1">
      <x:c r="A383" s="22" t="n">
        <x:v>358</x:v>
      </x:c>
      <x:c r="B383" s="22" t="n">
        <x:f>MOD($B$6*(A383-1)+$B$7,$A$12)+1</x:f>
        <x:v>81</x:v>
      </x:c>
      <x:c r="C383" s="22" t="n">
        <x:f>MOD($B$6*(A383-1)+$B$7,$A$13)+1</x:f>
        <x:v>81</x:v>
      </x:c>
      <x:c r="D383" s="22" t="n">
        <x:f>MOD($B$6*(A383-1)+$B$7,$A$14)+1</x:f>
        <x:v>81</x:v>
      </x:c>
      <x:c r="E383" s="22" t="n">
        <x:f>MOD($B$6*(A383-1)+$B$7,$A$15)+1</x:f>
        <x:v>81</x:v>
      </x:c>
      <x:c r="F383" s="18"/>
      <x:c r="G383" s="18"/>
      <x:c r="H383" s="18" t="str">
        <x:v>pairing identity only</x:v>
      </x:c>
    </x:row>
    <x:row r="384" ht="22" customHeight="1">
      <x:c r="A384" s="22" t="n">
        <x:v>359</x:v>
      </x:c>
      <x:c r="B384" s="22" t="n">
        <x:f>MOD($B$6*(A384-1)+$B$7,$A$12)+1</x:f>
        <x:v>29</x:v>
      </x:c>
      <x:c r="C384" s="22" t="n">
        <x:f>MOD($B$6*(A384-1)+$B$7,$A$13)+1</x:f>
        <x:v>154</x:v>
      </x:c>
      <x:c r="D384" s="22" t="n">
        <x:f>MOD($B$6*(A384-1)+$B$7,$A$14)+1</x:f>
        <x:v>154</x:v>
      </x:c>
      <x:c r="E384" s="22" t="n">
        <x:f>MOD($B$6*(A384-1)+$B$7,$A$15)+1</x:f>
        <x:v>154</x:v>
      </x:c>
      <x:c r="F384" s="18"/>
      <x:c r="G384" s="18"/>
      <x:c r="H384" s="18" t="str">
        <x:v>pairing identity only</x:v>
      </x:c>
    </x:row>
    <x:row r="385" ht="22" customHeight="1">
      <x:c r="A385" s="22" t="n">
        <x:v>360</x:v>
      </x:c>
      <x:c r="B385" s="22" t="n">
        <x:f>MOD($B$6*(A385-1)+$B$7,$A$12)+1</x:f>
        <x:v>102</x:v>
      </x:c>
      <x:c r="C385" s="22" t="n">
        <x:f>MOD($B$6*(A385-1)+$B$7,$A$13)+1</x:f>
        <x:v>227</x:v>
      </x:c>
      <x:c r="D385" s="22" t="n">
        <x:f>MOD($B$6*(A385-1)+$B$7,$A$14)+1</x:f>
        <x:v>227</x:v>
      </x:c>
      <x:c r="E385" s="22" t="n">
        <x:f>MOD($B$6*(A385-1)+$B$7,$A$15)+1</x:f>
        <x:v>227</x:v>
      </x:c>
      <x:c r="F385" s="18"/>
      <x:c r="G385" s="18"/>
      <x:c r="H385" s="18" t="str">
        <x:v>pairing identity only</x:v>
      </x:c>
    </x:row>
    <x:row r="386" ht="22" customHeight="1">
      <x:c r="A386" s="22" t="n">
        <x:v>361</x:v>
      </x:c>
      <x:c r="B386" s="22" t="n">
        <x:f>MOD($B$6*(A386-1)+$B$7,$A$12)+1</x:f>
        <x:v>50</x:v>
      </x:c>
      <x:c r="C386" s="22" t="n">
        <x:f>MOD($B$6*(A386-1)+$B$7,$A$13)+1</x:f>
        <x:v>50</x:v>
      </x:c>
      <x:c r="D386" s="22" t="n">
        <x:f>MOD($B$6*(A386-1)+$B$7,$A$14)+1</x:f>
        <x:v>300</x:v>
      </x:c>
      <x:c r="E386" s="22" t="n">
        <x:f>MOD($B$6*(A386-1)+$B$7,$A$15)+1</x:f>
        <x:v>300</x:v>
      </x:c>
      <x:c r="F386" s="18"/>
      <x:c r="G386" s="18"/>
      <x:c r="H386" s="18" t="str">
        <x:v>pairing identity only</x:v>
      </x:c>
    </x:row>
    <x:row r="387" ht="22" customHeight="1">
      <x:c r="A387" s="22" t="n">
        <x:v>362</x:v>
      </x:c>
      <x:c r="B387" s="22" t="n">
        <x:f>MOD($B$6*(A387-1)+$B$7,$A$12)+1</x:f>
        <x:v>123</x:v>
      </x:c>
      <x:c r="C387" s="22" t="n">
        <x:f>MOD($B$6*(A387-1)+$B$7,$A$13)+1</x:f>
        <x:v>123</x:v>
      </x:c>
      <x:c r="D387" s="22" t="n">
        <x:f>MOD($B$6*(A387-1)+$B$7,$A$14)+1</x:f>
        <x:v>373</x:v>
      </x:c>
      <x:c r="E387" s="22" t="n">
        <x:f>MOD($B$6*(A387-1)+$B$7,$A$15)+1</x:f>
        <x:v>373</x:v>
      </x:c>
      <x:c r="F387" s="18"/>
      <x:c r="G387" s="18"/>
      <x:c r="H387" s="18" t="str">
        <x:v>pairing identity only</x:v>
      </x:c>
    </x:row>
    <x:row r="388" ht="22" customHeight="1">
      <x:c r="A388" s="22" t="n">
        <x:v>363</x:v>
      </x:c>
      <x:c r="B388" s="22" t="n">
        <x:f>MOD($B$6*(A388-1)+$B$7,$A$12)+1</x:f>
        <x:v>71</x:v>
      </x:c>
      <x:c r="C388" s="22" t="n">
        <x:f>MOD($B$6*(A388-1)+$B$7,$A$13)+1</x:f>
        <x:v>196</x:v>
      </x:c>
      <x:c r="D388" s="22" t="n">
        <x:f>MOD($B$6*(A388-1)+$B$7,$A$14)+1</x:f>
        <x:v>446</x:v>
      </x:c>
      <x:c r="E388" s="22" t="n">
        <x:f>MOD($B$6*(A388-1)+$B$7,$A$15)+1</x:f>
        <x:v>446</x:v>
      </x:c>
      <x:c r="F388" s="18"/>
      <x:c r="G388" s="18"/>
      <x:c r="H388" s="18" t="str">
        <x:v>pairing identity only</x:v>
      </x:c>
    </x:row>
    <x:row r="389" ht="22" customHeight="1">
      <x:c r="A389" s="22" t="n">
        <x:v>364</x:v>
      </x:c>
      <x:c r="B389" s="22" t="n">
        <x:f>MOD($B$6*(A389-1)+$B$7,$A$12)+1</x:f>
        <x:v>19</x:v>
      </x:c>
      <x:c r="C389" s="22" t="n">
        <x:f>MOD($B$6*(A389-1)+$B$7,$A$13)+1</x:f>
        <x:v>19</x:v>
      </x:c>
      <x:c r="D389" s="22" t="n">
        <x:f>MOD($B$6*(A389-1)+$B$7,$A$14)+1</x:f>
        <x:v>19</x:v>
      </x:c>
      <x:c r="E389" s="22" t="n">
        <x:f>MOD($B$6*(A389-1)+$B$7,$A$15)+1</x:f>
        <x:v>519</x:v>
      </x:c>
      <x:c r="F389" s="18"/>
      <x:c r="G389" s="18"/>
      <x:c r="H389" s="18" t="str">
        <x:v>pairing identity only</x:v>
      </x:c>
    </x:row>
    <x:row r="390" ht="22" customHeight="1">
      <x:c r="A390" s="22" t="n">
        <x:v>365</x:v>
      </x:c>
      <x:c r="B390" s="22" t="n">
        <x:f>MOD($B$6*(A390-1)+$B$7,$A$12)+1</x:f>
        <x:v>92</x:v>
      </x:c>
      <x:c r="C390" s="22" t="n">
        <x:f>MOD($B$6*(A390-1)+$B$7,$A$13)+1</x:f>
        <x:v>92</x:v>
      </x:c>
      <x:c r="D390" s="22" t="n">
        <x:f>MOD($B$6*(A390-1)+$B$7,$A$14)+1</x:f>
        <x:v>92</x:v>
      </x:c>
      <x:c r="E390" s="22" t="n">
        <x:f>MOD($B$6*(A390-1)+$B$7,$A$15)+1</x:f>
        <x:v>592</x:v>
      </x:c>
      <x:c r="F390" s="18"/>
      <x:c r="G390" s="18"/>
      <x:c r="H390" s="18" t="str">
        <x:v>pairing identity only</x:v>
      </x:c>
    </x:row>
    <x:row r="391" ht="22" customHeight="1">
      <x:c r="A391" s="22" t="n">
        <x:v>366</x:v>
      </x:c>
      <x:c r="B391" s="22" t="n">
        <x:f>MOD($B$6*(A391-1)+$B$7,$A$12)+1</x:f>
        <x:v>40</x:v>
      </x:c>
      <x:c r="C391" s="22" t="n">
        <x:f>MOD($B$6*(A391-1)+$B$7,$A$13)+1</x:f>
        <x:v>165</x:v>
      </x:c>
      <x:c r="D391" s="22" t="n">
        <x:f>MOD($B$6*(A391-1)+$B$7,$A$14)+1</x:f>
        <x:v>165</x:v>
      </x:c>
      <x:c r="E391" s="22" t="n">
        <x:f>MOD($B$6*(A391-1)+$B$7,$A$15)+1</x:f>
        <x:v>665</x:v>
      </x:c>
      <x:c r="F391" s="18"/>
      <x:c r="G391" s="18"/>
      <x:c r="H391" s="18" t="str">
        <x:v>pairing identity only</x:v>
      </x:c>
    </x:row>
    <x:row r="392" ht="22" customHeight="1">
      <x:c r="A392" s="22" t="n">
        <x:v>367</x:v>
      </x:c>
      <x:c r="B392" s="22" t="n">
        <x:f>MOD($B$6*(A392-1)+$B$7,$A$12)+1</x:f>
        <x:v>113</x:v>
      </x:c>
      <x:c r="C392" s="22" t="n">
        <x:f>MOD($B$6*(A392-1)+$B$7,$A$13)+1</x:f>
        <x:v>238</x:v>
      </x:c>
      <x:c r="D392" s="22" t="n">
        <x:f>MOD($B$6*(A392-1)+$B$7,$A$14)+1</x:f>
        <x:v>238</x:v>
      </x:c>
      <x:c r="E392" s="22" t="n">
        <x:f>MOD($B$6*(A392-1)+$B$7,$A$15)+1</x:f>
        <x:v>738</x:v>
      </x:c>
      <x:c r="F392" s="18"/>
      <x:c r="G392" s="18"/>
      <x:c r="H392" s="18" t="str">
        <x:v>pairing identity only</x:v>
      </x:c>
    </x:row>
    <x:row r="393" ht="22" customHeight="1">
      <x:c r="A393" s="22" t="n">
        <x:v>368</x:v>
      </x:c>
      <x:c r="B393" s="22" t="n">
        <x:f>MOD($B$6*(A393-1)+$B$7,$A$12)+1</x:f>
        <x:v>61</x:v>
      </x:c>
      <x:c r="C393" s="22" t="n">
        <x:f>MOD($B$6*(A393-1)+$B$7,$A$13)+1</x:f>
        <x:v>61</x:v>
      </x:c>
      <x:c r="D393" s="22" t="n">
        <x:f>MOD($B$6*(A393-1)+$B$7,$A$14)+1</x:f>
        <x:v>311</x:v>
      </x:c>
      <x:c r="E393" s="22" t="n">
        <x:f>MOD($B$6*(A393-1)+$B$7,$A$15)+1</x:f>
        <x:v>811</x:v>
      </x:c>
      <x:c r="F393" s="18"/>
      <x:c r="G393" s="18"/>
      <x:c r="H393" s="18" t="str">
        <x:v>pairing identity only</x:v>
      </x:c>
    </x:row>
    <x:row r="394" ht="22" customHeight="1">
      <x:c r="A394" s="22" t="n">
        <x:v>369</x:v>
      </x:c>
      <x:c r="B394" s="22" t="n">
        <x:f>MOD($B$6*(A394-1)+$B$7,$A$12)+1</x:f>
        <x:v>9</x:v>
      </x:c>
      <x:c r="C394" s="22" t="n">
        <x:f>MOD($B$6*(A394-1)+$B$7,$A$13)+1</x:f>
        <x:v>134</x:v>
      </x:c>
      <x:c r="D394" s="22" t="n">
        <x:f>MOD($B$6*(A394-1)+$B$7,$A$14)+1</x:f>
        <x:v>384</x:v>
      </x:c>
      <x:c r="E394" s="22" t="n">
        <x:f>MOD($B$6*(A394-1)+$B$7,$A$15)+1</x:f>
        <x:v>884</x:v>
      </x:c>
      <x:c r="F394" s="18"/>
      <x:c r="G394" s="18"/>
      <x:c r="H394" s="18" t="str">
        <x:v>pairing identity only</x:v>
      </x:c>
    </x:row>
    <x:row r="395" ht="22" customHeight="1">
      <x:c r="A395" s="22" t="n">
        <x:v>370</x:v>
      </x:c>
      <x:c r="B395" s="22" t="n">
        <x:f>MOD($B$6*(A395-1)+$B$7,$A$12)+1</x:f>
        <x:v>82</x:v>
      </x:c>
      <x:c r="C395" s="22" t="n">
        <x:f>MOD($B$6*(A395-1)+$B$7,$A$13)+1</x:f>
        <x:v>207</x:v>
      </x:c>
      <x:c r="D395" s="22" t="n">
        <x:f>MOD($B$6*(A395-1)+$B$7,$A$14)+1</x:f>
        <x:v>457</x:v>
      </x:c>
      <x:c r="E395" s="22" t="n">
        <x:f>MOD($B$6*(A395-1)+$B$7,$A$15)+1</x:f>
        <x:v>957</x:v>
      </x:c>
      <x:c r="F395" s="18"/>
      <x:c r="G395" s="18"/>
      <x:c r="H395" s="18" t="str">
        <x:v>pairing identity only</x:v>
      </x:c>
    </x:row>
    <x:row r="396" ht="22" customHeight="1">
      <x:c r="A396" s="22" t="n">
        <x:v>371</x:v>
      </x:c>
      <x:c r="B396" s="22" t="n">
        <x:f>MOD($B$6*(A396-1)+$B$7,$A$12)+1</x:f>
        <x:v>30</x:v>
      </x:c>
      <x:c r="C396" s="22" t="n">
        <x:f>MOD($B$6*(A396-1)+$B$7,$A$13)+1</x:f>
        <x:v>30</x:v>
      </x:c>
      <x:c r="D396" s="22" t="n">
        <x:f>MOD($B$6*(A396-1)+$B$7,$A$14)+1</x:f>
        <x:v>30</x:v>
      </x:c>
      <x:c r="E396" s="22" t="n">
        <x:f>MOD($B$6*(A396-1)+$B$7,$A$15)+1</x:f>
        <x:v>30</x:v>
      </x:c>
      <x:c r="F396" s="18"/>
      <x:c r="G396" s="18"/>
      <x:c r="H396" s="18" t="str">
        <x:v>pairing identity only</x:v>
      </x:c>
    </x:row>
    <x:row r="397" ht="22" customHeight="1">
      <x:c r="A397" s="22" t="n">
        <x:v>372</x:v>
      </x:c>
      <x:c r="B397" s="22" t="n">
        <x:f>MOD($B$6*(A397-1)+$B$7,$A$12)+1</x:f>
        <x:v>103</x:v>
      </x:c>
      <x:c r="C397" s="22" t="n">
        <x:f>MOD($B$6*(A397-1)+$B$7,$A$13)+1</x:f>
        <x:v>103</x:v>
      </x:c>
      <x:c r="D397" s="22" t="n">
        <x:f>MOD($B$6*(A397-1)+$B$7,$A$14)+1</x:f>
        <x:v>103</x:v>
      </x:c>
      <x:c r="E397" s="22" t="n">
        <x:f>MOD($B$6*(A397-1)+$B$7,$A$15)+1</x:f>
        <x:v>103</x:v>
      </x:c>
      <x:c r="F397" s="18"/>
      <x:c r="G397" s="18"/>
      <x:c r="H397" s="18" t="str">
        <x:v>pairing identity only</x:v>
      </x:c>
    </x:row>
    <x:row r="398" ht="22" customHeight="1">
      <x:c r="A398" s="22" t="n">
        <x:v>373</x:v>
      </x:c>
      <x:c r="B398" s="22" t="n">
        <x:f>MOD($B$6*(A398-1)+$B$7,$A$12)+1</x:f>
        <x:v>51</x:v>
      </x:c>
      <x:c r="C398" s="22" t="n">
        <x:f>MOD($B$6*(A398-1)+$B$7,$A$13)+1</x:f>
        <x:v>176</x:v>
      </x:c>
      <x:c r="D398" s="22" t="n">
        <x:f>MOD($B$6*(A398-1)+$B$7,$A$14)+1</x:f>
        <x:v>176</x:v>
      </x:c>
      <x:c r="E398" s="22" t="n">
        <x:f>MOD($B$6*(A398-1)+$B$7,$A$15)+1</x:f>
        <x:v>176</x:v>
      </x:c>
      <x:c r="F398" s="18"/>
      <x:c r="G398" s="18"/>
      <x:c r="H398" s="18" t="str">
        <x:v>pairing identity only</x:v>
      </x:c>
    </x:row>
    <x:row r="399" ht="22" customHeight="1">
      <x:c r="A399" s="22" t="n">
        <x:v>374</x:v>
      </x:c>
      <x:c r="B399" s="22" t="n">
        <x:f>MOD($B$6*(A399-1)+$B$7,$A$12)+1</x:f>
        <x:v>124</x:v>
      </x:c>
      <x:c r="C399" s="22" t="n">
        <x:f>MOD($B$6*(A399-1)+$B$7,$A$13)+1</x:f>
        <x:v>249</x:v>
      </x:c>
      <x:c r="D399" s="22" t="n">
        <x:f>MOD($B$6*(A399-1)+$B$7,$A$14)+1</x:f>
        <x:v>249</x:v>
      </x:c>
      <x:c r="E399" s="22" t="n">
        <x:f>MOD($B$6*(A399-1)+$B$7,$A$15)+1</x:f>
        <x:v>249</x:v>
      </x:c>
      <x:c r="F399" s="18"/>
      <x:c r="G399" s="18"/>
      <x:c r="H399" s="18" t="str">
        <x:v>pairing identity only</x:v>
      </x:c>
    </x:row>
    <x:row r="400" ht="22" customHeight="1">
      <x:c r="A400" s="22" t="n">
        <x:v>375</x:v>
      </x:c>
      <x:c r="B400" s="22" t="n">
        <x:f>MOD($B$6*(A400-1)+$B$7,$A$12)+1</x:f>
        <x:v>72</x:v>
      </x:c>
      <x:c r="C400" s="22" t="n">
        <x:f>MOD($B$6*(A400-1)+$B$7,$A$13)+1</x:f>
        <x:v>72</x:v>
      </x:c>
      <x:c r="D400" s="22" t="n">
        <x:f>MOD($B$6*(A400-1)+$B$7,$A$14)+1</x:f>
        <x:v>322</x:v>
      </x:c>
      <x:c r="E400" s="22" t="n">
        <x:f>MOD($B$6*(A400-1)+$B$7,$A$15)+1</x:f>
        <x:v>322</x:v>
      </x:c>
      <x:c r="F400" s="18"/>
      <x:c r="G400" s="18"/>
      <x:c r="H400" s="18" t="str">
        <x:v>pairing identity only</x:v>
      </x:c>
    </x:row>
    <x:row r="401" ht="22" customHeight="1">
      <x:c r="A401" s="22" t="n">
        <x:v>376</x:v>
      </x:c>
      <x:c r="B401" s="22" t="n">
        <x:f>MOD($B$6*(A401-1)+$B$7,$A$12)+1</x:f>
        <x:v>20</x:v>
      </x:c>
      <x:c r="C401" s="22" t="n">
        <x:f>MOD($B$6*(A401-1)+$B$7,$A$13)+1</x:f>
        <x:v>145</x:v>
      </x:c>
      <x:c r="D401" s="22" t="n">
        <x:f>MOD($B$6*(A401-1)+$B$7,$A$14)+1</x:f>
        <x:v>395</x:v>
      </x:c>
      <x:c r="E401" s="22" t="n">
        <x:f>MOD($B$6*(A401-1)+$B$7,$A$15)+1</x:f>
        <x:v>395</x:v>
      </x:c>
      <x:c r="F401" s="18"/>
      <x:c r="G401" s="18"/>
      <x:c r="H401" s="18" t="str">
        <x:v>pairing identity only</x:v>
      </x:c>
    </x:row>
    <x:row r="402" ht="22" customHeight="1">
      <x:c r="A402" s="22" t="n">
        <x:v>377</x:v>
      </x:c>
      <x:c r="B402" s="22" t="n">
        <x:f>MOD($B$6*(A402-1)+$B$7,$A$12)+1</x:f>
        <x:v>93</x:v>
      </x:c>
      <x:c r="C402" s="22" t="n">
        <x:f>MOD($B$6*(A402-1)+$B$7,$A$13)+1</x:f>
        <x:v>218</x:v>
      </x:c>
      <x:c r="D402" s="22" t="n">
        <x:f>MOD($B$6*(A402-1)+$B$7,$A$14)+1</x:f>
        <x:v>468</x:v>
      </x:c>
      <x:c r="E402" s="22" t="n">
        <x:f>MOD($B$6*(A402-1)+$B$7,$A$15)+1</x:f>
        <x:v>468</x:v>
      </x:c>
      <x:c r="F402" s="18"/>
      <x:c r="G402" s="18"/>
      <x:c r="H402" s="18" t="str">
        <x:v>pairing identity only</x:v>
      </x:c>
    </x:row>
    <x:row r="403" ht="22" customHeight="1">
      <x:c r="A403" s="22" t="n">
        <x:v>378</x:v>
      </x:c>
      <x:c r="B403" s="22" t="n">
        <x:f>MOD($B$6*(A403-1)+$B$7,$A$12)+1</x:f>
        <x:v>41</x:v>
      </x:c>
      <x:c r="C403" s="22" t="n">
        <x:f>MOD($B$6*(A403-1)+$B$7,$A$13)+1</x:f>
        <x:v>41</x:v>
      </x:c>
      <x:c r="D403" s="22" t="n">
        <x:f>MOD($B$6*(A403-1)+$B$7,$A$14)+1</x:f>
        <x:v>41</x:v>
      </x:c>
      <x:c r="E403" s="22" t="n">
        <x:f>MOD($B$6*(A403-1)+$B$7,$A$15)+1</x:f>
        <x:v>541</x:v>
      </x:c>
      <x:c r="F403" s="18"/>
      <x:c r="G403" s="18"/>
      <x:c r="H403" s="18" t="str">
        <x:v>pairing identity only</x:v>
      </x:c>
    </x:row>
    <x:row r="404" ht="22" customHeight="1">
      <x:c r="A404" s="22" t="n">
        <x:v>379</x:v>
      </x:c>
      <x:c r="B404" s="22" t="n">
        <x:f>MOD($B$6*(A404-1)+$B$7,$A$12)+1</x:f>
        <x:v>114</x:v>
      </x:c>
      <x:c r="C404" s="22" t="n">
        <x:f>MOD($B$6*(A404-1)+$B$7,$A$13)+1</x:f>
        <x:v>114</x:v>
      </x:c>
      <x:c r="D404" s="22" t="n">
        <x:f>MOD($B$6*(A404-1)+$B$7,$A$14)+1</x:f>
        <x:v>114</x:v>
      </x:c>
      <x:c r="E404" s="22" t="n">
        <x:f>MOD($B$6*(A404-1)+$B$7,$A$15)+1</x:f>
        <x:v>614</x:v>
      </x:c>
      <x:c r="F404" s="18"/>
      <x:c r="G404" s="18"/>
      <x:c r="H404" s="18" t="str">
        <x:v>pairing identity only</x:v>
      </x:c>
    </x:row>
    <x:row r="405" ht="22" customHeight="1">
      <x:c r="A405" s="22" t="n">
        <x:v>380</x:v>
      </x:c>
      <x:c r="B405" s="22" t="n">
        <x:f>MOD($B$6*(A405-1)+$B$7,$A$12)+1</x:f>
        <x:v>62</x:v>
      </x:c>
      <x:c r="C405" s="22" t="n">
        <x:f>MOD($B$6*(A405-1)+$B$7,$A$13)+1</x:f>
        <x:v>187</x:v>
      </x:c>
      <x:c r="D405" s="22" t="n">
        <x:f>MOD($B$6*(A405-1)+$B$7,$A$14)+1</x:f>
        <x:v>187</x:v>
      </x:c>
      <x:c r="E405" s="22" t="n">
        <x:f>MOD($B$6*(A405-1)+$B$7,$A$15)+1</x:f>
        <x:v>687</x:v>
      </x:c>
      <x:c r="F405" s="18"/>
      <x:c r="G405" s="18"/>
      <x:c r="H405" s="18" t="str">
        <x:v>pairing identity only</x:v>
      </x:c>
    </x:row>
    <x:row r="406" ht="22" customHeight="1">
      <x:c r="A406" s="22" t="n">
        <x:v>381</x:v>
      </x:c>
      <x:c r="B406" s="22" t="n">
        <x:f>MOD($B$6*(A406-1)+$B$7,$A$12)+1</x:f>
        <x:v>10</x:v>
      </x:c>
      <x:c r="C406" s="22" t="n">
        <x:f>MOD($B$6*(A406-1)+$B$7,$A$13)+1</x:f>
        <x:v>10</x:v>
      </x:c>
      <x:c r="D406" s="22" t="n">
        <x:f>MOD($B$6*(A406-1)+$B$7,$A$14)+1</x:f>
        <x:v>260</x:v>
      </x:c>
      <x:c r="E406" s="22" t="n">
        <x:f>MOD($B$6*(A406-1)+$B$7,$A$15)+1</x:f>
        <x:v>760</x:v>
      </x:c>
      <x:c r="F406" s="18"/>
      <x:c r="G406" s="18"/>
      <x:c r="H406" s="18" t="str">
        <x:v>pairing identity only</x:v>
      </x:c>
    </x:row>
    <x:row r="407" ht="22" customHeight="1">
      <x:c r="A407" s="22" t="n">
        <x:v>382</x:v>
      </x:c>
      <x:c r="B407" s="22" t="n">
        <x:f>MOD($B$6*(A407-1)+$B$7,$A$12)+1</x:f>
        <x:v>83</x:v>
      </x:c>
      <x:c r="C407" s="22" t="n">
        <x:f>MOD($B$6*(A407-1)+$B$7,$A$13)+1</x:f>
        <x:v>83</x:v>
      </x:c>
      <x:c r="D407" s="22" t="n">
        <x:f>MOD($B$6*(A407-1)+$B$7,$A$14)+1</x:f>
        <x:v>333</x:v>
      </x:c>
      <x:c r="E407" s="22" t="n">
        <x:f>MOD($B$6*(A407-1)+$B$7,$A$15)+1</x:f>
        <x:v>833</x:v>
      </x:c>
      <x:c r="F407" s="18"/>
      <x:c r="G407" s="18"/>
      <x:c r="H407" s="18" t="str">
        <x:v>pairing identity only</x:v>
      </x:c>
    </x:row>
    <x:row r="408" ht="22" customHeight="1">
      <x:c r="A408" s="22" t="n">
        <x:v>383</x:v>
      </x:c>
      <x:c r="B408" s="22" t="n">
        <x:f>MOD($B$6*(A408-1)+$B$7,$A$12)+1</x:f>
        <x:v>31</x:v>
      </x:c>
      <x:c r="C408" s="22" t="n">
        <x:f>MOD($B$6*(A408-1)+$B$7,$A$13)+1</x:f>
        <x:v>156</x:v>
      </x:c>
      <x:c r="D408" s="22" t="n">
        <x:f>MOD($B$6*(A408-1)+$B$7,$A$14)+1</x:f>
        <x:v>406</x:v>
      </x:c>
      <x:c r="E408" s="22" t="n">
        <x:f>MOD($B$6*(A408-1)+$B$7,$A$15)+1</x:f>
        <x:v>906</x:v>
      </x:c>
      <x:c r="F408" s="18"/>
      <x:c r="G408" s="18"/>
      <x:c r="H408" s="18" t="str">
        <x:v>pairing identity only</x:v>
      </x:c>
    </x:row>
    <x:row r="409" ht="22" customHeight="1">
      <x:c r="A409" s="22" t="n">
        <x:v>384</x:v>
      </x:c>
      <x:c r="B409" s="22" t="n">
        <x:f>MOD($B$6*(A409-1)+$B$7,$A$12)+1</x:f>
        <x:v>104</x:v>
      </x:c>
      <x:c r="C409" s="22" t="n">
        <x:f>MOD($B$6*(A409-1)+$B$7,$A$13)+1</x:f>
        <x:v>229</x:v>
      </x:c>
      <x:c r="D409" s="22" t="n">
        <x:f>MOD($B$6*(A409-1)+$B$7,$A$14)+1</x:f>
        <x:v>479</x:v>
      </x:c>
      <x:c r="E409" s="22" t="n">
        <x:f>MOD($B$6*(A409-1)+$B$7,$A$15)+1</x:f>
        <x:v>979</x:v>
      </x:c>
      <x:c r="F409" s="18"/>
      <x:c r="G409" s="18"/>
      <x:c r="H409" s="18" t="str">
        <x:v>pairing identity only</x:v>
      </x:c>
    </x:row>
    <x:row r="410" ht="22" customHeight="1">
      <x:c r="A410" s="22" t="n">
        <x:v>385</x:v>
      </x:c>
      <x:c r="B410" s="22" t="n">
        <x:f>MOD($B$6*(A410-1)+$B$7,$A$12)+1</x:f>
        <x:v>52</x:v>
      </x:c>
      <x:c r="C410" s="22" t="n">
        <x:f>MOD($B$6*(A410-1)+$B$7,$A$13)+1</x:f>
        <x:v>52</x:v>
      </x:c>
      <x:c r="D410" s="22" t="n">
        <x:f>MOD($B$6*(A410-1)+$B$7,$A$14)+1</x:f>
        <x:v>52</x:v>
      </x:c>
      <x:c r="E410" s="22" t="n">
        <x:f>MOD($B$6*(A410-1)+$B$7,$A$15)+1</x:f>
        <x:v>52</x:v>
      </x:c>
      <x:c r="F410" s="18"/>
      <x:c r="G410" s="18"/>
      <x:c r="H410" s="18" t="str">
        <x:v>pairing identity only</x:v>
      </x:c>
    </x:row>
    <x:row r="411" ht="22" customHeight="1">
      <x:c r="A411" s="22" t="n">
        <x:v>386</x:v>
      </x:c>
      <x:c r="B411" s="22" t="n">
        <x:f>MOD($B$6*(A411-1)+$B$7,$A$12)+1</x:f>
        <x:v>125</x:v>
      </x:c>
      <x:c r="C411" s="22" t="n">
        <x:f>MOD($B$6*(A411-1)+$B$7,$A$13)+1</x:f>
        <x:v>125</x:v>
      </x:c>
      <x:c r="D411" s="22" t="n">
        <x:f>MOD($B$6*(A411-1)+$B$7,$A$14)+1</x:f>
        <x:v>125</x:v>
      </x:c>
      <x:c r="E411" s="22" t="n">
        <x:f>MOD($B$6*(A411-1)+$B$7,$A$15)+1</x:f>
        <x:v>125</x:v>
      </x:c>
      <x:c r="F411" s="18"/>
      <x:c r="G411" s="18"/>
      <x:c r="H411" s="18" t="str">
        <x:v>pairing identity only</x:v>
      </x:c>
    </x:row>
    <x:row r="412" ht="22" customHeight="1">
      <x:c r="A412" s="22" t="n">
        <x:v>387</x:v>
      </x:c>
      <x:c r="B412" s="22" t="n">
        <x:f>MOD($B$6*(A412-1)+$B$7,$A$12)+1</x:f>
        <x:v>73</x:v>
      </x:c>
      <x:c r="C412" s="22" t="n">
        <x:f>MOD($B$6*(A412-1)+$B$7,$A$13)+1</x:f>
        <x:v>198</x:v>
      </x:c>
      <x:c r="D412" s="22" t="n">
        <x:f>MOD($B$6*(A412-1)+$B$7,$A$14)+1</x:f>
        <x:v>198</x:v>
      </x:c>
      <x:c r="E412" s="22" t="n">
        <x:f>MOD($B$6*(A412-1)+$B$7,$A$15)+1</x:f>
        <x:v>198</x:v>
      </x:c>
      <x:c r="F412" s="18"/>
      <x:c r="G412" s="18"/>
      <x:c r="H412" s="18" t="str">
        <x:v>pairing identity only</x:v>
      </x:c>
    </x:row>
    <x:row r="413" ht="22" customHeight="1">
      <x:c r="A413" s="22" t="n">
        <x:v>388</x:v>
      </x:c>
      <x:c r="B413" s="22" t="n">
        <x:f>MOD($B$6*(A413-1)+$B$7,$A$12)+1</x:f>
        <x:v>21</x:v>
      </x:c>
      <x:c r="C413" s="22" t="n">
        <x:f>MOD($B$6*(A413-1)+$B$7,$A$13)+1</x:f>
        <x:v>21</x:v>
      </x:c>
      <x:c r="D413" s="22" t="n">
        <x:f>MOD($B$6*(A413-1)+$B$7,$A$14)+1</x:f>
        <x:v>271</x:v>
      </x:c>
      <x:c r="E413" s="22" t="n">
        <x:f>MOD($B$6*(A413-1)+$B$7,$A$15)+1</x:f>
        <x:v>271</x:v>
      </x:c>
      <x:c r="F413" s="18"/>
      <x:c r="G413" s="18"/>
      <x:c r="H413" s="18" t="str">
        <x:v>pairing identity only</x:v>
      </x:c>
    </x:row>
    <x:row r="414" ht="22" customHeight="1">
      <x:c r="A414" s="22" t="n">
        <x:v>389</x:v>
      </x:c>
      <x:c r="B414" s="22" t="n">
        <x:f>MOD($B$6*(A414-1)+$B$7,$A$12)+1</x:f>
        <x:v>94</x:v>
      </x:c>
      <x:c r="C414" s="22" t="n">
        <x:f>MOD($B$6*(A414-1)+$B$7,$A$13)+1</x:f>
        <x:v>94</x:v>
      </x:c>
      <x:c r="D414" s="22" t="n">
        <x:f>MOD($B$6*(A414-1)+$B$7,$A$14)+1</x:f>
        <x:v>344</x:v>
      </x:c>
      <x:c r="E414" s="22" t="n">
        <x:f>MOD($B$6*(A414-1)+$B$7,$A$15)+1</x:f>
        <x:v>344</x:v>
      </x:c>
      <x:c r="F414" s="18"/>
      <x:c r="G414" s="18"/>
      <x:c r="H414" s="18" t="str">
        <x:v>pairing identity only</x:v>
      </x:c>
    </x:row>
    <x:row r="415" ht="22" customHeight="1">
      <x:c r="A415" s="22" t="n">
        <x:v>390</x:v>
      </x:c>
      <x:c r="B415" s="22" t="n">
        <x:f>MOD($B$6*(A415-1)+$B$7,$A$12)+1</x:f>
        <x:v>42</x:v>
      </x:c>
      <x:c r="C415" s="22" t="n">
        <x:f>MOD($B$6*(A415-1)+$B$7,$A$13)+1</x:f>
        <x:v>167</x:v>
      </x:c>
      <x:c r="D415" s="22" t="n">
        <x:f>MOD($B$6*(A415-1)+$B$7,$A$14)+1</x:f>
        <x:v>417</x:v>
      </x:c>
      <x:c r="E415" s="22" t="n">
        <x:f>MOD($B$6*(A415-1)+$B$7,$A$15)+1</x:f>
        <x:v>417</x:v>
      </x:c>
      <x:c r="F415" s="18"/>
      <x:c r="G415" s="18"/>
      <x:c r="H415" s="18" t="str">
        <x:v>pairing identity only</x:v>
      </x:c>
    </x:row>
    <x:row r="416" ht="22" customHeight="1">
      <x:c r="A416" s="22" t="n">
        <x:v>391</x:v>
      </x:c>
      <x:c r="B416" s="22" t="n">
        <x:f>MOD($B$6*(A416-1)+$B$7,$A$12)+1</x:f>
        <x:v>115</x:v>
      </x:c>
      <x:c r="C416" s="22" t="n">
        <x:f>MOD($B$6*(A416-1)+$B$7,$A$13)+1</x:f>
        <x:v>240</x:v>
      </x:c>
      <x:c r="D416" s="22" t="n">
        <x:f>MOD($B$6*(A416-1)+$B$7,$A$14)+1</x:f>
        <x:v>490</x:v>
      </x:c>
      <x:c r="E416" s="22" t="n">
        <x:f>MOD($B$6*(A416-1)+$B$7,$A$15)+1</x:f>
        <x:v>490</x:v>
      </x:c>
      <x:c r="F416" s="18"/>
      <x:c r="G416" s="18"/>
      <x:c r="H416" s="18" t="str">
        <x:v>pairing identity only</x:v>
      </x:c>
    </x:row>
    <x:row r="417" ht="22" customHeight="1">
      <x:c r="A417" s="22" t="n">
        <x:v>392</x:v>
      </x:c>
      <x:c r="B417" s="22" t="n">
        <x:f>MOD($B$6*(A417-1)+$B$7,$A$12)+1</x:f>
        <x:v>63</x:v>
      </x:c>
      <x:c r="C417" s="22" t="n">
        <x:f>MOD($B$6*(A417-1)+$B$7,$A$13)+1</x:f>
        <x:v>63</x:v>
      </x:c>
      <x:c r="D417" s="22" t="n">
        <x:f>MOD($B$6*(A417-1)+$B$7,$A$14)+1</x:f>
        <x:v>63</x:v>
      </x:c>
      <x:c r="E417" s="22" t="n">
        <x:f>MOD($B$6*(A417-1)+$B$7,$A$15)+1</x:f>
        <x:v>563</x:v>
      </x:c>
      <x:c r="F417" s="18"/>
      <x:c r="G417" s="18"/>
      <x:c r="H417" s="18" t="str">
        <x:v>pairing identity only</x:v>
      </x:c>
    </x:row>
    <x:row r="418" ht="22" customHeight="1">
      <x:c r="A418" s="22" t="n">
        <x:v>393</x:v>
      </x:c>
      <x:c r="B418" s="22" t="n">
        <x:f>MOD($B$6*(A418-1)+$B$7,$A$12)+1</x:f>
        <x:v>11</x:v>
      </x:c>
      <x:c r="C418" s="22" t="n">
        <x:f>MOD($B$6*(A418-1)+$B$7,$A$13)+1</x:f>
        <x:v>136</x:v>
      </x:c>
      <x:c r="D418" s="22" t="n">
        <x:f>MOD($B$6*(A418-1)+$B$7,$A$14)+1</x:f>
        <x:v>136</x:v>
      </x:c>
      <x:c r="E418" s="22" t="n">
        <x:f>MOD($B$6*(A418-1)+$B$7,$A$15)+1</x:f>
        <x:v>636</x:v>
      </x:c>
      <x:c r="F418" s="18"/>
      <x:c r="G418" s="18"/>
      <x:c r="H418" s="18" t="str">
        <x:v>pairing identity only</x:v>
      </x:c>
    </x:row>
    <x:row r="419" ht="22" customHeight="1">
      <x:c r="A419" s="22" t="n">
        <x:v>394</x:v>
      </x:c>
      <x:c r="B419" s="22" t="n">
        <x:f>MOD($B$6*(A419-1)+$B$7,$A$12)+1</x:f>
        <x:v>84</x:v>
      </x:c>
      <x:c r="C419" s="22" t="n">
        <x:f>MOD($B$6*(A419-1)+$B$7,$A$13)+1</x:f>
        <x:v>209</x:v>
      </x:c>
      <x:c r="D419" s="22" t="n">
        <x:f>MOD($B$6*(A419-1)+$B$7,$A$14)+1</x:f>
        <x:v>209</x:v>
      </x:c>
      <x:c r="E419" s="22" t="n">
        <x:f>MOD($B$6*(A419-1)+$B$7,$A$15)+1</x:f>
        <x:v>709</x:v>
      </x:c>
      <x:c r="F419" s="18"/>
      <x:c r="G419" s="18"/>
      <x:c r="H419" s="18" t="str">
        <x:v>pairing identity only</x:v>
      </x:c>
    </x:row>
    <x:row r="420" ht="22" customHeight="1">
      <x:c r="A420" s="22" t="n">
        <x:v>395</x:v>
      </x:c>
      <x:c r="B420" s="22" t="n">
        <x:f>MOD($B$6*(A420-1)+$B$7,$A$12)+1</x:f>
        <x:v>32</x:v>
      </x:c>
      <x:c r="C420" s="22" t="n">
        <x:f>MOD($B$6*(A420-1)+$B$7,$A$13)+1</x:f>
        <x:v>32</x:v>
      </x:c>
      <x:c r="D420" s="22" t="n">
        <x:f>MOD($B$6*(A420-1)+$B$7,$A$14)+1</x:f>
        <x:v>282</x:v>
      </x:c>
      <x:c r="E420" s="22" t="n">
        <x:f>MOD($B$6*(A420-1)+$B$7,$A$15)+1</x:f>
        <x:v>782</x:v>
      </x:c>
      <x:c r="F420" s="18"/>
      <x:c r="G420" s="18"/>
      <x:c r="H420" s="18" t="str">
        <x:v>pairing identity only</x:v>
      </x:c>
    </x:row>
    <x:row r="421" ht="22" customHeight="1">
      <x:c r="A421" s="22" t="n">
        <x:v>396</x:v>
      </x:c>
      <x:c r="B421" s="22" t="n">
        <x:f>MOD($B$6*(A421-1)+$B$7,$A$12)+1</x:f>
        <x:v>105</x:v>
      </x:c>
      <x:c r="C421" s="22" t="n">
        <x:f>MOD($B$6*(A421-1)+$B$7,$A$13)+1</x:f>
        <x:v>105</x:v>
      </x:c>
      <x:c r="D421" s="22" t="n">
        <x:f>MOD($B$6*(A421-1)+$B$7,$A$14)+1</x:f>
        <x:v>355</x:v>
      </x:c>
      <x:c r="E421" s="22" t="n">
        <x:f>MOD($B$6*(A421-1)+$B$7,$A$15)+1</x:f>
        <x:v>855</x:v>
      </x:c>
      <x:c r="F421" s="18"/>
      <x:c r="G421" s="18"/>
      <x:c r="H421" s="18" t="str">
        <x:v>pairing identity only</x:v>
      </x:c>
    </x:row>
    <x:row r="422" ht="22" customHeight="1">
      <x:c r="A422" s="22" t="n">
        <x:v>397</x:v>
      </x:c>
      <x:c r="B422" s="22" t="n">
        <x:f>MOD($B$6*(A422-1)+$B$7,$A$12)+1</x:f>
        <x:v>53</x:v>
      </x:c>
      <x:c r="C422" s="22" t="n">
        <x:f>MOD($B$6*(A422-1)+$B$7,$A$13)+1</x:f>
        <x:v>178</x:v>
      </x:c>
      <x:c r="D422" s="22" t="n">
        <x:f>MOD($B$6*(A422-1)+$B$7,$A$14)+1</x:f>
        <x:v>428</x:v>
      </x:c>
      <x:c r="E422" s="22" t="n">
        <x:f>MOD($B$6*(A422-1)+$B$7,$A$15)+1</x:f>
        <x:v>928</x:v>
      </x:c>
      <x:c r="F422" s="18"/>
      <x:c r="G422" s="18"/>
      <x:c r="H422" s="18" t="str">
        <x:v>pairing identity only</x:v>
      </x:c>
    </x:row>
    <x:row r="423" ht="22" customHeight="1">
      <x:c r="A423" s="22" t="n">
        <x:v>398</x:v>
      </x:c>
      <x:c r="B423" s="22" t="n">
        <x:f>MOD($B$6*(A423-1)+$B$7,$A$12)+1</x:f>
        <x:v>1</x:v>
      </x:c>
      <x:c r="C423" s="22" t="n">
        <x:f>MOD($B$6*(A423-1)+$B$7,$A$13)+1</x:f>
        <x:v>1</x:v>
      </x:c>
      <x:c r="D423" s="22" t="n">
        <x:f>MOD($B$6*(A423-1)+$B$7,$A$14)+1</x:f>
        <x:v>1</x:v>
      </x:c>
      <x:c r="E423" s="22" t="n">
        <x:f>MOD($B$6*(A423-1)+$B$7,$A$15)+1</x:f>
        <x:v>1</x:v>
      </x:c>
      <x:c r="F423" s="18"/>
      <x:c r="G423" s="18"/>
      <x:c r="H423" s="18" t="str">
        <x:v>pairing identity only</x:v>
      </x:c>
    </x:row>
    <x:row r="424" ht="22" customHeight="1">
      <x:c r="A424" s="22" t="n">
        <x:v>399</x:v>
      </x:c>
      <x:c r="B424" s="22" t="n">
        <x:f>MOD($B$6*(A424-1)+$B$7,$A$12)+1</x:f>
        <x:v>74</x:v>
      </x:c>
      <x:c r="C424" s="22" t="n">
        <x:f>MOD($B$6*(A424-1)+$B$7,$A$13)+1</x:f>
        <x:v>74</x:v>
      </x:c>
      <x:c r="D424" s="22" t="n">
        <x:f>MOD($B$6*(A424-1)+$B$7,$A$14)+1</x:f>
        <x:v>74</x:v>
      </x:c>
      <x:c r="E424" s="22" t="n">
        <x:f>MOD($B$6*(A424-1)+$B$7,$A$15)+1</x:f>
        <x:v>74</x:v>
      </x:c>
      <x:c r="F424" s="18"/>
      <x:c r="G424" s="18"/>
      <x:c r="H424" s="18" t="str">
        <x:v>pairing identity only</x:v>
      </x:c>
    </x:row>
    <x:row r="425" ht="22" customHeight="1">
      <x:c r="A425" s="22" t="n">
        <x:v>400</x:v>
      </x:c>
      <x:c r="B425" s="22" t="n">
        <x:f>MOD($B$6*(A425-1)+$B$7,$A$12)+1</x:f>
        <x:v>22</x:v>
      </x:c>
      <x:c r="C425" s="22" t="n">
        <x:f>MOD($B$6*(A425-1)+$B$7,$A$13)+1</x:f>
        <x:v>147</x:v>
      </x:c>
      <x:c r="D425" s="22" t="n">
        <x:f>MOD($B$6*(A425-1)+$B$7,$A$14)+1</x:f>
        <x:v>147</x:v>
      </x:c>
      <x:c r="E425" s="22" t="n">
        <x:f>MOD($B$6*(A425-1)+$B$7,$A$15)+1</x:f>
        <x:v>147</x:v>
      </x:c>
      <x:c r="F425" s="18"/>
      <x:c r="G425" s="18"/>
      <x:c r="H425" s="18" t="str">
        <x:v>pairing identity only</x:v>
      </x:c>
    </x:row>
    <x:row r="426" ht="22" customHeight="1">
      <x:c r="A426" s="22" t="n">
        <x:v>401</x:v>
      </x:c>
      <x:c r="B426" s="22" t="n">
        <x:f>MOD($B$6*(A426-1)+$B$7,$A$12)+1</x:f>
        <x:v>95</x:v>
      </x:c>
      <x:c r="C426" s="22" t="n">
        <x:f>MOD($B$6*(A426-1)+$B$7,$A$13)+1</x:f>
        <x:v>220</x:v>
      </x:c>
      <x:c r="D426" s="22" t="n">
        <x:f>MOD($B$6*(A426-1)+$B$7,$A$14)+1</x:f>
        <x:v>220</x:v>
      </x:c>
      <x:c r="E426" s="22" t="n">
        <x:f>MOD($B$6*(A426-1)+$B$7,$A$15)+1</x:f>
        <x:v>220</x:v>
      </x:c>
      <x:c r="F426" s="18"/>
      <x:c r="G426" s="18"/>
      <x:c r="H426" s="18" t="str">
        <x:v>pairing identity only</x:v>
      </x:c>
    </x:row>
    <x:row r="427" ht="22" customHeight="1">
      <x:c r="A427" s="22" t="n">
        <x:v>402</x:v>
      </x:c>
      <x:c r="B427" s="22" t="n">
        <x:f>MOD($B$6*(A427-1)+$B$7,$A$12)+1</x:f>
        <x:v>43</x:v>
      </x:c>
      <x:c r="C427" s="22" t="n">
        <x:f>MOD($B$6*(A427-1)+$B$7,$A$13)+1</x:f>
        <x:v>43</x:v>
      </x:c>
      <x:c r="D427" s="22" t="n">
        <x:f>MOD($B$6*(A427-1)+$B$7,$A$14)+1</x:f>
        <x:v>293</x:v>
      </x:c>
      <x:c r="E427" s="22" t="n">
        <x:f>MOD($B$6*(A427-1)+$B$7,$A$15)+1</x:f>
        <x:v>293</x:v>
      </x:c>
      <x:c r="F427" s="18"/>
      <x:c r="G427" s="18"/>
      <x:c r="H427" s="18" t="str">
        <x:v>pairing identity only</x:v>
      </x:c>
    </x:row>
    <x:row r="428" ht="22" customHeight="1">
      <x:c r="A428" s="22" t="n">
        <x:v>403</x:v>
      </x:c>
      <x:c r="B428" s="22" t="n">
        <x:f>MOD($B$6*(A428-1)+$B$7,$A$12)+1</x:f>
        <x:v>116</x:v>
      </x:c>
      <x:c r="C428" s="22" t="n">
        <x:f>MOD($B$6*(A428-1)+$B$7,$A$13)+1</x:f>
        <x:v>116</x:v>
      </x:c>
      <x:c r="D428" s="22" t="n">
        <x:f>MOD($B$6*(A428-1)+$B$7,$A$14)+1</x:f>
        <x:v>366</x:v>
      </x:c>
      <x:c r="E428" s="22" t="n">
        <x:f>MOD($B$6*(A428-1)+$B$7,$A$15)+1</x:f>
        <x:v>366</x:v>
      </x:c>
      <x:c r="F428" s="18"/>
      <x:c r="G428" s="18"/>
      <x:c r="H428" s="18" t="str">
        <x:v>pairing identity only</x:v>
      </x:c>
    </x:row>
    <x:row r="429" ht="22" customHeight="1">
      <x:c r="A429" s="22" t="n">
        <x:v>404</x:v>
      </x:c>
      <x:c r="B429" s="22" t="n">
        <x:f>MOD($B$6*(A429-1)+$B$7,$A$12)+1</x:f>
        <x:v>64</x:v>
      </x:c>
      <x:c r="C429" s="22" t="n">
        <x:f>MOD($B$6*(A429-1)+$B$7,$A$13)+1</x:f>
        <x:v>189</x:v>
      </x:c>
      <x:c r="D429" s="22" t="n">
        <x:f>MOD($B$6*(A429-1)+$B$7,$A$14)+1</x:f>
        <x:v>439</x:v>
      </x:c>
      <x:c r="E429" s="22" t="n">
        <x:f>MOD($B$6*(A429-1)+$B$7,$A$15)+1</x:f>
        <x:v>439</x:v>
      </x:c>
      <x:c r="F429" s="18"/>
      <x:c r="G429" s="18"/>
      <x:c r="H429" s="18" t="str">
        <x:v>pairing identity only</x:v>
      </x:c>
    </x:row>
    <x:row r="430" ht="22" customHeight="1">
      <x:c r="A430" s="22" t="n">
        <x:v>405</x:v>
      </x:c>
      <x:c r="B430" s="22" t="n">
        <x:f>MOD($B$6*(A430-1)+$B$7,$A$12)+1</x:f>
        <x:v>12</x:v>
      </x:c>
      <x:c r="C430" s="22" t="n">
        <x:f>MOD($B$6*(A430-1)+$B$7,$A$13)+1</x:f>
        <x:v>12</x:v>
      </x:c>
      <x:c r="D430" s="22" t="n">
        <x:f>MOD($B$6*(A430-1)+$B$7,$A$14)+1</x:f>
        <x:v>12</x:v>
      </x:c>
      <x:c r="E430" s="22" t="n">
        <x:f>MOD($B$6*(A430-1)+$B$7,$A$15)+1</x:f>
        <x:v>512</x:v>
      </x:c>
      <x:c r="F430" s="18"/>
      <x:c r="G430" s="18"/>
      <x:c r="H430" s="18" t="str">
        <x:v>pairing identity only</x:v>
      </x:c>
    </x:row>
    <x:row r="431" ht="22" customHeight="1">
      <x:c r="A431" s="22" t="n">
        <x:v>406</x:v>
      </x:c>
      <x:c r="B431" s="22" t="n">
        <x:f>MOD($B$6*(A431-1)+$B$7,$A$12)+1</x:f>
        <x:v>85</x:v>
      </x:c>
      <x:c r="C431" s="22" t="n">
        <x:f>MOD($B$6*(A431-1)+$B$7,$A$13)+1</x:f>
        <x:v>85</x:v>
      </x:c>
      <x:c r="D431" s="22" t="n">
        <x:f>MOD($B$6*(A431-1)+$B$7,$A$14)+1</x:f>
        <x:v>85</x:v>
      </x:c>
      <x:c r="E431" s="22" t="n">
        <x:f>MOD($B$6*(A431-1)+$B$7,$A$15)+1</x:f>
        <x:v>585</x:v>
      </x:c>
      <x:c r="F431" s="18"/>
      <x:c r="G431" s="18"/>
      <x:c r="H431" s="18" t="str">
        <x:v>pairing identity only</x:v>
      </x:c>
    </x:row>
    <x:row r="432" ht="22" customHeight="1">
      <x:c r="A432" s="22" t="n">
        <x:v>407</x:v>
      </x:c>
      <x:c r="B432" s="22" t="n">
        <x:f>MOD($B$6*(A432-1)+$B$7,$A$12)+1</x:f>
        <x:v>33</x:v>
      </x:c>
      <x:c r="C432" s="22" t="n">
        <x:f>MOD($B$6*(A432-1)+$B$7,$A$13)+1</x:f>
        <x:v>158</x:v>
      </x:c>
      <x:c r="D432" s="22" t="n">
        <x:f>MOD($B$6*(A432-1)+$B$7,$A$14)+1</x:f>
        <x:v>158</x:v>
      </x:c>
      <x:c r="E432" s="22" t="n">
        <x:f>MOD($B$6*(A432-1)+$B$7,$A$15)+1</x:f>
        <x:v>658</x:v>
      </x:c>
      <x:c r="F432" s="18"/>
      <x:c r="G432" s="18"/>
      <x:c r="H432" s="18" t="str">
        <x:v>pairing identity only</x:v>
      </x:c>
    </x:row>
    <x:row r="433" ht="22" customHeight="1">
      <x:c r="A433" s="22" t="n">
        <x:v>408</x:v>
      </x:c>
      <x:c r="B433" s="22" t="n">
        <x:f>MOD($B$6*(A433-1)+$B$7,$A$12)+1</x:f>
        <x:v>106</x:v>
      </x:c>
      <x:c r="C433" s="22" t="n">
        <x:f>MOD($B$6*(A433-1)+$B$7,$A$13)+1</x:f>
        <x:v>231</x:v>
      </x:c>
      <x:c r="D433" s="22" t="n">
        <x:f>MOD($B$6*(A433-1)+$B$7,$A$14)+1</x:f>
        <x:v>231</x:v>
      </x:c>
      <x:c r="E433" s="22" t="n">
        <x:f>MOD($B$6*(A433-1)+$B$7,$A$15)+1</x:f>
        <x:v>731</x:v>
      </x:c>
      <x:c r="F433" s="18"/>
      <x:c r="G433" s="18"/>
      <x:c r="H433" s="18" t="str">
        <x:v>pairing identity only</x:v>
      </x:c>
    </x:row>
    <x:row r="434" ht="22" customHeight="1">
      <x:c r="A434" s="22" t="n">
        <x:v>409</x:v>
      </x:c>
      <x:c r="B434" s="22" t="n">
        <x:f>MOD($B$6*(A434-1)+$B$7,$A$12)+1</x:f>
        <x:v>54</x:v>
      </x:c>
      <x:c r="C434" s="22" t="n">
        <x:f>MOD($B$6*(A434-1)+$B$7,$A$13)+1</x:f>
        <x:v>54</x:v>
      </x:c>
      <x:c r="D434" s="22" t="n">
        <x:f>MOD($B$6*(A434-1)+$B$7,$A$14)+1</x:f>
        <x:v>304</x:v>
      </x:c>
      <x:c r="E434" s="22" t="n">
        <x:f>MOD($B$6*(A434-1)+$B$7,$A$15)+1</x:f>
        <x:v>804</x:v>
      </x:c>
      <x:c r="F434" s="18"/>
      <x:c r="G434" s="18"/>
      <x:c r="H434" s="18" t="str">
        <x:v>pairing identity only</x:v>
      </x:c>
    </x:row>
    <x:row r="435" ht="22" customHeight="1">
      <x:c r="A435" s="22" t="n">
        <x:v>410</x:v>
      </x:c>
      <x:c r="B435" s="22" t="n">
        <x:f>MOD($B$6*(A435-1)+$B$7,$A$12)+1</x:f>
        <x:v>2</x:v>
      </x:c>
      <x:c r="C435" s="22" t="n">
        <x:f>MOD($B$6*(A435-1)+$B$7,$A$13)+1</x:f>
        <x:v>127</x:v>
      </x:c>
      <x:c r="D435" s="22" t="n">
        <x:f>MOD($B$6*(A435-1)+$B$7,$A$14)+1</x:f>
        <x:v>377</x:v>
      </x:c>
      <x:c r="E435" s="22" t="n">
        <x:f>MOD($B$6*(A435-1)+$B$7,$A$15)+1</x:f>
        <x:v>877</x:v>
      </x:c>
      <x:c r="F435" s="18"/>
      <x:c r="G435" s="18"/>
      <x:c r="H435" s="18" t="str">
        <x:v>pairing identity only</x:v>
      </x:c>
    </x:row>
    <x:row r="436" ht="22" customHeight="1">
      <x:c r="A436" s="22" t="n">
        <x:v>411</x:v>
      </x:c>
      <x:c r="B436" s="22" t="n">
        <x:f>MOD($B$6*(A436-1)+$B$7,$A$12)+1</x:f>
        <x:v>75</x:v>
      </x:c>
      <x:c r="C436" s="22" t="n">
        <x:f>MOD($B$6*(A436-1)+$B$7,$A$13)+1</x:f>
        <x:v>200</x:v>
      </x:c>
      <x:c r="D436" s="22" t="n">
        <x:f>MOD($B$6*(A436-1)+$B$7,$A$14)+1</x:f>
        <x:v>450</x:v>
      </x:c>
      <x:c r="E436" s="22" t="n">
        <x:f>MOD($B$6*(A436-1)+$B$7,$A$15)+1</x:f>
        <x:v>950</x:v>
      </x:c>
      <x:c r="F436" s="18"/>
      <x:c r="G436" s="18"/>
      <x:c r="H436" s="18" t="str">
        <x:v>pairing identity only</x:v>
      </x:c>
    </x:row>
    <x:row r="437" ht="22" customHeight="1">
      <x:c r="A437" s="22" t="n">
        <x:v>412</x:v>
      </x:c>
      <x:c r="B437" s="22" t="n">
        <x:f>MOD($B$6*(A437-1)+$B$7,$A$12)+1</x:f>
        <x:v>23</x:v>
      </x:c>
      <x:c r="C437" s="22" t="n">
        <x:f>MOD($B$6*(A437-1)+$B$7,$A$13)+1</x:f>
        <x:v>23</x:v>
      </x:c>
      <x:c r="D437" s="22" t="n">
        <x:f>MOD($B$6*(A437-1)+$B$7,$A$14)+1</x:f>
        <x:v>23</x:v>
      </x:c>
      <x:c r="E437" s="22" t="n">
        <x:f>MOD($B$6*(A437-1)+$B$7,$A$15)+1</x:f>
        <x:v>23</x:v>
      </x:c>
      <x:c r="F437" s="18"/>
      <x:c r="G437" s="18"/>
      <x:c r="H437" s="18" t="str">
        <x:v>pairing identity only</x:v>
      </x:c>
    </x:row>
    <x:row r="438" ht="22" customHeight="1">
      <x:c r="A438" s="22" t="n">
        <x:v>413</x:v>
      </x:c>
      <x:c r="B438" s="22" t="n">
        <x:f>MOD($B$6*(A438-1)+$B$7,$A$12)+1</x:f>
        <x:v>96</x:v>
      </x:c>
      <x:c r="C438" s="22" t="n">
        <x:f>MOD($B$6*(A438-1)+$B$7,$A$13)+1</x:f>
        <x:v>96</x:v>
      </x:c>
      <x:c r="D438" s="22" t="n">
        <x:f>MOD($B$6*(A438-1)+$B$7,$A$14)+1</x:f>
        <x:v>96</x:v>
      </x:c>
      <x:c r="E438" s="22" t="n">
        <x:f>MOD($B$6*(A438-1)+$B$7,$A$15)+1</x:f>
        <x:v>96</x:v>
      </x:c>
      <x:c r="F438" s="18"/>
      <x:c r="G438" s="18"/>
      <x:c r="H438" s="18" t="str">
        <x:v>pairing identity only</x:v>
      </x:c>
    </x:row>
    <x:row r="439" ht="22" customHeight="1">
      <x:c r="A439" s="22" t="n">
        <x:v>414</x:v>
      </x:c>
      <x:c r="B439" s="22" t="n">
        <x:f>MOD($B$6*(A439-1)+$B$7,$A$12)+1</x:f>
        <x:v>44</x:v>
      </x:c>
      <x:c r="C439" s="22" t="n">
        <x:f>MOD($B$6*(A439-1)+$B$7,$A$13)+1</x:f>
        <x:v>169</x:v>
      </x:c>
      <x:c r="D439" s="22" t="n">
        <x:f>MOD($B$6*(A439-1)+$B$7,$A$14)+1</x:f>
        <x:v>169</x:v>
      </x:c>
      <x:c r="E439" s="22" t="n">
        <x:f>MOD($B$6*(A439-1)+$B$7,$A$15)+1</x:f>
        <x:v>169</x:v>
      </x:c>
      <x:c r="F439" s="18"/>
      <x:c r="G439" s="18"/>
      <x:c r="H439" s="18" t="str">
        <x:v>pairing identity only</x:v>
      </x:c>
    </x:row>
    <x:row r="440" ht="22" customHeight="1">
      <x:c r="A440" s="22" t="n">
        <x:v>415</x:v>
      </x:c>
      <x:c r="B440" s="22" t="n">
        <x:f>MOD($B$6*(A440-1)+$B$7,$A$12)+1</x:f>
        <x:v>117</x:v>
      </x:c>
      <x:c r="C440" s="22" t="n">
        <x:f>MOD($B$6*(A440-1)+$B$7,$A$13)+1</x:f>
        <x:v>242</x:v>
      </x:c>
      <x:c r="D440" s="22" t="n">
        <x:f>MOD($B$6*(A440-1)+$B$7,$A$14)+1</x:f>
        <x:v>242</x:v>
      </x:c>
      <x:c r="E440" s="22" t="n">
        <x:f>MOD($B$6*(A440-1)+$B$7,$A$15)+1</x:f>
        <x:v>242</x:v>
      </x:c>
      <x:c r="F440" s="18"/>
      <x:c r="G440" s="18"/>
      <x:c r="H440" s="18" t="str">
        <x:v>pairing identity only</x:v>
      </x:c>
    </x:row>
    <x:row r="441" ht="22" customHeight="1">
      <x:c r="A441" s="22" t="n">
        <x:v>416</x:v>
      </x:c>
      <x:c r="B441" s="22" t="n">
        <x:f>MOD($B$6*(A441-1)+$B$7,$A$12)+1</x:f>
        <x:v>65</x:v>
      </x:c>
      <x:c r="C441" s="22" t="n">
        <x:f>MOD($B$6*(A441-1)+$B$7,$A$13)+1</x:f>
        <x:v>65</x:v>
      </x:c>
      <x:c r="D441" s="22" t="n">
        <x:f>MOD($B$6*(A441-1)+$B$7,$A$14)+1</x:f>
        <x:v>315</x:v>
      </x:c>
      <x:c r="E441" s="22" t="n">
        <x:f>MOD($B$6*(A441-1)+$B$7,$A$15)+1</x:f>
        <x:v>315</x:v>
      </x:c>
      <x:c r="F441" s="18"/>
      <x:c r="G441" s="18"/>
      <x:c r="H441" s="18" t="str">
        <x:v>pairing identity only</x:v>
      </x:c>
    </x:row>
    <x:row r="442" ht="22" customHeight="1">
      <x:c r="A442" s="22" t="n">
        <x:v>417</x:v>
      </x:c>
      <x:c r="B442" s="22" t="n">
        <x:f>MOD($B$6*(A442-1)+$B$7,$A$12)+1</x:f>
        <x:v>13</x:v>
      </x:c>
      <x:c r="C442" s="22" t="n">
        <x:f>MOD($B$6*(A442-1)+$B$7,$A$13)+1</x:f>
        <x:v>138</x:v>
      </x:c>
      <x:c r="D442" s="22" t="n">
        <x:f>MOD($B$6*(A442-1)+$B$7,$A$14)+1</x:f>
        <x:v>388</x:v>
      </x:c>
      <x:c r="E442" s="22" t="n">
        <x:f>MOD($B$6*(A442-1)+$B$7,$A$15)+1</x:f>
        <x:v>388</x:v>
      </x:c>
      <x:c r="F442" s="18"/>
      <x:c r="G442" s="18"/>
      <x:c r="H442" s="18" t="str">
        <x:v>pairing identity only</x:v>
      </x:c>
    </x:row>
    <x:row r="443" ht="22" customHeight="1">
      <x:c r="A443" s="22" t="n">
        <x:v>418</x:v>
      </x:c>
      <x:c r="B443" s="22" t="n">
        <x:f>MOD($B$6*(A443-1)+$B$7,$A$12)+1</x:f>
        <x:v>86</x:v>
      </x:c>
      <x:c r="C443" s="22" t="n">
        <x:f>MOD($B$6*(A443-1)+$B$7,$A$13)+1</x:f>
        <x:v>211</x:v>
      </x:c>
      <x:c r="D443" s="22" t="n">
        <x:f>MOD($B$6*(A443-1)+$B$7,$A$14)+1</x:f>
        <x:v>461</x:v>
      </x:c>
      <x:c r="E443" s="22" t="n">
        <x:f>MOD($B$6*(A443-1)+$B$7,$A$15)+1</x:f>
        <x:v>461</x:v>
      </x:c>
      <x:c r="F443" s="18"/>
      <x:c r="G443" s="18"/>
      <x:c r="H443" s="18" t="str">
        <x:v>pairing identity only</x:v>
      </x:c>
    </x:row>
    <x:row r="444" ht="22" customHeight="1">
      <x:c r="A444" s="22" t="n">
        <x:v>419</x:v>
      </x:c>
      <x:c r="B444" s="22" t="n">
        <x:f>MOD($B$6*(A444-1)+$B$7,$A$12)+1</x:f>
        <x:v>34</x:v>
      </x:c>
      <x:c r="C444" s="22" t="n">
        <x:f>MOD($B$6*(A444-1)+$B$7,$A$13)+1</x:f>
        <x:v>34</x:v>
      </x:c>
      <x:c r="D444" s="22" t="n">
        <x:f>MOD($B$6*(A444-1)+$B$7,$A$14)+1</x:f>
        <x:v>34</x:v>
      </x:c>
      <x:c r="E444" s="22" t="n">
        <x:f>MOD($B$6*(A444-1)+$B$7,$A$15)+1</x:f>
        <x:v>534</x:v>
      </x:c>
      <x:c r="F444" s="18"/>
      <x:c r="G444" s="18"/>
      <x:c r="H444" s="18" t="str">
        <x:v>pairing identity only</x:v>
      </x:c>
    </x:row>
    <x:row r="445" ht="22" customHeight="1">
      <x:c r="A445" s="22" t="n">
        <x:v>420</x:v>
      </x:c>
      <x:c r="B445" s="22" t="n">
        <x:f>MOD($B$6*(A445-1)+$B$7,$A$12)+1</x:f>
        <x:v>107</x:v>
      </x:c>
      <x:c r="C445" s="22" t="n">
        <x:f>MOD($B$6*(A445-1)+$B$7,$A$13)+1</x:f>
        <x:v>107</x:v>
      </x:c>
      <x:c r="D445" s="22" t="n">
        <x:f>MOD($B$6*(A445-1)+$B$7,$A$14)+1</x:f>
        <x:v>107</x:v>
      </x:c>
      <x:c r="E445" s="22" t="n">
        <x:f>MOD($B$6*(A445-1)+$B$7,$A$15)+1</x:f>
        <x:v>607</x:v>
      </x:c>
      <x:c r="F445" s="18"/>
      <x:c r="G445" s="18"/>
      <x:c r="H445" s="18" t="str">
        <x:v>pairing identity only</x:v>
      </x:c>
    </x:row>
    <x:row r="446" ht="22" customHeight="1">
      <x:c r="A446" s="22" t="n">
        <x:v>421</x:v>
      </x:c>
      <x:c r="B446" s="22" t="n">
        <x:f>MOD($B$6*(A446-1)+$B$7,$A$12)+1</x:f>
        <x:v>55</x:v>
      </x:c>
      <x:c r="C446" s="22" t="n">
        <x:f>MOD($B$6*(A446-1)+$B$7,$A$13)+1</x:f>
        <x:v>180</x:v>
      </x:c>
      <x:c r="D446" s="22" t="n">
        <x:f>MOD($B$6*(A446-1)+$B$7,$A$14)+1</x:f>
        <x:v>180</x:v>
      </x:c>
      <x:c r="E446" s="22" t="n">
        <x:f>MOD($B$6*(A446-1)+$B$7,$A$15)+1</x:f>
        <x:v>680</x:v>
      </x:c>
      <x:c r="F446" s="18"/>
      <x:c r="G446" s="18"/>
      <x:c r="H446" s="18" t="str">
        <x:v>pairing identity only</x:v>
      </x:c>
    </x:row>
    <x:row r="447" ht="22" customHeight="1">
      <x:c r="A447" s="22" t="n">
        <x:v>422</x:v>
      </x:c>
      <x:c r="B447" s="22" t="n">
        <x:f>MOD($B$6*(A447-1)+$B$7,$A$12)+1</x:f>
        <x:v>3</x:v>
      </x:c>
      <x:c r="C447" s="22" t="n">
        <x:f>MOD($B$6*(A447-1)+$B$7,$A$13)+1</x:f>
        <x:v>3</x:v>
      </x:c>
      <x:c r="D447" s="22" t="n">
        <x:f>MOD($B$6*(A447-1)+$B$7,$A$14)+1</x:f>
        <x:v>253</x:v>
      </x:c>
      <x:c r="E447" s="22" t="n">
        <x:f>MOD($B$6*(A447-1)+$B$7,$A$15)+1</x:f>
        <x:v>753</x:v>
      </x:c>
      <x:c r="F447" s="18"/>
      <x:c r="G447" s="18"/>
      <x:c r="H447" s="18" t="str">
        <x:v>pairing identity only</x:v>
      </x:c>
    </x:row>
    <x:row r="448" ht="22" customHeight="1">
      <x:c r="A448" s="22" t="n">
        <x:v>423</x:v>
      </x:c>
      <x:c r="B448" s="22" t="n">
        <x:f>MOD($B$6*(A448-1)+$B$7,$A$12)+1</x:f>
        <x:v>76</x:v>
      </x:c>
      <x:c r="C448" s="22" t="n">
        <x:f>MOD($B$6*(A448-1)+$B$7,$A$13)+1</x:f>
        <x:v>76</x:v>
      </x:c>
      <x:c r="D448" s="22" t="n">
        <x:f>MOD($B$6*(A448-1)+$B$7,$A$14)+1</x:f>
        <x:v>326</x:v>
      </x:c>
      <x:c r="E448" s="22" t="n">
        <x:f>MOD($B$6*(A448-1)+$B$7,$A$15)+1</x:f>
        <x:v>826</x:v>
      </x:c>
      <x:c r="F448" s="18"/>
      <x:c r="G448" s="18"/>
      <x:c r="H448" s="18" t="str">
        <x:v>pairing identity only</x:v>
      </x:c>
    </x:row>
    <x:row r="449" ht="22" customHeight="1">
      <x:c r="A449" s="22" t="n">
        <x:v>424</x:v>
      </x:c>
      <x:c r="B449" s="22" t="n">
        <x:f>MOD($B$6*(A449-1)+$B$7,$A$12)+1</x:f>
        <x:v>24</x:v>
      </x:c>
      <x:c r="C449" s="22" t="n">
        <x:f>MOD($B$6*(A449-1)+$B$7,$A$13)+1</x:f>
        <x:v>149</x:v>
      </x:c>
      <x:c r="D449" s="22" t="n">
        <x:f>MOD($B$6*(A449-1)+$B$7,$A$14)+1</x:f>
        <x:v>399</x:v>
      </x:c>
      <x:c r="E449" s="22" t="n">
        <x:f>MOD($B$6*(A449-1)+$B$7,$A$15)+1</x:f>
        <x:v>899</x:v>
      </x:c>
      <x:c r="F449" s="18"/>
      <x:c r="G449" s="18"/>
      <x:c r="H449" s="18" t="str">
        <x:v>pairing identity only</x:v>
      </x:c>
    </x:row>
    <x:row r="450" ht="22" customHeight="1">
      <x:c r="A450" s="22" t="n">
        <x:v>425</x:v>
      </x:c>
      <x:c r="B450" s="22" t="n">
        <x:f>MOD($B$6*(A450-1)+$B$7,$A$12)+1</x:f>
        <x:v>97</x:v>
      </x:c>
      <x:c r="C450" s="22" t="n">
        <x:f>MOD($B$6*(A450-1)+$B$7,$A$13)+1</x:f>
        <x:v>222</x:v>
      </x:c>
      <x:c r="D450" s="22" t="n">
        <x:f>MOD($B$6*(A450-1)+$B$7,$A$14)+1</x:f>
        <x:v>472</x:v>
      </x:c>
      <x:c r="E450" s="22" t="n">
        <x:f>MOD($B$6*(A450-1)+$B$7,$A$15)+1</x:f>
        <x:v>972</x:v>
      </x:c>
      <x:c r="F450" s="18"/>
      <x:c r="G450" s="18"/>
      <x:c r="H450" s="18" t="str">
        <x:v>pairing identity only</x:v>
      </x:c>
    </x:row>
    <x:row r="451" ht="22" customHeight="1">
      <x:c r="A451" s="22" t="n">
        <x:v>426</x:v>
      </x:c>
      <x:c r="B451" s="22" t="n">
        <x:f>MOD($B$6*(A451-1)+$B$7,$A$12)+1</x:f>
        <x:v>45</x:v>
      </x:c>
      <x:c r="C451" s="22" t="n">
        <x:f>MOD($B$6*(A451-1)+$B$7,$A$13)+1</x:f>
        <x:v>45</x:v>
      </x:c>
      <x:c r="D451" s="22" t="n">
        <x:f>MOD($B$6*(A451-1)+$B$7,$A$14)+1</x:f>
        <x:v>45</x:v>
      </x:c>
      <x:c r="E451" s="22" t="n">
        <x:f>MOD($B$6*(A451-1)+$B$7,$A$15)+1</x:f>
        <x:v>45</x:v>
      </x:c>
      <x:c r="F451" s="18"/>
      <x:c r="G451" s="18"/>
      <x:c r="H451" s="18" t="str">
        <x:v>pairing identity only</x:v>
      </x:c>
    </x:row>
    <x:row r="452" ht="22" customHeight="1">
      <x:c r="A452" s="22" t="n">
        <x:v>427</x:v>
      </x:c>
      <x:c r="B452" s="22" t="n">
        <x:f>MOD($B$6*(A452-1)+$B$7,$A$12)+1</x:f>
        <x:v>118</x:v>
      </x:c>
      <x:c r="C452" s="22" t="n">
        <x:f>MOD($B$6*(A452-1)+$B$7,$A$13)+1</x:f>
        <x:v>118</x:v>
      </x:c>
      <x:c r="D452" s="22" t="n">
        <x:f>MOD($B$6*(A452-1)+$B$7,$A$14)+1</x:f>
        <x:v>118</x:v>
      </x:c>
      <x:c r="E452" s="22" t="n">
        <x:f>MOD($B$6*(A452-1)+$B$7,$A$15)+1</x:f>
        <x:v>118</x:v>
      </x:c>
      <x:c r="F452" s="18"/>
      <x:c r="G452" s="18"/>
      <x:c r="H452" s="18" t="str">
        <x:v>pairing identity only</x:v>
      </x:c>
    </x:row>
    <x:row r="453" ht="22" customHeight="1">
      <x:c r="A453" s="22" t="n">
        <x:v>428</x:v>
      </x:c>
      <x:c r="B453" s="22" t="n">
        <x:f>MOD($B$6*(A453-1)+$B$7,$A$12)+1</x:f>
        <x:v>66</x:v>
      </x:c>
      <x:c r="C453" s="22" t="n">
        <x:f>MOD($B$6*(A453-1)+$B$7,$A$13)+1</x:f>
        <x:v>191</x:v>
      </x:c>
      <x:c r="D453" s="22" t="n">
        <x:f>MOD($B$6*(A453-1)+$B$7,$A$14)+1</x:f>
        <x:v>191</x:v>
      </x:c>
      <x:c r="E453" s="22" t="n">
        <x:f>MOD($B$6*(A453-1)+$B$7,$A$15)+1</x:f>
        <x:v>191</x:v>
      </x:c>
      <x:c r="F453" s="18"/>
      <x:c r="G453" s="18"/>
      <x:c r="H453" s="18" t="str">
        <x:v>pairing identity only</x:v>
      </x:c>
    </x:row>
    <x:row r="454" ht="22" customHeight="1">
      <x:c r="A454" s="22" t="n">
        <x:v>429</x:v>
      </x:c>
      <x:c r="B454" s="22" t="n">
        <x:f>MOD($B$6*(A454-1)+$B$7,$A$12)+1</x:f>
        <x:v>14</x:v>
      </x:c>
      <x:c r="C454" s="22" t="n">
        <x:f>MOD($B$6*(A454-1)+$B$7,$A$13)+1</x:f>
        <x:v>14</x:v>
      </x:c>
      <x:c r="D454" s="22" t="n">
        <x:f>MOD($B$6*(A454-1)+$B$7,$A$14)+1</x:f>
        <x:v>264</x:v>
      </x:c>
      <x:c r="E454" s="22" t="n">
        <x:f>MOD($B$6*(A454-1)+$B$7,$A$15)+1</x:f>
        <x:v>264</x:v>
      </x:c>
      <x:c r="F454" s="18"/>
      <x:c r="G454" s="18"/>
      <x:c r="H454" s="18" t="str">
        <x:v>pairing identity only</x:v>
      </x:c>
    </x:row>
    <x:row r="455" ht="22" customHeight="1">
      <x:c r="A455" s="22" t="n">
        <x:v>430</x:v>
      </x:c>
      <x:c r="B455" s="22" t="n">
        <x:f>MOD($B$6*(A455-1)+$B$7,$A$12)+1</x:f>
        <x:v>87</x:v>
      </x:c>
      <x:c r="C455" s="22" t="n">
        <x:f>MOD($B$6*(A455-1)+$B$7,$A$13)+1</x:f>
        <x:v>87</x:v>
      </x:c>
      <x:c r="D455" s="22" t="n">
        <x:f>MOD($B$6*(A455-1)+$B$7,$A$14)+1</x:f>
        <x:v>337</x:v>
      </x:c>
      <x:c r="E455" s="22" t="n">
        <x:f>MOD($B$6*(A455-1)+$B$7,$A$15)+1</x:f>
        <x:v>337</x:v>
      </x:c>
      <x:c r="F455" s="18"/>
      <x:c r="G455" s="18"/>
      <x:c r="H455" s="18" t="str">
        <x:v>pairing identity only</x:v>
      </x:c>
    </x:row>
    <x:row r="456" ht="22" customHeight="1">
      <x:c r="A456" s="22" t="n">
        <x:v>431</x:v>
      </x:c>
      <x:c r="B456" s="22" t="n">
        <x:f>MOD($B$6*(A456-1)+$B$7,$A$12)+1</x:f>
        <x:v>35</x:v>
      </x:c>
      <x:c r="C456" s="22" t="n">
        <x:f>MOD($B$6*(A456-1)+$B$7,$A$13)+1</x:f>
        <x:v>160</x:v>
      </x:c>
      <x:c r="D456" s="22" t="n">
        <x:f>MOD($B$6*(A456-1)+$B$7,$A$14)+1</x:f>
        <x:v>410</x:v>
      </x:c>
      <x:c r="E456" s="22" t="n">
        <x:f>MOD($B$6*(A456-1)+$B$7,$A$15)+1</x:f>
        <x:v>410</x:v>
      </x:c>
      <x:c r="F456" s="18"/>
      <x:c r="G456" s="18"/>
      <x:c r="H456" s="18" t="str">
        <x:v>pairing identity only</x:v>
      </x:c>
    </x:row>
    <x:row r="457" ht="22" customHeight="1">
      <x:c r="A457" s="22" t="n">
        <x:v>432</x:v>
      </x:c>
      <x:c r="B457" s="22" t="n">
        <x:f>MOD($B$6*(A457-1)+$B$7,$A$12)+1</x:f>
        <x:v>108</x:v>
      </x:c>
      <x:c r="C457" s="22" t="n">
        <x:f>MOD($B$6*(A457-1)+$B$7,$A$13)+1</x:f>
        <x:v>233</x:v>
      </x:c>
      <x:c r="D457" s="22" t="n">
        <x:f>MOD($B$6*(A457-1)+$B$7,$A$14)+1</x:f>
        <x:v>483</x:v>
      </x:c>
      <x:c r="E457" s="22" t="n">
        <x:f>MOD($B$6*(A457-1)+$B$7,$A$15)+1</x:f>
        <x:v>483</x:v>
      </x:c>
      <x:c r="F457" s="18"/>
      <x:c r="G457" s="18"/>
      <x:c r="H457" s="18" t="str">
        <x:v>pairing identity only</x:v>
      </x:c>
    </x:row>
    <x:row r="458" ht="22" customHeight="1">
      <x:c r="A458" s="22" t="n">
        <x:v>433</x:v>
      </x:c>
      <x:c r="B458" s="22" t="n">
        <x:f>MOD($B$6*(A458-1)+$B$7,$A$12)+1</x:f>
        <x:v>56</x:v>
      </x:c>
      <x:c r="C458" s="22" t="n">
        <x:f>MOD($B$6*(A458-1)+$B$7,$A$13)+1</x:f>
        <x:v>56</x:v>
      </x:c>
      <x:c r="D458" s="22" t="n">
        <x:f>MOD($B$6*(A458-1)+$B$7,$A$14)+1</x:f>
        <x:v>56</x:v>
      </x:c>
      <x:c r="E458" s="22" t="n">
        <x:f>MOD($B$6*(A458-1)+$B$7,$A$15)+1</x:f>
        <x:v>556</x:v>
      </x:c>
      <x:c r="F458" s="18"/>
      <x:c r="G458" s="18"/>
      <x:c r="H458" s="18" t="str">
        <x:v>pairing identity only</x:v>
      </x:c>
    </x:row>
    <x:row r="459" ht="22" customHeight="1">
      <x:c r="A459" s="22" t="n">
        <x:v>434</x:v>
      </x:c>
      <x:c r="B459" s="22" t="n">
        <x:f>MOD($B$6*(A459-1)+$B$7,$A$12)+1</x:f>
        <x:v>4</x:v>
      </x:c>
      <x:c r="C459" s="22" t="n">
        <x:f>MOD($B$6*(A459-1)+$B$7,$A$13)+1</x:f>
        <x:v>129</x:v>
      </x:c>
      <x:c r="D459" s="22" t="n">
        <x:f>MOD($B$6*(A459-1)+$B$7,$A$14)+1</x:f>
        <x:v>129</x:v>
      </x:c>
      <x:c r="E459" s="22" t="n">
        <x:f>MOD($B$6*(A459-1)+$B$7,$A$15)+1</x:f>
        <x:v>629</x:v>
      </x:c>
      <x:c r="F459" s="18"/>
      <x:c r="G459" s="18"/>
      <x:c r="H459" s="18" t="str">
        <x:v>pairing identity only</x:v>
      </x:c>
    </x:row>
    <x:row r="460" ht="22" customHeight="1">
      <x:c r="A460" s="22" t="n">
        <x:v>435</x:v>
      </x:c>
      <x:c r="B460" s="22" t="n">
        <x:f>MOD($B$6*(A460-1)+$B$7,$A$12)+1</x:f>
        <x:v>77</x:v>
      </x:c>
      <x:c r="C460" s="22" t="n">
        <x:f>MOD($B$6*(A460-1)+$B$7,$A$13)+1</x:f>
        <x:v>202</x:v>
      </x:c>
      <x:c r="D460" s="22" t="n">
        <x:f>MOD($B$6*(A460-1)+$B$7,$A$14)+1</x:f>
        <x:v>202</x:v>
      </x:c>
      <x:c r="E460" s="22" t="n">
        <x:f>MOD($B$6*(A460-1)+$B$7,$A$15)+1</x:f>
        <x:v>702</x:v>
      </x:c>
      <x:c r="F460" s="18"/>
      <x:c r="G460" s="18"/>
      <x:c r="H460" s="18" t="str">
        <x:v>pairing identity only</x:v>
      </x:c>
    </x:row>
    <x:row r="461" ht="22" customHeight="1">
      <x:c r="A461" s="22" t="n">
        <x:v>436</x:v>
      </x:c>
      <x:c r="B461" s="22" t="n">
        <x:f>MOD($B$6*(A461-1)+$B$7,$A$12)+1</x:f>
        <x:v>25</x:v>
      </x:c>
      <x:c r="C461" s="22" t="n">
        <x:f>MOD($B$6*(A461-1)+$B$7,$A$13)+1</x:f>
        <x:v>25</x:v>
      </x:c>
      <x:c r="D461" s="22" t="n">
        <x:f>MOD($B$6*(A461-1)+$B$7,$A$14)+1</x:f>
        <x:v>275</x:v>
      </x:c>
      <x:c r="E461" s="22" t="n">
        <x:f>MOD($B$6*(A461-1)+$B$7,$A$15)+1</x:f>
        <x:v>775</x:v>
      </x:c>
      <x:c r="F461" s="18"/>
      <x:c r="G461" s="18"/>
      <x:c r="H461" s="18" t="str">
        <x:v>pairing identity only</x:v>
      </x:c>
    </x:row>
    <x:row r="462" ht="22" customHeight="1">
      <x:c r="A462" s="22" t="n">
        <x:v>437</x:v>
      </x:c>
      <x:c r="B462" s="22" t="n">
        <x:f>MOD($B$6*(A462-1)+$B$7,$A$12)+1</x:f>
        <x:v>98</x:v>
      </x:c>
      <x:c r="C462" s="22" t="n">
        <x:f>MOD($B$6*(A462-1)+$B$7,$A$13)+1</x:f>
        <x:v>98</x:v>
      </x:c>
      <x:c r="D462" s="22" t="n">
        <x:f>MOD($B$6*(A462-1)+$B$7,$A$14)+1</x:f>
        <x:v>348</x:v>
      </x:c>
      <x:c r="E462" s="22" t="n">
        <x:f>MOD($B$6*(A462-1)+$B$7,$A$15)+1</x:f>
        <x:v>848</x:v>
      </x:c>
      <x:c r="F462" s="18"/>
      <x:c r="G462" s="18"/>
      <x:c r="H462" s="18" t="str">
        <x:v>pairing identity only</x:v>
      </x:c>
    </x:row>
    <x:row r="463" ht="22" customHeight="1">
      <x:c r="A463" s="22" t="n">
        <x:v>438</x:v>
      </x:c>
      <x:c r="B463" s="22" t="n">
        <x:f>MOD($B$6*(A463-1)+$B$7,$A$12)+1</x:f>
        <x:v>46</x:v>
      </x:c>
      <x:c r="C463" s="22" t="n">
        <x:f>MOD($B$6*(A463-1)+$B$7,$A$13)+1</x:f>
        <x:v>171</x:v>
      </x:c>
      <x:c r="D463" s="22" t="n">
        <x:f>MOD($B$6*(A463-1)+$B$7,$A$14)+1</x:f>
        <x:v>421</x:v>
      </x:c>
      <x:c r="E463" s="22" t="n">
        <x:f>MOD($B$6*(A463-1)+$B$7,$A$15)+1</x:f>
        <x:v>921</x:v>
      </x:c>
      <x:c r="F463" s="18"/>
      <x:c r="G463" s="18"/>
      <x:c r="H463" s="18" t="str">
        <x:v>pairing identity only</x:v>
      </x:c>
    </x:row>
    <x:row r="464" ht="22" customHeight="1">
      <x:c r="A464" s="22" t="n">
        <x:v>439</x:v>
      </x:c>
      <x:c r="B464" s="22" t="n">
        <x:f>MOD($B$6*(A464-1)+$B$7,$A$12)+1</x:f>
        <x:v>119</x:v>
      </x:c>
      <x:c r="C464" s="22" t="n">
        <x:f>MOD($B$6*(A464-1)+$B$7,$A$13)+1</x:f>
        <x:v>244</x:v>
      </x:c>
      <x:c r="D464" s="22" t="n">
        <x:f>MOD($B$6*(A464-1)+$B$7,$A$14)+1</x:f>
        <x:v>494</x:v>
      </x:c>
      <x:c r="E464" s="22" t="n">
        <x:f>MOD($B$6*(A464-1)+$B$7,$A$15)+1</x:f>
        <x:v>994</x:v>
      </x:c>
      <x:c r="F464" s="18"/>
      <x:c r="G464" s="18"/>
      <x:c r="H464" s="18" t="str">
        <x:v>pairing identity only</x:v>
      </x:c>
    </x:row>
    <x:row r="465" ht="22" customHeight="1">
      <x:c r="A465" s="22" t="n">
        <x:v>440</x:v>
      </x:c>
      <x:c r="B465" s="22" t="n">
        <x:f>MOD($B$6*(A465-1)+$B$7,$A$12)+1</x:f>
        <x:v>67</x:v>
      </x:c>
      <x:c r="C465" s="22" t="n">
        <x:f>MOD($B$6*(A465-1)+$B$7,$A$13)+1</x:f>
        <x:v>67</x:v>
      </x:c>
      <x:c r="D465" s="22" t="n">
        <x:f>MOD($B$6*(A465-1)+$B$7,$A$14)+1</x:f>
        <x:v>67</x:v>
      </x:c>
      <x:c r="E465" s="22" t="n">
        <x:f>MOD($B$6*(A465-1)+$B$7,$A$15)+1</x:f>
        <x:v>67</x:v>
      </x:c>
      <x:c r="F465" s="18"/>
      <x:c r="G465" s="18"/>
      <x:c r="H465" s="18" t="str">
        <x:v>pairing identity only</x:v>
      </x:c>
    </x:row>
    <x:row r="466" ht="22" customHeight="1">
      <x:c r="A466" s="22" t="n">
        <x:v>441</x:v>
      </x:c>
      <x:c r="B466" s="22" t="n">
        <x:f>MOD($B$6*(A466-1)+$B$7,$A$12)+1</x:f>
        <x:v>15</x:v>
      </x:c>
      <x:c r="C466" s="22" t="n">
        <x:f>MOD($B$6*(A466-1)+$B$7,$A$13)+1</x:f>
        <x:v>140</x:v>
      </x:c>
      <x:c r="D466" s="22" t="n">
        <x:f>MOD($B$6*(A466-1)+$B$7,$A$14)+1</x:f>
        <x:v>140</x:v>
      </x:c>
      <x:c r="E466" s="22" t="n">
        <x:f>MOD($B$6*(A466-1)+$B$7,$A$15)+1</x:f>
        <x:v>140</x:v>
      </x:c>
      <x:c r="F466" s="18"/>
      <x:c r="G466" s="18"/>
      <x:c r="H466" s="18" t="str">
        <x:v>pairing identity only</x:v>
      </x:c>
    </x:row>
    <x:row r="467" ht="22" customHeight="1">
      <x:c r="A467" s="22" t="n">
        <x:v>442</x:v>
      </x:c>
      <x:c r="B467" s="22" t="n">
        <x:f>MOD($B$6*(A467-1)+$B$7,$A$12)+1</x:f>
        <x:v>88</x:v>
      </x:c>
      <x:c r="C467" s="22" t="n">
        <x:f>MOD($B$6*(A467-1)+$B$7,$A$13)+1</x:f>
        <x:v>213</x:v>
      </x:c>
      <x:c r="D467" s="22" t="n">
        <x:f>MOD($B$6*(A467-1)+$B$7,$A$14)+1</x:f>
        <x:v>213</x:v>
      </x:c>
      <x:c r="E467" s="22" t="n">
        <x:f>MOD($B$6*(A467-1)+$B$7,$A$15)+1</x:f>
        <x:v>213</x:v>
      </x:c>
      <x:c r="F467" s="18"/>
      <x:c r="G467" s="18"/>
      <x:c r="H467" s="18" t="str">
        <x:v>pairing identity only</x:v>
      </x:c>
    </x:row>
    <x:row r="468" ht="22" customHeight="1">
      <x:c r="A468" s="22" t="n">
        <x:v>443</x:v>
      </x:c>
      <x:c r="B468" s="22" t="n">
        <x:f>MOD($B$6*(A468-1)+$B$7,$A$12)+1</x:f>
        <x:v>36</x:v>
      </x:c>
      <x:c r="C468" s="22" t="n">
        <x:f>MOD($B$6*(A468-1)+$B$7,$A$13)+1</x:f>
        <x:v>36</x:v>
      </x:c>
      <x:c r="D468" s="22" t="n">
        <x:f>MOD($B$6*(A468-1)+$B$7,$A$14)+1</x:f>
        <x:v>286</x:v>
      </x:c>
      <x:c r="E468" s="22" t="n">
        <x:f>MOD($B$6*(A468-1)+$B$7,$A$15)+1</x:f>
        <x:v>286</x:v>
      </x:c>
      <x:c r="F468" s="18"/>
      <x:c r="G468" s="18"/>
      <x:c r="H468" s="18" t="str">
        <x:v>pairing identity only</x:v>
      </x:c>
    </x:row>
    <x:row r="469" ht="22" customHeight="1">
      <x:c r="A469" s="22" t="n">
        <x:v>444</x:v>
      </x:c>
      <x:c r="B469" s="22" t="n">
        <x:f>MOD($B$6*(A469-1)+$B$7,$A$12)+1</x:f>
        <x:v>109</x:v>
      </x:c>
      <x:c r="C469" s="22" t="n">
        <x:f>MOD($B$6*(A469-1)+$B$7,$A$13)+1</x:f>
        <x:v>109</x:v>
      </x:c>
      <x:c r="D469" s="22" t="n">
        <x:f>MOD($B$6*(A469-1)+$B$7,$A$14)+1</x:f>
        <x:v>359</x:v>
      </x:c>
      <x:c r="E469" s="22" t="n">
        <x:f>MOD($B$6*(A469-1)+$B$7,$A$15)+1</x:f>
        <x:v>359</x:v>
      </x:c>
      <x:c r="F469" s="18"/>
      <x:c r="G469" s="18"/>
      <x:c r="H469" s="18" t="str">
        <x:v>pairing identity only</x:v>
      </x:c>
    </x:row>
    <x:row r="470" ht="22" customHeight="1">
      <x:c r="A470" s="22" t="n">
        <x:v>445</x:v>
      </x:c>
      <x:c r="B470" s="22" t="n">
        <x:f>MOD($B$6*(A470-1)+$B$7,$A$12)+1</x:f>
        <x:v>57</x:v>
      </x:c>
      <x:c r="C470" s="22" t="n">
        <x:f>MOD($B$6*(A470-1)+$B$7,$A$13)+1</x:f>
        <x:v>182</x:v>
      </x:c>
      <x:c r="D470" s="22" t="n">
        <x:f>MOD($B$6*(A470-1)+$B$7,$A$14)+1</x:f>
        <x:v>432</x:v>
      </x:c>
      <x:c r="E470" s="22" t="n">
        <x:f>MOD($B$6*(A470-1)+$B$7,$A$15)+1</x:f>
        <x:v>432</x:v>
      </x:c>
      <x:c r="F470" s="18"/>
      <x:c r="G470" s="18"/>
      <x:c r="H470" s="18" t="str">
        <x:v>pairing identity only</x:v>
      </x:c>
    </x:row>
    <x:row r="471" ht="22" customHeight="1">
      <x:c r="A471" s="22" t="n">
        <x:v>446</x:v>
      </x:c>
      <x:c r="B471" s="22" t="n">
        <x:f>MOD($B$6*(A471-1)+$B$7,$A$12)+1</x:f>
        <x:v>5</x:v>
      </x:c>
      <x:c r="C471" s="22" t="n">
        <x:f>MOD($B$6*(A471-1)+$B$7,$A$13)+1</x:f>
        <x:v>5</x:v>
      </x:c>
      <x:c r="D471" s="22" t="n">
        <x:f>MOD($B$6*(A471-1)+$B$7,$A$14)+1</x:f>
        <x:v>5</x:v>
      </x:c>
      <x:c r="E471" s="22" t="n">
        <x:f>MOD($B$6*(A471-1)+$B$7,$A$15)+1</x:f>
        <x:v>505</x:v>
      </x:c>
      <x:c r="F471" s="18"/>
      <x:c r="G471" s="18"/>
      <x:c r="H471" s="18" t="str">
        <x:v>pairing identity only</x:v>
      </x:c>
    </x:row>
    <x:row r="472" ht="22" customHeight="1">
      <x:c r="A472" s="22" t="n">
        <x:v>447</x:v>
      </x:c>
      <x:c r="B472" s="22" t="n">
        <x:f>MOD($B$6*(A472-1)+$B$7,$A$12)+1</x:f>
        <x:v>78</x:v>
      </x:c>
      <x:c r="C472" s="22" t="n">
        <x:f>MOD($B$6*(A472-1)+$B$7,$A$13)+1</x:f>
        <x:v>78</x:v>
      </x:c>
      <x:c r="D472" s="22" t="n">
        <x:f>MOD($B$6*(A472-1)+$B$7,$A$14)+1</x:f>
        <x:v>78</x:v>
      </x:c>
      <x:c r="E472" s="22" t="n">
        <x:f>MOD($B$6*(A472-1)+$B$7,$A$15)+1</x:f>
        <x:v>578</x:v>
      </x:c>
      <x:c r="F472" s="18"/>
      <x:c r="G472" s="18"/>
      <x:c r="H472" s="18" t="str">
        <x:v>pairing identity only</x:v>
      </x:c>
    </x:row>
    <x:row r="473" ht="22" customHeight="1">
      <x:c r="A473" s="22" t="n">
        <x:v>448</x:v>
      </x:c>
      <x:c r="B473" s="22" t="n">
        <x:f>MOD($B$6*(A473-1)+$B$7,$A$12)+1</x:f>
        <x:v>26</x:v>
      </x:c>
      <x:c r="C473" s="22" t="n">
        <x:f>MOD($B$6*(A473-1)+$B$7,$A$13)+1</x:f>
        <x:v>151</x:v>
      </x:c>
      <x:c r="D473" s="22" t="n">
        <x:f>MOD($B$6*(A473-1)+$B$7,$A$14)+1</x:f>
        <x:v>151</x:v>
      </x:c>
      <x:c r="E473" s="22" t="n">
        <x:f>MOD($B$6*(A473-1)+$B$7,$A$15)+1</x:f>
        <x:v>651</x:v>
      </x:c>
      <x:c r="F473" s="18"/>
      <x:c r="G473" s="18"/>
      <x:c r="H473" s="18" t="str">
        <x:v>pairing identity only</x:v>
      </x:c>
    </x:row>
    <x:row r="474" ht="22" customHeight="1">
      <x:c r="A474" s="22" t="n">
        <x:v>449</x:v>
      </x:c>
      <x:c r="B474" s="22" t="n">
        <x:f>MOD($B$6*(A474-1)+$B$7,$A$12)+1</x:f>
        <x:v>99</x:v>
      </x:c>
      <x:c r="C474" s="22" t="n">
        <x:f>MOD($B$6*(A474-1)+$B$7,$A$13)+1</x:f>
        <x:v>224</x:v>
      </x:c>
      <x:c r="D474" s="22" t="n">
        <x:f>MOD($B$6*(A474-1)+$B$7,$A$14)+1</x:f>
        <x:v>224</x:v>
      </x:c>
      <x:c r="E474" s="22" t="n">
        <x:f>MOD($B$6*(A474-1)+$B$7,$A$15)+1</x:f>
        <x:v>724</x:v>
      </x:c>
      <x:c r="F474" s="18"/>
      <x:c r="G474" s="18"/>
      <x:c r="H474" s="18" t="str">
        <x:v>pairing identity only</x:v>
      </x:c>
    </x:row>
    <x:row r="475" ht="22" customHeight="1">
      <x:c r="A475" s="22" t="n">
        <x:v>450</x:v>
      </x:c>
      <x:c r="B475" s="22" t="n">
        <x:f>MOD($B$6*(A475-1)+$B$7,$A$12)+1</x:f>
        <x:v>47</x:v>
      </x:c>
      <x:c r="C475" s="22" t="n">
        <x:f>MOD($B$6*(A475-1)+$B$7,$A$13)+1</x:f>
        <x:v>47</x:v>
      </x:c>
      <x:c r="D475" s="22" t="n">
        <x:f>MOD($B$6*(A475-1)+$B$7,$A$14)+1</x:f>
        <x:v>297</x:v>
      </x:c>
      <x:c r="E475" s="22" t="n">
        <x:f>MOD($B$6*(A475-1)+$B$7,$A$15)+1</x:f>
        <x:v>797</x:v>
      </x:c>
      <x:c r="F475" s="18"/>
      <x:c r="G475" s="18"/>
      <x:c r="H475" s="18" t="str">
        <x:v>pairing identity only</x:v>
      </x:c>
    </x:row>
    <x:row r="476" ht="22" customHeight="1">
      <x:c r="A476" s="22" t="n">
        <x:v>451</x:v>
      </x:c>
      <x:c r="B476" s="22" t="n">
        <x:f>MOD($B$6*(A476-1)+$B$7,$A$12)+1</x:f>
        <x:v>120</x:v>
      </x:c>
      <x:c r="C476" s="22" t="n">
        <x:f>MOD($B$6*(A476-1)+$B$7,$A$13)+1</x:f>
        <x:v>120</x:v>
      </x:c>
      <x:c r="D476" s="22" t="n">
        <x:f>MOD($B$6*(A476-1)+$B$7,$A$14)+1</x:f>
        <x:v>370</x:v>
      </x:c>
      <x:c r="E476" s="22" t="n">
        <x:f>MOD($B$6*(A476-1)+$B$7,$A$15)+1</x:f>
        <x:v>870</x:v>
      </x:c>
      <x:c r="F476" s="18"/>
      <x:c r="G476" s="18"/>
      <x:c r="H476" s="18" t="str">
        <x:v>pairing identity only</x:v>
      </x:c>
    </x:row>
    <x:row r="477" ht="22" customHeight="1">
      <x:c r="A477" s="22" t="n">
        <x:v>452</x:v>
      </x:c>
      <x:c r="B477" s="22" t="n">
        <x:f>MOD($B$6*(A477-1)+$B$7,$A$12)+1</x:f>
        <x:v>68</x:v>
      </x:c>
      <x:c r="C477" s="22" t="n">
        <x:f>MOD($B$6*(A477-1)+$B$7,$A$13)+1</x:f>
        <x:v>193</x:v>
      </x:c>
      <x:c r="D477" s="22" t="n">
        <x:f>MOD($B$6*(A477-1)+$B$7,$A$14)+1</x:f>
        <x:v>443</x:v>
      </x:c>
      <x:c r="E477" s="22" t="n">
        <x:f>MOD($B$6*(A477-1)+$B$7,$A$15)+1</x:f>
        <x:v>943</x:v>
      </x:c>
      <x:c r="F477" s="18"/>
      <x:c r="G477" s="18"/>
      <x:c r="H477" s="18" t="str">
        <x:v>pairing identity only</x:v>
      </x:c>
    </x:row>
    <x:row r="478" ht="22" customHeight="1">
      <x:c r="A478" s="22" t="n">
        <x:v>453</x:v>
      </x:c>
      <x:c r="B478" s="22" t="n">
        <x:f>MOD($B$6*(A478-1)+$B$7,$A$12)+1</x:f>
        <x:v>16</x:v>
      </x:c>
      <x:c r="C478" s="22" t="n">
        <x:f>MOD($B$6*(A478-1)+$B$7,$A$13)+1</x:f>
        <x:v>16</x:v>
      </x:c>
      <x:c r="D478" s="22" t="n">
        <x:f>MOD($B$6*(A478-1)+$B$7,$A$14)+1</x:f>
        <x:v>16</x:v>
      </x:c>
      <x:c r="E478" s="22" t="n">
        <x:f>MOD($B$6*(A478-1)+$B$7,$A$15)+1</x:f>
        <x:v>16</x:v>
      </x:c>
      <x:c r="F478" s="18"/>
      <x:c r="G478" s="18"/>
      <x:c r="H478" s="18" t="str">
        <x:v>pairing identity only</x:v>
      </x:c>
    </x:row>
    <x:row r="479" ht="22" customHeight="1">
      <x:c r="A479" s="22" t="n">
        <x:v>454</x:v>
      </x:c>
      <x:c r="B479" s="22" t="n">
        <x:f>MOD($B$6*(A479-1)+$B$7,$A$12)+1</x:f>
        <x:v>89</x:v>
      </x:c>
      <x:c r="C479" s="22" t="n">
        <x:f>MOD($B$6*(A479-1)+$B$7,$A$13)+1</x:f>
        <x:v>89</x:v>
      </x:c>
      <x:c r="D479" s="22" t="n">
        <x:f>MOD($B$6*(A479-1)+$B$7,$A$14)+1</x:f>
        <x:v>89</x:v>
      </x:c>
      <x:c r="E479" s="22" t="n">
        <x:f>MOD($B$6*(A479-1)+$B$7,$A$15)+1</x:f>
        <x:v>89</x:v>
      </x:c>
      <x:c r="F479" s="18"/>
      <x:c r="G479" s="18"/>
      <x:c r="H479" s="18" t="str">
        <x:v>pairing identity only</x:v>
      </x:c>
    </x:row>
    <x:row r="480" ht="22" customHeight="1">
      <x:c r="A480" s="22" t="n">
        <x:v>455</x:v>
      </x:c>
      <x:c r="B480" s="22" t="n">
        <x:f>MOD($B$6*(A480-1)+$B$7,$A$12)+1</x:f>
        <x:v>37</x:v>
      </x:c>
      <x:c r="C480" s="22" t="n">
        <x:f>MOD($B$6*(A480-1)+$B$7,$A$13)+1</x:f>
        <x:v>162</x:v>
      </x:c>
      <x:c r="D480" s="22" t="n">
        <x:f>MOD($B$6*(A480-1)+$B$7,$A$14)+1</x:f>
        <x:v>162</x:v>
      </x:c>
      <x:c r="E480" s="22" t="n">
        <x:f>MOD($B$6*(A480-1)+$B$7,$A$15)+1</x:f>
        <x:v>162</x:v>
      </x:c>
      <x:c r="F480" s="18"/>
      <x:c r="G480" s="18"/>
      <x:c r="H480" s="18" t="str">
        <x:v>pairing identity only</x:v>
      </x:c>
    </x:row>
    <x:row r="481" ht="22" customHeight="1">
      <x:c r="A481" s="22" t="n">
        <x:v>456</x:v>
      </x:c>
      <x:c r="B481" s="22" t="n">
        <x:f>MOD($B$6*(A481-1)+$B$7,$A$12)+1</x:f>
        <x:v>110</x:v>
      </x:c>
      <x:c r="C481" s="22" t="n">
        <x:f>MOD($B$6*(A481-1)+$B$7,$A$13)+1</x:f>
        <x:v>235</x:v>
      </x:c>
      <x:c r="D481" s="22" t="n">
        <x:f>MOD($B$6*(A481-1)+$B$7,$A$14)+1</x:f>
        <x:v>235</x:v>
      </x:c>
      <x:c r="E481" s="22" t="n">
        <x:f>MOD($B$6*(A481-1)+$B$7,$A$15)+1</x:f>
        <x:v>235</x:v>
      </x:c>
      <x:c r="F481" s="18"/>
      <x:c r="G481" s="18"/>
      <x:c r="H481" s="18" t="str">
        <x:v>pairing identity only</x:v>
      </x:c>
    </x:row>
    <x:row r="482" ht="22" customHeight="1">
      <x:c r="A482" s="22" t="n">
        <x:v>457</x:v>
      </x:c>
      <x:c r="B482" s="22" t="n">
        <x:f>MOD($B$6*(A482-1)+$B$7,$A$12)+1</x:f>
        <x:v>58</x:v>
      </x:c>
      <x:c r="C482" s="22" t="n">
        <x:f>MOD($B$6*(A482-1)+$B$7,$A$13)+1</x:f>
        <x:v>58</x:v>
      </x:c>
      <x:c r="D482" s="22" t="n">
        <x:f>MOD($B$6*(A482-1)+$B$7,$A$14)+1</x:f>
        <x:v>308</x:v>
      </x:c>
      <x:c r="E482" s="22" t="n">
        <x:f>MOD($B$6*(A482-1)+$B$7,$A$15)+1</x:f>
        <x:v>308</x:v>
      </x:c>
      <x:c r="F482" s="18"/>
      <x:c r="G482" s="18"/>
      <x:c r="H482" s="18" t="str">
        <x:v>pairing identity only</x:v>
      </x:c>
    </x:row>
    <x:row r="483" ht="22" customHeight="1">
      <x:c r="A483" s="22" t="n">
        <x:v>458</x:v>
      </x:c>
      <x:c r="B483" s="22" t="n">
        <x:f>MOD($B$6*(A483-1)+$B$7,$A$12)+1</x:f>
        <x:v>6</x:v>
      </x:c>
      <x:c r="C483" s="22" t="n">
        <x:f>MOD($B$6*(A483-1)+$B$7,$A$13)+1</x:f>
        <x:v>131</x:v>
      </x:c>
      <x:c r="D483" s="22" t="n">
        <x:f>MOD($B$6*(A483-1)+$B$7,$A$14)+1</x:f>
        <x:v>381</x:v>
      </x:c>
      <x:c r="E483" s="22" t="n">
        <x:f>MOD($B$6*(A483-1)+$B$7,$A$15)+1</x:f>
        <x:v>381</x:v>
      </x:c>
      <x:c r="F483" s="18"/>
      <x:c r="G483" s="18"/>
      <x:c r="H483" s="18" t="str">
        <x:v>pairing identity only</x:v>
      </x:c>
    </x:row>
    <x:row r="484" ht="22" customHeight="1">
      <x:c r="A484" s="22" t="n">
        <x:v>459</x:v>
      </x:c>
      <x:c r="B484" s="22" t="n">
        <x:f>MOD($B$6*(A484-1)+$B$7,$A$12)+1</x:f>
        <x:v>79</x:v>
      </x:c>
      <x:c r="C484" s="22" t="n">
        <x:f>MOD($B$6*(A484-1)+$B$7,$A$13)+1</x:f>
        <x:v>204</x:v>
      </x:c>
      <x:c r="D484" s="22" t="n">
        <x:f>MOD($B$6*(A484-1)+$B$7,$A$14)+1</x:f>
        <x:v>454</x:v>
      </x:c>
      <x:c r="E484" s="22" t="n">
        <x:f>MOD($B$6*(A484-1)+$B$7,$A$15)+1</x:f>
        <x:v>454</x:v>
      </x:c>
      <x:c r="F484" s="18"/>
      <x:c r="G484" s="18"/>
      <x:c r="H484" s="18" t="str">
        <x:v>pairing identity only</x:v>
      </x:c>
    </x:row>
    <x:row r="485" ht="22" customHeight="1">
      <x:c r="A485" s="22" t="n">
        <x:v>460</x:v>
      </x:c>
      <x:c r="B485" s="22" t="n">
        <x:f>MOD($B$6*(A485-1)+$B$7,$A$12)+1</x:f>
        <x:v>27</x:v>
      </x:c>
      <x:c r="C485" s="22" t="n">
        <x:f>MOD($B$6*(A485-1)+$B$7,$A$13)+1</x:f>
        <x:v>27</x:v>
      </x:c>
      <x:c r="D485" s="22" t="n">
        <x:f>MOD($B$6*(A485-1)+$B$7,$A$14)+1</x:f>
        <x:v>27</x:v>
      </x:c>
      <x:c r="E485" s="22" t="n">
        <x:f>MOD($B$6*(A485-1)+$B$7,$A$15)+1</x:f>
        <x:v>527</x:v>
      </x:c>
      <x:c r="F485" s="18"/>
      <x:c r="G485" s="18"/>
      <x:c r="H485" s="18" t="str">
        <x:v>pairing identity only</x:v>
      </x:c>
    </x:row>
    <x:row r="486" ht="22" customHeight="1">
      <x:c r="A486" s="22" t="n">
        <x:v>461</x:v>
      </x:c>
      <x:c r="B486" s="22" t="n">
        <x:f>MOD($B$6*(A486-1)+$B$7,$A$12)+1</x:f>
        <x:v>100</x:v>
      </x:c>
      <x:c r="C486" s="22" t="n">
        <x:f>MOD($B$6*(A486-1)+$B$7,$A$13)+1</x:f>
        <x:v>100</x:v>
      </x:c>
      <x:c r="D486" s="22" t="n">
        <x:f>MOD($B$6*(A486-1)+$B$7,$A$14)+1</x:f>
        <x:v>100</x:v>
      </x:c>
      <x:c r="E486" s="22" t="n">
        <x:f>MOD($B$6*(A486-1)+$B$7,$A$15)+1</x:f>
        <x:v>600</x:v>
      </x:c>
      <x:c r="F486" s="18"/>
      <x:c r="G486" s="18"/>
      <x:c r="H486" s="18" t="str">
        <x:v>pairing identity only</x:v>
      </x:c>
    </x:row>
    <x:row r="487" ht="22" customHeight="1">
      <x:c r="A487" s="22" t="n">
        <x:v>462</x:v>
      </x:c>
      <x:c r="B487" s="22" t="n">
        <x:f>MOD($B$6*(A487-1)+$B$7,$A$12)+1</x:f>
        <x:v>48</x:v>
      </x:c>
      <x:c r="C487" s="22" t="n">
        <x:f>MOD($B$6*(A487-1)+$B$7,$A$13)+1</x:f>
        <x:v>173</x:v>
      </x:c>
      <x:c r="D487" s="22" t="n">
        <x:f>MOD($B$6*(A487-1)+$B$7,$A$14)+1</x:f>
        <x:v>173</x:v>
      </x:c>
      <x:c r="E487" s="22" t="n">
        <x:f>MOD($B$6*(A487-1)+$B$7,$A$15)+1</x:f>
        <x:v>673</x:v>
      </x:c>
      <x:c r="F487" s="18"/>
      <x:c r="G487" s="18"/>
      <x:c r="H487" s="18" t="str">
        <x:v>pairing identity only</x:v>
      </x:c>
    </x:row>
    <x:row r="488" ht="22" customHeight="1">
      <x:c r="A488" s="22" t="n">
        <x:v>463</x:v>
      </x:c>
      <x:c r="B488" s="22" t="n">
        <x:f>MOD($B$6*(A488-1)+$B$7,$A$12)+1</x:f>
        <x:v>121</x:v>
      </x:c>
      <x:c r="C488" s="22" t="n">
        <x:f>MOD($B$6*(A488-1)+$B$7,$A$13)+1</x:f>
        <x:v>246</x:v>
      </x:c>
      <x:c r="D488" s="22" t="n">
        <x:f>MOD($B$6*(A488-1)+$B$7,$A$14)+1</x:f>
        <x:v>246</x:v>
      </x:c>
      <x:c r="E488" s="22" t="n">
        <x:f>MOD($B$6*(A488-1)+$B$7,$A$15)+1</x:f>
        <x:v>746</x:v>
      </x:c>
      <x:c r="F488" s="18"/>
      <x:c r="G488" s="18"/>
      <x:c r="H488" s="18" t="str">
        <x:v>pairing identity only</x:v>
      </x:c>
    </x:row>
    <x:row r="489" ht="22" customHeight="1">
      <x:c r="A489" s="22" t="n">
        <x:v>464</x:v>
      </x:c>
      <x:c r="B489" s="22" t="n">
        <x:f>MOD($B$6*(A489-1)+$B$7,$A$12)+1</x:f>
        <x:v>69</x:v>
      </x:c>
      <x:c r="C489" s="22" t="n">
        <x:f>MOD($B$6*(A489-1)+$B$7,$A$13)+1</x:f>
        <x:v>69</x:v>
      </x:c>
      <x:c r="D489" s="22" t="n">
        <x:f>MOD($B$6*(A489-1)+$B$7,$A$14)+1</x:f>
        <x:v>319</x:v>
      </x:c>
      <x:c r="E489" s="22" t="n">
        <x:f>MOD($B$6*(A489-1)+$B$7,$A$15)+1</x:f>
        <x:v>819</x:v>
      </x:c>
      <x:c r="F489" s="18"/>
      <x:c r="G489" s="18"/>
      <x:c r="H489" s="18" t="str">
        <x:v>pairing identity only</x:v>
      </x:c>
    </x:row>
    <x:row r="490" ht="22" customHeight="1">
      <x:c r="A490" s="22" t="n">
        <x:v>465</x:v>
      </x:c>
      <x:c r="B490" s="22" t="n">
        <x:f>MOD($B$6*(A490-1)+$B$7,$A$12)+1</x:f>
        <x:v>17</x:v>
      </x:c>
      <x:c r="C490" s="22" t="n">
        <x:f>MOD($B$6*(A490-1)+$B$7,$A$13)+1</x:f>
        <x:v>142</x:v>
      </x:c>
      <x:c r="D490" s="22" t="n">
        <x:f>MOD($B$6*(A490-1)+$B$7,$A$14)+1</x:f>
        <x:v>392</x:v>
      </x:c>
      <x:c r="E490" s="22" t="n">
        <x:f>MOD($B$6*(A490-1)+$B$7,$A$15)+1</x:f>
        <x:v>892</x:v>
      </x:c>
      <x:c r="F490" s="18"/>
      <x:c r="G490" s="18"/>
      <x:c r="H490" s="18" t="str">
        <x:v>pairing identity only</x:v>
      </x:c>
    </x:row>
    <x:row r="491" ht="22" customHeight="1">
      <x:c r="A491" s="22" t="n">
        <x:v>466</x:v>
      </x:c>
      <x:c r="B491" s="22" t="n">
        <x:f>MOD($B$6*(A491-1)+$B$7,$A$12)+1</x:f>
        <x:v>90</x:v>
      </x:c>
      <x:c r="C491" s="22" t="n">
        <x:f>MOD($B$6*(A491-1)+$B$7,$A$13)+1</x:f>
        <x:v>215</x:v>
      </x:c>
      <x:c r="D491" s="22" t="n">
        <x:f>MOD($B$6*(A491-1)+$B$7,$A$14)+1</x:f>
        <x:v>465</x:v>
      </x:c>
      <x:c r="E491" s="22" t="n">
        <x:f>MOD($B$6*(A491-1)+$B$7,$A$15)+1</x:f>
        <x:v>965</x:v>
      </x:c>
      <x:c r="F491" s="18"/>
      <x:c r="G491" s="18"/>
      <x:c r="H491" s="18" t="str">
        <x:v>pairing identity only</x:v>
      </x:c>
    </x:row>
    <x:row r="492" ht="22" customHeight="1">
      <x:c r="A492" s="22" t="n">
        <x:v>467</x:v>
      </x:c>
      <x:c r="B492" s="22" t="n">
        <x:f>MOD($B$6*(A492-1)+$B$7,$A$12)+1</x:f>
        <x:v>38</x:v>
      </x:c>
      <x:c r="C492" s="22" t="n">
        <x:f>MOD($B$6*(A492-1)+$B$7,$A$13)+1</x:f>
        <x:v>38</x:v>
      </x:c>
      <x:c r="D492" s="22" t="n">
        <x:f>MOD($B$6*(A492-1)+$B$7,$A$14)+1</x:f>
        <x:v>38</x:v>
      </x:c>
      <x:c r="E492" s="22" t="n">
        <x:f>MOD($B$6*(A492-1)+$B$7,$A$15)+1</x:f>
        <x:v>38</x:v>
      </x:c>
      <x:c r="F492" s="18"/>
      <x:c r="G492" s="18"/>
      <x:c r="H492" s="18" t="str">
        <x:v>pairing identity only</x:v>
      </x:c>
    </x:row>
    <x:row r="493" ht="22" customHeight="1">
      <x:c r="A493" s="22" t="n">
        <x:v>468</x:v>
      </x:c>
      <x:c r="B493" s="22" t="n">
        <x:f>MOD($B$6*(A493-1)+$B$7,$A$12)+1</x:f>
        <x:v>111</x:v>
      </x:c>
      <x:c r="C493" s="22" t="n">
        <x:f>MOD($B$6*(A493-1)+$B$7,$A$13)+1</x:f>
        <x:v>111</x:v>
      </x:c>
      <x:c r="D493" s="22" t="n">
        <x:f>MOD($B$6*(A493-1)+$B$7,$A$14)+1</x:f>
        <x:v>111</x:v>
      </x:c>
      <x:c r="E493" s="22" t="n">
        <x:f>MOD($B$6*(A493-1)+$B$7,$A$15)+1</x:f>
        <x:v>111</x:v>
      </x:c>
      <x:c r="F493" s="18"/>
      <x:c r="G493" s="18"/>
      <x:c r="H493" s="18" t="str">
        <x:v>pairing identity only</x:v>
      </x:c>
    </x:row>
    <x:row r="494" ht="22" customHeight="1">
      <x:c r="A494" s="22" t="n">
        <x:v>469</x:v>
      </x:c>
      <x:c r="B494" s="22" t="n">
        <x:f>MOD($B$6*(A494-1)+$B$7,$A$12)+1</x:f>
        <x:v>59</x:v>
      </x:c>
      <x:c r="C494" s="22" t="n">
        <x:f>MOD($B$6*(A494-1)+$B$7,$A$13)+1</x:f>
        <x:v>184</x:v>
      </x:c>
      <x:c r="D494" s="22" t="n">
        <x:f>MOD($B$6*(A494-1)+$B$7,$A$14)+1</x:f>
        <x:v>184</x:v>
      </x:c>
      <x:c r="E494" s="22" t="n">
        <x:f>MOD($B$6*(A494-1)+$B$7,$A$15)+1</x:f>
        <x:v>184</x:v>
      </x:c>
      <x:c r="F494" s="18"/>
      <x:c r="G494" s="18"/>
      <x:c r="H494" s="18" t="str">
        <x:v>pairing identity only</x:v>
      </x:c>
    </x:row>
    <x:row r="495" ht="22" customHeight="1">
      <x:c r="A495" s="22" t="n">
        <x:v>470</x:v>
      </x:c>
      <x:c r="B495" s="22" t="n">
        <x:f>MOD($B$6*(A495-1)+$B$7,$A$12)+1</x:f>
        <x:v>7</x:v>
      </x:c>
      <x:c r="C495" s="22" t="n">
        <x:f>MOD($B$6*(A495-1)+$B$7,$A$13)+1</x:f>
        <x:v>7</x:v>
      </x:c>
      <x:c r="D495" s="22" t="n">
        <x:f>MOD($B$6*(A495-1)+$B$7,$A$14)+1</x:f>
        <x:v>257</x:v>
      </x:c>
      <x:c r="E495" s="22" t="n">
        <x:f>MOD($B$6*(A495-1)+$B$7,$A$15)+1</x:f>
        <x:v>257</x:v>
      </x:c>
      <x:c r="F495" s="18"/>
      <x:c r="G495" s="18"/>
      <x:c r="H495" s="18" t="str">
        <x:v>pairing identity only</x:v>
      </x:c>
    </x:row>
    <x:row r="496" ht="22" customHeight="1">
      <x:c r="A496" s="22" t="n">
        <x:v>471</x:v>
      </x:c>
      <x:c r="B496" s="22" t="n">
        <x:f>MOD($B$6*(A496-1)+$B$7,$A$12)+1</x:f>
        <x:v>80</x:v>
      </x:c>
      <x:c r="C496" s="22" t="n">
        <x:f>MOD($B$6*(A496-1)+$B$7,$A$13)+1</x:f>
        <x:v>80</x:v>
      </x:c>
      <x:c r="D496" s="22" t="n">
        <x:f>MOD($B$6*(A496-1)+$B$7,$A$14)+1</x:f>
        <x:v>330</x:v>
      </x:c>
      <x:c r="E496" s="22" t="n">
        <x:f>MOD($B$6*(A496-1)+$B$7,$A$15)+1</x:f>
        <x:v>330</x:v>
      </x:c>
      <x:c r="F496" s="18"/>
      <x:c r="G496" s="18"/>
      <x:c r="H496" s="18" t="str">
        <x:v>pairing identity only</x:v>
      </x:c>
    </x:row>
    <x:row r="497" ht="22" customHeight="1">
      <x:c r="A497" s="22" t="n">
        <x:v>472</x:v>
      </x:c>
      <x:c r="B497" s="22" t="n">
        <x:f>MOD($B$6*(A497-1)+$B$7,$A$12)+1</x:f>
        <x:v>28</x:v>
      </x:c>
      <x:c r="C497" s="22" t="n">
        <x:f>MOD($B$6*(A497-1)+$B$7,$A$13)+1</x:f>
        <x:v>153</x:v>
      </x:c>
      <x:c r="D497" s="22" t="n">
        <x:f>MOD($B$6*(A497-1)+$B$7,$A$14)+1</x:f>
        <x:v>403</x:v>
      </x:c>
      <x:c r="E497" s="22" t="n">
        <x:f>MOD($B$6*(A497-1)+$B$7,$A$15)+1</x:f>
        <x:v>403</x:v>
      </x:c>
      <x:c r="F497" s="18"/>
      <x:c r="G497" s="18"/>
      <x:c r="H497" s="18" t="str">
        <x:v>pairing identity only</x:v>
      </x:c>
    </x:row>
    <x:row r="498" ht="22" customHeight="1">
      <x:c r="A498" s="22" t="n">
        <x:v>473</x:v>
      </x:c>
      <x:c r="B498" s="22" t="n">
        <x:f>MOD($B$6*(A498-1)+$B$7,$A$12)+1</x:f>
        <x:v>101</x:v>
      </x:c>
      <x:c r="C498" s="22" t="n">
        <x:f>MOD($B$6*(A498-1)+$B$7,$A$13)+1</x:f>
        <x:v>226</x:v>
      </x:c>
      <x:c r="D498" s="22" t="n">
        <x:f>MOD($B$6*(A498-1)+$B$7,$A$14)+1</x:f>
        <x:v>476</x:v>
      </x:c>
      <x:c r="E498" s="22" t="n">
        <x:f>MOD($B$6*(A498-1)+$B$7,$A$15)+1</x:f>
        <x:v>476</x:v>
      </x:c>
      <x:c r="F498" s="18"/>
      <x:c r="G498" s="18"/>
      <x:c r="H498" s="18" t="str">
        <x:v>pairing identity only</x:v>
      </x:c>
    </x:row>
    <x:row r="499" ht="22" customHeight="1">
      <x:c r="A499" s="22" t="n">
        <x:v>474</x:v>
      </x:c>
      <x:c r="B499" s="22" t="n">
        <x:f>MOD($B$6*(A499-1)+$B$7,$A$12)+1</x:f>
        <x:v>49</x:v>
      </x:c>
      <x:c r="C499" s="22" t="n">
        <x:f>MOD($B$6*(A499-1)+$B$7,$A$13)+1</x:f>
        <x:v>49</x:v>
      </x:c>
      <x:c r="D499" s="22" t="n">
        <x:f>MOD($B$6*(A499-1)+$B$7,$A$14)+1</x:f>
        <x:v>49</x:v>
      </x:c>
      <x:c r="E499" s="22" t="n">
        <x:f>MOD($B$6*(A499-1)+$B$7,$A$15)+1</x:f>
        <x:v>549</x:v>
      </x:c>
      <x:c r="F499" s="18"/>
      <x:c r="G499" s="18"/>
      <x:c r="H499" s="18" t="str">
        <x:v>pairing identity only</x:v>
      </x:c>
    </x:row>
    <x:row r="500" ht="22" customHeight="1">
      <x:c r="A500" s="22" t="n">
        <x:v>475</x:v>
      </x:c>
      <x:c r="B500" s="22" t="n">
        <x:f>MOD($B$6*(A500-1)+$B$7,$A$12)+1</x:f>
        <x:v>122</x:v>
      </x:c>
      <x:c r="C500" s="22" t="n">
        <x:f>MOD($B$6*(A500-1)+$B$7,$A$13)+1</x:f>
        <x:v>122</x:v>
      </x:c>
      <x:c r="D500" s="22" t="n">
        <x:f>MOD($B$6*(A500-1)+$B$7,$A$14)+1</x:f>
        <x:v>122</x:v>
      </x:c>
      <x:c r="E500" s="22" t="n">
        <x:f>MOD($B$6*(A500-1)+$B$7,$A$15)+1</x:f>
        <x:v>622</x:v>
      </x:c>
      <x:c r="F500" s="18"/>
      <x:c r="G500" s="18"/>
      <x:c r="H500" s="18" t="str">
        <x:v>pairing identity only</x:v>
      </x:c>
    </x:row>
    <x:row r="501" ht="22" customHeight="1">
      <x:c r="A501" s="22" t="n">
        <x:v>476</x:v>
      </x:c>
      <x:c r="B501" s="22" t="n">
        <x:f>MOD($B$6*(A501-1)+$B$7,$A$12)+1</x:f>
        <x:v>70</x:v>
      </x:c>
      <x:c r="C501" s="22" t="n">
        <x:f>MOD($B$6*(A501-1)+$B$7,$A$13)+1</x:f>
        <x:v>195</x:v>
      </x:c>
      <x:c r="D501" s="22" t="n">
        <x:f>MOD($B$6*(A501-1)+$B$7,$A$14)+1</x:f>
        <x:v>195</x:v>
      </x:c>
      <x:c r="E501" s="22" t="n">
        <x:f>MOD($B$6*(A501-1)+$B$7,$A$15)+1</x:f>
        <x:v>695</x:v>
      </x:c>
      <x:c r="F501" s="18"/>
      <x:c r="G501" s="18"/>
      <x:c r="H501" s="18" t="str">
        <x:v>pairing identity only</x:v>
      </x:c>
    </x:row>
    <x:row r="502" ht="22" customHeight="1">
      <x:c r="A502" s="22" t="n">
        <x:v>477</x:v>
      </x:c>
      <x:c r="B502" s="22" t="n">
        <x:f>MOD($B$6*(A502-1)+$B$7,$A$12)+1</x:f>
        <x:v>18</x:v>
      </x:c>
      <x:c r="C502" s="22" t="n">
        <x:f>MOD($B$6*(A502-1)+$B$7,$A$13)+1</x:f>
        <x:v>18</x:v>
      </x:c>
      <x:c r="D502" s="22" t="n">
        <x:f>MOD($B$6*(A502-1)+$B$7,$A$14)+1</x:f>
        <x:v>268</x:v>
      </x:c>
      <x:c r="E502" s="22" t="n">
        <x:f>MOD($B$6*(A502-1)+$B$7,$A$15)+1</x:f>
        <x:v>768</x:v>
      </x:c>
      <x:c r="F502" s="18"/>
      <x:c r="G502" s="18"/>
      <x:c r="H502" s="18" t="str">
        <x:v>pairing identity only</x:v>
      </x:c>
    </x:row>
    <x:row r="503" ht="22" customHeight="1">
      <x:c r="A503" s="22" t="n">
        <x:v>478</x:v>
      </x:c>
      <x:c r="B503" s="22" t="n">
        <x:f>MOD($B$6*(A503-1)+$B$7,$A$12)+1</x:f>
        <x:v>91</x:v>
      </x:c>
      <x:c r="C503" s="22" t="n">
        <x:f>MOD($B$6*(A503-1)+$B$7,$A$13)+1</x:f>
        <x:v>91</x:v>
      </x:c>
      <x:c r="D503" s="22" t="n">
        <x:f>MOD($B$6*(A503-1)+$B$7,$A$14)+1</x:f>
        <x:v>341</x:v>
      </x:c>
      <x:c r="E503" s="22" t="n">
        <x:f>MOD($B$6*(A503-1)+$B$7,$A$15)+1</x:f>
        <x:v>841</x:v>
      </x:c>
      <x:c r="F503" s="18"/>
      <x:c r="G503" s="18"/>
      <x:c r="H503" s="18" t="str">
        <x:v>pairing identity only</x:v>
      </x:c>
    </x:row>
    <x:row r="504" ht="22" customHeight="1">
      <x:c r="A504" s="22" t="n">
        <x:v>479</x:v>
      </x:c>
      <x:c r="B504" s="22" t="n">
        <x:f>MOD($B$6*(A504-1)+$B$7,$A$12)+1</x:f>
        <x:v>39</x:v>
      </x:c>
      <x:c r="C504" s="22" t="n">
        <x:f>MOD($B$6*(A504-1)+$B$7,$A$13)+1</x:f>
        <x:v>164</x:v>
      </x:c>
      <x:c r="D504" s="22" t="n">
        <x:f>MOD($B$6*(A504-1)+$B$7,$A$14)+1</x:f>
        <x:v>414</x:v>
      </x:c>
      <x:c r="E504" s="22" t="n">
        <x:f>MOD($B$6*(A504-1)+$B$7,$A$15)+1</x:f>
        <x:v>914</x:v>
      </x:c>
      <x:c r="F504" s="18"/>
      <x:c r="G504" s="18"/>
      <x:c r="H504" s="18" t="str">
        <x:v>pairing identity only</x:v>
      </x:c>
    </x:row>
    <x:row r="505" ht="22" customHeight="1">
      <x:c r="A505" s="22" t="n">
        <x:v>480</x:v>
      </x:c>
      <x:c r="B505" s="22" t="n">
        <x:f>MOD($B$6*(A505-1)+$B$7,$A$12)+1</x:f>
        <x:v>112</x:v>
      </x:c>
      <x:c r="C505" s="22" t="n">
        <x:f>MOD($B$6*(A505-1)+$B$7,$A$13)+1</x:f>
        <x:v>237</x:v>
      </x:c>
      <x:c r="D505" s="22" t="n">
        <x:f>MOD($B$6*(A505-1)+$B$7,$A$14)+1</x:f>
        <x:v>487</x:v>
      </x:c>
      <x:c r="E505" s="22" t="n">
        <x:f>MOD($B$6*(A505-1)+$B$7,$A$15)+1</x:f>
        <x:v>987</x:v>
      </x:c>
      <x:c r="F505" s="18"/>
      <x:c r="G505" s="18"/>
      <x:c r="H505" s="18" t="str">
        <x:v>pairing identity only</x:v>
      </x:c>
    </x:row>
    <x:row r="506" ht="22" customHeight="1">
      <x:c r="A506" s="22" t="n">
        <x:v>481</x:v>
      </x:c>
      <x:c r="B506" s="22" t="n">
        <x:f>MOD($B$6*(A506-1)+$B$7,$A$12)+1</x:f>
        <x:v>60</x:v>
      </x:c>
      <x:c r="C506" s="22" t="n">
        <x:f>MOD($B$6*(A506-1)+$B$7,$A$13)+1</x:f>
        <x:v>60</x:v>
      </x:c>
      <x:c r="D506" s="22" t="n">
        <x:f>MOD($B$6*(A506-1)+$B$7,$A$14)+1</x:f>
        <x:v>60</x:v>
      </x:c>
      <x:c r="E506" s="22" t="n">
        <x:f>MOD($B$6*(A506-1)+$B$7,$A$15)+1</x:f>
        <x:v>60</x:v>
      </x:c>
      <x:c r="F506" s="18"/>
      <x:c r="G506" s="18"/>
      <x:c r="H506" s="18" t="str">
        <x:v>pairing identity only</x:v>
      </x:c>
    </x:row>
    <x:row r="507" ht="22" customHeight="1">
      <x:c r="A507" s="22" t="n">
        <x:v>482</x:v>
      </x:c>
      <x:c r="B507" s="22" t="n">
        <x:f>MOD($B$6*(A507-1)+$B$7,$A$12)+1</x:f>
        <x:v>8</x:v>
      </x:c>
      <x:c r="C507" s="22" t="n">
        <x:f>MOD($B$6*(A507-1)+$B$7,$A$13)+1</x:f>
        <x:v>133</x:v>
      </x:c>
      <x:c r="D507" s="22" t="n">
        <x:f>MOD($B$6*(A507-1)+$B$7,$A$14)+1</x:f>
        <x:v>133</x:v>
      </x:c>
      <x:c r="E507" s="22" t="n">
        <x:f>MOD($B$6*(A507-1)+$B$7,$A$15)+1</x:f>
        <x:v>133</x:v>
      </x:c>
      <x:c r="F507" s="18"/>
      <x:c r="G507" s="18"/>
      <x:c r="H507" s="18" t="str">
        <x:v>pairing identity only</x:v>
      </x:c>
    </x:row>
    <x:row r="508" ht="22" customHeight="1">
      <x:c r="A508" s="22" t="n">
        <x:v>483</x:v>
      </x:c>
      <x:c r="B508" s="22" t="n">
        <x:f>MOD($B$6*(A508-1)+$B$7,$A$12)+1</x:f>
        <x:v>81</x:v>
      </x:c>
      <x:c r="C508" s="22" t="n">
        <x:f>MOD($B$6*(A508-1)+$B$7,$A$13)+1</x:f>
        <x:v>206</x:v>
      </x:c>
      <x:c r="D508" s="22" t="n">
        <x:f>MOD($B$6*(A508-1)+$B$7,$A$14)+1</x:f>
        <x:v>206</x:v>
      </x:c>
      <x:c r="E508" s="22" t="n">
        <x:f>MOD($B$6*(A508-1)+$B$7,$A$15)+1</x:f>
        <x:v>206</x:v>
      </x:c>
      <x:c r="F508" s="18"/>
      <x:c r="G508" s="18"/>
      <x:c r="H508" s="18" t="str">
        <x:v>pairing identity only</x:v>
      </x:c>
    </x:row>
    <x:row r="509" ht="22" customHeight="1">
      <x:c r="A509" s="22" t="n">
        <x:v>484</x:v>
      </x:c>
      <x:c r="B509" s="22" t="n">
        <x:f>MOD($B$6*(A509-1)+$B$7,$A$12)+1</x:f>
        <x:v>29</x:v>
      </x:c>
      <x:c r="C509" s="22" t="n">
        <x:f>MOD($B$6*(A509-1)+$B$7,$A$13)+1</x:f>
        <x:v>29</x:v>
      </x:c>
      <x:c r="D509" s="22" t="n">
        <x:f>MOD($B$6*(A509-1)+$B$7,$A$14)+1</x:f>
        <x:v>279</x:v>
      </x:c>
      <x:c r="E509" s="22" t="n">
        <x:f>MOD($B$6*(A509-1)+$B$7,$A$15)+1</x:f>
        <x:v>279</x:v>
      </x:c>
      <x:c r="F509" s="18"/>
      <x:c r="G509" s="18"/>
      <x:c r="H509" s="18" t="str">
        <x:v>pairing identity only</x:v>
      </x:c>
    </x:row>
    <x:row r="510" ht="22" customHeight="1">
      <x:c r="A510" s="22" t="n">
        <x:v>485</x:v>
      </x:c>
      <x:c r="B510" s="22" t="n">
        <x:f>MOD($B$6*(A510-1)+$B$7,$A$12)+1</x:f>
        <x:v>102</x:v>
      </x:c>
      <x:c r="C510" s="22" t="n">
        <x:f>MOD($B$6*(A510-1)+$B$7,$A$13)+1</x:f>
        <x:v>102</x:v>
      </x:c>
      <x:c r="D510" s="22" t="n">
        <x:f>MOD($B$6*(A510-1)+$B$7,$A$14)+1</x:f>
        <x:v>352</x:v>
      </x:c>
      <x:c r="E510" s="22" t="n">
        <x:f>MOD($B$6*(A510-1)+$B$7,$A$15)+1</x:f>
        <x:v>352</x:v>
      </x:c>
      <x:c r="F510" s="18"/>
      <x:c r="G510" s="18"/>
      <x:c r="H510" s="18" t="str">
        <x:v>pairing identity only</x:v>
      </x:c>
    </x:row>
    <x:row r="511" ht="22" customHeight="1">
      <x:c r="A511" s="22" t="n">
        <x:v>486</x:v>
      </x:c>
      <x:c r="B511" s="22" t="n">
        <x:f>MOD($B$6*(A511-1)+$B$7,$A$12)+1</x:f>
        <x:v>50</x:v>
      </x:c>
      <x:c r="C511" s="22" t="n">
        <x:f>MOD($B$6*(A511-1)+$B$7,$A$13)+1</x:f>
        <x:v>175</x:v>
      </x:c>
      <x:c r="D511" s="22" t="n">
        <x:f>MOD($B$6*(A511-1)+$B$7,$A$14)+1</x:f>
        <x:v>425</x:v>
      </x:c>
      <x:c r="E511" s="22" t="n">
        <x:f>MOD($B$6*(A511-1)+$B$7,$A$15)+1</x:f>
        <x:v>425</x:v>
      </x:c>
      <x:c r="F511" s="18"/>
      <x:c r="G511" s="18"/>
      <x:c r="H511" s="18" t="str">
        <x:v>pairing identity only</x:v>
      </x:c>
    </x:row>
    <x:row r="512" ht="22" customHeight="1">
      <x:c r="A512" s="22" t="n">
        <x:v>487</x:v>
      </x:c>
      <x:c r="B512" s="22" t="n">
        <x:f>MOD($B$6*(A512-1)+$B$7,$A$12)+1</x:f>
        <x:v>123</x:v>
      </x:c>
      <x:c r="C512" s="22" t="n">
        <x:f>MOD($B$6*(A512-1)+$B$7,$A$13)+1</x:f>
        <x:v>248</x:v>
      </x:c>
      <x:c r="D512" s="22" t="n">
        <x:f>MOD($B$6*(A512-1)+$B$7,$A$14)+1</x:f>
        <x:v>498</x:v>
      </x:c>
      <x:c r="E512" s="22" t="n">
        <x:f>MOD($B$6*(A512-1)+$B$7,$A$15)+1</x:f>
        <x:v>498</x:v>
      </x:c>
      <x:c r="F512" s="18"/>
      <x:c r="G512" s="18"/>
      <x:c r="H512" s="18" t="str">
        <x:v>pairing identity only</x:v>
      </x:c>
    </x:row>
    <x:row r="513" ht="22" customHeight="1">
      <x:c r="A513" s="22" t="n">
        <x:v>488</x:v>
      </x:c>
      <x:c r="B513" s="22" t="n">
        <x:f>MOD($B$6*(A513-1)+$B$7,$A$12)+1</x:f>
        <x:v>71</x:v>
      </x:c>
      <x:c r="C513" s="22" t="n">
        <x:f>MOD($B$6*(A513-1)+$B$7,$A$13)+1</x:f>
        <x:v>71</x:v>
      </x:c>
      <x:c r="D513" s="22" t="n">
        <x:f>MOD($B$6*(A513-1)+$B$7,$A$14)+1</x:f>
        <x:v>71</x:v>
      </x:c>
      <x:c r="E513" s="22" t="n">
        <x:f>MOD($B$6*(A513-1)+$B$7,$A$15)+1</x:f>
        <x:v>571</x:v>
      </x:c>
      <x:c r="F513" s="18"/>
      <x:c r="G513" s="18"/>
      <x:c r="H513" s="18" t="str">
        <x:v>pairing identity only</x:v>
      </x:c>
    </x:row>
    <x:row r="514" ht="22" customHeight="1">
      <x:c r="A514" s="22" t="n">
        <x:v>489</x:v>
      </x:c>
      <x:c r="B514" s="22" t="n">
        <x:f>MOD($B$6*(A514-1)+$B$7,$A$12)+1</x:f>
        <x:v>19</x:v>
      </x:c>
      <x:c r="C514" s="22" t="n">
        <x:f>MOD($B$6*(A514-1)+$B$7,$A$13)+1</x:f>
        <x:v>144</x:v>
      </x:c>
      <x:c r="D514" s="22" t="n">
        <x:f>MOD($B$6*(A514-1)+$B$7,$A$14)+1</x:f>
        <x:v>144</x:v>
      </x:c>
      <x:c r="E514" s="22" t="n">
        <x:f>MOD($B$6*(A514-1)+$B$7,$A$15)+1</x:f>
        <x:v>644</x:v>
      </x:c>
      <x:c r="F514" s="18"/>
      <x:c r="G514" s="18"/>
      <x:c r="H514" s="18" t="str">
        <x:v>pairing identity only</x:v>
      </x:c>
    </x:row>
    <x:row r="515" ht="22" customHeight="1">
      <x:c r="A515" s="22" t="n">
        <x:v>490</x:v>
      </x:c>
      <x:c r="B515" s="22" t="n">
        <x:f>MOD($B$6*(A515-1)+$B$7,$A$12)+1</x:f>
        <x:v>92</x:v>
      </x:c>
      <x:c r="C515" s="22" t="n">
        <x:f>MOD($B$6*(A515-1)+$B$7,$A$13)+1</x:f>
        <x:v>217</x:v>
      </x:c>
      <x:c r="D515" s="22" t="n">
        <x:f>MOD($B$6*(A515-1)+$B$7,$A$14)+1</x:f>
        <x:v>217</x:v>
      </x:c>
      <x:c r="E515" s="22" t="n">
        <x:f>MOD($B$6*(A515-1)+$B$7,$A$15)+1</x:f>
        <x:v>717</x:v>
      </x:c>
      <x:c r="F515" s="18"/>
      <x:c r="G515" s="18"/>
      <x:c r="H515" s="18" t="str">
        <x:v>pairing identity only</x:v>
      </x:c>
    </x:row>
    <x:row r="516" ht="22" customHeight="1">
      <x:c r="A516" s="22" t="n">
        <x:v>491</x:v>
      </x:c>
      <x:c r="B516" s="22" t="n">
        <x:f>MOD($B$6*(A516-1)+$B$7,$A$12)+1</x:f>
        <x:v>40</x:v>
      </x:c>
      <x:c r="C516" s="22" t="n">
        <x:f>MOD($B$6*(A516-1)+$B$7,$A$13)+1</x:f>
        <x:v>40</x:v>
      </x:c>
      <x:c r="D516" s="22" t="n">
        <x:f>MOD($B$6*(A516-1)+$B$7,$A$14)+1</x:f>
        <x:v>290</x:v>
      </x:c>
      <x:c r="E516" s="22" t="n">
        <x:f>MOD($B$6*(A516-1)+$B$7,$A$15)+1</x:f>
        <x:v>790</x:v>
      </x:c>
      <x:c r="F516" s="18"/>
      <x:c r="G516" s="18"/>
      <x:c r="H516" s="18" t="str">
        <x:v>pairing identity only</x:v>
      </x:c>
    </x:row>
    <x:row r="517" ht="22" customHeight="1">
      <x:c r="A517" s="22" t="n">
        <x:v>492</x:v>
      </x:c>
      <x:c r="B517" s="22" t="n">
        <x:f>MOD($B$6*(A517-1)+$B$7,$A$12)+1</x:f>
        <x:v>113</x:v>
      </x:c>
      <x:c r="C517" s="22" t="n">
        <x:f>MOD($B$6*(A517-1)+$B$7,$A$13)+1</x:f>
        <x:v>113</x:v>
      </x:c>
      <x:c r="D517" s="22" t="n">
        <x:f>MOD($B$6*(A517-1)+$B$7,$A$14)+1</x:f>
        <x:v>363</x:v>
      </x:c>
      <x:c r="E517" s="22" t="n">
        <x:f>MOD($B$6*(A517-1)+$B$7,$A$15)+1</x:f>
        <x:v>863</x:v>
      </x:c>
      <x:c r="F517" s="18"/>
      <x:c r="G517" s="18"/>
      <x:c r="H517" s="18" t="str">
        <x:v>pairing identity only</x:v>
      </x:c>
    </x:row>
    <x:row r="518" ht="22" customHeight="1">
      <x:c r="A518" s="22" t="n">
        <x:v>493</x:v>
      </x:c>
      <x:c r="B518" s="22" t="n">
        <x:f>MOD($B$6*(A518-1)+$B$7,$A$12)+1</x:f>
        <x:v>61</x:v>
      </x:c>
      <x:c r="C518" s="22" t="n">
        <x:f>MOD($B$6*(A518-1)+$B$7,$A$13)+1</x:f>
        <x:v>186</x:v>
      </x:c>
      <x:c r="D518" s="22" t="n">
        <x:f>MOD($B$6*(A518-1)+$B$7,$A$14)+1</x:f>
        <x:v>436</x:v>
      </x:c>
      <x:c r="E518" s="22" t="n">
        <x:f>MOD($B$6*(A518-1)+$B$7,$A$15)+1</x:f>
        <x:v>936</x:v>
      </x:c>
      <x:c r="F518" s="18"/>
      <x:c r="G518" s="18"/>
      <x:c r="H518" s="18" t="str">
        <x:v>pairing identity only</x:v>
      </x:c>
    </x:row>
    <x:row r="519" ht="22" customHeight="1">
      <x:c r="A519" s="22" t="n">
        <x:v>494</x:v>
      </x:c>
      <x:c r="B519" s="22" t="n">
        <x:f>MOD($B$6*(A519-1)+$B$7,$A$12)+1</x:f>
        <x:v>9</x:v>
      </x:c>
      <x:c r="C519" s="22" t="n">
        <x:f>MOD($B$6*(A519-1)+$B$7,$A$13)+1</x:f>
        <x:v>9</x:v>
      </x:c>
      <x:c r="D519" s="22" t="n">
        <x:f>MOD($B$6*(A519-1)+$B$7,$A$14)+1</x:f>
        <x:v>9</x:v>
      </x:c>
      <x:c r="E519" s="22" t="n">
        <x:f>MOD($B$6*(A519-1)+$B$7,$A$15)+1</x:f>
        <x:v>9</x:v>
      </x:c>
      <x:c r="F519" s="18"/>
      <x:c r="G519" s="18"/>
      <x:c r="H519" s="18" t="str">
        <x:v>pairing identity only</x:v>
      </x:c>
    </x:row>
    <x:row r="520" ht="22" customHeight="1">
      <x:c r="A520" s="22" t="n">
        <x:v>495</x:v>
      </x:c>
      <x:c r="B520" s="22" t="n">
        <x:f>MOD($B$6*(A520-1)+$B$7,$A$12)+1</x:f>
        <x:v>82</x:v>
      </x:c>
      <x:c r="C520" s="22" t="n">
        <x:f>MOD($B$6*(A520-1)+$B$7,$A$13)+1</x:f>
        <x:v>82</x:v>
      </x:c>
      <x:c r="D520" s="22" t="n">
        <x:f>MOD($B$6*(A520-1)+$B$7,$A$14)+1</x:f>
        <x:v>82</x:v>
      </x:c>
      <x:c r="E520" s="22" t="n">
        <x:f>MOD($B$6*(A520-1)+$B$7,$A$15)+1</x:f>
        <x:v>82</x:v>
      </x:c>
      <x:c r="F520" s="18"/>
      <x:c r="G520" s="18"/>
      <x:c r="H520" s="18" t="str">
        <x:v>pairing identity only</x:v>
      </x:c>
    </x:row>
    <x:row r="521" ht="22" customHeight="1">
      <x:c r="A521" s="22" t="n">
        <x:v>496</x:v>
      </x:c>
      <x:c r="B521" s="22" t="n">
        <x:f>MOD($B$6*(A521-1)+$B$7,$A$12)+1</x:f>
        <x:v>30</x:v>
      </x:c>
      <x:c r="C521" s="22" t="n">
        <x:f>MOD($B$6*(A521-1)+$B$7,$A$13)+1</x:f>
        <x:v>155</x:v>
      </x:c>
      <x:c r="D521" s="22" t="n">
        <x:f>MOD($B$6*(A521-1)+$B$7,$A$14)+1</x:f>
        <x:v>155</x:v>
      </x:c>
      <x:c r="E521" s="22" t="n">
        <x:f>MOD($B$6*(A521-1)+$B$7,$A$15)+1</x:f>
        <x:v>155</x:v>
      </x:c>
      <x:c r="F521" s="18"/>
      <x:c r="G521" s="18"/>
      <x:c r="H521" s="18" t="str">
        <x:v>pairing identity only</x:v>
      </x:c>
    </x:row>
    <x:row r="522" ht="22" customHeight="1">
      <x:c r="A522" s="22" t="n">
        <x:v>497</x:v>
      </x:c>
      <x:c r="B522" s="22" t="n">
        <x:f>MOD($B$6*(A522-1)+$B$7,$A$12)+1</x:f>
        <x:v>103</x:v>
      </x:c>
      <x:c r="C522" s="22" t="n">
        <x:f>MOD($B$6*(A522-1)+$B$7,$A$13)+1</x:f>
        <x:v>228</x:v>
      </x:c>
      <x:c r="D522" s="22" t="n">
        <x:f>MOD($B$6*(A522-1)+$B$7,$A$14)+1</x:f>
        <x:v>228</x:v>
      </x:c>
      <x:c r="E522" s="22" t="n">
        <x:f>MOD($B$6*(A522-1)+$B$7,$A$15)+1</x:f>
        <x:v>228</x:v>
      </x:c>
      <x:c r="F522" s="18"/>
      <x:c r="G522" s="18"/>
      <x:c r="H522" s="18" t="str">
        <x:v>pairing identity only</x:v>
      </x:c>
    </x:row>
    <x:row r="523" ht="22" customHeight="1">
      <x:c r="A523" s="22" t="n">
        <x:v>498</x:v>
      </x:c>
      <x:c r="B523" s="22" t="n">
        <x:f>MOD($B$6*(A523-1)+$B$7,$A$12)+1</x:f>
        <x:v>51</x:v>
      </x:c>
      <x:c r="C523" s="22" t="n">
        <x:f>MOD($B$6*(A523-1)+$B$7,$A$13)+1</x:f>
        <x:v>51</x:v>
      </x:c>
      <x:c r="D523" s="22" t="n">
        <x:f>MOD($B$6*(A523-1)+$B$7,$A$14)+1</x:f>
        <x:v>301</x:v>
      </x:c>
      <x:c r="E523" s="22" t="n">
        <x:f>MOD($B$6*(A523-1)+$B$7,$A$15)+1</x:f>
        <x:v>301</x:v>
      </x:c>
      <x:c r="F523" s="18"/>
      <x:c r="G523" s="18"/>
      <x:c r="H523" s="18" t="str">
        <x:v>pairing identity only</x:v>
      </x:c>
    </x:row>
    <x:row r="524" ht="22" customHeight="1">
      <x:c r="A524" s="22" t="n">
        <x:v>499</x:v>
      </x:c>
      <x:c r="B524" s="22" t="n">
        <x:f>MOD($B$6*(A524-1)+$B$7,$A$12)+1</x:f>
        <x:v>124</x:v>
      </x:c>
      <x:c r="C524" s="22" t="n">
        <x:f>MOD($B$6*(A524-1)+$B$7,$A$13)+1</x:f>
        <x:v>124</x:v>
      </x:c>
      <x:c r="D524" s="22" t="n">
        <x:f>MOD($B$6*(A524-1)+$B$7,$A$14)+1</x:f>
        <x:v>374</x:v>
      </x:c>
      <x:c r="E524" s="22" t="n">
        <x:f>MOD($B$6*(A524-1)+$B$7,$A$15)+1</x:f>
        <x:v>374</x:v>
      </x:c>
      <x:c r="F524" s="18"/>
      <x:c r="G524" s="18"/>
      <x:c r="H524" s="18" t="str">
        <x:v>pairing identity only</x:v>
      </x:c>
    </x:row>
    <x:row r="525" ht="22" customHeight="1">
      <x:c r="A525" s="22" t="n">
        <x:v>500</x:v>
      </x:c>
      <x:c r="B525" s="22" t="n">
        <x:f>MOD($B$6*(A525-1)+$B$7,$A$12)+1</x:f>
        <x:v>72</x:v>
      </x:c>
      <x:c r="C525" s="22" t="n">
        <x:f>MOD($B$6*(A525-1)+$B$7,$A$13)+1</x:f>
        <x:v>197</x:v>
      </x:c>
      <x:c r="D525" s="22" t="n">
        <x:f>MOD($B$6*(A525-1)+$B$7,$A$14)+1</x:f>
        <x:v>447</x:v>
      </x:c>
      <x:c r="E525" s="22" t="n">
        <x:f>MOD($B$6*(A525-1)+$B$7,$A$15)+1</x:f>
        <x:v>447</x:v>
      </x:c>
      <x:c r="F525" s="18"/>
      <x:c r="G525" s="18"/>
      <x:c r="H525" s="18" t="str">
        <x:v>pairing identity only</x:v>
      </x:c>
    </x:row>
    <x:row r="526" ht="22" customHeight="1">
      <x:c r="A526" s="22" t="n">
        <x:v>501</x:v>
      </x:c>
      <x:c r="B526" s="22" t="n">
        <x:f>MOD($B$6*(A526-1)+$B$7,$A$12)+1</x:f>
        <x:v>20</x:v>
      </x:c>
      <x:c r="C526" s="22" t="n">
        <x:f>MOD($B$6*(A526-1)+$B$7,$A$13)+1</x:f>
        <x:v>20</x:v>
      </x:c>
      <x:c r="D526" s="22" t="n">
        <x:f>MOD($B$6*(A526-1)+$B$7,$A$14)+1</x:f>
        <x:v>20</x:v>
      </x:c>
      <x:c r="E526" s="22" t="n">
        <x:f>MOD($B$6*(A526-1)+$B$7,$A$15)+1</x:f>
        <x:v>520</x:v>
      </x:c>
      <x:c r="F526" s="18"/>
      <x:c r="G526" s="18"/>
      <x:c r="H526" s="18" t="str">
        <x:v>pairing identity only</x:v>
      </x:c>
    </x:row>
    <x:row r="527" ht="22" customHeight="1">
      <x:c r="A527" s="22" t="n">
        <x:v>502</x:v>
      </x:c>
      <x:c r="B527" s="22" t="n">
        <x:f>MOD($B$6*(A527-1)+$B$7,$A$12)+1</x:f>
        <x:v>93</x:v>
      </x:c>
      <x:c r="C527" s="22" t="n">
        <x:f>MOD($B$6*(A527-1)+$B$7,$A$13)+1</x:f>
        <x:v>93</x:v>
      </x:c>
      <x:c r="D527" s="22" t="n">
        <x:f>MOD($B$6*(A527-1)+$B$7,$A$14)+1</x:f>
        <x:v>93</x:v>
      </x:c>
      <x:c r="E527" s="22" t="n">
        <x:f>MOD($B$6*(A527-1)+$B$7,$A$15)+1</x:f>
        <x:v>593</x:v>
      </x:c>
      <x:c r="F527" s="18"/>
      <x:c r="G527" s="18"/>
      <x:c r="H527" s="18" t="str">
        <x:v>pairing identity only</x:v>
      </x:c>
    </x:row>
    <x:row r="528" ht="22" customHeight="1">
      <x:c r="A528" s="22" t="n">
        <x:v>503</x:v>
      </x:c>
      <x:c r="B528" s="22" t="n">
        <x:f>MOD($B$6*(A528-1)+$B$7,$A$12)+1</x:f>
        <x:v>41</x:v>
      </x:c>
      <x:c r="C528" s="22" t="n">
        <x:f>MOD($B$6*(A528-1)+$B$7,$A$13)+1</x:f>
        <x:v>166</x:v>
      </x:c>
      <x:c r="D528" s="22" t="n">
        <x:f>MOD($B$6*(A528-1)+$B$7,$A$14)+1</x:f>
        <x:v>166</x:v>
      </x:c>
      <x:c r="E528" s="22" t="n">
        <x:f>MOD($B$6*(A528-1)+$B$7,$A$15)+1</x:f>
        <x:v>666</x:v>
      </x:c>
      <x:c r="F528" s="18"/>
      <x:c r="G528" s="18"/>
      <x:c r="H528" s="18" t="str">
        <x:v>pairing identity only</x:v>
      </x:c>
    </x:row>
    <x:row r="529" ht="22" customHeight="1">
      <x:c r="A529" s="22" t="n">
        <x:v>504</x:v>
      </x:c>
      <x:c r="B529" s="22" t="n">
        <x:f>MOD($B$6*(A529-1)+$B$7,$A$12)+1</x:f>
        <x:v>114</x:v>
      </x:c>
      <x:c r="C529" s="22" t="n">
        <x:f>MOD($B$6*(A529-1)+$B$7,$A$13)+1</x:f>
        <x:v>239</x:v>
      </x:c>
      <x:c r="D529" s="22" t="n">
        <x:f>MOD($B$6*(A529-1)+$B$7,$A$14)+1</x:f>
        <x:v>239</x:v>
      </x:c>
      <x:c r="E529" s="22" t="n">
        <x:f>MOD($B$6*(A529-1)+$B$7,$A$15)+1</x:f>
        <x:v>739</x:v>
      </x:c>
      <x:c r="F529" s="18"/>
      <x:c r="G529" s="18"/>
      <x:c r="H529" s="18" t="str">
        <x:v>pairing identity only</x:v>
      </x:c>
    </x:row>
    <x:row r="530" ht="22" customHeight="1">
      <x:c r="A530" s="22" t="n">
        <x:v>505</x:v>
      </x:c>
      <x:c r="B530" s="22" t="n">
        <x:f>MOD($B$6*(A530-1)+$B$7,$A$12)+1</x:f>
        <x:v>62</x:v>
      </x:c>
      <x:c r="C530" s="22" t="n">
        <x:f>MOD($B$6*(A530-1)+$B$7,$A$13)+1</x:f>
        <x:v>62</x:v>
      </x:c>
      <x:c r="D530" s="22" t="n">
        <x:f>MOD($B$6*(A530-1)+$B$7,$A$14)+1</x:f>
        <x:v>312</x:v>
      </x:c>
      <x:c r="E530" s="22" t="n">
        <x:f>MOD($B$6*(A530-1)+$B$7,$A$15)+1</x:f>
        <x:v>812</x:v>
      </x:c>
      <x:c r="F530" s="18"/>
      <x:c r="G530" s="18"/>
      <x:c r="H530" s="18" t="str">
        <x:v>pairing identity only</x:v>
      </x:c>
    </x:row>
    <x:row r="531" ht="22" customHeight="1">
      <x:c r="A531" s="22" t="n">
        <x:v>506</x:v>
      </x:c>
      <x:c r="B531" s="22" t="n">
        <x:f>MOD($B$6*(A531-1)+$B$7,$A$12)+1</x:f>
        <x:v>10</x:v>
      </x:c>
      <x:c r="C531" s="22" t="n">
        <x:f>MOD($B$6*(A531-1)+$B$7,$A$13)+1</x:f>
        <x:v>135</x:v>
      </x:c>
      <x:c r="D531" s="22" t="n">
        <x:f>MOD($B$6*(A531-1)+$B$7,$A$14)+1</x:f>
        <x:v>385</x:v>
      </x:c>
      <x:c r="E531" s="22" t="n">
        <x:f>MOD($B$6*(A531-1)+$B$7,$A$15)+1</x:f>
        <x:v>885</x:v>
      </x:c>
      <x:c r="F531" s="18"/>
      <x:c r="G531" s="18"/>
      <x:c r="H531" s="18" t="str">
        <x:v>pairing identity only</x:v>
      </x:c>
    </x:row>
    <x:row r="532" ht="22" customHeight="1">
      <x:c r="A532" s="22" t="n">
        <x:v>507</x:v>
      </x:c>
      <x:c r="B532" s="22" t="n">
        <x:f>MOD($B$6*(A532-1)+$B$7,$A$12)+1</x:f>
        <x:v>83</x:v>
      </x:c>
      <x:c r="C532" s="22" t="n">
        <x:f>MOD($B$6*(A532-1)+$B$7,$A$13)+1</x:f>
        <x:v>208</x:v>
      </x:c>
      <x:c r="D532" s="22" t="n">
        <x:f>MOD($B$6*(A532-1)+$B$7,$A$14)+1</x:f>
        <x:v>458</x:v>
      </x:c>
      <x:c r="E532" s="22" t="n">
        <x:f>MOD($B$6*(A532-1)+$B$7,$A$15)+1</x:f>
        <x:v>958</x:v>
      </x:c>
      <x:c r="F532" s="18"/>
      <x:c r="G532" s="18"/>
      <x:c r="H532" s="18" t="str">
        <x:v>pairing identity only</x:v>
      </x:c>
    </x:row>
    <x:row r="533" ht="22" customHeight="1">
      <x:c r="A533" s="22" t="n">
        <x:v>508</x:v>
      </x:c>
      <x:c r="B533" s="22" t="n">
        <x:f>MOD($B$6*(A533-1)+$B$7,$A$12)+1</x:f>
        <x:v>31</x:v>
      </x:c>
      <x:c r="C533" s="22" t="n">
        <x:f>MOD($B$6*(A533-1)+$B$7,$A$13)+1</x:f>
        <x:v>31</x:v>
      </x:c>
      <x:c r="D533" s="22" t="n">
        <x:f>MOD($B$6*(A533-1)+$B$7,$A$14)+1</x:f>
        <x:v>31</x:v>
      </x:c>
      <x:c r="E533" s="22" t="n">
        <x:f>MOD($B$6*(A533-1)+$B$7,$A$15)+1</x:f>
        <x:v>31</x:v>
      </x:c>
      <x:c r="F533" s="18"/>
      <x:c r="G533" s="18"/>
      <x:c r="H533" s="18" t="str">
        <x:v>pairing identity only</x:v>
      </x:c>
    </x:row>
    <x:row r="534" ht="22" customHeight="1">
      <x:c r="A534" s="22" t="n">
        <x:v>509</x:v>
      </x:c>
      <x:c r="B534" s="22" t="n">
        <x:f>MOD($B$6*(A534-1)+$B$7,$A$12)+1</x:f>
        <x:v>104</x:v>
      </x:c>
      <x:c r="C534" s="22" t="n">
        <x:f>MOD($B$6*(A534-1)+$B$7,$A$13)+1</x:f>
        <x:v>104</x:v>
      </x:c>
      <x:c r="D534" s="22" t="n">
        <x:f>MOD($B$6*(A534-1)+$B$7,$A$14)+1</x:f>
        <x:v>104</x:v>
      </x:c>
      <x:c r="E534" s="22" t="n">
        <x:f>MOD($B$6*(A534-1)+$B$7,$A$15)+1</x:f>
        <x:v>104</x:v>
      </x:c>
      <x:c r="F534" s="18"/>
      <x:c r="G534" s="18"/>
      <x:c r="H534" s="18" t="str">
        <x:v>pairing identity only</x:v>
      </x:c>
    </x:row>
    <x:row r="535" ht="22" customHeight="1">
      <x:c r="A535" s="22" t="n">
        <x:v>510</x:v>
      </x:c>
      <x:c r="B535" s="22" t="n">
        <x:f>MOD($B$6*(A535-1)+$B$7,$A$12)+1</x:f>
        <x:v>52</x:v>
      </x:c>
      <x:c r="C535" s="22" t="n">
        <x:f>MOD($B$6*(A535-1)+$B$7,$A$13)+1</x:f>
        <x:v>177</x:v>
      </x:c>
      <x:c r="D535" s="22" t="n">
        <x:f>MOD($B$6*(A535-1)+$B$7,$A$14)+1</x:f>
        <x:v>177</x:v>
      </x:c>
      <x:c r="E535" s="22" t="n">
        <x:f>MOD($B$6*(A535-1)+$B$7,$A$15)+1</x:f>
        <x:v>177</x:v>
      </x:c>
      <x:c r="F535" s="18"/>
      <x:c r="G535" s="18"/>
      <x:c r="H535" s="18" t="str">
        <x:v>pairing identity only</x:v>
      </x:c>
    </x:row>
    <x:row r="536" ht="22" customHeight="1">
      <x:c r="A536" s="22" t="n">
        <x:v>511</x:v>
      </x:c>
      <x:c r="B536" s="22" t="n">
        <x:f>MOD($B$6*(A536-1)+$B$7,$A$12)+1</x:f>
        <x:v>125</x:v>
      </x:c>
      <x:c r="C536" s="22" t="n">
        <x:f>MOD($B$6*(A536-1)+$B$7,$A$13)+1</x:f>
        <x:v>250</x:v>
      </x:c>
      <x:c r="D536" s="22" t="n">
        <x:f>MOD($B$6*(A536-1)+$B$7,$A$14)+1</x:f>
        <x:v>250</x:v>
      </x:c>
      <x:c r="E536" s="22" t="n">
        <x:f>MOD($B$6*(A536-1)+$B$7,$A$15)+1</x:f>
        <x:v>250</x:v>
      </x:c>
      <x:c r="F536" s="18"/>
      <x:c r="G536" s="18"/>
      <x:c r="H536" s="18" t="str">
        <x:v>pairing identity only</x:v>
      </x:c>
    </x:row>
    <x:row r="537" ht="22" customHeight="1">
      <x:c r="A537" s="22" t="n">
        <x:v>512</x:v>
      </x:c>
      <x:c r="B537" s="22" t="n">
        <x:f>MOD($B$6*(A537-1)+$B$7,$A$12)+1</x:f>
        <x:v>73</x:v>
      </x:c>
      <x:c r="C537" s="22" t="n">
        <x:f>MOD($B$6*(A537-1)+$B$7,$A$13)+1</x:f>
        <x:v>73</x:v>
      </x:c>
      <x:c r="D537" s="22" t="n">
        <x:f>MOD($B$6*(A537-1)+$B$7,$A$14)+1</x:f>
        <x:v>323</x:v>
      </x:c>
      <x:c r="E537" s="22" t="n">
        <x:f>MOD($B$6*(A537-1)+$B$7,$A$15)+1</x:f>
        <x:v>323</x:v>
      </x:c>
      <x:c r="F537" s="18"/>
      <x:c r="G537" s="18"/>
      <x:c r="H537" s="18" t="str">
        <x:v>pairing identity only</x:v>
      </x:c>
    </x:row>
    <x:row r="538" ht="22" customHeight="1">
      <x:c r="A538" s="22" t="n">
        <x:v>513</x:v>
      </x:c>
      <x:c r="B538" s="22" t="n">
        <x:f>MOD($B$6*(A538-1)+$B$7,$A$12)+1</x:f>
        <x:v>21</x:v>
      </x:c>
      <x:c r="C538" s="22" t="n">
        <x:f>MOD($B$6*(A538-1)+$B$7,$A$13)+1</x:f>
        <x:v>146</x:v>
      </x:c>
      <x:c r="D538" s="22" t="n">
        <x:f>MOD($B$6*(A538-1)+$B$7,$A$14)+1</x:f>
        <x:v>396</x:v>
      </x:c>
      <x:c r="E538" s="22" t="n">
        <x:f>MOD($B$6*(A538-1)+$B$7,$A$15)+1</x:f>
        <x:v>396</x:v>
      </x:c>
      <x:c r="F538" s="18"/>
      <x:c r="G538" s="18"/>
      <x:c r="H538" s="18" t="str">
        <x:v>pairing identity only</x:v>
      </x:c>
    </x:row>
    <x:row r="539" ht="22" customHeight="1">
      <x:c r="A539" s="22" t="n">
        <x:v>514</x:v>
      </x:c>
      <x:c r="B539" s="22" t="n">
        <x:f>MOD($B$6*(A539-1)+$B$7,$A$12)+1</x:f>
        <x:v>94</x:v>
      </x:c>
      <x:c r="C539" s="22" t="n">
        <x:f>MOD($B$6*(A539-1)+$B$7,$A$13)+1</x:f>
        <x:v>219</x:v>
      </x:c>
      <x:c r="D539" s="22" t="n">
        <x:f>MOD($B$6*(A539-1)+$B$7,$A$14)+1</x:f>
        <x:v>469</x:v>
      </x:c>
      <x:c r="E539" s="22" t="n">
        <x:f>MOD($B$6*(A539-1)+$B$7,$A$15)+1</x:f>
        <x:v>469</x:v>
      </x:c>
      <x:c r="F539" s="18"/>
      <x:c r="G539" s="18"/>
      <x:c r="H539" s="18" t="str">
        <x:v>pairing identity only</x:v>
      </x:c>
    </x:row>
    <x:row r="540" ht="22" customHeight="1">
      <x:c r="A540" s="22" t="n">
        <x:v>515</x:v>
      </x:c>
      <x:c r="B540" s="22" t="n">
        <x:f>MOD($B$6*(A540-1)+$B$7,$A$12)+1</x:f>
        <x:v>42</x:v>
      </x:c>
      <x:c r="C540" s="22" t="n">
        <x:f>MOD($B$6*(A540-1)+$B$7,$A$13)+1</x:f>
        <x:v>42</x:v>
      </x:c>
      <x:c r="D540" s="22" t="n">
        <x:f>MOD($B$6*(A540-1)+$B$7,$A$14)+1</x:f>
        <x:v>42</x:v>
      </x:c>
      <x:c r="E540" s="22" t="n">
        <x:f>MOD($B$6*(A540-1)+$B$7,$A$15)+1</x:f>
        <x:v>542</x:v>
      </x:c>
      <x:c r="F540" s="18"/>
      <x:c r="G540" s="18"/>
      <x:c r="H540" s="18" t="str">
        <x:v>pairing identity only</x:v>
      </x:c>
    </x:row>
    <x:row r="541" ht="22" customHeight="1">
      <x:c r="A541" s="22" t="n">
        <x:v>516</x:v>
      </x:c>
      <x:c r="B541" s="22" t="n">
        <x:f>MOD($B$6*(A541-1)+$B$7,$A$12)+1</x:f>
        <x:v>115</x:v>
      </x:c>
      <x:c r="C541" s="22" t="n">
        <x:f>MOD($B$6*(A541-1)+$B$7,$A$13)+1</x:f>
        <x:v>115</x:v>
      </x:c>
      <x:c r="D541" s="22" t="n">
        <x:f>MOD($B$6*(A541-1)+$B$7,$A$14)+1</x:f>
        <x:v>115</x:v>
      </x:c>
      <x:c r="E541" s="22" t="n">
        <x:f>MOD($B$6*(A541-1)+$B$7,$A$15)+1</x:f>
        <x:v>615</x:v>
      </x:c>
      <x:c r="F541" s="18"/>
      <x:c r="G541" s="18"/>
      <x:c r="H541" s="18" t="str">
        <x:v>pairing identity only</x:v>
      </x:c>
    </x:row>
    <x:row r="542" ht="22" customHeight="1">
      <x:c r="A542" s="22" t="n">
        <x:v>517</x:v>
      </x:c>
      <x:c r="B542" s="22" t="n">
        <x:f>MOD($B$6*(A542-1)+$B$7,$A$12)+1</x:f>
        <x:v>63</x:v>
      </x:c>
      <x:c r="C542" s="22" t="n">
        <x:f>MOD($B$6*(A542-1)+$B$7,$A$13)+1</x:f>
        <x:v>188</x:v>
      </x:c>
      <x:c r="D542" s="22" t="n">
        <x:f>MOD($B$6*(A542-1)+$B$7,$A$14)+1</x:f>
        <x:v>188</x:v>
      </x:c>
      <x:c r="E542" s="22" t="n">
        <x:f>MOD($B$6*(A542-1)+$B$7,$A$15)+1</x:f>
        <x:v>688</x:v>
      </x:c>
      <x:c r="F542" s="18"/>
      <x:c r="G542" s="18"/>
      <x:c r="H542" s="18" t="str">
        <x:v>pairing identity only</x:v>
      </x:c>
    </x:row>
    <x:row r="543" ht="22" customHeight="1">
      <x:c r="A543" s="22" t="n">
        <x:v>518</x:v>
      </x:c>
      <x:c r="B543" s="22" t="n">
        <x:f>MOD($B$6*(A543-1)+$B$7,$A$12)+1</x:f>
        <x:v>11</x:v>
      </x:c>
      <x:c r="C543" s="22" t="n">
        <x:f>MOD($B$6*(A543-1)+$B$7,$A$13)+1</x:f>
        <x:v>11</x:v>
      </x:c>
      <x:c r="D543" s="22" t="n">
        <x:f>MOD($B$6*(A543-1)+$B$7,$A$14)+1</x:f>
        <x:v>261</x:v>
      </x:c>
      <x:c r="E543" s="22" t="n">
        <x:f>MOD($B$6*(A543-1)+$B$7,$A$15)+1</x:f>
        <x:v>761</x:v>
      </x:c>
      <x:c r="F543" s="18"/>
      <x:c r="G543" s="18"/>
      <x:c r="H543" s="18" t="str">
        <x:v>pairing identity only</x:v>
      </x:c>
    </x:row>
    <x:row r="544" ht="22" customHeight="1">
      <x:c r="A544" s="22" t="n">
        <x:v>519</x:v>
      </x:c>
      <x:c r="B544" s="22" t="n">
        <x:f>MOD($B$6*(A544-1)+$B$7,$A$12)+1</x:f>
        <x:v>84</x:v>
      </x:c>
      <x:c r="C544" s="22" t="n">
        <x:f>MOD($B$6*(A544-1)+$B$7,$A$13)+1</x:f>
        <x:v>84</x:v>
      </x:c>
      <x:c r="D544" s="22" t="n">
        <x:f>MOD($B$6*(A544-1)+$B$7,$A$14)+1</x:f>
        <x:v>334</x:v>
      </x:c>
      <x:c r="E544" s="22" t="n">
        <x:f>MOD($B$6*(A544-1)+$B$7,$A$15)+1</x:f>
        <x:v>834</x:v>
      </x:c>
      <x:c r="F544" s="18"/>
      <x:c r="G544" s="18"/>
      <x:c r="H544" s="18" t="str">
        <x:v>pairing identity only</x:v>
      </x:c>
    </x:row>
    <x:row r="545" ht="22" customHeight="1">
      <x:c r="A545" s="22" t="n">
        <x:v>520</x:v>
      </x:c>
      <x:c r="B545" s="22" t="n">
        <x:f>MOD($B$6*(A545-1)+$B$7,$A$12)+1</x:f>
        <x:v>32</x:v>
      </x:c>
      <x:c r="C545" s="22" t="n">
        <x:f>MOD($B$6*(A545-1)+$B$7,$A$13)+1</x:f>
        <x:v>157</x:v>
      </x:c>
      <x:c r="D545" s="22" t="n">
        <x:f>MOD($B$6*(A545-1)+$B$7,$A$14)+1</x:f>
        <x:v>407</x:v>
      </x:c>
      <x:c r="E545" s="22" t="n">
        <x:f>MOD($B$6*(A545-1)+$B$7,$A$15)+1</x:f>
        <x:v>907</x:v>
      </x:c>
      <x:c r="F545" s="18"/>
      <x:c r="G545" s="18"/>
      <x:c r="H545" s="18" t="str">
        <x:v>pairing identity only</x:v>
      </x:c>
    </x:row>
    <x:row r="546" ht="22" customHeight="1">
      <x:c r="A546" s="22" t="n">
        <x:v>521</x:v>
      </x:c>
      <x:c r="B546" s="22" t="n">
        <x:f>MOD($B$6*(A546-1)+$B$7,$A$12)+1</x:f>
        <x:v>105</x:v>
      </x:c>
      <x:c r="C546" s="22" t="n">
        <x:f>MOD($B$6*(A546-1)+$B$7,$A$13)+1</x:f>
        <x:v>230</x:v>
      </x:c>
      <x:c r="D546" s="22" t="n">
        <x:f>MOD($B$6*(A546-1)+$B$7,$A$14)+1</x:f>
        <x:v>480</x:v>
      </x:c>
      <x:c r="E546" s="22" t="n">
        <x:f>MOD($B$6*(A546-1)+$B$7,$A$15)+1</x:f>
        <x:v>980</x:v>
      </x:c>
      <x:c r="F546" s="18"/>
      <x:c r="G546" s="18"/>
      <x:c r="H546" s="18" t="str">
        <x:v>pairing identity only</x:v>
      </x:c>
    </x:row>
    <x:row r="547" ht="22" customHeight="1">
      <x:c r="A547" s="22" t="n">
        <x:v>522</x:v>
      </x:c>
      <x:c r="B547" s="22" t="n">
        <x:f>MOD($B$6*(A547-1)+$B$7,$A$12)+1</x:f>
        <x:v>53</x:v>
      </x:c>
      <x:c r="C547" s="22" t="n">
        <x:f>MOD($B$6*(A547-1)+$B$7,$A$13)+1</x:f>
        <x:v>53</x:v>
      </x:c>
      <x:c r="D547" s="22" t="n">
        <x:f>MOD($B$6*(A547-1)+$B$7,$A$14)+1</x:f>
        <x:v>53</x:v>
      </x:c>
      <x:c r="E547" s="22" t="n">
        <x:f>MOD($B$6*(A547-1)+$B$7,$A$15)+1</x:f>
        <x:v>53</x:v>
      </x:c>
      <x:c r="F547" s="18"/>
      <x:c r="G547" s="18"/>
      <x:c r="H547" s="18" t="str">
        <x:v>pairing identity only</x:v>
      </x:c>
    </x:row>
    <x:row r="548" ht="22" customHeight="1">
      <x:c r="A548" s="22" t="n">
        <x:v>523</x:v>
      </x:c>
      <x:c r="B548" s="22" t="n">
        <x:f>MOD($B$6*(A548-1)+$B$7,$A$12)+1</x:f>
        <x:v>1</x:v>
      </x:c>
      <x:c r="C548" s="22" t="n">
        <x:f>MOD($B$6*(A548-1)+$B$7,$A$13)+1</x:f>
        <x:v>126</x:v>
      </x:c>
      <x:c r="D548" s="22" t="n">
        <x:f>MOD($B$6*(A548-1)+$B$7,$A$14)+1</x:f>
        <x:v>126</x:v>
      </x:c>
      <x:c r="E548" s="22" t="n">
        <x:f>MOD($B$6*(A548-1)+$B$7,$A$15)+1</x:f>
        <x:v>126</x:v>
      </x:c>
      <x:c r="F548" s="18"/>
      <x:c r="G548" s="18"/>
      <x:c r="H548" s="18" t="str">
        <x:v>pairing identity only</x:v>
      </x:c>
    </x:row>
    <x:row r="549" ht="22" customHeight="1">
      <x:c r="A549" s="22" t="n">
        <x:v>524</x:v>
      </x:c>
      <x:c r="B549" s="22" t="n">
        <x:f>MOD($B$6*(A549-1)+$B$7,$A$12)+1</x:f>
        <x:v>74</x:v>
      </x:c>
      <x:c r="C549" s="22" t="n">
        <x:f>MOD($B$6*(A549-1)+$B$7,$A$13)+1</x:f>
        <x:v>199</x:v>
      </x:c>
      <x:c r="D549" s="22" t="n">
        <x:f>MOD($B$6*(A549-1)+$B$7,$A$14)+1</x:f>
        <x:v>199</x:v>
      </x:c>
      <x:c r="E549" s="22" t="n">
        <x:f>MOD($B$6*(A549-1)+$B$7,$A$15)+1</x:f>
        <x:v>199</x:v>
      </x:c>
      <x:c r="F549" s="18"/>
      <x:c r="G549" s="18"/>
      <x:c r="H549" s="18" t="str">
        <x:v>pairing identity only</x:v>
      </x:c>
    </x:row>
    <x:row r="550" ht="22" customHeight="1">
      <x:c r="A550" s="22" t="n">
        <x:v>525</x:v>
      </x:c>
      <x:c r="B550" s="22" t="n">
        <x:f>MOD($B$6*(A550-1)+$B$7,$A$12)+1</x:f>
        <x:v>22</x:v>
      </x:c>
      <x:c r="C550" s="22" t="n">
        <x:f>MOD($B$6*(A550-1)+$B$7,$A$13)+1</x:f>
        <x:v>22</x:v>
      </x:c>
      <x:c r="D550" s="22" t="n">
        <x:f>MOD($B$6*(A550-1)+$B$7,$A$14)+1</x:f>
        <x:v>272</x:v>
      </x:c>
      <x:c r="E550" s="22" t="n">
        <x:f>MOD($B$6*(A550-1)+$B$7,$A$15)+1</x:f>
        <x:v>272</x:v>
      </x:c>
      <x:c r="F550" s="18"/>
      <x:c r="G550" s="18"/>
      <x:c r="H550" s="18" t="str">
        <x:v>pairing identity only</x:v>
      </x:c>
    </x:row>
    <x:row r="551" ht="22" customHeight="1">
      <x:c r="A551" s="22" t="n">
        <x:v>526</x:v>
      </x:c>
      <x:c r="B551" s="22" t="n">
        <x:f>MOD($B$6*(A551-1)+$B$7,$A$12)+1</x:f>
        <x:v>95</x:v>
      </x:c>
      <x:c r="C551" s="22" t="n">
        <x:f>MOD($B$6*(A551-1)+$B$7,$A$13)+1</x:f>
        <x:v>95</x:v>
      </x:c>
      <x:c r="D551" s="22" t="n">
        <x:f>MOD($B$6*(A551-1)+$B$7,$A$14)+1</x:f>
        <x:v>345</x:v>
      </x:c>
      <x:c r="E551" s="22" t="n">
        <x:f>MOD($B$6*(A551-1)+$B$7,$A$15)+1</x:f>
        <x:v>345</x:v>
      </x:c>
      <x:c r="F551" s="18"/>
      <x:c r="G551" s="18"/>
      <x:c r="H551" s="18" t="str">
        <x:v>pairing identity only</x:v>
      </x:c>
    </x:row>
    <x:row r="552" ht="22" customHeight="1">
      <x:c r="A552" s="22" t="n">
        <x:v>527</x:v>
      </x:c>
      <x:c r="B552" s="22" t="n">
        <x:f>MOD($B$6*(A552-1)+$B$7,$A$12)+1</x:f>
        <x:v>43</x:v>
      </x:c>
      <x:c r="C552" s="22" t="n">
        <x:f>MOD($B$6*(A552-1)+$B$7,$A$13)+1</x:f>
        <x:v>168</x:v>
      </x:c>
      <x:c r="D552" s="22" t="n">
        <x:f>MOD($B$6*(A552-1)+$B$7,$A$14)+1</x:f>
        <x:v>418</x:v>
      </x:c>
      <x:c r="E552" s="22" t="n">
        <x:f>MOD($B$6*(A552-1)+$B$7,$A$15)+1</x:f>
        <x:v>418</x:v>
      </x:c>
      <x:c r="F552" s="18"/>
      <x:c r="G552" s="18"/>
      <x:c r="H552" s="18" t="str">
        <x:v>pairing identity only</x:v>
      </x:c>
    </x:row>
    <x:row r="553" ht="22" customHeight="1">
      <x:c r="A553" s="22" t="n">
        <x:v>528</x:v>
      </x:c>
      <x:c r="B553" s="22" t="n">
        <x:f>MOD($B$6*(A553-1)+$B$7,$A$12)+1</x:f>
        <x:v>116</x:v>
      </x:c>
      <x:c r="C553" s="22" t="n">
        <x:f>MOD($B$6*(A553-1)+$B$7,$A$13)+1</x:f>
        <x:v>241</x:v>
      </x:c>
      <x:c r="D553" s="22" t="n">
        <x:f>MOD($B$6*(A553-1)+$B$7,$A$14)+1</x:f>
        <x:v>491</x:v>
      </x:c>
      <x:c r="E553" s="22" t="n">
        <x:f>MOD($B$6*(A553-1)+$B$7,$A$15)+1</x:f>
        <x:v>491</x:v>
      </x:c>
      <x:c r="F553" s="18"/>
      <x:c r="G553" s="18"/>
      <x:c r="H553" s="18" t="str">
        <x:v>pairing identity only</x:v>
      </x:c>
    </x:row>
    <x:row r="554" ht="22" customHeight="1">
      <x:c r="A554" s="22" t="n">
        <x:v>529</x:v>
      </x:c>
      <x:c r="B554" s="22" t="n">
        <x:f>MOD($B$6*(A554-1)+$B$7,$A$12)+1</x:f>
        <x:v>64</x:v>
      </x:c>
      <x:c r="C554" s="22" t="n">
        <x:f>MOD($B$6*(A554-1)+$B$7,$A$13)+1</x:f>
        <x:v>64</x:v>
      </x:c>
      <x:c r="D554" s="22" t="n">
        <x:f>MOD($B$6*(A554-1)+$B$7,$A$14)+1</x:f>
        <x:v>64</x:v>
      </x:c>
      <x:c r="E554" s="22" t="n">
        <x:f>MOD($B$6*(A554-1)+$B$7,$A$15)+1</x:f>
        <x:v>564</x:v>
      </x:c>
      <x:c r="F554" s="18"/>
      <x:c r="G554" s="18"/>
      <x:c r="H554" s="18" t="str">
        <x:v>pairing identity only</x:v>
      </x:c>
    </x:row>
    <x:row r="555" ht="22" customHeight="1">
      <x:c r="A555" s="22" t="n">
        <x:v>530</x:v>
      </x:c>
      <x:c r="B555" s="22" t="n">
        <x:f>MOD($B$6*(A555-1)+$B$7,$A$12)+1</x:f>
        <x:v>12</x:v>
      </x:c>
      <x:c r="C555" s="22" t="n">
        <x:f>MOD($B$6*(A555-1)+$B$7,$A$13)+1</x:f>
        <x:v>137</x:v>
      </x:c>
      <x:c r="D555" s="22" t="n">
        <x:f>MOD($B$6*(A555-1)+$B$7,$A$14)+1</x:f>
        <x:v>137</x:v>
      </x:c>
      <x:c r="E555" s="22" t="n">
        <x:f>MOD($B$6*(A555-1)+$B$7,$A$15)+1</x:f>
        <x:v>637</x:v>
      </x:c>
      <x:c r="F555" s="18"/>
      <x:c r="G555" s="18"/>
      <x:c r="H555" s="18" t="str">
        <x:v>pairing identity only</x:v>
      </x:c>
    </x:row>
    <x:row r="556" ht="22" customHeight="1">
      <x:c r="A556" s="22" t="n">
        <x:v>531</x:v>
      </x:c>
      <x:c r="B556" s="22" t="n">
        <x:f>MOD($B$6*(A556-1)+$B$7,$A$12)+1</x:f>
        <x:v>85</x:v>
      </x:c>
      <x:c r="C556" s="22" t="n">
        <x:f>MOD($B$6*(A556-1)+$B$7,$A$13)+1</x:f>
        <x:v>210</x:v>
      </x:c>
      <x:c r="D556" s="22" t="n">
        <x:f>MOD($B$6*(A556-1)+$B$7,$A$14)+1</x:f>
        <x:v>210</x:v>
      </x:c>
      <x:c r="E556" s="22" t="n">
        <x:f>MOD($B$6*(A556-1)+$B$7,$A$15)+1</x:f>
        <x:v>710</x:v>
      </x:c>
      <x:c r="F556" s="18"/>
      <x:c r="G556" s="18"/>
      <x:c r="H556" s="18" t="str">
        <x:v>pairing identity only</x:v>
      </x:c>
    </x:row>
    <x:row r="557" ht="22" customHeight="1">
      <x:c r="A557" s="22" t="n">
        <x:v>532</x:v>
      </x:c>
      <x:c r="B557" s="22" t="n">
        <x:f>MOD($B$6*(A557-1)+$B$7,$A$12)+1</x:f>
        <x:v>33</x:v>
      </x:c>
      <x:c r="C557" s="22" t="n">
        <x:f>MOD($B$6*(A557-1)+$B$7,$A$13)+1</x:f>
        <x:v>33</x:v>
      </x:c>
      <x:c r="D557" s="22" t="n">
        <x:f>MOD($B$6*(A557-1)+$B$7,$A$14)+1</x:f>
        <x:v>283</x:v>
      </x:c>
      <x:c r="E557" s="22" t="n">
        <x:f>MOD($B$6*(A557-1)+$B$7,$A$15)+1</x:f>
        <x:v>783</x:v>
      </x:c>
      <x:c r="F557" s="18"/>
      <x:c r="G557" s="18"/>
      <x:c r="H557" s="18" t="str">
        <x:v>pairing identity only</x:v>
      </x:c>
    </x:row>
    <x:row r="558" ht="22" customHeight="1">
      <x:c r="A558" s="22" t="n">
        <x:v>533</x:v>
      </x:c>
      <x:c r="B558" s="22" t="n">
        <x:f>MOD($B$6*(A558-1)+$B$7,$A$12)+1</x:f>
        <x:v>106</x:v>
      </x:c>
      <x:c r="C558" s="22" t="n">
        <x:f>MOD($B$6*(A558-1)+$B$7,$A$13)+1</x:f>
        <x:v>106</x:v>
      </x:c>
      <x:c r="D558" s="22" t="n">
        <x:f>MOD($B$6*(A558-1)+$B$7,$A$14)+1</x:f>
        <x:v>356</x:v>
      </x:c>
      <x:c r="E558" s="22" t="n">
        <x:f>MOD($B$6*(A558-1)+$B$7,$A$15)+1</x:f>
        <x:v>856</x:v>
      </x:c>
      <x:c r="F558" s="18"/>
      <x:c r="G558" s="18"/>
      <x:c r="H558" s="18" t="str">
        <x:v>pairing identity only</x:v>
      </x:c>
    </x:row>
    <x:row r="559" ht="22" customHeight="1">
      <x:c r="A559" s="22" t="n">
        <x:v>534</x:v>
      </x:c>
      <x:c r="B559" s="22" t="n">
        <x:f>MOD($B$6*(A559-1)+$B$7,$A$12)+1</x:f>
        <x:v>54</x:v>
      </x:c>
      <x:c r="C559" s="22" t="n">
        <x:f>MOD($B$6*(A559-1)+$B$7,$A$13)+1</x:f>
        <x:v>179</x:v>
      </x:c>
      <x:c r="D559" s="22" t="n">
        <x:f>MOD($B$6*(A559-1)+$B$7,$A$14)+1</x:f>
        <x:v>429</x:v>
      </x:c>
      <x:c r="E559" s="22" t="n">
        <x:f>MOD($B$6*(A559-1)+$B$7,$A$15)+1</x:f>
        <x:v>929</x:v>
      </x:c>
      <x:c r="F559" s="18"/>
      <x:c r="G559" s="18"/>
      <x:c r="H559" s="18" t="str">
        <x:v>pairing identity only</x:v>
      </x:c>
    </x:row>
    <x:row r="560" ht="22" customHeight="1">
      <x:c r="A560" s="22" t="n">
        <x:v>535</x:v>
      </x:c>
      <x:c r="B560" s="22" t="n">
        <x:f>MOD($B$6*(A560-1)+$B$7,$A$12)+1</x:f>
        <x:v>2</x:v>
      </x:c>
      <x:c r="C560" s="22" t="n">
        <x:f>MOD($B$6*(A560-1)+$B$7,$A$13)+1</x:f>
        <x:v>2</x:v>
      </x:c>
      <x:c r="D560" s="22" t="n">
        <x:f>MOD($B$6*(A560-1)+$B$7,$A$14)+1</x:f>
        <x:v>2</x:v>
      </x:c>
      <x:c r="E560" s="22" t="n">
        <x:f>MOD($B$6*(A560-1)+$B$7,$A$15)+1</x:f>
        <x:v>2</x:v>
      </x:c>
      <x:c r="F560" s="18"/>
      <x:c r="G560" s="18"/>
      <x:c r="H560" s="18" t="str">
        <x:v>pairing identity only</x:v>
      </x:c>
    </x:row>
    <x:row r="561" ht="22" customHeight="1">
      <x:c r="A561" s="22" t="n">
        <x:v>536</x:v>
      </x:c>
      <x:c r="B561" s="22" t="n">
        <x:f>MOD($B$6*(A561-1)+$B$7,$A$12)+1</x:f>
        <x:v>75</x:v>
      </x:c>
      <x:c r="C561" s="22" t="n">
        <x:f>MOD($B$6*(A561-1)+$B$7,$A$13)+1</x:f>
        <x:v>75</x:v>
      </x:c>
      <x:c r="D561" s="22" t="n">
        <x:f>MOD($B$6*(A561-1)+$B$7,$A$14)+1</x:f>
        <x:v>75</x:v>
      </x:c>
      <x:c r="E561" s="22" t="n">
        <x:f>MOD($B$6*(A561-1)+$B$7,$A$15)+1</x:f>
        <x:v>75</x:v>
      </x:c>
      <x:c r="F561" s="18"/>
      <x:c r="G561" s="18"/>
      <x:c r="H561" s="18" t="str">
        <x:v>pairing identity only</x:v>
      </x:c>
    </x:row>
    <x:row r="562" ht="22" customHeight="1">
      <x:c r="A562" s="22" t="n">
        <x:v>537</x:v>
      </x:c>
      <x:c r="B562" s="22" t="n">
        <x:f>MOD($B$6*(A562-1)+$B$7,$A$12)+1</x:f>
        <x:v>23</x:v>
      </x:c>
      <x:c r="C562" s="22" t="n">
        <x:f>MOD($B$6*(A562-1)+$B$7,$A$13)+1</x:f>
        <x:v>148</x:v>
      </x:c>
      <x:c r="D562" s="22" t="n">
        <x:f>MOD($B$6*(A562-1)+$B$7,$A$14)+1</x:f>
        <x:v>148</x:v>
      </x:c>
      <x:c r="E562" s="22" t="n">
        <x:f>MOD($B$6*(A562-1)+$B$7,$A$15)+1</x:f>
        <x:v>148</x:v>
      </x:c>
      <x:c r="F562" s="18"/>
      <x:c r="G562" s="18"/>
      <x:c r="H562" s="18" t="str">
        <x:v>pairing identity only</x:v>
      </x:c>
    </x:row>
    <x:row r="563" ht="22" customHeight="1">
      <x:c r="A563" s="22" t="n">
        <x:v>538</x:v>
      </x:c>
      <x:c r="B563" s="22" t="n">
        <x:f>MOD($B$6*(A563-1)+$B$7,$A$12)+1</x:f>
        <x:v>96</x:v>
      </x:c>
      <x:c r="C563" s="22" t="n">
        <x:f>MOD($B$6*(A563-1)+$B$7,$A$13)+1</x:f>
        <x:v>221</x:v>
      </x:c>
      <x:c r="D563" s="22" t="n">
        <x:f>MOD($B$6*(A563-1)+$B$7,$A$14)+1</x:f>
        <x:v>221</x:v>
      </x:c>
      <x:c r="E563" s="22" t="n">
        <x:f>MOD($B$6*(A563-1)+$B$7,$A$15)+1</x:f>
        <x:v>221</x:v>
      </x:c>
      <x:c r="F563" s="18"/>
      <x:c r="G563" s="18"/>
      <x:c r="H563" s="18" t="str">
        <x:v>pairing identity only</x:v>
      </x:c>
    </x:row>
    <x:row r="564" ht="22" customHeight="1">
      <x:c r="A564" s="22" t="n">
        <x:v>539</x:v>
      </x:c>
      <x:c r="B564" s="22" t="n">
        <x:f>MOD($B$6*(A564-1)+$B$7,$A$12)+1</x:f>
        <x:v>44</x:v>
      </x:c>
      <x:c r="C564" s="22" t="n">
        <x:f>MOD($B$6*(A564-1)+$B$7,$A$13)+1</x:f>
        <x:v>44</x:v>
      </x:c>
      <x:c r="D564" s="22" t="n">
        <x:f>MOD($B$6*(A564-1)+$B$7,$A$14)+1</x:f>
        <x:v>294</x:v>
      </x:c>
      <x:c r="E564" s="22" t="n">
        <x:f>MOD($B$6*(A564-1)+$B$7,$A$15)+1</x:f>
        <x:v>294</x:v>
      </x:c>
      <x:c r="F564" s="18"/>
      <x:c r="G564" s="18"/>
      <x:c r="H564" s="18" t="str">
        <x:v>pairing identity only</x:v>
      </x:c>
    </x:row>
    <x:row r="565" ht="22" customHeight="1">
      <x:c r="A565" s="22" t="n">
        <x:v>540</x:v>
      </x:c>
      <x:c r="B565" s="22" t="n">
        <x:f>MOD($B$6*(A565-1)+$B$7,$A$12)+1</x:f>
        <x:v>117</x:v>
      </x:c>
      <x:c r="C565" s="22" t="n">
        <x:f>MOD($B$6*(A565-1)+$B$7,$A$13)+1</x:f>
        <x:v>117</x:v>
      </x:c>
      <x:c r="D565" s="22" t="n">
        <x:f>MOD($B$6*(A565-1)+$B$7,$A$14)+1</x:f>
        <x:v>367</x:v>
      </x:c>
      <x:c r="E565" s="22" t="n">
        <x:f>MOD($B$6*(A565-1)+$B$7,$A$15)+1</x:f>
        <x:v>367</x:v>
      </x:c>
      <x:c r="F565" s="18"/>
      <x:c r="G565" s="18"/>
      <x:c r="H565" s="18" t="str">
        <x:v>pairing identity only</x:v>
      </x:c>
    </x:row>
    <x:row r="566" ht="22" customHeight="1">
      <x:c r="A566" s="22" t="n">
        <x:v>541</x:v>
      </x:c>
      <x:c r="B566" s="22" t="n">
        <x:f>MOD($B$6*(A566-1)+$B$7,$A$12)+1</x:f>
        <x:v>65</x:v>
      </x:c>
      <x:c r="C566" s="22" t="n">
        <x:f>MOD($B$6*(A566-1)+$B$7,$A$13)+1</x:f>
        <x:v>190</x:v>
      </x:c>
      <x:c r="D566" s="22" t="n">
        <x:f>MOD($B$6*(A566-1)+$B$7,$A$14)+1</x:f>
        <x:v>440</x:v>
      </x:c>
      <x:c r="E566" s="22" t="n">
        <x:f>MOD($B$6*(A566-1)+$B$7,$A$15)+1</x:f>
        <x:v>440</x:v>
      </x:c>
      <x:c r="F566" s="18"/>
      <x:c r="G566" s="18"/>
      <x:c r="H566" s="18" t="str">
        <x:v>pairing identity only</x:v>
      </x:c>
    </x:row>
    <x:row r="567" ht="22" customHeight="1">
      <x:c r="A567" s="22" t="n">
        <x:v>542</x:v>
      </x:c>
      <x:c r="B567" s="22" t="n">
        <x:f>MOD($B$6*(A567-1)+$B$7,$A$12)+1</x:f>
        <x:v>13</x:v>
      </x:c>
      <x:c r="C567" s="22" t="n">
        <x:f>MOD($B$6*(A567-1)+$B$7,$A$13)+1</x:f>
        <x:v>13</x:v>
      </x:c>
      <x:c r="D567" s="22" t="n">
        <x:f>MOD($B$6*(A567-1)+$B$7,$A$14)+1</x:f>
        <x:v>13</x:v>
      </x:c>
      <x:c r="E567" s="22" t="n">
        <x:f>MOD($B$6*(A567-1)+$B$7,$A$15)+1</x:f>
        <x:v>513</x:v>
      </x:c>
      <x:c r="F567" s="18"/>
      <x:c r="G567" s="18"/>
      <x:c r="H567" s="18" t="str">
        <x:v>pairing identity only</x:v>
      </x:c>
    </x:row>
    <x:row r="568" ht="22" customHeight="1">
      <x:c r="A568" s="22" t="n">
        <x:v>543</x:v>
      </x:c>
      <x:c r="B568" s="22" t="n">
        <x:f>MOD($B$6*(A568-1)+$B$7,$A$12)+1</x:f>
        <x:v>86</x:v>
      </x:c>
      <x:c r="C568" s="22" t="n">
        <x:f>MOD($B$6*(A568-1)+$B$7,$A$13)+1</x:f>
        <x:v>86</x:v>
      </x:c>
      <x:c r="D568" s="22" t="n">
        <x:f>MOD($B$6*(A568-1)+$B$7,$A$14)+1</x:f>
        <x:v>86</x:v>
      </x:c>
      <x:c r="E568" s="22" t="n">
        <x:f>MOD($B$6*(A568-1)+$B$7,$A$15)+1</x:f>
        <x:v>586</x:v>
      </x:c>
      <x:c r="F568" s="18"/>
      <x:c r="G568" s="18"/>
      <x:c r="H568" s="18" t="str">
        <x:v>pairing identity only</x:v>
      </x:c>
    </x:row>
    <x:row r="569" ht="22" customHeight="1">
      <x:c r="A569" s="22" t="n">
        <x:v>544</x:v>
      </x:c>
      <x:c r="B569" s="22" t="n">
        <x:f>MOD($B$6*(A569-1)+$B$7,$A$12)+1</x:f>
        <x:v>34</x:v>
      </x:c>
      <x:c r="C569" s="22" t="n">
        <x:f>MOD($B$6*(A569-1)+$B$7,$A$13)+1</x:f>
        <x:v>159</x:v>
      </x:c>
      <x:c r="D569" s="22" t="n">
        <x:f>MOD($B$6*(A569-1)+$B$7,$A$14)+1</x:f>
        <x:v>159</x:v>
      </x:c>
      <x:c r="E569" s="22" t="n">
        <x:f>MOD($B$6*(A569-1)+$B$7,$A$15)+1</x:f>
        <x:v>659</x:v>
      </x:c>
      <x:c r="F569" s="18"/>
      <x:c r="G569" s="18"/>
      <x:c r="H569" s="18" t="str">
        <x:v>pairing identity only</x:v>
      </x:c>
    </x:row>
    <x:row r="570" ht="22" customHeight="1">
      <x:c r="A570" s="22" t="n">
        <x:v>545</x:v>
      </x:c>
      <x:c r="B570" s="22" t="n">
        <x:f>MOD($B$6*(A570-1)+$B$7,$A$12)+1</x:f>
        <x:v>107</x:v>
      </x:c>
      <x:c r="C570" s="22" t="n">
        <x:f>MOD($B$6*(A570-1)+$B$7,$A$13)+1</x:f>
        <x:v>232</x:v>
      </x:c>
      <x:c r="D570" s="22" t="n">
        <x:f>MOD($B$6*(A570-1)+$B$7,$A$14)+1</x:f>
        <x:v>232</x:v>
      </x:c>
      <x:c r="E570" s="22" t="n">
        <x:f>MOD($B$6*(A570-1)+$B$7,$A$15)+1</x:f>
        <x:v>732</x:v>
      </x:c>
      <x:c r="F570" s="18"/>
      <x:c r="G570" s="18"/>
      <x:c r="H570" s="18" t="str">
        <x:v>pairing identity only</x:v>
      </x:c>
    </x:row>
    <x:row r="571" ht="22" customHeight="1">
      <x:c r="A571" s="22" t="n">
        <x:v>546</x:v>
      </x:c>
      <x:c r="B571" s="22" t="n">
        <x:f>MOD($B$6*(A571-1)+$B$7,$A$12)+1</x:f>
        <x:v>55</x:v>
      </x:c>
      <x:c r="C571" s="22" t="n">
        <x:f>MOD($B$6*(A571-1)+$B$7,$A$13)+1</x:f>
        <x:v>55</x:v>
      </x:c>
      <x:c r="D571" s="22" t="n">
        <x:f>MOD($B$6*(A571-1)+$B$7,$A$14)+1</x:f>
        <x:v>305</x:v>
      </x:c>
      <x:c r="E571" s="22" t="n">
        <x:f>MOD($B$6*(A571-1)+$B$7,$A$15)+1</x:f>
        <x:v>805</x:v>
      </x:c>
      <x:c r="F571" s="18"/>
      <x:c r="G571" s="18"/>
      <x:c r="H571" s="18" t="str">
        <x:v>pairing identity only</x:v>
      </x:c>
    </x:row>
    <x:row r="572" ht="22" customHeight="1">
      <x:c r="A572" s="22" t="n">
        <x:v>547</x:v>
      </x:c>
      <x:c r="B572" s="22" t="n">
        <x:f>MOD($B$6*(A572-1)+$B$7,$A$12)+1</x:f>
        <x:v>3</x:v>
      </x:c>
      <x:c r="C572" s="22" t="n">
        <x:f>MOD($B$6*(A572-1)+$B$7,$A$13)+1</x:f>
        <x:v>128</x:v>
      </x:c>
      <x:c r="D572" s="22" t="n">
        <x:f>MOD($B$6*(A572-1)+$B$7,$A$14)+1</x:f>
        <x:v>378</x:v>
      </x:c>
      <x:c r="E572" s="22" t="n">
        <x:f>MOD($B$6*(A572-1)+$B$7,$A$15)+1</x:f>
        <x:v>878</x:v>
      </x:c>
      <x:c r="F572" s="18"/>
      <x:c r="G572" s="18"/>
      <x:c r="H572" s="18" t="str">
        <x:v>pairing identity only</x:v>
      </x:c>
    </x:row>
    <x:row r="573" ht="22" customHeight="1">
      <x:c r="A573" s="22" t="n">
        <x:v>548</x:v>
      </x:c>
      <x:c r="B573" s="22" t="n">
        <x:f>MOD($B$6*(A573-1)+$B$7,$A$12)+1</x:f>
        <x:v>76</x:v>
      </x:c>
      <x:c r="C573" s="22" t="n">
        <x:f>MOD($B$6*(A573-1)+$B$7,$A$13)+1</x:f>
        <x:v>201</x:v>
      </x:c>
      <x:c r="D573" s="22" t="n">
        <x:f>MOD($B$6*(A573-1)+$B$7,$A$14)+1</x:f>
        <x:v>451</x:v>
      </x:c>
      <x:c r="E573" s="22" t="n">
        <x:f>MOD($B$6*(A573-1)+$B$7,$A$15)+1</x:f>
        <x:v>951</x:v>
      </x:c>
      <x:c r="F573" s="18"/>
      <x:c r="G573" s="18"/>
      <x:c r="H573" s="18" t="str">
        <x:v>pairing identity only</x:v>
      </x:c>
    </x:row>
    <x:row r="574" ht="22" customHeight="1">
      <x:c r="A574" s="22" t="n">
        <x:v>549</x:v>
      </x:c>
      <x:c r="B574" s="22" t="n">
        <x:f>MOD($B$6*(A574-1)+$B$7,$A$12)+1</x:f>
        <x:v>24</x:v>
      </x:c>
      <x:c r="C574" s="22" t="n">
        <x:f>MOD($B$6*(A574-1)+$B$7,$A$13)+1</x:f>
        <x:v>24</x:v>
      </x:c>
      <x:c r="D574" s="22" t="n">
        <x:f>MOD($B$6*(A574-1)+$B$7,$A$14)+1</x:f>
        <x:v>24</x:v>
      </x:c>
      <x:c r="E574" s="22" t="n">
        <x:f>MOD($B$6*(A574-1)+$B$7,$A$15)+1</x:f>
        <x:v>24</x:v>
      </x:c>
      <x:c r="F574" s="18"/>
      <x:c r="G574" s="18"/>
      <x:c r="H574" s="18" t="str">
        <x:v>pairing identity only</x:v>
      </x:c>
    </x:row>
    <x:row r="575" ht="22" customHeight="1">
      <x:c r="A575" s="22" t="n">
        <x:v>550</x:v>
      </x:c>
      <x:c r="B575" s="22" t="n">
        <x:f>MOD($B$6*(A575-1)+$B$7,$A$12)+1</x:f>
        <x:v>97</x:v>
      </x:c>
      <x:c r="C575" s="22" t="n">
        <x:f>MOD($B$6*(A575-1)+$B$7,$A$13)+1</x:f>
        <x:v>97</x:v>
      </x:c>
      <x:c r="D575" s="22" t="n">
        <x:f>MOD($B$6*(A575-1)+$B$7,$A$14)+1</x:f>
        <x:v>97</x:v>
      </x:c>
      <x:c r="E575" s="22" t="n">
        <x:f>MOD($B$6*(A575-1)+$B$7,$A$15)+1</x:f>
        <x:v>97</x:v>
      </x:c>
      <x:c r="F575" s="18"/>
      <x:c r="G575" s="18"/>
      <x:c r="H575" s="18" t="str">
        <x:v>pairing identity only</x:v>
      </x:c>
    </x:row>
    <x:row r="576" ht="22" customHeight="1">
      <x:c r="A576" s="22" t="n">
        <x:v>551</x:v>
      </x:c>
      <x:c r="B576" s="22" t="n">
        <x:f>MOD($B$6*(A576-1)+$B$7,$A$12)+1</x:f>
        <x:v>45</x:v>
      </x:c>
      <x:c r="C576" s="22" t="n">
        <x:f>MOD($B$6*(A576-1)+$B$7,$A$13)+1</x:f>
        <x:v>170</x:v>
      </x:c>
      <x:c r="D576" s="22" t="n">
        <x:f>MOD($B$6*(A576-1)+$B$7,$A$14)+1</x:f>
        <x:v>170</x:v>
      </x:c>
      <x:c r="E576" s="22" t="n">
        <x:f>MOD($B$6*(A576-1)+$B$7,$A$15)+1</x:f>
        <x:v>170</x:v>
      </x:c>
      <x:c r="F576" s="18"/>
      <x:c r="G576" s="18"/>
      <x:c r="H576" s="18" t="str">
        <x:v>pairing identity only</x:v>
      </x:c>
    </x:row>
    <x:row r="577" ht="22" customHeight="1">
      <x:c r="A577" s="22" t="n">
        <x:v>552</x:v>
      </x:c>
      <x:c r="B577" s="22" t="n">
        <x:f>MOD($B$6*(A577-1)+$B$7,$A$12)+1</x:f>
        <x:v>118</x:v>
      </x:c>
      <x:c r="C577" s="22" t="n">
        <x:f>MOD($B$6*(A577-1)+$B$7,$A$13)+1</x:f>
        <x:v>243</x:v>
      </x:c>
      <x:c r="D577" s="22" t="n">
        <x:f>MOD($B$6*(A577-1)+$B$7,$A$14)+1</x:f>
        <x:v>243</x:v>
      </x:c>
      <x:c r="E577" s="22" t="n">
        <x:f>MOD($B$6*(A577-1)+$B$7,$A$15)+1</x:f>
        <x:v>243</x:v>
      </x:c>
      <x:c r="F577" s="18"/>
      <x:c r="G577" s="18"/>
      <x:c r="H577" s="18" t="str">
        <x:v>pairing identity only</x:v>
      </x:c>
    </x:row>
    <x:row r="578" ht="22" customHeight="1">
      <x:c r="A578" s="22" t="n">
        <x:v>553</x:v>
      </x:c>
      <x:c r="B578" s="22" t="n">
        <x:f>MOD($B$6*(A578-1)+$B$7,$A$12)+1</x:f>
        <x:v>66</x:v>
      </x:c>
      <x:c r="C578" s="22" t="n">
        <x:f>MOD($B$6*(A578-1)+$B$7,$A$13)+1</x:f>
        <x:v>66</x:v>
      </x:c>
      <x:c r="D578" s="22" t="n">
        <x:f>MOD($B$6*(A578-1)+$B$7,$A$14)+1</x:f>
        <x:v>316</x:v>
      </x:c>
      <x:c r="E578" s="22" t="n">
        <x:f>MOD($B$6*(A578-1)+$B$7,$A$15)+1</x:f>
        <x:v>316</x:v>
      </x:c>
      <x:c r="F578" s="18"/>
      <x:c r="G578" s="18"/>
      <x:c r="H578" s="18" t="str">
        <x:v>pairing identity only</x:v>
      </x:c>
    </x:row>
    <x:row r="579" ht="22" customHeight="1">
      <x:c r="A579" s="22" t="n">
        <x:v>554</x:v>
      </x:c>
      <x:c r="B579" s="22" t="n">
        <x:f>MOD($B$6*(A579-1)+$B$7,$A$12)+1</x:f>
        <x:v>14</x:v>
      </x:c>
      <x:c r="C579" s="22" t="n">
        <x:f>MOD($B$6*(A579-1)+$B$7,$A$13)+1</x:f>
        <x:v>139</x:v>
      </x:c>
      <x:c r="D579" s="22" t="n">
        <x:f>MOD($B$6*(A579-1)+$B$7,$A$14)+1</x:f>
        <x:v>389</x:v>
      </x:c>
      <x:c r="E579" s="22" t="n">
        <x:f>MOD($B$6*(A579-1)+$B$7,$A$15)+1</x:f>
        <x:v>389</x:v>
      </x:c>
      <x:c r="F579" s="18"/>
      <x:c r="G579" s="18"/>
      <x:c r="H579" s="18" t="str">
        <x:v>pairing identity only</x:v>
      </x:c>
    </x:row>
    <x:row r="580" ht="22" customHeight="1">
      <x:c r="A580" s="22" t="n">
        <x:v>555</x:v>
      </x:c>
      <x:c r="B580" s="22" t="n">
        <x:f>MOD($B$6*(A580-1)+$B$7,$A$12)+1</x:f>
        <x:v>87</x:v>
      </x:c>
      <x:c r="C580" s="22" t="n">
        <x:f>MOD($B$6*(A580-1)+$B$7,$A$13)+1</x:f>
        <x:v>212</x:v>
      </x:c>
      <x:c r="D580" s="22" t="n">
        <x:f>MOD($B$6*(A580-1)+$B$7,$A$14)+1</x:f>
        <x:v>462</x:v>
      </x:c>
      <x:c r="E580" s="22" t="n">
        <x:f>MOD($B$6*(A580-1)+$B$7,$A$15)+1</x:f>
        <x:v>462</x:v>
      </x:c>
      <x:c r="F580" s="18"/>
      <x:c r="G580" s="18"/>
      <x:c r="H580" s="18" t="str">
        <x:v>pairing identity only</x:v>
      </x:c>
    </x:row>
    <x:row r="581" ht="22" customHeight="1">
      <x:c r="A581" s="22" t="n">
        <x:v>556</x:v>
      </x:c>
      <x:c r="B581" s="22" t="n">
        <x:f>MOD($B$6*(A581-1)+$B$7,$A$12)+1</x:f>
        <x:v>35</x:v>
      </x:c>
      <x:c r="C581" s="22" t="n">
        <x:f>MOD($B$6*(A581-1)+$B$7,$A$13)+1</x:f>
        <x:v>35</x:v>
      </x:c>
      <x:c r="D581" s="22" t="n">
        <x:f>MOD($B$6*(A581-1)+$B$7,$A$14)+1</x:f>
        <x:v>35</x:v>
      </x:c>
      <x:c r="E581" s="22" t="n">
        <x:f>MOD($B$6*(A581-1)+$B$7,$A$15)+1</x:f>
        <x:v>535</x:v>
      </x:c>
      <x:c r="F581" s="18"/>
      <x:c r="G581" s="18"/>
      <x:c r="H581" s="18" t="str">
        <x:v>pairing identity only</x:v>
      </x:c>
    </x:row>
    <x:row r="582" ht="22" customHeight="1">
      <x:c r="A582" s="22" t="n">
        <x:v>557</x:v>
      </x:c>
      <x:c r="B582" s="22" t="n">
        <x:f>MOD($B$6*(A582-1)+$B$7,$A$12)+1</x:f>
        <x:v>108</x:v>
      </x:c>
      <x:c r="C582" s="22" t="n">
        <x:f>MOD($B$6*(A582-1)+$B$7,$A$13)+1</x:f>
        <x:v>108</x:v>
      </x:c>
      <x:c r="D582" s="22" t="n">
        <x:f>MOD($B$6*(A582-1)+$B$7,$A$14)+1</x:f>
        <x:v>108</x:v>
      </x:c>
      <x:c r="E582" s="22" t="n">
        <x:f>MOD($B$6*(A582-1)+$B$7,$A$15)+1</x:f>
        <x:v>608</x:v>
      </x:c>
      <x:c r="F582" s="18"/>
      <x:c r="G582" s="18"/>
      <x:c r="H582" s="18" t="str">
        <x:v>pairing identity only</x:v>
      </x:c>
    </x:row>
    <x:row r="583" ht="22" customHeight="1">
      <x:c r="A583" s="22" t="n">
        <x:v>558</x:v>
      </x:c>
      <x:c r="B583" s="22" t="n">
        <x:f>MOD($B$6*(A583-1)+$B$7,$A$12)+1</x:f>
        <x:v>56</x:v>
      </x:c>
      <x:c r="C583" s="22" t="n">
        <x:f>MOD($B$6*(A583-1)+$B$7,$A$13)+1</x:f>
        <x:v>181</x:v>
      </x:c>
      <x:c r="D583" s="22" t="n">
        <x:f>MOD($B$6*(A583-1)+$B$7,$A$14)+1</x:f>
        <x:v>181</x:v>
      </x:c>
      <x:c r="E583" s="22" t="n">
        <x:f>MOD($B$6*(A583-1)+$B$7,$A$15)+1</x:f>
        <x:v>681</x:v>
      </x:c>
      <x:c r="F583" s="18"/>
      <x:c r="G583" s="18"/>
      <x:c r="H583" s="18" t="str">
        <x:v>pairing identity only</x:v>
      </x:c>
    </x:row>
    <x:row r="584" ht="22" customHeight="1">
      <x:c r="A584" s="22" t="n">
        <x:v>559</x:v>
      </x:c>
      <x:c r="B584" s="22" t="n">
        <x:f>MOD($B$6*(A584-1)+$B$7,$A$12)+1</x:f>
        <x:v>4</x:v>
      </x:c>
      <x:c r="C584" s="22" t="n">
        <x:f>MOD($B$6*(A584-1)+$B$7,$A$13)+1</x:f>
        <x:v>4</x:v>
      </x:c>
      <x:c r="D584" s="22" t="n">
        <x:f>MOD($B$6*(A584-1)+$B$7,$A$14)+1</x:f>
        <x:v>254</x:v>
      </x:c>
      <x:c r="E584" s="22" t="n">
        <x:f>MOD($B$6*(A584-1)+$B$7,$A$15)+1</x:f>
        <x:v>754</x:v>
      </x:c>
      <x:c r="F584" s="18"/>
      <x:c r="G584" s="18"/>
      <x:c r="H584" s="18" t="str">
        <x:v>pairing identity only</x:v>
      </x:c>
    </x:row>
    <x:row r="585" ht="22" customHeight="1">
      <x:c r="A585" s="22" t="n">
        <x:v>560</x:v>
      </x:c>
      <x:c r="B585" s="22" t="n">
        <x:f>MOD($B$6*(A585-1)+$B$7,$A$12)+1</x:f>
        <x:v>77</x:v>
      </x:c>
      <x:c r="C585" s="22" t="n">
        <x:f>MOD($B$6*(A585-1)+$B$7,$A$13)+1</x:f>
        <x:v>77</x:v>
      </x:c>
      <x:c r="D585" s="22" t="n">
        <x:f>MOD($B$6*(A585-1)+$B$7,$A$14)+1</x:f>
        <x:v>327</x:v>
      </x:c>
      <x:c r="E585" s="22" t="n">
        <x:f>MOD($B$6*(A585-1)+$B$7,$A$15)+1</x:f>
        <x:v>827</x:v>
      </x:c>
      <x:c r="F585" s="18"/>
      <x:c r="G585" s="18"/>
      <x:c r="H585" s="18" t="str">
        <x:v>pairing identity only</x:v>
      </x:c>
    </x:row>
    <x:row r="586" ht="22" customHeight="1">
      <x:c r="A586" s="22" t="n">
        <x:v>561</x:v>
      </x:c>
      <x:c r="B586" s="22" t="n">
        <x:f>MOD($B$6*(A586-1)+$B$7,$A$12)+1</x:f>
        <x:v>25</x:v>
      </x:c>
      <x:c r="C586" s="22" t="n">
        <x:f>MOD($B$6*(A586-1)+$B$7,$A$13)+1</x:f>
        <x:v>150</x:v>
      </x:c>
      <x:c r="D586" s="22" t="n">
        <x:f>MOD($B$6*(A586-1)+$B$7,$A$14)+1</x:f>
        <x:v>400</x:v>
      </x:c>
      <x:c r="E586" s="22" t="n">
        <x:f>MOD($B$6*(A586-1)+$B$7,$A$15)+1</x:f>
        <x:v>900</x:v>
      </x:c>
      <x:c r="F586" s="18"/>
      <x:c r="G586" s="18"/>
      <x:c r="H586" s="18" t="str">
        <x:v>pairing identity only</x:v>
      </x:c>
    </x:row>
    <x:row r="587" ht="22" customHeight="1">
      <x:c r="A587" s="22" t="n">
        <x:v>562</x:v>
      </x:c>
      <x:c r="B587" s="22" t="n">
        <x:f>MOD($B$6*(A587-1)+$B$7,$A$12)+1</x:f>
        <x:v>98</x:v>
      </x:c>
      <x:c r="C587" s="22" t="n">
        <x:f>MOD($B$6*(A587-1)+$B$7,$A$13)+1</x:f>
        <x:v>223</x:v>
      </x:c>
      <x:c r="D587" s="22" t="n">
        <x:f>MOD($B$6*(A587-1)+$B$7,$A$14)+1</x:f>
        <x:v>473</x:v>
      </x:c>
      <x:c r="E587" s="22" t="n">
        <x:f>MOD($B$6*(A587-1)+$B$7,$A$15)+1</x:f>
        <x:v>973</x:v>
      </x:c>
      <x:c r="F587" s="18"/>
      <x:c r="G587" s="18"/>
      <x:c r="H587" s="18" t="str">
        <x:v>pairing identity only</x:v>
      </x:c>
    </x:row>
    <x:row r="588" ht="22" customHeight="1">
      <x:c r="A588" s="22" t="n">
        <x:v>563</x:v>
      </x:c>
      <x:c r="B588" s="22" t="n">
        <x:f>MOD($B$6*(A588-1)+$B$7,$A$12)+1</x:f>
        <x:v>46</x:v>
      </x:c>
      <x:c r="C588" s="22" t="n">
        <x:f>MOD($B$6*(A588-1)+$B$7,$A$13)+1</x:f>
        <x:v>46</x:v>
      </x:c>
      <x:c r="D588" s="22" t="n">
        <x:f>MOD($B$6*(A588-1)+$B$7,$A$14)+1</x:f>
        <x:v>46</x:v>
      </x:c>
      <x:c r="E588" s="22" t="n">
        <x:f>MOD($B$6*(A588-1)+$B$7,$A$15)+1</x:f>
        <x:v>46</x:v>
      </x:c>
      <x:c r="F588" s="18"/>
      <x:c r="G588" s="18"/>
      <x:c r="H588" s="18" t="str">
        <x:v>pairing identity only</x:v>
      </x:c>
    </x:row>
    <x:row r="589" ht="22" customHeight="1">
      <x:c r="A589" s="22" t="n">
        <x:v>564</x:v>
      </x:c>
      <x:c r="B589" s="22" t="n">
        <x:f>MOD($B$6*(A589-1)+$B$7,$A$12)+1</x:f>
        <x:v>119</x:v>
      </x:c>
      <x:c r="C589" s="22" t="n">
        <x:f>MOD($B$6*(A589-1)+$B$7,$A$13)+1</x:f>
        <x:v>119</x:v>
      </x:c>
      <x:c r="D589" s="22" t="n">
        <x:f>MOD($B$6*(A589-1)+$B$7,$A$14)+1</x:f>
        <x:v>119</x:v>
      </x:c>
      <x:c r="E589" s="22" t="n">
        <x:f>MOD($B$6*(A589-1)+$B$7,$A$15)+1</x:f>
        <x:v>119</x:v>
      </x:c>
      <x:c r="F589" s="18"/>
      <x:c r="G589" s="18"/>
      <x:c r="H589" s="18" t="str">
        <x:v>pairing identity only</x:v>
      </x:c>
    </x:row>
    <x:row r="590" ht="22" customHeight="1">
      <x:c r="A590" s="22" t="n">
        <x:v>565</x:v>
      </x:c>
      <x:c r="B590" s="22" t="n">
        <x:f>MOD($B$6*(A590-1)+$B$7,$A$12)+1</x:f>
        <x:v>67</x:v>
      </x:c>
      <x:c r="C590" s="22" t="n">
        <x:f>MOD($B$6*(A590-1)+$B$7,$A$13)+1</x:f>
        <x:v>192</x:v>
      </x:c>
      <x:c r="D590" s="22" t="n">
        <x:f>MOD($B$6*(A590-1)+$B$7,$A$14)+1</x:f>
        <x:v>192</x:v>
      </x:c>
      <x:c r="E590" s="22" t="n">
        <x:f>MOD($B$6*(A590-1)+$B$7,$A$15)+1</x:f>
        <x:v>192</x:v>
      </x:c>
      <x:c r="F590" s="18"/>
      <x:c r="G590" s="18"/>
      <x:c r="H590" s="18" t="str">
        <x:v>pairing identity only</x:v>
      </x:c>
    </x:row>
    <x:row r="591" ht="22" customHeight="1">
      <x:c r="A591" s="22" t="n">
        <x:v>566</x:v>
      </x:c>
      <x:c r="B591" s="22" t="n">
        <x:f>MOD($B$6*(A591-1)+$B$7,$A$12)+1</x:f>
        <x:v>15</x:v>
      </x:c>
      <x:c r="C591" s="22" t="n">
        <x:f>MOD($B$6*(A591-1)+$B$7,$A$13)+1</x:f>
        <x:v>15</x:v>
      </x:c>
      <x:c r="D591" s="22" t="n">
        <x:f>MOD($B$6*(A591-1)+$B$7,$A$14)+1</x:f>
        <x:v>265</x:v>
      </x:c>
      <x:c r="E591" s="22" t="n">
        <x:f>MOD($B$6*(A591-1)+$B$7,$A$15)+1</x:f>
        <x:v>265</x:v>
      </x:c>
      <x:c r="F591" s="18"/>
      <x:c r="G591" s="18"/>
      <x:c r="H591" s="18" t="str">
        <x:v>pairing identity only</x:v>
      </x:c>
    </x:row>
    <x:row r="592" ht="22" customHeight="1">
      <x:c r="A592" s="22" t="n">
        <x:v>567</x:v>
      </x:c>
      <x:c r="B592" s="22" t="n">
        <x:f>MOD($B$6*(A592-1)+$B$7,$A$12)+1</x:f>
        <x:v>88</x:v>
      </x:c>
      <x:c r="C592" s="22" t="n">
        <x:f>MOD($B$6*(A592-1)+$B$7,$A$13)+1</x:f>
        <x:v>88</x:v>
      </x:c>
      <x:c r="D592" s="22" t="n">
        <x:f>MOD($B$6*(A592-1)+$B$7,$A$14)+1</x:f>
        <x:v>338</x:v>
      </x:c>
      <x:c r="E592" s="22" t="n">
        <x:f>MOD($B$6*(A592-1)+$B$7,$A$15)+1</x:f>
        <x:v>338</x:v>
      </x:c>
      <x:c r="F592" s="18"/>
      <x:c r="G592" s="18"/>
      <x:c r="H592" s="18" t="str">
        <x:v>pairing identity only</x:v>
      </x:c>
    </x:row>
    <x:row r="593" ht="22" customHeight="1">
      <x:c r="A593" s="22" t="n">
        <x:v>568</x:v>
      </x:c>
      <x:c r="B593" s="22" t="n">
        <x:f>MOD($B$6*(A593-1)+$B$7,$A$12)+1</x:f>
        <x:v>36</x:v>
      </x:c>
      <x:c r="C593" s="22" t="n">
        <x:f>MOD($B$6*(A593-1)+$B$7,$A$13)+1</x:f>
        <x:v>161</x:v>
      </x:c>
      <x:c r="D593" s="22" t="n">
        <x:f>MOD($B$6*(A593-1)+$B$7,$A$14)+1</x:f>
        <x:v>411</x:v>
      </x:c>
      <x:c r="E593" s="22" t="n">
        <x:f>MOD($B$6*(A593-1)+$B$7,$A$15)+1</x:f>
        <x:v>411</x:v>
      </x:c>
      <x:c r="F593" s="18"/>
      <x:c r="G593" s="18"/>
      <x:c r="H593" s="18" t="str">
        <x:v>pairing identity only</x:v>
      </x:c>
    </x:row>
    <x:row r="594" ht="22" customHeight="1">
      <x:c r="A594" s="22" t="n">
        <x:v>569</x:v>
      </x:c>
      <x:c r="B594" s="22" t="n">
        <x:f>MOD($B$6*(A594-1)+$B$7,$A$12)+1</x:f>
        <x:v>109</x:v>
      </x:c>
      <x:c r="C594" s="22" t="n">
        <x:f>MOD($B$6*(A594-1)+$B$7,$A$13)+1</x:f>
        <x:v>234</x:v>
      </x:c>
      <x:c r="D594" s="22" t="n">
        <x:f>MOD($B$6*(A594-1)+$B$7,$A$14)+1</x:f>
        <x:v>484</x:v>
      </x:c>
      <x:c r="E594" s="22" t="n">
        <x:f>MOD($B$6*(A594-1)+$B$7,$A$15)+1</x:f>
        <x:v>484</x:v>
      </x:c>
      <x:c r="F594" s="18"/>
      <x:c r="G594" s="18"/>
      <x:c r="H594" s="18" t="str">
        <x:v>pairing identity only</x:v>
      </x:c>
    </x:row>
    <x:row r="595" ht="22" customHeight="1">
      <x:c r="A595" s="22" t="n">
        <x:v>570</x:v>
      </x:c>
      <x:c r="B595" s="22" t="n">
        <x:f>MOD($B$6*(A595-1)+$B$7,$A$12)+1</x:f>
        <x:v>57</x:v>
      </x:c>
      <x:c r="C595" s="22" t="n">
        <x:f>MOD($B$6*(A595-1)+$B$7,$A$13)+1</x:f>
        <x:v>57</x:v>
      </x:c>
      <x:c r="D595" s="22" t="n">
        <x:f>MOD($B$6*(A595-1)+$B$7,$A$14)+1</x:f>
        <x:v>57</x:v>
      </x:c>
      <x:c r="E595" s="22" t="n">
        <x:f>MOD($B$6*(A595-1)+$B$7,$A$15)+1</x:f>
        <x:v>557</x:v>
      </x:c>
      <x:c r="F595" s="18"/>
      <x:c r="G595" s="18"/>
      <x:c r="H595" s="18" t="str">
        <x:v>pairing identity only</x:v>
      </x:c>
    </x:row>
    <x:row r="596" ht="22" customHeight="1">
      <x:c r="A596" s="22" t="n">
        <x:v>571</x:v>
      </x:c>
      <x:c r="B596" s="22" t="n">
        <x:f>MOD($B$6*(A596-1)+$B$7,$A$12)+1</x:f>
        <x:v>5</x:v>
      </x:c>
      <x:c r="C596" s="22" t="n">
        <x:f>MOD($B$6*(A596-1)+$B$7,$A$13)+1</x:f>
        <x:v>130</x:v>
      </x:c>
      <x:c r="D596" s="22" t="n">
        <x:f>MOD($B$6*(A596-1)+$B$7,$A$14)+1</x:f>
        <x:v>130</x:v>
      </x:c>
      <x:c r="E596" s="22" t="n">
        <x:f>MOD($B$6*(A596-1)+$B$7,$A$15)+1</x:f>
        <x:v>630</x:v>
      </x:c>
      <x:c r="F596" s="18"/>
      <x:c r="G596" s="18"/>
      <x:c r="H596" s="18" t="str">
        <x:v>pairing identity only</x:v>
      </x:c>
    </x:row>
    <x:row r="597" ht="22" customHeight="1">
      <x:c r="A597" s="22" t="n">
        <x:v>572</x:v>
      </x:c>
      <x:c r="B597" s="22" t="n">
        <x:f>MOD($B$6*(A597-1)+$B$7,$A$12)+1</x:f>
        <x:v>78</x:v>
      </x:c>
      <x:c r="C597" s="22" t="n">
        <x:f>MOD($B$6*(A597-1)+$B$7,$A$13)+1</x:f>
        <x:v>203</x:v>
      </x:c>
      <x:c r="D597" s="22" t="n">
        <x:f>MOD($B$6*(A597-1)+$B$7,$A$14)+1</x:f>
        <x:v>203</x:v>
      </x:c>
      <x:c r="E597" s="22" t="n">
        <x:f>MOD($B$6*(A597-1)+$B$7,$A$15)+1</x:f>
        <x:v>703</x:v>
      </x:c>
      <x:c r="F597" s="18"/>
      <x:c r="G597" s="18"/>
      <x:c r="H597" s="18" t="str">
        <x:v>pairing identity only</x:v>
      </x:c>
    </x:row>
    <x:row r="598" ht="22" customHeight="1">
      <x:c r="A598" s="22" t="n">
        <x:v>573</x:v>
      </x:c>
      <x:c r="B598" s="22" t="n">
        <x:f>MOD($B$6*(A598-1)+$B$7,$A$12)+1</x:f>
        <x:v>26</x:v>
      </x:c>
      <x:c r="C598" s="22" t="n">
        <x:f>MOD($B$6*(A598-1)+$B$7,$A$13)+1</x:f>
        <x:v>26</x:v>
      </x:c>
      <x:c r="D598" s="22" t="n">
        <x:f>MOD($B$6*(A598-1)+$B$7,$A$14)+1</x:f>
        <x:v>276</x:v>
      </x:c>
      <x:c r="E598" s="22" t="n">
        <x:f>MOD($B$6*(A598-1)+$B$7,$A$15)+1</x:f>
        <x:v>776</x:v>
      </x:c>
      <x:c r="F598" s="18"/>
      <x:c r="G598" s="18"/>
      <x:c r="H598" s="18" t="str">
        <x:v>pairing identity only</x:v>
      </x:c>
    </x:row>
    <x:row r="599" ht="22" customHeight="1">
      <x:c r="A599" s="22" t="n">
        <x:v>574</x:v>
      </x:c>
      <x:c r="B599" s="22" t="n">
        <x:f>MOD($B$6*(A599-1)+$B$7,$A$12)+1</x:f>
        <x:v>99</x:v>
      </x:c>
      <x:c r="C599" s="22" t="n">
        <x:f>MOD($B$6*(A599-1)+$B$7,$A$13)+1</x:f>
        <x:v>99</x:v>
      </x:c>
      <x:c r="D599" s="22" t="n">
        <x:f>MOD($B$6*(A599-1)+$B$7,$A$14)+1</x:f>
        <x:v>349</x:v>
      </x:c>
      <x:c r="E599" s="22" t="n">
        <x:f>MOD($B$6*(A599-1)+$B$7,$A$15)+1</x:f>
        <x:v>849</x:v>
      </x:c>
      <x:c r="F599" s="18"/>
      <x:c r="G599" s="18"/>
      <x:c r="H599" s="18" t="str">
        <x:v>pairing identity only</x:v>
      </x:c>
    </x:row>
    <x:row r="600" ht="22" customHeight="1">
      <x:c r="A600" s="22" t="n">
        <x:v>575</x:v>
      </x:c>
      <x:c r="B600" s="22" t="n">
        <x:f>MOD($B$6*(A600-1)+$B$7,$A$12)+1</x:f>
        <x:v>47</x:v>
      </x:c>
      <x:c r="C600" s="22" t="n">
        <x:f>MOD($B$6*(A600-1)+$B$7,$A$13)+1</x:f>
        <x:v>172</x:v>
      </x:c>
      <x:c r="D600" s="22" t="n">
        <x:f>MOD($B$6*(A600-1)+$B$7,$A$14)+1</x:f>
        <x:v>422</x:v>
      </x:c>
      <x:c r="E600" s="22" t="n">
        <x:f>MOD($B$6*(A600-1)+$B$7,$A$15)+1</x:f>
        <x:v>922</x:v>
      </x:c>
      <x:c r="F600" s="18"/>
      <x:c r="G600" s="18"/>
      <x:c r="H600" s="18" t="str">
        <x:v>pairing identity only</x:v>
      </x:c>
    </x:row>
    <x:row r="601" ht="22" customHeight="1">
      <x:c r="A601" s="22" t="n">
        <x:v>576</x:v>
      </x:c>
      <x:c r="B601" s="22" t="n">
        <x:f>MOD($B$6*(A601-1)+$B$7,$A$12)+1</x:f>
        <x:v>120</x:v>
      </x:c>
      <x:c r="C601" s="22" t="n">
        <x:f>MOD($B$6*(A601-1)+$B$7,$A$13)+1</x:f>
        <x:v>245</x:v>
      </x:c>
      <x:c r="D601" s="22" t="n">
        <x:f>MOD($B$6*(A601-1)+$B$7,$A$14)+1</x:f>
        <x:v>495</x:v>
      </x:c>
      <x:c r="E601" s="22" t="n">
        <x:f>MOD($B$6*(A601-1)+$B$7,$A$15)+1</x:f>
        <x:v>995</x:v>
      </x:c>
      <x:c r="F601" s="18"/>
      <x:c r="G601" s="18"/>
      <x:c r="H601" s="18" t="str">
        <x:v>pairing identity only</x:v>
      </x:c>
    </x:row>
    <x:row r="602" ht="22" customHeight="1">
      <x:c r="A602" s="22" t="n">
        <x:v>577</x:v>
      </x:c>
      <x:c r="B602" s="22" t="n">
        <x:f>MOD($B$6*(A602-1)+$B$7,$A$12)+1</x:f>
        <x:v>68</x:v>
      </x:c>
      <x:c r="C602" s="22" t="n">
        <x:f>MOD($B$6*(A602-1)+$B$7,$A$13)+1</x:f>
        <x:v>68</x:v>
      </x:c>
      <x:c r="D602" s="22" t="n">
        <x:f>MOD($B$6*(A602-1)+$B$7,$A$14)+1</x:f>
        <x:v>68</x:v>
      </x:c>
      <x:c r="E602" s="22" t="n">
        <x:f>MOD($B$6*(A602-1)+$B$7,$A$15)+1</x:f>
        <x:v>68</x:v>
      </x:c>
      <x:c r="F602" s="18"/>
      <x:c r="G602" s="18"/>
      <x:c r="H602" s="18" t="str">
        <x:v>pairing identity only</x:v>
      </x:c>
    </x:row>
    <x:row r="603" ht="22" customHeight="1">
      <x:c r="A603" s="22" t="n">
        <x:v>578</x:v>
      </x:c>
      <x:c r="B603" s="22" t="n">
        <x:f>MOD($B$6*(A603-1)+$B$7,$A$12)+1</x:f>
        <x:v>16</x:v>
      </x:c>
      <x:c r="C603" s="22" t="n">
        <x:f>MOD($B$6*(A603-1)+$B$7,$A$13)+1</x:f>
        <x:v>141</x:v>
      </x:c>
      <x:c r="D603" s="22" t="n">
        <x:f>MOD($B$6*(A603-1)+$B$7,$A$14)+1</x:f>
        <x:v>141</x:v>
      </x:c>
      <x:c r="E603" s="22" t="n">
        <x:f>MOD($B$6*(A603-1)+$B$7,$A$15)+1</x:f>
        <x:v>141</x:v>
      </x:c>
      <x:c r="F603" s="18"/>
      <x:c r="G603" s="18"/>
      <x:c r="H603" s="18" t="str">
        <x:v>pairing identity only</x:v>
      </x:c>
    </x:row>
    <x:row r="604" ht="22" customHeight="1">
      <x:c r="A604" s="22" t="n">
        <x:v>579</x:v>
      </x:c>
      <x:c r="B604" s="22" t="n">
        <x:f>MOD($B$6*(A604-1)+$B$7,$A$12)+1</x:f>
        <x:v>89</x:v>
      </x:c>
      <x:c r="C604" s="22" t="n">
        <x:f>MOD($B$6*(A604-1)+$B$7,$A$13)+1</x:f>
        <x:v>214</x:v>
      </x:c>
      <x:c r="D604" s="22" t="n">
        <x:f>MOD($B$6*(A604-1)+$B$7,$A$14)+1</x:f>
        <x:v>214</x:v>
      </x:c>
      <x:c r="E604" s="22" t="n">
        <x:f>MOD($B$6*(A604-1)+$B$7,$A$15)+1</x:f>
        <x:v>214</x:v>
      </x:c>
      <x:c r="F604" s="18"/>
      <x:c r="G604" s="18"/>
      <x:c r="H604" s="18" t="str">
        <x:v>pairing identity only</x:v>
      </x:c>
    </x:row>
    <x:row r="605" ht="22" customHeight="1">
      <x:c r="A605" s="22" t="n">
        <x:v>580</x:v>
      </x:c>
      <x:c r="B605" s="22" t="n">
        <x:f>MOD($B$6*(A605-1)+$B$7,$A$12)+1</x:f>
        <x:v>37</x:v>
      </x:c>
      <x:c r="C605" s="22" t="n">
        <x:f>MOD($B$6*(A605-1)+$B$7,$A$13)+1</x:f>
        <x:v>37</x:v>
      </x:c>
      <x:c r="D605" s="22" t="n">
        <x:f>MOD($B$6*(A605-1)+$B$7,$A$14)+1</x:f>
        <x:v>287</x:v>
      </x:c>
      <x:c r="E605" s="22" t="n">
        <x:f>MOD($B$6*(A605-1)+$B$7,$A$15)+1</x:f>
        <x:v>287</x:v>
      </x:c>
      <x:c r="F605" s="18"/>
      <x:c r="G605" s="18"/>
      <x:c r="H605" s="18" t="str">
        <x:v>pairing identity only</x:v>
      </x:c>
    </x:row>
    <x:row r="606" ht="22" customHeight="1">
      <x:c r="A606" s="22" t="n">
        <x:v>581</x:v>
      </x:c>
      <x:c r="B606" s="22" t="n">
        <x:f>MOD($B$6*(A606-1)+$B$7,$A$12)+1</x:f>
        <x:v>110</x:v>
      </x:c>
      <x:c r="C606" s="22" t="n">
        <x:f>MOD($B$6*(A606-1)+$B$7,$A$13)+1</x:f>
        <x:v>110</x:v>
      </x:c>
      <x:c r="D606" s="22" t="n">
        <x:f>MOD($B$6*(A606-1)+$B$7,$A$14)+1</x:f>
        <x:v>360</x:v>
      </x:c>
      <x:c r="E606" s="22" t="n">
        <x:f>MOD($B$6*(A606-1)+$B$7,$A$15)+1</x:f>
        <x:v>360</x:v>
      </x:c>
      <x:c r="F606" s="18"/>
      <x:c r="G606" s="18"/>
      <x:c r="H606" s="18" t="str">
        <x:v>pairing identity only</x:v>
      </x:c>
    </x:row>
    <x:row r="607" ht="22" customHeight="1">
      <x:c r="A607" s="22" t="n">
        <x:v>582</x:v>
      </x:c>
      <x:c r="B607" s="22" t="n">
        <x:f>MOD($B$6*(A607-1)+$B$7,$A$12)+1</x:f>
        <x:v>58</x:v>
      </x:c>
      <x:c r="C607" s="22" t="n">
        <x:f>MOD($B$6*(A607-1)+$B$7,$A$13)+1</x:f>
        <x:v>183</x:v>
      </x:c>
      <x:c r="D607" s="22" t="n">
        <x:f>MOD($B$6*(A607-1)+$B$7,$A$14)+1</x:f>
        <x:v>433</x:v>
      </x:c>
      <x:c r="E607" s="22" t="n">
        <x:f>MOD($B$6*(A607-1)+$B$7,$A$15)+1</x:f>
        <x:v>433</x:v>
      </x:c>
      <x:c r="F607" s="18"/>
      <x:c r="G607" s="18"/>
      <x:c r="H607" s="18" t="str">
        <x:v>pairing identity only</x:v>
      </x:c>
    </x:row>
    <x:row r="608" ht="22" customHeight="1">
      <x:c r="A608" s="22" t="n">
        <x:v>583</x:v>
      </x:c>
      <x:c r="B608" s="22" t="n">
        <x:f>MOD($B$6*(A608-1)+$B$7,$A$12)+1</x:f>
        <x:v>6</x:v>
      </x:c>
      <x:c r="C608" s="22" t="n">
        <x:f>MOD($B$6*(A608-1)+$B$7,$A$13)+1</x:f>
        <x:v>6</x:v>
      </x:c>
      <x:c r="D608" s="22" t="n">
        <x:f>MOD($B$6*(A608-1)+$B$7,$A$14)+1</x:f>
        <x:v>6</x:v>
      </x:c>
      <x:c r="E608" s="22" t="n">
        <x:f>MOD($B$6*(A608-1)+$B$7,$A$15)+1</x:f>
        <x:v>506</x:v>
      </x:c>
      <x:c r="F608" s="18"/>
      <x:c r="G608" s="18"/>
      <x:c r="H608" s="18" t="str">
        <x:v>pairing identity only</x:v>
      </x:c>
    </x:row>
    <x:row r="609" ht="22" customHeight="1">
      <x:c r="A609" s="22" t="n">
        <x:v>584</x:v>
      </x:c>
      <x:c r="B609" s="22" t="n">
        <x:f>MOD($B$6*(A609-1)+$B$7,$A$12)+1</x:f>
        <x:v>79</x:v>
      </x:c>
      <x:c r="C609" s="22" t="n">
        <x:f>MOD($B$6*(A609-1)+$B$7,$A$13)+1</x:f>
        <x:v>79</x:v>
      </x:c>
      <x:c r="D609" s="22" t="n">
        <x:f>MOD($B$6*(A609-1)+$B$7,$A$14)+1</x:f>
        <x:v>79</x:v>
      </x:c>
      <x:c r="E609" s="22" t="n">
        <x:f>MOD($B$6*(A609-1)+$B$7,$A$15)+1</x:f>
        <x:v>579</x:v>
      </x:c>
      <x:c r="F609" s="18"/>
      <x:c r="G609" s="18"/>
      <x:c r="H609" s="18" t="str">
        <x:v>pairing identity only</x:v>
      </x:c>
    </x:row>
    <x:row r="610" ht="22" customHeight="1">
      <x:c r="A610" s="22" t="n">
        <x:v>585</x:v>
      </x:c>
      <x:c r="B610" s="22" t="n">
        <x:f>MOD($B$6*(A610-1)+$B$7,$A$12)+1</x:f>
        <x:v>27</x:v>
      </x:c>
      <x:c r="C610" s="22" t="n">
        <x:f>MOD($B$6*(A610-1)+$B$7,$A$13)+1</x:f>
        <x:v>152</x:v>
      </x:c>
      <x:c r="D610" s="22" t="n">
        <x:f>MOD($B$6*(A610-1)+$B$7,$A$14)+1</x:f>
        <x:v>152</x:v>
      </x:c>
      <x:c r="E610" s="22" t="n">
        <x:f>MOD($B$6*(A610-1)+$B$7,$A$15)+1</x:f>
        <x:v>652</x:v>
      </x:c>
      <x:c r="F610" s="18"/>
      <x:c r="G610" s="18"/>
      <x:c r="H610" s="18" t="str">
        <x:v>pairing identity only</x:v>
      </x:c>
    </x:row>
    <x:row r="611" ht="22" customHeight="1">
      <x:c r="A611" s="22" t="n">
        <x:v>586</x:v>
      </x:c>
      <x:c r="B611" s="22" t="n">
        <x:f>MOD($B$6*(A611-1)+$B$7,$A$12)+1</x:f>
        <x:v>100</x:v>
      </x:c>
      <x:c r="C611" s="22" t="n">
        <x:f>MOD($B$6*(A611-1)+$B$7,$A$13)+1</x:f>
        <x:v>225</x:v>
      </x:c>
      <x:c r="D611" s="22" t="n">
        <x:f>MOD($B$6*(A611-1)+$B$7,$A$14)+1</x:f>
        <x:v>225</x:v>
      </x:c>
      <x:c r="E611" s="22" t="n">
        <x:f>MOD($B$6*(A611-1)+$B$7,$A$15)+1</x:f>
        <x:v>725</x:v>
      </x:c>
      <x:c r="F611" s="18"/>
      <x:c r="G611" s="18"/>
      <x:c r="H611" s="18" t="str">
        <x:v>pairing identity only</x:v>
      </x:c>
    </x:row>
    <x:row r="612" ht="22" customHeight="1">
      <x:c r="A612" s="22" t="n">
        <x:v>587</x:v>
      </x:c>
      <x:c r="B612" s="22" t="n">
        <x:f>MOD($B$6*(A612-1)+$B$7,$A$12)+1</x:f>
        <x:v>48</x:v>
      </x:c>
      <x:c r="C612" s="22" t="n">
        <x:f>MOD($B$6*(A612-1)+$B$7,$A$13)+1</x:f>
        <x:v>48</x:v>
      </x:c>
      <x:c r="D612" s="22" t="n">
        <x:f>MOD($B$6*(A612-1)+$B$7,$A$14)+1</x:f>
        <x:v>298</x:v>
      </x:c>
      <x:c r="E612" s="22" t="n">
        <x:f>MOD($B$6*(A612-1)+$B$7,$A$15)+1</x:f>
        <x:v>798</x:v>
      </x:c>
      <x:c r="F612" s="18"/>
      <x:c r="G612" s="18"/>
      <x:c r="H612" s="18" t="str">
        <x:v>pairing identity only</x:v>
      </x:c>
    </x:row>
    <x:row r="613" ht="22" customHeight="1">
      <x:c r="A613" s="22" t="n">
        <x:v>588</x:v>
      </x:c>
      <x:c r="B613" s="22" t="n">
        <x:f>MOD($B$6*(A613-1)+$B$7,$A$12)+1</x:f>
        <x:v>121</x:v>
      </x:c>
      <x:c r="C613" s="22" t="n">
        <x:f>MOD($B$6*(A613-1)+$B$7,$A$13)+1</x:f>
        <x:v>121</x:v>
      </x:c>
      <x:c r="D613" s="22" t="n">
        <x:f>MOD($B$6*(A613-1)+$B$7,$A$14)+1</x:f>
        <x:v>371</x:v>
      </x:c>
      <x:c r="E613" s="22" t="n">
        <x:f>MOD($B$6*(A613-1)+$B$7,$A$15)+1</x:f>
        <x:v>871</x:v>
      </x:c>
      <x:c r="F613" s="18"/>
      <x:c r="G613" s="18"/>
      <x:c r="H613" s="18" t="str">
        <x:v>pairing identity only</x:v>
      </x:c>
    </x:row>
    <x:row r="614" ht="22" customHeight="1">
      <x:c r="A614" s="22" t="n">
        <x:v>589</x:v>
      </x:c>
      <x:c r="B614" s="22" t="n">
        <x:f>MOD($B$6*(A614-1)+$B$7,$A$12)+1</x:f>
        <x:v>69</x:v>
      </x:c>
      <x:c r="C614" s="22" t="n">
        <x:f>MOD($B$6*(A614-1)+$B$7,$A$13)+1</x:f>
        <x:v>194</x:v>
      </x:c>
      <x:c r="D614" s="22" t="n">
        <x:f>MOD($B$6*(A614-1)+$B$7,$A$14)+1</x:f>
        <x:v>444</x:v>
      </x:c>
      <x:c r="E614" s="22" t="n">
        <x:f>MOD($B$6*(A614-1)+$B$7,$A$15)+1</x:f>
        <x:v>944</x:v>
      </x:c>
      <x:c r="F614" s="18"/>
      <x:c r="G614" s="18"/>
      <x:c r="H614" s="18" t="str">
        <x:v>pairing identity only</x:v>
      </x:c>
    </x:row>
    <x:row r="615" ht="22" customHeight="1">
      <x:c r="A615" s="22" t="n">
        <x:v>590</x:v>
      </x:c>
      <x:c r="B615" s="22" t="n">
        <x:f>MOD($B$6*(A615-1)+$B$7,$A$12)+1</x:f>
        <x:v>17</x:v>
      </x:c>
      <x:c r="C615" s="22" t="n">
        <x:f>MOD($B$6*(A615-1)+$B$7,$A$13)+1</x:f>
        <x:v>17</x:v>
      </x:c>
      <x:c r="D615" s="22" t="n">
        <x:f>MOD($B$6*(A615-1)+$B$7,$A$14)+1</x:f>
        <x:v>17</x:v>
      </x:c>
      <x:c r="E615" s="22" t="n">
        <x:f>MOD($B$6*(A615-1)+$B$7,$A$15)+1</x:f>
        <x:v>17</x:v>
      </x:c>
      <x:c r="F615" s="18"/>
      <x:c r="G615" s="18"/>
      <x:c r="H615" s="18" t="str">
        <x:v>pairing identity only</x:v>
      </x:c>
    </x:row>
    <x:row r="616" ht="22" customHeight="1">
      <x:c r="A616" s="22" t="n">
        <x:v>591</x:v>
      </x:c>
      <x:c r="B616" s="22" t="n">
        <x:f>MOD($B$6*(A616-1)+$B$7,$A$12)+1</x:f>
        <x:v>90</x:v>
      </x:c>
      <x:c r="C616" s="22" t="n">
        <x:f>MOD($B$6*(A616-1)+$B$7,$A$13)+1</x:f>
        <x:v>90</x:v>
      </x:c>
      <x:c r="D616" s="22" t="n">
        <x:f>MOD($B$6*(A616-1)+$B$7,$A$14)+1</x:f>
        <x:v>90</x:v>
      </x:c>
      <x:c r="E616" s="22" t="n">
        <x:f>MOD($B$6*(A616-1)+$B$7,$A$15)+1</x:f>
        <x:v>90</x:v>
      </x:c>
      <x:c r="F616" s="18"/>
      <x:c r="G616" s="18"/>
      <x:c r="H616" s="18" t="str">
        <x:v>pairing identity only</x:v>
      </x:c>
    </x:row>
    <x:row r="617" ht="22" customHeight="1">
      <x:c r="A617" s="22" t="n">
        <x:v>592</x:v>
      </x:c>
      <x:c r="B617" s="22" t="n">
        <x:f>MOD($B$6*(A617-1)+$B$7,$A$12)+1</x:f>
        <x:v>38</x:v>
      </x:c>
      <x:c r="C617" s="22" t="n">
        <x:f>MOD($B$6*(A617-1)+$B$7,$A$13)+1</x:f>
        <x:v>163</x:v>
      </x:c>
      <x:c r="D617" s="22" t="n">
        <x:f>MOD($B$6*(A617-1)+$B$7,$A$14)+1</x:f>
        <x:v>163</x:v>
      </x:c>
      <x:c r="E617" s="22" t="n">
        <x:f>MOD($B$6*(A617-1)+$B$7,$A$15)+1</x:f>
        <x:v>163</x:v>
      </x:c>
      <x:c r="F617" s="18"/>
      <x:c r="G617" s="18"/>
      <x:c r="H617" s="18" t="str">
        <x:v>pairing identity only</x:v>
      </x:c>
    </x:row>
    <x:row r="618" ht="22" customHeight="1">
      <x:c r="A618" s="22" t="n">
        <x:v>593</x:v>
      </x:c>
      <x:c r="B618" s="22" t="n">
        <x:f>MOD($B$6*(A618-1)+$B$7,$A$12)+1</x:f>
        <x:v>111</x:v>
      </x:c>
      <x:c r="C618" s="22" t="n">
        <x:f>MOD($B$6*(A618-1)+$B$7,$A$13)+1</x:f>
        <x:v>236</x:v>
      </x:c>
      <x:c r="D618" s="22" t="n">
        <x:f>MOD($B$6*(A618-1)+$B$7,$A$14)+1</x:f>
        <x:v>236</x:v>
      </x:c>
      <x:c r="E618" s="22" t="n">
        <x:f>MOD($B$6*(A618-1)+$B$7,$A$15)+1</x:f>
        <x:v>236</x:v>
      </x:c>
      <x:c r="F618" s="18"/>
      <x:c r="G618" s="18"/>
      <x:c r="H618" s="18" t="str">
        <x:v>pairing identity only</x:v>
      </x:c>
    </x:row>
    <x:row r="619" ht="22" customHeight="1">
      <x:c r="A619" s="22" t="n">
        <x:v>594</x:v>
      </x:c>
      <x:c r="B619" s="22" t="n">
        <x:f>MOD($B$6*(A619-1)+$B$7,$A$12)+1</x:f>
        <x:v>59</x:v>
      </x:c>
      <x:c r="C619" s="22" t="n">
        <x:f>MOD($B$6*(A619-1)+$B$7,$A$13)+1</x:f>
        <x:v>59</x:v>
      </x:c>
      <x:c r="D619" s="22" t="n">
        <x:f>MOD($B$6*(A619-1)+$B$7,$A$14)+1</x:f>
        <x:v>309</x:v>
      </x:c>
      <x:c r="E619" s="22" t="n">
        <x:f>MOD($B$6*(A619-1)+$B$7,$A$15)+1</x:f>
        <x:v>309</x:v>
      </x:c>
      <x:c r="F619" s="18"/>
      <x:c r="G619" s="18"/>
      <x:c r="H619" s="18" t="str">
        <x:v>pairing identity only</x:v>
      </x:c>
    </x:row>
    <x:row r="620" ht="22" customHeight="1">
      <x:c r="A620" s="22" t="n">
        <x:v>595</x:v>
      </x:c>
      <x:c r="B620" s="22" t="n">
        <x:f>MOD($B$6*(A620-1)+$B$7,$A$12)+1</x:f>
        <x:v>7</x:v>
      </x:c>
      <x:c r="C620" s="22" t="n">
        <x:f>MOD($B$6*(A620-1)+$B$7,$A$13)+1</x:f>
        <x:v>132</x:v>
      </x:c>
      <x:c r="D620" s="22" t="n">
        <x:f>MOD($B$6*(A620-1)+$B$7,$A$14)+1</x:f>
        <x:v>382</x:v>
      </x:c>
      <x:c r="E620" s="22" t="n">
        <x:f>MOD($B$6*(A620-1)+$B$7,$A$15)+1</x:f>
        <x:v>382</x:v>
      </x:c>
      <x:c r="F620" s="18"/>
      <x:c r="G620" s="18"/>
      <x:c r="H620" s="18" t="str">
        <x:v>pairing identity only</x:v>
      </x:c>
    </x:row>
    <x:row r="621" ht="22" customHeight="1">
      <x:c r="A621" s="22" t="n">
        <x:v>596</x:v>
      </x:c>
      <x:c r="B621" s="22" t="n">
        <x:f>MOD($B$6*(A621-1)+$B$7,$A$12)+1</x:f>
        <x:v>80</x:v>
      </x:c>
      <x:c r="C621" s="22" t="n">
        <x:f>MOD($B$6*(A621-1)+$B$7,$A$13)+1</x:f>
        <x:v>205</x:v>
      </x:c>
      <x:c r="D621" s="22" t="n">
        <x:f>MOD($B$6*(A621-1)+$B$7,$A$14)+1</x:f>
        <x:v>455</x:v>
      </x:c>
      <x:c r="E621" s="22" t="n">
        <x:f>MOD($B$6*(A621-1)+$B$7,$A$15)+1</x:f>
        <x:v>455</x:v>
      </x:c>
      <x:c r="F621" s="18"/>
      <x:c r="G621" s="18"/>
      <x:c r="H621" s="18" t="str">
        <x:v>pairing identity only</x:v>
      </x:c>
    </x:row>
    <x:row r="622" ht="22" customHeight="1">
      <x:c r="A622" s="22" t="n">
        <x:v>597</x:v>
      </x:c>
      <x:c r="B622" s="22" t="n">
        <x:f>MOD($B$6*(A622-1)+$B$7,$A$12)+1</x:f>
        <x:v>28</x:v>
      </x:c>
      <x:c r="C622" s="22" t="n">
        <x:f>MOD($B$6*(A622-1)+$B$7,$A$13)+1</x:f>
        <x:v>28</x:v>
      </x:c>
      <x:c r="D622" s="22" t="n">
        <x:f>MOD($B$6*(A622-1)+$B$7,$A$14)+1</x:f>
        <x:v>28</x:v>
      </x:c>
      <x:c r="E622" s="22" t="n">
        <x:f>MOD($B$6*(A622-1)+$B$7,$A$15)+1</x:f>
        <x:v>528</x:v>
      </x:c>
      <x:c r="F622" s="18"/>
      <x:c r="G622" s="18"/>
      <x:c r="H622" s="18" t="str">
        <x:v>pairing identity only</x:v>
      </x:c>
    </x:row>
    <x:row r="623" ht="22" customHeight="1">
      <x:c r="A623" s="22" t="n">
        <x:v>598</x:v>
      </x:c>
      <x:c r="B623" s="22" t="n">
        <x:f>MOD($B$6*(A623-1)+$B$7,$A$12)+1</x:f>
        <x:v>101</x:v>
      </x:c>
      <x:c r="C623" s="22" t="n">
        <x:f>MOD($B$6*(A623-1)+$B$7,$A$13)+1</x:f>
        <x:v>101</x:v>
      </x:c>
      <x:c r="D623" s="22" t="n">
        <x:f>MOD($B$6*(A623-1)+$B$7,$A$14)+1</x:f>
        <x:v>101</x:v>
      </x:c>
      <x:c r="E623" s="22" t="n">
        <x:f>MOD($B$6*(A623-1)+$B$7,$A$15)+1</x:f>
        <x:v>601</x:v>
      </x:c>
      <x:c r="F623" s="18"/>
      <x:c r="G623" s="18"/>
      <x:c r="H623" s="18" t="str">
        <x:v>pairing identity only</x:v>
      </x:c>
    </x:row>
    <x:row r="624" ht="22" customHeight="1">
      <x:c r="A624" s="22" t="n">
        <x:v>599</x:v>
      </x:c>
      <x:c r="B624" s="22" t="n">
        <x:f>MOD($B$6*(A624-1)+$B$7,$A$12)+1</x:f>
        <x:v>49</x:v>
      </x:c>
      <x:c r="C624" s="22" t="n">
        <x:f>MOD($B$6*(A624-1)+$B$7,$A$13)+1</x:f>
        <x:v>174</x:v>
      </x:c>
      <x:c r="D624" s="22" t="n">
        <x:f>MOD($B$6*(A624-1)+$B$7,$A$14)+1</x:f>
        <x:v>174</x:v>
      </x:c>
      <x:c r="E624" s="22" t="n">
        <x:f>MOD($B$6*(A624-1)+$B$7,$A$15)+1</x:f>
        <x:v>674</x:v>
      </x:c>
      <x:c r="F624" s="18"/>
      <x:c r="G624" s="18"/>
      <x:c r="H624" s="18" t="str">
        <x:v>pairing identity only</x:v>
      </x:c>
    </x:row>
    <x:row r="625" ht="22" customHeight="1">
      <x:c r="A625" s="22" t="n">
        <x:v>600</x:v>
      </x:c>
      <x:c r="B625" s="22" t="n">
        <x:f>MOD($B$6*(A625-1)+$B$7,$A$12)+1</x:f>
        <x:v>122</x:v>
      </x:c>
      <x:c r="C625" s="22" t="n">
        <x:f>MOD($B$6*(A625-1)+$B$7,$A$13)+1</x:f>
        <x:v>247</x:v>
      </x:c>
      <x:c r="D625" s="22" t="n">
        <x:f>MOD($B$6*(A625-1)+$B$7,$A$14)+1</x:f>
        <x:v>247</x:v>
      </x:c>
      <x:c r="E625" s="22" t="n">
        <x:f>MOD($B$6*(A625-1)+$B$7,$A$15)+1</x:f>
        <x:v>747</x:v>
      </x:c>
      <x:c r="F625" s="18"/>
      <x:c r="G625" s="18"/>
      <x:c r="H625" s="18" t="str">
        <x:v>pairing identity only</x:v>
      </x:c>
    </x:row>
    <x:row r="626" ht="22" customHeight="1">
      <x:c r="A626" s="22" t="n">
        <x:v>601</x:v>
      </x:c>
      <x:c r="B626" s="22" t="n">
        <x:f>MOD($B$6*(A626-1)+$B$7,$A$12)+1</x:f>
        <x:v>70</x:v>
      </x:c>
      <x:c r="C626" s="22" t="n">
        <x:f>MOD($B$6*(A626-1)+$B$7,$A$13)+1</x:f>
        <x:v>70</x:v>
      </x:c>
      <x:c r="D626" s="22" t="n">
        <x:f>MOD($B$6*(A626-1)+$B$7,$A$14)+1</x:f>
        <x:v>320</x:v>
      </x:c>
      <x:c r="E626" s="22" t="n">
        <x:f>MOD($B$6*(A626-1)+$B$7,$A$15)+1</x:f>
        <x:v>820</x:v>
      </x:c>
      <x:c r="F626" s="18"/>
      <x:c r="G626" s="18"/>
      <x:c r="H626" s="18" t="str">
        <x:v>pairing identity only</x:v>
      </x:c>
    </x:row>
    <x:row r="627" ht="22" customHeight="1">
      <x:c r="A627" s="22" t="n">
        <x:v>602</x:v>
      </x:c>
      <x:c r="B627" s="22" t="n">
        <x:f>MOD($B$6*(A627-1)+$B$7,$A$12)+1</x:f>
        <x:v>18</x:v>
      </x:c>
      <x:c r="C627" s="22" t="n">
        <x:f>MOD($B$6*(A627-1)+$B$7,$A$13)+1</x:f>
        <x:v>143</x:v>
      </x:c>
      <x:c r="D627" s="22" t="n">
        <x:f>MOD($B$6*(A627-1)+$B$7,$A$14)+1</x:f>
        <x:v>393</x:v>
      </x:c>
      <x:c r="E627" s="22" t="n">
        <x:f>MOD($B$6*(A627-1)+$B$7,$A$15)+1</x:f>
        <x:v>893</x:v>
      </x:c>
      <x:c r="F627" s="18"/>
      <x:c r="G627" s="18"/>
      <x:c r="H627" s="18" t="str">
        <x:v>pairing identity only</x:v>
      </x:c>
    </x:row>
    <x:row r="628" ht="22" customHeight="1">
      <x:c r="A628" s="22" t="n">
        <x:v>603</x:v>
      </x:c>
      <x:c r="B628" s="22" t="n">
        <x:f>MOD($B$6*(A628-1)+$B$7,$A$12)+1</x:f>
        <x:v>91</x:v>
      </x:c>
      <x:c r="C628" s="22" t="n">
        <x:f>MOD($B$6*(A628-1)+$B$7,$A$13)+1</x:f>
        <x:v>216</x:v>
      </x:c>
      <x:c r="D628" s="22" t="n">
        <x:f>MOD($B$6*(A628-1)+$B$7,$A$14)+1</x:f>
        <x:v>466</x:v>
      </x:c>
      <x:c r="E628" s="22" t="n">
        <x:f>MOD($B$6*(A628-1)+$B$7,$A$15)+1</x:f>
        <x:v>966</x:v>
      </x:c>
      <x:c r="F628" s="18"/>
      <x:c r="G628" s="18"/>
      <x:c r="H628" s="18" t="str">
        <x:v>pairing identity only</x:v>
      </x:c>
    </x:row>
    <x:row r="629" ht="22" customHeight="1">
      <x:c r="A629" s="22" t="n">
        <x:v>604</x:v>
      </x:c>
      <x:c r="B629" s="22" t="n">
        <x:f>MOD($B$6*(A629-1)+$B$7,$A$12)+1</x:f>
        <x:v>39</x:v>
      </x:c>
      <x:c r="C629" s="22" t="n">
        <x:f>MOD($B$6*(A629-1)+$B$7,$A$13)+1</x:f>
        <x:v>39</x:v>
      </x:c>
      <x:c r="D629" s="22" t="n">
        <x:f>MOD($B$6*(A629-1)+$B$7,$A$14)+1</x:f>
        <x:v>39</x:v>
      </x:c>
      <x:c r="E629" s="22" t="n">
        <x:f>MOD($B$6*(A629-1)+$B$7,$A$15)+1</x:f>
        <x:v>39</x:v>
      </x:c>
      <x:c r="F629" s="18"/>
      <x:c r="G629" s="18"/>
      <x:c r="H629" s="18" t="str">
        <x:v>pairing identity only</x:v>
      </x:c>
    </x:row>
    <x:row r="630" ht="22" customHeight="1">
      <x:c r="A630" s="22" t="n">
        <x:v>605</x:v>
      </x:c>
      <x:c r="B630" s="22" t="n">
        <x:f>MOD($B$6*(A630-1)+$B$7,$A$12)+1</x:f>
        <x:v>112</x:v>
      </x:c>
      <x:c r="C630" s="22" t="n">
        <x:f>MOD($B$6*(A630-1)+$B$7,$A$13)+1</x:f>
        <x:v>112</x:v>
      </x:c>
      <x:c r="D630" s="22" t="n">
        <x:f>MOD($B$6*(A630-1)+$B$7,$A$14)+1</x:f>
        <x:v>112</x:v>
      </x:c>
      <x:c r="E630" s="22" t="n">
        <x:f>MOD($B$6*(A630-1)+$B$7,$A$15)+1</x:f>
        <x:v>112</x:v>
      </x:c>
      <x:c r="F630" s="18"/>
      <x:c r="G630" s="18"/>
      <x:c r="H630" s="18" t="str">
        <x:v>pairing identity only</x:v>
      </x:c>
    </x:row>
    <x:row r="631" ht="22" customHeight="1">
      <x:c r="A631" s="22" t="n">
        <x:v>606</x:v>
      </x:c>
      <x:c r="B631" s="22" t="n">
        <x:f>MOD($B$6*(A631-1)+$B$7,$A$12)+1</x:f>
        <x:v>60</x:v>
      </x:c>
      <x:c r="C631" s="22" t="n">
        <x:f>MOD($B$6*(A631-1)+$B$7,$A$13)+1</x:f>
        <x:v>185</x:v>
      </x:c>
      <x:c r="D631" s="22" t="n">
        <x:f>MOD($B$6*(A631-1)+$B$7,$A$14)+1</x:f>
        <x:v>185</x:v>
      </x:c>
      <x:c r="E631" s="22" t="n">
        <x:f>MOD($B$6*(A631-1)+$B$7,$A$15)+1</x:f>
        <x:v>185</x:v>
      </x:c>
      <x:c r="F631" s="18"/>
      <x:c r="G631" s="18"/>
      <x:c r="H631" s="18" t="str">
        <x:v>pairing identity only</x:v>
      </x:c>
    </x:row>
    <x:row r="632" ht="22" customHeight="1">
      <x:c r="A632" s="22" t="n">
        <x:v>607</x:v>
      </x:c>
      <x:c r="B632" s="22" t="n">
        <x:f>MOD($B$6*(A632-1)+$B$7,$A$12)+1</x:f>
        <x:v>8</x:v>
      </x:c>
      <x:c r="C632" s="22" t="n">
        <x:f>MOD($B$6*(A632-1)+$B$7,$A$13)+1</x:f>
        <x:v>8</x:v>
      </x:c>
      <x:c r="D632" s="22" t="n">
        <x:f>MOD($B$6*(A632-1)+$B$7,$A$14)+1</x:f>
        <x:v>258</x:v>
      </x:c>
      <x:c r="E632" s="22" t="n">
        <x:f>MOD($B$6*(A632-1)+$B$7,$A$15)+1</x:f>
        <x:v>258</x:v>
      </x:c>
      <x:c r="F632" s="18"/>
      <x:c r="G632" s="18"/>
      <x:c r="H632" s="18" t="str">
        <x:v>pairing identity only</x:v>
      </x:c>
    </x:row>
    <x:row r="633" ht="22" customHeight="1">
      <x:c r="A633" s="22" t="n">
        <x:v>608</x:v>
      </x:c>
      <x:c r="B633" s="22" t="n">
        <x:f>MOD($B$6*(A633-1)+$B$7,$A$12)+1</x:f>
        <x:v>81</x:v>
      </x:c>
      <x:c r="C633" s="22" t="n">
        <x:f>MOD($B$6*(A633-1)+$B$7,$A$13)+1</x:f>
        <x:v>81</x:v>
      </x:c>
      <x:c r="D633" s="22" t="n">
        <x:f>MOD($B$6*(A633-1)+$B$7,$A$14)+1</x:f>
        <x:v>331</x:v>
      </x:c>
      <x:c r="E633" s="22" t="n">
        <x:f>MOD($B$6*(A633-1)+$B$7,$A$15)+1</x:f>
        <x:v>331</x:v>
      </x:c>
      <x:c r="F633" s="18"/>
      <x:c r="G633" s="18"/>
      <x:c r="H633" s="18" t="str">
        <x:v>pairing identity only</x:v>
      </x:c>
    </x:row>
    <x:row r="634" ht="22" customHeight="1">
      <x:c r="A634" s="22" t="n">
        <x:v>609</x:v>
      </x:c>
      <x:c r="B634" s="22" t="n">
        <x:f>MOD($B$6*(A634-1)+$B$7,$A$12)+1</x:f>
        <x:v>29</x:v>
      </x:c>
      <x:c r="C634" s="22" t="n">
        <x:f>MOD($B$6*(A634-1)+$B$7,$A$13)+1</x:f>
        <x:v>154</x:v>
      </x:c>
      <x:c r="D634" s="22" t="n">
        <x:f>MOD($B$6*(A634-1)+$B$7,$A$14)+1</x:f>
        <x:v>404</x:v>
      </x:c>
      <x:c r="E634" s="22" t="n">
        <x:f>MOD($B$6*(A634-1)+$B$7,$A$15)+1</x:f>
        <x:v>404</x:v>
      </x:c>
      <x:c r="F634" s="18"/>
      <x:c r="G634" s="18"/>
      <x:c r="H634" s="18" t="str">
        <x:v>pairing identity only</x:v>
      </x:c>
    </x:row>
    <x:row r="635" ht="22" customHeight="1">
      <x:c r="A635" s="22" t="n">
        <x:v>610</x:v>
      </x:c>
      <x:c r="B635" s="22" t="n">
        <x:f>MOD($B$6*(A635-1)+$B$7,$A$12)+1</x:f>
        <x:v>102</x:v>
      </x:c>
      <x:c r="C635" s="22" t="n">
        <x:f>MOD($B$6*(A635-1)+$B$7,$A$13)+1</x:f>
        <x:v>227</x:v>
      </x:c>
      <x:c r="D635" s="22" t="n">
        <x:f>MOD($B$6*(A635-1)+$B$7,$A$14)+1</x:f>
        <x:v>477</x:v>
      </x:c>
      <x:c r="E635" s="22" t="n">
        <x:f>MOD($B$6*(A635-1)+$B$7,$A$15)+1</x:f>
        <x:v>477</x:v>
      </x:c>
      <x:c r="F635" s="18"/>
      <x:c r="G635" s="18"/>
      <x:c r="H635" s="18" t="str">
        <x:v>pairing identity only</x:v>
      </x:c>
    </x:row>
    <x:row r="636" ht="22" customHeight="1">
      <x:c r="A636" s="22" t="n">
        <x:v>611</x:v>
      </x:c>
      <x:c r="B636" s="22" t="n">
        <x:f>MOD($B$6*(A636-1)+$B$7,$A$12)+1</x:f>
        <x:v>50</x:v>
      </x:c>
      <x:c r="C636" s="22" t="n">
        <x:f>MOD($B$6*(A636-1)+$B$7,$A$13)+1</x:f>
        <x:v>50</x:v>
      </x:c>
      <x:c r="D636" s="22" t="n">
        <x:f>MOD($B$6*(A636-1)+$B$7,$A$14)+1</x:f>
        <x:v>50</x:v>
      </x:c>
      <x:c r="E636" s="22" t="n">
        <x:f>MOD($B$6*(A636-1)+$B$7,$A$15)+1</x:f>
        <x:v>550</x:v>
      </x:c>
      <x:c r="F636" s="18"/>
      <x:c r="G636" s="18"/>
      <x:c r="H636" s="18" t="str">
        <x:v>pairing identity only</x:v>
      </x:c>
    </x:row>
    <x:row r="637" ht="22" customHeight="1">
      <x:c r="A637" s="22" t="n">
        <x:v>612</x:v>
      </x:c>
      <x:c r="B637" s="22" t="n">
        <x:f>MOD($B$6*(A637-1)+$B$7,$A$12)+1</x:f>
        <x:v>123</x:v>
      </x:c>
      <x:c r="C637" s="22" t="n">
        <x:f>MOD($B$6*(A637-1)+$B$7,$A$13)+1</x:f>
        <x:v>123</x:v>
      </x:c>
      <x:c r="D637" s="22" t="n">
        <x:f>MOD($B$6*(A637-1)+$B$7,$A$14)+1</x:f>
        <x:v>123</x:v>
      </x:c>
      <x:c r="E637" s="22" t="n">
        <x:f>MOD($B$6*(A637-1)+$B$7,$A$15)+1</x:f>
        <x:v>623</x:v>
      </x:c>
      <x:c r="F637" s="18"/>
      <x:c r="G637" s="18"/>
      <x:c r="H637" s="18" t="str">
        <x:v>pairing identity only</x:v>
      </x:c>
    </x:row>
    <x:row r="638" ht="22" customHeight="1">
      <x:c r="A638" s="22" t="n">
        <x:v>613</x:v>
      </x:c>
      <x:c r="B638" s="22" t="n">
        <x:f>MOD($B$6*(A638-1)+$B$7,$A$12)+1</x:f>
        <x:v>71</x:v>
      </x:c>
      <x:c r="C638" s="22" t="n">
        <x:f>MOD($B$6*(A638-1)+$B$7,$A$13)+1</x:f>
        <x:v>196</x:v>
      </x:c>
      <x:c r="D638" s="22" t="n">
        <x:f>MOD($B$6*(A638-1)+$B$7,$A$14)+1</x:f>
        <x:v>196</x:v>
      </x:c>
      <x:c r="E638" s="22" t="n">
        <x:f>MOD($B$6*(A638-1)+$B$7,$A$15)+1</x:f>
        <x:v>696</x:v>
      </x:c>
      <x:c r="F638" s="18"/>
      <x:c r="G638" s="18"/>
      <x:c r="H638" s="18" t="str">
        <x:v>pairing identity only</x:v>
      </x:c>
    </x:row>
    <x:row r="639" ht="22" customHeight="1">
      <x:c r="A639" s="22" t="n">
        <x:v>614</x:v>
      </x:c>
      <x:c r="B639" s="22" t="n">
        <x:f>MOD($B$6*(A639-1)+$B$7,$A$12)+1</x:f>
        <x:v>19</x:v>
      </x:c>
      <x:c r="C639" s="22" t="n">
        <x:f>MOD($B$6*(A639-1)+$B$7,$A$13)+1</x:f>
        <x:v>19</x:v>
      </x:c>
      <x:c r="D639" s="22" t="n">
        <x:f>MOD($B$6*(A639-1)+$B$7,$A$14)+1</x:f>
        <x:v>269</x:v>
      </x:c>
      <x:c r="E639" s="22" t="n">
        <x:f>MOD($B$6*(A639-1)+$B$7,$A$15)+1</x:f>
        <x:v>769</x:v>
      </x:c>
      <x:c r="F639" s="18"/>
      <x:c r="G639" s="18"/>
      <x:c r="H639" s="18" t="str">
        <x:v>pairing identity only</x:v>
      </x:c>
    </x:row>
    <x:row r="640" ht="22" customHeight="1">
      <x:c r="A640" s="22" t="n">
        <x:v>615</x:v>
      </x:c>
      <x:c r="B640" s="22" t="n">
        <x:f>MOD($B$6*(A640-1)+$B$7,$A$12)+1</x:f>
        <x:v>92</x:v>
      </x:c>
      <x:c r="C640" s="22" t="n">
        <x:f>MOD($B$6*(A640-1)+$B$7,$A$13)+1</x:f>
        <x:v>92</x:v>
      </x:c>
      <x:c r="D640" s="22" t="n">
        <x:f>MOD($B$6*(A640-1)+$B$7,$A$14)+1</x:f>
        <x:v>342</x:v>
      </x:c>
      <x:c r="E640" s="22" t="n">
        <x:f>MOD($B$6*(A640-1)+$B$7,$A$15)+1</x:f>
        <x:v>842</x:v>
      </x:c>
      <x:c r="F640" s="18"/>
      <x:c r="G640" s="18"/>
      <x:c r="H640" s="18" t="str">
        <x:v>pairing identity only</x:v>
      </x:c>
    </x:row>
    <x:row r="641" ht="22" customHeight="1">
      <x:c r="A641" s="22" t="n">
        <x:v>616</x:v>
      </x:c>
      <x:c r="B641" s="22" t="n">
        <x:f>MOD($B$6*(A641-1)+$B$7,$A$12)+1</x:f>
        <x:v>40</x:v>
      </x:c>
      <x:c r="C641" s="22" t="n">
        <x:f>MOD($B$6*(A641-1)+$B$7,$A$13)+1</x:f>
        <x:v>165</x:v>
      </x:c>
      <x:c r="D641" s="22" t="n">
        <x:f>MOD($B$6*(A641-1)+$B$7,$A$14)+1</x:f>
        <x:v>415</x:v>
      </x:c>
      <x:c r="E641" s="22" t="n">
        <x:f>MOD($B$6*(A641-1)+$B$7,$A$15)+1</x:f>
        <x:v>915</x:v>
      </x:c>
      <x:c r="F641" s="18"/>
      <x:c r="G641" s="18"/>
      <x:c r="H641" s="18" t="str">
        <x:v>pairing identity only</x:v>
      </x:c>
    </x:row>
    <x:row r="642" ht="22" customHeight="1">
      <x:c r="A642" s="22" t="n">
        <x:v>617</x:v>
      </x:c>
      <x:c r="B642" s="22" t="n">
        <x:f>MOD($B$6*(A642-1)+$B$7,$A$12)+1</x:f>
        <x:v>113</x:v>
      </x:c>
      <x:c r="C642" s="22" t="n">
        <x:f>MOD($B$6*(A642-1)+$B$7,$A$13)+1</x:f>
        <x:v>238</x:v>
      </x:c>
      <x:c r="D642" s="22" t="n">
        <x:f>MOD($B$6*(A642-1)+$B$7,$A$14)+1</x:f>
        <x:v>488</x:v>
      </x:c>
      <x:c r="E642" s="22" t="n">
        <x:f>MOD($B$6*(A642-1)+$B$7,$A$15)+1</x:f>
        <x:v>988</x:v>
      </x:c>
      <x:c r="F642" s="18"/>
      <x:c r="G642" s="18"/>
      <x:c r="H642" s="18" t="str">
        <x:v>pairing identity only</x:v>
      </x:c>
    </x:row>
    <x:row r="643" ht="22" customHeight="1">
      <x:c r="A643" s="22" t="n">
        <x:v>618</x:v>
      </x:c>
      <x:c r="B643" s="22" t="n">
        <x:f>MOD($B$6*(A643-1)+$B$7,$A$12)+1</x:f>
        <x:v>61</x:v>
      </x:c>
      <x:c r="C643" s="22" t="n">
        <x:f>MOD($B$6*(A643-1)+$B$7,$A$13)+1</x:f>
        <x:v>61</x:v>
      </x:c>
      <x:c r="D643" s="22" t="n">
        <x:f>MOD($B$6*(A643-1)+$B$7,$A$14)+1</x:f>
        <x:v>61</x:v>
      </x:c>
      <x:c r="E643" s="22" t="n">
        <x:f>MOD($B$6*(A643-1)+$B$7,$A$15)+1</x:f>
        <x:v>61</x:v>
      </x:c>
      <x:c r="F643" s="18"/>
      <x:c r="G643" s="18"/>
      <x:c r="H643" s="18" t="str">
        <x:v>pairing identity only</x:v>
      </x:c>
    </x:row>
    <x:row r="644" ht="22" customHeight="1">
      <x:c r="A644" s="22" t="n">
        <x:v>619</x:v>
      </x:c>
      <x:c r="B644" s="22" t="n">
        <x:f>MOD($B$6*(A644-1)+$B$7,$A$12)+1</x:f>
        <x:v>9</x:v>
      </x:c>
      <x:c r="C644" s="22" t="n">
        <x:f>MOD($B$6*(A644-1)+$B$7,$A$13)+1</x:f>
        <x:v>134</x:v>
      </x:c>
      <x:c r="D644" s="22" t="n">
        <x:f>MOD($B$6*(A644-1)+$B$7,$A$14)+1</x:f>
        <x:v>134</x:v>
      </x:c>
      <x:c r="E644" s="22" t="n">
        <x:f>MOD($B$6*(A644-1)+$B$7,$A$15)+1</x:f>
        <x:v>134</x:v>
      </x:c>
      <x:c r="F644" s="18"/>
      <x:c r="G644" s="18"/>
      <x:c r="H644" s="18" t="str">
        <x:v>pairing identity only</x:v>
      </x:c>
    </x:row>
    <x:row r="645" ht="22" customHeight="1">
      <x:c r="A645" s="22" t="n">
        <x:v>620</x:v>
      </x:c>
      <x:c r="B645" s="22" t="n">
        <x:f>MOD($B$6*(A645-1)+$B$7,$A$12)+1</x:f>
        <x:v>82</x:v>
      </x:c>
      <x:c r="C645" s="22" t="n">
        <x:f>MOD($B$6*(A645-1)+$B$7,$A$13)+1</x:f>
        <x:v>207</x:v>
      </x:c>
      <x:c r="D645" s="22" t="n">
        <x:f>MOD($B$6*(A645-1)+$B$7,$A$14)+1</x:f>
        <x:v>207</x:v>
      </x:c>
      <x:c r="E645" s="22" t="n">
        <x:f>MOD($B$6*(A645-1)+$B$7,$A$15)+1</x:f>
        <x:v>207</x:v>
      </x:c>
      <x:c r="F645" s="18"/>
      <x:c r="G645" s="18"/>
      <x:c r="H645" s="18" t="str">
        <x:v>pairing identity only</x:v>
      </x:c>
    </x:row>
    <x:row r="646" ht="22" customHeight="1">
      <x:c r="A646" s="22" t="n">
        <x:v>621</x:v>
      </x:c>
      <x:c r="B646" s="22" t="n">
        <x:f>MOD($B$6*(A646-1)+$B$7,$A$12)+1</x:f>
        <x:v>30</x:v>
      </x:c>
      <x:c r="C646" s="22" t="n">
        <x:f>MOD($B$6*(A646-1)+$B$7,$A$13)+1</x:f>
        <x:v>30</x:v>
      </x:c>
      <x:c r="D646" s="22" t="n">
        <x:f>MOD($B$6*(A646-1)+$B$7,$A$14)+1</x:f>
        <x:v>280</x:v>
      </x:c>
      <x:c r="E646" s="22" t="n">
        <x:f>MOD($B$6*(A646-1)+$B$7,$A$15)+1</x:f>
        <x:v>280</x:v>
      </x:c>
      <x:c r="F646" s="18"/>
      <x:c r="G646" s="18"/>
      <x:c r="H646" s="18" t="str">
        <x:v>pairing identity only</x:v>
      </x:c>
    </x:row>
    <x:row r="647" ht="22" customHeight="1">
      <x:c r="A647" s="22" t="n">
        <x:v>622</x:v>
      </x:c>
      <x:c r="B647" s="22" t="n">
        <x:f>MOD($B$6*(A647-1)+$B$7,$A$12)+1</x:f>
        <x:v>103</x:v>
      </x:c>
      <x:c r="C647" s="22" t="n">
        <x:f>MOD($B$6*(A647-1)+$B$7,$A$13)+1</x:f>
        <x:v>103</x:v>
      </x:c>
      <x:c r="D647" s="22" t="n">
        <x:f>MOD($B$6*(A647-1)+$B$7,$A$14)+1</x:f>
        <x:v>353</x:v>
      </x:c>
      <x:c r="E647" s="22" t="n">
        <x:f>MOD($B$6*(A647-1)+$B$7,$A$15)+1</x:f>
        <x:v>353</x:v>
      </x:c>
      <x:c r="F647" s="18"/>
      <x:c r="G647" s="18"/>
      <x:c r="H647" s="18" t="str">
        <x:v>pairing identity only</x:v>
      </x:c>
    </x:row>
    <x:row r="648" ht="22" customHeight="1">
      <x:c r="A648" s="22" t="n">
        <x:v>623</x:v>
      </x:c>
      <x:c r="B648" s="22" t="n">
        <x:f>MOD($B$6*(A648-1)+$B$7,$A$12)+1</x:f>
        <x:v>51</x:v>
      </x:c>
      <x:c r="C648" s="22" t="n">
        <x:f>MOD($B$6*(A648-1)+$B$7,$A$13)+1</x:f>
        <x:v>176</x:v>
      </x:c>
      <x:c r="D648" s="22" t="n">
        <x:f>MOD($B$6*(A648-1)+$B$7,$A$14)+1</x:f>
        <x:v>426</x:v>
      </x:c>
      <x:c r="E648" s="22" t="n">
        <x:f>MOD($B$6*(A648-1)+$B$7,$A$15)+1</x:f>
        <x:v>426</x:v>
      </x:c>
      <x:c r="F648" s="18"/>
      <x:c r="G648" s="18"/>
      <x:c r="H648" s="18" t="str">
        <x:v>pairing identity only</x:v>
      </x:c>
    </x:row>
    <x:row r="649" ht="22" customHeight="1">
      <x:c r="A649" s="22" t="n">
        <x:v>624</x:v>
      </x:c>
      <x:c r="B649" s="22" t="n">
        <x:f>MOD($B$6*(A649-1)+$B$7,$A$12)+1</x:f>
        <x:v>124</x:v>
      </x:c>
      <x:c r="C649" s="22" t="n">
        <x:f>MOD($B$6*(A649-1)+$B$7,$A$13)+1</x:f>
        <x:v>249</x:v>
      </x:c>
      <x:c r="D649" s="22" t="n">
        <x:f>MOD($B$6*(A649-1)+$B$7,$A$14)+1</x:f>
        <x:v>499</x:v>
      </x:c>
      <x:c r="E649" s="22" t="n">
        <x:f>MOD($B$6*(A649-1)+$B$7,$A$15)+1</x:f>
        <x:v>499</x:v>
      </x:c>
      <x:c r="F649" s="18"/>
      <x:c r="G649" s="18"/>
      <x:c r="H649" s="18" t="str">
        <x:v>pairing identity only</x:v>
      </x:c>
    </x:row>
    <x:row r="650" ht="22" customHeight="1">
      <x:c r="A650" s="22" t="n">
        <x:v>625</x:v>
      </x:c>
      <x:c r="B650" s="22" t="n">
        <x:f>MOD($B$6*(A650-1)+$B$7,$A$12)+1</x:f>
        <x:v>72</x:v>
      </x:c>
      <x:c r="C650" s="22" t="n">
        <x:f>MOD($B$6*(A650-1)+$B$7,$A$13)+1</x:f>
        <x:v>72</x:v>
      </x:c>
      <x:c r="D650" s="22" t="n">
        <x:f>MOD($B$6*(A650-1)+$B$7,$A$14)+1</x:f>
        <x:v>72</x:v>
      </x:c>
      <x:c r="E650" s="22" t="n">
        <x:f>MOD($B$6*(A650-1)+$B$7,$A$15)+1</x:f>
        <x:v>572</x:v>
      </x:c>
      <x:c r="F650" s="18"/>
      <x:c r="G650" s="18"/>
      <x:c r="H650" s="18" t="str">
        <x:v>pairing identity only</x:v>
      </x:c>
    </x:row>
    <x:row r="651" ht="22" customHeight="1">
      <x:c r="A651" s="22" t="n">
        <x:v>626</x:v>
      </x:c>
      <x:c r="B651" s="22" t="n">
        <x:f>MOD($B$6*(A651-1)+$B$7,$A$12)+1</x:f>
        <x:v>20</x:v>
      </x:c>
      <x:c r="C651" s="22" t="n">
        <x:f>MOD($B$6*(A651-1)+$B$7,$A$13)+1</x:f>
        <x:v>145</x:v>
      </x:c>
      <x:c r="D651" s="22" t="n">
        <x:f>MOD($B$6*(A651-1)+$B$7,$A$14)+1</x:f>
        <x:v>145</x:v>
      </x:c>
      <x:c r="E651" s="22" t="n">
        <x:f>MOD($B$6*(A651-1)+$B$7,$A$15)+1</x:f>
        <x:v>645</x:v>
      </x:c>
      <x:c r="F651" s="18"/>
      <x:c r="G651" s="18"/>
      <x:c r="H651" s="18" t="str">
        <x:v>pairing identity only</x:v>
      </x:c>
    </x:row>
    <x:row r="652" ht="22" customHeight="1">
      <x:c r="A652" s="22" t="n">
        <x:v>627</x:v>
      </x:c>
      <x:c r="B652" s="22" t="n">
        <x:f>MOD($B$6*(A652-1)+$B$7,$A$12)+1</x:f>
        <x:v>93</x:v>
      </x:c>
      <x:c r="C652" s="22" t="n">
        <x:f>MOD($B$6*(A652-1)+$B$7,$A$13)+1</x:f>
        <x:v>218</x:v>
      </x:c>
      <x:c r="D652" s="22" t="n">
        <x:f>MOD($B$6*(A652-1)+$B$7,$A$14)+1</x:f>
        <x:v>218</x:v>
      </x:c>
      <x:c r="E652" s="22" t="n">
        <x:f>MOD($B$6*(A652-1)+$B$7,$A$15)+1</x:f>
        <x:v>718</x:v>
      </x:c>
      <x:c r="F652" s="18"/>
      <x:c r="G652" s="18"/>
      <x:c r="H652" s="18" t="str">
        <x:v>pairing identity only</x:v>
      </x:c>
    </x:row>
    <x:row r="653" ht="22" customHeight="1">
      <x:c r="A653" s="22" t="n">
        <x:v>628</x:v>
      </x:c>
      <x:c r="B653" s="22" t="n">
        <x:f>MOD($B$6*(A653-1)+$B$7,$A$12)+1</x:f>
        <x:v>41</x:v>
      </x:c>
      <x:c r="C653" s="22" t="n">
        <x:f>MOD($B$6*(A653-1)+$B$7,$A$13)+1</x:f>
        <x:v>41</x:v>
      </x:c>
      <x:c r="D653" s="22" t="n">
        <x:f>MOD($B$6*(A653-1)+$B$7,$A$14)+1</x:f>
        <x:v>291</x:v>
      </x:c>
      <x:c r="E653" s="22" t="n">
        <x:f>MOD($B$6*(A653-1)+$B$7,$A$15)+1</x:f>
        <x:v>791</x:v>
      </x:c>
      <x:c r="F653" s="18"/>
      <x:c r="G653" s="18"/>
      <x:c r="H653" s="18" t="str">
        <x:v>pairing identity only</x:v>
      </x:c>
    </x:row>
    <x:row r="654" ht="22" customHeight="1">
      <x:c r="A654" s="22" t="n">
        <x:v>629</x:v>
      </x:c>
      <x:c r="B654" s="22" t="n">
        <x:f>MOD($B$6*(A654-1)+$B$7,$A$12)+1</x:f>
        <x:v>114</x:v>
      </x:c>
      <x:c r="C654" s="22" t="n">
        <x:f>MOD($B$6*(A654-1)+$B$7,$A$13)+1</x:f>
        <x:v>114</x:v>
      </x:c>
      <x:c r="D654" s="22" t="n">
        <x:f>MOD($B$6*(A654-1)+$B$7,$A$14)+1</x:f>
        <x:v>364</x:v>
      </x:c>
      <x:c r="E654" s="22" t="n">
        <x:f>MOD($B$6*(A654-1)+$B$7,$A$15)+1</x:f>
        <x:v>864</x:v>
      </x:c>
      <x:c r="F654" s="18"/>
      <x:c r="G654" s="18"/>
      <x:c r="H654" s="18" t="str">
        <x:v>pairing identity only</x:v>
      </x:c>
    </x:row>
    <x:row r="655" ht="22" customHeight="1">
      <x:c r="A655" s="22" t="n">
        <x:v>630</x:v>
      </x:c>
      <x:c r="B655" s="22" t="n">
        <x:f>MOD($B$6*(A655-1)+$B$7,$A$12)+1</x:f>
        <x:v>62</x:v>
      </x:c>
      <x:c r="C655" s="22" t="n">
        <x:f>MOD($B$6*(A655-1)+$B$7,$A$13)+1</x:f>
        <x:v>187</x:v>
      </x:c>
      <x:c r="D655" s="22" t="n">
        <x:f>MOD($B$6*(A655-1)+$B$7,$A$14)+1</x:f>
        <x:v>437</x:v>
      </x:c>
      <x:c r="E655" s="22" t="n">
        <x:f>MOD($B$6*(A655-1)+$B$7,$A$15)+1</x:f>
        <x:v>937</x:v>
      </x:c>
      <x:c r="F655" s="18"/>
      <x:c r="G655" s="18"/>
      <x:c r="H655" s="18" t="str">
        <x:v>pairing identity only</x:v>
      </x:c>
    </x:row>
    <x:row r="656" ht="22" customHeight="1">
      <x:c r="A656" s="22" t="n">
        <x:v>631</x:v>
      </x:c>
      <x:c r="B656" s="22" t="n">
        <x:f>MOD($B$6*(A656-1)+$B$7,$A$12)+1</x:f>
        <x:v>10</x:v>
      </x:c>
      <x:c r="C656" s="22" t="n">
        <x:f>MOD($B$6*(A656-1)+$B$7,$A$13)+1</x:f>
        <x:v>10</x:v>
      </x:c>
      <x:c r="D656" s="22" t="n">
        <x:f>MOD($B$6*(A656-1)+$B$7,$A$14)+1</x:f>
        <x:v>10</x:v>
      </x:c>
      <x:c r="E656" s="22" t="n">
        <x:f>MOD($B$6*(A656-1)+$B$7,$A$15)+1</x:f>
        <x:v>10</x:v>
      </x:c>
      <x:c r="F656" s="18"/>
      <x:c r="G656" s="18"/>
      <x:c r="H656" s="18" t="str">
        <x:v>pairing identity only</x:v>
      </x:c>
    </x:row>
    <x:row r="657" ht="22" customHeight="1">
      <x:c r="A657" s="22" t="n">
        <x:v>632</x:v>
      </x:c>
      <x:c r="B657" s="22" t="n">
        <x:f>MOD($B$6*(A657-1)+$B$7,$A$12)+1</x:f>
        <x:v>83</x:v>
      </x:c>
      <x:c r="C657" s="22" t="n">
        <x:f>MOD($B$6*(A657-1)+$B$7,$A$13)+1</x:f>
        <x:v>83</x:v>
      </x:c>
      <x:c r="D657" s="22" t="n">
        <x:f>MOD($B$6*(A657-1)+$B$7,$A$14)+1</x:f>
        <x:v>83</x:v>
      </x:c>
      <x:c r="E657" s="22" t="n">
        <x:f>MOD($B$6*(A657-1)+$B$7,$A$15)+1</x:f>
        <x:v>83</x:v>
      </x:c>
      <x:c r="F657" s="18"/>
      <x:c r="G657" s="18"/>
      <x:c r="H657" s="18" t="str">
        <x:v>pairing identity only</x:v>
      </x:c>
    </x:row>
    <x:row r="658" ht="22" customHeight="1">
      <x:c r="A658" s="22" t="n">
        <x:v>633</x:v>
      </x:c>
      <x:c r="B658" s="22" t="n">
        <x:f>MOD($B$6*(A658-1)+$B$7,$A$12)+1</x:f>
        <x:v>31</x:v>
      </x:c>
      <x:c r="C658" s="22" t="n">
        <x:f>MOD($B$6*(A658-1)+$B$7,$A$13)+1</x:f>
        <x:v>156</x:v>
      </x:c>
      <x:c r="D658" s="22" t="n">
        <x:f>MOD($B$6*(A658-1)+$B$7,$A$14)+1</x:f>
        <x:v>156</x:v>
      </x:c>
      <x:c r="E658" s="22" t="n">
        <x:f>MOD($B$6*(A658-1)+$B$7,$A$15)+1</x:f>
        <x:v>156</x:v>
      </x:c>
      <x:c r="F658" s="18"/>
      <x:c r="G658" s="18"/>
      <x:c r="H658" s="18" t="str">
        <x:v>pairing identity only</x:v>
      </x:c>
    </x:row>
    <x:row r="659" ht="22" customHeight="1">
      <x:c r="A659" s="22" t="n">
        <x:v>634</x:v>
      </x:c>
      <x:c r="B659" s="22" t="n">
        <x:f>MOD($B$6*(A659-1)+$B$7,$A$12)+1</x:f>
        <x:v>104</x:v>
      </x:c>
      <x:c r="C659" s="22" t="n">
        <x:f>MOD($B$6*(A659-1)+$B$7,$A$13)+1</x:f>
        <x:v>229</x:v>
      </x:c>
      <x:c r="D659" s="22" t="n">
        <x:f>MOD($B$6*(A659-1)+$B$7,$A$14)+1</x:f>
        <x:v>229</x:v>
      </x:c>
      <x:c r="E659" s="22" t="n">
        <x:f>MOD($B$6*(A659-1)+$B$7,$A$15)+1</x:f>
        <x:v>229</x:v>
      </x:c>
      <x:c r="F659" s="18"/>
      <x:c r="G659" s="18"/>
      <x:c r="H659" s="18" t="str">
        <x:v>pairing identity only</x:v>
      </x:c>
    </x:row>
    <x:row r="660" ht="22" customHeight="1">
      <x:c r="A660" s="22" t="n">
        <x:v>635</x:v>
      </x:c>
      <x:c r="B660" s="22" t="n">
        <x:f>MOD($B$6*(A660-1)+$B$7,$A$12)+1</x:f>
        <x:v>52</x:v>
      </x:c>
      <x:c r="C660" s="22" t="n">
        <x:f>MOD($B$6*(A660-1)+$B$7,$A$13)+1</x:f>
        <x:v>52</x:v>
      </x:c>
      <x:c r="D660" s="22" t="n">
        <x:f>MOD($B$6*(A660-1)+$B$7,$A$14)+1</x:f>
        <x:v>302</x:v>
      </x:c>
      <x:c r="E660" s="22" t="n">
        <x:f>MOD($B$6*(A660-1)+$B$7,$A$15)+1</x:f>
        <x:v>302</x:v>
      </x:c>
      <x:c r="F660" s="18"/>
      <x:c r="G660" s="18"/>
      <x:c r="H660" s="18" t="str">
        <x:v>pairing identity only</x:v>
      </x:c>
    </x:row>
    <x:row r="661" ht="22" customHeight="1">
      <x:c r="A661" s="22" t="n">
        <x:v>636</x:v>
      </x:c>
      <x:c r="B661" s="22" t="n">
        <x:f>MOD($B$6*(A661-1)+$B$7,$A$12)+1</x:f>
        <x:v>125</x:v>
      </x:c>
      <x:c r="C661" s="22" t="n">
        <x:f>MOD($B$6*(A661-1)+$B$7,$A$13)+1</x:f>
        <x:v>125</x:v>
      </x:c>
      <x:c r="D661" s="22" t="n">
        <x:f>MOD($B$6*(A661-1)+$B$7,$A$14)+1</x:f>
        <x:v>375</x:v>
      </x:c>
      <x:c r="E661" s="22" t="n">
        <x:f>MOD($B$6*(A661-1)+$B$7,$A$15)+1</x:f>
        <x:v>375</x:v>
      </x:c>
      <x:c r="F661" s="18"/>
      <x:c r="G661" s="18"/>
      <x:c r="H661" s="18" t="str">
        <x:v>pairing identity only</x:v>
      </x:c>
    </x:row>
    <x:row r="662" ht="22" customHeight="1">
      <x:c r="A662" s="22" t="n">
        <x:v>637</x:v>
      </x:c>
      <x:c r="B662" s="22" t="n">
        <x:f>MOD($B$6*(A662-1)+$B$7,$A$12)+1</x:f>
        <x:v>73</x:v>
      </x:c>
      <x:c r="C662" s="22" t="n">
        <x:f>MOD($B$6*(A662-1)+$B$7,$A$13)+1</x:f>
        <x:v>198</x:v>
      </x:c>
      <x:c r="D662" s="22" t="n">
        <x:f>MOD($B$6*(A662-1)+$B$7,$A$14)+1</x:f>
        <x:v>448</x:v>
      </x:c>
      <x:c r="E662" s="22" t="n">
        <x:f>MOD($B$6*(A662-1)+$B$7,$A$15)+1</x:f>
        <x:v>448</x:v>
      </x:c>
      <x:c r="F662" s="18"/>
      <x:c r="G662" s="18"/>
      <x:c r="H662" s="18" t="str">
        <x:v>pairing identity only</x:v>
      </x:c>
    </x:row>
    <x:row r="663" ht="22" customHeight="1">
      <x:c r="A663" s="22" t="n">
        <x:v>638</x:v>
      </x:c>
      <x:c r="B663" s="22" t="n">
        <x:f>MOD($B$6*(A663-1)+$B$7,$A$12)+1</x:f>
        <x:v>21</x:v>
      </x:c>
      <x:c r="C663" s="22" t="n">
        <x:f>MOD($B$6*(A663-1)+$B$7,$A$13)+1</x:f>
        <x:v>21</x:v>
      </x:c>
      <x:c r="D663" s="22" t="n">
        <x:f>MOD($B$6*(A663-1)+$B$7,$A$14)+1</x:f>
        <x:v>21</x:v>
      </x:c>
      <x:c r="E663" s="22" t="n">
        <x:f>MOD($B$6*(A663-1)+$B$7,$A$15)+1</x:f>
        <x:v>521</x:v>
      </x:c>
      <x:c r="F663" s="18"/>
      <x:c r="G663" s="18"/>
      <x:c r="H663" s="18" t="str">
        <x:v>pairing identity only</x:v>
      </x:c>
    </x:row>
    <x:row r="664" ht="22" customHeight="1">
      <x:c r="A664" s="22" t="n">
        <x:v>639</x:v>
      </x:c>
      <x:c r="B664" s="22" t="n">
        <x:f>MOD($B$6*(A664-1)+$B$7,$A$12)+1</x:f>
        <x:v>94</x:v>
      </x:c>
      <x:c r="C664" s="22" t="n">
        <x:f>MOD($B$6*(A664-1)+$B$7,$A$13)+1</x:f>
        <x:v>94</x:v>
      </x:c>
      <x:c r="D664" s="22" t="n">
        <x:f>MOD($B$6*(A664-1)+$B$7,$A$14)+1</x:f>
        <x:v>94</x:v>
      </x:c>
      <x:c r="E664" s="22" t="n">
        <x:f>MOD($B$6*(A664-1)+$B$7,$A$15)+1</x:f>
        <x:v>594</x:v>
      </x:c>
      <x:c r="F664" s="18"/>
      <x:c r="G664" s="18"/>
      <x:c r="H664" s="18" t="str">
        <x:v>pairing identity only</x:v>
      </x:c>
    </x:row>
    <x:row r="665" ht="22" customHeight="1">
      <x:c r="A665" s="22" t="n">
        <x:v>640</x:v>
      </x:c>
      <x:c r="B665" s="22" t="n">
        <x:f>MOD($B$6*(A665-1)+$B$7,$A$12)+1</x:f>
        <x:v>42</x:v>
      </x:c>
      <x:c r="C665" s="22" t="n">
        <x:f>MOD($B$6*(A665-1)+$B$7,$A$13)+1</x:f>
        <x:v>167</x:v>
      </x:c>
      <x:c r="D665" s="22" t="n">
        <x:f>MOD($B$6*(A665-1)+$B$7,$A$14)+1</x:f>
        <x:v>167</x:v>
      </x:c>
      <x:c r="E665" s="22" t="n">
        <x:f>MOD($B$6*(A665-1)+$B$7,$A$15)+1</x:f>
        <x:v>667</x:v>
      </x:c>
      <x:c r="F665" s="18"/>
      <x:c r="G665" s="18"/>
      <x:c r="H665" s="18" t="str">
        <x:v>pairing identity only</x:v>
      </x:c>
    </x:row>
    <x:row r="666" ht="22" customHeight="1">
      <x:c r="A666" s="22" t="n">
        <x:v>641</x:v>
      </x:c>
      <x:c r="B666" s="22" t="n">
        <x:f>MOD($B$6*(A666-1)+$B$7,$A$12)+1</x:f>
        <x:v>115</x:v>
      </x:c>
      <x:c r="C666" s="22" t="n">
        <x:f>MOD($B$6*(A666-1)+$B$7,$A$13)+1</x:f>
        <x:v>240</x:v>
      </x:c>
      <x:c r="D666" s="22" t="n">
        <x:f>MOD($B$6*(A666-1)+$B$7,$A$14)+1</x:f>
        <x:v>240</x:v>
      </x:c>
      <x:c r="E666" s="22" t="n">
        <x:f>MOD($B$6*(A666-1)+$B$7,$A$15)+1</x:f>
        <x:v>740</x:v>
      </x:c>
      <x:c r="F666" s="18"/>
      <x:c r="G666" s="18"/>
      <x:c r="H666" s="18" t="str">
        <x:v>pairing identity only</x:v>
      </x:c>
    </x:row>
    <x:row r="667" ht="22" customHeight="1">
      <x:c r="A667" s="22" t="n">
        <x:v>642</x:v>
      </x:c>
      <x:c r="B667" s="22" t="n">
        <x:f>MOD($B$6*(A667-1)+$B$7,$A$12)+1</x:f>
        <x:v>63</x:v>
      </x:c>
      <x:c r="C667" s="22" t="n">
        <x:f>MOD($B$6*(A667-1)+$B$7,$A$13)+1</x:f>
        <x:v>63</x:v>
      </x:c>
      <x:c r="D667" s="22" t="n">
        <x:f>MOD($B$6*(A667-1)+$B$7,$A$14)+1</x:f>
        <x:v>313</x:v>
      </x:c>
      <x:c r="E667" s="22" t="n">
        <x:f>MOD($B$6*(A667-1)+$B$7,$A$15)+1</x:f>
        <x:v>813</x:v>
      </x:c>
      <x:c r="F667" s="18"/>
      <x:c r="G667" s="18"/>
      <x:c r="H667" s="18" t="str">
        <x:v>pairing identity only</x:v>
      </x:c>
    </x:row>
    <x:row r="668" ht="22" customHeight="1">
      <x:c r="A668" s="22" t="n">
        <x:v>643</x:v>
      </x:c>
      <x:c r="B668" s="22" t="n">
        <x:f>MOD($B$6*(A668-1)+$B$7,$A$12)+1</x:f>
        <x:v>11</x:v>
      </x:c>
      <x:c r="C668" s="22" t="n">
        <x:f>MOD($B$6*(A668-1)+$B$7,$A$13)+1</x:f>
        <x:v>136</x:v>
      </x:c>
      <x:c r="D668" s="22" t="n">
        <x:f>MOD($B$6*(A668-1)+$B$7,$A$14)+1</x:f>
        <x:v>386</x:v>
      </x:c>
      <x:c r="E668" s="22" t="n">
        <x:f>MOD($B$6*(A668-1)+$B$7,$A$15)+1</x:f>
        <x:v>886</x:v>
      </x:c>
      <x:c r="F668" s="18"/>
      <x:c r="G668" s="18"/>
      <x:c r="H668" s="18" t="str">
        <x:v>pairing identity only</x:v>
      </x:c>
    </x:row>
    <x:row r="669" ht="22" customHeight="1">
      <x:c r="A669" s="22" t="n">
        <x:v>644</x:v>
      </x:c>
      <x:c r="B669" s="22" t="n">
        <x:f>MOD($B$6*(A669-1)+$B$7,$A$12)+1</x:f>
        <x:v>84</x:v>
      </x:c>
      <x:c r="C669" s="22" t="n">
        <x:f>MOD($B$6*(A669-1)+$B$7,$A$13)+1</x:f>
        <x:v>209</x:v>
      </x:c>
      <x:c r="D669" s="22" t="n">
        <x:f>MOD($B$6*(A669-1)+$B$7,$A$14)+1</x:f>
        <x:v>459</x:v>
      </x:c>
      <x:c r="E669" s="22" t="n">
        <x:f>MOD($B$6*(A669-1)+$B$7,$A$15)+1</x:f>
        <x:v>959</x:v>
      </x:c>
      <x:c r="F669" s="18"/>
      <x:c r="G669" s="18"/>
      <x:c r="H669" s="18" t="str">
        <x:v>pairing identity only</x:v>
      </x:c>
    </x:row>
    <x:row r="670" ht="22" customHeight="1">
      <x:c r="A670" s="22" t="n">
        <x:v>645</x:v>
      </x:c>
      <x:c r="B670" s="22" t="n">
        <x:f>MOD($B$6*(A670-1)+$B$7,$A$12)+1</x:f>
        <x:v>32</x:v>
      </x:c>
      <x:c r="C670" s="22" t="n">
        <x:f>MOD($B$6*(A670-1)+$B$7,$A$13)+1</x:f>
        <x:v>32</x:v>
      </x:c>
      <x:c r="D670" s="22" t="n">
        <x:f>MOD($B$6*(A670-1)+$B$7,$A$14)+1</x:f>
        <x:v>32</x:v>
      </x:c>
      <x:c r="E670" s="22" t="n">
        <x:f>MOD($B$6*(A670-1)+$B$7,$A$15)+1</x:f>
        <x:v>32</x:v>
      </x:c>
      <x:c r="F670" s="18"/>
      <x:c r="G670" s="18"/>
      <x:c r="H670" s="18" t="str">
        <x:v>pairing identity only</x:v>
      </x:c>
    </x:row>
    <x:row r="671" ht="22" customHeight="1">
      <x:c r="A671" s="22" t="n">
        <x:v>646</x:v>
      </x:c>
      <x:c r="B671" s="22" t="n">
        <x:f>MOD($B$6*(A671-1)+$B$7,$A$12)+1</x:f>
        <x:v>105</x:v>
      </x:c>
      <x:c r="C671" s="22" t="n">
        <x:f>MOD($B$6*(A671-1)+$B$7,$A$13)+1</x:f>
        <x:v>105</x:v>
      </x:c>
      <x:c r="D671" s="22" t="n">
        <x:f>MOD($B$6*(A671-1)+$B$7,$A$14)+1</x:f>
        <x:v>105</x:v>
      </x:c>
      <x:c r="E671" s="22" t="n">
        <x:f>MOD($B$6*(A671-1)+$B$7,$A$15)+1</x:f>
        <x:v>105</x:v>
      </x:c>
      <x:c r="F671" s="18"/>
      <x:c r="G671" s="18"/>
      <x:c r="H671" s="18" t="str">
        <x:v>pairing identity only</x:v>
      </x:c>
    </x:row>
    <x:row r="672" ht="22" customHeight="1">
      <x:c r="A672" s="22" t="n">
        <x:v>647</x:v>
      </x:c>
      <x:c r="B672" s="22" t="n">
        <x:f>MOD($B$6*(A672-1)+$B$7,$A$12)+1</x:f>
        <x:v>53</x:v>
      </x:c>
      <x:c r="C672" s="22" t="n">
        <x:f>MOD($B$6*(A672-1)+$B$7,$A$13)+1</x:f>
        <x:v>178</x:v>
      </x:c>
      <x:c r="D672" s="22" t="n">
        <x:f>MOD($B$6*(A672-1)+$B$7,$A$14)+1</x:f>
        <x:v>178</x:v>
      </x:c>
      <x:c r="E672" s="22" t="n">
        <x:f>MOD($B$6*(A672-1)+$B$7,$A$15)+1</x:f>
        <x:v>178</x:v>
      </x:c>
      <x:c r="F672" s="18"/>
      <x:c r="G672" s="18"/>
      <x:c r="H672" s="18" t="str">
        <x:v>pairing identity only</x:v>
      </x:c>
    </x:row>
    <x:row r="673" ht="22" customHeight="1">
      <x:c r="A673" s="22" t="n">
        <x:v>648</x:v>
      </x:c>
      <x:c r="B673" s="22" t="n">
        <x:f>MOD($B$6*(A673-1)+$B$7,$A$12)+1</x:f>
        <x:v>1</x:v>
      </x:c>
      <x:c r="C673" s="22" t="n">
        <x:f>MOD($B$6*(A673-1)+$B$7,$A$13)+1</x:f>
        <x:v>1</x:v>
      </x:c>
      <x:c r="D673" s="22" t="n">
        <x:f>MOD($B$6*(A673-1)+$B$7,$A$14)+1</x:f>
        <x:v>251</x:v>
      </x:c>
      <x:c r="E673" s="22" t="n">
        <x:f>MOD($B$6*(A673-1)+$B$7,$A$15)+1</x:f>
        <x:v>251</x:v>
      </x:c>
      <x:c r="F673" s="18"/>
      <x:c r="G673" s="18"/>
      <x:c r="H673" s="18" t="str">
        <x:v>pairing identity only</x:v>
      </x:c>
    </x:row>
    <x:row r="674" ht="22" customHeight="1">
      <x:c r="A674" s="22" t="n">
        <x:v>649</x:v>
      </x:c>
      <x:c r="B674" s="22" t="n">
        <x:f>MOD($B$6*(A674-1)+$B$7,$A$12)+1</x:f>
        <x:v>74</x:v>
      </x:c>
      <x:c r="C674" s="22" t="n">
        <x:f>MOD($B$6*(A674-1)+$B$7,$A$13)+1</x:f>
        <x:v>74</x:v>
      </x:c>
      <x:c r="D674" s="22" t="n">
        <x:f>MOD($B$6*(A674-1)+$B$7,$A$14)+1</x:f>
        <x:v>324</x:v>
      </x:c>
      <x:c r="E674" s="22" t="n">
        <x:f>MOD($B$6*(A674-1)+$B$7,$A$15)+1</x:f>
        <x:v>324</x:v>
      </x:c>
      <x:c r="F674" s="18"/>
      <x:c r="G674" s="18"/>
      <x:c r="H674" s="18" t="str">
        <x:v>pairing identity only</x:v>
      </x:c>
    </x:row>
    <x:row r="675" ht="22" customHeight="1">
      <x:c r="A675" s="22" t="n">
        <x:v>650</x:v>
      </x:c>
      <x:c r="B675" s="22" t="n">
        <x:f>MOD($B$6*(A675-1)+$B$7,$A$12)+1</x:f>
        <x:v>22</x:v>
      </x:c>
      <x:c r="C675" s="22" t="n">
        <x:f>MOD($B$6*(A675-1)+$B$7,$A$13)+1</x:f>
        <x:v>147</x:v>
      </x:c>
      <x:c r="D675" s="22" t="n">
        <x:f>MOD($B$6*(A675-1)+$B$7,$A$14)+1</x:f>
        <x:v>397</x:v>
      </x:c>
      <x:c r="E675" s="22" t="n">
        <x:f>MOD($B$6*(A675-1)+$B$7,$A$15)+1</x:f>
        <x:v>397</x:v>
      </x:c>
      <x:c r="F675" s="18"/>
      <x:c r="G675" s="18"/>
      <x:c r="H675" s="18" t="str">
        <x:v>pairing identity only</x:v>
      </x:c>
    </x:row>
    <x:row r="676" ht="22" customHeight="1">
      <x:c r="A676" s="22" t="n">
        <x:v>651</x:v>
      </x:c>
      <x:c r="B676" s="22" t="n">
        <x:f>MOD($B$6*(A676-1)+$B$7,$A$12)+1</x:f>
        <x:v>95</x:v>
      </x:c>
      <x:c r="C676" s="22" t="n">
        <x:f>MOD($B$6*(A676-1)+$B$7,$A$13)+1</x:f>
        <x:v>220</x:v>
      </x:c>
      <x:c r="D676" s="22" t="n">
        <x:f>MOD($B$6*(A676-1)+$B$7,$A$14)+1</x:f>
        <x:v>470</x:v>
      </x:c>
      <x:c r="E676" s="22" t="n">
        <x:f>MOD($B$6*(A676-1)+$B$7,$A$15)+1</x:f>
        <x:v>470</x:v>
      </x:c>
      <x:c r="F676" s="18"/>
      <x:c r="G676" s="18"/>
      <x:c r="H676" s="18" t="str">
        <x:v>pairing identity only</x:v>
      </x:c>
    </x:row>
    <x:row r="677" ht="22" customHeight="1">
      <x:c r="A677" s="22" t="n">
        <x:v>652</x:v>
      </x:c>
      <x:c r="B677" s="22" t="n">
        <x:f>MOD($B$6*(A677-1)+$B$7,$A$12)+1</x:f>
        <x:v>43</x:v>
      </x:c>
      <x:c r="C677" s="22" t="n">
        <x:f>MOD($B$6*(A677-1)+$B$7,$A$13)+1</x:f>
        <x:v>43</x:v>
      </x:c>
      <x:c r="D677" s="22" t="n">
        <x:f>MOD($B$6*(A677-1)+$B$7,$A$14)+1</x:f>
        <x:v>43</x:v>
      </x:c>
      <x:c r="E677" s="22" t="n">
        <x:f>MOD($B$6*(A677-1)+$B$7,$A$15)+1</x:f>
        <x:v>543</x:v>
      </x:c>
      <x:c r="F677" s="18"/>
      <x:c r="G677" s="18"/>
      <x:c r="H677" s="18" t="str">
        <x:v>pairing identity only</x:v>
      </x:c>
    </x:row>
    <x:row r="678" ht="22" customHeight="1">
      <x:c r="A678" s="22" t="n">
        <x:v>653</x:v>
      </x:c>
      <x:c r="B678" s="22" t="n">
        <x:f>MOD($B$6*(A678-1)+$B$7,$A$12)+1</x:f>
        <x:v>116</x:v>
      </x:c>
      <x:c r="C678" s="22" t="n">
        <x:f>MOD($B$6*(A678-1)+$B$7,$A$13)+1</x:f>
        <x:v>116</x:v>
      </x:c>
      <x:c r="D678" s="22" t="n">
        <x:f>MOD($B$6*(A678-1)+$B$7,$A$14)+1</x:f>
        <x:v>116</x:v>
      </x:c>
      <x:c r="E678" s="22" t="n">
        <x:f>MOD($B$6*(A678-1)+$B$7,$A$15)+1</x:f>
        <x:v>616</x:v>
      </x:c>
      <x:c r="F678" s="18"/>
      <x:c r="G678" s="18"/>
      <x:c r="H678" s="18" t="str">
        <x:v>pairing identity only</x:v>
      </x:c>
    </x:row>
    <x:row r="679" ht="22" customHeight="1">
      <x:c r="A679" s="22" t="n">
        <x:v>654</x:v>
      </x:c>
      <x:c r="B679" s="22" t="n">
        <x:f>MOD($B$6*(A679-1)+$B$7,$A$12)+1</x:f>
        <x:v>64</x:v>
      </x:c>
      <x:c r="C679" s="22" t="n">
        <x:f>MOD($B$6*(A679-1)+$B$7,$A$13)+1</x:f>
        <x:v>189</x:v>
      </x:c>
      <x:c r="D679" s="22" t="n">
        <x:f>MOD($B$6*(A679-1)+$B$7,$A$14)+1</x:f>
        <x:v>189</x:v>
      </x:c>
      <x:c r="E679" s="22" t="n">
        <x:f>MOD($B$6*(A679-1)+$B$7,$A$15)+1</x:f>
        <x:v>689</x:v>
      </x:c>
      <x:c r="F679" s="18"/>
      <x:c r="G679" s="18"/>
      <x:c r="H679" s="18" t="str">
        <x:v>pairing identity only</x:v>
      </x:c>
    </x:row>
    <x:row r="680" ht="22" customHeight="1">
      <x:c r="A680" s="22" t="n">
        <x:v>655</x:v>
      </x:c>
      <x:c r="B680" s="22" t="n">
        <x:f>MOD($B$6*(A680-1)+$B$7,$A$12)+1</x:f>
        <x:v>12</x:v>
      </x:c>
      <x:c r="C680" s="22" t="n">
        <x:f>MOD($B$6*(A680-1)+$B$7,$A$13)+1</x:f>
        <x:v>12</x:v>
      </x:c>
      <x:c r="D680" s="22" t="n">
        <x:f>MOD($B$6*(A680-1)+$B$7,$A$14)+1</x:f>
        <x:v>262</x:v>
      </x:c>
      <x:c r="E680" s="22" t="n">
        <x:f>MOD($B$6*(A680-1)+$B$7,$A$15)+1</x:f>
        <x:v>762</x:v>
      </x:c>
      <x:c r="F680" s="18"/>
      <x:c r="G680" s="18"/>
      <x:c r="H680" s="18" t="str">
        <x:v>pairing identity only</x:v>
      </x:c>
    </x:row>
    <x:row r="681" ht="22" customHeight="1">
      <x:c r="A681" s="22" t="n">
        <x:v>656</x:v>
      </x:c>
      <x:c r="B681" s="22" t="n">
        <x:f>MOD($B$6*(A681-1)+$B$7,$A$12)+1</x:f>
        <x:v>85</x:v>
      </x:c>
      <x:c r="C681" s="22" t="n">
        <x:f>MOD($B$6*(A681-1)+$B$7,$A$13)+1</x:f>
        <x:v>85</x:v>
      </x:c>
      <x:c r="D681" s="22" t="n">
        <x:f>MOD($B$6*(A681-1)+$B$7,$A$14)+1</x:f>
        <x:v>335</x:v>
      </x:c>
      <x:c r="E681" s="22" t="n">
        <x:f>MOD($B$6*(A681-1)+$B$7,$A$15)+1</x:f>
        <x:v>835</x:v>
      </x:c>
      <x:c r="F681" s="18"/>
      <x:c r="G681" s="18"/>
      <x:c r="H681" s="18" t="str">
        <x:v>pairing identity only</x:v>
      </x:c>
    </x:row>
    <x:row r="682" ht="22" customHeight="1">
      <x:c r="A682" s="22" t="n">
        <x:v>657</x:v>
      </x:c>
      <x:c r="B682" s="22" t="n">
        <x:f>MOD($B$6*(A682-1)+$B$7,$A$12)+1</x:f>
        <x:v>33</x:v>
      </x:c>
      <x:c r="C682" s="22" t="n">
        <x:f>MOD($B$6*(A682-1)+$B$7,$A$13)+1</x:f>
        <x:v>158</x:v>
      </x:c>
      <x:c r="D682" s="22" t="n">
        <x:f>MOD($B$6*(A682-1)+$B$7,$A$14)+1</x:f>
        <x:v>408</x:v>
      </x:c>
      <x:c r="E682" s="22" t="n">
        <x:f>MOD($B$6*(A682-1)+$B$7,$A$15)+1</x:f>
        <x:v>908</x:v>
      </x:c>
      <x:c r="F682" s="18"/>
      <x:c r="G682" s="18"/>
      <x:c r="H682" s="18" t="str">
        <x:v>pairing identity only</x:v>
      </x:c>
    </x:row>
    <x:row r="683" ht="22" customHeight="1">
      <x:c r="A683" s="22" t="n">
        <x:v>658</x:v>
      </x:c>
      <x:c r="B683" s="22" t="n">
        <x:f>MOD($B$6*(A683-1)+$B$7,$A$12)+1</x:f>
        <x:v>106</x:v>
      </x:c>
      <x:c r="C683" s="22" t="n">
        <x:f>MOD($B$6*(A683-1)+$B$7,$A$13)+1</x:f>
        <x:v>231</x:v>
      </x:c>
      <x:c r="D683" s="22" t="n">
        <x:f>MOD($B$6*(A683-1)+$B$7,$A$14)+1</x:f>
        <x:v>481</x:v>
      </x:c>
      <x:c r="E683" s="22" t="n">
        <x:f>MOD($B$6*(A683-1)+$B$7,$A$15)+1</x:f>
        <x:v>981</x:v>
      </x:c>
      <x:c r="F683" s="18"/>
      <x:c r="G683" s="18"/>
      <x:c r="H683" s="18" t="str">
        <x:v>pairing identity only</x:v>
      </x:c>
    </x:row>
    <x:row r="684" ht="22" customHeight="1">
      <x:c r="A684" s="22" t="n">
        <x:v>659</x:v>
      </x:c>
      <x:c r="B684" s="22" t="n">
        <x:f>MOD($B$6*(A684-1)+$B$7,$A$12)+1</x:f>
        <x:v>54</x:v>
      </x:c>
      <x:c r="C684" s="22" t="n">
        <x:f>MOD($B$6*(A684-1)+$B$7,$A$13)+1</x:f>
        <x:v>54</x:v>
      </x:c>
      <x:c r="D684" s="22" t="n">
        <x:f>MOD($B$6*(A684-1)+$B$7,$A$14)+1</x:f>
        <x:v>54</x:v>
      </x:c>
      <x:c r="E684" s="22" t="n">
        <x:f>MOD($B$6*(A684-1)+$B$7,$A$15)+1</x:f>
        <x:v>54</x:v>
      </x:c>
      <x:c r="F684" s="18"/>
      <x:c r="G684" s="18"/>
      <x:c r="H684" s="18" t="str">
        <x:v>pairing identity only</x:v>
      </x:c>
    </x:row>
    <x:row r="685" ht="22" customHeight="1">
      <x:c r="A685" s="22" t="n">
        <x:v>660</x:v>
      </x:c>
      <x:c r="B685" s="22" t="n">
        <x:f>MOD($B$6*(A685-1)+$B$7,$A$12)+1</x:f>
        <x:v>2</x:v>
      </x:c>
      <x:c r="C685" s="22" t="n">
        <x:f>MOD($B$6*(A685-1)+$B$7,$A$13)+1</x:f>
        <x:v>127</x:v>
      </x:c>
      <x:c r="D685" s="22" t="n">
        <x:f>MOD($B$6*(A685-1)+$B$7,$A$14)+1</x:f>
        <x:v>127</x:v>
      </x:c>
      <x:c r="E685" s="22" t="n">
        <x:f>MOD($B$6*(A685-1)+$B$7,$A$15)+1</x:f>
        <x:v>127</x:v>
      </x:c>
      <x:c r="F685" s="18"/>
      <x:c r="G685" s="18"/>
      <x:c r="H685" s="18" t="str">
        <x:v>pairing identity only</x:v>
      </x:c>
    </x:row>
    <x:row r="686" ht="22" customHeight="1">
      <x:c r="A686" s="22" t="n">
        <x:v>661</x:v>
      </x:c>
      <x:c r="B686" s="22" t="n">
        <x:f>MOD($B$6*(A686-1)+$B$7,$A$12)+1</x:f>
        <x:v>75</x:v>
      </x:c>
      <x:c r="C686" s="22" t="n">
        <x:f>MOD($B$6*(A686-1)+$B$7,$A$13)+1</x:f>
        <x:v>200</x:v>
      </x:c>
      <x:c r="D686" s="22" t="n">
        <x:f>MOD($B$6*(A686-1)+$B$7,$A$14)+1</x:f>
        <x:v>200</x:v>
      </x:c>
      <x:c r="E686" s="22" t="n">
        <x:f>MOD($B$6*(A686-1)+$B$7,$A$15)+1</x:f>
        <x:v>200</x:v>
      </x:c>
      <x:c r="F686" s="18"/>
      <x:c r="G686" s="18"/>
      <x:c r="H686" s="18" t="str">
        <x:v>pairing identity only</x:v>
      </x:c>
    </x:row>
    <x:row r="687" ht="22" customHeight="1">
      <x:c r="A687" s="22" t="n">
        <x:v>662</x:v>
      </x:c>
      <x:c r="B687" s="22" t="n">
        <x:f>MOD($B$6*(A687-1)+$B$7,$A$12)+1</x:f>
        <x:v>23</x:v>
      </x:c>
      <x:c r="C687" s="22" t="n">
        <x:f>MOD($B$6*(A687-1)+$B$7,$A$13)+1</x:f>
        <x:v>23</x:v>
      </x:c>
      <x:c r="D687" s="22" t="n">
        <x:f>MOD($B$6*(A687-1)+$B$7,$A$14)+1</x:f>
        <x:v>273</x:v>
      </x:c>
      <x:c r="E687" s="22" t="n">
        <x:f>MOD($B$6*(A687-1)+$B$7,$A$15)+1</x:f>
        <x:v>273</x:v>
      </x:c>
      <x:c r="F687" s="18"/>
      <x:c r="G687" s="18"/>
      <x:c r="H687" s="18" t="str">
        <x:v>pairing identity only</x:v>
      </x:c>
    </x:row>
    <x:row r="688" ht="22" customHeight="1">
      <x:c r="A688" s="22" t="n">
        <x:v>663</x:v>
      </x:c>
      <x:c r="B688" s="22" t="n">
        <x:f>MOD($B$6*(A688-1)+$B$7,$A$12)+1</x:f>
        <x:v>96</x:v>
      </x:c>
      <x:c r="C688" s="22" t="n">
        <x:f>MOD($B$6*(A688-1)+$B$7,$A$13)+1</x:f>
        <x:v>96</x:v>
      </x:c>
      <x:c r="D688" s="22" t="n">
        <x:f>MOD($B$6*(A688-1)+$B$7,$A$14)+1</x:f>
        <x:v>346</x:v>
      </x:c>
      <x:c r="E688" s="22" t="n">
        <x:f>MOD($B$6*(A688-1)+$B$7,$A$15)+1</x:f>
        <x:v>346</x:v>
      </x:c>
      <x:c r="F688" s="18"/>
      <x:c r="G688" s="18"/>
      <x:c r="H688" s="18" t="str">
        <x:v>pairing identity only</x:v>
      </x:c>
    </x:row>
    <x:row r="689" ht="22" customHeight="1">
      <x:c r="A689" s="22" t="n">
        <x:v>664</x:v>
      </x:c>
      <x:c r="B689" s="22" t="n">
        <x:f>MOD($B$6*(A689-1)+$B$7,$A$12)+1</x:f>
        <x:v>44</x:v>
      </x:c>
      <x:c r="C689" s="22" t="n">
        <x:f>MOD($B$6*(A689-1)+$B$7,$A$13)+1</x:f>
        <x:v>169</x:v>
      </x:c>
      <x:c r="D689" s="22" t="n">
        <x:f>MOD($B$6*(A689-1)+$B$7,$A$14)+1</x:f>
        <x:v>419</x:v>
      </x:c>
      <x:c r="E689" s="22" t="n">
        <x:f>MOD($B$6*(A689-1)+$B$7,$A$15)+1</x:f>
        <x:v>419</x:v>
      </x:c>
      <x:c r="F689" s="18"/>
      <x:c r="G689" s="18"/>
      <x:c r="H689" s="18" t="str">
        <x:v>pairing identity only</x:v>
      </x:c>
    </x:row>
    <x:row r="690" ht="22" customHeight="1">
      <x:c r="A690" s="22" t="n">
        <x:v>665</x:v>
      </x:c>
      <x:c r="B690" s="22" t="n">
        <x:f>MOD($B$6*(A690-1)+$B$7,$A$12)+1</x:f>
        <x:v>117</x:v>
      </x:c>
      <x:c r="C690" s="22" t="n">
        <x:f>MOD($B$6*(A690-1)+$B$7,$A$13)+1</x:f>
        <x:v>242</x:v>
      </x:c>
      <x:c r="D690" s="22" t="n">
        <x:f>MOD($B$6*(A690-1)+$B$7,$A$14)+1</x:f>
        <x:v>492</x:v>
      </x:c>
      <x:c r="E690" s="22" t="n">
        <x:f>MOD($B$6*(A690-1)+$B$7,$A$15)+1</x:f>
        <x:v>492</x:v>
      </x:c>
      <x:c r="F690" s="18"/>
      <x:c r="G690" s="18"/>
      <x:c r="H690" s="18" t="str">
        <x:v>pairing identity only</x:v>
      </x:c>
    </x:row>
    <x:row r="691" ht="22" customHeight="1">
      <x:c r="A691" s="22" t="n">
        <x:v>666</x:v>
      </x:c>
      <x:c r="B691" s="22" t="n">
        <x:f>MOD($B$6*(A691-1)+$B$7,$A$12)+1</x:f>
        <x:v>65</x:v>
      </x:c>
      <x:c r="C691" s="22" t="n">
        <x:f>MOD($B$6*(A691-1)+$B$7,$A$13)+1</x:f>
        <x:v>65</x:v>
      </x:c>
      <x:c r="D691" s="22" t="n">
        <x:f>MOD($B$6*(A691-1)+$B$7,$A$14)+1</x:f>
        <x:v>65</x:v>
      </x:c>
      <x:c r="E691" s="22" t="n">
        <x:f>MOD($B$6*(A691-1)+$B$7,$A$15)+1</x:f>
        <x:v>565</x:v>
      </x:c>
      <x:c r="F691" s="18"/>
      <x:c r="G691" s="18"/>
      <x:c r="H691" s="18" t="str">
        <x:v>pairing identity only</x:v>
      </x:c>
    </x:row>
    <x:row r="692" ht="22" customHeight="1">
      <x:c r="A692" s="22" t="n">
        <x:v>667</x:v>
      </x:c>
      <x:c r="B692" s="22" t="n">
        <x:f>MOD($B$6*(A692-1)+$B$7,$A$12)+1</x:f>
        <x:v>13</x:v>
      </x:c>
      <x:c r="C692" s="22" t="n">
        <x:f>MOD($B$6*(A692-1)+$B$7,$A$13)+1</x:f>
        <x:v>138</x:v>
      </x:c>
      <x:c r="D692" s="22" t="n">
        <x:f>MOD($B$6*(A692-1)+$B$7,$A$14)+1</x:f>
        <x:v>138</x:v>
      </x:c>
      <x:c r="E692" s="22" t="n">
        <x:f>MOD($B$6*(A692-1)+$B$7,$A$15)+1</x:f>
        <x:v>638</x:v>
      </x:c>
      <x:c r="F692" s="18"/>
      <x:c r="G692" s="18"/>
      <x:c r="H692" s="18" t="str">
        <x:v>pairing identity only</x:v>
      </x:c>
    </x:row>
    <x:row r="693" ht="22" customHeight="1">
      <x:c r="A693" s="22" t="n">
        <x:v>668</x:v>
      </x:c>
      <x:c r="B693" s="22" t="n">
        <x:f>MOD($B$6*(A693-1)+$B$7,$A$12)+1</x:f>
        <x:v>86</x:v>
      </x:c>
      <x:c r="C693" s="22" t="n">
        <x:f>MOD($B$6*(A693-1)+$B$7,$A$13)+1</x:f>
        <x:v>211</x:v>
      </x:c>
      <x:c r="D693" s="22" t="n">
        <x:f>MOD($B$6*(A693-1)+$B$7,$A$14)+1</x:f>
        <x:v>211</x:v>
      </x:c>
      <x:c r="E693" s="22" t="n">
        <x:f>MOD($B$6*(A693-1)+$B$7,$A$15)+1</x:f>
        <x:v>711</x:v>
      </x:c>
      <x:c r="F693" s="18"/>
      <x:c r="G693" s="18"/>
      <x:c r="H693" s="18" t="str">
        <x:v>pairing identity only</x:v>
      </x:c>
    </x:row>
    <x:row r="694" ht="22" customHeight="1">
      <x:c r="A694" s="22" t="n">
        <x:v>669</x:v>
      </x:c>
      <x:c r="B694" s="22" t="n">
        <x:f>MOD($B$6*(A694-1)+$B$7,$A$12)+1</x:f>
        <x:v>34</x:v>
      </x:c>
      <x:c r="C694" s="22" t="n">
        <x:f>MOD($B$6*(A694-1)+$B$7,$A$13)+1</x:f>
        <x:v>34</x:v>
      </x:c>
      <x:c r="D694" s="22" t="n">
        <x:f>MOD($B$6*(A694-1)+$B$7,$A$14)+1</x:f>
        <x:v>284</x:v>
      </x:c>
      <x:c r="E694" s="22" t="n">
        <x:f>MOD($B$6*(A694-1)+$B$7,$A$15)+1</x:f>
        <x:v>784</x:v>
      </x:c>
      <x:c r="F694" s="18"/>
      <x:c r="G694" s="18"/>
      <x:c r="H694" s="18" t="str">
        <x:v>pairing identity only</x:v>
      </x:c>
    </x:row>
    <x:row r="695" ht="22" customHeight="1">
      <x:c r="A695" s="22" t="n">
        <x:v>670</x:v>
      </x:c>
      <x:c r="B695" s="22" t="n">
        <x:f>MOD($B$6*(A695-1)+$B$7,$A$12)+1</x:f>
        <x:v>107</x:v>
      </x:c>
      <x:c r="C695" s="22" t="n">
        <x:f>MOD($B$6*(A695-1)+$B$7,$A$13)+1</x:f>
        <x:v>107</x:v>
      </x:c>
      <x:c r="D695" s="22" t="n">
        <x:f>MOD($B$6*(A695-1)+$B$7,$A$14)+1</x:f>
        <x:v>357</x:v>
      </x:c>
      <x:c r="E695" s="22" t="n">
        <x:f>MOD($B$6*(A695-1)+$B$7,$A$15)+1</x:f>
        <x:v>857</x:v>
      </x:c>
      <x:c r="F695" s="18"/>
      <x:c r="G695" s="18"/>
      <x:c r="H695" s="18" t="str">
        <x:v>pairing identity only</x:v>
      </x:c>
    </x:row>
    <x:row r="696" ht="22" customHeight="1">
      <x:c r="A696" s="22" t="n">
        <x:v>671</x:v>
      </x:c>
      <x:c r="B696" s="22" t="n">
        <x:f>MOD($B$6*(A696-1)+$B$7,$A$12)+1</x:f>
        <x:v>55</x:v>
      </x:c>
      <x:c r="C696" s="22" t="n">
        <x:f>MOD($B$6*(A696-1)+$B$7,$A$13)+1</x:f>
        <x:v>180</x:v>
      </x:c>
      <x:c r="D696" s="22" t="n">
        <x:f>MOD($B$6*(A696-1)+$B$7,$A$14)+1</x:f>
        <x:v>430</x:v>
      </x:c>
      <x:c r="E696" s="22" t="n">
        <x:f>MOD($B$6*(A696-1)+$B$7,$A$15)+1</x:f>
        <x:v>930</x:v>
      </x:c>
      <x:c r="F696" s="18"/>
      <x:c r="G696" s="18"/>
      <x:c r="H696" s="18" t="str">
        <x:v>pairing identity only</x:v>
      </x:c>
    </x:row>
    <x:row r="697" ht="22" customHeight="1">
      <x:c r="A697" s="22" t="n">
        <x:v>672</x:v>
      </x:c>
      <x:c r="B697" s="22" t="n">
        <x:f>MOD($B$6*(A697-1)+$B$7,$A$12)+1</x:f>
        <x:v>3</x:v>
      </x:c>
      <x:c r="C697" s="22" t="n">
        <x:f>MOD($B$6*(A697-1)+$B$7,$A$13)+1</x:f>
        <x:v>3</x:v>
      </x:c>
      <x:c r="D697" s="22" t="n">
        <x:f>MOD($B$6*(A697-1)+$B$7,$A$14)+1</x:f>
        <x:v>3</x:v>
      </x:c>
      <x:c r="E697" s="22" t="n">
        <x:f>MOD($B$6*(A697-1)+$B$7,$A$15)+1</x:f>
        <x:v>3</x:v>
      </x:c>
      <x:c r="F697" s="18"/>
      <x:c r="G697" s="18"/>
      <x:c r="H697" s="18" t="str">
        <x:v>pairing identity only</x:v>
      </x:c>
    </x:row>
    <x:row r="698" ht="22" customHeight="1">
      <x:c r="A698" s="22" t="n">
        <x:v>673</x:v>
      </x:c>
      <x:c r="B698" s="22" t="n">
        <x:f>MOD($B$6*(A698-1)+$B$7,$A$12)+1</x:f>
        <x:v>76</x:v>
      </x:c>
      <x:c r="C698" s="22" t="n">
        <x:f>MOD($B$6*(A698-1)+$B$7,$A$13)+1</x:f>
        <x:v>76</x:v>
      </x:c>
      <x:c r="D698" s="22" t="n">
        <x:f>MOD($B$6*(A698-1)+$B$7,$A$14)+1</x:f>
        <x:v>76</x:v>
      </x:c>
      <x:c r="E698" s="22" t="n">
        <x:f>MOD($B$6*(A698-1)+$B$7,$A$15)+1</x:f>
        <x:v>76</x:v>
      </x:c>
      <x:c r="F698" s="18"/>
      <x:c r="G698" s="18"/>
      <x:c r="H698" s="18" t="str">
        <x:v>pairing identity only</x:v>
      </x:c>
    </x:row>
    <x:row r="699" ht="22" customHeight="1">
      <x:c r="A699" s="22" t="n">
        <x:v>674</x:v>
      </x:c>
      <x:c r="B699" s="22" t="n">
        <x:f>MOD($B$6*(A699-1)+$B$7,$A$12)+1</x:f>
        <x:v>24</x:v>
      </x:c>
      <x:c r="C699" s="22" t="n">
        <x:f>MOD($B$6*(A699-1)+$B$7,$A$13)+1</x:f>
        <x:v>149</x:v>
      </x:c>
      <x:c r="D699" s="22" t="n">
        <x:f>MOD($B$6*(A699-1)+$B$7,$A$14)+1</x:f>
        <x:v>149</x:v>
      </x:c>
      <x:c r="E699" s="22" t="n">
        <x:f>MOD($B$6*(A699-1)+$B$7,$A$15)+1</x:f>
        <x:v>149</x:v>
      </x:c>
      <x:c r="F699" s="18"/>
      <x:c r="G699" s="18"/>
      <x:c r="H699" s="18" t="str">
        <x:v>pairing identity only</x:v>
      </x:c>
    </x:row>
    <x:row r="700" ht="22" customHeight="1">
      <x:c r="A700" s="22" t="n">
        <x:v>675</x:v>
      </x:c>
      <x:c r="B700" s="22" t="n">
        <x:f>MOD($B$6*(A700-1)+$B$7,$A$12)+1</x:f>
        <x:v>97</x:v>
      </x:c>
      <x:c r="C700" s="22" t="n">
        <x:f>MOD($B$6*(A700-1)+$B$7,$A$13)+1</x:f>
        <x:v>222</x:v>
      </x:c>
      <x:c r="D700" s="22" t="n">
        <x:f>MOD($B$6*(A700-1)+$B$7,$A$14)+1</x:f>
        <x:v>222</x:v>
      </x:c>
      <x:c r="E700" s="22" t="n">
        <x:f>MOD($B$6*(A700-1)+$B$7,$A$15)+1</x:f>
        <x:v>222</x:v>
      </x:c>
      <x:c r="F700" s="18"/>
      <x:c r="G700" s="18"/>
      <x:c r="H700" s="18" t="str">
        <x:v>pairing identity only</x:v>
      </x:c>
    </x:row>
    <x:row r="701" ht="22" customHeight="1">
      <x:c r="A701" s="22" t="n">
        <x:v>676</x:v>
      </x:c>
      <x:c r="B701" s="22" t="n">
        <x:f>MOD($B$6*(A701-1)+$B$7,$A$12)+1</x:f>
        <x:v>45</x:v>
      </x:c>
      <x:c r="C701" s="22" t="n">
        <x:f>MOD($B$6*(A701-1)+$B$7,$A$13)+1</x:f>
        <x:v>45</x:v>
      </x:c>
      <x:c r="D701" s="22" t="n">
        <x:f>MOD($B$6*(A701-1)+$B$7,$A$14)+1</x:f>
        <x:v>295</x:v>
      </x:c>
      <x:c r="E701" s="22" t="n">
        <x:f>MOD($B$6*(A701-1)+$B$7,$A$15)+1</x:f>
        <x:v>295</x:v>
      </x:c>
      <x:c r="F701" s="18"/>
      <x:c r="G701" s="18"/>
      <x:c r="H701" s="18" t="str">
        <x:v>pairing identity only</x:v>
      </x:c>
    </x:row>
    <x:row r="702" ht="22" customHeight="1">
      <x:c r="A702" s="22" t="n">
        <x:v>677</x:v>
      </x:c>
      <x:c r="B702" s="22" t="n">
        <x:f>MOD($B$6*(A702-1)+$B$7,$A$12)+1</x:f>
        <x:v>118</x:v>
      </x:c>
      <x:c r="C702" s="22" t="n">
        <x:f>MOD($B$6*(A702-1)+$B$7,$A$13)+1</x:f>
        <x:v>118</x:v>
      </x:c>
      <x:c r="D702" s="22" t="n">
        <x:f>MOD($B$6*(A702-1)+$B$7,$A$14)+1</x:f>
        <x:v>368</x:v>
      </x:c>
      <x:c r="E702" s="22" t="n">
        <x:f>MOD($B$6*(A702-1)+$B$7,$A$15)+1</x:f>
        <x:v>368</x:v>
      </x:c>
      <x:c r="F702" s="18"/>
      <x:c r="G702" s="18"/>
      <x:c r="H702" s="18" t="str">
        <x:v>pairing identity only</x:v>
      </x:c>
    </x:row>
    <x:row r="703" ht="22" customHeight="1">
      <x:c r="A703" s="22" t="n">
        <x:v>678</x:v>
      </x:c>
      <x:c r="B703" s="22" t="n">
        <x:f>MOD($B$6*(A703-1)+$B$7,$A$12)+1</x:f>
        <x:v>66</x:v>
      </x:c>
      <x:c r="C703" s="22" t="n">
        <x:f>MOD($B$6*(A703-1)+$B$7,$A$13)+1</x:f>
        <x:v>191</x:v>
      </x:c>
      <x:c r="D703" s="22" t="n">
        <x:f>MOD($B$6*(A703-1)+$B$7,$A$14)+1</x:f>
        <x:v>441</x:v>
      </x:c>
      <x:c r="E703" s="22" t="n">
        <x:f>MOD($B$6*(A703-1)+$B$7,$A$15)+1</x:f>
        <x:v>441</x:v>
      </x:c>
      <x:c r="F703" s="18"/>
      <x:c r="G703" s="18"/>
      <x:c r="H703" s="18" t="str">
        <x:v>pairing identity only</x:v>
      </x:c>
    </x:row>
    <x:row r="704" ht="22" customHeight="1">
      <x:c r="A704" s="22" t="n">
        <x:v>679</x:v>
      </x:c>
      <x:c r="B704" s="22" t="n">
        <x:f>MOD($B$6*(A704-1)+$B$7,$A$12)+1</x:f>
        <x:v>14</x:v>
      </x:c>
      <x:c r="C704" s="22" t="n">
        <x:f>MOD($B$6*(A704-1)+$B$7,$A$13)+1</x:f>
        <x:v>14</x:v>
      </x:c>
      <x:c r="D704" s="22" t="n">
        <x:f>MOD($B$6*(A704-1)+$B$7,$A$14)+1</x:f>
        <x:v>14</x:v>
      </x:c>
      <x:c r="E704" s="22" t="n">
        <x:f>MOD($B$6*(A704-1)+$B$7,$A$15)+1</x:f>
        <x:v>514</x:v>
      </x:c>
      <x:c r="F704" s="18"/>
      <x:c r="G704" s="18"/>
      <x:c r="H704" s="18" t="str">
        <x:v>pairing identity only</x:v>
      </x:c>
    </x:row>
    <x:row r="705" ht="22" customHeight="1">
      <x:c r="A705" s="22" t="n">
        <x:v>680</x:v>
      </x:c>
      <x:c r="B705" s="22" t="n">
        <x:f>MOD($B$6*(A705-1)+$B$7,$A$12)+1</x:f>
        <x:v>87</x:v>
      </x:c>
      <x:c r="C705" s="22" t="n">
        <x:f>MOD($B$6*(A705-1)+$B$7,$A$13)+1</x:f>
        <x:v>87</x:v>
      </x:c>
      <x:c r="D705" s="22" t="n">
        <x:f>MOD($B$6*(A705-1)+$B$7,$A$14)+1</x:f>
        <x:v>87</x:v>
      </x:c>
      <x:c r="E705" s="22" t="n">
        <x:f>MOD($B$6*(A705-1)+$B$7,$A$15)+1</x:f>
        <x:v>587</x:v>
      </x:c>
      <x:c r="F705" s="18"/>
      <x:c r="G705" s="18"/>
      <x:c r="H705" s="18" t="str">
        <x:v>pairing identity only</x:v>
      </x:c>
    </x:row>
    <x:row r="706" ht="22" customHeight="1">
      <x:c r="A706" s="22" t="n">
        <x:v>681</x:v>
      </x:c>
      <x:c r="B706" s="22" t="n">
        <x:f>MOD($B$6*(A706-1)+$B$7,$A$12)+1</x:f>
        <x:v>35</x:v>
      </x:c>
      <x:c r="C706" s="22" t="n">
        <x:f>MOD($B$6*(A706-1)+$B$7,$A$13)+1</x:f>
        <x:v>160</x:v>
      </x:c>
      <x:c r="D706" s="22" t="n">
        <x:f>MOD($B$6*(A706-1)+$B$7,$A$14)+1</x:f>
        <x:v>160</x:v>
      </x:c>
      <x:c r="E706" s="22" t="n">
        <x:f>MOD($B$6*(A706-1)+$B$7,$A$15)+1</x:f>
        <x:v>660</x:v>
      </x:c>
      <x:c r="F706" s="18"/>
      <x:c r="G706" s="18"/>
      <x:c r="H706" s="18" t="str">
        <x:v>pairing identity only</x:v>
      </x:c>
    </x:row>
    <x:row r="707" ht="22" customHeight="1">
      <x:c r="A707" s="22" t="n">
        <x:v>682</x:v>
      </x:c>
      <x:c r="B707" s="22" t="n">
        <x:f>MOD($B$6*(A707-1)+$B$7,$A$12)+1</x:f>
        <x:v>108</x:v>
      </x:c>
      <x:c r="C707" s="22" t="n">
        <x:f>MOD($B$6*(A707-1)+$B$7,$A$13)+1</x:f>
        <x:v>233</x:v>
      </x:c>
      <x:c r="D707" s="22" t="n">
        <x:f>MOD($B$6*(A707-1)+$B$7,$A$14)+1</x:f>
        <x:v>233</x:v>
      </x:c>
      <x:c r="E707" s="22" t="n">
        <x:f>MOD($B$6*(A707-1)+$B$7,$A$15)+1</x:f>
        <x:v>733</x:v>
      </x:c>
      <x:c r="F707" s="18"/>
      <x:c r="G707" s="18"/>
      <x:c r="H707" s="18" t="str">
        <x:v>pairing identity only</x:v>
      </x:c>
    </x:row>
    <x:row r="708" ht="22" customHeight="1">
      <x:c r="A708" s="22" t="n">
        <x:v>683</x:v>
      </x:c>
      <x:c r="B708" s="22" t="n">
        <x:f>MOD($B$6*(A708-1)+$B$7,$A$12)+1</x:f>
        <x:v>56</x:v>
      </x:c>
      <x:c r="C708" s="22" t="n">
        <x:f>MOD($B$6*(A708-1)+$B$7,$A$13)+1</x:f>
        <x:v>56</x:v>
      </x:c>
      <x:c r="D708" s="22" t="n">
        <x:f>MOD($B$6*(A708-1)+$B$7,$A$14)+1</x:f>
        <x:v>306</x:v>
      </x:c>
      <x:c r="E708" s="22" t="n">
        <x:f>MOD($B$6*(A708-1)+$B$7,$A$15)+1</x:f>
        <x:v>806</x:v>
      </x:c>
      <x:c r="F708" s="18"/>
      <x:c r="G708" s="18"/>
      <x:c r="H708" s="18" t="str">
        <x:v>pairing identity only</x:v>
      </x:c>
    </x:row>
    <x:row r="709" ht="22" customHeight="1">
      <x:c r="A709" s="22" t="n">
        <x:v>684</x:v>
      </x:c>
      <x:c r="B709" s="22" t="n">
        <x:f>MOD($B$6*(A709-1)+$B$7,$A$12)+1</x:f>
        <x:v>4</x:v>
      </x:c>
      <x:c r="C709" s="22" t="n">
        <x:f>MOD($B$6*(A709-1)+$B$7,$A$13)+1</x:f>
        <x:v>129</x:v>
      </x:c>
      <x:c r="D709" s="22" t="n">
        <x:f>MOD($B$6*(A709-1)+$B$7,$A$14)+1</x:f>
        <x:v>379</x:v>
      </x:c>
      <x:c r="E709" s="22" t="n">
        <x:f>MOD($B$6*(A709-1)+$B$7,$A$15)+1</x:f>
        <x:v>879</x:v>
      </x:c>
      <x:c r="F709" s="18"/>
      <x:c r="G709" s="18"/>
      <x:c r="H709" s="18" t="str">
        <x:v>pairing identity only</x:v>
      </x:c>
    </x:row>
    <x:row r="710" ht="22" customHeight="1">
      <x:c r="A710" s="22" t="n">
        <x:v>685</x:v>
      </x:c>
      <x:c r="B710" s="22" t="n">
        <x:f>MOD($B$6*(A710-1)+$B$7,$A$12)+1</x:f>
        <x:v>77</x:v>
      </x:c>
      <x:c r="C710" s="22" t="n">
        <x:f>MOD($B$6*(A710-1)+$B$7,$A$13)+1</x:f>
        <x:v>202</x:v>
      </x:c>
      <x:c r="D710" s="22" t="n">
        <x:f>MOD($B$6*(A710-1)+$B$7,$A$14)+1</x:f>
        <x:v>452</x:v>
      </x:c>
      <x:c r="E710" s="22" t="n">
        <x:f>MOD($B$6*(A710-1)+$B$7,$A$15)+1</x:f>
        <x:v>952</x:v>
      </x:c>
      <x:c r="F710" s="18"/>
      <x:c r="G710" s="18"/>
      <x:c r="H710" s="18" t="str">
        <x:v>pairing identity only</x:v>
      </x:c>
    </x:row>
    <x:row r="711" ht="22" customHeight="1">
      <x:c r="A711" s="22" t="n">
        <x:v>686</x:v>
      </x:c>
      <x:c r="B711" s="22" t="n">
        <x:f>MOD($B$6*(A711-1)+$B$7,$A$12)+1</x:f>
        <x:v>25</x:v>
      </x:c>
      <x:c r="C711" s="22" t="n">
        <x:f>MOD($B$6*(A711-1)+$B$7,$A$13)+1</x:f>
        <x:v>25</x:v>
      </x:c>
      <x:c r="D711" s="22" t="n">
        <x:f>MOD($B$6*(A711-1)+$B$7,$A$14)+1</x:f>
        <x:v>25</x:v>
      </x:c>
      <x:c r="E711" s="22" t="n">
        <x:f>MOD($B$6*(A711-1)+$B$7,$A$15)+1</x:f>
        <x:v>25</x:v>
      </x:c>
      <x:c r="F711" s="18"/>
      <x:c r="G711" s="18"/>
      <x:c r="H711" s="18" t="str">
        <x:v>pairing identity only</x:v>
      </x:c>
    </x:row>
    <x:row r="712" ht="22" customHeight="1">
      <x:c r="A712" s="22" t="n">
        <x:v>687</x:v>
      </x:c>
      <x:c r="B712" s="22" t="n">
        <x:f>MOD($B$6*(A712-1)+$B$7,$A$12)+1</x:f>
        <x:v>98</x:v>
      </x:c>
      <x:c r="C712" s="22" t="n">
        <x:f>MOD($B$6*(A712-1)+$B$7,$A$13)+1</x:f>
        <x:v>98</x:v>
      </x:c>
      <x:c r="D712" s="22" t="n">
        <x:f>MOD($B$6*(A712-1)+$B$7,$A$14)+1</x:f>
        <x:v>98</x:v>
      </x:c>
      <x:c r="E712" s="22" t="n">
        <x:f>MOD($B$6*(A712-1)+$B$7,$A$15)+1</x:f>
        <x:v>98</x:v>
      </x:c>
      <x:c r="F712" s="18"/>
      <x:c r="G712" s="18"/>
      <x:c r="H712" s="18" t="str">
        <x:v>pairing identity only</x:v>
      </x:c>
    </x:row>
    <x:row r="713" ht="22" customHeight="1">
      <x:c r="A713" s="22" t="n">
        <x:v>688</x:v>
      </x:c>
      <x:c r="B713" s="22" t="n">
        <x:f>MOD($B$6*(A713-1)+$B$7,$A$12)+1</x:f>
        <x:v>46</x:v>
      </x:c>
      <x:c r="C713" s="22" t="n">
        <x:f>MOD($B$6*(A713-1)+$B$7,$A$13)+1</x:f>
        <x:v>171</x:v>
      </x:c>
      <x:c r="D713" s="22" t="n">
        <x:f>MOD($B$6*(A713-1)+$B$7,$A$14)+1</x:f>
        <x:v>171</x:v>
      </x:c>
      <x:c r="E713" s="22" t="n">
        <x:f>MOD($B$6*(A713-1)+$B$7,$A$15)+1</x:f>
        <x:v>171</x:v>
      </x:c>
      <x:c r="F713" s="18"/>
      <x:c r="G713" s="18"/>
      <x:c r="H713" s="18" t="str">
        <x:v>pairing identity only</x:v>
      </x:c>
    </x:row>
    <x:row r="714" ht="22" customHeight="1">
      <x:c r="A714" s="22" t="n">
        <x:v>689</x:v>
      </x:c>
      <x:c r="B714" s="22" t="n">
        <x:f>MOD($B$6*(A714-1)+$B$7,$A$12)+1</x:f>
        <x:v>119</x:v>
      </x:c>
      <x:c r="C714" s="22" t="n">
        <x:f>MOD($B$6*(A714-1)+$B$7,$A$13)+1</x:f>
        <x:v>244</x:v>
      </x:c>
      <x:c r="D714" s="22" t="n">
        <x:f>MOD($B$6*(A714-1)+$B$7,$A$14)+1</x:f>
        <x:v>244</x:v>
      </x:c>
      <x:c r="E714" s="22" t="n">
        <x:f>MOD($B$6*(A714-1)+$B$7,$A$15)+1</x:f>
        <x:v>244</x:v>
      </x:c>
      <x:c r="F714" s="18"/>
      <x:c r="G714" s="18"/>
      <x:c r="H714" s="18" t="str">
        <x:v>pairing identity only</x:v>
      </x:c>
    </x:row>
    <x:row r="715" ht="22" customHeight="1">
      <x:c r="A715" s="22" t="n">
        <x:v>690</x:v>
      </x:c>
      <x:c r="B715" s="22" t="n">
        <x:f>MOD($B$6*(A715-1)+$B$7,$A$12)+1</x:f>
        <x:v>67</x:v>
      </x:c>
      <x:c r="C715" s="22" t="n">
        <x:f>MOD($B$6*(A715-1)+$B$7,$A$13)+1</x:f>
        <x:v>67</x:v>
      </x:c>
      <x:c r="D715" s="22" t="n">
        <x:f>MOD($B$6*(A715-1)+$B$7,$A$14)+1</x:f>
        <x:v>317</x:v>
      </x:c>
      <x:c r="E715" s="22" t="n">
        <x:f>MOD($B$6*(A715-1)+$B$7,$A$15)+1</x:f>
        <x:v>317</x:v>
      </x:c>
      <x:c r="F715" s="18"/>
      <x:c r="G715" s="18"/>
      <x:c r="H715" s="18" t="str">
        <x:v>pairing identity only</x:v>
      </x:c>
    </x:row>
    <x:row r="716" ht="22" customHeight="1">
      <x:c r="A716" s="22" t="n">
        <x:v>691</x:v>
      </x:c>
      <x:c r="B716" s="22" t="n">
        <x:f>MOD($B$6*(A716-1)+$B$7,$A$12)+1</x:f>
        <x:v>15</x:v>
      </x:c>
      <x:c r="C716" s="22" t="n">
        <x:f>MOD($B$6*(A716-1)+$B$7,$A$13)+1</x:f>
        <x:v>140</x:v>
      </x:c>
      <x:c r="D716" s="22" t="n">
        <x:f>MOD($B$6*(A716-1)+$B$7,$A$14)+1</x:f>
        <x:v>390</x:v>
      </x:c>
      <x:c r="E716" s="22" t="n">
        <x:f>MOD($B$6*(A716-1)+$B$7,$A$15)+1</x:f>
        <x:v>390</x:v>
      </x:c>
      <x:c r="F716" s="18"/>
      <x:c r="G716" s="18"/>
      <x:c r="H716" s="18" t="str">
        <x:v>pairing identity only</x:v>
      </x:c>
    </x:row>
    <x:row r="717" ht="22" customHeight="1">
      <x:c r="A717" s="22" t="n">
        <x:v>692</x:v>
      </x:c>
      <x:c r="B717" s="22" t="n">
        <x:f>MOD($B$6*(A717-1)+$B$7,$A$12)+1</x:f>
        <x:v>88</x:v>
      </x:c>
      <x:c r="C717" s="22" t="n">
        <x:f>MOD($B$6*(A717-1)+$B$7,$A$13)+1</x:f>
        <x:v>213</x:v>
      </x:c>
      <x:c r="D717" s="22" t="n">
        <x:f>MOD($B$6*(A717-1)+$B$7,$A$14)+1</x:f>
        <x:v>463</x:v>
      </x:c>
      <x:c r="E717" s="22" t="n">
        <x:f>MOD($B$6*(A717-1)+$B$7,$A$15)+1</x:f>
        <x:v>463</x:v>
      </x:c>
      <x:c r="F717" s="18"/>
      <x:c r="G717" s="18"/>
      <x:c r="H717" s="18" t="str">
        <x:v>pairing identity only</x:v>
      </x:c>
    </x:row>
    <x:row r="718" ht="22" customHeight="1">
      <x:c r="A718" s="22" t="n">
        <x:v>693</x:v>
      </x:c>
      <x:c r="B718" s="22" t="n">
        <x:f>MOD($B$6*(A718-1)+$B$7,$A$12)+1</x:f>
        <x:v>36</x:v>
      </x:c>
      <x:c r="C718" s="22" t="n">
        <x:f>MOD($B$6*(A718-1)+$B$7,$A$13)+1</x:f>
        <x:v>36</x:v>
      </x:c>
      <x:c r="D718" s="22" t="n">
        <x:f>MOD($B$6*(A718-1)+$B$7,$A$14)+1</x:f>
        <x:v>36</x:v>
      </x:c>
      <x:c r="E718" s="22" t="n">
        <x:f>MOD($B$6*(A718-1)+$B$7,$A$15)+1</x:f>
        <x:v>536</x:v>
      </x:c>
      <x:c r="F718" s="18"/>
      <x:c r="G718" s="18"/>
      <x:c r="H718" s="18" t="str">
        <x:v>pairing identity only</x:v>
      </x:c>
    </x:row>
    <x:row r="719" ht="22" customHeight="1">
      <x:c r="A719" s="22" t="n">
        <x:v>694</x:v>
      </x:c>
      <x:c r="B719" s="22" t="n">
        <x:f>MOD($B$6*(A719-1)+$B$7,$A$12)+1</x:f>
        <x:v>109</x:v>
      </x:c>
      <x:c r="C719" s="22" t="n">
        <x:f>MOD($B$6*(A719-1)+$B$7,$A$13)+1</x:f>
        <x:v>109</x:v>
      </x:c>
      <x:c r="D719" s="22" t="n">
        <x:f>MOD($B$6*(A719-1)+$B$7,$A$14)+1</x:f>
        <x:v>109</x:v>
      </x:c>
      <x:c r="E719" s="22" t="n">
        <x:f>MOD($B$6*(A719-1)+$B$7,$A$15)+1</x:f>
        <x:v>609</x:v>
      </x:c>
      <x:c r="F719" s="18"/>
      <x:c r="G719" s="18"/>
      <x:c r="H719" s="18" t="str">
        <x:v>pairing identity only</x:v>
      </x:c>
    </x:row>
    <x:row r="720" ht="22" customHeight="1">
      <x:c r="A720" s="22" t="n">
        <x:v>695</x:v>
      </x:c>
      <x:c r="B720" s="22" t="n">
        <x:f>MOD($B$6*(A720-1)+$B$7,$A$12)+1</x:f>
        <x:v>57</x:v>
      </x:c>
      <x:c r="C720" s="22" t="n">
        <x:f>MOD($B$6*(A720-1)+$B$7,$A$13)+1</x:f>
        <x:v>182</x:v>
      </x:c>
      <x:c r="D720" s="22" t="n">
        <x:f>MOD($B$6*(A720-1)+$B$7,$A$14)+1</x:f>
        <x:v>182</x:v>
      </x:c>
      <x:c r="E720" s="22" t="n">
        <x:f>MOD($B$6*(A720-1)+$B$7,$A$15)+1</x:f>
        <x:v>682</x:v>
      </x:c>
      <x:c r="F720" s="18"/>
      <x:c r="G720" s="18"/>
      <x:c r="H720" s="18" t="str">
        <x:v>pairing identity only</x:v>
      </x:c>
    </x:row>
    <x:row r="721" ht="22" customHeight="1">
      <x:c r="A721" s="22" t="n">
        <x:v>696</x:v>
      </x:c>
      <x:c r="B721" s="22" t="n">
        <x:f>MOD($B$6*(A721-1)+$B$7,$A$12)+1</x:f>
        <x:v>5</x:v>
      </x:c>
      <x:c r="C721" s="22" t="n">
        <x:f>MOD($B$6*(A721-1)+$B$7,$A$13)+1</x:f>
        <x:v>5</x:v>
      </x:c>
      <x:c r="D721" s="22" t="n">
        <x:f>MOD($B$6*(A721-1)+$B$7,$A$14)+1</x:f>
        <x:v>255</x:v>
      </x:c>
      <x:c r="E721" s="22" t="n">
        <x:f>MOD($B$6*(A721-1)+$B$7,$A$15)+1</x:f>
        <x:v>755</x:v>
      </x:c>
      <x:c r="F721" s="18"/>
      <x:c r="G721" s="18"/>
      <x:c r="H721" s="18" t="str">
        <x:v>pairing identity only</x:v>
      </x:c>
    </x:row>
    <x:row r="722" ht="22" customHeight="1">
      <x:c r="A722" s="22" t="n">
        <x:v>697</x:v>
      </x:c>
      <x:c r="B722" s="22" t="n">
        <x:f>MOD($B$6*(A722-1)+$B$7,$A$12)+1</x:f>
        <x:v>78</x:v>
      </x:c>
      <x:c r="C722" s="22" t="n">
        <x:f>MOD($B$6*(A722-1)+$B$7,$A$13)+1</x:f>
        <x:v>78</x:v>
      </x:c>
      <x:c r="D722" s="22" t="n">
        <x:f>MOD($B$6*(A722-1)+$B$7,$A$14)+1</x:f>
        <x:v>328</x:v>
      </x:c>
      <x:c r="E722" s="22" t="n">
        <x:f>MOD($B$6*(A722-1)+$B$7,$A$15)+1</x:f>
        <x:v>828</x:v>
      </x:c>
      <x:c r="F722" s="18"/>
      <x:c r="G722" s="18"/>
      <x:c r="H722" s="18" t="str">
        <x:v>pairing identity only</x:v>
      </x:c>
    </x:row>
    <x:row r="723" ht="22" customHeight="1">
      <x:c r="A723" s="22" t="n">
        <x:v>698</x:v>
      </x:c>
      <x:c r="B723" s="22" t="n">
        <x:f>MOD($B$6*(A723-1)+$B$7,$A$12)+1</x:f>
        <x:v>26</x:v>
      </x:c>
      <x:c r="C723" s="22" t="n">
        <x:f>MOD($B$6*(A723-1)+$B$7,$A$13)+1</x:f>
        <x:v>151</x:v>
      </x:c>
      <x:c r="D723" s="22" t="n">
        <x:f>MOD($B$6*(A723-1)+$B$7,$A$14)+1</x:f>
        <x:v>401</x:v>
      </x:c>
      <x:c r="E723" s="22" t="n">
        <x:f>MOD($B$6*(A723-1)+$B$7,$A$15)+1</x:f>
        <x:v>901</x:v>
      </x:c>
      <x:c r="F723" s="18"/>
      <x:c r="G723" s="18"/>
      <x:c r="H723" s="18" t="str">
        <x:v>pairing identity only</x:v>
      </x:c>
    </x:row>
    <x:row r="724" ht="22" customHeight="1">
      <x:c r="A724" s="22" t="n">
        <x:v>699</x:v>
      </x:c>
      <x:c r="B724" s="22" t="n">
        <x:f>MOD($B$6*(A724-1)+$B$7,$A$12)+1</x:f>
        <x:v>99</x:v>
      </x:c>
      <x:c r="C724" s="22" t="n">
        <x:f>MOD($B$6*(A724-1)+$B$7,$A$13)+1</x:f>
        <x:v>224</x:v>
      </x:c>
      <x:c r="D724" s="22" t="n">
        <x:f>MOD($B$6*(A724-1)+$B$7,$A$14)+1</x:f>
        <x:v>474</x:v>
      </x:c>
      <x:c r="E724" s="22" t="n">
        <x:f>MOD($B$6*(A724-1)+$B$7,$A$15)+1</x:f>
        <x:v>974</x:v>
      </x:c>
      <x:c r="F724" s="18"/>
      <x:c r="G724" s="18"/>
      <x:c r="H724" s="18" t="str">
        <x:v>pairing identity only</x:v>
      </x:c>
    </x:row>
    <x:row r="725" ht="22" customHeight="1">
      <x:c r="A725" s="22" t="n">
        <x:v>700</x:v>
      </x:c>
      <x:c r="B725" s="22" t="n">
        <x:f>MOD($B$6*(A725-1)+$B$7,$A$12)+1</x:f>
        <x:v>47</x:v>
      </x:c>
      <x:c r="C725" s="22" t="n">
        <x:f>MOD($B$6*(A725-1)+$B$7,$A$13)+1</x:f>
        <x:v>47</x:v>
      </x:c>
      <x:c r="D725" s="22" t="n">
        <x:f>MOD($B$6*(A725-1)+$B$7,$A$14)+1</x:f>
        <x:v>47</x:v>
      </x:c>
      <x:c r="E725" s="22" t="n">
        <x:f>MOD($B$6*(A725-1)+$B$7,$A$15)+1</x:f>
        <x:v>47</x:v>
      </x:c>
      <x:c r="F725" s="18"/>
      <x:c r="G725" s="18"/>
      <x:c r="H725" s="18" t="str">
        <x:v>pairing identity only</x:v>
      </x:c>
    </x:row>
    <x:row r="726" ht="22" customHeight="1">
      <x:c r="A726" s="22" t="n">
        <x:v>701</x:v>
      </x:c>
      <x:c r="B726" s="22" t="n">
        <x:f>MOD($B$6*(A726-1)+$B$7,$A$12)+1</x:f>
        <x:v>120</x:v>
      </x:c>
      <x:c r="C726" s="22" t="n">
        <x:f>MOD($B$6*(A726-1)+$B$7,$A$13)+1</x:f>
        <x:v>120</x:v>
      </x:c>
      <x:c r="D726" s="22" t="n">
        <x:f>MOD($B$6*(A726-1)+$B$7,$A$14)+1</x:f>
        <x:v>120</x:v>
      </x:c>
      <x:c r="E726" s="22" t="n">
        <x:f>MOD($B$6*(A726-1)+$B$7,$A$15)+1</x:f>
        <x:v>120</x:v>
      </x:c>
      <x:c r="F726" s="18"/>
      <x:c r="G726" s="18"/>
      <x:c r="H726" s="18" t="str">
        <x:v>pairing identity only</x:v>
      </x:c>
    </x:row>
    <x:row r="727" ht="22" customHeight="1">
      <x:c r="A727" s="22" t="n">
        <x:v>702</x:v>
      </x:c>
      <x:c r="B727" s="22" t="n">
        <x:f>MOD($B$6*(A727-1)+$B$7,$A$12)+1</x:f>
        <x:v>68</x:v>
      </x:c>
      <x:c r="C727" s="22" t="n">
        <x:f>MOD($B$6*(A727-1)+$B$7,$A$13)+1</x:f>
        <x:v>193</x:v>
      </x:c>
      <x:c r="D727" s="22" t="n">
        <x:f>MOD($B$6*(A727-1)+$B$7,$A$14)+1</x:f>
        <x:v>193</x:v>
      </x:c>
      <x:c r="E727" s="22" t="n">
        <x:f>MOD($B$6*(A727-1)+$B$7,$A$15)+1</x:f>
        <x:v>193</x:v>
      </x:c>
      <x:c r="F727" s="18"/>
      <x:c r="G727" s="18"/>
      <x:c r="H727" s="18" t="str">
        <x:v>pairing identity only</x:v>
      </x:c>
    </x:row>
    <x:row r="728" ht="22" customHeight="1">
      <x:c r="A728" s="22" t="n">
        <x:v>703</x:v>
      </x:c>
      <x:c r="B728" s="22" t="n">
        <x:f>MOD($B$6*(A728-1)+$B$7,$A$12)+1</x:f>
        <x:v>16</x:v>
      </x:c>
      <x:c r="C728" s="22" t="n">
        <x:f>MOD($B$6*(A728-1)+$B$7,$A$13)+1</x:f>
        <x:v>16</x:v>
      </x:c>
      <x:c r="D728" s="22" t="n">
        <x:f>MOD($B$6*(A728-1)+$B$7,$A$14)+1</x:f>
        <x:v>266</x:v>
      </x:c>
      <x:c r="E728" s="22" t="n">
        <x:f>MOD($B$6*(A728-1)+$B$7,$A$15)+1</x:f>
        <x:v>266</x:v>
      </x:c>
      <x:c r="F728" s="18"/>
      <x:c r="G728" s="18"/>
      <x:c r="H728" s="18" t="str">
        <x:v>pairing identity only</x:v>
      </x:c>
    </x:row>
    <x:row r="729" ht="22" customHeight="1">
      <x:c r="A729" s="22" t="n">
        <x:v>704</x:v>
      </x:c>
      <x:c r="B729" s="22" t="n">
        <x:f>MOD($B$6*(A729-1)+$B$7,$A$12)+1</x:f>
        <x:v>89</x:v>
      </x:c>
      <x:c r="C729" s="22" t="n">
        <x:f>MOD($B$6*(A729-1)+$B$7,$A$13)+1</x:f>
        <x:v>89</x:v>
      </x:c>
      <x:c r="D729" s="22" t="n">
        <x:f>MOD($B$6*(A729-1)+$B$7,$A$14)+1</x:f>
        <x:v>339</x:v>
      </x:c>
      <x:c r="E729" s="22" t="n">
        <x:f>MOD($B$6*(A729-1)+$B$7,$A$15)+1</x:f>
        <x:v>339</x:v>
      </x:c>
      <x:c r="F729" s="18"/>
      <x:c r="G729" s="18"/>
      <x:c r="H729" s="18" t="str">
        <x:v>pairing identity only</x:v>
      </x:c>
    </x:row>
    <x:row r="730" ht="22" customHeight="1">
      <x:c r="A730" s="22" t="n">
        <x:v>705</x:v>
      </x:c>
      <x:c r="B730" s="22" t="n">
        <x:f>MOD($B$6*(A730-1)+$B$7,$A$12)+1</x:f>
        <x:v>37</x:v>
      </x:c>
      <x:c r="C730" s="22" t="n">
        <x:f>MOD($B$6*(A730-1)+$B$7,$A$13)+1</x:f>
        <x:v>162</x:v>
      </x:c>
      <x:c r="D730" s="22" t="n">
        <x:f>MOD($B$6*(A730-1)+$B$7,$A$14)+1</x:f>
        <x:v>412</x:v>
      </x:c>
      <x:c r="E730" s="22" t="n">
        <x:f>MOD($B$6*(A730-1)+$B$7,$A$15)+1</x:f>
        <x:v>412</x:v>
      </x:c>
      <x:c r="F730" s="18"/>
      <x:c r="G730" s="18"/>
      <x:c r="H730" s="18" t="str">
        <x:v>pairing identity only</x:v>
      </x:c>
    </x:row>
    <x:row r="731" ht="22" customHeight="1">
      <x:c r="A731" s="22" t="n">
        <x:v>706</x:v>
      </x:c>
      <x:c r="B731" s="22" t="n">
        <x:f>MOD($B$6*(A731-1)+$B$7,$A$12)+1</x:f>
        <x:v>110</x:v>
      </x:c>
      <x:c r="C731" s="22" t="n">
        <x:f>MOD($B$6*(A731-1)+$B$7,$A$13)+1</x:f>
        <x:v>235</x:v>
      </x:c>
      <x:c r="D731" s="22" t="n">
        <x:f>MOD($B$6*(A731-1)+$B$7,$A$14)+1</x:f>
        <x:v>485</x:v>
      </x:c>
      <x:c r="E731" s="22" t="n">
        <x:f>MOD($B$6*(A731-1)+$B$7,$A$15)+1</x:f>
        <x:v>485</x:v>
      </x:c>
      <x:c r="F731" s="18"/>
      <x:c r="G731" s="18"/>
      <x:c r="H731" s="18" t="str">
        <x:v>pairing identity only</x:v>
      </x:c>
    </x:row>
    <x:row r="732" ht="22" customHeight="1">
      <x:c r="A732" s="22" t="n">
        <x:v>707</x:v>
      </x:c>
      <x:c r="B732" s="22" t="n">
        <x:f>MOD($B$6*(A732-1)+$B$7,$A$12)+1</x:f>
        <x:v>58</x:v>
      </x:c>
      <x:c r="C732" s="22" t="n">
        <x:f>MOD($B$6*(A732-1)+$B$7,$A$13)+1</x:f>
        <x:v>58</x:v>
      </x:c>
      <x:c r="D732" s="22" t="n">
        <x:f>MOD($B$6*(A732-1)+$B$7,$A$14)+1</x:f>
        <x:v>58</x:v>
      </x:c>
      <x:c r="E732" s="22" t="n">
        <x:f>MOD($B$6*(A732-1)+$B$7,$A$15)+1</x:f>
        <x:v>558</x:v>
      </x:c>
      <x:c r="F732" s="18"/>
      <x:c r="G732" s="18"/>
      <x:c r="H732" s="18" t="str">
        <x:v>pairing identity only</x:v>
      </x:c>
    </x:row>
    <x:row r="733" ht="22" customHeight="1">
      <x:c r="A733" s="22" t="n">
        <x:v>708</x:v>
      </x:c>
      <x:c r="B733" s="22" t="n">
        <x:f>MOD($B$6*(A733-1)+$B$7,$A$12)+1</x:f>
        <x:v>6</x:v>
      </x:c>
      <x:c r="C733" s="22" t="n">
        <x:f>MOD($B$6*(A733-1)+$B$7,$A$13)+1</x:f>
        <x:v>131</x:v>
      </x:c>
      <x:c r="D733" s="22" t="n">
        <x:f>MOD($B$6*(A733-1)+$B$7,$A$14)+1</x:f>
        <x:v>131</x:v>
      </x:c>
      <x:c r="E733" s="22" t="n">
        <x:f>MOD($B$6*(A733-1)+$B$7,$A$15)+1</x:f>
        <x:v>631</x:v>
      </x:c>
      <x:c r="F733" s="18"/>
      <x:c r="G733" s="18"/>
      <x:c r="H733" s="18" t="str">
        <x:v>pairing identity only</x:v>
      </x:c>
    </x:row>
    <x:row r="734" ht="22" customHeight="1">
      <x:c r="A734" s="22" t="n">
        <x:v>709</x:v>
      </x:c>
      <x:c r="B734" s="22" t="n">
        <x:f>MOD($B$6*(A734-1)+$B$7,$A$12)+1</x:f>
        <x:v>79</x:v>
      </x:c>
      <x:c r="C734" s="22" t="n">
        <x:f>MOD($B$6*(A734-1)+$B$7,$A$13)+1</x:f>
        <x:v>204</x:v>
      </x:c>
      <x:c r="D734" s="22" t="n">
        <x:f>MOD($B$6*(A734-1)+$B$7,$A$14)+1</x:f>
        <x:v>204</x:v>
      </x:c>
      <x:c r="E734" s="22" t="n">
        <x:f>MOD($B$6*(A734-1)+$B$7,$A$15)+1</x:f>
        <x:v>704</x:v>
      </x:c>
      <x:c r="F734" s="18"/>
      <x:c r="G734" s="18"/>
      <x:c r="H734" s="18" t="str">
        <x:v>pairing identity only</x:v>
      </x:c>
    </x:row>
    <x:row r="735" ht="22" customHeight="1">
      <x:c r="A735" s="22" t="n">
        <x:v>710</x:v>
      </x:c>
      <x:c r="B735" s="22" t="n">
        <x:f>MOD($B$6*(A735-1)+$B$7,$A$12)+1</x:f>
        <x:v>27</x:v>
      </x:c>
      <x:c r="C735" s="22" t="n">
        <x:f>MOD($B$6*(A735-1)+$B$7,$A$13)+1</x:f>
        <x:v>27</x:v>
      </x:c>
      <x:c r="D735" s="22" t="n">
        <x:f>MOD($B$6*(A735-1)+$B$7,$A$14)+1</x:f>
        <x:v>277</x:v>
      </x:c>
      <x:c r="E735" s="22" t="n">
        <x:f>MOD($B$6*(A735-1)+$B$7,$A$15)+1</x:f>
        <x:v>777</x:v>
      </x:c>
      <x:c r="F735" s="18"/>
      <x:c r="G735" s="18"/>
      <x:c r="H735" s="18" t="str">
        <x:v>pairing identity only</x:v>
      </x:c>
    </x:row>
    <x:row r="736" ht="22" customHeight="1">
      <x:c r="A736" s="22" t="n">
        <x:v>711</x:v>
      </x:c>
      <x:c r="B736" s="22" t="n">
        <x:f>MOD($B$6*(A736-1)+$B$7,$A$12)+1</x:f>
        <x:v>100</x:v>
      </x:c>
      <x:c r="C736" s="22" t="n">
        <x:f>MOD($B$6*(A736-1)+$B$7,$A$13)+1</x:f>
        <x:v>100</x:v>
      </x:c>
      <x:c r="D736" s="22" t="n">
        <x:f>MOD($B$6*(A736-1)+$B$7,$A$14)+1</x:f>
        <x:v>350</x:v>
      </x:c>
      <x:c r="E736" s="22" t="n">
        <x:f>MOD($B$6*(A736-1)+$B$7,$A$15)+1</x:f>
        <x:v>850</x:v>
      </x:c>
      <x:c r="F736" s="18"/>
      <x:c r="G736" s="18"/>
      <x:c r="H736" s="18" t="str">
        <x:v>pairing identity only</x:v>
      </x:c>
    </x:row>
    <x:row r="737" ht="22" customHeight="1">
      <x:c r="A737" s="22" t="n">
        <x:v>712</x:v>
      </x:c>
      <x:c r="B737" s="22" t="n">
        <x:f>MOD($B$6*(A737-1)+$B$7,$A$12)+1</x:f>
        <x:v>48</x:v>
      </x:c>
      <x:c r="C737" s="22" t="n">
        <x:f>MOD($B$6*(A737-1)+$B$7,$A$13)+1</x:f>
        <x:v>173</x:v>
      </x:c>
      <x:c r="D737" s="22" t="n">
        <x:f>MOD($B$6*(A737-1)+$B$7,$A$14)+1</x:f>
        <x:v>423</x:v>
      </x:c>
      <x:c r="E737" s="22" t="n">
        <x:f>MOD($B$6*(A737-1)+$B$7,$A$15)+1</x:f>
        <x:v>923</x:v>
      </x:c>
      <x:c r="F737" s="18"/>
      <x:c r="G737" s="18"/>
      <x:c r="H737" s="18" t="str">
        <x:v>pairing identity only</x:v>
      </x:c>
    </x:row>
    <x:row r="738" ht="22" customHeight="1">
      <x:c r="A738" s="22" t="n">
        <x:v>713</x:v>
      </x:c>
      <x:c r="B738" s="22" t="n">
        <x:f>MOD($B$6*(A738-1)+$B$7,$A$12)+1</x:f>
        <x:v>121</x:v>
      </x:c>
      <x:c r="C738" s="22" t="n">
        <x:f>MOD($B$6*(A738-1)+$B$7,$A$13)+1</x:f>
        <x:v>246</x:v>
      </x:c>
      <x:c r="D738" s="22" t="n">
        <x:f>MOD($B$6*(A738-1)+$B$7,$A$14)+1</x:f>
        <x:v>496</x:v>
      </x:c>
      <x:c r="E738" s="22" t="n">
        <x:f>MOD($B$6*(A738-1)+$B$7,$A$15)+1</x:f>
        <x:v>996</x:v>
      </x:c>
      <x:c r="F738" s="18"/>
      <x:c r="G738" s="18"/>
      <x:c r="H738" s="18" t="str">
        <x:v>pairing identity only</x:v>
      </x:c>
    </x:row>
    <x:row r="739" ht="22" customHeight="1">
      <x:c r="A739" s="22" t="n">
        <x:v>714</x:v>
      </x:c>
      <x:c r="B739" s="22" t="n">
        <x:f>MOD($B$6*(A739-1)+$B$7,$A$12)+1</x:f>
        <x:v>69</x:v>
      </x:c>
      <x:c r="C739" s="22" t="n">
        <x:f>MOD($B$6*(A739-1)+$B$7,$A$13)+1</x:f>
        <x:v>69</x:v>
      </x:c>
      <x:c r="D739" s="22" t="n">
        <x:f>MOD($B$6*(A739-1)+$B$7,$A$14)+1</x:f>
        <x:v>69</x:v>
      </x:c>
      <x:c r="E739" s="22" t="n">
        <x:f>MOD($B$6*(A739-1)+$B$7,$A$15)+1</x:f>
        <x:v>69</x:v>
      </x:c>
      <x:c r="F739" s="18"/>
      <x:c r="G739" s="18"/>
      <x:c r="H739" s="18" t="str">
        <x:v>pairing identity only</x:v>
      </x:c>
    </x:row>
    <x:row r="740" ht="22" customHeight="1">
      <x:c r="A740" s="22" t="n">
        <x:v>715</x:v>
      </x:c>
      <x:c r="B740" s="22" t="n">
        <x:f>MOD($B$6*(A740-1)+$B$7,$A$12)+1</x:f>
        <x:v>17</x:v>
      </x:c>
      <x:c r="C740" s="22" t="n">
        <x:f>MOD($B$6*(A740-1)+$B$7,$A$13)+1</x:f>
        <x:v>142</x:v>
      </x:c>
      <x:c r="D740" s="22" t="n">
        <x:f>MOD($B$6*(A740-1)+$B$7,$A$14)+1</x:f>
        <x:v>142</x:v>
      </x:c>
      <x:c r="E740" s="22" t="n">
        <x:f>MOD($B$6*(A740-1)+$B$7,$A$15)+1</x:f>
        <x:v>142</x:v>
      </x:c>
      <x:c r="F740" s="18"/>
      <x:c r="G740" s="18"/>
      <x:c r="H740" s="18" t="str">
        <x:v>pairing identity only</x:v>
      </x:c>
    </x:row>
    <x:row r="741" ht="22" customHeight="1">
      <x:c r="A741" s="22" t="n">
        <x:v>716</x:v>
      </x:c>
      <x:c r="B741" s="22" t="n">
        <x:f>MOD($B$6*(A741-1)+$B$7,$A$12)+1</x:f>
        <x:v>90</x:v>
      </x:c>
      <x:c r="C741" s="22" t="n">
        <x:f>MOD($B$6*(A741-1)+$B$7,$A$13)+1</x:f>
        <x:v>215</x:v>
      </x:c>
      <x:c r="D741" s="22" t="n">
        <x:f>MOD($B$6*(A741-1)+$B$7,$A$14)+1</x:f>
        <x:v>215</x:v>
      </x:c>
      <x:c r="E741" s="22" t="n">
        <x:f>MOD($B$6*(A741-1)+$B$7,$A$15)+1</x:f>
        <x:v>215</x:v>
      </x:c>
      <x:c r="F741" s="18"/>
      <x:c r="G741" s="18"/>
      <x:c r="H741" s="18" t="str">
        <x:v>pairing identity only</x:v>
      </x:c>
    </x:row>
    <x:row r="742" ht="22" customHeight="1">
      <x:c r="A742" s="22" t="n">
        <x:v>717</x:v>
      </x:c>
      <x:c r="B742" s="22" t="n">
        <x:f>MOD($B$6*(A742-1)+$B$7,$A$12)+1</x:f>
        <x:v>38</x:v>
      </x:c>
      <x:c r="C742" s="22" t="n">
        <x:f>MOD($B$6*(A742-1)+$B$7,$A$13)+1</x:f>
        <x:v>38</x:v>
      </x:c>
      <x:c r="D742" s="22" t="n">
        <x:f>MOD($B$6*(A742-1)+$B$7,$A$14)+1</x:f>
        <x:v>288</x:v>
      </x:c>
      <x:c r="E742" s="22" t="n">
        <x:f>MOD($B$6*(A742-1)+$B$7,$A$15)+1</x:f>
        <x:v>288</x:v>
      </x:c>
      <x:c r="F742" s="18"/>
      <x:c r="G742" s="18"/>
      <x:c r="H742" s="18" t="str">
        <x:v>pairing identity only</x:v>
      </x:c>
    </x:row>
    <x:row r="743" ht="22" customHeight="1">
      <x:c r="A743" s="22" t="n">
        <x:v>718</x:v>
      </x:c>
      <x:c r="B743" s="22" t="n">
        <x:f>MOD($B$6*(A743-1)+$B$7,$A$12)+1</x:f>
        <x:v>111</x:v>
      </x:c>
      <x:c r="C743" s="22" t="n">
        <x:f>MOD($B$6*(A743-1)+$B$7,$A$13)+1</x:f>
        <x:v>111</x:v>
      </x:c>
      <x:c r="D743" s="22" t="n">
        <x:f>MOD($B$6*(A743-1)+$B$7,$A$14)+1</x:f>
        <x:v>361</x:v>
      </x:c>
      <x:c r="E743" s="22" t="n">
        <x:f>MOD($B$6*(A743-1)+$B$7,$A$15)+1</x:f>
        <x:v>361</x:v>
      </x:c>
      <x:c r="F743" s="18"/>
      <x:c r="G743" s="18"/>
      <x:c r="H743" s="18" t="str">
        <x:v>pairing identity only</x:v>
      </x:c>
    </x:row>
    <x:row r="744" ht="22" customHeight="1">
      <x:c r="A744" s="22" t="n">
        <x:v>719</x:v>
      </x:c>
      <x:c r="B744" s="22" t="n">
        <x:f>MOD($B$6*(A744-1)+$B$7,$A$12)+1</x:f>
        <x:v>59</x:v>
      </x:c>
      <x:c r="C744" s="22" t="n">
        <x:f>MOD($B$6*(A744-1)+$B$7,$A$13)+1</x:f>
        <x:v>184</x:v>
      </x:c>
      <x:c r="D744" s="22" t="n">
        <x:f>MOD($B$6*(A744-1)+$B$7,$A$14)+1</x:f>
        <x:v>434</x:v>
      </x:c>
      <x:c r="E744" s="22" t="n">
        <x:f>MOD($B$6*(A744-1)+$B$7,$A$15)+1</x:f>
        <x:v>434</x:v>
      </x:c>
      <x:c r="F744" s="18"/>
      <x:c r="G744" s="18"/>
      <x:c r="H744" s="18" t="str">
        <x:v>pairing identity only</x:v>
      </x:c>
    </x:row>
    <x:row r="745" ht="22" customHeight="1">
      <x:c r="A745" s="22" t="n">
        <x:v>720</x:v>
      </x:c>
      <x:c r="B745" s="22" t="n">
        <x:f>MOD($B$6*(A745-1)+$B$7,$A$12)+1</x:f>
        <x:v>7</x:v>
      </x:c>
      <x:c r="C745" s="22" t="n">
        <x:f>MOD($B$6*(A745-1)+$B$7,$A$13)+1</x:f>
        <x:v>7</x:v>
      </x:c>
      <x:c r="D745" s="22" t="n">
        <x:f>MOD($B$6*(A745-1)+$B$7,$A$14)+1</x:f>
        <x:v>7</x:v>
      </x:c>
      <x:c r="E745" s="22" t="n">
        <x:f>MOD($B$6*(A745-1)+$B$7,$A$15)+1</x:f>
        <x:v>507</x:v>
      </x:c>
      <x:c r="F745" s="18"/>
      <x:c r="G745" s="18"/>
      <x:c r="H745" s="18" t="str">
        <x:v>pairing identity only</x:v>
      </x:c>
    </x:row>
    <x:row r="746" ht="22" customHeight="1">
      <x:c r="A746" s="22" t="n">
        <x:v>721</x:v>
      </x:c>
      <x:c r="B746" s="22" t="n">
        <x:f>MOD($B$6*(A746-1)+$B$7,$A$12)+1</x:f>
        <x:v>80</x:v>
      </x:c>
      <x:c r="C746" s="22" t="n">
        <x:f>MOD($B$6*(A746-1)+$B$7,$A$13)+1</x:f>
        <x:v>80</x:v>
      </x:c>
      <x:c r="D746" s="22" t="n">
        <x:f>MOD($B$6*(A746-1)+$B$7,$A$14)+1</x:f>
        <x:v>80</x:v>
      </x:c>
      <x:c r="E746" s="22" t="n">
        <x:f>MOD($B$6*(A746-1)+$B$7,$A$15)+1</x:f>
        <x:v>580</x:v>
      </x:c>
      <x:c r="F746" s="18"/>
      <x:c r="G746" s="18"/>
      <x:c r="H746" s="18" t="str">
        <x:v>pairing identity only</x:v>
      </x:c>
    </x:row>
    <x:row r="747" ht="22" customHeight="1">
      <x:c r="A747" s="22" t="n">
        <x:v>722</x:v>
      </x:c>
      <x:c r="B747" s="22" t="n">
        <x:f>MOD($B$6*(A747-1)+$B$7,$A$12)+1</x:f>
        <x:v>28</x:v>
      </x:c>
      <x:c r="C747" s="22" t="n">
        <x:f>MOD($B$6*(A747-1)+$B$7,$A$13)+1</x:f>
        <x:v>153</x:v>
      </x:c>
      <x:c r="D747" s="22" t="n">
        <x:f>MOD($B$6*(A747-1)+$B$7,$A$14)+1</x:f>
        <x:v>153</x:v>
      </x:c>
      <x:c r="E747" s="22" t="n">
        <x:f>MOD($B$6*(A747-1)+$B$7,$A$15)+1</x:f>
        <x:v>653</x:v>
      </x:c>
      <x:c r="F747" s="18"/>
      <x:c r="G747" s="18"/>
      <x:c r="H747" s="18" t="str">
        <x:v>pairing identity only</x:v>
      </x:c>
    </x:row>
    <x:row r="748" ht="22" customHeight="1">
      <x:c r="A748" s="22" t="n">
        <x:v>723</x:v>
      </x:c>
      <x:c r="B748" s="22" t="n">
        <x:f>MOD($B$6*(A748-1)+$B$7,$A$12)+1</x:f>
        <x:v>101</x:v>
      </x:c>
      <x:c r="C748" s="22" t="n">
        <x:f>MOD($B$6*(A748-1)+$B$7,$A$13)+1</x:f>
        <x:v>226</x:v>
      </x:c>
      <x:c r="D748" s="22" t="n">
        <x:f>MOD($B$6*(A748-1)+$B$7,$A$14)+1</x:f>
        <x:v>226</x:v>
      </x:c>
      <x:c r="E748" s="22" t="n">
        <x:f>MOD($B$6*(A748-1)+$B$7,$A$15)+1</x:f>
        <x:v>726</x:v>
      </x:c>
      <x:c r="F748" s="18"/>
      <x:c r="G748" s="18"/>
      <x:c r="H748" s="18" t="str">
        <x:v>pairing identity only</x:v>
      </x:c>
    </x:row>
    <x:row r="749" ht="22" customHeight="1">
      <x:c r="A749" s="22" t="n">
        <x:v>724</x:v>
      </x:c>
      <x:c r="B749" s="22" t="n">
        <x:f>MOD($B$6*(A749-1)+$B$7,$A$12)+1</x:f>
        <x:v>49</x:v>
      </x:c>
      <x:c r="C749" s="22" t="n">
        <x:f>MOD($B$6*(A749-1)+$B$7,$A$13)+1</x:f>
        <x:v>49</x:v>
      </x:c>
      <x:c r="D749" s="22" t="n">
        <x:f>MOD($B$6*(A749-1)+$B$7,$A$14)+1</x:f>
        <x:v>299</x:v>
      </x:c>
      <x:c r="E749" s="22" t="n">
        <x:f>MOD($B$6*(A749-1)+$B$7,$A$15)+1</x:f>
        <x:v>799</x:v>
      </x:c>
      <x:c r="F749" s="18"/>
      <x:c r="G749" s="18"/>
      <x:c r="H749" s="18" t="str">
        <x:v>pairing identity only</x:v>
      </x:c>
    </x:row>
    <x:row r="750" ht="22" customHeight="1">
      <x:c r="A750" s="22" t="n">
        <x:v>725</x:v>
      </x:c>
      <x:c r="B750" s="22" t="n">
        <x:f>MOD($B$6*(A750-1)+$B$7,$A$12)+1</x:f>
        <x:v>122</x:v>
      </x:c>
      <x:c r="C750" s="22" t="n">
        <x:f>MOD($B$6*(A750-1)+$B$7,$A$13)+1</x:f>
        <x:v>122</x:v>
      </x:c>
      <x:c r="D750" s="22" t="n">
        <x:f>MOD($B$6*(A750-1)+$B$7,$A$14)+1</x:f>
        <x:v>372</x:v>
      </x:c>
      <x:c r="E750" s="22" t="n">
        <x:f>MOD($B$6*(A750-1)+$B$7,$A$15)+1</x:f>
        <x:v>872</x:v>
      </x:c>
      <x:c r="F750" s="18"/>
      <x:c r="G750" s="18"/>
      <x:c r="H750" s="18" t="str">
        <x:v>pairing identity only</x:v>
      </x:c>
    </x:row>
    <x:row r="751" ht="22" customHeight="1">
      <x:c r="A751" s="22" t="n">
        <x:v>726</x:v>
      </x:c>
      <x:c r="B751" s="22" t="n">
        <x:f>MOD($B$6*(A751-1)+$B$7,$A$12)+1</x:f>
        <x:v>70</x:v>
      </x:c>
      <x:c r="C751" s="22" t="n">
        <x:f>MOD($B$6*(A751-1)+$B$7,$A$13)+1</x:f>
        <x:v>195</x:v>
      </x:c>
      <x:c r="D751" s="22" t="n">
        <x:f>MOD($B$6*(A751-1)+$B$7,$A$14)+1</x:f>
        <x:v>445</x:v>
      </x:c>
      <x:c r="E751" s="22" t="n">
        <x:f>MOD($B$6*(A751-1)+$B$7,$A$15)+1</x:f>
        <x:v>945</x:v>
      </x:c>
      <x:c r="F751" s="18"/>
      <x:c r="G751" s="18"/>
      <x:c r="H751" s="18" t="str">
        <x:v>pairing identity only</x:v>
      </x:c>
    </x:row>
    <x:row r="752" ht="22" customHeight="1">
      <x:c r="A752" s="22" t="n">
        <x:v>727</x:v>
      </x:c>
      <x:c r="B752" s="22" t="n">
        <x:f>MOD($B$6*(A752-1)+$B$7,$A$12)+1</x:f>
        <x:v>18</x:v>
      </x:c>
      <x:c r="C752" s="22" t="n">
        <x:f>MOD($B$6*(A752-1)+$B$7,$A$13)+1</x:f>
        <x:v>18</x:v>
      </x:c>
      <x:c r="D752" s="22" t="n">
        <x:f>MOD($B$6*(A752-1)+$B$7,$A$14)+1</x:f>
        <x:v>18</x:v>
      </x:c>
      <x:c r="E752" s="22" t="n">
        <x:f>MOD($B$6*(A752-1)+$B$7,$A$15)+1</x:f>
        <x:v>18</x:v>
      </x:c>
      <x:c r="F752" s="18"/>
      <x:c r="G752" s="18"/>
      <x:c r="H752" s="18" t="str">
        <x:v>pairing identity only</x:v>
      </x:c>
    </x:row>
    <x:row r="753" ht="22" customHeight="1">
      <x:c r="A753" s="22" t="n">
        <x:v>728</x:v>
      </x:c>
      <x:c r="B753" s="22" t="n">
        <x:f>MOD($B$6*(A753-1)+$B$7,$A$12)+1</x:f>
        <x:v>91</x:v>
      </x:c>
      <x:c r="C753" s="22" t="n">
        <x:f>MOD($B$6*(A753-1)+$B$7,$A$13)+1</x:f>
        <x:v>91</x:v>
      </x:c>
      <x:c r="D753" s="22" t="n">
        <x:f>MOD($B$6*(A753-1)+$B$7,$A$14)+1</x:f>
        <x:v>91</x:v>
      </x:c>
      <x:c r="E753" s="22" t="n">
        <x:f>MOD($B$6*(A753-1)+$B$7,$A$15)+1</x:f>
        <x:v>91</x:v>
      </x:c>
      <x:c r="F753" s="18"/>
      <x:c r="G753" s="18"/>
      <x:c r="H753" s="18" t="str">
        <x:v>pairing identity only</x:v>
      </x:c>
    </x:row>
    <x:row r="754" ht="22" customHeight="1">
      <x:c r="A754" s="22" t="n">
        <x:v>729</x:v>
      </x:c>
      <x:c r="B754" s="22" t="n">
        <x:f>MOD($B$6*(A754-1)+$B$7,$A$12)+1</x:f>
        <x:v>39</x:v>
      </x:c>
      <x:c r="C754" s="22" t="n">
        <x:f>MOD($B$6*(A754-1)+$B$7,$A$13)+1</x:f>
        <x:v>164</x:v>
      </x:c>
      <x:c r="D754" s="22" t="n">
        <x:f>MOD($B$6*(A754-1)+$B$7,$A$14)+1</x:f>
        <x:v>164</x:v>
      </x:c>
      <x:c r="E754" s="22" t="n">
        <x:f>MOD($B$6*(A754-1)+$B$7,$A$15)+1</x:f>
        <x:v>164</x:v>
      </x:c>
      <x:c r="F754" s="18"/>
      <x:c r="G754" s="18"/>
      <x:c r="H754" s="18" t="str">
        <x:v>pairing identity only</x:v>
      </x:c>
    </x:row>
    <x:row r="755" ht="22" customHeight="1">
      <x:c r="A755" s="22" t="n">
        <x:v>730</x:v>
      </x:c>
      <x:c r="B755" s="22" t="n">
        <x:f>MOD($B$6*(A755-1)+$B$7,$A$12)+1</x:f>
        <x:v>112</x:v>
      </x:c>
      <x:c r="C755" s="22" t="n">
        <x:f>MOD($B$6*(A755-1)+$B$7,$A$13)+1</x:f>
        <x:v>237</x:v>
      </x:c>
      <x:c r="D755" s="22" t="n">
        <x:f>MOD($B$6*(A755-1)+$B$7,$A$14)+1</x:f>
        <x:v>237</x:v>
      </x:c>
      <x:c r="E755" s="22" t="n">
        <x:f>MOD($B$6*(A755-1)+$B$7,$A$15)+1</x:f>
        <x:v>237</x:v>
      </x:c>
      <x:c r="F755" s="18"/>
      <x:c r="G755" s="18"/>
      <x:c r="H755" s="18" t="str">
        <x:v>pairing identity only</x:v>
      </x:c>
    </x:row>
    <x:row r="756" ht="22" customHeight="1">
      <x:c r="A756" s="22" t="n">
        <x:v>731</x:v>
      </x:c>
      <x:c r="B756" s="22" t="n">
        <x:f>MOD($B$6*(A756-1)+$B$7,$A$12)+1</x:f>
        <x:v>60</x:v>
      </x:c>
      <x:c r="C756" s="22" t="n">
        <x:f>MOD($B$6*(A756-1)+$B$7,$A$13)+1</x:f>
        <x:v>60</x:v>
      </x:c>
      <x:c r="D756" s="22" t="n">
        <x:f>MOD($B$6*(A756-1)+$B$7,$A$14)+1</x:f>
        <x:v>310</x:v>
      </x:c>
      <x:c r="E756" s="22" t="n">
        <x:f>MOD($B$6*(A756-1)+$B$7,$A$15)+1</x:f>
        <x:v>310</x:v>
      </x:c>
      <x:c r="F756" s="18"/>
      <x:c r="G756" s="18"/>
      <x:c r="H756" s="18" t="str">
        <x:v>pairing identity only</x:v>
      </x:c>
    </x:row>
    <x:row r="757" ht="22" customHeight="1">
      <x:c r="A757" s="22" t="n">
        <x:v>732</x:v>
      </x:c>
      <x:c r="B757" s="22" t="n">
        <x:f>MOD($B$6*(A757-1)+$B$7,$A$12)+1</x:f>
        <x:v>8</x:v>
      </x:c>
      <x:c r="C757" s="22" t="n">
        <x:f>MOD($B$6*(A757-1)+$B$7,$A$13)+1</x:f>
        <x:v>133</x:v>
      </x:c>
      <x:c r="D757" s="22" t="n">
        <x:f>MOD($B$6*(A757-1)+$B$7,$A$14)+1</x:f>
        <x:v>383</x:v>
      </x:c>
      <x:c r="E757" s="22" t="n">
        <x:f>MOD($B$6*(A757-1)+$B$7,$A$15)+1</x:f>
        <x:v>383</x:v>
      </x:c>
      <x:c r="F757" s="18"/>
      <x:c r="G757" s="18"/>
      <x:c r="H757" s="18" t="str">
        <x:v>pairing identity only</x:v>
      </x:c>
    </x:row>
    <x:row r="758" ht="22" customHeight="1">
      <x:c r="A758" s="22" t="n">
        <x:v>733</x:v>
      </x:c>
      <x:c r="B758" s="22" t="n">
        <x:f>MOD($B$6*(A758-1)+$B$7,$A$12)+1</x:f>
        <x:v>81</x:v>
      </x:c>
      <x:c r="C758" s="22" t="n">
        <x:f>MOD($B$6*(A758-1)+$B$7,$A$13)+1</x:f>
        <x:v>206</x:v>
      </x:c>
      <x:c r="D758" s="22" t="n">
        <x:f>MOD($B$6*(A758-1)+$B$7,$A$14)+1</x:f>
        <x:v>456</x:v>
      </x:c>
      <x:c r="E758" s="22" t="n">
        <x:f>MOD($B$6*(A758-1)+$B$7,$A$15)+1</x:f>
        <x:v>456</x:v>
      </x:c>
      <x:c r="F758" s="18"/>
      <x:c r="G758" s="18"/>
      <x:c r="H758" s="18" t="str">
        <x:v>pairing identity only</x:v>
      </x:c>
    </x:row>
    <x:row r="759" ht="22" customHeight="1">
      <x:c r="A759" s="22" t="n">
        <x:v>734</x:v>
      </x:c>
      <x:c r="B759" s="22" t="n">
        <x:f>MOD($B$6*(A759-1)+$B$7,$A$12)+1</x:f>
        <x:v>29</x:v>
      </x:c>
      <x:c r="C759" s="22" t="n">
        <x:f>MOD($B$6*(A759-1)+$B$7,$A$13)+1</x:f>
        <x:v>29</x:v>
      </x:c>
      <x:c r="D759" s="22" t="n">
        <x:f>MOD($B$6*(A759-1)+$B$7,$A$14)+1</x:f>
        <x:v>29</x:v>
      </x:c>
      <x:c r="E759" s="22" t="n">
        <x:f>MOD($B$6*(A759-1)+$B$7,$A$15)+1</x:f>
        <x:v>529</x:v>
      </x:c>
      <x:c r="F759" s="18"/>
      <x:c r="G759" s="18"/>
      <x:c r="H759" s="18" t="str">
        <x:v>pairing identity only</x:v>
      </x:c>
    </x:row>
    <x:row r="760" ht="22" customHeight="1">
      <x:c r="A760" s="22" t="n">
        <x:v>735</x:v>
      </x:c>
      <x:c r="B760" s="22" t="n">
        <x:f>MOD($B$6*(A760-1)+$B$7,$A$12)+1</x:f>
        <x:v>102</x:v>
      </x:c>
      <x:c r="C760" s="22" t="n">
        <x:f>MOD($B$6*(A760-1)+$B$7,$A$13)+1</x:f>
        <x:v>102</x:v>
      </x:c>
      <x:c r="D760" s="22" t="n">
        <x:f>MOD($B$6*(A760-1)+$B$7,$A$14)+1</x:f>
        <x:v>102</x:v>
      </x:c>
      <x:c r="E760" s="22" t="n">
        <x:f>MOD($B$6*(A760-1)+$B$7,$A$15)+1</x:f>
        <x:v>602</x:v>
      </x:c>
      <x:c r="F760" s="18"/>
      <x:c r="G760" s="18"/>
      <x:c r="H760" s="18" t="str">
        <x:v>pairing identity only</x:v>
      </x:c>
    </x:row>
    <x:row r="761" ht="22" customHeight="1">
      <x:c r="A761" s="22" t="n">
        <x:v>736</x:v>
      </x:c>
      <x:c r="B761" s="22" t="n">
        <x:f>MOD($B$6*(A761-1)+$B$7,$A$12)+1</x:f>
        <x:v>50</x:v>
      </x:c>
      <x:c r="C761" s="22" t="n">
        <x:f>MOD($B$6*(A761-1)+$B$7,$A$13)+1</x:f>
        <x:v>175</x:v>
      </x:c>
      <x:c r="D761" s="22" t="n">
        <x:f>MOD($B$6*(A761-1)+$B$7,$A$14)+1</x:f>
        <x:v>175</x:v>
      </x:c>
      <x:c r="E761" s="22" t="n">
        <x:f>MOD($B$6*(A761-1)+$B$7,$A$15)+1</x:f>
        <x:v>675</x:v>
      </x:c>
      <x:c r="F761" s="18"/>
      <x:c r="G761" s="18"/>
      <x:c r="H761" s="18" t="str">
        <x:v>pairing identity only</x:v>
      </x:c>
    </x:row>
    <x:row r="762" ht="22" customHeight="1">
      <x:c r="A762" s="22" t="n">
        <x:v>737</x:v>
      </x:c>
      <x:c r="B762" s="22" t="n">
        <x:f>MOD($B$6*(A762-1)+$B$7,$A$12)+1</x:f>
        <x:v>123</x:v>
      </x:c>
      <x:c r="C762" s="22" t="n">
        <x:f>MOD($B$6*(A762-1)+$B$7,$A$13)+1</x:f>
        <x:v>248</x:v>
      </x:c>
      <x:c r="D762" s="22" t="n">
        <x:f>MOD($B$6*(A762-1)+$B$7,$A$14)+1</x:f>
        <x:v>248</x:v>
      </x:c>
      <x:c r="E762" s="22" t="n">
        <x:f>MOD($B$6*(A762-1)+$B$7,$A$15)+1</x:f>
        <x:v>748</x:v>
      </x:c>
      <x:c r="F762" s="18"/>
      <x:c r="G762" s="18"/>
      <x:c r="H762" s="18" t="str">
        <x:v>pairing identity only</x:v>
      </x:c>
    </x:row>
    <x:row r="763" ht="22" customHeight="1">
      <x:c r="A763" s="22" t="n">
        <x:v>738</x:v>
      </x:c>
      <x:c r="B763" s="22" t="n">
        <x:f>MOD($B$6*(A763-1)+$B$7,$A$12)+1</x:f>
        <x:v>71</x:v>
      </x:c>
      <x:c r="C763" s="22" t="n">
        <x:f>MOD($B$6*(A763-1)+$B$7,$A$13)+1</x:f>
        <x:v>71</x:v>
      </x:c>
      <x:c r="D763" s="22" t="n">
        <x:f>MOD($B$6*(A763-1)+$B$7,$A$14)+1</x:f>
        <x:v>321</x:v>
      </x:c>
      <x:c r="E763" s="22" t="n">
        <x:f>MOD($B$6*(A763-1)+$B$7,$A$15)+1</x:f>
        <x:v>821</x:v>
      </x:c>
      <x:c r="F763" s="18"/>
      <x:c r="G763" s="18"/>
      <x:c r="H763" s="18" t="str">
        <x:v>pairing identity only</x:v>
      </x:c>
    </x:row>
    <x:row r="764" ht="22" customHeight="1">
      <x:c r="A764" s="22" t="n">
        <x:v>739</x:v>
      </x:c>
      <x:c r="B764" s="22" t="n">
        <x:f>MOD($B$6*(A764-1)+$B$7,$A$12)+1</x:f>
        <x:v>19</x:v>
      </x:c>
      <x:c r="C764" s="22" t="n">
        <x:f>MOD($B$6*(A764-1)+$B$7,$A$13)+1</x:f>
        <x:v>144</x:v>
      </x:c>
      <x:c r="D764" s="22" t="n">
        <x:f>MOD($B$6*(A764-1)+$B$7,$A$14)+1</x:f>
        <x:v>394</x:v>
      </x:c>
      <x:c r="E764" s="22" t="n">
        <x:f>MOD($B$6*(A764-1)+$B$7,$A$15)+1</x:f>
        <x:v>894</x:v>
      </x:c>
      <x:c r="F764" s="18"/>
      <x:c r="G764" s="18"/>
      <x:c r="H764" s="18" t="str">
        <x:v>pairing identity only</x:v>
      </x:c>
    </x:row>
    <x:row r="765" ht="22" customHeight="1">
      <x:c r="A765" s="22" t="n">
        <x:v>740</x:v>
      </x:c>
      <x:c r="B765" s="22" t="n">
        <x:f>MOD($B$6*(A765-1)+$B$7,$A$12)+1</x:f>
        <x:v>92</x:v>
      </x:c>
      <x:c r="C765" s="22" t="n">
        <x:f>MOD($B$6*(A765-1)+$B$7,$A$13)+1</x:f>
        <x:v>217</x:v>
      </x:c>
      <x:c r="D765" s="22" t="n">
        <x:f>MOD($B$6*(A765-1)+$B$7,$A$14)+1</x:f>
        <x:v>467</x:v>
      </x:c>
      <x:c r="E765" s="22" t="n">
        <x:f>MOD($B$6*(A765-1)+$B$7,$A$15)+1</x:f>
        <x:v>967</x:v>
      </x:c>
      <x:c r="F765" s="18"/>
      <x:c r="G765" s="18"/>
      <x:c r="H765" s="18" t="str">
        <x:v>pairing identity only</x:v>
      </x:c>
    </x:row>
    <x:row r="766" ht="22" customHeight="1">
      <x:c r="A766" s="22" t="n">
        <x:v>741</x:v>
      </x:c>
      <x:c r="B766" s="22" t="n">
        <x:f>MOD($B$6*(A766-1)+$B$7,$A$12)+1</x:f>
        <x:v>40</x:v>
      </x:c>
      <x:c r="C766" s="22" t="n">
        <x:f>MOD($B$6*(A766-1)+$B$7,$A$13)+1</x:f>
        <x:v>40</x:v>
      </x:c>
      <x:c r="D766" s="22" t="n">
        <x:f>MOD($B$6*(A766-1)+$B$7,$A$14)+1</x:f>
        <x:v>40</x:v>
      </x:c>
      <x:c r="E766" s="22" t="n">
        <x:f>MOD($B$6*(A766-1)+$B$7,$A$15)+1</x:f>
        <x:v>40</x:v>
      </x:c>
      <x:c r="F766" s="18"/>
      <x:c r="G766" s="18"/>
      <x:c r="H766" s="18" t="str">
        <x:v>pairing identity only</x:v>
      </x:c>
    </x:row>
    <x:row r="767" ht="22" customHeight="1">
      <x:c r="A767" s="22" t="n">
        <x:v>742</x:v>
      </x:c>
      <x:c r="B767" s="22" t="n">
        <x:f>MOD($B$6*(A767-1)+$B$7,$A$12)+1</x:f>
        <x:v>113</x:v>
      </x:c>
      <x:c r="C767" s="22" t="n">
        <x:f>MOD($B$6*(A767-1)+$B$7,$A$13)+1</x:f>
        <x:v>113</x:v>
      </x:c>
      <x:c r="D767" s="22" t="n">
        <x:f>MOD($B$6*(A767-1)+$B$7,$A$14)+1</x:f>
        <x:v>113</x:v>
      </x:c>
      <x:c r="E767" s="22" t="n">
        <x:f>MOD($B$6*(A767-1)+$B$7,$A$15)+1</x:f>
        <x:v>113</x:v>
      </x:c>
      <x:c r="F767" s="18"/>
      <x:c r="G767" s="18"/>
      <x:c r="H767" s="18" t="str">
        <x:v>pairing identity only</x:v>
      </x:c>
    </x:row>
    <x:row r="768" ht="22" customHeight="1">
      <x:c r="A768" s="22" t="n">
        <x:v>743</x:v>
      </x:c>
      <x:c r="B768" s="22" t="n">
        <x:f>MOD($B$6*(A768-1)+$B$7,$A$12)+1</x:f>
        <x:v>61</x:v>
      </x:c>
      <x:c r="C768" s="22" t="n">
        <x:f>MOD($B$6*(A768-1)+$B$7,$A$13)+1</x:f>
        <x:v>186</x:v>
      </x:c>
      <x:c r="D768" s="22" t="n">
        <x:f>MOD($B$6*(A768-1)+$B$7,$A$14)+1</x:f>
        <x:v>186</x:v>
      </x:c>
      <x:c r="E768" s="22" t="n">
        <x:f>MOD($B$6*(A768-1)+$B$7,$A$15)+1</x:f>
        <x:v>186</x:v>
      </x:c>
      <x:c r="F768" s="18"/>
      <x:c r="G768" s="18"/>
      <x:c r="H768" s="18" t="str">
        <x:v>pairing identity only</x:v>
      </x:c>
    </x:row>
    <x:row r="769" ht="22" customHeight="1">
      <x:c r="A769" s="22" t="n">
        <x:v>744</x:v>
      </x:c>
      <x:c r="B769" s="22" t="n">
        <x:f>MOD($B$6*(A769-1)+$B$7,$A$12)+1</x:f>
        <x:v>9</x:v>
      </x:c>
      <x:c r="C769" s="22" t="n">
        <x:f>MOD($B$6*(A769-1)+$B$7,$A$13)+1</x:f>
        <x:v>9</x:v>
      </x:c>
      <x:c r="D769" s="22" t="n">
        <x:f>MOD($B$6*(A769-1)+$B$7,$A$14)+1</x:f>
        <x:v>259</x:v>
      </x:c>
      <x:c r="E769" s="22" t="n">
        <x:f>MOD($B$6*(A769-1)+$B$7,$A$15)+1</x:f>
        <x:v>259</x:v>
      </x:c>
      <x:c r="F769" s="18"/>
      <x:c r="G769" s="18"/>
      <x:c r="H769" s="18" t="str">
        <x:v>pairing identity only</x:v>
      </x:c>
    </x:row>
    <x:row r="770" ht="22" customHeight="1">
      <x:c r="A770" s="22" t="n">
        <x:v>745</x:v>
      </x:c>
      <x:c r="B770" s="22" t="n">
        <x:f>MOD($B$6*(A770-1)+$B$7,$A$12)+1</x:f>
        <x:v>82</x:v>
      </x:c>
      <x:c r="C770" s="22" t="n">
        <x:f>MOD($B$6*(A770-1)+$B$7,$A$13)+1</x:f>
        <x:v>82</x:v>
      </x:c>
      <x:c r="D770" s="22" t="n">
        <x:f>MOD($B$6*(A770-1)+$B$7,$A$14)+1</x:f>
        <x:v>332</x:v>
      </x:c>
      <x:c r="E770" s="22" t="n">
        <x:f>MOD($B$6*(A770-1)+$B$7,$A$15)+1</x:f>
        <x:v>332</x:v>
      </x:c>
      <x:c r="F770" s="18"/>
      <x:c r="G770" s="18"/>
      <x:c r="H770" s="18" t="str">
        <x:v>pairing identity only</x:v>
      </x:c>
    </x:row>
    <x:row r="771" ht="22" customHeight="1">
      <x:c r="A771" s="22" t="n">
        <x:v>746</x:v>
      </x:c>
      <x:c r="B771" s="22" t="n">
        <x:f>MOD($B$6*(A771-1)+$B$7,$A$12)+1</x:f>
        <x:v>30</x:v>
      </x:c>
      <x:c r="C771" s="22" t="n">
        <x:f>MOD($B$6*(A771-1)+$B$7,$A$13)+1</x:f>
        <x:v>155</x:v>
      </x:c>
      <x:c r="D771" s="22" t="n">
        <x:f>MOD($B$6*(A771-1)+$B$7,$A$14)+1</x:f>
        <x:v>405</x:v>
      </x:c>
      <x:c r="E771" s="22" t="n">
        <x:f>MOD($B$6*(A771-1)+$B$7,$A$15)+1</x:f>
        <x:v>405</x:v>
      </x:c>
      <x:c r="F771" s="18"/>
      <x:c r="G771" s="18"/>
      <x:c r="H771" s="18" t="str">
        <x:v>pairing identity only</x:v>
      </x:c>
    </x:row>
    <x:row r="772" ht="22" customHeight="1">
      <x:c r="A772" s="22" t="n">
        <x:v>747</x:v>
      </x:c>
      <x:c r="B772" s="22" t="n">
        <x:f>MOD($B$6*(A772-1)+$B$7,$A$12)+1</x:f>
        <x:v>103</x:v>
      </x:c>
      <x:c r="C772" s="22" t="n">
        <x:f>MOD($B$6*(A772-1)+$B$7,$A$13)+1</x:f>
        <x:v>228</x:v>
      </x:c>
      <x:c r="D772" s="22" t="n">
        <x:f>MOD($B$6*(A772-1)+$B$7,$A$14)+1</x:f>
        <x:v>478</x:v>
      </x:c>
      <x:c r="E772" s="22" t="n">
        <x:f>MOD($B$6*(A772-1)+$B$7,$A$15)+1</x:f>
        <x:v>478</x:v>
      </x:c>
      <x:c r="F772" s="18"/>
      <x:c r="G772" s="18"/>
      <x:c r="H772" s="18" t="str">
        <x:v>pairing identity only</x:v>
      </x:c>
    </x:row>
    <x:row r="773" ht="22" customHeight="1">
      <x:c r="A773" s="22" t="n">
        <x:v>748</x:v>
      </x:c>
      <x:c r="B773" s="22" t="n">
        <x:f>MOD($B$6*(A773-1)+$B$7,$A$12)+1</x:f>
        <x:v>51</x:v>
      </x:c>
      <x:c r="C773" s="22" t="n">
        <x:f>MOD($B$6*(A773-1)+$B$7,$A$13)+1</x:f>
        <x:v>51</x:v>
      </x:c>
      <x:c r="D773" s="22" t="n">
        <x:f>MOD($B$6*(A773-1)+$B$7,$A$14)+1</x:f>
        <x:v>51</x:v>
      </x:c>
      <x:c r="E773" s="22" t="n">
        <x:f>MOD($B$6*(A773-1)+$B$7,$A$15)+1</x:f>
        <x:v>551</x:v>
      </x:c>
      <x:c r="F773" s="18"/>
      <x:c r="G773" s="18"/>
      <x:c r="H773" s="18" t="str">
        <x:v>pairing identity only</x:v>
      </x:c>
    </x:row>
    <x:row r="774" ht="22" customHeight="1">
      <x:c r="A774" s="22" t="n">
        <x:v>749</x:v>
      </x:c>
      <x:c r="B774" s="22" t="n">
        <x:f>MOD($B$6*(A774-1)+$B$7,$A$12)+1</x:f>
        <x:v>124</x:v>
      </x:c>
      <x:c r="C774" s="22" t="n">
        <x:f>MOD($B$6*(A774-1)+$B$7,$A$13)+1</x:f>
        <x:v>124</x:v>
      </x:c>
      <x:c r="D774" s="22" t="n">
        <x:f>MOD($B$6*(A774-1)+$B$7,$A$14)+1</x:f>
        <x:v>124</x:v>
      </x:c>
      <x:c r="E774" s="22" t="n">
        <x:f>MOD($B$6*(A774-1)+$B$7,$A$15)+1</x:f>
        <x:v>624</x:v>
      </x:c>
      <x:c r="F774" s="18"/>
      <x:c r="G774" s="18"/>
      <x:c r="H774" s="18" t="str">
        <x:v>pairing identity only</x:v>
      </x:c>
    </x:row>
    <x:row r="775" ht="22" customHeight="1">
      <x:c r="A775" s="22" t="n">
        <x:v>750</x:v>
      </x:c>
      <x:c r="B775" s="22" t="n">
        <x:f>MOD($B$6*(A775-1)+$B$7,$A$12)+1</x:f>
        <x:v>72</x:v>
      </x:c>
      <x:c r="C775" s="22" t="n">
        <x:f>MOD($B$6*(A775-1)+$B$7,$A$13)+1</x:f>
        <x:v>197</x:v>
      </x:c>
      <x:c r="D775" s="22" t="n">
        <x:f>MOD($B$6*(A775-1)+$B$7,$A$14)+1</x:f>
        <x:v>197</x:v>
      </x:c>
      <x:c r="E775" s="22" t="n">
        <x:f>MOD($B$6*(A775-1)+$B$7,$A$15)+1</x:f>
        <x:v>697</x:v>
      </x:c>
      <x:c r="F775" s="18"/>
      <x:c r="G775" s="18"/>
      <x:c r="H775" s="18" t="str">
        <x:v>pairing identity only</x:v>
      </x:c>
    </x:row>
    <x:row r="776" ht="22" customHeight="1">
      <x:c r="A776" s="22" t="n">
        <x:v>751</x:v>
      </x:c>
      <x:c r="B776" s="22" t="n">
        <x:f>MOD($B$6*(A776-1)+$B$7,$A$12)+1</x:f>
        <x:v>20</x:v>
      </x:c>
      <x:c r="C776" s="22" t="n">
        <x:f>MOD($B$6*(A776-1)+$B$7,$A$13)+1</x:f>
        <x:v>20</x:v>
      </x:c>
      <x:c r="D776" s="22" t="n">
        <x:f>MOD($B$6*(A776-1)+$B$7,$A$14)+1</x:f>
        <x:v>270</x:v>
      </x:c>
      <x:c r="E776" s="22" t="n">
        <x:f>MOD($B$6*(A776-1)+$B$7,$A$15)+1</x:f>
        <x:v>770</x:v>
      </x:c>
      <x:c r="F776" s="18"/>
      <x:c r="G776" s="18"/>
      <x:c r="H776" s="18" t="str">
        <x:v>pairing identity only</x:v>
      </x:c>
    </x:row>
    <x:row r="777" ht="22" customHeight="1">
      <x:c r="A777" s="22" t="n">
        <x:v>752</x:v>
      </x:c>
      <x:c r="B777" s="22" t="n">
        <x:f>MOD($B$6*(A777-1)+$B$7,$A$12)+1</x:f>
        <x:v>93</x:v>
      </x:c>
      <x:c r="C777" s="22" t="n">
        <x:f>MOD($B$6*(A777-1)+$B$7,$A$13)+1</x:f>
        <x:v>93</x:v>
      </x:c>
      <x:c r="D777" s="22" t="n">
        <x:f>MOD($B$6*(A777-1)+$B$7,$A$14)+1</x:f>
        <x:v>343</x:v>
      </x:c>
      <x:c r="E777" s="22" t="n">
        <x:f>MOD($B$6*(A777-1)+$B$7,$A$15)+1</x:f>
        <x:v>843</x:v>
      </x:c>
      <x:c r="F777" s="18"/>
      <x:c r="G777" s="18"/>
      <x:c r="H777" s="18" t="str">
        <x:v>pairing identity only</x:v>
      </x:c>
    </x:row>
    <x:row r="778" ht="22" customHeight="1">
      <x:c r="A778" s="22" t="n">
        <x:v>753</x:v>
      </x:c>
      <x:c r="B778" s="22" t="n">
        <x:f>MOD($B$6*(A778-1)+$B$7,$A$12)+1</x:f>
        <x:v>41</x:v>
      </x:c>
      <x:c r="C778" s="22" t="n">
        <x:f>MOD($B$6*(A778-1)+$B$7,$A$13)+1</x:f>
        <x:v>166</x:v>
      </x:c>
      <x:c r="D778" s="22" t="n">
        <x:f>MOD($B$6*(A778-1)+$B$7,$A$14)+1</x:f>
        <x:v>416</x:v>
      </x:c>
      <x:c r="E778" s="22" t="n">
        <x:f>MOD($B$6*(A778-1)+$B$7,$A$15)+1</x:f>
        <x:v>916</x:v>
      </x:c>
      <x:c r="F778" s="18"/>
      <x:c r="G778" s="18"/>
      <x:c r="H778" s="18" t="str">
        <x:v>pairing identity only</x:v>
      </x:c>
    </x:row>
    <x:row r="779" ht="22" customHeight="1">
      <x:c r="A779" s="22" t="n">
        <x:v>754</x:v>
      </x:c>
      <x:c r="B779" s="22" t="n">
        <x:f>MOD($B$6*(A779-1)+$B$7,$A$12)+1</x:f>
        <x:v>114</x:v>
      </x:c>
      <x:c r="C779" s="22" t="n">
        <x:f>MOD($B$6*(A779-1)+$B$7,$A$13)+1</x:f>
        <x:v>239</x:v>
      </x:c>
      <x:c r="D779" s="22" t="n">
        <x:f>MOD($B$6*(A779-1)+$B$7,$A$14)+1</x:f>
        <x:v>489</x:v>
      </x:c>
      <x:c r="E779" s="22" t="n">
        <x:f>MOD($B$6*(A779-1)+$B$7,$A$15)+1</x:f>
        <x:v>989</x:v>
      </x:c>
      <x:c r="F779" s="18"/>
      <x:c r="G779" s="18"/>
      <x:c r="H779" s="18" t="str">
        <x:v>pairing identity only</x:v>
      </x:c>
    </x:row>
    <x:row r="780" ht="22" customHeight="1">
      <x:c r="A780" s="22" t="n">
        <x:v>755</x:v>
      </x:c>
      <x:c r="B780" s="22" t="n">
        <x:f>MOD($B$6*(A780-1)+$B$7,$A$12)+1</x:f>
        <x:v>62</x:v>
      </x:c>
      <x:c r="C780" s="22" t="n">
        <x:f>MOD($B$6*(A780-1)+$B$7,$A$13)+1</x:f>
        <x:v>62</x:v>
      </x:c>
      <x:c r="D780" s="22" t="n">
        <x:f>MOD($B$6*(A780-1)+$B$7,$A$14)+1</x:f>
        <x:v>62</x:v>
      </x:c>
      <x:c r="E780" s="22" t="n">
        <x:f>MOD($B$6*(A780-1)+$B$7,$A$15)+1</x:f>
        <x:v>62</x:v>
      </x:c>
      <x:c r="F780" s="18"/>
      <x:c r="G780" s="18"/>
      <x:c r="H780" s="18" t="str">
        <x:v>pairing identity only</x:v>
      </x:c>
    </x:row>
    <x:row r="781" ht="22" customHeight="1">
      <x:c r="A781" s="22" t="n">
        <x:v>756</x:v>
      </x:c>
      <x:c r="B781" s="22" t="n">
        <x:f>MOD($B$6*(A781-1)+$B$7,$A$12)+1</x:f>
        <x:v>10</x:v>
      </x:c>
      <x:c r="C781" s="22" t="n">
        <x:f>MOD($B$6*(A781-1)+$B$7,$A$13)+1</x:f>
        <x:v>135</x:v>
      </x:c>
      <x:c r="D781" s="22" t="n">
        <x:f>MOD($B$6*(A781-1)+$B$7,$A$14)+1</x:f>
        <x:v>135</x:v>
      </x:c>
      <x:c r="E781" s="22" t="n">
        <x:f>MOD($B$6*(A781-1)+$B$7,$A$15)+1</x:f>
        <x:v>135</x:v>
      </x:c>
      <x:c r="F781" s="18"/>
      <x:c r="G781" s="18"/>
      <x:c r="H781" s="18" t="str">
        <x:v>pairing identity only</x:v>
      </x:c>
    </x:row>
    <x:row r="782" ht="22" customHeight="1">
      <x:c r="A782" s="22" t="n">
        <x:v>757</x:v>
      </x:c>
      <x:c r="B782" s="22" t="n">
        <x:f>MOD($B$6*(A782-1)+$B$7,$A$12)+1</x:f>
        <x:v>83</x:v>
      </x:c>
      <x:c r="C782" s="22" t="n">
        <x:f>MOD($B$6*(A782-1)+$B$7,$A$13)+1</x:f>
        <x:v>208</x:v>
      </x:c>
      <x:c r="D782" s="22" t="n">
        <x:f>MOD($B$6*(A782-1)+$B$7,$A$14)+1</x:f>
        <x:v>208</x:v>
      </x:c>
      <x:c r="E782" s="22" t="n">
        <x:f>MOD($B$6*(A782-1)+$B$7,$A$15)+1</x:f>
        <x:v>208</x:v>
      </x:c>
      <x:c r="F782" s="18"/>
      <x:c r="G782" s="18"/>
      <x:c r="H782" s="18" t="str">
        <x:v>pairing identity only</x:v>
      </x:c>
    </x:row>
    <x:row r="783" ht="22" customHeight="1">
      <x:c r="A783" s="22" t="n">
        <x:v>758</x:v>
      </x:c>
      <x:c r="B783" s="22" t="n">
        <x:f>MOD($B$6*(A783-1)+$B$7,$A$12)+1</x:f>
        <x:v>31</x:v>
      </x:c>
      <x:c r="C783" s="22" t="n">
        <x:f>MOD($B$6*(A783-1)+$B$7,$A$13)+1</x:f>
        <x:v>31</x:v>
      </x:c>
      <x:c r="D783" s="22" t="n">
        <x:f>MOD($B$6*(A783-1)+$B$7,$A$14)+1</x:f>
        <x:v>281</x:v>
      </x:c>
      <x:c r="E783" s="22" t="n">
        <x:f>MOD($B$6*(A783-1)+$B$7,$A$15)+1</x:f>
        <x:v>281</x:v>
      </x:c>
      <x:c r="F783" s="18"/>
      <x:c r="G783" s="18"/>
      <x:c r="H783" s="18" t="str">
        <x:v>pairing identity only</x:v>
      </x:c>
    </x:row>
    <x:row r="784" ht="22" customHeight="1">
      <x:c r="A784" s="22" t="n">
        <x:v>759</x:v>
      </x:c>
      <x:c r="B784" s="22" t="n">
        <x:f>MOD($B$6*(A784-1)+$B$7,$A$12)+1</x:f>
        <x:v>104</x:v>
      </x:c>
      <x:c r="C784" s="22" t="n">
        <x:f>MOD($B$6*(A784-1)+$B$7,$A$13)+1</x:f>
        <x:v>104</x:v>
      </x:c>
      <x:c r="D784" s="22" t="n">
        <x:f>MOD($B$6*(A784-1)+$B$7,$A$14)+1</x:f>
        <x:v>354</x:v>
      </x:c>
      <x:c r="E784" s="22" t="n">
        <x:f>MOD($B$6*(A784-1)+$B$7,$A$15)+1</x:f>
        <x:v>354</x:v>
      </x:c>
      <x:c r="F784" s="18"/>
      <x:c r="G784" s="18"/>
      <x:c r="H784" s="18" t="str">
        <x:v>pairing identity only</x:v>
      </x:c>
    </x:row>
    <x:row r="785" ht="22" customHeight="1">
      <x:c r="A785" s="22" t="n">
        <x:v>760</x:v>
      </x:c>
      <x:c r="B785" s="22" t="n">
        <x:f>MOD($B$6*(A785-1)+$B$7,$A$12)+1</x:f>
        <x:v>52</x:v>
      </x:c>
      <x:c r="C785" s="22" t="n">
        <x:f>MOD($B$6*(A785-1)+$B$7,$A$13)+1</x:f>
        <x:v>177</x:v>
      </x:c>
      <x:c r="D785" s="22" t="n">
        <x:f>MOD($B$6*(A785-1)+$B$7,$A$14)+1</x:f>
        <x:v>427</x:v>
      </x:c>
      <x:c r="E785" s="22" t="n">
        <x:f>MOD($B$6*(A785-1)+$B$7,$A$15)+1</x:f>
        <x:v>427</x:v>
      </x:c>
      <x:c r="F785" s="18"/>
      <x:c r="G785" s="18"/>
      <x:c r="H785" s="18" t="str">
        <x:v>pairing identity only</x:v>
      </x:c>
    </x:row>
    <x:row r="786" ht="22" customHeight="1">
      <x:c r="A786" s="22" t="n">
        <x:v>761</x:v>
      </x:c>
      <x:c r="B786" s="22" t="n">
        <x:f>MOD($B$6*(A786-1)+$B$7,$A$12)+1</x:f>
        <x:v>125</x:v>
      </x:c>
      <x:c r="C786" s="22" t="n">
        <x:f>MOD($B$6*(A786-1)+$B$7,$A$13)+1</x:f>
        <x:v>250</x:v>
      </x:c>
      <x:c r="D786" s="22" t="n">
        <x:f>MOD($B$6*(A786-1)+$B$7,$A$14)+1</x:f>
        <x:v>500</x:v>
      </x:c>
      <x:c r="E786" s="22" t="n">
        <x:f>MOD($B$6*(A786-1)+$B$7,$A$15)+1</x:f>
        <x:v>500</x:v>
      </x:c>
      <x:c r="F786" s="18"/>
      <x:c r="G786" s="18"/>
      <x:c r="H786" s="18" t="str">
        <x:v>pairing identity only</x:v>
      </x:c>
    </x:row>
    <x:row r="787" ht="22" customHeight="1">
      <x:c r="A787" s="22" t="n">
        <x:v>762</x:v>
      </x:c>
      <x:c r="B787" s="22" t="n">
        <x:f>MOD($B$6*(A787-1)+$B$7,$A$12)+1</x:f>
        <x:v>73</x:v>
      </x:c>
      <x:c r="C787" s="22" t="n">
        <x:f>MOD($B$6*(A787-1)+$B$7,$A$13)+1</x:f>
        <x:v>73</x:v>
      </x:c>
      <x:c r="D787" s="22" t="n">
        <x:f>MOD($B$6*(A787-1)+$B$7,$A$14)+1</x:f>
        <x:v>73</x:v>
      </x:c>
      <x:c r="E787" s="22" t="n">
        <x:f>MOD($B$6*(A787-1)+$B$7,$A$15)+1</x:f>
        <x:v>573</x:v>
      </x:c>
      <x:c r="F787" s="18"/>
      <x:c r="G787" s="18"/>
      <x:c r="H787" s="18" t="str">
        <x:v>pairing identity only</x:v>
      </x:c>
    </x:row>
    <x:row r="788" ht="22" customHeight="1">
      <x:c r="A788" s="22" t="n">
        <x:v>763</x:v>
      </x:c>
      <x:c r="B788" s="22" t="n">
        <x:f>MOD($B$6*(A788-1)+$B$7,$A$12)+1</x:f>
        <x:v>21</x:v>
      </x:c>
      <x:c r="C788" s="22" t="n">
        <x:f>MOD($B$6*(A788-1)+$B$7,$A$13)+1</x:f>
        <x:v>146</x:v>
      </x:c>
      <x:c r="D788" s="22" t="n">
        <x:f>MOD($B$6*(A788-1)+$B$7,$A$14)+1</x:f>
        <x:v>146</x:v>
      </x:c>
      <x:c r="E788" s="22" t="n">
        <x:f>MOD($B$6*(A788-1)+$B$7,$A$15)+1</x:f>
        <x:v>646</x:v>
      </x:c>
      <x:c r="F788" s="18"/>
      <x:c r="G788" s="18"/>
      <x:c r="H788" s="18" t="str">
        <x:v>pairing identity only</x:v>
      </x:c>
    </x:row>
    <x:row r="789" ht="22" customHeight="1">
      <x:c r="A789" s="22" t="n">
        <x:v>764</x:v>
      </x:c>
      <x:c r="B789" s="22" t="n">
        <x:f>MOD($B$6*(A789-1)+$B$7,$A$12)+1</x:f>
        <x:v>94</x:v>
      </x:c>
      <x:c r="C789" s="22" t="n">
        <x:f>MOD($B$6*(A789-1)+$B$7,$A$13)+1</x:f>
        <x:v>219</x:v>
      </x:c>
      <x:c r="D789" s="22" t="n">
        <x:f>MOD($B$6*(A789-1)+$B$7,$A$14)+1</x:f>
        <x:v>219</x:v>
      </x:c>
      <x:c r="E789" s="22" t="n">
        <x:f>MOD($B$6*(A789-1)+$B$7,$A$15)+1</x:f>
        <x:v>719</x:v>
      </x:c>
      <x:c r="F789" s="18"/>
      <x:c r="G789" s="18"/>
      <x:c r="H789" s="18" t="str">
        <x:v>pairing identity only</x:v>
      </x:c>
    </x:row>
    <x:row r="790" ht="22" customHeight="1">
      <x:c r="A790" s="22" t="n">
        <x:v>765</x:v>
      </x:c>
      <x:c r="B790" s="22" t="n">
        <x:f>MOD($B$6*(A790-1)+$B$7,$A$12)+1</x:f>
        <x:v>42</x:v>
      </x:c>
      <x:c r="C790" s="22" t="n">
        <x:f>MOD($B$6*(A790-1)+$B$7,$A$13)+1</x:f>
        <x:v>42</x:v>
      </x:c>
      <x:c r="D790" s="22" t="n">
        <x:f>MOD($B$6*(A790-1)+$B$7,$A$14)+1</x:f>
        <x:v>292</x:v>
      </x:c>
      <x:c r="E790" s="22" t="n">
        <x:f>MOD($B$6*(A790-1)+$B$7,$A$15)+1</x:f>
        <x:v>792</x:v>
      </x:c>
      <x:c r="F790" s="18"/>
      <x:c r="G790" s="18"/>
      <x:c r="H790" s="18" t="str">
        <x:v>pairing identity only</x:v>
      </x:c>
    </x:row>
    <x:row r="791" ht="22" customHeight="1">
      <x:c r="A791" s="22" t="n">
        <x:v>766</x:v>
      </x:c>
      <x:c r="B791" s="22" t="n">
        <x:f>MOD($B$6*(A791-1)+$B$7,$A$12)+1</x:f>
        <x:v>115</x:v>
      </x:c>
      <x:c r="C791" s="22" t="n">
        <x:f>MOD($B$6*(A791-1)+$B$7,$A$13)+1</x:f>
        <x:v>115</x:v>
      </x:c>
      <x:c r="D791" s="22" t="n">
        <x:f>MOD($B$6*(A791-1)+$B$7,$A$14)+1</x:f>
        <x:v>365</x:v>
      </x:c>
      <x:c r="E791" s="22" t="n">
        <x:f>MOD($B$6*(A791-1)+$B$7,$A$15)+1</x:f>
        <x:v>865</x:v>
      </x:c>
      <x:c r="F791" s="18"/>
      <x:c r="G791" s="18"/>
      <x:c r="H791" s="18" t="str">
        <x:v>pairing identity only</x:v>
      </x:c>
    </x:row>
    <x:row r="792" ht="22" customHeight="1">
      <x:c r="A792" s="22" t="n">
        <x:v>767</x:v>
      </x:c>
      <x:c r="B792" s="22" t="n">
        <x:f>MOD($B$6*(A792-1)+$B$7,$A$12)+1</x:f>
        <x:v>63</x:v>
      </x:c>
      <x:c r="C792" s="22" t="n">
        <x:f>MOD($B$6*(A792-1)+$B$7,$A$13)+1</x:f>
        <x:v>188</x:v>
      </x:c>
      <x:c r="D792" s="22" t="n">
        <x:f>MOD($B$6*(A792-1)+$B$7,$A$14)+1</x:f>
        <x:v>438</x:v>
      </x:c>
      <x:c r="E792" s="22" t="n">
        <x:f>MOD($B$6*(A792-1)+$B$7,$A$15)+1</x:f>
        <x:v>938</x:v>
      </x:c>
      <x:c r="F792" s="18"/>
      <x:c r="G792" s="18"/>
      <x:c r="H792" s="18" t="str">
        <x:v>pairing identity only</x:v>
      </x:c>
    </x:row>
    <x:row r="793" ht="22" customHeight="1">
      <x:c r="A793" s="22" t="n">
        <x:v>768</x:v>
      </x:c>
      <x:c r="B793" s="22" t="n">
        <x:f>MOD($B$6*(A793-1)+$B$7,$A$12)+1</x:f>
        <x:v>11</x:v>
      </x:c>
      <x:c r="C793" s="22" t="n">
        <x:f>MOD($B$6*(A793-1)+$B$7,$A$13)+1</x:f>
        <x:v>11</x:v>
      </x:c>
      <x:c r="D793" s="22" t="n">
        <x:f>MOD($B$6*(A793-1)+$B$7,$A$14)+1</x:f>
        <x:v>11</x:v>
      </x:c>
      <x:c r="E793" s="22" t="n">
        <x:f>MOD($B$6*(A793-1)+$B$7,$A$15)+1</x:f>
        <x:v>11</x:v>
      </x:c>
      <x:c r="F793" s="18"/>
      <x:c r="G793" s="18"/>
      <x:c r="H793" s="18" t="str">
        <x:v>pairing identity only</x:v>
      </x:c>
    </x:row>
    <x:row r="794" ht="22" customHeight="1">
      <x:c r="A794" s="22" t="n">
        <x:v>769</x:v>
      </x:c>
      <x:c r="B794" s="22" t="n">
        <x:f>MOD($B$6*(A794-1)+$B$7,$A$12)+1</x:f>
        <x:v>84</x:v>
      </x:c>
      <x:c r="C794" s="22" t="n">
        <x:f>MOD($B$6*(A794-1)+$B$7,$A$13)+1</x:f>
        <x:v>84</x:v>
      </x:c>
      <x:c r="D794" s="22" t="n">
        <x:f>MOD($B$6*(A794-1)+$B$7,$A$14)+1</x:f>
        <x:v>84</x:v>
      </x:c>
      <x:c r="E794" s="22" t="n">
        <x:f>MOD($B$6*(A794-1)+$B$7,$A$15)+1</x:f>
        <x:v>84</x:v>
      </x:c>
      <x:c r="F794" s="18"/>
      <x:c r="G794" s="18"/>
      <x:c r="H794" s="18" t="str">
        <x:v>pairing identity only</x:v>
      </x:c>
    </x:row>
    <x:row r="795" ht="22" customHeight="1">
      <x:c r="A795" s="22" t="n">
        <x:v>770</x:v>
      </x:c>
      <x:c r="B795" s="22" t="n">
        <x:f>MOD($B$6*(A795-1)+$B$7,$A$12)+1</x:f>
        <x:v>32</x:v>
      </x:c>
      <x:c r="C795" s="22" t="n">
        <x:f>MOD($B$6*(A795-1)+$B$7,$A$13)+1</x:f>
        <x:v>157</x:v>
      </x:c>
      <x:c r="D795" s="22" t="n">
        <x:f>MOD($B$6*(A795-1)+$B$7,$A$14)+1</x:f>
        <x:v>157</x:v>
      </x:c>
      <x:c r="E795" s="22" t="n">
        <x:f>MOD($B$6*(A795-1)+$B$7,$A$15)+1</x:f>
        <x:v>157</x:v>
      </x:c>
      <x:c r="F795" s="18"/>
      <x:c r="G795" s="18"/>
      <x:c r="H795" s="18" t="str">
        <x:v>pairing identity only</x:v>
      </x:c>
    </x:row>
    <x:row r="796" ht="22" customHeight="1">
      <x:c r="A796" s="22" t="n">
        <x:v>771</x:v>
      </x:c>
      <x:c r="B796" s="22" t="n">
        <x:f>MOD($B$6*(A796-1)+$B$7,$A$12)+1</x:f>
        <x:v>105</x:v>
      </x:c>
      <x:c r="C796" s="22" t="n">
        <x:f>MOD($B$6*(A796-1)+$B$7,$A$13)+1</x:f>
        <x:v>230</x:v>
      </x:c>
      <x:c r="D796" s="22" t="n">
        <x:f>MOD($B$6*(A796-1)+$B$7,$A$14)+1</x:f>
        <x:v>230</x:v>
      </x:c>
      <x:c r="E796" s="22" t="n">
        <x:f>MOD($B$6*(A796-1)+$B$7,$A$15)+1</x:f>
        <x:v>230</x:v>
      </x:c>
      <x:c r="F796" s="18"/>
      <x:c r="G796" s="18"/>
      <x:c r="H796" s="18" t="str">
        <x:v>pairing identity only</x:v>
      </x:c>
    </x:row>
    <x:row r="797" ht="22" customHeight="1">
      <x:c r="A797" s="22" t="n">
        <x:v>772</x:v>
      </x:c>
      <x:c r="B797" s="22" t="n">
        <x:f>MOD($B$6*(A797-1)+$B$7,$A$12)+1</x:f>
        <x:v>53</x:v>
      </x:c>
      <x:c r="C797" s="22" t="n">
        <x:f>MOD($B$6*(A797-1)+$B$7,$A$13)+1</x:f>
        <x:v>53</x:v>
      </x:c>
      <x:c r="D797" s="22" t="n">
        <x:f>MOD($B$6*(A797-1)+$B$7,$A$14)+1</x:f>
        <x:v>303</x:v>
      </x:c>
      <x:c r="E797" s="22" t="n">
        <x:f>MOD($B$6*(A797-1)+$B$7,$A$15)+1</x:f>
        <x:v>303</x:v>
      </x:c>
      <x:c r="F797" s="18"/>
      <x:c r="G797" s="18"/>
      <x:c r="H797" s="18" t="str">
        <x:v>pairing identity only</x:v>
      </x:c>
    </x:row>
    <x:row r="798" ht="22" customHeight="1">
      <x:c r="A798" s="22" t="n">
        <x:v>773</x:v>
      </x:c>
      <x:c r="B798" s="22" t="n">
        <x:f>MOD($B$6*(A798-1)+$B$7,$A$12)+1</x:f>
        <x:v>1</x:v>
      </x:c>
      <x:c r="C798" s="22" t="n">
        <x:f>MOD($B$6*(A798-1)+$B$7,$A$13)+1</x:f>
        <x:v>126</x:v>
      </x:c>
      <x:c r="D798" s="22" t="n">
        <x:f>MOD($B$6*(A798-1)+$B$7,$A$14)+1</x:f>
        <x:v>376</x:v>
      </x:c>
      <x:c r="E798" s="22" t="n">
        <x:f>MOD($B$6*(A798-1)+$B$7,$A$15)+1</x:f>
        <x:v>376</x:v>
      </x:c>
      <x:c r="F798" s="18"/>
      <x:c r="G798" s="18"/>
      <x:c r="H798" s="18" t="str">
        <x:v>pairing identity only</x:v>
      </x:c>
    </x:row>
    <x:row r="799" ht="22" customHeight="1">
      <x:c r="A799" s="22" t="n">
        <x:v>774</x:v>
      </x:c>
      <x:c r="B799" s="22" t="n">
        <x:f>MOD($B$6*(A799-1)+$B$7,$A$12)+1</x:f>
        <x:v>74</x:v>
      </x:c>
      <x:c r="C799" s="22" t="n">
        <x:f>MOD($B$6*(A799-1)+$B$7,$A$13)+1</x:f>
        <x:v>199</x:v>
      </x:c>
      <x:c r="D799" s="22" t="n">
        <x:f>MOD($B$6*(A799-1)+$B$7,$A$14)+1</x:f>
        <x:v>449</x:v>
      </x:c>
      <x:c r="E799" s="22" t="n">
        <x:f>MOD($B$6*(A799-1)+$B$7,$A$15)+1</x:f>
        <x:v>449</x:v>
      </x:c>
      <x:c r="F799" s="18"/>
      <x:c r="G799" s="18"/>
      <x:c r="H799" s="18" t="str">
        <x:v>pairing identity only</x:v>
      </x:c>
    </x:row>
    <x:row r="800" ht="22" customHeight="1">
      <x:c r="A800" s="22" t="n">
        <x:v>775</x:v>
      </x:c>
      <x:c r="B800" s="22" t="n">
        <x:f>MOD($B$6*(A800-1)+$B$7,$A$12)+1</x:f>
        <x:v>22</x:v>
      </x:c>
      <x:c r="C800" s="22" t="n">
        <x:f>MOD($B$6*(A800-1)+$B$7,$A$13)+1</x:f>
        <x:v>22</x:v>
      </x:c>
      <x:c r="D800" s="22" t="n">
        <x:f>MOD($B$6*(A800-1)+$B$7,$A$14)+1</x:f>
        <x:v>22</x:v>
      </x:c>
      <x:c r="E800" s="22" t="n">
        <x:f>MOD($B$6*(A800-1)+$B$7,$A$15)+1</x:f>
        <x:v>522</x:v>
      </x:c>
      <x:c r="F800" s="18"/>
      <x:c r="G800" s="18"/>
      <x:c r="H800" s="18" t="str">
        <x:v>pairing identity only</x:v>
      </x:c>
    </x:row>
    <x:row r="801" ht="22" customHeight="1">
      <x:c r="A801" s="22" t="n">
        <x:v>776</x:v>
      </x:c>
      <x:c r="B801" s="22" t="n">
        <x:f>MOD($B$6*(A801-1)+$B$7,$A$12)+1</x:f>
        <x:v>95</x:v>
      </x:c>
      <x:c r="C801" s="22" t="n">
        <x:f>MOD($B$6*(A801-1)+$B$7,$A$13)+1</x:f>
        <x:v>95</x:v>
      </x:c>
      <x:c r="D801" s="22" t="n">
        <x:f>MOD($B$6*(A801-1)+$B$7,$A$14)+1</x:f>
        <x:v>95</x:v>
      </x:c>
      <x:c r="E801" s="22" t="n">
        <x:f>MOD($B$6*(A801-1)+$B$7,$A$15)+1</x:f>
        <x:v>595</x:v>
      </x:c>
      <x:c r="F801" s="18"/>
      <x:c r="G801" s="18"/>
      <x:c r="H801" s="18" t="str">
        <x:v>pairing identity only</x:v>
      </x:c>
    </x:row>
    <x:row r="802" ht="22" customHeight="1">
      <x:c r="A802" s="22" t="n">
        <x:v>777</x:v>
      </x:c>
      <x:c r="B802" s="22" t="n">
        <x:f>MOD($B$6*(A802-1)+$B$7,$A$12)+1</x:f>
        <x:v>43</x:v>
      </x:c>
      <x:c r="C802" s="22" t="n">
        <x:f>MOD($B$6*(A802-1)+$B$7,$A$13)+1</x:f>
        <x:v>168</x:v>
      </x:c>
      <x:c r="D802" s="22" t="n">
        <x:f>MOD($B$6*(A802-1)+$B$7,$A$14)+1</x:f>
        <x:v>168</x:v>
      </x:c>
      <x:c r="E802" s="22" t="n">
        <x:f>MOD($B$6*(A802-1)+$B$7,$A$15)+1</x:f>
        <x:v>668</x:v>
      </x:c>
      <x:c r="F802" s="18"/>
      <x:c r="G802" s="18"/>
      <x:c r="H802" s="18" t="str">
        <x:v>pairing identity only</x:v>
      </x:c>
    </x:row>
    <x:row r="803" ht="22" customHeight="1">
      <x:c r="A803" s="22" t="n">
        <x:v>778</x:v>
      </x:c>
      <x:c r="B803" s="22" t="n">
        <x:f>MOD($B$6*(A803-1)+$B$7,$A$12)+1</x:f>
        <x:v>116</x:v>
      </x:c>
      <x:c r="C803" s="22" t="n">
        <x:f>MOD($B$6*(A803-1)+$B$7,$A$13)+1</x:f>
        <x:v>241</x:v>
      </x:c>
      <x:c r="D803" s="22" t="n">
        <x:f>MOD($B$6*(A803-1)+$B$7,$A$14)+1</x:f>
        <x:v>241</x:v>
      </x:c>
      <x:c r="E803" s="22" t="n">
        <x:f>MOD($B$6*(A803-1)+$B$7,$A$15)+1</x:f>
        <x:v>741</x:v>
      </x:c>
      <x:c r="F803" s="18"/>
      <x:c r="G803" s="18"/>
      <x:c r="H803" s="18" t="str">
        <x:v>pairing identity only</x:v>
      </x:c>
    </x:row>
    <x:row r="804" ht="22" customHeight="1">
      <x:c r="A804" s="22" t="n">
        <x:v>779</x:v>
      </x:c>
      <x:c r="B804" s="22" t="n">
        <x:f>MOD($B$6*(A804-1)+$B$7,$A$12)+1</x:f>
        <x:v>64</x:v>
      </x:c>
      <x:c r="C804" s="22" t="n">
        <x:f>MOD($B$6*(A804-1)+$B$7,$A$13)+1</x:f>
        <x:v>64</x:v>
      </x:c>
      <x:c r="D804" s="22" t="n">
        <x:f>MOD($B$6*(A804-1)+$B$7,$A$14)+1</x:f>
        <x:v>314</x:v>
      </x:c>
      <x:c r="E804" s="22" t="n">
        <x:f>MOD($B$6*(A804-1)+$B$7,$A$15)+1</x:f>
        <x:v>814</x:v>
      </x:c>
      <x:c r="F804" s="18"/>
      <x:c r="G804" s="18"/>
      <x:c r="H804" s="18" t="str">
        <x:v>pairing identity only</x:v>
      </x:c>
    </x:row>
    <x:row r="805" ht="22" customHeight="1">
      <x:c r="A805" s="22" t="n">
        <x:v>780</x:v>
      </x:c>
      <x:c r="B805" s="22" t="n">
        <x:f>MOD($B$6*(A805-1)+$B$7,$A$12)+1</x:f>
        <x:v>12</x:v>
      </x:c>
      <x:c r="C805" s="22" t="n">
        <x:f>MOD($B$6*(A805-1)+$B$7,$A$13)+1</x:f>
        <x:v>137</x:v>
      </x:c>
      <x:c r="D805" s="22" t="n">
        <x:f>MOD($B$6*(A805-1)+$B$7,$A$14)+1</x:f>
        <x:v>387</x:v>
      </x:c>
      <x:c r="E805" s="22" t="n">
        <x:f>MOD($B$6*(A805-1)+$B$7,$A$15)+1</x:f>
        <x:v>887</x:v>
      </x:c>
      <x:c r="F805" s="18"/>
      <x:c r="G805" s="18"/>
      <x:c r="H805" s="18" t="str">
        <x:v>pairing identity only</x:v>
      </x:c>
    </x:row>
    <x:row r="806" ht="22" customHeight="1">
      <x:c r="A806" s="22" t="n">
        <x:v>781</x:v>
      </x:c>
      <x:c r="B806" s="22" t="n">
        <x:f>MOD($B$6*(A806-1)+$B$7,$A$12)+1</x:f>
        <x:v>85</x:v>
      </x:c>
      <x:c r="C806" s="22" t="n">
        <x:f>MOD($B$6*(A806-1)+$B$7,$A$13)+1</x:f>
        <x:v>210</x:v>
      </x:c>
      <x:c r="D806" s="22" t="n">
        <x:f>MOD($B$6*(A806-1)+$B$7,$A$14)+1</x:f>
        <x:v>460</x:v>
      </x:c>
      <x:c r="E806" s="22" t="n">
        <x:f>MOD($B$6*(A806-1)+$B$7,$A$15)+1</x:f>
        <x:v>960</x:v>
      </x:c>
      <x:c r="F806" s="18"/>
      <x:c r="G806" s="18"/>
      <x:c r="H806" s="18" t="str">
        <x:v>pairing identity only</x:v>
      </x:c>
    </x:row>
    <x:row r="807" ht="22" customHeight="1">
      <x:c r="A807" s="22" t="n">
        <x:v>782</x:v>
      </x:c>
      <x:c r="B807" s="22" t="n">
        <x:f>MOD($B$6*(A807-1)+$B$7,$A$12)+1</x:f>
        <x:v>33</x:v>
      </x:c>
      <x:c r="C807" s="22" t="n">
        <x:f>MOD($B$6*(A807-1)+$B$7,$A$13)+1</x:f>
        <x:v>33</x:v>
      </x:c>
      <x:c r="D807" s="22" t="n">
        <x:f>MOD($B$6*(A807-1)+$B$7,$A$14)+1</x:f>
        <x:v>33</x:v>
      </x:c>
      <x:c r="E807" s="22" t="n">
        <x:f>MOD($B$6*(A807-1)+$B$7,$A$15)+1</x:f>
        <x:v>33</x:v>
      </x:c>
      <x:c r="F807" s="18"/>
      <x:c r="G807" s="18"/>
      <x:c r="H807" s="18" t="str">
        <x:v>pairing identity only</x:v>
      </x:c>
    </x:row>
    <x:row r="808" ht="22" customHeight="1">
      <x:c r="A808" s="22" t="n">
        <x:v>783</x:v>
      </x:c>
      <x:c r="B808" s="22" t="n">
        <x:f>MOD($B$6*(A808-1)+$B$7,$A$12)+1</x:f>
        <x:v>106</x:v>
      </x:c>
      <x:c r="C808" s="22" t="n">
        <x:f>MOD($B$6*(A808-1)+$B$7,$A$13)+1</x:f>
        <x:v>106</x:v>
      </x:c>
      <x:c r="D808" s="22" t="n">
        <x:f>MOD($B$6*(A808-1)+$B$7,$A$14)+1</x:f>
        <x:v>106</x:v>
      </x:c>
      <x:c r="E808" s="22" t="n">
        <x:f>MOD($B$6*(A808-1)+$B$7,$A$15)+1</x:f>
        <x:v>106</x:v>
      </x:c>
      <x:c r="F808" s="18"/>
      <x:c r="G808" s="18"/>
      <x:c r="H808" s="18" t="str">
        <x:v>pairing identity only</x:v>
      </x:c>
    </x:row>
    <x:row r="809" ht="22" customHeight="1">
      <x:c r="A809" s="22" t="n">
        <x:v>784</x:v>
      </x:c>
      <x:c r="B809" s="22" t="n">
        <x:f>MOD($B$6*(A809-1)+$B$7,$A$12)+1</x:f>
        <x:v>54</x:v>
      </x:c>
      <x:c r="C809" s="22" t="n">
        <x:f>MOD($B$6*(A809-1)+$B$7,$A$13)+1</x:f>
        <x:v>179</x:v>
      </x:c>
      <x:c r="D809" s="22" t="n">
        <x:f>MOD($B$6*(A809-1)+$B$7,$A$14)+1</x:f>
        <x:v>179</x:v>
      </x:c>
      <x:c r="E809" s="22" t="n">
        <x:f>MOD($B$6*(A809-1)+$B$7,$A$15)+1</x:f>
        <x:v>179</x:v>
      </x:c>
      <x:c r="F809" s="18"/>
      <x:c r="G809" s="18"/>
      <x:c r="H809" s="18" t="str">
        <x:v>pairing identity only</x:v>
      </x:c>
    </x:row>
    <x:row r="810" ht="22" customHeight="1">
      <x:c r="A810" s="22" t="n">
        <x:v>785</x:v>
      </x:c>
      <x:c r="B810" s="22" t="n">
        <x:f>MOD($B$6*(A810-1)+$B$7,$A$12)+1</x:f>
        <x:v>2</x:v>
      </x:c>
      <x:c r="C810" s="22" t="n">
        <x:f>MOD($B$6*(A810-1)+$B$7,$A$13)+1</x:f>
        <x:v>2</x:v>
      </x:c>
      <x:c r="D810" s="22" t="n">
        <x:f>MOD($B$6*(A810-1)+$B$7,$A$14)+1</x:f>
        <x:v>252</x:v>
      </x:c>
      <x:c r="E810" s="22" t="n">
        <x:f>MOD($B$6*(A810-1)+$B$7,$A$15)+1</x:f>
        <x:v>252</x:v>
      </x:c>
      <x:c r="F810" s="18"/>
      <x:c r="G810" s="18"/>
      <x:c r="H810" s="18" t="str">
        <x:v>pairing identity only</x:v>
      </x:c>
    </x:row>
    <x:row r="811" ht="22" customHeight="1">
      <x:c r="A811" s="22" t="n">
        <x:v>786</x:v>
      </x:c>
      <x:c r="B811" s="22" t="n">
        <x:f>MOD($B$6*(A811-1)+$B$7,$A$12)+1</x:f>
        <x:v>75</x:v>
      </x:c>
      <x:c r="C811" s="22" t="n">
        <x:f>MOD($B$6*(A811-1)+$B$7,$A$13)+1</x:f>
        <x:v>75</x:v>
      </x:c>
      <x:c r="D811" s="22" t="n">
        <x:f>MOD($B$6*(A811-1)+$B$7,$A$14)+1</x:f>
        <x:v>325</x:v>
      </x:c>
      <x:c r="E811" s="22" t="n">
        <x:f>MOD($B$6*(A811-1)+$B$7,$A$15)+1</x:f>
        <x:v>325</x:v>
      </x:c>
      <x:c r="F811" s="18"/>
      <x:c r="G811" s="18"/>
      <x:c r="H811" s="18" t="str">
        <x:v>pairing identity only</x:v>
      </x:c>
    </x:row>
    <x:row r="812" ht="22" customHeight="1">
      <x:c r="A812" s="22" t="n">
        <x:v>787</x:v>
      </x:c>
      <x:c r="B812" s="22" t="n">
        <x:f>MOD($B$6*(A812-1)+$B$7,$A$12)+1</x:f>
        <x:v>23</x:v>
      </x:c>
      <x:c r="C812" s="22" t="n">
        <x:f>MOD($B$6*(A812-1)+$B$7,$A$13)+1</x:f>
        <x:v>148</x:v>
      </x:c>
      <x:c r="D812" s="22" t="n">
        <x:f>MOD($B$6*(A812-1)+$B$7,$A$14)+1</x:f>
        <x:v>398</x:v>
      </x:c>
      <x:c r="E812" s="22" t="n">
        <x:f>MOD($B$6*(A812-1)+$B$7,$A$15)+1</x:f>
        <x:v>398</x:v>
      </x:c>
      <x:c r="F812" s="18"/>
      <x:c r="G812" s="18"/>
      <x:c r="H812" s="18" t="str">
        <x:v>pairing identity only</x:v>
      </x:c>
    </x:row>
    <x:row r="813" ht="22" customHeight="1">
      <x:c r="A813" s="22" t="n">
        <x:v>788</x:v>
      </x:c>
      <x:c r="B813" s="22" t="n">
        <x:f>MOD($B$6*(A813-1)+$B$7,$A$12)+1</x:f>
        <x:v>96</x:v>
      </x:c>
      <x:c r="C813" s="22" t="n">
        <x:f>MOD($B$6*(A813-1)+$B$7,$A$13)+1</x:f>
        <x:v>221</x:v>
      </x:c>
      <x:c r="D813" s="22" t="n">
        <x:f>MOD($B$6*(A813-1)+$B$7,$A$14)+1</x:f>
        <x:v>471</x:v>
      </x:c>
      <x:c r="E813" s="22" t="n">
        <x:f>MOD($B$6*(A813-1)+$B$7,$A$15)+1</x:f>
        <x:v>471</x:v>
      </x:c>
      <x:c r="F813" s="18"/>
      <x:c r="G813" s="18"/>
      <x:c r="H813" s="18" t="str">
        <x:v>pairing identity only</x:v>
      </x:c>
    </x:row>
    <x:row r="814" ht="22" customHeight="1">
      <x:c r="A814" s="22" t="n">
        <x:v>789</x:v>
      </x:c>
      <x:c r="B814" s="22" t="n">
        <x:f>MOD($B$6*(A814-1)+$B$7,$A$12)+1</x:f>
        <x:v>44</x:v>
      </x:c>
      <x:c r="C814" s="22" t="n">
        <x:f>MOD($B$6*(A814-1)+$B$7,$A$13)+1</x:f>
        <x:v>44</x:v>
      </x:c>
      <x:c r="D814" s="22" t="n">
        <x:f>MOD($B$6*(A814-1)+$B$7,$A$14)+1</x:f>
        <x:v>44</x:v>
      </x:c>
      <x:c r="E814" s="22" t="n">
        <x:f>MOD($B$6*(A814-1)+$B$7,$A$15)+1</x:f>
        <x:v>544</x:v>
      </x:c>
      <x:c r="F814" s="18"/>
      <x:c r="G814" s="18"/>
      <x:c r="H814" s="18" t="str">
        <x:v>pairing identity only</x:v>
      </x:c>
    </x:row>
    <x:row r="815" ht="22" customHeight="1">
      <x:c r="A815" s="22" t="n">
        <x:v>790</x:v>
      </x:c>
      <x:c r="B815" s="22" t="n">
        <x:f>MOD($B$6*(A815-1)+$B$7,$A$12)+1</x:f>
        <x:v>117</x:v>
      </x:c>
      <x:c r="C815" s="22" t="n">
        <x:f>MOD($B$6*(A815-1)+$B$7,$A$13)+1</x:f>
        <x:v>117</x:v>
      </x:c>
      <x:c r="D815" s="22" t="n">
        <x:f>MOD($B$6*(A815-1)+$B$7,$A$14)+1</x:f>
        <x:v>117</x:v>
      </x:c>
      <x:c r="E815" s="22" t="n">
        <x:f>MOD($B$6*(A815-1)+$B$7,$A$15)+1</x:f>
        <x:v>617</x:v>
      </x:c>
      <x:c r="F815" s="18"/>
      <x:c r="G815" s="18"/>
      <x:c r="H815" s="18" t="str">
        <x:v>pairing identity only</x:v>
      </x:c>
    </x:row>
    <x:row r="816" ht="22" customHeight="1">
      <x:c r="A816" s="22" t="n">
        <x:v>791</x:v>
      </x:c>
      <x:c r="B816" s="22" t="n">
        <x:f>MOD($B$6*(A816-1)+$B$7,$A$12)+1</x:f>
        <x:v>65</x:v>
      </x:c>
      <x:c r="C816" s="22" t="n">
        <x:f>MOD($B$6*(A816-1)+$B$7,$A$13)+1</x:f>
        <x:v>190</x:v>
      </x:c>
      <x:c r="D816" s="22" t="n">
        <x:f>MOD($B$6*(A816-1)+$B$7,$A$14)+1</x:f>
        <x:v>190</x:v>
      </x:c>
      <x:c r="E816" s="22" t="n">
        <x:f>MOD($B$6*(A816-1)+$B$7,$A$15)+1</x:f>
        <x:v>690</x:v>
      </x:c>
      <x:c r="F816" s="18"/>
      <x:c r="G816" s="18"/>
      <x:c r="H816" s="18" t="str">
        <x:v>pairing identity only</x:v>
      </x:c>
    </x:row>
    <x:row r="817" ht="22" customHeight="1">
      <x:c r="A817" s="22" t="n">
        <x:v>792</x:v>
      </x:c>
      <x:c r="B817" s="22" t="n">
        <x:f>MOD($B$6*(A817-1)+$B$7,$A$12)+1</x:f>
        <x:v>13</x:v>
      </x:c>
      <x:c r="C817" s="22" t="n">
        <x:f>MOD($B$6*(A817-1)+$B$7,$A$13)+1</x:f>
        <x:v>13</x:v>
      </x:c>
      <x:c r="D817" s="22" t="n">
        <x:f>MOD($B$6*(A817-1)+$B$7,$A$14)+1</x:f>
        <x:v>263</x:v>
      </x:c>
      <x:c r="E817" s="22" t="n">
        <x:f>MOD($B$6*(A817-1)+$B$7,$A$15)+1</x:f>
        <x:v>763</x:v>
      </x:c>
      <x:c r="F817" s="18"/>
      <x:c r="G817" s="18"/>
      <x:c r="H817" s="18" t="str">
        <x:v>pairing identity only</x:v>
      </x:c>
    </x:row>
    <x:row r="818" ht="22" customHeight="1">
      <x:c r="A818" s="22" t="n">
        <x:v>793</x:v>
      </x:c>
      <x:c r="B818" s="22" t="n">
        <x:f>MOD($B$6*(A818-1)+$B$7,$A$12)+1</x:f>
        <x:v>86</x:v>
      </x:c>
      <x:c r="C818" s="22" t="n">
        <x:f>MOD($B$6*(A818-1)+$B$7,$A$13)+1</x:f>
        <x:v>86</x:v>
      </x:c>
      <x:c r="D818" s="22" t="n">
        <x:f>MOD($B$6*(A818-1)+$B$7,$A$14)+1</x:f>
        <x:v>336</x:v>
      </x:c>
      <x:c r="E818" s="22" t="n">
        <x:f>MOD($B$6*(A818-1)+$B$7,$A$15)+1</x:f>
        <x:v>836</x:v>
      </x:c>
      <x:c r="F818" s="18"/>
      <x:c r="G818" s="18"/>
      <x:c r="H818" s="18" t="str">
        <x:v>pairing identity only</x:v>
      </x:c>
    </x:row>
    <x:row r="819" ht="22" customHeight="1">
      <x:c r="A819" s="22" t="n">
        <x:v>794</x:v>
      </x:c>
      <x:c r="B819" s="22" t="n">
        <x:f>MOD($B$6*(A819-1)+$B$7,$A$12)+1</x:f>
        <x:v>34</x:v>
      </x:c>
      <x:c r="C819" s="22" t="n">
        <x:f>MOD($B$6*(A819-1)+$B$7,$A$13)+1</x:f>
        <x:v>159</x:v>
      </x:c>
      <x:c r="D819" s="22" t="n">
        <x:f>MOD($B$6*(A819-1)+$B$7,$A$14)+1</x:f>
        <x:v>409</x:v>
      </x:c>
      <x:c r="E819" s="22" t="n">
        <x:f>MOD($B$6*(A819-1)+$B$7,$A$15)+1</x:f>
        <x:v>909</x:v>
      </x:c>
      <x:c r="F819" s="18"/>
      <x:c r="G819" s="18"/>
      <x:c r="H819" s="18" t="str">
        <x:v>pairing identity only</x:v>
      </x:c>
    </x:row>
    <x:row r="820" ht="22" customHeight="1">
      <x:c r="A820" s="22" t="n">
        <x:v>795</x:v>
      </x:c>
      <x:c r="B820" s="22" t="n">
        <x:f>MOD($B$6*(A820-1)+$B$7,$A$12)+1</x:f>
        <x:v>107</x:v>
      </x:c>
      <x:c r="C820" s="22" t="n">
        <x:f>MOD($B$6*(A820-1)+$B$7,$A$13)+1</x:f>
        <x:v>232</x:v>
      </x:c>
      <x:c r="D820" s="22" t="n">
        <x:f>MOD($B$6*(A820-1)+$B$7,$A$14)+1</x:f>
        <x:v>482</x:v>
      </x:c>
      <x:c r="E820" s="22" t="n">
        <x:f>MOD($B$6*(A820-1)+$B$7,$A$15)+1</x:f>
        <x:v>982</x:v>
      </x:c>
      <x:c r="F820" s="18"/>
      <x:c r="G820" s="18"/>
      <x:c r="H820" s="18" t="str">
        <x:v>pairing identity only</x:v>
      </x:c>
    </x:row>
    <x:row r="821" ht="22" customHeight="1">
      <x:c r="A821" s="22" t="n">
        <x:v>796</x:v>
      </x:c>
      <x:c r="B821" s="22" t="n">
        <x:f>MOD($B$6*(A821-1)+$B$7,$A$12)+1</x:f>
        <x:v>55</x:v>
      </x:c>
      <x:c r="C821" s="22" t="n">
        <x:f>MOD($B$6*(A821-1)+$B$7,$A$13)+1</x:f>
        <x:v>55</x:v>
      </x:c>
      <x:c r="D821" s="22" t="n">
        <x:f>MOD($B$6*(A821-1)+$B$7,$A$14)+1</x:f>
        <x:v>55</x:v>
      </x:c>
      <x:c r="E821" s="22" t="n">
        <x:f>MOD($B$6*(A821-1)+$B$7,$A$15)+1</x:f>
        <x:v>55</x:v>
      </x:c>
      <x:c r="F821" s="18"/>
      <x:c r="G821" s="18"/>
      <x:c r="H821" s="18" t="str">
        <x:v>pairing identity only</x:v>
      </x:c>
    </x:row>
    <x:row r="822" ht="22" customHeight="1">
      <x:c r="A822" s="22" t="n">
        <x:v>797</x:v>
      </x:c>
      <x:c r="B822" s="22" t="n">
        <x:f>MOD($B$6*(A822-1)+$B$7,$A$12)+1</x:f>
        <x:v>3</x:v>
      </x:c>
      <x:c r="C822" s="22" t="n">
        <x:f>MOD($B$6*(A822-1)+$B$7,$A$13)+1</x:f>
        <x:v>128</x:v>
      </x:c>
      <x:c r="D822" s="22" t="n">
        <x:f>MOD($B$6*(A822-1)+$B$7,$A$14)+1</x:f>
        <x:v>128</x:v>
      </x:c>
      <x:c r="E822" s="22" t="n">
        <x:f>MOD($B$6*(A822-1)+$B$7,$A$15)+1</x:f>
        <x:v>128</x:v>
      </x:c>
      <x:c r="F822" s="18"/>
      <x:c r="G822" s="18"/>
      <x:c r="H822" s="18" t="str">
        <x:v>pairing identity only</x:v>
      </x:c>
    </x:row>
    <x:row r="823" ht="22" customHeight="1">
      <x:c r="A823" s="22" t="n">
        <x:v>798</x:v>
      </x:c>
      <x:c r="B823" s="22" t="n">
        <x:f>MOD($B$6*(A823-1)+$B$7,$A$12)+1</x:f>
        <x:v>76</x:v>
      </x:c>
      <x:c r="C823" s="22" t="n">
        <x:f>MOD($B$6*(A823-1)+$B$7,$A$13)+1</x:f>
        <x:v>201</x:v>
      </x:c>
      <x:c r="D823" s="22" t="n">
        <x:f>MOD($B$6*(A823-1)+$B$7,$A$14)+1</x:f>
        <x:v>201</x:v>
      </x:c>
      <x:c r="E823" s="22" t="n">
        <x:f>MOD($B$6*(A823-1)+$B$7,$A$15)+1</x:f>
        <x:v>201</x:v>
      </x:c>
      <x:c r="F823" s="18"/>
      <x:c r="G823" s="18"/>
      <x:c r="H823" s="18" t="str">
        <x:v>pairing identity only</x:v>
      </x:c>
    </x:row>
    <x:row r="824" ht="22" customHeight="1">
      <x:c r="A824" s="22" t="n">
        <x:v>799</x:v>
      </x:c>
      <x:c r="B824" s="22" t="n">
        <x:f>MOD($B$6*(A824-1)+$B$7,$A$12)+1</x:f>
        <x:v>24</x:v>
      </x:c>
      <x:c r="C824" s="22" t="n">
        <x:f>MOD($B$6*(A824-1)+$B$7,$A$13)+1</x:f>
        <x:v>24</x:v>
      </x:c>
      <x:c r="D824" s="22" t="n">
        <x:f>MOD($B$6*(A824-1)+$B$7,$A$14)+1</x:f>
        <x:v>274</x:v>
      </x:c>
      <x:c r="E824" s="22" t="n">
        <x:f>MOD($B$6*(A824-1)+$B$7,$A$15)+1</x:f>
        <x:v>274</x:v>
      </x:c>
      <x:c r="F824" s="18"/>
      <x:c r="G824" s="18"/>
      <x:c r="H824" s="18" t="str">
        <x:v>pairing identity only</x:v>
      </x:c>
    </x:row>
    <x:row r="825" ht="22" customHeight="1">
      <x:c r="A825" s="22" t="n">
        <x:v>800</x:v>
      </x:c>
      <x:c r="B825" s="22" t="n">
        <x:f>MOD($B$6*(A825-1)+$B$7,$A$12)+1</x:f>
        <x:v>97</x:v>
      </x:c>
      <x:c r="C825" s="22" t="n">
        <x:f>MOD($B$6*(A825-1)+$B$7,$A$13)+1</x:f>
        <x:v>97</x:v>
      </x:c>
      <x:c r="D825" s="22" t="n">
        <x:f>MOD($B$6*(A825-1)+$B$7,$A$14)+1</x:f>
        <x:v>347</x:v>
      </x:c>
      <x:c r="E825" s="22" t="n">
        <x:f>MOD($B$6*(A825-1)+$B$7,$A$15)+1</x:f>
        <x:v>347</x:v>
      </x:c>
      <x:c r="F825" s="18"/>
      <x:c r="G825" s="18"/>
      <x:c r="H825" s="18" t="str">
        <x:v>pairing identity only</x:v>
      </x:c>
    </x:row>
    <x:row r="826" ht="22" customHeight="1">
      <x:c r="A826" s="22" t="n">
        <x:v>801</x:v>
      </x:c>
      <x:c r="B826" s="22" t="n">
        <x:f>MOD($B$6*(A826-1)+$B$7,$A$12)+1</x:f>
        <x:v>45</x:v>
      </x:c>
      <x:c r="C826" s="22" t="n">
        <x:f>MOD($B$6*(A826-1)+$B$7,$A$13)+1</x:f>
        <x:v>170</x:v>
      </x:c>
      <x:c r="D826" s="22" t="n">
        <x:f>MOD($B$6*(A826-1)+$B$7,$A$14)+1</x:f>
        <x:v>420</x:v>
      </x:c>
      <x:c r="E826" s="22" t="n">
        <x:f>MOD($B$6*(A826-1)+$B$7,$A$15)+1</x:f>
        <x:v>420</x:v>
      </x:c>
      <x:c r="F826" s="18"/>
      <x:c r="G826" s="18"/>
      <x:c r="H826" s="18" t="str">
        <x:v>pairing identity only</x:v>
      </x:c>
    </x:row>
    <x:row r="827" ht="22" customHeight="1">
      <x:c r="A827" s="22" t="n">
        <x:v>802</x:v>
      </x:c>
      <x:c r="B827" s="22" t="n">
        <x:f>MOD($B$6*(A827-1)+$B$7,$A$12)+1</x:f>
        <x:v>118</x:v>
      </x:c>
      <x:c r="C827" s="22" t="n">
        <x:f>MOD($B$6*(A827-1)+$B$7,$A$13)+1</x:f>
        <x:v>243</x:v>
      </x:c>
      <x:c r="D827" s="22" t="n">
        <x:f>MOD($B$6*(A827-1)+$B$7,$A$14)+1</x:f>
        <x:v>493</x:v>
      </x:c>
      <x:c r="E827" s="22" t="n">
        <x:f>MOD($B$6*(A827-1)+$B$7,$A$15)+1</x:f>
        <x:v>493</x:v>
      </x:c>
      <x:c r="F827" s="18"/>
      <x:c r="G827" s="18"/>
      <x:c r="H827" s="18" t="str">
        <x:v>pairing identity only</x:v>
      </x:c>
    </x:row>
    <x:row r="828" ht="22" customHeight="1">
      <x:c r="A828" s="22" t="n">
        <x:v>803</x:v>
      </x:c>
      <x:c r="B828" s="22" t="n">
        <x:f>MOD($B$6*(A828-1)+$B$7,$A$12)+1</x:f>
        <x:v>66</x:v>
      </x:c>
      <x:c r="C828" s="22" t="n">
        <x:f>MOD($B$6*(A828-1)+$B$7,$A$13)+1</x:f>
        <x:v>66</x:v>
      </x:c>
      <x:c r="D828" s="22" t="n">
        <x:f>MOD($B$6*(A828-1)+$B$7,$A$14)+1</x:f>
        <x:v>66</x:v>
      </x:c>
      <x:c r="E828" s="22" t="n">
        <x:f>MOD($B$6*(A828-1)+$B$7,$A$15)+1</x:f>
        <x:v>566</x:v>
      </x:c>
      <x:c r="F828" s="18"/>
      <x:c r="G828" s="18"/>
      <x:c r="H828" s="18" t="str">
        <x:v>pairing identity only</x:v>
      </x:c>
    </x:row>
    <x:row r="829" ht="22" customHeight="1">
      <x:c r="A829" s="22" t="n">
        <x:v>804</x:v>
      </x:c>
      <x:c r="B829" s="22" t="n">
        <x:f>MOD($B$6*(A829-1)+$B$7,$A$12)+1</x:f>
        <x:v>14</x:v>
      </x:c>
      <x:c r="C829" s="22" t="n">
        <x:f>MOD($B$6*(A829-1)+$B$7,$A$13)+1</x:f>
        <x:v>139</x:v>
      </x:c>
      <x:c r="D829" s="22" t="n">
        <x:f>MOD($B$6*(A829-1)+$B$7,$A$14)+1</x:f>
        <x:v>139</x:v>
      </x:c>
      <x:c r="E829" s="22" t="n">
        <x:f>MOD($B$6*(A829-1)+$B$7,$A$15)+1</x:f>
        <x:v>639</x:v>
      </x:c>
      <x:c r="F829" s="18"/>
      <x:c r="G829" s="18"/>
      <x:c r="H829" s="18" t="str">
        <x:v>pairing identity only</x:v>
      </x:c>
    </x:row>
    <x:row r="830" ht="22" customHeight="1">
      <x:c r="A830" s="22" t="n">
        <x:v>805</x:v>
      </x:c>
      <x:c r="B830" s="22" t="n">
        <x:f>MOD($B$6*(A830-1)+$B$7,$A$12)+1</x:f>
        <x:v>87</x:v>
      </x:c>
      <x:c r="C830" s="22" t="n">
        <x:f>MOD($B$6*(A830-1)+$B$7,$A$13)+1</x:f>
        <x:v>212</x:v>
      </x:c>
      <x:c r="D830" s="22" t="n">
        <x:f>MOD($B$6*(A830-1)+$B$7,$A$14)+1</x:f>
        <x:v>212</x:v>
      </x:c>
      <x:c r="E830" s="22" t="n">
        <x:f>MOD($B$6*(A830-1)+$B$7,$A$15)+1</x:f>
        <x:v>712</x:v>
      </x:c>
      <x:c r="F830" s="18"/>
      <x:c r="G830" s="18"/>
      <x:c r="H830" s="18" t="str">
        <x:v>pairing identity only</x:v>
      </x:c>
    </x:row>
    <x:row r="831" ht="22" customHeight="1">
      <x:c r="A831" s="22" t="n">
        <x:v>806</x:v>
      </x:c>
      <x:c r="B831" s="22" t="n">
        <x:f>MOD($B$6*(A831-1)+$B$7,$A$12)+1</x:f>
        <x:v>35</x:v>
      </x:c>
      <x:c r="C831" s="22" t="n">
        <x:f>MOD($B$6*(A831-1)+$B$7,$A$13)+1</x:f>
        <x:v>35</x:v>
      </x:c>
      <x:c r="D831" s="22" t="n">
        <x:f>MOD($B$6*(A831-1)+$B$7,$A$14)+1</x:f>
        <x:v>285</x:v>
      </x:c>
      <x:c r="E831" s="22" t="n">
        <x:f>MOD($B$6*(A831-1)+$B$7,$A$15)+1</x:f>
        <x:v>785</x:v>
      </x:c>
      <x:c r="F831" s="18"/>
      <x:c r="G831" s="18"/>
      <x:c r="H831" s="18" t="str">
        <x:v>pairing identity only</x:v>
      </x:c>
    </x:row>
    <x:row r="832" ht="22" customHeight="1">
      <x:c r="A832" s="22" t="n">
        <x:v>807</x:v>
      </x:c>
      <x:c r="B832" s="22" t="n">
        <x:f>MOD($B$6*(A832-1)+$B$7,$A$12)+1</x:f>
        <x:v>108</x:v>
      </x:c>
      <x:c r="C832" s="22" t="n">
        <x:f>MOD($B$6*(A832-1)+$B$7,$A$13)+1</x:f>
        <x:v>108</x:v>
      </x:c>
      <x:c r="D832" s="22" t="n">
        <x:f>MOD($B$6*(A832-1)+$B$7,$A$14)+1</x:f>
        <x:v>358</x:v>
      </x:c>
      <x:c r="E832" s="22" t="n">
        <x:f>MOD($B$6*(A832-1)+$B$7,$A$15)+1</x:f>
        <x:v>858</x:v>
      </x:c>
      <x:c r="F832" s="18"/>
      <x:c r="G832" s="18"/>
      <x:c r="H832" s="18" t="str">
        <x:v>pairing identity only</x:v>
      </x:c>
    </x:row>
    <x:row r="833" ht="22" customHeight="1">
      <x:c r="A833" s="22" t="n">
        <x:v>808</x:v>
      </x:c>
      <x:c r="B833" s="22" t="n">
        <x:f>MOD($B$6*(A833-1)+$B$7,$A$12)+1</x:f>
        <x:v>56</x:v>
      </x:c>
      <x:c r="C833" s="22" t="n">
        <x:f>MOD($B$6*(A833-1)+$B$7,$A$13)+1</x:f>
        <x:v>181</x:v>
      </x:c>
      <x:c r="D833" s="22" t="n">
        <x:f>MOD($B$6*(A833-1)+$B$7,$A$14)+1</x:f>
        <x:v>431</x:v>
      </x:c>
      <x:c r="E833" s="22" t="n">
        <x:f>MOD($B$6*(A833-1)+$B$7,$A$15)+1</x:f>
        <x:v>931</x:v>
      </x:c>
      <x:c r="F833" s="18"/>
      <x:c r="G833" s="18"/>
      <x:c r="H833" s="18" t="str">
        <x:v>pairing identity only</x:v>
      </x:c>
    </x:row>
    <x:row r="834" ht="22" customHeight="1">
      <x:c r="A834" s="22" t="n">
        <x:v>809</x:v>
      </x:c>
      <x:c r="B834" s="22" t="n">
        <x:f>MOD($B$6*(A834-1)+$B$7,$A$12)+1</x:f>
        <x:v>4</x:v>
      </x:c>
      <x:c r="C834" s="22" t="n">
        <x:f>MOD($B$6*(A834-1)+$B$7,$A$13)+1</x:f>
        <x:v>4</x:v>
      </x:c>
      <x:c r="D834" s="22" t="n">
        <x:f>MOD($B$6*(A834-1)+$B$7,$A$14)+1</x:f>
        <x:v>4</x:v>
      </x:c>
      <x:c r="E834" s="22" t="n">
        <x:f>MOD($B$6*(A834-1)+$B$7,$A$15)+1</x:f>
        <x:v>4</x:v>
      </x:c>
      <x:c r="F834" s="18"/>
      <x:c r="G834" s="18"/>
      <x:c r="H834" s="18" t="str">
        <x:v>pairing identity only</x:v>
      </x:c>
    </x:row>
    <x:row r="835" ht="22" customHeight="1">
      <x:c r="A835" s="22" t="n">
        <x:v>810</x:v>
      </x:c>
      <x:c r="B835" s="22" t="n">
        <x:f>MOD($B$6*(A835-1)+$B$7,$A$12)+1</x:f>
        <x:v>77</x:v>
      </x:c>
      <x:c r="C835" s="22" t="n">
        <x:f>MOD($B$6*(A835-1)+$B$7,$A$13)+1</x:f>
        <x:v>77</x:v>
      </x:c>
      <x:c r="D835" s="22" t="n">
        <x:f>MOD($B$6*(A835-1)+$B$7,$A$14)+1</x:f>
        <x:v>77</x:v>
      </x:c>
      <x:c r="E835" s="22" t="n">
        <x:f>MOD($B$6*(A835-1)+$B$7,$A$15)+1</x:f>
        <x:v>77</x:v>
      </x:c>
      <x:c r="F835" s="18"/>
      <x:c r="G835" s="18"/>
      <x:c r="H835" s="18" t="str">
        <x:v>pairing identity only</x:v>
      </x:c>
    </x:row>
    <x:row r="836" ht="22" customHeight="1">
      <x:c r="A836" s="22" t="n">
        <x:v>811</x:v>
      </x:c>
      <x:c r="B836" s="22" t="n">
        <x:f>MOD($B$6*(A836-1)+$B$7,$A$12)+1</x:f>
        <x:v>25</x:v>
      </x:c>
      <x:c r="C836" s="22" t="n">
        <x:f>MOD($B$6*(A836-1)+$B$7,$A$13)+1</x:f>
        <x:v>150</x:v>
      </x:c>
      <x:c r="D836" s="22" t="n">
        <x:f>MOD($B$6*(A836-1)+$B$7,$A$14)+1</x:f>
        <x:v>150</x:v>
      </x:c>
      <x:c r="E836" s="22" t="n">
        <x:f>MOD($B$6*(A836-1)+$B$7,$A$15)+1</x:f>
        <x:v>150</x:v>
      </x:c>
      <x:c r="F836" s="18"/>
      <x:c r="G836" s="18"/>
      <x:c r="H836" s="18" t="str">
        <x:v>pairing identity only</x:v>
      </x:c>
    </x:row>
    <x:row r="837" ht="22" customHeight="1">
      <x:c r="A837" s="22" t="n">
        <x:v>812</x:v>
      </x:c>
      <x:c r="B837" s="22" t="n">
        <x:f>MOD($B$6*(A837-1)+$B$7,$A$12)+1</x:f>
        <x:v>98</x:v>
      </x:c>
      <x:c r="C837" s="22" t="n">
        <x:f>MOD($B$6*(A837-1)+$B$7,$A$13)+1</x:f>
        <x:v>223</x:v>
      </x:c>
      <x:c r="D837" s="22" t="n">
        <x:f>MOD($B$6*(A837-1)+$B$7,$A$14)+1</x:f>
        <x:v>223</x:v>
      </x:c>
      <x:c r="E837" s="22" t="n">
        <x:f>MOD($B$6*(A837-1)+$B$7,$A$15)+1</x:f>
        <x:v>223</x:v>
      </x:c>
      <x:c r="F837" s="18"/>
      <x:c r="G837" s="18"/>
      <x:c r="H837" s="18" t="str">
        <x:v>pairing identity only</x:v>
      </x:c>
    </x:row>
    <x:row r="838" ht="22" customHeight="1">
      <x:c r="A838" s="22" t="n">
        <x:v>813</x:v>
      </x:c>
      <x:c r="B838" s="22" t="n">
        <x:f>MOD($B$6*(A838-1)+$B$7,$A$12)+1</x:f>
        <x:v>46</x:v>
      </x:c>
      <x:c r="C838" s="22" t="n">
        <x:f>MOD($B$6*(A838-1)+$B$7,$A$13)+1</x:f>
        <x:v>46</x:v>
      </x:c>
      <x:c r="D838" s="22" t="n">
        <x:f>MOD($B$6*(A838-1)+$B$7,$A$14)+1</x:f>
        <x:v>296</x:v>
      </x:c>
      <x:c r="E838" s="22" t="n">
        <x:f>MOD($B$6*(A838-1)+$B$7,$A$15)+1</x:f>
        <x:v>296</x:v>
      </x:c>
      <x:c r="F838" s="18"/>
      <x:c r="G838" s="18"/>
      <x:c r="H838" s="18" t="str">
        <x:v>pairing identity only</x:v>
      </x:c>
    </x:row>
    <x:row r="839" ht="22" customHeight="1">
      <x:c r="A839" s="22" t="n">
        <x:v>814</x:v>
      </x:c>
      <x:c r="B839" s="22" t="n">
        <x:f>MOD($B$6*(A839-1)+$B$7,$A$12)+1</x:f>
        <x:v>119</x:v>
      </x:c>
      <x:c r="C839" s="22" t="n">
        <x:f>MOD($B$6*(A839-1)+$B$7,$A$13)+1</x:f>
        <x:v>119</x:v>
      </x:c>
      <x:c r="D839" s="22" t="n">
        <x:f>MOD($B$6*(A839-1)+$B$7,$A$14)+1</x:f>
        <x:v>369</x:v>
      </x:c>
      <x:c r="E839" s="22" t="n">
        <x:f>MOD($B$6*(A839-1)+$B$7,$A$15)+1</x:f>
        <x:v>369</x:v>
      </x:c>
      <x:c r="F839" s="18"/>
      <x:c r="G839" s="18"/>
      <x:c r="H839" s="18" t="str">
        <x:v>pairing identity only</x:v>
      </x:c>
    </x:row>
    <x:row r="840" ht="22" customHeight="1">
      <x:c r="A840" s="22" t="n">
        <x:v>815</x:v>
      </x:c>
      <x:c r="B840" s="22" t="n">
        <x:f>MOD($B$6*(A840-1)+$B$7,$A$12)+1</x:f>
        <x:v>67</x:v>
      </x:c>
      <x:c r="C840" s="22" t="n">
        <x:f>MOD($B$6*(A840-1)+$B$7,$A$13)+1</x:f>
        <x:v>192</x:v>
      </x:c>
      <x:c r="D840" s="22" t="n">
        <x:f>MOD($B$6*(A840-1)+$B$7,$A$14)+1</x:f>
        <x:v>442</x:v>
      </x:c>
      <x:c r="E840" s="22" t="n">
        <x:f>MOD($B$6*(A840-1)+$B$7,$A$15)+1</x:f>
        <x:v>442</x:v>
      </x:c>
      <x:c r="F840" s="18"/>
      <x:c r="G840" s="18"/>
      <x:c r="H840" s="18" t="str">
        <x:v>pairing identity only</x:v>
      </x:c>
    </x:row>
    <x:row r="841" ht="22" customHeight="1">
      <x:c r="A841" s="22" t="n">
        <x:v>816</x:v>
      </x:c>
      <x:c r="B841" s="22" t="n">
        <x:f>MOD($B$6*(A841-1)+$B$7,$A$12)+1</x:f>
        <x:v>15</x:v>
      </x:c>
      <x:c r="C841" s="22" t="n">
        <x:f>MOD($B$6*(A841-1)+$B$7,$A$13)+1</x:f>
        <x:v>15</x:v>
      </x:c>
      <x:c r="D841" s="22" t="n">
        <x:f>MOD($B$6*(A841-1)+$B$7,$A$14)+1</x:f>
        <x:v>15</x:v>
      </x:c>
      <x:c r="E841" s="22" t="n">
        <x:f>MOD($B$6*(A841-1)+$B$7,$A$15)+1</x:f>
        <x:v>515</x:v>
      </x:c>
      <x:c r="F841" s="18"/>
      <x:c r="G841" s="18"/>
      <x:c r="H841" s="18" t="str">
        <x:v>pairing identity only</x:v>
      </x:c>
    </x:row>
    <x:row r="842" ht="22" customHeight="1">
      <x:c r="A842" s="22" t="n">
        <x:v>817</x:v>
      </x:c>
      <x:c r="B842" s="22" t="n">
        <x:f>MOD($B$6*(A842-1)+$B$7,$A$12)+1</x:f>
        <x:v>88</x:v>
      </x:c>
      <x:c r="C842" s="22" t="n">
        <x:f>MOD($B$6*(A842-1)+$B$7,$A$13)+1</x:f>
        <x:v>88</x:v>
      </x:c>
      <x:c r="D842" s="22" t="n">
        <x:f>MOD($B$6*(A842-1)+$B$7,$A$14)+1</x:f>
        <x:v>88</x:v>
      </x:c>
      <x:c r="E842" s="22" t="n">
        <x:f>MOD($B$6*(A842-1)+$B$7,$A$15)+1</x:f>
        <x:v>588</x:v>
      </x:c>
      <x:c r="F842" s="18"/>
      <x:c r="G842" s="18"/>
      <x:c r="H842" s="18" t="str">
        <x:v>pairing identity only</x:v>
      </x:c>
    </x:row>
    <x:row r="843" ht="22" customHeight="1">
      <x:c r="A843" s="22" t="n">
        <x:v>818</x:v>
      </x:c>
      <x:c r="B843" s="22" t="n">
        <x:f>MOD($B$6*(A843-1)+$B$7,$A$12)+1</x:f>
        <x:v>36</x:v>
      </x:c>
      <x:c r="C843" s="22" t="n">
        <x:f>MOD($B$6*(A843-1)+$B$7,$A$13)+1</x:f>
        <x:v>161</x:v>
      </x:c>
      <x:c r="D843" s="22" t="n">
        <x:f>MOD($B$6*(A843-1)+$B$7,$A$14)+1</x:f>
        <x:v>161</x:v>
      </x:c>
      <x:c r="E843" s="22" t="n">
        <x:f>MOD($B$6*(A843-1)+$B$7,$A$15)+1</x:f>
        <x:v>661</x:v>
      </x:c>
      <x:c r="F843" s="18"/>
      <x:c r="G843" s="18"/>
      <x:c r="H843" s="18" t="str">
        <x:v>pairing identity only</x:v>
      </x:c>
    </x:row>
    <x:row r="844" ht="22" customHeight="1">
      <x:c r="A844" s="22" t="n">
        <x:v>819</x:v>
      </x:c>
      <x:c r="B844" s="22" t="n">
        <x:f>MOD($B$6*(A844-1)+$B$7,$A$12)+1</x:f>
        <x:v>109</x:v>
      </x:c>
      <x:c r="C844" s="22" t="n">
        <x:f>MOD($B$6*(A844-1)+$B$7,$A$13)+1</x:f>
        <x:v>234</x:v>
      </x:c>
      <x:c r="D844" s="22" t="n">
        <x:f>MOD($B$6*(A844-1)+$B$7,$A$14)+1</x:f>
        <x:v>234</x:v>
      </x:c>
      <x:c r="E844" s="22" t="n">
        <x:f>MOD($B$6*(A844-1)+$B$7,$A$15)+1</x:f>
        <x:v>734</x:v>
      </x:c>
      <x:c r="F844" s="18"/>
      <x:c r="G844" s="18"/>
      <x:c r="H844" s="18" t="str">
        <x:v>pairing identity only</x:v>
      </x:c>
    </x:row>
    <x:row r="845" ht="22" customHeight="1">
      <x:c r="A845" s="22" t="n">
        <x:v>820</x:v>
      </x:c>
      <x:c r="B845" s="22" t="n">
        <x:f>MOD($B$6*(A845-1)+$B$7,$A$12)+1</x:f>
        <x:v>57</x:v>
      </x:c>
      <x:c r="C845" s="22" t="n">
        <x:f>MOD($B$6*(A845-1)+$B$7,$A$13)+1</x:f>
        <x:v>57</x:v>
      </x:c>
      <x:c r="D845" s="22" t="n">
        <x:f>MOD($B$6*(A845-1)+$B$7,$A$14)+1</x:f>
        <x:v>307</x:v>
      </x:c>
      <x:c r="E845" s="22" t="n">
        <x:f>MOD($B$6*(A845-1)+$B$7,$A$15)+1</x:f>
        <x:v>807</x:v>
      </x:c>
      <x:c r="F845" s="18"/>
      <x:c r="G845" s="18"/>
      <x:c r="H845" s="18" t="str">
        <x:v>pairing identity only</x:v>
      </x:c>
    </x:row>
    <x:row r="846" ht="22" customHeight="1">
      <x:c r="A846" s="22" t="n">
        <x:v>821</x:v>
      </x:c>
      <x:c r="B846" s="22" t="n">
        <x:f>MOD($B$6*(A846-1)+$B$7,$A$12)+1</x:f>
        <x:v>5</x:v>
      </x:c>
      <x:c r="C846" s="22" t="n">
        <x:f>MOD($B$6*(A846-1)+$B$7,$A$13)+1</x:f>
        <x:v>130</x:v>
      </x:c>
      <x:c r="D846" s="22" t="n">
        <x:f>MOD($B$6*(A846-1)+$B$7,$A$14)+1</x:f>
        <x:v>380</x:v>
      </x:c>
      <x:c r="E846" s="22" t="n">
        <x:f>MOD($B$6*(A846-1)+$B$7,$A$15)+1</x:f>
        <x:v>880</x:v>
      </x:c>
      <x:c r="F846" s="18"/>
      <x:c r="G846" s="18"/>
      <x:c r="H846" s="18" t="str">
        <x:v>pairing identity only</x:v>
      </x:c>
    </x:row>
    <x:row r="847" ht="22" customHeight="1">
      <x:c r="A847" s="22" t="n">
        <x:v>822</x:v>
      </x:c>
      <x:c r="B847" s="22" t="n">
        <x:f>MOD($B$6*(A847-1)+$B$7,$A$12)+1</x:f>
        <x:v>78</x:v>
      </x:c>
      <x:c r="C847" s="22" t="n">
        <x:f>MOD($B$6*(A847-1)+$B$7,$A$13)+1</x:f>
        <x:v>203</x:v>
      </x:c>
      <x:c r="D847" s="22" t="n">
        <x:f>MOD($B$6*(A847-1)+$B$7,$A$14)+1</x:f>
        <x:v>453</x:v>
      </x:c>
      <x:c r="E847" s="22" t="n">
        <x:f>MOD($B$6*(A847-1)+$B$7,$A$15)+1</x:f>
        <x:v>953</x:v>
      </x:c>
      <x:c r="F847" s="18"/>
      <x:c r="G847" s="18"/>
      <x:c r="H847" s="18" t="str">
        <x:v>pairing identity only</x:v>
      </x:c>
    </x:row>
    <x:row r="848" ht="22" customHeight="1">
      <x:c r="A848" s="22" t="n">
        <x:v>823</x:v>
      </x:c>
      <x:c r="B848" s="22" t="n">
        <x:f>MOD($B$6*(A848-1)+$B$7,$A$12)+1</x:f>
        <x:v>26</x:v>
      </x:c>
      <x:c r="C848" s="22" t="n">
        <x:f>MOD($B$6*(A848-1)+$B$7,$A$13)+1</x:f>
        <x:v>26</x:v>
      </x:c>
      <x:c r="D848" s="22" t="n">
        <x:f>MOD($B$6*(A848-1)+$B$7,$A$14)+1</x:f>
        <x:v>26</x:v>
      </x:c>
      <x:c r="E848" s="22" t="n">
        <x:f>MOD($B$6*(A848-1)+$B$7,$A$15)+1</x:f>
        <x:v>26</x:v>
      </x:c>
      <x:c r="F848" s="18"/>
      <x:c r="G848" s="18"/>
      <x:c r="H848" s="18" t="str">
        <x:v>pairing identity only</x:v>
      </x:c>
    </x:row>
    <x:row r="849" ht="22" customHeight="1">
      <x:c r="A849" s="22" t="n">
        <x:v>824</x:v>
      </x:c>
      <x:c r="B849" s="22" t="n">
        <x:f>MOD($B$6*(A849-1)+$B$7,$A$12)+1</x:f>
        <x:v>99</x:v>
      </x:c>
      <x:c r="C849" s="22" t="n">
        <x:f>MOD($B$6*(A849-1)+$B$7,$A$13)+1</x:f>
        <x:v>99</x:v>
      </x:c>
      <x:c r="D849" s="22" t="n">
        <x:f>MOD($B$6*(A849-1)+$B$7,$A$14)+1</x:f>
        <x:v>99</x:v>
      </x:c>
      <x:c r="E849" s="22" t="n">
        <x:f>MOD($B$6*(A849-1)+$B$7,$A$15)+1</x:f>
        <x:v>99</x:v>
      </x:c>
      <x:c r="F849" s="18"/>
      <x:c r="G849" s="18"/>
      <x:c r="H849" s="18" t="str">
        <x:v>pairing identity only</x:v>
      </x:c>
    </x:row>
    <x:row r="850" ht="22" customHeight="1">
      <x:c r="A850" s="22" t="n">
        <x:v>825</x:v>
      </x:c>
      <x:c r="B850" s="22" t="n">
        <x:f>MOD($B$6*(A850-1)+$B$7,$A$12)+1</x:f>
        <x:v>47</x:v>
      </x:c>
      <x:c r="C850" s="22" t="n">
        <x:f>MOD($B$6*(A850-1)+$B$7,$A$13)+1</x:f>
        <x:v>172</x:v>
      </x:c>
      <x:c r="D850" s="22" t="n">
        <x:f>MOD($B$6*(A850-1)+$B$7,$A$14)+1</x:f>
        <x:v>172</x:v>
      </x:c>
      <x:c r="E850" s="22" t="n">
        <x:f>MOD($B$6*(A850-1)+$B$7,$A$15)+1</x:f>
        <x:v>172</x:v>
      </x:c>
      <x:c r="F850" s="18"/>
      <x:c r="G850" s="18"/>
      <x:c r="H850" s="18" t="str">
        <x:v>pairing identity only</x:v>
      </x:c>
    </x:row>
    <x:row r="851" ht="22" customHeight="1">
      <x:c r="A851" s="22" t="n">
        <x:v>826</x:v>
      </x:c>
      <x:c r="B851" s="22" t="n">
        <x:f>MOD($B$6*(A851-1)+$B$7,$A$12)+1</x:f>
        <x:v>120</x:v>
      </x:c>
      <x:c r="C851" s="22" t="n">
        <x:f>MOD($B$6*(A851-1)+$B$7,$A$13)+1</x:f>
        <x:v>245</x:v>
      </x:c>
      <x:c r="D851" s="22" t="n">
        <x:f>MOD($B$6*(A851-1)+$B$7,$A$14)+1</x:f>
        <x:v>245</x:v>
      </x:c>
      <x:c r="E851" s="22" t="n">
        <x:f>MOD($B$6*(A851-1)+$B$7,$A$15)+1</x:f>
        <x:v>245</x:v>
      </x:c>
      <x:c r="F851" s="18"/>
      <x:c r="G851" s="18"/>
      <x:c r="H851" s="18" t="str">
        <x:v>pairing identity only</x:v>
      </x:c>
    </x:row>
    <x:row r="852" ht="22" customHeight="1">
      <x:c r="A852" s="22" t="n">
        <x:v>827</x:v>
      </x:c>
      <x:c r="B852" s="22" t="n">
        <x:f>MOD($B$6*(A852-1)+$B$7,$A$12)+1</x:f>
        <x:v>68</x:v>
      </x:c>
      <x:c r="C852" s="22" t="n">
        <x:f>MOD($B$6*(A852-1)+$B$7,$A$13)+1</x:f>
        <x:v>68</x:v>
      </x:c>
      <x:c r="D852" s="22" t="n">
        <x:f>MOD($B$6*(A852-1)+$B$7,$A$14)+1</x:f>
        <x:v>318</x:v>
      </x:c>
      <x:c r="E852" s="22" t="n">
        <x:f>MOD($B$6*(A852-1)+$B$7,$A$15)+1</x:f>
        <x:v>318</x:v>
      </x:c>
      <x:c r="F852" s="18"/>
      <x:c r="G852" s="18"/>
      <x:c r="H852" s="18" t="str">
        <x:v>pairing identity only</x:v>
      </x:c>
    </x:row>
    <x:row r="853" ht="22" customHeight="1">
      <x:c r="A853" s="22" t="n">
        <x:v>828</x:v>
      </x:c>
      <x:c r="B853" s="22" t="n">
        <x:f>MOD($B$6*(A853-1)+$B$7,$A$12)+1</x:f>
        <x:v>16</x:v>
      </x:c>
      <x:c r="C853" s="22" t="n">
        <x:f>MOD($B$6*(A853-1)+$B$7,$A$13)+1</x:f>
        <x:v>141</x:v>
      </x:c>
      <x:c r="D853" s="22" t="n">
        <x:f>MOD($B$6*(A853-1)+$B$7,$A$14)+1</x:f>
        <x:v>391</x:v>
      </x:c>
      <x:c r="E853" s="22" t="n">
        <x:f>MOD($B$6*(A853-1)+$B$7,$A$15)+1</x:f>
        <x:v>391</x:v>
      </x:c>
      <x:c r="F853" s="18"/>
      <x:c r="G853" s="18"/>
      <x:c r="H853" s="18" t="str">
        <x:v>pairing identity only</x:v>
      </x:c>
    </x:row>
    <x:row r="854" ht="22" customHeight="1">
      <x:c r="A854" s="22" t="n">
        <x:v>829</x:v>
      </x:c>
      <x:c r="B854" s="22" t="n">
        <x:f>MOD($B$6*(A854-1)+$B$7,$A$12)+1</x:f>
        <x:v>89</x:v>
      </x:c>
      <x:c r="C854" s="22" t="n">
        <x:f>MOD($B$6*(A854-1)+$B$7,$A$13)+1</x:f>
        <x:v>214</x:v>
      </x:c>
      <x:c r="D854" s="22" t="n">
        <x:f>MOD($B$6*(A854-1)+$B$7,$A$14)+1</x:f>
        <x:v>464</x:v>
      </x:c>
      <x:c r="E854" s="22" t="n">
        <x:f>MOD($B$6*(A854-1)+$B$7,$A$15)+1</x:f>
        <x:v>464</x:v>
      </x:c>
      <x:c r="F854" s="18"/>
      <x:c r="G854" s="18"/>
      <x:c r="H854" s="18" t="str">
        <x:v>pairing identity only</x:v>
      </x:c>
    </x:row>
    <x:row r="855" ht="22" customHeight="1">
      <x:c r="A855" s="22" t="n">
        <x:v>830</x:v>
      </x:c>
      <x:c r="B855" s="22" t="n">
        <x:f>MOD($B$6*(A855-1)+$B$7,$A$12)+1</x:f>
        <x:v>37</x:v>
      </x:c>
      <x:c r="C855" s="22" t="n">
        <x:f>MOD($B$6*(A855-1)+$B$7,$A$13)+1</x:f>
        <x:v>37</x:v>
      </x:c>
      <x:c r="D855" s="22" t="n">
        <x:f>MOD($B$6*(A855-1)+$B$7,$A$14)+1</x:f>
        <x:v>37</x:v>
      </x:c>
      <x:c r="E855" s="22" t="n">
        <x:f>MOD($B$6*(A855-1)+$B$7,$A$15)+1</x:f>
        <x:v>537</x:v>
      </x:c>
      <x:c r="F855" s="18"/>
      <x:c r="G855" s="18"/>
      <x:c r="H855" s="18" t="str">
        <x:v>pairing identity only</x:v>
      </x:c>
    </x:row>
    <x:row r="856" ht="22" customHeight="1">
      <x:c r="A856" s="22" t="n">
        <x:v>831</x:v>
      </x:c>
      <x:c r="B856" s="22" t="n">
        <x:f>MOD($B$6*(A856-1)+$B$7,$A$12)+1</x:f>
        <x:v>110</x:v>
      </x:c>
      <x:c r="C856" s="22" t="n">
        <x:f>MOD($B$6*(A856-1)+$B$7,$A$13)+1</x:f>
        <x:v>110</x:v>
      </x:c>
      <x:c r="D856" s="22" t="n">
        <x:f>MOD($B$6*(A856-1)+$B$7,$A$14)+1</x:f>
        <x:v>110</x:v>
      </x:c>
      <x:c r="E856" s="22" t="n">
        <x:f>MOD($B$6*(A856-1)+$B$7,$A$15)+1</x:f>
        <x:v>610</x:v>
      </x:c>
      <x:c r="F856" s="18"/>
      <x:c r="G856" s="18"/>
      <x:c r="H856" s="18" t="str">
        <x:v>pairing identity only</x:v>
      </x:c>
    </x:row>
    <x:row r="857" ht="22" customHeight="1">
      <x:c r="A857" s="22" t="n">
        <x:v>832</x:v>
      </x:c>
      <x:c r="B857" s="22" t="n">
        <x:f>MOD($B$6*(A857-1)+$B$7,$A$12)+1</x:f>
        <x:v>58</x:v>
      </x:c>
      <x:c r="C857" s="22" t="n">
        <x:f>MOD($B$6*(A857-1)+$B$7,$A$13)+1</x:f>
        <x:v>183</x:v>
      </x:c>
      <x:c r="D857" s="22" t="n">
        <x:f>MOD($B$6*(A857-1)+$B$7,$A$14)+1</x:f>
        <x:v>183</x:v>
      </x:c>
      <x:c r="E857" s="22" t="n">
        <x:f>MOD($B$6*(A857-1)+$B$7,$A$15)+1</x:f>
        <x:v>683</x:v>
      </x:c>
      <x:c r="F857" s="18"/>
      <x:c r="G857" s="18"/>
      <x:c r="H857" s="18" t="str">
        <x:v>pairing identity only</x:v>
      </x:c>
    </x:row>
    <x:row r="858" ht="22" customHeight="1">
      <x:c r="A858" s="22" t="n">
        <x:v>833</x:v>
      </x:c>
      <x:c r="B858" s="22" t="n">
        <x:f>MOD($B$6*(A858-1)+$B$7,$A$12)+1</x:f>
        <x:v>6</x:v>
      </x:c>
      <x:c r="C858" s="22" t="n">
        <x:f>MOD($B$6*(A858-1)+$B$7,$A$13)+1</x:f>
        <x:v>6</x:v>
      </x:c>
      <x:c r="D858" s="22" t="n">
        <x:f>MOD($B$6*(A858-1)+$B$7,$A$14)+1</x:f>
        <x:v>256</x:v>
      </x:c>
      <x:c r="E858" s="22" t="n">
        <x:f>MOD($B$6*(A858-1)+$B$7,$A$15)+1</x:f>
        <x:v>756</x:v>
      </x:c>
      <x:c r="F858" s="18"/>
      <x:c r="G858" s="18"/>
      <x:c r="H858" s="18" t="str">
        <x:v>pairing identity only</x:v>
      </x:c>
    </x:row>
    <x:row r="859" ht="22" customHeight="1">
      <x:c r="A859" s="22" t="n">
        <x:v>834</x:v>
      </x:c>
      <x:c r="B859" s="22" t="n">
        <x:f>MOD($B$6*(A859-1)+$B$7,$A$12)+1</x:f>
        <x:v>79</x:v>
      </x:c>
      <x:c r="C859" s="22" t="n">
        <x:f>MOD($B$6*(A859-1)+$B$7,$A$13)+1</x:f>
        <x:v>79</x:v>
      </x:c>
      <x:c r="D859" s="22" t="n">
        <x:f>MOD($B$6*(A859-1)+$B$7,$A$14)+1</x:f>
        <x:v>329</x:v>
      </x:c>
      <x:c r="E859" s="22" t="n">
        <x:f>MOD($B$6*(A859-1)+$B$7,$A$15)+1</x:f>
        <x:v>829</x:v>
      </x:c>
      <x:c r="F859" s="18"/>
      <x:c r="G859" s="18"/>
      <x:c r="H859" s="18" t="str">
        <x:v>pairing identity only</x:v>
      </x:c>
    </x:row>
    <x:row r="860" ht="22" customHeight="1">
      <x:c r="A860" s="22" t="n">
        <x:v>835</x:v>
      </x:c>
      <x:c r="B860" s="22" t="n">
        <x:f>MOD($B$6*(A860-1)+$B$7,$A$12)+1</x:f>
        <x:v>27</x:v>
      </x:c>
      <x:c r="C860" s="22" t="n">
        <x:f>MOD($B$6*(A860-1)+$B$7,$A$13)+1</x:f>
        <x:v>152</x:v>
      </x:c>
      <x:c r="D860" s="22" t="n">
        <x:f>MOD($B$6*(A860-1)+$B$7,$A$14)+1</x:f>
        <x:v>402</x:v>
      </x:c>
      <x:c r="E860" s="22" t="n">
        <x:f>MOD($B$6*(A860-1)+$B$7,$A$15)+1</x:f>
        <x:v>902</x:v>
      </x:c>
      <x:c r="F860" s="18"/>
      <x:c r="G860" s="18"/>
      <x:c r="H860" s="18" t="str">
        <x:v>pairing identity only</x:v>
      </x:c>
    </x:row>
    <x:row r="861" ht="22" customHeight="1">
      <x:c r="A861" s="22" t="n">
        <x:v>836</x:v>
      </x:c>
      <x:c r="B861" s="22" t="n">
        <x:f>MOD($B$6*(A861-1)+$B$7,$A$12)+1</x:f>
        <x:v>100</x:v>
      </x:c>
      <x:c r="C861" s="22" t="n">
        <x:f>MOD($B$6*(A861-1)+$B$7,$A$13)+1</x:f>
        <x:v>225</x:v>
      </x:c>
      <x:c r="D861" s="22" t="n">
        <x:f>MOD($B$6*(A861-1)+$B$7,$A$14)+1</x:f>
        <x:v>475</x:v>
      </x:c>
      <x:c r="E861" s="22" t="n">
        <x:f>MOD($B$6*(A861-1)+$B$7,$A$15)+1</x:f>
        <x:v>975</x:v>
      </x:c>
      <x:c r="F861" s="18"/>
      <x:c r="G861" s="18"/>
      <x:c r="H861" s="18" t="str">
        <x:v>pairing identity only</x:v>
      </x:c>
    </x:row>
    <x:row r="862" ht="22" customHeight="1">
      <x:c r="A862" s="22" t="n">
        <x:v>837</x:v>
      </x:c>
      <x:c r="B862" s="22" t="n">
        <x:f>MOD($B$6*(A862-1)+$B$7,$A$12)+1</x:f>
        <x:v>48</x:v>
      </x:c>
      <x:c r="C862" s="22" t="n">
        <x:f>MOD($B$6*(A862-1)+$B$7,$A$13)+1</x:f>
        <x:v>48</x:v>
      </x:c>
      <x:c r="D862" s="22" t="n">
        <x:f>MOD($B$6*(A862-1)+$B$7,$A$14)+1</x:f>
        <x:v>48</x:v>
      </x:c>
      <x:c r="E862" s="22" t="n">
        <x:f>MOD($B$6*(A862-1)+$B$7,$A$15)+1</x:f>
        <x:v>48</x:v>
      </x:c>
      <x:c r="F862" s="18"/>
      <x:c r="G862" s="18"/>
      <x:c r="H862" s="18" t="str">
        <x:v>pairing identity only</x:v>
      </x:c>
    </x:row>
    <x:row r="863" ht="22" customHeight="1">
      <x:c r="A863" s="22" t="n">
        <x:v>838</x:v>
      </x:c>
      <x:c r="B863" s="22" t="n">
        <x:f>MOD($B$6*(A863-1)+$B$7,$A$12)+1</x:f>
        <x:v>121</x:v>
      </x:c>
      <x:c r="C863" s="22" t="n">
        <x:f>MOD($B$6*(A863-1)+$B$7,$A$13)+1</x:f>
        <x:v>121</x:v>
      </x:c>
      <x:c r="D863" s="22" t="n">
        <x:f>MOD($B$6*(A863-1)+$B$7,$A$14)+1</x:f>
        <x:v>121</x:v>
      </x:c>
      <x:c r="E863" s="22" t="n">
        <x:f>MOD($B$6*(A863-1)+$B$7,$A$15)+1</x:f>
        <x:v>121</x:v>
      </x:c>
      <x:c r="F863" s="18"/>
      <x:c r="G863" s="18"/>
      <x:c r="H863" s="18" t="str">
        <x:v>pairing identity only</x:v>
      </x:c>
    </x:row>
    <x:row r="864" ht="22" customHeight="1">
      <x:c r="A864" s="22" t="n">
        <x:v>839</x:v>
      </x:c>
      <x:c r="B864" s="22" t="n">
        <x:f>MOD($B$6*(A864-1)+$B$7,$A$12)+1</x:f>
        <x:v>69</x:v>
      </x:c>
      <x:c r="C864" s="22" t="n">
        <x:f>MOD($B$6*(A864-1)+$B$7,$A$13)+1</x:f>
        <x:v>194</x:v>
      </x:c>
      <x:c r="D864" s="22" t="n">
        <x:f>MOD($B$6*(A864-1)+$B$7,$A$14)+1</x:f>
        <x:v>194</x:v>
      </x:c>
      <x:c r="E864" s="22" t="n">
        <x:f>MOD($B$6*(A864-1)+$B$7,$A$15)+1</x:f>
        <x:v>194</x:v>
      </x:c>
      <x:c r="F864" s="18"/>
      <x:c r="G864" s="18"/>
      <x:c r="H864" s="18" t="str">
        <x:v>pairing identity only</x:v>
      </x:c>
    </x:row>
    <x:row r="865" ht="22" customHeight="1">
      <x:c r="A865" s="22" t="n">
        <x:v>840</x:v>
      </x:c>
      <x:c r="B865" s="22" t="n">
        <x:f>MOD($B$6*(A865-1)+$B$7,$A$12)+1</x:f>
        <x:v>17</x:v>
      </x:c>
      <x:c r="C865" s="22" t="n">
        <x:f>MOD($B$6*(A865-1)+$B$7,$A$13)+1</x:f>
        <x:v>17</x:v>
      </x:c>
      <x:c r="D865" s="22" t="n">
        <x:f>MOD($B$6*(A865-1)+$B$7,$A$14)+1</x:f>
        <x:v>267</x:v>
      </x:c>
      <x:c r="E865" s="22" t="n">
        <x:f>MOD($B$6*(A865-1)+$B$7,$A$15)+1</x:f>
        <x:v>267</x:v>
      </x:c>
      <x:c r="F865" s="18"/>
      <x:c r="G865" s="18"/>
      <x:c r="H865" s="18" t="str">
        <x:v>pairing identity only</x:v>
      </x:c>
    </x:row>
    <x:row r="866" ht="22" customHeight="1">
      <x:c r="A866" s="22" t="n">
        <x:v>841</x:v>
      </x:c>
      <x:c r="B866" s="22" t="n">
        <x:f>MOD($B$6*(A866-1)+$B$7,$A$12)+1</x:f>
        <x:v>90</x:v>
      </x:c>
      <x:c r="C866" s="22" t="n">
        <x:f>MOD($B$6*(A866-1)+$B$7,$A$13)+1</x:f>
        <x:v>90</x:v>
      </x:c>
      <x:c r="D866" s="22" t="n">
        <x:f>MOD($B$6*(A866-1)+$B$7,$A$14)+1</x:f>
        <x:v>340</x:v>
      </x:c>
      <x:c r="E866" s="22" t="n">
        <x:f>MOD($B$6*(A866-1)+$B$7,$A$15)+1</x:f>
        <x:v>340</x:v>
      </x:c>
      <x:c r="F866" s="18"/>
      <x:c r="G866" s="18"/>
      <x:c r="H866" s="18" t="str">
        <x:v>pairing identity only</x:v>
      </x:c>
    </x:row>
    <x:row r="867" ht="22" customHeight="1">
      <x:c r="A867" s="22" t="n">
        <x:v>842</x:v>
      </x:c>
      <x:c r="B867" s="22" t="n">
        <x:f>MOD($B$6*(A867-1)+$B$7,$A$12)+1</x:f>
        <x:v>38</x:v>
      </x:c>
      <x:c r="C867" s="22" t="n">
        <x:f>MOD($B$6*(A867-1)+$B$7,$A$13)+1</x:f>
        <x:v>163</x:v>
      </x:c>
      <x:c r="D867" s="22" t="n">
        <x:f>MOD($B$6*(A867-1)+$B$7,$A$14)+1</x:f>
        <x:v>413</x:v>
      </x:c>
      <x:c r="E867" s="22" t="n">
        <x:f>MOD($B$6*(A867-1)+$B$7,$A$15)+1</x:f>
        <x:v>413</x:v>
      </x:c>
      <x:c r="F867" s="18"/>
      <x:c r="G867" s="18"/>
      <x:c r="H867" s="18" t="str">
        <x:v>pairing identity only</x:v>
      </x:c>
    </x:row>
    <x:row r="868" ht="22" customHeight="1">
      <x:c r="A868" s="22" t="n">
        <x:v>843</x:v>
      </x:c>
      <x:c r="B868" s="22" t="n">
        <x:f>MOD($B$6*(A868-1)+$B$7,$A$12)+1</x:f>
        <x:v>111</x:v>
      </x:c>
      <x:c r="C868" s="22" t="n">
        <x:f>MOD($B$6*(A868-1)+$B$7,$A$13)+1</x:f>
        <x:v>236</x:v>
      </x:c>
      <x:c r="D868" s="22" t="n">
        <x:f>MOD($B$6*(A868-1)+$B$7,$A$14)+1</x:f>
        <x:v>486</x:v>
      </x:c>
      <x:c r="E868" s="22" t="n">
        <x:f>MOD($B$6*(A868-1)+$B$7,$A$15)+1</x:f>
        <x:v>486</x:v>
      </x:c>
      <x:c r="F868" s="18"/>
      <x:c r="G868" s="18"/>
      <x:c r="H868" s="18" t="str">
        <x:v>pairing identity only</x:v>
      </x:c>
    </x:row>
    <x:row r="869" ht="22" customHeight="1">
      <x:c r="A869" s="22" t="n">
        <x:v>844</x:v>
      </x:c>
      <x:c r="B869" s="22" t="n">
        <x:f>MOD($B$6*(A869-1)+$B$7,$A$12)+1</x:f>
        <x:v>59</x:v>
      </x:c>
      <x:c r="C869" s="22" t="n">
        <x:f>MOD($B$6*(A869-1)+$B$7,$A$13)+1</x:f>
        <x:v>59</x:v>
      </x:c>
      <x:c r="D869" s="22" t="n">
        <x:f>MOD($B$6*(A869-1)+$B$7,$A$14)+1</x:f>
        <x:v>59</x:v>
      </x:c>
      <x:c r="E869" s="22" t="n">
        <x:f>MOD($B$6*(A869-1)+$B$7,$A$15)+1</x:f>
        <x:v>559</x:v>
      </x:c>
      <x:c r="F869" s="18"/>
      <x:c r="G869" s="18"/>
      <x:c r="H869" s="18" t="str">
        <x:v>pairing identity only</x:v>
      </x:c>
    </x:row>
    <x:row r="870" ht="22" customHeight="1">
      <x:c r="A870" s="22" t="n">
        <x:v>845</x:v>
      </x:c>
      <x:c r="B870" s="22" t="n">
        <x:f>MOD($B$6*(A870-1)+$B$7,$A$12)+1</x:f>
        <x:v>7</x:v>
      </x:c>
      <x:c r="C870" s="22" t="n">
        <x:f>MOD($B$6*(A870-1)+$B$7,$A$13)+1</x:f>
        <x:v>132</x:v>
      </x:c>
      <x:c r="D870" s="22" t="n">
        <x:f>MOD($B$6*(A870-1)+$B$7,$A$14)+1</x:f>
        <x:v>132</x:v>
      </x:c>
      <x:c r="E870" s="22" t="n">
        <x:f>MOD($B$6*(A870-1)+$B$7,$A$15)+1</x:f>
        <x:v>632</x:v>
      </x:c>
      <x:c r="F870" s="18"/>
      <x:c r="G870" s="18"/>
      <x:c r="H870" s="18" t="str">
        <x:v>pairing identity only</x:v>
      </x:c>
    </x:row>
    <x:row r="871" ht="22" customHeight="1">
      <x:c r="A871" s="22" t="n">
        <x:v>846</x:v>
      </x:c>
      <x:c r="B871" s="22" t="n">
        <x:f>MOD($B$6*(A871-1)+$B$7,$A$12)+1</x:f>
        <x:v>80</x:v>
      </x:c>
      <x:c r="C871" s="22" t="n">
        <x:f>MOD($B$6*(A871-1)+$B$7,$A$13)+1</x:f>
        <x:v>205</x:v>
      </x:c>
      <x:c r="D871" s="22" t="n">
        <x:f>MOD($B$6*(A871-1)+$B$7,$A$14)+1</x:f>
        <x:v>205</x:v>
      </x:c>
      <x:c r="E871" s="22" t="n">
        <x:f>MOD($B$6*(A871-1)+$B$7,$A$15)+1</x:f>
        <x:v>705</x:v>
      </x:c>
      <x:c r="F871" s="18"/>
      <x:c r="G871" s="18"/>
      <x:c r="H871" s="18" t="str">
        <x:v>pairing identity only</x:v>
      </x:c>
    </x:row>
    <x:row r="872" ht="22" customHeight="1">
      <x:c r="A872" s="22" t="n">
        <x:v>847</x:v>
      </x:c>
      <x:c r="B872" s="22" t="n">
        <x:f>MOD($B$6*(A872-1)+$B$7,$A$12)+1</x:f>
        <x:v>28</x:v>
      </x:c>
      <x:c r="C872" s="22" t="n">
        <x:f>MOD($B$6*(A872-1)+$B$7,$A$13)+1</x:f>
        <x:v>28</x:v>
      </x:c>
      <x:c r="D872" s="22" t="n">
        <x:f>MOD($B$6*(A872-1)+$B$7,$A$14)+1</x:f>
        <x:v>278</x:v>
      </x:c>
      <x:c r="E872" s="22" t="n">
        <x:f>MOD($B$6*(A872-1)+$B$7,$A$15)+1</x:f>
        <x:v>778</x:v>
      </x:c>
      <x:c r="F872" s="18"/>
      <x:c r="G872" s="18"/>
      <x:c r="H872" s="18" t="str">
        <x:v>pairing identity only</x:v>
      </x:c>
    </x:row>
    <x:row r="873" ht="22" customHeight="1">
      <x:c r="A873" s="22" t="n">
        <x:v>848</x:v>
      </x:c>
      <x:c r="B873" s="22" t="n">
        <x:f>MOD($B$6*(A873-1)+$B$7,$A$12)+1</x:f>
        <x:v>101</x:v>
      </x:c>
      <x:c r="C873" s="22" t="n">
        <x:f>MOD($B$6*(A873-1)+$B$7,$A$13)+1</x:f>
        <x:v>101</x:v>
      </x:c>
      <x:c r="D873" s="22" t="n">
        <x:f>MOD($B$6*(A873-1)+$B$7,$A$14)+1</x:f>
        <x:v>351</x:v>
      </x:c>
      <x:c r="E873" s="22" t="n">
        <x:f>MOD($B$6*(A873-1)+$B$7,$A$15)+1</x:f>
        <x:v>851</x:v>
      </x:c>
      <x:c r="F873" s="18"/>
      <x:c r="G873" s="18"/>
      <x:c r="H873" s="18" t="str">
        <x:v>pairing identity only</x:v>
      </x:c>
    </x:row>
    <x:row r="874" ht="22" customHeight="1">
      <x:c r="A874" s="22" t="n">
        <x:v>849</x:v>
      </x:c>
      <x:c r="B874" s="22" t="n">
        <x:f>MOD($B$6*(A874-1)+$B$7,$A$12)+1</x:f>
        <x:v>49</x:v>
      </x:c>
      <x:c r="C874" s="22" t="n">
        <x:f>MOD($B$6*(A874-1)+$B$7,$A$13)+1</x:f>
        <x:v>174</x:v>
      </x:c>
      <x:c r="D874" s="22" t="n">
        <x:f>MOD($B$6*(A874-1)+$B$7,$A$14)+1</x:f>
        <x:v>424</x:v>
      </x:c>
      <x:c r="E874" s="22" t="n">
        <x:f>MOD($B$6*(A874-1)+$B$7,$A$15)+1</x:f>
        <x:v>924</x:v>
      </x:c>
      <x:c r="F874" s="18"/>
      <x:c r="G874" s="18"/>
      <x:c r="H874" s="18" t="str">
        <x:v>pairing identity only</x:v>
      </x:c>
    </x:row>
    <x:row r="875" ht="22" customHeight="1">
      <x:c r="A875" s="22" t="n">
        <x:v>850</x:v>
      </x:c>
      <x:c r="B875" s="22" t="n">
        <x:f>MOD($B$6*(A875-1)+$B$7,$A$12)+1</x:f>
        <x:v>122</x:v>
      </x:c>
      <x:c r="C875" s="22" t="n">
        <x:f>MOD($B$6*(A875-1)+$B$7,$A$13)+1</x:f>
        <x:v>247</x:v>
      </x:c>
      <x:c r="D875" s="22" t="n">
        <x:f>MOD($B$6*(A875-1)+$B$7,$A$14)+1</x:f>
        <x:v>497</x:v>
      </x:c>
      <x:c r="E875" s="22" t="n">
        <x:f>MOD($B$6*(A875-1)+$B$7,$A$15)+1</x:f>
        <x:v>997</x:v>
      </x:c>
      <x:c r="F875" s="18"/>
      <x:c r="G875" s="18"/>
      <x:c r="H875" s="18" t="str">
        <x:v>pairing identity only</x:v>
      </x:c>
    </x:row>
    <x:row r="876" ht="22" customHeight="1">
      <x:c r="A876" s="22" t="n">
        <x:v>851</x:v>
      </x:c>
      <x:c r="B876" s="22" t="n">
        <x:f>MOD($B$6*(A876-1)+$B$7,$A$12)+1</x:f>
        <x:v>70</x:v>
      </x:c>
      <x:c r="C876" s="22" t="n">
        <x:f>MOD($B$6*(A876-1)+$B$7,$A$13)+1</x:f>
        <x:v>70</x:v>
      </x:c>
      <x:c r="D876" s="22" t="n">
        <x:f>MOD($B$6*(A876-1)+$B$7,$A$14)+1</x:f>
        <x:v>70</x:v>
      </x:c>
      <x:c r="E876" s="22" t="n">
        <x:f>MOD($B$6*(A876-1)+$B$7,$A$15)+1</x:f>
        <x:v>70</x:v>
      </x:c>
      <x:c r="F876" s="18"/>
      <x:c r="G876" s="18"/>
      <x:c r="H876" s="18" t="str">
        <x:v>pairing identity only</x:v>
      </x:c>
    </x:row>
    <x:row r="877" ht="22" customHeight="1">
      <x:c r="A877" s="22" t="n">
        <x:v>852</x:v>
      </x:c>
      <x:c r="B877" s="22" t="n">
        <x:f>MOD($B$6*(A877-1)+$B$7,$A$12)+1</x:f>
        <x:v>18</x:v>
      </x:c>
      <x:c r="C877" s="22" t="n">
        <x:f>MOD($B$6*(A877-1)+$B$7,$A$13)+1</x:f>
        <x:v>143</x:v>
      </x:c>
      <x:c r="D877" s="22" t="n">
        <x:f>MOD($B$6*(A877-1)+$B$7,$A$14)+1</x:f>
        <x:v>143</x:v>
      </x:c>
      <x:c r="E877" s="22" t="n">
        <x:f>MOD($B$6*(A877-1)+$B$7,$A$15)+1</x:f>
        <x:v>143</x:v>
      </x:c>
      <x:c r="F877" s="18"/>
      <x:c r="G877" s="18"/>
      <x:c r="H877" s="18" t="str">
        <x:v>pairing identity only</x:v>
      </x:c>
    </x:row>
    <x:row r="878" ht="22" customHeight="1">
      <x:c r="A878" s="22" t="n">
        <x:v>853</x:v>
      </x:c>
      <x:c r="B878" s="22" t="n">
        <x:f>MOD($B$6*(A878-1)+$B$7,$A$12)+1</x:f>
        <x:v>91</x:v>
      </x:c>
      <x:c r="C878" s="22" t="n">
        <x:f>MOD($B$6*(A878-1)+$B$7,$A$13)+1</x:f>
        <x:v>216</x:v>
      </x:c>
      <x:c r="D878" s="22" t="n">
        <x:f>MOD($B$6*(A878-1)+$B$7,$A$14)+1</x:f>
        <x:v>216</x:v>
      </x:c>
      <x:c r="E878" s="22" t="n">
        <x:f>MOD($B$6*(A878-1)+$B$7,$A$15)+1</x:f>
        <x:v>216</x:v>
      </x:c>
      <x:c r="F878" s="18"/>
      <x:c r="G878" s="18"/>
      <x:c r="H878" s="18" t="str">
        <x:v>pairing identity only</x:v>
      </x:c>
    </x:row>
    <x:row r="879" ht="22" customHeight="1">
      <x:c r="A879" s="22" t="n">
        <x:v>854</x:v>
      </x:c>
      <x:c r="B879" s="22" t="n">
        <x:f>MOD($B$6*(A879-1)+$B$7,$A$12)+1</x:f>
        <x:v>39</x:v>
      </x:c>
      <x:c r="C879" s="22" t="n">
        <x:f>MOD($B$6*(A879-1)+$B$7,$A$13)+1</x:f>
        <x:v>39</x:v>
      </x:c>
      <x:c r="D879" s="22" t="n">
        <x:f>MOD($B$6*(A879-1)+$B$7,$A$14)+1</x:f>
        <x:v>289</x:v>
      </x:c>
      <x:c r="E879" s="22" t="n">
        <x:f>MOD($B$6*(A879-1)+$B$7,$A$15)+1</x:f>
        <x:v>289</x:v>
      </x:c>
      <x:c r="F879" s="18"/>
      <x:c r="G879" s="18"/>
      <x:c r="H879" s="18" t="str">
        <x:v>pairing identity only</x:v>
      </x:c>
    </x:row>
    <x:row r="880" ht="22" customHeight="1">
      <x:c r="A880" s="22" t="n">
        <x:v>855</x:v>
      </x:c>
      <x:c r="B880" s="22" t="n">
        <x:f>MOD($B$6*(A880-1)+$B$7,$A$12)+1</x:f>
        <x:v>112</x:v>
      </x:c>
      <x:c r="C880" s="22" t="n">
        <x:f>MOD($B$6*(A880-1)+$B$7,$A$13)+1</x:f>
        <x:v>112</x:v>
      </x:c>
      <x:c r="D880" s="22" t="n">
        <x:f>MOD($B$6*(A880-1)+$B$7,$A$14)+1</x:f>
        <x:v>362</x:v>
      </x:c>
      <x:c r="E880" s="22" t="n">
        <x:f>MOD($B$6*(A880-1)+$B$7,$A$15)+1</x:f>
        <x:v>362</x:v>
      </x:c>
      <x:c r="F880" s="18"/>
      <x:c r="G880" s="18"/>
      <x:c r="H880" s="18" t="str">
        <x:v>pairing identity only</x:v>
      </x:c>
    </x:row>
    <x:row r="881" ht="22" customHeight="1">
      <x:c r="A881" s="22" t="n">
        <x:v>856</x:v>
      </x:c>
      <x:c r="B881" s="22" t="n">
        <x:f>MOD($B$6*(A881-1)+$B$7,$A$12)+1</x:f>
        <x:v>60</x:v>
      </x:c>
      <x:c r="C881" s="22" t="n">
        <x:f>MOD($B$6*(A881-1)+$B$7,$A$13)+1</x:f>
        <x:v>185</x:v>
      </x:c>
      <x:c r="D881" s="22" t="n">
        <x:f>MOD($B$6*(A881-1)+$B$7,$A$14)+1</x:f>
        <x:v>435</x:v>
      </x:c>
      <x:c r="E881" s="22" t="n">
        <x:f>MOD($B$6*(A881-1)+$B$7,$A$15)+1</x:f>
        <x:v>435</x:v>
      </x:c>
      <x:c r="F881" s="18"/>
      <x:c r="G881" s="18"/>
      <x:c r="H881" s="18" t="str">
        <x:v>pairing identity only</x:v>
      </x:c>
    </x:row>
    <x:row r="882" ht="22" customHeight="1">
      <x:c r="A882" s="22" t="n">
        <x:v>857</x:v>
      </x:c>
      <x:c r="B882" s="22" t="n">
        <x:f>MOD($B$6*(A882-1)+$B$7,$A$12)+1</x:f>
        <x:v>8</x:v>
      </x:c>
      <x:c r="C882" s="22" t="n">
        <x:f>MOD($B$6*(A882-1)+$B$7,$A$13)+1</x:f>
        <x:v>8</x:v>
      </x:c>
      <x:c r="D882" s="22" t="n">
        <x:f>MOD($B$6*(A882-1)+$B$7,$A$14)+1</x:f>
        <x:v>8</x:v>
      </x:c>
      <x:c r="E882" s="22" t="n">
        <x:f>MOD($B$6*(A882-1)+$B$7,$A$15)+1</x:f>
        <x:v>508</x:v>
      </x:c>
      <x:c r="F882" s="18"/>
      <x:c r="G882" s="18"/>
      <x:c r="H882" s="18" t="str">
        <x:v>pairing identity only</x:v>
      </x:c>
    </x:row>
    <x:row r="883" ht="22" customHeight="1">
      <x:c r="A883" s="22" t="n">
        <x:v>858</x:v>
      </x:c>
      <x:c r="B883" s="22" t="n">
        <x:f>MOD($B$6*(A883-1)+$B$7,$A$12)+1</x:f>
        <x:v>81</x:v>
      </x:c>
      <x:c r="C883" s="22" t="n">
        <x:f>MOD($B$6*(A883-1)+$B$7,$A$13)+1</x:f>
        <x:v>81</x:v>
      </x:c>
      <x:c r="D883" s="22" t="n">
        <x:f>MOD($B$6*(A883-1)+$B$7,$A$14)+1</x:f>
        <x:v>81</x:v>
      </x:c>
      <x:c r="E883" s="22" t="n">
        <x:f>MOD($B$6*(A883-1)+$B$7,$A$15)+1</x:f>
        <x:v>581</x:v>
      </x:c>
      <x:c r="F883" s="18"/>
      <x:c r="G883" s="18"/>
      <x:c r="H883" s="18" t="str">
        <x:v>pairing identity only</x:v>
      </x:c>
    </x:row>
    <x:row r="884" ht="22" customHeight="1">
      <x:c r="A884" s="22" t="n">
        <x:v>859</x:v>
      </x:c>
      <x:c r="B884" s="22" t="n">
        <x:f>MOD($B$6*(A884-1)+$B$7,$A$12)+1</x:f>
        <x:v>29</x:v>
      </x:c>
      <x:c r="C884" s="22" t="n">
        <x:f>MOD($B$6*(A884-1)+$B$7,$A$13)+1</x:f>
        <x:v>154</x:v>
      </x:c>
      <x:c r="D884" s="22" t="n">
        <x:f>MOD($B$6*(A884-1)+$B$7,$A$14)+1</x:f>
        <x:v>154</x:v>
      </x:c>
      <x:c r="E884" s="22" t="n">
        <x:f>MOD($B$6*(A884-1)+$B$7,$A$15)+1</x:f>
        <x:v>654</x:v>
      </x:c>
      <x:c r="F884" s="18"/>
      <x:c r="G884" s="18"/>
      <x:c r="H884" s="18" t="str">
        <x:v>pairing identity only</x:v>
      </x:c>
    </x:row>
    <x:row r="885" ht="22" customHeight="1">
      <x:c r="A885" s="22" t="n">
        <x:v>860</x:v>
      </x:c>
      <x:c r="B885" s="22" t="n">
        <x:f>MOD($B$6*(A885-1)+$B$7,$A$12)+1</x:f>
        <x:v>102</x:v>
      </x:c>
      <x:c r="C885" s="22" t="n">
        <x:f>MOD($B$6*(A885-1)+$B$7,$A$13)+1</x:f>
        <x:v>227</x:v>
      </x:c>
      <x:c r="D885" s="22" t="n">
        <x:f>MOD($B$6*(A885-1)+$B$7,$A$14)+1</x:f>
        <x:v>227</x:v>
      </x:c>
      <x:c r="E885" s="22" t="n">
        <x:f>MOD($B$6*(A885-1)+$B$7,$A$15)+1</x:f>
        <x:v>727</x:v>
      </x:c>
      <x:c r="F885" s="18"/>
      <x:c r="G885" s="18"/>
      <x:c r="H885" s="18" t="str">
        <x:v>pairing identity only</x:v>
      </x:c>
    </x:row>
    <x:row r="886" ht="22" customHeight="1">
      <x:c r="A886" s="22" t="n">
        <x:v>861</x:v>
      </x:c>
      <x:c r="B886" s="22" t="n">
        <x:f>MOD($B$6*(A886-1)+$B$7,$A$12)+1</x:f>
        <x:v>50</x:v>
      </x:c>
      <x:c r="C886" s="22" t="n">
        <x:f>MOD($B$6*(A886-1)+$B$7,$A$13)+1</x:f>
        <x:v>50</x:v>
      </x:c>
      <x:c r="D886" s="22" t="n">
        <x:f>MOD($B$6*(A886-1)+$B$7,$A$14)+1</x:f>
        <x:v>300</x:v>
      </x:c>
      <x:c r="E886" s="22" t="n">
        <x:f>MOD($B$6*(A886-1)+$B$7,$A$15)+1</x:f>
        <x:v>800</x:v>
      </x:c>
      <x:c r="F886" s="18"/>
      <x:c r="G886" s="18"/>
      <x:c r="H886" s="18" t="str">
        <x:v>pairing identity only</x:v>
      </x:c>
    </x:row>
    <x:row r="887" ht="22" customHeight="1">
      <x:c r="A887" s="22" t="n">
        <x:v>862</x:v>
      </x:c>
      <x:c r="B887" s="22" t="n">
        <x:f>MOD($B$6*(A887-1)+$B$7,$A$12)+1</x:f>
        <x:v>123</x:v>
      </x:c>
      <x:c r="C887" s="22" t="n">
        <x:f>MOD($B$6*(A887-1)+$B$7,$A$13)+1</x:f>
        <x:v>123</x:v>
      </x:c>
      <x:c r="D887" s="22" t="n">
        <x:f>MOD($B$6*(A887-1)+$B$7,$A$14)+1</x:f>
        <x:v>373</x:v>
      </x:c>
      <x:c r="E887" s="22" t="n">
        <x:f>MOD($B$6*(A887-1)+$B$7,$A$15)+1</x:f>
        <x:v>873</x:v>
      </x:c>
      <x:c r="F887" s="18"/>
      <x:c r="G887" s="18"/>
      <x:c r="H887" s="18" t="str">
        <x:v>pairing identity only</x:v>
      </x:c>
    </x:row>
    <x:row r="888" ht="22" customHeight="1">
      <x:c r="A888" s="22" t="n">
        <x:v>863</x:v>
      </x:c>
      <x:c r="B888" s="22" t="n">
        <x:f>MOD($B$6*(A888-1)+$B$7,$A$12)+1</x:f>
        <x:v>71</x:v>
      </x:c>
      <x:c r="C888" s="22" t="n">
        <x:f>MOD($B$6*(A888-1)+$B$7,$A$13)+1</x:f>
        <x:v>196</x:v>
      </x:c>
      <x:c r="D888" s="22" t="n">
        <x:f>MOD($B$6*(A888-1)+$B$7,$A$14)+1</x:f>
        <x:v>446</x:v>
      </x:c>
      <x:c r="E888" s="22" t="n">
        <x:f>MOD($B$6*(A888-1)+$B$7,$A$15)+1</x:f>
        <x:v>946</x:v>
      </x:c>
      <x:c r="F888" s="18"/>
      <x:c r="G888" s="18"/>
      <x:c r="H888" s="18" t="str">
        <x:v>pairing identity only</x:v>
      </x:c>
    </x:row>
    <x:row r="889" ht="22" customHeight="1">
      <x:c r="A889" s="22" t="n">
        <x:v>864</x:v>
      </x:c>
      <x:c r="B889" s="22" t="n">
        <x:f>MOD($B$6*(A889-1)+$B$7,$A$12)+1</x:f>
        <x:v>19</x:v>
      </x:c>
      <x:c r="C889" s="22" t="n">
        <x:f>MOD($B$6*(A889-1)+$B$7,$A$13)+1</x:f>
        <x:v>19</x:v>
      </x:c>
      <x:c r="D889" s="22" t="n">
        <x:f>MOD($B$6*(A889-1)+$B$7,$A$14)+1</x:f>
        <x:v>19</x:v>
      </x:c>
      <x:c r="E889" s="22" t="n">
        <x:f>MOD($B$6*(A889-1)+$B$7,$A$15)+1</x:f>
        <x:v>19</x:v>
      </x:c>
      <x:c r="F889" s="18"/>
      <x:c r="G889" s="18"/>
      <x:c r="H889" s="18" t="str">
        <x:v>pairing identity only</x:v>
      </x:c>
    </x:row>
    <x:row r="890" ht="22" customHeight="1">
      <x:c r="A890" s="22" t="n">
        <x:v>865</x:v>
      </x:c>
      <x:c r="B890" s="22" t="n">
        <x:f>MOD($B$6*(A890-1)+$B$7,$A$12)+1</x:f>
        <x:v>92</x:v>
      </x:c>
      <x:c r="C890" s="22" t="n">
        <x:f>MOD($B$6*(A890-1)+$B$7,$A$13)+1</x:f>
        <x:v>92</x:v>
      </x:c>
      <x:c r="D890" s="22" t="n">
        <x:f>MOD($B$6*(A890-1)+$B$7,$A$14)+1</x:f>
        <x:v>92</x:v>
      </x:c>
      <x:c r="E890" s="22" t="n">
        <x:f>MOD($B$6*(A890-1)+$B$7,$A$15)+1</x:f>
        <x:v>92</x:v>
      </x:c>
      <x:c r="F890" s="18"/>
      <x:c r="G890" s="18"/>
      <x:c r="H890" s="18" t="str">
        <x:v>pairing identity only</x:v>
      </x:c>
    </x:row>
    <x:row r="891" ht="22" customHeight="1">
      <x:c r="A891" s="22" t="n">
        <x:v>866</x:v>
      </x:c>
      <x:c r="B891" s="22" t="n">
        <x:f>MOD($B$6*(A891-1)+$B$7,$A$12)+1</x:f>
        <x:v>40</x:v>
      </x:c>
      <x:c r="C891" s="22" t="n">
        <x:f>MOD($B$6*(A891-1)+$B$7,$A$13)+1</x:f>
        <x:v>165</x:v>
      </x:c>
      <x:c r="D891" s="22" t="n">
        <x:f>MOD($B$6*(A891-1)+$B$7,$A$14)+1</x:f>
        <x:v>165</x:v>
      </x:c>
      <x:c r="E891" s="22" t="n">
        <x:f>MOD($B$6*(A891-1)+$B$7,$A$15)+1</x:f>
        <x:v>165</x:v>
      </x:c>
      <x:c r="F891" s="18"/>
      <x:c r="G891" s="18"/>
      <x:c r="H891" s="18" t="str">
        <x:v>pairing identity only</x:v>
      </x:c>
    </x:row>
    <x:row r="892" ht="22" customHeight="1">
      <x:c r="A892" s="22" t="n">
        <x:v>867</x:v>
      </x:c>
      <x:c r="B892" s="22" t="n">
        <x:f>MOD($B$6*(A892-1)+$B$7,$A$12)+1</x:f>
        <x:v>113</x:v>
      </x:c>
      <x:c r="C892" s="22" t="n">
        <x:f>MOD($B$6*(A892-1)+$B$7,$A$13)+1</x:f>
        <x:v>238</x:v>
      </x:c>
      <x:c r="D892" s="22" t="n">
        <x:f>MOD($B$6*(A892-1)+$B$7,$A$14)+1</x:f>
        <x:v>238</x:v>
      </x:c>
      <x:c r="E892" s="22" t="n">
        <x:f>MOD($B$6*(A892-1)+$B$7,$A$15)+1</x:f>
        <x:v>238</x:v>
      </x:c>
      <x:c r="F892" s="18"/>
      <x:c r="G892" s="18"/>
      <x:c r="H892" s="18" t="str">
        <x:v>pairing identity only</x:v>
      </x:c>
    </x:row>
    <x:row r="893" ht="22" customHeight="1">
      <x:c r="A893" s="22" t="n">
        <x:v>868</x:v>
      </x:c>
      <x:c r="B893" s="22" t="n">
        <x:f>MOD($B$6*(A893-1)+$B$7,$A$12)+1</x:f>
        <x:v>61</x:v>
      </x:c>
      <x:c r="C893" s="22" t="n">
        <x:f>MOD($B$6*(A893-1)+$B$7,$A$13)+1</x:f>
        <x:v>61</x:v>
      </x:c>
      <x:c r="D893" s="22" t="n">
        <x:f>MOD($B$6*(A893-1)+$B$7,$A$14)+1</x:f>
        <x:v>311</x:v>
      </x:c>
      <x:c r="E893" s="22" t="n">
        <x:f>MOD($B$6*(A893-1)+$B$7,$A$15)+1</x:f>
        <x:v>311</x:v>
      </x:c>
      <x:c r="F893" s="18"/>
      <x:c r="G893" s="18"/>
      <x:c r="H893" s="18" t="str">
        <x:v>pairing identity only</x:v>
      </x:c>
    </x:row>
    <x:row r="894" ht="22" customHeight="1">
      <x:c r="A894" s="22" t="n">
        <x:v>869</x:v>
      </x:c>
      <x:c r="B894" s="22" t="n">
        <x:f>MOD($B$6*(A894-1)+$B$7,$A$12)+1</x:f>
        <x:v>9</x:v>
      </x:c>
      <x:c r="C894" s="22" t="n">
        <x:f>MOD($B$6*(A894-1)+$B$7,$A$13)+1</x:f>
        <x:v>134</x:v>
      </x:c>
      <x:c r="D894" s="22" t="n">
        <x:f>MOD($B$6*(A894-1)+$B$7,$A$14)+1</x:f>
        <x:v>384</x:v>
      </x:c>
      <x:c r="E894" s="22" t="n">
        <x:f>MOD($B$6*(A894-1)+$B$7,$A$15)+1</x:f>
        <x:v>384</x:v>
      </x:c>
      <x:c r="F894" s="18"/>
      <x:c r="G894" s="18"/>
      <x:c r="H894" s="18" t="str">
        <x:v>pairing identity only</x:v>
      </x:c>
    </x:row>
    <x:row r="895" ht="22" customHeight="1">
      <x:c r="A895" s="22" t="n">
        <x:v>870</x:v>
      </x:c>
      <x:c r="B895" s="22" t="n">
        <x:f>MOD($B$6*(A895-1)+$B$7,$A$12)+1</x:f>
        <x:v>82</x:v>
      </x:c>
      <x:c r="C895" s="22" t="n">
        <x:f>MOD($B$6*(A895-1)+$B$7,$A$13)+1</x:f>
        <x:v>207</x:v>
      </x:c>
      <x:c r="D895" s="22" t="n">
        <x:f>MOD($B$6*(A895-1)+$B$7,$A$14)+1</x:f>
        <x:v>457</x:v>
      </x:c>
      <x:c r="E895" s="22" t="n">
        <x:f>MOD($B$6*(A895-1)+$B$7,$A$15)+1</x:f>
        <x:v>457</x:v>
      </x:c>
      <x:c r="F895" s="18"/>
      <x:c r="G895" s="18"/>
      <x:c r="H895" s="18" t="str">
        <x:v>pairing identity only</x:v>
      </x:c>
    </x:row>
    <x:row r="896" ht="22" customHeight="1">
      <x:c r="A896" s="22" t="n">
        <x:v>871</x:v>
      </x:c>
      <x:c r="B896" s="22" t="n">
        <x:f>MOD($B$6*(A896-1)+$B$7,$A$12)+1</x:f>
        <x:v>30</x:v>
      </x:c>
      <x:c r="C896" s="22" t="n">
        <x:f>MOD($B$6*(A896-1)+$B$7,$A$13)+1</x:f>
        <x:v>30</x:v>
      </x:c>
      <x:c r="D896" s="22" t="n">
        <x:f>MOD($B$6*(A896-1)+$B$7,$A$14)+1</x:f>
        <x:v>30</x:v>
      </x:c>
      <x:c r="E896" s="22" t="n">
        <x:f>MOD($B$6*(A896-1)+$B$7,$A$15)+1</x:f>
        <x:v>530</x:v>
      </x:c>
      <x:c r="F896" s="18"/>
      <x:c r="G896" s="18"/>
      <x:c r="H896" s="18" t="str">
        <x:v>pairing identity only</x:v>
      </x:c>
    </x:row>
    <x:row r="897" ht="22" customHeight="1">
      <x:c r="A897" s="22" t="n">
        <x:v>872</x:v>
      </x:c>
      <x:c r="B897" s="22" t="n">
        <x:f>MOD($B$6*(A897-1)+$B$7,$A$12)+1</x:f>
        <x:v>103</x:v>
      </x:c>
      <x:c r="C897" s="22" t="n">
        <x:f>MOD($B$6*(A897-1)+$B$7,$A$13)+1</x:f>
        <x:v>103</x:v>
      </x:c>
      <x:c r="D897" s="22" t="n">
        <x:f>MOD($B$6*(A897-1)+$B$7,$A$14)+1</x:f>
        <x:v>103</x:v>
      </x:c>
      <x:c r="E897" s="22" t="n">
        <x:f>MOD($B$6*(A897-1)+$B$7,$A$15)+1</x:f>
        <x:v>603</x:v>
      </x:c>
      <x:c r="F897" s="18"/>
      <x:c r="G897" s="18"/>
      <x:c r="H897" s="18" t="str">
        <x:v>pairing identity only</x:v>
      </x:c>
    </x:row>
    <x:row r="898" ht="22" customHeight="1">
      <x:c r="A898" s="22" t="n">
        <x:v>873</x:v>
      </x:c>
      <x:c r="B898" s="22" t="n">
        <x:f>MOD($B$6*(A898-1)+$B$7,$A$12)+1</x:f>
        <x:v>51</x:v>
      </x:c>
      <x:c r="C898" s="22" t="n">
        <x:f>MOD($B$6*(A898-1)+$B$7,$A$13)+1</x:f>
        <x:v>176</x:v>
      </x:c>
      <x:c r="D898" s="22" t="n">
        <x:f>MOD($B$6*(A898-1)+$B$7,$A$14)+1</x:f>
        <x:v>176</x:v>
      </x:c>
      <x:c r="E898" s="22" t="n">
        <x:f>MOD($B$6*(A898-1)+$B$7,$A$15)+1</x:f>
        <x:v>676</x:v>
      </x:c>
      <x:c r="F898" s="18"/>
      <x:c r="G898" s="18"/>
      <x:c r="H898" s="18" t="str">
        <x:v>pairing identity only</x:v>
      </x:c>
    </x:row>
    <x:row r="899" ht="22" customHeight="1">
      <x:c r="A899" s="22" t="n">
        <x:v>874</x:v>
      </x:c>
      <x:c r="B899" s="22" t="n">
        <x:f>MOD($B$6*(A899-1)+$B$7,$A$12)+1</x:f>
        <x:v>124</x:v>
      </x:c>
      <x:c r="C899" s="22" t="n">
        <x:f>MOD($B$6*(A899-1)+$B$7,$A$13)+1</x:f>
        <x:v>249</x:v>
      </x:c>
      <x:c r="D899" s="22" t="n">
        <x:f>MOD($B$6*(A899-1)+$B$7,$A$14)+1</x:f>
        <x:v>249</x:v>
      </x:c>
      <x:c r="E899" s="22" t="n">
        <x:f>MOD($B$6*(A899-1)+$B$7,$A$15)+1</x:f>
        <x:v>749</x:v>
      </x:c>
      <x:c r="F899" s="18"/>
      <x:c r="G899" s="18"/>
      <x:c r="H899" s="18" t="str">
        <x:v>pairing identity only</x:v>
      </x:c>
    </x:row>
    <x:row r="900" ht="22" customHeight="1">
      <x:c r="A900" s="22" t="n">
        <x:v>875</x:v>
      </x:c>
      <x:c r="B900" s="22" t="n">
        <x:f>MOD($B$6*(A900-1)+$B$7,$A$12)+1</x:f>
        <x:v>72</x:v>
      </x:c>
      <x:c r="C900" s="22" t="n">
        <x:f>MOD($B$6*(A900-1)+$B$7,$A$13)+1</x:f>
        <x:v>72</x:v>
      </x:c>
      <x:c r="D900" s="22" t="n">
        <x:f>MOD($B$6*(A900-1)+$B$7,$A$14)+1</x:f>
        <x:v>322</x:v>
      </x:c>
      <x:c r="E900" s="22" t="n">
        <x:f>MOD($B$6*(A900-1)+$B$7,$A$15)+1</x:f>
        <x:v>822</x:v>
      </x:c>
      <x:c r="F900" s="18"/>
      <x:c r="G900" s="18"/>
      <x:c r="H900" s="18" t="str">
        <x:v>pairing identity only</x:v>
      </x:c>
    </x:row>
    <x:row r="901" ht="22" customHeight="1">
      <x:c r="A901" s="22" t="n">
        <x:v>876</x:v>
      </x:c>
      <x:c r="B901" s="22" t="n">
        <x:f>MOD($B$6*(A901-1)+$B$7,$A$12)+1</x:f>
        <x:v>20</x:v>
      </x:c>
      <x:c r="C901" s="22" t="n">
        <x:f>MOD($B$6*(A901-1)+$B$7,$A$13)+1</x:f>
        <x:v>145</x:v>
      </x:c>
      <x:c r="D901" s="22" t="n">
        <x:f>MOD($B$6*(A901-1)+$B$7,$A$14)+1</x:f>
        <x:v>395</x:v>
      </x:c>
      <x:c r="E901" s="22" t="n">
        <x:f>MOD($B$6*(A901-1)+$B$7,$A$15)+1</x:f>
        <x:v>895</x:v>
      </x:c>
      <x:c r="F901" s="18"/>
      <x:c r="G901" s="18"/>
      <x:c r="H901" s="18" t="str">
        <x:v>pairing identity only</x:v>
      </x:c>
    </x:row>
    <x:row r="902" ht="22" customHeight="1">
      <x:c r="A902" s="22" t="n">
        <x:v>877</x:v>
      </x:c>
      <x:c r="B902" s="22" t="n">
        <x:f>MOD($B$6*(A902-1)+$B$7,$A$12)+1</x:f>
        <x:v>93</x:v>
      </x:c>
      <x:c r="C902" s="22" t="n">
        <x:f>MOD($B$6*(A902-1)+$B$7,$A$13)+1</x:f>
        <x:v>218</x:v>
      </x:c>
      <x:c r="D902" s="22" t="n">
        <x:f>MOD($B$6*(A902-1)+$B$7,$A$14)+1</x:f>
        <x:v>468</x:v>
      </x:c>
      <x:c r="E902" s="22" t="n">
        <x:f>MOD($B$6*(A902-1)+$B$7,$A$15)+1</x:f>
        <x:v>968</x:v>
      </x:c>
      <x:c r="F902" s="18"/>
      <x:c r="G902" s="18"/>
      <x:c r="H902" s="18" t="str">
        <x:v>pairing identity only</x:v>
      </x:c>
    </x:row>
    <x:row r="903" ht="22" customHeight="1">
      <x:c r="A903" s="22" t="n">
        <x:v>878</x:v>
      </x:c>
      <x:c r="B903" s="22" t="n">
        <x:f>MOD($B$6*(A903-1)+$B$7,$A$12)+1</x:f>
        <x:v>41</x:v>
      </x:c>
      <x:c r="C903" s="22" t="n">
        <x:f>MOD($B$6*(A903-1)+$B$7,$A$13)+1</x:f>
        <x:v>41</x:v>
      </x:c>
      <x:c r="D903" s="22" t="n">
        <x:f>MOD($B$6*(A903-1)+$B$7,$A$14)+1</x:f>
        <x:v>41</x:v>
      </x:c>
      <x:c r="E903" s="22" t="n">
        <x:f>MOD($B$6*(A903-1)+$B$7,$A$15)+1</x:f>
        <x:v>41</x:v>
      </x:c>
      <x:c r="F903" s="18"/>
      <x:c r="G903" s="18"/>
      <x:c r="H903" s="18" t="str">
        <x:v>pairing identity only</x:v>
      </x:c>
    </x:row>
    <x:row r="904" ht="22" customHeight="1">
      <x:c r="A904" s="22" t="n">
        <x:v>879</x:v>
      </x:c>
      <x:c r="B904" s="22" t="n">
        <x:f>MOD($B$6*(A904-1)+$B$7,$A$12)+1</x:f>
        <x:v>114</x:v>
      </x:c>
      <x:c r="C904" s="22" t="n">
        <x:f>MOD($B$6*(A904-1)+$B$7,$A$13)+1</x:f>
        <x:v>114</x:v>
      </x:c>
      <x:c r="D904" s="22" t="n">
        <x:f>MOD($B$6*(A904-1)+$B$7,$A$14)+1</x:f>
        <x:v>114</x:v>
      </x:c>
      <x:c r="E904" s="22" t="n">
        <x:f>MOD($B$6*(A904-1)+$B$7,$A$15)+1</x:f>
        <x:v>114</x:v>
      </x:c>
      <x:c r="F904" s="18"/>
      <x:c r="G904" s="18"/>
      <x:c r="H904" s="18" t="str">
        <x:v>pairing identity only</x:v>
      </x:c>
    </x:row>
    <x:row r="905" ht="22" customHeight="1">
      <x:c r="A905" s="22" t="n">
        <x:v>880</x:v>
      </x:c>
      <x:c r="B905" s="22" t="n">
        <x:f>MOD($B$6*(A905-1)+$B$7,$A$12)+1</x:f>
        <x:v>62</x:v>
      </x:c>
      <x:c r="C905" s="22" t="n">
        <x:f>MOD($B$6*(A905-1)+$B$7,$A$13)+1</x:f>
        <x:v>187</x:v>
      </x:c>
      <x:c r="D905" s="22" t="n">
        <x:f>MOD($B$6*(A905-1)+$B$7,$A$14)+1</x:f>
        <x:v>187</x:v>
      </x:c>
      <x:c r="E905" s="22" t="n">
        <x:f>MOD($B$6*(A905-1)+$B$7,$A$15)+1</x:f>
        <x:v>187</x:v>
      </x:c>
      <x:c r="F905" s="18"/>
      <x:c r="G905" s="18"/>
      <x:c r="H905" s="18" t="str">
        <x:v>pairing identity only</x:v>
      </x:c>
    </x:row>
    <x:row r="906" ht="22" customHeight="1">
      <x:c r="A906" s="22" t="n">
        <x:v>881</x:v>
      </x:c>
      <x:c r="B906" s="22" t="n">
        <x:f>MOD($B$6*(A906-1)+$B$7,$A$12)+1</x:f>
        <x:v>10</x:v>
      </x:c>
      <x:c r="C906" s="22" t="n">
        <x:f>MOD($B$6*(A906-1)+$B$7,$A$13)+1</x:f>
        <x:v>10</x:v>
      </x:c>
      <x:c r="D906" s="22" t="n">
        <x:f>MOD($B$6*(A906-1)+$B$7,$A$14)+1</x:f>
        <x:v>260</x:v>
      </x:c>
      <x:c r="E906" s="22" t="n">
        <x:f>MOD($B$6*(A906-1)+$B$7,$A$15)+1</x:f>
        <x:v>260</x:v>
      </x:c>
      <x:c r="F906" s="18"/>
      <x:c r="G906" s="18"/>
      <x:c r="H906" s="18" t="str">
        <x:v>pairing identity only</x:v>
      </x:c>
    </x:row>
    <x:row r="907" ht="22" customHeight="1">
      <x:c r="A907" s="22" t="n">
        <x:v>882</x:v>
      </x:c>
      <x:c r="B907" s="22" t="n">
        <x:f>MOD($B$6*(A907-1)+$B$7,$A$12)+1</x:f>
        <x:v>83</x:v>
      </x:c>
      <x:c r="C907" s="22" t="n">
        <x:f>MOD($B$6*(A907-1)+$B$7,$A$13)+1</x:f>
        <x:v>83</x:v>
      </x:c>
      <x:c r="D907" s="22" t="n">
        <x:f>MOD($B$6*(A907-1)+$B$7,$A$14)+1</x:f>
        <x:v>333</x:v>
      </x:c>
      <x:c r="E907" s="22" t="n">
        <x:f>MOD($B$6*(A907-1)+$B$7,$A$15)+1</x:f>
        <x:v>333</x:v>
      </x:c>
      <x:c r="F907" s="18"/>
      <x:c r="G907" s="18"/>
      <x:c r="H907" s="18" t="str">
        <x:v>pairing identity only</x:v>
      </x:c>
    </x:row>
    <x:row r="908" ht="22" customHeight="1">
      <x:c r="A908" s="22" t="n">
        <x:v>883</x:v>
      </x:c>
      <x:c r="B908" s="22" t="n">
        <x:f>MOD($B$6*(A908-1)+$B$7,$A$12)+1</x:f>
        <x:v>31</x:v>
      </x:c>
      <x:c r="C908" s="22" t="n">
        <x:f>MOD($B$6*(A908-1)+$B$7,$A$13)+1</x:f>
        <x:v>156</x:v>
      </x:c>
      <x:c r="D908" s="22" t="n">
        <x:f>MOD($B$6*(A908-1)+$B$7,$A$14)+1</x:f>
        <x:v>406</x:v>
      </x:c>
      <x:c r="E908" s="22" t="n">
        <x:f>MOD($B$6*(A908-1)+$B$7,$A$15)+1</x:f>
        <x:v>406</x:v>
      </x:c>
      <x:c r="F908" s="18"/>
      <x:c r="G908" s="18"/>
      <x:c r="H908" s="18" t="str">
        <x:v>pairing identity only</x:v>
      </x:c>
    </x:row>
    <x:row r="909" ht="22" customHeight="1">
      <x:c r="A909" s="22" t="n">
        <x:v>884</x:v>
      </x:c>
      <x:c r="B909" s="22" t="n">
        <x:f>MOD($B$6*(A909-1)+$B$7,$A$12)+1</x:f>
        <x:v>104</x:v>
      </x:c>
      <x:c r="C909" s="22" t="n">
        <x:f>MOD($B$6*(A909-1)+$B$7,$A$13)+1</x:f>
        <x:v>229</x:v>
      </x:c>
      <x:c r="D909" s="22" t="n">
        <x:f>MOD($B$6*(A909-1)+$B$7,$A$14)+1</x:f>
        <x:v>479</x:v>
      </x:c>
      <x:c r="E909" s="22" t="n">
        <x:f>MOD($B$6*(A909-1)+$B$7,$A$15)+1</x:f>
        <x:v>479</x:v>
      </x:c>
      <x:c r="F909" s="18"/>
      <x:c r="G909" s="18"/>
      <x:c r="H909" s="18" t="str">
        <x:v>pairing identity only</x:v>
      </x:c>
    </x:row>
    <x:row r="910" ht="22" customHeight="1">
      <x:c r="A910" s="22" t="n">
        <x:v>885</x:v>
      </x:c>
      <x:c r="B910" s="22" t="n">
        <x:f>MOD($B$6*(A910-1)+$B$7,$A$12)+1</x:f>
        <x:v>52</x:v>
      </x:c>
      <x:c r="C910" s="22" t="n">
        <x:f>MOD($B$6*(A910-1)+$B$7,$A$13)+1</x:f>
        <x:v>52</x:v>
      </x:c>
      <x:c r="D910" s="22" t="n">
        <x:f>MOD($B$6*(A910-1)+$B$7,$A$14)+1</x:f>
        <x:v>52</x:v>
      </x:c>
      <x:c r="E910" s="22" t="n">
        <x:f>MOD($B$6*(A910-1)+$B$7,$A$15)+1</x:f>
        <x:v>552</x:v>
      </x:c>
      <x:c r="F910" s="18"/>
      <x:c r="G910" s="18"/>
      <x:c r="H910" s="18" t="str">
        <x:v>pairing identity only</x:v>
      </x:c>
    </x:row>
    <x:row r="911" ht="22" customHeight="1">
      <x:c r="A911" s="22" t="n">
        <x:v>886</x:v>
      </x:c>
      <x:c r="B911" s="22" t="n">
        <x:f>MOD($B$6*(A911-1)+$B$7,$A$12)+1</x:f>
        <x:v>125</x:v>
      </x:c>
      <x:c r="C911" s="22" t="n">
        <x:f>MOD($B$6*(A911-1)+$B$7,$A$13)+1</x:f>
        <x:v>125</x:v>
      </x:c>
      <x:c r="D911" s="22" t="n">
        <x:f>MOD($B$6*(A911-1)+$B$7,$A$14)+1</x:f>
        <x:v>125</x:v>
      </x:c>
      <x:c r="E911" s="22" t="n">
        <x:f>MOD($B$6*(A911-1)+$B$7,$A$15)+1</x:f>
        <x:v>625</x:v>
      </x:c>
      <x:c r="F911" s="18"/>
      <x:c r="G911" s="18"/>
      <x:c r="H911" s="18" t="str">
        <x:v>pairing identity only</x:v>
      </x:c>
    </x:row>
    <x:row r="912" ht="22" customHeight="1">
      <x:c r="A912" s="22" t="n">
        <x:v>887</x:v>
      </x:c>
      <x:c r="B912" s="22" t="n">
        <x:f>MOD($B$6*(A912-1)+$B$7,$A$12)+1</x:f>
        <x:v>73</x:v>
      </x:c>
      <x:c r="C912" s="22" t="n">
        <x:f>MOD($B$6*(A912-1)+$B$7,$A$13)+1</x:f>
        <x:v>198</x:v>
      </x:c>
      <x:c r="D912" s="22" t="n">
        <x:f>MOD($B$6*(A912-1)+$B$7,$A$14)+1</x:f>
        <x:v>198</x:v>
      </x:c>
      <x:c r="E912" s="22" t="n">
        <x:f>MOD($B$6*(A912-1)+$B$7,$A$15)+1</x:f>
        <x:v>698</x:v>
      </x:c>
      <x:c r="F912" s="18"/>
      <x:c r="G912" s="18"/>
      <x:c r="H912" s="18" t="str">
        <x:v>pairing identity only</x:v>
      </x:c>
    </x:row>
    <x:row r="913" ht="22" customHeight="1">
      <x:c r="A913" s="22" t="n">
        <x:v>888</x:v>
      </x:c>
      <x:c r="B913" s="22" t="n">
        <x:f>MOD($B$6*(A913-1)+$B$7,$A$12)+1</x:f>
        <x:v>21</x:v>
      </x:c>
      <x:c r="C913" s="22" t="n">
        <x:f>MOD($B$6*(A913-1)+$B$7,$A$13)+1</x:f>
        <x:v>21</x:v>
      </x:c>
      <x:c r="D913" s="22" t="n">
        <x:f>MOD($B$6*(A913-1)+$B$7,$A$14)+1</x:f>
        <x:v>271</x:v>
      </x:c>
      <x:c r="E913" s="22" t="n">
        <x:f>MOD($B$6*(A913-1)+$B$7,$A$15)+1</x:f>
        <x:v>771</x:v>
      </x:c>
      <x:c r="F913" s="18"/>
      <x:c r="G913" s="18"/>
      <x:c r="H913" s="18" t="str">
        <x:v>pairing identity only</x:v>
      </x:c>
    </x:row>
    <x:row r="914" ht="22" customHeight="1">
      <x:c r="A914" s="22" t="n">
        <x:v>889</x:v>
      </x:c>
      <x:c r="B914" s="22" t="n">
        <x:f>MOD($B$6*(A914-1)+$B$7,$A$12)+1</x:f>
        <x:v>94</x:v>
      </x:c>
      <x:c r="C914" s="22" t="n">
        <x:f>MOD($B$6*(A914-1)+$B$7,$A$13)+1</x:f>
        <x:v>94</x:v>
      </x:c>
      <x:c r="D914" s="22" t="n">
        <x:f>MOD($B$6*(A914-1)+$B$7,$A$14)+1</x:f>
        <x:v>344</x:v>
      </x:c>
      <x:c r="E914" s="22" t="n">
        <x:f>MOD($B$6*(A914-1)+$B$7,$A$15)+1</x:f>
        <x:v>844</x:v>
      </x:c>
      <x:c r="F914" s="18"/>
      <x:c r="G914" s="18"/>
      <x:c r="H914" s="18" t="str">
        <x:v>pairing identity only</x:v>
      </x:c>
    </x:row>
    <x:row r="915" ht="22" customHeight="1">
      <x:c r="A915" s="22" t="n">
        <x:v>890</x:v>
      </x:c>
      <x:c r="B915" s="22" t="n">
        <x:f>MOD($B$6*(A915-1)+$B$7,$A$12)+1</x:f>
        <x:v>42</x:v>
      </x:c>
      <x:c r="C915" s="22" t="n">
        <x:f>MOD($B$6*(A915-1)+$B$7,$A$13)+1</x:f>
        <x:v>167</x:v>
      </x:c>
      <x:c r="D915" s="22" t="n">
        <x:f>MOD($B$6*(A915-1)+$B$7,$A$14)+1</x:f>
        <x:v>417</x:v>
      </x:c>
      <x:c r="E915" s="22" t="n">
        <x:f>MOD($B$6*(A915-1)+$B$7,$A$15)+1</x:f>
        <x:v>917</x:v>
      </x:c>
      <x:c r="F915" s="18"/>
      <x:c r="G915" s="18"/>
      <x:c r="H915" s="18" t="str">
        <x:v>pairing identity only</x:v>
      </x:c>
    </x:row>
    <x:row r="916" ht="22" customHeight="1">
      <x:c r="A916" s="22" t="n">
        <x:v>891</x:v>
      </x:c>
      <x:c r="B916" s="22" t="n">
        <x:f>MOD($B$6*(A916-1)+$B$7,$A$12)+1</x:f>
        <x:v>115</x:v>
      </x:c>
      <x:c r="C916" s="22" t="n">
        <x:f>MOD($B$6*(A916-1)+$B$7,$A$13)+1</x:f>
        <x:v>240</x:v>
      </x:c>
      <x:c r="D916" s="22" t="n">
        <x:f>MOD($B$6*(A916-1)+$B$7,$A$14)+1</x:f>
        <x:v>490</x:v>
      </x:c>
      <x:c r="E916" s="22" t="n">
        <x:f>MOD($B$6*(A916-1)+$B$7,$A$15)+1</x:f>
        <x:v>990</x:v>
      </x:c>
      <x:c r="F916" s="18"/>
      <x:c r="G916" s="18"/>
      <x:c r="H916" s="18" t="str">
        <x:v>pairing identity only</x:v>
      </x:c>
    </x:row>
    <x:row r="917" ht="22" customHeight="1">
      <x:c r="A917" s="22" t="n">
        <x:v>892</x:v>
      </x:c>
      <x:c r="B917" s="22" t="n">
        <x:f>MOD($B$6*(A917-1)+$B$7,$A$12)+1</x:f>
        <x:v>63</x:v>
      </x:c>
      <x:c r="C917" s="22" t="n">
        <x:f>MOD($B$6*(A917-1)+$B$7,$A$13)+1</x:f>
        <x:v>63</x:v>
      </x:c>
      <x:c r="D917" s="22" t="n">
        <x:f>MOD($B$6*(A917-1)+$B$7,$A$14)+1</x:f>
        <x:v>63</x:v>
      </x:c>
      <x:c r="E917" s="22" t="n">
        <x:f>MOD($B$6*(A917-1)+$B$7,$A$15)+1</x:f>
        <x:v>63</x:v>
      </x:c>
      <x:c r="F917" s="18"/>
      <x:c r="G917" s="18"/>
      <x:c r="H917" s="18" t="str">
        <x:v>pairing identity only</x:v>
      </x:c>
    </x:row>
    <x:row r="918" ht="22" customHeight="1">
      <x:c r="A918" s="22" t="n">
        <x:v>893</x:v>
      </x:c>
      <x:c r="B918" s="22" t="n">
        <x:f>MOD($B$6*(A918-1)+$B$7,$A$12)+1</x:f>
        <x:v>11</x:v>
      </x:c>
      <x:c r="C918" s="22" t="n">
        <x:f>MOD($B$6*(A918-1)+$B$7,$A$13)+1</x:f>
        <x:v>136</x:v>
      </x:c>
      <x:c r="D918" s="22" t="n">
        <x:f>MOD($B$6*(A918-1)+$B$7,$A$14)+1</x:f>
        <x:v>136</x:v>
      </x:c>
      <x:c r="E918" s="22" t="n">
        <x:f>MOD($B$6*(A918-1)+$B$7,$A$15)+1</x:f>
        <x:v>136</x:v>
      </x:c>
      <x:c r="F918" s="18"/>
      <x:c r="G918" s="18"/>
      <x:c r="H918" s="18" t="str">
        <x:v>pairing identity only</x:v>
      </x:c>
    </x:row>
    <x:row r="919" ht="22" customHeight="1">
      <x:c r="A919" s="22" t="n">
        <x:v>894</x:v>
      </x:c>
      <x:c r="B919" s="22" t="n">
        <x:f>MOD($B$6*(A919-1)+$B$7,$A$12)+1</x:f>
        <x:v>84</x:v>
      </x:c>
      <x:c r="C919" s="22" t="n">
        <x:f>MOD($B$6*(A919-1)+$B$7,$A$13)+1</x:f>
        <x:v>209</x:v>
      </x:c>
      <x:c r="D919" s="22" t="n">
        <x:f>MOD($B$6*(A919-1)+$B$7,$A$14)+1</x:f>
        <x:v>209</x:v>
      </x:c>
      <x:c r="E919" s="22" t="n">
        <x:f>MOD($B$6*(A919-1)+$B$7,$A$15)+1</x:f>
        <x:v>209</x:v>
      </x:c>
      <x:c r="F919" s="18"/>
      <x:c r="G919" s="18"/>
      <x:c r="H919" s="18" t="str">
        <x:v>pairing identity only</x:v>
      </x:c>
    </x:row>
    <x:row r="920" ht="22" customHeight="1">
      <x:c r="A920" s="22" t="n">
        <x:v>895</x:v>
      </x:c>
      <x:c r="B920" s="22" t="n">
        <x:f>MOD($B$6*(A920-1)+$B$7,$A$12)+1</x:f>
        <x:v>32</x:v>
      </x:c>
      <x:c r="C920" s="22" t="n">
        <x:f>MOD($B$6*(A920-1)+$B$7,$A$13)+1</x:f>
        <x:v>32</x:v>
      </x:c>
      <x:c r="D920" s="22" t="n">
        <x:f>MOD($B$6*(A920-1)+$B$7,$A$14)+1</x:f>
        <x:v>282</x:v>
      </x:c>
      <x:c r="E920" s="22" t="n">
        <x:f>MOD($B$6*(A920-1)+$B$7,$A$15)+1</x:f>
        <x:v>282</x:v>
      </x:c>
      <x:c r="F920" s="18"/>
      <x:c r="G920" s="18"/>
      <x:c r="H920" s="18" t="str">
        <x:v>pairing identity only</x:v>
      </x:c>
    </x:row>
    <x:row r="921" ht="22" customHeight="1">
      <x:c r="A921" s="22" t="n">
        <x:v>896</x:v>
      </x:c>
      <x:c r="B921" s="22" t="n">
        <x:f>MOD($B$6*(A921-1)+$B$7,$A$12)+1</x:f>
        <x:v>105</x:v>
      </x:c>
      <x:c r="C921" s="22" t="n">
        <x:f>MOD($B$6*(A921-1)+$B$7,$A$13)+1</x:f>
        <x:v>105</x:v>
      </x:c>
      <x:c r="D921" s="22" t="n">
        <x:f>MOD($B$6*(A921-1)+$B$7,$A$14)+1</x:f>
        <x:v>355</x:v>
      </x:c>
      <x:c r="E921" s="22" t="n">
        <x:f>MOD($B$6*(A921-1)+$B$7,$A$15)+1</x:f>
        <x:v>355</x:v>
      </x:c>
      <x:c r="F921" s="18"/>
      <x:c r="G921" s="18"/>
      <x:c r="H921" s="18" t="str">
        <x:v>pairing identity only</x:v>
      </x:c>
    </x:row>
    <x:row r="922" ht="22" customHeight="1">
      <x:c r="A922" s="22" t="n">
        <x:v>897</x:v>
      </x:c>
      <x:c r="B922" s="22" t="n">
        <x:f>MOD($B$6*(A922-1)+$B$7,$A$12)+1</x:f>
        <x:v>53</x:v>
      </x:c>
      <x:c r="C922" s="22" t="n">
        <x:f>MOD($B$6*(A922-1)+$B$7,$A$13)+1</x:f>
        <x:v>178</x:v>
      </x:c>
      <x:c r="D922" s="22" t="n">
        <x:f>MOD($B$6*(A922-1)+$B$7,$A$14)+1</x:f>
        <x:v>428</x:v>
      </x:c>
      <x:c r="E922" s="22" t="n">
        <x:f>MOD($B$6*(A922-1)+$B$7,$A$15)+1</x:f>
        <x:v>428</x:v>
      </x:c>
      <x:c r="F922" s="18"/>
      <x:c r="G922" s="18"/>
      <x:c r="H922" s="18" t="str">
        <x:v>pairing identity only</x:v>
      </x:c>
    </x:row>
    <x:row r="923" ht="22" customHeight="1">
      <x:c r="A923" s="22" t="n">
        <x:v>898</x:v>
      </x:c>
      <x:c r="B923" s="22" t="n">
        <x:f>MOD($B$6*(A923-1)+$B$7,$A$12)+1</x:f>
        <x:v>1</x:v>
      </x:c>
      <x:c r="C923" s="22" t="n">
        <x:f>MOD($B$6*(A923-1)+$B$7,$A$13)+1</x:f>
        <x:v>1</x:v>
      </x:c>
      <x:c r="D923" s="22" t="n">
        <x:f>MOD($B$6*(A923-1)+$B$7,$A$14)+1</x:f>
        <x:v>1</x:v>
      </x:c>
      <x:c r="E923" s="22" t="n">
        <x:f>MOD($B$6*(A923-1)+$B$7,$A$15)+1</x:f>
        <x:v>501</x:v>
      </x:c>
      <x:c r="F923" s="18"/>
      <x:c r="G923" s="18"/>
      <x:c r="H923" s="18" t="str">
        <x:v>pairing identity only</x:v>
      </x:c>
    </x:row>
    <x:row r="924" ht="22" customHeight="1">
      <x:c r="A924" s="22" t="n">
        <x:v>899</x:v>
      </x:c>
      <x:c r="B924" s="22" t="n">
        <x:f>MOD($B$6*(A924-1)+$B$7,$A$12)+1</x:f>
        <x:v>74</x:v>
      </x:c>
      <x:c r="C924" s="22" t="n">
        <x:f>MOD($B$6*(A924-1)+$B$7,$A$13)+1</x:f>
        <x:v>74</x:v>
      </x:c>
      <x:c r="D924" s="22" t="n">
        <x:f>MOD($B$6*(A924-1)+$B$7,$A$14)+1</x:f>
        <x:v>74</x:v>
      </x:c>
      <x:c r="E924" s="22" t="n">
        <x:f>MOD($B$6*(A924-1)+$B$7,$A$15)+1</x:f>
        <x:v>574</x:v>
      </x:c>
      <x:c r="F924" s="18"/>
      <x:c r="G924" s="18"/>
      <x:c r="H924" s="18" t="str">
        <x:v>pairing identity only</x:v>
      </x:c>
    </x:row>
    <x:row r="925" ht="22" customHeight="1">
      <x:c r="A925" s="22" t="n">
        <x:v>900</x:v>
      </x:c>
      <x:c r="B925" s="22" t="n">
        <x:f>MOD($B$6*(A925-1)+$B$7,$A$12)+1</x:f>
        <x:v>22</x:v>
      </x:c>
      <x:c r="C925" s="22" t="n">
        <x:f>MOD($B$6*(A925-1)+$B$7,$A$13)+1</x:f>
        <x:v>147</x:v>
      </x:c>
      <x:c r="D925" s="22" t="n">
        <x:f>MOD($B$6*(A925-1)+$B$7,$A$14)+1</x:f>
        <x:v>147</x:v>
      </x:c>
      <x:c r="E925" s="22" t="n">
        <x:f>MOD($B$6*(A925-1)+$B$7,$A$15)+1</x:f>
        <x:v>647</x:v>
      </x:c>
      <x:c r="F925" s="18"/>
      <x:c r="G925" s="18"/>
      <x:c r="H925" s="18" t="str">
        <x:v>pairing identity only</x:v>
      </x:c>
    </x:row>
    <x:row r="926" ht="22" customHeight="1">
      <x:c r="A926" s="22" t="n">
        <x:v>901</x:v>
      </x:c>
      <x:c r="B926" s="22" t="n">
        <x:f>MOD($B$6*(A926-1)+$B$7,$A$12)+1</x:f>
        <x:v>95</x:v>
      </x:c>
      <x:c r="C926" s="22" t="n">
        <x:f>MOD($B$6*(A926-1)+$B$7,$A$13)+1</x:f>
        <x:v>220</x:v>
      </x:c>
      <x:c r="D926" s="22" t="n">
        <x:f>MOD($B$6*(A926-1)+$B$7,$A$14)+1</x:f>
        <x:v>220</x:v>
      </x:c>
      <x:c r="E926" s="22" t="n">
        <x:f>MOD($B$6*(A926-1)+$B$7,$A$15)+1</x:f>
        <x:v>720</x:v>
      </x:c>
      <x:c r="F926" s="18"/>
      <x:c r="G926" s="18"/>
      <x:c r="H926" s="18" t="str">
        <x:v>pairing identity only</x:v>
      </x:c>
    </x:row>
    <x:row r="927" ht="22" customHeight="1">
      <x:c r="A927" s="22" t="n">
        <x:v>902</x:v>
      </x:c>
      <x:c r="B927" s="22" t="n">
        <x:f>MOD($B$6*(A927-1)+$B$7,$A$12)+1</x:f>
        <x:v>43</x:v>
      </x:c>
      <x:c r="C927" s="22" t="n">
        <x:f>MOD($B$6*(A927-1)+$B$7,$A$13)+1</x:f>
        <x:v>43</x:v>
      </x:c>
      <x:c r="D927" s="22" t="n">
        <x:f>MOD($B$6*(A927-1)+$B$7,$A$14)+1</x:f>
        <x:v>293</x:v>
      </x:c>
      <x:c r="E927" s="22" t="n">
        <x:f>MOD($B$6*(A927-1)+$B$7,$A$15)+1</x:f>
        <x:v>793</x:v>
      </x:c>
      <x:c r="F927" s="18"/>
      <x:c r="G927" s="18"/>
      <x:c r="H927" s="18" t="str">
        <x:v>pairing identity only</x:v>
      </x:c>
    </x:row>
    <x:row r="928" ht="22" customHeight="1">
      <x:c r="A928" s="22" t="n">
        <x:v>903</x:v>
      </x:c>
      <x:c r="B928" s="22" t="n">
        <x:f>MOD($B$6*(A928-1)+$B$7,$A$12)+1</x:f>
        <x:v>116</x:v>
      </x:c>
      <x:c r="C928" s="22" t="n">
        <x:f>MOD($B$6*(A928-1)+$B$7,$A$13)+1</x:f>
        <x:v>116</x:v>
      </x:c>
      <x:c r="D928" s="22" t="n">
        <x:f>MOD($B$6*(A928-1)+$B$7,$A$14)+1</x:f>
        <x:v>366</x:v>
      </x:c>
      <x:c r="E928" s="22" t="n">
        <x:f>MOD($B$6*(A928-1)+$B$7,$A$15)+1</x:f>
        <x:v>866</x:v>
      </x:c>
      <x:c r="F928" s="18"/>
      <x:c r="G928" s="18"/>
      <x:c r="H928" s="18" t="str">
        <x:v>pairing identity only</x:v>
      </x:c>
    </x:row>
    <x:row r="929" ht="22" customHeight="1">
      <x:c r="A929" s="22" t="n">
        <x:v>904</x:v>
      </x:c>
      <x:c r="B929" s="22" t="n">
        <x:f>MOD($B$6*(A929-1)+$B$7,$A$12)+1</x:f>
        <x:v>64</x:v>
      </x:c>
      <x:c r="C929" s="22" t="n">
        <x:f>MOD($B$6*(A929-1)+$B$7,$A$13)+1</x:f>
        <x:v>189</x:v>
      </x:c>
      <x:c r="D929" s="22" t="n">
        <x:f>MOD($B$6*(A929-1)+$B$7,$A$14)+1</x:f>
        <x:v>439</x:v>
      </x:c>
      <x:c r="E929" s="22" t="n">
        <x:f>MOD($B$6*(A929-1)+$B$7,$A$15)+1</x:f>
        <x:v>939</x:v>
      </x:c>
      <x:c r="F929" s="18"/>
      <x:c r="G929" s="18"/>
      <x:c r="H929" s="18" t="str">
        <x:v>pairing identity only</x:v>
      </x:c>
    </x:row>
    <x:row r="930" ht="22" customHeight="1">
      <x:c r="A930" s="22" t="n">
        <x:v>905</x:v>
      </x:c>
      <x:c r="B930" s="22" t="n">
        <x:f>MOD($B$6*(A930-1)+$B$7,$A$12)+1</x:f>
        <x:v>12</x:v>
      </x:c>
      <x:c r="C930" s="22" t="n">
        <x:f>MOD($B$6*(A930-1)+$B$7,$A$13)+1</x:f>
        <x:v>12</x:v>
      </x:c>
      <x:c r="D930" s="22" t="n">
        <x:f>MOD($B$6*(A930-1)+$B$7,$A$14)+1</x:f>
        <x:v>12</x:v>
      </x:c>
      <x:c r="E930" s="22" t="n">
        <x:f>MOD($B$6*(A930-1)+$B$7,$A$15)+1</x:f>
        <x:v>12</x:v>
      </x:c>
      <x:c r="F930" s="18"/>
      <x:c r="G930" s="18"/>
      <x:c r="H930" s="18" t="str">
        <x:v>pairing identity only</x:v>
      </x:c>
    </x:row>
    <x:row r="931" ht="22" customHeight="1">
      <x:c r="A931" s="22" t="n">
        <x:v>906</x:v>
      </x:c>
      <x:c r="B931" s="22" t="n">
        <x:f>MOD($B$6*(A931-1)+$B$7,$A$12)+1</x:f>
        <x:v>85</x:v>
      </x:c>
      <x:c r="C931" s="22" t="n">
        <x:f>MOD($B$6*(A931-1)+$B$7,$A$13)+1</x:f>
        <x:v>85</x:v>
      </x:c>
      <x:c r="D931" s="22" t="n">
        <x:f>MOD($B$6*(A931-1)+$B$7,$A$14)+1</x:f>
        <x:v>85</x:v>
      </x:c>
      <x:c r="E931" s="22" t="n">
        <x:f>MOD($B$6*(A931-1)+$B$7,$A$15)+1</x:f>
        <x:v>85</x:v>
      </x:c>
      <x:c r="F931" s="18"/>
      <x:c r="G931" s="18"/>
      <x:c r="H931" s="18" t="str">
        <x:v>pairing identity only</x:v>
      </x:c>
    </x:row>
    <x:row r="932" ht="22" customHeight="1">
      <x:c r="A932" s="22" t="n">
        <x:v>907</x:v>
      </x:c>
      <x:c r="B932" s="22" t="n">
        <x:f>MOD($B$6*(A932-1)+$B$7,$A$12)+1</x:f>
        <x:v>33</x:v>
      </x:c>
      <x:c r="C932" s="22" t="n">
        <x:f>MOD($B$6*(A932-1)+$B$7,$A$13)+1</x:f>
        <x:v>158</x:v>
      </x:c>
      <x:c r="D932" s="22" t="n">
        <x:f>MOD($B$6*(A932-1)+$B$7,$A$14)+1</x:f>
        <x:v>158</x:v>
      </x:c>
      <x:c r="E932" s="22" t="n">
        <x:f>MOD($B$6*(A932-1)+$B$7,$A$15)+1</x:f>
        <x:v>158</x:v>
      </x:c>
      <x:c r="F932" s="18"/>
      <x:c r="G932" s="18"/>
      <x:c r="H932" s="18" t="str">
        <x:v>pairing identity only</x:v>
      </x:c>
    </x:row>
    <x:row r="933" ht="22" customHeight="1">
      <x:c r="A933" s="22" t="n">
        <x:v>908</x:v>
      </x:c>
      <x:c r="B933" s="22" t="n">
        <x:f>MOD($B$6*(A933-1)+$B$7,$A$12)+1</x:f>
        <x:v>106</x:v>
      </x:c>
      <x:c r="C933" s="22" t="n">
        <x:f>MOD($B$6*(A933-1)+$B$7,$A$13)+1</x:f>
        <x:v>231</x:v>
      </x:c>
      <x:c r="D933" s="22" t="n">
        <x:f>MOD($B$6*(A933-1)+$B$7,$A$14)+1</x:f>
        <x:v>231</x:v>
      </x:c>
      <x:c r="E933" s="22" t="n">
        <x:f>MOD($B$6*(A933-1)+$B$7,$A$15)+1</x:f>
        <x:v>231</x:v>
      </x:c>
      <x:c r="F933" s="18"/>
      <x:c r="G933" s="18"/>
      <x:c r="H933" s="18" t="str">
        <x:v>pairing identity only</x:v>
      </x:c>
    </x:row>
    <x:row r="934" ht="22" customHeight="1">
      <x:c r="A934" s="22" t="n">
        <x:v>909</x:v>
      </x:c>
      <x:c r="B934" s="22" t="n">
        <x:f>MOD($B$6*(A934-1)+$B$7,$A$12)+1</x:f>
        <x:v>54</x:v>
      </x:c>
      <x:c r="C934" s="22" t="n">
        <x:f>MOD($B$6*(A934-1)+$B$7,$A$13)+1</x:f>
        <x:v>54</x:v>
      </x:c>
      <x:c r="D934" s="22" t="n">
        <x:f>MOD($B$6*(A934-1)+$B$7,$A$14)+1</x:f>
        <x:v>304</x:v>
      </x:c>
      <x:c r="E934" s="22" t="n">
        <x:f>MOD($B$6*(A934-1)+$B$7,$A$15)+1</x:f>
        <x:v>304</x:v>
      </x:c>
      <x:c r="F934" s="18"/>
      <x:c r="G934" s="18"/>
      <x:c r="H934" s="18" t="str">
        <x:v>pairing identity only</x:v>
      </x:c>
    </x:row>
    <x:row r="935" ht="22" customHeight="1">
      <x:c r="A935" s="22" t="n">
        <x:v>910</x:v>
      </x:c>
      <x:c r="B935" s="22" t="n">
        <x:f>MOD($B$6*(A935-1)+$B$7,$A$12)+1</x:f>
        <x:v>2</x:v>
      </x:c>
      <x:c r="C935" s="22" t="n">
        <x:f>MOD($B$6*(A935-1)+$B$7,$A$13)+1</x:f>
        <x:v>127</x:v>
      </x:c>
      <x:c r="D935" s="22" t="n">
        <x:f>MOD($B$6*(A935-1)+$B$7,$A$14)+1</x:f>
        <x:v>377</x:v>
      </x:c>
      <x:c r="E935" s="22" t="n">
        <x:f>MOD($B$6*(A935-1)+$B$7,$A$15)+1</x:f>
        <x:v>377</x:v>
      </x:c>
      <x:c r="F935" s="18"/>
      <x:c r="G935" s="18"/>
      <x:c r="H935" s="18" t="str">
        <x:v>pairing identity only</x:v>
      </x:c>
    </x:row>
    <x:row r="936" ht="22" customHeight="1">
      <x:c r="A936" s="22" t="n">
        <x:v>911</x:v>
      </x:c>
      <x:c r="B936" s="22" t="n">
        <x:f>MOD($B$6*(A936-1)+$B$7,$A$12)+1</x:f>
        <x:v>75</x:v>
      </x:c>
      <x:c r="C936" s="22" t="n">
        <x:f>MOD($B$6*(A936-1)+$B$7,$A$13)+1</x:f>
        <x:v>200</x:v>
      </x:c>
      <x:c r="D936" s="22" t="n">
        <x:f>MOD($B$6*(A936-1)+$B$7,$A$14)+1</x:f>
        <x:v>450</x:v>
      </x:c>
      <x:c r="E936" s="22" t="n">
        <x:f>MOD($B$6*(A936-1)+$B$7,$A$15)+1</x:f>
        <x:v>450</x:v>
      </x:c>
      <x:c r="F936" s="18"/>
      <x:c r="G936" s="18"/>
      <x:c r="H936" s="18" t="str">
        <x:v>pairing identity only</x:v>
      </x:c>
    </x:row>
    <x:row r="937" ht="22" customHeight="1">
      <x:c r="A937" s="22" t="n">
        <x:v>912</x:v>
      </x:c>
      <x:c r="B937" s="22" t="n">
        <x:f>MOD($B$6*(A937-1)+$B$7,$A$12)+1</x:f>
        <x:v>23</x:v>
      </x:c>
      <x:c r="C937" s="22" t="n">
        <x:f>MOD($B$6*(A937-1)+$B$7,$A$13)+1</x:f>
        <x:v>23</x:v>
      </x:c>
      <x:c r="D937" s="22" t="n">
        <x:f>MOD($B$6*(A937-1)+$B$7,$A$14)+1</x:f>
        <x:v>23</x:v>
      </x:c>
      <x:c r="E937" s="22" t="n">
        <x:f>MOD($B$6*(A937-1)+$B$7,$A$15)+1</x:f>
        <x:v>523</x:v>
      </x:c>
      <x:c r="F937" s="18"/>
      <x:c r="G937" s="18"/>
      <x:c r="H937" s="18" t="str">
        <x:v>pairing identity only</x:v>
      </x:c>
    </x:row>
    <x:row r="938" ht="22" customHeight="1">
      <x:c r="A938" s="22" t="n">
        <x:v>913</x:v>
      </x:c>
      <x:c r="B938" s="22" t="n">
        <x:f>MOD($B$6*(A938-1)+$B$7,$A$12)+1</x:f>
        <x:v>96</x:v>
      </x:c>
      <x:c r="C938" s="22" t="n">
        <x:f>MOD($B$6*(A938-1)+$B$7,$A$13)+1</x:f>
        <x:v>96</x:v>
      </x:c>
      <x:c r="D938" s="22" t="n">
        <x:f>MOD($B$6*(A938-1)+$B$7,$A$14)+1</x:f>
        <x:v>96</x:v>
      </x:c>
      <x:c r="E938" s="22" t="n">
        <x:f>MOD($B$6*(A938-1)+$B$7,$A$15)+1</x:f>
        <x:v>596</x:v>
      </x:c>
      <x:c r="F938" s="18"/>
      <x:c r="G938" s="18"/>
      <x:c r="H938" s="18" t="str">
        <x:v>pairing identity only</x:v>
      </x:c>
    </x:row>
    <x:row r="939" ht="22" customHeight="1">
      <x:c r="A939" s="22" t="n">
        <x:v>914</x:v>
      </x:c>
      <x:c r="B939" s="22" t="n">
        <x:f>MOD($B$6*(A939-1)+$B$7,$A$12)+1</x:f>
        <x:v>44</x:v>
      </x:c>
      <x:c r="C939" s="22" t="n">
        <x:f>MOD($B$6*(A939-1)+$B$7,$A$13)+1</x:f>
        <x:v>169</x:v>
      </x:c>
      <x:c r="D939" s="22" t="n">
        <x:f>MOD($B$6*(A939-1)+$B$7,$A$14)+1</x:f>
        <x:v>169</x:v>
      </x:c>
      <x:c r="E939" s="22" t="n">
        <x:f>MOD($B$6*(A939-1)+$B$7,$A$15)+1</x:f>
        <x:v>669</x:v>
      </x:c>
      <x:c r="F939" s="18"/>
      <x:c r="G939" s="18"/>
      <x:c r="H939" s="18" t="str">
        <x:v>pairing identity only</x:v>
      </x:c>
    </x:row>
    <x:row r="940" ht="22" customHeight="1">
      <x:c r="A940" s="22" t="n">
        <x:v>915</x:v>
      </x:c>
      <x:c r="B940" s="22" t="n">
        <x:f>MOD($B$6*(A940-1)+$B$7,$A$12)+1</x:f>
        <x:v>117</x:v>
      </x:c>
      <x:c r="C940" s="22" t="n">
        <x:f>MOD($B$6*(A940-1)+$B$7,$A$13)+1</x:f>
        <x:v>242</x:v>
      </x:c>
      <x:c r="D940" s="22" t="n">
        <x:f>MOD($B$6*(A940-1)+$B$7,$A$14)+1</x:f>
        <x:v>242</x:v>
      </x:c>
      <x:c r="E940" s="22" t="n">
        <x:f>MOD($B$6*(A940-1)+$B$7,$A$15)+1</x:f>
        <x:v>742</x:v>
      </x:c>
      <x:c r="F940" s="18"/>
      <x:c r="G940" s="18"/>
      <x:c r="H940" s="18" t="str">
        <x:v>pairing identity only</x:v>
      </x:c>
    </x:row>
    <x:row r="941" ht="22" customHeight="1">
      <x:c r="A941" s="22" t="n">
        <x:v>916</x:v>
      </x:c>
      <x:c r="B941" s="22" t="n">
        <x:f>MOD($B$6*(A941-1)+$B$7,$A$12)+1</x:f>
        <x:v>65</x:v>
      </x:c>
      <x:c r="C941" s="22" t="n">
        <x:f>MOD($B$6*(A941-1)+$B$7,$A$13)+1</x:f>
        <x:v>65</x:v>
      </x:c>
      <x:c r="D941" s="22" t="n">
        <x:f>MOD($B$6*(A941-1)+$B$7,$A$14)+1</x:f>
        <x:v>315</x:v>
      </x:c>
      <x:c r="E941" s="22" t="n">
        <x:f>MOD($B$6*(A941-1)+$B$7,$A$15)+1</x:f>
        <x:v>815</x:v>
      </x:c>
      <x:c r="F941" s="18"/>
      <x:c r="G941" s="18"/>
      <x:c r="H941" s="18" t="str">
        <x:v>pairing identity only</x:v>
      </x:c>
    </x:row>
    <x:row r="942" ht="22" customHeight="1">
      <x:c r="A942" s="22" t="n">
        <x:v>917</x:v>
      </x:c>
      <x:c r="B942" s="22" t="n">
        <x:f>MOD($B$6*(A942-1)+$B$7,$A$12)+1</x:f>
        <x:v>13</x:v>
      </x:c>
      <x:c r="C942" s="22" t="n">
        <x:f>MOD($B$6*(A942-1)+$B$7,$A$13)+1</x:f>
        <x:v>138</x:v>
      </x:c>
      <x:c r="D942" s="22" t="n">
        <x:f>MOD($B$6*(A942-1)+$B$7,$A$14)+1</x:f>
        <x:v>388</x:v>
      </x:c>
      <x:c r="E942" s="22" t="n">
        <x:f>MOD($B$6*(A942-1)+$B$7,$A$15)+1</x:f>
        <x:v>888</x:v>
      </x:c>
      <x:c r="F942" s="18"/>
      <x:c r="G942" s="18"/>
      <x:c r="H942" s="18" t="str">
        <x:v>pairing identity only</x:v>
      </x:c>
    </x:row>
    <x:row r="943" ht="22" customHeight="1">
      <x:c r="A943" s="22" t="n">
        <x:v>918</x:v>
      </x:c>
      <x:c r="B943" s="22" t="n">
        <x:f>MOD($B$6*(A943-1)+$B$7,$A$12)+1</x:f>
        <x:v>86</x:v>
      </x:c>
      <x:c r="C943" s="22" t="n">
        <x:f>MOD($B$6*(A943-1)+$B$7,$A$13)+1</x:f>
        <x:v>211</x:v>
      </x:c>
      <x:c r="D943" s="22" t="n">
        <x:f>MOD($B$6*(A943-1)+$B$7,$A$14)+1</x:f>
        <x:v>461</x:v>
      </x:c>
      <x:c r="E943" s="22" t="n">
        <x:f>MOD($B$6*(A943-1)+$B$7,$A$15)+1</x:f>
        <x:v>961</x:v>
      </x:c>
      <x:c r="F943" s="18"/>
      <x:c r="G943" s="18"/>
      <x:c r="H943" s="18" t="str">
        <x:v>pairing identity only</x:v>
      </x:c>
    </x:row>
    <x:row r="944" ht="22" customHeight="1">
      <x:c r="A944" s="22" t="n">
        <x:v>919</x:v>
      </x:c>
      <x:c r="B944" s="22" t="n">
        <x:f>MOD($B$6*(A944-1)+$B$7,$A$12)+1</x:f>
        <x:v>34</x:v>
      </x:c>
      <x:c r="C944" s="22" t="n">
        <x:f>MOD($B$6*(A944-1)+$B$7,$A$13)+1</x:f>
        <x:v>34</x:v>
      </x:c>
      <x:c r="D944" s="22" t="n">
        <x:f>MOD($B$6*(A944-1)+$B$7,$A$14)+1</x:f>
        <x:v>34</x:v>
      </x:c>
      <x:c r="E944" s="22" t="n">
        <x:f>MOD($B$6*(A944-1)+$B$7,$A$15)+1</x:f>
        <x:v>34</x:v>
      </x:c>
      <x:c r="F944" s="18"/>
      <x:c r="G944" s="18"/>
      <x:c r="H944" s="18" t="str">
        <x:v>pairing identity only</x:v>
      </x:c>
    </x:row>
    <x:row r="945" ht="22" customHeight="1">
      <x:c r="A945" s="22" t="n">
        <x:v>920</x:v>
      </x:c>
      <x:c r="B945" s="22" t="n">
        <x:f>MOD($B$6*(A945-1)+$B$7,$A$12)+1</x:f>
        <x:v>107</x:v>
      </x:c>
      <x:c r="C945" s="22" t="n">
        <x:f>MOD($B$6*(A945-1)+$B$7,$A$13)+1</x:f>
        <x:v>107</x:v>
      </x:c>
      <x:c r="D945" s="22" t="n">
        <x:f>MOD($B$6*(A945-1)+$B$7,$A$14)+1</x:f>
        <x:v>107</x:v>
      </x:c>
      <x:c r="E945" s="22" t="n">
        <x:f>MOD($B$6*(A945-1)+$B$7,$A$15)+1</x:f>
        <x:v>107</x:v>
      </x:c>
      <x:c r="F945" s="18"/>
      <x:c r="G945" s="18"/>
      <x:c r="H945" s="18" t="str">
        <x:v>pairing identity only</x:v>
      </x:c>
    </x:row>
    <x:row r="946" ht="22" customHeight="1">
      <x:c r="A946" s="22" t="n">
        <x:v>921</x:v>
      </x:c>
      <x:c r="B946" s="22" t="n">
        <x:f>MOD($B$6*(A946-1)+$B$7,$A$12)+1</x:f>
        <x:v>55</x:v>
      </x:c>
      <x:c r="C946" s="22" t="n">
        <x:f>MOD($B$6*(A946-1)+$B$7,$A$13)+1</x:f>
        <x:v>180</x:v>
      </x:c>
      <x:c r="D946" s="22" t="n">
        <x:f>MOD($B$6*(A946-1)+$B$7,$A$14)+1</x:f>
        <x:v>180</x:v>
      </x:c>
      <x:c r="E946" s="22" t="n">
        <x:f>MOD($B$6*(A946-1)+$B$7,$A$15)+1</x:f>
        <x:v>180</x:v>
      </x:c>
      <x:c r="F946" s="18"/>
      <x:c r="G946" s="18"/>
      <x:c r="H946" s="18" t="str">
        <x:v>pairing identity only</x:v>
      </x:c>
    </x:row>
    <x:row r="947" ht="22" customHeight="1">
      <x:c r="A947" s="22" t="n">
        <x:v>922</x:v>
      </x:c>
      <x:c r="B947" s="22" t="n">
        <x:f>MOD($B$6*(A947-1)+$B$7,$A$12)+1</x:f>
        <x:v>3</x:v>
      </x:c>
      <x:c r="C947" s="22" t="n">
        <x:f>MOD($B$6*(A947-1)+$B$7,$A$13)+1</x:f>
        <x:v>3</x:v>
      </x:c>
      <x:c r="D947" s="22" t="n">
        <x:f>MOD($B$6*(A947-1)+$B$7,$A$14)+1</x:f>
        <x:v>253</x:v>
      </x:c>
      <x:c r="E947" s="22" t="n">
        <x:f>MOD($B$6*(A947-1)+$B$7,$A$15)+1</x:f>
        <x:v>253</x:v>
      </x:c>
      <x:c r="F947" s="18"/>
      <x:c r="G947" s="18"/>
      <x:c r="H947" s="18" t="str">
        <x:v>pairing identity only</x:v>
      </x:c>
    </x:row>
    <x:row r="948" ht="22" customHeight="1">
      <x:c r="A948" s="22" t="n">
        <x:v>923</x:v>
      </x:c>
      <x:c r="B948" s="22" t="n">
        <x:f>MOD($B$6*(A948-1)+$B$7,$A$12)+1</x:f>
        <x:v>76</x:v>
      </x:c>
      <x:c r="C948" s="22" t="n">
        <x:f>MOD($B$6*(A948-1)+$B$7,$A$13)+1</x:f>
        <x:v>76</x:v>
      </x:c>
      <x:c r="D948" s="22" t="n">
        <x:f>MOD($B$6*(A948-1)+$B$7,$A$14)+1</x:f>
        <x:v>326</x:v>
      </x:c>
      <x:c r="E948" s="22" t="n">
        <x:f>MOD($B$6*(A948-1)+$B$7,$A$15)+1</x:f>
        <x:v>326</x:v>
      </x:c>
      <x:c r="F948" s="18"/>
      <x:c r="G948" s="18"/>
      <x:c r="H948" s="18" t="str">
        <x:v>pairing identity only</x:v>
      </x:c>
    </x:row>
    <x:row r="949" ht="22" customHeight="1">
      <x:c r="A949" s="22" t="n">
        <x:v>924</x:v>
      </x:c>
      <x:c r="B949" s="22" t="n">
        <x:f>MOD($B$6*(A949-1)+$B$7,$A$12)+1</x:f>
        <x:v>24</x:v>
      </x:c>
      <x:c r="C949" s="22" t="n">
        <x:f>MOD($B$6*(A949-1)+$B$7,$A$13)+1</x:f>
        <x:v>149</x:v>
      </x:c>
      <x:c r="D949" s="22" t="n">
        <x:f>MOD($B$6*(A949-1)+$B$7,$A$14)+1</x:f>
        <x:v>399</x:v>
      </x:c>
      <x:c r="E949" s="22" t="n">
        <x:f>MOD($B$6*(A949-1)+$B$7,$A$15)+1</x:f>
        <x:v>399</x:v>
      </x:c>
      <x:c r="F949" s="18"/>
      <x:c r="G949" s="18"/>
      <x:c r="H949" s="18" t="str">
        <x:v>pairing identity only</x:v>
      </x:c>
    </x:row>
    <x:row r="950" ht="22" customHeight="1">
      <x:c r="A950" s="22" t="n">
        <x:v>925</x:v>
      </x:c>
      <x:c r="B950" s="22" t="n">
        <x:f>MOD($B$6*(A950-1)+$B$7,$A$12)+1</x:f>
        <x:v>97</x:v>
      </x:c>
      <x:c r="C950" s="22" t="n">
        <x:f>MOD($B$6*(A950-1)+$B$7,$A$13)+1</x:f>
        <x:v>222</x:v>
      </x:c>
      <x:c r="D950" s="22" t="n">
        <x:f>MOD($B$6*(A950-1)+$B$7,$A$14)+1</x:f>
        <x:v>472</x:v>
      </x:c>
      <x:c r="E950" s="22" t="n">
        <x:f>MOD($B$6*(A950-1)+$B$7,$A$15)+1</x:f>
        <x:v>472</x:v>
      </x:c>
      <x:c r="F950" s="18"/>
      <x:c r="G950" s="18"/>
      <x:c r="H950" s="18" t="str">
        <x:v>pairing identity only</x:v>
      </x:c>
    </x:row>
    <x:row r="951" ht="22" customHeight="1">
      <x:c r="A951" s="22" t="n">
        <x:v>926</x:v>
      </x:c>
      <x:c r="B951" s="22" t="n">
        <x:f>MOD($B$6*(A951-1)+$B$7,$A$12)+1</x:f>
        <x:v>45</x:v>
      </x:c>
      <x:c r="C951" s="22" t="n">
        <x:f>MOD($B$6*(A951-1)+$B$7,$A$13)+1</x:f>
        <x:v>45</x:v>
      </x:c>
      <x:c r="D951" s="22" t="n">
        <x:f>MOD($B$6*(A951-1)+$B$7,$A$14)+1</x:f>
        <x:v>45</x:v>
      </x:c>
      <x:c r="E951" s="22" t="n">
        <x:f>MOD($B$6*(A951-1)+$B$7,$A$15)+1</x:f>
        <x:v>545</x:v>
      </x:c>
      <x:c r="F951" s="18"/>
      <x:c r="G951" s="18"/>
      <x:c r="H951" s="18" t="str">
        <x:v>pairing identity only</x:v>
      </x:c>
    </x:row>
    <x:row r="952" ht="22" customHeight="1">
      <x:c r="A952" s="22" t="n">
        <x:v>927</x:v>
      </x:c>
      <x:c r="B952" s="22" t="n">
        <x:f>MOD($B$6*(A952-1)+$B$7,$A$12)+1</x:f>
        <x:v>118</x:v>
      </x:c>
      <x:c r="C952" s="22" t="n">
        <x:f>MOD($B$6*(A952-1)+$B$7,$A$13)+1</x:f>
        <x:v>118</x:v>
      </x:c>
      <x:c r="D952" s="22" t="n">
        <x:f>MOD($B$6*(A952-1)+$B$7,$A$14)+1</x:f>
        <x:v>118</x:v>
      </x:c>
      <x:c r="E952" s="22" t="n">
        <x:f>MOD($B$6*(A952-1)+$B$7,$A$15)+1</x:f>
        <x:v>618</x:v>
      </x:c>
      <x:c r="F952" s="18"/>
      <x:c r="G952" s="18"/>
      <x:c r="H952" s="18" t="str">
        <x:v>pairing identity only</x:v>
      </x:c>
    </x:row>
    <x:row r="953" ht="22" customHeight="1">
      <x:c r="A953" s="22" t="n">
        <x:v>928</x:v>
      </x:c>
      <x:c r="B953" s="22" t="n">
        <x:f>MOD($B$6*(A953-1)+$B$7,$A$12)+1</x:f>
        <x:v>66</x:v>
      </x:c>
      <x:c r="C953" s="22" t="n">
        <x:f>MOD($B$6*(A953-1)+$B$7,$A$13)+1</x:f>
        <x:v>191</x:v>
      </x:c>
      <x:c r="D953" s="22" t="n">
        <x:f>MOD($B$6*(A953-1)+$B$7,$A$14)+1</x:f>
        <x:v>191</x:v>
      </x:c>
      <x:c r="E953" s="22" t="n">
        <x:f>MOD($B$6*(A953-1)+$B$7,$A$15)+1</x:f>
        <x:v>691</x:v>
      </x:c>
      <x:c r="F953" s="18"/>
      <x:c r="G953" s="18"/>
      <x:c r="H953" s="18" t="str">
        <x:v>pairing identity only</x:v>
      </x:c>
    </x:row>
    <x:row r="954" ht="22" customHeight="1">
      <x:c r="A954" s="22" t="n">
        <x:v>929</x:v>
      </x:c>
      <x:c r="B954" s="22" t="n">
        <x:f>MOD($B$6*(A954-1)+$B$7,$A$12)+1</x:f>
        <x:v>14</x:v>
      </x:c>
      <x:c r="C954" s="22" t="n">
        <x:f>MOD($B$6*(A954-1)+$B$7,$A$13)+1</x:f>
        <x:v>14</x:v>
      </x:c>
      <x:c r="D954" s="22" t="n">
        <x:f>MOD($B$6*(A954-1)+$B$7,$A$14)+1</x:f>
        <x:v>264</x:v>
      </x:c>
      <x:c r="E954" s="22" t="n">
        <x:f>MOD($B$6*(A954-1)+$B$7,$A$15)+1</x:f>
        <x:v>764</x:v>
      </x:c>
      <x:c r="F954" s="18"/>
      <x:c r="G954" s="18"/>
      <x:c r="H954" s="18" t="str">
        <x:v>pairing identity only</x:v>
      </x:c>
    </x:row>
    <x:row r="955" ht="22" customHeight="1">
      <x:c r="A955" s="22" t="n">
        <x:v>930</x:v>
      </x:c>
      <x:c r="B955" s="22" t="n">
        <x:f>MOD($B$6*(A955-1)+$B$7,$A$12)+1</x:f>
        <x:v>87</x:v>
      </x:c>
      <x:c r="C955" s="22" t="n">
        <x:f>MOD($B$6*(A955-1)+$B$7,$A$13)+1</x:f>
        <x:v>87</x:v>
      </x:c>
      <x:c r="D955" s="22" t="n">
        <x:f>MOD($B$6*(A955-1)+$B$7,$A$14)+1</x:f>
        <x:v>337</x:v>
      </x:c>
      <x:c r="E955" s="22" t="n">
        <x:f>MOD($B$6*(A955-1)+$B$7,$A$15)+1</x:f>
        <x:v>837</x:v>
      </x:c>
      <x:c r="F955" s="18"/>
      <x:c r="G955" s="18"/>
      <x:c r="H955" s="18" t="str">
        <x:v>pairing identity only</x:v>
      </x:c>
    </x:row>
    <x:row r="956" ht="22" customHeight="1">
      <x:c r="A956" s="22" t="n">
        <x:v>931</x:v>
      </x:c>
      <x:c r="B956" s="22" t="n">
        <x:f>MOD($B$6*(A956-1)+$B$7,$A$12)+1</x:f>
        <x:v>35</x:v>
      </x:c>
      <x:c r="C956" s="22" t="n">
        <x:f>MOD($B$6*(A956-1)+$B$7,$A$13)+1</x:f>
        <x:v>160</x:v>
      </x:c>
      <x:c r="D956" s="22" t="n">
        <x:f>MOD($B$6*(A956-1)+$B$7,$A$14)+1</x:f>
        <x:v>410</x:v>
      </x:c>
      <x:c r="E956" s="22" t="n">
        <x:f>MOD($B$6*(A956-1)+$B$7,$A$15)+1</x:f>
        <x:v>910</x:v>
      </x:c>
      <x:c r="F956" s="18"/>
      <x:c r="G956" s="18"/>
      <x:c r="H956" s="18" t="str">
        <x:v>pairing identity only</x:v>
      </x:c>
    </x:row>
    <x:row r="957" ht="22" customHeight="1">
      <x:c r="A957" s="22" t="n">
        <x:v>932</x:v>
      </x:c>
      <x:c r="B957" s="22" t="n">
        <x:f>MOD($B$6*(A957-1)+$B$7,$A$12)+1</x:f>
        <x:v>108</x:v>
      </x:c>
      <x:c r="C957" s="22" t="n">
        <x:f>MOD($B$6*(A957-1)+$B$7,$A$13)+1</x:f>
        <x:v>233</x:v>
      </x:c>
      <x:c r="D957" s="22" t="n">
        <x:f>MOD($B$6*(A957-1)+$B$7,$A$14)+1</x:f>
        <x:v>483</x:v>
      </x:c>
      <x:c r="E957" s="22" t="n">
        <x:f>MOD($B$6*(A957-1)+$B$7,$A$15)+1</x:f>
        <x:v>983</x:v>
      </x:c>
      <x:c r="F957" s="18"/>
      <x:c r="G957" s="18"/>
      <x:c r="H957" s="18" t="str">
        <x:v>pairing identity only</x:v>
      </x:c>
    </x:row>
    <x:row r="958" ht="22" customHeight="1">
      <x:c r="A958" s="22" t="n">
        <x:v>933</x:v>
      </x:c>
      <x:c r="B958" s="22" t="n">
        <x:f>MOD($B$6*(A958-1)+$B$7,$A$12)+1</x:f>
        <x:v>56</x:v>
      </x:c>
      <x:c r="C958" s="22" t="n">
        <x:f>MOD($B$6*(A958-1)+$B$7,$A$13)+1</x:f>
        <x:v>56</x:v>
      </x:c>
      <x:c r="D958" s="22" t="n">
        <x:f>MOD($B$6*(A958-1)+$B$7,$A$14)+1</x:f>
        <x:v>56</x:v>
      </x:c>
      <x:c r="E958" s="22" t="n">
        <x:f>MOD($B$6*(A958-1)+$B$7,$A$15)+1</x:f>
        <x:v>56</x:v>
      </x:c>
      <x:c r="F958" s="18"/>
      <x:c r="G958" s="18"/>
      <x:c r="H958" s="18" t="str">
        <x:v>pairing identity only</x:v>
      </x:c>
    </x:row>
    <x:row r="959" ht="22" customHeight="1">
      <x:c r="A959" s="22" t="n">
        <x:v>934</x:v>
      </x:c>
      <x:c r="B959" s="22" t="n">
        <x:f>MOD($B$6*(A959-1)+$B$7,$A$12)+1</x:f>
        <x:v>4</x:v>
      </x:c>
      <x:c r="C959" s="22" t="n">
        <x:f>MOD($B$6*(A959-1)+$B$7,$A$13)+1</x:f>
        <x:v>129</x:v>
      </x:c>
      <x:c r="D959" s="22" t="n">
        <x:f>MOD($B$6*(A959-1)+$B$7,$A$14)+1</x:f>
        <x:v>129</x:v>
      </x:c>
      <x:c r="E959" s="22" t="n">
        <x:f>MOD($B$6*(A959-1)+$B$7,$A$15)+1</x:f>
        <x:v>129</x:v>
      </x:c>
      <x:c r="F959" s="18"/>
      <x:c r="G959" s="18"/>
      <x:c r="H959" s="18" t="str">
        <x:v>pairing identity only</x:v>
      </x:c>
    </x:row>
    <x:row r="960" ht="22" customHeight="1">
      <x:c r="A960" s="22" t="n">
        <x:v>935</x:v>
      </x:c>
      <x:c r="B960" s="22" t="n">
        <x:f>MOD($B$6*(A960-1)+$B$7,$A$12)+1</x:f>
        <x:v>77</x:v>
      </x:c>
      <x:c r="C960" s="22" t="n">
        <x:f>MOD($B$6*(A960-1)+$B$7,$A$13)+1</x:f>
        <x:v>202</x:v>
      </x:c>
      <x:c r="D960" s="22" t="n">
        <x:f>MOD($B$6*(A960-1)+$B$7,$A$14)+1</x:f>
        <x:v>202</x:v>
      </x:c>
      <x:c r="E960" s="22" t="n">
        <x:f>MOD($B$6*(A960-1)+$B$7,$A$15)+1</x:f>
        <x:v>202</x:v>
      </x:c>
      <x:c r="F960" s="18"/>
      <x:c r="G960" s="18"/>
      <x:c r="H960" s="18" t="str">
        <x:v>pairing identity only</x:v>
      </x:c>
    </x:row>
    <x:row r="961" ht="22" customHeight="1">
      <x:c r="A961" s="22" t="n">
        <x:v>936</x:v>
      </x:c>
      <x:c r="B961" s="22" t="n">
        <x:f>MOD($B$6*(A961-1)+$B$7,$A$12)+1</x:f>
        <x:v>25</x:v>
      </x:c>
      <x:c r="C961" s="22" t="n">
        <x:f>MOD($B$6*(A961-1)+$B$7,$A$13)+1</x:f>
        <x:v>25</x:v>
      </x:c>
      <x:c r="D961" s="22" t="n">
        <x:f>MOD($B$6*(A961-1)+$B$7,$A$14)+1</x:f>
        <x:v>275</x:v>
      </x:c>
      <x:c r="E961" s="22" t="n">
        <x:f>MOD($B$6*(A961-1)+$B$7,$A$15)+1</x:f>
        <x:v>275</x:v>
      </x:c>
      <x:c r="F961" s="18"/>
      <x:c r="G961" s="18"/>
      <x:c r="H961" s="18" t="str">
        <x:v>pairing identity only</x:v>
      </x:c>
    </x:row>
    <x:row r="962" ht="22" customHeight="1">
      <x:c r="A962" s="22" t="n">
        <x:v>937</x:v>
      </x:c>
      <x:c r="B962" s="22" t="n">
        <x:f>MOD($B$6*(A962-1)+$B$7,$A$12)+1</x:f>
        <x:v>98</x:v>
      </x:c>
      <x:c r="C962" s="22" t="n">
        <x:f>MOD($B$6*(A962-1)+$B$7,$A$13)+1</x:f>
        <x:v>98</x:v>
      </x:c>
      <x:c r="D962" s="22" t="n">
        <x:f>MOD($B$6*(A962-1)+$B$7,$A$14)+1</x:f>
        <x:v>348</x:v>
      </x:c>
      <x:c r="E962" s="22" t="n">
        <x:f>MOD($B$6*(A962-1)+$B$7,$A$15)+1</x:f>
        <x:v>348</x:v>
      </x:c>
      <x:c r="F962" s="18"/>
      <x:c r="G962" s="18"/>
      <x:c r="H962" s="18" t="str">
        <x:v>pairing identity only</x:v>
      </x:c>
    </x:row>
    <x:row r="963" ht="22" customHeight="1">
      <x:c r="A963" s="22" t="n">
        <x:v>938</x:v>
      </x:c>
      <x:c r="B963" s="22" t="n">
        <x:f>MOD($B$6*(A963-1)+$B$7,$A$12)+1</x:f>
        <x:v>46</x:v>
      </x:c>
      <x:c r="C963" s="22" t="n">
        <x:f>MOD($B$6*(A963-1)+$B$7,$A$13)+1</x:f>
        <x:v>171</x:v>
      </x:c>
      <x:c r="D963" s="22" t="n">
        <x:f>MOD($B$6*(A963-1)+$B$7,$A$14)+1</x:f>
        <x:v>421</x:v>
      </x:c>
      <x:c r="E963" s="22" t="n">
        <x:f>MOD($B$6*(A963-1)+$B$7,$A$15)+1</x:f>
        <x:v>421</x:v>
      </x:c>
      <x:c r="F963" s="18"/>
      <x:c r="G963" s="18"/>
      <x:c r="H963" s="18" t="str">
        <x:v>pairing identity only</x:v>
      </x:c>
    </x:row>
    <x:row r="964" ht="22" customHeight="1">
      <x:c r="A964" s="22" t="n">
        <x:v>939</x:v>
      </x:c>
      <x:c r="B964" s="22" t="n">
        <x:f>MOD($B$6*(A964-1)+$B$7,$A$12)+1</x:f>
        <x:v>119</x:v>
      </x:c>
      <x:c r="C964" s="22" t="n">
        <x:f>MOD($B$6*(A964-1)+$B$7,$A$13)+1</x:f>
        <x:v>244</x:v>
      </x:c>
      <x:c r="D964" s="22" t="n">
        <x:f>MOD($B$6*(A964-1)+$B$7,$A$14)+1</x:f>
        <x:v>494</x:v>
      </x:c>
      <x:c r="E964" s="22" t="n">
        <x:f>MOD($B$6*(A964-1)+$B$7,$A$15)+1</x:f>
        <x:v>494</x:v>
      </x:c>
      <x:c r="F964" s="18"/>
      <x:c r="G964" s="18"/>
      <x:c r="H964" s="18" t="str">
        <x:v>pairing identity only</x:v>
      </x:c>
    </x:row>
    <x:row r="965" ht="22" customHeight="1">
      <x:c r="A965" s="22" t="n">
        <x:v>940</x:v>
      </x:c>
      <x:c r="B965" s="22" t="n">
        <x:f>MOD($B$6*(A965-1)+$B$7,$A$12)+1</x:f>
        <x:v>67</x:v>
      </x:c>
      <x:c r="C965" s="22" t="n">
        <x:f>MOD($B$6*(A965-1)+$B$7,$A$13)+1</x:f>
        <x:v>67</x:v>
      </x:c>
      <x:c r="D965" s="22" t="n">
        <x:f>MOD($B$6*(A965-1)+$B$7,$A$14)+1</x:f>
        <x:v>67</x:v>
      </x:c>
      <x:c r="E965" s="22" t="n">
        <x:f>MOD($B$6*(A965-1)+$B$7,$A$15)+1</x:f>
        <x:v>567</x:v>
      </x:c>
      <x:c r="F965" s="18"/>
      <x:c r="G965" s="18"/>
      <x:c r="H965" s="18" t="str">
        <x:v>pairing identity only</x:v>
      </x:c>
    </x:row>
    <x:row r="966" ht="22" customHeight="1">
      <x:c r="A966" s="22" t="n">
        <x:v>941</x:v>
      </x:c>
      <x:c r="B966" s="22" t="n">
        <x:f>MOD($B$6*(A966-1)+$B$7,$A$12)+1</x:f>
        <x:v>15</x:v>
      </x:c>
      <x:c r="C966" s="22" t="n">
        <x:f>MOD($B$6*(A966-1)+$B$7,$A$13)+1</x:f>
        <x:v>140</x:v>
      </x:c>
      <x:c r="D966" s="22" t="n">
        <x:f>MOD($B$6*(A966-1)+$B$7,$A$14)+1</x:f>
        <x:v>140</x:v>
      </x:c>
      <x:c r="E966" s="22" t="n">
        <x:f>MOD($B$6*(A966-1)+$B$7,$A$15)+1</x:f>
        <x:v>640</x:v>
      </x:c>
      <x:c r="F966" s="18"/>
      <x:c r="G966" s="18"/>
      <x:c r="H966" s="18" t="str">
        <x:v>pairing identity only</x:v>
      </x:c>
    </x:row>
    <x:row r="967" ht="22" customHeight="1">
      <x:c r="A967" s="22" t="n">
        <x:v>942</x:v>
      </x:c>
      <x:c r="B967" s="22" t="n">
        <x:f>MOD($B$6*(A967-1)+$B$7,$A$12)+1</x:f>
        <x:v>88</x:v>
      </x:c>
      <x:c r="C967" s="22" t="n">
        <x:f>MOD($B$6*(A967-1)+$B$7,$A$13)+1</x:f>
        <x:v>213</x:v>
      </x:c>
      <x:c r="D967" s="22" t="n">
        <x:f>MOD($B$6*(A967-1)+$B$7,$A$14)+1</x:f>
        <x:v>213</x:v>
      </x:c>
      <x:c r="E967" s="22" t="n">
        <x:f>MOD($B$6*(A967-1)+$B$7,$A$15)+1</x:f>
        <x:v>713</x:v>
      </x:c>
      <x:c r="F967" s="18"/>
      <x:c r="G967" s="18"/>
      <x:c r="H967" s="18" t="str">
        <x:v>pairing identity only</x:v>
      </x:c>
    </x:row>
    <x:row r="968" ht="22" customHeight="1">
      <x:c r="A968" s="22" t="n">
        <x:v>943</x:v>
      </x:c>
      <x:c r="B968" s="22" t="n">
        <x:f>MOD($B$6*(A968-1)+$B$7,$A$12)+1</x:f>
        <x:v>36</x:v>
      </x:c>
      <x:c r="C968" s="22" t="n">
        <x:f>MOD($B$6*(A968-1)+$B$7,$A$13)+1</x:f>
        <x:v>36</x:v>
      </x:c>
      <x:c r="D968" s="22" t="n">
        <x:f>MOD($B$6*(A968-1)+$B$7,$A$14)+1</x:f>
        <x:v>286</x:v>
      </x:c>
      <x:c r="E968" s="22" t="n">
        <x:f>MOD($B$6*(A968-1)+$B$7,$A$15)+1</x:f>
        <x:v>786</x:v>
      </x:c>
      <x:c r="F968" s="18"/>
      <x:c r="G968" s="18"/>
      <x:c r="H968" s="18" t="str">
        <x:v>pairing identity only</x:v>
      </x:c>
    </x:row>
    <x:row r="969" ht="22" customHeight="1">
      <x:c r="A969" s="22" t="n">
        <x:v>944</x:v>
      </x:c>
      <x:c r="B969" s="22" t="n">
        <x:f>MOD($B$6*(A969-1)+$B$7,$A$12)+1</x:f>
        <x:v>109</x:v>
      </x:c>
      <x:c r="C969" s="22" t="n">
        <x:f>MOD($B$6*(A969-1)+$B$7,$A$13)+1</x:f>
        <x:v>109</x:v>
      </x:c>
      <x:c r="D969" s="22" t="n">
        <x:f>MOD($B$6*(A969-1)+$B$7,$A$14)+1</x:f>
        <x:v>359</x:v>
      </x:c>
      <x:c r="E969" s="22" t="n">
        <x:f>MOD($B$6*(A969-1)+$B$7,$A$15)+1</x:f>
        <x:v>859</x:v>
      </x:c>
      <x:c r="F969" s="18"/>
      <x:c r="G969" s="18"/>
      <x:c r="H969" s="18" t="str">
        <x:v>pairing identity only</x:v>
      </x:c>
    </x:row>
    <x:row r="970" ht="22" customHeight="1">
      <x:c r="A970" s="22" t="n">
        <x:v>945</x:v>
      </x:c>
      <x:c r="B970" s="22" t="n">
        <x:f>MOD($B$6*(A970-1)+$B$7,$A$12)+1</x:f>
        <x:v>57</x:v>
      </x:c>
      <x:c r="C970" s="22" t="n">
        <x:f>MOD($B$6*(A970-1)+$B$7,$A$13)+1</x:f>
        <x:v>182</x:v>
      </x:c>
      <x:c r="D970" s="22" t="n">
        <x:f>MOD($B$6*(A970-1)+$B$7,$A$14)+1</x:f>
        <x:v>432</x:v>
      </x:c>
      <x:c r="E970" s="22" t="n">
        <x:f>MOD($B$6*(A970-1)+$B$7,$A$15)+1</x:f>
        <x:v>932</x:v>
      </x:c>
      <x:c r="F970" s="18"/>
      <x:c r="G970" s="18"/>
      <x:c r="H970" s="18" t="str">
        <x:v>pairing identity only</x:v>
      </x:c>
    </x:row>
    <x:row r="971" ht="22" customHeight="1">
      <x:c r="A971" s="22" t="n">
        <x:v>946</x:v>
      </x:c>
      <x:c r="B971" s="22" t="n">
        <x:f>MOD($B$6*(A971-1)+$B$7,$A$12)+1</x:f>
        <x:v>5</x:v>
      </x:c>
      <x:c r="C971" s="22" t="n">
        <x:f>MOD($B$6*(A971-1)+$B$7,$A$13)+1</x:f>
        <x:v>5</x:v>
      </x:c>
      <x:c r="D971" s="22" t="n">
        <x:f>MOD($B$6*(A971-1)+$B$7,$A$14)+1</x:f>
        <x:v>5</x:v>
      </x:c>
      <x:c r="E971" s="22" t="n">
        <x:f>MOD($B$6*(A971-1)+$B$7,$A$15)+1</x:f>
        <x:v>5</x:v>
      </x:c>
      <x:c r="F971" s="18"/>
      <x:c r="G971" s="18"/>
      <x:c r="H971" s="18" t="str">
        <x:v>pairing identity only</x:v>
      </x:c>
    </x:row>
    <x:row r="972" ht="22" customHeight="1">
      <x:c r="A972" s="22" t="n">
        <x:v>947</x:v>
      </x:c>
      <x:c r="B972" s="22" t="n">
        <x:f>MOD($B$6*(A972-1)+$B$7,$A$12)+1</x:f>
        <x:v>78</x:v>
      </x:c>
      <x:c r="C972" s="22" t="n">
        <x:f>MOD($B$6*(A972-1)+$B$7,$A$13)+1</x:f>
        <x:v>78</x:v>
      </x:c>
      <x:c r="D972" s="22" t="n">
        <x:f>MOD($B$6*(A972-1)+$B$7,$A$14)+1</x:f>
        <x:v>78</x:v>
      </x:c>
      <x:c r="E972" s="22" t="n">
        <x:f>MOD($B$6*(A972-1)+$B$7,$A$15)+1</x:f>
        <x:v>78</x:v>
      </x:c>
      <x:c r="F972" s="18"/>
      <x:c r="G972" s="18"/>
      <x:c r="H972" s="18" t="str">
        <x:v>pairing identity only</x:v>
      </x:c>
    </x:row>
    <x:row r="973" ht="22" customHeight="1">
      <x:c r="A973" s="22" t="n">
        <x:v>948</x:v>
      </x:c>
      <x:c r="B973" s="22" t="n">
        <x:f>MOD($B$6*(A973-1)+$B$7,$A$12)+1</x:f>
        <x:v>26</x:v>
      </x:c>
      <x:c r="C973" s="22" t="n">
        <x:f>MOD($B$6*(A973-1)+$B$7,$A$13)+1</x:f>
        <x:v>151</x:v>
      </x:c>
      <x:c r="D973" s="22" t="n">
        <x:f>MOD($B$6*(A973-1)+$B$7,$A$14)+1</x:f>
        <x:v>151</x:v>
      </x:c>
      <x:c r="E973" s="22" t="n">
        <x:f>MOD($B$6*(A973-1)+$B$7,$A$15)+1</x:f>
        <x:v>151</x:v>
      </x:c>
      <x:c r="F973" s="18"/>
      <x:c r="G973" s="18"/>
      <x:c r="H973" s="18" t="str">
        <x:v>pairing identity only</x:v>
      </x:c>
    </x:row>
    <x:row r="974" ht="22" customHeight="1">
      <x:c r="A974" s="22" t="n">
        <x:v>949</x:v>
      </x:c>
      <x:c r="B974" s="22" t="n">
        <x:f>MOD($B$6*(A974-1)+$B$7,$A$12)+1</x:f>
        <x:v>99</x:v>
      </x:c>
      <x:c r="C974" s="22" t="n">
        <x:f>MOD($B$6*(A974-1)+$B$7,$A$13)+1</x:f>
        <x:v>224</x:v>
      </x:c>
      <x:c r="D974" s="22" t="n">
        <x:f>MOD($B$6*(A974-1)+$B$7,$A$14)+1</x:f>
        <x:v>224</x:v>
      </x:c>
      <x:c r="E974" s="22" t="n">
        <x:f>MOD($B$6*(A974-1)+$B$7,$A$15)+1</x:f>
        <x:v>224</x:v>
      </x:c>
      <x:c r="F974" s="18"/>
      <x:c r="G974" s="18"/>
      <x:c r="H974" s="18" t="str">
        <x:v>pairing identity only</x:v>
      </x:c>
    </x:row>
    <x:row r="975" ht="22" customHeight="1">
      <x:c r="A975" s="22" t="n">
        <x:v>950</x:v>
      </x:c>
      <x:c r="B975" s="22" t="n">
        <x:f>MOD($B$6*(A975-1)+$B$7,$A$12)+1</x:f>
        <x:v>47</x:v>
      </x:c>
      <x:c r="C975" s="22" t="n">
        <x:f>MOD($B$6*(A975-1)+$B$7,$A$13)+1</x:f>
        <x:v>47</x:v>
      </x:c>
      <x:c r="D975" s="22" t="n">
        <x:f>MOD($B$6*(A975-1)+$B$7,$A$14)+1</x:f>
        <x:v>297</x:v>
      </x:c>
      <x:c r="E975" s="22" t="n">
        <x:f>MOD($B$6*(A975-1)+$B$7,$A$15)+1</x:f>
        <x:v>297</x:v>
      </x:c>
      <x:c r="F975" s="18"/>
      <x:c r="G975" s="18"/>
      <x:c r="H975" s="18" t="str">
        <x:v>pairing identity only</x:v>
      </x:c>
    </x:row>
    <x:row r="976" ht="22" customHeight="1">
      <x:c r="A976" s="22" t="n">
        <x:v>951</x:v>
      </x:c>
      <x:c r="B976" s="22" t="n">
        <x:f>MOD($B$6*(A976-1)+$B$7,$A$12)+1</x:f>
        <x:v>120</x:v>
      </x:c>
      <x:c r="C976" s="22" t="n">
        <x:f>MOD($B$6*(A976-1)+$B$7,$A$13)+1</x:f>
        <x:v>120</x:v>
      </x:c>
      <x:c r="D976" s="22" t="n">
        <x:f>MOD($B$6*(A976-1)+$B$7,$A$14)+1</x:f>
        <x:v>370</x:v>
      </x:c>
      <x:c r="E976" s="22" t="n">
        <x:f>MOD($B$6*(A976-1)+$B$7,$A$15)+1</x:f>
        <x:v>370</x:v>
      </x:c>
      <x:c r="F976" s="18"/>
      <x:c r="G976" s="18"/>
      <x:c r="H976" s="18" t="str">
        <x:v>pairing identity only</x:v>
      </x:c>
    </x:row>
    <x:row r="977" ht="22" customHeight="1">
      <x:c r="A977" s="22" t="n">
        <x:v>952</x:v>
      </x:c>
      <x:c r="B977" s="22" t="n">
        <x:f>MOD($B$6*(A977-1)+$B$7,$A$12)+1</x:f>
        <x:v>68</x:v>
      </x:c>
      <x:c r="C977" s="22" t="n">
        <x:f>MOD($B$6*(A977-1)+$B$7,$A$13)+1</x:f>
        <x:v>193</x:v>
      </x:c>
      <x:c r="D977" s="22" t="n">
        <x:f>MOD($B$6*(A977-1)+$B$7,$A$14)+1</x:f>
        <x:v>443</x:v>
      </x:c>
      <x:c r="E977" s="22" t="n">
        <x:f>MOD($B$6*(A977-1)+$B$7,$A$15)+1</x:f>
        <x:v>443</x:v>
      </x:c>
      <x:c r="F977" s="18"/>
      <x:c r="G977" s="18"/>
      <x:c r="H977" s="18" t="str">
        <x:v>pairing identity only</x:v>
      </x:c>
    </x:row>
    <x:row r="978" ht="22" customHeight="1">
      <x:c r="A978" s="22" t="n">
        <x:v>953</x:v>
      </x:c>
      <x:c r="B978" s="22" t="n">
        <x:f>MOD($B$6*(A978-1)+$B$7,$A$12)+1</x:f>
        <x:v>16</x:v>
      </x:c>
      <x:c r="C978" s="22" t="n">
        <x:f>MOD($B$6*(A978-1)+$B$7,$A$13)+1</x:f>
        <x:v>16</x:v>
      </x:c>
      <x:c r="D978" s="22" t="n">
        <x:f>MOD($B$6*(A978-1)+$B$7,$A$14)+1</x:f>
        <x:v>16</x:v>
      </x:c>
      <x:c r="E978" s="22" t="n">
        <x:f>MOD($B$6*(A978-1)+$B$7,$A$15)+1</x:f>
        <x:v>516</x:v>
      </x:c>
      <x:c r="F978" s="18"/>
      <x:c r="G978" s="18"/>
      <x:c r="H978" s="18" t="str">
        <x:v>pairing identity only</x:v>
      </x:c>
    </x:row>
    <x:row r="979" ht="22" customHeight="1">
      <x:c r="A979" s="22" t="n">
        <x:v>954</x:v>
      </x:c>
      <x:c r="B979" s="22" t="n">
        <x:f>MOD($B$6*(A979-1)+$B$7,$A$12)+1</x:f>
        <x:v>89</x:v>
      </x:c>
      <x:c r="C979" s="22" t="n">
        <x:f>MOD($B$6*(A979-1)+$B$7,$A$13)+1</x:f>
        <x:v>89</x:v>
      </x:c>
      <x:c r="D979" s="22" t="n">
        <x:f>MOD($B$6*(A979-1)+$B$7,$A$14)+1</x:f>
        <x:v>89</x:v>
      </x:c>
      <x:c r="E979" s="22" t="n">
        <x:f>MOD($B$6*(A979-1)+$B$7,$A$15)+1</x:f>
        <x:v>589</x:v>
      </x:c>
      <x:c r="F979" s="18"/>
      <x:c r="G979" s="18"/>
      <x:c r="H979" s="18" t="str">
        <x:v>pairing identity only</x:v>
      </x:c>
    </x:row>
    <x:row r="980" ht="22" customHeight="1">
      <x:c r="A980" s="22" t="n">
        <x:v>955</x:v>
      </x:c>
      <x:c r="B980" s="22" t="n">
        <x:f>MOD($B$6*(A980-1)+$B$7,$A$12)+1</x:f>
        <x:v>37</x:v>
      </x:c>
      <x:c r="C980" s="22" t="n">
        <x:f>MOD($B$6*(A980-1)+$B$7,$A$13)+1</x:f>
        <x:v>162</x:v>
      </x:c>
      <x:c r="D980" s="22" t="n">
        <x:f>MOD($B$6*(A980-1)+$B$7,$A$14)+1</x:f>
        <x:v>162</x:v>
      </x:c>
      <x:c r="E980" s="22" t="n">
        <x:f>MOD($B$6*(A980-1)+$B$7,$A$15)+1</x:f>
        <x:v>662</x:v>
      </x:c>
      <x:c r="F980" s="18"/>
      <x:c r="G980" s="18"/>
      <x:c r="H980" s="18" t="str">
        <x:v>pairing identity only</x:v>
      </x:c>
    </x:row>
    <x:row r="981" ht="22" customHeight="1">
      <x:c r="A981" s="22" t="n">
        <x:v>956</x:v>
      </x:c>
      <x:c r="B981" s="22" t="n">
        <x:f>MOD($B$6*(A981-1)+$B$7,$A$12)+1</x:f>
        <x:v>110</x:v>
      </x:c>
      <x:c r="C981" s="22" t="n">
        <x:f>MOD($B$6*(A981-1)+$B$7,$A$13)+1</x:f>
        <x:v>235</x:v>
      </x:c>
      <x:c r="D981" s="22" t="n">
        <x:f>MOD($B$6*(A981-1)+$B$7,$A$14)+1</x:f>
        <x:v>235</x:v>
      </x:c>
      <x:c r="E981" s="22" t="n">
        <x:f>MOD($B$6*(A981-1)+$B$7,$A$15)+1</x:f>
        <x:v>735</x:v>
      </x:c>
      <x:c r="F981" s="18"/>
      <x:c r="G981" s="18"/>
      <x:c r="H981" s="18" t="str">
        <x:v>pairing identity only</x:v>
      </x:c>
    </x:row>
    <x:row r="982" ht="22" customHeight="1">
      <x:c r="A982" s="22" t="n">
        <x:v>957</x:v>
      </x:c>
      <x:c r="B982" s="22" t="n">
        <x:f>MOD($B$6*(A982-1)+$B$7,$A$12)+1</x:f>
        <x:v>58</x:v>
      </x:c>
      <x:c r="C982" s="22" t="n">
        <x:f>MOD($B$6*(A982-1)+$B$7,$A$13)+1</x:f>
        <x:v>58</x:v>
      </x:c>
      <x:c r="D982" s="22" t="n">
        <x:f>MOD($B$6*(A982-1)+$B$7,$A$14)+1</x:f>
        <x:v>308</x:v>
      </x:c>
      <x:c r="E982" s="22" t="n">
        <x:f>MOD($B$6*(A982-1)+$B$7,$A$15)+1</x:f>
        <x:v>808</x:v>
      </x:c>
      <x:c r="F982" s="18"/>
      <x:c r="G982" s="18"/>
      <x:c r="H982" s="18" t="str">
        <x:v>pairing identity only</x:v>
      </x:c>
    </x:row>
    <x:row r="983" ht="22" customHeight="1">
      <x:c r="A983" s="22" t="n">
        <x:v>958</x:v>
      </x:c>
      <x:c r="B983" s="22" t="n">
        <x:f>MOD($B$6*(A983-1)+$B$7,$A$12)+1</x:f>
        <x:v>6</x:v>
      </x:c>
      <x:c r="C983" s="22" t="n">
        <x:f>MOD($B$6*(A983-1)+$B$7,$A$13)+1</x:f>
        <x:v>131</x:v>
      </x:c>
      <x:c r="D983" s="22" t="n">
        <x:f>MOD($B$6*(A983-1)+$B$7,$A$14)+1</x:f>
        <x:v>381</x:v>
      </x:c>
      <x:c r="E983" s="22" t="n">
        <x:f>MOD($B$6*(A983-1)+$B$7,$A$15)+1</x:f>
        <x:v>881</x:v>
      </x:c>
      <x:c r="F983" s="18"/>
      <x:c r="G983" s="18"/>
      <x:c r="H983" s="18" t="str">
        <x:v>pairing identity only</x:v>
      </x:c>
    </x:row>
    <x:row r="984" ht="22" customHeight="1">
      <x:c r="A984" s="22" t="n">
        <x:v>959</x:v>
      </x:c>
      <x:c r="B984" s="22" t="n">
        <x:f>MOD($B$6*(A984-1)+$B$7,$A$12)+1</x:f>
        <x:v>79</x:v>
      </x:c>
      <x:c r="C984" s="22" t="n">
        <x:f>MOD($B$6*(A984-1)+$B$7,$A$13)+1</x:f>
        <x:v>204</x:v>
      </x:c>
      <x:c r="D984" s="22" t="n">
        <x:f>MOD($B$6*(A984-1)+$B$7,$A$14)+1</x:f>
        <x:v>454</x:v>
      </x:c>
      <x:c r="E984" s="22" t="n">
        <x:f>MOD($B$6*(A984-1)+$B$7,$A$15)+1</x:f>
        <x:v>954</x:v>
      </x:c>
      <x:c r="F984" s="18"/>
      <x:c r="G984" s="18"/>
      <x:c r="H984" s="18" t="str">
        <x:v>pairing identity only</x:v>
      </x:c>
    </x:row>
    <x:row r="985" ht="22" customHeight="1">
      <x:c r="A985" s="22" t="n">
        <x:v>960</x:v>
      </x:c>
      <x:c r="B985" s="22" t="n">
        <x:f>MOD($B$6*(A985-1)+$B$7,$A$12)+1</x:f>
        <x:v>27</x:v>
      </x:c>
      <x:c r="C985" s="22" t="n">
        <x:f>MOD($B$6*(A985-1)+$B$7,$A$13)+1</x:f>
        <x:v>27</x:v>
      </x:c>
      <x:c r="D985" s="22" t="n">
        <x:f>MOD($B$6*(A985-1)+$B$7,$A$14)+1</x:f>
        <x:v>27</x:v>
      </x:c>
      <x:c r="E985" s="22" t="n">
        <x:f>MOD($B$6*(A985-1)+$B$7,$A$15)+1</x:f>
        <x:v>27</x:v>
      </x:c>
      <x:c r="F985" s="18"/>
      <x:c r="G985" s="18"/>
      <x:c r="H985" s="18" t="str">
        <x:v>pairing identity only</x:v>
      </x:c>
    </x:row>
    <x:row r="986" ht="22" customHeight="1">
      <x:c r="A986" s="22" t="n">
        <x:v>961</x:v>
      </x:c>
      <x:c r="B986" s="22" t="n">
        <x:f>MOD($B$6*(A986-1)+$B$7,$A$12)+1</x:f>
        <x:v>100</x:v>
      </x:c>
      <x:c r="C986" s="22" t="n">
        <x:f>MOD($B$6*(A986-1)+$B$7,$A$13)+1</x:f>
        <x:v>100</x:v>
      </x:c>
      <x:c r="D986" s="22" t="n">
        <x:f>MOD($B$6*(A986-1)+$B$7,$A$14)+1</x:f>
        <x:v>100</x:v>
      </x:c>
      <x:c r="E986" s="22" t="n">
        <x:f>MOD($B$6*(A986-1)+$B$7,$A$15)+1</x:f>
        <x:v>100</x:v>
      </x:c>
      <x:c r="F986" s="18"/>
      <x:c r="G986" s="18"/>
      <x:c r="H986" s="18" t="str">
        <x:v>pairing identity only</x:v>
      </x:c>
    </x:row>
    <x:row r="987" ht="22" customHeight="1">
      <x:c r="A987" s="22" t="n">
        <x:v>962</x:v>
      </x:c>
      <x:c r="B987" s="22" t="n">
        <x:f>MOD($B$6*(A987-1)+$B$7,$A$12)+1</x:f>
        <x:v>48</x:v>
      </x:c>
      <x:c r="C987" s="22" t="n">
        <x:f>MOD($B$6*(A987-1)+$B$7,$A$13)+1</x:f>
        <x:v>173</x:v>
      </x:c>
      <x:c r="D987" s="22" t="n">
        <x:f>MOD($B$6*(A987-1)+$B$7,$A$14)+1</x:f>
        <x:v>173</x:v>
      </x:c>
      <x:c r="E987" s="22" t="n">
        <x:f>MOD($B$6*(A987-1)+$B$7,$A$15)+1</x:f>
        <x:v>173</x:v>
      </x:c>
      <x:c r="F987" s="18"/>
      <x:c r="G987" s="18"/>
      <x:c r="H987" s="18" t="str">
        <x:v>pairing identity only</x:v>
      </x:c>
    </x:row>
    <x:row r="988" ht="22" customHeight="1">
      <x:c r="A988" s="22" t="n">
        <x:v>963</x:v>
      </x:c>
      <x:c r="B988" s="22" t="n">
        <x:f>MOD($B$6*(A988-1)+$B$7,$A$12)+1</x:f>
        <x:v>121</x:v>
      </x:c>
      <x:c r="C988" s="22" t="n">
        <x:f>MOD($B$6*(A988-1)+$B$7,$A$13)+1</x:f>
        <x:v>246</x:v>
      </x:c>
      <x:c r="D988" s="22" t="n">
        <x:f>MOD($B$6*(A988-1)+$B$7,$A$14)+1</x:f>
        <x:v>246</x:v>
      </x:c>
      <x:c r="E988" s="22" t="n">
        <x:f>MOD($B$6*(A988-1)+$B$7,$A$15)+1</x:f>
        <x:v>246</x:v>
      </x:c>
      <x:c r="F988" s="18"/>
      <x:c r="G988" s="18"/>
      <x:c r="H988" s="18" t="str">
        <x:v>pairing identity only</x:v>
      </x:c>
    </x:row>
    <x:row r="989" ht="22" customHeight="1">
      <x:c r="A989" s="22" t="n">
        <x:v>964</x:v>
      </x:c>
      <x:c r="B989" s="22" t="n">
        <x:f>MOD($B$6*(A989-1)+$B$7,$A$12)+1</x:f>
        <x:v>69</x:v>
      </x:c>
      <x:c r="C989" s="22" t="n">
        <x:f>MOD($B$6*(A989-1)+$B$7,$A$13)+1</x:f>
        <x:v>69</x:v>
      </x:c>
      <x:c r="D989" s="22" t="n">
        <x:f>MOD($B$6*(A989-1)+$B$7,$A$14)+1</x:f>
        <x:v>319</x:v>
      </x:c>
      <x:c r="E989" s="22" t="n">
        <x:f>MOD($B$6*(A989-1)+$B$7,$A$15)+1</x:f>
        <x:v>319</x:v>
      </x:c>
      <x:c r="F989" s="18"/>
      <x:c r="G989" s="18"/>
      <x:c r="H989" s="18" t="str">
        <x:v>pairing identity only</x:v>
      </x:c>
    </x:row>
    <x:row r="990" ht="22" customHeight="1">
      <x:c r="A990" s="22" t="n">
        <x:v>965</x:v>
      </x:c>
      <x:c r="B990" s="22" t="n">
        <x:f>MOD($B$6*(A990-1)+$B$7,$A$12)+1</x:f>
        <x:v>17</x:v>
      </x:c>
      <x:c r="C990" s="22" t="n">
        <x:f>MOD($B$6*(A990-1)+$B$7,$A$13)+1</x:f>
        <x:v>142</x:v>
      </x:c>
      <x:c r="D990" s="22" t="n">
        <x:f>MOD($B$6*(A990-1)+$B$7,$A$14)+1</x:f>
        <x:v>392</x:v>
      </x:c>
      <x:c r="E990" s="22" t="n">
        <x:f>MOD($B$6*(A990-1)+$B$7,$A$15)+1</x:f>
        <x:v>392</x:v>
      </x:c>
      <x:c r="F990" s="18"/>
      <x:c r="G990" s="18"/>
      <x:c r="H990" s="18" t="str">
        <x:v>pairing identity only</x:v>
      </x:c>
    </x:row>
    <x:row r="991" ht="22" customHeight="1">
      <x:c r="A991" s="22" t="n">
        <x:v>966</x:v>
      </x:c>
      <x:c r="B991" s="22" t="n">
        <x:f>MOD($B$6*(A991-1)+$B$7,$A$12)+1</x:f>
        <x:v>90</x:v>
      </x:c>
      <x:c r="C991" s="22" t="n">
        <x:f>MOD($B$6*(A991-1)+$B$7,$A$13)+1</x:f>
        <x:v>215</x:v>
      </x:c>
      <x:c r="D991" s="22" t="n">
        <x:f>MOD($B$6*(A991-1)+$B$7,$A$14)+1</x:f>
        <x:v>465</x:v>
      </x:c>
      <x:c r="E991" s="22" t="n">
        <x:f>MOD($B$6*(A991-1)+$B$7,$A$15)+1</x:f>
        <x:v>465</x:v>
      </x:c>
      <x:c r="F991" s="18"/>
      <x:c r="G991" s="18"/>
      <x:c r="H991" s="18" t="str">
        <x:v>pairing identity only</x:v>
      </x:c>
    </x:row>
    <x:row r="992" ht="22" customHeight="1">
      <x:c r="A992" s="22" t="n">
        <x:v>967</x:v>
      </x:c>
      <x:c r="B992" s="22" t="n">
        <x:f>MOD($B$6*(A992-1)+$B$7,$A$12)+1</x:f>
        <x:v>38</x:v>
      </x:c>
      <x:c r="C992" s="22" t="n">
        <x:f>MOD($B$6*(A992-1)+$B$7,$A$13)+1</x:f>
        <x:v>38</x:v>
      </x:c>
      <x:c r="D992" s="22" t="n">
        <x:f>MOD($B$6*(A992-1)+$B$7,$A$14)+1</x:f>
        <x:v>38</x:v>
      </x:c>
      <x:c r="E992" s="22" t="n">
        <x:f>MOD($B$6*(A992-1)+$B$7,$A$15)+1</x:f>
        <x:v>538</x:v>
      </x:c>
      <x:c r="F992" s="18"/>
      <x:c r="G992" s="18"/>
      <x:c r="H992" s="18" t="str">
        <x:v>pairing identity only</x:v>
      </x:c>
    </x:row>
    <x:row r="993" ht="22" customHeight="1">
      <x:c r="A993" s="22" t="n">
        <x:v>968</x:v>
      </x:c>
      <x:c r="B993" s="22" t="n">
        <x:f>MOD($B$6*(A993-1)+$B$7,$A$12)+1</x:f>
        <x:v>111</x:v>
      </x:c>
      <x:c r="C993" s="22" t="n">
        <x:f>MOD($B$6*(A993-1)+$B$7,$A$13)+1</x:f>
        <x:v>111</x:v>
      </x:c>
      <x:c r="D993" s="22" t="n">
        <x:f>MOD($B$6*(A993-1)+$B$7,$A$14)+1</x:f>
        <x:v>111</x:v>
      </x:c>
      <x:c r="E993" s="22" t="n">
        <x:f>MOD($B$6*(A993-1)+$B$7,$A$15)+1</x:f>
        <x:v>611</x:v>
      </x:c>
      <x:c r="F993" s="18"/>
      <x:c r="G993" s="18"/>
      <x:c r="H993" s="18" t="str">
        <x:v>pairing identity only</x:v>
      </x:c>
    </x:row>
    <x:row r="994" ht="22" customHeight="1">
      <x:c r="A994" s="22" t="n">
        <x:v>969</x:v>
      </x:c>
      <x:c r="B994" s="22" t="n">
        <x:f>MOD($B$6*(A994-1)+$B$7,$A$12)+1</x:f>
        <x:v>59</x:v>
      </x:c>
      <x:c r="C994" s="22" t="n">
        <x:f>MOD($B$6*(A994-1)+$B$7,$A$13)+1</x:f>
        <x:v>184</x:v>
      </x:c>
      <x:c r="D994" s="22" t="n">
        <x:f>MOD($B$6*(A994-1)+$B$7,$A$14)+1</x:f>
        <x:v>184</x:v>
      </x:c>
      <x:c r="E994" s="22" t="n">
        <x:f>MOD($B$6*(A994-1)+$B$7,$A$15)+1</x:f>
        <x:v>684</x:v>
      </x:c>
      <x:c r="F994" s="18"/>
      <x:c r="G994" s="18"/>
      <x:c r="H994" s="18" t="str">
        <x:v>pairing identity only</x:v>
      </x:c>
    </x:row>
    <x:row r="995" ht="22" customHeight="1">
      <x:c r="A995" s="22" t="n">
        <x:v>970</x:v>
      </x:c>
      <x:c r="B995" s="22" t="n">
        <x:f>MOD($B$6*(A995-1)+$B$7,$A$12)+1</x:f>
        <x:v>7</x:v>
      </x:c>
      <x:c r="C995" s="22" t="n">
        <x:f>MOD($B$6*(A995-1)+$B$7,$A$13)+1</x:f>
        <x:v>7</x:v>
      </x:c>
      <x:c r="D995" s="22" t="n">
        <x:f>MOD($B$6*(A995-1)+$B$7,$A$14)+1</x:f>
        <x:v>257</x:v>
      </x:c>
      <x:c r="E995" s="22" t="n">
        <x:f>MOD($B$6*(A995-1)+$B$7,$A$15)+1</x:f>
        <x:v>757</x:v>
      </x:c>
      <x:c r="F995" s="18"/>
      <x:c r="G995" s="18"/>
      <x:c r="H995" s="18" t="str">
        <x:v>pairing identity only</x:v>
      </x:c>
    </x:row>
    <x:row r="996" ht="22" customHeight="1">
      <x:c r="A996" s="22" t="n">
        <x:v>971</x:v>
      </x:c>
      <x:c r="B996" s="22" t="n">
        <x:f>MOD($B$6*(A996-1)+$B$7,$A$12)+1</x:f>
        <x:v>80</x:v>
      </x:c>
      <x:c r="C996" s="22" t="n">
        <x:f>MOD($B$6*(A996-1)+$B$7,$A$13)+1</x:f>
        <x:v>80</x:v>
      </x:c>
      <x:c r="D996" s="22" t="n">
        <x:f>MOD($B$6*(A996-1)+$B$7,$A$14)+1</x:f>
        <x:v>330</x:v>
      </x:c>
      <x:c r="E996" s="22" t="n">
        <x:f>MOD($B$6*(A996-1)+$B$7,$A$15)+1</x:f>
        <x:v>830</x:v>
      </x:c>
      <x:c r="F996" s="18"/>
      <x:c r="G996" s="18"/>
      <x:c r="H996" s="18" t="str">
        <x:v>pairing identity only</x:v>
      </x:c>
    </x:row>
    <x:row r="997" ht="22" customHeight="1">
      <x:c r="A997" s="22" t="n">
        <x:v>972</x:v>
      </x:c>
      <x:c r="B997" s="22" t="n">
        <x:f>MOD($B$6*(A997-1)+$B$7,$A$12)+1</x:f>
        <x:v>28</x:v>
      </x:c>
      <x:c r="C997" s="22" t="n">
        <x:f>MOD($B$6*(A997-1)+$B$7,$A$13)+1</x:f>
        <x:v>153</x:v>
      </x:c>
      <x:c r="D997" s="22" t="n">
        <x:f>MOD($B$6*(A997-1)+$B$7,$A$14)+1</x:f>
        <x:v>403</x:v>
      </x:c>
      <x:c r="E997" s="22" t="n">
        <x:f>MOD($B$6*(A997-1)+$B$7,$A$15)+1</x:f>
        <x:v>903</x:v>
      </x:c>
      <x:c r="F997" s="18"/>
      <x:c r="G997" s="18"/>
      <x:c r="H997" s="18" t="str">
        <x:v>pairing identity only</x:v>
      </x:c>
    </x:row>
    <x:row r="998" ht="22" customHeight="1">
      <x:c r="A998" s="22" t="n">
        <x:v>973</x:v>
      </x:c>
      <x:c r="B998" s="22" t="n">
        <x:f>MOD($B$6*(A998-1)+$B$7,$A$12)+1</x:f>
        <x:v>101</x:v>
      </x:c>
      <x:c r="C998" s="22" t="n">
        <x:f>MOD($B$6*(A998-1)+$B$7,$A$13)+1</x:f>
        <x:v>226</x:v>
      </x:c>
      <x:c r="D998" s="22" t="n">
        <x:f>MOD($B$6*(A998-1)+$B$7,$A$14)+1</x:f>
        <x:v>476</x:v>
      </x:c>
      <x:c r="E998" s="22" t="n">
        <x:f>MOD($B$6*(A998-1)+$B$7,$A$15)+1</x:f>
        <x:v>976</x:v>
      </x:c>
      <x:c r="F998" s="18"/>
      <x:c r="G998" s="18"/>
      <x:c r="H998" s="18" t="str">
        <x:v>pairing identity only</x:v>
      </x:c>
    </x:row>
    <x:row r="999" ht="22" customHeight="1">
      <x:c r="A999" s="22" t="n">
        <x:v>974</x:v>
      </x:c>
      <x:c r="B999" s="22" t="n">
        <x:f>MOD($B$6*(A999-1)+$B$7,$A$12)+1</x:f>
        <x:v>49</x:v>
      </x:c>
      <x:c r="C999" s="22" t="n">
        <x:f>MOD($B$6*(A999-1)+$B$7,$A$13)+1</x:f>
        <x:v>49</x:v>
      </x:c>
      <x:c r="D999" s="22" t="n">
        <x:f>MOD($B$6*(A999-1)+$B$7,$A$14)+1</x:f>
        <x:v>49</x:v>
      </x:c>
      <x:c r="E999" s="22" t="n">
        <x:f>MOD($B$6*(A999-1)+$B$7,$A$15)+1</x:f>
        <x:v>49</x:v>
      </x:c>
      <x:c r="F999" s="18"/>
      <x:c r="G999" s="18"/>
      <x:c r="H999" s="18" t="str">
        <x:v>pairing identity only</x:v>
      </x:c>
    </x:row>
    <x:row r="1000" ht="22" customHeight="1">
      <x:c r="A1000" s="22" t="n">
        <x:v>975</x:v>
      </x:c>
      <x:c r="B1000" s="22" t="n">
        <x:f>MOD($B$6*(A1000-1)+$B$7,$A$12)+1</x:f>
        <x:v>122</x:v>
      </x:c>
      <x:c r="C1000" s="22" t="n">
        <x:f>MOD($B$6*(A1000-1)+$B$7,$A$13)+1</x:f>
        <x:v>122</x:v>
      </x:c>
      <x:c r="D1000" s="22" t="n">
        <x:f>MOD($B$6*(A1000-1)+$B$7,$A$14)+1</x:f>
        <x:v>122</x:v>
      </x:c>
      <x:c r="E1000" s="22" t="n">
        <x:f>MOD($B$6*(A1000-1)+$B$7,$A$15)+1</x:f>
        <x:v>122</x:v>
      </x:c>
      <x:c r="F1000" s="18"/>
      <x:c r="G1000" s="18"/>
      <x:c r="H1000" s="18" t="str">
        <x:v>pairing identity only</x:v>
      </x:c>
    </x:row>
    <x:row r="1001" ht="22" customHeight="1">
      <x:c r="A1001" s="22" t="n">
        <x:v>976</x:v>
      </x:c>
      <x:c r="B1001" s="22" t="n">
        <x:f>MOD($B$6*(A1001-1)+$B$7,$A$12)+1</x:f>
        <x:v>70</x:v>
      </x:c>
      <x:c r="C1001" s="22" t="n">
        <x:f>MOD($B$6*(A1001-1)+$B$7,$A$13)+1</x:f>
        <x:v>195</x:v>
      </x:c>
      <x:c r="D1001" s="22" t="n">
        <x:f>MOD($B$6*(A1001-1)+$B$7,$A$14)+1</x:f>
        <x:v>195</x:v>
      </x:c>
      <x:c r="E1001" s="22" t="n">
        <x:f>MOD($B$6*(A1001-1)+$B$7,$A$15)+1</x:f>
        <x:v>195</x:v>
      </x:c>
      <x:c r="F1001" s="18"/>
      <x:c r="G1001" s="18"/>
      <x:c r="H1001" s="18" t="str">
        <x:v>pairing identity only</x:v>
      </x:c>
    </x:row>
    <x:row r="1002" ht="22" customHeight="1">
      <x:c r="A1002" s="22" t="n">
        <x:v>977</x:v>
      </x:c>
      <x:c r="B1002" s="22" t="n">
        <x:f>MOD($B$6*(A1002-1)+$B$7,$A$12)+1</x:f>
        <x:v>18</x:v>
      </x:c>
      <x:c r="C1002" s="22" t="n">
        <x:f>MOD($B$6*(A1002-1)+$B$7,$A$13)+1</x:f>
        <x:v>18</x:v>
      </x:c>
      <x:c r="D1002" s="22" t="n">
        <x:f>MOD($B$6*(A1002-1)+$B$7,$A$14)+1</x:f>
        <x:v>268</x:v>
      </x:c>
      <x:c r="E1002" s="22" t="n">
        <x:f>MOD($B$6*(A1002-1)+$B$7,$A$15)+1</x:f>
        <x:v>268</x:v>
      </x:c>
      <x:c r="F1002" s="18"/>
      <x:c r="G1002" s="18"/>
      <x:c r="H1002" s="18" t="str">
        <x:v>pairing identity only</x:v>
      </x:c>
    </x:row>
    <x:row r="1003" ht="22" customHeight="1">
      <x:c r="A1003" s="22" t="n">
        <x:v>978</x:v>
      </x:c>
      <x:c r="B1003" s="22" t="n">
        <x:f>MOD($B$6*(A1003-1)+$B$7,$A$12)+1</x:f>
        <x:v>91</x:v>
      </x:c>
      <x:c r="C1003" s="22" t="n">
        <x:f>MOD($B$6*(A1003-1)+$B$7,$A$13)+1</x:f>
        <x:v>91</x:v>
      </x:c>
      <x:c r="D1003" s="22" t="n">
        <x:f>MOD($B$6*(A1003-1)+$B$7,$A$14)+1</x:f>
        <x:v>341</x:v>
      </x:c>
      <x:c r="E1003" s="22" t="n">
        <x:f>MOD($B$6*(A1003-1)+$B$7,$A$15)+1</x:f>
        <x:v>341</x:v>
      </x:c>
      <x:c r="F1003" s="18"/>
      <x:c r="G1003" s="18"/>
      <x:c r="H1003" s="18" t="str">
        <x:v>pairing identity only</x:v>
      </x:c>
    </x:row>
    <x:row r="1004" ht="22" customHeight="1">
      <x:c r="A1004" s="22" t="n">
        <x:v>979</x:v>
      </x:c>
      <x:c r="B1004" s="22" t="n">
        <x:f>MOD($B$6*(A1004-1)+$B$7,$A$12)+1</x:f>
        <x:v>39</x:v>
      </x:c>
      <x:c r="C1004" s="22" t="n">
        <x:f>MOD($B$6*(A1004-1)+$B$7,$A$13)+1</x:f>
        <x:v>164</x:v>
      </x:c>
      <x:c r="D1004" s="22" t="n">
        <x:f>MOD($B$6*(A1004-1)+$B$7,$A$14)+1</x:f>
        <x:v>414</x:v>
      </x:c>
      <x:c r="E1004" s="22" t="n">
        <x:f>MOD($B$6*(A1004-1)+$B$7,$A$15)+1</x:f>
        <x:v>414</x:v>
      </x:c>
      <x:c r="F1004" s="18"/>
      <x:c r="G1004" s="18"/>
      <x:c r="H1004" s="18" t="str">
        <x:v>pairing identity only</x:v>
      </x:c>
    </x:row>
    <x:row r="1005" ht="22" customHeight="1">
      <x:c r="A1005" s="22" t="n">
        <x:v>980</x:v>
      </x:c>
      <x:c r="B1005" s="22" t="n">
        <x:f>MOD($B$6*(A1005-1)+$B$7,$A$12)+1</x:f>
        <x:v>112</x:v>
      </x:c>
      <x:c r="C1005" s="22" t="n">
        <x:f>MOD($B$6*(A1005-1)+$B$7,$A$13)+1</x:f>
        <x:v>237</x:v>
      </x:c>
      <x:c r="D1005" s="22" t="n">
        <x:f>MOD($B$6*(A1005-1)+$B$7,$A$14)+1</x:f>
        <x:v>487</x:v>
      </x:c>
      <x:c r="E1005" s="22" t="n">
        <x:f>MOD($B$6*(A1005-1)+$B$7,$A$15)+1</x:f>
        <x:v>487</x:v>
      </x:c>
      <x:c r="F1005" s="18"/>
      <x:c r="G1005" s="18"/>
      <x:c r="H1005" s="18" t="str">
        <x:v>pairing identity only</x:v>
      </x:c>
    </x:row>
    <x:row r="1006" ht="22" customHeight="1">
      <x:c r="A1006" s="22" t="n">
        <x:v>981</x:v>
      </x:c>
      <x:c r="B1006" s="22" t="n">
        <x:f>MOD($B$6*(A1006-1)+$B$7,$A$12)+1</x:f>
        <x:v>60</x:v>
      </x:c>
      <x:c r="C1006" s="22" t="n">
        <x:f>MOD($B$6*(A1006-1)+$B$7,$A$13)+1</x:f>
        <x:v>60</x:v>
      </x:c>
      <x:c r="D1006" s="22" t="n">
        <x:f>MOD($B$6*(A1006-1)+$B$7,$A$14)+1</x:f>
        <x:v>60</x:v>
      </x:c>
      <x:c r="E1006" s="22" t="n">
        <x:f>MOD($B$6*(A1006-1)+$B$7,$A$15)+1</x:f>
        <x:v>560</x:v>
      </x:c>
      <x:c r="F1006" s="18"/>
      <x:c r="G1006" s="18"/>
      <x:c r="H1006" s="18" t="str">
        <x:v>pairing identity only</x:v>
      </x:c>
    </x:row>
    <x:row r="1007" ht="22" customHeight="1">
      <x:c r="A1007" s="22" t="n">
        <x:v>982</x:v>
      </x:c>
      <x:c r="B1007" s="22" t="n">
        <x:f>MOD($B$6*(A1007-1)+$B$7,$A$12)+1</x:f>
        <x:v>8</x:v>
      </x:c>
      <x:c r="C1007" s="22" t="n">
        <x:f>MOD($B$6*(A1007-1)+$B$7,$A$13)+1</x:f>
        <x:v>133</x:v>
      </x:c>
      <x:c r="D1007" s="22" t="n">
        <x:f>MOD($B$6*(A1007-1)+$B$7,$A$14)+1</x:f>
        <x:v>133</x:v>
      </x:c>
      <x:c r="E1007" s="22" t="n">
        <x:f>MOD($B$6*(A1007-1)+$B$7,$A$15)+1</x:f>
        <x:v>633</x:v>
      </x:c>
      <x:c r="F1007" s="18"/>
      <x:c r="G1007" s="18"/>
      <x:c r="H1007" s="18" t="str">
        <x:v>pairing identity only</x:v>
      </x:c>
    </x:row>
    <x:row r="1008" ht="22" customHeight="1">
      <x:c r="A1008" s="22" t="n">
        <x:v>983</x:v>
      </x:c>
      <x:c r="B1008" s="22" t="n">
        <x:f>MOD($B$6*(A1008-1)+$B$7,$A$12)+1</x:f>
        <x:v>81</x:v>
      </x:c>
      <x:c r="C1008" s="22" t="n">
        <x:f>MOD($B$6*(A1008-1)+$B$7,$A$13)+1</x:f>
        <x:v>206</x:v>
      </x:c>
      <x:c r="D1008" s="22" t="n">
        <x:f>MOD($B$6*(A1008-1)+$B$7,$A$14)+1</x:f>
        <x:v>206</x:v>
      </x:c>
      <x:c r="E1008" s="22" t="n">
        <x:f>MOD($B$6*(A1008-1)+$B$7,$A$15)+1</x:f>
        <x:v>706</x:v>
      </x:c>
      <x:c r="F1008" s="18"/>
      <x:c r="G1008" s="18"/>
      <x:c r="H1008" s="18" t="str">
        <x:v>pairing identity only</x:v>
      </x:c>
    </x:row>
    <x:row r="1009" ht="22" customHeight="1">
      <x:c r="A1009" s="22" t="n">
        <x:v>984</x:v>
      </x:c>
      <x:c r="B1009" s="22" t="n">
        <x:f>MOD($B$6*(A1009-1)+$B$7,$A$12)+1</x:f>
        <x:v>29</x:v>
      </x:c>
      <x:c r="C1009" s="22" t="n">
        <x:f>MOD($B$6*(A1009-1)+$B$7,$A$13)+1</x:f>
        <x:v>29</x:v>
      </x:c>
      <x:c r="D1009" s="22" t="n">
        <x:f>MOD($B$6*(A1009-1)+$B$7,$A$14)+1</x:f>
        <x:v>279</x:v>
      </x:c>
      <x:c r="E1009" s="22" t="n">
        <x:f>MOD($B$6*(A1009-1)+$B$7,$A$15)+1</x:f>
        <x:v>779</x:v>
      </x:c>
      <x:c r="F1009" s="18"/>
      <x:c r="G1009" s="18"/>
      <x:c r="H1009" s="18" t="str">
        <x:v>pairing identity only</x:v>
      </x:c>
    </x:row>
    <x:row r="1010" ht="22" customHeight="1">
      <x:c r="A1010" s="22" t="n">
        <x:v>985</x:v>
      </x:c>
      <x:c r="B1010" s="22" t="n">
        <x:f>MOD($B$6*(A1010-1)+$B$7,$A$12)+1</x:f>
        <x:v>102</x:v>
      </x:c>
      <x:c r="C1010" s="22" t="n">
        <x:f>MOD($B$6*(A1010-1)+$B$7,$A$13)+1</x:f>
        <x:v>102</x:v>
      </x:c>
      <x:c r="D1010" s="22" t="n">
        <x:f>MOD($B$6*(A1010-1)+$B$7,$A$14)+1</x:f>
        <x:v>352</x:v>
      </x:c>
      <x:c r="E1010" s="22" t="n">
        <x:f>MOD($B$6*(A1010-1)+$B$7,$A$15)+1</x:f>
        <x:v>852</x:v>
      </x:c>
      <x:c r="F1010" s="18"/>
      <x:c r="G1010" s="18"/>
      <x:c r="H1010" s="18" t="str">
        <x:v>pairing identity only</x:v>
      </x:c>
    </x:row>
    <x:row r="1011" ht="22" customHeight="1">
      <x:c r="A1011" s="22" t="n">
        <x:v>986</x:v>
      </x:c>
      <x:c r="B1011" s="22" t="n">
        <x:f>MOD($B$6*(A1011-1)+$B$7,$A$12)+1</x:f>
        <x:v>50</x:v>
      </x:c>
      <x:c r="C1011" s="22" t="n">
        <x:f>MOD($B$6*(A1011-1)+$B$7,$A$13)+1</x:f>
        <x:v>175</x:v>
      </x:c>
      <x:c r="D1011" s="22" t="n">
        <x:f>MOD($B$6*(A1011-1)+$B$7,$A$14)+1</x:f>
        <x:v>425</x:v>
      </x:c>
      <x:c r="E1011" s="22" t="n">
        <x:f>MOD($B$6*(A1011-1)+$B$7,$A$15)+1</x:f>
        <x:v>925</x:v>
      </x:c>
      <x:c r="F1011" s="18"/>
      <x:c r="G1011" s="18"/>
      <x:c r="H1011" s="18" t="str">
        <x:v>pairing identity only</x:v>
      </x:c>
    </x:row>
    <x:row r="1012" ht="22" customHeight="1">
      <x:c r="A1012" s="22" t="n">
        <x:v>987</x:v>
      </x:c>
      <x:c r="B1012" s="22" t="n">
        <x:f>MOD($B$6*(A1012-1)+$B$7,$A$12)+1</x:f>
        <x:v>123</x:v>
      </x:c>
      <x:c r="C1012" s="22" t="n">
        <x:f>MOD($B$6*(A1012-1)+$B$7,$A$13)+1</x:f>
        <x:v>248</x:v>
      </x:c>
      <x:c r="D1012" s="22" t="n">
        <x:f>MOD($B$6*(A1012-1)+$B$7,$A$14)+1</x:f>
        <x:v>498</x:v>
      </x:c>
      <x:c r="E1012" s="22" t="n">
        <x:f>MOD($B$6*(A1012-1)+$B$7,$A$15)+1</x:f>
        <x:v>998</x:v>
      </x:c>
      <x:c r="F1012" s="18"/>
      <x:c r="G1012" s="18"/>
      <x:c r="H1012" s="18" t="str">
        <x:v>pairing identity only</x:v>
      </x:c>
    </x:row>
    <x:row r="1013" ht="22" customHeight="1">
      <x:c r="A1013" s="22" t="n">
        <x:v>988</x:v>
      </x:c>
      <x:c r="B1013" s="22" t="n">
        <x:f>MOD($B$6*(A1013-1)+$B$7,$A$12)+1</x:f>
        <x:v>71</x:v>
      </x:c>
      <x:c r="C1013" s="22" t="n">
        <x:f>MOD($B$6*(A1013-1)+$B$7,$A$13)+1</x:f>
        <x:v>71</x:v>
      </x:c>
      <x:c r="D1013" s="22" t="n">
        <x:f>MOD($B$6*(A1013-1)+$B$7,$A$14)+1</x:f>
        <x:v>71</x:v>
      </x:c>
      <x:c r="E1013" s="22" t="n">
        <x:f>MOD($B$6*(A1013-1)+$B$7,$A$15)+1</x:f>
        <x:v>71</x:v>
      </x:c>
      <x:c r="F1013" s="18"/>
      <x:c r="G1013" s="18"/>
      <x:c r="H1013" s="18" t="str">
        <x:v>pairing identity only</x:v>
      </x:c>
    </x:row>
    <x:row r="1014" ht="22" customHeight="1">
      <x:c r="A1014" s="22" t="n">
        <x:v>989</x:v>
      </x:c>
      <x:c r="B1014" s="22" t="n">
        <x:f>MOD($B$6*(A1014-1)+$B$7,$A$12)+1</x:f>
        <x:v>19</x:v>
      </x:c>
      <x:c r="C1014" s="22" t="n">
        <x:f>MOD($B$6*(A1014-1)+$B$7,$A$13)+1</x:f>
        <x:v>144</x:v>
      </x:c>
      <x:c r="D1014" s="22" t="n">
        <x:f>MOD($B$6*(A1014-1)+$B$7,$A$14)+1</x:f>
        <x:v>144</x:v>
      </x:c>
      <x:c r="E1014" s="22" t="n">
        <x:f>MOD($B$6*(A1014-1)+$B$7,$A$15)+1</x:f>
        <x:v>144</x:v>
      </x:c>
      <x:c r="F1014" s="18"/>
      <x:c r="G1014" s="18"/>
      <x:c r="H1014" s="18" t="str">
        <x:v>pairing identity only</x:v>
      </x:c>
    </x:row>
    <x:row r="1015" ht="22" customHeight="1">
      <x:c r="A1015" s="22" t="n">
        <x:v>990</x:v>
      </x:c>
      <x:c r="B1015" s="22" t="n">
        <x:f>MOD($B$6*(A1015-1)+$B$7,$A$12)+1</x:f>
        <x:v>92</x:v>
      </x:c>
      <x:c r="C1015" s="22" t="n">
        <x:f>MOD($B$6*(A1015-1)+$B$7,$A$13)+1</x:f>
        <x:v>217</x:v>
      </x:c>
      <x:c r="D1015" s="22" t="n">
        <x:f>MOD($B$6*(A1015-1)+$B$7,$A$14)+1</x:f>
        <x:v>217</x:v>
      </x:c>
      <x:c r="E1015" s="22" t="n">
        <x:f>MOD($B$6*(A1015-1)+$B$7,$A$15)+1</x:f>
        <x:v>217</x:v>
      </x:c>
      <x:c r="F1015" s="18"/>
      <x:c r="G1015" s="18"/>
      <x:c r="H1015" s="18" t="str">
        <x:v>pairing identity only</x:v>
      </x:c>
    </x:row>
    <x:row r="1016" ht="22" customHeight="1">
      <x:c r="A1016" s="22" t="n">
        <x:v>991</x:v>
      </x:c>
      <x:c r="B1016" s="22" t="n">
        <x:f>MOD($B$6*(A1016-1)+$B$7,$A$12)+1</x:f>
        <x:v>40</x:v>
      </x:c>
      <x:c r="C1016" s="22" t="n">
        <x:f>MOD($B$6*(A1016-1)+$B$7,$A$13)+1</x:f>
        <x:v>40</x:v>
      </x:c>
      <x:c r="D1016" s="22" t="n">
        <x:f>MOD($B$6*(A1016-1)+$B$7,$A$14)+1</x:f>
        <x:v>290</x:v>
      </x:c>
      <x:c r="E1016" s="22" t="n">
        <x:f>MOD($B$6*(A1016-1)+$B$7,$A$15)+1</x:f>
        <x:v>290</x:v>
      </x:c>
      <x:c r="F1016" s="18"/>
      <x:c r="G1016" s="18"/>
      <x:c r="H1016" s="18" t="str">
        <x:v>pairing identity only</x:v>
      </x:c>
    </x:row>
    <x:row r="1017" ht="22" customHeight="1">
      <x:c r="A1017" s="22" t="n">
        <x:v>992</x:v>
      </x:c>
      <x:c r="B1017" s="22" t="n">
        <x:f>MOD($B$6*(A1017-1)+$B$7,$A$12)+1</x:f>
        <x:v>113</x:v>
      </x:c>
      <x:c r="C1017" s="22" t="n">
        <x:f>MOD($B$6*(A1017-1)+$B$7,$A$13)+1</x:f>
        <x:v>113</x:v>
      </x:c>
      <x:c r="D1017" s="22" t="n">
        <x:f>MOD($B$6*(A1017-1)+$B$7,$A$14)+1</x:f>
        <x:v>363</x:v>
      </x:c>
      <x:c r="E1017" s="22" t="n">
        <x:f>MOD($B$6*(A1017-1)+$B$7,$A$15)+1</x:f>
        <x:v>363</x:v>
      </x:c>
      <x:c r="F1017" s="18"/>
      <x:c r="G1017" s="18"/>
      <x:c r="H1017" s="18" t="str">
        <x:v>pairing identity only</x:v>
      </x:c>
    </x:row>
    <x:row r="1018" ht="22" customHeight="1">
      <x:c r="A1018" s="22" t="n">
        <x:v>993</x:v>
      </x:c>
      <x:c r="B1018" s="22" t="n">
        <x:f>MOD($B$6*(A1018-1)+$B$7,$A$12)+1</x:f>
        <x:v>61</x:v>
      </x:c>
      <x:c r="C1018" s="22" t="n">
        <x:f>MOD($B$6*(A1018-1)+$B$7,$A$13)+1</x:f>
        <x:v>186</x:v>
      </x:c>
      <x:c r="D1018" s="22" t="n">
        <x:f>MOD($B$6*(A1018-1)+$B$7,$A$14)+1</x:f>
        <x:v>436</x:v>
      </x:c>
      <x:c r="E1018" s="22" t="n">
        <x:f>MOD($B$6*(A1018-1)+$B$7,$A$15)+1</x:f>
        <x:v>436</x:v>
      </x:c>
      <x:c r="F1018" s="18"/>
      <x:c r="G1018" s="18"/>
      <x:c r="H1018" s="18" t="str">
        <x:v>pairing identity only</x:v>
      </x:c>
    </x:row>
    <x:row r="1019" ht="22" customHeight="1">
      <x:c r="A1019" s="22" t="n">
        <x:v>994</x:v>
      </x:c>
      <x:c r="B1019" s="22" t="n">
        <x:f>MOD($B$6*(A1019-1)+$B$7,$A$12)+1</x:f>
        <x:v>9</x:v>
      </x:c>
      <x:c r="C1019" s="22" t="n">
        <x:f>MOD($B$6*(A1019-1)+$B$7,$A$13)+1</x:f>
        <x:v>9</x:v>
      </x:c>
      <x:c r="D1019" s="22" t="n">
        <x:f>MOD($B$6*(A1019-1)+$B$7,$A$14)+1</x:f>
        <x:v>9</x:v>
      </x:c>
      <x:c r="E1019" s="22" t="n">
        <x:f>MOD($B$6*(A1019-1)+$B$7,$A$15)+1</x:f>
        <x:v>509</x:v>
      </x:c>
      <x:c r="F1019" s="18"/>
      <x:c r="G1019" s="18"/>
      <x:c r="H1019" s="18" t="str">
        <x:v>pairing identity only</x:v>
      </x:c>
    </x:row>
    <x:row r="1020" ht="22" customHeight="1">
      <x:c r="A1020" s="22" t="n">
        <x:v>995</x:v>
      </x:c>
      <x:c r="B1020" s="22" t="n">
        <x:f>MOD($B$6*(A1020-1)+$B$7,$A$12)+1</x:f>
        <x:v>82</x:v>
      </x:c>
      <x:c r="C1020" s="22" t="n">
        <x:f>MOD($B$6*(A1020-1)+$B$7,$A$13)+1</x:f>
        <x:v>82</x:v>
      </x:c>
      <x:c r="D1020" s="22" t="n">
        <x:f>MOD($B$6*(A1020-1)+$B$7,$A$14)+1</x:f>
        <x:v>82</x:v>
      </x:c>
      <x:c r="E1020" s="22" t="n">
        <x:f>MOD($B$6*(A1020-1)+$B$7,$A$15)+1</x:f>
        <x:v>582</x:v>
      </x:c>
      <x:c r="F1020" s="18"/>
      <x:c r="G1020" s="18"/>
      <x:c r="H1020" s="18" t="str">
        <x:v>pairing identity only</x:v>
      </x:c>
    </x:row>
    <x:row r="1021" ht="22" customHeight="1">
      <x:c r="A1021" s="22" t="n">
        <x:v>996</x:v>
      </x:c>
      <x:c r="B1021" s="22" t="n">
        <x:f>MOD($B$6*(A1021-1)+$B$7,$A$12)+1</x:f>
        <x:v>30</x:v>
      </x:c>
      <x:c r="C1021" s="22" t="n">
        <x:f>MOD($B$6*(A1021-1)+$B$7,$A$13)+1</x:f>
        <x:v>155</x:v>
      </x:c>
      <x:c r="D1021" s="22" t="n">
        <x:f>MOD($B$6*(A1021-1)+$B$7,$A$14)+1</x:f>
        <x:v>155</x:v>
      </x:c>
      <x:c r="E1021" s="22" t="n">
        <x:f>MOD($B$6*(A1021-1)+$B$7,$A$15)+1</x:f>
        <x:v>655</x:v>
      </x:c>
      <x:c r="F1021" s="18"/>
      <x:c r="G1021" s="18"/>
      <x:c r="H1021" s="18" t="str">
        <x:v>pairing identity only</x:v>
      </x:c>
    </x:row>
    <x:row r="1022" ht="22" customHeight="1">
      <x:c r="A1022" s="22" t="n">
        <x:v>997</x:v>
      </x:c>
      <x:c r="B1022" s="22" t="n">
        <x:f>MOD($B$6*(A1022-1)+$B$7,$A$12)+1</x:f>
        <x:v>103</x:v>
      </x:c>
      <x:c r="C1022" s="22" t="n">
        <x:f>MOD($B$6*(A1022-1)+$B$7,$A$13)+1</x:f>
        <x:v>228</x:v>
      </x:c>
      <x:c r="D1022" s="22" t="n">
        <x:f>MOD($B$6*(A1022-1)+$B$7,$A$14)+1</x:f>
        <x:v>228</x:v>
      </x:c>
      <x:c r="E1022" s="22" t="n">
        <x:f>MOD($B$6*(A1022-1)+$B$7,$A$15)+1</x:f>
        <x:v>728</x:v>
      </x:c>
      <x:c r="F1022" s="18"/>
      <x:c r="G1022" s="18"/>
      <x:c r="H1022" s="18" t="str">
        <x:v>pairing identity only</x:v>
      </x:c>
    </x:row>
    <x:row r="1023" ht="22" customHeight="1">
      <x:c r="A1023" s="22" t="n">
        <x:v>998</x:v>
      </x:c>
      <x:c r="B1023" s="22" t="n">
        <x:f>MOD($B$6*(A1023-1)+$B$7,$A$12)+1</x:f>
        <x:v>51</x:v>
      </x:c>
      <x:c r="C1023" s="22" t="n">
        <x:f>MOD($B$6*(A1023-1)+$B$7,$A$13)+1</x:f>
        <x:v>51</x:v>
      </x:c>
      <x:c r="D1023" s="22" t="n">
        <x:f>MOD($B$6*(A1023-1)+$B$7,$A$14)+1</x:f>
        <x:v>301</x:v>
      </x:c>
      <x:c r="E1023" s="22" t="n">
        <x:f>MOD($B$6*(A1023-1)+$B$7,$A$15)+1</x:f>
        <x:v>801</x:v>
      </x:c>
      <x:c r="F1023" s="18"/>
      <x:c r="G1023" s="18"/>
      <x:c r="H1023" s="18" t="str">
        <x:v>pairing identity only</x:v>
      </x:c>
    </x:row>
    <x:row r="1024" ht="22" customHeight="1">
      <x:c r="A1024" s="22" t="n">
        <x:v>999</x:v>
      </x:c>
      <x:c r="B1024" s="22" t="n">
        <x:f>MOD($B$6*(A1024-1)+$B$7,$A$12)+1</x:f>
        <x:v>124</x:v>
      </x:c>
      <x:c r="C1024" s="22" t="n">
        <x:f>MOD($B$6*(A1024-1)+$B$7,$A$13)+1</x:f>
        <x:v>124</x:v>
      </x:c>
      <x:c r="D1024" s="22" t="n">
        <x:f>MOD($B$6*(A1024-1)+$B$7,$A$14)+1</x:f>
        <x:v>374</x:v>
      </x:c>
      <x:c r="E1024" s="22" t="n">
        <x:f>MOD($B$6*(A1024-1)+$B$7,$A$15)+1</x:f>
        <x:v>874</x:v>
      </x:c>
      <x:c r="F1024" s="18"/>
      <x:c r="G1024" s="18"/>
      <x:c r="H1024" s="18" t="str">
        <x:v>pairing identity only</x:v>
      </x:c>
    </x:row>
    <x:row r="1025" ht="22" customHeight="1">
      <x:c r="A1025" s="22" t="n">
        <x:v>1000</x:v>
      </x:c>
      <x:c r="B1025" s="22" t="n">
        <x:f>MOD($B$6*(A1025-1)+$B$7,$A$12)+1</x:f>
        <x:v>72</x:v>
      </x:c>
      <x:c r="C1025" s="22" t="n">
        <x:f>MOD($B$6*(A1025-1)+$B$7,$A$13)+1</x:f>
        <x:v>197</x:v>
      </x:c>
      <x:c r="D1025" s="22" t="n">
        <x:f>MOD($B$6*(A1025-1)+$B$7,$A$14)+1</x:f>
        <x:v>447</x:v>
      </x:c>
      <x:c r="E1025" s="22" t="n">
        <x:f>MOD($B$6*(A1025-1)+$B$7,$A$15)+1</x:f>
        <x:v>947</x:v>
      </x:c>
      <x:c r="F1025" s="18"/>
      <x:c r="G1025" s="18"/>
      <x:c r="H1025" s="18" t="str">
        <x:v>pairing identity only</x:v>
      </x:c>
    </x:row>
  </x:sheetData>
  <x:pageMargins left="0.7" right="0.7" top="0.75" bottom="0.75" header="0.3" footer="0.3"/>
</x:worksheet>
</file>

<file path=xl/worksheets/sheet7.xml><?xml version="1.0" encoding="utf-8"?>
<x:worksheet xmlns:x="http://schemas.openxmlformats.org/spreadsheetml/2006/main">
  <x:sheetPr>
    <x:tabColor rgb="FF315B7D"/>
  </x:sheetPr>
  <x:sheetViews>
    <x:sheetView showGridLines="0" workbookViewId="0">
      <x:pane ySplit="5" topLeftCell="A6" activePane="bottomLeft" state="frozen"/>
    </x:sheetView>
  </x:sheetViews>
  <x:sheetFormatPr defaultRowHeight="15"/>
  <x:cols>
    <x:col min="1" max="1" width="12" hidden="0" customWidth="1"/>
    <x:col min="2" max="2" width="23" hidden="0" customWidth="1"/>
    <x:col min="3" max="3" width="43" hidden="0" customWidth="1"/>
    <x:col min="4" max="4" width="52" hidden="0" customWidth="1"/>
    <x:col min="5" max="5" width="24" hidden="0" customWidth="1"/>
  </x:cols>
  <x:sheetData>
    <x:row r="1">
      <x:c r="A1" s="1" t="str">
        <x:v>Validation and ensemble admission</x:v>
      </x:c>
    </x:row>
    <x:row r="2">
      <x:c r="A2" s="2" t="str">
        <x:v>Fit to controlled margins does not establish unobserved tract-level truth</x:v>
      </x:c>
    </x:row>
    <x:row r="3">
      <x:c r="A3" s="3"/>
      <x:c r="B3" s="3"/>
      <x:c r="C3" s="3"/>
      <x:c r="D3" s="3"/>
      <x:c r="E3" s="3"/>
    </x:row>
    <x:row r="5" ht="28" customHeight="1">
      <x:c r="A5" s="13" t="str">
        <x:v>ID</x:v>
      </x:c>
      <x:c r="B5" s="13" t="str">
        <x:v>Class</x:v>
      </x:c>
      <x:c r="C5" s="13" t="str">
        <x:v>Scope</x:v>
      </x:c>
      <x:c r="D5" s="13" t="str">
        <x:v>Threshold / decision rule</x:v>
      </x:c>
      <x:c r="E5" s="13" t="str">
        <x:v>Failure action</x:v>
      </x:c>
    </x:row>
    <x:row r="6" ht="42" customHeight="1">
      <x:c r="A6" s="17" t="str">
        <x:v>V-001</x:v>
      </x:c>
      <x:c r="B6" s="17" t="str">
        <x:v>hard identity</x:v>
      </x:c>
      <x:c r="C6" s="17" t="str">
        <x:v>persons, households, GQ and occupied units</x:v>
      </x:c>
      <x:c r="D6" s="17" t="str">
        <x:v>all registered integer equalities exact</x:v>
      </x:c>
      <x:c r="E6" s="17" t="str">
        <x:v>reject member</x:v>
      </x:c>
    </x:row>
    <x:row r="7" ht="42" customHeight="1">
      <x:c r="A7" s="18" t="str">
        <x:v>V-002</x:v>
      </x:c>
      <x:c r="B7" s="18" t="str">
        <x:v>priority margin</x:v>
      </x:c>
      <x:c r="C7" s="18" t="str">
        <x:v>controlled one-way margins</x:v>
      </x:c>
      <x:c r="D7" s="18" t="str">
        <x:v>absolute residual &lt;= max(2 records, 0.05% of universe)</x:v>
      </x:c>
      <x:c r="E7" s="18" t="str">
        <x:v>reject member</x:v>
      </x:c>
    </x:row>
    <x:row r="8" ht="42" customHeight="1">
      <x:c r="A8" s="18" t="str">
        <x:v>V-003</x:v>
      </x:c>
      <x:c r="B8" s="18" t="str">
        <x:v>secondary margin</x:v>
      </x:c>
      <x:c r="C8" s="18" t="str">
        <x:v>controlled detailed margins</x:v>
      </x:c>
      <x:c r="D8" s="18" t="str">
        <x:v>absolute residual &lt;= max(3 records, 0.10% of universe, 0.10 SE)</x:v>
      </x:c>
      <x:c r="E8" s="18" t="str">
        <x:v>reject member</x:v>
      </x:c>
    </x:row>
    <x:row r="9" ht="42" customHeight="1">
      <x:c r="A9" s="18" t="str">
        <x:v>V-004</x:v>
      </x:c>
      <x:c r="B9" s="18" t="str">
        <x:v>ensemble bias</x:v>
      </x:c>
      <x:c r="C9" s="18" t="str">
        <x:v>every registered metric</x:v>
      </x:c>
      <x:c r="D9" s="18" t="str">
        <x:v>absolute mean bias &lt;= 0.25 published MOE90</x:v>
      </x:c>
      <x:c r="E9" s="18" t="str">
        <x:v>escalate or reject</x:v>
      </x:c>
    </x:row>
    <x:row r="10" ht="42" customHeight="1">
      <x:c r="A10" s="18" t="str">
        <x:v>V-005</x:v>
      </x:c>
      <x:c r="B10" s="18" t="str">
        <x:v>uncertainty</x:v>
      </x:c>
      <x:c r="C10" s="18" t="str">
        <x:v>VRE-backed metrics</x:v>
      </x:c>
      <x:c r="D10" s="18" t="str">
        <x:v>synthetic target variance / source variance in [0.80, 1.20]</x:v>
      </x:c>
      <x:c r="E10" s="18" t="str">
        <x:v>escalate or reject</x:v>
      </x:c>
    </x:row>
    <x:row r="11" ht="42" customHeight="1">
      <x:c r="A11" s="18" t="str">
        <x:v>V-006</x:v>
      </x:c>
      <x:c r="B11" s="18" t="str">
        <x:v>bounds</x:v>
      </x:c>
      <x:c r="C11" s="18" t="str">
        <x:v>all shares and counts</x:v>
      </x:c>
      <x:c r="D11" s="18" t="str">
        <x:v>shares in [0,1]; counts nonnegative</x:v>
      </x:c>
      <x:c r="E11" s="18" t="str">
        <x:v>reject member</x:v>
      </x:c>
    </x:row>
    <x:row r="12" ht="42" customHeight="1">
      <x:c r="A12" s="18" t="str">
        <x:v>V-007</x:v>
      </x:c>
      <x:c r="B12" s="18" t="str">
        <x:v>donor distortion</x:v>
      </x:c>
      <x:c r="C12" s="18" t="str">
        <x:v>registered PUMA-level core joint tables</x:v>
      </x:c>
      <x:c r="D12" s="18" t="str">
        <x:v>Jensen-Shannon divergence &lt;= 0.020</x:v>
      </x:c>
      <x:c r="E12" s="18" t="str">
        <x:v>expand pool or reject</x:v>
      </x:c>
    </x:row>
    <x:row r="13" ht="42" customHeight="1">
      <x:c r="A13" s="18" t="str">
        <x:v>V-008</x:v>
      </x:c>
      <x:c r="B13" s="18" t="str">
        <x:v>uncontrolled holdout</x:v>
      </x:c>
      <x:c r="C13" s="18" t="str">
        <x:v>externally selected published cross-tabs</x:v>
      </x:c>
      <x:c r="D13" s="18" t="str">
        <x:v>threshold frozen by holdout custodian before access</x:v>
      </x:c>
      <x:c r="E13" s="18" t="str">
        <x:v>reject registration</x:v>
      </x:c>
    </x:row>
    <x:row r="14" ht="42" customHeight="1">
      <x:c r="A14" s="18" t="str">
        <x:v>V-009</x:v>
      </x:c>
      <x:c r="B14" s="18" t="str">
        <x:v>building capacity</x:v>
      </x:c>
      <x:c r="C14" s="18" t="str">
        <x:v>each tract × class bin</x:v>
      </x:c>
      <x:c r="D14" s="18" t="str">
        <x:v>assigned households &lt;= available occupied capacity</x:v>
      </x:c>
      <x:c r="E14" s="18" t="str">
        <x:v>reject member</x:v>
      </x:c>
    </x:row>
    <x:row r="15" ht="42" customHeight="1">
      <x:c r="A15" s="18" t="str">
        <x:v>V-010</x:v>
      </x:c>
      <x:c r="B15" s="18" t="str">
        <x:v>structure and tenure</x:v>
      </x:c>
      <x:c r="C15" s="18" t="str">
        <x:v>building assignment margins</x:v>
      </x:c>
      <x:c r="D15" s="18" t="str">
        <x:v>same tolerance as V-003</x:v>
      </x:c>
      <x:c r="E15" s="18" t="str">
        <x:v>reject member</x:v>
      </x:c>
    </x:row>
    <x:row r="16" ht="42" customHeight="1">
      <x:c r="A16" s="18" t="str">
        <x:v>V-011</x:v>
      </x:c>
      <x:c r="B16" s="18" t="str">
        <x:v>support</x:v>
      </x:c>
      <x:c r="C16" s="18" t="str">
        <x:v>every selected donor class</x:v>
      </x:c>
      <x:c r="D16" s="18" t="str">
        <x:v>positive eligible donor support and logged tier</x:v>
      </x:c>
      <x:c r="E16" s="18" t="str">
        <x:v>reject member</x:v>
      </x:c>
    </x:row>
    <x:row r="17" ht="42" customHeight="1">
      <x:c r="A17" s="18" t="str">
        <x:v>V-012</x:v>
      </x:c>
      <x:c r="B17" s="18" t="str">
        <x:v>convergence mean</x:v>
      </x:c>
      <x:c r="C17" s="18" t="str">
        <x:v>registered proportions between K and K/2</x:v>
      </x:c>
      <x:c r="D17" s="18" t="str">
        <x:v>maximum absolute change &lt;= 0.0025</x:v>
      </x:c>
      <x:c r="E17" s="18" t="str">
        <x:v>escalate K</x:v>
      </x:c>
    </x:row>
    <x:row r="18" ht="42" customHeight="1">
      <x:c r="A18" s="18" t="str">
        <x:v>V-013</x:v>
      </x:c>
      <x:c r="B18" s="18" t="str">
        <x:v>convergence quantile</x:v>
      </x:c>
      <x:c r="C18" s="18" t="str">
        <x:v>5th, 50th and 95th percentiles</x:v>
      </x:c>
      <x:c r="D18" s="18" t="str">
        <x:v>maximum absolute change &lt;= 0.0050</x:v>
      </x:c>
      <x:c r="E18" s="18" t="str">
        <x:v>escalate K</x:v>
      </x:c>
    </x:row>
    <x:row r="19" ht="42" customHeight="1">
      <x:c r="A19" s="18" t="str">
        <x:v>V-014</x:v>
      </x:c>
      <x:c r="B19" s="18" t="str">
        <x:v>convergence joint</x:v>
      </x:c>
      <x:c r="C19" s="18" t="str">
        <x:v>registered joint diagnostics</x:v>
      </x:c>
      <x:c r="D19" s="18" t="str">
        <x:v>maximum Jensen-Shannon change &lt;= 0.010</x:v>
      </x:c>
      <x:c r="E19" s="18" t="str">
        <x:v>escalate K</x:v>
      </x:c>
    </x:row>
    <x:row r="20" ht="42" customHeight="1">
      <x:c r="A20" s="18" t="str">
        <x:v>V-015</x:v>
      </x:c>
      <x:c r="B20" s="18" t="str">
        <x:v>convergence concentration</x:v>
      </x:c>
      <x:c r="C20" s="18" t="str">
        <x:v>top donor-class share</x:v>
      </x:c>
      <x:c r="D20" s="18" t="str">
        <x:v>relative change &lt;= 5%</x:v>
      </x:c>
      <x:c r="E20" s="18" t="str">
        <x:v>escalate K</x:v>
      </x:c>
    </x:row>
    <x:row r="21" ht="42" customHeight="1">
      <x:c r="A21" s="18" t="str">
        <x:v>V-016</x:v>
      </x:c>
      <x:c r="B21" s="18" t="str">
        <x:v>convergence feasibility</x:v>
      </x:c>
      <x:c r="C21" s="18" t="str">
        <x:v>all hard constraints</x:v>
      </x:c>
      <x:c r="D21" s="18" t="str">
        <x:v>zero new violations and zero failed members</x:v>
      </x:c>
      <x:c r="E21" s="18" t="str">
        <x:v>escalate or stop</x:v>
      </x:c>
    </x:row>
    <x:row r="22" ht="42" customHeight="1">
      <x:c r="A22" s="18" t="str">
        <x:v>V-017</x:v>
      </x:c>
      <x:c r="B22" s="18" t="str">
        <x:v>split-half</x:v>
      </x:c>
      <x:c r="C22" s="18" t="str">
        <x:v>two deterministic halves of accepted K</x:v>
      </x:c>
      <x:c r="D22" s="18" t="str">
        <x:v>V-012 through V-015 all pass</x:v>
      </x:c>
      <x:c r="E22" s="18" t="str">
        <x:v>escalate K</x:v>
      </x:c>
    </x:row>
    <x:row r="23" ht="42" customHeight="1">
      <x:c r="A23" s="18" t="str">
        <x:v>V-018</x:v>
      </x:c>
      <x:c r="B23" s="18" t="str">
        <x:v>seed sensitivity</x:v>
      </x:c>
      <x:c r="C23" s="18" t="str">
        <x:v>registered alternate label banks</x:v>
      </x:c>
      <x:c r="D23" s="18" t="str">
        <x:v>report distribution; no architecture outcome access</x:v>
      </x:c>
      <x:c r="E23" s="18" t="str">
        <x:v>review before freeze</x:v>
      </x:c>
    </x:row>
    <x:row r="24" ht="42" customHeight="1">
      <x:c r="A24" s="18" t="str">
        <x:v>V-019</x:v>
      </x:c>
      <x:c r="B24" s="18" t="str">
        <x:v>method sensitivity</x:v>
      </x:c>
      <x:c r="C24" s="18" t="str">
        <x:v>IPU-integer primary vs TRS and alternate-pool benchmark</x:v>
      </x:c>
      <x:c r="D24" s="18" t="str">
        <x:v>report all registered diagnostics</x:v>
      </x:c>
      <x:c r="E24" s="18" t="str">
        <x:v>review before freeze</x:v>
      </x:c>
    </x:row>
    <x:row r="25" ht="42" customHeight="1">
      <x:c r="A25" s="18" t="str">
        <x:v>V-020</x:v>
      </x:c>
      <x:c r="B25" s="18" t="str">
        <x:v>reproduction</x:v>
      </x:c>
      <x:c r="C25" s="18" t="str">
        <x:v>independent implementation</x:v>
      </x:c>
      <x:c r="D25" s="18" t="str">
        <x:v>hashes, counts and diagnostics match registered tolerances</x:v>
      </x:c>
      <x:c r="E25" s="18" t="str">
        <x:v>L0 remains open</x:v>
      </x:c>
    </x:row>
    <x:row r="27" ht="110" customHeight="1">
      <x:c r="A27" s="26" t="str">
        <x:v>Interpretation</x:v>
      </x:c>
      <x:c r="B27" s="26" t="str">
        <x:v>The JSD limit governs distortion from the eligible PUMA donor pool, not truth at tract level. Holdout thresholds remain externally controlled. Convergence decisions cannot use A2, S3 or campaign outcomes.</x:v>
      </x:c>
      <x:c r="C27" s="26"/>
      <x:c r="D27" s="26"/>
      <x:c r="E27" s="26"/>
    </x:row>
  </x:sheetData>
  <x:pageMargins left="0.7" right="0.7" top="0.75" bottom="0.75" header="0.3" footer="0.3"/>
</x:worksheet>
</file>

<file path=xl/worksheets/sheet8.xml><?xml version="1.0" encoding="utf-8"?>
<x:worksheet xmlns:x="http://schemas.openxmlformats.org/spreadsheetml/2006/main">
  <x:sheetPr>
    <x:tabColor rgb="FF315B7D"/>
  </x:sheetPr>
  <x:sheetViews>
    <x:sheetView showGridLines="0" workbookViewId="0"/>
  </x:sheetViews>
  <x:sheetFormatPr defaultRowHeight="15"/>
  <x:cols>
    <x:col min="1" max="1" width="24" hidden="0" customWidth="1"/>
    <x:col min="2" max="2" width="45" hidden="0" customWidth="1"/>
    <x:col min="3" max="3" width="48" hidden="0" customWidth="1"/>
    <x:col min="4" max="4" width="37" hidden="0" customWidth="1"/>
    <x:col min="5" max="5" width="32" hidden="0" customWidth="1"/>
    <x:col min="6" max="6" width="30" hidden="0" customWidth="1"/>
  </x:cols>
  <x:sheetData>
    <x:row r="1">
      <x:c r="A1" s="1" t="str">
        <x:v>Privacy, release and custody</x:v>
      </x:c>
    </x:row>
    <x:row r="2">
      <x:c r="A2" s="2" t="str">
        <x:v>Synthetic records are controlled data unless a separate release authority proves otherwise</x:v>
      </x:c>
    </x:row>
    <x:row r="3">
      <x:c r="A3" s="3"/>
      <x:c r="B3" s="3"/>
      <x:c r="C3" s="3"/>
      <x:c r="D3" s="3"/>
      <x:c r="E3" s="3"/>
      <x:c r="F3" s="3"/>
    </x:row>
    <x:row r="5">
      <x:c r="A5" s="6" t="str">
        <x:v>Release tiers</x:v>
      </x:c>
      <x:c r="B5" s="7"/>
      <x:c r="C5" s="7"/>
      <x:c r="D5" s="7"/>
      <x:c r="E5" s="7"/>
      <x:c r="F5" s="8"/>
    </x:row>
    <x:row r="6" ht="28" customHeight="1">
      <x:c r="A6" s="13" t="str">
        <x:v>Tier</x:v>
      </x:c>
      <x:c r="B6" s="13" t="str">
        <x:v>Permitted content</x:v>
      </x:c>
      <x:c r="C6" s="13" t="str">
        <x:v>Prohibited content</x:v>
      </x:c>
      <x:c r="D6" s="13" t="str">
        <x:v>Control</x:v>
      </x:c>
    </x:row>
    <x:row r="7" ht="46" customHeight="1">
      <x:c r="A7" s="17" t="str">
        <x:v>Public</x:v>
      </x:c>
      <x:c r="B7" s="17" t="str">
        <x:v>method, sources, hashes, aggregate diagnostics, rejection log</x:v>
      </x:c>
      <x:c r="C7" s="17" t="str">
        <x:v>person/household relational rows; exact locations; protected attributes</x:v>
      </x:c>
      <x:c r="D7" s="17" t="str">
        <x:v>open repository</x:v>
      </x:c>
    </x:row>
    <x:row r="8" ht="46" customHeight="1">
      <x:c r="A8" s="18" t="str">
        <x:v>Controlled research</x:v>
      </x:c>
      <x:c r="B8" s="18" t="str">
        <x:v>synthetic relational records and donor-class diagnostics</x:v>
      </x:c>
      <x:c r="C8" s="18" t="str">
        <x:v>direct protected identifiers; architecture outcomes during tuning</x:v>
      </x:c>
      <x:c r="D8" s="18" t="str">
        <x:v>secure enclave; logged queries</x:v>
      </x:c>
    </x:row>
    <x:row r="9" ht="46" customHeight="1">
      <x:c r="A9" s="18" t="str">
        <x:v>Operational</x:v>
      </x:c>
      <x:c r="B9" s="18" t="str">
        <x:v>minimum necessary live service state</x:v>
      </x:c>
      <x:c r="C9" s="18" t="str">
        <x:v>general research access; secondary use without authority</x:v>
      </x:c>
      <x:c r="D9" s="18" t="str">
        <x:v>mission-specific authorization and expiry</x:v>
      </x:c>
    </x:row>
    <x:row r="10" ht="46" customHeight="1">
      <x:c r="A10" s="18" t="str">
        <x:v>Architecture team</x:v>
      </x:c>
      <x:c r="B10" s="18" t="str">
        <x:v>approved aggregate demand interface after formal L0</x:v>
      </x:c>
      <x:c r="C10" s="18" t="str">
        <x:v>donor records, holdouts, exact protected state</x:v>
      </x:c>
      <x:c r="D10" s="18" t="str">
        <x:v>one-way governed release</x:v>
      </x:c>
    </x:row>
    <x:row r="13">
      <x:c r="A13" s="6" t="str">
        <x:v>Separated authorities</x:v>
      </x:c>
      <x:c r="B13" s="7"/>
      <x:c r="C13" s="7"/>
      <x:c r="D13" s="7"/>
      <x:c r="E13" s="7"/>
      <x:c r="F13" s="8"/>
    </x:row>
    <x:row r="14" ht="28" customHeight="1">
      <x:c r="A14" s="13" t="str">
        <x:v>Role</x:v>
      </x:c>
      <x:c r="B14" s="13" t="str">
        <x:v>Duty</x:v>
      </x:c>
      <x:c r="C14" s="13" t="str">
        <x:v>Separation</x:v>
      </x:c>
    </x:row>
    <x:row r="15" ht="38" customHeight="1">
      <x:c r="A15" s="17" t="str">
        <x:v>Source custodian</x:v>
      </x:c>
      <x:c r="B15" s="17" t="str">
        <x:v>acquire, hash and stage public/protected evidence</x:v>
      </x:c>
      <x:c r="C15" s="17" t="str">
        <x:v>cannot tune compiler or see architecture outcomes</x:v>
      </x:c>
    </x:row>
    <x:row r="16" ht="38" customHeight="1">
      <x:c r="A16" s="18" t="str">
        <x:v>Target authority</x:v>
      </x:c>
      <x:c r="B16" s="18" t="str">
        <x:v>approve universes, covariance cases and coherent target rules</x:v>
      </x:c>
      <x:c r="C16" s="18" t="str">
        <x:v>cannot operate architecture model</x:v>
      </x:c>
    </x:row>
    <x:row r="17" ht="38" customHeight="1">
      <x:c r="A17" s="18" t="str">
        <x:v>Compiler operator</x:v>
      </x:c>
      <x:c r="B17" s="18" t="str">
        <x:v>execute frozen compiler and publish diagnostics</x:v>
      </x:c>
      <x:c r="C17" s="18" t="str">
        <x:v>cannot access holdout contents or outcome fields</x:v>
      </x:c>
    </x:row>
    <x:row r="18" ht="38" customHeight="1">
      <x:c r="A18" s="18" t="str">
        <x:v>Privacy and civil-rights authority</x:v>
      </x:c>
      <x:c r="B18" s="18" t="str">
        <x:v>approve purpose, minimization, attacks, retention and release</x:v>
      </x:c>
      <x:c r="C18" s="18" t="str">
        <x:v>can veto release; does not select winner</x:v>
      </x:c>
    </x:row>
    <x:row r="19" ht="38" customHeight="1">
      <x:c r="A19" s="18" t="str">
        <x:v>Independent reproducer</x:v>
      </x:c>
      <x:c r="B19" s="18" t="str">
        <x:v>rebuild from frozen sources and specification</x:v>
      </x:c>
      <x:c r="C19" s="18" t="str">
        <x:v>separate codebase and credentials</x:v>
      </x:c>
    </x:row>
    <x:row r="20" ht="38" customHeight="1">
      <x:c r="A20" s="18" t="str">
        <x:v>Holdout custodian</x:v>
      </x:c>
      <x:c r="B20" s="18" t="str">
        <x:v>salt, timestamp, retain and evaluate uncontrolled tables</x:v>
      </x:c>
      <x:c r="C20" s="18" t="str">
        <x:v>no threshold tuning after reveal</x:v>
      </x:c>
    </x:row>
    <x:row r="21" ht="38" customHeight="1">
      <x:c r="A21" s="18" t="str">
        <x:v>Architecture operator</x:v>
      </x:c>
      <x:c r="B21" s="18" t="str">
        <x:v>run frozen A2/S3 only after formal L0</x:v>
      </x:c>
      <x:c r="C21" s="18" t="str">
        <x:v>receives no protected donor or exact-location data</x:v>
      </x:c>
    </x:row>
    <x:row r="24">
      <x:c r="A24" s="6" t="str">
        <x:v>Privacy tests</x:v>
      </x:c>
      <x:c r="B24" s="7"/>
      <x:c r="C24" s="7"/>
      <x:c r="D24" s="7"/>
      <x:c r="E24" s="7"/>
      <x:c r="F24" s="8"/>
    </x:row>
    <x:row r="25" ht="28" customHeight="1">
      <x:c r="A25" s="13" t="str">
        <x:v>ID</x:v>
      </x:c>
      <x:c r="B25" s="13" t="str">
        <x:v>Threat</x:v>
      </x:c>
      <x:c r="C25" s="13" t="str">
        <x:v>Test</x:v>
      </x:c>
      <x:c r="D25" s="13" t="str">
        <x:v>Registered threshold</x:v>
      </x:c>
    </x:row>
    <x:row r="26" ht="42" customHeight="1">
      <x:c r="A26" s="17" t="str">
        <x:v>P-001</x:v>
      </x:c>
      <x:c r="B26" s="17" t="str">
        <x:v>membership inference</x:v>
      </x:c>
      <x:c r="C26" s="17" t="str">
        <x:v>compare attack advantage against matched population baseline</x:v>
      </x:c>
      <x:c r="D26" s="17" t="str">
        <x:v>UNSET pending privacy authority</x:v>
      </x:c>
    </x:row>
    <x:row r="27" ht="42" customHeight="1">
      <x:c r="A27" s="18" t="str">
        <x:v>P-002</x:v>
      </x:c>
      <x:c r="B27" s="18" t="str">
        <x:v>attribute inference</x:v>
      </x:c>
      <x:c r="C27" s="18" t="str">
        <x:v>test sensitive fields under auxiliary-information attacks</x:v>
      </x:c>
      <x:c r="D27" s="18" t="str">
        <x:v>UNSET pending privacy authority</x:v>
      </x:c>
    </x:row>
    <x:row r="28" ht="42" customHeight="1">
      <x:c r="A28" s="18" t="str">
        <x:v>P-003</x:v>
      </x:c>
      <x:c r="B28" s="18" t="str">
        <x:v>nearest-neighbor disclosure</x:v>
      </x:c>
      <x:c r="C28" s="18" t="str">
        <x:v>audit unusually close synthetic/protected records</x:v>
      </x:c>
      <x:c r="D28" s="18" t="str">
        <x:v>UNSET pending privacy authority</x:v>
      </x:c>
    </x:row>
    <x:row r="29" ht="42" customHeight="1">
      <x:c r="A29" s="18" t="str">
        <x:v>P-004</x:v>
      </x:c>
      <x:c r="B29" s="18" t="str">
        <x:v>rare household uniqueness</x:v>
      </x:c>
      <x:c r="C29" s="18" t="str">
        <x:v>measure reproduction and singling-out risk</x:v>
      </x:c>
      <x:c r="D29" s="18" t="str">
        <x:v>UNSET pending privacy authority</x:v>
      </x:c>
    </x:row>
    <x:row r="30" ht="42" customHeight="1">
      <x:c r="A30" s="18" t="str">
        <x:v>P-005</x:v>
      </x:c>
      <x:c r="B30" s="18" t="str">
        <x:v>linkage</x:v>
      </x:c>
      <x:c r="C30" s="18" t="str">
        <x:v>test tract/building auxiliary joins</x:v>
      </x:c>
      <x:c r="D30" s="18" t="str">
        <x:v>UNSET pending privacy authority</x:v>
      </x:c>
    </x:row>
    <x:row r="31" ht="42" customHeight="1">
      <x:c r="A31" s="18" t="str">
        <x:v>P-006</x:v>
      </x:c>
      <x:c r="B31" s="18" t="str">
        <x:v>query leakage</x:v>
      </x:c>
      <x:c r="C31" s="18" t="str">
        <x:v>audit enclave aggregate-query reconstruction</x:v>
      </x:c>
      <x:c r="D31" s="18" t="str">
        <x:v>UNSET pending privacy authority</x:v>
      </x:c>
    </x:row>
    <x:row r="32" ht="42" customHeight="1">
      <x:c r="A32" s="18" t="str">
        <x:v>P-007</x:v>
      </x:c>
      <x:c r="B32" s="18" t="str">
        <x:v>purpose limitation</x:v>
      </x:c>
      <x:c r="C32" s="18" t="str">
        <x:v>verify architecture interface excludes nonessential attributes</x:v>
      </x:c>
      <x:c r="D32" s="18" t="str">
        <x:v>zero unauthorized fields</x:v>
      </x:c>
    </x:row>
    <x:row r="33" ht="42" customHeight="1">
      <x:c r="A33" s="18" t="str">
        <x:v>P-008</x:v>
      </x:c>
      <x:c r="B33" s="18" t="str">
        <x:v>retention</x:v>
      </x:c>
      <x:c r="C33" s="18" t="str">
        <x:v>verify deletion/expiry and reproducible commitments</x:v>
      </x:c>
      <x:c r="D33" s="18" t="str">
        <x:v>policy required before data access</x:v>
      </x:c>
    </x:row>
    <x:row r="34" ht="42" customHeight="1">
      <x:c r="A34" s="18" t="str">
        <x:v>P-009</x:v>
      </x:c>
      <x:c r="B34" s="18" t="str">
        <x:v>differential privacy</x:v>
      </x:c>
      <x:c r="C34" s="18" t="str">
        <x:v>evaluate only if a microdata-like release is proposed</x:v>
      </x:c>
      <x:c r="D34" s="18" t="str">
        <x:v>epsilon and delta deliberately UNSET</x:v>
      </x:c>
    </x:row>
    <x:row r="35" ht="42" customHeight="1">
      <x:c r="A35" s="18" t="str">
        <x:v>P-010</x:v>
      </x:c>
      <x:c r="B35" s="18" t="str">
        <x:v>red-team independence</x:v>
      </x:c>
      <x:c r="C35" s="18" t="str">
        <x:v>attacker receives realistic auxiliary data and separate incentives</x:v>
      </x:c>
      <x:c r="D35" s="18" t="str">
        <x:v>external report required</x:v>
      </x:c>
    </x:row>
  </x:sheetData>
  <x:pageMargins left="0.7" right="0.7" top="0.75" bottom="0.75" header="0.3" footer="0.3"/>
</x:worksheet>
</file>

<file path=xl/worksheets/sheet9.xml><?xml version="1.0" encoding="utf-8"?>
<x:worksheet xmlns:x="http://schemas.openxmlformats.org/spreadsheetml/2006/main">
  <x:sheetPr>
    <x:tabColor rgb="FF315B7D"/>
  </x:sheetPr>
  <x:sheetViews>
    <x:sheetView showGridLines="0" workbookViewId="0">
      <x:pane ySplit="5" topLeftCell="A6" activePane="bottomLeft" state="frozen"/>
    </x:sheetView>
  </x:sheetViews>
  <x:sheetFormatPr defaultRowHeight="15"/>
  <x:cols>
    <x:col min="1" max="1" width="12" hidden="0" customWidth="1"/>
    <x:col min="2" max="2" width="25" hidden="0" customWidth="1"/>
    <x:col min="3" max="3" width="54" hidden="0" customWidth="1"/>
    <x:col min="4" max="4" width="54" hidden="0" customWidth="1"/>
  </x:cols>
  <x:sheetData>
    <x:row r="1">
      <x:c r="A1" s="1" t="str">
        <x:v>Deliberate failure tests</x:v>
      </x:c>
    </x:row>
    <x:row r="2">
      <x:c r="A2" s="2" t="str">
        <x:v>The implementation must fail closed under inconsistency, unsupported inference and data leakage</x:v>
      </x:c>
    </x:row>
    <x:row r="3">
      <x:c r="A3" s="3"/>
      <x:c r="B3" s="3"/>
      <x:c r="C3" s="3"/>
      <x:c r="D3" s="3"/>
    </x:row>
    <x:row r="5" ht="28" customHeight="1">
      <x:c r="A5" s="13" t="str">
        <x:v>ID</x:v>
      </x:c>
      <x:c r="B5" s="13" t="str">
        <x:v>Injection</x:v>
      </x:c>
      <x:c r="C5" s="13" t="str">
        <x:v>Test action</x:v>
      </x:c>
      <x:c r="D5" s="13" t="str">
        <x:v>Required response</x:v>
      </x:c>
    </x:row>
    <x:row r="6" ht="42" customHeight="1">
      <x:c r="A6" s="17" t="str">
        <x:v>F-001</x:v>
      </x:c>
      <x:c r="B6" s="17" t="str">
        <x:v>contradictory subtotals</x:v>
      </x:c>
      <x:c r="C6" s="17" t="str">
        <x:v>make components exceed universe</x:v>
      </x:c>
      <x:c r="D6" s="17" t="str">
        <x:v>target draw rejected before donors</x:v>
      </x:c>
    </x:row>
    <x:row r="7" ht="42" customHeight="1">
      <x:c r="A7" s="18" t="str">
        <x:v>F-002</x:v>
      </x:c>
      <x:c r="B7" s="18" t="str">
        <x:v>negative uncertainty draw</x:v>
      </x:c>
      <x:c r="C7" s="18" t="str">
        <x:v>force a small category below zero</x:v>
      </x:c>
      <x:c r="D7" s="18" t="str">
        <x:v>projection or rejection is logged; never clipped silently</x:v>
      </x:c>
    </x:row>
    <x:row r="8" ht="42" customHeight="1">
      <x:c r="A8" s="18" t="str">
        <x:v>F-003</x:v>
      </x:c>
      <x:c r="B8" s="18" t="str">
        <x:v>structural zero</x:v>
      </x:c>
      <x:c r="C8" s="18" t="str">
        <x:v>request an impossible donor configuration</x:v>
      </x:c>
      <x:c r="D8" s="18" t="str">
        <x:v>pool ladder runs; unresolved case stops</x:v>
      </x:c>
    </x:row>
    <x:row r="9" ht="42" customHeight="1">
      <x:c r="A9" s="18" t="str">
        <x:v>F-004</x:v>
      </x:c>
      <x:c r="B9" s="18" t="str">
        <x:v>PUMA leakage</x:v>
      </x:c>
      <x:c r="C9" s="18" t="str">
        <x:v>label a donor as a tract observation</x:v>
      </x:c>
      <x:c r="D9" s="18" t="str">
        <x:v>schema validation rejects run</x:v>
      </x:c>
    </x:row>
    <x:row r="10" ht="42" customHeight="1">
      <x:c r="A10" s="18" t="str">
        <x:v>F-005</x:v>
      </x:c>
      <x:c r="B10" s="18" t="str">
        <x:v>household split</x:v>
      </x:c>
      <x:c r="C10" s="18" t="str">
        <x:v>detach one person from donor household</x:v>
      </x:c>
      <x:c r="D10" s="18" t="str">
        <x:v>hard relationship check rejects member</x:v>
      </x:c>
    </x:row>
    <x:row r="11" ht="42" customHeight="1">
      <x:c r="A11" s="18" t="str">
        <x:v>F-006</x:v>
      </x:c>
      <x:c r="B11" s="18" t="str">
        <x:v>duplicate person</x:v>
      </x:c>
      <x:c r="C11" s="18" t="str">
        <x:v>replicate person outside household replication</x:v>
      </x:c>
      <x:c r="D11" s="18" t="str">
        <x:v>partition and count checks reject member</x:v>
      </x:c>
    </x:row>
    <x:row r="12" ht="42" customHeight="1">
      <x:c r="A12" s="18" t="str">
        <x:v>F-007</x:v>
      </x:c>
      <x:c r="B12" s="18" t="str">
        <x:v>donor monopoly</x:v>
      </x:c>
      <x:c r="C12" s="18" t="str">
        <x:v>concentrate mass in one rare donor class</x:v>
      </x:c>
      <x:c r="D12" s="18" t="str">
        <x:v>concentration diagnostic fails or escalates pool</x:v>
      </x:c>
    </x:row>
    <x:row r="13" ht="42" customHeight="1">
      <x:c r="A13" s="18" t="str">
        <x:v>F-008</x:v>
      </x:c>
      <x:c r="B13" s="18" t="str">
        <x:v>solver timeout</x:v>
      </x:c>
      <x:c r="C13" s="18" t="str">
        <x:v>terminate before registered gap</x:v>
      </x:c>
      <x:c r="D13" s="18" t="str">
        <x:v>member rejected unless preapproved exact-time rule met</x:v>
      </x:c>
    </x:row>
    <x:row r="14" ht="42" customHeight="1">
      <x:c r="A14" s="18" t="str">
        <x:v>F-009</x:v>
      </x:c>
      <x:c r="B14" s="18" t="str">
        <x:v>building shortage</x:v>
      </x:c>
      <x:c r="C14" s="18" t="str">
        <x:v>reduce class capacity below households</x:v>
      </x:c>
      <x:c r="D14" s="18" t="str">
        <x:v>assignment infeasible; no overflow class invented</x:v>
      </x:c>
    </x:row>
    <x:row r="15" ht="42" customHeight="1">
      <x:c r="A15" s="18" t="str">
        <x:v>F-010</x:v>
      </x:c>
      <x:c r="B15" s="18" t="str">
        <x:v>unknown coercion</x:v>
      </x:c>
      <x:c r="C15" s="18" t="str">
        <x:v>convert absent medical power to zero</x:v>
      </x:c>
      <x:c r="D15" s="18" t="str">
        <x:v>state-domain check rejects run</x:v>
      </x:c>
    </x:row>
    <x:row r="16" ht="42" customHeight="1">
      <x:c r="A16" s="18" t="str">
        <x:v>F-011</x:v>
      </x:c>
      <x:c r="B16" s="18" t="str">
        <x:v>proxy operability</x:v>
      </x:c>
      <x:c r="C16" s="18" t="str">
        <x:v>treat an elevator record as available service</x:v>
      </x:c>
      <x:c r="D16" s="18" t="str">
        <x:v>building-state rule rejects run</x:v>
      </x:c>
    </x:row>
    <x:row r="17" ht="42" customHeight="1">
      <x:c r="A17" s="18" t="str">
        <x:v>F-012</x:v>
      </x:c>
      <x:c r="B17" s="18" t="str">
        <x:v>seed drift</x:v>
      </x:c>
      <x:c r="C17" s="18" t="str">
        <x:v>rerun with same labels and sources</x:v>
      </x:c>
      <x:c r="D17" s="18" t="str">
        <x:v>byte-identical outputs required</x:v>
      </x:c>
    </x:row>
    <x:row r="18" ht="42" customHeight="1">
      <x:c r="A18" s="18" t="str">
        <x:v>F-013</x:v>
      </x:c>
      <x:c r="B18" s="18" t="str">
        <x:v>alternate donor pool</x:v>
      </x:c>
      <x:c r="C18" s="18" t="str">
        <x:v>use adjacent and NYC-wide pools</x:v>
      </x:c>
      <x:c r="D18" s="18" t="str">
        <x:v>sensitivity reported before freeze</x:v>
      </x:c>
    </x:row>
    <x:row r="19" ht="42" customHeight="1">
      <x:c r="A19" s="18" t="str">
        <x:v>F-014</x:v>
      </x:c>
      <x:c r="B19" s="18" t="str">
        <x:v>vintage substitution</x:v>
      </x:c>
      <x:c r="C19" s="18" t="str">
        <x:v>replace ACS analytic count with 2020 selection count</x:v>
      </x:c>
      <x:c r="D19" s="18" t="str">
        <x:v>denominator check rejects run</x:v>
      </x:c>
    </x:row>
    <x:row r="20" ht="42" customHeight="1">
      <x:c r="A20" s="18" t="str">
        <x:v>F-015</x:v>
      </x:c>
      <x:c r="B20" s="18" t="str">
        <x:v>holdout leakage</x:v>
      </x:c>
      <x:c r="C20" s="18" t="str">
        <x:v>expose withheld joint table during tuning</x:v>
      </x:c>
      <x:c r="D20" s="18" t="str">
        <x:v>registration invalidated</x:v>
      </x:c>
    </x:row>
    <x:row r="21" ht="42" customHeight="1">
      <x:c r="A21" s="18" t="str">
        <x:v>F-016</x:v>
      </x:c>
      <x:c r="B21" s="18" t="str">
        <x:v>architecture leakage</x:v>
      </x:c>
      <x:c r="C21" s="18" t="str">
        <x:v>read A2/S3 result fields during K choice</x:v>
      </x:c>
      <x:c r="D21" s="18" t="str">
        <x:v>access audit invalidates registration</x:v>
      </x:c>
    </x:row>
    <x:row r="22" ht="42" customHeight="1">
      <x:c r="A22" s="18" t="str">
        <x:v>F-017</x:v>
      </x:c>
      <x:c r="B22" s="18" t="str">
        <x:v>privacy attack</x:v>
      </x:c>
      <x:c r="C22" s="18" t="str">
        <x:v>infer membership or rare attribute</x:v>
      </x:c>
      <x:c r="D22" s="18" t="str">
        <x:v>public release denied pending accepted threshold</x:v>
      </x:c>
    </x:row>
    <x:row r="23" ht="42" customHeight="1">
      <x:c r="A23" s="18" t="str">
        <x:v>F-018</x:v>
      </x:c>
      <x:c r="B23" s="18" t="str">
        <x:v>independent mismatch</x:v>
      </x:c>
      <x:c r="C23" s="18" t="str">
        <x:v>second implementation changes hash or diagnostic</x:v>
      </x:c>
      <x:c r="D23" s="18" t="str">
        <x:v>formal L0 remains open</x:v>
      </x:c>
    </x:row>
  </x:sheetData>
  <x:pageMargins left="0.7" right="0.7" top="0.75" bottom="0.75" header="0.3" footer="0.3"/>
</x:worksheet>
</file>

<file path=xl/worksheets/sheet10.xml><?xml version="1.0" encoding="utf-8"?>
<x:worksheet xmlns:x="http://schemas.openxmlformats.org/spreadsheetml/2006/main">
  <x:sheetPr>
    <x:tabColor rgb="FF315B7D"/>
  </x:sheetPr>
  <x:sheetViews>
    <x:sheetView showGridLines="0" workbookViewId="0"/>
  </x:sheetViews>
  <x:sheetFormatPr defaultRowHeight="15"/>
  <x:cols>
    <x:col min="1" max="1" width="36" hidden="0" customWidth="1"/>
    <x:col min="2" max="2" width="28" hidden="0" customWidth="1"/>
    <x:col min="3" max="3" width="24" hidden="0" customWidth="1"/>
    <x:col min="4" max="4" width="24" hidden="0" customWidth="1"/>
    <x:col min="5" max="5" width="47" hidden="0" customWidth="1"/>
  </x:cols>
  <x:sheetData>
    <x:row r="1">
      <x:c r="A1" s="1" t="str">
        <x:v>Empty output registry</x:v>
      </x:c>
    </x:row>
    <x:row r="2">
      <x:c r="A2" s="2" t="str">
        <x:v>Method registration does not authorize target draws, synthetic state or architecture execution</x:v>
      </x:c>
    </x:row>
    <x:row r="3">
      <x:c r="A3" s="3"/>
      <x:c r="B3" s="3"/>
      <x:c r="C3" s="3"/>
      <x:c r="D3" s="3"/>
      <x:c r="E3" s="3"/>
    </x:row>
    <x:row r="5" ht="28" customHeight="1">
      <x:c r="A5" s="13" t="str">
        <x:v>Object</x:v>
      </x:c>
      <x:c r="B5" s="13" t="str">
        <x:v>Custody layer</x:v>
      </x:c>
      <x:c r="C5" s="13" t="str">
        <x:v>Reserved rows</x:v>
      </x:c>
      <x:c r="D5" s="13" t="str">
        <x:v>Populated rows</x:v>
      </x:c>
      <x:c r="E5" s="13" t="str">
        <x:v>Reason / gate</x:v>
      </x:c>
    </x:row>
    <x:row r="6" ht="36" customHeight="1">
      <x:c r="A6" s="17" t="str">
        <x:v>coherent target draws</x:v>
      </x:c>
      <x:c r="B6" s="17" t="str">
        <x:v>population ensemble</x:v>
      </x:c>
      <x:c r="C6" s="23" t="n">
        <x:v>0</x:v>
      </x:c>
      <x:c r="D6" s="23" t="n">
        <x:v>0</x:v>
      </x:c>
      <x:c r="E6" s="17" t="str">
        <x:v>compiler not executed</x:v>
      </x:c>
    </x:row>
    <x:row r="7" ht="36" customHeight="1">
      <x:c r="A7" s="18" t="str">
        <x:v>continuous donor weights</x:v>
      </x:c>
      <x:c r="B7" s="18" t="str">
        <x:v>population ensemble</x:v>
      </x:c>
      <x:c r="C7" s="22" t="n">
        <x:v>0</x:v>
      </x:c>
      <x:c r="D7" s="22" t="n">
        <x:v>0</x:v>
      </x:c>
      <x:c r="E7" s="18" t="str">
        <x:v>compiler not executed</x:v>
      </x:c>
    </x:row>
    <x:row r="8" ht="36" customHeight="1">
      <x:c r="A8" s="18" t="str">
        <x:v>integer donor-class counts</x:v>
      </x:c>
      <x:c r="B8" s="18" t="str">
        <x:v>population ensemble</x:v>
      </x:c>
      <x:c r="C8" s="22" t="n">
        <x:v>0</x:v>
      </x:c>
      <x:c r="D8" s="22" t="n">
        <x:v>0</x:v>
      </x:c>
      <x:c r="E8" s="18" t="str">
        <x:v>compiler not executed</x:v>
      </x:c>
    </x:row>
    <x:row r="9" ht="36" customHeight="1">
      <x:c r="A9" s="18" t="str">
        <x:v>synthetic person records</x:v>
      </x:c>
      <x:c r="B9" s="18" t="str">
        <x:v>controlled enclave</x:v>
      </x:c>
      <x:c r="C9" s="22" t="n">
        <x:v>0</x:v>
      </x:c>
      <x:c r="D9" s="22" t="n">
        <x:v>0</x:v>
      </x:c>
      <x:c r="E9" s="18" t="str">
        <x:v>compiler not executed</x:v>
      </x:c>
    </x:row>
    <x:row r="10" ht="36" customHeight="1">
      <x:c r="A10" s="18" t="str">
        <x:v>synthetic household records</x:v>
      </x:c>
      <x:c r="B10" s="18" t="str">
        <x:v>controlled enclave</x:v>
      </x:c>
      <x:c r="C10" s="22" t="n">
        <x:v>0</x:v>
      </x:c>
      <x:c r="D10" s="22" t="n">
        <x:v>0</x:v>
      </x:c>
      <x:c r="E10" s="18" t="str">
        <x:v>compiler not executed</x:v>
      </x:c>
    </x:row>
    <x:row r="11" ht="36" customHeight="1">
      <x:c r="A11" s="18" t="str">
        <x:v>group-quarters records</x:v>
      </x:c>
      <x:c r="B11" s="18" t="str">
        <x:v>controlled enclave</x:v>
      </x:c>
      <x:c r="C11" s="22" t="n">
        <x:v>0</x:v>
      </x:c>
      <x:c r="D11" s="22" t="n">
        <x:v>0</x:v>
      </x:c>
      <x:c r="E11" s="18" t="str">
        <x:v>compiler not executed</x:v>
      </x:c>
    </x:row>
    <x:row r="12" ht="36" customHeight="1">
      <x:c r="A12" s="18" t="str">
        <x:v>public building-class assignments</x:v>
      </x:c>
      <x:c r="B12" s="18" t="str">
        <x:v>controlled enclave</x:v>
      </x:c>
      <x:c r="C12" s="22" t="n">
        <x:v>0</x:v>
      </x:c>
      <x:c r="D12" s="22" t="n">
        <x:v>0</x:v>
      </x:c>
      <x:c r="E12" s="18" t="str">
        <x:v>building evidence gate open</x:v>
      </x:c>
    </x:row>
    <x:row r="13" ht="36" customHeight="1">
      <x:c r="A13" s="18" t="str">
        <x:v>exact unit/floor/address assignments</x:v>
      </x:c>
      <x:c r="B13" s="18" t="str">
        <x:v>protected operational</x:v>
      </x:c>
      <x:c r="C13" s="22" t="n">
        <x:v>0</x:v>
      </x:c>
      <x:c r="D13" s="22" t="n">
        <x:v>0</x:v>
      </x:c>
      <x:c r="E13" s="18" t="str">
        <x:v>not authorized and never public</x:v>
      </x:c>
    </x:row>
    <x:row r="14" ht="36" customHeight="1">
      <x:c r="A14" s="18" t="str">
        <x:v>operational building states</x:v>
      </x:c>
      <x:c r="B14" s="18" t="str">
        <x:v>protected operational</x:v>
      </x:c>
      <x:c r="C14" s="22" t="n">
        <x:v>0</x:v>
      </x:c>
      <x:c r="D14" s="22" t="n">
        <x:v>0</x:v>
      </x:c>
      <x:c r="E14" s="18" t="str">
        <x:v>evidence gate open</x:v>
      </x:c>
    </x:row>
    <x:row r="15" ht="36" customHeight="1">
      <x:c r="A15" s="18" t="str">
        <x:v>A2/S3 architecture outcomes</x:v>
      </x:c>
      <x:c r="B15" s="18" t="str">
        <x:v>registered campaign</x:v>
      </x:c>
      <x:c r="C15" s="22" t="n">
        <x:v>24000</x:v>
      </x:c>
      <x:c r="D15" s="22" t="n">
        <x:v>0</x:v>
      </x:c>
      <x:c r="E15" s="18" t="str">
        <x:v>sealed until formal L0</x:v>
      </x:c>
    </x:row>
    <x:row r="16" ht="36" customHeight="1">
      <x:c r="A16" s="18" t="str">
        <x:v>campaign aggregates</x:v>
      </x:c>
      <x:c r="B16" s="18" t="str">
        <x:v>registered campaign</x:v>
      </x:c>
      <x:c r="C16" s="22" t="n">
        <x:v>2000</x:v>
      </x:c>
      <x:c r="D16" s="22" t="n">
        <x:v>0</x:v>
      </x:c>
      <x:c r="E16" s="18" t="str">
        <x:v>sealed until formal L0</x:v>
      </x:c>
    </x:row>
    <x:row r="17" ht="36" customHeight="1">
      <x:c r="A17" s="18" t="str">
        <x:v>holdout contents</x:v>
      </x:c>
      <x:c r="B17" s="18" t="str">
        <x:v>external custody</x:v>
      </x:c>
      <x:c r="C17" s="22" t="n">
        <x:v>0</x:v>
      </x:c>
      <x:c r="D17" s="22" t="n">
        <x:v>0</x:v>
      </x:c>
      <x:c r="E17" s="18" t="str">
        <x:v>not in operator repository</x:v>
      </x:c>
    </x:row>
    <x:row r="20" ht="28" customHeight="1">
      <x:c r="A20" s="13" t="str">
        <x:v>Check</x:v>
      </x:c>
      <x:c r="B20" s="13" t="str">
        <x:v>Formula result</x:v>
      </x:c>
      <x:c r="C20" s="13" t="str">
        <x:v>Required</x:v>
      </x:c>
    </x:row>
    <x:row r="21" ht="28" customHeight="1">
      <x:c r="A21" s="17" t="str">
        <x:v>Populated compiler outputs</x:v>
      </x:c>
      <x:c r="B21" s="23" t="n">
        <x:f>SUM(D6:D14)+D17</x:f>
        <x:v>0</x:v>
      </x:c>
      <x:c r="C21" s="23" t="n">
        <x:v>0</x:v>
      </x:c>
    </x:row>
    <x:row r="22" ht="28" customHeight="1">
      <x:c r="A22" s="18" t="str">
        <x:v>Populated architecture/campaign outcomes</x:v>
      </x:c>
      <x:c r="B22" s="22" t="n">
        <x:f>SUM(D15:D16)</x:f>
        <x:v>0</x:v>
      </x:c>
      <x:c r="C22" s="22" t="n">
        <x:v>0</x:v>
      </x:c>
    </x:row>
    <x:row r="23" ht="28" customHeight="1">
      <x:c r="A23" s="18" t="str">
        <x:v>Reserved campaign surface</x:v>
      </x:c>
      <x:c r="B23" s="22" t="n">
        <x:f>SUM(C15:C16)</x:f>
        <x:v>26000</x:v>
      </x:c>
      <x:c r="C23" s="22" t="n">
        <x:v>26000</x:v>
      </x:c>
    </x:row>
  </x:sheetData>
  <x:pageMargins left="0.7" right="0.7" top="0.75" bottom="0.75" header="0.3" footer="0.3"/>
</x:worksheet>
</file>

<file path=xl/worksheets/sheet11.xml><?xml version="1.0" encoding="utf-8"?>
<x:worksheet xmlns:x="http://schemas.openxmlformats.org/spreadsheetml/2006/main">
  <x:sheetPr>
    <x:tabColor rgb="FF17324D"/>
  </x:sheetPr>
  <x:sheetViews>
    <x:sheetView showGridLines="0" workbookViewId="0">
      <x:pane ySplit="5" topLeftCell="A6" activePane="bottomLeft" state="frozen"/>
    </x:sheetView>
  </x:sheetViews>
  <x:sheetFormatPr defaultRowHeight="15"/>
  <x:cols>
    <x:col min="1" max="1" width="20" hidden="0" customWidth="1"/>
    <x:col min="2" max="2" width="42" hidden="0" customWidth="1"/>
    <x:col min="3" max="3" width="40" hidden="0" customWidth="1"/>
    <x:col min="4" max="4" width="12" hidden="0" customWidth="1"/>
    <x:col min="5" max="5" width="48" hidden="0" customWidth="1"/>
    <x:col min="6" max="6" width="75" hidden="0" customWidth="1"/>
  </x:cols>
  <x:sheetData>
    <x:row r="1">
      <x:c r="A1" s="1" t="str">
        <x:v>Sources</x:v>
      </x:c>
    </x:row>
    <x:row r="2">
      <x:c r="A2" s="2" t="str">
        <x:v>Official documentation and original methods used to bound the registration</x:v>
      </x:c>
    </x:row>
    <x:row r="3">
      <x:c r="A3" s="3"/>
      <x:c r="B3" s="3"/>
      <x:c r="C3" s="3"/>
      <x:c r="D3" s="3"/>
      <x:c r="E3" s="3"/>
      <x:c r="F3" s="3"/>
    </x:row>
    <x:row r="5" ht="28" customHeight="1">
      <x:c r="A5" s="13" t="str">
        <x:v>Key</x:v>
      </x:c>
      <x:c r="B5" s="13" t="str">
        <x:v>Title</x:v>
      </x:c>
      <x:c r="C5" s="13" t="str">
        <x:v>Publisher / authors</x:v>
      </x:c>
      <x:c r="D5" s="13" t="str">
        <x:v>Year</x:v>
      </x:c>
      <x:c r="E5" s="13" t="str">
        <x:v>Use</x:v>
      </x:c>
      <x:c r="F5" s="13" t="str">
        <x:v>URL</x:v>
      </x:c>
    </x:row>
    <x:row r="6" ht="48" customHeight="1">
      <x:c r="A6" s="17" t="str">
        <x:v>Census-PUMS-Doc</x:v>
      </x:c>
      <x:c r="B6" s="17" t="str">
        <x:v>PUMS Documentation</x:v>
      </x:c>
      <x:c r="C6" s="17" t="str">
        <x:v>U.S. Census Bureau</x:v>
      </x:c>
      <x:c r="D6" s="17" t="n">
        <x:v>2026</x:v>
      </x:c>
      <x:c r="E6" s="17" t="str">
        <x:v>files, variables, methodology and accuracy</x:v>
      </x:c>
      <x:c r="F6" s="17" t="str">
        <x:v>https://www.census.gov/programs-surveys/acs/microdata/documentation.html</x:v>
      </x:c>
    </x:row>
    <x:row r="7" ht="48" customHeight="1">
      <x:c r="A7" s="18" t="str">
        <x:v>Census-PUMS-Guide</x:v>
      </x:c>
      <x:c r="B7" s="18" t="str">
        <x:v>2020–2024 ACS PUMS User Guide</x:v>
      </x:c>
      <x:c r="C7" s="18" t="str">
        <x:v>U.S. Census Bureau</x:v>
      </x:c>
      <x:c r="D7" s="18" t="n">
        <x:v>2026</x:v>
      </x:c>
      <x:c r="E7" s="18" t="str">
        <x:v>SERIALNO linkage, person/household weights, 80 replicate weights, PUMA geography</x:v>
      </x:c>
      <x:c r="F7" s="18" t="str">
        <x:v>https://www2.census.gov/programs-surveys/acs/tech_docs/pums/2020_2024ACS_PUMS_User_Guide.pdf</x:v>
      </x:c>
    </x:row>
    <x:row r="8" ht="48" customHeight="1">
      <x:c r="A8" s="18" t="str">
        <x:v>Census-PUMA</x:v>
      </x:c>
      <x:c r="B8" s="18" t="str">
        <x:v>Public Use Microdata Areas</x:v>
      </x:c>
      <x:c r="C8" s="18" t="str">
        <x:v>U.S. Census Bureau</x:v>
      </x:c>
      <x:c r="D8" s="18" t="n">
        <x:v>2023</x:v>
      </x:c>
      <x:c r="E8" s="18" t="str">
        <x:v>PUMA definition, tract nesting and minimum population</x:v>
      </x:c>
      <x:c r="F8" s="18" t="str">
        <x:v>https://www.census.gov/programs-surveys/geography/guidance/geo-areas/pumas.html</x:v>
      </x:c>
    </x:row>
    <x:row r="9" ht="48" customHeight="1">
      <x:c r="A9" s="18" t="str">
        <x:v>Census-Accuracy</x:v>
      </x:c>
      <x:c r="B9" s="18" t="str">
        <x:v>2020–2024 ACS Accuracy of the Data</x:v>
      </x:c>
      <x:c r="C9" s="18" t="str">
        <x:v>U.S. Census Bureau</x:v>
      </x:c>
      <x:c r="D9" s="18" t="n">
        <x:v>2026</x:v>
      </x:c>
      <x:c r="E9" s="18" t="str">
        <x:v>survey uncertainty and derived estimates</x:v>
      </x:c>
      <x:c r="F9" s="18" t="str">
        <x:v>https://www2.census.gov/programs-surveys/acs/tech_docs/accuracy/MultiyearACSAccuracyofData2024.pdf</x:v>
      </x:c>
    </x:row>
    <x:row r="10" ht="48" customHeight="1">
      <x:c r="A10" s="18" t="str">
        <x:v>Census-VRE</x:v>
      </x:c>
      <x:c r="B10" s="18" t="str">
        <x:v>2024 ACS Variance Replicate Tables</x:v>
      </x:c>
      <x:c r="C10" s="18" t="str">
        <x:v>U.S. Census Bureau</x:v>
      </x:c>
      <x:c r="D10" s="18" t="n">
        <x:v>2026</x:v>
      </x:c>
      <x:c r="E10" s="18" t="str">
        <x:v>covariance-aware aggregation for available tables</x:v>
      </x:c>
      <x:c r="F10" s="18" t="str">
        <x:v>https://www.census.gov/programs-surveys/acs/data/variance-tables/2024.html</x:v>
      </x:c>
    </x:row>
    <x:row r="11" ht="48" customHeight="1">
      <x:c r="A11" s="18" t="str">
        <x:v>Ye-IPU</x:v>
      </x:c>
      <x:c r="B11" s="18" t="str">
        <x:v>Methodology to Match Distributions of Both Household and Person Attributes</x:v>
      </x:c>
      <x:c r="C11" s="18" t="str">
        <x:v>Ye, Konduri, Pendyala, Sana and Waddell</x:v>
      </x:c>
      <x:c r="D11" s="18" t="n">
        <x:v>2009</x:v>
      </x:c>
      <x:c r="E11" s="18" t="str">
        <x:v>IPU household and person multilevel controls</x:v>
      </x:c>
      <x:c r="F11" s="18" t="str">
        <x:v>https://trid.trb.org/View/881554</x:v>
      </x:c>
    </x:row>
    <x:row r="12" ht="48" customHeight="1">
      <x:c r="A12" s="18" t="str">
        <x:v>Auld-Mohammadian</x:v>
      </x:c>
      <x:c r="B12" s="18" t="str">
        <x:v>Efficient Methodology for Generating Synthetic Populations with Multiple Control Levels</x:v>
      </x:c>
      <x:c r="C12" s="18" t="str">
        <x:v>Auld and Mohammadian</x:v>
      </x:c>
      <x:c r="D12" s="18" t="n">
        <x:v>2010</x:v>
      </x:c>
      <x:c r="E12" s="18" t="str">
        <x:v>alternate multilevel household-selection method</x:v>
      </x:c>
      <x:c r="F12" s="18" t="str">
        <x:v>https://doi.org/10.3141/2175-16</x:v>
      </x:c>
    </x:row>
    <x:row r="13" ht="48" customHeight="1">
      <x:c r="A13" s="18" t="str">
        <x:v>Lovelace-Ballas</x:v>
      </x:c>
      <x:c r="B13" s="18" t="str">
        <x:v>Truncate, replicate, sample</x:v>
      </x:c>
      <x:c r="C13" s="18" t="str">
        <x:v>Lovelace and Ballas</x:v>
      </x:c>
      <x:c r="D13" s="18" t="n">
        <x:v>2013</x:v>
      </x:c>
      <x:c r="E13" s="18" t="str">
        <x:v>integerization benchmark and reproducibility</x:v>
      </x:c>
      <x:c r="F13" s="18" t="str">
        <x:v>https://doi.org/10.1016/j.compenvurbsys.2013.03.004</x:v>
      </x:c>
    </x:row>
    <x:row r="14" ht="48" customHeight="1">
      <x:c r="A14" s="18" t="str">
        <x:v>Beckman</x:v>
      </x:c>
      <x:c r="B14" s="18" t="str">
        <x:v>Creating synthetic baseline populations</x:v>
      </x:c>
      <x:c r="C14" s="18" t="str">
        <x:v>Beckman, Baggerly and McKay</x:v>
      </x:c>
      <x:c r="D14" s="18" t="n">
        <x:v>1996</x:v>
      </x:c>
      <x:c r="E14" s="18" t="str">
        <x:v>PUMS plus small-area controls and pseudo-population validation</x:v>
      </x:c>
      <x:c r="F14" s="18" t="str">
        <x:v>https://doi.org/10.1016/0965-8564(96)00004-3</x:v>
      </x:c>
    </x:row>
    <x:row r="15" ht="48" customHeight="1">
      <x:c r="A15" s="18" t="str">
        <x:v>FBS</x:v>
      </x:c>
      <x:c r="B15" s="18" t="str">
        <x:v>Synthetic Population Generation with Multilevel Controls</x:v>
      </x:c>
      <x:c r="C15" s="18" t="str">
        <x:v>Ma and Srinivasan</x:v>
      </x:c>
      <x:c r="D15" s="18" t="n">
        <x:v>2015</x:v>
      </x:c>
      <x:c r="E15" s="18" t="str">
        <x:v>fitness-based synthesis and multivariate validation</x:v>
      </x:c>
      <x:c r="F15" s="18" t="str">
        <x:v>https://doi.org/10.1111/mice.12085</x:v>
      </x:c>
    </x:row>
    <x:row r="16" ht="48" customHeight="1">
      <x:c r="A16" s="18" t="str">
        <x:v>NIST-DP</x:v>
      </x:c>
      <x:c r="B16" s="18" t="str">
        <x:v>Guidelines for Evaluating Differential Privacy Guarantees</x:v>
      </x:c>
      <x:c r="C16" s="18" t="str">
        <x:v>Near, Darais, Lefkovitz and Howarth / NIST</x:v>
      </x:c>
      <x:c r="D16" s="18" t="n">
        <x:v>2025</x:v>
      </x:c>
      <x:c r="E16" s="18" t="str">
        <x:v>privacy guarantees, implementation hazards and synthetic-data caution</x:v>
      </x:c>
      <x:c r="F16" s="18" t="str">
        <x:v>https://doi.org/10.6028/NIST.SP.800-226</x:v>
      </x:c>
    </x:row>
    <x:row r="17" ht="48" customHeight="1">
      <x:c r="A17" s="18" t="str">
        <x:v>Stadler</x:v>
      </x:c>
      <x:c r="B17" s="18" t="str">
        <x:v>Synthetic Data – Anonymisation Groundhog Day</x:v>
      </x:c>
      <x:c r="C17" s="18" t="str">
        <x:v>Stadler, Oprisanu and Troncoso</x:v>
      </x:c>
      <x:c r="D17" s="18" t="n">
        <x:v>2022</x:v>
      </x:c>
      <x:c r="E17" s="18" t="str">
        <x:v>empirical inference risks and privacy–utility limits</x:v>
      </x:c>
      <x:c r="F17" s="18" t="str">
        <x:v>https://www.usenix.org/conference/usenixsecurity22/presentation/stadler</x:v>
      </x:c>
    </x:row>
  </x:sheetData>
  <x:pageMargins left="0.7" right="0.7" top="0.75" bottom="0.75" header="0.3" footer="0.3"/>
</x:worksheet>
</file>

<file path=xl/worksheets/sheet12.xml><?xml version="1.0" encoding="utf-8"?>
<x:worksheet xmlns:x="http://schemas.openxmlformats.org/spreadsheetml/2006/main">
  <x:sheetPr>
    <x:tabColor rgb="FF17324D"/>
  </x:sheetPr>
  <x:sheetViews>
    <x:sheetView showGridLines="0" workbookViewId="0"/>
  </x:sheetViews>
  <x:sheetFormatPr defaultRowHeight="15"/>
  <x:cols>
    <x:col min="1" max="1" width="34" hidden="0" customWidth="1"/>
    <x:col min="2" max="2" width="24" hidden="0" customWidth="1"/>
    <x:col min="3" max="3" width="30" hidden="0" customWidth="1"/>
    <x:col min="4" max="4" width="64" hidden="0" customWidth="1"/>
  </x:cols>
  <x:sheetData>
    <x:row r="1">
      <x:c r="A1" s="1" t="str">
        <x:v>Integrity controls</x:v>
      </x:c>
    </x:row>
    <x:row r="2">
      <x:c r="A2" s="2" t="str">
        <x:v>Formula-backed checks for the registered workbook state</x:v>
      </x:c>
    </x:row>
    <x:row r="3">
      <x:c r="A3" s="3"/>
      <x:c r="B3" s="3"/>
      <x:c r="C3" s="3"/>
      <x:c r="D3" s="3"/>
    </x:row>
    <x:row r="5" ht="28" customHeight="1">
      <x:c r="A5" s="13" t="str">
        <x:v>Control</x:v>
      </x:c>
      <x:c r="B5" s="13" t="str">
        <x:v>Actual</x:v>
      </x:c>
      <x:c r="C5" s="13" t="str">
        <x:v>Status</x:v>
      </x:c>
      <x:c r="D5" s="13" t="str">
        <x:v>Requirement</x:v>
      </x:c>
    </x:row>
    <x:row r="6" ht="32" customHeight="1">
      <x:c r="A6" s="17" t="str">
        <x:v>Registration ID</x:v>
      </x:c>
      <x:c r="B6" s="27" t="str">
        <x:f>IF('01 Registration'!B6="DF-NYC-L0-PR46-COMPILER-v1","PASS","FAIL")</x:f>
        <x:v>PASS</x:v>
      </x:c>
      <x:c r="C6" s="27" t="str">
        <x:f>B6</x:f>
        <x:v>PASS</x:v>
      </x:c>
      <x:c r="D6" s="17" t="str">
        <x:v>must equal DF-NYC-L0-PR46-COMPILER-v1</x:v>
      </x:c>
    </x:row>
    <x:row r="7" ht="32" customHeight="1">
      <x:c r="A7" s="18" t="str">
        <x:v>Synthetic records now</x:v>
      </x:c>
      <x:c r="B7" s="28" t="str">
        <x:f>IF('01 Registration'!B23=0,"PASS","FAIL")</x:f>
        <x:v>PASS</x:v>
      </x:c>
      <x:c r="C7" s="28" t="str">
        <x:f>B7</x:f>
        <x:v>PASS</x:v>
      </x:c>
      <x:c r="D7" s="18" t="str">
        <x:v>must equal zero</x:v>
      </x:c>
    </x:row>
    <x:row r="8" ht="32" customHeight="1">
      <x:c r="A8" s="18" t="str">
        <x:v>Architecture results now</x:v>
      </x:c>
      <x:c r="B8" s="28" t="str">
        <x:f>IF('01 Registration'!B24=0,"PASS","FAIL")</x:f>
        <x:v>PASS</x:v>
      </x:c>
      <x:c r="C8" s="28" t="str">
        <x:f>B8</x:f>
        <x:v>PASS</x:v>
      </x:c>
      <x:c r="D8" s="18" t="str">
        <x:v>must equal zero</x:v>
      </x:c>
    </x:row>
    <x:row r="9" ht="32" customHeight="1">
      <x:c r="A9" s="18" t="str">
        <x:v>Empty output populated rows</x:v>
      </x:c>
      <x:c r="B9" s="28" t="str">
        <x:f>IF('09 Empty Outputs'!B21+'09 Empty Outputs'!B22=0,"PASS","FAIL")</x:f>
        <x:v>PASS</x:v>
      </x:c>
      <x:c r="C9" s="28" t="str">
        <x:f>B9</x:f>
        <x:v>PASS</x:v>
      </x:c>
      <x:c r="D9" s="18" t="str">
        <x:v>must equal zero</x:v>
      </x:c>
    </x:row>
    <x:row r="10" ht="32" customHeight="1">
      <x:c r="A10" s="18" t="str">
        <x:v>Constraint count</x:v>
      </x:c>
      <x:c r="B10" s="28" t="str">
        <x:f>IF(COUNTA('03 Constraints'!A6:A33)=28,"PASS","FAIL")</x:f>
        <x:v>PASS</x:v>
      </x:c>
      <x:c r="C10" s="28" t="str">
        <x:f>B10</x:f>
        <x:v>PASS</x:v>
      </x:c>
      <x:c r="D10" s="18" t="str">
        <x:v>must equal 28</x:v>
      </x:c>
    </x:row>
    <x:row r="11" ht="32" customHeight="1">
      <x:c r="A11" s="18" t="str">
        <x:v>Validation count</x:v>
      </x:c>
      <x:c r="B11" s="28" t="str">
        <x:f>IF(COUNTA('06 Validation'!A6:A25)=20,"PASS","FAIL")</x:f>
        <x:v>PASS</x:v>
      </x:c>
      <x:c r="C11" s="28" t="str">
        <x:f>B11</x:f>
        <x:v>PASS</x:v>
      </x:c>
      <x:c r="D11" s="18" t="str">
        <x:v>must equal 20</x:v>
      </x:c>
    </x:row>
    <x:row r="12" ht="32" customHeight="1">
      <x:c r="A12" s="18" t="str">
        <x:v>Failure-test count</x:v>
      </x:c>
      <x:c r="B12" s="28" t="str">
        <x:f>IF(COUNTA('08 Failure Tests'!A6:A23)=18,"PASS","FAIL")</x:f>
        <x:v>PASS</x:v>
      </x:c>
      <x:c r="C12" s="28" t="str">
        <x:f>B12</x:f>
        <x:v>PASS</x:v>
      </x:c>
      <x:c r="D12" s="18" t="str">
        <x:v>must equal 18</x:v>
      </x:c>
    </x:row>
    <x:row r="13" ht="32" customHeight="1">
      <x:c r="A13" s="18" t="str">
        <x:v>Source count</x:v>
      </x:c>
      <x:c r="B13" s="28" t="str">
        <x:f>IF(COUNTA('10 Sources'!A6:A17)=12,"PASS","FAIL")</x:f>
        <x:v>PASS</x:v>
      </x:c>
      <x:c r="C13" s="28" t="str">
        <x:f>B13</x:f>
        <x:v>PASS</x:v>
      </x:c>
      <x:c r="D13" s="18" t="str">
        <x:v>must equal 12</x:v>
      </x:c>
    </x:row>
    <x:row r="14" ht="32" customHeight="1">
      <x:c r="A14" s="18" t="str">
        <x:v>K divisibility checks</x:v>
      </x:c>
      <x:c r="B14" s="28" t="str">
        <x:f>IF(COUNTIF('05 Ensemble'!E12:E15,"PASS")=4,"PASS","FAIL")</x:f>
        <x:v>PASS</x:v>
      </x:c>
      <x:c r="C14" s="28" t="str">
        <x:f>B14</x:f>
        <x:v>PASS</x:v>
      </x:c>
      <x:c r="D14" s="18" t="str">
        <x:v>all four candidates divide 1,000</x:v>
      </x:c>
    </x:row>
    <x:row r="15" ht="32" customHeight="1">
      <x:c r="A15" s="18" t="str">
        <x:v>K=125 edge usage</x:v>
      </x:c>
      <x:c r="B15" s="28" t="str">
        <x:f>IF(AND('05 Ensemble'!F12=8,'05 Ensemble'!G12=8),"PASS","FAIL")</x:f>
        <x:v>PASS</x:v>
      </x:c>
      <x:c r="C15" s="28" t="str">
        <x:f>B15</x:f>
        <x:v>PASS</x:v>
      </x:c>
      <x:c r="D15" s="18" t="str">
        <x:v>members 1 and 125 each used eight times</x:v>
      </x:c>
    </x:row>
    <x:row r="16" ht="32" customHeight="1">
      <x:c r="A16" s="18" t="str">
        <x:v>K=250 edge usage</x:v>
      </x:c>
      <x:c r="B16" s="28" t="str">
        <x:f>IF(AND('05 Ensemble'!F13=4,'05 Ensemble'!G13=4),"PASS","FAIL")</x:f>
        <x:v>PASS</x:v>
      </x:c>
      <x:c r="C16" s="28" t="str">
        <x:f>B16</x:f>
        <x:v>PASS</x:v>
      </x:c>
      <x:c r="D16" s="18" t="str">
        <x:v>members 1 and 250 each used four times</x:v>
      </x:c>
    </x:row>
    <x:row r="17" ht="32" customHeight="1">
      <x:c r="A17" s="18" t="str">
        <x:v>K=500 edge usage</x:v>
      </x:c>
      <x:c r="B17" s="28" t="str">
        <x:f>IF(AND('05 Ensemble'!F14=2,'05 Ensemble'!G14=2),"PASS","FAIL")</x:f>
        <x:v>PASS</x:v>
      </x:c>
      <x:c r="C17" s="28" t="str">
        <x:f>B17</x:f>
        <x:v>PASS</x:v>
      </x:c>
      <x:c r="D17" s="18" t="str">
        <x:v>members 1 and 500 each used twice</x:v>
      </x:c>
    </x:row>
    <x:row r="18" ht="32" customHeight="1">
      <x:c r="A18" s="18" t="str">
        <x:v>K=1,000 edge usage</x:v>
      </x:c>
      <x:c r="B18" s="28" t="str">
        <x:f>IF(AND('05 Ensemble'!F15=1,'05 Ensemble'!G15=1),"PASS","FAIL")</x:f>
        <x:v>PASS</x:v>
      </x:c>
      <x:c r="C18" s="28" t="str">
        <x:f>B18</x:f>
        <x:v>PASS</x:v>
      </x:c>
      <x:c r="D18" s="18" t="str">
        <x:v>members 1 and 1,000 each used once</x:v>
      </x:c>
    </x:row>
    <x:row r="19" ht="32" customHeight="1">
      <x:c r="A19" s="18" t="str">
        <x:v>Specification hash length</x:v>
      </x:c>
      <x:c r="B19" s="28" t="str">
        <x:f>IF(LEN('01 Registration'!B25)=64,"PASS","FAIL")</x:f>
        <x:v>PASS</x:v>
      </x:c>
      <x:c r="C19" s="28" t="str">
        <x:f>B19</x:f>
        <x:v>PASS</x:v>
      </x:c>
      <x:c r="D19" s="18" t="str">
        <x:v>64 hexadecimal characters</x:v>
      </x:c>
    </x:row>
    <x:row r="20" ht="32" customHeight="1">
      <x:c r="A20" s="18" t="str">
        <x:v>Registration hash length</x:v>
      </x:c>
      <x:c r="B20" s="28" t="str">
        <x:f>IF(LEN('01 Registration'!B26)=64,"PASS","FAIL")</x:f>
        <x:v>PASS</x:v>
      </x:c>
      <x:c r="C20" s="28" t="str">
        <x:f>B20</x:f>
        <x:v>PASS</x:v>
      </x:c>
      <x:c r="D20" s="18" t="str">
        <x:v>64 hexadecimal characters</x:v>
      </x:c>
    </x:row>
    <x:row r="21" ht="32" customHeight="1">
      <x:c r="A21" s="18" t="str">
        <x:v>Parent input hash length</x:v>
      </x:c>
      <x:c r="B21" s="28" t="str">
        <x:f>IF(LEN('01 Registration'!D11)=64,"PASS","FAIL")</x:f>
        <x:v>PASS</x:v>
      </x:c>
      <x:c r="C21" s="28" t="str">
        <x:f>B21</x:f>
        <x:v>PASS</x:v>
      </x:c>
      <x:c r="D21" s="18" t="str">
        <x:v>64 hexadecimal characters</x:v>
      </x:c>
    </x:row>
    <x:row r="24">
      <x:c r="A24" s="6" t="str">
        <x:v>Cryptographic commitments</x:v>
      </x:c>
      <x:c r="B24" s="7"/>
      <x:c r="C24" s="7"/>
      <x:c r="D24" s="8"/>
    </x:row>
    <x:row r="25" ht="28" customHeight="1">
      <x:c r="A25" s="13" t="str">
        <x:v>Object</x:v>
      </x:c>
      <x:c r="B25" s="13" t="str">
        <x:v>SHA-256</x:v>
      </x:c>
      <x:c r="C25" s="13" t="str">
        <x:v>State</x:v>
      </x:c>
    </x:row>
    <x:row r="26" ht="28" customHeight="1">
      <x:c r="A26" s="17" t="str">
        <x:v>specification</x:v>
      </x:c>
      <x:c r="B26" s="17" t="str">
        <x:v>17fe27f1c3e7c1a1813b03e6797037e10bba88d8dec93ce2dc3136efd26aa86b</x:v>
      </x:c>
      <x:c r="C26" s="17" t="str">
        <x:v>registered</x:v>
      </x:c>
    </x:row>
    <x:row r="27" ht="28" customHeight="1">
      <x:c r="A27" s="18" t="str">
        <x:v>constraints</x:v>
      </x:c>
      <x:c r="B27" s="18" t="str">
        <x:v>3fe2de071aba4e07d0b625a11e56efc91d4d65823b1b3b43fa97f727ddced871</x:v>
      </x:c>
      <x:c r="C27" s="18" t="str">
        <x:v>registered</x:v>
      </x:c>
    </x:row>
    <x:row r="28" ht="28" customHeight="1">
      <x:c r="A28" s="18" t="str">
        <x:v>validation</x:v>
      </x:c>
      <x:c r="B28" s="18" t="str">
        <x:v>d3492da9d54145c15effed39b9d21386746b94105940bb05a19082cfcb5f2f6f</x:v>
      </x:c>
      <x:c r="C28" s="18" t="str">
        <x:v>registered</x:v>
      </x:c>
    </x:row>
    <x:row r="29" ht="28" customHeight="1">
      <x:c r="A29" s="18" t="str">
        <x:v>failure_tests</x:v>
      </x:c>
      <x:c r="B29" s="18" t="str">
        <x:v>b53db83134d3511d032e30ce2e067f004211dd72a49f75be248654c73308a948</x:v>
      </x:c>
      <x:c r="C29" s="18" t="str">
        <x:v>registered</x:v>
      </x:c>
    </x:row>
    <x:row r="30" ht="28" customHeight="1">
      <x:c r="A30" s="18" t="str">
        <x:v>empty_outputs</x:v>
      </x:c>
      <x:c r="B30" s="18" t="str">
        <x:v>10472f4f37824c734e47a6058773b274ad247ae286f868d4683cb1192af12eb4</x:v>
      </x:c>
      <x:c r="C30" s="18" t="str">
        <x:v>registered</x:v>
      </x:c>
    </x:row>
    <x:row r="31" ht="28" customHeight="1">
      <x:c r="A31" s="18" t="str">
        <x:v>state_schema</x:v>
      </x:c>
      <x:c r="B31" s="18" t="str">
        <x:v>6501c4fc57a843b23add5c42b56ad0d2bcc429d5f9adcb892b2ea549f4ef9eca</x:v>
      </x:c>
      <x:c r="C31" s="18" t="str">
        <x:v>registered</x:v>
      </x:c>
    </x:row>
    <x:row r="32" ht="28" customHeight="1">
      <x:c r="A32" s="18" t="str">
        <x:v>pairing_125</x:v>
      </x:c>
      <x:c r="B32" s="18" t="str">
        <x:v>198b05fa66028d19557d71eb97bdf5f2c71fc1bdcdda4e2bb9cdfcabe2cc8c76</x:v>
      </x:c>
      <x:c r="C32" s="18" t="str">
        <x:v>registered</x:v>
      </x:c>
    </x:row>
    <x:row r="33" ht="28" customHeight="1">
      <x:c r="A33" s="18" t="str">
        <x:v>pairing_250</x:v>
      </x:c>
      <x:c r="B33" s="18" t="str">
        <x:v>efef5b9731e9755096f949bd7f4d462ac4dc1dabcd8c66a12aeaf06d568dd93c</x:v>
      </x:c>
      <x:c r="C33" s="18" t="str">
        <x:v>registered</x:v>
      </x:c>
    </x:row>
    <x:row r="34" ht="28" customHeight="1">
      <x:c r="A34" s="18" t="str">
        <x:v>pairing_500</x:v>
      </x:c>
      <x:c r="B34" s="18" t="str">
        <x:v>79d6ca2a48e3c573501468986f03eec8d2a449018de6618514b5ab216361b574</x:v>
      </x:c>
      <x:c r="C34" s="18" t="str">
        <x:v>registered</x:v>
      </x:c>
    </x:row>
    <x:row r="35" ht="28" customHeight="1">
      <x:c r="A35" s="18" t="str">
        <x:v>pairing_1000</x:v>
      </x:c>
      <x:c r="B35" s="18" t="str">
        <x:v>04e5e6f0740578bd3aa9b30692a37a9a6b65b58787df72953e3235b59152a63b</x:v>
      </x:c>
      <x:c r="C35" s="18" t="str">
        <x:v>registered</x:v>
      </x:c>
    </x:row>
    <x:row r="36" ht="28" customHeight="1">
      <x:c r="A36" s="18" t="str">
        <x:v>registration</x:v>
      </x:c>
      <x:c r="B36" s="18" t="str">
        <x:v>1e38c1dbeb96dd816641b0da0dfa554fb8a1713b71e5149285094c9525d8d5b3</x:v>
      </x:c>
      <x:c r="C36" s="18" t="str">
        <x:v>registered</x:v>
      </x:c>
    </x:row>
  </x:sheetData>
  <x:conditionalFormatting sqref="B6:C21">
    <x:cfRule type="containsText" dxfId="0" priority="1" operator="containsText" text="FAIL"/>
    <x:cfRule type="containsText" dxfId="1" priority="2" operator="containsText" text="PASS"/>
  </x:conditionalFormatting>
  <x:pageMargins left="0.7" right="0.7" top="0.75" bottom="0.75" header="0.3" footer="0.3"/>
</x:worksheet>
</file>