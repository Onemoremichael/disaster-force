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f066f7d9b14c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129819fb094403"/>
    <x:sheet xmlns:r="http://schemas.openxmlformats.org/officeDocument/2006/relationships" name="Assumptions" sheetId="2" r:id="R66a4d1aa1bf54a92"/>
    <x:sheet xmlns:r="http://schemas.openxmlformats.org/officeDocument/2006/relationships" name="Set Bill" sheetId="3" r:id="R5d364c2b81dd41eb"/>
    <x:sheet xmlns:r="http://schemas.openxmlformats.org/officeDocument/2006/relationships" name="Service Residuals" sheetId="4" r:id="Rf0dfc7fac7a64050"/>
    <x:sheet xmlns:r="http://schemas.openxmlformats.org/officeDocument/2006/relationships" name="Transport" sheetId="5" r:id="R40dff8ea426b47b4"/>
    <x:sheet xmlns:r="http://schemas.openxmlformats.org/officeDocument/2006/relationships" name="Crew" sheetId="6" r:id="R863e3512e4f2473e"/>
    <x:sheet xmlns:r="http://schemas.openxmlformats.org/officeDocument/2006/relationships" name="Rotation" sheetId="7" r:id="R02ba86ff18614fe4"/>
    <x:sheet xmlns:r="http://schemas.openxmlformats.org/officeDocument/2006/relationships" name="Arsenals" sheetId="8" r:id="R657652b1fcc24aee"/>
    <x:sheet xmlns:r="http://schemas.openxmlformats.org/officeDocument/2006/relationships" name="Repair Levels" sheetId="9" r:id="R6f49f168780b4073"/>
    <x:sheet xmlns:r="http://schemas.openxmlformats.org/officeDocument/2006/relationships" name="Group Reserve" sheetId="10" r:id="R5331483ce3e6495d"/>
    <x:sheet xmlns:r="http://schemas.openxmlformats.org/officeDocument/2006/relationships" name="System Roots" sheetId="11" r:id="Ra42ad7202c374fcf"/>
    <x:sheet xmlns:r="http://schemas.openxmlformats.org/officeDocument/2006/relationships" name="Module Roots" sheetId="12" r:id="Rf99072a854b04328"/>
    <x:sheet xmlns:r="http://schemas.openxmlformats.org/officeDocument/2006/relationships" name="Lot Population" sheetId="13" r:id="Rd8f4e76d8ec94305"/>
    <x:sheet xmlns:r="http://schemas.openxmlformats.org/officeDocument/2006/relationships" name="Trial Types" sheetId="14" r:id="R69cf9115e23141b4"/>
    <x:sheet xmlns:r="http://schemas.openxmlformats.org/officeDocument/2006/relationships" name="Mission Trials" sheetId="15" r:id="R7c338f3102264a50"/>
    <x:sheet xmlns:r="http://schemas.openxmlformats.org/officeDocument/2006/relationships" name="Regeneration" sheetId="16" r:id="Ra06ccd8eb6e546d1"/>
    <x:sheet xmlns:r="http://schemas.openxmlformats.org/officeDocument/2006/relationships" name="Set Capital" sheetId="17" r:id="Rb9deb655418a4892"/>
    <x:sheet xmlns:r="http://schemas.openxmlformats.org/officeDocument/2006/relationships" name="Group Capital" sheetId="18" r:id="R64d9f2172f5a470d"/>
    <x:sheet xmlns:r="http://schemas.openxmlformats.org/officeDocument/2006/relationships" name="PE Capital" sheetId="19" r:id="R51bd2c8c946a44eb"/>
    <x:sheet xmlns:r="http://schemas.openxmlformats.org/officeDocument/2006/relationships" name="Annual Support" sheetId="20" r:id="R020b99574c0f455d"/>
    <x:sheet xmlns:r="http://schemas.openxmlformats.org/officeDocument/2006/relationships" name="Technology" sheetId="21" r:id="R3fa1e4191dc04c17"/>
    <x:sheet xmlns:r="http://schemas.openxmlformats.org/officeDocument/2006/relationships" name="Schedule" sheetId="22" r:id="R3faacade24ef4c4c"/>
    <x:sheet xmlns:r="http://schemas.openxmlformats.org/officeDocument/2006/relationships" name="Parent Amendment" sheetId="23" r:id="R18c8c6b678794b7a"/>
    <x:sheet xmlns:r="http://schemas.openxmlformats.org/officeDocument/2006/relationships" name="Release Gates" sheetId="24" r:id="R0c3778abe27e4bde"/>
    <x:sheet xmlns:r="http://schemas.openxmlformats.org/officeDocument/2006/relationships" name="Audit" sheetId="25" r:id="R5b3dc566ee1843ae"/>
    <x:sheet xmlns:r="http://schemas.openxmlformats.org/officeDocument/2006/relationships" name="Sources" sheetId="26" r:id="Rbd04b646ecaa4350"/>
    <x:sheet xmlns:r="http://schemas.openxmlformats.org/officeDocument/2006/relationships" name="Read Me" sheetId="27" r:id="Re18515f465ab42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0"/>
    <x:numFmt numFmtId="201" formatCode="#,##0"/>
    <x:numFmt numFmtId="202" formatCode="$#,##0.000"/>
    <x:numFmt numFmtId="203" formatCode="0.0%"/>
    <x:numFmt numFmtId="204" formatCode="#,##0.00"/>
    <x:numFmt numFmtId="205" formatCode="$#,##0.0"/>
  </x:numFmts>
  <x:fonts count="9">
    <x:font>
      <x:sz val="11"/>
      <x:name val="Carlito"/>
    </x:font>
    <x:font>
      <x:b/>
      <x:sz val="14"/>
      <x:color rgb="FF17365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0"/>
      <x:color rgb="FF0000FF"/>
      <x:name val="Arial"/>
    </x:font>
    <x:font>
      <x:b/>
      <x:sz val="10"/>
      <x:color rgb="FF1F2937"/>
      <x:name val="Arial"/>
    </x:font>
    <x:font>
      <x:sz val="10"/>
      <x:color rgb="FF008000"/>
      <x:name val="Arial"/>
    </x:font>
    <x:font>
      <x:b/>
      <x:sz val="10"/>
      <x:color rgb="FF9C000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8E6"/>
      </x:patternFill>
    </x:fill>
  </x:fills>
  <x:borders count="12">
    <x:border/>
    <x:border>
      <x:bottom style="medium">
        <x:color rgb="FF17365D"/>
      </x:bottom>
    </x:border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  <x:border>
      <x:bottom style="thin">
        <x:color rgb="FFE8EEF4"/>
      </x:bottom>
    </x:border>
    <x:border>
      <x:top style="thin">
        <x:color rgb="FFE8EEF4"/>
      </x:top>
      <x:bottom style="thin">
        <x:color rgb="FFE8EEF4"/>
      </x:bottom>
    </x:border>
    <x:border>
      <x:top style="thin">
        <x:color rgb="FFE8EEF4"/>
      </x:top>
    </x:border>
    <x:border>
      <x:top style="medium">
        <x:color rgb="FF17365D"/>
      </x:top>
      <x:bottom style="thin">
        <x:color rgb="FF17365D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C9B458"/>
      </x:left>
      <x:right style="thin">
        <x:color rgb="FFC9B458"/>
      </x:right>
      <x:top style="thin">
        <x:color rgb="FFC9B458"/>
      </x:top>
      <x:bottom style="thin">
        <x:color rgb="FFC9B458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 applyAlignment="1">
      <x:alignment vertical="center"/>
    </x:xf>
    <x:xf numFmtId="200" fontId="5" fillId="3" borderId="6" xfId="0" applyNumberFormat="1" applyFont="1" applyFill="1" applyBorder="1" applyAlignment="1">
      <x:alignment vertical="center"/>
    </x:xf>
    <x:xf numFmtId="200" fontId="5" fillId="3" borderId="7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8" xfId="0" applyNumberFormat="1" applyFont="1" applyFill="1" applyBorder="1"/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0" fontId="6" fillId="4" borderId="8" xfId="0" applyNumberFormat="1" applyFont="1" applyFill="1" applyBorder="1"/>
    <x:xf numFmtId="201" fontId="6" fillId="4" borderId="8" xfId="0" applyNumberFormat="1" applyFont="1" applyFill="1" applyBorder="1"/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202" fontId="6" fillId="4" borderId="8" xfId="0" applyNumberFormat="1" applyFont="1" applyFill="1" applyBorder="1"/>
    <x:xf numFmtId="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/>
    </x:xf>
    <x:xf numFmtId="200" fontId="7" fillId="0" borderId="5" xfId="0" applyNumberFormat="1" applyFont="1" applyFill="1" applyBorder="1" applyAlignment="1">
      <x:alignment vertical="center"/>
    </x:xf>
    <x:xf numFmtId="200" fontId="7" fillId="0" borderId="6" xfId="0" applyNumberFormat="1" applyFont="1" applyFill="1" applyBorder="1" applyAlignment="1">
      <x:alignment vertical="center"/>
    </x:xf>
    <x:xf numFmtId="200" fontId="7" fillId="0" borderId="7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203" fontId="4" fillId="0" borderId="7" xfId="0" applyNumberFormat="1" applyFont="1" applyFill="1" applyBorder="1" applyAlignment="1">
      <x:alignment vertical="center"/>
    </x:xf>
    <x:xf numFmtId="203" fontId="7" fillId="0" borderId="6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0" fontId="6" fillId="4" borderId="7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201" fontId="6" fillId="4" borderId="8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vertical="center"/>
    </x:xf>
    <x:xf numFmtId="0" fontId="6" fillId="4" borderId="6" xfId="0" applyNumberFormat="1" applyFont="1" applyFill="1" applyBorder="1" applyAlignment="1">
      <x:alignment vertical="center"/>
    </x:xf>
    <x:xf numFmtId="0" fontId="7" fillId="4" borderId="6" xfId="0" applyNumberFormat="1" applyFont="1" applyFill="1" applyBorder="1" applyAlignment="1">
      <x:alignment vertical="center"/>
    </x:xf>
    <x:xf numFmtId="201" fontId="7" fillId="0" borderId="6" xfId="0" applyNumberFormat="1" applyFont="1" applyFill="1" applyBorder="1" applyAlignment="1">
      <x:alignment vertical="center"/>
    </x:xf>
    <x:xf numFmtId="200" fontId="6" fillId="4" borderId="8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8" fillId="5" borderId="7" xfId="0" applyNumberFormat="1" applyFont="1" applyFill="1" applyBorder="1" applyAlignment="1">
      <x:alignment vertical="center"/>
    </x:xf>
    <x:xf numFmtId="204" fontId="4" fillId="0" borderId="5" xfId="0" applyNumberFormat="1" applyFont="1" applyFill="1" applyBorder="1" applyAlignment="1">
      <x:alignment vertical="center"/>
    </x:xf>
    <x:xf numFmtId="204" fontId="4" fillId="0" borderId="6" xfId="0" applyNumberFormat="1" applyFont="1" applyFill="1" applyBorder="1" applyAlignment="1">
      <x:alignment vertical="center"/>
    </x:xf>
    <x:xf numFmtId="204" fontId="4" fillId="0" borderId="7" xfId="0" applyNumberFormat="1" applyFont="1" applyFill="1" applyBorder="1" applyAlignment="1">
      <x:alignment vertical="center"/>
    </x:xf>
    <x:xf numFmtId="201" fontId="7" fillId="0" borderId="5" xfId="0" applyNumberFormat="1" applyFont="1" applyFill="1" applyBorder="1" applyAlignment="1">
      <x:alignment vertical="center"/>
    </x:xf>
    <x:xf numFmtId="201" fontId="7" fillId="0" borderId="7" xfId="0" applyNumberFormat="1" applyFont="1" applyFill="1" applyBorder="1" applyAlignment="1">
      <x:alignment vertical="center"/>
    </x:xf>
    <x:xf numFmtId="203" fontId="7" fillId="0" borderId="7" xfId="0" applyNumberFormat="1" applyFont="1" applyFill="1" applyBorder="1" applyAlignment="1">
      <x:alignment vertical="center"/>
    </x:xf>
    <x:xf numFmtId="202" fontId="7" fillId="0" borderId="5" xfId="0" applyNumberFormat="1" applyFont="1" applyFill="1" applyBorder="1" applyAlignment="1">
      <x:alignment vertical="center"/>
    </x:xf>
    <x:xf numFmtId="202" fontId="6" fillId="4" borderId="8" xfId="0" applyNumberFormat="1" applyFont="1" applyFill="1" applyBorder="1" applyAlignment="1">
      <x:alignment vertical="center"/>
    </x:xf>
    <x:xf numFmtId="202" fontId="7" fillId="0" borderId="6" xfId="0" applyNumberFormat="1" applyFont="1" applyFill="1" applyBorder="1" applyAlignment="1">
      <x:alignment vertical="center"/>
    </x:xf>
    <x:xf numFmtId="205" fontId="4" fillId="0" borderId="5" xfId="0" applyNumberFormat="1" applyFont="1" applyFill="1" applyBorder="1" applyAlignment="1">
      <x:alignment vertical="center"/>
    </x:xf>
    <x:xf numFmtId="205" fontId="4" fillId="0" borderId="6" xfId="0" applyNumberFormat="1" applyFont="1" applyFill="1" applyBorder="1" applyAlignment="1">
      <x:alignment vertical="center"/>
    </x:xf>
    <x:xf numFmtId="205" fontId="6" fillId="4" borderId="8" xfId="0" applyNumberFormat="1" applyFont="1" applyFill="1" applyBorder="1" applyAlignment="1">
      <x:alignment vertical="center"/>
    </x:xf>
    <x:xf numFmtId="0" fontId="3" fillId="2" borderId="9" xfId="0" applyNumberFormat="1" applyFont="1" applyFill="1" applyBorder="1"/>
    <x:xf numFmtId="0" fontId="3" fillId="2" borderId="10" xfId="0" applyNumberFormat="1" applyFont="1" applyFill="1" applyBorder="1"/>
    <x:xf numFmtId="0" fontId="3" fillId="2" borderId="9" xfId="0" applyNumberFormat="1" applyFont="1" applyFill="1" applyBorder="1" applyAlignment="1">
      <x:alignment horizontal="center"/>
    </x:xf>
    <x:xf numFmtId="0" fontId="3" fillId="2" borderId="1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1" xfId="0" applyNumberFormat="1" applyFont="1" applyFill="1" applyBorder="1"/>
    <x:xf numFmtId="0" fontId="6" fillId="3" borderId="11" xfId="0" applyNumberFormat="1" applyFont="1" applyFill="1" applyBorder="1" applyAlignment="1">
      <x:alignment wrapText="1"/>
    </x:xf>
    <x:xf numFmtId="0" fontId="6" fillId="3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6f3df0db34ee6" /><Relationship Type="http://schemas.openxmlformats.org/officeDocument/2006/relationships/theme" Target="/xl/theme/theme1.xml" Id="R19cda46586d4497c" /><Relationship Type="http://schemas.openxmlformats.org/officeDocument/2006/relationships/sharedStrings" Target="/xl/sharedStrings.xml" Id="Rbc9f29c413d64538" /><Relationship Type="http://schemas.openxmlformats.org/officeDocument/2006/relationships/worksheet" Target="/xl/worksheets/sheet1.xml" Id="R27129819fb094403" /><Relationship Type="http://schemas.openxmlformats.org/officeDocument/2006/relationships/worksheet" Target="/xl/worksheets/sheet2.xml" Id="R66a4d1aa1bf54a92" /><Relationship Type="http://schemas.openxmlformats.org/officeDocument/2006/relationships/worksheet" Target="/xl/worksheets/sheet3.xml" Id="R5d364c2b81dd41eb" /><Relationship Type="http://schemas.openxmlformats.org/officeDocument/2006/relationships/worksheet" Target="/xl/worksheets/sheet4.xml" Id="Rf0dfc7fac7a64050" /><Relationship Type="http://schemas.openxmlformats.org/officeDocument/2006/relationships/worksheet" Target="/xl/worksheets/sheet5.xml" Id="R40dff8ea426b47b4" /><Relationship Type="http://schemas.openxmlformats.org/officeDocument/2006/relationships/worksheet" Target="/xl/worksheets/sheet6.xml" Id="R863e3512e4f2473e" /><Relationship Type="http://schemas.openxmlformats.org/officeDocument/2006/relationships/worksheet" Target="/xl/worksheets/sheet7.xml" Id="R02ba86ff18614fe4" /><Relationship Type="http://schemas.openxmlformats.org/officeDocument/2006/relationships/worksheet" Target="/xl/worksheets/sheet8.xml" Id="R657652b1fcc24aee" /><Relationship Type="http://schemas.openxmlformats.org/officeDocument/2006/relationships/worksheet" Target="/xl/worksheets/sheet9.xml" Id="R6f49f168780b4073" /><Relationship Type="http://schemas.openxmlformats.org/officeDocument/2006/relationships/worksheet" Target="/xl/worksheets/sheet10.xml" Id="R5331483ce3e6495d" /><Relationship Type="http://schemas.openxmlformats.org/officeDocument/2006/relationships/worksheet" Target="/xl/worksheets/sheet11.xml" Id="Ra42ad7202c374fcf" /><Relationship Type="http://schemas.openxmlformats.org/officeDocument/2006/relationships/worksheet" Target="/xl/worksheets/sheet12.xml" Id="Rf99072a854b04328" /><Relationship Type="http://schemas.openxmlformats.org/officeDocument/2006/relationships/worksheet" Target="/xl/worksheets/sheet13.xml" Id="Rd8f4e76d8ec94305" /><Relationship Type="http://schemas.openxmlformats.org/officeDocument/2006/relationships/worksheet" Target="/xl/worksheets/sheet14.xml" Id="R69cf9115e23141b4" /><Relationship Type="http://schemas.openxmlformats.org/officeDocument/2006/relationships/worksheet" Target="/xl/worksheets/sheet15.xml" Id="R7c338f3102264a50" /><Relationship Type="http://schemas.openxmlformats.org/officeDocument/2006/relationships/worksheet" Target="/xl/worksheets/sheet16.xml" Id="Ra06ccd8eb6e546d1" /><Relationship Type="http://schemas.openxmlformats.org/officeDocument/2006/relationships/worksheet" Target="/xl/worksheets/sheet17.xml" Id="Rb9deb655418a4892" /><Relationship Type="http://schemas.openxmlformats.org/officeDocument/2006/relationships/worksheet" Target="/xl/worksheets/sheet18.xml" Id="R64d9f2172f5a470d" /><Relationship Type="http://schemas.openxmlformats.org/officeDocument/2006/relationships/worksheet" Target="/xl/worksheets/sheet19.xml" Id="R51bd2c8c946a44eb" /><Relationship Type="http://schemas.openxmlformats.org/officeDocument/2006/relationships/worksheet" Target="/xl/worksheets/sheet20.xml" Id="R020b99574c0f455d" /><Relationship Type="http://schemas.openxmlformats.org/officeDocument/2006/relationships/worksheet" Target="/xl/worksheets/sheet21.xml" Id="R3fa1e4191dc04c17" /><Relationship Type="http://schemas.openxmlformats.org/officeDocument/2006/relationships/worksheet" Target="/xl/worksheets/sheet22.xml" Id="R3faacade24ef4c4c" /><Relationship Type="http://schemas.openxmlformats.org/officeDocument/2006/relationships/worksheet" Target="/xl/worksheets/sheet23.xml" Id="R18c8c6b678794b7a" /><Relationship Type="http://schemas.openxmlformats.org/officeDocument/2006/relationships/worksheet" Target="/xl/worksheets/sheet24.xml" Id="R0c3778abe27e4bde" /><Relationship Type="http://schemas.openxmlformats.org/officeDocument/2006/relationships/worksheet" Target="/xl/worksheets/sheet25.xml" Id="R5b3dc566ee1843ae" /><Relationship Type="http://schemas.openxmlformats.org/officeDocument/2006/relationships/worksheet" Target="/xl/worksheets/sheet26.xml" Id="Rbd04b646ecaa4350" /><Relationship Type="http://schemas.openxmlformats.org/officeDocument/2006/relationships/worksheet" Target="/xl/worksheets/sheet27.xml" Id="Re18515f465ab42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4" max="4" width="30" hidden="0" customWidth="1"/>
    <x:col min="7" max="7" width="30" hidden="0" customWidth="1"/>
    <x:col min="2" max="2" width="20" hidden="0" customWidth="1"/>
    <x:col min="5" max="5" width="20" hidden="0" customWidth="1"/>
    <x:col min="8" max="8" width="20" hidden="0" customWidth="1"/>
    <x:col min="3" max="3" width="4" hidden="0" customWidth="1"/>
    <x:col min="6" max="6" width="4" hidden="0" customWidth="1"/>
  </x:cols>
  <x:sheetData>
    <x:row r="2" ht="24" customHeight="1">
      <x:c r="A2" s="2" t="str">
        <x:v>RBT-1 production-equivalent fire-control group</x:v>
      </x:c>
      <x:c r="B2" s="2"/>
      <x:c r="C2" s="2"/>
      <x:c r="D2" s="2"/>
      <x:c r="E2" s="2"/>
      <x:c r="F2" s="2"/>
      <x:c r="G2" s="2"/>
      <x:c r="H2" s="2"/>
    </x:row>
    <x:row r="3" ht="20" customHeight="1">
      <x:c r="A3" s="3" t="str">
        <x:v>The deployable unit is a serialized system of effect, infrastructure, people, transport, industry and return.</x:v>
      </x:c>
      <x:c r="B3" s="3"/>
      <x:c r="C3" s="3"/>
      <x:c r="D3" s="3"/>
      <x:c r="E3" s="3"/>
      <x:c r="F3" s="3"/>
      <x:c r="G3" s="3"/>
      <x:c r="H3" s="3"/>
    </x:row>
    <x:row r="5">
      <x:c r="A5" s="84" t="str">
        <x:v>Set</x:v>
      </x:c>
      <x:c r="B5" s="85" t="str">
        <x:v>Result</x:v>
      </x:c>
      <x:c r="D5" s="84" t="str">
        <x:v>Group and campaign</x:v>
      </x:c>
      <x:c r="E5" s="85" t="str">
        <x:v>Result</x:v>
      </x:c>
      <x:c r="G5" s="84" t="str">
        <x:v>Authority</x:v>
      </x:c>
      <x:c r="H5" s="85" t="str">
        <x:v>Result</x:v>
      </x:c>
    </x:row>
    <x:row r="6">
      <x:c r="A6" s="22" t="str">
        <x:v>Mission cargo t</x:v>
      </x:c>
      <x:c r="B6" s="40" t="n">
        <x:f>'Set Bill'!E27</x:f>
        <x:v>7086.848</x:v>
      </x:c>
      <x:c r="D6" s="22" t="str">
        <x:v>Earlier sets</x:v>
      </x:c>
      <x:c r="E6" s="40" t="n">
        <x:f>6</x:f>
        <x:v>6</x:v>
      </x:c>
      <x:c r="G6" s="22" t="str">
        <x:v>Primary weeks</x:v>
      </x:c>
      <x:c r="H6" s="40" t="n">
        <x:f>Schedule!B17</x:f>
        <x:v>256</x:v>
      </x:c>
    </x:row>
    <x:row r="7">
      <x:c r="A7" s="23" t="str">
        <x:v>Load positions</x:v>
      </x:c>
      <x:c r="B7" s="41" t="n">
        <x:f>'Set Bill'!F27</x:f>
        <x:v>312</x:v>
      </x:c>
      <x:c r="D7" s="23" t="str">
        <x:v>Required sets</x:v>
      </x:c>
      <x:c r="E7" s="41" t="n">
        <x:f>Rotation!B16</x:f>
        <x:v>8</x:v>
      </x:c>
      <x:c r="G7" s="23" t="str">
        <x:v>Maximum weeks</x:v>
      </x:c>
      <x:c r="H7" s="41" t="n">
        <x:f>Schedule!D17</x:f>
        <x:v>280</x:v>
      </x:c>
    </x:row>
    <x:row r="8">
      <x:c r="A8" s="23" t="str">
        <x:v>Rolling mass t</x:v>
      </x:c>
      <x:c r="B8" s="41" t="n">
        <x:f>Transport!B12</x:f>
        <x:v>17046.847999999998</x:v>
      </x:c>
      <x:c r="D8" s="23" t="str">
        <x:v>Six-set shortfall h</x:v>
      </x:c>
      <x:c r="E8" s="41" t="n">
        <x:f>Rotation!B13</x:f>
        <x:v>18</x:v>
      </x:c>
      <x:c r="G8" s="23" t="str">
        <x:v>Peak public positions</x:v>
      </x:c>
      <x:c r="H8" s="41" t="n">
        <x:f>'Parent Amendment'!E8</x:f>
        <x:v>29850</x:v>
      </x:c>
    </x:row>
    <x:row r="9">
      <x:c r="A9" s="23" t="str">
        <x:v>Set crew</x:v>
      </x:c>
      <x:c r="B9" s="41" t="n">
        <x:f>Crew!B23</x:f>
        <x:v>1440</x:v>
      </x:c>
      <x:c r="D9" s="23" t="str">
        <x:v>Arsenal bays</x:v>
      </x:c>
      <x:c r="E9" s="41" t="n">
        <x:f>Arsenals!B11</x:f>
        <x:v>9</x:v>
      </x:c>
      <x:c r="G9" s="23" t="str">
        <x:v>RBT capital USD M</x:v>
      </x:c>
      <x:c r="H9" s="41" t="n">
        <x:f>'PE Capital'!D15</x:f>
        <x:v>175000.00000000003</x:v>
      </x:c>
    </x:row>
    <x:row r="10">
      <x:c r="A10" s="23" t="str">
        <x:v>Continuous stations</x:v>
      </x:c>
      <x:c r="B10" s="41" t="n">
        <x:f>Crew!B14</x:f>
        <x:v>237</x:v>
      </x:c>
      <x:c r="D10" s="23" t="str">
        <x:v>One-site-loss utilization</x:v>
      </x:c>
      <x:c r="E10" s="56" t="n">
        <x:f>Arsenals!B14</x:f>
        <x:v>0.7777777777777778</x:v>
      </x:c>
      <x:c r="G10" s="23" t="str">
        <x:v>Peak annual USD M</x:v>
      </x:c>
      <x:c r="H10" s="41" t="n">
        <x:f>'Parent Amendment'!E10</x:f>
        <x:v>15170</x:v>
      </x:c>
    </x:row>
    <x:row r="11">
      <x:c r="A11" s="23" t="str">
        <x:v>Complete-set capital USD M</x:v>
      </x:c>
      <x:c r="B11" s="41" t="n">
        <x:f>'Set Capital'!D9</x:f>
        <x:v>8735.7</x:v>
      </x:c>
      <x:c r="D11" s="23" t="str">
        <x:v>PE systems</x:v>
      </x:c>
      <x:c r="E11" s="41" t="n">
        <x:f>'System Roots'!D10</x:f>
        <x:v>12</x:v>
      </x:c>
      <x:c r="G11" s="23" t="str">
        <x:v>Technology USD M</x:v>
      </x:c>
      <x:c r="H11" s="41" t="n">
        <x:f>Technology!B20</x:f>
        <x:v>20000</x:v>
      </x:c>
    </x:row>
    <x:row r="12">
      <x:c r="A12" s="23" t="str">
        <x:v>Treatment residual m3/h</x:v>
      </x:c>
      <x:c r="B12" s="41" t="n">
        <x:f>'Service Residuals'!C6</x:f>
        <x:v>2500</x:v>
      </x:c>
      <x:c r="D12" s="23" t="str">
        <x:v>Mission trials</x:v>
      </x:c>
      <x:c r="E12" s="41" t="n">
        <x:f>Regeneration!B6</x:f>
        <x:v>168</x:v>
      </x:c>
      <x:c r="G12" s="23" t="str">
        <x:v>Parent capital remaining USD M</x:v>
      </x:c>
      <x:c r="H12" s="41" t="n">
        <x:f>'Parent Amendment'!F9</x:f>
        <x:v>41319.99999999997</x:v>
      </x:c>
    </x:row>
    <x:row r="13">
      <x:c r="A13" s="24" t="str">
        <x:v>Energy residual MW</x:v>
      </x:c>
      <x:c r="B13" s="42" t="n">
        <x:f>'Service Residuals'!C8</x:f>
        <x:v>25</x:v>
      </x:c>
      <x:c r="D13" s="24" t="str">
        <x:v>Operating-group floor USD M</x:v>
      </x:c>
      <x:c r="E13" s="42" t="n">
        <x:f>'Group Capital'!D10</x:f>
        <x:v>103591.6</x:v>
      </x:c>
      <x:c r="G13" s="24" t="str">
        <x:v>Next object</x:v>
      </x:c>
      <x:c r="H13" s="24" t="str">
        <x:f>"RBU-1"</x:f>
        <x:v>RBU-1</x:v>
      </x:c>
    </x:row>
    <x:row r="15">
      <x:c r="A15" s="5" t="str">
        <x:v>Finding</x:v>
      </x:c>
      <x:c r="B15" s="5"/>
      <x:c r="C15" s="5"/>
      <x:c r="D15" s="5"/>
      <x:c r="E15" s="5"/>
      <x:c r="F15" s="5"/>
      <x:c r="G15" s="5"/>
      <x:c r="H15" s="5"/>
    </x:row>
    <x:row r="16" ht="72" customHeight="1">
      <x:c r="A16" s="90" t="str">
        <x:v>The six-set hypothesis fails by eighteen hours. A 450-hour occupied cycle and 72-hour start interval require seven line sets; one protected ready reserve makes eight. Each set carries 7,086.848 tonnes of mission cargo, 1,440 people, 312 governed load positions and a complete-set capital hypothesis of USD 8.736B. Production equivalence requires twelve new systems across two possible architectures and two unrelated builders before any operational procurement decision.</x:v>
      </x:c>
    </x:row>
  </x:sheetData>
  <x:mergeCells>
    <x:mergeCell ref="A16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72" hidden="0" customWidth="1"/>
  </x:cols>
  <x:sheetData>
    <x:row r="2" ht="24" customHeight="1">
      <x:c r="A2" s="2" t="str">
        <x:v>Registered production-equivalent assumptions</x:v>
      </x:c>
      <x:c r="B2" s="2"/>
      <x:c r="C2" s="2"/>
      <x:c r="D2" s="2"/>
    </x:row>
    <x:row r="3" ht="20" customHeight="1">
      <x:c r="A3" s="3" t="str">
        <x:v>Blue values are editable design hypotheses. Physical observations remain unavailable.</x:v>
      </x:c>
      <x:c r="B3" s="3"/>
      <x:c r="C3" s="3"/>
      <x:c r="D3" s="3"/>
    </x:row>
    <x:row r="5" ht="28" customHeight="1">
      <x:c r="A5" s="15" t="str">
        <x:v>Assumption</x:v>
      </x:c>
      <x:c r="B5" s="16" t="str">
        <x:v>Value</x:v>
      </x:c>
      <x:c r="C5" s="16" t="str">
        <x:v>Unit</x:v>
      </x:c>
      <x:c r="D5" s="17" t="str">
        <x:v>Interpretation</x:v>
      </x:c>
    </x:row>
    <x:row r="6">
      <x:c r="A6" s="22" t="str">
        <x:v>Production-equivalent systems</x:v>
      </x:c>
      <x:c r="B6" s="31" t="n">
        <x:v>12</x:v>
      </x:c>
      <x:c r="C6" s="22" t="str">
        <x:v>systems</x:v>
      </x:c>
      <x:c r="D6" s="22" t="str">
        <x:v>Two candidates × two builders × three consecutive sets</x:v>
      </x:c>
    </x:row>
    <x:row r="7">
      <x:c r="A7" s="23" t="str">
        <x:v>Operational group sets</x:v>
      </x:c>
      <x:c r="B7" s="32" t="n">
        <x:v>8</x:v>
      </x:c>
      <x:c r="C7" s="23" t="str">
        <x:v>sets</x:v>
      </x:c>
      <x:c r="D7" s="23" t="str">
        <x:v>Seven line sets plus one protected ready reserve</x:v>
      </x:c>
    </x:row>
    <x:row r="8">
      <x:c r="A8" s="23" t="str">
        <x:v>Payload per load position</x:v>
      </x:c>
      <x:c r="B8" s="32" t="n">
        <x:v>30</x:v>
      </x:c>
      <x:c r="C8" s="23" t="str">
        <x:v>t</x:v>
      </x:c>
      <x:c r="D8" s="23" t="str">
        <x:v>Governed mission payload</x:v>
      </x:c>
    </x:row>
    <x:row r="9">
      <x:c r="A9" s="23" t="str">
        <x:v>Load-frame tare</x:v>
      </x:c>
      <x:c r="B9" s="32" t="n">
        <x:v>5</x:v>
      </x:c>
      <x:c r="C9" s="23" t="str">
        <x:v>t</x:v>
      </x:c>
      <x:c r="D9" s="23" t="str">
        <x:v>Per frame</x:v>
      </x:c>
    </x:row>
    <x:row r="10">
      <x:c r="A10" s="23" t="str">
        <x:v>Prime-mover tare</x:v>
      </x:c>
      <x:c r="B10" s="32" t="n">
        <x:v>24</x:v>
      </x:c>
      <x:c r="C10" s="23" t="str">
        <x:v>t</x:v>
      </x:c>
      <x:c r="D10" s="23" t="str">
        <x:v>Per vehicle</x:v>
      </x:c>
    </x:row>
    <x:row r="11">
      <x:c r="A11" s="23" t="str">
        <x:v>Load positions per set</x:v>
      </x:c>
      <x:c r="B11" s="32" t="n">
        <x:v>312</x:v>
      </x:c>
      <x:c r="C11" s="23" t="str">
        <x:v>positions</x:v>
      </x:c>
      <x:c r="D11" s="23" t="str">
        <x:v>304 assigned plus eight uncommitted</x:v>
      </x:c>
    </x:row>
    <x:row r="12">
      <x:c r="A12" s="23" t="str">
        <x:v>Prime movers per set</x:v>
      </x:c>
      <x:c r="B12" s="32" t="n">
        <x:v>350</x:v>
      </x:c>
      <x:c r="C12" s="23" t="str">
        <x:v>vehicles</x:v>
      </x:c>
      <x:c r="D12" s="23" t="str">
        <x:v>Thirty-eight unassigned movers</x:v>
      </x:c>
    </x:row>
    <x:row r="13">
      <x:c r="A13" s="23" t="str">
        <x:v>Road spacing</x:v>
      </x:c>
      <x:c r="B13" s="32" t="n">
        <x:v>75</x:v>
      </x:c>
      <x:c r="C13" s="23" t="str">
        <x:v>m</x:v>
      </x:c>
      <x:c r="D13" s="23" t="str">
        <x:v>Packetization screen</x:v>
      </x:c>
    </x:row>
    <x:row r="14">
      <x:c r="A14" s="23" t="str">
        <x:v>Mission start interval</x:v>
      </x:c>
      <x:c r="B14" s="32" t="n">
        <x:v>72</x:v>
      </x:c>
      <x:c r="C14" s="23" t="str">
        <x:v>h</x:v>
      </x:c>
      <x:c r="D14" s="23" t="str">
        <x:v>One continuous mission replacement cadence</x:v>
      </x:c>
    </x:row>
    <x:row r="15">
      <x:c r="A15" s="23" t="str">
        <x:v>Regional deployment and establishment</x:v>
      </x:c>
      <x:c r="B15" s="32" t="n">
        <x:v>18</x:v>
      </x:c>
      <x:c r="C15" s="23" t="str">
        <x:v>h</x:v>
      </x:c>
      <x:c r="D15" s="23" t="str">
        <x:v>Order through complete edge</x:v>
      </x:c>
    </x:row>
    <x:row r="16">
      <x:c r="A16" s="23" t="str">
        <x:v>Mission duration</x:v>
      </x:c>
      <x:c r="B16" s="32" t="n">
        <x:v>72</x:v>
      </x:c>
      <x:c r="C16" s="23" t="str">
        <x:v>h</x:v>
      </x:c>
      <x:c r="D16" s="23" t="str">
        <x:v>Registered endurance</x:v>
      </x:c>
    </x:row>
    <x:row r="17">
      <x:c r="A17" s="23" t="str">
        <x:v>Relief, withdrawal and transfer</x:v>
      </x:c>
      <x:c r="B17" s="32" t="n">
        <x:v>24</x:v>
      </x:c>
      <x:c r="C17" s="23" t="str">
        <x:v>h</x:v>
      </x:c>
      <x:c r="D17" s="23" t="str">
        <x:v>Before regeneration</x:v>
      </x:c>
    </x:row>
    <x:row r="18">
      <x:c r="A18" s="23" t="str">
        <x:v>Regeneration duration</x:v>
      </x:c>
      <x:c r="B18" s="32" t="n">
        <x:v>336</x:v>
      </x:c>
      <x:c r="C18" s="23" t="str">
        <x:v>h</x:v>
      </x:c>
      <x:c r="D18" s="23" t="str">
        <x:v>Complete set return</x:v>
      </x:c>
    </x:row>
    <x:row r="19">
      <x:c r="A19" s="23" t="str">
        <x:v>Water production requirement</x:v>
      </x:c>
      <x:c r="B19" s="32" t="n">
        <x:v>2000</x:v>
      </x:c>
      <x:c r="C19" s="23" t="str">
        <x:v>m3/h</x:v>
      </x:c>
      <x:c r="D19" s="23" t="str">
        <x:v>Usable output</x:v>
      </x:c>
    </x:row>
    <x:row r="20">
      <x:c r="A20" s="23" t="str">
        <x:v>Treatment-train rating</x:v>
      </x:c>
      <x:c r="B20" s="32" t="n">
        <x:v>500</x:v>
      </x:c>
      <x:c r="C20" s="23" t="str">
        <x:v>m3/h</x:v>
      </x:c>
      <x:c r="D20" s="23" t="str">
        <x:v>Usable output screen</x:v>
      </x:c>
    </x:row>
    <x:row r="21">
      <x:c r="A21" s="23" t="str">
        <x:v>Treatment trains per set</x:v>
      </x:c>
      <x:c r="B21" s="32" t="n">
        <x:v>6</x:v>
      </x:c>
      <x:c r="C21" s="23" t="str">
        <x:v>trains</x:v>
      </x:c>
      <x:c r="D21" s="23" t="str">
        <x:v>One-train residual test</x:v>
      </x:c>
    </x:row>
    <x:row r="22">
      <x:c r="A22" s="23" t="str">
        <x:v>Intake-path rating</x:v>
      </x:c>
      <x:c r="B22" s="32" t="n">
        <x:v>1000</x:v>
      </x:c>
      <x:c r="C22" s="23" t="str">
        <x:v>m3/h</x:v>
      </x:c>
      <x:c r="D22" s="23" t="str">
        <x:v>Per path</x:v>
      </x:c>
    </x:row>
    <x:row r="23">
      <x:c r="A23" s="23" t="str">
        <x:v>Intake paths per set</x:v>
      </x:c>
      <x:c r="B23" s="32" t="n">
        <x:v>3</x:v>
      </x:c>
      <x:c r="C23" s="23" t="str">
        <x:v>paths</x:v>
      </x:c>
      <x:c r="D23" s="23" t="str">
        <x:v>One-path residual test</x:v>
      </x:c>
    </x:row>
    <x:row r="24">
      <x:c r="A24" s="23" t="str">
        <x:v>Energy-island continuous rating</x:v>
      </x:c>
      <x:c r="B24" s="32" t="n">
        <x:v>5</x:v>
      </x:c>
      <x:c r="C24" s="23" t="str">
        <x:v>MW</x:v>
      </x:c>
      <x:c r="D24" s="23" t="str">
        <x:v>Per island</x:v>
      </x:c>
    </x:row>
    <x:row r="25">
      <x:c r="A25" s="23" t="str">
        <x:v>Energy-island peak rating</x:v>
      </x:c>
      <x:c r="B25" s="32" t="n">
        <x:v>7</x:v>
      </x:c>
      <x:c r="C25" s="23" t="str">
        <x:v>MW</x:v>
      </x:c>
      <x:c r="D25" s="23" t="str">
        <x:v>Per island</x:v>
      </x:c>
    </x:row>
    <x:row r="26">
      <x:c r="A26" s="23" t="str">
        <x:v>Energy islands per set</x:v>
      </x:c>
      <x:c r="B26" s="32" t="n">
        <x:v>6</x:v>
      </x:c>
      <x:c r="C26" s="23" t="str">
        <x:v>islands</x:v>
      </x:c>
      <x:c r="D26" s="23" t="str">
        <x:v>One-island residual test</x:v>
      </x:c>
    </x:row>
    <x:row r="27">
      <x:c r="A27" s="23" t="str">
        <x:v>Continuous power requirement</x:v>
      </x:c>
      <x:c r="B27" s="32" t="n">
        <x:v>20</x:v>
      </x:c>
      <x:c r="C27" s="23" t="str">
        <x:v>MW</x:v>
      </x:c>
      <x:c r="D27" s="23" t="str">
        <x:v>Mission floor</x:v>
      </x:c>
    </x:row>
    <x:row r="28">
      <x:c r="A28" s="23" t="str">
        <x:v>Peak power requirement</x:v>
      </x:c>
      <x:c r="B28" s="32" t="n">
        <x:v>35</x:v>
      </x:c>
      <x:c r="C28" s="23" t="str">
        <x:v>MW</x:v>
      </x:c>
      <x:c r="D28" s="23" t="str">
        <x:v>Mission floor</x:v>
      </x:c>
    </x:row>
    <x:row r="29">
      <x:c r="A29" s="23" t="str">
        <x:v>Recovery requirement</x:v>
      </x:c>
      <x:c r="B29" s="32" t="n">
        <x:v>5.5</x:v>
      </x:c>
      <x:c r="C29" s="23" t="str">
        <x:v>m3/s</x:v>
      </x:c>
      <x:c r="D29" s="23" t="str">
        <x:v>Mixed-liquid arrival</x:v>
      </x:c>
    </x:row>
    <x:row r="30">
      <x:c r="A30" s="23" t="str">
        <x:v>Recovery-train rating</x:v>
      </x:c>
      <x:c r="B30" s="32" t="n">
        <x:v>1.85</x:v>
      </x:c>
      <x:c r="C30" s="23" t="str">
        <x:v>m3/s</x:v>
      </x:c>
      <x:c r="D30" s="23" t="str">
        <x:v>Per train</x:v>
      </x:c>
    </x:row>
    <x:row r="31">
      <x:c r="A31" s="23" t="str">
        <x:v>Recovery trains per set</x:v>
      </x:c>
      <x:c r="B31" s="32" t="n">
        <x:v>4</x:v>
      </x:c>
      <x:c r="C31" s="23" t="str">
        <x:v>trains</x:v>
      </x:c>
      <x:c r="D31" s="23" t="str">
        <x:v>One-train residual test</x:v>
      </x:c>
    </x:row>
    <x:row r="32">
      <x:c r="A32" s="23" t="str">
        <x:v>Ready-storage cell volume</x:v>
      </x:c>
      <x:c r="B32" s="32" t="n">
        <x:v>100</x:v>
      </x:c>
      <x:c r="C32" s="23" t="str">
        <x:v>m3</x:v>
      </x:c>
      <x:c r="D32" s="23" t="str">
        <x:v>Per cell</x:v>
      </x:c>
    </x:row>
    <x:row r="33">
      <x:c r="A33" s="23" t="str">
        <x:v>Ready-storage cells per set</x:v>
      </x:c>
      <x:c r="B33" s="32" t="n">
        <x:v>15</x:v>
      </x:c>
      <x:c r="C33" s="23" t="str">
        <x:v>cells</x:v>
      </x:c>
      <x:c r="D33" s="23" t="str">
        <x:v>Three-cell residual test</x:v>
      </x:c>
    </x:row>
    <x:row r="34">
      <x:c r="A34" s="23" t="str">
        <x:v>Ready-storage requirement</x:v>
      </x:c>
      <x:c r="B34" s="32" t="n">
        <x:v>1200</x:v>
      </x:c>
      <x:c r="C34" s="23" t="str">
        <x:v>m3</x:v>
      </x:c>
      <x:c r="D34" s="23" t="str">
        <x:v>Measured usable water</x:v>
      </x:c>
    </x:row>
    <x:row r="35">
      <x:c r="A35" s="23" t="str">
        <x:v>Surge cell volume</x:v>
      </x:c>
      <x:c r="B35" s="32" t="n">
        <x:v>100</x:v>
      </x:c>
      <x:c r="C35" s="23" t="str">
        <x:v>m3</x:v>
      </x:c>
      <x:c r="D35" s="23" t="str">
        <x:v>Per cell</x:v>
      </x:c>
    </x:row>
    <x:row r="36">
      <x:c r="A36" s="23" t="str">
        <x:v>Surge cells per set</x:v>
      </x:c>
      <x:c r="B36" s="32" t="n">
        <x:v>36</x:v>
      </x:c>
      <x:c r="C36" s="23" t="str">
        <x:v>cells</x:v>
      </x:c>
      <x:c r="D36" s="23" t="str">
        <x:v>Six zones of six cells</x:v>
      </x:c>
    </x:row>
    <x:row r="37">
      <x:c r="A37" s="23" t="str">
        <x:v>Surge zones</x:v>
      </x:c>
      <x:c r="B37" s="32" t="n">
        <x:v>6</x:v>
      </x:c>
      <x:c r="C37" s="23" t="str">
        <x:v>zones</x:v>
      </x:c>
      <x:c r="D37" s="23" t="str">
        <x:v>One-zone quarantine</x:v>
      </x:c>
    </x:row>
    <x:row r="38">
      <x:c r="A38" s="23" t="str">
        <x:v>Surge requirement</x:v>
      </x:c>
      <x:c r="B38" s="32" t="n">
        <x:v>3000</x:v>
      </x:c>
      <x:c r="C38" s="23" t="str">
        <x:v>m3</x:v>
      </x:c>
      <x:c r="D38" s="23" t="str">
        <x:v>After quarantine</x:v>
      </x:c>
    </x:row>
    <x:row r="39">
      <x:c r="A39" s="23" t="str">
        <x:v>Required active intervention cells</x:v>
      </x:c>
      <x:c r="B39" s="32" t="n">
        <x:v>12</x:v>
      </x:c>
      <x:c r="C39" s="23" t="str">
        <x:v>cells</x:v>
      </x:c>
      <x:c r="D39" s="23" t="str">
        <x:v>Simultaneous mission service</x:v>
      </x:c>
    </x:row>
    <x:row r="40">
      <x:c r="A40" s="23" t="str">
        <x:v>Set crew</x:v>
      </x:c>
      <x:c r="B40" s="32" t="n">
        <x:v>1440</x:v>
      </x:c>
      <x:c r="C40" s="23" t="str">
        <x:v>positions</x:v>
      </x:c>
      <x:c r="D40" s="23" t="str">
        <x:v>Four watches plus peak/day functions</x:v>
      </x:c>
    </x:row>
    <x:row r="41">
      <x:c r="A41" s="23" t="str">
        <x:v>Group common workforce</x:v>
      </x:c>
      <x:c r="B41" s="32" t="n">
        <x:v>2700</x:v>
      </x:c>
      <x:c r="C41" s="23" t="str">
        <x:v>positions</x:v>
      </x:c>
      <x:c r="D41" s="23" t="str">
        <x:v>Command, arsenals, training, evaluation and rights</x:v>
      </x:c>
    </x:row>
    <x:row r="42">
      <x:c r="A42" s="23" t="str">
        <x:v>Retained reference estate</x:v>
      </x:c>
      <x:c r="B42" s="32" t="n">
        <x:v>7350</x:v>
      </x:c>
      <x:c r="C42" s="23" t="str">
        <x:v>positions</x:v>
      </x:c>
      <x:c r="D42" s="23" t="str">
        <x:v>AM-06 reference and closure</x:v>
      </x:c>
    </x:row>
    <x:row r="43">
      <x:c r="A43" s="23" t="str">
        <x:v>Trailing RBS-1 workforce</x:v>
      </x:c>
      <x:c r="B43" s="32" t="n">
        <x:v>12000</x:v>
      </x:c>
      <x:c r="C43" s="23" t="str">
        <x:v>positions</x:v>
      </x:c>
      <x:c r="D43" s="23" t="str">
        <x:v>Peak overlap only</x:v>
      </x:c>
    </x:row>
    <x:row r="44">
      <x:c r="A44" s="23" t="str">
        <x:v>RBT-1 execution workforce</x:v>
      </x:c>
      <x:c r="B44" s="32" t="n">
        <x:v>10500</x:v>
      </x:c>
      <x:c r="C44" s="23" t="str">
        <x:v>positions</x:v>
      </x:c>
      <x:c r="D44" s="23" t="str">
        <x:v>Public execution</x:v>
      </x:c>
    </x:row>
    <x:row r="45">
      <x:c r="A45" s="23" t="str">
        <x:v>RBT-1 capital</x:v>
      </x:c>
      <x:c r="B45" s="32" t="n">
        <x:v>175000</x:v>
      </x:c>
      <x:c r="C45" s="23" t="str">
        <x:v>USD M</x:v>
      </x:c>
      <x:c r="D45" s="23" t="str">
        <x:v>Production-equivalent program</x:v>
      </x:c>
    </x:row>
    <x:row r="46">
      <x:c r="A46" s="23" t="str">
        <x:v>RBT-1 annual support</x:v>
      </x:c>
      <x:c r="B46" s="32" t="n">
        <x:v>9500</x:v>
      </x:c>
      <x:c r="C46" s="23" t="str">
        <x:v>USD M/year</x:v>
      </x:c>
      <x:c r="D46" s="23" t="str">
        <x:v>Peak execution</x:v>
      </x:c>
    </x:row>
    <x:row r="47">
      <x:c r="A47" s="23" t="str">
        <x:v>RBT-1 technology</x:v>
      </x:c>
      <x:c r="B47" s="32" t="n">
        <x:v>20000</x:v>
      </x:c>
      <x:c r="C47" s="23" t="str">
        <x:v>USD M</x:v>
      </x:c>
      <x:c r="D47" s="23" t="str">
        <x:v>Mission-led portfolio</x:v>
      </x:c>
    </x:row>
    <x:row r="48">
      <x:c r="A48" s="23" t="str">
        <x:v>Prior primary calendar use</x:v>
      </x:c>
      <x:c r="B48" s="32" t="n">
        <x:v>1314</x:v>
      </x:c>
      <x:c r="C48" s="23" t="str">
        <x:v>weeks</x:v>
      </x:c>
      <x:c r="D48" s="23" t="str">
        <x:v>Through RBS-1</x:v>
      </x:c>
    </x:row>
    <x:row r="49">
      <x:c r="A49" s="23" t="str">
        <x:v>Prior maximum calendar use</x:v>
      </x:c>
      <x:c r="B49" s="32" t="n">
        <x:v>1374</x:v>
      </x:c>
      <x:c r="C49" s="23" t="str">
        <x:v>weeks</x:v>
      </x:c>
      <x:c r="D49" s="23" t="str">
        <x:v>Through RBS-1</x:v>
      </x:c>
    </x:row>
    <x:row r="50">
      <x:c r="A50" s="23" t="str">
        <x:v>Prior capital use</x:v>
      </x:c>
      <x:c r="B50" s="32" t="n">
        <x:v>58680</x:v>
      </x:c>
      <x:c r="C50" s="23" t="str">
        <x:v>USD M</x:v>
      </x:c>
      <x:c r="D50" s="23" t="str">
        <x:v>Through RBS-1</x:v>
      </x:c>
    </x:row>
    <x:row r="51">
      <x:c r="A51" s="23" t="str">
        <x:v>Prior technology use</x:v>
      </x:c>
      <x:c r="B51" s="32" t="n">
        <x:v>23235</x:v>
      </x:c>
      <x:c r="C51" s="23" t="str">
        <x:v>USD M</x:v>
      </x:c>
      <x:c r="D51" s="23" t="str">
        <x:v>Through RBS-1</x:v>
      </x:c>
    </x:row>
    <x:row r="52">
      <x:c r="A52" s="23" t="str">
        <x:v>Reference annual support</x:v>
      </x:c>
      <x:c r="B52" s="32" t="n">
        <x:v>1470</x:v>
      </x:c>
      <x:c r="C52" s="23" t="str">
        <x:v>USD M/year</x:v>
      </x:c>
      <x:c r="D52" s="23" t="str">
        <x:v>Retained estate</x:v>
      </x:c>
    </x:row>
    <x:row r="53">
      <x:c r="A53" s="23" t="str">
        <x:v>Trailing RBS-1 annual support</x:v>
      </x:c>
      <x:c r="B53" s="32" t="n">
        <x:v>4200</x:v>
      </x:c>
      <x:c r="C53" s="23" t="str">
        <x:v>USD M/year</x:v>
      </x:c>
      <x:c r="D53" s="23" t="str">
        <x:v>Peak overlap</x:v>
      </x:c>
    </x:row>
    <x:row r="54">
      <x:c r="A54" s="23" t="str">
        <x:v>Parent calendar</x:v>
      </x:c>
      <x:c r="B54" s="32" t="n">
        <x:v>1900</x:v>
      </x:c>
      <x:c r="C54" s="23" t="str">
        <x:v>weeks</x:v>
      </x:c>
      <x:c r="D54" s="23" t="str">
        <x:v>RAS-3R10</x:v>
      </x:c>
    </x:row>
    <x:row r="55">
      <x:c r="A55" s="23" t="str">
        <x:v>Parent positions</x:v>
      </x:c>
      <x:c r="B55" s="32" t="n">
        <x:v>32000</x:v>
      </x:c>
      <x:c r="C55" s="23" t="str">
        <x:v>positions</x:v>
      </x:c>
      <x:c r="D55" s="23" t="str">
        <x:v>RAS-3R10</x:v>
      </x:c>
    </x:row>
    <x:row r="56">
      <x:c r="A56" s="23" t="str">
        <x:v>Parent capital</x:v>
      </x:c>
      <x:c r="B56" s="32" t="n">
        <x:v>275000</x:v>
      </x:c>
      <x:c r="C56" s="23" t="str">
        <x:v>USD M</x:v>
      </x:c>
      <x:c r="D56" s="23" t="str">
        <x:v>RAS-3R10</x:v>
      </x:c>
    </x:row>
    <x:row r="57">
      <x:c r="A57" s="23" t="str">
        <x:v>Parent annual support</x:v>
      </x:c>
      <x:c r="B57" s="32" t="n">
        <x:v>18000</x:v>
      </x:c>
      <x:c r="C57" s="23" t="str">
        <x:v>USD M/year</x:v>
      </x:c>
      <x:c r="D57" s="23" t="str">
        <x:v>RAS-3R10</x:v>
      </x:c>
    </x:row>
    <x:row r="58">
      <x:c r="A58" s="23" t="str">
        <x:v>Parent technology</x:v>
      </x:c>
      <x:c r="B58" s="32" t="n">
        <x:v>60000</x:v>
      </x:c>
      <x:c r="C58" s="23" t="str">
        <x:v>USD M</x:v>
      </x:c>
      <x:c r="D58" s="23" t="str">
        <x:v>RAS-3R10</x:v>
      </x:c>
    </x:row>
    <x:row r="59">
      <x:c r="A59" s="23" t="str">
        <x:v>Full issue rate</x:v>
      </x:c>
      <x:c r="B59" s="32" t="n">
        <x:v>1728</x:v>
      </x:c>
      <x:c r="C59" s="23" t="str">
        <x:v>m3/h</x:v>
      </x:c>
      <x:c r="D59" s="23" t="str">
        <x:v>Twelve-cell registered screen</x:v>
      </x:c>
    </x:row>
    <x:row r="60">
      <x:c r="A60" s="23" t="str">
        <x:v>Trial issue factor</x:v>
      </x:c>
      <x:c r="B60" s="32" t="n">
        <x:v>0.25</x:v>
      </x:c>
      <x:c r="C60" s="23" t="str">
        <x:v>fraction</x:v>
      </x:c>
      <x:c r="D60" s="23" t="str">
        <x:v>Provisioning assumption</x:v>
      </x:c>
    </x:row>
    <x:row r="61">
      <x:c r="A61" s="23" t="str">
        <x:v>Prime-mover unit cost</x:v>
      </x:c>
      <x:c r="B61" s="32" t="n">
        <x:v>2.5</x:v>
      </x:c>
      <x:c r="C61" s="23" t="str">
        <x:v>USD M</x:v>
      </x:c>
      <x:c r="D61" s="23" t="str">
        <x:v>Planning hypothesis</x:v>
      </x:c>
    </x:row>
    <x:row r="62">
      <x:c r="A62" s="23" t="str">
        <x:v>Load-frame unit cost</x:v>
      </x:c>
      <x:c r="B62" s="32" t="n">
        <x:v>0.8</x:v>
      </x:c>
      <x:c r="C62" s="23" t="str">
        <x:v>USD M</x:v>
      </x:c>
      <x:c r="D62" s="23" t="str">
        <x:v>Planning hypothesis</x:v>
      </x:c>
    </x:row>
    <x:row r="63">
      <x:c r="A63" s="23" t="str">
        <x:v>Arsenal sites</x:v>
      </x:c>
      <x:c r="B63" s="32" t="n">
        <x:v>3</x:v>
      </x:c>
      <x:c r="C63" s="23" t="str">
        <x:v>sites</x:v>
      </x:c>
      <x:c r="D63" s="23" t="str">
        <x:v>Regionally separated</x:v>
      </x:c>
    </x:row>
    <x:row r="64">
      <x:c r="A64" s="23" t="str">
        <x:v>Regeneration bays per arsenal</x:v>
      </x:c>
      <x:c r="B64" s="32" t="n">
        <x:v>3</x:v>
      </x:c>
      <x:c r="C64" s="23" t="str">
        <x:v>bays</x:v>
      </x:c>
      <x:c r="D64" s="23" t="str">
        <x:v>Complete-set bays</x:v>
      </x:c>
    </x:row>
    <x:row r="65">
      <x:c r="A65" s="24" t="str">
        <x:v>Program integration capacity</x:v>
      </x:c>
      <x:c r="B65" s="33" t="n">
        <x:v>171.6</x:v>
      </x:c>
      <x:c r="C65" s="24" t="str">
        <x:v>USD M</x:v>
      </x:c>
      <x:c r="D65" s="24" t="str">
        <x:v>Explicit capital capacity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36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20" hidden="0" customWidth="1"/>
    <x:col min="8" max="8" width="19" hidden="0" customWidth="1"/>
    <x:col min="9" max="9" width="12" hidden="0" customWidth="1"/>
    <x:col min="10" max="10" width="25" hidden="0" customWidth="1"/>
  </x:cols>
  <x:sheetData>
    <x:row r="2" ht="24" customHeight="1">
      <x:c r="A2" s="2" t="str">
        <x:v>Production-equivalent set bill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0" customHeight="1">
      <x:c r="A3" s="3" t="str">
        <x:v>Mass and cost are registered hypotheses. Calculated totals trace quantity to one complete set.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5" ht="28" customHeight="1">
      <x:c r="A5" s="15" t="str">
        <x:v>ID</x:v>
      </x:c>
      <x:c r="B5" s="16" t="str">
        <x:v>Set article</x:v>
      </x:c>
      <x:c r="C5" s="16" t="str">
        <x:v>Quantity</x:v>
      </x:c>
      <x:c r="D5" s="16" t="str">
        <x:v>Unit mass t</x:v>
      </x:c>
      <x:c r="E5" s="16" t="str">
        <x:v>Set mass t</x:v>
      </x:c>
      <x:c r="F5" s="16" t="str">
        <x:v>Load positions</x:v>
      </x:c>
      <x:c r="G5" s="16" t="str">
        <x:v>Unit cost USD M</x:v>
      </x:c>
      <x:c r="H5" s="16" t="str">
        <x:v>Set cost USD M</x:v>
      </x:c>
      <x:c r="I5" s="16" t="str">
        <x:v>Echelon</x:v>
      </x:c>
      <x:c r="J5" s="17" t="str">
        <x:v>Class</x:v>
      </x:c>
    </x:row>
    <x:row r="6">
      <x:c r="A6" s="22" t="str">
        <x:v>EFF-16</x:v>
      </x:c>
      <x:c r="B6" s="22" t="str">
        <x:v>Intervention cells</x:v>
      </x:c>
      <x:c r="C6" s="37" t="n">
        <x:v>16</x:v>
      </x:c>
      <x:c r="D6" s="40" t="n">
        <x:v>42</x:v>
      </x:c>
      <x:c r="E6" s="40" t="n">
        <x:f>C6*D6</x:f>
        <x:v>672</x:v>
      </x:c>
      <x:c r="F6" s="37" t="n">
        <x:v>28</x:v>
      </x:c>
      <x:c r="G6" s="45" t="n">
        <x:v>120</x:v>
      </x:c>
      <x:c r="H6" s="45" t="n">
        <x:f>C6*G6</x:f>
        <x:v>1920</x:v>
      </x:c>
      <x:c r="I6" s="22" t="str">
        <x:v>E1</x:v>
      </x:c>
      <x:c r="J6" s="22" t="str">
        <x:v>Manufactured hardware</x:v>
      </x:c>
    </x:row>
    <x:row r="7">
      <x:c r="A7" s="23" t="str">
        <x:v>WPT-500</x:v>
      </x:c>
      <x:c r="B7" s="23" t="str">
        <x:v>Treatment trains</x:v>
      </x:c>
      <x:c r="C7" s="38" t="n">
        <x:v>6</x:v>
      </x:c>
      <x:c r="D7" s="41" t="n">
        <x:v>85</x:v>
      </x:c>
      <x:c r="E7" s="41" t="n">
        <x:f>C7*D7</x:f>
        <x:v>510</x:v>
      </x:c>
      <x:c r="F7" s="38" t="n">
        <x:v>22</x:v>
      </x:c>
      <x:c r="G7" s="46" t="n">
        <x:v>180</x:v>
      </x:c>
      <x:c r="H7" s="46" t="n">
        <x:f>C7*G7</x:f>
        <x:v>1080</x:v>
      </x:c>
      <x:c r="I7" s="23" t="str">
        <x:v>E2</x:v>
      </x:c>
      <x:c r="J7" s="23" t="str">
        <x:v>Manufactured hardware</x:v>
      </x:c>
    </x:row>
    <x:row r="8">
      <x:c r="A8" s="23" t="str">
        <x:v>RAW-1000</x:v>
      </x:c>
      <x:c r="B8" s="23" t="str">
        <x:v>Raw-water intake paths</x:v>
      </x:c>
      <x:c r="C8" s="38" t="n">
        <x:v>3</x:v>
      </x:c>
      <x:c r="D8" s="41" t="n">
        <x:v>48</x:v>
      </x:c>
      <x:c r="E8" s="41" t="n">
        <x:f>C8*D8</x:f>
        <x:v>144</x:v>
      </x:c>
      <x:c r="F8" s="38" t="n">
        <x:v>7</x:v>
      </x:c>
      <x:c r="G8" s="46" t="n">
        <x:v>60</x:v>
      </x:c>
      <x:c r="H8" s="46" t="n">
        <x:f>C8*G8</x:f>
        <x:v>180</x:v>
      </x:c>
      <x:c r="I8" s="23" t="str">
        <x:v>E1</x:v>
      </x:c>
      <x:c r="J8" s="23" t="str">
        <x:v>Manufactured hardware</x:v>
      </x:c>
    </x:row>
    <x:row r="9">
      <x:c r="A9" s="23" t="str">
        <x:v>RTL-100</x:v>
      </x:c>
      <x:c r="B9" s="23" t="str">
        <x:v>100 m trunkline sections</x:v>
      </x:c>
      <x:c r="C9" s="38" t="n">
        <x:v>120</x:v>
      </x:c>
      <x:c r="D9" s="41" t="n">
        <x:v>5.5</x:v>
      </x:c>
      <x:c r="E9" s="41" t="n">
        <x:f>C9*D9</x:f>
        <x:v>660</x:v>
      </x:c>
      <x:c r="F9" s="38" t="n">
        <x:v>28</x:v>
      </x:c>
      <x:c r="G9" s="46" t="n">
        <x:v>1.5</x:v>
      </x:c>
      <x:c r="H9" s="46" t="n">
        <x:f>C9*G9</x:f>
        <x:v>180</x:v>
      </x:c>
      <x:c r="I9" s="23" t="str">
        <x:v>E2</x:v>
      </x:c>
      <x:c r="J9" s="23" t="str">
        <x:v>Manufactured hardware</x:v>
      </x:c>
    </x:row>
    <x:row r="10">
      <x:c r="A10" s="23" t="str">
        <x:v>RTR-12</x:v>
      </x:c>
      <x:c r="B10" s="23" t="str">
        <x:v>Route and repair robots</x:v>
      </x:c>
      <x:c r="C10" s="38" t="n">
        <x:v>24</x:v>
      </x:c>
      <x:c r="D10" s="41" t="n">
        <x:v>12</x:v>
      </x:c>
      <x:c r="E10" s="41" t="n">
        <x:f>C10*D10</x:f>
        <x:v>288</x:v>
      </x:c>
      <x:c r="F10" s="38" t="n">
        <x:v>12</x:v>
      </x:c>
      <x:c r="G10" s="46" t="n">
        <x:v>12</x:v>
      </x:c>
      <x:c r="H10" s="46" t="n">
        <x:f>C10*G10</x:f>
        <x:v>288</x:v>
      </x:c>
      <x:c r="I10" s="23" t="str">
        <x:v>E2</x:v>
      </x:c>
      <x:c r="J10" s="23" t="str">
        <x:v>Manufactured hardware</x:v>
      </x:c>
    </x:row>
    <x:row r="11">
      <x:c r="A11" s="23" t="str">
        <x:v>BUF-100</x:v>
      </x:c>
      <x:c r="B11" s="23" t="str">
        <x:v>Ready-storage cells</x:v>
      </x:c>
      <x:c r="C11" s="38" t="n">
        <x:v>15</x:v>
      </x:c>
      <x:c r="D11" s="41" t="n">
        <x:v>6</x:v>
      </x:c>
      <x:c r="E11" s="41" t="n">
        <x:f>C11*D11</x:f>
        <x:v>90</x:v>
      </x:c>
      <x:c r="F11" s="38" t="n">
        <x:v>6</x:v>
      </x:c>
      <x:c r="G11" s="46" t="n">
        <x:v>5</x:v>
      </x:c>
      <x:c r="H11" s="46" t="n">
        <x:f>C11*G11</x:f>
        <x:v>75</x:v>
      </x:c>
      <x:c r="I11" s="23" t="str">
        <x:v>E2</x:v>
      </x:c>
      <x:c r="J11" s="23" t="str">
        <x:v>Manufactured hardware</x:v>
      </x:c>
    </x:row>
    <x:row r="12">
      <x:c r="A12" s="23" t="str">
        <x:v>REC-185</x:v>
      </x:c>
      <x:c r="B12" s="23" t="str">
        <x:v>Recovery trains</x:v>
      </x:c>
      <x:c r="C12" s="38" t="n">
        <x:v>4</x:v>
      </x:c>
      <x:c r="D12" s="41" t="n">
        <x:v>75</x:v>
      </x:c>
      <x:c r="E12" s="41" t="n">
        <x:f>C12*D12</x:f>
        <x:v>300</x:v>
      </x:c>
      <x:c r="F12" s="38" t="n">
        <x:v>13</x:v>
      </x:c>
      <x:c r="G12" s="46" t="n">
        <x:v>120</x:v>
      </x:c>
      <x:c r="H12" s="46" t="n">
        <x:f>C12*G12</x:f>
        <x:v>480</x:v>
      </x:c>
      <x:c r="I12" s="23" t="str">
        <x:v>E2</x:v>
      </x:c>
      <x:c r="J12" s="23" t="str">
        <x:v>Manufactured hardware</x:v>
      </x:c>
    </x:row>
    <x:row r="13">
      <x:c r="A13" s="23" t="str">
        <x:v>SUR-100</x:v>
      </x:c>
      <x:c r="B13" s="23" t="str">
        <x:v>Surge-custody cells</x:v>
      </x:c>
      <x:c r="C13" s="38" t="n">
        <x:v>36</x:v>
      </x:c>
      <x:c r="D13" s="41" t="n">
        <x:v>9</x:v>
      </x:c>
      <x:c r="E13" s="41" t="n">
        <x:f>C13*D13</x:f>
        <x:v>324</x:v>
      </x:c>
      <x:c r="F13" s="38" t="n">
        <x:v>15</x:v>
      </x:c>
      <x:c r="G13" s="46" t="n">
        <x:v>4</x:v>
      </x:c>
      <x:c r="H13" s="46" t="n">
        <x:f>C13*G13</x:f>
        <x:v>144</x:v>
      </x:c>
      <x:c r="I13" s="23" t="str">
        <x:v>E2</x:v>
      </x:c>
      <x:c r="J13" s="23" t="str">
        <x:v>Manufactured hardware</x:v>
      </x:c>
    </x:row>
    <x:row r="14">
      <x:c r="A14" s="23" t="str">
        <x:v>ENG-5/7</x:v>
      </x:c>
      <x:c r="B14" s="23" t="str">
        <x:v>Energy islands</x:v>
      </x:c>
      <x:c r="C14" s="38" t="n">
        <x:v>6</x:v>
      </x:c>
      <x:c r="D14" s="41" t="n">
        <x:v>110</x:v>
      </x:c>
      <x:c r="E14" s="41" t="n">
        <x:f>C14*D14</x:f>
        <x:v>660</x:v>
      </x:c>
      <x:c r="F14" s="38" t="n">
        <x:v>28</x:v>
      </x:c>
      <x:c r="G14" s="46" t="n">
        <x:v>180</x:v>
      </x:c>
      <x:c r="H14" s="46" t="n">
        <x:f>C14*G14</x:f>
        <x:v>1080</x:v>
      </x:c>
      <x:c r="I14" s="23" t="str">
        <x:v>E1</x:v>
      </x:c>
      <x:c r="J14" s="23" t="str">
        <x:v>Manufactured hardware</x:v>
      </x:c>
    </x:row>
    <x:row r="15">
      <x:c r="A15" s="23" t="str">
        <x:v>PWR-20</x:v>
      </x:c>
      <x:c r="B15" s="23" t="str">
        <x:v>Field distribution units</x:v>
      </x:c>
      <x:c r="C15" s="38" t="n">
        <x:v>20</x:v>
      </x:c>
      <x:c r="D15" s="41" t="n">
        <x:v>18</x:v>
      </x:c>
      <x:c r="E15" s="41" t="n">
        <x:f>C15*D15</x:f>
        <x:v>360</x:v>
      </x:c>
      <x:c r="F15" s="38" t="n">
        <x:v>15</x:v>
      </x:c>
      <x:c r="G15" s="46" t="n">
        <x:v>20</x:v>
      </x:c>
      <x:c r="H15" s="46" t="n">
        <x:f>C15*G15</x:f>
        <x:v>400</x:v>
      </x:c>
      <x:c r="I15" s="23" t="str">
        <x:v>E1</x:v>
      </x:c>
      <x:c r="J15" s="23" t="str">
        <x:v>Manufactured hardware</x:v>
      </x:c>
    </x:row>
    <x:row r="16">
      <x:c r="A16" s="23" t="str">
        <x:v>LCN-12</x:v>
      </x:c>
      <x:c r="B16" s="23" t="str">
        <x:v>Local command nodes</x:v>
      </x:c>
      <x:c r="C16" s="38" t="n">
        <x:v>12</x:v>
      </x:c>
      <x:c r="D16" s="41" t="n">
        <x:v>12</x:v>
      </x:c>
      <x:c r="E16" s="41" t="n">
        <x:f>C16*D16</x:f>
        <x:v>144</x:v>
      </x:c>
      <x:c r="F16" s="38" t="n">
        <x:v>7</x:v>
      </x:c>
      <x:c r="G16" s="46" t="n">
        <x:v>8</x:v>
      </x:c>
      <x:c r="H16" s="46" t="n">
        <x:f>C16*G16</x:f>
        <x:v>96</x:v>
      </x:c>
      <x:c r="I16" s="23" t="str">
        <x:v>E0</x:v>
      </x:c>
      <x:c r="J16" s="23" t="str">
        <x:v>Manufactured hardware</x:v>
      </x:c>
    </x:row>
    <x:row r="17">
      <x:c r="A17" s="23" t="str">
        <x:v>SCN-2</x:v>
      </x:c>
      <x:c r="B17" s="23" t="str">
        <x:v>Set coordination nodes</x:v>
      </x:c>
      <x:c r="C17" s="38" t="n">
        <x:v>2</x:v>
      </x:c>
      <x:c r="D17" s="41" t="n">
        <x:v>35</x:v>
      </x:c>
      <x:c r="E17" s="41" t="n">
        <x:f>C17*D17</x:f>
        <x:v>70</x:v>
      </x:c>
      <x:c r="F17" s="38" t="n">
        <x:v>4</x:v>
      </x:c>
      <x:c r="G17" s="46" t="n">
        <x:v>60</x:v>
      </x:c>
      <x:c r="H17" s="46" t="n">
        <x:f>C17*G17</x:f>
        <x:v>120</x:v>
      </x:c>
      <x:c r="I17" s="23" t="str">
        <x:v>E0</x:v>
      </x:c>
      <x:c r="J17" s="23" t="str">
        <x:v>Manufactured hardware</x:v>
      </x:c>
    </x:row>
    <x:row r="18">
      <x:c r="A18" s="23" t="str">
        <x:v>RES-6</x:v>
      </x:c>
      <x:c r="B18" s="23" t="str">
        <x:v>Rescue and medical cells</x:v>
      </x:c>
      <x:c r="C18" s="38" t="n">
        <x:v>6</x:v>
      </x:c>
      <x:c r="D18" s="41" t="n">
        <x:v>30</x:v>
      </x:c>
      <x:c r="E18" s="41" t="n">
        <x:f>C18*D18</x:f>
        <x:v>180</x:v>
      </x:c>
      <x:c r="F18" s="38" t="n">
        <x:v>8</x:v>
      </x:c>
      <x:c r="G18" s="46" t="n">
        <x:v>40</x:v>
      </x:c>
      <x:c r="H18" s="46" t="n">
        <x:f>C18*G18</x:f>
        <x:v>240</x:v>
      </x:c>
      <x:c r="I18" s="23" t="str">
        <x:v>E0</x:v>
      </x:c>
      <x:c r="J18" s="23" t="str">
        <x:v>Manufactured hardware</x:v>
      </x:c>
    </x:row>
    <x:row r="19">
      <x:c r="A19" s="23" t="str">
        <x:v>REP-6</x:v>
      </x:c>
      <x:c r="B19" s="23" t="str">
        <x:v>Field repair shops</x:v>
      </x:c>
      <x:c r="C19" s="38" t="n">
        <x:v>6</x:v>
      </x:c>
      <x:c r="D19" s="41" t="n">
        <x:v>45</x:v>
      </x:c>
      <x:c r="E19" s="41" t="n">
        <x:f>C19*D19</x:f>
        <x:v>270</x:v>
      </x:c>
      <x:c r="F19" s="38" t="n">
        <x:v>12</x:v>
      </x:c>
      <x:c r="G19" s="46" t="n">
        <x:v>50</x:v>
      </x:c>
      <x:c r="H19" s="46" t="n">
        <x:f>C19*G19</x:f>
        <x:v>300</x:v>
      </x:c>
      <x:c r="I19" s="23" t="str">
        <x:v>E3</x:v>
      </x:c>
      <x:c r="J19" s="23" t="str">
        <x:v>Manufactured hardware</x:v>
      </x:c>
    </x:row>
    <x:row r="20">
      <x:c r="A20" s="23" t="str">
        <x:v>SPR-24</x:v>
      </x:c>
      <x:c r="B20" s="23" t="str">
        <x:v>Serialized repair packs</x:v>
      </x:c>
      <x:c r="C20" s="38" t="n">
        <x:v>24</x:v>
      </x:c>
      <x:c r="D20" s="41" t="n">
        <x:v>15</x:v>
      </x:c>
      <x:c r="E20" s="41" t="n">
        <x:f>C20*D20</x:f>
        <x:v>360</x:v>
      </x:c>
      <x:c r="F20" s="38" t="n">
        <x:v>16</x:v>
      </x:c>
      <x:c r="G20" s="46" t="n">
        <x:v>20</x:v>
      </x:c>
      <x:c r="H20" s="46" t="n">
        <x:f>C20*G20</x:f>
        <x:v>480</x:v>
      </x:c>
      <x:c r="I20" s="23" t="str">
        <x:v>E3</x:v>
      </x:c>
      <x:c r="J20" s="23" t="str">
        <x:v>Manufactured hardware</x:v>
      </x:c>
    </x:row>
    <x:row r="21">
      <x:c r="A21" s="23" t="str">
        <x:v>HAB-24</x:v>
      </x:c>
      <x:c r="B21" s="23" t="str">
        <x:v>Crew and sustainment units</x:v>
      </x:c>
      <x:c r="C21" s="38" t="n">
        <x:v>24</x:v>
      </x:c>
      <x:c r="D21" s="41" t="n">
        <x:v>20</x:v>
      </x:c>
      <x:c r="E21" s="41" t="n">
        <x:f>C21*D21</x:f>
        <x:v>480</x:v>
      </x:c>
      <x:c r="F21" s="38" t="n">
        <x:v>20</x:v>
      </x:c>
      <x:c r="G21" s="46" t="n">
        <x:v>12</x:v>
      </x:c>
      <x:c r="H21" s="46" t="n">
        <x:f>C21*G21</x:f>
        <x:v>288</x:v>
      </x:c>
      <x:c r="I21" s="23" t="str">
        <x:v>E3</x:v>
      </x:c>
      <x:c r="J21" s="23" t="str">
        <x:v>Manufactured hardware</x:v>
      </x:c>
    </x:row>
    <x:row r="22">
      <x:c r="A22" s="23" t="str">
        <x:v>MES-400</x:v>
      </x:c>
      <x:c r="B22" s="23" t="str">
        <x:v>Mission-energy stock</x:v>
      </x:c>
      <x:c r="C22" s="38" t="n">
        <x:v>1</x:v>
      </x:c>
      <x:c r="D22" s="41" t="n">
        <x:v>400</x:v>
      </x:c>
      <x:c r="E22" s="41" t="n">
        <x:f>C22*D22</x:f>
        <x:v>400</x:v>
      </x:c>
      <x:c r="F22" s="38" t="n">
        <x:v>18</x:v>
      </x:c>
      <x:c r="G22" s="46" t="n">
        <x:v>50</x:v>
      </x:c>
      <x:c r="H22" s="46" t="n">
        <x:f>C22*G22</x:f>
        <x:v>50</x:v>
      </x:c>
      <x:c r="I22" s="23" t="str">
        <x:v>E3</x:v>
      </x:c>
      <x:c r="J22" s="23" t="str">
        <x:v>Consumable/service stock</x:v>
      </x:c>
    </x:row>
    <x:row r="23">
      <x:c r="A23" s="23" t="str">
        <x:v>DRY-576</x:v>
      </x:c>
      <x:c r="B23" s="23" t="str">
        <x:v>Dry-entry water</x:v>
      </x:c>
      <x:c r="C23" s="38" t="n">
        <x:v>1</x:v>
      </x:c>
      <x:c r="D23" s="41" t="n">
        <x:v>574.848</x:v>
      </x:c>
      <x:c r="E23" s="41" t="n">
        <x:f>C23*D23</x:f>
        <x:v>574.848</x:v>
      </x:c>
      <x:c r="F23" s="38" t="n">
        <x:v>21</x:v>
      </x:c>
      <x:c r="G23" s="46" t="n">
        <x:v>0.1</x:v>
      </x:c>
      <x:c r="H23" s="46" t="n">
        <x:f>C23*G23</x:f>
        <x:v>0.1</x:v>
      </x:c>
      <x:c r="I23" s="23" t="str">
        <x:v>E1</x:v>
      </x:c>
      <x:c r="J23" s="23" t="str">
        <x:v>Consumable/service stock</x:v>
      </x:c>
    </x:row>
    <x:row r="24">
      <x:c r="A24" s="23" t="str">
        <x:v>TIA-30</x:v>
      </x:c>
      <x:c r="B24" s="23" t="str">
        <x:v>Transport-interface adapters</x:v>
      </x:c>
      <x:c r="C24" s="38" t="n">
        <x:v>30</x:v>
      </x:c>
      <x:c r="D24" s="41" t="n">
        <x:v>10</x:v>
      </x:c>
      <x:c r="E24" s="41" t="n">
        <x:f>C24*D24</x:f>
        <x:v>300</x:v>
      </x:c>
      <x:c r="F24" s="38" t="n">
        <x:v>12</x:v>
      </x:c>
      <x:c r="G24" s="46" t="n">
        <x:v>6</x:v>
      </x:c>
      <x:c r="H24" s="46" t="n">
        <x:f>C24*G24</x:f>
        <x:v>180</x:v>
      </x:c>
      <x:c r="I24" s="23" t="str">
        <x:v>E2</x:v>
      </x:c>
      <x:c r="J24" s="23" t="str">
        <x:v>Manufactured hardware</x:v>
      </x:c>
    </x:row>
    <x:row r="25">
      <x:c r="A25" s="23" t="str">
        <x:v>TES-300</x:v>
      </x:c>
      <x:c r="B25" s="23" t="str">
        <x:v>Regional transit-energy stock</x:v>
      </x:c>
      <x:c r="C25" s="38" t="n">
        <x:v>1</x:v>
      </x:c>
      <x:c r="D25" s="41" t="n">
        <x:v>300</x:v>
      </x:c>
      <x:c r="E25" s="41" t="n">
        <x:f>C25*D25</x:f>
        <x:v>300</x:v>
      </x:c>
      <x:c r="F25" s="38" t="n">
        <x:v>12</x:v>
      </x:c>
      <x:c r="G25" s="46" t="n">
        <x:v>30</x:v>
      </x:c>
      <x:c r="H25" s="46" t="n">
        <x:f>C25*G25</x:f>
        <x:v>30</x:v>
      </x:c>
      <x:c r="I25" s="23" t="str">
        <x:v>E3</x:v>
      </x:c>
      <x:c r="J25" s="23" t="str">
        <x:v>Consumable/service stock</x:v>
      </x:c>
    </x:row>
    <x:row r="26">
      <x:c r="A26" s="24" t="str">
        <x:v>RMLU-R8</x:v>
      </x:c>
      <x:c r="B26" s="24" t="str">
        <x:v>Uncommitted load positions</x:v>
      </x:c>
      <x:c r="C26" s="39" t="n">
        <x:v>8</x:v>
      </x:c>
      <x:c r="D26" s="42" t="n">
        <x:v>0</x:v>
      </x:c>
      <x:c r="E26" s="42" t="n">
        <x:f>C26*D26</x:f>
        <x:v>0</x:v>
      </x:c>
      <x:c r="F26" s="39" t="n">
        <x:v>8</x:v>
      </x:c>
      <x:c r="G26" s="47" t="n">
        <x:v>0</x:v>
      </x:c>
      <x:c r="H26" s="47" t="n">
        <x:f>C26*G26</x:f>
        <x:v>0</x:v>
      </x:c>
      <x:c r="I26" s="24" t="str">
        <x:v>Reserve</x:v>
      </x:c>
      <x:c r="J26" s="24" t="str">
        <x:v>Interface reserve</x:v>
      </x:c>
    </x:row>
    <x:row r="27">
      <x:c r="A27" s="36" t="str">
        <x:v>TOTAL</x:v>
      </x:c>
      <x:c r="B27" s="36" t="str">
        <x:v>Complete set</x:v>
      </x:c>
      <x:c r="C27" s="36"/>
      <x:c r="D27" s="43"/>
      <x:c r="E27" s="43" t="n">
        <x:f>SUM(E6:E26)</x:f>
        <x:v>7086.848</x:v>
      </x:c>
      <x:c r="F27" s="44" t="n">
        <x:f>SUM(F6:F26)</x:f>
        <x:v>312</x:v>
      </x:c>
      <x:c r="G27" s="48"/>
      <x:c r="H27" s="48" t="n">
        <x:f>SUM(H6:H26)</x:f>
        <x:v>7611.1</x:v>
      </x:c>
      <x:c r="I27" s="36" t="str"/>
      <x:c r="J27" s="3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36" hidden="0" customWidth="1"/>
  </x:cols>
  <x:sheetData>
    <x:row r="2" ht="24" customHeight="1">
      <x:c r="A2" s="2" t="str">
        <x:v>Residual-service screen</x:v>
      </x:c>
      <x:c r="B2" s="2"/>
      <x:c r="C2" s="2"/>
      <x:c r="D2" s="2"/>
      <x:c r="E2" s="2"/>
      <x:c r="F2" s="2"/>
      <x:c r="G2" s="2"/>
    </x:row>
    <x:row r="3" ht="20" customHeight="1">
      <x:c r="A3" s="3" t="str">
        <x:v>Installed quantity must preserve the mission requirement after the registered casualty.</x:v>
      </x:c>
      <x:c r="B3" s="3"/>
      <x:c r="C3" s="3"/>
      <x:c r="D3" s="3"/>
      <x:c r="E3" s="3"/>
      <x:c r="F3" s="3"/>
      <x:c r="G3" s="3"/>
    </x:row>
    <x:row r="5" ht="28" customHeight="1">
      <x:c r="A5" s="15" t="str">
        <x:v>Service</x:v>
      </x:c>
      <x:c r="B5" s="16" t="str">
        <x:v>Installed</x:v>
      </x:c>
      <x:c r="C5" s="16" t="str">
        <x:v>After casualty</x:v>
      </x:c>
      <x:c r="D5" s="16" t="str">
        <x:v>Requirement</x:v>
      </x:c>
      <x:c r="E5" s="16" t="str">
        <x:v>Margin</x:v>
      </x:c>
      <x:c r="F5" s="16" t="str">
        <x:v>Residual / requirement</x:v>
      </x:c>
      <x:c r="G5" s="17" t="str">
        <x:v>Casualty</x:v>
      </x:c>
    </x:row>
    <x:row r="6">
      <x:c r="A6" s="22" t="str">
        <x:v>Treatment output</x:v>
      </x:c>
      <x:c r="B6" s="52" t="n">
        <x:f>'Assumptions'!B21*'Assumptions'!B20</x:f>
        <x:v>3000</x:v>
      </x:c>
      <x:c r="C6" s="52" t="n">
        <x:f>('Assumptions'!B21-1)*'Assumptions'!B20</x:f>
        <x:v>2500</x:v>
      </x:c>
      <x:c r="D6" s="52" t="n">
        <x:f>'Assumptions'!B19</x:f>
        <x:v>2000</x:v>
      </x:c>
      <x:c r="E6" s="40" t="n">
        <x:f>C6-D6</x:f>
        <x:v>500</x:v>
      </x:c>
      <x:c r="F6" s="55" t="n">
        <x:f>C6/D6</x:f>
        <x:v>1.25</x:v>
      </x:c>
      <x:c r="G6" s="22" t="str">
        <x:v>One train lost</x:v>
      </x:c>
    </x:row>
    <x:row r="7">
      <x:c r="A7" s="23" t="str">
        <x:v>Raw-water intake</x:v>
      </x:c>
      <x:c r="B7" s="53" t="n">
        <x:f>'Assumptions'!B23*'Assumptions'!B22</x:f>
        <x:v>3000</x:v>
      </x:c>
      <x:c r="C7" s="53" t="n">
        <x:f>('Assumptions'!B23-1)*'Assumptions'!B22</x:f>
        <x:v>2000</x:v>
      </x:c>
      <x:c r="D7" s="53" t="n">
        <x:f>'Assumptions'!B19</x:f>
        <x:v>2000</x:v>
      </x:c>
      <x:c r="E7" s="41" t="n">
        <x:f>C7-D7</x:f>
        <x:v>0</x:v>
      </x:c>
      <x:c r="F7" s="56" t="n">
        <x:f>C7/D7</x:f>
        <x:v>1</x:v>
      </x:c>
      <x:c r="G7" s="23" t="str">
        <x:v>One path lost</x:v>
      </x:c>
    </x:row>
    <x:row r="8">
      <x:c r="A8" s="23" t="str">
        <x:v>Continuous power</x:v>
      </x:c>
      <x:c r="B8" s="53" t="n">
        <x:f>'Assumptions'!B26*'Assumptions'!B24</x:f>
        <x:v>30</x:v>
      </x:c>
      <x:c r="C8" s="53" t="n">
        <x:f>('Assumptions'!B26-1)*'Assumptions'!B24</x:f>
        <x:v>25</x:v>
      </x:c>
      <x:c r="D8" s="53" t="n">
        <x:f>'Assumptions'!B27</x:f>
        <x:v>20</x:v>
      </x:c>
      <x:c r="E8" s="41" t="n">
        <x:f>C8-D8</x:f>
        <x:v>5</x:v>
      </x:c>
      <x:c r="F8" s="56" t="n">
        <x:f>C8/D8</x:f>
        <x:v>1.25</x:v>
      </x:c>
      <x:c r="G8" s="23" t="str">
        <x:v>One island lost</x:v>
      </x:c>
    </x:row>
    <x:row r="9">
      <x:c r="A9" s="23" t="str">
        <x:v>Peak power</x:v>
      </x:c>
      <x:c r="B9" s="53" t="n">
        <x:f>'Assumptions'!B26*'Assumptions'!B25</x:f>
        <x:v>42</x:v>
      </x:c>
      <x:c r="C9" s="53" t="n">
        <x:f>('Assumptions'!B26-1)*'Assumptions'!B25</x:f>
        <x:v>35</x:v>
      </x:c>
      <x:c r="D9" s="53" t="n">
        <x:f>'Assumptions'!B28</x:f>
        <x:v>35</x:v>
      </x:c>
      <x:c r="E9" s="41" t="n">
        <x:f>C9-D9</x:f>
        <x:v>0</x:v>
      </x:c>
      <x:c r="F9" s="56" t="n">
        <x:f>C9/D9</x:f>
        <x:v>1</x:v>
      </x:c>
      <x:c r="G9" s="23" t="str">
        <x:v>One island lost</x:v>
      </x:c>
    </x:row>
    <x:row r="10">
      <x:c r="A10" s="23" t="str">
        <x:v>Recovery</x:v>
      </x:c>
      <x:c r="B10" s="53" t="n">
        <x:f>'Assumptions'!B31*'Assumptions'!B30</x:f>
        <x:v>7.4</x:v>
      </x:c>
      <x:c r="C10" s="53" t="n">
        <x:f>('Assumptions'!B31-1)*'Assumptions'!B30</x:f>
        <x:v>5.550000000000001</x:v>
      </x:c>
      <x:c r="D10" s="53" t="n">
        <x:f>'Assumptions'!B29</x:f>
        <x:v>5.5</x:v>
      </x:c>
      <x:c r="E10" s="41" t="n">
        <x:f>C10-D10</x:f>
        <x:v>0.05000000000000071</x:v>
      </x:c>
      <x:c r="F10" s="56" t="n">
        <x:f>C10/D10</x:f>
        <x:v>1.0090909090909093</x:v>
      </x:c>
      <x:c r="G10" s="23" t="str">
        <x:v>One train lost</x:v>
      </x:c>
    </x:row>
    <x:row r="11">
      <x:c r="A11" s="23" t="str">
        <x:v>Ready storage</x:v>
      </x:c>
      <x:c r="B11" s="53" t="n">
        <x:f>'Assumptions'!B33*'Assumptions'!B32</x:f>
        <x:v>1500</x:v>
      </x:c>
      <x:c r="C11" s="53" t="n">
        <x:f>('Assumptions'!B33-3)*'Assumptions'!B32</x:f>
        <x:v>1200</x:v>
      </x:c>
      <x:c r="D11" s="53" t="n">
        <x:f>'Assumptions'!B34</x:f>
        <x:v>1200</x:v>
      </x:c>
      <x:c r="E11" s="41" t="n">
        <x:f>C11-D11</x:f>
        <x:v>0</x:v>
      </x:c>
      <x:c r="F11" s="56" t="n">
        <x:f>C11/D11</x:f>
        <x:v>1</x:v>
      </x:c>
      <x:c r="G11" s="23" t="str">
        <x:v>Three cells lost</x:v>
      </x:c>
    </x:row>
    <x:row r="12">
      <x:c r="A12" s="23" t="str">
        <x:v>Surge storage</x:v>
      </x:c>
      <x:c r="B12" s="53" t="n">
        <x:f>'Assumptions'!B36*'Assumptions'!B35</x:f>
        <x:v>3600</x:v>
      </x:c>
      <x:c r="C12" s="53" t="n">
        <x:f>('Assumptions'!B37-1)*('Assumptions'!B36/'Assumptions'!B37)*'Assumptions'!B35</x:f>
        <x:v>3000</x:v>
      </x:c>
      <x:c r="D12" s="53" t="n">
        <x:f>'Assumptions'!B38</x:f>
        <x:v>3000</x:v>
      </x:c>
      <x:c r="E12" s="41" t="n">
        <x:f>C12-D12</x:f>
        <x:v>0</x:v>
      </x:c>
      <x:c r="F12" s="56" t="n">
        <x:f>C12/D12</x:f>
        <x:v>1</x:v>
      </x:c>
      <x:c r="G12" s="23" t="str">
        <x:v>One zone quarantined</x:v>
      </x:c>
    </x:row>
    <x:row r="13">
      <x:c r="A13" s="24" t="str">
        <x:v>Intervention cells</x:v>
      </x:c>
      <x:c r="B13" s="54" t="n">
        <x:f>'Set Bill'!C6</x:f>
        <x:v>16</x:v>
      </x:c>
      <x:c r="C13" s="54" t="n">
        <x:f>'Set Bill'!C6-1</x:f>
        <x:v>15</x:v>
      </x:c>
      <x:c r="D13" s="54" t="n">
        <x:f>'Assumptions'!B39</x:f>
        <x:v>12</x:v>
      </x:c>
      <x:c r="E13" s="42" t="n">
        <x:f>C13-D13</x:f>
        <x:v>3</x:v>
      </x:c>
      <x:c r="F13" s="57" t="n">
        <x:f>C13/D13</x:f>
        <x:v>1.25</x:v>
      </x:c>
      <x:c r="G13" s="24" t="str">
        <x:v>One cell lost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16" hidden="0" customWidth="1"/>
    <x:col min="4" max="4" width="46" hidden="0" customWidth="1"/>
    <x:col min="5" max="5" width="14" hidden="0" customWidth="1"/>
    <x:col min="6" max="6" width="16" hidden="0" customWidth="1"/>
    <x:col min="7" max="7" width="62" hidden="0" customWidth="1"/>
  </x:cols>
  <x:sheetData>
    <x:row r="2" ht="24" customHeight="1">
      <x:c r="A2" s="2" t="str">
        <x:v>Transport mass and packet screen</x:v>
      </x:c>
      <x:c r="B2" s="2"/>
      <x:c r="C2" s="2"/>
      <x:c r="D2" s="2"/>
      <x:c r="E2" s="2"/>
      <x:c r="F2" s="2"/>
      <x:c r="G2" s="2"/>
    </x:row>
    <x:row r="3" ht="20" customHeight="1">
      <x:c r="A3" s="3" t="str">
        <x:v>Payload, tare, road length and echelons remain visible as distinct constraints.</x:v>
      </x:c>
      <x:c r="B3" s="3"/>
      <x:c r="C3" s="3"/>
      <x:c r="D3" s="3"/>
      <x:c r="E3" s="3"/>
      <x:c r="F3" s="3"/>
      <x:c r="G3" s="3"/>
    </x:row>
    <x:row r="5" ht="28" customHeight="1">
      <x:c r="A5" s="15" t="str">
        <x:v>Metric</x:v>
      </x:c>
      <x:c r="B5" s="16" t="str">
        <x:v>Calculated</x:v>
      </x:c>
      <x:c r="C5" s="16" t="str">
        <x:v>Unit</x:v>
      </x:c>
      <x:c r="D5" s="16" t="str">
        <x:v>Interpretation</x:v>
      </x:c>
      <x:c r="E5" s="16" t="str">
        <x:v>Echelon</x:v>
      </x:c>
      <x:c r="F5" s="16" t="str">
        <x:v>Positions</x:v>
      </x:c>
      <x:c r="G5" s="17" t="str">
        <x:v>Principal content</x:v>
      </x:c>
    </x:row>
    <x:row r="6">
      <x:c r="A6" s="22" t="str">
        <x:v>Mission cargo</x:v>
      </x:c>
      <x:c r="B6" s="52" t="n">
        <x:f>'Set Bill'!E27</x:f>
        <x:v>7086.848</x:v>
      </x:c>
      <x:c r="C6" s="22" t="str">
        <x:v>t</x:v>
      </x:c>
      <x:c r="D6" s="22" t="str">
        <x:v>Set bill before local ready water</x:v>
      </x:c>
      <x:c r="E6" s="22" t="str">
        <x:v>E0</x:v>
      </x:c>
      <x:c r="F6" s="37" t="n">
        <x:v>19</x:v>
      </x:c>
      <x:c r="G6" s="22" t="str">
        <x:v>Local and set command; rescue</x:v>
      </x:c>
    </x:row>
    <x:row r="7">
      <x:c r="A7" s="23" t="str">
        <x:v>Payload capacity</x:v>
      </x:c>
      <x:c r="B7" s="53" t="n">
        <x:f>'Assumptions'!B11*'Assumptions'!B8</x:f>
        <x:v>9360</x:v>
      </x:c>
      <x:c r="C7" s="23" t="str">
        <x:v>t</x:v>
      </x:c>
      <x:c r="D7" s="23" t="str">
        <x:v>Governed load positions</x:v>
      </x:c>
      <x:c r="E7" s="23" t="str">
        <x:v>E1</x:v>
      </x:c>
      <x:c r="F7" s="38" t="n">
        <x:v>99</x:v>
      </x:c>
      <x:c r="G7" s="23" t="str">
        <x:v>Intervention, intake, energy, distribution and dry water</x:v>
      </x:c>
    </x:row>
    <x:row r="8">
      <x:c r="A8" s="23" t="str">
        <x:v>Unused mass capacity</x:v>
      </x:c>
      <x:c r="B8" s="53" t="n">
        <x:f>B7-B6</x:f>
        <x:v>2273.152</x:v>
      </x:c>
      <x:c r="C8" s="23" t="str">
        <x:v>t</x:v>
      </x:c>
      <x:c r="D8" s="23" t="str">
        <x:v>Does not waive shape or separation</x:v>
      </x:c>
      <x:c r="E8" s="23" t="str">
        <x:v>E2</x:v>
      </x:c>
      <x:c r="F8" s="38" t="n">
        <x:v>108</x:v>
      </x:c>
      <x:c r="G8" s="23" t="str">
        <x:v>Treatment, trunkline, robots, storage, recovery and adapters</x:v>
      </x:c>
    </x:row>
    <x:row r="9">
      <x:c r="A9" s="23" t="str">
        <x:v>Payload utilization</x:v>
      </x:c>
      <x:c r="B9" s="58" t="n">
        <x:f>B6/B7</x:f>
        <x:v>0.7571418803418803</x:v>
      </x:c>
      <x:c r="C9" s="23" t="str">
        <x:v>fraction</x:v>
      </x:c>
      <x:c r="D9" s="23" t="str">
        <x:v>Mass only</x:v>
      </x:c>
      <x:c r="E9" s="23" t="str">
        <x:v>E3</x:v>
      </x:c>
      <x:c r="F9" s="38" t="n">
        <x:v>78</x:v>
      </x:c>
      <x:c r="G9" s="23" t="str">
        <x:v>Repair, spares, crew support and energy stocks</x:v>
      </x:c>
    </x:row>
    <x:row r="10">
      <x:c r="A10" s="23" t="str">
        <x:v>Load-frame tare</x:v>
      </x:c>
      <x:c r="B10" s="53" t="n">
        <x:f>'Assumptions'!B11*'Assumptions'!B9</x:f>
        <x:v>1560</x:v>
      </x:c>
      <x:c r="C10" s="23" t="str">
        <x:v>t</x:v>
      </x:c>
      <x:c r="D10" s="23" t="str">
        <x:v>312 frames</x:v>
      </x:c>
      <x:c r="E10" s="23" t="str">
        <x:v>Uncommitted</x:v>
      </x:c>
      <x:c r="F10" s="38" t="n">
        <x:v>8</x:v>
      </x:c>
      <x:c r="G10" s="23" t="str">
        <x:v>Load-shape, axle and separation reserve</x:v>
      </x:c>
    </x:row>
    <x:row r="11">
      <x:c r="A11" s="23" t="str">
        <x:v>Prime-mover tare</x:v>
      </x:c>
      <x:c r="B11" s="53" t="n">
        <x:f>'Assumptions'!B12*'Assumptions'!B10</x:f>
        <x:v>8400</x:v>
      </x:c>
      <x:c r="C11" s="23" t="str">
        <x:v>t</x:v>
      </x:c>
      <x:c r="D11" s="23" t="str">
        <x:v>350 vehicles</x:v>
      </x:c>
      <x:c r="E11" s="61" t="str">
        <x:v>TOTAL</x:v>
      </x:c>
      <x:c r="F11" s="62" t="n">
        <x:f>SUM(F6:F10)</x:f>
        <x:v>312</x:v>
      </x:c>
      <x:c r="G11" s="61" t="str"/>
    </x:row>
    <x:row r="12">
      <x:c r="A12" s="23" t="str">
        <x:v>Rolling set mass</x:v>
      </x:c>
      <x:c r="B12" s="53" t="n">
        <x:f>SUM(B6,B10,B11)</x:f>
        <x:v>17046.847999999998</x:v>
      </x:c>
      <x:c r="C12" s="23" t="str">
        <x:v>t</x:v>
      </x:c>
      <x:c r="D12" s="23" t="str">
        <x:v>Cargo plus frame and vehicle tare</x:v>
      </x:c>
    </x:row>
    <x:row r="13">
      <x:c r="A13" s="23" t="str">
        <x:v>Unpacketized road span</x:v>
      </x:c>
      <x:c r="B13" s="53" t="n">
        <x:f>'Assumptions'!B12*'Assumptions'!B13/1000</x:f>
        <x:v>26.25</x:v>
      </x:c>
      <x:c r="C13" s="23" t="str">
        <x:v>km</x:v>
      </x:c>
      <x:c r="D13" s="23" t="str">
        <x:v>Prohibited one-column screen</x:v>
      </x:c>
    </x:row>
    <x:row r="14">
      <x:c r="A14" s="23" t="str">
        <x:v>Road packets</x:v>
      </x:c>
      <x:c r="B14" s="53" t="n">
        <x:f>14</x:f>
        <x:v>14</x:v>
      </x:c>
      <x:c r="C14" s="23" t="str">
        <x:v>packets</x:v>
      </x:c>
      <x:c r="D14" s="23" t="str">
        <x:v>Twenty-five movers each</x:v>
      </x:c>
    </x:row>
    <x:row r="15">
      <x:c r="A15" s="23" t="str">
        <x:v>Loaded positions in group</x:v>
      </x:c>
      <x:c r="B15" s="53" t="n">
        <x:f>'Assumptions'!B11*'Assumptions'!B7</x:f>
        <x:v>2496</x:v>
      </x:c>
      <x:c r="C15" s="23" t="str">
        <x:v>positions</x:v>
      </x:c>
      <x:c r="D15" s="23" t="str">
        <x:v>Eight sets</x:v>
      </x:c>
    </x:row>
    <x:row r="16">
      <x:c r="A16" s="23" t="str">
        <x:v>Assigned movers in group</x:v>
      </x:c>
      <x:c r="B16" s="53" t="n">
        <x:f>'Assumptions'!B12*'Assumptions'!B7</x:f>
        <x:v>2800</x:v>
      </x:c>
      <x:c r="C16" s="23" t="str">
        <x:v>vehicles</x:v>
      </x:c>
      <x:c r="D16" s="23" t="str">
        <x:v>Eight sets</x:v>
      </x:c>
    </x:row>
    <x:row r="17">
      <x:c r="A17" s="23" t="str">
        <x:v>Group prime-mover pool</x:v>
      </x:c>
      <x:c r="B17" s="53" t="n">
        <x:f>3200</x:f>
        <x:v>3200</x:v>
      </x:c>
      <x:c r="C17" s="23" t="str">
        <x:v>vehicles</x:v>
      </x:c>
      <x:c r="D17" s="23" t="str">
        <x:v>Includes 400 group reserve</x:v>
      </x:c>
    </x:row>
    <x:row r="18">
      <x:c r="A18" s="24" t="str">
        <x:v>Group load-frame pool</x:v>
      </x:c>
      <x:c r="B18" s="54" t="n">
        <x:f>3000</x:f>
        <x:v>3000</x:v>
      </x:c>
      <x:c r="C18" s="24" t="str">
        <x:v>frames</x:v>
      </x:c>
      <x:c r="D18" s="24" t="str">
        <x:v>Includes 504 group reserve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2" hidden="0" customWidth="1"/>
    <x:col min="2" max="2" width="18" hidden="0" customWidth="1"/>
    <x:col min="3" max="3" width="54" hidden="0" customWidth="1"/>
    <x:col min="4" max="4" width="24" hidden="0" customWidth="1"/>
  </x:cols>
  <x:sheetData>
    <x:row r="2" ht="24" customHeight="1">
      <x:c r="A2" s="2" t="str">
        <x:v>Crew and group workforce derivation</x:v>
      </x:c>
      <x:c r="B2" s="2"/>
      <x:c r="C2" s="2"/>
      <x:c r="D2" s="2"/>
    </x:row>
    <x:row r="3" ht="20" customHeight="1">
      <x:c r="A3" s="3" t="str">
        <x:v>Continuous stations receive four watches. Peak functions remain separately visible.</x:v>
      </x:c>
      <x:c r="B3" s="3"/>
      <x:c r="C3" s="3"/>
      <x:c r="D3" s="3"/>
    </x:row>
    <x:row r="5" ht="28" customHeight="1">
      <x:c r="A5" s="15" t="str">
        <x:v>Function</x:v>
      </x:c>
      <x:c r="B5" s="16" t="str">
        <x:v>Positions</x:v>
      </x:c>
      <x:c r="C5" s="16" t="str">
        <x:v>Derivation</x:v>
      </x:c>
      <x:c r="D5" s="17" t="str">
        <x:v>Class</x:v>
      </x:c>
    </x:row>
    <x:row r="6">
      <x:c r="A6" s="22" t="str">
        <x:v>Active intervention cells</x:v>
      </x:c>
      <x:c r="B6" s="37" t="n">
        <x:v>72</x:v>
      </x:c>
      <x:c r="C6" s="22" t="str">
        <x:v>12 × 6</x:v>
      </x:c>
      <x:c r="D6" s="22" t="str">
        <x:v>Continuous station</x:v>
      </x:c>
    </x:row>
    <x:row r="7">
      <x:c r="A7" s="23" t="str">
        <x:v>Treatment trains</x:v>
      </x:c>
      <x:c r="B7" s="38" t="n">
        <x:v>24</x:v>
      </x:c>
      <x:c r="C7" s="23" t="str">
        <x:v>6 × 4</x:v>
      </x:c>
      <x:c r="D7" s="23" t="str">
        <x:v>Continuous station</x:v>
      </x:c>
    </x:row>
    <x:row r="8">
      <x:c r="A8" s="23" t="str">
        <x:v>Intake paths</x:v>
      </x:c>
      <x:c r="B8" s="38" t="n">
        <x:v>15</x:v>
      </x:c>
      <x:c r="C8" s="23" t="str">
        <x:v>3 × 5</x:v>
      </x:c>
      <x:c r="D8" s="23" t="str">
        <x:v>Continuous station</x:v>
      </x:c>
    </x:row>
    <x:row r="9">
      <x:c r="A9" s="23" t="str">
        <x:v>Trunklines</x:v>
      </x:c>
      <x:c r="B9" s="38" t="n">
        <x:v>12</x:v>
      </x:c>
      <x:c r="C9" s="23" t="str">
        <x:v>2 × 6</x:v>
      </x:c>
      <x:c r="D9" s="23" t="str">
        <x:v>Continuous station</x:v>
      </x:c>
    </x:row>
    <x:row r="10">
      <x:c r="A10" s="23" t="str">
        <x:v>Recovery trains</x:v>
      </x:c>
      <x:c r="B10" s="38" t="n">
        <x:v>24</x:v>
      </x:c>
      <x:c r="C10" s="23" t="str">
        <x:v>4 × 6</x:v>
      </x:c>
      <x:c r="D10" s="23" t="str">
        <x:v>Continuous station</x:v>
      </x:c>
    </x:row>
    <x:row r="11">
      <x:c r="A11" s="23" t="str">
        <x:v>Energy islands</x:v>
      </x:c>
      <x:c r="B11" s="38" t="n">
        <x:v>18</x:v>
      </x:c>
      <x:c r="C11" s="23" t="str">
        <x:v>6 × 3</x:v>
      </x:c>
      <x:c r="D11" s="23" t="str">
        <x:v>Continuous station</x:v>
      </x:c>
    </x:row>
    <x:row r="12">
      <x:c r="A12" s="23" t="str">
        <x:v>Command, communications, time and evidence</x:v>
      </x:c>
      <x:c r="B12" s="38" t="n">
        <x:v>30</x:v>
      </x:c>
      <x:c r="C12" s="23" t="str">
        <x:v>Registered stations</x:v>
      </x:c>
      <x:c r="D12" s="23" t="str">
        <x:v>Continuous station</x:v>
      </x:c>
    </x:row>
    <x:row r="13">
      <x:c r="A13" s="23" t="str">
        <x:v>Safety, environment, medical and rescue</x:v>
      </x:c>
      <x:c r="B13" s="38" t="n">
        <x:v>42</x:v>
      </x:c>
      <x:c r="C13" s="23" t="str">
        <x:v>Independent protective stations</x:v>
      </x:c>
      <x:c r="D13" s="23" t="str">
        <x:v>Continuous station</x:v>
      </x:c>
    </x:row>
    <x:row r="14">
      <x:c r="A14" s="61" t="str">
        <x:v>Continuous stations</x:v>
      </x:c>
      <x:c r="B14" s="62" t="n">
        <x:f>SUM(B6:B13)</x:f>
        <x:v>237</x:v>
      </x:c>
      <x:c r="C14" s="61" t="str">
        <x:v>Sum above</x:v>
      </x:c>
      <x:c r="D14" s="61" t="str">
        <x:v>Calculated</x:v>
      </x:c>
    </x:row>
    <x:row r="15">
      <x:c r="A15" s="23" t="str">
        <x:v>Watches</x:v>
      </x:c>
      <x:c r="B15" s="38" t="n">
        <x:v>4</x:v>
      </x:c>
      <x:c r="C15" s="23" t="str">
        <x:v>Three watches plus relief</x:v>
      </x:c>
      <x:c r="D15" s="23" t="str">
        <x:v>Input</x:v>
      </x:c>
    </x:row>
    <x:row r="16">
      <x:c r="A16" s="61" t="str">
        <x:v>Four-watch positions</x:v>
      </x:c>
      <x:c r="B16" s="62" t="n">
        <x:f>B14*B15</x:f>
        <x:v>948</x:v>
      </x:c>
      <x:c r="C16" s="61" t="str">
        <x:v>Continuous stations × watches</x:v>
      </x:c>
      <x:c r="D16" s="61" t="str">
        <x:v>Calculated</x:v>
      </x:c>
    </x:row>
    <x:row r="17">
      <x:c r="A17" s="23" t="str">
        <x:v>Deployment engineering and survey</x:v>
      </x:c>
      <x:c r="B17" s="38" t="n">
        <x:v>96</x:v>
      </x:c>
      <x:c r="C17" s="23" t="str">
        <x:v>Peak/day function</x:v>
      </x:c>
      <x:c r="D17" s="23" t="str">
        <x:v>Peak/day</x:v>
      </x:c>
    </x:row>
    <x:row r="18">
      <x:c r="A18" s="23" t="str">
        <x:v>Field maintenance and repair</x:v>
      </x:c>
      <x:c r="B18" s="38" t="n">
        <x:v>144</x:v>
      </x:c>
      <x:c r="C18" s="23" t="str">
        <x:v>Peak/day function</x:v>
      </x:c>
      <x:c r="D18" s="23" t="str">
        <x:v>Peak/day</x:v>
      </x:c>
    </x:row>
    <x:row r="19">
      <x:c r="A19" s="23" t="str">
        <x:v>Logistics and transport</x:v>
      </x:c>
      <x:c r="B19" s="38" t="n">
        <x:v>160</x:v>
      </x:c>
      <x:c r="C19" s="23" t="str">
        <x:v>Peak/day function</x:v>
      </x:c>
      <x:c r="D19" s="23" t="str">
        <x:v>Peak/day</x:v>
      </x:c>
    </x:row>
    <x:row r="20">
      <x:c r="A20" s="23" t="str">
        <x:v>Command, liaison and planning</x:v>
      </x:c>
      <x:c r="B20" s="38" t="n">
        <x:v>52</x:v>
      </x:c>
      <x:c r="C20" s="23" t="str">
        <x:v>Peak/day function</x:v>
      </x:c>
      <x:c r="D20" s="23" t="str">
        <x:v>Peak/day</x:v>
      </x:c>
    </x:row>
    <x:row r="21">
      <x:c r="A21" s="23" t="str">
        <x:v>Crew health, feeding and welfare</x:v>
      </x:c>
      <x:c r="B21" s="38" t="n">
        <x:v>40</x:v>
      </x:c>
      <x:c r="C21" s="23" t="str">
        <x:v>Peak/day function</x:v>
      </x:c>
      <x:c r="D21" s="23" t="str">
        <x:v>Peak/day</x:v>
      </x:c>
    </x:row>
    <x:row r="22">
      <x:c r="A22" s="61" t="str">
        <x:v>Peak/day positions</x:v>
      </x:c>
      <x:c r="B22" s="62" t="n">
        <x:f>SUM(B17:B21)</x:f>
        <x:v>492</x:v>
      </x:c>
      <x:c r="C22" s="61" t="str">
        <x:v>Sum above</x:v>
      </x:c>
      <x:c r="D22" s="61" t="str">
        <x:v>Calculated</x:v>
      </x:c>
    </x:row>
    <x:row r="23">
      <x:c r="A23" s="61" t="str">
        <x:v>Set crew</x:v>
      </x:c>
      <x:c r="B23" s="62" t="n">
        <x:f>B16+B22</x:f>
        <x:v>1440</x:v>
      </x:c>
      <x:c r="C23" s="61" t="str">
        <x:v>Four-watch plus peak/day</x:v>
      </x:c>
      <x:c r="D23" s="61" t="str">
        <x:v>Calculated</x:v>
      </x:c>
    </x:row>
    <x:row r="24">
      <x:c r="A24" s="61" t="str">
        <x:v>Eight set crews</x:v>
      </x:c>
      <x:c r="B24" s="62" t="n">
        <x:f>B23*'Assumptions'!B7</x:f>
        <x:v>11520</x:v>
      </x:c>
      <x:c r="C24" s="61" t="str">
        <x:v>Set crew × group sets</x:v>
      </x:c>
      <x:c r="D24" s="61" t="str">
        <x:v>Calculated</x:v>
      </x:c>
    </x:row>
    <x:row r="25">
      <x:c r="A25" s="23" t="str">
        <x:v>Group command and operations</x:v>
      </x:c>
      <x:c r="B25" s="38" t="n">
        <x:v>280</x:v>
      </x:c>
      <x:c r="C25" s="23" t="str">
        <x:v>Common</x:v>
      </x:c>
      <x:c r="D25" s="23" t="str">
        <x:v>Group common</x:v>
      </x:c>
    </x:row>
    <x:row r="26">
      <x:c r="A26" s="23" t="str">
        <x:v>Three regional arsenals</x:v>
      </x:c>
      <x:c r="B26" s="38" t="n">
        <x:v>1260</x:v>
      </x:c>
      <x:c r="C26" s="23" t="str">
        <x:v>3 × 420</x:v>
      </x:c>
      <x:c r="D26" s="23" t="str">
        <x:v>Group common</x:v>
      </x:c>
    </x:row>
    <x:row r="27">
      <x:c r="A27" s="23" t="str">
        <x:v>Training and standards</x:v>
      </x:c>
      <x:c r="B27" s="38" t="n">
        <x:v>360</x:v>
      </x:c>
      <x:c r="C27" s="23" t="str">
        <x:v>Common</x:v>
      </x:c>
      <x:c r="D27" s="23" t="str">
        <x:v>Group common</x:v>
      </x:c>
    </x:row>
    <x:row r="28">
      <x:c r="A28" s="23" t="str">
        <x:v>Outside evaluation and reconstruction</x:v>
      </x:c>
      <x:c r="B28" s="38" t="n">
        <x:v>300</x:v>
      </x:c>
      <x:c r="C28" s="23" t="str">
        <x:v>Independent</x:v>
      </x:c>
      <x:c r="D28" s="23" t="str">
        <x:v>Group common</x:v>
      </x:c>
    </x:row>
    <x:row r="29">
      <x:c r="A29" s="23" t="str">
        <x:v>Industrial readiness liaison</x:v>
      </x:c>
      <x:c r="B29" s="38" t="n">
        <x:v>240</x:v>
      </x:c>
      <x:c r="C29" s="23" t="str">
        <x:v>Common</x:v>
      </x:c>
      <x:c r="D29" s="23" t="str">
        <x:v>Group common</x:v>
      </x:c>
    </x:row>
    <x:row r="30">
      <x:c r="A30" s="23" t="str">
        <x:v>Public configuration and rights authority</x:v>
      </x:c>
      <x:c r="B30" s="38" t="n">
        <x:v>260</x:v>
      </x:c>
      <x:c r="C30" s="23" t="str">
        <x:v>Independent</x:v>
      </x:c>
      <x:c r="D30" s="23" t="str">
        <x:v>Group common</x:v>
      </x:c>
    </x:row>
    <x:row r="31">
      <x:c r="A31" s="61" t="str">
        <x:v>Group common workforce</x:v>
      </x:c>
      <x:c r="B31" s="62" t="n">
        <x:f>SUM(B25:B30)</x:f>
        <x:v>2700</x:v>
      </x:c>
      <x:c r="C31" s="61" t="str">
        <x:v>Sum above</x:v>
      </x:c>
      <x:c r="D31" s="61" t="str">
        <x:v>Calculated</x:v>
      </x:c>
    </x:row>
    <x:row r="32">
      <x:c r="A32" s="61" t="str">
        <x:v>Operational group</x:v>
      </x:c>
      <x:c r="B32" s="62" t="n">
        <x:f>B24+B31</x:f>
        <x:v>14220</x:v>
      </x:c>
      <x:c r="C32" s="61" t="str">
        <x:v>Set crews plus common</x:v>
      </x:c>
      <x:c r="D32" s="61" t="str">
        <x:v>Calculated</x:v>
      </x:c>
    </x:row>
    <x:row r="33">
      <x:c r="A33" s="23" t="str">
        <x:v>Retained reference estate</x:v>
      </x:c>
      <x:c r="B33" s="66" t="n">
        <x:f>'Assumptions'!B42</x:f>
        <x:v>7350</x:v>
      </x:c>
      <x:c r="C33" s="23" t="str">
        <x:v>Separate institution</x:v>
      </x:c>
      <x:c r="D33" s="23" t="str">
        <x:v>Cross-sheet</x:v>
      </x:c>
    </x:row>
    <x:row r="34">
      <x:c r="A34" s="61" t="str">
        <x:v>Steady public formation</x:v>
      </x:c>
      <x:c r="B34" s="62" t="n">
        <x:f>B32+B33</x:f>
        <x:v>21570</x:v>
      </x:c>
      <x:c r="C34" s="61" t="str">
        <x:v>Group plus reference</x:v>
      </x:c>
      <x:c r="D34" s="61" t="str">
        <x:v>Calculated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20" hidden="0" customWidth="1"/>
    <x:col min="3" max="3" width="16" hidden="0" customWidth="1"/>
    <x:col min="4" max="4" width="70" hidden="0" customWidth="1"/>
  </x:cols>
  <x:sheetData>
    <x:row r="2" ht="24" customHeight="1">
      <x:c r="A2" s="2" t="str">
        <x:v>Eight-set rotation derivation</x:v>
      </x:c>
      <x:c r="B2" s="2"/>
      <x:c r="C2" s="2"/>
      <x:c r="D2" s="2"/>
    </x:row>
    <x:row r="3" ht="20" customHeight="1">
      <x:c r="A3" s="3" t="str">
        <x:v>The occupied physical clock determines set count. Administrative labels do not return a set.</x:v>
      </x:c>
      <x:c r="B3" s="3"/>
      <x:c r="C3" s="3"/>
      <x:c r="D3" s="3"/>
    </x:row>
    <x:row r="5" ht="28" customHeight="1">
      <x:c r="A5" s="15" t="str">
        <x:v>Metric</x:v>
      </x:c>
      <x:c r="B5" s="16" t="str">
        <x:v>Calculated</x:v>
      </x:c>
      <x:c r="C5" s="16" t="str">
        <x:v>Unit</x:v>
      </x:c>
      <x:c r="D5" s="17" t="str">
        <x:v>Interpretation</x:v>
      </x:c>
    </x:row>
    <x:row r="6">
      <x:c r="A6" s="22" t="str">
        <x:v>Regional deployment and establishment</x:v>
      </x:c>
      <x:c r="B6" s="52" t="n">
        <x:f>'Assumptions'!B15</x:f>
        <x:v>18</x:v>
      </x:c>
      <x:c r="C6" s="22" t="str">
        <x:v>h</x:v>
      </x:c>
      <x:c r="D6" s="22" t="str">
        <x:v>Order through complete edge</x:v>
      </x:c>
    </x:row>
    <x:row r="7">
      <x:c r="A7" s="23" t="str">
        <x:v>Mission</x:v>
      </x:c>
      <x:c r="B7" s="53" t="n">
        <x:f>'Assumptions'!B16</x:f>
        <x:v>72</x:v>
      </x:c>
      <x:c r="C7" s="23" t="str">
        <x:v>h</x:v>
      </x:c>
      <x:c r="D7" s="23" t="str">
        <x:v>One endurance interval</x:v>
      </x:c>
    </x:row>
    <x:row r="8">
      <x:c r="A8" s="23" t="str">
        <x:v>Relief, withdrawal and transfer</x:v>
      </x:c>
      <x:c r="B8" s="53" t="n">
        <x:f>'Assumptions'!B17</x:f>
        <x:v>24</x:v>
      </x:c>
      <x:c r="C8" s="23" t="str">
        <x:v>h</x:v>
      </x:c>
      <x:c r="D8" s="23" t="str">
        <x:v>Before return begins</x:v>
      </x:c>
    </x:row>
    <x:row r="9">
      <x:c r="A9" s="23" t="str">
        <x:v>Regeneration</x:v>
      </x:c>
      <x:c r="B9" s="53" t="n">
        <x:f>'Assumptions'!B18</x:f>
        <x:v>336</x:v>
      </x:c>
      <x:c r="C9" s="23" t="str">
        <x:v>h</x:v>
      </x:c>
      <x:c r="D9" s="23" t="str">
        <x:v>Complete-set return</x:v>
      </x:c>
    </x:row>
    <x:row r="10">
      <x:c r="A10" s="23" t="str">
        <x:v>Occupied interval</x:v>
      </x:c>
      <x:c r="B10" s="41" t="n">
        <x:f>SUM(B6:B9)</x:f>
        <x:v>450</x:v>
      </x:c>
      <x:c r="C10" s="23" t="str">
        <x:v>h</x:v>
      </x:c>
      <x:c r="D10" s="23" t="str">
        <x:v>Earliest lawful reuse</x:v>
      </x:c>
    </x:row>
    <x:row r="11">
      <x:c r="A11" s="23" t="str">
        <x:v>Mission start interval</x:v>
      </x:c>
      <x:c r="B11" s="53" t="n">
        <x:f>'Assumptions'!B14</x:f>
        <x:v>72</x:v>
      </x:c>
      <x:c r="C11" s="23" t="str">
        <x:v>h</x:v>
      </x:c>
      <x:c r="D11" s="23" t="str">
        <x:v>Continuous replacement cadence</x:v>
      </x:c>
    </x:row>
    <x:row r="12">
      <x:c r="A12" s="23" t="str">
        <x:v>Six-set reuse interval</x:v>
      </x:c>
      <x:c r="B12" s="41" t="n">
        <x:f>6*B11</x:f>
        <x:v>432</x:v>
      </x:c>
      <x:c r="C12" s="23" t="str">
        <x:v>h</x:v>
      </x:c>
      <x:c r="D12" s="23" t="str">
        <x:v>Earlier hypothesis</x:v>
      </x:c>
    </x:row>
    <x:row r="13">
      <x:c r="A13" s="23" t="str">
        <x:v>Six-set shortfall</x:v>
      </x:c>
      <x:c r="B13" s="41" t="n">
        <x:f>B10-B12</x:f>
        <x:v>18</x:v>
      </x:c>
      <x:c r="C13" s="23" t="str">
        <x:v>h</x:v>
      </x:c>
      <x:c r="D13" s="23" t="str">
        <x:v>Positive value is failure</x:v>
      </x:c>
    </x:row>
    <x:row r="14">
      <x:c r="A14" s="23" t="str">
        <x:v>Line sets required</x:v>
      </x:c>
      <x:c r="B14" s="41" t="n">
        <x:f>INT((B10+B11-1)/B11)</x:f>
        <x:v>7</x:v>
      </x:c>
      <x:c r="C14" s="23" t="str">
        <x:v>sets</x:v>
      </x:c>
      <x:c r="D14" s="23" t="str">
        <x:v>Ceiling of occupied interval / cadence</x:v>
      </x:c>
    </x:row>
    <x:row r="15">
      <x:c r="A15" s="23" t="str">
        <x:v>Protected ready reserve</x:v>
      </x:c>
      <x:c r="B15" s="41" t="n">
        <x:f>1</x:f>
        <x:v>1</x:v>
      </x:c>
      <x:c r="C15" s="23" t="str">
        <x:v>set</x:v>
      </x:c>
      <x:c r="D15" s="23" t="str">
        <x:v>Not assigned to line cadence</x:v>
      </x:c>
    </x:row>
    <x:row r="16">
      <x:c r="A16" s="61" t="str">
        <x:v>Production-equivalent group</x:v>
      </x:c>
      <x:c r="B16" s="67" t="n">
        <x:f>SUM(B14:B15)</x:f>
        <x:v>8</x:v>
      </x:c>
      <x:c r="C16" s="61" t="str">
        <x:v>sets</x:v>
      </x:c>
      <x:c r="D16" s="61" t="str">
        <x:v>Authoritative reference</x:v>
      </x:c>
    </x:row>
    <x:row r="17">
      <x:c r="A17" s="24" t="str">
        <x:v>Six-set result</x:v>
      </x:c>
      <x:c r="B17" s="69" t="str">
        <x:f>IF(B12&gt;=B10,"CLOSES","FAILS")</x:f>
        <x:v>FAILS</x:v>
      </x:c>
      <x:c r="C17" s="24" t="str">
        <x:v>state</x:v>
      </x:c>
      <x:c r="D17" s="24" t="str">
        <x:v>No waiver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20" hidden="0" customWidth="1"/>
    <x:col min="3" max="3" width="16" hidden="0" customWidth="1"/>
    <x:col min="4" max="4" width="72" hidden="0" customWidth="1"/>
  </x:cols>
  <x:sheetData>
    <x:row r="2" ht="24" customHeight="1">
      <x:c r="A2" s="2" t="str">
        <x:v>Arsenal and regeneration capacity</x:v>
      </x:c>
      <x:c r="B2" s="2"/>
      <x:c r="C2" s="2"/>
      <x:c r="D2" s="2"/>
    </x:row>
    <x:row r="3" ht="20" customHeight="1">
      <x:c r="A3" s="3" t="str">
        <x:v>Three sites with three complete-set bays preserve cadence after one-site loss.</x:v>
      </x:c>
      <x:c r="B3" s="3"/>
      <x:c r="C3" s="3"/>
      <x:c r="D3" s="3"/>
    </x:row>
    <x:row r="5" ht="28" customHeight="1">
      <x:c r="A5" s="15" t="str">
        <x:v>Metric</x:v>
      </x:c>
      <x:c r="B5" s="16" t="str">
        <x:v>Calculated</x:v>
      </x:c>
      <x:c r="C5" s="16" t="str">
        <x:v>Unit</x:v>
      </x:c>
      <x:c r="D5" s="17" t="str">
        <x:v>Interpretation</x:v>
      </x:c>
    </x:row>
    <x:row r="6">
      <x:c r="A6" s="22" t="str">
        <x:v>Regeneration hours per set</x:v>
      </x:c>
      <x:c r="B6" s="52" t="n">
        <x:f>'Assumptions'!B18</x:f>
        <x:v>336</x:v>
      </x:c>
      <x:c r="C6" s="22" t="str">
        <x:v>h</x:v>
      </x:c>
      <x:c r="D6" s="22" t="str">
        <x:v>Complete set</x:v>
      </x:c>
    </x:row>
    <x:row r="7">
      <x:c r="A7" s="23" t="str">
        <x:v>Mission start interval</x:v>
      </x:c>
      <x:c r="B7" s="53" t="n">
        <x:f>'Assumptions'!B14</x:f>
        <x:v>72</x:v>
      </x:c>
      <x:c r="C7" s="23" t="str">
        <x:v>h</x:v>
      </x:c>
      <x:c r="D7" s="23" t="str">
        <x:v>Steady cadence</x:v>
      </x:c>
    </x:row>
    <x:row r="8">
      <x:c r="A8" s="23" t="str">
        <x:v>Average occupied bays</x:v>
      </x:c>
      <x:c r="B8" s="41" t="n">
        <x:f>B6/B7</x:f>
        <x:v>4.666666666666667</x:v>
      </x:c>
      <x:c r="C8" s="23" t="str">
        <x:v>bays</x:v>
      </x:c>
      <x:c r="D8" s="23" t="str">
        <x:v>Capacity demand</x:v>
      </x:c>
    </x:row>
    <x:row r="9">
      <x:c r="A9" s="23" t="str">
        <x:v>Arsenal sites</x:v>
      </x:c>
      <x:c r="B9" s="53" t="n">
        <x:f>'Assumptions'!B63</x:f>
        <x:v>3</x:v>
      </x:c>
      <x:c r="C9" s="23" t="str">
        <x:v>sites</x:v>
      </x:c>
      <x:c r="D9" s="23" t="str">
        <x:v>Separated regions</x:v>
      </x:c>
    </x:row>
    <x:row r="10">
      <x:c r="A10" s="23" t="str">
        <x:v>Bays per arsenal</x:v>
      </x:c>
      <x:c r="B10" s="53" t="n">
        <x:f>'Assumptions'!B64</x:f>
        <x:v>3</x:v>
      </x:c>
      <x:c r="C10" s="23" t="str">
        <x:v>bays</x:v>
      </x:c>
      <x:c r="D10" s="23" t="str">
        <x:v>Complete-set bays</x:v>
      </x:c>
    </x:row>
    <x:row r="11">
      <x:c r="A11" s="23" t="str">
        <x:v>Total bays</x:v>
      </x:c>
      <x:c r="B11" s="41" t="n">
        <x:f>B9*B10</x:f>
        <x:v>9</x:v>
      </x:c>
      <x:c r="C11" s="23" t="str">
        <x:v>bays</x:v>
      </x:c>
      <x:c r="D11" s="23" t="str">
        <x:v>Installed</x:v>
      </x:c>
    </x:row>
    <x:row r="12">
      <x:c r="A12" s="23" t="str">
        <x:v>Aggregate utilization</x:v>
      </x:c>
      <x:c r="B12" s="56" t="n">
        <x:f>B8/B11</x:f>
        <x:v>0.5185185185185186</x:v>
      </x:c>
      <x:c r="C12" s="23" t="str">
        <x:v>fraction</x:v>
      </x:c>
      <x:c r="D12" s="23" t="str">
        <x:v>No site loss</x:v>
      </x:c>
    </x:row>
    <x:row r="13">
      <x:c r="A13" s="23" t="str">
        <x:v>Bays after one-site loss</x:v>
      </x:c>
      <x:c r="B13" s="41" t="n">
        <x:f>(B9-1)*B10</x:f>
        <x:v>6</x:v>
      </x:c>
      <x:c r="C13" s="23" t="str">
        <x:v>bays</x:v>
      </x:c>
      <x:c r="D13" s="23" t="str">
        <x:v>Residual</x:v>
      </x:c>
    </x:row>
    <x:row r="14">
      <x:c r="A14" s="23" t="str">
        <x:v>One-site-loss utilization</x:v>
      </x:c>
      <x:c r="B14" s="41" t="n">
        <x:f>B8/B13</x:f>
        <x:v>0.7777777777777778</x:v>
      </x:c>
      <x:c r="C14" s="23" t="str">
        <x:v>fraction</x:v>
      </x:c>
      <x:c r="D14" s="23" t="str">
        <x:v>Residual</x:v>
      </x:c>
    </x:row>
    <x:row r="15">
      <x:c r="A15" s="23" t="str">
        <x:v>Two-bay/site residual bays</x:v>
      </x:c>
      <x:c r="B15" s="41" t="n">
        <x:f>(B9-1)*2</x:f>
        <x:v>4</x:v>
      </x:c>
      <x:c r="C15" s="23" t="str">
        <x:v>bays</x:v>
      </x:c>
      <x:c r="D15" s="23" t="str">
        <x:v>Rejected counterfactual</x:v>
      </x:c>
    </x:row>
    <x:row r="16">
      <x:c r="A16" s="24" t="str">
        <x:v>Two-bay/site utilization</x:v>
      </x:c>
      <x:c r="B16" s="42" t="n">
        <x:f>B8/B15</x:f>
        <x:v>1.1666666666666667</x:v>
      </x:c>
      <x:c r="C16" s="24" t="str">
        <x:v>fraction</x:v>
      </x:c>
      <x:c r="D16" s="24" t="str">
        <x:v>Exceeds capacity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66" hidden="0" customWidth="1"/>
    <x:col min="5" max="5" width="38" hidden="0" customWidth="1"/>
  </x:cols>
  <x:sheetData>
    <x:row r="2" ht="24" customHeight="1">
      <x:c r="A2" s="2" t="str">
        <x:v>Repair levels and time authority</x:v>
      </x:c>
      <x:c r="B2" s="2"/>
      <x:c r="C2" s="2"/>
      <x:c r="D2" s="2"/>
      <x:c r="E2" s="2"/>
    </x:row>
    <x:row r="3" ht="20" customHeight="1">
      <x:c r="A3" s="3" t="str">
        <x:v>Repair depth is tied to location, clock and independent release.</x:v>
      </x:c>
      <x:c r="B3" s="3"/>
      <x:c r="C3" s="3"/>
      <x:c r="D3" s="3"/>
      <x:c r="E3" s="3"/>
    </x:row>
    <x:row r="5" ht="28" customHeight="1">
      <x:c r="A5" s="15" t="str">
        <x:v>Level</x:v>
      </x:c>
      <x:c r="B5" s="16" t="str">
        <x:v>Location</x:v>
      </x:c>
      <x:c r="C5" s="16" t="str">
        <x:v>Maximum interval h</x:v>
      </x:c>
      <x:c r="D5" s="16" t="str">
        <x:v>Authorized work</x:v>
      </x:c>
      <x:c r="E5" s="17" t="str">
        <x:v>Return authority</x:v>
      </x:c>
    </x:row>
    <x:row r="6">
      <x:c r="A6" s="22" t="str">
        <x:v>L0</x:v>
      </x:c>
      <x:c r="B6" s="22" t="str">
        <x:v>Cell</x:v>
      </x:c>
      <x:c r="C6" s="70" t="n">
        <x:v>0.25</x:v>
      </x:c>
      <x:c r="D6" s="22" t="str">
        <x:v>Isolation, local safe state and reserve switch</x:v>
      </x:c>
      <x:c r="E6" s="22" t="str">
        <x:v>Cell safety lead</x:v>
      </x:c>
    </x:row>
    <x:row r="7">
      <x:c r="A7" s="23" t="str">
        <x:v>L1</x:v>
      </x:c>
      <x:c r="B7" s="23" t="str">
        <x:v>Sector</x:v>
      </x:c>
      <x:c r="C7" s="71" t="n">
        <x:v>2</x:v>
      </x:c>
      <x:c r="D7" s="23" t="str">
        <x:v>Line-replaceable unit and route repair</x:v>
      </x:c>
      <x:c r="E7" s="23" t="str">
        <x:v>Sector maintenance lead</x:v>
      </x:c>
    </x:row>
    <x:row r="8">
      <x:c r="A8" s="23" t="str">
        <x:v>L2</x:v>
      </x:c>
      <x:c r="B8" s="23" t="str">
        <x:v>Field set</x:v>
      </x:c>
      <x:c r="C8" s="71" t="n">
        <x:v>12</x:v>
      </x:c>
      <x:c r="D8" s="23" t="str">
        <x:v>Module exchange, calibration and proof</x:v>
      </x:c>
      <x:c r="E8" s="23" t="str">
        <x:v>Set configuration authority</x:v>
      </x:c>
    </x:row>
    <x:row r="9">
      <x:c r="A9" s="23" t="str">
        <x:v>L3</x:v>
      </x:c>
      <x:c r="B9" s="23" t="str">
        <x:v>Regional arsenal</x:v>
      </x:c>
      <x:c r="C9" s="71" t="n">
        <x:v>96</x:v>
      </x:c>
      <x:c r="D9" s="23" t="str">
        <x:v>Contaminated teardown and subsystem rebuild</x:v>
      </x:c>
      <x:c r="E9" s="23" t="str">
        <x:v>Arsenal release board</x:v>
      </x:c>
    </x:row>
    <x:row r="10">
      <x:c r="A10" s="23" t="str">
        <x:v>L4</x:v>
      </x:c>
      <x:c r="B10" s="23" t="str">
        <x:v>National depot or factory</x:v>
      </x:c>
      <x:c r="C10" s="71" t="n">
        <x:v>336</x:v>
      </x:c>
      <x:c r="D10" s="23" t="str">
        <x:v>Complete-set regeneration and structural renewal</x:v>
      </x:c>
      <x:c r="E10" s="23" t="str">
        <x:v>Independent return authority</x:v>
      </x:c>
    </x:row>
    <x:row r="11">
      <x:c r="A11" s="24" t="str">
        <x:v>L5</x:v>
      </x:c>
      <x:c r="B11" s="24" t="str">
        <x:v>Design and production system</x:v>
      </x:c>
      <x:c r="C11" s="72"/>
      <x:c r="D11" s="24" t="str">
        <x:v>Design or process change and root requalification</x:v>
      </x:c>
      <x:c r="E11" s="24" t="str">
        <x:v>Public configuration board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38" hidden="0" customWidth="1"/>
    <x:col min="3" max="3" width="18" hidden="0" customWidth="1"/>
    <x:col min="4" max="4" width="20" hidden="0" customWidth="1"/>
    <x:col min="5" max="5" width="22" hidden="0" customWidth="1"/>
    <x:col min="6" max="6" width="54" hidden="0" customWidth="1"/>
  </x:cols>
  <x:sheetData>
    <x:row r="2" ht="24" customHeight="1">
      <x:c r="A2" s="2" t="str">
        <x:v>Three-arsenal group reserve</x:v>
      </x:c>
      <x:c r="B2" s="2"/>
      <x:c r="C2" s="2"/>
      <x:c r="D2" s="2"/>
      <x:c r="E2" s="2"/>
      <x:c r="F2" s="2"/>
    </x:row>
    <x:row r="3" ht="20" customHeight="1">
      <x:c r="A3" s="3" t="str">
        <x:v>Reserve units are separate from the eight set bills and remain geographically distributed.</x:v>
      </x:c>
      <x:c r="B3" s="3"/>
      <x:c r="C3" s="3"/>
      <x:c r="D3" s="3"/>
      <x:c r="E3" s="3"/>
      <x:c r="F3" s="3"/>
    </x:row>
    <x:row r="5" ht="28" customHeight="1">
      <x:c r="A5" s="15" t="str">
        <x:v>ID</x:v>
      </x:c>
      <x:c r="B5" s="16" t="str">
        <x:v>Family</x:v>
      </x:c>
      <x:c r="C5" s="16" t="str">
        <x:v>Reserve units</x:v>
      </x:c>
      <x:c r="D5" s="16" t="str">
        <x:v>Unit cost USD M</x:v>
      </x:c>
      <x:c r="E5" s="16" t="str">
        <x:v>Reserve cost USD M</x:v>
      </x:c>
      <x:c r="F5" s="17" t="str">
        <x:v>Purpose</x:v>
      </x:c>
    </x:row>
    <x:row r="6">
      <x:c r="A6" s="22" t="str">
        <x:v>EFF-16</x:v>
      </x:c>
      <x:c r="B6" s="22" t="str">
        <x:v>Intervention cells</x:v>
      </x:c>
      <x:c r="C6" s="37" t="n">
        <x:v>32</x:v>
      </x:c>
      <x:c r="D6" s="45" t="n">
        <x:v>120</x:v>
      </x:c>
      <x:c r="E6" s="45" t="n">
        <x:f>C6*D6</x:f>
        <x:v>3840</x:v>
      </x:c>
      <x:c r="F6" s="22" t="str">
        <x:v>Distributed replacement capacity</x:v>
      </x:c>
    </x:row>
    <x:row r="7">
      <x:c r="A7" s="23" t="str">
        <x:v>WPT-500</x:v>
      </x:c>
      <x:c r="B7" s="23" t="str">
        <x:v>Treatment trains</x:v>
      </x:c>
      <x:c r="C7" s="38" t="n">
        <x:v>12</x:v>
      </x:c>
      <x:c r="D7" s="46" t="n">
        <x:v>180</x:v>
      </x:c>
      <x:c r="E7" s="46" t="n">
        <x:f>C7*D7</x:f>
        <x:v>2160</x:v>
      </x:c>
      <x:c r="F7" s="23" t="str">
        <x:v>Distributed replacement capacity</x:v>
      </x:c>
    </x:row>
    <x:row r="8">
      <x:c r="A8" s="23" t="str">
        <x:v>RAW-1000</x:v>
      </x:c>
      <x:c r="B8" s="23" t="str">
        <x:v>Raw-water intake paths</x:v>
      </x:c>
      <x:c r="C8" s="38" t="n">
        <x:v>6</x:v>
      </x:c>
      <x:c r="D8" s="46" t="n">
        <x:v>60</x:v>
      </x:c>
      <x:c r="E8" s="46" t="n">
        <x:f>C8*D8</x:f>
        <x:v>360</x:v>
      </x:c>
      <x:c r="F8" s="23" t="str">
        <x:v>Distributed replacement capacity</x:v>
      </x:c>
    </x:row>
    <x:row r="9">
      <x:c r="A9" s="23" t="str">
        <x:v>RTL-100</x:v>
      </x:c>
      <x:c r="B9" s="23" t="str">
        <x:v>100 m trunkline sections</x:v>
      </x:c>
      <x:c r="C9" s="38" t="n">
        <x:v>240</x:v>
      </x:c>
      <x:c r="D9" s="46" t="n">
        <x:v>1.5</x:v>
      </x:c>
      <x:c r="E9" s="46" t="n">
        <x:f>C9*D9</x:f>
        <x:v>360</x:v>
      </x:c>
      <x:c r="F9" s="23" t="str">
        <x:v>Distributed replacement capacity</x:v>
      </x:c>
    </x:row>
    <x:row r="10">
      <x:c r="A10" s="23" t="str">
        <x:v>RTR-12</x:v>
      </x:c>
      <x:c r="B10" s="23" t="str">
        <x:v>Route and repair robots</x:v>
      </x:c>
      <x:c r="C10" s="38" t="n">
        <x:v>48</x:v>
      </x:c>
      <x:c r="D10" s="46" t="n">
        <x:v>12</x:v>
      </x:c>
      <x:c r="E10" s="46" t="n">
        <x:f>C10*D10</x:f>
        <x:v>576</x:v>
      </x:c>
      <x:c r="F10" s="23" t="str">
        <x:v>Distributed replacement capacity</x:v>
      </x:c>
    </x:row>
    <x:row r="11">
      <x:c r="A11" s="23" t="str">
        <x:v>BUF-100</x:v>
      </x:c>
      <x:c r="B11" s="23" t="str">
        <x:v>Ready-storage cells</x:v>
      </x:c>
      <x:c r="C11" s="38" t="n">
        <x:v>30</x:v>
      </x:c>
      <x:c r="D11" s="46" t="n">
        <x:v>5</x:v>
      </x:c>
      <x:c r="E11" s="46" t="n">
        <x:f>C11*D11</x:f>
        <x:v>150</x:v>
      </x:c>
      <x:c r="F11" s="23" t="str">
        <x:v>Distributed replacement capacity</x:v>
      </x:c>
    </x:row>
    <x:row r="12">
      <x:c r="A12" s="23" t="str">
        <x:v>REC-185</x:v>
      </x:c>
      <x:c r="B12" s="23" t="str">
        <x:v>Recovery trains</x:v>
      </x:c>
      <x:c r="C12" s="38" t="n">
        <x:v>12</x:v>
      </x:c>
      <x:c r="D12" s="46" t="n">
        <x:v>120</x:v>
      </x:c>
      <x:c r="E12" s="46" t="n">
        <x:f>C12*D12</x:f>
        <x:v>1440</x:v>
      </x:c>
      <x:c r="F12" s="23" t="str">
        <x:v>Distributed replacement capacity</x:v>
      </x:c>
    </x:row>
    <x:row r="13">
      <x:c r="A13" s="23" t="str">
        <x:v>SUR-100</x:v>
      </x:c>
      <x:c r="B13" s="23" t="str">
        <x:v>Surge-custody cells</x:v>
      </x:c>
      <x:c r="C13" s="38" t="n">
        <x:v>72</x:v>
      </x:c>
      <x:c r="D13" s="46" t="n">
        <x:v>4</x:v>
      </x:c>
      <x:c r="E13" s="46" t="n">
        <x:f>C13*D13</x:f>
        <x:v>288</x:v>
      </x:c>
      <x:c r="F13" s="23" t="str">
        <x:v>Distributed replacement capacity</x:v>
      </x:c>
    </x:row>
    <x:row r="14">
      <x:c r="A14" s="23" t="str">
        <x:v>ENG-5/7</x:v>
      </x:c>
      <x:c r="B14" s="23" t="str">
        <x:v>Energy islands</x:v>
      </x:c>
      <x:c r="C14" s="38" t="n">
        <x:v>12</x:v>
      </x:c>
      <x:c r="D14" s="46" t="n">
        <x:v>180</x:v>
      </x:c>
      <x:c r="E14" s="46" t="n">
        <x:f>C14*D14</x:f>
        <x:v>2160</x:v>
      </x:c>
      <x:c r="F14" s="23" t="str">
        <x:v>Distributed replacement capacity</x:v>
      </x:c>
    </x:row>
    <x:row r="15">
      <x:c r="A15" s="23" t="str">
        <x:v>PWR-20</x:v>
      </x:c>
      <x:c r="B15" s="23" t="str">
        <x:v>Field distribution units</x:v>
      </x:c>
      <x:c r="C15" s="38" t="n">
        <x:v>40</x:v>
      </x:c>
      <x:c r="D15" s="46" t="n">
        <x:v>20</x:v>
      </x:c>
      <x:c r="E15" s="46" t="n">
        <x:f>C15*D15</x:f>
        <x:v>800</x:v>
      </x:c>
      <x:c r="F15" s="23" t="str">
        <x:v>Distributed replacement capacity</x:v>
      </x:c>
    </x:row>
    <x:row r="16">
      <x:c r="A16" s="23" t="str">
        <x:v>LCN-12</x:v>
      </x:c>
      <x:c r="B16" s="23" t="str">
        <x:v>Local command nodes</x:v>
      </x:c>
      <x:c r="C16" s="38" t="n">
        <x:v>24</x:v>
      </x:c>
      <x:c r="D16" s="46" t="n">
        <x:v>8</x:v>
      </x:c>
      <x:c r="E16" s="46" t="n">
        <x:f>C16*D16</x:f>
        <x:v>192</x:v>
      </x:c>
      <x:c r="F16" s="23" t="str">
        <x:v>Distributed replacement capacity</x:v>
      </x:c>
    </x:row>
    <x:row r="17">
      <x:c r="A17" s="23" t="str">
        <x:v>SCN-2</x:v>
      </x:c>
      <x:c r="B17" s="23" t="str">
        <x:v>Set coordination nodes</x:v>
      </x:c>
      <x:c r="C17" s="38" t="n">
        <x:v>4</x:v>
      </x:c>
      <x:c r="D17" s="46" t="n">
        <x:v>60</x:v>
      </x:c>
      <x:c r="E17" s="46" t="n">
        <x:f>C17*D17</x:f>
        <x:v>240</x:v>
      </x:c>
      <x:c r="F17" s="23" t="str">
        <x:v>Distributed replacement capacity</x:v>
      </x:c>
    </x:row>
    <x:row r="18">
      <x:c r="A18" s="23" t="str">
        <x:v>RES-6</x:v>
      </x:c>
      <x:c r="B18" s="23" t="str">
        <x:v>Rescue and medical cells</x:v>
      </x:c>
      <x:c r="C18" s="38" t="n">
        <x:v>12</x:v>
      </x:c>
      <x:c r="D18" s="46" t="n">
        <x:v>40</x:v>
      </x:c>
      <x:c r="E18" s="46" t="n">
        <x:f>C18*D18</x:f>
        <x:v>480</x:v>
      </x:c>
      <x:c r="F18" s="23" t="str">
        <x:v>Distributed replacement capacity</x:v>
      </x:c>
    </x:row>
    <x:row r="19">
      <x:c r="A19" s="23" t="str">
        <x:v>REP-6</x:v>
      </x:c>
      <x:c r="B19" s="23" t="str">
        <x:v>Field repair shops</x:v>
      </x:c>
      <x:c r="C19" s="38" t="n">
        <x:v>6</x:v>
      </x:c>
      <x:c r="D19" s="46" t="n">
        <x:v>50</x:v>
      </x:c>
      <x:c r="E19" s="46" t="n">
        <x:f>C19*D19</x:f>
        <x:v>300</x:v>
      </x:c>
      <x:c r="F19" s="23" t="str">
        <x:v>Distributed replacement capacity</x:v>
      </x:c>
    </x:row>
    <x:row r="20">
      <x:c r="A20" s="24" t="str">
        <x:v>TIA-30</x:v>
      </x:c>
      <x:c r="B20" s="24" t="str">
        <x:v>Transport-interface adapters</x:v>
      </x:c>
      <x:c r="C20" s="39" t="n">
        <x:v>60</x:v>
      </x:c>
      <x:c r="D20" s="47" t="n">
        <x:v>6</x:v>
      </x:c>
      <x:c r="E20" s="47" t="n">
        <x:f>C20*D20</x:f>
        <x:v>360</x:v>
      </x:c>
      <x:c r="F20" s="24" t="str">
        <x:v>Distributed replacement capacity</x:v>
      </x:c>
    </x:row>
    <x:row r="21">
      <x:c r="A21" s="36" t="str">
        <x:v>TOTAL</x:v>
      </x:c>
      <x:c r="B21" s="36" t="str">
        <x:v>Central module reserve</x:v>
      </x:c>
      <x:c r="C21" s="36"/>
      <x:c r="D21" s="48"/>
      <x:c r="E21" s="48" t="n">
        <x:f>SUM(E6:E20)</x:f>
        <x:v>13706</x:v>
      </x:c>
      <x:c r="F21" s="36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24" hidden="0" customWidth="1"/>
    <x:col min="5" max="5" width="20" hidden="0" customWidth="1"/>
    <x:col min="6" max="6" width="16" hidden="0" customWidth="1"/>
  </x:cols>
  <x:sheetData>
    <x:row r="2" ht="24" customHeight="1">
      <x:c r="A2" s="2" t="str">
        <x:v>Production-equivalent system-root cells</x:v>
      </x:c>
      <x:c r="B2" s="2"/>
      <x:c r="C2" s="2"/>
      <x:c r="D2" s="2"/>
      <x:c r="E2" s="2"/>
      <x:c r="F2" s="2"/>
    </x:row>
    <x:row r="3" ht="20" customHeight="1">
      <x:c r="A3" s="3" t="str">
        <x:v>The upper branch retains two candidates, two unrelated builders and three consecutive systems per cell.</x:v>
      </x:c>
      <x:c r="B3" s="3"/>
      <x:c r="C3" s="3"/>
      <x:c r="D3" s="3"/>
      <x:c r="E3" s="3"/>
      <x:c r="F3" s="3"/>
    </x:row>
    <x:row r="5" ht="28" customHeight="1">
      <x:c r="A5" s="15" t="str">
        <x:v>Root cell</x:v>
      </x:c>
      <x:c r="B5" s="16" t="str">
        <x:v>Candidate</x:v>
      </x:c>
      <x:c r="C5" s="16" t="str">
        <x:v>Builder</x:v>
      </x:c>
      <x:c r="D5" s="16" t="str">
        <x:v>Consecutive systems</x:v>
      </x:c>
      <x:c r="E5" s="16" t="str">
        <x:v>Terminal systems</x:v>
      </x:c>
      <x:c r="F5" s="17" t="str">
        <x:v>State</x:v>
      </x:c>
    </x:row>
    <x:row r="6">
      <x:c r="A6" s="22" t="str">
        <x:v>A-R1</x:v>
      </x:c>
      <x:c r="B6" s="22" t="str">
        <x:v>SURVIVOR-A</x:v>
      </x:c>
      <x:c r="C6" s="22" t="str">
        <x:v>ROOT-1</x:v>
      </x:c>
      <x:c r="D6" s="22" t="n">
        <x:v>3</x:v>
      </x:c>
      <x:c r="E6" s="22" t="n">
        <x:v>1</x:v>
      </x:c>
      <x:c r="F6" s="22" t="str">
        <x:v>OPEN</x:v>
      </x:c>
    </x:row>
    <x:row r="7">
      <x:c r="A7" s="23" t="str">
        <x:v>A-R2</x:v>
      </x:c>
      <x:c r="B7" s="23" t="str">
        <x:v>SURVIVOR-A</x:v>
      </x:c>
      <x:c r="C7" s="23" t="str">
        <x:v>ROOT-2</x:v>
      </x:c>
      <x:c r="D7" s="23" t="n">
        <x:v>3</x:v>
      </x:c>
      <x:c r="E7" s="23" t="n">
        <x:v>1</x:v>
      </x:c>
      <x:c r="F7" s="23" t="str">
        <x:v>OPEN</x:v>
      </x:c>
    </x:row>
    <x:row r="8">
      <x:c r="A8" s="23" t="str">
        <x:v>B-R1</x:v>
      </x:c>
      <x:c r="B8" s="23" t="str">
        <x:v>SURVIVOR-B</x:v>
      </x:c>
      <x:c r="C8" s="23" t="str">
        <x:v>ROOT-1</x:v>
      </x:c>
      <x:c r="D8" s="23" t="n">
        <x:v>3</x:v>
      </x:c>
      <x:c r="E8" s="23" t="n">
        <x:v>1</x:v>
      </x:c>
      <x:c r="F8" s="23" t="str">
        <x:v>OPEN</x:v>
      </x:c>
    </x:row>
    <x:row r="9">
      <x:c r="A9" s="24" t="str">
        <x:v>B-R2</x:v>
      </x:c>
      <x:c r="B9" s="24" t="str">
        <x:v>SURVIVOR-B</x:v>
      </x:c>
      <x:c r="C9" s="24" t="str">
        <x:v>ROOT-2</x:v>
      </x:c>
      <x:c r="D9" s="24" t="n">
        <x:v>3</x:v>
      </x:c>
      <x:c r="E9" s="24" t="n">
        <x:v>1</x:v>
      </x:c>
      <x:c r="F9" s="24" t="str">
        <x:v>OPEN</x:v>
      </x:c>
    </x:row>
    <x:row r="10">
      <x:c r="A10" s="36" t="str">
        <x:v>TOTAL</x:v>
      </x:c>
      <x:c r="B10" s="36" t="str"/>
      <x:c r="C10" s="36"/>
      <x:c r="D10" s="36" t="n">
        <x:f>SUM(D6:D9)</x:f>
        <x:v>12</x:v>
      </x:c>
      <x:c r="E10" s="36" t="n">
        <x:f>SUM(E6:E9)</x:f>
        <x:v>4</x:v>
      </x:c>
      <x:c r="F10" s="36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4" hidden="0" customWidth="1"/>
    <x:col min="5" max="5" width="20" hidden="0" customWidth="1"/>
    <x:col min="6" max="6" width="16" hidden="0" customWidth="1"/>
    <x:col min="7" max="7" width="16" hidden="0" customWidth="1"/>
  </x:cols>
  <x:sheetData>
    <x:row r="2" ht="24" customHeight="1">
      <x:c r="A2" s="2" t="str">
        <x:v>Dual module-root qualification cells</x:v>
      </x:c>
      <x:c r="B2" s="2"/>
      <x:c r="C2" s="2"/>
      <x:c r="D2" s="2"/>
      <x:c r="E2" s="2"/>
      <x:c r="F2" s="2"/>
      <x:c r="G2" s="2"/>
    </x:row>
    <x:row r="3" ht="20" customHeight="1">
      <x:c r="A3" s="3" t="str">
        <x:v>Every manufactured hardware family receives two roots, four process-window units and two destructive units per root.</x:v>
      </x:c>
      <x:c r="B3" s="3"/>
      <x:c r="C3" s="3"/>
      <x:c r="D3" s="3"/>
      <x:c r="E3" s="3"/>
      <x:c r="F3" s="3"/>
      <x:c r="G3" s="3"/>
    </x:row>
    <x:row r="5" ht="28" customHeight="1">
      <x:c r="A5" s="15" t="str">
        <x:v>Root cell</x:v>
      </x:c>
      <x:c r="B5" s="16" t="str">
        <x:v>Family</x:v>
      </x:c>
      <x:c r="C5" s="16" t="str">
        <x:v>Production root</x:v>
      </x:c>
      <x:c r="D5" s="16" t="str">
        <x:v>Process-window units</x:v>
      </x:c>
      <x:c r="E5" s="16" t="str">
        <x:v>Destructive units</x:v>
      </x:c>
      <x:c r="F5" s="16" t="str">
        <x:v>Total units</x:v>
      </x:c>
      <x:c r="G5" s="17" t="str">
        <x:v>State</x:v>
      </x:c>
    </x:row>
    <x:row r="6">
      <x:c r="A6" s="22" t="str">
        <x:v>EFF-16-ROOT-1</x:v>
      </x:c>
      <x:c r="B6" s="22" t="str">
        <x:v>EFF-16</x:v>
      </x:c>
      <x:c r="C6" s="22" t="str">
        <x:v>ROOT-1</x:v>
      </x:c>
      <x:c r="D6" s="22" t="n">
        <x:v>4</x:v>
      </x:c>
      <x:c r="E6" s="22" t="n">
        <x:v>2</x:v>
      </x:c>
      <x:c r="F6" s="22" t="n">
        <x:v>6</x:v>
      </x:c>
      <x:c r="G6" s="22" t="str">
        <x:v>OPEN</x:v>
      </x:c>
    </x:row>
    <x:row r="7">
      <x:c r="A7" s="23" t="str">
        <x:v>EFF-16-ROOT-2</x:v>
      </x:c>
      <x:c r="B7" s="23" t="str">
        <x:v>EFF-16</x:v>
      </x:c>
      <x:c r="C7" s="23" t="str">
        <x:v>ROOT-2</x:v>
      </x:c>
      <x:c r="D7" s="23" t="n">
        <x:v>4</x:v>
      </x:c>
      <x:c r="E7" s="23" t="n">
        <x:v>2</x:v>
      </x:c>
      <x:c r="F7" s="23" t="n">
        <x:v>6</x:v>
      </x:c>
      <x:c r="G7" s="23" t="str">
        <x:v>OPEN</x:v>
      </x:c>
    </x:row>
    <x:row r="8">
      <x:c r="A8" s="23" t="str">
        <x:v>WPT-500-ROOT-1</x:v>
      </x:c>
      <x:c r="B8" s="23" t="str">
        <x:v>WPT-500</x:v>
      </x:c>
      <x:c r="C8" s="23" t="str">
        <x:v>ROOT-1</x:v>
      </x:c>
      <x:c r="D8" s="23" t="n">
        <x:v>4</x:v>
      </x:c>
      <x:c r="E8" s="23" t="n">
        <x:v>2</x:v>
      </x:c>
      <x:c r="F8" s="23" t="n">
        <x:v>6</x:v>
      </x:c>
      <x:c r="G8" s="23" t="str">
        <x:v>OPEN</x:v>
      </x:c>
    </x:row>
    <x:row r="9">
      <x:c r="A9" s="23" t="str">
        <x:v>WPT-500-ROOT-2</x:v>
      </x:c>
      <x:c r="B9" s="23" t="str">
        <x:v>WPT-500</x:v>
      </x:c>
      <x:c r="C9" s="23" t="str">
        <x:v>ROOT-2</x:v>
      </x:c>
      <x:c r="D9" s="23" t="n">
        <x:v>4</x:v>
      </x:c>
      <x:c r="E9" s="23" t="n">
        <x:v>2</x:v>
      </x:c>
      <x:c r="F9" s="23" t="n">
        <x:v>6</x:v>
      </x:c>
      <x:c r="G9" s="23" t="str">
        <x:v>OPEN</x:v>
      </x:c>
    </x:row>
    <x:row r="10">
      <x:c r="A10" s="23" t="str">
        <x:v>RAW-1000-ROOT-1</x:v>
      </x:c>
      <x:c r="B10" s="23" t="str">
        <x:v>RAW-1000</x:v>
      </x:c>
      <x:c r="C10" s="23" t="str">
        <x:v>ROOT-1</x:v>
      </x:c>
      <x:c r="D10" s="23" t="n">
        <x:v>4</x:v>
      </x:c>
      <x:c r="E10" s="23" t="n">
        <x:v>2</x:v>
      </x:c>
      <x:c r="F10" s="23" t="n">
        <x:v>6</x:v>
      </x:c>
      <x:c r="G10" s="23" t="str">
        <x:v>OPEN</x:v>
      </x:c>
    </x:row>
    <x:row r="11">
      <x:c r="A11" s="23" t="str">
        <x:v>RAW-1000-ROOT-2</x:v>
      </x:c>
      <x:c r="B11" s="23" t="str">
        <x:v>RAW-1000</x:v>
      </x:c>
      <x:c r="C11" s="23" t="str">
        <x:v>ROOT-2</x:v>
      </x:c>
      <x:c r="D11" s="23" t="n">
        <x:v>4</x:v>
      </x:c>
      <x:c r="E11" s="23" t="n">
        <x:v>2</x:v>
      </x:c>
      <x:c r="F11" s="23" t="n">
        <x:v>6</x:v>
      </x:c>
      <x:c r="G11" s="23" t="str">
        <x:v>OPEN</x:v>
      </x:c>
    </x:row>
    <x:row r="12">
      <x:c r="A12" s="23" t="str">
        <x:v>RTL-100-ROOT-1</x:v>
      </x:c>
      <x:c r="B12" s="23" t="str">
        <x:v>RTL-100</x:v>
      </x:c>
      <x:c r="C12" s="23" t="str">
        <x:v>ROOT-1</x:v>
      </x:c>
      <x:c r="D12" s="23" t="n">
        <x:v>4</x:v>
      </x:c>
      <x:c r="E12" s="23" t="n">
        <x:v>2</x:v>
      </x:c>
      <x:c r="F12" s="23" t="n">
        <x:v>6</x:v>
      </x:c>
      <x:c r="G12" s="23" t="str">
        <x:v>OPEN</x:v>
      </x:c>
    </x:row>
    <x:row r="13">
      <x:c r="A13" s="23" t="str">
        <x:v>RTL-100-ROOT-2</x:v>
      </x:c>
      <x:c r="B13" s="23" t="str">
        <x:v>RTL-100</x:v>
      </x:c>
      <x:c r="C13" s="23" t="str">
        <x:v>ROOT-2</x:v>
      </x:c>
      <x:c r="D13" s="23" t="n">
        <x:v>4</x:v>
      </x:c>
      <x:c r="E13" s="23" t="n">
        <x:v>2</x:v>
      </x:c>
      <x:c r="F13" s="23" t="n">
        <x:v>6</x:v>
      </x:c>
      <x:c r="G13" s="23" t="str">
        <x:v>OPEN</x:v>
      </x:c>
    </x:row>
    <x:row r="14">
      <x:c r="A14" s="23" t="str">
        <x:v>RTR-12-ROOT-1</x:v>
      </x:c>
      <x:c r="B14" s="23" t="str">
        <x:v>RTR-12</x:v>
      </x:c>
      <x:c r="C14" s="23" t="str">
        <x:v>ROOT-1</x:v>
      </x:c>
      <x:c r="D14" s="23" t="n">
        <x:v>4</x:v>
      </x:c>
      <x:c r="E14" s="23" t="n">
        <x:v>2</x:v>
      </x:c>
      <x:c r="F14" s="23" t="n">
        <x:v>6</x:v>
      </x:c>
      <x:c r="G14" s="23" t="str">
        <x:v>OPEN</x:v>
      </x:c>
    </x:row>
    <x:row r="15">
      <x:c r="A15" s="23" t="str">
        <x:v>RTR-12-ROOT-2</x:v>
      </x:c>
      <x:c r="B15" s="23" t="str">
        <x:v>RTR-12</x:v>
      </x:c>
      <x:c r="C15" s="23" t="str">
        <x:v>ROOT-2</x:v>
      </x:c>
      <x:c r="D15" s="23" t="n">
        <x:v>4</x:v>
      </x:c>
      <x:c r="E15" s="23" t="n">
        <x:v>2</x:v>
      </x:c>
      <x:c r="F15" s="23" t="n">
        <x:v>6</x:v>
      </x:c>
      <x:c r="G15" s="23" t="str">
        <x:v>OPEN</x:v>
      </x:c>
    </x:row>
    <x:row r="16">
      <x:c r="A16" s="23" t="str">
        <x:v>BUF-100-ROOT-1</x:v>
      </x:c>
      <x:c r="B16" s="23" t="str">
        <x:v>BUF-100</x:v>
      </x:c>
      <x:c r="C16" s="23" t="str">
        <x:v>ROOT-1</x:v>
      </x:c>
      <x:c r="D16" s="23" t="n">
        <x:v>4</x:v>
      </x:c>
      <x:c r="E16" s="23" t="n">
        <x:v>2</x:v>
      </x:c>
      <x:c r="F16" s="23" t="n">
        <x:v>6</x:v>
      </x:c>
      <x:c r="G16" s="23" t="str">
        <x:v>OPEN</x:v>
      </x:c>
    </x:row>
    <x:row r="17">
      <x:c r="A17" s="23" t="str">
        <x:v>BUF-100-ROOT-2</x:v>
      </x:c>
      <x:c r="B17" s="23" t="str">
        <x:v>BUF-100</x:v>
      </x:c>
      <x:c r="C17" s="23" t="str">
        <x:v>ROOT-2</x:v>
      </x:c>
      <x:c r="D17" s="23" t="n">
        <x:v>4</x:v>
      </x:c>
      <x:c r="E17" s="23" t="n">
        <x:v>2</x:v>
      </x:c>
      <x:c r="F17" s="23" t="n">
        <x:v>6</x:v>
      </x:c>
      <x:c r="G17" s="23" t="str">
        <x:v>OPEN</x:v>
      </x:c>
    </x:row>
    <x:row r="18">
      <x:c r="A18" s="23" t="str">
        <x:v>REC-185-ROOT-1</x:v>
      </x:c>
      <x:c r="B18" s="23" t="str">
        <x:v>REC-185</x:v>
      </x:c>
      <x:c r="C18" s="23" t="str">
        <x:v>ROOT-1</x:v>
      </x:c>
      <x:c r="D18" s="23" t="n">
        <x:v>4</x:v>
      </x:c>
      <x:c r="E18" s="23" t="n">
        <x:v>2</x:v>
      </x:c>
      <x:c r="F18" s="23" t="n">
        <x:v>6</x:v>
      </x:c>
      <x:c r="G18" s="23" t="str">
        <x:v>OPEN</x:v>
      </x:c>
    </x:row>
    <x:row r="19">
      <x:c r="A19" s="23" t="str">
        <x:v>REC-185-ROOT-2</x:v>
      </x:c>
      <x:c r="B19" s="23" t="str">
        <x:v>REC-185</x:v>
      </x:c>
      <x:c r="C19" s="23" t="str">
        <x:v>ROOT-2</x:v>
      </x:c>
      <x:c r="D19" s="23" t="n">
        <x:v>4</x:v>
      </x:c>
      <x:c r="E19" s="23" t="n">
        <x:v>2</x:v>
      </x:c>
      <x:c r="F19" s="23" t="n">
        <x:v>6</x:v>
      </x:c>
      <x:c r="G19" s="23" t="str">
        <x:v>OPEN</x:v>
      </x:c>
    </x:row>
    <x:row r="20">
      <x:c r="A20" s="23" t="str">
        <x:v>SUR-100-ROOT-1</x:v>
      </x:c>
      <x:c r="B20" s="23" t="str">
        <x:v>SUR-100</x:v>
      </x:c>
      <x:c r="C20" s="23" t="str">
        <x:v>ROOT-1</x:v>
      </x:c>
      <x:c r="D20" s="23" t="n">
        <x:v>4</x:v>
      </x:c>
      <x:c r="E20" s="23" t="n">
        <x:v>2</x:v>
      </x:c>
      <x:c r="F20" s="23" t="n">
        <x:v>6</x:v>
      </x:c>
      <x:c r="G20" s="23" t="str">
        <x:v>OPEN</x:v>
      </x:c>
    </x:row>
    <x:row r="21">
      <x:c r="A21" s="23" t="str">
        <x:v>SUR-100-ROOT-2</x:v>
      </x:c>
      <x:c r="B21" s="23" t="str">
        <x:v>SUR-100</x:v>
      </x:c>
      <x:c r="C21" s="23" t="str">
        <x:v>ROOT-2</x:v>
      </x:c>
      <x:c r="D21" s="23" t="n">
        <x:v>4</x:v>
      </x:c>
      <x:c r="E21" s="23" t="n">
        <x:v>2</x:v>
      </x:c>
      <x:c r="F21" s="23" t="n">
        <x:v>6</x:v>
      </x:c>
      <x:c r="G21" s="23" t="str">
        <x:v>OPEN</x:v>
      </x:c>
    </x:row>
    <x:row r="22">
      <x:c r="A22" s="23" t="str">
        <x:v>ENG-5/7-ROOT-1</x:v>
      </x:c>
      <x:c r="B22" s="23" t="str">
        <x:v>ENG-5/7</x:v>
      </x:c>
      <x:c r="C22" s="23" t="str">
        <x:v>ROOT-1</x:v>
      </x:c>
      <x:c r="D22" s="23" t="n">
        <x:v>4</x:v>
      </x:c>
      <x:c r="E22" s="23" t="n">
        <x:v>2</x:v>
      </x:c>
      <x:c r="F22" s="23" t="n">
        <x:v>6</x:v>
      </x:c>
      <x:c r="G22" s="23" t="str">
        <x:v>OPEN</x:v>
      </x:c>
    </x:row>
    <x:row r="23">
      <x:c r="A23" s="23" t="str">
        <x:v>ENG-5/7-ROOT-2</x:v>
      </x:c>
      <x:c r="B23" s="23" t="str">
        <x:v>ENG-5/7</x:v>
      </x:c>
      <x:c r="C23" s="23" t="str">
        <x:v>ROOT-2</x:v>
      </x:c>
      <x:c r="D23" s="23" t="n">
        <x:v>4</x:v>
      </x:c>
      <x:c r="E23" s="23" t="n">
        <x:v>2</x:v>
      </x:c>
      <x:c r="F23" s="23" t="n">
        <x:v>6</x:v>
      </x:c>
      <x:c r="G23" s="23" t="str">
        <x:v>OPEN</x:v>
      </x:c>
    </x:row>
    <x:row r="24">
      <x:c r="A24" s="23" t="str">
        <x:v>PWR-20-ROOT-1</x:v>
      </x:c>
      <x:c r="B24" s="23" t="str">
        <x:v>PWR-20</x:v>
      </x:c>
      <x:c r="C24" s="23" t="str">
        <x:v>ROOT-1</x:v>
      </x:c>
      <x:c r="D24" s="23" t="n">
        <x:v>4</x:v>
      </x:c>
      <x:c r="E24" s="23" t="n">
        <x:v>2</x:v>
      </x:c>
      <x:c r="F24" s="23" t="n">
        <x:v>6</x:v>
      </x:c>
      <x:c r="G24" s="23" t="str">
        <x:v>OPEN</x:v>
      </x:c>
    </x:row>
    <x:row r="25">
      <x:c r="A25" s="23" t="str">
        <x:v>PWR-20-ROOT-2</x:v>
      </x:c>
      <x:c r="B25" s="23" t="str">
        <x:v>PWR-20</x:v>
      </x:c>
      <x:c r="C25" s="23" t="str">
        <x:v>ROOT-2</x:v>
      </x:c>
      <x:c r="D25" s="23" t="n">
        <x:v>4</x:v>
      </x:c>
      <x:c r="E25" s="23" t="n">
        <x:v>2</x:v>
      </x:c>
      <x:c r="F25" s="23" t="n">
        <x:v>6</x:v>
      </x:c>
      <x:c r="G25" s="23" t="str">
        <x:v>OPEN</x:v>
      </x:c>
    </x:row>
    <x:row r="26">
      <x:c r="A26" s="23" t="str">
        <x:v>LCN-12-ROOT-1</x:v>
      </x:c>
      <x:c r="B26" s="23" t="str">
        <x:v>LCN-12</x:v>
      </x:c>
      <x:c r="C26" s="23" t="str">
        <x:v>ROOT-1</x:v>
      </x:c>
      <x:c r="D26" s="23" t="n">
        <x:v>4</x:v>
      </x:c>
      <x:c r="E26" s="23" t="n">
        <x:v>2</x:v>
      </x:c>
      <x:c r="F26" s="23" t="n">
        <x:v>6</x:v>
      </x:c>
      <x:c r="G26" s="23" t="str">
        <x:v>OPEN</x:v>
      </x:c>
    </x:row>
    <x:row r="27">
      <x:c r="A27" s="23" t="str">
        <x:v>LCN-12-ROOT-2</x:v>
      </x:c>
      <x:c r="B27" s="23" t="str">
        <x:v>LCN-12</x:v>
      </x:c>
      <x:c r="C27" s="23" t="str">
        <x:v>ROOT-2</x:v>
      </x:c>
      <x:c r="D27" s="23" t="n">
        <x:v>4</x:v>
      </x:c>
      <x:c r="E27" s="23" t="n">
        <x:v>2</x:v>
      </x:c>
      <x:c r="F27" s="23" t="n">
        <x:v>6</x:v>
      </x:c>
      <x:c r="G27" s="23" t="str">
        <x:v>OPEN</x:v>
      </x:c>
    </x:row>
    <x:row r="28">
      <x:c r="A28" s="23" t="str">
        <x:v>SCN-2-ROOT-1</x:v>
      </x:c>
      <x:c r="B28" s="23" t="str">
        <x:v>SCN-2</x:v>
      </x:c>
      <x:c r="C28" s="23" t="str">
        <x:v>ROOT-1</x:v>
      </x:c>
      <x:c r="D28" s="23" t="n">
        <x:v>4</x:v>
      </x:c>
      <x:c r="E28" s="23" t="n">
        <x:v>2</x:v>
      </x:c>
      <x:c r="F28" s="23" t="n">
        <x:v>6</x:v>
      </x:c>
      <x:c r="G28" s="23" t="str">
        <x:v>OPEN</x:v>
      </x:c>
    </x:row>
    <x:row r="29">
      <x:c r="A29" s="23" t="str">
        <x:v>SCN-2-ROOT-2</x:v>
      </x:c>
      <x:c r="B29" s="23" t="str">
        <x:v>SCN-2</x:v>
      </x:c>
      <x:c r="C29" s="23" t="str">
        <x:v>ROOT-2</x:v>
      </x:c>
      <x:c r="D29" s="23" t="n">
        <x:v>4</x:v>
      </x:c>
      <x:c r="E29" s="23" t="n">
        <x:v>2</x:v>
      </x:c>
      <x:c r="F29" s="23" t="n">
        <x:v>6</x:v>
      </x:c>
      <x:c r="G29" s="23" t="str">
        <x:v>OPEN</x:v>
      </x:c>
    </x:row>
    <x:row r="30">
      <x:c r="A30" s="23" t="str">
        <x:v>RES-6-ROOT-1</x:v>
      </x:c>
      <x:c r="B30" s="23" t="str">
        <x:v>RES-6</x:v>
      </x:c>
      <x:c r="C30" s="23" t="str">
        <x:v>ROOT-1</x:v>
      </x:c>
      <x:c r="D30" s="23" t="n">
        <x:v>4</x:v>
      </x:c>
      <x:c r="E30" s="23" t="n">
        <x:v>2</x:v>
      </x:c>
      <x:c r="F30" s="23" t="n">
        <x:v>6</x:v>
      </x:c>
      <x:c r="G30" s="23" t="str">
        <x:v>OPEN</x:v>
      </x:c>
    </x:row>
    <x:row r="31">
      <x:c r="A31" s="23" t="str">
        <x:v>RES-6-ROOT-2</x:v>
      </x:c>
      <x:c r="B31" s="23" t="str">
        <x:v>RES-6</x:v>
      </x:c>
      <x:c r="C31" s="23" t="str">
        <x:v>ROOT-2</x:v>
      </x:c>
      <x:c r="D31" s="23" t="n">
        <x:v>4</x:v>
      </x:c>
      <x:c r="E31" s="23" t="n">
        <x:v>2</x:v>
      </x:c>
      <x:c r="F31" s="23" t="n">
        <x:v>6</x:v>
      </x:c>
      <x:c r="G31" s="23" t="str">
        <x:v>OPEN</x:v>
      </x:c>
    </x:row>
    <x:row r="32">
      <x:c r="A32" s="23" t="str">
        <x:v>REP-6-ROOT-1</x:v>
      </x:c>
      <x:c r="B32" s="23" t="str">
        <x:v>REP-6</x:v>
      </x:c>
      <x:c r="C32" s="23" t="str">
        <x:v>ROOT-1</x:v>
      </x:c>
      <x:c r="D32" s="23" t="n">
        <x:v>4</x:v>
      </x:c>
      <x:c r="E32" s="23" t="n">
        <x:v>2</x:v>
      </x:c>
      <x:c r="F32" s="23" t="n">
        <x:v>6</x:v>
      </x:c>
      <x:c r="G32" s="23" t="str">
        <x:v>OPEN</x:v>
      </x:c>
    </x:row>
    <x:row r="33">
      <x:c r="A33" s="23" t="str">
        <x:v>REP-6-ROOT-2</x:v>
      </x:c>
      <x:c r="B33" s="23" t="str">
        <x:v>REP-6</x:v>
      </x:c>
      <x:c r="C33" s="23" t="str">
        <x:v>ROOT-2</x:v>
      </x:c>
      <x:c r="D33" s="23" t="n">
        <x:v>4</x:v>
      </x:c>
      <x:c r="E33" s="23" t="n">
        <x:v>2</x:v>
      </x:c>
      <x:c r="F33" s="23" t="n">
        <x:v>6</x:v>
      </x:c>
      <x:c r="G33" s="23" t="str">
        <x:v>OPEN</x:v>
      </x:c>
    </x:row>
    <x:row r="34">
      <x:c r="A34" s="23" t="str">
        <x:v>SPR-24-ROOT-1</x:v>
      </x:c>
      <x:c r="B34" s="23" t="str">
        <x:v>SPR-24</x:v>
      </x:c>
      <x:c r="C34" s="23" t="str">
        <x:v>ROOT-1</x:v>
      </x:c>
      <x:c r="D34" s="23" t="n">
        <x:v>4</x:v>
      </x:c>
      <x:c r="E34" s="23" t="n">
        <x:v>2</x:v>
      </x:c>
      <x:c r="F34" s="23" t="n">
        <x:v>6</x:v>
      </x:c>
      <x:c r="G34" s="23" t="str">
        <x:v>OPEN</x:v>
      </x:c>
    </x:row>
    <x:row r="35">
      <x:c r="A35" s="23" t="str">
        <x:v>SPR-24-ROOT-2</x:v>
      </x:c>
      <x:c r="B35" s="23" t="str">
        <x:v>SPR-24</x:v>
      </x:c>
      <x:c r="C35" s="23" t="str">
        <x:v>ROOT-2</x:v>
      </x:c>
      <x:c r="D35" s="23" t="n">
        <x:v>4</x:v>
      </x:c>
      <x:c r="E35" s="23" t="n">
        <x:v>2</x:v>
      </x:c>
      <x:c r="F35" s="23" t="n">
        <x:v>6</x:v>
      </x:c>
      <x:c r="G35" s="23" t="str">
        <x:v>OPEN</x:v>
      </x:c>
    </x:row>
    <x:row r="36">
      <x:c r="A36" s="23" t="str">
        <x:v>HAB-24-ROOT-1</x:v>
      </x:c>
      <x:c r="B36" s="23" t="str">
        <x:v>HAB-24</x:v>
      </x:c>
      <x:c r="C36" s="23" t="str">
        <x:v>ROOT-1</x:v>
      </x:c>
      <x:c r="D36" s="23" t="n">
        <x:v>4</x:v>
      </x:c>
      <x:c r="E36" s="23" t="n">
        <x:v>2</x:v>
      </x:c>
      <x:c r="F36" s="23" t="n">
        <x:v>6</x:v>
      </x:c>
      <x:c r="G36" s="23" t="str">
        <x:v>OPEN</x:v>
      </x:c>
    </x:row>
    <x:row r="37">
      <x:c r="A37" s="23" t="str">
        <x:v>HAB-24-ROOT-2</x:v>
      </x:c>
      <x:c r="B37" s="23" t="str">
        <x:v>HAB-24</x:v>
      </x:c>
      <x:c r="C37" s="23" t="str">
        <x:v>ROOT-2</x:v>
      </x:c>
      <x:c r="D37" s="23" t="n">
        <x:v>4</x:v>
      </x:c>
      <x:c r="E37" s="23" t="n">
        <x:v>2</x:v>
      </x:c>
      <x:c r="F37" s="23" t="n">
        <x:v>6</x:v>
      </x:c>
      <x:c r="G37" s="23" t="str">
        <x:v>OPEN</x:v>
      </x:c>
    </x:row>
    <x:row r="38">
      <x:c r="A38" s="23" t="str">
        <x:v>TIA-30-ROOT-1</x:v>
      </x:c>
      <x:c r="B38" s="23" t="str">
        <x:v>TIA-30</x:v>
      </x:c>
      <x:c r="C38" s="23" t="str">
        <x:v>ROOT-1</x:v>
      </x:c>
      <x:c r="D38" s="23" t="n">
        <x:v>4</x:v>
      </x:c>
      <x:c r="E38" s="23" t="n">
        <x:v>2</x:v>
      </x:c>
      <x:c r="F38" s="23" t="n">
        <x:v>6</x:v>
      </x:c>
      <x:c r="G38" s="23" t="str">
        <x:v>OPEN</x:v>
      </x:c>
    </x:row>
    <x:row r="39">
      <x:c r="A39" s="24" t="str">
        <x:v>TIA-30-ROOT-2</x:v>
      </x:c>
      <x:c r="B39" s="24" t="str">
        <x:v>TIA-30</x:v>
      </x:c>
      <x:c r="C39" s="24" t="str">
        <x:v>ROOT-2</x:v>
      </x:c>
      <x:c r="D39" s="24" t="n">
        <x:v>4</x:v>
      </x:c>
      <x:c r="E39" s="24" t="n">
        <x:v>2</x:v>
      </x:c>
      <x:c r="F39" s="24" t="n">
        <x:v>6</x:v>
      </x:c>
      <x:c r="G39" s="24" t="str">
        <x:v>OPEN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</x:cols>
  <x:sheetData>
    <x:row r="2" ht="24" customHeight="1">
      <x:c r="A2" s="2" t="str">
        <x:v>Production-equivalent module population</x:v>
      </x:c>
      <x:c r="B2" s="2"/>
      <x:c r="C2" s="2"/>
      <x:c r="D2" s="2"/>
      <x:c r="E2" s="2"/>
      <x:c r="F2" s="2"/>
      <x:c r="G2" s="2"/>
      <x:c r="H2" s="2"/>
    </x:row>
    <x:row r="3" ht="20" customHeight="1">
      <x:c r="A3" s="3" t="str">
        <x:v>Set quantities, process units, destructive units and group reserve remain separately countable.</x:v>
      </x:c>
      <x:c r="B3" s="3"/>
      <x:c r="C3" s="3"/>
      <x:c r="D3" s="3"/>
      <x:c r="E3" s="3"/>
      <x:c r="F3" s="3"/>
      <x:c r="G3" s="3"/>
      <x:c r="H3" s="3"/>
    </x:row>
    <x:row r="5" ht="28" customHeight="1">
      <x:c r="A5" s="15" t="str">
        <x:v>Family</x:v>
      </x:c>
      <x:c r="B5" s="16" t="str">
        <x:v>Quantity / set</x:v>
      </x:c>
      <x:c r="C5" s="16" t="str">
        <x:v>PE systems</x:v>
      </x:c>
      <x:c r="D5" s="16" t="str">
        <x:v>Set units</x:v>
      </x:c>
      <x:c r="E5" s="16" t="str">
        <x:v>Process units</x:v>
      </x:c>
      <x:c r="F5" s="16" t="str">
        <x:v>Destructive units</x:v>
      </x:c>
      <x:c r="G5" s="16" t="str">
        <x:v>Group reserve</x:v>
      </x:c>
      <x:c r="H5" s="17" t="str">
        <x:v>Total program units</x:v>
      </x:c>
    </x:row>
    <x:row r="6">
      <x:c r="A6" s="22" t="str">
        <x:v>EFF-16</x:v>
      </x:c>
      <x:c r="B6" s="37" t="n">
        <x:v>16</x:v>
      </x:c>
      <x:c r="C6" s="73" t="n">
        <x:f>'Assumptions'!B6</x:f>
        <x:v>12</x:v>
      </x:c>
      <x:c r="D6" s="37" t="n">
        <x:f>B6*C6</x:f>
        <x:v>192</x:v>
      </x:c>
      <x:c r="E6" s="37" t="n">
        <x:v>8</x:v>
      </x:c>
      <x:c r="F6" s="37" t="n">
        <x:v>4</x:v>
      </x:c>
      <x:c r="G6" s="37" t="n">
        <x:v>32</x:v>
      </x:c>
      <x:c r="H6" s="37" t="n">
        <x:f>SUM(D6:G6)</x:f>
        <x:v>236</x:v>
      </x:c>
    </x:row>
    <x:row r="7">
      <x:c r="A7" s="23" t="str">
        <x:v>WPT-500</x:v>
      </x:c>
      <x:c r="B7" s="38" t="n">
        <x:v>6</x:v>
      </x:c>
      <x:c r="C7" s="66" t="n">
        <x:f>'Assumptions'!B6</x:f>
        <x:v>12</x:v>
      </x:c>
      <x:c r="D7" s="38" t="n">
        <x:f>B7*C7</x:f>
        <x:v>72</x:v>
      </x:c>
      <x:c r="E7" s="38" t="n">
        <x:v>8</x:v>
      </x:c>
      <x:c r="F7" s="38" t="n">
        <x:v>4</x:v>
      </x:c>
      <x:c r="G7" s="38" t="n">
        <x:v>12</x:v>
      </x:c>
      <x:c r="H7" s="38" t="n">
        <x:f>SUM(D7:G7)</x:f>
        <x:v>96</x:v>
      </x:c>
    </x:row>
    <x:row r="8">
      <x:c r="A8" s="23" t="str">
        <x:v>RAW-1000</x:v>
      </x:c>
      <x:c r="B8" s="38" t="n">
        <x:v>3</x:v>
      </x:c>
      <x:c r="C8" s="66" t="n">
        <x:f>'Assumptions'!B6</x:f>
        <x:v>12</x:v>
      </x:c>
      <x:c r="D8" s="38" t="n">
        <x:f>B8*C8</x:f>
        <x:v>36</x:v>
      </x:c>
      <x:c r="E8" s="38" t="n">
        <x:v>8</x:v>
      </x:c>
      <x:c r="F8" s="38" t="n">
        <x:v>4</x:v>
      </x:c>
      <x:c r="G8" s="38" t="n">
        <x:v>6</x:v>
      </x:c>
      <x:c r="H8" s="38" t="n">
        <x:f>SUM(D8:G8)</x:f>
        <x:v>54</x:v>
      </x:c>
    </x:row>
    <x:row r="9">
      <x:c r="A9" s="23" t="str">
        <x:v>RTL-100</x:v>
      </x:c>
      <x:c r="B9" s="38" t="n">
        <x:v>120</x:v>
      </x:c>
      <x:c r="C9" s="66" t="n">
        <x:f>'Assumptions'!B6</x:f>
        <x:v>12</x:v>
      </x:c>
      <x:c r="D9" s="38" t="n">
        <x:f>B9*C9</x:f>
        <x:v>1440</x:v>
      </x:c>
      <x:c r="E9" s="38" t="n">
        <x:v>8</x:v>
      </x:c>
      <x:c r="F9" s="38" t="n">
        <x:v>4</x:v>
      </x:c>
      <x:c r="G9" s="38" t="n">
        <x:v>240</x:v>
      </x:c>
      <x:c r="H9" s="38" t="n">
        <x:f>SUM(D9:G9)</x:f>
        <x:v>1692</x:v>
      </x:c>
    </x:row>
    <x:row r="10">
      <x:c r="A10" s="23" t="str">
        <x:v>RTR-12</x:v>
      </x:c>
      <x:c r="B10" s="38" t="n">
        <x:v>24</x:v>
      </x:c>
      <x:c r="C10" s="66" t="n">
        <x:f>'Assumptions'!B6</x:f>
        <x:v>12</x:v>
      </x:c>
      <x:c r="D10" s="38" t="n">
        <x:f>B10*C10</x:f>
        <x:v>288</x:v>
      </x:c>
      <x:c r="E10" s="38" t="n">
        <x:v>8</x:v>
      </x:c>
      <x:c r="F10" s="38" t="n">
        <x:v>4</x:v>
      </x:c>
      <x:c r="G10" s="38" t="n">
        <x:v>48</x:v>
      </x:c>
      <x:c r="H10" s="38" t="n">
        <x:f>SUM(D10:G10)</x:f>
        <x:v>348</x:v>
      </x:c>
    </x:row>
    <x:row r="11">
      <x:c r="A11" s="23" t="str">
        <x:v>BUF-100</x:v>
      </x:c>
      <x:c r="B11" s="38" t="n">
        <x:v>15</x:v>
      </x:c>
      <x:c r="C11" s="66" t="n">
        <x:f>'Assumptions'!B6</x:f>
        <x:v>12</x:v>
      </x:c>
      <x:c r="D11" s="38" t="n">
        <x:f>B11*C11</x:f>
        <x:v>180</x:v>
      </x:c>
      <x:c r="E11" s="38" t="n">
        <x:v>8</x:v>
      </x:c>
      <x:c r="F11" s="38" t="n">
        <x:v>4</x:v>
      </x:c>
      <x:c r="G11" s="38" t="n">
        <x:v>30</x:v>
      </x:c>
      <x:c r="H11" s="38" t="n">
        <x:f>SUM(D11:G11)</x:f>
        <x:v>222</x:v>
      </x:c>
    </x:row>
    <x:row r="12">
      <x:c r="A12" s="23" t="str">
        <x:v>REC-185</x:v>
      </x:c>
      <x:c r="B12" s="38" t="n">
        <x:v>4</x:v>
      </x:c>
      <x:c r="C12" s="66" t="n">
        <x:f>'Assumptions'!B6</x:f>
        <x:v>12</x:v>
      </x:c>
      <x:c r="D12" s="38" t="n">
        <x:f>B12*C12</x:f>
        <x:v>48</x:v>
      </x:c>
      <x:c r="E12" s="38" t="n">
        <x:v>8</x:v>
      </x:c>
      <x:c r="F12" s="38" t="n">
        <x:v>4</x:v>
      </x:c>
      <x:c r="G12" s="38" t="n">
        <x:v>12</x:v>
      </x:c>
      <x:c r="H12" s="38" t="n">
        <x:f>SUM(D12:G12)</x:f>
        <x:v>72</x:v>
      </x:c>
    </x:row>
    <x:row r="13">
      <x:c r="A13" s="23" t="str">
        <x:v>SUR-100</x:v>
      </x:c>
      <x:c r="B13" s="38" t="n">
        <x:v>36</x:v>
      </x:c>
      <x:c r="C13" s="66" t="n">
        <x:f>'Assumptions'!B6</x:f>
        <x:v>12</x:v>
      </x:c>
      <x:c r="D13" s="38" t="n">
        <x:f>B13*C13</x:f>
        <x:v>432</x:v>
      </x:c>
      <x:c r="E13" s="38" t="n">
        <x:v>8</x:v>
      </x:c>
      <x:c r="F13" s="38" t="n">
        <x:v>4</x:v>
      </x:c>
      <x:c r="G13" s="38" t="n">
        <x:v>72</x:v>
      </x:c>
      <x:c r="H13" s="38" t="n">
        <x:f>SUM(D13:G13)</x:f>
        <x:v>516</x:v>
      </x:c>
    </x:row>
    <x:row r="14">
      <x:c r="A14" s="23" t="str">
        <x:v>ENG-5/7</x:v>
      </x:c>
      <x:c r="B14" s="38" t="n">
        <x:v>6</x:v>
      </x:c>
      <x:c r="C14" s="66" t="n">
        <x:f>'Assumptions'!B6</x:f>
        <x:v>12</x:v>
      </x:c>
      <x:c r="D14" s="38" t="n">
        <x:f>B14*C14</x:f>
        <x:v>72</x:v>
      </x:c>
      <x:c r="E14" s="38" t="n">
        <x:v>8</x:v>
      </x:c>
      <x:c r="F14" s="38" t="n">
        <x:v>4</x:v>
      </x:c>
      <x:c r="G14" s="38" t="n">
        <x:v>12</x:v>
      </x:c>
      <x:c r="H14" s="38" t="n">
        <x:f>SUM(D14:G14)</x:f>
        <x:v>96</x:v>
      </x:c>
    </x:row>
    <x:row r="15">
      <x:c r="A15" s="23" t="str">
        <x:v>PWR-20</x:v>
      </x:c>
      <x:c r="B15" s="38" t="n">
        <x:v>20</x:v>
      </x:c>
      <x:c r="C15" s="66" t="n">
        <x:f>'Assumptions'!B6</x:f>
        <x:v>12</x:v>
      </x:c>
      <x:c r="D15" s="38" t="n">
        <x:f>B15*C15</x:f>
        <x:v>240</x:v>
      </x:c>
      <x:c r="E15" s="38" t="n">
        <x:v>8</x:v>
      </x:c>
      <x:c r="F15" s="38" t="n">
        <x:v>4</x:v>
      </x:c>
      <x:c r="G15" s="38" t="n">
        <x:v>40</x:v>
      </x:c>
      <x:c r="H15" s="38" t="n">
        <x:f>SUM(D15:G15)</x:f>
        <x:v>292</x:v>
      </x:c>
    </x:row>
    <x:row r="16">
      <x:c r="A16" s="23" t="str">
        <x:v>LCN-12</x:v>
      </x:c>
      <x:c r="B16" s="38" t="n">
        <x:v>12</x:v>
      </x:c>
      <x:c r="C16" s="66" t="n">
        <x:f>'Assumptions'!B6</x:f>
        <x:v>12</x:v>
      </x:c>
      <x:c r="D16" s="38" t="n">
        <x:f>B16*C16</x:f>
        <x:v>144</x:v>
      </x:c>
      <x:c r="E16" s="38" t="n">
        <x:v>8</x:v>
      </x:c>
      <x:c r="F16" s="38" t="n">
        <x:v>4</x:v>
      </x:c>
      <x:c r="G16" s="38" t="n">
        <x:v>24</x:v>
      </x:c>
      <x:c r="H16" s="38" t="n">
        <x:f>SUM(D16:G16)</x:f>
        <x:v>180</x:v>
      </x:c>
    </x:row>
    <x:row r="17">
      <x:c r="A17" s="23" t="str">
        <x:v>SCN-2</x:v>
      </x:c>
      <x:c r="B17" s="38" t="n">
        <x:v>2</x:v>
      </x:c>
      <x:c r="C17" s="66" t="n">
        <x:f>'Assumptions'!B6</x:f>
        <x:v>12</x:v>
      </x:c>
      <x:c r="D17" s="38" t="n">
        <x:f>B17*C17</x:f>
        <x:v>24</x:v>
      </x:c>
      <x:c r="E17" s="38" t="n">
        <x:v>8</x:v>
      </x:c>
      <x:c r="F17" s="38" t="n">
        <x:v>4</x:v>
      </x:c>
      <x:c r="G17" s="38" t="n">
        <x:v>4</x:v>
      </x:c>
      <x:c r="H17" s="38" t="n">
        <x:f>SUM(D17:G17)</x:f>
        <x:v>40</x:v>
      </x:c>
    </x:row>
    <x:row r="18">
      <x:c r="A18" s="23" t="str">
        <x:v>RES-6</x:v>
      </x:c>
      <x:c r="B18" s="38" t="n">
        <x:v>6</x:v>
      </x:c>
      <x:c r="C18" s="66" t="n">
        <x:f>'Assumptions'!B6</x:f>
        <x:v>12</x:v>
      </x:c>
      <x:c r="D18" s="38" t="n">
        <x:f>B18*C18</x:f>
        <x:v>72</x:v>
      </x:c>
      <x:c r="E18" s="38" t="n">
        <x:v>8</x:v>
      </x:c>
      <x:c r="F18" s="38" t="n">
        <x:v>4</x:v>
      </x:c>
      <x:c r="G18" s="38" t="n">
        <x:v>12</x:v>
      </x:c>
      <x:c r="H18" s="38" t="n">
        <x:f>SUM(D18:G18)</x:f>
        <x:v>96</x:v>
      </x:c>
    </x:row>
    <x:row r="19">
      <x:c r="A19" s="23" t="str">
        <x:v>REP-6</x:v>
      </x:c>
      <x:c r="B19" s="38" t="n">
        <x:v>6</x:v>
      </x:c>
      <x:c r="C19" s="66" t="n">
        <x:f>'Assumptions'!B6</x:f>
        <x:v>12</x:v>
      </x:c>
      <x:c r="D19" s="38" t="n">
        <x:f>B19*C19</x:f>
        <x:v>72</x:v>
      </x:c>
      <x:c r="E19" s="38" t="n">
        <x:v>8</x:v>
      </x:c>
      <x:c r="F19" s="38" t="n">
        <x:v>4</x:v>
      </x:c>
      <x:c r="G19" s="38" t="n">
        <x:v>6</x:v>
      </x:c>
      <x:c r="H19" s="38" t="n">
        <x:f>SUM(D19:G19)</x:f>
        <x:v>90</x:v>
      </x:c>
    </x:row>
    <x:row r="20">
      <x:c r="A20" s="23" t="str">
        <x:v>SPR-24</x:v>
      </x:c>
      <x:c r="B20" s="38" t="n">
        <x:v>24</x:v>
      </x:c>
      <x:c r="C20" s="66" t="n">
        <x:f>'Assumptions'!B6</x:f>
        <x:v>12</x:v>
      </x:c>
      <x:c r="D20" s="38" t="n">
        <x:f>B20*C20</x:f>
        <x:v>288</x:v>
      </x:c>
      <x:c r="E20" s="38" t="n">
        <x:v>8</x:v>
      </x:c>
      <x:c r="F20" s="38" t="n">
        <x:v>4</x:v>
      </x:c>
      <x:c r="G20" s="38" t="n">
        <x:v>0</x:v>
      </x:c>
      <x:c r="H20" s="38" t="n">
        <x:f>SUM(D20:G20)</x:f>
        <x:v>300</x:v>
      </x:c>
    </x:row>
    <x:row r="21">
      <x:c r="A21" s="23" t="str">
        <x:v>HAB-24</x:v>
      </x:c>
      <x:c r="B21" s="38" t="n">
        <x:v>24</x:v>
      </x:c>
      <x:c r="C21" s="66" t="n">
        <x:f>'Assumptions'!B6</x:f>
        <x:v>12</x:v>
      </x:c>
      <x:c r="D21" s="38" t="n">
        <x:f>B21*C21</x:f>
        <x:v>288</x:v>
      </x:c>
      <x:c r="E21" s="38" t="n">
        <x:v>8</x:v>
      </x:c>
      <x:c r="F21" s="38" t="n">
        <x:v>4</x:v>
      </x:c>
      <x:c r="G21" s="38" t="n">
        <x:v>0</x:v>
      </x:c>
      <x:c r="H21" s="38" t="n">
        <x:f>SUM(D21:G21)</x:f>
        <x:v>300</x:v>
      </x:c>
    </x:row>
    <x:row r="22">
      <x:c r="A22" s="24" t="str">
        <x:v>TIA-30</x:v>
      </x:c>
      <x:c r="B22" s="39" t="n">
        <x:v>30</x:v>
      </x:c>
      <x:c r="C22" s="74" t="n">
        <x:f>'Assumptions'!B6</x:f>
        <x:v>12</x:v>
      </x:c>
      <x:c r="D22" s="39" t="n">
        <x:f>B22*C22</x:f>
        <x:v>360</x:v>
      </x:c>
      <x:c r="E22" s="39" t="n">
        <x:v>8</x:v>
      </x:c>
      <x:c r="F22" s="39" t="n">
        <x:v>4</x:v>
      </x:c>
      <x:c r="G22" s="39" t="n">
        <x:v>60</x:v>
      </x:c>
      <x:c r="H22" s="39" t="n">
        <x:f>SUM(D22:G22)</x:f>
        <x:v>432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8" hidden="0" customWidth="1"/>
    <x:col min="4" max="4" width="26" hidden="0" customWidth="1"/>
    <x:col min="5" max="5" width="62" hidden="0" customWidth="1"/>
  </x:cols>
  <x:sheetData>
    <x:row r="2" ht="24" customHeight="1">
      <x:c r="A2" s="2" t="str">
        <x:v>Complete-system trial types</x:v>
      </x:c>
      <x:c r="B2" s="2"/>
      <x:c r="C2" s="2"/>
      <x:c r="D2" s="2"/>
      <x:c r="E2" s="2"/>
    </x:row>
    <x:row r="3" ht="20" customHeight="1">
      <x:c r="A3" s="3" t="str">
        <x:v>Every production-equivalent system executes all fourteen types before terminal disposition.</x:v>
      </x:c>
      <x:c r="B3" s="3"/>
      <x:c r="C3" s="3"/>
      <x:c r="D3" s="3"/>
      <x:c r="E3" s="3"/>
    </x:row>
    <x:row r="5" ht="28" customHeight="1">
      <x:c r="A5" s="15" t="str">
        <x:v>Trial type</x:v>
      </x:c>
      <x:c r="B5" s="16" t="str">
        <x:v>Hours</x:v>
      </x:c>
      <x:c r="C5" s="16" t="str">
        <x:v>Issue factor</x:v>
      </x:c>
      <x:c r="D5" s="16" t="str">
        <x:v>Full-duration regeneration</x:v>
      </x:c>
      <x:c r="E5" s="17" t="str">
        <x:v>Principal question</x:v>
      </x:c>
    </x:row>
    <x:row r="6">
      <x:c r="A6" s="22" t="str">
        <x:v>Commissioning</x:v>
      </x:c>
      <x:c r="B6" s="37" t="n">
        <x:v>12</x:v>
      </x:c>
      <x:c r="C6" s="55" t="n">
        <x:v>0.25</x:v>
      </x:c>
      <x:c r="D6" s="37" t="n">
        <x:v>0</x:v>
      </x:c>
      <x:c r="E6" s="22" t="str">
        <x:v>Is the serialized system measurable?</x:v>
      </x:c>
    </x:row>
    <x:row r="7">
      <x:c r="A7" s="23" t="str">
        <x:v>Regional deployment</x:v>
      </x:c>
      <x:c r="B7" s="38" t="n">
        <x:v>18</x:v>
      </x:c>
      <x:c r="C7" s="56" t="n">
        <x:v>0.25</x:v>
      </x:c>
      <x:c r="D7" s="38" t="n">
        <x:v>0</x:v>
      </x:c>
      <x:c r="E7" s="23" t="str">
        <x:v>Can all packets reach the 500 km mission?</x:v>
      </x:c>
    </x:row>
    <x:row r="8">
      <x:c r="A8" s="23" t="str">
        <x:v>National deployment</x:v>
      </x:c>
      <x:c r="B8" s="38" t="n">
        <x:v>36</x:v>
      </x:c>
      <x:c r="C8" s="56" t="n">
        <x:v>0.25</x:v>
      </x:c>
      <x:c r="D8" s="38" t="n">
        <x:v>0</x:v>
      </x:c>
      <x:c r="E8" s="23" t="str">
        <x:v>Can the system reach the 1,500 km case?</x:v>
      </x:c>
    </x:row>
    <x:row r="9">
      <x:c r="A9" s="23" t="str">
        <x:v>Freshwater mission</x:v>
      </x:c>
      <x:c r="B9" s="38" t="n">
        <x:v>72</x:v>
      </x:c>
      <x:c r="C9" s="56" t="n">
        <x:v>0.25</x:v>
      </x:c>
      <x:c r="D9" s="38" t="n">
        <x:v>1</x:v>
      </x:c>
      <x:c r="E9" s="23" t="str">
        <x:v>Complete service chain</x:v>
      </x:c>
    </x:row>
    <x:row r="10">
      <x:c r="A10" s="23" t="str">
        <x:v>Saline-water mission</x:v>
      </x:c>
      <x:c r="B10" s="38" t="n">
        <x:v>72</x:v>
      </x:c>
      <x:c r="C10" s="56" t="n">
        <x:v>0.25</x:v>
      </x:c>
      <x:c r="D10" s="38" t="n">
        <x:v>1</x:v>
      </x:c>
      <x:c r="E10" s="23" t="str">
        <x:v>Corrosion, treatment and concentrate</x:v>
      </x:c>
    </x:row>
    <x:row r="11">
      <x:c r="A11" s="23" t="str">
        <x:v>Sediment-laden mission</x:v>
      </x:c>
      <x:c r="B11" s="38" t="n">
        <x:v>72</x:v>
      </x:c>
      <x:c r="C11" s="56" t="n">
        <x:v>0.25</x:v>
      </x:c>
      <x:c r="D11" s="38" t="n">
        <x:v>1</x:v>
      </x:c>
      <x:c r="E11" s="23" t="str">
        <x:v>Fouling, wear and cleaning</x:v>
      </x:c>
    </x:row>
    <x:row r="12">
      <x:c r="A12" s="23" t="str">
        <x:v>Contaminated-water mission</x:v>
      </x:c>
      <x:c r="B12" s="38" t="n">
        <x:v>72</x:v>
      </x:c>
      <x:c r="C12" s="56" t="n">
        <x:v>0.25</x:v>
      </x:c>
      <x:c r="D12" s="38" t="n">
        <x:v>1</x:v>
      </x:c>
      <x:c r="E12" s="23" t="str">
        <x:v>Exclusion, worker and terminal custody</x:v>
      </x:c>
    </x:row>
    <x:row r="13">
      <x:c r="A13" s="23" t="str">
        <x:v>One-trunk casualty</x:v>
      </x:c>
      <x:c r="B13" s="38" t="n">
        <x:v>24</x:v>
      </x:c>
      <x:c r="C13" s="56" t="n">
        <x:v>0.25</x:v>
      </x:c>
      <x:c r="D13" s="38" t="n">
        <x:v>0</x:v>
      </x:c>
      <x:c r="E13" s="23" t="str">
        <x:v>Reduced lawful service</x:v>
      </x:c>
    </x:row>
    <x:row r="14">
      <x:c r="A14" s="23" t="str">
        <x:v>One-energy-island casualty</x:v>
      </x:c>
      <x:c r="B14" s="38" t="n">
        <x:v>24</x:v>
      </x:c>
      <x:c r="C14" s="56" t="n">
        <x:v>0.25</x:v>
      </x:c>
      <x:c r="D14" s="38" t="n">
        <x:v>0</x:v>
      </x:c>
      <x:c r="E14" s="23" t="str">
        <x:v>Residual 25/35 MW state</x:v>
      </x:c>
    </x:row>
    <x:row r="15">
      <x:c r="A15" s="23" t="str">
        <x:v>Coordinator-loss case</x:v>
      </x:c>
      <x:c r="B15" s="38" t="n">
        <x:v>12</x:v>
      </x:c>
      <x:c r="C15" s="56" t="n">
        <x:v>0.25</x:v>
      </x:c>
      <x:c r="D15" s="38" t="n">
        <x:v>0</x:v>
      </x:c>
      <x:c r="E15" s="23" t="str">
        <x:v>Local safeing and evidence</x:v>
      </x:c>
    </x:row>
    <x:row r="16">
      <x:c r="A16" s="23" t="str">
        <x:v>Public-rescue concurrency</x:v>
      </x:c>
      <x:c r="B16" s="38" t="n">
        <x:v>12</x:v>
      </x:c>
      <x:c r="C16" s="56" t="n">
        <x:v>0.25</x:v>
      </x:c>
      <x:c r="D16" s="38" t="n">
        <x:v>0</x:v>
      </x:c>
      <x:c r="E16" s="23" t="str">
        <x:v>Independent rescue action</x:v>
      </x:c>
    </x:row>
    <x:row r="17">
      <x:c r="A17" s="23" t="str">
        <x:v>Repeated mission A</x:v>
      </x:c>
      <x:c r="B17" s="38" t="n">
        <x:v>72</x:v>
      </x:c>
      <x:c r="C17" s="56" t="n">
        <x:v>0.25</x:v>
      </x:c>
      <x:c r="D17" s="38" t="n">
        <x:v>1</x:v>
      </x:c>
      <x:c r="E17" s="23" t="str">
        <x:v>First return and reissue</x:v>
      </x:c>
    </x:row>
    <x:row r="18">
      <x:c r="A18" s="23" t="str">
        <x:v>Repeated mission B</x:v>
      </x:c>
      <x:c r="B18" s="38" t="n">
        <x:v>72</x:v>
      </x:c>
      <x:c r="C18" s="56" t="n">
        <x:v>0.25</x:v>
      </x:c>
      <x:c r="D18" s="38" t="n">
        <x:v>1</x:v>
      </x:c>
      <x:c r="E18" s="23" t="str">
        <x:v>Second return and reissue</x:v>
      </x:c>
    </x:row>
    <x:row r="19">
      <x:c r="A19" s="24" t="str">
        <x:v>Repeated mission C</x:v>
      </x:c>
      <x:c r="B19" s="39" t="n">
        <x:v>72</x:v>
      </x:c>
      <x:c r="C19" s="57" t="n">
        <x:v>0.25</x:v>
      </x:c>
      <x:c r="D19" s="39" t="n">
        <x:v>1</x:v>
      </x:c>
      <x:c r="E19" s="24" t="str">
        <x:v>Third return and reissue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6" hidden="0" customWidth="1"/>
    <x:col min="5" max="5" width="10" hidden="0" customWidth="1"/>
    <x:col min="6" max="6" width="32" hidden="0" customWidth="1"/>
    <x:col min="7" max="7" width="12" hidden="0" customWidth="1"/>
    <x:col min="8" max="8" width="16" hidden="0" customWidth="1"/>
    <x:col min="9" max="9" width="18" hidden="0" customWidth="1"/>
    <x:col min="10" max="10" width="16" hidden="0" customWidth="1"/>
    <x:col min="11" max="11" width="18" hidden="0" customWidth="1"/>
    <x:col min="12" max="12" width="14" hidden="0" customWidth="1"/>
    <x:col min="13" max="13" width="16" hidden="0" customWidth="1"/>
  </x:cols>
  <x:sheetData>
    <x:row r="2" ht="24" customHeight="1">
      <x:c r="A2" s="2" t="str">
        <x:v>Production-equivalent mission-trial registry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0" customHeight="1">
      <x:c r="A3" s="3" t="str">
        <x:v>Twelve complete systems execute 168 trials. Water and regeneration are formula-driven.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5" ht="28" customHeight="1">
      <x:c r="A5" s="15" t="str">
        <x:v>Trial</x:v>
      </x:c>
      <x:c r="B5" s="16" t="str">
        <x:v>System</x:v>
      </x:c>
      <x:c r="C5" s="16" t="str">
        <x:v>Candidate</x:v>
      </x:c>
      <x:c r="D5" s="16" t="str">
        <x:v>Builder</x:v>
      </x:c>
      <x:c r="E5" s="16" t="str">
        <x:v>Serial</x:v>
      </x:c>
      <x:c r="F5" s="16" t="str">
        <x:v>Trial type</x:v>
      </x:c>
      <x:c r="G5" s="16" t="str">
        <x:v>Hours</x:v>
      </x:c>
      <x:c r="H5" s="16" t="str">
        <x:v>Issue factor</x:v>
      </x:c>
      <x:c r="I5" s="16" t="str">
        <x:v>Water m3</x:v>
      </x:c>
      <x:c r="J5" s="16" t="str">
        <x:v>Full duration</x:v>
      </x:c>
      <x:c r="K5" s="16" t="str">
        <x:v>Regeneration h</x:v>
      </x:c>
      <x:c r="L5" s="16" t="str">
        <x:v>Validity</x:v>
      </x:c>
      <x:c r="M5" s="17" t="str">
        <x:v>Disposition</x:v>
      </x:c>
    </x:row>
    <x:row r="6">
      <x:c r="A6" s="22" t="str">
        <x:v>MT-001</x:v>
      </x:c>
      <x:c r="B6" s="22" t="str">
        <x:v>A-R1-PE1</x:v>
      </x:c>
      <x:c r="C6" s="22" t="str">
        <x:v>SURVIVOR-A</x:v>
      </x:c>
      <x:c r="D6" s="22" t="str">
        <x:v>ROOT-1</x:v>
      </x:c>
      <x:c r="E6" s="37" t="n">
        <x:v>1</x:v>
      </x:c>
      <x:c r="F6" s="22" t="str">
        <x:v>Commissioning</x:v>
      </x:c>
      <x:c r="G6" s="37" t="n">
        <x:v>12</x:v>
      </x:c>
      <x:c r="H6" s="55" t="n">
        <x:v>0.25</x:v>
      </x:c>
      <x:c r="I6" s="52" t="n">
        <x:f>G6*H6*'Assumptions'!B59</x:f>
        <x:v>5184</x:v>
      </x:c>
      <x:c r="J6" s="37" t="n">
        <x:v>0</x:v>
      </x:c>
      <x:c r="K6" s="73" t="n">
        <x:f>J6*'Assumptions'!B18</x:f>
        <x:v>0</x:v>
      </x:c>
      <x:c r="L6" s="22" t="str">
        <x:v>OPEN</x:v>
      </x:c>
      <x:c r="M6" s="22" t="str">
        <x:v>OPEN</x:v>
      </x:c>
    </x:row>
    <x:row r="7">
      <x:c r="A7" s="23" t="str">
        <x:v>MT-002</x:v>
      </x:c>
      <x:c r="B7" s="23" t="str">
        <x:v>A-R1-PE1</x:v>
      </x:c>
      <x:c r="C7" s="23" t="str">
        <x:v>SURVIVOR-A</x:v>
      </x:c>
      <x:c r="D7" s="23" t="str">
        <x:v>ROOT-1</x:v>
      </x:c>
      <x:c r="E7" s="38" t="n">
        <x:v>1</x:v>
      </x:c>
      <x:c r="F7" s="23" t="str">
        <x:v>Regional deployment</x:v>
      </x:c>
      <x:c r="G7" s="38" t="n">
        <x:v>18</x:v>
      </x:c>
      <x:c r="H7" s="56" t="n">
        <x:v>0.25</x:v>
      </x:c>
      <x:c r="I7" s="53" t="n">
        <x:f>G7*H7*'Assumptions'!B59</x:f>
        <x:v>7776</x:v>
      </x:c>
      <x:c r="J7" s="38" t="n">
        <x:v>0</x:v>
      </x:c>
      <x:c r="K7" s="66" t="n">
        <x:f>J7*'Assumptions'!B18</x:f>
        <x:v>0</x:v>
      </x:c>
      <x:c r="L7" s="23" t="str">
        <x:v>OPEN</x:v>
      </x:c>
      <x:c r="M7" s="23" t="str">
        <x:v>OPEN</x:v>
      </x:c>
    </x:row>
    <x:row r="8">
      <x:c r="A8" s="23" t="str">
        <x:v>MT-003</x:v>
      </x:c>
      <x:c r="B8" s="23" t="str">
        <x:v>A-R1-PE1</x:v>
      </x:c>
      <x:c r="C8" s="23" t="str">
        <x:v>SURVIVOR-A</x:v>
      </x:c>
      <x:c r="D8" s="23" t="str">
        <x:v>ROOT-1</x:v>
      </x:c>
      <x:c r="E8" s="38" t="n">
        <x:v>1</x:v>
      </x:c>
      <x:c r="F8" s="23" t="str">
        <x:v>National deployment</x:v>
      </x:c>
      <x:c r="G8" s="38" t="n">
        <x:v>36</x:v>
      </x:c>
      <x:c r="H8" s="56" t="n">
        <x:v>0.25</x:v>
      </x:c>
      <x:c r="I8" s="53" t="n">
        <x:f>G8*H8*'Assumptions'!B59</x:f>
        <x:v>15552</x:v>
      </x:c>
      <x:c r="J8" s="38" t="n">
        <x:v>0</x:v>
      </x:c>
      <x:c r="K8" s="66" t="n">
        <x:f>J8*'Assumptions'!B18</x:f>
        <x:v>0</x:v>
      </x:c>
      <x:c r="L8" s="23" t="str">
        <x:v>OPEN</x:v>
      </x:c>
      <x:c r="M8" s="23" t="str">
        <x:v>OPEN</x:v>
      </x:c>
    </x:row>
    <x:row r="9">
      <x:c r="A9" s="23" t="str">
        <x:v>MT-004</x:v>
      </x:c>
      <x:c r="B9" s="23" t="str">
        <x:v>A-R1-PE1</x:v>
      </x:c>
      <x:c r="C9" s="23" t="str">
        <x:v>SURVIVOR-A</x:v>
      </x:c>
      <x:c r="D9" s="23" t="str">
        <x:v>ROOT-1</x:v>
      </x:c>
      <x:c r="E9" s="38" t="n">
        <x:v>1</x:v>
      </x:c>
      <x:c r="F9" s="23" t="str">
        <x:v>Freshwater mission</x:v>
      </x:c>
      <x:c r="G9" s="38" t="n">
        <x:v>72</x:v>
      </x:c>
      <x:c r="H9" s="56" t="n">
        <x:v>0.25</x:v>
      </x:c>
      <x:c r="I9" s="53" t="n">
        <x:f>G9*H9*'Assumptions'!B59</x:f>
        <x:v>31104</x:v>
      </x:c>
      <x:c r="J9" s="38" t="n">
        <x:v>1</x:v>
      </x:c>
      <x:c r="K9" s="66" t="n">
        <x:f>J9*'Assumptions'!B18</x:f>
        <x:v>336</x:v>
      </x:c>
      <x:c r="L9" s="23" t="str">
        <x:v>OPEN</x:v>
      </x:c>
      <x:c r="M9" s="23" t="str">
        <x:v>OPEN</x:v>
      </x:c>
    </x:row>
    <x:row r="10">
      <x:c r="A10" s="23" t="str">
        <x:v>MT-005</x:v>
      </x:c>
      <x:c r="B10" s="23" t="str">
        <x:v>A-R1-PE1</x:v>
      </x:c>
      <x:c r="C10" s="23" t="str">
        <x:v>SURVIVOR-A</x:v>
      </x:c>
      <x:c r="D10" s="23" t="str">
        <x:v>ROOT-1</x:v>
      </x:c>
      <x:c r="E10" s="38" t="n">
        <x:v>1</x:v>
      </x:c>
      <x:c r="F10" s="23" t="str">
        <x:v>Saline-water mission</x:v>
      </x:c>
      <x:c r="G10" s="38" t="n">
        <x:v>72</x:v>
      </x:c>
      <x:c r="H10" s="56" t="n">
        <x:v>0.25</x:v>
      </x:c>
      <x:c r="I10" s="53" t="n">
        <x:f>G10*H10*'Assumptions'!B59</x:f>
        <x:v>31104</x:v>
      </x:c>
      <x:c r="J10" s="38" t="n">
        <x:v>1</x:v>
      </x:c>
      <x:c r="K10" s="66" t="n">
        <x:f>J10*'Assumptions'!B18</x:f>
        <x:v>336</x:v>
      </x:c>
      <x:c r="L10" s="23" t="str">
        <x:v>OPEN</x:v>
      </x:c>
      <x:c r="M10" s="23" t="str">
        <x:v>OPEN</x:v>
      </x:c>
    </x:row>
    <x:row r="11">
      <x:c r="A11" s="23" t="str">
        <x:v>MT-006</x:v>
      </x:c>
      <x:c r="B11" s="23" t="str">
        <x:v>A-R1-PE1</x:v>
      </x:c>
      <x:c r="C11" s="23" t="str">
        <x:v>SURVIVOR-A</x:v>
      </x:c>
      <x:c r="D11" s="23" t="str">
        <x:v>ROOT-1</x:v>
      </x:c>
      <x:c r="E11" s="38" t="n">
        <x:v>1</x:v>
      </x:c>
      <x:c r="F11" s="23" t="str">
        <x:v>Sediment-laden mission</x:v>
      </x:c>
      <x:c r="G11" s="38" t="n">
        <x:v>72</x:v>
      </x:c>
      <x:c r="H11" s="56" t="n">
        <x:v>0.25</x:v>
      </x:c>
      <x:c r="I11" s="53" t="n">
        <x:f>G11*H11*'Assumptions'!B59</x:f>
        <x:v>31104</x:v>
      </x:c>
      <x:c r="J11" s="38" t="n">
        <x:v>1</x:v>
      </x:c>
      <x:c r="K11" s="66" t="n">
        <x:f>J11*'Assumptions'!B18</x:f>
        <x:v>336</x:v>
      </x:c>
      <x:c r="L11" s="23" t="str">
        <x:v>OPEN</x:v>
      </x:c>
      <x:c r="M11" s="23" t="str">
        <x:v>OPEN</x:v>
      </x:c>
    </x:row>
    <x:row r="12">
      <x:c r="A12" s="23" t="str">
        <x:v>MT-007</x:v>
      </x:c>
      <x:c r="B12" s="23" t="str">
        <x:v>A-R1-PE1</x:v>
      </x:c>
      <x:c r="C12" s="23" t="str">
        <x:v>SURVIVOR-A</x:v>
      </x:c>
      <x:c r="D12" s="23" t="str">
        <x:v>ROOT-1</x:v>
      </x:c>
      <x:c r="E12" s="38" t="n">
        <x:v>1</x:v>
      </x:c>
      <x:c r="F12" s="23" t="str">
        <x:v>Contaminated-water mission</x:v>
      </x:c>
      <x:c r="G12" s="38" t="n">
        <x:v>72</x:v>
      </x:c>
      <x:c r="H12" s="56" t="n">
        <x:v>0.25</x:v>
      </x:c>
      <x:c r="I12" s="53" t="n">
        <x:f>G12*H12*'Assumptions'!B59</x:f>
        <x:v>31104</x:v>
      </x:c>
      <x:c r="J12" s="38" t="n">
        <x:v>1</x:v>
      </x:c>
      <x:c r="K12" s="66" t="n">
        <x:f>J12*'Assumptions'!B18</x:f>
        <x:v>336</x:v>
      </x:c>
      <x:c r="L12" s="23" t="str">
        <x:v>OPEN</x:v>
      </x:c>
      <x:c r="M12" s="23" t="str">
        <x:v>OPEN</x:v>
      </x:c>
    </x:row>
    <x:row r="13">
      <x:c r="A13" s="23" t="str">
        <x:v>MT-008</x:v>
      </x:c>
      <x:c r="B13" s="23" t="str">
        <x:v>A-R1-PE1</x:v>
      </x:c>
      <x:c r="C13" s="23" t="str">
        <x:v>SURVIVOR-A</x:v>
      </x:c>
      <x:c r="D13" s="23" t="str">
        <x:v>ROOT-1</x:v>
      </x:c>
      <x:c r="E13" s="38" t="n">
        <x:v>1</x:v>
      </x:c>
      <x:c r="F13" s="23" t="str">
        <x:v>One-trunk casualty</x:v>
      </x:c>
      <x:c r="G13" s="38" t="n">
        <x:v>24</x:v>
      </x:c>
      <x:c r="H13" s="56" t="n">
        <x:v>0.25</x:v>
      </x:c>
      <x:c r="I13" s="53" t="n">
        <x:f>G13*H13*'Assumptions'!B59</x:f>
        <x:v>10368</x:v>
      </x:c>
      <x:c r="J13" s="38" t="n">
        <x:v>0</x:v>
      </x:c>
      <x:c r="K13" s="66" t="n">
        <x:f>J13*'Assumptions'!B18</x:f>
        <x:v>0</x:v>
      </x:c>
      <x:c r="L13" s="23" t="str">
        <x:v>OPEN</x:v>
      </x:c>
      <x:c r="M13" s="23" t="str">
        <x:v>OPEN</x:v>
      </x:c>
    </x:row>
    <x:row r="14">
      <x:c r="A14" s="23" t="str">
        <x:v>MT-009</x:v>
      </x:c>
      <x:c r="B14" s="23" t="str">
        <x:v>A-R1-PE1</x:v>
      </x:c>
      <x:c r="C14" s="23" t="str">
        <x:v>SURVIVOR-A</x:v>
      </x:c>
      <x:c r="D14" s="23" t="str">
        <x:v>ROOT-1</x:v>
      </x:c>
      <x:c r="E14" s="38" t="n">
        <x:v>1</x:v>
      </x:c>
      <x:c r="F14" s="23" t="str">
        <x:v>One-energy-island casualty</x:v>
      </x:c>
      <x:c r="G14" s="38" t="n">
        <x:v>24</x:v>
      </x:c>
      <x:c r="H14" s="56" t="n">
        <x:v>0.25</x:v>
      </x:c>
      <x:c r="I14" s="53" t="n">
        <x:f>G14*H14*'Assumptions'!B59</x:f>
        <x:v>10368</x:v>
      </x:c>
      <x:c r="J14" s="38" t="n">
        <x:v>0</x:v>
      </x:c>
      <x:c r="K14" s="66" t="n">
        <x:f>J14*'Assumptions'!B18</x:f>
        <x:v>0</x:v>
      </x:c>
      <x:c r="L14" s="23" t="str">
        <x:v>OPEN</x:v>
      </x:c>
      <x:c r="M14" s="23" t="str">
        <x:v>OPEN</x:v>
      </x:c>
    </x:row>
    <x:row r="15">
      <x:c r="A15" s="23" t="str">
        <x:v>MT-010</x:v>
      </x:c>
      <x:c r="B15" s="23" t="str">
        <x:v>A-R1-PE1</x:v>
      </x:c>
      <x:c r="C15" s="23" t="str">
        <x:v>SURVIVOR-A</x:v>
      </x:c>
      <x:c r="D15" s="23" t="str">
        <x:v>ROOT-1</x:v>
      </x:c>
      <x:c r="E15" s="38" t="n">
        <x:v>1</x:v>
      </x:c>
      <x:c r="F15" s="23" t="str">
        <x:v>Coordinator-loss case</x:v>
      </x:c>
      <x:c r="G15" s="38" t="n">
        <x:v>12</x:v>
      </x:c>
      <x:c r="H15" s="56" t="n">
        <x:v>0.25</x:v>
      </x:c>
      <x:c r="I15" s="53" t="n">
        <x:f>G15*H15*'Assumptions'!B59</x:f>
        <x:v>5184</x:v>
      </x:c>
      <x:c r="J15" s="38" t="n">
        <x:v>0</x:v>
      </x:c>
      <x:c r="K15" s="66" t="n">
        <x:f>J15*'Assumptions'!B18</x:f>
        <x:v>0</x:v>
      </x:c>
      <x:c r="L15" s="23" t="str">
        <x:v>OPEN</x:v>
      </x:c>
      <x:c r="M15" s="23" t="str">
        <x:v>OPEN</x:v>
      </x:c>
    </x:row>
    <x:row r="16">
      <x:c r="A16" s="23" t="str">
        <x:v>MT-011</x:v>
      </x:c>
      <x:c r="B16" s="23" t="str">
        <x:v>A-R1-PE1</x:v>
      </x:c>
      <x:c r="C16" s="23" t="str">
        <x:v>SURVIVOR-A</x:v>
      </x:c>
      <x:c r="D16" s="23" t="str">
        <x:v>ROOT-1</x:v>
      </x:c>
      <x:c r="E16" s="38" t="n">
        <x:v>1</x:v>
      </x:c>
      <x:c r="F16" s="23" t="str">
        <x:v>Public-rescue concurrency</x:v>
      </x:c>
      <x:c r="G16" s="38" t="n">
        <x:v>12</x:v>
      </x:c>
      <x:c r="H16" s="56" t="n">
        <x:v>0.25</x:v>
      </x:c>
      <x:c r="I16" s="53" t="n">
        <x:f>G16*H16*'Assumptions'!B59</x:f>
        <x:v>5184</x:v>
      </x:c>
      <x:c r="J16" s="38" t="n">
        <x:v>0</x:v>
      </x:c>
      <x:c r="K16" s="66" t="n">
        <x:f>J16*'Assumptions'!B18</x:f>
        <x:v>0</x:v>
      </x:c>
      <x:c r="L16" s="23" t="str">
        <x:v>OPEN</x:v>
      </x:c>
      <x:c r="M16" s="23" t="str">
        <x:v>OPEN</x:v>
      </x:c>
    </x:row>
    <x:row r="17">
      <x:c r="A17" s="23" t="str">
        <x:v>MT-012</x:v>
      </x:c>
      <x:c r="B17" s="23" t="str">
        <x:v>A-R1-PE1</x:v>
      </x:c>
      <x:c r="C17" s="23" t="str">
        <x:v>SURVIVOR-A</x:v>
      </x:c>
      <x:c r="D17" s="23" t="str">
        <x:v>ROOT-1</x:v>
      </x:c>
      <x:c r="E17" s="38" t="n">
        <x:v>1</x:v>
      </x:c>
      <x:c r="F17" s="23" t="str">
        <x:v>Repeated mission A</x:v>
      </x:c>
      <x:c r="G17" s="38" t="n">
        <x:v>72</x:v>
      </x:c>
      <x:c r="H17" s="56" t="n">
        <x:v>0.25</x:v>
      </x:c>
      <x:c r="I17" s="53" t="n">
        <x:f>G17*H17*'Assumptions'!B59</x:f>
        <x:v>31104</x:v>
      </x:c>
      <x:c r="J17" s="38" t="n">
        <x:v>1</x:v>
      </x:c>
      <x:c r="K17" s="66" t="n">
        <x:f>J17*'Assumptions'!B18</x:f>
        <x:v>336</x:v>
      </x:c>
      <x:c r="L17" s="23" t="str">
        <x:v>OPEN</x:v>
      </x:c>
      <x:c r="M17" s="23" t="str">
        <x:v>OPEN</x:v>
      </x:c>
    </x:row>
    <x:row r="18">
      <x:c r="A18" s="23" t="str">
        <x:v>MT-013</x:v>
      </x:c>
      <x:c r="B18" s="23" t="str">
        <x:v>A-R1-PE1</x:v>
      </x:c>
      <x:c r="C18" s="23" t="str">
        <x:v>SURVIVOR-A</x:v>
      </x:c>
      <x:c r="D18" s="23" t="str">
        <x:v>ROOT-1</x:v>
      </x:c>
      <x:c r="E18" s="38" t="n">
        <x:v>1</x:v>
      </x:c>
      <x:c r="F18" s="23" t="str">
        <x:v>Repeated mission B</x:v>
      </x:c>
      <x:c r="G18" s="38" t="n">
        <x:v>72</x:v>
      </x:c>
      <x:c r="H18" s="56" t="n">
        <x:v>0.25</x:v>
      </x:c>
      <x:c r="I18" s="53" t="n">
        <x:f>G18*H18*'Assumptions'!B59</x:f>
        <x:v>31104</x:v>
      </x:c>
      <x:c r="J18" s="38" t="n">
        <x:v>1</x:v>
      </x:c>
      <x:c r="K18" s="66" t="n">
        <x:f>J18*'Assumptions'!B18</x:f>
        <x:v>336</x:v>
      </x:c>
      <x:c r="L18" s="23" t="str">
        <x:v>OPEN</x:v>
      </x:c>
      <x:c r="M18" s="23" t="str">
        <x:v>OPEN</x:v>
      </x:c>
    </x:row>
    <x:row r="19">
      <x:c r="A19" s="23" t="str">
        <x:v>MT-014</x:v>
      </x:c>
      <x:c r="B19" s="23" t="str">
        <x:v>A-R1-PE1</x:v>
      </x:c>
      <x:c r="C19" s="23" t="str">
        <x:v>SURVIVOR-A</x:v>
      </x:c>
      <x:c r="D19" s="23" t="str">
        <x:v>ROOT-1</x:v>
      </x:c>
      <x:c r="E19" s="38" t="n">
        <x:v>1</x:v>
      </x:c>
      <x:c r="F19" s="23" t="str">
        <x:v>Repeated mission C</x:v>
      </x:c>
      <x:c r="G19" s="38" t="n">
        <x:v>72</x:v>
      </x:c>
      <x:c r="H19" s="56" t="n">
        <x:v>0.25</x:v>
      </x:c>
      <x:c r="I19" s="53" t="n">
        <x:f>G19*H19*'Assumptions'!B59</x:f>
        <x:v>31104</x:v>
      </x:c>
      <x:c r="J19" s="38" t="n">
        <x:v>1</x:v>
      </x:c>
      <x:c r="K19" s="66" t="n">
        <x:f>J19*'Assumptions'!B18</x:f>
        <x:v>336</x:v>
      </x:c>
      <x:c r="L19" s="23" t="str">
        <x:v>OPEN</x:v>
      </x:c>
      <x:c r="M19" s="23" t="str">
        <x:v>OPEN</x:v>
      </x:c>
    </x:row>
    <x:row r="20">
      <x:c r="A20" s="23" t="str">
        <x:v>MT-015</x:v>
      </x:c>
      <x:c r="B20" s="23" t="str">
        <x:v>A-R1-PE2</x:v>
      </x:c>
      <x:c r="C20" s="23" t="str">
        <x:v>SURVIVOR-A</x:v>
      </x:c>
      <x:c r="D20" s="23" t="str">
        <x:v>ROOT-1</x:v>
      </x:c>
      <x:c r="E20" s="38" t="n">
        <x:v>2</x:v>
      </x:c>
      <x:c r="F20" s="23" t="str">
        <x:v>Commissioning</x:v>
      </x:c>
      <x:c r="G20" s="38" t="n">
        <x:v>12</x:v>
      </x:c>
      <x:c r="H20" s="56" t="n">
        <x:v>0.25</x:v>
      </x:c>
      <x:c r="I20" s="53" t="n">
        <x:f>G20*H20*'Assumptions'!B59</x:f>
        <x:v>5184</x:v>
      </x:c>
      <x:c r="J20" s="38" t="n">
        <x:v>0</x:v>
      </x:c>
      <x:c r="K20" s="66" t="n">
        <x:f>J20*'Assumptions'!B18</x:f>
        <x:v>0</x:v>
      </x:c>
      <x:c r="L20" s="23" t="str">
        <x:v>OPEN</x:v>
      </x:c>
      <x:c r="M20" s="23" t="str">
        <x:v>OPEN</x:v>
      </x:c>
    </x:row>
    <x:row r="21">
      <x:c r="A21" s="23" t="str">
        <x:v>MT-016</x:v>
      </x:c>
      <x:c r="B21" s="23" t="str">
        <x:v>A-R1-PE2</x:v>
      </x:c>
      <x:c r="C21" s="23" t="str">
        <x:v>SURVIVOR-A</x:v>
      </x:c>
      <x:c r="D21" s="23" t="str">
        <x:v>ROOT-1</x:v>
      </x:c>
      <x:c r="E21" s="38" t="n">
        <x:v>2</x:v>
      </x:c>
      <x:c r="F21" s="23" t="str">
        <x:v>Regional deployment</x:v>
      </x:c>
      <x:c r="G21" s="38" t="n">
        <x:v>18</x:v>
      </x:c>
      <x:c r="H21" s="56" t="n">
        <x:v>0.25</x:v>
      </x:c>
      <x:c r="I21" s="53" t="n">
        <x:f>G21*H21*'Assumptions'!B59</x:f>
        <x:v>7776</x:v>
      </x:c>
      <x:c r="J21" s="38" t="n">
        <x:v>0</x:v>
      </x:c>
      <x:c r="K21" s="66" t="n">
        <x:f>J21*'Assumptions'!B18</x:f>
        <x:v>0</x:v>
      </x:c>
      <x:c r="L21" s="23" t="str">
        <x:v>OPEN</x:v>
      </x:c>
      <x:c r="M21" s="23" t="str">
        <x:v>OPEN</x:v>
      </x:c>
    </x:row>
    <x:row r="22">
      <x:c r="A22" s="23" t="str">
        <x:v>MT-017</x:v>
      </x:c>
      <x:c r="B22" s="23" t="str">
        <x:v>A-R1-PE2</x:v>
      </x:c>
      <x:c r="C22" s="23" t="str">
        <x:v>SURVIVOR-A</x:v>
      </x:c>
      <x:c r="D22" s="23" t="str">
        <x:v>ROOT-1</x:v>
      </x:c>
      <x:c r="E22" s="38" t="n">
        <x:v>2</x:v>
      </x:c>
      <x:c r="F22" s="23" t="str">
        <x:v>National deployment</x:v>
      </x:c>
      <x:c r="G22" s="38" t="n">
        <x:v>36</x:v>
      </x:c>
      <x:c r="H22" s="56" t="n">
        <x:v>0.25</x:v>
      </x:c>
      <x:c r="I22" s="53" t="n">
        <x:f>G22*H22*'Assumptions'!B59</x:f>
        <x:v>15552</x:v>
      </x:c>
      <x:c r="J22" s="38" t="n">
        <x:v>0</x:v>
      </x:c>
      <x:c r="K22" s="66" t="n">
        <x:f>J22*'Assumptions'!B18</x:f>
        <x:v>0</x:v>
      </x:c>
      <x:c r="L22" s="23" t="str">
        <x:v>OPEN</x:v>
      </x:c>
      <x:c r="M22" s="23" t="str">
        <x:v>OPEN</x:v>
      </x:c>
    </x:row>
    <x:row r="23">
      <x:c r="A23" s="23" t="str">
        <x:v>MT-018</x:v>
      </x:c>
      <x:c r="B23" s="23" t="str">
        <x:v>A-R1-PE2</x:v>
      </x:c>
      <x:c r="C23" s="23" t="str">
        <x:v>SURVIVOR-A</x:v>
      </x:c>
      <x:c r="D23" s="23" t="str">
        <x:v>ROOT-1</x:v>
      </x:c>
      <x:c r="E23" s="38" t="n">
        <x:v>2</x:v>
      </x:c>
      <x:c r="F23" s="23" t="str">
        <x:v>Freshwater mission</x:v>
      </x:c>
      <x:c r="G23" s="38" t="n">
        <x:v>72</x:v>
      </x:c>
      <x:c r="H23" s="56" t="n">
        <x:v>0.25</x:v>
      </x:c>
      <x:c r="I23" s="53" t="n">
        <x:f>G23*H23*'Assumptions'!B59</x:f>
        <x:v>31104</x:v>
      </x:c>
      <x:c r="J23" s="38" t="n">
        <x:v>1</x:v>
      </x:c>
      <x:c r="K23" s="66" t="n">
        <x:f>J23*'Assumptions'!B18</x:f>
        <x:v>336</x:v>
      </x:c>
      <x:c r="L23" s="23" t="str">
        <x:v>OPEN</x:v>
      </x:c>
      <x:c r="M23" s="23" t="str">
        <x:v>OPEN</x:v>
      </x:c>
    </x:row>
    <x:row r="24">
      <x:c r="A24" s="23" t="str">
        <x:v>MT-019</x:v>
      </x:c>
      <x:c r="B24" s="23" t="str">
        <x:v>A-R1-PE2</x:v>
      </x:c>
      <x:c r="C24" s="23" t="str">
        <x:v>SURVIVOR-A</x:v>
      </x:c>
      <x:c r="D24" s="23" t="str">
        <x:v>ROOT-1</x:v>
      </x:c>
      <x:c r="E24" s="38" t="n">
        <x:v>2</x:v>
      </x:c>
      <x:c r="F24" s="23" t="str">
        <x:v>Saline-water mission</x:v>
      </x:c>
      <x:c r="G24" s="38" t="n">
        <x:v>72</x:v>
      </x:c>
      <x:c r="H24" s="56" t="n">
        <x:v>0.25</x:v>
      </x:c>
      <x:c r="I24" s="53" t="n">
        <x:f>G24*H24*'Assumptions'!B59</x:f>
        <x:v>31104</x:v>
      </x:c>
      <x:c r="J24" s="38" t="n">
        <x:v>1</x:v>
      </x:c>
      <x:c r="K24" s="66" t="n">
        <x:f>J24*'Assumptions'!B18</x:f>
        <x:v>336</x:v>
      </x:c>
      <x:c r="L24" s="23" t="str">
        <x:v>OPEN</x:v>
      </x:c>
      <x:c r="M24" s="23" t="str">
        <x:v>OPEN</x:v>
      </x:c>
    </x:row>
    <x:row r="25">
      <x:c r="A25" s="23" t="str">
        <x:v>MT-020</x:v>
      </x:c>
      <x:c r="B25" s="23" t="str">
        <x:v>A-R1-PE2</x:v>
      </x:c>
      <x:c r="C25" s="23" t="str">
        <x:v>SURVIVOR-A</x:v>
      </x:c>
      <x:c r="D25" s="23" t="str">
        <x:v>ROOT-1</x:v>
      </x:c>
      <x:c r="E25" s="38" t="n">
        <x:v>2</x:v>
      </x:c>
      <x:c r="F25" s="23" t="str">
        <x:v>Sediment-laden mission</x:v>
      </x:c>
      <x:c r="G25" s="38" t="n">
        <x:v>72</x:v>
      </x:c>
      <x:c r="H25" s="56" t="n">
        <x:v>0.25</x:v>
      </x:c>
      <x:c r="I25" s="53" t="n">
        <x:f>G25*H25*'Assumptions'!B59</x:f>
        <x:v>31104</x:v>
      </x:c>
      <x:c r="J25" s="38" t="n">
        <x:v>1</x:v>
      </x:c>
      <x:c r="K25" s="66" t="n">
        <x:f>J25*'Assumptions'!B18</x:f>
        <x:v>336</x:v>
      </x:c>
      <x:c r="L25" s="23" t="str">
        <x:v>OPEN</x:v>
      </x:c>
      <x:c r="M25" s="23" t="str">
        <x:v>OPEN</x:v>
      </x:c>
    </x:row>
    <x:row r="26">
      <x:c r="A26" s="23" t="str">
        <x:v>MT-021</x:v>
      </x:c>
      <x:c r="B26" s="23" t="str">
        <x:v>A-R1-PE2</x:v>
      </x:c>
      <x:c r="C26" s="23" t="str">
        <x:v>SURVIVOR-A</x:v>
      </x:c>
      <x:c r="D26" s="23" t="str">
        <x:v>ROOT-1</x:v>
      </x:c>
      <x:c r="E26" s="38" t="n">
        <x:v>2</x:v>
      </x:c>
      <x:c r="F26" s="23" t="str">
        <x:v>Contaminated-water mission</x:v>
      </x:c>
      <x:c r="G26" s="38" t="n">
        <x:v>72</x:v>
      </x:c>
      <x:c r="H26" s="56" t="n">
        <x:v>0.25</x:v>
      </x:c>
      <x:c r="I26" s="53" t="n">
        <x:f>G26*H26*'Assumptions'!B59</x:f>
        <x:v>31104</x:v>
      </x:c>
      <x:c r="J26" s="38" t="n">
        <x:v>1</x:v>
      </x:c>
      <x:c r="K26" s="66" t="n">
        <x:f>J26*'Assumptions'!B18</x:f>
        <x:v>336</x:v>
      </x:c>
      <x:c r="L26" s="23" t="str">
        <x:v>OPEN</x:v>
      </x:c>
      <x:c r="M26" s="23" t="str">
        <x:v>OPEN</x:v>
      </x:c>
    </x:row>
    <x:row r="27">
      <x:c r="A27" s="23" t="str">
        <x:v>MT-022</x:v>
      </x:c>
      <x:c r="B27" s="23" t="str">
        <x:v>A-R1-PE2</x:v>
      </x:c>
      <x:c r="C27" s="23" t="str">
        <x:v>SURVIVOR-A</x:v>
      </x:c>
      <x:c r="D27" s="23" t="str">
        <x:v>ROOT-1</x:v>
      </x:c>
      <x:c r="E27" s="38" t="n">
        <x:v>2</x:v>
      </x:c>
      <x:c r="F27" s="23" t="str">
        <x:v>One-trunk casualty</x:v>
      </x:c>
      <x:c r="G27" s="38" t="n">
        <x:v>24</x:v>
      </x:c>
      <x:c r="H27" s="56" t="n">
        <x:v>0.25</x:v>
      </x:c>
      <x:c r="I27" s="53" t="n">
        <x:f>G27*H27*'Assumptions'!B59</x:f>
        <x:v>10368</x:v>
      </x:c>
      <x:c r="J27" s="38" t="n">
        <x:v>0</x:v>
      </x:c>
      <x:c r="K27" s="66" t="n">
        <x:f>J27*'Assumptions'!B18</x:f>
        <x:v>0</x:v>
      </x:c>
      <x:c r="L27" s="23" t="str">
        <x:v>OPEN</x:v>
      </x:c>
      <x:c r="M27" s="23" t="str">
        <x:v>OPEN</x:v>
      </x:c>
    </x:row>
    <x:row r="28">
      <x:c r="A28" s="23" t="str">
        <x:v>MT-023</x:v>
      </x:c>
      <x:c r="B28" s="23" t="str">
        <x:v>A-R1-PE2</x:v>
      </x:c>
      <x:c r="C28" s="23" t="str">
        <x:v>SURVIVOR-A</x:v>
      </x:c>
      <x:c r="D28" s="23" t="str">
        <x:v>ROOT-1</x:v>
      </x:c>
      <x:c r="E28" s="38" t="n">
        <x:v>2</x:v>
      </x:c>
      <x:c r="F28" s="23" t="str">
        <x:v>One-energy-island casualty</x:v>
      </x:c>
      <x:c r="G28" s="38" t="n">
        <x:v>24</x:v>
      </x:c>
      <x:c r="H28" s="56" t="n">
        <x:v>0.25</x:v>
      </x:c>
      <x:c r="I28" s="53" t="n">
        <x:f>G28*H28*'Assumptions'!B59</x:f>
        <x:v>10368</x:v>
      </x:c>
      <x:c r="J28" s="38" t="n">
        <x:v>0</x:v>
      </x:c>
      <x:c r="K28" s="66" t="n">
        <x:f>J28*'Assumptions'!B18</x:f>
        <x:v>0</x:v>
      </x:c>
      <x:c r="L28" s="23" t="str">
        <x:v>OPEN</x:v>
      </x:c>
      <x:c r="M28" s="23" t="str">
        <x:v>OPEN</x:v>
      </x:c>
    </x:row>
    <x:row r="29">
      <x:c r="A29" s="23" t="str">
        <x:v>MT-024</x:v>
      </x:c>
      <x:c r="B29" s="23" t="str">
        <x:v>A-R1-PE2</x:v>
      </x:c>
      <x:c r="C29" s="23" t="str">
        <x:v>SURVIVOR-A</x:v>
      </x:c>
      <x:c r="D29" s="23" t="str">
        <x:v>ROOT-1</x:v>
      </x:c>
      <x:c r="E29" s="38" t="n">
        <x:v>2</x:v>
      </x:c>
      <x:c r="F29" s="23" t="str">
        <x:v>Coordinator-loss case</x:v>
      </x:c>
      <x:c r="G29" s="38" t="n">
        <x:v>12</x:v>
      </x:c>
      <x:c r="H29" s="56" t="n">
        <x:v>0.25</x:v>
      </x:c>
      <x:c r="I29" s="53" t="n">
        <x:f>G29*H29*'Assumptions'!B59</x:f>
        <x:v>5184</x:v>
      </x:c>
      <x:c r="J29" s="38" t="n">
        <x:v>0</x:v>
      </x:c>
      <x:c r="K29" s="66" t="n">
        <x:f>J29*'Assumptions'!B18</x:f>
        <x:v>0</x:v>
      </x:c>
      <x:c r="L29" s="23" t="str">
        <x:v>OPEN</x:v>
      </x:c>
      <x:c r="M29" s="23" t="str">
        <x:v>OPEN</x:v>
      </x:c>
    </x:row>
    <x:row r="30">
      <x:c r="A30" s="23" t="str">
        <x:v>MT-025</x:v>
      </x:c>
      <x:c r="B30" s="23" t="str">
        <x:v>A-R1-PE2</x:v>
      </x:c>
      <x:c r="C30" s="23" t="str">
        <x:v>SURVIVOR-A</x:v>
      </x:c>
      <x:c r="D30" s="23" t="str">
        <x:v>ROOT-1</x:v>
      </x:c>
      <x:c r="E30" s="38" t="n">
        <x:v>2</x:v>
      </x:c>
      <x:c r="F30" s="23" t="str">
        <x:v>Public-rescue concurrency</x:v>
      </x:c>
      <x:c r="G30" s="38" t="n">
        <x:v>12</x:v>
      </x:c>
      <x:c r="H30" s="56" t="n">
        <x:v>0.25</x:v>
      </x:c>
      <x:c r="I30" s="53" t="n">
        <x:f>G30*H30*'Assumptions'!B59</x:f>
        <x:v>5184</x:v>
      </x:c>
      <x:c r="J30" s="38" t="n">
        <x:v>0</x:v>
      </x:c>
      <x:c r="K30" s="66" t="n">
        <x:f>J30*'Assumptions'!B18</x:f>
        <x:v>0</x:v>
      </x:c>
      <x:c r="L30" s="23" t="str">
        <x:v>OPEN</x:v>
      </x:c>
      <x:c r="M30" s="23" t="str">
        <x:v>OPEN</x:v>
      </x:c>
    </x:row>
    <x:row r="31">
      <x:c r="A31" s="23" t="str">
        <x:v>MT-026</x:v>
      </x:c>
      <x:c r="B31" s="23" t="str">
        <x:v>A-R1-PE2</x:v>
      </x:c>
      <x:c r="C31" s="23" t="str">
        <x:v>SURVIVOR-A</x:v>
      </x:c>
      <x:c r="D31" s="23" t="str">
        <x:v>ROOT-1</x:v>
      </x:c>
      <x:c r="E31" s="38" t="n">
        <x:v>2</x:v>
      </x:c>
      <x:c r="F31" s="23" t="str">
        <x:v>Repeated mission A</x:v>
      </x:c>
      <x:c r="G31" s="38" t="n">
        <x:v>72</x:v>
      </x:c>
      <x:c r="H31" s="56" t="n">
        <x:v>0.25</x:v>
      </x:c>
      <x:c r="I31" s="53" t="n">
        <x:f>G31*H31*'Assumptions'!B59</x:f>
        <x:v>31104</x:v>
      </x:c>
      <x:c r="J31" s="38" t="n">
        <x:v>1</x:v>
      </x:c>
      <x:c r="K31" s="66" t="n">
        <x:f>J31*'Assumptions'!B18</x:f>
        <x:v>336</x:v>
      </x:c>
      <x:c r="L31" s="23" t="str">
        <x:v>OPEN</x:v>
      </x:c>
      <x:c r="M31" s="23" t="str">
        <x:v>OPEN</x:v>
      </x:c>
    </x:row>
    <x:row r="32">
      <x:c r="A32" s="23" t="str">
        <x:v>MT-027</x:v>
      </x:c>
      <x:c r="B32" s="23" t="str">
        <x:v>A-R1-PE2</x:v>
      </x:c>
      <x:c r="C32" s="23" t="str">
        <x:v>SURVIVOR-A</x:v>
      </x:c>
      <x:c r="D32" s="23" t="str">
        <x:v>ROOT-1</x:v>
      </x:c>
      <x:c r="E32" s="38" t="n">
        <x:v>2</x:v>
      </x:c>
      <x:c r="F32" s="23" t="str">
        <x:v>Repeated mission B</x:v>
      </x:c>
      <x:c r="G32" s="38" t="n">
        <x:v>72</x:v>
      </x:c>
      <x:c r="H32" s="56" t="n">
        <x:v>0.25</x:v>
      </x:c>
      <x:c r="I32" s="53" t="n">
        <x:f>G32*H32*'Assumptions'!B59</x:f>
        <x:v>31104</x:v>
      </x:c>
      <x:c r="J32" s="38" t="n">
        <x:v>1</x:v>
      </x:c>
      <x:c r="K32" s="66" t="n">
        <x:f>J32*'Assumptions'!B18</x:f>
        <x:v>336</x:v>
      </x:c>
      <x:c r="L32" s="23" t="str">
        <x:v>OPEN</x:v>
      </x:c>
      <x:c r="M32" s="23" t="str">
        <x:v>OPEN</x:v>
      </x:c>
    </x:row>
    <x:row r="33">
      <x:c r="A33" s="23" t="str">
        <x:v>MT-028</x:v>
      </x:c>
      <x:c r="B33" s="23" t="str">
        <x:v>A-R1-PE2</x:v>
      </x:c>
      <x:c r="C33" s="23" t="str">
        <x:v>SURVIVOR-A</x:v>
      </x:c>
      <x:c r="D33" s="23" t="str">
        <x:v>ROOT-1</x:v>
      </x:c>
      <x:c r="E33" s="38" t="n">
        <x:v>2</x:v>
      </x:c>
      <x:c r="F33" s="23" t="str">
        <x:v>Repeated mission C</x:v>
      </x:c>
      <x:c r="G33" s="38" t="n">
        <x:v>72</x:v>
      </x:c>
      <x:c r="H33" s="56" t="n">
        <x:v>0.25</x:v>
      </x:c>
      <x:c r="I33" s="53" t="n">
        <x:f>G33*H33*'Assumptions'!B59</x:f>
        <x:v>31104</x:v>
      </x:c>
      <x:c r="J33" s="38" t="n">
        <x:v>1</x:v>
      </x:c>
      <x:c r="K33" s="66" t="n">
        <x:f>J33*'Assumptions'!B18</x:f>
        <x:v>336</x:v>
      </x:c>
      <x:c r="L33" s="23" t="str">
        <x:v>OPEN</x:v>
      </x:c>
      <x:c r="M33" s="23" t="str">
        <x:v>OPEN</x:v>
      </x:c>
    </x:row>
    <x:row r="34">
      <x:c r="A34" s="23" t="str">
        <x:v>MT-029</x:v>
      </x:c>
      <x:c r="B34" s="23" t="str">
        <x:v>A-R1-PE3</x:v>
      </x:c>
      <x:c r="C34" s="23" t="str">
        <x:v>SURVIVOR-A</x:v>
      </x:c>
      <x:c r="D34" s="23" t="str">
        <x:v>ROOT-1</x:v>
      </x:c>
      <x:c r="E34" s="38" t="n">
        <x:v>3</x:v>
      </x:c>
      <x:c r="F34" s="23" t="str">
        <x:v>Commissioning</x:v>
      </x:c>
      <x:c r="G34" s="38" t="n">
        <x:v>12</x:v>
      </x:c>
      <x:c r="H34" s="56" t="n">
        <x:v>0.25</x:v>
      </x:c>
      <x:c r="I34" s="53" t="n">
        <x:f>G34*H34*'Assumptions'!B59</x:f>
        <x:v>5184</x:v>
      </x:c>
      <x:c r="J34" s="38" t="n">
        <x:v>0</x:v>
      </x:c>
      <x:c r="K34" s="66" t="n">
        <x:f>J34*'Assumptions'!B18</x:f>
        <x:v>0</x:v>
      </x:c>
      <x:c r="L34" s="23" t="str">
        <x:v>OPEN</x:v>
      </x:c>
      <x:c r="M34" s="23" t="str">
        <x:v>OPEN</x:v>
      </x:c>
    </x:row>
    <x:row r="35">
      <x:c r="A35" s="23" t="str">
        <x:v>MT-030</x:v>
      </x:c>
      <x:c r="B35" s="23" t="str">
        <x:v>A-R1-PE3</x:v>
      </x:c>
      <x:c r="C35" s="23" t="str">
        <x:v>SURVIVOR-A</x:v>
      </x:c>
      <x:c r="D35" s="23" t="str">
        <x:v>ROOT-1</x:v>
      </x:c>
      <x:c r="E35" s="38" t="n">
        <x:v>3</x:v>
      </x:c>
      <x:c r="F35" s="23" t="str">
        <x:v>Regional deployment</x:v>
      </x:c>
      <x:c r="G35" s="38" t="n">
        <x:v>18</x:v>
      </x:c>
      <x:c r="H35" s="56" t="n">
        <x:v>0.25</x:v>
      </x:c>
      <x:c r="I35" s="53" t="n">
        <x:f>G35*H35*'Assumptions'!B59</x:f>
        <x:v>7776</x:v>
      </x:c>
      <x:c r="J35" s="38" t="n">
        <x:v>0</x:v>
      </x:c>
      <x:c r="K35" s="66" t="n">
        <x:f>J35*'Assumptions'!B18</x:f>
        <x:v>0</x:v>
      </x:c>
      <x:c r="L35" s="23" t="str">
        <x:v>OPEN</x:v>
      </x:c>
      <x:c r="M35" s="23" t="str">
        <x:v>OPEN</x:v>
      </x:c>
    </x:row>
    <x:row r="36">
      <x:c r="A36" s="23" t="str">
        <x:v>MT-031</x:v>
      </x:c>
      <x:c r="B36" s="23" t="str">
        <x:v>A-R1-PE3</x:v>
      </x:c>
      <x:c r="C36" s="23" t="str">
        <x:v>SURVIVOR-A</x:v>
      </x:c>
      <x:c r="D36" s="23" t="str">
        <x:v>ROOT-1</x:v>
      </x:c>
      <x:c r="E36" s="38" t="n">
        <x:v>3</x:v>
      </x:c>
      <x:c r="F36" s="23" t="str">
        <x:v>National deployment</x:v>
      </x:c>
      <x:c r="G36" s="38" t="n">
        <x:v>36</x:v>
      </x:c>
      <x:c r="H36" s="56" t="n">
        <x:v>0.25</x:v>
      </x:c>
      <x:c r="I36" s="53" t="n">
        <x:f>G36*H36*'Assumptions'!B59</x:f>
        <x:v>15552</x:v>
      </x:c>
      <x:c r="J36" s="38" t="n">
        <x:v>0</x:v>
      </x:c>
      <x:c r="K36" s="66" t="n">
        <x:f>J36*'Assumptions'!B18</x:f>
        <x:v>0</x:v>
      </x:c>
      <x:c r="L36" s="23" t="str">
        <x:v>OPEN</x:v>
      </x:c>
      <x:c r="M36" s="23" t="str">
        <x:v>OPEN</x:v>
      </x:c>
    </x:row>
    <x:row r="37">
      <x:c r="A37" s="23" t="str">
        <x:v>MT-032</x:v>
      </x:c>
      <x:c r="B37" s="23" t="str">
        <x:v>A-R1-PE3</x:v>
      </x:c>
      <x:c r="C37" s="23" t="str">
        <x:v>SURVIVOR-A</x:v>
      </x:c>
      <x:c r="D37" s="23" t="str">
        <x:v>ROOT-1</x:v>
      </x:c>
      <x:c r="E37" s="38" t="n">
        <x:v>3</x:v>
      </x:c>
      <x:c r="F37" s="23" t="str">
        <x:v>Freshwater mission</x:v>
      </x:c>
      <x:c r="G37" s="38" t="n">
        <x:v>72</x:v>
      </x:c>
      <x:c r="H37" s="56" t="n">
        <x:v>0.25</x:v>
      </x:c>
      <x:c r="I37" s="53" t="n">
        <x:f>G37*H37*'Assumptions'!B59</x:f>
        <x:v>31104</x:v>
      </x:c>
      <x:c r="J37" s="38" t="n">
        <x:v>1</x:v>
      </x:c>
      <x:c r="K37" s="66" t="n">
        <x:f>J37*'Assumptions'!B18</x:f>
        <x:v>336</x:v>
      </x:c>
      <x:c r="L37" s="23" t="str">
        <x:v>OPEN</x:v>
      </x:c>
      <x:c r="M37" s="23" t="str">
        <x:v>OPEN</x:v>
      </x:c>
    </x:row>
    <x:row r="38">
      <x:c r="A38" s="23" t="str">
        <x:v>MT-033</x:v>
      </x:c>
      <x:c r="B38" s="23" t="str">
        <x:v>A-R1-PE3</x:v>
      </x:c>
      <x:c r="C38" s="23" t="str">
        <x:v>SURVIVOR-A</x:v>
      </x:c>
      <x:c r="D38" s="23" t="str">
        <x:v>ROOT-1</x:v>
      </x:c>
      <x:c r="E38" s="38" t="n">
        <x:v>3</x:v>
      </x:c>
      <x:c r="F38" s="23" t="str">
        <x:v>Saline-water mission</x:v>
      </x:c>
      <x:c r="G38" s="38" t="n">
        <x:v>72</x:v>
      </x:c>
      <x:c r="H38" s="56" t="n">
        <x:v>0.25</x:v>
      </x:c>
      <x:c r="I38" s="53" t="n">
        <x:f>G38*H38*'Assumptions'!B59</x:f>
        <x:v>31104</x:v>
      </x:c>
      <x:c r="J38" s="38" t="n">
        <x:v>1</x:v>
      </x:c>
      <x:c r="K38" s="66" t="n">
        <x:f>J38*'Assumptions'!B18</x:f>
        <x:v>336</x:v>
      </x:c>
      <x:c r="L38" s="23" t="str">
        <x:v>OPEN</x:v>
      </x:c>
      <x:c r="M38" s="23" t="str">
        <x:v>OPEN</x:v>
      </x:c>
    </x:row>
    <x:row r="39">
      <x:c r="A39" s="23" t="str">
        <x:v>MT-034</x:v>
      </x:c>
      <x:c r="B39" s="23" t="str">
        <x:v>A-R1-PE3</x:v>
      </x:c>
      <x:c r="C39" s="23" t="str">
        <x:v>SURVIVOR-A</x:v>
      </x:c>
      <x:c r="D39" s="23" t="str">
        <x:v>ROOT-1</x:v>
      </x:c>
      <x:c r="E39" s="38" t="n">
        <x:v>3</x:v>
      </x:c>
      <x:c r="F39" s="23" t="str">
        <x:v>Sediment-laden mission</x:v>
      </x:c>
      <x:c r="G39" s="38" t="n">
        <x:v>72</x:v>
      </x:c>
      <x:c r="H39" s="56" t="n">
        <x:v>0.25</x:v>
      </x:c>
      <x:c r="I39" s="53" t="n">
        <x:f>G39*H39*'Assumptions'!B59</x:f>
        <x:v>31104</x:v>
      </x:c>
      <x:c r="J39" s="38" t="n">
        <x:v>1</x:v>
      </x:c>
      <x:c r="K39" s="66" t="n">
        <x:f>J39*'Assumptions'!B18</x:f>
        <x:v>336</x:v>
      </x:c>
      <x:c r="L39" s="23" t="str">
        <x:v>OPEN</x:v>
      </x:c>
      <x:c r="M39" s="23" t="str">
        <x:v>OPEN</x:v>
      </x:c>
    </x:row>
    <x:row r="40">
      <x:c r="A40" s="23" t="str">
        <x:v>MT-035</x:v>
      </x:c>
      <x:c r="B40" s="23" t="str">
        <x:v>A-R1-PE3</x:v>
      </x:c>
      <x:c r="C40" s="23" t="str">
        <x:v>SURVIVOR-A</x:v>
      </x:c>
      <x:c r="D40" s="23" t="str">
        <x:v>ROOT-1</x:v>
      </x:c>
      <x:c r="E40" s="38" t="n">
        <x:v>3</x:v>
      </x:c>
      <x:c r="F40" s="23" t="str">
        <x:v>Contaminated-water mission</x:v>
      </x:c>
      <x:c r="G40" s="38" t="n">
        <x:v>72</x:v>
      </x:c>
      <x:c r="H40" s="56" t="n">
        <x:v>0.25</x:v>
      </x:c>
      <x:c r="I40" s="53" t="n">
        <x:f>G40*H40*'Assumptions'!B59</x:f>
        <x:v>31104</x:v>
      </x:c>
      <x:c r="J40" s="38" t="n">
        <x:v>1</x:v>
      </x:c>
      <x:c r="K40" s="66" t="n">
        <x:f>J40*'Assumptions'!B18</x:f>
        <x:v>336</x:v>
      </x:c>
      <x:c r="L40" s="23" t="str">
        <x:v>OPEN</x:v>
      </x:c>
      <x:c r="M40" s="23" t="str">
        <x:v>OPEN</x:v>
      </x:c>
    </x:row>
    <x:row r="41">
      <x:c r="A41" s="23" t="str">
        <x:v>MT-036</x:v>
      </x:c>
      <x:c r="B41" s="23" t="str">
        <x:v>A-R1-PE3</x:v>
      </x:c>
      <x:c r="C41" s="23" t="str">
        <x:v>SURVIVOR-A</x:v>
      </x:c>
      <x:c r="D41" s="23" t="str">
        <x:v>ROOT-1</x:v>
      </x:c>
      <x:c r="E41" s="38" t="n">
        <x:v>3</x:v>
      </x:c>
      <x:c r="F41" s="23" t="str">
        <x:v>One-trunk casualty</x:v>
      </x:c>
      <x:c r="G41" s="38" t="n">
        <x:v>24</x:v>
      </x:c>
      <x:c r="H41" s="56" t="n">
        <x:v>0.25</x:v>
      </x:c>
      <x:c r="I41" s="53" t="n">
        <x:f>G41*H41*'Assumptions'!B59</x:f>
        <x:v>10368</x:v>
      </x:c>
      <x:c r="J41" s="38" t="n">
        <x:v>0</x:v>
      </x:c>
      <x:c r="K41" s="66" t="n">
        <x:f>J41*'Assumptions'!B18</x:f>
        <x:v>0</x:v>
      </x:c>
      <x:c r="L41" s="23" t="str">
        <x:v>OPEN</x:v>
      </x:c>
      <x:c r="M41" s="23" t="str">
        <x:v>OPEN</x:v>
      </x:c>
    </x:row>
    <x:row r="42">
      <x:c r="A42" s="23" t="str">
        <x:v>MT-037</x:v>
      </x:c>
      <x:c r="B42" s="23" t="str">
        <x:v>A-R1-PE3</x:v>
      </x:c>
      <x:c r="C42" s="23" t="str">
        <x:v>SURVIVOR-A</x:v>
      </x:c>
      <x:c r="D42" s="23" t="str">
        <x:v>ROOT-1</x:v>
      </x:c>
      <x:c r="E42" s="38" t="n">
        <x:v>3</x:v>
      </x:c>
      <x:c r="F42" s="23" t="str">
        <x:v>One-energy-island casualty</x:v>
      </x:c>
      <x:c r="G42" s="38" t="n">
        <x:v>24</x:v>
      </x:c>
      <x:c r="H42" s="56" t="n">
        <x:v>0.25</x:v>
      </x:c>
      <x:c r="I42" s="53" t="n">
        <x:f>G42*H42*'Assumptions'!B59</x:f>
        <x:v>10368</x:v>
      </x:c>
      <x:c r="J42" s="38" t="n">
        <x:v>0</x:v>
      </x:c>
      <x:c r="K42" s="66" t="n">
        <x:f>J42*'Assumptions'!B18</x:f>
        <x:v>0</x:v>
      </x:c>
      <x:c r="L42" s="23" t="str">
        <x:v>OPEN</x:v>
      </x:c>
      <x:c r="M42" s="23" t="str">
        <x:v>OPEN</x:v>
      </x:c>
    </x:row>
    <x:row r="43">
      <x:c r="A43" s="23" t="str">
        <x:v>MT-038</x:v>
      </x:c>
      <x:c r="B43" s="23" t="str">
        <x:v>A-R1-PE3</x:v>
      </x:c>
      <x:c r="C43" s="23" t="str">
        <x:v>SURVIVOR-A</x:v>
      </x:c>
      <x:c r="D43" s="23" t="str">
        <x:v>ROOT-1</x:v>
      </x:c>
      <x:c r="E43" s="38" t="n">
        <x:v>3</x:v>
      </x:c>
      <x:c r="F43" s="23" t="str">
        <x:v>Coordinator-loss case</x:v>
      </x:c>
      <x:c r="G43" s="38" t="n">
        <x:v>12</x:v>
      </x:c>
      <x:c r="H43" s="56" t="n">
        <x:v>0.25</x:v>
      </x:c>
      <x:c r="I43" s="53" t="n">
        <x:f>G43*H43*'Assumptions'!B59</x:f>
        <x:v>5184</x:v>
      </x:c>
      <x:c r="J43" s="38" t="n">
        <x:v>0</x:v>
      </x:c>
      <x:c r="K43" s="66" t="n">
        <x:f>J43*'Assumptions'!B18</x:f>
        <x:v>0</x:v>
      </x:c>
      <x:c r="L43" s="23" t="str">
        <x:v>OPEN</x:v>
      </x:c>
      <x:c r="M43" s="23" t="str">
        <x:v>OPEN</x:v>
      </x:c>
    </x:row>
    <x:row r="44">
      <x:c r="A44" s="23" t="str">
        <x:v>MT-039</x:v>
      </x:c>
      <x:c r="B44" s="23" t="str">
        <x:v>A-R1-PE3</x:v>
      </x:c>
      <x:c r="C44" s="23" t="str">
        <x:v>SURVIVOR-A</x:v>
      </x:c>
      <x:c r="D44" s="23" t="str">
        <x:v>ROOT-1</x:v>
      </x:c>
      <x:c r="E44" s="38" t="n">
        <x:v>3</x:v>
      </x:c>
      <x:c r="F44" s="23" t="str">
        <x:v>Public-rescue concurrency</x:v>
      </x:c>
      <x:c r="G44" s="38" t="n">
        <x:v>12</x:v>
      </x:c>
      <x:c r="H44" s="56" t="n">
        <x:v>0.25</x:v>
      </x:c>
      <x:c r="I44" s="53" t="n">
        <x:f>G44*H44*'Assumptions'!B59</x:f>
        <x:v>5184</x:v>
      </x:c>
      <x:c r="J44" s="38" t="n">
        <x:v>0</x:v>
      </x:c>
      <x:c r="K44" s="66" t="n">
        <x:f>J44*'Assumptions'!B18</x:f>
        <x:v>0</x:v>
      </x:c>
      <x:c r="L44" s="23" t="str">
        <x:v>OPEN</x:v>
      </x:c>
      <x:c r="M44" s="23" t="str">
        <x:v>OPEN</x:v>
      </x:c>
    </x:row>
    <x:row r="45">
      <x:c r="A45" s="23" t="str">
        <x:v>MT-040</x:v>
      </x:c>
      <x:c r="B45" s="23" t="str">
        <x:v>A-R1-PE3</x:v>
      </x:c>
      <x:c r="C45" s="23" t="str">
        <x:v>SURVIVOR-A</x:v>
      </x:c>
      <x:c r="D45" s="23" t="str">
        <x:v>ROOT-1</x:v>
      </x:c>
      <x:c r="E45" s="38" t="n">
        <x:v>3</x:v>
      </x:c>
      <x:c r="F45" s="23" t="str">
        <x:v>Repeated mission A</x:v>
      </x:c>
      <x:c r="G45" s="38" t="n">
        <x:v>72</x:v>
      </x:c>
      <x:c r="H45" s="56" t="n">
        <x:v>0.25</x:v>
      </x:c>
      <x:c r="I45" s="53" t="n">
        <x:f>G45*H45*'Assumptions'!B59</x:f>
        <x:v>31104</x:v>
      </x:c>
      <x:c r="J45" s="38" t="n">
        <x:v>1</x:v>
      </x:c>
      <x:c r="K45" s="66" t="n">
        <x:f>J45*'Assumptions'!B18</x:f>
        <x:v>336</x:v>
      </x:c>
      <x:c r="L45" s="23" t="str">
        <x:v>OPEN</x:v>
      </x:c>
      <x:c r="M45" s="23" t="str">
        <x:v>OPEN</x:v>
      </x:c>
    </x:row>
    <x:row r="46">
      <x:c r="A46" s="23" t="str">
        <x:v>MT-041</x:v>
      </x:c>
      <x:c r="B46" s="23" t="str">
        <x:v>A-R1-PE3</x:v>
      </x:c>
      <x:c r="C46" s="23" t="str">
        <x:v>SURVIVOR-A</x:v>
      </x:c>
      <x:c r="D46" s="23" t="str">
        <x:v>ROOT-1</x:v>
      </x:c>
      <x:c r="E46" s="38" t="n">
        <x:v>3</x:v>
      </x:c>
      <x:c r="F46" s="23" t="str">
        <x:v>Repeated mission B</x:v>
      </x:c>
      <x:c r="G46" s="38" t="n">
        <x:v>72</x:v>
      </x:c>
      <x:c r="H46" s="56" t="n">
        <x:v>0.25</x:v>
      </x:c>
      <x:c r="I46" s="53" t="n">
        <x:f>G46*H46*'Assumptions'!B59</x:f>
        <x:v>31104</x:v>
      </x:c>
      <x:c r="J46" s="38" t="n">
        <x:v>1</x:v>
      </x:c>
      <x:c r="K46" s="66" t="n">
        <x:f>J46*'Assumptions'!B18</x:f>
        <x:v>336</x:v>
      </x:c>
      <x:c r="L46" s="23" t="str">
        <x:v>OPEN</x:v>
      </x:c>
      <x:c r="M46" s="23" t="str">
        <x:v>OPEN</x:v>
      </x:c>
    </x:row>
    <x:row r="47">
      <x:c r="A47" s="23" t="str">
        <x:v>MT-042</x:v>
      </x:c>
      <x:c r="B47" s="23" t="str">
        <x:v>A-R1-PE3</x:v>
      </x:c>
      <x:c r="C47" s="23" t="str">
        <x:v>SURVIVOR-A</x:v>
      </x:c>
      <x:c r="D47" s="23" t="str">
        <x:v>ROOT-1</x:v>
      </x:c>
      <x:c r="E47" s="38" t="n">
        <x:v>3</x:v>
      </x:c>
      <x:c r="F47" s="23" t="str">
        <x:v>Repeated mission C</x:v>
      </x:c>
      <x:c r="G47" s="38" t="n">
        <x:v>72</x:v>
      </x:c>
      <x:c r="H47" s="56" t="n">
        <x:v>0.25</x:v>
      </x:c>
      <x:c r="I47" s="53" t="n">
        <x:f>G47*H47*'Assumptions'!B59</x:f>
        <x:v>31104</x:v>
      </x:c>
      <x:c r="J47" s="38" t="n">
        <x:v>1</x:v>
      </x:c>
      <x:c r="K47" s="66" t="n">
        <x:f>J47*'Assumptions'!B18</x:f>
        <x:v>336</x:v>
      </x:c>
      <x:c r="L47" s="23" t="str">
        <x:v>OPEN</x:v>
      </x:c>
      <x:c r="M47" s="23" t="str">
        <x:v>OPEN</x:v>
      </x:c>
    </x:row>
    <x:row r="48">
      <x:c r="A48" s="23" t="str">
        <x:v>MT-043</x:v>
      </x:c>
      <x:c r="B48" s="23" t="str">
        <x:v>A-R2-PE1</x:v>
      </x:c>
      <x:c r="C48" s="23" t="str">
        <x:v>SURVIVOR-A</x:v>
      </x:c>
      <x:c r="D48" s="23" t="str">
        <x:v>ROOT-2</x:v>
      </x:c>
      <x:c r="E48" s="38" t="n">
        <x:v>1</x:v>
      </x:c>
      <x:c r="F48" s="23" t="str">
        <x:v>Commissioning</x:v>
      </x:c>
      <x:c r="G48" s="38" t="n">
        <x:v>12</x:v>
      </x:c>
      <x:c r="H48" s="56" t="n">
        <x:v>0.25</x:v>
      </x:c>
      <x:c r="I48" s="53" t="n">
        <x:f>G48*H48*'Assumptions'!B59</x:f>
        <x:v>5184</x:v>
      </x:c>
      <x:c r="J48" s="38" t="n">
        <x:v>0</x:v>
      </x:c>
      <x:c r="K48" s="66" t="n">
        <x:f>J48*'Assumptions'!B18</x:f>
        <x:v>0</x:v>
      </x:c>
      <x:c r="L48" s="23" t="str">
        <x:v>OPEN</x:v>
      </x:c>
      <x:c r="M48" s="23" t="str">
        <x:v>OPEN</x:v>
      </x:c>
    </x:row>
    <x:row r="49">
      <x:c r="A49" s="23" t="str">
        <x:v>MT-044</x:v>
      </x:c>
      <x:c r="B49" s="23" t="str">
        <x:v>A-R2-PE1</x:v>
      </x:c>
      <x:c r="C49" s="23" t="str">
        <x:v>SURVIVOR-A</x:v>
      </x:c>
      <x:c r="D49" s="23" t="str">
        <x:v>ROOT-2</x:v>
      </x:c>
      <x:c r="E49" s="38" t="n">
        <x:v>1</x:v>
      </x:c>
      <x:c r="F49" s="23" t="str">
        <x:v>Regional deployment</x:v>
      </x:c>
      <x:c r="G49" s="38" t="n">
        <x:v>18</x:v>
      </x:c>
      <x:c r="H49" s="56" t="n">
        <x:v>0.25</x:v>
      </x:c>
      <x:c r="I49" s="53" t="n">
        <x:f>G49*H49*'Assumptions'!B59</x:f>
        <x:v>7776</x:v>
      </x:c>
      <x:c r="J49" s="38" t="n">
        <x:v>0</x:v>
      </x:c>
      <x:c r="K49" s="66" t="n">
        <x:f>J49*'Assumptions'!B18</x:f>
        <x:v>0</x:v>
      </x:c>
      <x:c r="L49" s="23" t="str">
        <x:v>OPEN</x:v>
      </x:c>
      <x:c r="M49" s="23" t="str">
        <x:v>OPEN</x:v>
      </x:c>
    </x:row>
    <x:row r="50">
      <x:c r="A50" s="23" t="str">
        <x:v>MT-045</x:v>
      </x:c>
      <x:c r="B50" s="23" t="str">
        <x:v>A-R2-PE1</x:v>
      </x:c>
      <x:c r="C50" s="23" t="str">
        <x:v>SURVIVOR-A</x:v>
      </x:c>
      <x:c r="D50" s="23" t="str">
        <x:v>ROOT-2</x:v>
      </x:c>
      <x:c r="E50" s="38" t="n">
        <x:v>1</x:v>
      </x:c>
      <x:c r="F50" s="23" t="str">
        <x:v>National deployment</x:v>
      </x:c>
      <x:c r="G50" s="38" t="n">
        <x:v>36</x:v>
      </x:c>
      <x:c r="H50" s="56" t="n">
        <x:v>0.25</x:v>
      </x:c>
      <x:c r="I50" s="53" t="n">
        <x:f>G50*H50*'Assumptions'!B59</x:f>
        <x:v>15552</x:v>
      </x:c>
      <x:c r="J50" s="38" t="n">
        <x:v>0</x:v>
      </x:c>
      <x:c r="K50" s="66" t="n">
        <x:f>J50*'Assumptions'!B18</x:f>
        <x:v>0</x:v>
      </x:c>
      <x:c r="L50" s="23" t="str">
        <x:v>OPEN</x:v>
      </x:c>
      <x:c r="M50" s="23" t="str">
        <x:v>OPEN</x:v>
      </x:c>
    </x:row>
    <x:row r="51">
      <x:c r="A51" s="23" t="str">
        <x:v>MT-046</x:v>
      </x:c>
      <x:c r="B51" s="23" t="str">
        <x:v>A-R2-PE1</x:v>
      </x:c>
      <x:c r="C51" s="23" t="str">
        <x:v>SURVIVOR-A</x:v>
      </x:c>
      <x:c r="D51" s="23" t="str">
        <x:v>ROOT-2</x:v>
      </x:c>
      <x:c r="E51" s="38" t="n">
        <x:v>1</x:v>
      </x:c>
      <x:c r="F51" s="23" t="str">
        <x:v>Freshwater mission</x:v>
      </x:c>
      <x:c r="G51" s="38" t="n">
        <x:v>72</x:v>
      </x:c>
      <x:c r="H51" s="56" t="n">
        <x:v>0.25</x:v>
      </x:c>
      <x:c r="I51" s="53" t="n">
        <x:f>G51*H51*'Assumptions'!B59</x:f>
        <x:v>31104</x:v>
      </x:c>
      <x:c r="J51" s="38" t="n">
        <x:v>1</x:v>
      </x:c>
      <x:c r="K51" s="66" t="n">
        <x:f>J51*'Assumptions'!B18</x:f>
        <x:v>336</x:v>
      </x:c>
      <x:c r="L51" s="23" t="str">
        <x:v>OPEN</x:v>
      </x:c>
      <x:c r="M51" s="23" t="str">
        <x:v>OPEN</x:v>
      </x:c>
    </x:row>
    <x:row r="52">
      <x:c r="A52" s="23" t="str">
        <x:v>MT-047</x:v>
      </x:c>
      <x:c r="B52" s="23" t="str">
        <x:v>A-R2-PE1</x:v>
      </x:c>
      <x:c r="C52" s="23" t="str">
        <x:v>SURVIVOR-A</x:v>
      </x:c>
      <x:c r="D52" s="23" t="str">
        <x:v>ROOT-2</x:v>
      </x:c>
      <x:c r="E52" s="38" t="n">
        <x:v>1</x:v>
      </x:c>
      <x:c r="F52" s="23" t="str">
        <x:v>Saline-water mission</x:v>
      </x:c>
      <x:c r="G52" s="38" t="n">
        <x:v>72</x:v>
      </x:c>
      <x:c r="H52" s="56" t="n">
        <x:v>0.25</x:v>
      </x:c>
      <x:c r="I52" s="53" t="n">
        <x:f>G52*H52*'Assumptions'!B59</x:f>
        <x:v>31104</x:v>
      </x:c>
      <x:c r="J52" s="38" t="n">
        <x:v>1</x:v>
      </x:c>
      <x:c r="K52" s="66" t="n">
        <x:f>J52*'Assumptions'!B18</x:f>
        <x:v>336</x:v>
      </x:c>
      <x:c r="L52" s="23" t="str">
        <x:v>OPEN</x:v>
      </x:c>
      <x:c r="M52" s="23" t="str">
        <x:v>OPEN</x:v>
      </x:c>
    </x:row>
    <x:row r="53">
      <x:c r="A53" s="23" t="str">
        <x:v>MT-048</x:v>
      </x:c>
      <x:c r="B53" s="23" t="str">
        <x:v>A-R2-PE1</x:v>
      </x:c>
      <x:c r="C53" s="23" t="str">
        <x:v>SURVIVOR-A</x:v>
      </x:c>
      <x:c r="D53" s="23" t="str">
        <x:v>ROOT-2</x:v>
      </x:c>
      <x:c r="E53" s="38" t="n">
        <x:v>1</x:v>
      </x:c>
      <x:c r="F53" s="23" t="str">
        <x:v>Sediment-laden mission</x:v>
      </x:c>
      <x:c r="G53" s="38" t="n">
        <x:v>72</x:v>
      </x:c>
      <x:c r="H53" s="56" t="n">
        <x:v>0.25</x:v>
      </x:c>
      <x:c r="I53" s="53" t="n">
        <x:f>G53*H53*'Assumptions'!B59</x:f>
        <x:v>31104</x:v>
      </x:c>
      <x:c r="J53" s="38" t="n">
        <x:v>1</x:v>
      </x:c>
      <x:c r="K53" s="66" t="n">
        <x:f>J53*'Assumptions'!B18</x:f>
        <x:v>336</x:v>
      </x:c>
      <x:c r="L53" s="23" t="str">
        <x:v>OPEN</x:v>
      </x:c>
      <x:c r="M53" s="23" t="str">
        <x:v>OPEN</x:v>
      </x:c>
    </x:row>
    <x:row r="54">
      <x:c r="A54" s="23" t="str">
        <x:v>MT-049</x:v>
      </x:c>
      <x:c r="B54" s="23" t="str">
        <x:v>A-R2-PE1</x:v>
      </x:c>
      <x:c r="C54" s="23" t="str">
        <x:v>SURVIVOR-A</x:v>
      </x:c>
      <x:c r="D54" s="23" t="str">
        <x:v>ROOT-2</x:v>
      </x:c>
      <x:c r="E54" s="38" t="n">
        <x:v>1</x:v>
      </x:c>
      <x:c r="F54" s="23" t="str">
        <x:v>Contaminated-water mission</x:v>
      </x:c>
      <x:c r="G54" s="38" t="n">
        <x:v>72</x:v>
      </x:c>
      <x:c r="H54" s="56" t="n">
        <x:v>0.25</x:v>
      </x:c>
      <x:c r="I54" s="53" t="n">
        <x:f>G54*H54*'Assumptions'!B59</x:f>
        <x:v>31104</x:v>
      </x:c>
      <x:c r="J54" s="38" t="n">
        <x:v>1</x:v>
      </x:c>
      <x:c r="K54" s="66" t="n">
        <x:f>J54*'Assumptions'!B18</x:f>
        <x:v>336</x:v>
      </x:c>
      <x:c r="L54" s="23" t="str">
        <x:v>OPEN</x:v>
      </x:c>
      <x:c r="M54" s="23" t="str">
        <x:v>OPEN</x:v>
      </x:c>
    </x:row>
    <x:row r="55">
      <x:c r="A55" s="23" t="str">
        <x:v>MT-050</x:v>
      </x:c>
      <x:c r="B55" s="23" t="str">
        <x:v>A-R2-PE1</x:v>
      </x:c>
      <x:c r="C55" s="23" t="str">
        <x:v>SURVIVOR-A</x:v>
      </x:c>
      <x:c r="D55" s="23" t="str">
        <x:v>ROOT-2</x:v>
      </x:c>
      <x:c r="E55" s="38" t="n">
        <x:v>1</x:v>
      </x:c>
      <x:c r="F55" s="23" t="str">
        <x:v>One-trunk casualty</x:v>
      </x:c>
      <x:c r="G55" s="38" t="n">
        <x:v>24</x:v>
      </x:c>
      <x:c r="H55" s="56" t="n">
        <x:v>0.25</x:v>
      </x:c>
      <x:c r="I55" s="53" t="n">
        <x:f>G55*H55*'Assumptions'!B59</x:f>
        <x:v>10368</x:v>
      </x:c>
      <x:c r="J55" s="38" t="n">
        <x:v>0</x:v>
      </x:c>
      <x:c r="K55" s="66" t="n">
        <x:f>J55*'Assumptions'!B18</x:f>
        <x:v>0</x:v>
      </x:c>
      <x:c r="L55" s="23" t="str">
        <x:v>OPEN</x:v>
      </x:c>
      <x:c r="M55" s="23" t="str">
        <x:v>OPEN</x:v>
      </x:c>
    </x:row>
    <x:row r="56">
      <x:c r="A56" s="23" t="str">
        <x:v>MT-051</x:v>
      </x:c>
      <x:c r="B56" s="23" t="str">
        <x:v>A-R2-PE1</x:v>
      </x:c>
      <x:c r="C56" s="23" t="str">
        <x:v>SURVIVOR-A</x:v>
      </x:c>
      <x:c r="D56" s="23" t="str">
        <x:v>ROOT-2</x:v>
      </x:c>
      <x:c r="E56" s="38" t="n">
        <x:v>1</x:v>
      </x:c>
      <x:c r="F56" s="23" t="str">
        <x:v>One-energy-island casualty</x:v>
      </x:c>
      <x:c r="G56" s="38" t="n">
        <x:v>24</x:v>
      </x:c>
      <x:c r="H56" s="56" t="n">
        <x:v>0.25</x:v>
      </x:c>
      <x:c r="I56" s="53" t="n">
        <x:f>G56*H56*'Assumptions'!B59</x:f>
        <x:v>10368</x:v>
      </x:c>
      <x:c r="J56" s="38" t="n">
        <x:v>0</x:v>
      </x:c>
      <x:c r="K56" s="66" t="n">
        <x:f>J56*'Assumptions'!B18</x:f>
        <x:v>0</x:v>
      </x:c>
      <x:c r="L56" s="23" t="str">
        <x:v>OPEN</x:v>
      </x:c>
      <x:c r="M56" s="23" t="str">
        <x:v>OPEN</x:v>
      </x:c>
    </x:row>
    <x:row r="57">
      <x:c r="A57" s="23" t="str">
        <x:v>MT-052</x:v>
      </x:c>
      <x:c r="B57" s="23" t="str">
        <x:v>A-R2-PE1</x:v>
      </x:c>
      <x:c r="C57" s="23" t="str">
        <x:v>SURVIVOR-A</x:v>
      </x:c>
      <x:c r="D57" s="23" t="str">
        <x:v>ROOT-2</x:v>
      </x:c>
      <x:c r="E57" s="38" t="n">
        <x:v>1</x:v>
      </x:c>
      <x:c r="F57" s="23" t="str">
        <x:v>Coordinator-loss case</x:v>
      </x:c>
      <x:c r="G57" s="38" t="n">
        <x:v>12</x:v>
      </x:c>
      <x:c r="H57" s="56" t="n">
        <x:v>0.25</x:v>
      </x:c>
      <x:c r="I57" s="53" t="n">
        <x:f>G57*H57*'Assumptions'!B59</x:f>
        <x:v>5184</x:v>
      </x:c>
      <x:c r="J57" s="38" t="n">
        <x:v>0</x:v>
      </x:c>
      <x:c r="K57" s="66" t="n">
        <x:f>J57*'Assumptions'!B18</x:f>
        <x:v>0</x:v>
      </x:c>
      <x:c r="L57" s="23" t="str">
        <x:v>OPEN</x:v>
      </x:c>
      <x:c r="M57" s="23" t="str">
        <x:v>OPEN</x:v>
      </x:c>
    </x:row>
    <x:row r="58">
      <x:c r="A58" s="23" t="str">
        <x:v>MT-053</x:v>
      </x:c>
      <x:c r="B58" s="23" t="str">
        <x:v>A-R2-PE1</x:v>
      </x:c>
      <x:c r="C58" s="23" t="str">
        <x:v>SURVIVOR-A</x:v>
      </x:c>
      <x:c r="D58" s="23" t="str">
        <x:v>ROOT-2</x:v>
      </x:c>
      <x:c r="E58" s="38" t="n">
        <x:v>1</x:v>
      </x:c>
      <x:c r="F58" s="23" t="str">
        <x:v>Public-rescue concurrency</x:v>
      </x:c>
      <x:c r="G58" s="38" t="n">
        <x:v>12</x:v>
      </x:c>
      <x:c r="H58" s="56" t="n">
        <x:v>0.25</x:v>
      </x:c>
      <x:c r="I58" s="53" t="n">
        <x:f>G58*H58*'Assumptions'!B59</x:f>
        <x:v>5184</x:v>
      </x:c>
      <x:c r="J58" s="38" t="n">
        <x:v>0</x:v>
      </x:c>
      <x:c r="K58" s="66" t="n">
        <x:f>J58*'Assumptions'!B18</x:f>
        <x:v>0</x:v>
      </x:c>
      <x:c r="L58" s="23" t="str">
        <x:v>OPEN</x:v>
      </x:c>
      <x:c r="M58" s="23" t="str">
        <x:v>OPEN</x:v>
      </x:c>
    </x:row>
    <x:row r="59">
      <x:c r="A59" s="23" t="str">
        <x:v>MT-054</x:v>
      </x:c>
      <x:c r="B59" s="23" t="str">
        <x:v>A-R2-PE1</x:v>
      </x:c>
      <x:c r="C59" s="23" t="str">
        <x:v>SURVIVOR-A</x:v>
      </x:c>
      <x:c r="D59" s="23" t="str">
        <x:v>ROOT-2</x:v>
      </x:c>
      <x:c r="E59" s="38" t="n">
        <x:v>1</x:v>
      </x:c>
      <x:c r="F59" s="23" t="str">
        <x:v>Repeated mission A</x:v>
      </x:c>
      <x:c r="G59" s="38" t="n">
        <x:v>72</x:v>
      </x:c>
      <x:c r="H59" s="56" t="n">
        <x:v>0.25</x:v>
      </x:c>
      <x:c r="I59" s="53" t="n">
        <x:f>G59*H59*'Assumptions'!B59</x:f>
        <x:v>31104</x:v>
      </x:c>
      <x:c r="J59" s="38" t="n">
        <x:v>1</x:v>
      </x:c>
      <x:c r="K59" s="66" t="n">
        <x:f>J59*'Assumptions'!B18</x:f>
        <x:v>336</x:v>
      </x:c>
      <x:c r="L59" s="23" t="str">
        <x:v>OPEN</x:v>
      </x:c>
      <x:c r="M59" s="23" t="str">
        <x:v>OPEN</x:v>
      </x:c>
    </x:row>
    <x:row r="60">
      <x:c r="A60" s="23" t="str">
        <x:v>MT-055</x:v>
      </x:c>
      <x:c r="B60" s="23" t="str">
        <x:v>A-R2-PE1</x:v>
      </x:c>
      <x:c r="C60" s="23" t="str">
        <x:v>SURVIVOR-A</x:v>
      </x:c>
      <x:c r="D60" s="23" t="str">
        <x:v>ROOT-2</x:v>
      </x:c>
      <x:c r="E60" s="38" t="n">
        <x:v>1</x:v>
      </x:c>
      <x:c r="F60" s="23" t="str">
        <x:v>Repeated mission B</x:v>
      </x:c>
      <x:c r="G60" s="38" t="n">
        <x:v>72</x:v>
      </x:c>
      <x:c r="H60" s="56" t="n">
        <x:v>0.25</x:v>
      </x:c>
      <x:c r="I60" s="53" t="n">
        <x:f>G60*H60*'Assumptions'!B59</x:f>
        <x:v>31104</x:v>
      </x:c>
      <x:c r="J60" s="38" t="n">
        <x:v>1</x:v>
      </x:c>
      <x:c r="K60" s="66" t="n">
        <x:f>J60*'Assumptions'!B18</x:f>
        <x:v>336</x:v>
      </x:c>
      <x:c r="L60" s="23" t="str">
        <x:v>OPEN</x:v>
      </x:c>
      <x:c r="M60" s="23" t="str">
        <x:v>OPEN</x:v>
      </x:c>
    </x:row>
    <x:row r="61">
      <x:c r="A61" s="23" t="str">
        <x:v>MT-056</x:v>
      </x:c>
      <x:c r="B61" s="23" t="str">
        <x:v>A-R2-PE1</x:v>
      </x:c>
      <x:c r="C61" s="23" t="str">
        <x:v>SURVIVOR-A</x:v>
      </x:c>
      <x:c r="D61" s="23" t="str">
        <x:v>ROOT-2</x:v>
      </x:c>
      <x:c r="E61" s="38" t="n">
        <x:v>1</x:v>
      </x:c>
      <x:c r="F61" s="23" t="str">
        <x:v>Repeated mission C</x:v>
      </x:c>
      <x:c r="G61" s="38" t="n">
        <x:v>72</x:v>
      </x:c>
      <x:c r="H61" s="56" t="n">
        <x:v>0.25</x:v>
      </x:c>
      <x:c r="I61" s="53" t="n">
        <x:f>G61*H61*'Assumptions'!B59</x:f>
        <x:v>31104</x:v>
      </x:c>
      <x:c r="J61" s="38" t="n">
        <x:v>1</x:v>
      </x:c>
      <x:c r="K61" s="66" t="n">
        <x:f>J61*'Assumptions'!B18</x:f>
        <x:v>336</x:v>
      </x:c>
      <x:c r="L61" s="23" t="str">
        <x:v>OPEN</x:v>
      </x:c>
      <x:c r="M61" s="23" t="str">
        <x:v>OPEN</x:v>
      </x:c>
    </x:row>
    <x:row r="62">
      <x:c r="A62" s="23" t="str">
        <x:v>MT-057</x:v>
      </x:c>
      <x:c r="B62" s="23" t="str">
        <x:v>A-R2-PE2</x:v>
      </x:c>
      <x:c r="C62" s="23" t="str">
        <x:v>SURVIVOR-A</x:v>
      </x:c>
      <x:c r="D62" s="23" t="str">
        <x:v>ROOT-2</x:v>
      </x:c>
      <x:c r="E62" s="38" t="n">
        <x:v>2</x:v>
      </x:c>
      <x:c r="F62" s="23" t="str">
        <x:v>Commissioning</x:v>
      </x:c>
      <x:c r="G62" s="38" t="n">
        <x:v>12</x:v>
      </x:c>
      <x:c r="H62" s="56" t="n">
        <x:v>0.25</x:v>
      </x:c>
      <x:c r="I62" s="53" t="n">
        <x:f>G62*H62*'Assumptions'!B59</x:f>
        <x:v>5184</x:v>
      </x:c>
      <x:c r="J62" s="38" t="n">
        <x:v>0</x:v>
      </x:c>
      <x:c r="K62" s="66" t="n">
        <x:f>J62*'Assumptions'!B18</x:f>
        <x:v>0</x:v>
      </x:c>
      <x:c r="L62" s="23" t="str">
        <x:v>OPEN</x:v>
      </x:c>
      <x:c r="M62" s="23" t="str">
        <x:v>OPEN</x:v>
      </x:c>
    </x:row>
    <x:row r="63">
      <x:c r="A63" s="23" t="str">
        <x:v>MT-058</x:v>
      </x:c>
      <x:c r="B63" s="23" t="str">
        <x:v>A-R2-PE2</x:v>
      </x:c>
      <x:c r="C63" s="23" t="str">
        <x:v>SURVIVOR-A</x:v>
      </x:c>
      <x:c r="D63" s="23" t="str">
        <x:v>ROOT-2</x:v>
      </x:c>
      <x:c r="E63" s="38" t="n">
        <x:v>2</x:v>
      </x:c>
      <x:c r="F63" s="23" t="str">
        <x:v>Regional deployment</x:v>
      </x:c>
      <x:c r="G63" s="38" t="n">
        <x:v>18</x:v>
      </x:c>
      <x:c r="H63" s="56" t="n">
        <x:v>0.25</x:v>
      </x:c>
      <x:c r="I63" s="53" t="n">
        <x:f>G63*H63*'Assumptions'!B59</x:f>
        <x:v>7776</x:v>
      </x:c>
      <x:c r="J63" s="38" t="n">
        <x:v>0</x:v>
      </x:c>
      <x:c r="K63" s="66" t="n">
        <x:f>J63*'Assumptions'!B18</x:f>
        <x:v>0</x:v>
      </x:c>
      <x:c r="L63" s="23" t="str">
        <x:v>OPEN</x:v>
      </x:c>
      <x:c r="M63" s="23" t="str">
        <x:v>OPEN</x:v>
      </x:c>
    </x:row>
    <x:row r="64">
      <x:c r="A64" s="23" t="str">
        <x:v>MT-059</x:v>
      </x:c>
      <x:c r="B64" s="23" t="str">
        <x:v>A-R2-PE2</x:v>
      </x:c>
      <x:c r="C64" s="23" t="str">
        <x:v>SURVIVOR-A</x:v>
      </x:c>
      <x:c r="D64" s="23" t="str">
        <x:v>ROOT-2</x:v>
      </x:c>
      <x:c r="E64" s="38" t="n">
        <x:v>2</x:v>
      </x:c>
      <x:c r="F64" s="23" t="str">
        <x:v>National deployment</x:v>
      </x:c>
      <x:c r="G64" s="38" t="n">
        <x:v>36</x:v>
      </x:c>
      <x:c r="H64" s="56" t="n">
        <x:v>0.25</x:v>
      </x:c>
      <x:c r="I64" s="53" t="n">
        <x:f>G64*H64*'Assumptions'!B59</x:f>
        <x:v>15552</x:v>
      </x:c>
      <x:c r="J64" s="38" t="n">
        <x:v>0</x:v>
      </x:c>
      <x:c r="K64" s="66" t="n">
        <x:f>J64*'Assumptions'!B18</x:f>
        <x:v>0</x:v>
      </x:c>
      <x:c r="L64" s="23" t="str">
        <x:v>OPEN</x:v>
      </x:c>
      <x:c r="M64" s="23" t="str">
        <x:v>OPEN</x:v>
      </x:c>
    </x:row>
    <x:row r="65">
      <x:c r="A65" s="23" t="str">
        <x:v>MT-060</x:v>
      </x:c>
      <x:c r="B65" s="23" t="str">
        <x:v>A-R2-PE2</x:v>
      </x:c>
      <x:c r="C65" s="23" t="str">
        <x:v>SURVIVOR-A</x:v>
      </x:c>
      <x:c r="D65" s="23" t="str">
        <x:v>ROOT-2</x:v>
      </x:c>
      <x:c r="E65" s="38" t="n">
        <x:v>2</x:v>
      </x:c>
      <x:c r="F65" s="23" t="str">
        <x:v>Freshwater mission</x:v>
      </x:c>
      <x:c r="G65" s="38" t="n">
        <x:v>72</x:v>
      </x:c>
      <x:c r="H65" s="56" t="n">
        <x:v>0.25</x:v>
      </x:c>
      <x:c r="I65" s="53" t="n">
        <x:f>G65*H65*'Assumptions'!B59</x:f>
        <x:v>31104</x:v>
      </x:c>
      <x:c r="J65" s="38" t="n">
        <x:v>1</x:v>
      </x:c>
      <x:c r="K65" s="66" t="n">
        <x:f>J65*'Assumptions'!B18</x:f>
        <x:v>336</x:v>
      </x:c>
      <x:c r="L65" s="23" t="str">
        <x:v>OPEN</x:v>
      </x:c>
      <x:c r="M65" s="23" t="str">
        <x:v>OPEN</x:v>
      </x:c>
    </x:row>
    <x:row r="66">
      <x:c r="A66" s="23" t="str">
        <x:v>MT-061</x:v>
      </x:c>
      <x:c r="B66" s="23" t="str">
        <x:v>A-R2-PE2</x:v>
      </x:c>
      <x:c r="C66" s="23" t="str">
        <x:v>SURVIVOR-A</x:v>
      </x:c>
      <x:c r="D66" s="23" t="str">
        <x:v>ROOT-2</x:v>
      </x:c>
      <x:c r="E66" s="38" t="n">
        <x:v>2</x:v>
      </x:c>
      <x:c r="F66" s="23" t="str">
        <x:v>Saline-water mission</x:v>
      </x:c>
      <x:c r="G66" s="38" t="n">
        <x:v>72</x:v>
      </x:c>
      <x:c r="H66" s="56" t="n">
        <x:v>0.25</x:v>
      </x:c>
      <x:c r="I66" s="53" t="n">
        <x:f>G66*H66*'Assumptions'!B59</x:f>
        <x:v>31104</x:v>
      </x:c>
      <x:c r="J66" s="38" t="n">
        <x:v>1</x:v>
      </x:c>
      <x:c r="K66" s="66" t="n">
        <x:f>J66*'Assumptions'!B18</x:f>
        <x:v>336</x:v>
      </x:c>
      <x:c r="L66" s="23" t="str">
        <x:v>OPEN</x:v>
      </x:c>
      <x:c r="M66" s="23" t="str">
        <x:v>OPEN</x:v>
      </x:c>
    </x:row>
    <x:row r="67">
      <x:c r="A67" s="23" t="str">
        <x:v>MT-062</x:v>
      </x:c>
      <x:c r="B67" s="23" t="str">
        <x:v>A-R2-PE2</x:v>
      </x:c>
      <x:c r="C67" s="23" t="str">
        <x:v>SURVIVOR-A</x:v>
      </x:c>
      <x:c r="D67" s="23" t="str">
        <x:v>ROOT-2</x:v>
      </x:c>
      <x:c r="E67" s="38" t="n">
        <x:v>2</x:v>
      </x:c>
      <x:c r="F67" s="23" t="str">
        <x:v>Sediment-laden mission</x:v>
      </x:c>
      <x:c r="G67" s="38" t="n">
        <x:v>72</x:v>
      </x:c>
      <x:c r="H67" s="56" t="n">
        <x:v>0.25</x:v>
      </x:c>
      <x:c r="I67" s="53" t="n">
        <x:f>G67*H67*'Assumptions'!B59</x:f>
        <x:v>31104</x:v>
      </x:c>
      <x:c r="J67" s="38" t="n">
        <x:v>1</x:v>
      </x:c>
      <x:c r="K67" s="66" t="n">
        <x:f>J67*'Assumptions'!B18</x:f>
        <x:v>336</x:v>
      </x:c>
      <x:c r="L67" s="23" t="str">
        <x:v>OPEN</x:v>
      </x:c>
      <x:c r="M67" s="23" t="str">
        <x:v>OPEN</x:v>
      </x:c>
    </x:row>
    <x:row r="68">
      <x:c r="A68" s="23" t="str">
        <x:v>MT-063</x:v>
      </x:c>
      <x:c r="B68" s="23" t="str">
        <x:v>A-R2-PE2</x:v>
      </x:c>
      <x:c r="C68" s="23" t="str">
        <x:v>SURVIVOR-A</x:v>
      </x:c>
      <x:c r="D68" s="23" t="str">
        <x:v>ROOT-2</x:v>
      </x:c>
      <x:c r="E68" s="38" t="n">
        <x:v>2</x:v>
      </x:c>
      <x:c r="F68" s="23" t="str">
        <x:v>Contaminated-water mission</x:v>
      </x:c>
      <x:c r="G68" s="38" t="n">
        <x:v>72</x:v>
      </x:c>
      <x:c r="H68" s="56" t="n">
        <x:v>0.25</x:v>
      </x:c>
      <x:c r="I68" s="53" t="n">
        <x:f>G68*H68*'Assumptions'!B59</x:f>
        <x:v>31104</x:v>
      </x:c>
      <x:c r="J68" s="38" t="n">
        <x:v>1</x:v>
      </x:c>
      <x:c r="K68" s="66" t="n">
        <x:f>J68*'Assumptions'!B18</x:f>
        <x:v>336</x:v>
      </x:c>
      <x:c r="L68" s="23" t="str">
        <x:v>OPEN</x:v>
      </x:c>
      <x:c r="M68" s="23" t="str">
        <x:v>OPEN</x:v>
      </x:c>
    </x:row>
    <x:row r="69">
      <x:c r="A69" s="23" t="str">
        <x:v>MT-064</x:v>
      </x:c>
      <x:c r="B69" s="23" t="str">
        <x:v>A-R2-PE2</x:v>
      </x:c>
      <x:c r="C69" s="23" t="str">
        <x:v>SURVIVOR-A</x:v>
      </x:c>
      <x:c r="D69" s="23" t="str">
        <x:v>ROOT-2</x:v>
      </x:c>
      <x:c r="E69" s="38" t="n">
        <x:v>2</x:v>
      </x:c>
      <x:c r="F69" s="23" t="str">
        <x:v>One-trunk casualty</x:v>
      </x:c>
      <x:c r="G69" s="38" t="n">
        <x:v>24</x:v>
      </x:c>
      <x:c r="H69" s="56" t="n">
        <x:v>0.25</x:v>
      </x:c>
      <x:c r="I69" s="53" t="n">
        <x:f>G69*H69*'Assumptions'!B59</x:f>
        <x:v>10368</x:v>
      </x:c>
      <x:c r="J69" s="38" t="n">
        <x:v>0</x:v>
      </x:c>
      <x:c r="K69" s="66" t="n">
        <x:f>J69*'Assumptions'!B18</x:f>
        <x:v>0</x:v>
      </x:c>
      <x:c r="L69" s="23" t="str">
        <x:v>OPEN</x:v>
      </x:c>
      <x:c r="M69" s="23" t="str">
        <x:v>OPEN</x:v>
      </x:c>
    </x:row>
    <x:row r="70">
      <x:c r="A70" s="23" t="str">
        <x:v>MT-065</x:v>
      </x:c>
      <x:c r="B70" s="23" t="str">
        <x:v>A-R2-PE2</x:v>
      </x:c>
      <x:c r="C70" s="23" t="str">
        <x:v>SURVIVOR-A</x:v>
      </x:c>
      <x:c r="D70" s="23" t="str">
        <x:v>ROOT-2</x:v>
      </x:c>
      <x:c r="E70" s="38" t="n">
        <x:v>2</x:v>
      </x:c>
      <x:c r="F70" s="23" t="str">
        <x:v>One-energy-island casualty</x:v>
      </x:c>
      <x:c r="G70" s="38" t="n">
        <x:v>24</x:v>
      </x:c>
      <x:c r="H70" s="56" t="n">
        <x:v>0.25</x:v>
      </x:c>
      <x:c r="I70" s="53" t="n">
        <x:f>G70*H70*'Assumptions'!B59</x:f>
        <x:v>10368</x:v>
      </x:c>
      <x:c r="J70" s="38" t="n">
        <x:v>0</x:v>
      </x:c>
      <x:c r="K70" s="66" t="n">
        <x:f>J70*'Assumptions'!B18</x:f>
        <x:v>0</x:v>
      </x:c>
      <x:c r="L70" s="23" t="str">
        <x:v>OPEN</x:v>
      </x:c>
      <x:c r="M70" s="23" t="str">
        <x:v>OPEN</x:v>
      </x:c>
    </x:row>
    <x:row r="71">
      <x:c r="A71" s="23" t="str">
        <x:v>MT-066</x:v>
      </x:c>
      <x:c r="B71" s="23" t="str">
        <x:v>A-R2-PE2</x:v>
      </x:c>
      <x:c r="C71" s="23" t="str">
        <x:v>SURVIVOR-A</x:v>
      </x:c>
      <x:c r="D71" s="23" t="str">
        <x:v>ROOT-2</x:v>
      </x:c>
      <x:c r="E71" s="38" t="n">
        <x:v>2</x:v>
      </x:c>
      <x:c r="F71" s="23" t="str">
        <x:v>Coordinator-loss case</x:v>
      </x:c>
      <x:c r="G71" s="38" t="n">
        <x:v>12</x:v>
      </x:c>
      <x:c r="H71" s="56" t="n">
        <x:v>0.25</x:v>
      </x:c>
      <x:c r="I71" s="53" t="n">
        <x:f>G71*H71*'Assumptions'!B59</x:f>
        <x:v>5184</x:v>
      </x:c>
      <x:c r="J71" s="38" t="n">
        <x:v>0</x:v>
      </x:c>
      <x:c r="K71" s="66" t="n">
        <x:f>J71*'Assumptions'!B18</x:f>
        <x:v>0</x:v>
      </x:c>
      <x:c r="L71" s="23" t="str">
        <x:v>OPEN</x:v>
      </x:c>
      <x:c r="M71" s="23" t="str">
        <x:v>OPEN</x:v>
      </x:c>
    </x:row>
    <x:row r="72">
      <x:c r="A72" s="23" t="str">
        <x:v>MT-067</x:v>
      </x:c>
      <x:c r="B72" s="23" t="str">
        <x:v>A-R2-PE2</x:v>
      </x:c>
      <x:c r="C72" s="23" t="str">
        <x:v>SURVIVOR-A</x:v>
      </x:c>
      <x:c r="D72" s="23" t="str">
        <x:v>ROOT-2</x:v>
      </x:c>
      <x:c r="E72" s="38" t="n">
        <x:v>2</x:v>
      </x:c>
      <x:c r="F72" s="23" t="str">
        <x:v>Public-rescue concurrency</x:v>
      </x:c>
      <x:c r="G72" s="38" t="n">
        <x:v>12</x:v>
      </x:c>
      <x:c r="H72" s="56" t="n">
        <x:v>0.25</x:v>
      </x:c>
      <x:c r="I72" s="53" t="n">
        <x:f>G72*H72*'Assumptions'!B59</x:f>
        <x:v>5184</x:v>
      </x:c>
      <x:c r="J72" s="38" t="n">
        <x:v>0</x:v>
      </x:c>
      <x:c r="K72" s="66" t="n">
        <x:f>J72*'Assumptions'!B18</x:f>
        <x:v>0</x:v>
      </x:c>
      <x:c r="L72" s="23" t="str">
        <x:v>OPEN</x:v>
      </x:c>
      <x:c r="M72" s="23" t="str">
        <x:v>OPEN</x:v>
      </x:c>
    </x:row>
    <x:row r="73">
      <x:c r="A73" s="23" t="str">
        <x:v>MT-068</x:v>
      </x:c>
      <x:c r="B73" s="23" t="str">
        <x:v>A-R2-PE2</x:v>
      </x:c>
      <x:c r="C73" s="23" t="str">
        <x:v>SURVIVOR-A</x:v>
      </x:c>
      <x:c r="D73" s="23" t="str">
        <x:v>ROOT-2</x:v>
      </x:c>
      <x:c r="E73" s="38" t="n">
        <x:v>2</x:v>
      </x:c>
      <x:c r="F73" s="23" t="str">
        <x:v>Repeated mission A</x:v>
      </x:c>
      <x:c r="G73" s="38" t="n">
        <x:v>72</x:v>
      </x:c>
      <x:c r="H73" s="56" t="n">
        <x:v>0.25</x:v>
      </x:c>
      <x:c r="I73" s="53" t="n">
        <x:f>G73*H73*'Assumptions'!B59</x:f>
        <x:v>31104</x:v>
      </x:c>
      <x:c r="J73" s="38" t="n">
        <x:v>1</x:v>
      </x:c>
      <x:c r="K73" s="66" t="n">
        <x:f>J73*'Assumptions'!B18</x:f>
        <x:v>336</x:v>
      </x:c>
      <x:c r="L73" s="23" t="str">
        <x:v>OPEN</x:v>
      </x:c>
      <x:c r="M73" s="23" t="str">
        <x:v>OPEN</x:v>
      </x:c>
    </x:row>
    <x:row r="74">
      <x:c r="A74" s="23" t="str">
        <x:v>MT-069</x:v>
      </x:c>
      <x:c r="B74" s="23" t="str">
        <x:v>A-R2-PE2</x:v>
      </x:c>
      <x:c r="C74" s="23" t="str">
        <x:v>SURVIVOR-A</x:v>
      </x:c>
      <x:c r="D74" s="23" t="str">
        <x:v>ROOT-2</x:v>
      </x:c>
      <x:c r="E74" s="38" t="n">
        <x:v>2</x:v>
      </x:c>
      <x:c r="F74" s="23" t="str">
        <x:v>Repeated mission B</x:v>
      </x:c>
      <x:c r="G74" s="38" t="n">
        <x:v>72</x:v>
      </x:c>
      <x:c r="H74" s="56" t="n">
        <x:v>0.25</x:v>
      </x:c>
      <x:c r="I74" s="53" t="n">
        <x:f>G74*H74*'Assumptions'!B59</x:f>
        <x:v>31104</x:v>
      </x:c>
      <x:c r="J74" s="38" t="n">
        <x:v>1</x:v>
      </x:c>
      <x:c r="K74" s="66" t="n">
        <x:f>J74*'Assumptions'!B18</x:f>
        <x:v>336</x:v>
      </x:c>
      <x:c r="L74" s="23" t="str">
        <x:v>OPEN</x:v>
      </x:c>
      <x:c r="M74" s="23" t="str">
        <x:v>OPEN</x:v>
      </x:c>
    </x:row>
    <x:row r="75">
      <x:c r="A75" s="23" t="str">
        <x:v>MT-070</x:v>
      </x:c>
      <x:c r="B75" s="23" t="str">
        <x:v>A-R2-PE2</x:v>
      </x:c>
      <x:c r="C75" s="23" t="str">
        <x:v>SURVIVOR-A</x:v>
      </x:c>
      <x:c r="D75" s="23" t="str">
        <x:v>ROOT-2</x:v>
      </x:c>
      <x:c r="E75" s="38" t="n">
        <x:v>2</x:v>
      </x:c>
      <x:c r="F75" s="23" t="str">
        <x:v>Repeated mission C</x:v>
      </x:c>
      <x:c r="G75" s="38" t="n">
        <x:v>72</x:v>
      </x:c>
      <x:c r="H75" s="56" t="n">
        <x:v>0.25</x:v>
      </x:c>
      <x:c r="I75" s="53" t="n">
        <x:f>G75*H75*'Assumptions'!B59</x:f>
        <x:v>31104</x:v>
      </x:c>
      <x:c r="J75" s="38" t="n">
        <x:v>1</x:v>
      </x:c>
      <x:c r="K75" s="66" t="n">
        <x:f>J75*'Assumptions'!B18</x:f>
        <x:v>336</x:v>
      </x:c>
      <x:c r="L75" s="23" t="str">
        <x:v>OPEN</x:v>
      </x:c>
      <x:c r="M75" s="23" t="str">
        <x:v>OPEN</x:v>
      </x:c>
    </x:row>
    <x:row r="76">
      <x:c r="A76" s="23" t="str">
        <x:v>MT-071</x:v>
      </x:c>
      <x:c r="B76" s="23" t="str">
        <x:v>A-R2-PE3</x:v>
      </x:c>
      <x:c r="C76" s="23" t="str">
        <x:v>SURVIVOR-A</x:v>
      </x:c>
      <x:c r="D76" s="23" t="str">
        <x:v>ROOT-2</x:v>
      </x:c>
      <x:c r="E76" s="38" t="n">
        <x:v>3</x:v>
      </x:c>
      <x:c r="F76" s="23" t="str">
        <x:v>Commissioning</x:v>
      </x:c>
      <x:c r="G76" s="38" t="n">
        <x:v>12</x:v>
      </x:c>
      <x:c r="H76" s="56" t="n">
        <x:v>0.25</x:v>
      </x:c>
      <x:c r="I76" s="53" t="n">
        <x:f>G76*H76*'Assumptions'!B59</x:f>
        <x:v>5184</x:v>
      </x:c>
      <x:c r="J76" s="38" t="n">
        <x:v>0</x:v>
      </x:c>
      <x:c r="K76" s="66" t="n">
        <x:f>J76*'Assumptions'!B18</x:f>
        <x:v>0</x:v>
      </x:c>
      <x:c r="L76" s="23" t="str">
        <x:v>OPEN</x:v>
      </x:c>
      <x:c r="M76" s="23" t="str">
        <x:v>OPEN</x:v>
      </x:c>
    </x:row>
    <x:row r="77">
      <x:c r="A77" s="23" t="str">
        <x:v>MT-072</x:v>
      </x:c>
      <x:c r="B77" s="23" t="str">
        <x:v>A-R2-PE3</x:v>
      </x:c>
      <x:c r="C77" s="23" t="str">
        <x:v>SURVIVOR-A</x:v>
      </x:c>
      <x:c r="D77" s="23" t="str">
        <x:v>ROOT-2</x:v>
      </x:c>
      <x:c r="E77" s="38" t="n">
        <x:v>3</x:v>
      </x:c>
      <x:c r="F77" s="23" t="str">
        <x:v>Regional deployment</x:v>
      </x:c>
      <x:c r="G77" s="38" t="n">
        <x:v>18</x:v>
      </x:c>
      <x:c r="H77" s="56" t="n">
        <x:v>0.25</x:v>
      </x:c>
      <x:c r="I77" s="53" t="n">
        <x:f>G77*H77*'Assumptions'!B59</x:f>
        <x:v>7776</x:v>
      </x:c>
      <x:c r="J77" s="38" t="n">
        <x:v>0</x:v>
      </x:c>
      <x:c r="K77" s="66" t="n">
        <x:f>J77*'Assumptions'!B18</x:f>
        <x:v>0</x:v>
      </x:c>
      <x:c r="L77" s="23" t="str">
        <x:v>OPEN</x:v>
      </x:c>
      <x:c r="M77" s="23" t="str">
        <x:v>OPEN</x:v>
      </x:c>
    </x:row>
    <x:row r="78">
      <x:c r="A78" s="23" t="str">
        <x:v>MT-073</x:v>
      </x:c>
      <x:c r="B78" s="23" t="str">
        <x:v>A-R2-PE3</x:v>
      </x:c>
      <x:c r="C78" s="23" t="str">
        <x:v>SURVIVOR-A</x:v>
      </x:c>
      <x:c r="D78" s="23" t="str">
        <x:v>ROOT-2</x:v>
      </x:c>
      <x:c r="E78" s="38" t="n">
        <x:v>3</x:v>
      </x:c>
      <x:c r="F78" s="23" t="str">
        <x:v>National deployment</x:v>
      </x:c>
      <x:c r="G78" s="38" t="n">
        <x:v>36</x:v>
      </x:c>
      <x:c r="H78" s="56" t="n">
        <x:v>0.25</x:v>
      </x:c>
      <x:c r="I78" s="53" t="n">
        <x:f>G78*H78*'Assumptions'!B59</x:f>
        <x:v>15552</x:v>
      </x:c>
      <x:c r="J78" s="38" t="n">
        <x:v>0</x:v>
      </x:c>
      <x:c r="K78" s="66" t="n">
        <x:f>J78*'Assumptions'!B18</x:f>
        <x:v>0</x:v>
      </x:c>
      <x:c r="L78" s="23" t="str">
        <x:v>OPEN</x:v>
      </x:c>
      <x:c r="M78" s="23" t="str">
        <x:v>OPEN</x:v>
      </x:c>
    </x:row>
    <x:row r="79">
      <x:c r="A79" s="23" t="str">
        <x:v>MT-074</x:v>
      </x:c>
      <x:c r="B79" s="23" t="str">
        <x:v>A-R2-PE3</x:v>
      </x:c>
      <x:c r="C79" s="23" t="str">
        <x:v>SURVIVOR-A</x:v>
      </x:c>
      <x:c r="D79" s="23" t="str">
        <x:v>ROOT-2</x:v>
      </x:c>
      <x:c r="E79" s="38" t="n">
        <x:v>3</x:v>
      </x:c>
      <x:c r="F79" s="23" t="str">
        <x:v>Freshwater mission</x:v>
      </x:c>
      <x:c r="G79" s="38" t="n">
        <x:v>72</x:v>
      </x:c>
      <x:c r="H79" s="56" t="n">
        <x:v>0.25</x:v>
      </x:c>
      <x:c r="I79" s="53" t="n">
        <x:f>G79*H79*'Assumptions'!B59</x:f>
        <x:v>31104</x:v>
      </x:c>
      <x:c r="J79" s="38" t="n">
        <x:v>1</x:v>
      </x:c>
      <x:c r="K79" s="66" t="n">
        <x:f>J79*'Assumptions'!B18</x:f>
        <x:v>336</x:v>
      </x:c>
      <x:c r="L79" s="23" t="str">
        <x:v>OPEN</x:v>
      </x:c>
      <x:c r="M79" s="23" t="str">
        <x:v>OPEN</x:v>
      </x:c>
    </x:row>
    <x:row r="80">
      <x:c r="A80" s="23" t="str">
        <x:v>MT-075</x:v>
      </x:c>
      <x:c r="B80" s="23" t="str">
        <x:v>A-R2-PE3</x:v>
      </x:c>
      <x:c r="C80" s="23" t="str">
        <x:v>SURVIVOR-A</x:v>
      </x:c>
      <x:c r="D80" s="23" t="str">
        <x:v>ROOT-2</x:v>
      </x:c>
      <x:c r="E80" s="38" t="n">
        <x:v>3</x:v>
      </x:c>
      <x:c r="F80" s="23" t="str">
        <x:v>Saline-water mission</x:v>
      </x:c>
      <x:c r="G80" s="38" t="n">
        <x:v>72</x:v>
      </x:c>
      <x:c r="H80" s="56" t="n">
        <x:v>0.25</x:v>
      </x:c>
      <x:c r="I80" s="53" t="n">
        <x:f>G80*H80*'Assumptions'!B59</x:f>
        <x:v>31104</x:v>
      </x:c>
      <x:c r="J80" s="38" t="n">
        <x:v>1</x:v>
      </x:c>
      <x:c r="K80" s="66" t="n">
        <x:f>J80*'Assumptions'!B18</x:f>
        <x:v>336</x:v>
      </x:c>
      <x:c r="L80" s="23" t="str">
        <x:v>OPEN</x:v>
      </x:c>
      <x:c r="M80" s="23" t="str">
        <x:v>OPEN</x:v>
      </x:c>
    </x:row>
    <x:row r="81">
      <x:c r="A81" s="23" t="str">
        <x:v>MT-076</x:v>
      </x:c>
      <x:c r="B81" s="23" t="str">
        <x:v>A-R2-PE3</x:v>
      </x:c>
      <x:c r="C81" s="23" t="str">
        <x:v>SURVIVOR-A</x:v>
      </x:c>
      <x:c r="D81" s="23" t="str">
        <x:v>ROOT-2</x:v>
      </x:c>
      <x:c r="E81" s="38" t="n">
        <x:v>3</x:v>
      </x:c>
      <x:c r="F81" s="23" t="str">
        <x:v>Sediment-laden mission</x:v>
      </x:c>
      <x:c r="G81" s="38" t="n">
        <x:v>72</x:v>
      </x:c>
      <x:c r="H81" s="56" t="n">
        <x:v>0.25</x:v>
      </x:c>
      <x:c r="I81" s="53" t="n">
        <x:f>G81*H81*'Assumptions'!B59</x:f>
        <x:v>31104</x:v>
      </x:c>
      <x:c r="J81" s="38" t="n">
        <x:v>1</x:v>
      </x:c>
      <x:c r="K81" s="66" t="n">
        <x:f>J81*'Assumptions'!B18</x:f>
        <x:v>336</x:v>
      </x:c>
      <x:c r="L81" s="23" t="str">
        <x:v>OPEN</x:v>
      </x:c>
      <x:c r="M81" s="23" t="str">
        <x:v>OPEN</x:v>
      </x:c>
    </x:row>
    <x:row r="82">
      <x:c r="A82" s="23" t="str">
        <x:v>MT-077</x:v>
      </x:c>
      <x:c r="B82" s="23" t="str">
        <x:v>A-R2-PE3</x:v>
      </x:c>
      <x:c r="C82" s="23" t="str">
        <x:v>SURVIVOR-A</x:v>
      </x:c>
      <x:c r="D82" s="23" t="str">
        <x:v>ROOT-2</x:v>
      </x:c>
      <x:c r="E82" s="38" t="n">
        <x:v>3</x:v>
      </x:c>
      <x:c r="F82" s="23" t="str">
        <x:v>Contaminated-water mission</x:v>
      </x:c>
      <x:c r="G82" s="38" t="n">
        <x:v>72</x:v>
      </x:c>
      <x:c r="H82" s="56" t="n">
        <x:v>0.25</x:v>
      </x:c>
      <x:c r="I82" s="53" t="n">
        <x:f>G82*H82*'Assumptions'!B59</x:f>
        <x:v>31104</x:v>
      </x:c>
      <x:c r="J82" s="38" t="n">
        <x:v>1</x:v>
      </x:c>
      <x:c r="K82" s="66" t="n">
        <x:f>J82*'Assumptions'!B18</x:f>
        <x:v>336</x:v>
      </x:c>
      <x:c r="L82" s="23" t="str">
        <x:v>OPEN</x:v>
      </x:c>
      <x:c r="M82" s="23" t="str">
        <x:v>OPEN</x:v>
      </x:c>
    </x:row>
    <x:row r="83">
      <x:c r="A83" s="23" t="str">
        <x:v>MT-078</x:v>
      </x:c>
      <x:c r="B83" s="23" t="str">
        <x:v>A-R2-PE3</x:v>
      </x:c>
      <x:c r="C83" s="23" t="str">
        <x:v>SURVIVOR-A</x:v>
      </x:c>
      <x:c r="D83" s="23" t="str">
        <x:v>ROOT-2</x:v>
      </x:c>
      <x:c r="E83" s="38" t="n">
        <x:v>3</x:v>
      </x:c>
      <x:c r="F83" s="23" t="str">
        <x:v>One-trunk casualty</x:v>
      </x:c>
      <x:c r="G83" s="38" t="n">
        <x:v>24</x:v>
      </x:c>
      <x:c r="H83" s="56" t="n">
        <x:v>0.25</x:v>
      </x:c>
      <x:c r="I83" s="53" t="n">
        <x:f>G83*H83*'Assumptions'!B59</x:f>
        <x:v>10368</x:v>
      </x:c>
      <x:c r="J83" s="38" t="n">
        <x:v>0</x:v>
      </x:c>
      <x:c r="K83" s="66" t="n">
        <x:f>J83*'Assumptions'!B18</x:f>
        <x:v>0</x:v>
      </x:c>
      <x:c r="L83" s="23" t="str">
        <x:v>OPEN</x:v>
      </x:c>
      <x:c r="M83" s="23" t="str">
        <x:v>OPEN</x:v>
      </x:c>
    </x:row>
    <x:row r="84">
      <x:c r="A84" s="23" t="str">
        <x:v>MT-079</x:v>
      </x:c>
      <x:c r="B84" s="23" t="str">
        <x:v>A-R2-PE3</x:v>
      </x:c>
      <x:c r="C84" s="23" t="str">
        <x:v>SURVIVOR-A</x:v>
      </x:c>
      <x:c r="D84" s="23" t="str">
        <x:v>ROOT-2</x:v>
      </x:c>
      <x:c r="E84" s="38" t="n">
        <x:v>3</x:v>
      </x:c>
      <x:c r="F84" s="23" t="str">
        <x:v>One-energy-island casualty</x:v>
      </x:c>
      <x:c r="G84" s="38" t="n">
        <x:v>24</x:v>
      </x:c>
      <x:c r="H84" s="56" t="n">
        <x:v>0.25</x:v>
      </x:c>
      <x:c r="I84" s="53" t="n">
        <x:f>G84*H84*'Assumptions'!B59</x:f>
        <x:v>10368</x:v>
      </x:c>
      <x:c r="J84" s="38" t="n">
        <x:v>0</x:v>
      </x:c>
      <x:c r="K84" s="66" t="n">
        <x:f>J84*'Assumptions'!B18</x:f>
        <x:v>0</x:v>
      </x:c>
      <x:c r="L84" s="23" t="str">
        <x:v>OPEN</x:v>
      </x:c>
      <x:c r="M84" s="23" t="str">
        <x:v>OPEN</x:v>
      </x:c>
    </x:row>
    <x:row r="85">
      <x:c r="A85" s="23" t="str">
        <x:v>MT-080</x:v>
      </x:c>
      <x:c r="B85" s="23" t="str">
        <x:v>A-R2-PE3</x:v>
      </x:c>
      <x:c r="C85" s="23" t="str">
        <x:v>SURVIVOR-A</x:v>
      </x:c>
      <x:c r="D85" s="23" t="str">
        <x:v>ROOT-2</x:v>
      </x:c>
      <x:c r="E85" s="38" t="n">
        <x:v>3</x:v>
      </x:c>
      <x:c r="F85" s="23" t="str">
        <x:v>Coordinator-loss case</x:v>
      </x:c>
      <x:c r="G85" s="38" t="n">
        <x:v>12</x:v>
      </x:c>
      <x:c r="H85" s="56" t="n">
        <x:v>0.25</x:v>
      </x:c>
      <x:c r="I85" s="53" t="n">
        <x:f>G85*H85*'Assumptions'!B59</x:f>
        <x:v>5184</x:v>
      </x:c>
      <x:c r="J85" s="38" t="n">
        <x:v>0</x:v>
      </x:c>
      <x:c r="K85" s="66" t="n">
        <x:f>J85*'Assumptions'!B18</x:f>
        <x:v>0</x:v>
      </x:c>
      <x:c r="L85" s="23" t="str">
        <x:v>OPEN</x:v>
      </x:c>
      <x:c r="M85" s="23" t="str">
        <x:v>OPEN</x:v>
      </x:c>
    </x:row>
    <x:row r="86">
      <x:c r="A86" s="23" t="str">
        <x:v>MT-081</x:v>
      </x:c>
      <x:c r="B86" s="23" t="str">
        <x:v>A-R2-PE3</x:v>
      </x:c>
      <x:c r="C86" s="23" t="str">
        <x:v>SURVIVOR-A</x:v>
      </x:c>
      <x:c r="D86" s="23" t="str">
        <x:v>ROOT-2</x:v>
      </x:c>
      <x:c r="E86" s="38" t="n">
        <x:v>3</x:v>
      </x:c>
      <x:c r="F86" s="23" t="str">
        <x:v>Public-rescue concurrency</x:v>
      </x:c>
      <x:c r="G86" s="38" t="n">
        <x:v>12</x:v>
      </x:c>
      <x:c r="H86" s="56" t="n">
        <x:v>0.25</x:v>
      </x:c>
      <x:c r="I86" s="53" t="n">
        <x:f>G86*H86*'Assumptions'!B59</x:f>
        <x:v>5184</x:v>
      </x:c>
      <x:c r="J86" s="38" t="n">
        <x:v>0</x:v>
      </x:c>
      <x:c r="K86" s="66" t="n">
        <x:f>J86*'Assumptions'!B18</x:f>
        <x:v>0</x:v>
      </x:c>
      <x:c r="L86" s="23" t="str">
        <x:v>OPEN</x:v>
      </x:c>
      <x:c r="M86" s="23" t="str">
        <x:v>OPEN</x:v>
      </x:c>
    </x:row>
    <x:row r="87">
      <x:c r="A87" s="23" t="str">
        <x:v>MT-082</x:v>
      </x:c>
      <x:c r="B87" s="23" t="str">
        <x:v>A-R2-PE3</x:v>
      </x:c>
      <x:c r="C87" s="23" t="str">
        <x:v>SURVIVOR-A</x:v>
      </x:c>
      <x:c r="D87" s="23" t="str">
        <x:v>ROOT-2</x:v>
      </x:c>
      <x:c r="E87" s="38" t="n">
        <x:v>3</x:v>
      </x:c>
      <x:c r="F87" s="23" t="str">
        <x:v>Repeated mission A</x:v>
      </x:c>
      <x:c r="G87" s="38" t="n">
        <x:v>72</x:v>
      </x:c>
      <x:c r="H87" s="56" t="n">
        <x:v>0.25</x:v>
      </x:c>
      <x:c r="I87" s="53" t="n">
        <x:f>G87*H87*'Assumptions'!B59</x:f>
        <x:v>31104</x:v>
      </x:c>
      <x:c r="J87" s="38" t="n">
        <x:v>1</x:v>
      </x:c>
      <x:c r="K87" s="66" t="n">
        <x:f>J87*'Assumptions'!B18</x:f>
        <x:v>336</x:v>
      </x:c>
      <x:c r="L87" s="23" t="str">
        <x:v>OPEN</x:v>
      </x:c>
      <x:c r="M87" s="23" t="str">
        <x:v>OPEN</x:v>
      </x:c>
    </x:row>
    <x:row r="88">
      <x:c r="A88" s="23" t="str">
        <x:v>MT-083</x:v>
      </x:c>
      <x:c r="B88" s="23" t="str">
        <x:v>A-R2-PE3</x:v>
      </x:c>
      <x:c r="C88" s="23" t="str">
        <x:v>SURVIVOR-A</x:v>
      </x:c>
      <x:c r="D88" s="23" t="str">
        <x:v>ROOT-2</x:v>
      </x:c>
      <x:c r="E88" s="38" t="n">
        <x:v>3</x:v>
      </x:c>
      <x:c r="F88" s="23" t="str">
        <x:v>Repeated mission B</x:v>
      </x:c>
      <x:c r="G88" s="38" t="n">
        <x:v>72</x:v>
      </x:c>
      <x:c r="H88" s="56" t="n">
        <x:v>0.25</x:v>
      </x:c>
      <x:c r="I88" s="53" t="n">
        <x:f>G88*H88*'Assumptions'!B59</x:f>
        <x:v>31104</x:v>
      </x:c>
      <x:c r="J88" s="38" t="n">
        <x:v>1</x:v>
      </x:c>
      <x:c r="K88" s="66" t="n">
        <x:f>J88*'Assumptions'!B18</x:f>
        <x:v>336</x:v>
      </x:c>
      <x:c r="L88" s="23" t="str">
        <x:v>OPEN</x:v>
      </x:c>
      <x:c r="M88" s="23" t="str">
        <x:v>OPEN</x:v>
      </x:c>
    </x:row>
    <x:row r="89">
      <x:c r="A89" s="23" t="str">
        <x:v>MT-084</x:v>
      </x:c>
      <x:c r="B89" s="23" t="str">
        <x:v>A-R2-PE3</x:v>
      </x:c>
      <x:c r="C89" s="23" t="str">
        <x:v>SURVIVOR-A</x:v>
      </x:c>
      <x:c r="D89" s="23" t="str">
        <x:v>ROOT-2</x:v>
      </x:c>
      <x:c r="E89" s="38" t="n">
        <x:v>3</x:v>
      </x:c>
      <x:c r="F89" s="23" t="str">
        <x:v>Repeated mission C</x:v>
      </x:c>
      <x:c r="G89" s="38" t="n">
        <x:v>72</x:v>
      </x:c>
      <x:c r="H89" s="56" t="n">
        <x:v>0.25</x:v>
      </x:c>
      <x:c r="I89" s="53" t="n">
        <x:f>G89*H89*'Assumptions'!B59</x:f>
        <x:v>31104</x:v>
      </x:c>
      <x:c r="J89" s="38" t="n">
        <x:v>1</x:v>
      </x:c>
      <x:c r="K89" s="66" t="n">
        <x:f>J89*'Assumptions'!B18</x:f>
        <x:v>336</x:v>
      </x:c>
      <x:c r="L89" s="23" t="str">
        <x:v>OPEN</x:v>
      </x:c>
      <x:c r="M89" s="23" t="str">
        <x:v>OPEN</x:v>
      </x:c>
    </x:row>
    <x:row r="90">
      <x:c r="A90" s="23" t="str">
        <x:v>MT-085</x:v>
      </x:c>
      <x:c r="B90" s="23" t="str">
        <x:v>B-R1-PE1</x:v>
      </x:c>
      <x:c r="C90" s="23" t="str">
        <x:v>SURVIVOR-B</x:v>
      </x:c>
      <x:c r="D90" s="23" t="str">
        <x:v>ROOT-1</x:v>
      </x:c>
      <x:c r="E90" s="38" t="n">
        <x:v>1</x:v>
      </x:c>
      <x:c r="F90" s="23" t="str">
        <x:v>Commissioning</x:v>
      </x:c>
      <x:c r="G90" s="38" t="n">
        <x:v>12</x:v>
      </x:c>
      <x:c r="H90" s="56" t="n">
        <x:v>0.25</x:v>
      </x:c>
      <x:c r="I90" s="53" t="n">
        <x:f>G90*H90*'Assumptions'!B59</x:f>
        <x:v>5184</x:v>
      </x:c>
      <x:c r="J90" s="38" t="n">
        <x:v>0</x:v>
      </x:c>
      <x:c r="K90" s="66" t="n">
        <x:f>J90*'Assumptions'!B18</x:f>
        <x:v>0</x:v>
      </x:c>
      <x:c r="L90" s="23" t="str">
        <x:v>OPEN</x:v>
      </x:c>
      <x:c r="M90" s="23" t="str">
        <x:v>OPEN</x:v>
      </x:c>
    </x:row>
    <x:row r="91">
      <x:c r="A91" s="23" t="str">
        <x:v>MT-086</x:v>
      </x:c>
      <x:c r="B91" s="23" t="str">
        <x:v>B-R1-PE1</x:v>
      </x:c>
      <x:c r="C91" s="23" t="str">
        <x:v>SURVIVOR-B</x:v>
      </x:c>
      <x:c r="D91" s="23" t="str">
        <x:v>ROOT-1</x:v>
      </x:c>
      <x:c r="E91" s="38" t="n">
        <x:v>1</x:v>
      </x:c>
      <x:c r="F91" s="23" t="str">
        <x:v>Regional deployment</x:v>
      </x:c>
      <x:c r="G91" s="38" t="n">
        <x:v>18</x:v>
      </x:c>
      <x:c r="H91" s="56" t="n">
        <x:v>0.25</x:v>
      </x:c>
      <x:c r="I91" s="53" t="n">
        <x:f>G91*H91*'Assumptions'!B59</x:f>
        <x:v>7776</x:v>
      </x:c>
      <x:c r="J91" s="38" t="n">
        <x:v>0</x:v>
      </x:c>
      <x:c r="K91" s="66" t="n">
        <x:f>J91*'Assumptions'!B18</x:f>
        <x:v>0</x:v>
      </x:c>
      <x:c r="L91" s="23" t="str">
        <x:v>OPEN</x:v>
      </x:c>
      <x:c r="M91" s="23" t="str">
        <x:v>OPEN</x:v>
      </x:c>
    </x:row>
    <x:row r="92">
      <x:c r="A92" s="23" t="str">
        <x:v>MT-087</x:v>
      </x:c>
      <x:c r="B92" s="23" t="str">
        <x:v>B-R1-PE1</x:v>
      </x:c>
      <x:c r="C92" s="23" t="str">
        <x:v>SURVIVOR-B</x:v>
      </x:c>
      <x:c r="D92" s="23" t="str">
        <x:v>ROOT-1</x:v>
      </x:c>
      <x:c r="E92" s="38" t="n">
        <x:v>1</x:v>
      </x:c>
      <x:c r="F92" s="23" t="str">
        <x:v>National deployment</x:v>
      </x:c>
      <x:c r="G92" s="38" t="n">
        <x:v>36</x:v>
      </x:c>
      <x:c r="H92" s="56" t="n">
        <x:v>0.25</x:v>
      </x:c>
      <x:c r="I92" s="53" t="n">
        <x:f>G92*H92*'Assumptions'!B59</x:f>
        <x:v>15552</x:v>
      </x:c>
      <x:c r="J92" s="38" t="n">
        <x:v>0</x:v>
      </x:c>
      <x:c r="K92" s="66" t="n">
        <x:f>J92*'Assumptions'!B18</x:f>
        <x:v>0</x:v>
      </x:c>
      <x:c r="L92" s="23" t="str">
        <x:v>OPEN</x:v>
      </x:c>
      <x:c r="M92" s="23" t="str">
        <x:v>OPEN</x:v>
      </x:c>
    </x:row>
    <x:row r="93">
      <x:c r="A93" s="23" t="str">
        <x:v>MT-088</x:v>
      </x:c>
      <x:c r="B93" s="23" t="str">
        <x:v>B-R1-PE1</x:v>
      </x:c>
      <x:c r="C93" s="23" t="str">
        <x:v>SURVIVOR-B</x:v>
      </x:c>
      <x:c r="D93" s="23" t="str">
        <x:v>ROOT-1</x:v>
      </x:c>
      <x:c r="E93" s="38" t="n">
        <x:v>1</x:v>
      </x:c>
      <x:c r="F93" s="23" t="str">
        <x:v>Freshwater mission</x:v>
      </x:c>
      <x:c r="G93" s="38" t="n">
        <x:v>72</x:v>
      </x:c>
      <x:c r="H93" s="56" t="n">
        <x:v>0.25</x:v>
      </x:c>
      <x:c r="I93" s="53" t="n">
        <x:f>G93*H93*'Assumptions'!B59</x:f>
        <x:v>31104</x:v>
      </x:c>
      <x:c r="J93" s="38" t="n">
        <x:v>1</x:v>
      </x:c>
      <x:c r="K93" s="66" t="n">
        <x:f>J93*'Assumptions'!B18</x:f>
        <x:v>336</x:v>
      </x:c>
      <x:c r="L93" s="23" t="str">
        <x:v>OPEN</x:v>
      </x:c>
      <x:c r="M93" s="23" t="str">
        <x:v>OPEN</x:v>
      </x:c>
    </x:row>
    <x:row r="94">
      <x:c r="A94" s="23" t="str">
        <x:v>MT-089</x:v>
      </x:c>
      <x:c r="B94" s="23" t="str">
        <x:v>B-R1-PE1</x:v>
      </x:c>
      <x:c r="C94" s="23" t="str">
        <x:v>SURVIVOR-B</x:v>
      </x:c>
      <x:c r="D94" s="23" t="str">
        <x:v>ROOT-1</x:v>
      </x:c>
      <x:c r="E94" s="38" t="n">
        <x:v>1</x:v>
      </x:c>
      <x:c r="F94" s="23" t="str">
        <x:v>Saline-water mission</x:v>
      </x:c>
      <x:c r="G94" s="38" t="n">
        <x:v>72</x:v>
      </x:c>
      <x:c r="H94" s="56" t="n">
        <x:v>0.25</x:v>
      </x:c>
      <x:c r="I94" s="53" t="n">
        <x:f>G94*H94*'Assumptions'!B59</x:f>
        <x:v>31104</x:v>
      </x:c>
      <x:c r="J94" s="38" t="n">
        <x:v>1</x:v>
      </x:c>
      <x:c r="K94" s="66" t="n">
        <x:f>J94*'Assumptions'!B18</x:f>
        <x:v>336</x:v>
      </x:c>
      <x:c r="L94" s="23" t="str">
        <x:v>OPEN</x:v>
      </x:c>
      <x:c r="M94" s="23" t="str">
        <x:v>OPEN</x:v>
      </x:c>
    </x:row>
    <x:row r="95">
      <x:c r="A95" s="23" t="str">
        <x:v>MT-090</x:v>
      </x:c>
      <x:c r="B95" s="23" t="str">
        <x:v>B-R1-PE1</x:v>
      </x:c>
      <x:c r="C95" s="23" t="str">
        <x:v>SURVIVOR-B</x:v>
      </x:c>
      <x:c r="D95" s="23" t="str">
        <x:v>ROOT-1</x:v>
      </x:c>
      <x:c r="E95" s="38" t="n">
        <x:v>1</x:v>
      </x:c>
      <x:c r="F95" s="23" t="str">
        <x:v>Sediment-laden mission</x:v>
      </x:c>
      <x:c r="G95" s="38" t="n">
        <x:v>72</x:v>
      </x:c>
      <x:c r="H95" s="56" t="n">
        <x:v>0.25</x:v>
      </x:c>
      <x:c r="I95" s="53" t="n">
        <x:f>G95*H95*'Assumptions'!B59</x:f>
        <x:v>31104</x:v>
      </x:c>
      <x:c r="J95" s="38" t="n">
        <x:v>1</x:v>
      </x:c>
      <x:c r="K95" s="66" t="n">
        <x:f>J95*'Assumptions'!B18</x:f>
        <x:v>336</x:v>
      </x:c>
      <x:c r="L95" s="23" t="str">
        <x:v>OPEN</x:v>
      </x:c>
      <x:c r="M95" s="23" t="str">
        <x:v>OPEN</x:v>
      </x:c>
    </x:row>
    <x:row r="96">
      <x:c r="A96" s="23" t="str">
        <x:v>MT-091</x:v>
      </x:c>
      <x:c r="B96" s="23" t="str">
        <x:v>B-R1-PE1</x:v>
      </x:c>
      <x:c r="C96" s="23" t="str">
        <x:v>SURVIVOR-B</x:v>
      </x:c>
      <x:c r="D96" s="23" t="str">
        <x:v>ROOT-1</x:v>
      </x:c>
      <x:c r="E96" s="38" t="n">
        <x:v>1</x:v>
      </x:c>
      <x:c r="F96" s="23" t="str">
        <x:v>Contaminated-water mission</x:v>
      </x:c>
      <x:c r="G96" s="38" t="n">
        <x:v>72</x:v>
      </x:c>
      <x:c r="H96" s="56" t="n">
        <x:v>0.25</x:v>
      </x:c>
      <x:c r="I96" s="53" t="n">
        <x:f>G96*H96*'Assumptions'!B59</x:f>
        <x:v>31104</x:v>
      </x:c>
      <x:c r="J96" s="38" t="n">
        <x:v>1</x:v>
      </x:c>
      <x:c r="K96" s="66" t="n">
        <x:f>J96*'Assumptions'!B18</x:f>
        <x:v>336</x:v>
      </x:c>
      <x:c r="L96" s="23" t="str">
        <x:v>OPEN</x:v>
      </x:c>
      <x:c r="M96" s="23" t="str">
        <x:v>OPEN</x:v>
      </x:c>
    </x:row>
    <x:row r="97">
      <x:c r="A97" s="23" t="str">
        <x:v>MT-092</x:v>
      </x:c>
      <x:c r="B97" s="23" t="str">
        <x:v>B-R1-PE1</x:v>
      </x:c>
      <x:c r="C97" s="23" t="str">
        <x:v>SURVIVOR-B</x:v>
      </x:c>
      <x:c r="D97" s="23" t="str">
        <x:v>ROOT-1</x:v>
      </x:c>
      <x:c r="E97" s="38" t="n">
        <x:v>1</x:v>
      </x:c>
      <x:c r="F97" s="23" t="str">
        <x:v>One-trunk casualty</x:v>
      </x:c>
      <x:c r="G97" s="38" t="n">
        <x:v>24</x:v>
      </x:c>
      <x:c r="H97" s="56" t="n">
        <x:v>0.25</x:v>
      </x:c>
      <x:c r="I97" s="53" t="n">
        <x:f>G97*H97*'Assumptions'!B59</x:f>
        <x:v>10368</x:v>
      </x:c>
      <x:c r="J97" s="38" t="n">
        <x:v>0</x:v>
      </x:c>
      <x:c r="K97" s="66" t="n">
        <x:f>J97*'Assumptions'!B18</x:f>
        <x:v>0</x:v>
      </x:c>
      <x:c r="L97" s="23" t="str">
        <x:v>OPEN</x:v>
      </x:c>
      <x:c r="M97" s="23" t="str">
        <x:v>OPEN</x:v>
      </x:c>
    </x:row>
    <x:row r="98">
      <x:c r="A98" s="23" t="str">
        <x:v>MT-093</x:v>
      </x:c>
      <x:c r="B98" s="23" t="str">
        <x:v>B-R1-PE1</x:v>
      </x:c>
      <x:c r="C98" s="23" t="str">
        <x:v>SURVIVOR-B</x:v>
      </x:c>
      <x:c r="D98" s="23" t="str">
        <x:v>ROOT-1</x:v>
      </x:c>
      <x:c r="E98" s="38" t="n">
        <x:v>1</x:v>
      </x:c>
      <x:c r="F98" s="23" t="str">
        <x:v>One-energy-island casualty</x:v>
      </x:c>
      <x:c r="G98" s="38" t="n">
        <x:v>24</x:v>
      </x:c>
      <x:c r="H98" s="56" t="n">
        <x:v>0.25</x:v>
      </x:c>
      <x:c r="I98" s="53" t="n">
        <x:f>G98*H98*'Assumptions'!B59</x:f>
        <x:v>10368</x:v>
      </x:c>
      <x:c r="J98" s="38" t="n">
        <x:v>0</x:v>
      </x:c>
      <x:c r="K98" s="66" t="n">
        <x:f>J98*'Assumptions'!B18</x:f>
        <x:v>0</x:v>
      </x:c>
      <x:c r="L98" s="23" t="str">
        <x:v>OPEN</x:v>
      </x:c>
      <x:c r="M98" s="23" t="str">
        <x:v>OPEN</x:v>
      </x:c>
    </x:row>
    <x:row r="99">
      <x:c r="A99" s="23" t="str">
        <x:v>MT-094</x:v>
      </x:c>
      <x:c r="B99" s="23" t="str">
        <x:v>B-R1-PE1</x:v>
      </x:c>
      <x:c r="C99" s="23" t="str">
        <x:v>SURVIVOR-B</x:v>
      </x:c>
      <x:c r="D99" s="23" t="str">
        <x:v>ROOT-1</x:v>
      </x:c>
      <x:c r="E99" s="38" t="n">
        <x:v>1</x:v>
      </x:c>
      <x:c r="F99" s="23" t="str">
        <x:v>Coordinator-loss case</x:v>
      </x:c>
      <x:c r="G99" s="38" t="n">
        <x:v>12</x:v>
      </x:c>
      <x:c r="H99" s="56" t="n">
        <x:v>0.25</x:v>
      </x:c>
      <x:c r="I99" s="53" t="n">
        <x:f>G99*H99*'Assumptions'!B59</x:f>
        <x:v>5184</x:v>
      </x:c>
      <x:c r="J99" s="38" t="n">
        <x:v>0</x:v>
      </x:c>
      <x:c r="K99" s="66" t="n">
        <x:f>J99*'Assumptions'!B18</x:f>
        <x:v>0</x:v>
      </x:c>
      <x:c r="L99" s="23" t="str">
        <x:v>OPEN</x:v>
      </x:c>
      <x:c r="M99" s="23" t="str">
        <x:v>OPEN</x:v>
      </x:c>
    </x:row>
    <x:row r="100">
      <x:c r="A100" s="23" t="str">
        <x:v>MT-095</x:v>
      </x:c>
      <x:c r="B100" s="23" t="str">
        <x:v>B-R1-PE1</x:v>
      </x:c>
      <x:c r="C100" s="23" t="str">
        <x:v>SURVIVOR-B</x:v>
      </x:c>
      <x:c r="D100" s="23" t="str">
        <x:v>ROOT-1</x:v>
      </x:c>
      <x:c r="E100" s="38" t="n">
        <x:v>1</x:v>
      </x:c>
      <x:c r="F100" s="23" t="str">
        <x:v>Public-rescue concurrency</x:v>
      </x:c>
      <x:c r="G100" s="38" t="n">
        <x:v>12</x:v>
      </x:c>
      <x:c r="H100" s="56" t="n">
        <x:v>0.25</x:v>
      </x:c>
      <x:c r="I100" s="53" t="n">
        <x:f>G100*H100*'Assumptions'!B59</x:f>
        <x:v>5184</x:v>
      </x:c>
      <x:c r="J100" s="38" t="n">
        <x:v>0</x:v>
      </x:c>
      <x:c r="K100" s="66" t="n">
        <x:f>J100*'Assumptions'!B18</x:f>
        <x:v>0</x:v>
      </x:c>
      <x:c r="L100" s="23" t="str">
        <x:v>OPEN</x:v>
      </x:c>
      <x:c r="M100" s="23" t="str">
        <x:v>OPEN</x:v>
      </x:c>
    </x:row>
    <x:row r="101">
      <x:c r="A101" s="23" t="str">
        <x:v>MT-096</x:v>
      </x:c>
      <x:c r="B101" s="23" t="str">
        <x:v>B-R1-PE1</x:v>
      </x:c>
      <x:c r="C101" s="23" t="str">
        <x:v>SURVIVOR-B</x:v>
      </x:c>
      <x:c r="D101" s="23" t="str">
        <x:v>ROOT-1</x:v>
      </x:c>
      <x:c r="E101" s="38" t="n">
        <x:v>1</x:v>
      </x:c>
      <x:c r="F101" s="23" t="str">
        <x:v>Repeated mission A</x:v>
      </x:c>
      <x:c r="G101" s="38" t="n">
        <x:v>72</x:v>
      </x:c>
      <x:c r="H101" s="56" t="n">
        <x:v>0.25</x:v>
      </x:c>
      <x:c r="I101" s="53" t="n">
        <x:f>G101*H101*'Assumptions'!B59</x:f>
        <x:v>31104</x:v>
      </x:c>
      <x:c r="J101" s="38" t="n">
        <x:v>1</x:v>
      </x:c>
      <x:c r="K101" s="66" t="n">
        <x:f>J101*'Assumptions'!B18</x:f>
        <x:v>336</x:v>
      </x:c>
      <x:c r="L101" s="23" t="str">
        <x:v>OPEN</x:v>
      </x:c>
      <x:c r="M101" s="23" t="str">
        <x:v>OPEN</x:v>
      </x:c>
    </x:row>
    <x:row r="102">
      <x:c r="A102" s="23" t="str">
        <x:v>MT-097</x:v>
      </x:c>
      <x:c r="B102" s="23" t="str">
        <x:v>B-R1-PE1</x:v>
      </x:c>
      <x:c r="C102" s="23" t="str">
        <x:v>SURVIVOR-B</x:v>
      </x:c>
      <x:c r="D102" s="23" t="str">
        <x:v>ROOT-1</x:v>
      </x:c>
      <x:c r="E102" s="38" t="n">
        <x:v>1</x:v>
      </x:c>
      <x:c r="F102" s="23" t="str">
        <x:v>Repeated mission B</x:v>
      </x:c>
      <x:c r="G102" s="38" t="n">
        <x:v>72</x:v>
      </x:c>
      <x:c r="H102" s="56" t="n">
        <x:v>0.25</x:v>
      </x:c>
      <x:c r="I102" s="53" t="n">
        <x:f>G102*H102*'Assumptions'!B59</x:f>
        <x:v>31104</x:v>
      </x:c>
      <x:c r="J102" s="38" t="n">
        <x:v>1</x:v>
      </x:c>
      <x:c r="K102" s="66" t="n">
        <x:f>J102*'Assumptions'!B18</x:f>
        <x:v>336</x:v>
      </x:c>
      <x:c r="L102" s="23" t="str">
        <x:v>OPEN</x:v>
      </x:c>
      <x:c r="M102" s="23" t="str">
        <x:v>OPEN</x:v>
      </x:c>
    </x:row>
    <x:row r="103">
      <x:c r="A103" s="23" t="str">
        <x:v>MT-098</x:v>
      </x:c>
      <x:c r="B103" s="23" t="str">
        <x:v>B-R1-PE1</x:v>
      </x:c>
      <x:c r="C103" s="23" t="str">
        <x:v>SURVIVOR-B</x:v>
      </x:c>
      <x:c r="D103" s="23" t="str">
        <x:v>ROOT-1</x:v>
      </x:c>
      <x:c r="E103" s="38" t="n">
        <x:v>1</x:v>
      </x:c>
      <x:c r="F103" s="23" t="str">
        <x:v>Repeated mission C</x:v>
      </x:c>
      <x:c r="G103" s="38" t="n">
        <x:v>72</x:v>
      </x:c>
      <x:c r="H103" s="56" t="n">
        <x:v>0.25</x:v>
      </x:c>
      <x:c r="I103" s="53" t="n">
        <x:f>G103*H103*'Assumptions'!B59</x:f>
        <x:v>31104</x:v>
      </x:c>
      <x:c r="J103" s="38" t="n">
        <x:v>1</x:v>
      </x:c>
      <x:c r="K103" s="66" t="n">
        <x:f>J103*'Assumptions'!B18</x:f>
        <x:v>336</x:v>
      </x:c>
      <x:c r="L103" s="23" t="str">
        <x:v>OPEN</x:v>
      </x:c>
      <x:c r="M103" s="23" t="str">
        <x:v>OPEN</x:v>
      </x:c>
    </x:row>
    <x:row r="104">
      <x:c r="A104" s="23" t="str">
        <x:v>MT-099</x:v>
      </x:c>
      <x:c r="B104" s="23" t="str">
        <x:v>B-R1-PE2</x:v>
      </x:c>
      <x:c r="C104" s="23" t="str">
        <x:v>SURVIVOR-B</x:v>
      </x:c>
      <x:c r="D104" s="23" t="str">
        <x:v>ROOT-1</x:v>
      </x:c>
      <x:c r="E104" s="38" t="n">
        <x:v>2</x:v>
      </x:c>
      <x:c r="F104" s="23" t="str">
        <x:v>Commissioning</x:v>
      </x:c>
      <x:c r="G104" s="38" t="n">
        <x:v>12</x:v>
      </x:c>
      <x:c r="H104" s="56" t="n">
        <x:v>0.25</x:v>
      </x:c>
      <x:c r="I104" s="53" t="n">
        <x:f>G104*H104*'Assumptions'!B59</x:f>
        <x:v>5184</x:v>
      </x:c>
      <x:c r="J104" s="38" t="n">
        <x:v>0</x:v>
      </x:c>
      <x:c r="K104" s="66" t="n">
        <x:f>J104*'Assumptions'!B18</x:f>
        <x:v>0</x:v>
      </x:c>
      <x:c r="L104" s="23" t="str">
        <x:v>OPEN</x:v>
      </x:c>
      <x:c r="M104" s="23" t="str">
        <x:v>OPEN</x:v>
      </x:c>
    </x:row>
    <x:row r="105">
      <x:c r="A105" s="23" t="str">
        <x:v>MT-100</x:v>
      </x:c>
      <x:c r="B105" s="23" t="str">
        <x:v>B-R1-PE2</x:v>
      </x:c>
      <x:c r="C105" s="23" t="str">
        <x:v>SURVIVOR-B</x:v>
      </x:c>
      <x:c r="D105" s="23" t="str">
        <x:v>ROOT-1</x:v>
      </x:c>
      <x:c r="E105" s="38" t="n">
        <x:v>2</x:v>
      </x:c>
      <x:c r="F105" s="23" t="str">
        <x:v>Regional deployment</x:v>
      </x:c>
      <x:c r="G105" s="38" t="n">
        <x:v>18</x:v>
      </x:c>
      <x:c r="H105" s="56" t="n">
        <x:v>0.25</x:v>
      </x:c>
      <x:c r="I105" s="53" t="n">
        <x:f>G105*H105*'Assumptions'!B59</x:f>
        <x:v>7776</x:v>
      </x:c>
      <x:c r="J105" s="38" t="n">
        <x:v>0</x:v>
      </x:c>
      <x:c r="K105" s="66" t="n">
        <x:f>J105*'Assumptions'!B18</x:f>
        <x:v>0</x:v>
      </x:c>
      <x:c r="L105" s="23" t="str">
        <x:v>OPEN</x:v>
      </x:c>
      <x:c r="M105" s="23" t="str">
        <x:v>OPEN</x:v>
      </x:c>
    </x:row>
    <x:row r="106">
      <x:c r="A106" s="23" t="str">
        <x:v>MT-101</x:v>
      </x:c>
      <x:c r="B106" s="23" t="str">
        <x:v>B-R1-PE2</x:v>
      </x:c>
      <x:c r="C106" s="23" t="str">
        <x:v>SURVIVOR-B</x:v>
      </x:c>
      <x:c r="D106" s="23" t="str">
        <x:v>ROOT-1</x:v>
      </x:c>
      <x:c r="E106" s="38" t="n">
        <x:v>2</x:v>
      </x:c>
      <x:c r="F106" s="23" t="str">
        <x:v>National deployment</x:v>
      </x:c>
      <x:c r="G106" s="38" t="n">
        <x:v>36</x:v>
      </x:c>
      <x:c r="H106" s="56" t="n">
        <x:v>0.25</x:v>
      </x:c>
      <x:c r="I106" s="53" t="n">
        <x:f>G106*H106*'Assumptions'!B59</x:f>
        <x:v>15552</x:v>
      </x:c>
      <x:c r="J106" s="38" t="n">
        <x:v>0</x:v>
      </x:c>
      <x:c r="K106" s="66" t="n">
        <x:f>J106*'Assumptions'!B18</x:f>
        <x:v>0</x:v>
      </x:c>
      <x:c r="L106" s="23" t="str">
        <x:v>OPEN</x:v>
      </x:c>
      <x:c r="M106" s="23" t="str">
        <x:v>OPEN</x:v>
      </x:c>
    </x:row>
    <x:row r="107">
      <x:c r="A107" s="23" t="str">
        <x:v>MT-102</x:v>
      </x:c>
      <x:c r="B107" s="23" t="str">
        <x:v>B-R1-PE2</x:v>
      </x:c>
      <x:c r="C107" s="23" t="str">
        <x:v>SURVIVOR-B</x:v>
      </x:c>
      <x:c r="D107" s="23" t="str">
        <x:v>ROOT-1</x:v>
      </x:c>
      <x:c r="E107" s="38" t="n">
        <x:v>2</x:v>
      </x:c>
      <x:c r="F107" s="23" t="str">
        <x:v>Freshwater mission</x:v>
      </x:c>
      <x:c r="G107" s="38" t="n">
        <x:v>72</x:v>
      </x:c>
      <x:c r="H107" s="56" t="n">
        <x:v>0.25</x:v>
      </x:c>
      <x:c r="I107" s="53" t="n">
        <x:f>G107*H107*'Assumptions'!B59</x:f>
        <x:v>31104</x:v>
      </x:c>
      <x:c r="J107" s="38" t="n">
        <x:v>1</x:v>
      </x:c>
      <x:c r="K107" s="66" t="n">
        <x:f>J107*'Assumptions'!B18</x:f>
        <x:v>336</x:v>
      </x:c>
      <x:c r="L107" s="23" t="str">
        <x:v>OPEN</x:v>
      </x:c>
      <x:c r="M107" s="23" t="str">
        <x:v>OPEN</x:v>
      </x:c>
    </x:row>
    <x:row r="108">
      <x:c r="A108" s="23" t="str">
        <x:v>MT-103</x:v>
      </x:c>
      <x:c r="B108" s="23" t="str">
        <x:v>B-R1-PE2</x:v>
      </x:c>
      <x:c r="C108" s="23" t="str">
        <x:v>SURVIVOR-B</x:v>
      </x:c>
      <x:c r="D108" s="23" t="str">
        <x:v>ROOT-1</x:v>
      </x:c>
      <x:c r="E108" s="38" t="n">
        <x:v>2</x:v>
      </x:c>
      <x:c r="F108" s="23" t="str">
        <x:v>Saline-water mission</x:v>
      </x:c>
      <x:c r="G108" s="38" t="n">
        <x:v>72</x:v>
      </x:c>
      <x:c r="H108" s="56" t="n">
        <x:v>0.25</x:v>
      </x:c>
      <x:c r="I108" s="53" t="n">
        <x:f>G108*H108*'Assumptions'!B59</x:f>
        <x:v>31104</x:v>
      </x:c>
      <x:c r="J108" s="38" t="n">
        <x:v>1</x:v>
      </x:c>
      <x:c r="K108" s="66" t="n">
        <x:f>J108*'Assumptions'!B18</x:f>
        <x:v>336</x:v>
      </x:c>
      <x:c r="L108" s="23" t="str">
        <x:v>OPEN</x:v>
      </x:c>
      <x:c r="M108" s="23" t="str">
        <x:v>OPEN</x:v>
      </x:c>
    </x:row>
    <x:row r="109">
      <x:c r="A109" s="23" t="str">
        <x:v>MT-104</x:v>
      </x:c>
      <x:c r="B109" s="23" t="str">
        <x:v>B-R1-PE2</x:v>
      </x:c>
      <x:c r="C109" s="23" t="str">
        <x:v>SURVIVOR-B</x:v>
      </x:c>
      <x:c r="D109" s="23" t="str">
        <x:v>ROOT-1</x:v>
      </x:c>
      <x:c r="E109" s="38" t="n">
        <x:v>2</x:v>
      </x:c>
      <x:c r="F109" s="23" t="str">
        <x:v>Sediment-laden mission</x:v>
      </x:c>
      <x:c r="G109" s="38" t="n">
        <x:v>72</x:v>
      </x:c>
      <x:c r="H109" s="56" t="n">
        <x:v>0.25</x:v>
      </x:c>
      <x:c r="I109" s="53" t="n">
        <x:f>G109*H109*'Assumptions'!B59</x:f>
        <x:v>31104</x:v>
      </x:c>
      <x:c r="J109" s="38" t="n">
        <x:v>1</x:v>
      </x:c>
      <x:c r="K109" s="66" t="n">
        <x:f>J109*'Assumptions'!B18</x:f>
        <x:v>336</x:v>
      </x:c>
      <x:c r="L109" s="23" t="str">
        <x:v>OPEN</x:v>
      </x:c>
      <x:c r="M109" s="23" t="str">
        <x:v>OPEN</x:v>
      </x:c>
    </x:row>
    <x:row r="110">
      <x:c r="A110" s="23" t="str">
        <x:v>MT-105</x:v>
      </x:c>
      <x:c r="B110" s="23" t="str">
        <x:v>B-R1-PE2</x:v>
      </x:c>
      <x:c r="C110" s="23" t="str">
        <x:v>SURVIVOR-B</x:v>
      </x:c>
      <x:c r="D110" s="23" t="str">
        <x:v>ROOT-1</x:v>
      </x:c>
      <x:c r="E110" s="38" t="n">
        <x:v>2</x:v>
      </x:c>
      <x:c r="F110" s="23" t="str">
        <x:v>Contaminated-water mission</x:v>
      </x:c>
      <x:c r="G110" s="38" t="n">
        <x:v>72</x:v>
      </x:c>
      <x:c r="H110" s="56" t="n">
        <x:v>0.25</x:v>
      </x:c>
      <x:c r="I110" s="53" t="n">
        <x:f>G110*H110*'Assumptions'!B59</x:f>
        <x:v>31104</x:v>
      </x:c>
      <x:c r="J110" s="38" t="n">
        <x:v>1</x:v>
      </x:c>
      <x:c r="K110" s="66" t="n">
        <x:f>J110*'Assumptions'!B18</x:f>
        <x:v>336</x:v>
      </x:c>
      <x:c r="L110" s="23" t="str">
        <x:v>OPEN</x:v>
      </x:c>
      <x:c r="M110" s="23" t="str">
        <x:v>OPEN</x:v>
      </x:c>
    </x:row>
    <x:row r="111">
      <x:c r="A111" s="23" t="str">
        <x:v>MT-106</x:v>
      </x:c>
      <x:c r="B111" s="23" t="str">
        <x:v>B-R1-PE2</x:v>
      </x:c>
      <x:c r="C111" s="23" t="str">
        <x:v>SURVIVOR-B</x:v>
      </x:c>
      <x:c r="D111" s="23" t="str">
        <x:v>ROOT-1</x:v>
      </x:c>
      <x:c r="E111" s="38" t="n">
        <x:v>2</x:v>
      </x:c>
      <x:c r="F111" s="23" t="str">
        <x:v>One-trunk casualty</x:v>
      </x:c>
      <x:c r="G111" s="38" t="n">
        <x:v>24</x:v>
      </x:c>
      <x:c r="H111" s="56" t="n">
        <x:v>0.25</x:v>
      </x:c>
      <x:c r="I111" s="53" t="n">
        <x:f>G111*H111*'Assumptions'!B59</x:f>
        <x:v>10368</x:v>
      </x:c>
      <x:c r="J111" s="38" t="n">
        <x:v>0</x:v>
      </x:c>
      <x:c r="K111" s="66" t="n">
        <x:f>J111*'Assumptions'!B18</x:f>
        <x:v>0</x:v>
      </x:c>
      <x:c r="L111" s="23" t="str">
        <x:v>OPEN</x:v>
      </x:c>
      <x:c r="M111" s="23" t="str">
        <x:v>OPEN</x:v>
      </x:c>
    </x:row>
    <x:row r="112">
      <x:c r="A112" s="23" t="str">
        <x:v>MT-107</x:v>
      </x:c>
      <x:c r="B112" s="23" t="str">
        <x:v>B-R1-PE2</x:v>
      </x:c>
      <x:c r="C112" s="23" t="str">
        <x:v>SURVIVOR-B</x:v>
      </x:c>
      <x:c r="D112" s="23" t="str">
        <x:v>ROOT-1</x:v>
      </x:c>
      <x:c r="E112" s="38" t="n">
        <x:v>2</x:v>
      </x:c>
      <x:c r="F112" s="23" t="str">
        <x:v>One-energy-island casualty</x:v>
      </x:c>
      <x:c r="G112" s="38" t="n">
        <x:v>24</x:v>
      </x:c>
      <x:c r="H112" s="56" t="n">
        <x:v>0.25</x:v>
      </x:c>
      <x:c r="I112" s="53" t="n">
        <x:f>G112*H112*'Assumptions'!B59</x:f>
        <x:v>10368</x:v>
      </x:c>
      <x:c r="J112" s="38" t="n">
        <x:v>0</x:v>
      </x:c>
      <x:c r="K112" s="66" t="n">
        <x:f>J112*'Assumptions'!B18</x:f>
        <x:v>0</x:v>
      </x:c>
      <x:c r="L112" s="23" t="str">
        <x:v>OPEN</x:v>
      </x:c>
      <x:c r="M112" s="23" t="str">
        <x:v>OPEN</x:v>
      </x:c>
    </x:row>
    <x:row r="113">
      <x:c r="A113" s="23" t="str">
        <x:v>MT-108</x:v>
      </x:c>
      <x:c r="B113" s="23" t="str">
        <x:v>B-R1-PE2</x:v>
      </x:c>
      <x:c r="C113" s="23" t="str">
        <x:v>SURVIVOR-B</x:v>
      </x:c>
      <x:c r="D113" s="23" t="str">
        <x:v>ROOT-1</x:v>
      </x:c>
      <x:c r="E113" s="38" t="n">
        <x:v>2</x:v>
      </x:c>
      <x:c r="F113" s="23" t="str">
        <x:v>Coordinator-loss case</x:v>
      </x:c>
      <x:c r="G113" s="38" t="n">
        <x:v>12</x:v>
      </x:c>
      <x:c r="H113" s="56" t="n">
        <x:v>0.25</x:v>
      </x:c>
      <x:c r="I113" s="53" t="n">
        <x:f>G113*H113*'Assumptions'!B59</x:f>
        <x:v>5184</x:v>
      </x:c>
      <x:c r="J113" s="38" t="n">
        <x:v>0</x:v>
      </x:c>
      <x:c r="K113" s="66" t="n">
        <x:f>J113*'Assumptions'!B18</x:f>
        <x:v>0</x:v>
      </x:c>
      <x:c r="L113" s="23" t="str">
        <x:v>OPEN</x:v>
      </x:c>
      <x:c r="M113" s="23" t="str">
        <x:v>OPEN</x:v>
      </x:c>
    </x:row>
    <x:row r="114">
      <x:c r="A114" s="23" t="str">
        <x:v>MT-109</x:v>
      </x:c>
      <x:c r="B114" s="23" t="str">
        <x:v>B-R1-PE2</x:v>
      </x:c>
      <x:c r="C114" s="23" t="str">
        <x:v>SURVIVOR-B</x:v>
      </x:c>
      <x:c r="D114" s="23" t="str">
        <x:v>ROOT-1</x:v>
      </x:c>
      <x:c r="E114" s="38" t="n">
        <x:v>2</x:v>
      </x:c>
      <x:c r="F114" s="23" t="str">
        <x:v>Public-rescue concurrency</x:v>
      </x:c>
      <x:c r="G114" s="38" t="n">
        <x:v>12</x:v>
      </x:c>
      <x:c r="H114" s="56" t="n">
        <x:v>0.25</x:v>
      </x:c>
      <x:c r="I114" s="53" t="n">
        <x:f>G114*H114*'Assumptions'!B59</x:f>
        <x:v>5184</x:v>
      </x:c>
      <x:c r="J114" s="38" t="n">
        <x:v>0</x:v>
      </x:c>
      <x:c r="K114" s="66" t="n">
        <x:f>J114*'Assumptions'!B18</x:f>
        <x:v>0</x:v>
      </x:c>
      <x:c r="L114" s="23" t="str">
        <x:v>OPEN</x:v>
      </x:c>
      <x:c r="M114" s="23" t="str">
        <x:v>OPEN</x:v>
      </x:c>
    </x:row>
    <x:row r="115">
      <x:c r="A115" s="23" t="str">
        <x:v>MT-110</x:v>
      </x:c>
      <x:c r="B115" s="23" t="str">
        <x:v>B-R1-PE2</x:v>
      </x:c>
      <x:c r="C115" s="23" t="str">
        <x:v>SURVIVOR-B</x:v>
      </x:c>
      <x:c r="D115" s="23" t="str">
        <x:v>ROOT-1</x:v>
      </x:c>
      <x:c r="E115" s="38" t="n">
        <x:v>2</x:v>
      </x:c>
      <x:c r="F115" s="23" t="str">
        <x:v>Repeated mission A</x:v>
      </x:c>
      <x:c r="G115" s="38" t="n">
        <x:v>72</x:v>
      </x:c>
      <x:c r="H115" s="56" t="n">
        <x:v>0.25</x:v>
      </x:c>
      <x:c r="I115" s="53" t="n">
        <x:f>G115*H115*'Assumptions'!B59</x:f>
        <x:v>31104</x:v>
      </x:c>
      <x:c r="J115" s="38" t="n">
        <x:v>1</x:v>
      </x:c>
      <x:c r="K115" s="66" t="n">
        <x:f>J115*'Assumptions'!B18</x:f>
        <x:v>336</x:v>
      </x:c>
      <x:c r="L115" s="23" t="str">
        <x:v>OPEN</x:v>
      </x:c>
      <x:c r="M115" s="23" t="str">
        <x:v>OPEN</x:v>
      </x:c>
    </x:row>
    <x:row r="116">
      <x:c r="A116" s="23" t="str">
        <x:v>MT-111</x:v>
      </x:c>
      <x:c r="B116" s="23" t="str">
        <x:v>B-R1-PE2</x:v>
      </x:c>
      <x:c r="C116" s="23" t="str">
        <x:v>SURVIVOR-B</x:v>
      </x:c>
      <x:c r="D116" s="23" t="str">
        <x:v>ROOT-1</x:v>
      </x:c>
      <x:c r="E116" s="38" t="n">
        <x:v>2</x:v>
      </x:c>
      <x:c r="F116" s="23" t="str">
        <x:v>Repeated mission B</x:v>
      </x:c>
      <x:c r="G116" s="38" t="n">
        <x:v>72</x:v>
      </x:c>
      <x:c r="H116" s="56" t="n">
        <x:v>0.25</x:v>
      </x:c>
      <x:c r="I116" s="53" t="n">
        <x:f>G116*H116*'Assumptions'!B59</x:f>
        <x:v>31104</x:v>
      </x:c>
      <x:c r="J116" s="38" t="n">
        <x:v>1</x:v>
      </x:c>
      <x:c r="K116" s="66" t="n">
        <x:f>J116*'Assumptions'!B18</x:f>
        <x:v>336</x:v>
      </x:c>
      <x:c r="L116" s="23" t="str">
        <x:v>OPEN</x:v>
      </x:c>
      <x:c r="M116" s="23" t="str">
        <x:v>OPEN</x:v>
      </x:c>
    </x:row>
    <x:row r="117">
      <x:c r="A117" s="23" t="str">
        <x:v>MT-112</x:v>
      </x:c>
      <x:c r="B117" s="23" t="str">
        <x:v>B-R1-PE2</x:v>
      </x:c>
      <x:c r="C117" s="23" t="str">
        <x:v>SURVIVOR-B</x:v>
      </x:c>
      <x:c r="D117" s="23" t="str">
        <x:v>ROOT-1</x:v>
      </x:c>
      <x:c r="E117" s="38" t="n">
        <x:v>2</x:v>
      </x:c>
      <x:c r="F117" s="23" t="str">
        <x:v>Repeated mission C</x:v>
      </x:c>
      <x:c r="G117" s="38" t="n">
        <x:v>72</x:v>
      </x:c>
      <x:c r="H117" s="56" t="n">
        <x:v>0.25</x:v>
      </x:c>
      <x:c r="I117" s="53" t="n">
        <x:f>G117*H117*'Assumptions'!B59</x:f>
        <x:v>31104</x:v>
      </x:c>
      <x:c r="J117" s="38" t="n">
        <x:v>1</x:v>
      </x:c>
      <x:c r="K117" s="66" t="n">
        <x:f>J117*'Assumptions'!B18</x:f>
        <x:v>336</x:v>
      </x:c>
      <x:c r="L117" s="23" t="str">
        <x:v>OPEN</x:v>
      </x:c>
      <x:c r="M117" s="23" t="str">
        <x:v>OPEN</x:v>
      </x:c>
    </x:row>
    <x:row r="118">
      <x:c r="A118" s="23" t="str">
        <x:v>MT-113</x:v>
      </x:c>
      <x:c r="B118" s="23" t="str">
        <x:v>B-R1-PE3</x:v>
      </x:c>
      <x:c r="C118" s="23" t="str">
        <x:v>SURVIVOR-B</x:v>
      </x:c>
      <x:c r="D118" s="23" t="str">
        <x:v>ROOT-1</x:v>
      </x:c>
      <x:c r="E118" s="38" t="n">
        <x:v>3</x:v>
      </x:c>
      <x:c r="F118" s="23" t="str">
        <x:v>Commissioning</x:v>
      </x:c>
      <x:c r="G118" s="38" t="n">
        <x:v>12</x:v>
      </x:c>
      <x:c r="H118" s="56" t="n">
        <x:v>0.25</x:v>
      </x:c>
      <x:c r="I118" s="53" t="n">
        <x:f>G118*H118*'Assumptions'!B59</x:f>
        <x:v>5184</x:v>
      </x:c>
      <x:c r="J118" s="38" t="n">
        <x:v>0</x:v>
      </x:c>
      <x:c r="K118" s="66" t="n">
        <x:f>J118*'Assumptions'!B18</x:f>
        <x:v>0</x:v>
      </x:c>
      <x:c r="L118" s="23" t="str">
        <x:v>OPEN</x:v>
      </x:c>
      <x:c r="M118" s="23" t="str">
        <x:v>OPEN</x:v>
      </x:c>
    </x:row>
    <x:row r="119">
      <x:c r="A119" s="23" t="str">
        <x:v>MT-114</x:v>
      </x:c>
      <x:c r="B119" s="23" t="str">
        <x:v>B-R1-PE3</x:v>
      </x:c>
      <x:c r="C119" s="23" t="str">
        <x:v>SURVIVOR-B</x:v>
      </x:c>
      <x:c r="D119" s="23" t="str">
        <x:v>ROOT-1</x:v>
      </x:c>
      <x:c r="E119" s="38" t="n">
        <x:v>3</x:v>
      </x:c>
      <x:c r="F119" s="23" t="str">
        <x:v>Regional deployment</x:v>
      </x:c>
      <x:c r="G119" s="38" t="n">
        <x:v>18</x:v>
      </x:c>
      <x:c r="H119" s="56" t="n">
        <x:v>0.25</x:v>
      </x:c>
      <x:c r="I119" s="53" t="n">
        <x:f>G119*H119*'Assumptions'!B59</x:f>
        <x:v>7776</x:v>
      </x:c>
      <x:c r="J119" s="38" t="n">
        <x:v>0</x:v>
      </x:c>
      <x:c r="K119" s="66" t="n">
        <x:f>J119*'Assumptions'!B18</x:f>
        <x:v>0</x:v>
      </x:c>
      <x:c r="L119" s="23" t="str">
        <x:v>OPEN</x:v>
      </x:c>
      <x:c r="M119" s="23" t="str">
        <x:v>OPEN</x:v>
      </x:c>
    </x:row>
    <x:row r="120">
      <x:c r="A120" s="23" t="str">
        <x:v>MT-115</x:v>
      </x:c>
      <x:c r="B120" s="23" t="str">
        <x:v>B-R1-PE3</x:v>
      </x:c>
      <x:c r="C120" s="23" t="str">
        <x:v>SURVIVOR-B</x:v>
      </x:c>
      <x:c r="D120" s="23" t="str">
        <x:v>ROOT-1</x:v>
      </x:c>
      <x:c r="E120" s="38" t="n">
        <x:v>3</x:v>
      </x:c>
      <x:c r="F120" s="23" t="str">
        <x:v>National deployment</x:v>
      </x:c>
      <x:c r="G120" s="38" t="n">
        <x:v>36</x:v>
      </x:c>
      <x:c r="H120" s="56" t="n">
        <x:v>0.25</x:v>
      </x:c>
      <x:c r="I120" s="53" t="n">
        <x:f>G120*H120*'Assumptions'!B59</x:f>
        <x:v>15552</x:v>
      </x:c>
      <x:c r="J120" s="38" t="n">
        <x:v>0</x:v>
      </x:c>
      <x:c r="K120" s="66" t="n">
        <x:f>J120*'Assumptions'!B18</x:f>
        <x:v>0</x:v>
      </x:c>
      <x:c r="L120" s="23" t="str">
        <x:v>OPEN</x:v>
      </x:c>
      <x:c r="M120" s="23" t="str">
        <x:v>OPEN</x:v>
      </x:c>
    </x:row>
    <x:row r="121">
      <x:c r="A121" s="23" t="str">
        <x:v>MT-116</x:v>
      </x:c>
      <x:c r="B121" s="23" t="str">
        <x:v>B-R1-PE3</x:v>
      </x:c>
      <x:c r="C121" s="23" t="str">
        <x:v>SURVIVOR-B</x:v>
      </x:c>
      <x:c r="D121" s="23" t="str">
        <x:v>ROOT-1</x:v>
      </x:c>
      <x:c r="E121" s="38" t="n">
        <x:v>3</x:v>
      </x:c>
      <x:c r="F121" s="23" t="str">
        <x:v>Freshwater mission</x:v>
      </x:c>
      <x:c r="G121" s="38" t="n">
        <x:v>72</x:v>
      </x:c>
      <x:c r="H121" s="56" t="n">
        <x:v>0.25</x:v>
      </x:c>
      <x:c r="I121" s="53" t="n">
        <x:f>G121*H121*'Assumptions'!B59</x:f>
        <x:v>31104</x:v>
      </x:c>
      <x:c r="J121" s="38" t="n">
        <x:v>1</x:v>
      </x:c>
      <x:c r="K121" s="66" t="n">
        <x:f>J121*'Assumptions'!B18</x:f>
        <x:v>336</x:v>
      </x:c>
      <x:c r="L121" s="23" t="str">
        <x:v>OPEN</x:v>
      </x:c>
      <x:c r="M121" s="23" t="str">
        <x:v>OPEN</x:v>
      </x:c>
    </x:row>
    <x:row r="122">
      <x:c r="A122" s="23" t="str">
        <x:v>MT-117</x:v>
      </x:c>
      <x:c r="B122" s="23" t="str">
        <x:v>B-R1-PE3</x:v>
      </x:c>
      <x:c r="C122" s="23" t="str">
        <x:v>SURVIVOR-B</x:v>
      </x:c>
      <x:c r="D122" s="23" t="str">
        <x:v>ROOT-1</x:v>
      </x:c>
      <x:c r="E122" s="38" t="n">
        <x:v>3</x:v>
      </x:c>
      <x:c r="F122" s="23" t="str">
        <x:v>Saline-water mission</x:v>
      </x:c>
      <x:c r="G122" s="38" t="n">
        <x:v>72</x:v>
      </x:c>
      <x:c r="H122" s="56" t="n">
        <x:v>0.25</x:v>
      </x:c>
      <x:c r="I122" s="53" t="n">
        <x:f>G122*H122*'Assumptions'!B59</x:f>
        <x:v>31104</x:v>
      </x:c>
      <x:c r="J122" s="38" t="n">
        <x:v>1</x:v>
      </x:c>
      <x:c r="K122" s="66" t="n">
        <x:f>J122*'Assumptions'!B18</x:f>
        <x:v>336</x:v>
      </x:c>
      <x:c r="L122" s="23" t="str">
        <x:v>OPEN</x:v>
      </x:c>
      <x:c r="M122" s="23" t="str">
        <x:v>OPEN</x:v>
      </x:c>
    </x:row>
    <x:row r="123">
      <x:c r="A123" s="23" t="str">
        <x:v>MT-118</x:v>
      </x:c>
      <x:c r="B123" s="23" t="str">
        <x:v>B-R1-PE3</x:v>
      </x:c>
      <x:c r="C123" s="23" t="str">
        <x:v>SURVIVOR-B</x:v>
      </x:c>
      <x:c r="D123" s="23" t="str">
        <x:v>ROOT-1</x:v>
      </x:c>
      <x:c r="E123" s="38" t="n">
        <x:v>3</x:v>
      </x:c>
      <x:c r="F123" s="23" t="str">
        <x:v>Sediment-laden mission</x:v>
      </x:c>
      <x:c r="G123" s="38" t="n">
        <x:v>72</x:v>
      </x:c>
      <x:c r="H123" s="56" t="n">
        <x:v>0.25</x:v>
      </x:c>
      <x:c r="I123" s="53" t="n">
        <x:f>G123*H123*'Assumptions'!B59</x:f>
        <x:v>31104</x:v>
      </x:c>
      <x:c r="J123" s="38" t="n">
        <x:v>1</x:v>
      </x:c>
      <x:c r="K123" s="66" t="n">
        <x:f>J123*'Assumptions'!B18</x:f>
        <x:v>336</x:v>
      </x:c>
      <x:c r="L123" s="23" t="str">
        <x:v>OPEN</x:v>
      </x:c>
      <x:c r="M123" s="23" t="str">
        <x:v>OPEN</x:v>
      </x:c>
    </x:row>
    <x:row r="124">
      <x:c r="A124" s="23" t="str">
        <x:v>MT-119</x:v>
      </x:c>
      <x:c r="B124" s="23" t="str">
        <x:v>B-R1-PE3</x:v>
      </x:c>
      <x:c r="C124" s="23" t="str">
        <x:v>SURVIVOR-B</x:v>
      </x:c>
      <x:c r="D124" s="23" t="str">
        <x:v>ROOT-1</x:v>
      </x:c>
      <x:c r="E124" s="38" t="n">
        <x:v>3</x:v>
      </x:c>
      <x:c r="F124" s="23" t="str">
        <x:v>Contaminated-water mission</x:v>
      </x:c>
      <x:c r="G124" s="38" t="n">
        <x:v>72</x:v>
      </x:c>
      <x:c r="H124" s="56" t="n">
        <x:v>0.25</x:v>
      </x:c>
      <x:c r="I124" s="53" t="n">
        <x:f>G124*H124*'Assumptions'!B59</x:f>
        <x:v>31104</x:v>
      </x:c>
      <x:c r="J124" s="38" t="n">
        <x:v>1</x:v>
      </x:c>
      <x:c r="K124" s="66" t="n">
        <x:f>J124*'Assumptions'!B18</x:f>
        <x:v>336</x:v>
      </x:c>
      <x:c r="L124" s="23" t="str">
        <x:v>OPEN</x:v>
      </x:c>
      <x:c r="M124" s="23" t="str">
        <x:v>OPEN</x:v>
      </x:c>
    </x:row>
    <x:row r="125">
      <x:c r="A125" s="23" t="str">
        <x:v>MT-120</x:v>
      </x:c>
      <x:c r="B125" s="23" t="str">
        <x:v>B-R1-PE3</x:v>
      </x:c>
      <x:c r="C125" s="23" t="str">
        <x:v>SURVIVOR-B</x:v>
      </x:c>
      <x:c r="D125" s="23" t="str">
        <x:v>ROOT-1</x:v>
      </x:c>
      <x:c r="E125" s="38" t="n">
        <x:v>3</x:v>
      </x:c>
      <x:c r="F125" s="23" t="str">
        <x:v>One-trunk casualty</x:v>
      </x:c>
      <x:c r="G125" s="38" t="n">
        <x:v>24</x:v>
      </x:c>
      <x:c r="H125" s="56" t="n">
        <x:v>0.25</x:v>
      </x:c>
      <x:c r="I125" s="53" t="n">
        <x:f>G125*H125*'Assumptions'!B59</x:f>
        <x:v>10368</x:v>
      </x:c>
      <x:c r="J125" s="38" t="n">
        <x:v>0</x:v>
      </x:c>
      <x:c r="K125" s="66" t="n">
        <x:f>J125*'Assumptions'!B18</x:f>
        <x:v>0</x:v>
      </x:c>
      <x:c r="L125" s="23" t="str">
        <x:v>OPEN</x:v>
      </x:c>
      <x:c r="M125" s="23" t="str">
        <x:v>OPEN</x:v>
      </x:c>
    </x:row>
    <x:row r="126">
      <x:c r="A126" s="23" t="str">
        <x:v>MT-121</x:v>
      </x:c>
      <x:c r="B126" s="23" t="str">
        <x:v>B-R1-PE3</x:v>
      </x:c>
      <x:c r="C126" s="23" t="str">
        <x:v>SURVIVOR-B</x:v>
      </x:c>
      <x:c r="D126" s="23" t="str">
        <x:v>ROOT-1</x:v>
      </x:c>
      <x:c r="E126" s="38" t="n">
        <x:v>3</x:v>
      </x:c>
      <x:c r="F126" s="23" t="str">
        <x:v>One-energy-island casualty</x:v>
      </x:c>
      <x:c r="G126" s="38" t="n">
        <x:v>24</x:v>
      </x:c>
      <x:c r="H126" s="56" t="n">
        <x:v>0.25</x:v>
      </x:c>
      <x:c r="I126" s="53" t="n">
        <x:f>G126*H126*'Assumptions'!B59</x:f>
        <x:v>10368</x:v>
      </x:c>
      <x:c r="J126" s="38" t="n">
        <x:v>0</x:v>
      </x:c>
      <x:c r="K126" s="66" t="n">
        <x:f>J126*'Assumptions'!B18</x:f>
        <x:v>0</x:v>
      </x:c>
      <x:c r="L126" s="23" t="str">
        <x:v>OPEN</x:v>
      </x:c>
      <x:c r="M126" s="23" t="str">
        <x:v>OPEN</x:v>
      </x:c>
    </x:row>
    <x:row r="127">
      <x:c r="A127" s="23" t="str">
        <x:v>MT-122</x:v>
      </x:c>
      <x:c r="B127" s="23" t="str">
        <x:v>B-R1-PE3</x:v>
      </x:c>
      <x:c r="C127" s="23" t="str">
        <x:v>SURVIVOR-B</x:v>
      </x:c>
      <x:c r="D127" s="23" t="str">
        <x:v>ROOT-1</x:v>
      </x:c>
      <x:c r="E127" s="38" t="n">
        <x:v>3</x:v>
      </x:c>
      <x:c r="F127" s="23" t="str">
        <x:v>Coordinator-loss case</x:v>
      </x:c>
      <x:c r="G127" s="38" t="n">
        <x:v>12</x:v>
      </x:c>
      <x:c r="H127" s="56" t="n">
        <x:v>0.25</x:v>
      </x:c>
      <x:c r="I127" s="53" t="n">
        <x:f>G127*H127*'Assumptions'!B59</x:f>
        <x:v>5184</x:v>
      </x:c>
      <x:c r="J127" s="38" t="n">
        <x:v>0</x:v>
      </x:c>
      <x:c r="K127" s="66" t="n">
        <x:f>J127*'Assumptions'!B18</x:f>
        <x:v>0</x:v>
      </x:c>
      <x:c r="L127" s="23" t="str">
        <x:v>OPEN</x:v>
      </x:c>
      <x:c r="M127" s="23" t="str">
        <x:v>OPEN</x:v>
      </x:c>
    </x:row>
    <x:row r="128">
      <x:c r="A128" s="23" t="str">
        <x:v>MT-123</x:v>
      </x:c>
      <x:c r="B128" s="23" t="str">
        <x:v>B-R1-PE3</x:v>
      </x:c>
      <x:c r="C128" s="23" t="str">
        <x:v>SURVIVOR-B</x:v>
      </x:c>
      <x:c r="D128" s="23" t="str">
        <x:v>ROOT-1</x:v>
      </x:c>
      <x:c r="E128" s="38" t="n">
        <x:v>3</x:v>
      </x:c>
      <x:c r="F128" s="23" t="str">
        <x:v>Public-rescue concurrency</x:v>
      </x:c>
      <x:c r="G128" s="38" t="n">
        <x:v>12</x:v>
      </x:c>
      <x:c r="H128" s="56" t="n">
        <x:v>0.25</x:v>
      </x:c>
      <x:c r="I128" s="53" t="n">
        <x:f>G128*H128*'Assumptions'!B59</x:f>
        <x:v>5184</x:v>
      </x:c>
      <x:c r="J128" s="38" t="n">
        <x:v>0</x:v>
      </x:c>
      <x:c r="K128" s="66" t="n">
        <x:f>J128*'Assumptions'!B18</x:f>
        <x:v>0</x:v>
      </x:c>
      <x:c r="L128" s="23" t="str">
        <x:v>OPEN</x:v>
      </x:c>
      <x:c r="M128" s="23" t="str">
        <x:v>OPEN</x:v>
      </x:c>
    </x:row>
    <x:row r="129">
      <x:c r="A129" s="23" t="str">
        <x:v>MT-124</x:v>
      </x:c>
      <x:c r="B129" s="23" t="str">
        <x:v>B-R1-PE3</x:v>
      </x:c>
      <x:c r="C129" s="23" t="str">
        <x:v>SURVIVOR-B</x:v>
      </x:c>
      <x:c r="D129" s="23" t="str">
        <x:v>ROOT-1</x:v>
      </x:c>
      <x:c r="E129" s="38" t="n">
        <x:v>3</x:v>
      </x:c>
      <x:c r="F129" s="23" t="str">
        <x:v>Repeated mission A</x:v>
      </x:c>
      <x:c r="G129" s="38" t="n">
        <x:v>72</x:v>
      </x:c>
      <x:c r="H129" s="56" t="n">
        <x:v>0.25</x:v>
      </x:c>
      <x:c r="I129" s="53" t="n">
        <x:f>G129*H129*'Assumptions'!B59</x:f>
        <x:v>31104</x:v>
      </x:c>
      <x:c r="J129" s="38" t="n">
        <x:v>1</x:v>
      </x:c>
      <x:c r="K129" s="66" t="n">
        <x:f>J129*'Assumptions'!B18</x:f>
        <x:v>336</x:v>
      </x:c>
      <x:c r="L129" s="23" t="str">
        <x:v>OPEN</x:v>
      </x:c>
      <x:c r="M129" s="23" t="str">
        <x:v>OPEN</x:v>
      </x:c>
    </x:row>
    <x:row r="130">
      <x:c r="A130" s="23" t="str">
        <x:v>MT-125</x:v>
      </x:c>
      <x:c r="B130" s="23" t="str">
        <x:v>B-R1-PE3</x:v>
      </x:c>
      <x:c r="C130" s="23" t="str">
        <x:v>SURVIVOR-B</x:v>
      </x:c>
      <x:c r="D130" s="23" t="str">
        <x:v>ROOT-1</x:v>
      </x:c>
      <x:c r="E130" s="38" t="n">
        <x:v>3</x:v>
      </x:c>
      <x:c r="F130" s="23" t="str">
        <x:v>Repeated mission B</x:v>
      </x:c>
      <x:c r="G130" s="38" t="n">
        <x:v>72</x:v>
      </x:c>
      <x:c r="H130" s="56" t="n">
        <x:v>0.25</x:v>
      </x:c>
      <x:c r="I130" s="53" t="n">
        <x:f>G130*H130*'Assumptions'!B59</x:f>
        <x:v>31104</x:v>
      </x:c>
      <x:c r="J130" s="38" t="n">
        <x:v>1</x:v>
      </x:c>
      <x:c r="K130" s="66" t="n">
        <x:f>J130*'Assumptions'!B18</x:f>
        <x:v>336</x:v>
      </x:c>
      <x:c r="L130" s="23" t="str">
        <x:v>OPEN</x:v>
      </x:c>
      <x:c r="M130" s="23" t="str">
        <x:v>OPEN</x:v>
      </x:c>
    </x:row>
    <x:row r="131">
      <x:c r="A131" s="23" t="str">
        <x:v>MT-126</x:v>
      </x:c>
      <x:c r="B131" s="23" t="str">
        <x:v>B-R1-PE3</x:v>
      </x:c>
      <x:c r="C131" s="23" t="str">
        <x:v>SURVIVOR-B</x:v>
      </x:c>
      <x:c r="D131" s="23" t="str">
        <x:v>ROOT-1</x:v>
      </x:c>
      <x:c r="E131" s="38" t="n">
        <x:v>3</x:v>
      </x:c>
      <x:c r="F131" s="23" t="str">
        <x:v>Repeated mission C</x:v>
      </x:c>
      <x:c r="G131" s="38" t="n">
        <x:v>72</x:v>
      </x:c>
      <x:c r="H131" s="56" t="n">
        <x:v>0.25</x:v>
      </x:c>
      <x:c r="I131" s="53" t="n">
        <x:f>G131*H131*'Assumptions'!B59</x:f>
        <x:v>31104</x:v>
      </x:c>
      <x:c r="J131" s="38" t="n">
        <x:v>1</x:v>
      </x:c>
      <x:c r="K131" s="66" t="n">
        <x:f>J131*'Assumptions'!B18</x:f>
        <x:v>336</x:v>
      </x:c>
      <x:c r="L131" s="23" t="str">
        <x:v>OPEN</x:v>
      </x:c>
      <x:c r="M131" s="23" t="str">
        <x:v>OPEN</x:v>
      </x:c>
    </x:row>
    <x:row r="132">
      <x:c r="A132" s="23" t="str">
        <x:v>MT-127</x:v>
      </x:c>
      <x:c r="B132" s="23" t="str">
        <x:v>B-R2-PE1</x:v>
      </x:c>
      <x:c r="C132" s="23" t="str">
        <x:v>SURVIVOR-B</x:v>
      </x:c>
      <x:c r="D132" s="23" t="str">
        <x:v>ROOT-2</x:v>
      </x:c>
      <x:c r="E132" s="38" t="n">
        <x:v>1</x:v>
      </x:c>
      <x:c r="F132" s="23" t="str">
        <x:v>Commissioning</x:v>
      </x:c>
      <x:c r="G132" s="38" t="n">
        <x:v>12</x:v>
      </x:c>
      <x:c r="H132" s="56" t="n">
        <x:v>0.25</x:v>
      </x:c>
      <x:c r="I132" s="53" t="n">
        <x:f>G132*H132*'Assumptions'!B59</x:f>
        <x:v>5184</x:v>
      </x:c>
      <x:c r="J132" s="38" t="n">
        <x:v>0</x:v>
      </x:c>
      <x:c r="K132" s="66" t="n">
        <x:f>J132*'Assumptions'!B18</x:f>
        <x:v>0</x:v>
      </x:c>
      <x:c r="L132" s="23" t="str">
        <x:v>OPEN</x:v>
      </x:c>
      <x:c r="M132" s="23" t="str">
        <x:v>OPEN</x:v>
      </x:c>
    </x:row>
    <x:row r="133">
      <x:c r="A133" s="23" t="str">
        <x:v>MT-128</x:v>
      </x:c>
      <x:c r="B133" s="23" t="str">
        <x:v>B-R2-PE1</x:v>
      </x:c>
      <x:c r="C133" s="23" t="str">
        <x:v>SURVIVOR-B</x:v>
      </x:c>
      <x:c r="D133" s="23" t="str">
        <x:v>ROOT-2</x:v>
      </x:c>
      <x:c r="E133" s="38" t="n">
        <x:v>1</x:v>
      </x:c>
      <x:c r="F133" s="23" t="str">
        <x:v>Regional deployment</x:v>
      </x:c>
      <x:c r="G133" s="38" t="n">
        <x:v>18</x:v>
      </x:c>
      <x:c r="H133" s="56" t="n">
        <x:v>0.25</x:v>
      </x:c>
      <x:c r="I133" s="53" t="n">
        <x:f>G133*H133*'Assumptions'!B59</x:f>
        <x:v>7776</x:v>
      </x:c>
      <x:c r="J133" s="38" t="n">
        <x:v>0</x:v>
      </x:c>
      <x:c r="K133" s="66" t="n">
        <x:f>J133*'Assumptions'!B18</x:f>
        <x:v>0</x:v>
      </x:c>
      <x:c r="L133" s="23" t="str">
        <x:v>OPEN</x:v>
      </x:c>
      <x:c r="M133" s="23" t="str">
        <x:v>OPEN</x:v>
      </x:c>
    </x:row>
    <x:row r="134">
      <x:c r="A134" s="23" t="str">
        <x:v>MT-129</x:v>
      </x:c>
      <x:c r="B134" s="23" t="str">
        <x:v>B-R2-PE1</x:v>
      </x:c>
      <x:c r="C134" s="23" t="str">
        <x:v>SURVIVOR-B</x:v>
      </x:c>
      <x:c r="D134" s="23" t="str">
        <x:v>ROOT-2</x:v>
      </x:c>
      <x:c r="E134" s="38" t="n">
        <x:v>1</x:v>
      </x:c>
      <x:c r="F134" s="23" t="str">
        <x:v>National deployment</x:v>
      </x:c>
      <x:c r="G134" s="38" t="n">
        <x:v>36</x:v>
      </x:c>
      <x:c r="H134" s="56" t="n">
        <x:v>0.25</x:v>
      </x:c>
      <x:c r="I134" s="53" t="n">
        <x:f>G134*H134*'Assumptions'!B59</x:f>
        <x:v>15552</x:v>
      </x:c>
      <x:c r="J134" s="38" t="n">
        <x:v>0</x:v>
      </x:c>
      <x:c r="K134" s="66" t="n">
        <x:f>J134*'Assumptions'!B18</x:f>
        <x:v>0</x:v>
      </x:c>
      <x:c r="L134" s="23" t="str">
        <x:v>OPEN</x:v>
      </x:c>
      <x:c r="M134" s="23" t="str">
        <x:v>OPEN</x:v>
      </x:c>
    </x:row>
    <x:row r="135">
      <x:c r="A135" s="23" t="str">
        <x:v>MT-130</x:v>
      </x:c>
      <x:c r="B135" s="23" t="str">
        <x:v>B-R2-PE1</x:v>
      </x:c>
      <x:c r="C135" s="23" t="str">
        <x:v>SURVIVOR-B</x:v>
      </x:c>
      <x:c r="D135" s="23" t="str">
        <x:v>ROOT-2</x:v>
      </x:c>
      <x:c r="E135" s="38" t="n">
        <x:v>1</x:v>
      </x:c>
      <x:c r="F135" s="23" t="str">
        <x:v>Freshwater mission</x:v>
      </x:c>
      <x:c r="G135" s="38" t="n">
        <x:v>72</x:v>
      </x:c>
      <x:c r="H135" s="56" t="n">
        <x:v>0.25</x:v>
      </x:c>
      <x:c r="I135" s="53" t="n">
        <x:f>G135*H135*'Assumptions'!B59</x:f>
        <x:v>31104</x:v>
      </x:c>
      <x:c r="J135" s="38" t="n">
        <x:v>1</x:v>
      </x:c>
      <x:c r="K135" s="66" t="n">
        <x:f>J135*'Assumptions'!B18</x:f>
        <x:v>336</x:v>
      </x:c>
      <x:c r="L135" s="23" t="str">
        <x:v>OPEN</x:v>
      </x:c>
      <x:c r="M135" s="23" t="str">
        <x:v>OPEN</x:v>
      </x:c>
    </x:row>
    <x:row r="136">
      <x:c r="A136" s="23" t="str">
        <x:v>MT-131</x:v>
      </x:c>
      <x:c r="B136" s="23" t="str">
        <x:v>B-R2-PE1</x:v>
      </x:c>
      <x:c r="C136" s="23" t="str">
        <x:v>SURVIVOR-B</x:v>
      </x:c>
      <x:c r="D136" s="23" t="str">
        <x:v>ROOT-2</x:v>
      </x:c>
      <x:c r="E136" s="38" t="n">
        <x:v>1</x:v>
      </x:c>
      <x:c r="F136" s="23" t="str">
        <x:v>Saline-water mission</x:v>
      </x:c>
      <x:c r="G136" s="38" t="n">
        <x:v>72</x:v>
      </x:c>
      <x:c r="H136" s="56" t="n">
        <x:v>0.25</x:v>
      </x:c>
      <x:c r="I136" s="53" t="n">
        <x:f>G136*H136*'Assumptions'!B59</x:f>
        <x:v>31104</x:v>
      </x:c>
      <x:c r="J136" s="38" t="n">
        <x:v>1</x:v>
      </x:c>
      <x:c r="K136" s="66" t="n">
        <x:f>J136*'Assumptions'!B18</x:f>
        <x:v>336</x:v>
      </x:c>
      <x:c r="L136" s="23" t="str">
        <x:v>OPEN</x:v>
      </x:c>
      <x:c r="M136" s="23" t="str">
        <x:v>OPEN</x:v>
      </x:c>
    </x:row>
    <x:row r="137">
      <x:c r="A137" s="23" t="str">
        <x:v>MT-132</x:v>
      </x:c>
      <x:c r="B137" s="23" t="str">
        <x:v>B-R2-PE1</x:v>
      </x:c>
      <x:c r="C137" s="23" t="str">
        <x:v>SURVIVOR-B</x:v>
      </x:c>
      <x:c r="D137" s="23" t="str">
        <x:v>ROOT-2</x:v>
      </x:c>
      <x:c r="E137" s="38" t="n">
        <x:v>1</x:v>
      </x:c>
      <x:c r="F137" s="23" t="str">
        <x:v>Sediment-laden mission</x:v>
      </x:c>
      <x:c r="G137" s="38" t="n">
        <x:v>72</x:v>
      </x:c>
      <x:c r="H137" s="56" t="n">
        <x:v>0.25</x:v>
      </x:c>
      <x:c r="I137" s="53" t="n">
        <x:f>G137*H137*'Assumptions'!B59</x:f>
        <x:v>31104</x:v>
      </x:c>
      <x:c r="J137" s="38" t="n">
        <x:v>1</x:v>
      </x:c>
      <x:c r="K137" s="66" t="n">
        <x:f>J137*'Assumptions'!B18</x:f>
        <x:v>336</x:v>
      </x:c>
      <x:c r="L137" s="23" t="str">
        <x:v>OPEN</x:v>
      </x:c>
      <x:c r="M137" s="23" t="str">
        <x:v>OPEN</x:v>
      </x:c>
    </x:row>
    <x:row r="138">
      <x:c r="A138" s="23" t="str">
        <x:v>MT-133</x:v>
      </x:c>
      <x:c r="B138" s="23" t="str">
        <x:v>B-R2-PE1</x:v>
      </x:c>
      <x:c r="C138" s="23" t="str">
        <x:v>SURVIVOR-B</x:v>
      </x:c>
      <x:c r="D138" s="23" t="str">
        <x:v>ROOT-2</x:v>
      </x:c>
      <x:c r="E138" s="38" t="n">
        <x:v>1</x:v>
      </x:c>
      <x:c r="F138" s="23" t="str">
        <x:v>Contaminated-water mission</x:v>
      </x:c>
      <x:c r="G138" s="38" t="n">
        <x:v>72</x:v>
      </x:c>
      <x:c r="H138" s="56" t="n">
        <x:v>0.25</x:v>
      </x:c>
      <x:c r="I138" s="53" t="n">
        <x:f>G138*H138*'Assumptions'!B59</x:f>
        <x:v>31104</x:v>
      </x:c>
      <x:c r="J138" s="38" t="n">
        <x:v>1</x:v>
      </x:c>
      <x:c r="K138" s="66" t="n">
        <x:f>J138*'Assumptions'!B18</x:f>
        <x:v>336</x:v>
      </x:c>
      <x:c r="L138" s="23" t="str">
        <x:v>OPEN</x:v>
      </x:c>
      <x:c r="M138" s="23" t="str">
        <x:v>OPEN</x:v>
      </x:c>
    </x:row>
    <x:row r="139">
      <x:c r="A139" s="23" t="str">
        <x:v>MT-134</x:v>
      </x:c>
      <x:c r="B139" s="23" t="str">
        <x:v>B-R2-PE1</x:v>
      </x:c>
      <x:c r="C139" s="23" t="str">
        <x:v>SURVIVOR-B</x:v>
      </x:c>
      <x:c r="D139" s="23" t="str">
        <x:v>ROOT-2</x:v>
      </x:c>
      <x:c r="E139" s="38" t="n">
        <x:v>1</x:v>
      </x:c>
      <x:c r="F139" s="23" t="str">
        <x:v>One-trunk casualty</x:v>
      </x:c>
      <x:c r="G139" s="38" t="n">
        <x:v>24</x:v>
      </x:c>
      <x:c r="H139" s="56" t="n">
        <x:v>0.25</x:v>
      </x:c>
      <x:c r="I139" s="53" t="n">
        <x:f>G139*H139*'Assumptions'!B59</x:f>
        <x:v>10368</x:v>
      </x:c>
      <x:c r="J139" s="38" t="n">
        <x:v>0</x:v>
      </x:c>
      <x:c r="K139" s="66" t="n">
        <x:f>J139*'Assumptions'!B18</x:f>
        <x:v>0</x:v>
      </x:c>
      <x:c r="L139" s="23" t="str">
        <x:v>OPEN</x:v>
      </x:c>
      <x:c r="M139" s="23" t="str">
        <x:v>OPEN</x:v>
      </x:c>
    </x:row>
    <x:row r="140">
      <x:c r="A140" s="23" t="str">
        <x:v>MT-135</x:v>
      </x:c>
      <x:c r="B140" s="23" t="str">
        <x:v>B-R2-PE1</x:v>
      </x:c>
      <x:c r="C140" s="23" t="str">
        <x:v>SURVIVOR-B</x:v>
      </x:c>
      <x:c r="D140" s="23" t="str">
        <x:v>ROOT-2</x:v>
      </x:c>
      <x:c r="E140" s="38" t="n">
        <x:v>1</x:v>
      </x:c>
      <x:c r="F140" s="23" t="str">
        <x:v>One-energy-island casualty</x:v>
      </x:c>
      <x:c r="G140" s="38" t="n">
        <x:v>24</x:v>
      </x:c>
      <x:c r="H140" s="56" t="n">
        <x:v>0.25</x:v>
      </x:c>
      <x:c r="I140" s="53" t="n">
        <x:f>G140*H140*'Assumptions'!B59</x:f>
        <x:v>10368</x:v>
      </x:c>
      <x:c r="J140" s="38" t="n">
        <x:v>0</x:v>
      </x:c>
      <x:c r="K140" s="66" t="n">
        <x:f>J140*'Assumptions'!B18</x:f>
        <x:v>0</x:v>
      </x:c>
      <x:c r="L140" s="23" t="str">
        <x:v>OPEN</x:v>
      </x:c>
      <x:c r="M140" s="23" t="str">
        <x:v>OPEN</x:v>
      </x:c>
    </x:row>
    <x:row r="141">
      <x:c r="A141" s="23" t="str">
        <x:v>MT-136</x:v>
      </x:c>
      <x:c r="B141" s="23" t="str">
        <x:v>B-R2-PE1</x:v>
      </x:c>
      <x:c r="C141" s="23" t="str">
        <x:v>SURVIVOR-B</x:v>
      </x:c>
      <x:c r="D141" s="23" t="str">
        <x:v>ROOT-2</x:v>
      </x:c>
      <x:c r="E141" s="38" t="n">
        <x:v>1</x:v>
      </x:c>
      <x:c r="F141" s="23" t="str">
        <x:v>Coordinator-loss case</x:v>
      </x:c>
      <x:c r="G141" s="38" t="n">
        <x:v>12</x:v>
      </x:c>
      <x:c r="H141" s="56" t="n">
        <x:v>0.25</x:v>
      </x:c>
      <x:c r="I141" s="53" t="n">
        <x:f>G141*H141*'Assumptions'!B59</x:f>
        <x:v>5184</x:v>
      </x:c>
      <x:c r="J141" s="38" t="n">
        <x:v>0</x:v>
      </x:c>
      <x:c r="K141" s="66" t="n">
        <x:f>J141*'Assumptions'!B18</x:f>
        <x:v>0</x:v>
      </x:c>
      <x:c r="L141" s="23" t="str">
        <x:v>OPEN</x:v>
      </x:c>
      <x:c r="M141" s="23" t="str">
        <x:v>OPEN</x:v>
      </x:c>
    </x:row>
    <x:row r="142">
      <x:c r="A142" s="23" t="str">
        <x:v>MT-137</x:v>
      </x:c>
      <x:c r="B142" s="23" t="str">
        <x:v>B-R2-PE1</x:v>
      </x:c>
      <x:c r="C142" s="23" t="str">
        <x:v>SURVIVOR-B</x:v>
      </x:c>
      <x:c r="D142" s="23" t="str">
        <x:v>ROOT-2</x:v>
      </x:c>
      <x:c r="E142" s="38" t="n">
        <x:v>1</x:v>
      </x:c>
      <x:c r="F142" s="23" t="str">
        <x:v>Public-rescue concurrency</x:v>
      </x:c>
      <x:c r="G142" s="38" t="n">
        <x:v>12</x:v>
      </x:c>
      <x:c r="H142" s="56" t="n">
        <x:v>0.25</x:v>
      </x:c>
      <x:c r="I142" s="53" t="n">
        <x:f>G142*H142*'Assumptions'!B59</x:f>
        <x:v>5184</x:v>
      </x:c>
      <x:c r="J142" s="38" t="n">
        <x:v>0</x:v>
      </x:c>
      <x:c r="K142" s="66" t="n">
        <x:f>J142*'Assumptions'!B18</x:f>
        <x:v>0</x:v>
      </x:c>
      <x:c r="L142" s="23" t="str">
        <x:v>OPEN</x:v>
      </x:c>
      <x:c r="M142" s="23" t="str">
        <x:v>OPEN</x:v>
      </x:c>
    </x:row>
    <x:row r="143">
      <x:c r="A143" s="23" t="str">
        <x:v>MT-138</x:v>
      </x:c>
      <x:c r="B143" s="23" t="str">
        <x:v>B-R2-PE1</x:v>
      </x:c>
      <x:c r="C143" s="23" t="str">
        <x:v>SURVIVOR-B</x:v>
      </x:c>
      <x:c r="D143" s="23" t="str">
        <x:v>ROOT-2</x:v>
      </x:c>
      <x:c r="E143" s="38" t="n">
        <x:v>1</x:v>
      </x:c>
      <x:c r="F143" s="23" t="str">
        <x:v>Repeated mission A</x:v>
      </x:c>
      <x:c r="G143" s="38" t="n">
        <x:v>72</x:v>
      </x:c>
      <x:c r="H143" s="56" t="n">
        <x:v>0.25</x:v>
      </x:c>
      <x:c r="I143" s="53" t="n">
        <x:f>G143*H143*'Assumptions'!B59</x:f>
        <x:v>31104</x:v>
      </x:c>
      <x:c r="J143" s="38" t="n">
        <x:v>1</x:v>
      </x:c>
      <x:c r="K143" s="66" t="n">
        <x:f>J143*'Assumptions'!B18</x:f>
        <x:v>336</x:v>
      </x:c>
      <x:c r="L143" s="23" t="str">
        <x:v>OPEN</x:v>
      </x:c>
      <x:c r="M143" s="23" t="str">
        <x:v>OPEN</x:v>
      </x:c>
    </x:row>
    <x:row r="144">
      <x:c r="A144" s="23" t="str">
        <x:v>MT-139</x:v>
      </x:c>
      <x:c r="B144" s="23" t="str">
        <x:v>B-R2-PE1</x:v>
      </x:c>
      <x:c r="C144" s="23" t="str">
        <x:v>SURVIVOR-B</x:v>
      </x:c>
      <x:c r="D144" s="23" t="str">
        <x:v>ROOT-2</x:v>
      </x:c>
      <x:c r="E144" s="38" t="n">
        <x:v>1</x:v>
      </x:c>
      <x:c r="F144" s="23" t="str">
        <x:v>Repeated mission B</x:v>
      </x:c>
      <x:c r="G144" s="38" t="n">
        <x:v>72</x:v>
      </x:c>
      <x:c r="H144" s="56" t="n">
        <x:v>0.25</x:v>
      </x:c>
      <x:c r="I144" s="53" t="n">
        <x:f>G144*H144*'Assumptions'!B59</x:f>
        <x:v>31104</x:v>
      </x:c>
      <x:c r="J144" s="38" t="n">
        <x:v>1</x:v>
      </x:c>
      <x:c r="K144" s="66" t="n">
        <x:f>J144*'Assumptions'!B18</x:f>
        <x:v>336</x:v>
      </x:c>
      <x:c r="L144" s="23" t="str">
        <x:v>OPEN</x:v>
      </x:c>
      <x:c r="M144" s="23" t="str">
        <x:v>OPEN</x:v>
      </x:c>
    </x:row>
    <x:row r="145">
      <x:c r="A145" s="23" t="str">
        <x:v>MT-140</x:v>
      </x:c>
      <x:c r="B145" s="23" t="str">
        <x:v>B-R2-PE1</x:v>
      </x:c>
      <x:c r="C145" s="23" t="str">
        <x:v>SURVIVOR-B</x:v>
      </x:c>
      <x:c r="D145" s="23" t="str">
        <x:v>ROOT-2</x:v>
      </x:c>
      <x:c r="E145" s="38" t="n">
        <x:v>1</x:v>
      </x:c>
      <x:c r="F145" s="23" t="str">
        <x:v>Repeated mission C</x:v>
      </x:c>
      <x:c r="G145" s="38" t="n">
        <x:v>72</x:v>
      </x:c>
      <x:c r="H145" s="56" t="n">
        <x:v>0.25</x:v>
      </x:c>
      <x:c r="I145" s="53" t="n">
        <x:f>G145*H145*'Assumptions'!B59</x:f>
        <x:v>31104</x:v>
      </x:c>
      <x:c r="J145" s="38" t="n">
        <x:v>1</x:v>
      </x:c>
      <x:c r="K145" s="66" t="n">
        <x:f>J145*'Assumptions'!B18</x:f>
        <x:v>336</x:v>
      </x:c>
      <x:c r="L145" s="23" t="str">
        <x:v>OPEN</x:v>
      </x:c>
      <x:c r="M145" s="23" t="str">
        <x:v>OPEN</x:v>
      </x:c>
    </x:row>
    <x:row r="146">
      <x:c r="A146" s="23" t="str">
        <x:v>MT-141</x:v>
      </x:c>
      <x:c r="B146" s="23" t="str">
        <x:v>B-R2-PE2</x:v>
      </x:c>
      <x:c r="C146" s="23" t="str">
        <x:v>SURVIVOR-B</x:v>
      </x:c>
      <x:c r="D146" s="23" t="str">
        <x:v>ROOT-2</x:v>
      </x:c>
      <x:c r="E146" s="38" t="n">
        <x:v>2</x:v>
      </x:c>
      <x:c r="F146" s="23" t="str">
        <x:v>Commissioning</x:v>
      </x:c>
      <x:c r="G146" s="38" t="n">
        <x:v>12</x:v>
      </x:c>
      <x:c r="H146" s="56" t="n">
        <x:v>0.25</x:v>
      </x:c>
      <x:c r="I146" s="53" t="n">
        <x:f>G146*H146*'Assumptions'!B59</x:f>
        <x:v>5184</x:v>
      </x:c>
      <x:c r="J146" s="38" t="n">
        <x:v>0</x:v>
      </x:c>
      <x:c r="K146" s="66" t="n">
        <x:f>J146*'Assumptions'!B18</x:f>
        <x:v>0</x:v>
      </x:c>
      <x:c r="L146" s="23" t="str">
        <x:v>OPEN</x:v>
      </x:c>
      <x:c r="M146" s="23" t="str">
        <x:v>OPEN</x:v>
      </x:c>
    </x:row>
    <x:row r="147">
      <x:c r="A147" s="23" t="str">
        <x:v>MT-142</x:v>
      </x:c>
      <x:c r="B147" s="23" t="str">
        <x:v>B-R2-PE2</x:v>
      </x:c>
      <x:c r="C147" s="23" t="str">
        <x:v>SURVIVOR-B</x:v>
      </x:c>
      <x:c r="D147" s="23" t="str">
        <x:v>ROOT-2</x:v>
      </x:c>
      <x:c r="E147" s="38" t="n">
        <x:v>2</x:v>
      </x:c>
      <x:c r="F147" s="23" t="str">
        <x:v>Regional deployment</x:v>
      </x:c>
      <x:c r="G147" s="38" t="n">
        <x:v>18</x:v>
      </x:c>
      <x:c r="H147" s="56" t="n">
        <x:v>0.25</x:v>
      </x:c>
      <x:c r="I147" s="53" t="n">
        <x:f>G147*H147*'Assumptions'!B59</x:f>
        <x:v>7776</x:v>
      </x:c>
      <x:c r="J147" s="38" t="n">
        <x:v>0</x:v>
      </x:c>
      <x:c r="K147" s="66" t="n">
        <x:f>J147*'Assumptions'!B18</x:f>
        <x:v>0</x:v>
      </x:c>
      <x:c r="L147" s="23" t="str">
        <x:v>OPEN</x:v>
      </x:c>
      <x:c r="M147" s="23" t="str">
        <x:v>OPEN</x:v>
      </x:c>
    </x:row>
    <x:row r="148">
      <x:c r="A148" s="23" t="str">
        <x:v>MT-143</x:v>
      </x:c>
      <x:c r="B148" s="23" t="str">
        <x:v>B-R2-PE2</x:v>
      </x:c>
      <x:c r="C148" s="23" t="str">
        <x:v>SURVIVOR-B</x:v>
      </x:c>
      <x:c r="D148" s="23" t="str">
        <x:v>ROOT-2</x:v>
      </x:c>
      <x:c r="E148" s="38" t="n">
        <x:v>2</x:v>
      </x:c>
      <x:c r="F148" s="23" t="str">
        <x:v>National deployment</x:v>
      </x:c>
      <x:c r="G148" s="38" t="n">
        <x:v>36</x:v>
      </x:c>
      <x:c r="H148" s="56" t="n">
        <x:v>0.25</x:v>
      </x:c>
      <x:c r="I148" s="53" t="n">
        <x:f>G148*H148*'Assumptions'!B59</x:f>
        <x:v>15552</x:v>
      </x:c>
      <x:c r="J148" s="38" t="n">
        <x:v>0</x:v>
      </x:c>
      <x:c r="K148" s="66" t="n">
        <x:f>J148*'Assumptions'!B18</x:f>
        <x:v>0</x:v>
      </x:c>
      <x:c r="L148" s="23" t="str">
        <x:v>OPEN</x:v>
      </x:c>
      <x:c r="M148" s="23" t="str">
        <x:v>OPEN</x:v>
      </x:c>
    </x:row>
    <x:row r="149">
      <x:c r="A149" s="23" t="str">
        <x:v>MT-144</x:v>
      </x:c>
      <x:c r="B149" s="23" t="str">
        <x:v>B-R2-PE2</x:v>
      </x:c>
      <x:c r="C149" s="23" t="str">
        <x:v>SURVIVOR-B</x:v>
      </x:c>
      <x:c r="D149" s="23" t="str">
        <x:v>ROOT-2</x:v>
      </x:c>
      <x:c r="E149" s="38" t="n">
        <x:v>2</x:v>
      </x:c>
      <x:c r="F149" s="23" t="str">
        <x:v>Freshwater mission</x:v>
      </x:c>
      <x:c r="G149" s="38" t="n">
        <x:v>72</x:v>
      </x:c>
      <x:c r="H149" s="56" t="n">
        <x:v>0.25</x:v>
      </x:c>
      <x:c r="I149" s="53" t="n">
        <x:f>G149*H149*'Assumptions'!B59</x:f>
        <x:v>31104</x:v>
      </x:c>
      <x:c r="J149" s="38" t="n">
        <x:v>1</x:v>
      </x:c>
      <x:c r="K149" s="66" t="n">
        <x:f>J149*'Assumptions'!B18</x:f>
        <x:v>336</x:v>
      </x:c>
      <x:c r="L149" s="23" t="str">
        <x:v>OPEN</x:v>
      </x:c>
      <x:c r="M149" s="23" t="str">
        <x:v>OPEN</x:v>
      </x:c>
    </x:row>
    <x:row r="150">
      <x:c r="A150" s="23" t="str">
        <x:v>MT-145</x:v>
      </x:c>
      <x:c r="B150" s="23" t="str">
        <x:v>B-R2-PE2</x:v>
      </x:c>
      <x:c r="C150" s="23" t="str">
        <x:v>SURVIVOR-B</x:v>
      </x:c>
      <x:c r="D150" s="23" t="str">
        <x:v>ROOT-2</x:v>
      </x:c>
      <x:c r="E150" s="38" t="n">
        <x:v>2</x:v>
      </x:c>
      <x:c r="F150" s="23" t="str">
        <x:v>Saline-water mission</x:v>
      </x:c>
      <x:c r="G150" s="38" t="n">
        <x:v>72</x:v>
      </x:c>
      <x:c r="H150" s="56" t="n">
        <x:v>0.25</x:v>
      </x:c>
      <x:c r="I150" s="53" t="n">
        <x:f>G150*H150*'Assumptions'!B59</x:f>
        <x:v>31104</x:v>
      </x:c>
      <x:c r="J150" s="38" t="n">
        <x:v>1</x:v>
      </x:c>
      <x:c r="K150" s="66" t="n">
        <x:f>J150*'Assumptions'!B18</x:f>
        <x:v>336</x:v>
      </x:c>
      <x:c r="L150" s="23" t="str">
        <x:v>OPEN</x:v>
      </x:c>
      <x:c r="M150" s="23" t="str">
        <x:v>OPEN</x:v>
      </x:c>
    </x:row>
    <x:row r="151">
      <x:c r="A151" s="23" t="str">
        <x:v>MT-146</x:v>
      </x:c>
      <x:c r="B151" s="23" t="str">
        <x:v>B-R2-PE2</x:v>
      </x:c>
      <x:c r="C151" s="23" t="str">
        <x:v>SURVIVOR-B</x:v>
      </x:c>
      <x:c r="D151" s="23" t="str">
        <x:v>ROOT-2</x:v>
      </x:c>
      <x:c r="E151" s="38" t="n">
        <x:v>2</x:v>
      </x:c>
      <x:c r="F151" s="23" t="str">
        <x:v>Sediment-laden mission</x:v>
      </x:c>
      <x:c r="G151" s="38" t="n">
        <x:v>72</x:v>
      </x:c>
      <x:c r="H151" s="56" t="n">
        <x:v>0.25</x:v>
      </x:c>
      <x:c r="I151" s="53" t="n">
        <x:f>G151*H151*'Assumptions'!B59</x:f>
        <x:v>31104</x:v>
      </x:c>
      <x:c r="J151" s="38" t="n">
        <x:v>1</x:v>
      </x:c>
      <x:c r="K151" s="66" t="n">
        <x:f>J151*'Assumptions'!B18</x:f>
        <x:v>336</x:v>
      </x:c>
      <x:c r="L151" s="23" t="str">
        <x:v>OPEN</x:v>
      </x:c>
      <x:c r="M151" s="23" t="str">
        <x:v>OPEN</x:v>
      </x:c>
    </x:row>
    <x:row r="152">
      <x:c r="A152" s="23" t="str">
        <x:v>MT-147</x:v>
      </x:c>
      <x:c r="B152" s="23" t="str">
        <x:v>B-R2-PE2</x:v>
      </x:c>
      <x:c r="C152" s="23" t="str">
        <x:v>SURVIVOR-B</x:v>
      </x:c>
      <x:c r="D152" s="23" t="str">
        <x:v>ROOT-2</x:v>
      </x:c>
      <x:c r="E152" s="38" t="n">
        <x:v>2</x:v>
      </x:c>
      <x:c r="F152" s="23" t="str">
        <x:v>Contaminated-water mission</x:v>
      </x:c>
      <x:c r="G152" s="38" t="n">
        <x:v>72</x:v>
      </x:c>
      <x:c r="H152" s="56" t="n">
        <x:v>0.25</x:v>
      </x:c>
      <x:c r="I152" s="53" t="n">
        <x:f>G152*H152*'Assumptions'!B59</x:f>
        <x:v>31104</x:v>
      </x:c>
      <x:c r="J152" s="38" t="n">
        <x:v>1</x:v>
      </x:c>
      <x:c r="K152" s="66" t="n">
        <x:f>J152*'Assumptions'!B18</x:f>
        <x:v>336</x:v>
      </x:c>
      <x:c r="L152" s="23" t="str">
        <x:v>OPEN</x:v>
      </x:c>
      <x:c r="M152" s="23" t="str">
        <x:v>OPEN</x:v>
      </x:c>
    </x:row>
    <x:row r="153">
      <x:c r="A153" s="23" t="str">
        <x:v>MT-148</x:v>
      </x:c>
      <x:c r="B153" s="23" t="str">
        <x:v>B-R2-PE2</x:v>
      </x:c>
      <x:c r="C153" s="23" t="str">
        <x:v>SURVIVOR-B</x:v>
      </x:c>
      <x:c r="D153" s="23" t="str">
        <x:v>ROOT-2</x:v>
      </x:c>
      <x:c r="E153" s="38" t="n">
        <x:v>2</x:v>
      </x:c>
      <x:c r="F153" s="23" t="str">
        <x:v>One-trunk casualty</x:v>
      </x:c>
      <x:c r="G153" s="38" t="n">
        <x:v>24</x:v>
      </x:c>
      <x:c r="H153" s="56" t="n">
        <x:v>0.25</x:v>
      </x:c>
      <x:c r="I153" s="53" t="n">
        <x:f>G153*H153*'Assumptions'!B59</x:f>
        <x:v>10368</x:v>
      </x:c>
      <x:c r="J153" s="38" t="n">
        <x:v>0</x:v>
      </x:c>
      <x:c r="K153" s="66" t="n">
        <x:f>J153*'Assumptions'!B18</x:f>
        <x:v>0</x:v>
      </x:c>
      <x:c r="L153" s="23" t="str">
        <x:v>OPEN</x:v>
      </x:c>
      <x:c r="M153" s="23" t="str">
        <x:v>OPEN</x:v>
      </x:c>
    </x:row>
    <x:row r="154">
      <x:c r="A154" s="23" t="str">
        <x:v>MT-149</x:v>
      </x:c>
      <x:c r="B154" s="23" t="str">
        <x:v>B-R2-PE2</x:v>
      </x:c>
      <x:c r="C154" s="23" t="str">
        <x:v>SURVIVOR-B</x:v>
      </x:c>
      <x:c r="D154" s="23" t="str">
        <x:v>ROOT-2</x:v>
      </x:c>
      <x:c r="E154" s="38" t="n">
        <x:v>2</x:v>
      </x:c>
      <x:c r="F154" s="23" t="str">
        <x:v>One-energy-island casualty</x:v>
      </x:c>
      <x:c r="G154" s="38" t="n">
        <x:v>24</x:v>
      </x:c>
      <x:c r="H154" s="56" t="n">
        <x:v>0.25</x:v>
      </x:c>
      <x:c r="I154" s="53" t="n">
        <x:f>G154*H154*'Assumptions'!B59</x:f>
        <x:v>10368</x:v>
      </x:c>
      <x:c r="J154" s="38" t="n">
        <x:v>0</x:v>
      </x:c>
      <x:c r="K154" s="66" t="n">
        <x:f>J154*'Assumptions'!B18</x:f>
        <x:v>0</x:v>
      </x:c>
      <x:c r="L154" s="23" t="str">
        <x:v>OPEN</x:v>
      </x:c>
      <x:c r="M154" s="23" t="str">
        <x:v>OPEN</x:v>
      </x:c>
    </x:row>
    <x:row r="155">
      <x:c r="A155" s="23" t="str">
        <x:v>MT-150</x:v>
      </x:c>
      <x:c r="B155" s="23" t="str">
        <x:v>B-R2-PE2</x:v>
      </x:c>
      <x:c r="C155" s="23" t="str">
        <x:v>SURVIVOR-B</x:v>
      </x:c>
      <x:c r="D155" s="23" t="str">
        <x:v>ROOT-2</x:v>
      </x:c>
      <x:c r="E155" s="38" t="n">
        <x:v>2</x:v>
      </x:c>
      <x:c r="F155" s="23" t="str">
        <x:v>Coordinator-loss case</x:v>
      </x:c>
      <x:c r="G155" s="38" t="n">
        <x:v>12</x:v>
      </x:c>
      <x:c r="H155" s="56" t="n">
        <x:v>0.25</x:v>
      </x:c>
      <x:c r="I155" s="53" t="n">
        <x:f>G155*H155*'Assumptions'!B59</x:f>
        <x:v>5184</x:v>
      </x:c>
      <x:c r="J155" s="38" t="n">
        <x:v>0</x:v>
      </x:c>
      <x:c r="K155" s="66" t="n">
        <x:f>J155*'Assumptions'!B18</x:f>
        <x:v>0</x:v>
      </x:c>
      <x:c r="L155" s="23" t="str">
        <x:v>OPEN</x:v>
      </x:c>
      <x:c r="M155" s="23" t="str">
        <x:v>OPEN</x:v>
      </x:c>
    </x:row>
    <x:row r="156">
      <x:c r="A156" s="23" t="str">
        <x:v>MT-151</x:v>
      </x:c>
      <x:c r="B156" s="23" t="str">
        <x:v>B-R2-PE2</x:v>
      </x:c>
      <x:c r="C156" s="23" t="str">
        <x:v>SURVIVOR-B</x:v>
      </x:c>
      <x:c r="D156" s="23" t="str">
        <x:v>ROOT-2</x:v>
      </x:c>
      <x:c r="E156" s="38" t="n">
        <x:v>2</x:v>
      </x:c>
      <x:c r="F156" s="23" t="str">
        <x:v>Public-rescue concurrency</x:v>
      </x:c>
      <x:c r="G156" s="38" t="n">
        <x:v>12</x:v>
      </x:c>
      <x:c r="H156" s="56" t="n">
        <x:v>0.25</x:v>
      </x:c>
      <x:c r="I156" s="53" t="n">
        <x:f>G156*H156*'Assumptions'!B59</x:f>
        <x:v>5184</x:v>
      </x:c>
      <x:c r="J156" s="38" t="n">
        <x:v>0</x:v>
      </x:c>
      <x:c r="K156" s="66" t="n">
        <x:f>J156*'Assumptions'!B18</x:f>
        <x:v>0</x:v>
      </x:c>
      <x:c r="L156" s="23" t="str">
        <x:v>OPEN</x:v>
      </x:c>
      <x:c r="M156" s="23" t="str">
        <x:v>OPEN</x:v>
      </x:c>
    </x:row>
    <x:row r="157">
      <x:c r="A157" s="23" t="str">
        <x:v>MT-152</x:v>
      </x:c>
      <x:c r="B157" s="23" t="str">
        <x:v>B-R2-PE2</x:v>
      </x:c>
      <x:c r="C157" s="23" t="str">
        <x:v>SURVIVOR-B</x:v>
      </x:c>
      <x:c r="D157" s="23" t="str">
        <x:v>ROOT-2</x:v>
      </x:c>
      <x:c r="E157" s="38" t="n">
        <x:v>2</x:v>
      </x:c>
      <x:c r="F157" s="23" t="str">
        <x:v>Repeated mission A</x:v>
      </x:c>
      <x:c r="G157" s="38" t="n">
        <x:v>72</x:v>
      </x:c>
      <x:c r="H157" s="56" t="n">
        <x:v>0.25</x:v>
      </x:c>
      <x:c r="I157" s="53" t="n">
        <x:f>G157*H157*'Assumptions'!B59</x:f>
        <x:v>31104</x:v>
      </x:c>
      <x:c r="J157" s="38" t="n">
        <x:v>1</x:v>
      </x:c>
      <x:c r="K157" s="66" t="n">
        <x:f>J157*'Assumptions'!B18</x:f>
        <x:v>336</x:v>
      </x:c>
      <x:c r="L157" s="23" t="str">
        <x:v>OPEN</x:v>
      </x:c>
      <x:c r="M157" s="23" t="str">
        <x:v>OPEN</x:v>
      </x:c>
    </x:row>
    <x:row r="158">
      <x:c r="A158" s="23" t="str">
        <x:v>MT-153</x:v>
      </x:c>
      <x:c r="B158" s="23" t="str">
        <x:v>B-R2-PE2</x:v>
      </x:c>
      <x:c r="C158" s="23" t="str">
        <x:v>SURVIVOR-B</x:v>
      </x:c>
      <x:c r="D158" s="23" t="str">
        <x:v>ROOT-2</x:v>
      </x:c>
      <x:c r="E158" s="38" t="n">
        <x:v>2</x:v>
      </x:c>
      <x:c r="F158" s="23" t="str">
        <x:v>Repeated mission B</x:v>
      </x:c>
      <x:c r="G158" s="38" t="n">
        <x:v>72</x:v>
      </x:c>
      <x:c r="H158" s="56" t="n">
        <x:v>0.25</x:v>
      </x:c>
      <x:c r="I158" s="53" t="n">
        <x:f>G158*H158*'Assumptions'!B59</x:f>
        <x:v>31104</x:v>
      </x:c>
      <x:c r="J158" s="38" t="n">
        <x:v>1</x:v>
      </x:c>
      <x:c r="K158" s="66" t="n">
        <x:f>J158*'Assumptions'!B18</x:f>
        <x:v>336</x:v>
      </x:c>
      <x:c r="L158" s="23" t="str">
        <x:v>OPEN</x:v>
      </x:c>
      <x:c r="M158" s="23" t="str">
        <x:v>OPEN</x:v>
      </x:c>
    </x:row>
    <x:row r="159">
      <x:c r="A159" s="23" t="str">
        <x:v>MT-154</x:v>
      </x:c>
      <x:c r="B159" s="23" t="str">
        <x:v>B-R2-PE2</x:v>
      </x:c>
      <x:c r="C159" s="23" t="str">
        <x:v>SURVIVOR-B</x:v>
      </x:c>
      <x:c r="D159" s="23" t="str">
        <x:v>ROOT-2</x:v>
      </x:c>
      <x:c r="E159" s="38" t="n">
        <x:v>2</x:v>
      </x:c>
      <x:c r="F159" s="23" t="str">
        <x:v>Repeated mission C</x:v>
      </x:c>
      <x:c r="G159" s="38" t="n">
        <x:v>72</x:v>
      </x:c>
      <x:c r="H159" s="56" t="n">
        <x:v>0.25</x:v>
      </x:c>
      <x:c r="I159" s="53" t="n">
        <x:f>G159*H159*'Assumptions'!B59</x:f>
        <x:v>31104</x:v>
      </x:c>
      <x:c r="J159" s="38" t="n">
        <x:v>1</x:v>
      </x:c>
      <x:c r="K159" s="66" t="n">
        <x:f>J159*'Assumptions'!B18</x:f>
        <x:v>336</x:v>
      </x:c>
      <x:c r="L159" s="23" t="str">
        <x:v>OPEN</x:v>
      </x:c>
      <x:c r="M159" s="23" t="str">
        <x:v>OPEN</x:v>
      </x:c>
    </x:row>
    <x:row r="160">
      <x:c r="A160" s="23" t="str">
        <x:v>MT-155</x:v>
      </x:c>
      <x:c r="B160" s="23" t="str">
        <x:v>B-R2-PE3</x:v>
      </x:c>
      <x:c r="C160" s="23" t="str">
        <x:v>SURVIVOR-B</x:v>
      </x:c>
      <x:c r="D160" s="23" t="str">
        <x:v>ROOT-2</x:v>
      </x:c>
      <x:c r="E160" s="38" t="n">
        <x:v>3</x:v>
      </x:c>
      <x:c r="F160" s="23" t="str">
        <x:v>Commissioning</x:v>
      </x:c>
      <x:c r="G160" s="38" t="n">
        <x:v>12</x:v>
      </x:c>
      <x:c r="H160" s="56" t="n">
        <x:v>0.25</x:v>
      </x:c>
      <x:c r="I160" s="53" t="n">
        <x:f>G160*H160*'Assumptions'!B59</x:f>
        <x:v>5184</x:v>
      </x:c>
      <x:c r="J160" s="38" t="n">
        <x:v>0</x:v>
      </x:c>
      <x:c r="K160" s="66" t="n">
        <x:f>J160*'Assumptions'!B18</x:f>
        <x:v>0</x:v>
      </x:c>
      <x:c r="L160" s="23" t="str">
        <x:v>OPEN</x:v>
      </x:c>
      <x:c r="M160" s="23" t="str">
        <x:v>OPEN</x:v>
      </x:c>
    </x:row>
    <x:row r="161">
      <x:c r="A161" s="23" t="str">
        <x:v>MT-156</x:v>
      </x:c>
      <x:c r="B161" s="23" t="str">
        <x:v>B-R2-PE3</x:v>
      </x:c>
      <x:c r="C161" s="23" t="str">
        <x:v>SURVIVOR-B</x:v>
      </x:c>
      <x:c r="D161" s="23" t="str">
        <x:v>ROOT-2</x:v>
      </x:c>
      <x:c r="E161" s="38" t="n">
        <x:v>3</x:v>
      </x:c>
      <x:c r="F161" s="23" t="str">
        <x:v>Regional deployment</x:v>
      </x:c>
      <x:c r="G161" s="38" t="n">
        <x:v>18</x:v>
      </x:c>
      <x:c r="H161" s="56" t="n">
        <x:v>0.25</x:v>
      </x:c>
      <x:c r="I161" s="53" t="n">
        <x:f>G161*H161*'Assumptions'!B59</x:f>
        <x:v>7776</x:v>
      </x:c>
      <x:c r="J161" s="38" t="n">
        <x:v>0</x:v>
      </x:c>
      <x:c r="K161" s="66" t="n">
        <x:f>J161*'Assumptions'!B18</x:f>
        <x:v>0</x:v>
      </x:c>
      <x:c r="L161" s="23" t="str">
        <x:v>OPEN</x:v>
      </x:c>
      <x:c r="M161" s="23" t="str">
        <x:v>OPEN</x:v>
      </x:c>
    </x:row>
    <x:row r="162">
      <x:c r="A162" s="23" t="str">
        <x:v>MT-157</x:v>
      </x:c>
      <x:c r="B162" s="23" t="str">
        <x:v>B-R2-PE3</x:v>
      </x:c>
      <x:c r="C162" s="23" t="str">
        <x:v>SURVIVOR-B</x:v>
      </x:c>
      <x:c r="D162" s="23" t="str">
        <x:v>ROOT-2</x:v>
      </x:c>
      <x:c r="E162" s="38" t="n">
        <x:v>3</x:v>
      </x:c>
      <x:c r="F162" s="23" t="str">
        <x:v>National deployment</x:v>
      </x:c>
      <x:c r="G162" s="38" t="n">
        <x:v>36</x:v>
      </x:c>
      <x:c r="H162" s="56" t="n">
        <x:v>0.25</x:v>
      </x:c>
      <x:c r="I162" s="53" t="n">
        <x:f>G162*H162*'Assumptions'!B59</x:f>
        <x:v>15552</x:v>
      </x:c>
      <x:c r="J162" s="38" t="n">
        <x:v>0</x:v>
      </x:c>
      <x:c r="K162" s="66" t="n">
        <x:f>J162*'Assumptions'!B18</x:f>
        <x:v>0</x:v>
      </x:c>
      <x:c r="L162" s="23" t="str">
        <x:v>OPEN</x:v>
      </x:c>
      <x:c r="M162" s="23" t="str">
        <x:v>OPEN</x:v>
      </x:c>
    </x:row>
    <x:row r="163">
      <x:c r="A163" s="23" t="str">
        <x:v>MT-158</x:v>
      </x:c>
      <x:c r="B163" s="23" t="str">
        <x:v>B-R2-PE3</x:v>
      </x:c>
      <x:c r="C163" s="23" t="str">
        <x:v>SURVIVOR-B</x:v>
      </x:c>
      <x:c r="D163" s="23" t="str">
        <x:v>ROOT-2</x:v>
      </x:c>
      <x:c r="E163" s="38" t="n">
        <x:v>3</x:v>
      </x:c>
      <x:c r="F163" s="23" t="str">
        <x:v>Freshwater mission</x:v>
      </x:c>
      <x:c r="G163" s="38" t="n">
        <x:v>72</x:v>
      </x:c>
      <x:c r="H163" s="56" t="n">
        <x:v>0.25</x:v>
      </x:c>
      <x:c r="I163" s="53" t="n">
        <x:f>G163*H163*'Assumptions'!B59</x:f>
        <x:v>31104</x:v>
      </x:c>
      <x:c r="J163" s="38" t="n">
        <x:v>1</x:v>
      </x:c>
      <x:c r="K163" s="66" t="n">
        <x:f>J163*'Assumptions'!B18</x:f>
        <x:v>336</x:v>
      </x:c>
      <x:c r="L163" s="23" t="str">
        <x:v>OPEN</x:v>
      </x:c>
      <x:c r="M163" s="23" t="str">
        <x:v>OPEN</x:v>
      </x:c>
    </x:row>
    <x:row r="164">
      <x:c r="A164" s="23" t="str">
        <x:v>MT-159</x:v>
      </x:c>
      <x:c r="B164" s="23" t="str">
        <x:v>B-R2-PE3</x:v>
      </x:c>
      <x:c r="C164" s="23" t="str">
        <x:v>SURVIVOR-B</x:v>
      </x:c>
      <x:c r="D164" s="23" t="str">
        <x:v>ROOT-2</x:v>
      </x:c>
      <x:c r="E164" s="38" t="n">
        <x:v>3</x:v>
      </x:c>
      <x:c r="F164" s="23" t="str">
        <x:v>Saline-water mission</x:v>
      </x:c>
      <x:c r="G164" s="38" t="n">
        <x:v>72</x:v>
      </x:c>
      <x:c r="H164" s="56" t="n">
        <x:v>0.25</x:v>
      </x:c>
      <x:c r="I164" s="53" t="n">
        <x:f>G164*H164*'Assumptions'!B59</x:f>
        <x:v>31104</x:v>
      </x:c>
      <x:c r="J164" s="38" t="n">
        <x:v>1</x:v>
      </x:c>
      <x:c r="K164" s="66" t="n">
        <x:f>J164*'Assumptions'!B18</x:f>
        <x:v>336</x:v>
      </x:c>
      <x:c r="L164" s="23" t="str">
        <x:v>OPEN</x:v>
      </x:c>
      <x:c r="M164" s="23" t="str">
        <x:v>OPEN</x:v>
      </x:c>
    </x:row>
    <x:row r="165">
      <x:c r="A165" s="23" t="str">
        <x:v>MT-160</x:v>
      </x:c>
      <x:c r="B165" s="23" t="str">
        <x:v>B-R2-PE3</x:v>
      </x:c>
      <x:c r="C165" s="23" t="str">
        <x:v>SURVIVOR-B</x:v>
      </x:c>
      <x:c r="D165" s="23" t="str">
        <x:v>ROOT-2</x:v>
      </x:c>
      <x:c r="E165" s="38" t="n">
        <x:v>3</x:v>
      </x:c>
      <x:c r="F165" s="23" t="str">
        <x:v>Sediment-laden mission</x:v>
      </x:c>
      <x:c r="G165" s="38" t="n">
        <x:v>72</x:v>
      </x:c>
      <x:c r="H165" s="56" t="n">
        <x:v>0.25</x:v>
      </x:c>
      <x:c r="I165" s="53" t="n">
        <x:f>G165*H165*'Assumptions'!B59</x:f>
        <x:v>31104</x:v>
      </x:c>
      <x:c r="J165" s="38" t="n">
        <x:v>1</x:v>
      </x:c>
      <x:c r="K165" s="66" t="n">
        <x:f>J165*'Assumptions'!B18</x:f>
        <x:v>336</x:v>
      </x:c>
      <x:c r="L165" s="23" t="str">
        <x:v>OPEN</x:v>
      </x:c>
      <x:c r="M165" s="23" t="str">
        <x:v>OPEN</x:v>
      </x:c>
    </x:row>
    <x:row r="166">
      <x:c r="A166" s="23" t="str">
        <x:v>MT-161</x:v>
      </x:c>
      <x:c r="B166" s="23" t="str">
        <x:v>B-R2-PE3</x:v>
      </x:c>
      <x:c r="C166" s="23" t="str">
        <x:v>SURVIVOR-B</x:v>
      </x:c>
      <x:c r="D166" s="23" t="str">
        <x:v>ROOT-2</x:v>
      </x:c>
      <x:c r="E166" s="38" t="n">
        <x:v>3</x:v>
      </x:c>
      <x:c r="F166" s="23" t="str">
        <x:v>Contaminated-water mission</x:v>
      </x:c>
      <x:c r="G166" s="38" t="n">
        <x:v>72</x:v>
      </x:c>
      <x:c r="H166" s="56" t="n">
        <x:v>0.25</x:v>
      </x:c>
      <x:c r="I166" s="53" t="n">
        <x:f>G166*H166*'Assumptions'!B59</x:f>
        <x:v>31104</x:v>
      </x:c>
      <x:c r="J166" s="38" t="n">
        <x:v>1</x:v>
      </x:c>
      <x:c r="K166" s="66" t="n">
        <x:f>J166*'Assumptions'!B18</x:f>
        <x:v>336</x:v>
      </x:c>
      <x:c r="L166" s="23" t="str">
        <x:v>OPEN</x:v>
      </x:c>
      <x:c r="M166" s="23" t="str">
        <x:v>OPEN</x:v>
      </x:c>
    </x:row>
    <x:row r="167">
      <x:c r="A167" s="23" t="str">
        <x:v>MT-162</x:v>
      </x:c>
      <x:c r="B167" s="23" t="str">
        <x:v>B-R2-PE3</x:v>
      </x:c>
      <x:c r="C167" s="23" t="str">
        <x:v>SURVIVOR-B</x:v>
      </x:c>
      <x:c r="D167" s="23" t="str">
        <x:v>ROOT-2</x:v>
      </x:c>
      <x:c r="E167" s="38" t="n">
        <x:v>3</x:v>
      </x:c>
      <x:c r="F167" s="23" t="str">
        <x:v>One-trunk casualty</x:v>
      </x:c>
      <x:c r="G167" s="38" t="n">
        <x:v>24</x:v>
      </x:c>
      <x:c r="H167" s="56" t="n">
        <x:v>0.25</x:v>
      </x:c>
      <x:c r="I167" s="53" t="n">
        <x:f>G167*H167*'Assumptions'!B59</x:f>
        <x:v>10368</x:v>
      </x:c>
      <x:c r="J167" s="38" t="n">
        <x:v>0</x:v>
      </x:c>
      <x:c r="K167" s="66" t="n">
        <x:f>J167*'Assumptions'!B18</x:f>
        <x:v>0</x:v>
      </x:c>
      <x:c r="L167" s="23" t="str">
        <x:v>OPEN</x:v>
      </x:c>
      <x:c r="M167" s="23" t="str">
        <x:v>OPEN</x:v>
      </x:c>
    </x:row>
    <x:row r="168">
      <x:c r="A168" s="23" t="str">
        <x:v>MT-163</x:v>
      </x:c>
      <x:c r="B168" s="23" t="str">
        <x:v>B-R2-PE3</x:v>
      </x:c>
      <x:c r="C168" s="23" t="str">
        <x:v>SURVIVOR-B</x:v>
      </x:c>
      <x:c r="D168" s="23" t="str">
        <x:v>ROOT-2</x:v>
      </x:c>
      <x:c r="E168" s="38" t="n">
        <x:v>3</x:v>
      </x:c>
      <x:c r="F168" s="23" t="str">
        <x:v>One-energy-island casualty</x:v>
      </x:c>
      <x:c r="G168" s="38" t="n">
        <x:v>24</x:v>
      </x:c>
      <x:c r="H168" s="56" t="n">
        <x:v>0.25</x:v>
      </x:c>
      <x:c r="I168" s="53" t="n">
        <x:f>G168*H168*'Assumptions'!B59</x:f>
        <x:v>10368</x:v>
      </x:c>
      <x:c r="J168" s="38" t="n">
        <x:v>0</x:v>
      </x:c>
      <x:c r="K168" s="66" t="n">
        <x:f>J168*'Assumptions'!B18</x:f>
        <x:v>0</x:v>
      </x:c>
      <x:c r="L168" s="23" t="str">
        <x:v>OPEN</x:v>
      </x:c>
      <x:c r="M168" s="23" t="str">
        <x:v>OPEN</x:v>
      </x:c>
    </x:row>
    <x:row r="169">
      <x:c r="A169" s="23" t="str">
        <x:v>MT-164</x:v>
      </x:c>
      <x:c r="B169" s="23" t="str">
        <x:v>B-R2-PE3</x:v>
      </x:c>
      <x:c r="C169" s="23" t="str">
        <x:v>SURVIVOR-B</x:v>
      </x:c>
      <x:c r="D169" s="23" t="str">
        <x:v>ROOT-2</x:v>
      </x:c>
      <x:c r="E169" s="38" t="n">
        <x:v>3</x:v>
      </x:c>
      <x:c r="F169" s="23" t="str">
        <x:v>Coordinator-loss case</x:v>
      </x:c>
      <x:c r="G169" s="38" t="n">
        <x:v>12</x:v>
      </x:c>
      <x:c r="H169" s="56" t="n">
        <x:v>0.25</x:v>
      </x:c>
      <x:c r="I169" s="53" t="n">
        <x:f>G169*H169*'Assumptions'!B59</x:f>
        <x:v>5184</x:v>
      </x:c>
      <x:c r="J169" s="38" t="n">
        <x:v>0</x:v>
      </x:c>
      <x:c r="K169" s="66" t="n">
        <x:f>J169*'Assumptions'!B18</x:f>
        <x:v>0</x:v>
      </x:c>
      <x:c r="L169" s="23" t="str">
        <x:v>OPEN</x:v>
      </x:c>
      <x:c r="M169" s="23" t="str">
        <x:v>OPEN</x:v>
      </x:c>
    </x:row>
    <x:row r="170">
      <x:c r="A170" s="23" t="str">
        <x:v>MT-165</x:v>
      </x:c>
      <x:c r="B170" s="23" t="str">
        <x:v>B-R2-PE3</x:v>
      </x:c>
      <x:c r="C170" s="23" t="str">
        <x:v>SURVIVOR-B</x:v>
      </x:c>
      <x:c r="D170" s="23" t="str">
        <x:v>ROOT-2</x:v>
      </x:c>
      <x:c r="E170" s="38" t="n">
        <x:v>3</x:v>
      </x:c>
      <x:c r="F170" s="23" t="str">
        <x:v>Public-rescue concurrency</x:v>
      </x:c>
      <x:c r="G170" s="38" t="n">
        <x:v>12</x:v>
      </x:c>
      <x:c r="H170" s="56" t="n">
        <x:v>0.25</x:v>
      </x:c>
      <x:c r="I170" s="53" t="n">
        <x:f>G170*H170*'Assumptions'!B59</x:f>
        <x:v>5184</x:v>
      </x:c>
      <x:c r="J170" s="38" t="n">
        <x:v>0</x:v>
      </x:c>
      <x:c r="K170" s="66" t="n">
        <x:f>J170*'Assumptions'!B18</x:f>
        <x:v>0</x:v>
      </x:c>
      <x:c r="L170" s="23" t="str">
        <x:v>OPEN</x:v>
      </x:c>
      <x:c r="M170" s="23" t="str">
        <x:v>OPEN</x:v>
      </x:c>
    </x:row>
    <x:row r="171">
      <x:c r="A171" s="23" t="str">
        <x:v>MT-166</x:v>
      </x:c>
      <x:c r="B171" s="23" t="str">
        <x:v>B-R2-PE3</x:v>
      </x:c>
      <x:c r="C171" s="23" t="str">
        <x:v>SURVIVOR-B</x:v>
      </x:c>
      <x:c r="D171" s="23" t="str">
        <x:v>ROOT-2</x:v>
      </x:c>
      <x:c r="E171" s="38" t="n">
        <x:v>3</x:v>
      </x:c>
      <x:c r="F171" s="23" t="str">
        <x:v>Repeated mission A</x:v>
      </x:c>
      <x:c r="G171" s="38" t="n">
        <x:v>72</x:v>
      </x:c>
      <x:c r="H171" s="56" t="n">
        <x:v>0.25</x:v>
      </x:c>
      <x:c r="I171" s="53" t="n">
        <x:f>G171*H171*'Assumptions'!B59</x:f>
        <x:v>31104</x:v>
      </x:c>
      <x:c r="J171" s="38" t="n">
        <x:v>1</x:v>
      </x:c>
      <x:c r="K171" s="66" t="n">
        <x:f>J171*'Assumptions'!B18</x:f>
        <x:v>336</x:v>
      </x:c>
      <x:c r="L171" s="23" t="str">
        <x:v>OPEN</x:v>
      </x:c>
      <x:c r="M171" s="23" t="str">
        <x:v>OPEN</x:v>
      </x:c>
    </x:row>
    <x:row r="172">
      <x:c r="A172" s="23" t="str">
        <x:v>MT-167</x:v>
      </x:c>
      <x:c r="B172" s="23" t="str">
        <x:v>B-R2-PE3</x:v>
      </x:c>
      <x:c r="C172" s="23" t="str">
        <x:v>SURVIVOR-B</x:v>
      </x:c>
      <x:c r="D172" s="23" t="str">
        <x:v>ROOT-2</x:v>
      </x:c>
      <x:c r="E172" s="38" t="n">
        <x:v>3</x:v>
      </x:c>
      <x:c r="F172" s="23" t="str">
        <x:v>Repeated mission B</x:v>
      </x:c>
      <x:c r="G172" s="38" t="n">
        <x:v>72</x:v>
      </x:c>
      <x:c r="H172" s="56" t="n">
        <x:v>0.25</x:v>
      </x:c>
      <x:c r="I172" s="53" t="n">
        <x:f>G172*H172*'Assumptions'!B59</x:f>
        <x:v>31104</x:v>
      </x:c>
      <x:c r="J172" s="38" t="n">
        <x:v>1</x:v>
      </x:c>
      <x:c r="K172" s="66" t="n">
        <x:f>J172*'Assumptions'!B18</x:f>
        <x:v>336</x:v>
      </x:c>
      <x:c r="L172" s="23" t="str">
        <x:v>OPEN</x:v>
      </x:c>
      <x:c r="M172" s="23" t="str">
        <x:v>OPEN</x:v>
      </x:c>
    </x:row>
    <x:row r="173">
      <x:c r="A173" s="24" t="str">
        <x:v>MT-168</x:v>
      </x:c>
      <x:c r="B173" s="24" t="str">
        <x:v>B-R2-PE3</x:v>
      </x:c>
      <x:c r="C173" s="24" t="str">
        <x:v>SURVIVOR-B</x:v>
      </x:c>
      <x:c r="D173" s="24" t="str">
        <x:v>ROOT-2</x:v>
      </x:c>
      <x:c r="E173" s="39" t="n">
        <x:v>3</x:v>
      </x:c>
      <x:c r="F173" s="24" t="str">
        <x:v>Repeated mission C</x:v>
      </x:c>
      <x:c r="G173" s="39" t="n">
        <x:v>72</x:v>
      </x:c>
      <x:c r="H173" s="57" t="n">
        <x:v>0.25</x:v>
      </x:c>
      <x:c r="I173" s="54" t="n">
        <x:f>G173*H173*'Assumptions'!B59</x:f>
        <x:v>31104</x:v>
      </x:c>
      <x:c r="J173" s="39" t="n">
        <x:v>1</x:v>
      </x:c>
      <x:c r="K173" s="74" t="n">
        <x:f>J173*'Assumptions'!B18</x:f>
        <x:v>336</x:v>
      </x:c>
      <x:c r="L173" s="24" t="str">
        <x:v>OPEN</x:v>
      </x:c>
      <x:c r="M173" s="24" t="str">
        <x:v>OPEN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6" hidden="0" customWidth="1"/>
    <x:col min="2" max="2" width="22" hidden="0" customWidth="1"/>
    <x:col min="3" max="3" width="18" hidden="0" customWidth="1"/>
    <x:col min="4" max="4" width="70" hidden="0" customWidth="1"/>
  </x:cols>
  <x:sheetData>
    <x:row r="2" ht="24" customHeight="1">
      <x:c r="A2" s="2" t="str">
        <x:v>Production-equivalent regeneration demand</x:v>
      </x:c>
      <x:c r="B2" s="2"/>
      <x:c r="C2" s="2"/>
      <x:c r="D2" s="2"/>
    </x:row>
    <x:row r="3" ht="20" customHeight="1">
      <x:c r="A3" s="3" t="str">
        <x:v>The trial campaign and the steady operational cadence use separate denominators.</x:v>
      </x:c>
      <x:c r="B3" s="3"/>
      <x:c r="C3" s="3"/>
      <x:c r="D3" s="3"/>
    </x:row>
    <x:row r="5" ht="28" customHeight="1">
      <x:c r="A5" s="15" t="str">
        <x:v>Metric</x:v>
      </x:c>
      <x:c r="B5" s="16" t="str">
        <x:v>Calculated</x:v>
      </x:c>
      <x:c r="C5" s="16" t="str">
        <x:v>Unit</x:v>
      </x:c>
      <x:c r="D5" s="17" t="str">
        <x:v>Interpretation</x:v>
      </x:c>
    </x:row>
    <x:row r="6">
      <x:c r="A6" s="22" t="str">
        <x:v>Complete-system trials</x:v>
      </x:c>
      <x:c r="B6" s="52" t="n">
        <x:f>COUNTA('Mission Trials'!A6:A200)</x:f>
        <x:v>168</x:v>
      </x:c>
      <x:c r="C6" s="22" t="str">
        <x:v>trials</x:v>
      </x:c>
      <x:c r="D6" s="22" t="str">
        <x:v>Twelve systems × fourteen types</x:v>
      </x:c>
    </x:row>
    <x:row r="7">
      <x:c r="A7" s="23" t="str">
        <x:v>Operating hours</x:v>
      </x:c>
      <x:c r="B7" s="53" t="n">
        <x:f>SUM('Mission Trials'!G6:G200)</x:f>
        <x:v>7704</x:v>
      </x:c>
      <x:c r="C7" s="23" t="str">
        <x:v>h</x:v>
      </x:c>
      <x:c r="D7" s="23" t="str">
        <x:v>All registered trials</x:v>
      </x:c>
    </x:row>
    <x:row r="8">
      <x:c r="A8" s="23" t="str">
        <x:v>Provisioned water</x:v>
      </x:c>
      <x:c r="B8" s="53" t="n">
        <x:f>SUM('Mission Trials'!I6:I200)</x:f>
        <x:v>3328128</x:v>
      </x:c>
      <x:c r="C8" s="23" t="str">
        <x:v>m3</x:v>
      </x:c>
      <x:c r="D8" s="23" t="str">
        <x:v>Gross at registered issue factor</x:v>
      </x:c>
    </x:row>
    <x:row r="9">
      <x:c r="A9" s="23" t="str">
        <x:v>Full-duration missions</x:v>
      </x:c>
      <x:c r="B9" s="53" t="n">
        <x:f>SUM('Mission Trials'!J6:J200)</x:f>
        <x:v>84</x:v>
      </x:c>
      <x:c r="C9" s="23" t="str">
        <x:v>missions</x:v>
      </x:c>
      <x:c r="D9" s="23" t="str">
        <x:v>Seven per system</x:v>
      </x:c>
    </x:row>
    <x:row r="10">
      <x:c r="A10" s="23" t="str">
        <x:v>Regeneration-bay hours</x:v>
      </x:c>
      <x:c r="B10" s="53" t="n">
        <x:f>SUM('Mission Trials'!K6:K200)</x:f>
        <x:v>28224</x:v>
      </x:c>
      <x:c r="C10" s="23" t="str">
        <x:v>bay-h</x:v>
      </x:c>
      <x:c r="D10" s="23" t="str">
        <x:v>Full-duration missions × 336 h</x:v>
      </x:c>
    </x:row>
    <x:row r="11">
      <x:c r="A11" s="23" t="str">
        <x:v>Operational bay demand</x:v>
      </x:c>
      <x:c r="B11" s="53" t="n">
        <x:f>'Arsenals'!B8</x:f>
        <x:v>4.666666666666667</x:v>
      </x:c>
      <x:c r="C11" s="23" t="str">
        <x:v>bays</x:v>
      </x:c>
      <x:c r="D11" s="23" t="str">
        <x:v>336 h / 72 h cadence</x:v>
      </x:c>
    </x:row>
    <x:row r="12">
      <x:c r="A12" s="23" t="str">
        <x:v>Installed bays</x:v>
      </x:c>
      <x:c r="B12" s="53" t="n">
        <x:f>'Arsenals'!B11</x:f>
        <x:v>9</x:v>
      </x:c>
      <x:c r="C12" s="23" t="str">
        <x:v>bays</x:v>
      </x:c>
      <x:c r="D12" s="23" t="str">
        <x:v>Three sites × three bays</x:v>
      </x:c>
    </x:row>
    <x:row r="13">
      <x:c r="A13" s="23" t="str">
        <x:v>One-site-loss bays</x:v>
      </x:c>
      <x:c r="B13" s="53" t="n">
        <x:f>'Arsenals'!B13</x:f>
        <x:v>6</x:v>
      </x:c>
      <x:c r="C13" s="23" t="str">
        <x:v>bays</x:v>
      </x:c>
      <x:c r="D13" s="23" t="str">
        <x:v>Six remaining</x:v>
      </x:c>
    </x:row>
    <x:row r="14">
      <x:c r="A14" s="24" t="str">
        <x:v>One-site-loss utilization</x:v>
      </x:c>
      <x:c r="B14" s="75" t="n">
        <x:f>'Arsenals'!B14</x:f>
        <x:v>0.7777777777777778</x:v>
      </x:c>
      <x:c r="C14" s="24" t="str">
        <x:v>fraction</x:v>
      </x:c>
      <x:c r="D14" s="24" t="str">
        <x:v>Operational steady-state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16" hidden="0" customWidth="1"/>
    <x:col min="3" max="3" width="20" hidden="0" customWidth="1"/>
    <x:col min="4" max="4" width="22" hidden="0" customWidth="1"/>
    <x:col min="5" max="5" width="54" hidden="0" customWidth="1"/>
  </x:cols>
  <x:sheetData>
    <x:row r="2" ht="24" customHeight="1">
      <x:c r="A2" s="2" t="str">
        <x:v>Complete-set capital build</x:v>
      </x:c>
      <x:c r="B2" s="2"/>
      <x:c r="C2" s="2"/>
      <x:c r="D2" s="2"/>
      <x:c r="E2" s="2"/>
    </x:row>
    <x:row r="3" ht="20" customHeight="1">
      <x:c r="A3" s="3" t="str">
        <x:v>Transport is added to the governed equipment and interface bill.</x:v>
      </x:c>
      <x:c r="B3" s="3"/>
      <x:c r="C3" s="3"/>
      <x:c r="D3" s="3"/>
      <x:c r="E3" s="3"/>
    </x:row>
    <x:row r="5" ht="28" customHeight="1">
      <x:c r="A5" s="15" t="str">
        <x:v>Element</x:v>
      </x:c>
      <x:c r="B5" s="16" t="str">
        <x:v>Quantity</x:v>
      </x:c>
      <x:c r="C5" s="16" t="str">
        <x:v>Unit cost USD M</x:v>
      </x:c>
      <x:c r="D5" s="16" t="str">
        <x:v>Capital USD M</x:v>
      </x:c>
      <x:c r="E5" s="17" t="str">
        <x:v>Calculation</x:v>
      </x:c>
    </x:row>
    <x:row r="6">
      <x:c r="A6" s="22" t="str">
        <x:v>Equipment and interfaces</x:v>
      </x:c>
      <x:c r="B6" s="37" t="n">
        <x:v>1</x:v>
      </x:c>
      <x:c r="C6" s="76" t="n">
        <x:f>'Set Bill'!H27</x:f>
        <x:v>7611.1</x:v>
      </x:c>
      <x:c r="D6" s="45" t="n">
        <x:f>B6*C6</x:f>
        <x:v>7611.1</x:v>
      </x:c>
      <x:c r="E6" s="22" t="str">
        <x:v>Set bill</x:v>
      </x:c>
    </x:row>
    <x:row r="7">
      <x:c r="A7" s="23" t="str">
        <x:v>Prime movers</x:v>
      </x:c>
      <x:c r="B7" s="38" t="n">
        <x:v>350</x:v>
      </x:c>
      <x:c r="C7" s="46" t="n">
        <x:v>2.5</x:v>
      </x:c>
      <x:c r="D7" s="46" t="n">
        <x:f>B7*C7</x:f>
        <x:v>875</x:v>
      </x:c>
      <x:c r="E7" s="23" t="str">
        <x:v>Quantity × unit cost</x:v>
      </x:c>
    </x:row>
    <x:row r="8">
      <x:c r="A8" s="23" t="str">
        <x:v>Load frames</x:v>
      </x:c>
      <x:c r="B8" s="38" t="n">
        <x:v>312</x:v>
      </x:c>
      <x:c r="C8" s="46" t="n">
        <x:v>0.8</x:v>
      </x:c>
      <x:c r="D8" s="46" t="n">
        <x:f>B8*C8</x:f>
        <x:v>249.60000000000002</x:v>
      </x:c>
      <x:c r="E8" s="23" t="str">
        <x:v>Quantity × unit cost</x:v>
      </x:c>
    </x:row>
    <x:row r="9">
      <x:c r="A9" s="61" t="str">
        <x:v>Complete set</x:v>
      </x:c>
      <x:c r="B9" s="61"/>
      <x:c r="C9" s="77"/>
      <x:c r="D9" s="77" t="n">
        <x:f>SUM(D6:D8)</x:f>
        <x:v>8735.7</x:v>
      </x:c>
      <x:c r="E9" s="61" t="str">
        <x:v>Sum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16" hidden="0" customWidth="1"/>
    <x:col min="3" max="3" width="20" hidden="0" customWidth="1"/>
    <x:col min="4" max="4" width="22" hidden="0" customWidth="1"/>
    <x:col min="5" max="5" width="62" hidden="0" customWidth="1"/>
  </x:cols>
  <x:sheetData>
    <x:row r="2" ht="24" customHeight="1">
      <x:c r="A2" s="2" t="str">
        <x:v>Illustrative eight-set operating-group capital floor</x:v>
      </x:c>
      <x:c r="B2" s="2"/>
      <x:c r="C2" s="2"/>
      <x:c r="D2" s="2"/>
      <x:c r="E2" s="2"/>
    </x:row>
    <x:row r="3" ht="20" customHeight="1">
      <x:c r="A3" s="3" t="str">
        <x:v>This post-qualification floor is not procurement authority.</x:v>
      </x:c>
      <x:c r="B3" s="3"/>
      <x:c r="C3" s="3"/>
      <x:c r="D3" s="3"/>
      <x:c r="E3" s="3"/>
    </x:row>
    <x:row r="5" ht="28" customHeight="1">
      <x:c r="A5" s="15" t="str">
        <x:v>Element</x:v>
      </x:c>
      <x:c r="B5" s="16" t="str">
        <x:v>Quantity</x:v>
      </x:c>
      <x:c r="C5" s="16" t="str">
        <x:v>Unit cost USD M</x:v>
      </x:c>
      <x:c r="D5" s="16" t="str">
        <x:v>Capital USD M</x:v>
      </x:c>
      <x:c r="E5" s="17" t="str">
        <x:v>Interpretation</x:v>
      </x:c>
    </x:row>
    <x:row r="6">
      <x:c r="A6" s="22" t="str">
        <x:v>Complete sets</x:v>
      </x:c>
      <x:c r="B6" s="37" t="n">
        <x:v>8</x:v>
      </x:c>
      <x:c r="C6" s="76" t="n">
        <x:f>'Set Capital'!D9</x:f>
        <x:v>8735.7</x:v>
      </x:c>
      <x:c r="D6" s="45" t="n">
        <x:f>B6*C6</x:f>
        <x:v>69885.6</x:v>
      </x:c>
      <x:c r="E6" s="22" t="str">
        <x:v>Eight-set reference</x:v>
      </x:c>
    </x:row>
    <x:row r="7">
      <x:c r="A7" s="23" t="str">
        <x:v>Central module reserve</x:v>
      </x:c>
      <x:c r="B7" s="38" t="n">
        <x:v>1</x:v>
      </x:c>
      <x:c r="C7" s="78" t="n">
        <x:f>'Group Reserve'!E21</x:f>
        <x:v>13706</x:v>
      </x:c>
      <x:c r="D7" s="46" t="n">
        <x:f>B7*C7</x:f>
        <x:v>13706</x:v>
      </x:c>
      <x:c r="E7" s="23" t="str">
        <x:v>Three-arsenal reserve pool</x:v>
      </x:c>
    </x:row>
    <x:row r="8">
      <x:c r="A8" s="23" t="str">
        <x:v>Regional arsenals</x:v>
      </x:c>
      <x:c r="B8" s="38" t="n">
        <x:v>3</x:v>
      </x:c>
      <x:c r="C8" s="46" t="n">
        <x:v>5000</x:v>
      </x:c>
      <x:c r="D8" s="46" t="n">
        <x:f>B8*C8</x:f>
        <x:v>15000</x:v>
      </x:c>
      <x:c r="E8" s="23" t="str">
        <x:v>Three sites</x:v>
      </x:c>
    </x:row>
    <x:row r="9">
      <x:c r="A9" s="23" t="str">
        <x:v>Training, evidence and configuration assets</x:v>
      </x:c>
      <x:c r="B9" s="38" t="n">
        <x:v>1</x:v>
      </x:c>
      <x:c r="C9" s="46" t="n">
        <x:v>5000</x:v>
      </x:c>
      <x:c r="D9" s="46" t="n">
        <x:f>B9*C9</x:f>
        <x:v>5000</x:v>
      </x:c>
      <x:c r="E9" s="23" t="str">
        <x:v>Common assets</x:v>
      </x:c>
    </x:row>
    <x:row r="10">
      <x:c r="A10" s="61" t="str">
        <x:v>Operating-group floor</x:v>
      </x:c>
      <x:c r="B10" s="61"/>
      <x:c r="C10" s="77"/>
      <x:c r="D10" s="77" t="n">
        <x:f>SUM(D6:D9)</x:f>
        <x:v>103591.6</x:v>
      </x:c>
      <x:c r="E10" s="61" t="str">
        <x:v>Not a national quantity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6" hidden="0" customWidth="1"/>
    <x:col min="2" max="2" width="16" hidden="0" customWidth="1"/>
    <x:col min="3" max="3" width="20" hidden="0" customWidth="1"/>
    <x:col min="4" max="4" width="22" hidden="0" customWidth="1"/>
    <x:col min="5" max="5" width="60" hidden="0" customWidth="1"/>
  </x:cols>
  <x:sheetData>
    <x:row r="2" ht="24" customHeight="1">
      <x:c r="A2" s="2" t="str">
        <x:v>RBT-1 production-equivalent capital</x:v>
      </x:c>
      <x:c r="B2" s="2"/>
      <x:c r="C2" s="2"/>
      <x:c r="D2" s="2"/>
      <x:c r="E2" s="2"/>
    </x:row>
    <x:row r="3" ht="20" customHeight="1">
      <x:c r="A3" s="3" t="str">
        <x:v>Every category is explicit. Integration capacity is a registered input, not a hidden balancing entry.</x:v>
      </x:c>
      <x:c r="B3" s="3"/>
      <x:c r="C3" s="3"/>
      <x:c r="D3" s="3"/>
      <x:c r="E3" s="3"/>
    </x:row>
    <x:row r="5" ht="28" customHeight="1">
      <x:c r="A5" s="15" t="str">
        <x:v>Program element</x:v>
      </x:c>
      <x:c r="B5" s="16" t="str">
        <x:v>Quantity</x:v>
      </x:c>
      <x:c r="C5" s="16" t="str">
        <x:v>Unit cost USD M</x:v>
      </x:c>
      <x:c r="D5" s="16" t="str">
        <x:v>Capital USD M</x:v>
      </x:c>
      <x:c r="E5" s="17" t="str">
        <x:v>Interpretation</x:v>
      </x:c>
    </x:row>
    <x:row r="6">
      <x:c r="A6" s="22" t="str">
        <x:v>Complete production-equivalent systems</x:v>
      </x:c>
      <x:c r="B6" s="37" t="n">
        <x:v>12</x:v>
      </x:c>
      <x:c r="C6" s="76" t="n">
        <x:f>'Set Capital'!D9</x:f>
        <x:v>8735.7</x:v>
      </x:c>
      <x:c r="D6" s="45" t="n">
        <x:f>B6*C6</x:f>
        <x:v>104828.40000000001</x:v>
      </x:c>
      <x:c r="E6" s="22" t="str">
        <x:v>New parent lots</x:v>
      </x:c>
    </x:row>
    <x:row r="7">
      <x:c r="A7" s="23" t="str">
        <x:v>Regional arsenals</x:v>
      </x:c>
      <x:c r="B7" s="38" t="n">
        <x:v>3</x:v>
      </x:c>
      <x:c r="C7" s="46" t="n">
        <x:v>5000</x:v>
      </x:c>
      <x:c r="D7" s="46" t="n">
        <x:f>B7*C7</x:f>
        <x:v>15000</x:v>
      </x:c>
      <x:c r="E7" s="23" t="str">
        <x:v>Three complete sites</x:v>
      </x:c>
    </x:row>
    <x:row r="8">
      <x:c r="A8" s="23" t="str">
        <x:v>System-root factories</x:v>
      </x:c>
      <x:c r="B8" s="38" t="n">
        <x:v>2</x:v>
      </x:c>
      <x:c r="C8" s="46" t="n">
        <x:v>8000</x:v>
      </x:c>
      <x:c r="D8" s="46" t="n">
        <x:f>B8*C8</x:f>
        <x:v>16000</x:v>
      </x:c>
      <x:c r="E8" s="23" t="str">
        <x:v>Two unrelated roots</x:v>
      </x:c>
    </x:row>
    <x:row r="9">
      <x:c r="A9" s="23" t="str">
        <x:v>Dual module-root tooling</x:v>
      </x:c>
      <x:c r="B9" s="38" t="n">
        <x:v>1</x:v>
      </x:c>
      <x:c r="C9" s="46" t="n">
        <x:v>12000</x:v>
      </x:c>
      <x:c r="D9" s="46" t="n">
        <x:f>B9*C9</x:f>
        <x:v>12000</x:v>
      </x:c>
      <x:c r="E9" s="23" t="str">
        <x:v>Thirty-four root cells</x:v>
      </x:c>
    </x:row>
    <x:row r="10">
      <x:c r="A10" s="23" t="str">
        <x:v>Destructive infrastructure</x:v>
      </x:c>
      <x:c r="B10" s="38" t="n">
        <x:v>1</x:v>
      </x:c>
      <x:c r="C10" s="46" t="n">
        <x:v>8000</x:v>
      </x:c>
      <x:c r="D10" s="46" t="n">
        <x:f>B10*C10</x:f>
        <x:v>8000</x:v>
      </x:c>
      <x:c r="E10" s="23" t="str">
        <x:v>Component and full-system</x:v>
      </x:c>
    </x:row>
    <x:row r="11">
      <x:c r="A11" s="23" t="str">
        <x:v>Training and outside evaluation</x:v>
      </x:c>
      <x:c r="B11" s="38" t="n">
        <x:v>1</x:v>
      </x:c>
      <x:c r="C11" s="46" t="n">
        <x:v>4000</x:v>
      </x:c>
      <x:c r="D11" s="46" t="n">
        <x:f>B11*C11</x:f>
        <x:v>4000</x:v>
      </x:c>
      <x:c r="E11" s="23" t="str">
        <x:v>Independent workforce</x:v>
      </x:c>
    </x:row>
    <x:row r="12">
      <x:c r="A12" s="23" t="str">
        <x:v>Public data, rights and configuration</x:v>
      </x:c>
      <x:c r="B12" s="38" t="n">
        <x:v>1</x:v>
      </x:c>
      <x:c r="C12" s="46" t="n">
        <x:v>3000</x:v>
      </x:c>
      <x:c r="D12" s="46" t="n">
        <x:f>B12*C12</x:f>
        <x:v>3000</x:v>
      </x:c>
      <x:c r="E12" s="23" t="str">
        <x:v>Sovereign lifecycle</x:v>
      </x:c>
    </x:row>
    <x:row r="13">
      <x:c r="A13" s="23" t="str">
        <x:v>Controlled receiver and route corridors</x:v>
      </x:c>
      <x:c r="B13" s="38" t="n">
        <x:v>1</x:v>
      </x:c>
      <x:c r="C13" s="46" t="n">
        <x:v>12000</x:v>
      </x:c>
      <x:c r="D13" s="46" t="n">
        <x:f>B13*C13</x:f>
        <x:v>12000</x:v>
      </x:c>
      <x:c r="E13" s="23" t="str">
        <x:v>Regional and national trials</x:v>
      </x:c>
    </x:row>
    <x:row r="14">
      <x:c r="A14" s="23" t="str">
        <x:v>Program integration capacity</x:v>
      </x:c>
      <x:c r="B14" s="38" t="n">
        <x:v>1</x:v>
      </x:c>
      <x:c r="C14" s="46" t="n">
        <x:v>171.6</x:v>
      </x:c>
      <x:c r="D14" s="46" t="n">
        <x:f>B14*C14</x:f>
        <x:v>171.6</x:v>
      </x:c>
      <x:c r="E14" s="23" t="str">
        <x:v>Explicit registered capacity</x:v>
      </x:c>
    </x:row>
    <x:row r="15">
      <x:c r="A15" s="61" t="str">
        <x:v>RBT-1 capital</x:v>
      </x:c>
      <x:c r="B15" s="61"/>
      <x:c r="C15" s="77"/>
      <x:c r="D15" s="77" t="n">
        <x:f>SUM(D6:D14)</x:f>
        <x:v>175000.00000000003</x:v>
      </x:c>
      <x:c r="E15" s="61" t="str">
        <x:v>Total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2" hidden="0" customWidth="1"/>
    <x:col min="2" max="2" width="22" hidden="0" customWidth="1"/>
    <x:col min="3" max="3" width="64" hidden="0" customWidth="1"/>
  </x:cols>
  <x:sheetData>
    <x:row r="2" ht="24" customHeight="1">
      <x:c r="A2" s="2" t="str">
        <x:v>Peak RBT-1 annual support</x:v>
      </x:c>
      <x:c r="B2" s="2"/>
      <x:c r="C2" s="2"/>
    </x:row>
    <x:row r="3" ht="20" customHeight="1">
      <x:c r="A3" s="3" t="str">
        <x:v>Peak program support is distinct from steady operating-group support.</x:v>
      </x:c>
      <x:c r="B3" s="3"/>
      <x:c r="C3" s="3"/>
    </x:row>
    <x:row r="5" ht="28" customHeight="1">
      <x:c r="A5" s="15" t="str">
        <x:v>Function</x:v>
      </x:c>
      <x:c r="B5" s="16" t="str">
        <x:v>USD M/year</x:v>
      </x:c>
      <x:c r="C5" s="17" t="str">
        <x:v>Basis</x:v>
      </x:c>
    </x:row>
    <x:row r="6">
      <x:c r="A6" s="22" t="str">
        <x:v>Set build, integration and trial operations</x:v>
      </x:c>
      <x:c r="B6" s="79" t="n">
        <x:v>3200</x:v>
      </x:c>
      <x:c r="C6" s="22" t="str">
        <x:v>Registered program category</x:v>
      </x:c>
    </x:row>
    <x:row r="7">
      <x:c r="A7" s="23" t="str">
        <x:v>Arsenals and regeneration</x:v>
      </x:c>
      <x:c r="B7" s="80" t="n">
        <x:v>1800</x:v>
      </x:c>
      <x:c r="C7" s="23" t="str">
        <x:v>Registered program category</x:v>
      </x:c>
    </x:row>
    <x:row r="8">
      <x:c r="A8" s="23" t="str">
        <x:v>Receiver corridors and water processing</x:v>
      </x:c>
      <x:c r="B8" s="80" t="n">
        <x:v>1100</x:v>
      </x:c>
      <x:c r="C8" s="23" t="str">
        <x:v>Registered program category</x:v>
      </x:c>
    </x:row>
    <x:row r="9">
      <x:c r="A9" s="23" t="str">
        <x:v>Public workforce, training and safety</x:v>
      </x:c>
      <x:c r="B9" s="80" t="n">
        <x:v>1200</x:v>
      </x:c>
      <x:c r="C9" s="23" t="str">
        <x:v>Registered program category</x:v>
      </x:c>
    </x:row>
    <x:row r="10">
      <x:c r="A10" s="23" t="str">
        <x:v>Transport and logistics</x:v>
      </x:c>
      <x:c r="B10" s="80" t="n">
        <x:v>900</x:v>
      </x:c>
      <x:c r="C10" s="23" t="str">
        <x:v>Registered program category</x:v>
      </x:c>
    </x:row>
    <x:row r="11">
      <x:c r="A11" s="23" t="str">
        <x:v>Evidence, configuration and outside reconstruction</x:v>
      </x:c>
      <x:c r="B11" s="80" t="n">
        <x:v>550</x:v>
      </x:c>
      <x:c r="C11" s="23" t="str">
        <x:v>Registered program category</x:v>
      </x:c>
    </x:row>
    <x:row r="12">
      <x:c r="A12" s="23" t="str">
        <x:v>Industrial-root readiness</x:v>
      </x:c>
      <x:c r="B12" s="80" t="n">
        <x:v>450</x:v>
      </x:c>
      <x:c r="C12" s="23" t="str">
        <x:v>Registered program category</x:v>
      </x:c>
    </x:row>
    <x:row r="13">
      <x:c r="A13" s="23" t="str">
        <x:v>Program command and contingency operations</x:v>
      </x:c>
      <x:c r="B13" s="80" t="n">
        <x:v>300</x:v>
      </x:c>
      <x:c r="C13" s="23" t="str">
        <x:v>Registered program category</x:v>
      </x:c>
    </x:row>
    <x:row r="14">
      <x:c r="A14" s="61" t="str">
        <x:v>Total</x:v>
      </x:c>
      <x:c r="B14" s="81" t="n">
        <x:f>SUM(B6:B13)</x:f>
        <x:v>9500</x:v>
      </x:c>
      <x:c r="C14" s="61" t="str">
        <x:v>Registered program category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2" hidden="0" customWidth="1"/>
    <x:col min="2" max="2" width="22" hidden="0" customWidth="1"/>
    <x:col min="3" max="3" width="72" hidden="0" customWidth="1"/>
  </x:cols>
  <x:sheetData>
    <x:row r="2" ht="24" customHeight="1">
      <x:c r="A2" s="2" t="str">
        <x:v>Mission-led technology portfolio</x:v>
      </x:c>
      <x:c r="B2" s="2"/>
      <x:c r="C2" s="2"/>
    </x:row>
    <x:row r="3" ht="20" customHeight="1">
      <x:c r="A3" s="3" t="str">
        <x:v>Novel capability is funded where it changes a mission coefficient and survives complete-system trials.</x:v>
      </x:c>
      <x:c r="B3" s="3"/>
      <x:c r="C3" s="3"/>
    </x:row>
    <x:row r="5" ht="28" customHeight="1">
      <x:c r="A5" s="15" t="str">
        <x:v>Program</x:v>
      </x:c>
      <x:c r="B5" s="16" t="str">
        <x:v>USD M</x:v>
      </x:c>
      <x:c r="C5" s="17" t="str">
        <x:v>Principal boundary</x:v>
      </x:c>
    </x:row>
    <x:row r="6">
      <x:c r="A6" s="22" t="str">
        <x:v>Intervention-cell physics and autonomy</x:v>
      </x:c>
      <x:c r="B6" s="79" t="n">
        <x:v>2500</x:v>
      </x:c>
      <x:c r="C6" s="22" t="str">
        <x:v>Production-equivalent mission service</x:v>
      </x:c>
    </x:row>
    <x:row r="7">
      <x:c r="A7" s="23" t="str">
        <x:v>Multi-water treatment at train scale</x:v>
      </x:c>
      <x:c r="B7" s="80" t="n">
        <x:v>2000</x:v>
      </x:c>
      <x:c r="C7" s="23" t="str">
        <x:v>Production-equivalent mission service</x:v>
      </x:c>
    </x:row>
    <x:row r="8">
      <x:c r="A8" s="23" t="str">
        <x:v>Rapid high-flow trunkline</x:v>
      </x:c>
      <x:c r="B8" s="80" t="n">
        <x:v>1800</x:v>
      </x:c>
      <x:c r="C8" s="23" t="str">
        <x:v>Production-equivalent mission service</x:v>
      </x:c>
    </x:row>
    <x:row r="9">
      <x:c r="A9" s="23" t="str">
        <x:v>Mixed-liquid capture and separation</x:v>
      </x:c>
      <x:c r="B9" s="80" t="n">
        <x:v>1800</x:v>
      </x:c>
      <x:c r="C9" s="23" t="str">
        <x:v>Production-equivalent mission service</x:v>
      </x:c>
    </x:row>
    <x:row r="10">
      <x:c r="A10" s="23" t="str">
        <x:v>Independent high-output energy</x:v>
      </x:c>
      <x:c r="B10" s="80" t="n">
        <x:v>2200</x:v>
      </x:c>
      <x:c r="C10" s="23" t="str">
        <x:v>Production-equivalent mission service</x:v>
      </x:c>
    </x:row>
    <x:row r="11">
      <x:c r="A11" s="23" t="str">
        <x:v>Cellular field electric protection</x:v>
      </x:c>
      <x:c r="B11" s="80" t="n">
        <x:v>1200</x:v>
      </x:c>
      <x:c r="C11" s="23" t="str">
        <x:v>Production-equivalent mission service</x:v>
      </x:c>
    </x:row>
    <x:row r="12">
      <x:c r="A12" s="23" t="str">
        <x:v>Autonomous route, repair and retrieval</x:v>
      </x:c>
      <x:c r="B12" s="80" t="n">
        <x:v>1500</x:v>
      </x:c>
      <x:c r="C12" s="23" t="str">
        <x:v>Production-equivalent mission service</x:v>
      </x:c>
    </x:row>
    <x:row r="13">
      <x:c r="A13" s="23" t="str">
        <x:v>Local command, timing and native evidence</x:v>
      </x:c>
      <x:c r="B13" s="80" t="n">
        <x:v>1200</x:v>
      </x:c>
      <x:c r="C13" s="23" t="str">
        <x:v>Production-equivalent mission service</x:v>
      </x:c>
    </x:row>
    <x:row r="14">
      <x:c r="A14" s="23" t="str">
        <x:v>Contaminated maintenance and safeing</x:v>
      </x:c>
      <x:c r="B14" s="80" t="n">
        <x:v>1100</x:v>
      </x:c>
      <x:c r="C14" s="23" t="str">
        <x:v>Production-equivalent mission service</x:v>
      </x:c>
    </x:row>
    <x:row r="15">
      <x:c r="A15" s="23" t="str">
        <x:v>Multimode load frames and restraint</x:v>
      </x:c>
      <x:c r="B15" s="80" t="n">
        <x:v>900</x:v>
      </x:c>
      <x:c r="C15" s="23" t="str">
        <x:v>Production-equivalent mission service</x:v>
      </x:c>
    </x:row>
    <x:row r="16">
      <x:c r="A16" s="23" t="str">
        <x:v>Production metrology and configuration</x:v>
      </x:c>
      <x:c r="B16" s="80" t="n">
        <x:v>1200</x:v>
      </x:c>
      <x:c r="C16" s="23" t="str">
        <x:v>Production-equivalent mission service</x:v>
      </x:c>
    </x:row>
    <x:row r="17">
      <x:c r="A17" s="23" t="str">
        <x:v>Crew protection, heat and exposure control</x:v>
      </x:c>
      <x:c r="B17" s="80" t="n">
        <x:v>800</x:v>
      </x:c>
      <x:c r="C17" s="23" t="str">
        <x:v>Production-equivalent mission service</x:v>
      </x:c>
    </x:row>
    <x:row r="18">
      <x:c r="A18" s="23" t="str">
        <x:v>Outside reconstruction and causal assurance</x:v>
      </x:c>
      <x:c r="B18" s="80" t="n">
        <x:v>800</x:v>
      </x:c>
      <x:c r="C18" s="23" t="str">
        <x:v>Production-equivalent mission service</x:v>
      </x:c>
    </x:row>
    <x:row r="19">
      <x:c r="A19" s="23" t="str">
        <x:v>Industrial substitution and public repair rights</x:v>
      </x:c>
      <x:c r="B19" s="80" t="n">
        <x:v>1000</x:v>
      </x:c>
      <x:c r="C19" s="23" t="str">
        <x:v>Production-equivalent mission service</x:v>
      </x:c>
    </x:row>
    <x:row r="20">
      <x:c r="A20" s="61" t="str">
        <x:v>Total</x:v>
      </x:c>
      <x:c r="B20" s="81" t="n">
        <x:f>SUM(B6:B19)</x:f>
        <x:v>20000</x:v>
      </x:c>
      <x:c r="C20" s="61" t="str">
        <x:v>Production-equivalent mission service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4" hidden="0" customWidth="1"/>
    <x:col min="2" max="2" width="18" hidden="0" customWidth="1"/>
    <x:col min="3" max="3" width="20" hidden="0" customWidth="1"/>
    <x:col min="4" max="4" width="20" hidden="0" customWidth="1"/>
    <x:col min="5" max="5" width="58" hidden="0" customWidth="1"/>
  </x:cols>
  <x:sheetData>
    <x:row r="2" ht="24" customHeight="1">
      <x:c r="A2" s="2" t="str">
        <x:v>Release-aware RBT-1 schedule</x:v>
      </x:c>
      <x:c r="B2" s="2"/>
      <x:c r="C2" s="2"/>
      <x:c r="D2" s="2"/>
      <x:c r="E2" s="2"/>
    </x:row>
    <x:row r="3" ht="20" customHeight="1">
      <x:c r="A3" s="3" t="str">
        <x:v>The proposed 220/240-week target fails. Gross work and registered overlap produce 256/280 weeks.</x:v>
      </x:c>
      <x:c r="B3" s="3"/>
      <x:c r="C3" s="3"/>
      <x:c r="D3" s="3"/>
      <x:c r="E3" s="3"/>
    </x:row>
    <x:row r="5" ht="28" customHeight="1">
      <x:c r="A5" s="15" t="str">
        <x:v>Work package</x:v>
      </x:c>
      <x:c r="B5" s="16" t="str">
        <x:v>Gross weeks</x:v>
      </x:c>
      <x:c r="C5" s="16" t="str">
        <x:v>Primary overlap</x:v>
      </x:c>
      <x:c r="D5" s="16" t="str">
        <x:v>Maximum overlap</x:v>
      </x:c>
      <x:c r="E5" s="17" t="str">
        <x:v>Terminal artifact</x:v>
      </x:c>
    </x:row>
    <x:row r="6">
      <x:c r="A6" s="22" t="str">
        <x:v>Common kernel and set bill freeze</x:v>
      </x:c>
      <x:c r="B6" s="37" t="n">
        <x:v>24</x:v>
      </x:c>
      <x:c r="C6" s="37" t="n">
        <x:v>0</x:v>
      </x:c>
      <x:c r="D6" s="37" t="n">
        <x:v>0</x:v>
      </x:c>
      <x:c r="E6" s="22" t="str">
        <x:v>Released production envelope</x:v>
      </x:c>
    </x:row>
    <x:row r="7">
      <x:c r="A7" s="23" t="str">
        <x:v>Module-root process windows</x:v>
      </x:c>
      <x:c r="B7" s="38" t="n">
        <x:v>36</x:v>
      </x:c>
      <x:c r="C7" s="38" t="n">
        <x:v>18</x:v>
      </x:c>
      <x:c r="D7" s="38" t="n">
        <x:v>12</x:v>
      </x:c>
      <x:c r="E7" s="23" t="str">
        <x:v>Thirty-four root cells</x:v>
      </x:c>
    </x:row>
    <x:row r="8">
      <x:c r="A8" s="23" t="str">
        <x:v>System-root tooling and first build</x:v>
      </x:c>
      <x:c r="B8" s="38" t="n">
        <x:v>40</x:v>
      </x:c>
      <x:c r="C8" s="38" t="n">
        <x:v>16</x:v>
      </x:c>
      <x:c r="D8" s="38" t="n">
        <x:v>12</x:v>
      </x:c>
      <x:c r="E8" s="23" t="str">
        <x:v>Four first systems</x:v>
      </x:c>
    </x:row>
    <x:row r="9">
      <x:c r="A9" s="23" t="str">
        <x:v>Second and third consecutive builds</x:v>
      </x:c>
      <x:c r="B9" s="38" t="n">
        <x:v>48</x:v>
      </x:c>
      <x:c r="C9" s="38" t="n">
        <x:v>18</x:v>
      </x:c>
      <x:c r="D9" s="38" t="n">
        <x:v>14</x:v>
      </x:c>
      <x:c r="E9" s="23" t="str">
        <x:v>Twelve complete systems</x:v>
      </x:c>
    </x:row>
    <x:row r="10">
      <x:c r="A10" s="23" t="str">
        <x:v>Crew and transport packet qualification</x:v>
      </x:c>
      <x:c r="B10" s="38" t="n">
        <x:v>32</x:v>
      </x:c>
      <x:c r="C10" s="38" t="n">
        <x:v>12</x:v>
      </x:c>
      <x:c r="D10" s="38" t="n">
        <x:v>8</x:v>
      </x:c>
      <x:c r="E10" s="23" t="str">
        <x:v>Qualified crews and packets</x:v>
      </x:c>
    </x:row>
    <x:row r="11">
      <x:c r="A11" s="23" t="str">
        <x:v>168 complete-system trials</x:v>
      </x:c>
      <x:c r="B11" s="38" t="n">
        <x:v>64</x:v>
      </x:c>
      <x:c r="C11" s="38" t="n">
        <x:v>12</x:v>
      </x:c>
      <x:c r="D11" s="38" t="n">
        <x:v>10</x:v>
      </x:c>
      <x:c r="E11" s="23" t="str">
        <x:v>Mission evidence</x:v>
      </x:c>
    </x:row>
    <x:row r="12">
      <x:c r="A12" s="23" t="str">
        <x:v>Repeated regeneration campaign</x:v>
      </x:c>
      <x:c r="B12" s="38" t="n">
        <x:v>48</x:v>
      </x:c>
      <x:c r="C12" s="38" t="n">
        <x:v>12</x:v>
      </x:c>
      <x:c r="D12" s="38" t="n">
        <x:v>10</x:v>
      </x:c>
      <x:c r="E12" s="23" t="str">
        <x:v>Eighty-four return records</x:v>
      </x:c>
    </x:row>
    <x:row r="13">
      <x:c r="A13" s="23" t="str">
        <x:v>Destructive and forensic closure</x:v>
      </x:c>
      <x:c r="B13" s="38" t="n">
        <x:v>28</x:v>
      </x:c>
      <x:c r="C13" s="38" t="n">
        <x:v>8</x:v>
      </x:c>
      <x:c r="D13" s="38" t="n">
        <x:v>6</x:v>
      </x:c>
      <x:c r="E13" s="23" t="str">
        <x:v>Terminal findings</x:v>
      </x:c>
    </x:row>
    <x:row r="14">
      <x:c r="A14" s="23" t="str">
        <x:v>Outside build and reconstruction</x:v>
      </x:c>
      <x:c r="B14" s="38" t="n">
        <x:v>20</x:v>
      </x:c>
      <x:c r="C14" s="38" t="n">
        <x:v>0</x:v>
      </x:c>
      <x:c r="D14" s="38" t="n">
        <x:v>0</x:v>
      </x:c>
      <x:c r="E14" s="23" t="str">
        <x:v>Independent decisions</x:v>
      </x:c>
    </x:row>
    <x:row r="15">
      <x:c r="A15" s="24" t="str">
        <x:v>Production-equivalent board</x:v>
      </x:c>
      <x:c r="B15" s="39" t="n">
        <x:v>12</x:v>
      </x:c>
      <x:c r="C15" s="39" t="n">
        <x:v>0</x:v>
      </x:c>
      <x:c r="D15" s="39" t="n">
        <x:v>0</x:v>
      </x:c>
      <x:c r="E15" s="24" t="str">
        <x:v>RBU-1 authority or bounded failure</x:v>
      </x:c>
    </x:row>
    <x:row r="16">
      <x:c r="A16" s="36" t="str">
        <x:v>Gross work</x:v>
      </x:c>
      <x:c r="B16" s="44" t="n">
        <x:f>SUM(B6:B15)</x:f>
        <x:v>352</x:v>
      </x:c>
      <x:c r="C16" s="44" t="n">
        <x:f>SUM(C6:C15)</x:f>
        <x:v>96</x:v>
      </x:c>
      <x:c r="D16" s="44" t="n">
        <x:f>SUM(D6:D15)</x:f>
        <x:v>72</x:v>
      </x:c>
      <x:c r="E16" s="36" t="str"/>
    </x:row>
    <x:row r="17">
      <x:c r="A17" s="36" t="str">
        <x:v>Release-aware total</x:v>
      </x:c>
      <x:c r="B17" s="44" t="n">
        <x:f>B16-C16</x:f>
        <x:v>256</x:v>
      </x:c>
      <x:c r="C17" s="44"/>
      <x:c r="D17" s="44" t="n">
        <x:f>B16-D16</x:f>
        <x:v>280</x:v>
      </x:c>
      <x:c r="E17" s="36" t="str">
        <x:v>Authoritative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0" hidden="0" customWidth="1"/>
    <x:col min="7" max="7" width="18" hidden="0" customWidth="1"/>
  </x:cols>
  <x:sheetData>
    <x:row r="2" ht="24" customHeight="1">
      <x:c r="A2" s="2" t="str">
        <x:v>RAS-3R10 parent amendment and use</x:v>
      </x:c>
      <x:c r="B2" s="2"/>
      <x:c r="C2" s="2"/>
      <x:c r="D2" s="2"/>
      <x:c r="E2" s="2"/>
      <x:c r="F2" s="2"/>
      <x:c r="G2" s="2"/>
    </x:row>
    <x:row r="3" ht="20" customHeight="1">
      <x:c r="A3" s="3" t="str">
        <x:v>Calendar keeps primary and maximum use separate. Monetary units are USD M.</x:v>
      </x:c>
      <x:c r="B3" s="3"/>
      <x:c r="C3" s="3"/>
      <x:c r="D3" s="3"/>
      <x:c r="E3" s="3"/>
      <x:c r="F3" s="3"/>
      <x:c r="G3" s="3"/>
    </x:row>
    <x:row r="5" ht="28" customHeight="1">
      <x:c r="A5" s="15" t="str">
        <x:v>Capacity</x:v>
      </x:c>
      <x:c r="B5" s="16" t="str">
        <x:v>RAS-3R9</x:v>
      </x:c>
      <x:c r="C5" s="16" t="str">
        <x:v>RAS-3R10</x:v>
      </x:c>
      <x:c r="D5" s="16" t="str">
        <x:v>Amendment</x:v>
      </x:c>
      <x:c r="E5" s="16" t="str">
        <x:v>Use after RBT-1</x:v>
      </x:c>
      <x:c r="F5" s="16" t="str">
        <x:v>Remainder</x:v>
      </x:c>
      <x:c r="G5" s="17" t="str">
        <x:v>Unit</x:v>
      </x:c>
    </x:row>
    <x:row r="6">
      <x:c r="A6" s="22" t="str">
        <x:v>Calendar primary</x:v>
      </x:c>
      <x:c r="B6" s="40" t="n">
        <x:v>1600</x:v>
      </x:c>
      <x:c r="C6" s="40" t="n">
        <x:v>1900</x:v>
      </x:c>
      <x:c r="D6" s="40" t="n">
        <x:f>C6-B6</x:f>
        <x:v>300</x:v>
      </x:c>
      <x:c r="E6" s="52" t="n">
        <x:f>'Assumptions'!B48+Schedule!B17</x:f>
        <x:v>1570</x:v>
      </x:c>
      <x:c r="F6" s="40" t="n">
        <x:f>C6-E6</x:f>
        <x:v>330</x:v>
      </x:c>
      <x:c r="G6" s="22" t="str">
        <x:v>weeks</x:v>
      </x:c>
    </x:row>
    <x:row r="7">
      <x:c r="A7" s="23" t="str">
        <x:v>Calendar maximum</x:v>
      </x:c>
      <x:c r="B7" s="41" t="n">
        <x:v>1600</x:v>
      </x:c>
      <x:c r="C7" s="41" t="n">
        <x:v>1900</x:v>
      </x:c>
      <x:c r="D7" s="41" t="n">
        <x:f>C7-B7</x:f>
        <x:v>300</x:v>
      </x:c>
      <x:c r="E7" s="53" t="n">
        <x:f>'Assumptions'!B49+Schedule!D17</x:f>
        <x:v>1654</x:v>
      </x:c>
      <x:c r="F7" s="41" t="n">
        <x:f>C7-E7</x:f>
        <x:v>246</x:v>
      </x:c>
      <x:c r="G7" s="23" t="str">
        <x:v>weeks</x:v>
      </x:c>
    </x:row>
    <x:row r="8">
      <x:c r="A8" s="23" t="str">
        <x:v>Concurrent public positions</x:v>
      </x:c>
      <x:c r="B8" s="41" t="n">
        <x:v>21000</x:v>
      </x:c>
      <x:c r="C8" s="41" t="n">
        <x:v>32000</x:v>
      </x:c>
      <x:c r="D8" s="41" t="n">
        <x:f>C8-B8</x:f>
        <x:v>11000</x:v>
      </x:c>
      <x:c r="E8" s="53" t="n">
        <x:f>'Assumptions'!B42+'Assumptions'!B43+'Assumptions'!B44</x:f>
        <x:v>29850</x:v>
      </x:c>
      <x:c r="F8" s="41" t="n">
        <x:f>C8-E8</x:f>
        <x:v>2150</x:v>
      </x:c>
      <x:c r="G8" s="23" t="str">
        <x:v>positions</x:v>
      </x:c>
    </x:row>
    <x:row r="9">
      <x:c r="A9" s="23" t="str">
        <x:v>Capital</x:v>
      </x:c>
      <x:c r="B9" s="41" t="n">
        <x:v>75000</x:v>
      </x:c>
      <x:c r="C9" s="41" t="n">
        <x:v>275000</x:v>
      </x:c>
      <x:c r="D9" s="41" t="n">
        <x:f>C9-B9</x:f>
        <x:v>200000</x:v>
      </x:c>
      <x:c r="E9" s="53" t="n">
        <x:f>'Assumptions'!B50+'PE Capital'!D15</x:f>
        <x:v>233680.00000000003</x:v>
      </x:c>
      <x:c r="F9" s="41" t="n">
        <x:f>C9-E9</x:f>
        <x:v>41319.99999999997</x:v>
      </x:c>
      <x:c r="G9" s="23" t="str">
        <x:v>USD M</x:v>
      </x:c>
    </x:row>
    <x:row r="10">
      <x:c r="A10" s="23" t="str">
        <x:v>Annual support</x:v>
      </x:c>
      <x:c r="B10" s="41" t="n">
        <x:v>6000</x:v>
      </x:c>
      <x:c r="C10" s="41" t="n">
        <x:v>18000</x:v>
      </x:c>
      <x:c r="D10" s="41" t="n">
        <x:f>C10-B10</x:f>
        <x:v>12000</x:v>
      </x:c>
      <x:c r="E10" s="53" t="n">
        <x:f>'Assumptions'!B52+'Assumptions'!B53+'Annual Support'!B14</x:f>
        <x:v>15170</x:v>
      </x:c>
      <x:c r="F10" s="41" t="n">
        <x:f>C10-E10</x:f>
        <x:v>2830</x:v>
      </x:c>
      <x:c r="G10" s="23" t="str">
        <x:v>USD M/year</x:v>
      </x:c>
    </x:row>
    <x:row r="11">
      <x:c r="A11" s="24" t="str">
        <x:v>Technology</x:v>
      </x:c>
      <x:c r="B11" s="42" t="n">
        <x:v>35000</x:v>
      </x:c>
      <x:c r="C11" s="42" t="n">
        <x:v>60000</x:v>
      </x:c>
      <x:c r="D11" s="42" t="n">
        <x:f>C11-B11</x:f>
        <x:v>25000</x:v>
      </x:c>
      <x:c r="E11" s="54" t="n">
        <x:f>'Assumptions'!B51+Technology!B20</x:f>
        <x:v>43235</x:v>
      </x:c>
      <x:c r="F11" s="42" t="n">
        <x:f>C11-E11</x:f>
        <x:v>16765</x:v>
      </x:c>
      <x:c r="G11" s="24" t="str">
        <x:v>USD M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76" hidden="0" customWidth="1"/>
    <x:col min="3" max="3" width="16" hidden="0" customWidth="1"/>
    <x:col min="4" max="4" width="36" hidden="0" customWidth="1"/>
  </x:cols>
  <x:sheetData>
    <x:row r="2" ht="24" customHeight="1">
      <x:c r="A2" s="2" t="str">
        <x:v>Production-equivalent release gates</x:v>
      </x:c>
      <x:c r="B2" s="2"/>
      <x:c r="C2" s="2"/>
      <x:c r="D2" s="2"/>
    </x:row>
    <x:row r="3" ht="20" customHeight="1">
      <x:c r="A3" s="3" t="str">
        <x:v>Planning registration does not close physical or authority evidence.</x:v>
      </x:c>
      <x:c r="B3" s="3"/>
      <x:c r="C3" s="3"/>
      <x:c r="D3" s="3"/>
    </x:row>
    <x:row r="5" ht="28" customHeight="1">
      <x:c r="A5" s="15" t="str">
        <x:v>Gate</x:v>
      </x:c>
      <x:c r="B5" s="16" t="str">
        <x:v>Required evidence</x:v>
      </x:c>
      <x:c r="C5" s="16" t="str">
        <x:v>State</x:v>
      </x:c>
      <x:c r="D5" s="17" t="str">
        <x:v>Release owner</x:v>
      </x:c>
    </x:row>
    <x:row r="6">
      <x:c r="A6" s="22" t="str">
        <x:v>RBS-1 architecture admission</x:v>
      </x:c>
      <x:c r="B6" s="22" t="str">
        <x:v>Registered physical, human, industrial and native evidence</x:v>
      </x:c>
      <x:c r="C6" s="22" t="str">
        <x:v>OPEN</x:v>
      </x:c>
      <x:c r="D6" s="22" t="str">
        <x:v>Independent release board</x:v>
      </x:c>
    </x:row>
    <x:row r="7">
      <x:c r="A7" s="23" t="str">
        <x:v>Common mission kernel frozen</x:v>
      </x:c>
      <x:c r="B7" s="23" t="str">
        <x:v>Registered physical, human, industrial and native evidence</x:v>
      </x:c>
      <x:c r="C7" s="23" t="str">
        <x:v>OPEN</x:v>
      </x:c>
      <x:c r="D7" s="23" t="str">
        <x:v>Independent release board</x:v>
      </x:c>
    </x:row>
    <x:row r="8">
      <x:c r="A8" s="23" t="str">
        <x:v>Complete set bill frozen</x:v>
      </x:c>
      <x:c r="B8" s="23" t="str">
        <x:v>Registered physical, human, industrial and native evidence</x:v>
      </x:c>
      <x:c r="C8" s="23" t="str">
        <x:v>OPEN</x:v>
      </x:c>
      <x:c r="D8" s="23" t="str">
        <x:v>Independent release board</x:v>
      </x:c>
    </x:row>
    <x:row r="9">
      <x:c r="A9" s="23" t="str">
        <x:v>Every load position allocated</x:v>
      </x:c>
      <x:c r="B9" s="23" t="str">
        <x:v>Registered physical, human, industrial and native evidence</x:v>
      </x:c>
      <x:c r="C9" s="23" t="str">
        <x:v>OPEN</x:v>
      </x:c>
      <x:c r="D9" s="23" t="str">
        <x:v>Independent release board</x:v>
      </x:c>
    </x:row>
    <x:row r="10">
      <x:c r="A10" s="23" t="str">
        <x:v>Regional packet plan accepted</x:v>
      </x:c>
      <x:c r="B10" s="23" t="str">
        <x:v>Registered physical, human, industrial and native evidence</x:v>
      </x:c>
      <x:c r="C10" s="23" t="str">
        <x:v>OPEN</x:v>
      </x:c>
      <x:c r="D10" s="23" t="str">
        <x:v>Independent release board</x:v>
      </x:c>
    </x:row>
    <x:row r="11">
      <x:c r="A11" s="23" t="str">
        <x:v>National transport case accepted</x:v>
      </x:c>
      <x:c r="B11" s="23" t="str">
        <x:v>Registered physical, human, industrial and native evidence</x:v>
      </x:c>
      <x:c r="C11" s="23" t="str">
        <x:v>OPEN</x:v>
      </x:c>
      <x:c r="D11" s="23" t="str">
        <x:v>Independent release board</x:v>
      </x:c>
    </x:row>
    <x:row r="12">
      <x:c r="A12" s="23" t="str">
        <x:v>Twelve-cell residual service</x:v>
      </x:c>
      <x:c r="B12" s="23" t="str">
        <x:v>Registered physical, human, industrial and native evidence</x:v>
      </x:c>
      <x:c r="C12" s="23" t="str">
        <x:v>OPEN</x:v>
      </x:c>
      <x:c r="D12" s="23" t="str">
        <x:v>Independent release board</x:v>
      </x:c>
    </x:row>
    <x:row r="13">
      <x:c r="A13" s="23" t="str">
        <x:v>Treatment one-train loss</x:v>
      </x:c>
      <x:c r="B13" s="23" t="str">
        <x:v>Registered physical, human, industrial and native evidence</x:v>
      </x:c>
      <x:c r="C13" s="23" t="str">
        <x:v>OPEN</x:v>
      </x:c>
      <x:c r="D13" s="23" t="str">
        <x:v>Independent release board</x:v>
      </x:c>
    </x:row>
    <x:row r="14">
      <x:c r="A14" s="23" t="str">
        <x:v>Intake one-path loss</x:v>
      </x:c>
      <x:c r="B14" s="23" t="str">
        <x:v>Registered physical, human, industrial and native evidence</x:v>
      </x:c>
      <x:c r="C14" s="23" t="str">
        <x:v>OPEN</x:v>
      </x:c>
      <x:c r="D14" s="23" t="str">
        <x:v>Independent release board</x:v>
      </x:c>
    </x:row>
    <x:row r="15">
      <x:c r="A15" s="23" t="str">
        <x:v>Energy one-island loss</x:v>
      </x:c>
      <x:c r="B15" s="23" t="str">
        <x:v>Registered physical, human, industrial and native evidence</x:v>
      </x:c>
      <x:c r="C15" s="23" t="str">
        <x:v>OPEN</x:v>
      </x:c>
      <x:c r="D15" s="23" t="str">
        <x:v>Independent release board</x:v>
      </x:c>
    </x:row>
    <x:row r="16">
      <x:c r="A16" s="23" t="str">
        <x:v>Recovery one-train loss</x:v>
      </x:c>
      <x:c r="B16" s="23" t="str">
        <x:v>Registered physical, human, industrial and native evidence</x:v>
      </x:c>
      <x:c r="C16" s="23" t="str">
        <x:v>OPEN</x:v>
      </x:c>
      <x:c r="D16" s="23" t="str">
        <x:v>Independent release board</x:v>
      </x:c>
    </x:row>
    <x:row r="17">
      <x:c r="A17" s="23" t="str">
        <x:v>Ready-storage loss</x:v>
      </x:c>
      <x:c r="B17" s="23" t="str">
        <x:v>Registered physical, human, industrial and native evidence</x:v>
      </x:c>
      <x:c r="C17" s="23" t="str">
        <x:v>OPEN</x:v>
      </x:c>
      <x:c r="D17" s="23" t="str">
        <x:v>Independent release board</x:v>
      </x:c>
    </x:row>
    <x:row r="18">
      <x:c r="A18" s="23" t="str">
        <x:v>Surge-zone quarantine</x:v>
      </x:c>
      <x:c r="B18" s="23" t="str">
        <x:v>Registered physical, human, industrial and native evidence</x:v>
      </x:c>
      <x:c r="C18" s="23" t="str">
        <x:v>OPEN</x:v>
      </x:c>
      <x:c r="D18" s="23" t="str">
        <x:v>Independent release board</x:v>
      </x:c>
    </x:row>
    <x:row r="19">
      <x:c r="A19" s="23" t="str">
        <x:v>Four-watch crew qualification</x:v>
      </x:c>
      <x:c r="B19" s="23" t="str">
        <x:v>Registered physical, human, industrial and native evidence</x:v>
      </x:c>
      <x:c r="C19" s="23" t="str">
        <x:v>OPEN</x:v>
      </x:c>
      <x:c r="D19" s="23" t="str">
        <x:v>Independent release board</x:v>
      </x:c>
    </x:row>
    <x:row r="20">
      <x:c r="A20" s="23" t="str">
        <x:v>Eight-set rotation</x:v>
      </x:c>
      <x:c r="B20" s="23" t="str">
        <x:v>Registered physical, human, industrial and native evidence</x:v>
      </x:c>
      <x:c r="C20" s="23" t="str">
        <x:v>OPEN</x:v>
      </x:c>
      <x:c r="D20" s="23" t="str">
        <x:v>Independent release board</x:v>
      </x:c>
    </x:row>
    <x:row r="21">
      <x:c r="A21" s="23" t="str">
        <x:v>Three-arsenal N-1 capacity</x:v>
      </x:c>
      <x:c r="B21" s="23" t="str">
        <x:v>Registered physical, human, industrial and native evidence</x:v>
      </x:c>
      <x:c r="C21" s="23" t="str">
        <x:v>OPEN</x:v>
      </x:c>
      <x:c r="D21" s="23" t="str">
        <x:v>Independent release board</x:v>
      </x:c>
    </x:row>
    <x:row r="22">
      <x:c r="A22" s="23" t="str">
        <x:v>L0 through L4 repair</x:v>
      </x:c>
      <x:c r="B22" s="23" t="str">
        <x:v>Registered physical, human, industrial and native evidence</x:v>
      </x:c>
      <x:c r="C22" s="23" t="str">
        <x:v>OPEN</x:v>
      </x:c>
      <x:c r="D22" s="23" t="str">
        <x:v>Independent release board</x:v>
      </x:c>
    </x:row>
    <x:row r="23">
      <x:c r="A23" s="23" t="str">
        <x:v>Two system builders per candidate</x:v>
      </x:c>
      <x:c r="B23" s="23" t="str">
        <x:v>Registered physical, human, industrial and native evidence</x:v>
      </x:c>
      <x:c r="C23" s="23" t="str">
        <x:v>OPEN</x:v>
      </x:c>
      <x:c r="D23" s="23" t="str">
        <x:v>Independent release board</x:v>
      </x:c>
    </x:row>
    <x:row r="24">
      <x:c r="A24" s="23" t="str">
        <x:v>Thirty-four module-root cells</x:v>
      </x:c>
      <x:c r="B24" s="23" t="str">
        <x:v>Registered physical, human, industrial and native evidence</x:v>
      </x:c>
      <x:c r="C24" s="23" t="str">
        <x:v>OPEN</x:v>
      </x:c>
      <x:c r="D24" s="23" t="str">
        <x:v>Independent release board</x:v>
      </x:c>
    </x:row>
    <x:row r="25">
      <x:c r="A25" s="23" t="str">
        <x:v>Consecutive-build disclosure</x:v>
      </x:c>
      <x:c r="B25" s="23" t="str">
        <x:v>Registered physical, human, industrial and native evidence</x:v>
      </x:c>
      <x:c r="C25" s="23" t="str">
        <x:v>OPEN</x:v>
      </x:c>
      <x:c r="D25" s="23" t="str">
        <x:v>Independent release board</x:v>
      </x:c>
    </x:row>
    <x:row r="26">
      <x:c r="A26" s="23" t="str">
        <x:v>Outside build reproduction</x:v>
      </x:c>
      <x:c r="B26" s="23" t="str">
        <x:v>Registered physical, human, industrial and native evidence</x:v>
      </x:c>
      <x:c r="C26" s="23" t="str">
        <x:v>OPEN</x:v>
      </x:c>
      <x:c r="D26" s="23" t="str">
        <x:v>Independent release board</x:v>
      </x:c>
    </x:row>
    <x:row r="27">
      <x:c r="A27" s="23" t="str">
        <x:v>Public repair and configuration rights</x:v>
      </x:c>
      <x:c r="B27" s="23" t="str">
        <x:v>Registered physical, human, industrial and native evidence</x:v>
      </x:c>
      <x:c r="C27" s="23" t="str">
        <x:v>OPEN</x:v>
      </x:c>
      <x:c r="D27" s="23" t="str">
        <x:v>Independent release board</x:v>
      </x:c>
    </x:row>
    <x:row r="28">
      <x:c r="A28" s="23" t="str">
        <x:v>Component destructive work</x:v>
      </x:c>
      <x:c r="B28" s="23" t="str">
        <x:v>Registered physical, human, industrial and native evidence</x:v>
      </x:c>
      <x:c r="C28" s="23" t="str">
        <x:v>OPEN</x:v>
      </x:c>
      <x:c r="D28" s="23" t="str">
        <x:v>Independent release board</x:v>
      </x:c>
    </x:row>
    <x:row r="29">
      <x:c r="A29" s="23" t="str">
        <x:v>Four full-system terminal articles</x:v>
      </x:c>
      <x:c r="B29" s="23" t="str">
        <x:v>Registered physical, human, industrial and native evidence</x:v>
      </x:c>
      <x:c r="C29" s="23" t="str">
        <x:v>OPEN</x:v>
      </x:c>
      <x:c r="D29" s="23" t="str">
        <x:v>Independent release board</x:v>
      </x:c>
    </x:row>
    <x:row r="30">
      <x:c r="A30" s="23" t="str">
        <x:v>168 mission trials</x:v>
      </x:c>
      <x:c r="B30" s="23" t="str">
        <x:v>Registered physical, human, industrial and native evidence</x:v>
      </x:c>
      <x:c r="C30" s="23" t="str">
        <x:v>OPEN</x:v>
      </x:c>
      <x:c r="D30" s="23" t="str">
        <x:v>Independent release board</x:v>
      </x:c>
    </x:row>
    <x:row r="31">
      <x:c r="A31" s="23" t="str">
        <x:v>Eighty-four regeneration records</x:v>
      </x:c>
      <x:c r="B31" s="23" t="str">
        <x:v>Registered physical, human, industrial and native evidence</x:v>
      </x:c>
      <x:c r="C31" s="23" t="str">
        <x:v>OPEN</x:v>
      </x:c>
      <x:c r="D31" s="23" t="str">
        <x:v>Independent release board</x:v>
      </x:c>
    </x:row>
    <x:row r="32">
      <x:c r="A32" s="23" t="str">
        <x:v>Outside evidence reconstruction</x:v>
      </x:c>
      <x:c r="B32" s="23" t="str">
        <x:v>Registered physical, human, industrial and native evidence</x:v>
      </x:c>
      <x:c r="C32" s="23" t="str">
        <x:v>OPEN</x:v>
      </x:c>
      <x:c r="D32" s="23" t="str">
        <x:v>Independent release board</x:v>
      </x:c>
    </x:row>
    <x:row r="33">
      <x:c r="A33" s="24" t="str">
        <x:v>Parent authority</x:v>
      </x:c>
      <x:c r="B33" s="24" t="str">
        <x:v>Registered physical, human, industrial and native evidence</x:v>
      </x:c>
      <x:c r="C33" s="24" t="str">
        <x:v>OPEN</x:v>
      </x:c>
      <x:c r="D33" s="24" t="str">
        <x:v>Parent authority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24" hidden="0" customWidth="1"/>
    <x:col min="3" max="3" width="24" hidden="0" customWidth="1"/>
    <x:col min="4" max="4" width="16" hidden="0" customWidth="1"/>
  </x:cols>
  <x:sheetData>
    <x:row r="2" ht="24" customHeight="1">
      <x:c r="A2" s="2" t="str">
        <x:v>Workbook audit</x:v>
      </x:c>
      <x:c r="B2" s="2"/>
      <x:c r="C2" s="2"/>
      <x:c r="D2" s="2"/>
    </x:row>
    <x:row r="3" ht="20" customHeight="1">
      <x:c r="A3" s="3" t="str">
        <x:v>Checks are terminal and do not feed the model.</x:v>
      </x:c>
      <x:c r="B3" s="3"/>
      <x:c r="C3" s="3"/>
      <x:c r="D3" s="3"/>
    </x:row>
    <x:row r="5" ht="28" customHeight="1">
      <x:c r="A5" s="15" t="str">
        <x:v>Check</x:v>
      </x:c>
      <x:c r="B5" s="16" t="str">
        <x:v>Calculated</x:v>
      </x:c>
      <x:c r="C5" s="16" t="str">
        <x:v>Expected</x:v>
      </x:c>
      <x:c r="D5" s="17" t="str">
        <x:v>Status</x:v>
      </x:c>
    </x:row>
    <x:row r="6">
      <x:c r="A6" s="22" t="str">
        <x:v>Set mass</x:v>
      </x:c>
      <x:c r="B6" s="52" t="n">
        <x:f>'Set Bill'!E27</x:f>
        <x:v>7086.848</x:v>
      </x:c>
      <x:c r="C6" s="40" t="n">
        <x:v>7086.848</x:v>
      </x:c>
      <x:c r="D6" s="22" t="str">
        <x:f>IF(ABS(B6-C6)&lt;=MAX(0.001,ABS(C6)*0.0000001),"PASS","CHECK")</x:f>
        <x:v>PASS</x:v>
      </x:c>
    </x:row>
    <x:row r="7">
      <x:c r="A7" s="23" t="str">
        <x:v>Set load positions</x:v>
      </x:c>
      <x:c r="B7" s="53" t="n">
        <x:f>'Set Bill'!F27</x:f>
        <x:v>312</x:v>
      </x:c>
      <x:c r="C7" s="41" t="n">
        <x:v>312</x:v>
      </x:c>
      <x:c r="D7" s="23" t="str">
        <x:f>IF(ABS(B7-C7)&lt;=MAX(0.001,ABS(C7)*0.0000001),"PASS","CHECK")</x:f>
        <x:v>PASS</x:v>
      </x:c>
    </x:row>
    <x:row r="8">
      <x:c r="A8" s="23" t="str">
        <x:v>Set equipment cost</x:v>
      </x:c>
      <x:c r="B8" s="53" t="n">
        <x:f>'Set Bill'!H27</x:f>
        <x:v>7611.1</x:v>
      </x:c>
      <x:c r="C8" s="41" t="n">
        <x:v>7611.1</x:v>
      </x:c>
      <x:c r="D8" s="23" t="str">
        <x:f>IF(ABS(B8-C8)&lt;=MAX(0.001,ABS(C8)*0.0000001),"PASS","CHECK")</x:f>
        <x:v>PASS</x:v>
      </x:c>
    </x:row>
    <x:row r="9">
      <x:c r="A9" s="23" t="str">
        <x:v>Payload capacity</x:v>
      </x:c>
      <x:c r="B9" s="53" t="n">
        <x:f>Transport!B7</x:f>
        <x:v>9360</x:v>
      </x:c>
      <x:c r="C9" s="41" t="n">
        <x:v>9360</x:v>
      </x:c>
      <x:c r="D9" s="23" t="str">
        <x:f>IF(ABS(B9-C9)&lt;=MAX(0.001,ABS(C9)*0.0000001),"PASS","CHECK")</x:f>
        <x:v>PASS</x:v>
      </x:c>
    </x:row>
    <x:row r="10">
      <x:c r="A10" s="23" t="str">
        <x:v>Payload utilization</x:v>
      </x:c>
      <x:c r="B10" s="53" t="n">
        <x:f>Transport!B9</x:f>
        <x:v>0.7571418803418803</x:v>
      </x:c>
      <x:c r="C10" s="41" t="n">
        <x:v>0.7571418803418803</x:v>
      </x:c>
      <x:c r="D10" s="23" t="str">
        <x:f>IF(ABS(B10-C10)&lt;=MAX(0.001,ABS(C10)*0.0000001),"PASS","CHECK")</x:f>
        <x:v>PASS</x:v>
      </x:c>
    </x:row>
    <x:row r="11">
      <x:c r="A11" s="23" t="str">
        <x:v>Rolling set mass</x:v>
      </x:c>
      <x:c r="B11" s="53" t="n">
        <x:f>Transport!B12</x:f>
        <x:v>17046.847999999998</x:v>
      </x:c>
      <x:c r="C11" s="41" t="n">
        <x:v>17046.848</x:v>
      </x:c>
      <x:c r="D11" s="23" t="str">
        <x:f>IF(ABS(B11-C11)&lt;=MAX(0.001,ABS(C11)*0.0000001),"PASS","CHECK")</x:f>
        <x:v>PASS</x:v>
      </x:c>
    </x:row>
    <x:row r="12">
      <x:c r="A12" s="23" t="str">
        <x:v>Road span</x:v>
      </x:c>
      <x:c r="B12" s="53" t="n">
        <x:f>Transport!B13</x:f>
        <x:v>26.25</x:v>
      </x:c>
      <x:c r="C12" s="41" t="n">
        <x:v>26.25</x:v>
      </x:c>
      <x:c r="D12" s="23" t="str">
        <x:f>IF(ABS(B12-C12)&lt;=MAX(0.001,ABS(C12)*0.0000001),"PASS","CHECK")</x:f>
        <x:v>PASS</x:v>
      </x:c>
    </x:row>
    <x:row r="13">
      <x:c r="A13" s="23" t="str">
        <x:v>Road packets</x:v>
      </x:c>
      <x:c r="B13" s="53" t="n">
        <x:f>Transport!B14</x:f>
        <x:v>14</x:v>
      </x:c>
      <x:c r="C13" s="41" t="n">
        <x:v>14</x:v>
      </x:c>
      <x:c r="D13" s="23" t="str">
        <x:f>IF(ABS(B13-C13)&lt;=MAX(0.001,ABS(C13)*0.0000001),"PASS","CHECK")</x:f>
        <x:v>PASS</x:v>
      </x:c>
    </x:row>
    <x:row r="14">
      <x:c r="A14" s="23" t="str">
        <x:v>Echelon positions</x:v>
      </x:c>
      <x:c r="B14" s="53" t="n">
        <x:f>Transport!F11</x:f>
        <x:v>312</x:v>
      </x:c>
      <x:c r="C14" s="41" t="n">
        <x:v>312</x:v>
      </x:c>
      <x:c r="D14" s="23" t="str">
        <x:f>IF(ABS(B14-C14)&lt;=MAX(0.001,ABS(C14)*0.0000001),"PASS","CHECK")</x:f>
        <x:v>PASS</x:v>
      </x:c>
    </x:row>
    <x:row r="15">
      <x:c r="A15" s="23" t="str">
        <x:v>Continuous stations</x:v>
      </x:c>
      <x:c r="B15" s="53" t="n">
        <x:f>Crew!B14</x:f>
        <x:v>237</x:v>
      </x:c>
      <x:c r="C15" s="41" t="n">
        <x:v>237</x:v>
      </x:c>
      <x:c r="D15" s="23" t="str">
        <x:f>IF(ABS(B15-C15)&lt;=MAX(0.001,ABS(C15)*0.0000001),"PASS","CHECK")</x:f>
        <x:v>PASS</x:v>
      </x:c>
    </x:row>
    <x:row r="16">
      <x:c r="A16" s="23" t="str">
        <x:v>Four-watch positions</x:v>
      </x:c>
      <x:c r="B16" s="53" t="n">
        <x:f>Crew!B16</x:f>
        <x:v>948</x:v>
      </x:c>
      <x:c r="C16" s="41" t="n">
        <x:v>948</x:v>
      </x:c>
      <x:c r="D16" s="23" t="str">
        <x:f>IF(ABS(B16-C16)&lt;=MAX(0.001,ABS(C16)*0.0000001),"PASS","CHECK")</x:f>
        <x:v>PASS</x:v>
      </x:c>
    </x:row>
    <x:row r="17">
      <x:c r="A17" s="23" t="str">
        <x:v>Peak/day positions</x:v>
      </x:c>
      <x:c r="B17" s="53" t="n">
        <x:f>Crew!B22</x:f>
        <x:v>492</x:v>
      </x:c>
      <x:c r="C17" s="41" t="n">
        <x:v>492</x:v>
      </x:c>
      <x:c r="D17" s="23" t="str">
        <x:f>IF(ABS(B17-C17)&lt;=MAX(0.001,ABS(C17)*0.0000001),"PASS","CHECK")</x:f>
        <x:v>PASS</x:v>
      </x:c>
    </x:row>
    <x:row r="18">
      <x:c r="A18" s="23" t="str">
        <x:v>Set crew</x:v>
      </x:c>
      <x:c r="B18" s="53" t="n">
        <x:f>Crew!B23</x:f>
        <x:v>1440</x:v>
      </x:c>
      <x:c r="C18" s="41" t="n">
        <x:v>1440</x:v>
      </x:c>
      <x:c r="D18" s="23" t="str">
        <x:f>IF(ABS(B18-C18)&lt;=MAX(0.001,ABS(C18)*0.0000001),"PASS","CHECK")</x:f>
        <x:v>PASS</x:v>
      </x:c>
    </x:row>
    <x:row r="19">
      <x:c r="A19" s="23" t="str">
        <x:v>Eight set crews</x:v>
      </x:c>
      <x:c r="B19" s="53" t="n">
        <x:f>Crew!B24</x:f>
        <x:v>11520</x:v>
      </x:c>
      <x:c r="C19" s="41" t="n">
        <x:v>11520</x:v>
      </x:c>
      <x:c r="D19" s="23" t="str">
        <x:f>IF(ABS(B19-C19)&lt;=MAX(0.001,ABS(C19)*0.0000001),"PASS","CHECK")</x:f>
        <x:v>PASS</x:v>
      </x:c>
    </x:row>
    <x:row r="20">
      <x:c r="A20" s="23" t="str">
        <x:v>Group common</x:v>
      </x:c>
      <x:c r="B20" s="53" t="n">
        <x:f>Crew!B31</x:f>
        <x:v>2700</x:v>
      </x:c>
      <x:c r="C20" s="41" t="n">
        <x:v>2700</x:v>
      </x:c>
      <x:c r="D20" s="23" t="str">
        <x:f>IF(ABS(B20-C20)&lt;=MAX(0.001,ABS(C20)*0.0000001),"PASS","CHECK")</x:f>
        <x:v>PASS</x:v>
      </x:c>
    </x:row>
    <x:row r="21">
      <x:c r="A21" s="23" t="str">
        <x:v>Operational group</x:v>
      </x:c>
      <x:c r="B21" s="53" t="n">
        <x:f>Crew!B32</x:f>
        <x:v>14220</x:v>
      </x:c>
      <x:c r="C21" s="41" t="n">
        <x:v>14220</x:v>
      </x:c>
      <x:c r="D21" s="23" t="str">
        <x:f>IF(ABS(B21-C21)&lt;=MAX(0.001,ABS(C21)*0.0000001),"PASS","CHECK")</x:f>
        <x:v>PASS</x:v>
      </x:c>
    </x:row>
    <x:row r="22">
      <x:c r="A22" s="23" t="str">
        <x:v>Steady public formation</x:v>
      </x:c>
      <x:c r="B22" s="53" t="n">
        <x:f>Crew!B34</x:f>
        <x:v>21570</x:v>
      </x:c>
      <x:c r="C22" s="41" t="n">
        <x:v>21570</x:v>
      </x:c>
      <x:c r="D22" s="23" t="str">
        <x:f>IF(ABS(B22-C22)&lt;=MAX(0.001,ABS(C22)*0.0000001),"PASS","CHECK")</x:f>
        <x:v>PASS</x:v>
      </x:c>
    </x:row>
    <x:row r="23">
      <x:c r="A23" s="23" t="str">
        <x:v>Occupied interval</x:v>
      </x:c>
      <x:c r="B23" s="53" t="n">
        <x:f>Rotation!B10</x:f>
        <x:v>450</x:v>
      </x:c>
      <x:c r="C23" s="41" t="n">
        <x:v>450</x:v>
      </x:c>
      <x:c r="D23" s="23" t="str">
        <x:f>IF(ABS(B23-C23)&lt;=MAX(0.001,ABS(C23)*0.0000001),"PASS","CHECK")</x:f>
        <x:v>PASS</x:v>
      </x:c>
    </x:row>
    <x:row r="24">
      <x:c r="A24" s="23" t="str">
        <x:v>Six-set interval</x:v>
      </x:c>
      <x:c r="B24" s="53" t="n">
        <x:f>Rotation!B12</x:f>
        <x:v>432</x:v>
      </x:c>
      <x:c r="C24" s="41" t="n">
        <x:v>432</x:v>
      </x:c>
      <x:c r="D24" s="23" t="str">
        <x:f>IF(ABS(B24-C24)&lt;=MAX(0.001,ABS(C24)*0.0000001),"PASS","CHECK")</x:f>
        <x:v>PASS</x:v>
      </x:c>
    </x:row>
    <x:row r="25">
      <x:c r="A25" s="23" t="str">
        <x:v>Six-set shortfall</x:v>
      </x:c>
      <x:c r="B25" s="53" t="n">
        <x:f>Rotation!B13</x:f>
        <x:v>18</x:v>
      </x:c>
      <x:c r="C25" s="41" t="n">
        <x:v>18</x:v>
      </x:c>
      <x:c r="D25" s="23" t="str">
        <x:f>IF(ABS(B25-C25)&lt;=MAX(0.001,ABS(C25)*0.0000001),"PASS","CHECK")</x:f>
        <x:v>PASS</x:v>
      </x:c>
    </x:row>
    <x:row r="26">
      <x:c r="A26" s="23" t="str">
        <x:v>Line sets</x:v>
      </x:c>
      <x:c r="B26" s="53" t="n">
        <x:f>Rotation!B14</x:f>
        <x:v>7</x:v>
      </x:c>
      <x:c r="C26" s="41" t="n">
        <x:v>7</x:v>
      </x:c>
      <x:c r="D26" s="23" t="str">
        <x:f>IF(ABS(B26-C26)&lt;=MAX(0.001,ABS(C26)*0.0000001),"PASS","CHECK")</x:f>
        <x:v>PASS</x:v>
      </x:c>
    </x:row>
    <x:row r="27">
      <x:c r="A27" s="23" t="str">
        <x:v>Group sets</x:v>
      </x:c>
      <x:c r="B27" s="53" t="n">
        <x:f>Rotation!B16</x:f>
        <x:v>8</x:v>
      </x:c>
      <x:c r="C27" s="41" t="n">
        <x:v>8</x:v>
      </x:c>
      <x:c r="D27" s="23" t="str">
        <x:f>IF(ABS(B27-C27)&lt;=MAX(0.001,ABS(C27)*0.0000001),"PASS","CHECK")</x:f>
        <x:v>PASS</x:v>
      </x:c>
    </x:row>
    <x:row r="28">
      <x:c r="A28" s="23" t="str">
        <x:v>Average regeneration bays</x:v>
      </x:c>
      <x:c r="B28" s="53" t="n">
        <x:f>Arsenals!B8</x:f>
        <x:v>4.666666666666667</x:v>
      </x:c>
      <x:c r="C28" s="41" t="n">
        <x:v>4.666666666666667</x:v>
      </x:c>
      <x:c r="D28" s="23" t="str">
        <x:f>IF(ABS(B28-C28)&lt;=MAX(0.001,ABS(C28)*0.0000001),"PASS","CHECK")</x:f>
        <x:v>PASS</x:v>
      </x:c>
    </x:row>
    <x:row r="29">
      <x:c r="A29" s="23" t="str">
        <x:v>One-site-loss bays</x:v>
      </x:c>
      <x:c r="B29" s="53" t="n">
        <x:f>Arsenals!B13</x:f>
        <x:v>6</x:v>
      </x:c>
      <x:c r="C29" s="41" t="n">
        <x:v>6</x:v>
      </x:c>
      <x:c r="D29" s="23" t="str">
        <x:f>IF(ABS(B29-C29)&lt;=MAX(0.001,ABS(C29)*0.0000001),"PASS","CHECK")</x:f>
        <x:v>PASS</x:v>
      </x:c>
    </x:row>
    <x:row r="30">
      <x:c r="A30" s="23" t="str">
        <x:v>One-site-loss utilization</x:v>
      </x:c>
      <x:c r="B30" s="53" t="n">
        <x:f>Arsenals!B14</x:f>
        <x:v>0.7777777777777778</x:v>
      </x:c>
      <x:c r="C30" s="41" t="n">
        <x:v>0.7777777777777778</x:v>
      </x:c>
      <x:c r="D30" s="23" t="str">
        <x:f>IF(ABS(B30-C30)&lt;=MAX(0.001,ABS(C30)*0.0000001),"PASS","CHECK")</x:f>
        <x:v>PASS</x:v>
      </x:c>
    </x:row>
    <x:row r="31">
      <x:c r="A31" s="23" t="str">
        <x:v>Group reserve cost</x:v>
      </x:c>
      <x:c r="B31" s="53" t="n">
        <x:f>'Group Reserve'!E21</x:f>
        <x:v>13706</x:v>
      </x:c>
      <x:c r="C31" s="41" t="n">
        <x:v>13706</x:v>
      </x:c>
      <x:c r="D31" s="23" t="str">
        <x:f>IF(ABS(B31-C31)&lt;=MAX(0.001,ABS(C31)*0.0000001),"PASS","CHECK")</x:f>
        <x:v>PASS</x:v>
      </x:c>
    </x:row>
    <x:row r="32">
      <x:c r="A32" s="23" t="str">
        <x:v>System-root cells</x:v>
      </x:c>
      <x:c r="B32" s="53" t="n">
        <x:f>COUNTA('System Roots'!A6:A9)</x:f>
        <x:v>4</x:v>
      </x:c>
      <x:c r="C32" s="41" t="n">
        <x:v>4</x:v>
      </x:c>
      <x:c r="D32" s="23" t="str">
        <x:f>IF(ABS(B32-C32)&lt;=MAX(0.001,ABS(C32)*0.0000001),"PASS","CHECK")</x:f>
        <x:v>PASS</x:v>
      </x:c>
    </x:row>
    <x:row r="33">
      <x:c r="A33" s="23" t="str">
        <x:v>Production-equivalent systems</x:v>
      </x:c>
      <x:c r="B33" s="53" t="n">
        <x:f>'System Roots'!D10</x:f>
        <x:v>12</x:v>
      </x:c>
      <x:c r="C33" s="41" t="n">
        <x:v>12</x:v>
      </x:c>
      <x:c r="D33" s="23" t="str">
        <x:f>IF(ABS(B33-C33)&lt;=MAX(0.001,ABS(C33)*0.0000001),"PASS","CHECK")</x:f>
        <x:v>PASS</x:v>
      </x:c>
    </x:row>
    <x:row r="34">
      <x:c r="A34" s="23" t="str">
        <x:v>Terminal systems</x:v>
      </x:c>
      <x:c r="B34" s="53" t="n">
        <x:f>'System Roots'!E10</x:f>
        <x:v>4</x:v>
      </x:c>
      <x:c r="C34" s="41" t="n">
        <x:v>4</x:v>
      </x:c>
      <x:c r="D34" s="23" t="str">
        <x:f>IF(ABS(B34-C34)&lt;=MAX(0.001,ABS(C34)*0.0000001),"PASS","CHECK")</x:f>
        <x:v>PASS</x:v>
      </x:c>
    </x:row>
    <x:row r="35">
      <x:c r="A35" s="23" t="str">
        <x:v>Module-root cells</x:v>
      </x:c>
      <x:c r="B35" s="53" t="n">
        <x:f>COUNTA('Module Roots'!A6:A60)</x:f>
        <x:v>34</x:v>
      </x:c>
      <x:c r="C35" s="41" t="n">
        <x:v>34</x:v>
      </x:c>
      <x:c r="D35" s="23" t="str">
        <x:f>IF(ABS(B35-C35)&lt;=MAX(0.001,ABS(C35)*0.0000001),"PASS","CHECK")</x:f>
        <x:v>PASS</x:v>
      </x:c>
    </x:row>
    <x:row r="36">
      <x:c r="A36" s="23" t="str">
        <x:v>Process-window units</x:v>
      </x:c>
      <x:c r="B36" s="53" t="n">
        <x:f>SUM('Module Roots'!D6:D60)</x:f>
        <x:v>136</x:v>
      </x:c>
      <x:c r="C36" s="41" t="n">
        <x:v>136</x:v>
      </x:c>
      <x:c r="D36" s="23" t="str">
        <x:f>IF(ABS(B36-C36)&lt;=MAX(0.001,ABS(C36)*0.0000001),"PASS","CHECK")</x:f>
        <x:v>PASS</x:v>
      </x:c>
    </x:row>
    <x:row r="37">
      <x:c r="A37" s="23" t="str">
        <x:v>Component destructive units</x:v>
      </x:c>
      <x:c r="B37" s="53" t="n">
        <x:f>SUM('Module Roots'!E6:E60)</x:f>
        <x:v>68</x:v>
      </x:c>
      <x:c r="C37" s="41" t="n">
        <x:v>68</x:v>
      </x:c>
      <x:c r="D37" s="23" t="str">
        <x:f>IF(ABS(B37-C37)&lt;=MAX(0.001,ABS(C37)*0.0000001),"PASS","CHECK")</x:f>
        <x:v>PASS</x:v>
      </x:c>
    </x:row>
    <x:row r="38">
      <x:c r="A38" s="23" t="str">
        <x:v>Mission trials</x:v>
      </x:c>
      <x:c r="B38" s="53" t="n">
        <x:f>Regeneration!B6</x:f>
        <x:v>168</x:v>
      </x:c>
      <x:c r="C38" s="41" t="n">
        <x:v>168</x:v>
      </x:c>
      <x:c r="D38" s="23" t="str">
        <x:f>IF(ABS(B38-C38)&lt;=MAX(0.001,ABS(C38)*0.0000001),"PASS","CHECK")</x:f>
        <x:v>PASS</x:v>
      </x:c>
    </x:row>
    <x:row r="39">
      <x:c r="A39" s="23" t="str">
        <x:v>Operating hours</x:v>
      </x:c>
      <x:c r="B39" s="53" t="n">
        <x:f>Regeneration!B7</x:f>
        <x:v>7704</x:v>
      </x:c>
      <x:c r="C39" s="41" t="n">
        <x:v>7704</x:v>
      </x:c>
      <x:c r="D39" s="23" t="str">
        <x:f>IF(ABS(B39-C39)&lt;=MAX(0.001,ABS(C39)*0.0000001),"PASS","CHECK")</x:f>
        <x:v>PASS</x:v>
      </x:c>
    </x:row>
    <x:row r="40">
      <x:c r="A40" s="23" t="str">
        <x:v>Provisioned water</x:v>
      </x:c>
      <x:c r="B40" s="53" t="n">
        <x:f>Regeneration!B8</x:f>
        <x:v>3328128</x:v>
      </x:c>
      <x:c r="C40" s="41" t="n">
        <x:v>3328128</x:v>
      </x:c>
      <x:c r="D40" s="23" t="str">
        <x:f>IF(ABS(B40-C40)&lt;=MAX(0.001,ABS(C40)*0.0000001),"PASS","CHECK")</x:f>
        <x:v>PASS</x:v>
      </x:c>
    </x:row>
    <x:row r="41">
      <x:c r="A41" s="23" t="str">
        <x:v>Full-duration missions</x:v>
      </x:c>
      <x:c r="B41" s="53" t="n">
        <x:f>Regeneration!B9</x:f>
        <x:v>84</x:v>
      </x:c>
      <x:c r="C41" s="41" t="n">
        <x:v>84</x:v>
      </x:c>
      <x:c r="D41" s="23" t="str">
        <x:f>IF(ABS(B41-C41)&lt;=MAX(0.001,ABS(C41)*0.0000001),"PASS","CHECK")</x:f>
        <x:v>PASS</x:v>
      </x:c>
    </x:row>
    <x:row r="42">
      <x:c r="A42" s="23" t="str">
        <x:v>Regeneration-bay hours</x:v>
      </x:c>
      <x:c r="B42" s="53" t="n">
        <x:f>Regeneration!B10</x:f>
        <x:v>28224</x:v>
      </x:c>
      <x:c r="C42" s="41" t="n">
        <x:v>28224</x:v>
      </x:c>
      <x:c r="D42" s="23" t="str">
        <x:f>IF(ABS(B42-C42)&lt;=MAX(0.001,ABS(C42)*0.0000001),"PASS","CHECK")</x:f>
        <x:v>PASS</x:v>
      </x:c>
    </x:row>
    <x:row r="43">
      <x:c r="A43" s="23" t="str">
        <x:v>Complete-set capital</x:v>
      </x:c>
      <x:c r="B43" s="53" t="n">
        <x:f>'Set Capital'!D9</x:f>
        <x:v>8735.7</x:v>
      </x:c>
      <x:c r="C43" s="41" t="n">
        <x:v>8735.7</x:v>
      </x:c>
      <x:c r="D43" s="23" t="str">
        <x:f>IF(ABS(B43-C43)&lt;=MAX(0.001,ABS(C43)*0.0000001),"PASS","CHECK")</x:f>
        <x:v>PASS</x:v>
      </x:c>
    </x:row>
    <x:row r="44">
      <x:c r="A44" s="23" t="str">
        <x:v>Operating-group floor</x:v>
      </x:c>
      <x:c r="B44" s="53" t="n">
        <x:f>'Group Capital'!D10</x:f>
        <x:v>103591.6</x:v>
      </x:c>
      <x:c r="C44" s="41" t="n">
        <x:v>103591.6</x:v>
      </x:c>
      <x:c r="D44" s="23" t="str">
        <x:f>IF(ABS(B44-C44)&lt;=MAX(0.001,ABS(C44)*0.0000001),"PASS","CHECK")</x:f>
        <x:v>PASS</x:v>
      </x:c>
    </x:row>
    <x:row r="45">
      <x:c r="A45" s="23" t="str">
        <x:v>RBT-1 capital</x:v>
      </x:c>
      <x:c r="B45" s="53" t="n">
        <x:f>'PE Capital'!D15</x:f>
        <x:v>175000.00000000003</x:v>
      </x:c>
      <x:c r="C45" s="41" t="n">
        <x:v>175000</x:v>
      </x:c>
      <x:c r="D45" s="23" t="str">
        <x:f>IF(ABS(B45-C45)&lt;=MAX(0.001,ABS(C45)*0.0000001),"PASS","CHECK")</x:f>
        <x:v>PASS</x:v>
      </x:c>
    </x:row>
    <x:row r="46">
      <x:c r="A46" s="23" t="str">
        <x:v>RBT-1 annual support</x:v>
      </x:c>
      <x:c r="B46" s="53" t="n">
        <x:f>'Annual Support'!B14</x:f>
        <x:v>9500</x:v>
      </x:c>
      <x:c r="C46" s="41" t="n">
        <x:v>9500</x:v>
      </x:c>
      <x:c r="D46" s="23" t="str">
        <x:f>IF(ABS(B46-C46)&lt;=MAX(0.001,ABS(C46)*0.0000001),"PASS","CHECK")</x:f>
        <x:v>PASS</x:v>
      </x:c>
    </x:row>
    <x:row r="47">
      <x:c r="A47" s="23" t="str">
        <x:v>RBT-1 technology</x:v>
      </x:c>
      <x:c r="B47" s="53" t="n">
        <x:f>Technology!B20</x:f>
        <x:v>20000</x:v>
      </x:c>
      <x:c r="C47" s="41" t="n">
        <x:v>20000</x:v>
      </x:c>
      <x:c r="D47" s="23" t="str">
        <x:f>IF(ABS(B47-C47)&lt;=MAX(0.001,ABS(C47)*0.0000001),"PASS","CHECK")</x:f>
        <x:v>PASS</x:v>
      </x:c>
    </x:row>
    <x:row r="48">
      <x:c r="A48" s="23" t="str">
        <x:v>Gross weeks</x:v>
      </x:c>
      <x:c r="B48" s="53" t="n">
        <x:f>Schedule!B16</x:f>
        <x:v>352</x:v>
      </x:c>
      <x:c r="C48" s="41" t="n">
        <x:v>352</x:v>
      </x:c>
      <x:c r="D48" s="23" t="str">
        <x:f>IF(ABS(B48-C48)&lt;=MAX(0.001,ABS(C48)*0.0000001),"PASS","CHECK")</x:f>
        <x:v>PASS</x:v>
      </x:c>
    </x:row>
    <x:row r="49">
      <x:c r="A49" s="23" t="str">
        <x:v>Primary weeks</x:v>
      </x:c>
      <x:c r="B49" s="53" t="n">
        <x:f>Schedule!B17</x:f>
        <x:v>256</x:v>
      </x:c>
      <x:c r="C49" s="41" t="n">
        <x:v>256</x:v>
      </x:c>
      <x:c r="D49" s="23" t="str">
        <x:f>IF(ABS(B49-C49)&lt;=MAX(0.001,ABS(C49)*0.0000001),"PASS","CHECK")</x:f>
        <x:v>PASS</x:v>
      </x:c>
    </x:row>
    <x:row r="50">
      <x:c r="A50" s="23" t="str">
        <x:v>Maximum weeks</x:v>
      </x:c>
      <x:c r="B50" s="53" t="n">
        <x:f>Schedule!D17</x:f>
        <x:v>280</x:v>
      </x:c>
      <x:c r="C50" s="41" t="n">
        <x:v>280</x:v>
      </x:c>
      <x:c r="D50" s="23" t="str">
        <x:f>IF(ABS(B50-C50)&lt;=MAX(0.001,ABS(C50)*0.0000001),"PASS","CHECK")</x:f>
        <x:v>PASS</x:v>
      </x:c>
    </x:row>
    <x:row r="51">
      <x:c r="A51" s="23" t="str">
        <x:v>Parent primary use</x:v>
      </x:c>
      <x:c r="B51" s="53" t="n">
        <x:f>'Parent Amendment'!E6</x:f>
        <x:v>1570</x:v>
      </x:c>
      <x:c r="C51" s="41" t="n">
        <x:v>1570</x:v>
      </x:c>
      <x:c r="D51" s="23" t="str">
        <x:f>IF(ABS(B51-C51)&lt;=MAX(0.001,ABS(C51)*0.0000001),"PASS","CHECK")</x:f>
        <x:v>PASS</x:v>
      </x:c>
    </x:row>
    <x:row r="52">
      <x:c r="A52" s="23" t="str">
        <x:v>Parent maximum use</x:v>
      </x:c>
      <x:c r="B52" s="53" t="n">
        <x:f>'Parent Amendment'!E7</x:f>
        <x:v>1654</x:v>
      </x:c>
      <x:c r="C52" s="41" t="n">
        <x:v>1654</x:v>
      </x:c>
      <x:c r="D52" s="23" t="str">
        <x:f>IF(ABS(B52-C52)&lt;=MAX(0.001,ABS(C52)*0.0000001),"PASS","CHECK")</x:f>
        <x:v>PASS</x:v>
      </x:c>
    </x:row>
    <x:row r="53">
      <x:c r="A53" s="23" t="str">
        <x:v>Peak public positions</x:v>
      </x:c>
      <x:c r="B53" s="53" t="n">
        <x:f>'Parent Amendment'!E8</x:f>
        <x:v>29850</x:v>
      </x:c>
      <x:c r="C53" s="41" t="n">
        <x:v>29850</x:v>
      </x:c>
      <x:c r="D53" s="23" t="str">
        <x:f>IF(ABS(B53-C53)&lt;=MAX(0.001,ABS(C53)*0.0000001),"PASS","CHECK")</x:f>
        <x:v>PASS</x:v>
      </x:c>
    </x:row>
    <x:row r="54">
      <x:c r="A54" s="23" t="str">
        <x:v>Capital use</x:v>
      </x:c>
      <x:c r="B54" s="53" t="n">
        <x:f>'Parent Amendment'!E9</x:f>
        <x:v>233680.00000000003</x:v>
      </x:c>
      <x:c r="C54" s="41" t="n">
        <x:v>233680</x:v>
      </x:c>
      <x:c r="D54" s="23" t="str">
        <x:f>IF(ABS(B54-C54)&lt;=MAX(0.001,ABS(C54)*0.0000001),"PASS","CHECK")</x:f>
        <x:v>PASS</x:v>
      </x:c>
    </x:row>
    <x:row r="55">
      <x:c r="A55" s="23" t="str">
        <x:v>Peak annual support</x:v>
      </x:c>
      <x:c r="B55" s="53" t="n">
        <x:f>'Parent Amendment'!E10</x:f>
        <x:v>15170</x:v>
      </x:c>
      <x:c r="C55" s="41" t="n">
        <x:v>15170</x:v>
      </x:c>
      <x:c r="D55" s="23" t="str">
        <x:f>IF(ABS(B55-C55)&lt;=MAX(0.001,ABS(C55)*0.0000001),"PASS","CHECK")</x:f>
        <x:v>PASS</x:v>
      </x:c>
    </x:row>
    <x:row r="56">
      <x:c r="A56" s="24" t="str">
        <x:v>Technology use</x:v>
      </x:c>
      <x:c r="B56" s="54" t="n">
        <x:f>'Parent Amendment'!E11</x:f>
        <x:v>43235</x:v>
      </x:c>
      <x:c r="C56" s="42" t="n">
        <x:v>43235</x:v>
      </x:c>
      <x:c r="D56" s="24" t="str">
        <x:f>IF(ABS(B56-C56)&lt;=MAX(0.001,ABS(C56)*0.0000001),"PASS","CHECK")</x:f>
        <x:v>PASS</x:v>
      </x:c>
    </x:row>
  </x:sheetData>
  <x:conditionalFormatting sqref="D6:D56">
    <x:cfRule type="containsText" dxfId="0" priority="1" operator="containsText" text="CHECK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4" hidden="0" customWidth="1"/>
    <x:col min="2" max="2" width="80" hidden="0" customWidth="1"/>
    <x:col min="3" max="3" width="24" hidden="0" customWidth="1"/>
  </x:cols>
  <x:sheetData>
    <x:row r="2" ht="24" customHeight="1">
      <x:c r="A2" s="2" t="str">
        <x:v>Internal source register</x:v>
      </x:c>
      <x:c r="B2" s="2"/>
      <x:c r="C2" s="2"/>
    </x:row>
    <x:row r="3" ht="20" customHeight="1">
      <x:c r="A3" s="3" t="str">
        <x:v>No external site is used in this pass.</x:v>
      </x:c>
      <x:c r="B3" s="3"/>
      <x:c r="C3" s="3"/>
    </x:row>
    <x:row r="5" ht="28" customHeight="1">
      <x:c r="A5" s="15" t="str">
        <x:v>Source</x:v>
      </x:c>
      <x:c r="B5" s="16" t="str">
        <x:v>Use</x:v>
      </x:c>
      <x:c r="C5" s="17" t="str">
        <x:v>Class</x:v>
      </x:c>
    </x:row>
    <x:row r="6">
      <x:c r="A6" s="22" t="str">
        <x:v>RBS-1</x:v>
      </x:c>
      <x:c r="B6" s="22" t="str">
        <x:v>Operational mission, water, energy, architectures and six-set hypothesis</x:v>
      </x:c>
      <x:c r="C6" s="22" t="str">
        <x:v>Internal Markdown</x:v>
      </x:c>
    </x:row>
    <x:row r="7">
      <x:c r="A7" s="23" t="str">
        <x:v>RBR-1</x:v>
      </x:c>
      <x:c r="B7" s="23" t="str">
        <x:v>Reference transfer ceiling and OCE-1 entry law</x:v>
      </x:c>
      <x:c r="C7" s="23" t="str">
        <x:v>Internal Markdown</x:v>
      </x:c>
    </x:row>
    <x:row r="8">
      <x:c r="A8" s="23" t="str">
        <x:v>RAQ-1</x:v>
      </x:c>
      <x:c r="B8" s="23" t="str">
        <x:v>Production-equivalent lot and second-team logic</x:v>
      </x:c>
      <x:c r="C8" s="23" t="str">
        <x:v>Internal Markdown</x:v>
      </x:c>
    </x:row>
    <x:row r="9">
      <x:c r="A9" s="23" t="str">
        <x:v>Cold reconstruction constitution</x:v>
      </x:c>
      <x:c r="B9" s="23" t="str">
        <x:v>Rotational readiness and protected reserve</x:v>
      </x:c>
      <x:c r="C9" s="23" t="str">
        <x:v>Internal Markdown</x:v>
      </x:c>
    </x:row>
    <x:row r="10">
      <x:c r="A10" s="23" t="str">
        <x:v>Physical module qualification constitution</x:v>
      </x:c>
      <x:c r="B10" s="23" t="str">
        <x:v>Interface and separate article-bank logic</x:v>
      </x:c>
      <x:c r="C10" s="23" t="str">
        <x:v>Internal Markdown</x:v>
      </x:c>
    </x:row>
    <x:row r="11">
      <x:c r="A11" s="24" t="str">
        <x:v>RBT-1 workbook</x:v>
      </x:c>
      <x:c r="B11" s="24" t="str">
        <x:v>Set, crew, industry, trials, finance and parent arithmetic</x:v>
      </x:c>
      <x:c r="C11" s="24" t="str">
        <x:v>This workbook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72" hidden="0" customWidth="1"/>
    <x:col min="3" max="3" width="78" hidden="0" customWidth="1"/>
  </x:cols>
  <x:sheetData>
    <x:row r="2" ht="24" customHeight="1">
      <x:c r="A2" s="2" t="str">
        <x:v>Workbook guide</x:v>
      </x:c>
      <x:c r="B2" s="2"/>
      <x:c r="C2" s="2"/>
    </x:row>
    <x:row r="3" ht="20" customHeight="1">
      <x:c r="A3" s="3" t="str">
        <x:v>Edit only blue assumption values. Review calculated builds, then terminal release gates and audit.</x:v>
      </x:c>
      <x:c r="B3" s="3"/>
      <x:c r="C3" s="3"/>
    </x:row>
    <x:row r="5" ht="28" customHeight="1">
      <x:c r="A5" s="15" t="str">
        <x:v>Section</x:v>
      </x:c>
      <x:c r="B5" s="16" t="str">
        <x:v>Purpose</x:v>
      </x:c>
      <x:c r="C5" s="17" t="str">
        <x:v>Sheets</x:v>
      </x:c>
    </x:row>
    <x:row r="6">
      <x:c r="A6" s="22" t="str">
        <x:v>Primary result</x:v>
      </x:c>
      <x:c r="B6" s="22" t="str">
        <x:v>Read the corrected set, group, campaign and parent results</x:v>
      </x:c>
      <x:c r="C6" s="22" t="str">
        <x:v>Summary</x:v>
      </x:c>
    </x:row>
    <x:row r="7">
      <x:c r="A7" s="23" t="str">
        <x:v>Inputs</x:v>
      </x:c>
      <x:c r="B7" s="23" t="str">
        <x:v>Change registered design hypotheses</x:v>
      </x:c>
      <x:c r="C7" s="23" t="str">
        <x:v>Assumptions</x:v>
      </x:c>
    </x:row>
    <x:row r="8">
      <x:c r="A8" s="23" t="str">
        <x:v>Set</x:v>
      </x:c>
      <x:c r="B8" s="23" t="str">
        <x:v>Trace mass, service, transport and crew</x:v>
      </x:c>
      <x:c r="C8" s="23" t="str">
        <x:v>Set Bill through Crew</x:v>
      </x:c>
    </x:row>
    <x:row r="9">
      <x:c r="A9" s="23" t="str">
        <x:v>Readiness</x:v>
      </x:c>
      <x:c r="B9" s="23" t="str">
        <x:v>Trace eight-set correction, arsenals and repair</x:v>
      </x:c>
      <x:c r="C9" s="23" t="str">
        <x:v>Rotation through Group Reserve</x:v>
      </x:c>
    </x:row>
    <x:row r="10">
      <x:c r="A10" s="23" t="str">
        <x:v>Industry</x:v>
      </x:c>
      <x:c r="B10" s="23" t="str">
        <x:v>Trace roots, production units and trials</x:v>
      </x:c>
      <x:c r="C10" s="23" t="str">
        <x:v>System Roots through Regeneration</x:v>
      </x:c>
    </x:row>
    <x:row r="11">
      <x:c r="A11" s="23" t="str">
        <x:v>Finance</x:v>
      </x:c>
      <x:c r="B11" s="23" t="str">
        <x:v>Trace complete set, group and campaign costs</x:v>
      </x:c>
      <x:c r="C11" s="23" t="str">
        <x:v>Set Capital through Technology</x:v>
      </x:c>
    </x:row>
    <x:row r="12">
      <x:c r="A12" s="23" t="str">
        <x:v>Authority</x:v>
      </x:c>
      <x:c r="B12" s="23" t="str">
        <x:v>Trace schedule, parent capacity and release</x:v>
      </x:c>
      <x:c r="C12" s="23" t="str">
        <x:v>Schedule through Release Gates</x:v>
      </x:c>
    </x:row>
    <x:row r="13">
      <x:c r="A13" s="24" t="str">
        <x:v>Verification</x:v>
      </x:c>
      <x:c r="B13" s="24" t="str">
        <x:v>Review independent checks and internal sources</x:v>
      </x:c>
      <x:c r="C13" s="24" t="str">
        <x:v>Audit; Sources</x:v>
      </x:c>
    </x:row>
  </x:sheetData>
  <x:pageMargins left="0.7" right="0.7" top="0.75" bottom="0.75" header="0.3" footer="0.3"/>
</x:worksheet>
</file>