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1c64622f2b49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4c011698011345f4"/>
    <x:sheet xmlns:r="http://schemas.openxmlformats.org/officeDocument/2006/relationships" name="Candidate Screen" sheetId="2" r:id="Rb41dacfaecf54bb6"/>
    <x:sheet xmlns:r="http://schemas.openxmlformats.org/officeDocument/2006/relationships" name="Root Slate" sheetId="3" r:id="R6045cf2b775f4899"/>
    <x:sheet xmlns:r="http://schemas.openxmlformats.org/officeDocument/2006/relationships" name="System Contracts" sheetId="4" r:id="Rc55e42078fdd40d3"/>
    <x:sheet xmlns:r="http://schemas.openxmlformats.org/officeDocument/2006/relationships" name="Root Field Matrix" sheetId="5" r:id="Rd4742152f64046bb"/>
    <x:sheet xmlns:r="http://schemas.openxmlformats.org/officeDocument/2006/relationships" name="Route Obligations" sheetId="6" r:id="R586ef006c04f4ff8"/>
    <x:sheet xmlns:r="http://schemas.openxmlformats.org/officeDocument/2006/relationships" name="Commonality Law" sheetId="7" r:id="R240626fe04a040c0"/>
    <x:sheet xmlns:r="http://schemas.openxmlformats.org/officeDocument/2006/relationships" name="Ancestry Ledger" sheetId="8" r:id="Rfc9febce96704f56"/>
    <x:sheet xmlns:r="http://schemas.openxmlformats.org/officeDocument/2006/relationships" name="G3 Gates" sheetId="9" r:id="Ra379f21d34af45d0"/>
    <x:sheet xmlns:r="http://schemas.openxmlformats.org/officeDocument/2006/relationships" name="Financial Boundary" sheetId="10" r:id="R7cc9e64ed4d74aa6"/>
    <x:sheet xmlns:r="http://schemas.openxmlformats.org/officeDocument/2006/relationships" name="Controls" sheetId="11" r:id="Ra72b6bd57ca340d6"/>
    <x:sheet xmlns:r="http://schemas.openxmlformats.org/officeDocument/2006/relationships" name="Audits" sheetId="12" r:id="R7f81ac067d174c3e"/>
    <x:sheet xmlns:r="http://schemas.openxmlformats.org/officeDocument/2006/relationships" name="Sources" sheetId="13" r:id="Re19a1af7f2eb49de"/>
    <x:sheet xmlns:r="http://schemas.openxmlformats.org/officeDocument/2006/relationships" name="Read Me" sheetId="14" r:id="Ra8cd30d1dc154e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"/>
    <x:numFmt numFmtId="201" formatCode="0.0%"/>
  </x:numFmts>
  <x:fonts count="9">
    <x:font>
      <x:sz val="11"/>
      <x:name val="Carlito"/>
    </x:font>
    <x:font>
      <x:b/>
      <x:sz val="14"/>
      <x:color rgb="FF17365D"/>
      <x:name val="Arial"/>
    </x:font>
    <x:font>
      <x:i/>
      <x:sz val="9"/>
      <x:color rgb="FF5B6573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10"/>
      <x:color rgb="FF17365D"/>
      <x:name val="Arial"/>
    </x:font>
    <x:font>
      <x:sz val="8"/>
      <x:color rgb="FF1F2937"/>
      <x:name val="Arial"/>
    </x:font>
    <x:font>
      <x:sz val="8"/>
      <x:color rgb="FF0000FF"/>
      <x:name val="Arial"/>
    </x:font>
    <x:font>
      <x:sz val="10"/>
      <x:color rgb="FF0000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1F7A78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horizontal="center" vertical="top" wrapText="1"/>
    </x:xf>
    <x:xf numFmtId="0" fontId="6" fillId="0" borderId="3" xfId="0" applyNumberFormat="1" applyFont="1" applyFill="1" applyBorder="1" applyAlignment="1">
      <x:alignment horizontal="center" vertical="top" wrapText="1"/>
    </x:xf>
    <x:xf numFmtId="200" fontId="6" fillId="0" borderId="2" xfId="0" applyNumberFormat="1" applyFont="1" applyFill="1" applyBorder="1" applyAlignment="1">
      <x:alignment vertical="center" wrapText="1"/>
    </x:xf>
    <x:xf numFmtId="200" fontId="6" fillId="0" borderId="3" xfId="0" applyNumberFormat="1" applyFont="1" applyFill="1" applyBorder="1" applyAlignment="1">
      <x:alignment vertical="center" wrapText="1"/>
    </x:xf>
    <x:xf numFmtId="201" fontId="6" fillId="0" borderId="2" xfId="0" applyNumberFormat="1" applyFont="1" applyFill="1" applyBorder="1" applyAlignment="1">
      <x:alignment vertical="center" wrapText="1"/>
    </x:xf>
    <x:xf numFmtId="201" fontId="6" fillId="0" borderId="3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0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5713bf0434ec2" /><Relationship Type="http://schemas.openxmlformats.org/officeDocument/2006/relationships/theme" Target="/xl/theme/theme1.xml" Id="R89c74bac56e447dc" /><Relationship Type="http://schemas.openxmlformats.org/officeDocument/2006/relationships/sharedStrings" Target="/xl/sharedStrings.xml" Id="R2c587564ea694d34" /><Relationship Type="http://schemas.openxmlformats.org/officeDocument/2006/relationships/worksheet" Target="/xl/worksheets/sheet1.xml" Id="R4c011698011345f4" /><Relationship Type="http://schemas.openxmlformats.org/officeDocument/2006/relationships/worksheet" Target="/xl/worksheets/sheet2.xml" Id="Rb41dacfaecf54bb6" /><Relationship Type="http://schemas.openxmlformats.org/officeDocument/2006/relationships/worksheet" Target="/xl/worksheets/sheet3.xml" Id="R6045cf2b775f4899" /><Relationship Type="http://schemas.openxmlformats.org/officeDocument/2006/relationships/worksheet" Target="/xl/worksheets/sheet4.xml" Id="Rc55e42078fdd40d3" /><Relationship Type="http://schemas.openxmlformats.org/officeDocument/2006/relationships/worksheet" Target="/xl/worksheets/sheet5.xml" Id="Rd4742152f64046bb" /><Relationship Type="http://schemas.openxmlformats.org/officeDocument/2006/relationships/worksheet" Target="/xl/worksheets/sheet6.xml" Id="R586ef006c04f4ff8" /><Relationship Type="http://schemas.openxmlformats.org/officeDocument/2006/relationships/worksheet" Target="/xl/worksheets/sheet7.xml" Id="R240626fe04a040c0" /><Relationship Type="http://schemas.openxmlformats.org/officeDocument/2006/relationships/worksheet" Target="/xl/worksheets/sheet8.xml" Id="Rfc9febce96704f56" /><Relationship Type="http://schemas.openxmlformats.org/officeDocument/2006/relationships/worksheet" Target="/xl/worksheets/sheet9.xml" Id="Ra379f21d34af45d0" /><Relationship Type="http://schemas.openxmlformats.org/officeDocument/2006/relationships/worksheet" Target="/xl/worksheets/sheet10.xml" Id="R7cc9e64ed4d74aa6" /><Relationship Type="http://schemas.openxmlformats.org/officeDocument/2006/relationships/worksheet" Target="/xl/worksheets/sheet11.xml" Id="Ra72b6bd57ca340d6" /><Relationship Type="http://schemas.openxmlformats.org/officeDocument/2006/relationships/worksheet" Target="/xl/worksheets/sheet12.xml" Id="R7f81ac067d174c3e" /><Relationship Type="http://schemas.openxmlformats.org/officeDocument/2006/relationships/worksheet" Target="/xl/worksheets/sheet13.xml" Id="Re19a1af7f2eb49de" /><Relationship Type="http://schemas.openxmlformats.org/officeDocument/2006/relationships/worksheet" Target="/xl/worksheets/sheet14.xml" Id="Ra8cd30d1dc154e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7df692fe1f47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G0–G3 mission reservation by system (USD B)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G0–G3 reservation USD B</c:v>
          </c:tx>
          <c:cat>
            <c:strRef>
              <c:f>'Financial Boundary'!$C$14:$C$19</c:f>
              <c:strCache>
                <c:ptCount val="0"/>
              </c:strCache>
            </c:strRef>
          </c:cat>
          <c:val>
            <c:numRef>
              <c:f>'Financial Boundary'!$G$14:$G$19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7df692fe1f477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9ae48cceb72245a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.559999942779541" hidden="0" customWidth="1"/>
    <x:col min="2" max="2" width="1.559999942779541" hidden="0" customWidth="1"/>
    <x:col min="3" max="3" width="20" hidden="0" customWidth="1"/>
    <x:col min="4" max="4" width="27.780000686645508" hidden="0" customWidth="1"/>
    <x:col min="5" max="5" width="57.779998779296875" hidden="0" customWidth="1"/>
  </x:cols>
  <x:sheetData>
    <x:row r="2">
      <x:c r="C2" s="1" t="str">
        <x:v>Pass 175 decision</x:v>
      </x:c>
    </x:row>
    <x:row r="3">
      <x:c r="C3" s="2" t="str">
        <x:v>The constitution selects industrial and technical independence rules; it does not release a physical root.</x:v>
      </x:c>
    </x:row>
    <x:row r="4" ht="24" customHeight="1">
      <x:c r="C4" s="8" t="str">
        <x:v>Decision element</x:v>
      </x:c>
      <x:c r="D4" s="8" t="str">
        <x:v>Constitution</x:v>
      </x:c>
      <x:c r="E4" s="8" t="str">
        <x:v>Consequence</x:v>
      </x:c>
    </x:row>
    <x:row r="5" ht="34.5" customHeight="1">
      <x:c r="C5" s="16" t="str">
        <x:v>Verdict</x:v>
      </x:c>
      <x:c r="D5" s="12" t="str">
        <x:v>CLOSE C3-RDFC-1</x:v>
      </x:c>
      <x:c r="E5" s="12" t="str">
        <x:v>Twenty-four complete roots share public seams but retain root-exclusive decisive ancestry.</x:v>
      </x:c>
    </x:row>
    <x:row r="6" ht="34.5" customHeight="1">
      <x:c r="C6" s="17" t="str">
        <x:v>Selected architecture</x:v>
      </x:c>
      <x:c r="D6" s="13" t="str">
        <x:v>Twenty-four root houses</x:v>
      </x:c>
      <x:c r="E6" s="13" t="str">
        <x:v>One root house per complete campaign root; no house owns another root.</x:v>
      </x:c>
    </x:row>
    <x:row r="7" ht="34.5" customHeight="1">
      <x:c r="C7" s="17" t="str">
        <x:v>Commonality</x:v>
      </x:c>
      <x:c r="D7" s="13" t="str">
        <x:v>Three classes</x:v>
      </x:c>
      <x:c r="E7" s="13" t="str">
        <x:v>Public seams, capped substitutable pools and root-exclusive execution ancestry.</x:v>
      </x:c>
    </x:row>
    <x:row r="8" ht="34.5" customHeight="1">
      <x:c r="C8" s="17" t="str">
        <x:v>Root slate</x:v>
      </x:c>
      <x:c r="D8" s="13" t="str">
        <x:v>24 draft architectures</x:v>
      </x:c>
      <x:c r="E8" s="13" t="str">
        <x:v>Four complete service roots for each of six mission systems.</x:v>
      </x:c>
    </x:row>
    <x:row r="9" ht="34.5" customHeight="1">
      <x:c r="C9" s="17" t="str">
        <x:v>Physical obligation</x:v>
      </x:c>
      <x:c r="D9" s="13" t="str">
        <x:v>1,448 positions</x:v>
      </x:c>
      <x:c r="E9" s="13" t="str">
        <x:v>Every root carries every route and all seven service stages.</x:v>
      </x:c>
    </x:row>
    <x:row r="10" ht="34.5" customHeight="1">
      <x:c r="C10" s="17" t="str">
        <x:v>Research matrix</x:v>
      </x:c>
      <x:c r="D10" s="13" t="str">
        <x:v>96 field assignments</x:v>
      </x:c>
      <x:c r="E10" s="13" t="str">
        <x:v>Four architecture-specific mechanisms for each of twenty-four problem fields.</x:v>
      </x:c>
    </x:row>
    <x:row r="11" ht="34.5" customHeight="1">
      <x:c r="C11" s="17" t="str">
        <x:v>Industrial declarations</x:v>
      </x:c>
      <x:c r="D11" s="13" t="str">
        <x:v>288</x:v>
      </x:c>
      <x:c r="E11" s="13" t="str">
        <x:v>Twelve decisive ancestry domains for every root; all remain undeclared.</x:v>
      </x:c>
    </x:row>
    <x:row r="12" ht="34.5" customHeight="1">
      <x:c r="C12" s="17" t="str">
        <x:v>G3 release records</x:v>
      </x:c>
      <x:c r="D12" s="13" t="str">
        <x:v>336</x:v>
      </x:c>
      <x:c r="E12" s="13" t="str">
        <x:v>Fourteen conjunctive gates per root; all remain open.</x:v>
      </x:c>
    </x:row>
    <x:row r="13" ht="34.5" customHeight="1">
      <x:c r="C13" s="17" t="str">
        <x:v>Cumulative boundary</x:v>
      </x:c>
      <x:c r="D13" s="13" t="str">
        <x:v>USD 500B</x:v>
      </x:c>
      <x:c r="E13" s="13" t="str">
        <x:v>First two waves inside the conserved USD 1.00T program.</x:v>
      </x:c>
    </x:row>
    <x:row r="14" ht="34.5" customHeight="1">
      <x:c r="C14" s="17" t="str">
        <x:v>Admission</x:v>
      </x:c>
      <x:c r="D14" s="13" t="str">
        <x:v>Zero</x:v>
      </x:c>
      <x:c r="E14" s="13" t="str">
        <x:v>No builder, mechanism, root, position, procurement or rendering authority is released.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.559999942779541" hidden="0" customWidth="1"/>
    <x:col min="2" max="2" width="1.559999942779541" hidden="0" customWidth="1"/>
    <x:col min="3" max="3" width="6.110000133514404" hidden="0" customWidth="1"/>
    <x:col min="4" max="4" width="27.219999313354492" hidden="0" customWidth="1"/>
    <x:col min="5" max="5" width="9.4399995803833" hidden="0" customWidth="1"/>
    <x:col min="6" max="6" width="9.4399995803833" hidden="0" customWidth="1"/>
    <x:col min="7" max="7" width="8.890000343322754" hidden="0" customWidth="1"/>
    <x:col min="8" max="8" width="8.890000343322754" hidden="0" customWidth="1"/>
    <x:col min="9" max="9" width="10" hidden="0" customWidth="1"/>
    <x:col min="10" max="10" width="9.4399995803833" hidden="0" customWidth="1"/>
    <x:col min="11" max="11" width="8.329999923706055" hidden="0" customWidth="1"/>
    <x:col min="12" max="12" width="10" hidden="0" customWidth="1"/>
    <x:col min="13" max="13" width="10.5600004196167" hidden="0" customWidth="1"/>
    <x:col min="14" max="14" width="10.5600004196167" hidden="0" customWidth="1"/>
    <x:col min="15" max="15" width="7.21999979019165" hidden="0" customWidth="1"/>
    <x:col min="16" max="16" width="9.4399995803833" hidden="0" customWidth="1"/>
    <x:col min="17" max="17" width="10" hidden="0" customWidth="1"/>
    <x:col min="18" max="18" width="11.670000076293945" hidden="0" customWidth="1"/>
  </x:cols>
  <x:sheetData>
    <x:row r="2">
      <x:c r="C2" s="1" t="str">
        <x:v>Root-diversity architecture screen</x:v>
      </x:c>
    </x:row>
    <x:row r="3">
      <x:c r="C3" s="2" t="str">
        <x:v>Ten gates are noncompensable. Total isolation fails because the six systems must still exchange public service.</x:v>
      </x:c>
    </x:row>
    <x:row r="4" ht="24" customHeight="1">
      <x:c r="C4" s="8" t="str">
        <x:v>ID</x:v>
      </x:c>
      <x:c r="D4" s="8" t="str">
        <x:v>Architecture</x:v>
      </x:c>
      <x:c r="E4" s="8" t="str">
        <x:v>Complete roots</x:v>
      </x:c>
      <x:c r="F4" s="8" t="str">
        <x:v>Four/system</x:v>
      </x:c>
      <x:c r="G4" s="8" t="str">
        <x:v>All routes</x:v>
      </x:c>
      <x:c r="H4" s="8" t="str">
        <x:v>Four fields</x:v>
      </x:c>
      <x:c r="I4" s="8" t="str">
        <x:v>Decisive cap</x:v>
      </x:c>
      <x:c r="J4" s="8" t="str">
        <x:v>Public seams</x:v>
      </x:c>
      <x:c r="K4" s="8" t="str">
        <x:v>No broker</x:v>
      </x:c>
      <x:c r="L4" s="8" t="str">
        <x:v>Repair unlike</x:v>
      </x:c>
      <x:c r="M4" s="8" t="str">
        <x:v>Evidence unlike</x:v>
      </x:c>
      <x:c r="N4" s="8" t="str">
        <x:v>Inside envelope</x:v>
      </x:c>
      <x:c r="O4" s="8" t="str">
        <x:v>Gates</x:v>
      </x:c>
      <x:c r="P4" s="8" t="str">
        <x:v>Decision</x:v>
      </x:c>
      <x:c r="Q4" s="8" t="str">
        <x:v>Root houses</x:v>
      </x:c>
      <x:c r="R4" s="8" t="str">
        <x:v>Max node exposure</x:v>
      </x:c>
    </x:row>
    <x:row r="5">
      <x:c r="C5" s="21" t="str">
        <x:v>A1</x:v>
      </x:c>
      <x:c r="D5" s="21" t="str">
        <x:v>Four labels on one integration</x:v>
      </x:c>
      <x:c r="E5" s="21" t="str">
        <x:v>FAIL</x:v>
      </x:c>
      <x:c r="F5" s="21" t="str">
        <x:v>PASS</x:v>
      </x:c>
      <x:c r="G5" s="21" t="str">
        <x:v>FAIL</x:v>
      </x:c>
      <x:c r="H5" s="21" t="str">
        <x:v>FAIL</x:v>
      </x:c>
      <x:c r="I5" s="21" t="str">
        <x:v>FAIL</x:v>
      </x:c>
      <x:c r="J5" s="21" t="str">
        <x:v>PASS</x:v>
      </x:c>
      <x:c r="K5" s="21" t="str">
        <x:v>FAIL</x:v>
      </x:c>
      <x:c r="L5" s="21" t="str">
        <x:v>FAIL</x:v>
      </x:c>
      <x:c r="M5" s="21" t="str">
        <x:v>FAIL</x:v>
      </x:c>
      <x:c r="N5" s="21" t="str">
        <x:v>PASS</x:v>
      </x:c>
      <x:c r="O5" s="21" t="n">
        <x:f>COUNTIFS(E5:N5,"PASS")</x:f>
        <x:v>3</x:v>
      </x:c>
      <x:c r="P5" s="21" t="str">
        <x:f>IF(O5=10,"SELECT","REJECT")</x:f>
        <x:v>REJECT</x:v>
      </x:c>
      <x:c r="Q5" s="21" t="n">
        <x:v>1</x:v>
      </x:c>
      <x:c r="R5" s="21" t="n">
        <x:v>24</x:v>
      </x:c>
    </x:row>
    <x:row r="6">
      <x:c r="C6" s="22" t="str">
        <x:v>A2</x:v>
      </x:c>
      <x:c r="D6" s="22" t="str">
        <x:v>Four primes, each spanning six systems</x:v>
      </x:c>
      <x:c r="E6" s="22" t="str">
        <x:v>PASS</x:v>
      </x:c>
      <x:c r="F6" s="22" t="str">
        <x:v>PASS</x:v>
      </x:c>
      <x:c r="G6" s="22" t="str">
        <x:v>PASS</x:v>
      </x:c>
      <x:c r="H6" s="22" t="str">
        <x:v>PASS</x:v>
      </x:c>
      <x:c r="I6" s="22" t="str">
        <x:v>FAIL</x:v>
      </x:c>
      <x:c r="J6" s="22" t="str">
        <x:v>PASS</x:v>
      </x:c>
      <x:c r="K6" s="22" t="str">
        <x:v>PASS</x:v>
      </x:c>
      <x:c r="L6" s="22" t="str">
        <x:v>FAIL</x:v>
      </x:c>
      <x:c r="M6" s="22" t="str">
        <x:v>FAIL</x:v>
      </x:c>
      <x:c r="N6" s="22" t="str">
        <x:v>PASS</x:v>
      </x:c>
      <x:c r="O6" s="22" t="n">
        <x:f>COUNTIFS(E6:N6,"PASS")</x:f>
        <x:v>7</x:v>
      </x:c>
      <x:c r="P6" s="22" t="str">
        <x:f>IF(O6=10,"SELECT","REJECT")</x:f>
        <x:v>REJECT</x:v>
      </x:c>
      <x:c r="Q6" s="22" t="n">
        <x:v>4</x:v>
      </x:c>
      <x:c r="R6" s="22" t="n">
        <x:v>6</x:v>
      </x:c>
    </x:row>
    <x:row r="7">
      <x:c r="C7" s="22" t="str">
        <x:v>A3</x:v>
      </x:c>
      <x:c r="D7" s="22" t="str">
        <x:v>Four platform or hazard specializations</x:v>
      </x:c>
      <x:c r="E7" s="22" t="str">
        <x:v>FAIL</x:v>
      </x:c>
      <x:c r="F7" s="22" t="str">
        <x:v>PASS</x:v>
      </x:c>
      <x:c r="G7" s="22" t="str">
        <x:v>FAIL</x:v>
      </x:c>
      <x:c r="H7" s="22" t="str">
        <x:v>PASS</x:v>
      </x:c>
      <x:c r="I7" s="22" t="str">
        <x:v>FAIL</x:v>
      </x:c>
      <x:c r="J7" s="22" t="str">
        <x:v>PASS</x:v>
      </x:c>
      <x:c r="K7" s="22" t="str">
        <x:v>PASS</x:v>
      </x:c>
      <x:c r="L7" s="22" t="str">
        <x:v>PASS</x:v>
      </x:c>
      <x:c r="M7" s="22" t="str">
        <x:v>PASS</x:v>
      </x:c>
      <x:c r="N7" s="22" t="str">
        <x:v>PASS</x:v>
      </x:c>
      <x:c r="O7" s="22" t="n">
        <x:f>COUNTIFS(E7:N7,"PASS")</x:f>
        <x:v>7</x:v>
      </x:c>
      <x:c r="P7" s="22" t="str">
        <x:f>IF(O7=10,"SELECT","REJECT")</x:f>
        <x:v>REJECT</x:v>
      </x:c>
      <x:c r="Q7" s="22" t="n">
        <x:v>8</x:v>
      </x:c>
      <x:c r="R7" s="22" t="n">
        <x:v>3</x:v>
      </x:c>
    </x:row>
    <x:row r="8">
      <x:c r="C8" s="22" t="str">
        <x:v>A4</x:v>
      </x:c>
      <x:c r="D8" s="22" t="str">
        <x:v>Twenty-four root houses with public seams</x:v>
      </x:c>
      <x:c r="E8" s="22" t="str">
        <x:v>PASS</x:v>
      </x:c>
      <x:c r="F8" s="22" t="str">
        <x:v>PASS</x:v>
      </x:c>
      <x:c r="G8" s="22" t="str">
        <x:v>PASS</x:v>
      </x:c>
      <x:c r="H8" s="22" t="str">
        <x:v>PASS</x:v>
      </x:c>
      <x:c r="I8" s="22" t="str">
        <x:f>IF('Controls'!$D$5=1,"PASS","FAIL")</x:f>
        <x:v>PASS</x:v>
      </x:c>
      <x:c r="J8" s="22" t="str">
        <x:v>PASS</x:v>
      </x:c>
      <x:c r="K8" s="22" t="str">
        <x:v>PASS</x:v>
      </x:c>
      <x:c r="L8" s="22" t="str">
        <x:v>PASS</x:v>
      </x:c>
      <x:c r="M8" s="22" t="str">
        <x:v>PASS</x:v>
      </x:c>
      <x:c r="N8" s="22" t="str">
        <x:v>PASS</x:v>
      </x:c>
      <x:c r="O8" s="22" t="n">
        <x:f>COUNTIFS(E8:N8,"PASS")</x:f>
        <x:v>10</x:v>
      </x:c>
      <x:c r="P8" s="22" t="str">
        <x:f>IF(O8=10,"SELECT","REJECT")</x:f>
        <x:v>SELECT</x:v>
      </x:c>
      <x:c r="Q8" s="22" t="n">
        <x:v>24</x:v>
      </x:c>
      <x:c r="R8" s="22" t="n">
        <x:f>'Controls'!$D$5</x:f>
        <x:v>1</x:v>
      </x:c>
    </x:row>
    <x:row r="9">
      <x:c r="C9" s="22" t="str">
        <x:v>A5</x:v>
      </x:c>
      <x:c r="D9" s="22" t="str">
        <x:v>Twenty-four totally isolated systems</x:v>
      </x:c>
      <x:c r="E9" s="22" t="str">
        <x:v>PASS</x:v>
      </x:c>
      <x:c r="F9" s="22" t="str">
        <x:v>PASS</x:v>
      </x:c>
      <x:c r="G9" s="22" t="str">
        <x:v>PASS</x:v>
      </x:c>
      <x:c r="H9" s="22" t="str">
        <x:v>PASS</x:v>
      </x:c>
      <x:c r="I9" s="22" t="str">
        <x:v>PASS</x:v>
      </x:c>
      <x:c r="J9" s="22" t="str">
        <x:v>FAIL</x:v>
      </x:c>
      <x:c r="K9" s="22" t="str">
        <x:v>FAIL</x:v>
      </x:c>
      <x:c r="L9" s="22" t="str">
        <x:v>PASS</x:v>
      </x:c>
      <x:c r="M9" s="22" t="str">
        <x:v>PASS</x:v>
      </x:c>
      <x:c r="N9" s="22" t="str">
        <x:v>FAIL</x:v>
      </x:c>
      <x:c r="O9" s="22" t="n">
        <x:f>COUNTIFS(E9:N9,"PASS")</x:f>
        <x:v>7</x:v>
      </x:c>
      <x:c r="P9" s="22" t="str">
        <x:f>IF(O9=10,"SELECT","REJECT")</x:f>
        <x:v>REJECT</x:v>
      </x:c>
      <x:c r="Q9" s="22" t="n">
        <x:v>24</x:v>
      </x:c>
      <x:c r="R9" s="22" t="n">
        <x:v>1</x:v>
      </x:c>
    </x:row>
  </x:sheetData>
  <x:conditionalFormatting sqref="E5:P9">
    <x:cfRule type="containsText" dxfId="0" priority="1" operator="containsText" text="FAIL"/>
    <x:cfRule type="containsText" dxfId="1" priority="2" operator="containsText" text="REJECT"/>
    <x:cfRule type="containsText" dxfId="2" priority="3" operator="containsText" text="OPEN"/>
    <x:cfRule type="containsText" dxfId="3" priority="4" operator="containsText" text="HOLD"/>
    <x:cfRule type="containsText" dxfId="4" priority="5" operator="containsText" text="SELECT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.559999942779541" hidden="0" customWidth="1"/>
    <x:col min="2" max="2" width="1.559999942779541" hidden="0" customWidth="1"/>
    <x:col min="3" max="3" width="15" hidden="0" customWidth="1"/>
    <x:col min="4" max="4" width="9.4399995803833" hidden="0" customWidth="1"/>
    <x:col min="5" max="5" width="6.110000133514404" hidden="0" customWidth="1"/>
    <x:col min="6" max="6" width="21.110000610351562" hidden="0" customWidth="1"/>
    <x:col min="7" max="7" width="46.66999816894531" hidden="0" customWidth="1"/>
    <x:col min="8" max="8" width="8.329999923706055" hidden="0" customWidth="1"/>
    <x:col min="9" max="9" width="7.21999979019165" hidden="0" customWidth="1"/>
    <x:col min="10" max="10" width="10" hidden="0" customWidth="1"/>
    <x:col min="11" max="11" width="18.329999923706055" hidden="0" customWidth="1"/>
    <x:col min="12" max="12" width="15" hidden="0" customWidth="1"/>
    <x:col min="13" max="13" width="12.220000267028809" hidden="0" customWidth="1"/>
    <x:col min="14" max="14" width="11.109999656677246" hidden="0" customWidth="1"/>
    <x:col min="15" max="15" width="9.4399995803833" hidden="0" customWidth="1"/>
    <x:col min="16" max="16" width="7.21999979019165" hidden="0" customWidth="1"/>
    <x:col min="17" max="17" width="9.4399995803833" hidden="0" customWidth="1"/>
  </x:cols>
  <x:sheetData>
    <x:row r="2">
      <x:c r="C2" s="1" t="str">
        <x:v>Twenty-four complete root theses</x:v>
      </x:c>
    </x:row>
    <x:row r="3">
      <x:c r="C3" s="2" t="str">
        <x:v>Names define architecture hypotheses. Root houses, decisive ancestry, evidence and G3 release remain unassigned.</x:v>
      </x:c>
    </x:row>
    <x:row r="4" ht="24" customHeight="1">
      <x:c r="C4" s="8" t="str">
        <x:v>Root baseline</x:v>
      </x:c>
      <x:c r="D4" s="8" t="str">
        <x:v>System</x:v>
      </x:c>
      <x:c r="E4" s="8" t="str">
        <x:v>Root</x:v>
      </x:c>
      <x:c r="F4" s="8" t="str">
        <x:v>Architecture thesis</x:v>
      </x:c>
      <x:c r="G4" s="8" t="str">
        <x:v>Operating premise</x:v>
      </x:c>
      <x:c r="H4" s="8" t="str">
        <x:v>Positions</x:v>
      </x:c>
      <x:c r="I4" s="8" t="str">
        <x:v>Routes</x:v>
      </x:c>
      <x:c r="J4" s="8" t="str">
        <x:v>Problem fields</x:v>
      </x:c>
      <x:c r="K4" s="8" t="str">
        <x:v>G0–G3 mission reservation USD B</x:v>
      </x:c>
      <x:c r="L4" s="8" t="str">
        <x:v>Root house</x:v>
      </x:c>
      <x:c r="M4" s="8" t="str">
        <x:v>Declared ancestry</x:v>
      </x:c>
      <x:c r="N4" s="8" t="str">
        <x:v>G3 gates passed</x:v>
      </x:c>
      <x:c r="O4" s="8" t="str">
        <x:v>Release</x:v>
      </x:c>
      <x:c r="P4" s="8" t="str">
        <x:v>Credit</x:v>
      </x:c>
      <x:c r="Q4" s="8" t="str">
        <x:v>Rendering</x:v>
      </x:c>
    </x:row>
    <x:row r="5">
      <x:c r="C5" s="25" t="str">
        <x:v>C3-ET-A-RB1</x:v>
      </x:c>
      <x:c r="D5" s="25" t="str">
        <x:v>MS-ET</x:v>
      </x:c>
      <x:c r="E5" s="25" t="str">
        <x:v>A</x:v>
      </x:c>
      <x:c r="F5" s="25" t="str">
        <x:v>Oceanic mass bridge</x:v>
      </x:c>
      <x:c r="G5" s="25" t="str">
        <x:v>High-mass surface entry through offshore exchange, self-unloading transfer and a closed-loop sea base.</x:v>
      </x:c>
      <x:c r="H5" s="25" t="n">
        <x:v>62</x:v>
      </x:c>
      <x:c r="I5" s="25" t="n">
        <x:v>5</x:v>
      </x:c>
      <x:c r="J5" s="25" t="n">
        <x:v>4</x:v>
      </x:c>
      <x:c r="K5" s="27" t="n">
        <x:f>INDEX('Financial Boundary'!$I$14:$I$19,MATCH($D5,'Financial Boundary'!$C$14:$C$19,0))</x:f>
        <x:v>11.127924510010555</x:v>
      </x:c>
      <x:c r="L5" s="29" t="str">
        <x:v>UNASSIGNED</x:v>
      </x:c>
      <x:c r="M5" s="25" t="n">
        <x:f>COUNTIFS('Ancestry Ledger'!$D$5:$D$292,$C5,'Ancestry Ledger'!$K$5:$K$292,"&lt;&gt;UNDECLARED")</x:f>
        <x:v>0</x:v>
      </x:c>
      <x:c r="N5" s="25" t="n">
        <x:f>COUNTIFS('G3 Gates'!$D$5:$D$340,$C5,'G3 Gates'!$J$5:$J$340,"PASS")</x:f>
        <x:v>0</x:v>
      </x:c>
      <x:c r="O5" s="25" t="str">
        <x:f>IF(AND(COUNTIFS('Route Obligations'!$D$5:$D$116,$C5)=I5,COUNTIFS('Root Field Matrix'!$D$5:$D$100,$C5)=J5,M5='Controls'!$D$17,N5='Controls'!$D$19),"G3 RELEASE","HOLD")</x:f>
        <x:v>HOLD</x:v>
      </x:c>
      <x:c r="P5" s="25" t="n">
        <x:v>0</x:v>
      </x:c>
      <x:c r="Q5" s="25" t="str">
        <x:v>BLOCKED</x:v>
      </x:c>
    </x:row>
    <x:row r="6">
      <x:c r="C6" s="26" t="str">
        <x:v>C3-ET-B-RB1</x:v>
      </x:c>
      <x:c r="D6" s="26" t="str">
        <x:v>MS-ET</x:v>
      </x:c>
      <x:c r="E6" s="26" t="str">
        <x:v>B</x:v>
      </x:c>
      <x:c r="F6" s="26" t="str">
        <x:v>Buoyant air bridge</x:v>
      </x:c>
      <x:c r="G6" s="26" t="str">
        <x:v>Ground-coupled heavy buoyant lift creates austere air entry and deploys its own receiving cells.</x:v>
      </x:c>
      <x:c r="H6" s="26" t="n">
        <x:v>62</x:v>
      </x:c>
      <x:c r="I6" s="26" t="n">
        <x:v>5</x:v>
      </x:c>
      <x:c r="J6" s="26" t="n">
        <x:v>4</x:v>
      </x:c>
      <x:c r="K6" s="28" t="n">
        <x:f>INDEX('Financial Boundary'!$I$14:$I$19,MATCH($D6,'Financial Boundary'!$C$14:$C$19,0))</x:f>
        <x:v>11.127924510010555</x:v>
      </x:c>
      <x:c r="L6" s="30" t="str">
        <x:v>UNASSIGNED</x:v>
      </x:c>
      <x:c r="M6" s="26" t="n">
        <x:f>COUNTIFS('Ancestry Ledger'!$D$5:$D$292,$C6,'Ancestry Ledger'!$K$5:$K$292,"&lt;&gt;UNDECLARED")</x:f>
        <x:v>0</x:v>
      </x:c>
      <x:c r="N6" s="26" t="n">
        <x:f>COUNTIFS('G4 Gates'!$D$5:$D$340,$C6,'G4 Gates'!$J$5:$J$340,"PASS")</x:f>
        <x:v>0</x:v>
      </x:c>
      <x:c r="O6" s="26" t="str">
        <x:f>IF(AND(COUNTIFS('Route Obligations'!$D$5:$D$116,$C6)=I6,COUNTIFS('Root Field Matrix'!$D$5:$D$100,$C6)=J6,M6='Controls'!$D$17,N6='Controls'!$D$19),"G4 RELEASE","HOLD")</x:f>
        <x:v>HOLD</x:v>
      </x:c>
      <x:c r="P6" s="26" t="n">
        <x:v>0</x:v>
      </x:c>
      <x:c r="Q6" s="26" t="str">
        <x:v>BLOCKED</x:v>
      </x:c>
    </x:row>
    <x:row r="7">
      <x:c r="C7" s="26" t="str">
        <x:v>C3-ET-C-RB1</x:v>
      </x:c>
      <x:c r="D7" s="26" t="str">
        <x:v>MS-ET</x:v>
      </x:c>
      <x:c r="E7" s="26" t="str">
        <x:v>C</x:v>
      </x:c>
      <x:c r="F7" s="26" t="str">
        <x:v>Austere surface bridge</x:v>
      </x:c>
      <x:c r="G7" s="26" t="str">
        <x:v>Short-field lift, self-forming surfaces, rail-road exchange and prepared cross-docks create a land bridge.</x:v>
      </x:c>
      <x:c r="H7" s="26" t="n">
        <x:v>62</x:v>
      </x:c>
      <x:c r="I7" s="26" t="n">
        <x:v>5</x:v>
      </x:c>
      <x:c r="J7" s="26" t="n">
        <x:v>4</x:v>
      </x:c>
      <x:c r="K7" s="28" t="n">
        <x:f>INDEX('Financial Boundary'!$I$14:$I$19,MATCH($D7,'Financial Boundary'!$C$14:$C$19,0))</x:f>
        <x:v>11.127924510010555</x:v>
      </x:c>
      <x:c r="L7" s="30" t="str">
        <x:v>UNASSIGNED</x:v>
      </x:c>
      <x:c r="M7" s="26" t="n">
        <x:f>COUNTIFS('Ancestry Ledger'!$D$5:$D$292,$C7,'Ancestry Ledger'!$K$5:$K$292,"&lt;&gt;UNDECLARED")</x:f>
        <x:v>0</x:v>
      </x:c>
      <x:c r="N7" s="26" t="n">
        <x:f>COUNTIFS('G5 Gates'!$D$5:$D$340,$C7,'G5 Gates'!$J$5:$J$340,"PASS")</x:f>
        <x:v>0</x:v>
      </x:c>
      <x:c r="O7" s="26" t="str">
        <x:f>IF(AND(COUNTIFS('Route Obligations'!$D$5:$D$116,$C7)=I7,COUNTIFS('Root Field Matrix'!$D$5:$D$100,$C7)=J7,M7='Controls'!$D$17,N7='Controls'!$D$19),"G5 RELEASE","HOLD")</x:f>
        <x:v>HOLD</x:v>
      </x:c>
      <x:c r="P7" s="26" t="n">
        <x:v>0</x:v>
      </x:c>
      <x:c r="Q7" s="26" t="str">
        <x:v>BLOCKED</x:v>
      </x:c>
    </x:row>
    <x:row r="8">
      <x:c r="C8" s="26" t="str">
        <x:v>C3-ET-D-RB1</x:v>
      </x:c>
      <x:c r="D8" s="26" t="str">
        <x:v>MS-ET</x:v>
      </x:c>
      <x:c r="E8" s="26" t="str">
        <x:v>D</x:v>
      </x:c>
      <x:c r="F8" s="26" t="str">
        <x:v>Amphibious autonomous mesh</x:v>
      </x:c>
      <x:c r="G8" s="26" t="str">
        <x:v>Shallow-water lighters, distributed lift and robotic microports create many independent entry points.</x:v>
      </x:c>
      <x:c r="H8" s="26" t="n">
        <x:v>62</x:v>
      </x:c>
      <x:c r="I8" s="26" t="n">
        <x:v>5</x:v>
      </x:c>
      <x:c r="J8" s="26" t="n">
        <x:v>4</x:v>
      </x:c>
      <x:c r="K8" s="28" t="n">
        <x:f>INDEX('Financial Boundary'!$I$14:$I$19,MATCH($D8,'Financial Boundary'!$C$14:$C$19,0))</x:f>
        <x:v>11.127924510010555</x:v>
      </x:c>
      <x:c r="L8" s="30" t="str">
        <x:v>UNASSIGNED</x:v>
      </x:c>
      <x:c r="M8" s="26" t="n">
        <x:f>COUNTIFS('Ancestry Ledger'!$D$5:$D$292,$C8,'Ancestry Ledger'!$K$5:$K$292,"&lt;&gt;UNDECLARED")</x:f>
        <x:v>0</x:v>
      </x:c>
      <x:c r="N8" s="26" t="n">
        <x:f>COUNTIFS('G6 Gates'!$D$5:$D$340,$C8,'G6 Gates'!$J$5:$J$340,"PASS")</x:f>
        <x:v>0</x:v>
      </x:c>
      <x:c r="O8" s="26" t="str">
        <x:f>IF(AND(COUNTIFS('Route Obligations'!$D$5:$D$116,$C8)=I8,COUNTIFS('Root Field Matrix'!$D$5:$D$100,$C8)=J8,M8='Controls'!$D$17,N8='Controls'!$D$19),"G6 RELEASE","HOLD")</x:f>
        <x:v>HOLD</x:v>
      </x:c>
      <x:c r="P8" s="26" t="n">
        <x:v>0</x:v>
      </x:c>
      <x:c r="Q8" s="26" t="str">
        <x:v>BLOCKED</x:v>
      </x:c>
    </x:row>
    <x:row r="9">
      <x:c r="C9" s="26" t="str">
        <x:v>C3-CT-A-RB1</x:v>
      </x:c>
      <x:c r="D9" s="26" t="str">
        <x:v>MS-CT</x:v>
      </x:c>
      <x:c r="E9" s="26" t="str">
        <x:v>A</x:v>
      </x:c>
      <x:c r="F9" s="26" t="str">
        <x:v>Civic edge grid</x:v>
      </x:c>
      <x:c r="G9" s="26" t="str">
        <x:v>Local-first civil state, interior access robots, common cabins and terrestrial mesh operate block by block.</x:v>
      </x:c>
      <x:c r="H9" s="26" t="n">
        <x:v>48</x:v>
      </x:c>
      <x:c r="I9" s="26" t="n">
        <x:v>5</x:v>
      </x:c>
      <x:c r="J9" s="26" t="n">
        <x:v>4</x:v>
      </x:c>
      <x:c r="K9" s="28" t="n">
        <x:f>INDEX('Financial Boundary'!$I$14:$I$19,MATCH($D9,'Financial Boundary'!$C$14:$C$19,0))</x:f>
        <x:v>11.484099827322673</x:v>
      </x:c>
      <x:c r="L9" s="30" t="str">
        <x:v>UNASSIGNED</x:v>
      </x:c>
      <x:c r="M9" s="26" t="n">
        <x:f>COUNTIFS('Ancestry Ledger'!$D$5:$D$292,$C9,'Ancestry Ledger'!$K$5:$K$292,"&lt;&gt;UNDECLARED")</x:f>
        <x:v>0</x:v>
      </x:c>
      <x:c r="N9" s="26" t="n">
        <x:f>COUNTIFS('G7 Gates'!$D$5:$D$340,$C9,'G7 Gates'!$J$5:$J$340,"PASS")</x:f>
        <x:v>0</x:v>
      </x:c>
      <x:c r="O9" s="26" t="str">
        <x:f>IF(AND(COUNTIFS('Route Obligations'!$D$5:$D$116,$C9)=I9,COUNTIFS('Root Field Matrix'!$D$5:$D$100,$C9)=J9,M9='Controls'!$D$17,N9='Controls'!$D$19),"G7 RELEASE","HOLD")</x:f>
        <x:v>HOLD</x:v>
      </x:c>
      <x:c r="P9" s="26" t="n">
        <x:v>0</x:v>
      </x:c>
      <x:c r="Q9" s="26" t="str">
        <x:v>BLOCKED</x:v>
      </x:c>
    </x:row>
    <x:row r="10">
      <x:c r="C10" s="26" t="str">
        <x:v>C3-CT-B-RB1</x:v>
      </x:c>
      <x:c r="D10" s="26" t="str">
        <x:v>MS-CT</x:v>
      </x:c>
      <x:c r="E10" s="26" t="str">
        <x:v>B</x:v>
      </x:c>
      <x:c r="F10" s="26" t="str">
        <x:v>Air-and-skin reach</x:v>
      </x:c>
      <x:c r="G10" s="26" t="str">
        <x:v>Aerial sensing, exterior building access, airborne cabins and optical relays reach from outside damaged structures.</x:v>
      </x:c>
      <x:c r="H10" s="26" t="n">
        <x:v>48</x:v>
      </x:c>
      <x:c r="I10" s="26" t="n">
        <x:v>5</x:v>
      </x:c>
      <x:c r="J10" s="26" t="n">
        <x:v>4</x:v>
      </x:c>
      <x:c r="K10" s="28" t="n">
        <x:f>INDEX('Financial Boundary'!$I$14:$I$19,MATCH($D10,'Financial Boundary'!$C$14:$C$19,0))</x:f>
        <x:v>11.484099827322673</x:v>
      </x:c>
      <x:c r="L10" s="30" t="str">
        <x:v>UNASSIGNED</x:v>
      </x:c>
      <x:c r="M10" s="26" t="n">
        <x:f>COUNTIFS('Ancestry Ledger'!$D$5:$D$292,$C10,'Ancestry Ledger'!$K$5:$K$292,"&lt;&gt;UNDECLARED")</x:f>
        <x:v>0</x:v>
      </x:c>
      <x:c r="N10" s="26" t="n">
        <x:f>COUNTIFS('G8 Gates'!$D$5:$D$340,$C10,'G8 Gates'!$J$5:$J$340,"PASS")</x:f>
        <x:v>0</x:v>
      </x:c>
      <x:c r="O10" s="26" t="str">
        <x:f>IF(AND(COUNTIFS('Route Obligations'!$D$5:$D$116,$C10)=I10,COUNTIFS('Root Field Matrix'!$D$5:$D$100,$C10)=J10,M10='Controls'!$D$17,N10='Controls'!$D$19),"G8 RELEASE","HOLD")</x:f>
        <x:v>HOLD</x:v>
      </x:c>
      <x:c r="P10" s="26" t="n">
        <x:v>0</x:v>
      </x:c>
      <x:c r="Q10" s="26" t="str">
        <x:v>BLOCKED</x:v>
      </x:c>
    </x:row>
    <x:row r="11">
      <x:c r="C11" s="26" t="str">
        <x:v>C3-CT-C-RB1</x:v>
      </x:c>
      <x:c r="D11" s="26" t="str">
        <x:v>MS-CT</x:v>
      </x:c>
      <x:c r="E11" s="26" t="str">
        <x:v>C</x:v>
      </x:c>
      <x:c r="F11" s="26" t="str">
        <x:v>Building utility spine</x:v>
      </x:c>
      <x:c r="G11" s="26" t="str">
        <x:v>Wired records, deployable vertical rails, powered transfer sleds and low-frequency links create a building service spine.</x:v>
      </x:c>
      <x:c r="H11" s="26" t="n">
        <x:v>48</x:v>
      </x:c>
      <x:c r="I11" s="26" t="n">
        <x:v>5</x:v>
      </x:c>
      <x:c r="J11" s="26" t="n">
        <x:v>4</x:v>
      </x:c>
      <x:c r="K11" s="28" t="n">
        <x:f>INDEX('Financial Boundary'!$I$14:$I$19,MATCH($D11,'Financial Boundary'!$C$14:$C$19,0))</x:f>
        <x:v>11.484099827322673</x:v>
      </x:c>
      <x:c r="L11" s="30" t="str">
        <x:v>UNASSIGNED</x:v>
      </x:c>
      <x:c r="M11" s="26" t="n">
        <x:f>COUNTIFS('Ancestry Ledger'!$D$5:$D$292,$C11,'Ancestry Ledger'!$K$5:$K$292,"&lt;&gt;UNDECLARED")</x:f>
        <x:v>0</x:v>
      </x:c>
      <x:c r="N11" s="26" t="n">
        <x:f>COUNTIFS('G9 Gates'!$D$5:$D$340,$C11,'G9 Gates'!$J$5:$J$340,"PASS")</x:f>
        <x:v>0</x:v>
      </x:c>
      <x:c r="O11" s="26" t="str">
        <x:f>IF(AND(COUNTIFS('Route Obligations'!$D$5:$D$116,$C11)=I11,COUNTIFS('Root Field Matrix'!$D$5:$D$100,$C11)=J11,M11='Controls'!$D$17,N11='Controls'!$D$19),"G9 RELEASE","HOLD")</x:f>
        <x:v>HOLD</x:v>
      </x:c>
      <x:c r="P11" s="26" t="n">
        <x:v>0</x:v>
      </x:c>
      <x:c r="Q11" s="26" t="str">
        <x:v>BLOCKED</x:v>
      </x:c>
    </x:row>
    <x:row r="12">
      <x:c r="C12" s="26" t="str">
        <x:v>C3-CT-D-RB1</x:v>
      </x:c>
      <x:c r="D12" s="26" t="str">
        <x:v>MS-CT</x:v>
      </x:c>
      <x:c r="E12" s="26" t="str">
        <x:v>D</x:v>
      </x:c>
      <x:c r="F12" s="26" t="str">
        <x:v>Neighborhood machine swarm</x:v>
      </x:c>
      <x:c r="G12" s="26" t="str">
        <x:v>Privacy-preserving edge nodes, cooperative robots, care cabins and mobile data ferries form a moving neighborhood service.</x:v>
      </x:c>
      <x:c r="H12" s="26" t="n">
        <x:v>48</x:v>
      </x:c>
      <x:c r="I12" s="26" t="n">
        <x:v>5</x:v>
      </x:c>
      <x:c r="J12" s="26" t="n">
        <x:v>4</x:v>
      </x:c>
      <x:c r="K12" s="28" t="n">
        <x:f>INDEX('Financial Boundary'!$I$14:$I$19,MATCH($D12,'Financial Boundary'!$C$14:$C$19,0))</x:f>
        <x:v>11.484099827322673</x:v>
      </x:c>
      <x:c r="L12" s="30" t="str">
        <x:v>UNASSIGNED</x:v>
      </x:c>
      <x:c r="M12" s="26" t="n">
        <x:f>COUNTIFS('Ancestry Ledger'!$D$5:$D$292,$C12,'Ancestry Ledger'!$K$5:$K$292,"&lt;&gt;UNDECLARED")</x:f>
        <x:v>0</x:v>
      </x:c>
      <x:c r="N12" s="26" t="n">
        <x:f>COUNTIFS('G10 Gates'!$D$5:$D$340,$C12,'G10 Gates'!$J$5:$J$340,"PASS")</x:f>
        <x:v>0</x:v>
      </x:c>
      <x:c r="O12" s="26" t="str">
        <x:f>IF(AND(COUNTIFS('Route Obligations'!$D$5:$D$116,$C12)=I12,COUNTIFS('Root Field Matrix'!$D$5:$D$100,$C12)=J12,M12='Controls'!$D$17,N12='Controls'!$D$19),"G10 RELEASE","HOLD")</x:f>
        <x:v>HOLD</x:v>
      </x:c>
      <x:c r="P12" s="26" t="n">
        <x:v>0</x:v>
      </x:c>
      <x:c r="Q12" s="26" t="str">
        <x:v>BLOCKED</x:v>
      </x:c>
    </x:row>
    <x:row r="13">
      <x:c r="C13" s="26" t="str">
        <x:v>C3-HC-A-RB1</x:v>
      </x:c>
      <x:c r="D13" s="26" t="str">
        <x:v>MS-HC</x:v>
      </x:c>
      <x:c r="E13" s="26" t="str">
        <x:v>A</x:v>
      </x:c>
      <x:c r="F13" s="26" t="str">
        <x:v>Atmospheric control wing</x:v>
      </x:c>
      <x:c r="G13" s="26" t="str">
        <x:v>Purpose-built endurance aircraft combine direct intervention, heavy delivery and aerial causal observation.</x:v>
      </x:c>
      <x:c r="H13" s="26" t="n">
        <x:v>24</x:v>
      </x:c>
      <x:c r="I13" s="26" t="n">
        <x:v>3</x:v>
      </x:c>
      <x:c r="J13" s="26" t="n">
        <x:v>4</x:v>
      </x:c>
      <x:c r="K13" s="28" t="n">
        <x:f>INDEX('Financial Boundary'!$I$14:$I$19,MATCH($D13,'Financial Boundary'!$C$14:$C$19,0))</x:f>
        <x:v>6.830994521565379</x:v>
      </x:c>
      <x:c r="L13" s="30" t="str">
        <x:v>UNASSIGNED</x:v>
      </x:c>
      <x:c r="M13" s="26" t="n">
        <x:f>COUNTIFS('Ancestry Ledger'!$D$5:$D$292,$C13,'Ancestry Ledger'!$K$5:$K$292,"&lt;&gt;UNDECLARED")</x:f>
        <x:v>0</x:v>
      </x:c>
      <x:c r="N13" s="26" t="n">
        <x:f>COUNTIFS('G11 Gates'!$D$5:$D$340,$C13,'G11 Gates'!$J$5:$J$340,"PASS")</x:f>
        <x:v>0</x:v>
      </x:c>
      <x:c r="O13" s="26" t="str">
        <x:f>IF(AND(COUNTIFS('Route Obligations'!$D$5:$D$116,$C13)=I13,COUNTIFS('Root Field Matrix'!$D$5:$D$100,$C13)=J13,M13='Controls'!$D$17,N13='Controls'!$D$19),"G11 RELEASE","HOLD")</x:f>
        <x:v>HOLD</x:v>
      </x:c>
      <x:c r="P13" s="26" t="n">
        <x:v>0</x:v>
      </x:c>
      <x:c r="Q13" s="26" t="str">
        <x:v>BLOCKED</x:v>
      </x:c>
    </x:row>
    <x:row r="14">
      <x:c r="C14" s="26" t="str">
        <x:v>C3-HC-B-RB1</x:v>
      </x:c>
      <x:c r="D14" s="26" t="str">
        <x:v>MS-HC</x:v>
      </x:c>
      <x:c r="E14" s="26" t="str">
        <x:v>B</x:v>
      </x:c>
      <x:c r="F14" s="26" t="str">
        <x:v>Fluid intervention lattice</x:v>
      </x:c>
      <x:c r="G14" s="26" t="str">
        <x:v>Continuous pump, pipe, jet, slurry and chemistry corridors act through controlled fluid paths.</x:v>
      </x:c>
      <x:c r="H14" s="26" t="n">
        <x:v>24</x:v>
      </x:c>
      <x:c r="I14" s="26" t="n">
        <x:v>3</x:v>
      </x:c>
      <x:c r="J14" s="26" t="n">
        <x:v>4</x:v>
      </x:c>
      <x:c r="K14" s="28" t="n">
        <x:f>INDEX('Financial Boundary'!$I$14:$I$19,MATCH($D14,'Financial Boundary'!$C$14:$C$19,0))</x:f>
        <x:v>6.830994521565379</x:v>
      </x:c>
      <x:c r="L14" s="30" t="str">
        <x:v>UNASSIGNED</x:v>
      </x:c>
      <x:c r="M14" s="26" t="n">
        <x:f>COUNTIFS('Ancestry Ledger'!$D$5:$D$292,$C14,'Ancestry Ledger'!$K$5:$K$292,"&lt;&gt;UNDECLARED")</x:f>
        <x:v>0</x:v>
      </x:c>
      <x:c r="N14" s="26" t="n">
        <x:f>COUNTIFS('G12 Gates'!$D$5:$D$340,$C14,'G12 Gates'!$J$5:$J$340,"PASS")</x:f>
        <x:v>0</x:v>
      </x:c>
      <x:c r="O14" s="26" t="str">
        <x:f>IF(AND(COUNTIFS('Route Obligations'!$D$5:$D$116,$C14)=I14,COUNTIFS('Root Field Matrix'!$D$5:$D$100,$C14)=J14,M14='Controls'!$D$17,N14='Controls'!$D$19),"G12 RELEASE","HOLD")</x:f>
        <x:v>HOLD</x:v>
      </x:c>
      <x:c r="P14" s="26" t="n">
        <x:v>0</x:v>
      </x:c>
      <x:c r="Q14" s="26" t="str">
        <x:v>BLOCKED</x:v>
      </x:c>
    </x:row>
    <x:row r="15">
      <x:c r="C15" s="26" t="str">
        <x:v>C3-HC-C-RB1</x:v>
      </x:c>
      <x:c r="D15" s="26" t="str">
        <x:v>MS-HC</x:v>
      </x:c>
      <x:c r="E15" s="26" t="str">
        <x:v>C</x:v>
      </x:c>
      <x:c r="F15" s="26" t="str">
        <x:v>Autonomous terrain corps</x:v>
      </x:c>
      <x:c r="G15" s="26" t="str">
        <x:v>Heavy autonomous plant changes fuel, soil, water and debris geometry from protected ground positions.</x:v>
      </x:c>
      <x:c r="H15" s="26" t="n">
        <x:v>24</x:v>
      </x:c>
      <x:c r="I15" s="26" t="n">
        <x:v>3</x:v>
      </x:c>
      <x:c r="J15" s="26" t="n">
        <x:v>4</x:v>
      </x:c>
      <x:c r="K15" s="28" t="n">
        <x:f>INDEX('Financial Boundary'!$I$14:$I$19,MATCH($D15,'Financial Boundary'!$C$14:$C$19,0))</x:f>
        <x:v>6.830994521565379</x:v>
      </x:c>
      <x:c r="L15" s="30" t="str">
        <x:v>UNASSIGNED</x:v>
      </x:c>
      <x:c r="M15" s="26" t="n">
        <x:f>COUNTIFS('Ancestry Ledger'!$D$5:$D$292,$C15,'Ancestry Ledger'!$K$5:$K$292,"&lt;&gt;UNDECLARED")</x:f>
        <x:v>0</x:v>
      </x:c>
      <x:c r="N15" s="26" t="n">
        <x:f>COUNTIFS('G13 Gates'!$D$5:$D$340,$C15,'G13 Gates'!$J$5:$J$340,"PASS")</x:f>
        <x:v>0</x:v>
      </x:c>
      <x:c r="O15" s="26" t="str">
        <x:f>IF(AND(COUNTIFS('Route Obligations'!$D$5:$D$116,$C15)=I15,COUNTIFS('Root Field Matrix'!$D$5:$D$100,$C15)=J15,M15='Controls'!$D$17,N15='Controls'!$D$19),"G13 RELEASE","HOLD")</x:f>
        <x:v>HOLD</x:v>
      </x:c>
      <x:c r="P15" s="26" t="n">
        <x:v>0</x:v>
      </x:c>
      <x:c r="Q15" s="26" t="str">
        <x:v>BLOCKED</x:v>
      </x:c>
    </x:row>
    <x:row r="16">
      <x:c r="C16" s="26" t="str">
        <x:v>C3-HC-D-RB1</x:v>
      </x:c>
      <x:c r="D16" s="26" t="str">
        <x:v>MS-HC</x:v>
      </x:c>
      <x:c r="E16" s="26" t="str">
        <x:v>D</x:v>
      </x:c>
      <x:c r="F16" s="26" t="str">
        <x:v>Distributed control field</x:v>
      </x:c>
      <x:c r="G16" s="26" t="str">
        <x:v>Large sensor-actuator swarms place suppression, barriers and small-machine work across the hazard edge.</x:v>
      </x:c>
      <x:c r="H16" s="26" t="n">
        <x:v>24</x:v>
      </x:c>
      <x:c r="I16" s="26" t="n">
        <x:v>3</x:v>
      </x:c>
      <x:c r="J16" s="26" t="n">
        <x:v>4</x:v>
      </x:c>
      <x:c r="K16" s="28" t="n">
        <x:f>INDEX('Financial Boundary'!$I$14:$I$19,MATCH($D16,'Financial Boundary'!$C$14:$C$19,0))</x:f>
        <x:v>6.830994521565379</x:v>
      </x:c>
      <x:c r="L16" s="30" t="str">
        <x:v>UNASSIGNED</x:v>
      </x:c>
      <x:c r="M16" s="26" t="n">
        <x:f>COUNTIFS('Ancestry Ledger'!$D$5:$D$292,$C16,'Ancestry Ledger'!$K$5:$K$292,"&lt;&gt;UNDECLARED")</x:f>
        <x:v>0</x:v>
      </x:c>
      <x:c r="N16" s="26" t="n">
        <x:f>COUNTIFS('G14 Gates'!$D$5:$D$340,$C16,'G14 Gates'!$J$5:$J$340,"PASS")</x:f>
        <x:v>0</x:v>
      </x:c>
      <x:c r="O16" s="26" t="str">
        <x:f>IF(AND(COUNTIFS('Route Obligations'!$D$5:$D$116,$C16)=I16,COUNTIFS('Root Field Matrix'!$D$5:$D$100,$C16)=J16,M16='Controls'!$D$17,N16='Controls'!$D$19),"G14 RELEASE","HOLD")</x:f>
        <x:v>HOLD</x:v>
      </x:c>
      <x:c r="P16" s="26" t="n">
        <x:v>0</x:v>
      </x:c>
      <x:c r="Q16" s="26" t="str">
        <x:v>BLOCKED</x:v>
      </x:c>
    </x:row>
    <x:row r="17">
      <x:c r="C17" s="26" t="str">
        <x:v>C3-LF-A-RB1</x:v>
      </x:c>
      <x:c r="D17" s="26" t="str">
        <x:v>MS-LF</x:v>
      </x:c>
      <x:c r="E17" s="26" t="str">
        <x:v>A</x:v>
      </x:c>
      <x:c r="F17" s="26" t="str">
        <x:v>Oceanic nuclear utility</x:v>
      </x:c>
      <x:c r="G17" s="26" t="str">
        <x:v>A nuclear-thermal coastal producer supplies desalinated water, firm power, heat and shore transfer.</x:v>
      </x:c>
      <x:c r="H17" s="26" t="n">
        <x:v>38</x:v>
      </x:c>
      <x:c r="I17" s="26" t="n">
        <x:v>5</x:v>
      </x:c>
      <x:c r="J17" s="26" t="n">
        <x:v>4</x:v>
      </x:c>
      <x:c r="K17" s="28" t="n">
        <x:f>INDEX('Financial Boundary'!$I$14:$I$19,MATCH($D17,'Financial Boundary'!$C$14:$C$19,0))</x:f>
        <x:v>8.994128193205636</x:v>
      </x:c>
      <x:c r="L17" s="30" t="str">
        <x:v>UNASSIGNED</x:v>
      </x:c>
      <x:c r="M17" s="26" t="n">
        <x:f>COUNTIFS('Ancestry Ledger'!$D$5:$D$292,$C17,'Ancestry Ledger'!$K$5:$K$292,"&lt;&gt;UNDECLARED")</x:f>
        <x:v>0</x:v>
      </x:c>
      <x:c r="N17" s="26" t="n">
        <x:f>COUNTIFS('G15 Gates'!$D$5:$D$340,$C17,'G15 Gates'!$J$5:$J$340,"PASS")</x:f>
        <x:v>0</x:v>
      </x:c>
      <x:c r="O17" s="26" t="str">
        <x:f>IF(AND(COUNTIFS('Route Obligations'!$D$5:$D$116,$C17)=I17,COUNTIFS('Root Field Matrix'!$D$5:$D$100,$C17)=J17,M17='Controls'!$D$17,N17='Controls'!$D$19),"G15 RELEASE","HOLD")</x:f>
        <x:v>HOLD</x:v>
      </x:c>
      <x:c r="P17" s="26" t="n">
        <x:v>0</x:v>
      </x:c>
      <x:c r="Q17" s="26" t="str">
        <x:v>BLOCKED</x:v>
      </x:c>
    </x:row>
    <x:row r="18">
      <x:c r="C18" s="26" t="str">
        <x:v>C3-LF-B-RB1</x:v>
      </x:c>
      <x:c r="D18" s="26" t="str">
        <x:v>MS-LF</x:v>
      </x:c>
      <x:c r="E18" s="26" t="str">
        <x:v>B</x:v>
      </x:c>
      <x:c r="F18" s="26" t="str">
        <x:v>Inland geothermal train</x:v>
      </x:c>
      <x:c r="G18" s="26" t="str">
        <x:v>Rapid-bore geothermal units, brackish separation and mobile utility works form an inland firm-source chain.</x:v>
      </x:c>
      <x:c r="H18" s="26" t="n">
        <x:v>38</x:v>
      </x:c>
      <x:c r="I18" s="26" t="n">
        <x:v>5</x:v>
      </x:c>
      <x:c r="J18" s="26" t="n">
        <x:v>4</x:v>
      </x:c>
      <x:c r="K18" s="28" t="n">
        <x:f>INDEX('Financial Boundary'!$I$14:$I$19,MATCH($D18,'Financial Boundary'!$C$14:$C$19,0))</x:f>
        <x:v>8.994128193205636</x:v>
      </x:c>
      <x:c r="L18" s="30" t="str">
        <x:v>UNASSIGNED</x:v>
      </x:c>
      <x:c r="M18" s="26" t="n">
        <x:f>COUNTIFS('Ancestry Ledger'!$D$5:$D$292,$C18,'Ancestry Ledger'!$K$5:$K$292,"&lt;&gt;UNDECLARED")</x:f>
        <x:v>0</x:v>
      </x:c>
      <x:c r="N18" s="26" t="n">
        <x:f>COUNTIFS('G16 Gates'!$D$5:$D$340,$C18,'G16 Gates'!$J$5:$J$340,"PASS")</x:f>
        <x:v>0</x:v>
      </x:c>
      <x:c r="O18" s="26" t="str">
        <x:f>IF(AND(COUNTIFS('Route Obligations'!$D$5:$D$116,$C18)=I18,COUNTIFS('Root Field Matrix'!$D$5:$D$100,$C18)=J18,M18='Controls'!$D$17,N18='Controls'!$D$19),"G16 RELEASE","HOLD")</x:f>
        <x:v>HOLD</x:v>
      </x:c>
      <x:c r="P18" s="26" t="n">
        <x:v>0</x:v>
      </x:c>
      <x:c r="Q18" s="26" t="str">
        <x:v>BLOCKED</x:v>
      </x:c>
    </x:row>
    <x:row r="19">
      <x:c r="C19" s="26" t="str">
        <x:v>C3-LF-C-RB1</x:v>
      </x:c>
      <x:c r="D19" s="26" t="str">
        <x:v>MS-LF</x:v>
      </x:c>
      <x:c r="E19" s="26" t="str">
        <x:v>C</x:v>
      </x:c>
      <x:c r="F19" s="26" t="str">
        <x:v>Renewable electrochemical swarm</x:v>
      </x:c>
      <x:c r="G19" s="26" t="str">
        <x:v>Distributed renewable capture, long storage, electrochemical separation and robotic corridors form cellular islands.</x:v>
      </x:c>
      <x:c r="H19" s="26" t="n">
        <x:v>38</x:v>
      </x:c>
      <x:c r="I19" s="26" t="n">
        <x:v>5</x:v>
      </x:c>
      <x:c r="J19" s="26" t="n">
        <x:v>4</x:v>
      </x:c>
      <x:c r="K19" s="28" t="n">
        <x:f>INDEX('Financial Boundary'!$I$14:$I$19,MATCH($D19,'Financial Boundary'!$C$14:$C$19,0))</x:f>
        <x:v>8.994128193205636</x:v>
      </x:c>
      <x:c r="L19" s="30" t="str">
        <x:v>UNASSIGNED</x:v>
      </x:c>
      <x:c r="M19" s="26" t="n">
        <x:f>COUNTIFS('Ancestry Ledger'!$D$5:$D$292,$C19,'Ancestry Ledger'!$K$5:$K$292,"&lt;&gt;UNDECLARED")</x:f>
        <x:v>0</x:v>
      </x:c>
      <x:c r="N19" s="26" t="n">
        <x:f>COUNTIFS('G17 Gates'!$D$5:$D$340,$C19,'G17 Gates'!$J$5:$J$340,"PASS")</x:f>
        <x:v>0</x:v>
      </x:c>
      <x:c r="O19" s="26" t="str">
        <x:f>IF(AND(COUNTIFS('Route Obligations'!$D$5:$D$116,$C19)=I19,COUNTIFS('Root Field Matrix'!$D$5:$D$100,$C19)=J19,M19='Controls'!$D$17,N19='Controls'!$D$19),"G17 RELEASE","HOLD")</x:f>
        <x:v>HOLD</x:v>
      </x:c>
      <x:c r="P19" s="26" t="n">
        <x:v>0</x:v>
      </x:c>
      <x:c r="Q19" s="26" t="str">
        <x:v>BLOCKED</x:v>
      </x:c>
    </x:row>
    <x:row r="20">
      <x:c r="C20" s="26" t="str">
        <x:v>C3-LF-D-RB1</x:v>
      </x:c>
      <x:c r="D20" s="26" t="str">
        <x:v>MS-LF</x:v>
      </x:c>
      <x:c r="E20" s="26" t="str">
        <x:v>D</x:v>
      </x:c>
      <x:c r="F20" s="26" t="str">
        <x:v>Synthetic-fuel service fleet</x:v>
      </x:c>
      <x:c r="G20" s="26" t="str">
        <x:v>Ammonia-hydrogen cogeneration, membrane-biological treatment and recoverable mobile networks provide dispatchable service.</x:v>
      </x:c>
      <x:c r="H20" s="26" t="n">
        <x:v>38</x:v>
      </x:c>
      <x:c r="I20" s="26" t="n">
        <x:v>5</x:v>
      </x:c>
      <x:c r="J20" s="26" t="n">
        <x:v>4</x:v>
      </x:c>
      <x:c r="K20" s="28" t="n">
        <x:f>INDEX('Financial Boundary'!$I$14:$I$19,MATCH($D20,'Financial Boundary'!$C$14:$C$19,0))</x:f>
        <x:v>8.994128193205636</x:v>
      </x:c>
      <x:c r="L20" s="30" t="str">
        <x:v>UNASSIGNED</x:v>
      </x:c>
      <x:c r="M20" s="26" t="n">
        <x:f>COUNTIFS('Ancestry Ledger'!$D$5:$D$292,$C20,'Ancestry Ledger'!$K$5:$K$292,"&lt;&gt;UNDECLARED")</x:f>
        <x:v>0</x:v>
      </x:c>
      <x:c r="N20" s="26" t="n">
        <x:f>COUNTIFS('G18 Gates'!$D$5:$D$340,$C20,'G18 Gates'!$J$5:$J$340,"PASS")</x:f>
        <x:v>0</x:v>
      </x:c>
      <x:c r="O20" s="26" t="str">
        <x:f>IF(AND(COUNTIFS('Route Obligations'!$D$5:$D$116,$C20)=I20,COUNTIFS('Root Field Matrix'!$D$5:$D$100,$C20)=J20,M20='Controls'!$D$17,N20='Controls'!$D$19),"G18 RELEASE","HOLD")</x:f>
        <x:v>HOLD</x:v>
      </x:c>
      <x:c r="P20" s="26" t="n">
        <x:v>0</x:v>
      </x:c>
      <x:c r="Q20" s="26" t="str">
        <x:v>BLOCKED</x:v>
      </x:c>
    </x:row>
    <x:row r="21">
      <x:c r="C21" s="26" t="str">
        <x:v>C3-HU-A-RB1</x:v>
      </x:c>
      <x:c r="D21" s="26" t="str">
        <x:v>MS-HU</x:v>
      </x:c>
      <x:c r="E21" s="26" t="str">
        <x:v>A</x:v>
      </x:c>
      <x:c r="F21" s="26" t="str">
        <x:v>Clinical continuity campus</x:v>
      </x:c>
      <x:c r="G21" s="26" t="str">
        <x:v>Anchored high-acuity islands join shelter, regulated transfer and replacement teams in one campus network.</x:v>
      </x:c>
      <x:c r="H21" s="26" t="n">
        <x:v>128</x:v>
      </x:c>
      <x:c r="I21" s="26" t="n">
        <x:v>5</x:v>
      </x:c>
      <x:c r="J21" s="26" t="n">
        <x:v>4</x:v>
      </x:c>
      <x:c r="K21" s="28" t="n">
        <x:f>INDEX('Financial Boundary'!$I$14:$I$19,MATCH($D21,'Financial Boundary'!$C$14:$C$19,0))</x:f>
        <x:v>19.137720186217514</x:v>
      </x:c>
      <x:c r="L21" s="30" t="str">
        <x:v>UNASSIGNED</x:v>
      </x:c>
      <x:c r="M21" s="26" t="n">
        <x:f>COUNTIFS('Ancestry Ledger'!$D$5:$D$292,$C21,'Ancestry Ledger'!$K$5:$K$292,"&lt;&gt;UNDECLARED")</x:f>
        <x:v>0</x:v>
      </x:c>
      <x:c r="N21" s="26" t="n">
        <x:f>COUNTIFS('G19 Gates'!$D$5:$D$340,$C21,'G19 Gates'!$J$5:$J$340,"PASS")</x:f>
        <x:v>0</x:v>
      </x:c>
      <x:c r="O21" s="26" t="str">
        <x:f>IF(AND(COUNTIFS('Route Obligations'!$D$5:$D$116,$C21)=I21,COUNTIFS('Root Field Matrix'!$D$5:$D$100,$C21)=J21,M21='Controls'!$D$17,N21='Controls'!$D$19),"G19 RELEASE","HOLD")</x:f>
        <x:v>HOLD</x:v>
      </x:c>
      <x:c r="P21" s="26" t="n">
        <x:v>0</x:v>
      </x:c>
      <x:c r="Q21" s="26" t="str">
        <x:v>BLOCKED</x:v>
      </x:c>
    </x:row>
    <x:row r="22">
      <x:c r="C22" s="26" t="str">
        <x:v>C3-HU-B-RB1</x:v>
      </x:c>
      <x:c r="D22" s="26" t="str">
        <x:v>MS-HU</x:v>
      </x:c>
      <x:c r="E22" s="26" t="str">
        <x:v>B</x:v>
      </x:c>
      <x:c r="F22" s="26" t="str">
        <x:v>Neighborhood care fabric</x:v>
      </x:c>
      <x:c r="G22" s="26" t="str">
        <x:v>Distributed care pods, remote specialists, thermal skins and governed transfer nodes keep service near households.</x:v>
      </x:c>
      <x:c r="H22" s="26" t="n">
        <x:v>128</x:v>
      </x:c>
      <x:c r="I22" s="26" t="n">
        <x:v>5</x:v>
      </x:c>
      <x:c r="J22" s="26" t="n">
        <x:v>4</x:v>
      </x:c>
      <x:c r="K22" s="28" t="n">
        <x:f>INDEX('Financial Boundary'!$I$14:$I$19,MATCH($D22,'Financial Boundary'!$C$14:$C$19,0))</x:f>
        <x:v>19.137720186217514</x:v>
      </x:c>
      <x:c r="L22" s="30" t="str">
        <x:v>UNASSIGNED</x:v>
      </x:c>
      <x:c r="M22" s="26" t="n">
        <x:f>COUNTIFS('Ancestry Ledger'!$D$5:$D$292,$C22,'Ancestry Ledger'!$K$5:$K$292,"&lt;&gt;UNDECLARED")</x:f>
        <x:v>0</x:v>
      </x:c>
      <x:c r="N22" s="26" t="n">
        <x:f>COUNTIFS('G20 Gates'!$D$5:$D$340,$C22,'G20 Gates'!$J$5:$J$340,"PASS")</x:f>
        <x:v>0</x:v>
      </x:c>
      <x:c r="O22" s="26" t="str">
        <x:f>IF(AND(COUNTIFS('Route Obligations'!$D$5:$D$116,$C22)=I22,COUNTIFS('Root Field Matrix'!$D$5:$D$100,$C22)=J22,M22='Controls'!$D$17,N22='Controls'!$D$19),"G20 RELEASE","HOLD")</x:f>
        <x:v>HOLD</x:v>
      </x:c>
      <x:c r="P22" s="26" t="n">
        <x:v>0</x:v>
      </x:c>
      <x:c r="Q22" s="26" t="str">
        <x:v>BLOCKED</x:v>
      </x:c>
    </x:row>
    <x:row r="23">
      <x:c r="C23" s="26" t="str">
        <x:v>C3-HU-C-RB1</x:v>
      </x:c>
      <x:c r="D23" s="26" t="str">
        <x:v>MS-HU</x:v>
      </x:c>
      <x:c r="E23" s="26" t="str">
        <x:v>C</x:v>
      </x:c>
      <x:c r="F23" s="26" t="str">
        <x:v>Mobile care network</x:v>
      </x:c>
      <x:c r="G23" s="26" t="str">
        <x:v>Care trains, ships and road cabins combine robotic support, feeding, hygiene and local-first person state while moving.</x:v>
      </x:c>
      <x:c r="H23" s="26" t="n">
        <x:v>128</x:v>
      </x:c>
      <x:c r="I23" s="26" t="n">
        <x:v>5</x:v>
      </x:c>
      <x:c r="J23" s="26" t="n">
        <x:v>4</x:v>
      </x:c>
      <x:c r="K23" s="28" t="n">
        <x:f>INDEX('Financial Boundary'!$I$14:$I$19,MATCH($D23,'Financial Boundary'!$C$14:$C$19,0))</x:f>
        <x:v>19.137720186217514</x:v>
      </x:c>
      <x:c r="L23" s="30" t="str">
        <x:v>UNASSIGNED</x:v>
      </x:c>
      <x:c r="M23" s="26" t="n">
        <x:f>COUNTIFS('Ancestry Ledger'!$D$5:$D$292,$C23,'Ancestry Ledger'!$K$5:$K$292,"&lt;&gt;UNDECLARED")</x:f>
        <x:v>0</x:v>
      </x:c>
      <x:c r="N23" s="26" t="n">
        <x:f>COUNTIFS('G21 Gates'!$D$5:$D$340,$C23,'G21 Gates'!$J$5:$J$340,"PASS")</x:f>
        <x:v>0</x:v>
      </x:c>
      <x:c r="O23" s="26" t="str">
        <x:f>IF(AND(COUNTIFS('Route Obligations'!$D$5:$D$116,$C23)=I23,COUNTIFS('Root Field Matrix'!$D$5:$D$100,$C23)=J23,M23='Controls'!$D$17,N23='Controls'!$D$19),"G21 RELEASE","HOLD")</x:f>
        <x:v>HOLD</x:v>
      </x:c>
      <x:c r="P23" s="26" t="n">
        <x:v>0</x:v>
      </x:c>
      <x:c r="Q23" s="26" t="str">
        <x:v>BLOCKED</x:v>
      </x:c>
    </x:row>
    <x:row r="24">
      <x:c r="C24" s="26" t="str">
        <x:v>C3-HU-D-RB1</x:v>
      </x:c>
      <x:c r="D24" s="26" t="str">
        <x:v>MS-HU</x:v>
      </x:c>
      <x:c r="E24" s="26" t="str">
        <x:v>D</x:v>
      </x:c>
      <x:c r="F24" s="26" t="str">
        <x:v>Host-building conversion system</x:v>
      </x:c>
      <x:c r="G24" s="26" t="str">
        <x:v>Utility skins, diagnostics, local production and verified receivers convert surviving buildings into continuity nodes.</x:v>
      </x:c>
      <x:c r="H24" s="26" t="n">
        <x:v>128</x:v>
      </x:c>
      <x:c r="I24" s="26" t="n">
        <x:v>5</x:v>
      </x:c>
      <x:c r="J24" s="26" t="n">
        <x:v>4</x:v>
      </x:c>
      <x:c r="K24" s="28" t="n">
        <x:f>INDEX('Financial Boundary'!$I$14:$I$19,MATCH($D24,'Financial Boundary'!$C$14:$C$19,0))</x:f>
        <x:v>19.137720186217514</x:v>
      </x:c>
      <x:c r="L24" s="30" t="str">
        <x:v>UNASSIGNED</x:v>
      </x:c>
      <x:c r="M24" s="26" t="n">
        <x:f>COUNTIFS('Ancestry Ledger'!$D$5:$D$292,$C24,'Ancestry Ledger'!$K$5:$K$292,"&lt;&gt;UNDECLARED")</x:f>
        <x:v>0</x:v>
      </x:c>
      <x:c r="N24" s="26" t="n">
        <x:f>COUNTIFS('G22 Gates'!$D$5:$D$340,$C24,'G22 Gates'!$J$5:$J$340,"PASS")</x:f>
        <x:v>0</x:v>
      </x:c>
      <x:c r="O24" s="26" t="str">
        <x:f>IF(AND(COUNTIFS('Route Obligations'!$D$5:$D$116,$C24)=I24,COUNTIFS('Root Field Matrix'!$D$5:$D$100,$C24)=J24,M24='Controls'!$D$17,N24='Controls'!$D$19),"G22 RELEASE","HOLD")</x:f>
        <x:v>HOLD</x:v>
      </x:c>
      <x:c r="P24" s="26" t="n">
        <x:v>0</x:v>
      </x:c>
      <x:c r="Q24" s="26" t="str">
        <x:v>BLOCKED</x:v>
      </x:c>
    </x:row>
    <x:row r="25">
      <x:c r="C25" s="26" t="str">
        <x:v>C3-RT-A-RB1</x:v>
      </x:c>
      <x:c r="D25" s="26" t="str">
        <x:v>MS-RT</x:v>
      </x:c>
      <x:c r="E25" s="26" t="str">
        <x:v>A</x:v>
      </x:c>
      <x:c r="F25" s="26" t="str">
        <x:v>Heavy arsenal base</x:v>
      </x:c>
      <x:c r="G25" s="26" t="str">
        <x:v>Large protected stocks, inspection lines, mineral recovery and replacement cadres regenerate complete formations.</x:v>
      </x:c>
      <x:c r="H25" s="26" t="n">
        <x:v>62</x:v>
      </x:c>
      <x:c r="I25" s="26" t="n">
        <x:v>5</x:v>
      </x:c>
      <x:c r="J25" s="26" t="n">
        <x:v>4</x:v>
      </x:c>
      <x:c r="K25" s="28" t="n">
        <x:f>INDEX('Financial Boundary'!$I$14:$I$19,MATCH($D25,'Financial Boundary'!$C$14:$C$19,0))</x:f>
        <x:v>11.175132761678244</x:v>
      </x:c>
      <x:c r="L25" s="30" t="str">
        <x:v>UNASSIGNED</x:v>
      </x:c>
      <x:c r="M25" s="26" t="n">
        <x:f>COUNTIFS('Ancestry Ledger'!$D$5:$D$292,$C25,'Ancestry Ledger'!$K$5:$K$292,"&lt;&gt;UNDECLARED")</x:f>
        <x:v>0</x:v>
      </x:c>
      <x:c r="N25" s="26" t="n">
        <x:f>COUNTIFS('G23 Gates'!$D$5:$D$340,$C25,'G23 Gates'!$J$5:$J$340,"PASS")</x:f>
        <x:v>0</x:v>
      </x:c>
      <x:c r="O25" s="26" t="str">
        <x:f>IF(AND(COUNTIFS('Route Obligations'!$D$5:$D$116,$C25)=I25,COUNTIFS('Root Field Matrix'!$D$5:$D$100,$C25)=J25,M25='Controls'!$D$17,N25='Controls'!$D$19),"G23 RELEASE","HOLD")</x:f>
        <x:v>HOLD</x:v>
      </x:c>
      <x:c r="P25" s="26" t="n">
        <x:v>0</x:v>
      </x:c>
      <x:c r="Q25" s="26" t="str">
        <x:v>BLOCKED</x:v>
      </x:c>
    </x:row>
    <x:row r="26">
      <x:c r="C26" s="26" t="str">
        <x:v>C3-RT-B-RB1</x:v>
      </x:c>
      <x:c r="D26" s="26" t="str">
        <x:v>MS-RT</x:v>
      </x:c>
      <x:c r="E26" s="26" t="str">
        <x:v>B</x:v>
      </x:c>
      <x:c r="F26" s="26" t="str">
        <x:v>Distributed microfactory mesh</x:v>
      </x:c>
      <x:c r="G26" s="26" t="str">
        <x:v>Predictive stocks, modular exchange, selective recovery and portable credentials spread regeneration across cells.</x:v>
      </x:c>
      <x:c r="H26" s="26" t="n">
        <x:v>62</x:v>
      </x:c>
      <x:c r="I26" s="26" t="n">
        <x:v>5</x:v>
      </x:c>
      <x:c r="J26" s="26" t="n">
        <x:v>4</x:v>
      </x:c>
      <x:c r="K26" s="28" t="n">
        <x:f>INDEX('Financial Boundary'!$I$14:$I$19,MATCH($D26,'Financial Boundary'!$C$14:$C$19,0))</x:f>
        <x:v>11.175132761678244</x:v>
      </x:c>
      <x:c r="L26" s="30" t="str">
        <x:v>UNASSIGNED</x:v>
      </x:c>
      <x:c r="M26" s="26" t="n">
        <x:f>COUNTIFS('Ancestry Ledger'!$D$5:$D$292,$C26,'Ancestry Ledger'!$K$5:$K$292,"&lt;&gt;UNDECLARED")</x:f>
        <x:v>0</x:v>
      </x:c>
      <x:c r="N26" s="26" t="n">
        <x:f>COUNTIFS('G24 Gates'!$D$5:$D$340,$C26,'G24 Gates'!$J$5:$J$340,"PASS")</x:f>
        <x:v>0</x:v>
      </x:c>
      <x:c r="O26" s="26" t="str">
        <x:f>IF(AND(COUNTIFS('Route Obligations'!$D$5:$D$116,$C26)=I26,COUNTIFS('Root Field Matrix'!$D$5:$D$100,$C26)=J26,M26='Controls'!$D$17,N26='Controls'!$D$19),"G24 RELEASE","HOLD")</x:f>
        <x:v>HOLD</x:v>
      </x:c>
      <x:c r="P26" s="26" t="n">
        <x:v>0</x:v>
      </x:c>
      <x:c r="Q26" s="26" t="str">
        <x:v>BLOCKED</x:v>
      </x:c>
    </x:row>
    <x:row r="27">
      <x:c r="C27" s="26" t="str">
        <x:v>C3-RT-C-RB1</x:v>
      </x:c>
      <x:c r="D27" s="26" t="str">
        <x:v>MS-RT</x:v>
      </x:c>
      <x:c r="E27" s="26" t="str">
        <x:v>C</x:v>
      </x:c>
      <x:c r="F27" s="26" t="str">
        <x:v>Exchange and remanufacture network</x:v>
      </x:c>
      <x:c r="G27" s="26" t="str">
        <x:v>Multimode custody, additive repair, thermal conversion and rotating teams move and rebuild service lots.</x:v>
      </x:c>
      <x:c r="H27" s="26" t="n">
        <x:v>62</x:v>
      </x:c>
      <x:c r="I27" s="26" t="n">
        <x:v>5</x:v>
      </x:c>
      <x:c r="J27" s="26" t="n">
        <x:v>4</x:v>
      </x:c>
      <x:c r="K27" s="28" t="n">
        <x:f>INDEX('Financial Boundary'!$I$14:$I$19,MATCH($D27,'Financial Boundary'!$C$14:$C$19,0))</x:f>
        <x:v>11.175132761678244</x:v>
      </x:c>
      <x:c r="L27" s="30" t="str">
        <x:v>UNASSIGNED</x:v>
      </x:c>
      <x:c r="M27" s="26" t="n">
        <x:f>COUNTIFS('Ancestry Ledger'!$D$5:$D$292,$C27,'Ancestry Ledger'!$K$5:$K$292,"&lt;&gt;UNDECLARED")</x:f>
        <x:v>0</x:v>
      </x:c>
      <x:c r="N27" s="26" t="n">
        <x:f>COUNTIFS('G25 Gates'!$D$5:$D$340,$C27,'G25 Gates'!$J$5:$J$340,"PASS")</x:f>
        <x:v>0</x:v>
      </x:c>
      <x:c r="O27" s="26" t="str">
        <x:f>IF(AND(COUNTIFS('Route Obligations'!$D$5:$D$116,$C27)=I27,COUNTIFS('Root Field Matrix'!$D$5:$D$100,$C27)=J27,M27='Controls'!$D$17,N27='Controls'!$D$19),"G25 RELEASE","HOLD")</x:f>
        <x:v>HOLD</x:v>
      </x:c>
      <x:c r="P27" s="26" t="n">
        <x:v>0</x:v>
      </x:c>
      <x:c r="Q27" s="26" t="str">
        <x:v>BLOCKED</x:v>
      </x:c>
    </x:row>
    <x:row r="28">
      <x:c r="C28" s="26" t="str">
        <x:v>C3-RT-D-RB1</x:v>
      </x:c>
      <x:c r="D28" s="26" t="str">
        <x:v>MS-RT</x:v>
      </x:c>
      <x:c r="E28" s="26" t="str">
        <x:v>D</x:v>
      </x:c>
      <x:c r="F28" s="26" t="str">
        <x:v>Closed-loop sustainment fleet</x:v>
      </x:c>
      <x:c r="G28" s="26" t="str">
        <x:v>Mobile cold chain, distributed calibration, closed sanitation and home-station support sustain people and systems together.</x:v>
      </x:c>
      <x:c r="H28" s="26" t="n">
        <x:v>62</x:v>
      </x:c>
      <x:c r="I28" s="26" t="n">
        <x:v>5</x:v>
      </x:c>
      <x:c r="J28" s="26" t="n">
        <x:v>4</x:v>
      </x:c>
      <x:c r="K28" s="28" t="n">
        <x:f>INDEX('Financial Boundary'!$I$14:$I$19,MATCH($D28,'Financial Boundary'!$C$14:$C$19,0))</x:f>
        <x:v>11.175132761678244</x:v>
      </x:c>
      <x:c r="L28" s="30" t="str">
        <x:v>UNASSIGNED</x:v>
      </x:c>
      <x:c r="M28" s="26" t="n">
        <x:f>COUNTIFS('Ancestry Ledger'!$D$5:$D$292,$C28,'Ancestry Ledger'!$K$5:$K$292,"&lt;&gt;UNDECLARED")</x:f>
        <x:v>0</x:v>
      </x:c>
      <x:c r="N28" s="26" t="n">
        <x:f>COUNTIFS('G26 Gates'!$D$5:$D$340,$C28,'G26 Gates'!$J$5:$J$340,"PASS")</x:f>
        <x:v>0</x:v>
      </x:c>
      <x:c r="O28" s="26" t="str">
        <x:f>IF(AND(COUNTIFS('Route Obligations'!$D$5:$D$116,$C28)=I28,COUNTIFS('Root Field Matrix'!$D$5:$D$100,$C28)=J28,M28='Controls'!$D$17,N28='Controls'!$D$19),"G26 RELEASE","HOLD")</x:f>
        <x:v>HOLD</x:v>
      </x:c>
      <x:c r="P28" s="26" t="n">
        <x:v>0</x:v>
      </x:c>
      <x:c r="Q28" s="26" t="str">
        <x:v>BLOCKED</x:v>
      </x:c>
    </x:row>
  </x:sheetData>
  <x:conditionalFormatting sqref="L5:Q28">
    <x:cfRule type="containsText" dxfId="5" priority="1" operator="containsText" text="FAIL"/>
    <x:cfRule type="containsText" dxfId="6" priority="2" operator="containsText" text="REJECT"/>
    <x:cfRule type="containsText" dxfId="7" priority="3" operator="containsText" text="OPEN"/>
    <x:cfRule type="containsText" dxfId="8" priority="4" operator="containsText" text="HOLD"/>
    <x:cfRule type="containsText" dxfId="9" priority="5" operator="containsText" text="SELEC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.559999942779541" hidden="0" customWidth="1"/>
    <x:col min="2" max="2" width="1.559999942779541" hidden="0" customWidth="1"/>
    <x:col min="3" max="3" width="9.4399995803833" hidden="0" customWidth="1"/>
    <x:col min="4" max="4" width="21.110000610351562" hidden="0" customWidth="1"/>
    <x:col min="5" max="5" width="46.66999816894531" hidden="0" customWidth="1"/>
    <x:col min="6" max="6" width="7.78000020980835" hidden="0" customWidth="1"/>
    <x:col min="7" max="7" width="10.5600004196167" hidden="0" customWidth="1"/>
    <x:col min="8" max="8" width="7.21999979019165" hidden="0" customWidth="1"/>
    <x:col min="9" max="9" width="13.329999923706055" hidden="0" customWidth="1"/>
    <x:col min="10" max="10" width="16.670000076293945" hidden="0" customWidth="1"/>
    <x:col min="11" max="11" width="10" hidden="0" customWidth="1"/>
    <x:col min="12" max="12" width="18.329999923706055" hidden="0" customWidth="1"/>
    <x:col min="13" max="13" width="17.780000686645508" hidden="0" customWidth="1"/>
    <x:col min="14" max="14" width="11.109999656677246" hidden="0" customWidth="1"/>
  </x:cols>
  <x:sheetData>
    <x:row r="2">
      <x:c r="C2" s="1" t="str">
        <x:v>Six complete system obligations</x:v>
      </x:c>
    </x:row>
    <x:row r="4" ht="24" customHeight="1">
      <x:c r="C4" s="8" t="str">
        <x:v>System</x:v>
      </x:c>
      <x:c r="D4" s="8" t="str">
        <x:v>Mission chain</x:v>
      </x:c>
      <x:c r="E4" s="8" t="str">
        <x:v>Constitutional obligation</x:v>
      </x:c>
      <x:c r="F4" s="8" t="str">
        <x:v>Routes</x:v>
      </x:c>
      <x:c r="G4" s="8" t="str">
        <x:v>Positions/root</x:v>
      </x:c>
      <x:c r="H4" s="8" t="str">
        <x:v>Roots</x:v>
      </x:c>
      <x:c r="I4" s="8" t="str">
        <x:v>Four-root positions</x:v>
      </x:c>
      <x:c r="J4" s="8" t="str">
        <x:v>25-year mission envelope USD B</x:v>
      </x:c>
      <x:c r="K4" s="8" t="str">
        <x:v>G0–G3 share</x:v>
      </x:c>
      <x:c r="L4" s="8" t="str">
        <x:v>G0–G3 mission reservation USD B</x:v>
      </x:c>
      <x:c r="M4" s="8" t="str">
        <x:v>Per-root reservation USD B</x:v>
      </x:c>
      <x:c r="N4" s="8" t="str">
        <x:v>State</x:v>
      </x:c>
    </x:row>
    <x:row r="5" ht="33" customHeight="1">
      <x:c r="C5" s="21" t="str">
        <x:v>MS-ET</x:v>
      </x:c>
      <x:c r="D5" s="21" t="str">
        <x:v>Enter a broken theater</x:v>
      </x:c>
      <x:c r="E5" s="21" t="str">
        <x:v>Make complete formations operational through damaged ports, airfields, roads, nodes and bases.</x:v>
      </x:c>
      <x:c r="F5" s="21" t="n">
        <x:v>5</x:v>
      </x:c>
      <x:c r="G5" s="21" t="n">
        <x:v>62</x:v>
      </x:c>
      <x:c r="H5" s="21" t="n">
        <x:v>4</x:v>
      </x:c>
      <x:c r="I5" s="21" t="n">
        <x:f>G5*H5</x:f>
        <x:v>248</x:v>
      </x:c>
      <x:c r="J5" s="31" t="n">
        <x:v>89.02339608008444</x:v>
      </x:c>
      <x:c r="K5" s="33" t="n">
        <x:f>'Controls'!$D$21</x:f>
        <x:v>0.5</x:v>
      </x:c>
      <x:c r="L5" s="31" t="n">
        <x:f>J5*K5</x:f>
        <x:v>44.51169804004222</x:v>
      </x:c>
      <x:c r="M5" s="31" t="n">
        <x:f>L5/H5</x:f>
        <x:v>11.127924510010555</x:v>
      </x:c>
      <x:c r="N5" s="35" t="str">
        <x:v>DRAFT</x:v>
      </x:c>
    </x:row>
    <x:row r="6" ht="33" customHeight="1">
      <x:c r="C6" s="22" t="str">
        <x:v>MS-CT</x:v>
      </x:c>
      <x:c r="D6" s="22" t="str">
        <x:v>Reach occupied civil terrain</x:v>
      </x:c>
      <x:c r="E6" s="22" t="str">
        <x:v>Find, communicate with and lawfully reach people and essential institutions below hub scale.</x:v>
      </x:c>
      <x:c r="F6" s="22" t="n">
        <x:v>5</x:v>
      </x:c>
      <x:c r="G6" s="22" t="n">
        <x:v>48</x:v>
      </x:c>
      <x:c r="H6" s="22" t="n">
        <x:v>4</x:v>
      </x:c>
      <x:c r="I6" s="22" t="n">
        <x:f>G6*H6</x:f>
        <x:v>192</x:v>
      </x:c>
      <x:c r="J6" s="32" t="n">
        <x:v>91.87279861858138</x:v>
      </x:c>
      <x:c r="K6" s="34" t="n">
        <x:f>'Controls'!$D$21</x:f>
        <x:v>0.5</x:v>
      </x:c>
      <x:c r="L6" s="32" t="n">
        <x:f>J6*K6</x:f>
        <x:v>45.93639930929069</x:v>
      </x:c>
      <x:c r="M6" s="32" t="n">
        <x:f>L6/H6</x:f>
        <x:v>11.484099827322673</x:v>
      </x:c>
      <x:c r="N6" s="36" t="str">
        <x:v>DRAFT</x:v>
      </x:c>
    </x:row>
    <x:row r="7" ht="33" customHeight="1">
      <x:c r="C7" s="22" t="str">
        <x:v>MS-HC</x:v>
      </x:c>
      <x:c r="D7" s="22" t="str">
        <x:v>Control an active hazard</x:v>
      </x:c>
      <x:c r="E7" s="22" t="str">
        <x:v>Reduce a continuing damaging process and govern residuals before breach, escape or cascade.</x:v>
      </x:c>
      <x:c r="F7" s="22" t="n">
        <x:v>3</x:v>
      </x:c>
      <x:c r="G7" s="22" t="n">
        <x:v>24</x:v>
      </x:c>
      <x:c r="H7" s="22" t="n">
        <x:v>4</x:v>
      </x:c>
      <x:c r="I7" s="22" t="n">
        <x:f>G7*H7</x:f>
        <x:v>96</x:v>
      </x:c>
      <x:c r="J7" s="32" t="n">
        <x:v>54.64795617252303</x:v>
      </x:c>
      <x:c r="K7" s="34" t="n">
        <x:f>'Controls'!$D$21</x:f>
        <x:v>0.5</x:v>
      </x:c>
      <x:c r="L7" s="32" t="n">
        <x:f>J7*K7</x:f>
        <x:v>27.323978086261516</x:v>
      </x:c>
      <x:c r="M7" s="32" t="n">
        <x:f>L7/H7</x:f>
        <x:v>6.830994521565379</x:v>
      </x:c>
      <x:c r="N7" s="36" t="str">
        <x:v>DRAFT</x:v>
      </x:c>
    </x:row>
    <x:row r="8" ht="33" customHeight="1">
      <x:c r="C8" s="22" t="str">
        <x:v>MS-LF</x:v>
      </x:c>
      <x:c r="D8" s="22" t="str">
        <x:v>Produce and distribute lifelines</x:v>
      </x:c>
      <x:c r="E8" s="22" t="str">
        <x:v>Deliver safe water, energy, thermal and network service through point of use and residual custody.</x:v>
      </x:c>
      <x:c r="F8" s="22" t="n">
        <x:v>5</x:v>
      </x:c>
      <x:c r="G8" s="22" t="n">
        <x:v>38</x:v>
      </x:c>
      <x:c r="H8" s="22" t="n">
        <x:v>4</x:v>
      </x:c>
      <x:c r="I8" s="22" t="n">
        <x:f>G8*H8</x:f>
        <x:v>152</x:v>
      </x:c>
      <x:c r="J8" s="32" t="n">
        <x:v>71.95302554564509</x:v>
      </x:c>
      <x:c r="K8" s="34" t="n">
        <x:f>'Controls'!$D$21</x:f>
        <x:v>0.5</x:v>
      </x:c>
      <x:c r="L8" s="32" t="n">
        <x:f>J8*K8</x:f>
        <x:v>35.976512772822545</x:v>
      </x:c>
      <x:c r="M8" s="32" t="n">
        <x:f>L8/H8</x:f>
        <x:v>8.994128193205636</x:v>
      </x:c>
      <x:c r="N8" s="36" t="str">
        <x:v>DRAFT</x:v>
      </x:c>
    </x:row>
    <x:row r="9" ht="33" customHeight="1">
      <x:c r="C9" s="22" t="str">
        <x:v>MS-HU</x:v>
      </x:c>
      <x:c r="D9" s="22" t="str">
        <x:v>Preserve care and human continuity</x:v>
      </x:c>
      <x:c r="E9" s="22" t="str">
        <x:v>Maintain clinical pathways, household integrity, shelter, essential goods and accessible movement.</x:v>
      </x:c>
      <x:c r="F9" s="22" t="n">
        <x:v>5</x:v>
      </x:c>
      <x:c r="G9" s="22" t="n">
        <x:v>128</x:v>
      </x:c>
      <x:c r="H9" s="22" t="n">
        <x:v>4</x:v>
      </x:c>
      <x:c r="I9" s="22" t="n">
        <x:f>G9*H9</x:f>
        <x:v>512</x:v>
      </x:c>
      <x:c r="J9" s="32" t="n">
        <x:v>153.1017614897401</x:v>
      </x:c>
      <x:c r="K9" s="34" t="n">
        <x:f>'Controls'!$D$21</x:f>
        <x:v>0.5</x:v>
      </x:c>
      <x:c r="L9" s="32" t="n">
        <x:f>J9*K9</x:f>
        <x:v>76.55088074487006</x:v>
      </x:c>
      <x:c r="M9" s="32" t="n">
        <x:f>L9/H9</x:f>
        <x:v>19.137720186217514</x:v>
      </x:c>
      <x:c r="N9" s="36" t="str">
        <x:v>DRAFT</x:v>
      </x:c>
    </x:row>
    <x:row r="10" ht="33" customHeight="1">
      <x:c r="C10" s="22" t="str">
        <x:v>MS-RT</x:v>
      </x:c>
      <x:c r="D10" s="22" t="str">
        <x:v>Sustain, transfer and regenerate</x:v>
      </x:c>
      <x:c r="E10" s="22" t="str">
        <x:v>Keep campaigns supplied, transfer service without relapse and restore certified readiness.</x:v>
      </x:c>
      <x:c r="F10" s="22" t="n">
        <x:v>5</x:v>
      </x:c>
      <x:c r="G10" s="22" t="n">
        <x:v>62</x:v>
      </x:c>
      <x:c r="H10" s="22" t="n">
        <x:v>4</x:v>
      </x:c>
      <x:c r="I10" s="22" t="n">
        <x:f>G10*H10</x:f>
        <x:v>248</x:v>
      </x:c>
      <x:c r="J10" s="32" t="n">
        <x:v>89.40106209342595</x:v>
      </x:c>
      <x:c r="K10" s="34" t="n">
        <x:f>'Controls'!$D$21</x:f>
        <x:v>0.5</x:v>
      </x:c>
      <x:c r="L10" s="32" t="n">
        <x:f>J10*K10</x:f>
        <x:v>44.700531046712975</x:v>
      </x:c>
      <x:c r="M10" s="32" t="n">
        <x:f>L10/H10</x:f>
        <x:v>11.175132761678244</x:v>
      </x:c>
      <x:c r="N10" s="36" t="str">
        <x:v>DRAFT</x:v>
      </x:c>
    </x:row>
    <x:row r="11" ht="33" customHeight="1">
      <x:c r="C11" s="22" t="str">
        <x:v>Total</x:v>
      </x:c>
      <x:c r="D11" s="22" t="str"/>
      <x:c r="E11" s="22" t="str"/>
      <x:c r="F11" s="22" t="n">
        <x:v>28</x:v>
      </x:c>
      <x:c r="G11" s="22" t="n">
        <x:v>362</x:v>
      </x:c>
      <x:c r="H11" s="22" t="n">
        <x:v>24</x:v>
      </x:c>
      <x:c r="I11" s="22" t="n">
        <x:f>SUM(I5:I10)</x:f>
        <x:v>1448</x:v>
      </x:c>
      <x:c r="J11" s="32" t="n">
        <x:v>550</x:v>
      </x:c>
      <x:c r="K11" s="32"/>
      <x:c r="L11" s="32" t="n">
        <x:f>SUM(L5:L10)</x:f>
        <x:v>275</x:v>
      </x:c>
      <x:c r="M11" s="32"/>
      <x:c r="N11" s="22" t="str"/>
    </x:row>
  </x:sheetData>
  <x:conditionalFormatting sqref="N5:N10">
    <x:cfRule type="containsText" dxfId="10" priority="1" operator="containsText" text="FAIL"/>
    <x:cfRule type="containsText" dxfId="11" priority="2" operator="containsText" text="REJECT"/>
    <x:cfRule type="containsText" dxfId="12" priority="3" operator="containsText" text="OPEN"/>
    <x:cfRule type="containsText" dxfId="13" priority="4" operator="containsText" text="HOLD"/>
    <x:cfRule type="containsText" dxfId="14" priority="5" operator="containsText" text="SELECT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.559999942779541" hidden="0" customWidth="1"/>
    <x:col min="2" max="2" width="1.559999942779541" hidden="0" customWidth="1"/>
    <x:col min="3" max="3" width="10.5600004196167" hidden="0" customWidth="1"/>
    <x:col min="4" max="4" width="15" hidden="0" customWidth="1"/>
    <x:col min="5" max="5" width="8.890000343322754" hidden="0" customWidth="1"/>
    <x:col min="6" max="6" width="6.110000133514404" hidden="0" customWidth="1"/>
    <x:col min="7" max="7" width="7.78000020980835" hidden="0" customWidth="1"/>
    <x:col min="8" max="8" width="19.440000534057617" hidden="0" customWidth="1"/>
    <x:col min="9" max="9" width="28.889999389648438" hidden="0" customWidth="1"/>
    <x:col min="10" max="10" width="34.439998626708984" hidden="0" customWidth="1"/>
    <x:col min="11" max="11" width="36.66999816894531" hidden="0" customWidth="1"/>
    <x:col min="12" max="12" width="36.66999816894531" hidden="0" customWidth="1"/>
    <x:col min="13" max="13" width="8.890000343322754" hidden="0" customWidth="1"/>
  </x:cols>
  <x:sheetData>
    <x:row r="2">
      <x:c r="C2" s="1" t="str">
        <x:v>Ninety-six root–problem-field assignments</x:v>
      </x:c>
    </x:row>
    <x:row r="3">
      <x:c r="C3" s="2" t="str">
        <x:v>Each mechanism is a draft physical hypothesis against one inherited public coefficient and kill condition.</x:v>
      </x:c>
    </x:row>
    <x:row r="4" ht="24" customHeight="1">
      <x:c r="C4" s="8" t="str">
        <x:v>Assignment</x:v>
      </x:c>
      <x:c r="D4" s="8" t="str">
        <x:v>Root baseline</x:v>
      </x:c>
      <x:c r="E4" s="8" t="str">
        <x:v>System</x:v>
      </x:c>
      <x:c r="F4" s="8" t="str">
        <x:v>Root</x:v>
      </x:c>
      <x:c r="G4" s="8" t="str">
        <x:v>Field</x:v>
      </x:c>
      <x:c r="H4" s="8" t="str">
        <x:v>Problem field</x:v>
      </x:c>
      <x:c r="I4" s="8" t="str">
        <x:v>Binding coefficient</x:v>
      </x:c>
      <x:c r="J4" s="8" t="str">
        <x:v>Root-specific mechanism</x:v>
      </x:c>
      <x:c r="K4" s="8" t="str">
        <x:v>Decisive trial</x:v>
      </x:c>
      <x:c r="L4" s="8" t="str">
        <x:v>Kill condition</x:v>
      </x:c>
      <x:c r="M4" s="8" t="str">
        <x:v>State</x:v>
      </x:c>
    </x:row>
    <x:row r="5" ht="36" customHeight="1">
      <x:c r="C5" s="25" t="str">
        <x:v>ET-01-A</x:v>
      </x:c>
      <x:c r="D5" s="25" t="str">
        <x:v>C3-ET-A-RB1</x:v>
      </x:c>
      <x:c r="E5" s="25" t="str">
        <x:v>MS-ET</x:v>
      </x:c>
      <x:c r="F5" s="25" t="str">
        <x:v>A</x:v>
      </x:c>
      <x:c r="G5" s="25" t="str">
        <x:v>ET-01</x:v>
      </x:c>
      <x:c r="H5" s="25" t="str">
        <x:v>No-pier heavy transfer</x:v>
      </x:c>
      <x:c r="I5" s="25" t="str">
        <x:v>Accepted t/h from carrier to dry staging after port denial</x:v>
      </x:c>
      <x:c r="J5" s="25" t="str">
        <x:v>Semi-submersible exchange deck with self-unloading heavy modules</x:v>
      </x:c>
      <x:c r="K5" s="25" t="str">
        <x:v>Transfer one complete lot through denied port conditions, dry-stage it, account for it and reset.</x:v>
      </x:c>
      <x:c r="L5" s="25" t="str">
        <x:v>No route closes sea state, receiver denial, safety and sustained throughput.</x:v>
      </x:c>
      <x:c r="M5" s="25" t="str">
        <x:v>DRAFT</x:v>
      </x:c>
    </x:row>
    <x:row r="6" ht="36" customHeight="1">
      <x:c r="C6" s="26" t="str">
        <x:v>ET-01-B</x:v>
      </x:c>
      <x:c r="D6" s="26" t="str">
        <x:v>C3-ET-B-RB1</x:v>
      </x:c>
      <x:c r="E6" s="26" t="str">
        <x:v>MS-ET</x:v>
      </x:c>
      <x:c r="F6" s="26" t="str">
        <x:v>B</x:v>
      </x:c>
      <x:c r="G6" s="26" t="str">
        <x:v>ET-01</x:v>
      </x:c>
      <x:c r="H6" s="26" t="str">
        <x:v>No-pier heavy transfer</x:v>
      </x:c>
      <x:c r="I6" s="26" t="str">
        <x:v>Accepted t/h from carrier to dry staging after port denial</x:v>
      </x:c>
      <x:c r="J6" s="26" t="str">
        <x:v>Buoyant vertical-transfer cell with ground-effect shuttles</x:v>
      </x:c>
      <x:c r="K6" s="26" t="str">
        <x:v>Transfer one complete lot through denied port conditions, dry-stage it, account for it and reset.</x:v>
      </x:c>
      <x:c r="L6" s="26" t="str">
        <x:v>No route closes sea state, receiver denial, safety and sustained throughput.</x:v>
      </x:c>
      <x:c r="M6" s="26" t="str">
        <x:v>DRAFT</x:v>
      </x:c>
    </x:row>
    <x:row r="7" ht="36" customHeight="1">
      <x:c r="C7" s="26" t="str">
        <x:v>ET-01-C</x:v>
      </x:c>
      <x:c r="D7" s="26" t="str">
        <x:v>C3-ET-C-RB1</x:v>
      </x:c>
      <x:c r="E7" s="26" t="str">
        <x:v>MS-ET</x:v>
      </x:c>
      <x:c r="F7" s="26" t="str">
        <x:v>C</x:v>
      </x:c>
      <x:c r="G7" s="26" t="str">
        <x:v>ET-01</x:v>
      </x:c>
      <x:c r="H7" s="26" t="str">
        <x:v>No-pier heavy transfer</x:v>
      </x:c>
      <x:c r="I7" s="26" t="str">
        <x:v>Accepted t/h from carrier to dry staging after port denial</x:v>
      </x:c>
      <x:c r="J7" s="26" t="str">
        <x:v>Robotic causeway, shore conveyor and autonomous cross-dock</x:v>
      </x:c>
      <x:c r="K7" s="26" t="str">
        <x:v>Transfer one complete lot through denied port conditions, dry-stage it, account for it and reset.</x:v>
      </x:c>
      <x:c r="L7" s="26" t="str">
        <x:v>No route closes sea state, receiver denial, safety and sustained throughput.</x:v>
      </x:c>
      <x:c r="M7" s="26" t="str">
        <x:v>DRAFT</x:v>
      </x:c>
    </x:row>
    <x:row r="8" ht="36" customHeight="1">
      <x:c r="C8" s="26" t="str">
        <x:v>ET-01-D</x:v>
      </x:c>
      <x:c r="D8" s="26" t="str">
        <x:v>C3-ET-D-RB1</x:v>
      </x:c>
      <x:c r="E8" s="26" t="str">
        <x:v>MS-ET</x:v>
      </x:c>
      <x:c r="F8" s="26" t="str">
        <x:v>D</x:v>
      </x:c>
      <x:c r="G8" s="26" t="str">
        <x:v>ET-01</x:v>
      </x:c>
      <x:c r="H8" s="26" t="str">
        <x:v>No-pier heavy transfer</x:v>
      </x:c>
      <x:c r="I8" s="26" t="str">
        <x:v>Accepted t/h from carrier to dry staging after port denial</x:v>
      </x:c>
      <x:c r="J8" s="26" t="str">
        <x:v>Shallow-draft lighter swarm with amphibious load carriers</x:v>
      </x:c>
      <x:c r="K8" s="26" t="str">
        <x:v>Transfer one complete lot through denied port conditions, dry-stage it, account for it and reset.</x:v>
      </x:c>
      <x:c r="L8" s="26" t="str">
        <x:v>No route closes sea state, receiver denial, safety and sustained throughput.</x:v>
      </x:c>
      <x:c r="M8" s="26" t="str">
        <x:v>DRAFT</x:v>
      </x:c>
    </x:row>
    <x:row r="9" ht="36" customHeight="1">
      <x:c r="C9" s="26" t="str">
        <x:v>ET-02-A</x:v>
      </x:c>
      <x:c r="D9" s="26" t="str">
        <x:v>C3-ET-A-RB1</x:v>
      </x:c>
      <x:c r="E9" s="26" t="str">
        <x:v>MS-ET</x:v>
      </x:c>
      <x:c r="F9" s="26" t="str">
        <x:v>A</x:v>
      </x:c>
      <x:c r="G9" s="26" t="str">
        <x:v>ET-02</x:v>
      </x:c>
      <x:c r="H9" s="26" t="str">
        <x:v>Austere strategic lift</x:v>
      </x:c>
      <x:c r="I9" s="26" t="str">
        <x:v>Complete-formation tonnes delivered without a prepared runway</x:v>
      </x:c>
      <x:c r="J9" s="26" t="str">
        <x:v>Surface-effect heavy intertheater carrier</x:v>
      </x:c>
      <x:c r="K9" s="26" t="str">
        <x:v>Deliver one complete formation through a denied primary mode and prove austere reset.</x:v>
      </x:c>
      <x:c r="L9" s="26" t="str">
        <x:v>Payload arrives without its service cell or cannot reset at the receiving node.</x:v>
      </x:c>
      <x:c r="M9" s="26" t="str">
        <x:v>DRAFT</x:v>
      </x:c>
    </x:row>
    <x:row r="10" ht="36" customHeight="1">
      <x:c r="C10" s="26" t="str">
        <x:v>ET-02-B</x:v>
      </x:c>
      <x:c r="D10" s="26" t="str">
        <x:v>C3-ET-B-RB1</x:v>
      </x:c>
      <x:c r="E10" s="26" t="str">
        <x:v>MS-ET</x:v>
      </x:c>
      <x:c r="F10" s="26" t="str">
        <x:v>B</x:v>
      </x:c>
      <x:c r="G10" s="26" t="str">
        <x:v>ET-02</x:v>
      </x:c>
      <x:c r="H10" s="26" t="str">
        <x:v>Austere strategic lift</x:v>
      </x:c>
      <x:c r="I10" s="26" t="str">
        <x:v>Complete-formation tonnes delivered without a prepared runway</x:v>
      </x:c>
      <x:c r="J10" s="26" t="str">
        <x:v>Ground-coupled buoyant heavy lift</x:v>
      </x:c>
      <x:c r="K10" s="26" t="str">
        <x:v>Deliver one complete formation through a denied primary mode and prove austere reset.</x:v>
      </x:c>
      <x:c r="L10" s="26" t="str">
        <x:v>Payload arrives without its service cell or cannot reset at the receiving node.</x:v>
      </x:c>
      <x:c r="M10" s="26" t="str">
        <x:v>DRAFT</x:v>
      </x:c>
    </x:row>
    <x:row r="11" ht="36" customHeight="1">
      <x:c r="C11" s="26" t="str">
        <x:v>ET-02-C</x:v>
      </x:c>
      <x:c r="D11" s="26" t="str">
        <x:v>C3-ET-C-RB1</x:v>
      </x:c>
      <x:c r="E11" s="26" t="str">
        <x:v>MS-ET</x:v>
      </x:c>
      <x:c r="F11" s="26" t="str">
        <x:v>C</x:v>
      </x:c>
      <x:c r="G11" s="26" t="str">
        <x:v>ET-02</x:v>
      </x:c>
      <x:c r="H11" s="26" t="str">
        <x:v>Austere strategic lift</x:v>
      </x:c>
      <x:c r="I11" s="26" t="str">
        <x:v>Complete-formation tonnes delivered without a prepared runway</x:v>
      </x:c>
      <x:c r="J11" s="26" t="str">
        <x:v>Short-field lifting-body fleet</x:v>
      </x:c>
      <x:c r="K11" s="26" t="str">
        <x:v>Deliver one complete formation through a denied primary mode and prove austere reset.</x:v>
      </x:c>
      <x:c r="L11" s="26" t="str">
        <x:v>Payload arrives without its service cell or cannot reset at the receiving node.</x:v>
      </x:c>
      <x:c r="M11" s="26" t="str">
        <x:v>DRAFT</x:v>
      </x:c>
    </x:row>
    <x:row r="12" ht="36" customHeight="1">
      <x:c r="C12" s="26" t="str">
        <x:v>ET-02-D</x:v>
      </x:c>
      <x:c r="D12" s="26" t="str">
        <x:v>C3-ET-D-RB1</x:v>
      </x:c>
      <x:c r="E12" s="26" t="str">
        <x:v>MS-ET</x:v>
      </x:c>
      <x:c r="F12" s="26" t="str">
        <x:v>D</x:v>
      </x:c>
      <x:c r="G12" s="26" t="str">
        <x:v>ET-02</x:v>
      </x:c>
      <x:c r="H12" s="26" t="str">
        <x:v>Austere strategic lift</x:v>
      </x:c>
      <x:c r="I12" s="26" t="str">
        <x:v>Complete-formation tonnes delivered without a prepared runway</x:v>
      </x:c>
      <x:c r="J12" s="26" t="str">
        <x:v>Distributed electric vertical-lift convoy</x:v>
      </x:c>
      <x:c r="K12" s="26" t="str">
        <x:v>Deliver one complete formation through a denied primary mode and prove austere reset.</x:v>
      </x:c>
      <x:c r="L12" s="26" t="str">
        <x:v>Payload arrives without its service cell or cannot reset at the receiving node.</x:v>
      </x:c>
      <x:c r="M12" s="26" t="str">
        <x:v>DRAFT</x:v>
      </x:c>
    </x:row>
    <x:row r="13" ht="36" customHeight="1">
      <x:c r="C13" s="26" t="str">
        <x:v>ET-03-A</x:v>
      </x:c>
      <x:c r="D13" s="26" t="str">
        <x:v>C3-ET-A-RB1</x:v>
      </x:c>
      <x:c r="E13" s="26" t="str">
        <x:v>MS-ET</x:v>
      </x:c>
      <x:c r="F13" s="26" t="str">
        <x:v>A</x:v>
      </x:c>
      <x:c r="G13" s="26" t="str">
        <x:v>ET-03</x:v>
      </x:c>
      <x:c r="H13" s="26" t="str">
        <x:v>Autonomous node opening</x:v>
      </x:c>
      <x:c r="I13" s="26" t="str">
        <x:v>Hours to certified 1,000-t/day reception</x:v>
      </x:c>
      <x:c r="J13" s="26" t="str">
        <x:v>Modular offshore quay and apron</x:v>
      </x:c>
      <x:c r="K13" s="26" t="str">
        <x:v>Open a damaged node to the public reception rate after loss of host plant and utilities.</x:v>
      </x:c>
      <x:c r="L13" s="26" t="str">
        <x:v>Opening depends on unavailable host plant, labor or utilities.</x:v>
      </x:c>
      <x:c r="M13" s="26" t="str">
        <x:v>DRAFT</x:v>
      </x:c>
    </x:row>
    <x:row r="14" ht="36" customHeight="1">
      <x:c r="C14" s="26" t="str">
        <x:v>ET-03-B</x:v>
      </x:c>
      <x:c r="D14" s="26" t="str">
        <x:v>C3-ET-B-RB1</x:v>
      </x:c>
      <x:c r="E14" s="26" t="str">
        <x:v>MS-ET</x:v>
      </x:c>
      <x:c r="F14" s="26" t="str">
        <x:v>B</x:v>
      </x:c>
      <x:c r="G14" s="26" t="str">
        <x:v>ET-03</x:v>
      </x:c>
      <x:c r="H14" s="26" t="str">
        <x:v>Autonomous node opening</x:v>
      </x:c>
      <x:c r="I14" s="26" t="str">
        <x:v>Hours to certified 1,000-t/day reception</x:v>
      </x:c>
      <x:c r="J14" s="26" t="str">
        <x:v>Self-leveling landing carpet and mooring cell</x:v>
      </x:c>
      <x:c r="K14" s="26" t="str">
        <x:v>Open a damaged node to the public reception rate after loss of host plant and utilities.</x:v>
      </x:c>
      <x:c r="L14" s="26" t="str">
        <x:v>Opening depends on unavailable host plant, labor or utilities.</x:v>
      </x:c>
      <x:c r="M14" s="26" t="str">
        <x:v>DRAFT</x:v>
      </x:c>
    </x:row>
    <x:row r="15" ht="36" customHeight="1">
      <x:c r="C15" s="26" t="str">
        <x:v>ET-03-C</x:v>
      </x:c>
      <x:c r="D15" s="26" t="str">
        <x:v>C3-ET-C-RB1</x:v>
      </x:c>
      <x:c r="E15" s="26" t="str">
        <x:v>MS-ET</x:v>
      </x:c>
      <x:c r="F15" s="26" t="str">
        <x:v>C</x:v>
      </x:c>
      <x:c r="G15" s="26" t="str">
        <x:v>ET-03</x:v>
      </x:c>
      <x:c r="H15" s="26" t="str">
        <x:v>Autonomous node opening</x:v>
      </x:c>
      <x:c r="I15" s="26" t="str">
        <x:v>Hours to certified 1,000-t/day reception</x:v>
      </x:c>
      <x:c r="J15" s="26" t="str">
        <x:v>Self-forming runway, rail head and cross-dock</x:v>
      </x:c>
      <x:c r="K15" s="26" t="str">
        <x:v>Open a damaged node to the public reception rate after loss of host plant and utilities.</x:v>
      </x:c>
      <x:c r="L15" s="26" t="str">
        <x:v>Opening depends on unavailable host plant, labor or utilities.</x:v>
      </x:c>
      <x:c r="M15" s="26" t="str">
        <x:v>DRAFT</x:v>
      </x:c>
    </x:row>
    <x:row r="16" ht="36" customHeight="1">
      <x:c r="C16" s="26" t="str">
        <x:v>ET-03-D</x:v>
      </x:c>
      <x:c r="D16" s="26" t="str">
        <x:v>C3-ET-D-RB1</x:v>
      </x:c>
      <x:c r="E16" s="26" t="str">
        <x:v>MS-ET</x:v>
      </x:c>
      <x:c r="F16" s="26" t="str">
        <x:v>D</x:v>
      </x:c>
      <x:c r="G16" s="26" t="str">
        <x:v>ET-03</x:v>
      </x:c>
      <x:c r="H16" s="26" t="str">
        <x:v>Autonomous node opening</x:v>
      </x:c>
      <x:c r="I16" s="26" t="str">
        <x:v>Hours to certified 1,000-t/day reception</x:v>
      </x:c>
      <x:c r="J16" s="26" t="str">
        <x:v>Robotic microport using qualified local material</x:v>
      </x:c>
      <x:c r="K16" s="26" t="str">
        <x:v>Open a damaged node to the public reception rate after loss of host plant and utilities.</x:v>
      </x:c>
      <x:c r="L16" s="26" t="str">
        <x:v>Opening depends on unavailable host plant, labor or utilities.</x:v>
      </x:c>
      <x:c r="M16" s="26" t="str">
        <x:v>DRAFT</x:v>
      </x:c>
    </x:row>
    <x:row r="17" ht="36" customHeight="1">
      <x:c r="C17" s="26" t="str">
        <x:v>ET-04-A</x:v>
      </x:c>
      <x:c r="D17" s="26" t="str">
        <x:v>C3-ET-A-RB1</x:v>
      </x:c>
      <x:c r="E17" s="26" t="str">
        <x:v>MS-ET</x:v>
      </x:c>
      <x:c r="F17" s="26" t="str">
        <x:v>A</x:v>
      </x:c>
      <x:c r="G17" s="26" t="str">
        <x:v>ET-04</x:v>
      </x:c>
      <x:c r="H17" s="26" t="str">
        <x:v>Distributed operating bases</x:v>
      </x:c>
      <x:c r="I17" s="26" t="str">
        <x:v>Host-utility burden per formation-day</x:v>
      </x:c>
      <x:c r="J17" s="26" t="str">
        <x:v>Offshore closed-loop operating base</x:v>
      </x:c>
      <x:c r="K17" s="26" t="str">
        <x:v>Operate and reset the root with host water, power, network and waste denied.</x:v>
      </x:c>
      <x:c r="L17" s="26" t="str">
        <x:v>The base competes with the supported population for utilities or access.</x:v>
      </x:c>
      <x:c r="M17" s="26" t="str">
        <x:v>DRAFT</x:v>
      </x:c>
    </x:row>
    <x:row r="18" ht="36" customHeight="1">
      <x:c r="C18" s="26" t="str">
        <x:v>ET-04-B</x:v>
      </x:c>
      <x:c r="D18" s="26" t="str">
        <x:v>C3-ET-B-RB1</x:v>
      </x:c>
      <x:c r="E18" s="26" t="str">
        <x:v>MS-ET</x:v>
      </x:c>
      <x:c r="F18" s="26" t="str">
        <x:v>B</x:v>
      </x:c>
      <x:c r="G18" s="26" t="str">
        <x:v>ET-04</x:v>
      </x:c>
      <x:c r="H18" s="26" t="str">
        <x:v>Distributed operating bases</x:v>
      </x:c>
      <x:c r="I18" s="26" t="str">
        <x:v>Host-utility burden per formation-day</x:v>
      </x:c>
      <x:c r="J18" s="26" t="str">
        <x:v>Air-delivered cellular ground base</x:v>
      </x:c>
      <x:c r="K18" s="26" t="str">
        <x:v>Operate and reset the root with host water, power, network and waste denied.</x:v>
      </x:c>
      <x:c r="L18" s="26" t="str">
        <x:v>The base competes with the supported population for utilities or access.</x:v>
      </x:c>
      <x:c r="M18" s="26" t="str">
        <x:v>DRAFT</x:v>
      </x:c>
    </x:row>
    <x:row r="19" ht="36" customHeight="1">
      <x:c r="C19" s="26" t="str">
        <x:v>ET-04-C</x:v>
      </x:c>
      <x:c r="D19" s="26" t="str">
        <x:v>C3-ET-C-RB1</x:v>
      </x:c>
      <x:c r="E19" s="26" t="str">
        <x:v>MS-ET</x:v>
      </x:c>
      <x:c r="F19" s="26" t="str">
        <x:v>C</x:v>
      </x:c>
      <x:c r="G19" s="26" t="str">
        <x:v>ET-04</x:v>
      </x:c>
      <x:c r="H19" s="26" t="str">
        <x:v>Distributed operating bases</x:v>
      </x:c>
      <x:c r="I19" s="26" t="str">
        <x:v>Host-utility burden per formation-day</x:v>
      </x:c>
      <x:c r="J19" s="26" t="str">
        <x:v>Rail-mobile utility and maintenance base</x:v>
      </x:c>
      <x:c r="K19" s="26" t="str">
        <x:v>Operate and reset the root with host water, power, network and waste denied.</x:v>
      </x:c>
      <x:c r="L19" s="26" t="str">
        <x:v>The base competes with the supported population for utilities or access.</x:v>
      </x:c>
      <x:c r="M19" s="26" t="str">
        <x:v>DRAFT</x:v>
      </x:c>
    </x:row>
    <x:row r="20" ht="36" customHeight="1">
      <x:c r="C20" s="26" t="str">
        <x:v>ET-04-D</x:v>
      </x:c>
      <x:c r="D20" s="26" t="str">
        <x:v>C3-ET-D-RB1</x:v>
      </x:c>
      <x:c r="E20" s="26" t="str">
        <x:v>MS-ET</x:v>
      </x:c>
      <x:c r="F20" s="26" t="str">
        <x:v>D</x:v>
      </x:c>
      <x:c r="G20" s="26" t="str">
        <x:v>ET-04</x:v>
      </x:c>
      <x:c r="H20" s="26" t="str">
        <x:v>Distributed operating bases</x:v>
      </x:c>
      <x:c r="I20" s="26" t="str">
        <x:v>Host-utility burden per formation-day</x:v>
      </x:c>
      <x:c r="J20" s="26" t="str">
        <x:v>Autonomous dispersed terrain base</x:v>
      </x:c>
      <x:c r="K20" s="26" t="str">
        <x:v>Operate and reset the root with host water, power, network and waste denied.</x:v>
      </x:c>
      <x:c r="L20" s="26" t="str">
        <x:v>The base competes with the supported population for utilities or access.</x:v>
      </x:c>
      <x:c r="M20" s="26" t="str">
        <x:v>DRAFT</x:v>
      </x:c>
    </x:row>
    <x:row r="21" ht="36" customHeight="1">
      <x:c r="C21" s="26" t="str">
        <x:v>CT-01-A</x:v>
      </x:c>
      <x:c r="D21" s="26" t="str">
        <x:v>C3-CT-A-RB1</x:v>
      </x:c>
      <x:c r="E21" s="26" t="str">
        <x:v>MS-CT</x:v>
      </x:c>
      <x:c r="F21" s="26" t="str">
        <x:v>A</x:v>
      </x:c>
      <x:c r="G21" s="26" t="str">
        <x:v>CT-01</x:v>
      </x:c>
      <x:c r="H21" s="26" t="str">
        <x:v>Disconnected civil state</x:v>
      </x:c>
      <x:c r="I21" s="26" t="str">
        <x:v>Households authenticated and served without grid or cloud</x:v>
      </x:c>
      <x:c r="J21" s="26" t="str">
        <x:v>Local-first authenticated civil ledger</x:v>
      </x:c>
      <x:c r="K21" s="26" t="str">
        <x:v>Reconcile protected-cohort civil state after network partition and contested identity.</x:v>
      </x:c>
      <x:c r="L21" s="26" t="str">
        <x:v>Coverage or rights fail for a protected cohort.</x:v>
      </x:c>
      <x:c r="M21" s="26" t="str">
        <x:v>DRAFT</x:v>
      </x:c>
    </x:row>
    <x:row r="22" ht="36" customHeight="1">
      <x:c r="C22" s="26" t="str">
        <x:v>CT-01-B</x:v>
      </x:c>
      <x:c r="D22" s="26" t="str">
        <x:v>C3-CT-B-RB1</x:v>
      </x:c>
      <x:c r="E22" s="26" t="str">
        <x:v>MS-CT</x:v>
      </x:c>
      <x:c r="F22" s="26" t="str">
        <x:v>B</x:v>
      </x:c>
      <x:c r="G22" s="26" t="str">
        <x:v>CT-01</x:v>
      </x:c>
      <x:c r="H22" s="26" t="str">
        <x:v>Disconnected civil state</x:v>
      </x:c>
      <x:c r="I22" s="26" t="str">
        <x:v>Households authenticated and served without grid or cloud</x:v>
      </x:c>
      <x:c r="J22" s="26" t="str">
        <x:v>Aerial optical mapping with privacy edge identity</x:v>
      </x:c>
      <x:c r="K22" s="26" t="str">
        <x:v>Reconcile protected-cohort civil state after network partition and contested identity.</x:v>
      </x:c>
      <x:c r="L22" s="26" t="str">
        <x:v>Coverage or rights fail for a protected cohort.</x:v>
      </x:c>
      <x:c r="M22" s="26" t="str">
        <x:v>DRAFT</x:v>
      </x:c>
    </x:row>
    <x:row r="23" ht="36" customHeight="1">
      <x:c r="C23" s="26" t="str">
        <x:v>CT-01-C</x:v>
      </x:c>
      <x:c r="D23" s="26" t="str">
        <x:v>C3-CT-C-RB1</x:v>
      </x:c>
      <x:c r="E23" s="26" t="str">
        <x:v>MS-CT</x:v>
      </x:c>
      <x:c r="F23" s="26" t="str">
        <x:v>C</x:v>
      </x:c>
      <x:c r="G23" s="26" t="str">
        <x:v>CT-01</x:v>
      </x:c>
      <x:c r="H23" s="26" t="str">
        <x:v>Disconnected civil state</x:v>
      </x:c>
      <x:c r="I23" s="26" t="str">
        <x:v>Households authenticated and served without grid or cloud</x:v>
      </x:c>
      <x:c r="J23" s="26" t="str">
        <x:v>Delay-tolerant wired building record spine</x:v>
      </x:c>
      <x:c r="K23" s="26" t="str">
        <x:v>Reconcile protected-cohort civil state after network partition and contested identity.</x:v>
      </x:c>
      <x:c r="L23" s="26" t="str">
        <x:v>Coverage or rights fail for a protected cohort.</x:v>
      </x:c>
      <x:c r="M23" s="26" t="str">
        <x:v>DRAFT</x:v>
      </x:c>
    </x:row>
    <x:row r="24" ht="36" customHeight="1">
      <x:c r="C24" s="26" t="str">
        <x:v>CT-01-D</x:v>
      </x:c>
      <x:c r="D24" s="26" t="str">
        <x:v>C3-CT-D-RB1</x:v>
      </x:c>
      <x:c r="E24" s="26" t="str">
        <x:v>MS-CT</x:v>
      </x:c>
      <x:c r="F24" s="26" t="str">
        <x:v>D</x:v>
      </x:c>
      <x:c r="G24" s="26" t="str">
        <x:v>CT-01</x:v>
      </x:c>
      <x:c r="H24" s="26" t="str">
        <x:v>Disconnected civil state</x:v>
      </x:c>
      <x:c r="I24" s="26" t="str">
        <x:v>Households authenticated and served without grid or cloud</x:v>
      </x:c>
      <x:c r="J24" s="26" t="str">
        <x:v>Mobile data-ferry and physical-token network</x:v>
      </x:c>
      <x:c r="K24" s="26" t="str">
        <x:v>Reconcile protected-cohort civil state after network partition and contested identity.</x:v>
      </x:c>
      <x:c r="L24" s="26" t="str">
        <x:v>Coverage or rights fail for a protected cohort.</x:v>
      </x:c>
      <x:c r="M24" s="26" t="str">
        <x:v>DRAFT</x:v>
      </x:c>
    </x:row>
    <x:row r="25" ht="36" customHeight="1">
      <x:c r="C25" s="26" t="str">
        <x:v>CT-02-A</x:v>
      </x:c>
      <x:c r="D25" s="26" t="str">
        <x:v>C3-CT-A-RB1</x:v>
      </x:c>
      <x:c r="E25" s="26" t="str">
        <x:v>MS-CT</x:v>
      </x:c>
      <x:c r="F25" s="26" t="str">
        <x:v>A</x:v>
      </x:c>
      <x:c r="G25" s="26" t="str">
        <x:v>CT-02</x:v>
      </x:c>
      <x:c r="H25" s="26" t="str">
        <x:v>Building and vertical access</x:v>
      </x:c>
      <x:c r="I25" s="26" t="str">
        <x:v>Occupied floors safely reached per team-hour</x:v>
      </x:c>
      <x:c r="J25" s="26" t="str">
        <x:v>Interior climbing and powered-stair robots</x:v>
      </x:c>
      <x:c r="K25" s="26" t="str">
        <x:v>Reach occupied floors under smoke, power loss and blocked interior circulation.</x:v>
      </x:c>
      <x:c r="L25" s="26" t="str">
        <x:v>The mechanism transfers risk or labor to residents and caregivers.</x:v>
      </x:c>
      <x:c r="M25" s="26" t="str">
        <x:v>DRAFT</x:v>
      </x:c>
    </x:row>
    <x:row r="26" ht="36" customHeight="1">
      <x:c r="C26" s="26" t="str">
        <x:v>CT-02-B</x:v>
      </x:c>
      <x:c r="D26" s="26" t="str">
        <x:v>C3-CT-B-RB1</x:v>
      </x:c>
      <x:c r="E26" s="26" t="str">
        <x:v>MS-CT</x:v>
      </x:c>
      <x:c r="F26" s="26" t="str">
        <x:v>B</x:v>
      </x:c>
      <x:c r="G26" s="26" t="str">
        <x:v>CT-02</x:v>
      </x:c>
      <x:c r="H26" s="26" t="str">
        <x:v>Building and vertical access</x:v>
      </x:c>
      <x:c r="I26" s="26" t="str">
        <x:v>Occupied floors safely reached per team-hour</x:v>
      </x:c>
      <x:c r="J26" s="26" t="str">
        <x:v>Exterior wall-and-roof access swarm</x:v>
      </x:c>
      <x:c r="K26" s="26" t="str">
        <x:v>Reach occupied floors under smoke, power loss and blocked interior circulation.</x:v>
      </x:c>
      <x:c r="L26" s="26" t="str">
        <x:v>The mechanism transfers risk or labor to residents and caregivers.</x:v>
      </x:c>
      <x:c r="M26" s="26" t="str">
        <x:v>DRAFT</x:v>
      </x:c>
    </x:row>
    <x:row r="27" ht="36" customHeight="1">
      <x:c r="C27" s="26" t="str">
        <x:v>CT-02-C</x:v>
      </x:c>
      <x:c r="D27" s="26" t="str">
        <x:v>C3-CT-C-RB1</x:v>
      </x:c>
      <x:c r="E27" s="26" t="str">
        <x:v>MS-CT</x:v>
      </x:c>
      <x:c r="F27" s="26" t="str">
        <x:v>C</x:v>
      </x:c>
      <x:c r="G27" s="26" t="str">
        <x:v>CT-02</x:v>
      </x:c>
      <x:c r="H27" s="26" t="str">
        <x:v>Building and vertical access</x:v>
      </x:c>
      <x:c r="I27" s="26" t="str">
        <x:v>Occupied floors safely reached per team-hour</x:v>
      </x:c>
      <x:c r="J27" s="26" t="str">
        <x:v>Deployable vertical rail and elevator spine</x:v>
      </x:c>
      <x:c r="K27" s="26" t="str">
        <x:v>Reach occupied floors under smoke, power loss and blocked interior circulation.</x:v>
      </x:c>
      <x:c r="L27" s="26" t="str">
        <x:v>The mechanism transfers risk or labor to residents and caregivers.</x:v>
      </x:c>
      <x:c r="M27" s="26" t="str">
        <x:v>DRAFT</x:v>
      </x:c>
    </x:row>
    <x:row r="28" ht="36" customHeight="1">
      <x:c r="C28" s="26" t="str">
        <x:v>CT-02-D</x:v>
      </x:c>
      <x:c r="D28" s="26" t="str">
        <x:v>C3-CT-D-RB1</x:v>
      </x:c>
      <x:c r="E28" s="26" t="str">
        <x:v>MS-CT</x:v>
      </x:c>
      <x:c r="F28" s="26" t="str">
        <x:v>D</x:v>
      </x:c>
      <x:c r="G28" s="26" t="str">
        <x:v>CT-02</x:v>
      </x:c>
      <x:c r="H28" s="26" t="str">
        <x:v>Building and vertical access</x:v>
      </x:c>
      <x:c r="I28" s="26" t="str">
        <x:v>Occupied floors safely reached per team-hour</x:v>
      </x:c>
      <x:c r="J28" s="26" t="str">
        <x:v>Cooperative microcarriers and stair lattice</x:v>
      </x:c>
      <x:c r="K28" s="26" t="str">
        <x:v>Reach occupied floors under smoke, power loss and blocked interior circulation.</x:v>
      </x:c>
      <x:c r="L28" s="26" t="str">
        <x:v>The mechanism transfers risk or labor to residents and caregivers.</x:v>
      </x:c>
      <x:c r="M28" s="26" t="str">
        <x:v>DRAFT</x:v>
      </x:c>
    </x:row>
    <x:row r="29" ht="36" customHeight="1">
      <x:c r="C29" s="26" t="str">
        <x:v>CT-03-A</x:v>
      </x:c>
      <x:c r="D29" s="26" t="str">
        <x:v>C3-CT-A-RB1</x:v>
      </x:c>
      <x:c r="E29" s="26" t="str">
        <x:v>MS-CT</x:v>
      </x:c>
      <x:c r="F29" s="26" t="str">
        <x:v>A</x:v>
      </x:c>
      <x:c r="G29" s="26" t="str">
        <x:v>CT-03</x:v>
      </x:c>
      <x:c r="H29" s="26" t="str">
        <x:v>Accessible collection</x:v>
      </x:c>
      <x:c r="I29" s="26" t="str">
        <x:v>Complete person transfers per crew-hour from true origin</x:v>
      </x:c>
      <x:c r="J29" s="26" t="str">
        <x:v>Common-cabin low-speed autonomous carriers</x:v>
      </x:c>
      <x:c r="K29" s="26" t="str">
        <x:v>Move people with caregivers, devices, identity and destination acceptance intact.</x:v>
      </x:c>
      <x:c r="L29" s="26" t="str">
        <x:v>Seat movement breaks a required relationship or destination.</x:v>
      </x:c>
      <x:c r="M29" s="26" t="str">
        <x:v>DRAFT</x:v>
      </x:c>
    </x:row>
    <x:row r="30" ht="36" customHeight="1">
      <x:c r="C30" s="26" t="str">
        <x:v>CT-03-B</x:v>
      </x:c>
      <x:c r="D30" s="26" t="str">
        <x:v>C3-CT-B-RB1</x:v>
      </x:c>
      <x:c r="E30" s="26" t="str">
        <x:v>MS-CT</x:v>
      </x:c>
      <x:c r="F30" s="26" t="str">
        <x:v>B</x:v>
      </x:c>
      <x:c r="G30" s="26" t="str">
        <x:v>CT-03</x:v>
      </x:c>
      <x:c r="H30" s="26" t="str">
        <x:v>Accessible collection</x:v>
      </x:c>
      <x:c r="I30" s="26" t="str">
        <x:v>Complete person transfers per crew-hour from true origin</x:v>
      </x:c>
      <x:c r="J30" s="26" t="str">
        <x:v>Airborne accessible cabin system</x:v>
      </x:c>
      <x:c r="K30" s="26" t="str">
        <x:v>Move people with caregivers, devices, identity and destination acceptance intact.</x:v>
      </x:c>
      <x:c r="L30" s="26" t="str">
        <x:v>Seat movement breaks a required relationship or destination.</x:v>
      </x:c>
      <x:c r="M30" s="26" t="str">
        <x:v>DRAFT</x:v>
      </x:c>
    </x:row>
    <x:row r="31" ht="36" customHeight="1">
      <x:c r="C31" s="26" t="str">
        <x:v>CT-03-C</x:v>
      </x:c>
      <x:c r="D31" s="26" t="str">
        <x:v>C3-CT-C-RB1</x:v>
      </x:c>
      <x:c r="E31" s="26" t="str">
        <x:v>MS-CT</x:v>
      </x:c>
      <x:c r="F31" s="26" t="str">
        <x:v>C</x:v>
      </x:c>
      <x:c r="G31" s="26" t="str">
        <x:v>CT-03</x:v>
      </x:c>
      <x:c r="H31" s="26" t="str">
        <x:v>Accessible collection</x:v>
      </x:c>
      <x:c r="I31" s="26" t="str">
        <x:v>Complete person transfers per crew-hour from true origin</x:v>
      </x:c>
      <x:c r="J31" s="26" t="str">
        <x:v>Powered transfer sled and neighborhood rail</x:v>
      </x:c>
      <x:c r="K31" s="26" t="str">
        <x:v>Move people with caregivers, devices, identity and destination acceptance intact.</x:v>
      </x:c>
      <x:c r="L31" s="26" t="str">
        <x:v>Seat movement breaks a required relationship or destination.</x:v>
      </x:c>
      <x:c r="M31" s="26" t="str">
        <x:v>DRAFT</x:v>
      </x:c>
    </x:row>
    <x:row r="32" ht="36" customHeight="1">
      <x:c r="C32" s="26" t="str">
        <x:v>CT-03-D</x:v>
      </x:c>
      <x:c r="D32" s="26" t="str">
        <x:v>C3-CT-D-RB1</x:v>
      </x:c>
      <x:c r="E32" s="26" t="str">
        <x:v>MS-CT</x:v>
      </x:c>
      <x:c r="F32" s="26" t="str">
        <x:v>D</x:v>
      </x:c>
      <x:c r="G32" s="26" t="str">
        <x:v>CT-03</x:v>
      </x:c>
      <x:c r="H32" s="26" t="str">
        <x:v>Accessible collection</x:v>
      </x:c>
      <x:c r="I32" s="26" t="str">
        <x:v>Complete person transfers per crew-hour from true origin</x:v>
      </x:c>
      <x:c r="J32" s="26" t="str">
        <x:v>Amphibious modular care-cabin convoy</x:v>
      </x:c>
      <x:c r="K32" s="26" t="str">
        <x:v>Move people with caregivers, devices, identity and destination acceptance intact.</x:v>
      </x:c>
      <x:c r="L32" s="26" t="str">
        <x:v>Seat movement breaks a required relationship or destination.</x:v>
      </x:c>
      <x:c r="M32" s="26" t="str">
        <x:v>DRAFT</x:v>
      </x:c>
    </x:row>
    <x:row r="33" ht="36" customHeight="1">
      <x:c r="C33" s="26" t="str">
        <x:v>CT-04-A</x:v>
      </x:c>
      <x:c r="D33" s="26" t="str">
        <x:v>C3-CT-A-RB1</x:v>
      </x:c>
      <x:c r="E33" s="26" t="str">
        <x:v>MS-CT</x:v>
      </x:c>
      <x:c r="F33" s="26" t="str">
        <x:v>A</x:v>
      </x:c>
      <x:c r="G33" s="26" t="str">
        <x:v>CT-04</x:v>
      </x:c>
      <x:c r="H33" s="26" t="str">
        <x:v>Degraded public communications</x:v>
      </x:c>
      <x:c r="I33" s="26" t="str">
        <x:v>Authenticated transactions per kWh</x:v>
      </x:c>
      <x:c r="J33" s="26" t="str">
        <x:v>Local terrestrial radio mesh</x:v>
      </x:c>
      <x:c r="K33" s="26" t="str">
        <x:v>Complete public transactions after loss of one spectrum, power and software authority.</x:v>
      </x:c>
      <x:c r="L33" s="26" t="str">
        <x:v>A common software, spectrum or power loss defeats access.</x:v>
      </x:c>
      <x:c r="M33" s="26" t="str">
        <x:v>DRAFT</x:v>
      </x:c>
    </x:row>
    <x:row r="34" ht="36" customHeight="1">
      <x:c r="C34" s="26" t="str">
        <x:v>CT-04-B</x:v>
      </x:c>
      <x:c r="D34" s="26" t="str">
        <x:v>C3-CT-B-RB1</x:v>
      </x:c>
      <x:c r="E34" s="26" t="str">
        <x:v>MS-CT</x:v>
      </x:c>
      <x:c r="F34" s="26" t="str">
        <x:v>B</x:v>
      </x:c>
      <x:c r="G34" s="26" t="str">
        <x:v>CT-04</x:v>
      </x:c>
      <x:c r="H34" s="26" t="str">
        <x:v>Degraded public communications</x:v>
      </x:c>
      <x:c r="I34" s="26" t="str">
        <x:v>Authenticated transactions per kWh</x:v>
      </x:c>
      <x:c r="J34" s="26" t="str">
        <x:v>Airborne radio relay cells</x:v>
      </x:c>
      <x:c r="K34" s="26" t="str">
        <x:v>Complete public transactions after loss of one spectrum, power and software authority.</x:v>
      </x:c>
      <x:c r="L34" s="26" t="str">
        <x:v>A common software, spectrum or power loss defeats access.</x:v>
      </x:c>
      <x:c r="M34" s="26" t="str">
        <x:v>DRAFT</x:v>
      </x:c>
    </x:row>
    <x:row r="35" ht="36" customHeight="1">
      <x:c r="C35" s="26" t="str">
        <x:v>CT-04-C</x:v>
      </x:c>
      <x:c r="D35" s="26" t="str">
        <x:v>C3-CT-C-RB1</x:v>
      </x:c>
      <x:c r="E35" s="26" t="str">
        <x:v>MS-CT</x:v>
      </x:c>
      <x:c r="F35" s="26" t="str">
        <x:v>C</x:v>
      </x:c>
      <x:c r="G35" s="26" t="str">
        <x:v>CT-04</x:v>
      </x:c>
      <x:c r="H35" s="26" t="str">
        <x:v>Degraded public communications</x:v>
      </x:c>
      <x:c r="I35" s="26" t="str">
        <x:v>Authenticated transactions per kWh</x:v>
      </x:c>
      <x:c r="J35" s="26" t="str">
        <x:v>Rooftop free-space optical lattice</x:v>
      </x:c>
      <x:c r="K35" s="26" t="str">
        <x:v>Complete public transactions after loss of one spectrum, power and software authority.</x:v>
      </x:c>
      <x:c r="L35" s="26" t="str">
        <x:v>A common software, spectrum or power loss defeats access.</x:v>
      </x:c>
      <x:c r="M35" s="26" t="str">
        <x:v>DRAFT</x:v>
      </x:c>
    </x:row>
    <x:row r="36" ht="36" customHeight="1">
      <x:c r="C36" s="26" t="str">
        <x:v>CT-04-D</x:v>
      </x:c>
      <x:c r="D36" s="26" t="str">
        <x:v>C3-CT-D-RB1</x:v>
      </x:c>
      <x:c r="E36" s="26" t="str">
        <x:v>MS-CT</x:v>
      </x:c>
      <x:c r="F36" s="26" t="str">
        <x:v>D</x:v>
      </x:c>
      <x:c r="G36" s="26" t="str">
        <x:v>CT-04</x:v>
      </x:c>
      <x:c r="H36" s="26" t="str">
        <x:v>Degraded public communications</x:v>
      </x:c>
      <x:c r="I36" s="26" t="str">
        <x:v>Authenticated transactions per kWh</x:v>
      </x:c>
      <x:c r="J36" s="26" t="str">
        <x:v>Low-frequency broadcast with mobile data ferries</x:v>
      </x:c>
      <x:c r="K36" s="26" t="str">
        <x:v>Complete public transactions after loss of one spectrum, power and software authority.</x:v>
      </x:c>
      <x:c r="L36" s="26" t="str">
        <x:v>A common software, spectrum or power loss defeats access.</x:v>
      </x:c>
      <x:c r="M36" s="26" t="str">
        <x:v>DRAFT</x:v>
      </x:c>
    </x:row>
    <x:row r="37" ht="36" customHeight="1">
      <x:c r="C37" s="26" t="str">
        <x:v>HC-01-A</x:v>
      </x:c>
      <x:c r="D37" s="26" t="str">
        <x:v>C3-HC-A-RB1</x:v>
      </x:c>
      <x:c r="E37" s="26" t="str">
        <x:v>MS-HC</x:v>
      </x:c>
      <x:c r="F37" s="26" t="str">
        <x:v>A</x:v>
      </x:c>
      <x:c r="G37" s="26" t="str">
        <x:v>HC-01</x:v>
      </x:c>
      <x:c r="H37" s="26" t="str">
        <x:v>Persistent fire control</x:v>
      </x:c>
      <x:c r="I37" s="26" t="str">
        <x:v>Contained edge per safe operating cycle</x:v>
      </x:c>
      <x:c r="J37" s="26" t="str">
        <x:v>High-endurance scooper and suppressor aircraft</x:v>
      </x:c>
      <x:c r="K37" s="26" t="str">
        <x:v>Hold a measured fire edge through wind shift, smoke, route loss and crew stand-off.</x:v>
      </x:c>
      <x:c r="L37" s="26" t="str">
        <x:v>Sortie output does not produce containment or creates unacceptable exposure.</x:v>
      </x:c>
      <x:c r="M37" s="26" t="str">
        <x:v>DRAFT</x:v>
      </x:c>
    </x:row>
    <x:row r="38" ht="36" customHeight="1">
      <x:c r="C38" s="26" t="str">
        <x:v>HC-01-B</x:v>
      </x:c>
      <x:c r="D38" s="26" t="str">
        <x:v>C3-HC-B-RB1</x:v>
      </x:c>
      <x:c r="E38" s="26" t="str">
        <x:v>MS-HC</x:v>
      </x:c>
      <x:c r="F38" s="26" t="str">
        <x:v>B</x:v>
      </x:c>
      <x:c r="G38" s="26" t="str">
        <x:v>HC-01</x:v>
      </x:c>
      <x:c r="H38" s="26" t="str">
        <x:v>Persistent fire control</x:v>
      </x:c>
      <x:c r="I38" s="26" t="str">
        <x:v>Contained edge per safe operating cycle</x:v>
      </x:c>
      <x:c r="J38" s="26" t="str">
        <x:v>Continuous ground-fluid corridor with robotic monitors</x:v>
      </x:c>
      <x:c r="K38" s="26" t="str">
        <x:v>Hold a measured fire edge through wind shift, smoke, route loss and crew stand-off.</x:v>
      </x:c>
      <x:c r="L38" s="26" t="str">
        <x:v>Sortie output does not produce containment or creates unacceptable exposure.</x:v>
      </x:c>
      <x:c r="M38" s="26" t="str">
        <x:v>DRAFT</x:v>
      </x:c>
    </x:row>
    <x:row r="39" ht="36" customHeight="1">
      <x:c r="C39" s="26" t="str">
        <x:v>HC-01-C</x:v>
      </x:c>
      <x:c r="D39" s="26" t="str">
        <x:v>C3-HC-C-RB1</x:v>
      </x:c>
      <x:c r="E39" s="26" t="str">
        <x:v>MS-HC</x:v>
      </x:c>
      <x:c r="F39" s="26" t="str">
        <x:v>C</x:v>
      </x:c>
      <x:c r="G39" s="26" t="str">
        <x:v>HC-01</x:v>
      </x:c>
      <x:c r="H39" s="26" t="str">
        <x:v>Persistent fire control</x:v>
      </x:c>
      <x:c r="I39" s="26" t="str">
        <x:v>Contained edge per safe operating cycle</x:v>
      </x:c>
      <x:c r="J39" s="26" t="str">
        <x:v>Autonomous heavy firebreak and direct-attack plant</x:v>
      </x:c>
      <x:c r="K39" s="26" t="str">
        <x:v>Hold a measured fire edge through wind shift, smoke, route loss and crew stand-off.</x:v>
      </x:c>
      <x:c r="L39" s="26" t="str">
        <x:v>Sortie output does not produce containment or creates unacceptable exposure.</x:v>
      </x:c>
      <x:c r="M39" s="26" t="str">
        <x:v>DRAFT</x:v>
      </x:c>
    </x:row>
    <x:row r="40" ht="36" customHeight="1">
      <x:c r="C40" s="26" t="str">
        <x:v>HC-01-D</x:v>
      </x:c>
      <x:c r="D40" s="26" t="str">
        <x:v>C3-HC-D-RB1</x:v>
      </x:c>
      <x:c r="E40" s="26" t="str">
        <x:v>MS-HC</x:v>
      </x:c>
      <x:c r="F40" s="26" t="str">
        <x:v>D</x:v>
      </x:c>
      <x:c r="G40" s="26" t="str">
        <x:v>HC-01</x:v>
      </x:c>
      <x:c r="H40" s="26" t="str">
        <x:v>Persistent fire control</x:v>
      </x:c>
      <x:c r="I40" s="26" t="str">
        <x:v>Contained edge per safe operating cycle</x:v>
      </x:c>
      <x:c r="J40" s="26" t="str">
        <x:v>Uncrewed suppressor and thermal-shield lattice</x:v>
      </x:c>
      <x:c r="K40" s="26" t="str">
        <x:v>Hold a measured fire edge through wind shift, smoke, route loss and crew stand-off.</x:v>
      </x:c>
      <x:c r="L40" s="26" t="str">
        <x:v>Sortie output does not produce containment or creates unacceptable exposure.</x:v>
      </x:c>
      <x:c r="M40" s="26" t="str">
        <x:v>DRAFT</x:v>
      </x:c>
    </x:row>
    <x:row r="41" ht="36" customHeight="1">
      <x:c r="C41" s="26" t="str">
        <x:v>HC-02-A</x:v>
      </x:c>
      <x:c r="D41" s="26" t="str">
        <x:v>C3-HC-A-RB1</x:v>
      </x:c>
      <x:c r="E41" s="26" t="str">
        <x:v>MS-HC</x:v>
      </x:c>
      <x:c r="F41" s="26" t="str">
        <x:v>A</x:v>
      </x:c>
      <x:c r="G41" s="26" t="str">
        <x:v>HC-02</x:v>
      </x:c>
      <x:c r="H41" s="26" t="str">
        <x:v>Megaflow hydraulic control</x:v>
      </x:c>
      <x:c r="I41" s="26" t="str">
        <x:v>Controlled m³/s per deployed tonne and MW</x:v>
      </x:c>
      <x:c r="J41" s="26" t="str">
        <x:v>Air-delivered high-head pump and diversion cells</x:v>
      </x:c>
      <x:c r="K41" s="26" t="str">
        <x:v>Control a breach hydrograph while closing intake, discharge, erosion and recovery.</x:v>
      </x:c>
      <x:c r="L41" s="26" t="str">
        <x:v>Water moves without closing contamination, erosion and terminal disposition.</x:v>
      </x:c>
      <x:c r="M41" s="26" t="str">
        <x:v>DRAFT</x:v>
      </x:c>
    </x:row>
    <x:row r="42" ht="36" customHeight="1">
      <x:c r="C42" s="26" t="str">
        <x:v>HC-02-B</x:v>
      </x:c>
      <x:c r="D42" s="26" t="str">
        <x:v>C3-HC-B-RB1</x:v>
      </x:c>
      <x:c r="E42" s="26" t="str">
        <x:v>MS-HC</x:v>
      </x:c>
      <x:c r="F42" s="26" t="str">
        <x:v>B</x:v>
      </x:c>
      <x:c r="G42" s="26" t="str">
        <x:v>HC-02</x:v>
      </x:c>
      <x:c r="H42" s="26" t="str">
        <x:v>Megaflow hydraulic control</x:v>
      </x:c>
      <x:c r="I42" s="26" t="str">
        <x:v>Controlled m³/s per deployed tonne and MW</x:v>
      </x:c>
      <x:c r="J42" s="26" t="str">
        <x:v>Cellular megaflow pump-and-pipe corridors</x:v>
      </x:c>
      <x:c r="K42" s="26" t="str">
        <x:v>Control a breach hydrograph while closing intake, discharge, erosion and recovery.</x:v>
      </x:c>
      <x:c r="L42" s="26" t="str">
        <x:v>Water moves without closing contamination, erosion and terminal disposition.</x:v>
      </x:c>
      <x:c r="M42" s="26" t="str">
        <x:v>DRAFT</x:v>
      </x:c>
    </x:row>
    <x:row r="43" ht="36" customHeight="1">
      <x:c r="C43" s="26" t="str">
        <x:v>HC-02-C</x:v>
      </x:c>
      <x:c r="D43" s="26" t="str">
        <x:v>C3-HC-C-RB1</x:v>
      </x:c>
      <x:c r="E43" s="26" t="str">
        <x:v>MS-HC</x:v>
      </x:c>
      <x:c r="F43" s="26" t="str">
        <x:v>C</x:v>
      </x:c>
      <x:c r="G43" s="26" t="str">
        <x:v>HC-02</x:v>
      </x:c>
      <x:c r="H43" s="26" t="str">
        <x:v>Megaflow hydraulic control</x:v>
      </x:c>
      <x:c r="I43" s="26" t="str">
        <x:v>Controlled m³/s per deployed tonne and MW</x:v>
      </x:c>
      <x:c r="J43" s="26" t="str">
        <x:v>Autonomous earth diversion and barrier works</x:v>
      </x:c>
      <x:c r="K43" s="26" t="str">
        <x:v>Control a breach hydrograph while closing intake, discharge, erosion and recovery.</x:v>
      </x:c>
      <x:c r="L43" s="26" t="str">
        <x:v>Water moves without closing contamination, erosion and terminal disposition.</x:v>
      </x:c>
      <x:c r="M43" s="26" t="str">
        <x:v>DRAFT</x:v>
      </x:c>
    </x:row>
    <x:row r="44" ht="36" customHeight="1">
      <x:c r="C44" s="26" t="str">
        <x:v>HC-02-D</x:v>
      </x:c>
      <x:c r="D44" s="26" t="str">
        <x:v>C3-HC-D-RB1</x:v>
      </x:c>
      <x:c r="E44" s="26" t="str">
        <x:v>MS-HC</x:v>
      </x:c>
      <x:c r="F44" s="26" t="str">
        <x:v>D</x:v>
      </x:c>
      <x:c r="G44" s="26" t="str">
        <x:v>HC-02</x:v>
      </x:c>
      <x:c r="H44" s="26" t="str">
        <x:v>Megaflow hydraulic control</x:v>
      </x:c>
      <x:c r="I44" s="26" t="str">
        <x:v>Controlled m³/s per deployed tonne and MW</x:v>
      </x:c>
      <x:c r="J44" s="26" t="str">
        <x:v>Self-deploying fabric breach-arrest lattice</x:v>
      </x:c>
      <x:c r="K44" s="26" t="str">
        <x:v>Control a breach hydrograph while closing intake, discharge, erosion and recovery.</x:v>
      </x:c>
      <x:c r="L44" s="26" t="str">
        <x:v>Water moves without closing contamination, erosion and terminal disposition.</x:v>
      </x:c>
      <x:c r="M44" s="26" t="str">
        <x:v>DRAFT</x:v>
      </x:c>
    </x:row>
    <x:row r="45" ht="36" customHeight="1">
      <x:c r="C45" s="26" t="str">
        <x:v>HC-03-A</x:v>
      </x:c>
      <x:c r="D45" s="26" t="str">
        <x:v>C3-HC-A-RB1</x:v>
      </x:c>
      <x:c r="E45" s="26" t="str">
        <x:v>MS-HC</x:v>
      </x:c>
      <x:c r="F45" s="26" t="str">
        <x:v>A</x:v>
      </x:c>
      <x:c r="G45" s="26" t="str">
        <x:v>HC-03</x:v>
      </x:c>
      <x:c r="H45" s="26" t="str">
        <x:v>Autonomous earth and debris work</x:v>
      </x:c>
      <x:c r="I45" s="26" t="str">
        <x:v>Hazardous m³ per exposed worker-hour</x:v>
      </x:c>
      <x:c r="J45" s="26" t="str">
        <x:v>Heavy-lift extraction and remote deposition</x:v>
      </x:c>
      <x:c r="K45" s="26" t="str">
        <x:v>Process a mixed hazardous stream with workers outside the declared exposure boundary.</x:v>
      </x:c>
      <x:c r="L45" s="26" t="str">
        <x:v>Productivity depends on unsafe exposure or leaves an unbounded residual.</x:v>
      </x:c>
      <x:c r="M45" s="26" t="str">
        <x:v>DRAFT</x:v>
      </x:c>
    </x:row>
    <x:row r="46" ht="36" customHeight="1">
      <x:c r="C46" s="26" t="str">
        <x:v>HC-03-B</x:v>
      </x:c>
      <x:c r="D46" s="26" t="str">
        <x:v>C3-HC-B-RB1</x:v>
      </x:c>
      <x:c r="E46" s="26" t="str">
        <x:v>MS-HC</x:v>
      </x:c>
      <x:c r="F46" s="26" t="str">
        <x:v>B</x:v>
      </x:c>
      <x:c r="G46" s="26" t="str">
        <x:v>HC-03</x:v>
      </x:c>
      <x:c r="H46" s="26" t="str">
        <x:v>Autonomous earth and debris work</x:v>
      </x:c>
      <x:c r="I46" s="26" t="str">
        <x:v>Hazardous m³ per exposed worker-hour</x:v>
      </x:c>
      <x:c r="J46" s="26" t="str">
        <x:v>Fluidized recovery with mobile sorting</x:v>
      </x:c>
      <x:c r="K46" s="26" t="str">
        <x:v>Process a mixed hazardous stream with workers outside the declared exposure boundary.</x:v>
      </x:c>
      <x:c r="L46" s="26" t="str">
        <x:v>Productivity depends on unsafe exposure or leaves an unbounded residual.</x:v>
      </x:c>
      <x:c r="M46" s="26" t="str">
        <x:v>DRAFT</x:v>
      </x:c>
    </x:row>
    <x:row r="47" ht="36" customHeight="1">
      <x:c r="C47" s="26" t="str">
        <x:v>HC-03-C</x:v>
      </x:c>
      <x:c r="D47" s="26" t="str">
        <x:v>C3-HC-C-RB1</x:v>
      </x:c>
      <x:c r="E47" s="26" t="str">
        <x:v>MS-HC</x:v>
      </x:c>
      <x:c r="F47" s="26" t="str">
        <x:v>C</x:v>
      </x:c>
      <x:c r="G47" s="26" t="str">
        <x:v>HC-03</x:v>
      </x:c>
      <x:c r="H47" s="26" t="str">
        <x:v>Autonomous earth and debris work</x:v>
      </x:c>
      <x:c r="I47" s="26" t="str">
        <x:v>Hazardous m³ per exposed worker-hour</x:v>
      </x:c>
      <x:c r="J47" s="26" t="str">
        <x:v>Autonomous low-ground-pressure heavy plant</x:v>
      </x:c>
      <x:c r="K47" s="26" t="str">
        <x:v>Process a mixed hazardous stream with workers outside the declared exposure boundary.</x:v>
      </x:c>
      <x:c r="L47" s="26" t="str">
        <x:v>Productivity depends on unsafe exposure or leaves an unbounded residual.</x:v>
      </x:c>
      <x:c r="M47" s="26" t="str">
        <x:v>DRAFT</x:v>
      </x:c>
    </x:row>
    <x:row r="48" ht="36" customHeight="1">
      <x:c r="C48" s="26" t="str">
        <x:v>HC-03-D</x:v>
      </x:c>
      <x:c r="D48" s="26" t="str">
        <x:v>C3-HC-D-RB1</x:v>
      </x:c>
      <x:c r="E48" s="26" t="str">
        <x:v>MS-HC</x:v>
      </x:c>
      <x:c r="F48" s="26" t="str">
        <x:v>D</x:v>
      </x:c>
      <x:c r="G48" s="26" t="str">
        <x:v>HC-03</x:v>
      </x:c>
      <x:c r="H48" s="26" t="str">
        <x:v>Autonomous earth and debris work</x:v>
      </x:c>
      <x:c r="I48" s="26" t="str">
        <x:v>Hazardous m³ per exposed worker-hour</x:v>
      </x:c>
      <x:c r="J48" s="26" t="str">
        <x:v>Cooperative small-machine excavation swarm</x:v>
      </x:c>
      <x:c r="K48" s="26" t="str">
        <x:v>Process a mixed hazardous stream with workers outside the declared exposure boundary.</x:v>
      </x:c>
      <x:c r="L48" s="26" t="str">
        <x:v>Productivity depends on unsafe exposure or leaves an unbounded residual.</x:v>
      </x:c>
      <x:c r="M48" s="26" t="str">
        <x:v>DRAFT</x:v>
      </x:c>
    </x:row>
    <x:row r="49" ht="36" customHeight="1">
      <x:c r="C49" s="26" t="str">
        <x:v>HC-04-A</x:v>
      </x:c>
      <x:c r="D49" s="26" t="str">
        <x:v>C3-HC-A-RB1</x:v>
      </x:c>
      <x:c r="E49" s="26" t="str">
        <x:v>MS-HC</x:v>
      </x:c>
      <x:c r="F49" s="26" t="str">
        <x:v>A</x:v>
      </x:c>
      <x:c r="G49" s="26" t="str">
        <x:v>HC-04</x:v>
      </x:c>
      <x:c r="H49" s="26" t="str">
        <x:v>Environmental consequence control</x:v>
      </x:c>
      <x:c r="I49" s="26" t="str">
        <x:v>Time to bounded source, pathway and safe-state decision</x:v>
      </x:c>
      <x:c r="J49" s="26" t="str">
        <x:v>Aerial multispectral and atmospheric tomography</x:v>
      </x:c>
      <x:c r="K49" s="26" t="str">
        <x:v>Reach a lawful intervention decision under sensor, model and custody disagreement.</x:v>
      </x:c>
      <x:c r="L49" s="26" t="str">
        <x:v>A signal cannot support intervention or release.</x:v>
      </x:c>
      <x:c r="M49" s="26" t="str">
        <x:v>DRAFT</x:v>
      </x:c>
    </x:row>
    <x:row r="50" ht="36" customHeight="1">
      <x:c r="C50" s="26" t="str">
        <x:v>HC-04-B</x:v>
      </x:c>
      <x:c r="D50" s="26" t="str">
        <x:v>C3-HC-B-RB1</x:v>
      </x:c>
      <x:c r="E50" s="26" t="str">
        <x:v>MS-HC</x:v>
      </x:c>
      <x:c r="F50" s="26" t="str">
        <x:v>B</x:v>
      </x:c>
      <x:c r="G50" s="26" t="str">
        <x:v>HC-04</x:v>
      </x:c>
      <x:c r="H50" s="26" t="str">
        <x:v>Environmental consequence control</x:v>
      </x:c>
      <x:c r="I50" s="26" t="str">
        <x:v>Time to bounded source, pathway and safe-state decision</x:v>
      </x:c>
      <x:c r="J50" s="26" t="str">
        <x:v>Distributed air-water chemistry mesh</x:v>
      </x:c>
      <x:c r="K50" s="26" t="str">
        <x:v>Reach a lawful intervention decision under sensor, model and custody disagreement.</x:v>
      </x:c>
      <x:c r="L50" s="26" t="str">
        <x:v>A signal cannot support intervention or release.</x:v>
      </x:c>
      <x:c r="M50" s="26" t="str">
        <x:v>DRAFT</x:v>
      </x:c>
    </x:row>
    <x:row r="51" ht="36" customHeight="1">
      <x:c r="C51" s="26" t="str">
        <x:v>HC-04-C</x:v>
      </x:c>
      <x:c r="D51" s="26" t="str">
        <x:v>C3-HC-C-RB1</x:v>
      </x:c>
      <x:c r="E51" s="26" t="str">
        <x:v>MS-HC</x:v>
      </x:c>
      <x:c r="F51" s="26" t="str">
        <x:v>C</x:v>
      </x:c>
      <x:c r="G51" s="26" t="str">
        <x:v>HC-04</x:v>
      </x:c>
      <x:c r="H51" s="26" t="str">
        <x:v>Environmental consequence control</x:v>
      </x:c>
      <x:c r="I51" s="26" t="str">
        <x:v>Time to bounded source, pathway and safe-state decision</x:v>
      </x:c>
      <x:c r="J51" s="26" t="str">
        <x:v>Ground causal sampling and geotechnical network</x:v>
      </x:c>
      <x:c r="K51" s="26" t="str">
        <x:v>Reach a lawful intervention decision under sensor, model and custody disagreement.</x:v>
      </x:c>
      <x:c r="L51" s="26" t="str">
        <x:v>A signal cannot support intervention or release.</x:v>
      </x:c>
      <x:c r="M51" s="26" t="str">
        <x:v>DRAFT</x:v>
      </x:c>
    </x:row>
    <x:row r="52" ht="36" customHeight="1">
      <x:c r="C52" s="26" t="str">
        <x:v>HC-04-D</x:v>
      </x:c>
      <x:c r="D52" s="26" t="str">
        <x:v>C3-HC-D-RB1</x:v>
      </x:c>
      <x:c r="E52" s="26" t="str">
        <x:v>MS-HC</x:v>
      </x:c>
      <x:c r="F52" s="26" t="str">
        <x:v>D</x:v>
      </x:c>
      <x:c r="G52" s="26" t="str">
        <x:v>HC-04</x:v>
      </x:c>
      <x:c r="H52" s="26" t="str">
        <x:v>Environmental consequence control</x:v>
      </x:c>
      <x:c r="I52" s="26" t="str">
        <x:v>Time to bounded source, pathway and safe-state decision</x:v>
      </x:c>
      <x:c r="J52" s="26" t="str">
        <x:v>Distributed sensor-actuator field with robotic assay</x:v>
      </x:c>
      <x:c r="K52" s="26" t="str">
        <x:v>Reach a lawful intervention decision under sensor, model and custody disagreement.</x:v>
      </x:c>
      <x:c r="L52" s="26" t="str">
        <x:v>A signal cannot support intervention or release.</x:v>
      </x:c>
      <x:c r="M52" s="26" t="str">
        <x:v>DRAFT</x:v>
      </x:c>
    </x:row>
    <x:row r="53" ht="36" customHeight="1">
      <x:c r="C53" s="26" t="str">
        <x:v>LF-01-A</x:v>
      </x:c>
      <x:c r="D53" s="26" t="str">
        <x:v>C3-LF-A-RB1</x:v>
      </x:c>
      <x:c r="E53" s="26" t="str">
        <x:v>MS-LF</x:v>
      </x:c>
      <x:c r="F53" s="26" t="str">
        <x:v>A</x:v>
      </x:c>
      <x:c r="G53" s="26" t="str">
        <x:v>LF-01</x:v>
      </x:c>
      <x:c r="H53" s="26" t="str">
        <x:v>Strategic water-energy carriers</x:v>
      </x:c>
      <x:c r="I53" s="26" t="str">
        <x:v>Safe m³ and firm MW ashore per occupied carrier-day</x:v>
      </x:c>
      <x:c r="J53" s="26" t="str">
        <x:v>Nuclear-thermal coastal water-power carrier</x:v>
      </x:c>
      <x:c r="K53" s="26" t="str">
        <x:v>Produce water, power and heat with shore services denied and every residual accepted.</x:v>
      </x:c>
      <x:c r="L53" s="26" t="str">
        <x:v>Source cannot close heat, concentrate, crew, licensing and shore transfer.</x:v>
      </x:c>
      <x:c r="M53" s="26" t="str">
        <x:v>DRAFT</x:v>
      </x:c>
    </x:row>
    <x:row r="54" ht="36" customHeight="1">
      <x:c r="C54" s="26" t="str">
        <x:v>LF-01-B</x:v>
      </x:c>
      <x:c r="D54" s="26" t="str">
        <x:v>C3-LF-B-RB1</x:v>
      </x:c>
      <x:c r="E54" s="26" t="str">
        <x:v>MS-LF</x:v>
      </x:c>
      <x:c r="F54" s="26" t="str">
        <x:v>B</x:v>
      </x:c>
      <x:c r="G54" s="26" t="str">
        <x:v>LF-01</x:v>
      </x:c>
      <x:c r="H54" s="26" t="str">
        <x:v>Strategic water-energy carriers</x:v>
      </x:c>
      <x:c r="I54" s="26" t="str">
        <x:v>Safe m³ and firm MW ashore per occupied carrier-day</x:v>
      </x:c>
      <x:c r="J54" s="26" t="str">
        <x:v>Rapid-bore geothermal and brackish-water train</x:v>
      </x:c>
      <x:c r="K54" s="26" t="str">
        <x:v>Produce water, power and heat with shore services denied and every residual accepted.</x:v>
      </x:c>
      <x:c r="L54" s="26" t="str">
        <x:v>Source cannot close heat, concentrate, crew, licensing and shore transfer.</x:v>
      </x:c>
      <x:c r="M54" s="26" t="str">
        <x:v>DRAFT</x:v>
      </x:c>
    </x:row>
    <x:row r="55" ht="36" customHeight="1">
      <x:c r="C55" s="26" t="str">
        <x:v>LF-01-C</x:v>
      </x:c>
      <x:c r="D55" s="26" t="str">
        <x:v>C3-LF-C-RB1</x:v>
      </x:c>
      <x:c r="E55" s="26" t="str">
        <x:v>MS-LF</x:v>
      </x:c>
      <x:c r="F55" s="26" t="str">
        <x:v>C</x:v>
      </x:c>
      <x:c r="G55" s="26" t="str">
        <x:v>LF-01</x:v>
      </x:c>
      <x:c r="H55" s="26" t="str">
        <x:v>Strategic water-energy carriers</x:v>
      </x:c>
      <x:c r="I55" s="26" t="str">
        <x:v>Safe m³ and firm MW ashore per occupied carrier-day</x:v>
      </x:c>
      <x:c r="J55" s="26" t="str">
        <x:v>Renewable capture and electrochemical utility swarm</x:v>
      </x:c>
      <x:c r="K55" s="26" t="str">
        <x:v>Produce water, power and heat with shore services denied and every residual accepted.</x:v>
      </x:c>
      <x:c r="L55" s="26" t="str">
        <x:v>Source cannot close heat, concentrate, crew, licensing and shore transfer.</x:v>
      </x:c>
      <x:c r="M55" s="26" t="str">
        <x:v>DRAFT</x:v>
      </x:c>
    </x:row>
    <x:row r="56" ht="36" customHeight="1">
      <x:c r="C56" s="26" t="str">
        <x:v>LF-01-D</x:v>
      </x:c>
      <x:c r="D56" s="26" t="str">
        <x:v>C3-LF-D-RB1</x:v>
      </x:c>
      <x:c r="E56" s="26" t="str">
        <x:v>MS-LF</x:v>
      </x:c>
      <x:c r="F56" s="26" t="str">
        <x:v>D</x:v>
      </x:c>
      <x:c r="G56" s="26" t="str">
        <x:v>LF-01</x:v>
      </x:c>
      <x:c r="H56" s="26" t="str">
        <x:v>Strategic water-energy carriers</x:v>
      </x:c>
      <x:c r="I56" s="26" t="str">
        <x:v>Safe m³ and firm MW ashore per occupied carrier-day</x:v>
      </x:c>
      <x:c r="J56" s="26" t="str">
        <x:v>Ammonia-hydrogen cogeneration and treatment fleet</x:v>
      </x:c>
      <x:c r="K56" s="26" t="str">
        <x:v>Produce water, power and heat with shore services denied and every residual accepted.</x:v>
      </x:c>
      <x:c r="L56" s="26" t="str">
        <x:v>Source cannot close heat, concentrate, crew, licensing and shore transfer.</x:v>
      </x:c>
      <x:c r="M56" s="26" t="str">
        <x:v>DRAFT</x:v>
      </x:c>
    </x:row>
    <x:row r="57" ht="36" customHeight="1">
      <x:c r="C57" s="26" t="str">
        <x:v>LF-02-A</x:v>
      </x:c>
      <x:c r="D57" s="26" t="str">
        <x:v>C3-LF-A-RB1</x:v>
      </x:c>
      <x:c r="E57" s="26" t="str">
        <x:v>MS-LF</x:v>
      </x:c>
      <x:c r="F57" s="26" t="str">
        <x:v>A</x:v>
      </x:c>
      <x:c r="G57" s="26" t="str">
        <x:v>LF-02</x:v>
      </x:c>
      <x:c r="H57" s="26" t="str">
        <x:v>Self-deploying utility corridors</x:v>
      </x:c>
      <x:c r="I57" s="26" t="str">
        <x:v>Service-capacity km established per day</x:v>
      </x:c>
      <x:c r="J57" s="26" t="str">
        <x:v>Shore-transfer pipe and high-voltage cable galleries</x:v>
      </x:c>
      <x:c r="K57" s="26" t="str">
        <x:v>Build, energize, pressure-test, repair and remove one corridor through damaged terrain.</x:v>
      </x:c>
      <x:c r="L57" s="26" t="str">
        <x:v>Corridor fails terrain, pressure, protection, repair or public-interface loads.</x:v>
      </x:c>
      <x:c r="M57" s="26" t="str">
        <x:v>DRAFT</x:v>
      </x:c>
    </x:row>
    <x:row r="58" ht="36" customHeight="1">
      <x:c r="C58" s="26" t="str">
        <x:v>LF-02-B</x:v>
      </x:c>
      <x:c r="D58" s="26" t="str">
        <x:v>C3-LF-B-RB1</x:v>
      </x:c>
      <x:c r="E58" s="26" t="str">
        <x:v>MS-LF</x:v>
      </x:c>
      <x:c r="F58" s="26" t="str">
        <x:v>B</x:v>
      </x:c>
      <x:c r="G58" s="26" t="str">
        <x:v>LF-02</x:v>
      </x:c>
      <x:c r="H58" s="26" t="str">
        <x:v>Self-deploying utility corridors</x:v>
      </x:c>
      <x:c r="I58" s="26" t="str">
        <x:v>Service-capacity km established per day</x:v>
      </x:c>
      <x:c r="J58" s="26" t="str">
        <x:v>Robotic trench, splice and thermal-loop train</x:v>
      </x:c>
      <x:c r="K58" s="26" t="str">
        <x:v>Build, energize, pressure-test, repair and remove one corridor through damaged terrain.</x:v>
      </x:c>
      <x:c r="L58" s="26" t="str">
        <x:v>Corridor fails terrain, pressure, protection, repair or public-interface loads.</x:v>
      </x:c>
      <x:c r="M58" s="26" t="str">
        <x:v>DRAFT</x:v>
      </x:c>
    </x:row>
    <x:row r="59" ht="36" customHeight="1">
      <x:c r="C59" s="26" t="str">
        <x:v>LF-02-C</x:v>
      </x:c>
      <x:c r="D59" s="26" t="str">
        <x:v>C3-LF-C-RB1</x:v>
      </x:c>
      <x:c r="E59" s="26" t="str">
        <x:v>MS-LF</x:v>
      </x:c>
      <x:c r="F59" s="26" t="str">
        <x:v>C</x:v>
      </x:c>
      <x:c r="G59" s="26" t="str">
        <x:v>LF-02</x:v>
      </x:c>
      <x:c r="H59" s="26" t="str">
        <x:v>Self-deploying utility corridors</x:v>
      </x:c>
      <x:c r="I59" s="26" t="str">
        <x:v>Service-capacity km established per day</x:v>
      </x:c>
      <x:c r="J59" s="26" t="str">
        <x:v>Drone-laid flexible pipe and conductor network</x:v>
      </x:c>
      <x:c r="K59" s="26" t="str">
        <x:v>Build, energize, pressure-test, repair and remove one corridor through damaged terrain.</x:v>
      </x:c>
      <x:c r="L59" s="26" t="str">
        <x:v>Corridor fails terrain, pressure, protection, repair or public-interface loads.</x:v>
      </x:c>
      <x:c r="M59" s="26" t="str">
        <x:v>DRAFT</x:v>
      </x:c>
    </x:row>
    <x:row r="60" ht="36" customHeight="1">
      <x:c r="C60" s="26" t="str">
        <x:v>LF-02-D</x:v>
      </x:c>
      <x:c r="D60" s="26" t="str">
        <x:v>C3-LF-D-RB1</x:v>
      </x:c>
      <x:c r="E60" s="26" t="str">
        <x:v>MS-LF</x:v>
      </x:c>
      <x:c r="F60" s="26" t="str">
        <x:v>D</x:v>
      </x:c>
      <x:c r="G60" s="26" t="str">
        <x:v>LF-02</x:v>
      </x:c>
      <x:c r="H60" s="26" t="str">
        <x:v>Self-deploying utility corridors</x:v>
      </x:c>
      <x:c r="I60" s="26" t="str">
        <x:v>Service-capacity km established per day</x:v>
      </x:c>
      <x:c r="J60" s="26" t="str">
        <x:v>Self-forming supports with recoverable surface corridors</x:v>
      </x:c>
      <x:c r="K60" s="26" t="str">
        <x:v>Build, energize, pressure-test, repair and remove one corridor through damaged terrain.</x:v>
      </x:c>
      <x:c r="L60" s="26" t="str">
        <x:v>Corridor fails terrain, pressure, protection, repair or public-interface loads.</x:v>
      </x:c>
      <x:c r="M60" s="26" t="str">
        <x:v>DRAFT</x:v>
      </x:c>
    </x:row>
    <x:row r="61" ht="36" customHeight="1">
      <x:c r="C61" s="26" t="str">
        <x:v>LF-03-A</x:v>
      </x:c>
      <x:c r="D61" s="26" t="str">
        <x:v>C3-LF-A-RB1</x:v>
      </x:c>
      <x:c r="E61" s="26" t="str">
        <x:v>MS-LF</x:v>
      </x:c>
      <x:c r="F61" s="26" t="str">
        <x:v>A</x:v>
      </x:c>
      <x:c r="G61" s="26" t="str">
        <x:v>LF-03</x:v>
      </x:c>
      <x:c r="H61" s="26" t="str">
        <x:v>Advanced separation and residual control</x:v>
      </x:c>
      <x:c r="I61" s="26" t="str">
        <x:v>Compliant yield per energy and residual mass</x:v>
      </x:c>
      <x:c r="J61" s="26" t="str">
        <x:v>Thermal distillation and crystallized residual chain</x:v>
      </x:c>
      <x:c r="K61" s="26" t="str">
        <x:v>Treat variable feed and close product, concentrate, consumables and cleaning residuals.</x:v>
      </x:c>
      <x:c r="L61" s="26" t="str">
        <x:v>Product service externalizes hazardous residual or maintenance burden.</x:v>
      </x:c>
      <x:c r="M61" s="26" t="str">
        <x:v>DRAFT</x:v>
      </x:c>
    </x:row>
    <x:row r="62" ht="36" customHeight="1">
      <x:c r="C62" s="26" t="str">
        <x:v>LF-03-B</x:v>
      </x:c>
      <x:c r="D62" s="26" t="str">
        <x:v>C3-LF-B-RB1</x:v>
      </x:c>
      <x:c r="E62" s="26" t="str">
        <x:v>MS-LF</x:v>
      </x:c>
      <x:c r="F62" s="26" t="str">
        <x:v>B</x:v>
      </x:c>
      <x:c r="G62" s="26" t="str">
        <x:v>LF-03</x:v>
      </x:c>
      <x:c r="H62" s="26" t="str">
        <x:v>Advanced separation and residual control</x:v>
      </x:c>
      <x:c r="I62" s="26" t="str">
        <x:v>Compliant yield per energy and residual mass</x:v>
      </x:c>
      <x:c r="J62" s="26" t="str">
        <x:v>High-temperature geothermal membrane polishing</x:v>
      </x:c>
      <x:c r="K62" s="26" t="str">
        <x:v>Treat variable feed and close product, concentrate, consumables and cleaning residuals.</x:v>
      </x:c>
      <x:c r="L62" s="26" t="str">
        <x:v>Product service externalizes hazardous residual or maintenance burden.</x:v>
      </x:c>
      <x:c r="M62" s="26" t="str">
        <x:v>DRAFT</x:v>
      </x:c>
    </x:row>
    <x:row r="63" ht="36" customHeight="1">
      <x:c r="C63" s="26" t="str">
        <x:v>LF-03-C</x:v>
      </x:c>
      <x:c r="D63" s="26" t="str">
        <x:v>C3-LF-C-RB1</x:v>
      </x:c>
      <x:c r="E63" s="26" t="str">
        <x:v>MS-LF</x:v>
      </x:c>
      <x:c r="F63" s="26" t="str">
        <x:v>C</x:v>
      </x:c>
      <x:c r="G63" s="26" t="str">
        <x:v>LF-03</x:v>
      </x:c>
      <x:c r="H63" s="26" t="str">
        <x:v>Advanced separation and residual control</x:v>
      </x:c>
      <x:c r="I63" s="26" t="str">
        <x:v>Compliant yield per energy and residual mass</x:v>
      </x:c>
      <x:c r="J63" s="26" t="str">
        <x:v>Electrochemical selective separation and recovery</x:v>
      </x:c>
      <x:c r="K63" s="26" t="str">
        <x:v>Treat variable feed and close product, concentrate, consumables and cleaning residuals.</x:v>
      </x:c>
      <x:c r="L63" s="26" t="str">
        <x:v>Product service externalizes hazardous residual or maintenance burden.</x:v>
      </x:c>
      <x:c r="M63" s="26" t="str">
        <x:v>DRAFT</x:v>
      </x:c>
    </x:row>
    <x:row r="64" ht="36" customHeight="1">
      <x:c r="C64" s="26" t="str">
        <x:v>LF-03-D</x:v>
      </x:c>
      <x:c r="D64" s="26" t="str">
        <x:v>C3-LF-D-RB1</x:v>
      </x:c>
      <x:c r="E64" s="26" t="str">
        <x:v>MS-LF</x:v>
      </x:c>
      <x:c r="F64" s="26" t="str">
        <x:v>D</x:v>
      </x:c>
      <x:c r="G64" s="26" t="str">
        <x:v>LF-03</x:v>
      </x:c>
      <x:c r="H64" s="26" t="str">
        <x:v>Advanced separation and residual control</x:v>
      </x:c>
      <x:c r="I64" s="26" t="str">
        <x:v>Compliant yield per energy and residual mass</x:v>
      </x:c>
      <x:c r="J64" s="26" t="str">
        <x:v>Adaptive membrane with biological polishing</x:v>
      </x:c>
      <x:c r="K64" s="26" t="str">
        <x:v>Treat variable feed and close product, concentrate, consumables and cleaning residuals.</x:v>
      </x:c>
      <x:c r="L64" s="26" t="str">
        <x:v>Product service externalizes hazardous residual or maintenance burden.</x:v>
      </x:c>
      <x:c r="M64" s="26" t="str">
        <x:v>DRAFT</x:v>
      </x:c>
    </x:row>
    <x:row r="65" ht="36" customHeight="1">
      <x:c r="C65" s="26" t="str">
        <x:v>LF-04-A</x:v>
      </x:c>
      <x:c r="D65" s="26" t="str">
        <x:v>C3-LF-A-RB1</x:v>
      </x:c>
      <x:c r="E65" s="26" t="str">
        <x:v>MS-LF</x:v>
      </x:c>
      <x:c r="F65" s="26" t="str">
        <x:v>A</x:v>
      </x:c>
      <x:c r="G65" s="26" t="str">
        <x:v>LF-04</x:v>
      </x:c>
      <x:c r="H65" s="26" t="str">
        <x:v>Grid-forming power and thermal cells</x:v>
      </x:c>
      <x:c r="I65" s="26" t="str">
        <x:v>Critical-load and safe-thermal MW per deployed tonne</x:v>
      </x:c>
      <x:c r="J65" s="26" t="str">
        <x:v>Reactor-backed AC grid and district thermal cells</x:v>
      </x:c>
      <x:c r="K65" s="26" t="str">
        <x:v>Black-start a complete load island and survive largest-source and route loss.</x:v>
      </x:c>
      <x:c r="L65" s="26" t="str">
        <x:v>Source cannot form and protect a complete island after loss.</x:v>
      </x:c>
      <x:c r="M65" s="26" t="str">
        <x:v>DRAFT</x:v>
      </x:c>
    </x:row>
    <x:row r="66" ht="36" customHeight="1">
      <x:c r="C66" s="26" t="str">
        <x:v>LF-04-B</x:v>
      </x:c>
      <x:c r="D66" s="26" t="str">
        <x:v>C3-LF-B-RB1</x:v>
      </x:c>
      <x:c r="E66" s="26" t="str">
        <x:v>MS-LF</x:v>
      </x:c>
      <x:c r="F66" s="26" t="str">
        <x:v>B</x:v>
      </x:c>
      <x:c r="G66" s="26" t="str">
        <x:v>LF-04</x:v>
      </x:c>
      <x:c r="H66" s="26" t="str">
        <x:v>Grid-forming power and thermal cells</x:v>
      </x:c>
      <x:c r="I66" s="26" t="str">
        <x:v>Critical-load and safe-thermal MW per deployed tonne</x:v>
      </x:c>
      <x:c r="J66" s="26" t="str">
        <x:v>Geothermal thermal-bus and synchronous grid cells</x:v>
      </x:c>
      <x:c r="K66" s="26" t="str">
        <x:v>Black-start a complete load island and survive largest-source and route loss.</x:v>
      </x:c>
      <x:c r="L66" s="26" t="str">
        <x:v>Source cannot form and protect a complete island after loss.</x:v>
      </x:c>
      <x:c r="M66" s="26" t="str">
        <x:v>DRAFT</x:v>
      </x:c>
    </x:row>
    <x:row r="67" ht="36" customHeight="1">
      <x:c r="C67" s="26" t="str">
        <x:v>LF-04-C</x:v>
      </x:c>
      <x:c r="D67" s="26" t="str">
        <x:v>C3-LF-C-RB1</x:v>
      </x:c>
      <x:c r="E67" s="26" t="str">
        <x:v>MS-LF</x:v>
      </x:c>
      <x:c r="F67" s="26" t="str">
        <x:v>C</x:v>
      </x:c>
      <x:c r="G67" s="26" t="str">
        <x:v>LF-04</x:v>
      </x:c>
      <x:c r="H67" s="26" t="str">
        <x:v>Grid-forming power and thermal cells</x:v>
      </x:c>
      <x:c r="I67" s="26" t="str">
        <x:v>Critical-load and safe-thermal MW per deployed tonne</x:v>
      </x:c>
      <x:c r="J67" s="26" t="str">
        <x:v>DC renewable microgrid with long-duration storage</x:v>
      </x:c>
      <x:c r="K67" s="26" t="str">
        <x:v>Black-start a complete load island and survive largest-source and route loss.</x:v>
      </x:c>
      <x:c r="L67" s="26" t="str">
        <x:v>Source cannot form and protect a complete island after loss.</x:v>
      </x:c>
      <x:c r="M67" s="26" t="str">
        <x:v>DRAFT</x:v>
      </x:c>
    </x:row>
    <x:row r="68" ht="36" customHeight="1">
      <x:c r="C68" s="26" t="str">
        <x:v>LF-04-D</x:v>
      </x:c>
      <x:c r="D68" s="26" t="str">
        <x:v>C3-LF-D-RB1</x:v>
      </x:c>
      <x:c r="E68" s="26" t="str">
        <x:v>MS-LF</x:v>
      </x:c>
      <x:c r="F68" s="26" t="str">
        <x:v>D</x:v>
      </x:c>
      <x:c r="G68" s="26" t="str">
        <x:v>LF-04</x:v>
      </x:c>
      <x:c r="H68" s="26" t="str">
        <x:v>Grid-forming power and thermal cells</x:v>
      </x:c>
      <x:c r="I68" s="26" t="str">
        <x:v>Critical-load and safe-thermal MW per deployed tonne</x:v>
      </x:c>
      <x:c r="J68" s="26" t="str">
        <x:v>Fuel-cell turbine hybrid with heat recovery</x:v>
      </x:c>
      <x:c r="K68" s="26" t="str">
        <x:v>Black-start a complete load island and survive largest-source and route loss.</x:v>
      </x:c>
      <x:c r="L68" s="26" t="str">
        <x:v>Source cannot form and protect a complete island after loss.</x:v>
      </x:c>
      <x:c r="M68" s="26" t="str">
        <x:v>DRAFT</x:v>
      </x:c>
    </x:row>
    <x:row r="69" ht="36" customHeight="1">
      <x:c r="C69" s="26" t="str">
        <x:v>HU-01-A</x:v>
      </x:c>
      <x:c r="D69" s="26" t="str">
        <x:v>C3-HU-A-RB1</x:v>
      </x:c>
      <x:c r="E69" s="26" t="str">
        <x:v>MS-HU</x:v>
      </x:c>
      <x:c r="F69" s="26" t="str">
        <x:v>A</x:v>
      </x:c>
      <x:c r="G69" s="26" t="str">
        <x:v>HU-01</x:v>
      </x:c>
      <x:c r="H69" s="26" t="str">
        <x:v>Distributed definitive care</x:v>
      </x:c>
      <x:c r="I69" s="26" t="str">
        <x:v>Acuity-adjusted care-hours per tonne and specialist</x:v>
      </x:c>
      <x:c r="J69" s="26" t="str">
        <x:v>High-acuity clinical service islands</x:v>
      </x:c>
      <x:c r="K69" s="26" t="str">
        <x:v>Sustain the declared acuity mix through utility, sterile-supply and referral loss.</x:v>
      </x:c>
      <x:c r="L69" s="26" t="str">
        <x:v>Beds lack staff, oxygen, utilities, waste, referral, discharge or replacement.</x:v>
      </x:c>
      <x:c r="M69" s="26" t="str">
        <x:v>DRAFT</x:v>
      </x:c>
    </x:row>
    <x:row r="70" ht="36" customHeight="1">
      <x:c r="C70" s="26" t="str">
        <x:v>HU-01-B</x:v>
      </x:c>
      <x:c r="D70" s="26" t="str">
        <x:v>C3-HU-B-RB1</x:v>
      </x:c>
      <x:c r="E70" s="26" t="str">
        <x:v>MS-HU</x:v>
      </x:c>
      <x:c r="F70" s="26" t="str">
        <x:v>B</x:v>
      </x:c>
      <x:c r="G70" s="26" t="str">
        <x:v>HU-01</x:v>
      </x:c>
      <x:c r="H70" s="26" t="str">
        <x:v>Distributed definitive care</x:v>
      </x:c>
      <x:c r="I70" s="26" t="str">
        <x:v>Acuity-adjusted care-hours per tonne and specialist</x:v>
      </x:c>
      <x:c r="J70" s="26" t="str">
        <x:v>Distributed surgery and critical-care pods</x:v>
      </x:c>
      <x:c r="K70" s="26" t="str">
        <x:v>Sustain the declared acuity mix through utility, sterile-supply and referral loss.</x:v>
      </x:c>
      <x:c r="L70" s="26" t="str">
        <x:v>Beds lack staff, oxygen, utilities, waste, referral, discharge or replacement.</x:v>
      </x:c>
      <x:c r="M70" s="26" t="str">
        <x:v>DRAFT</x:v>
      </x:c>
    </x:row>
    <x:row r="71" ht="36" customHeight="1">
      <x:c r="C71" s="26" t="str">
        <x:v>HU-01-C</x:v>
      </x:c>
      <x:c r="D71" s="26" t="str">
        <x:v>C3-HU-C-RB1</x:v>
      </x:c>
      <x:c r="E71" s="26" t="str">
        <x:v>MS-HU</x:v>
      </x:c>
      <x:c r="F71" s="26" t="str">
        <x:v>C</x:v>
      </x:c>
      <x:c r="G71" s="26" t="str">
        <x:v>HU-01</x:v>
      </x:c>
      <x:c r="H71" s="26" t="str">
        <x:v>Distributed definitive care</x:v>
      </x:c>
      <x:c r="I71" s="26" t="str">
        <x:v>Acuity-adjusted care-hours per tonne and specialist</x:v>
      </x:c>
      <x:c r="J71" s="26" t="str">
        <x:v>Mobile care train and ship modules</x:v>
      </x:c>
      <x:c r="K71" s="26" t="str">
        <x:v>Sustain the declared acuity mix through utility, sterile-supply and referral loss.</x:v>
      </x:c>
      <x:c r="L71" s="26" t="str">
        <x:v>Beds lack staff, oxygen, utilities, waste, referral, discharge or replacement.</x:v>
      </x:c>
      <x:c r="M71" s="26" t="str">
        <x:v>DRAFT</x:v>
      </x:c>
    </x:row>
    <x:row r="72" ht="36" customHeight="1">
      <x:c r="C72" s="26" t="str">
        <x:v>HU-01-D</x:v>
      </x:c>
      <x:c r="D72" s="26" t="str">
        <x:v>C3-HU-D-RB1</x:v>
      </x:c>
      <x:c r="E72" s="26" t="str">
        <x:v>MS-HU</x:v>
      </x:c>
      <x:c r="F72" s="26" t="str">
        <x:v>D</x:v>
      </x:c>
      <x:c r="G72" s="26" t="str">
        <x:v>HU-01</x:v>
      </x:c>
      <x:c r="H72" s="26" t="str">
        <x:v>Distributed definitive care</x:v>
      </x:c>
      <x:c r="I72" s="26" t="str">
        <x:v>Acuity-adjusted care-hours per tonne and specialist</x:v>
      </x:c>
      <x:c r="J72" s="26" t="str">
        <x:v>Robotic diagnostics with local sterile production</x:v>
      </x:c>
      <x:c r="K72" s="26" t="str">
        <x:v>Sustain the declared acuity mix through utility, sterile-supply and referral loss.</x:v>
      </x:c>
      <x:c r="L72" s="26" t="str">
        <x:v>Beds lack staff, oxygen, utilities, waste, referral, discharge or replacement.</x:v>
      </x:c>
      <x:c r="M72" s="26" t="str">
        <x:v>DRAFT</x:v>
      </x:c>
    </x:row>
    <x:row r="73" ht="36" customHeight="1">
      <x:c r="C73" s="26" t="str">
        <x:v>HU-02-A</x:v>
      </x:c>
      <x:c r="D73" s="26" t="str">
        <x:v>C3-HU-A-RB1</x:v>
      </x:c>
      <x:c r="E73" s="26" t="str">
        <x:v>MS-HU</x:v>
      </x:c>
      <x:c r="F73" s="26" t="str">
        <x:v>A</x:v>
      </x:c>
      <x:c r="G73" s="26" t="str">
        <x:v>HU-02</x:v>
      </x:c>
      <x:c r="H73" s="26" t="str">
        <x:v>Clinical workforce multiplication</x:v>
      </x:c>
      <x:c r="I73" s="26" t="str">
        <x:v>Licensed care-hours per scarce expert-hour</x:v>
      </x:c>
      <x:c r="J73" s="26" t="str">
        <x:v>On-campus protocol teams and relief cadres</x:v>
      </x:c>
      <x:c r="K73" s="26" t="str">
        <x:v>Increase care-hours without weakening authority, fatigue or outcome limits.</x:v>
      </x:c>
      <x:c r="L73" s="26" t="str">
        <x:v>Productivity weakens clinical authority, quality or fatigue limits.</x:v>
      </x:c>
      <x:c r="M73" s="26" t="str">
        <x:v>DRAFT</x:v>
      </x:c>
    </x:row>
    <x:row r="74" ht="36" customHeight="1">
      <x:c r="C74" s="26" t="str">
        <x:v>HU-02-B</x:v>
      </x:c>
      <x:c r="D74" s="26" t="str">
        <x:v>C3-HU-B-RB1</x:v>
      </x:c>
      <x:c r="E74" s="26" t="str">
        <x:v>MS-HU</x:v>
      </x:c>
      <x:c r="F74" s="26" t="str">
        <x:v>B</x:v>
      </x:c>
      <x:c r="G74" s="26" t="str">
        <x:v>HU-02</x:v>
      </x:c>
      <x:c r="H74" s="26" t="str">
        <x:v>Clinical workforce multiplication</x:v>
      </x:c>
      <x:c r="I74" s="26" t="str">
        <x:v>Licensed care-hours per scarce expert-hour</x:v>
      </x:c>
      <x:c r="J74" s="26" t="str">
        <x:v>Remote specialty cells with supervised local teams</x:v>
      </x:c>
      <x:c r="K74" s="26" t="str">
        <x:v>Increase care-hours without weakening authority, fatigue or outcome limits.</x:v>
      </x:c>
      <x:c r="L74" s="26" t="str">
        <x:v>Productivity weakens clinical authority, quality or fatigue limits.</x:v>
      </x:c>
      <x:c r="M74" s="26" t="str">
        <x:v>DRAFT</x:v>
      </x:c>
    </x:row>
    <x:row r="75" ht="36" customHeight="1">
      <x:c r="C75" s="26" t="str">
        <x:v>HU-02-C</x:v>
      </x:c>
      <x:c r="D75" s="26" t="str">
        <x:v>C3-HU-C-RB1</x:v>
      </x:c>
      <x:c r="E75" s="26" t="str">
        <x:v>MS-HU</x:v>
      </x:c>
      <x:c r="F75" s="26" t="str">
        <x:v>C</x:v>
      </x:c>
      <x:c r="G75" s="26" t="str">
        <x:v>HU-02</x:v>
      </x:c>
      <x:c r="H75" s="26" t="str">
        <x:v>Clinical workforce multiplication</x:v>
      </x:c>
      <x:c r="I75" s="26" t="str">
        <x:v>Licensed care-hours per scarce expert-hour</x:v>
      </x:c>
      <x:c r="J75" s="26" t="str">
        <x:v>Supervised clinical robotics and mobile expert pool</x:v>
      </x:c>
      <x:c r="K75" s="26" t="str">
        <x:v>Increase care-hours without weakening authority, fatigue or outcome limits.</x:v>
      </x:c>
      <x:c r="L75" s="26" t="str">
        <x:v>Productivity weakens clinical authority, quality or fatigue limits.</x:v>
      </x:c>
      <x:c r="M75" s="26" t="str">
        <x:v>DRAFT</x:v>
      </x:c>
    </x:row>
    <x:row r="76" ht="36" customHeight="1">
      <x:c r="C76" s="26" t="str">
        <x:v>HU-02-D</x:v>
      </x:c>
      <x:c r="D76" s="26" t="str">
        <x:v>C3-HU-D-RB1</x:v>
      </x:c>
      <x:c r="E76" s="26" t="str">
        <x:v>MS-HU</x:v>
      </x:c>
      <x:c r="F76" s="26" t="str">
        <x:v>D</x:v>
      </x:c>
      <x:c r="G76" s="26" t="str">
        <x:v>HU-02</x:v>
      </x:c>
      <x:c r="H76" s="26" t="str">
        <x:v>Clinical workforce multiplication</x:v>
      </x:c>
      <x:c r="I76" s="26" t="str">
        <x:v>Licensed care-hours per scarce expert-hour</x:v>
      </x:c>
      <x:c r="J76" s="26" t="str">
        <x:v>Rapid modular training with decision-support laboratories</x:v>
      </x:c>
      <x:c r="K76" s="26" t="str">
        <x:v>Increase care-hours without weakening authority, fatigue or outcome limits.</x:v>
      </x:c>
      <x:c r="L76" s="26" t="str">
        <x:v>Productivity weakens clinical authority, quality or fatigue limits.</x:v>
      </x:c>
      <x:c r="M76" s="26" t="str">
        <x:v>DRAFT</x:v>
      </x:c>
    </x:row>
    <x:row r="77" ht="36" customHeight="1">
      <x:c r="C77" s="26" t="str">
        <x:v>HU-03-A</x:v>
      </x:c>
      <x:c r="D77" s="26" t="str">
        <x:v>C3-HU-A-RB1</x:v>
      </x:c>
      <x:c r="E77" s="26" t="str">
        <x:v>MS-HU</x:v>
      </x:c>
      <x:c r="F77" s="26" t="str">
        <x:v>A</x:v>
      </x:c>
      <x:c r="G77" s="26" t="str">
        <x:v>HU-03</x:v>
      </x:c>
      <x:c r="H77" s="26" t="str">
        <x:v>Population-support campuses</x:v>
      </x:c>
      <x:c r="I77" s="26" t="str">
        <x:v>Safe person-days per tonne and worker-hour</x:v>
      </x:c>
      <x:c r="J77" s="26" t="str">
        <x:v>Cellular shelter-metabolism campus</x:v>
      </x:c>
      <x:c r="K77" s="26" t="str">
        <x:v>Maintain accessible thermal, food, hygiene and protection service under smoke and outage.</x:v>
      </x:c>
      <x:c r="L77" s="26" t="str">
        <x:v>Capacity lacks accessibility, safeguarding, public health, waste or durable exit.</x:v>
      </x:c>
      <x:c r="M77" s="26" t="str">
        <x:v>DRAFT</x:v>
      </x:c>
    </x:row>
    <x:row r="78" ht="36" customHeight="1">
      <x:c r="C78" s="26" t="str">
        <x:v>HU-03-B</x:v>
      </x:c>
      <x:c r="D78" s="26" t="str">
        <x:v>C3-HU-B-RB1</x:v>
      </x:c>
      <x:c r="E78" s="26" t="str">
        <x:v>MS-HU</x:v>
      </x:c>
      <x:c r="F78" s="26" t="str">
        <x:v>B</x:v>
      </x:c>
      <x:c r="G78" s="26" t="str">
        <x:v>HU-03</x:v>
      </x:c>
      <x:c r="H78" s="26" t="str">
        <x:v>Population-support campuses</x:v>
      </x:c>
      <x:c r="I78" s="26" t="str">
        <x:v>Safe person-days per tonne and worker-hour</x:v>
      </x:c>
      <x:c r="J78" s="26" t="str">
        <x:v>Deployable neighborhood thermal skins</x:v>
      </x:c>
      <x:c r="K78" s="26" t="str">
        <x:v>Maintain accessible thermal, food, hygiene and protection service under smoke and outage.</x:v>
      </x:c>
      <x:c r="L78" s="26" t="str">
        <x:v>Capacity lacks accessibility, safeguarding, public health, waste or durable exit.</x:v>
      </x:c>
      <x:c r="M78" s="26" t="str">
        <x:v>DRAFT</x:v>
      </x:c>
    </x:row>
    <x:row r="79" ht="36" customHeight="1">
      <x:c r="C79" s="26" t="str">
        <x:v>HU-03-C</x:v>
      </x:c>
      <x:c r="D79" s="26" t="str">
        <x:v>C3-HU-C-RB1</x:v>
      </x:c>
      <x:c r="E79" s="26" t="str">
        <x:v>MS-HU</x:v>
      </x:c>
      <x:c r="F79" s="26" t="str">
        <x:v>C</x:v>
      </x:c>
      <x:c r="G79" s="26" t="str">
        <x:v>HU-03</x:v>
      </x:c>
      <x:c r="H79" s="26" t="str">
        <x:v>Population-support campuses</x:v>
      </x:c>
      <x:c r="I79" s="26" t="str">
        <x:v>Safe person-days per tonne and worker-hour</x:v>
      </x:c>
      <x:c r="J79" s="26" t="str">
        <x:v>Automated feeding, hygiene and mobile reception</x:v>
      </x:c>
      <x:c r="K79" s="26" t="str">
        <x:v>Maintain accessible thermal, food, hygiene and protection service under smoke and outage.</x:v>
      </x:c>
      <x:c r="L79" s="26" t="str">
        <x:v>Capacity lacks accessibility, safeguarding, public health, waste or durable exit.</x:v>
      </x:c>
      <x:c r="M79" s="26" t="str">
        <x:v>DRAFT</x:v>
      </x:c>
    </x:row>
    <x:row r="80" ht="36" customHeight="1">
      <x:c r="C80" s="26" t="str">
        <x:v>HU-03-D</x:v>
      </x:c>
      <x:c r="D80" s="26" t="str">
        <x:v>C3-HU-D-RB1</x:v>
      </x:c>
      <x:c r="E80" s="26" t="str">
        <x:v>MS-HU</x:v>
      </x:c>
      <x:c r="F80" s="26" t="str">
        <x:v>D</x:v>
      </x:c>
      <x:c r="G80" s="26" t="str">
        <x:v>HU-03</x:v>
      </x:c>
      <x:c r="H80" s="26" t="str">
        <x:v>Population-support campuses</x:v>
      </x:c>
      <x:c r="I80" s="26" t="str">
        <x:v>Safe person-days per tonne and worker-hour</x:v>
      </x:c>
      <x:c r="J80" s="26" t="str">
        <x:v>Host-building utility-skin conversion</x:v>
      </x:c>
      <x:c r="K80" s="26" t="str">
        <x:v>Maintain accessible thermal, food, hygiene and protection service under smoke and outage.</x:v>
      </x:c>
      <x:c r="L80" s="26" t="str">
        <x:v>Capacity lacks accessibility, safeguarding, public health, waste or durable exit.</x:v>
      </x:c>
      <x:c r="M80" s="26" t="str">
        <x:v>DRAFT</x:v>
      </x:c>
    </x:row>
    <x:row r="81" ht="36" customHeight="1">
      <x:c r="C81" s="26" t="str">
        <x:v>HU-04-A</x:v>
      </x:c>
      <x:c r="D81" s="26" t="str">
        <x:v>C3-HU-A-RB1</x:v>
      </x:c>
      <x:c r="E81" s="26" t="str">
        <x:v>MS-HU</x:v>
      </x:c>
      <x:c r="F81" s="26" t="str">
        <x:v>A</x:v>
      </x:c>
      <x:c r="G81" s="26" t="str">
        <x:v>HU-04</x:v>
      </x:c>
      <x:c r="H81" s="26" t="str">
        <x:v>Patient and household continuity</x:v>
      </x:c>
      <x:c r="I81" s="26" t="str">
        <x:v>Transfers completed with relationships intact</x:v>
      </x:c>
      <x:c r="J81" s="26" t="str">
        <x:v>Governed continuity cabins and campus receivers</x:v>
      </x:c>
      <x:c r="K81" s="26" t="str">
        <x:v>Complete transfer, receiver acceptance and supported return without losing required relationships.</x:v>
      </x:c>
      <x:c r="L81" s="26" t="str">
        <x:v>Motion succeeds while care, identity, device, caregiver or destination is lost.</x:v>
      </x:c>
      <x:c r="M81" s="26" t="str">
        <x:v>DRAFT</x:v>
      </x:c>
    </x:row>
    <x:row r="82" ht="36" customHeight="1">
      <x:c r="C82" s="26" t="str">
        <x:v>HU-04-B</x:v>
      </x:c>
      <x:c r="D82" s="26" t="str">
        <x:v>C3-HU-B-RB1</x:v>
      </x:c>
      <x:c r="E82" s="26" t="str">
        <x:v>MS-HU</x:v>
      </x:c>
      <x:c r="F82" s="26" t="str">
        <x:v>B</x:v>
      </x:c>
      <x:c r="G82" s="26" t="str">
        <x:v>HU-04</x:v>
      </x:c>
      <x:c r="H82" s="26" t="str">
        <x:v>Patient and household continuity</x:v>
      </x:c>
      <x:c r="I82" s="26" t="str">
        <x:v>Transfers completed with relationships intact</x:v>
      </x:c>
      <x:c r="J82" s="26" t="str">
        <x:v>Neighborhood transfer nodes and household teams</x:v>
      </x:c>
      <x:c r="K82" s="26" t="str">
        <x:v>Complete transfer, receiver acceptance and supported return without losing required relationships.</x:v>
      </x:c>
      <x:c r="L82" s="26" t="str">
        <x:v>Motion succeeds while care, identity, device, caregiver or destination is lost.</x:v>
      </x:c>
      <x:c r="M82" s="26" t="str">
        <x:v>DRAFT</x:v>
      </x:c>
    </x:row>
    <x:row r="83" ht="36" customHeight="1">
      <x:c r="C83" s="26" t="str">
        <x:v>HU-04-C</x:v>
      </x:c>
      <x:c r="D83" s="26" t="str">
        <x:v>C3-HU-C-RB1</x:v>
      </x:c>
      <x:c r="E83" s="26" t="str">
        <x:v>MS-HU</x:v>
      </x:c>
      <x:c r="F83" s="26" t="str">
        <x:v>C</x:v>
      </x:c>
      <x:c r="G83" s="26" t="str">
        <x:v>HU-04</x:v>
      </x:c>
      <x:c r="H83" s="26" t="str">
        <x:v>Patient and household continuity</x:v>
      </x:c>
      <x:c r="I83" s="26" t="str">
        <x:v>Transfers completed with relationships intact</x:v>
      </x:c>
      <x:c r="J83" s="26" t="str">
        <x:v>Mobile care-and-reception convoy with local-first state</x:v>
      </x:c>
      <x:c r="K83" s="26" t="str">
        <x:v>Complete transfer, receiver acceptance and supported return without losing required relationships.</x:v>
      </x:c>
      <x:c r="L83" s="26" t="str">
        <x:v>Motion succeeds while care, identity, device, caregiver or destination is lost.</x:v>
      </x:c>
      <x:c r="M83" s="26" t="str">
        <x:v>DRAFT</x:v>
      </x:c>
    </x:row>
    <x:row r="84" ht="36" customHeight="1">
      <x:c r="C84" s="26" t="str">
        <x:v>HU-04-D</x:v>
      </x:c>
      <x:c r="D84" s="26" t="str">
        <x:v>C3-HU-D-RB1</x:v>
      </x:c>
      <x:c r="E84" s="26" t="str">
        <x:v>MS-HU</x:v>
      </x:c>
      <x:c r="F84" s="26" t="str">
        <x:v>D</x:v>
      </x:c>
      <x:c r="G84" s="26" t="str">
        <x:v>HU-04</x:v>
      </x:c>
      <x:c r="H84" s="26" t="str">
        <x:v>Patient and household continuity</x:v>
      </x:c>
      <x:c r="I84" s="26" t="str">
        <x:v>Transfers completed with relationships intact</x:v>
      </x:c>
      <x:c r="J84" s="26" t="str">
        <x:v>Verified receiver network with building conversion kits</x:v>
      </x:c>
      <x:c r="K84" s="26" t="str">
        <x:v>Complete transfer, receiver acceptance and supported return without losing required relationships.</x:v>
      </x:c>
      <x:c r="L84" s="26" t="str">
        <x:v>Motion succeeds while care, identity, device, caregiver or destination is lost.</x:v>
      </x:c>
      <x:c r="M84" s="26" t="str">
        <x:v>DRAFT</x:v>
      </x:c>
    </x:row>
    <x:row r="85" ht="36" customHeight="1">
      <x:c r="C85" s="26" t="str">
        <x:v>RT-01-A</x:v>
      </x:c>
      <x:c r="D85" s="26" t="str">
        <x:v>C3-RT-A-RB1</x:v>
      </x:c>
      <x:c r="E85" s="26" t="str">
        <x:v>MS-RT</x:v>
      </x:c>
      <x:c r="F85" s="26" t="str">
        <x:v>A</x:v>
      </x:c>
      <x:c r="G85" s="26" t="str">
        <x:v>RT-01</x:v>
      </x:c>
      <x:c r="H85" s="26" t="str">
        <x:v>Campaign sustainment</x:v>
      </x:c>
      <x:c r="I85" s="26" t="str">
        <x:v>Formation-days per daily tonne and labor-hour</x:v>
      </x:c>
      <x:c r="J85" s="26" t="str">
        <x:v>Protected heavy arsenal and autonomous inventory</x:v>
      </x:c>
      <x:c r="K85" s="26" t="str">
        <x:v>Sustain every required class through route loss and reconcile return flow.</x:v>
      </x:c>
      <x:c r="L85" s="26" t="str">
        <x:v>A subtotal hides a missing class, return flow or distribution path.</x:v>
      </x:c>
      <x:c r="M85" s="26" t="str">
        <x:v>DRAFT</x:v>
      </x:c>
    </x:row>
    <x:row r="86" ht="36" customHeight="1">
      <x:c r="C86" s="26" t="str">
        <x:v>RT-01-B</x:v>
      </x:c>
      <x:c r="D86" s="26" t="str">
        <x:v>C3-RT-B-RB1</x:v>
      </x:c>
      <x:c r="E86" s="26" t="str">
        <x:v>MS-RT</x:v>
      </x:c>
      <x:c r="F86" s="26" t="str">
        <x:v>B</x:v>
      </x:c>
      <x:c r="G86" s="26" t="str">
        <x:v>RT-01</x:v>
      </x:c>
      <x:c r="H86" s="26" t="str">
        <x:v>Campaign sustainment</x:v>
      </x:c>
      <x:c r="I86" s="26" t="str">
        <x:v>Formation-days per daily tonne and labor-hour</x:v>
      </x:c>
      <x:c r="J86" s="26" t="str">
        <x:v>Predictive distributed stock and microfactory cells</x:v>
      </x:c>
      <x:c r="K86" s="26" t="str">
        <x:v>Sustain every required class through route loss and reconcile return flow.</x:v>
      </x:c>
      <x:c r="L86" s="26" t="str">
        <x:v>A subtotal hides a missing class, return flow or distribution path.</x:v>
      </x:c>
      <x:c r="M86" s="26" t="str">
        <x:v>DRAFT</x:v>
      </x:c>
    </x:row>
    <x:row r="87" ht="36" customHeight="1">
      <x:c r="C87" s="26" t="str">
        <x:v>RT-01-C</x:v>
      </x:c>
      <x:c r="D87" s="26" t="str">
        <x:v>C3-RT-C-RB1</x:v>
      </x:c>
      <x:c r="E87" s="26" t="str">
        <x:v>MS-RT</x:v>
      </x:c>
      <x:c r="F87" s="26" t="str">
        <x:v>C</x:v>
      </x:c>
      <x:c r="G87" s="26" t="str">
        <x:v>RT-01</x:v>
      </x:c>
      <x:c r="H87" s="26" t="str">
        <x:v>Campaign sustainment</x:v>
      </x:c>
      <x:c r="I87" s="26" t="str">
        <x:v>Formation-days per daily tonne and labor-hour</x:v>
      </x:c>
      <x:c r="J87" s="26" t="str">
        <x:v>Multimode exchange with custody-preserving lots</x:v>
      </x:c>
      <x:c r="K87" s="26" t="str">
        <x:v>Sustain every required class through route loss and reconcile return flow.</x:v>
      </x:c>
      <x:c r="L87" s="26" t="str">
        <x:v>A subtotal hides a missing class, return flow or distribution path.</x:v>
      </x:c>
      <x:c r="M87" s="26" t="str">
        <x:v>DRAFT</x:v>
      </x:c>
    </x:row>
    <x:row r="88" ht="36" customHeight="1">
      <x:c r="C88" s="26" t="str">
        <x:v>RT-01-D</x:v>
      </x:c>
      <x:c r="D88" s="26" t="str">
        <x:v>C3-RT-D-RB1</x:v>
      </x:c>
      <x:c r="E88" s="26" t="str">
        <x:v>MS-RT</x:v>
      </x:c>
      <x:c r="F88" s="26" t="str">
        <x:v>D</x:v>
      </x:c>
      <x:c r="G88" s="26" t="str">
        <x:v>RT-01</x:v>
      </x:c>
      <x:c r="H88" s="26" t="str">
        <x:v>Campaign sustainment</x:v>
      </x:c>
      <x:c r="I88" s="26" t="str">
        <x:v>Formation-days per daily tonne and labor-hour</x:v>
      </x:c>
      <x:c r="J88" s="26" t="str">
        <x:v>Mobile cold-chain and closed-loop supply fleet</x:v>
      </x:c>
      <x:c r="K88" s="26" t="str">
        <x:v>Sustain every required class through route loss and reconcile return flow.</x:v>
      </x:c>
      <x:c r="L88" s="26" t="str">
        <x:v>A subtotal hides a missing class, return flow or distribution path.</x:v>
      </x:c>
      <x:c r="M88" s="26" t="str">
        <x:v>DRAFT</x:v>
      </x:c>
    </x:row>
    <x:row r="89" ht="36" customHeight="1">
      <x:c r="C89" s="26" t="str">
        <x:v>RT-02-A</x:v>
      </x:c>
      <x:c r="D89" s="26" t="str">
        <x:v>C3-RT-A-RB1</x:v>
      </x:c>
      <x:c r="E89" s="26" t="str">
        <x:v>MS-RT</x:v>
      </x:c>
      <x:c r="F89" s="26" t="str">
        <x:v>A</x:v>
      </x:c>
      <x:c r="G89" s="26" t="str">
        <x:v>RT-02</x:v>
      </x:c>
      <x:c r="H89" s="26" t="str">
        <x:v>Field regeneration</x:v>
      </x:c>
      <x:c r="I89" s="26" t="str">
        <x:v>Hours from damaged return to recertification</x:v>
      </x:c>
      <x:c r="J89" s="26" t="str">
        <x:v>Robotic inspection and heavy depot line</x:v>
      </x:c>
      <x:c r="K89" s="26" t="str">
        <x:v>Return one damaged formation to independent configuration and service release.</x:v>
      </x:c>
      <x:c r="L89" s="26" t="str">
        <x:v>Repair returns hardware without crew, software, evidence, spares or safe state.</x:v>
      </x:c>
      <x:c r="M89" s="26" t="str">
        <x:v>DRAFT</x:v>
      </x:c>
    </x:row>
    <x:row r="90" ht="36" customHeight="1">
      <x:c r="C90" s="26" t="str">
        <x:v>RT-02-B</x:v>
      </x:c>
      <x:c r="D90" s="26" t="str">
        <x:v>C3-RT-B-RB1</x:v>
      </x:c>
      <x:c r="E90" s="26" t="str">
        <x:v>MS-RT</x:v>
      </x:c>
      <x:c r="F90" s="26" t="str">
        <x:v>B</x:v>
      </x:c>
      <x:c r="G90" s="26" t="str">
        <x:v>RT-02</x:v>
      </x:c>
      <x:c r="H90" s="26" t="str">
        <x:v>Field regeneration</x:v>
      </x:c>
      <x:c r="I90" s="26" t="str">
        <x:v>Hours from damaged return to recertification</x:v>
      </x:c>
      <x:c r="J90" s="26" t="str">
        <x:v>Modular swap and distributed repair cells</x:v>
      </x:c>
      <x:c r="K90" s="26" t="str">
        <x:v>Return one damaged formation to independent configuration and service release.</x:v>
      </x:c>
      <x:c r="L90" s="26" t="str">
        <x:v>Repair returns hardware without crew, software, evidence, spares or safe state.</x:v>
      </x:c>
      <x:c r="M90" s="26" t="str">
        <x:v>DRAFT</x:v>
      </x:c>
    </x:row>
    <x:row r="91" ht="36" customHeight="1">
      <x:c r="C91" s="26" t="str">
        <x:v>RT-02-C</x:v>
      </x:c>
      <x:c r="D91" s="26" t="str">
        <x:v>C3-RT-C-RB1</x:v>
      </x:c>
      <x:c r="E91" s="26" t="str">
        <x:v>MS-RT</x:v>
      </x:c>
      <x:c r="F91" s="26" t="str">
        <x:v>C</x:v>
      </x:c>
      <x:c r="G91" s="26" t="str">
        <x:v>RT-02</x:v>
      </x:c>
      <x:c r="H91" s="26" t="str">
        <x:v>Field regeneration</x:v>
      </x:c>
      <x:c r="I91" s="26" t="str">
        <x:v>Hours from damaged return to recertification</x:v>
      </x:c>
      <x:c r="J91" s="26" t="str">
        <x:v>Additive repair and remanufacture network</x:v>
      </x:c>
      <x:c r="K91" s="26" t="str">
        <x:v>Return one damaged formation to independent configuration and service release.</x:v>
      </x:c>
      <x:c r="L91" s="26" t="str">
        <x:v>Repair returns hardware without crew, software, evidence, spares or safe state.</x:v>
      </x:c>
      <x:c r="M91" s="26" t="str">
        <x:v>DRAFT</x:v>
      </x:c>
    </x:row>
    <x:row r="92" ht="36" customHeight="1">
      <x:c r="C92" s="26" t="str">
        <x:v>RT-02-D</x:v>
      </x:c>
      <x:c r="D92" s="26" t="str">
        <x:v>C3-RT-D-RB1</x:v>
      </x:c>
      <x:c r="E92" s="26" t="str">
        <x:v>MS-RT</x:v>
      </x:c>
      <x:c r="F92" s="26" t="str">
        <x:v>D</x:v>
      </x:c>
      <x:c r="G92" s="26" t="str">
        <x:v>RT-02</x:v>
      </x:c>
      <x:c r="H92" s="26" t="str">
        <x:v>Field regeneration</x:v>
      </x:c>
      <x:c r="I92" s="26" t="str">
        <x:v>Hours from damaged return to recertification</x:v>
      </x:c>
      <x:c r="J92" s="26" t="str">
        <x:v>Distributed calibration and mobile recertification</x:v>
      </x:c>
      <x:c r="K92" s="26" t="str">
        <x:v>Return one damaged formation to independent configuration and service release.</x:v>
      </x:c>
      <x:c r="L92" s="26" t="str">
        <x:v>Repair returns hardware without crew, software, evidence, spares or safe state.</x:v>
      </x:c>
      <x:c r="M92" s="26" t="str">
        <x:v>DRAFT</x:v>
      </x:c>
    </x:row>
    <x:row r="93" ht="36" customHeight="1">
      <x:c r="C93" s="26" t="str">
        <x:v>RT-03-A</x:v>
      </x:c>
      <x:c r="D93" s="26" t="str">
        <x:v>C3-RT-A-RB1</x:v>
      </x:c>
      <x:c r="E93" s="26" t="str">
        <x:v>MS-RT</x:v>
      </x:c>
      <x:c r="F93" s="26" t="str">
        <x:v>A</x:v>
      </x:c>
      <x:c r="G93" s="26" t="str">
        <x:v>RT-03</x:v>
      </x:c>
      <x:c r="H93" s="26" t="str">
        <x:v>Circular residual recovery</x:v>
      </x:c>
      <x:c r="I93" s="26" t="str">
        <x:v>Mission residual reused, immobilized or returned</x:v>
      </x:c>
      <x:c r="J93" s="26" t="str">
        <x:v>Mineralization and protected disposal chain</x:v>
      </x:c>
      <x:c r="K93" s="26" t="str">
        <x:v>Close a mixed residual stream without shifting hazard to the damaged community.</x:v>
      </x:c>
      <x:c r="L93" s="26" t="str">
        <x:v>Process transfers hazard, energy or waste burden.</x:v>
      </x:c>
      <x:c r="M93" s="26" t="str">
        <x:v>DRAFT</x:v>
      </x:c>
    </x:row>
    <x:row r="94" ht="36" customHeight="1">
      <x:c r="C94" s="26" t="str">
        <x:v>RT-03-B</x:v>
      </x:c>
      <x:c r="D94" s="26" t="str">
        <x:v>C3-RT-B-RB1</x:v>
      </x:c>
      <x:c r="E94" s="26" t="str">
        <x:v>MS-RT</x:v>
      </x:c>
      <x:c r="F94" s="26" t="str">
        <x:v>B</x:v>
      </x:c>
      <x:c r="G94" s="26" t="str">
        <x:v>RT-03</x:v>
      </x:c>
      <x:c r="H94" s="26" t="str">
        <x:v>Circular residual recovery</x:v>
      </x:c>
      <x:c r="I94" s="26" t="str">
        <x:v>Mission residual reused, immobilized or returned</x:v>
      </x:c>
      <x:c r="J94" s="26" t="str">
        <x:v>Selective recovery microfactories</x:v>
      </x:c>
      <x:c r="K94" s="26" t="str">
        <x:v>Close a mixed residual stream without shifting hazard to the damaged community.</x:v>
      </x:c>
      <x:c r="L94" s="26" t="str">
        <x:v>Process transfers hazard, energy or waste burden.</x:v>
      </x:c>
      <x:c r="M94" s="26" t="str">
        <x:v>DRAFT</x:v>
      </x:c>
    </x:row>
    <x:row r="95" ht="36" customHeight="1">
      <x:c r="C95" s="26" t="str">
        <x:v>RT-03-C</x:v>
      </x:c>
      <x:c r="D95" s="26" t="str">
        <x:v>C3-RT-C-RB1</x:v>
      </x:c>
      <x:c r="E95" s="26" t="str">
        <x:v>MS-RT</x:v>
      </x:c>
      <x:c r="F95" s="26" t="str">
        <x:v>C</x:v>
      </x:c>
      <x:c r="G95" s="26" t="str">
        <x:v>RT-03</x:v>
      </x:c>
      <x:c r="H95" s="26" t="str">
        <x:v>Circular residual recovery</x:v>
      </x:c>
      <x:c r="I95" s="26" t="str">
        <x:v>Mission residual reused, immobilized or returned</x:v>
      </x:c>
      <x:c r="J95" s="26" t="str">
        <x:v>High-temperature conversion and feedstock return</x:v>
      </x:c>
      <x:c r="K95" s="26" t="str">
        <x:v>Close a mixed residual stream without shifting hazard to the damaged community.</x:v>
      </x:c>
      <x:c r="L95" s="26" t="str">
        <x:v>Process transfers hazard, energy or waste burden.</x:v>
      </x:c>
      <x:c r="M95" s="26" t="str">
        <x:v>DRAFT</x:v>
      </x:c>
    </x:row>
    <x:row r="96" ht="36" customHeight="1">
      <x:c r="C96" s="26" t="str">
        <x:v>RT-03-D</x:v>
      </x:c>
      <x:c r="D96" s="26" t="str">
        <x:v>C3-RT-D-RB1</x:v>
      </x:c>
      <x:c r="E96" s="26" t="str">
        <x:v>MS-RT</x:v>
      </x:c>
      <x:c r="F96" s="26" t="str">
        <x:v>D</x:v>
      </x:c>
      <x:c r="G96" s="26" t="str">
        <x:v>RT-03</x:v>
      </x:c>
      <x:c r="H96" s="26" t="str">
        <x:v>Circular residual recovery</x:v>
      </x:c>
      <x:c r="I96" s="26" t="str">
        <x:v>Mission residual reused, immobilized or returned</x:v>
      </x:c>
      <x:c r="J96" s="26" t="str">
        <x:v>Closed-loop sanitation and mobile residual fleet</x:v>
      </x:c>
      <x:c r="K96" s="26" t="str">
        <x:v>Close a mixed residual stream without shifting hazard to the damaged community.</x:v>
      </x:c>
      <x:c r="L96" s="26" t="str">
        <x:v>Process transfers hazard, energy or waste burden.</x:v>
      </x:c>
      <x:c r="M96" s="26" t="str">
        <x:v>DRAFT</x:v>
      </x:c>
    </x:row>
    <x:row r="97" ht="36" customHeight="1">
      <x:c r="C97" s="26" t="str">
        <x:v>RT-04-A</x:v>
      </x:c>
      <x:c r="D97" s="26" t="str">
        <x:v>C3-RT-A-RB1</x:v>
      </x:c>
      <x:c r="E97" s="26" t="str">
        <x:v>MS-RT</x:v>
      </x:c>
      <x:c r="F97" s="26" t="str">
        <x:v>A</x:v>
      </x:c>
      <x:c r="G97" s="26" t="str">
        <x:v>RT-04</x:v>
      </x:c>
      <x:c r="H97" s="26" t="str">
        <x:v>Workforce regeneration</x:v>
      </x:c>
      <x:c r="I97" s="26" t="str">
        <x:v>Certified shift-hours restored per worker-day</x:v>
      </x:c>
      <x:c r="J97" s="26" t="str">
        <x:v>Replacement cadres and protected training base</x:v>
      </x:c>
      <x:c r="K97" s="26" t="str">
        <x:v>Replace an exhausted team while preserving credentials, families and home-station capacity.</x:v>
      </x:c>
      <x:c r="L97" s="26" t="str">
        <x:v>Readiness depends on exhausted staff, hollowed local systems or untested replacements.</x:v>
      </x:c>
      <x:c r="M97" s="26" t="str">
        <x:v>DRAFT</x:v>
      </x:c>
    </x:row>
    <x:row r="98" ht="36" customHeight="1">
      <x:c r="C98" s="26" t="str">
        <x:v>RT-04-B</x:v>
      </x:c>
      <x:c r="D98" s="26" t="str">
        <x:v>C3-RT-B-RB1</x:v>
      </x:c>
      <x:c r="E98" s="26" t="str">
        <x:v>MS-RT</x:v>
      </x:c>
      <x:c r="F98" s="26" t="str">
        <x:v>B</x:v>
      </x:c>
      <x:c r="G98" s="26" t="str">
        <x:v>RT-04</x:v>
      </x:c>
      <x:c r="H98" s="26" t="str">
        <x:v>Workforce regeneration</x:v>
      </x:c>
      <x:c r="I98" s="26" t="str">
        <x:v>Certified shift-hours restored per worker-day</x:v>
      </x:c>
      <x:c r="J98" s="26" t="str">
        <x:v>Portable credentials and distributed qualification</x:v>
      </x:c>
      <x:c r="K98" s="26" t="str">
        <x:v>Replace an exhausted team while preserving credentials, families and home-station capacity.</x:v>
      </x:c>
      <x:c r="L98" s="26" t="str">
        <x:v>Readiness depends on exhausted staff, hollowed local systems or untested replacements.</x:v>
      </x:c>
      <x:c r="M98" s="26" t="str">
        <x:v>DRAFT</x:v>
      </x:c>
    </x:row>
    <x:row r="99" ht="36" customHeight="1">
      <x:c r="C99" s="26" t="str">
        <x:v>RT-04-C</x:v>
      </x:c>
      <x:c r="D99" s="26" t="str">
        <x:v>C3-RT-C-RB1</x:v>
      </x:c>
      <x:c r="E99" s="26" t="str">
        <x:v>MS-RT</x:v>
      </x:c>
      <x:c r="F99" s="26" t="str">
        <x:v>C</x:v>
      </x:c>
      <x:c r="G99" s="26" t="str">
        <x:v>RT-04</x:v>
      </x:c>
      <x:c r="H99" s="26" t="str">
        <x:v>Workforce regeneration</x:v>
      </x:c>
      <x:c r="I99" s="26" t="str">
        <x:v>Certified shift-hours restored per worker-day</x:v>
      </x:c>
      <x:c r="J99" s="26" t="str">
        <x:v>Fatigue sensing with rotating multimode teams</x:v>
      </x:c>
      <x:c r="K99" s="26" t="str">
        <x:v>Replace an exhausted team while preserving credentials, families and home-station capacity.</x:v>
      </x:c>
      <x:c r="L99" s="26" t="str">
        <x:v>Readiness depends on exhausted staff, hollowed local systems or untested replacements.</x:v>
      </x:c>
      <x:c r="M99" s="26" t="str">
        <x:v>DRAFT</x:v>
      </x:c>
    </x:row>
    <x:row r="100" ht="36" customHeight="1">
      <x:c r="C100" s="26" t="str">
        <x:v>RT-04-D</x:v>
      </x:c>
      <x:c r="D100" s="26" t="str">
        <x:v>C3-RT-D-RB1</x:v>
      </x:c>
      <x:c r="E100" s="26" t="str">
        <x:v>MS-RT</x:v>
      </x:c>
      <x:c r="F100" s="26" t="str">
        <x:v>D</x:v>
      </x:c>
      <x:c r="G100" s="26" t="str">
        <x:v>RT-04</x:v>
      </x:c>
      <x:c r="H100" s="26" t="str">
        <x:v>Workforce regeneration</x:v>
      </x:c>
      <x:c r="I100" s="26" t="str">
        <x:v>Certified shift-hours restored per worker-day</x:v>
      </x:c>
      <x:c r="J100" s="26" t="str">
        <x:v>Family and home-station continuity system</x:v>
      </x:c>
      <x:c r="K100" s="26" t="str">
        <x:v>Replace an exhausted team while preserving credentials, families and home-station capacity.</x:v>
      </x:c>
      <x:c r="L100" s="26" t="str">
        <x:v>Readiness depends on exhausted staff, hollowed local systems or untested replacements.</x:v>
      </x:c>
      <x:c r="M100" s="26" t="str">
        <x:v>DRAFT</x:v>
      </x:c>
    </x:row>
  </x:sheetData>
  <x:conditionalFormatting sqref="M5:M100">
    <x:cfRule type="containsText" dxfId="15" priority="1" operator="containsText" text="FAIL"/>
    <x:cfRule type="containsText" dxfId="16" priority="2" operator="containsText" text="REJECT"/>
    <x:cfRule type="containsText" dxfId="17" priority="3" operator="containsText" text="OPEN"/>
    <x:cfRule type="containsText" dxfId="18" priority="4" operator="containsText" text="HOLD"/>
    <x:cfRule type="containsText" dxfId="19" priority="5" operator="containsText" text="SELECT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.559999942779541" hidden="0" customWidth="1"/>
    <x:col min="2" max="2" width="1.559999942779541" hidden="0" customWidth="1"/>
    <x:col min="3" max="3" width="10.5600004196167" hidden="0" customWidth="1"/>
    <x:col min="4" max="4" width="15" hidden="0" customWidth="1"/>
    <x:col min="5" max="5" width="8.890000343322754" hidden="0" customWidth="1"/>
    <x:col min="6" max="6" width="6.110000133514404" hidden="0" customWidth="1"/>
    <x:col min="7" max="7" width="7.78000020980835" hidden="0" customWidth="1"/>
    <x:col min="8" max="8" width="33.33000183105469" hidden="0" customWidth="1"/>
    <x:col min="9" max="9" width="8.890000343322754" hidden="0" customWidth="1"/>
    <x:col min="10" max="10" width="7.78000020980835" hidden="0" customWidth="1"/>
    <x:col min="11" max="11" width="8.890000343322754" hidden="0" customWidth="1"/>
    <x:col min="12" max="12" width="8.329999923706055" hidden="0" customWidth="1"/>
  </x:cols>
  <x:sheetData>
    <x:row r="2">
      <x:c r="C2" s="1" t="str">
        <x:v>One hundred twelve complete root–route obligations</x:v>
      </x:c>
    </x:row>
    <x:row r="3">
      <x:c r="C3" s="2" t="str">
        <x:v>No root may specialize away a hard route or one of the seven service stages.</x:v>
      </x:c>
    </x:row>
    <x:row r="4" ht="24" customHeight="1">
      <x:c r="C4" s="8" t="str">
        <x:v>Obligation</x:v>
      </x:c>
      <x:c r="D4" s="8" t="str">
        <x:v>Root baseline</x:v>
      </x:c>
      <x:c r="E4" s="8" t="str">
        <x:v>System</x:v>
      </x:c>
      <x:c r="F4" s="8" t="str">
        <x:v>Root</x:v>
      </x:c>
      <x:c r="G4" s="8" t="str">
        <x:v>Route</x:v>
      </x:c>
      <x:c r="H4" s="8" t="str">
        <x:v>Service route</x:v>
      </x:c>
      <x:c r="I4" s="8" t="str">
        <x:v>Positions</x:v>
      </x:c>
      <x:c r="J4" s="8" t="str">
        <x:v>Stages</x:v>
      </x:c>
      <x:c r="K4" s="8" t="str">
        <x:v>State</x:v>
      </x:c>
      <x:c r="L4" s="8" t="str">
        <x:v>Admission</x:v>
      </x:c>
    </x:row>
    <x:row r="5">
      <x:c r="C5" s="21" t="str">
        <x:v>ET-R1-A</x:v>
      </x:c>
      <x:c r="D5" s="21" t="str">
        <x:v>C3-ET-A-RB1</x:v>
      </x:c>
      <x:c r="E5" s="21" t="str">
        <x:v>MS-ET</x:v>
      </x:c>
      <x:c r="F5" s="21" t="str">
        <x:v>A</x:v>
      </x:c>
      <x:c r="G5" s="21" t="str">
        <x:v>ET-R1</x:v>
      </x:c>
      <x:c r="H5" s="21" t="str">
        <x:v>Theater opening and command</x:v>
      </x:c>
      <x:c r="I5" s="21" t="n">
        <x:v>4</x:v>
      </x:c>
      <x:c r="J5" s="21" t="n">
        <x:v>7</x:v>
      </x:c>
      <x:c r="K5" s="21" t="str">
        <x:v>DRAFT</x:v>
      </x:c>
      <x:c r="L5" s="21" t="n">
        <x:v>0</x:v>
      </x:c>
    </x:row>
    <x:row r="6">
      <x:c r="C6" s="22" t="str">
        <x:v>ET-R1-B</x:v>
      </x:c>
      <x:c r="D6" s="22" t="str">
        <x:v>C3-ET-B-RB1</x:v>
      </x:c>
      <x:c r="E6" s="22" t="str">
        <x:v>MS-ET</x:v>
      </x:c>
      <x:c r="F6" s="22" t="str">
        <x:v>B</x:v>
      </x:c>
      <x:c r="G6" s="22" t="str">
        <x:v>ET-R1</x:v>
      </x:c>
      <x:c r="H6" s="22" t="str">
        <x:v>Theater opening and command</x:v>
      </x:c>
      <x:c r="I6" s="22" t="n">
        <x:v>4</x:v>
      </x:c>
      <x:c r="J6" s="22" t="n">
        <x:v>7</x:v>
      </x:c>
      <x:c r="K6" s="22" t="str">
        <x:v>DRAFT</x:v>
      </x:c>
      <x:c r="L6" s="22" t="n">
        <x:v>0</x:v>
      </x:c>
    </x:row>
    <x:row r="7">
      <x:c r="C7" s="22" t="str">
        <x:v>ET-R1-C</x:v>
      </x:c>
      <x:c r="D7" s="22" t="str">
        <x:v>C3-ET-C-RB1</x:v>
      </x:c>
      <x:c r="E7" s="22" t="str">
        <x:v>MS-ET</x:v>
      </x:c>
      <x:c r="F7" s="22" t="str">
        <x:v>C</x:v>
      </x:c>
      <x:c r="G7" s="22" t="str">
        <x:v>ET-R1</x:v>
      </x:c>
      <x:c r="H7" s="22" t="str">
        <x:v>Theater opening and command</x:v>
      </x:c>
      <x:c r="I7" s="22" t="n">
        <x:v>4</x:v>
      </x:c>
      <x:c r="J7" s="22" t="n">
        <x:v>7</x:v>
      </x:c>
      <x:c r="K7" s="22" t="str">
        <x:v>DRAFT</x:v>
      </x:c>
      <x:c r="L7" s="22" t="n">
        <x:v>0</x:v>
      </x:c>
    </x:row>
    <x:row r="8">
      <x:c r="C8" s="22" t="str">
        <x:v>ET-R1-D</x:v>
      </x:c>
      <x:c r="D8" s="22" t="str">
        <x:v>C3-ET-D-RB1</x:v>
      </x:c>
      <x:c r="E8" s="22" t="str">
        <x:v>MS-ET</x:v>
      </x:c>
      <x:c r="F8" s="22" t="str">
        <x:v>D</x:v>
      </x:c>
      <x:c r="G8" s="22" t="str">
        <x:v>ET-R1</x:v>
      </x:c>
      <x:c r="H8" s="22" t="str">
        <x:v>Theater opening and command</x:v>
      </x:c>
      <x:c r="I8" s="22" t="n">
        <x:v>4</x:v>
      </x:c>
      <x:c r="J8" s="22" t="n">
        <x:v>7</x:v>
      </x:c>
      <x:c r="K8" s="22" t="str">
        <x:v>DRAFT</x:v>
      </x:c>
      <x:c r="L8" s="22" t="n">
        <x:v>0</x:v>
      </x:c>
    </x:row>
    <x:row r="9">
      <x:c r="C9" s="22" t="str">
        <x:v>ET-R2-A</x:v>
      </x:c>
      <x:c r="D9" s="22" t="str">
        <x:v>C3-ET-A-RB1</x:v>
      </x:c>
      <x:c r="E9" s="22" t="str">
        <x:v>MS-ET</x:v>
      </x:c>
      <x:c r="F9" s="22" t="str">
        <x:v>A</x:v>
      </x:c>
      <x:c r="G9" s="22" t="str">
        <x:v>ET-R2</x:v>
      </x:c>
      <x:c r="H9" s="22" t="str">
        <x:v>Strategic intertheater lift</x:v>
      </x:c>
      <x:c r="I9" s="22" t="n">
        <x:v>4</x:v>
      </x:c>
      <x:c r="J9" s="22" t="n">
        <x:v>7</x:v>
      </x:c>
      <x:c r="K9" s="22" t="str">
        <x:v>DRAFT</x:v>
      </x:c>
      <x:c r="L9" s="22" t="n">
        <x:v>0</x:v>
      </x:c>
    </x:row>
    <x:row r="10">
      <x:c r="C10" s="22" t="str">
        <x:v>ET-R2-B</x:v>
      </x:c>
      <x:c r="D10" s="22" t="str">
        <x:v>C3-ET-B-RB1</x:v>
      </x:c>
      <x:c r="E10" s="22" t="str">
        <x:v>MS-ET</x:v>
      </x:c>
      <x:c r="F10" s="22" t="str">
        <x:v>B</x:v>
      </x:c>
      <x:c r="G10" s="22" t="str">
        <x:v>ET-R2</x:v>
      </x:c>
      <x:c r="H10" s="22" t="str">
        <x:v>Strategic intertheater lift</x:v>
      </x:c>
      <x:c r="I10" s="22" t="n">
        <x:v>4</x:v>
      </x:c>
      <x:c r="J10" s="22" t="n">
        <x:v>7</x:v>
      </x:c>
      <x:c r="K10" s="22" t="str">
        <x:v>DRAFT</x:v>
      </x:c>
      <x:c r="L10" s="22" t="n">
        <x:v>0</x:v>
      </x:c>
    </x:row>
    <x:row r="11">
      <x:c r="C11" s="22" t="str">
        <x:v>ET-R2-C</x:v>
      </x:c>
      <x:c r="D11" s="22" t="str">
        <x:v>C3-ET-C-RB1</x:v>
      </x:c>
      <x:c r="E11" s="22" t="str">
        <x:v>MS-ET</x:v>
      </x:c>
      <x:c r="F11" s="22" t="str">
        <x:v>C</x:v>
      </x:c>
      <x:c r="G11" s="22" t="str">
        <x:v>ET-R2</x:v>
      </x:c>
      <x:c r="H11" s="22" t="str">
        <x:v>Strategic intertheater lift</x:v>
      </x:c>
      <x:c r="I11" s="22" t="n">
        <x:v>4</x:v>
      </x:c>
      <x:c r="J11" s="22" t="n">
        <x:v>7</x:v>
      </x:c>
      <x:c r="K11" s="22" t="str">
        <x:v>DRAFT</x:v>
      </x:c>
      <x:c r="L11" s="22" t="n">
        <x:v>0</x:v>
      </x:c>
    </x:row>
    <x:row r="12">
      <x:c r="C12" s="22" t="str">
        <x:v>ET-R2-D</x:v>
      </x:c>
      <x:c r="D12" s="22" t="str">
        <x:v>C3-ET-D-RB1</x:v>
      </x:c>
      <x:c r="E12" s="22" t="str">
        <x:v>MS-ET</x:v>
      </x:c>
      <x:c r="F12" s="22" t="str">
        <x:v>D</x:v>
      </x:c>
      <x:c r="G12" s="22" t="str">
        <x:v>ET-R2</x:v>
      </x:c>
      <x:c r="H12" s="22" t="str">
        <x:v>Strategic intertheater lift</x:v>
      </x:c>
      <x:c r="I12" s="22" t="n">
        <x:v>4</x:v>
      </x:c>
      <x:c r="J12" s="22" t="n">
        <x:v>7</x:v>
      </x:c>
      <x:c r="K12" s="22" t="str">
        <x:v>DRAFT</x:v>
      </x:c>
      <x:c r="L12" s="22" t="n">
        <x:v>0</x:v>
      </x:c>
    </x:row>
    <x:row r="13">
      <x:c r="C13" s="22" t="str">
        <x:v>ET-R3-A</x:v>
      </x:c>
      <x:c r="D13" s="22" t="str">
        <x:v>C3-ET-A-RB1</x:v>
      </x:c>
      <x:c r="E13" s="22" t="str">
        <x:v>MS-ET</x:v>
      </x:c>
      <x:c r="F13" s="22" t="str">
        <x:v>A</x:v>
      </x:c>
      <x:c r="G13" s="22" t="str">
        <x:v>ET-R3</x:v>
      </x:c>
      <x:c r="H13" s="22" t="str">
        <x:v>Port, littoral and inland-waterway entry</x:v>
      </x:c>
      <x:c r="I13" s="22" t="n">
        <x:v>18</x:v>
      </x:c>
      <x:c r="J13" s="22" t="n">
        <x:v>7</x:v>
      </x:c>
      <x:c r="K13" s="22" t="str">
        <x:v>DRAFT</x:v>
      </x:c>
      <x:c r="L13" s="22" t="n">
        <x:v>0</x:v>
      </x:c>
    </x:row>
    <x:row r="14">
      <x:c r="C14" s="22" t="str">
        <x:v>ET-R3-B</x:v>
      </x:c>
      <x:c r="D14" s="22" t="str">
        <x:v>C3-ET-B-RB1</x:v>
      </x:c>
      <x:c r="E14" s="22" t="str">
        <x:v>MS-ET</x:v>
      </x:c>
      <x:c r="F14" s="22" t="str">
        <x:v>B</x:v>
      </x:c>
      <x:c r="G14" s="22" t="str">
        <x:v>ET-R3</x:v>
      </x:c>
      <x:c r="H14" s="22" t="str">
        <x:v>Port, littoral and inland-waterway entry</x:v>
      </x:c>
      <x:c r="I14" s="22" t="n">
        <x:v>18</x:v>
      </x:c>
      <x:c r="J14" s="22" t="n">
        <x:v>7</x:v>
      </x:c>
      <x:c r="K14" s="22" t="str">
        <x:v>DRAFT</x:v>
      </x:c>
      <x:c r="L14" s="22" t="n">
        <x:v>0</x:v>
      </x:c>
    </x:row>
    <x:row r="15">
      <x:c r="C15" s="22" t="str">
        <x:v>ET-R3-C</x:v>
      </x:c>
      <x:c r="D15" s="22" t="str">
        <x:v>C3-ET-C-RB1</x:v>
      </x:c>
      <x:c r="E15" s="22" t="str">
        <x:v>MS-ET</x:v>
      </x:c>
      <x:c r="F15" s="22" t="str">
        <x:v>C</x:v>
      </x:c>
      <x:c r="G15" s="22" t="str">
        <x:v>ET-R3</x:v>
      </x:c>
      <x:c r="H15" s="22" t="str">
        <x:v>Port, littoral and inland-waterway entry</x:v>
      </x:c>
      <x:c r="I15" s="22" t="n">
        <x:v>18</x:v>
      </x:c>
      <x:c r="J15" s="22" t="n">
        <x:v>7</x:v>
      </x:c>
      <x:c r="K15" s="22" t="str">
        <x:v>DRAFT</x:v>
      </x:c>
      <x:c r="L15" s="22" t="n">
        <x:v>0</x:v>
      </x:c>
    </x:row>
    <x:row r="16">
      <x:c r="C16" s="22" t="str">
        <x:v>ET-R3-D</x:v>
      </x:c>
      <x:c r="D16" s="22" t="str">
        <x:v>C3-ET-D-RB1</x:v>
      </x:c>
      <x:c r="E16" s="22" t="str">
        <x:v>MS-ET</x:v>
      </x:c>
      <x:c r="F16" s="22" t="str">
        <x:v>D</x:v>
      </x:c>
      <x:c r="G16" s="22" t="str">
        <x:v>ET-R3</x:v>
      </x:c>
      <x:c r="H16" s="22" t="str">
        <x:v>Port, littoral and inland-waterway entry</x:v>
      </x:c>
      <x:c r="I16" s="22" t="n">
        <x:v>18</x:v>
      </x:c>
      <x:c r="J16" s="22" t="n">
        <x:v>7</x:v>
      </x:c>
      <x:c r="K16" s="22" t="str">
        <x:v>DRAFT</x:v>
      </x:c>
      <x:c r="L16" s="22" t="n">
        <x:v>0</x:v>
      </x:c>
    </x:row>
    <x:row r="17">
      <x:c r="C17" s="22" t="str">
        <x:v>ET-R4-A</x:v>
      </x:c>
      <x:c r="D17" s="22" t="str">
        <x:v>C3-ET-A-RB1</x:v>
      </x:c>
      <x:c r="E17" s="22" t="str">
        <x:v>MS-ET</x:v>
      </x:c>
      <x:c r="F17" s="22" t="str">
        <x:v>A</x:v>
      </x:c>
      <x:c r="G17" s="22" t="str">
        <x:v>ET-R4</x:v>
      </x:c>
      <x:c r="H17" s="22" t="str">
        <x:v>Austere access, tactical distribution and route opening</x:v>
      </x:c>
      <x:c r="I17" s="22" t="n">
        <x:v>26</x:v>
      </x:c>
      <x:c r="J17" s="22" t="n">
        <x:v>7</x:v>
      </x:c>
      <x:c r="K17" s="22" t="str">
        <x:v>DRAFT</x:v>
      </x:c>
      <x:c r="L17" s="22" t="n">
        <x:v>0</x:v>
      </x:c>
    </x:row>
    <x:row r="18">
      <x:c r="C18" s="22" t="str">
        <x:v>ET-R4-B</x:v>
      </x:c>
      <x:c r="D18" s="22" t="str">
        <x:v>C3-ET-B-RB1</x:v>
      </x:c>
      <x:c r="E18" s="22" t="str">
        <x:v>MS-ET</x:v>
      </x:c>
      <x:c r="F18" s="22" t="str">
        <x:v>B</x:v>
      </x:c>
      <x:c r="G18" s="22" t="str">
        <x:v>ET-R4</x:v>
      </x:c>
      <x:c r="H18" s="22" t="str">
        <x:v>Austere access, tactical distribution and route opening</x:v>
      </x:c>
      <x:c r="I18" s="22" t="n">
        <x:v>26</x:v>
      </x:c>
      <x:c r="J18" s="22" t="n">
        <x:v>7</x:v>
      </x:c>
      <x:c r="K18" s="22" t="str">
        <x:v>DRAFT</x:v>
      </x:c>
      <x:c r="L18" s="22" t="n">
        <x:v>0</x:v>
      </x:c>
    </x:row>
    <x:row r="19">
      <x:c r="C19" s="22" t="str">
        <x:v>ET-R4-C</x:v>
      </x:c>
      <x:c r="D19" s="22" t="str">
        <x:v>C3-ET-C-RB1</x:v>
      </x:c>
      <x:c r="E19" s="22" t="str">
        <x:v>MS-ET</x:v>
      </x:c>
      <x:c r="F19" s="22" t="str">
        <x:v>C</x:v>
      </x:c>
      <x:c r="G19" s="22" t="str">
        <x:v>ET-R4</x:v>
      </x:c>
      <x:c r="H19" s="22" t="str">
        <x:v>Austere access, tactical distribution and route opening</x:v>
      </x:c>
      <x:c r="I19" s="22" t="n">
        <x:v>26</x:v>
      </x:c>
      <x:c r="J19" s="22" t="n">
        <x:v>7</x:v>
      </x:c>
      <x:c r="K19" s="22" t="str">
        <x:v>DRAFT</x:v>
      </x:c>
      <x:c r="L19" s="22" t="n">
        <x:v>0</x:v>
      </x:c>
    </x:row>
    <x:row r="20">
      <x:c r="C20" s="22" t="str">
        <x:v>ET-R4-D</x:v>
      </x:c>
      <x:c r="D20" s="22" t="str">
        <x:v>C3-ET-D-RB1</x:v>
      </x:c>
      <x:c r="E20" s="22" t="str">
        <x:v>MS-ET</x:v>
      </x:c>
      <x:c r="F20" s="22" t="str">
        <x:v>D</x:v>
      </x:c>
      <x:c r="G20" s="22" t="str">
        <x:v>ET-R4</x:v>
      </x:c>
      <x:c r="H20" s="22" t="str">
        <x:v>Austere access, tactical distribution and route opening</x:v>
      </x:c>
      <x:c r="I20" s="22" t="n">
        <x:v>26</x:v>
      </x:c>
      <x:c r="J20" s="22" t="n">
        <x:v>7</x:v>
      </x:c>
      <x:c r="K20" s="22" t="str">
        <x:v>DRAFT</x:v>
      </x:c>
      <x:c r="L20" s="22" t="n">
        <x:v>0</x:v>
      </x:c>
    </x:row>
    <x:row r="21">
      <x:c r="C21" s="22" t="str">
        <x:v>ET-R5-A</x:v>
      </x:c>
      <x:c r="D21" s="22" t="str">
        <x:v>C3-ET-A-RB1</x:v>
      </x:c>
      <x:c r="E21" s="22" t="str">
        <x:v>MS-ET</x:v>
      </x:c>
      <x:c r="F21" s="22" t="str">
        <x:v>A</x:v>
      </x:c>
      <x:c r="G21" s="22" t="str">
        <x:v>ET-R5</x:v>
      </x:c>
      <x:c r="H21" s="22" t="str">
        <x:v>Temporary works, crossings and node preparation</x:v>
      </x:c>
      <x:c r="I21" s="22" t="n">
        <x:v>10</x:v>
      </x:c>
      <x:c r="J21" s="22" t="n">
        <x:v>7</x:v>
      </x:c>
      <x:c r="K21" s="22" t="str">
        <x:v>DRAFT</x:v>
      </x:c>
      <x:c r="L21" s="22" t="n">
        <x:v>0</x:v>
      </x:c>
    </x:row>
    <x:row r="22">
      <x:c r="C22" s="22" t="str">
        <x:v>ET-R5-B</x:v>
      </x:c>
      <x:c r="D22" s="22" t="str">
        <x:v>C3-ET-B-RB1</x:v>
      </x:c>
      <x:c r="E22" s="22" t="str">
        <x:v>MS-ET</x:v>
      </x:c>
      <x:c r="F22" s="22" t="str">
        <x:v>B</x:v>
      </x:c>
      <x:c r="G22" s="22" t="str">
        <x:v>ET-R5</x:v>
      </x:c>
      <x:c r="H22" s="22" t="str">
        <x:v>Temporary works, crossings and node preparation</x:v>
      </x:c>
      <x:c r="I22" s="22" t="n">
        <x:v>10</x:v>
      </x:c>
      <x:c r="J22" s="22" t="n">
        <x:v>7</x:v>
      </x:c>
      <x:c r="K22" s="22" t="str">
        <x:v>DRAFT</x:v>
      </x:c>
      <x:c r="L22" s="22" t="n">
        <x:v>0</x:v>
      </x:c>
    </x:row>
    <x:row r="23">
      <x:c r="C23" s="22" t="str">
        <x:v>ET-R5-C</x:v>
      </x:c>
      <x:c r="D23" s="22" t="str">
        <x:v>C3-ET-C-RB1</x:v>
      </x:c>
      <x:c r="E23" s="22" t="str">
        <x:v>MS-ET</x:v>
      </x:c>
      <x:c r="F23" s="22" t="str">
        <x:v>C</x:v>
      </x:c>
      <x:c r="G23" s="22" t="str">
        <x:v>ET-R5</x:v>
      </x:c>
      <x:c r="H23" s="22" t="str">
        <x:v>Temporary works, crossings and node preparation</x:v>
      </x:c>
      <x:c r="I23" s="22" t="n">
        <x:v>10</x:v>
      </x:c>
      <x:c r="J23" s="22" t="n">
        <x:v>7</x:v>
      </x:c>
      <x:c r="K23" s="22" t="str">
        <x:v>DRAFT</x:v>
      </x:c>
      <x:c r="L23" s="22" t="n">
        <x:v>0</x:v>
      </x:c>
    </x:row>
    <x:row r="24">
      <x:c r="C24" s="22" t="str">
        <x:v>ET-R5-D</x:v>
      </x:c>
      <x:c r="D24" s="22" t="str">
        <x:v>C3-ET-D-RB1</x:v>
      </x:c>
      <x:c r="E24" s="22" t="str">
        <x:v>MS-ET</x:v>
      </x:c>
      <x:c r="F24" s="22" t="str">
        <x:v>D</x:v>
      </x:c>
      <x:c r="G24" s="22" t="str">
        <x:v>ET-R5</x:v>
      </x:c>
      <x:c r="H24" s="22" t="str">
        <x:v>Temporary works, crossings and node preparation</x:v>
      </x:c>
      <x:c r="I24" s="22" t="n">
        <x:v>10</x:v>
      </x:c>
      <x:c r="J24" s="22" t="n">
        <x:v>7</x:v>
      </x:c>
      <x:c r="K24" s="22" t="str">
        <x:v>DRAFT</x:v>
      </x:c>
      <x:c r="L24" s="22" t="n">
        <x:v>0</x:v>
      </x:c>
    </x:row>
    <x:row r="25">
      <x:c r="C25" s="22" t="str">
        <x:v>CT-R1-A</x:v>
      </x:c>
      <x:c r="D25" s="22" t="str">
        <x:v>C3-CT-A-RB1</x:v>
      </x:c>
      <x:c r="E25" s="22" t="str">
        <x:v>MS-CT</x:v>
      </x:c>
      <x:c r="F25" s="22" t="str">
        <x:v>A</x:v>
      </x:c>
      <x:c r="G25" s="22" t="str">
        <x:v>CT-R1</x:v>
      </x:c>
      <x:c r="H25" s="22" t="str">
        <x:v>Civil authority and effects coordination</x:v>
      </x:c>
      <x:c r="I25" s="22" t="n">
        <x:v>5</x:v>
      </x:c>
      <x:c r="J25" s="22" t="n">
        <x:v>7</x:v>
      </x:c>
      <x:c r="K25" s="22" t="str">
        <x:v>DRAFT</x:v>
      </x:c>
      <x:c r="L25" s="22" t="n">
        <x:v>0</x:v>
      </x:c>
    </x:row>
    <x:row r="26">
      <x:c r="C26" s="22" t="str">
        <x:v>CT-R1-B</x:v>
      </x:c>
      <x:c r="D26" s="22" t="str">
        <x:v>C3-CT-B-RB1</x:v>
      </x:c>
      <x:c r="E26" s="22" t="str">
        <x:v>MS-CT</x:v>
      </x:c>
      <x:c r="F26" s="22" t="str">
        <x:v>B</x:v>
      </x:c>
      <x:c r="G26" s="22" t="str">
        <x:v>CT-R1</x:v>
      </x:c>
      <x:c r="H26" s="22" t="str">
        <x:v>Civil authority and effects coordination</x:v>
      </x:c>
      <x:c r="I26" s="22" t="n">
        <x:v>5</x:v>
      </x:c>
      <x:c r="J26" s="22" t="n">
        <x:v>7</x:v>
      </x:c>
      <x:c r="K26" s="22" t="str">
        <x:v>DRAFT</x:v>
      </x:c>
      <x:c r="L26" s="22" t="n">
        <x:v>0</x:v>
      </x:c>
    </x:row>
    <x:row r="27">
      <x:c r="C27" s="22" t="str">
        <x:v>CT-R1-C</x:v>
      </x:c>
      <x:c r="D27" s="22" t="str">
        <x:v>C3-CT-C-RB1</x:v>
      </x:c>
      <x:c r="E27" s="22" t="str">
        <x:v>MS-CT</x:v>
      </x:c>
      <x:c r="F27" s="22" t="str">
        <x:v>C</x:v>
      </x:c>
      <x:c r="G27" s="22" t="str">
        <x:v>CT-R1</x:v>
      </x:c>
      <x:c r="H27" s="22" t="str">
        <x:v>Civil authority and effects coordination</x:v>
      </x:c>
      <x:c r="I27" s="22" t="n">
        <x:v>5</x:v>
      </x:c>
      <x:c r="J27" s="22" t="n">
        <x:v>7</x:v>
      </x:c>
      <x:c r="K27" s="22" t="str">
        <x:v>DRAFT</x:v>
      </x:c>
      <x:c r="L27" s="22" t="n">
        <x:v>0</x:v>
      </x:c>
    </x:row>
    <x:row r="28">
      <x:c r="C28" s="22" t="str">
        <x:v>CT-R1-D</x:v>
      </x:c>
      <x:c r="D28" s="22" t="str">
        <x:v>C3-CT-D-RB1</x:v>
      </x:c>
      <x:c r="E28" s="22" t="str">
        <x:v>MS-CT</x:v>
      </x:c>
      <x:c r="F28" s="22" t="str">
        <x:v>D</x:v>
      </x:c>
      <x:c r="G28" s="22" t="str">
        <x:v>CT-R1</x:v>
      </x:c>
      <x:c r="H28" s="22" t="str">
        <x:v>Civil authority and effects coordination</x:v>
      </x:c>
      <x:c r="I28" s="22" t="n">
        <x:v>5</x:v>
      </x:c>
      <x:c r="J28" s="22" t="n">
        <x:v>7</x:v>
      </x:c>
      <x:c r="K28" s="22" t="str">
        <x:v>DRAFT</x:v>
      </x:c>
      <x:c r="L28" s="22" t="n">
        <x:v>0</x:v>
      </x:c>
    </x:row>
    <x:row r="29">
      <x:c r="C29" s="22" t="str">
        <x:v>CT-R2-A</x:v>
      </x:c>
      <x:c r="D29" s="22" t="str">
        <x:v>C3-CT-A-RB1</x:v>
      </x:c>
      <x:c r="E29" s="22" t="str">
        <x:v>MS-CT</x:v>
      </x:c>
      <x:c r="F29" s="22" t="str">
        <x:v>A</x:v>
      </x:c>
      <x:c r="G29" s="22" t="str">
        <x:v>CT-R2</x:v>
      </x:c>
      <x:c r="H29" s="22" t="str">
        <x:v>Incident observation and causal picture</x:v>
      </x:c>
      <x:c r="I29" s="22" t="n">
        <x:v>13</x:v>
      </x:c>
      <x:c r="J29" s="22" t="n">
        <x:v>7</x:v>
      </x:c>
      <x:c r="K29" s="22" t="str">
        <x:v>DRAFT</x:v>
      </x:c>
      <x:c r="L29" s="22" t="n">
        <x:v>0</x:v>
      </x:c>
    </x:row>
    <x:row r="30">
      <x:c r="C30" s="22" t="str">
        <x:v>CT-R2-B</x:v>
      </x:c>
      <x:c r="D30" s="22" t="str">
        <x:v>C3-CT-B-RB1</x:v>
      </x:c>
      <x:c r="E30" s="22" t="str">
        <x:v>MS-CT</x:v>
      </x:c>
      <x:c r="F30" s="22" t="str">
        <x:v>B</x:v>
      </x:c>
      <x:c r="G30" s="22" t="str">
        <x:v>CT-R2</x:v>
      </x:c>
      <x:c r="H30" s="22" t="str">
        <x:v>Incident observation and causal picture</x:v>
      </x:c>
      <x:c r="I30" s="22" t="n">
        <x:v>13</x:v>
      </x:c>
      <x:c r="J30" s="22" t="n">
        <x:v>7</x:v>
      </x:c>
      <x:c r="K30" s="22" t="str">
        <x:v>DRAFT</x:v>
      </x:c>
      <x:c r="L30" s="22" t="n">
        <x:v>0</x:v>
      </x:c>
    </x:row>
    <x:row r="31">
      <x:c r="C31" s="22" t="str">
        <x:v>CT-R2-C</x:v>
      </x:c>
      <x:c r="D31" s="22" t="str">
        <x:v>C3-CT-C-RB1</x:v>
      </x:c>
      <x:c r="E31" s="22" t="str">
        <x:v>MS-CT</x:v>
      </x:c>
      <x:c r="F31" s="22" t="str">
        <x:v>C</x:v>
      </x:c>
      <x:c r="G31" s="22" t="str">
        <x:v>CT-R2</x:v>
      </x:c>
      <x:c r="H31" s="22" t="str">
        <x:v>Incident observation and causal picture</x:v>
      </x:c>
      <x:c r="I31" s="22" t="n">
        <x:v>13</x:v>
      </x:c>
      <x:c r="J31" s="22" t="n">
        <x:v>7</x:v>
      </x:c>
      <x:c r="K31" s="22" t="str">
        <x:v>DRAFT</x:v>
      </x:c>
      <x:c r="L31" s="22" t="n">
        <x:v>0</x:v>
      </x:c>
    </x:row>
    <x:row r="32">
      <x:c r="C32" s="22" t="str">
        <x:v>CT-R2-D</x:v>
      </x:c>
      <x:c r="D32" s="22" t="str">
        <x:v>C3-CT-D-RB1</x:v>
      </x:c>
      <x:c r="E32" s="22" t="str">
        <x:v>MS-CT</x:v>
      </x:c>
      <x:c r="F32" s="22" t="str">
        <x:v>D</x:v>
      </x:c>
      <x:c r="G32" s="22" t="str">
        <x:v>CT-R2</x:v>
      </x:c>
      <x:c r="H32" s="22" t="str">
        <x:v>Incident observation and causal picture</x:v>
      </x:c>
      <x:c r="I32" s="22" t="n">
        <x:v>13</x:v>
      </x:c>
      <x:c r="J32" s="22" t="n">
        <x:v>7</x:v>
      </x:c>
      <x:c r="K32" s="22" t="str">
        <x:v>DRAFT</x:v>
      </x:c>
      <x:c r="L32" s="22" t="n">
        <x:v>0</x:v>
      </x:c>
    </x:row>
    <x:row r="33">
      <x:c r="C33" s="22" t="str">
        <x:v>CT-R3-A</x:v>
      </x:c>
      <x:c r="D33" s="22" t="str">
        <x:v>C3-CT-A-RB1</x:v>
      </x:c>
      <x:c r="E33" s="22" t="str">
        <x:v>MS-CT</x:v>
      </x:c>
      <x:c r="F33" s="22" t="str">
        <x:v>A</x:v>
      </x:c>
      <x:c r="G33" s="22" t="str">
        <x:v>CT-R3</x:v>
      </x:c>
      <x:c r="H33" s="22" t="str">
        <x:v>Disconnected public communications</x:v>
      </x:c>
      <x:c r="I33" s="22" t="n">
        <x:v>8</x:v>
      </x:c>
      <x:c r="J33" s="22" t="n">
        <x:v>7</x:v>
      </x:c>
      <x:c r="K33" s="22" t="str">
        <x:v>DRAFT</x:v>
      </x:c>
      <x:c r="L33" s="22" t="n">
        <x:v>0</x:v>
      </x:c>
    </x:row>
    <x:row r="34">
      <x:c r="C34" s="22" t="str">
        <x:v>CT-R3-B</x:v>
      </x:c>
      <x:c r="D34" s="22" t="str">
        <x:v>C3-CT-B-RB1</x:v>
      </x:c>
      <x:c r="E34" s="22" t="str">
        <x:v>MS-CT</x:v>
      </x:c>
      <x:c r="F34" s="22" t="str">
        <x:v>B</x:v>
      </x:c>
      <x:c r="G34" s="22" t="str">
        <x:v>CT-R3</x:v>
      </x:c>
      <x:c r="H34" s="22" t="str">
        <x:v>Disconnected public communications</x:v>
      </x:c>
      <x:c r="I34" s="22" t="n">
        <x:v>8</x:v>
      </x:c>
      <x:c r="J34" s="22" t="n">
        <x:v>7</x:v>
      </x:c>
      <x:c r="K34" s="22" t="str">
        <x:v>DRAFT</x:v>
      </x:c>
      <x:c r="L34" s="22" t="n">
        <x:v>0</x:v>
      </x:c>
    </x:row>
    <x:row r="35">
      <x:c r="C35" s="22" t="str">
        <x:v>CT-R3-C</x:v>
      </x:c>
      <x:c r="D35" s="22" t="str">
        <x:v>C3-CT-C-RB1</x:v>
      </x:c>
      <x:c r="E35" s="22" t="str">
        <x:v>MS-CT</x:v>
      </x:c>
      <x:c r="F35" s="22" t="str">
        <x:v>C</x:v>
      </x:c>
      <x:c r="G35" s="22" t="str">
        <x:v>CT-R3</x:v>
      </x:c>
      <x:c r="H35" s="22" t="str">
        <x:v>Disconnected public communications</x:v>
      </x:c>
      <x:c r="I35" s="22" t="n">
        <x:v>8</x:v>
      </x:c>
      <x:c r="J35" s="22" t="n">
        <x:v>7</x:v>
      </x:c>
      <x:c r="K35" s="22" t="str">
        <x:v>DRAFT</x:v>
      </x:c>
      <x:c r="L35" s="22" t="n">
        <x:v>0</x:v>
      </x:c>
    </x:row>
    <x:row r="36">
      <x:c r="C36" s="22" t="str">
        <x:v>CT-R3-D</x:v>
      </x:c>
      <x:c r="D36" s="22" t="str">
        <x:v>C3-CT-D-RB1</x:v>
      </x:c>
      <x:c r="E36" s="22" t="str">
        <x:v>MS-CT</x:v>
      </x:c>
      <x:c r="F36" s="22" t="str">
        <x:v>D</x:v>
      </x:c>
      <x:c r="G36" s="22" t="str">
        <x:v>CT-R3</x:v>
      </x:c>
      <x:c r="H36" s="22" t="str">
        <x:v>Disconnected public communications</x:v>
      </x:c>
      <x:c r="I36" s="22" t="n">
        <x:v>8</x:v>
      </x:c>
      <x:c r="J36" s="22" t="n">
        <x:v>7</x:v>
      </x:c>
      <x:c r="K36" s="22" t="str">
        <x:v>DRAFT</x:v>
      </x:c>
      <x:c r="L36" s="22" t="n">
        <x:v>0</x:v>
      </x:c>
    </x:row>
    <x:row r="37">
      <x:c r="C37" s="22" t="str">
        <x:v>CT-R4-A</x:v>
      </x:c>
      <x:c r="D37" s="22" t="str">
        <x:v>C3-CT-A-RB1</x:v>
      </x:c>
      <x:c r="E37" s="22" t="str">
        <x:v>MS-CT</x:v>
      </x:c>
      <x:c r="F37" s="22" t="str">
        <x:v>A</x:v>
      </x:c>
      <x:c r="G37" s="22" t="str">
        <x:v>CT-R4</x:v>
      </x:c>
      <x:c r="H37" s="22" t="str">
        <x:v>Accessible public-service transaction</x:v>
      </x:c>
      <x:c r="I37" s="22" t="n">
        <x:v>12</x:v>
      </x:c>
      <x:c r="J37" s="22" t="n">
        <x:v>7</x:v>
      </x:c>
      <x:c r="K37" s="22" t="str">
        <x:v>DRAFT</x:v>
      </x:c>
      <x:c r="L37" s="22" t="n">
        <x:v>0</x:v>
      </x:c>
    </x:row>
    <x:row r="38">
      <x:c r="C38" s="22" t="str">
        <x:v>CT-R4-B</x:v>
      </x:c>
      <x:c r="D38" s="22" t="str">
        <x:v>C3-CT-B-RB1</x:v>
      </x:c>
      <x:c r="E38" s="22" t="str">
        <x:v>MS-CT</x:v>
      </x:c>
      <x:c r="F38" s="22" t="str">
        <x:v>B</x:v>
      </x:c>
      <x:c r="G38" s="22" t="str">
        <x:v>CT-R4</x:v>
      </x:c>
      <x:c r="H38" s="22" t="str">
        <x:v>Accessible public-service transaction</x:v>
      </x:c>
      <x:c r="I38" s="22" t="n">
        <x:v>12</x:v>
      </x:c>
      <x:c r="J38" s="22" t="n">
        <x:v>7</x:v>
      </x:c>
      <x:c r="K38" s="22" t="str">
        <x:v>DRAFT</x:v>
      </x:c>
      <x:c r="L38" s="22" t="n">
        <x:v>0</x:v>
      </x:c>
    </x:row>
    <x:row r="39">
      <x:c r="C39" s="22" t="str">
        <x:v>CT-R4-C</x:v>
      </x:c>
      <x:c r="D39" s="22" t="str">
        <x:v>C3-CT-C-RB1</x:v>
      </x:c>
      <x:c r="E39" s="22" t="str">
        <x:v>MS-CT</x:v>
      </x:c>
      <x:c r="F39" s="22" t="str">
        <x:v>C</x:v>
      </x:c>
      <x:c r="G39" s="22" t="str">
        <x:v>CT-R4</x:v>
      </x:c>
      <x:c r="H39" s="22" t="str">
        <x:v>Accessible public-service transaction</x:v>
      </x:c>
      <x:c r="I39" s="22" t="n">
        <x:v>12</x:v>
      </x:c>
      <x:c r="J39" s="22" t="n">
        <x:v>7</x:v>
      </x:c>
      <x:c r="K39" s="22" t="str">
        <x:v>DRAFT</x:v>
      </x:c>
      <x:c r="L39" s="22" t="n">
        <x:v>0</x:v>
      </x:c>
    </x:row>
    <x:row r="40">
      <x:c r="C40" s="22" t="str">
        <x:v>CT-R4-D</x:v>
      </x:c>
      <x:c r="D40" s="22" t="str">
        <x:v>C3-CT-D-RB1</x:v>
      </x:c>
      <x:c r="E40" s="22" t="str">
        <x:v>MS-CT</x:v>
      </x:c>
      <x:c r="F40" s="22" t="str">
        <x:v>D</x:v>
      </x:c>
      <x:c r="G40" s="22" t="str">
        <x:v>CT-R4</x:v>
      </x:c>
      <x:c r="H40" s="22" t="str">
        <x:v>Accessible public-service transaction</x:v>
      </x:c>
      <x:c r="I40" s="22" t="n">
        <x:v>12</x:v>
      </x:c>
      <x:c r="J40" s="22" t="n">
        <x:v>7</x:v>
      </x:c>
      <x:c r="K40" s="22" t="str">
        <x:v>DRAFT</x:v>
      </x:c>
      <x:c r="L40" s="22" t="n">
        <x:v>0</x:v>
      </x:c>
    </x:row>
    <x:row r="41">
      <x:c r="C41" s="22" t="str">
        <x:v>CT-R5-A</x:v>
      </x:c>
      <x:c r="D41" s="22" t="str">
        <x:v>C3-CT-A-RB1</x:v>
      </x:c>
      <x:c r="E41" s="22" t="str">
        <x:v>MS-CT</x:v>
      </x:c>
      <x:c r="F41" s="22" t="str">
        <x:v>A</x:v>
      </x:c>
      <x:c r="G41" s="22" t="str">
        <x:v>CT-R5</x:v>
      </x:c>
      <x:c r="H41" s="22" t="str">
        <x:v>Household and building-origin reach</x:v>
      </x:c>
      <x:c r="I41" s="22" t="n">
        <x:v>10</x:v>
      </x:c>
      <x:c r="J41" s="22" t="n">
        <x:v>7</x:v>
      </x:c>
      <x:c r="K41" s="22" t="str">
        <x:v>DRAFT</x:v>
      </x:c>
      <x:c r="L41" s="22" t="n">
        <x:v>0</x:v>
      </x:c>
    </x:row>
    <x:row r="42">
      <x:c r="C42" s="22" t="str">
        <x:v>CT-R5-B</x:v>
      </x:c>
      <x:c r="D42" s="22" t="str">
        <x:v>C3-CT-B-RB1</x:v>
      </x:c>
      <x:c r="E42" s="22" t="str">
        <x:v>MS-CT</x:v>
      </x:c>
      <x:c r="F42" s="22" t="str">
        <x:v>B</x:v>
      </x:c>
      <x:c r="G42" s="22" t="str">
        <x:v>CT-R5</x:v>
      </x:c>
      <x:c r="H42" s="22" t="str">
        <x:v>Household and building-origin reach</x:v>
      </x:c>
      <x:c r="I42" s="22" t="n">
        <x:v>10</x:v>
      </x:c>
      <x:c r="J42" s="22" t="n">
        <x:v>7</x:v>
      </x:c>
      <x:c r="K42" s="22" t="str">
        <x:v>DRAFT</x:v>
      </x:c>
      <x:c r="L42" s="22" t="n">
        <x:v>0</x:v>
      </x:c>
    </x:row>
    <x:row r="43">
      <x:c r="C43" s="22" t="str">
        <x:v>CT-R5-C</x:v>
      </x:c>
      <x:c r="D43" s="22" t="str">
        <x:v>C3-CT-C-RB1</x:v>
      </x:c>
      <x:c r="E43" s="22" t="str">
        <x:v>MS-CT</x:v>
      </x:c>
      <x:c r="F43" s="22" t="str">
        <x:v>C</x:v>
      </x:c>
      <x:c r="G43" s="22" t="str">
        <x:v>CT-R5</x:v>
      </x:c>
      <x:c r="H43" s="22" t="str">
        <x:v>Household and building-origin reach</x:v>
      </x:c>
      <x:c r="I43" s="22" t="n">
        <x:v>10</x:v>
      </x:c>
      <x:c r="J43" s="22" t="n">
        <x:v>7</x:v>
      </x:c>
      <x:c r="K43" s="22" t="str">
        <x:v>DRAFT</x:v>
      </x:c>
      <x:c r="L43" s="22" t="n">
        <x:v>0</x:v>
      </x:c>
    </x:row>
    <x:row r="44">
      <x:c r="C44" s="22" t="str">
        <x:v>CT-R5-D</x:v>
      </x:c>
      <x:c r="D44" s="22" t="str">
        <x:v>C3-CT-D-RB1</x:v>
      </x:c>
      <x:c r="E44" s="22" t="str">
        <x:v>MS-CT</x:v>
      </x:c>
      <x:c r="F44" s="22" t="str">
        <x:v>D</x:v>
      </x:c>
      <x:c r="G44" s="22" t="str">
        <x:v>CT-R5</x:v>
      </x:c>
      <x:c r="H44" s="22" t="str">
        <x:v>Household and building-origin reach</x:v>
      </x:c>
      <x:c r="I44" s="22" t="n">
        <x:v>10</x:v>
      </x:c>
      <x:c r="J44" s="22" t="n">
        <x:v>7</x:v>
      </x:c>
      <x:c r="K44" s="22" t="str">
        <x:v>DRAFT</x:v>
      </x:c>
      <x:c r="L44" s="22" t="n">
        <x:v>0</x:v>
      </x:c>
    </x:row>
    <x:row r="45">
      <x:c r="C45" s="22" t="str">
        <x:v>HC-R1-A</x:v>
      </x:c>
      <x:c r="D45" s="22" t="str">
        <x:v>C3-HC-A-RB1</x:v>
      </x:c>
      <x:c r="E45" s="22" t="str">
        <x:v>MS-HC</x:v>
      </x:c>
      <x:c r="F45" s="22" t="str">
        <x:v>A</x:v>
      </x:c>
      <x:c r="G45" s="22" t="str">
        <x:v>HC-R1</x:v>
      </x:c>
      <x:c r="H45" s="22" t="str">
        <x:v>Fire and atmospheric control</x:v>
      </x:c>
      <x:c r="I45" s="22" t="n">
        <x:v>6</x:v>
      </x:c>
      <x:c r="J45" s="22" t="n">
        <x:v>7</x:v>
      </x:c>
      <x:c r="K45" s="22" t="str">
        <x:v>DRAFT</x:v>
      </x:c>
      <x:c r="L45" s="22" t="n">
        <x:v>0</x:v>
      </x:c>
    </x:row>
    <x:row r="46">
      <x:c r="C46" s="22" t="str">
        <x:v>HC-R1-B</x:v>
      </x:c>
      <x:c r="D46" s="22" t="str">
        <x:v>C3-HC-B-RB1</x:v>
      </x:c>
      <x:c r="E46" s="22" t="str">
        <x:v>MS-HC</x:v>
      </x:c>
      <x:c r="F46" s="22" t="str">
        <x:v>B</x:v>
      </x:c>
      <x:c r="G46" s="22" t="str">
        <x:v>HC-R1</x:v>
      </x:c>
      <x:c r="H46" s="22" t="str">
        <x:v>Fire and atmospheric control</x:v>
      </x:c>
      <x:c r="I46" s="22" t="n">
        <x:v>6</x:v>
      </x:c>
      <x:c r="J46" s="22" t="n">
        <x:v>7</x:v>
      </x:c>
      <x:c r="K46" s="22" t="str">
        <x:v>DRAFT</x:v>
      </x:c>
      <x:c r="L46" s="22" t="n">
        <x:v>0</x:v>
      </x:c>
    </x:row>
    <x:row r="47">
      <x:c r="C47" s="22" t="str">
        <x:v>HC-R1-C</x:v>
      </x:c>
      <x:c r="D47" s="22" t="str">
        <x:v>C3-HC-C-RB1</x:v>
      </x:c>
      <x:c r="E47" s="22" t="str">
        <x:v>MS-HC</x:v>
      </x:c>
      <x:c r="F47" s="22" t="str">
        <x:v>C</x:v>
      </x:c>
      <x:c r="G47" s="22" t="str">
        <x:v>HC-R1</x:v>
      </x:c>
      <x:c r="H47" s="22" t="str">
        <x:v>Fire and atmospheric control</x:v>
      </x:c>
      <x:c r="I47" s="22" t="n">
        <x:v>6</x:v>
      </x:c>
      <x:c r="J47" s="22" t="n">
        <x:v>7</x:v>
      </x:c>
      <x:c r="K47" s="22" t="str">
        <x:v>DRAFT</x:v>
      </x:c>
      <x:c r="L47" s="22" t="n">
        <x:v>0</x:v>
      </x:c>
    </x:row>
    <x:row r="48">
      <x:c r="C48" s="22" t="str">
        <x:v>HC-R1-D</x:v>
      </x:c>
      <x:c r="D48" s="22" t="str">
        <x:v>C3-HC-D-RB1</x:v>
      </x:c>
      <x:c r="E48" s="22" t="str">
        <x:v>MS-HC</x:v>
      </x:c>
      <x:c r="F48" s="22" t="str">
        <x:v>D</x:v>
      </x:c>
      <x:c r="G48" s="22" t="str">
        <x:v>HC-R1</x:v>
      </x:c>
      <x:c r="H48" s="22" t="str">
        <x:v>Fire and atmospheric control</x:v>
      </x:c>
      <x:c r="I48" s="22" t="n">
        <x:v>6</x:v>
      </x:c>
      <x:c r="J48" s="22" t="n">
        <x:v>7</x:v>
      </x:c>
      <x:c r="K48" s="22" t="str">
        <x:v>DRAFT</x:v>
      </x:c>
      <x:c r="L48" s="22" t="n">
        <x:v>0</x:v>
      </x:c>
    </x:row>
    <x:row r="49">
      <x:c r="C49" s="22" t="str">
        <x:v>HC-R2-A</x:v>
      </x:c>
      <x:c r="D49" s="22" t="str">
        <x:v>C3-HC-A-RB1</x:v>
      </x:c>
      <x:c r="E49" s="22" t="str">
        <x:v>MS-HC</x:v>
      </x:c>
      <x:c r="F49" s="22" t="str">
        <x:v>A</x:v>
      </x:c>
      <x:c r="G49" s="22" t="str">
        <x:v>HC-R2</x:v>
      </x:c>
      <x:c r="H49" s="22" t="str">
        <x:v>Flood and hydraulic control</x:v>
      </x:c>
      <x:c r="I49" s="22" t="n">
        <x:v>6</x:v>
      </x:c>
      <x:c r="J49" s="22" t="n">
        <x:v>7</x:v>
      </x:c>
      <x:c r="K49" s="22" t="str">
        <x:v>DRAFT</x:v>
      </x:c>
      <x:c r="L49" s="22" t="n">
        <x:v>0</x:v>
      </x:c>
    </x:row>
    <x:row r="50">
      <x:c r="C50" s="22" t="str">
        <x:v>HC-R2-B</x:v>
      </x:c>
      <x:c r="D50" s="22" t="str">
        <x:v>C3-HC-B-RB1</x:v>
      </x:c>
      <x:c r="E50" s="22" t="str">
        <x:v>MS-HC</x:v>
      </x:c>
      <x:c r="F50" s="22" t="str">
        <x:v>B</x:v>
      </x:c>
      <x:c r="G50" s="22" t="str">
        <x:v>HC-R2</x:v>
      </x:c>
      <x:c r="H50" s="22" t="str">
        <x:v>Flood and hydraulic control</x:v>
      </x:c>
      <x:c r="I50" s="22" t="n">
        <x:v>6</x:v>
      </x:c>
      <x:c r="J50" s="22" t="n">
        <x:v>7</x:v>
      </x:c>
      <x:c r="K50" s="22" t="str">
        <x:v>DRAFT</x:v>
      </x:c>
      <x:c r="L50" s="22" t="n">
        <x:v>0</x:v>
      </x:c>
    </x:row>
    <x:row r="51">
      <x:c r="C51" s="22" t="str">
        <x:v>HC-R2-C</x:v>
      </x:c>
      <x:c r="D51" s="22" t="str">
        <x:v>C3-HC-C-RB1</x:v>
      </x:c>
      <x:c r="E51" s="22" t="str">
        <x:v>MS-HC</x:v>
      </x:c>
      <x:c r="F51" s="22" t="str">
        <x:v>C</x:v>
      </x:c>
      <x:c r="G51" s="22" t="str">
        <x:v>HC-R2</x:v>
      </x:c>
      <x:c r="H51" s="22" t="str">
        <x:v>Flood and hydraulic control</x:v>
      </x:c>
      <x:c r="I51" s="22" t="n">
        <x:v>6</x:v>
      </x:c>
      <x:c r="J51" s="22" t="n">
        <x:v>7</x:v>
      </x:c>
      <x:c r="K51" s="22" t="str">
        <x:v>DRAFT</x:v>
      </x:c>
      <x:c r="L51" s="22" t="n">
        <x:v>0</x:v>
      </x:c>
    </x:row>
    <x:row r="52">
      <x:c r="C52" s="22" t="str">
        <x:v>HC-R2-D</x:v>
      </x:c>
      <x:c r="D52" s="22" t="str">
        <x:v>C3-HC-D-RB1</x:v>
      </x:c>
      <x:c r="E52" s="22" t="str">
        <x:v>MS-HC</x:v>
      </x:c>
      <x:c r="F52" s="22" t="str">
        <x:v>D</x:v>
      </x:c>
      <x:c r="G52" s="22" t="str">
        <x:v>HC-R2</x:v>
      </x:c>
      <x:c r="H52" s="22" t="str">
        <x:v>Flood and hydraulic control</x:v>
      </x:c>
      <x:c r="I52" s="22" t="n">
        <x:v>6</x:v>
      </x:c>
      <x:c r="J52" s="22" t="n">
        <x:v>7</x:v>
      </x:c>
      <x:c r="K52" s="22" t="str">
        <x:v>DRAFT</x:v>
      </x:c>
      <x:c r="L52" s="22" t="n">
        <x:v>0</x:v>
      </x:c>
    </x:row>
    <x:row r="53">
      <x:c r="C53" s="22" t="str">
        <x:v>HC-R3-A</x:v>
      </x:c>
      <x:c r="D53" s="22" t="str">
        <x:v>C3-HC-A-RB1</x:v>
      </x:c>
      <x:c r="E53" s="22" t="str">
        <x:v>MS-HC</x:v>
      </x:c>
      <x:c r="F53" s="22" t="str">
        <x:v>A</x:v>
      </x:c>
      <x:c r="G53" s="22" t="str">
        <x:v>HC-R3</x:v>
      </x:c>
      <x:c r="H53" s="22" t="str">
        <x:v>Debris, material and geophysical control</x:v>
      </x:c>
      <x:c r="I53" s="22" t="n">
        <x:v>12</x:v>
      </x:c>
      <x:c r="J53" s="22" t="n">
        <x:v>7</x:v>
      </x:c>
      <x:c r="K53" s="22" t="str">
        <x:v>DRAFT</x:v>
      </x:c>
      <x:c r="L53" s="22" t="n">
        <x:v>0</x:v>
      </x:c>
    </x:row>
    <x:row r="54">
      <x:c r="C54" s="22" t="str">
        <x:v>HC-R3-B</x:v>
      </x:c>
      <x:c r="D54" s="22" t="str">
        <x:v>C3-HC-B-RB1</x:v>
      </x:c>
      <x:c r="E54" s="22" t="str">
        <x:v>MS-HC</x:v>
      </x:c>
      <x:c r="F54" s="22" t="str">
        <x:v>B</x:v>
      </x:c>
      <x:c r="G54" s="22" t="str">
        <x:v>HC-R3</x:v>
      </x:c>
      <x:c r="H54" s="22" t="str">
        <x:v>Debris, material and geophysical control</x:v>
      </x:c>
      <x:c r="I54" s="22" t="n">
        <x:v>12</x:v>
      </x:c>
      <x:c r="J54" s="22" t="n">
        <x:v>7</x:v>
      </x:c>
      <x:c r="K54" s="22" t="str">
        <x:v>DRAFT</x:v>
      </x:c>
      <x:c r="L54" s="22" t="n">
        <x:v>0</x:v>
      </x:c>
    </x:row>
    <x:row r="55">
      <x:c r="C55" s="22" t="str">
        <x:v>HC-R3-C</x:v>
      </x:c>
      <x:c r="D55" s="22" t="str">
        <x:v>C3-HC-C-RB1</x:v>
      </x:c>
      <x:c r="E55" s="22" t="str">
        <x:v>MS-HC</x:v>
      </x:c>
      <x:c r="F55" s="22" t="str">
        <x:v>C</x:v>
      </x:c>
      <x:c r="G55" s="22" t="str">
        <x:v>HC-R3</x:v>
      </x:c>
      <x:c r="H55" s="22" t="str">
        <x:v>Debris, material and geophysical control</x:v>
      </x:c>
      <x:c r="I55" s="22" t="n">
        <x:v>12</x:v>
      </x:c>
      <x:c r="J55" s="22" t="n">
        <x:v>7</x:v>
      </x:c>
      <x:c r="K55" s="22" t="str">
        <x:v>DRAFT</x:v>
      </x:c>
      <x:c r="L55" s="22" t="n">
        <x:v>0</x:v>
      </x:c>
    </x:row>
    <x:row r="56">
      <x:c r="C56" s="22" t="str">
        <x:v>HC-R3-D</x:v>
      </x:c>
      <x:c r="D56" s="22" t="str">
        <x:v>C3-HC-D-RB1</x:v>
      </x:c>
      <x:c r="E56" s="22" t="str">
        <x:v>MS-HC</x:v>
      </x:c>
      <x:c r="F56" s="22" t="str">
        <x:v>D</x:v>
      </x:c>
      <x:c r="G56" s="22" t="str">
        <x:v>HC-R3</x:v>
      </x:c>
      <x:c r="H56" s="22" t="str">
        <x:v>Debris, material and geophysical control</x:v>
      </x:c>
      <x:c r="I56" s="22" t="n">
        <x:v>12</x:v>
      </x:c>
      <x:c r="J56" s="22" t="n">
        <x:v>7</x:v>
      </x:c>
      <x:c r="K56" s="22" t="str">
        <x:v>DRAFT</x:v>
      </x:c>
      <x:c r="L56" s="22" t="n">
        <x:v>0</x:v>
      </x:c>
    </x:row>
    <x:row r="57">
      <x:c r="C57" s="22" t="str">
        <x:v>LF-R1-A</x:v>
      </x:c>
      <x:c r="D57" s="22" t="str">
        <x:v>C3-LF-A-RB1</x:v>
      </x:c>
      <x:c r="E57" s="22" t="str">
        <x:v>MS-LF</x:v>
      </x:c>
      <x:c r="F57" s="22" t="str">
        <x:v>A</x:v>
      </x:c>
      <x:c r="G57" s="22" t="str">
        <x:v>LF-R1</x:v>
      </x:c>
      <x:c r="H57" s="22" t="str">
        <x:v>Strategic and maritime production</x:v>
      </x:c>
      <x:c r="I57" s="22" t="n">
        <x:v>4</x:v>
      </x:c>
      <x:c r="J57" s="22" t="n">
        <x:v>7</x:v>
      </x:c>
      <x:c r="K57" s="22" t="str">
        <x:v>DRAFT</x:v>
      </x:c>
      <x:c r="L57" s="22" t="n">
        <x:v>0</x:v>
      </x:c>
    </x:row>
    <x:row r="58">
      <x:c r="C58" s="22" t="str">
        <x:v>LF-R1-B</x:v>
      </x:c>
      <x:c r="D58" s="22" t="str">
        <x:v>C3-LF-B-RB1</x:v>
      </x:c>
      <x:c r="E58" s="22" t="str">
        <x:v>MS-LF</x:v>
      </x:c>
      <x:c r="F58" s="22" t="str">
        <x:v>B</x:v>
      </x:c>
      <x:c r="G58" s="22" t="str">
        <x:v>LF-R1</x:v>
      </x:c>
      <x:c r="H58" s="22" t="str">
        <x:v>Strategic and maritime production</x:v>
      </x:c>
      <x:c r="I58" s="22" t="n">
        <x:v>4</x:v>
      </x:c>
      <x:c r="J58" s="22" t="n">
        <x:v>7</x:v>
      </x:c>
      <x:c r="K58" s="22" t="str">
        <x:v>DRAFT</x:v>
      </x:c>
      <x:c r="L58" s="22" t="n">
        <x:v>0</x:v>
      </x:c>
    </x:row>
    <x:row r="59">
      <x:c r="C59" s="22" t="str">
        <x:v>LF-R1-C</x:v>
      </x:c>
      <x:c r="D59" s="22" t="str">
        <x:v>C3-LF-C-RB1</x:v>
      </x:c>
      <x:c r="E59" s="22" t="str">
        <x:v>MS-LF</x:v>
      </x:c>
      <x:c r="F59" s="22" t="str">
        <x:v>C</x:v>
      </x:c>
      <x:c r="G59" s="22" t="str">
        <x:v>LF-R1</x:v>
      </x:c>
      <x:c r="H59" s="22" t="str">
        <x:v>Strategic and maritime production</x:v>
      </x:c>
      <x:c r="I59" s="22" t="n">
        <x:v>4</x:v>
      </x:c>
      <x:c r="J59" s="22" t="n">
        <x:v>7</x:v>
      </x:c>
      <x:c r="K59" s="22" t="str">
        <x:v>DRAFT</x:v>
      </x:c>
      <x:c r="L59" s="22" t="n">
        <x:v>0</x:v>
      </x:c>
    </x:row>
    <x:row r="60">
      <x:c r="C60" s="22" t="str">
        <x:v>LF-R1-D</x:v>
      </x:c>
      <x:c r="D60" s="22" t="str">
        <x:v>C3-LF-D-RB1</x:v>
      </x:c>
      <x:c r="E60" s="22" t="str">
        <x:v>MS-LF</x:v>
      </x:c>
      <x:c r="F60" s="22" t="str">
        <x:v>D</x:v>
      </x:c>
      <x:c r="G60" s="22" t="str">
        <x:v>LF-R1</x:v>
      </x:c>
      <x:c r="H60" s="22" t="str">
        <x:v>Strategic and maritime production</x:v>
      </x:c>
      <x:c r="I60" s="22" t="n">
        <x:v>4</x:v>
      </x:c>
      <x:c r="J60" s="22" t="n">
        <x:v>7</x:v>
      </x:c>
      <x:c r="K60" s="22" t="str">
        <x:v>DRAFT</x:v>
      </x:c>
      <x:c r="L60" s="22" t="n">
        <x:v>0</x:v>
      </x:c>
    </x:row>
    <x:row r="61">
      <x:c r="C61" s="22" t="str">
        <x:v>LF-R2-A</x:v>
      </x:c>
      <x:c r="D61" s="22" t="str">
        <x:v>C3-LF-A-RB1</x:v>
      </x:c>
      <x:c r="E61" s="22" t="str">
        <x:v>MS-LF</x:v>
      </x:c>
      <x:c r="F61" s="22" t="str">
        <x:v>A</x:v>
      </x:c>
      <x:c r="G61" s="22" t="str">
        <x:v>LF-R2</x:v>
      </x:c>
      <x:c r="H61" s="22" t="str">
        <x:v>Water and wastewater at point of use</x:v>
      </x:c>
      <x:c r="I61" s="22" t="n">
        <x:v>8</x:v>
      </x:c>
      <x:c r="J61" s="22" t="n">
        <x:v>7</x:v>
      </x:c>
      <x:c r="K61" s="22" t="str">
        <x:v>DRAFT</x:v>
      </x:c>
      <x:c r="L61" s="22" t="n">
        <x:v>0</x:v>
      </x:c>
    </x:row>
    <x:row r="62">
      <x:c r="C62" s="22" t="str">
        <x:v>LF-R2-B</x:v>
      </x:c>
      <x:c r="D62" s="22" t="str">
        <x:v>C3-LF-B-RB1</x:v>
      </x:c>
      <x:c r="E62" s="22" t="str">
        <x:v>MS-LF</x:v>
      </x:c>
      <x:c r="F62" s="22" t="str">
        <x:v>B</x:v>
      </x:c>
      <x:c r="G62" s="22" t="str">
        <x:v>LF-R2</x:v>
      </x:c>
      <x:c r="H62" s="22" t="str">
        <x:v>Water and wastewater at point of use</x:v>
      </x:c>
      <x:c r="I62" s="22" t="n">
        <x:v>8</x:v>
      </x:c>
      <x:c r="J62" s="22" t="n">
        <x:v>7</x:v>
      </x:c>
      <x:c r="K62" s="22" t="str">
        <x:v>DRAFT</x:v>
      </x:c>
      <x:c r="L62" s="22" t="n">
        <x:v>0</x:v>
      </x:c>
    </x:row>
    <x:row r="63">
      <x:c r="C63" s="22" t="str">
        <x:v>LF-R2-C</x:v>
      </x:c>
      <x:c r="D63" s="22" t="str">
        <x:v>C3-LF-C-RB1</x:v>
      </x:c>
      <x:c r="E63" s="22" t="str">
        <x:v>MS-LF</x:v>
      </x:c>
      <x:c r="F63" s="22" t="str">
        <x:v>C</x:v>
      </x:c>
      <x:c r="G63" s="22" t="str">
        <x:v>LF-R2</x:v>
      </x:c>
      <x:c r="H63" s="22" t="str">
        <x:v>Water and wastewater at point of use</x:v>
      </x:c>
      <x:c r="I63" s="22" t="n">
        <x:v>8</x:v>
      </x:c>
      <x:c r="J63" s="22" t="n">
        <x:v>7</x:v>
      </x:c>
      <x:c r="K63" s="22" t="str">
        <x:v>DRAFT</x:v>
      </x:c>
      <x:c r="L63" s="22" t="n">
        <x:v>0</x:v>
      </x:c>
    </x:row>
    <x:row r="64">
      <x:c r="C64" s="22" t="str">
        <x:v>LF-R2-D</x:v>
      </x:c>
      <x:c r="D64" s="22" t="str">
        <x:v>C3-LF-D-RB1</x:v>
      </x:c>
      <x:c r="E64" s="22" t="str">
        <x:v>MS-LF</x:v>
      </x:c>
      <x:c r="F64" s="22" t="str">
        <x:v>D</x:v>
      </x:c>
      <x:c r="G64" s="22" t="str">
        <x:v>LF-R2</x:v>
      </x:c>
      <x:c r="H64" s="22" t="str">
        <x:v>Water and wastewater at point of use</x:v>
      </x:c>
      <x:c r="I64" s="22" t="n">
        <x:v>8</x:v>
      </x:c>
      <x:c r="J64" s="22" t="n">
        <x:v>7</x:v>
      </x:c>
      <x:c r="K64" s="22" t="str">
        <x:v>DRAFT</x:v>
      </x:c>
      <x:c r="L64" s="22" t="n">
        <x:v>0</x:v>
      </x:c>
    </x:row>
    <x:row r="65">
      <x:c r="C65" s="22" t="str">
        <x:v>LF-R3-A</x:v>
      </x:c>
      <x:c r="D65" s="22" t="str">
        <x:v>C3-LF-A-RB1</x:v>
      </x:c>
      <x:c r="E65" s="22" t="str">
        <x:v>MS-LF</x:v>
      </x:c>
      <x:c r="F65" s="22" t="str">
        <x:v>A</x:v>
      </x:c>
      <x:c r="G65" s="22" t="str">
        <x:v>LF-R3</x:v>
      </x:c>
      <x:c r="H65" s="22" t="str">
        <x:v>Local power</x:v>
      </x:c>
      <x:c r="I65" s="22" t="n">
        <x:v>10</x:v>
      </x:c>
      <x:c r="J65" s="22" t="n">
        <x:v>7</x:v>
      </x:c>
      <x:c r="K65" s="22" t="str">
        <x:v>DRAFT</x:v>
      </x:c>
      <x:c r="L65" s="22" t="n">
        <x:v>0</x:v>
      </x:c>
    </x:row>
    <x:row r="66">
      <x:c r="C66" s="22" t="str">
        <x:v>LF-R3-B</x:v>
      </x:c>
      <x:c r="D66" s="22" t="str">
        <x:v>C3-LF-B-RB1</x:v>
      </x:c>
      <x:c r="E66" s="22" t="str">
        <x:v>MS-LF</x:v>
      </x:c>
      <x:c r="F66" s="22" t="str">
        <x:v>B</x:v>
      </x:c>
      <x:c r="G66" s="22" t="str">
        <x:v>LF-R3</x:v>
      </x:c>
      <x:c r="H66" s="22" t="str">
        <x:v>Local power</x:v>
      </x:c>
      <x:c r="I66" s="22" t="n">
        <x:v>10</x:v>
      </x:c>
      <x:c r="J66" s="22" t="n">
        <x:v>7</x:v>
      </x:c>
      <x:c r="K66" s="22" t="str">
        <x:v>DRAFT</x:v>
      </x:c>
      <x:c r="L66" s="22" t="n">
        <x:v>0</x:v>
      </x:c>
    </x:row>
    <x:row r="67">
      <x:c r="C67" s="22" t="str">
        <x:v>LF-R3-C</x:v>
      </x:c>
      <x:c r="D67" s="22" t="str">
        <x:v>C3-LF-C-RB1</x:v>
      </x:c>
      <x:c r="E67" s="22" t="str">
        <x:v>MS-LF</x:v>
      </x:c>
      <x:c r="F67" s="22" t="str">
        <x:v>C</x:v>
      </x:c>
      <x:c r="G67" s="22" t="str">
        <x:v>LF-R3</x:v>
      </x:c>
      <x:c r="H67" s="22" t="str">
        <x:v>Local power</x:v>
      </x:c>
      <x:c r="I67" s="22" t="n">
        <x:v>10</x:v>
      </x:c>
      <x:c r="J67" s="22" t="n">
        <x:v>7</x:v>
      </x:c>
      <x:c r="K67" s="22" t="str">
        <x:v>DRAFT</x:v>
      </x:c>
      <x:c r="L67" s="22" t="n">
        <x:v>0</x:v>
      </x:c>
    </x:row>
    <x:row r="68">
      <x:c r="C68" s="22" t="str">
        <x:v>LF-R3-D</x:v>
      </x:c>
      <x:c r="D68" s="22" t="str">
        <x:v>C3-LF-D-RB1</x:v>
      </x:c>
      <x:c r="E68" s="22" t="str">
        <x:v>MS-LF</x:v>
      </x:c>
      <x:c r="F68" s="22" t="str">
        <x:v>D</x:v>
      </x:c>
      <x:c r="G68" s="22" t="str">
        <x:v>LF-R3</x:v>
      </x:c>
      <x:c r="H68" s="22" t="str">
        <x:v>Local power</x:v>
      </x:c>
      <x:c r="I68" s="22" t="n">
        <x:v>10</x:v>
      </x:c>
      <x:c r="J68" s="22" t="n">
        <x:v>7</x:v>
      </x:c>
      <x:c r="K68" s="22" t="str">
        <x:v>DRAFT</x:v>
      </x:c>
      <x:c r="L68" s="22" t="n">
        <x:v>0</x:v>
      </x:c>
    </x:row>
    <x:row r="69">
      <x:c r="C69" s="22" t="str">
        <x:v>LF-R4-A</x:v>
      </x:c>
      <x:c r="D69" s="22" t="str">
        <x:v>C3-LF-A-RB1</x:v>
      </x:c>
      <x:c r="E69" s="22" t="str">
        <x:v>MS-LF</x:v>
      </x:c>
      <x:c r="F69" s="22" t="str">
        <x:v>A</x:v>
      </x:c>
      <x:c r="G69" s="22" t="str">
        <x:v>LF-R4</x:v>
      </x:c>
      <x:c r="H69" s="22" t="str">
        <x:v>Grid bridge</x:v>
      </x:c>
      <x:c r="I69" s="22" t="n">
        <x:v>8</x:v>
      </x:c>
      <x:c r="J69" s="22" t="n">
        <x:v>7</x:v>
      </x:c>
      <x:c r="K69" s="22" t="str">
        <x:v>DRAFT</x:v>
      </x:c>
      <x:c r="L69" s="22" t="n">
        <x:v>0</x:v>
      </x:c>
    </x:row>
    <x:row r="70">
      <x:c r="C70" s="22" t="str">
        <x:v>LF-R4-B</x:v>
      </x:c>
      <x:c r="D70" s="22" t="str">
        <x:v>C3-LF-B-RB1</x:v>
      </x:c>
      <x:c r="E70" s="22" t="str">
        <x:v>MS-LF</x:v>
      </x:c>
      <x:c r="F70" s="22" t="str">
        <x:v>B</x:v>
      </x:c>
      <x:c r="G70" s="22" t="str">
        <x:v>LF-R4</x:v>
      </x:c>
      <x:c r="H70" s="22" t="str">
        <x:v>Grid bridge</x:v>
      </x:c>
      <x:c r="I70" s="22" t="n">
        <x:v>8</x:v>
      </x:c>
      <x:c r="J70" s="22" t="n">
        <x:v>7</x:v>
      </x:c>
      <x:c r="K70" s="22" t="str">
        <x:v>DRAFT</x:v>
      </x:c>
      <x:c r="L70" s="22" t="n">
        <x:v>0</x:v>
      </x:c>
    </x:row>
    <x:row r="71">
      <x:c r="C71" s="22" t="str">
        <x:v>LF-R4-C</x:v>
      </x:c>
      <x:c r="D71" s="22" t="str">
        <x:v>C3-LF-C-RB1</x:v>
      </x:c>
      <x:c r="E71" s="22" t="str">
        <x:v>MS-LF</x:v>
      </x:c>
      <x:c r="F71" s="22" t="str">
        <x:v>C</x:v>
      </x:c>
      <x:c r="G71" s="22" t="str">
        <x:v>LF-R4</x:v>
      </x:c>
      <x:c r="H71" s="22" t="str">
        <x:v>Grid bridge</x:v>
      </x:c>
      <x:c r="I71" s="22" t="n">
        <x:v>8</x:v>
      </x:c>
      <x:c r="J71" s="22" t="n">
        <x:v>7</x:v>
      </x:c>
      <x:c r="K71" s="22" t="str">
        <x:v>DRAFT</x:v>
      </x:c>
      <x:c r="L71" s="22" t="n">
        <x:v>0</x:v>
      </x:c>
    </x:row>
    <x:row r="72">
      <x:c r="C72" s="22" t="str">
        <x:v>LF-R4-D</x:v>
      </x:c>
      <x:c r="D72" s="22" t="str">
        <x:v>C3-LF-D-RB1</x:v>
      </x:c>
      <x:c r="E72" s="22" t="str">
        <x:v>MS-LF</x:v>
      </x:c>
      <x:c r="F72" s="22" t="str">
        <x:v>D</x:v>
      </x:c>
      <x:c r="G72" s="22" t="str">
        <x:v>LF-R4</x:v>
      </x:c>
      <x:c r="H72" s="22" t="str">
        <x:v>Grid bridge</x:v>
      </x:c>
      <x:c r="I72" s="22" t="n">
        <x:v>8</x:v>
      </x:c>
      <x:c r="J72" s="22" t="n">
        <x:v>7</x:v>
      </x:c>
      <x:c r="K72" s="22" t="str">
        <x:v>DRAFT</x:v>
      </x:c>
      <x:c r="L72" s="22" t="n">
        <x:v>0</x:v>
      </x:c>
    </x:row>
    <x:row r="73">
      <x:c r="C73" s="22" t="str">
        <x:v>LF-R5-A</x:v>
      </x:c>
      <x:c r="D73" s="22" t="str">
        <x:v>C3-LF-A-RB1</x:v>
      </x:c>
      <x:c r="E73" s="22" t="str">
        <x:v>MS-LF</x:v>
      </x:c>
      <x:c r="F73" s="22" t="str">
        <x:v>A</x:v>
      </x:c>
      <x:c r="G73" s="22" t="str">
        <x:v>LF-R5</x:v>
      </x:c>
      <x:c r="H73" s="22" t="str">
        <x:v>Thermal safety</x:v>
      </x:c>
      <x:c r="I73" s="22" t="n">
        <x:v>8</x:v>
      </x:c>
      <x:c r="J73" s="22" t="n">
        <x:v>7</x:v>
      </x:c>
      <x:c r="K73" s="22" t="str">
        <x:v>DRAFT</x:v>
      </x:c>
      <x:c r="L73" s="22" t="n">
        <x:v>0</x:v>
      </x:c>
    </x:row>
    <x:row r="74">
      <x:c r="C74" s="22" t="str">
        <x:v>LF-R5-B</x:v>
      </x:c>
      <x:c r="D74" s="22" t="str">
        <x:v>C3-LF-B-RB1</x:v>
      </x:c>
      <x:c r="E74" s="22" t="str">
        <x:v>MS-LF</x:v>
      </x:c>
      <x:c r="F74" s="22" t="str">
        <x:v>B</x:v>
      </x:c>
      <x:c r="G74" s="22" t="str">
        <x:v>LF-R5</x:v>
      </x:c>
      <x:c r="H74" s="22" t="str">
        <x:v>Thermal safety</x:v>
      </x:c>
      <x:c r="I74" s="22" t="n">
        <x:v>8</x:v>
      </x:c>
      <x:c r="J74" s="22" t="n">
        <x:v>7</x:v>
      </x:c>
      <x:c r="K74" s="22" t="str">
        <x:v>DRAFT</x:v>
      </x:c>
      <x:c r="L74" s="22" t="n">
        <x:v>0</x:v>
      </x:c>
    </x:row>
    <x:row r="75">
      <x:c r="C75" s="22" t="str">
        <x:v>LF-R5-C</x:v>
      </x:c>
      <x:c r="D75" s="22" t="str">
        <x:v>C3-LF-C-RB1</x:v>
      </x:c>
      <x:c r="E75" s="22" t="str">
        <x:v>MS-LF</x:v>
      </x:c>
      <x:c r="F75" s="22" t="str">
        <x:v>C</x:v>
      </x:c>
      <x:c r="G75" s="22" t="str">
        <x:v>LF-R5</x:v>
      </x:c>
      <x:c r="H75" s="22" t="str">
        <x:v>Thermal safety</x:v>
      </x:c>
      <x:c r="I75" s="22" t="n">
        <x:v>8</x:v>
      </x:c>
      <x:c r="J75" s="22" t="n">
        <x:v>7</x:v>
      </x:c>
      <x:c r="K75" s="22" t="str">
        <x:v>DRAFT</x:v>
      </x:c>
      <x:c r="L75" s="22" t="n">
        <x:v>0</x:v>
      </x:c>
    </x:row>
    <x:row r="76">
      <x:c r="C76" s="22" t="str">
        <x:v>LF-R5-D</x:v>
      </x:c>
      <x:c r="D76" s="22" t="str">
        <x:v>C3-LF-D-RB1</x:v>
      </x:c>
      <x:c r="E76" s="22" t="str">
        <x:v>MS-LF</x:v>
      </x:c>
      <x:c r="F76" s="22" t="str">
        <x:v>D</x:v>
      </x:c>
      <x:c r="G76" s="22" t="str">
        <x:v>LF-R5</x:v>
      </x:c>
      <x:c r="H76" s="22" t="str">
        <x:v>Thermal safety</x:v>
      </x:c>
      <x:c r="I76" s="22" t="n">
        <x:v>8</x:v>
      </x:c>
      <x:c r="J76" s="22" t="n">
        <x:v>7</x:v>
      </x:c>
      <x:c r="K76" s="22" t="str">
        <x:v>DRAFT</x:v>
      </x:c>
      <x:c r="L76" s="22" t="n">
        <x:v>0</x:v>
      </x:c>
    </x:row>
    <x:row r="77">
      <x:c r="C77" s="22" t="str">
        <x:v>HU-R1-A</x:v>
      </x:c>
      <x:c r="D77" s="22" t="str">
        <x:v>C3-HU-A-RB1</x:v>
      </x:c>
      <x:c r="E77" s="22" t="str">
        <x:v>MS-HU</x:v>
      </x:c>
      <x:c r="F77" s="22" t="str">
        <x:v>A</x:v>
      </x:c>
      <x:c r="G77" s="22" t="str">
        <x:v>HU-R1</x:v>
      </x:c>
      <x:c r="H77" s="22" t="str">
        <x:v>Local continuity support</x:v>
      </x:c>
      <x:c r="I77" s="22" t="n">
        <x:v>47</x:v>
      </x:c>
      <x:c r="J77" s="22" t="n">
        <x:v>7</x:v>
      </x:c>
      <x:c r="K77" s="22" t="str">
        <x:v>DRAFT</x:v>
      </x:c>
      <x:c r="L77" s="22" t="n">
        <x:v>0</x:v>
      </x:c>
    </x:row>
    <x:row r="78">
      <x:c r="C78" s="22" t="str">
        <x:v>HU-R1-B</x:v>
      </x:c>
      <x:c r="D78" s="22" t="str">
        <x:v>C3-HU-B-RB1</x:v>
      </x:c>
      <x:c r="E78" s="22" t="str">
        <x:v>MS-HU</x:v>
      </x:c>
      <x:c r="F78" s="22" t="str">
        <x:v>B</x:v>
      </x:c>
      <x:c r="G78" s="22" t="str">
        <x:v>HU-R1</x:v>
      </x:c>
      <x:c r="H78" s="22" t="str">
        <x:v>Local continuity support</x:v>
      </x:c>
      <x:c r="I78" s="22" t="n">
        <x:v>47</x:v>
      </x:c>
      <x:c r="J78" s="22" t="n">
        <x:v>7</x:v>
      </x:c>
      <x:c r="K78" s="22" t="str">
        <x:v>DRAFT</x:v>
      </x:c>
      <x:c r="L78" s="22" t="n">
        <x:v>0</x:v>
      </x:c>
    </x:row>
    <x:row r="79">
      <x:c r="C79" s="22" t="str">
        <x:v>HU-R1-C</x:v>
      </x:c>
      <x:c r="D79" s="22" t="str">
        <x:v>C3-HU-C-RB1</x:v>
      </x:c>
      <x:c r="E79" s="22" t="str">
        <x:v>MS-HU</x:v>
      </x:c>
      <x:c r="F79" s="22" t="str">
        <x:v>C</x:v>
      </x:c>
      <x:c r="G79" s="22" t="str">
        <x:v>HU-R1</x:v>
      </x:c>
      <x:c r="H79" s="22" t="str">
        <x:v>Local continuity support</x:v>
      </x:c>
      <x:c r="I79" s="22" t="n">
        <x:v>47</x:v>
      </x:c>
      <x:c r="J79" s="22" t="n">
        <x:v>7</x:v>
      </x:c>
      <x:c r="K79" s="22" t="str">
        <x:v>DRAFT</x:v>
      </x:c>
      <x:c r="L79" s="22" t="n">
        <x:v>0</x:v>
      </x:c>
    </x:row>
    <x:row r="80">
      <x:c r="C80" s="22" t="str">
        <x:v>HU-R1-D</x:v>
      </x:c>
      <x:c r="D80" s="22" t="str">
        <x:v>C3-HU-D-RB1</x:v>
      </x:c>
      <x:c r="E80" s="22" t="str">
        <x:v>MS-HU</x:v>
      </x:c>
      <x:c r="F80" s="22" t="str">
        <x:v>D</x:v>
      </x:c>
      <x:c r="G80" s="22" t="str">
        <x:v>HU-R1</x:v>
      </x:c>
      <x:c r="H80" s="22" t="str">
        <x:v>Local continuity support</x:v>
      </x:c>
      <x:c r="I80" s="22" t="n">
        <x:v>47</x:v>
      </x:c>
      <x:c r="J80" s="22" t="n">
        <x:v>7</x:v>
      </x:c>
      <x:c r="K80" s="22" t="str">
        <x:v>DRAFT</x:v>
      </x:c>
      <x:c r="L80" s="22" t="n">
        <x:v>0</x:v>
      </x:c>
    </x:row>
    <x:row r="81">
      <x:c r="C81" s="22" t="str">
        <x:v>HU-R2-A</x:v>
      </x:c>
      <x:c r="D81" s="22" t="str">
        <x:v>C3-HU-A-RB1</x:v>
      </x:c>
      <x:c r="E81" s="22" t="str">
        <x:v>MS-HU</x:v>
      </x:c>
      <x:c r="F81" s="22" t="str">
        <x:v>A</x:v>
      </x:c>
      <x:c r="G81" s="22" t="str">
        <x:v>HU-R2</x:v>
      </x:c>
      <x:c r="H81" s="22" t="str">
        <x:v>Definitive care</x:v>
      </x:c>
      <x:c r="I81" s="22" t="n">
        <x:v>12</x:v>
      </x:c>
      <x:c r="J81" s="22" t="n">
        <x:v>7</x:v>
      </x:c>
      <x:c r="K81" s="22" t="str">
        <x:v>DRAFT</x:v>
      </x:c>
      <x:c r="L81" s="22" t="n">
        <x:v>0</x:v>
      </x:c>
    </x:row>
    <x:row r="82">
      <x:c r="C82" s="22" t="str">
        <x:v>HU-R2-B</x:v>
      </x:c>
      <x:c r="D82" s="22" t="str">
        <x:v>C3-HU-B-RB1</x:v>
      </x:c>
      <x:c r="E82" s="22" t="str">
        <x:v>MS-HU</x:v>
      </x:c>
      <x:c r="F82" s="22" t="str">
        <x:v>B</x:v>
      </x:c>
      <x:c r="G82" s="22" t="str">
        <x:v>HU-R2</x:v>
      </x:c>
      <x:c r="H82" s="22" t="str">
        <x:v>Definitive care</x:v>
      </x:c>
      <x:c r="I82" s="22" t="n">
        <x:v>12</x:v>
      </x:c>
      <x:c r="J82" s="22" t="n">
        <x:v>7</x:v>
      </x:c>
      <x:c r="K82" s="22" t="str">
        <x:v>DRAFT</x:v>
      </x:c>
      <x:c r="L82" s="22" t="n">
        <x:v>0</x:v>
      </x:c>
    </x:row>
    <x:row r="83">
      <x:c r="C83" s="22" t="str">
        <x:v>HU-R2-C</x:v>
      </x:c>
      <x:c r="D83" s="22" t="str">
        <x:v>C3-HU-C-RB1</x:v>
      </x:c>
      <x:c r="E83" s="22" t="str">
        <x:v>MS-HU</x:v>
      </x:c>
      <x:c r="F83" s="22" t="str">
        <x:v>C</x:v>
      </x:c>
      <x:c r="G83" s="22" t="str">
        <x:v>HU-R2</x:v>
      </x:c>
      <x:c r="H83" s="22" t="str">
        <x:v>Definitive care</x:v>
      </x:c>
      <x:c r="I83" s="22" t="n">
        <x:v>12</x:v>
      </x:c>
      <x:c r="J83" s="22" t="n">
        <x:v>7</x:v>
      </x:c>
      <x:c r="K83" s="22" t="str">
        <x:v>DRAFT</x:v>
      </x:c>
      <x:c r="L83" s="22" t="n">
        <x:v>0</x:v>
      </x:c>
    </x:row>
    <x:row r="84">
      <x:c r="C84" s="22" t="str">
        <x:v>HU-R2-D</x:v>
      </x:c>
      <x:c r="D84" s="22" t="str">
        <x:v>C3-HU-D-RB1</x:v>
      </x:c>
      <x:c r="E84" s="22" t="str">
        <x:v>MS-HU</x:v>
      </x:c>
      <x:c r="F84" s="22" t="str">
        <x:v>D</x:v>
      </x:c>
      <x:c r="G84" s="22" t="str">
        <x:v>HU-R2</x:v>
      </x:c>
      <x:c r="H84" s="22" t="str">
        <x:v>Definitive care</x:v>
      </x:c>
      <x:c r="I84" s="22" t="n">
        <x:v>12</x:v>
      </x:c>
      <x:c r="J84" s="22" t="n">
        <x:v>7</x:v>
      </x:c>
      <x:c r="K84" s="22" t="str">
        <x:v>DRAFT</x:v>
      </x:c>
      <x:c r="L84" s="22" t="n">
        <x:v>0</x:v>
      </x:c>
    </x:row>
    <x:row r="85">
      <x:c r="C85" s="22" t="str">
        <x:v>HU-R3-A</x:v>
      </x:c>
      <x:c r="D85" s="22" t="str">
        <x:v>C3-HU-A-RB1</x:v>
      </x:c>
      <x:c r="E85" s="22" t="str">
        <x:v>MS-HU</x:v>
      </x:c>
      <x:c r="F85" s="22" t="str">
        <x:v>A</x:v>
      </x:c>
      <x:c r="G85" s="22" t="str">
        <x:v>HU-R3</x:v>
      </x:c>
      <x:c r="H85" s="22" t="str">
        <x:v>Patient regulation and transfer</x:v>
      </x:c>
      <x:c r="I85" s="22" t="n">
        <x:v>13</x:v>
      </x:c>
      <x:c r="J85" s="22" t="n">
        <x:v>7</x:v>
      </x:c>
      <x:c r="K85" s="22" t="str">
        <x:v>DRAFT</x:v>
      </x:c>
      <x:c r="L85" s="22" t="n">
        <x:v>0</x:v>
      </x:c>
    </x:row>
    <x:row r="86">
      <x:c r="C86" s="22" t="str">
        <x:v>HU-R3-B</x:v>
      </x:c>
      <x:c r="D86" s="22" t="str">
        <x:v>C3-HU-B-RB1</x:v>
      </x:c>
      <x:c r="E86" s="22" t="str">
        <x:v>MS-HU</x:v>
      </x:c>
      <x:c r="F86" s="22" t="str">
        <x:v>B</x:v>
      </x:c>
      <x:c r="G86" s="22" t="str">
        <x:v>HU-R3</x:v>
      </x:c>
      <x:c r="H86" s="22" t="str">
        <x:v>Patient regulation and transfer</x:v>
      </x:c>
      <x:c r="I86" s="22" t="n">
        <x:v>13</x:v>
      </x:c>
      <x:c r="J86" s="22" t="n">
        <x:v>7</x:v>
      </x:c>
      <x:c r="K86" s="22" t="str">
        <x:v>DRAFT</x:v>
      </x:c>
      <x:c r="L86" s="22" t="n">
        <x:v>0</x:v>
      </x:c>
    </x:row>
    <x:row r="87">
      <x:c r="C87" s="22" t="str">
        <x:v>HU-R3-C</x:v>
      </x:c>
      <x:c r="D87" s="22" t="str">
        <x:v>C3-HU-C-RB1</x:v>
      </x:c>
      <x:c r="E87" s="22" t="str">
        <x:v>MS-HU</x:v>
      </x:c>
      <x:c r="F87" s="22" t="str">
        <x:v>C</x:v>
      </x:c>
      <x:c r="G87" s="22" t="str">
        <x:v>HU-R3</x:v>
      </x:c>
      <x:c r="H87" s="22" t="str">
        <x:v>Patient regulation and transfer</x:v>
      </x:c>
      <x:c r="I87" s="22" t="n">
        <x:v>13</x:v>
      </x:c>
      <x:c r="J87" s="22" t="n">
        <x:v>7</x:v>
      </x:c>
      <x:c r="K87" s="22" t="str">
        <x:v>DRAFT</x:v>
      </x:c>
      <x:c r="L87" s="22" t="n">
        <x:v>0</x:v>
      </x:c>
    </x:row>
    <x:row r="88">
      <x:c r="C88" s="22" t="str">
        <x:v>HU-R3-D</x:v>
      </x:c>
      <x:c r="D88" s="22" t="str">
        <x:v>C3-HU-D-RB1</x:v>
      </x:c>
      <x:c r="E88" s="22" t="str">
        <x:v>MS-HU</x:v>
      </x:c>
      <x:c r="F88" s="22" t="str">
        <x:v>D</x:v>
      </x:c>
      <x:c r="G88" s="22" t="str">
        <x:v>HU-R3</x:v>
      </x:c>
      <x:c r="H88" s="22" t="str">
        <x:v>Patient regulation and transfer</x:v>
      </x:c>
      <x:c r="I88" s="22" t="n">
        <x:v>13</x:v>
      </x:c>
      <x:c r="J88" s="22" t="n">
        <x:v>7</x:v>
      </x:c>
      <x:c r="K88" s="22" t="str">
        <x:v>DRAFT</x:v>
      </x:c>
      <x:c r="L88" s="22" t="n">
        <x:v>0</x:v>
      </x:c>
    </x:row>
    <x:row r="89">
      <x:c r="C89" s="22" t="str">
        <x:v>HU-R4-A</x:v>
      </x:c>
      <x:c r="D89" s="22" t="str">
        <x:v>C3-HU-A-RB1</x:v>
      </x:c>
      <x:c r="E89" s="22" t="str">
        <x:v>MS-HU</x:v>
      </x:c>
      <x:c r="F89" s="22" t="str">
        <x:v>A</x:v>
      </x:c>
      <x:c r="G89" s="22" t="str">
        <x:v>HU-R4</x:v>
      </x:c>
      <x:c r="H89" s="22" t="str">
        <x:v>Household relocation and reception</x:v>
      </x:c>
      <x:c r="I89" s="22" t="n">
        <x:v>46</x:v>
      </x:c>
      <x:c r="J89" s="22" t="n">
        <x:v>7</x:v>
      </x:c>
      <x:c r="K89" s="22" t="str">
        <x:v>DRAFT</x:v>
      </x:c>
      <x:c r="L89" s="22" t="n">
        <x:v>0</x:v>
      </x:c>
    </x:row>
    <x:row r="90">
      <x:c r="C90" s="22" t="str">
        <x:v>HU-R4-B</x:v>
      </x:c>
      <x:c r="D90" s="22" t="str">
        <x:v>C3-HU-B-RB1</x:v>
      </x:c>
      <x:c r="E90" s="22" t="str">
        <x:v>MS-HU</x:v>
      </x:c>
      <x:c r="F90" s="22" t="str">
        <x:v>B</x:v>
      </x:c>
      <x:c r="G90" s="22" t="str">
        <x:v>HU-R4</x:v>
      </x:c>
      <x:c r="H90" s="22" t="str">
        <x:v>Household relocation and reception</x:v>
      </x:c>
      <x:c r="I90" s="22" t="n">
        <x:v>46</x:v>
      </x:c>
      <x:c r="J90" s="22" t="n">
        <x:v>7</x:v>
      </x:c>
      <x:c r="K90" s="22" t="str">
        <x:v>DRAFT</x:v>
      </x:c>
      <x:c r="L90" s="22" t="n">
        <x:v>0</x:v>
      </x:c>
    </x:row>
    <x:row r="91">
      <x:c r="C91" s="22" t="str">
        <x:v>HU-R4-C</x:v>
      </x:c>
      <x:c r="D91" s="22" t="str">
        <x:v>C3-HU-C-RB1</x:v>
      </x:c>
      <x:c r="E91" s="22" t="str">
        <x:v>MS-HU</x:v>
      </x:c>
      <x:c r="F91" s="22" t="str">
        <x:v>C</x:v>
      </x:c>
      <x:c r="G91" s="22" t="str">
        <x:v>HU-R4</x:v>
      </x:c>
      <x:c r="H91" s="22" t="str">
        <x:v>Household relocation and reception</x:v>
      </x:c>
      <x:c r="I91" s="22" t="n">
        <x:v>46</x:v>
      </x:c>
      <x:c r="J91" s="22" t="n">
        <x:v>7</x:v>
      </x:c>
      <x:c r="K91" s="22" t="str">
        <x:v>DRAFT</x:v>
      </x:c>
      <x:c r="L91" s="22" t="n">
        <x:v>0</x:v>
      </x:c>
    </x:row>
    <x:row r="92">
      <x:c r="C92" s="22" t="str">
        <x:v>HU-R4-D</x:v>
      </x:c>
      <x:c r="D92" s="22" t="str">
        <x:v>C3-HU-D-RB1</x:v>
      </x:c>
      <x:c r="E92" s="22" t="str">
        <x:v>MS-HU</x:v>
      </x:c>
      <x:c r="F92" s="22" t="str">
        <x:v>D</x:v>
      </x:c>
      <x:c r="G92" s="22" t="str">
        <x:v>HU-R4</x:v>
      </x:c>
      <x:c r="H92" s="22" t="str">
        <x:v>Household relocation and reception</x:v>
      </x:c>
      <x:c r="I92" s="22" t="n">
        <x:v>46</x:v>
      </x:c>
      <x:c r="J92" s="22" t="n">
        <x:v>7</x:v>
      </x:c>
      <x:c r="K92" s="22" t="str">
        <x:v>DRAFT</x:v>
      </x:c>
      <x:c r="L92" s="22" t="n">
        <x:v>0</x:v>
      </x:c>
    </x:row>
    <x:row r="93">
      <x:c r="C93" s="22" t="str">
        <x:v>HU-R5-A</x:v>
      </x:c>
      <x:c r="D93" s="22" t="str">
        <x:v>C3-HU-A-RB1</x:v>
      </x:c>
      <x:c r="E93" s="22" t="str">
        <x:v>MS-HU</x:v>
      </x:c>
      <x:c r="F93" s="22" t="str">
        <x:v>A</x:v>
      </x:c>
      <x:c r="G93" s="22" t="str">
        <x:v>HU-R5</x:v>
      </x:c>
      <x:c r="H93" s="22" t="str">
        <x:v>Workforce replacement</x:v>
      </x:c>
      <x:c r="I93" s="22" t="n">
        <x:v>10</x:v>
      </x:c>
      <x:c r="J93" s="22" t="n">
        <x:v>7</x:v>
      </x:c>
      <x:c r="K93" s="22" t="str">
        <x:v>DRAFT</x:v>
      </x:c>
      <x:c r="L93" s="22" t="n">
        <x:v>0</x:v>
      </x:c>
    </x:row>
    <x:row r="94">
      <x:c r="C94" s="22" t="str">
        <x:v>HU-R5-B</x:v>
      </x:c>
      <x:c r="D94" s="22" t="str">
        <x:v>C3-HU-B-RB1</x:v>
      </x:c>
      <x:c r="E94" s="22" t="str">
        <x:v>MS-HU</x:v>
      </x:c>
      <x:c r="F94" s="22" t="str">
        <x:v>B</x:v>
      </x:c>
      <x:c r="G94" s="22" t="str">
        <x:v>HU-R5</x:v>
      </x:c>
      <x:c r="H94" s="22" t="str">
        <x:v>Workforce replacement</x:v>
      </x:c>
      <x:c r="I94" s="22" t="n">
        <x:v>10</x:v>
      </x:c>
      <x:c r="J94" s="22" t="n">
        <x:v>7</x:v>
      </x:c>
      <x:c r="K94" s="22" t="str">
        <x:v>DRAFT</x:v>
      </x:c>
      <x:c r="L94" s="22" t="n">
        <x:v>0</x:v>
      </x:c>
    </x:row>
    <x:row r="95">
      <x:c r="C95" s="22" t="str">
        <x:v>HU-R5-C</x:v>
      </x:c>
      <x:c r="D95" s="22" t="str">
        <x:v>C3-HU-C-RB1</x:v>
      </x:c>
      <x:c r="E95" s="22" t="str">
        <x:v>MS-HU</x:v>
      </x:c>
      <x:c r="F95" s="22" t="str">
        <x:v>C</x:v>
      </x:c>
      <x:c r="G95" s="22" t="str">
        <x:v>HU-R5</x:v>
      </x:c>
      <x:c r="H95" s="22" t="str">
        <x:v>Workforce replacement</x:v>
      </x:c>
      <x:c r="I95" s="22" t="n">
        <x:v>10</x:v>
      </x:c>
      <x:c r="J95" s="22" t="n">
        <x:v>7</x:v>
      </x:c>
      <x:c r="K95" s="22" t="str">
        <x:v>DRAFT</x:v>
      </x:c>
      <x:c r="L95" s="22" t="n">
        <x:v>0</x:v>
      </x:c>
    </x:row>
    <x:row r="96">
      <x:c r="C96" s="22" t="str">
        <x:v>HU-R5-D</x:v>
      </x:c>
      <x:c r="D96" s="22" t="str">
        <x:v>C3-HU-D-RB1</x:v>
      </x:c>
      <x:c r="E96" s="22" t="str">
        <x:v>MS-HU</x:v>
      </x:c>
      <x:c r="F96" s="22" t="str">
        <x:v>D</x:v>
      </x:c>
      <x:c r="G96" s="22" t="str">
        <x:v>HU-R5</x:v>
      </x:c>
      <x:c r="H96" s="22" t="str">
        <x:v>Workforce replacement</x:v>
      </x:c>
      <x:c r="I96" s="22" t="n">
        <x:v>10</x:v>
      </x:c>
      <x:c r="J96" s="22" t="n">
        <x:v>7</x:v>
      </x:c>
      <x:c r="K96" s="22" t="str">
        <x:v>DRAFT</x:v>
      </x:c>
      <x:c r="L96" s="22" t="n">
        <x:v>0</x:v>
      </x:c>
    </x:row>
    <x:row r="97">
      <x:c r="C97" s="22" t="str">
        <x:v>RT-R1-A</x:v>
      </x:c>
      <x:c r="D97" s="22" t="str">
        <x:v>C3-RT-A-RB1</x:v>
      </x:c>
      <x:c r="E97" s="22" t="str">
        <x:v>MS-RT</x:v>
      </x:c>
      <x:c r="F97" s="22" t="str">
        <x:v>A</x:v>
      </x:c>
      <x:c r="G97" s="22" t="str">
        <x:v>RT-R1</x:v>
      </x:c>
      <x:c r="H97" s="22" t="str">
        <x:v>Campaign, ocean and offshore sustainment</x:v>
      </x:c>
      <x:c r="I97" s="22" t="n">
        <x:v>15</x:v>
      </x:c>
      <x:c r="J97" s="22" t="n">
        <x:v>7</x:v>
      </x:c>
      <x:c r="K97" s="22" t="str">
        <x:v>DRAFT</x:v>
      </x:c>
      <x:c r="L97" s="22" t="n">
        <x:v>0</x:v>
      </x:c>
    </x:row>
    <x:row r="98">
      <x:c r="C98" s="22" t="str">
        <x:v>RT-R1-B</x:v>
      </x:c>
      <x:c r="D98" s="22" t="str">
        <x:v>C3-RT-B-RB1</x:v>
      </x:c>
      <x:c r="E98" s="22" t="str">
        <x:v>MS-RT</x:v>
      </x:c>
      <x:c r="F98" s="22" t="str">
        <x:v>B</x:v>
      </x:c>
      <x:c r="G98" s="22" t="str">
        <x:v>RT-R1</x:v>
      </x:c>
      <x:c r="H98" s="22" t="str">
        <x:v>Campaign, ocean and offshore sustainment</x:v>
      </x:c>
      <x:c r="I98" s="22" t="n">
        <x:v>15</x:v>
      </x:c>
      <x:c r="J98" s="22" t="n">
        <x:v>7</x:v>
      </x:c>
      <x:c r="K98" s="22" t="str">
        <x:v>DRAFT</x:v>
      </x:c>
      <x:c r="L98" s="22" t="n">
        <x:v>0</x:v>
      </x:c>
    </x:row>
    <x:row r="99">
      <x:c r="C99" s="22" t="str">
        <x:v>RT-R1-C</x:v>
      </x:c>
      <x:c r="D99" s="22" t="str">
        <x:v>C3-RT-C-RB1</x:v>
      </x:c>
      <x:c r="E99" s="22" t="str">
        <x:v>MS-RT</x:v>
      </x:c>
      <x:c r="F99" s="22" t="str">
        <x:v>C</x:v>
      </x:c>
      <x:c r="G99" s="22" t="str">
        <x:v>RT-R1</x:v>
      </x:c>
      <x:c r="H99" s="22" t="str">
        <x:v>Campaign, ocean and offshore sustainment</x:v>
      </x:c>
      <x:c r="I99" s="22" t="n">
        <x:v>15</x:v>
      </x:c>
      <x:c r="J99" s="22" t="n">
        <x:v>7</x:v>
      </x:c>
      <x:c r="K99" s="22" t="str">
        <x:v>DRAFT</x:v>
      </x:c>
      <x:c r="L99" s="22" t="n">
        <x:v>0</x:v>
      </x:c>
    </x:row>
    <x:row r="100">
      <x:c r="C100" s="22" t="str">
        <x:v>RT-R1-D</x:v>
      </x:c>
      <x:c r="D100" s="22" t="str">
        <x:v>C3-RT-D-RB1</x:v>
      </x:c>
      <x:c r="E100" s="22" t="str">
        <x:v>MS-RT</x:v>
      </x:c>
      <x:c r="F100" s="22" t="str">
        <x:v>D</x:v>
      </x:c>
      <x:c r="G100" s="22" t="str">
        <x:v>RT-R1</x:v>
      </x:c>
      <x:c r="H100" s="22" t="str">
        <x:v>Campaign, ocean and offshore sustainment</x:v>
      </x:c>
      <x:c r="I100" s="22" t="n">
        <x:v>15</x:v>
      </x:c>
      <x:c r="J100" s="22" t="n">
        <x:v>7</x:v>
      </x:c>
      <x:c r="K100" s="22" t="str">
        <x:v>DRAFT</x:v>
      </x:c>
      <x:c r="L100" s="22" t="n">
        <x:v>0</x:v>
      </x:c>
    </x:row>
    <x:row r="101">
      <x:c r="C101" s="22" t="str">
        <x:v>RT-R2-A</x:v>
      </x:c>
      <x:c r="D101" s="22" t="str">
        <x:v>C3-RT-A-RB1</x:v>
      </x:c>
      <x:c r="E101" s="22" t="str">
        <x:v>MS-RT</x:v>
      </x:c>
      <x:c r="F101" s="22" t="str">
        <x:v>A</x:v>
      </x:c>
      <x:c r="G101" s="22" t="str">
        <x:v>RT-R2</x:v>
      </x:c>
      <x:c r="H101" s="22" t="str">
        <x:v>Replacement and reconstitution</x:v>
      </x:c>
      <x:c r="I101" s="22" t="n">
        <x:v>5</x:v>
      </x:c>
      <x:c r="J101" s="22" t="n">
        <x:v>7</x:v>
      </x:c>
      <x:c r="K101" s="22" t="str">
        <x:v>DRAFT</x:v>
      </x:c>
      <x:c r="L101" s="22" t="n">
        <x:v>0</x:v>
      </x:c>
    </x:row>
    <x:row r="102">
      <x:c r="C102" s="22" t="str">
        <x:v>RT-R2-B</x:v>
      </x:c>
      <x:c r="D102" s="22" t="str">
        <x:v>C3-RT-B-RB1</x:v>
      </x:c>
      <x:c r="E102" s="22" t="str">
        <x:v>MS-RT</x:v>
      </x:c>
      <x:c r="F102" s="22" t="str">
        <x:v>B</x:v>
      </x:c>
      <x:c r="G102" s="22" t="str">
        <x:v>RT-R2</x:v>
      </x:c>
      <x:c r="H102" s="22" t="str">
        <x:v>Replacement and reconstitution</x:v>
      </x:c>
      <x:c r="I102" s="22" t="n">
        <x:v>5</x:v>
      </x:c>
      <x:c r="J102" s="22" t="n">
        <x:v>7</x:v>
      </x:c>
      <x:c r="K102" s="22" t="str">
        <x:v>DRAFT</x:v>
      </x:c>
      <x:c r="L102" s="22" t="n">
        <x:v>0</x:v>
      </x:c>
    </x:row>
    <x:row r="103">
      <x:c r="C103" s="22" t="str">
        <x:v>RT-R2-C</x:v>
      </x:c>
      <x:c r="D103" s="22" t="str">
        <x:v>C3-RT-C-RB1</x:v>
      </x:c>
      <x:c r="E103" s="22" t="str">
        <x:v>MS-RT</x:v>
      </x:c>
      <x:c r="F103" s="22" t="str">
        <x:v>C</x:v>
      </x:c>
      <x:c r="G103" s="22" t="str">
        <x:v>RT-R2</x:v>
      </x:c>
      <x:c r="H103" s="22" t="str">
        <x:v>Replacement and reconstitution</x:v>
      </x:c>
      <x:c r="I103" s="22" t="n">
        <x:v>5</x:v>
      </x:c>
      <x:c r="J103" s="22" t="n">
        <x:v>7</x:v>
      </x:c>
      <x:c r="K103" s="22" t="str">
        <x:v>DRAFT</x:v>
      </x:c>
      <x:c r="L103" s="22" t="n">
        <x:v>0</x:v>
      </x:c>
    </x:row>
    <x:row r="104">
      <x:c r="C104" s="22" t="str">
        <x:v>RT-R2-D</x:v>
      </x:c>
      <x:c r="D104" s="22" t="str">
        <x:v>C3-RT-D-RB1</x:v>
      </x:c>
      <x:c r="E104" s="22" t="str">
        <x:v>MS-RT</x:v>
      </x:c>
      <x:c r="F104" s="22" t="str">
        <x:v>D</x:v>
      </x:c>
      <x:c r="G104" s="22" t="str">
        <x:v>RT-R2</x:v>
      </x:c>
      <x:c r="H104" s="22" t="str">
        <x:v>Replacement and reconstitution</x:v>
      </x:c>
      <x:c r="I104" s="22" t="n">
        <x:v>5</x:v>
      </x:c>
      <x:c r="J104" s="22" t="n">
        <x:v>7</x:v>
      </x:c>
      <x:c r="K104" s="22" t="str">
        <x:v>DRAFT</x:v>
      </x:c>
      <x:c r="L104" s="22" t="n">
        <x:v>0</x:v>
      </x:c>
    </x:row>
    <x:row r="105">
      <x:c r="C105" s="22" t="str">
        <x:v>RT-R3-A</x:v>
      </x:c>
      <x:c r="D105" s="22" t="str">
        <x:v>C3-RT-A-RB1</x:v>
      </x:c>
      <x:c r="E105" s="22" t="str">
        <x:v>MS-RT</x:v>
      </x:c>
      <x:c r="F105" s="22" t="str">
        <x:v>A</x:v>
      </x:c>
      <x:c r="G105" s="22" t="str">
        <x:v>RT-R3</x:v>
      </x:c>
      <x:c r="H105" s="22" t="str">
        <x:v>Utility reconstruction</x:v>
      </x:c>
      <x:c r="I105" s="22" t="n">
        <x:v>12</x:v>
      </x:c>
      <x:c r="J105" s="22" t="n">
        <x:v>7</x:v>
      </x:c>
      <x:c r="K105" s="22" t="str">
        <x:v>DRAFT</x:v>
      </x:c>
      <x:c r="L105" s="22" t="n">
        <x:v>0</x:v>
      </x:c>
    </x:row>
    <x:row r="106">
      <x:c r="C106" s="22" t="str">
        <x:v>RT-R3-B</x:v>
      </x:c>
      <x:c r="D106" s="22" t="str">
        <x:v>C3-RT-B-RB1</x:v>
      </x:c>
      <x:c r="E106" s="22" t="str">
        <x:v>MS-RT</x:v>
      </x:c>
      <x:c r="F106" s="22" t="str">
        <x:v>B</x:v>
      </x:c>
      <x:c r="G106" s="22" t="str">
        <x:v>RT-R3</x:v>
      </x:c>
      <x:c r="H106" s="22" t="str">
        <x:v>Utility reconstruction</x:v>
      </x:c>
      <x:c r="I106" s="22" t="n">
        <x:v>12</x:v>
      </x:c>
      <x:c r="J106" s="22" t="n">
        <x:v>7</x:v>
      </x:c>
      <x:c r="K106" s="22" t="str">
        <x:v>DRAFT</x:v>
      </x:c>
      <x:c r="L106" s="22" t="n">
        <x:v>0</x:v>
      </x:c>
    </x:row>
    <x:row r="107">
      <x:c r="C107" s="22" t="str">
        <x:v>RT-R3-C</x:v>
      </x:c>
      <x:c r="D107" s="22" t="str">
        <x:v>C3-RT-C-RB1</x:v>
      </x:c>
      <x:c r="E107" s="22" t="str">
        <x:v>MS-RT</x:v>
      </x:c>
      <x:c r="F107" s="22" t="str">
        <x:v>C</x:v>
      </x:c>
      <x:c r="G107" s="22" t="str">
        <x:v>RT-R3</x:v>
      </x:c>
      <x:c r="H107" s="22" t="str">
        <x:v>Utility reconstruction</x:v>
      </x:c>
      <x:c r="I107" s="22" t="n">
        <x:v>12</x:v>
      </x:c>
      <x:c r="J107" s="22" t="n">
        <x:v>7</x:v>
      </x:c>
      <x:c r="K107" s="22" t="str">
        <x:v>DRAFT</x:v>
      </x:c>
      <x:c r="L107" s="22" t="n">
        <x:v>0</x:v>
      </x:c>
    </x:row>
    <x:row r="108">
      <x:c r="C108" s="22" t="str">
        <x:v>RT-R3-D</x:v>
      </x:c>
      <x:c r="D108" s="22" t="str">
        <x:v>C3-RT-D-RB1</x:v>
      </x:c>
      <x:c r="E108" s="22" t="str">
        <x:v>MS-RT</x:v>
      </x:c>
      <x:c r="F108" s="22" t="str">
        <x:v>D</x:v>
      </x:c>
      <x:c r="G108" s="22" t="str">
        <x:v>RT-R3</x:v>
      </x:c>
      <x:c r="H108" s="22" t="str">
        <x:v>Utility reconstruction</x:v>
      </x:c>
      <x:c r="I108" s="22" t="n">
        <x:v>12</x:v>
      </x:c>
      <x:c r="J108" s="22" t="n">
        <x:v>7</x:v>
      </x:c>
      <x:c r="K108" s="22" t="str">
        <x:v>DRAFT</x:v>
      </x:c>
      <x:c r="L108" s="22" t="n">
        <x:v>0</x:v>
      </x:c>
    </x:row>
    <x:row r="109">
      <x:c r="C109" s="22" t="str">
        <x:v>RT-R4-A</x:v>
      </x:c>
      <x:c r="D109" s="22" t="str">
        <x:v>C3-RT-A-RB1</x:v>
      </x:c>
      <x:c r="E109" s="22" t="str">
        <x:v>MS-RT</x:v>
      </x:c>
      <x:c r="F109" s="22" t="str">
        <x:v>A</x:v>
      </x:c>
      <x:c r="G109" s="22" t="str">
        <x:v>RT-R4</x:v>
      </x:c>
      <x:c r="H109" s="22" t="str">
        <x:v>Civil, institution and economic transfer</x:v>
      </x:c>
      <x:c r="I109" s="22" t="n">
        <x:v>22</x:v>
      </x:c>
      <x:c r="J109" s="22" t="n">
        <x:v>7</x:v>
      </x:c>
      <x:c r="K109" s="22" t="str">
        <x:v>DRAFT</x:v>
      </x:c>
      <x:c r="L109" s="22" t="n">
        <x:v>0</x:v>
      </x:c>
    </x:row>
    <x:row r="110">
      <x:c r="C110" s="22" t="str">
        <x:v>RT-R4-B</x:v>
      </x:c>
      <x:c r="D110" s="22" t="str">
        <x:v>C3-RT-B-RB1</x:v>
      </x:c>
      <x:c r="E110" s="22" t="str">
        <x:v>MS-RT</x:v>
      </x:c>
      <x:c r="F110" s="22" t="str">
        <x:v>B</x:v>
      </x:c>
      <x:c r="G110" s="22" t="str">
        <x:v>RT-R4</x:v>
      </x:c>
      <x:c r="H110" s="22" t="str">
        <x:v>Civil, institution and economic transfer</x:v>
      </x:c>
      <x:c r="I110" s="22" t="n">
        <x:v>22</x:v>
      </x:c>
      <x:c r="J110" s="22" t="n">
        <x:v>7</x:v>
      </x:c>
      <x:c r="K110" s="22" t="str">
        <x:v>DRAFT</x:v>
      </x:c>
      <x:c r="L110" s="22" t="n">
        <x:v>0</x:v>
      </x:c>
    </x:row>
    <x:row r="111">
      <x:c r="C111" s="22" t="str">
        <x:v>RT-R4-C</x:v>
      </x:c>
      <x:c r="D111" s="22" t="str">
        <x:v>C3-RT-C-RB1</x:v>
      </x:c>
      <x:c r="E111" s="22" t="str">
        <x:v>MS-RT</x:v>
      </x:c>
      <x:c r="F111" s="22" t="str">
        <x:v>C</x:v>
      </x:c>
      <x:c r="G111" s="22" t="str">
        <x:v>RT-R4</x:v>
      </x:c>
      <x:c r="H111" s="22" t="str">
        <x:v>Civil, institution and economic transfer</x:v>
      </x:c>
      <x:c r="I111" s="22" t="n">
        <x:v>22</x:v>
      </x:c>
      <x:c r="J111" s="22" t="n">
        <x:v>7</x:v>
      </x:c>
      <x:c r="K111" s="22" t="str">
        <x:v>DRAFT</x:v>
      </x:c>
      <x:c r="L111" s="22" t="n">
        <x:v>0</x:v>
      </x:c>
    </x:row>
    <x:row r="112">
      <x:c r="C112" s="22" t="str">
        <x:v>RT-R4-D</x:v>
      </x:c>
      <x:c r="D112" s="22" t="str">
        <x:v>C3-RT-D-RB1</x:v>
      </x:c>
      <x:c r="E112" s="22" t="str">
        <x:v>MS-RT</x:v>
      </x:c>
      <x:c r="F112" s="22" t="str">
        <x:v>D</x:v>
      </x:c>
      <x:c r="G112" s="22" t="str">
        <x:v>RT-R4</x:v>
      </x:c>
      <x:c r="H112" s="22" t="str">
        <x:v>Civil, institution and economic transfer</x:v>
      </x:c>
      <x:c r="I112" s="22" t="n">
        <x:v>22</x:v>
      </x:c>
      <x:c r="J112" s="22" t="n">
        <x:v>7</x:v>
      </x:c>
      <x:c r="K112" s="22" t="str">
        <x:v>DRAFT</x:v>
      </x:c>
      <x:c r="L112" s="22" t="n">
        <x:v>0</x:v>
      </x:c>
    </x:row>
    <x:row r="113">
      <x:c r="C113" s="22" t="str">
        <x:v>RT-R5-A</x:v>
      </x:c>
      <x:c r="D113" s="22" t="str">
        <x:v>C3-RT-A-RB1</x:v>
      </x:c>
      <x:c r="E113" s="22" t="str">
        <x:v>MS-RT</x:v>
      </x:c>
      <x:c r="F113" s="22" t="str">
        <x:v>A</x:v>
      </x:c>
      <x:c r="G113" s="22" t="str">
        <x:v>RT-R5</x:v>
      </x:c>
      <x:c r="H113" s="22" t="str">
        <x:v>Return, durable continuity and demobilization</x:v>
      </x:c>
      <x:c r="I113" s="22" t="n">
        <x:v>8</x:v>
      </x:c>
      <x:c r="J113" s="22" t="n">
        <x:v>7</x:v>
      </x:c>
      <x:c r="K113" s="22" t="str">
        <x:v>DRAFT</x:v>
      </x:c>
      <x:c r="L113" s="22" t="n">
        <x:v>0</x:v>
      </x:c>
    </x:row>
    <x:row r="114">
      <x:c r="C114" s="22" t="str">
        <x:v>RT-R5-B</x:v>
      </x:c>
      <x:c r="D114" s="22" t="str">
        <x:v>C3-RT-B-RB1</x:v>
      </x:c>
      <x:c r="E114" s="22" t="str">
        <x:v>MS-RT</x:v>
      </x:c>
      <x:c r="F114" s="22" t="str">
        <x:v>B</x:v>
      </x:c>
      <x:c r="G114" s="22" t="str">
        <x:v>RT-R5</x:v>
      </x:c>
      <x:c r="H114" s="22" t="str">
        <x:v>Return, durable continuity and demobilization</x:v>
      </x:c>
      <x:c r="I114" s="22" t="n">
        <x:v>8</x:v>
      </x:c>
      <x:c r="J114" s="22" t="n">
        <x:v>7</x:v>
      </x:c>
      <x:c r="K114" s="22" t="str">
        <x:v>DRAFT</x:v>
      </x:c>
      <x:c r="L114" s="22" t="n">
        <x:v>0</x:v>
      </x:c>
    </x:row>
    <x:row r="115">
      <x:c r="C115" s="22" t="str">
        <x:v>RT-R5-C</x:v>
      </x:c>
      <x:c r="D115" s="22" t="str">
        <x:v>C3-RT-C-RB1</x:v>
      </x:c>
      <x:c r="E115" s="22" t="str">
        <x:v>MS-RT</x:v>
      </x:c>
      <x:c r="F115" s="22" t="str">
        <x:v>C</x:v>
      </x:c>
      <x:c r="G115" s="22" t="str">
        <x:v>RT-R5</x:v>
      </x:c>
      <x:c r="H115" s="22" t="str">
        <x:v>Return, durable continuity and demobilization</x:v>
      </x:c>
      <x:c r="I115" s="22" t="n">
        <x:v>8</x:v>
      </x:c>
      <x:c r="J115" s="22" t="n">
        <x:v>7</x:v>
      </x:c>
      <x:c r="K115" s="22" t="str">
        <x:v>DRAFT</x:v>
      </x:c>
      <x:c r="L115" s="22" t="n">
        <x:v>0</x:v>
      </x:c>
    </x:row>
    <x:row r="116">
      <x:c r="C116" s="22" t="str">
        <x:v>RT-R5-D</x:v>
      </x:c>
      <x:c r="D116" s="22" t="str">
        <x:v>C3-RT-D-RB1</x:v>
      </x:c>
      <x:c r="E116" s="22" t="str">
        <x:v>MS-RT</x:v>
      </x:c>
      <x:c r="F116" s="22" t="str">
        <x:v>D</x:v>
      </x:c>
      <x:c r="G116" s="22" t="str">
        <x:v>RT-R5</x:v>
      </x:c>
      <x:c r="H116" s="22" t="str">
        <x:v>Return, durable continuity and demobilization</x:v>
      </x:c>
      <x:c r="I116" s="22" t="n">
        <x:v>8</x:v>
      </x:c>
      <x:c r="J116" s="22" t="n">
        <x:v>7</x:v>
      </x:c>
      <x:c r="K116" s="22" t="str">
        <x:v>DRAFT</x:v>
      </x:c>
      <x:c r="L116" s="22" t="n">
        <x:v>0</x:v>
      </x:c>
    </x:row>
  </x:sheetData>
  <x:conditionalFormatting sqref="K5:L116">
    <x:cfRule type="containsText" dxfId="20" priority="1" operator="containsText" text="FAIL"/>
    <x:cfRule type="containsText" dxfId="21" priority="2" operator="containsText" text="REJECT"/>
    <x:cfRule type="containsText" dxfId="22" priority="3" operator="containsText" text="OPEN"/>
    <x:cfRule type="containsText" dxfId="23" priority="4" operator="containsText" text="HOLD"/>
    <x:cfRule type="containsText" dxfId="24" priority="5" operator="containsText" text="SELECT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.559999942779541" hidden="0" customWidth="1"/>
    <x:col min="2" max="2" width="1.559999942779541" hidden="0" customWidth="1"/>
    <x:col min="3" max="3" width="7.21999979019165" hidden="0" customWidth="1"/>
    <x:col min="4" max="4" width="16.670000076293945" hidden="0" customWidth="1"/>
    <x:col min="5" max="5" width="33.33000183105469" hidden="0" customWidth="1"/>
    <x:col min="6" max="6" width="13.890000343322754" hidden="0" customWidth="1"/>
    <x:col min="7" max="7" width="12.779999732971191" hidden="0" customWidth="1"/>
    <x:col min="8" max="8" width="13.890000343322754" hidden="0" customWidth="1"/>
    <x:col min="9" max="9" width="46.66999816894531" hidden="0" customWidth="1"/>
    <x:col min="10" max="10" width="8.890000343322754" hidden="0" customWidth="1"/>
  </x:cols>
  <x:sheetData>
    <x:row r="2">
      <x:c r="C2" s="1" t="str">
        <x:v>Typed commonality and failure-domain law</x:v>
      </x:c>
    </x:row>
    <x:row r="3">
      <x:c r="C3" s="2" t="str">
        <x:v>Sameness is allowed only where it improves interoperability without creating a shared execution cut set.</x:v>
      </x:c>
    </x:row>
    <x:row r="4" ht="24" customHeight="1">
      <x:c r="C4" s="8" t="str">
        <x:v>Rule</x:v>
      </x:c>
      <x:c r="D4" s="8" t="str">
        <x:v>Class</x:v>
      </x:c>
      <x:c r="E4" s="8" t="str">
        <x:v>Object or domain</x:v>
      </x:c>
      <x:c r="F4" s="8" t="str">
        <x:v>Maximum roots per node</x:v>
      </x:c>
      <x:c r="G4" s="8" t="str">
        <x:v>Implementation floor</x:v>
      </x:c>
      <x:c r="H4" s="8" t="str">
        <x:v>Central runtime allowed</x:v>
      </x:c>
      <x:c r="I4" s="8" t="str">
        <x:v>Failure rule</x:v>
      </x:c>
      <x:c r="J4" s="8" t="str">
        <x:v>State</x:v>
      </x:c>
    </x:row>
    <x:row r="5" ht="31.5" customHeight="1">
      <x:c r="C5" s="25" t="str">
        <x:v>S01</x:v>
      </x:c>
      <x:c r="D5" s="25" t="str">
        <x:v>PUBLIC_SEAM</x:v>
      </x:c>
      <x:c r="E5" s="25" t="str">
        <x:v>Six-system, seven-stage service grammar</x:v>
      </x:c>
      <x:c r="F5" s="25" t="n">
        <x:v>24</x:v>
      </x:c>
      <x:c r="G5" s="25" t="n">
        <x:v>4</x:v>
      </x:c>
      <x:c r="H5" s="25" t="str">
        <x:v>NO</x:v>
      </x:c>
      <x:c r="I5" s="25" t="str">
        <x:v>Four independent implementations; no live central broker</x:v>
      </x:c>
      <x:c r="J5" s="25" t="str">
        <x:v>DRAFT</x:v>
      </x:c>
    </x:row>
    <x:row r="6" ht="31.5" customHeight="1">
      <x:c r="C6" s="26" t="str">
        <x:v>S02</x:v>
      </x:c>
      <x:c r="D6" s="26" t="str">
        <x:v>PUBLIC_SEAM</x:v>
      </x:c>
      <x:c r="E6" s="26" t="str">
        <x:v>Twenty-field exchange record</x:v>
      </x:c>
      <x:c r="F6" s="26" t="n">
        <x:v>24</x:v>
      </x:c>
      <x:c r="G6" s="26" t="n">
        <x:v>4</x:v>
      </x:c>
      <x:c r="H6" s="26" t="str">
        <x:v>NO</x:v>
      </x:c>
      <x:c r="I6" s="26" t="str">
        <x:v>Common semantics; root-native storage, signing and replay</x:v>
      </x:c>
      <x:c r="J6" s="26" t="str">
        <x:v>DRAFT</x:v>
      </x:c>
    </x:row>
    <x:row r="7" ht="31.5" customHeight="1">
      <x:c r="C7" s="26" t="str">
        <x:v>S03</x:v>
      </x:c>
      <x:c r="D7" s="26" t="str">
        <x:v>PUBLIC_SEAM</x:v>
      </x:c>
      <x:c r="E7" s="26" t="str">
        <x:v>Units, coordinates and physical reference frames</x:v>
      </x:c>
      <x:c r="F7" s="26" t="n">
        <x:v>24</x:v>
      </x:c>
      <x:c r="G7" s="26" t="n">
        <x:v>4</x:v>
      </x:c>
      <x:c r="H7" s="26" t="str">
        <x:v>NO</x:v>
      </x:c>
      <x:c r="I7" s="26" t="str">
        <x:v>Traveling standards and independent realization</x:v>
      </x:c>
      <x:c r="J7" s="26" t="str">
        <x:v>DRAFT</x:v>
      </x:c>
    </x:row>
    <x:row r="8" ht="31.5" customHeight="1">
      <x:c r="C8" s="26" t="str">
        <x:v>S04</x:v>
      </x:c>
      <x:c r="D8" s="26" t="str">
        <x:v>PUBLIC_SEAM</x:v>
      </x:c>
      <x:c r="E8" s="26" t="str">
        <x:v>Safety and safe-state vocabulary</x:v>
      </x:c>
      <x:c r="F8" s="26" t="n">
        <x:v>24</x:v>
      </x:c>
      <x:c r="G8" s="26" t="n">
        <x:v>4</x:v>
      </x:c>
      <x:c r="H8" s="26" t="str">
        <x:v>NO</x:v>
      </x:c>
      <x:c r="I8" s="26" t="str">
        <x:v>Same boundary; independent actuation and witness</x:v>
      </x:c>
      <x:c r="J8" s="26" t="str">
        <x:v>DRAFT</x:v>
      </x:c>
    </x:row>
    <x:row r="9" ht="31.5" customHeight="1">
      <x:c r="C9" s="26" t="str">
        <x:v>S05</x:v>
      </x:c>
      <x:c r="D9" s="26" t="str">
        <x:v>PUBLIC_SEAM</x:v>
      </x:c>
      <x:c r="E9" s="26" t="str">
        <x:v>Accessibility, consent and civil-rights rules</x:v>
      </x:c>
      <x:c r="F9" s="26" t="n">
        <x:v>24</x:v>
      </x:c>
      <x:c r="G9" s="26" t="n">
        <x:v>4</x:v>
      </x:c>
      <x:c r="H9" s="26" t="str">
        <x:v>NO</x:v>
      </x:c>
      <x:c r="I9" s="26" t="str">
        <x:v>Same public duty; independent service implementation</x:v>
      </x:c>
      <x:c r="J9" s="26" t="str">
        <x:v>DRAFT</x:v>
      </x:c>
    </x:row>
    <x:row r="10" ht="31.5" customHeight="1">
      <x:c r="C10" s="26" t="str">
        <x:v>S06</x:v>
      </x:c>
      <x:c r="D10" s="26" t="str">
        <x:v>PUBLIC_SEAM</x:v>
      </x:c>
      <x:c r="E10" s="26" t="str">
        <x:v>Custody and serial identity grammar</x:v>
      </x:c>
      <x:c r="F10" s="26" t="n">
        <x:v>24</x:v>
      </x:c>
      <x:c r="G10" s="26" t="n">
        <x:v>4</x:v>
      </x:c>
      <x:c r="H10" s="26" t="str">
        <x:v>NO</x:v>
      </x:c>
      <x:c r="I10" s="26" t="str">
        <x:v>Portable identity; root-native authority and keys</x:v>
      </x:c>
      <x:c r="J10" s="26" t="str">
        <x:v>DRAFT</x:v>
      </x:c>
    </x:row>
    <x:row r="11" ht="31.5" customHeight="1">
      <x:c r="C11" s="26" t="str">
        <x:v>S07</x:v>
      </x:c>
      <x:c r="D11" s="26" t="str">
        <x:v>PUBLIC_SEAM</x:v>
      </x:c>
      <x:c r="E11" s="26" t="str">
        <x:v>Evidence artifact and uncertainty format</x:v>
      </x:c>
      <x:c r="F11" s="26" t="n">
        <x:v>24</x:v>
      </x:c>
      <x:c r="G11" s="26" t="n">
        <x:v>4</x:v>
      </x:c>
      <x:c r="H11" s="26" t="str">
        <x:v>NO</x:v>
      </x:c>
      <x:c r="I11" s="26" t="str">
        <x:v>Comparable records; unlike sensing and calibration ancestry</x:v>
      </x:c>
      <x:c r="J11" s="26" t="str">
        <x:v>DRAFT</x:v>
      </x:c>
    </x:row>
    <x:row r="12" ht="31.5" customHeight="1">
      <x:c r="C12" s="26" t="str">
        <x:v>S08</x:v>
      </x:c>
      <x:c r="D12" s="26" t="str">
        <x:v>PUBLIC_SEAM</x:v>
      </x:c>
      <x:c r="E12" s="26" t="str">
        <x:v>Utility quality and public connection classes</x:v>
      </x:c>
      <x:c r="F12" s="26" t="n">
        <x:v>24</x:v>
      </x:c>
      <x:c r="G12" s="26" t="n">
        <x:v>4</x:v>
      </x:c>
      <x:c r="H12" s="26" t="str">
        <x:v>NO</x:v>
      </x:c>
      <x:c r="I12" s="26" t="str">
        <x:v>Bounded adapters; receiving authority retains refusal</x:v>
      </x:c>
      <x:c r="J12" s="26" t="str">
        <x:v>DRAFT</x:v>
      </x:c>
    </x:row>
    <x:row r="13" ht="31.5" customHeight="1">
      <x:c r="C13" s="26" t="str">
        <x:v>P01</x:v>
      </x:c>
      <x:c r="D13" s="26" t="str">
        <x:v>SUBSTITUTABLE_POOL</x:v>
      </x:c>
      <x:c r="E13" s="26" t="str">
        <x:v>Commodity material class</x:v>
      </x:c>
      <x:c r="F13" s="26" t="n">
        <x:v>2</x:v>
      </x:c>
      <x:c r="G13" s="26" t="n">
        <x:v>2</x:v>
      </x:c>
      <x:c r="H13" s="26" t="str">
        <x:v>NO</x:v>
      </x:c>
      <x:c r="I13" s="26" t="str">
        <x:v>No provider, lot, region or converter exceeds two roots</x:v>
      </x:c>
      <x:c r="J13" s="26" t="str">
        <x:v>OPEN</x:v>
      </x:c>
    </x:row>
    <x:row r="14" ht="31.5" customHeight="1">
      <x:c r="C14" s="26" t="str">
        <x:v>P02</x:v>
      </x:c>
      <x:c r="D14" s="26" t="str">
        <x:v>SUBSTITUTABLE_POOL</x:v>
      </x:c>
      <x:c r="E14" s="26" t="str">
        <x:v>Spectrum or communications band</x:v>
      </x:c>
      <x:c r="F14" s="26" t="n">
        <x:v>2</x:v>
      </x:c>
      <x:c r="G14" s="26" t="n">
        <x:v>2</x:v>
      </x:c>
      <x:c r="H14" s="26" t="str">
        <x:v>NO</x:v>
      </x:c>
      <x:c r="I14" s="26" t="str">
        <x:v>Every root retains a qualified alternate mode</x:v>
      </x:c>
      <x:c r="J14" s="26" t="str">
        <x:v>OPEN</x:v>
      </x:c>
    </x:row>
    <x:row r="15" ht="31.5" customHeight="1">
      <x:c r="C15" s="26" t="str">
        <x:v>P03</x:v>
      </x:c>
      <x:c r="D15" s="26" t="str">
        <x:v>SUBSTITUTABLE_POOL</x:v>
      </x:c>
      <x:c r="E15" s="26" t="str">
        <x:v>Standard electronic component class</x:v>
      </x:c>
      <x:c r="F15" s="26" t="n">
        <x:v>2</x:v>
      </x:c>
      <x:c r="G15" s="26" t="n">
        <x:v>2</x:v>
      </x:c>
      <x:c r="H15" s="26" t="str">
        <x:v>NO</x:v>
      </x:c>
      <x:c r="I15" s="26" t="str">
        <x:v>Different production lots, signers and qualified substitutes</x:v>
      </x:c>
      <x:c r="J15" s="26" t="str">
        <x:v>OPEN</x:v>
      </x:c>
    </x:row>
    <x:row r="16" ht="31.5" customHeight="1">
      <x:c r="C16" s="26" t="str">
        <x:v>P04</x:v>
      </x:c>
      <x:c r="D16" s="26" t="str">
        <x:v>SUBSTITUTABLE_POOL</x:v>
      </x:c>
      <x:c r="E16" s="26" t="str">
        <x:v>Bulk fuel, water or industrial feedstock class</x:v>
      </x:c>
      <x:c r="F16" s="26" t="n">
        <x:v>2</x:v>
      </x:c>
      <x:c r="G16" s="26" t="n">
        <x:v>2</x:v>
      </x:c>
      <x:c r="H16" s="26" t="str">
        <x:v>NO</x:v>
      </x:c>
      <x:c r="I16" s="26" t="str">
        <x:v>Source class may recur; conversion and custody remain unlike</x:v>
      </x:c>
      <x:c r="J16" s="26" t="str">
        <x:v>OPEN</x:v>
      </x:c>
    </x:row>
    <x:row r="17" ht="31.5" customHeight="1">
      <x:c r="C17" s="26" t="str">
        <x:v>X01</x:v>
      </x:c>
      <x:c r="D17" s="26" t="str">
        <x:v>ROOT_EXCLUSIVE</x:v>
      </x:c>
      <x:c r="E17" s="26" t="str">
        <x:v>Root integrator and beneficial control</x:v>
      </x:c>
      <x:c r="F17" s="26" t="n">
        <x:v>1</x:v>
      </x:c>
      <x:c r="G17" s="26" t="n">
        <x:v>1</x:v>
      </x:c>
      <x:c r="H17" s="26" t="str">
        <x:v>NO</x:v>
      </x:c>
      <x:c r="I17" s="26" t="str">
        <x:v>One corporate-control failure cannot reach another root</x:v>
      </x:c>
      <x:c r="J17" s="26" t="str">
        <x:v>OPEN</x:v>
      </x:c>
    </x:row>
    <x:row r="18" ht="31.5" customHeight="1">
      <x:c r="C18" s="26" t="str">
        <x:v>X02</x:v>
      </x:c>
      <x:c r="D18" s="26" t="str">
        <x:v>ROOT_EXCLUSIVE</x:v>
      </x:c>
      <x:c r="E18" s="26" t="str">
        <x:v>Prime work physics and mechanism authority</x:v>
      </x:c>
      <x:c r="F18" s="26" t="n">
        <x:v>1</x:v>
      </x:c>
      <x:c r="G18" s="26" t="n">
        <x:v>1</x:v>
      </x:c>
      <x:c r="H18" s="26" t="str">
        <x:v>NO</x:v>
      </x:c>
      <x:c r="I18" s="26" t="str">
        <x:v>A decisive mechanism owner is not shared across roots</x:v>
      </x:c>
      <x:c r="J18" s="26" t="str">
        <x:v>OPEN</x:v>
      </x:c>
    </x:row>
    <x:row r="19" ht="31.5" customHeight="1">
      <x:c r="C19" s="26" t="str">
        <x:v>X03</x:v>
      </x:c>
      <x:c r="D19" s="26" t="str">
        <x:v>ROOT_EXCLUSIVE</x:v>
      </x:c>
      <x:c r="E19" s="26" t="str">
        <x:v>Primary energy conversion and safe-state chain</x:v>
      </x:c>
      <x:c r="F19" s="26" t="n">
        <x:v>1</x:v>
      </x:c>
      <x:c r="G19" s="26" t="n">
        <x:v>1</x:v>
      </x:c>
      <x:c r="H19" s="26" t="str">
        <x:v>NO</x:v>
      </x:c>
      <x:c r="I19" s="26" t="str">
        <x:v>One energy design, key or safety case cannot remove several roots</x:v>
      </x:c>
      <x:c r="J19" s="26" t="str">
        <x:v>OPEN</x:v>
      </x:c>
    </x:row>
    <x:row r="20" ht="31.5" customHeight="1">
      <x:c r="C20" s="26" t="str">
        <x:v>X04</x:v>
      </x:c>
      <x:c r="D20" s="26" t="str">
        <x:v>ROOT_EXCLUSIVE</x:v>
      </x:c>
      <x:c r="E20" s="26" t="str">
        <x:v>Structural and material process</x:v>
      </x:c>
      <x:c r="F20" s="26" t="n">
        <x:v>1</x:v>
      </x:c>
      <x:c r="G20" s="26" t="n">
        <x:v>1</x:v>
      </x:c>
      <x:c r="H20" s="26" t="str">
        <x:v>NO</x:v>
      </x:c>
      <x:c r="I20" s="26" t="str">
        <x:v>Material-process failure remains inside one root</x:v>
      </x:c>
      <x:c r="J20" s="26" t="str">
        <x:v>OPEN</x:v>
      </x:c>
    </x:row>
    <x:row r="21" ht="31.5" customHeight="1">
      <x:c r="C21" s="26" t="str">
        <x:v>X05</x:v>
      </x:c>
      <x:c r="D21" s="26" t="str">
        <x:v>ROOT_EXCLUSIVE</x:v>
      </x:c>
      <x:c r="E21" s="26" t="str">
        <x:v>Critical feedstock conversion</x:v>
      </x:c>
      <x:c r="F21" s="26" t="n">
        <x:v>1</x:v>
      </x:c>
      <x:c r="G21" s="26" t="n">
        <x:v>1</x:v>
      </x:c>
      <x:c r="H21" s="26" t="str">
        <x:v>NO</x:v>
      </x:c>
      <x:c r="I21" s="26" t="str">
        <x:v>Commodity class may recur; decisive conversion provider may not</x:v>
      </x:c>
      <x:c r="J21" s="26" t="str">
        <x:v>OPEN</x:v>
      </x:c>
    </x:row>
    <x:row r="22" ht="31.5" customHeight="1">
      <x:c r="C22" s="26" t="str">
        <x:v>X06</x:v>
      </x:c>
      <x:c r="D22" s="26" t="str">
        <x:v>ROOT_EXCLUSIVE</x:v>
      </x:c>
      <x:c r="E22" s="26" t="str">
        <x:v>Control runtime, build system and signing keys</x:v>
      </x:c>
      <x:c r="F22" s="26" t="n">
        <x:v>1</x:v>
      </x:c>
      <x:c r="G22" s="26" t="n">
        <x:v>1</x:v>
      </x:c>
      <x:c r="H22" s="26" t="str">
        <x:v>NO</x:v>
      </x:c>
      <x:c r="I22" s="26" t="str">
        <x:v>Open code does not excuse a shared executable or signer</x:v>
      </x:c>
      <x:c r="J22" s="26" t="str">
        <x:v>OPEN</x:v>
      </x:c>
    </x:row>
    <x:row r="23" ht="31.5" customHeight="1">
      <x:c r="C23" s="26" t="str">
        <x:v>X07</x:v>
      </x:c>
      <x:c r="D23" s="26" t="str">
        <x:v>ROOT_EXCLUSIVE</x:v>
      </x:c>
      <x:c r="E23" s="26" t="str">
        <x:v>Communications and causal-time implementation</x:v>
      </x:c>
      <x:c r="F23" s="26" t="n">
        <x:v>1</x:v>
      </x:c>
      <x:c r="G23" s="26" t="n">
        <x:v>1</x:v>
      </x:c>
      <x:c r="H23" s="26" t="str">
        <x:v>NO</x:v>
      </x:c>
      <x:c r="I23" s="26" t="str">
        <x:v>Public semantics remain common; operating implementation is root-native</x:v>
      </x:c>
      <x:c r="J23" s="26" t="str">
        <x:v>OPEN</x:v>
      </x:c>
    </x:row>
    <x:row r="24" ht="31.5" customHeight="1">
      <x:c r="C24" s="26" t="str">
        <x:v>X08</x:v>
      </x:c>
      <x:c r="D24" s="26" t="str">
        <x:v>ROOT_EXCLUSIVE</x:v>
      </x:c>
      <x:c r="E24" s="26" t="str">
        <x:v>Sensing, calibration and uncertainty chain</x:v>
      </x:c>
      <x:c r="F24" s="26" t="n">
        <x:v>1</x:v>
      </x:c>
      <x:c r="G24" s="26" t="n">
        <x:v>1</x:v>
      </x:c>
      <x:c r="H24" s="26" t="str">
        <x:v>NO</x:v>
      </x:c>
      <x:c r="I24" s="26" t="str">
        <x:v>No root uses another root's only truth path</x:v>
      </x:c>
      <x:c r="J24" s="26" t="str">
        <x:v>OPEN</x:v>
      </x:c>
    </x:row>
    <x:row r="25" ht="31.5" customHeight="1">
      <x:c r="C25" s="26" t="str">
        <x:v>X09</x:v>
      </x:c>
      <x:c r="D25" s="26" t="str">
        <x:v>ROOT_EXCLUSIVE</x:v>
      </x:c>
      <x:c r="E25" s="26" t="str">
        <x:v>Production tooling and pilot line</x:v>
      </x:c>
      <x:c r="F25" s="26" t="n">
        <x:v>1</x:v>
      </x:c>
      <x:c r="G25" s="26" t="n">
        <x:v>1</x:v>
      </x:c>
      <x:c r="H25" s="26" t="str">
        <x:v>NO</x:v>
      </x:c>
      <x:c r="I25" s="26" t="str">
        <x:v>One tool or process cell cannot build two campaign roots</x:v>
      </x:c>
      <x:c r="J25" s="26" t="str">
        <x:v>OPEN</x:v>
      </x:c>
    </x:row>
    <x:row r="26" ht="31.5" customHeight="1">
      <x:c r="C26" s="26" t="str">
        <x:v>X10</x:v>
      </x:c>
      <x:c r="D26" s="26" t="str">
        <x:v>ROOT_EXCLUSIVE</x:v>
      </x:c>
      <x:c r="E26" s="26" t="str">
        <x:v>Final assembly site and critical workforce</x:v>
      </x:c>
      <x:c r="F26" s="26" t="n">
        <x:v>1</x:v>
      </x:c>
      <x:c r="G26" s="26" t="n">
        <x:v>1</x:v>
      </x:c>
      <x:c r="H26" s="26" t="str">
        <x:v>NO</x:v>
      </x:c>
      <x:c r="I26" s="26" t="str">
        <x:v>One place or labor pool cannot remove two roots</x:v>
      </x:c>
      <x:c r="J26" s="26" t="str">
        <x:v>OPEN</x:v>
      </x:c>
    </x:row>
    <x:row r="27" ht="31.5" customHeight="1">
      <x:c r="C27" s="26" t="str">
        <x:v>X11</x:v>
      </x:c>
      <x:c r="D27" s="26" t="str">
        <x:v>ROOT_EXCLUSIVE</x:v>
      </x:c>
      <x:c r="E27" s="26" t="str">
        <x:v>Repair, reset and second-team reproduction</x:v>
      </x:c>
      <x:c r="F27" s="26" t="n">
        <x:v>1</x:v>
      </x:c>
      <x:c r="G27" s="26" t="n">
        <x:v>1</x:v>
      </x:c>
      <x:c r="H27" s="26" t="str">
        <x:v>NO</x:v>
      </x:c>
      <x:c r="I27" s="26" t="str">
        <x:v>A shared depot cannot convert four roots into one readiness root</x:v>
      </x:c>
      <x:c r="J27" s="26" t="str">
        <x:v>OPEN</x:v>
      </x:c>
    </x:row>
    <x:row r="28" ht="31.5" customHeight="1">
      <x:c r="C28" s="26" t="str">
        <x:v>X12</x:v>
      </x:c>
      <x:c r="D28" s="26" t="str">
        <x:v>ROOT_EXCLUSIVE</x:v>
      </x:c>
      <x:c r="E28" s="26" t="str">
        <x:v>Evidence capture, custody and outside replay</x:v>
      </x:c>
      <x:c r="F28" s="26" t="n">
        <x:v>1</x:v>
      </x:c>
      <x:c r="G28" s="26" t="n">
        <x:v>1</x:v>
      </x:c>
      <x:c r="H28" s="26" t="str">
        <x:v>NO</x:v>
      </x:c>
      <x:c r="I28" s="26" t="str">
        <x:v>A shared evidence implementation cannot validate its own common failure</x:v>
      </x:c>
      <x:c r="J28" s="26" t="str">
        <x:v>OPEN</x:v>
      </x:c>
    </x:row>
  </x:sheetData>
  <x:conditionalFormatting sqref="J5:J28">
    <x:cfRule type="containsText" dxfId="25" priority="1" operator="containsText" text="FAIL"/>
    <x:cfRule type="containsText" dxfId="26" priority="2" operator="containsText" text="REJECT"/>
    <x:cfRule type="containsText" dxfId="27" priority="3" operator="containsText" text="OPEN"/>
    <x:cfRule type="containsText" dxfId="28" priority="4" operator="containsText" text="HOLD"/>
    <x:cfRule type="containsText" dxfId="29" priority="5" operator="containsText" text="SELECT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.559999942779541" hidden="0" customWidth="1"/>
    <x:col min="2" max="2" width="1.559999942779541" hidden="0" customWidth="1"/>
    <x:col min="3" max="3" width="22.780000686645508" hidden="0" customWidth="1"/>
    <x:col min="4" max="4" width="15" hidden="0" customWidth="1"/>
    <x:col min="5" max="5" width="8.890000343322754" hidden="0" customWidth="1"/>
    <x:col min="6" max="6" width="6.110000133514404" hidden="0" customWidth="1"/>
    <x:col min="7" max="7" width="7.21999979019165" hidden="0" customWidth="1"/>
    <x:col min="8" max="8" width="33.33000183105469" hidden="0" customWidth="1"/>
    <x:col min="9" max="9" width="13.329999923706055" hidden="0" customWidth="1"/>
    <x:col min="10" max="10" width="10.5600004196167" hidden="0" customWidth="1"/>
    <x:col min="11" max="11" width="20" hidden="0" customWidth="1"/>
    <x:col min="12" max="12" width="12.220000267028809" hidden="0" customWidth="1"/>
    <x:col min="13" max="13" width="8.890000343322754" hidden="0" customWidth="1"/>
    <x:col min="14" max="14" width="13.890000343322754" hidden="0" customWidth="1"/>
  </x:cols>
  <x:sheetData>
    <x:row r="2">
      <x:c r="C2" s="1" t="str">
        <x:v>Root-exclusive decisive ancestry ledger</x:v>
      </x:c>
    </x:row>
    <x:row r="3">
      <x:c r="C3" s="2" t="str">
        <x:v>Blue cells require named, physically auditable identities. Namespace reservations are not proof of independence.</x:v>
      </x:c>
    </x:row>
    <x:row r="4" ht="24" customHeight="1">
      <x:c r="C4" s="8" t="str">
        <x:v>Namespace</x:v>
      </x:c>
      <x:c r="D4" s="8" t="str">
        <x:v>Root baseline</x:v>
      </x:c>
      <x:c r="E4" s="8" t="str">
        <x:v>System</x:v>
      </x:c>
      <x:c r="F4" s="8" t="str">
        <x:v>Root</x:v>
      </x:c>
      <x:c r="G4" s="8" t="str">
        <x:v>Domain</x:v>
      </x:c>
      <x:c r="H4" s="8" t="str">
        <x:v>Decisive ancestry domain</x:v>
      </x:c>
      <x:c r="I4" s="8" t="str">
        <x:v>Class</x:v>
      </x:c>
      <x:c r="J4" s="8" t="str">
        <x:v>Exposure cap</x:v>
      </x:c>
      <x:c r="K4" s="8" t="str">
        <x:v>Declared node identity</x:v>
      </x:c>
      <x:c r="L4" s="8" t="str">
        <x:v>Observed exposure</x:v>
      </x:c>
      <x:c r="M4" s="8" t="str">
        <x:v>State</x:v>
      </x:c>
      <x:c r="N4" s="8" t="str">
        <x:v>Evidence ID</x:v>
      </x:c>
    </x:row>
    <x:row r="5" ht="25.5" customHeight="1">
      <x:c r="C5" s="25" t="str">
        <x:v>NS-C3-ET-A-RB1-X01</x:v>
      </x:c>
      <x:c r="D5" s="25" t="str">
        <x:v>C3-ET-A-RB1</x:v>
      </x:c>
      <x:c r="E5" s="25" t="str">
        <x:v>MS-ET</x:v>
      </x:c>
      <x:c r="F5" s="25" t="str">
        <x:v>A</x:v>
      </x:c>
      <x:c r="G5" s="25" t="str">
        <x:v>X01</x:v>
      </x:c>
      <x:c r="H5" s="25" t="str">
        <x:v>Root integrator and beneficial control</x:v>
      </x:c>
      <x:c r="I5" s="25" t="str">
        <x:v>ROOT_EXCLUSIVE</x:v>
      </x:c>
      <x:c r="J5" s="25" t="n">
        <x:f>'Controls'!$D$5</x:f>
        <x:v>1</x:v>
      </x:c>
      <x:c r="K5" s="37" t="str">
        <x:v>UNDECLARED</x:v>
      </x:c>
      <x:c r="L5" s="25" t="str">
        <x:f>IF(K5="UNDECLARED","n.a.",COUNTIFS($K$5:$K$292,K5))</x:f>
        <x:v>n.a.</x:v>
      </x:c>
      <x:c r="M5" s="25" t="str">
        <x:f>IF(K5="UNDECLARED","OPEN",IF(L5&lt;=J5,"PASS","FAIL"))</x:f>
        <x:v>OPEN</x:v>
      </x:c>
      <x:c r="N5" s="37" t="str">
        <x:v>UNASSIGNED</x:v>
      </x:c>
    </x:row>
    <x:row r="6" ht="25.5" customHeight="1">
      <x:c r="C6" s="26" t="str">
        <x:v>NS-C3-ET-A-RB1-X02</x:v>
      </x:c>
      <x:c r="D6" s="26" t="str">
        <x:v>C3-ET-A-RB1</x:v>
      </x:c>
      <x:c r="E6" s="26" t="str">
        <x:v>MS-ET</x:v>
      </x:c>
      <x:c r="F6" s="26" t="str">
        <x:v>A</x:v>
      </x:c>
      <x:c r="G6" s="26" t="str">
        <x:v>X02</x:v>
      </x:c>
      <x:c r="H6" s="26" t="str">
        <x:v>Prime work physics and mechanism authority</x:v>
      </x:c>
      <x:c r="I6" s="26" t="str">
        <x:v>ROOT_EXCLUSIVE</x:v>
      </x:c>
      <x:c r="J6" s="26" t="n">
        <x:f>'Controls'!$D$5</x:f>
        <x:v>1</x:v>
      </x:c>
      <x:c r="K6" s="38" t="str">
        <x:v>UNDECLARED</x:v>
      </x:c>
      <x:c r="L6" s="26" t="str">
        <x:f>IF(K6="UNDECLARED","n.a.",COUNTIFS($K$5:$K$292,K6))</x:f>
        <x:v>n.a.</x:v>
      </x:c>
      <x:c r="M6" s="26" t="str">
        <x:f>IF(K6="UNDECLARED","OPEN",IF(L6&lt;=J6,"PASS","FAIL"))</x:f>
        <x:v>OPEN</x:v>
      </x:c>
      <x:c r="N6" s="38" t="str">
        <x:v>UNASSIGNED</x:v>
      </x:c>
    </x:row>
    <x:row r="7" ht="25.5" customHeight="1">
      <x:c r="C7" s="26" t="str">
        <x:v>NS-C3-ET-A-RB1-X03</x:v>
      </x:c>
      <x:c r="D7" s="26" t="str">
        <x:v>C3-ET-A-RB1</x:v>
      </x:c>
      <x:c r="E7" s="26" t="str">
        <x:v>MS-ET</x:v>
      </x:c>
      <x:c r="F7" s="26" t="str">
        <x:v>A</x:v>
      </x:c>
      <x:c r="G7" s="26" t="str">
        <x:v>X03</x:v>
      </x:c>
      <x:c r="H7" s="26" t="str">
        <x:v>Primary energy conversion and safe-state chain</x:v>
      </x:c>
      <x:c r="I7" s="26" t="str">
        <x:v>ROOT_EXCLUSIVE</x:v>
      </x:c>
      <x:c r="J7" s="26" t="n">
        <x:f>'Controls'!$D$5</x:f>
        <x:v>1</x:v>
      </x:c>
      <x:c r="K7" s="38" t="str">
        <x:v>UNDECLARED</x:v>
      </x:c>
      <x:c r="L7" s="26" t="str">
        <x:f>IF(K7="UNDECLARED","n.a.",COUNTIFS($K$5:$K$292,K7))</x:f>
        <x:v>n.a.</x:v>
      </x:c>
      <x:c r="M7" s="26" t="str">
        <x:f>IF(K7="UNDECLARED","OPEN",IF(L7&lt;=J7,"PASS","FAIL"))</x:f>
        <x:v>OPEN</x:v>
      </x:c>
      <x:c r="N7" s="38" t="str">
        <x:v>UNASSIGNED</x:v>
      </x:c>
    </x:row>
    <x:row r="8" ht="25.5" customHeight="1">
      <x:c r="C8" s="26" t="str">
        <x:v>NS-C3-ET-A-RB1-X04</x:v>
      </x:c>
      <x:c r="D8" s="26" t="str">
        <x:v>C3-ET-A-RB1</x:v>
      </x:c>
      <x:c r="E8" s="26" t="str">
        <x:v>MS-ET</x:v>
      </x:c>
      <x:c r="F8" s="26" t="str">
        <x:v>A</x:v>
      </x:c>
      <x:c r="G8" s="26" t="str">
        <x:v>X04</x:v>
      </x:c>
      <x:c r="H8" s="26" t="str">
        <x:v>Structural and material process</x:v>
      </x:c>
      <x:c r="I8" s="26" t="str">
        <x:v>ROOT_EXCLUSIVE</x:v>
      </x:c>
      <x:c r="J8" s="26" t="n">
        <x:f>'Controls'!$D$5</x:f>
        <x:v>1</x:v>
      </x:c>
      <x:c r="K8" s="38" t="str">
        <x:v>UNDECLARED</x:v>
      </x:c>
      <x:c r="L8" s="26" t="str">
        <x:f>IF(K8="UNDECLARED","n.a.",COUNTIFS($K$5:$K$292,K8))</x:f>
        <x:v>n.a.</x:v>
      </x:c>
      <x:c r="M8" s="26" t="str">
        <x:f>IF(K8="UNDECLARED","OPEN",IF(L8&lt;=J8,"PASS","FAIL"))</x:f>
        <x:v>OPEN</x:v>
      </x:c>
      <x:c r="N8" s="38" t="str">
        <x:v>UNASSIGNED</x:v>
      </x:c>
    </x:row>
    <x:row r="9" ht="25.5" customHeight="1">
      <x:c r="C9" s="26" t="str">
        <x:v>NS-C3-ET-A-RB1-X05</x:v>
      </x:c>
      <x:c r="D9" s="26" t="str">
        <x:v>C3-ET-A-RB1</x:v>
      </x:c>
      <x:c r="E9" s="26" t="str">
        <x:v>MS-ET</x:v>
      </x:c>
      <x:c r="F9" s="26" t="str">
        <x:v>A</x:v>
      </x:c>
      <x:c r="G9" s="26" t="str">
        <x:v>X05</x:v>
      </x:c>
      <x:c r="H9" s="26" t="str">
        <x:v>Critical feedstock conversion</x:v>
      </x:c>
      <x:c r="I9" s="26" t="str">
        <x:v>ROOT_EXCLUSIVE</x:v>
      </x:c>
      <x:c r="J9" s="26" t="n">
        <x:f>'Controls'!$D$5</x:f>
        <x:v>1</x:v>
      </x:c>
      <x:c r="K9" s="38" t="str">
        <x:v>UNDECLARED</x:v>
      </x:c>
      <x:c r="L9" s="26" t="str">
        <x:f>IF(K9="UNDECLARED","n.a.",COUNTIFS($K$5:$K$292,K9))</x:f>
        <x:v>n.a.</x:v>
      </x:c>
      <x:c r="M9" s="26" t="str">
        <x:f>IF(K9="UNDECLARED","OPEN",IF(L9&lt;=J9,"PASS","FAIL"))</x:f>
        <x:v>OPEN</x:v>
      </x:c>
      <x:c r="N9" s="38" t="str">
        <x:v>UNASSIGNED</x:v>
      </x:c>
    </x:row>
    <x:row r="10" ht="25.5" customHeight="1">
      <x:c r="C10" s="26" t="str">
        <x:v>NS-C3-ET-A-RB1-X06</x:v>
      </x:c>
      <x:c r="D10" s="26" t="str">
        <x:v>C3-ET-A-RB1</x:v>
      </x:c>
      <x:c r="E10" s="26" t="str">
        <x:v>MS-ET</x:v>
      </x:c>
      <x:c r="F10" s="26" t="str">
        <x:v>A</x:v>
      </x:c>
      <x:c r="G10" s="26" t="str">
        <x:v>X06</x:v>
      </x:c>
      <x:c r="H10" s="26" t="str">
        <x:v>Control runtime, build system and signing keys</x:v>
      </x:c>
      <x:c r="I10" s="26" t="str">
        <x:v>ROOT_EXCLUSIVE</x:v>
      </x:c>
      <x:c r="J10" s="26" t="n">
        <x:f>'Controls'!$D$5</x:f>
        <x:v>1</x:v>
      </x:c>
      <x:c r="K10" s="38" t="str">
        <x:v>UNDECLARED</x:v>
      </x:c>
      <x:c r="L10" s="26" t="str">
        <x:f>IF(K10="UNDECLARED","n.a.",COUNTIFS($K$5:$K$292,K10))</x:f>
        <x:v>n.a.</x:v>
      </x:c>
      <x:c r="M10" s="26" t="str">
        <x:f>IF(K10="UNDECLARED","OPEN",IF(L10&lt;=J10,"PASS","FAIL"))</x:f>
        <x:v>OPEN</x:v>
      </x:c>
      <x:c r="N10" s="38" t="str">
        <x:v>UNASSIGNED</x:v>
      </x:c>
    </x:row>
    <x:row r="11" ht="25.5" customHeight="1">
      <x:c r="C11" s="26" t="str">
        <x:v>NS-C3-ET-A-RB1-X07</x:v>
      </x:c>
      <x:c r="D11" s="26" t="str">
        <x:v>C3-ET-A-RB1</x:v>
      </x:c>
      <x:c r="E11" s="26" t="str">
        <x:v>MS-ET</x:v>
      </x:c>
      <x:c r="F11" s="26" t="str">
        <x:v>A</x:v>
      </x:c>
      <x:c r="G11" s="26" t="str">
        <x:v>X07</x:v>
      </x:c>
      <x:c r="H11" s="26" t="str">
        <x:v>Communications and causal-time implementation</x:v>
      </x:c>
      <x:c r="I11" s="26" t="str">
        <x:v>ROOT_EXCLUSIVE</x:v>
      </x:c>
      <x:c r="J11" s="26" t="n">
        <x:f>'Controls'!$D$5</x:f>
        <x:v>1</x:v>
      </x:c>
      <x:c r="K11" s="38" t="str">
        <x:v>UNDECLARED</x:v>
      </x:c>
      <x:c r="L11" s="26" t="str">
        <x:f>IF(K11="UNDECLARED","n.a.",COUNTIFS($K$5:$K$292,K11))</x:f>
        <x:v>n.a.</x:v>
      </x:c>
      <x:c r="M11" s="26" t="str">
        <x:f>IF(K11="UNDECLARED","OPEN",IF(L11&lt;=J11,"PASS","FAIL"))</x:f>
        <x:v>OPEN</x:v>
      </x:c>
      <x:c r="N11" s="38" t="str">
        <x:v>UNASSIGNED</x:v>
      </x:c>
    </x:row>
    <x:row r="12" ht="25.5" customHeight="1">
      <x:c r="C12" s="26" t="str">
        <x:v>NS-C3-ET-A-RB1-X08</x:v>
      </x:c>
      <x:c r="D12" s="26" t="str">
        <x:v>C3-ET-A-RB1</x:v>
      </x:c>
      <x:c r="E12" s="26" t="str">
        <x:v>MS-ET</x:v>
      </x:c>
      <x:c r="F12" s="26" t="str">
        <x:v>A</x:v>
      </x:c>
      <x:c r="G12" s="26" t="str">
        <x:v>X08</x:v>
      </x:c>
      <x:c r="H12" s="26" t="str">
        <x:v>Sensing, calibration and uncertainty chain</x:v>
      </x:c>
      <x:c r="I12" s="26" t="str">
        <x:v>ROOT_EXCLUSIVE</x:v>
      </x:c>
      <x:c r="J12" s="26" t="n">
        <x:f>'Controls'!$D$5</x:f>
        <x:v>1</x:v>
      </x:c>
      <x:c r="K12" s="38" t="str">
        <x:v>UNDECLARED</x:v>
      </x:c>
      <x:c r="L12" s="26" t="str">
        <x:f>IF(K12="UNDECLARED","n.a.",COUNTIFS($K$5:$K$292,K12))</x:f>
        <x:v>n.a.</x:v>
      </x:c>
      <x:c r="M12" s="26" t="str">
        <x:f>IF(K12="UNDECLARED","OPEN",IF(L12&lt;=J12,"PASS","FAIL"))</x:f>
        <x:v>OPEN</x:v>
      </x:c>
      <x:c r="N12" s="38" t="str">
        <x:v>UNASSIGNED</x:v>
      </x:c>
    </x:row>
    <x:row r="13" ht="25.5" customHeight="1">
      <x:c r="C13" s="26" t="str">
        <x:v>NS-C3-ET-A-RB1-X09</x:v>
      </x:c>
      <x:c r="D13" s="26" t="str">
        <x:v>C3-ET-A-RB1</x:v>
      </x:c>
      <x:c r="E13" s="26" t="str">
        <x:v>MS-ET</x:v>
      </x:c>
      <x:c r="F13" s="26" t="str">
        <x:v>A</x:v>
      </x:c>
      <x:c r="G13" s="26" t="str">
        <x:v>X09</x:v>
      </x:c>
      <x:c r="H13" s="26" t="str">
        <x:v>Production tooling and pilot line</x:v>
      </x:c>
      <x:c r="I13" s="26" t="str">
        <x:v>ROOT_EXCLUSIVE</x:v>
      </x:c>
      <x:c r="J13" s="26" t="n">
        <x:f>'Controls'!$D$5</x:f>
        <x:v>1</x:v>
      </x:c>
      <x:c r="K13" s="38" t="str">
        <x:v>UNDECLARED</x:v>
      </x:c>
      <x:c r="L13" s="26" t="str">
        <x:f>IF(K13="UNDECLARED","n.a.",COUNTIFS($K$5:$K$292,K13))</x:f>
        <x:v>n.a.</x:v>
      </x:c>
      <x:c r="M13" s="26" t="str">
        <x:f>IF(K13="UNDECLARED","OPEN",IF(L13&lt;=J13,"PASS","FAIL"))</x:f>
        <x:v>OPEN</x:v>
      </x:c>
      <x:c r="N13" s="38" t="str">
        <x:v>UNASSIGNED</x:v>
      </x:c>
    </x:row>
    <x:row r="14" ht="25.5" customHeight="1">
      <x:c r="C14" s="26" t="str">
        <x:v>NS-C3-ET-A-RB1-X10</x:v>
      </x:c>
      <x:c r="D14" s="26" t="str">
        <x:v>C3-ET-A-RB1</x:v>
      </x:c>
      <x:c r="E14" s="26" t="str">
        <x:v>MS-ET</x:v>
      </x:c>
      <x:c r="F14" s="26" t="str">
        <x:v>A</x:v>
      </x:c>
      <x:c r="G14" s="26" t="str">
        <x:v>X10</x:v>
      </x:c>
      <x:c r="H14" s="26" t="str">
        <x:v>Final assembly site and critical workforce</x:v>
      </x:c>
      <x:c r="I14" s="26" t="str">
        <x:v>ROOT_EXCLUSIVE</x:v>
      </x:c>
      <x:c r="J14" s="26" t="n">
        <x:f>'Controls'!$D$5</x:f>
        <x:v>1</x:v>
      </x:c>
      <x:c r="K14" s="38" t="str">
        <x:v>UNDECLARED</x:v>
      </x:c>
      <x:c r="L14" s="26" t="str">
        <x:f>IF(K14="UNDECLARED","n.a.",COUNTIFS($K$5:$K$292,K14))</x:f>
        <x:v>n.a.</x:v>
      </x:c>
      <x:c r="M14" s="26" t="str">
        <x:f>IF(K14="UNDECLARED","OPEN",IF(L14&lt;=J14,"PASS","FAIL"))</x:f>
        <x:v>OPEN</x:v>
      </x:c>
      <x:c r="N14" s="38" t="str">
        <x:v>UNASSIGNED</x:v>
      </x:c>
    </x:row>
    <x:row r="15" ht="25.5" customHeight="1">
      <x:c r="C15" s="26" t="str">
        <x:v>NS-C3-ET-A-RB1-X11</x:v>
      </x:c>
      <x:c r="D15" s="26" t="str">
        <x:v>C3-ET-A-RB1</x:v>
      </x:c>
      <x:c r="E15" s="26" t="str">
        <x:v>MS-ET</x:v>
      </x:c>
      <x:c r="F15" s="26" t="str">
        <x:v>A</x:v>
      </x:c>
      <x:c r="G15" s="26" t="str">
        <x:v>X11</x:v>
      </x:c>
      <x:c r="H15" s="26" t="str">
        <x:v>Repair, reset and second-team reproduction</x:v>
      </x:c>
      <x:c r="I15" s="26" t="str">
        <x:v>ROOT_EXCLUSIVE</x:v>
      </x:c>
      <x:c r="J15" s="26" t="n">
        <x:f>'Controls'!$D$5</x:f>
        <x:v>1</x:v>
      </x:c>
      <x:c r="K15" s="38" t="str">
        <x:v>UNDECLARED</x:v>
      </x:c>
      <x:c r="L15" s="26" t="str">
        <x:f>IF(K15="UNDECLARED","n.a.",COUNTIFS($K$5:$K$292,K15))</x:f>
        <x:v>n.a.</x:v>
      </x:c>
      <x:c r="M15" s="26" t="str">
        <x:f>IF(K15="UNDECLARED","OPEN",IF(L15&lt;=J15,"PASS","FAIL"))</x:f>
        <x:v>OPEN</x:v>
      </x:c>
      <x:c r="N15" s="38" t="str">
        <x:v>UNASSIGNED</x:v>
      </x:c>
    </x:row>
    <x:row r="16" ht="25.5" customHeight="1">
      <x:c r="C16" s="26" t="str">
        <x:v>NS-C3-ET-A-RB1-X12</x:v>
      </x:c>
      <x:c r="D16" s="26" t="str">
        <x:v>C3-ET-A-RB1</x:v>
      </x:c>
      <x:c r="E16" s="26" t="str">
        <x:v>MS-ET</x:v>
      </x:c>
      <x:c r="F16" s="26" t="str">
        <x:v>A</x:v>
      </x:c>
      <x:c r="G16" s="26" t="str">
        <x:v>X12</x:v>
      </x:c>
      <x:c r="H16" s="26" t="str">
        <x:v>Evidence capture, custody and outside replay</x:v>
      </x:c>
      <x:c r="I16" s="26" t="str">
        <x:v>ROOT_EXCLUSIVE</x:v>
      </x:c>
      <x:c r="J16" s="26" t="n">
        <x:f>'Controls'!$D$5</x:f>
        <x:v>1</x:v>
      </x:c>
      <x:c r="K16" s="38" t="str">
        <x:v>UNDECLARED</x:v>
      </x:c>
      <x:c r="L16" s="26" t="str">
        <x:f>IF(K16="UNDECLARED","n.a.",COUNTIFS($K$5:$K$292,K16))</x:f>
        <x:v>n.a.</x:v>
      </x:c>
      <x:c r="M16" s="26" t="str">
        <x:f>IF(K16="UNDECLARED","OPEN",IF(L16&lt;=J16,"PASS","FAIL"))</x:f>
        <x:v>OPEN</x:v>
      </x:c>
      <x:c r="N16" s="38" t="str">
        <x:v>UNASSIGNED</x:v>
      </x:c>
    </x:row>
    <x:row r="17" ht="25.5" customHeight="1">
      <x:c r="C17" s="26" t="str">
        <x:v>NS-C3-ET-B-RB1-X01</x:v>
      </x:c>
      <x:c r="D17" s="26" t="str">
        <x:v>C3-ET-B-RB1</x:v>
      </x:c>
      <x:c r="E17" s="26" t="str">
        <x:v>MS-ET</x:v>
      </x:c>
      <x:c r="F17" s="26" t="str">
        <x:v>B</x:v>
      </x:c>
      <x:c r="G17" s="26" t="str">
        <x:v>X01</x:v>
      </x:c>
      <x:c r="H17" s="26" t="str">
        <x:v>Root integrator and beneficial control</x:v>
      </x:c>
      <x:c r="I17" s="26" t="str">
        <x:v>ROOT_EXCLUSIVE</x:v>
      </x:c>
      <x:c r="J17" s="26" t="n">
        <x:f>'Controls'!$D$5</x:f>
        <x:v>1</x:v>
      </x:c>
      <x:c r="K17" s="38" t="str">
        <x:v>UNDECLARED</x:v>
      </x:c>
      <x:c r="L17" s="26" t="str">
        <x:f>IF(K17="UNDECLARED","n.a.",COUNTIFS($K$5:$K$292,K17))</x:f>
        <x:v>n.a.</x:v>
      </x:c>
      <x:c r="M17" s="26" t="str">
        <x:f>IF(K17="UNDECLARED","OPEN",IF(L17&lt;=J17,"PASS","FAIL"))</x:f>
        <x:v>OPEN</x:v>
      </x:c>
      <x:c r="N17" s="38" t="str">
        <x:v>UNASSIGNED</x:v>
      </x:c>
    </x:row>
    <x:row r="18" ht="25.5" customHeight="1">
      <x:c r="C18" s="26" t="str">
        <x:v>NS-C3-ET-B-RB1-X02</x:v>
      </x:c>
      <x:c r="D18" s="26" t="str">
        <x:v>C3-ET-B-RB1</x:v>
      </x:c>
      <x:c r="E18" s="26" t="str">
        <x:v>MS-ET</x:v>
      </x:c>
      <x:c r="F18" s="26" t="str">
        <x:v>B</x:v>
      </x:c>
      <x:c r="G18" s="26" t="str">
        <x:v>X02</x:v>
      </x:c>
      <x:c r="H18" s="26" t="str">
        <x:v>Prime work physics and mechanism authority</x:v>
      </x:c>
      <x:c r="I18" s="26" t="str">
        <x:v>ROOT_EXCLUSIVE</x:v>
      </x:c>
      <x:c r="J18" s="26" t="n">
        <x:f>'Controls'!$D$5</x:f>
        <x:v>1</x:v>
      </x:c>
      <x:c r="K18" s="38" t="str">
        <x:v>UNDECLARED</x:v>
      </x:c>
      <x:c r="L18" s="26" t="str">
        <x:f>IF(K18="UNDECLARED","n.a.",COUNTIFS($K$5:$K$292,K18))</x:f>
        <x:v>n.a.</x:v>
      </x:c>
      <x:c r="M18" s="26" t="str">
        <x:f>IF(K18="UNDECLARED","OPEN",IF(L18&lt;=J18,"PASS","FAIL"))</x:f>
        <x:v>OPEN</x:v>
      </x:c>
      <x:c r="N18" s="38" t="str">
        <x:v>UNASSIGNED</x:v>
      </x:c>
    </x:row>
    <x:row r="19" ht="25.5" customHeight="1">
      <x:c r="C19" s="26" t="str">
        <x:v>NS-C3-ET-B-RB1-X03</x:v>
      </x:c>
      <x:c r="D19" s="26" t="str">
        <x:v>C3-ET-B-RB1</x:v>
      </x:c>
      <x:c r="E19" s="26" t="str">
        <x:v>MS-ET</x:v>
      </x:c>
      <x:c r="F19" s="26" t="str">
        <x:v>B</x:v>
      </x:c>
      <x:c r="G19" s="26" t="str">
        <x:v>X03</x:v>
      </x:c>
      <x:c r="H19" s="26" t="str">
        <x:v>Primary energy conversion and safe-state chain</x:v>
      </x:c>
      <x:c r="I19" s="26" t="str">
        <x:v>ROOT_EXCLUSIVE</x:v>
      </x:c>
      <x:c r="J19" s="26" t="n">
        <x:f>'Controls'!$D$5</x:f>
        <x:v>1</x:v>
      </x:c>
      <x:c r="K19" s="38" t="str">
        <x:v>UNDECLARED</x:v>
      </x:c>
      <x:c r="L19" s="26" t="str">
        <x:f>IF(K19="UNDECLARED","n.a.",COUNTIFS($K$5:$K$292,K19))</x:f>
        <x:v>n.a.</x:v>
      </x:c>
      <x:c r="M19" s="26" t="str">
        <x:f>IF(K19="UNDECLARED","OPEN",IF(L19&lt;=J19,"PASS","FAIL"))</x:f>
        <x:v>OPEN</x:v>
      </x:c>
      <x:c r="N19" s="38" t="str">
        <x:v>UNASSIGNED</x:v>
      </x:c>
    </x:row>
    <x:row r="20" ht="25.5" customHeight="1">
      <x:c r="C20" s="26" t="str">
        <x:v>NS-C3-ET-B-RB1-X04</x:v>
      </x:c>
      <x:c r="D20" s="26" t="str">
        <x:v>C3-ET-B-RB1</x:v>
      </x:c>
      <x:c r="E20" s="26" t="str">
        <x:v>MS-ET</x:v>
      </x:c>
      <x:c r="F20" s="26" t="str">
        <x:v>B</x:v>
      </x:c>
      <x:c r="G20" s="26" t="str">
        <x:v>X04</x:v>
      </x:c>
      <x:c r="H20" s="26" t="str">
        <x:v>Structural and material process</x:v>
      </x:c>
      <x:c r="I20" s="26" t="str">
        <x:v>ROOT_EXCLUSIVE</x:v>
      </x:c>
      <x:c r="J20" s="26" t="n">
        <x:f>'Controls'!$D$5</x:f>
        <x:v>1</x:v>
      </x:c>
      <x:c r="K20" s="38" t="str">
        <x:v>UNDECLARED</x:v>
      </x:c>
      <x:c r="L20" s="26" t="str">
        <x:f>IF(K20="UNDECLARED","n.a.",COUNTIFS($K$5:$K$292,K20))</x:f>
        <x:v>n.a.</x:v>
      </x:c>
      <x:c r="M20" s="26" t="str">
        <x:f>IF(K20="UNDECLARED","OPEN",IF(L20&lt;=J20,"PASS","FAIL"))</x:f>
        <x:v>OPEN</x:v>
      </x:c>
      <x:c r="N20" s="38" t="str">
        <x:v>UNASSIGNED</x:v>
      </x:c>
    </x:row>
    <x:row r="21" ht="25.5" customHeight="1">
      <x:c r="C21" s="26" t="str">
        <x:v>NS-C3-ET-B-RB1-X05</x:v>
      </x:c>
      <x:c r="D21" s="26" t="str">
        <x:v>C3-ET-B-RB1</x:v>
      </x:c>
      <x:c r="E21" s="26" t="str">
        <x:v>MS-ET</x:v>
      </x:c>
      <x:c r="F21" s="26" t="str">
        <x:v>B</x:v>
      </x:c>
      <x:c r="G21" s="26" t="str">
        <x:v>X05</x:v>
      </x:c>
      <x:c r="H21" s="26" t="str">
        <x:v>Critical feedstock conversion</x:v>
      </x:c>
      <x:c r="I21" s="26" t="str">
        <x:v>ROOT_EXCLUSIVE</x:v>
      </x:c>
      <x:c r="J21" s="26" t="n">
        <x:f>'Controls'!$D$5</x:f>
        <x:v>1</x:v>
      </x:c>
      <x:c r="K21" s="38" t="str">
        <x:v>UNDECLARED</x:v>
      </x:c>
      <x:c r="L21" s="26" t="str">
        <x:f>IF(K21="UNDECLARED","n.a.",COUNTIFS($K$5:$K$292,K21))</x:f>
        <x:v>n.a.</x:v>
      </x:c>
      <x:c r="M21" s="26" t="str">
        <x:f>IF(K21="UNDECLARED","OPEN",IF(L21&lt;=J21,"PASS","FAIL"))</x:f>
        <x:v>OPEN</x:v>
      </x:c>
      <x:c r="N21" s="38" t="str">
        <x:v>UNASSIGNED</x:v>
      </x:c>
    </x:row>
    <x:row r="22" ht="25.5" customHeight="1">
      <x:c r="C22" s="26" t="str">
        <x:v>NS-C3-ET-B-RB1-X06</x:v>
      </x:c>
      <x:c r="D22" s="26" t="str">
        <x:v>C3-ET-B-RB1</x:v>
      </x:c>
      <x:c r="E22" s="26" t="str">
        <x:v>MS-ET</x:v>
      </x:c>
      <x:c r="F22" s="26" t="str">
        <x:v>B</x:v>
      </x:c>
      <x:c r="G22" s="26" t="str">
        <x:v>X06</x:v>
      </x:c>
      <x:c r="H22" s="26" t="str">
        <x:v>Control runtime, build system and signing keys</x:v>
      </x:c>
      <x:c r="I22" s="26" t="str">
        <x:v>ROOT_EXCLUSIVE</x:v>
      </x:c>
      <x:c r="J22" s="26" t="n">
        <x:f>'Controls'!$D$5</x:f>
        <x:v>1</x:v>
      </x:c>
      <x:c r="K22" s="38" t="str">
        <x:v>UNDECLARED</x:v>
      </x:c>
      <x:c r="L22" s="26" t="str">
        <x:f>IF(K22="UNDECLARED","n.a.",COUNTIFS($K$5:$K$292,K22))</x:f>
        <x:v>n.a.</x:v>
      </x:c>
      <x:c r="M22" s="26" t="str">
        <x:f>IF(K22="UNDECLARED","OPEN",IF(L22&lt;=J22,"PASS","FAIL"))</x:f>
        <x:v>OPEN</x:v>
      </x:c>
      <x:c r="N22" s="38" t="str">
        <x:v>UNASSIGNED</x:v>
      </x:c>
    </x:row>
    <x:row r="23" ht="25.5" customHeight="1">
      <x:c r="C23" s="26" t="str">
        <x:v>NS-C3-ET-B-RB1-X07</x:v>
      </x:c>
      <x:c r="D23" s="26" t="str">
        <x:v>C3-ET-B-RB1</x:v>
      </x:c>
      <x:c r="E23" s="26" t="str">
        <x:v>MS-ET</x:v>
      </x:c>
      <x:c r="F23" s="26" t="str">
        <x:v>B</x:v>
      </x:c>
      <x:c r="G23" s="26" t="str">
        <x:v>X07</x:v>
      </x:c>
      <x:c r="H23" s="26" t="str">
        <x:v>Communications and causal-time implementation</x:v>
      </x:c>
      <x:c r="I23" s="26" t="str">
        <x:v>ROOT_EXCLUSIVE</x:v>
      </x:c>
      <x:c r="J23" s="26" t="n">
        <x:f>'Controls'!$D$5</x:f>
        <x:v>1</x:v>
      </x:c>
      <x:c r="K23" s="38" t="str">
        <x:v>UNDECLARED</x:v>
      </x:c>
      <x:c r="L23" s="26" t="str">
        <x:f>IF(K23="UNDECLARED","n.a.",COUNTIFS($K$5:$K$292,K23))</x:f>
        <x:v>n.a.</x:v>
      </x:c>
      <x:c r="M23" s="26" t="str">
        <x:f>IF(K23="UNDECLARED","OPEN",IF(L23&lt;=J23,"PASS","FAIL"))</x:f>
        <x:v>OPEN</x:v>
      </x:c>
      <x:c r="N23" s="38" t="str">
        <x:v>UNASSIGNED</x:v>
      </x:c>
    </x:row>
    <x:row r="24" ht="25.5" customHeight="1">
      <x:c r="C24" s="26" t="str">
        <x:v>NS-C3-ET-B-RB1-X08</x:v>
      </x:c>
      <x:c r="D24" s="26" t="str">
        <x:v>C3-ET-B-RB1</x:v>
      </x:c>
      <x:c r="E24" s="26" t="str">
        <x:v>MS-ET</x:v>
      </x:c>
      <x:c r="F24" s="26" t="str">
        <x:v>B</x:v>
      </x:c>
      <x:c r="G24" s="26" t="str">
        <x:v>X08</x:v>
      </x:c>
      <x:c r="H24" s="26" t="str">
        <x:v>Sensing, calibration and uncertainty chain</x:v>
      </x:c>
      <x:c r="I24" s="26" t="str">
        <x:v>ROOT_EXCLUSIVE</x:v>
      </x:c>
      <x:c r="J24" s="26" t="n">
        <x:f>'Controls'!$D$5</x:f>
        <x:v>1</x:v>
      </x:c>
      <x:c r="K24" s="38" t="str">
        <x:v>UNDECLARED</x:v>
      </x:c>
      <x:c r="L24" s="26" t="str">
        <x:f>IF(K24="UNDECLARED","n.a.",COUNTIFS($K$5:$K$292,K24))</x:f>
        <x:v>n.a.</x:v>
      </x:c>
      <x:c r="M24" s="26" t="str">
        <x:f>IF(K24="UNDECLARED","OPEN",IF(L24&lt;=J24,"PASS","FAIL"))</x:f>
        <x:v>OPEN</x:v>
      </x:c>
      <x:c r="N24" s="38" t="str">
        <x:v>UNASSIGNED</x:v>
      </x:c>
    </x:row>
    <x:row r="25" ht="25.5" customHeight="1">
      <x:c r="C25" s="26" t="str">
        <x:v>NS-C3-ET-B-RB1-X09</x:v>
      </x:c>
      <x:c r="D25" s="26" t="str">
        <x:v>C3-ET-B-RB1</x:v>
      </x:c>
      <x:c r="E25" s="26" t="str">
        <x:v>MS-ET</x:v>
      </x:c>
      <x:c r="F25" s="26" t="str">
        <x:v>B</x:v>
      </x:c>
      <x:c r="G25" s="26" t="str">
        <x:v>X09</x:v>
      </x:c>
      <x:c r="H25" s="26" t="str">
        <x:v>Production tooling and pilot line</x:v>
      </x:c>
      <x:c r="I25" s="26" t="str">
        <x:v>ROOT_EXCLUSIVE</x:v>
      </x:c>
      <x:c r="J25" s="26" t="n">
        <x:f>'Controls'!$D$5</x:f>
        <x:v>1</x:v>
      </x:c>
      <x:c r="K25" s="38" t="str">
        <x:v>UNDECLARED</x:v>
      </x:c>
      <x:c r="L25" s="26" t="str">
        <x:f>IF(K25="UNDECLARED","n.a.",COUNTIFS($K$5:$K$292,K25))</x:f>
        <x:v>n.a.</x:v>
      </x:c>
      <x:c r="M25" s="26" t="str">
        <x:f>IF(K25="UNDECLARED","OPEN",IF(L25&lt;=J25,"PASS","FAIL"))</x:f>
        <x:v>OPEN</x:v>
      </x:c>
      <x:c r="N25" s="38" t="str">
        <x:v>UNASSIGNED</x:v>
      </x:c>
    </x:row>
    <x:row r="26" ht="25.5" customHeight="1">
      <x:c r="C26" s="26" t="str">
        <x:v>NS-C3-ET-B-RB1-X10</x:v>
      </x:c>
      <x:c r="D26" s="26" t="str">
        <x:v>C3-ET-B-RB1</x:v>
      </x:c>
      <x:c r="E26" s="26" t="str">
        <x:v>MS-ET</x:v>
      </x:c>
      <x:c r="F26" s="26" t="str">
        <x:v>B</x:v>
      </x:c>
      <x:c r="G26" s="26" t="str">
        <x:v>X10</x:v>
      </x:c>
      <x:c r="H26" s="26" t="str">
        <x:v>Final assembly site and critical workforce</x:v>
      </x:c>
      <x:c r="I26" s="26" t="str">
        <x:v>ROOT_EXCLUSIVE</x:v>
      </x:c>
      <x:c r="J26" s="26" t="n">
        <x:f>'Controls'!$D$5</x:f>
        <x:v>1</x:v>
      </x:c>
      <x:c r="K26" s="38" t="str">
        <x:v>UNDECLARED</x:v>
      </x:c>
      <x:c r="L26" s="26" t="str">
        <x:f>IF(K26="UNDECLARED","n.a.",COUNTIFS($K$5:$K$292,K26))</x:f>
        <x:v>n.a.</x:v>
      </x:c>
      <x:c r="M26" s="26" t="str">
        <x:f>IF(K26="UNDECLARED","OPEN",IF(L26&lt;=J26,"PASS","FAIL"))</x:f>
        <x:v>OPEN</x:v>
      </x:c>
      <x:c r="N26" s="38" t="str">
        <x:v>UNASSIGNED</x:v>
      </x:c>
    </x:row>
    <x:row r="27" ht="25.5" customHeight="1">
      <x:c r="C27" s="26" t="str">
        <x:v>NS-C3-ET-B-RB1-X11</x:v>
      </x:c>
      <x:c r="D27" s="26" t="str">
        <x:v>C3-ET-B-RB1</x:v>
      </x:c>
      <x:c r="E27" s="26" t="str">
        <x:v>MS-ET</x:v>
      </x:c>
      <x:c r="F27" s="26" t="str">
        <x:v>B</x:v>
      </x:c>
      <x:c r="G27" s="26" t="str">
        <x:v>X11</x:v>
      </x:c>
      <x:c r="H27" s="26" t="str">
        <x:v>Repair, reset and second-team reproduction</x:v>
      </x:c>
      <x:c r="I27" s="26" t="str">
        <x:v>ROOT_EXCLUSIVE</x:v>
      </x:c>
      <x:c r="J27" s="26" t="n">
        <x:f>'Controls'!$D$5</x:f>
        <x:v>1</x:v>
      </x:c>
      <x:c r="K27" s="38" t="str">
        <x:v>UNDECLARED</x:v>
      </x:c>
      <x:c r="L27" s="26" t="str">
        <x:f>IF(K27="UNDECLARED","n.a.",COUNTIFS($K$5:$K$292,K27))</x:f>
        <x:v>n.a.</x:v>
      </x:c>
      <x:c r="M27" s="26" t="str">
        <x:f>IF(K27="UNDECLARED","OPEN",IF(L27&lt;=J27,"PASS","FAIL"))</x:f>
        <x:v>OPEN</x:v>
      </x:c>
      <x:c r="N27" s="38" t="str">
        <x:v>UNASSIGNED</x:v>
      </x:c>
    </x:row>
    <x:row r="28" ht="25.5" customHeight="1">
      <x:c r="C28" s="26" t="str">
        <x:v>NS-C3-ET-B-RB1-X12</x:v>
      </x:c>
      <x:c r="D28" s="26" t="str">
        <x:v>C3-ET-B-RB1</x:v>
      </x:c>
      <x:c r="E28" s="26" t="str">
        <x:v>MS-ET</x:v>
      </x:c>
      <x:c r="F28" s="26" t="str">
        <x:v>B</x:v>
      </x:c>
      <x:c r="G28" s="26" t="str">
        <x:v>X12</x:v>
      </x:c>
      <x:c r="H28" s="26" t="str">
        <x:v>Evidence capture, custody and outside replay</x:v>
      </x:c>
      <x:c r="I28" s="26" t="str">
        <x:v>ROOT_EXCLUSIVE</x:v>
      </x:c>
      <x:c r="J28" s="26" t="n">
        <x:f>'Controls'!$D$5</x:f>
        <x:v>1</x:v>
      </x:c>
      <x:c r="K28" s="38" t="str">
        <x:v>UNDECLARED</x:v>
      </x:c>
      <x:c r="L28" s="26" t="str">
        <x:f>IF(K28="UNDECLARED","n.a.",COUNTIFS($K$5:$K$292,K28))</x:f>
        <x:v>n.a.</x:v>
      </x:c>
      <x:c r="M28" s="26" t="str">
        <x:f>IF(K28="UNDECLARED","OPEN",IF(L28&lt;=J28,"PASS","FAIL"))</x:f>
        <x:v>OPEN</x:v>
      </x:c>
      <x:c r="N28" s="38" t="str">
        <x:v>UNASSIGNED</x:v>
      </x:c>
    </x:row>
    <x:row r="29" ht="25.5" customHeight="1">
      <x:c r="C29" s="26" t="str">
        <x:v>NS-C3-ET-C-RB1-X01</x:v>
      </x:c>
      <x:c r="D29" s="26" t="str">
        <x:v>C3-ET-C-RB1</x:v>
      </x:c>
      <x:c r="E29" s="26" t="str">
        <x:v>MS-ET</x:v>
      </x:c>
      <x:c r="F29" s="26" t="str">
        <x:v>C</x:v>
      </x:c>
      <x:c r="G29" s="26" t="str">
        <x:v>X01</x:v>
      </x:c>
      <x:c r="H29" s="26" t="str">
        <x:v>Root integrator and beneficial control</x:v>
      </x:c>
      <x:c r="I29" s="26" t="str">
        <x:v>ROOT_EXCLUSIVE</x:v>
      </x:c>
      <x:c r="J29" s="26" t="n">
        <x:f>'Controls'!$D$5</x:f>
        <x:v>1</x:v>
      </x:c>
      <x:c r="K29" s="38" t="str">
        <x:v>UNDECLARED</x:v>
      </x:c>
      <x:c r="L29" s="26" t="str">
        <x:f>IF(K29="UNDECLARED","n.a.",COUNTIFS($K$5:$K$292,K29))</x:f>
        <x:v>n.a.</x:v>
      </x:c>
      <x:c r="M29" s="26" t="str">
        <x:f>IF(K29="UNDECLARED","OPEN",IF(L29&lt;=J29,"PASS","FAIL"))</x:f>
        <x:v>OPEN</x:v>
      </x:c>
      <x:c r="N29" s="38" t="str">
        <x:v>UNASSIGNED</x:v>
      </x:c>
    </x:row>
    <x:row r="30" ht="25.5" customHeight="1">
      <x:c r="C30" s="26" t="str">
        <x:v>NS-C3-ET-C-RB1-X02</x:v>
      </x:c>
      <x:c r="D30" s="26" t="str">
        <x:v>C3-ET-C-RB1</x:v>
      </x:c>
      <x:c r="E30" s="26" t="str">
        <x:v>MS-ET</x:v>
      </x:c>
      <x:c r="F30" s="26" t="str">
        <x:v>C</x:v>
      </x:c>
      <x:c r="G30" s="26" t="str">
        <x:v>X02</x:v>
      </x:c>
      <x:c r="H30" s="26" t="str">
        <x:v>Prime work physics and mechanism authority</x:v>
      </x:c>
      <x:c r="I30" s="26" t="str">
        <x:v>ROOT_EXCLUSIVE</x:v>
      </x:c>
      <x:c r="J30" s="26" t="n">
        <x:f>'Controls'!$D$5</x:f>
        <x:v>1</x:v>
      </x:c>
      <x:c r="K30" s="38" t="str">
        <x:v>UNDECLARED</x:v>
      </x:c>
      <x:c r="L30" s="26" t="str">
        <x:f>IF(K30="UNDECLARED","n.a.",COUNTIFS($K$5:$K$292,K30))</x:f>
        <x:v>n.a.</x:v>
      </x:c>
      <x:c r="M30" s="26" t="str">
        <x:f>IF(K30="UNDECLARED","OPEN",IF(L30&lt;=J30,"PASS","FAIL"))</x:f>
        <x:v>OPEN</x:v>
      </x:c>
      <x:c r="N30" s="38" t="str">
        <x:v>UNASSIGNED</x:v>
      </x:c>
    </x:row>
    <x:row r="31" ht="25.5" customHeight="1">
      <x:c r="C31" s="26" t="str">
        <x:v>NS-C3-ET-C-RB1-X03</x:v>
      </x:c>
      <x:c r="D31" s="26" t="str">
        <x:v>C3-ET-C-RB1</x:v>
      </x:c>
      <x:c r="E31" s="26" t="str">
        <x:v>MS-ET</x:v>
      </x:c>
      <x:c r="F31" s="26" t="str">
        <x:v>C</x:v>
      </x:c>
      <x:c r="G31" s="26" t="str">
        <x:v>X03</x:v>
      </x:c>
      <x:c r="H31" s="26" t="str">
        <x:v>Primary energy conversion and safe-state chain</x:v>
      </x:c>
      <x:c r="I31" s="26" t="str">
        <x:v>ROOT_EXCLUSIVE</x:v>
      </x:c>
      <x:c r="J31" s="26" t="n">
        <x:f>'Controls'!$D$5</x:f>
        <x:v>1</x:v>
      </x:c>
      <x:c r="K31" s="38" t="str">
        <x:v>UNDECLARED</x:v>
      </x:c>
      <x:c r="L31" s="26" t="str">
        <x:f>IF(K31="UNDECLARED","n.a.",COUNTIFS($K$5:$K$292,K31))</x:f>
        <x:v>n.a.</x:v>
      </x:c>
      <x:c r="M31" s="26" t="str">
        <x:f>IF(K31="UNDECLARED","OPEN",IF(L31&lt;=J31,"PASS","FAIL"))</x:f>
        <x:v>OPEN</x:v>
      </x:c>
      <x:c r="N31" s="38" t="str">
        <x:v>UNASSIGNED</x:v>
      </x:c>
    </x:row>
    <x:row r="32" ht="25.5" customHeight="1">
      <x:c r="C32" s="26" t="str">
        <x:v>NS-C3-ET-C-RB1-X04</x:v>
      </x:c>
      <x:c r="D32" s="26" t="str">
        <x:v>C3-ET-C-RB1</x:v>
      </x:c>
      <x:c r="E32" s="26" t="str">
        <x:v>MS-ET</x:v>
      </x:c>
      <x:c r="F32" s="26" t="str">
        <x:v>C</x:v>
      </x:c>
      <x:c r="G32" s="26" t="str">
        <x:v>X04</x:v>
      </x:c>
      <x:c r="H32" s="26" t="str">
        <x:v>Structural and material process</x:v>
      </x:c>
      <x:c r="I32" s="26" t="str">
        <x:v>ROOT_EXCLUSIVE</x:v>
      </x:c>
      <x:c r="J32" s="26" t="n">
        <x:f>'Controls'!$D$5</x:f>
        <x:v>1</x:v>
      </x:c>
      <x:c r="K32" s="38" t="str">
        <x:v>UNDECLARED</x:v>
      </x:c>
      <x:c r="L32" s="26" t="str">
        <x:f>IF(K32="UNDECLARED","n.a.",COUNTIFS($K$5:$K$292,K32))</x:f>
        <x:v>n.a.</x:v>
      </x:c>
      <x:c r="M32" s="26" t="str">
        <x:f>IF(K32="UNDECLARED","OPEN",IF(L32&lt;=J32,"PASS","FAIL"))</x:f>
        <x:v>OPEN</x:v>
      </x:c>
      <x:c r="N32" s="38" t="str">
        <x:v>UNASSIGNED</x:v>
      </x:c>
    </x:row>
    <x:row r="33" ht="25.5" customHeight="1">
      <x:c r="C33" s="26" t="str">
        <x:v>NS-C3-ET-C-RB1-X05</x:v>
      </x:c>
      <x:c r="D33" s="26" t="str">
        <x:v>C3-ET-C-RB1</x:v>
      </x:c>
      <x:c r="E33" s="26" t="str">
        <x:v>MS-ET</x:v>
      </x:c>
      <x:c r="F33" s="26" t="str">
        <x:v>C</x:v>
      </x:c>
      <x:c r="G33" s="26" t="str">
        <x:v>X05</x:v>
      </x:c>
      <x:c r="H33" s="26" t="str">
        <x:v>Critical feedstock conversion</x:v>
      </x:c>
      <x:c r="I33" s="26" t="str">
        <x:v>ROOT_EXCLUSIVE</x:v>
      </x:c>
      <x:c r="J33" s="26" t="n">
        <x:f>'Controls'!$D$5</x:f>
        <x:v>1</x:v>
      </x:c>
      <x:c r="K33" s="38" t="str">
        <x:v>UNDECLARED</x:v>
      </x:c>
      <x:c r="L33" s="26" t="str">
        <x:f>IF(K33="UNDECLARED","n.a.",COUNTIFS($K$5:$K$292,K33))</x:f>
        <x:v>n.a.</x:v>
      </x:c>
      <x:c r="M33" s="26" t="str">
        <x:f>IF(K33="UNDECLARED","OPEN",IF(L33&lt;=J33,"PASS","FAIL"))</x:f>
        <x:v>OPEN</x:v>
      </x:c>
      <x:c r="N33" s="38" t="str">
        <x:v>UNASSIGNED</x:v>
      </x:c>
    </x:row>
    <x:row r="34" ht="25.5" customHeight="1">
      <x:c r="C34" s="26" t="str">
        <x:v>NS-C3-ET-C-RB1-X06</x:v>
      </x:c>
      <x:c r="D34" s="26" t="str">
        <x:v>C3-ET-C-RB1</x:v>
      </x:c>
      <x:c r="E34" s="26" t="str">
        <x:v>MS-ET</x:v>
      </x:c>
      <x:c r="F34" s="26" t="str">
        <x:v>C</x:v>
      </x:c>
      <x:c r="G34" s="26" t="str">
        <x:v>X06</x:v>
      </x:c>
      <x:c r="H34" s="26" t="str">
        <x:v>Control runtime, build system and signing keys</x:v>
      </x:c>
      <x:c r="I34" s="26" t="str">
        <x:v>ROOT_EXCLUSIVE</x:v>
      </x:c>
      <x:c r="J34" s="26" t="n">
        <x:f>'Controls'!$D$5</x:f>
        <x:v>1</x:v>
      </x:c>
      <x:c r="K34" s="38" t="str">
        <x:v>UNDECLARED</x:v>
      </x:c>
      <x:c r="L34" s="26" t="str">
        <x:f>IF(K34="UNDECLARED","n.a.",COUNTIFS($K$5:$K$292,K34))</x:f>
        <x:v>n.a.</x:v>
      </x:c>
      <x:c r="M34" s="26" t="str">
        <x:f>IF(K34="UNDECLARED","OPEN",IF(L34&lt;=J34,"PASS","FAIL"))</x:f>
        <x:v>OPEN</x:v>
      </x:c>
      <x:c r="N34" s="38" t="str">
        <x:v>UNASSIGNED</x:v>
      </x:c>
    </x:row>
    <x:row r="35" ht="25.5" customHeight="1">
      <x:c r="C35" s="26" t="str">
        <x:v>NS-C3-ET-C-RB1-X07</x:v>
      </x:c>
      <x:c r="D35" s="26" t="str">
        <x:v>C3-ET-C-RB1</x:v>
      </x:c>
      <x:c r="E35" s="26" t="str">
        <x:v>MS-ET</x:v>
      </x:c>
      <x:c r="F35" s="26" t="str">
        <x:v>C</x:v>
      </x:c>
      <x:c r="G35" s="26" t="str">
        <x:v>X07</x:v>
      </x:c>
      <x:c r="H35" s="26" t="str">
        <x:v>Communications and causal-time implementation</x:v>
      </x:c>
      <x:c r="I35" s="26" t="str">
        <x:v>ROOT_EXCLUSIVE</x:v>
      </x:c>
      <x:c r="J35" s="26" t="n">
        <x:f>'Controls'!$D$5</x:f>
        <x:v>1</x:v>
      </x:c>
      <x:c r="K35" s="38" t="str">
        <x:v>UNDECLARED</x:v>
      </x:c>
      <x:c r="L35" s="26" t="str">
        <x:f>IF(K35="UNDECLARED","n.a.",COUNTIFS($K$5:$K$292,K35))</x:f>
        <x:v>n.a.</x:v>
      </x:c>
      <x:c r="M35" s="26" t="str">
        <x:f>IF(K35="UNDECLARED","OPEN",IF(L35&lt;=J35,"PASS","FAIL"))</x:f>
        <x:v>OPEN</x:v>
      </x:c>
      <x:c r="N35" s="38" t="str">
        <x:v>UNASSIGNED</x:v>
      </x:c>
    </x:row>
    <x:row r="36" ht="25.5" customHeight="1">
      <x:c r="C36" s="26" t="str">
        <x:v>NS-C3-ET-C-RB1-X08</x:v>
      </x:c>
      <x:c r="D36" s="26" t="str">
        <x:v>C3-ET-C-RB1</x:v>
      </x:c>
      <x:c r="E36" s="26" t="str">
        <x:v>MS-ET</x:v>
      </x:c>
      <x:c r="F36" s="26" t="str">
        <x:v>C</x:v>
      </x:c>
      <x:c r="G36" s="26" t="str">
        <x:v>X08</x:v>
      </x:c>
      <x:c r="H36" s="26" t="str">
        <x:v>Sensing, calibration and uncertainty chain</x:v>
      </x:c>
      <x:c r="I36" s="26" t="str">
        <x:v>ROOT_EXCLUSIVE</x:v>
      </x:c>
      <x:c r="J36" s="26" t="n">
        <x:f>'Controls'!$D$5</x:f>
        <x:v>1</x:v>
      </x:c>
      <x:c r="K36" s="38" t="str">
        <x:v>UNDECLARED</x:v>
      </x:c>
      <x:c r="L36" s="26" t="str">
        <x:f>IF(K36="UNDECLARED","n.a.",COUNTIFS($K$5:$K$292,K36))</x:f>
        <x:v>n.a.</x:v>
      </x:c>
      <x:c r="M36" s="26" t="str">
        <x:f>IF(K36="UNDECLARED","OPEN",IF(L36&lt;=J36,"PASS","FAIL"))</x:f>
        <x:v>OPEN</x:v>
      </x:c>
      <x:c r="N36" s="38" t="str">
        <x:v>UNASSIGNED</x:v>
      </x:c>
    </x:row>
    <x:row r="37" ht="25.5" customHeight="1">
      <x:c r="C37" s="26" t="str">
        <x:v>NS-C3-ET-C-RB1-X09</x:v>
      </x:c>
      <x:c r="D37" s="26" t="str">
        <x:v>C3-ET-C-RB1</x:v>
      </x:c>
      <x:c r="E37" s="26" t="str">
        <x:v>MS-ET</x:v>
      </x:c>
      <x:c r="F37" s="26" t="str">
        <x:v>C</x:v>
      </x:c>
      <x:c r="G37" s="26" t="str">
        <x:v>X09</x:v>
      </x:c>
      <x:c r="H37" s="26" t="str">
        <x:v>Production tooling and pilot line</x:v>
      </x:c>
      <x:c r="I37" s="26" t="str">
        <x:v>ROOT_EXCLUSIVE</x:v>
      </x:c>
      <x:c r="J37" s="26" t="n">
        <x:f>'Controls'!$D$5</x:f>
        <x:v>1</x:v>
      </x:c>
      <x:c r="K37" s="38" t="str">
        <x:v>UNDECLARED</x:v>
      </x:c>
      <x:c r="L37" s="26" t="str">
        <x:f>IF(K37="UNDECLARED","n.a.",COUNTIFS($K$5:$K$292,K37))</x:f>
        <x:v>n.a.</x:v>
      </x:c>
      <x:c r="M37" s="26" t="str">
        <x:f>IF(K37="UNDECLARED","OPEN",IF(L37&lt;=J37,"PASS","FAIL"))</x:f>
        <x:v>OPEN</x:v>
      </x:c>
      <x:c r="N37" s="38" t="str">
        <x:v>UNASSIGNED</x:v>
      </x:c>
    </x:row>
    <x:row r="38" ht="25.5" customHeight="1">
      <x:c r="C38" s="26" t="str">
        <x:v>NS-C3-ET-C-RB1-X10</x:v>
      </x:c>
      <x:c r="D38" s="26" t="str">
        <x:v>C3-ET-C-RB1</x:v>
      </x:c>
      <x:c r="E38" s="26" t="str">
        <x:v>MS-ET</x:v>
      </x:c>
      <x:c r="F38" s="26" t="str">
        <x:v>C</x:v>
      </x:c>
      <x:c r="G38" s="26" t="str">
        <x:v>X10</x:v>
      </x:c>
      <x:c r="H38" s="26" t="str">
        <x:v>Final assembly site and critical workforce</x:v>
      </x:c>
      <x:c r="I38" s="26" t="str">
        <x:v>ROOT_EXCLUSIVE</x:v>
      </x:c>
      <x:c r="J38" s="26" t="n">
        <x:f>'Controls'!$D$5</x:f>
        <x:v>1</x:v>
      </x:c>
      <x:c r="K38" s="38" t="str">
        <x:v>UNDECLARED</x:v>
      </x:c>
      <x:c r="L38" s="26" t="str">
        <x:f>IF(K38="UNDECLARED","n.a.",COUNTIFS($K$5:$K$292,K38))</x:f>
        <x:v>n.a.</x:v>
      </x:c>
      <x:c r="M38" s="26" t="str">
        <x:f>IF(K38="UNDECLARED","OPEN",IF(L38&lt;=J38,"PASS","FAIL"))</x:f>
        <x:v>OPEN</x:v>
      </x:c>
      <x:c r="N38" s="38" t="str">
        <x:v>UNASSIGNED</x:v>
      </x:c>
    </x:row>
    <x:row r="39" ht="25.5" customHeight="1">
      <x:c r="C39" s="26" t="str">
        <x:v>NS-C3-ET-C-RB1-X11</x:v>
      </x:c>
      <x:c r="D39" s="26" t="str">
        <x:v>C3-ET-C-RB1</x:v>
      </x:c>
      <x:c r="E39" s="26" t="str">
        <x:v>MS-ET</x:v>
      </x:c>
      <x:c r="F39" s="26" t="str">
        <x:v>C</x:v>
      </x:c>
      <x:c r="G39" s="26" t="str">
        <x:v>X11</x:v>
      </x:c>
      <x:c r="H39" s="26" t="str">
        <x:v>Repair, reset and second-team reproduction</x:v>
      </x:c>
      <x:c r="I39" s="26" t="str">
        <x:v>ROOT_EXCLUSIVE</x:v>
      </x:c>
      <x:c r="J39" s="26" t="n">
        <x:f>'Controls'!$D$5</x:f>
        <x:v>1</x:v>
      </x:c>
      <x:c r="K39" s="38" t="str">
        <x:v>UNDECLARED</x:v>
      </x:c>
      <x:c r="L39" s="26" t="str">
        <x:f>IF(K39="UNDECLARED","n.a.",COUNTIFS($K$5:$K$292,K39))</x:f>
        <x:v>n.a.</x:v>
      </x:c>
      <x:c r="M39" s="26" t="str">
        <x:f>IF(K39="UNDECLARED","OPEN",IF(L39&lt;=J39,"PASS","FAIL"))</x:f>
        <x:v>OPEN</x:v>
      </x:c>
      <x:c r="N39" s="38" t="str">
        <x:v>UNASSIGNED</x:v>
      </x:c>
    </x:row>
    <x:row r="40" ht="25.5" customHeight="1">
      <x:c r="C40" s="26" t="str">
        <x:v>NS-C3-ET-C-RB1-X12</x:v>
      </x:c>
      <x:c r="D40" s="26" t="str">
        <x:v>C3-ET-C-RB1</x:v>
      </x:c>
      <x:c r="E40" s="26" t="str">
        <x:v>MS-ET</x:v>
      </x:c>
      <x:c r="F40" s="26" t="str">
        <x:v>C</x:v>
      </x:c>
      <x:c r="G40" s="26" t="str">
        <x:v>X12</x:v>
      </x:c>
      <x:c r="H40" s="26" t="str">
        <x:v>Evidence capture, custody and outside replay</x:v>
      </x:c>
      <x:c r="I40" s="26" t="str">
        <x:v>ROOT_EXCLUSIVE</x:v>
      </x:c>
      <x:c r="J40" s="26" t="n">
        <x:f>'Controls'!$D$5</x:f>
        <x:v>1</x:v>
      </x:c>
      <x:c r="K40" s="38" t="str">
        <x:v>UNDECLARED</x:v>
      </x:c>
      <x:c r="L40" s="26" t="str">
        <x:f>IF(K40="UNDECLARED","n.a.",COUNTIFS($K$5:$K$292,K40))</x:f>
        <x:v>n.a.</x:v>
      </x:c>
      <x:c r="M40" s="26" t="str">
        <x:f>IF(K40="UNDECLARED","OPEN",IF(L40&lt;=J40,"PASS","FAIL"))</x:f>
        <x:v>OPEN</x:v>
      </x:c>
      <x:c r="N40" s="38" t="str">
        <x:v>UNASSIGNED</x:v>
      </x:c>
    </x:row>
    <x:row r="41" ht="25.5" customHeight="1">
      <x:c r="C41" s="26" t="str">
        <x:v>NS-C3-ET-D-RB1-X01</x:v>
      </x:c>
      <x:c r="D41" s="26" t="str">
        <x:v>C3-ET-D-RB1</x:v>
      </x:c>
      <x:c r="E41" s="26" t="str">
        <x:v>MS-ET</x:v>
      </x:c>
      <x:c r="F41" s="26" t="str">
        <x:v>D</x:v>
      </x:c>
      <x:c r="G41" s="26" t="str">
        <x:v>X01</x:v>
      </x:c>
      <x:c r="H41" s="26" t="str">
        <x:v>Root integrator and beneficial control</x:v>
      </x:c>
      <x:c r="I41" s="26" t="str">
        <x:v>ROOT_EXCLUSIVE</x:v>
      </x:c>
      <x:c r="J41" s="26" t="n">
        <x:f>'Controls'!$D$5</x:f>
        <x:v>1</x:v>
      </x:c>
      <x:c r="K41" s="38" t="str">
        <x:v>UNDECLARED</x:v>
      </x:c>
      <x:c r="L41" s="26" t="str">
        <x:f>IF(K41="UNDECLARED","n.a.",COUNTIFS($K$5:$K$292,K41))</x:f>
        <x:v>n.a.</x:v>
      </x:c>
      <x:c r="M41" s="26" t="str">
        <x:f>IF(K41="UNDECLARED","OPEN",IF(L41&lt;=J41,"PASS","FAIL"))</x:f>
        <x:v>OPEN</x:v>
      </x:c>
      <x:c r="N41" s="38" t="str">
        <x:v>UNASSIGNED</x:v>
      </x:c>
    </x:row>
    <x:row r="42" ht="25.5" customHeight="1">
      <x:c r="C42" s="26" t="str">
        <x:v>NS-C3-ET-D-RB1-X02</x:v>
      </x:c>
      <x:c r="D42" s="26" t="str">
        <x:v>C3-ET-D-RB1</x:v>
      </x:c>
      <x:c r="E42" s="26" t="str">
        <x:v>MS-ET</x:v>
      </x:c>
      <x:c r="F42" s="26" t="str">
        <x:v>D</x:v>
      </x:c>
      <x:c r="G42" s="26" t="str">
        <x:v>X02</x:v>
      </x:c>
      <x:c r="H42" s="26" t="str">
        <x:v>Prime work physics and mechanism authority</x:v>
      </x:c>
      <x:c r="I42" s="26" t="str">
        <x:v>ROOT_EXCLUSIVE</x:v>
      </x:c>
      <x:c r="J42" s="26" t="n">
        <x:f>'Controls'!$D$5</x:f>
        <x:v>1</x:v>
      </x:c>
      <x:c r="K42" s="38" t="str">
        <x:v>UNDECLARED</x:v>
      </x:c>
      <x:c r="L42" s="26" t="str">
        <x:f>IF(K42="UNDECLARED","n.a.",COUNTIFS($K$5:$K$292,K42))</x:f>
        <x:v>n.a.</x:v>
      </x:c>
      <x:c r="M42" s="26" t="str">
        <x:f>IF(K42="UNDECLARED","OPEN",IF(L42&lt;=J42,"PASS","FAIL"))</x:f>
        <x:v>OPEN</x:v>
      </x:c>
      <x:c r="N42" s="38" t="str">
        <x:v>UNASSIGNED</x:v>
      </x:c>
    </x:row>
    <x:row r="43" ht="25.5" customHeight="1">
      <x:c r="C43" s="26" t="str">
        <x:v>NS-C3-ET-D-RB1-X03</x:v>
      </x:c>
      <x:c r="D43" s="26" t="str">
        <x:v>C3-ET-D-RB1</x:v>
      </x:c>
      <x:c r="E43" s="26" t="str">
        <x:v>MS-ET</x:v>
      </x:c>
      <x:c r="F43" s="26" t="str">
        <x:v>D</x:v>
      </x:c>
      <x:c r="G43" s="26" t="str">
        <x:v>X03</x:v>
      </x:c>
      <x:c r="H43" s="26" t="str">
        <x:v>Primary energy conversion and safe-state chain</x:v>
      </x:c>
      <x:c r="I43" s="26" t="str">
        <x:v>ROOT_EXCLUSIVE</x:v>
      </x:c>
      <x:c r="J43" s="26" t="n">
        <x:f>'Controls'!$D$5</x:f>
        <x:v>1</x:v>
      </x:c>
      <x:c r="K43" s="38" t="str">
        <x:v>UNDECLARED</x:v>
      </x:c>
      <x:c r="L43" s="26" t="str">
        <x:f>IF(K43="UNDECLARED","n.a.",COUNTIFS($K$5:$K$292,K43))</x:f>
        <x:v>n.a.</x:v>
      </x:c>
      <x:c r="M43" s="26" t="str">
        <x:f>IF(K43="UNDECLARED","OPEN",IF(L43&lt;=J43,"PASS","FAIL"))</x:f>
        <x:v>OPEN</x:v>
      </x:c>
      <x:c r="N43" s="38" t="str">
        <x:v>UNASSIGNED</x:v>
      </x:c>
    </x:row>
    <x:row r="44" ht="25.5" customHeight="1">
      <x:c r="C44" s="26" t="str">
        <x:v>NS-C3-ET-D-RB1-X04</x:v>
      </x:c>
      <x:c r="D44" s="26" t="str">
        <x:v>C3-ET-D-RB1</x:v>
      </x:c>
      <x:c r="E44" s="26" t="str">
        <x:v>MS-ET</x:v>
      </x:c>
      <x:c r="F44" s="26" t="str">
        <x:v>D</x:v>
      </x:c>
      <x:c r="G44" s="26" t="str">
        <x:v>X04</x:v>
      </x:c>
      <x:c r="H44" s="26" t="str">
        <x:v>Structural and material process</x:v>
      </x:c>
      <x:c r="I44" s="26" t="str">
        <x:v>ROOT_EXCLUSIVE</x:v>
      </x:c>
      <x:c r="J44" s="26" t="n">
        <x:f>'Controls'!$D$5</x:f>
        <x:v>1</x:v>
      </x:c>
      <x:c r="K44" s="38" t="str">
        <x:v>UNDECLARED</x:v>
      </x:c>
      <x:c r="L44" s="26" t="str">
        <x:f>IF(K44="UNDECLARED","n.a.",COUNTIFS($K$5:$K$292,K44))</x:f>
        <x:v>n.a.</x:v>
      </x:c>
      <x:c r="M44" s="26" t="str">
        <x:f>IF(K44="UNDECLARED","OPEN",IF(L44&lt;=J44,"PASS","FAIL"))</x:f>
        <x:v>OPEN</x:v>
      </x:c>
      <x:c r="N44" s="38" t="str">
        <x:v>UNASSIGNED</x:v>
      </x:c>
    </x:row>
    <x:row r="45" ht="25.5" customHeight="1">
      <x:c r="C45" s="26" t="str">
        <x:v>NS-C3-ET-D-RB1-X05</x:v>
      </x:c>
      <x:c r="D45" s="26" t="str">
        <x:v>C3-ET-D-RB1</x:v>
      </x:c>
      <x:c r="E45" s="26" t="str">
        <x:v>MS-ET</x:v>
      </x:c>
      <x:c r="F45" s="26" t="str">
        <x:v>D</x:v>
      </x:c>
      <x:c r="G45" s="26" t="str">
        <x:v>X05</x:v>
      </x:c>
      <x:c r="H45" s="26" t="str">
        <x:v>Critical feedstock conversion</x:v>
      </x:c>
      <x:c r="I45" s="26" t="str">
        <x:v>ROOT_EXCLUSIVE</x:v>
      </x:c>
      <x:c r="J45" s="26" t="n">
        <x:f>'Controls'!$D$5</x:f>
        <x:v>1</x:v>
      </x:c>
      <x:c r="K45" s="38" t="str">
        <x:v>UNDECLARED</x:v>
      </x:c>
      <x:c r="L45" s="26" t="str">
        <x:f>IF(K45="UNDECLARED","n.a.",COUNTIFS($K$5:$K$292,K45))</x:f>
        <x:v>n.a.</x:v>
      </x:c>
      <x:c r="M45" s="26" t="str">
        <x:f>IF(K45="UNDECLARED","OPEN",IF(L45&lt;=J45,"PASS","FAIL"))</x:f>
        <x:v>OPEN</x:v>
      </x:c>
      <x:c r="N45" s="38" t="str">
        <x:v>UNASSIGNED</x:v>
      </x:c>
    </x:row>
    <x:row r="46" ht="25.5" customHeight="1">
      <x:c r="C46" s="26" t="str">
        <x:v>NS-C3-ET-D-RB1-X06</x:v>
      </x:c>
      <x:c r="D46" s="26" t="str">
        <x:v>C3-ET-D-RB1</x:v>
      </x:c>
      <x:c r="E46" s="26" t="str">
        <x:v>MS-ET</x:v>
      </x:c>
      <x:c r="F46" s="26" t="str">
        <x:v>D</x:v>
      </x:c>
      <x:c r="G46" s="26" t="str">
        <x:v>X06</x:v>
      </x:c>
      <x:c r="H46" s="26" t="str">
        <x:v>Control runtime, build system and signing keys</x:v>
      </x:c>
      <x:c r="I46" s="26" t="str">
        <x:v>ROOT_EXCLUSIVE</x:v>
      </x:c>
      <x:c r="J46" s="26" t="n">
        <x:f>'Controls'!$D$5</x:f>
        <x:v>1</x:v>
      </x:c>
      <x:c r="K46" s="38" t="str">
        <x:v>UNDECLARED</x:v>
      </x:c>
      <x:c r="L46" s="26" t="str">
        <x:f>IF(K46="UNDECLARED","n.a.",COUNTIFS($K$5:$K$292,K46))</x:f>
        <x:v>n.a.</x:v>
      </x:c>
      <x:c r="M46" s="26" t="str">
        <x:f>IF(K46="UNDECLARED","OPEN",IF(L46&lt;=J46,"PASS","FAIL"))</x:f>
        <x:v>OPEN</x:v>
      </x:c>
      <x:c r="N46" s="38" t="str">
        <x:v>UNASSIGNED</x:v>
      </x:c>
    </x:row>
    <x:row r="47" ht="25.5" customHeight="1">
      <x:c r="C47" s="26" t="str">
        <x:v>NS-C3-ET-D-RB1-X07</x:v>
      </x:c>
      <x:c r="D47" s="26" t="str">
        <x:v>C3-ET-D-RB1</x:v>
      </x:c>
      <x:c r="E47" s="26" t="str">
        <x:v>MS-ET</x:v>
      </x:c>
      <x:c r="F47" s="26" t="str">
        <x:v>D</x:v>
      </x:c>
      <x:c r="G47" s="26" t="str">
        <x:v>X07</x:v>
      </x:c>
      <x:c r="H47" s="26" t="str">
        <x:v>Communications and causal-time implementation</x:v>
      </x:c>
      <x:c r="I47" s="26" t="str">
        <x:v>ROOT_EXCLUSIVE</x:v>
      </x:c>
      <x:c r="J47" s="26" t="n">
        <x:f>'Controls'!$D$5</x:f>
        <x:v>1</x:v>
      </x:c>
      <x:c r="K47" s="38" t="str">
        <x:v>UNDECLARED</x:v>
      </x:c>
      <x:c r="L47" s="26" t="str">
        <x:f>IF(K47="UNDECLARED","n.a.",COUNTIFS($K$5:$K$292,K47))</x:f>
        <x:v>n.a.</x:v>
      </x:c>
      <x:c r="M47" s="26" t="str">
        <x:f>IF(K47="UNDECLARED","OPEN",IF(L47&lt;=J47,"PASS","FAIL"))</x:f>
        <x:v>OPEN</x:v>
      </x:c>
      <x:c r="N47" s="38" t="str">
        <x:v>UNASSIGNED</x:v>
      </x:c>
    </x:row>
    <x:row r="48" ht="25.5" customHeight="1">
      <x:c r="C48" s="26" t="str">
        <x:v>NS-C3-ET-D-RB1-X08</x:v>
      </x:c>
      <x:c r="D48" s="26" t="str">
        <x:v>C3-ET-D-RB1</x:v>
      </x:c>
      <x:c r="E48" s="26" t="str">
        <x:v>MS-ET</x:v>
      </x:c>
      <x:c r="F48" s="26" t="str">
        <x:v>D</x:v>
      </x:c>
      <x:c r="G48" s="26" t="str">
        <x:v>X08</x:v>
      </x:c>
      <x:c r="H48" s="26" t="str">
        <x:v>Sensing, calibration and uncertainty chain</x:v>
      </x:c>
      <x:c r="I48" s="26" t="str">
        <x:v>ROOT_EXCLUSIVE</x:v>
      </x:c>
      <x:c r="J48" s="26" t="n">
        <x:f>'Controls'!$D$5</x:f>
        <x:v>1</x:v>
      </x:c>
      <x:c r="K48" s="38" t="str">
        <x:v>UNDECLARED</x:v>
      </x:c>
      <x:c r="L48" s="26" t="str">
        <x:f>IF(K48="UNDECLARED","n.a.",COUNTIFS($K$5:$K$292,K48))</x:f>
        <x:v>n.a.</x:v>
      </x:c>
      <x:c r="M48" s="26" t="str">
        <x:f>IF(K48="UNDECLARED","OPEN",IF(L48&lt;=J48,"PASS","FAIL"))</x:f>
        <x:v>OPEN</x:v>
      </x:c>
      <x:c r="N48" s="38" t="str">
        <x:v>UNASSIGNED</x:v>
      </x:c>
    </x:row>
    <x:row r="49" ht="25.5" customHeight="1">
      <x:c r="C49" s="26" t="str">
        <x:v>NS-C3-ET-D-RB1-X09</x:v>
      </x:c>
      <x:c r="D49" s="26" t="str">
        <x:v>C3-ET-D-RB1</x:v>
      </x:c>
      <x:c r="E49" s="26" t="str">
        <x:v>MS-ET</x:v>
      </x:c>
      <x:c r="F49" s="26" t="str">
        <x:v>D</x:v>
      </x:c>
      <x:c r="G49" s="26" t="str">
        <x:v>X09</x:v>
      </x:c>
      <x:c r="H49" s="26" t="str">
        <x:v>Production tooling and pilot line</x:v>
      </x:c>
      <x:c r="I49" s="26" t="str">
        <x:v>ROOT_EXCLUSIVE</x:v>
      </x:c>
      <x:c r="J49" s="26" t="n">
        <x:f>'Controls'!$D$5</x:f>
        <x:v>1</x:v>
      </x:c>
      <x:c r="K49" s="38" t="str">
        <x:v>UNDECLARED</x:v>
      </x:c>
      <x:c r="L49" s="26" t="str">
        <x:f>IF(K49="UNDECLARED","n.a.",COUNTIFS($K$5:$K$292,K49))</x:f>
        <x:v>n.a.</x:v>
      </x:c>
      <x:c r="M49" s="26" t="str">
        <x:f>IF(K49="UNDECLARED","OPEN",IF(L49&lt;=J49,"PASS","FAIL"))</x:f>
        <x:v>OPEN</x:v>
      </x:c>
      <x:c r="N49" s="38" t="str">
        <x:v>UNASSIGNED</x:v>
      </x:c>
    </x:row>
    <x:row r="50" ht="25.5" customHeight="1">
      <x:c r="C50" s="26" t="str">
        <x:v>NS-C3-ET-D-RB1-X10</x:v>
      </x:c>
      <x:c r="D50" s="26" t="str">
        <x:v>C3-ET-D-RB1</x:v>
      </x:c>
      <x:c r="E50" s="26" t="str">
        <x:v>MS-ET</x:v>
      </x:c>
      <x:c r="F50" s="26" t="str">
        <x:v>D</x:v>
      </x:c>
      <x:c r="G50" s="26" t="str">
        <x:v>X10</x:v>
      </x:c>
      <x:c r="H50" s="26" t="str">
        <x:v>Final assembly site and critical workforce</x:v>
      </x:c>
      <x:c r="I50" s="26" t="str">
        <x:v>ROOT_EXCLUSIVE</x:v>
      </x:c>
      <x:c r="J50" s="26" t="n">
        <x:f>'Controls'!$D$5</x:f>
        <x:v>1</x:v>
      </x:c>
      <x:c r="K50" s="38" t="str">
        <x:v>UNDECLARED</x:v>
      </x:c>
      <x:c r="L50" s="26" t="str">
        <x:f>IF(K50="UNDECLARED","n.a.",COUNTIFS($K$5:$K$292,K50))</x:f>
        <x:v>n.a.</x:v>
      </x:c>
      <x:c r="M50" s="26" t="str">
        <x:f>IF(K50="UNDECLARED","OPEN",IF(L50&lt;=J50,"PASS","FAIL"))</x:f>
        <x:v>OPEN</x:v>
      </x:c>
      <x:c r="N50" s="38" t="str">
        <x:v>UNASSIGNED</x:v>
      </x:c>
    </x:row>
    <x:row r="51" ht="25.5" customHeight="1">
      <x:c r="C51" s="26" t="str">
        <x:v>NS-C3-ET-D-RB1-X11</x:v>
      </x:c>
      <x:c r="D51" s="26" t="str">
        <x:v>C3-ET-D-RB1</x:v>
      </x:c>
      <x:c r="E51" s="26" t="str">
        <x:v>MS-ET</x:v>
      </x:c>
      <x:c r="F51" s="26" t="str">
        <x:v>D</x:v>
      </x:c>
      <x:c r="G51" s="26" t="str">
        <x:v>X11</x:v>
      </x:c>
      <x:c r="H51" s="26" t="str">
        <x:v>Repair, reset and second-team reproduction</x:v>
      </x:c>
      <x:c r="I51" s="26" t="str">
        <x:v>ROOT_EXCLUSIVE</x:v>
      </x:c>
      <x:c r="J51" s="26" t="n">
        <x:f>'Controls'!$D$5</x:f>
        <x:v>1</x:v>
      </x:c>
      <x:c r="K51" s="38" t="str">
        <x:v>UNDECLARED</x:v>
      </x:c>
      <x:c r="L51" s="26" t="str">
        <x:f>IF(K51="UNDECLARED","n.a.",COUNTIFS($K$5:$K$292,K51))</x:f>
        <x:v>n.a.</x:v>
      </x:c>
      <x:c r="M51" s="26" t="str">
        <x:f>IF(K51="UNDECLARED","OPEN",IF(L51&lt;=J51,"PASS","FAIL"))</x:f>
        <x:v>OPEN</x:v>
      </x:c>
      <x:c r="N51" s="38" t="str">
        <x:v>UNASSIGNED</x:v>
      </x:c>
    </x:row>
    <x:row r="52" ht="25.5" customHeight="1">
      <x:c r="C52" s="26" t="str">
        <x:v>NS-C3-ET-D-RB1-X12</x:v>
      </x:c>
      <x:c r="D52" s="26" t="str">
        <x:v>C3-ET-D-RB1</x:v>
      </x:c>
      <x:c r="E52" s="26" t="str">
        <x:v>MS-ET</x:v>
      </x:c>
      <x:c r="F52" s="26" t="str">
        <x:v>D</x:v>
      </x:c>
      <x:c r="G52" s="26" t="str">
        <x:v>X12</x:v>
      </x:c>
      <x:c r="H52" s="26" t="str">
        <x:v>Evidence capture, custody and outside replay</x:v>
      </x:c>
      <x:c r="I52" s="26" t="str">
        <x:v>ROOT_EXCLUSIVE</x:v>
      </x:c>
      <x:c r="J52" s="26" t="n">
        <x:f>'Controls'!$D$5</x:f>
        <x:v>1</x:v>
      </x:c>
      <x:c r="K52" s="38" t="str">
        <x:v>UNDECLARED</x:v>
      </x:c>
      <x:c r="L52" s="26" t="str">
        <x:f>IF(K52="UNDECLARED","n.a.",COUNTIFS($K$5:$K$292,K52))</x:f>
        <x:v>n.a.</x:v>
      </x:c>
      <x:c r="M52" s="26" t="str">
        <x:f>IF(K52="UNDECLARED","OPEN",IF(L52&lt;=J52,"PASS","FAIL"))</x:f>
        <x:v>OPEN</x:v>
      </x:c>
      <x:c r="N52" s="38" t="str">
        <x:v>UNASSIGNED</x:v>
      </x:c>
    </x:row>
    <x:row r="53" ht="25.5" customHeight="1">
      <x:c r="C53" s="26" t="str">
        <x:v>NS-C3-CT-A-RB1-X01</x:v>
      </x:c>
      <x:c r="D53" s="26" t="str">
        <x:v>C3-CT-A-RB1</x:v>
      </x:c>
      <x:c r="E53" s="26" t="str">
        <x:v>MS-CT</x:v>
      </x:c>
      <x:c r="F53" s="26" t="str">
        <x:v>A</x:v>
      </x:c>
      <x:c r="G53" s="26" t="str">
        <x:v>X01</x:v>
      </x:c>
      <x:c r="H53" s="26" t="str">
        <x:v>Root integrator and beneficial control</x:v>
      </x:c>
      <x:c r="I53" s="26" t="str">
        <x:v>ROOT_EXCLUSIVE</x:v>
      </x:c>
      <x:c r="J53" s="26" t="n">
        <x:f>'Controls'!$D$5</x:f>
        <x:v>1</x:v>
      </x:c>
      <x:c r="K53" s="38" t="str">
        <x:v>UNDECLARED</x:v>
      </x:c>
      <x:c r="L53" s="26" t="str">
        <x:f>IF(K53="UNDECLARED","n.a.",COUNTIFS($K$5:$K$292,K53))</x:f>
        <x:v>n.a.</x:v>
      </x:c>
      <x:c r="M53" s="26" t="str">
        <x:f>IF(K53="UNDECLARED","OPEN",IF(L53&lt;=J53,"PASS","FAIL"))</x:f>
        <x:v>OPEN</x:v>
      </x:c>
      <x:c r="N53" s="38" t="str">
        <x:v>UNASSIGNED</x:v>
      </x:c>
    </x:row>
    <x:row r="54" ht="25.5" customHeight="1">
      <x:c r="C54" s="26" t="str">
        <x:v>NS-C3-CT-A-RB1-X02</x:v>
      </x:c>
      <x:c r="D54" s="26" t="str">
        <x:v>C3-CT-A-RB1</x:v>
      </x:c>
      <x:c r="E54" s="26" t="str">
        <x:v>MS-CT</x:v>
      </x:c>
      <x:c r="F54" s="26" t="str">
        <x:v>A</x:v>
      </x:c>
      <x:c r="G54" s="26" t="str">
        <x:v>X02</x:v>
      </x:c>
      <x:c r="H54" s="26" t="str">
        <x:v>Prime work physics and mechanism authority</x:v>
      </x:c>
      <x:c r="I54" s="26" t="str">
        <x:v>ROOT_EXCLUSIVE</x:v>
      </x:c>
      <x:c r="J54" s="26" t="n">
        <x:f>'Controls'!$D$5</x:f>
        <x:v>1</x:v>
      </x:c>
      <x:c r="K54" s="38" t="str">
        <x:v>UNDECLARED</x:v>
      </x:c>
      <x:c r="L54" s="26" t="str">
        <x:f>IF(K54="UNDECLARED","n.a.",COUNTIFS($K$5:$K$292,K54))</x:f>
        <x:v>n.a.</x:v>
      </x:c>
      <x:c r="M54" s="26" t="str">
        <x:f>IF(K54="UNDECLARED","OPEN",IF(L54&lt;=J54,"PASS","FAIL"))</x:f>
        <x:v>OPEN</x:v>
      </x:c>
      <x:c r="N54" s="38" t="str">
        <x:v>UNASSIGNED</x:v>
      </x:c>
    </x:row>
    <x:row r="55" ht="25.5" customHeight="1">
      <x:c r="C55" s="26" t="str">
        <x:v>NS-C3-CT-A-RB1-X03</x:v>
      </x:c>
      <x:c r="D55" s="26" t="str">
        <x:v>C3-CT-A-RB1</x:v>
      </x:c>
      <x:c r="E55" s="26" t="str">
        <x:v>MS-CT</x:v>
      </x:c>
      <x:c r="F55" s="26" t="str">
        <x:v>A</x:v>
      </x:c>
      <x:c r="G55" s="26" t="str">
        <x:v>X03</x:v>
      </x:c>
      <x:c r="H55" s="26" t="str">
        <x:v>Primary energy conversion and safe-state chain</x:v>
      </x:c>
      <x:c r="I55" s="26" t="str">
        <x:v>ROOT_EXCLUSIVE</x:v>
      </x:c>
      <x:c r="J55" s="26" t="n">
        <x:f>'Controls'!$D$5</x:f>
        <x:v>1</x:v>
      </x:c>
      <x:c r="K55" s="38" t="str">
        <x:v>UNDECLARED</x:v>
      </x:c>
      <x:c r="L55" s="26" t="str">
        <x:f>IF(K55="UNDECLARED","n.a.",COUNTIFS($K$5:$K$292,K55))</x:f>
        <x:v>n.a.</x:v>
      </x:c>
      <x:c r="M55" s="26" t="str">
        <x:f>IF(K55="UNDECLARED","OPEN",IF(L55&lt;=J55,"PASS","FAIL"))</x:f>
        <x:v>OPEN</x:v>
      </x:c>
      <x:c r="N55" s="38" t="str">
        <x:v>UNASSIGNED</x:v>
      </x:c>
    </x:row>
    <x:row r="56" ht="25.5" customHeight="1">
      <x:c r="C56" s="26" t="str">
        <x:v>NS-C3-CT-A-RB1-X04</x:v>
      </x:c>
      <x:c r="D56" s="26" t="str">
        <x:v>C3-CT-A-RB1</x:v>
      </x:c>
      <x:c r="E56" s="26" t="str">
        <x:v>MS-CT</x:v>
      </x:c>
      <x:c r="F56" s="26" t="str">
        <x:v>A</x:v>
      </x:c>
      <x:c r="G56" s="26" t="str">
        <x:v>X04</x:v>
      </x:c>
      <x:c r="H56" s="26" t="str">
        <x:v>Structural and material process</x:v>
      </x:c>
      <x:c r="I56" s="26" t="str">
        <x:v>ROOT_EXCLUSIVE</x:v>
      </x:c>
      <x:c r="J56" s="26" t="n">
        <x:f>'Controls'!$D$5</x:f>
        <x:v>1</x:v>
      </x:c>
      <x:c r="K56" s="38" t="str">
        <x:v>UNDECLARED</x:v>
      </x:c>
      <x:c r="L56" s="26" t="str">
        <x:f>IF(K56="UNDECLARED","n.a.",COUNTIFS($K$5:$K$292,K56))</x:f>
        <x:v>n.a.</x:v>
      </x:c>
      <x:c r="M56" s="26" t="str">
        <x:f>IF(K56="UNDECLARED","OPEN",IF(L56&lt;=J56,"PASS","FAIL"))</x:f>
        <x:v>OPEN</x:v>
      </x:c>
      <x:c r="N56" s="38" t="str">
        <x:v>UNASSIGNED</x:v>
      </x:c>
    </x:row>
    <x:row r="57" ht="25.5" customHeight="1">
      <x:c r="C57" s="26" t="str">
        <x:v>NS-C3-CT-A-RB1-X05</x:v>
      </x:c>
      <x:c r="D57" s="26" t="str">
        <x:v>C3-CT-A-RB1</x:v>
      </x:c>
      <x:c r="E57" s="26" t="str">
        <x:v>MS-CT</x:v>
      </x:c>
      <x:c r="F57" s="26" t="str">
        <x:v>A</x:v>
      </x:c>
      <x:c r="G57" s="26" t="str">
        <x:v>X05</x:v>
      </x:c>
      <x:c r="H57" s="26" t="str">
        <x:v>Critical feedstock conversion</x:v>
      </x:c>
      <x:c r="I57" s="26" t="str">
        <x:v>ROOT_EXCLUSIVE</x:v>
      </x:c>
      <x:c r="J57" s="26" t="n">
        <x:f>'Controls'!$D$5</x:f>
        <x:v>1</x:v>
      </x:c>
      <x:c r="K57" s="38" t="str">
        <x:v>UNDECLARED</x:v>
      </x:c>
      <x:c r="L57" s="26" t="str">
        <x:f>IF(K57="UNDECLARED","n.a.",COUNTIFS($K$5:$K$292,K57))</x:f>
        <x:v>n.a.</x:v>
      </x:c>
      <x:c r="M57" s="26" t="str">
        <x:f>IF(K57="UNDECLARED","OPEN",IF(L57&lt;=J57,"PASS","FAIL"))</x:f>
        <x:v>OPEN</x:v>
      </x:c>
      <x:c r="N57" s="38" t="str">
        <x:v>UNASSIGNED</x:v>
      </x:c>
    </x:row>
    <x:row r="58" ht="25.5" customHeight="1">
      <x:c r="C58" s="26" t="str">
        <x:v>NS-C3-CT-A-RB1-X06</x:v>
      </x:c>
      <x:c r="D58" s="26" t="str">
        <x:v>C3-CT-A-RB1</x:v>
      </x:c>
      <x:c r="E58" s="26" t="str">
        <x:v>MS-CT</x:v>
      </x:c>
      <x:c r="F58" s="26" t="str">
        <x:v>A</x:v>
      </x:c>
      <x:c r="G58" s="26" t="str">
        <x:v>X06</x:v>
      </x:c>
      <x:c r="H58" s="26" t="str">
        <x:v>Control runtime, build system and signing keys</x:v>
      </x:c>
      <x:c r="I58" s="26" t="str">
        <x:v>ROOT_EXCLUSIVE</x:v>
      </x:c>
      <x:c r="J58" s="26" t="n">
        <x:f>'Controls'!$D$5</x:f>
        <x:v>1</x:v>
      </x:c>
      <x:c r="K58" s="38" t="str">
        <x:v>UNDECLARED</x:v>
      </x:c>
      <x:c r="L58" s="26" t="str">
        <x:f>IF(K58="UNDECLARED","n.a.",COUNTIFS($K$5:$K$292,K58))</x:f>
        <x:v>n.a.</x:v>
      </x:c>
      <x:c r="M58" s="26" t="str">
        <x:f>IF(K58="UNDECLARED","OPEN",IF(L58&lt;=J58,"PASS","FAIL"))</x:f>
        <x:v>OPEN</x:v>
      </x:c>
      <x:c r="N58" s="38" t="str">
        <x:v>UNASSIGNED</x:v>
      </x:c>
    </x:row>
    <x:row r="59" ht="25.5" customHeight="1">
      <x:c r="C59" s="26" t="str">
        <x:v>NS-C3-CT-A-RB1-X07</x:v>
      </x:c>
      <x:c r="D59" s="26" t="str">
        <x:v>C3-CT-A-RB1</x:v>
      </x:c>
      <x:c r="E59" s="26" t="str">
        <x:v>MS-CT</x:v>
      </x:c>
      <x:c r="F59" s="26" t="str">
        <x:v>A</x:v>
      </x:c>
      <x:c r="G59" s="26" t="str">
        <x:v>X07</x:v>
      </x:c>
      <x:c r="H59" s="26" t="str">
        <x:v>Communications and causal-time implementation</x:v>
      </x:c>
      <x:c r="I59" s="26" t="str">
        <x:v>ROOT_EXCLUSIVE</x:v>
      </x:c>
      <x:c r="J59" s="26" t="n">
        <x:f>'Controls'!$D$5</x:f>
        <x:v>1</x:v>
      </x:c>
      <x:c r="K59" s="38" t="str">
        <x:v>UNDECLARED</x:v>
      </x:c>
      <x:c r="L59" s="26" t="str">
        <x:f>IF(K59="UNDECLARED","n.a.",COUNTIFS($K$5:$K$292,K59))</x:f>
        <x:v>n.a.</x:v>
      </x:c>
      <x:c r="M59" s="26" t="str">
        <x:f>IF(K59="UNDECLARED","OPEN",IF(L59&lt;=J59,"PASS","FAIL"))</x:f>
        <x:v>OPEN</x:v>
      </x:c>
      <x:c r="N59" s="38" t="str">
        <x:v>UNASSIGNED</x:v>
      </x:c>
    </x:row>
    <x:row r="60" ht="25.5" customHeight="1">
      <x:c r="C60" s="26" t="str">
        <x:v>NS-C3-CT-A-RB1-X08</x:v>
      </x:c>
      <x:c r="D60" s="26" t="str">
        <x:v>C3-CT-A-RB1</x:v>
      </x:c>
      <x:c r="E60" s="26" t="str">
        <x:v>MS-CT</x:v>
      </x:c>
      <x:c r="F60" s="26" t="str">
        <x:v>A</x:v>
      </x:c>
      <x:c r="G60" s="26" t="str">
        <x:v>X08</x:v>
      </x:c>
      <x:c r="H60" s="26" t="str">
        <x:v>Sensing, calibration and uncertainty chain</x:v>
      </x:c>
      <x:c r="I60" s="26" t="str">
        <x:v>ROOT_EXCLUSIVE</x:v>
      </x:c>
      <x:c r="J60" s="26" t="n">
        <x:f>'Controls'!$D$5</x:f>
        <x:v>1</x:v>
      </x:c>
      <x:c r="K60" s="38" t="str">
        <x:v>UNDECLARED</x:v>
      </x:c>
      <x:c r="L60" s="26" t="str">
        <x:f>IF(K60="UNDECLARED","n.a.",COUNTIFS($K$5:$K$292,K60))</x:f>
        <x:v>n.a.</x:v>
      </x:c>
      <x:c r="M60" s="26" t="str">
        <x:f>IF(K60="UNDECLARED","OPEN",IF(L60&lt;=J60,"PASS","FAIL"))</x:f>
        <x:v>OPEN</x:v>
      </x:c>
      <x:c r="N60" s="38" t="str">
        <x:v>UNASSIGNED</x:v>
      </x:c>
    </x:row>
    <x:row r="61" ht="25.5" customHeight="1">
      <x:c r="C61" s="26" t="str">
        <x:v>NS-C3-CT-A-RB1-X09</x:v>
      </x:c>
      <x:c r="D61" s="26" t="str">
        <x:v>C3-CT-A-RB1</x:v>
      </x:c>
      <x:c r="E61" s="26" t="str">
        <x:v>MS-CT</x:v>
      </x:c>
      <x:c r="F61" s="26" t="str">
        <x:v>A</x:v>
      </x:c>
      <x:c r="G61" s="26" t="str">
        <x:v>X09</x:v>
      </x:c>
      <x:c r="H61" s="26" t="str">
        <x:v>Production tooling and pilot line</x:v>
      </x:c>
      <x:c r="I61" s="26" t="str">
        <x:v>ROOT_EXCLUSIVE</x:v>
      </x:c>
      <x:c r="J61" s="26" t="n">
        <x:f>'Controls'!$D$5</x:f>
        <x:v>1</x:v>
      </x:c>
      <x:c r="K61" s="38" t="str">
        <x:v>UNDECLARED</x:v>
      </x:c>
      <x:c r="L61" s="26" t="str">
        <x:f>IF(K61="UNDECLARED","n.a.",COUNTIFS($K$5:$K$292,K61))</x:f>
        <x:v>n.a.</x:v>
      </x:c>
      <x:c r="M61" s="26" t="str">
        <x:f>IF(K61="UNDECLARED","OPEN",IF(L61&lt;=J61,"PASS","FAIL"))</x:f>
        <x:v>OPEN</x:v>
      </x:c>
      <x:c r="N61" s="38" t="str">
        <x:v>UNASSIGNED</x:v>
      </x:c>
    </x:row>
    <x:row r="62" ht="25.5" customHeight="1">
      <x:c r="C62" s="26" t="str">
        <x:v>NS-C3-CT-A-RB1-X10</x:v>
      </x:c>
      <x:c r="D62" s="26" t="str">
        <x:v>C3-CT-A-RB1</x:v>
      </x:c>
      <x:c r="E62" s="26" t="str">
        <x:v>MS-CT</x:v>
      </x:c>
      <x:c r="F62" s="26" t="str">
        <x:v>A</x:v>
      </x:c>
      <x:c r="G62" s="26" t="str">
        <x:v>X10</x:v>
      </x:c>
      <x:c r="H62" s="26" t="str">
        <x:v>Final assembly site and critical workforce</x:v>
      </x:c>
      <x:c r="I62" s="26" t="str">
        <x:v>ROOT_EXCLUSIVE</x:v>
      </x:c>
      <x:c r="J62" s="26" t="n">
        <x:f>'Controls'!$D$5</x:f>
        <x:v>1</x:v>
      </x:c>
      <x:c r="K62" s="38" t="str">
        <x:v>UNDECLARED</x:v>
      </x:c>
      <x:c r="L62" s="26" t="str">
        <x:f>IF(K62="UNDECLARED","n.a.",COUNTIFS($K$5:$K$292,K62))</x:f>
        <x:v>n.a.</x:v>
      </x:c>
      <x:c r="M62" s="26" t="str">
        <x:f>IF(K62="UNDECLARED","OPEN",IF(L62&lt;=J62,"PASS","FAIL"))</x:f>
        <x:v>OPEN</x:v>
      </x:c>
      <x:c r="N62" s="38" t="str">
        <x:v>UNASSIGNED</x:v>
      </x:c>
    </x:row>
    <x:row r="63" ht="25.5" customHeight="1">
      <x:c r="C63" s="26" t="str">
        <x:v>NS-C3-CT-A-RB1-X11</x:v>
      </x:c>
      <x:c r="D63" s="26" t="str">
        <x:v>C3-CT-A-RB1</x:v>
      </x:c>
      <x:c r="E63" s="26" t="str">
        <x:v>MS-CT</x:v>
      </x:c>
      <x:c r="F63" s="26" t="str">
        <x:v>A</x:v>
      </x:c>
      <x:c r="G63" s="26" t="str">
        <x:v>X11</x:v>
      </x:c>
      <x:c r="H63" s="26" t="str">
        <x:v>Repair, reset and second-team reproduction</x:v>
      </x:c>
      <x:c r="I63" s="26" t="str">
        <x:v>ROOT_EXCLUSIVE</x:v>
      </x:c>
      <x:c r="J63" s="26" t="n">
        <x:f>'Controls'!$D$5</x:f>
        <x:v>1</x:v>
      </x:c>
      <x:c r="K63" s="38" t="str">
        <x:v>UNDECLARED</x:v>
      </x:c>
      <x:c r="L63" s="26" t="str">
        <x:f>IF(K63="UNDECLARED","n.a.",COUNTIFS($K$5:$K$292,K63))</x:f>
        <x:v>n.a.</x:v>
      </x:c>
      <x:c r="M63" s="26" t="str">
        <x:f>IF(K63="UNDECLARED","OPEN",IF(L63&lt;=J63,"PASS","FAIL"))</x:f>
        <x:v>OPEN</x:v>
      </x:c>
      <x:c r="N63" s="38" t="str">
        <x:v>UNASSIGNED</x:v>
      </x:c>
    </x:row>
    <x:row r="64" ht="25.5" customHeight="1">
      <x:c r="C64" s="26" t="str">
        <x:v>NS-C3-CT-A-RB1-X12</x:v>
      </x:c>
      <x:c r="D64" s="26" t="str">
        <x:v>C3-CT-A-RB1</x:v>
      </x:c>
      <x:c r="E64" s="26" t="str">
        <x:v>MS-CT</x:v>
      </x:c>
      <x:c r="F64" s="26" t="str">
        <x:v>A</x:v>
      </x:c>
      <x:c r="G64" s="26" t="str">
        <x:v>X12</x:v>
      </x:c>
      <x:c r="H64" s="26" t="str">
        <x:v>Evidence capture, custody and outside replay</x:v>
      </x:c>
      <x:c r="I64" s="26" t="str">
        <x:v>ROOT_EXCLUSIVE</x:v>
      </x:c>
      <x:c r="J64" s="26" t="n">
        <x:f>'Controls'!$D$5</x:f>
        <x:v>1</x:v>
      </x:c>
      <x:c r="K64" s="38" t="str">
        <x:v>UNDECLARED</x:v>
      </x:c>
      <x:c r="L64" s="26" t="str">
        <x:f>IF(K64="UNDECLARED","n.a.",COUNTIFS($K$5:$K$292,K64))</x:f>
        <x:v>n.a.</x:v>
      </x:c>
      <x:c r="M64" s="26" t="str">
        <x:f>IF(K64="UNDECLARED","OPEN",IF(L64&lt;=J64,"PASS","FAIL"))</x:f>
        <x:v>OPEN</x:v>
      </x:c>
      <x:c r="N64" s="38" t="str">
        <x:v>UNASSIGNED</x:v>
      </x:c>
    </x:row>
    <x:row r="65" ht="25.5" customHeight="1">
      <x:c r="C65" s="26" t="str">
        <x:v>NS-C3-CT-B-RB1-X01</x:v>
      </x:c>
      <x:c r="D65" s="26" t="str">
        <x:v>C3-CT-B-RB1</x:v>
      </x:c>
      <x:c r="E65" s="26" t="str">
        <x:v>MS-CT</x:v>
      </x:c>
      <x:c r="F65" s="26" t="str">
        <x:v>B</x:v>
      </x:c>
      <x:c r="G65" s="26" t="str">
        <x:v>X01</x:v>
      </x:c>
      <x:c r="H65" s="26" t="str">
        <x:v>Root integrator and beneficial control</x:v>
      </x:c>
      <x:c r="I65" s="26" t="str">
        <x:v>ROOT_EXCLUSIVE</x:v>
      </x:c>
      <x:c r="J65" s="26" t="n">
        <x:f>'Controls'!$D$5</x:f>
        <x:v>1</x:v>
      </x:c>
      <x:c r="K65" s="38" t="str">
        <x:v>UNDECLARED</x:v>
      </x:c>
      <x:c r="L65" s="26" t="str">
        <x:f>IF(K65="UNDECLARED","n.a.",COUNTIFS($K$5:$K$292,K65))</x:f>
        <x:v>n.a.</x:v>
      </x:c>
      <x:c r="M65" s="26" t="str">
        <x:f>IF(K65="UNDECLARED","OPEN",IF(L65&lt;=J65,"PASS","FAIL"))</x:f>
        <x:v>OPEN</x:v>
      </x:c>
      <x:c r="N65" s="38" t="str">
        <x:v>UNASSIGNED</x:v>
      </x:c>
    </x:row>
    <x:row r="66" ht="25.5" customHeight="1">
      <x:c r="C66" s="26" t="str">
        <x:v>NS-C3-CT-B-RB1-X02</x:v>
      </x:c>
      <x:c r="D66" s="26" t="str">
        <x:v>C3-CT-B-RB1</x:v>
      </x:c>
      <x:c r="E66" s="26" t="str">
        <x:v>MS-CT</x:v>
      </x:c>
      <x:c r="F66" s="26" t="str">
        <x:v>B</x:v>
      </x:c>
      <x:c r="G66" s="26" t="str">
        <x:v>X02</x:v>
      </x:c>
      <x:c r="H66" s="26" t="str">
        <x:v>Prime work physics and mechanism authority</x:v>
      </x:c>
      <x:c r="I66" s="26" t="str">
        <x:v>ROOT_EXCLUSIVE</x:v>
      </x:c>
      <x:c r="J66" s="26" t="n">
        <x:f>'Controls'!$D$5</x:f>
        <x:v>1</x:v>
      </x:c>
      <x:c r="K66" s="38" t="str">
        <x:v>UNDECLARED</x:v>
      </x:c>
      <x:c r="L66" s="26" t="str">
        <x:f>IF(K66="UNDECLARED","n.a.",COUNTIFS($K$5:$K$292,K66))</x:f>
        <x:v>n.a.</x:v>
      </x:c>
      <x:c r="M66" s="26" t="str">
        <x:f>IF(K66="UNDECLARED","OPEN",IF(L66&lt;=J66,"PASS","FAIL"))</x:f>
        <x:v>OPEN</x:v>
      </x:c>
      <x:c r="N66" s="38" t="str">
        <x:v>UNASSIGNED</x:v>
      </x:c>
    </x:row>
    <x:row r="67" ht="25.5" customHeight="1">
      <x:c r="C67" s="26" t="str">
        <x:v>NS-C3-CT-B-RB1-X03</x:v>
      </x:c>
      <x:c r="D67" s="26" t="str">
        <x:v>C3-CT-B-RB1</x:v>
      </x:c>
      <x:c r="E67" s="26" t="str">
        <x:v>MS-CT</x:v>
      </x:c>
      <x:c r="F67" s="26" t="str">
        <x:v>B</x:v>
      </x:c>
      <x:c r="G67" s="26" t="str">
        <x:v>X03</x:v>
      </x:c>
      <x:c r="H67" s="26" t="str">
        <x:v>Primary energy conversion and safe-state chain</x:v>
      </x:c>
      <x:c r="I67" s="26" t="str">
        <x:v>ROOT_EXCLUSIVE</x:v>
      </x:c>
      <x:c r="J67" s="26" t="n">
        <x:f>'Controls'!$D$5</x:f>
        <x:v>1</x:v>
      </x:c>
      <x:c r="K67" s="38" t="str">
        <x:v>UNDECLARED</x:v>
      </x:c>
      <x:c r="L67" s="26" t="str">
        <x:f>IF(K67="UNDECLARED","n.a.",COUNTIFS($K$5:$K$292,K67))</x:f>
        <x:v>n.a.</x:v>
      </x:c>
      <x:c r="M67" s="26" t="str">
        <x:f>IF(K67="UNDECLARED","OPEN",IF(L67&lt;=J67,"PASS","FAIL"))</x:f>
        <x:v>OPEN</x:v>
      </x:c>
      <x:c r="N67" s="38" t="str">
        <x:v>UNASSIGNED</x:v>
      </x:c>
    </x:row>
    <x:row r="68" ht="25.5" customHeight="1">
      <x:c r="C68" s="26" t="str">
        <x:v>NS-C3-CT-B-RB1-X04</x:v>
      </x:c>
      <x:c r="D68" s="26" t="str">
        <x:v>C3-CT-B-RB1</x:v>
      </x:c>
      <x:c r="E68" s="26" t="str">
        <x:v>MS-CT</x:v>
      </x:c>
      <x:c r="F68" s="26" t="str">
        <x:v>B</x:v>
      </x:c>
      <x:c r="G68" s="26" t="str">
        <x:v>X04</x:v>
      </x:c>
      <x:c r="H68" s="26" t="str">
        <x:v>Structural and material process</x:v>
      </x:c>
      <x:c r="I68" s="26" t="str">
        <x:v>ROOT_EXCLUSIVE</x:v>
      </x:c>
      <x:c r="J68" s="26" t="n">
        <x:f>'Controls'!$D$5</x:f>
        <x:v>1</x:v>
      </x:c>
      <x:c r="K68" s="38" t="str">
        <x:v>UNDECLARED</x:v>
      </x:c>
      <x:c r="L68" s="26" t="str">
        <x:f>IF(K68="UNDECLARED","n.a.",COUNTIFS($K$5:$K$292,K68))</x:f>
        <x:v>n.a.</x:v>
      </x:c>
      <x:c r="M68" s="26" t="str">
        <x:f>IF(K68="UNDECLARED","OPEN",IF(L68&lt;=J68,"PASS","FAIL"))</x:f>
        <x:v>OPEN</x:v>
      </x:c>
      <x:c r="N68" s="38" t="str">
        <x:v>UNASSIGNED</x:v>
      </x:c>
    </x:row>
    <x:row r="69" ht="25.5" customHeight="1">
      <x:c r="C69" s="26" t="str">
        <x:v>NS-C3-CT-B-RB1-X05</x:v>
      </x:c>
      <x:c r="D69" s="26" t="str">
        <x:v>C3-CT-B-RB1</x:v>
      </x:c>
      <x:c r="E69" s="26" t="str">
        <x:v>MS-CT</x:v>
      </x:c>
      <x:c r="F69" s="26" t="str">
        <x:v>B</x:v>
      </x:c>
      <x:c r="G69" s="26" t="str">
        <x:v>X05</x:v>
      </x:c>
      <x:c r="H69" s="26" t="str">
        <x:v>Critical feedstock conversion</x:v>
      </x:c>
      <x:c r="I69" s="26" t="str">
        <x:v>ROOT_EXCLUSIVE</x:v>
      </x:c>
      <x:c r="J69" s="26" t="n">
        <x:f>'Controls'!$D$5</x:f>
        <x:v>1</x:v>
      </x:c>
      <x:c r="K69" s="38" t="str">
        <x:v>UNDECLARED</x:v>
      </x:c>
      <x:c r="L69" s="26" t="str">
        <x:f>IF(K69="UNDECLARED","n.a.",COUNTIFS($K$5:$K$292,K69))</x:f>
        <x:v>n.a.</x:v>
      </x:c>
      <x:c r="M69" s="26" t="str">
        <x:f>IF(K69="UNDECLARED","OPEN",IF(L69&lt;=J69,"PASS","FAIL"))</x:f>
        <x:v>OPEN</x:v>
      </x:c>
      <x:c r="N69" s="38" t="str">
        <x:v>UNASSIGNED</x:v>
      </x:c>
    </x:row>
    <x:row r="70" ht="25.5" customHeight="1">
      <x:c r="C70" s="26" t="str">
        <x:v>NS-C3-CT-B-RB1-X06</x:v>
      </x:c>
      <x:c r="D70" s="26" t="str">
        <x:v>C3-CT-B-RB1</x:v>
      </x:c>
      <x:c r="E70" s="26" t="str">
        <x:v>MS-CT</x:v>
      </x:c>
      <x:c r="F70" s="26" t="str">
        <x:v>B</x:v>
      </x:c>
      <x:c r="G70" s="26" t="str">
        <x:v>X06</x:v>
      </x:c>
      <x:c r="H70" s="26" t="str">
        <x:v>Control runtime, build system and signing keys</x:v>
      </x:c>
      <x:c r="I70" s="26" t="str">
        <x:v>ROOT_EXCLUSIVE</x:v>
      </x:c>
      <x:c r="J70" s="26" t="n">
        <x:f>'Controls'!$D$5</x:f>
        <x:v>1</x:v>
      </x:c>
      <x:c r="K70" s="38" t="str">
        <x:v>UNDECLARED</x:v>
      </x:c>
      <x:c r="L70" s="26" t="str">
        <x:f>IF(K70="UNDECLARED","n.a.",COUNTIFS($K$5:$K$292,K70))</x:f>
        <x:v>n.a.</x:v>
      </x:c>
      <x:c r="M70" s="26" t="str">
        <x:f>IF(K70="UNDECLARED","OPEN",IF(L70&lt;=J70,"PASS","FAIL"))</x:f>
        <x:v>OPEN</x:v>
      </x:c>
      <x:c r="N70" s="38" t="str">
        <x:v>UNASSIGNED</x:v>
      </x:c>
    </x:row>
    <x:row r="71" ht="25.5" customHeight="1">
      <x:c r="C71" s="26" t="str">
        <x:v>NS-C3-CT-B-RB1-X07</x:v>
      </x:c>
      <x:c r="D71" s="26" t="str">
        <x:v>C3-CT-B-RB1</x:v>
      </x:c>
      <x:c r="E71" s="26" t="str">
        <x:v>MS-CT</x:v>
      </x:c>
      <x:c r="F71" s="26" t="str">
        <x:v>B</x:v>
      </x:c>
      <x:c r="G71" s="26" t="str">
        <x:v>X07</x:v>
      </x:c>
      <x:c r="H71" s="26" t="str">
        <x:v>Communications and causal-time implementation</x:v>
      </x:c>
      <x:c r="I71" s="26" t="str">
        <x:v>ROOT_EXCLUSIVE</x:v>
      </x:c>
      <x:c r="J71" s="26" t="n">
        <x:f>'Controls'!$D$5</x:f>
        <x:v>1</x:v>
      </x:c>
      <x:c r="K71" s="38" t="str">
        <x:v>UNDECLARED</x:v>
      </x:c>
      <x:c r="L71" s="26" t="str">
        <x:f>IF(K71="UNDECLARED","n.a.",COUNTIFS($K$5:$K$292,K71))</x:f>
        <x:v>n.a.</x:v>
      </x:c>
      <x:c r="M71" s="26" t="str">
        <x:f>IF(K71="UNDECLARED","OPEN",IF(L71&lt;=J71,"PASS","FAIL"))</x:f>
        <x:v>OPEN</x:v>
      </x:c>
      <x:c r="N71" s="38" t="str">
        <x:v>UNASSIGNED</x:v>
      </x:c>
    </x:row>
    <x:row r="72" ht="25.5" customHeight="1">
      <x:c r="C72" s="26" t="str">
        <x:v>NS-C3-CT-B-RB1-X08</x:v>
      </x:c>
      <x:c r="D72" s="26" t="str">
        <x:v>C3-CT-B-RB1</x:v>
      </x:c>
      <x:c r="E72" s="26" t="str">
        <x:v>MS-CT</x:v>
      </x:c>
      <x:c r="F72" s="26" t="str">
        <x:v>B</x:v>
      </x:c>
      <x:c r="G72" s="26" t="str">
        <x:v>X08</x:v>
      </x:c>
      <x:c r="H72" s="26" t="str">
        <x:v>Sensing, calibration and uncertainty chain</x:v>
      </x:c>
      <x:c r="I72" s="26" t="str">
        <x:v>ROOT_EXCLUSIVE</x:v>
      </x:c>
      <x:c r="J72" s="26" t="n">
        <x:f>'Controls'!$D$5</x:f>
        <x:v>1</x:v>
      </x:c>
      <x:c r="K72" s="38" t="str">
        <x:v>UNDECLARED</x:v>
      </x:c>
      <x:c r="L72" s="26" t="str">
        <x:f>IF(K72="UNDECLARED","n.a.",COUNTIFS($K$5:$K$292,K72))</x:f>
        <x:v>n.a.</x:v>
      </x:c>
      <x:c r="M72" s="26" t="str">
        <x:f>IF(K72="UNDECLARED","OPEN",IF(L72&lt;=J72,"PASS","FAIL"))</x:f>
        <x:v>OPEN</x:v>
      </x:c>
      <x:c r="N72" s="38" t="str">
        <x:v>UNASSIGNED</x:v>
      </x:c>
    </x:row>
    <x:row r="73" ht="25.5" customHeight="1">
      <x:c r="C73" s="26" t="str">
        <x:v>NS-C3-CT-B-RB1-X09</x:v>
      </x:c>
      <x:c r="D73" s="26" t="str">
        <x:v>C3-CT-B-RB1</x:v>
      </x:c>
      <x:c r="E73" s="26" t="str">
        <x:v>MS-CT</x:v>
      </x:c>
      <x:c r="F73" s="26" t="str">
        <x:v>B</x:v>
      </x:c>
      <x:c r="G73" s="26" t="str">
        <x:v>X09</x:v>
      </x:c>
      <x:c r="H73" s="26" t="str">
        <x:v>Production tooling and pilot line</x:v>
      </x:c>
      <x:c r="I73" s="26" t="str">
        <x:v>ROOT_EXCLUSIVE</x:v>
      </x:c>
      <x:c r="J73" s="26" t="n">
        <x:f>'Controls'!$D$5</x:f>
        <x:v>1</x:v>
      </x:c>
      <x:c r="K73" s="38" t="str">
        <x:v>UNDECLARED</x:v>
      </x:c>
      <x:c r="L73" s="26" t="str">
        <x:f>IF(K73="UNDECLARED","n.a.",COUNTIFS($K$5:$K$292,K73))</x:f>
        <x:v>n.a.</x:v>
      </x:c>
      <x:c r="M73" s="26" t="str">
        <x:f>IF(K73="UNDECLARED","OPEN",IF(L73&lt;=J73,"PASS","FAIL"))</x:f>
        <x:v>OPEN</x:v>
      </x:c>
      <x:c r="N73" s="38" t="str">
        <x:v>UNASSIGNED</x:v>
      </x:c>
    </x:row>
    <x:row r="74" ht="25.5" customHeight="1">
      <x:c r="C74" s="26" t="str">
        <x:v>NS-C3-CT-B-RB1-X10</x:v>
      </x:c>
      <x:c r="D74" s="26" t="str">
        <x:v>C3-CT-B-RB1</x:v>
      </x:c>
      <x:c r="E74" s="26" t="str">
        <x:v>MS-CT</x:v>
      </x:c>
      <x:c r="F74" s="26" t="str">
        <x:v>B</x:v>
      </x:c>
      <x:c r="G74" s="26" t="str">
        <x:v>X10</x:v>
      </x:c>
      <x:c r="H74" s="26" t="str">
        <x:v>Final assembly site and critical workforce</x:v>
      </x:c>
      <x:c r="I74" s="26" t="str">
        <x:v>ROOT_EXCLUSIVE</x:v>
      </x:c>
      <x:c r="J74" s="26" t="n">
        <x:f>'Controls'!$D$5</x:f>
        <x:v>1</x:v>
      </x:c>
      <x:c r="K74" s="38" t="str">
        <x:v>UNDECLARED</x:v>
      </x:c>
      <x:c r="L74" s="26" t="str">
        <x:f>IF(K74="UNDECLARED","n.a.",COUNTIFS($K$5:$K$292,K74))</x:f>
        <x:v>n.a.</x:v>
      </x:c>
      <x:c r="M74" s="26" t="str">
        <x:f>IF(K74="UNDECLARED","OPEN",IF(L74&lt;=J74,"PASS","FAIL"))</x:f>
        <x:v>OPEN</x:v>
      </x:c>
      <x:c r="N74" s="38" t="str">
        <x:v>UNASSIGNED</x:v>
      </x:c>
    </x:row>
    <x:row r="75" ht="25.5" customHeight="1">
      <x:c r="C75" s="26" t="str">
        <x:v>NS-C3-CT-B-RB1-X11</x:v>
      </x:c>
      <x:c r="D75" s="26" t="str">
        <x:v>C3-CT-B-RB1</x:v>
      </x:c>
      <x:c r="E75" s="26" t="str">
        <x:v>MS-CT</x:v>
      </x:c>
      <x:c r="F75" s="26" t="str">
        <x:v>B</x:v>
      </x:c>
      <x:c r="G75" s="26" t="str">
        <x:v>X11</x:v>
      </x:c>
      <x:c r="H75" s="26" t="str">
        <x:v>Repair, reset and second-team reproduction</x:v>
      </x:c>
      <x:c r="I75" s="26" t="str">
        <x:v>ROOT_EXCLUSIVE</x:v>
      </x:c>
      <x:c r="J75" s="26" t="n">
        <x:f>'Controls'!$D$5</x:f>
        <x:v>1</x:v>
      </x:c>
      <x:c r="K75" s="38" t="str">
        <x:v>UNDECLARED</x:v>
      </x:c>
      <x:c r="L75" s="26" t="str">
        <x:f>IF(K75="UNDECLARED","n.a.",COUNTIFS($K$5:$K$292,K75))</x:f>
        <x:v>n.a.</x:v>
      </x:c>
      <x:c r="M75" s="26" t="str">
        <x:f>IF(K75="UNDECLARED","OPEN",IF(L75&lt;=J75,"PASS","FAIL"))</x:f>
        <x:v>OPEN</x:v>
      </x:c>
      <x:c r="N75" s="38" t="str">
        <x:v>UNASSIGNED</x:v>
      </x:c>
    </x:row>
    <x:row r="76" ht="25.5" customHeight="1">
      <x:c r="C76" s="26" t="str">
        <x:v>NS-C3-CT-B-RB1-X12</x:v>
      </x:c>
      <x:c r="D76" s="26" t="str">
        <x:v>C3-CT-B-RB1</x:v>
      </x:c>
      <x:c r="E76" s="26" t="str">
        <x:v>MS-CT</x:v>
      </x:c>
      <x:c r="F76" s="26" t="str">
        <x:v>B</x:v>
      </x:c>
      <x:c r="G76" s="26" t="str">
        <x:v>X12</x:v>
      </x:c>
      <x:c r="H76" s="26" t="str">
        <x:v>Evidence capture, custody and outside replay</x:v>
      </x:c>
      <x:c r="I76" s="26" t="str">
        <x:v>ROOT_EXCLUSIVE</x:v>
      </x:c>
      <x:c r="J76" s="26" t="n">
        <x:f>'Controls'!$D$5</x:f>
        <x:v>1</x:v>
      </x:c>
      <x:c r="K76" s="38" t="str">
        <x:v>UNDECLARED</x:v>
      </x:c>
      <x:c r="L76" s="26" t="str">
        <x:f>IF(K76="UNDECLARED","n.a.",COUNTIFS($K$5:$K$292,K76))</x:f>
        <x:v>n.a.</x:v>
      </x:c>
      <x:c r="M76" s="26" t="str">
        <x:f>IF(K76="UNDECLARED","OPEN",IF(L76&lt;=J76,"PASS","FAIL"))</x:f>
        <x:v>OPEN</x:v>
      </x:c>
      <x:c r="N76" s="38" t="str">
        <x:v>UNASSIGNED</x:v>
      </x:c>
    </x:row>
    <x:row r="77" ht="25.5" customHeight="1">
      <x:c r="C77" s="26" t="str">
        <x:v>NS-C3-CT-C-RB1-X01</x:v>
      </x:c>
      <x:c r="D77" s="26" t="str">
        <x:v>C3-CT-C-RB1</x:v>
      </x:c>
      <x:c r="E77" s="26" t="str">
        <x:v>MS-CT</x:v>
      </x:c>
      <x:c r="F77" s="26" t="str">
        <x:v>C</x:v>
      </x:c>
      <x:c r="G77" s="26" t="str">
        <x:v>X01</x:v>
      </x:c>
      <x:c r="H77" s="26" t="str">
        <x:v>Root integrator and beneficial control</x:v>
      </x:c>
      <x:c r="I77" s="26" t="str">
        <x:v>ROOT_EXCLUSIVE</x:v>
      </x:c>
      <x:c r="J77" s="26" t="n">
        <x:f>'Controls'!$D$5</x:f>
        <x:v>1</x:v>
      </x:c>
      <x:c r="K77" s="38" t="str">
        <x:v>UNDECLARED</x:v>
      </x:c>
      <x:c r="L77" s="26" t="str">
        <x:f>IF(K77="UNDECLARED","n.a.",COUNTIFS($K$5:$K$292,K77))</x:f>
        <x:v>n.a.</x:v>
      </x:c>
      <x:c r="M77" s="26" t="str">
        <x:f>IF(K77="UNDECLARED","OPEN",IF(L77&lt;=J77,"PASS","FAIL"))</x:f>
        <x:v>OPEN</x:v>
      </x:c>
      <x:c r="N77" s="38" t="str">
        <x:v>UNASSIGNED</x:v>
      </x:c>
    </x:row>
    <x:row r="78" ht="25.5" customHeight="1">
      <x:c r="C78" s="26" t="str">
        <x:v>NS-C3-CT-C-RB1-X02</x:v>
      </x:c>
      <x:c r="D78" s="26" t="str">
        <x:v>C3-CT-C-RB1</x:v>
      </x:c>
      <x:c r="E78" s="26" t="str">
        <x:v>MS-CT</x:v>
      </x:c>
      <x:c r="F78" s="26" t="str">
        <x:v>C</x:v>
      </x:c>
      <x:c r="G78" s="26" t="str">
        <x:v>X02</x:v>
      </x:c>
      <x:c r="H78" s="26" t="str">
        <x:v>Prime work physics and mechanism authority</x:v>
      </x:c>
      <x:c r="I78" s="26" t="str">
        <x:v>ROOT_EXCLUSIVE</x:v>
      </x:c>
      <x:c r="J78" s="26" t="n">
        <x:f>'Controls'!$D$5</x:f>
        <x:v>1</x:v>
      </x:c>
      <x:c r="K78" s="38" t="str">
        <x:v>UNDECLARED</x:v>
      </x:c>
      <x:c r="L78" s="26" t="str">
        <x:f>IF(K78="UNDECLARED","n.a.",COUNTIFS($K$5:$K$292,K78))</x:f>
        <x:v>n.a.</x:v>
      </x:c>
      <x:c r="M78" s="26" t="str">
        <x:f>IF(K78="UNDECLARED","OPEN",IF(L78&lt;=J78,"PASS","FAIL"))</x:f>
        <x:v>OPEN</x:v>
      </x:c>
      <x:c r="N78" s="38" t="str">
        <x:v>UNASSIGNED</x:v>
      </x:c>
    </x:row>
    <x:row r="79" ht="25.5" customHeight="1">
      <x:c r="C79" s="26" t="str">
        <x:v>NS-C3-CT-C-RB1-X03</x:v>
      </x:c>
      <x:c r="D79" s="26" t="str">
        <x:v>C3-CT-C-RB1</x:v>
      </x:c>
      <x:c r="E79" s="26" t="str">
        <x:v>MS-CT</x:v>
      </x:c>
      <x:c r="F79" s="26" t="str">
        <x:v>C</x:v>
      </x:c>
      <x:c r="G79" s="26" t="str">
        <x:v>X03</x:v>
      </x:c>
      <x:c r="H79" s="26" t="str">
        <x:v>Primary energy conversion and safe-state chain</x:v>
      </x:c>
      <x:c r="I79" s="26" t="str">
        <x:v>ROOT_EXCLUSIVE</x:v>
      </x:c>
      <x:c r="J79" s="26" t="n">
        <x:f>'Controls'!$D$5</x:f>
        <x:v>1</x:v>
      </x:c>
      <x:c r="K79" s="38" t="str">
        <x:v>UNDECLARED</x:v>
      </x:c>
      <x:c r="L79" s="26" t="str">
        <x:f>IF(K79="UNDECLARED","n.a.",COUNTIFS($K$5:$K$292,K79))</x:f>
        <x:v>n.a.</x:v>
      </x:c>
      <x:c r="M79" s="26" t="str">
        <x:f>IF(K79="UNDECLARED","OPEN",IF(L79&lt;=J79,"PASS","FAIL"))</x:f>
        <x:v>OPEN</x:v>
      </x:c>
      <x:c r="N79" s="38" t="str">
        <x:v>UNASSIGNED</x:v>
      </x:c>
    </x:row>
    <x:row r="80" ht="25.5" customHeight="1">
      <x:c r="C80" s="26" t="str">
        <x:v>NS-C3-CT-C-RB1-X04</x:v>
      </x:c>
      <x:c r="D80" s="26" t="str">
        <x:v>C3-CT-C-RB1</x:v>
      </x:c>
      <x:c r="E80" s="26" t="str">
        <x:v>MS-CT</x:v>
      </x:c>
      <x:c r="F80" s="26" t="str">
        <x:v>C</x:v>
      </x:c>
      <x:c r="G80" s="26" t="str">
        <x:v>X04</x:v>
      </x:c>
      <x:c r="H80" s="26" t="str">
        <x:v>Structural and material process</x:v>
      </x:c>
      <x:c r="I80" s="26" t="str">
        <x:v>ROOT_EXCLUSIVE</x:v>
      </x:c>
      <x:c r="J80" s="26" t="n">
        <x:f>'Controls'!$D$5</x:f>
        <x:v>1</x:v>
      </x:c>
      <x:c r="K80" s="38" t="str">
        <x:v>UNDECLARED</x:v>
      </x:c>
      <x:c r="L80" s="26" t="str">
        <x:f>IF(K80="UNDECLARED","n.a.",COUNTIFS($K$5:$K$292,K80))</x:f>
        <x:v>n.a.</x:v>
      </x:c>
      <x:c r="M80" s="26" t="str">
        <x:f>IF(K80="UNDECLARED","OPEN",IF(L80&lt;=J80,"PASS","FAIL"))</x:f>
        <x:v>OPEN</x:v>
      </x:c>
      <x:c r="N80" s="38" t="str">
        <x:v>UNASSIGNED</x:v>
      </x:c>
    </x:row>
    <x:row r="81" ht="25.5" customHeight="1">
      <x:c r="C81" s="26" t="str">
        <x:v>NS-C3-CT-C-RB1-X05</x:v>
      </x:c>
      <x:c r="D81" s="26" t="str">
        <x:v>C3-CT-C-RB1</x:v>
      </x:c>
      <x:c r="E81" s="26" t="str">
        <x:v>MS-CT</x:v>
      </x:c>
      <x:c r="F81" s="26" t="str">
        <x:v>C</x:v>
      </x:c>
      <x:c r="G81" s="26" t="str">
        <x:v>X05</x:v>
      </x:c>
      <x:c r="H81" s="26" t="str">
        <x:v>Critical feedstock conversion</x:v>
      </x:c>
      <x:c r="I81" s="26" t="str">
        <x:v>ROOT_EXCLUSIVE</x:v>
      </x:c>
      <x:c r="J81" s="26" t="n">
        <x:f>'Controls'!$D$5</x:f>
        <x:v>1</x:v>
      </x:c>
      <x:c r="K81" s="38" t="str">
        <x:v>UNDECLARED</x:v>
      </x:c>
      <x:c r="L81" s="26" t="str">
        <x:f>IF(K81="UNDECLARED","n.a.",COUNTIFS($K$5:$K$292,K81))</x:f>
        <x:v>n.a.</x:v>
      </x:c>
      <x:c r="M81" s="26" t="str">
        <x:f>IF(K81="UNDECLARED","OPEN",IF(L81&lt;=J81,"PASS","FAIL"))</x:f>
        <x:v>OPEN</x:v>
      </x:c>
      <x:c r="N81" s="38" t="str">
        <x:v>UNASSIGNED</x:v>
      </x:c>
    </x:row>
    <x:row r="82" ht="25.5" customHeight="1">
      <x:c r="C82" s="26" t="str">
        <x:v>NS-C3-CT-C-RB1-X06</x:v>
      </x:c>
      <x:c r="D82" s="26" t="str">
        <x:v>C3-CT-C-RB1</x:v>
      </x:c>
      <x:c r="E82" s="26" t="str">
        <x:v>MS-CT</x:v>
      </x:c>
      <x:c r="F82" s="26" t="str">
        <x:v>C</x:v>
      </x:c>
      <x:c r="G82" s="26" t="str">
        <x:v>X06</x:v>
      </x:c>
      <x:c r="H82" s="26" t="str">
        <x:v>Control runtime, build system and signing keys</x:v>
      </x:c>
      <x:c r="I82" s="26" t="str">
        <x:v>ROOT_EXCLUSIVE</x:v>
      </x:c>
      <x:c r="J82" s="26" t="n">
        <x:f>'Controls'!$D$5</x:f>
        <x:v>1</x:v>
      </x:c>
      <x:c r="K82" s="38" t="str">
        <x:v>UNDECLARED</x:v>
      </x:c>
      <x:c r="L82" s="26" t="str">
        <x:f>IF(K82="UNDECLARED","n.a.",COUNTIFS($K$5:$K$292,K82))</x:f>
        <x:v>n.a.</x:v>
      </x:c>
      <x:c r="M82" s="26" t="str">
        <x:f>IF(K82="UNDECLARED","OPEN",IF(L82&lt;=J82,"PASS","FAIL"))</x:f>
        <x:v>OPEN</x:v>
      </x:c>
      <x:c r="N82" s="38" t="str">
        <x:v>UNASSIGNED</x:v>
      </x:c>
    </x:row>
    <x:row r="83" ht="25.5" customHeight="1">
      <x:c r="C83" s="26" t="str">
        <x:v>NS-C3-CT-C-RB1-X07</x:v>
      </x:c>
      <x:c r="D83" s="26" t="str">
        <x:v>C3-CT-C-RB1</x:v>
      </x:c>
      <x:c r="E83" s="26" t="str">
        <x:v>MS-CT</x:v>
      </x:c>
      <x:c r="F83" s="26" t="str">
        <x:v>C</x:v>
      </x:c>
      <x:c r="G83" s="26" t="str">
        <x:v>X07</x:v>
      </x:c>
      <x:c r="H83" s="26" t="str">
        <x:v>Communications and causal-time implementation</x:v>
      </x:c>
      <x:c r="I83" s="26" t="str">
        <x:v>ROOT_EXCLUSIVE</x:v>
      </x:c>
      <x:c r="J83" s="26" t="n">
        <x:f>'Controls'!$D$5</x:f>
        <x:v>1</x:v>
      </x:c>
      <x:c r="K83" s="38" t="str">
        <x:v>UNDECLARED</x:v>
      </x:c>
      <x:c r="L83" s="26" t="str">
        <x:f>IF(K83="UNDECLARED","n.a.",COUNTIFS($K$5:$K$292,K83))</x:f>
        <x:v>n.a.</x:v>
      </x:c>
      <x:c r="M83" s="26" t="str">
        <x:f>IF(K83="UNDECLARED","OPEN",IF(L83&lt;=J83,"PASS","FAIL"))</x:f>
        <x:v>OPEN</x:v>
      </x:c>
      <x:c r="N83" s="38" t="str">
        <x:v>UNASSIGNED</x:v>
      </x:c>
    </x:row>
    <x:row r="84" ht="25.5" customHeight="1">
      <x:c r="C84" s="26" t="str">
        <x:v>NS-C3-CT-C-RB1-X08</x:v>
      </x:c>
      <x:c r="D84" s="26" t="str">
        <x:v>C3-CT-C-RB1</x:v>
      </x:c>
      <x:c r="E84" s="26" t="str">
        <x:v>MS-CT</x:v>
      </x:c>
      <x:c r="F84" s="26" t="str">
        <x:v>C</x:v>
      </x:c>
      <x:c r="G84" s="26" t="str">
        <x:v>X08</x:v>
      </x:c>
      <x:c r="H84" s="26" t="str">
        <x:v>Sensing, calibration and uncertainty chain</x:v>
      </x:c>
      <x:c r="I84" s="26" t="str">
        <x:v>ROOT_EXCLUSIVE</x:v>
      </x:c>
      <x:c r="J84" s="26" t="n">
        <x:f>'Controls'!$D$5</x:f>
        <x:v>1</x:v>
      </x:c>
      <x:c r="K84" s="38" t="str">
        <x:v>UNDECLARED</x:v>
      </x:c>
      <x:c r="L84" s="26" t="str">
        <x:f>IF(K84="UNDECLARED","n.a.",COUNTIFS($K$5:$K$292,K84))</x:f>
        <x:v>n.a.</x:v>
      </x:c>
      <x:c r="M84" s="26" t="str">
        <x:f>IF(K84="UNDECLARED","OPEN",IF(L84&lt;=J84,"PASS","FAIL"))</x:f>
        <x:v>OPEN</x:v>
      </x:c>
      <x:c r="N84" s="38" t="str">
        <x:v>UNASSIGNED</x:v>
      </x:c>
    </x:row>
    <x:row r="85" ht="25.5" customHeight="1">
      <x:c r="C85" s="26" t="str">
        <x:v>NS-C3-CT-C-RB1-X09</x:v>
      </x:c>
      <x:c r="D85" s="26" t="str">
        <x:v>C3-CT-C-RB1</x:v>
      </x:c>
      <x:c r="E85" s="26" t="str">
        <x:v>MS-CT</x:v>
      </x:c>
      <x:c r="F85" s="26" t="str">
        <x:v>C</x:v>
      </x:c>
      <x:c r="G85" s="26" t="str">
        <x:v>X09</x:v>
      </x:c>
      <x:c r="H85" s="26" t="str">
        <x:v>Production tooling and pilot line</x:v>
      </x:c>
      <x:c r="I85" s="26" t="str">
        <x:v>ROOT_EXCLUSIVE</x:v>
      </x:c>
      <x:c r="J85" s="26" t="n">
        <x:f>'Controls'!$D$5</x:f>
        <x:v>1</x:v>
      </x:c>
      <x:c r="K85" s="38" t="str">
        <x:v>UNDECLARED</x:v>
      </x:c>
      <x:c r="L85" s="26" t="str">
        <x:f>IF(K85="UNDECLARED","n.a.",COUNTIFS($K$5:$K$292,K85))</x:f>
        <x:v>n.a.</x:v>
      </x:c>
      <x:c r="M85" s="26" t="str">
        <x:f>IF(K85="UNDECLARED","OPEN",IF(L85&lt;=J85,"PASS","FAIL"))</x:f>
        <x:v>OPEN</x:v>
      </x:c>
      <x:c r="N85" s="38" t="str">
        <x:v>UNASSIGNED</x:v>
      </x:c>
    </x:row>
    <x:row r="86" ht="25.5" customHeight="1">
      <x:c r="C86" s="26" t="str">
        <x:v>NS-C3-CT-C-RB1-X10</x:v>
      </x:c>
      <x:c r="D86" s="26" t="str">
        <x:v>C3-CT-C-RB1</x:v>
      </x:c>
      <x:c r="E86" s="26" t="str">
        <x:v>MS-CT</x:v>
      </x:c>
      <x:c r="F86" s="26" t="str">
        <x:v>C</x:v>
      </x:c>
      <x:c r="G86" s="26" t="str">
        <x:v>X10</x:v>
      </x:c>
      <x:c r="H86" s="26" t="str">
        <x:v>Final assembly site and critical workforce</x:v>
      </x:c>
      <x:c r="I86" s="26" t="str">
        <x:v>ROOT_EXCLUSIVE</x:v>
      </x:c>
      <x:c r="J86" s="26" t="n">
        <x:f>'Controls'!$D$5</x:f>
        <x:v>1</x:v>
      </x:c>
      <x:c r="K86" s="38" t="str">
        <x:v>UNDECLARED</x:v>
      </x:c>
      <x:c r="L86" s="26" t="str">
        <x:f>IF(K86="UNDECLARED","n.a.",COUNTIFS($K$5:$K$292,K86))</x:f>
        <x:v>n.a.</x:v>
      </x:c>
      <x:c r="M86" s="26" t="str">
        <x:f>IF(K86="UNDECLARED","OPEN",IF(L86&lt;=J86,"PASS","FAIL"))</x:f>
        <x:v>OPEN</x:v>
      </x:c>
      <x:c r="N86" s="38" t="str">
        <x:v>UNASSIGNED</x:v>
      </x:c>
    </x:row>
    <x:row r="87" ht="25.5" customHeight="1">
      <x:c r="C87" s="26" t="str">
        <x:v>NS-C3-CT-C-RB1-X11</x:v>
      </x:c>
      <x:c r="D87" s="26" t="str">
        <x:v>C3-CT-C-RB1</x:v>
      </x:c>
      <x:c r="E87" s="26" t="str">
        <x:v>MS-CT</x:v>
      </x:c>
      <x:c r="F87" s="26" t="str">
        <x:v>C</x:v>
      </x:c>
      <x:c r="G87" s="26" t="str">
        <x:v>X11</x:v>
      </x:c>
      <x:c r="H87" s="26" t="str">
        <x:v>Repair, reset and second-team reproduction</x:v>
      </x:c>
      <x:c r="I87" s="26" t="str">
        <x:v>ROOT_EXCLUSIVE</x:v>
      </x:c>
      <x:c r="J87" s="26" t="n">
        <x:f>'Controls'!$D$5</x:f>
        <x:v>1</x:v>
      </x:c>
      <x:c r="K87" s="38" t="str">
        <x:v>UNDECLARED</x:v>
      </x:c>
      <x:c r="L87" s="26" t="str">
        <x:f>IF(K87="UNDECLARED","n.a.",COUNTIFS($K$5:$K$292,K87))</x:f>
        <x:v>n.a.</x:v>
      </x:c>
      <x:c r="M87" s="26" t="str">
        <x:f>IF(K87="UNDECLARED","OPEN",IF(L87&lt;=J87,"PASS","FAIL"))</x:f>
        <x:v>OPEN</x:v>
      </x:c>
      <x:c r="N87" s="38" t="str">
        <x:v>UNASSIGNED</x:v>
      </x:c>
    </x:row>
    <x:row r="88" ht="25.5" customHeight="1">
      <x:c r="C88" s="26" t="str">
        <x:v>NS-C3-CT-C-RB1-X12</x:v>
      </x:c>
      <x:c r="D88" s="26" t="str">
        <x:v>C3-CT-C-RB1</x:v>
      </x:c>
      <x:c r="E88" s="26" t="str">
        <x:v>MS-CT</x:v>
      </x:c>
      <x:c r="F88" s="26" t="str">
        <x:v>C</x:v>
      </x:c>
      <x:c r="G88" s="26" t="str">
        <x:v>X12</x:v>
      </x:c>
      <x:c r="H88" s="26" t="str">
        <x:v>Evidence capture, custody and outside replay</x:v>
      </x:c>
      <x:c r="I88" s="26" t="str">
        <x:v>ROOT_EXCLUSIVE</x:v>
      </x:c>
      <x:c r="J88" s="26" t="n">
        <x:f>'Controls'!$D$5</x:f>
        <x:v>1</x:v>
      </x:c>
      <x:c r="K88" s="38" t="str">
        <x:v>UNDECLARED</x:v>
      </x:c>
      <x:c r="L88" s="26" t="str">
        <x:f>IF(K88="UNDECLARED","n.a.",COUNTIFS($K$5:$K$292,K88))</x:f>
        <x:v>n.a.</x:v>
      </x:c>
      <x:c r="M88" s="26" t="str">
        <x:f>IF(K88="UNDECLARED","OPEN",IF(L88&lt;=J88,"PASS","FAIL"))</x:f>
        <x:v>OPEN</x:v>
      </x:c>
      <x:c r="N88" s="38" t="str">
        <x:v>UNASSIGNED</x:v>
      </x:c>
    </x:row>
    <x:row r="89" ht="25.5" customHeight="1">
      <x:c r="C89" s="26" t="str">
        <x:v>NS-C3-CT-D-RB1-X01</x:v>
      </x:c>
      <x:c r="D89" s="26" t="str">
        <x:v>C3-CT-D-RB1</x:v>
      </x:c>
      <x:c r="E89" s="26" t="str">
        <x:v>MS-CT</x:v>
      </x:c>
      <x:c r="F89" s="26" t="str">
        <x:v>D</x:v>
      </x:c>
      <x:c r="G89" s="26" t="str">
        <x:v>X01</x:v>
      </x:c>
      <x:c r="H89" s="26" t="str">
        <x:v>Root integrator and beneficial control</x:v>
      </x:c>
      <x:c r="I89" s="26" t="str">
        <x:v>ROOT_EXCLUSIVE</x:v>
      </x:c>
      <x:c r="J89" s="26" t="n">
        <x:f>'Controls'!$D$5</x:f>
        <x:v>1</x:v>
      </x:c>
      <x:c r="K89" s="38" t="str">
        <x:v>UNDECLARED</x:v>
      </x:c>
      <x:c r="L89" s="26" t="str">
        <x:f>IF(K89="UNDECLARED","n.a.",COUNTIFS($K$5:$K$292,K89))</x:f>
        <x:v>n.a.</x:v>
      </x:c>
      <x:c r="M89" s="26" t="str">
        <x:f>IF(K89="UNDECLARED","OPEN",IF(L89&lt;=J89,"PASS","FAIL"))</x:f>
        <x:v>OPEN</x:v>
      </x:c>
      <x:c r="N89" s="38" t="str">
        <x:v>UNASSIGNED</x:v>
      </x:c>
    </x:row>
    <x:row r="90" ht="25.5" customHeight="1">
      <x:c r="C90" s="26" t="str">
        <x:v>NS-C3-CT-D-RB1-X02</x:v>
      </x:c>
      <x:c r="D90" s="26" t="str">
        <x:v>C3-CT-D-RB1</x:v>
      </x:c>
      <x:c r="E90" s="26" t="str">
        <x:v>MS-CT</x:v>
      </x:c>
      <x:c r="F90" s="26" t="str">
        <x:v>D</x:v>
      </x:c>
      <x:c r="G90" s="26" t="str">
        <x:v>X02</x:v>
      </x:c>
      <x:c r="H90" s="26" t="str">
        <x:v>Prime work physics and mechanism authority</x:v>
      </x:c>
      <x:c r="I90" s="26" t="str">
        <x:v>ROOT_EXCLUSIVE</x:v>
      </x:c>
      <x:c r="J90" s="26" t="n">
        <x:f>'Controls'!$D$5</x:f>
        <x:v>1</x:v>
      </x:c>
      <x:c r="K90" s="38" t="str">
        <x:v>UNDECLARED</x:v>
      </x:c>
      <x:c r="L90" s="26" t="str">
        <x:f>IF(K90="UNDECLARED","n.a.",COUNTIFS($K$5:$K$292,K90))</x:f>
        <x:v>n.a.</x:v>
      </x:c>
      <x:c r="M90" s="26" t="str">
        <x:f>IF(K90="UNDECLARED","OPEN",IF(L90&lt;=J90,"PASS","FAIL"))</x:f>
        <x:v>OPEN</x:v>
      </x:c>
      <x:c r="N90" s="38" t="str">
        <x:v>UNASSIGNED</x:v>
      </x:c>
    </x:row>
    <x:row r="91" ht="25.5" customHeight="1">
      <x:c r="C91" s="26" t="str">
        <x:v>NS-C3-CT-D-RB1-X03</x:v>
      </x:c>
      <x:c r="D91" s="26" t="str">
        <x:v>C3-CT-D-RB1</x:v>
      </x:c>
      <x:c r="E91" s="26" t="str">
        <x:v>MS-CT</x:v>
      </x:c>
      <x:c r="F91" s="26" t="str">
        <x:v>D</x:v>
      </x:c>
      <x:c r="G91" s="26" t="str">
        <x:v>X03</x:v>
      </x:c>
      <x:c r="H91" s="26" t="str">
        <x:v>Primary energy conversion and safe-state chain</x:v>
      </x:c>
      <x:c r="I91" s="26" t="str">
        <x:v>ROOT_EXCLUSIVE</x:v>
      </x:c>
      <x:c r="J91" s="26" t="n">
        <x:f>'Controls'!$D$5</x:f>
        <x:v>1</x:v>
      </x:c>
      <x:c r="K91" s="38" t="str">
        <x:v>UNDECLARED</x:v>
      </x:c>
      <x:c r="L91" s="26" t="str">
        <x:f>IF(K91="UNDECLARED","n.a.",COUNTIFS($K$5:$K$292,K91))</x:f>
        <x:v>n.a.</x:v>
      </x:c>
      <x:c r="M91" s="26" t="str">
        <x:f>IF(K91="UNDECLARED","OPEN",IF(L91&lt;=J91,"PASS","FAIL"))</x:f>
        <x:v>OPEN</x:v>
      </x:c>
      <x:c r="N91" s="38" t="str">
        <x:v>UNASSIGNED</x:v>
      </x:c>
    </x:row>
    <x:row r="92" ht="25.5" customHeight="1">
      <x:c r="C92" s="26" t="str">
        <x:v>NS-C3-CT-D-RB1-X04</x:v>
      </x:c>
      <x:c r="D92" s="26" t="str">
        <x:v>C3-CT-D-RB1</x:v>
      </x:c>
      <x:c r="E92" s="26" t="str">
        <x:v>MS-CT</x:v>
      </x:c>
      <x:c r="F92" s="26" t="str">
        <x:v>D</x:v>
      </x:c>
      <x:c r="G92" s="26" t="str">
        <x:v>X04</x:v>
      </x:c>
      <x:c r="H92" s="26" t="str">
        <x:v>Structural and material process</x:v>
      </x:c>
      <x:c r="I92" s="26" t="str">
        <x:v>ROOT_EXCLUSIVE</x:v>
      </x:c>
      <x:c r="J92" s="26" t="n">
        <x:f>'Controls'!$D$5</x:f>
        <x:v>1</x:v>
      </x:c>
      <x:c r="K92" s="38" t="str">
        <x:v>UNDECLARED</x:v>
      </x:c>
      <x:c r="L92" s="26" t="str">
        <x:f>IF(K92="UNDECLARED","n.a.",COUNTIFS($K$5:$K$292,K92))</x:f>
        <x:v>n.a.</x:v>
      </x:c>
      <x:c r="M92" s="26" t="str">
        <x:f>IF(K92="UNDECLARED","OPEN",IF(L92&lt;=J92,"PASS","FAIL"))</x:f>
        <x:v>OPEN</x:v>
      </x:c>
      <x:c r="N92" s="38" t="str">
        <x:v>UNASSIGNED</x:v>
      </x:c>
    </x:row>
    <x:row r="93" ht="25.5" customHeight="1">
      <x:c r="C93" s="26" t="str">
        <x:v>NS-C3-CT-D-RB1-X05</x:v>
      </x:c>
      <x:c r="D93" s="26" t="str">
        <x:v>C3-CT-D-RB1</x:v>
      </x:c>
      <x:c r="E93" s="26" t="str">
        <x:v>MS-CT</x:v>
      </x:c>
      <x:c r="F93" s="26" t="str">
        <x:v>D</x:v>
      </x:c>
      <x:c r="G93" s="26" t="str">
        <x:v>X05</x:v>
      </x:c>
      <x:c r="H93" s="26" t="str">
        <x:v>Critical feedstock conversion</x:v>
      </x:c>
      <x:c r="I93" s="26" t="str">
        <x:v>ROOT_EXCLUSIVE</x:v>
      </x:c>
      <x:c r="J93" s="26" t="n">
        <x:f>'Controls'!$D$5</x:f>
        <x:v>1</x:v>
      </x:c>
      <x:c r="K93" s="38" t="str">
        <x:v>UNDECLARED</x:v>
      </x:c>
      <x:c r="L93" s="26" t="str">
        <x:f>IF(K93="UNDECLARED","n.a.",COUNTIFS($K$5:$K$292,K93))</x:f>
        <x:v>n.a.</x:v>
      </x:c>
      <x:c r="M93" s="26" t="str">
        <x:f>IF(K93="UNDECLARED","OPEN",IF(L93&lt;=J93,"PASS","FAIL"))</x:f>
        <x:v>OPEN</x:v>
      </x:c>
      <x:c r="N93" s="38" t="str">
        <x:v>UNASSIGNED</x:v>
      </x:c>
    </x:row>
    <x:row r="94" ht="25.5" customHeight="1">
      <x:c r="C94" s="26" t="str">
        <x:v>NS-C3-CT-D-RB1-X06</x:v>
      </x:c>
      <x:c r="D94" s="26" t="str">
        <x:v>C3-CT-D-RB1</x:v>
      </x:c>
      <x:c r="E94" s="26" t="str">
        <x:v>MS-CT</x:v>
      </x:c>
      <x:c r="F94" s="26" t="str">
        <x:v>D</x:v>
      </x:c>
      <x:c r="G94" s="26" t="str">
        <x:v>X06</x:v>
      </x:c>
      <x:c r="H94" s="26" t="str">
        <x:v>Control runtime, build system and signing keys</x:v>
      </x:c>
      <x:c r="I94" s="26" t="str">
        <x:v>ROOT_EXCLUSIVE</x:v>
      </x:c>
      <x:c r="J94" s="26" t="n">
        <x:f>'Controls'!$D$5</x:f>
        <x:v>1</x:v>
      </x:c>
      <x:c r="K94" s="38" t="str">
        <x:v>UNDECLARED</x:v>
      </x:c>
      <x:c r="L94" s="26" t="str">
        <x:f>IF(K94="UNDECLARED","n.a.",COUNTIFS($K$5:$K$292,K94))</x:f>
        <x:v>n.a.</x:v>
      </x:c>
      <x:c r="M94" s="26" t="str">
        <x:f>IF(K94="UNDECLARED","OPEN",IF(L94&lt;=J94,"PASS","FAIL"))</x:f>
        <x:v>OPEN</x:v>
      </x:c>
      <x:c r="N94" s="38" t="str">
        <x:v>UNASSIGNED</x:v>
      </x:c>
    </x:row>
    <x:row r="95" ht="25.5" customHeight="1">
      <x:c r="C95" s="26" t="str">
        <x:v>NS-C3-CT-D-RB1-X07</x:v>
      </x:c>
      <x:c r="D95" s="26" t="str">
        <x:v>C3-CT-D-RB1</x:v>
      </x:c>
      <x:c r="E95" s="26" t="str">
        <x:v>MS-CT</x:v>
      </x:c>
      <x:c r="F95" s="26" t="str">
        <x:v>D</x:v>
      </x:c>
      <x:c r="G95" s="26" t="str">
        <x:v>X07</x:v>
      </x:c>
      <x:c r="H95" s="26" t="str">
        <x:v>Communications and causal-time implementation</x:v>
      </x:c>
      <x:c r="I95" s="26" t="str">
        <x:v>ROOT_EXCLUSIVE</x:v>
      </x:c>
      <x:c r="J95" s="26" t="n">
        <x:f>'Controls'!$D$5</x:f>
        <x:v>1</x:v>
      </x:c>
      <x:c r="K95" s="38" t="str">
        <x:v>UNDECLARED</x:v>
      </x:c>
      <x:c r="L95" s="26" t="str">
        <x:f>IF(K95="UNDECLARED","n.a.",COUNTIFS($K$5:$K$292,K95))</x:f>
        <x:v>n.a.</x:v>
      </x:c>
      <x:c r="M95" s="26" t="str">
        <x:f>IF(K95="UNDECLARED","OPEN",IF(L95&lt;=J95,"PASS","FAIL"))</x:f>
        <x:v>OPEN</x:v>
      </x:c>
      <x:c r="N95" s="38" t="str">
        <x:v>UNASSIGNED</x:v>
      </x:c>
    </x:row>
    <x:row r="96" ht="25.5" customHeight="1">
      <x:c r="C96" s="26" t="str">
        <x:v>NS-C3-CT-D-RB1-X08</x:v>
      </x:c>
      <x:c r="D96" s="26" t="str">
        <x:v>C3-CT-D-RB1</x:v>
      </x:c>
      <x:c r="E96" s="26" t="str">
        <x:v>MS-CT</x:v>
      </x:c>
      <x:c r="F96" s="26" t="str">
        <x:v>D</x:v>
      </x:c>
      <x:c r="G96" s="26" t="str">
        <x:v>X08</x:v>
      </x:c>
      <x:c r="H96" s="26" t="str">
        <x:v>Sensing, calibration and uncertainty chain</x:v>
      </x:c>
      <x:c r="I96" s="26" t="str">
        <x:v>ROOT_EXCLUSIVE</x:v>
      </x:c>
      <x:c r="J96" s="26" t="n">
        <x:f>'Controls'!$D$5</x:f>
        <x:v>1</x:v>
      </x:c>
      <x:c r="K96" s="38" t="str">
        <x:v>UNDECLARED</x:v>
      </x:c>
      <x:c r="L96" s="26" t="str">
        <x:f>IF(K96="UNDECLARED","n.a.",COUNTIFS($K$5:$K$292,K96))</x:f>
        <x:v>n.a.</x:v>
      </x:c>
      <x:c r="M96" s="26" t="str">
        <x:f>IF(K96="UNDECLARED","OPEN",IF(L96&lt;=J96,"PASS","FAIL"))</x:f>
        <x:v>OPEN</x:v>
      </x:c>
      <x:c r="N96" s="38" t="str">
        <x:v>UNASSIGNED</x:v>
      </x:c>
    </x:row>
    <x:row r="97" ht="25.5" customHeight="1">
      <x:c r="C97" s="26" t="str">
        <x:v>NS-C3-CT-D-RB1-X09</x:v>
      </x:c>
      <x:c r="D97" s="26" t="str">
        <x:v>C3-CT-D-RB1</x:v>
      </x:c>
      <x:c r="E97" s="26" t="str">
        <x:v>MS-CT</x:v>
      </x:c>
      <x:c r="F97" s="26" t="str">
        <x:v>D</x:v>
      </x:c>
      <x:c r="G97" s="26" t="str">
        <x:v>X09</x:v>
      </x:c>
      <x:c r="H97" s="26" t="str">
        <x:v>Production tooling and pilot line</x:v>
      </x:c>
      <x:c r="I97" s="26" t="str">
        <x:v>ROOT_EXCLUSIVE</x:v>
      </x:c>
      <x:c r="J97" s="26" t="n">
        <x:f>'Controls'!$D$5</x:f>
        <x:v>1</x:v>
      </x:c>
      <x:c r="K97" s="38" t="str">
        <x:v>UNDECLARED</x:v>
      </x:c>
      <x:c r="L97" s="26" t="str">
        <x:f>IF(K97="UNDECLARED","n.a.",COUNTIFS($K$5:$K$292,K97))</x:f>
        <x:v>n.a.</x:v>
      </x:c>
      <x:c r="M97" s="26" t="str">
        <x:f>IF(K97="UNDECLARED","OPEN",IF(L97&lt;=J97,"PASS","FAIL"))</x:f>
        <x:v>OPEN</x:v>
      </x:c>
      <x:c r="N97" s="38" t="str">
        <x:v>UNASSIGNED</x:v>
      </x:c>
    </x:row>
    <x:row r="98" ht="25.5" customHeight="1">
      <x:c r="C98" s="26" t="str">
        <x:v>NS-C3-CT-D-RB1-X10</x:v>
      </x:c>
      <x:c r="D98" s="26" t="str">
        <x:v>C3-CT-D-RB1</x:v>
      </x:c>
      <x:c r="E98" s="26" t="str">
        <x:v>MS-CT</x:v>
      </x:c>
      <x:c r="F98" s="26" t="str">
        <x:v>D</x:v>
      </x:c>
      <x:c r="G98" s="26" t="str">
        <x:v>X10</x:v>
      </x:c>
      <x:c r="H98" s="26" t="str">
        <x:v>Final assembly site and critical workforce</x:v>
      </x:c>
      <x:c r="I98" s="26" t="str">
        <x:v>ROOT_EXCLUSIVE</x:v>
      </x:c>
      <x:c r="J98" s="26" t="n">
        <x:f>'Controls'!$D$5</x:f>
        <x:v>1</x:v>
      </x:c>
      <x:c r="K98" s="38" t="str">
        <x:v>UNDECLARED</x:v>
      </x:c>
      <x:c r="L98" s="26" t="str">
        <x:f>IF(K98="UNDECLARED","n.a.",COUNTIFS($K$5:$K$292,K98))</x:f>
        <x:v>n.a.</x:v>
      </x:c>
      <x:c r="M98" s="26" t="str">
        <x:f>IF(K98="UNDECLARED","OPEN",IF(L98&lt;=J98,"PASS","FAIL"))</x:f>
        <x:v>OPEN</x:v>
      </x:c>
      <x:c r="N98" s="38" t="str">
        <x:v>UNASSIGNED</x:v>
      </x:c>
    </x:row>
    <x:row r="99" ht="25.5" customHeight="1">
      <x:c r="C99" s="26" t="str">
        <x:v>NS-C3-CT-D-RB1-X11</x:v>
      </x:c>
      <x:c r="D99" s="26" t="str">
        <x:v>C3-CT-D-RB1</x:v>
      </x:c>
      <x:c r="E99" s="26" t="str">
        <x:v>MS-CT</x:v>
      </x:c>
      <x:c r="F99" s="26" t="str">
        <x:v>D</x:v>
      </x:c>
      <x:c r="G99" s="26" t="str">
        <x:v>X11</x:v>
      </x:c>
      <x:c r="H99" s="26" t="str">
        <x:v>Repair, reset and second-team reproduction</x:v>
      </x:c>
      <x:c r="I99" s="26" t="str">
        <x:v>ROOT_EXCLUSIVE</x:v>
      </x:c>
      <x:c r="J99" s="26" t="n">
        <x:f>'Controls'!$D$5</x:f>
        <x:v>1</x:v>
      </x:c>
      <x:c r="K99" s="38" t="str">
        <x:v>UNDECLARED</x:v>
      </x:c>
      <x:c r="L99" s="26" t="str">
        <x:f>IF(K99="UNDECLARED","n.a.",COUNTIFS($K$5:$K$292,K99))</x:f>
        <x:v>n.a.</x:v>
      </x:c>
      <x:c r="M99" s="26" t="str">
        <x:f>IF(K99="UNDECLARED","OPEN",IF(L99&lt;=J99,"PASS","FAIL"))</x:f>
        <x:v>OPEN</x:v>
      </x:c>
      <x:c r="N99" s="38" t="str">
        <x:v>UNASSIGNED</x:v>
      </x:c>
    </x:row>
    <x:row r="100" ht="25.5" customHeight="1">
      <x:c r="C100" s="26" t="str">
        <x:v>NS-C3-CT-D-RB1-X12</x:v>
      </x:c>
      <x:c r="D100" s="26" t="str">
        <x:v>C3-CT-D-RB1</x:v>
      </x:c>
      <x:c r="E100" s="26" t="str">
        <x:v>MS-CT</x:v>
      </x:c>
      <x:c r="F100" s="26" t="str">
        <x:v>D</x:v>
      </x:c>
      <x:c r="G100" s="26" t="str">
        <x:v>X12</x:v>
      </x:c>
      <x:c r="H100" s="26" t="str">
        <x:v>Evidence capture, custody and outside replay</x:v>
      </x:c>
      <x:c r="I100" s="26" t="str">
        <x:v>ROOT_EXCLUSIVE</x:v>
      </x:c>
      <x:c r="J100" s="26" t="n">
        <x:f>'Controls'!$D$5</x:f>
        <x:v>1</x:v>
      </x:c>
      <x:c r="K100" s="38" t="str">
        <x:v>UNDECLARED</x:v>
      </x:c>
      <x:c r="L100" s="26" t="str">
        <x:f>IF(K100="UNDECLARED","n.a.",COUNTIFS($K$5:$K$292,K100))</x:f>
        <x:v>n.a.</x:v>
      </x:c>
      <x:c r="M100" s="26" t="str">
        <x:f>IF(K100="UNDECLARED","OPEN",IF(L100&lt;=J100,"PASS","FAIL"))</x:f>
        <x:v>OPEN</x:v>
      </x:c>
      <x:c r="N100" s="38" t="str">
        <x:v>UNASSIGNED</x:v>
      </x:c>
    </x:row>
    <x:row r="101" ht="25.5" customHeight="1">
      <x:c r="C101" s="26" t="str">
        <x:v>NS-C3-HC-A-RB1-X01</x:v>
      </x:c>
      <x:c r="D101" s="26" t="str">
        <x:v>C3-HC-A-RB1</x:v>
      </x:c>
      <x:c r="E101" s="26" t="str">
        <x:v>MS-HC</x:v>
      </x:c>
      <x:c r="F101" s="26" t="str">
        <x:v>A</x:v>
      </x:c>
      <x:c r="G101" s="26" t="str">
        <x:v>X01</x:v>
      </x:c>
      <x:c r="H101" s="26" t="str">
        <x:v>Root integrator and beneficial control</x:v>
      </x:c>
      <x:c r="I101" s="26" t="str">
        <x:v>ROOT_EXCLUSIVE</x:v>
      </x:c>
      <x:c r="J101" s="26" t="n">
        <x:f>'Controls'!$D$5</x:f>
        <x:v>1</x:v>
      </x:c>
      <x:c r="K101" s="38" t="str">
        <x:v>UNDECLARED</x:v>
      </x:c>
      <x:c r="L101" s="26" t="str">
        <x:f>IF(K101="UNDECLARED","n.a.",COUNTIFS($K$5:$K$292,K101))</x:f>
        <x:v>n.a.</x:v>
      </x:c>
      <x:c r="M101" s="26" t="str">
        <x:f>IF(K101="UNDECLARED","OPEN",IF(L101&lt;=J101,"PASS","FAIL"))</x:f>
        <x:v>OPEN</x:v>
      </x:c>
      <x:c r="N101" s="38" t="str">
        <x:v>UNASSIGNED</x:v>
      </x:c>
    </x:row>
    <x:row r="102" ht="25.5" customHeight="1">
      <x:c r="C102" s="26" t="str">
        <x:v>NS-C3-HC-A-RB1-X02</x:v>
      </x:c>
      <x:c r="D102" s="26" t="str">
        <x:v>C3-HC-A-RB1</x:v>
      </x:c>
      <x:c r="E102" s="26" t="str">
        <x:v>MS-HC</x:v>
      </x:c>
      <x:c r="F102" s="26" t="str">
        <x:v>A</x:v>
      </x:c>
      <x:c r="G102" s="26" t="str">
        <x:v>X02</x:v>
      </x:c>
      <x:c r="H102" s="26" t="str">
        <x:v>Prime work physics and mechanism authority</x:v>
      </x:c>
      <x:c r="I102" s="26" t="str">
        <x:v>ROOT_EXCLUSIVE</x:v>
      </x:c>
      <x:c r="J102" s="26" t="n">
        <x:f>'Controls'!$D$5</x:f>
        <x:v>1</x:v>
      </x:c>
      <x:c r="K102" s="38" t="str">
        <x:v>UNDECLARED</x:v>
      </x:c>
      <x:c r="L102" s="26" t="str">
        <x:f>IF(K102="UNDECLARED","n.a.",COUNTIFS($K$5:$K$292,K102))</x:f>
        <x:v>n.a.</x:v>
      </x:c>
      <x:c r="M102" s="26" t="str">
        <x:f>IF(K102="UNDECLARED","OPEN",IF(L102&lt;=J102,"PASS","FAIL"))</x:f>
        <x:v>OPEN</x:v>
      </x:c>
      <x:c r="N102" s="38" t="str">
        <x:v>UNASSIGNED</x:v>
      </x:c>
    </x:row>
    <x:row r="103" ht="25.5" customHeight="1">
      <x:c r="C103" s="26" t="str">
        <x:v>NS-C3-HC-A-RB1-X03</x:v>
      </x:c>
      <x:c r="D103" s="26" t="str">
        <x:v>C3-HC-A-RB1</x:v>
      </x:c>
      <x:c r="E103" s="26" t="str">
        <x:v>MS-HC</x:v>
      </x:c>
      <x:c r="F103" s="26" t="str">
        <x:v>A</x:v>
      </x:c>
      <x:c r="G103" s="26" t="str">
        <x:v>X03</x:v>
      </x:c>
      <x:c r="H103" s="26" t="str">
        <x:v>Primary energy conversion and safe-state chain</x:v>
      </x:c>
      <x:c r="I103" s="26" t="str">
        <x:v>ROOT_EXCLUSIVE</x:v>
      </x:c>
      <x:c r="J103" s="26" t="n">
        <x:f>'Controls'!$D$5</x:f>
        <x:v>1</x:v>
      </x:c>
      <x:c r="K103" s="38" t="str">
        <x:v>UNDECLARED</x:v>
      </x:c>
      <x:c r="L103" s="26" t="str">
        <x:f>IF(K103="UNDECLARED","n.a.",COUNTIFS($K$5:$K$292,K103))</x:f>
        <x:v>n.a.</x:v>
      </x:c>
      <x:c r="M103" s="26" t="str">
        <x:f>IF(K103="UNDECLARED","OPEN",IF(L103&lt;=J103,"PASS","FAIL"))</x:f>
        <x:v>OPEN</x:v>
      </x:c>
      <x:c r="N103" s="38" t="str">
        <x:v>UNASSIGNED</x:v>
      </x:c>
    </x:row>
    <x:row r="104" ht="25.5" customHeight="1">
      <x:c r="C104" s="26" t="str">
        <x:v>NS-C3-HC-A-RB1-X04</x:v>
      </x:c>
      <x:c r="D104" s="26" t="str">
        <x:v>C3-HC-A-RB1</x:v>
      </x:c>
      <x:c r="E104" s="26" t="str">
        <x:v>MS-HC</x:v>
      </x:c>
      <x:c r="F104" s="26" t="str">
        <x:v>A</x:v>
      </x:c>
      <x:c r="G104" s="26" t="str">
        <x:v>X04</x:v>
      </x:c>
      <x:c r="H104" s="26" t="str">
        <x:v>Structural and material process</x:v>
      </x:c>
      <x:c r="I104" s="26" t="str">
        <x:v>ROOT_EXCLUSIVE</x:v>
      </x:c>
      <x:c r="J104" s="26" t="n">
        <x:f>'Controls'!$D$5</x:f>
        <x:v>1</x:v>
      </x:c>
      <x:c r="K104" s="38" t="str">
        <x:v>UNDECLARED</x:v>
      </x:c>
      <x:c r="L104" s="26" t="str">
        <x:f>IF(K104="UNDECLARED","n.a.",COUNTIFS($K$5:$K$292,K104))</x:f>
        <x:v>n.a.</x:v>
      </x:c>
      <x:c r="M104" s="26" t="str">
        <x:f>IF(K104="UNDECLARED","OPEN",IF(L104&lt;=J104,"PASS","FAIL"))</x:f>
        <x:v>OPEN</x:v>
      </x:c>
      <x:c r="N104" s="38" t="str">
        <x:v>UNASSIGNED</x:v>
      </x:c>
    </x:row>
    <x:row r="105" ht="25.5" customHeight="1">
      <x:c r="C105" s="26" t="str">
        <x:v>NS-C3-HC-A-RB1-X05</x:v>
      </x:c>
      <x:c r="D105" s="26" t="str">
        <x:v>C3-HC-A-RB1</x:v>
      </x:c>
      <x:c r="E105" s="26" t="str">
        <x:v>MS-HC</x:v>
      </x:c>
      <x:c r="F105" s="26" t="str">
        <x:v>A</x:v>
      </x:c>
      <x:c r="G105" s="26" t="str">
        <x:v>X05</x:v>
      </x:c>
      <x:c r="H105" s="26" t="str">
        <x:v>Critical feedstock conversion</x:v>
      </x:c>
      <x:c r="I105" s="26" t="str">
        <x:v>ROOT_EXCLUSIVE</x:v>
      </x:c>
      <x:c r="J105" s="26" t="n">
        <x:f>'Controls'!$D$5</x:f>
        <x:v>1</x:v>
      </x:c>
      <x:c r="K105" s="38" t="str">
        <x:v>UNDECLARED</x:v>
      </x:c>
      <x:c r="L105" s="26" t="str">
        <x:f>IF(K105="UNDECLARED","n.a.",COUNTIFS($K$5:$K$292,K105))</x:f>
        <x:v>n.a.</x:v>
      </x:c>
      <x:c r="M105" s="26" t="str">
        <x:f>IF(K105="UNDECLARED","OPEN",IF(L105&lt;=J105,"PASS","FAIL"))</x:f>
        <x:v>OPEN</x:v>
      </x:c>
      <x:c r="N105" s="38" t="str">
        <x:v>UNASSIGNED</x:v>
      </x:c>
    </x:row>
    <x:row r="106" ht="25.5" customHeight="1">
      <x:c r="C106" s="26" t="str">
        <x:v>NS-C3-HC-A-RB1-X06</x:v>
      </x:c>
      <x:c r="D106" s="26" t="str">
        <x:v>C3-HC-A-RB1</x:v>
      </x:c>
      <x:c r="E106" s="26" t="str">
        <x:v>MS-HC</x:v>
      </x:c>
      <x:c r="F106" s="26" t="str">
        <x:v>A</x:v>
      </x:c>
      <x:c r="G106" s="26" t="str">
        <x:v>X06</x:v>
      </x:c>
      <x:c r="H106" s="26" t="str">
        <x:v>Control runtime, build system and signing keys</x:v>
      </x:c>
      <x:c r="I106" s="26" t="str">
        <x:v>ROOT_EXCLUSIVE</x:v>
      </x:c>
      <x:c r="J106" s="26" t="n">
        <x:f>'Controls'!$D$5</x:f>
        <x:v>1</x:v>
      </x:c>
      <x:c r="K106" s="38" t="str">
        <x:v>UNDECLARED</x:v>
      </x:c>
      <x:c r="L106" s="26" t="str">
        <x:f>IF(K106="UNDECLARED","n.a.",COUNTIFS($K$5:$K$292,K106))</x:f>
        <x:v>n.a.</x:v>
      </x:c>
      <x:c r="M106" s="26" t="str">
        <x:f>IF(K106="UNDECLARED","OPEN",IF(L106&lt;=J106,"PASS","FAIL"))</x:f>
        <x:v>OPEN</x:v>
      </x:c>
      <x:c r="N106" s="38" t="str">
        <x:v>UNASSIGNED</x:v>
      </x:c>
    </x:row>
    <x:row r="107" ht="25.5" customHeight="1">
      <x:c r="C107" s="26" t="str">
        <x:v>NS-C3-HC-A-RB1-X07</x:v>
      </x:c>
      <x:c r="D107" s="26" t="str">
        <x:v>C3-HC-A-RB1</x:v>
      </x:c>
      <x:c r="E107" s="26" t="str">
        <x:v>MS-HC</x:v>
      </x:c>
      <x:c r="F107" s="26" t="str">
        <x:v>A</x:v>
      </x:c>
      <x:c r="G107" s="26" t="str">
        <x:v>X07</x:v>
      </x:c>
      <x:c r="H107" s="26" t="str">
        <x:v>Communications and causal-time implementation</x:v>
      </x:c>
      <x:c r="I107" s="26" t="str">
        <x:v>ROOT_EXCLUSIVE</x:v>
      </x:c>
      <x:c r="J107" s="26" t="n">
        <x:f>'Controls'!$D$5</x:f>
        <x:v>1</x:v>
      </x:c>
      <x:c r="K107" s="38" t="str">
        <x:v>UNDECLARED</x:v>
      </x:c>
      <x:c r="L107" s="26" t="str">
        <x:f>IF(K107="UNDECLARED","n.a.",COUNTIFS($K$5:$K$292,K107))</x:f>
        <x:v>n.a.</x:v>
      </x:c>
      <x:c r="M107" s="26" t="str">
        <x:f>IF(K107="UNDECLARED","OPEN",IF(L107&lt;=J107,"PASS","FAIL"))</x:f>
        <x:v>OPEN</x:v>
      </x:c>
      <x:c r="N107" s="38" t="str">
        <x:v>UNASSIGNED</x:v>
      </x:c>
    </x:row>
    <x:row r="108" ht="25.5" customHeight="1">
      <x:c r="C108" s="26" t="str">
        <x:v>NS-C3-HC-A-RB1-X08</x:v>
      </x:c>
      <x:c r="D108" s="26" t="str">
        <x:v>C3-HC-A-RB1</x:v>
      </x:c>
      <x:c r="E108" s="26" t="str">
        <x:v>MS-HC</x:v>
      </x:c>
      <x:c r="F108" s="26" t="str">
        <x:v>A</x:v>
      </x:c>
      <x:c r="G108" s="26" t="str">
        <x:v>X08</x:v>
      </x:c>
      <x:c r="H108" s="26" t="str">
        <x:v>Sensing, calibration and uncertainty chain</x:v>
      </x:c>
      <x:c r="I108" s="26" t="str">
        <x:v>ROOT_EXCLUSIVE</x:v>
      </x:c>
      <x:c r="J108" s="26" t="n">
        <x:f>'Controls'!$D$5</x:f>
        <x:v>1</x:v>
      </x:c>
      <x:c r="K108" s="38" t="str">
        <x:v>UNDECLARED</x:v>
      </x:c>
      <x:c r="L108" s="26" t="str">
        <x:f>IF(K108="UNDECLARED","n.a.",COUNTIFS($K$5:$K$292,K108))</x:f>
        <x:v>n.a.</x:v>
      </x:c>
      <x:c r="M108" s="26" t="str">
        <x:f>IF(K108="UNDECLARED","OPEN",IF(L108&lt;=J108,"PASS","FAIL"))</x:f>
        <x:v>OPEN</x:v>
      </x:c>
      <x:c r="N108" s="38" t="str">
        <x:v>UNASSIGNED</x:v>
      </x:c>
    </x:row>
    <x:row r="109" ht="25.5" customHeight="1">
      <x:c r="C109" s="26" t="str">
        <x:v>NS-C3-HC-A-RB1-X09</x:v>
      </x:c>
      <x:c r="D109" s="26" t="str">
        <x:v>C3-HC-A-RB1</x:v>
      </x:c>
      <x:c r="E109" s="26" t="str">
        <x:v>MS-HC</x:v>
      </x:c>
      <x:c r="F109" s="26" t="str">
        <x:v>A</x:v>
      </x:c>
      <x:c r="G109" s="26" t="str">
        <x:v>X09</x:v>
      </x:c>
      <x:c r="H109" s="26" t="str">
        <x:v>Production tooling and pilot line</x:v>
      </x:c>
      <x:c r="I109" s="26" t="str">
        <x:v>ROOT_EXCLUSIVE</x:v>
      </x:c>
      <x:c r="J109" s="26" t="n">
        <x:f>'Controls'!$D$5</x:f>
        <x:v>1</x:v>
      </x:c>
      <x:c r="K109" s="38" t="str">
        <x:v>UNDECLARED</x:v>
      </x:c>
      <x:c r="L109" s="26" t="str">
        <x:f>IF(K109="UNDECLARED","n.a.",COUNTIFS($K$5:$K$292,K109))</x:f>
        <x:v>n.a.</x:v>
      </x:c>
      <x:c r="M109" s="26" t="str">
        <x:f>IF(K109="UNDECLARED","OPEN",IF(L109&lt;=J109,"PASS","FAIL"))</x:f>
        <x:v>OPEN</x:v>
      </x:c>
      <x:c r="N109" s="38" t="str">
        <x:v>UNASSIGNED</x:v>
      </x:c>
    </x:row>
    <x:row r="110" ht="25.5" customHeight="1">
      <x:c r="C110" s="26" t="str">
        <x:v>NS-C3-HC-A-RB1-X10</x:v>
      </x:c>
      <x:c r="D110" s="26" t="str">
        <x:v>C3-HC-A-RB1</x:v>
      </x:c>
      <x:c r="E110" s="26" t="str">
        <x:v>MS-HC</x:v>
      </x:c>
      <x:c r="F110" s="26" t="str">
        <x:v>A</x:v>
      </x:c>
      <x:c r="G110" s="26" t="str">
        <x:v>X10</x:v>
      </x:c>
      <x:c r="H110" s="26" t="str">
        <x:v>Final assembly site and critical workforce</x:v>
      </x:c>
      <x:c r="I110" s="26" t="str">
        <x:v>ROOT_EXCLUSIVE</x:v>
      </x:c>
      <x:c r="J110" s="26" t="n">
        <x:f>'Controls'!$D$5</x:f>
        <x:v>1</x:v>
      </x:c>
      <x:c r="K110" s="38" t="str">
        <x:v>UNDECLARED</x:v>
      </x:c>
      <x:c r="L110" s="26" t="str">
        <x:f>IF(K110="UNDECLARED","n.a.",COUNTIFS($K$5:$K$292,K110))</x:f>
        <x:v>n.a.</x:v>
      </x:c>
      <x:c r="M110" s="26" t="str">
        <x:f>IF(K110="UNDECLARED","OPEN",IF(L110&lt;=J110,"PASS","FAIL"))</x:f>
        <x:v>OPEN</x:v>
      </x:c>
      <x:c r="N110" s="38" t="str">
        <x:v>UNASSIGNED</x:v>
      </x:c>
    </x:row>
    <x:row r="111" ht="25.5" customHeight="1">
      <x:c r="C111" s="26" t="str">
        <x:v>NS-C3-HC-A-RB1-X11</x:v>
      </x:c>
      <x:c r="D111" s="26" t="str">
        <x:v>C3-HC-A-RB1</x:v>
      </x:c>
      <x:c r="E111" s="26" t="str">
        <x:v>MS-HC</x:v>
      </x:c>
      <x:c r="F111" s="26" t="str">
        <x:v>A</x:v>
      </x:c>
      <x:c r="G111" s="26" t="str">
        <x:v>X11</x:v>
      </x:c>
      <x:c r="H111" s="26" t="str">
        <x:v>Repair, reset and second-team reproduction</x:v>
      </x:c>
      <x:c r="I111" s="26" t="str">
        <x:v>ROOT_EXCLUSIVE</x:v>
      </x:c>
      <x:c r="J111" s="26" t="n">
        <x:f>'Controls'!$D$5</x:f>
        <x:v>1</x:v>
      </x:c>
      <x:c r="K111" s="38" t="str">
        <x:v>UNDECLARED</x:v>
      </x:c>
      <x:c r="L111" s="26" t="str">
        <x:f>IF(K111="UNDECLARED","n.a.",COUNTIFS($K$5:$K$292,K111))</x:f>
        <x:v>n.a.</x:v>
      </x:c>
      <x:c r="M111" s="26" t="str">
        <x:f>IF(K111="UNDECLARED","OPEN",IF(L111&lt;=J111,"PASS","FAIL"))</x:f>
        <x:v>OPEN</x:v>
      </x:c>
      <x:c r="N111" s="38" t="str">
        <x:v>UNASSIGNED</x:v>
      </x:c>
    </x:row>
    <x:row r="112" ht="25.5" customHeight="1">
      <x:c r="C112" s="26" t="str">
        <x:v>NS-C3-HC-A-RB1-X12</x:v>
      </x:c>
      <x:c r="D112" s="26" t="str">
        <x:v>C3-HC-A-RB1</x:v>
      </x:c>
      <x:c r="E112" s="26" t="str">
        <x:v>MS-HC</x:v>
      </x:c>
      <x:c r="F112" s="26" t="str">
        <x:v>A</x:v>
      </x:c>
      <x:c r="G112" s="26" t="str">
        <x:v>X12</x:v>
      </x:c>
      <x:c r="H112" s="26" t="str">
        <x:v>Evidence capture, custody and outside replay</x:v>
      </x:c>
      <x:c r="I112" s="26" t="str">
        <x:v>ROOT_EXCLUSIVE</x:v>
      </x:c>
      <x:c r="J112" s="26" t="n">
        <x:f>'Controls'!$D$5</x:f>
        <x:v>1</x:v>
      </x:c>
      <x:c r="K112" s="38" t="str">
        <x:v>UNDECLARED</x:v>
      </x:c>
      <x:c r="L112" s="26" t="str">
        <x:f>IF(K112="UNDECLARED","n.a.",COUNTIFS($K$5:$K$292,K112))</x:f>
        <x:v>n.a.</x:v>
      </x:c>
      <x:c r="M112" s="26" t="str">
        <x:f>IF(K112="UNDECLARED","OPEN",IF(L112&lt;=J112,"PASS","FAIL"))</x:f>
        <x:v>OPEN</x:v>
      </x:c>
      <x:c r="N112" s="38" t="str">
        <x:v>UNASSIGNED</x:v>
      </x:c>
    </x:row>
    <x:row r="113" ht="25.5" customHeight="1">
      <x:c r="C113" s="26" t="str">
        <x:v>NS-C3-HC-B-RB1-X01</x:v>
      </x:c>
      <x:c r="D113" s="26" t="str">
        <x:v>C3-HC-B-RB1</x:v>
      </x:c>
      <x:c r="E113" s="26" t="str">
        <x:v>MS-HC</x:v>
      </x:c>
      <x:c r="F113" s="26" t="str">
        <x:v>B</x:v>
      </x:c>
      <x:c r="G113" s="26" t="str">
        <x:v>X01</x:v>
      </x:c>
      <x:c r="H113" s="26" t="str">
        <x:v>Root integrator and beneficial control</x:v>
      </x:c>
      <x:c r="I113" s="26" t="str">
        <x:v>ROOT_EXCLUSIVE</x:v>
      </x:c>
      <x:c r="J113" s="26" t="n">
        <x:f>'Controls'!$D$5</x:f>
        <x:v>1</x:v>
      </x:c>
      <x:c r="K113" s="38" t="str">
        <x:v>UNDECLARED</x:v>
      </x:c>
      <x:c r="L113" s="26" t="str">
        <x:f>IF(K113="UNDECLARED","n.a.",COUNTIFS($K$5:$K$292,K113))</x:f>
        <x:v>n.a.</x:v>
      </x:c>
      <x:c r="M113" s="26" t="str">
        <x:f>IF(K113="UNDECLARED","OPEN",IF(L113&lt;=J113,"PASS","FAIL"))</x:f>
        <x:v>OPEN</x:v>
      </x:c>
      <x:c r="N113" s="38" t="str">
        <x:v>UNASSIGNED</x:v>
      </x:c>
    </x:row>
    <x:row r="114" ht="25.5" customHeight="1">
      <x:c r="C114" s="26" t="str">
        <x:v>NS-C3-HC-B-RB1-X02</x:v>
      </x:c>
      <x:c r="D114" s="26" t="str">
        <x:v>C3-HC-B-RB1</x:v>
      </x:c>
      <x:c r="E114" s="26" t="str">
        <x:v>MS-HC</x:v>
      </x:c>
      <x:c r="F114" s="26" t="str">
        <x:v>B</x:v>
      </x:c>
      <x:c r="G114" s="26" t="str">
        <x:v>X02</x:v>
      </x:c>
      <x:c r="H114" s="26" t="str">
        <x:v>Prime work physics and mechanism authority</x:v>
      </x:c>
      <x:c r="I114" s="26" t="str">
        <x:v>ROOT_EXCLUSIVE</x:v>
      </x:c>
      <x:c r="J114" s="26" t="n">
        <x:f>'Controls'!$D$5</x:f>
        <x:v>1</x:v>
      </x:c>
      <x:c r="K114" s="38" t="str">
        <x:v>UNDECLARED</x:v>
      </x:c>
      <x:c r="L114" s="26" t="str">
        <x:f>IF(K114="UNDECLARED","n.a.",COUNTIFS($K$5:$K$292,K114))</x:f>
        <x:v>n.a.</x:v>
      </x:c>
      <x:c r="M114" s="26" t="str">
        <x:f>IF(K114="UNDECLARED","OPEN",IF(L114&lt;=J114,"PASS","FAIL"))</x:f>
        <x:v>OPEN</x:v>
      </x:c>
      <x:c r="N114" s="38" t="str">
        <x:v>UNASSIGNED</x:v>
      </x:c>
    </x:row>
    <x:row r="115" ht="25.5" customHeight="1">
      <x:c r="C115" s="26" t="str">
        <x:v>NS-C3-HC-B-RB1-X03</x:v>
      </x:c>
      <x:c r="D115" s="26" t="str">
        <x:v>C3-HC-B-RB1</x:v>
      </x:c>
      <x:c r="E115" s="26" t="str">
        <x:v>MS-HC</x:v>
      </x:c>
      <x:c r="F115" s="26" t="str">
        <x:v>B</x:v>
      </x:c>
      <x:c r="G115" s="26" t="str">
        <x:v>X03</x:v>
      </x:c>
      <x:c r="H115" s="26" t="str">
        <x:v>Primary energy conversion and safe-state chain</x:v>
      </x:c>
      <x:c r="I115" s="26" t="str">
        <x:v>ROOT_EXCLUSIVE</x:v>
      </x:c>
      <x:c r="J115" s="26" t="n">
        <x:f>'Controls'!$D$5</x:f>
        <x:v>1</x:v>
      </x:c>
      <x:c r="K115" s="38" t="str">
        <x:v>UNDECLARED</x:v>
      </x:c>
      <x:c r="L115" s="26" t="str">
        <x:f>IF(K115="UNDECLARED","n.a.",COUNTIFS($K$5:$K$292,K115))</x:f>
        <x:v>n.a.</x:v>
      </x:c>
      <x:c r="M115" s="26" t="str">
        <x:f>IF(K115="UNDECLARED","OPEN",IF(L115&lt;=J115,"PASS","FAIL"))</x:f>
        <x:v>OPEN</x:v>
      </x:c>
      <x:c r="N115" s="38" t="str">
        <x:v>UNASSIGNED</x:v>
      </x:c>
    </x:row>
    <x:row r="116" ht="25.5" customHeight="1">
      <x:c r="C116" s="26" t="str">
        <x:v>NS-C3-HC-B-RB1-X04</x:v>
      </x:c>
      <x:c r="D116" s="26" t="str">
        <x:v>C3-HC-B-RB1</x:v>
      </x:c>
      <x:c r="E116" s="26" t="str">
        <x:v>MS-HC</x:v>
      </x:c>
      <x:c r="F116" s="26" t="str">
        <x:v>B</x:v>
      </x:c>
      <x:c r="G116" s="26" t="str">
        <x:v>X04</x:v>
      </x:c>
      <x:c r="H116" s="26" t="str">
        <x:v>Structural and material process</x:v>
      </x:c>
      <x:c r="I116" s="26" t="str">
        <x:v>ROOT_EXCLUSIVE</x:v>
      </x:c>
      <x:c r="J116" s="26" t="n">
        <x:f>'Controls'!$D$5</x:f>
        <x:v>1</x:v>
      </x:c>
      <x:c r="K116" s="38" t="str">
        <x:v>UNDECLARED</x:v>
      </x:c>
      <x:c r="L116" s="26" t="str">
        <x:f>IF(K116="UNDECLARED","n.a.",COUNTIFS($K$5:$K$292,K116))</x:f>
        <x:v>n.a.</x:v>
      </x:c>
      <x:c r="M116" s="26" t="str">
        <x:f>IF(K116="UNDECLARED","OPEN",IF(L116&lt;=J116,"PASS","FAIL"))</x:f>
        <x:v>OPEN</x:v>
      </x:c>
      <x:c r="N116" s="38" t="str">
        <x:v>UNASSIGNED</x:v>
      </x:c>
    </x:row>
    <x:row r="117" ht="25.5" customHeight="1">
      <x:c r="C117" s="26" t="str">
        <x:v>NS-C3-HC-B-RB1-X05</x:v>
      </x:c>
      <x:c r="D117" s="26" t="str">
        <x:v>C3-HC-B-RB1</x:v>
      </x:c>
      <x:c r="E117" s="26" t="str">
        <x:v>MS-HC</x:v>
      </x:c>
      <x:c r="F117" s="26" t="str">
        <x:v>B</x:v>
      </x:c>
      <x:c r="G117" s="26" t="str">
        <x:v>X05</x:v>
      </x:c>
      <x:c r="H117" s="26" t="str">
        <x:v>Critical feedstock conversion</x:v>
      </x:c>
      <x:c r="I117" s="26" t="str">
        <x:v>ROOT_EXCLUSIVE</x:v>
      </x:c>
      <x:c r="J117" s="26" t="n">
        <x:f>'Controls'!$D$5</x:f>
        <x:v>1</x:v>
      </x:c>
      <x:c r="K117" s="38" t="str">
        <x:v>UNDECLARED</x:v>
      </x:c>
      <x:c r="L117" s="26" t="str">
        <x:f>IF(K117="UNDECLARED","n.a.",COUNTIFS($K$5:$K$292,K117))</x:f>
        <x:v>n.a.</x:v>
      </x:c>
      <x:c r="M117" s="26" t="str">
        <x:f>IF(K117="UNDECLARED","OPEN",IF(L117&lt;=J117,"PASS","FAIL"))</x:f>
        <x:v>OPEN</x:v>
      </x:c>
      <x:c r="N117" s="38" t="str">
        <x:v>UNASSIGNED</x:v>
      </x:c>
    </x:row>
    <x:row r="118" ht="25.5" customHeight="1">
      <x:c r="C118" s="26" t="str">
        <x:v>NS-C3-HC-B-RB1-X06</x:v>
      </x:c>
      <x:c r="D118" s="26" t="str">
        <x:v>C3-HC-B-RB1</x:v>
      </x:c>
      <x:c r="E118" s="26" t="str">
        <x:v>MS-HC</x:v>
      </x:c>
      <x:c r="F118" s="26" t="str">
        <x:v>B</x:v>
      </x:c>
      <x:c r="G118" s="26" t="str">
        <x:v>X06</x:v>
      </x:c>
      <x:c r="H118" s="26" t="str">
        <x:v>Control runtime, build system and signing keys</x:v>
      </x:c>
      <x:c r="I118" s="26" t="str">
        <x:v>ROOT_EXCLUSIVE</x:v>
      </x:c>
      <x:c r="J118" s="26" t="n">
        <x:f>'Controls'!$D$5</x:f>
        <x:v>1</x:v>
      </x:c>
      <x:c r="K118" s="38" t="str">
        <x:v>UNDECLARED</x:v>
      </x:c>
      <x:c r="L118" s="26" t="str">
        <x:f>IF(K118="UNDECLARED","n.a.",COUNTIFS($K$5:$K$292,K118))</x:f>
        <x:v>n.a.</x:v>
      </x:c>
      <x:c r="M118" s="26" t="str">
        <x:f>IF(K118="UNDECLARED","OPEN",IF(L118&lt;=J118,"PASS","FAIL"))</x:f>
        <x:v>OPEN</x:v>
      </x:c>
      <x:c r="N118" s="38" t="str">
        <x:v>UNASSIGNED</x:v>
      </x:c>
    </x:row>
    <x:row r="119" ht="25.5" customHeight="1">
      <x:c r="C119" s="26" t="str">
        <x:v>NS-C3-HC-B-RB1-X07</x:v>
      </x:c>
      <x:c r="D119" s="26" t="str">
        <x:v>C3-HC-B-RB1</x:v>
      </x:c>
      <x:c r="E119" s="26" t="str">
        <x:v>MS-HC</x:v>
      </x:c>
      <x:c r="F119" s="26" t="str">
        <x:v>B</x:v>
      </x:c>
      <x:c r="G119" s="26" t="str">
        <x:v>X07</x:v>
      </x:c>
      <x:c r="H119" s="26" t="str">
        <x:v>Communications and causal-time implementation</x:v>
      </x:c>
      <x:c r="I119" s="26" t="str">
        <x:v>ROOT_EXCLUSIVE</x:v>
      </x:c>
      <x:c r="J119" s="26" t="n">
        <x:f>'Controls'!$D$5</x:f>
        <x:v>1</x:v>
      </x:c>
      <x:c r="K119" s="38" t="str">
        <x:v>UNDECLARED</x:v>
      </x:c>
      <x:c r="L119" s="26" t="str">
        <x:f>IF(K119="UNDECLARED","n.a.",COUNTIFS($K$5:$K$292,K119))</x:f>
        <x:v>n.a.</x:v>
      </x:c>
      <x:c r="M119" s="26" t="str">
        <x:f>IF(K119="UNDECLARED","OPEN",IF(L119&lt;=J119,"PASS","FAIL"))</x:f>
        <x:v>OPEN</x:v>
      </x:c>
      <x:c r="N119" s="38" t="str">
        <x:v>UNASSIGNED</x:v>
      </x:c>
    </x:row>
    <x:row r="120" ht="25.5" customHeight="1">
      <x:c r="C120" s="26" t="str">
        <x:v>NS-C3-HC-B-RB1-X08</x:v>
      </x:c>
      <x:c r="D120" s="26" t="str">
        <x:v>C3-HC-B-RB1</x:v>
      </x:c>
      <x:c r="E120" s="26" t="str">
        <x:v>MS-HC</x:v>
      </x:c>
      <x:c r="F120" s="26" t="str">
        <x:v>B</x:v>
      </x:c>
      <x:c r="G120" s="26" t="str">
        <x:v>X08</x:v>
      </x:c>
      <x:c r="H120" s="26" t="str">
        <x:v>Sensing, calibration and uncertainty chain</x:v>
      </x:c>
      <x:c r="I120" s="26" t="str">
        <x:v>ROOT_EXCLUSIVE</x:v>
      </x:c>
      <x:c r="J120" s="26" t="n">
        <x:f>'Controls'!$D$5</x:f>
        <x:v>1</x:v>
      </x:c>
      <x:c r="K120" s="38" t="str">
        <x:v>UNDECLARED</x:v>
      </x:c>
      <x:c r="L120" s="26" t="str">
        <x:f>IF(K120="UNDECLARED","n.a.",COUNTIFS($K$5:$K$292,K120))</x:f>
        <x:v>n.a.</x:v>
      </x:c>
      <x:c r="M120" s="26" t="str">
        <x:f>IF(K120="UNDECLARED","OPEN",IF(L120&lt;=J120,"PASS","FAIL"))</x:f>
        <x:v>OPEN</x:v>
      </x:c>
      <x:c r="N120" s="38" t="str">
        <x:v>UNASSIGNED</x:v>
      </x:c>
    </x:row>
    <x:row r="121" ht="25.5" customHeight="1">
      <x:c r="C121" s="26" t="str">
        <x:v>NS-C3-HC-B-RB1-X09</x:v>
      </x:c>
      <x:c r="D121" s="26" t="str">
        <x:v>C3-HC-B-RB1</x:v>
      </x:c>
      <x:c r="E121" s="26" t="str">
        <x:v>MS-HC</x:v>
      </x:c>
      <x:c r="F121" s="26" t="str">
        <x:v>B</x:v>
      </x:c>
      <x:c r="G121" s="26" t="str">
        <x:v>X09</x:v>
      </x:c>
      <x:c r="H121" s="26" t="str">
        <x:v>Production tooling and pilot line</x:v>
      </x:c>
      <x:c r="I121" s="26" t="str">
        <x:v>ROOT_EXCLUSIVE</x:v>
      </x:c>
      <x:c r="J121" s="26" t="n">
        <x:f>'Controls'!$D$5</x:f>
        <x:v>1</x:v>
      </x:c>
      <x:c r="K121" s="38" t="str">
        <x:v>UNDECLARED</x:v>
      </x:c>
      <x:c r="L121" s="26" t="str">
        <x:f>IF(K121="UNDECLARED","n.a.",COUNTIFS($K$5:$K$292,K121))</x:f>
        <x:v>n.a.</x:v>
      </x:c>
      <x:c r="M121" s="26" t="str">
        <x:f>IF(K121="UNDECLARED","OPEN",IF(L121&lt;=J121,"PASS","FAIL"))</x:f>
        <x:v>OPEN</x:v>
      </x:c>
      <x:c r="N121" s="38" t="str">
        <x:v>UNASSIGNED</x:v>
      </x:c>
    </x:row>
    <x:row r="122" ht="25.5" customHeight="1">
      <x:c r="C122" s="26" t="str">
        <x:v>NS-C3-HC-B-RB1-X10</x:v>
      </x:c>
      <x:c r="D122" s="26" t="str">
        <x:v>C3-HC-B-RB1</x:v>
      </x:c>
      <x:c r="E122" s="26" t="str">
        <x:v>MS-HC</x:v>
      </x:c>
      <x:c r="F122" s="26" t="str">
        <x:v>B</x:v>
      </x:c>
      <x:c r="G122" s="26" t="str">
        <x:v>X10</x:v>
      </x:c>
      <x:c r="H122" s="26" t="str">
        <x:v>Final assembly site and critical workforce</x:v>
      </x:c>
      <x:c r="I122" s="26" t="str">
        <x:v>ROOT_EXCLUSIVE</x:v>
      </x:c>
      <x:c r="J122" s="26" t="n">
        <x:f>'Controls'!$D$5</x:f>
        <x:v>1</x:v>
      </x:c>
      <x:c r="K122" s="38" t="str">
        <x:v>UNDECLARED</x:v>
      </x:c>
      <x:c r="L122" s="26" t="str">
        <x:f>IF(K122="UNDECLARED","n.a.",COUNTIFS($K$5:$K$292,K122))</x:f>
        <x:v>n.a.</x:v>
      </x:c>
      <x:c r="M122" s="26" t="str">
        <x:f>IF(K122="UNDECLARED","OPEN",IF(L122&lt;=J122,"PASS","FAIL"))</x:f>
        <x:v>OPEN</x:v>
      </x:c>
      <x:c r="N122" s="38" t="str">
        <x:v>UNASSIGNED</x:v>
      </x:c>
    </x:row>
    <x:row r="123" ht="25.5" customHeight="1">
      <x:c r="C123" s="26" t="str">
        <x:v>NS-C3-HC-B-RB1-X11</x:v>
      </x:c>
      <x:c r="D123" s="26" t="str">
        <x:v>C3-HC-B-RB1</x:v>
      </x:c>
      <x:c r="E123" s="26" t="str">
        <x:v>MS-HC</x:v>
      </x:c>
      <x:c r="F123" s="26" t="str">
        <x:v>B</x:v>
      </x:c>
      <x:c r="G123" s="26" t="str">
        <x:v>X11</x:v>
      </x:c>
      <x:c r="H123" s="26" t="str">
        <x:v>Repair, reset and second-team reproduction</x:v>
      </x:c>
      <x:c r="I123" s="26" t="str">
        <x:v>ROOT_EXCLUSIVE</x:v>
      </x:c>
      <x:c r="J123" s="26" t="n">
        <x:f>'Controls'!$D$5</x:f>
        <x:v>1</x:v>
      </x:c>
      <x:c r="K123" s="38" t="str">
        <x:v>UNDECLARED</x:v>
      </x:c>
      <x:c r="L123" s="26" t="str">
        <x:f>IF(K123="UNDECLARED","n.a.",COUNTIFS($K$5:$K$292,K123))</x:f>
        <x:v>n.a.</x:v>
      </x:c>
      <x:c r="M123" s="26" t="str">
        <x:f>IF(K123="UNDECLARED","OPEN",IF(L123&lt;=J123,"PASS","FAIL"))</x:f>
        <x:v>OPEN</x:v>
      </x:c>
      <x:c r="N123" s="38" t="str">
        <x:v>UNASSIGNED</x:v>
      </x:c>
    </x:row>
    <x:row r="124" ht="25.5" customHeight="1">
      <x:c r="C124" s="26" t="str">
        <x:v>NS-C3-HC-B-RB1-X12</x:v>
      </x:c>
      <x:c r="D124" s="26" t="str">
        <x:v>C3-HC-B-RB1</x:v>
      </x:c>
      <x:c r="E124" s="26" t="str">
        <x:v>MS-HC</x:v>
      </x:c>
      <x:c r="F124" s="26" t="str">
        <x:v>B</x:v>
      </x:c>
      <x:c r="G124" s="26" t="str">
        <x:v>X12</x:v>
      </x:c>
      <x:c r="H124" s="26" t="str">
        <x:v>Evidence capture, custody and outside replay</x:v>
      </x:c>
      <x:c r="I124" s="26" t="str">
        <x:v>ROOT_EXCLUSIVE</x:v>
      </x:c>
      <x:c r="J124" s="26" t="n">
        <x:f>'Controls'!$D$5</x:f>
        <x:v>1</x:v>
      </x:c>
      <x:c r="K124" s="38" t="str">
        <x:v>UNDECLARED</x:v>
      </x:c>
      <x:c r="L124" s="26" t="str">
        <x:f>IF(K124="UNDECLARED","n.a.",COUNTIFS($K$5:$K$292,K124))</x:f>
        <x:v>n.a.</x:v>
      </x:c>
      <x:c r="M124" s="26" t="str">
        <x:f>IF(K124="UNDECLARED","OPEN",IF(L124&lt;=J124,"PASS","FAIL"))</x:f>
        <x:v>OPEN</x:v>
      </x:c>
      <x:c r="N124" s="38" t="str">
        <x:v>UNASSIGNED</x:v>
      </x:c>
    </x:row>
    <x:row r="125" ht="25.5" customHeight="1">
      <x:c r="C125" s="26" t="str">
        <x:v>NS-C3-HC-C-RB1-X01</x:v>
      </x:c>
      <x:c r="D125" s="26" t="str">
        <x:v>C3-HC-C-RB1</x:v>
      </x:c>
      <x:c r="E125" s="26" t="str">
        <x:v>MS-HC</x:v>
      </x:c>
      <x:c r="F125" s="26" t="str">
        <x:v>C</x:v>
      </x:c>
      <x:c r="G125" s="26" t="str">
        <x:v>X01</x:v>
      </x:c>
      <x:c r="H125" s="26" t="str">
        <x:v>Root integrator and beneficial control</x:v>
      </x:c>
      <x:c r="I125" s="26" t="str">
        <x:v>ROOT_EXCLUSIVE</x:v>
      </x:c>
      <x:c r="J125" s="26" t="n">
        <x:f>'Controls'!$D$5</x:f>
        <x:v>1</x:v>
      </x:c>
      <x:c r="K125" s="38" t="str">
        <x:v>UNDECLARED</x:v>
      </x:c>
      <x:c r="L125" s="26" t="str">
        <x:f>IF(K125="UNDECLARED","n.a.",COUNTIFS($K$5:$K$292,K125))</x:f>
        <x:v>n.a.</x:v>
      </x:c>
      <x:c r="M125" s="26" t="str">
        <x:f>IF(K125="UNDECLARED","OPEN",IF(L125&lt;=J125,"PASS","FAIL"))</x:f>
        <x:v>OPEN</x:v>
      </x:c>
      <x:c r="N125" s="38" t="str">
        <x:v>UNASSIGNED</x:v>
      </x:c>
    </x:row>
    <x:row r="126" ht="25.5" customHeight="1">
      <x:c r="C126" s="26" t="str">
        <x:v>NS-C3-HC-C-RB1-X02</x:v>
      </x:c>
      <x:c r="D126" s="26" t="str">
        <x:v>C3-HC-C-RB1</x:v>
      </x:c>
      <x:c r="E126" s="26" t="str">
        <x:v>MS-HC</x:v>
      </x:c>
      <x:c r="F126" s="26" t="str">
        <x:v>C</x:v>
      </x:c>
      <x:c r="G126" s="26" t="str">
        <x:v>X02</x:v>
      </x:c>
      <x:c r="H126" s="26" t="str">
        <x:v>Prime work physics and mechanism authority</x:v>
      </x:c>
      <x:c r="I126" s="26" t="str">
        <x:v>ROOT_EXCLUSIVE</x:v>
      </x:c>
      <x:c r="J126" s="26" t="n">
        <x:f>'Controls'!$D$5</x:f>
        <x:v>1</x:v>
      </x:c>
      <x:c r="K126" s="38" t="str">
        <x:v>UNDECLARED</x:v>
      </x:c>
      <x:c r="L126" s="26" t="str">
        <x:f>IF(K126="UNDECLARED","n.a.",COUNTIFS($K$5:$K$292,K126))</x:f>
        <x:v>n.a.</x:v>
      </x:c>
      <x:c r="M126" s="26" t="str">
        <x:f>IF(K126="UNDECLARED","OPEN",IF(L126&lt;=J126,"PASS","FAIL"))</x:f>
        <x:v>OPEN</x:v>
      </x:c>
      <x:c r="N126" s="38" t="str">
        <x:v>UNASSIGNED</x:v>
      </x:c>
    </x:row>
    <x:row r="127" ht="25.5" customHeight="1">
      <x:c r="C127" s="26" t="str">
        <x:v>NS-C3-HC-C-RB1-X03</x:v>
      </x:c>
      <x:c r="D127" s="26" t="str">
        <x:v>C3-HC-C-RB1</x:v>
      </x:c>
      <x:c r="E127" s="26" t="str">
        <x:v>MS-HC</x:v>
      </x:c>
      <x:c r="F127" s="26" t="str">
        <x:v>C</x:v>
      </x:c>
      <x:c r="G127" s="26" t="str">
        <x:v>X03</x:v>
      </x:c>
      <x:c r="H127" s="26" t="str">
        <x:v>Primary energy conversion and safe-state chain</x:v>
      </x:c>
      <x:c r="I127" s="26" t="str">
        <x:v>ROOT_EXCLUSIVE</x:v>
      </x:c>
      <x:c r="J127" s="26" t="n">
        <x:f>'Controls'!$D$5</x:f>
        <x:v>1</x:v>
      </x:c>
      <x:c r="K127" s="38" t="str">
        <x:v>UNDECLARED</x:v>
      </x:c>
      <x:c r="L127" s="26" t="str">
        <x:f>IF(K127="UNDECLARED","n.a.",COUNTIFS($K$5:$K$292,K127))</x:f>
        <x:v>n.a.</x:v>
      </x:c>
      <x:c r="M127" s="26" t="str">
        <x:f>IF(K127="UNDECLARED","OPEN",IF(L127&lt;=J127,"PASS","FAIL"))</x:f>
        <x:v>OPEN</x:v>
      </x:c>
      <x:c r="N127" s="38" t="str">
        <x:v>UNASSIGNED</x:v>
      </x:c>
    </x:row>
    <x:row r="128" ht="25.5" customHeight="1">
      <x:c r="C128" s="26" t="str">
        <x:v>NS-C3-HC-C-RB1-X04</x:v>
      </x:c>
      <x:c r="D128" s="26" t="str">
        <x:v>C3-HC-C-RB1</x:v>
      </x:c>
      <x:c r="E128" s="26" t="str">
        <x:v>MS-HC</x:v>
      </x:c>
      <x:c r="F128" s="26" t="str">
        <x:v>C</x:v>
      </x:c>
      <x:c r="G128" s="26" t="str">
        <x:v>X04</x:v>
      </x:c>
      <x:c r="H128" s="26" t="str">
        <x:v>Structural and material process</x:v>
      </x:c>
      <x:c r="I128" s="26" t="str">
        <x:v>ROOT_EXCLUSIVE</x:v>
      </x:c>
      <x:c r="J128" s="26" t="n">
        <x:f>'Controls'!$D$5</x:f>
        <x:v>1</x:v>
      </x:c>
      <x:c r="K128" s="38" t="str">
        <x:v>UNDECLARED</x:v>
      </x:c>
      <x:c r="L128" s="26" t="str">
        <x:f>IF(K128="UNDECLARED","n.a.",COUNTIFS($K$5:$K$292,K128))</x:f>
        <x:v>n.a.</x:v>
      </x:c>
      <x:c r="M128" s="26" t="str">
        <x:f>IF(K128="UNDECLARED","OPEN",IF(L128&lt;=J128,"PASS","FAIL"))</x:f>
        <x:v>OPEN</x:v>
      </x:c>
      <x:c r="N128" s="38" t="str">
        <x:v>UNASSIGNED</x:v>
      </x:c>
    </x:row>
    <x:row r="129" ht="25.5" customHeight="1">
      <x:c r="C129" s="26" t="str">
        <x:v>NS-C3-HC-C-RB1-X05</x:v>
      </x:c>
      <x:c r="D129" s="26" t="str">
        <x:v>C3-HC-C-RB1</x:v>
      </x:c>
      <x:c r="E129" s="26" t="str">
        <x:v>MS-HC</x:v>
      </x:c>
      <x:c r="F129" s="26" t="str">
        <x:v>C</x:v>
      </x:c>
      <x:c r="G129" s="26" t="str">
        <x:v>X05</x:v>
      </x:c>
      <x:c r="H129" s="26" t="str">
        <x:v>Critical feedstock conversion</x:v>
      </x:c>
      <x:c r="I129" s="26" t="str">
        <x:v>ROOT_EXCLUSIVE</x:v>
      </x:c>
      <x:c r="J129" s="26" t="n">
        <x:f>'Controls'!$D$5</x:f>
        <x:v>1</x:v>
      </x:c>
      <x:c r="K129" s="38" t="str">
        <x:v>UNDECLARED</x:v>
      </x:c>
      <x:c r="L129" s="26" t="str">
        <x:f>IF(K129="UNDECLARED","n.a.",COUNTIFS($K$5:$K$292,K129))</x:f>
        <x:v>n.a.</x:v>
      </x:c>
      <x:c r="M129" s="26" t="str">
        <x:f>IF(K129="UNDECLARED","OPEN",IF(L129&lt;=J129,"PASS","FAIL"))</x:f>
        <x:v>OPEN</x:v>
      </x:c>
      <x:c r="N129" s="38" t="str">
        <x:v>UNASSIGNED</x:v>
      </x:c>
    </x:row>
    <x:row r="130" ht="25.5" customHeight="1">
      <x:c r="C130" s="26" t="str">
        <x:v>NS-C3-HC-C-RB1-X06</x:v>
      </x:c>
      <x:c r="D130" s="26" t="str">
        <x:v>C3-HC-C-RB1</x:v>
      </x:c>
      <x:c r="E130" s="26" t="str">
        <x:v>MS-HC</x:v>
      </x:c>
      <x:c r="F130" s="26" t="str">
        <x:v>C</x:v>
      </x:c>
      <x:c r="G130" s="26" t="str">
        <x:v>X06</x:v>
      </x:c>
      <x:c r="H130" s="26" t="str">
        <x:v>Control runtime, build system and signing keys</x:v>
      </x:c>
      <x:c r="I130" s="26" t="str">
        <x:v>ROOT_EXCLUSIVE</x:v>
      </x:c>
      <x:c r="J130" s="26" t="n">
        <x:f>'Controls'!$D$5</x:f>
        <x:v>1</x:v>
      </x:c>
      <x:c r="K130" s="38" t="str">
        <x:v>UNDECLARED</x:v>
      </x:c>
      <x:c r="L130" s="26" t="str">
        <x:f>IF(K130="UNDECLARED","n.a.",COUNTIFS($K$5:$K$292,K130))</x:f>
        <x:v>n.a.</x:v>
      </x:c>
      <x:c r="M130" s="26" t="str">
        <x:f>IF(K130="UNDECLARED","OPEN",IF(L130&lt;=J130,"PASS","FAIL"))</x:f>
        <x:v>OPEN</x:v>
      </x:c>
      <x:c r="N130" s="38" t="str">
        <x:v>UNASSIGNED</x:v>
      </x:c>
    </x:row>
    <x:row r="131" ht="25.5" customHeight="1">
      <x:c r="C131" s="26" t="str">
        <x:v>NS-C3-HC-C-RB1-X07</x:v>
      </x:c>
      <x:c r="D131" s="26" t="str">
        <x:v>C3-HC-C-RB1</x:v>
      </x:c>
      <x:c r="E131" s="26" t="str">
        <x:v>MS-HC</x:v>
      </x:c>
      <x:c r="F131" s="26" t="str">
        <x:v>C</x:v>
      </x:c>
      <x:c r="G131" s="26" t="str">
        <x:v>X07</x:v>
      </x:c>
      <x:c r="H131" s="26" t="str">
        <x:v>Communications and causal-time implementation</x:v>
      </x:c>
      <x:c r="I131" s="26" t="str">
        <x:v>ROOT_EXCLUSIVE</x:v>
      </x:c>
      <x:c r="J131" s="26" t="n">
        <x:f>'Controls'!$D$5</x:f>
        <x:v>1</x:v>
      </x:c>
      <x:c r="K131" s="38" t="str">
        <x:v>UNDECLARED</x:v>
      </x:c>
      <x:c r="L131" s="26" t="str">
        <x:f>IF(K131="UNDECLARED","n.a.",COUNTIFS($K$5:$K$292,K131))</x:f>
        <x:v>n.a.</x:v>
      </x:c>
      <x:c r="M131" s="26" t="str">
        <x:f>IF(K131="UNDECLARED","OPEN",IF(L131&lt;=J131,"PASS","FAIL"))</x:f>
        <x:v>OPEN</x:v>
      </x:c>
      <x:c r="N131" s="38" t="str">
        <x:v>UNASSIGNED</x:v>
      </x:c>
    </x:row>
    <x:row r="132" ht="25.5" customHeight="1">
      <x:c r="C132" s="26" t="str">
        <x:v>NS-C3-HC-C-RB1-X08</x:v>
      </x:c>
      <x:c r="D132" s="26" t="str">
        <x:v>C3-HC-C-RB1</x:v>
      </x:c>
      <x:c r="E132" s="26" t="str">
        <x:v>MS-HC</x:v>
      </x:c>
      <x:c r="F132" s="26" t="str">
        <x:v>C</x:v>
      </x:c>
      <x:c r="G132" s="26" t="str">
        <x:v>X08</x:v>
      </x:c>
      <x:c r="H132" s="26" t="str">
        <x:v>Sensing, calibration and uncertainty chain</x:v>
      </x:c>
      <x:c r="I132" s="26" t="str">
        <x:v>ROOT_EXCLUSIVE</x:v>
      </x:c>
      <x:c r="J132" s="26" t="n">
        <x:f>'Controls'!$D$5</x:f>
        <x:v>1</x:v>
      </x:c>
      <x:c r="K132" s="38" t="str">
        <x:v>UNDECLARED</x:v>
      </x:c>
      <x:c r="L132" s="26" t="str">
        <x:f>IF(K132="UNDECLARED","n.a.",COUNTIFS($K$5:$K$292,K132))</x:f>
        <x:v>n.a.</x:v>
      </x:c>
      <x:c r="M132" s="26" t="str">
        <x:f>IF(K132="UNDECLARED","OPEN",IF(L132&lt;=J132,"PASS","FAIL"))</x:f>
        <x:v>OPEN</x:v>
      </x:c>
      <x:c r="N132" s="38" t="str">
        <x:v>UNASSIGNED</x:v>
      </x:c>
    </x:row>
    <x:row r="133" ht="25.5" customHeight="1">
      <x:c r="C133" s="26" t="str">
        <x:v>NS-C3-HC-C-RB1-X09</x:v>
      </x:c>
      <x:c r="D133" s="26" t="str">
        <x:v>C3-HC-C-RB1</x:v>
      </x:c>
      <x:c r="E133" s="26" t="str">
        <x:v>MS-HC</x:v>
      </x:c>
      <x:c r="F133" s="26" t="str">
        <x:v>C</x:v>
      </x:c>
      <x:c r="G133" s="26" t="str">
        <x:v>X09</x:v>
      </x:c>
      <x:c r="H133" s="26" t="str">
        <x:v>Production tooling and pilot line</x:v>
      </x:c>
      <x:c r="I133" s="26" t="str">
        <x:v>ROOT_EXCLUSIVE</x:v>
      </x:c>
      <x:c r="J133" s="26" t="n">
        <x:f>'Controls'!$D$5</x:f>
        <x:v>1</x:v>
      </x:c>
      <x:c r="K133" s="38" t="str">
        <x:v>UNDECLARED</x:v>
      </x:c>
      <x:c r="L133" s="26" t="str">
        <x:f>IF(K133="UNDECLARED","n.a.",COUNTIFS($K$5:$K$292,K133))</x:f>
        <x:v>n.a.</x:v>
      </x:c>
      <x:c r="M133" s="26" t="str">
        <x:f>IF(K133="UNDECLARED","OPEN",IF(L133&lt;=J133,"PASS","FAIL"))</x:f>
        <x:v>OPEN</x:v>
      </x:c>
      <x:c r="N133" s="38" t="str">
        <x:v>UNASSIGNED</x:v>
      </x:c>
    </x:row>
    <x:row r="134" ht="25.5" customHeight="1">
      <x:c r="C134" s="26" t="str">
        <x:v>NS-C3-HC-C-RB1-X10</x:v>
      </x:c>
      <x:c r="D134" s="26" t="str">
        <x:v>C3-HC-C-RB1</x:v>
      </x:c>
      <x:c r="E134" s="26" t="str">
        <x:v>MS-HC</x:v>
      </x:c>
      <x:c r="F134" s="26" t="str">
        <x:v>C</x:v>
      </x:c>
      <x:c r="G134" s="26" t="str">
        <x:v>X10</x:v>
      </x:c>
      <x:c r="H134" s="26" t="str">
        <x:v>Final assembly site and critical workforce</x:v>
      </x:c>
      <x:c r="I134" s="26" t="str">
        <x:v>ROOT_EXCLUSIVE</x:v>
      </x:c>
      <x:c r="J134" s="26" t="n">
        <x:f>'Controls'!$D$5</x:f>
        <x:v>1</x:v>
      </x:c>
      <x:c r="K134" s="38" t="str">
        <x:v>UNDECLARED</x:v>
      </x:c>
      <x:c r="L134" s="26" t="str">
        <x:f>IF(K134="UNDECLARED","n.a.",COUNTIFS($K$5:$K$292,K134))</x:f>
        <x:v>n.a.</x:v>
      </x:c>
      <x:c r="M134" s="26" t="str">
        <x:f>IF(K134="UNDECLARED","OPEN",IF(L134&lt;=J134,"PASS","FAIL"))</x:f>
        <x:v>OPEN</x:v>
      </x:c>
      <x:c r="N134" s="38" t="str">
        <x:v>UNASSIGNED</x:v>
      </x:c>
    </x:row>
    <x:row r="135" ht="25.5" customHeight="1">
      <x:c r="C135" s="26" t="str">
        <x:v>NS-C3-HC-C-RB1-X11</x:v>
      </x:c>
      <x:c r="D135" s="26" t="str">
        <x:v>C3-HC-C-RB1</x:v>
      </x:c>
      <x:c r="E135" s="26" t="str">
        <x:v>MS-HC</x:v>
      </x:c>
      <x:c r="F135" s="26" t="str">
        <x:v>C</x:v>
      </x:c>
      <x:c r="G135" s="26" t="str">
        <x:v>X11</x:v>
      </x:c>
      <x:c r="H135" s="26" t="str">
        <x:v>Repair, reset and second-team reproduction</x:v>
      </x:c>
      <x:c r="I135" s="26" t="str">
        <x:v>ROOT_EXCLUSIVE</x:v>
      </x:c>
      <x:c r="J135" s="26" t="n">
        <x:f>'Controls'!$D$5</x:f>
        <x:v>1</x:v>
      </x:c>
      <x:c r="K135" s="38" t="str">
        <x:v>UNDECLARED</x:v>
      </x:c>
      <x:c r="L135" s="26" t="str">
        <x:f>IF(K135="UNDECLARED","n.a.",COUNTIFS($K$5:$K$292,K135))</x:f>
        <x:v>n.a.</x:v>
      </x:c>
      <x:c r="M135" s="26" t="str">
        <x:f>IF(K135="UNDECLARED","OPEN",IF(L135&lt;=J135,"PASS","FAIL"))</x:f>
        <x:v>OPEN</x:v>
      </x:c>
      <x:c r="N135" s="38" t="str">
        <x:v>UNASSIGNED</x:v>
      </x:c>
    </x:row>
    <x:row r="136" ht="25.5" customHeight="1">
      <x:c r="C136" s="26" t="str">
        <x:v>NS-C3-HC-C-RB1-X12</x:v>
      </x:c>
      <x:c r="D136" s="26" t="str">
        <x:v>C3-HC-C-RB1</x:v>
      </x:c>
      <x:c r="E136" s="26" t="str">
        <x:v>MS-HC</x:v>
      </x:c>
      <x:c r="F136" s="26" t="str">
        <x:v>C</x:v>
      </x:c>
      <x:c r="G136" s="26" t="str">
        <x:v>X12</x:v>
      </x:c>
      <x:c r="H136" s="26" t="str">
        <x:v>Evidence capture, custody and outside replay</x:v>
      </x:c>
      <x:c r="I136" s="26" t="str">
        <x:v>ROOT_EXCLUSIVE</x:v>
      </x:c>
      <x:c r="J136" s="26" t="n">
        <x:f>'Controls'!$D$5</x:f>
        <x:v>1</x:v>
      </x:c>
      <x:c r="K136" s="38" t="str">
        <x:v>UNDECLARED</x:v>
      </x:c>
      <x:c r="L136" s="26" t="str">
        <x:f>IF(K136="UNDECLARED","n.a.",COUNTIFS($K$5:$K$292,K136))</x:f>
        <x:v>n.a.</x:v>
      </x:c>
      <x:c r="M136" s="26" t="str">
        <x:f>IF(K136="UNDECLARED","OPEN",IF(L136&lt;=J136,"PASS","FAIL"))</x:f>
        <x:v>OPEN</x:v>
      </x:c>
      <x:c r="N136" s="38" t="str">
        <x:v>UNASSIGNED</x:v>
      </x:c>
    </x:row>
    <x:row r="137" ht="25.5" customHeight="1">
      <x:c r="C137" s="26" t="str">
        <x:v>NS-C3-HC-D-RB1-X01</x:v>
      </x:c>
      <x:c r="D137" s="26" t="str">
        <x:v>C3-HC-D-RB1</x:v>
      </x:c>
      <x:c r="E137" s="26" t="str">
        <x:v>MS-HC</x:v>
      </x:c>
      <x:c r="F137" s="26" t="str">
        <x:v>D</x:v>
      </x:c>
      <x:c r="G137" s="26" t="str">
        <x:v>X01</x:v>
      </x:c>
      <x:c r="H137" s="26" t="str">
        <x:v>Root integrator and beneficial control</x:v>
      </x:c>
      <x:c r="I137" s="26" t="str">
        <x:v>ROOT_EXCLUSIVE</x:v>
      </x:c>
      <x:c r="J137" s="26" t="n">
        <x:f>'Controls'!$D$5</x:f>
        <x:v>1</x:v>
      </x:c>
      <x:c r="K137" s="38" t="str">
        <x:v>UNDECLARED</x:v>
      </x:c>
      <x:c r="L137" s="26" t="str">
        <x:f>IF(K137="UNDECLARED","n.a.",COUNTIFS($K$5:$K$292,K137))</x:f>
        <x:v>n.a.</x:v>
      </x:c>
      <x:c r="M137" s="26" t="str">
        <x:f>IF(K137="UNDECLARED","OPEN",IF(L137&lt;=J137,"PASS","FAIL"))</x:f>
        <x:v>OPEN</x:v>
      </x:c>
      <x:c r="N137" s="38" t="str">
        <x:v>UNASSIGNED</x:v>
      </x:c>
    </x:row>
    <x:row r="138" ht="25.5" customHeight="1">
      <x:c r="C138" s="26" t="str">
        <x:v>NS-C3-HC-D-RB1-X02</x:v>
      </x:c>
      <x:c r="D138" s="26" t="str">
        <x:v>C3-HC-D-RB1</x:v>
      </x:c>
      <x:c r="E138" s="26" t="str">
        <x:v>MS-HC</x:v>
      </x:c>
      <x:c r="F138" s="26" t="str">
        <x:v>D</x:v>
      </x:c>
      <x:c r="G138" s="26" t="str">
        <x:v>X02</x:v>
      </x:c>
      <x:c r="H138" s="26" t="str">
        <x:v>Prime work physics and mechanism authority</x:v>
      </x:c>
      <x:c r="I138" s="26" t="str">
        <x:v>ROOT_EXCLUSIVE</x:v>
      </x:c>
      <x:c r="J138" s="26" t="n">
        <x:f>'Controls'!$D$5</x:f>
        <x:v>1</x:v>
      </x:c>
      <x:c r="K138" s="38" t="str">
        <x:v>UNDECLARED</x:v>
      </x:c>
      <x:c r="L138" s="26" t="str">
        <x:f>IF(K138="UNDECLARED","n.a.",COUNTIFS($K$5:$K$292,K138))</x:f>
        <x:v>n.a.</x:v>
      </x:c>
      <x:c r="M138" s="26" t="str">
        <x:f>IF(K138="UNDECLARED","OPEN",IF(L138&lt;=J138,"PASS","FAIL"))</x:f>
        <x:v>OPEN</x:v>
      </x:c>
      <x:c r="N138" s="38" t="str">
        <x:v>UNASSIGNED</x:v>
      </x:c>
    </x:row>
    <x:row r="139" ht="25.5" customHeight="1">
      <x:c r="C139" s="26" t="str">
        <x:v>NS-C3-HC-D-RB1-X03</x:v>
      </x:c>
      <x:c r="D139" s="26" t="str">
        <x:v>C3-HC-D-RB1</x:v>
      </x:c>
      <x:c r="E139" s="26" t="str">
        <x:v>MS-HC</x:v>
      </x:c>
      <x:c r="F139" s="26" t="str">
        <x:v>D</x:v>
      </x:c>
      <x:c r="G139" s="26" t="str">
        <x:v>X03</x:v>
      </x:c>
      <x:c r="H139" s="26" t="str">
        <x:v>Primary energy conversion and safe-state chain</x:v>
      </x:c>
      <x:c r="I139" s="26" t="str">
        <x:v>ROOT_EXCLUSIVE</x:v>
      </x:c>
      <x:c r="J139" s="26" t="n">
        <x:f>'Controls'!$D$5</x:f>
        <x:v>1</x:v>
      </x:c>
      <x:c r="K139" s="38" t="str">
        <x:v>UNDECLARED</x:v>
      </x:c>
      <x:c r="L139" s="26" t="str">
        <x:f>IF(K139="UNDECLARED","n.a.",COUNTIFS($K$5:$K$292,K139))</x:f>
        <x:v>n.a.</x:v>
      </x:c>
      <x:c r="M139" s="26" t="str">
        <x:f>IF(K139="UNDECLARED","OPEN",IF(L139&lt;=J139,"PASS","FAIL"))</x:f>
        <x:v>OPEN</x:v>
      </x:c>
      <x:c r="N139" s="38" t="str">
        <x:v>UNASSIGNED</x:v>
      </x:c>
    </x:row>
    <x:row r="140" ht="25.5" customHeight="1">
      <x:c r="C140" s="26" t="str">
        <x:v>NS-C3-HC-D-RB1-X04</x:v>
      </x:c>
      <x:c r="D140" s="26" t="str">
        <x:v>C3-HC-D-RB1</x:v>
      </x:c>
      <x:c r="E140" s="26" t="str">
        <x:v>MS-HC</x:v>
      </x:c>
      <x:c r="F140" s="26" t="str">
        <x:v>D</x:v>
      </x:c>
      <x:c r="G140" s="26" t="str">
        <x:v>X04</x:v>
      </x:c>
      <x:c r="H140" s="26" t="str">
        <x:v>Structural and material process</x:v>
      </x:c>
      <x:c r="I140" s="26" t="str">
        <x:v>ROOT_EXCLUSIVE</x:v>
      </x:c>
      <x:c r="J140" s="26" t="n">
        <x:f>'Controls'!$D$5</x:f>
        <x:v>1</x:v>
      </x:c>
      <x:c r="K140" s="38" t="str">
        <x:v>UNDECLARED</x:v>
      </x:c>
      <x:c r="L140" s="26" t="str">
        <x:f>IF(K140="UNDECLARED","n.a.",COUNTIFS($K$5:$K$292,K140))</x:f>
        <x:v>n.a.</x:v>
      </x:c>
      <x:c r="M140" s="26" t="str">
        <x:f>IF(K140="UNDECLARED","OPEN",IF(L140&lt;=J140,"PASS","FAIL"))</x:f>
        <x:v>OPEN</x:v>
      </x:c>
      <x:c r="N140" s="38" t="str">
        <x:v>UNASSIGNED</x:v>
      </x:c>
    </x:row>
    <x:row r="141" ht="25.5" customHeight="1">
      <x:c r="C141" s="26" t="str">
        <x:v>NS-C3-HC-D-RB1-X05</x:v>
      </x:c>
      <x:c r="D141" s="26" t="str">
        <x:v>C3-HC-D-RB1</x:v>
      </x:c>
      <x:c r="E141" s="26" t="str">
        <x:v>MS-HC</x:v>
      </x:c>
      <x:c r="F141" s="26" t="str">
        <x:v>D</x:v>
      </x:c>
      <x:c r="G141" s="26" t="str">
        <x:v>X05</x:v>
      </x:c>
      <x:c r="H141" s="26" t="str">
        <x:v>Critical feedstock conversion</x:v>
      </x:c>
      <x:c r="I141" s="26" t="str">
        <x:v>ROOT_EXCLUSIVE</x:v>
      </x:c>
      <x:c r="J141" s="26" t="n">
        <x:f>'Controls'!$D$5</x:f>
        <x:v>1</x:v>
      </x:c>
      <x:c r="K141" s="38" t="str">
        <x:v>UNDECLARED</x:v>
      </x:c>
      <x:c r="L141" s="26" t="str">
        <x:f>IF(K141="UNDECLARED","n.a.",COUNTIFS($K$5:$K$292,K141))</x:f>
        <x:v>n.a.</x:v>
      </x:c>
      <x:c r="M141" s="26" t="str">
        <x:f>IF(K141="UNDECLARED","OPEN",IF(L141&lt;=J141,"PASS","FAIL"))</x:f>
        <x:v>OPEN</x:v>
      </x:c>
      <x:c r="N141" s="38" t="str">
        <x:v>UNASSIGNED</x:v>
      </x:c>
    </x:row>
    <x:row r="142" ht="25.5" customHeight="1">
      <x:c r="C142" s="26" t="str">
        <x:v>NS-C3-HC-D-RB1-X06</x:v>
      </x:c>
      <x:c r="D142" s="26" t="str">
        <x:v>C3-HC-D-RB1</x:v>
      </x:c>
      <x:c r="E142" s="26" t="str">
        <x:v>MS-HC</x:v>
      </x:c>
      <x:c r="F142" s="26" t="str">
        <x:v>D</x:v>
      </x:c>
      <x:c r="G142" s="26" t="str">
        <x:v>X06</x:v>
      </x:c>
      <x:c r="H142" s="26" t="str">
        <x:v>Control runtime, build system and signing keys</x:v>
      </x:c>
      <x:c r="I142" s="26" t="str">
        <x:v>ROOT_EXCLUSIVE</x:v>
      </x:c>
      <x:c r="J142" s="26" t="n">
        <x:f>'Controls'!$D$5</x:f>
        <x:v>1</x:v>
      </x:c>
      <x:c r="K142" s="38" t="str">
        <x:v>UNDECLARED</x:v>
      </x:c>
      <x:c r="L142" s="26" t="str">
        <x:f>IF(K142="UNDECLARED","n.a.",COUNTIFS($K$5:$K$292,K142))</x:f>
        <x:v>n.a.</x:v>
      </x:c>
      <x:c r="M142" s="26" t="str">
        <x:f>IF(K142="UNDECLARED","OPEN",IF(L142&lt;=J142,"PASS","FAIL"))</x:f>
        <x:v>OPEN</x:v>
      </x:c>
      <x:c r="N142" s="38" t="str">
        <x:v>UNASSIGNED</x:v>
      </x:c>
    </x:row>
    <x:row r="143" ht="25.5" customHeight="1">
      <x:c r="C143" s="26" t="str">
        <x:v>NS-C3-HC-D-RB1-X07</x:v>
      </x:c>
      <x:c r="D143" s="26" t="str">
        <x:v>C3-HC-D-RB1</x:v>
      </x:c>
      <x:c r="E143" s="26" t="str">
        <x:v>MS-HC</x:v>
      </x:c>
      <x:c r="F143" s="26" t="str">
        <x:v>D</x:v>
      </x:c>
      <x:c r="G143" s="26" t="str">
        <x:v>X07</x:v>
      </x:c>
      <x:c r="H143" s="26" t="str">
        <x:v>Communications and causal-time implementation</x:v>
      </x:c>
      <x:c r="I143" s="26" t="str">
        <x:v>ROOT_EXCLUSIVE</x:v>
      </x:c>
      <x:c r="J143" s="26" t="n">
        <x:f>'Controls'!$D$5</x:f>
        <x:v>1</x:v>
      </x:c>
      <x:c r="K143" s="38" t="str">
        <x:v>UNDECLARED</x:v>
      </x:c>
      <x:c r="L143" s="26" t="str">
        <x:f>IF(K143="UNDECLARED","n.a.",COUNTIFS($K$5:$K$292,K143))</x:f>
        <x:v>n.a.</x:v>
      </x:c>
      <x:c r="M143" s="26" t="str">
        <x:f>IF(K143="UNDECLARED","OPEN",IF(L143&lt;=J143,"PASS","FAIL"))</x:f>
        <x:v>OPEN</x:v>
      </x:c>
      <x:c r="N143" s="38" t="str">
        <x:v>UNASSIGNED</x:v>
      </x:c>
    </x:row>
    <x:row r="144" ht="25.5" customHeight="1">
      <x:c r="C144" s="26" t="str">
        <x:v>NS-C3-HC-D-RB1-X08</x:v>
      </x:c>
      <x:c r="D144" s="26" t="str">
        <x:v>C3-HC-D-RB1</x:v>
      </x:c>
      <x:c r="E144" s="26" t="str">
        <x:v>MS-HC</x:v>
      </x:c>
      <x:c r="F144" s="26" t="str">
        <x:v>D</x:v>
      </x:c>
      <x:c r="G144" s="26" t="str">
        <x:v>X08</x:v>
      </x:c>
      <x:c r="H144" s="26" t="str">
        <x:v>Sensing, calibration and uncertainty chain</x:v>
      </x:c>
      <x:c r="I144" s="26" t="str">
        <x:v>ROOT_EXCLUSIVE</x:v>
      </x:c>
      <x:c r="J144" s="26" t="n">
        <x:f>'Controls'!$D$5</x:f>
        <x:v>1</x:v>
      </x:c>
      <x:c r="K144" s="38" t="str">
        <x:v>UNDECLARED</x:v>
      </x:c>
      <x:c r="L144" s="26" t="str">
        <x:f>IF(K144="UNDECLARED","n.a.",COUNTIFS($K$5:$K$292,K144))</x:f>
        <x:v>n.a.</x:v>
      </x:c>
      <x:c r="M144" s="26" t="str">
        <x:f>IF(K144="UNDECLARED","OPEN",IF(L144&lt;=J144,"PASS","FAIL"))</x:f>
        <x:v>OPEN</x:v>
      </x:c>
      <x:c r="N144" s="38" t="str">
        <x:v>UNASSIGNED</x:v>
      </x:c>
    </x:row>
    <x:row r="145" ht="25.5" customHeight="1">
      <x:c r="C145" s="26" t="str">
        <x:v>NS-C3-HC-D-RB1-X09</x:v>
      </x:c>
      <x:c r="D145" s="26" t="str">
        <x:v>C3-HC-D-RB1</x:v>
      </x:c>
      <x:c r="E145" s="26" t="str">
        <x:v>MS-HC</x:v>
      </x:c>
      <x:c r="F145" s="26" t="str">
        <x:v>D</x:v>
      </x:c>
      <x:c r="G145" s="26" t="str">
        <x:v>X09</x:v>
      </x:c>
      <x:c r="H145" s="26" t="str">
        <x:v>Production tooling and pilot line</x:v>
      </x:c>
      <x:c r="I145" s="26" t="str">
        <x:v>ROOT_EXCLUSIVE</x:v>
      </x:c>
      <x:c r="J145" s="26" t="n">
        <x:f>'Controls'!$D$5</x:f>
        <x:v>1</x:v>
      </x:c>
      <x:c r="K145" s="38" t="str">
        <x:v>UNDECLARED</x:v>
      </x:c>
      <x:c r="L145" s="26" t="str">
        <x:f>IF(K145="UNDECLARED","n.a.",COUNTIFS($K$5:$K$292,K145))</x:f>
        <x:v>n.a.</x:v>
      </x:c>
      <x:c r="M145" s="26" t="str">
        <x:f>IF(K145="UNDECLARED","OPEN",IF(L145&lt;=J145,"PASS","FAIL"))</x:f>
        <x:v>OPEN</x:v>
      </x:c>
      <x:c r="N145" s="38" t="str">
        <x:v>UNASSIGNED</x:v>
      </x:c>
    </x:row>
    <x:row r="146" ht="25.5" customHeight="1">
      <x:c r="C146" s="26" t="str">
        <x:v>NS-C3-HC-D-RB1-X10</x:v>
      </x:c>
      <x:c r="D146" s="26" t="str">
        <x:v>C3-HC-D-RB1</x:v>
      </x:c>
      <x:c r="E146" s="26" t="str">
        <x:v>MS-HC</x:v>
      </x:c>
      <x:c r="F146" s="26" t="str">
        <x:v>D</x:v>
      </x:c>
      <x:c r="G146" s="26" t="str">
        <x:v>X10</x:v>
      </x:c>
      <x:c r="H146" s="26" t="str">
        <x:v>Final assembly site and critical workforce</x:v>
      </x:c>
      <x:c r="I146" s="26" t="str">
        <x:v>ROOT_EXCLUSIVE</x:v>
      </x:c>
      <x:c r="J146" s="26" t="n">
        <x:f>'Controls'!$D$5</x:f>
        <x:v>1</x:v>
      </x:c>
      <x:c r="K146" s="38" t="str">
        <x:v>UNDECLARED</x:v>
      </x:c>
      <x:c r="L146" s="26" t="str">
        <x:f>IF(K146="UNDECLARED","n.a.",COUNTIFS($K$5:$K$292,K146))</x:f>
        <x:v>n.a.</x:v>
      </x:c>
      <x:c r="M146" s="26" t="str">
        <x:f>IF(K146="UNDECLARED","OPEN",IF(L146&lt;=J146,"PASS","FAIL"))</x:f>
        <x:v>OPEN</x:v>
      </x:c>
      <x:c r="N146" s="38" t="str">
        <x:v>UNASSIGNED</x:v>
      </x:c>
    </x:row>
    <x:row r="147" ht="25.5" customHeight="1">
      <x:c r="C147" s="26" t="str">
        <x:v>NS-C3-HC-D-RB1-X11</x:v>
      </x:c>
      <x:c r="D147" s="26" t="str">
        <x:v>C3-HC-D-RB1</x:v>
      </x:c>
      <x:c r="E147" s="26" t="str">
        <x:v>MS-HC</x:v>
      </x:c>
      <x:c r="F147" s="26" t="str">
        <x:v>D</x:v>
      </x:c>
      <x:c r="G147" s="26" t="str">
        <x:v>X11</x:v>
      </x:c>
      <x:c r="H147" s="26" t="str">
        <x:v>Repair, reset and second-team reproduction</x:v>
      </x:c>
      <x:c r="I147" s="26" t="str">
        <x:v>ROOT_EXCLUSIVE</x:v>
      </x:c>
      <x:c r="J147" s="26" t="n">
        <x:f>'Controls'!$D$5</x:f>
        <x:v>1</x:v>
      </x:c>
      <x:c r="K147" s="38" t="str">
        <x:v>UNDECLARED</x:v>
      </x:c>
      <x:c r="L147" s="26" t="str">
        <x:f>IF(K147="UNDECLARED","n.a.",COUNTIFS($K$5:$K$292,K147))</x:f>
        <x:v>n.a.</x:v>
      </x:c>
      <x:c r="M147" s="26" t="str">
        <x:f>IF(K147="UNDECLARED","OPEN",IF(L147&lt;=J147,"PASS","FAIL"))</x:f>
        <x:v>OPEN</x:v>
      </x:c>
      <x:c r="N147" s="38" t="str">
        <x:v>UNASSIGNED</x:v>
      </x:c>
    </x:row>
    <x:row r="148" ht="25.5" customHeight="1">
      <x:c r="C148" s="26" t="str">
        <x:v>NS-C3-HC-D-RB1-X12</x:v>
      </x:c>
      <x:c r="D148" s="26" t="str">
        <x:v>C3-HC-D-RB1</x:v>
      </x:c>
      <x:c r="E148" s="26" t="str">
        <x:v>MS-HC</x:v>
      </x:c>
      <x:c r="F148" s="26" t="str">
        <x:v>D</x:v>
      </x:c>
      <x:c r="G148" s="26" t="str">
        <x:v>X12</x:v>
      </x:c>
      <x:c r="H148" s="26" t="str">
        <x:v>Evidence capture, custody and outside replay</x:v>
      </x:c>
      <x:c r="I148" s="26" t="str">
        <x:v>ROOT_EXCLUSIVE</x:v>
      </x:c>
      <x:c r="J148" s="26" t="n">
        <x:f>'Controls'!$D$5</x:f>
        <x:v>1</x:v>
      </x:c>
      <x:c r="K148" s="38" t="str">
        <x:v>UNDECLARED</x:v>
      </x:c>
      <x:c r="L148" s="26" t="str">
        <x:f>IF(K148="UNDECLARED","n.a.",COUNTIFS($K$5:$K$292,K148))</x:f>
        <x:v>n.a.</x:v>
      </x:c>
      <x:c r="M148" s="26" t="str">
        <x:f>IF(K148="UNDECLARED","OPEN",IF(L148&lt;=J148,"PASS","FAIL"))</x:f>
        <x:v>OPEN</x:v>
      </x:c>
      <x:c r="N148" s="38" t="str">
        <x:v>UNASSIGNED</x:v>
      </x:c>
    </x:row>
    <x:row r="149" ht="25.5" customHeight="1">
      <x:c r="C149" s="26" t="str">
        <x:v>NS-C3-LF-A-RB1-X01</x:v>
      </x:c>
      <x:c r="D149" s="26" t="str">
        <x:v>C3-LF-A-RB1</x:v>
      </x:c>
      <x:c r="E149" s="26" t="str">
        <x:v>MS-LF</x:v>
      </x:c>
      <x:c r="F149" s="26" t="str">
        <x:v>A</x:v>
      </x:c>
      <x:c r="G149" s="26" t="str">
        <x:v>X01</x:v>
      </x:c>
      <x:c r="H149" s="26" t="str">
        <x:v>Root integrator and beneficial control</x:v>
      </x:c>
      <x:c r="I149" s="26" t="str">
        <x:v>ROOT_EXCLUSIVE</x:v>
      </x:c>
      <x:c r="J149" s="26" t="n">
        <x:f>'Controls'!$D$5</x:f>
        <x:v>1</x:v>
      </x:c>
      <x:c r="K149" s="38" t="str">
        <x:v>UNDECLARED</x:v>
      </x:c>
      <x:c r="L149" s="26" t="str">
        <x:f>IF(K149="UNDECLARED","n.a.",COUNTIFS($K$5:$K$292,K149))</x:f>
        <x:v>n.a.</x:v>
      </x:c>
      <x:c r="M149" s="26" t="str">
        <x:f>IF(K149="UNDECLARED","OPEN",IF(L149&lt;=J149,"PASS","FAIL"))</x:f>
        <x:v>OPEN</x:v>
      </x:c>
      <x:c r="N149" s="38" t="str">
        <x:v>UNASSIGNED</x:v>
      </x:c>
    </x:row>
    <x:row r="150" ht="25.5" customHeight="1">
      <x:c r="C150" s="26" t="str">
        <x:v>NS-C3-LF-A-RB1-X02</x:v>
      </x:c>
      <x:c r="D150" s="26" t="str">
        <x:v>C3-LF-A-RB1</x:v>
      </x:c>
      <x:c r="E150" s="26" t="str">
        <x:v>MS-LF</x:v>
      </x:c>
      <x:c r="F150" s="26" t="str">
        <x:v>A</x:v>
      </x:c>
      <x:c r="G150" s="26" t="str">
        <x:v>X02</x:v>
      </x:c>
      <x:c r="H150" s="26" t="str">
        <x:v>Prime work physics and mechanism authority</x:v>
      </x:c>
      <x:c r="I150" s="26" t="str">
        <x:v>ROOT_EXCLUSIVE</x:v>
      </x:c>
      <x:c r="J150" s="26" t="n">
        <x:f>'Controls'!$D$5</x:f>
        <x:v>1</x:v>
      </x:c>
      <x:c r="K150" s="38" t="str">
        <x:v>UNDECLARED</x:v>
      </x:c>
      <x:c r="L150" s="26" t="str">
        <x:f>IF(K150="UNDECLARED","n.a.",COUNTIFS($K$5:$K$292,K150))</x:f>
        <x:v>n.a.</x:v>
      </x:c>
      <x:c r="M150" s="26" t="str">
        <x:f>IF(K150="UNDECLARED","OPEN",IF(L150&lt;=J150,"PASS","FAIL"))</x:f>
        <x:v>OPEN</x:v>
      </x:c>
      <x:c r="N150" s="38" t="str">
        <x:v>UNASSIGNED</x:v>
      </x:c>
    </x:row>
    <x:row r="151" ht="25.5" customHeight="1">
      <x:c r="C151" s="26" t="str">
        <x:v>NS-C3-LF-A-RB1-X03</x:v>
      </x:c>
      <x:c r="D151" s="26" t="str">
        <x:v>C3-LF-A-RB1</x:v>
      </x:c>
      <x:c r="E151" s="26" t="str">
        <x:v>MS-LF</x:v>
      </x:c>
      <x:c r="F151" s="26" t="str">
        <x:v>A</x:v>
      </x:c>
      <x:c r="G151" s="26" t="str">
        <x:v>X03</x:v>
      </x:c>
      <x:c r="H151" s="26" t="str">
        <x:v>Primary energy conversion and safe-state chain</x:v>
      </x:c>
      <x:c r="I151" s="26" t="str">
        <x:v>ROOT_EXCLUSIVE</x:v>
      </x:c>
      <x:c r="J151" s="26" t="n">
        <x:f>'Controls'!$D$5</x:f>
        <x:v>1</x:v>
      </x:c>
      <x:c r="K151" s="38" t="str">
        <x:v>UNDECLARED</x:v>
      </x:c>
      <x:c r="L151" s="26" t="str">
        <x:f>IF(K151="UNDECLARED","n.a.",COUNTIFS($K$5:$K$292,K151))</x:f>
        <x:v>n.a.</x:v>
      </x:c>
      <x:c r="M151" s="26" t="str">
        <x:f>IF(K151="UNDECLARED","OPEN",IF(L151&lt;=J151,"PASS","FAIL"))</x:f>
        <x:v>OPEN</x:v>
      </x:c>
      <x:c r="N151" s="38" t="str">
        <x:v>UNASSIGNED</x:v>
      </x:c>
    </x:row>
    <x:row r="152" ht="25.5" customHeight="1">
      <x:c r="C152" s="26" t="str">
        <x:v>NS-C3-LF-A-RB1-X04</x:v>
      </x:c>
      <x:c r="D152" s="26" t="str">
        <x:v>C3-LF-A-RB1</x:v>
      </x:c>
      <x:c r="E152" s="26" t="str">
        <x:v>MS-LF</x:v>
      </x:c>
      <x:c r="F152" s="26" t="str">
        <x:v>A</x:v>
      </x:c>
      <x:c r="G152" s="26" t="str">
        <x:v>X04</x:v>
      </x:c>
      <x:c r="H152" s="26" t="str">
        <x:v>Structural and material process</x:v>
      </x:c>
      <x:c r="I152" s="26" t="str">
        <x:v>ROOT_EXCLUSIVE</x:v>
      </x:c>
      <x:c r="J152" s="26" t="n">
        <x:f>'Controls'!$D$5</x:f>
        <x:v>1</x:v>
      </x:c>
      <x:c r="K152" s="38" t="str">
        <x:v>UNDECLARED</x:v>
      </x:c>
      <x:c r="L152" s="26" t="str">
        <x:f>IF(K152="UNDECLARED","n.a.",COUNTIFS($K$5:$K$292,K152))</x:f>
        <x:v>n.a.</x:v>
      </x:c>
      <x:c r="M152" s="26" t="str">
        <x:f>IF(K152="UNDECLARED","OPEN",IF(L152&lt;=J152,"PASS","FAIL"))</x:f>
        <x:v>OPEN</x:v>
      </x:c>
      <x:c r="N152" s="38" t="str">
        <x:v>UNASSIGNED</x:v>
      </x:c>
    </x:row>
    <x:row r="153" ht="25.5" customHeight="1">
      <x:c r="C153" s="26" t="str">
        <x:v>NS-C3-LF-A-RB1-X05</x:v>
      </x:c>
      <x:c r="D153" s="26" t="str">
        <x:v>C3-LF-A-RB1</x:v>
      </x:c>
      <x:c r="E153" s="26" t="str">
        <x:v>MS-LF</x:v>
      </x:c>
      <x:c r="F153" s="26" t="str">
        <x:v>A</x:v>
      </x:c>
      <x:c r="G153" s="26" t="str">
        <x:v>X05</x:v>
      </x:c>
      <x:c r="H153" s="26" t="str">
        <x:v>Critical feedstock conversion</x:v>
      </x:c>
      <x:c r="I153" s="26" t="str">
        <x:v>ROOT_EXCLUSIVE</x:v>
      </x:c>
      <x:c r="J153" s="26" t="n">
        <x:f>'Controls'!$D$5</x:f>
        <x:v>1</x:v>
      </x:c>
      <x:c r="K153" s="38" t="str">
        <x:v>UNDECLARED</x:v>
      </x:c>
      <x:c r="L153" s="26" t="str">
        <x:f>IF(K153="UNDECLARED","n.a.",COUNTIFS($K$5:$K$292,K153))</x:f>
        <x:v>n.a.</x:v>
      </x:c>
      <x:c r="M153" s="26" t="str">
        <x:f>IF(K153="UNDECLARED","OPEN",IF(L153&lt;=J153,"PASS","FAIL"))</x:f>
        <x:v>OPEN</x:v>
      </x:c>
      <x:c r="N153" s="38" t="str">
        <x:v>UNASSIGNED</x:v>
      </x:c>
    </x:row>
    <x:row r="154" ht="25.5" customHeight="1">
      <x:c r="C154" s="26" t="str">
        <x:v>NS-C3-LF-A-RB1-X06</x:v>
      </x:c>
      <x:c r="D154" s="26" t="str">
        <x:v>C3-LF-A-RB1</x:v>
      </x:c>
      <x:c r="E154" s="26" t="str">
        <x:v>MS-LF</x:v>
      </x:c>
      <x:c r="F154" s="26" t="str">
        <x:v>A</x:v>
      </x:c>
      <x:c r="G154" s="26" t="str">
        <x:v>X06</x:v>
      </x:c>
      <x:c r="H154" s="26" t="str">
        <x:v>Control runtime, build system and signing keys</x:v>
      </x:c>
      <x:c r="I154" s="26" t="str">
        <x:v>ROOT_EXCLUSIVE</x:v>
      </x:c>
      <x:c r="J154" s="26" t="n">
        <x:f>'Controls'!$D$5</x:f>
        <x:v>1</x:v>
      </x:c>
      <x:c r="K154" s="38" t="str">
        <x:v>UNDECLARED</x:v>
      </x:c>
      <x:c r="L154" s="26" t="str">
        <x:f>IF(K154="UNDECLARED","n.a.",COUNTIFS($K$5:$K$292,K154))</x:f>
        <x:v>n.a.</x:v>
      </x:c>
      <x:c r="M154" s="26" t="str">
        <x:f>IF(K154="UNDECLARED","OPEN",IF(L154&lt;=J154,"PASS","FAIL"))</x:f>
        <x:v>OPEN</x:v>
      </x:c>
      <x:c r="N154" s="38" t="str">
        <x:v>UNASSIGNED</x:v>
      </x:c>
    </x:row>
    <x:row r="155" ht="25.5" customHeight="1">
      <x:c r="C155" s="26" t="str">
        <x:v>NS-C3-LF-A-RB1-X07</x:v>
      </x:c>
      <x:c r="D155" s="26" t="str">
        <x:v>C3-LF-A-RB1</x:v>
      </x:c>
      <x:c r="E155" s="26" t="str">
        <x:v>MS-LF</x:v>
      </x:c>
      <x:c r="F155" s="26" t="str">
        <x:v>A</x:v>
      </x:c>
      <x:c r="G155" s="26" t="str">
        <x:v>X07</x:v>
      </x:c>
      <x:c r="H155" s="26" t="str">
        <x:v>Communications and causal-time implementation</x:v>
      </x:c>
      <x:c r="I155" s="26" t="str">
        <x:v>ROOT_EXCLUSIVE</x:v>
      </x:c>
      <x:c r="J155" s="26" t="n">
        <x:f>'Controls'!$D$5</x:f>
        <x:v>1</x:v>
      </x:c>
      <x:c r="K155" s="38" t="str">
        <x:v>UNDECLARED</x:v>
      </x:c>
      <x:c r="L155" s="26" t="str">
        <x:f>IF(K155="UNDECLARED","n.a.",COUNTIFS($K$5:$K$292,K155))</x:f>
        <x:v>n.a.</x:v>
      </x:c>
      <x:c r="M155" s="26" t="str">
        <x:f>IF(K155="UNDECLARED","OPEN",IF(L155&lt;=J155,"PASS","FAIL"))</x:f>
        <x:v>OPEN</x:v>
      </x:c>
      <x:c r="N155" s="38" t="str">
        <x:v>UNASSIGNED</x:v>
      </x:c>
    </x:row>
    <x:row r="156" ht="25.5" customHeight="1">
      <x:c r="C156" s="26" t="str">
        <x:v>NS-C3-LF-A-RB1-X08</x:v>
      </x:c>
      <x:c r="D156" s="26" t="str">
        <x:v>C3-LF-A-RB1</x:v>
      </x:c>
      <x:c r="E156" s="26" t="str">
        <x:v>MS-LF</x:v>
      </x:c>
      <x:c r="F156" s="26" t="str">
        <x:v>A</x:v>
      </x:c>
      <x:c r="G156" s="26" t="str">
        <x:v>X08</x:v>
      </x:c>
      <x:c r="H156" s="26" t="str">
        <x:v>Sensing, calibration and uncertainty chain</x:v>
      </x:c>
      <x:c r="I156" s="26" t="str">
        <x:v>ROOT_EXCLUSIVE</x:v>
      </x:c>
      <x:c r="J156" s="26" t="n">
        <x:f>'Controls'!$D$5</x:f>
        <x:v>1</x:v>
      </x:c>
      <x:c r="K156" s="38" t="str">
        <x:v>UNDECLARED</x:v>
      </x:c>
      <x:c r="L156" s="26" t="str">
        <x:f>IF(K156="UNDECLARED","n.a.",COUNTIFS($K$5:$K$292,K156))</x:f>
        <x:v>n.a.</x:v>
      </x:c>
      <x:c r="M156" s="26" t="str">
        <x:f>IF(K156="UNDECLARED","OPEN",IF(L156&lt;=J156,"PASS","FAIL"))</x:f>
        <x:v>OPEN</x:v>
      </x:c>
      <x:c r="N156" s="38" t="str">
        <x:v>UNASSIGNED</x:v>
      </x:c>
    </x:row>
    <x:row r="157" ht="25.5" customHeight="1">
      <x:c r="C157" s="26" t="str">
        <x:v>NS-C3-LF-A-RB1-X09</x:v>
      </x:c>
      <x:c r="D157" s="26" t="str">
        <x:v>C3-LF-A-RB1</x:v>
      </x:c>
      <x:c r="E157" s="26" t="str">
        <x:v>MS-LF</x:v>
      </x:c>
      <x:c r="F157" s="26" t="str">
        <x:v>A</x:v>
      </x:c>
      <x:c r="G157" s="26" t="str">
        <x:v>X09</x:v>
      </x:c>
      <x:c r="H157" s="26" t="str">
        <x:v>Production tooling and pilot line</x:v>
      </x:c>
      <x:c r="I157" s="26" t="str">
        <x:v>ROOT_EXCLUSIVE</x:v>
      </x:c>
      <x:c r="J157" s="26" t="n">
        <x:f>'Controls'!$D$5</x:f>
        <x:v>1</x:v>
      </x:c>
      <x:c r="K157" s="38" t="str">
        <x:v>UNDECLARED</x:v>
      </x:c>
      <x:c r="L157" s="26" t="str">
        <x:f>IF(K157="UNDECLARED","n.a.",COUNTIFS($K$5:$K$292,K157))</x:f>
        <x:v>n.a.</x:v>
      </x:c>
      <x:c r="M157" s="26" t="str">
        <x:f>IF(K157="UNDECLARED","OPEN",IF(L157&lt;=J157,"PASS","FAIL"))</x:f>
        <x:v>OPEN</x:v>
      </x:c>
      <x:c r="N157" s="38" t="str">
        <x:v>UNASSIGNED</x:v>
      </x:c>
    </x:row>
    <x:row r="158" ht="25.5" customHeight="1">
      <x:c r="C158" s="26" t="str">
        <x:v>NS-C3-LF-A-RB1-X10</x:v>
      </x:c>
      <x:c r="D158" s="26" t="str">
        <x:v>C3-LF-A-RB1</x:v>
      </x:c>
      <x:c r="E158" s="26" t="str">
        <x:v>MS-LF</x:v>
      </x:c>
      <x:c r="F158" s="26" t="str">
        <x:v>A</x:v>
      </x:c>
      <x:c r="G158" s="26" t="str">
        <x:v>X10</x:v>
      </x:c>
      <x:c r="H158" s="26" t="str">
        <x:v>Final assembly site and critical workforce</x:v>
      </x:c>
      <x:c r="I158" s="26" t="str">
        <x:v>ROOT_EXCLUSIVE</x:v>
      </x:c>
      <x:c r="J158" s="26" t="n">
        <x:f>'Controls'!$D$5</x:f>
        <x:v>1</x:v>
      </x:c>
      <x:c r="K158" s="38" t="str">
        <x:v>UNDECLARED</x:v>
      </x:c>
      <x:c r="L158" s="26" t="str">
        <x:f>IF(K158="UNDECLARED","n.a.",COUNTIFS($K$5:$K$292,K158))</x:f>
        <x:v>n.a.</x:v>
      </x:c>
      <x:c r="M158" s="26" t="str">
        <x:f>IF(K158="UNDECLARED","OPEN",IF(L158&lt;=J158,"PASS","FAIL"))</x:f>
        <x:v>OPEN</x:v>
      </x:c>
      <x:c r="N158" s="38" t="str">
        <x:v>UNASSIGNED</x:v>
      </x:c>
    </x:row>
    <x:row r="159" ht="25.5" customHeight="1">
      <x:c r="C159" s="26" t="str">
        <x:v>NS-C3-LF-A-RB1-X11</x:v>
      </x:c>
      <x:c r="D159" s="26" t="str">
        <x:v>C3-LF-A-RB1</x:v>
      </x:c>
      <x:c r="E159" s="26" t="str">
        <x:v>MS-LF</x:v>
      </x:c>
      <x:c r="F159" s="26" t="str">
        <x:v>A</x:v>
      </x:c>
      <x:c r="G159" s="26" t="str">
        <x:v>X11</x:v>
      </x:c>
      <x:c r="H159" s="26" t="str">
        <x:v>Repair, reset and second-team reproduction</x:v>
      </x:c>
      <x:c r="I159" s="26" t="str">
        <x:v>ROOT_EXCLUSIVE</x:v>
      </x:c>
      <x:c r="J159" s="26" t="n">
        <x:f>'Controls'!$D$5</x:f>
        <x:v>1</x:v>
      </x:c>
      <x:c r="K159" s="38" t="str">
        <x:v>UNDECLARED</x:v>
      </x:c>
      <x:c r="L159" s="26" t="str">
        <x:f>IF(K159="UNDECLARED","n.a.",COUNTIFS($K$5:$K$292,K159))</x:f>
        <x:v>n.a.</x:v>
      </x:c>
      <x:c r="M159" s="26" t="str">
        <x:f>IF(K159="UNDECLARED","OPEN",IF(L159&lt;=J159,"PASS","FAIL"))</x:f>
        <x:v>OPEN</x:v>
      </x:c>
      <x:c r="N159" s="38" t="str">
        <x:v>UNASSIGNED</x:v>
      </x:c>
    </x:row>
    <x:row r="160" ht="25.5" customHeight="1">
      <x:c r="C160" s="26" t="str">
        <x:v>NS-C3-LF-A-RB1-X12</x:v>
      </x:c>
      <x:c r="D160" s="26" t="str">
        <x:v>C3-LF-A-RB1</x:v>
      </x:c>
      <x:c r="E160" s="26" t="str">
        <x:v>MS-LF</x:v>
      </x:c>
      <x:c r="F160" s="26" t="str">
        <x:v>A</x:v>
      </x:c>
      <x:c r="G160" s="26" t="str">
        <x:v>X12</x:v>
      </x:c>
      <x:c r="H160" s="26" t="str">
        <x:v>Evidence capture, custody and outside replay</x:v>
      </x:c>
      <x:c r="I160" s="26" t="str">
        <x:v>ROOT_EXCLUSIVE</x:v>
      </x:c>
      <x:c r="J160" s="26" t="n">
        <x:f>'Controls'!$D$5</x:f>
        <x:v>1</x:v>
      </x:c>
      <x:c r="K160" s="38" t="str">
        <x:v>UNDECLARED</x:v>
      </x:c>
      <x:c r="L160" s="26" t="str">
        <x:f>IF(K160="UNDECLARED","n.a.",COUNTIFS($K$5:$K$292,K160))</x:f>
        <x:v>n.a.</x:v>
      </x:c>
      <x:c r="M160" s="26" t="str">
        <x:f>IF(K160="UNDECLARED","OPEN",IF(L160&lt;=J160,"PASS","FAIL"))</x:f>
        <x:v>OPEN</x:v>
      </x:c>
      <x:c r="N160" s="38" t="str">
        <x:v>UNASSIGNED</x:v>
      </x:c>
    </x:row>
    <x:row r="161" ht="25.5" customHeight="1">
      <x:c r="C161" s="26" t="str">
        <x:v>NS-C3-LF-B-RB1-X01</x:v>
      </x:c>
      <x:c r="D161" s="26" t="str">
        <x:v>C3-LF-B-RB1</x:v>
      </x:c>
      <x:c r="E161" s="26" t="str">
        <x:v>MS-LF</x:v>
      </x:c>
      <x:c r="F161" s="26" t="str">
        <x:v>B</x:v>
      </x:c>
      <x:c r="G161" s="26" t="str">
        <x:v>X01</x:v>
      </x:c>
      <x:c r="H161" s="26" t="str">
        <x:v>Root integrator and beneficial control</x:v>
      </x:c>
      <x:c r="I161" s="26" t="str">
        <x:v>ROOT_EXCLUSIVE</x:v>
      </x:c>
      <x:c r="J161" s="26" t="n">
        <x:f>'Controls'!$D$5</x:f>
        <x:v>1</x:v>
      </x:c>
      <x:c r="K161" s="38" t="str">
        <x:v>UNDECLARED</x:v>
      </x:c>
      <x:c r="L161" s="26" t="str">
        <x:f>IF(K161="UNDECLARED","n.a.",COUNTIFS($K$5:$K$292,K161))</x:f>
        <x:v>n.a.</x:v>
      </x:c>
      <x:c r="M161" s="26" t="str">
        <x:f>IF(K161="UNDECLARED","OPEN",IF(L161&lt;=J161,"PASS","FAIL"))</x:f>
        <x:v>OPEN</x:v>
      </x:c>
      <x:c r="N161" s="38" t="str">
        <x:v>UNASSIGNED</x:v>
      </x:c>
    </x:row>
    <x:row r="162" ht="25.5" customHeight="1">
      <x:c r="C162" s="26" t="str">
        <x:v>NS-C3-LF-B-RB1-X02</x:v>
      </x:c>
      <x:c r="D162" s="26" t="str">
        <x:v>C3-LF-B-RB1</x:v>
      </x:c>
      <x:c r="E162" s="26" t="str">
        <x:v>MS-LF</x:v>
      </x:c>
      <x:c r="F162" s="26" t="str">
        <x:v>B</x:v>
      </x:c>
      <x:c r="G162" s="26" t="str">
        <x:v>X02</x:v>
      </x:c>
      <x:c r="H162" s="26" t="str">
        <x:v>Prime work physics and mechanism authority</x:v>
      </x:c>
      <x:c r="I162" s="26" t="str">
        <x:v>ROOT_EXCLUSIVE</x:v>
      </x:c>
      <x:c r="J162" s="26" t="n">
        <x:f>'Controls'!$D$5</x:f>
        <x:v>1</x:v>
      </x:c>
      <x:c r="K162" s="38" t="str">
        <x:v>UNDECLARED</x:v>
      </x:c>
      <x:c r="L162" s="26" t="str">
        <x:f>IF(K162="UNDECLARED","n.a.",COUNTIFS($K$5:$K$292,K162))</x:f>
        <x:v>n.a.</x:v>
      </x:c>
      <x:c r="M162" s="26" t="str">
        <x:f>IF(K162="UNDECLARED","OPEN",IF(L162&lt;=J162,"PASS","FAIL"))</x:f>
        <x:v>OPEN</x:v>
      </x:c>
      <x:c r="N162" s="38" t="str">
        <x:v>UNASSIGNED</x:v>
      </x:c>
    </x:row>
    <x:row r="163" ht="25.5" customHeight="1">
      <x:c r="C163" s="26" t="str">
        <x:v>NS-C3-LF-B-RB1-X03</x:v>
      </x:c>
      <x:c r="D163" s="26" t="str">
        <x:v>C3-LF-B-RB1</x:v>
      </x:c>
      <x:c r="E163" s="26" t="str">
        <x:v>MS-LF</x:v>
      </x:c>
      <x:c r="F163" s="26" t="str">
        <x:v>B</x:v>
      </x:c>
      <x:c r="G163" s="26" t="str">
        <x:v>X03</x:v>
      </x:c>
      <x:c r="H163" s="26" t="str">
        <x:v>Primary energy conversion and safe-state chain</x:v>
      </x:c>
      <x:c r="I163" s="26" t="str">
        <x:v>ROOT_EXCLUSIVE</x:v>
      </x:c>
      <x:c r="J163" s="26" t="n">
        <x:f>'Controls'!$D$5</x:f>
        <x:v>1</x:v>
      </x:c>
      <x:c r="K163" s="38" t="str">
        <x:v>UNDECLARED</x:v>
      </x:c>
      <x:c r="L163" s="26" t="str">
        <x:f>IF(K163="UNDECLARED","n.a.",COUNTIFS($K$5:$K$292,K163))</x:f>
        <x:v>n.a.</x:v>
      </x:c>
      <x:c r="M163" s="26" t="str">
        <x:f>IF(K163="UNDECLARED","OPEN",IF(L163&lt;=J163,"PASS","FAIL"))</x:f>
        <x:v>OPEN</x:v>
      </x:c>
      <x:c r="N163" s="38" t="str">
        <x:v>UNASSIGNED</x:v>
      </x:c>
    </x:row>
    <x:row r="164" ht="25.5" customHeight="1">
      <x:c r="C164" s="26" t="str">
        <x:v>NS-C3-LF-B-RB1-X04</x:v>
      </x:c>
      <x:c r="D164" s="26" t="str">
        <x:v>C3-LF-B-RB1</x:v>
      </x:c>
      <x:c r="E164" s="26" t="str">
        <x:v>MS-LF</x:v>
      </x:c>
      <x:c r="F164" s="26" t="str">
        <x:v>B</x:v>
      </x:c>
      <x:c r="G164" s="26" t="str">
        <x:v>X04</x:v>
      </x:c>
      <x:c r="H164" s="26" t="str">
        <x:v>Structural and material process</x:v>
      </x:c>
      <x:c r="I164" s="26" t="str">
        <x:v>ROOT_EXCLUSIVE</x:v>
      </x:c>
      <x:c r="J164" s="26" t="n">
        <x:f>'Controls'!$D$5</x:f>
        <x:v>1</x:v>
      </x:c>
      <x:c r="K164" s="38" t="str">
        <x:v>UNDECLARED</x:v>
      </x:c>
      <x:c r="L164" s="26" t="str">
        <x:f>IF(K164="UNDECLARED","n.a.",COUNTIFS($K$5:$K$292,K164))</x:f>
        <x:v>n.a.</x:v>
      </x:c>
      <x:c r="M164" s="26" t="str">
        <x:f>IF(K164="UNDECLARED","OPEN",IF(L164&lt;=J164,"PASS","FAIL"))</x:f>
        <x:v>OPEN</x:v>
      </x:c>
      <x:c r="N164" s="38" t="str">
        <x:v>UNASSIGNED</x:v>
      </x:c>
    </x:row>
    <x:row r="165" ht="25.5" customHeight="1">
      <x:c r="C165" s="26" t="str">
        <x:v>NS-C3-LF-B-RB1-X05</x:v>
      </x:c>
      <x:c r="D165" s="26" t="str">
        <x:v>C3-LF-B-RB1</x:v>
      </x:c>
      <x:c r="E165" s="26" t="str">
        <x:v>MS-LF</x:v>
      </x:c>
      <x:c r="F165" s="26" t="str">
        <x:v>B</x:v>
      </x:c>
      <x:c r="G165" s="26" t="str">
        <x:v>X05</x:v>
      </x:c>
      <x:c r="H165" s="26" t="str">
        <x:v>Critical feedstock conversion</x:v>
      </x:c>
      <x:c r="I165" s="26" t="str">
        <x:v>ROOT_EXCLUSIVE</x:v>
      </x:c>
      <x:c r="J165" s="26" t="n">
        <x:f>'Controls'!$D$5</x:f>
        <x:v>1</x:v>
      </x:c>
      <x:c r="K165" s="38" t="str">
        <x:v>UNDECLARED</x:v>
      </x:c>
      <x:c r="L165" s="26" t="str">
        <x:f>IF(K165="UNDECLARED","n.a.",COUNTIFS($K$5:$K$292,K165))</x:f>
        <x:v>n.a.</x:v>
      </x:c>
      <x:c r="M165" s="26" t="str">
        <x:f>IF(K165="UNDECLARED","OPEN",IF(L165&lt;=J165,"PASS","FAIL"))</x:f>
        <x:v>OPEN</x:v>
      </x:c>
      <x:c r="N165" s="38" t="str">
        <x:v>UNASSIGNED</x:v>
      </x:c>
    </x:row>
    <x:row r="166" ht="25.5" customHeight="1">
      <x:c r="C166" s="26" t="str">
        <x:v>NS-C3-LF-B-RB1-X06</x:v>
      </x:c>
      <x:c r="D166" s="26" t="str">
        <x:v>C3-LF-B-RB1</x:v>
      </x:c>
      <x:c r="E166" s="26" t="str">
        <x:v>MS-LF</x:v>
      </x:c>
      <x:c r="F166" s="26" t="str">
        <x:v>B</x:v>
      </x:c>
      <x:c r="G166" s="26" t="str">
        <x:v>X06</x:v>
      </x:c>
      <x:c r="H166" s="26" t="str">
        <x:v>Control runtime, build system and signing keys</x:v>
      </x:c>
      <x:c r="I166" s="26" t="str">
        <x:v>ROOT_EXCLUSIVE</x:v>
      </x:c>
      <x:c r="J166" s="26" t="n">
        <x:f>'Controls'!$D$5</x:f>
        <x:v>1</x:v>
      </x:c>
      <x:c r="K166" s="38" t="str">
        <x:v>UNDECLARED</x:v>
      </x:c>
      <x:c r="L166" s="26" t="str">
        <x:f>IF(K166="UNDECLARED","n.a.",COUNTIFS($K$5:$K$292,K166))</x:f>
        <x:v>n.a.</x:v>
      </x:c>
      <x:c r="M166" s="26" t="str">
        <x:f>IF(K166="UNDECLARED","OPEN",IF(L166&lt;=J166,"PASS","FAIL"))</x:f>
        <x:v>OPEN</x:v>
      </x:c>
      <x:c r="N166" s="38" t="str">
        <x:v>UNASSIGNED</x:v>
      </x:c>
    </x:row>
    <x:row r="167" ht="25.5" customHeight="1">
      <x:c r="C167" s="26" t="str">
        <x:v>NS-C3-LF-B-RB1-X07</x:v>
      </x:c>
      <x:c r="D167" s="26" t="str">
        <x:v>C3-LF-B-RB1</x:v>
      </x:c>
      <x:c r="E167" s="26" t="str">
        <x:v>MS-LF</x:v>
      </x:c>
      <x:c r="F167" s="26" t="str">
        <x:v>B</x:v>
      </x:c>
      <x:c r="G167" s="26" t="str">
        <x:v>X07</x:v>
      </x:c>
      <x:c r="H167" s="26" t="str">
        <x:v>Communications and causal-time implementation</x:v>
      </x:c>
      <x:c r="I167" s="26" t="str">
        <x:v>ROOT_EXCLUSIVE</x:v>
      </x:c>
      <x:c r="J167" s="26" t="n">
        <x:f>'Controls'!$D$5</x:f>
        <x:v>1</x:v>
      </x:c>
      <x:c r="K167" s="38" t="str">
        <x:v>UNDECLARED</x:v>
      </x:c>
      <x:c r="L167" s="26" t="str">
        <x:f>IF(K167="UNDECLARED","n.a.",COUNTIFS($K$5:$K$292,K167))</x:f>
        <x:v>n.a.</x:v>
      </x:c>
      <x:c r="M167" s="26" t="str">
        <x:f>IF(K167="UNDECLARED","OPEN",IF(L167&lt;=J167,"PASS","FAIL"))</x:f>
        <x:v>OPEN</x:v>
      </x:c>
      <x:c r="N167" s="38" t="str">
        <x:v>UNASSIGNED</x:v>
      </x:c>
    </x:row>
    <x:row r="168" ht="25.5" customHeight="1">
      <x:c r="C168" s="26" t="str">
        <x:v>NS-C3-LF-B-RB1-X08</x:v>
      </x:c>
      <x:c r="D168" s="26" t="str">
        <x:v>C3-LF-B-RB1</x:v>
      </x:c>
      <x:c r="E168" s="26" t="str">
        <x:v>MS-LF</x:v>
      </x:c>
      <x:c r="F168" s="26" t="str">
        <x:v>B</x:v>
      </x:c>
      <x:c r="G168" s="26" t="str">
        <x:v>X08</x:v>
      </x:c>
      <x:c r="H168" s="26" t="str">
        <x:v>Sensing, calibration and uncertainty chain</x:v>
      </x:c>
      <x:c r="I168" s="26" t="str">
        <x:v>ROOT_EXCLUSIVE</x:v>
      </x:c>
      <x:c r="J168" s="26" t="n">
        <x:f>'Controls'!$D$5</x:f>
        <x:v>1</x:v>
      </x:c>
      <x:c r="K168" s="38" t="str">
        <x:v>UNDECLARED</x:v>
      </x:c>
      <x:c r="L168" s="26" t="str">
        <x:f>IF(K168="UNDECLARED","n.a.",COUNTIFS($K$5:$K$292,K168))</x:f>
        <x:v>n.a.</x:v>
      </x:c>
      <x:c r="M168" s="26" t="str">
        <x:f>IF(K168="UNDECLARED","OPEN",IF(L168&lt;=J168,"PASS","FAIL"))</x:f>
        <x:v>OPEN</x:v>
      </x:c>
      <x:c r="N168" s="38" t="str">
        <x:v>UNASSIGNED</x:v>
      </x:c>
    </x:row>
    <x:row r="169" ht="25.5" customHeight="1">
      <x:c r="C169" s="26" t="str">
        <x:v>NS-C3-LF-B-RB1-X09</x:v>
      </x:c>
      <x:c r="D169" s="26" t="str">
        <x:v>C3-LF-B-RB1</x:v>
      </x:c>
      <x:c r="E169" s="26" t="str">
        <x:v>MS-LF</x:v>
      </x:c>
      <x:c r="F169" s="26" t="str">
        <x:v>B</x:v>
      </x:c>
      <x:c r="G169" s="26" t="str">
        <x:v>X09</x:v>
      </x:c>
      <x:c r="H169" s="26" t="str">
        <x:v>Production tooling and pilot line</x:v>
      </x:c>
      <x:c r="I169" s="26" t="str">
        <x:v>ROOT_EXCLUSIVE</x:v>
      </x:c>
      <x:c r="J169" s="26" t="n">
        <x:f>'Controls'!$D$5</x:f>
        <x:v>1</x:v>
      </x:c>
      <x:c r="K169" s="38" t="str">
        <x:v>UNDECLARED</x:v>
      </x:c>
      <x:c r="L169" s="26" t="str">
        <x:f>IF(K169="UNDECLARED","n.a.",COUNTIFS($K$5:$K$292,K169))</x:f>
        <x:v>n.a.</x:v>
      </x:c>
      <x:c r="M169" s="26" t="str">
        <x:f>IF(K169="UNDECLARED","OPEN",IF(L169&lt;=J169,"PASS","FAIL"))</x:f>
        <x:v>OPEN</x:v>
      </x:c>
      <x:c r="N169" s="38" t="str">
        <x:v>UNASSIGNED</x:v>
      </x:c>
    </x:row>
    <x:row r="170" ht="25.5" customHeight="1">
      <x:c r="C170" s="26" t="str">
        <x:v>NS-C3-LF-B-RB1-X10</x:v>
      </x:c>
      <x:c r="D170" s="26" t="str">
        <x:v>C3-LF-B-RB1</x:v>
      </x:c>
      <x:c r="E170" s="26" t="str">
        <x:v>MS-LF</x:v>
      </x:c>
      <x:c r="F170" s="26" t="str">
        <x:v>B</x:v>
      </x:c>
      <x:c r="G170" s="26" t="str">
        <x:v>X10</x:v>
      </x:c>
      <x:c r="H170" s="26" t="str">
        <x:v>Final assembly site and critical workforce</x:v>
      </x:c>
      <x:c r="I170" s="26" t="str">
        <x:v>ROOT_EXCLUSIVE</x:v>
      </x:c>
      <x:c r="J170" s="26" t="n">
        <x:f>'Controls'!$D$5</x:f>
        <x:v>1</x:v>
      </x:c>
      <x:c r="K170" s="38" t="str">
        <x:v>UNDECLARED</x:v>
      </x:c>
      <x:c r="L170" s="26" t="str">
        <x:f>IF(K170="UNDECLARED","n.a.",COUNTIFS($K$5:$K$292,K170))</x:f>
        <x:v>n.a.</x:v>
      </x:c>
      <x:c r="M170" s="26" t="str">
        <x:f>IF(K170="UNDECLARED","OPEN",IF(L170&lt;=J170,"PASS","FAIL"))</x:f>
        <x:v>OPEN</x:v>
      </x:c>
      <x:c r="N170" s="38" t="str">
        <x:v>UNASSIGNED</x:v>
      </x:c>
    </x:row>
    <x:row r="171" ht="25.5" customHeight="1">
      <x:c r="C171" s="26" t="str">
        <x:v>NS-C3-LF-B-RB1-X11</x:v>
      </x:c>
      <x:c r="D171" s="26" t="str">
        <x:v>C3-LF-B-RB1</x:v>
      </x:c>
      <x:c r="E171" s="26" t="str">
        <x:v>MS-LF</x:v>
      </x:c>
      <x:c r="F171" s="26" t="str">
        <x:v>B</x:v>
      </x:c>
      <x:c r="G171" s="26" t="str">
        <x:v>X11</x:v>
      </x:c>
      <x:c r="H171" s="26" t="str">
        <x:v>Repair, reset and second-team reproduction</x:v>
      </x:c>
      <x:c r="I171" s="26" t="str">
        <x:v>ROOT_EXCLUSIVE</x:v>
      </x:c>
      <x:c r="J171" s="26" t="n">
        <x:f>'Controls'!$D$5</x:f>
        <x:v>1</x:v>
      </x:c>
      <x:c r="K171" s="38" t="str">
        <x:v>UNDECLARED</x:v>
      </x:c>
      <x:c r="L171" s="26" t="str">
        <x:f>IF(K171="UNDECLARED","n.a.",COUNTIFS($K$5:$K$292,K171))</x:f>
        <x:v>n.a.</x:v>
      </x:c>
      <x:c r="M171" s="26" t="str">
        <x:f>IF(K171="UNDECLARED","OPEN",IF(L171&lt;=J171,"PASS","FAIL"))</x:f>
        <x:v>OPEN</x:v>
      </x:c>
      <x:c r="N171" s="38" t="str">
        <x:v>UNASSIGNED</x:v>
      </x:c>
    </x:row>
    <x:row r="172" ht="25.5" customHeight="1">
      <x:c r="C172" s="26" t="str">
        <x:v>NS-C3-LF-B-RB1-X12</x:v>
      </x:c>
      <x:c r="D172" s="26" t="str">
        <x:v>C3-LF-B-RB1</x:v>
      </x:c>
      <x:c r="E172" s="26" t="str">
        <x:v>MS-LF</x:v>
      </x:c>
      <x:c r="F172" s="26" t="str">
        <x:v>B</x:v>
      </x:c>
      <x:c r="G172" s="26" t="str">
        <x:v>X12</x:v>
      </x:c>
      <x:c r="H172" s="26" t="str">
        <x:v>Evidence capture, custody and outside replay</x:v>
      </x:c>
      <x:c r="I172" s="26" t="str">
        <x:v>ROOT_EXCLUSIVE</x:v>
      </x:c>
      <x:c r="J172" s="26" t="n">
        <x:f>'Controls'!$D$5</x:f>
        <x:v>1</x:v>
      </x:c>
      <x:c r="K172" s="38" t="str">
        <x:v>UNDECLARED</x:v>
      </x:c>
      <x:c r="L172" s="26" t="str">
        <x:f>IF(K172="UNDECLARED","n.a.",COUNTIFS($K$5:$K$292,K172))</x:f>
        <x:v>n.a.</x:v>
      </x:c>
      <x:c r="M172" s="26" t="str">
        <x:f>IF(K172="UNDECLARED","OPEN",IF(L172&lt;=J172,"PASS","FAIL"))</x:f>
        <x:v>OPEN</x:v>
      </x:c>
      <x:c r="N172" s="38" t="str">
        <x:v>UNASSIGNED</x:v>
      </x:c>
    </x:row>
    <x:row r="173" ht="25.5" customHeight="1">
      <x:c r="C173" s="26" t="str">
        <x:v>NS-C3-LF-C-RB1-X01</x:v>
      </x:c>
      <x:c r="D173" s="26" t="str">
        <x:v>C3-LF-C-RB1</x:v>
      </x:c>
      <x:c r="E173" s="26" t="str">
        <x:v>MS-LF</x:v>
      </x:c>
      <x:c r="F173" s="26" t="str">
        <x:v>C</x:v>
      </x:c>
      <x:c r="G173" s="26" t="str">
        <x:v>X01</x:v>
      </x:c>
      <x:c r="H173" s="26" t="str">
        <x:v>Root integrator and beneficial control</x:v>
      </x:c>
      <x:c r="I173" s="26" t="str">
        <x:v>ROOT_EXCLUSIVE</x:v>
      </x:c>
      <x:c r="J173" s="26" t="n">
        <x:f>'Controls'!$D$5</x:f>
        <x:v>1</x:v>
      </x:c>
      <x:c r="K173" s="38" t="str">
        <x:v>UNDECLARED</x:v>
      </x:c>
      <x:c r="L173" s="26" t="str">
        <x:f>IF(K173="UNDECLARED","n.a.",COUNTIFS($K$5:$K$292,K173))</x:f>
        <x:v>n.a.</x:v>
      </x:c>
      <x:c r="M173" s="26" t="str">
        <x:f>IF(K173="UNDECLARED","OPEN",IF(L173&lt;=J173,"PASS","FAIL"))</x:f>
        <x:v>OPEN</x:v>
      </x:c>
      <x:c r="N173" s="38" t="str">
        <x:v>UNASSIGNED</x:v>
      </x:c>
    </x:row>
    <x:row r="174" ht="25.5" customHeight="1">
      <x:c r="C174" s="26" t="str">
        <x:v>NS-C3-LF-C-RB1-X02</x:v>
      </x:c>
      <x:c r="D174" s="26" t="str">
        <x:v>C3-LF-C-RB1</x:v>
      </x:c>
      <x:c r="E174" s="26" t="str">
        <x:v>MS-LF</x:v>
      </x:c>
      <x:c r="F174" s="26" t="str">
        <x:v>C</x:v>
      </x:c>
      <x:c r="G174" s="26" t="str">
        <x:v>X02</x:v>
      </x:c>
      <x:c r="H174" s="26" t="str">
        <x:v>Prime work physics and mechanism authority</x:v>
      </x:c>
      <x:c r="I174" s="26" t="str">
        <x:v>ROOT_EXCLUSIVE</x:v>
      </x:c>
      <x:c r="J174" s="26" t="n">
        <x:f>'Controls'!$D$5</x:f>
        <x:v>1</x:v>
      </x:c>
      <x:c r="K174" s="38" t="str">
        <x:v>UNDECLARED</x:v>
      </x:c>
      <x:c r="L174" s="26" t="str">
        <x:f>IF(K174="UNDECLARED","n.a.",COUNTIFS($K$5:$K$292,K174))</x:f>
        <x:v>n.a.</x:v>
      </x:c>
      <x:c r="M174" s="26" t="str">
        <x:f>IF(K174="UNDECLARED","OPEN",IF(L174&lt;=J174,"PASS","FAIL"))</x:f>
        <x:v>OPEN</x:v>
      </x:c>
      <x:c r="N174" s="38" t="str">
        <x:v>UNASSIGNED</x:v>
      </x:c>
    </x:row>
    <x:row r="175" ht="25.5" customHeight="1">
      <x:c r="C175" s="26" t="str">
        <x:v>NS-C3-LF-C-RB1-X03</x:v>
      </x:c>
      <x:c r="D175" s="26" t="str">
        <x:v>C3-LF-C-RB1</x:v>
      </x:c>
      <x:c r="E175" s="26" t="str">
        <x:v>MS-LF</x:v>
      </x:c>
      <x:c r="F175" s="26" t="str">
        <x:v>C</x:v>
      </x:c>
      <x:c r="G175" s="26" t="str">
        <x:v>X03</x:v>
      </x:c>
      <x:c r="H175" s="26" t="str">
        <x:v>Primary energy conversion and safe-state chain</x:v>
      </x:c>
      <x:c r="I175" s="26" t="str">
        <x:v>ROOT_EXCLUSIVE</x:v>
      </x:c>
      <x:c r="J175" s="26" t="n">
        <x:f>'Controls'!$D$5</x:f>
        <x:v>1</x:v>
      </x:c>
      <x:c r="K175" s="38" t="str">
        <x:v>UNDECLARED</x:v>
      </x:c>
      <x:c r="L175" s="26" t="str">
        <x:f>IF(K175="UNDECLARED","n.a.",COUNTIFS($K$5:$K$292,K175))</x:f>
        <x:v>n.a.</x:v>
      </x:c>
      <x:c r="M175" s="26" t="str">
        <x:f>IF(K175="UNDECLARED","OPEN",IF(L175&lt;=J175,"PASS","FAIL"))</x:f>
        <x:v>OPEN</x:v>
      </x:c>
      <x:c r="N175" s="38" t="str">
        <x:v>UNASSIGNED</x:v>
      </x:c>
    </x:row>
    <x:row r="176" ht="25.5" customHeight="1">
      <x:c r="C176" s="26" t="str">
        <x:v>NS-C3-LF-C-RB1-X04</x:v>
      </x:c>
      <x:c r="D176" s="26" t="str">
        <x:v>C3-LF-C-RB1</x:v>
      </x:c>
      <x:c r="E176" s="26" t="str">
        <x:v>MS-LF</x:v>
      </x:c>
      <x:c r="F176" s="26" t="str">
        <x:v>C</x:v>
      </x:c>
      <x:c r="G176" s="26" t="str">
        <x:v>X04</x:v>
      </x:c>
      <x:c r="H176" s="26" t="str">
        <x:v>Structural and material process</x:v>
      </x:c>
      <x:c r="I176" s="26" t="str">
        <x:v>ROOT_EXCLUSIVE</x:v>
      </x:c>
      <x:c r="J176" s="26" t="n">
        <x:f>'Controls'!$D$5</x:f>
        <x:v>1</x:v>
      </x:c>
      <x:c r="K176" s="38" t="str">
        <x:v>UNDECLARED</x:v>
      </x:c>
      <x:c r="L176" s="26" t="str">
        <x:f>IF(K176="UNDECLARED","n.a.",COUNTIFS($K$5:$K$292,K176))</x:f>
        <x:v>n.a.</x:v>
      </x:c>
      <x:c r="M176" s="26" t="str">
        <x:f>IF(K176="UNDECLARED","OPEN",IF(L176&lt;=J176,"PASS","FAIL"))</x:f>
        <x:v>OPEN</x:v>
      </x:c>
      <x:c r="N176" s="38" t="str">
        <x:v>UNASSIGNED</x:v>
      </x:c>
    </x:row>
    <x:row r="177" ht="25.5" customHeight="1">
      <x:c r="C177" s="26" t="str">
        <x:v>NS-C3-LF-C-RB1-X05</x:v>
      </x:c>
      <x:c r="D177" s="26" t="str">
        <x:v>C3-LF-C-RB1</x:v>
      </x:c>
      <x:c r="E177" s="26" t="str">
        <x:v>MS-LF</x:v>
      </x:c>
      <x:c r="F177" s="26" t="str">
        <x:v>C</x:v>
      </x:c>
      <x:c r="G177" s="26" t="str">
        <x:v>X05</x:v>
      </x:c>
      <x:c r="H177" s="26" t="str">
        <x:v>Critical feedstock conversion</x:v>
      </x:c>
      <x:c r="I177" s="26" t="str">
        <x:v>ROOT_EXCLUSIVE</x:v>
      </x:c>
      <x:c r="J177" s="26" t="n">
        <x:f>'Controls'!$D$5</x:f>
        <x:v>1</x:v>
      </x:c>
      <x:c r="K177" s="38" t="str">
        <x:v>UNDECLARED</x:v>
      </x:c>
      <x:c r="L177" s="26" t="str">
        <x:f>IF(K177="UNDECLARED","n.a.",COUNTIFS($K$5:$K$292,K177))</x:f>
        <x:v>n.a.</x:v>
      </x:c>
      <x:c r="M177" s="26" t="str">
        <x:f>IF(K177="UNDECLARED","OPEN",IF(L177&lt;=J177,"PASS","FAIL"))</x:f>
        <x:v>OPEN</x:v>
      </x:c>
      <x:c r="N177" s="38" t="str">
        <x:v>UNASSIGNED</x:v>
      </x:c>
    </x:row>
    <x:row r="178" ht="25.5" customHeight="1">
      <x:c r="C178" s="26" t="str">
        <x:v>NS-C3-LF-C-RB1-X06</x:v>
      </x:c>
      <x:c r="D178" s="26" t="str">
        <x:v>C3-LF-C-RB1</x:v>
      </x:c>
      <x:c r="E178" s="26" t="str">
        <x:v>MS-LF</x:v>
      </x:c>
      <x:c r="F178" s="26" t="str">
        <x:v>C</x:v>
      </x:c>
      <x:c r="G178" s="26" t="str">
        <x:v>X06</x:v>
      </x:c>
      <x:c r="H178" s="26" t="str">
        <x:v>Control runtime, build system and signing keys</x:v>
      </x:c>
      <x:c r="I178" s="26" t="str">
        <x:v>ROOT_EXCLUSIVE</x:v>
      </x:c>
      <x:c r="J178" s="26" t="n">
        <x:f>'Controls'!$D$5</x:f>
        <x:v>1</x:v>
      </x:c>
      <x:c r="K178" s="38" t="str">
        <x:v>UNDECLARED</x:v>
      </x:c>
      <x:c r="L178" s="26" t="str">
        <x:f>IF(K178="UNDECLARED","n.a.",COUNTIFS($K$5:$K$292,K178))</x:f>
        <x:v>n.a.</x:v>
      </x:c>
      <x:c r="M178" s="26" t="str">
        <x:f>IF(K178="UNDECLARED","OPEN",IF(L178&lt;=J178,"PASS","FAIL"))</x:f>
        <x:v>OPEN</x:v>
      </x:c>
      <x:c r="N178" s="38" t="str">
        <x:v>UNASSIGNED</x:v>
      </x:c>
    </x:row>
    <x:row r="179" ht="25.5" customHeight="1">
      <x:c r="C179" s="26" t="str">
        <x:v>NS-C3-LF-C-RB1-X07</x:v>
      </x:c>
      <x:c r="D179" s="26" t="str">
        <x:v>C3-LF-C-RB1</x:v>
      </x:c>
      <x:c r="E179" s="26" t="str">
        <x:v>MS-LF</x:v>
      </x:c>
      <x:c r="F179" s="26" t="str">
        <x:v>C</x:v>
      </x:c>
      <x:c r="G179" s="26" t="str">
        <x:v>X07</x:v>
      </x:c>
      <x:c r="H179" s="26" t="str">
        <x:v>Communications and causal-time implementation</x:v>
      </x:c>
      <x:c r="I179" s="26" t="str">
        <x:v>ROOT_EXCLUSIVE</x:v>
      </x:c>
      <x:c r="J179" s="26" t="n">
        <x:f>'Controls'!$D$5</x:f>
        <x:v>1</x:v>
      </x:c>
      <x:c r="K179" s="38" t="str">
        <x:v>UNDECLARED</x:v>
      </x:c>
      <x:c r="L179" s="26" t="str">
        <x:f>IF(K179="UNDECLARED","n.a.",COUNTIFS($K$5:$K$292,K179))</x:f>
        <x:v>n.a.</x:v>
      </x:c>
      <x:c r="M179" s="26" t="str">
        <x:f>IF(K179="UNDECLARED","OPEN",IF(L179&lt;=J179,"PASS","FAIL"))</x:f>
        <x:v>OPEN</x:v>
      </x:c>
      <x:c r="N179" s="38" t="str">
        <x:v>UNASSIGNED</x:v>
      </x:c>
    </x:row>
    <x:row r="180" ht="25.5" customHeight="1">
      <x:c r="C180" s="26" t="str">
        <x:v>NS-C3-LF-C-RB1-X08</x:v>
      </x:c>
      <x:c r="D180" s="26" t="str">
        <x:v>C3-LF-C-RB1</x:v>
      </x:c>
      <x:c r="E180" s="26" t="str">
        <x:v>MS-LF</x:v>
      </x:c>
      <x:c r="F180" s="26" t="str">
        <x:v>C</x:v>
      </x:c>
      <x:c r="G180" s="26" t="str">
        <x:v>X08</x:v>
      </x:c>
      <x:c r="H180" s="26" t="str">
        <x:v>Sensing, calibration and uncertainty chain</x:v>
      </x:c>
      <x:c r="I180" s="26" t="str">
        <x:v>ROOT_EXCLUSIVE</x:v>
      </x:c>
      <x:c r="J180" s="26" t="n">
        <x:f>'Controls'!$D$5</x:f>
        <x:v>1</x:v>
      </x:c>
      <x:c r="K180" s="38" t="str">
        <x:v>UNDECLARED</x:v>
      </x:c>
      <x:c r="L180" s="26" t="str">
        <x:f>IF(K180="UNDECLARED","n.a.",COUNTIFS($K$5:$K$292,K180))</x:f>
        <x:v>n.a.</x:v>
      </x:c>
      <x:c r="M180" s="26" t="str">
        <x:f>IF(K180="UNDECLARED","OPEN",IF(L180&lt;=J180,"PASS","FAIL"))</x:f>
        <x:v>OPEN</x:v>
      </x:c>
      <x:c r="N180" s="38" t="str">
        <x:v>UNASSIGNED</x:v>
      </x:c>
    </x:row>
    <x:row r="181" ht="25.5" customHeight="1">
      <x:c r="C181" s="26" t="str">
        <x:v>NS-C3-LF-C-RB1-X09</x:v>
      </x:c>
      <x:c r="D181" s="26" t="str">
        <x:v>C3-LF-C-RB1</x:v>
      </x:c>
      <x:c r="E181" s="26" t="str">
        <x:v>MS-LF</x:v>
      </x:c>
      <x:c r="F181" s="26" t="str">
        <x:v>C</x:v>
      </x:c>
      <x:c r="G181" s="26" t="str">
        <x:v>X09</x:v>
      </x:c>
      <x:c r="H181" s="26" t="str">
        <x:v>Production tooling and pilot line</x:v>
      </x:c>
      <x:c r="I181" s="26" t="str">
        <x:v>ROOT_EXCLUSIVE</x:v>
      </x:c>
      <x:c r="J181" s="26" t="n">
        <x:f>'Controls'!$D$5</x:f>
        <x:v>1</x:v>
      </x:c>
      <x:c r="K181" s="38" t="str">
        <x:v>UNDECLARED</x:v>
      </x:c>
      <x:c r="L181" s="26" t="str">
        <x:f>IF(K181="UNDECLARED","n.a.",COUNTIFS($K$5:$K$292,K181))</x:f>
        <x:v>n.a.</x:v>
      </x:c>
      <x:c r="M181" s="26" t="str">
        <x:f>IF(K181="UNDECLARED","OPEN",IF(L181&lt;=J181,"PASS","FAIL"))</x:f>
        <x:v>OPEN</x:v>
      </x:c>
      <x:c r="N181" s="38" t="str">
        <x:v>UNASSIGNED</x:v>
      </x:c>
    </x:row>
    <x:row r="182" ht="25.5" customHeight="1">
      <x:c r="C182" s="26" t="str">
        <x:v>NS-C3-LF-C-RB1-X10</x:v>
      </x:c>
      <x:c r="D182" s="26" t="str">
        <x:v>C3-LF-C-RB1</x:v>
      </x:c>
      <x:c r="E182" s="26" t="str">
        <x:v>MS-LF</x:v>
      </x:c>
      <x:c r="F182" s="26" t="str">
        <x:v>C</x:v>
      </x:c>
      <x:c r="G182" s="26" t="str">
        <x:v>X10</x:v>
      </x:c>
      <x:c r="H182" s="26" t="str">
        <x:v>Final assembly site and critical workforce</x:v>
      </x:c>
      <x:c r="I182" s="26" t="str">
        <x:v>ROOT_EXCLUSIVE</x:v>
      </x:c>
      <x:c r="J182" s="26" t="n">
        <x:f>'Controls'!$D$5</x:f>
        <x:v>1</x:v>
      </x:c>
      <x:c r="K182" s="38" t="str">
        <x:v>UNDECLARED</x:v>
      </x:c>
      <x:c r="L182" s="26" t="str">
        <x:f>IF(K182="UNDECLARED","n.a.",COUNTIFS($K$5:$K$292,K182))</x:f>
        <x:v>n.a.</x:v>
      </x:c>
      <x:c r="M182" s="26" t="str">
        <x:f>IF(K182="UNDECLARED","OPEN",IF(L182&lt;=J182,"PASS","FAIL"))</x:f>
        <x:v>OPEN</x:v>
      </x:c>
      <x:c r="N182" s="38" t="str">
        <x:v>UNASSIGNED</x:v>
      </x:c>
    </x:row>
    <x:row r="183" ht="25.5" customHeight="1">
      <x:c r="C183" s="26" t="str">
        <x:v>NS-C3-LF-C-RB1-X11</x:v>
      </x:c>
      <x:c r="D183" s="26" t="str">
        <x:v>C3-LF-C-RB1</x:v>
      </x:c>
      <x:c r="E183" s="26" t="str">
        <x:v>MS-LF</x:v>
      </x:c>
      <x:c r="F183" s="26" t="str">
        <x:v>C</x:v>
      </x:c>
      <x:c r="G183" s="26" t="str">
        <x:v>X11</x:v>
      </x:c>
      <x:c r="H183" s="26" t="str">
        <x:v>Repair, reset and second-team reproduction</x:v>
      </x:c>
      <x:c r="I183" s="26" t="str">
        <x:v>ROOT_EXCLUSIVE</x:v>
      </x:c>
      <x:c r="J183" s="26" t="n">
        <x:f>'Controls'!$D$5</x:f>
        <x:v>1</x:v>
      </x:c>
      <x:c r="K183" s="38" t="str">
        <x:v>UNDECLARED</x:v>
      </x:c>
      <x:c r="L183" s="26" t="str">
        <x:f>IF(K183="UNDECLARED","n.a.",COUNTIFS($K$5:$K$292,K183))</x:f>
        <x:v>n.a.</x:v>
      </x:c>
      <x:c r="M183" s="26" t="str">
        <x:f>IF(K183="UNDECLARED","OPEN",IF(L183&lt;=J183,"PASS","FAIL"))</x:f>
        <x:v>OPEN</x:v>
      </x:c>
      <x:c r="N183" s="38" t="str">
        <x:v>UNASSIGNED</x:v>
      </x:c>
    </x:row>
    <x:row r="184" ht="25.5" customHeight="1">
      <x:c r="C184" s="26" t="str">
        <x:v>NS-C3-LF-C-RB1-X12</x:v>
      </x:c>
      <x:c r="D184" s="26" t="str">
        <x:v>C3-LF-C-RB1</x:v>
      </x:c>
      <x:c r="E184" s="26" t="str">
        <x:v>MS-LF</x:v>
      </x:c>
      <x:c r="F184" s="26" t="str">
        <x:v>C</x:v>
      </x:c>
      <x:c r="G184" s="26" t="str">
        <x:v>X12</x:v>
      </x:c>
      <x:c r="H184" s="26" t="str">
        <x:v>Evidence capture, custody and outside replay</x:v>
      </x:c>
      <x:c r="I184" s="26" t="str">
        <x:v>ROOT_EXCLUSIVE</x:v>
      </x:c>
      <x:c r="J184" s="26" t="n">
        <x:f>'Controls'!$D$5</x:f>
        <x:v>1</x:v>
      </x:c>
      <x:c r="K184" s="38" t="str">
        <x:v>UNDECLARED</x:v>
      </x:c>
      <x:c r="L184" s="26" t="str">
        <x:f>IF(K184="UNDECLARED","n.a.",COUNTIFS($K$5:$K$292,K184))</x:f>
        <x:v>n.a.</x:v>
      </x:c>
      <x:c r="M184" s="26" t="str">
        <x:f>IF(K184="UNDECLARED","OPEN",IF(L184&lt;=J184,"PASS","FAIL"))</x:f>
        <x:v>OPEN</x:v>
      </x:c>
      <x:c r="N184" s="38" t="str">
        <x:v>UNASSIGNED</x:v>
      </x:c>
    </x:row>
    <x:row r="185" ht="25.5" customHeight="1">
      <x:c r="C185" s="26" t="str">
        <x:v>NS-C3-LF-D-RB1-X01</x:v>
      </x:c>
      <x:c r="D185" s="26" t="str">
        <x:v>C3-LF-D-RB1</x:v>
      </x:c>
      <x:c r="E185" s="26" t="str">
        <x:v>MS-LF</x:v>
      </x:c>
      <x:c r="F185" s="26" t="str">
        <x:v>D</x:v>
      </x:c>
      <x:c r="G185" s="26" t="str">
        <x:v>X01</x:v>
      </x:c>
      <x:c r="H185" s="26" t="str">
        <x:v>Root integrator and beneficial control</x:v>
      </x:c>
      <x:c r="I185" s="26" t="str">
        <x:v>ROOT_EXCLUSIVE</x:v>
      </x:c>
      <x:c r="J185" s="26" t="n">
        <x:f>'Controls'!$D$5</x:f>
        <x:v>1</x:v>
      </x:c>
      <x:c r="K185" s="38" t="str">
        <x:v>UNDECLARED</x:v>
      </x:c>
      <x:c r="L185" s="26" t="str">
        <x:f>IF(K185="UNDECLARED","n.a.",COUNTIFS($K$5:$K$292,K185))</x:f>
        <x:v>n.a.</x:v>
      </x:c>
      <x:c r="M185" s="26" t="str">
        <x:f>IF(K185="UNDECLARED","OPEN",IF(L185&lt;=J185,"PASS","FAIL"))</x:f>
        <x:v>OPEN</x:v>
      </x:c>
      <x:c r="N185" s="38" t="str">
        <x:v>UNASSIGNED</x:v>
      </x:c>
    </x:row>
    <x:row r="186" ht="25.5" customHeight="1">
      <x:c r="C186" s="26" t="str">
        <x:v>NS-C3-LF-D-RB1-X02</x:v>
      </x:c>
      <x:c r="D186" s="26" t="str">
        <x:v>C3-LF-D-RB1</x:v>
      </x:c>
      <x:c r="E186" s="26" t="str">
        <x:v>MS-LF</x:v>
      </x:c>
      <x:c r="F186" s="26" t="str">
        <x:v>D</x:v>
      </x:c>
      <x:c r="G186" s="26" t="str">
        <x:v>X02</x:v>
      </x:c>
      <x:c r="H186" s="26" t="str">
        <x:v>Prime work physics and mechanism authority</x:v>
      </x:c>
      <x:c r="I186" s="26" t="str">
        <x:v>ROOT_EXCLUSIVE</x:v>
      </x:c>
      <x:c r="J186" s="26" t="n">
        <x:f>'Controls'!$D$5</x:f>
        <x:v>1</x:v>
      </x:c>
      <x:c r="K186" s="38" t="str">
        <x:v>UNDECLARED</x:v>
      </x:c>
      <x:c r="L186" s="26" t="str">
        <x:f>IF(K186="UNDECLARED","n.a.",COUNTIFS($K$5:$K$292,K186))</x:f>
        <x:v>n.a.</x:v>
      </x:c>
      <x:c r="M186" s="26" t="str">
        <x:f>IF(K186="UNDECLARED","OPEN",IF(L186&lt;=J186,"PASS","FAIL"))</x:f>
        <x:v>OPEN</x:v>
      </x:c>
      <x:c r="N186" s="38" t="str">
        <x:v>UNASSIGNED</x:v>
      </x:c>
    </x:row>
    <x:row r="187" ht="25.5" customHeight="1">
      <x:c r="C187" s="26" t="str">
        <x:v>NS-C3-LF-D-RB1-X03</x:v>
      </x:c>
      <x:c r="D187" s="26" t="str">
        <x:v>C3-LF-D-RB1</x:v>
      </x:c>
      <x:c r="E187" s="26" t="str">
        <x:v>MS-LF</x:v>
      </x:c>
      <x:c r="F187" s="26" t="str">
        <x:v>D</x:v>
      </x:c>
      <x:c r="G187" s="26" t="str">
        <x:v>X03</x:v>
      </x:c>
      <x:c r="H187" s="26" t="str">
        <x:v>Primary energy conversion and safe-state chain</x:v>
      </x:c>
      <x:c r="I187" s="26" t="str">
        <x:v>ROOT_EXCLUSIVE</x:v>
      </x:c>
      <x:c r="J187" s="26" t="n">
        <x:f>'Controls'!$D$5</x:f>
        <x:v>1</x:v>
      </x:c>
      <x:c r="K187" s="38" t="str">
        <x:v>UNDECLARED</x:v>
      </x:c>
      <x:c r="L187" s="26" t="str">
        <x:f>IF(K187="UNDECLARED","n.a.",COUNTIFS($K$5:$K$292,K187))</x:f>
        <x:v>n.a.</x:v>
      </x:c>
      <x:c r="M187" s="26" t="str">
        <x:f>IF(K187="UNDECLARED","OPEN",IF(L187&lt;=J187,"PASS","FAIL"))</x:f>
        <x:v>OPEN</x:v>
      </x:c>
      <x:c r="N187" s="38" t="str">
        <x:v>UNASSIGNED</x:v>
      </x:c>
    </x:row>
    <x:row r="188" ht="25.5" customHeight="1">
      <x:c r="C188" s="26" t="str">
        <x:v>NS-C3-LF-D-RB1-X04</x:v>
      </x:c>
      <x:c r="D188" s="26" t="str">
        <x:v>C3-LF-D-RB1</x:v>
      </x:c>
      <x:c r="E188" s="26" t="str">
        <x:v>MS-LF</x:v>
      </x:c>
      <x:c r="F188" s="26" t="str">
        <x:v>D</x:v>
      </x:c>
      <x:c r="G188" s="26" t="str">
        <x:v>X04</x:v>
      </x:c>
      <x:c r="H188" s="26" t="str">
        <x:v>Structural and material process</x:v>
      </x:c>
      <x:c r="I188" s="26" t="str">
        <x:v>ROOT_EXCLUSIVE</x:v>
      </x:c>
      <x:c r="J188" s="26" t="n">
        <x:f>'Controls'!$D$5</x:f>
        <x:v>1</x:v>
      </x:c>
      <x:c r="K188" s="38" t="str">
        <x:v>UNDECLARED</x:v>
      </x:c>
      <x:c r="L188" s="26" t="str">
        <x:f>IF(K188="UNDECLARED","n.a.",COUNTIFS($K$5:$K$292,K188))</x:f>
        <x:v>n.a.</x:v>
      </x:c>
      <x:c r="M188" s="26" t="str">
        <x:f>IF(K188="UNDECLARED","OPEN",IF(L188&lt;=J188,"PASS","FAIL"))</x:f>
        <x:v>OPEN</x:v>
      </x:c>
      <x:c r="N188" s="38" t="str">
        <x:v>UNASSIGNED</x:v>
      </x:c>
    </x:row>
    <x:row r="189" ht="25.5" customHeight="1">
      <x:c r="C189" s="26" t="str">
        <x:v>NS-C3-LF-D-RB1-X05</x:v>
      </x:c>
      <x:c r="D189" s="26" t="str">
        <x:v>C3-LF-D-RB1</x:v>
      </x:c>
      <x:c r="E189" s="26" t="str">
        <x:v>MS-LF</x:v>
      </x:c>
      <x:c r="F189" s="26" t="str">
        <x:v>D</x:v>
      </x:c>
      <x:c r="G189" s="26" t="str">
        <x:v>X05</x:v>
      </x:c>
      <x:c r="H189" s="26" t="str">
        <x:v>Critical feedstock conversion</x:v>
      </x:c>
      <x:c r="I189" s="26" t="str">
        <x:v>ROOT_EXCLUSIVE</x:v>
      </x:c>
      <x:c r="J189" s="26" t="n">
        <x:f>'Controls'!$D$5</x:f>
        <x:v>1</x:v>
      </x:c>
      <x:c r="K189" s="38" t="str">
        <x:v>UNDECLARED</x:v>
      </x:c>
      <x:c r="L189" s="26" t="str">
        <x:f>IF(K189="UNDECLARED","n.a.",COUNTIFS($K$5:$K$292,K189))</x:f>
        <x:v>n.a.</x:v>
      </x:c>
      <x:c r="M189" s="26" t="str">
        <x:f>IF(K189="UNDECLARED","OPEN",IF(L189&lt;=J189,"PASS","FAIL"))</x:f>
        <x:v>OPEN</x:v>
      </x:c>
      <x:c r="N189" s="38" t="str">
        <x:v>UNASSIGNED</x:v>
      </x:c>
    </x:row>
    <x:row r="190" ht="25.5" customHeight="1">
      <x:c r="C190" s="26" t="str">
        <x:v>NS-C3-LF-D-RB1-X06</x:v>
      </x:c>
      <x:c r="D190" s="26" t="str">
        <x:v>C3-LF-D-RB1</x:v>
      </x:c>
      <x:c r="E190" s="26" t="str">
        <x:v>MS-LF</x:v>
      </x:c>
      <x:c r="F190" s="26" t="str">
        <x:v>D</x:v>
      </x:c>
      <x:c r="G190" s="26" t="str">
        <x:v>X06</x:v>
      </x:c>
      <x:c r="H190" s="26" t="str">
        <x:v>Control runtime, build system and signing keys</x:v>
      </x:c>
      <x:c r="I190" s="26" t="str">
        <x:v>ROOT_EXCLUSIVE</x:v>
      </x:c>
      <x:c r="J190" s="26" t="n">
        <x:f>'Controls'!$D$5</x:f>
        <x:v>1</x:v>
      </x:c>
      <x:c r="K190" s="38" t="str">
        <x:v>UNDECLARED</x:v>
      </x:c>
      <x:c r="L190" s="26" t="str">
        <x:f>IF(K190="UNDECLARED","n.a.",COUNTIFS($K$5:$K$292,K190))</x:f>
        <x:v>n.a.</x:v>
      </x:c>
      <x:c r="M190" s="26" t="str">
        <x:f>IF(K190="UNDECLARED","OPEN",IF(L190&lt;=J190,"PASS","FAIL"))</x:f>
        <x:v>OPEN</x:v>
      </x:c>
      <x:c r="N190" s="38" t="str">
        <x:v>UNASSIGNED</x:v>
      </x:c>
    </x:row>
    <x:row r="191" ht="25.5" customHeight="1">
      <x:c r="C191" s="26" t="str">
        <x:v>NS-C3-LF-D-RB1-X07</x:v>
      </x:c>
      <x:c r="D191" s="26" t="str">
        <x:v>C3-LF-D-RB1</x:v>
      </x:c>
      <x:c r="E191" s="26" t="str">
        <x:v>MS-LF</x:v>
      </x:c>
      <x:c r="F191" s="26" t="str">
        <x:v>D</x:v>
      </x:c>
      <x:c r="G191" s="26" t="str">
        <x:v>X07</x:v>
      </x:c>
      <x:c r="H191" s="26" t="str">
        <x:v>Communications and causal-time implementation</x:v>
      </x:c>
      <x:c r="I191" s="26" t="str">
        <x:v>ROOT_EXCLUSIVE</x:v>
      </x:c>
      <x:c r="J191" s="26" t="n">
        <x:f>'Controls'!$D$5</x:f>
        <x:v>1</x:v>
      </x:c>
      <x:c r="K191" s="38" t="str">
        <x:v>UNDECLARED</x:v>
      </x:c>
      <x:c r="L191" s="26" t="str">
        <x:f>IF(K191="UNDECLARED","n.a.",COUNTIFS($K$5:$K$292,K191))</x:f>
        <x:v>n.a.</x:v>
      </x:c>
      <x:c r="M191" s="26" t="str">
        <x:f>IF(K191="UNDECLARED","OPEN",IF(L191&lt;=J191,"PASS","FAIL"))</x:f>
        <x:v>OPEN</x:v>
      </x:c>
      <x:c r="N191" s="38" t="str">
        <x:v>UNASSIGNED</x:v>
      </x:c>
    </x:row>
    <x:row r="192" ht="25.5" customHeight="1">
      <x:c r="C192" s="26" t="str">
        <x:v>NS-C3-LF-D-RB1-X08</x:v>
      </x:c>
      <x:c r="D192" s="26" t="str">
        <x:v>C3-LF-D-RB1</x:v>
      </x:c>
      <x:c r="E192" s="26" t="str">
        <x:v>MS-LF</x:v>
      </x:c>
      <x:c r="F192" s="26" t="str">
        <x:v>D</x:v>
      </x:c>
      <x:c r="G192" s="26" t="str">
        <x:v>X08</x:v>
      </x:c>
      <x:c r="H192" s="26" t="str">
        <x:v>Sensing, calibration and uncertainty chain</x:v>
      </x:c>
      <x:c r="I192" s="26" t="str">
        <x:v>ROOT_EXCLUSIVE</x:v>
      </x:c>
      <x:c r="J192" s="26" t="n">
        <x:f>'Controls'!$D$5</x:f>
        <x:v>1</x:v>
      </x:c>
      <x:c r="K192" s="38" t="str">
        <x:v>UNDECLARED</x:v>
      </x:c>
      <x:c r="L192" s="26" t="str">
        <x:f>IF(K192="UNDECLARED","n.a.",COUNTIFS($K$5:$K$292,K192))</x:f>
        <x:v>n.a.</x:v>
      </x:c>
      <x:c r="M192" s="26" t="str">
        <x:f>IF(K192="UNDECLARED","OPEN",IF(L192&lt;=J192,"PASS","FAIL"))</x:f>
        <x:v>OPEN</x:v>
      </x:c>
      <x:c r="N192" s="38" t="str">
        <x:v>UNASSIGNED</x:v>
      </x:c>
    </x:row>
    <x:row r="193" ht="25.5" customHeight="1">
      <x:c r="C193" s="26" t="str">
        <x:v>NS-C3-LF-D-RB1-X09</x:v>
      </x:c>
      <x:c r="D193" s="26" t="str">
        <x:v>C3-LF-D-RB1</x:v>
      </x:c>
      <x:c r="E193" s="26" t="str">
        <x:v>MS-LF</x:v>
      </x:c>
      <x:c r="F193" s="26" t="str">
        <x:v>D</x:v>
      </x:c>
      <x:c r="G193" s="26" t="str">
        <x:v>X09</x:v>
      </x:c>
      <x:c r="H193" s="26" t="str">
        <x:v>Production tooling and pilot line</x:v>
      </x:c>
      <x:c r="I193" s="26" t="str">
        <x:v>ROOT_EXCLUSIVE</x:v>
      </x:c>
      <x:c r="J193" s="26" t="n">
        <x:f>'Controls'!$D$5</x:f>
        <x:v>1</x:v>
      </x:c>
      <x:c r="K193" s="38" t="str">
        <x:v>UNDECLARED</x:v>
      </x:c>
      <x:c r="L193" s="26" t="str">
        <x:f>IF(K193="UNDECLARED","n.a.",COUNTIFS($K$5:$K$292,K193))</x:f>
        <x:v>n.a.</x:v>
      </x:c>
      <x:c r="M193" s="26" t="str">
        <x:f>IF(K193="UNDECLARED","OPEN",IF(L193&lt;=J193,"PASS","FAIL"))</x:f>
        <x:v>OPEN</x:v>
      </x:c>
      <x:c r="N193" s="38" t="str">
        <x:v>UNASSIGNED</x:v>
      </x:c>
    </x:row>
    <x:row r="194" ht="25.5" customHeight="1">
      <x:c r="C194" s="26" t="str">
        <x:v>NS-C3-LF-D-RB1-X10</x:v>
      </x:c>
      <x:c r="D194" s="26" t="str">
        <x:v>C3-LF-D-RB1</x:v>
      </x:c>
      <x:c r="E194" s="26" t="str">
        <x:v>MS-LF</x:v>
      </x:c>
      <x:c r="F194" s="26" t="str">
        <x:v>D</x:v>
      </x:c>
      <x:c r="G194" s="26" t="str">
        <x:v>X10</x:v>
      </x:c>
      <x:c r="H194" s="26" t="str">
        <x:v>Final assembly site and critical workforce</x:v>
      </x:c>
      <x:c r="I194" s="26" t="str">
        <x:v>ROOT_EXCLUSIVE</x:v>
      </x:c>
      <x:c r="J194" s="26" t="n">
        <x:f>'Controls'!$D$5</x:f>
        <x:v>1</x:v>
      </x:c>
      <x:c r="K194" s="38" t="str">
        <x:v>UNDECLARED</x:v>
      </x:c>
      <x:c r="L194" s="26" t="str">
        <x:f>IF(K194="UNDECLARED","n.a.",COUNTIFS($K$5:$K$292,K194))</x:f>
        <x:v>n.a.</x:v>
      </x:c>
      <x:c r="M194" s="26" t="str">
        <x:f>IF(K194="UNDECLARED","OPEN",IF(L194&lt;=J194,"PASS","FAIL"))</x:f>
        <x:v>OPEN</x:v>
      </x:c>
      <x:c r="N194" s="38" t="str">
        <x:v>UNASSIGNED</x:v>
      </x:c>
    </x:row>
    <x:row r="195" ht="25.5" customHeight="1">
      <x:c r="C195" s="26" t="str">
        <x:v>NS-C3-LF-D-RB1-X11</x:v>
      </x:c>
      <x:c r="D195" s="26" t="str">
        <x:v>C3-LF-D-RB1</x:v>
      </x:c>
      <x:c r="E195" s="26" t="str">
        <x:v>MS-LF</x:v>
      </x:c>
      <x:c r="F195" s="26" t="str">
        <x:v>D</x:v>
      </x:c>
      <x:c r="G195" s="26" t="str">
        <x:v>X11</x:v>
      </x:c>
      <x:c r="H195" s="26" t="str">
        <x:v>Repair, reset and second-team reproduction</x:v>
      </x:c>
      <x:c r="I195" s="26" t="str">
        <x:v>ROOT_EXCLUSIVE</x:v>
      </x:c>
      <x:c r="J195" s="26" t="n">
        <x:f>'Controls'!$D$5</x:f>
        <x:v>1</x:v>
      </x:c>
      <x:c r="K195" s="38" t="str">
        <x:v>UNDECLARED</x:v>
      </x:c>
      <x:c r="L195" s="26" t="str">
        <x:f>IF(K195="UNDECLARED","n.a.",COUNTIFS($K$5:$K$292,K195))</x:f>
        <x:v>n.a.</x:v>
      </x:c>
      <x:c r="M195" s="26" t="str">
        <x:f>IF(K195="UNDECLARED","OPEN",IF(L195&lt;=J195,"PASS","FAIL"))</x:f>
        <x:v>OPEN</x:v>
      </x:c>
      <x:c r="N195" s="38" t="str">
        <x:v>UNASSIGNED</x:v>
      </x:c>
    </x:row>
    <x:row r="196" ht="25.5" customHeight="1">
      <x:c r="C196" s="26" t="str">
        <x:v>NS-C3-LF-D-RB1-X12</x:v>
      </x:c>
      <x:c r="D196" s="26" t="str">
        <x:v>C3-LF-D-RB1</x:v>
      </x:c>
      <x:c r="E196" s="26" t="str">
        <x:v>MS-LF</x:v>
      </x:c>
      <x:c r="F196" s="26" t="str">
        <x:v>D</x:v>
      </x:c>
      <x:c r="G196" s="26" t="str">
        <x:v>X12</x:v>
      </x:c>
      <x:c r="H196" s="26" t="str">
        <x:v>Evidence capture, custody and outside replay</x:v>
      </x:c>
      <x:c r="I196" s="26" t="str">
        <x:v>ROOT_EXCLUSIVE</x:v>
      </x:c>
      <x:c r="J196" s="26" t="n">
        <x:f>'Controls'!$D$5</x:f>
        <x:v>1</x:v>
      </x:c>
      <x:c r="K196" s="38" t="str">
        <x:v>UNDECLARED</x:v>
      </x:c>
      <x:c r="L196" s="26" t="str">
        <x:f>IF(K196="UNDECLARED","n.a.",COUNTIFS($K$5:$K$292,K196))</x:f>
        <x:v>n.a.</x:v>
      </x:c>
      <x:c r="M196" s="26" t="str">
        <x:f>IF(K196="UNDECLARED","OPEN",IF(L196&lt;=J196,"PASS","FAIL"))</x:f>
        <x:v>OPEN</x:v>
      </x:c>
      <x:c r="N196" s="38" t="str">
        <x:v>UNASSIGNED</x:v>
      </x:c>
    </x:row>
    <x:row r="197" ht="25.5" customHeight="1">
      <x:c r="C197" s="26" t="str">
        <x:v>NS-C3-HU-A-RB1-X01</x:v>
      </x:c>
      <x:c r="D197" s="26" t="str">
        <x:v>C3-HU-A-RB1</x:v>
      </x:c>
      <x:c r="E197" s="26" t="str">
        <x:v>MS-HU</x:v>
      </x:c>
      <x:c r="F197" s="26" t="str">
        <x:v>A</x:v>
      </x:c>
      <x:c r="G197" s="26" t="str">
        <x:v>X01</x:v>
      </x:c>
      <x:c r="H197" s="26" t="str">
        <x:v>Root integrator and beneficial control</x:v>
      </x:c>
      <x:c r="I197" s="26" t="str">
        <x:v>ROOT_EXCLUSIVE</x:v>
      </x:c>
      <x:c r="J197" s="26" t="n">
        <x:f>'Controls'!$D$5</x:f>
        <x:v>1</x:v>
      </x:c>
      <x:c r="K197" s="38" t="str">
        <x:v>UNDECLARED</x:v>
      </x:c>
      <x:c r="L197" s="26" t="str">
        <x:f>IF(K197="UNDECLARED","n.a.",COUNTIFS($K$5:$K$292,K197))</x:f>
        <x:v>n.a.</x:v>
      </x:c>
      <x:c r="M197" s="26" t="str">
        <x:f>IF(K197="UNDECLARED","OPEN",IF(L197&lt;=J197,"PASS","FAIL"))</x:f>
        <x:v>OPEN</x:v>
      </x:c>
      <x:c r="N197" s="38" t="str">
        <x:v>UNASSIGNED</x:v>
      </x:c>
    </x:row>
    <x:row r="198" ht="25.5" customHeight="1">
      <x:c r="C198" s="26" t="str">
        <x:v>NS-C3-HU-A-RB1-X02</x:v>
      </x:c>
      <x:c r="D198" s="26" t="str">
        <x:v>C3-HU-A-RB1</x:v>
      </x:c>
      <x:c r="E198" s="26" t="str">
        <x:v>MS-HU</x:v>
      </x:c>
      <x:c r="F198" s="26" t="str">
        <x:v>A</x:v>
      </x:c>
      <x:c r="G198" s="26" t="str">
        <x:v>X02</x:v>
      </x:c>
      <x:c r="H198" s="26" t="str">
        <x:v>Prime work physics and mechanism authority</x:v>
      </x:c>
      <x:c r="I198" s="26" t="str">
        <x:v>ROOT_EXCLUSIVE</x:v>
      </x:c>
      <x:c r="J198" s="26" t="n">
        <x:f>'Controls'!$D$5</x:f>
        <x:v>1</x:v>
      </x:c>
      <x:c r="K198" s="38" t="str">
        <x:v>UNDECLARED</x:v>
      </x:c>
      <x:c r="L198" s="26" t="str">
        <x:f>IF(K198="UNDECLARED","n.a.",COUNTIFS($K$5:$K$292,K198))</x:f>
        <x:v>n.a.</x:v>
      </x:c>
      <x:c r="M198" s="26" t="str">
        <x:f>IF(K198="UNDECLARED","OPEN",IF(L198&lt;=J198,"PASS","FAIL"))</x:f>
        <x:v>OPEN</x:v>
      </x:c>
      <x:c r="N198" s="38" t="str">
        <x:v>UNASSIGNED</x:v>
      </x:c>
    </x:row>
    <x:row r="199" ht="25.5" customHeight="1">
      <x:c r="C199" s="26" t="str">
        <x:v>NS-C3-HU-A-RB1-X03</x:v>
      </x:c>
      <x:c r="D199" s="26" t="str">
        <x:v>C3-HU-A-RB1</x:v>
      </x:c>
      <x:c r="E199" s="26" t="str">
        <x:v>MS-HU</x:v>
      </x:c>
      <x:c r="F199" s="26" t="str">
        <x:v>A</x:v>
      </x:c>
      <x:c r="G199" s="26" t="str">
        <x:v>X03</x:v>
      </x:c>
      <x:c r="H199" s="26" t="str">
        <x:v>Primary energy conversion and safe-state chain</x:v>
      </x:c>
      <x:c r="I199" s="26" t="str">
        <x:v>ROOT_EXCLUSIVE</x:v>
      </x:c>
      <x:c r="J199" s="26" t="n">
        <x:f>'Controls'!$D$5</x:f>
        <x:v>1</x:v>
      </x:c>
      <x:c r="K199" s="38" t="str">
        <x:v>UNDECLARED</x:v>
      </x:c>
      <x:c r="L199" s="26" t="str">
        <x:f>IF(K199="UNDECLARED","n.a.",COUNTIFS($K$5:$K$292,K199))</x:f>
        <x:v>n.a.</x:v>
      </x:c>
      <x:c r="M199" s="26" t="str">
        <x:f>IF(K199="UNDECLARED","OPEN",IF(L199&lt;=J199,"PASS","FAIL"))</x:f>
        <x:v>OPEN</x:v>
      </x:c>
      <x:c r="N199" s="38" t="str">
        <x:v>UNASSIGNED</x:v>
      </x:c>
    </x:row>
    <x:row r="200" ht="25.5" customHeight="1">
      <x:c r="C200" s="26" t="str">
        <x:v>NS-C3-HU-A-RB1-X04</x:v>
      </x:c>
      <x:c r="D200" s="26" t="str">
        <x:v>C3-HU-A-RB1</x:v>
      </x:c>
      <x:c r="E200" s="26" t="str">
        <x:v>MS-HU</x:v>
      </x:c>
      <x:c r="F200" s="26" t="str">
        <x:v>A</x:v>
      </x:c>
      <x:c r="G200" s="26" t="str">
        <x:v>X04</x:v>
      </x:c>
      <x:c r="H200" s="26" t="str">
        <x:v>Structural and material process</x:v>
      </x:c>
      <x:c r="I200" s="26" t="str">
        <x:v>ROOT_EXCLUSIVE</x:v>
      </x:c>
      <x:c r="J200" s="26" t="n">
        <x:f>'Controls'!$D$5</x:f>
        <x:v>1</x:v>
      </x:c>
      <x:c r="K200" s="38" t="str">
        <x:v>UNDECLARED</x:v>
      </x:c>
      <x:c r="L200" s="26" t="str">
        <x:f>IF(K200="UNDECLARED","n.a.",COUNTIFS($K$5:$K$292,K200))</x:f>
        <x:v>n.a.</x:v>
      </x:c>
      <x:c r="M200" s="26" t="str">
        <x:f>IF(K200="UNDECLARED","OPEN",IF(L200&lt;=J200,"PASS","FAIL"))</x:f>
        <x:v>OPEN</x:v>
      </x:c>
      <x:c r="N200" s="38" t="str">
        <x:v>UNASSIGNED</x:v>
      </x:c>
    </x:row>
    <x:row r="201" ht="25.5" customHeight="1">
      <x:c r="C201" s="26" t="str">
        <x:v>NS-C3-HU-A-RB1-X05</x:v>
      </x:c>
      <x:c r="D201" s="26" t="str">
        <x:v>C3-HU-A-RB1</x:v>
      </x:c>
      <x:c r="E201" s="26" t="str">
        <x:v>MS-HU</x:v>
      </x:c>
      <x:c r="F201" s="26" t="str">
        <x:v>A</x:v>
      </x:c>
      <x:c r="G201" s="26" t="str">
        <x:v>X05</x:v>
      </x:c>
      <x:c r="H201" s="26" t="str">
        <x:v>Critical feedstock conversion</x:v>
      </x:c>
      <x:c r="I201" s="26" t="str">
        <x:v>ROOT_EXCLUSIVE</x:v>
      </x:c>
      <x:c r="J201" s="26" t="n">
        <x:f>'Controls'!$D$5</x:f>
        <x:v>1</x:v>
      </x:c>
      <x:c r="K201" s="38" t="str">
        <x:v>UNDECLARED</x:v>
      </x:c>
      <x:c r="L201" s="26" t="str">
        <x:f>IF(K201="UNDECLARED","n.a.",COUNTIFS($K$5:$K$292,K201))</x:f>
        <x:v>n.a.</x:v>
      </x:c>
      <x:c r="M201" s="26" t="str">
        <x:f>IF(K201="UNDECLARED","OPEN",IF(L201&lt;=J201,"PASS","FAIL"))</x:f>
        <x:v>OPEN</x:v>
      </x:c>
      <x:c r="N201" s="38" t="str">
        <x:v>UNASSIGNED</x:v>
      </x:c>
    </x:row>
    <x:row r="202" ht="25.5" customHeight="1">
      <x:c r="C202" s="26" t="str">
        <x:v>NS-C3-HU-A-RB1-X06</x:v>
      </x:c>
      <x:c r="D202" s="26" t="str">
        <x:v>C3-HU-A-RB1</x:v>
      </x:c>
      <x:c r="E202" s="26" t="str">
        <x:v>MS-HU</x:v>
      </x:c>
      <x:c r="F202" s="26" t="str">
        <x:v>A</x:v>
      </x:c>
      <x:c r="G202" s="26" t="str">
        <x:v>X06</x:v>
      </x:c>
      <x:c r="H202" s="26" t="str">
        <x:v>Control runtime, build system and signing keys</x:v>
      </x:c>
      <x:c r="I202" s="26" t="str">
        <x:v>ROOT_EXCLUSIVE</x:v>
      </x:c>
      <x:c r="J202" s="26" t="n">
        <x:f>'Controls'!$D$5</x:f>
        <x:v>1</x:v>
      </x:c>
      <x:c r="K202" s="38" t="str">
        <x:v>UNDECLARED</x:v>
      </x:c>
      <x:c r="L202" s="26" t="str">
        <x:f>IF(K202="UNDECLARED","n.a.",COUNTIFS($K$5:$K$292,K202))</x:f>
        <x:v>n.a.</x:v>
      </x:c>
      <x:c r="M202" s="26" t="str">
        <x:f>IF(K202="UNDECLARED","OPEN",IF(L202&lt;=J202,"PASS","FAIL"))</x:f>
        <x:v>OPEN</x:v>
      </x:c>
      <x:c r="N202" s="38" t="str">
        <x:v>UNASSIGNED</x:v>
      </x:c>
    </x:row>
    <x:row r="203" ht="25.5" customHeight="1">
      <x:c r="C203" s="26" t="str">
        <x:v>NS-C3-HU-A-RB1-X07</x:v>
      </x:c>
      <x:c r="D203" s="26" t="str">
        <x:v>C3-HU-A-RB1</x:v>
      </x:c>
      <x:c r="E203" s="26" t="str">
        <x:v>MS-HU</x:v>
      </x:c>
      <x:c r="F203" s="26" t="str">
        <x:v>A</x:v>
      </x:c>
      <x:c r="G203" s="26" t="str">
        <x:v>X07</x:v>
      </x:c>
      <x:c r="H203" s="26" t="str">
        <x:v>Communications and causal-time implementation</x:v>
      </x:c>
      <x:c r="I203" s="26" t="str">
        <x:v>ROOT_EXCLUSIVE</x:v>
      </x:c>
      <x:c r="J203" s="26" t="n">
        <x:f>'Controls'!$D$5</x:f>
        <x:v>1</x:v>
      </x:c>
      <x:c r="K203" s="38" t="str">
        <x:v>UNDECLARED</x:v>
      </x:c>
      <x:c r="L203" s="26" t="str">
        <x:f>IF(K203="UNDECLARED","n.a.",COUNTIFS($K$5:$K$292,K203))</x:f>
        <x:v>n.a.</x:v>
      </x:c>
      <x:c r="M203" s="26" t="str">
        <x:f>IF(K203="UNDECLARED","OPEN",IF(L203&lt;=J203,"PASS","FAIL"))</x:f>
        <x:v>OPEN</x:v>
      </x:c>
      <x:c r="N203" s="38" t="str">
        <x:v>UNASSIGNED</x:v>
      </x:c>
    </x:row>
    <x:row r="204" ht="25.5" customHeight="1">
      <x:c r="C204" s="26" t="str">
        <x:v>NS-C3-HU-A-RB1-X08</x:v>
      </x:c>
      <x:c r="D204" s="26" t="str">
        <x:v>C3-HU-A-RB1</x:v>
      </x:c>
      <x:c r="E204" s="26" t="str">
        <x:v>MS-HU</x:v>
      </x:c>
      <x:c r="F204" s="26" t="str">
        <x:v>A</x:v>
      </x:c>
      <x:c r="G204" s="26" t="str">
        <x:v>X08</x:v>
      </x:c>
      <x:c r="H204" s="26" t="str">
        <x:v>Sensing, calibration and uncertainty chain</x:v>
      </x:c>
      <x:c r="I204" s="26" t="str">
        <x:v>ROOT_EXCLUSIVE</x:v>
      </x:c>
      <x:c r="J204" s="26" t="n">
        <x:f>'Controls'!$D$5</x:f>
        <x:v>1</x:v>
      </x:c>
      <x:c r="K204" s="38" t="str">
        <x:v>UNDECLARED</x:v>
      </x:c>
      <x:c r="L204" s="26" t="str">
        <x:f>IF(K204="UNDECLARED","n.a.",COUNTIFS($K$5:$K$292,K204))</x:f>
        <x:v>n.a.</x:v>
      </x:c>
      <x:c r="M204" s="26" t="str">
        <x:f>IF(K204="UNDECLARED","OPEN",IF(L204&lt;=J204,"PASS","FAIL"))</x:f>
        <x:v>OPEN</x:v>
      </x:c>
      <x:c r="N204" s="38" t="str">
        <x:v>UNASSIGNED</x:v>
      </x:c>
    </x:row>
    <x:row r="205" ht="25.5" customHeight="1">
      <x:c r="C205" s="26" t="str">
        <x:v>NS-C3-HU-A-RB1-X09</x:v>
      </x:c>
      <x:c r="D205" s="26" t="str">
        <x:v>C3-HU-A-RB1</x:v>
      </x:c>
      <x:c r="E205" s="26" t="str">
        <x:v>MS-HU</x:v>
      </x:c>
      <x:c r="F205" s="26" t="str">
        <x:v>A</x:v>
      </x:c>
      <x:c r="G205" s="26" t="str">
        <x:v>X09</x:v>
      </x:c>
      <x:c r="H205" s="26" t="str">
        <x:v>Production tooling and pilot line</x:v>
      </x:c>
      <x:c r="I205" s="26" t="str">
        <x:v>ROOT_EXCLUSIVE</x:v>
      </x:c>
      <x:c r="J205" s="26" t="n">
        <x:f>'Controls'!$D$5</x:f>
        <x:v>1</x:v>
      </x:c>
      <x:c r="K205" s="38" t="str">
        <x:v>UNDECLARED</x:v>
      </x:c>
      <x:c r="L205" s="26" t="str">
        <x:f>IF(K205="UNDECLARED","n.a.",COUNTIFS($K$5:$K$292,K205))</x:f>
        <x:v>n.a.</x:v>
      </x:c>
      <x:c r="M205" s="26" t="str">
        <x:f>IF(K205="UNDECLARED","OPEN",IF(L205&lt;=J205,"PASS","FAIL"))</x:f>
        <x:v>OPEN</x:v>
      </x:c>
      <x:c r="N205" s="38" t="str">
        <x:v>UNASSIGNED</x:v>
      </x:c>
    </x:row>
    <x:row r="206" ht="25.5" customHeight="1">
      <x:c r="C206" s="26" t="str">
        <x:v>NS-C3-HU-A-RB1-X10</x:v>
      </x:c>
      <x:c r="D206" s="26" t="str">
        <x:v>C3-HU-A-RB1</x:v>
      </x:c>
      <x:c r="E206" s="26" t="str">
        <x:v>MS-HU</x:v>
      </x:c>
      <x:c r="F206" s="26" t="str">
        <x:v>A</x:v>
      </x:c>
      <x:c r="G206" s="26" t="str">
        <x:v>X10</x:v>
      </x:c>
      <x:c r="H206" s="26" t="str">
        <x:v>Final assembly site and critical workforce</x:v>
      </x:c>
      <x:c r="I206" s="26" t="str">
        <x:v>ROOT_EXCLUSIVE</x:v>
      </x:c>
      <x:c r="J206" s="26" t="n">
        <x:f>'Controls'!$D$5</x:f>
        <x:v>1</x:v>
      </x:c>
      <x:c r="K206" s="38" t="str">
        <x:v>UNDECLARED</x:v>
      </x:c>
      <x:c r="L206" s="26" t="str">
        <x:f>IF(K206="UNDECLARED","n.a.",COUNTIFS($K$5:$K$292,K206))</x:f>
        <x:v>n.a.</x:v>
      </x:c>
      <x:c r="M206" s="26" t="str">
        <x:f>IF(K206="UNDECLARED","OPEN",IF(L206&lt;=J206,"PASS","FAIL"))</x:f>
        <x:v>OPEN</x:v>
      </x:c>
      <x:c r="N206" s="38" t="str">
        <x:v>UNASSIGNED</x:v>
      </x:c>
    </x:row>
    <x:row r="207" ht="25.5" customHeight="1">
      <x:c r="C207" s="26" t="str">
        <x:v>NS-C3-HU-A-RB1-X11</x:v>
      </x:c>
      <x:c r="D207" s="26" t="str">
        <x:v>C3-HU-A-RB1</x:v>
      </x:c>
      <x:c r="E207" s="26" t="str">
        <x:v>MS-HU</x:v>
      </x:c>
      <x:c r="F207" s="26" t="str">
        <x:v>A</x:v>
      </x:c>
      <x:c r="G207" s="26" t="str">
        <x:v>X11</x:v>
      </x:c>
      <x:c r="H207" s="26" t="str">
        <x:v>Repair, reset and second-team reproduction</x:v>
      </x:c>
      <x:c r="I207" s="26" t="str">
        <x:v>ROOT_EXCLUSIVE</x:v>
      </x:c>
      <x:c r="J207" s="26" t="n">
        <x:f>'Controls'!$D$5</x:f>
        <x:v>1</x:v>
      </x:c>
      <x:c r="K207" s="38" t="str">
        <x:v>UNDECLARED</x:v>
      </x:c>
      <x:c r="L207" s="26" t="str">
        <x:f>IF(K207="UNDECLARED","n.a.",COUNTIFS($K$5:$K$292,K207))</x:f>
        <x:v>n.a.</x:v>
      </x:c>
      <x:c r="M207" s="26" t="str">
        <x:f>IF(K207="UNDECLARED","OPEN",IF(L207&lt;=J207,"PASS","FAIL"))</x:f>
        <x:v>OPEN</x:v>
      </x:c>
      <x:c r="N207" s="38" t="str">
        <x:v>UNASSIGNED</x:v>
      </x:c>
    </x:row>
    <x:row r="208" ht="25.5" customHeight="1">
      <x:c r="C208" s="26" t="str">
        <x:v>NS-C3-HU-A-RB1-X12</x:v>
      </x:c>
      <x:c r="D208" s="26" t="str">
        <x:v>C3-HU-A-RB1</x:v>
      </x:c>
      <x:c r="E208" s="26" t="str">
        <x:v>MS-HU</x:v>
      </x:c>
      <x:c r="F208" s="26" t="str">
        <x:v>A</x:v>
      </x:c>
      <x:c r="G208" s="26" t="str">
        <x:v>X12</x:v>
      </x:c>
      <x:c r="H208" s="26" t="str">
        <x:v>Evidence capture, custody and outside replay</x:v>
      </x:c>
      <x:c r="I208" s="26" t="str">
        <x:v>ROOT_EXCLUSIVE</x:v>
      </x:c>
      <x:c r="J208" s="26" t="n">
        <x:f>'Controls'!$D$5</x:f>
        <x:v>1</x:v>
      </x:c>
      <x:c r="K208" s="38" t="str">
        <x:v>UNDECLARED</x:v>
      </x:c>
      <x:c r="L208" s="26" t="str">
        <x:f>IF(K208="UNDECLARED","n.a.",COUNTIFS($K$5:$K$292,K208))</x:f>
        <x:v>n.a.</x:v>
      </x:c>
      <x:c r="M208" s="26" t="str">
        <x:f>IF(K208="UNDECLARED","OPEN",IF(L208&lt;=J208,"PASS","FAIL"))</x:f>
        <x:v>OPEN</x:v>
      </x:c>
      <x:c r="N208" s="38" t="str">
        <x:v>UNASSIGNED</x:v>
      </x:c>
    </x:row>
    <x:row r="209" ht="25.5" customHeight="1">
      <x:c r="C209" s="26" t="str">
        <x:v>NS-C3-HU-B-RB1-X01</x:v>
      </x:c>
      <x:c r="D209" s="26" t="str">
        <x:v>C3-HU-B-RB1</x:v>
      </x:c>
      <x:c r="E209" s="26" t="str">
        <x:v>MS-HU</x:v>
      </x:c>
      <x:c r="F209" s="26" t="str">
        <x:v>B</x:v>
      </x:c>
      <x:c r="G209" s="26" t="str">
        <x:v>X01</x:v>
      </x:c>
      <x:c r="H209" s="26" t="str">
        <x:v>Root integrator and beneficial control</x:v>
      </x:c>
      <x:c r="I209" s="26" t="str">
        <x:v>ROOT_EXCLUSIVE</x:v>
      </x:c>
      <x:c r="J209" s="26" t="n">
        <x:f>'Controls'!$D$5</x:f>
        <x:v>1</x:v>
      </x:c>
      <x:c r="K209" s="38" t="str">
        <x:v>UNDECLARED</x:v>
      </x:c>
      <x:c r="L209" s="26" t="str">
        <x:f>IF(K209="UNDECLARED","n.a.",COUNTIFS($K$5:$K$292,K209))</x:f>
        <x:v>n.a.</x:v>
      </x:c>
      <x:c r="M209" s="26" t="str">
        <x:f>IF(K209="UNDECLARED","OPEN",IF(L209&lt;=J209,"PASS","FAIL"))</x:f>
        <x:v>OPEN</x:v>
      </x:c>
      <x:c r="N209" s="38" t="str">
        <x:v>UNASSIGNED</x:v>
      </x:c>
    </x:row>
    <x:row r="210" ht="25.5" customHeight="1">
      <x:c r="C210" s="26" t="str">
        <x:v>NS-C3-HU-B-RB1-X02</x:v>
      </x:c>
      <x:c r="D210" s="26" t="str">
        <x:v>C3-HU-B-RB1</x:v>
      </x:c>
      <x:c r="E210" s="26" t="str">
        <x:v>MS-HU</x:v>
      </x:c>
      <x:c r="F210" s="26" t="str">
        <x:v>B</x:v>
      </x:c>
      <x:c r="G210" s="26" t="str">
        <x:v>X02</x:v>
      </x:c>
      <x:c r="H210" s="26" t="str">
        <x:v>Prime work physics and mechanism authority</x:v>
      </x:c>
      <x:c r="I210" s="26" t="str">
        <x:v>ROOT_EXCLUSIVE</x:v>
      </x:c>
      <x:c r="J210" s="26" t="n">
        <x:f>'Controls'!$D$5</x:f>
        <x:v>1</x:v>
      </x:c>
      <x:c r="K210" s="38" t="str">
        <x:v>UNDECLARED</x:v>
      </x:c>
      <x:c r="L210" s="26" t="str">
        <x:f>IF(K210="UNDECLARED","n.a.",COUNTIFS($K$5:$K$292,K210))</x:f>
        <x:v>n.a.</x:v>
      </x:c>
      <x:c r="M210" s="26" t="str">
        <x:f>IF(K210="UNDECLARED","OPEN",IF(L210&lt;=J210,"PASS","FAIL"))</x:f>
        <x:v>OPEN</x:v>
      </x:c>
      <x:c r="N210" s="38" t="str">
        <x:v>UNASSIGNED</x:v>
      </x:c>
    </x:row>
    <x:row r="211" ht="25.5" customHeight="1">
      <x:c r="C211" s="26" t="str">
        <x:v>NS-C3-HU-B-RB1-X03</x:v>
      </x:c>
      <x:c r="D211" s="26" t="str">
        <x:v>C3-HU-B-RB1</x:v>
      </x:c>
      <x:c r="E211" s="26" t="str">
        <x:v>MS-HU</x:v>
      </x:c>
      <x:c r="F211" s="26" t="str">
        <x:v>B</x:v>
      </x:c>
      <x:c r="G211" s="26" t="str">
        <x:v>X03</x:v>
      </x:c>
      <x:c r="H211" s="26" t="str">
        <x:v>Primary energy conversion and safe-state chain</x:v>
      </x:c>
      <x:c r="I211" s="26" t="str">
        <x:v>ROOT_EXCLUSIVE</x:v>
      </x:c>
      <x:c r="J211" s="26" t="n">
        <x:f>'Controls'!$D$5</x:f>
        <x:v>1</x:v>
      </x:c>
      <x:c r="K211" s="38" t="str">
        <x:v>UNDECLARED</x:v>
      </x:c>
      <x:c r="L211" s="26" t="str">
        <x:f>IF(K211="UNDECLARED","n.a.",COUNTIFS($K$5:$K$292,K211))</x:f>
        <x:v>n.a.</x:v>
      </x:c>
      <x:c r="M211" s="26" t="str">
        <x:f>IF(K211="UNDECLARED","OPEN",IF(L211&lt;=J211,"PASS","FAIL"))</x:f>
        <x:v>OPEN</x:v>
      </x:c>
      <x:c r="N211" s="38" t="str">
        <x:v>UNASSIGNED</x:v>
      </x:c>
    </x:row>
    <x:row r="212" ht="25.5" customHeight="1">
      <x:c r="C212" s="26" t="str">
        <x:v>NS-C3-HU-B-RB1-X04</x:v>
      </x:c>
      <x:c r="D212" s="26" t="str">
        <x:v>C3-HU-B-RB1</x:v>
      </x:c>
      <x:c r="E212" s="26" t="str">
        <x:v>MS-HU</x:v>
      </x:c>
      <x:c r="F212" s="26" t="str">
        <x:v>B</x:v>
      </x:c>
      <x:c r="G212" s="26" t="str">
        <x:v>X04</x:v>
      </x:c>
      <x:c r="H212" s="26" t="str">
        <x:v>Structural and material process</x:v>
      </x:c>
      <x:c r="I212" s="26" t="str">
        <x:v>ROOT_EXCLUSIVE</x:v>
      </x:c>
      <x:c r="J212" s="26" t="n">
        <x:f>'Controls'!$D$5</x:f>
        <x:v>1</x:v>
      </x:c>
      <x:c r="K212" s="38" t="str">
        <x:v>UNDECLARED</x:v>
      </x:c>
      <x:c r="L212" s="26" t="str">
        <x:f>IF(K212="UNDECLARED","n.a.",COUNTIFS($K$5:$K$292,K212))</x:f>
        <x:v>n.a.</x:v>
      </x:c>
      <x:c r="M212" s="26" t="str">
        <x:f>IF(K212="UNDECLARED","OPEN",IF(L212&lt;=J212,"PASS","FAIL"))</x:f>
        <x:v>OPEN</x:v>
      </x:c>
      <x:c r="N212" s="38" t="str">
        <x:v>UNASSIGNED</x:v>
      </x:c>
    </x:row>
    <x:row r="213" ht="25.5" customHeight="1">
      <x:c r="C213" s="26" t="str">
        <x:v>NS-C3-HU-B-RB1-X05</x:v>
      </x:c>
      <x:c r="D213" s="26" t="str">
        <x:v>C3-HU-B-RB1</x:v>
      </x:c>
      <x:c r="E213" s="26" t="str">
        <x:v>MS-HU</x:v>
      </x:c>
      <x:c r="F213" s="26" t="str">
        <x:v>B</x:v>
      </x:c>
      <x:c r="G213" s="26" t="str">
        <x:v>X05</x:v>
      </x:c>
      <x:c r="H213" s="26" t="str">
        <x:v>Critical feedstock conversion</x:v>
      </x:c>
      <x:c r="I213" s="26" t="str">
        <x:v>ROOT_EXCLUSIVE</x:v>
      </x:c>
      <x:c r="J213" s="26" t="n">
        <x:f>'Controls'!$D$5</x:f>
        <x:v>1</x:v>
      </x:c>
      <x:c r="K213" s="38" t="str">
        <x:v>UNDECLARED</x:v>
      </x:c>
      <x:c r="L213" s="26" t="str">
        <x:f>IF(K213="UNDECLARED","n.a.",COUNTIFS($K$5:$K$292,K213))</x:f>
        <x:v>n.a.</x:v>
      </x:c>
      <x:c r="M213" s="26" t="str">
        <x:f>IF(K213="UNDECLARED","OPEN",IF(L213&lt;=J213,"PASS","FAIL"))</x:f>
        <x:v>OPEN</x:v>
      </x:c>
      <x:c r="N213" s="38" t="str">
        <x:v>UNASSIGNED</x:v>
      </x:c>
    </x:row>
    <x:row r="214" ht="25.5" customHeight="1">
      <x:c r="C214" s="26" t="str">
        <x:v>NS-C3-HU-B-RB1-X06</x:v>
      </x:c>
      <x:c r="D214" s="26" t="str">
        <x:v>C3-HU-B-RB1</x:v>
      </x:c>
      <x:c r="E214" s="26" t="str">
        <x:v>MS-HU</x:v>
      </x:c>
      <x:c r="F214" s="26" t="str">
        <x:v>B</x:v>
      </x:c>
      <x:c r="G214" s="26" t="str">
        <x:v>X06</x:v>
      </x:c>
      <x:c r="H214" s="26" t="str">
        <x:v>Control runtime, build system and signing keys</x:v>
      </x:c>
      <x:c r="I214" s="26" t="str">
        <x:v>ROOT_EXCLUSIVE</x:v>
      </x:c>
      <x:c r="J214" s="26" t="n">
        <x:f>'Controls'!$D$5</x:f>
        <x:v>1</x:v>
      </x:c>
      <x:c r="K214" s="38" t="str">
        <x:v>UNDECLARED</x:v>
      </x:c>
      <x:c r="L214" s="26" t="str">
        <x:f>IF(K214="UNDECLARED","n.a.",COUNTIFS($K$5:$K$292,K214))</x:f>
        <x:v>n.a.</x:v>
      </x:c>
      <x:c r="M214" s="26" t="str">
        <x:f>IF(K214="UNDECLARED","OPEN",IF(L214&lt;=J214,"PASS","FAIL"))</x:f>
        <x:v>OPEN</x:v>
      </x:c>
      <x:c r="N214" s="38" t="str">
        <x:v>UNASSIGNED</x:v>
      </x:c>
    </x:row>
    <x:row r="215" ht="25.5" customHeight="1">
      <x:c r="C215" s="26" t="str">
        <x:v>NS-C3-HU-B-RB1-X07</x:v>
      </x:c>
      <x:c r="D215" s="26" t="str">
        <x:v>C3-HU-B-RB1</x:v>
      </x:c>
      <x:c r="E215" s="26" t="str">
        <x:v>MS-HU</x:v>
      </x:c>
      <x:c r="F215" s="26" t="str">
        <x:v>B</x:v>
      </x:c>
      <x:c r="G215" s="26" t="str">
        <x:v>X07</x:v>
      </x:c>
      <x:c r="H215" s="26" t="str">
        <x:v>Communications and causal-time implementation</x:v>
      </x:c>
      <x:c r="I215" s="26" t="str">
        <x:v>ROOT_EXCLUSIVE</x:v>
      </x:c>
      <x:c r="J215" s="26" t="n">
        <x:f>'Controls'!$D$5</x:f>
        <x:v>1</x:v>
      </x:c>
      <x:c r="K215" s="38" t="str">
        <x:v>UNDECLARED</x:v>
      </x:c>
      <x:c r="L215" s="26" t="str">
        <x:f>IF(K215="UNDECLARED","n.a.",COUNTIFS($K$5:$K$292,K215))</x:f>
        <x:v>n.a.</x:v>
      </x:c>
      <x:c r="M215" s="26" t="str">
        <x:f>IF(K215="UNDECLARED","OPEN",IF(L215&lt;=J215,"PASS","FAIL"))</x:f>
        <x:v>OPEN</x:v>
      </x:c>
      <x:c r="N215" s="38" t="str">
        <x:v>UNASSIGNED</x:v>
      </x:c>
    </x:row>
    <x:row r="216" ht="25.5" customHeight="1">
      <x:c r="C216" s="26" t="str">
        <x:v>NS-C3-HU-B-RB1-X08</x:v>
      </x:c>
      <x:c r="D216" s="26" t="str">
        <x:v>C3-HU-B-RB1</x:v>
      </x:c>
      <x:c r="E216" s="26" t="str">
        <x:v>MS-HU</x:v>
      </x:c>
      <x:c r="F216" s="26" t="str">
        <x:v>B</x:v>
      </x:c>
      <x:c r="G216" s="26" t="str">
        <x:v>X08</x:v>
      </x:c>
      <x:c r="H216" s="26" t="str">
        <x:v>Sensing, calibration and uncertainty chain</x:v>
      </x:c>
      <x:c r="I216" s="26" t="str">
        <x:v>ROOT_EXCLUSIVE</x:v>
      </x:c>
      <x:c r="J216" s="26" t="n">
        <x:f>'Controls'!$D$5</x:f>
        <x:v>1</x:v>
      </x:c>
      <x:c r="K216" s="38" t="str">
        <x:v>UNDECLARED</x:v>
      </x:c>
      <x:c r="L216" s="26" t="str">
        <x:f>IF(K216="UNDECLARED","n.a.",COUNTIFS($K$5:$K$292,K216))</x:f>
        <x:v>n.a.</x:v>
      </x:c>
      <x:c r="M216" s="26" t="str">
        <x:f>IF(K216="UNDECLARED","OPEN",IF(L216&lt;=J216,"PASS","FAIL"))</x:f>
        <x:v>OPEN</x:v>
      </x:c>
      <x:c r="N216" s="38" t="str">
        <x:v>UNASSIGNED</x:v>
      </x:c>
    </x:row>
    <x:row r="217" ht="25.5" customHeight="1">
      <x:c r="C217" s="26" t="str">
        <x:v>NS-C3-HU-B-RB1-X09</x:v>
      </x:c>
      <x:c r="D217" s="26" t="str">
        <x:v>C3-HU-B-RB1</x:v>
      </x:c>
      <x:c r="E217" s="26" t="str">
        <x:v>MS-HU</x:v>
      </x:c>
      <x:c r="F217" s="26" t="str">
        <x:v>B</x:v>
      </x:c>
      <x:c r="G217" s="26" t="str">
        <x:v>X09</x:v>
      </x:c>
      <x:c r="H217" s="26" t="str">
        <x:v>Production tooling and pilot line</x:v>
      </x:c>
      <x:c r="I217" s="26" t="str">
        <x:v>ROOT_EXCLUSIVE</x:v>
      </x:c>
      <x:c r="J217" s="26" t="n">
        <x:f>'Controls'!$D$5</x:f>
        <x:v>1</x:v>
      </x:c>
      <x:c r="K217" s="38" t="str">
        <x:v>UNDECLARED</x:v>
      </x:c>
      <x:c r="L217" s="26" t="str">
        <x:f>IF(K217="UNDECLARED","n.a.",COUNTIFS($K$5:$K$292,K217))</x:f>
        <x:v>n.a.</x:v>
      </x:c>
      <x:c r="M217" s="26" t="str">
        <x:f>IF(K217="UNDECLARED","OPEN",IF(L217&lt;=J217,"PASS","FAIL"))</x:f>
        <x:v>OPEN</x:v>
      </x:c>
      <x:c r="N217" s="38" t="str">
        <x:v>UNASSIGNED</x:v>
      </x:c>
    </x:row>
    <x:row r="218" ht="25.5" customHeight="1">
      <x:c r="C218" s="26" t="str">
        <x:v>NS-C3-HU-B-RB1-X10</x:v>
      </x:c>
      <x:c r="D218" s="26" t="str">
        <x:v>C3-HU-B-RB1</x:v>
      </x:c>
      <x:c r="E218" s="26" t="str">
        <x:v>MS-HU</x:v>
      </x:c>
      <x:c r="F218" s="26" t="str">
        <x:v>B</x:v>
      </x:c>
      <x:c r="G218" s="26" t="str">
        <x:v>X10</x:v>
      </x:c>
      <x:c r="H218" s="26" t="str">
        <x:v>Final assembly site and critical workforce</x:v>
      </x:c>
      <x:c r="I218" s="26" t="str">
        <x:v>ROOT_EXCLUSIVE</x:v>
      </x:c>
      <x:c r="J218" s="26" t="n">
        <x:f>'Controls'!$D$5</x:f>
        <x:v>1</x:v>
      </x:c>
      <x:c r="K218" s="38" t="str">
        <x:v>UNDECLARED</x:v>
      </x:c>
      <x:c r="L218" s="26" t="str">
        <x:f>IF(K218="UNDECLARED","n.a.",COUNTIFS($K$5:$K$292,K218))</x:f>
        <x:v>n.a.</x:v>
      </x:c>
      <x:c r="M218" s="26" t="str">
        <x:f>IF(K218="UNDECLARED","OPEN",IF(L218&lt;=J218,"PASS","FAIL"))</x:f>
        <x:v>OPEN</x:v>
      </x:c>
      <x:c r="N218" s="38" t="str">
        <x:v>UNASSIGNED</x:v>
      </x:c>
    </x:row>
    <x:row r="219" ht="25.5" customHeight="1">
      <x:c r="C219" s="26" t="str">
        <x:v>NS-C3-HU-B-RB1-X11</x:v>
      </x:c>
      <x:c r="D219" s="26" t="str">
        <x:v>C3-HU-B-RB1</x:v>
      </x:c>
      <x:c r="E219" s="26" t="str">
        <x:v>MS-HU</x:v>
      </x:c>
      <x:c r="F219" s="26" t="str">
        <x:v>B</x:v>
      </x:c>
      <x:c r="G219" s="26" t="str">
        <x:v>X11</x:v>
      </x:c>
      <x:c r="H219" s="26" t="str">
        <x:v>Repair, reset and second-team reproduction</x:v>
      </x:c>
      <x:c r="I219" s="26" t="str">
        <x:v>ROOT_EXCLUSIVE</x:v>
      </x:c>
      <x:c r="J219" s="26" t="n">
        <x:f>'Controls'!$D$5</x:f>
        <x:v>1</x:v>
      </x:c>
      <x:c r="K219" s="38" t="str">
        <x:v>UNDECLARED</x:v>
      </x:c>
      <x:c r="L219" s="26" t="str">
        <x:f>IF(K219="UNDECLARED","n.a.",COUNTIFS($K$5:$K$292,K219))</x:f>
        <x:v>n.a.</x:v>
      </x:c>
      <x:c r="M219" s="26" t="str">
        <x:f>IF(K219="UNDECLARED","OPEN",IF(L219&lt;=J219,"PASS","FAIL"))</x:f>
        <x:v>OPEN</x:v>
      </x:c>
      <x:c r="N219" s="38" t="str">
        <x:v>UNASSIGNED</x:v>
      </x:c>
    </x:row>
    <x:row r="220" ht="25.5" customHeight="1">
      <x:c r="C220" s="26" t="str">
        <x:v>NS-C3-HU-B-RB1-X12</x:v>
      </x:c>
      <x:c r="D220" s="26" t="str">
        <x:v>C3-HU-B-RB1</x:v>
      </x:c>
      <x:c r="E220" s="26" t="str">
        <x:v>MS-HU</x:v>
      </x:c>
      <x:c r="F220" s="26" t="str">
        <x:v>B</x:v>
      </x:c>
      <x:c r="G220" s="26" t="str">
        <x:v>X12</x:v>
      </x:c>
      <x:c r="H220" s="26" t="str">
        <x:v>Evidence capture, custody and outside replay</x:v>
      </x:c>
      <x:c r="I220" s="26" t="str">
        <x:v>ROOT_EXCLUSIVE</x:v>
      </x:c>
      <x:c r="J220" s="26" t="n">
        <x:f>'Controls'!$D$5</x:f>
        <x:v>1</x:v>
      </x:c>
      <x:c r="K220" s="38" t="str">
        <x:v>UNDECLARED</x:v>
      </x:c>
      <x:c r="L220" s="26" t="str">
        <x:f>IF(K220="UNDECLARED","n.a.",COUNTIFS($K$5:$K$292,K220))</x:f>
        <x:v>n.a.</x:v>
      </x:c>
      <x:c r="M220" s="26" t="str">
        <x:f>IF(K220="UNDECLARED","OPEN",IF(L220&lt;=J220,"PASS","FAIL"))</x:f>
        <x:v>OPEN</x:v>
      </x:c>
      <x:c r="N220" s="38" t="str">
        <x:v>UNASSIGNED</x:v>
      </x:c>
    </x:row>
    <x:row r="221" ht="25.5" customHeight="1">
      <x:c r="C221" s="26" t="str">
        <x:v>NS-C3-HU-C-RB1-X01</x:v>
      </x:c>
      <x:c r="D221" s="26" t="str">
        <x:v>C3-HU-C-RB1</x:v>
      </x:c>
      <x:c r="E221" s="26" t="str">
        <x:v>MS-HU</x:v>
      </x:c>
      <x:c r="F221" s="26" t="str">
        <x:v>C</x:v>
      </x:c>
      <x:c r="G221" s="26" t="str">
        <x:v>X01</x:v>
      </x:c>
      <x:c r="H221" s="26" t="str">
        <x:v>Root integrator and beneficial control</x:v>
      </x:c>
      <x:c r="I221" s="26" t="str">
        <x:v>ROOT_EXCLUSIVE</x:v>
      </x:c>
      <x:c r="J221" s="26" t="n">
        <x:f>'Controls'!$D$5</x:f>
        <x:v>1</x:v>
      </x:c>
      <x:c r="K221" s="38" t="str">
        <x:v>UNDECLARED</x:v>
      </x:c>
      <x:c r="L221" s="26" t="str">
        <x:f>IF(K221="UNDECLARED","n.a.",COUNTIFS($K$5:$K$292,K221))</x:f>
        <x:v>n.a.</x:v>
      </x:c>
      <x:c r="M221" s="26" t="str">
        <x:f>IF(K221="UNDECLARED","OPEN",IF(L221&lt;=J221,"PASS","FAIL"))</x:f>
        <x:v>OPEN</x:v>
      </x:c>
      <x:c r="N221" s="38" t="str">
        <x:v>UNASSIGNED</x:v>
      </x:c>
    </x:row>
    <x:row r="222" ht="25.5" customHeight="1">
      <x:c r="C222" s="26" t="str">
        <x:v>NS-C3-HU-C-RB1-X02</x:v>
      </x:c>
      <x:c r="D222" s="26" t="str">
        <x:v>C3-HU-C-RB1</x:v>
      </x:c>
      <x:c r="E222" s="26" t="str">
        <x:v>MS-HU</x:v>
      </x:c>
      <x:c r="F222" s="26" t="str">
        <x:v>C</x:v>
      </x:c>
      <x:c r="G222" s="26" t="str">
        <x:v>X02</x:v>
      </x:c>
      <x:c r="H222" s="26" t="str">
        <x:v>Prime work physics and mechanism authority</x:v>
      </x:c>
      <x:c r="I222" s="26" t="str">
        <x:v>ROOT_EXCLUSIVE</x:v>
      </x:c>
      <x:c r="J222" s="26" t="n">
        <x:f>'Controls'!$D$5</x:f>
        <x:v>1</x:v>
      </x:c>
      <x:c r="K222" s="38" t="str">
        <x:v>UNDECLARED</x:v>
      </x:c>
      <x:c r="L222" s="26" t="str">
        <x:f>IF(K222="UNDECLARED","n.a.",COUNTIFS($K$5:$K$292,K222))</x:f>
        <x:v>n.a.</x:v>
      </x:c>
      <x:c r="M222" s="26" t="str">
        <x:f>IF(K222="UNDECLARED","OPEN",IF(L222&lt;=J222,"PASS","FAIL"))</x:f>
        <x:v>OPEN</x:v>
      </x:c>
      <x:c r="N222" s="38" t="str">
        <x:v>UNASSIGNED</x:v>
      </x:c>
    </x:row>
    <x:row r="223" ht="25.5" customHeight="1">
      <x:c r="C223" s="26" t="str">
        <x:v>NS-C3-HU-C-RB1-X03</x:v>
      </x:c>
      <x:c r="D223" s="26" t="str">
        <x:v>C3-HU-C-RB1</x:v>
      </x:c>
      <x:c r="E223" s="26" t="str">
        <x:v>MS-HU</x:v>
      </x:c>
      <x:c r="F223" s="26" t="str">
        <x:v>C</x:v>
      </x:c>
      <x:c r="G223" s="26" t="str">
        <x:v>X03</x:v>
      </x:c>
      <x:c r="H223" s="26" t="str">
        <x:v>Primary energy conversion and safe-state chain</x:v>
      </x:c>
      <x:c r="I223" s="26" t="str">
        <x:v>ROOT_EXCLUSIVE</x:v>
      </x:c>
      <x:c r="J223" s="26" t="n">
        <x:f>'Controls'!$D$5</x:f>
        <x:v>1</x:v>
      </x:c>
      <x:c r="K223" s="38" t="str">
        <x:v>UNDECLARED</x:v>
      </x:c>
      <x:c r="L223" s="26" t="str">
        <x:f>IF(K223="UNDECLARED","n.a.",COUNTIFS($K$5:$K$292,K223))</x:f>
        <x:v>n.a.</x:v>
      </x:c>
      <x:c r="M223" s="26" t="str">
        <x:f>IF(K223="UNDECLARED","OPEN",IF(L223&lt;=J223,"PASS","FAIL"))</x:f>
        <x:v>OPEN</x:v>
      </x:c>
      <x:c r="N223" s="38" t="str">
        <x:v>UNASSIGNED</x:v>
      </x:c>
    </x:row>
    <x:row r="224" ht="25.5" customHeight="1">
      <x:c r="C224" s="26" t="str">
        <x:v>NS-C3-HU-C-RB1-X04</x:v>
      </x:c>
      <x:c r="D224" s="26" t="str">
        <x:v>C3-HU-C-RB1</x:v>
      </x:c>
      <x:c r="E224" s="26" t="str">
        <x:v>MS-HU</x:v>
      </x:c>
      <x:c r="F224" s="26" t="str">
        <x:v>C</x:v>
      </x:c>
      <x:c r="G224" s="26" t="str">
        <x:v>X04</x:v>
      </x:c>
      <x:c r="H224" s="26" t="str">
        <x:v>Structural and material process</x:v>
      </x:c>
      <x:c r="I224" s="26" t="str">
        <x:v>ROOT_EXCLUSIVE</x:v>
      </x:c>
      <x:c r="J224" s="26" t="n">
        <x:f>'Controls'!$D$5</x:f>
        <x:v>1</x:v>
      </x:c>
      <x:c r="K224" s="38" t="str">
        <x:v>UNDECLARED</x:v>
      </x:c>
      <x:c r="L224" s="26" t="str">
        <x:f>IF(K224="UNDECLARED","n.a.",COUNTIFS($K$5:$K$292,K224))</x:f>
        <x:v>n.a.</x:v>
      </x:c>
      <x:c r="M224" s="26" t="str">
        <x:f>IF(K224="UNDECLARED","OPEN",IF(L224&lt;=J224,"PASS","FAIL"))</x:f>
        <x:v>OPEN</x:v>
      </x:c>
      <x:c r="N224" s="38" t="str">
        <x:v>UNASSIGNED</x:v>
      </x:c>
    </x:row>
    <x:row r="225" ht="25.5" customHeight="1">
      <x:c r="C225" s="26" t="str">
        <x:v>NS-C3-HU-C-RB1-X05</x:v>
      </x:c>
      <x:c r="D225" s="26" t="str">
        <x:v>C3-HU-C-RB1</x:v>
      </x:c>
      <x:c r="E225" s="26" t="str">
        <x:v>MS-HU</x:v>
      </x:c>
      <x:c r="F225" s="26" t="str">
        <x:v>C</x:v>
      </x:c>
      <x:c r="G225" s="26" t="str">
        <x:v>X05</x:v>
      </x:c>
      <x:c r="H225" s="26" t="str">
        <x:v>Critical feedstock conversion</x:v>
      </x:c>
      <x:c r="I225" s="26" t="str">
        <x:v>ROOT_EXCLUSIVE</x:v>
      </x:c>
      <x:c r="J225" s="26" t="n">
        <x:f>'Controls'!$D$5</x:f>
        <x:v>1</x:v>
      </x:c>
      <x:c r="K225" s="38" t="str">
        <x:v>UNDECLARED</x:v>
      </x:c>
      <x:c r="L225" s="26" t="str">
        <x:f>IF(K225="UNDECLARED","n.a.",COUNTIFS($K$5:$K$292,K225))</x:f>
        <x:v>n.a.</x:v>
      </x:c>
      <x:c r="M225" s="26" t="str">
        <x:f>IF(K225="UNDECLARED","OPEN",IF(L225&lt;=J225,"PASS","FAIL"))</x:f>
        <x:v>OPEN</x:v>
      </x:c>
      <x:c r="N225" s="38" t="str">
        <x:v>UNASSIGNED</x:v>
      </x:c>
    </x:row>
    <x:row r="226" ht="25.5" customHeight="1">
      <x:c r="C226" s="26" t="str">
        <x:v>NS-C3-HU-C-RB1-X06</x:v>
      </x:c>
      <x:c r="D226" s="26" t="str">
        <x:v>C3-HU-C-RB1</x:v>
      </x:c>
      <x:c r="E226" s="26" t="str">
        <x:v>MS-HU</x:v>
      </x:c>
      <x:c r="F226" s="26" t="str">
        <x:v>C</x:v>
      </x:c>
      <x:c r="G226" s="26" t="str">
        <x:v>X06</x:v>
      </x:c>
      <x:c r="H226" s="26" t="str">
        <x:v>Control runtime, build system and signing keys</x:v>
      </x:c>
      <x:c r="I226" s="26" t="str">
        <x:v>ROOT_EXCLUSIVE</x:v>
      </x:c>
      <x:c r="J226" s="26" t="n">
        <x:f>'Controls'!$D$5</x:f>
        <x:v>1</x:v>
      </x:c>
      <x:c r="K226" s="38" t="str">
        <x:v>UNDECLARED</x:v>
      </x:c>
      <x:c r="L226" s="26" t="str">
        <x:f>IF(K226="UNDECLARED","n.a.",COUNTIFS($K$5:$K$292,K226))</x:f>
        <x:v>n.a.</x:v>
      </x:c>
      <x:c r="M226" s="26" t="str">
        <x:f>IF(K226="UNDECLARED","OPEN",IF(L226&lt;=J226,"PASS","FAIL"))</x:f>
        <x:v>OPEN</x:v>
      </x:c>
      <x:c r="N226" s="38" t="str">
        <x:v>UNASSIGNED</x:v>
      </x:c>
    </x:row>
    <x:row r="227" ht="25.5" customHeight="1">
      <x:c r="C227" s="26" t="str">
        <x:v>NS-C3-HU-C-RB1-X07</x:v>
      </x:c>
      <x:c r="D227" s="26" t="str">
        <x:v>C3-HU-C-RB1</x:v>
      </x:c>
      <x:c r="E227" s="26" t="str">
        <x:v>MS-HU</x:v>
      </x:c>
      <x:c r="F227" s="26" t="str">
        <x:v>C</x:v>
      </x:c>
      <x:c r="G227" s="26" t="str">
        <x:v>X07</x:v>
      </x:c>
      <x:c r="H227" s="26" t="str">
        <x:v>Communications and causal-time implementation</x:v>
      </x:c>
      <x:c r="I227" s="26" t="str">
        <x:v>ROOT_EXCLUSIVE</x:v>
      </x:c>
      <x:c r="J227" s="26" t="n">
        <x:f>'Controls'!$D$5</x:f>
        <x:v>1</x:v>
      </x:c>
      <x:c r="K227" s="38" t="str">
        <x:v>UNDECLARED</x:v>
      </x:c>
      <x:c r="L227" s="26" t="str">
        <x:f>IF(K227="UNDECLARED","n.a.",COUNTIFS($K$5:$K$292,K227))</x:f>
        <x:v>n.a.</x:v>
      </x:c>
      <x:c r="M227" s="26" t="str">
        <x:f>IF(K227="UNDECLARED","OPEN",IF(L227&lt;=J227,"PASS","FAIL"))</x:f>
        <x:v>OPEN</x:v>
      </x:c>
      <x:c r="N227" s="38" t="str">
        <x:v>UNASSIGNED</x:v>
      </x:c>
    </x:row>
    <x:row r="228" ht="25.5" customHeight="1">
      <x:c r="C228" s="26" t="str">
        <x:v>NS-C3-HU-C-RB1-X08</x:v>
      </x:c>
      <x:c r="D228" s="26" t="str">
        <x:v>C3-HU-C-RB1</x:v>
      </x:c>
      <x:c r="E228" s="26" t="str">
        <x:v>MS-HU</x:v>
      </x:c>
      <x:c r="F228" s="26" t="str">
        <x:v>C</x:v>
      </x:c>
      <x:c r="G228" s="26" t="str">
        <x:v>X08</x:v>
      </x:c>
      <x:c r="H228" s="26" t="str">
        <x:v>Sensing, calibration and uncertainty chain</x:v>
      </x:c>
      <x:c r="I228" s="26" t="str">
        <x:v>ROOT_EXCLUSIVE</x:v>
      </x:c>
      <x:c r="J228" s="26" t="n">
        <x:f>'Controls'!$D$5</x:f>
        <x:v>1</x:v>
      </x:c>
      <x:c r="K228" s="38" t="str">
        <x:v>UNDECLARED</x:v>
      </x:c>
      <x:c r="L228" s="26" t="str">
        <x:f>IF(K228="UNDECLARED","n.a.",COUNTIFS($K$5:$K$292,K228))</x:f>
        <x:v>n.a.</x:v>
      </x:c>
      <x:c r="M228" s="26" t="str">
        <x:f>IF(K228="UNDECLARED","OPEN",IF(L228&lt;=J228,"PASS","FAIL"))</x:f>
        <x:v>OPEN</x:v>
      </x:c>
      <x:c r="N228" s="38" t="str">
        <x:v>UNASSIGNED</x:v>
      </x:c>
    </x:row>
    <x:row r="229" ht="25.5" customHeight="1">
      <x:c r="C229" s="26" t="str">
        <x:v>NS-C3-HU-C-RB1-X09</x:v>
      </x:c>
      <x:c r="D229" s="26" t="str">
        <x:v>C3-HU-C-RB1</x:v>
      </x:c>
      <x:c r="E229" s="26" t="str">
        <x:v>MS-HU</x:v>
      </x:c>
      <x:c r="F229" s="26" t="str">
        <x:v>C</x:v>
      </x:c>
      <x:c r="G229" s="26" t="str">
        <x:v>X09</x:v>
      </x:c>
      <x:c r="H229" s="26" t="str">
        <x:v>Production tooling and pilot line</x:v>
      </x:c>
      <x:c r="I229" s="26" t="str">
        <x:v>ROOT_EXCLUSIVE</x:v>
      </x:c>
      <x:c r="J229" s="26" t="n">
        <x:f>'Controls'!$D$5</x:f>
        <x:v>1</x:v>
      </x:c>
      <x:c r="K229" s="38" t="str">
        <x:v>UNDECLARED</x:v>
      </x:c>
      <x:c r="L229" s="26" t="str">
        <x:f>IF(K229="UNDECLARED","n.a.",COUNTIFS($K$5:$K$292,K229))</x:f>
        <x:v>n.a.</x:v>
      </x:c>
      <x:c r="M229" s="26" t="str">
        <x:f>IF(K229="UNDECLARED","OPEN",IF(L229&lt;=J229,"PASS","FAIL"))</x:f>
        <x:v>OPEN</x:v>
      </x:c>
      <x:c r="N229" s="38" t="str">
        <x:v>UNASSIGNED</x:v>
      </x:c>
    </x:row>
    <x:row r="230" ht="25.5" customHeight="1">
      <x:c r="C230" s="26" t="str">
        <x:v>NS-C3-HU-C-RB1-X10</x:v>
      </x:c>
      <x:c r="D230" s="26" t="str">
        <x:v>C3-HU-C-RB1</x:v>
      </x:c>
      <x:c r="E230" s="26" t="str">
        <x:v>MS-HU</x:v>
      </x:c>
      <x:c r="F230" s="26" t="str">
        <x:v>C</x:v>
      </x:c>
      <x:c r="G230" s="26" t="str">
        <x:v>X10</x:v>
      </x:c>
      <x:c r="H230" s="26" t="str">
        <x:v>Final assembly site and critical workforce</x:v>
      </x:c>
      <x:c r="I230" s="26" t="str">
        <x:v>ROOT_EXCLUSIVE</x:v>
      </x:c>
      <x:c r="J230" s="26" t="n">
        <x:f>'Controls'!$D$5</x:f>
        <x:v>1</x:v>
      </x:c>
      <x:c r="K230" s="38" t="str">
        <x:v>UNDECLARED</x:v>
      </x:c>
      <x:c r="L230" s="26" t="str">
        <x:f>IF(K230="UNDECLARED","n.a.",COUNTIFS($K$5:$K$292,K230))</x:f>
        <x:v>n.a.</x:v>
      </x:c>
      <x:c r="M230" s="26" t="str">
        <x:f>IF(K230="UNDECLARED","OPEN",IF(L230&lt;=J230,"PASS","FAIL"))</x:f>
        <x:v>OPEN</x:v>
      </x:c>
      <x:c r="N230" s="38" t="str">
        <x:v>UNASSIGNED</x:v>
      </x:c>
    </x:row>
    <x:row r="231" ht="25.5" customHeight="1">
      <x:c r="C231" s="26" t="str">
        <x:v>NS-C3-HU-C-RB1-X11</x:v>
      </x:c>
      <x:c r="D231" s="26" t="str">
        <x:v>C3-HU-C-RB1</x:v>
      </x:c>
      <x:c r="E231" s="26" t="str">
        <x:v>MS-HU</x:v>
      </x:c>
      <x:c r="F231" s="26" t="str">
        <x:v>C</x:v>
      </x:c>
      <x:c r="G231" s="26" t="str">
        <x:v>X11</x:v>
      </x:c>
      <x:c r="H231" s="26" t="str">
        <x:v>Repair, reset and second-team reproduction</x:v>
      </x:c>
      <x:c r="I231" s="26" t="str">
        <x:v>ROOT_EXCLUSIVE</x:v>
      </x:c>
      <x:c r="J231" s="26" t="n">
        <x:f>'Controls'!$D$5</x:f>
        <x:v>1</x:v>
      </x:c>
      <x:c r="K231" s="38" t="str">
        <x:v>UNDECLARED</x:v>
      </x:c>
      <x:c r="L231" s="26" t="str">
        <x:f>IF(K231="UNDECLARED","n.a.",COUNTIFS($K$5:$K$292,K231))</x:f>
        <x:v>n.a.</x:v>
      </x:c>
      <x:c r="M231" s="26" t="str">
        <x:f>IF(K231="UNDECLARED","OPEN",IF(L231&lt;=J231,"PASS","FAIL"))</x:f>
        <x:v>OPEN</x:v>
      </x:c>
      <x:c r="N231" s="38" t="str">
        <x:v>UNASSIGNED</x:v>
      </x:c>
    </x:row>
    <x:row r="232" ht="25.5" customHeight="1">
      <x:c r="C232" s="26" t="str">
        <x:v>NS-C3-HU-C-RB1-X12</x:v>
      </x:c>
      <x:c r="D232" s="26" t="str">
        <x:v>C3-HU-C-RB1</x:v>
      </x:c>
      <x:c r="E232" s="26" t="str">
        <x:v>MS-HU</x:v>
      </x:c>
      <x:c r="F232" s="26" t="str">
        <x:v>C</x:v>
      </x:c>
      <x:c r="G232" s="26" t="str">
        <x:v>X12</x:v>
      </x:c>
      <x:c r="H232" s="26" t="str">
        <x:v>Evidence capture, custody and outside replay</x:v>
      </x:c>
      <x:c r="I232" s="26" t="str">
        <x:v>ROOT_EXCLUSIVE</x:v>
      </x:c>
      <x:c r="J232" s="26" t="n">
        <x:f>'Controls'!$D$5</x:f>
        <x:v>1</x:v>
      </x:c>
      <x:c r="K232" s="38" t="str">
        <x:v>UNDECLARED</x:v>
      </x:c>
      <x:c r="L232" s="26" t="str">
        <x:f>IF(K232="UNDECLARED","n.a.",COUNTIFS($K$5:$K$292,K232))</x:f>
        <x:v>n.a.</x:v>
      </x:c>
      <x:c r="M232" s="26" t="str">
        <x:f>IF(K232="UNDECLARED","OPEN",IF(L232&lt;=J232,"PASS","FAIL"))</x:f>
        <x:v>OPEN</x:v>
      </x:c>
      <x:c r="N232" s="38" t="str">
        <x:v>UNASSIGNED</x:v>
      </x:c>
    </x:row>
    <x:row r="233" ht="25.5" customHeight="1">
      <x:c r="C233" s="26" t="str">
        <x:v>NS-C3-HU-D-RB1-X01</x:v>
      </x:c>
      <x:c r="D233" s="26" t="str">
        <x:v>C3-HU-D-RB1</x:v>
      </x:c>
      <x:c r="E233" s="26" t="str">
        <x:v>MS-HU</x:v>
      </x:c>
      <x:c r="F233" s="26" t="str">
        <x:v>D</x:v>
      </x:c>
      <x:c r="G233" s="26" t="str">
        <x:v>X01</x:v>
      </x:c>
      <x:c r="H233" s="26" t="str">
        <x:v>Root integrator and beneficial control</x:v>
      </x:c>
      <x:c r="I233" s="26" t="str">
        <x:v>ROOT_EXCLUSIVE</x:v>
      </x:c>
      <x:c r="J233" s="26" t="n">
        <x:f>'Controls'!$D$5</x:f>
        <x:v>1</x:v>
      </x:c>
      <x:c r="K233" s="38" t="str">
        <x:v>UNDECLARED</x:v>
      </x:c>
      <x:c r="L233" s="26" t="str">
        <x:f>IF(K233="UNDECLARED","n.a.",COUNTIFS($K$5:$K$292,K233))</x:f>
        <x:v>n.a.</x:v>
      </x:c>
      <x:c r="M233" s="26" t="str">
        <x:f>IF(K233="UNDECLARED","OPEN",IF(L233&lt;=J233,"PASS","FAIL"))</x:f>
        <x:v>OPEN</x:v>
      </x:c>
      <x:c r="N233" s="38" t="str">
        <x:v>UNASSIGNED</x:v>
      </x:c>
    </x:row>
    <x:row r="234" ht="25.5" customHeight="1">
      <x:c r="C234" s="26" t="str">
        <x:v>NS-C3-HU-D-RB1-X02</x:v>
      </x:c>
      <x:c r="D234" s="26" t="str">
        <x:v>C3-HU-D-RB1</x:v>
      </x:c>
      <x:c r="E234" s="26" t="str">
        <x:v>MS-HU</x:v>
      </x:c>
      <x:c r="F234" s="26" t="str">
        <x:v>D</x:v>
      </x:c>
      <x:c r="G234" s="26" t="str">
        <x:v>X02</x:v>
      </x:c>
      <x:c r="H234" s="26" t="str">
        <x:v>Prime work physics and mechanism authority</x:v>
      </x:c>
      <x:c r="I234" s="26" t="str">
        <x:v>ROOT_EXCLUSIVE</x:v>
      </x:c>
      <x:c r="J234" s="26" t="n">
        <x:f>'Controls'!$D$5</x:f>
        <x:v>1</x:v>
      </x:c>
      <x:c r="K234" s="38" t="str">
        <x:v>UNDECLARED</x:v>
      </x:c>
      <x:c r="L234" s="26" t="str">
        <x:f>IF(K234="UNDECLARED","n.a.",COUNTIFS($K$5:$K$292,K234))</x:f>
        <x:v>n.a.</x:v>
      </x:c>
      <x:c r="M234" s="26" t="str">
        <x:f>IF(K234="UNDECLARED","OPEN",IF(L234&lt;=J234,"PASS","FAIL"))</x:f>
        <x:v>OPEN</x:v>
      </x:c>
      <x:c r="N234" s="38" t="str">
        <x:v>UNASSIGNED</x:v>
      </x:c>
    </x:row>
    <x:row r="235" ht="25.5" customHeight="1">
      <x:c r="C235" s="26" t="str">
        <x:v>NS-C3-HU-D-RB1-X03</x:v>
      </x:c>
      <x:c r="D235" s="26" t="str">
        <x:v>C3-HU-D-RB1</x:v>
      </x:c>
      <x:c r="E235" s="26" t="str">
        <x:v>MS-HU</x:v>
      </x:c>
      <x:c r="F235" s="26" t="str">
        <x:v>D</x:v>
      </x:c>
      <x:c r="G235" s="26" t="str">
        <x:v>X03</x:v>
      </x:c>
      <x:c r="H235" s="26" t="str">
        <x:v>Primary energy conversion and safe-state chain</x:v>
      </x:c>
      <x:c r="I235" s="26" t="str">
        <x:v>ROOT_EXCLUSIVE</x:v>
      </x:c>
      <x:c r="J235" s="26" t="n">
        <x:f>'Controls'!$D$5</x:f>
        <x:v>1</x:v>
      </x:c>
      <x:c r="K235" s="38" t="str">
        <x:v>UNDECLARED</x:v>
      </x:c>
      <x:c r="L235" s="26" t="str">
        <x:f>IF(K235="UNDECLARED","n.a.",COUNTIFS($K$5:$K$292,K235))</x:f>
        <x:v>n.a.</x:v>
      </x:c>
      <x:c r="M235" s="26" t="str">
        <x:f>IF(K235="UNDECLARED","OPEN",IF(L235&lt;=J235,"PASS","FAIL"))</x:f>
        <x:v>OPEN</x:v>
      </x:c>
      <x:c r="N235" s="38" t="str">
        <x:v>UNASSIGNED</x:v>
      </x:c>
    </x:row>
    <x:row r="236" ht="25.5" customHeight="1">
      <x:c r="C236" s="26" t="str">
        <x:v>NS-C3-HU-D-RB1-X04</x:v>
      </x:c>
      <x:c r="D236" s="26" t="str">
        <x:v>C3-HU-D-RB1</x:v>
      </x:c>
      <x:c r="E236" s="26" t="str">
        <x:v>MS-HU</x:v>
      </x:c>
      <x:c r="F236" s="26" t="str">
        <x:v>D</x:v>
      </x:c>
      <x:c r="G236" s="26" t="str">
        <x:v>X04</x:v>
      </x:c>
      <x:c r="H236" s="26" t="str">
        <x:v>Structural and material process</x:v>
      </x:c>
      <x:c r="I236" s="26" t="str">
        <x:v>ROOT_EXCLUSIVE</x:v>
      </x:c>
      <x:c r="J236" s="26" t="n">
        <x:f>'Controls'!$D$5</x:f>
        <x:v>1</x:v>
      </x:c>
      <x:c r="K236" s="38" t="str">
        <x:v>UNDECLARED</x:v>
      </x:c>
      <x:c r="L236" s="26" t="str">
        <x:f>IF(K236="UNDECLARED","n.a.",COUNTIFS($K$5:$K$292,K236))</x:f>
        <x:v>n.a.</x:v>
      </x:c>
      <x:c r="M236" s="26" t="str">
        <x:f>IF(K236="UNDECLARED","OPEN",IF(L236&lt;=J236,"PASS","FAIL"))</x:f>
        <x:v>OPEN</x:v>
      </x:c>
      <x:c r="N236" s="38" t="str">
        <x:v>UNASSIGNED</x:v>
      </x:c>
    </x:row>
    <x:row r="237" ht="25.5" customHeight="1">
      <x:c r="C237" s="26" t="str">
        <x:v>NS-C3-HU-D-RB1-X05</x:v>
      </x:c>
      <x:c r="D237" s="26" t="str">
        <x:v>C3-HU-D-RB1</x:v>
      </x:c>
      <x:c r="E237" s="26" t="str">
        <x:v>MS-HU</x:v>
      </x:c>
      <x:c r="F237" s="26" t="str">
        <x:v>D</x:v>
      </x:c>
      <x:c r="G237" s="26" t="str">
        <x:v>X05</x:v>
      </x:c>
      <x:c r="H237" s="26" t="str">
        <x:v>Critical feedstock conversion</x:v>
      </x:c>
      <x:c r="I237" s="26" t="str">
        <x:v>ROOT_EXCLUSIVE</x:v>
      </x:c>
      <x:c r="J237" s="26" t="n">
        <x:f>'Controls'!$D$5</x:f>
        <x:v>1</x:v>
      </x:c>
      <x:c r="K237" s="38" t="str">
        <x:v>UNDECLARED</x:v>
      </x:c>
      <x:c r="L237" s="26" t="str">
        <x:f>IF(K237="UNDECLARED","n.a.",COUNTIFS($K$5:$K$292,K237))</x:f>
        <x:v>n.a.</x:v>
      </x:c>
      <x:c r="M237" s="26" t="str">
        <x:f>IF(K237="UNDECLARED","OPEN",IF(L237&lt;=J237,"PASS","FAIL"))</x:f>
        <x:v>OPEN</x:v>
      </x:c>
      <x:c r="N237" s="38" t="str">
        <x:v>UNASSIGNED</x:v>
      </x:c>
    </x:row>
    <x:row r="238" ht="25.5" customHeight="1">
      <x:c r="C238" s="26" t="str">
        <x:v>NS-C3-HU-D-RB1-X06</x:v>
      </x:c>
      <x:c r="D238" s="26" t="str">
        <x:v>C3-HU-D-RB1</x:v>
      </x:c>
      <x:c r="E238" s="26" t="str">
        <x:v>MS-HU</x:v>
      </x:c>
      <x:c r="F238" s="26" t="str">
        <x:v>D</x:v>
      </x:c>
      <x:c r="G238" s="26" t="str">
        <x:v>X06</x:v>
      </x:c>
      <x:c r="H238" s="26" t="str">
        <x:v>Control runtime, build system and signing keys</x:v>
      </x:c>
      <x:c r="I238" s="26" t="str">
        <x:v>ROOT_EXCLUSIVE</x:v>
      </x:c>
      <x:c r="J238" s="26" t="n">
        <x:f>'Controls'!$D$5</x:f>
        <x:v>1</x:v>
      </x:c>
      <x:c r="K238" s="38" t="str">
        <x:v>UNDECLARED</x:v>
      </x:c>
      <x:c r="L238" s="26" t="str">
        <x:f>IF(K238="UNDECLARED","n.a.",COUNTIFS($K$5:$K$292,K238))</x:f>
        <x:v>n.a.</x:v>
      </x:c>
      <x:c r="M238" s="26" t="str">
        <x:f>IF(K238="UNDECLARED","OPEN",IF(L238&lt;=J238,"PASS","FAIL"))</x:f>
        <x:v>OPEN</x:v>
      </x:c>
      <x:c r="N238" s="38" t="str">
        <x:v>UNASSIGNED</x:v>
      </x:c>
    </x:row>
    <x:row r="239" ht="25.5" customHeight="1">
      <x:c r="C239" s="26" t="str">
        <x:v>NS-C3-HU-D-RB1-X07</x:v>
      </x:c>
      <x:c r="D239" s="26" t="str">
        <x:v>C3-HU-D-RB1</x:v>
      </x:c>
      <x:c r="E239" s="26" t="str">
        <x:v>MS-HU</x:v>
      </x:c>
      <x:c r="F239" s="26" t="str">
        <x:v>D</x:v>
      </x:c>
      <x:c r="G239" s="26" t="str">
        <x:v>X07</x:v>
      </x:c>
      <x:c r="H239" s="26" t="str">
        <x:v>Communications and causal-time implementation</x:v>
      </x:c>
      <x:c r="I239" s="26" t="str">
        <x:v>ROOT_EXCLUSIVE</x:v>
      </x:c>
      <x:c r="J239" s="26" t="n">
        <x:f>'Controls'!$D$5</x:f>
        <x:v>1</x:v>
      </x:c>
      <x:c r="K239" s="38" t="str">
        <x:v>UNDECLARED</x:v>
      </x:c>
      <x:c r="L239" s="26" t="str">
        <x:f>IF(K239="UNDECLARED","n.a.",COUNTIFS($K$5:$K$292,K239))</x:f>
        <x:v>n.a.</x:v>
      </x:c>
      <x:c r="M239" s="26" t="str">
        <x:f>IF(K239="UNDECLARED","OPEN",IF(L239&lt;=J239,"PASS","FAIL"))</x:f>
        <x:v>OPEN</x:v>
      </x:c>
      <x:c r="N239" s="38" t="str">
        <x:v>UNASSIGNED</x:v>
      </x:c>
    </x:row>
    <x:row r="240" ht="25.5" customHeight="1">
      <x:c r="C240" s="26" t="str">
        <x:v>NS-C3-HU-D-RB1-X08</x:v>
      </x:c>
      <x:c r="D240" s="26" t="str">
        <x:v>C3-HU-D-RB1</x:v>
      </x:c>
      <x:c r="E240" s="26" t="str">
        <x:v>MS-HU</x:v>
      </x:c>
      <x:c r="F240" s="26" t="str">
        <x:v>D</x:v>
      </x:c>
      <x:c r="G240" s="26" t="str">
        <x:v>X08</x:v>
      </x:c>
      <x:c r="H240" s="26" t="str">
        <x:v>Sensing, calibration and uncertainty chain</x:v>
      </x:c>
      <x:c r="I240" s="26" t="str">
        <x:v>ROOT_EXCLUSIVE</x:v>
      </x:c>
      <x:c r="J240" s="26" t="n">
        <x:f>'Controls'!$D$5</x:f>
        <x:v>1</x:v>
      </x:c>
      <x:c r="K240" s="38" t="str">
        <x:v>UNDECLARED</x:v>
      </x:c>
      <x:c r="L240" s="26" t="str">
        <x:f>IF(K240="UNDECLARED","n.a.",COUNTIFS($K$5:$K$292,K240))</x:f>
        <x:v>n.a.</x:v>
      </x:c>
      <x:c r="M240" s="26" t="str">
        <x:f>IF(K240="UNDECLARED","OPEN",IF(L240&lt;=J240,"PASS","FAIL"))</x:f>
        <x:v>OPEN</x:v>
      </x:c>
      <x:c r="N240" s="38" t="str">
        <x:v>UNASSIGNED</x:v>
      </x:c>
    </x:row>
    <x:row r="241" ht="25.5" customHeight="1">
      <x:c r="C241" s="26" t="str">
        <x:v>NS-C3-HU-D-RB1-X09</x:v>
      </x:c>
      <x:c r="D241" s="26" t="str">
        <x:v>C3-HU-D-RB1</x:v>
      </x:c>
      <x:c r="E241" s="26" t="str">
        <x:v>MS-HU</x:v>
      </x:c>
      <x:c r="F241" s="26" t="str">
        <x:v>D</x:v>
      </x:c>
      <x:c r="G241" s="26" t="str">
        <x:v>X09</x:v>
      </x:c>
      <x:c r="H241" s="26" t="str">
        <x:v>Production tooling and pilot line</x:v>
      </x:c>
      <x:c r="I241" s="26" t="str">
        <x:v>ROOT_EXCLUSIVE</x:v>
      </x:c>
      <x:c r="J241" s="26" t="n">
        <x:f>'Controls'!$D$5</x:f>
        <x:v>1</x:v>
      </x:c>
      <x:c r="K241" s="38" t="str">
        <x:v>UNDECLARED</x:v>
      </x:c>
      <x:c r="L241" s="26" t="str">
        <x:f>IF(K241="UNDECLARED","n.a.",COUNTIFS($K$5:$K$292,K241))</x:f>
        <x:v>n.a.</x:v>
      </x:c>
      <x:c r="M241" s="26" t="str">
        <x:f>IF(K241="UNDECLARED","OPEN",IF(L241&lt;=J241,"PASS","FAIL"))</x:f>
        <x:v>OPEN</x:v>
      </x:c>
      <x:c r="N241" s="38" t="str">
        <x:v>UNASSIGNED</x:v>
      </x:c>
    </x:row>
    <x:row r="242" ht="25.5" customHeight="1">
      <x:c r="C242" s="26" t="str">
        <x:v>NS-C3-HU-D-RB1-X10</x:v>
      </x:c>
      <x:c r="D242" s="26" t="str">
        <x:v>C3-HU-D-RB1</x:v>
      </x:c>
      <x:c r="E242" s="26" t="str">
        <x:v>MS-HU</x:v>
      </x:c>
      <x:c r="F242" s="26" t="str">
        <x:v>D</x:v>
      </x:c>
      <x:c r="G242" s="26" t="str">
        <x:v>X10</x:v>
      </x:c>
      <x:c r="H242" s="26" t="str">
        <x:v>Final assembly site and critical workforce</x:v>
      </x:c>
      <x:c r="I242" s="26" t="str">
        <x:v>ROOT_EXCLUSIVE</x:v>
      </x:c>
      <x:c r="J242" s="26" t="n">
        <x:f>'Controls'!$D$5</x:f>
        <x:v>1</x:v>
      </x:c>
      <x:c r="K242" s="38" t="str">
        <x:v>UNDECLARED</x:v>
      </x:c>
      <x:c r="L242" s="26" t="str">
        <x:f>IF(K242="UNDECLARED","n.a.",COUNTIFS($K$5:$K$292,K242))</x:f>
        <x:v>n.a.</x:v>
      </x:c>
      <x:c r="M242" s="26" t="str">
        <x:f>IF(K242="UNDECLARED","OPEN",IF(L242&lt;=J242,"PASS","FAIL"))</x:f>
        <x:v>OPEN</x:v>
      </x:c>
      <x:c r="N242" s="38" t="str">
        <x:v>UNASSIGNED</x:v>
      </x:c>
    </x:row>
    <x:row r="243" ht="25.5" customHeight="1">
      <x:c r="C243" s="26" t="str">
        <x:v>NS-C3-HU-D-RB1-X11</x:v>
      </x:c>
      <x:c r="D243" s="26" t="str">
        <x:v>C3-HU-D-RB1</x:v>
      </x:c>
      <x:c r="E243" s="26" t="str">
        <x:v>MS-HU</x:v>
      </x:c>
      <x:c r="F243" s="26" t="str">
        <x:v>D</x:v>
      </x:c>
      <x:c r="G243" s="26" t="str">
        <x:v>X11</x:v>
      </x:c>
      <x:c r="H243" s="26" t="str">
        <x:v>Repair, reset and second-team reproduction</x:v>
      </x:c>
      <x:c r="I243" s="26" t="str">
        <x:v>ROOT_EXCLUSIVE</x:v>
      </x:c>
      <x:c r="J243" s="26" t="n">
        <x:f>'Controls'!$D$5</x:f>
        <x:v>1</x:v>
      </x:c>
      <x:c r="K243" s="38" t="str">
        <x:v>UNDECLARED</x:v>
      </x:c>
      <x:c r="L243" s="26" t="str">
        <x:f>IF(K243="UNDECLARED","n.a.",COUNTIFS($K$5:$K$292,K243))</x:f>
        <x:v>n.a.</x:v>
      </x:c>
      <x:c r="M243" s="26" t="str">
        <x:f>IF(K243="UNDECLARED","OPEN",IF(L243&lt;=J243,"PASS","FAIL"))</x:f>
        <x:v>OPEN</x:v>
      </x:c>
      <x:c r="N243" s="38" t="str">
        <x:v>UNASSIGNED</x:v>
      </x:c>
    </x:row>
    <x:row r="244" ht="25.5" customHeight="1">
      <x:c r="C244" s="26" t="str">
        <x:v>NS-C3-HU-D-RB1-X12</x:v>
      </x:c>
      <x:c r="D244" s="26" t="str">
        <x:v>C3-HU-D-RB1</x:v>
      </x:c>
      <x:c r="E244" s="26" t="str">
        <x:v>MS-HU</x:v>
      </x:c>
      <x:c r="F244" s="26" t="str">
        <x:v>D</x:v>
      </x:c>
      <x:c r="G244" s="26" t="str">
        <x:v>X12</x:v>
      </x:c>
      <x:c r="H244" s="26" t="str">
        <x:v>Evidence capture, custody and outside replay</x:v>
      </x:c>
      <x:c r="I244" s="26" t="str">
        <x:v>ROOT_EXCLUSIVE</x:v>
      </x:c>
      <x:c r="J244" s="26" t="n">
        <x:f>'Controls'!$D$5</x:f>
        <x:v>1</x:v>
      </x:c>
      <x:c r="K244" s="38" t="str">
        <x:v>UNDECLARED</x:v>
      </x:c>
      <x:c r="L244" s="26" t="str">
        <x:f>IF(K244="UNDECLARED","n.a.",COUNTIFS($K$5:$K$292,K244))</x:f>
        <x:v>n.a.</x:v>
      </x:c>
      <x:c r="M244" s="26" t="str">
        <x:f>IF(K244="UNDECLARED","OPEN",IF(L244&lt;=J244,"PASS","FAIL"))</x:f>
        <x:v>OPEN</x:v>
      </x:c>
      <x:c r="N244" s="38" t="str">
        <x:v>UNASSIGNED</x:v>
      </x:c>
    </x:row>
    <x:row r="245" ht="25.5" customHeight="1">
      <x:c r="C245" s="26" t="str">
        <x:v>NS-C3-RT-A-RB1-X01</x:v>
      </x:c>
      <x:c r="D245" s="26" t="str">
        <x:v>C3-RT-A-RB1</x:v>
      </x:c>
      <x:c r="E245" s="26" t="str">
        <x:v>MS-RT</x:v>
      </x:c>
      <x:c r="F245" s="26" t="str">
        <x:v>A</x:v>
      </x:c>
      <x:c r="G245" s="26" t="str">
        <x:v>X01</x:v>
      </x:c>
      <x:c r="H245" s="26" t="str">
        <x:v>Root integrator and beneficial control</x:v>
      </x:c>
      <x:c r="I245" s="26" t="str">
        <x:v>ROOT_EXCLUSIVE</x:v>
      </x:c>
      <x:c r="J245" s="26" t="n">
        <x:f>'Controls'!$D$5</x:f>
        <x:v>1</x:v>
      </x:c>
      <x:c r="K245" s="38" t="str">
        <x:v>UNDECLARED</x:v>
      </x:c>
      <x:c r="L245" s="26" t="str">
        <x:f>IF(K245="UNDECLARED","n.a.",COUNTIFS($K$5:$K$292,K245))</x:f>
        <x:v>n.a.</x:v>
      </x:c>
      <x:c r="M245" s="26" t="str">
        <x:f>IF(K245="UNDECLARED","OPEN",IF(L245&lt;=J245,"PASS","FAIL"))</x:f>
        <x:v>OPEN</x:v>
      </x:c>
      <x:c r="N245" s="38" t="str">
        <x:v>UNASSIGNED</x:v>
      </x:c>
    </x:row>
    <x:row r="246" ht="25.5" customHeight="1">
      <x:c r="C246" s="26" t="str">
        <x:v>NS-C3-RT-A-RB1-X02</x:v>
      </x:c>
      <x:c r="D246" s="26" t="str">
        <x:v>C3-RT-A-RB1</x:v>
      </x:c>
      <x:c r="E246" s="26" t="str">
        <x:v>MS-RT</x:v>
      </x:c>
      <x:c r="F246" s="26" t="str">
        <x:v>A</x:v>
      </x:c>
      <x:c r="G246" s="26" t="str">
        <x:v>X02</x:v>
      </x:c>
      <x:c r="H246" s="26" t="str">
        <x:v>Prime work physics and mechanism authority</x:v>
      </x:c>
      <x:c r="I246" s="26" t="str">
        <x:v>ROOT_EXCLUSIVE</x:v>
      </x:c>
      <x:c r="J246" s="26" t="n">
        <x:f>'Controls'!$D$5</x:f>
        <x:v>1</x:v>
      </x:c>
      <x:c r="K246" s="38" t="str">
        <x:v>UNDECLARED</x:v>
      </x:c>
      <x:c r="L246" s="26" t="str">
        <x:f>IF(K246="UNDECLARED","n.a.",COUNTIFS($K$5:$K$292,K246))</x:f>
        <x:v>n.a.</x:v>
      </x:c>
      <x:c r="M246" s="26" t="str">
        <x:f>IF(K246="UNDECLARED","OPEN",IF(L246&lt;=J246,"PASS","FAIL"))</x:f>
        <x:v>OPEN</x:v>
      </x:c>
      <x:c r="N246" s="38" t="str">
        <x:v>UNASSIGNED</x:v>
      </x:c>
    </x:row>
    <x:row r="247" ht="25.5" customHeight="1">
      <x:c r="C247" s="26" t="str">
        <x:v>NS-C3-RT-A-RB1-X03</x:v>
      </x:c>
      <x:c r="D247" s="26" t="str">
        <x:v>C3-RT-A-RB1</x:v>
      </x:c>
      <x:c r="E247" s="26" t="str">
        <x:v>MS-RT</x:v>
      </x:c>
      <x:c r="F247" s="26" t="str">
        <x:v>A</x:v>
      </x:c>
      <x:c r="G247" s="26" t="str">
        <x:v>X03</x:v>
      </x:c>
      <x:c r="H247" s="26" t="str">
        <x:v>Primary energy conversion and safe-state chain</x:v>
      </x:c>
      <x:c r="I247" s="26" t="str">
        <x:v>ROOT_EXCLUSIVE</x:v>
      </x:c>
      <x:c r="J247" s="26" t="n">
        <x:f>'Controls'!$D$5</x:f>
        <x:v>1</x:v>
      </x:c>
      <x:c r="K247" s="38" t="str">
        <x:v>UNDECLARED</x:v>
      </x:c>
      <x:c r="L247" s="26" t="str">
        <x:f>IF(K247="UNDECLARED","n.a.",COUNTIFS($K$5:$K$292,K247))</x:f>
        <x:v>n.a.</x:v>
      </x:c>
      <x:c r="M247" s="26" t="str">
        <x:f>IF(K247="UNDECLARED","OPEN",IF(L247&lt;=J247,"PASS","FAIL"))</x:f>
        <x:v>OPEN</x:v>
      </x:c>
      <x:c r="N247" s="38" t="str">
        <x:v>UNASSIGNED</x:v>
      </x:c>
    </x:row>
    <x:row r="248" ht="25.5" customHeight="1">
      <x:c r="C248" s="26" t="str">
        <x:v>NS-C3-RT-A-RB1-X04</x:v>
      </x:c>
      <x:c r="D248" s="26" t="str">
        <x:v>C3-RT-A-RB1</x:v>
      </x:c>
      <x:c r="E248" s="26" t="str">
        <x:v>MS-RT</x:v>
      </x:c>
      <x:c r="F248" s="26" t="str">
        <x:v>A</x:v>
      </x:c>
      <x:c r="G248" s="26" t="str">
        <x:v>X04</x:v>
      </x:c>
      <x:c r="H248" s="26" t="str">
        <x:v>Structural and material process</x:v>
      </x:c>
      <x:c r="I248" s="26" t="str">
        <x:v>ROOT_EXCLUSIVE</x:v>
      </x:c>
      <x:c r="J248" s="26" t="n">
        <x:f>'Controls'!$D$5</x:f>
        <x:v>1</x:v>
      </x:c>
      <x:c r="K248" s="38" t="str">
        <x:v>UNDECLARED</x:v>
      </x:c>
      <x:c r="L248" s="26" t="str">
        <x:f>IF(K248="UNDECLARED","n.a.",COUNTIFS($K$5:$K$292,K248))</x:f>
        <x:v>n.a.</x:v>
      </x:c>
      <x:c r="M248" s="26" t="str">
        <x:f>IF(K248="UNDECLARED","OPEN",IF(L248&lt;=J248,"PASS","FAIL"))</x:f>
        <x:v>OPEN</x:v>
      </x:c>
      <x:c r="N248" s="38" t="str">
        <x:v>UNASSIGNED</x:v>
      </x:c>
    </x:row>
    <x:row r="249" ht="25.5" customHeight="1">
      <x:c r="C249" s="26" t="str">
        <x:v>NS-C3-RT-A-RB1-X05</x:v>
      </x:c>
      <x:c r="D249" s="26" t="str">
        <x:v>C3-RT-A-RB1</x:v>
      </x:c>
      <x:c r="E249" s="26" t="str">
        <x:v>MS-RT</x:v>
      </x:c>
      <x:c r="F249" s="26" t="str">
        <x:v>A</x:v>
      </x:c>
      <x:c r="G249" s="26" t="str">
        <x:v>X05</x:v>
      </x:c>
      <x:c r="H249" s="26" t="str">
        <x:v>Critical feedstock conversion</x:v>
      </x:c>
      <x:c r="I249" s="26" t="str">
        <x:v>ROOT_EXCLUSIVE</x:v>
      </x:c>
      <x:c r="J249" s="26" t="n">
        <x:f>'Controls'!$D$5</x:f>
        <x:v>1</x:v>
      </x:c>
      <x:c r="K249" s="38" t="str">
        <x:v>UNDECLARED</x:v>
      </x:c>
      <x:c r="L249" s="26" t="str">
        <x:f>IF(K249="UNDECLARED","n.a.",COUNTIFS($K$5:$K$292,K249))</x:f>
        <x:v>n.a.</x:v>
      </x:c>
      <x:c r="M249" s="26" t="str">
        <x:f>IF(K249="UNDECLARED","OPEN",IF(L249&lt;=J249,"PASS","FAIL"))</x:f>
        <x:v>OPEN</x:v>
      </x:c>
      <x:c r="N249" s="38" t="str">
        <x:v>UNASSIGNED</x:v>
      </x:c>
    </x:row>
    <x:row r="250" ht="25.5" customHeight="1">
      <x:c r="C250" s="26" t="str">
        <x:v>NS-C3-RT-A-RB1-X06</x:v>
      </x:c>
      <x:c r="D250" s="26" t="str">
        <x:v>C3-RT-A-RB1</x:v>
      </x:c>
      <x:c r="E250" s="26" t="str">
        <x:v>MS-RT</x:v>
      </x:c>
      <x:c r="F250" s="26" t="str">
        <x:v>A</x:v>
      </x:c>
      <x:c r="G250" s="26" t="str">
        <x:v>X06</x:v>
      </x:c>
      <x:c r="H250" s="26" t="str">
        <x:v>Control runtime, build system and signing keys</x:v>
      </x:c>
      <x:c r="I250" s="26" t="str">
        <x:v>ROOT_EXCLUSIVE</x:v>
      </x:c>
      <x:c r="J250" s="26" t="n">
        <x:f>'Controls'!$D$5</x:f>
        <x:v>1</x:v>
      </x:c>
      <x:c r="K250" s="38" t="str">
        <x:v>UNDECLARED</x:v>
      </x:c>
      <x:c r="L250" s="26" t="str">
        <x:f>IF(K250="UNDECLARED","n.a.",COUNTIFS($K$5:$K$292,K250))</x:f>
        <x:v>n.a.</x:v>
      </x:c>
      <x:c r="M250" s="26" t="str">
        <x:f>IF(K250="UNDECLARED","OPEN",IF(L250&lt;=J250,"PASS","FAIL"))</x:f>
        <x:v>OPEN</x:v>
      </x:c>
      <x:c r="N250" s="38" t="str">
        <x:v>UNASSIGNED</x:v>
      </x:c>
    </x:row>
    <x:row r="251" ht="25.5" customHeight="1">
      <x:c r="C251" s="26" t="str">
        <x:v>NS-C3-RT-A-RB1-X07</x:v>
      </x:c>
      <x:c r="D251" s="26" t="str">
        <x:v>C3-RT-A-RB1</x:v>
      </x:c>
      <x:c r="E251" s="26" t="str">
        <x:v>MS-RT</x:v>
      </x:c>
      <x:c r="F251" s="26" t="str">
        <x:v>A</x:v>
      </x:c>
      <x:c r="G251" s="26" t="str">
        <x:v>X07</x:v>
      </x:c>
      <x:c r="H251" s="26" t="str">
        <x:v>Communications and causal-time implementation</x:v>
      </x:c>
      <x:c r="I251" s="26" t="str">
        <x:v>ROOT_EXCLUSIVE</x:v>
      </x:c>
      <x:c r="J251" s="26" t="n">
        <x:f>'Controls'!$D$5</x:f>
        <x:v>1</x:v>
      </x:c>
      <x:c r="K251" s="38" t="str">
        <x:v>UNDECLARED</x:v>
      </x:c>
      <x:c r="L251" s="26" t="str">
        <x:f>IF(K251="UNDECLARED","n.a.",COUNTIFS($K$5:$K$292,K251))</x:f>
        <x:v>n.a.</x:v>
      </x:c>
      <x:c r="M251" s="26" t="str">
        <x:f>IF(K251="UNDECLARED","OPEN",IF(L251&lt;=J251,"PASS","FAIL"))</x:f>
        <x:v>OPEN</x:v>
      </x:c>
      <x:c r="N251" s="38" t="str">
        <x:v>UNASSIGNED</x:v>
      </x:c>
    </x:row>
    <x:row r="252" ht="25.5" customHeight="1">
      <x:c r="C252" s="26" t="str">
        <x:v>NS-C3-RT-A-RB1-X08</x:v>
      </x:c>
      <x:c r="D252" s="26" t="str">
        <x:v>C3-RT-A-RB1</x:v>
      </x:c>
      <x:c r="E252" s="26" t="str">
        <x:v>MS-RT</x:v>
      </x:c>
      <x:c r="F252" s="26" t="str">
        <x:v>A</x:v>
      </x:c>
      <x:c r="G252" s="26" t="str">
        <x:v>X08</x:v>
      </x:c>
      <x:c r="H252" s="26" t="str">
        <x:v>Sensing, calibration and uncertainty chain</x:v>
      </x:c>
      <x:c r="I252" s="26" t="str">
        <x:v>ROOT_EXCLUSIVE</x:v>
      </x:c>
      <x:c r="J252" s="26" t="n">
        <x:f>'Controls'!$D$5</x:f>
        <x:v>1</x:v>
      </x:c>
      <x:c r="K252" s="38" t="str">
        <x:v>UNDECLARED</x:v>
      </x:c>
      <x:c r="L252" s="26" t="str">
        <x:f>IF(K252="UNDECLARED","n.a.",COUNTIFS($K$5:$K$292,K252))</x:f>
        <x:v>n.a.</x:v>
      </x:c>
      <x:c r="M252" s="26" t="str">
        <x:f>IF(K252="UNDECLARED","OPEN",IF(L252&lt;=J252,"PASS","FAIL"))</x:f>
        <x:v>OPEN</x:v>
      </x:c>
      <x:c r="N252" s="38" t="str">
        <x:v>UNASSIGNED</x:v>
      </x:c>
    </x:row>
    <x:row r="253" ht="25.5" customHeight="1">
      <x:c r="C253" s="26" t="str">
        <x:v>NS-C3-RT-A-RB1-X09</x:v>
      </x:c>
      <x:c r="D253" s="26" t="str">
        <x:v>C3-RT-A-RB1</x:v>
      </x:c>
      <x:c r="E253" s="26" t="str">
        <x:v>MS-RT</x:v>
      </x:c>
      <x:c r="F253" s="26" t="str">
        <x:v>A</x:v>
      </x:c>
      <x:c r="G253" s="26" t="str">
        <x:v>X09</x:v>
      </x:c>
      <x:c r="H253" s="26" t="str">
        <x:v>Production tooling and pilot line</x:v>
      </x:c>
      <x:c r="I253" s="26" t="str">
        <x:v>ROOT_EXCLUSIVE</x:v>
      </x:c>
      <x:c r="J253" s="26" t="n">
        <x:f>'Controls'!$D$5</x:f>
        <x:v>1</x:v>
      </x:c>
      <x:c r="K253" s="38" t="str">
        <x:v>UNDECLARED</x:v>
      </x:c>
      <x:c r="L253" s="26" t="str">
        <x:f>IF(K253="UNDECLARED","n.a.",COUNTIFS($K$5:$K$292,K253))</x:f>
        <x:v>n.a.</x:v>
      </x:c>
      <x:c r="M253" s="26" t="str">
        <x:f>IF(K253="UNDECLARED","OPEN",IF(L253&lt;=J253,"PASS","FAIL"))</x:f>
        <x:v>OPEN</x:v>
      </x:c>
      <x:c r="N253" s="38" t="str">
        <x:v>UNASSIGNED</x:v>
      </x:c>
    </x:row>
    <x:row r="254" ht="25.5" customHeight="1">
      <x:c r="C254" s="26" t="str">
        <x:v>NS-C3-RT-A-RB1-X10</x:v>
      </x:c>
      <x:c r="D254" s="26" t="str">
        <x:v>C3-RT-A-RB1</x:v>
      </x:c>
      <x:c r="E254" s="26" t="str">
        <x:v>MS-RT</x:v>
      </x:c>
      <x:c r="F254" s="26" t="str">
        <x:v>A</x:v>
      </x:c>
      <x:c r="G254" s="26" t="str">
        <x:v>X10</x:v>
      </x:c>
      <x:c r="H254" s="26" t="str">
        <x:v>Final assembly site and critical workforce</x:v>
      </x:c>
      <x:c r="I254" s="26" t="str">
        <x:v>ROOT_EXCLUSIVE</x:v>
      </x:c>
      <x:c r="J254" s="26" t="n">
        <x:f>'Controls'!$D$5</x:f>
        <x:v>1</x:v>
      </x:c>
      <x:c r="K254" s="38" t="str">
        <x:v>UNDECLARED</x:v>
      </x:c>
      <x:c r="L254" s="26" t="str">
        <x:f>IF(K254="UNDECLARED","n.a.",COUNTIFS($K$5:$K$292,K254))</x:f>
        <x:v>n.a.</x:v>
      </x:c>
      <x:c r="M254" s="26" t="str">
        <x:f>IF(K254="UNDECLARED","OPEN",IF(L254&lt;=J254,"PASS","FAIL"))</x:f>
        <x:v>OPEN</x:v>
      </x:c>
      <x:c r="N254" s="38" t="str">
        <x:v>UNASSIGNED</x:v>
      </x:c>
    </x:row>
    <x:row r="255" ht="25.5" customHeight="1">
      <x:c r="C255" s="26" t="str">
        <x:v>NS-C3-RT-A-RB1-X11</x:v>
      </x:c>
      <x:c r="D255" s="26" t="str">
        <x:v>C3-RT-A-RB1</x:v>
      </x:c>
      <x:c r="E255" s="26" t="str">
        <x:v>MS-RT</x:v>
      </x:c>
      <x:c r="F255" s="26" t="str">
        <x:v>A</x:v>
      </x:c>
      <x:c r="G255" s="26" t="str">
        <x:v>X11</x:v>
      </x:c>
      <x:c r="H255" s="26" t="str">
        <x:v>Repair, reset and second-team reproduction</x:v>
      </x:c>
      <x:c r="I255" s="26" t="str">
        <x:v>ROOT_EXCLUSIVE</x:v>
      </x:c>
      <x:c r="J255" s="26" t="n">
        <x:f>'Controls'!$D$5</x:f>
        <x:v>1</x:v>
      </x:c>
      <x:c r="K255" s="38" t="str">
        <x:v>UNDECLARED</x:v>
      </x:c>
      <x:c r="L255" s="26" t="str">
        <x:f>IF(K255="UNDECLARED","n.a.",COUNTIFS($K$5:$K$292,K255))</x:f>
        <x:v>n.a.</x:v>
      </x:c>
      <x:c r="M255" s="26" t="str">
        <x:f>IF(K255="UNDECLARED","OPEN",IF(L255&lt;=J255,"PASS","FAIL"))</x:f>
        <x:v>OPEN</x:v>
      </x:c>
      <x:c r="N255" s="38" t="str">
        <x:v>UNASSIGNED</x:v>
      </x:c>
    </x:row>
    <x:row r="256" ht="25.5" customHeight="1">
      <x:c r="C256" s="26" t="str">
        <x:v>NS-C3-RT-A-RB1-X12</x:v>
      </x:c>
      <x:c r="D256" s="26" t="str">
        <x:v>C3-RT-A-RB1</x:v>
      </x:c>
      <x:c r="E256" s="26" t="str">
        <x:v>MS-RT</x:v>
      </x:c>
      <x:c r="F256" s="26" t="str">
        <x:v>A</x:v>
      </x:c>
      <x:c r="G256" s="26" t="str">
        <x:v>X12</x:v>
      </x:c>
      <x:c r="H256" s="26" t="str">
        <x:v>Evidence capture, custody and outside replay</x:v>
      </x:c>
      <x:c r="I256" s="26" t="str">
        <x:v>ROOT_EXCLUSIVE</x:v>
      </x:c>
      <x:c r="J256" s="26" t="n">
        <x:f>'Controls'!$D$5</x:f>
        <x:v>1</x:v>
      </x:c>
      <x:c r="K256" s="38" t="str">
        <x:v>UNDECLARED</x:v>
      </x:c>
      <x:c r="L256" s="26" t="str">
        <x:f>IF(K256="UNDECLARED","n.a.",COUNTIFS($K$5:$K$292,K256))</x:f>
        <x:v>n.a.</x:v>
      </x:c>
      <x:c r="M256" s="26" t="str">
        <x:f>IF(K256="UNDECLARED","OPEN",IF(L256&lt;=J256,"PASS","FAIL"))</x:f>
        <x:v>OPEN</x:v>
      </x:c>
      <x:c r="N256" s="38" t="str">
        <x:v>UNASSIGNED</x:v>
      </x:c>
    </x:row>
    <x:row r="257" ht="25.5" customHeight="1">
      <x:c r="C257" s="26" t="str">
        <x:v>NS-C3-RT-B-RB1-X01</x:v>
      </x:c>
      <x:c r="D257" s="26" t="str">
        <x:v>C3-RT-B-RB1</x:v>
      </x:c>
      <x:c r="E257" s="26" t="str">
        <x:v>MS-RT</x:v>
      </x:c>
      <x:c r="F257" s="26" t="str">
        <x:v>B</x:v>
      </x:c>
      <x:c r="G257" s="26" t="str">
        <x:v>X01</x:v>
      </x:c>
      <x:c r="H257" s="26" t="str">
        <x:v>Root integrator and beneficial control</x:v>
      </x:c>
      <x:c r="I257" s="26" t="str">
        <x:v>ROOT_EXCLUSIVE</x:v>
      </x:c>
      <x:c r="J257" s="26" t="n">
        <x:f>'Controls'!$D$5</x:f>
        <x:v>1</x:v>
      </x:c>
      <x:c r="K257" s="38" t="str">
        <x:v>UNDECLARED</x:v>
      </x:c>
      <x:c r="L257" s="26" t="str">
        <x:f>IF(K257="UNDECLARED","n.a.",COUNTIFS($K$5:$K$292,K257))</x:f>
        <x:v>n.a.</x:v>
      </x:c>
      <x:c r="M257" s="26" t="str">
        <x:f>IF(K257="UNDECLARED","OPEN",IF(L257&lt;=J257,"PASS","FAIL"))</x:f>
        <x:v>OPEN</x:v>
      </x:c>
      <x:c r="N257" s="38" t="str">
        <x:v>UNASSIGNED</x:v>
      </x:c>
    </x:row>
    <x:row r="258" ht="25.5" customHeight="1">
      <x:c r="C258" s="26" t="str">
        <x:v>NS-C3-RT-B-RB1-X02</x:v>
      </x:c>
      <x:c r="D258" s="26" t="str">
        <x:v>C3-RT-B-RB1</x:v>
      </x:c>
      <x:c r="E258" s="26" t="str">
        <x:v>MS-RT</x:v>
      </x:c>
      <x:c r="F258" s="26" t="str">
        <x:v>B</x:v>
      </x:c>
      <x:c r="G258" s="26" t="str">
        <x:v>X02</x:v>
      </x:c>
      <x:c r="H258" s="26" t="str">
        <x:v>Prime work physics and mechanism authority</x:v>
      </x:c>
      <x:c r="I258" s="26" t="str">
        <x:v>ROOT_EXCLUSIVE</x:v>
      </x:c>
      <x:c r="J258" s="26" t="n">
        <x:f>'Controls'!$D$5</x:f>
        <x:v>1</x:v>
      </x:c>
      <x:c r="K258" s="38" t="str">
        <x:v>UNDECLARED</x:v>
      </x:c>
      <x:c r="L258" s="26" t="str">
        <x:f>IF(K258="UNDECLARED","n.a.",COUNTIFS($K$5:$K$292,K258))</x:f>
        <x:v>n.a.</x:v>
      </x:c>
      <x:c r="M258" s="26" t="str">
        <x:f>IF(K258="UNDECLARED","OPEN",IF(L258&lt;=J258,"PASS","FAIL"))</x:f>
        <x:v>OPEN</x:v>
      </x:c>
      <x:c r="N258" s="38" t="str">
        <x:v>UNASSIGNED</x:v>
      </x:c>
    </x:row>
    <x:row r="259" ht="25.5" customHeight="1">
      <x:c r="C259" s="26" t="str">
        <x:v>NS-C3-RT-B-RB1-X03</x:v>
      </x:c>
      <x:c r="D259" s="26" t="str">
        <x:v>C3-RT-B-RB1</x:v>
      </x:c>
      <x:c r="E259" s="26" t="str">
        <x:v>MS-RT</x:v>
      </x:c>
      <x:c r="F259" s="26" t="str">
        <x:v>B</x:v>
      </x:c>
      <x:c r="G259" s="26" t="str">
        <x:v>X03</x:v>
      </x:c>
      <x:c r="H259" s="26" t="str">
        <x:v>Primary energy conversion and safe-state chain</x:v>
      </x:c>
      <x:c r="I259" s="26" t="str">
        <x:v>ROOT_EXCLUSIVE</x:v>
      </x:c>
      <x:c r="J259" s="26" t="n">
        <x:f>'Controls'!$D$5</x:f>
        <x:v>1</x:v>
      </x:c>
      <x:c r="K259" s="38" t="str">
        <x:v>UNDECLARED</x:v>
      </x:c>
      <x:c r="L259" s="26" t="str">
        <x:f>IF(K259="UNDECLARED","n.a.",COUNTIFS($K$5:$K$292,K259))</x:f>
        <x:v>n.a.</x:v>
      </x:c>
      <x:c r="M259" s="26" t="str">
        <x:f>IF(K259="UNDECLARED","OPEN",IF(L259&lt;=J259,"PASS","FAIL"))</x:f>
        <x:v>OPEN</x:v>
      </x:c>
      <x:c r="N259" s="38" t="str">
        <x:v>UNASSIGNED</x:v>
      </x:c>
    </x:row>
    <x:row r="260" ht="25.5" customHeight="1">
      <x:c r="C260" s="26" t="str">
        <x:v>NS-C3-RT-B-RB1-X04</x:v>
      </x:c>
      <x:c r="D260" s="26" t="str">
        <x:v>C3-RT-B-RB1</x:v>
      </x:c>
      <x:c r="E260" s="26" t="str">
        <x:v>MS-RT</x:v>
      </x:c>
      <x:c r="F260" s="26" t="str">
        <x:v>B</x:v>
      </x:c>
      <x:c r="G260" s="26" t="str">
        <x:v>X04</x:v>
      </x:c>
      <x:c r="H260" s="26" t="str">
        <x:v>Structural and material process</x:v>
      </x:c>
      <x:c r="I260" s="26" t="str">
        <x:v>ROOT_EXCLUSIVE</x:v>
      </x:c>
      <x:c r="J260" s="26" t="n">
        <x:f>'Controls'!$D$5</x:f>
        <x:v>1</x:v>
      </x:c>
      <x:c r="K260" s="38" t="str">
        <x:v>UNDECLARED</x:v>
      </x:c>
      <x:c r="L260" s="26" t="str">
        <x:f>IF(K260="UNDECLARED","n.a.",COUNTIFS($K$5:$K$292,K260))</x:f>
        <x:v>n.a.</x:v>
      </x:c>
      <x:c r="M260" s="26" t="str">
        <x:f>IF(K260="UNDECLARED","OPEN",IF(L260&lt;=J260,"PASS","FAIL"))</x:f>
        <x:v>OPEN</x:v>
      </x:c>
      <x:c r="N260" s="38" t="str">
        <x:v>UNASSIGNED</x:v>
      </x:c>
    </x:row>
    <x:row r="261" ht="25.5" customHeight="1">
      <x:c r="C261" s="26" t="str">
        <x:v>NS-C3-RT-B-RB1-X05</x:v>
      </x:c>
      <x:c r="D261" s="26" t="str">
        <x:v>C3-RT-B-RB1</x:v>
      </x:c>
      <x:c r="E261" s="26" t="str">
        <x:v>MS-RT</x:v>
      </x:c>
      <x:c r="F261" s="26" t="str">
        <x:v>B</x:v>
      </x:c>
      <x:c r="G261" s="26" t="str">
        <x:v>X05</x:v>
      </x:c>
      <x:c r="H261" s="26" t="str">
        <x:v>Critical feedstock conversion</x:v>
      </x:c>
      <x:c r="I261" s="26" t="str">
        <x:v>ROOT_EXCLUSIVE</x:v>
      </x:c>
      <x:c r="J261" s="26" t="n">
        <x:f>'Controls'!$D$5</x:f>
        <x:v>1</x:v>
      </x:c>
      <x:c r="K261" s="38" t="str">
        <x:v>UNDECLARED</x:v>
      </x:c>
      <x:c r="L261" s="26" t="str">
        <x:f>IF(K261="UNDECLARED","n.a.",COUNTIFS($K$5:$K$292,K261))</x:f>
        <x:v>n.a.</x:v>
      </x:c>
      <x:c r="M261" s="26" t="str">
        <x:f>IF(K261="UNDECLARED","OPEN",IF(L261&lt;=J261,"PASS","FAIL"))</x:f>
        <x:v>OPEN</x:v>
      </x:c>
      <x:c r="N261" s="38" t="str">
        <x:v>UNASSIGNED</x:v>
      </x:c>
    </x:row>
    <x:row r="262" ht="25.5" customHeight="1">
      <x:c r="C262" s="26" t="str">
        <x:v>NS-C3-RT-B-RB1-X06</x:v>
      </x:c>
      <x:c r="D262" s="26" t="str">
        <x:v>C3-RT-B-RB1</x:v>
      </x:c>
      <x:c r="E262" s="26" t="str">
        <x:v>MS-RT</x:v>
      </x:c>
      <x:c r="F262" s="26" t="str">
        <x:v>B</x:v>
      </x:c>
      <x:c r="G262" s="26" t="str">
        <x:v>X06</x:v>
      </x:c>
      <x:c r="H262" s="26" t="str">
        <x:v>Control runtime, build system and signing keys</x:v>
      </x:c>
      <x:c r="I262" s="26" t="str">
        <x:v>ROOT_EXCLUSIVE</x:v>
      </x:c>
      <x:c r="J262" s="26" t="n">
        <x:f>'Controls'!$D$5</x:f>
        <x:v>1</x:v>
      </x:c>
      <x:c r="K262" s="38" t="str">
        <x:v>UNDECLARED</x:v>
      </x:c>
      <x:c r="L262" s="26" t="str">
        <x:f>IF(K262="UNDECLARED","n.a.",COUNTIFS($K$5:$K$292,K262))</x:f>
        <x:v>n.a.</x:v>
      </x:c>
      <x:c r="M262" s="26" t="str">
        <x:f>IF(K262="UNDECLARED","OPEN",IF(L262&lt;=J262,"PASS","FAIL"))</x:f>
        <x:v>OPEN</x:v>
      </x:c>
      <x:c r="N262" s="38" t="str">
        <x:v>UNASSIGNED</x:v>
      </x:c>
    </x:row>
    <x:row r="263" ht="25.5" customHeight="1">
      <x:c r="C263" s="26" t="str">
        <x:v>NS-C3-RT-B-RB1-X07</x:v>
      </x:c>
      <x:c r="D263" s="26" t="str">
        <x:v>C3-RT-B-RB1</x:v>
      </x:c>
      <x:c r="E263" s="26" t="str">
        <x:v>MS-RT</x:v>
      </x:c>
      <x:c r="F263" s="26" t="str">
        <x:v>B</x:v>
      </x:c>
      <x:c r="G263" s="26" t="str">
        <x:v>X07</x:v>
      </x:c>
      <x:c r="H263" s="26" t="str">
        <x:v>Communications and causal-time implementation</x:v>
      </x:c>
      <x:c r="I263" s="26" t="str">
        <x:v>ROOT_EXCLUSIVE</x:v>
      </x:c>
      <x:c r="J263" s="26" t="n">
        <x:f>'Controls'!$D$5</x:f>
        <x:v>1</x:v>
      </x:c>
      <x:c r="K263" s="38" t="str">
        <x:v>UNDECLARED</x:v>
      </x:c>
      <x:c r="L263" s="26" t="str">
        <x:f>IF(K263="UNDECLARED","n.a.",COUNTIFS($K$5:$K$292,K263))</x:f>
        <x:v>n.a.</x:v>
      </x:c>
      <x:c r="M263" s="26" t="str">
        <x:f>IF(K263="UNDECLARED","OPEN",IF(L263&lt;=J263,"PASS","FAIL"))</x:f>
        <x:v>OPEN</x:v>
      </x:c>
      <x:c r="N263" s="38" t="str">
        <x:v>UNASSIGNED</x:v>
      </x:c>
    </x:row>
    <x:row r="264" ht="25.5" customHeight="1">
      <x:c r="C264" s="26" t="str">
        <x:v>NS-C3-RT-B-RB1-X08</x:v>
      </x:c>
      <x:c r="D264" s="26" t="str">
        <x:v>C3-RT-B-RB1</x:v>
      </x:c>
      <x:c r="E264" s="26" t="str">
        <x:v>MS-RT</x:v>
      </x:c>
      <x:c r="F264" s="26" t="str">
        <x:v>B</x:v>
      </x:c>
      <x:c r="G264" s="26" t="str">
        <x:v>X08</x:v>
      </x:c>
      <x:c r="H264" s="26" t="str">
        <x:v>Sensing, calibration and uncertainty chain</x:v>
      </x:c>
      <x:c r="I264" s="26" t="str">
        <x:v>ROOT_EXCLUSIVE</x:v>
      </x:c>
      <x:c r="J264" s="26" t="n">
        <x:f>'Controls'!$D$5</x:f>
        <x:v>1</x:v>
      </x:c>
      <x:c r="K264" s="38" t="str">
        <x:v>UNDECLARED</x:v>
      </x:c>
      <x:c r="L264" s="26" t="str">
        <x:f>IF(K264="UNDECLARED","n.a.",COUNTIFS($K$5:$K$292,K264))</x:f>
        <x:v>n.a.</x:v>
      </x:c>
      <x:c r="M264" s="26" t="str">
        <x:f>IF(K264="UNDECLARED","OPEN",IF(L264&lt;=J264,"PASS","FAIL"))</x:f>
        <x:v>OPEN</x:v>
      </x:c>
      <x:c r="N264" s="38" t="str">
        <x:v>UNASSIGNED</x:v>
      </x:c>
    </x:row>
    <x:row r="265" ht="25.5" customHeight="1">
      <x:c r="C265" s="26" t="str">
        <x:v>NS-C3-RT-B-RB1-X09</x:v>
      </x:c>
      <x:c r="D265" s="26" t="str">
        <x:v>C3-RT-B-RB1</x:v>
      </x:c>
      <x:c r="E265" s="26" t="str">
        <x:v>MS-RT</x:v>
      </x:c>
      <x:c r="F265" s="26" t="str">
        <x:v>B</x:v>
      </x:c>
      <x:c r="G265" s="26" t="str">
        <x:v>X09</x:v>
      </x:c>
      <x:c r="H265" s="26" t="str">
        <x:v>Production tooling and pilot line</x:v>
      </x:c>
      <x:c r="I265" s="26" t="str">
        <x:v>ROOT_EXCLUSIVE</x:v>
      </x:c>
      <x:c r="J265" s="26" t="n">
        <x:f>'Controls'!$D$5</x:f>
        <x:v>1</x:v>
      </x:c>
      <x:c r="K265" s="38" t="str">
        <x:v>UNDECLARED</x:v>
      </x:c>
      <x:c r="L265" s="26" t="str">
        <x:f>IF(K265="UNDECLARED","n.a.",COUNTIFS($K$5:$K$292,K265))</x:f>
        <x:v>n.a.</x:v>
      </x:c>
      <x:c r="M265" s="26" t="str">
        <x:f>IF(K265="UNDECLARED","OPEN",IF(L265&lt;=J265,"PASS","FAIL"))</x:f>
        <x:v>OPEN</x:v>
      </x:c>
      <x:c r="N265" s="38" t="str">
        <x:v>UNASSIGNED</x:v>
      </x:c>
    </x:row>
    <x:row r="266" ht="25.5" customHeight="1">
      <x:c r="C266" s="26" t="str">
        <x:v>NS-C3-RT-B-RB1-X10</x:v>
      </x:c>
      <x:c r="D266" s="26" t="str">
        <x:v>C3-RT-B-RB1</x:v>
      </x:c>
      <x:c r="E266" s="26" t="str">
        <x:v>MS-RT</x:v>
      </x:c>
      <x:c r="F266" s="26" t="str">
        <x:v>B</x:v>
      </x:c>
      <x:c r="G266" s="26" t="str">
        <x:v>X10</x:v>
      </x:c>
      <x:c r="H266" s="26" t="str">
        <x:v>Final assembly site and critical workforce</x:v>
      </x:c>
      <x:c r="I266" s="26" t="str">
        <x:v>ROOT_EXCLUSIVE</x:v>
      </x:c>
      <x:c r="J266" s="26" t="n">
        <x:f>'Controls'!$D$5</x:f>
        <x:v>1</x:v>
      </x:c>
      <x:c r="K266" s="38" t="str">
        <x:v>UNDECLARED</x:v>
      </x:c>
      <x:c r="L266" s="26" t="str">
        <x:f>IF(K266="UNDECLARED","n.a.",COUNTIFS($K$5:$K$292,K266))</x:f>
        <x:v>n.a.</x:v>
      </x:c>
      <x:c r="M266" s="26" t="str">
        <x:f>IF(K266="UNDECLARED","OPEN",IF(L266&lt;=J266,"PASS","FAIL"))</x:f>
        <x:v>OPEN</x:v>
      </x:c>
      <x:c r="N266" s="38" t="str">
        <x:v>UNASSIGNED</x:v>
      </x:c>
    </x:row>
    <x:row r="267" ht="25.5" customHeight="1">
      <x:c r="C267" s="26" t="str">
        <x:v>NS-C3-RT-B-RB1-X11</x:v>
      </x:c>
      <x:c r="D267" s="26" t="str">
        <x:v>C3-RT-B-RB1</x:v>
      </x:c>
      <x:c r="E267" s="26" t="str">
        <x:v>MS-RT</x:v>
      </x:c>
      <x:c r="F267" s="26" t="str">
        <x:v>B</x:v>
      </x:c>
      <x:c r="G267" s="26" t="str">
        <x:v>X11</x:v>
      </x:c>
      <x:c r="H267" s="26" t="str">
        <x:v>Repair, reset and second-team reproduction</x:v>
      </x:c>
      <x:c r="I267" s="26" t="str">
        <x:v>ROOT_EXCLUSIVE</x:v>
      </x:c>
      <x:c r="J267" s="26" t="n">
        <x:f>'Controls'!$D$5</x:f>
        <x:v>1</x:v>
      </x:c>
      <x:c r="K267" s="38" t="str">
        <x:v>UNDECLARED</x:v>
      </x:c>
      <x:c r="L267" s="26" t="str">
        <x:f>IF(K267="UNDECLARED","n.a.",COUNTIFS($K$5:$K$292,K267))</x:f>
        <x:v>n.a.</x:v>
      </x:c>
      <x:c r="M267" s="26" t="str">
        <x:f>IF(K267="UNDECLARED","OPEN",IF(L267&lt;=J267,"PASS","FAIL"))</x:f>
        <x:v>OPEN</x:v>
      </x:c>
      <x:c r="N267" s="38" t="str">
        <x:v>UNASSIGNED</x:v>
      </x:c>
    </x:row>
    <x:row r="268" ht="25.5" customHeight="1">
      <x:c r="C268" s="26" t="str">
        <x:v>NS-C3-RT-B-RB1-X12</x:v>
      </x:c>
      <x:c r="D268" s="26" t="str">
        <x:v>C3-RT-B-RB1</x:v>
      </x:c>
      <x:c r="E268" s="26" t="str">
        <x:v>MS-RT</x:v>
      </x:c>
      <x:c r="F268" s="26" t="str">
        <x:v>B</x:v>
      </x:c>
      <x:c r="G268" s="26" t="str">
        <x:v>X12</x:v>
      </x:c>
      <x:c r="H268" s="26" t="str">
        <x:v>Evidence capture, custody and outside replay</x:v>
      </x:c>
      <x:c r="I268" s="26" t="str">
        <x:v>ROOT_EXCLUSIVE</x:v>
      </x:c>
      <x:c r="J268" s="26" t="n">
        <x:f>'Controls'!$D$5</x:f>
        <x:v>1</x:v>
      </x:c>
      <x:c r="K268" s="38" t="str">
        <x:v>UNDECLARED</x:v>
      </x:c>
      <x:c r="L268" s="26" t="str">
        <x:f>IF(K268="UNDECLARED","n.a.",COUNTIFS($K$5:$K$292,K268))</x:f>
        <x:v>n.a.</x:v>
      </x:c>
      <x:c r="M268" s="26" t="str">
        <x:f>IF(K268="UNDECLARED","OPEN",IF(L268&lt;=J268,"PASS","FAIL"))</x:f>
        <x:v>OPEN</x:v>
      </x:c>
      <x:c r="N268" s="38" t="str">
        <x:v>UNASSIGNED</x:v>
      </x:c>
    </x:row>
    <x:row r="269" ht="25.5" customHeight="1">
      <x:c r="C269" s="26" t="str">
        <x:v>NS-C3-RT-C-RB1-X01</x:v>
      </x:c>
      <x:c r="D269" s="26" t="str">
        <x:v>C3-RT-C-RB1</x:v>
      </x:c>
      <x:c r="E269" s="26" t="str">
        <x:v>MS-RT</x:v>
      </x:c>
      <x:c r="F269" s="26" t="str">
        <x:v>C</x:v>
      </x:c>
      <x:c r="G269" s="26" t="str">
        <x:v>X01</x:v>
      </x:c>
      <x:c r="H269" s="26" t="str">
        <x:v>Root integrator and beneficial control</x:v>
      </x:c>
      <x:c r="I269" s="26" t="str">
        <x:v>ROOT_EXCLUSIVE</x:v>
      </x:c>
      <x:c r="J269" s="26" t="n">
        <x:f>'Controls'!$D$5</x:f>
        <x:v>1</x:v>
      </x:c>
      <x:c r="K269" s="38" t="str">
        <x:v>UNDECLARED</x:v>
      </x:c>
      <x:c r="L269" s="26" t="str">
        <x:f>IF(K269="UNDECLARED","n.a.",COUNTIFS($K$5:$K$292,K269))</x:f>
        <x:v>n.a.</x:v>
      </x:c>
      <x:c r="M269" s="26" t="str">
        <x:f>IF(K269="UNDECLARED","OPEN",IF(L269&lt;=J269,"PASS","FAIL"))</x:f>
        <x:v>OPEN</x:v>
      </x:c>
      <x:c r="N269" s="38" t="str">
        <x:v>UNASSIGNED</x:v>
      </x:c>
    </x:row>
    <x:row r="270" ht="25.5" customHeight="1">
      <x:c r="C270" s="26" t="str">
        <x:v>NS-C3-RT-C-RB1-X02</x:v>
      </x:c>
      <x:c r="D270" s="26" t="str">
        <x:v>C3-RT-C-RB1</x:v>
      </x:c>
      <x:c r="E270" s="26" t="str">
        <x:v>MS-RT</x:v>
      </x:c>
      <x:c r="F270" s="26" t="str">
        <x:v>C</x:v>
      </x:c>
      <x:c r="G270" s="26" t="str">
        <x:v>X02</x:v>
      </x:c>
      <x:c r="H270" s="26" t="str">
        <x:v>Prime work physics and mechanism authority</x:v>
      </x:c>
      <x:c r="I270" s="26" t="str">
        <x:v>ROOT_EXCLUSIVE</x:v>
      </x:c>
      <x:c r="J270" s="26" t="n">
        <x:f>'Controls'!$D$5</x:f>
        <x:v>1</x:v>
      </x:c>
      <x:c r="K270" s="38" t="str">
        <x:v>UNDECLARED</x:v>
      </x:c>
      <x:c r="L270" s="26" t="str">
        <x:f>IF(K270="UNDECLARED","n.a.",COUNTIFS($K$5:$K$292,K270))</x:f>
        <x:v>n.a.</x:v>
      </x:c>
      <x:c r="M270" s="26" t="str">
        <x:f>IF(K270="UNDECLARED","OPEN",IF(L270&lt;=J270,"PASS","FAIL"))</x:f>
        <x:v>OPEN</x:v>
      </x:c>
      <x:c r="N270" s="38" t="str">
        <x:v>UNASSIGNED</x:v>
      </x:c>
    </x:row>
    <x:row r="271" ht="25.5" customHeight="1">
      <x:c r="C271" s="26" t="str">
        <x:v>NS-C3-RT-C-RB1-X03</x:v>
      </x:c>
      <x:c r="D271" s="26" t="str">
        <x:v>C3-RT-C-RB1</x:v>
      </x:c>
      <x:c r="E271" s="26" t="str">
        <x:v>MS-RT</x:v>
      </x:c>
      <x:c r="F271" s="26" t="str">
        <x:v>C</x:v>
      </x:c>
      <x:c r="G271" s="26" t="str">
        <x:v>X03</x:v>
      </x:c>
      <x:c r="H271" s="26" t="str">
        <x:v>Primary energy conversion and safe-state chain</x:v>
      </x:c>
      <x:c r="I271" s="26" t="str">
        <x:v>ROOT_EXCLUSIVE</x:v>
      </x:c>
      <x:c r="J271" s="26" t="n">
        <x:f>'Controls'!$D$5</x:f>
        <x:v>1</x:v>
      </x:c>
      <x:c r="K271" s="38" t="str">
        <x:v>UNDECLARED</x:v>
      </x:c>
      <x:c r="L271" s="26" t="str">
        <x:f>IF(K271="UNDECLARED","n.a.",COUNTIFS($K$5:$K$292,K271))</x:f>
        <x:v>n.a.</x:v>
      </x:c>
      <x:c r="M271" s="26" t="str">
        <x:f>IF(K271="UNDECLARED","OPEN",IF(L271&lt;=J271,"PASS","FAIL"))</x:f>
        <x:v>OPEN</x:v>
      </x:c>
      <x:c r="N271" s="38" t="str">
        <x:v>UNASSIGNED</x:v>
      </x:c>
    </x:row>
    <x:row r="272" ht="25.5" customHeight="1">
      <x:c r="C272" s="26" t="str">
        <x:v>NS-C3-RT-C-RB1-X04</x:v>
      </x:c>
      <x:c r="D272" s="26" t="str">
        <x:v>C3-RT-C-RB1</x:v>
      </x:c>
      <x:c r="E272" s="26" t="str">
        <x:v>MS-RT</x:v>
      </x:c>
      <x:c r="F272" s="26" t="str">
        <x:v>C</x:v>
      </x:c>
      <x:c r="G272" s="26" t="str">
        <x:v>X04</x:v>
      </x:c>
      <x:c r="H272" s="26" t="str">
        <x:v>Structural and material process</x:v>
      </x:c>
      <x:c r="I272" s="26" t="str">
        <x:v>ROOT_EXCLUSIVE</x:v>
      </x:c>
      <x:c r="J272" s="26" t="n">
        <x:f>'Controls'!$D$5</x:f>
        <x:v>1</x:v>
      </x:c>
      <x:c r="K272" s="38" t="str">
        <x:v>UNDECLARED</x:v>
      </x:c>
      <x:c r="L272" s="26" t="str">
        <x:f>IF(K272="UNDECLARED","n.a.",COUNTIFS($K$5:$K$292,K272))</x:f>
        <x:v>n.a.</x:v>
      </x:c>
      <x:c r="M272" s="26" t="str">
        <x:f>IF(K272="UNDECLARED","OPEN",IF(L272&lt;=J272,"PASS","FAIL"))</x:f>
        <x:v>OPEN</x:v>
      </x:c>
      <x:c r="N272" s="38" t="str">
        <x:v>UNASSIGNED</x:v>
      </x:c>
    </x:row>
    <x:row r="273" ht="25.5" customHeight="1">
      <x:c r="C273" s="26" t="str">
        <x:v>NS-C3-RT-C-RB1-X05</x:v>
      </x:c>
      <x:c r="D273" s="26" t="str">
        <x:v>C3-RT-C-RB1</x:v>
      </x:c>
      <x:c r="E273" s="26" t="str">
        <x:v>MS-RT</x:v>
      </x:c>
      <x:c r="F273" s="26" t="str">
        <x:v>C</x:v>
      </x:c>
      <x:c r="G273" s="26" t="str">
        <x:v>X05</x:v>
      </x:c>
      <x:c r="H273" s="26" t="str">
        <x:v>Critical feedstock conversion</x:v>
      </x:c>
      <x:c r="I273" s="26" t="str">
        <x:v>ROOT_EXCLUSIVE</x:v>
      </x:c>
      <x:c r="J273" s="26" t="n">
        <x:f>'Controls'!$D$5</x:f>
        <x:v>1</x:v>
      </x:c>
      <x:c r="K273" s="38" t="str">
        <x:v>UNDECLARED</x:v>
      </x:c>
      <x:c r="L273" s="26" t="str">
        <x:f>IF(K273="UNDECLARED","n.a.",COUNTIFS($K$5:$K$292,K273))</x:f>
        <x:v>n.a.</x:v>
      </x:c>
      <x:c r="M273" s="26" t="str">
        <x:f>IF(K273="UNDECLARED","OPEN",IF(L273&lt;=J273,"PASS","FAIL"))</x:f>
        <x:v>OPEN</x:v>
      </x:c>
      <x:c r="N273" s="38" t="str">
        <x:v>UNASSIGNED</x:v>
      </x:c>
    </x:row>
    <x:row r="274" ht="25.5" customHeight="1">
      <x:c r="C274" s="26" t="str">
        <x:v>NS-C3-RT-C-RB1-X06</x:v>
      </x:c>
      <x:c r="D274" s="26" t="str">
        <x:v>C3-RT-C-RB1</x:v>
      </x:c>
      <x:c r="E274" s="26" t="str">
        <x:v>MS-RT</x:v>
      </x:c>
      <x:c r="F274" s="26" t="str">
        <x:v>C</x:v>
      </x:c>
      <x:c r="G274" s="26" t="str">
        <x:v>X06</x:v>
      </x:c>
      <x:c r="H274" s="26" t="str">
        <x:v>Control runtime, build system and signing keys</x:v>
      </x:c>
      <x:c r="I274" s="26" t="str">
        <x:v>ROOT_EXCLUSIVE</x:v>
      </x:c>
      <x:c r="J274" s="26" t="n">
        <x:f>'Controls'!$D$5</x:f>
        <x:v>1</x:v>
      </x:c>
      <x:c r="K274" s="38" t="str">
        <x:v>UNDECLARED</x:v>
      </x:c>
      <x:c r="L274" s="26" t="str">
        <x:f>IF(K274="UNDECLARED","n.a.",COUNTIFS($K$5:$K$292,K274))</x:f>
        <x:v>n.a.</x:v>
      </x:c>
      <x:c r="M274" s="26" t="str">
        <x:f>IF(K274="UNDECLARED","OPEN",IF(L274&lt;=J274,"PASS","FAIL"))</x:f>
        <x:v>OPEN</x:v>
      </x:c>
      <x:c r="N274" s="38" t="str">
        <x:v>UNASSIGNED</x:v>
      </x:c>
    </x:row>
    <x:row r="275" ht="25.5" customHeight="1">
      <x:c r="C275" s="26" t="str">
        <x:v>NS-C3-RT-C-RB1-X07</x:v>
      </x:c>
      <x:c r="D275" s="26" t="str">
        <x:v>C3-RT-C-RB1</x:v>
      </x:c>
      <x:c r="E275" s="26" t="str">
        <x:v>MS-RT</x:v>
      </x:c>
      <x:c r="F275" s="26" t="str">
        <x:v>C</x:v>
      </x:c>
      <x:c r="G275" s="26" t="str">
        <x:v>X07</x:v>
      </x:c>
      <x:c r="H275" s="26" t="str">
        <x:v>Communications and causal-time implementation</x:v>
      </x:c>
      <x:c r="I275" s="26" t="str">
        <x:v>ROOT_EXCLUSIVE</x:v>
      </x:c>
      <x:c r="J275" s="26" t="n">
        <x:f>'Controls'!$D$5</x:f>
        <x:v>1</x:v>
      </x:c>
      <x:c r="K275" s="38" t="str">
        <x:v>UNDECLARED</x:v>
      </x:c>
      <x:c r="L275" s="26" t="str">
        <x:f>IF(K275="UNDECLARED","n.a.",COUNTIFS($K$5:$K$292,K275))</x:f>
        <x:v>n.a.</x:v>
      </x:c>
      <x:c r="M275" s="26" t="str">
        <x:f>IF(K275="UNDECLARED","OPEN",IF(L275&lt;=J275,"PASS","FAIL"))</x:f>
        <x:v>OPEN</x:v>
      </x:c>
      <x:c r="N275" s="38" t="str">
        <x:v>UNASSIGNED</x:v>
      </x:c>
    </x:row>
    <x:row r="276" ht="25.5" customHeight="1">
      <x:c r="C276" s="26" t="str">
        <x:v>NS-C3-RT-C-RB1-X08</x:v>
      </x:c>
      <x:c r="D276" s="26" t="str">
        <x:v>C3-RT-C-RB1</x:v>
      </x:c>
      <x:c r="E276" s="26" t="str">
        <x:v>MS-RT</x:v>
      </x:c>
      <x:c r="F276" s="26" t="str">
        <x:v>C</x:v>
      </x:c>
      <x:c r="G276" s="26" t="str">
        <x:v>X08</x:v>
      </x:c>
      <x:c r="H276" s="26" t="str">
        <x:v>Sensing, calibration and uncertainty chain</x:v>
      </x:c>
      <x:c r="I276" s="26" t="str">
        <x:v>ROOT_EXCLUSIVE</x:v>
      </x:c>
      <x:c r="J276" s="26" t="n">
        <x:f>'Controls'!$D$5</x:f>
        <x:v>1</x:v>
      </x:c>
      <x:c r="K276" s="38" t="str">
        <x:v>UNDECLARED</x:v>
      </x:c>
      <x:c r="L276" s="26" t="str">
        <x:f>IF(K276="UNDECLARED","n.a.",COUNTIFS($K$5:$K$292,K276))</x:f>
        <x:v>n.a.</x:v>
      </x:c>
      <x:c r="M276" s="26" t="str">
        <x:f>IF(K276="UNDECLARED","OPEN",IF(L276&lt;=J276,"PASS","FAIL"))</x:f>
        <x:v>OPEN</x:v>
      </x:c>
      <x:c r="N276" s="38" t="str">
        <x:v>UNASSIGNED</x:v>
      </x:c>
    </x:row>
    <x:row r="277" ht="25.5" customHeight="1">
      <x:c r="C277" s="26" t="str">
        <x:v>NS-C3-RT-C-RB1-X09</x:v>
      </x:c>
      <x:c r="D277" s="26" t="str">
        <x:v>C3-RT-C-RB1</x:v>
      </x:c>
      <x:c r="E277" s="26" t="str">
        <x:v>MS-RT</x:v>
      </x:c>
      <x:c r="F277" s="26" t="str">
        <x:v>C</x:v>
      </x:c>
      <x:c r="G277" s="26" t="str">
        <x:v>X09</x:v>
      </x:c>
      <x:c r="H277" s="26" t="str">
        <x:v>Production tooling and pilot line</x:v>
      </x:c>
      <x:c r="I277" s="26" t="str">
        <x:v>ROOT_EXCLUSIVE</x:v>
      </x:c>
      <x:c r="J277" s="26" t="n">
        <x:f>'Controls'!$D$5</x:f>
        <x:v>1</x:v>
      </x:c>
      <x:c r="K277" s="38" t="str">
        <x:v>UNDECLARED</x:v>
      </x:c>
      <x:c r="L277" s="26" t="str">
        <x:f>IF(K277="UNDECLARED","n.a.",COUNTIFS($K$5:$K$292,K277))</x:f>
        <x:v>n.a.</x:v>
      </x:c>
      <x:c r="M277" s="26" t="str">
        <x:f>IF(K277="UNDECLARED","OPEN",IF(L277&lt;=J277,"PASS","FAIL"))</x:f>
        <x:v>OPEN</x:v>
      </x:c>
      <x:c r="N277" s="38" t="str">
        <x:v>UNASSIGNED</x:v>
      </x:c>
    </x:row>
    <x:row r="278" ht="25.5" customHeight="1">
      <x:c r="C278" s="26" t="str">
        <x:v>NS-C3-RT-C-RB1-X10</x:v>
      </x:c>
      <x:c r="D278" s="26" t="str">
        <x:v>C3-RT-C-RB1</x:v>
      </x:c>
      <x:c r="E278" s="26" t="str">
        <x:v>MS-RT</x:v>
      </x:c>
      <x:c r="F278" s="26" t="str">
        <x:v>C</x:v>
      </x:c>
      <x:c r="G278" s="26" t="str">
        <x:v>X10</x:v>
      </x:c>
      <x:c r="H278" s="26" t="str">
        <x:v>Final assembly site and critical workforce</x:v>
      </x:c>
      <x:c r="I278" s="26" t="str">
        <x:v>ROOT_EXCLUSIVE</x:v>
      </x:c>
      <x:c r="J278" s="26" t="n">
        <x:f>'Controls'!$D$5</x:f>
        <x:v>1</x:v>
      </x:c>
      <x:c r="K278" s="38" t="str">
        <x:v>UNDECLARED</x:v>
      </x:c>
      <x:c r="L278" s="26" t="str">
        <x:f>IF(K278="UNDECLARED","n.a.",COUNTIFS($K$5:$K$292,K278))</x:f>
        <x:v>n.a.</x:v>
      </x:c>
      <x:c r="M278" s="26" t="str">
        <x:f>IF(K278="UNDECLARED","OPEN",IF(L278&lt;=J278,"PASS","FAIL"))</x:f>
        <x:v>OPEN</x:v>
      </x:c>
      <x:c r="N278" s="38" t="str">
        <x:v>UNASSIGNED</x:v>
      </x:c>
    </x:row>
    <x:row r="279" ht="25.5" customHeight="1">
      <x:c r="C279" s="26" t="str">
        <x:v>NS-C3-RT-C-RB1-X11</x:v>
      </x:c>
      <x:c r="D279" s="26" t="str">
        <x:v>C3-RT-C-RB1</x:v>
      </x:c>
      <x:c r="E279" s="26" t="str">
        <x:v>MS-RT</x:v>
      </x:c>
      <x:c r="F279" s="26" t="str">
        <x:v>C</x:v>
      </x:c>
      <x:c r="G279" s="26" t="str">
        <x:v>X11</x:v>
      </x:c>
      <x:c r="H279" s="26" t="str">
        <x:v>Repair, reset and second-team reproduction</x:v>
      </x:c>
      <x:c r="I279" s="26" t="str">
        <x:v>ROOT_EXCLUSIVE</x:v>
      </x:c>
      <x:c r="J279" s="26" t="n">
        <x:f>'Controls'!$D$5</x:f>
        <x:v>1</x:v>
      </x:c>
      <x:c r="K279" s="38" t="str">
        <x:v>UNDECLARED</x:v>
      </x:c>
      <x:c r="L279" s="26" t="str">
        <x:f>IF(K279="UNDECLARED","n.a.",COUNTIFS($K$5:$K$292,K279))</x:f>
        <x:v>n.a.</x:v>
      </x:c>
      <x:c r="M279" s="26" t="str">
        <x:f>IF(K279="UNDECLARED","OPEN",IF(L279&lt;=J279,"PASS","FAIL"))</x:f>
        <x:v>OPEN</x:v>
      </x:c>
      <x:c r="N279" s="38" t="str">
        <x:v>UNASSIGNED</x:v>
      </x:c>
    </x:row>
    <x:row r="280" ht="25.5" customHeight="1">
      <x:c r="C280" s="26" t="str">
        <x:v>NS-C3-RT-C-RB1-X12</x:v>
      </x:c>
      <x:c r="D280" s="26" t="str">
        <x:v>C3-RT-C-RB1</x:v>
      </x:c>
      <x:c r="E280" s="26" t="str">
        <x:v>MS-RT</x:v>
      </x:c>
      <x:c r="F280" s="26" t="str">
        <x:v>C</x:v>
      </x:c>
      <x:c r="G280" s="26" t="str">
        <x:v>X12</x:v>
      </x:c>
      <x:c r="H280" s="26" t="str">
        <x:v>Evidence capture, custody and outside replay</x:v>
      </x:c>
      <x:c r="I280" s="26" t="str">
        <x:v>ROOT_EXCLUSIVE</x:v>
      </x:c>
      <x:c r="J280" s="26" t="n">
        <x:f>'Controls'!$D$5</x:f>
        <x:v>1</x:v>
      </x:c>
      <x:c r="K280" s="38" t="str">
        <x:v>UNDECLARED</x:v>
      </x:c>
      <x:c r="L280" s="26" t="str">
        <x:f>IF(K280="UNDECLARED","n.a.",COUNTIFS($K$5:$K$292,K280))</x:f>
        <x:v>n.a.</x:v>
      </x:c>
      <x:c r="M280" s="26" t="str">
        <x:f>IF(K280="UNDECLARED","OPEN",IF(L280&lt;=J280,"PASS","FAIL"))</x:f>
        <x:v>OPEN</x:v>
      </x:c>
      <x:c r="N280" s="38" t="str">
        <x:v>UNASSIGNED</x:v>
      </x:c>
    </x:row>
    <x:row r="281" ht="25.5" customHeight="1">
      <x:c r="C281" s="26" t="str">
        <x:v>NS-C3-RT-D-RB1-X01</x:v>
      </x:c>
      <x:c r="D281" s="26" t="str">
        <x:v>C3-RT-D-RB1</x:v>
      </x:c>
      <x:c r="E281" s="26" t="str">
        <x:v>MS-RT</x:v>
      </x:c>
      <x:c r="F281" s="26" t="str">
        <x:v>D</x:v>
      </x:c>
      <x:c r="G281" s="26" t="str">
        <x:v>X01</x:v>
      </x:c>
      <x:c r="H281" s="26" t="str">
        <x:v>Root integrator and beneficial control</x:v>
      </x:c>
      <x:c r="I281" s="26" t="str">
        <x:v>ROOT_EXCLUSIVE</x:v>
      </x:c>
      <x:c r="J281" s="26" t="n">
        <x:f>'Controls'!$D$5</x:f>
        <x:v>1</x:v>
      </x:c>
      <x:c r="K281" s="38" t="str">
        <x:v>UNDECLARED</x:v>
      </x:c>
      <x:c r="L281" s="26" t="str">
        <x:f>IF(K281="UNDECLARED","n.a.",COUNTIFS($K$5:$K$292,K281))</x:f>
        <x:v>n.a.</x:v>
      </x:c>
      <x:c r="M281" s="26" t="str">
        <x:f>IF(K281="UNDECLARED","OPEN",IF(L281&lt;=J281,"PASS","FAIL"))</x:f>
        <x:v>OPEN</x:v>
      </x:c>
      <x:c r="N281" s="38" t="str">
        <x:v>UNASSIGNED</x:v>
      </x:c>
    </x:row>
    <x:row r="282" ht="25.5" customHeight="1">
      <x:c r="C282" s="26" t="str">
        <x:v>NS-C3-RT-D-RB1-X02</x:v>
      </x:c>
      <x:c r="D282" s="26" t="str">
        <x:v>C3-RT-D-RB1</x:v>
      </x:c>
      <x:c r="E282" s="26" t="str">
        <x:v>MS-RT</x:v>
      </x:c>
      <x:c r="F282" s="26" t="str">
        <x:v>D</x:v>
      </x:c>
      <x:c r="G282" s="26" t="str">
        <x:v>X02</x:v>
      </x:c>
      <x:c r="H282" s="26" t="str">
        <x:v>Prime work physics and mechanism authority</x:v>
      </x:c>
      <x:c r="I282" s="26" t="str">
        <x:v>ROOT_EXCLUSIVE</x:v>
      </x:c>
      <x:c r="J282" s="26" t="n">
        <x:f>'Controls'!$D$5</x:f>
        <x:v>1</x:v>
      </x:c>
      <x:c r="K282" s="38" t="str">
        <x:v>UNDECLARED</x:v>
      </x:c>
      <x:c r="L282" s="26" t="str">
        <x:f>IF(K282="UNDECLARED","n.a.",COUNTIFS($K$5:$K$292,K282))</x:f>
        <x:v>n.a.</x:v>
      </x:c>
      <x:c r="M282" s="26" t="str">
        <x:f>IF(K282="UNDECLARED","OPEN",IF(L282&lt;=J282,"PASS","FAIL"))</x:f>
        <x:v>OPEN</x:v>
      </x:c>
      <x:c r="N282" s="38" t="str">
        <x:v>UNASSIGNED</x:v>
      </x:c>
    </x:row>
    <x:row r="283" ht="25.5" customHeight="1">
      <x:c r="C283" s="26" t="str">
        <x:v>NS-C3-RT-D-RB1-X03</x:v>
      </x:c>
      <x:c r="D283" s="26" t="str">
        <x:v>C3-RT-D-RB1</x:v>
      </x:c>
      <x:c r="E283" s="26" t="str">
        <x:v>MS-RT</x:v>
      </x:c>
      <x:c r="F283" s="26" t="str">
        <x:v>D</x:v>
      </x:c>
      <x:c r="G283" s="26" t="str">
        <x:v>X03</x:v>
      </x:c>
      <x:c r="H283" s="26" t="str">
        <x:v>Primary energy conversion and safe-state chain</x:v>
      </x:c>
      <x:c r="I283" s="26" t="str">
        <x:v>ROOT_EXCLUSIVE</x:v>
      </x:c>
      <x:c r="J283" s="26" t="n">
        <x:f>'Controls'!$D$5</x:f>
        <x:v>1</x:v>
      </x:c>
      <x:c r="K283" s="38" t="str">
        <x:v>UNDECLARED</x:v>
      </x:c>
      <x:c r="L283" s="26" t="str">
        <x:f>IF(K283="UNDECLARED","n.a.",COUNTIFS($K$5:$K$292,K283))</x:f>
        <x:v>n.a.</x:v>
      </x:c>
      <x:c r="M283" s="26" t="str">
        <x:f>IF(K283="UNDECLARED","OPEN",IF(L283&lt;=J283,"PASS","FAIL"))</x:f>
        <x:v>OPEN</x:v>
      </x:c>
      <x:c r="N283" s="38" t="str">
        <x:v>UNASSIGNED</x:v>
      </x:c>
    </x:row>
    <x:row r="284" ht="25.5" customHeight="1">
      <x:c r="C284" s="26" t="str">
        <x:v>NS-C3-RT-D-RB1-X04</x:v>
      </x:c>
      <x:c r="D284" s="26" t="str">
        <x:v>C3-RT-D-RB1</x:v>
      </x:c>
      <x:c r="E284" s="26" t="str">
        <x:v>MS-RT</x:v>
      </x:c>
      <x:c r="F284" s="26" t="str">
        <x:v>D</x:v>
      </x:c>
      <x:c r="G284" s="26" t="str">
        <x:v>X04</x:v>
      </x:c>
      <x:c r="H284" s="26" t="str">
        <x:v>Structural and material process</x:v>
      </x:c>
      <x:c r="I284" s="26" t="str">
        <x:v>ROOT_EXCLUSIVE</x:v>
      </x:c>
      <x:c r="J284" s="26" t="n">
        <x:f>'Controls'!$D$5</x:f>
        <x:v>1</x:v>
      </x:c>
      <x:c r="K284" s="38" t="str">
        <x:v>UNDECLARED</x:v>
      </x:c>
      <x:c r="L284" s="26" t="str">
        <x:f>IF(K284="UNDECLARED","n.a.",COUNTIFS($K$5:$K$292,K284))</x:f>
        <x:v>n.a.</x:v>
      </x:c>
      <x:c r="M284" s="26" t="str">
        <x:f>IF(K284="UNDECLARED","OPEN",IF(L284&lt;=J284,"PASS","FAIL"))</x:f>
        <x:v>OPEN</x:v>
      </x:c>
      <x:c r="N284" s="38" t="str">
        <x:v>UNASSIGNED</x:v>
      </x:c>
    </x:row>
    <x:row r="285" ht="25.5" customHeight="1">
      <x:c r="C285" s="26" t="str">
        <x:v>NS-C3-RT-D-RB1-X05</x:v>
      </x:c>
      <x:c r="D285" s="26" t="str">
        <x:v>C3-RT-D-RB1</x:v>
      </x:c>
      <x:c r="E285" s="26" t="str">
        <x:v>MS-RT</x:v>
      </x:c>
      <x:c r="F285" s="26" t="str">
        <x:v>D</x:v>
      </x:c>
      <x:c r="G285" s="26" t="str">
        <x:v>X05</x:v>
      </x:c>
      <x:c r="H285" s="26" t="str">
        <x:v>Critical feedstock conversion</x:v>
      </x:c>
      <x:c r="I285" s="26" t="str">
        <x:v>ROOT_EXCLUSIVE</x:v>
      </x:c>
      <x:c r="J285" s="26" t="n">
        <x:f>'Controls'!$D$5</x:f>
        <x:v>1</x:v>
      </x:c>
      <x:c r="K285" s="38" t="str">
        <x:v>UNDECLARED</x:v>
      </x:c>
      <x:c r="L285" s="26" t="str">
        <x:f>IF(K285="UNDECLARED","n.a.",COUNTIFS($K$5:$K$292,K285))</x:f>
        <x:v>n.a.</x:v>
      </x:c>
      <x:c r="M285" s="26" t="str">
        <x:f>IF(K285="UNDECLARED","OPEN",IF(L285&lt;=J285,"PASS","FAIL"))</x:f>
        <x:v>OPEN</x:v>
      </x:c>
      <x:c r="N285" s="38" t="str">
        <x:v>UNASSIGNED</x:v>
      </x:c>
    </x:row>
    <x:row r="286" ht="25.5" customHeight="1">
      <x:c r="C286" s="26" t="str">
        <x:v>NS-C3-RT-D-RB1-X06</x:v>
      </x:c>
      <x:c r="D286" s="26" t="str">
        <x:v>C3-RT-D-RB1</x:v>
      </x:c>
      <x:c r="E286" s="26" t="str">
        <x:v>MS-RT</x:v>
      </x:c>
      <x:c r="F286" s="26" t="str">
        <x:v>D</x:v>
      </x:c>
      <x:c r="G286" s="26" t="str">
        <x:v>X06</x:v>
      </x:c>
      <x:c r="H286" s="26" t="str">
        <x:v>Control runtime, build system and signing keys</x:v>
      </x:c>
      <x:c r="I286" s="26" t="str">
        <x:v>ROOT_EXCLUSIVE</x:v>
      </x:c>
      <x:c r="J286" s="26" t="n">
        <x:f>'Controls'!$D$5</x:f>
        <x:v>1</x:v>
      </x:c>
      <x:c r="K286" s="38" t="str">
        <x:v>UNDECLARED</x:v>
      </x:c>
      <x:c r="L286" s="26" t="str">
        <x:f>IF(K286="UNDECLARED","n.a.",COUNTIFS($K$5:$K$292,K286))</x:f>
        <x:v>n.a.</x:v>
      </x:c>
      <x:c r="M286" s="26" t="str">
        <x:f>IF(K286="UNDECLARED","OPEN",IF(L286&lt;=J286,"PASS","FAIL"))</x:f>
        <x:v>OPEN</x:v>
      </x:c>
      <x:c r="N286" s="38" t="str">
        <x:v>UNASSIGNED</x:v>
      </x:c>
    </x:row>
    <x:row r="287" ht="25.5" customHeight="1">
      <x:c r="C287" s="26" t="str">
        <x:v>NS-C3-RT-D-RB1-X07</x:v>
      </x:c>
      <x:c r="D287" s="26" t="str">
        <x:v>C3-RT-D-RB1</x:v>
      </x:c>
      <x:c r="E287" s="26" t="str">
        <x:v>MS-RT</x:v>
      </x:c>
      <x:c r="F287" s="26" t="str">
        <x:v>D</x:v>
      </x:c>
      <x:c r="G287" s="26" t="str">
        <x:v>X07</x:v>
      </x:c>
      <x:c r="H287" s="26" t="str">
        <x:v>Communications and causal-time implementation</x:v>
      </x:c>
      <x:c r="I287" s="26" t="str">
        <x:v>ROOT_EXCLUSIVE</x:v>
      </x:c>
      <x:c r="J287" s="26" t="n">
        <x:f>'Controls'!$D$5</x:f>
        <x:v>1</x:v>
      </x:c>
      <x:c r="K287" s="38" t="str">
        <x:v>UNDECLARED</x:v>
      </x:c>
      <x:c r="L287" s="26" t="str">
        <x:f>IF(K287="UNDECLARED","n.a.",COUNTIFS($K$5:$K$292,K287))</x:f>
        <x:v>n.a.</x:v>
      </x:c>
      <x:c r="M287" s="26" t="str">
        <x:f>IF(K287="UNDECLARED","OPEN",IF(L287&lt;=J287,"PASS","FAIL"))</x:f>
        <x:v>OPEN</x:v>
      </x:c>
      <x:c r="N287" s="38" t="str">
        <x:v>UNASSIGNED</x:v>
      </x:c>
    </x:row>
    <x:row r="288" ht="25.5" customHeight="1">
      <x:c r="C288" s="26" t="str">
        <x:v>NS-C3-RT-D-RB1-X08</x:v>
      </x:c>
      <x:c r="D288" s="26" t="str">
        <x:v>C3-RT-D-RB1</x:v>
      </x:c>
      <x:c r="E288" s="26" t="str">
        <x:v>MS-RT</x:v>
      </x:c>
      <x:c r="F288" s="26" t="str">
        <x:v>D</x:v>
      </x:c>
      <x:c r="G288" s="26" t="str">
        <x:v>X08</x:v>
      </x:c>
      <x:c r="H288" s="26" t="str">
        <x:v>Sensing, calibration and uncertainty chain</x:v>
      </x:c>
      <x:c r="I288" s="26" t="str">
        <x:v>ROOT_EXCLUSIVE</x:v>
      </x:c>
      <x:c r="J288" s="26" t="n">
        <x:f>'Controls'!$D$5</x:f>
        <x:v>1</x:v>
      </x:c>
      <x:c r="K288" s="38" t="str">
        <x:v>UNDECLARED</x:v>
      </x:c>
      <x:c r="L288" s="26" t="str">
        <x:f>IF(K288="UNDECLARED","n.a.",COUNTIFS($K$5:$K$292,K288))</x:f>
        <x:v>n.a.</x:v>
      </x:c>
      <x:c r="M288" s="26" t="str">
        <x:f>IF(K288="UNDECLARED","OPEN",IF(L288&lt;=J288,"PASS","FAIL"))</x:f>
        <x:v>OPEN</x:v>
      </x:c>
      <x:c r="N288" s="38" t="str">
        <x:v>UNASSIGNED</x:v>
      </x:c>
    </x:row>
    <x:row r="289" ht="25.5" customHeight="1">
      <x:c r="C289" s="26" t="str">
        <x:v>NS-C3-RT-D-RB1-X09</x:v>
      </x:c>
      <x:c r="D289" s="26" t="str">
        <x:v>C3-RT-D-RB1</x:v>
      </x:c>
      <x:c r="E289" s="26" t="str">
        <x:v>MS-RT</x:v>
      </x:c>
      <x:c r="F289" s="26" t="str">
        <x:v>D</x:v>
      </x:c>
      <x:c r="G289" s="26" t="str">
        <x:v>X09</x:v>
      </x:c>
      <x:c r="H289" s="26" t="str">
        <x:v>Production tooling and pilot line</x:v>
      </x:c>
      <x:c r="I289" s="26" t="str">
        <x:v>ROOT_EXCLUSIVE</x:v>
      </x:c>
      <x:c r="J289" s="26" t="n">
        <x:f>'Controls'!$D$5</x:f>
        <x:v>1</x:v>
      </x:c>
      <x:c r="K289" s="38" t="str">
        <x:v>UNDECLARED</x:v>
      </x:c>
      <x:c r="L289" s="26" t="str">
        <x:f>IF(K289="UNDECLARED","n.a.",COUNTIFS($K$5:$K$292,K289))</x:f>
        <x:v>n.a.</x:v>
      </x:c>
      <x:c r="M289" s="26" t="str">
        <x:f>IF(K289="UNDECLARED","OPEN",IF(L289&lt;=J289,"PASS","FAIL"))</x:f>
        <x:v>OPEN</x:v>
      </x:c>
      <x:c r="N289" s="38" t="str">
        <x:v>UNASSIGNED</x:v>
      </x:c>
    </x:row>
    <x:row r="290" ht="25.5" customHeight="1">
      <x:c r="C290" s="26" t="str">
        <x:v>NS-C3-RT-D-RB1-X10</x:v>
      </x:c>
      <x:c r="D290" s="26" t="str">
        <x:v>C3-RT-D-RB1</x:v>
      </x:c>
      <x:c r="E290" s="26" t="str">
        <x:v>MS-RT</x:v>
      </x:c>
      <x:c r="F290" s="26" t="str">
        <x:v>D</x:v>
      </x:c>
      <x:c r="G290" s="26" t="str">
        <x:v>X10</x:v>
      </x:c>
      <x:c r="H290" s="26" t="str">
        <x:v>Final assembly site and critical workforce</x:v>
      </x:c>
      <x:c r="I290" s="26" t="str">
        <x:v>ROOT_EXCLUSIVE</x:v>
      </x:c>
      <x:c r="J290" s="26" t="n">
        <x:f>'Controls'!$D$5</x:f>
        <x:v>1</x:v>
      </x:c>
      <x:c r="K290" s="38" t="str">
        <x:v>UNDECLARED</x:v>
      </x:c>
      <x:c r="L290" s="26" t="str">
        <x:f>IF(K290="UNDECLARED","n.a.",COUNTIFS($K$5:$K$292,K290))</x:f>
        <x:v>n.a.</x:v>
      </x:c>
      <x:c r="M290" s="26" t="str">
        <x:f>IF(K290="UNDECLARED","OPEN",IF(L290&lt;=J290,"PASS","FAIL"))</x:f>
        <x:v>OPEN</x:v>
      </x:c>
      <x:c r="N290" s="38" t="str">
        <x:v>UNASSIGNED</x:v>
      </x:c>
    </x:row>
    <x:row r="291" ht="25.5" customHeight="1">
      <x:c r="C291" s="26" t="str">
        <x:v>NS-C3-RT-D-RB1-X11</x:v>
      </x:c>
      <x:c r="D291" s="26" t="str">
        <x:v>C3-RT-D-RB1</x:v>
      </x:c>
      <x:c r="E291" s="26" t="str">
        <x:v>MS-RT</x:v>
      </x:c>
      <x:c r="F291" s="26" t="str">
        <x:v>D</x:v>
      </x:c>
      <x:c r="G291" s="26" t="str">
        <x:v>X11</x:v>
      </x:c>
      <x:c r="H291" s="26" t="str">
        <x:v>Repair, reset and second-team reproduction</x:v>
      </x:c>
      <x:c r="I291" s="26" t="str">
        <x:v>ROOT_EXCLUSIVE</x:v>
      </x:c>
      <x:c r="J291" s="26" t="n">
        <x:f>'Controls'!$D$5</x:f>
        <x:v>1</x:v>
      </x:c>
      <x:c r="K291" s="38" t="str">
        <x:v>UNDECLARED</x:v>
      </x:c>
      <x:c r="L291" s="26" t="str">
        <x:f>IF(K291="UNDECLARED","n.a.",COUNTIFS($K$5:$K$292,K291))</x:f>
        <x:v>n.a.</x:v>
      </x:c>
      <x:c r="M291" s="26" t="str">
        <x:f>IF(K291="UNDECLARED","OPEN",IF(L291&lt;=J291,"PASS","FAIL"))</x:f>
        <x:v>OPEN</x:v>
      </x:c>
      <x:c r="N291" s="38" t="str">
        <x:v>UNASSIGNED</x:v>
      </x:c>
    </x:row>
    <x:row r="292" ht="25.5" customHeight="1">
      <x:c r="C292" s="26" t="str">
        <x:v>NS-C3-RT-D-RB1-X12</x:v>
      </x:c>
      <x:c r="D292" s="26" t="str">
        <x:v>C3-RT-D-RB1</x:v>
      </x:c>
      <x:c r="E292" s="26" t="str">
        <x:v>MS-RT</x:v>
      </x:c>
      <x:c r="F292" s="26" t="str">
        <x:v>D</x:v>
      </x:c>
      <x:c r="G292" s="26" t="str">
        <x:v>X12</x:v>
      </x:c>
      <x:c r="H292" s="26" t="str">
        <x:v>Evidence capture, custody and outside replay</x:v>
      </x:c>
      <x:c r="I292" s="26" t="str">
        <x:v>ROOT_EXCLUSIVE</x:v>
      </x:c>
      <x:c r="J292" s="26" t="n">
        <x:f>'Controls'!$D$5</x:f>
        <x:v>1</x:v>
      </x:c>
      <x:c r="K292" s="38" t="str">
        <x:v>UNDECLARED</x:v>
      </x:c>
      <x:c r="L292" s="26" t="str">
        <x:f>IF(K292="UNDECLARED","n.a.",COUNTIFS($K$5:$K$292,K292))</x:f>
        <x:v>n.a.</x:v>
      </x:c>
      <x:c r="M292" s="26" t="str">
        <x:f>IF(K292="UNDECLARED","OPEN",IF(L292&lt;=J292,"PASS","FAIL"))</x:f>
        <x:v>OPEN</x:v>
      </x:c>
      <x:c r="N292" s="38" t="str">
        <x:v>UNASSIGNED</x:v>
      </x:c>
    </x:row>
  </x:sheetData>
  <x:conditionalFormatting sqref="M5:M292">
    <x:cfRule type="containsText" dxfId="30" priority="1" operator="containsText" text="FAIL"/>
    <x:cfRule type="containsText" dxfId="31" priority="2" operator="containsText" text="REJECT"/>
    <x:cfRule type="containsText" dxfId="32" priority="3" operator="containsText" text="OPEN"/>
    <x:cfRule type="containsText" dxfId="33" priority="4" operator="containsText" text="HOLD"/>
    <x:cfRule type="containsText" dxfId="34" priority="5" operator="containsText" text="SELECT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.559999942779541" hidden="0" customWidth="1"/>
    <x:col min="2" max="2" width="1.559999942779541" hidden="0" customWidth="1"/>
    <x:col min="3" max="3" width="21.110000610351562" hidden="0" customWidth="1"/>
    <x:col min="4" max="4" width="15" hidden="0" customWidth="1"/>
    <x:col min="5" max="5" width="8.890000343322754" hidden="0" customWidth="1"/>
    <x:col min="6" max="6" width="6.110000133514404" hidden="0" customWidth="1"/>
    <x:col min="7" max="7" width="7.21999979019165" hidden="0" customWidth="1"/>
    <x:col min="8" max="8" width="33.33000183105469" hidden="0" customWidth="1"/>
    <x:col min="9" max="9" width="27.780000686645508" hidden="0" customWidth="1"/>
    <x:col min="10" max="10" width="8.890000343322754" hidden="0" customWidth="1"/>
    <x:col min="11" max="11" width="14.4399995803833" hidden="0" customWidth="1"/>
    <x:col min="12" max="12" width="8.329999923706055" hidden="0" customWidth="1"/>
  </x:cols>
  <x:sheetData>
    <x:row r="2">
      <x:c r="C2" s="1" t="str">
        <x:v>Three hundred thirty-six G3 release records</x:v>
      </x:c>
    </x:row>
    <x:row r="3">
      <x:c r="C3" s="2" t="str">
        <x:v>A root freezes only when every required artifact is current, independently accepted and configuration bound.</x:v>
      </x:c>
    </x:row>
    <x:row r="4" ht="24" customHeight="1">
      <x:c r="C4" s="8" t="str">
        <x:v>Record</x:v>
      </x:c>
      <x:c r="D4" s="8" t="str">
        <x:v>Root baseline</x:v>
      </x:c>
      <x:c r="E4" s="8" t="str">
        <x:v>System</x:v>
      </x:c>
      <x:c r="F4" s="8" t="str">
        <x:v>Root</x:v>
      </x:c>
      <x:c r="G4" s="8" t="str">
        <x:v>Gate</x:v>
      </x:c>
      <x:c r="H4" s="8" t="str">
        <x:v>Required artifact</x:v>
      </x:c>
      <x:c r="I4" s="8" t="str">
        <x:v>Acceptance authority</x:v>
      </x:c>
      <x:c r="J4" s="8" t="str">
        <x:v>Status</x:v>
      </x:c>
      <x:c r="K4" s="8" t="str">
        <x:v>Evidence ID</x:v>
      </x:c>
      <x:c r="L4" s="8" t="str">
        <x:v>Admission</x:v>
      </x:c>
    </x:row>
    <x:row r="5" ht="27" customHeight="1">
      <x:c r="C5" s="25" t="str">
        <x:v>C3-ET-A-RB1-G01</x:v>
      </x:c>
      <x:c r="D5" s="25" t="str">
        <x:v>C3-ET-A-RB1</x:v>
      </x:c>
      <x:c r="E5" s="25" t="str">
        <x:v>MS-ET</x:v>
      </x:c>
      <x:c r="F5" s="25" t="str">
        <x:v>A</x:v>
      </x:c>
      <x:c r="G5" s="25" t="str">
        <x:v>G01</x:v>
      </x:c>
      <x:c r="H5" s="25" t="str">
        <x:v>Complete service-route bill</x:v>
      </x:c>
      <x:c r="I5" s="25" t="str">
        <x:v>Mission-system office</x:v>
      </x:c>
      <x:c r="J5" s="37" t="str">
        <x:v>OPEN</x:v>
      </x:c>
      <x:c r="K5" s="37" t="str">
        <x:v>UNASSIGNED</x:v>
      </x:c>
      <x:c r="L5" s="25" t="n">
        <x:v>0</x:v>
      </x:c>
    </x:row>
    <x:row r="6" ht="27" customHeight="1">
      <x:c r="C6" s="26" t="str">
        <x:v>C3-ET-A-RB1-G02</x:v>
      </x:c>
      <x:c r="D6" s="26" t="str">
        <x:v>C3-ET-A-RB1</x:v>
      </x:c>
      <x:c r="E6" s="26" t="str">
        <x:v>MS-ET</x:v>
      </x:c>
      <x:c r="F6" s="26" t="str">
        <x:v>A</x:v>
      </x:c>
      <x:c r="G6" s="26" t="str">
        <x:v>G02</x:v>
      </x:c>
      <x:c r="H6" s="26" t="str">
        <x:v>Seven-stage state machine</x:v>
      </x:c>
      <x:c r="I6" s="26" t="str">
        <x:v>Service technical authorities</x:v>
      </x:c>
      <x:c r="J6" s="38" t="str">
        <x:v>OPEN</x:v>
      </x:c>
      <x:c r="K6" s="38" t="str">
        <x:v>UNASSIGNED</x:v>
      </x:c>
      <x:c r="L6" s="26" t="n">
        <x:v>0</x:v>
      </x:c>
    </x:row>
    <x:row r="7" ht="27" customHeight="1">
      <x:c r="C7" s="26" t="str">
        <x:v>C3-ET-A-RB1-G03</x:v>
      </x:c>
      <x:c r="D7" s="26" t="str">
        <x:v>C3-ET-A-RB1</x:v>
      </x:c>
      <x:c r="E7" s="26" t="str">
        <x:v>MS-ET</x:v>
      </x:c>
      <x:c r="F7" s="26" t="str">
        <x:v>A</x:v>
      </x:c>
      <x:c r="G7" s="26" t="str">
        <x:v>G03</x:v>
      </x:c>
      <x:c r="H7" s="26" t="str">
        <x:v>Four-field root architecture</x:v>
      </x:c>
      <x:c r="I7" s="26" t="str">
        <x:v>Mission-system office</x:v>
      </x:c>
      <x:c r="J7" s="38" t="str">
        <x:v>OPEN</x:v>
      </x:c>
      <x:c r="K7" s="38" t="str">
        <x:v>UNASSIGNED</x:v>
      </x:c>
      <x:c r="L7" s="26" t="n">
        <x:v>0</x:v>
      </x:c>
    </x:row>
    <x:row r="8" ht="27" customHeight="1">
      <x:c r="C8" s="26" t="str">
        <x:v>C3-ET-A-RB1-G04</x:v>
      </x:c>
      <x:c r="D8" s="26" t="str">
        <x:v>C3-ET-A-RB1</x:v>
      </x:c>
      <x:c r="E8" s="26" t="str">
        <x:v>MS-ET</x:v>
      </x:c>
      <x:c r="F8" s="26" t="str">
        <x:v>A</x:v>
      </x:c>
      <x:c r="G8" s="26" t="str">
        <x:v>G04</x:v>
      </x:c>
      <x:c r="H8" s="26" t="str">
        <x:v>Numeric service thresholds</x:v>
      </x:c>
      <x:c r="I8" s="26" t="str">
        <x:v>Public-effect authorities</x:v>
      </x:c>
      <x:c r="J8" s="38" t="str">
        <x:v>OPEN</x:v>
      </x:c>
      <x:c r="K8" s="38" t="str">
        <x:v>UNASSIGNED</x:v>
      </x:c>
      <x:c r="L8" s="26" t="n">
        <x:v>0</x:v>
      </x:c>
    </x:row>
    <x:row r="9" ht="27" customHeight="1">
      <x:c r="C9" s="26" t="str">
        <x:v>C3-ET-A-RB1-G05</x:v>
      </x:c>
      <x:c r="D9" s="26" t="str">
        <x:v>C3-ET-A-RB1</x:v>
      </x:c>
      <x:c r="E9" s="26" t="str">
        <x:v>MS-ET</x:v>
      </x:c>
      <x:c r="F9" s="26" t="str">
        <x:v>A</x:v>
      </x:c>
      <x:c r="G9" s="26" t="str">
        <x:v>G05</x:v>
      </x:c>
      <x:c r="H9" s="26" t="str">
        <x:v>Mass, energy, flow and residual closure</x:v>
      </x:c>
      <x:c r="I9" s="26" t="str">
        <x:v>Independent engineering board</x:v>
      </x:c>
      <x:c r="J9" s="38" t="str">
        <x:v>OPEN</x:v>
      </x:c>
      <x:c r="K9" s="38" t="str">
        <x:v>UNASSIGNED</x:v>
      </x:c>
      <x:c r="L9" s="26" t="n">
        <x:v>0</x:v>
      </x:c>
    </x:row>
    <x:row r="10" ht="27" customHeight="1">
      <x:c r="C10" s="26" t="str">
        <x:v>C3-ET-A-RB1-G06</x:v>
      </x:c>
      <x:c r="D10" s="26" t="str">
        <x:v>C3-ET-A-RB1</x:v>
      </x:c>
      <x:c r="E10" s="26" t="str">
        <x:v>MS-ET</x:v>
      </x:c>
      <x:c r="F10" s="26" t="str">
        <x:v>A</x:v>
      </x:c>
      <x:c r="G10" s="26" t="str">
        <x:v>G06</x:v>
      </x:c>
      <x:c r="H10" s="26" t="str">
        <x:v>Safety, accessibility and rights case</x:v>
      </x:c>
      <x:c r="I10" s="26" t="str">
        <x:v>Safety and civil-rights authorities</x:v>
      </x:c>
      <x:c r="J10" s="38" t="str">
        <x:v>OPEN</x:v>
      </x:c>
      <x:c r="K10" s="38" t="str">
        <x:v>UNASSIGNED</x:v>
      </x:c>
      <x:c r="L10" s="26" t="n">
        <x:v>0</x:v>
      </x:c>
    </x:row>
    <x:row r="11" ht="27" customHeight="1">
      <x:c r="C11" s="26" t="str">
        <x:v>C3-ET-A-RB1-G07</x:v>
      </x:c>
      <x:c r="D11" s="26" t="str">
        <x:v>C3-ET-A-RB1</x:v>
      </x:c>
      <x:c r="E11" s="26" t="str">
        <x:v>MS-ET</x:v>
      </x:c>
      <x:c r="F11" s="26" t="str">
        <x:v>A</x:v>
      </x:c>
      <x:c r="G11" s="26" t="str">
        <x:v>G07</x:v>
      </x:c>
      <x:c r="H11" s="26" t="str">
        <x:v>Public physical and record interfaces</x:v>
      </x:c>
      <x:c r="I11" s="26" t="str">
        <x:v>Technical integration authority</x:v>
      </x:c>
      <x:c r="J11" s="38" t="str">
        <x:v>OPEN</x:v>
      </x:c>
      <x:c r="K11" s="38" t="str">
        <x:v>UNASSIGNED</x:v>
      </x:c>
      <x:c r="L11" s="26" t="n">
        <x:v>0</x:v>
      </x:c>
    </x:row>
    <x:row r="12" ht="27" customHeight="1">
      <x:c r="C12" s="26" t="str">
        <x:v>C3-ET-A-RB1-G08</x:v>
      </x:c>
      <x:c r="D12" s="26" t="str">
        <x:v>C3-ET-A-RB1</x:v>
      </x:c>
      <x:c r="E12" s="26" t="str">
        <x:v>MS-ET</x:v>
      </x:c>
      <x:c r="F12" s="26" t="str">
        <x:v>A</x:v>
      </x:c>
      <x:c r="G12" s="26" t="str">
        <x:v>G08</x:v>
      </x:c>
      <x:c r="H12" s="26" t="str">
        <x:v>Decisive ancestry declaration</x:v>
      </x:c>
      <x:c r="I12" s="26" t="str">
        <x:v>Manufacturing authority</x:v>
      </x:c>
      <x:c r="J12" s="38" t="str">
        <x:v>OPEN</x:v>
      </x:c>
      <x:c r="K12" s="38" t="str">
        <x:v>UNASSIGNED</x:v>
      </x:c>
      <x:c r="L12" s="26" t="n">
        <x:v>0</x:v>
      </x:c>
    </x:row>
    <x:row r="13" ht="27" customHeight="1">
      <x:c r="C13" s="26" t="str">
        <x:v>C3-ET-A-RB1-G09</x:v>
      </x:c>
      <x:c r="D13" s="26" t="str">
        <x:v>C3-ET-A-RB1</x:v>
      </x:c>
      <x:c r="E13" s="26" t="str">
        <x:v>MS-ET</x:v>
      </x:c>
      <x:c r="F13" s="26" t="str">
        <x:v>A</x:v>
      </x:c>
      <x:c r="G13" s="26" t="str">
        <x:v>G09</x:v>
      </x:c>
      <x:c r="H13" s="26" t="str">
        <x:v>Executable build records and travelers</x:v>
      </x:c>
      <x:c r="I13" s="26" t="str">
        <x:v>Configuration authority</x:v>
      </x:c>
      <x:c r="J13" s="38" t="str">
        <x:v>OPEN</x:v>
      </x:c>
      <x:c r="K13" s="38" t="str">
        <x:v>UNASSIGNED</x:v>
      </x:c>
      <x:c r="L13" s="26" t="n">
        <x:v>0</x:v>
      </x:c>
    </x:row>
    <x:row r="14" ht="27" customHeight="1">
      <x:c r="C14" s="26" t="str">
        <x:v>C3-ET-A-RB1-G10</x:v>
      </x:c>
      <x:c r="D14" s="26" t="str">
        <x:v>C3-ET-A-RB1</x:v>
      </x:c>
      <x:c r="E14" s="26" t="str">
        <x:v>MS-ET</x:v>
      </x:c>
      <x:c r="F14" s="26" t="str">
        <x:v>A</x:v>
      </x:c>
      <x:c r="G14" s="26" t="str">
        <x:v>G10</x:v>
      </x:c>
      <x:c r="H14" s="26" t="str">
        <x:v>Representative subsystem evidence</x:v>
      </x:c>
      <x:c r="I14" s="26" t="str">
        <x:v>Sovereign evidence authority</x:v>
      </x:c>
      <x:c r="J14" s="38" t="str">
        <x:v>OPEN</x:v>
      </x:c>
      <x:c r="K14" s="38" t="str">
        <x:v>UNASSIGNED</x:v>
      </x:c>
      <x:c r="L14" s="26" t="n">
        <x:v>0</x:v>
      </x:c>
    </x:row>
    <x:row r="15" ht="27" customHeight="1">
      <x:c r="C15" s="26" t="str">
        <x:v>C3-ET-A-RB1-G11</x:v>
      </x:c>
      <x:c r="D15" s="26" t="str">
        <x:v>C3-ET-A-RB1</x:v>
      </x:c>
      <x:c r="E15" s="26" t="str">
        <x:v>MS-ET</x:v>
      </x:c>
      <x:c r="F15" s="26" t="str">
        <x:v>A</x:v>
      </x:c>
      <x:c r="G15" s="26" t="str">
        <x:v>G11</x:v>
      </x:c>
      <x:c r="H15" s="26" t="str">
        <x:v>Disconnected and manual operation</x:v>
      </x:c>
      <x:c r="I15" s="26" t="str">
        <x:v>Operating service authorities</x:v>
      </x:c>
      <x:c r="J15" s="38" t="str">
        <x:v>OPEN</x:v>
      </x:c>
      <x:c r="K15" s="38" t="str">
        <x:v>UNASSIGNED</x:v>
      </x:c>
      <x:c r="L15" s="26" t="n">
        <x:v>0</x:v>
      </x:c>
    </x:row>
    <x:row r="16" ht="27" customHeight="1">
      <x:c r="C16" s="26" t="str">
        <x:v>C3-ET-A-RB1-G12</x:v>
      </x:c>
      <x:c r="D16" s="26" t="str">
        <x:v>C3-ET-A-RB1</x:v>
      </x:c>
      <x:c r="E16" s="26" t="str">
        <x:v>MS-ET</x:v>
      </x:c>
      <x:c r="F16" s="26" t="str">
        <x:v>A</x:v>
      </x:c>
      <x:c r="G16" s="26" t="str">
        <x:v>G12</x:v>
      </x:c>
      <x:c r="H16" s="26" t="str">
        <x:v>Root-native evidence and outside replay</x:v>
      </x:c>
      <x:c r="I16" s="26" t="str">
        <x:v>Sovereign evidence authority</x:v>
      </x:c>
      <x:c r="J16" s="38" t="str">
        <x:v>OPEN</x:v>
      </x:c>
      <x:c r="K16" s="38" t="str">
        <x:v>UNASSIGNED</x:v>
      </x:c>
      <x:c r="L16" s="26" t="n">
        <x:v>0</x:v>
      </x:c>
    </x:row>
    <x:row r="17" ht="27" customHeight="1">
      <x:c r="C17" s="26" t="str">
        <x:v>C3-ET-A-RB1-G13</x:v>
      </x:c>
      <x:c r="D17" s="26" t="str">
        <x:v>C3-ET-A-RB1</x:v>
      </x:c>
      <x:c r="E17" s="26" t="str">
        <x:v>MS-ET</x:v>
      </x:c>
      <x:c r="F17" s="26" t="str">
        <x:v>A</x:v>
      </x:c>
      <x:c r="G17" s="26" t="str">
        <x:v>G13</x:v>
      </x:c>
      <x:c r="H17" s="26" t="str">
        <x:v>Repair, reset and second-team reproduction</x:v>
      </x:c>
      <x:c r="I17" s="26" t="str">
        <x:v>Regeneration and manufacturing authorities</x:v>
      </x:c>
      <x:c r="J17" s="38" t="str">
        <x:v>OPEN</x:v>
      </x:c>
      <x:c r="K17" s="38" t="str">
        <x:v>UNASSIGNED</x:v>
      </x:c>
      <x:c r="L17" s="26" t="n">
        <x:v>0</x:v>
      </x:c>
    </x:row>
    <x:row r="18" ht="27" customHeight="1">
      <x:c r="C18" s="26" t="str">
        <x:v>C3-ET-A-RB1-G14</x:v>
      </x:c>
      <x:c r="D18" s="26" t="str">
        <x:v>C3-ET-A-RB1</x:v>
      </x:c>
      <x:c r="E18" s="26" t="str">
        <x:v>MS-ET</x:v>
      </x:c>
      <x:c r="F18" s="26" t="str">
        <x:v>A</x:v>
      </x:c>
      <x:c r="G18" s="26" t="str">
        <x:v>G14</x:v>
      </x:c>
      <x:c r="H18" s="26" t="str">
        <x:v>Independent root release</x:v>
      </x:c>
      <x:c r="I18" s="26" t="str">
        <x:v>Department release board</x:v>
      </x:c>
      <x:c r="J18" s="38" t="str">
        <x:v>OPEN</x:v>
      </x:c>
      <x:c r="K18" s="38" t="str">
        <x:v>UNASSIGNED</x:v>
      </x:c>
      <x:c r="L18" s="26" t="n">
        <x:v>0</x:v>
      </x:c>
    </x:row>
    <x:row r="19" ht="27" customHeight="1">
      <x:c r="C19" s="26" t="str">
        <x:v>C3-ET-B-RB1-G01</x:v>
      </x:c>
      <x:c r="D19" s="26" t="str">
        <x:v>C3-ET-B-RB1</x:v>
      </x:c>
      <x:c r="E19" s="26" t="str">
        <x:v>MS-ET</x:v>
      </x:c>
      <x:c r="F19" s="26" t="str">
        <x:v>B</x:v>
      </x:c>
      <x:c r="G19" s="26" t="str">
        <x:v>G01</x:v>
      </x:c>
      <x:c r="H19" s="26" t="str">
        <x:v>Complete service-route bill</x:v>
      </x:c>
      <x:c r="I19" s="26" t="str">
        <x:v>Mission-system office</x:v>
      </x:c>
      <x:c r="J19" s="38" t="str">
        <x:v>OPEN</x:v>
      </x:c>
      <x:c r="K19" s="38" t="str">
        <x:v>UNASSIGNED</x:v>
      </x:c>
      <x:c r="L19" s="26" t="n">
        <x:v>0</x:v>
      </x:c>
    </x:row>
    <x:row r="20" ht="27" customHeight="1">
      <x:c r="C20" s="26" t="str">
        <x:v>C3-ET-B-RB1-G02</x:v>
      </x:c>
      <x:c r="D20" s="26" t="str">
        <x:v>C3-ET-B-RB1</x:v>
      </x:c>
      <x:c r="E20" s="26" t="str">
        <x:v>MS-ET</x:v>
      </x:c>
      <x:c r="F20" s="26" t="str">
        <x:v>B</x:v>
      </x:c>
      <x:c r="G20" s="26" t="str">
        <x:v>G02</x:v>
      </x:c>
      <x:c r="H20" s="26" t="str">
        <x:v>Seven-stage state machine</x:v>
      </x:c>
      <x:c r="I20" s="26" t="str">
        <x:v>Service technical authorities</x:v>
      </x:c>
      <x:c r="J20" s="38" t="str">
        <x:v>OPEN</x:v>
      </x:c>
      <x:c r="K20" s="38" t="str">
        <x:v>UNASSIGNED</x:v>
      </x:c>
      <x:c r="L20" s="26" t="n">
        <x:v>0</x:v>
      </x:c>
    </x:row>
    <x:row r="21" ht="27" customHeight="1">
      <x:c r="C21" s="26" t="str">
        <x:v>C3-ET-B-RB1-G03</x:v>
      </x:c>
      <x:c r="D21" s="26" t="str">
        <x:v>C3-ET-B-RB1</x:v>
      </x:c>
      <x:c r="E21" s="26" t="str">
        <x:v>MS-ET</x:v>
      </x:c>
      <x:c r="F21" s="26" t="str">
        <x:v>B</x:v>
      </x:c>
      <x:c r="G21" s="26" t="str">
        <x:v>G03</x:v>
      </x:c>
      <x:c r="H21" s="26" t="str">
        <x:v>Four-field root architecture</x:v>
      </x:c>
      <x:c r="I21" s="26" t="str">
        <x:v>Mission-system office</x:v>
      </x:c>
      <x:c r="J21" s="38" t="str">
        <x:v>OPEN</x:v>
      </x:c>
      <x:c r="K21" s="38" t="str">
        <x:v>UNASSIGNED</x:v>
      </x:c>
      <x:c r="L21" s="26" t="n">
        <x:v>0</x:v>
      </x:c>
    </x:row>
    <x:row r="22" ht="27" customHeight="1">
      <x:c r="C22" s="26" t="str">
        <x:v>C3-ET-B-RB1-G04</x:v>
      </x:c>
      <x:c r="D22" s="26" t="str">
        <x:v>C3-ET-B-RB1</x:v>
      </x:c>
      <x:c r="E22" s="26" t="str">
        <x:v>MS-ET</x:v>
      </x:c>
      <x:c r="F22" s="26" t="str">
        <x:v>B</x:v>
      </x:c>
      <x:c r="G22" s="26" t="str">
        <x:v>G04</x:v>
      </x:c>
      <x:c r="H22" s="26" t="str">
        <x:v>Numeric service thresholds</x:v>
      </x:c>
      <x:c r="I22" s="26" t="str">
        <x:v>Public-effect authorities</x:v>
      </x:c>
      <x:c r="J22" s="38" t="str">
        <x:v>OPEN</x:v>
      </x:c>
      <x:c r="K22" s="38" t="str">
        <x:v>UNASSIGNED</x:v>
      </x:c>
      <x:c r="L22" s="26" t="n">
        <x:v>0</x:v>
      </x:c>
    </x:row>
    <x:row r="23" ht="27" customHeight="1">
      <x:c r="C23" s="26" t="str">
        <x:v>C3-ET-B-RB1-G05</x:v>
      </x:c>
      <x:c r="D23" s="26" t="str">
        <x:v>C3-ET-B-RB1</x:v>
      </x:c>
      <x:c r="E23" s="26" t="str">
        <x:v>MS-ET</x:v>
      </x:c>
      <x:c r="F23" s="26" t="str">
        <x:v>B</x:v>
      </x:c>
      <x:c r="G23" s="26" t="str">
        <x:v>G05</x:v>
      </x:c>
      <x:c r="H23" s="26" t="str">
        <x:v>Mass, energy, flow and residual closure</x:v>
      </x:c>
      <x:c r="I23" s="26" t="str">
        <x:v>Independent engineering board</x:v>
      </x:c>
      <x:c r="J23" s="38" t="str">
        <x:v>OPEN</x:v>
      </x:c>
      <x:c r="K23" s="38" t="str">
        <x:v>UNASSIGNED</x:v>
      </x:c>
      <x:c r="L23" s="26" t="n">
        <x:v>0</x:v>
      </x:c>
    </x:row>
    <x:row r="24" ht="27" customHeight="1">
      <x:c r="C24" s="26" t="str">
        <x:v>C3-ET-B-RB1-G06</x:v>
      </x:c>
      <x:c r="D24" s="26" t="str">
        <x:v>C3-ET-B-RB1</x:v>
      </x:c>
      <x:c r="E24" s="26" t="str">
        <x:v>MS-ET</x:v>
      </x:c>
      <x:c r="F24" s="26" t="str">
        <x:v>B</x:v>
      </x:c>
      <x:c r="G24" s="26" t="str">
        <x:v>G06</x:v>
      </x:c>
      <x:c r="H24" s="26" t="str">
        <x:v>Safety, accessibility and rights case</x:v>
      </x:c>
      <x:c r="I24" s="26" t="str">
        <x:v>Safety and civil-rights authorities</x:v>
      </x:c>
      <x:c r="J24" s="38" t="str">
        <x:v>OPEN</x:v>
      </x:c>
      <x:c r="K24" s="38" t="str">
        <x:v>UNASSIGNED</x:v>
      </x:c>
      <x:c r="L24" s="26" t="n">
        <x:v>0</x:v>
      </x:c>
    </x:row>
    <x:row r="25" ht="27" customHeight="1">
      <x:c r="C25" s="26" t="str">
        <x:v>C3-ET-B-RB1-G07</x:v>
      </x:c>
      <x:c r="D25" s="26" t="str">
        <x:v>C3-ET-B-RB1</x:v>
      </x:c>
      <x:c r="E25" s="26" t="str">
        <x:v>MS-ET</x:v>
      </x:c>
      <x:c r="F25" s="26" t="str">
        <x:v>B</x:v>
      </x:c>
      <x:c r="G25" s="26" t="str">
        <x:v>G07</x:v>
      </x:c>
      <x:c r="H25" s="26" t="str">
        <x:v>Public physical and record interfaces</x:v>
      </x:c>
      <x:c r="I25" s="26" t="str">
        <x:v>Technical integration authority</x:v>
      </x:c>
      <x:c r="J25" s="38" t="str">
        <x:v>OPEN</x:v>
      </x:c>
      <x:c r="K25" s="38" t="str">
        <x:v>UNASSIGNED</x:v>
      </x:c>
      <x:c r="L25" s="26" t="n">
        <x:v>0</x:v>
      </x:c>
    </x:row>
    <x:row r="26" ht="27" customHeight="1">
      <x:c r="C26" s="26" t="str">
        <x:v>C3-ET-B-RB1-G08</x:v>
      </x:c>
      <x:c r="D26" s="26" t="str">
        <x:v>C3-ET-B-RB1</x:v>
      </x:c>
      <x:c r="E26" s="26" t="str">
        <x:v>MS-ET</x:v>
      </x:c>
      <x:c r="F26" s="26" t="str">
        <x:v>B</x:v>
      </x:c>
      <x:c r="G26" s="26" t="str">
        <x:v>G08</x:v>
      </x:c>
      <x:c r="H26" s="26" t="str">
        <x:v>Decisive ancestry declaration</x:v>
      </x:c>
      <x:c r="I26" s="26" t="str">
        <x:v>Manufacturing authority</x:v>
      </x:c>
      <x:c r="J26" s="38" t="str">
        <x:v>OPEN</x:v>
      </x:c>
      <x:c r="K26" s="38" t="str">
        <x:v>UNASSIGNED</x:v>
      </x:c>
      <x:c r="L26" s="26" t="n">
        <x:v>0</x:v>
      </x:c>
    </x:row>
    <x:row r="27" ht="27" customHeight="1">
      <x:c r="C27" s="26" t="str">
        <x:v>C3-ET-B-RB1-G09</x:v>
      </x:c>
      <x:c r="D27" s="26" t="str">
        <x:v>C3-ET-B-RB1</x:v>
      </x:c>
      <x:c r="E27" s="26" t="str">
        <x:v>MS-ET</x:v>
      </x:c>
      <x:c r="F27" s="26" t="str">
        <x:v>B</x:v>
      </x:c>
      <x:c r="G27" s="26" t="str">
        <x:v>G09</x:v>
      </x:c>
      <x:c r="H27" s="26" t="str">
        <x:v>Executable build records and travelers</x:v>
      </x:c>
      <x:c r="I27" s="26" t="str">
        <x:v>Configuration authority</x:v>
      </x:c>
      <x:c r="J27" s="38" t="str">
        <x:v>OPEN</x:v>
      </x:c>
      <x:c r="K27" s="38" t="str">
        <x:v>UNASSIGNED</x:v>
      </x:c>
      <x:c r="L27" s="26" t="n">
        <x:v>0</x:v>
      </x:c>
    </x:row>
    <x:row r="28" ht="27" customHeight="1">
      <x:c r="C28" s="26" t="str">
        <x:v>C3-ET-B-RB1-G10</x:v>
      </x:c>
      <x:c r="D28" s="26" t="str">
        <x:v>C3-ET-B-RB1</x:v>
      </x:c>
      <x:c r="E28" s="26" t="str">
        <x:v>MS-ET</x:v>
      </x:c>
      <x:c r="F28" s="26" t="str">
        <x:v>B</x:v>
      </x:c>
      <x:c r="G28" s="26" t="str">
        <x:v>G10</x:v>
      </x:c>
      <x:c r="H28" s="26" t="str">
        <x:v>Representative subsystem evidence</x:v>
      </x:c>
      <x:c r="I28" s="26" t="str">
        <x:v>Sovereign evidence authority</x:v>
      </x:c>
      <x:c r="J28" s="38" t="str">
        <x:v>OPEN</x:v>
      </x:c>
      <x:c r="K28" s="38" t="str">
        <x:v>UNASSIGNED</x:v>
      </x:c>
      <x:c r="L28" s="26" t="n">
        <x:v>0</x:v>
      </x:c>
    </x:row>
    <x:row r="29" ht="27" customHeight="1">
      <x:c r="C29" s="26" t="str">
        <x:v>C3-ET-B-RB1-G11</x:v>
      </x:c>
      <x:c r="D29" s="26" t="str">
        <x:v>C3-ET-B-RB1</x:v>
      </x:c>
      <x:c r="E29" s="26" t="str">
        <x:v>MS-ET</x:v>
      </x:c>
      <x:c r="F29" s="26" t="str">
        <x:v>B</x:v>
      </x:c>
      <x:c r="G29" s="26" t="str">
        <x:v>G11</x:v>
      </x:c>
      <x:c r="H29" s="26" t="str">
        <x:v>Disconnected and manual operation</x:v>
      </x:c>
      <x:c r="I29" s="26" t="str">
        <x:v>Operating service authorities</x:v>
      </x:c>
      <x:c r="J29" s="38" t="str">
        <x:v>OPEN</x:v>
      </x:c>
      <x:c r="K29" s="38" t="str">
        <x:v>UNASSIGNED</x:v>
      </x:c>
      <x:c r="L29" s="26" t="n">
        <x:v>0</x:v>
      </x:c>
    </x:row>
    <x:row r="30" ht="27" customHeight="1">
      <x:c r="C30" s="26" t="str">
        <x:v>C3-ET-B-RB1-G12</x:v>
      </x:c>
      <x:c r="D30" s="26" t="str">
        <x:v>C3-ET-B-RB1</x:v>
      </x:c>
      <x:c r="E30" s="26" t="str">
        <x:v>MS-ET</x:v>
      </x:c>
      <x:c r="F30" s="26" t="str">
        <x:v>B</x:v>
      </x:c>
      <x:c r="G30" s="26" t="str">
        <x:v>G12</x:v>
      </x:c>
      <x:c r="H30" s="26" t="str">
        <x:v>Root-native evidence and outside replay</x:v>
      </x:c>
      <x:c r="I30" s="26" t="str">
        <x:v>Sovereign evidence authority</x:v>
      </x:c>
      <x:c r="J30" s="38" t="str">
        <x:v>OPEN</x:v>
      </x:c>
      <x:c r="K30" s="38" t="str">
        <x:v>UNASSIGNED</x:v>
      </x:c>
      <x:c r="L30" s="26" t="n">
        <x:v>0</x:v>
      </x:c>
    </x:row>
    <x:row r="31" ht="27" customHeight="1">
      <x:c r="C31" s="26" t="str">
        <x:v>C3-ET-B-RB1-G13</x:v>
      </x:c>
      <x:c r="D31" s="26" t="str">
        <x:v>C3-ET-B-RB1</x:v>
      </x:c>
      <x:c r="E31" s="26" t="str">
        <x:v>MS-ET</x:v>
      </x:c>
      <x:c r="F31" s="26" t="str">
        <x:v>B</x:v>
      </x:c>
      <x:c r="G31" s="26" t="str">
        <x:v>G13</x:v>
      </x:c>
      <x:c r="H31" s="26" t="str">
        <x:v>Repair, reset and second-team reproduction</x:v>
      </x:c>
      <x:c r="I31" s="26" t="str">
        <x:v>Regeneration and manufacturing authorities</x:v>
      </x:c>
      <x:c r="J31" s="38" t="str">
        <x:v>OPEN</x:v>
      </x:c>
      <x:c r="K31" s="38" t="str">
        <x:v>UNASSIGNED</x:v>
      </x:c>
      <x:c r="L31" s="26" t="n">
        <x:v>0</x:v>
      </x:c>
    </x:row>
    <x:row r="32" ht="27" customHeight="1">
      <x:c r="C32" s="26" t="str">
        <x:v>C3-ET-B-RB1-G14</x:v>
      </x:c>
      <x:c r="D32" s="26" t="str">
        <x:v>C3-ET-B-RB1</x:v>
      </x:c>
      <x:c r="E32" s="26" t="str">
        <x:v>MS-ET</x:v>
      </x:c>
      <x:c r="F32" s="26" t="str">
        <x:v>B</x:v>
      </x:c>
      <x:c r="G32" s="26" t="str">
        <x:v>G14</x:v>
      </x:c>
      <x:c r="H32" s="26" t="str">
        <x:v>Independent root release</x:v>
      </x:c>
      <x:c r="I32" s="26" t="str">
        <x:v>Department release board</x:v>
      </x:c>
      <x:c r="J32" s="38" t="str">
        <x:v>OPEN</x:v>
      </x:c>
      <x:c r="K32" s="38" t="str">
        <x:v>UNASSIGNED</x:v>
      </x:c>
      <x:c r="L32" s="26" t="n">
        <x:v>0</x:v>
      </x:c>
    </x:row>
    <x:row r="33" ht="27" customHeight="1">
      <x:c r="C33" s="26" t="str">
        <x:v>C3-ET-C-RB1-G01</x:v>
      </x:c>
      <x:c r="D33" s="26" t="str">
        <x:v>C3-ET-C-RB1</x:v>
      </x:c>
      <x:c r="E33" s="26" t="str">
        <x:v>MS-ET</x:v>
      </x:c>
      <x:c r="F33" s="26" t="str">
        <x:v>C</x:v>
      </x:c>
      <x:c r="G33" s="26" t="str">
        <x:v>G01</x:v>
      </x:c>
      <x:c r="H33" s="26" t="str">
        <x:v>Complete service-route bill</x:v>
      </x:c>
      <x:c r="I33" s="26" t="str">
        <x:v>Mission-system office</x:v>
      </x:c>
      <x:c r="J33" s="38" t="str">
        <x:v>OPEN</x:v>
      </x:c>
      <x:c r="K33" s="38" t="str">
        <x:v>UNASSIGNED</x:v>
      </x:c>
      <x:c r="L33" s="26" t="n">
        <x:v>0</x:v>
      </x:c>
    </x:row>
    <x:row r="34" ht="27" customHeight="1">
      <x:c r="C34" s="26" t="str">
        <x:v>C3-ET-C-RB1-G02</x:v>
      </x:c>
      <x:c r="D34" s="26" t="str">
        <x:v>C3-ET-C-RB1</x:v>
      </x:c>
      <x:c r="E34" s="26" t="str">
        <x:v>MS-ET</x:v>
      </x:c>
      <x:c r="F34" s="26" t="str">
        <x:v>C</x:v>
      </x:c>
      <x:c r="G34" s="26" t="str">
        <x:v>G02</x:v>
      </x:c>
      <x:c r="H34" s="26" t="str">
        <x:v>Seven-stage state machine</x:v>
      </x:c>
      <x:c r="I34" s="26" t="str">
        <x:v>Service technical authorities</x:v>
      </x:c>
      <x:c r="J34" s="38" t="str">
        <x:v>OPEN</x:v>
      </x:c>
      <x:c r="K34" s="38" t="str">
        <x:v>UNASSIGNED</x:v>
      </x:c>
      <x:c r="L34" s="26" t="n">
        <x:v>0</x:v>
      </x:c>
    </x:row>
    <x:row r="35" ht="27" customHeight="1">
      <x:c r="C35" s="26" t="str">
        <x:v>C3-ET-C-RB1-G03</x:v>
      </x:c>
      <x:c r="D35" s="26" t="str">
        <x:v>C3-ET-C-RB1</x:v>
      </x:c>
      <x:c r="E35" s="26" t="str">
        <x:v>MS-ET</x:v>
      </x:c>
      <x:c r="F35" s="26" t="str">
        <x:v>C</x:v>
      </x:c>
      <x:c r="G35" s="26" t="str">
        <x:v>G03</x:v>
      </x:c>
      <x:c r="H35" s="26" t="str">
        <x:v>Four-field root architecture</x:v>
      </x:c>
      <x:c r="I35" s="26" t="str">
        <x:v>Mission-system office</x:v>
      </x:c>
      <x:c r="J35" s="38" t="str">
        <x:v>OPEN</x:v>
      </x:c>
      <x:c r="K35" s="38" t="str">
        <x:v>UNASSIGNED</x:v>
      </x:c>
      <x:c r="L35" s="26" t="n">
        <x:v>0</x:v>
      </x:c>
    </x:row>
    <x:row r="36" ht="27" customHeight="1">
      <x:c r="C36" s="26" t="str">
        <x:v>C3-ET-C-RB1-G04</x:v>
      </x:c>
      <x:c r="D36" s="26" t="str">
        <x:v>C3-ET-C-RB1</x:v>
      </x:c>
      <x:c r="E36" s="26" t="str">
        <x:v>MS-ET</x:v>
      </x:c>
      <x:c r="F36" s="26" t="str">
        <x:v>C</x:v>
      </x:c>
      <x:c r="G36" s="26" t="str">
        <x:v>G04</x:v>
      </x:c>
      <x:c r="H36" s="26" t="str">
        <x:v>Numeric service thresholds</x:v>
      </x:c>
      <x:c r="I36" s="26" t="str">
        <x:v>Public-effect authorities</x:v>
      </x:c>
      <x:c r="J36" s="38" t="str">
        <x:v>OPEN</x:v>
      </x:c>
      <x:c r="K36" s="38" t="str">
        <x:v>UNASSIGNED</x:v>
      </x:c>
      <x:c r="L36" s="26" t="n">
        <x:v>0</x:v>
      </x:c>
    </x:row>
    <x:row r="37" ht="27" customHeight="1">
      <x:c r="C37" s="26" t="str">
        <x:v>C3-ET-C-RB1-G05</x:v>
      </x:c>
      <x:c r="D37" s="26" t="str">
        <x:v>C3-ET-C-RB1</x:v>
      </x:c>
      <x:c r="E37" s="26" t="str">
        <x:v>MS-ET</x:v>
      </x:c>
      <x:c r="F37" s="26" t="str">
        <x:v>C</x:v>
      </x:c>
      <x:c r="G37" s="26" t="str">
        <x:v>G05</x:v>
      </x:c>
      <x:c r="H37" s="26" t="str">
        <x:v>Mass, energy, flow and residual closure</x:v>
      </x:c>
      <x:c r="I37" s="26" t="str">
        <x:v>Independent engineering board</x:v>
      </x:c>
      <x:c r="J37" s="38" t="str">
        <x:v>OPEN</x:v>
      </x:c>
      <x:c r="K37" s="38" t="str">
        <x:v>UNASSIGNED</x:v>
      </x:c>
      <x:c r="L37" s="26" t="n">
        <x:v>0</x:v>
      </x:c>
    </x:row>
    <x:row r="38" ht="27" customHeight="1">
      <x:c r="C38" s="26" t="str">
        <x:v>C3-ET-C-RB1-G06</x:v>
      </x:c>
      <x:c r="D38" s="26" t="str">
        <x:v>C3-ET-C-RB1</x:v>
      </x:c>
      <x:c r="E38" s="26" t="str">
        <x:v>MS-ET</x:v>
      </x:c>
      <x:c r="F38" s="26" t="str">
        <x:v>C</x:v>
      </x:c>
      <x:c r="G38" s="26" t="str">
        <x:v>G06</x:v>
      </x:c>
      <x:c r="H38" s="26" t="str">
        <x:v>Safety, accessibility and rights case</x:v>
      </x:c>
      <x:c r="I38" s="26" t="str">
        <x:v>Safety and civil-rights authorities</x:v>
      </x:c>
      <x:c r="J38" s="38" t="str">
        <x:v>OPEN</x:v>
      </x:c>
      <x:c r="K38" s="38" t="str">
        <x:v>UNASSIGNED</x:v>
      </x:c>
      <x:c r="L38" s="26" t="n">
        <x:v>0</x:v>
      </x:c>
    </x:row>
    <x:row r="39" ht="27" customHeight="1">
      <x:c r="C39" s="26" t="str">
        <x:v>C3-ET-C-RB1-G07</x:v>
      </x:c>
      <x:c r="D39" s="26" t="str">
        <x:v>C3-ET-C-RB1</x:v>
      </x:c>
      <x:c r="E39" s="26" t="str">
        <x:v>MS-ET</x:v>
      </x:c>
      <x:c r="F39" s="26" t="str">
        <x:v>C</x:v>
      </x:c>
      <x:c r="G39" s="26" t="str">
        <x:v>G07</x:v>
      </x:c>
      <x:c r="H39" s="26" t="str">
        <x:v>Public physical and record interfaces</x:v>
      </x:c>
      <x:c r="I39" s="26" t="str">
        <x:v>Technical integration authority</x:v>
      </x:c>
      <x:c r="J39" s="38" t="str">
        <x:v>OPEN</x:v>
      </x:c>
      <x:c r="K39" s="38" t="str">
        <x:v>UNASSIGNED</x:v>
      </x:c>
      <x:c r="L39" s="26" t="n">
        <x:v>0</x:v>
      </x:c>
    </x:row>
    <x:row r="40" ht="27" customHeight="1">
      <x:c r="C40" s="26" t="str">
        <x:v>C3-ET-C-RB1-G08</x:v>
      </x:c>
      <x:c r="D40" s="26" t="str">
        <x:v>C3-ET-C-RB1</x:v>
      </x:c>
      <x:c r="E40" s="26" t="str">
        <x:v>MS-ET</x:v>
      </x:c>
      <x:c r="F40" s="26" t="str">
        <x:v>C</x:v>
      </x:c>
      <x:c r="G40" s="26" t="str">
        <x:v>G08</x:v>
      </x:c>
      <x:c r="H40" s="26" t="str">
        <x:v>Decisive ancestry declaration</x:v>
      </x:c>
      <x:c r="I40" s="26" t="str">
        <x:v>Manufacturing authority</x:v>
      </x:c>
      <x:c r="J40" s="38" t="str">
        <x:v>OPEN</x:v>
      </x:c>
      <x:c r="K40" s="38" t="str">
        <x:v>UNASSIGNED</x:v>
      </x:c>
      <x:c r="L40" s="26" t="n">
        <x:v>0</x:v>
      </x:c>
    </x:row>
    <x:row r="41" ht="27" customHeight="1">
      <x:c r="C41" s="26" t="str">
        <x:v>C3-ET-C-RB1-G09</x:v>
      </x:c>
      <x:c r="D41" s="26" t="str">
        <x:v>C3-ET-C-RB1</x:v>
      </x:c>
      <x:c r="E41" s="26" t="str">
        <x:v>MS-ET</x:v>
      </x:c>
      <x:c r="F41" s="26" t="str">
        <x:v>C</x:v>
      </x:c>
      <x:c r="G41" s="26" t="str">
        <x:v>G09</x:v>
      </x:c>
      <x:c r="H41" s="26" t="str">
        <x:v>Executable build records and travelers</x:v>
      </x:c>
      <x:c r="I41" s="26" t="str">
        <x:v>Configuration authority</x:v>
      </x:c>
      <x:c r="J41" s="38" t="str">
        <x:v>OPEN</x:v>
      </x:c>
      <x:c r="K41" s="38" t="str">
        <x:v>UNASSIGNED</x:v>
      </x:c>
      <x:c r="L41" s="26" t="n">
        <x:v>0</x:v>
      </x:c>
    </x:row>
    <x:row r="42" ht="27" customHeight="1">
      <x:c r="C42" s="26" t="str">
        <x:v>C3-ET-C-RB1-G10</x:v>
      </x:c>
      <x:c r="D42" s="26" t="str">
        <x:v>C3-ET-C-RB1</x:v>
      </x:c>
      <x:c r="E42" s="26" t="str">
        <x:v>MS-ET</x:v>
      </x:c>
      <x:c r="F42" s="26" t="str">
        <x:v>C</x:v>
      </x:c>
      <x:c r="G42" s="26" t="str">
        <x:v>G10</x:v>
      </x:c>
      <x:c r="H42" s="26" t="str">
        <x:v>Representative subsystem evidence</x:v>
      </x:c>
      <x:c r="I42" s="26" t="str">
        <x:v>Sovereign evidence authority</x:v>
      </x:c>
      <x:c r="J42" s="38" t="str">
        <x:v>OPEN</x:v>
      </x:c>
      <x:c r="K42" s="38" t="str">
        <x:v>UNASSIGNED</x:v>
      </x:c>
      <x:c r="L42" s="26" t="n">
        <x:v>0</x:v>
      </x:c>
    </x:row>
    <x:row r="43" ht="27" customHeight="1">
      <x:c r="C43" s="26" t="str">
        <x:v>C3-ET-C-RB1-G11</x:v>
      </x:c>
      <x:c r="D43" s="26" t="str">
        <x:v>C3-ET-C-RB1</x:v>
      </x:c>
      <x:c r="E43" s="26" t="str">
        <x:v>MS-ET</x:v>
      </x:c>
      <x:c r="F43" s="26" t="str">
        <x:v>C</x:v>
      </x:c>
      <x:c r="G43" s="26" t="str">
        <x:v>G11</x:v>
      </x:c>
      <x:c r="H43" s="26" t="str">
        <x:v>Disconnected and manual operation</x:v>
      </x:c>
      <x:c r="I43" s="26" t="str">
        <x:v>Operating service authorities</x:v>
      </x:c>
      <x:c r="J43" s="38" t="str">
        <x:v>OPEN</x:v>
      </x:c>
      <x:c r="K43" s="38" t="str">
        <x:v>UNASSIGNED</x:v>
      </x:c>
      <x:c r="L43" s="26" t="n">
        <x:v>0</x:v>
      </x:c>
    </x:row>
    <x:row r="44" ht="27" customHeight="1">
      <x:c r="C44" s="26" t="str">
        <x:v>C3-ET-C-RB1-G12</x:v>
      </x:c>
      <x:c r="D44" s="26" t="str">
        <x:v>C3-ET-C-RB1</x:v>
      </x:c>
      <x:c r="E44" s="26" t="str">
        <x:v>MS-ET</x:v>
      </x:c>
      <x:c r="F44" s="26" t="str">
        <x:v>C</x:v>
      </x:c>
      <x:c r="G44" s="26" t="str">
        <x:v>G12</x:v>
      </x:c>
      <x:c r="H44" s="26" t="str">
        <x:v>Root-native evidence and outside replay</x:v>
      </x:c>
      <x:c r="I44" s="26" t="str">
        <x:v>Sovereign evidence authority</x:v>
      </x:c>
      <x:c r="J44" s="38" t="str">
        <x:v>OPEN</x:v>
      </x:c>
      <x:c r="K44" s="38" t="str">
        <x:v>UNASSIGNED</x:v>
      </x:c>
      <x:c r="L44" s="26" t="n">
        <x:v>0</x:v>
      </x:c>
    </x:row>
    <x:row r="45" ht="27" customHeight="1">
      <x:c r="C45" s="26" t="str">
        <x:v>C3-ET-C-RB1-G13</x:v>
      </x:c>
      <x:c r="D45" s="26" t="str">
        <x:v>C3-ET-C-RB1</x:v>
      </x:c>
      <x:c r="E45" s="26" t="str">
        <x:v>MS-ET</x:v>
      </x:c>
      <x:c r="F45" s="26" t="str">
        <x:v>C</x:v>
      </x:c>
      <x:c r="G45" s="26" t="str">
        <x:v>G13</x:v>
      </x:c>
      <x:c r="H45" s="26" t="str">
        <x:v>Repair, reset and second-team reproduction</x:v>
      </x:c>
      <x:c r="I45" s="26" t="str">
        <x:v>Regeneration and manufacturing authorities</x:v>
      </x:c>
      <x:c r="J45" s="38" t="str">
        <x:v>OPEN</x:v>
      </x:c>
      <x:c r="K45" s="38" t="str">
        <x:v>UNASSIGNED</x:v>
      </x:c>
      <x:c r="L45" s="26" t="n">
        <x:v>0</x:v>
      </x:c>
    </x:row>
    <x:row r="46" ht="27" customHeight="1">
      <x:c r="C46" s="26" t="str">
        <x:v>C3-ET-C-RB1-G14</x:v>
      </x:c>
      <x:c r="D46" s="26" t="str">
        <x:v>C3-ET-C-RB1</x:v>
      </x:c>
      <x:c r="E46" s="26" t="str">
        <x:v>MS-ET</x:v>
      </x:c>
      <x:c r="F46" s="26" t="str">
        <x:v>C</x:v>
      </x:c>
      <x:c r="G46" s="26" t="str">
        <x:v>G14</x:v>
      </x:c>
      <x:c r="H46" s="26" t="str">
        <x:v>Independent root release</x:v>
      </x:c>
      <x:c r="I46" s="26" t="str">
        <x:v>Department release board</x:v>
      </x:c>
      <x:c r="J46" s="38" t="str">
        <x:v>OPEN</x:v>
      </x:c>
      <x:c r="K46" s="38" t="str">
        <x:v>UNASSIGNED</x:v>
      </x:c>
      <x:c r="L46" s="26" t="n">
        <x:v>0</x:v>
      </x:c>
    </x:row>
    <x:row r="47" ht="27" customHeight="1">
      <x:c r="C47" s="26" t="str">
        <x:v>C3-ET-D-RB1-G01</x:v>
      </x:c>
      <x:c r="D47" s="26" t="str">
        <x:v>C3-ET-D-RB1</x:v>
      </x:c>
      <x:c r="E47" s="26" t="str">
        <x:v>MS-ET</x:v>
      </x:c>
      <x:c r="F47" s="26" t="str">
        <x:v>D</x:v>
      </x:c>
      <x:c r="G47" s="26" t="str">
        <x:v>G01</x:v>
      </x:c>
      <x:c r="H47" s="26" t="str">
        <x:v>Complete service-route bill</x:v>
      </x:c>
      <x:c r="I47" s="26" t="str">
        <x:v>Mission-system office</x:v>
      </x:c>
      <x:c r="J47" s="38" t="str">
        <x:v>OPEN</x:v>
      </x:c>
      <x:c r="K47" s="38" t="str">
        <x:v>UNASSIGNED</x:v>
      </x:c>
      <x:c r="L47" s="26" t="n">
        <x:v>0</x:v>
      </x:c>
    </x:row>
    <x:row r="48" ht="27" customHeight="1">
      <x:c r="C48" s="26" t="str">
        <x:v>C3-ET-D-RB1-G02</x:v>
      </x:c>
      <x:c r="D48" s="26" t="str">
        <x:v>C3-ET-D-RB1</x:v>
      </x:c>
      <x:c r="E48" s="26" t="str">
        <x:v>MS-ET</x:v>
      </x:c>
      <x:c r="F48" s="26" t="str">
        <x:v>D</x:v>
      </x:c>
      <x:c r="G48" s="26" t="str">
        <x:v>G02</x:v>
      </x:c>
      <x:c r="H48" s="26" t="str">
        <x:v>Seven-stage state machine</x:v>
      </x:c>
      <x:c r="I48" s="26" t="str">
        <x:v>Service technical authorities</x:v>
      </x:c>
      <x:c r="J48" s="38" t="str">
        <x:v>OPEN</x:v>
      </x:c>
      <x:c r="K48" s="38" t="str">
        <x:v>UNASSIGNED</x:v>
      </x:c>
      <x:c r="L48" s="26" t="n">
        <x:v>0</x:v>
      </x:c>
    </x:row>
    <x:row r="49" ht="27" customHeight="1">
      <x:c r="C49" s="26" t="str">
        <x:v>C3-ET-D-RB1-G03</x:v>
      </x:c>
      <x:c r="D49" s="26" t="str">
        <x:v>C3-ET-D-RB1</x:v>
      </x:c>
      <x:c r="E49" s="26" t="str">
        <x:v>MS-ET</x:v>
      </x:c>
      <x:c r="F49" s="26" t="str">
        <x:v>D</x:v>
      </x:c>
      <x:c r="G49" s="26" t="str">
        <x:v>G03</x:v>
      </x:c>
      <x:c r="H49" s="26" t="str">
        <x:v>Four-field root architecture</x:v>
      </x:c>
      <x:c r="I49" s="26" t="str">
        <x:v>Mission-system office</x:v>
      </x:c>
      <x:c r="J49" s="38" t="str">
        <x:v>OPEN</x:v>
      </x:c>
      <x:c r="K49" s="38" t="str">
        <x:v>UNASSIGNED</x:v>
      </x:c>
      <x:c r="L49" s="26" t="n">
        <x:v>0</x:v>
      </x:c>
    </x:row>
    <x:row r="50" ht="27" customHeight="1">
      <x:c r="C50" s="26" t="str">
        <x:v>C3-ET-D-RB1-G04</x:v>
      </x:c>
      <x:c r="D50" s="26" t="str">
        <x:v>C3-ET-D-RB1</x:v>
      </x:c>
      <x:c r="E50" s="26" t="str">
        <x:v>MS-ET</x:v>
      </x:c>
      <x:c r="F50" s="26" t="str">
        <x:v>D</x:v>
      </x:c>
      <x:c r="G50" s="26" t="str">
        <x:v>G04</x:v>
      </x:c>
      <x:c r="H50" s="26" t="str">
        <x:v>Numeric service thresholds</x:v>
      </x:c>
      <x:c r="I50" s="26" t="str">
        <x:v>Public-effect authorities</x:v>
      </x:c>
      <x:c r="J50" s="38" t="str">
        <x:v>OPEN</x:v>
      </x:c>
      <x:c r="K50" s="38" t="str">
        <x:v>UNASSIGNED</x:v>
      </x:c>
      <x:c r="L50" s="26" t="n">
        <x:v>0</x:v>
      </x:c>
    </x:row>
    <x:row r="51" ht="27" customHeight="1">
      <x:c r="C51" s="26" t="str">
        <x:v>C3-ET-D-RB1-G05</x:v>
      </x:c>
      <x:c r="D51" s="26" t="str">
        <x:v>C3-ET-D-RB1</x:v>
      </x:c>
      <x:c r="E51" s="26" t="str">
        <x:v>MS-ET</x:v>
      </x:c>
      <x:c r="F51" s="26" t="str">
        <x:v>D</x:v>
      </x:c>
      <x:c r="G51" s="26" t="str">
        <x:v>G05</x:v>
      </x:c>
      <x:c r="H51" s="26" t="str">
        <x:v>Mass, energy, flow and residual closure</x:v>
      </x:c>
      <x:c r="I51" s="26" t="str">
        <x:v>Independent engineering board</x:v>
      </x:c>
      <x:c r="J51" s="38" t="str">
        <x:v>OPEN</x:v>
      </x:c>
      <x:c r="K51" s="38" t="str">
        <x:v>UNASSIGNED</x:v>
      </x:c>
      <x:c r="L51" s="26" t="n">
        <x:v>0</x:v>
      </x:c>
    </x:row>
    <x:row r="52" ht="27" customHeight="1">
      <x:c r="C52" s="26" t="str">
        <x:v>C3-ET-D-RB1-G06</x:v>
      </x:c>
      <x:c r="D52" s="26" t="str">
        <x:v>C3-ET-D-RB1</x:v>
      </x:c>
      <x:c r="E52" s="26" t="str">
        <x:v>MS-ET</x:v>
      </x:c>
      <x:c r="F52" s="26" t="str">
        <x:v>D</x:v>
      </x:c>
      <x:c r="G52" s="26" t="str">
        <x:v>G06</x:v>
      </x:c>
      <x:c r="H52" s="26" t="str">
        <x:v>Safety, accessibility and rights case</x:v>
      </x:c>
      <x:c r="I52" s="26" t="str">
        <x:v>Safety and civil-rights authorities</x:v>
      </x:c>
      <x:c r="J52" s="38" t="str">
        <x:v>OPEN</x:v>
      </x:c>
      <x:c r="K52" s="38" t="str">
        <x:v>UNASSIGNED</x:v>
      </x:c>
      <x:c r="L52" s="26" t="n">
        <x:v>0</x:v>
      </x:c>
    </x:row>
    <x:row r="53" ht="27" customHeight="1">
      <x:c r="C53" s="26" t="str">
        <x:v>C3-ET-D-RB1-G07</x:v>
      </x:c>
      <x:c r="D53" s="26" t="str">
        <x:v>C3-ET-D-RB1</x:v>
      </x:c>
      <x:c r="E53" s="26" t="str">
        <x:v>MS-ET</x:v>
      </x:c>
      <x:c r="F53" s="26" t="str">
        <x:v>D</x:v>
      </x:c>
      <x:c r="G53" s="26" t="str">
        <x:v>G07</x:v>
      </x:c>
      <x:c r="H53" s="26" t="str">
        <x:v>Public physical and record interfaces</x:v>
      </x:c>
      <x:c r="I53" s="26" t="str">
        <x:v>Technical integration authority</x:v>
      </x:c>
      <x:c r="J53" s="38" t="str">
        <x:v>OPEN</x:v>
      </x:c>
      <x:c r="K53" s="38" t="str">
        <x:v>UNASSIGNED</x:v>
      </x:c>
      <x:c r="L53" s="26" t="n">
        <x:v>0</x:v>
      </x:c>
    </x:row>
    <x:row r="54" ht="27" customHeight="1">
      <x:c r="C54" s="26" t="str">
        <x:v>C3-ET-D-RB1-G08</x:v>
      </x:c>
      <x:c r="D54" s="26" t="str">
        <x:v>C3-ET-D-RB1</x:v>
      </x:c>
      <x:c r="E54" s="26" t="str">
        <x:v>MS-ET</x:v>
      </x:c>
      <x:c r="F54" s="26" t="str">
        <x:v>D</x:v>
      </x:c>
      <x:c r="G54" s="26" t="str">
        <x:v>G08</x:v>
      </x:c>
      <x:c r="H54" s="26" t="str">
        <x:v>Decisive ancestry declaration</x:v>
      </x:c>
      <x:c r="I54" s="26" t="str">
        <x:v>Manufacturing authority</x:v>
      </x:c>
      <x:c r="J54" s="38" t="str">
        <x:v>OPEN</x:v>
      </x:c>
      <x:c r="K54" s="38" t="str">
        <x:v>UNASSIGNED</x:v>
      </x:c>
      <x:c r="L54" s="26" t="n">
        <x:v>0</x:v>
      </x:c>
    </x:row>
    <x:row r="55" ht="27" customHeight="1">
      <x:c r="C55" s="26" t="str">
        <x:v>C3-ET-D-RB1-G09</x:v>
      </x:c>
      <x:c r="D55" s="26" t="str">
        <x:v>C3-ET-D-RB1</x:v>
      </x:c>
      <x:c r="E55" s="26" t="str">
        <x:v>MS-ET</x:v>
      </x:c>
      <x:c r="F55" s="26" t="str">
        <x:v>D</x:v>
      </x:c>
      <x:c r="G55" s="26" t="str">
        <x:v>G09</x:v>
      </x:c>
      <x:c r="H55" s="26" t="str">
        <x:v>Executable build records and travelers</x:v>
      </x:c>
      <x:c r="I55" s="26" t="str">
        <x:v>Configuration authority</x:v>
      </x:c>
      <x:c r="J55" s="38" t="str">
        <x:v>OPEN</x:v>
      </x:c>
      <x:c r="K55" s="38" t="str">
        <x:v>UNASSIGNED</x:v>
      </x:c>
      <x:c r="L55" s="26" t="n">
        <x:v>0</x:v>
      </x:c>
    </x:row>
    <x:row r="56" ht="27" customHeight="1">
      <x:c r="C56" s="26" t="str">
        <x:v>C3-ET-D-RB1-G10</x:v>
      </x:c>
      <x:c r="D56" s="26" t="str">
        <x:v>C3-ET-D-RB1</x:v>
      </x:c>
      <x:c r="E56" s="26" t="str">
        <x:v>MS-ET</x:v>
      </x:c>
      <x:c r="F56" s="26" t="str">
        <x:v>D</x:v>
      </x:c>
      <x:c r="G56" s="26" t="str">
        <x:v>G10</x:v>
      </x:c>
      <x:c r="H56" s="26" t="str">
        <x:v>Representative subsystem evidence</x:v>
      </x:c>
      <x:c r="I56" s="26" t="str">
        <x:v>Sovereign evidence authority</x:v>
      </x:c>
      <x:c r="J56" s="38" t="str">
        <x:v>OPEN</x:v>
      </x:c>
      <x:c r="K56" s="38" t="str">
        <x:v>UNASSIGNED</x:v>
      </x:c>
      <x:c r="L56" s="26" t="n">
        <x:v>0</x:v>
      </x:c>
    </x:row>
    <x:row r="57" ht="27" customHeight="1">
      <x:c r="C57" s="26" t="str">
        <x:v>C3-ET-D-RB1-G11</x:v>
      </x:c>
      <x:c r="D57" s="26" t="str">
        <x:v>C3-ET-D-RB1</x:v>
      </x:c>
      <x:c r="E57" s="26" t="str">
        <x:v>MS-ET</x:v>
      </x:c>
      <x:c r="F57" s="26" t="str">
        <x:v>D</x:v>
      </x:c>
      <x:c r="G57" s="26" t="str">
        <x:v>G11</x:v>
      </x:c>
      <x:c r="H57" s="26" t="str">
        <x:v>Disconnected and manual operation</x:v>
      </x:c>
      <x:c r="I57" s="26" t="str">
        <x:v>Operating service authorities</x:v>
      </x:c>
      <x:c r="J57" s="38" t="str">
        <x:v>OPEN</x:v>
      </x:c>
      <x:c r="K57" s="38" t="str">
        <x:v>UNASSIGNED</x:v>
      </x:c>
      <x:c r="L57" s="26" t="n">
        <x:v>0</x:v>
      </x:c>
    </x:row>
    <x:row r="58" ht="27" customHeight="1">
      <x:c r="C58" s="26" t="str">
        <x:v>C3-ET-D-RB1-G12</x:v>
      </x:c>
      <x:c r="D58" s="26" t="str">
        <x:v>C3-ET-D-RB1</x:v>
      </x:c>
      <x:c r="E58" s="26" t="str">
        <x:v>MS-ET</x:v>
      </x:c>
      <x:c r="F58" s="26" t="str">
        <x:v>D</x:v>
      </x:c>
      <x:c r="G58" s="26" t="str">
        <x:v>G12</x:v>
      </x:c>
      <x:c r="H58" s="26" t="str">
        <x:v>Root-native evidence and outside replay</x:v>
      </x:c>
      <x:c r="I58" s="26" t="str">
        <x:v>Sovereign evidence authority</x:v>
      </x:c>
      <x:c r="J58" s="38" t="str">
        <x:v>OPEN</x:v>
      </x:c>
      <x:c r="K58" s="38" t="str">
        <x:v>UNASSIGNED</x:v>
      </x:c>
      <x:c r="L58" s="26" t="n">
        <x:v>0</x:v>
      </x:c>
    </x:row>
    <x:row r="59" ht="27" customHeight="1">
      <x:c r="C59" s="26" t="str">
        <x:v>C3-ET-D-RB1-G13</x:v>
      </x:c>
      <x:c r="D59" s="26" t="str">
        <x:v>C3-ET-D-RB1</x:v>
      </x:c>
      <x:c r="E59" s="26" t="str">
        <x:v>MS-ET</x:v>
      </x:c>
      <x:c r="F59" s="26" t="str">
        <x:v>D</x:v>
      </x:c>
      <x:c r="G59" s="26" t="str">
        <x:v>G13</x:v>
      </x:c>
      <x:c r="H59" s="26" t="str">
        <x:v>Repair, reset and second-team reproduction</x:v>
      </x:c>
      <x:c r="I59" s="26" t="str">
        <x:v>Regeneration and manufacturing authorities</x:v>
      </x:c>
      <x:c r="J59" s="38" t="str">
        <x:v>OPEN</x:v>
      </x:c>
      <x:c r="K59" s="38" t="str">
        <x:v>UNASSIGNED</x:v>
      </x:c>
      <x:c r="L59" s="26" t="n">
        <x:v>0</x:v>
      </x:c>
    </x:row>
    <x:row r="60" ht="27" customHeight="1">
      <x:c r="C60" s="26" t="str">
        <x:v>C3-ET-D-RB1-G14</x:v>
      </x:c>
      <x:c r="D60" s="26" t="str">
        <x:v>C3-ET-D-RB1</x:v>
      </x:c>
      <x:c r="E60" s="26" t="str">
        <x:v>MS-ET</x:v>
      </x:c>
      <x:c r="F60" s="26" t="str">
        <x:v>D</x:v>
      </x:c>
      <x:c r="G60" s="26" t="str">
        <x:v>G14</x:v>
      </x:c>
      <x:c r="H60" s="26" t="str">
        <x:v>Independent root release</x:v>
      </x:c>
      <x:c r="I60" s="26" t="str">
        <x:v>Department release board</x:v>
      </x:c>
      <x:c r="J60" s="38" t="str">
        <x:v>OPEN</x:v>
      </x:c>
      <x:c r="K60" s="38" t="str">
        <x:v>UNASSIGNED</x:v>
      </x:c>
      <x:c r="L60" s="26" t="n">
        <x:v>0</x:v>
      </x:c>
    </x:row>
    <x:row r="61" ht="27" customHeight="1">
      <x:c r="C61" s="26" t="str">
        <x:v>C3-CT-A-RB1-G01</x:v>
      </x:c>
      <x:c r="D61" s="26" t="str">
        <x:v>C3-CT-A-RB1</x:v>
      </x:c>
      <x:c r="E61" s="26" t="str">
        <x:v>MS-CT</x:v>
      </x:c>
      <x:c r="F61" s="26" t="str">
        <x:v>A</x:v>
      </x:c>
      <x:c r="G61" s="26" t="str">
        <x:v>G01</x:v>
      </x:c>
      <x:c r="H61" s="26" t="str">
        <x:v>Complete service-route bill</x:v>
      </x:c>
      <x:c r="I61" s="26" t="str">
        <x:v>Mission-system office</x:v>
      </x:c>
      <x:c r="J61" s="38" t="str">
        <x:v>OPEN</x:v>
      </x:c>
      <x:c r="K61" s="38" t="str">
        <x:v>UNASSIGNED</x:v>
      </x:c>
      <x:c r="L61" s="26" t="n">
        <x:v>0</x:v>
      </x:c>
    </x:row>
    <x:row r="62" ht="27" customHeight="1">
      <x:c r="C62" s="26" t="str">
        <x:v>C3-CT-A-RB1-G02</x:v>
      </x:c>
      <x:c r="D62" s="26" t="str">
        <x:v>C3-CT-A-RB1</x:v>
      </x:c>
      <x:c r="E62" s="26" t="str">
        <x:v>MS-CT</x:v>
      </x:c>
      <x:c r="F62" s="26" t="str">
        <x:v>A</x:v>
      </x:c>
      <x:c r="G62" s="26" t="str">
        <x:v>G02</x:v>
      </x:c>
      <x:c r="H62" s="26" t="str">
        <x:v>Seven-stage state machine</x:v>
      </x:c>
      <x:c r="I62" s="26" t="str">
        <x:v>Service technical authorities</x:v>
      </x:c>
      <x:c r="J62" s="38" t="str">
        <x:v>OPEN</x:v>
      </x:c>
      <x:c r="K62" s="38" t="str">
        <x:v>UNASSIGNED</x:v>
      </x:c>
      <x:c r="L62" s="26" t="n">
        <x:v>0</x:v>
      </x:c>
    </x:row>
    <x:row r="63" ht="27" customHeight="1">
      <x:c r="C63" s="26" t="str">
        <x:v>C3-CT-A-RB1-G03</x:v>
      </x:c>
      <x:c r="D63" s="26" t="str">
        <x:v>C3-CT-A-RB1</x:v>
      </x:c>
      <x:c r="E63" s="26" t="str">
        <x:v>MS-CT</x:v>
      </x:c>
      <x:c r="F63" s="26" t="str">
        <x:v>A</x:v>
      </x:c>
      <x:c r="G63" s="26" t="str">
        <x:v>G03</x:v>
      </x:c>
      <x:c r="H63" s="26" t="str">
        <x:v>Four-field root architecture</x:v>
      </x:c>
      <x:c r="I63" s="26" t="str">
        <x:v>Mission-system office</x:v>
      </x:c>
      <x:c r="J63" s="38" t="str">
        <x:v>OPEN</x:v>
      </x:c>
      <x:c r="K63" s="38" t="str">
        <x:v>UNASSIGNED</x:v>
      </x:c>
      <x:c r="L63" s="26" t="n">
        <x:v>0</x:v>
      </x:c>
    </x:row>
    <x:row r="64" ht="27" customHeight="1">
      <x:c r="C64" s="26" t="str">
        <x:v>C3-CT-A-RB1-G04</x:v>
      </x:c>
      <x:c r="D64" s="26" t="str">
        <x:v>C3-CT-A-RB1</x:v>
      </x:c>
      <x:c r="E64" s="26" t="str">
        <x:v>MS-CT</x:v>
      </x:c>
      <x:c r="F64" s="26" t="str">
        <x:v>A</x:v>
      </x:c>
      <x:c r="G64" s="26" t="str">
        <x:v>G04</x:v>
      </x:c>
      <x:c r="H64" s="26" t="str">
        <x:v>Numeric service thresholds</x:v>
      </x:c>
      <x:c r="I64" s="26" t="str">
        <x:v>Public-effect authorities</x:v>
      </x:c>
      <x:c r="J64" s="38" t="str">
        <x:v>OPEN</x:v>
      </x:c>
      <x:c r="K64" s="38" t="str">
        <x:v>UNASSIGNED</x:v>
      </x:c>
      <x:c r="L64" s="26" t="n">
        <x:v>0</x:v>
      </x:c>
    </x:row>
    <x:row r="65" ht="27" customHeight="1">
      <x:c r="C65" s="26" t="str">
        <x:v>C3-CT-A-RB1-G05</x:v>
      </x:c>
      <x:c r="D65" s="26" t="str">
        <x:v>C3-CT-A-RB1</x:v>
      </x:c>
      <x:c r="E65" s="26" t="str">
        <x:v>MS-CT</x:v>
      </x:c>
      <x:c r="F65" s="26" t="str">
        <x:v>A</x:v>
      </x:c>
      <x:c r="G65" s="26" t="str">
        <x:v>G05</x:v>
      </x:c>
      <x:c r="H65" s="26" t="str">
        <x:v>Mass, energy, flow and residual closure</x:v>
      </x:c>
      <x:c r="I65" s="26" t="str">
        <x:v>Independent engineering board</x:v>
      </x:c>
      <x:c r="J65" s="38" t="str">
        <x:v>OPEN</x:v>
      </x:c>
      <x:c r="K65" s="38" t="str">
        <x:v>UNASSIGNED</x:v>
      </x:c>
      <x:c r="L65" s="26" t="n">
        <x:v>0</x:v>
      </x:c>
    </x:row>
    <x:row r="66" ht="27" customHeight="1">
      <x:c r="C66" s="26" t="str">
        <x:v>C3-CT-A-RB1-G06</x:v>
      </x:c>
      <x:c r="D66" s="26" t="str">
        <x:v>C3-CT-A-RB1</x:v>
      </x:c>
      <x:c r="E66" s="26" t="str">
        <x:v>MS-CT</x:v>
      </x:c>
      <x:c r="F66" s="26" t="str">
        <x:v>A</x:v>
      </x:c>
      <x:c r="G66" s="26" t="str">
        <x:v>G06</x:v>
      </x:c>
      <x:c r="H66" s="26" t="str">
        <x:v>Safety, accessibility and rights case</x:v>
      </x:c>
      <x:c r="I66" s="26" t="str">
        <x:v>Safety and civil-rights authorities</x:v>
      </x:c>
      <x:c r="J66" s="38" t="str">
        <x:v>OPEN</x:v>
      </x:c>
      <x:c r="K66" s="38" t="str">
        <x:v>UNASSIGNED</x:v>
      </x:c>
      <x:c r="L66" s="26" t="n">
        <x:v>0</x:v>
      </x:c>
    </x:row>
    <x:row r="67" ht="27" customHeight="1">
      <x:c r="C67" s="26" t="str">
        <x:v>C3-CT-A-RB1-G07</x:v>
      </x:c>
      <x:c r="D67" s="26" t="str">
        <x:v>C3-CT-A-RB1</x:v>
      </x:c>
      <x:c r="E67" s="26" t="str">
        <x:v>MS-CT</x:v>
      </x:c>
      <x:c r="F67" s="26" t="str">
        <x:v>A</x:v>
      </x:c>
      <x:c r="G67" s="26" t="str">
        <x:v>G07</x:v>
      </x:c>
      <x:c r="H67" s="26" t="str">
        <x:v>Public physical and record interfaces</x:v>
      </x:c>
      <x:c r="I67" s="26" t="str">
        <x:v>Technical integration authority</x:v>
      </x:c>
      <x:c r="J67" s="38" t="str">
        <x:v>OPEN</x:v>
      </x:c>
      <x:c r="K67" s="38" t="str">
        <x:v>UNASSIGNED</x:v>
      </x:c>
      <x:c r="L67" s="26" t="n">
        <x:v>0</x:v>
      </x:c>
    </x:row>
    <x:row r="68" ht="27" customHeight="1">
      <x:c r="C68" s="26" t="str">
        <x:v>C3-CT-A-RB1-G08</x:v>
      </x:c>
      <x:c r="D68" s="26" t="str">
        <x:v>C3-CT-A-RB1</x:v>
      </x:c>
      <x:c r="E68" s="26" t="str">
        <x:v>MS-CT</x:v>
      </x:c>
      <x:c r="F68" s="26" t="str">
        <x:v>A</x:v>
      </x:c>
      <x:c r="G68" s="26" t="str">
        <x:v>G08</x:v>
      </x:c>
      <x:c r="H68" s="26" t="str">
        <x:v>Decisive ancestry declaration</x:v>
      </x:c>
      <x:c r="I68" s="26" t="str">
        <x:v>Manufacturing authority</x:v>
      </x:c>
      <x:c r="J68" s="38" t="str">
        <x:v>OPEN</x:v>
      </x:c>
      <x:c r="K68" s="38" t="str">
        <x:v>UNASSIGNED</x:v>
      </x:c>
      <x:c r="L68" s="26" t="n">
        <x:v>0</x:v>
      </x:c>
    </x:row>
    <x:row r="69" ht="27" customHeight="1">
      <x:c r="C69" s="26" t="str">
        <x:v>C3-CT-A-RB1-G09</x:v>
      </x:c>
      <x:c r="D69" s="26" t="str">
        <x:v>C3-CT-A-RB1</x:v>
      </x:c>
      <x:c r="E69" s="26" t="str">
        <x:v>MS-CT</x:v>
      </x:c>
      <x:c r="F69" s="26" t="str">
        <x:v>A</x:v>
      </x:c>
      <x:c r="G69" s="26" t="str">
        <x:v>G09</x:v>
      </x:c>
      <x:c r="H69" s="26" t="str">
        <x:v>Executable build records and travelers</x:v>
      </x:c>
      <x:c r="I69" s="26" t="str">
        <x:v>Configuration authority</x:v>
      </x:c>
      <x:c r="J69" s="38" t="str">
        <x:v>OPEN</x:v>
      </x:c>
      <x:c r="K69" s="38" t="str">
        <x:v>UNASSIGNED</x:v>
      </x:c>
      <x:c r="L69" s="26" t="n">
        <x:v>0</x:v>
      </x:c>
    </x:row>
    <x:row r="70" ht="27" customHeight="1">
      <x:c r="C70" s="26" t="str">
        <x:v>C3-CT-A-RB1-G10</x:v>
      </x:c>
      <x:c r="D70" s="26" t="str">
        <x:v>C3-CT-A-RB1</x:v>
      </x:c>
      <x:c r="E70" s="26" t="str">
        <x:v>MS-CT</x:v>
      </x:c>
      <x:c r="F70" s="26" t="str">
        <x:v>A</x:v>
      </x:c>
      <x:c r="G70" s="26" t="str">
        <x:v>G10</x:v>
      </x:c>
      <x:c r="H70" s="26" t="str">
        <x:v>Representative subsystem evidence</x:v>
      </x:c>
      <x:c r="I70" s="26" t="str">
        <x:v>Sovereign evidence authority</x:v>
      </x:c>
      <x:c r="J70" s="38" t="str">
        <x:v>OPEN</x:v>
      </x:c>
      <x:c r="K70" s="38" t="str">
        <x:v>UNASSIGNED</x:v>
      </x:c>
      <x:c r="L70" s="26" t="n">
        <x:v>0</x:v>
      </x:c>
    </x:row>
    <x:row r="71" ht="27" customHeight="1">
      <x:c r="C71" s="26" t="str">
        <x:v>C3-CT-A-RB1-G11</x:v>
      </x:c>
      <x:c r="D71" s="26" t="str">
        <x:v>C3-CT-A-RB1</x:v>
      </x:c>
      <x:c r="E71" s="26" t="str">
        <x:v>MS-CT</x:v>
      </x:c>
      <x:c r="F71" s="26" t="str">
        <x:v>A</x:v>
      </x:c>
      <x:c r="G71" s="26" t="str">
        <x:v>G11</x:v>
      </x:c>
      <x:c r="H71" s="26" t="str">
        <x:v>Disconnected and manual operation</x:v>
      </x:c>
      <x:c r="I71" s="26" t="str">
        <x:v>Operating service authorities</x:v>
      </x:c>
      <x:c r="J71" s="38" t="str">
        <x:v>OPEN</x:v>
      </x:c>
      <x:c r="K71" s="38" t="str">
        <x:v>UNASSIGNED</x:v>
      </x:c>
      <x:c r="L71" s="26" t="n">
        <x:v>0</x:v>
      </x:c>
    </x:row>
    <x:row r="72" ht="27" customHeight="1">
      <x:c r="C72" s="26" t="str">
        <x:v>C3-CT-A-RB1-G12</x:v>
      </x:c>
      <x:c r="D72" s="26" t="str">
        <x:v>C3-CT-A-RB1</x:v>
      </x:c>
      <x:c r="E72" s="26" t="str">
        <x:v>MS-CT</x:v>
      </x:c>
      <x:c r="F72" s="26" t="str">
        <x:v>A</x:v>
      </x:c>
      <x:c r="G72" s="26" t="str">
        <x:v>G12</x:v>
      </x:c>
      <x:c r="H72" s="26" t="str">
        <x:v>Root-native evidence and outside replay</x:v>
      </x:c>
      <x:c r="I72" s="26" t="str">
        <x:v>Sovereign evidence authority</x:v>
      </x:c>
      <x:c r="J72" s="38" t="str">
        <x:v>OPEN</x:v>
      </x:c>
      <x:c r="K72" s="38" t="str">
        <x:v>UNASSIGNED</x:v>
      </x:c>
      <x:c r="L72" s="26" t="n">
        <x:v>0</x:v>
      </x:c>
    </x:row>
    <x:row r="73" ht="27" customHeight="1">
      <x:c r="C73" s="26" t="str">
        <x:v>C3-CT-A-RB1-G13</x:v>
      </x:c>
      <x:c r="D73" s="26" t="str">
        <x:v>C3-CT-A-RB1</x:v>
      </x:c>
      <x:c r="E73" s="26" t="str">
        <x:v>MS-CT</x:v>
      </x:c>
      <x:c r="F73" s="26" t="str">
        <x:v>A</x:v>
      </x:c>
      <x:c r="G73" s="26" t="str">
        <x:v>G13</x:v>
      </x:c>
      <x:c r="H73" s="26" t="str">
        <x:v>Repair, reset and second-team reproduction</x:v>
      </x:c>
      <x:c r="I73" s="26" t="str">
        <x:v>Regeneration and manufacturing authorities</x:v>
      </x:c>
      <x:c r="J73" s="38" t="str">
        <x:v>OPEN</x:v>
      </x:c>
      <x:c r="K73" s="38" t="str">
        <x:v>UNASSIGNED</x:v>
      </x:c>
      <x:c r="L73" s="26" t="n">
        <x:v>0</x:v>
      </x:c>
    </x:row>
    <x:row r="74" ht="27" customHeight="1">
      <x:c r="C74" s="26" t="str">
        <x:v>C3-CT-A-RB1-G14</x:v>
      </x:c>
      <x:c r="D74" s="26" t="str">
        <x:v>C3-CT-A-RB1</x:v>
      </x:c>
      <x:c r="E74" s="26" t="str">
        <x:v>MS-CT</x:v>
      </x:c>
      <x:c r="F74" s="26" t="str">
        <x:v>A</x:v>
      </x:c>
      <x:c r="G74" s="26" t="str">
        <x:v>G14</x:v>
      </x:c>
      <x:c r="H74" s="26" t="str">
        <x:v>Independent root release</x:v>
      </x:c>
      <x:c r="I74" s="26" t="str">
        <x:v>Department release board</x:v>
      </x:c>
      <x:c r="J74" s="38" t="str">
        <x:v>OPEN</x:v>
      </x:c>
      <x:c r="K74" s="38" t="str">
        <x:v>UNASSIGNED</x:v>
      </x:c>
      <x:c r="L74" s="26" t="n">
        <x:v>0</x:v>
      </x:c>
    </x:row>
    <x:row r="75" ht="27" customHeight="1">
      <x:c r="C75" s="26" t="str">
        <x:v>C3-CT-B-RB1-G01</x:v>
      </x:c>
      <x:c r="D75" s="26" t="str">
        <x:v>C3-CT-B-RB1</x:v>
      </x:c>
      <x:c r="E75" s="26" t="str">
        <x:v>MS-CT</x:v>
      </x:c>
      <x:c r="F75" s="26" t="str">
        <x:v>B</x:v>
      </x:c>
      <x:c r="G75" s="26" t="str">
        <x:v>G01</x:v>
      </x:c>
      <x:c r="H75" s="26" t="str">
        <x:v>Complete service-route bill</x:v>
      </x:c>
      <x:c r="I75" s="26" t="str">
        <x:v>Mission-system office</x:v>
      </x:c>
      <x:c r="J75" s="38" t="str">
        <x:v>OPEN</x:v>
      </x:c>
      <x:c r="K75" s="38" t="str">
        <x:v>UNASSIGNED</x:v>
      </x:c>
      <x:c r="L75" s="26" t="n">
        <x:v>0</x:v>
      </x:c>
    </x:row>
    <x:row r="76" ht="27" customHeight="1">
      <x:c r="C76" s="26" t="str">
        <x:v>C3-CT-B-RB1-G02</x:v>
      </x:c>
      <x:c r="D76" s="26" t="str">
        <x:v>C3-CT-B-RB1</x:v>
      </x:c>
      <x:c r="E76" s="26" t="str">
        <x:v>MS-CT</x:v>
      </x:c>
      <x:c r="F76" s="26" t="str">
        <x:v>B</x:v>
      </x:c>
      <x:c r="G76" s="26" t="str">
        <x:v>G02</x:v>
      </x:c>
      <x:c r="H76" s="26" t="str">
        <x:v>Seven-stage state machine</x:v>
      </x:c>
      <x:c r="I76" s="26" t="str">
        <x:v>Service technical authorities</x:v>
      </x:c>
      <x:c r="J76" s="38" t="str">
        <x:v>OPEN</x:v>
      </x:c>
      <x:c r="K76" s="38" t="str">
        <x:v>UNASSIGNED</x:v>
      </x:c>
      <x:c r="L76" s="26" t="n">
        <x:v>0</x:v>
      </x:c>
    </x:row>
    <x:row r="77" ht="27" customHeight="1">
      <x:c r="C77" s="26" t="str">
        <x:v>C3-CT-B-RB1-G03</x:v>
      </x:c>
      <x:c r="D77" s="26" t="str">
        <x:v>C3-CT-B-RB1</x:v>
      </x:c>
      <x:c r="E77" s="26" t="str">
        <x:v>MS-CT</x:v>
      </x:c>
      <x:c r="F77" s="26" t="str">
        <x:v>B</x:v>
      </x:c>
      <x:c r="G77" s="26" t="str">
        <x:v>G03</x:v>
      </x:c>
      <x:c r="H77" s="26" t="str">
        <x:v>Four-field root architecture</x:v>
      </x:c>
      <x:c r="I77" s="26" t="str">
        <x:v>Mission-system office</x:v>
      </x:c>
      <x:c r="J77" s="38" t="str">
        <x:v>OPEN</x:v>
      </x:c>
      <x:c r="K77" s="38" t="str">
        <x:v>UNASSIGNED</x:v>
      </x:c>
      <x:c r="L77" s="26" t="n">
        <x:v>0</x:v>
      </x:c>
    </x:row>
    <x:row r="78" ht="27" customHeight="1">
      <x:c r="C78" s="26" t="str">
        <x:v>C3-CT-B-RB1-G04</x:v>
      </x:c>
      <x:c r="D78" s="26" t="str">
        <x:v>C3-CT-B-RB1</x:v>
      </x:c>
      <x:c r="E78" s="26" t="str">
        <x:v>MS-CT</x:v>
      </x:c>
      <x:c r="F78" s="26" t="str">
        <x:v>B</x:v>
      </x:c>
      <x:c r="G78" s="26" t="str">
        <x:v>G04</x:v>
      </x:c>
      <x:c r="H78" s="26" t="str">
        <x:v>Numeric service thresholds</x:v>
      </x:c>
      <x:c r="I78" s="26" t="str">
        <x:v>Public-effect authorities</x:v>
      </x:c>
      <x:c r="J78" s="38" t="str">
        <x:v>OPEN</x:v>
      </x:c>
      <x:c r="K78" s="38" t="str">
        <x:v>UNASSIGNED</x:v>
      </x:c>
      <x:c r="L78" s="26" t="n">
        <x:v>0</x:v>
      </x:c>
    </x:row>
    <x:row r="79" ht="27" customHeight="1">
      <x:c r="C79" s="26" t="str">
        <x:v>C3-CT-B-RB1-G05</x:v>
      </x:c>
      <x:c r="D79" s="26" t="str">
        <x:v>C3-CT-B-RB1</x:v>
      </x:c>
      <x:c r="E79" s="26" t="str">
        <x:v>MS-CT</x:v>
      </x:c>
      <x:c r="F79" s="26" t="str">
        <x:v>B</x:v>
      </x:c>
      <x:c r="G79" s="26" t="str">
        <x:v>G05</x:v>
      </x:c>
      <x:c r="H79" s="26" t="str">
        <x:v>Mass, energy, flow and residual closure</x:v>
      </x:c>
      <x:c r="I79" s="26" t="str">
        <x:v>Independent engineering board</x:v>
      </x:c>
      <x:c r="J79" s="38" t="str">
        <x:v>OPEN</x:v>
      </x:c>
      <x:c r="K79" s="38" t="str">
        <x:v>UNASSIGNED</x:v>
      </x:c>
      <x:c r="L79" s="26" t="n">
        <x:v>0</x:v>
      </x:c>
    </x:row>
    <x:row r="80" ht="27" customHeight="1">
      <x:c r="C80" s="26" t="str">
        <x:v>C3-CT-B-RB1-G06</x:v>
      </x:c>
      <x:c r="D80" s="26" t="str">
        <x:v>C3-CT-B-RB1</x:v>
      </x:c>
      <x:c r="E80" s="26" t="str">
        <x:v>MS-CT</x:v>
      </x:c>
      <x:c r="F80" s="26" t="str">
        <x:v>B</x:v>
      </x:c>
      <x:c r="G80" s="26" t="str">
        <x:v>G06</x:v>
      </x:c>
      <x:c r="H80" s="26" t="str">
        <x:v>Safety, accessibility and rights case</x:v>
      </x:c>
      <x:c r="I80" s="26" t="str">
        <x:v>Safety and civil-rights authorities</x:v>
      </x:c>
      <x:c r="J80" s="38" t="str">
        <x:v>OPEN</x:v>
      </x:c>
      <x:c r="K80" s="38" t="str">
        <x:v>UNASSIGNED</x:v>
      </x:c>
      <x:c r="L80" s="26" t="n">
        <x:v>0</x:v>
      </x:c>
    </x:row>
    <x:row r="81" ht="27" customHeight="1">
      <x:c r="C81" s="26" t="str">
        <x:v>C3-CT-B-RB1-G07</x:v>
      </x:c>
      <x:c r="D81" s="26" t="str">
        <x:v>C3-CT-B-RB1</x:v>
      </x:c>
      <x:c r="E81" s="26" t="str">
        <x:v>MS-CT</x:v>
      </x:c>
      <x:c r="F81" s="26" t="str">
        <x:v>B</x:v>
      </x:c>
      <x:c r="G81" s="26" t="str">
        <x:v>G07</x:v>
      </x:c>
      <x:c r="H81" s="26" t="str">
        <x:v>Public physical and record interfaces</x:v>
      </x:c>
      <x:c r="I81" s="26" t="str">
        <x:v>Technical integration authority</x:v>
      </x:c>
      <x:c r="J81" s="38" t="str">
        <x:v>OPEN</x:v>
      </x:c>
      <x:c r="K81" s="38" t="str">
        <x:v>UNASSIGNED</x:v>
      </x:c>
      <x:c r="L81" s="26" t="n">
        <x:v>0</x:v>
      </x:c>
    </x:row>
    <x:row r="82" ht="27" customHeight="1">
      <x:c r="C82" s="26" t="str">
        <x:v>C3-CT-B-RB1-G08</x:v>
      </x:c>
      <x:c r="D82" s="26" t="str">
        <x:v>C3-CT-B-RB1</x:v>
      </x:c>
      <x:c r="E82" s="26" t="str">
        <x:v>MS-CT</x:v>
      </x:c>
      <x:c r="F82" s="26" t="str">
        <x:v>B</x:v>
      </x:c>
      <x:c r="G82" s="26" t="str">
        <x:v>G08</x:v>
      </x:c>
      <x:c r="H82" s="26" t="str">
        <x:v>Decisive ancestry declaration</x:v>
      </x:c>
      <x:c r="I82" s="26" t="str">
        <x:v>Manufacturing authority</x:v>
      </x:c>
      <x:c r="J82" s="38" t="str">
        <x:v>OPEN</x:v>
      </x:c>
      <x:c r="K82" s="38" t="str">
        <x:v>UNASSIGNED</x:v>
      </x:c>
      <x:c r="L82" s="26" t="n">
        <x:v>0</x:v>
      </x:c>
    </x:row>
    <x:row r="83" ht="27" customHeight="1">
      <x:c r="C83" s="26" t="str">
        <x:v>C3-CT-B-RB1-G09</x:v>
      </x:c>
      <x:c r="D83" s="26" t="str">
        <x:v>C3-CT-B-RB1</x:v>
      </x:c>
      <x:c r="E83" s="26" t="str">
        <x:v>MS-CT</x:v>
      </x:c>
      <x:c r="F83" s="26" t="str">
        <x:v>B</x:v>
      </x:c>
      <x:c r="G83" s="26" t="str">
        <x:v>G09</x:v>
      </x:c>
      <x:c r="H83" s="26" t="str">
        <x:v>Executable build records and travelers</x:v>
      </x:c>
      <x:c r="I83" s="26" t="str">
        <x:v>Configuration authority</x:v>
      </x:c>
      <x:c r="J83" s="38" t="str">
        <x:v>OPEN</x:v>
      </x:c>
      <x:c r="K83" s="38" t="str">
        <x:v>UNASSIGNED</x:v>
      </x:c>
      <x:c r="L83" s="26" t="n">
        <x:v>0</x:v>
      </x:c>
    </x:row>
    <x:row r="84" ht="27" customHeight="1">
      <x:c r="C84" s="26" t="str">
        <x:v>C3-CT-B-RB1-G10</x:v>
      </x:c>
      <x:c r="D84" s="26" t="str">
        <x:v>C3-CT-B-RB1</x:v>
      </x:c>
      <x:c r="E84" s="26" t="str">
        <x:v>MS-CT</x:v>
      </x:c>
      <x:c r="F84" s="26" t="str">
        <x:v>B</x:v>
      </x:c>
      <x:c r="G84" s="26" t="str">
        <x:v>G10</x:v>
      </x:c>
      <x:c r="H84" s="26" t="str">
        <x:v>Representative subsystem evidence</x:v>
      </x:c>
      <x:c r="I84" s="26" t="str">
        <x:v>Sovereign evidence authority</x:v>
      </x:c>
      <x:c r="J84" s="38" t="str">
        <x:v>OPEN</x:v>
      </x:c>
      <x:c r="K84" s="38" t="str">
        <x:v>UNASSIGNED</x:v>
      </x:c>
      <x:c r="L84" s="26" t="n">
        <x:v>0</x:v>
      </x:c>
    </x:row>
    <x:row r="85" ht="27" customHeight="1">
      <x:c r="C85" s="26" t="str">
        <x:v>C3-CT-B-RB1-G11</x:v>
      </x:c>
      <x:c r="D85" s="26" t="str">
        <x:v>C3-CT-B-RB1</x:v>
      </x:c>
      <x:c r="E85" s="26" t="str">
        <x:v>MS-CT</x:v>
      </x:c>
      <x:c r="F85" s="26" t="str">
        <x:v>B</x:v>
      </x:c>
      <x:c r="G85" s="26" t="str">
        <x:v>G11</x:v>
      </x:c>
      <x:c r="H85" s="26" t="str">
        <x:v>Disconnected and manual operation</x:v>
      </x:c>
      <x:c r="I85" s="26" t="str">
        <x:v>Operating service authorities</x:v>
      </x:c>
      <x:c r="J85" s="38" t="str">
        <x:v>OPEN</x:v>
      </x:c>
      <x:c r="K85" s="38" t="str">
        <x:v>UNASSIGNED</x:v>
      </x:c>
      <x:c r="L85" s="26" t="n">
        <x:v>0</x:v>
      </x:c>
    </x:row>
    <x:row r="86" ht="27" customHeight="1">
      <x:c r="C86" s="26" t="str">
        <x:v>C3-CT-B-RB1-G12</x:v>
      </x:c>
      <x:c r="D86" s="26" t="str">
        <x:v>C3-CT-B-RB1</x:v>
      </x:c>
      <x:c r="E86" s="26" t="str">
        <x:v>MS-CT</x:v>
      </x:c>
      <x:c r="F86" s="26" t="str">
        <x:v>B</x:v>
      </x:c>
      <x:c r="G86" s="26" t="str">
        <x:v>G12</x:v>
      </x:c>
      <x:c r="H86" s="26" t="str">
        <x:v>Root-native evidence and outside replay</x:v>
      </x:c>
      <x:c r="I86" s="26" t="str">
        <x:v>Sovereign evidence authority</x:v>
      </x:c>
      <x:c r="J86" s="38" t="str">
        <x:v>OPEN</x:v>
      </x:c>
      <x:c r="K86" s="38" t="str">
        <x:v>UNASSIGNED</x:v>
      </x:c>
      <x:c r="L86" s="26" t="n">
        <x:v>0</x:v>
      </x:c>
    </x:row>
    <x:row r="87" ht="27" customHeight="1">
      <x:c r="C87" s="26" t="str">
        <x:v>C3-CT-B-RB1-G13</x:v>
      </x:c>
      <x:c r="D87" s="26" t="str">
        <x:v>C3-CT-B-RB1</x:v>
      </x:c>
      <x:c r="E87" s="26" t="str">
        <x:v>MS-CT</x:v>
      </x:c>
      <x:c r="F87" s="26" t="str">
        <x:v>B</x:v>
      </x:c>
      <x:c r="G87" s="26" t="str">
        <x:v>G13</x:v>
      </x:c>
      <x:c r="H87" s="26" t="str">
        <x:v>Repair, reset and second-team reproduction</x:v>
      </x:c>
      <x:c r="I87" s="26" t="str">
        <x:v>Regeneration and manufacturing authorities</x:v>
      </x:c>
      <x:c r="J87" s="38" t="str">
        <x:v>OPEN</x:v>
      </x:c>
      <x:c r="K87" s="38" t="str">
        <x:v>UNASSIGNED</x:v>
      </x:c>
      <x:c r="L87" s="26" t="n">
        <x:v>0</x:v>
      </x:c>
    </x:row>
    <x:row r="88" ht="27" customHeight="1">
      <x:c r="C88" s="26" t="str">
        <x:v>C3-CT-B-RB1-G14</x:v>
      </x:c>
      <x:c r="D88" s="26" t="str">
        <x:v>C3-CT-B-RB1</x:v>
      </x:c>
      <x:c r="E88" s="26" t="str">
        <x:v>MS-CT</x:v>
      </x:c>
      <x:c r="F88" s="26" t="str">
        <x:v>B</x:v>
      </x:c>
      <x:c r="G88" s="26" t="str">
        <x:v>G14</x:v>
      </x:c>
      <x:c r="H88" s="26" t="str">
        <x:v>Independent root release</x:v>
      </x:c>
      <x:c r="I88" s="26" t="str">
        <x:v>Department release board</x:v>
      </x:c>
      <x:c r="J88" s="38" t="str">
        <x:v>OPEN</x:v>
      </x:c>
      <x:c r="K88" s="38" t="str">
        <x:v>UNASSIGNED</x:v>
      </x:c>
      <x:c r="L88" s="26" t="n">
        <x:v>0</x:v>
      </x:c>
    </x:row>
    <x:row r="89" ht="27" customHeight="1">
      <x:c r="C89" s="26" t="str">
        <x:v>C3-CT-C-RB1-G01</x:v>
      </x:c>
      <x:c r="D89" s="26" t="str">
        <x:v>C3-CT-C-RB1</x:v>
      </x:c>
      <x:c r="E89" s="26" t="str">
        <x:v>MS-CT</x:v>
      </x:c>
      <x:c r="F89" s="26" t="str">
        <x:v>C</x:v>
      </x:c>
      <x:c r="G89" s="26" t="str">
        <x:v>G01</x:v>
      </x:c>
      <x:c r="H89" s="26" t="str">
        <x:v>Complete service-route bill</x:v>
      </x:c>
      <x:c r="I89" s="26" t="str">
        <x:v>Mission-system office</x:v>
      </x:c>
      <x:c r="J89" s="38" t="str">
        <x:v>OPEN</x:v>
      </x:c>
      <x:c r="K89" s="38" t="str">
        <x:v>UNASSIGNED</x:v>
      </x:c>
      <x:c r="L89" s="26" t="n">
        <x:v>0</x:v>
      </x:c>
    </x:row>
    <x:row r="90" ht="27" customHeight="1">
      <x:c r="C90" s="26" t="str">
        <x:v>C3-CT-C-RB1-G02</x:v>
      </x:c>
      <x:c r="D90" s="26" t="str">
        <x:v>C3-CT-C-RB1</x:v>
      </x:c>
      <x:c r="E90" s="26" t="str">
        <x:v>MS-CT</x:v>
      </x:c>
      <x:c r="F90" s="26" t="str">
        <x:v>C</x:v>
      </x:c>
      <x:c r="G90" s="26" t="str">
        <x:v>G02</x:v>
      </x:c>
      <x:c r="H90" s="26" t="str">
        <x:v>Seven-stage state machine</x:v>
      </x:c>
      <x:c r="I90" s="26" t="str">
        <x:v>Service technical authorities</x:v>
      </x:c>
      <x:c r="J90" s="38" t="str">
        <x:v>OPEN</x:v>
      </x:c>
      <x:c r="K90" s="38" t="str">
        <x:v>UNASSIGNED</x:v>
      </x:c>
      <x:c r="L90" s="26" t="n">
        <x:v>0</x:v>
      </x:c>
    </x:row>
    <x:row r="91" ht="27" customHeight="1">
      <x:c r="C91" s="26" t="str">
        <x:v>C3-CT-C-RB1-G03</x:v>
      </x:c>
      <x:c r="D91" s="26" t="str">
        <x:v>C3-CT-C-RB1</x:v>
      </x:c>
      <x:c r="E91" s="26" t="str">
        <x:v>MS-CT</x:v>
      </x:c>
      <x:c r="F91" s="26" t="str">
        <x:v>C</x:v>
      </x:c>
      <x:c r="G91" s="26" t="str">
        <x:v>G03</x:v>
      </x:c>
      <x:c r="H91" s="26" t="str">
        <x:v>Four-field root architecture</x:v>
      </x:c>
      <x:c r="I91" s="26" t="str">
        <x:v>Mission-system office</x:v>
      </x:c>
      <x:c r="J91" s="38" t="str">
        <x:v>OPEN</x:v>
      </x:c>
      <x:c r="K91" s="38" t="str">
        <x:v>UNASSIGNED</x:v>
      </x:c>
      <x:c r="L91" s="26" t="n">
        <x:v>0</x:v>
      </x:c>
    </x:row>
    <x:row r="92" ht="27" customHeight="1">
      <x:c r="C92" s="26" t="str">
        <x:v>C3-CT-C-RB1-G04</x:v>
      </x:c>
      <x:c r="D92" s="26" t="str">
        <x:v>C3-CT-C-RB1</x:v>
      </x:c>
      <x:c r="E92" s="26" t="str">
        <x:v>MS-CT</x:v>
      </x:c>
      <x:c r="F92" s="26" t="str">
        <x:v>C</x:v>
      </x:c>
      <x:c r="G92" s="26" t="str">
        <x:v>G04</x:v>
      </x:c>
      <x:c r="H92" s="26" t="str">
        <x:v>Numeric service thresholds</x:v>
      </x:c>
      <x:c r="I92" s="26" t="str">
        <x:v>Public-effect authorities</x:v>
      </x:c>
      <x:c r="J92" s="38" t="str">
        <x:v>OPEN</x:v>
      </x:c>
      <x:c r="K92" s="38" t="str">
        <x:v>UNASSIGNED</x:v>
      </x:c>
      <x:c r="L92" s="26" t="n">
        <x:v>0</x:v>
      </x:c>
    </x:row>
    <x:row r="93" ht="27" customHeight="1">
      <x:c r="C93" s="26" t="str">
        <x:v>C3-CT-C-RB1-G05</x:v>
      </x:c>
      <x:c r="D93" s="26" t="str">
        <x:v>C3-CT-C-RB1</x:v>
      </x:c>
      <x:c r="E93" s="26" t="str">
        <x:v>MS-CT</x:v>
      </x:c>
      <x:c r="F93" s="26" t="str">
        <x:v>C</x:v>
      </x:c>
      <x:c r="G93" s="26" t="str">
        <x:v>G05</x:v>
      </x:c>
      <x:c r="H93" s="26" t="str">
        <x:v>Mass, energy, flow and residual closure</x:v>
      </x:c>
      <x:c r="I93" s="26" t="str">
        <x:v>Independent engineering board</x:v>
      </x:c>
      <x:c r="J93" s="38" t="str">
        <x:v>OPEN</x:v>
      </x:c>
      <x:c r="K93" s="38" t="str">
        <x:v>UNASSIGNED</x:v>
      </x:c>
      <x:c r="L93" s="26" t="n">
        <x:v>0</x:v>
      </x:c>
    </x:row>
    <x:row r="94" ht="27" customHeight="1">
      <x:c r="C94" s="26" t="str">
        <x:v>C3-CT-C-RB1-G06</x:v>
      </x:c>
      <x:c r="D94" s="26" t="str">
        <x:v>C3-CT-C-RB1</x:v>
      </x:c>
      <x:c r="E94" s="26" t="str">
        <x:v>MS-CT</x:v>
      </x:c>
      <x:c r="F94" s="26" t="str">
        <x:v>C</x:v>
      </x:c>
      <x:c r="G94" s="26" t="str">
        <x:v>G06</x:v>
      </x:c>
      <x:c r="H94" s="26" t="str">
        <x:v>Safety, accessibility and rights case</x:v>
      </x:c>
      <x:c r="I94" s="26" t="str">
        <x:v>Safety and civil-rights authorities</x:v>
      </x:c>
      <x:c r="J94" s="38" t="str">
        <x:v>OPEN</x:v>
      </x:c>
      <x:c r="K94" s="38" t="str">
        <x:v>UNASSIGNED</x:v>
      </x:c>
      <x:c r="L94" s="26" t="n">
        <x:v>0</x:v>
      </x:c>
    </x:row>
    <x:row r="95" ht="27" customHeight="1">
      <x:c r="C95" s="26" t="str">
        <x:v>C3-CT-C-RB1-G07</x:v>
      </x:c>
      <x:c r="D95" s="26" t="str">
        <x:v>C3-CT-C-RB1</x:v>
      </x:c>
      <x:c r="E95" s="26" t="str">
        <x:v>MS-CT</x:v>
      </x:c>
      <x:c r="F95" s="26" t="str">
        <x:v>C</x:v>
      </x:c>
      <x:c r="G95" s="26" t="str">
        <x:v>G07</x:v>
      </x:c>
      <x:c r="H95" s="26" t="str">
        <x:v>Public physical and record interfaces</x:v>
      </x:c>
      <x:c r="I95" s="26" t="str">
        <x:v>Technical integration authority</x:v>
      </x:c>
      <x:c r="J95" s="38" t="str">
        <x:v>OPEN</x:v>
      </x:c>
      <x:c r="K95" s="38" t="str">
        <x:v>UNASSIGNED</x:v>
      </x:c>
      <x:c r="L95" s="26" t="n">
        <x:v>0</x:v>
      </x:c>
    </x:row>
    <x:row r="96" ht="27" customHeight="1">
      <x:c r="C96" s="26" t="str">
        <x:v>C3-CT-C-RB1-G08</x:v>
      </x:c>
      <x:c r="D96" s="26" t="str">
        <x:v>C3-CT-C-RB1</x:v>
      </x:c>
      <x:c r="E96" s="26" t="str">
        <x:v>MS-CT</x:v>
      </x:c>
      <x:c r="F96" s="26" t="str">
        <x:v>C</x:v>
      </x:c>
      <x:c r="G96" s="26" t="str">
        <x:v>G08</x:v>
      </x:c>
      <x:c r="H96" s="26" t="str">
        <x:v>Decisive ancestry declaration</x:v>
      </x:c>
      <x:c r="I96" s="26" t="str">
        <x:v>Manufacturing authority</x:v>
      </x:c>
      <x:c r="J96" s="38" t="str">
        <x:v>OPEN</x:v>
      </x:c>
      <x:c r="K96" s="38" t="str">
        <x:v>UNASSIGNED</x:v>
      </x:c>
      <x:c r="L96" s="26" t="n">
        <x:v>0</x:v>
      </x:c>
    </x:row>
    <x:row r="97" ht="27" customHeight="1">
      <x:c r="C97" s="26" t="str">
        <x:v>C3-CT-C-RB1-G09</x:v>
      </x:c>
      <x:c r="D97" s="26" t="str">
        <x:v>C3-CT-C-RB1</x:v>
      </x:c>
      <x:c r="E97" s="26" t="str">
        <x:v>MS-CT</x:v>
      </x:c>
      <x:c r="F97" s="26" t="str">
        <x:v>C</x:v>
      </x:c>
      <x:c r="G97" s="26" t="str">
        <x:v>G09</x:v>
      </x:c>
      <x:c r="H97" s="26" t="str">
        <x:v>Executable build records and travelers</x:v>
      </x:c>
      <x:c r="I97" s="26" t="str">
        <x:v>Configuration authority</x:v>
      </x:c>
      <x:c r="J97" s="38" t="str">
        <x:v>OPEN</x:v>
      </x:c>
      <x:c r="K97" s="38" t="str">
        <x:v>UNASSIGNED</x:v>
      </x:c>
      <x:c r="L97" s="26" t="n">
        <x:v>0</x:v>
      </x:c>
    </x:row>
    <x:row r="98" ht="27" customHeight="1">
      <x:c r="C98" s="26" t="str">
        <x:v>C3-CT-C-RB1-G10</x:v>
      </x:c>
      <x:c r="D98" s="26" t="str">
        <x:v>C3-CT-C-RB1</x:v>
      </x:c>
      <x:c r="E98" s="26" t="str">
        <x:v>MS-CT</x:v>
      </x:c>
      <x:c r="F98" s="26" t="str">
        <x:v>C</x:v>
      </x:c>
      <x:c r="G98" s="26" t="str">
        <x:v>G10</x:v>
      </x:c>
      <x:c r="H98" s="26" t="str">
        <x:v>Representative subsystem evidence</x:v>
      </x:c>
      <x:c r="I98" s="26" t="str">
        <x:v>Sovereign evidence authority</x:v>
      </x:c>
      <x:c r="J98" s="38" t="str">
        <x:v>OPEN</x:v>
      </x:c>
      <x:c r="K98" s="38" t="str">
        <x:v>UNASSIGNED</x:v>
      </x:c>
      <x:c r="L98" s="26" t="n">
        <x:v>0</x:v>
      </x:c>
    </x:row>
    <x:row r="99" ht="27" customHeight="1">
      <x:c r="C99" s="26" t="str">
        <x:v>C3-CT-C-RB1-G11</x:v>
      </x:c>
      <x:c r="D99" s="26" t="str">
        <x:v>C3-CT-C-RB1</x:v>
      </x:c>
      <x:c r="E99" s="26" t="str">
        <x:v>MS-CT</x:v>
      </x:c>
      <x:c r="F99" s="26" t="str">
        <x:v>C</x:v>
      </x:c>
      <x:c r="G99" s="26" t="str">
        <x:v>G11</x:v>
      </x:c>
      <x:c r="H99" s="26" t="str">
        <x:v>Disconnected and manual operation</x:v>
      </x:c>
      <x:c r="I99" s="26" t="str">
        <x:v>Operating service authorities</x:v>
      </x:c>
      <x:c r="J99" s="38" t="str">
        <x:v>OPEN</x:v>
      </x:c>
      <x:c r="K99" s="38" t="str">
        <x:v>UNASSIGNED</x:v>
      </x:c>
      <x:c r="L99" s="26" t="n">
        <x:v>0</x:v>
      </x:c>
    </x:row>
    <x:row r="100" ht="27" customHeight="1">
      <x:c r="C100" s="26" t="str">
        <x:v>C3-CT-C-RB1-G12</x:v>
      </x:c>
      <x:c r="D100" s="26" t="str">
        <x:v>C3-CT-C-RB1</x:v>
      </x:c>
      <x:c r="E100" s="26" t="str">
        <x:v>MS-CT</x:v>
      </x:c>
      <x:c r="F100" s="26" t="str">
        <x:v>C</x:v>
      </x:c>
      <x:c r="G100" s="26" t="str">
        <x:v>G12</x:v>
      </x:c>
      <x:c r="H100" s="26" t="str">
        <x:v>Root-native evidence and outside replay</x:v>
      </x:c>
      <x:c r="I100" s="26" t="str">
        <x:v>Sovereign evidence authority</x:v>
      </x:c>
      <x:c r="J100" s="38" t="str">
        <x:v>OPEN</x:v>
      </x:c>
      <x:c r="K100" s="38" t="str">
        <x:v>UNASSIGNED</x:v>
      </x:c>
      <x:c r="L100" s="26" t="n">
        <x:v>0</x:v>
      </x:c>
    </x:row>
    <x:row r="101" ht="27" customHeight="1">
      <x:c r="C101" s="26" t="str">
        <x:v>C3-CT-C-RB1-G13</x:v>
      </x:c>
      <x:c r="D101" s="26" t="str">
        <x:v>C3-CT-C-RB1</x:v>
      </x:c>
      <x:c r="E101" s="26" t="str">
        <x:v>MS-CT</x:v>
      </x:c>
      <x:c r="F101" s="26" t="str">
        <x:v>C</x:v>
      </x:c>
      <x:c r="G101" s="26" t="str">
        <x:v>G13</x:v>
      </x:c>
      <x:c r="H101" s="26" t="str">
        <x:v>Repair, reset and second-team reproduction</x:v>
      </x:c>
      <x:c r="I101" s="26" t="str">
        <x:v>Regeneration and manufacturing authorities</x:v>
      </x:c>
      <x:c r="J101" s="38" t="str">
        <x:v>OPEN</x:v>
      </x:c>
      <x:c r="K101" s="38" t="str">
        <x:v>UNASSIGNED</x:v>
      </x:c>
      <x:c r="L101" s="26" t="n">
        <x:v>0</x:v>
      </x:c>
    </x:row>
    <x:row r="102" ht="27" customHeight="1">
      <x:c r="C102" s="26" t="str">
        <x:v>C3-CT-C-RB1-G14</x:v>
      </x:c>
      <x:c r="D102" s="26" t="str">
        <x:v>C3-CT-C-RB1</x:v>
      </x:c>
      <x:c r="E102" s="26" t="str">
        <x:v>MS-CT</x:v>
      </x:c>
      <x:c r="F102" s="26" t="str">
        <x:v>C</x:v>
      </x:c>
      <x:c r="G102" s="26" t="str">
        <x:v>G14</x:v>
      </x:c>
      <x:c r="H102" s="26" t="str">
        <x:v>Independent root release</x:v>
      </x:c>
      <x:c r="I102" s="26" t="str">
        <x:v>Department release board</x:v>
      </x:c>
      <x:c r="J102" s="38" t="str">
        <x:v>OPEN</x:v>
      </x:c>
      <x:c r="K102" s="38" t="str">
        <x:v>UNASSIGNED</x:v>
      </x:c>
      <x:c r="L102" s="26" t="n">
        <x:v>0</x:v>
      </x:c>
    </x:row>
    <x:row r="103" ht="27" customHeight="1">
      <x:c r="C103" s="26" t="str">
        <x:v>C3-CT-D-RB1-G01</x:v>
      </x:c>
      <x:c r="D103" s="26" t="str">
        <x:v>C3-CT-D-RB1</x:v>
      </x:c>
      <x:c r="E103" s="26" t="str">
        <x:v>MS-CT</x:v>
      </x:c>
      <x:c r="F103" s="26" t="str">
        <x:v>D</x:v>
      </x:c>
      <x:c r="G103" s="26" t="str">
        <x:v>G01</x:v>
      </x:c>
      <x:c r="H103" s="26" t="str">
        <x:v>Complete service-route bill</x:v>
      </x:c>
      <x:c r="I103" s="26" t="str">
        <x:v>Mission-system office</x:v>
      </x:c>
      <x:c r="J103" s="38" t="str">
        <x:v>OPEN</x:v>
      </x:c>
      <x:c r="K103" s="38" t="str">
        <x:v>UNASSIGNED</x:v>
      </x:c>
      <x:c r="L103" s="26" t="n">
        <x:v>0</x:v>
      </x:c>
    </x:row>
    <x:row r="104" ht="27" customHeight="1">
      <x:c r="C104" s="26" t="str">
        <x:v>C3-CT-D-RB1-G02</x:v>
      </x:c>
      <x:c r="D104" s="26" t="str">
        <x:v>C3-CT-D-RB1</x:v>
      </x:c>
      <x:c r="E104" s="26" t="str">
        <x:v>MS-CT</x:v>
      </x:c>
      <x:c r="F104" s="26" t="str">
        <x:v>D</x:v>
      </x:c>
      <x:c r="G104" s="26" t="str">
        <x:v>G02</x:v>
      </x:c>
      <x:c r="H104" s="26" t="str">
        <x:v>Seven-stage state machine</x:v>
      </x:c>
      <x:c r="I104" s="26" t="str">
        <x:v>Service technical authorities</x:v>
      </x:c>
      <x:c r="J104" s="38" t="str">
        <x:v>OPEN</x:v>
      </x:c>
      <x:c r="K104" s="38" t="str">
        <x:v>UNASSIGNED</x:v>
      </x:c>
      <x:c r="L104" s="26" t="n">
        <x:v>0</x:v>
      </x:c>
    </x:row>
    <x:row r="105" ht="27" customHeight="1">
      <x:c r="C105" s="26" t="str">
        <x:v>C3-CT-D-RB1-G03</x:v>
      </x:c>
      <x:c r="D105" s="26" t="str">
        <x:v>C3-CT-D-RB1</x:v>
      </x:c>
      <x:c r="E105" s="26" t="str">
        <x:v>MS-CT</x:v>
      </x:c>
      <x:c r="F105" s="26" t="str">
        <x:v>D</x:v>
      </x:c>
      <x:c r="G105" s="26" t="str">
        <x:v>G03</x:v>
      </x:c>
      <x:c r="H105" s="26" t="str">
        <x:v>Four-field root architecture</x:v>
      </x:c>
      <x:c r="I105" s="26" t="str">
        <x:v>Mission-system office</x:v>
      </x:c>
      <x:c r="J105" s="38" t="str">
        <x:v>OPEN</x:v>
      </x:c>
      <x:c r="K105" s="38" t="str">
        <x:v>UNASSIGNED</x:v>
      </x:c>
      <x:c r="L105" s="26" t="n">
        <x:v>0</x:v>
      </x:c>
    </x:row>
    <x:row r="106" ht="27" customHeight="1">
      <x:c r="C106" s="26" t="str">
        <x:v>C3-CT-D-RB1-G04</x:v>
      </x:c>
      <x:c r="D106" s="26" t="str">
        <x:v>C3-CT-D-RB1</x:v>
      </x:c>
      <x:c r="E106" s="26" t="str">
        <x:v>MS-CT</x:v>
      </x:c>
      <x:c r="F106" s="26" t="str">
        <x:v>D</x:v>
      </x:c>
      <x:c r="G106" s="26" t="str">
        <x:v>G04</x:v>
      </x:c>
      <x:c r="H106" s="26" t="str">
        <x:v>Numeric service thresholds</x:v>
      </x:c>
      <x:c r="I106" s="26" t="str">
        <x:v>Public-effect authorities</x:v>
      </x:c>
      <x:c r="J106" s="38" t="str">
        <x:v>OPEN</x:v>
      </x:c>
      <x:c r="K106" s="38" t="str">
        <x:v>UNASSIGNED</x:v>
      </x:c>
      <x:c r="L106" s="26" t="n">
        <x:v>0</x:v>
      </x:c>
    </x:row>
    <x:row r="107" ht="27" customHeight="1">
      <x:c r="C107" s="26" t="str">
        <x:v>C3-CT-D-RB1-G05</x:v>
      </x:c>
      <x:c r="D107" s="26" t="str">
        <x:v>C3-CT-D-RB1</x:v>
      </x:c>
      <x:c r="E107" s="26" t="str">
        <x:v>MS-CT</x:v>
      </x:c>
      <x:c r="F107" s="26" t="str">
        <x:v>D</x:v>
      </x:c>
      <x:c r="G107" s="26" t="str">
        <x:v>G05</x:v>
      </x:c>
      <x:c r="H107" s="26" t="str">
        <x:v>Mass, energy, flow and residual closure</x:v>
      </x:c>
      <x:c r="I107" s="26" t="str">
        <x:v>Independent engineering board</x:v>
      </x:c>
      <x:c r="J107" s="38" t="str">
        <x:v>OPEN</x:v>
      </x:c>
      <x:c r="K107" s="38" t="str">
        <x:v>UNASSIGNED</x:v>
      </x:c>
      <x:c r="L107" s="26" t="n">
        <x:v>0</x:v>
      </x:c>
    </x:row>
    <x:row r="108" ht="27" customHeight="1">
      <x:c r="C108" s="26" t="str">
        <x:v>C3-CT-D-RB1-G06</x:v>
      </x:c>
      <x:c r="D108" s="26" t="str">
        <x:v>C3-CT-D-RB1</x:v>
      </x:c>
      <x:c r="E108" s="26" t="str">
        <x:v>MS-CT</x:v>
      </x:c>
      <x:c r="F108" s="26" t="str">
        <x:v>D</x:v>
      </x:c>
      <x:c r="G108" s="26" t="str">
        <x:v>G06</x:v>
      </x:c>
      <x:c r="H108" s="26" t="str">
        <x:v>Safety, accessibility and rights case</x:v>
      </x:c>
      <x:c r="I108" s="26" t="str">
        <x:v>Safety and civil-rights authorities</x:v>
      </x:c>
      <x:c r="J108" s="38" t="str">
        <x:v>OPEN</x:v>
      </x:c>
      <x:c r="K108" s="38" t="str">
        <x:v>UNASSIGNED</x:v>
      </x:c>
      <x:c r="L108" s="26" t="n">
        <x:v>0</x:v>
      </x:c>
    </x:row>
    <x:row r="109" ht="27" customHeight="1">
      <x:c r="C109" s="26" t="str">
        <x:v>C3-CT-D-RB1-G07</x:v>
      </x:c>
      <x:c r="D109" s="26" t="str">
        <x:v>C3-CT-D-RB1</x:v>
      </x:c>
      <x:c r="E109" s="26" t="str">
        <x:v>MS-CT</x:v>
      </x:c>
      <x:c r="F109" s="26" t="str">
        <x:v>D</x:v>
      </x:c>
      <x:c r="G109" s="26" t="str">
        <x:v>G07</x:v>
      </x:c>
      <x:c r="H109" s="26" t="str">
        <x:v>Public physical and record interfaces</x:v>
      </x:c>
      <x:c r="I109" s="26" t="str">
        <x:v>Technical integration authority</x:v>
      </x:c>
      <x:c r="J109" s="38" t="str">
        <x:v>OPEN</x:v>
      </x:c>
      <x:c r="K109" s="38" t="str">
        <x:v>UNASSIGNED</x:v>
      </x:c>
      <x:c r="L109" s="26" t="n">
        <x:v>0</x:v>
      </x:c>
    </x:row>
    <x:row r="110" ht="27" customHeight="1">
      <x:c r="C110" s="26" t="str">
        <x:v>C3-CT-D-RB1-G08</x:v>
      </x:c>
      <x:c r="D110" s="26" t="str">
        <x:v>C3-CT-D-RB1</x:v>
      </x:c>
      <x:c r="E110" s="26" t="str">
        <x:v>MS-CT</x:v>
      </x:c>
      <x:c r="F110" s="26" t="str">
        <x:v>D</x:v>
      </x:c>
      <x:c r="G110" s="26" t="str">
        <x:v>G08</x:v>
      </x:c>
      <x:c r="H110" s="26" t="str">
        <x:v>Decisive ancestry declaration</x:v>
      </x:c>
      <x:c r="I110" s="26" t="str">
        <x:v>Manufacturing authority</x:v>
      </x:c>
      <x:c r="J110" s="38" t="str">
        <x:v>OPEN</x:v>
      </x:c>
      <x:c r="K110" s="38" t="str">
        <x:v>UNASSIGNED</x:v>
      </x:c>
      <x:c r="L110" s="26" t="n">
        <x:v>0</x:v>
      </x:c>
    </x:row>
    <x:row r="111" ht="27" customHeight="1">
      <x:c r="C111" s="26" t="str">
        <x:v>C3-CT-D-RB1-G09</x:v>
      </x:c>
      <x:c r="D111" s="26" t="str">
        <x:v>C3-CT-D-RB1</x:v>
      </x:c>
      <x:c r="E111" s="26" t="str">
        <x:v>MS-CT</x:v>
      </x:c>
      <x:c r="F111" s="26" t="str">
        <x:v>D</x:v>
      </x:c>
      <x:c r="G111" s="26" t="str">
        <x:v>G09</x:v>
      </x:c>
      <x:c r="H111" s="26" t="str">
        <x:v>Executable build records and travelers</x:v>
      </x:c>
      <x:c r="I111" s="26" t="str">
        <x:v>Configuration authority</x:v>
      </x:c>
      <x:c r="J111" s="38" t="str">
        <x:v>OPEN</x:v>
      </x:c>
      <x:c r="K111" s="38" t="str">
        <x:v>UNASSIGNED</x:v>
      </x:c>
      <x:c r="L111" s="26" t="n">
        <x:v>0</x:v>
      </x:c>
    </x:row>
    <x:row r="112" ht="27" customHeight="1">
      <x:c r="C112" s="26" t="str">
        <x:v>C3-CT-D-RB1-G10</x:v>
      </x:c>
      <x:c r="D112" s="26" t="str">
        <x:v>C3-CT-D-RB1</x:v>
      </x:c>
      <x:c r="E112" s="26" t="str">
        <x:v>MS-CT</x:v>
      </x:c>
      <x:c r="F112" s="26" t="str">
        <x:v>D</x:v>
      </x:c>
      <x:c r="G112" s="26" t="str">
        <x:v>G10</x:v>
      </x:c>
      <x:c r="H112" s="26" t="str">
        <x:v>Representative subsystem evidence</x:v>
      </x:c>
      <x:c r="I112" s="26" t="str">
        <x:v>Sovereign evidence authority</x:v>
      </x:c>
      <x:c r="J112" s="38" t="str">
        <x:v>OPEN</x:v>
      </x:c>
      <x:c r="K112" s="38" t="str">
        <x:v>UNASSIGNED</x:v>
      </x:c>
      <x:c r="L112" s="26" t="n">
        <x:v>0</x:v>
      </x:c>
    </x:row>
    <x:row r="113" ht="27" customHeight="1">
      <x:c r="C113" s="26" t="str">
        <x:v>C3-CT-D-RB1-G11</x:v>
      </x:c>
      <x:c r="D113" s="26" t="str">
        <x:v>C3-CT-D-RB1</x:v>
      </x:c>
      <x:c r="E113" s="26" t="str">
        <x:v>MS-CT</x:v>
      </x:c>
      <x:c r="F113" s="26" t="str">
        <x:v>D</x:v>
      </x:c>
      <x:c r="G113" s="26" t="str">
        <x:v>G11</x:v>
      </x:c>
      <x:c r="H113" s="26" t="str">
        <x:v>Disconnected and manual operation</x:v>
      </x:c>
      <x:c r="I113" s="26" t="str">
        <x:v>Operating service authorities</x:v>
      </x:c>
      <x:c r="J113" s="38" t="str">
        <x:v>OPEN</x:v>
      </x:c>
      <x:c r="K113" s="38" t="str">
        <x:v>UNASSIGNED</x:v>
      </x:c>
      <x:c r="L113" s="26" t="n">
        <x:v>0</x:v>
      </x:c>
    </x:row>
    <x:row r="114" ht="27" customHeight="1">
      <x:c r="C114" s="26" t="str">
        <x:v>C3-CT-D-RB1-G12</x:v>
      </x:c>
      <x:c r="D114" s="26" t="str">
        <x:v>C3-CT-D-RB1</x:v>
      </x:c>
      <x:c r="E114" s="26" t="str">
        <x:v>MS-CT</x:v>
      </x:c>
      <x:c r="F114" s="26" t="str">
        <x:v>D</x:v>
      </x:c>
      <x:c r="G114" s="26" t="str">
        <x:v>G12</x:v>
      </x:c>
      <x:c r="H114" s="26" t="str">
        <x:v>Root-native evidence and outside replay</x:v>
      </x:c>
      <x:c r="I114" s="26" t="str">
        <x:v>Sovereign evidence authority</x:v>
      </x:c>
      <x:c r="J114" s="38" t="str">
        <x:v>OPEN</x:v>
      </x:c>
      <x:c r="K114" s="38" t="str">
        <x:v>UNASSIGNED</x:v>
      </x:c>
      <x:c r="L114" s="26" t="n">
        <x:v>0</x:v>
      </x:c>
    </x:row>
    <x:row r="115" ht="27" customHeight="1">
      <x:c r="C115" s="26" t="str">
        <x:v>C3-CT-D-RB1-G13</x:v>
      </x:c>
      <x:c r="D115" s="26" t="str">
        <x:v>C3-CT-D-RB1</x:v>
      </x:c>
      <x:c r="E115" s="26" t="str">
        <x:v>MS-CT</x:v>
      </x:c>
      <x:c r="F115" s="26" t="str">
        <x:v>D</x:v>
      </x:c>
      <x:c r="G115" s="26" t="str">
        <x:v>G13</x:v>
      </x:c>
      <x:c r="H115" s="26" t="str">
        <x:v>Repair, reset and second-team reproduction</x:v>
      </x:c>
      <x:c r="I115" s="26" t="str">
        <x:v>Regeneration and manufacturing authorities</x:v>
      </x:c>
      <x:c r="J115" s="38" t="str">
        <x:v>OPEN</x:v>
      </x:c>
      <x:c r="K115" s="38" t="str">
        <x:v>UNASSIGNED</x:v>
      </x:c>
      <x:c r="L115" s="26" t="n">
        <x:v>0</x:v>
      </x:c>
    </x:row>
    <x:row r="116" ht="27" customHeight="1">
      <x:c r="C116" s="26" t="str">
        <x:v>C3-CT-D-RB1-G14</x:v>
      </x:c>
      <x:c r="D116" s="26" t="str">
        <x:v>C3-CT-D-RB1</x:v>
      </x:c>
      <x:c r="E116" s="26" t="str">
        <x:v>MS-CT</x:v>
      </x:c>
      <x:c r="F116" s="26" t="str">
        <x:v>D</x:v>
      </x:c>
      <x:c r="G116" s="26" t="str">
        <x:v>G14</x:v>
      </x:c>
      <x:c r="H116" s="26" t="str">
        <x:v>Independent root release</x:v>
      </x:c>
      <x:c r="I116" s="26" t="str">
        <x:v>Department release board</x:v>
      </x:c>
      <x:c r="J116" s="38" t="str">
        <x:v>OPEN</x:v>
      </x:c>
      <x:c r="K116" s="38" t="str">
        <x:v>UNASSIGNED</x:v>
      </x:c>
      <x:c r="L116" s="26" t="n">
        <x:v>0</x:v>
      </x:c>
    </x:row>
    <x:row r="117" ht="27" customHeight="1">
      <x:c r="C117" s="26" t="str">
        <x:v>C3-HC-A-RB1-G01</x:v>
      </x:c>
      <x:c r="D117" s="26" t="str">
        <x:v>C3-HC-A-RB1</x:v>
      </x:c>
      <x:c r="E117" s="26" t="str">
        <x:v>MS-HC</x:v>
      </x:c>
      <x:c r="F117" s="26" t="str">
        <x:v>A</x:v>
      </x:c>
      <x:c r="G117" s="26" t="str">
        <x:v>G01</x:v>
      </x:c>
      <x:c r="H117" s="26" t="str">
        <x:v>Complete service-route bill</x:v>
      </x:c>
      <x:c r="I117" s="26" t="str">
        <x:v>Mission-system office</x:v>
      </x:c>
      <x:c r="J117" s="38" t="str">
        <x:v>OPEN</x:v>
      </x:c>
      <x:c r="K117" s="38" t="str">
        <x:v>UNASSIGNED</x:v>
      </x:c>
      <x:c r="L117" s="26" t="n">
        <x:v>0</x:v>
      </x:c>
    </x:row>
    <x:row r="118" ht="27" customHeight="1">
      <x:c r="C118" s="26" t="str">
        <x:v>C3-HC-A-RB1-G02</x:v>
      </x:c>
      <x:c r="D118" s="26" t="str">
        <x:v>C3-HC-A-RB1</x:v>
      </x:c>
      <x:c r="E118" s="26" t="str">
        <x:v>MS-HC</x:v>
      </x:c>
      <x:c r="F118" s="26" t="str">
        <x:v>A</x:v>
      </x:c>
      <x:c r="G118" s="26" t="str">
        <x:v>G02</x:v>
      </x:c>
      <x:c r="H118" s="26" t="str">
        <x:v>Seven-stage state machine</x:v>
      </x:c>
      <x:c r="I118" s="26" t="str">
        <x:v>Service technical authorities</x:v>
      </x:c>
      <x:c r="J118" s="38" t="str">
        <x:v>OPEN</x:v>
      </x:c>
      <x:c r="K118" s="38" t="str">
        <x:v>UNASSIGNED</x:v>
      </x:c>
      <x:c r="L118" s="26" t="n">
        <x:v>0</x:v>
      </x:c>
    </x:row>
    <x:row r="119" ht="27" customHeight="1">
      <x:c r="C119" s="26" t="str">
        <x:v>C3-HC-A-RB1-G03</x:v>
      </x:c>
      <x:c r="D119" s="26" t="str">
        <x:v>C3-HC-A-RB1</x:v>
      </x:c>
      <x:c r="E119" s="26" t="str">
        <x:v>MS-HC</x:v>
      </x:c>
      <x:c r="F119" s="26" t="str">
        <x:v>A</x:v>
      </x:c>
      <x:c r="G119" s="26" t="str">
        <x:v>G03</x:v>
      </x:c>
      <x:c r="H119" s="26" t="str">
        <x:v>Four-field root architecture</x:v>
      </x:c>
      <x:c r="I119" s="26" t="str">
        <x:v>Mission-system office</x:v>
      </x:c>
      <x:c r="J119" s="38" t="str">
        <x:v>OPEN</x:v>
      </x:c>
      <x:c r="K119" s="38" t="str">
        <x:v>UNASSIGNED</x:v>
      </x:c>
      <x:c r="L119" s="26" t="n">
        <x:v>0</x:v>
      </x:c>
    </x:row>
    <x:row r="120" ht="27" customHeight="1">
      <x:c r="C120" s="26" t="str">
        <x:v>C3-HC-A-RB1-G04</x:v>
      </x:c>
      <x:c r="D120" s="26" t="str">
        <x:v>C3-HC-A-RB1</x:v>
      </x:c>
      <x:c r="E120" s="26" t="str">
        <x:v>MS-HC</x:v>
      </x:c>
      <x:c r="F120" s="26" t="str">
        <x:v>A</x:v>
      </x:c>
      <x:c r="G120" s="26" t="str">
        <x:v>G04</x:v>
      </x:c>
      <x:c r="H120" s="26" t="str">
        <x:v>Numeric service thresholds</x:v>
      </x:c>
      <x:c r="I120" s="26" t="str">
        <x:v>Public-effect authorities</x:v>
      </x:c>
      <x:c r="J120" s="38" t="str">
        <x:v>OPEN</x:v>
      </x:c>
      <x:c r="K120" s="38" t="str">
        <x:v>UNASSIGNED</x:v>
      </x:c>
      <x:c r="L120" s="26" t="n">
        <x:v>0</x:v>
      </x:c>
    </x:row>
    <x:row r="121" ht="27" customHeight="1">
      <x:c r="C121" s="26" t="str">
        <x:v>C3-HC-A-RB1-G05</x:v>
      </x:c>
      <x:c r="D121" s="26" t="str">
        <x:v>C3-HC-A-RB1</x:v>
      </x:c>
      <x:c r="E121" s="26" t="str">
        <x:v>MS-HC</x:v>
      </x:c>
      <x:c r="F121" s="26" t="str">
        <x:v>A</x:v>
      </x:c>
      <x:c r="G121" s="26" t="str">
        <x:v>G05</x:v>
      </x:c>
      <x:c r="H121" s="26" t="str">
        <x:v>Mass, energy, flow and residual closure</x:v>
      </x:c>
      <x:c r="I121" s="26" t="str">
        <x:v>Independent engineering board</x:v>
      </x:c>
      <x:c r="J121" s="38" t="str">
        <x:v>OPEN</x:v>
      </x:c>
      <x:c r="K121" s="38" t="str">
        <x:v>UNASSIGNED</x:v>
      </x:c>
      <x:c r="L121" s="26" t="n">
        <x:v>0</x:v>
      </x:c>
    </x:row>
    <x:row r="122" ht="27" customHeight="1">
      <x:c r="C122" s="26" t="str">
        <x:v>C3-HC-A-RB1-G06</x:v>
      </x:c>
      <x:c r="D122" s="26" t="str">
        <x:v>C3-HC-A-RB1</x:v>
      </x:c>
      <x:c r="E122" s="26" t="str">
        <x:v>MS-HC</x:v>
      </x:c>
      <x:c r="F122" s="26" t="str">
        <x:v>A</x:v>
      </x:c>
      <x:c r="G122" s="26" t="str">
        <x:v>G06</x:v>
      </x:c>
      <x:c r="H122" s="26" t="str">
        <x:v>Safety, accessibility and rights case</x:v>
      </x:c>
      <x:c r="I122" s="26" t="str">
        <x:v>Safety and civil-rights authorities</x:v>
      </x:c>
      <x:c r="J122" s="38" t="str">
        <x:v>OPEN</x:v>
      </x:c>
      <x:c r="K122" s="38" t="str">
        <x:v>UNASSIGNED</x:v>
      </x:c>
      <x:c r="L122" s="26" t="n">
        <x:v>0</x:v>
      </x:c>
    </x:row>
    <x:row r="123" ht="27" customHeight="1">
      <x:c r="C123" s="26" t="str">
        <x:v>C3-HC-A-RB1-G07</x:v>
      </x:c>
      <x:c r="D123" s="26" t="str">
        <x:v>C3-HC-A-RB1</x:v>
      </x:c>
      <x:c r="E123" s="26" t="str">
        <x:v>MS-HC</x:v>
      </x:c>
      <x:c r="F123" s="26" t="str">
        <x:v>A</x:v>
      </x:c>
      <x:c r="G123" s="26" t="str">
        <x:v>G07</x:v>
      </x:c>
      <x:c r="H123" s="26" t="str">
        <x:v>Public physical and record interfaces</x:v>
      </x:c>
      <x:c r="I123" s="26" t="str">
        <x:v>Technical integration authority</x:v>
      </x:c>
      <x:c r="J123" s="38" t="str">
        <x:v>OPEN</x:v>
      </x:c>
      <x:c r="K123" s="38" t="str">
        <x:v>UNASSIGNED</x:v>
      </x:c>
      <x:c r="L123" s="26" t="n">
        <x:v>0</x:v>
      </x:c>
    </x:row>
    <x:row r="124" ht="27" customHeight="1">
      <x:c r="C124" s="26" t="str">
        <x:v>C3-HC-A-RB1-G08</x:v>
      </x:c>
      <x:c r="D124" s="26" t="str">
        <x:v>C3-HC-A-RB1</x:v>
      </x:c>
      <x:c r="E124" s="26" t="str">
        <x:v>MS-HC</x:v>
      </x:c>
      <x:c r="F124" s="26" t="str">
        <x:v>A</x:v>
      </x:c>
      <x:c r="G124" s="26" t="str">
        <x:v>G08</x:v>
      </x:c>
      <x:c r="H124" s="26" t="str">
        <x:v>Decisive ancestry declaration</x:v>
      </x:c>
      <x:c r="I124" s="26" t="str">
        <x:v>Manufacturing authority</x:v>
      </x:c>
      <x:c r="J124" s="38" t="str">
        <x:v>OPEN</x:v>
      </x:c>
      <x:c r="K124" s="38" t="str">
        <x:v>UNASSIGNED</x:v>
      </x:c>
      <x:c r="L124" s="26" t="n">
        <x:v>0</x:v>
      </x:c>
    </x:row>
    <x:row r="125" ht="27" customHeight="1">
      <x:c r="C125" s="26" t="str">
        <x:v>C3-HC-A-RB1-G09</x:v>
      </x:c>
      <x:c r="D125" s="26" t="str">
        <x:v>C3-HC-A-RB1</x:v>
      </x:c>
      <x:c r="E125" s="26" t="str">
        <x:v>MS-HC</x:v>
      </x:c>
      <x:c r="F125" s="26" t="str">
        <x:v>A</x:v>
      </x:c>
      <x:c r="G125" s="26" t="str">
        <x:v>G09</x:v>
      </x:c>
      <x:c r="H125" s="26" t="str">
        <x:v>Executable build records and travelers</x:v>
      </x:c>
      <x:c r="I125" s="26" t="str">
        <x:v>Configuration authority</x:v>
      </x:c>
      <x:c r="J125" s="38" t="str">
        <x:v>OPEN</x:v>
      </x:c>
      <x:c r="K125" s="38" t="str">
        <x:v>UNASSIGNED</x:v>
      </x:c>
      <x:c r="L125" s="26" t="n">
        <x:v>0</x:v>
      </x:c>
    </x:row>
    <x:row r="126" ht="27" customHeight="1">
      <x:c r="C126" s="26" t="str">
        <x:v>C3-HC-A-RB1-G10</x:v>
      </x:c>
      <x:c r="D126" s="26" t="str">
        <x:v>C3-HC-A-RB1</x:v>
      </x:c>
      <x:c r="E126" s="26" t="str">
        <x:v>MS-HC</x:v>
      </x:c>
      <x:c r="F126" s="26" t="str">
        <x:v>A</x:v>
      </x:c>
      <x:c r="G126" s="26" t="str">
        <x:v>G10</x:v>
      </x:c>
      <x:c r="H126" s="26" t="str">
        <x:v>Representative subsystem evidence</x:v>
      </x:c>
      <x:c r="I126" s="26" t="str">
        <x:v>Sovereign evidence authority</x:v>
      </x:c>
      <x:c r="J126" s="38" t="str">
        <x:v>OPEN</x:v>
      </x:c>
      <x:c r="K126" s="38" t="str">
        <x:v>UNASSIGNED</x:v>
      </x:c>
      <x:c r="L126" s="26" t="n">
        <x:v>0</x:v>
      </x:c>
    </x:row>
    <x:row r="127" ht="27" customHeight="1">
      <x:c r="C127" s="26" t="str">
        <x:v>C3-HC-A-RB1-G11</x:v>
      </x:c>
      <x:c r="D127" s="26" t="str">
        <x:v>C3-HC-A-RB1</x:v>
      </x:c>
      <x:c r="E127" s="26" t="str">
        <x:v>MS-HC</x:v>
      </x:c>
      <x:c r="F127" s="26" t="str">
        <x:v>A</x:v>
      </x:c>
      <x:c r="G127" s="26" t="str">
        <x:v>G11</x:v>
      </x:c>
      <x:c r="H127" s="26" t="str">
        <x:v>Disconnected and manual operation</x:v>
      </x:c>
      <x:c r="I127" s="26" t="str">
        <x:v>Operating service authorities</x:v>
      </x:c>
      <x:c r="J127" s="38" t="str">
        <x:v>OPEN</x:v>
      </x:c>
      <x:c r="K127" s="38" t="str">
        <x:v>UNASSIGNED</x:v>
      </x:c>
      <x:c r="L127" s="26" t="n">
        <x:v>0</x:v>
      </x:c>
    </x:row>
    <x:row r="128" ht="27" customHeight="1">
      <x:c r="C128" s="26" t="str">
        <x:v>C3-HC-A-RB1-G12</x:v>
      </x:c>
      <x:c r="D128" s="26" t="str">
        <x:v>C3-HC-A-RB1</x:v>
      </x:c>
      <x:c r="E128" s="26" t="str">
        <x:v>MS-HC</x:v>
      </x:c>
      <x:c r="F128" s="26" t="str">
        <x:v>A</x:v>
      </x:c>
      <x:c r="G128" s="26" t="str">
        <x:v>G12</x:v>
      </x:c>
      <x:c r="H128" s="26" t="str">
        <x:v>Root-native evidence and outside replay</x:v>
      </x:c>
      <x:c r="I128" s="26" t="str">
        <x:v>Sovereign evidence authority</x:v>
      </x:c>
      <x:c r="J128" s="38" t="str">
        <x:v>OPEN</x:v>
      </x:c>
      <x:c r="K128" s="38" t="str">
        <x:v>UNASSIGNED</x:v>
      </x:c>
      <x:c r="L128" s="26" t="n">
        <x:v>0</x:v>
      </x:c>
    </x:row>
    <x:row r="129" ht="27" customHeight="1">
      <x:c r="C129" s="26" t="str">
        <x:v>C3-HC-A-RB1-G13</x:v>
      </x:c>
      <x:c r="D129" s="26" t="str">
        <x:v>C3-HC-A-RB1</x:v>
      </x:c>
      <x:c r="E129" s="26" t="str">
        <x:v>MS-HC</x:v>
      </x:c>
      <x:c r="F129" s="26" t="str">
        <x:v>A</x:v>
      </x:c>
      <x:c r="G129" s="26" t="str">
        <x:v>G13</x:v>
      </x:c>
      <x:c r="H129" s="26" t="str">
        <x:v>Repair, reset and second-team reproduction</x:v>
      </x:c>
      <x:c r="I129" s="26" t="str">
        <x:v>Regeneration and manufacturing authorities</x:v>
      </x:c>
      <x:c r="J129" s="38" t="str">
        <x:v>OPEN</x:v>
      </x:c>
      <x:c r="K129" s="38" t="str">
        <x:v>UNASSIGNED</x:v>
      </x:c>
      <x:c r="L129" s="26" t="n">
        <x:v>0</x:v>
      </x:c>
    </x:row>
    <x:row r="130" ht="27" customHeight="1">
      <x:c r="C130" s="26" t="str">
        <x:v>C3-HC-A-RB1-G14</x:v>
      </x:c>
      <x:c r="D130" s="26" t="str">
        <x:v>C3-HC-A-RB1</x:v>
      </x:c>
      <x:c r="E130" s="26" t="str">
        <x:v>MS-HC</x:v>
      </x:c>
      <x:c r="F130" s="26" t="str">
        <x:v>A</x:v>
      </x:c>
      <x:c r="G130" s="26" t="str">
        <x:v>G14</x:v>
      </x:c>
      <x:c r="H130" s="26" t="str">
        <x:v>Independent root release</x:v>
      </x:c>
      <x:c r="I130" s="26" t="str">
        <x:v>Department release board</x:v>
      </x:c>
      <x:c r="J130" s="38" t="str">
        <x:v>OPEN</x:v>
      </x:c>
      <x:c r="K130" s="38" t="str">
        <x:v>UNASSIGNED</x:v>
      </x:c>
      <x:c r="L130" s="26" t="n">
        <x:v>0</x:v>
      </x:c>
    </x:row>
    <x:row r="131" ht="27" customHeight="1">
      <x:c r="C131" s="26" t="str">
        <x:v>C3-HC-B-RB1-G01</x:v>
      </x:c>
      <x:c r="D131" s="26" t="str">
        <x:v>C3-HC-B-RB1</x:v>
      </x:c>
      <x:c r="E131" s="26" t="str">
        <x:v>MS-HC</x:v>
      </x:c>
      <x:c r="F131" s="26" t="str">
        <x:v>B</x:v>
      </x:c>
      <x:c r="G131" s="26" t="str">
        <x:v>G01</x:v>
      </x:c>
      <x:c r="H131" s="26" t="str">
        <x:v>Complete service-route bill</x:v>
      </x:c>
      <x:c r="I131" s="26" t="str">
        <x:v>Mission-system office</x:v>
      </x:c>
      <x:c r="J131" s="38" t="str">
        <x:v>OPEN</x:v>
      </x:c>
      <x:c r="K131" s="38" t="str">
        <x:v>UNASSIGNED</x:v>
      </x:c>
      <x:c r="L131" s="26" t="n">
        <x:v>0</x:v>
      </x:c>
    </x:row>
    <x:row r="132" ht="27" customHeight="1">
      <x:c r="C132" s="26" t="str">
        <x:v>C3-HC-B-RB1-G02</x:v>
      </x:c>
      <x:c r="D132" s="26" t="str">
        <x:v>C3-HC-B-RB1</x:v>
      </x:c>
      <x:c r="E132" s="26" t="str">
        <x:v>MS-HC</x:v>
      </x:c>
      <x:c r="F132" s="26" t="str">
        <x:v>B</x:v>
      </x:c>
      <x:c r="G132" s="26" t="str">
        <x:v>G02</x:v>
      </x:c>
      <x:c r="H132" s="26" t="str">
        <x:v>Seven-stage state machine</x:v>
      </x:c>
      <x:c r="I132" s="26" t="str">
        <x:v>Service technical authorities</x:v>
      </x:c>
      <x:c r="J132" s="38" t="str">
        <x:v>OPEN</x:v>
      </x:c>
      <x:c r="K132" s="38" t="str">
        <x:v>UNASSIGNED</x:v>
      </x:c>
      <x:c r="L132" s="26" t="n">
        <x:v>0</x:v>
      </x:c>
    </x:row>
    <x:row r="133" ht="27" customHeight="1">
      <x:c r="C133" s="26" t="str">
        <x:v>C3-HC-B-RB1-G03</x:v>
      </x:c>
      <x:c r="D133" s="26" t="str">
        <x:v>C3-HC-B-RB1</x:v>
      </x:c>
      <x:c r="E133" s="26" t="str">
        <x:v>MS-HC</x:v>
      </x:c>
      <x:c r="F133" s="26" t="str">
        <x:v>B</x:v>
      </x:c>
      <x:c r="G133" s="26" t="str">
        <x:v>G03</x:v>
      </x:c>
      <x:c r="H133" s="26" t="str">
        <x:v>Four-field root architecture</x:v>
      </x:c>
      <x:c r="I133" s="26" t="str">
        <x:v>Mission-system office</x:v>
      </x:c>
      <x:c r="J133" s="38" t="str">
        <x:v>OPEN</x:v>
      </x:c>
      <x:c r="K133" s="38" t="str">
        <x:v>UNASSIGNED</x:v>
      </x:c>
      <x:c r="L133" s="26" t="n">
        <x:v>0</x:v>
      </x:c>
    </x:row>
    <x:row r="134" ht="27" customHeight="1">
      <x:c r="C134" s="26" t="str">
        <x:v>C3-HC-B-RB1-G04</x:v>
      </x:c>
      <x:c r="D134" s="26" t="str">
        <x:v>C3-HC-B-RB1</x:v>
      </x:c>
      <x:c r="E134" s="26" t="str">
        <x:v>MS-HC</x:v>
      </x:c>
      <x:c r="F134" s="26" t="str">
        <x:v>B</x:v>
      </x:c>
      <x:c r="G134" s="26" t="str">
        <x:v>G04</x:v>
      </x:c>
      <x:c r="H134" s="26" t="str">
        <x:v>Numeric service thresholds</x:v>
      </x:c>
      <x:c r="I134" s="26" t="str">
        <x:v>Public-effect authorities</x:v>
      </x:c>
      <x:c r="J134" s="38" t="str">
        <x:v>OPEN</x:v>
      </x:c>
      <x:c r="K134" s="38" t="str">
        <x:v>UNASSIGNED</x:v>
      </x:c>
      <x:c r="L134" s="26" t="n">
        <x:v>0</x:v>
      </x:c>
    </x:row>
    <x:row r="135" ht="27" customHeight="1">
      <x:c r="C135" s="26" t="str">
        <x:v>C3-HC-B-RB1-G05</x:v>
      </x:c>
      <x:c r="D135" s="26" t="str">
        <x:v>C3-HC-B-RB1</x:v>
      </x:c>
      <x:c r="E135" s="26" t="str">
        <x:v>MS-HC</x:v>
      </x:c>
      <x:c r="F135" s="26" t="str">
        <x:v>B</x:v>
      </x:c>
      <x:c r="G135" s="26" t="str">
        <x:v>G05</x:v>
      </x:c>
      <x:c r="H135" s="26" t="str">
        <x:v>Mass, energy, flow and residual closure</x:v>
      </x:c>
      <x:c r="I135" s="26" t="str">
        <x:v>Independent engineering board</x:v>
      </x:c>
      <x:c r="J135" s="38" t="str">
        <x:v>OPEN</x:v>
      </x:c>
      <x:c r="K135" s="38" t="str">
        <x:v>UNASSIGNED</x:v>
      </x:c>
      <x:c r="L135" s="26" t="n">
        <x:v>0</x:v>
      </x:c>
    </x:row>
    <x:row r="136" ht="27" customHeight="1">
      <x:c r="C136" s="26" t="str">
        <x:v>C3-HC-B-RB1-G06</x:v>
      </x:c>
      <x:c r="D136" s="26" t="str">
        <x:v>C3-HC-B-RB1</x:v>
      </x:c>
      <x:c r="E136" s="26" t="str">
        <x:v>MS-HC</x:v>
      </x:c>
      <x:c r="F136" s="26" t="str">
        <x:v>B</x:v>
      </x:c>
      <x:c r="G136" s="26" t="str">
        <x:v>G06</x:v>
      </x:c>
      <x:c r="H136" s="26" t="str">
        <x:v>Safety, accessibility and rights case</x:v>
      </x:c>
      <x:c r="I136" s="26" t="str">
        <x:v>Safety and civil-rights authorities</x:v>
      </x:c>
      <x:c r="J136" s="38" t="str">
        <x:v>OPEN</x:v>
      </x:c>
      <x:c r="K136" s="38" t="str">
        <x:v>UNASSIGNED</x:v>
      </x:c>
      <x:c r="L136" s="26" t="n">
        <x:v>0</x:v>
      </x:c>
    </x:row>
    <x:row r="137" ht="27" customHeight="1">
      <x:c r="C137" s="26" t="str">
        <x:v>C3-HC-B-RB1-G07</x:v>
      </x:c>
      <x:c r="D137" s="26" t="str">
        <x:v>C3-HC-B-RB1</x:v>
      </x:c>
      <x:c r="E137" s="26" t="str">
        <x:v>MS-HC</x:v>
      </x:c>
      <x:c r="F137" s="26" t="str">
        <x:v>B</x:v>
      </x:c>
      <x:c r="G137" s="26" t="str">
        <x:v>G07</x:v>
      </x:c>
      <x:c r="H137" s="26" t="str">
        <x:v>Public physical and record interfaces</x:v>
      </x:c>
      <x:c r="I137" s="26" t="str">
        <x:v>Technical integration authority</x:v>
      </x:c>
      <x:c r="J137" s="38" t="str">
        <x:v>OPEN</x:v>
      </x:c>
      <x:c r="K137" s="38" t="str">
        <x:v>UNASSIGNED</x:v>
      </x:c>
      <x:c r="L137" s="26" t="n">
        <x:v>0</x:v>
      </x:c>
    </x:row>
    <x:row r="138" ht="27" customHeight="1">
      <x:c r="C138" s="26" t="str">
        <x:v>C3-HC-B-RB1-G08</x:v>
      </x:c>
      <x:c r="D138" s="26" t="str">
        <x:v>C3-HC-B-RB1</x:v>
      </x:c>
      <x:c r="E138" s="26" t="str">
        <x:v>MS-HC</x:v>
      </x:c>
      <x:c r="F138" s="26" t="str">
        <x:v>B</x:v>
      </x:c>
      <x:c r="G138" s="26" t="str">
        <x:v>G08</x:v>
      </x:c>
      <x:c r="H138" s="26" t="str">
        <x:v>Decisive ancestry declaration</x:v>
      </x:c>
      <x:c r="I138" s="26" t="str">
        <x:v>Manufacturing authority</x:v>
      </x:c>
      <x:c r="J138" s="38" t="str">
        <x:v>OPEN</x:v>
      </x:c>
      <x:c r="K138" s="38" t="str">
        <x:v>UNASSIGNED</x:v>
      </x:c>
      <x:c r="L138" s="26" t="n">
        <x:v>0</x:v>
      </x:c>
    </x:row>
    <x:row r="139" ht="27" customHeight="1">
      <x:c r="C139" s="26" t="str">
        <x:v>C3-HC-B-RB1-G09</x:v>
      </x:c>
      <x:c r="D139" s="26" t="str">
        <x:v>C3-HC-B-RB1</x:v>
      </x:c>
      <x:c r="E139" s="26" t="str">
        <x:v>MS-HC</x:v>
      </x:c>
      <x:c r="F139" s="26" t="str">
        <x:v>B</x:v>
      </x:c>
      <x:c r="G139" s="26" t="str">
        <x:v>G09</x:v>
      </x:c>
      <x:c r="H139" s="26" t="str">
        <x:v>Executable build records and travelers</x:v>
      </x:c>
      <x:c r="I139" s="26" t="str">
        <x:v>Configuration authority</x:v>
      </x:c>
      <x:c r="J139" s="38" t="str">
        <x:v>OPEN</x:v>
      </x:c>
      <x:c r="K139" s="38" t="str">
        <x:v>UNASSIGNED</x:v>
      </x:c>
      <x:c r="L139" s="26" t="n">
        <x:v>0</x:v>
      </x:c>
    </x:row>
    <x:row r="140" ht="27" customHeight="1">
      <x:c r="C140" s="26" t="str">
        <x:v>C3-HC-B-RB1-G10</x:v>
      </x:c>
      <x:c r="D140" s="26" t="str">
        <x:v>C3-HC-B-RB1</x:v>
      </x:c>
      <x:c r="E140" s="26" t="str">
        <x:v>MS-HC</x:v>
      </x:c>
      <x:c r="F140" s="26" t="str">
        <x:v>B</x:v>
      </x:c>
      <x:c r="G140" s="26" t="str">
        <x:v>G10</x:v>
      </x:c>
      <x:c r="H140" s="26" t="str">
        <x:v>Representative subsystem evidence</x:v>
      </x:c>
      <x:c r="I140" s="26" t="str">
        <x:v>Sovereign evidence authority</x:v>
      </x:c>
      <x:c r="J140" s="38" t="str">
        <x:v>OPEN</x:v>
      </x:c>
      <x:c r="K140" s="38" t="str">
        <x:v>UNASSIGNED</x:v>
      </x:c>
      <x:c r="L140" s="26" t="n">
        <x:v>0</x:v>
      </x:c>
    </x:row>
    <x:row r="141" ht="27" customHeight="1">
      <x:c r="C141" s="26" t="str">
        <x:v>C3-HC-B-RB1-G11</x:v>
      </x:c>
      <x:c r="D141" s="26" t="str">
        <x:v>C3-HC-B-RB1</x:v>
      </x:c>
      <x:c r="E141" s="26" t="str">
        <x:v>MS-HC</x:v>
      </x:c>
      <x:c r="F141" s="26" t="str">
        <x:v>B</x:v>
      </x:c>
      <x:c r="G141" s="26" t="str">
        <x:v>G11</x:v>
      </x:c>
      <x:c r="H141" s="26" t="str">
        <x:v>Disconnected and manual operation</x:v>
      </x:c>
      <x:c r="I141" s="26" t="str">
        <x:v>Operating service authorities</x:v>
      </x:c>
      <x:c r="J141" s="38" t="str">
        <x:v>OPEN</x:v>
      </x:c>
      <x:c r="K141" s="38" t="str">
        <x:v>UNASSIGNED</x:v>
      </x:c>
      <x:c r="L141" s="26" t="n">
        <x:v>0</x:v>
      </x:c>
    </x:row>
    <x:row r="142" ht="27" customHeight="1">
      <x:c r="C142" s="26" t="str">
        <x:v>C3-HC-B-RB1-G12</x:v>
      </x:c>
      <x:c r="D142" s="26" t="str">
        <x:v>C3-HC-B-RB1</x:v>
      </x:c>
      <x:c r="E142" s="26" t="str">
        <x:v>MS-HC</x:v>
      </x:c>
      <x:c r="F142" s="26" t="str">
        <x:v>B</x:v>
      </x:c>
      <x:c r="G142" s="26" t="str">
        <x:v>G12</x:v>
      </x:c>
      <x:c r="H142" s="26" t="str">
        <x:v>Root-native evidence and outside replay</x:v>
      </x:c>
      <x:c r="I142" s="26" t="str">
        <x:v>Sovereign evidence authority</x:v>
      </x:c>
      <x:c r="J142" s="38" t="str">
        <x:v>OPEN</x:v>
      </x:c>
      <x:c r="K142" s="38" t="str">
        <x:v>UNASSIGNED</x:v>
      </x:c>
      <x:c r="L142" s="26" t="n">
        <x:v>0</x:v>
      </x:c>
    </x:row>
    <x:row r="143" ht="27" customHeight="1">
      <x:c r="C143" s="26" t="str">
        <x:v>C3-HC-B-RB1-G13</x:v>
      </x:c>
      <x:c r="D143" s="26" t="str">
        <x:v>C3-HC-B-RB1</x:v>
      </x:c>
      <x:c r="E143" s="26" t="str">
        <x:v>MS-HC</x:v>
      </x:c>
      <x:c r="F143" s="26" t="str">
        <x:v>B</x:v>
      </x:c>
      <x:c r="G143" s="26" t="str">
        <x:v>G13</x:v>
      </x:c>
      <x:c r="H143" s="26" t="str">
        <x:v>Repair, reset and second-team reproduction</x:v>
      </x:c>
      <x:c r="I143" s="26" t="str">
        <x:v>Regeneration and manufacturing authorities</x:v>
      </x:c>
      <x:c r="J143" s="38" t="str">
        <x:v>OPEN</x:v>
      </x:c>
      <x:c r="K143" s="38" t="str">
        <x:v>UNASSIGNED</x:v>
      </x:c>
      <x:c r="L143" s="26" t="n">
        <x:v>0</x:v>
      </x:c>
    </x:row>
    <x:row r="144" ht="27" customHeight="1">
      <x:c r="C144" s="26" t="str">
        <x:v>C3-HC-B-RB1-G14</x:v>
      </x:c>
      <x:c r="D144" s="26" t="str">
        <x:v>C3-HC-B-RB1</x:v>
      </x:c>
      <x:c r="E144" s="26" t="str">
        <x:v>MS-HC</x:v>
      </x:c>
      <x:c r="F144" s="26" t="str">
        <x:v>B</x:v>
      </x:c>
      <x:c r="G144" s="26" t="str">
        <x:v>G14</x:v>
      </x:c>
      <x:c r="H144" s="26" t="str">
        <x:v>Independent root release</x:v>
      </x:c>
      <x:c r="I144" s="26" t="str">
        <x:v>Department release board</x:v>
      </x:c>
      <x:c r="J144" s="38" t="str">
        <x:v>OPEN</x:v>
      </x:c>
      <x:c r="K144" s="38" t="str">
        <x:v>UNASSIGNED</x:v>
      </x:c>
      <x:c r="L144" s="26" t="n">
        <x:v>0</x:v>
      </x:c>
    </x:row>
    <x:row r="145" ht="27" customHeight="1">
      <x:c r="C145" s="26" t="str">
        <x:v>C3-HC-C-RB1-G01</x:v>
      </x:c>
      <x:c r="D145" s="26" t="str">
        <x:v>C3-HC-C-RB1</x:v>
      </x:c>
      <x:c r="E145" s="26" t="str">
        <x:v>MS-HC</x:v>
      </x:c>
      <x:c r="F145" s="26" t="str">
        <x:v>C</x:v>
      </x:c>
      <x:c r="G145" s="26" t="str">
        <x:v>G01</x:v>
      </x:c>
      <x:c r="H145" s="26" t="str">
        <x:v>Complete service-route bill</x:v>
      </x:c>
      <x:c r="I145" s="26" t="str">
        <x:v>Mission-system office</x:v>
      </x:c>
      <x:c r="J145" s="38" t="str">
        <x:v>OPEN</x:v>
      </x:c>
      <x:c r="K145" s="38" t="str">
        <x:v>UNASSIGNED</x:v>
      </x:c>
      <x:c r="L145" s="26" t="n">
        <x:v>0</x:v>
      </x:c>
    </x:row>
    <x:row r="146" ht="27" customHeight="1">
      <x:c r="C146" s="26" t="str">
        <x:v>C3-HC-C-RB1-G02</x:v>
      </x:c>
      <x:c r="D146" s="26" t="str">
        <x:v>C3-HC-C-RB1</x:v>
      </x:c>
      <x:c r="E146" s="26" t="str">
        <x:v>MS-HC</x:v>
      </x:c>
      <x:c r="F146" s="26" t="str">
        <x:v>C</x:v>
      </x:c>
      <x:c r="G146" s="26" t="str">
        <x:v>G02</x:v>
      </x:c>
      <x:c r="H146" s="26" t="str">
        <x:v>Seven-stage state machine</x:v>
      </x:c>
      <x:c r="I146" s="26" t="str">
        <x:v>Service technical authorities</x:v>
      </x:c>
      <x:c r="J146" s="38" t="str">
        <x:v>OPEN</x:v>
      </x:c>
      <x:c r="K146" s="38" t="str">
        <x:v>UNASSIGNED</x:v>
      </x:c>
      <x:c r="L146" s="26" t="n">
        <x:v>0</x:v>
      </x:c>
    </x:row>
    <x:row r="147" ht="27" customHeight="1">
      <x:c r="C147" s="26" t="str">
        <x:v>C3-HC-C-RB1-G03</x:v>
      </x:c>
      <x:c r="D147" s="26" t="str">
        <x:v>C3-HC-C-RB1</x:v>
      </x:c>
      <x:c r="E147" s="26" t="str">
        <x:v>MS-HC</x:v>
      </x:c>
      <x:c r="F147" s="26" t="str">
        <x:v>C</x:v>
      </x:c>
      <x:c r="G147" s="26" t="str">
        <x:v>G03</x:v>
      </x:c>
      <x:c r="H147" s="26" t="str">
        <x:v>Four-field root architecture</x:v>
      </x:c>
      <x:c r="I147" s="26" t="str">
        <x:v>Mission-system office</x:v>
      </x:c>
      <x:c r="J147" s="38" t="str">
        <x:v>OPEN</x:v>
      </x:c>
      <x:c r="K147" s="38" t="str">
        <x:v>UNASSIGNED</x:v>
      </x:c>
      <x:c r="L147" s="26" t="n">
        <x:v>0</x:v>
      </x:c>
    </x:row>
    <x:row r="148" ht="27" customHeight="1">
      <x:c r="C148" s="26" t="str">
        <x:v>C3-HC-C-RB1-G04</x:v>
      </x:c>
      <x:c r="D148" s="26" t="str">
        <x:v>C3-HC-C-RB1</x:v>
      </x:c>
      <x:c r="E148" s="26" t="str">
        <x:v>MS-HC</x:v>
      </x:c>
      <x:c r="F148" s="26" t="str">
        <x:v>C</x:v>
      </x:c>
      <x:c r="G148" s="26" t="str">
        <x:v>G04</x:v>
      </x:c>
      <x:c r="H148" s="26" t="str">
        <x:v>Numeric service thresholds</x:v>
      </x:c>
      <x:c r="I148" s="26" t="str">
        <x:v>Public-effect authorities</x:v>
      </x:c>
      <x:c r="J148" s="38" t="str">
        <x:v>OPEN</x:v>
      </x:c>
      <x:c r="K148" s="38" t="str">
        <x:v>UNASSIGNED</x:v>
      </x:c>
      <x:c r="L148" s="26" t="n">
        <x:v>0</x:v>
      </x:c>
    </x:row>
    <x:row r="149" ht="27" customHeight="1">
      <x:c r="C149" s="26" t="str">
        <x:v>C3-HC-C-RB1-G05</x:v>
      </x:c>
      <x:c r="D149" s="26" t="str">
        <x:v>C3-HC-C-RB1</x:v>
      </x:c>
      <x:c r="E149" s="26" t="str">
        <x:v>MS-HC</x:v>
      </x:c>
      <x:c r="F149" s="26" t="str">
        <x:v>C</x:v>
      </x:c>
      <x:c r="G149" s="26" t="str">
        <x:v>G05</x:v>
      </x:c>
      <x:c r="H149" s="26" t="str">
        <x:v>Mass, energy, flow and residual closure</x:v>
      </x:c>
      <x:c r="I149" s="26" t="str">
        <x:v>Independent engineering board</x:v>
      </x:c>
      <x:c r="J149" s="38" t="str">
        <x:v>OPEN</x:v>
      </x:c>
      <x:c r="K149" s="38" t="str">
        <x:v>UNASSIGNED</x:v>
      </x:c>
      <x:c r="L149" s="26" t="n">
        <x:v>0</x:v>
      </x:c>
    </x:row>
    <x:row r="150" ht="27" customHeight="1">
      <x:c r="C150" s="26" t="str">
        <x:v>C3-HC-C-RB1-G06</x:v>
      </x:c>
      <x:c r="D150" s="26" t="str">
        <x:v>C3-HC-C-RB1</x:v>
      </x:c>
      <x:c r="E150" s="26" t="str">
        <x:v>MS-HC</x:v>
      </x:c>
      <x:c r="F150" s="26" t="str">
        <x:v>C</x:v>
      </x:c>
      <x:c r="G150" s="26" t="str">
        <x:v>G06</x:v>
      </x:c>
      <x:c r="H150" s="26" t="str">
        <x:v>Safety, accessibility and rights case</x:v>
      </x:c>
      <x:c r="I150" s="26" t="str">
        <x:v>Safety and civil-rights authorities</x:v>
      </x:c>
      <x:c r="J150" s="38" t="str">
        <x:v>OPEN</x:v>
      </x:c>
      <x:c r="K150" s="38" t="str">
        <x:v>UNASSIGNED</x:v>
      </x:c>
      <x:c r="L150" s="26" t="n">
        <x:v>0</x:v>
      </x:c>
    </x:row>
    <x:row r="151" ht="27" customHeight="1">
      <x:c r="C151" s="26" t="str">
        <x:v>C3-HC-C-RB1-G07</x:v>
      </x:c>
      <x:c r="D151" s="26" t="str">
        <x:v>C3-HC-C-RB1</x:v>
      </x:c>
      <x:c r="E151" s="26" t="str">
        <x:v>MS-HC</x:v>
      </x:c>
      <x:c r="F151" s="26" t="str">
        <x:v>C</x:v>
      </x:c>
      <x:c r="G151" s="26" t="str">
        <x:v>G07</x:v>
      </x:c>
      <x:c r="H151" s="26" t="str">
        <x:v>Public physical and record interfaces</x:v>
      </x:c>
      <x:c r="I151" s="26" t="str">
        <x:v>Technical integration authority</x:v>
      </x:c>
      <x:c r="J151" s="38" t="str">
        <x:v>OPEN</x:v>
      </x:c>
      <x:c r="K151" s="38" t="str">
        <x:v>UNASSIGNED</x:v>
      </x:c>
      <x:c r="L151" s="26" t="n">
        <x:v>0</x:v>
      </x:c>
    </x:row>
    <x:row r="152" ht="27" customHeight="1">
      <x:c r="C152" s="26" t="str">
        <x:v>C3-HC-C-RB1-G08</x:v>
      </x:c>
      <x:c r="D152" s="26" t="str">
        <x:v>C3-HC-C-RB1</x:v>
      </x:c>
      <x:c r="E152" s="26" t="str">
        <x:v>MS-HC</x:v>
      </x:c>
      <x:c r="F152" s="26" t="str">
        <x:v>C</x:v>
      </x:c>
      <x:c r="G152" s="26" t="str">
        <x:v>G08</x:v>
      </x:c>
      <x:c r="H152" s="26" t="str">
        <x:v>Decisive ancestry declaration</x:v>
      </x:c>
      <x:c r="I152" s="26" t="str">
        <x:v>Manufacturing authority</x:v>
      </x:c>
      <x:c r="J152" s="38" t="str">
        <x:v>OPEN</x:v>
      </x:c>
      <x:c r="K152" s="38" t="str">
        <x:v>UNASSIGNED</x:v>
      </x:c>
      <x:c r="L152" s="26" t="n">
        <x:v>0</x:v>
      </x:c>
    </x:row>
    <x:row r="153" ht="27" customHeight="1">
      <x:c r="C153" s="26" t="str">
        <x:v>C3-HC-C-RB1-G09</x:v>
      </x:c>
      <x:c r="D153" s="26" t="str">
        <x:v>C3-HC-C-RB1</x:v>
      </x:c>
      <x:c r="E153" s="26" t="str">
        <x:v>MS-HC</x:v>
      </x:c>
      <x:c r="F153" s="26" t="str">
        <x:v>C</x:v>
      </x:c>
      <x:c r="G153" s="26" t="str">
        <x:v>G09</x:v>
      </x:c>
      <x:c r="H153" s="26" t="str">
        <x:v>Executable build records and travelers</x:v>
      </x:c>
      <x:c r="I153" s="26" t="str">
        <x:v>Configuration authority</x:v>
      </x:c>
      <x:c r="J153" s="38" t="str">
        <x:v>OPEN</x:v>
      </x:c>
      <x:c r="K153" s="38" t="str">
        <x:v>UNASSIGNED</x:v>
      </x:c>
      <x:c r="L153" s="26" t="n">
        <x:v>0</x:v>
      </x:c>
    </x:row>
    <x:row r="154" ht="27" customHeight="1">
      <x:c r="C154" s="26" t="str">
        <x:v>C3-HC-C-RB1-G10</x:v>
      </x:c>
      <x:c r="D154" s="26" t="str">
        <x:v>C3-HC-C-RB1</x:v>
      </x:c>
      <x:c r="E154" s="26" t="str">
        <x:v>MS-HC</x:v>
      </x:c>
      <x:c r="F154" s="26" t="str">
        <x:v>C</x:v>
      </x:c>
      <x:c r="G154" s="26" t="str">
        <x:v>G10</x:v>
      </x:c>
      <x:c r="H154" s="26" t="str">
        <x:v>Representative subsystem evidence</x:v>
      </x:c>
      <x:c r="I154" s="26" t="str">
        <x:v>Sovereign evidence authority</x:v>
      </x:c>
      <x:c r="J154" s="38" t="str">
        <x:v>OPEN</x:v>
      </x:c>
      <x:c r="K154" s="38" t="str">
        <x:v>UNASSIGNED</x:v>
      </x:c>
      <x:c r="L154" s="26" t="n">
        <x:v>0</x:v>
      </x:c>
    </x:row>
    <x:row r="155" ht="27" customHeight="1">
      <x:c r="C155" s="26" t="str">
        <x:v>C3-HC-C-RB1-G11</x:v>
      </x:c>
      <x:c r="D155" s="26" t="str">
        <x:v>C3-HC-C-RB1</x:v>
      </x:c>
      <x:c r="E155" s="26" t="str">
        <x:v>MS-HC</x:v>
      </x:c>
      <x:c r="F155" s="26" t="str">
        <x:v>C</x:v>
      </x:c>
      <x:c r="G155" s="26" t="str">
        <x:v>G11</x:v>
      </x:c>
      <x:c r="H155" s="26" t="str">
        <x:v>Disconnected and manual operation</x:v>
      </x:c>
      <x:c r="I155" s="26" t="str">
        <x:v>Operating service authorities</x:v>
      </x:c>
      <x:c r="J155" s="38" t="str">
        <x:v>OPEN</x:v>
      </x:c>
      <x:c r="K155" s="38" t="str">
        <x:v>UNASSIGNED</x:v>
      </x:c>
      <x:c r="L155" s="26" t="n">
        <x:v>0</x:v>
      </x:c>
    </x:row>
    <x:row r="156" ht="27" customHeight="1">
      <x:c r="C156" s="26" t="str">
        <x:v>C3-HC-C-RB1-G12</x:v>
      </x:c>
      <x:c r="D156" s="26" t="str">
        <x:v>C3-HC-C-RB1</x:v>
      </x:c>
      <x:c r="E156" s="26" t="str">
        <x:v>MS-HC</x:v>
      </x:c>
      <x:c r="F156" s="26" t="str">
        <x:v>C</x:v>
      </x:c>
      <x:c r="G156" s="26" t="str">
        <x:v>G12</x:v>
      </x:c>
      <x:c r="H156" s="26" t="str">
        <x:v>Root-native evidence and outside replay</x:v>
      </x:c>
      <x:c r="I156" s="26" t="str">
        <x:v>Sovereign evidence authority</x:v>
      </x:c>
      <x:c r="J156" s="38" t="str">
        <x:v>OPEN</x:v>
      </x:c>
      <x:c r="K156" s="38" t="str">
        <x:v>UNASSIGNED</x:v>
      </x:c>
      <x:c r="L156" s="26" t="n">
        <x:v>0</x:v>
      </x:c>
    </x:row>
    <x:row r="157" ht="27" customHeight="1">
      <x:c r="C157" s="26" t="str">
        <x:v>C3-HC-C-RB1-G13</x:v>
      </x:c>
      <x:c r="D157" s="26" t="str">
        <x:v>C3-HC-C-RB1</x:v>
      </x:c>
      <x:c r="E157" s="26" t="str">
        <x:v>MS-HC</x:v>
      </x:c>
      <x:c r="F157" s="26" t="str">
        <x:v>C</x:v>
      </x:c>
      <x:c r="G157" s="26" t="str">
        <x:v>G13</x:v>
      </x:c>
      <x:c r="H157" s="26" t="str">
        <x:v>Repair, reset and second-team reproduction</x:v>
      </x:c>
      <x:c r="I157" s="26" t="str">
        <x:v>Regeneration and manufacturing authorities</x:v>
      </x:c>
      <x:c r="J157" s="38" t="str">
        <x:v>OPEN</x:v>
      </x:c>
      <x:c r="K157" s="38" t="str">
        <x:v>UNASSIGNED</x:v>
      </x:c>
      <x:c r="L157" s="26" t="n">
        <x:v>0</x:v>
      </x:c>
    </x:row>
    <x:row r="158" ht="27" customHeight="1">
      <x:c r="C158" s="26" t="str">
        <x:v>C3-HC-C-RB1-G14</x:v>
      </x:c>
      <x:c r="D158" s="26" t="str">
        <x:v>C3-HC-C-RB1</x:v>
      </x:c>
      <x:c r="E158" s="26" t="str">
        <x:v>MS-HC</x:v>
      </x:c>
      <x:c r="F158" s="26" t="str">
        <x:v>C</x:v>
      </x:c>
      <x:c r="G158" s="26" t="str">
        <x:v>G14</x:v>
      </x:c>
      <x:c r="H158" s="26" t="str">
        <x:v>Independent root release</x:v>
      </x:c>
      <x:c r="I158" s="26" t="str">
        <x:v>Department release board</x:v>
      </x:c>
      <x:c r="J158" s="38" t="str">
        <x:v>OPEN</x:v>
      </x:c>
      <x:c r="K158" s="38" t="str">
        <x:v>UNASSIGNED</x:v>
      </x:c>
      <x:c r="L158" s="26" t="n">
        <x:v>0</x:v>
      </x:c>
    </x:row>
    <x:row r="159" ht="27" customHeight="1">
      <x:c r="C159" s="26" t="str">
        <x:v>C3-HC-D-RB1-G01</x:v>
      </x:c>
      <x:c r="D159" s="26" t="str">
        <x:v>C3-HC-D-RB1</x:v>
      </x:c>
      <x:c r="E159" s="26" t="str">
        <x:v>MS-HC</x:v>
      </x:c>
      <x:c r="F159" s="26" t="str">
        <x:v>D</x:v>
      </x:c>
      <x:c r="G159" s="26" t="str">
        <x:v>G01</x:v>
      </x:c>
      <x:c r="H159" s="26" t="str">
        <x:v>Complete service-route bill</x:v>
      </x:c>
      <x:c r="I159" s="26" t="str">
        <x:v>Mission-system office</x:v>
      </x:c>
      <x:c r="J159" s="38" t="str">
        <x:v>OPEN</x:v>
      </x:c>
      <x:c r="K159" s="38" t="str">
        <x:v>UNASSIGNED</x:v>
      </x:c>
      <x:c r="L159" s="26" t="n">
        <x:v>0</x:v>
      </x:c>
    </x:row>
    <x:row r="160" ht="27" customHeight="1">
      <x:c r="C160" s="26" t="str">
        <x:v>C3-HC-D-RB1-G02</x:v>
      </x:c>
      <x:c r="D160" s="26" t="str">
        <x:v>C3-HC-D-RB1</x:v>
      </x:c>
      <x:c r="E160" s="26" t="str">
        <x:v>MS-HC</x:v>
      </x:c>
      <x:c r="F160" s="26" t="str">
        <x:v>D</x:v>
      </x:c>
      <x:c r="G160" s="26" t="str">
        <x:v>G02</x:v>
      </x:c>
      <x:c r="H160" s="26" t="str">
        <x:v>Seven-stage state machine</x:v>
      </x:c>
      <x:c r="I160" s="26" t="str">
        <x:v>Service technical authorities</x:v>
      </x:c>
      <x:c r="J160" s="38" t="str">
        <x:v>OPEN</x:v>
      </x:c>
      <x:c r="K160" s="38" t="str">
        <x:v>UNASSIGNED</x:v>
      </x:c>
      <x:c r="L160" s="26" t="n">
        <x:v>0</x:v>
      </x:c>
    </x:row>
    <x:row r="161" ht="27" customHeight="1">
      <x:c r="C161" s="26" t="str">
        <x:v>C3-HC-D-RB1-G03</x:v>
      </x:c>
      <x:c r="D161" s="26" t="str">
        <x:v>C3-HC-D-RB1</x:v>
      </x:c>
      <x:c r="E161" s="26" t="str">
        <x:v>MS-HC</x:v>
      </x:c>
      <x:c r="F161" s="26" t="str">
        <x:v>D</x:v>
      </x:c>
      <x:c r="G161" s="26" t="str">
        <x:v>G03</x:v>
      </x:c>
      <x:c r="H161" s="26" t="str">
        <x:v>Four-field root architecture</x:v>
      </x:c>
      <x:c r="I161" s="26" t="str">
        <x:v>Mission-system office</x:v>
      </x:c>
      <x:c r="J161" s="38" t="str">
        <x:v>OPEN</x:v>
      </x:c>
      <x:c r="K161" s="38" t="str">
        <x:v>UNASSIGNED</x:v>
      </x:c>
      <x:c r="L161" s="26" t="n">
        <x:v>0</x:v>
      </x:c>
    </x:row>
    <x:row r="162" ht="27" customHeight="1">
      <x:c r="C162" s="26" t="str">
        <x:v>C3-HC-D-RB1-G04</x:v>
      </x:c>
      <x:c r="D162" s="26" t="str">
        <x:v>C3-HC-D-RB1</x:v>
      </x:c>
      <x:c r="E162" s="26" t="str">
        <x:v>MS-HC</x:v>
      </x:c>
      <x:c r="F162" s="26" t="str">
        <x:v>D</x:v>
      </x:c>
      <x:c r="G162" s="26" t="str">
        <x:v>G04</x:v>
      </x:c>
      <x:c r="H162" s="26" t="str">
        <x:v>Numeric service thresholds</x:v>
      </x:c>
      <x:c r="I162" s="26" t="str">
        <x:v>Public-effect authorities</x:v>
      </x:c>
      <x:c r="J162" s="38" t="str">
        <x:v>OPEN</x:v>
      </x:c>
      <x:c r="K162" s="38" t="str">
        <x:v>UNASSIGNED</x:v>
      </x:c>
      <x:c r="L162" s="26" t="n">
        <x:v>0</x:v>
      </x:c>
    </x:row>
    <x:row r="163" ht="27" customHeight="1">
      <x:c r="C163" s="26" t="str">
        <x:v>C3-HC-D-RB1-G05</x:v>
      </x:c>
      <x:c r="D163" s="26" t="str">
        <x:v>C3-HC-D-RB1</x:v>
      </x:c>
      <x:c r="E163" s="26" t="str">
        <x:v>MS-HC</x:v>
      </x:c>
      <x:c r="F163" s="26" t="str">
        <x:v>D</x:v>
      </x:c>
      <x:c r="G163" s="26" t="str">
        <x:v>G05</x:v>
      </x:c>
      <x:c r="H163" s="26" t="str">
        <x:v>Mass, energy, flow and residual closure</x:v>
      </x:c>
      <x:c r="I163" s="26" t="str">
        <x:v>Independent engineering board</x:v>
      </x:c>
      <x:c r="J163" s="38" t="str">
        <x:v>OPEN</x:v>
      </x:c>
      <x:c r="K163" s="38" t="str">
        <x:v>UNASSIGNED</x:v>
      </x:c>
      <x:c r="L163" s="26" t="n">
        <x:v>0</x:v>
      </x:c>
    </x:row>
    <x:row r="164" ht="27" customHeight="1">
      <x:c r="C164" s="26" t="str">
        <x:v>C3-HC-D-RB1-G06</x:v>
      </x:c>
      <x:c r="D164" s="26" t="str">
        <x:v>C3-HC-D-RB1</x:v>
      </x:c>
      <x:c r="E164" s="26" t="str">
        <x:v>MS-HC</x:v>
      </x:c>
      <x:c r="F164" s="26" t="str">
        <x:v>D</x:v>
      </x:c>
      <x:c r="G164" s="26" t="str">
        <x:v>G06</x:v>
      </x:c>
      <x:c r="H164" s="26" t="str">
        <x:v>Safety, accessibility and rights case</x:v>
      </x:c>
      <x:c r="I164" s="26" t="str">
        <x:v>Safety and civil-rights authorities</x:v>
      </x:c>
      <x:c r="J164" s="38" t="str">
        <x:v>OPEN</x:v>
      </x:c>
      <x:c r="K164" s="38" t="str">
        <x:v>UNASSIGNED</x:v>
      </x:c>
      <x:c r="L164" s="26" t="n">
        <x:v>0</x:v>
      </x:c>
    </x:row>
    <x:row r="165" ht="27" customHeight="1">
      <x:c r="C165" s="26" t="str">
        <x:v>C3-HC-D-RB1-G07</x:v>
      </x:c>
      <x:c r="D165" s="26" t="str">
        <x:v>C3-HC-D-RB1</x:v>
      </x:c>
      <x:c r="E165" s="26" t="str">
        <x:v>MS-HC</x:v>
      </x:c>
      <x:c r="F165" s="26" t="str">
        <x:v>D</x:v>
      </x:c>
      <x:c r="G165" s="26" t="str">
        <x:v>G07</x:v>
      </x:c>
      <x:c r="H165" s="26" t="str">
        <x:v>Public physical and record interfaces</x:v>
      </x:c>
      <x:c r="I165" s="26" t="str">
        <x:v>Technical integration authority</x:v>
      </x:c>
      <x:c r="J165" s="38" t="str">
        <x:v>OPEN</x:v>
      </x:c>
      <x:c r="K165" s="38" t="str">
        <x:v>UNASSIGNED</x:v>
      </x:c>
      <x:c r="L165" s="26" t="n">
        <x:v>0</x:v>
      </x:c>
    </x:row>
    <x:row r="166" ht="27" customHeight="1">
      <x:c r="C166" s="26" t="str">
        <x:v>C3-HC-D-RB1-G08</x:v>
      </x:c>
      <x:c r="D166" s="26" t="str">
        <x:v>C3-HC-D-RB1</x:v>
      </x:c>
      <x:c r="E166" s="26" t="str">
        <x:v>MS-HC</x:v>
      </x:c>
      <x:c r="F166" s="26" t="str">
        <x:v>D</x:v>
      </x:c>
      <x:c r="G166" s="26" t="str">
        <x:v>G08</x:v>
      </x:c>
      <x:c r="H166" s="26" t="str">
        <x:v>Decisive ancestry declaration</x:v>
      </x:c>
      <x:c r="I166" s="26" t="str">
        <x:v>Manufacturing authority</x:v>
      </x:c>
      <x:c r="J166" s="38" t="str">
        <x:v>OPEN</x:v>
      </x:c>
      <x:c r="K166" s="38" t="str">
        <x:v>UNASSIGNED</x:v>
      </x:c>
      <x:c r="L166" s="26" t="n">
        <x:v>0</x:v>
      </x:c>
    </x:row>
    <x:row r="167" ht="27" customHeight="1">
      <x:c r="C167" s="26" t="str">
        <x:v>C3-HC-D-RB1-G09</x:v>
      </x:c>
      <x:c r="D167" s="26" t="str">
        <x:v>C3-HC-D-RB1</x:v>
      </x:c>
      <x:c r="E167" s="26" t="str">
        <x:v>MS-HC</x:v>
      </x:c>
      <x:c r="F167" s="26" t="str">
        <x:v>D</x:v>
      </x:c>
      <x:c r="G167" s="26" t="str">
        <x:v>G09</x:v>
      </x:c>
      <x:c r="H167" s="26" t="str">
        <x:v>Executable build records and travelers</x:v>
      </x:c>
      <x:c r="I167" s="26" t="str">
        <x:v>Configuration authority</x:v>
      </x:c>
      <x:c r="J167" s="38" t="str">
        <x:v>OPEN</x:v>
      </x:c>
      <x:c r="K167" s="38" t="str">
        <x:v>UNASSIGNED</x:v>
      </x:c>
      <x:c r="L167" s="26" t="n">
        <x:v>0</x:v>
      </x:c>
    </x:row>
    <x:row r="168" ht="27" customHeight="1">
      <x:c r="C168" s="26" t="str">
        <x:v>C3-HC-D-RB1-G10</x:v>
      </x:c>
      <x:c r="D168" s="26" t="str">
        <x:v>C3-HC-D-RB1</x:v>
      </x:c>
      <x:c r="E168" s="26" t="str">
        <x:v>MS-HC</x:v>
      </x:c>
      <x:c r="F168" s="26" t="str">
        <x:v>D</x:v>
      </x:c>
      <x:c r="G168" s="26" t="str">
        <x:v>G10</x:v>
      </x:c>
      <x:c r="H168" s="26" t="str">
        <x:v>Representative subsystem evidence</x:v>
      </x:c>
      <x:c r="I168" s="26" t="str">
        <x:v>Sovereign evidence authority</x:v>
      </x:c>
      <x:c r="J168" s="38" t="str">
        <x:v>OPEN</x:v>
      </x:c>
      <x:c r="K168" s="38" t="str">
        <x:v>UNASSIGNED</x:v>
      </x:c>
      <x:c r="L168" s="26" t="n">
        <x:v>0</x:v>
      </x:c>
    </x:row>
    <x:row r="169" ht="27" customHeight="1">
      <x:c r="C169" s="26" t="str">
        <x:v>C3-HC-D-RB1-G11</x:v>
      </x:c>
      <x:c r="D169" s="26" t="str">
        <x:v>C3-HC-D-RB1</x:v>
      </x:c>
      <x:c r="E169" s="26" t="str">
        <x:v>MS-HC</x:v>
      </x:c>
      <x:c r="F169" s="26" t="str">
        <x:v>D</x:v>
      </x:c>
      <x:c r="G169" s="26" t="str">
        <x:v>G11</x:v>
      </x:c>
      <x:c r="H169" s="26" t="str">
        <x:v>Disconnected and manual operation</x:v>
      </x:c>
      <x:c r="I169" s="26" t="str">
        <x:v>Operating service authorities</x:v>
      </x:c>
      <x:c r="J169" s="38" t="str">
        <x:v>OPEN</x:v>
      </x:c>
      <x:c r="K169" s="38" t="str">
        <x:v>UNASSIGNED</x:v>
      </x:c>
      <x:c r="L169" s="26" t="n">
        <x:v>0</x:v>
      </x:c>
    </x:row>
    <x:row r="170" ht="27" customHeight="1">
      <x:c r="C170" s="26" t="str">
        <x:v>C3-HC-D-RB1-G12</x:v>
      </x:c>
      <x:c r="D170" s="26" t="str">
        <x:v>C3-HC-D-RB1</x:v>
      </x:c>
      <x:c r="E170" s="26" t="str">
        <x:v>MS-HC</x:v>
      </x:c>
      <x:c r="F170" s="26" t="str">
        <x:v>D</x:v>
      </x:c>
      <x:c r="G170" s="26" t="str">
        <x:v>G12</x:v>
      </x:c>
      <x:c r="H170" s="26" t="str">
        <x:v>Root-native evidence and outside replay</x:v>
      </x:c>
      <x:c r="I170" s="26" t="str">
        <x:v>Sovereign evidence authority</x:v>
      </x:c>
      <x:c r="J170" s="38" t="str">
        <x:v>OPEN</x:v>
      </x:c>
      <x:c r="K170" s="38" t="str">
        <x:v>UNASSIGNED</x:v>
      </x:c>
      <x:c r="L170" s="26" t="n">
        <x:v>0</x:v>
      </x:c>
    </x:row>
    <x:row r="171" ht="27" customHeight="1">
      <x:c r="C171" s="26" t="str">
        <x:v>C3-HC-D-RB1-G13</x:v>
      </x:c>
      <x:c r="D171" s="26" t="str">
        <x:v>C3-HC-D-RB1</x:v>
      </x:c>
      <x:c r="E171" s="26" t="str">
        <x:v>MS-HC</x:v>
      </x:c>
      <x:c r="F171" s="26" t="str">
        <x:v>D</x:v>
      </x:c>
      <x:c r="G171" s="26" t="str">
        <x:v>G13</x:v>
      </x:c>
      <x:c r="H171" s="26" t="str">
        <x:v>Repair, reset and second-team reproduction</x:v>
      </x:c>
      <x:c r="I171" s="26" t="str">
        <x:v>Regeneration and manufacturing authorities</x:v>
      </x:c>
      <x:c r="J171" s="38" t="str">
        <x:v>OPEN</x:v>
      </x:c>
      <x:c r="K171" s="38" t="str">
        <x:v>UNASSIGNED</x:v>
      </x:c>
      <x:c r="L171" s="26" t="n">
        <x:v>0</x:v>
      </x:c>
    </x:row>
    <x:row r="172" ht="27" customHeight="1">
      <x:c r="C172" s="26" t="str">
        <x:v>C3-HC-D-RB1-G14</x:v>
      </x:c>
      <x:c r="D172" s="26" t="str">
        <x:v>C3-HC-D-RB1</x:v>
      </x:c>
      <x:c r="E172" s="26" t="str">
        <x:v>MS-HC</x:v>
      </x:c>
      <x:c r="F172" s="26" t="str">
        <x:v>D</x:v>
      </x:c>
      <x:c r="G172" s="26" t="str">
        <x:v>G14</x:v>
      </x:c>
      <x:c r="H172" s="26" t="str">
        <x:v>Independent root release</x:v>
      </x:c>
      <x:c r="I172" s="26" t="str">
        <x:v>Department release board</x:v>
      </x:c>
      <x:c r="J172" s="38" t="str">
        <x:v>OPEN</x:v>
      </x:c>
      <x:c r="K172" s="38" t="str">
        <x:v>UNASSIGNED</x:v>
      </x:c>
      <x:c r="L172" s="26" t="n">
        <x:v>0</x:v>
      </x:c>
    </x:row>
    <x:row r="173" ht="27" customHeight="1">
      <x:c r="C173" s="26" t="str">
        <x:v>C3-LF-A-RB1-G01</x:v>
      </x:c>
      <x:c r="D173" s="26" t="str">
        <x:v>C3-LF-A-RB1</x:v>
      </x:c>
      <x:c r="E173" s="26" t="str">
        <x:v>MS-LF</x:v>
      </x:c>
      <x:c r="F173" s="26" t="str">
        <x:v>A</x:v>
      </x:c>
      <x:c r="G173" s="26" t="str">
        <x:v>G01</x:v>
      </x:c>
      <x:c r="H173" s="26" t="str">
        <x:v>Complete service-route bill</x:v>
      </x:c>
      <x:c r="I173" s="26" t="str">
        <x:v>Mission-system office</x:v>
      </x:c>
      <x:c r="J173" s="38" t="str">
        <x:v>OPEN</x:v>
      </x:c>
      <x:c r="K173" s="38" t="str">
        <x:v>UNASSIGNED</x:v>
      </x:c>
      <x:c r="L173" s="26" t="n">
        <x:v>0</x:v>
      </x:c>
    </x:row>
    <x:row r="174" ht="27" customHeight="1">
      <x:c r="C174" s="26" t="str">
        <x:v>C3-LF-A-RB1-G02</x:v>
      </x:c>
      <x:c r="D174" s="26" t="str">
        <x:v>C3-LF-A-RB1</x:v>
      </x:c>
      <x:c r="E174" s="26" t="str">
        <x:v>MS-LF</x:v>
      </x:c>
      <x:c r="F174" s="26" t="str">
        <x:v>A</x:v>
      </x:c>
      <x:c r="G174" s="26" t="str">
        <x:v>G02</x:v>
      </x:c>
      <x:c r="H174" s="26" t="str">
        <x:v>Seven-stage state machine</x:v>
      </x:c>
      <x:c r="I174" s="26" t="str">
        <x:v>Service technical authorities</x:v>
      </x:c>
      <x:c r="J174" s="38" t="str">
        <x:v>OPEN</x:v>
      </x:c>
      <x:c r="K174" s="38" t="str">
        <x:v>UNASSIGNED</x:v>
      </x:c>
      <x:c r="L174" s="26" t="n">
        <x:v>0</x:v>
      </x:c>
    </x:row>
    <x:row r="175" ht="27" customHeight="1">
      <x:c r="C175" s="26" t="str">
        <x:v>C3-LF-A-RB1-G03</x:v>
      </x:c>
      <x:c r="D175" s="26" t="str">
        <x:v>C3-LF-A-RB1</x:v>
      </x:c>
      <x:c r="E175" s="26" t="str">
        <x:v>MS-LF</x:v>
      </x:c>
      <x:c r="F175" s="26" t="str">
        <x:v>A</x:v>
      </x:c>
      <x:c r="G175" s="26" t="str">
        <x:v>G03</x:v>
      </x:c>
      <x:c r="H175" s="26" t="str">
        <x:v>Four-field root architecture</x:v>
      </x:c>
      <x:c r="I175" s="26" t="str">
        <x:v>Mission-system office</x:v>
      </x:c>
      <x:c r="J175" s="38" t="str">
        <x:v>OPEN</x:v>
      </x:c>
      <x:c r="K175" s="38" t="str">
        <x:v>UNASSIGNED</x:v>
      </x:c>
      <x:c r="L175" s="26" t="n">
        <x:v>0</x:v>
      </x:c>
    </x:row>
    <x:row r="176" ht="27" customHeight="1">
      <x:c r="C176" s="26" t="str">
        <x:v>C3-LF-A-RB1-G04</x:v>
      </x:c>
      <x:c r="D176" s="26" t="str">
        <x:v>C3-LF-A-RB1</x:v>
      </x:c>
      <x:c r="E176" s="26" t="str">
        <x:v>MS-LF</x:v>
      </x:c>
      <x:c r="F176" s="26" t="str">
        <x:v>A</x:v>
      </x:c>
      <x:c r="G176" s="26" t="str">
        <x:v>G04</x:v>
      </x:c>
      <x:c r="H176" s="26" t="str">
        <x:v>Numeric service thresholds</x:v>
      </x:c>
      <x:c r="I176" s="26" t="str">
        <x:v>Public-effect authorities</x:v>
      </x:c>
      <x:c r="J176" s="38" t="str">
        <x:v>OPEN</x:v>
      </x:c>
      <x:c r="K176" s="38" t="str">
        <x:v>UNASSIGNED</x:v>
      </x:c>
      <x:c r="L176" s="26" t="n">
        <x:v>0</x:v>
      </x:c>
    </x:row>
    <x:row r="177" ht="27" customHeight="1">
      <x:c r="C177" s="26" t="str">
        <x:v>C3-LF-A-RB1-G05</x:v>
      </x:c>
      <x:c r="D177" s="26" t="str">
        <x:v>C3-LF-A-RB1</x:v>
      </x:c>
      <x:c r="E177" s="26" t="str">
        <x:v>MS-LF</x:v>
      </x:c>
      <x:c r="F177" s="26" t="str">
        <x:v>A</x:v>
      </x:c>
      <x:c r="G177" s="26" t="str">
        <x:v>G05</x:v>
      </x:c>
      <x:c r="H177" s="26" t="str">
        <x:v>Mass, energy, flow and residual closure</x:v>
      </x:c>
      <x:c r="I177" s="26" t="str">
        <x:v>Independent engineering board</x:v>
      </x:c>
      <x:c r="J177" s="38" t="str">
        <x:v>OPEN</x:v>
      </x:c>
      <x:c r="K177" s="38" t="str">
        <x:v>UNASSIGNED</x:v>
      </x:c>
      <x:c r="L177" s="26" t="n">
        <x:v>0</x:v>
      </x:c>
    </x:row>
    <x:row r="178" ht="27" customHeight="1">
      <x:c r="C178" s="26" t="str">
        <x:v>C3-LF-A-RB1-G06</x:v>
      </x:c>
      <x:c r="D178" s="26" t="str">
        <x:v>C3-LF-A-RB1</x:v>
      </x:c>
      <x:c r="E178" s="26" t="str">
        <x:v>MS-LF</x:v>
      </x:c>
      <x:c r="F178" s="26" t="str">
        <x:v>A</x:v>
      </x:c>
      <x:c r="G178" s="26" t="str">
        <x:v>G06</x:v>
      </x:c>
      <x:c r="H178" s="26" t="str">
        <x:v>Safety, accessibility and rights case</x:v>
      </x:c>
      <x:c r="I178" s="26" t="str">
        <x:v>Safety and civil-rights authorities</x:v>
      </x:c>
      <x:c r="J178" s="38" t="str">
        <x:v>OPEN</x:v>
      </x:c>
      <x:c r="K178" s="38" t="str">
        <x:v>UNASSIGNED</x:v>
      </x:c>
      <x:c r="L178" s="26" t="n">
        <x:v>0</x:v>
      </x:c>
    </x:row>
    <x:row r="179" ht="27" customHeight="1">
      <x:c r="C179" s="26" t="str">
        <x:v>C3-LF-A-RB1-G07</x:v>
      </x:c>
      <x:c r="D179" s="26" t="str">
        <x:v>C3-LF-A-RB1</x:v>
      </x:c>
      <x:c r="E179" s="26" t="str">
        <x:v>MS-LF</x:v>
      </x:c>
      <x:c r="F179" s="26" t="str">
        <x:v>A</x:v>
      </x:c>
      <x:c r="G179" s="26" t="str">
        <x:v>G07</x:v>
      </x:c>
      <x:c r="H179" s="26" t="str">
        <x:v>Public physical and record interfaces</x:v>
      </x:c>
      <x:c r="I179" s="26" t="str">
        <x:v>Technical integration authority</x:v>
      </x:c>
      <x:c r="J179" s="38" t="str">
        <x:v>OPEN</x:v>
      </x:c>
      <x:c r="K179" s="38" t="str">
        <x:v>UNASSIGNED</x:v>
      </x:c>
      <x:c r="L179" s="26" t="n">
        <x:v>0</x:v>
      </x:c>
    </x:row>
    <x:row r="180" ht="27" customHeight="1">
      <x:c r="C180" s="26" t="str">
        <x:v>C3-LF-A-RB1-G08</x:v>
      </x:c>
      <x:c r="D180" s="26" t="str">
        <x:v>C3-LF-A-RB1</x:v>
      </x:c>
      <x:c r="E180" s="26" t="str">
        <x:v>MS-LF</x:v>
      </x:c>
      <x:c r="F180" s="26" t="str">
        <x:v>A</x:v>
      </x:c>
      <x:c r="G180" s="26" t="str">
        <x:v>G08</x:v>
      </x:c>
      <x:c r="H180" s="26" t="str">
        <x:v>Decisive ancestry declaration</x:v>
      </x:c>
      <x:c r="I180" s="26" t="str">
        <x:v>Manufacturing authority</x:v>
      </x:c>
      <x:c r="J180" s="38" t="str">
        <x:v>OPEN</x:v>
      </x:c>
      <x:c r="K180" s="38" t="str">
        <x:v>UNASSIGNED</x:v>
      </x:c>
      <x:c r="L180" s="26" t="n">
        <x:v>0</x:v>
      </x:c>
    </x:row>
    <x:row r="181" ht="27" customHeight="1">
      <x:c r="C181" s="26" t="str">
        <x:v>C3-LF-A-RB1-G09</x:v>
      </x:c>
      <x:c r="D181" s="26" t="str">
        <x:v>C3-LF-A-RB1</x:v>
      </x:c>
      <x:c r="E181" s="26" t="str">
        <x:v>MS-LF</x:v>
      </x:c>
      <x:c r="F181" s="26" t="str">
        <x:v>A</x:v>
      </x:c>
      <x:c r="G181" s="26" t="str">
        <x:v>G09</x:v>
      </x:c>
      <x:c r="H181" s="26" t="str">
        <x:v>Executable build records and travelers</x:v>
      </x:c>
      <x:c r="I181" s="26" t="str">
        <x:v>Configuration authority</x:v>
      </x:c>
      <x:c r="J181" s="38" t="str">
        <x:v>OPEN</x:v>
      </x:c>
      <x:c r="K181" s="38" t="str">
        <x:v>UNASSIGNED</x:v>
      </x:c>
      <x:c r="L181" s="26" t="n">
        <x:v>0</x:v>
      </x:c>
    </x:row>
    <x:row r="182" ht="27" customHeight="1">
      <x:c r="C182" s="26" t="str">
        <x:v>C3-LF-A-RB1-G10</x:v>
      </x:c>
      <x:c r="D182" s="26" t="str">
        <x:v>C3-LF-A-RB1</x:v>
      </x:c>
      <x:c r="E182" s="26" t="str">
        <x:v>MS-LF</x:v>
      </x:c>
      <x:c r="F182" s="26" t="str">
        <x:v>A</x:v>
      </x:c>
      <x:c r="G182" s="26" t="str">
        <x:v>G10</x:v>
      </x:c>
      <x:c r="H182" s="26" t="str">
        <x:v>Representative subsystem evidence</x:v>
      </x:c>
      <x:c r="I182" s="26" t="str">
        <x:v>Sovereign evidence authority</x:v>
      </x:c>
      <x:c r="J182" s="38" t="str">
        <x:v>OPEN</x:v>
      </x:c>
      <x:c r="K182" s="38" t="str">
        <x:v>UNASSIGNED</x:v>
      </x:c>
      <x:c r="L182" s="26" t="n">
        <x:v>0</x:v>
      </x:c>
    </x:row>
    <x:row r="183" ht="27" customHeight="1">
      <x:c r="C183" s="26" t="str">
        <x:v>C3-LF-A-RB1-G11</x:v>
      </x:c>
      <x:c r="D183" s="26" t="str">
        <x:v>C3-LF-A-RB1</x:v>
      </x:c>
      <x:c r="E183" s="26" t="str">
        <x:v>MS-LF</x:v>
      </x:c>
      <x:c r="F183" s="26" t="str">
        <x:v>A</x:v>
      </x:c>
      <x:c r="G183" s="26" t="str">
        <x:v>G11</x:v>
      </x:c>
      <x:c r="H183" s="26" t="str">
        <x:v>Disconnected and manual operation</x:v>
      </x:c>
      <x:c r="I183" s="26" t="str">
        <x:v>Operating service authorities</x:v>
      </x:c>
      <x:c r="J183" s="38" t="str">
        <x:v>OPEN</x:v>
      </x:c>
      <x:c r="K183" s="38" t="str">
        <x:v>UNASSIGNED</x:v>
      </x:c>
      <x:c r="L183" s="26" t="n">
        <x:v>0</x:v>
      </x:c>
    </x:row>
    <x:row r="184" ht="27" customHeight="1">
      <x:c r="C184" s="26" t="str">
        <x:v>C3-LF-A-RB1-G12</x:v>
      </x:c>
      <x:c r="D184" s="26" t="str">
        <x:v>C3-LF-A-RB1</x:v>
      </x:c>
      <x:c r="E184" s="26" t="str">
        <x:v>MS-LF</x:v>
      </x:c>
      <x:c r="F184" s="26" t="str">
        <x:v>A</x:v>
      </x:c>
      <x:c r="G184" s="26" t="str">
        <x:v>G12</x:v>
      </x:c>
      <x:c r="H184" s="26" t="str">
        <x:v>Root-native evidence and outside replay</x:v>
      </x:c>
      <x:c r="I184" s="26" t="str">
        <x:v>Sovereign evidence authority</x:v>
      </x:c>
      <x:c r="J184" s="38" t="str">
        <x:v>OPEN</x:v>
      </x:c>
      <x:c r="K184" s="38" t="str">
        <x:v>UNASSIGNED</x:v>
      </x:c>
      <x:c r="L184" s="26" t="n">
        <x:v>0</x:v>
      </x:c>
    </x:row>
    <x:row r="185" ht="27" customHeight="1">
      <x:c r="C185" s="26" t="str">
        <x:v>C3-LF-A-RB1-G13</x:v>
      </x:c>
      <x:c r="D185" s="26" t="str">
        <x:v>C3-LF-A-RB1</x:v>
      </x:c>
      <x:c r="E185" s="26" t="str">
        <x:v>MS-LF</x:v>
      </x:c>
      <x:c r="F185" s="26" t="str">
        <x:v>A</x:v>
      </x:c>
      <x:c r="G185" s="26" t="str">
        <x:v>G13</x:v>
      </x:c>
      <x:c r="H185" s="26" t="str">
        <x:v>Repair, reset and second-team reproduction</x:v>
      </x:c>
      <x:c r="I185" s="26" t="str">
        <x:v>Regeneration and manufacturing authorities</x:v>
      </x:c>
      <x:c r="J185" s="38" t="str">
        <x:v>OPEN</x:v>
      </x:c>
      <x:c r="K185" s="38" t="str">
        <x:v>UNASSIGNED</x:v>
      </x:c>
      <x:c r="L185" s="26" t="n">
        <x:v>0</x:v>
      </x:c>
    </x:row>
    <x:row r="186" ht="27" customHeight="1">
      <x:c r="C186" s="26" t="str">
        <x:v>C3-LF-A-RB1-G14</x:v>
      </x:c>
      <x:c r="D186" s="26" t="str">
        <x:v>C3-LF-A-RB1</x:v>
      </x:c>
      <x:c r="E186" s="26" t="str">
        <x:v>MS-LF</x:v>
      </x:c>
      <x:c r="F186" s="26" t="str">
        <x:v>A</x:v>
      </x:c>
      <x:c r="G186" s="26" t="str">
        <x:v>G14</x:v>
      </x:c>
      <x:c r="H186" s="26" t="str">
        <x:v>Independent root release</x:v>
      </x:c>
      <x:c r="I186" s="26" t="str">
        <x:v>Department release board</x:v>
      </x:c>
      <x:c r="J186" s="38" t="str">
        <x:v>OPEN</x:v>
      </x:c>
      <x:c r="K186" s="38" t="str">
        <x:v>UNASSIGNED</x:v>
      </x:c>
      <x:c r="L186" s="26" t="n">
        <x:v>0</x:v>
      </x:c>
    </x:row>
    <x:row r="187" ht="27" customHeight="1">
      <x:c r="C187" s="26" t="str">
        <x:v>C3-LF-B-RB1-G01</x:v>
      </x:c>
      <x:c r="D187" s="26" t="str">
        <x:v>C3-LF-B-RB1</x:v>
      </x:c>
      <x:c r="E187" s="26" t="str">
        <x:v>MS-LF</x:v>
      </x:c>
      <x:c r="F187" s="26" t="str">
        <x:v>B</x:v>
      </x:c>
      <x:c r="G187" s="26" t="str">
        <x:v>G01</x:v>
      </x:c>
      <x:c r="H187" s="26" t="str">
        <x:v>Complete service-route bill</x:v>
      </x:c>
      <x:c r="I187" s="26" t="str">
        <x:v>Mission-system office</x:v>
      </x:c>
      <x:c r="J187" s="38" t="str">
        <x:v>OPEN</x:v>
      </x:c>
      <x:c r="K187" s="38" t="str">
        <x:v>UNASSIGNED</x:v>
      </x:c>
      <x:c r="L187" s="26" t="n">
        <x:v>0</x:v>
      </x:c>
    </x:row>
    <x:row r="188" ht="27" customHeight="1">
      <x:c r="C188" s="26" t="str">
        <x:v>C3-LF-B-RB1-G02</x:v>
      </x:c>
      <x:c r="D188" s="26" t="str">
        <x:v>C3-LF-B-RB1</x:v>
      </x:c>
      <x:c r="E188" s="26" t="str">
        <x:v>MS-LF</x:v>
      </x:c>
      <x:c r="F188" s="26" t="str">
        <x:v>B</x:v>
      </x:c>
      <x:c r="G188" s="26" t="str">
        <x:v>G02</x:v>
      </x:c>
      <x:c r="H188" s="26" t="str">
        <x:v>Seven-stage state machine</x:v>
      </x:c>
      <x:c r="I188" s="26" t="str">
        <x:v>Service technical authorities</x:v>
      </x:c>
      <x:c r="J188" s="38" t="str">
        <x:v>OPEN</x:v>
      </x:c>
      <x:c r="K188" s="38" t="str">
        <x:v>UNASSIGNED</x:v>
      </x:c>
      <x:c r="L188" s="26" t="n">
        <x:v>0</x:v>
      </x:c>
    </x:row>
    <x:row r="189" ht="27" customHeight="1">
      <x:c r="C189" s="26" t="str">
        <x:v>C3-LF-B-RB1-G03</x:v>
      </x:c>
      <x:c r="D189" s="26" t="str">
        <x:v>C3-LF-B-RB1</x:v>
      </x:c>
      <x:c r="E189" s="26" t="str">
        <x:v>MS-LF</x:v>
      </x:c>
      <x:c r="F189" s="26" t="str">
        <x:v>B</x:v>
      </x:c>
      <x:c r="G189" s="26" t="str">
        <x:v>G03</x:v>
      </x:c>
      <x:c r="H189" s="26" t="str">
        <x:v>Four-field root architecture</x:v>
      </x:c>
      <x:c r="I189" s="26" t="str">
        <x:v>Mission-system office</x:v>
      </x:c>
      <x:c r="J189" s="38" t="str">
        <x:v>OPEN</x:v>
      </x:c>
      <x:c r="K189" s="38" t="str">
        <x:v>UNASSIGNED</x:v>
      </x:c>
      <x:c r="L189" s="26" t="n">
        <x:v>0</x:v>
      </x:c>
    </x:row>
    <x:row r="190" ht="27" customHeight="1">
      <x:c r="C190" s="26" t="str">
        <x:v>C3-LF-B-RB1-G04</x:v>
      </x:c>
      <x:c r="D190" s="26" t="str">
        <x:v>C3-LF-B-RB1</x:v>
      </x:c>
      <x:c r="E190" s="26" t="str">
        <x:v>MS-LF</x:v>
      </x:c>
      <x:c r="F190" s="26" t="str">
        <x:v>B</x:v>
      </x:c>
      <x:c r="G190" s="26" t="str">
        <x:v>G04</x:v>
      </x:c>
      <x:c r="H190" s="26" t="str">
        <x:v>Numeric service thresholds</x:v>
      </x:c>
      <x:c r="I190" s="26" t="str">
        <x:v>Public-effect authorities</x:v>
      </x:c>
      <x:c r="J190" s="38" t="str">
        <x:v>OPEN</x:v>
      </x:c>
      <x:c r="K190" s="38" t="str">
        <x:v>UNASSIGNED</x:v>
      </x:c>
      <x:c r="L190" s="26" t="n">
        <x:v>0</x:v>
      </x:c>
    </x:row>
    <x:row r="191" ht="27" customHeight="1">
      <x:c r="C191" s="26" t="str">
        <x:v>C3-LF-B-RB1-G05</x:v>
      </x:c>
      <x:c r="D191" s="26" t="str">
        <x:v>C3-LF-B-RB1</x:v>
      </x:c>
      <x:c r="E191" s="26" t="str">
        <x:v>MS-LF</x:v>
      </x:c>
      <x:c r="F191" s="26" t="str">
        <x:v>B</x:v>
      </x:c>
      <x:c r="G191" s="26" t="str">
        <x:v>G05</x:v>
      </x:c>
      <x:c r="H191" s="26" t="str">
        <x:v>Mass, energy, flow and residual closure</x:v>
      </x:c>
      <x:c r="I191" s="26" t="str">
        <x:v>Independent engineering board</x:v>
      </x:c>
      <x:c r="J191" s="38" t="str">
        <x:v>OPEN</x:v>
      </x:c>
      <x:c r="K191" s="38" t="str">
        <x:v>UNASSIGNED</x:v>
      </x:c>
      <x:c r="L191" s="26" t="n">
        <x:v>0</x:v>
      </x:c>
    </x:row>
    <x:row r="192" ht="27" customHeight="1">
      <x:c r="C192" s="26" t="str">
        <x:v>C3-LF-B-RB1-G06</x:v>
      </x:c>
      <x:c r="D192" s="26" t="str">
        <x:v>C3-LF-B-RB1</x:v>
      </x:c>
      <x:c r="E192" s="26" t="str">
        <x:v>MS-LF</x:v>
      </x:c>
      <x:c r="F192" s="26" t="str">
        <x:v>B</x:v>
      </x:c>
      <x:c r="G192" s="26" t="str">
        <x:v>G06</x:v>
      </x:c>
      <x:c r="H192" s="26" t="str">
        <x:v>Safety, accessibility and rights case</x:v>
      </x:c>
      <x:c r="I192" s="26" t="str">
        <x:v>Safety and civil-rights authorities</x:v>
      </x:c>
      <x:c r="J192" s="38" t="str">
        <x:v>OPEN</x:v>
      </x:c>
      <x:c r="K192" s="38" t="str">
        <x:v>UNASSIGNED</x:v>
      </x:c>
      <x:c r="L192" s="26" t="n">
        <x:v>0</x:v>
      </x:c>
    </x:row>
    <x:row r="193" ht="27" customHeight="1">
      <x:c r="C193" s="26" t="str">
        <x:v>C3-LF-B-RB1-G07</x:v>
      </x:c>
      <x:c r="D193" s="26" t="str">
        <x:v>C3-LF-B-RB1</x:v>
      </x:c>
      <x:c r="E193" s="26" t="str">
        <x:v>MS-LF</x:v>
      </x:c>
      <x:c r="F193" s="26" t="str">
        <x:v>B</x:v>
      </x:c>
      <x:c r="G193" s="26" t="str">
        <x:v>G07</x:v>
      </x:c>
      <x:c r="H193" s="26" t="str">
        <x:v>Public physical and record interfaces</x:v>
      </x:c>
      <x:c r="I193" s="26" t="str">
        <x:v>Technical integration authority</x:v>
      </x:c>
      <x:c r="J193" s="38" t="str">
        <x:v>OPEN</x:v>
      </x:c>
      <x:c r="K193" s="38" t="str">
        <x:v>UNASSIGNED</x:v>
      </x:c>
      <x:c r="L193" s="26" t="n">
        <x:v>0</x:v>
      </x:c>
    </x:row>
    <x:row r="194" ht="27" customHeight="1">
      <x:c r="C194" s="26" t="str">
        <x:v>C3-LF-B-RB1-G08</x:v>
      </x:c>
      <x:c r="D194" s="26" t="str">
        <x:v>C3-LF-B-RB1</x:v>
      </x:c>
      <x:c r="E194" s="26" t="str">
        <x:v>MS-LF</x:v>
      </x:c>
      <x:c r="F194" s="26" t="str">
        <x:v>B</x:v>
      </x:c>
      <x:c r="G194" s="26" t="str">
        <x:v>G08</x:v>
      </x:c>
      <x:c r="H194" s="26" t="str">
        <x:v>Decisive ancestry declaration</x:v>
      </x:c>
      <x:c r="I194" s="26" t="str">
        <x:v>Manufacturing authority</x:v>
      </x:c>
      <x:c r="J194" s="38" t="str">
        <x:v>OPEN</x:v>
      </x:c>
      <x:c r="K194" s="38" t="str">
        <x:v>UNASSIGNED</x:v>
      </x:c>
      <x:c r="L194" s="26" t="n">
        <x:v>0</x:v>
      </x:c>
    </x:row>
    <x:row r="195" ht="27" customHeight="1">
      <x:c r="C195" s="26" t="str">
        <x:v>C3-LF-B-RB1-G09</x:v>
      </x:c>
      <x:c r="D195" s="26" t="str">
        <x:v>C3-LF-B-RB1</x:v>
      </x:c>
      <x:c r="E195" s="26" t="str">
        <x:v>MS-LF</x:v>
      </x:c>
      <x:c r="F195" s="26" t="str">
        <x:v>B</x:v>
      </x:c>
      <x:c r="G195" s="26" t="str">
        <x:v>G09</x:v>
      </x:c>
      <x:c r="H195" s="26" t="str">
        <x:v>Executable build records and travelers</x:v>
      </x:c>
      <x:c r="I195" s="26" t="str">
        <x:v>Configuration authority</x:v>
      </x:c>
      <x:c r="J195" s="38" t="str">
        <x:v>OPEN</x:v>
      </x:c>
      <x:c r="K195" s="38" t="str">
        <x:v>UNASSIGNED</x:v>
      </x:c>
      <x:c r="L195" s="26" t="n">
        <x:v>0</x:v>
      </x:c>
    </x:row>
    <x:row r="196" ht="27" customHeight="1">
      <x:c r="C196" s="26" t="str">
        <x:v>C3-LF-B-RB1-G10</x:v>
      </x:c>
      <x:c r="D196" s="26" t="str">
        <x:v>C3-LF-B-RB1</x:v>
      </x:c>
      <x:c r="E196" s="26" t="str">
        <x:v>MS-LF</x:v>
      </x:c>
      <x:c r="F196" s="26" t="str">
        <x:v>B</x:v>
      </x:c>
      <x:c r="G196" s="26" t="str">
        <x:v>G10</x:v>
      </x:c>
      <x:c r="H196" s="26" t="str">
        <x:v>Representative subsystem evidence</x:v>
      </x:c>
      <x:c r="I196" s="26" t="str">
        <x:v>Sovereign evidence authority</x:v>
      </x:c>
      <x:c r="J196" s="38" t="str">
        <x:v>OPEN</x:v>
      </x:c>
      <x:c r="K196" s="38" t="str">
        <x:v>UNASSIGNED</x:v>
      </x:c>
      <x:c r="L196" s="26" t="n">
        <x:v>0</x:v>
      </x:c>
    </x:row>
    <x:row r="197" ht="27" customHeight="1">
      <x:c r="C197" s="26" t="str">
        <x:v>C3-LF-B-RB1-G11</x:v>
      </x:c>
      <x:c r="D197" s="26" t="str">
        <x:v>C3-LF-B-RB1</x:v>
      </x:c>
      <x:c r="E197" s="26" t="str">
        <x:v>MS-LF</x:v>
      </x:c>
      <x:c r="F197" s="26" t="str">
        <x:v>B</x:v>
      </x:c>
      <x:c r="G197" s="26" t="str">
        <x:v>G11</x:v>
      </x:c>
      <x:c r="H197" s="26" t="str">
        <x:v>Disconnected and manual operation</x:v>
      </x:c>
      <x:c r="I197" s="26" t="str">
        <x:v>Operating service authorities</x:v>
      </x:c>
      <x:c r="J197" s="38" t="str">
        <x:v>OPEN</x:v>
      </x:c>
      <x:c r="K197" s="38" t="str">
        <x:v>UNASSIGNED</x:v>
      </x:c>
      <x:c r="L197" s="26" t="n">
        <x:v>0</x:v>
      </x:c>
    </x:row>
    <x:row r="198" ht="27" customHeight="1">
      <x:c r="C198" s="26" t="str">
        <x:v>C3-LF-B-RB1-G12</x:v>
      </x:c>
      <x:c r="D198" s="26" t="str">
        <x:v>C3-LF-B-RB1</x:v>
      </x:c>
      <x:c r="E198" s="26" t="str">
        <x:v>MS-LF</x:v>
      </x:c>
      <x:c r="F198" s="26" t="str">
        <x:v>B</x:v>
      </x:c>
      <x:c r="G198" s="26" t="str">
        <x:v>G12</x:v>
      </x:c>
      <x:c r="H198" s="26" t="str">
        <x:v>Root-native evidence and outside replay</x:v>
      </x:c>
      <x:c r="I198" s="26" t="str">
        <x:v>Sovereign evidence authority</x:v>
      </x:c>
      <x:c r="J198" s="38" t="str">
        <x:v>OPEN</x:v>
      </x:c>
      <x:c r="K198" s="38" t="str">
        <x:v>UNASSIGNED</x:v>
      </x:c>
      <x:c r="L198" s="26" t="n">
        <x:v>0</x:v>
      </x:c>
    </x:row>
    <x:row r="199" ht="27" customHeight="1">
      <x:c r="C199" s="26" t="str">
        <x:v>C3-LF-B-RB1-G13</x:v>
      </x:c>
      <x:c r="D199" s="26" t="str">
        <x:v>C3-LF-B-RB1</x:v>
      </x:c>
      <x:c r="E199" s="26" t="str">
        <x:v>MS-LF</x:v>
      </x:c>
      <x:c r="F199" s="26" t="str">
        <x:v>B</x:v>
      </x:c>
      <x:c r="G199" s="26" t="str">
        <x:v>G13</x:v>
      </x:c>
      <x:c r="H199" s="26" t="str">
        <x:v>Repair, reset and second-team reproduction</x:v>
      </x:c>
      <x:c r="I199" s="26" t="str">
        <x:v>Regeneration and manufacturing authorities</x:v>
      </x:c>
      <x:c r="J199" s="38" t="str">
        <x:v>OPEN</x:v>
      </x:c>
      <x:c r="K199" s="38" t="str">
        <x:v>UNASSIGNED</x:v>
      </x:c>
      <x:c r="L199" s="26" t="n">
        <x:v>0</x:v>
      </x:c>
    </x:row>
    <x:row r="200" ht="27" customHeight="1">
      <x:c r="C200" s="26" t="str">
        <x:v>C3-LF-B-RB1-G14</x:v>
      </x:c>
      <x:c r="D200" s="26" t="str">
        <x:v>C3-LF-B-RB1</x:v>
      </x:c>
      <x:c r="E200" s="26" t="str">
        <x:v>MS-LF</x:v>
      </x:c>
      <x:c r="F200" s="26" t="str">
        <x:v>B</x:v>
      </x:c>
      <x:c r="G200" s="26" t="str">
        <x:v>G14</x:v>
      </x:c>
      <x:c r="H200" s="26" t="str">
        <x:v>Independent root release</x:v>
      </x:c>
      <x:c r="I200" s="26" t="str">
        <x:v>Department release board</x:v>
      </x:c>
      <x:c r="J200" s="38" t="str">
        <x:v>OPEN</x:v>
      </x:c>
      <x:c r="K200" s="38" t="str">
        <x:v>UNASSIGNED</x:v>
      </x:c>
      <x:c r="L200" s="26" t="n">
        <x:v>0</x:v>
      </x:c>
    </x:row>
    <x:row r="201" ht="27" customHeight="1">
      <x:c r="C201" s="26" t="str">
        <x:v>C3-LF-C-RB1-G01</x:v>
      </x:c>
      <x:c r="D201" s="26" t="str">
        <x:v>C3-LF-C-RB1</x:v>
      </x:c>
      <x:c r="E201" s="26" t="str">
        <x:v>MS-LF</x:v>
      </x:c>
      <x:c r="F201" s="26" t="str">
        <x:v>C</x:v>
      </x:c>
      <x:c r="G201" s="26" t="str">
        <x:v>G01</x:v>
      </x:c>
      <x:c r="H201" s="26" t="str">
        <x:v>Complete service-route bill</x:v>
      </x:c>
      <x:c r="I201" s="26" t="str">
        <x:v>Mission-system office</x:v>
      </x:c>
      <x:c r="J201" s="38" t="str">
        <x:v>OPEN</x:v>
      </x:c>
      <x:c r="K201" s="38" t="str">
        <x:v>UNASSIGNED</x:v>
      </x:c>
      <x:c r="L201" s="26" t="n">
        <x:v>0</x:v>
      </x:c>
    </x:row>
    <x:row r="202" ht="27" customHeight="1">
      <x:c r="C202" s="26" t="str">
        <x:v>C3-LF-C-RB1-G02</x:v>
      </x:c>
      <x:c r="D202" s="26" t="str">
        <x:v>C3-LF-C-RB1</x:v>
      </x:c>
      <x:c r="E202" s="26" t="str">
        <x:v>MS-LF</x:v>
      </x:c>
      <x:c r="F202" s="26" t="str">
        <x:v>C</x:v>
      </x:c>
      <x:c r="G202" s="26" t="str">
        <x:v>G02</x:v>
      </x:c>
      <x:c r="H202" s="26" t="str">
        <x:v>Seven-stage state machine</x:v>
      </x:c>
      <x:c r="I202" s="26" t="str">
        <x:v>Service technical authorities</x:v>
      </x:c>
      <x:c r="J202" s="38" t="str">
        <x:v>OPEN</x:v>
      </x:c>
      <x:c r="K202" s="38" t="str">
        <x:v>UNASSIGNED</x:v>
      </x:c>
      <x:c r="L202" s="26" t="n">
        <x:v>0</x:v>
      </x:c>
    </x:row>
    <x:row r="203" ht="27" customHeight="1">
      <x:c r="C203" s="26" t="str">
        <x:v>C3-LF-C-RB1-G03</x:v>
      </x:c>
      <x:c r="D203" s="26" t="str">
        <x:v>C3-LF-C-RB1</x:v>
      </x:c>
      <x:c r="E203" s="26" t="str">
        <x:v>MS-LF</x:v>
      </x:c>
      <x:c r="F203" s="26" t="str">
        <x:v>C</x:v>
      </x:c>
      <x:c r="G203" s="26" t="str">
        <x:v>G03</x:v>
      </x:c>
      <x:c r="H203" s="26" t="str">
        <x:v>Four-field root architecture</x:v>
      </x:c>
      <x:c r="I203" s="26" t="str">
        <x:v>Mission-system office</x:v>
      </x:c>
      <x:c r="J203" s="38" t="str">
        <x:v>OPEN</x:v>
      </x:c>
      <x:c r="K203" s="38" t="str">
        <x:v>UNASSIGNED</x:v>
      </x:c>
      <x:c r="L203" s="26" t="n">
        <x:v>0</x:v>
      </x:c>
    </x:row>
    <x:row r="204" ht="27" customHeight="1">
      <x:c r="C204" s="26" t="str">
        <x:v>C3-LF-C-RB1-G04</x:v>
      </x:c>
      <x:c r="D204" s="26" t="str">
        <x:v>C3-LF-C-RB1</x:v>
      </x:c>
      <x:c r="E204" s="26" t="str">
        <x:v>MS-LF</x:v>
      </x:c>
      <x:c r="F204" s="26" t="str">
        <x:v>C</x:v>
      </x:c>
      <x:c r="G204" s="26" t="str">
        <x:v>G04</x:v>
      </x:c>
      <x:c r="H204" s="26" t="str">
        <x:v>Numeric service thresholds</x:v>
      </x:c>
      <x:c r="I204" s="26" t="str">
        <x:v>Public-effect authorities</x:v>
      </x:c>
      <x:c r="J204" s="38" t="str">
        <x:v>OPEN</x:v>
      </x:c>
      <x:c r="K204" s="38" t="str">
        <x:v>UNASSIGNED</x:v>
      </x:c>
      <x:c r="L204" s="26" t="n">
        <x:v>0</x:v>
      </x:c>
    </x:row>
    <x:row r="205" ht="27" customHeight="1">
      <x:c r="C205" s="26" t="str">
        <x:v>C3-LF-C-RB1-G05</x:v>
      </x:c>
      <x:c r="D205" s="26" t="str">
        <x:v>C3-LF-C-RB1</x:v>
      </x:c>
      <x:c r="E205" s="26" t="str">
        <x:v>MS-LF</x:v>
      </x:c>
      <x:c r="F205" s="26" t="str">
        <x:v>C</x:v>
      </x:c>
      <x:c r="G205" s="26" t="str">
        <x:v>G05</x:v>
      </x:c>
      <x:c r="H205" s="26" t="str">
        <x:v>Mass, energy, flow and residual closure</x:v>
      </x:c>
      <x:c r="I205" s="26" t="str">
        <x:v>Independent engineering board</x:v>
      </x:c>
      <x:c r="J205" s="38" t="str">
        <x:v>OPEN</x:v>
      </x:c>
      <x:c r="K205" s="38" t="str">
        <x:v>UNASSIGNED</x:v>
      </x:c>
      <x:c r="L205" s="26" t="n">
        <x:v>0</x:v>
      </x:c>
    </x:row>
    <x:row r="206" ht="27" customHeight="1">
      <x:c r="C206" s="26" t="str">
        <x:v>C3-LF-C-RB1-G06</x:v>
      </x:c>
      <x:c r="D206" s="26" t="str">
        <x:v>C3-LF-C-RB1</x:v>
      </x:c>
      <x:c r="E206" s="26" t="str">
        <x:v>MS-LF</x:v>
      </x:c>
      <x:c r="F206" s="26" t="str">
        <x:v>C</x:v>
      </x:c>
      <x:c r="G206" s="26" t="str">
        <x:v>G06</x:v>
      </x:c>
      <x:c r="H206" s="26" t="str">
        <x:v>Safety, accessibility and rights case</x:v>
      </x:c>
      <x:c r="I206" s="26" t="str">
        <x:v>Safety and civil-rights authorities</x:v>
      </x:c>
      <x:c r="J206" s="38" t="str">
        <x:v>OPEN</x:v>
      </x:c>
      <x:c r="K206" s="38" t="str">
        <x:v>UNASSIGNED</x:v>
      </x:c>
      <x:c r="L206" s="26" t="n">
        <x:v>0</x:v>
      </x:c>
    </x:row>
    <x:row r="207" ht="27" customHeight="1">
      <x:c r="C207" s="26" t="str">
        <x:v>C3-LF-C-RB1-G07</x:v>
      </x:c>
      <x:c r="D207" s="26" t="str">
        <x:v>C3-LF-C-RB1</x:v>
      </x:c>
      <x:c r="E207" s="26" t="str">
        <x:v>MS-LF</x:v>
      </x:c>
      <x:c r="F207" s="26" t="str">
        <x:v>C</x:v>
      </x:c>
      <x:c r="G207" s="26" t="str">
        <x:v>G07</x:v>
      </x:c>
      <x:c r="H207" s="26" t="str">
        <x:v>Public physical and record interfaces</x:v>
      </x:c>
      <x:c r="I207" s="26" t="str">
        <x:v>Technical integration authority</x:v>
      </x:c>
      <x:c r="J207" s="38" t="str">
        <x:v>OPEN</x:v>
      </x:c>
      <x:c r="K207" s="38" t="str">
        <x:v>UNASSIGNED</x:v>
      </x:c>
      <x:c r="L207" s="26" t="n">
        <x:v>0</x:v>
      </x:c>
    </x:row>
    <x:row r="208" ht="27" customHeight="1">
      <x:c r="C208" s="26" t="str">
        <x:v>C3-LF-C-RB1-G08</x:v>
      </x:c>
      <x:c r="D208" s="26" t="str">
        <x:v>C3-LF-C-RB1</x:v>
      </x:c>
      <x:c r="E208" s="26" t="str">
        <x:v>MS-LF</x:v>
      </x:c>
      <x:c r="F208" s="26" t="str">
        <x:v>C</x:v>
      </x:c>
      <x:c r="G208" s="26" t="str">
        <x:v>G08</x:v>
      </x:c>
      <x:c r="H208" s="26" t="str">
        <x:v>Decisive ancestry declaration</x:v>
      </x:c>
      <x:c r="I208" s="26" t="str">
        <x:v>Manufacturing authority</x:v>
      </x:c>
      <x:c r="J208" s="38" t="str">
        <x:v>OPEN</x:v>
      </x:c>
      <x:c r="K208" s="38" t="str">
        <x:v>UNASSIGNED</x:v>
      </x:c>
      <x:c r="L208" s="26" t="n">
        <x:v>0</x:v>
      </x:c>
    </x:row>
    <x:row r="209" ht="27" customHeight="1">
      <x:c r="C209" s="26" t="str">
        <x:v>C3-LF-C-RB1-G09</x:v>
      </x:c>
      <x:c r="D209" s="26" t="str">
        <x:v>C3-LF-C-RB1</x:v>
      </x:c>
      <x:c r="E209" s="26" t="str">
        <x:v>MS-LF</x:v>
      </x:c>
      <x:c r="F209" s="26" t="str">
        <x:v>C</x:v>
      </x:c>
      <x:c r="G209" s="26" t="str">
        <x:v>G09</x:v>
      </x:c>
      <x:c r="H209" s="26" t="str">
        <x:v>Executable build records and travelers</x:v>
      </x:c>
      <x:c r="I209" s="26" t="str">
        <x:v>Configuration authority</x:v>
      </x:c>
      <x:c r="J209" s="38" t="str">
        <x:v>OPEN</x:v>
      </x:c>
      <x:c r="K209" s="38" t="str">
        <x:v>UNASSIGNED</x:v>
      </x:c>
      <x:c r="L209" s="26" t="n">
        <x:v>0</x:v>
      </x:c>
    </x:row>
    <x:row r="210" ht="27" customHeight="1">
      <x:c r="C210" s="26" t="str">
        <x:v>C3-LF-C-RB1-G10</x:v>
      </x:c>
      <x:c r="D210" s="26" t="str">
        <x:v>C3-LF-C-RB1</x:v>
      </x:c>
      <x:c r="E210" s="26" t="str">
        <x:v>MS-LF</x:v>
      </x:c>
      <x:c r="F210" s="26" t="str">
        <x:v>C</x:v>
      </x:c>
      <x:c r="G210" s="26" t="str">
        <x:v>G10</x:v>
      </x:c>
      <x:c r="H210" s="26" t="str">
        <x:v>Representative subsystem evidence</x:v>
      </x:c>
      <x:c r="I210" s="26" t="str">
        <x:v>Sovereign evidence authority</x:v>
      </x:c>
      <x:c r="J210" s="38" t="str">
        <x:v>OPEN</x:v>
      </x:c>
      <x:c r="K210" s="38" t="str">
        <x:v>UNASSIGNED</x:v>
      </x:c>
      <x:c r="L210" s="26" t="n">
        <x:v>0</x:v>
      </x:c>
    </x:row>
    <x:row r="211" ht="27" customHeight="1">
      <x:c r="C211" s="26" t="str">
        <x:v>C3-LF-C-RB1-G11</x:v>
      </x:c>
      <x:c r="D211" s="26" t="str">
        <x:v>C3-LF-C-RB1</x:v>
      </x:c>
      <x:c r="E211" s="26" t="str">
        <x:v>MS-LF</x:v>
      </x:c>
      <x:c r="F211" s="26" t="str">
        <x:v>C</x:v>
      </x:c>
      <x:c r="G211" s="26" t="str">
        <x:v>G11</x:v>
      </x:c>
      <x:c r="H211" s="26" t="str">
        <x:v>Disconnected and manual operation</x:v>
      </x:c>
      <x:c r="I211" s="26" t="str">
        <x:v>Operating service authorities</x:v>
      </x:c>
      <x:c r="J211" s="38" t="str">
        <x:v>OPEN</x:v>
      </x:c>
      <x:c r="K211" s="38" t="str">
        <x:v>UNASSIGNED</x:v>
      </x:c>
      <x:c r="L211" s="26" t="n">
        <x:v>0</x:v>
      </x:c>
    </x:row>
    <x:row r="212" ht="27" customHeight="1">
      <x:c r="C212" s="26" t="str">
        <x:v>C3-LF-C-RB1-G12</x:v>
      </x:c>
      <x:c r="D212" s="26" t="str">
        <x:v>C3-LF-C-RB1</x:v>
      </x:c>
      <x:c r="E212" s="26" t="str">
        <x:v>MS-LF</x:v>
      </x:c>
      <x:c r="F212" s="26" t="str">
        <x:v>C</x:v>
      </x:c>
      <x:c r="G212" s="26" t="str">
        <x:v>G12</x:v>
      </x:c>
      <x:c r="H212" s="26" t="str">
        <x:v>Root-native evidence and outside replay</x:v>
      </x:c>
      <x:c r="I212" s="26" t="str">
        <x:v>Sovereign evidence authority</x:v>
      </x:c>
      <x:c r="J212" s="38" t="str">
        <x:v>OPEN</x:v>
      </x:c>
      <x:c r="K212" s="38" t="str">
        <x:v>UNASSIGNED</x:v>
      </x:c>
      <x:c r="L212" s="26" t="n">
        <x:v>0</x:v>
      </x:c>
    </x:row>
    <x:row r="213" ht="27" customHeight="1">
      <x:c r="C213" s="26" t="str">
        <x:v>C3-LF-C-RB1-G13</x:v>
      </x:c>
      <x:c r="D213" s="26" t="str">
        <x:v>C3-LF-C-RB1</x:v>
      </x:c>
      <x:c r="E213" s="26" t="str">
        <x:v>MS-LF</x:v>
      </x:c>
      <x:c r="F213" s="26" t="str">
        <x:v>C</x:v>
      </x:c>
      <x:c r="G213" s="26" t="str">
        <x:v>G13</x:v>
      </x:c>
      <x:c r="H213" s="26" t="str">
        <x:v>Repair, reset and second-team reproduction</x:v>
      </x:c>
      <x:c r="I213" s="26" t="str">
        <x:v>Regeneration and manufacturing authorities</x:v>
      </x:c>
      <x:c r="J213" s="38" t="str">
        <x:v>OPEN</x:v>
      </x:c>
      <x:c r="K213" s="38" t="str">
        <x:v>UNASSIGNED</x:v>
      </x:c>
      <x:c r="L213" s="26" t="n">
        <x:v>0</x:v>
      </x:c>
    </x:row>
    <x:row r="214" ht="27" customHeight="1">
      <x:c r="C214" s="26" t="str">
        <x:v>C3-LF-C-RB1-G14</x:v>
      </x:c>
      <x:c r="D214" s="26" t="str">
        <x:v>C3-LF-C-RB1</x:v>
      </x:c>
      <x:c r="E214" s="26" t="str">
        <x:v>MS-LF</x:v>
      </x:c>
      <x:c r="F214" s="26" t="str">
        <x:v>C</x:v>
      </x:c>
      <x:c r="G214" s="26" t="str">
        <x:v>G14</x:v>
      </x:c>
      <x:c r="H214" s="26" t="str">
        <x:v>Independent root release</x:v>
      </x:c>
      <x:c r="I214" s="26" t="str">
        <x:v>Department release board</x:v>
      </x:c>
      <x:c r="J214" s="38" t="str">
        <x:v>OPEN</x:v>
      </x:c>
      <x:c r="K214" s="38" t="str">
        <x:v>UNASSIGNED</x:v>
      </x:c>
      <x:c r="L214" s="26" t="n">
        <x:v>0</x:v>
      </x:c>
    </x:row>
    <x:row r="215" ht="27" customHeight="1">
      <x:c r="C215" s="26" t="str">
        <x:v>C3-LF-D-RB1-G01</x:v>
      </x:c>
      <x:c r="D215" s="26" t="str">
        <x:v>C3-LF-D-RB1</x:v>
      </x:c>
      <x:c r="E215" s="26" t="str">
        <x:v>MS-LF</x:v>
      </x:c>
      <x:c r="F215" s="26" t="str">
        <x:v>D</x:v>
      </x:c>
      <x:c r="G215" s="26" t="str">
        <x:v>G01</x:v>
      </x:c>
      <x:c r="H215" s="26" t="str">
        <x:v>Complete service-route bill</x:v>
      </x:c>
      <x:c r="I215" s="26" t="str">
        <x:v>Mission-system office</x:v>
      </x:c>
      <x:c r="J215" s="38" t="str">
        <x:v>OPEN</x:v>
      </x:c>
      <x:c r="K215" s="38" t="str">
        <x:v>UNASSIGNED</x:v>
      </x:c>
      <x:c r="L215" s="26" t="n">
        <x:v>0</x:v>
      </x:c>
    </x:row>
    <x:row r="216" ht="27" customHeight="1">
      <x:c r="C216" s="26" t="str">
        <x:v>C3-LF-D-RB1-G02</x:v>
      </x:c>
      <x:c r="D216" s="26" t="str">
        <x:v>C3-LF-D-RB1</x:v>
      </x:c>
      <x:c r="E216" s="26" t="str">
        <x:v>MS-LF</x:v>
      </x:c>
      <x:c r="F216" s="26" t="str">
        <x:v>D</x:v>
      </x:c>
      <x:c r="G216" s="26" t="str">
        <x:v>G02</x:v>
      </x:c>
      <x:c r="H216" s="26" t="str">
        <x:v>Seven-stage state machine</x:v>
      </x:c>
      <x:c r="I216" s="26" t="str">
        <x:v>Service technical authorities</x:v>
      </x:c>
      <x:c r="J216" s="38" t="str">
        <x:v>OPEN</x:v>
      </x:c>
      <x:c r="K216" s="38" t="str">
        <x:v>UNASSIGNED</x:v>
      </x:c>
      <x:c r="L216" s="26" t="n">
        <x:v>0</x:v>
      </x:c>
    </x:row>
    <x:row r="217" ht="27" customHeight="1">
      <x:c r="C217" s="26" t="str">
        <x:v>C3-LF-D-RB1-G03</x:v>
      </x:c>
      <x:c r="D217" s="26" t="str">
        <x:v>C3-LF-D-RB1</x:v>
      </x:c>
      <x:c r="E217" s="26" t="str">
        <x:v>MS-LF</x:v>
      </x:c>
      <x:c r="F217" s="26" t="str">
        <x:v>D</x:v>
      </x:c>
      <x:c r="G217" s="26" t="str">
        <x:v>G03</x:v>
      </x:c>
      <x:c r="H217" s="26" t="str">
        <x:v>Four-field root architecture</x:v>
      </x:c>
      <x:c r="I217" s="26" t="str">
        <x:v>Mission-system office</x:v>
      </x:c>
      <x:c r="J217" s="38" t="str">
        <x:v>OPEN</x:v>
      </x:c>
      <x:c r="K217" s="38" t="str">
        <x:v>UNASSIGNED</x:v>
      </x:c>
      <x:c r="L217" s="26" t="n">
        <x:v>0</x:v>
      </x:c>
    </x:row>
    <x:row r="218" ht="27" customHeight="1">
      <x:c r="C218" s="26" t="str">
        <x:v>C3-LF-D-RB1-G04</x:v>
      </x:c>
      <x:c r="D218" s="26" t="str">
        <x:v>C3-LF-D-RB1</x:v>
      </x:c>
      <x:c r="E218" s="26" t="str">
        <x:v>MS-LF</x:v>
      </x:c>
      <x:c r="F218" s="26" t="str">
        <x:v>D</x:v>
      </x:c>
      <x:c r="G218" s="26" t="str">
        <x:v>G04</x:v>
      </x:c>
      <x:c r="H218" s="26" t="str">
        <x:v>Numeric service thresholds</x:v>
      </x:c>
      <x:c r="I218" s="26" t="str">
        <x:v>Public-effect authorities</x:v>
      </x:c>
      <x:c r="J218" s="38" t="str">
        <x:v>OPEN</x:v>
      </x:c>
      <x:c r="K218" s="38" t="str">
        <x:v>UNASSIGNED</x:v>
      </x:c>
      <x:c r="L218" s="26" t="n">
        <x:v>0</x:v>
      </x:c>
    </x:row>
    <x:row r="219" ht="27" customHeight="1">
      <x:c r="C219" s="26" t="str">
        <x:v>C3-LF-D-RB1-G05</x:v>
      </x:c>
      <x:c r="D219" s="26" t="str">
        <x:v>C3-LF-D-RB1</x:v>
      </x:c>
      <x:c r="E219" s="26" t="str">
        <x:v>MS-LF</x:v>
      </x:c>
      <x:c r="F219" s="26" t="str">
        <x:v>D</x:v>
      </x:c>
      <x:c r="G219" s="26" t="str">
        <x:v>G05</x:v>
      </x:c>
      <x:c r="H219" s="26" t="str">
        <x:v>Mass, energy, flow and residual closure</x:v>
      </x:c>
      <x:c r="I219" s="26" t="str">
        <x:v>Independent engineering board</x:v>
      </x:c>
      <x:c r="J219" s="38" t="str">
        <x:v>OPEN</x:v>
      </x:c>
      <x:c r="K219" s="38" t="str">
        <x:v>UNASSIGNED</x:v>
      </x:c>
      <x:c r="L219" s="26" t="n">
        <x:v>0</x:v>
      </x:c>
    </x:row>
    <x:row r="220" ht="27" customHeight="1">
      <x:c r="C220" s="26" t="str">
        <x:v>C3-LF-D-RB1-G06</x:v>
      </x:c>
      <x:c r="D220" s="26" t="str">
        <x:v>C3-LF-D-RB1</x:v>
      </x:c>
      <x:c r="E220" s="26" t="str">
        <x:v>MS-LF</x:v>
      </x:c>
      <x:c r="F220" s="26" t="str">
        <x:v>D</x:v>
      </x:c>
      <x:c r="G220" s="26" t="str">
        <x:v>G06</x:v>
      </x:c>
      <x:c r="H220" s="26" t="str">
        <x:v>Safety, accessibility and rights case</x:v>
      </x:c>
      <x:c r="I220" s="26" t="str">
        <x:v>Safety and civil-rights authorities</x:v>
      </x:c>
      <x:c r="J220" s="38" t="str">
        <x:v>OPEN</x:v>
      </x:c>
      <x:c r="K220" s="38" t="str">
        <x:v>UNASSIGNED</x:v>
      </x:c>
      <x:c r="L220" s="26" t="n">
        <x:v>0</x:v>
      </x:c>
    </x:row>
    <x:row r="221" ht="27" customHeight="1">
      <x:c r="C221" s="26" t="str">
        <x:v>C3-LF-D-RB1-G07</x:v>
      </x:c>
      <x:c r="D221" s="26" t="str">
        <x:v>C3-LF-D-RB1</x:v>
      </x:c>
      <x:c r="E221" s="26" t="str">
        <x:v>MS-LF</x:v>
      </x:c>
      <x:c r="F221" s="26" t="str">
        <x:v>D</x:v>
      </x:c>
      <x:c r="G221" s="26" t="str">
        <x:v>G07</x:v>
      </x:c>
      <x:c r="H221" s="26" t="str">
        <x:v>Public physical and record interfaces</x:v>
      </x:c>
      <x:c r="I221" s="26" t="str">
        <x:v>Technical integration authority</x:v>
      </x:c>
      <x:c r="J221" s="38" t="str">
        <x:v>OPEN</x:v>
      </x:c>
      <x:c r="K221" s="38" t="str">
        <x:v>UNASSIGNED</x:v>
      </x:c>
      <x:c r="L221" s="26" t="n">
        <x:v>0</x:v>
      </x:c>
    </x:row>
    <x:row r="222" ht="27" customHeight="1">
      <x:c r="C222" s="26" t="str">
        <x:v>C3-LF-D-RB1-G08</x:v>
      </x:c>
      <x:c r="D222" s="26" t="str">
        <x:v>C3-LF-D-RB1</x:v>
      </x:c>
      <x:c r="E222" s="26" t="str">
        <x:v>MS-LF</x:v>
      </x:c>
      <x:c r="F222" s="26" t="str">
        <x:v>D</x:v>
      </x:c>
      <x:c r="G222" s="26" t="str">
        <x:v>G08</x:v>
      </x:c>
      <x:c r="H222" s="26" t="str">
        <x:v>Decisive ancestry declaration</x:v>
      </x:c>
      <x:c r="I222" s="26" t="str">
        <x:v>Manufacturing authority</x:v>
      </x:c>
      <x:c r="J222" s="38" t="str">
        <x:v>OPEN</x:v>
      </x:c>
      <x:c r="K222" s="38" t="str">
        <x:v>UNASSIGNED</x:v>
      </x:c>
      <x:c r="L222" s="26" t="n">
        <x:v>0</x:v>
      </x:c>
    </x:row>
    <x:row r="223" ht="27" customHeight="1">
      <x:c r="C223" s="26" t="str">
        <x:v>C3-LF-D-RB1-G09</x:v>
      </x:c>
      <x:c r="D223" s="26" t="str">
        <x:v>C3-LF-D-RB1</x:v>
      </x:c>
      <x:c r="E223" s="26" t="str">
        <x:v>MS-LF</x:v>
      </x:c>
      <x:c r="F223" s="26" t="str">
        <x:v>D</x:v>
      </x:c>
      <x:c r="G223" s="26" t="str">
        <x:v>G09</x:v>
      </x:c>
      <x:c r="H223" s="26" t="str">
        <x:v>Executable build records and travelers</x:v>
      </x:c>
      <x:c r="I223" s="26" t="str">
        <x:v>Configuration authority</x:v>
      </x:c>
      <x:c r="J223" s="38" t="str">
        <x:v>OPEN</x:v>
      </x:c>
      <x:c r="K223" s="38" t="str">
        <x:v>UNASSIGNED</x:v>
      </x:c>
      <x:c r="L223" s="26" t="n">
        <x:v>0</x:v>
      </x:c>
    </x:row>
    <x:row r="224" ht="27" customHeight="1">
      <x:c r="C224" s="26" t="str">
        <x:v>C3-LF-D-RB1-G10</x:v>
      </x:c>
      <x:c r="D224" s="26" t="str">
        <x:v>C3-LF-D-RB1</x:v>
      </x:c>
      <x:c r="E224" s="26" t="str">
        <x:v>MS-LF</x:v>
      </x:c>
      <x:c r="F224" s="26" t="str">
        <x:v>D</x:v>
      </x:c>
      <x:c r="G224" s="26" t="str">
        <x:v>G10</x:v>
      </x:c>
      <x:c r="H224" s="26" t="str">
        <x:v>Representative subsystem evidence</x:v>
      </x:c>
      <x:c r="I224" s="26" t="str">
        <x:v>Sovereign evidence authority</x:v>
      </x:c>
      <x:c r="J224" s="38" t="str">
        <x:v>OPEN</x:v>
      </x:c>
      <x:c r="K224" s="38" t="str">
        <x:v>UNASSIGNED</x:v>
      </x:c>
      <x:c r="L224" s="26" t="n">
        <x:v>0</x:v>
      </x:c>
    </x:row>
    <x:row r="225" ht="27" customHeight="1">
      <x:c r="C225" s="26" t="str">
        <x:v>C3-LF-D-RB1-G11</x:v>
      </x:c>
      <x:c r="D225" s="26" t="str">
        <x:v>C3-LF-D-RB1</x:v>
      </x:c>
      <x:c r="E225" s="26" t="str">
        <x:v>MS-LF</x:v>
      </x:c>
      <x:c r="F225" s="26" t="str">
        <x:v>D</x:v>
      </x:c>
      <x:c r="G225" s="26" t="str">
        <x:v>G11</x:v>
      </x:c>
      <x:c r="H225" s="26" t="str">
        <x:v>Disconnected and manual operation</x:v>
      </x:c>
      <x:c r="I225" s="26" t="str">
        <x:v>Operating service authorities</x:v>
      </x:c>
      <x:c r="J225" s="38" t="str">
        <x:v>OPEN</x:v>
      </x:c>
      <x:c r="K225" s="38" t="str">
        <x:v>UNASSIGNED</x:v>
      </x:c>
      <x:c r="L225" s="26" t="n">
        <x:v>0</x:v>
      </x:c>
    </x:row>
    <x:row r="226" ht="27" customHeight="1">
      <x:c r="C226" s="26" t="str">
        <x:v>C3-LF-D-RB1-G12</x:v>
      </x:c>
      <x:c r="D226" s="26" t="str">
        <x:v>C3-LF-D-RB1</x:v>
      </x:c>
      <x:c r="E226" s="26" t="str">
        <x:v>MS-LF</x:v>
      </x:c>
      <x:c r="F226" s="26" t="str">
        <x:v>D</x:v>
      </x:c>
      <x:c r="G226" s="26" t="str">
        <x:v>G12</x:v>
      </x:c>
      <x:c r="H226" s="26" t="str">
        <x:v>Root-native evidence and outside replay</x:v>
      </x:c>
      <x:c r="I226" s="26" t="str">
        <x:v>Sovereign evidence authority</x:v>
      </x:c>
      <x:c r="J226" s="38" t="str">
        <x:v>OPEN</x:v>
      </x:c>
      <x:c r="K226" s="38" t="str">
        <x:v>UNASSIGNED</x:v>
      </x:c>
      <x:c r="L226" s="26" t="n">
        <x:v>0</x:v>
      </x:c>
    </x:row>
    <x:row r="227" ht="27" customHeight="1">
      <x:c r="C227" s="26" t="str">
        <x:v>C3-LF-D-RB1-G13</x:v>
      </x:c>
      <x:c r="D227" s="26" t="str">
        <x:v>C3-LF-D-RB1</x:v>
      </x:c>
      <x:c r="E227" s="26" t="str">
        <x:v>MS-LF</x:v>
      </x:c>
      <x:c r="F227" s="26" t="str">
        <x:v>D</x:v>
      </x:c>
      <x:c r="G227" s="26" t="str">
        <x:v>G13</x:v>
      </x:c>
      <x:c r="H227" s="26" t="str">
        <x:v>Repair, reset and second-team reproduction</x:v>
      </x:c>
      <x:c r="I227" s="26" t="str">
        <x:v>Regeneration and manufacturing authorities</x:v>
      </x:c>
      <x:c r="J227" s="38" t="str">
        <x:v>OPEN</x:v>
      </x:c>
      <x:c r="K227" s="38" t="str">
        <x:v>UNASSIGNED</x:v>
      </x:c>
      <x:c r="L227" s="26" t="n">
        <x:v>0</x:v>
      </x:c>
    </x:row>
    <x:row r="228" ht="27" customHeight="1">
      <x:c r="C228" s="26" t="str">
        <x:v>C3-LF-D-RB1-G14</x:v>
      </x:c>
      <x:c r="D228" s="26" t="str">
        <x:v>C3-LF-D-RB1</x:v>
      </x:c>
      <x:c r="E228" s="26" t="str">
        <x:v>MS-LF</x:v>
      </x:c>
      <x:c r="F228" s="26" t="str">
        <x:v>D</x:v>
      </x:c>
      <x:c r="G228" s="26" t="str">
        <x:v>G14</x:v>
      </x:c>
      <x:c r="H228" s="26" t="str">
        <x:v>Independent root release</x:v>
      </x:c>
      <x:c r="I228" s="26" t="str">
        <x:v>Department release board</x:v>
      </x:c>
      <x:c r="J228" s="38" t="str">
        <x:v>OPEN</x:v>
      </x:c>
      <x:c r="K228" s="38" t="str">
        <x:v>UNASSIGNED</x:v>
      </x:c>
      <x:c r="L228" s="26" t="n">
        <x:v>0</x:v>
      </x:c>
    </x:row>
    <x:row r="229" ht="27" customHeight="1">
      <x:c r="C229" s="26" t="str">
        <x:v>C3-HU-A-RB1-G01</x:v>
      </x:c>
      <x:c r="D229" s="26" t="str">
        <x:v>C3-HU-A-RB1</x:v>
      </x:c>
      <x:c r="E229" s="26" t="str">
        <x:v>MS-HU</x:v>
      </x:c>
      <x:c r="F229" s="26" t="str">
        <x:v>A</x:v>
      </x:c>
      <x:c r="G229" s="26" t="str">
        <x:v>G01</x:v>
      </x:c>
      <x:c r="H229" s="26" t="str">
        <x:v>Complete service-route bill</x:v>
      </x:c>
      <x:c r="I229" s="26" t="str">
        <x:v>Mission-system office</x:v>
      </x:c>
      <x:c r="J229" s="38" t="str">
        <x:v>OPEN</x:v>
      </x:c>
      <x:c r="K229" s="38" t="str">
        <x:v>UNASSIGNED</x:v>
      </x:c>
      <x:c r="L229" s="26" t="n">
        <x:v>0</x:v>
      </x:c>
    </x:row>
    <x:row r="230" ht="27" customHeight="1">
      <x:c r="C230" s="26" t="str">
        <x:v>C3-HU-A-RB1-G02</x:v>
      </x:c>
      <x:c r="D230" s="26" t="str">
        <x:v>C3-HU-A-RB1</x:v>
      </x:c>
      <x:c r="E230" s="26" t="str">
        <x:v>MS-HU</x:v>
      </x:c>
      <x:c r="F230" s="26" t="str">
        <x:v>A</x:v>
      </x:c>
      <x:c r="G230" s="26" t="str">
        <x:v>G02</x:v>
      </x:c>
      <x:c r="H230" s="26" t="str">
        <x:v>Seven-stage state machine</x:v>
      </x:c>
      <x:c r="I230" s="26" t="str">
        <x:v>Service technical authorities</x:v>
      </x:c>
      <x:c r="J230" s="38" t="str">
        <x:v>OPEN</x:v>
      </x:c>
      <x:c r="K230" s="38" t="str">
        <x:v>UNASSIGNED</x:v>
      </x:c>
      <x:c r="L230" s="26" t="n">
        <x:v>0</x:v>
      </x:c>
    </x:row>
    <x:row r="231" ht="27" customHeight="1">
      <x:c r="C231" s="26" t="str">
        <x:v>C3-HU-A-RB1-G03</x:v>
      </x:c>
      <x:c r="D231" s="26" t="str">
        <x:v>C3-HU-A-RB1</x:v>
      </x:c>
      <x:c r="E231" s="26" t="str">
        <x:v>MS-HU</x:v>
      </x:c>
      <x:c r="F231" s="26" t="str">
        <x:v>A</x:v>
      </x:c>
      <x:c r="G231" s="26" t="str">
        <x:v>G03</x:v>
      </x:c>
      <x:c r="H231" s="26" t="str">
        <x:v>Four-field root architecture</x:v>
      </x:c>
      <x:c r="I231" s="26" t="str">
        <x:v>Mission-system office</x:v>
      </x:c>
      <x:c r="J231" s="38" t="str">
        <x:v>OPEN</x:v>
      </x:c>
      <x:c r="K231" s="38" t="str">
        <x:v>UNASSIGNED</x:v>
      </x:c>
      <x:c r="L231" s="26" t="n">
        <x:v>0</x:v>
      </x:c>
    </x:row>
    <x:row r="232" ht="27" customHeight="1">
      <x:c r="C232" s="26" t="str">
        <x:v>C3-HU-A-RB1-G04</x:v>
      </x:c>
      <x:c r="D232" s="26" t="str">
        <x:v>C3-HU-A-RB1</x:v>
      </x:c>
      <x:c r="E232" s="26" t="str">
        <x:v>MS-HU</x:v>
      </x:c>
      <x:c r="F232" s="26" t="str">
        <x:v>A</x:v>
      </x:c>
      <x:c r="G232" s="26" t="str">
        <x:v>G04</x:v>
      </x:c>
      <x:c r="H232" s="26" t="str">
        <x:v>Numeric service thresholds</x:v>
      </x:c>
      <x:c r="I232" s="26" t="str">
        <x:v>Public-effect authorities</x:v>
      </x:c>
      <x:c r="J232" s="38" t="str">
        <x:v>OPEN</x:v>
      </x:c>
      <x:c r="K232" s="38" t="str">
        <x:v>UNASSIGNED</x:v>
      </x:c>
      <x:c r="L232" s="26" t="n">
        <x:v>0</x:v>
      </x:c>
    </x:row>
    <x:row r="233" ht="27" customHeight="1">
      <x:c r="C233" s="26" t="str">
        <x:v>C3-HU-A-RB1-G05</x:v>
      </x:c>
      <x:c r="D233" s="26" t="str">
        <x:v>C3-HU-A-RB1</x:v>
      </x:c>
      <x:c r="E233" s="26" t="str">
        <x:v>MS-HU</x:v>
      </x:c>
      <x:c r="F233" s="26" t="str">
        <x:v>A</x:v>
      </x:c>
      <x:c r="G233" s="26" t="str">
        <x:v>G05</x:v>
      </x:c>
      <x:c r="H233" s="26" t="str">
        <x:v>Mass, energy, flow and residual closure</x:v>
      </x:c>
      <x:c r="I233" s="26" t="str">
        <x:v>Independent engineering board</x:v>
      </x:c>
      <x:c r="J233" s="38" t="str">
        <x:v>OPEN</x:v>
      </x:c>
      <x:c r="K233" s="38" t="str">
        <x:v>UNASSIGNED</x:v>
      </x:c>
      <x:c r="L233" s="26" t="n">
        <x:v>0</x:v>
      </x:c>
    </x:row>
    <x:row r="234" ht="27" customHeight="1">
      <x:c r="C234" s="26" t="str">
        <x:v>C3-HU-A-RB1-G06</x:v>
      </x:c>
      <x:c r="D234" s="26" t="str">
        <x:v>C3-HU-A-RB1</x:v>
      </x:c>
      <x:c r="E234" s="26" t="str">
        <x:v>MS-HU</x:v>
      </x:c>
      <x:c r="F234" s="26" t="str">
        <x:v>A</x:v>
      </x:c>
      <x:c r="G234" s="26" t="str">
        <x:v>G06</x:v>
      </x:c>
      <x:c r="H234" s="26" t="str">
        <x:v>Safety, accessibility and rights case</x:v>
      </x:c>
      <x:c r="I234" s="26" t="str">
        <x:v>Safety and civil-rights authorities</x:v>
      </x:c>
      <x:c r="J234" s="38" t="str">
        <x:v>OPEN</x:v>
      </x:c>
      <x:c r="K234" s="38" t="str">
        <x:v>UNASSIGNED</x:v>
      </x:c>
      <x:c r="L234" s="26" t="n">
        <x:v>0</x:v>
      </x:c>
    </x:row>
    <x:row r="235" ht="27" customHeight="1">
      <x:c r="C235" s="26" t="str">
        <x:v>C3-HU-A-RB1-G07</x:v>
      </x:c>
      <x:c r="D235" s="26" t="str">
        <x:v>C3-HU-A-RB1</x:v>
      </x:c>
      <x:c r="E235" s="26" t="str">
        <x:v>MS-HU</x:v>
      </x:c>
      <x:c r="F235" s="26" t="str">
        <x:v>A</x:v>
      </x:c>
      <x:c r="G235" s="26" t="str">
        <x:v>G07</x:v>
      </x:c>
      <x:c r="H235" s="26" t="str">
        <x:v>Public physical and record interfaces</x:v>
      </x:c>
      <x:c r="I235" s="26" t="str">
        <x:v>Technical integration authority</x:v>
      </x:c>
      <x:c r="J235" s="38" t="str">
        <x:v>OPEN</x:v>
      </x:c>
      <x:c r="K235" s="38" t="str">
        <x:v>UNASSIGNED</x:v>
      </x:c>
      <x:c r="L235" s="26" t="n">
        <x:v>0</x:v>
      </x:c>
    </x:row>
    <x:row r="236" ht="27" customHeight="1">
      <x:c r="C236" s="26" t="str">
        <x:v>C3-HU-A-RB1-G08</x:v>
      </x:c>
      <x:c r="D236" s="26" t="str">
        <x:v>C3-HU-A-RB1</x:v>
      </x:c>
      <x:c r="E236" s="26" t="str">
        <x:v>MS-HU</x:v>
      </x:c>
      <x:c r="F236" s="26" t="str">
        <x:v>A</x:v>
      </x:c>
      <x:c r="G236" s="26" t="str">
        <x:v>G08</x:v>
      </x:c>
      <x:c r="H236" s="26" t="str">
        <x:v>Decisive ancestry declaration</x:v>
      </x:c>
      <x:c r="I236" s="26" t="str">
        <x:v>Manufacturing authority</x:v>
      </x:c>
      <x:c r="J236" s="38" t="str">
        <x:v>OPEN</x:v>
      </x:c>
      <x:c r="K236" s="38" t="str">
        <x:v>UNASSIGNED</x:v>
      </x:c>
      <x:c r="L236" s="26" t="n">
        <x:v>0</x:v>
      </x:c>
    </x:row>
    <x:row r="237" ht="27" customHeight="1">
      <x:c r="C237" s="26" t="str">
        <x:v>C3-HU-A-RB1-G09</x:v>
      </x:c>
      <x:c r="D237" s="26" t="str">
        <x:v>C3-HU-A-RB1</x:v>
      </x:c>
      <x:c r="E237" s="26" t="str">
        <x:v>MS-HU</x:v>
      </x:c>
      <x:c r="F237" s="26" t="str">
        <x:v>A</x:v>
      </x:c>
      <x:c r="G237" s="26" t="str">
        <x:v>G09</x:v>
      </x:c>
      <x:c r="H237" s="26" t="str">
        <x:v>Executable build records and travelers</x:v>
      </x:c>
      <x:c r="I237" s="26" t="str">
        <x:v>Configuration authority</x:v>
      </x:c>
      <x:c r="J237" s="38" t="str">
        <x:v>OPEN</x:v>
      </x:c>
      <x:c r="K237" s="38" t="str">
        <x:v>UNASSIGNED</x:v>
      </x:c>
      <x:c r="L237" s="26" t="n">
        <x:v>0</x:v>
      </x:c>
    </x:row>
    <x:row r="238" ht="27" customHeight="1">
      <x:c r="C238" s="26" t="str">
        <x:v>C3-HU-A-RB1-G10</x:v>
      </x:c>
      <x:c r="D238" s="26" t="str">
        <x:v>C3-HU-A-RB1</x:v>
      </x:c>
      <x:c r="E238" s="26" t="str">
        <x:v>MS-HU</x:v>
      </x:c>
      <x:c r="F238" s="26" t="str">
        <x:v>A</x:v>
      </x:c>
      <x:c r="G238" s="26" t="str">
        <x:v>G10</x:v>
      </x:c>
      <x:c r="H238" s="26" t="str">
        <x:v>Representative subsystem evidence</x:v>
      </x:c>
      <x:c r="I238" s="26" t="str">
        <x:v>Sovereign evidence authority</x:v>
      </x:c>
      <x:c r="J238" s="38" t="str">
        <x:v>OPEN</x:v>
      </x:c>
      <x:c r="K238" s="38" t="str">
        <x:v>UNASSIGNED</x:v>
      </x:c>
      <x:c r="L238" s="26" t="n">
        <x:v>0</x:v>
      </x:c>
    </x:row>
    <x:row r="239" ht="27" customHeight="1">
      <x:c r="C239" s="26" t="str">
        <x:v>C3-HU-A-RB1-G11</x:v>
      </x:c>
      <x:c r="D239" s="26" t="str">
        <x:v>C3-HU-A-RB1</x:v>
      </x:c>
      <x:c r="E239" s="26" t="str">
        <x:v>MS-HU</x:v>
      </x:c>
      <x:c r="F239" s="26" t="str">
        <x:v>A</x:v>
      </x:c>
      <x:c r="G239" s="26" t="str">
        <x:v>G11</x:v>
      </x:c>
      <x:c r="H239" s="26" t="str">
        <x:v>Disconnected and manual operation</x:v>
      </x:c>
      <x:c r="I239" s="26" t="str">
        <x:v>Operating service authorities</x:v>
      </x:c>
      <x:c r="J239" s="38" t="str">
        <x:v>OPEN</x:v>
      </x:c>
      <x:c r="K239" s="38" t="str">
        <x:v>UNASSIGNED</x:v>
      </x:c>
      <x:c r="L239" s="26" t="n">
        <x:v>0</x:v>
      </x:c>
    </x:row>
    <x:row r="240" ht="27" customHeight="1">
      <x:c r="C240" s="26" t="str">
        <x:v>C3-HU-A-RB1-G12</x:v>
      </x:c>
      <x:c r="D240" s="26" t="str">
        <x:v>C3-HU-A-RB1</x:v>
      </x:c>
      <x:c r="E240" s="26" t="str">
        <x:v>MS-HU</x:v>
      </x:c>
      <x:c r="F240" s="26" t="str">
        <x:v>A</x:v>
      </x:c>
      <x:c r="G240" s="26" t="str">
        <x:v>G12</x:v>
      </x:c>
      <x:c r="H240" s="26" t="str">
        <x:v>Root-native evidence and outside replay</x:v>
      </x:c>
      <x:c r="I240" s="26" t="str">
        <x:v>Sovereign evidence authority</x:v>
      </x:c>
      <x:c r="J240" s="38" t="str">
        <x:v>OPEN</x:v>
      </x:c>
      <x:c r="K240" s="38" t="str">
        <x:v>UNASSIGNED</x:v>
      </x:c>
      <x:c r="L240" s="26" t="n">
        <x:v>0</x:v>
      </x:c>
    </x:row>
    <x:row r="241" ht="27" customHeight="1">
      <x:c r="C241" s="26" t="str">
        <x:v>C3-HU-A-RB1-G13</x:v>
      </x:c>
      <x:c r="D241" s="26" t="str">
        <x:v>C3-HU-A-RB1</x:v>
      </x:c>
      <x:c r="E241" s="26" t="str">
        <x:v>MS-HU</x:v>
      </x:c>
      <x:c r="F241" s="26" t="str">
        <x:v>A</x:v>
      </x:c>
      <x:c r="G241" s="26" t="str">
        <x:v>G13</x:v>
      </x:c>
      <x:c r="H241" s="26" t="str">
        <x:v>Repair, reset and second-team reproduction</x:v>
      </x:c>
      <x:c r="I241" s="26" t="str">
        <x:v>Regeneration and manufacturing authorities</x:v>
      </x:c>
      <x:c r="J241" s="38" t="str">
        <x:v>OPEN</x:v>
      </x:c>
      <x:c r="K241" s="38" t="str">
        <x:v>UNASSIGNED</x:v>
      </x:c>
      <x:c r="L241" s="26" t="n">
        <x:v>0</x:v>
      </x:c>
    </x:row>
    <x:row r="242" ht="27" customHeight="1">
      <x:c r="C242" s="26" t="str">
        <x:v>C3-HU-A-RB1-G14</x:v>
      </x:c>
      <x:c r="D242" s="26" t="str">
        <x:v>C3-HU-A-RB1</x:v>
      </x:c>
      <x:c r="E242" s="26" t="str">
        <x:v>MS-HU</x:v>
      </x:c>
      <x:c r="F242" s="26" t="str">
        <x:v>A</x:v>
      </x:c>
      <x:c r="G242" s="26" t="str">
        <x:v>G14</x:v>
      </x:c>
      <x:c r="H242" s="26" t="str">
        <x:v>Independent root release</x:v>
      </x:c>
      <x:c r="I242" s="26" t="str">
        <x:v>Department release board</x:v>
      </x:c>
      <x:c r="J242" s="38" t="str">
        <x:v>OPEN</x:v>
      </x:c>
      <x:c r="K242" s="38" t="str">
        <x:v>UNASSIGNED</x:v>
      </x:c>
      <x:c r="L242" s="26" t="n">
        <x:v>0</x:v>
      </x:c>
    </x:row>
    <x:row r="243" ht="27" customHeight="1">
      <x:c r="C243" s="26" t="str">
        <x:v>C3-HU-B-RB1-G01</x:v>
      </x:c>
      <x:c r="D243" s="26" t="str">
        <x:v>C3-HU-B-RB1</x:v>
      </x:c>
      <x:c r="E243" s="26" t="str">
        <x:v>MS-HU</x:v>
      </x:c>
      <x:c r="F243" s="26" t="str">
        <x:v>B</x:v>
      </x:c>
      <x:c r="G243" s="26" t="str">
        <x:v>G01</x:v>
      </x:c>
      <x:c r="H243" s="26" t="str">
        <x:v>Complete service-route bill</x:v>
      </x:c>
      <x:c r="I243" s="26" t="str">
        <x:v>Mission-system office</x:v>
      </x:c>
      <x:c r="J243" s="38" t="str">
        <x:v>OPEN</x:v>
      </x:c>
      <x:c r="K243" s="38" t="str">
        <x:v>UNASSIGNED</x:v>
      </x:c>
      <x:c r="L243" s="26" t="n">
        <x:v>0</x:v>
      </x:c>
    </x:row>
    <x:row r="244" ht="27" customHeight="1">
      <x:c r="C244" s="26" t="str">
        <x:v>C3-HU-B-RB1-G02</x:v>
      </x:c>
      <x:c r="D244" s="26" t="str">
        <x:v>C3-HU-B-RB1</x:v>
      </x:c>
      <x:c r="E244" s="26" t="str">
        <x:v>MS-HU</x:v>
      </x:c>
      <x:c r="F244" s="26" t="str">
        <x:v>B</x:v>
      </x:c>
      <x:c r="G244" s="26" t="str">
        <x:v>G02</x:v>
      </x:c>
      <x:c r="H244" s="26" t="str">
        <x:v>Seven-stage state machine</x:v>
      </x:c>
      <x:c r="I244" s="26" t="str">
        <x:v>Service technical authorities</x:v>
      </x:c>
      <x:c r="J244" s="38" t="str">
        <x:v>OPEN</x:v>
      </x:c>
      <x:c r="K244" s="38" t="str">
        <x:v>UNASSIGNED</x:v>
      </x:c>
      <x:c r="L244" s="26" t="n">
        <x:v>0</x:v>
      </x:c>
    </x:row>
    <x:row r="245" ht="27" customHeight="1">
      <x:c r="C245" s="26" t="str">
        <x:v>C3-HU-B-RB1-G03</x:v>
      </x:c>
      <x:c r="D245" s="26" t="str">
        <x:v>C3-HU-B-RB1</x:v>
      </x:c>
      <x:c r="E245" s="26" t="str">
        <x:v>MS-HU</x:v>
      </x:c>
      <x:c r="F245" s="26" t="str">
        <x:v>B</x:v>
      </x:c>
      <x:c r="G245" s="26" t="str">
        <x:v>G03</x:v>
      </x:c>
      <x:c r="H245" s="26" t="str">
        <x:v>Four-field root architecture</x:v>
      </x:c>
      <x:c r="I245" s="26" t="str">
        <x:v>Mission-system office</x:v>
      </x:c>
      <x:c r="J245" s="38" t="str">
        <x:v>OPEN</x:v>
      </x:c>
      <x:c r="K245" s="38" t="str">
        <x:v>UNASSIGNED</x:v>
      </x:c>
      <x:c r="L245" s="26" t="n">
        <x:v>0</x:v>
      </x:c>
    </x:row>
    <x:row r="246" ht="27" customHeight="1">
      <x:c r="C246" s="26" t="str">
        <x:v>C3-HU-B-RB1-G04</x:v>
      </x:c>
      <x:c r="D246" s="26" t="str">
        <x:v>C3-HU-B-RB1</x:v>
      </x:c>
      <x:c r="E246" s="26" t="str">
        <x:v>MS-HU</x:v>
      </x:c>
      <x:c r="F246" s="26" t="str">
        <x:v>B</x:v>
      </x:c>
      <x:c r="G246" s="26" t="str">
        <x:v>G04</x:v>
      </x:c>
      <x:c r="H246" s="26" t="str">
        <x:v>Numeric service thresholds</x:v>
      </x:c>
      <x:c r="I246" s="26" t="str">
        <x:v>Public-effect authorities</x:v>
      </x:c>
      <x:c r="J246" s="38" t="str">
        <x:v>OPEN</x:v>
      </x:c>
      <x:c r="K246" s="38" t="str">
        <x:v>UNASSIGNED</x:v>
      </x:c>
      <x:c r="L246" s="26" t="n">
        <x:v>0</x:v>
      </x:c>
    </x:row>
    <x:row r="247" ht="27" customHeight="1">
      <x:c r="C247" s="26" t="str">
        <x:v>C3-HU-B-RB1-G05</x:v>
      </x:c>
      <x:c r="D247" s="26" t="str">
        <x:v>C3-HU-B-RB1</x:v>
      </x:c>
      <x:c r="E247" s="26" t="str">
        <x:v>MS-HU</x:v>
      </x:c>
      <x:c r="F247" s="26" t="str">
        <x:v>B</x:v>
      </x:c>
      <x:c r="G247" s="26" t="str">
        <x:v>G05</x:v>
      </x:c>
      <x:c r="H247" s="26" t="str">
        <x:v>Mass, energy, flow and residual closure</x:v>
      </x:c>
      <x:c r="I247" s="26" t="str">
        <x:v>Independent engineering board</x:v>
      </x:c>
      <x:c r="J247" s="38" t="str">
        <x:v>OPEN</x:v>
      </x:c>
      <x:c r="K247" s="38" t="str">
        <x:v>UNASSIGNED</x:v>
      </x:c>
      <x:c r="L247" s="26" t="n">
        <x:v>0</x:v>
      </x:c>
    </x:row>
    <x:row r="248" ht="27" customHeight="1">
      <x:c r="C248" s="26" t="str">
        <x:v>C3-HU-B-RB1-G06</x:v>
      </x:c>
      <x:c r="D248" s="26" t="str">
        <x:v>C3-HU-B-RB1</x:v>
      </x:c>
      <x:c r="E248" s="26" t="str">
        <x:v>MS-HU</x:v>
      </x:c>
      <x:c r="F248" s="26" t="str">
        <x:v>B</x:v>
      </x:c>
      <x:c r="G248" s="26" t="str">
        <x:v>G06</x:v>
      </x:c>
      <x:c r="H248" s="26" t="str">
        <x:v>Safety, accessibility and rights case</x:v>
      </x:c>
      <x:c r="I248" s="26" t="str">
        <x:v>Safety and civil-rights authorities</x:v>
      </x:c>
      <x:c r="J248" s="38" t="str">
        <x:v>OPEN</x:v>
      </x:c>
      <x:c r="K248" s="38" t="str">
        <x:v>UNASSIGNED</x:v>
      </x:c>
      <x:c r="L248" s="26" t="n">
        <x:v>0</x:v>
      </x:c>
    </x:row>
    <x:row r="249" ht="27" customHeight="1">
      <x:c r="C249" s="26" t="str">
        <x:v>C3-HU-B-RB1-G07</x:v>
      </x:c>
      <x:c r="D249" s="26" t="str">
        <x:v>C3-HU-B-RB1</x:v>
      </x:c>
      <x:c r="E249" s="26" t="str">
        <x:v>MS-HU</x:v>
      </x:c>
      <x:c r="F249" s="26" t="str">
        <x:v>B</x:v>
      </x:c>
      <x:c r="G249" s="26" t="str">
        <x:v>G07</x:v>
      </x:c>
      <x:c r="H249" s="26" t="str">
        <x:v>Public physical and record interfaces</x:v>
      </x:c>
      <x:c r="I249" s="26" t="str">
        <x:v>Technical integration authority</x:v>
      </x:c>
      <x:c r="J249" s="38" t="str">
        <x:v>OPEN</x:v>
      </x:c>
      <x:c r="K249" s="38" t="str">
        <x:v>UNASSIGNED</x:v>
      </x:c>
      <x:c r="L249" s="26" t="n">
        <x:v>0</x:v>
      </x:c>
    </x:row>
    <x:row r="250" ht="27" customHeight="1">
      <x:c r="C250" s="26" t="str">
        <x:v>C3-HU-B-RB1-G08</x:v>
      </x:c>
      <x:c r="D250" s="26" t="str">
        <x:v>C3-HU-B-RB1</x:v>
      </x:c>
      <x:c r="E250" s="26" t="str">
        <x:v>MS-HU</x:v>
      </x:c>
      <x:c r="F250" s="26" t="str">
        <x:v>B</x:v>
      </x:c>
      <x:c r="G250" s="26" t="str">
        <x:v>G08</x:v>
      </x:c>
      <x:c r="H250" s="26" t="str">
        <x:v>Decisive ancestry declaration</x:v>
      </x:c>
      <x:c r="I250" s="26" t="str">
        <x:v>Manufacturing authority</x:v>
      </x:c>
      <x:c r="J250" s="38" t="str">
        <x:v>OPEN</x:v>
      </x:c>
      <x:c r="K250" s="38" t="str">
        <x:v>UNASSIGNED</x:v>
      </x:c>
      <x:c r="L250" s="26" t="n">
        <x:v>0</x:v>
      </x:c>
    </x:row>
    <x:row r="251" ht="27" customHeight="1">
      <x:c r="C251" s="26" t="str">
        <x:v>C3-HU-B-RB1-G09</x:v>
      </x:c>
      <x:c r="D251" s="26" t="str">
        <x:v>C3-HU-B-RB1</x:v>
      </x:c>
      <x:c r="E251" s="26" t="str">
        <x:v>MS-HU</x:v>
      </x:c>
      <x:c r="F251" s="26" t="str">
        <x:v>B</x:v>
      </x:c>
      <x:c r="G251" s="26" t="str">
        <x:v>G09</x:v>
      </x:c>
      <x:c r="H251" s="26" t="str">
        <x:v>Executable build records and travelers</x:v>
      </x:c>
      <x:c r="I251" s="26" t="str">
        <x:v>Configuration authority</x:v>
      </x:c>
      <x:c r="J251" s="38" t="str">
        <x:v>OPEN</x:v>
      </x:c>
      <x:c r="K251" s="38" t="str">
        <x:v>UNASSIGNED</x:v>
      </x:c>
      <x:c r="L251" s="26" t="n">
        <x:v>0</x:v>
      </x:c>
    </x:row>
    <x:row r="252" ht="27" customHeight="1">
      <x:c r="C252" s="26" t="str">
        <x:v>C3-HU-B-RB1-G10</x:v>
      </x:c>
      <x:c r="D252" s="26" t="str">
        <x:v>C3-HU-B-RB1</x:v>
      </x:c>
      <x:c r="E252" s="26" t="str">
        <x:v>MS-HU</x:v>
      </x:c>
      <x:c r="F252" s="26" t="str">
        <x:v>B</x:v>
      </x:c>
      <x:c r="G252" s="26" t="str">
        <x:v>G10</x:v>
      </x:c>
      <x:c r="H252" s="26" t="str">
        <x:v>Representative subsystem evidence</x:v>
      </x:c>
      <x:c r="I252" s="26" t="str">
        <x:v>Sovereign evidence authority</x:v>
      </x:c>
      <x:c r="J252" s="38" t="str">
        <x:v>OPEN</x:v>
      </x:c>
      <x:c r="K252" s="38" t="str">
        <x:v>UNASSIGNED</x:v>
      </x:c>
      <x:c r="L252" s="26" t="n">
        <x:v>0</x:v>
      </x:c>
    </x:row>
    <x:row r="253" ht="27" customHeight="1">
      <x:c r="C253" s="26" t="str">
        <x:v>C3-HU-B-RB1-G11</x:v>
      </x:c>
      <x:c r="D253" s="26" t="str">
        <x:v>C3-HU-B-RB1</x:v>
      </x:c>
      <x:c r="E253" s="26" t="str">
        <x:v>MS-HU</x:v>
      </x:c>
      <x:c r="F253" s="26" t="str">
        <x:v>B</x:v>
      </x:c>
      <x:c r="G253" s="26" t="str">
        <x:v>G11</x:v>
      </x:c>
      <x:c r="H253" s="26" t="str">
        <x:v>Disconnected and manual operation</x:v>
      </x:c>
      <x:c r="I253" s="26" t="str">
        <x:v>Operating service authorities</x:v>
      </x:c>
      <x:c r="J253" s="38" t="str">
        <x:v>OPEN</x:v>
      </x:c>
      <x:c r="K253" s="38" t="str">
        <x:v>UNASSIGNED</x:v>
      </x:c>
      <x:c r="L253" s="26" t="n">
        <x:v>0</x:v>
      </x:c>
    </x:row>
    <x:row r="254" ht="27" customHeight="1">
      <x:c r="C254" s="26" t="str">
        <x:v>C3-HU-B-RB1-G12</x:v>
      </x:c>
      <x:c r="D254" s="26" t="str">
        <x:v>C3-HU-B-RB1</x:v>
      </x:c>
      <x:c r="E254" s="26" t="str">
        <x:v>MS-HU</x:v>
      </x:c>
      <x:c r="F254" s="26" t="str">
        <x:v>B</x:v>
      </x:c>
      <x:c r="G254" s="26" t="str">
        <x:v>G12</x:v>
      </x:c>
      <x:c r="H254" s="26" t="str">
        <x:v>Root-native evidence and outside replay</x:v>
      </x:c>
      <x:c r="I254" s="26" t="str">
        <x:v>Sovereign evidence authority</x:v>
      </x:c>
      <x:c r="J254" s="38" t="str">
        <x:v>OPEN</x:v>
      </x:c>
      <x:c r="K254" s="38" t="str">
        <x:v>UNASSIGNED</x:v>
      </x:c>
      <x:c r="L254" s="26" t="n">
        <x:v>0</x:v>
      </x:c>
    </x:row>
    <x:row r="255" ht="27" customHeight="1">
      <x:c r="C255" s="26" t="str">
        <x:v>C3-HU-B-RB1-G13</x:v>
      </x:c>
      <x:c r="D255" s="26" t="str">
        <x:v>C3-HU-B-RB1</x:v>
      </x:c>
      <x:c r="E255" s="26" t="str">
        <x:v>MS-HU</x:v>
      </x:c>
      <x:c r="F255" s="26" t="str">
        <x:v>B</x:v>
      </x:c>
      <x:c r="G255" s="26" t="str">
        <x:v>G13</x:v>
      </x:c>
      <x:c r="H255" s="26" t="str">
        <x:v>Repair, reset and second-team reproduction</x:v>
      </x:c>
      <x:c r="I255" s="26" t="str">
        <x:v>Regeneration and manufacturing authorities</x:v>
      </x:c>
      <x:c r="J255" s="38" t="str">
        <x:v>OPEN</x:v>
      </x:c>
      <x:c r="K255" s="38" t="str">
        <x:v>UNASSIGNED</x:v>
      </x:c>
      <x:c r="L255" s="26" t="n">
        <x:v>0</x:v>
      </x:c>
    </x:row>
    <x:row r="256" ht="27" customHeight="1">
      <x:c r="C256" s="26" t="str">
        <x:v>C3-HU-B-RB1-G14</x:v>
      </x:c>
      <x:c r="D256" s="26" t="str">
        <x:v>C3-HU-B-RB1</x:v>
      </x:c>
      <x:c r="E256" s="26" t="str">
        <x:v>MS-HU</x:v>
      </x:c>
      <x:c r="F256" s="26" t="str">
        <x:v>B</x:v>
      </x:c>
      <x:c r="G256" s="26" t="str">
        <x:v>G14</x:v>
      </x:c>
      <x:c r="H256" s="26" t="str">
        <x:v>Independent root release</x:v>
      </x:c>
      <x:c r="I256" s="26" t="str">
        <x:v>Department release board</x:v>
      </x:c>
      <x:c r="J256" s="38" t="str">
        <x:v>OPEN</x:v>
      </x:c>
      <x:c r="K256" s="38" t="str">
        <x:v>UNASSIGNED</x:v>
      </x:c>
      <x:c r="L256" s="26" t="n">
        <x:v>0</x:v>
      </x:c>
    </x:row>
    <x:row r="257" ht="27" customHeight="1">
      <x:c r="C257" s="26" t="str">
        <x:v>C3-HU-C-RB1-G01</x:v>
      </x:c>
      <x:c r="D257" s="26" t="str">
        <x:v>C3-HU-C-RB1</x:v>
      </x:c>
      <x:c r="E257" s="26" t="str">
        <x:v>MS-HU</x:v>
      </x:c>
      <x:c r="F257" s="26" t="str">
        <x:v>C</x:v>
      </x:c>
      <x:c r="G257" s="26" t="str">
        <x:v>G01</x:v>
      </x:c>
      <x:c r="H257" s="26" t="str">
        <x:v>Complete service-route bill</x:v>
      </x:c>
      <x:c r="I257" s="26" t="str">
        <x:v>Mission-system office</x:v>
      </x:c>
      <x:c r="J257" s="38" t="str">
        <x:v>OPEN</x:v>
      </x:c>
      <x:c r="K257" s="38" t="str">
        <x:v>UNASSIGNED</x:v>
      </x:c>
      <x:c r="L257" s="26" t="n">
        <x:v>0</x:v>
      </x:c>
    </x:row>
    <x:row r="258" ht="27" customHeight="1">
      <x:c r="C258" s="26" t="str">
        <x:v>C3-HU-C-RB1-G02</x:v>
      </x:c>
      <x:c r="D258" s="26" t="str">
        <x:v>C3-HU-C-RB1</x:v>
      </x:c>
      <x:c r="E258" s="26" t="str">
        <x:v>MS-HU</x:v>
      </x:c>
      <x:c r="F258" s="26" t="str">
        <x:v>C</x:v>
      </x:c>
      <x:c r="G258" s="26" t="str">
        <x:v>G02</x:v>
      </x:c>
      <x:c r="H258" s="26" t="str">
        <x:v>Seven-stage state machine</x:v>
      </x:c>
      <x:c r="I258" s="26" t="str">
        <x:v>Service technical authorities</x:v>
      </x:c>
      <x:c r="J258" s="38" t="str">
        <x:v>OPEN</x:v>
      </x:c>
      <x:c r="K258" s="38" t="str">
        <x:v>UNASSIGNED</x:v>
      </x:c>
      <x:c r="L258" s="26" t="n">
        <x:v>0</x:v>
      </x:c>
    </x:row>
    <x:row r="259" ht="27" customHeight="1">
      <x:c r="C259" s="26" t="str">
        <x:v>C3-HU-C-RB1-G03</x:v>
      </x:c>
      <x:c r="D259" s="26" t="str">
        <x:v>C3-HU-C-RB1</x:v>
      </x:c>
      <x:c r="E259" s="26" t="str">
        <x:v>MS-HU</x:v>
      </x:c>
      <x:c r="F259" s="26" t="str">
        <x:v>C</x:v>
      </x:c>
      <x:c r="G259" s="26" t="str">
        <x:v>G03</x:v>
      </x:c>
      <x:c r="H259" s="26" t="str">
        <x:v>Four-field root architecture</x:v>
      </x:c>
      <x:c r="I259" s="26" t="str">
        <x:v>Mission-system office</x:v>
      </x:c>
      <x:c r="J259" s="38" t="str">
        <x:v>OPEN</x:v>
      </x:c>
      <x:c r="K259" s="38" t="str">
        <x:v>UNASSIGNED</x:v>
      </x:c>
      <x:c r="L259" s="26" t="n">
        <x:v>0</x:v>
      </x:c>
    </x:row>
    <x:row r="260" ht="27" customHeight="1">
      <x:c r="C260" s="26" t="str">
        <x:v>C3-HU-C-RB1-G04</x:v>
      </x:c>
      <x:c r="D260" s="26" t="str">
        <x:v>C3-HU-C-RB1</x:v>
      </x:c>
      <x:c r="E260" s="26" t="str">
        <x:v>MS-HU</x:v>
      </x:c>
      <x:c r="F260" s="26" t="str">
        <x:v>C</x:v>
      </x:c>
      <x:c r="G260" s="26" t="str">
        <x:v>G04</x:v>
      </x:c>
      <x:c r="H260" s="26" t="str">
        <x:v>Numeric service thresholds</x:v>
      </x:c>
      <x:c r="I260" s="26" t="str">
        <x:v>Public-effect authorities</x:v>
      </x:c>
      <x:c r="J260" s="38" t="str">
        <x:v>OPEN</x:v>
      </x:c>
      <x:c r="K260" s="38" t="str">
        <x:v>UNASSIGNED</x:v>
      </x:c>
      <x:c r="L260" s="26" t="n">
        <x:v>0</x:v>
      </x:c>
    </x:row>
    <x:row r="261" ht="27" customHeight="1">
      <x:c r="C261" s="26" t="str">
        <x:v>C3-HU-C-RB1-G05</x:v>
      </x:c>
      <x:c r="D261" s="26" t="str">
        <x:v>C3-HU-C-RB1</x:v>
      </x:c>
      <x:c r="E261" s="26" t="str">
        <x:v>MS-HU</x:v>
      </x:c>
      <x:c r="F261" s="26" t="str">
        <x:v>C</x:v>
      </x:c>
      <x:c r="G261" s="26" t="str">
        <x:v>G05</x:v>
      </x:c>
      <x:c r="H261" s="26" t="str">
        <x:v>Mass, energy, flow and residual closure</x:v>
      </x:c>
      <x:c r="I261" s="26" t="str">
        <x:v>Independent engineering board</x:v>
      </x:c>
      <x:c r="J261" s="38" t="str">
        <x:v>OPEN</x:v>
      </x:c>
      <x:c r="K261" s="38" t="str">
        <x:v>UNASSIGNED</x:v>
      </x:c>
      <x:c r="L261" s="26" t="n">
        <x:v>0</x:v>
      </x:c>
    </x:row>
    <x:row r="262" ht="27" customHeight="1">
      <x:c r="C262" s="26" t="str">
        <x:v>C3-HU-C-RB1-G06</x:v>
      </x:c>
      <x:c r="D262" s="26" t="str">
        <x:v>C3-HU-C-RB1</x:v>
      </x:c>
      <x:c r="E262" s="26" t="str">
        <x:v>MS-HU</x:v>
      </x:c>
      <x:c r="F262" s="26" t="str">
        <x:v>C</x:v>
      </x:c>
      <x:c r="G262" s="26" t="str">
        <x:v>G06</x:v>
      </x:c>
      <x:c r="H262" s="26" t="str">
        <x:v>Safety, accessibility and rights case</x:v>
      </x:c>
      <x:c r="I262" s="26" t="str">
        <x:v>Safety and civil-rights authorities</x:v>
      </x:c>
      <x:c r="J262" s="38" t="str">
        <x:v>OPEN</x:v>
      </x:c>
      <x:c r="K262" s="38" t="str">
        <x:v>UNASSIGNED</x:v>
      </x:c>
      <x:c r="L262" s="26" t="n">
        <x:v>0</x:v>
      </x:c>
    </x:row>
    <x:row r="263" ht="27" customHeight="1">
      <x:c r="C263" s="26" t="str">
        <x:v>C3-HU-C-RB1-G07</x:v>
      </x:c>
      <x:c r="D263" s="26" t="str">
        <x:v>C3-HU-C-RB1</x:v>
      </x:c>
      <x:c r="E263" s="26" t="str">
        <x:v>MS-HU</x:v>
      </x:c>
      <x:c r="F263" s="26" t="str">
        <x:v>C</x:v>
      </x:c>
      <x:c r="G263" s="26" t="str">
        <x:v>G07</x:v>
      </x:c>
      <x:c r="H263" s="26" t="str">
        <x:v>Public physical and record interfaces</x:v>
      </x:c>
      <x:c r="I263" s="26" t="str">
        <x:v>Technical integration authority</x:v>
      </x:c>
      <x:c r="J263" s="38" t="str">
        <x:v>OPEN</x:v>
      </x:c>
      <x:c r="K263" s="38" t="str">
        <x:v>UNASSIGNED</x:v>
      </x:c>
      <x:c r="L263" s="26" t="n">
        <x:v>0</x:v>
      </x:c>
    </x:row>
    <x:row r="264" ht="27" customHeight="1">
      <x:c r="C264" s="26" t="str">
        <x:v>C3-HU-C-RB1-G08</x:v>
      </x:c>
      <x:c r="D264" s="26" t="str">
        <x:v>C3-HU-C-RB1</x:v>
      </x:c>
      <x:c r="E264" s="26" t="str">
        <x:v>MS-HU</x:v>
      </x:c>
      <x:c r="F264" s="26" t="str">
        <x:v>C</x:v>
      </x:c>
      <x:c r="G264" s="26" t="str">
        <x:v>G08</x:v>
      </x:c>
      <x:c r="H264" s="26" t="str">
        <x:v>Decisive ancestry declaration</x:v>
      </x:c>
      <x:c r="I264" s="26" t="str">
        <x:v>Manufacturing authority</x:v>
      </x:c>
      <x:c r="J264" s="38" t="str">
        <x:v>OPEN</x:v>
      </x:c>
      <x:c r="K264" s="38" t="str">
        <x:v>UNASSIGNED</x:v>
      </x:c>
      <x:c r="L264" s="26" t="n">
        <x:v>0</x:v>
      </x:c>
    </x:row>
    <x:row r="265" ht="27" customHeight="1">
      <x:c r="C265" s="26" t="str">
        <x:v>C3-HU-C-RB1-G09</x:v>
      </x:c>
      <x:c r="D265" s="26" t="str">
        <x:v>C3-HU-C-RB1</x:v>
      </x:c>
      <x:c r="E265" s="26" t="str">
        <x:v>MS-HU</x:v>
      </x:c>
      <x:c r="F265" s="26" t="str">
        <x:v>C</x:v>
      </x:c>
      <x:c r="G265" s="26" t="str">
        <x:v>G09</x:v>
      </x:c>
      <x:c r="H265" s="26" t="str">
        <x:v>Executable build records and travelers</x:v>
      </x:c>
      <x:c r="I265" s="26" t="str">
        <x:v>Configuration authority</x:v>
      </x:c>
      <x:c r="J265" s="38" t="str">
        <x:v>OPEN</x:v>
      </x:c>
      <x:c r="K265" s="38" t="str">
        <x:v>UNASSIGNED</x:v>
      </x:c>
      <x:c r="L265" s="26" t="n">
        <x:v>0</x:v>
      </x:c>
    </x:row>
    <x:row r="266" ht="27" customHeight="1">
      <x:c r="C266" s="26" t="str">
        <x:v>C3-HU-C-RB1-G10</x:v>
      </x:c>
      <x:c r="D266" s="26" t="str">
        <x:v>C3-HU-C-RB1</x:v>
      </x:c>
      <x:c r="E266" s="26" t="str">
        <x:v>MS-HU</x:v>
      </x:c>
      <x:c r="F266" s="26" t="str">
        <x:v>C</x:v>
      </x:c>
      <x:c r="G266" s="26" t="str">
        <x:v>G10</x:v>
      </x:c>
      <x:c r="H266" s="26" t="str">
        <x:v>Representative subsystem evidence</x:v>
      </x:c>
      <x:c r="I266" s="26" t="str">
        <x:v>Sovereign evidence authority</x:v>
      </x:c>
      <x:c r="J266" s="38" t="str">
        <x:v>OPEN</x:v>
      </x:c>
      <x:c r="K266" s="38" t="str">
        <x:v>UNASSIGNED</x:v>
      </x:c>
      <x:c r="L266" s="26" t="n">
        <x:v>0</x:v>
      </x:c>
    </x:row>
    <x:row r="267" ht="27" customHeight="1">
      <x:c r="C267" s="26" t="str">
        <x:v>C3-HU-C-RB1-G11</x:v>
      </x:c>
      <x:c r="D267" s="26" t="str">
        <x:v>C3-HU-C-RB1</x:v>
      </x:c>
      <x:c r="E267" s="26" t="str">
        <x:v>MS-HU</x:v>
      </x:c>
      <x:c r="F267" s="26" t="str">
        <x:v>C</x:v>
      </x:c>
      <x:c r="G267" s="26" t="str">
        <x:v>G11</x:v>
      </x:c>
      <x:c r="H267" s="26" t="str">
        <x:v>Disconnected and manual operation</x:v>
      </x:c>
      <x:c r="I267" s="26" t="str">
        <x:v>Operating service authorities</x:v>
      </x:c>
      <x:c r="J267" s="38" t="str">
        <x:v>OPEN</x:v>
      </x:c>
      <x:c r="K267" s="38" t="str">
        <x:v>UNASSIGNED</x:v>
      </x:c>
      <x:c r="L267" s="26" t="n">
        <x:v>0</x:v>
      </x:c>
    </x:row>
    <x:row r="268" ht="27" customHeight="1">
      <x:c r="C268" s="26" t="str">
        <x:v>C3-HU-C-RB1-G12</x:v>
      </x:c>
      <x:c r="D268" s="26" t="str">
        <x:v>C3-HU-C-RB1</x:v>
      </x:c>
      <x:c r="E268" s="26" t="str">
        <x:v>MS-HU</x:v>
      </x:c>
      <x:c r="F268" s="26" t="str">
        <x:v>C</x:v>
      </x:c>
      <x:c r="G268" s="26" t="str">
        <x:v>G12</x:v>
      </x:c>
      <x:c r="H268" s="26" t="str">
        <x:v>Root-native evidence and outside replay</x:v>
      </x:c>
      <x:c r="I268" s="26" t="str">
        <x:v>Sovereign evidence authority</x:v>
      </x:c>
      <x:c r="J268" s="38" t="str">
        <x:v>OPEN</x:v>
      </x:c>
      <x:c r="K268" s="38" t="str">
        <x:v>UNASSIGNED</x:v>
      </x:c>
      <x:c r="L268" s="26" t="n">
        <x:v>0</x:v>
      </x:c>
    </x:row>
    <x:row r="269" ht="27" customHeight="1">
      <x:c r="C269" s="26" t="str">
        <x:v>C3-HU-C-RB1-G13</x:v>
      </x:c>
      <x:c r="D269" s="26" t="str">
        <x:v>C3-HU-C-RB1</x:v>
      </x:c>
      <x:c r="E269" s="26" t="str">
        <x:v>MS-HU</x:v>
      </x:c>
      <x:c r="F269" s="26" t="str">
        <x:v>C</x:v>
      </x:c>
      <x:c r="G269" s="26" t="str">
        <x:v>G13</x:v>
      </x:c>
      <x:c r="H269" s="26" t="str">
        <x:v>Repair, reset and second-team reproduction</x:v>
      </x:c>
      <x:c r="I269" s="26" t="str">
        <x:v>Regeneration and manufacturing authorities</x:v>
      </x:c>
      <x:c r="J269" s="38" t="str">
        <x:v>OPEN</x:v>
      </x:c>
      <x:c r="K269" s="38" t="str">
        <x:v>UNASSIGNED</x:v>
      </x:c>
      <x:c r="L269" s="26" t="n">
        <x:v>0</x:v>
      </x:c>
    </x:row>
    <x:row r="270" ht="27" customHeight="1">
      <x:c r="C270" s="26" t="str">
        <x:v>C3-HU-C-RB1-G14</x:v>
      </x:c>
      <x:c r="D270" s="26" t="str">
        <x:v>C3-HU-C-RB1</x:v>
      </x:c>
      <x:c r="E270" s="26" t="str">
        <x:v>MS-HU</x:v>
      </x:c>
      <x:c r="F270" s="26" t="str">
        <x:v>C</x:v>
      </x:c>
      <x:c r="G270" s="26" t="str">
        <x:v>G14</x:v>
      </x:c>
      <x:c r="H270" s="26" t="str">
        <x:v>Independent root release</x:v>
      </x:c>
      <x:c r="I270" s="26" t="str">
        <x:v>Department release board</x:v>
      </x:c>
      <x:c r="J270" s="38" t="str">
        <x:v>OPEN</x:v>
      </x:c>
      <x:c r="K270" s="38" t="str">
        <x:v>UNASSIGNED</x:v>
      </x:c>
      <x:c r="L270" s="26" t="n">
        <x:v>0</x:v>
      </x:c>
    </x:row>
    <x:row r="271" ht="27" customHeight="1">
      <x:c r="C271" s="26" t="str">
        <x:v>C3-HU-D-RB1-G01</x:v>
      </x:c>
      <x:c r="D271" s="26" t="str">
        <x:v>C3-HU-D-RB1</x:v>
      </x:c>
      <x:c r="E271" s="26" t="str">
        <x:v>MS-HU</x:v>
      </x:c>
      <x:c r="F271" s="26" t="str">
        <x:v>D</x:v>
      </x:c>
      <x:c r="G271" s="26" t="str">
        <x:v>G01</x:v>
      </x:c>
      <x:c r="H271" s="26" t="str">
        <x:v>Complete service-route bill</x:v>
      </x:c>
      <x:c r="I271" s="26" t="str">
        <x:v>Mission-system office</x:v>
      </x:c>
      <x:c r="J271" s="38" t="str">
        <x:v>OPEN</x:v>
      </x:c>
      <x:c r="K271" s="38" t="str">
        <x:v>UNASSIGNED</x:v>
      </x:c>
      <x:c r="L271" s="26" t="n">
        <x:v>0</x:v>
      </x:c>
    </x:row>
    <x:row r="272" ht="27" customHeight="1">
      <x:c r="C272" s="26" t="str">
        <x:v>C3-HU-D-RB1-G02</x:v>
      </x:c>
      <x:c r="D272" s="26" t="str">
        <x:v>C3-HU-D-RB1</x:v>
      </x:c>
      <x:c r="E272" s="26" t="str">
        <x:v>MS-HU</x:v>
      </x:c>
      <x:c r="F272" s="26" t="str">
        <x:v>D</x:v>
      </x:c>
      <x:c r="G272" s="26" t="str">
        <x:v>G02</x:v>
      </x:c>
      <x:c r="H272" s="26" t="str">
        <x:v>Seven-stage state machine</x:v>
      </x:c>
      <x:c r="I272" s="26" t="str">
        <x:v>Service technical authorities</x:v>
      </x:c>
      <x:c r="J272" s="38" t="str">
        <x:v>OPEN</x:v>
      </x:c>
      <x:c r="K272" s="38" t="str">
        <x:v>UNASSIGNED</x:v>
      </x:c>
      <x:c r="L272" s="26" t="n">
        <x:v>0</x:v>
      </x:c>
    </x:row>
    <x:row r="273" ht="27" customHeight="1">
      <x:c r="C273" s="26" t="str">
        <x:v>C3-HU-D-RB1-G03</x:v>
      </x:c>
      <x:c r="D273" s="26" t="str">
        <x:v>C3-HU-D-RB1</x:v>
      </x:c>
      <x:c r="E273" s="26" t="str">
        <x:v>MS-HU</x:v>
      </x:c>
      <x:c r="F273" s="26" t="str">
        <x:v>D</x:v>
      </x:c>
      <x:c r="G273" s="26" t="str">
        <x:v>G03</x:v>
      </x:c>
      <x:c r="H273" s="26" t="str">
        <x:v>Four-field root architecture</x:v>
      </x:c>
      <x:c r="I273" s="26" t="str">
        <x:v>Mission-system office</x:v>
      </x:c>
      <x:c r="J273" s="38" t="str">
        <x:v>OPEN</x:v>
      </x:c>
      <x:c r="K273" s="38" t="str">
        <x:v>UNASSIGNED</x:v>
      </x:c>
      <x:c r="L273" s="26" t="n">
        <x:v>0</x:v>
      </x:c>
    </x:row>
    <x:row r="274" ht="27" customHeight="1">
      <x:c r="C274" s="26" t="str">
        <x:v>C3-HU-D-RB1-G04</x:v>
      </x:c>
      <x:c r="D274" s="26" t="str">
        <x:v>C3-HU-D-RB1</x:v>
      </x:c>
      <x:c r="E274" s="26" t="str">
        <x:v>MS-HU</x:v>
      </x:c>
      <x:c r="F274" s="26" t="str">
        <x:v>D</x:v>
      </x:c>
      <x:c r="G274" s="26" t="str">
        <x:v>G04</x:v>
      </x:c>
      <x:c r="H274" s="26" t="str">
        <x:v>Numeric service thresholds</x:v>
      </x:c>
      <x:c r="I274" s="26" t="str">
        <x:v>Public-effect authorities</x:v>
      </x:c>
      <x:c r="J274" s="38" t="str">
        <x:v>OPEN</x:v>
      </x:c>
      <x:c r="K274" s="38" t="str">
        <x:v>UNASSIGNED</x:v>
      </x:c>
      <x:c r="L274" s="26" t="n">
        <x:v>0</x:v>
      </x:c>
    </x:row>
    <x:row r="275" ht="27" customHeight="1">
      <x:c r="C275" s="26" t="str">
        <x:v>C3-HU-D-RB1-G05</x:v>
      </x:c>
      <x:c r="D275" s="26" t="str">
        <x:v>C3-HU-D-RB1</x:v>
      </x:c>
      <x:c r="E275" s="26" t="str">
        <x:v>MS-HU</x:v>
      </x:c>
      <x:c r="F275" s="26" t="str">
        <x:v>D</x:v>
      </x:c>
      <x:c r="G275" s="26" t="str">
        <x:v>G05</x:v>
      </x:c>
      <x:c r="H275" s="26" t="str">
        <x:v>Mass, energy, flow and residual closure</x:v>
      </x:c>
      <x:c r="I275" s="26" t="str">
        <x:v>Independent engineering board</x:v>
      </x:c>
      <x:c r="J275" s="38" t="str">
        <x:v>OPEN</x:v>
      </x:c>
      <x:c r="K275" s="38" t="str">
        <x:v>UNASSIGNED</x:v>
      </x:c>
      <x:c r="L275" s="26" t="n">
        <x:v>0</x:v>
      </x:c>
    </x:row>
    <x:row r="276" ht="27" customHeight="1">
      <x:c r="C276" s="26" t="str">
        <x:v>C3-HU-D-RB1-G06</x:v>
      </x:c>
      <x:c r="D276" s="26" t="str">
        <x:v>C3-HU-D-RB1</x:v>
      </x:c>
      <x:c r="E276" s="26" t="str">
        <x:v>MS-HU</x:v>
      </x:c>
      <x:c r="F276" s="26" t="str">
        <x:v>D</x:v>
      </x:c>
      <x:c r="G276" s="26" t="str">
        <x:v>G06</x:v>
      </x:c>
      <x:c r="H276" s="26" t="str">
        <x:v>Safety, accessibility and rights case</x:v>
      </x:c>
      <x:c r="I276" s="26" t="str">
        <x:v>Safety and civil-rights authorities</x:v>
      </x:c>
      <x:c r="J276" s="38" t="str">
        <x:v>OPEN</x:v>
      </x:c>
      <x:c r="K276" s="38" t="str">
        <x:v>UNASSIGNED</x:v>
      </x:c>
      <x:c r="L276" s="26" t="n">
        <x:v>0</x:v>
      </x:c>
    </x:row>
    <x:row r="277" ht="27" customHeight="1">
      <x:c r="C277" s="26" t="str">
        <x:v>C3-HU-D-RB1-G07</x:v>
      </x:c>
      <x:c r="D277" s="26" t="str">
        <x:v>C3-HU-D-RB1</x:v>
      </x:c>
      <x:c r="E277" s="26" t="str">
        <x:v>MS-HU</x:v>
      </x:c>
      <x:c r="F277" s="26" t="str">
        <x:v>D</x:v>
      </x:c>
      <x:c r="G277" s="26" t="str">
        <x:v>G07</x:v>
      </x:c>
      <x:c r="H277" s="26" t="str">
        <x:v>Public physical and record interfaces</x:v>
      </x:c>
      <x:c r="I277" s="26" t="str">
        <x:v>Technical integration authority</x:v>
      </x:c>
      <x:c r="J277" s="38" t="str">
        <x:v>OPEN</x:v>
      </x:c>
      <x:c r="K277" s="38" t="str">
        <x:v>UNASSIGNED</x:v>
      </x:c>
      <x:c r="L277" s="26" t="n">
        <x:v>0</x:v>
      </x:c>
    </x:row>
    <x:row r="278" ht="27" customHeight="1">
      <x:c r="C278" s="26" t="str">
        <x:v>C3-HU-D-RB1-G08</x:v>
      </x:c>
      <x:c r="D278" s="26" t="str">
        <x:v>C3-HU-D-RB1</x:v>
      </x:c>
      <x:c r="E278" s="26" t="str">
        <x:v>MS-HU</x:v>
      </x:c>
      <x:c r="F278" s="26" t="str">
        <x:v>D</x:v>
      </x:c>
      <x:c r="G278" s="26" t="str">
        <x:v>G08</x:v>
      </x:c>
      <x:c r="H278" s="26" t="str">
        <x:v>Decisive ancestry declaration</x:v>
      </x:c>
      <x:c r="I278" s="26" t="str">
        <x:v>Manufacturing authority</x:v>
      </x:c>
      <x:c r="J278" s="38" t="str">
        <x:v>OPEN</x:v>
      </x:c>
      <x:c r="K278" s="38" t="str">
        <x:v>UNASSIGNED</x:v>
      </x:c>
      <x:c r="L278" s="26" t="n">
        <x:v>0</x:v>
      </x:c>
    </x:row>
    <x:row r="279" ht="27" customHeight="1">
      <x:c r="C279" s="26" t="str">
        <x:v>C3-HU-D-RB1-G09</x:v>
      </x:c>
      <x:c r="D279" s="26" t="str">
        <x:v>C3-HU-D-RB1</x:v>
      </x:c>
      <x:c r="E279" s="26" t="str">
        <x:v>MS-HU</x:v>
      </x:c>
      <x:c r="F279" s="26" t="str">
        <x:v>D</x:v>
      </x:c>
      <x:c r="G279" s="26" t="str">
        <x:v>G09</x:v>
      </x:c>
      <x:c r="H279" s="26" t="str">
        <x:v>Executable build records and travelers</x:v>
      </x:c>
      <x:c r="I279" s="26" t="str">
        <x:v>Configuration authority</x:v>
      </x:c>
      <x:c r="J279" s="38" t="str">
        <x:v>OPEN</x:v>
      </x:c>
      <x:c r="K279" s="38" t="str">
        <x:v>UNASSIGNED</x:v>
      </x:c>
      <x:c r="L279" s="26" t="n">
        <x:v>0</x:v>
      </x:c>
    </x:row>
    <x:row r="280" ht="27" customHeight="1">
      <x:c r="C280" s="26" t="str">
        <x:v>C3-HU-D-RB1-G10</x:v>
      </x:c>
      <x:c r="D280" s="26" t="str">
        <x:v>C3-HU-D-RB1</x:v>
      </x:c>
      <x:c r="E280" s="26" t="str">
        <x:v>MS-HU</x:v>
      </x:c>
      <x:c r="F280" s="26" t="str">
        <x:v>D</x:v>
      </x:c>
      <x:c r="G280" s="26" t="str">
        <x:v>G10</x:v>
      </x:c>
      <x:c r="H280" s="26" t="str">
        <x:v>Representative subsystem evidence</x:v>
      </x:c>
      <x:c r="I280" s="26" t="str">
        <x:v>Sovereign evidence authority</x:v>
      </x:c>
      <x:c r="J280" s="38" t="str">
        <x:v>OPEN</x:v>
      </x:c>
      <x:c r="K280" s="38" t="str">
        <x:v>UNASSIGNED</x:v>
      </x:c>
      <x:c r="L280" s="26" t="n">
        <x:v>0</x:v>
      </x:c>
    </x:row>
    <x:row r="281" ht="27" customHeight="1">
      <x:c r="C281" s="26" t="str">
        <x:v>C3-HU-D-RB1-G11</x:v>
      </x:c>
      <x:c r="D281" s="26" t="str">
        <x:v>C3-HU-D-RB1</x:v>
      </x:c>
      <x:c r="E281" s="26" t="str">
        <x:v>MS-HU</x:v>
      </x:c>
      <x:c r="F281" s="26" t="str">
        <x:v>D</x:v>
      </x:c>
      <x:c r="G281" s="26" t="str">
        <x:v>G11</x:v>
      </x:c>
      <x:c r="H281" s="26" t="str">
        <x:v>Disconnected and manual operation</x:v>
      </x:c>
      <x:c r="I281" s="26" t="str">
        <x:v>Operating service authorities</x:v>
      </x:c>
      <x:c r="J281" s="38" t="str">
        <x:v>OPEN</x:v>
      </x:c>
      <x:c r="K281" s="38" t="str">
        <x:v>UNASSIGNED</x:v>
      </x:c>
      <x:c r="L281" s="26" t="n">
        <x:v>0</x:v>
      </x:c>
    </x:row>
    <x:row r="282" ht="27" customHeight="1">
      <x:c r="C282" s="26" t="str">
        <x:v>C3-HU-D-RB1-G12</x:v>
      </x:c>
      <x:c r="D282" s="26" t="str">
        <x:v>C3-HU-D-RB1</x:v>
      </x:c>
      <x:c r="E282" s="26" t="str">
        <x:v>MS-HU</x:v>
      </x:c>
      <x:c r="F282" s="26" t="str">
        <x:v>D</x:v>
      </x:c>
      <x:c r="G282" s="26" t="str">
        <x:v>G12</x:v>
      </x:c>
      <x:c r="H282" s="26" t="str">
        <x:v>Root-native evidence and outside replay</x:v>
      </x:c>
      <x:c r="I282" s="26" t="str">
        <x:v>Sovereign evidence authority</x:v>
      </x:c>
      <x:c r="J282" s="38" t="str">
        <x:v>OPEN</x:v>
      </x:c>
      <x:c r="K282" s="38" t="str">
        <x:v>UNASSIGNED</x:v>
      </x:c>
      <x:c r="L282" s="26" t="n">
        <x:v>0</x:v>
      </x:c>
    </x:row>
    <x:row r="283" ht="27" customHeight="1">
      <x:c r="C283" s="26" t="str">
        <x:v>C3-HU-D-RB1-G13</x:v>
      </x:c>
      <x:c r="D283" s="26" t="str">
        <x:v>C3-HU-D-RB1</x:v>
      </x:c>
      <x:c r="E283" s="26" t="str">
        <x:v>MS-HU</x:v>
      </x:c>
      <x:c r="F283" s="26" t="str">
        <x:v>D</x:v>
      </x:c>
      <x:c r="G283" s="26" t="str">
        <x:v>G13</x:v>
      </x:c>
      <x:c r="H283" s="26" t="str">
        <x:v>Repair, reset and second-team reproduction</x:v>
      </x:c>
      <x:c r="I283" s="26" t="str">
        <x:v>Regeneration and manufacturing authorities</x:v>
      </x:c>
      <x:c r="J283" s="38" t="str">
        <x:v>OPEN</x:v>
      </x:c>
      <x:c r="K283" s="38" t="str">
        <x:v>UNASSIGNED</x:v>
      </x:c>
      <x:c r="L283" s="26" t="n">
        <x:v>0</x:v>
      </x:c>
    </x:row>
    <x:row r="284" ht="27" customHeight="1">
      <x:c r="C284" s="26" t="str">
        <x:v>C3-HU-D-RB1-G14</x:v>
      </x:c>
      <x:c r="D284" s="26" t="str">
        <x:v>C3-HU-D-RB1</x:v>
      </x:c>
      <x:c r="E284" s="26" t="str">
        <x:v>MS-HU</x:v>
      </x:c>
      <x:c r="F284" s="26" t="str">
        <x:v>D</x:v>
      </x:c>
      <x:c r="G284" s="26" t="str">
        <x:v>G14</x:v>
      </x:c>
      <x:c r="H284" s="26" t="str">
        <x:v>Independent root release</x:v>
      </x:c>
      <x:c r="I284" s="26" t="str">
        <x:v>Department release board</x:v>
      </x:c>
      <x:c r="J284" s="38" t="str">
        <x:v>OPEN</x:v>
      </x:c>
      <x:c r="K284" s="38" t="str">
        <x:v>UNASSIGNED</x:v>
      </x:c>
      <x:c r="L284" s="26" t="n">
        <x:v>0</x:v>
      </x:c>
    </x:row>
    <x:row r="285" ht="27" customHeight="1">
      <x:c r="C285" s="26" t="str">
        <x:v>C3-RT-A-RB1-G01</x:v>
      </x:c>
      <x:c r="D285" s="26" t="str">
        <x:v>C3-RT-A-RB1</x:v>
      </x:c>
      <x:c r="E285" s="26" t="str">
        <x:v>MS-RT</x:v>
      </x:c>
      <x:c r="F285" s="26" t="str">
        <x:v>A</x:v>
      </x:c>
      <x:c r="G285" s="26" t="str">
        <x:v>G01</x:v>
      </x:c>
      <x:c r="H285" s="26" t="str">
        <x:v>Complete service-route bill</x:v>
      </x:c>
      <x:c r="I285" s="26" t="str">
        <x:v>Mission-system office</x:v>
      </x:c>
      <x:c r="J285" s="38" t="str">
        <x:v>OPEN</x:v>
      </x:c>
      <x:c r="K285" s="38" t="str">
        <x:v>UNASSIGNED</x:v>
      </x:c>
      <x:c r="L285" s="26" t="n">
        <x:v>0</x:v>
      </x:c>
    </x:row>
    <x:row r="286" ht="27" customHeight="1">
      <x:c r="C286" s="26" t="str">
        <x:v>C3-RT-A-RB1-G02</x:v>
      </x:c>
      <x:c r="D286" s="26" t="str">
        <x:v>C3-RT-A-RB1</x:v>
      </x:c>
      <x:c r="E286" s="26" t="str">
        <x:v>MS-RT</x:v>
      </x:c>
      <x:c r="F286" s="26" t="str">
        <x:v>A</x:v>
      </x:c>
      <x:c r="G286" s="26" t="str">
        <x:v>G02</x:v>
      </x:c>
      <x:c r="H286" s="26" t="str">
        <x:v>Seven-stage state machine</x:v>
      </x:c>
      <x:c r="I286" s="26" t="str">
        <x:v>Service technical authorities</x:v>
      </x:c>
      <x:c r="J286" s="38" t="str">
        <x:v>OPEN</x:v>
      </x:c>
      <x:c r="K286" s="38" t="str">
        <x:v>UNASSIGNED</x:v>
      </x:c>
      <x:c r="L286" s="26" t="n">
        <x:v>0</x:v>
      </x:c>
    </x:row>
    <x:row r="287" ht="27" customHeight="1">
      <x:c r="C287" s="26" t="str">
        <x:v>C3-RT-A-RB1-G03</x:v>
      </x:c>
      <x:c r="D287" s="26" t="str">
        <x:v>C3-RT-A-RB1</x:v>
      </x:c>
      <x:c r="E287" s="26" t="str">
        <x:v>MS-RT</x:v>
      </x:c>
      <x:c r="F287" s="26" t="str">
        <x:v>A</x:v>
      </x:c>
      <x:c r="G287" s="26" t="str">
        <x:v>G03</x:v>
      </x:c>
      <x:c r="H287" s="26" t="str">
        <x:v>Four-field root architecture</x:v>
      </x:c>
      <x:c r="I287" s="26" t="str">
        <x:v>Mission-system office</x:v>
      </x:c>
      <x:c r="J287" s="38" t="str">
        <x:v>OPEN</x:v>
      </x:c>
      <x:c r="K287" s="38" t="str">
        <x:v>UNASSIGNED</x:v>
      </x:c>
      <x:c r="L287" s="26" t="n">
        <x:v>0</x:v>
      </x:c>
    </x:row>
    <x:row r="288" ht="27" customHeight="1">
      <x:c r="C288" s="26" t="str">
        <x:v>C3-RT-A-RB1-G04</x:v>
      </x:c>
      <x:c r="D288" s="26" t="str">
        <x:v>C3-RT-A-RB1</x:v>
      </x:c>
      <x:c r="E288" s="26" t="str">
        <x:v>MS-RT</x:v>
      </x:c>
      <x:c r="F288" s="26" t="str">
        <x:v>A</x:v>
      </x:c>
      <x:c r="G288" s="26" t="str">
        <x:v>G04</x:v>
      </x:c>
      <x:c r="H288" s="26" t="str">
        <x:v>Numeric service thresholds</x:v>
      </x:c>
      <x:c r="I288" s="26" t="str">
        <x:v>Public-effect authorities</x:v>
      </x:c>
      <x:c r="J288" s="38" t="str">
        <x:v>OPEN</x:v>
      </x:c>
      <x:c r="K288" s="38" t="str">
        <x:v>UNASSIGNED</x:v>
      </x:c>
      <x:c r="L288" s="26" t="n">
        <x:v>0</x:v>
      </x:c>
    </x:row>
    <x:row r="289" ht="27" customHeight="1">
      <x:c r="C289" s="26" t="str">
        <x:v>C3-RT-A-RB1-G05</x:v>
      </x:c>
      <x:c r="D289" s="26" t="str">
        <x:v>C3-RT-A-RB1</x:v>
      </x:c>
      <x:c r="E289" s="26" t="str">
        <x:v>MS-RT</x:v>
      </x:c>
      <x:c r="F289" s="26" t="str">
        <x:v>A</x:v>
      </x:c>
      <x:c r="G289" s="26" t="str">
        <x:v>G05</x:v>
      </x:c>
      <x:c r="H289" s="26" t="str">
        <x:v>Mass, energy, flow and residual closure</x:v>
      </x:c>
      <x:c r="I289" s="26" t="str">
        <x:v>Independent engineering board</x:v>
      </x:c>
      <x:c r="J289" s="38" t="str">
        <x:v>OPEN</x:v>
      </x:c>
      <x:c r="K289" s="38" t="str">
        <x:v>UNASSIGNED</x:v>
      </x:c>
      <x:c r="L289" s="26" t="n">
        <x:v>0</x:v>
      </x:c>
    </x:row>
    <x:row r="290" ht="27" customHeight="1">
      <x:c r="C290" s="26" t="str">
        <x:v>C3-RT-A-RB1-G06</x:v>
      </x:c>
      <x:c r="D290" s="26" t="str">
        <x:v>C3-RT-A-RB1</x:v>
      </x:c>
      <x:c r="E290" s="26" t="str">
        <x:v>MS-RT</x:v>
      </x:c>
      <x:c r="F290" s="26" t="str">
        <x:v>A</x:v>
      </x:c>
      <x:c r="G290" s="26" t="str">
        <x:v>G06</x:v>
      </x:c>
      <x:c r="H290" s="26" t="str">
        <x:v>Safety, accessibility and rights case</x:v>
      </x:c>
      <x:c r="I290" s="26" t="str">
        <x:v>Safety and civil-rights authorities</x:v>
      </x:c>
      <x:c r="J290" s="38" t="str">
        <x:v>OPEN</x:v>
      </x:c>
      <x:c r="K290" s="38" t="str">
        <x:v>UNASSIGNED</x:v>
      </x:c>
      <x:c r="L290" s="26" t="n">
        <x:v>0</x:v>
      </x:c>
    </x:row>
    <x:row r="291" ht="27" customHeight="1">
      <x:c r="C291" s="26" t="str">
        <x:v>C3-RT-A-RB1-G07</x:v>
      </x:c>
      <x:c r="D291" s="26" t="str">
        <x:v>C3-RT-A-RB1</x:v>
      </x:c>
      <x:c r="E291" s="26" t="str">
        <x:v>MS-RT</x:v>
      </x:c>
      <x:c r="F291" s="26" t="str">
        <x:v>A</x:v>
      </x:c>
      <x:c r="G291" s="26" t="str">
        <x:v>G07</x:v>
      </x:c>
      <x:c r="H291" s="26" t="str">
        <x:v>Public physical and record interfaces</x:v>
      </x:c>
      <x:c r="I291" s="26" t="str">
        <x:v>Technical integration authority</x:v>
      </x:c>
      <x:c r="J291" s="38" t="str">
        <x:v>OPEN</x:v>
      </x:c>
      <x:c r="K291" s="38" t="str">
        <x:v>UNASSIGNED</x:v>
      </x:c>
      <x:c r="L291" s="26" t="n">
        <x:v>0</x:v>
      </x:c>
    </x:row>
    <x:row r="292" ht="27" customHeight="1">
      <x:c r="C292" s="26" t="str">
        <x:v>C3-RT-A-RB1-G08</x:v>
      </x:c>
      <x:c r="D292" s="26" t="str">
        <x:v>C3-RT-A-RB1</x:v>
      </x:c>
      <x:c r="E292" s="26" t="str">
        <x:v>MS-RT</x:v>
      </x:c>
      <x:c r="F292" s="26" t="str">
        <x:v>A</x:v>
      </x:c>
      <x:c r="G292" s="26" t="str">
        <x:v>G08</x:v>
      </x:c>
      <x:c r="H292" s="26" t="str">
        <x:v>Decisive ancestry declaration</x:v>
      </x:c>
      <x:c r="I292" s="26" t="str">
        <x:v>Manufacturing authority</x:v>
      </x:c>
      <x:c r="J292" s="38" t="str">
        <x:v>OPEN</x:v>
      </x:c>
      <x:c r="K292" s="38" t="str">
        <x:v>UNASSIGNED</x:v>
      </x:c>
      <x:c r="L292" s="26" t="n">
        <x:v>0</x:v>
      </x:c>
    </x:row>
    <x:row r="293" ht="27" customHeight="1">
      <x:c r="C293" s="26" t="str">
        <x:v>C3-RT-A-RB1-G09</x:v>
      </x:c>
      <x:c r="D293" s="26" t="str">
        <x:v>C3-RT-A-RB1</x:v>
      </x:c>
      <x:c r="E293" s="26" t="str">
        <x:v>MS-RT</x:v>
      </x:c>
      <x:c r="F293" s="26" t="str">
        <x:v>A</x:v>
      </x:c>
      <x:c r="G293" s="26" t="str">
        <x:v>G09</x:v>
      </x:c>
      <x:c r="H293" s="26" t="str">
        <x:v>Executable build records and travelers</x:v>
      </x:c>
      <x:c r="I293" s="26" t="str">
        <x:v>Configuration authority</x:v>
      </x:c>
      <x:c r="J293" s="38" t="str">
        <x:v>OPEN</x:v>
      </x:c>
      <x:c r="K293" s="38" t="str">
        <x:v>UNASSIGNED</x:v>
      </x:c>
      <x:c r="L293" s="26" t="n">
        <x:v>0</x:v>
      </x:c>
    </x:row>
    <x:row r="294" ht="27" customHeight="1">
      <x:c r="C294" s="26" t="str">
        <x:v>C3-RT-A-RB1-G10</x:v>
      </x:c>
      <x:c r="D294" s="26" t="str">
        <x:v>C3-RT-A-RB1</x:v>
      </x:c>
      <x:c r="E294" s="26" t="str">
        <x:v>MS-RT</x:v>
      </x:c>
      <x:c r="F294" s="26" t="str">
        <x:v>A</x:v>
      </x:c>
      <x:c r="G294" s="26" t="str">
        <x:v>G10</x:v>
      </x:c>
      <x:c r="H294" s="26" t="str">
        <x:v>Representative subsystem evidence</x:v>
      </x:c>
      <x:c r="I294" s="26" t="str">
        <x:v>Sovereign evidence authority</x:v>
      </x:c>
      <x:c r="J294" s="38" t="str">
        <x:v>OPEN</x:v>
      </x:c>
      <x:c r="K294" s="38" t="str">
        <x:v>UNASSIGNED</x:v>
      </x:c>
      <x:c r="L294" s="26" t="n">
        <x:v>0</x:v>
      </x:c>
    </x:row>
    <x:row r="295" ht="27" customHeight="1">
      <x:c r="C295" s="26" t="str">
        <x:v>C3-RT-A-RB1-G11</x:v>
      </x:c>
      <x:c r="D295" s="26" t="str">
        <x:v>C3-RT-A-RB1</x:v>
      </x:c>
      <x:c r="E295" s="26" t="str">
        <x:v>MS-RT</x:v>
      </x:c>
      <x:c r="F295" s="26" t="str">
        <x:v>A</x:v>
      </x:c>
      <x:c r="G295" s="26" t="str">
        <x:v>G11</x:v>
      </x:c>
      <x:c r="H295" s="26" t="str">
        <x:v>Disconnected and manual operation</x:v>
      </x:c>
      <x:c r="I295" s="26" t="str">
        <x:v>Operating service authorities</x:v>
      </x:c>
      <x:c r="J295" s="38" t="str">
        <x:v>OPEN</x:v>
      </x:c>
      <x:c r="K295" s="38" t="str">
        <x:v>UNASSIGNED</x:v>
      </x:c>
      <x:c r="L295" s="26" t="n">
        <x:v>0</x:v>
      </x:c>
    </x:row>
    <x:row r="296" ht="27" customHeight="1">
      <x:c r="C296" s="26" t="str">
        <x:v>C3-RT-A-RB1-G12</x:v>
      </x:c>
      <x:c r="D296" s="26" t="str">
        <x:v>C3-RT-A-RB1</x:v>
      </x:c>
      <x:c r="E296" s="26" t="str">
        <x:v>MS-RT</x:v>
      </x:c>
      <x:c r="F296" s="26" t="str">
        <x:v>A</x:v>
      </x:c>
      <x:c r="G296" s="26" t="str">
        <x:v>G12</x:v>
      </x:c>
      <x:c r="H296" s="26" t="str">
        <x:v>Root-native evidence and outside replay</x:v>
      </x:c>
      <x:c r="I296" s="26" t="str">
        <x:v>Sovereign evidence authority</x:v>
      </x:c>
      <x:c r="J296" s="38" t="str">
        <x:v>OPEN</x:v>
      </x:c>
      <x:c r="K296" s="38" t="str">
        <x:v>UNASSIGNED</x:v>
      </x:c>
      <x:c r="L296" s="26" t="n">
        <x:v>0</x:v>
      </x:c>
    </x:row>
    <x:row r="297" ht="27" customHeight="1">
      <x:c r="C297" s="26" t="str">
        <x:v>C3-RT-A-RB1-G13</x:v>
      </x:c>
      <x:c r="D297" s="26" t="str">
        <x:v>C3-RT-A-RB1</x:v>
      </x:c>
      <x:c r="E297" s="26" t="str">
        <x:v>MS-RT</x:v>
      </x:c>
      <x:c r="F297" s="26" t="str">
        <x:v>A</x:v>
      </x:c>
      <x:c r="G297" s="26" t="str">
        <x:v>G13</x:v>
      </x:c>
      <x:c r="H297" s="26" t="str">
        <x:v>Repair, reset and second-team reproduction</x:v>
      </x:c>
      <x:c r="I297" s="26" t="str">
        <x:v>Regeneration and manufacturing authorities</x:v>
      </x:c>
      <x:c r="J297" s="38" t="str">
        <x:v>OPEN</x:v>
      </x:c>
      <x:c r="K297" s="38" t="str">
        <x:v>UNASSIGNED</x:v>
      </x:c>
      <x:c r="L297" s="26" t="n">
        <x:v>0</x:v>
      </x:c>
    </x:row>
    <x:row r="298" ht="27" customHeight="1">
      <x:c r="C298" s="26" t="str">
        <x:v>C3-RT-A-RB1-G14</x:v>
      </x:c>
      <x:c r="D298" s="26" t="str">
        <x:v>C3-RT-A-RB1</x:v>
      </x:c>
      <x:c r="E298" s="26" t="str">
        <x:v>MS-RT</x:v>
      </x:c>
      <x:c r="F298" s="26" t="str">
        <x:v>A</x:v>
      </x:c>
      <x:c r="G298" s="26" t="str">
        <x:v>G14</x:v>
      </x:c>
      <x:c r="H298" s="26" t="str">
        <x:v>Independent root release</x:v>
      </x:c>
      <x:c r="I298" s="26" t="str">
        <x:v>Department release board</x:v>
      </x:c>
      <x:c r="J298" s="38" t="str">
        <x:v>OPEN</x:v>
      </x:c>
      <x:c r="K298" s="38" t="str">
        <x:v>UNASSIGNED</x:v>
      </x:c>
      <x:c r="L298" s="26" t="n">
        <x:v>0</x:v>
      </x:c>
    </x:row>
    <x:row r="299" ht="27" customHeight="1">
      <x:c r="C299" s="26" t="str">
        <x:v>C3-RT-B-RB1-G01</x:v>
      </x:c>
      <x:c r="D299" s="26" t="str">
        <x:v>C3-RT-B-RB1</x:v>
      </x:c>
      <x:c r="E299" s="26" t="str">
        <x:v>MS-RT</x:v>
      </x:c>
      <x:c r="F299" s="26" t="str">
        <x:v>B</x:v>
      </x:c>
      <x:c r="G299" s="26" t="str">
        <x:v>G01</x:v>
      </x:c>
      <x:c r="H299" s="26" t="str">
        <x:v>Complete service-route bill</x:v>
      </x:c>
      <x:c r="I299" s="26" t="str">
        <x:v>Mission-system office</x:v>
      </x:c>
      <x:c r="J299" s="38" t="str">
        <x:v>OPEN</x:v>
      </x:c>
      <x:c r="K299" s="38" t="str">
        <x:v>UNASSIGNED</x:v>
      </x:c>
      <x:c r="L299" s="26" t="n">
        <x:v>0</x:v>
      </x:c>
    </x:row>
    <x:row r="300" ht="27" customHeight="1">
      <x:c r="C300" s="26" t="str">
        <x:v>C3-RT-B-RB1-G02</x:v>
      </x:c>
      <x:c r="D300" s="26" t="str">
        <x:v>C3-RT-B-RB1</x:v>
      </x:c>
      <x:c r="E300" s="26" t="str">
        <x:v>MS-RT</x:v>
      </x:c>
      <x:c r="F300" s="26" t="str">
        <x:v>B</x:v>
      </x:c>
      <x:c r="G300" s="26" t="str">
        <x:v>G02</x:v>
      </x:c>
      <x:c r="H300" s="26" t="str">
        <x:v>Seven-stage state machine</x:v>
      </x:c>
      <x:c r="I300" s="26" t="str">
        <x:v>Service technical authorities</x:v>
      </x:c>
      <x:c r="J300" s="38" t="str">
        <x:v>OPEN</x:v>
      </x:c>
      <x:c r="K300" s="38" t="str">
        <x:v>UNASSIGNED</x:v>
      </x:c>
      <x:c r="L300" s="26" t="n">
        <x:v>0</x:v>
      </x:c>
    </x:row>
    <x:row r="301" ht="27" customHeight="1">
      <x:c r="C301" s="26" t="str">
        <x:v>C3-RT-B-RB1-G03</x:v>
      </x:c>
      <x:c r="D301" s="26" t="str">
        <x:v>C3-RT-B-RB1</x:v>
      </x:c>
      <x:c r="E301" s="26" t="str">
        <x:v>MS-RT</x:v>
      </x:c>
      <x:c r="F301" s="26" t="str">
        <x:v>B</x:v>
      </x:c>
      <x:c r="G301" s="26" t="str">
        <x:v>G03</x:v>
      </x:c>
      <x:c r="H301" s="26" t="str">
        <x:v>Four-field root architecture</x:v>
      </x:c>
      <x:c r="I301" s="26" t="str">
        <x:v>Mission-system office</x:v>
      </x:c>
      <x:c r="J301" s="38" t="str">
        <x:v>OPEN</x:v>
      </x:c>
      <x:c r="K301" s="38" t="str">
        <x:v>UNASSIGNED</x:v>
      </x:c>
      <x:c r="L301" s="26" t="n">
        <x:v>0</x:v>
      </x:c>
    </x:row>
    <x:row r="302" ht="27" customHeight="1">
      <x:c r="C302" s="26" t="str">
        <x:v>C3-RT-B-RB1-G04</x:v>
      </x:c>
      <x:c r="D302" s="26" t="str">
        <x:v>C3-RT-B-RB1</x:v>
      </x:c>
      <x:c r="E302" s="26" t="str">
        <x:v>MS-RT</x:v>
      </x:c>
      <x:c r="F302" s="26" t="str">
        <x:v>B</x:v>
      </x:c>
      <x:c r="G302" s="26" t="str">
        <x:v>G04</x:v>
      </x:c>
      <x:c r="H302" s="26" t="str">
        <x:v>Numeric service thresholds</x:v>
      </x:c>
      <x:c r="I302" s="26" t="str">
        <x:v>Public-effect authorities</x:v>
      </x:c>
      <x:c r="J302" s="38" t="str">
        <x:v>OPEN</x:v>
      </x:c>
      <x:c r="K302" s="38" t="str">
        <x:v>UNASSIGNED</x:v>
      </x:c>
      <x:c r="L302" s="26" t="n">
        <x:v>0</x:v>
      </x:c>
    </x:row>
    <x:row r="303" ht="27" customHeight="1">
      <x:c r="C303" s="26" t="str">
        <x:v>C3-RT-B-RB1-G05</x:v>
      </x:c>
      <x:c r="D303" s="26" t="str">
        <x:v>C3-RT-B-RB1</x:v>
      </x:c>
      <x:c r="E303" s="26" t="str">
        <x:v>MS-RT</x:v>
      </x:c>
      <x:c r="F303" s="26" t="str">
        <x:v>B</x:v>
      </x:c>
      <x:c r="G303" s="26" t="str">
        <x:v>G05</x:v>
      </x:c>
      <x:c r="H303" s="26" t="str">
        <x:v>Mass, energy, flow and residual closure</x:v>
      </x:c>
      <x:c r="I303" s="26" t="str">
        <x:v>Independent engineering board</x:v>
      </x:c>
      <x:c r="J303" s="38" t="str">
        <x:v>OPEN</x:v>
      </x:c>
      <x:c r="K303" s="38" t="str">
        <x:v>UNASSIGNED</x:v>
      </x:c>
      <x:c r="L303" s="26" t="n">
        <x:v>0</x:v>
      </x:c>
    </x:row>
    <x:row r="304" ht="27" customHeight="1">
      <x:c r="C304" s="26" t="str">
        <x:v>C3-RT-B-RB1-G06</x:v>
      </x:c>
      <x:c r="D304" s="26" t="str">
        <x:v>C3-RT-B-RB1</x:v>
      </x:c>
      <x:c r="E304" s="26" t="str">
        <x:v>MS-RT</x:v>
      </x:c>
      <x:c r="F304" s="26" t="str">
        <x:v>B</x:v>
      </x:c>
      <x:c r="G304" s="26" t="str">
        <x:v>G06</x:v>
      </x:c>
      <x:c r="H304" s="26" t="str">
        <x:v>Safety, accessibility and rights case</x:v>
      </x:c>
      <x:c r="I304" s="26" t="str">
        <x:v>Safety and civil-rights authorities</x:v>
      </x:c>
      <x:c r="J304" s="38" t="str">
        <x:v>OPEN</x:v>
      </x:c>
      <x:c r="K304" s="38" t="str">
        <x:v>UNASSIGNED</x:v>
      </x:c>
      <x:c r="L304" s="26" t="n">
        <x:v>0</x:v>
      </x:c>
    </x:row>
    <x:row r="305" ht="27" customHeight="1">
      <x:c r="C305" s="26" t="str">
        <x:v>C3-RT-B-RB1-G07</x:v>
      </x:c>
      <x:c r="D305" s="26" t="str">
        <x:v>C3-RT-B-RB1</x:v>
      </x:c>
      <x:c r="E305" s="26" t="str">
        <x:v>MS-RT</x:v>
      </x:c>
      <x:c r="F305" s="26" t="str">
        <x:v>B</x:v>
      </x:c>
      <x:c r="G305" s="26" t="str">
        <x:v>G07</x:v>
      </x:c>
      <x:c r="H305" s="26" t="str">
        <x:v>Public physical and record interfaces</x:v>
      </x:c>
      <x:c r="I305" s="26" t="str">
        <x:v>Technical integration authority</x:v>
      </x:c>
      <x:c r="J305" s="38" t="str">
        <x:v>OPEN</x:v>
      </x:c>
      <x:c r="K305" s="38" t="str">
        <x:v>UNASSIGNED</x:v>
      </x:c>
      <x:c r="L305" s="26" t="n">
        <x:v>0</x:v>
      </x:c>
    </x:row>
    <x:row r="306" ht="27" customHeight="1">
      <x:c r="C306" s="26" t="str">
        <x:v>C3-RT-B-RB1-G08</x:v>
      </x:c>
      <x:c r="D306" s="26" t="str">
        <x:v>C3-RT-B-RB1</x:v>
      </x:c>
      <x:c r="E306" s="26" t="str">
        <x:v>MS-RT</x:v>
      </x:c>
      <x:c r="F306" s="26" t="str">
        <x:v>B</x:v>
      </x:c>
      <x:c r="G306" s="26" t="str">
        <x:v>G08</x:v>
      </x:c>
      <x:c r="H306" s="26" t="str">
        <x:v>Decisive ancestry declaration</x:v>
      </x:c>
      <x:c r="I306" s="26" t="str">
        <x:v>Manufacturing authority</x:v>
      </x:c>
      <x:c r="J306" s="38" t="str">
        <x:v>OPEN</x:v>
      </x:c>
      <x:c r="K306" s="38" t="str">
        <x:v>UNASSIGNED</x:v>
      </x:c>
      <x:c r="L306" s="26" t="n">
        <x:v>0</x:v>
      </x:c>
    </x:row>
    <x:row r="307" ht="27" customHeight="1">
      <x:c r="C307" s="26" t="str">
        <x:v>C3-RT-B-RB1-G09</x:v>
      </x:c>
      <x:c r="D307" s="26" t="str">
        <x:v>C3-RT-B-RB1</x:v>
      </x:c>
      <x:c r="E307" s="26" t="str">
        <x:v>MS-RT</x:v>
      </x:c>
      <x:c r="F307" s="26" t="str">
        <x:v>B</x:v>
      </x:c>
      <x:c r="G307" s="26" t="str">
        <x:v>G09</x:v>
      </x:c>
      <x:c r="H307" s="26" t="str">
        <x:v>Executable build records and travelers</x:v>
      </x:c>
      <x:c r="I307" s="26" t="str">
        <x:v>Configuration authority</x:v>
      </x:c>
      <x:c r="J307" s="38" t="str">
        <x:v>OPEN</x:v>
      </x:c>
      <x:c r="K307" s="38" t="str">
        <x:v>UNASSIGNED</x:v>
      </x:c>
      <x:c r="L307" s="26" t="n">
        <x:v>0</x:v>
      </x:c>
    </x:row>
    <x:row r="308" ht="27" customHeight="1">
      <x:c r="C308" s="26" t="str">
        <x:v>C3-RT-B-RB1-G10</x:v>
      </x:c>
      <x:c r="D308" s="26" t="str">
        <x:v>C3-RT-B-RB1</x:v>
      </x:c>
      <x:c r="E308" s="26" t="str">
        <x:v>MS-RT</x:v>
      </x:c>
      <x:c r="F308" s="26" t="str">
        <x:v>B</x:v>
      </x:c>
      <x:c r="G308" s="26" t="str">
        <x:v>G10</x:v>
      </x:c>
      <x:c r="H308" s="26" t="str">
        <x:v>Representative subsystem evidence</x:v>
      </x:c>
      <x:c r="I308" s="26" t="str">
        <x:v>Sovereign evidence authority</x:v>
      </x:c>
      <x:c r="J308" s="38" t="str">
        <x:v>OPEN</x:v>
      </x:c>
      <x:c r="K308" s="38" t="str">
        <x:v>UNASSIGNED</x:v>
      </x:c>
      <x:c r="L308" s="26" t="n">
        <x:v>0</x:v>
      </x:c>
    </x:row>
    <x:row r="309" ht="27" customHeight="1">
      <x:c r="C309" s="26" t="str">
        <x:v>C3-RT-B-RB1-G11</x:v>
      </x:c>
      <x:c r="D309" s="26" t="str">
        <x:v>C3-RT-B-RB1</x:v>
      </x:c>
      <x:c r="E309" s="26" t="str">
        <x:v>MS-RT</x:v>
      </x:c>
      <x:c r="F309" s="26" t="str">
        <x:v>B</x:v>
      </x:c>
      <x:c r="G309" s="26" t="str">
        <x:v>G11</x:v>
      </x:c>
      <x:c r="H309" s="26" t="str">
        <x:v>Disconnected and manual operation</x:v>
      </x:c>
      <x:c r="I309" s="26" t="str">
        <x:v>Operating service authorities</x:v>
      </x:c>
      <x:c r="J309" s="38" t="str">
        <x:v>OPEN</x:v>
      </x:c>
      <x:c r="K309" s="38" t="str">
        <x:v>UNASSIGNED</x:v>
      </x:c>
      <x:c r="L309" s="26" t="n">
        <x:v>0</x:v>
      </x:c>
    </x:row>
    <x:row r="310" ht="27" customHeight="1">
      <x:c r="C310" s="26" t="str">
        <x:v>C3-RT-B-RB1-G12</x:v>
      </x:c>
      <x:c r="D310" s="26" t="str">
        <x:v>C3-RT-B-RB1</x:v>
      </x:c>
      <x:c r="E310" s="26" t="str">
        <x:v>MS-RT</x:v>
      </x:c>
      <x:c r="F310" s="26" t="str">
        <x:v>B</x:v>
      </x:c>
      <x:c r="G310" s="26" t="str">
        <x:v>G12</x:v>
      </x:c>
      <x:c r="H310" s="26" t="str">
        <x:v>Root-native evidence and outside replay</x:v>
      </x:c>
      <x:c r="I310" s="26" t="str">
        <x:v>Sovereign evidence authority</x:v>
      </x:c>
      <x:c r="J310" s="38" t="str">
        <x:v>OPEN</x:v>
      </x:c>
      <x:c r="K310" s="38" t="str">
        <x:v>UNASSIGNED</x:v>
      </x:c>
      <x:c r="L310" s="26" t="n">
        <x:v>0</x:v>
      </x:c>
    </x:row>
    <x:row r="311" ht="27" customHeight="1">
      <x:c r="C311" s="26" t="str">
        <x:v>C3-RT-B-RB1-G13</x:v>
      </x:c>
      <x:c r="D311" s="26" t="str">
        <x:v>C3-RT-B-RB1</x:v>
      </x:c>
      <x:c r="E311" s="26" t="str">
        <x:v>MS-RT</x:v>
      </x:c>
      <x:c r="F311" s="26" t="str">
        <x:v>B</x:v>
      </x:c>
      <x:c r="G311" s="26" t="str">
        <x:v>G13</x:v>
      </x:c>
      <x:c r="H311" s="26" t="str">
        <x:v>Repair, reset and second-team reproduction</x:v>
      </x:c>
      <x:c r="I311" s="26" t="str">
        <x:v>Regeneration and manufacturing authorities</x:v>
      </x:c>
      <x:c r="J311" s="38" t="str">
        <x:v>OPEN</x:v>
      </x:c>
      <x:c r="K311" s="38" t="str">
        <x:v>UNASSIGNED</x:v>
      </x:c>
      <x:c r="L311" s="26" t="n">
        <x:v>0</x:v>
      </x:c>
    </x:row>
    <x:row r="312" ht="27" customHeight="1">
      <x:c r="C312" s="26" t="str">
        <x:v>C3-RT-B-RB1-G14</x:v>
      </x:c>
      <x:c r="D312" s="26" t="str">
        <x:v>C3-RT-B-RB1</x:v>
      </x:c>
      <x:c r="E312" s="26" t="str">
        <x:v>MS-RT</x:v>
      </x:c>
      <x:c r="F312" s="26" t="str">
        <x:v>B</x:v>
      </x:c>
      <x:c r="G312" s="26" t="str">
        <x:v>G14</x:v>
      </x:c>
      <x:c r="H312" s="26" t="str">
        <x:v>Independent root release</x:v>
      </x:c>
      <x:c r="I312" s="26" t="str">
        <x:v>Department release board</x:v>
      </x:c>
      <x:c r="J312" s="38" t="str">
        <x:v>OPEN</x:v>
      </x:c>
      <x:c r="K312" s="38" t="str">
        <x:v>UNASSIGNED</x:v>
      </x:c>
      <x:c r="L312" s="26" t="n">
        <x:v>0</x:v>
      </x:c>
    </x:row>
    <x:row r="313" ht="27" customHeight="1">
      <x:c r="C313" s="26" t="str">
        <x:v>C3-RT-C-RB1-G01</x:v>
      </x:c>
      <x:c r="D313" s="26" t="str">
        <x:v>C3-RT-C-RB1</x:v>
      </x:c>
      <x:c r="E313" s="26" t="str">
        <x:v>MS-RT</x:v>
      </x:c>
      <x:c r="F313" s="26" t="str">
        <x:v>C</x:v>
      </x:c>
      <x:c r="G313" s="26" t="str">
        <x:v>G01</x:v>
      </x:c>
      <x:c r="H313" s="26" t="str">
        <x:v>Complete service-route bill</x:v>
      </x:c>
      <x:c r="I313" s="26" t="str">
        <x:v>Mission-system office</x:v>
      </x:c>
      <x:c r="J313" s="38" t="str">
        <x:v>OPEN</x:v>
      </x:c>
      <x:c r="K313" s="38" t="str">
        <x:v>UNASSIGNED</x:v>
      </x:c>
      <x:c r="L313" s="26" t="n">
        <x:v>0</x:v>
      </x:c>
    </x:row>
    <x:row r="314" ht="27" customHeight="1">
      <x:c r="C314" s="26" t="str">
        <x:v>C3-RT-C-RB1-G02</x:v>
      </x:c>
      <x:c r="D314" s="26" t="str">
        <x:v>C3-RT-C-RB1</x:v>
      </x:c>
      <x:c r="E314" s="26" t="str">
        <x:v>MS-RT</x:v>
      </x:c>
      <x:c r="F314" s="26" t="str">
        <x:v>C</x:v>
      </x:c>
      <x:c r="G314" s="26" t="str">
        <x:v>G02</x:v>
      </x:c>
      <x:c r="H314" s="26" t="str">
        <x:v>Seven-stage state machine</x:v>
      </x:c>
      <x:c r="I314" s="26" t="str">
        <x:v>Service technical authorities</x:v>
      </x:c>
      <x:c r="J314" s="38" t="str">
        <x:v>OPEN</x:v>
      </x:c>
      <x:c r="K314" s="38" t="str">
        <x:v>UNASSIGNED</x:v>
      </x:c>
      <x:c r="L314" s="26" t="n">
        <x:v>0</x:v>
      </x:c>
    </x:row>
    <x:row r="315" ht="27" customHeight="1">
      <x:c r="C315" s="26" t="str">
        <x:v>C3-RT-C-RB1-G03</x:v>
      </x:c>
      <x:c r="D315" s="26" t="str">
        <x:v>C3-RT-C-RB1</x:v>
      </x:c>
      <x:c r="E315" s="26" t="str">
        <x:v>MS-RT</x:v>
      </x:c>
      <x:c r="F315" s="26" t="str">
        <x:v>C</x:v>
      </x:c>
      <x:c r="G315" s="26" t="str">
        <x:v>G03</x:v>
      </x:c>
      <x:c r="H315" s="26" t="str">
        <x:v>Four-field root architecture</x:v>
      </x:c>
      <x:c r="I315" s="26" t="str">
        <x:v>Mission-system office</x:v>
      </x:c>
      <x:c r="J315" s="38" t="str">
        <x:v>OPEN</x:v>
      </x:c>
      <x:c r="K315" s="38" t="str">
        <x:v>UNASSIGNED</x:v>
      </x:c>
      <x:c r="L315" s="26" t="n">
        <x:v>0</x:v>
      </x:c>
    </x:row>
    <x:row r="316" ht="27" customHeight="1">
      <x:c r="C316" s="26" t="str">
        <x:v>C3-RT-C-RB1-G04</x:v>
      </x:c>
      <x:c r="D316" s="26" t="str">
        <x:v>C3-RT-C-RB1</x:v>
      </x:c>
      <x:c r="E316" s="26" t="str">
        <x:v>MS-RT</x:v>
      </x:c>
      <x:c r="F316" s="26" t="str">
        <x:v>C</x:v>
      </x:c>
      <x:c r="G316" s="26" t="str">
        <x:v>G04</x:v>
      </x:c>
      <x:c r="H316" s="26" t="str">
        <x:v>Numeric service thresholds</x:v>
      </x:c>
      <x:c r="I316" s="26" t="str">
        <x:v>Public-effect authorities</x:v>
      </x:c>
      <x:c r="J316" s="38" t="str">
        <x:v>OPEN</x:v>
      </x:c>
      <x:c r="K316" s="38" t="str">
        <x:v>UNASSIGNED</x:v>
      </x:c>
      <x:c r="L316" s="26" t="n">
        <x:v>0</x:v>
      </x:c>
    </x:row>
    <x:row r="317" ht="27" customHeight="1">
      <x:c r="C317" s="26" t="str">
        <x:v>C3-RT-C-RB1-G05</x:v>
      </x:c>
      <x:c r="D317" s="26" t="str">
        <x:v>C3-RT-C-RB1</x:v>
      </x:c>
      <x:c r="E317" s="26" t="str">
        <x:v>MS-RT</x:v>
      </x:c>
      <x:c r="F317" s="26" t="str">
        <x:v>C</x:v>
      </x:c>
      <x:c r="G317" s="26" t="str">
        <x:v>G05</x:v>
      </x:c>
      <x:c r="H317" s="26" t="str">
        <x:v>Mass, energy, flow and residual closure</x:v>
      </x:c>
      <x:c r="I317" s="26" t="str">
        <x:v>Independent engineering board</x:v>
      </x:c>
      <x:c r="J317" s="38" t="str">
        <x:v>OPEN</x:v>
      </x:c>
      <x:c r="K317" s="38" t="str">
        <x:v>UNASSIGNED</x:v>
      </x:c>
      <x:c r="L317" s="26" t="n">
        <x:v>0</x:v>
      </x:c>
    </x:row>
    <x:row r="318" ht="27" customHeight="1">
      <x:c r="C318" s="26" t="str">
        <x:v>C3-RT-C-RB1-G06</x:v>
      </x:c>
      <x:c r="D318" s="26" t="str">
        <x:v>C3-RT-C-RB1</x:v>
      </x:c>
      <x:c r="E318" s="26" t="str">
        <x:v>MS-RT</x:v>
      </x:c>
      <x:c r="F318" s="26" t="str">
        <x:v>C</x:v>
      </x:c>
      <x:c r="G318" s="26" t="str">
        <x:v>G06</x:v>
      </x:c>
      <x:c r="H318" s="26" t="str">
        <x:v>Safety, accessibility and rights case</x:v>
      </x:c>
      <x:c r="I318" s="26" t="str">
        <x:v>Safety and civil-rights authorities</x:v>
      </x:c>
      <x:c r="J318" s="38" t="str">
        <x:v>OPEN</x:v>
      </x:c>
      <x:c r="K318" s="38" t="str">
        <x:v>UNASSIGNED</x:v>
      </x:c>
      <x:c r="L318" s="26" t="n">
        <x:v>0</x:v>
      </x:c>
    </x:row>
    <x:row r="319" ht="27" customHeight="1">
      <x:c r="C319" s="26" t="str">
        <x:v>C3-RT-C-RB1-G07</x:v>
      </x:c>
      <x:c r="D319" s="26" t="str">
        <x:v>C3-RT-C-RB1</x:v>
      </x:c>
      <x:c r="E319" s="26" t="str">
        <x:v>MS-RT</x:v>
      </x:c>
      <x:c r="F319" s="26" t="str">
        <x:v>C</x:v>
      </x:c>
      <x:c r="G319" s="26" t="str">
        <x:v>G07</x:v>
      </x:c>
      <x:c r="H319" s="26" t="str">
        <x:v>Public physical and record interfaces</x:v>
      </x:c>
      <x:c r="I319" s="26" t="str">
        <x:v>Technical integration authority</x:v>
      </x:c>
      <x:c r="J319" s="38" t="str">
        <x:v>OPEN</x:v>
      </x:c>
      <x:c r="K319" s="38" t="str">
        <x:v>UNASSIGNED</x:v>
      </x:c>
      <x:c r="L319" s="26" t="n">
        <x:v>0</x:v>
      </x:c>
    </x:row>
    <x:row r="320" ht="27" customHeight="1">
      <x:c r="C320" s="26" t="str">
        <x:v>C3-RT-C-RB1-G08</x:v>
      </x:c>
      <x:c r="D320" s="26" t="str">
        <x:v>C3-RT-C-RB1</x:v>
      </x:c>
      <x:c r="E320" s="26" t="str">
        <x:v>MS-RT</x:v>
      </x:c>
      <x:c r="F320" s="26" t="str">
        <x:v>C</x:v>
      </x:c>
      <x:c r="G320" s="26" t="str">
        <x:v>G08</x:v>
      </x:c>
      <x:c r="H320" s="26" t="str">
        <x:v>Decisive ancestry declaration</x:v>
      </x:c>
      <x:c r="I320" s="26" t="str">
        <x:v>Manufacturing authority</x:v>
      </x:c>
      <x:c r="J320" s="38" t="str">
        <x:v>OPEN</x:v>
      </x:c>
      <x:c r="K320" s="38" t="str">
        <x:v>UNASSIGNED</x:v>
      </x:c>
      <x:c r="L320" s="26" t="n">
        <x:v>0</x:v>
      </x:c>
    </x:row>
    <x:row r="321" ht="27" customHeight="1">
      <x:c r="C321" s="26" t="str">
        <x:v>C3-RT-C-RB1-G09</x:v>
      </x:c>
      <x:c r="D321" s="26" t="str">
        <x:v>C3-RT-C-RB1</x:v>
      </x:c>
      <x:c r="E321" s="26" t="str">
        <x:v>MS-RT</x:v>
      </x:c>
      <x:c r="F321" s="26" t="str">
        <x:v>C</x:v>
      </x:c>
      <x:c r="G321" s="26" t="str">
        <x:v>G09</x:v>
      </x:c>
      <x:c r="H321" s="26" t="str">
        <x:v>Executable build records and travelers</x:v>
      </x:c>
      <x:c r="I321" s="26" t="str">
        <x:v>Configuration authority</x:v>
      </x:c>
      <x:c r="J321" s="38" t="str">
        <x:v>OPEN</x:v>
      </x:c>
      <x:c r="K321" s="38" t="str">
        <x:v>UNASSIGNED</x:v>
      </x:c>
      <x:c r="L321" s="26" t="n">
        <x:v>0</x:v>
      </x:c>
    </x:row>
    <x:row r="322" ht="27" customHeight="1">
      <x:c r="C322" s="26" t="str">
        <x:v>C3-RT-C-RB1-G10</x:v>
      </x:c>
      <x:c r="D322" s="26" t="str">
        <x:v>C3-RT-C-RB1</x:v>
      </x:c>
      <x:c r="E322" s="26" t="str">
        <x:v>MS-RT</x:v>
      </x:c>
      <x:c r="F322" s="26" t="str">
        <x:v>C</x:v>
      </x:c>
      <x:c r="G322" s="26" t="str">
        <x:v>G10</x:v>
      </x:c>
      <x:c r="H322" s="26" t="str">
        <x:v>Representative subsystem evidence</x:v>
      </x:c>
      <x:c r="I322" s="26" t="str">
        <x:v>Sovereign evidence authority</x:v>
      </x:c>
      <x:c r="J322" s="38" t="str">
        <x:v>OPEN</x:v>
      </x:c>
      <x:c r="K322" s="38" t="str">
        <x:v>UNASSIGNED</x:v>
      </x:c>
      <x:c r="L322" s="26" t="n">
        <x:v>0</x:v>
      </x:c>
    </x:row>
    <x:row r="323" ht="27" customHeight="1">
      <x:c r="C323" s="26" t="str">
        <x:v>C3-RT-C-RB1-G11</x:v>
      </x:c>
      <x:c r="D323" s="26" t="str">
        <x:v>C3-RT-C-RB1</x:v>
      </x:c>
      <x:c r="E323" s="26" t="str">
        <x:v>MS-RT</x:v>
      </x:c>
      <x:c r="F323" s="26" t="str">
        <x:v>C</x:v>
      </x:c>
      <x:c r="G323" s="26" t="str">
        <x:v>G11</x:v>
      </x:c>
      <x:c r="H323" s="26" t="str">
        <x:v>Disconnected and manual operation</x:v>
      </x:c>
      <x:c r="I323" s="26" t="str">
        <x:v>Operating service authorities</x:v>
      </x:c>
      <x:c r="J323" s="38" t="str">
        <x:v>OPEN</x:v>
      </x:c>
      <x:c r="K323" s="38" t="str">
        <x:v>UNASSIGNED</x:v>
      </x:c>
      <x:c r="L323" s="26" t="n">
        <x:v>0</x:v>
      </x:c>
    </x:row>
    <x:row r="324" ht="27" customHeight="1">
      <x:c r="C324" s="26" t="str">
        <x:v>C3-RT-C-RB1-G12</x:v>
      </x:c>
      <x:c r="D324" s="26" t="str">
        <x:v>C3-RT-C-RB1</x:v>
      </x:c>
      <x:c r="E324" s="26" t="str">
        <x:v>MS-RT</x:v>
      </x:c>
      <x:c r="F324" s="26" t="str">
        <x:v>C</x:v>
      </x:c>
      <x:c r="G324" s="26" t="str">
        <x:v>G12</x:v>
      </x:c>
      <x:c r="H324" s="26" t="str">
        <x:v>Root-native evidence and outside replay</x:v>
      </x:c>
      <x:c r="I324" s="26" t="str">
        <x:v>Sovereign evidence authority</x:v>
      </x:c>
      <x:c r="J324" s="38" t="str">
        <x:v>OPEN</x:v>
      </x:c>
      <x:c r="K324" s="38" t="str">
        <x:v>UNASSIGNED</x:v>
      </x:c>
      <x:c r="L324" s="26" t="n">
        <x:v>0</x:v>
      </x:c>
    </x:row>
    <x:row r="325" ht="27" customHeight="1">
      <x:c r="C325" s="26" t="str">
        <x:v>C3-RT-C-RB1-G13</x:v>
      </x:c>
      <x:c r="D325" s="26" t="str">
        <x:v>C3-RT-C-RB1</x:v>
      </x:c>
      <x:c r="E325" s="26" t="str">
        <x:v>MS-RT</x:v>
      </x:c>
      <x:c r="F325" s="26" t="str">
        <x:v>C</x:v>
      </x:c>
      <x:c r="G325" s="26" t="str">
        <x:v>G13</x:v>
      </x:c>
      <x:c r="H325" s="26" t="str">
        <x:v>Repair, reset and second-team reproduction</x:v>
      </x:c>
      <x:c r="I325" s="26" t="str">
        <x:v>Regeneration and manufacturing authorities</x:v>
      </x:c>
      <x:c r="J325" s="38" t="str">
        <x:v>OPEN</x:v>
      </x:c>
      <x:c r="K325" s="38" t="str">
        <x:v>UNASSIGNED</x:v>
      </x:c>
      <x:c r="L325" s="26" t="n">
        <x:v>0</x:v>
      </x:c>
    </x:row>
    <x:row r="326" ht="27" customHeight="1">
      <x:c r="C326" s="26" t="str">
        <x:v>C3-RT-C-RB1-G14</x:v>
      </x:c>
      <x:c r="D326" s="26" t="str">
        <x:v>C3-RT-C-RB1</x:v>
      </x:c>
      <x:c r="E326" s="26" t="str">
        <x:v>MS-RT</x:v>
      </x:c>
      <x:c r="F326" s="26" t="str">
        <x:v>C</x:v>
      </x:c>
      <x:c r="G326" s="26" t="str">
        <x:v>G14</x:v>
      </x:c>
      <x:c r="H326" s="26" t="str">
        <x:v>Independent root release</x:v>
      </x:c>
      <x:c r="I326" s="26" t="str">
        <x:v>Department release board</x:v>
      </x:c>
      <x:c r="J326" s="38" t="str">
        <x:v>OPEN</x:v>
      </x:c>
      <x:c r="K326" s="38" t="str">
        <x:v>UNASSIGNED</x:v>
      </x:c>
      <x:c r="L326" s="26" t="n">
        <x:v>0</x:v>
      </x:c>
    </x:row>
    <x:row r="327" ht="27" customHeight="1">
      <x:c r="C327" s="26" t="str">
        <x:v>C3-RT-D-RB1-G01</x:v>
      </x:c>
      <x:c r="D327" s="26" t="str">
        <x:v>C3-RT-D-RB1</x:v>
      </x:c>
      <x:c r="E327" s="26" t="str">
        <x:v>MS-RT</x:v>
      </x:c>
      <x:c r="F327" s="26" t="str">
        <x:v>D</x:v>
      </x:c>
      <x:c r="G327" s="26" t="str">
        <x:v>G01</x:v>
      </x:c>
      <x:c r="H327" s="26" t="str">
        <x:v>Complete service-route bill</x:v>
      </x:c>
      <x:c r="I327" s="26" t="str">
        <x:v>Mission-system office</x:v>
      </x:c>
      <x:c r="J327" s="38" t="str">
        <x:v>OPEN</x:v>
      </x:c>
      <x:c r="K327" s="38" t="str">
        <x:v>UNASSIGNED</x:v>
      </x:c>
      <x:c r="L327" s="26" t="n">
        <x:v>0</x:v>
      </x:c>
    </x:row>
    <x:row r="328" ht="27" customHeight="1">
      <x:c r="C328" s="26" t="str">
        <x:v>C3-RT-D-RB1-G02</x:v>
      </x:c>
      <x:c r="D328" s="26" t="str">
        <x:v>C3-RT-D-RB1</x:v>
      </x:c>
      <x:c r="E328" s="26" t="str">
        <x:v>MS-RT</x:v>
      </x:c>
      <x:c r="F328" s="26" t="str">
        <x:v>D</x:v>
      </x:c>
      <x:c r="G328" s="26" t="str">
        <x:v>G02</x:v>
      </x:c>
      <x:c r="H328" s="26" t="str">
        <x:v>Seven-stage state machine</x:v>
      </x:c>
      <x:c r="I328" s="26" t="str">
        <x:v>Service technical authorities</x:v>
      </x:c>
      <x:c r="J328" s="38" t="str">
        <x:v>OPEN</x:v>
      </x:c>
      <x:c r="K328" s="38" t="str">
        <x:v>UNASSIGNED</x:v>
      </x:c>
      <x:c r="L328" s="26" t="n">
        <x:v>0</x:v>
      </x:c>
    </x:row>
    <x:row r="329" ht="27" customHeight="1">
      <x:c r="C329" s="26" t="str">
        <x:v>C3-RT-D-RB1-G03</x:v>
      </x:c>
      <x:c r="D329" s="26" t="str">
        <x:v>C3-RT-D-RB1</x:v>
      </x:c>
      <x:c r="E329" s="26" t="str">
        <x:v>MS-RT</x:v>
      </x:c>
      <x:c r="F329" s="26" t="str">
        <x:v>D</x:v>
      </x:c>
      <x:c r="G329" s="26" t="str">
        <x:v>G03</x:v>
      </x:c>
      <x:c r="H329" s="26" t="str">
        <x:v>Four-field root architecture</x:v>
      </x:c>
      <x:c r="I329" s="26" t="str">
        <x:v>Mission-system office</x:v>
      </x:c>
      <x:c r="J329" s="38" t="str">
        <x:v>OPEN</x:v>
      </x:c>
      <x:c r="K329" s="38" t="str">
        <x:v>UNASSIGNED</x:v>
      </x:c>
      <x:c r="L329" s="26" t="n">
        <x:v>0</x:v>
      </x:c>
    </x:row>
    <x:row r="330" ht="27" customHeight="1">
      <x:c r="C330" s="26" t="str">
        <x:v>C3-RT-D-RB1-G04</x:v>
      </x:c>
      <x:c r="D330" s="26" t="str">
        <x:v>C3-RT-D-RB1</x:v>
      </x:c>
      <x:c r="E330" s="26" t="str">
        <x:v>MS-RT</x:v>
      </x:c>
      <x:c r="F330" s="26" t="str">
        <x:v>D</x:v>
      </x:c>
      <x:c r="G330" s="26" t="str">
        <x:v>G04</x:v>
      </x:c>
      <x:c r="H330" s="26" t="str">
        <x:v>Numeric service thresholds</x:v>
      </x:c>
      <x:c r="I330" s="26" t="str">
        <x:v>Public-effect authorities</x:v>
      </x:c>
      <x:c r="J330" s="38" t="str">
        <x:v>OPEN</x:v>
      </x:c>
      <x:c r="K330" s="38" t="str">
        <x:v>UNASSIGNED</x:v>
      </x:c>
      <x:c r="L330" s="26" t="n">
        <x:v>0</x:v>
      </x:c>
    </x:row>
    <x:row r="331" ht="27" customHeight="1">
      <x:c r="C331" s="26" t="str">
        <x:v>C3-RT-D-RB1-G05</x:v>
      </x:c>
      <x:c r="D331" s="26" t="str">
        <x:v>C3-RT-D-RB1</x:v>
      </x:c>
      <x:c r="E331" s="26" t="str">
        <x:v>MS-RT</x:v>
      </x:c>
      <x:c r="F331" s="26" t="str">
        <x:v>D</x:v>
      </x:c>
      <x:c r="G331" s="26" t="str">
        <x:v>G05</x:v>
      </x:c>
      <x:c r="H331" s="26" t="str">
        <x:v>Mass, energy, flow and residual closure</x:v>
      </x:c>
      <x:c r="I331" s="26" t="str">
        <x:v>Independent engineering board</x:v>
      </x:c>
      <x:c r="J331" s="38" t="str">
        <x:v>OPEN</x:v>
      </x:c>
      <x:c r="K331" s="38" t="str">
        <x:v>UNASSIGNED</x:v>
      </x:c>
      <x:c r="L331" s="26" t="n">
        <x:v>0</x:v>
      </x:c>
    </x:row>
    <x:row r="332" ht="27" customHeight="1">
      <x:c r="C332" s="26" t="str">
        <x:v>C3-RT-D-RB1-G06</x:v>
      </x:c>
      <x:c r="D332" s="26" t="str">
        <x:v>C3-RT-D-RB1</x:v>
      </x:c>
      <x:c r="E332" s="26" t="str">
        <x:v>MS-RT</x:v>
      </x:c>
      <x:c r="F332" s="26" t="str">
        <x:v>D</x:v>
      </x:c>
      <x:c r="G332" s="26" t="str">
        <x:v>G06</x:v>
      </x:c>
      <x:c r="H332" s="26" t="str">
        <x:v>Safety, accessibility and rights case</x:v>
      </x:c>
      <x:c r="I332" s="26" t="str">
        <x:v>Safety and civil-rights authorities</x:v>
      </x:c>
      <x:c r="J332" s="38" t="str">
        <x:v>OPEN</x:v>
      </x:c>
      <x:c r="K332" s="38" t="str">
        <x:v>UNASSIGNED</x:v>
      </x:c>
      <x:c r="L332" s="26" t="n">
        <x:v>0</x:v>
      </x:c>
    </x:row>
    <x:row r="333" ht="27" customHeight="1">
      <x:c r="C333" s="26" t="str">
        <x:v>C3-RT-D-RB1-G07</x:v>
      </x:c>
      <x:c r="D333" s="26" t="str">
        <x:v>C3-RT-D-RB1</x:v>
      </x:c>
      <x:c r="E333" s="26" t="str">
        <x:v>MS-RT</x:v>
      </x:c>
      <x:c r="F333" s="26" t="str">
        <x:v>D</x:v>
      </x:c>
      <x:c r="G333" s="26" t="str">
        <x:v>G07</x:v>
      </x:c>
      <x:c r="H333" s="26" t="str">
        <x:v>Public physical and record interfaces</x:v>
      </x:c>
      <x:c r="I333" s="26" t="str">
        <x:v>Technical integration authority</x:v>
      </x:c>
      <x:c r="J333" s="38" t="str">
        <x:v>OPEN</x:v>
      </x:c>
      <x:c r="K333" s="38" t="str">
        <x:v>UNASSIGNED</x:v>
      </x:c>
      <x:c r="L333" s="26" t="n">
        <x:v>0</x:v>
      </x:c>
    </x:row>
    <x:row r="334" ht="27" customHeight="1">
      <x:c r="C334" s="26" t="str">
        <x:v>C3-RT-D-RB1-G08</x:v>
      </x:c>
      <x:c r="D334" s="26" t="str">
        <x:v>C3-RT-D-RB1</x:v>
      </x:c>
      <x:c r="E334" s="26" t="str">
        <x:v>MS-RT</x:v>
      </x:c>
      <x:c r="F334" s="26" t="str">
        <x:v>D</x:v>
      </x:c>
      <x:c r="G334" s="26" t="str">
        <x:v>G08</x:v>
      </x:c>
      <x:c r="H334" s="26" t="str">
        <x:v>Decisive ancestry declaration</x:v>
      </x:c>
      <x:c r="I334" s="26" t="str">
        <x:v>Manufacturing authority</x:v>
      </x:c>
      <x:c r="J334" s="38" t="str">
        <x:v>OPEN</x:v>
      </x:c>
      <x:c r="K334" s="38" t="str">
        <x:v>UNASSIGNED</x:v>
      </x:c>
      <x:c r="L334" s="26" t="n">
        <x:v>0</x:v>
      </x:c>
    </x:row>
    <x:row r="335" ht="27" customHeight="1">
      <x:c r="C335" s="26" t="str">
        <x:v>C3-RT-D-RB1-G09</x:v>
      </x:c>
      <x:c r="D335" s="26" t="str">
        <x:v>C3-RT-D-RB1</x:v>
      </x:c>
      <x:c r="E335" s="26" t="str">
        <x:v>MS-RT</x:v>
      </x:c>
      <x:c r="F335" s="26" t="str">
        <x:v>D</x:v>
      </x:c>
      <x:c r="G335" s="26" t="str">
        <x:v>G09</x:v>
      </x:c>
      <x:c r="H335" s="26" t="str">
        <x:v>Executable build records and travelers</x:v>
      </x:c>
      <x:c r="I335" s="26" t="str">
        <x:v>Configuration authority</x:v>
      </x:c>
      <x:c r="J335" s="38" t="str">
        <x:v>OPEN</x:v>
      </x:c>
      <x:c r="K335" s="38" t="str">
        <x:v>UNASSIGNED</x:v>
      </x:c>
      <x:c r="L335" s="26" t="n">
        <x:v>0</x:v>
      </x:c>
    </x:row>
    <x:row r="336" ht="27" customHeight="1">
      <x:c r="C336" s="26" t="str">
        <x:v>C3-RT-D-RB1-G10</x:v>
      </x:c>
      <x:c r="D336" s="26" t="str">
        <x:v>C3-RT-D-RB1</x:v>
      </x:c>
      <x:c r="E336" s="26" t="str">
        <x:v>MS-RT</x:v>
      </x:c>
      <x:c r="F336" s="26" t="str">
        <x:v>D</x:v>
      </x:c>
      <x:c r="G336" s="26" t="str">
        <x:v>G10</x:v>
      </x:c>
      <x:c r="H336" s="26" t="str">
        <x:v>Representative subsystem evidence</x:v>
      </x:c>
      <x:c r="I336" s="26" t="str">
        <x:v>Sovereign evidence authority</x:v>
      </x:c>
      <x:c r="J336" s="38" t="str">
        <x:v>OPEN</x:v>
      </x:c>
      <x:c r="K336" s="38" t="str">
        <x:v>UNASSIGNED</x:v>
      </x:c>
      <x:c r="L336" s="26" t="n">
        <x:v>0</x:v>
      </x:c>
    </x:row>
    <x:row r="337" ht="27" customHeight="1">
      <x:c r="C337" s="26" t="str">
        <x:v>C3-RT-D-RB1-G11</x:v>
      </x:c>
      <x:c r="D337" s="26" t="str">
        <x:v>C3-RT-D-RB1</x:v>
      </x:c>
      <x:c r="E337" s="26" t="str">
        <x:v>MS-RT</x:v>
      </x:c>
      <x:c r="F337" s="26" t="str">
        <x:v>D</x:v>
      </x:c>
      <x:c r="G337" s="26" t="str">
        <x:v>G11</x:v>
      </x:c>
      <x:c r="H337" s="26" t="str">
        <x:v>Disconnected and manual operation</x:v>
      </x:c>
      <x:c r="I337" s="26" t="str">
        <x:v>Operating service authorities</x:v>
      </x:c>
      <x:c r="J337" s="38" t="str">
        <x:v>OPEN</x:v>
      </x:c>
      <x:c r="K337" s="38" t="str">
        <x:v>UNASSIGNED</x:v>
      </x:c>
      <x:c r="L337" s="26" t="n">
        <x:v>0</x:v>
      </x:c>
    </x:row>
    <x:row r="338" ht="27" customHeight="1">
      <x:c r="C338" s="26" t="str">
        <x:v>C3-RT-D-RB1-G12</x:v>
      </x:c>
      <x:c r="D338" s="26" t="str">
        <x:v>C3-RT-D-RB1</x:v>
      </x:c>
      <x:c r="E338" s="26" t="str">
        <x:v>MS-RT</x:v>
      </x:c>
      <x:c r="F338" s="26" t="str">
        <x:v>D</x:v>
      </x:c>
      <x:c r="G338" s="26" t="str">
        <x:v>G12</x:v>
      </x:c>
      <x:c r="H338" s="26" t="str">
        <x:v>Root-native evidence and outside replay</x:v>
      </x:c>
      <x:c r="I338" s="26" t="str">
        <x:v>Sovereign evidence authority</x:v>
      </x:c>
      <x:c r="J338" s="38" t="str">
        <x:v>OPEN</x:v>
      </x:c>
      <x:c r="K338" s="38" t="str">
        <x:v>UNASSIGNED</x:v>
      </x:c>
      <x:c r="L338" s="26" t="n">
        <x:v>0</x:v>
      </x:c>
    </x:row>
    <x:row r="339" ht="27" customHeight="1">
      <x:c r="C339" s="26" t="str">
        <x:v>C3-RT-D-RB1-G13</x:v>
      </x:c>
      <x:c r="D339" s="26" t="str">
        <x:v>C3-RT-D-RB1</x:v>
      </x:c>
      <x:c r="E339" s="26" t="str">
        <x:v>MS-RT</x:v>
      </x:c>
      <x:c r="F339" s="26" t="str">
        <x:v>D</x:v>
      </x:c>
      <x:c r="G339" s="26" t="str">
        <x:v>G13</x:v>
      </x:c>
      <x:c r="H339" s="26" t="str">
        <x:v>Repair, reset and second-team reproduction</x:v>
      </x:c>
      <x:c r="I339" s="26" t="str">
        <x:v>Regeneration and manufacturing authorities</x:v>
      </x:c>
      <x:c r="J339" s="38" t="str">
        <x:v>OPEN</x:v>
      </x:c>
      <x:c r="K339" s="38" t="str">
        <x:v>UNASSIGNED</x:v>
      </x:c>
      <x:c r="L339" s="26" t="n">
        <x:v>0</x:v>
      </x:c>
    </x:row>
    <x:row r="340" ht="27" customHeight="1">
      <x:c r="C340" s="26" t="str">
        <x:v>C3-RT-D-RB1-G14</x:v>
      </x:c>
      <x:c r="D340" s="26" t="str">
        <x:v>C3-RT-D-RB1</x:v>
      </x:c>
      <x:c r="E340" s="26" t="str">
        <x:v>MS-RT</x:v>
      </x:c>
      <x:c r="F340" s="26" t="str">
        <x:v>D</x:v>
      </x:c>
      <x:c r="G340" s="26" t="str">
        <x:v>G14</x:v>
      </x:c>
      <x:c r="H340" s="26" t="str">
        <x:v>Independent root release</x:v>
      </x:c>
      <x:c r="I340" s="26" t="str">
        <x:v>Department release board</x:v>
      </x:c>
      <x:c r="J340" s="38" t="str">
        <x:v>OPEN</x:v>
      </x:c>
      <x:c r="K340" s="38" t="str">
        <x:v>UNASSIGNED</x:v>
      </x:c>
      <x:c r="L340" s="26" t="n">
        <x:v>0</x:v>
      </x:c>
    </x:row>
  </x:sheetData>
  <x:conditionalFormatting sqref="J5:J340">
    <x:cfRule type="containsText" dxfId="35" priority="1" operator="containsText" text="FAIL"/>
    <x:cfRule type="containsText" dxfId="36" priority="2" operator="containsText" text="REJECT"/>
    <x:cfRule type="containsText" dxfId="37" priority="3" operator="containsText" text="OPEN"/>
    <x:cfRule type="containsText" dxfId="38" priority="4" operator="containsText" text="HOLD"/>
    <x:cfRule type="containsText" dxfId="39" priority="5" operator="containsText" text="SELECT"/>
  </x:conditionalFormatting>
  <x:dataValidations count="1">
    <x:dataValidation type="list" sqref="J5:J340">
      <x:formula1>"OPEN,PASS,FAIL"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.559999942779541" hidden="0" customWidth="1"/>
    <x:col min="2" max="2" width="1.559999942779541" hidden="0" customWidth="1"/>
    <x:col min="3" max="3" width="9.4399995803833" hidden="0" customWidth="1"/>
    <x:col min="4" max="4" width="23.329999923706055" hidden="0" customWidth="1"/>
    <x:col min="5" max="5" width="17.780000686645508" hidden="0" customWidth="1"/>
    <x:col min="6" max="6" width="11.670000076293945" hidden="0" customWidth="1"/>
    <x:col min="7" max="7" width="20.559999465942383" hidden="0" customWidth="1"/>
    <x:col min="8" max="8" width="7.78000020980835" hidden="0" customWidth="1"/>
    <x:col min="9" max="9" width="21.110000610351562" hidden="0" customWidth="1"/>
    <x:col min="10" max="10" width="11.109999656677246" hidden="0" customWidth="1"/>
  </x:cols>
  <x:sheetData>
    <x:row r="2">
      <x:c r="C2" s="1" t="str">
        <x:v>G0–G3 financial boundary</x:v>
      </x:c>
    </x:row>
    <x:row r="3">
      <x:c r="C3" s="2" t="str">
        <x:v>Cumulative reservations remain inside the conserved program. They are not article prices or earned payments.</x:v>
      </x:c>
    </x:row>
    <x:row r="4" ht="24" customHeight="1">
      <x:c r="C4" s="8" t="str">
        <x:v>Program account</x:v>
      </x:c>
      <x:c r="D4" s="8" t="str">
        <x:v>25-year envelope USD B</x:v>
      </x:c>
      <x:c r="E4" s="8" t="str">
        <x:v>Cumulative share</x:v>
      </x:c>
      <x:c r="F4" s="8" t="str">
        <x:v>G0–G3 reservation USD B</x:v>
      </x:c>
      <x:c r="G4" s="8" t="str">
        <x:v>Rule</x:v>
      </x:c>
    </x:row>
    <x:row r="5">
      <x:c r="C5" s="12" t="str">
        <x:v>Mission-system roots</x:v>
      </x:c>
      <x:c r="D5" s="39" t="n">
        <x:v>550</x:v>
      </x:c>
      <x:c r="E5" s="41" t="n">
        <x:v>0.5</x:v>
      </x:c>
      <x:c r="F5" s="39" t="n">
        <x:f>D5*E5</x:f>
        <x:v>275</x:v>
      </x:c>
      <x:c r="G5" s="12" t="str">
        <x:v>Six system weights preserved</x:v>
      </x:c>
    </x:row>
    <x:row r="6">
      <x:c r="C6" s="13" t="str">
        <x:v>Service technical bases</x:v>
      </x:c>
      <x:c r="D6" s="40" t="n">
        <x:v>150</x:v>
      </x:c>
      <x:c r="E6" s="42" t="n">
        <x:v>0.5</x:v>
      </x:c>
      <x:c r="F6" s="40" t="n">
        <x:f>D6*E6</x:f>
        <x:v>75</x:v>
      </x:c>
      <x:c r="G6" s="13" t="str">
        <x:v>Professional and family technical release</x:v>
      </x:c>
    </x:row>
    <x:row r="7">
      <x:c r="C7" s="13" t="str">
        <x:v>National common capacity</x:v>
      </x:c>
      <x:c r="D7" s="40" t="n">
        <x:v>150</x:v>
      </x:c>
      <x:c r="E7" s="42" t="n">
        <x:v>0.5</x:v>
      </x:c>
      <x:c r="F7" s="40" t="n">
        <x:f>D7*E7</x:f>
        <x:v>75</x:v>
      </x:c>
      <x:c r="G7" s="13" t="str">
        <x:v>Ranges, facilities and public interfaces</x:v>
      </x:c>
    </x:row>
    <x:row r="8">
      <x:c r="C8" s="13" t="str">
        <x:v>Sovereign technical estate</x:v>
      </x:c>
      <x:c r="D8" s="40" t="n">
        <x:v>100</x:v>
      </x:c>
      <x:c r="E8" s="42" t="n">
        <x:v>0.5</x:v>
      </x:c>
      <x:c r="F8" s="40" t="n">
        <x:f>D8*E8</x:f>
        <x:v>50</x:v>
      </x:c>
      <x:c r="G8" s="13" t="str">
        <x:v>Independent standards, evidence and configuration</x:v>
      </x:c>
    </x:row>
    <x:row r="9">
      <x:c r="C9" s="13" t="str">
        <x:v>Failure reserve</x:v>
      </x:c>
      <x:c r="D9" s="40" t="n">
        <x:v>50</x:v>
      </x:c>
      <x:c r="E9" s="42" t="n">
        <x:v>0.5</x:v>
      </x:c>
      <x:c r="F9" s="40" t="n">
        <x:f>D9*E9</x:f>
        <x:v>25</x:v>
      </x:c>
      <x:c r="G9" s="13" t="str">
        <x:v>Protected negative-result and replacement authority</x:v>
      </x:c>
    </x:row>
    <x:row r="10">
      <x:c r="C10" s="13" t="str">
        <x:v>Total</x:v>
      </x:c>
      <x:c r="D10" s="40" t="n">
        <x:v>1000</x:v>
      </x:c>
      <x:c r="E10" s="40"/>
      <x:c r="F10" s="40" t="n">
        <x:f>SUM(F5:F9)</x:f>
        <x:v>500</x:v>
      </x:c>
      <x:c r="G10" s="13" t="str">
        <x:v>Sum once</x:v>
      </x:c>
    </x:row>
    <x:row r="13" ht="24" customHeight="1">
      <x:c r="C13" s="48" t="str">
        <x:v>System</x:v>
      </x:c>
      <x:c r="D13" s="48" t="str">
        <x:v>Mission chain</x:v>
      </x:c>
      <x:c r="E13" s="48" t="str">
        <x:v>25-year envelope USD B</x:v>
      </x:c>
      <x:c r="F13" s="48" t="str">
        <x:v>G0–G3 share</x:v>
      </x:c>
      <x:c r="G13" s="48" t="str">
        <x:v>G0–G3 reservation USD B</x:v>
      </x:c>
      <x:c r="H13" s="48" t="str">
        <x:v>Roots</x:v>
      </x:c>
      <x:c r="I13" s="48" t="str">
        <x:v>Per-root reservation USD B</x:v>
      </x:c>
      <x:c r="J13" s="48" t="str">
        <x:v>State</x:v>
      </x:c>
    </x:row>
    <x:row r="14">
      <x:c r="C14" s="12" t="str">
        <x:v>MS-ET</x:v>
      </x:c>
      <x:c r="D14" s="12" t="str">
        <x:v>Enter a broken theater</x:v>
      </x:c>
      <x:c r="E14" s="39" t="n">
        <x:v>89.02339608008444</x:v>
      </x:c>
      <x:c r="F14" s="41" t="n">
        <x:v>0.5</x:v>
      </x:c>
      <x:c r="G14" s="39" t="n">
        <x:f>E14*F14</x:f>
        <x:v>44.51169804004222</x:v>
      </x:c>
      <x:c r="H14" s="39" t="n">
        <x:v>4</x:v>
      </x:c>
      <x:c r="I14" s="39" t="n">
        <x:f>G14/H14</x:f>
        <x:v>11.127924510010555</x:v>
      </x:c>
      <x:c r="J14" s="49" t="str">
        <x:v>DRAFT</x:v>
      </x:c>
    </x:row>
    <x:row r="15">
      <x:c r="C15" s="13" t="str">
        <x:v>MS-CT</x:v>
      </x:c>
      <x:c r="D15" s="13" t="str">
        <x:v>Reach occupied civil terrain</x:v>
      </x:c>
      <x:c r="E15" s="40" t="n">
        <x:v>91.87279861858138</x:v>
      </x:c>
      <x:c r="F15" s="42" t="n">
        <x:v>0.5</x:v>
      </x:c>
      <x:c r="G15" s="40" t="n">
        <x:f>E15*F15</x:f>
        <x:v>45.93639930929069</x:v>
      </x:c>
      <x:c r="H15" s="40" t="n">
        <x:v>4</x:v>
      </x:c>
      <x:c r="I15" s="40" t="n">
        <x:f>G15/H15</x:f>
        <x:v>11.484099827322673</x:v>
      </x:c>
      <x:c r="J15" s="50" t="str">
        <x:v>DRAFT</x:v>
      </x:c>
    </x:row>
    <x:row r="16">
      <x:c r="C16" s="13" t="str">
        <x:v>MS-HC</x:v>
      </x:c>
      <x:c r="D16" s="13" t="str">
        <x:v>Control an active hazard</x:v>
      </x:c>
      <x:c r="E16" s="40" t="n">
        <x:v>54.64795617252303</x:v>
      </x:c>
      <x:c r="F16" s="42" t="n">
        <x:v>0.5</x:v>
      </x:c>
      <x:c r="G16" s="40" t="n">
        <x:f>E16*F16</x:f>
        <x:v>27.323978086261516</x:v>
      </x:c>
      <x:c r="H16" s="40" t="n">
        <x:v>4</x:v>
      </x:c>
      <x:c r="I16" s="40" t="n">
        <x:f>G16/H16</x:f>
        <x:v>6.830994521565379</x:v>
      </x:c>
      <x:c r="J16" s="50" t="str">
        <x:v>DRAFT</x:v>
      </x:c>
    </x:row>
    <x:row r="17">
      <x:c r="C17" s="13" t="str">
        <x:v>MS-LF</x:v>
      </x:c>
      <x:c r="D17" s="13" t="str">
        <x:v>Produce and distribute lifelines</x:v>
      </x:c>
      <x:c r="E17" s="40" t="n">
        <x:v>71.95302554564509</x:v>
      </x:c>
      <x:c r="F17" s="42" t="n">
        <x:v>0.5</x:v>
      </x:c>
      <x:c r="G17" s="40" t="n">
        <x:f>E17*F17</x:f>
        <x:v>35.976512772822545</x:v>
      </x:c>
      <x:c r="H17" s="40" t="n">
        <x:v>4</x:v>
      </x:c>
      <x:c r="I17" s="40" t="n">
        <x:f>G17/H17</x:f>
        <x:v>8.994128193205636</x:v>
      </x:c>
      <x:c r="J17" s="50" t="str">
        <x:v>DRAFT</x:v>
      </x:c>
    </x:row>
    <x:row r="18">
      <x:c r="C18" s="13" t="str">
        <x:v>MS-HU</x:v>
      </x:c>
      <x:c r="D18" s="13" t="str">
        <x:v>Preserve care and human continuity</x:v>
      </x:c>
      <x:c r="E18" s="40" t="n">
        <x:v>153.1017614897401</x:v>
      </x:c>
      <x:c r="F18" s="42" t="n">
        <x:v>0.5</x:v>
      </x:c>
      <x:c r="G18" s="40" t="n">
        <x:f>E18*F18</x:f>
        <x:v>76.55088074487006</x:v>
      </x:c>
      <x:c r="H18" s="40" t="n">
        <x:v>4</x:v>
      </x:c>
      <x:c r="I18" s="40" t="n">
        <x:f>G18/H18</x:f>
        <x:v>19.137720186217514</x:v>
      </x:c>
      <x:c r="J18" s="50" t="str">
        <x:v>DRAFT</x:v>
      </x:c>
    </x:row>
    <x:row r="19">
      <x:c r="C19" s="13" t="str">
        <x:v>MS-RT</x:v>
      </x:c>
      <x:c r="D19" s="13" t="str">
        <x:v>Sustain, transfer and regenerate</x:v>
      </x:c>
      <x:c r="E19" s="40" t="n">
        <x:v>89.40106209342595</x:v>
      </x:c>
      <x:c r="F19" s="42" t="n">
        <x:v>0.5</x:v>
      </x:c>
      <x:c r="G19" s="40" t="n">
        <x:f>E19*F19</x:f>
        <x:v>44.700531046712975</x:v>
      </x:c>
      <x:c r="H19" s="40" t="n">
        <x:v>4</x:v>
      </x:c>
      <x:c r="I19" s="40" t="n">
        <x:f>G19/H19</x:f>
        <x:v>11.175132761678244</x:v>
      </x:c>
      <x:c r="J19" s="50" t="str">
        <x:v>DRAFT</x:v>
      </x:c>
    </x:row>
    <x:row r="20">
      <x:c r="C20" s="13" t="str">
        <x:v>Total</x:v>
      </x:c>
      <x:c r="D20" s="13" t="str"/>
      <x:c r="E20" s="40" t="n">
        <x:v>550</x:v>
      </x:c>
      <x:c r="F20" s="40"/>
      <x:c r="G20" s="40" t="n">
        <x:f>SUM(G14:G19)</x:f>
        <x:v>275</x:v>
      </x:c>
      <x:c r="H20" s="40" t="n">
        <x:v>24</x:v>
      </x:c>
      <x:c r="I20" s="40"/>
      <x:c r="J20" s="13" t="str"/>
    </x:row>
  </x:sheetData>
  <x:conditionalFormatting sqref="J14:J19">
    <x:cfRule type="containsText" dxfId="40" priority="1" operator="containsText" text="FAIL"/>
    <x:cfRule type="containsText" dxfId="41" priority="2" operator="containsText" text="REJECT"/>
    <x:cfRule type="containsText" dxfId="42" priority="3" operator="containsText" text="OPEN"/>
    <x:cfRule type="containsText" dxfId="43" priority="4" operator="containsText" text="HOLD"/>
    <x:cfRule type="containsText" dxfId="44" priority="5" operator="containsText" text="SELECT"/>
  </x:conditionalFormatting>
  <x:pageMargins left="0.7" right="0.7" top="0.75" bottom="0.75" header="0.3" footer="0.3"/>
  <x:drawing xmlns:r="http://schemas.openxmlformats.org/officeDocument/2006/relationships" r:id="R9ae48cceb72245a7"/>
</x:worksheet>
</file>

<file path=xl/worksheets/sheet11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1.559999942779541" hidden="0" customWidth="1"/>
    <x:col min="2" max="2" width="1.559999942779541" hidden="0" customWidth="1"/>
    <x:col min="3" max="3" width="33.33000183105469" hidden="0" customWidth="1"/>
    <x:col min="4" max="4" width="18.889999389648438" hidden="0" customWidth="1"/>
    <x:col min="5" max="5" width="21.110000610351562" hidden="0" customWidth="1"/>
  </x:cols>
  <x:sheetData>
    <x:row r="2">
      <x:c r="C2" s="1" t="str">
        <x:v>Model controls</x:v>
      </x:c>
    </x:row>
    <x:row r="3">
      <x:c r="C3" s="2" t="str">
        <x:v>Blue cells are constitutional inputs. Tightening or weakening the decisive-node cap changes candidate admission.</x:v>
      </x:c>
    </x:row>
    <x:row r="4" ht="24" customHeight="1">
      <x:c r="C4" s="8" t="str">
        <x:v>Control</x:v>
      </x:c>
      <x:c r="D4" s="8" t="str">
        <x:v>Value</x:v>
      </x:c>
      <x:c r="E4" s="8" t="str">
        <x:v>Unit</x:v>
      </x:c>
    </x:row>
    <x:row r="5">
      <x:c r="C5" s="12" t="str">
        <x:v>Maximum roots per decisive node</x:v>
      </x:c>
      <x:c r="D5" s="51" t="n">
        <x:v>1</x:v>
      </x:c>
      <x:c r="E5" s="12" t="str">
        <x:v>roots</x:v>
      </x:c>
    </x:row>
    <x:row r="6">
      <x:c r="C6" s="13" t="str">
        <x:v>Maximum roots per substitutable provider</x:v>
      </x:c>
      <x:c r="D6" s="52" t="n">
        <x:v>2</x:v>
      </x:c>
      <x:c r="E6" s="13" t="str">
        <x:v>roots</x:v>
      </x:c>
    </x:row>
    <x:row r="7">
      <x:c r="C7" s="13" t="str">
        <x:v>Minimum independent public-seam implementations</x:v>
      </x:c>
      <x:c r="D7" s="52" t="n">
        <x:v>4</x:v>
      </x:c>
      <x:c r="E7" s="13" t="str">
        <x:v>implementations</x:v>
      </x:c>
    </x:row>
    <x:row r="8">
      <x:c r="C8" s="13" t="str">
        <x:v>Mission systems</x:v>
      </x:c>
      <x:c r="D8" s="13" t="n">
        <x:v>6</x:v>
      </x:c>
      <x:c r="E8" s="13" t="str">
        <x:v>count</x:v>
      </x:c>
    </x:row>
    <x:row r="9">
      <x:c r="C9" s="13" t="str">
        <x:v>Roots per system</x:v>
      </x:c>
      <x:c r="D9" s="13" t="n">
        <x:v>4</x:v>
      </x:c>
      <x:c r="E9" s="13" t="str">
        <x:v>count</x:v>
      </x:c>
    </x:row>
    <x:row r="10">
      <x:c r="C10" s="13" t="str">
        <x:v>Complete roots</x:v>
      </x:c>
      <x:c r="D10" s="13" t="n">
        <x:v>24</x:v>
      </x:c>
      <x:c r="E10" s="13" t="str">
        <x:v>count</x:v>
      </x:c>
    </x:row>
    <x:row r="11">
      <x:c r="C11" s="13" t="str">
        <x:v>Problem fields</x:v>
      </x:c>
      <x:c r="D11" s="13" t="n">
        <x:v>24</x:v>
      </x:c>
      <x:c r="E11" s="13" t="str">
        <x:v>count</x:v>
      </x:c>
    </x:row>
    <x:row r="12">
      <x:c r="C12" s="13" t="str">
        <x:v>Root–field assignments</x:v>
      </x:c>
      <x:c r="D12" s="13" t="n">
        <x:v>96</x:v>
      </x:c>
      <x:c r="E12" s="13" t="str">
        <x:v>count</x:v>
      </x:c>
    </x:row>
    <x:row r="13">
      <x:c r="C13" s="13" t="str">
        <x:v>Service routes</x:v>
      </x:c>
      <x:c r="D13" s="13" t="n">
        <x:v>28</x:v>
      </x:c>
      <x:c r="E13" s="13" t="str">
        <x:v>count</x:v>
      </x:c>
    </x:row>
    <x:row r="14">
      <x:c r="C14" s="13" t="str">
        <x:v>Root–route obligations</x:v>
      </x:c>
      <x:c r="D14" s="13" t="n">
        <x:v>112</x:v>
      </x:c>
      <x:c r="E14" s="13" t="str">
        <x:v>count</x:v>
      </x:c>
    </x:row>
    <x:row r="15">
      <x:c r="C15" s="13" t="str">
        <x:v>Positions per campaign stack</x:v>
      </x:c>
      <x:c r="D15" s="13" t="n">
        <x:v>362</x:v>
      </x:c>
      <x:c r="E15" s="13" t="str">
        <x:v>formation equivalents</x:v>
      </x:c>
    </x:row>
    <x:row r="16">
      <x:c r="C16" s="13" t="str">
        <x:v>Four-root serialized positions</x:v>
      </x:c>
      <x:c r="D16" s="13" t="n">
        <x:v>1448</x:v>
      </x:c>
      <x:c r="E16" s="13" t="str">
        <x:v>formation equivalents</x:v>
      </x:c>
    </x:row>
    <x:row r="17">
      <x:c r="C17" s="13" t="str">
        <x:v>Decisive ancestry domains</x:v>
      </x:c>
      <x:c r="D17" s="13" t="n">
        <x:v>12</x:v>
      </x:c>
      <x:c r="E17" s="13" t="str">
        <x:v>per root</x:v>
      </x:c>
    </x:row>
    <x:row r="18">
      <x:c r="C18" s="13" t="str">
        <x:v>Decisive ancestry declarations</x:v>
      </x:c>
      <x:c r="D18" s="13" t="n">
        <x:v>288</x:v>
      </x:c>
      <x:c r="E18" s="13" t="str">
        <x:v>count</x:v>
      </x:c>
    </x:row>
    <x:row r="19">
      <x:c r="C19" s="13" t="str">
        <x:v>G3 gates</x:v>
      </x:c>
      <x:c r="D19" s="13" t="n">
        <x:v>14</x:v>
      </x:c>
      <x:c r="E19" s="13" t="str">
        <x:v>per root</x:v>
      </x:c>
    </x:row>
    <x:row r="20">
      <x:c r="C20" s="13" t="str">
        <x:v>G3 gate records</x:v>
      </x:c>
      <x:c r="D20" s="13" t="n">
        <x:v>336</x:v>
      </x:c>
      <x:c r="E20" s="13" t="str">
        <x:v>count</x:v>
      </x:c>
    </x:row>
    <x:row r="21">
      <x:c r="C21" s="13" t="str">
        <x:v>Cumulative G0–G3 program share</x:v>
      </x:c>
      <x:c r="D21" s="42" t="n">
        <x:v>0.5</x:v>
      </x:c>
      <x:c r="E21" s="13" t="str">
        <x:v>share</x:v>
      </x:c>
    </x:row>
    <x:row r="22">
      <x:c r="C22" s="13" t="str">
        <x:v>25-year program envelope</x:v>
      </x:c>
      <x:c r="D22" s="40" t="n">
        <x:v>1000</x:v>
      </x:c>
      <x:c r="E22" s="13" t="str">
        <x:v>USD B</x:v>
      </x:c>
    </x:row>
    <x:row r="23">
      <x:c r="C23" s="13" t="str">
        <x:v>Mission-system envelope</x:v>
      </x:c>
      <x:c r="D23" s="40" t="n">
        <x:v>550</x:v>
      </x:c>
      <x:c r="E23" s="13" t="str">
        <x:v>USD B</x:v>
      </x:c>
    </x:row>
    <x:row r="24">
      <x:c r="C24" s="13" t="str">
        <x:v>Cumulative G0–G3 mission reservation</x:v>
      </x:c>
      <x:c r="D24" s="40" t="n">
        <x:v>275</x:v>
      </x:c>
      <x:c r="E24" s="13" t="str">
        <x:v>USD B</x:v>
      </x:c>
    </x:row>
    <x:row r="25">
      <x:c r="C25" s="13" t="str">
        <x:v>Cumulative G0–G3 total reservation</x:v>
      </x:c>
      <x:c r="D25" s="40" t="n">
        <x:v>500</x:v>
      </x:c>
      <x:c r="E25" s="13" t="str">
        <x:v>USD B</x:v>
      </x:c>
    </x:row>
    <x:row r="26">
      <x:c r="C26" s="13" t="str">
        <x:v>Force credit</x:v>
      </x:c>
      <x:c r="D26" s="13" t="n">
        <x:v>0</x:v>
      </x:c>
      <x:c r="E26" s="13" t="str">
        <x:v>formation equivalents</x:v>
      </x:c>
    </x:row>
    <x:row r="27">
      <x:c r="C27" s="13" t="str">
        <x:v>Rendering authority</x:v>
      </x:c>
      <x:c r="D27" s="13" t="n">
        <x:v>0</x:v>
      </x:c>
      <x:c r="E27" s="13" t="str">
        <x:v>boolean</x:v>
      </x:c>
    </x:row>
  </x:sheetData>
  <x:dataValidations count="3">
    <x:dataValidation type="whole" operator="between" sqref="D5">
      <x:formula1>1</x:formula1>
      <x:formula2>24</x:formula2>
    </x:dataValidation>
    <x:dataValidation type="whole" operator="between" sqref="D6">
      <x:formula1>1</x:formula1>
      <x:formula2>24</x:formula2>
    </x:dataValidation>
    <x:dataValidation type="whole" operator="between" sqref="D7">
      <x:formula1>1</x:formula1>
      <x:formula2>24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.559999942779541" hidden="0" customWidth="1"/>
    <x:col min="2" max="2" width="1.559999942779541" hidden="0" customWidth="1"/>
    <x:col min="3" max="3" width="28.889999389648438" hidden="0" customWidth="1"/>
    <x:col min="4" max="4" width="16.670000076293945" hidden="0" customWidth="1"/>
    <x:col min="5" max="5" width="16.670000076293945" hidden="0" customWidth="1"/>
    <x:col min="6" max="6" width="11.109999656677246" hidden="0" customWidth="1"/>
  </x:cols>
  <x:sheetData>
    <x:row r="2">
      <x:c r="C2" s="1" t="str">
        <x:v>Terminal audits</x:v>
      </x:c>
    </x:row>
    <x:row r="3">
      <x:c r="C3" s="2" t="str">
        <x:v>Checks observe the model. No output or gate depends on this sheet.</x:v>
      </x:c>
    </x:row>
    <x:row r="4" ht="24" customHeight="1">
      <x:c r="C4" s="8" t="str">
        <x:v>Audit</x:v>
      </x:c>
      <x:c r="D4" s="8" t="str">
        <x:v>Observed</x:v>
      </x:c>
      <x:c r="E4" s="8" t="str">
        <x:v>Expected</x:v>
      </x:c>
      <x:c r="F4" s="8" t="str">
        <x:v>Result</x:v>
      </x:c>
    </x:row>
    <x:row r="5">
      <x:c r="C5" s="12" t="str">
        <x:v>Candidate count</x:v>
      </x:c>
      <x:c r="D5" s="39" t="n">
        <x:f>COUNTA('Candidate Screen'!C5:C9)</x:f>
        <x:v>5</x:v>
      </x:c>
      <x:c r="E5" s="39" t="n">
        <x:v>5</x:v>
      </x:c>
      <x:c r="F5" s="49" t="str">
        <x:f>IF(D5=E5,"PASS","FAIL")</x:f>
        <x:v>PASS</x:v>
      </x:c>
    </x:row>
    <x:row r="6">
      <x:c r="C6" s="13" t="str">
        <x:v>Selected candidates</x:v>
      </x:c>
      <x:c r="D6" s="40" t="n">
        <x:f>COUNTIFS('Candidate Screen'!P5:P9,"SELECT")</x:f>
        <x:v>1</x:v>
      </x:c>
      <x:c r="E6" s="40" t="n">
        <x:v>1</x:v>
      </x:c>
      <x:c r="F6" s="50" t="str">
        <x:f>IF(D6=E6,"PASS","FAIL")</x:f>
        <x:v>PASS</x:v>
      </x:c>
    </x:row>
    <x:row r="7">
      <x:c r="C7" s="13" t="str">
        <x:v>Selected gates</x:v>
      </x:c>
      <x:c r="D7" s="40" t="n">
        <x:f>MAX('Candidate Screen'!O5:O9)</x:f>
        <x:v>10</x:v>
      </x:c>
      <x:c r="E7" s="40" t="n">
        <x:v>10</x:v>
      </x:c>
      <x:c r="F7" s="50" t="str">
        <x:f>IF(D7=E7,"PASS","FAIL")</x:f>
        <x:v>PASS</x:v>
      </x:c>
    </x:row>
    <x:row r="8">
      <x:c r="C8" s="13" t="str">
        <x:v>Mission systems</x:v>
      </x:c>
      <x:c r="D8" s="40" t="n">
        <x:f>COUNTA('System Contracts'!C5:C10)</x:f>
        <x:v>6</x:v>
      </x:c>
      <x:c r="E8" s="40" t="n">
        <x:v>6</x:v>
      </x:c>
      <x:c r="F8" s="50" t="str">
        <x:f>IF(D8=E8,"PASS","FAIL")</x:f>
        <x:v>PASS</x:v>
      </x:c>
    </x:row>
    <x:row r="9">
      <x:c r="C9" s="13" t="str">
        <x:v>Complete roots</x:v>
      </x:c>
      <x:c r="D9" s="40" t="n">
        <x:f>COUNTA('Root Slate'!C5:C28)</x:f>
        <x:v>24</x:v>
      </x:c>
      <x:c r="E9" s="40" t="n">
        <x:v>24</x:v>
      </x:c>
      <x:c r="F9" s="50" t="str">
        <x:f>IF(D9=E9,"PASS","FAIL")</x:f>
        <x:v>PASS</x:v>
      </x:c>
    </x:row>
    <x:row r="10">
      <x:c r="C10" s="13" t="str">
        <x:v>Minimum roots/system</x:v>
      </x:c>
      <x:c r="D10" s="40" t="n">
        <x:f>MIN('System Contracts'!H5:H10)</x:f>
        <x:v>4</x:v>
      </x:c>
      <x:c r="E10" s="40" t="n">
        <x:v>4</x:v>
      </x:c>
      <x:c r="F10" s="50" t="str">
        <x:f>IF(D10=E10,"PASS","FAIL")</x:f>
        <x:v>PASS</x:v>
      </x:c>
    </x:row>
    <x:row r="11">
      <x:c r="C11" s="13" t="str">
        <x:v>Maximum roots/system</x:v>
      </x:c>
      <x:c r="D11" s="40" t="n">
        <x:f>MAX('System Contracts'!H5:H10)</x:f>
        <x:v>4</x:v>
      </x:c>
      <x:c r="E11" s="40" t="n">
        <x:v>4</x:v>
      </x:c>
      <x:c r="F11" s="50" t="str">
        <x:f>IF(D11=E11,"PASS","FAIL")</x:f>
        <x:v>PASS</x:v>
      </x:c>
    </x:row>
    <x:row r="12">
      <x:c r="C12" s="13" t="str">
        <x:v>Positions/stack</x:v>
      </x:c>
      <x:c r="D12" s="40" t="n">
        <x:f>SUM('System Contracts'!G5:G10)</x:f>
        <x:v>362</x:v>
      </x:c>
      <x:c r="E12" s="40" t="n">
        <x:v>362</x:v>
      </x:c>
      <x:c r="F12" s="50" t="str">
        <x:f>IF(D12=E12,"PASS","FAIL")</x:f>
        <x:v>PASS</x:v>
      </x:c>
    </x:row>
    <x:row r="13">
      <x:c r="C13" s="13" t="str">
        <x:v>Four-root positions</x:v>
      </x:c>
      <x:c r="D13" s="40" t="n">
        <x:f>SUM('System Contracts'!I5:I10)</x:f>
        <x:v>1448</x:v>
      </x:c>
      <x:c r="E13" s="40" t="n">
        <x:v>1448</x:v>
      </x:c>
      <x:c r="F13" s="50" t="str">
        <x:f>IF(D13=E13,"PASS","FAIL")</x:f>
        <x:v>PASS</x:v>
      </x:c>
    </x:row>
    <x:row r="14">
      <x:c r="C14" s="13" t="str">
        <x:v>Problem fields</x:v>
      </x:c>
      <x:c r="D14" s="40" t="n">
        <x:f>COUNTA('Root Field Matrix'!G5:G100)/4</x:f>
        <x:v>24</x:v>
      </x:c>
      <x:c r="E14" s="40" t="n">
        <x:v>24</x:v>
      </x:c>
      <x:c r="F14" s="50" t="str">
        <x:f>IF(D14=E14,"PASS","FAIL")</x:f>
        <x:v>PASS</x:v>
      </x:c>
    </x:row>
    <x:row r="15">
      <x:c r="C15" s="13" t="str">
        <x:v>Root–field assignments</x:v>
      </x:c>
      <x:c r="D15" s="40" t="n">
        <x:f>COUNTA('Root Field Matrix'!C5:C100)</x:f>
        <x:v>96</x:v>
      </x:c>
      <x:c r="E15" s="40" t="n">
        <x:v>96</x:v>
      </x:c>
      <x:c r="F15" s="50" t="str">
        <x:f>IF(D15=E15,"PASS","FAIL")</x:f>
        <x:v>PASS</x:v>
      </x:c>
    </x:row>
    <x:row r="16">
      <x:c r="C16" s="13" t="str">
        <x:v>Minimum fields/root</x:v>
      </x:c>
      <x:c r="D16" s="40" t="n">
        <x:f>MIN('Root Slate'!J5:J28)</x:f>
        <x:v>4</x:v>
      </x:c>
      <x:c r="E16" s="40" t="n">
        <x:v>4</x:v>
      </x:c>
      <x:c r="F16" s="50" t="str">
        <x:f>IF(D16=E16,"PASS","FAIL")</x:f>
        <x:v>PASS</x:v>
      </x:c>
    </x:row>
    <x:row r="17">
      <x:c r="C17" s="13" t="str">
        <x:v>Maximum fields/root</x:v>
      </x:c>
      <x:c r="D17" s="40" t="n">
        <x:f>MAX('Root Slate'!J5:J28)</x:f>
        <x:v>4</x:v>
      </x:c>
      <x:c r="E17" s="40" t="n">
        <x:v>4</x:v>
      </x:c>
      <x:c r="F17" s="50" t="str">
        <x:f>IF(D17=E17,"PASS","FAIL")</x:f>
        <x:v>PASS</x:v>
      </x:c>
    </x:row>
    <x:row r="18">
      <x:c r="C18" s="13" t="str">
        <x:v>Service routes</x:v>
      </x:c>
      <x:c r="D18" s="40" t="n">
        <x:f>COUNTA('Route Obligations'!G5:G116)/4</x:f>
        <x:v>28</x:v>
      </x:c>
      <x:c r="E18" s="40" t="n">
        <x:v>28</x:v>
      </x:c>
      <x:c r="F18" s="50" t="str">
        <x:f>IF(D18=E18,"PASS","FAIL")</x:f>
        <x:v>PASS</x:v>
      </x:c>
    </x:row>
    <x:row r="19">
      <x:c r="C19" s="13" t="str">
        <x:v>Root–route obligations</x:v>
      </x:c>
      <x:c r="D19" s="40" t="n">
        <x:f>COUNTA('Route Obligations'!C5:C116)</x:f>
        <x:v>112</x:v>
      </x:c>
      <x:c r="E19" s="40" t="n">
        <x:v>112</x:v>
      </x:c>
      <x:c r="F19" s="50" t="str">
        <x:f>IF(D19=E19,"PASS","FAIL")</x:f>
        <x:v>PASS</x:v>
      </x:c>
    </x:row>
    <x:row r="20">
      <x:c r="C20" s="13" t="str">
        <x:v>Route-stage obligations</x:v>
      </x:c>
      <x:c r="D20" s="40" t="n">
        <x:f>SUM('Route Obligations'!J5:J116)</x:f>
        <x:v>784</x:v>
      </x:c>
      <x:c r="E20" s="40" t="n">
        <x:v>784</x:v>
      </x:c>
      <x:c r="F20" s="50" t="str">
        <x:f>IF(D20=E20,"PASS","FAIL")</x:f>
        <x:v>PASS</x:v>
      </x:c>
    </x:row>
    <x:row r="21">
      <x:c r="C21" s="13" t="str">
        <x:v>Commonality rules</x:v>
      </x:c>
      <x:c r="D21" s="40" t="n">
        <x:f>COUNTA('Commonality Law'!C5:C28)</x:f>
        <x:v>24</x:v>
      </x:c>
      <x:c r="E21" s="40" t="n">
        <x:v>24</x:v>
      </x:c>
      <x:c r="F21" s="50" t="str">
        <x:f>IF(D21=E21,"PASS","FAIL")</x:f>
        <x:v>PASS</x:v>
      </x:c>
    </x:row>
    <x:row r="22">
      <x:c r="C22" s="13" t="str">
        <x:v>Public seams</x:v>
      </x:c>
      <x:c r="D22" s="40" t="n">
        <x:f>COUNTIFS('Commonality Law'!D5:D28,"PUBLIC_SEAM")</x:f>
        <x:v>8</x:v>
      </x:c>
      <x:c r="E22" s="40" t="n">
        <x:v>8</x:v>
      </x:c>
      <x:c r="F22" s="50" t="str">
        <x:f>IF(D22=E22,"PASS","FAIL")</x:f>
        <x:v>PASS</x:v>
      </x:c>
    </x:row>
    <x:row r="23">
      <x:c r="C23" s="13" t="str">
        <x:v>Substitutable pools</x:v>
      </x:c>
      <x:c r="D23" s="40" t="n">
        <x:f>COUNTIFS('Commonality Law'!D5:D28,"SUBSTITUTABLE_POOL")</x:f>
        <x:v>4</x:v>
      </x:c>
      <x:c r="E23" s="40" t="n">
        <x:v>4</x:v>
      </x:c>
      <x:c r="F23" s="50" t="str">
        <x:f>IF(D23=E23,"PASS","FAIL")</x:f>
        <x:v>PASS</x:v>
      </x:c>
    </x:row>
    <x:row r="24">
      <x:c r="C24" s="13" t="str">
        <x:v>Exclusive domains</x:v>
      </x:c>
      <x:c r="D24" s="40" t="n">
        <x:f>COUNTIFS('Commonality Law'!D5:D28,"ROOT_EXCLUSIVE")</x:f>
        <x:v>12</x:v>
      </x:c>
      <x:c r="E24" s="40" t="n">
        <x:v>12</x:v>
      </x:c>
      <x:c r="F24" s="50" t="str">
        <x:f>IF(D24=E24,"PASS","FAIL")</x:f>
        <x:v>PASS</x:v>
      </x:c>
    </x:row>
    <x:row r="25">
      <x:c r="C25" s="13" t="str">
        <x:v>Ancestry declarations</x:v>
      </x:c>
      <x:c r="D25" s="40" t="n">
        <x:f>COUNTA('Ancestry Ledger'!C5:C292)</x:f>
        <x:v>288</x:v>
      </x:c>
      <x:c r="E25" s="40" t="n">
        <x:v>288</x:v>
      </x:c>
      <x:c r="F25" s="50" t="str">
        <x:f>IF(D25=E25,"PASS","FAIL")</x:f>
        <x:v>PASS</x:v>
      </x:c>
    </x:row>
    <x:row r="26">
      <x:c r="C26" s="13" t="str">
        <x:v>Undeclared ancestry</x:v>
      </x:c>
      <x:c r="D26" s="40" t="n">
        <x:f>COUNTIFS('Ancestry Ledger'!K5:K292,"UNDECLARED")</x:f>
        <x:v>288</x:v>
      </x:c>
      <x:c r="E26" s="40" t="n">
        <x:v>288</x:v>
      </x:c>
      <x:c r="F26" s="50" t="str">
        <x:f>IF(D26=E26,"PASS","FAIL")</x:f>
        <x:v>PASS</x:v>
      </x:c>
    </x:row>
    <x:row r="27">
      <x:c r="C27" s="13" t="str">
        <x:v>Declared ancestry</x:v>
      </x:c>
      <x:c r="D27" s="40" t="n">
        <x:f>COUNTIFS('Ancestry Ledger'!K5:K292,"&lt;&gt;UNDECLARED")</x:f>
        <x:v>0</x:v>
      </x:c>
      <x:c r="E27" s="40" t="n">
        <x:v>0</x:v>
      </x:c>
      <x:c r="F27" s="50" t="str">
        <x:f>IF(D27=E27,"PASS","FAIL")</x:f>
        <x:v>PASS</x:v>
      </x:c>
    </x:row>
    <x:row r="28">
      <x:c r="C28" s="13" t="str">
        <x:v>G3 gate records</x:v>
      </x:c>
      <x:c r="D28" s="40" t="n">
        <x:f>COUNTA('G3 Gates'!C5:C340)</x:f>
        <x:v>336</x:v>
      </x:c>
      <x:c r="E28" s="40" t="n">
        <x:v>336</x:v>
      </x:c>
      <x:c r="F28" s="50" t="str">
        <x:f>IF(D28=E28,"PASS","FAIL")</x:f>
        <x:v>PASS</x:v>
      </x:c>
    </x:row>
    <x:row r="29">
      <x:c r="C29" s="13" t="str">
        <x:v>Open G3 gates</x:v>
      </x:c>
      <x:c r="D29" s="40" t="n">
        <x:f>COUNTIFS('G3 Gates'!J5:J340,"OPEN")</x:f>
        <x:v>336</x:v>
      </x:c>
      <x:c r="E29" s="40" t="n">
        <x:v>336</x:v>
      </x:c>
      <x:c r="F29" s="50" t="str">
        <x:f>IF(D29=E29,"PASS","FAIL")</x:f>
        <x:v>PASS</x:v>
      </x:c>
    </x:row>
    <x:row r="30">
      <x:c r="C30" s="13" t="str">
        <x:v>Released roots</x:v>
      </x:c>
      <x:c r="D30" s="40" t="n">
        <x:f>COUNTIFS('Root Slate'!O5:O28,"G3 RELEASE")</x:f>
        <x:v>0</x:v>
      </x:c>
      <x:c r="E30" s="40" t="n">
        <x:v>0</x:v>
      </x:c>
      <x:c r="F30" s="50" t="str">
        <x:f>IF(D30=E30,"PASS","FAIL")</x:f>
        <x:v>PASS</x:v>
      </x:c>
    </x:row>
    <x:row r="31">
      <x:c r="C31" s="13" t="str">
        <x:v>Force credit</x:v>
      </x:c>
      <x:c r="D31" s="40" t="n">
        <x:f>SUM('Root Slate'!P5:P28)</x:f>
        <x:v>0</x:v>
      </x:c>
      <x:c r="E31" s="40" t="n">
        <x:v>0</x:v>
      </x:c>
      <x:c r="F31" s="50" t="str">
        <x:f>IF(D31=E31,"PASS","FAIL")</x:f>
        <x:v>PASS</x:v>
      </x:c>
    </x:row>
    <x:row r="32">
      <x:c r="C32" s="13" t="str">
        <x:v>Rendering blocks</x:v>
      </x:c>
      <x:c r="D32" s="40" t="n">
        <x:f>COUNTIFS('Root Slate'!Q5:Q28,"BLOCKED")</x:f>
        <x:v>24</x:v>
      </x:c>
      <x:c r="E32" s="40" t="n">
        <x:v>24</x:v>
      </x:c>
      <x:c r="F32" s="50" t="str">
        <x:f>IF(D32=E32,"PASS","FAIL")</x:f>
        <x:v>PASS</x:v>
      </x:c>
    </x:row>
    <x:row r="33">
      <x:c r="C33" s="13" t="str">
        <x:v>Program envelope</x:v>
      </x:c>
      <x:c r="D33" s="40" t="n">
        <x:f>'Financial Boundary'!D10</x:f>
        <x:v>1000</x:v>
      </x:c>
      <x:c r="E33" s="40" t="n">
        <x:v>1000</x:v>
      </x:c>
      <x:c r="F33" s="50" t="str">
        <x:f>IF(D33=E33,"PASS","FAIL")</x:f>
        <x:v>PASS</x:v>
      </x:c>
    </x:row>
    <x:row r="34">
      <x:c r="C34" s="13" t="str">
        <x:v>G0–G3 total</x:v>
      </x:c>
      <x:c r="D34" s="40" t="n">
        <x:f>'Financial Boundary'!F10</x:f>
        <x:v>500</x:v>
      </x:c>
      <x:c r="E34" s="40" t="n">
        <x:v>500</x:v>
      </x:c>
      <x:c r="F34" s="50" t="str">
        <x:f>IF(D34=E34,"PASS","FAIL")</x:f>
        <x:v>PASS</x:v>
      </x:c>
    </x:row>
    <x:row r="35">
      <x:c r="C35" s="13" t="str">
        <x:v>Mission envelope</x:v>
      </x:c>
      <x:c r="D35" s="40" t="n">
        <x:f>SUM('Financial Boundary'!E14:E19)</x:f>
        <x:v>550</x:v>
      </x:c>
      <x:c r="E35" s="40" t="n">
        <x:v>550</x:v>
      </x:c>
      <x:c r="F35" s="50" t="str">
        <x:f>IF(D35=E35,"PASS","FAIL")</x:f>
        <x:v>PASS</x:v>
      </x:c>
    </x:row>
    <x:row r="36">
      <x:c r="C36" s="13" t="str">
        <x:v>G0–G3 mission</x:v>
      </x:c>
      <x:c r="D36" s="40" t="n">
        <x:f>SUM('Financial Boundary'!G14:G19)</x:f>
        <x:v>275</x:v>
      </x:c>
      <x:c r="E36" s="40" t="n">
        <x:v>275</x:v>
      </x:c>
      <x:c r="F36" s="50" t="str">
        <x:f>IF(D36=E36,"PASS","FAIL")</x:f>
        <x:v>PASS</x:v>
      </x:c>
    </x:row>
    <x:row r="37">
      <x:c r="C37" s="13" t="str">
        <x:v>Root reservations</x:v>
      </x:c>
      <x:c r="D37" s="40" t="n">
        <x:f>SUM('Root Slate'!K5:K28)</x:f>
        <x:v>274.99999999999994</x:v>
      </x:c>
      <x:c r="E37" s="40" t="n">
        <x:v>275</x:v>
      </x:c>
      <x:c r="F37" s="50" t="str">
        <x:f>IF(D37=E37,"PASS","FAIL")</x:f>
        <x:v>PASS</x:v>
      </x:c>
    </x:row>
    <x:row r="38">
      <x:c r="C38" s="13" t="str">
        <x:v>Non-mission G0–G3</x:v>
      </x:c>
      <x:c r="D38" s="40" t="n">
        <x:f>SUM('Financial Boundary'!F6:F9)</x:f>
        <x:v>225</x:v>
      </x:c>
      <x:c r="E38" s="40" t="n">
        <x:v>225</x:v>
      </x:c>
      <x:c r="F38" s="50" t="str">
        <x:f>IF(D38=E38,"PASS","FAIL")</x:f>
        <x:v>PASS</x:v>
      </x:c>
    </x:row>
    <x:row r="39">
      <x:c r="C39" s="13" t="str">
        <x:v>Budget conservation</x:v>
      </x:c>
      <x:c r="D39" s="40" t="n">
        <x:f>SUM('Financial Boundary'!F5:F9)</x:f>
        <x:v>500</x:v>
      </x:c>
      <x:c r="E39" s="40" t="n">
        <x:v>500</x:v>
      </x:c>
      <x:c r="F39" s="50" t="str">
        <x:f>IF(D39=E39,"PASS","FAIL")</x:f>
        <x:v>PASS</x:v>
      </x:c>
    </x:row>
    <x:row r="40">
      <x:c r="C40" s="13" t="str">
        <x:v>Internal sources</x:v>
      </x:c>
      <x:c r="D40" s="40" t="n">
        <x:f>COUNTA('Sources'!C5:C10)</x:f>
        <x:v>6</x:v>
      </x:c>
      <x:c r="E40" s="40" t="n">
        <x:v>6</x:v>
      </x:c>
      <x:c r="F40" s="50" t="str">
        <x:f>IF(D40=E40,"PASS","FAIL")</x:f>
        <x:v>PASS</x:v>
      </x:c>
    </x:row>
    <x:row r="41">
      <x:c r="C41" s="13" t="str">
        <x:v>Root-house assignments</x:v>
      </x:c>
      <x:c r="D41" s="40" t="n">
        <x:f>COUNTIFS('Root Slate'!L5:L28,"&lt;&gt;UNASSIGNED")</x:f>
        <x:v>0</x:v>
      </x:c>
      <x:c r="E41" s="40" t="n">
        <x:v>0</x:v>
      </x:c>
      <x:c r="F41" s="50" t="str">
        <x:f>IF(D41=E41,"PASS","FAIL")</x:f>
        <x:v>PASS</x:v>
      </x:c>
    </x:row>
  </x:sheetData>
  <x:conditionalFormatting sqref="F5:F41">
    <x:cfRule type="containsText" dxfId="45" priority="1" operator="containsText" text="FAIL"/>
    <x:cfRule type="containsText" dxfId="46" priority="2" operator="containsText" text="REJECT"/>
    <x:cfRule type="containsText" dxfId="47" priority="3" operator="containsText" text="OPEN"/>
    <x:cfRule type="containsText" dxfId="48" priority="4" operator="containsText" text="HOLD"/>
    <x:cfRule type="containsText" dxfId="49" priority="5" operator="containsText" text="SELECT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.559999942779541" hidden="0" customWidth="1"/>
    <x:col min="2" max="2" width="1.559999942779541" hidden="0" customWidth="1"/>
    <x:col min="3" max="3" width="33.33000183105469" hidden="0" customWidth="1"/>
    <x:col min="4" max="4" width="67.77999877929688" hidden="0" customWidth="1"/>
    <x:col min="5" max="5" width="47.779998779296875" hidden="0" customWidth="1"/>
  </x:cols>
  <x:sheetData>
    <x:row r="2">
      <x:c r="C2" s="1" t="str">
        <x:v>Internal sources</x:v>
      </x:c>
    </x:row>
    <x:row r="3">
      <x:c r="C3" s="2" t="str">
        <x:v>No external-site research is used.</x:v>
      </x:c>
    </x:row>
    <x:row r="4" ht="24" customHeight="1">
      <x:c r="C4" s="8" t="str">
        <x:v>Source</x:v>
      </x:c>
      <x:c r="D4" s="8" t="str">
        <x:v>Repository path</x:v>
      </x:c>
      <x:c r="E4" s="8" t="str">
        <x:v>Authority imported</x:v>
      </x:c>
    </x:row>
    <x:row r="5" ht="36" customHeight="1">
      <x:c r="C5" s="12" t="str">
        <x:v>Pass 168 mission-system portfolio constitution</x:v>
      </x:c>
      <x:c r="D5" s="12" t="str">
        <x:v>research/force/generation/department-of-resilience-six-mission-system-portfolio-topology-and-technology-competition-constitution.md</x:v>
      </x:c>
      <x:c r="E5" s="12" t="str">
        <x:v>Six systems, twenty-four fields and USD 550B mission envelope</x:v>
      </x:c>
    </x:row>
    <x:row r="6" ht="36" customHeight="1">
      <x:c r="C6" s="13" t="str">
        <x:v>Pass 171 coupled development wavefront</x:v>
      </x:c>
      <x:c r="D6" s="13" t="str">
        <x:v>research/force/generation/department-of-resilience-six-mission-system-coupled-development-wavefront-and-joint-demonstrator-constitution.md</x:v>
      </x:c>
      <x:c r="E6" s="13" t="str">
        <x:v>G0–G3 wave share, four complete roots and field-survivor law</x:v>
      </x:c>
    </x:row>
    <x:row r="7" ht="36" customHeight="1">
      <x:c r="C7" s="13" t="str">
        <x:v>Pass 172 service-contract grammar</x:v>
      </x:c>
      <x:c r="D7" s="13" t="str">
        <x:v>research/force/generation/department-of-resilience-all-six-service-contract-vector-and-mission-exchange-grammar-constitution.md</x:v>
      </x:c>
      <x:c r="E7" s="13" t="str">
        <x:v>Twenty-eight routes, seven stages and public exchange seams</x:v>
      </x:c>
    </x:row>
    <x:row r="8" ht="36" customHeight="1">
      <x:c r="C8" s="13" t="str">
        <x:v>Pass 174 root-serial experiment protocol</x:v>
      </x:c>
      <x:c r="D8" s="13" t="str">
        <x:v>research/force/generation/department-of-resilience-cascadia-root-serial-experiment-and-observation-protocol-constitution.md</x:v>
      </x:c>
      <x:c r="E8" s="13" t="str">
        <x:v>Twenty-four baselines, 1,448 positions and three-authority adjudication</x:v>
      </x:c>
    </x:row>
    <x:row r="9" ht="36" customHeight="1">
      <x:c r="C9" s="13" t="str">
        <x:v>MESA-1E rival-root acquisition constitution</x:v>
      </x:c>
      <x:c r="D9" s="13" t="str">
        <x:v>research/force/projection/mesa1e-family-procurement-and-source-selection-experiment.md</x:v>
      </x:c>
      <x:c r="E9" s="13" t="str">
        <x:v>Decisive ancestry, public evidence commons and reproduction rights</x:v>
      </x:c>
    </x:row>
    <x:row r="10" ht="36" customHeight="1">
      <x:c r="C10" s="13" t="str">
        <x:v>F36 root build-package constitution</x:v>
      </x:c>
      <x:c r="D10" s="13" t="str">
        <x:v>research/force/generation/f36-cisa40-root-build-package-and-tolerance-stack-constitution.md</x:v>
      </x:c>
      <x:c r="E10" s="13" t="str">
        <x:v>Root-native material, energy, process, control and evidence ancestry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.559999942779541" hidden="0" customWidth="1"/>
    <x:col min="2" max="2" width="1.559999942779541" hidden="0" customWidth="1"/>
    <x:col min="3" max="3" width="20" hidden="0" customWidth="1"/>
    <x:col min="4" max="4" width="80" hidden="0" customWidth="1"/>
  </x:cols>
  <x:sheetData>
    <x:row r="2">
      <x:c r="C2" s="1" t="str">
        <x:v>How to read the root-diversity constitution</x:v>
      </x:c>
    </x:row>
    <x:row r="4" ht="24" customHeight="1">
      <x:c r="C4" s="8" t="str">
        <x:v>Topic</x:v>
      </x:c>
      <x:c r="D4" s="8" t="str">
        <x:v>Use</x:v>
      </x:c>
    </x:row>
    <x:row r="5" ht="33" customHeight="1">
      <x:c r="C5" s="16" t="str">
        <x:v>Decision</x:v>
      </x:c>
      <x:c r="D5" s="12" t="str">
        <x:v>The selected architecture creates twenty-four complete root houses joined by public seams.</x:v>
      </x:c>
    </x:row>
    <x:row r="6" ht="33" customHeight="1">
      <x:c r="C6" s="17" t="str">
        <x:v>Do not infer</x:v>
      </x:c>
      <x:c r="D6" s="13" t="str">
        <x:v>Architecture names are hypotheses. No company, design, hardware, G3 status or price is selected.</x:v>
      </x:c>
    </x:row>
    <x:row r="7" ht="33" customHeight="1">
      <x:c r="C7" s="17" t="str">
        <x:v>Root test</x:v>
      </x:c>
      <x:c r="D7" s="13" t="str">
        <x:v>Every root must carry every service route, all seven stages, four problem fields and fourteen G3 gates.</x:v>
      </x:c>
    </x:row>
    <x:row r="8" ht="33" customHeight="1">
      <x:c r="C8" s="17" t="str">
        <x:v>Commonality</x:v>
      </x:c>
      <x:c r="D8" s="13" t="str">
        <x:v>Public seams may span all roots; substitutable pools are capped; decisive execution ancestry is exclusive.</x:v>
      </x:c>
    </x:row>
    <x:row r="9" ht="33" customHeight="1">
      <x:c r="C9" s="17" t="str">
        <x:v>Editable inputs</x:v>
      </x:c>
      <x:c r="D9" s="13" t="str">
        <x:v>Controls set exposure caps. Blue ancestry and G3 cells accept future named evidence.</x:v>
      </x:c>
    </x:row>
    <x:row r="10" ht="33" customHeight="1">
      <x:c r="C10" s="17" t="str">
        <x:v>Failure behavior</x:v>
      </x:c>
      <x:c r="D10" s="13" t="str">
        <x:v>A shared decisive node fails both affected ancestry rows. A missing declaration remains OPEN rather than becoming zero.</x:v>
      </x:c>
    </x:row>
    <x:row r="11" ht="33" customHeight="1">
      <x:c r="C11" s="17" t="str">
        <x:v>Finance</x:v>
      </x:c>
      <x:c r="D11" s="13" t="str">
        <x:v>USD 500B is the cumulative G0–G3 share of the existing USD 1.00T program, not an additive request.</x:v>
      </x:c>
    </x:row>
    <x:row r="12" ht="33" customHeight="1">
      <x:c r="C12" s="17" t="str">
        <x:v>Current state</x:v>
      </x:c>
      <x:c r="D12" s="13" t="str">
        <x:v>All 288 ancestry declarations and 336 G3 gates remain open. Force credit is zero.</x:v>
      </x:c>
    </x:row>
    <x:row r="13" ht="33" customHeight="1">
      <x:c r="C13" s="17" t="str">
        <x:v>Rendering</x:v>
      </x:c>
      <x:c r="D13" s="13" t="str">
        <x:v>Blocked until physical bills, thresholds, lineages and representative evidence support exterior form.</x:v>
      </x:c>
    </x:row>
    <x:row r="14" ht="33" customHeight="1">
      <x:c r="C14" s="17" t="str">
        <x:v>Source boundary</x:v>
      </x:c>
      <x:c r="D14" s="13" t="str">
        <x:v>Repository Passes 168, 171, 172 and 174 plus MESA-1E and the F36 root constitution; no external sites.</x:v>
      </x:c>
    </x:row>
  </x:sheetData>
  <x:pageMargins left="0.7" right="0.7" top="0.75" bottom="0.75" header="0.3" footer="0.3"/>
</x:worksheet>
</file>