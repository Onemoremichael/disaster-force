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25eeb2a40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86368d88b63c40dc"/>
    <x:sheet xmlns:r="http://schemas.openxmlformats.org/officeDocument/2006/relationships" name="Controls" sheetId="2" r:id="R88b0ab176e3e4367"/>
    <x:sheet xmlns:r="http://schemas.openxmlformats.org/officeDocument/2006/relationships" name="Root Balance" sheetId="3" r:id="Rd6d312d42e2d4991"/>
    <x:sheet xmlns:r="http://schemas.openxmlformats.org/officeDocument/2006/relationships" name="Component Bill" sheetId="4" r:id="R30ffc2a563194bfd"/>
    <x:sheet xmlns:r="http://schemas.openxmlformats.org/officeDocument/2006/relationships" name="Mass Access" sheetId="5" r:id="R3a69b187a353440a"/>
    <x:sheet xmlns:r="http://schemas.openxmlformats.org/officeDocument/2006/relationships" name="Energy" sheetId="6" r:id="R2adc0d19f8f943aa"/>
    <x:sheet xmlns:r="http://schemas.openxmlformats.org/officeDocument/2006/relationships" name="Route Flow" sheetId="7" r:id="R8bafc29efd864385"/>
    <x:sheet xmlns:r="http://schemas.openxmlformats.org/officeDocument/2006/relationships" name="Labor" sheetId="8" r:id="R61ba3c2e312e4214"/>
    <x:sheet xmlns:r="http://schemas.openxmlformats.org/officeDocument/2006/relationships" name="Safety" sheetId="9" r:id="R7b89ecfdd1634968"/>
    <x:sheet xmlns:r="http://schemas.openxmlformats.org/officeDocument/2006/relationships" name="Receivers" sheetId="10" r:id="R0c20bbf8bd71475b"/>
    <x:sheet xmlns:r="http://schemas.openxmlformats.org/officeDocument/2006/relationships" name="Residual" sheetId="11" r:id="R3020b8b6b87547da"/>
    <x:sheet xmlns:r="http://schemas.openxmlformats.org/officeDocument/2006/relationships" name="Account Cases" sheetId="12" r:id="Rc69d1c89efcc4783"/>
    <x:sheet xmlns:r="http://schemas.openxmlformats.org/officeDocument/2006/relationships" name="Evidence Gates" sheetId="13" r:id="Rcb6c28a8d7c64911"/>
    <x:sheet xmlns:r="http://schemas.openxmlformats.org/officeDocument/2006/relationships" name="Technology" sheetId="14" r:id="R8e03dfe0f7ad49cb"/>
    <x:sheet xmlns:r="http://schemas.openxmlformats.org/officeDocument/2006/relationships" name="Finance" sheetId="15" r:id="R5b21d03799f7473e"/>
    <x:sheet xmlns:r="http://schemas.openxmlformats.org/officeDocument/2006/relationships" name="Cascadia Barrier" sheetId="16" r:id="Reb9fa9bb58cd4355"/>
    <x:sheet xmlns:r="http://schemas.openxmlformats.org/officeDocument/2006/relationships" name="Audits" sheetId="17" r:id="Rdb29d6122f644ea5"/>
    <x:sheet xmlns:r="http://schemas.openxmlformats.org/officeDocument/2006/relationships" name="Sources" sheetId="18" r:id="Rd3381e46fa694ff0"/>
    <x:sheet xmlns:r="http://schemas.openxmlformats.org/officeDocument/2006/relationships" name="Read Me" sheetId="19" r:id="R9aa1bd0b408d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%"/>
    <x:numFmt numFmtId="201" formatCode="#,##0"/>
    <x:numFmt numFmtId="202" formatCode="0.00x"/>
    <x:numFmt numFmtId="203" formatCode="0.0"/>
    <x:numFmt numFmtId="204" formatCode="#,##0.0"/>
    <x:numFmt numFmtId="205" formatCode="$0.0#"/>
    <x:numFmt numFmtId="206" formatCode="$0.0"/>
    <x:numFmt numFmtId="207" formatCode="$0.00"/>
  </x:numFmts>
  <x:fonts count="9">
    <x:font>
      <x:sz val="11"/>
      <x:name val="Carlito"/>
    </x:font>
    <x:font>
      <x:sz val="10"/>
      <x:color rgb="FF243447"/>
      <x:name val="Arial"/>
    </x:font>
    <x:font>
      <x:b/>
      <x:sz val="15"/>
      <x:color rgb="FF17324D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1F4E79"/>
      <x:name val="Arial"/>
    </x:font>
    <x:font>
      <x:b/>
      <x:sz val="10"/>
      <x:color rgb="FF17324D"/>
      <x:name val="Arial"/>
    </x:font>
    <x:font>
      <x:b/>
      <x:sz val="11"/>
      <x:color rgb="FF17324D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D9E7F2"/>
      </x:patternFill>
    </x:fill>
  </x:fills>
  <x:borders count="11">
    <x:border/>
    <x:border>
      <x:bottom style="thin">
        <x:color rgb="FFA8BBC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E8"/>
      </x:bottom>
    </x:border>
    <x:border>
      <x:left style="thin">
        <x:color rgb="FFFFFFFF"/>
      </x:left>
      <x:right style="thin">
        <x:color rgb="FFFFFFFF"/>
      </x:right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right style="thin">
        <x:color rgb="FFFFFFFF"/>
      </x:righ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A8BBCB"/>
      </x:bottom>
    </x:border>
    <x:border>
      <x:right style="thin">
        <x:color rgb="FFFFFFFF"/>
      </x:right>
      <x:top style="thin">
        <x:color rgb="FFD9E2E8"/>
      </x:top>
      <x:bottom style="thin">
        <x:color rgb="FFA8BBCB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200" fontId="5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5" fillId="3" borderId="7" xfId="0" applyNumberFormat="1" applyFont="1" applyFill="1" applyBorder="1" applyAlignment="1">
      <x:alignment vertical="center"/>
    </x:xf>
    <x:xf numFmtId="201" fontId="5" fillId="3" borderId="9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7" xfId="0" applyNumberFormat="1" applyFont="1" applyFill="1" applyBorder="1" applyAlignment="1">
      <x:alignment vertical="center"/>
    </x:xf>
    <x:xf numFmtId="202" fontId="1" fillId="0" borderId="7" xfId="0" applyNumberFormat="1" applyFont="1" applyFill="1" applyBorder="1" applyAlignment="1">
      <x:alignment vertical="center"/>
    </x:xf>
    <x:xf numFmtId="201" fontId="1" fillId="0" borderId="9" xfId="0" applyNumberFormat="1" applyFont="1" applyFill="1" applyBorder="1" applyAlignment="1">
      <x:alignment vertical="center"/>
    </x:xf>
    <x:xf numFmtId="202" fontId="1" fillId="0" borderId="9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  <x:xf numFmtId="203" fontId="5" fillId="3" borderId="7" xfId="0" applyNumberFormat="1" applyFont="1" applyFill="1" applyBorder="1" applyAlignment="1">
      <x:alignment vertical="center"/>
    </x:xf>
    <x:xf numFmtId="204" fontId="1" fillId="0" borderId="7" xfId="0" applyNumberFormat="1" applyFont="1" applyFill="1" applyBorder="1" applyAlignment="1">
      <x:alignment vertical="center"/>
    </x:xf>
    <x:xf numFmtId="204" fontId="5" fillId="3" borderId="7" xfId="0" applyNumberFormat="1" applyFont="1" applyFill="1" applyBorder="1" applyAlignment="1">
      <x:alignment vertical="center"/>
    </x:xf>
    <x:xf numFmtId="203" fontId="5" fillId="3" borderId="9" xfId="0" applyNumberFormat="1" applyFont="1" applyFill="1" applyBorder="1" applyAlignment="1">
      <x:alignment vertical="center"/>
    </x:xf>
    <x:xf numFmtId="200" fontId="5" fillId="3" borderId="9" xfId="0" applyNumberFormat="1" applyFont="1" applyFill="1" applyBorder="1" applyAlignment="1">
      <x:alignment vertical="center"/>
    </x:xf>
    <x:xf numFmtId="204" fontId="1" fillId="0" borderId="9" xfId="0" applyNumberFormat="1" applyFont="1" applyFill="1" applyBorder="1" applyAlignment="1">
      <x:alignment vertical="center"/>
    </x:xf>
    <x:xf numFmtId="204" fontId="5" fillId="3" borderId="9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3" borderId="7" xfId="0" applyNumberFormat="1" applyFont="1" applyFill="1" applyBorder="1" applyAlignment="1">
      <x:alignment vertical="center"/>
    </x:xf>
    <x:xf numFmtId="202" fontId="5" fillId="3" borderId="9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0" borderId="8" xfId="0" applyNumberFormat="1" applyFont="1" applyFill="1" applyBorder="1" applyAlignment="1">
      <x:alignment vertical="center"/>
    </x:xf>
    <x:xf numFmtId="205" fontId="1" fillId="0" borderId="1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6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7" fontId="6" fillId="4" borderId="0" xfId="0" applyNumberFormat="1" applyFont="1" applyFill="1" applyBorder="1" applyAlignment="1">
      <x:alignment vertical="center"/>
    </x:xf>
    <x:xf numFmtId="206" fontId="1" fillId="0" borderId="7" xfId="0" applyNumberFormat="1" applyFont="1" applyFill="1" applyBorder="1" applyAlignment="1">
      <x:alignment vertical="center"/>
    </x:xf>
    <x:xf numFmtId="205" fontId="1" fillId="0" borderId="7" xfId="0" applyNumberFormat="1" applyFont="1" applyFill="1" applyBorder="1" applyAlignment="1">
      <x:alignment vertical="center"/>
    </x:xf>
    <x:xf numFmtId="0" fontId="6" fillId="4" borderId="9" xfId="0" applyNumberFormat="1" applyFont="1" applyFill="1" applyBorder="1" applyAlignment="1">
      <x:alignment vertical="center"/>
    </x:xf>
    <x:xf numFmtId="206" fontId="6" fillId="4" borderId="9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6" fontId="1" fillId="0" borderId="9" xfId="0" applyNumberFormat="1" applyFont="1" applyFill="1" applyBorder="1" applyAlignment="1">
      <x:alignment vertical="center"/>
    </x:xf>
    <x:xf numFmtId="207" fontId="1" fillId="0" borderId="7" xfId="0" applyNumberFormat="1" applyFont="1" applyFill="1" applyBorder="1" applyAlignment="1">
      <x:alignment vertical="center"/>
    </x:xf>
    <x:xf numFmtId="207" fontId="1" fillId="0" borderId="8" xfId="0" applyNumberFormat="1" applyFont="1" applyFill="1" applyBorder="1" applyAlignment="1">
      <x:alignment vertical="center"/>
    </x:xf>
    <x:xf numFmtId="207" fontId="6" fillId="4" borderId="9" xfId="0" applyNumberFormat="1" applyFont="1" applyFill="1" applyBorder="1" applyAlignment="1">
      <x:alignment vertical="center"/>
    </x:xf>
    <x:xf numFmtId="207" fontId="6" fillId="4" borderId="1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206" fontId="1" fillId="0" borderId="8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246B45"/>
      </x:font>
      <x:fill>
        <x:patternFill patternType="solid">
          <x:bgColor rgb="FFE8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a6c2a13ea47fd" /><Relationship Type="http://schemas.openxmlformats.org/officeDocument/2006/relationships/theme" Target="/xl/theme/theme1.xml" Id="R1941eb902aaf4cd4" /><Relationship Type="http://schemas.openxmlformats.org/officeDocument/2006/relationships/sharedStrings" Target="/xl/sharedStrings.xml" Id="Rfa6e338495e54645" /><Relationship Type="http://schemas.openxmlformats.org/officeDocument/2006/relationships/worksheet" Target="/xl/worksheets/sheet1.xml" Id="R86368d88b63c40dc" /><Relationship Type="http://schemas.openxmlformats.org/officeDocument/2006/relationships/worksheet" Target="/xl/worksheets/sheet2.xml" Id="R88b0ab176e3e4367" /><Relationship Type="http://schemas.openxmlformats.org/officeDocument/2006/relationships/worksheet" Target="/xl/worksheets/sheet3.xml" Id="Rd6d312d42e2d4991" /><Relationship Type="http://schemas.openxmlformats.org/officeDocument/2006/relationships/worksheet" Target="/xl/worksheets/sheet4.xml" Id="R30ffc2a563194bfd" /><Relationship Type="http://schemas.openxmlformats.org/officeDocument/2006/relationships/worksheet" Target="/xl/worksheets/sheet5.xml" Id="R3a69b187a353440a" /><Relationship Type="http://schemas.openxmlformats.org/officeDocument/2006/relationships/worksheet" Target="/xl/worksheets/sheet6.xml" Id="R2adc0d19f8f943aa" /><Relationship Type="http://schemas.openxmlformats.org/officeDocument/2006/relationships/worksheet" Target="/xl/worksheets/sheet7.xml" Id="R8bafc29efd864385" /><Relationship Type="http://schemas.openxmlformats.org/officeDocument/2006/relationships/worksheet" Target="/xl/worksheets/sheet8.xml" Id="R61ba3c2e312e4214" /><Relationship Type="http://schemas.openxmlformats.org/officeDocument/2006/relationships/worksheet" Target="/xl/worksheets/sheet9.xml" Id="R7b89ecfdd1634968" /><Relationship Type="http://schemas.openxmlformats.org/officeDocument/2006/relationships/worksheet" Target="/xl/worksheets/sheet10.xml" Id="R0c20bbf8bd71475b" /><Relationship Type="http://schemas.openxmlformats.org/officeDocument/2006/relationships/worksheet" Target="/xl/worksheets/sheet11.xml" Id="R3020b8b6b87547da" /><Relationship Type="http://schemas.openxmlformats.org/officeDocument/2006/relationships/worksheet" Target="/xl/worksheets/sheet12.xml" Id="Rc69d1c89efcc4783" /><Relationship Type="http://schemas.openxmlformats.org/officeDocument/2006/relationships/worksheet" Target="/xl/worksheets/sheet13.xml" Id="Rcb6c28a8d7c64911" /><Relationship Type="http://schemas.openxmlformats.org/officeDocument/2006/relationships/worksheet" Target="/xl/worksheets/sheet14.xml" Id="R8e03dfe0f7ad49cb" /><Relationship Type="http://schemas.openxmlformats.org/officeDocument/2006/relationships/worksheet" Target="/xl/worksheets/sheet15.xml" Id="R5b21d03799f7473e" /><Relationship Type="http://schemas.openxmlformats.org/officeDocument/2006/relationships/worksheet" Target="/xl/worksheets/sheet16.xml" Id="Reb9fa9bb58cd4355" /><Relationship Type="http://schemas.openxmlformats.org/officeDocument/2006/relationships/worksheet" Target="/xl/worksheets/sheet17.xml" Id="Rdb29d6122f644ea5" /><Relationship Type="http://schemas.openxmlformats.org/officeDocument/2006/relationships/worksheet" Target="/xl/worksheets/sheet18.xml" Id="Rd3381e46fa694ff0" /><Relationship Type="http://schemas.openxmlformats.org/officeDocument/2006/relationships/worksheet" Target="/xl/worksheets/sheet19.xml" Id="R9aa1bd0b408d42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d73c596a7448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Dry mass design bank by system (kt)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Dry mass kt</c:v>
          </c:tx>
          <c:spPr>
            <a:solidFill xmlns:a="http://schemas.openxmlformats.org/drawingml/2006/main">
              <a:srgbClr val="1F6A8A"/>
            </a:solidFill>
          </c:spPr>
          <c:cat>
            <c:strRef>
              <c:f>'Decision'!$C$22:$C$26</c:f>
              <c:strCache>
                <c:ptCount val="0"/>
              </c:strCache>
            </c:strRef>
          </c:cat>
          <c:val>
            <c:numRef>
              <c:f>'Decision'!$E$22:$E$26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5</xdr:row>
      <xdr:rowOff>0</xdr:rowOff>
    </xdr:from>
    <xdr:to>
      <xdr:col>18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d73c596a7448b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922491836d948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3" hidden="0" customWidth="1"/>
    <x:col min="4" max="4" width="3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Twenty-root first-principles physical balance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Pass 182 · CLOSE · all configurations are paper-balanced; every physical acceptance remains source-empty.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Decision measure</x:v>
      </x:c>
      <x:c r="D6" s="18" t="str">
        <x:v>Result</x:v>
      </x:c>
      <x:c r="E6" s="18" t="str">
        <x:v>Value</x:v>
      </x:c>
      <x:c r="F6" s="18" t="str">
        <x:v>State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Non-lifeline roots</x:v>
      </x:c>
      <x:c r="D7" s="19" t="str">
        <x:v>Seven ledgers per root</x:v>
      </x:c>
      <x:c r="E7" s="19" t="n">
        <x:f>COUNTA('Root Balance'!C7:C26)</x:f>
        <x:v>20</x:v>
      </x:c>
      <x:c r="F7" s="21" t="str">
        <x:f>IF(E7=20,"COMPLETE","OPEN")</x:f>
        <x:v>COMPLETE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Paper-balanced roots</x:v>
      </x:c>
      <x:c r="D8" s="19" t="str">
        <x:v>Intact plus largest-cell loss</x:v>
      </x:c>
      <x:c r="E8" s="19" t="n">
        <x:f>COUNTIF('Root Balance'!R7:R26,"BALANCED")</x:f>
        <x:v>20</x:v>
      </x:c>
      <x:c r="F8" s="21" t="str">
        <x:f>IF(E8=20,"CLOSED","OPEN")</x:f>
        <x:v>CLOSED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Physical evidence gates</x:v>
      </x:c>
      <x:c r="D9" s="19" t="str">
        <x:v>Seven per root</x:v>
      </x:c>
      <x:c r="E9" s="19" t="n">
        <x:f>COUNTA('Evidence Gates'!C7:C146)</x:f>
        <x:v>140</x:v>
      </x:c>
      <x:c r="F9" s="21" t="str">
        <x:f>IF(COUNTIF('Evidence Gates'!F7:F146,1)=0,"SOURCE-EMPTY","OBSERVED")</x:f>
        <x:v>SOURCE-EMPTY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Accepted physical gates</x:v>
      </x:c>
      <x:c r="D10" s="19" t="str">
        <x:v>Observed acceptances</x:v>
      </x:c>
      <x:c r="E10" s="19" t="n">
        <x:f>COUNTIF('Evidence Gates'!F7:F146,1)</x:f>
        <x:v>0</x:v>
      </x:c>
      <x:c r="F10" s="21" t="str">
        <x:f>IF(E10=0,"NONE","OBSERVED")</x:f>
        <x:v>NONE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Route balances</x:v>
      </x:c>
      <x:c r="D11" s="19" t="str">
        <x:v>Every inherited route/root pair</x:v>
      </x:c>
      <x:c r="E11" s="19" t="n">
        <x:f>COUNTA('Route Flow'!C7:C98)</x:f>
        <x:v>92</x:v>
      </x:c>
      <x:c r="F11" s="21" t="str">
        <x:f>IF(COUNTIF('Route Flow'!P7:P98,"PASS")=92,"CLOSED","OPEN")</x:f>
        <x:v>CLOSED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Dry mass design bank</x:v>
      </x:c>
      <x:c r="D12" s="19" t="str">
        <x:v>One complete unit/root</x:v>
      </x:c>
      <x:c r="E12" s="31" t="n">
        <x:f>SUM('Root Balance'!G7:G26)</x:f>
        <x:v>991</x:v>
      </x:c>
      <x:c r="F12" s="21" t="str">
        <x:f>"kt"</x:f>
        <x:v>kt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Deployment mass design bank</x:v>
      </x:c>
      <x:c r="D13" s="19" t="str">
        <x:v>Dry plus mission stock</x:v>
      </x:c>
      <x:c r="E13" s="31" t="n">
        <x:f>SUM('Root Balance'!H7:H26)</x:f>
        <x:v>1191.4</x:v>
      </x:c>
      <x:c r="F13" s="21" t="str">
        <x:f>"kt"</x:f>
        <x:v>kt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Peak electric load</x:v>
      </x:c>
      <x:c r="D14" s="19" t="str">
        <x:v>One complete unit/root</x:v>
      </x:c>
      <x:c r="E14" s="31" t="n">
        <x:f>SUM(Energy!E7:E26)</x:f>
        <x:v>1970</x:v>
      </x:c>
      <x:c r="F14" s="21" t="str">
        <x:f>"MW"</x:f>
        <x:v>MW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Deployed roles</x:v>
      </x:c>
      <x:c r="D15" s="19" t="str">
        <x:v>One operating unit/root</x:v>
      </x:c>
      <x:c r="E15" s="31" t="n">
        <x:f>SUM(Labor!E7:E26)</x:f>
        <x:v>140100</x:v>
      </x:c>
      <x:c r="F15" s="21" t="str">
        <x:f>"roles"</x:f>
        <x:v>roles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Minimum loss margin</x:v>
      </x:c>
      <x:c r="D16" s="19" t="str">
        <x:v>Weakest noncompensatory account</x:v>
      </x:c>
      <x:c r="E16" s="32" t="n">
        <x:f>MIN('Root Balance'!P7:P26)</x:f>
        <x:v>1</x:v>
      </x:c>
      <x:c r="F16" s="21" t="str">
        <x:f>IF(E15&gt;=Controls!D8,"CLOSED","OPEN")</x:f>
        <x:v>CLOSED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23" t="str">
        <x:v>Cascadia G4 entry</x:v>
      </x:c>
      <x:c r="D17" s="23" t="str">
        <x:v>Twenty-four roots plus seams</x:v>
      </x:c>
      <x:c r="E17" s="23" t="str">
        <x:f>'Cascadia Barrier'!D24</x:f>
        <x:v>BLOCKED</x:v>
      </x:c>
      <x:c r="F17" s="25" t="str">
        <x:f>'Cascadia Barrier'!D24</x:f>
        <x:v>BLOCKED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7" t="str">
        <x:v>System</x:v>
      </x:c>
      <x:c r="D21" s="18" t="str">
        <x:v>Roots</x:v>
      </x:c>
      <x:c r="E21" s="18" t="str">
        <x:v>Dry mass kt</x:v>
      </x:c>
      <x:c r="F21" s="18" t="str">
        <x:v>Deployment kt</x:v>
      </x:c>
      <x:c r="G21" s="18" t="str">
        <x:v>Peak MW</x:v>
      </x:c>
      <x:c r="H21" s="18" t="str">
        <x:v>Deployed roles</x:v>
      </x:c>
      <x:c r="I21" s="18" t="str">
        <x:v>Minimum loss margin</x:v>
      </x:c>
      <x:c r="J21" s="18" t="str">
        <x:v>Option USD B</x:v>
      </x:c>
      <x:c r="K21" s="2"/>
      <x:c r="L21" s="2"/>
      <x:c r="M21" s="2"/>
      <x:c r="N21" s="2"/>
      <x:c r="O21" s="2"/>
      <x:c r="P21" s="2"/>
      <x:c r="Q21" s="2"/>
      <x:c r="R21" s="2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MS-ET</x:v>
      </x:c>
      <x:c r="D22" s="19" t="n">
        <x:v>4</x:v>
      </x:c>
      <x:c r="E22" s="31" t="n">
        <x:f>SUMIF('Root Balance'!$E$7:$E$26,C22,'Root Balance'!$G$7:$G$26)</x:f>
        <x:v>273</x:v>
      </x:c>
      <x:c r="F22" s="31" t="n">
        <x:f>SUMIF('Root Balance'!$E$7:$E$26,C22,'Root Balance'!$H$7:$H$26)</x:f>
        <x:v>316</x:v>
      </x:c>
      <x:c r="G22" s="31" t="n">
        <x:f>SUMIF(Energy!$D$7:$D$26,C22,Energy!$E$7:$E$26)</x:f>
        <x:v>586</x:v>
      </x:c>
      <x:c r="H22" s="31" t="n">
        <x:f>SUMIF(Labor!$D$7:$D$26,C22,Labor!$E$7:$E$26)</x:f>
        <x:v>21100</x:v>
      </x:c>
      <x:c r="I22" s="32" t="n">
        <x:f>MIN('Root Balance'!P7,'Root Balance'!P8,'Root Balance'!P9,'Root Balance'!P10)</x:f>
        <x:v>1.0240000000000002</x:v>
      </x:c>
      <x:c r="J22" s="72" t="n">
        <x:v>44.51169804004222</x:v>
      </x:c>
      <x:c r="K22" s="2"/>
      <x:c r="L22" s="2"/>
      <x:c r="M22" s="2"/>
      <x:c r="N22" s="2"/>
      <x:c r="O22" s="2"/>
      <x:c r="P22" s="2"/>
      <x:c r="Q22" s="2"/>
      <x:c r="R22" s="2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MS-CT</x:v>
      </x:c>
      <x:c r="D23" s="19" t="n">
        <x:v>4</x:v>
      </x:c>
      <x:c r="E23" s="31" t="n">
        <x:f>SUMIF('Root Balance'!$E$7:$E$26,C23,'Root Balance'!$G$7:$G$26)</x:f>
        <x:v>83</x:v>
      </x:c>
      <x:c r="F23" s="31" t="n">
        <x:f>SUMIF('Root Balance'!$E$7:$E$26,C23,'Root Balance'!$H$7:$H$26)</x:f>
        <x:v>95.4</x:v>
      </x:c>
      <x:c r="G23" s="31" t="n">
        <x:f>SUMIF(Energy!$D$7:$D$26,C23,Energy!$E$7:$E$26)</x:f>
        <x:v>152</x:v>
      </x:c>
      <x:c r="H23" s="31" t="n">
        <x:f>SUMIF(Labor!$D$7:$D$26,C23,Labor!$E$7:$E$26)</x:f>
        <x:v>17200</x:v>
      </x:c>
      <x:c r="I23" s="32" t="n">
        <x:f>MIN('Root Balance'!P11,'Root Balance'!P12,'Root Balance'!P13,'Root Balance'!P14)</x:f>
        <x:v>1</x:v>
      </x:c>
      <x:c r="J23" s="72" t="n">
        <x:v>45.93639930929069</x:v>
      </x:c>
      <x:c r="K23" s="2"/>
      <x:c r="L23" s="2"/>
      <x:c r="M23" s="2"/>
      <x:c r="N23" s="2"/>
      <x:c r="O23" s="2"/>
      <x:c r="P23" s="2"/>
      <x:c r="Q23" s="2"/>
      <x:c r="R23" s="2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MS-HC</x:v>
      </x:c>
      <x:c r="D24" s="19" t="n">
        <x:v>4</x:v>
      </x:c>
      <x:c r="E24" s="31" t="n">
        <x:f>SUMIF('Root Balance'!$E$7:$E$26,C24,'Root Balance'!$G$7:$G$26)</x:f>
        <x:v>190</x:v>
      </x:c>
      <x:c r="F24" s="31" t="n">
        <x:f>SUMIF('Root Balance'!$E$7:$E$26,C24,'Root Balance'!$H$7:$H$26)</x:f>
        <x:v>233</x:v>
      </x:c>
      <x:c r="G24" s="31" t="n">
        <x:f>SUMIF(Energy!$D$7:$D$26,C24,Energy!$E$7:$E$26)</x:f>
        <x:v>380</x:v>
      </x:c>
      <x:c r="H24" s="31" t="n">
        <x:f>SUMIF(Labor!$D$7:$D$26,C24,Labor!$E$7:$E$26)</x:f>
        <x:v>32100</x:v>
      </x:c>
      <x:c r="I24" s="32" t="n">
        <x:f>MIN('Root Balance'!P15,'Root Balance'!P16,'Root Balance'!P17,'Root Balance'!P18)</x:f>
        <x:v>1.024</x:v>
      </x:c>
      <x:c r="J24" s="72" t="n">
        <x:v>27.323978086261516</x:v>
      </x:c>
      <x:c r="K24" s="2"/>
      <x:c r="L24" s="2"/>
      <x:c r="M24" s="2"/>
      <x:c r="N24" s="2"/>
      <x:c r="O24" s="2"/>
      <x:c r="P24" s="2"/>
      <x:c r="Q24" s="2"/>
      <x:c r="R24" s="2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MS-HU</x:v>
      </x:c>
      <x:c r="D25" s="19" t="n">
        <x:v>4</x:v>
      </x:c>
      <x:c r="E25" s="31" t="n">
        <x:f>SUMIF('Root Balance'!$E$7:$E$26,C25,'Root Balance'!$G$7:$G$26)</x:f>
        <x:v>135</x:v>
      </x:c>
      <x:c r="F25" s="31" t="n">
        <x:f>SUMIF('Root Balance'!$E$7:$E$26,C25,'Root Balance'!$H$7:$H$26)</x:f>
        <x:v>163</x:v>
      </x:c>
      <x:c r="G25" s="31" t="n">
        <x:f>SUMIF(Energy!$D$7:$D$26,C25,Energy!$E$7:$E$26)</x:f>
        <x:v>162</x:v>
      </x:c>
      <x:c r="H25" s="31" t="n">
        <x:f>SUMIF(Labor!$D$7:$D$26,C25,Labor!$E$7:$E$26)</x:f>
        <x:v>35400</x:v>
      </x:c>
      <x:c r="I25" s="32" t="n">
        <x:f>MIN('Root Balance'!P19,'Root Balance'!P20,'Root Balance'!P21,'Root Balance'!P22)</x:f>
        <x:v>1.008</x:v>
      </x:c>
      <x:c r="J25" s="72" t="n">
        <x:v>76.55088074487006</x:v>
      </x:c>
      <x:c r="K25" s="2"/>
      <x:c r="L25" s="2"/>
      <x:c r="M25" s="2"/>
      <x:c r="N25" s="2"/>
      <x:c r="O25" s="2"/>
      <x:c r="P25" s="2"/>
      <x:c r="Q25" s="2"/>
      <x:c r="R25" s="2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3" t="str">
        <x:v>MS-RT</x:v>
      </x:c>
      <x:c r="D26" s="23" t="n">
        <x:v>4</x:v>
      </x:c>
      <x:c r="E26" s="33" t="n">
        <x:f>SUMIF('Root Balance'!$E$7:$E$26,C26,'Root Balance'!$G$7:$G$26)</x:f>
        <x:v>310</x:v>
      </x:c>
      <x:c r="F26" s="33" t="n">
        <x:f>SUMIF('Root Balance'!$E$7:$E$26,C26,'Root Balance'!$H$7:$H$26)</x:f>
        <x:v>384</x:v>
      </x:c>
      <x:c r="G26" s="33" t="n">
        <x:f>SUMIF(Energy!$D$7:$D$26,C26,Energy!$E$7:$E$26)</x:f>
        <x:v>690</x:v>
      </x:c>
      <x:c r="H26" s="33" t="n">
        <x:f>SUMIF(Labor!$D$7:$D$26,C26,Labor!$E$7:$E$26)</x:f>
        <x:v>34300</x:v>
      </x:c>
      <x:c r="I26" s="34" t="n">
        <x:f>MIN('Root Balance'!P23,'Root Balance'!P24,'Root Balance'!P25,'Root Balance'!P26)</x:f>
        <x:v>1.0064516129032257</x:v>
      </x:c>
      <x:c r="J26" s="73" t="n">
        <x:v>44.700531046712975</x:v>
      </x:c>
      <x:c r="K26" s="2"/>
      <x:c r="L26" s="2"/>
      <x:c r="M26" s="2"/>
      <x:c r="N26" s="2"/>
      <x:c r="O26" s="2"/>
      <x:c r="P26" s="2"/>
      <x:c r="Q26" s="2"/>
      <x:c r="R26" s="2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75"/>
      <x:c r="T30" s="75"/>
      <x:c r="U30" s="75"/>
      <x:c r="V30" s="75"/>
      <x:c r="W30" s="75"/>
      <x:c r="X30" s="75"/>
      <x:c r="Y30" s="75"/>
      <x:c r="Z30" s="75"/>
    </x:row>
    <x:row r="3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75"/>
      <x:c r="T31" s="75"/>
      <x:c r="U31" s="75"/>
      <x:c r="V31" s="75"/>
      <x:c r="W31" s="75"/>
      <x:c r="X31" s="75"/>
      <x:c r="Y31" s="75"/>
      <x:c r="Z31" s="75"/>
    </x:row>
    <x:row r="32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75"/>
      <x:c r="T32" s="75"/>
      <x:c r="U32" s="75"/>
      <x:c r="V32" s="75"/>
      <x:c r="W32" s="75"/>
      <x:c r="X32" s="75"/>
      <x:c r="Y32" s="75"/>
      <x:c r="Z32" s="75"/>
    </x:row>
  </x:sheetData>
  <x:pageMargins left="0.7" right="0.7" top="0.75" bottom="0.75" header="0.3" footer="0.3"/>
  <x:drawing xmlns:r="http://schemas.openxmlformats.org/officeDocument/2006/relationships" r:id="Rf922491836d9480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8" hidden="0" customWidth="1"/>
    <x:col min="4" max="4" width="19" hidden="0" customWidth="1"/>
    <x:col min="5" max="5" width="19" hidden="0" customWidth="1"/>
    <x:col min="6" max="6" width="25" hidden="0" customWidth="1"/>
  </x:cols>
  <x:sheetData>
    <x:row r="1">
      <x:c r="C1" s="2"/>
      <x:c r="D1" s="2"/>
      <x:c r="E1" s="2"/>
      <x:c r="F1" s="2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Physical balance controls</x:v>
      </x:c>
      <x:c r="D2" s="2"/>
      <x:c r="E2" s="2"/>
      <x:c r="F2" s="2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Yellow cells are design assumptions or source-empty observations; they are not evidence.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Control</x:v>
      </x:c>
      <x:c r="D6" s="18" t="str">
        <x:v>Value</x:v>
      </x:c>
      <x:c r="E6" s="18" t="str">
        <x:v>Unit</x:v>
      </x:c>
      <x:c r="F6" s="18" t="str">
        <x:v>Authority</x:v>
      </x:c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Required intact capacity margin</x:v>
      </x:c>
      <x:c r="D7" s="20" t="n">
        <x:v>1.15</x:v>
      </x:c>
      <x:c r="E7" s="19" t="str">
        <x:v>ratio</x:v>
      </x:c>
      <x:c r="F7" s="21" t="str">
        <x:v>Pass 182</x:v>
      </x:c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Required largest-cell-loss margin</x:v>
      </x:c>
      <x:c r="D8" s="20" t="n">
        <x:v>1</x:v>
      </x:c>
      <x:c r="E8" s="19" t="str">
        <x:v>ratio</x:v>
      </x:c>
      <x:c r="F8" s="21" t="str">
        <x:v>Pass 182</x:v>
      </x:c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Workforce denial</x:v>
      </x:c>
      <x:c r="D9" s="20" t="n">
        <x:v>0.2</x:v>
      </x:c>
      <x:c r="E9" s="19" t="str">
        <x:v>share unavailable</x:v>
      </x:c>
      <x:c r="F9" s="21" t="str">
        <x:v>Pass 182</x:v>
      </x:c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Usable duty per deployed role</x:v>
      </x:c>
      <x:c r="D10" s="22" t="n">
        <x:v>10</x:v>
      </x:c>
      <x:c r="E10" s="19" t="str">
        <x:v>role-hours/day</x:v>
      </x:c>
      <x:c r="F10" s="21" t="str">
        <x:v>Pass 182</x:v>
      </x:c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Residual isolation hold</x:v>
      </x:c>
      <x:c r="D11" s="22" t="n">
        <x:v>3</x:v>
      </x:c>
      <x:c r="E11" s="19" t="str">
        <x:v>days</x:v>
      </x:c>
      <x:c r="F11" s="21" t="str">
        <x:v>Pass 182</x:v>
      </x:c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Physical balance evidence accounts</x:v>
      </x:c>
      <x:c r="D12" s="22" t="n">
        <x:v>7</x:v>
      </x:c>
      <x:c r="E12" s="19" t="str">
        <x:v>accounts/root</x:v>
      </x:c>
      <x:c r="F12" s="21" t="str">
        <x:v>Pass 182</x:v>
      </x:c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Required ancestry identities</x:v>
      </x:c>
      <x:c r="D13" s="22" t="n">
        <x:v>12</x:v>
      </x:c>
      <x:c r="E13" s="19" t="str">
        <x:v>identities/root</x:v>
      </x:c>
      <x:c r="F13" s="21" t="str">
        <x:v>Pass 175</x:v>
      </x:c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Other G3 gates</x:v>
      </x:c>
      <x:c r="D14" s="22" t="n">
        <x:v>7</x:v>
      </x:c>
      <x:c r="E14" s="19" t="str">
        <x:v>gates/root</x:v>
      </x:c>
      <x:c r="F14" s="21" t="str">
        <x:v>Pass 182 crosswalk</x:v>
      </x:c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Required public seam implementations</x:v>
      </x:c>
      <x:c r="D15" s="22" t="n">
        <x:v>4</x:v>
      </x:c>
      <x:c r="E15" s="19" t="str">
        <x:v>implementations</x:v>
      </x:c>
      <x:c r="F15" s="21" t="str">
        <x:v>Pass 175</x:v>
      </x:c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Observed public seam implementations</x:v>
      </x:c>
      <x:c r="D16" s="22" t="n">
        <x:v>0</x:v>
      </x:c>
      <x:c r="E16" s="19" t="str">
        <x:v>implementations</x:v>
      </x:c>
      <x:c r="F16" s="21" t="str">
        <x:v>Source-empty</x:v>
      </x:c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Observed kernel exceptions</x:v>
      </x:c>
      <x:c r="D17" s="22" t="n">
        <x:v>0</x:v>
      </x:c>
      <x:c r="E17" s="19" t="str">
        <x:v>exceptions</x:v>
      </x:c>
      <x:c r="F17" s="21" t="str">
        <x:v>Source-empty</x:v>
      </x:c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Observed ancestry collisions</x:v>
      </x:c>
      <x:c r="D18" s="22" t="n">
        <x:v>0</x:v>
      </x:c>
      <x:c r="E18" s="19" t="str">
        <x:v>collisions</x:v>
      </x:c>
      <x:c r="F18" s="21" t="str">
        <x:v>Source-empty</x:v>
      </x:c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23" t="str">
        <x:v>Non-lifeline roots</x:v>
      </x:c>
      <x:c r="D19" s="24" t="n">
        <x:v>20</x:v>
      </x:c>
      <x:c r="E19" s="23" t="str">
        <x:v>roots</x:v>
      </x:c>
      <x:c r="F19" s="25" t="str">
        <x:v>Pass 181</x:v>
      </x:c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2"/>
      <x:c r="D20" s="2"/>
      <x:c r="E20" s="2"/>
      <x:c r="F20" s="2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2"/>
      <x:c r="D21" s="2"/>
      <x:c r="E21" s="2"/>
      <x:c r="F21" s="2"/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7" t="str">
        <x:v>Inherited lifeline root</x:v>
      </x:c>
      <x:c r="D22" s="18" t="str">
        <x:v>State</x:v>
      </x:c>
      <x:c r="E22" s="18" t="str">
        <x:v>Observed release</x:v>
      </x:c>
      <x:c r="F22" s="18" t="str">
        <x:v>Authority</x:v>
      </x:c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MS-LF|A</x:v>
      </x:c>
      <x:c r="D23" s="22" t="str">
        <x:v>HOLD</x:v>
      </x:c>
      <x:c r="E23" s="19" t="n">
        <x:v>0</x:v>
      </x:c>
      <x:c r="F23" s="21" t="str">
        <x:v>Pass 178 source-empty</x:v>
      </x:c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MS-LF|B</x:v>
      </x:c>
      <x:c r="D24" s="22" t="str">
        <x:v>HOLD</x:v>
      </x:c>
      <x:c r="E24" s="19" t="n">
        <x:v>0</x:v>
      </x:c>
      <x:c r="F24" s="21" t="str">
        <x:v>Pass 178 source-empty</x:v>
      </x:c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MS-LF|C</x:v>
      </x:c>
      <x:c r="D25" s="22" t="str">
        <x:v>HOLD</x:v>
      </x:c>
      <x:c r="E25" s="19" t="n">
        <x:v>0</x:v>
      </x:c>
      <x:c r="F25" s="21" t="str">
        <x:v>Pass 178 source-empty</x:v>
      </x:c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3" t="str">
        <x:v>MS-LF|D</x:v>
      </x:c>
      <x:c r="D26" s="24" t="str">
        <x:v>HOLD</x:v>
      </x:c>
      <x:c r="E26" s="23" t="n">
        <x:v>0</x:v>
      </x:c>
      <x:c r="F26" s="25" t="str">
        <x:v>Pass 178 source-empty</x:v>
      </x:c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2"/>
      <x:c r="D29" s="2"/>
      <x:c r="E29" s="2"/>
      <x:c r="F29" s="2"/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2"/>
      <x:c r="D30" s="2"/>
      <x:c r="E30" s="2"/>
      <x:c r="F30" s="2"/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C31" s="2"/>
      <x:c r="D31" s="2"/>
      <x:c r="E31" s="2"/>
      <x:c r="F31" s="2"/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C32" s="2"/>
      <x:c r="D32" s="2"/>
      <x:c r="E32" s="2"/>
      <x:c r="F32" s="2"/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C33" s="2"/>
      <x:c r="D33" s="2"/>
      <x:c r="E33" s="2"/>
      <x:c r="F33" s="2"/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C34" s="2"/>
      <x:c r="D34" s="2"/>
      <x:c r="E34" s="2"/>
      <x:c r="F34" s="2"/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C35" s="2"/>
      <x:c r="D35" s="2"/>
      <x:c r="E35" s="2"/>
      <x:c r="F35" s="2"/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C36" s="2"/>
      <x:c r="D36" s="2"/>
      <x:c r="E36" s="2"/>
      <x:c r="F36" s="2"/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75"/>
      <x:c r="Z1" s="75"/>
    </x:row>
    <x:row r="2">
      <x:c r="C2" s="3" t="str">
        <x:v>Twenty first-principles paper-balanced configurations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75"/>
      <x:c r="Z2" s="75"/>
    </x:row>
    <x:row r="3">
      <x:c r="C3" s="6" t="str">
        <x:v>BALANCED means arithmetic closure intact and after largest-cell loss; G3 still requires evidence and ancestry.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75"/>
      <x:c r="Z5" s="75"/>
    </x:row>
    <x:row r="6">
      <x:c r="C6" s="17" t="str">
        <x:v>Root</x:v>
      </x:c>
      <x:c r="D6" s="18" t="str">
        <x:v>Configuration</x:v>
      </x:c>
      <x:c r="E6" s="18" t="str">
        <x:v>System</x:v>
      </x:c>
      <x:c r="F6" s="18" t="str">
        <x:v>Mechanism</x:v>
      </x:c>
      <x:c r="G6" s="18" t="str">
        <x:v>Dry mass kt</x:v>
      </x:c>
      <x:c r="H6" s="18" t="str">
        <x:v>Deployment kt</x:v>
      </x:c>
      <x:c r="I6" s="18" t="str">
        <x:v>Mass</x:v>
      </x:c>
      <x:c r="J6" s="18" t="str">
        <x:v>Energy</x:v>
      </x:c>
      <x:c r="K6" s="18" t="str">
        <x:v>Route flow</x:v>
      </x:c>
      <x:c r="L6" s="18" t="str">
        <x:v>Labor</x:v>
      </x:c>
      <x:c r="M6" s="18" t="str">
        <x:v>Safety</x:v>
      </x:c>
      <x:c r="N6" s="18" t="str">
        <x:v>Receiver</x:v>
      </x:c>
      <x:c r="O6" s="18" t="str">
        <x:v>Residual</x:v>
      </x:c>
      <x:c r="P6" s="18" t="str">
        <x:v>Minimum</x:v>
      </x:c>
      <x:c r="Q6" s="18" t="str">
        <x:v>Limiting account</x:v>
      </x:c>
      <x:c r="R6" s="18" t="str">
        <x:v>Paper state</x:v>
      </x:c>
      <x:c r="S6" s="18" t="str">
        <x:v>Evidence accepted</x:v>
      </x:c>
      <x:c r="T6" s="18" t="str">
        <x:v>Ancestry accepted</x:v>
      </x:c>
      <x:c r="U6" s="18" t="str">
        <x:v>Other G3 accepted</x:v>
      </x:c>
      <x:c r="V6" s="18" t="str">
        <x:v>Terminal breaches</x:v>
      </x:c>
      <x:c r="W6" s="18" t="str">
        <x:v>G3 state</x:v>
      </x:c>
      <x:c r="X6" s="18" t="str">
        <x:v>Option USD B</x:v>
      </x:c>
      <x:c r="Y6" s="75"/>
      <x:c r="Z6" s="75"/>
    </x:row>
    <x:row r="7">
      <x:c r="C7" s="19" t="str">
        <x:v>MS-ET|A</x:v>
      </x:c>
      <x:c r="D7" s="19" t="str">
        <x:v>C3-ET-A-CF1</x:v>
      </x:c>
      <x:c r="E7" s="19" t="str">
        <x:v>MS-ET</x:v>
      </x:c>
      <x:c r="F7" s="19" t="str">
        <x:v>Pelagic heavy bridge</x:v>
      </x:c>
      <x:c r="G7" s="31" t="n">
        <x:f>'Mass Access'!E7/1000</x:f>
        <x:v>89</x:v>
      </x:c>
      <x:c r="H7" s="31" t="n">
        <x:f>'Mass Access'!G7/1000</x:f>
        <x:v>102</x:v>
      </x:c>
      <x:c r="I7" s="32" t="n">
        <x:f>'Mass Access'!M7</x:f>
        <x:v>1.0980392156862746</x:v>
      </x:c>
      <x:c r="J7" s="32" t="n">
        <x:f>Energy!Q7</x:f>
        <x:v>1.0416666666666667</x:v>
      </x:c>
      <x:c r="K7" s="32" t="n">
        <x:f>MIN('Route Flow'!O7:O11)</x:f>
        <x:v>1.0240000000000002</x:v>
      </x:c>
      <x:c r="L7" s="32" t="n">
        <x:f>Labor!L7</x:f>
        <x:v>1.2345679012345678</x:v>
      </x:c>
      <x:c r="M7" s="32" t="n">
        <x:f>Safety!K7</x:f>
        <x:v>1.05</x:v>
      </x:c>
      <x:c r="N7" s="32" t="n">
        <x:f>Receivers!J7</x:f>
        <x:v>1.05</x:v>
      </x:c>
      <x:c r="O7" s="32" t="n">
        <x:f>Residual!N7</x:f>
        <x:v>1.05</x:v>
      </x:c>
      <x:c r="P7" s="32" t="n">
        <x:f>MIN(I7:O7)</x:f>
        <x:v>1.0240000000000002</x:v>
      </x:c>
      <x:c r="Q7" s="19" t="str">
        <x:f>INDEX($I$6:$O$6,1,MATCH(P7,I7:O7,0))</x:f>
        <x:v>Route flow</x:v>
      </x:c>
      <x:c r="R7" s="19" t="str">
        <x:f>IF(AND(P7&gt;=Controls!$D$8,COUNTIF('Component Bill'!$D$7:$D$166,C7)=8,COUNTIF('Route Flow'!$C$7:$C$98,C7)=5),"BALANCED","OPEN")</x:f>
        <x:v>BALANCED</x:v>
      </x:c>
      <x:c r="S7" s="19" t="n">
        <x:f>COUNTIFS('Evidence Gates'!$D$7:$D$146,C7,'Evidence Gates'!$F$7:$F$146,1)</x:f>
        <x:v>0</x:v>
      </x:c>
      <x:c r="T7" s="22" t="n">
        <x:v>0</x:v>
      </x:c>
      <x:c r="U7" s="22" t="n">
        <x:v>0</x:v>
      </x:c>
      <x:c r="V7" s="22" t="n">
        <x:v>0</x:v>
      </x:c>
      <x:c r="W7" s="19" t="str">
        <x:f>IF(AND(R7="BALANCED",S7=Controls!$D$12,T7=Controls!$D$13,U7=Controls!$D$14,V7=0),"RELEASED","HOLD")</x:f>
        <x:v>HOLD</x:v>
      </x:c>
      <x:c r="X7" s="49" t="n">
        <x:v>11.127924510010555</x:v>
      </x:c>
      <x:c r="Y7" s="75"/>
      <x:c r="Z7" s="75"/>
    </x:row>
    <x:row r="8">
      <x:c r="C8" s="19" t="str">
        <x:v>MS-ET|B</x:v>
      </x:c>
      <x:c r="D8" s="19" t="str">
        <x:v>C3-ET-B-CF1</x:v>
      </x:c>
      <x:c r="E8" s="19" t="str">
        <x:v>MS-ET</x:v>
      </x:c>
      <x:c r="F8" s="19" t="str">
        <x:v>Aerostatic sky bridge</x:v>
      </x:c>
      <x:c r="G8" s="31" t="n">
        <x:f>'Mass Access'!E8/1000</x:f>
        <x:v>58</x:v>
      </x:c>
      <x:c r="H8" s="31" t="n">
        <x:f>'Mass Access'!G8/1000</x:f>
        <x:v>68</x:v>
      </x:c>
      <x:c r="I8" s="32" t="n">
        <x:f>'Mass Access'!M8</x:f>
        <x:v>1.0676470588235294</x:v>
      </x:c>
      <x:c r="J8" s="32" t="n">
        <x:f>Energy!Q8</x:f>
        <x:v>1.0666666666666667</x:v>
      </x:c>
      <x:c r="K8" s="32" t="n">
        <x:f>MIN('Route Flow'!O12:O16)</x:f>
        <x:v>1.04</x:v>
      </x:c>
      <x:c r="L8" s="32" t="n">
        <x:f>Labor!L8</x:f>
        <x:v>1.2345679012345678</x:v>
      </x:c>
      <x:c r="M8" s="32" t="n">
        <x:f>Safety!K8</x:f>
        <x:v>1.05</x:v>
      </x:c>
      <x:c r="N8" s="32" t="n">
        <x:f>Receivers!J8</x:f>
        <x:v>1.05</x:v>
      </x:c>
      <x:c r="O8" s="32" t="n">
        <x:f>Residual!N8</x:f>
        <x:v>1.05</x:v>
      </x:c>
      <x:c r="P8" s="32" t="n">
        <x:f>MIN(I8:O8)</x:f>
        <x:v>1.04</x:v>
      </x:c>
      <x:c r="Q8" s="19" t="str">
        <x:f>INDEX($I$6:$O$6,1,MATCH(P8,I8:O8,0))</x:f>
        <x:v>Route flow</x:v>
      </x:c>
      <x:c r="R8" s="19" t="str">
        <x:f>IF(AND(P8&gt;=Controls!$D$8,COUNTIF('Component Bill'!$D$7:$D$166,C8)=8,COUNTIF('Route Flow'!$C$7:$C$98,C8)=5),"BALANCED","OPEN")</x:f>
        <x:v>BALANCED</x:v>
      </x:c>
      <x:c r="S8" s="19" t="n">
        <x:f>COUNTIFS('Evidence Gates'!$D$7:$D$146,C8,'Evidence Gates'!$F$7:$F$146,1)</x:f>
        <x:v>0</x:v>
      </x:c>
      <x:c r="T8" s="22" t="n">
        <x:v>0</x:v>
      </x:c>
      <x:c r="U8" s="22" t="n">
        <x:v>0</x:v>
      </x:c>
      <x:c r="V8" s="22" t="n">
        <x:v>0</x:v>
      </x:c>
      <x:c r="W8" s="19" t="str">
        <x:f>IF(AND(R8="BALANCED",S8=Controls!$D$12,T8=Controls!$D$13,U8=Controls!$D$14,V8=0),"RELEASED","HOLD")</x:f>
        <x:v>HOLD</x:v>
      </x:c>
      <x:c r="X8" s="49" t="n">
        <x:v>11.127924510010555</x:v>
      </x:c>
      <x:c r="Y8" s="75"/>
      <x:c r="Z8" s="75"/>
    </x:row>
    <x:row r="9">
      <x:c r="C9" s="19" t="str">
        <x:v>MS-ET|C</x:v>
      </x:c>
      <x:c r="D9" s="19" t="str">
        <x:v>C3-ET-C-CF1</x:v>
      </x:c>
      <x:c r="E9" s="19" t="str">
        <x:v>MS-ET</x:v>
      </x:c>
      <x:c r="F9" s="19" t="str">
        <x:v>Terrain corridor train</x:v>
      </x:c>
      <x:c r="G9" s="31" t="n">
        <x:f>'Mass Access'!E9/1000</x:f>
        <x:v>74</x:v>
      </x:c>
      <x:c r="H9" s="31" t="n">
        <x:f>'Mass Access'!G9/1000</x:f>
        <x:v>86</x:v>
      </x:c>
      <x:c r="I9" s="32" t="n">
        <x:f>'Mass Access'!M9</x:f>
        <x:v>1.0465116279069768</x:v>
      </x:c>
      <x:c r="J9" s="32" t="n">
        <x:f>Energy!Q9</x:f>
        <x:v>1.08</x:v>
      </x:c>
      <x:c r="K9" s="32" t="n">
        <x:f>MIN('Route Flow'!O17:O21)</x:f>
        <x:v>1.056</x:v>
      </x:c>
      <x:c r="L9" s="32" t="n">
        <x:f>Labor!L9</x:f>
        <x:v>1.2345679012345678</x:v>
      </x:c>
      <x:c r="M9" s="32" t="n">
        <x:f>Safety!K9</x:f>
        <x:v>1.05</x:v>
      </x:c>
      <x:c r="N9" s="32" t="n">
        <x:f>Receivers!J9</x:f>
        <x:v>1.05</x:v>
      </x:c>
      <x:c r="O9" s="32" t="n">
        <x:f>Residual!N9</x:f>
        <x:v>1.05</x:v>
      </x:c>
      <x:c r="P9" s="32" t="n">
        <x:f>MIN(I9:O9)</x:f>
        <x:v>1.0465116279069768</x:v>
      </x:c>
      <x:c r="Q9" s="19" t="str">
        <x:f>INDEX($I$6:$O$6,1,MATCH(P9,I9:O9,0))</x:f>
        <x:v>Mass</x:v>
      </x:c>
      <x:c r="R9" s="19" t="str">
        <x:f>IF(AND(P9&gt;=Controls!$D$8,COUNTIF('Component Bill'!$D$7:$D$166,C9)=8,COUNTIF('Route Flow'!$C$7:$C$98,C9)=5),"BALANCED","OPEN")</x:f>
        <x:v>BALANCED</x:v>
      </x:c>
      <x:c r="S9" s="19" t="n">
        <x:f>COUNTIFS('Evidence Gates'!$D$7:$D$146,C9,'Evidence Gates'!$F$7:$F$146,1)</x:f>
        <x:v>0</x:v>
      </x:c>
      <x:c r="T9" s="22" t="n">
        <x:v>0</x:v>
      </x:c>
      <x:c r="U9" s="22" t="n">
        <x:v>0</x:v>
      </x:c>
      <x:c r="V9" s="22" t="n">
        <x:v>0</x:v>
      </x:c>
      <x:c r="W9" s="19" t="str">
        <x:f>IF(AND(R9="BALANCED",S9=Controls!$D$12,T9=Controls!$D$13,U9=Controls!$D$14,V9=0),"RELEASED","HOLD")</x:f>
        <x:v>HOLD</x:v>
      </x:c>
      <x:c r="X9" s="49" t="n">
        <x:v>11.127924510010555</x:v>
      </x:c>
      <x:c r="Y9" s="75"/>
      <x:c r="Z9" s="75"/>
    </x:row>
    <x:row r="10">
      <x:c r="C10" s="19" t="str">
        <x:v>MS-ET|D</x:v>
      </x:c>
      <x:c r="D10" s="19" t="str">
        <x:v>C3-ET-D-CF1</x:v>
      </x:c>
      <x:c r="E10" s="19" t="str">
        <x:v>MS-ET</x:v>
      </x:c>
      <x:c r="F10" s="19" t="str">
        <x:v>Amphibious mesh</x:v>
      </x:c>
      <x:c r="G10" s="31" t="n">
        <x:f>'Mass Access'!E10/1000</x:f>
        <x:v>52</x:v>
      </x:c>
      <x:c r="H10" s="31" t="n">
        <x:f>'Mass Access'!G10/1000</x:f>
        <x:v>60</x:v>
      </x:c>
      <x:c r="I10" s="32" t="n">
        <x:f>'Mass Access'!M10</x:f>
        <x:v>1.0633333333333332</x:v>
      </x:c>
      <x:c r="J10" s="32" t="n">
        <x:f>Energy!Q10</x:f>
        <x:v>1.1076923076923078</x:v>
      </x:c>
      <x:c r="K10" s="32" t="n">
        <x:f>MIN('Route Flow'!O22:O26)</x:f>
        <x:v>1.072</x:v>
      </x:c>
      <x:c r="L10" s="32" t="n">
        <x:f>Labor!L10</x:f>
        <x:v>1.2345679012345678</x:v>
      </x:c>
      <x:c r="M10" s="32" t="n">
        <x:f>Safety!K10</x:f>
        <x:v>1.05</x:v>
      </x:c>
      <x:c r="N10" s="32" t="n">
        <x:f>Receivers!J10</x:f>
        <x:v>1.05</x:v>
      </x:c>
      <x:c r="O10" s="32" t="n">
        <x:f>Residual!N10</x:f>
        <x:v>1.05</x:v>
      </x:c>
      <x:c r="P10" s="32" t="n">
        <x:f>MIN(I10:O10)</x:f>
        <x:v>1.05</x:v>
      </x:c>
      <x:c r="Q10" s="19" t="str">
        <x:f>INDEX($I$6:$O$6,1,MATCH(P10,I10:O10,0))</x:f>
        <x:v>Safety</x:v>
      </x:c>
      <x:c r="R10" s="19" t="str">
        <x:f>IF(AND(P10&gt;=Controls!$D$8,COUNTIF('Component Bill'!$D$7:$D$166,C10)=8,COUNTIF('Route Flow'!$C$7:$C$98,C10)=5),"BALANCED","OPEN")</x:f>
        <x:v>BALANCED</x:v>
      </x:c>
      <x:c r="S10" s="19" t="n">
        <x:f>COUNTIFS('Evidence Gates'!$D$7:$D$146,C10,'Evidence Gates'!$F$7:$F$146,1)</x:f>
        <x:v>0</x:v>
      </x:c>
      <x:c r="T10" s="22" t="n">
        <x:v>0</x:v>
      </x:c>
      <x:c r="U10" s="22" t="n">
        <x:v>0</x:v>
      </x:c>
      <x:c r="V10" s="22" t="n">
        <x:v>0</x:v>
      </x:c>
      <x:c r="W10" s="19" t="str">
        <x:f>IF(AND(R10="BALANCED",S10=Controls!$D$12,T10=Controls!$D$13,U10=Controls!$D$14,V10=0),"RELEASED","HOLD")</x:f>
        <x:v>HOLD</x:v>
      </x:c>
      <x:c r="X10" s="49" t="n">
        <x:v>11.127924510010555</x:v>
      </x:c>
      <x:c r="Y10" s="75"/>
      <x:c r="Z10" s="75"/>
    </x:row>
    <x:row r="11">
      <x:c r="C11" s="19" t="str">
        <x:v>MS-CT|A</x:v>
      </x:c>
      <x:c r="D11" s="19" t="str">
        <x:v>C3-CT-A-CF1</x:v>
      </x:c>
      <x:c r="E11" s="19" t="str">
        <x:v>MS-CT</x:v>
      </x:c>
      <x:c r="F11" s="19" t="str">
        <x:v>Civic edge grid</x:v>
      </x:c>
      <x:c r="G11" s="31" t="n">
        <x:f>'Mass Access'!E11/1000</x:f>
        <x:v>16</x:v>
      </x:c>
      <x:c r="H11" s="31" t="n">
        <x:f>'Mass Access'!G11/1000</x:f>
        <x:v>18.4</x:v>
      </x:c>
      <x:c r="I11" s="32" t="n">
        <x:f>'Mass Access'!M11</x:f>
        <x:v>1.0271739130434783</x:v>
      </x:c>
      <x:c r="J11" s="32" t="n">
        <x:f>Energy!Q11</x:f>
        <x:v>1.0416666666666667</x:v>
      </x:c>
      <x:c r="K11" s="32" t="n">
        <x:f>MIN('Route Flow'!O27:O31)</x:f>
        <x:v>1.024</x:v>
      </x:c>
      <x:c r="L11" s="32" t="n">
        <x:f>Labor!L11</x:f>
        <x:v>1.2345679012345678</x:v>
      </x:c>
      <x:c r="M11" s="32" t="n">
        <x:f>Safety!K11</x:f>
        <x:v>1.05</x:v>
      </x:c>
      <x:c r="N11" s="32" t="n">
        <x:f>Receivers!J11</x:f>
        <x:v>1.05</x:v>
      </x:c>
      <x:c r="O11" s="32" t="n">
        <x:f>Residual!N11</x:f>
        <x:v>1.05</x:v>
      </x:c>
      <x:c r="P11" s="32" t="n">
        <x:f>MIN(I11:O11)</x:f>
        <x:v>1.024</x:v>
      </x:c>
      <x:c r="Q11" s="19" t="str">
        <x:f>INDEX($I$6:$O$6,1,MATCH(P11,I11:O11,0))</x:f>
        <x:v>Route flow</x:v>
      </x:c>
      <x:c r="R11" s="19" t="str">
        <x:f>IF(AND(P11&gt;=Controls!$D$8,COUNTIF('Component Bill'!$D$7:$D$166,C11)=8,COUNTIF('Route Flow'!$C$7:$C$98,C11)=5),"BALANCED","OPEN")</x:f>
        <x:v>BALANCED</x:v>
      </x:c>
      <x:c r="S11" s="19" t="n">
        <x:f>COUNTIFS('Evidence Gates'!$D$7:$D$146,C11,'Evidence Gates'!$F$7:$F$146,1)</x:f>
        <x:v>0</x:v>
      </x:c>
      <x:c r="T11" s="22" t="n">
        <x:v>0</x:v>
      </x:c>
      <x:c r="U11" s="22" t="n">
        <x:v>0</x:v>
      </x:c>
      <x:c r="V11" s="22" t="n">
        <x:v>0</x:v>
      </x:c>
      <x:c r="W11" s="19" t="str">
        <x:f>IF(AND(R11="BALANCED",S11=Controls!$D$12,T11=Controls!$D$13,U11=Controls!$D$14,V11=0),"RELEASED","HOLD")</x:f>
        <x:v>HOLD</x:v>
      </x:c>
      <x:c r="X11" s="49" t="n">
        <x:v>11.484099827322673</x:v>
      </x:c>
      <x:c r="Y11" s="75"/>
      <x:c r="Z11" s="75"/>
    </x:row>
    <x:row r="12">
      <x:c r="C12" s="19" t="str">
        <x:v>MS-CT|B</x:v>
      </x:c>
      <x:c r="D12" s="19" t="str">
        <x:v>C3-CT-B-CF1</x:v>
      </x:c>
      <x:c r="E12" s="19" t="str">
        <x:v>MS-CT</x:v>
      </x:c>
      <x:c r="F12" s="19" t="str">
        <x:v>Air-and-skin reach</x:v>
      </x:c>
      <x:c r="G12" s="31" t="n">
        <x:f>'Mass Access'!E12/1000</x:f>
        <x:v>21</x:v>
      </x:c>
      <x:c r="H12" s="31" t="n">
        <x:f>'Mass Access'!G12/1000</x:f>
        <x:v>24</x:v>
      </x:c>
      <x:c r="I12" s="32" t="n">
        <x:f>'Mass Access'!M12</x:f>
        <x:v>1.05</x:v>
      </x:c>
      <x:c r="J12" s="32" t="n">
        <x:f>Energy!Q12</x:f>
        <x:v>1</x:v>
      </x:c>
      <x:c r="K12" s="32" t="n">
        <x:f>MIN('Route Flow'!O32:O36)</x:f>
        <x:v>1.04</x:v>
      </x:c>
      <x:c r="L12" s="32" t="n">
        <x:f>Labor!L12</x:f>
        <x:v>1.2345679012345678</x:v>
      </x:c>
      <x:c r="M12" s="32" t="n">
        <x:f>Safety!K12</x:f>
        <x:v>1.05</x:v>
      </x:c>
      <x:c r="N12" s="32" t="n">
        <x:f>Receivers!J12</x:f>
        <x:v>1.05</x:v>
      </x:c>
      <x:c r="O12" s="32" t="n">
        <x:f>Residual!N12</x:f>
        <x:v>1.05</x:v>
      </x:c>
      <x:c r="P12" s="32" t="n">
        <x:f>MIN(I12:O12)</x:f>
        <x:v>1</x:v>
      </x:c>
      <x:c r="Q12" s="19" t="str">
        <x:f>INDEX($I$6:$O$6,1,MATCH(P12,I12:O12,0))</x:f>
        <x:v>Energy</x:v>
      </x:c>
      <x:c r="R12" s="19" t="str">
        <x:f>IF(AND(P12&gt;=Controls!$D$8,COUNTIF('Component Bill'!$D$7:$D$166,C12)=8,COUNTIF('Route Flow'!$C$7:$C$98,C12)=5),"BALANCED","OPEN")</x:f>
        <x:v>BALANCED</x:v>
      </x:c>
      <x:c r="S12" s="19" t="n">
        <x:f>COUNTIFS('Evidence Gates'!$D$7:$D$146,C12,'Evidence Gates'!$F$7:$F$146,1)</x:f>
        <x:v>0</x:v>
      </x:c>
      <x:c r="T12" s="22" t="n">
        <x:v>0</x:v>
      </x:c>
      <x:c r="U12" s="22" t="n">
        <x:v>0</x:v>
      </x:c>
      <x:c r="V12" s="22" t="n">
        <x:v>0</x:v>
      </x:c>
      <x:c r="W12" s="19" t="str">
        <x:f>IF(AND(R12="BALANCED",S12=Controls!$D$12,T12=Controls!$D$13,U12=Controls!$D$14,V12=0),"RELEASED","HOLD")</x:f>
        <x:v>HOLD</x:v>
      </x:c>
      <x:c r="X12" s="49" t="n">
        <x:v>11.484099827322673</x:v>
      </x:c>
      <x:c r="Y12" s="75"/>
      <x:c r="Z12" s="75"/>
    </x:row>
    <x:row r="13">
      <x:c r="C13" s="19" t="str">
        <x:v>MS-CT|C</x:v>
      </x:c>
      <x:c r="D13" s="19" t="str">
        <x:v>C3-CT-C-CF1</x:v>
      </x:c>
      <x:c r="E13" s="19" t="str">
        <x:v>MS-CT</x:v>
      </x:c>
      <x:c r="F13" s="19" t="str">
        <x:v>Building utility spine</x:v>
      </x:c>
      <x:c r="G13" s="31" t="n">
        <x:f>'Mass Access'!E13/1000</x:f>
        <x:v>27</x:v>
      </x:c>
      <x:c r="H13" s="31" t="n">
        <x:f>'Mass Access'!G13/1000</x:f>
        <x:v>31</x:v>
      </x:c>
      <x:c r="I13" s="32" t="n">
        <x:f>'Mass Access'!M13</x:f>
        <x:v>1.0451612903225806</x:v>
      </x:c>
      <x:c r="J13" s="32" t="n">
        <x:f>Energy!Q13</x:f>
        <x:v>1</x:v>
      </x:c>
      <x:c r="K13" s="32" t="n">
        <x:f>MIN('Route Flow'!O37:O41)</x:f>
        <x:v>1.056</x:v>
      </x:c>
      <x:c r="L13" s="32" t="n">
        <x:f>Labor!L13</x:f>
        <x:v>1.2345679012345678</x:v>
      </x:c>
      <x:c r="M13" s="32" t="n">
        <x:f>Safety!K13</x:f>
        <x:v>1.05</x:v>
      </x:c>
      <x:c r="N13" s="32" t="n">
        <x:f>Receivers!J13</x:f>
        <x:v>1.05</x:v>
      </x:c>
      <x:c r="O13" s="32" t="n">
        <x:f>Residual!N13</x:f>
        <x:v>1.05</x:v>
      </x:c>
      <x:c r="P13" s="32" t="n">
        <x:f>MIN(I13:O13)</x:f>
        <x:v>1</x:v>
      </x:c>
      <x:c r="Q13" s="19" t="str">
        <x:f>INDEX($I$6:$O$6,1,MATCH(P13,I13:O13,0))</x:f>
        <x:v>Energy</x:v>
      </x:c>
      <x:c r="R13" s="19" t="str">
        <x:f>IF(AND(P13&gt;=Controls!$D$8,COUNTIF('Component Bill'!$D$7:$D$166,C13)=8,COUNTIF('Route Flow'!$C$7:$C$98,C13)=5),"BALANCED","OPEN")</x:f>
        <x:v>BALANCED</x:v>
      </x:c>
      <x:c r="S13" s="19" t="n">
        <x:f>COUNTIFS('Evidence Gates'!$D$7:$D$146,C13,'Evidence Gates'!$F$7:$F$146,1)</x:f>
        <x:v>0</x:v>
      </x:c>
      <x:c r="T13" s="22" t="n">
        <x:v>0</x:v>
      </x:c>
      <x:c r="U13" s="22" t="n">
        <x:v>0</x:v>
      </x:c>
      <x:c r="V13" s="22" t="n">
        <x:v>0</x:v>
      </x:c>
      <x:c r="W13" s="19" t="str">
        <x:f>IF(AND(R13="BALANCED",S13=Controls!$D$12,T13=Controls!$D$13,U13=Controls!$D$14,V13=0),"RELEASED","HOLD")</x:f>
        <x:v>HOLD</x:v>
      </x:c>
      <x:c r="X13" s="49" t="n">
        <x:v>11.484099827322673</x:v>
      </x:c>
      <x:c r="Y13" s="75"/>
      <x:c r="Z13" s="75"/>
    </x:row>
    <x:row r="14">
      <x:c r="C14" s="19" t="str">
        <x:v>MS-CT|D</x:v>
      </x:c>
      <x:c r="D14" s="19" t="str">
        <x:v>C3-CT-D-CF1</x:v>
      </x:c>
      <x:c r="E14" s="19" t="str">
        <x:v>MS-CT</x:v>
      </x:c>
      <x:c r="F14" s="19" t="str">
        <x:v>Neighborhood machine swarm</x:v>
      </x:c>
      <x:c r="G14" s="31" t="n">
        <x:f>'Mass Access'!E14/1000</x:f>
        <x:v>19</x:v>
      </x:c>
      <x:c r="H14" s="31" t="n">
        <x:f>'Mass Access'!G14/1000</x:f>
        <x:v>22</x:v>
      </x:c>
      <x:c r="I14" s="32" t="n">
        <x:f>'Mass Access'!M14</x:f>
        <x:v>1.0681818181818181</x:v>
      </x:c>
      <x:c r="J14" s="32" t="n">
        <x:f>Energy!Q14</x:f>
        <x:v>1.0263157894736843</x:v>
      </x:c>
      <x:c r="K14" s="32" t="n">
        <x:f>MIN('Route Flow'!O42:O46)</x:f>
        <x:v>1.072</x:v>
      </x:c>
      <x:c r="L14" s="32" t="n">
        <x:f>Labor!L14</x:f>
        <x:v>1.2345679012345678</x:v>
      </x:c>
      <x:c r="M14" s="32" t="n">
        <x:f>Safety!K14</x:f>
        <x:v>1.05</x:v>
      </x:c>
      <x:c r="N14" s="32" t="n">
        <x:f>Receivers!J14</x:f>
        <x:v>1.05</x:v>
      </x:c>
      <x:c r="O14" s="32" t="n">
        <x:f>Residual!N14</x:f>
        <x:v>1.05</x:v>
      </x:c>
      <x:c r="P14" s="32" t="n">
        <x:f>MIN(I14:O14)</x:f>
        <x:v>1.0263157894736843</x:v>
      </x:c>
      <x:c r="Q14" s="19" t="str">
        <x:f>INDEX($I$6:$O$6,1,MATCH(P14,I14:O14,0))</x:f>
        <x:v>Energy</x:v>
      </x:c>
      <x:c r="R14" s="19" t="str">
        <x:f>IF(AND(P14&gt;=Controls!$D$8,COUNTIF('Component Bill'!$D$7:$D$166,C14)=8,COUNTIF('Route Flow'!$C$7:$C$98,C14)=5),"BALANCED","OPEN")</x:f>
        <x:v>BALANCED</x:v>
      </x:c>
      <x:c r="S14" s="19" t="n">
        <x:f>COUNTIFS('Evidence Gates'!$D$7:$D$146,C14,'Evidence Gates'!$F$7:$F$146,1)</x:f>
        <x:v>0</x:v>
      </x:c>
      <x:c r="T14" s="22" t="n">
        <x:v>0</x:v>
      </x:c>
      <x:c r="U14" s="22" t="n">
        <x:v>0</x:v>
      </x:c>
      <x:c r="V14" s="22" t="n">
        <x:v>0</x:v>
      </x:c>
      <x:c r="W14" s="19" t="str">
        <x:f>IF(AND(R14="BALANCED",S14=Controls!$D$12,T14=Controls!$D$13,U14=Controls!$D$14,V14=0),"RELEASED","HOLD")</x:f>
        <x:v>HOLD</x:v>
      </x:c>
      <x:c r="X14" s="49" t="n">
        <x:v>11.484099827322673</x:v>
      </x:c>
      <x:c r="Y14" s="75"/>
      <x:c r="Z14" s="75"/>
    </x:row>
    <x:row r="15">
      <x:c r="C15" s="19" t="str">
        <x:v>MS-HC|A</x:v>
      </x:c>
      <x:c r="D15" s="19" t="str">
        <x:v>C3-HC-A-CF1</x:v>
      </x:c>
      <x:c r="E15" s="19" t="str">
        <x:v>MS-HC</x:v>
      </x:c>
      <x:c r="F15" s="19" t="str">
        <x:v>Atmospheric flux wing</x:v>
      </x:c>
      <x:c r="G15" s="31" t="n">
        <x:f>'Mass Access'!E15/1000</x:f>
        <x:v>44</x:v>
      </x:c>
      <x:c r="H15" s="31" t="n">
        <x:f>'Mass Access'!G15/1000</x:f>
        <x:v>54</x:v>
      </x:c>
      <x:c r="I15" s="32" t="n">
        <x:f>'Mass Access'!M15</x:f>
        <x:v>1.05</x:v>
      </x:c>
      <x:c r="J15" s="32" t="n">
        <x:f>Energy!Q15</x:f>
        <x:v>1.025</x:v>
      </x:c>
      <x:c r="K15" s="32" t="n">
        <x:f>MIN('Route Flow'!O47:O49)</x:f>
        <x:v>1.024</x:v>
      </x:c>
      <x:c r="L15" s="32" t="n">
        <x:f>Labor!L15</x:f>
        <x:v>1.2345679012345678</x:v>
      </x:c>
      <x:c r="M15" s="32" t="n">
        <x:f>Safety!K15</x:f>
        <x:v>1.05</x:v>
      </x:c>
      <x:c r="N15" s="32" t="n">
        <x:f>Receivers!J15</x:f>
        <x:v>1.05</x:v>
      </x:c>
      <x:c r="O15" s="32" t="n">
        <x:f>Residual!N15</x:f>
        <x:v>1.05</x:v>
      </x:c>
      <x:c r="P15" s="32" t="n">
        <x:f>MIN(I15:O15)</x:f>
        <x:v>1.024</x:v>
      </x:c>
      <x:c r="Q15" s="19" t="str">
        <x:f>INDEX($I$6:$O$6,1,MATCH(P15,I15:O15,0))</x:f>
        <x:v>Route flow</x:v>
      </x:c>
      <x:c r="R15" s="19" t="str">
        <x:f>IF(AND(P15&gt;=Controls!$D$8,COUNTIF('Component Bill'!$D$7:$D$166,C15)=8,COUNTIF('Route Flow'!$C$7:$C$98,C15)=3),"BALANCED","OPEN")</x:f>
        <x:v>BALANCED</x:v>
      </x:c>
      <x:c r="S15" s="19" t="n">
        <x:f>COUNTIFS('Evidence Gates'!$D$7:$D$146,C15,'Evidence Gates'!$F$7:$F$146,1)</x:f>
        <x:v>0</x:v>
      </x:c>
      <x:c r="T15" s="22" t="n">
        <x:v>0</x:v>
      </x:c>
      <x:c r="U15" s="22" t="n">
        <x:v>0</x:v>
      </x:c>
      <x:c r="V15" s="22" t="n">
        <x:v>0</x:v>
      </x:c>
      <x:c r="W15" s="19" t="str">
        <x:f>IF(AND(R15="BALANCED",S15=Controls!$D$12,T15=Controls!$D$13,U15=Controls!$D$14,V15=0),"RELEASED","HOLD")</x:f>
        <x:v>HOLD</x:v>
      </x:c>
      <x:c r="X15" s="49" t="n">
        <x:v>6.830994521565379</x:v>
      </x:c>
      <x:c r="Y15" s="75"/>
      <x:c r="Z15" s="75"/>
    </x:row>
    <x:row r="16">
      <x:c r="C16" s="19" t="str">
        <x:v>MS-HC|B</x:v>
      </x:c>
      <x:c r="D16" s="19" t="str">
        <x:v>C3-HC-B-CF1</x:v>
      </x:c>
      <x:c r="E16" s="19" t="str">
        <x:v>MS-HC</x:v>
      </x:c>
      <x:c r="F16" s="19" t="str">
        <x:v>Hydraulic intervention lattice</x:v>
      </x:c>
      <x:c r="G16" s="31" t="n">
        <x:f>'Mass Access'!E16/1000</x:f>
        <x:v>61</x:v>
      </x:c>
      <x:c r="H16" s="31" t="n">
        <x:f>'Mass Access'!G16/1000</x:f>
        <x:v>75</x:v>
      </x:c>
      <x:c r="I16" s="32" t="n">
        <x:f>'Mass Access'!M16</x:f>
        <x:v>1.0666666666666667</x:v>
      </x:c>
      <x:c r="J16" s="32" t="n">
        <x:f>Energy!Q16</x:f>
        <x:v>1.0526315789473684</x:v>
      </x:c>
      <x:c r="K16" s="32" t="n">
        <x:f>MIN('Route Flow'!O50:O52)</x:f>
        <x:v>1.04</x:v>
      </x:c>
      <x:c r="L16" s="32" t="n">
        <x:f>Labor!L16</x:f>
        <x:v>1.2345679012345678</x:v>
      </x:c>
      <x:c r="M16" s="32" t="n">
        <x:f>Safety!K16</x:f>
        <x:v>1.05</x:v>
      </x:c>
      <x:c r="N16" s="32" t="n">
        <x:f>Receivers!J16</x:f>
        <x:v>1.05</x:v>
      </x:c>
      <x:c r="O16" s="32" t="n">
        <x:f>Residual!N16</x:f>
        <x:v>1.05</x:v>
      </x:c>
      <x:c r="P16" s="32" t="n">
        <x:f>MIN(I16:O16)</x:f>
        <x:v>1.04</x:v>
      </x:c>
      <x:c r="Q16" s="19" t="str">
        <x:f>INDEX($I$6:$O$6,1,MATCH(P16,I16:O16,0))</x:f>
        <x:v>Route flow</x:v>
      </x:c>
      <x:c r="R16" s="19" t="str">
        <x:f>IF(AND(P16&gt;=Controls!$D$8,COUNTIF('Component Bill'!$D$7:$D$166,C16)=8,COUNTIF('Route Flow'!$C$7:$C$98,C16)=3),"BALANCED","OPEN")</x:f>
        <x:v>BALANCED</x:v>
      </x:c>
      <x:c r="S16" s="19" t="n">
        <x:f>COUNTIFS('Evidence Gates'!$D$7:$D$146,C16,'Evidence Gates'!$F$7:$F$146,1)</x:f>
        <x:v>0</x:v>
      </x:c>
      <x:c r="T16" s="22" t="n">
        <x:v>0</x:v>
      </x:c>
      <x:c r="U16" s="22" t="n">
        <x:v>0</x:v>
      </x:c>
      <x:c r="V16" s="22" t="n">
        <x:v>0</x:v>
      </x:c>
      <x:c r="W16" s="19" t="str">
        <x:f>IF(AND(R16="BALANCED",S16=Controls!$D$12,T16=Controls!$D$13,U16=Controls!$D$14,V16=0),"RELEASED","HOLD")</x:f>
        <x:v>HOLD</x:v>
      </x:c>
      <x:c r="X16" s="49" t="n">
        <x:v>6.830994521565379</x:v>
      </x:c>
      <x:c r="Y16" s="75"/>
      <x:c r="Z16" s="75"/>
    </x:row>
    <x:row r="17">
      <x:c r="C17" s="19" t="str">
        <x:v>MS-HC|C</x:v>
      </x:c>
      <x:c r="D17" s="19" t="str">
        <x:v>C3-HC-C-CF1</x:v>
      </x:c>
      <x:c r="E17" s="19" t="str">
        <x:v>MS-HC</x:v>
      </x:c>
      <x:c r="F17" s="19" t="str">
        <x:v>Autonomous terrain corps</x:v>
      </x:c>
      <x:c r="G17" s="31" t="n">
        <x:f>'Mass Access'!E17/1000</x:f>
        <x:v>52</x:v>
      </x:c>
      <x:c r="H17" s="31" t="n">
        <x:f>'Mass Access'!G17/1000</x:f>
        <x:v>64</x:v>
      </x:c>
      <x:c r="I17" s="32" t="n">
        <x:f>'Mass Access'!M17</x:f>
        <x:v>1.0375</x:v>
      </x:c>
      <x:c r="J17" s="32" t="n">
        <x:f>Energy!Q17</x:f>
        <x:v>1.0588235294117647</x:v>
      </x:c>
      <x:c r="K17" s="32" t="n">
        <x:f>MIN('Route Flow'!O53:O55)</x:f>
        <x:v>1.056</x:v>
      </x:c>
      <x:c r="L17" s="32" t="n">
        <x:f>Labor!L17</x:f>
        <x:v>1.2345679012345678</x:v>
      </x:c>
      <x:c r="M17" s="32" t="n">
        <x:f>Safety!K17</x:f>
        <x:v>1.05024</x:v>
      </x:c>
      <x:c r="N17" s="32" t="n">
        <x:f>Receivers!J17</x:f>
        <x:v>1.05</x:v>
      </x:c>
      <x:c r="O17" s="32" t="n">
        <x:f>Residual!N17</x:f>
        <x:v>1.05</x:v>
      </x:c>
      <x:c r="P17" s="32" t="n">
        <x:f>MIN(I17:O17)</x:f>
        <x:v>1.0375</x:v>
      </x:c>
      <x:c r="Q17" s="19" t="str">
        <x:f>INDEX($I$6:$O$6,1,MATCH(P17,I17:O17,0))</x:f>
        <x:v>Mass</x:v>
      </x:c>
      <x:c r="R17" s="19" t="str">
        <x:f>IF(AND(P17&gt;=Controls!$D$8,COUNTIF('Component Bill'!$D$7:$D$166,C17)=8,COUNTIF('Route Flow'!$C$7:$C$98,C17)=3),"BALANCED","OPEN")</x:f>
        <x:v>BALANCED</x:v>
      </x:c>
      <x:c r="S17" s="19" t="n">
        <x:f>COUNTIFS('Evidence Gates'!$D$7:$D$146,C17,'Evidence Gates'!$F$7:$F$146,1)</x:f>
        <x:v>0</x:v>
      </x:c>
      <x:c r="T17" s="22" t="n">
        <x:v>0</x:v>
      </x:c>
      <x:c r="U17" s="22" t="n">
        <x:v>0</x:v>
      </x:c>
      <x:c r="V17" s="22" t="n">
        <x:v>0</x:v>
      </x:c>
      <x:c r="W17" s="19" t="str">
        <x:f>IF(AND(R17="BALANCED",S17=Controls!$D$12,T17=Controls!$D$13,U17=Controls!$D$14,V17=0),"RELEASED","HOLD")</x:f>
        <x:v>HOLD</x:v>
      </x:c>
      <x:c r="X17" s="49" t="n">
        <x:v>6.830994521565379</x:v>
      </x:c>
      <x:c r="Y17" s="75"/>
      <x:c r="Z17" s="75"/>
    </x:row>
    <x:row r="18">
      <x:c r="C18" s="19" t="str">
        <x:v>MS-HC|D</x:v>
      </x:c>
      <x:c r="D18" s="19" t="str">
        <x:v>C3-HC-D-CF1</x:v>
      </x:c>
      <x:c r="E18" s="19" t="str">
        <x:v>MS-HC</x:v>
      </x:c>
      <x:c r="F18" s="19" t="str">
        <x:v>Boundary-control field</x:v>
      </x:c>
      <x:c r="G18" s="31" t="n">
        <x:f>'Mass Access'!E18/1000</x:f>
        <x:v>33</x:v>
      </x:c>
      <x:c r="H18" s="31" t="n">
        <x:f>'Mass Access'!G18/1000</x:f>
        <x:v>40</x:v>
      </x:c>
      <x:c r="I18" s="32" t="n">
        <x:f>'Mass Access'!M18</x:f>
        <x:v>1.04</x:v>
      </x:c>
      <x:c r="J18" s="32" t="n">
        <x:f>Energy!Q18</x:f>
        <x:v>1.0833333333333333</x:v>
      </x:c>
      <x:c r="K18" s="32" t="n">
        <x:f>MIN('Route Flow'!O56:O58)</x:f>
        <x:v>1.072</x:v>
      </x:c>
      <x:c r="L18" s="32" t="n">
        <x:f>Labor!L18</x:f>
        <x:v>1.2345679012345678</x:v>
      </x:c>
      <x:c r="M18" s="32" t="n">
        <x:f>Safety!K18</x:f>
        <x:v>1.05</x:v>
      </x:c>
      <x:c r="N18" s="32" t="n">
        <x:f>Receivers!J18</x:f>
        <x:v>1.05</x:v>
      </x:c>
      <x:c r="O18" s="32" t="n">
        <x:f>Residual!N18</x:f>
        <x:v>1.05</x:v>
      </x:c>
      <x:c r="P18" s="32" t="n">
        <x:f>MIN(I18:O18)</x:f>
        <x:v>1.04</x:v>
      </x:c>
      <x:c r="Q18" s="19" t="str">
        <x:f>INDEX($I$6:$O$6,1,MATCH(P18,I18:O18,0))</x:f>
        <x:v>Mass</x:v>
      </x:c>
      <x:c r="R18" s="19" t="str">
        <x:f>IF(AND(P18&gt;=Controls!$D$8,COUNTIF('Component Bill'!$D$7:$D$166,C18)=8,COUNTIF('Route Flow'!$C$7:$C$98,C18)=3),"BALANCED","OPEN")</x:f>
        <x:v>BALANCED</x:v>
      </x:c>
      <x:c r="S18" s="19" t="n">
        <x:f>COUNTIFS('Evidence Gates'!$D$7:$D$146,C18,'Evidence Gates'!$F$7:$F$146,1)</x:f>
        <x:v>0</x:v>
      </x:c>
      <x:c r="T18" s="22" t="n">
        <x:v>0</x:v>
      </x:c>
      <x:c r="U18" s="22" t="n">
        <x:v>0</x:v>
      </x:c>
      <x:c r="V18" s="22" t="n">
        <x:v>0</x:v>
      </x:c>
      <x:c r="W18" s="19" t="str">
        <x:f>IF(AND(R18="BALANCED",S18=Controls!$D$12,T18=Controls!$D$13,U18=Controls!$D$14,V18=0),"RELEASED","HOLD")</x:f>
        <x:v>HOLD</x:v>
      </x:c>
      <x:c r="X18" s="49" t="n">
        <x:v>6.830994521565379</x:v>
      </x:c>
      <x:c r="Y18" s="75"/>
      <x:c r="Z18" s="75"/>
    </x:row>
    <x:row r="19">
      <x:c r="C19" s="19" t="str">
        <x:v>MS-HU|A</x:v>
      </x:c>
      <x:c r="D19" s="19" t="str">
        <x:v>C3-HU-A-CF1</x:v>
      </x:c>
      <x:c r="E19" s="19" t="str">
        <x:v>MS-HU</x:v>
      </x:c>
      <x:c r="F19" s="19" t="str">
        <x:v>Clinical continuity campus</x:v>
      </x:c>
      <x:c r="G19" s="31" t="n">
        <x:f>'Mass Access'!E19/1000</x:f>
        <x:v>42</x:v>
      </x:c>
      <x:c r="H19" s="31" t="n">
        <x:f>'Mass Access'!G19/1000</x:f>
        <x:v>50</x:v>
      </x:c>
      <x:c r="I19" s="32" t="n">
        <x:f>'Mass Access'!M19</x:f>
        <x:v>1.008</x:v>
      </x:c>
      <x:c r="J19" s="32" t="n">
        <x:f>Energy!Q19</x:f>
        <x:v>1.0576923076923077</x:v>
      </x:c>
      <x:c r="K19" s="32" t="n">
        <x:f>MIN('Route Flow'!O59:O63)</x:f>
        <x:v>1.032</x:v>
      </x:c>
      <x:c r="L19" s="32" t="n">
        <x:f>Labor!L19</x:f>
        <x:v>1.2345679012345678</x:v>
      </x:c>
      <x:c r="M19" s="32" t="n">
        <x:f>Safety!K19</x:f>
        <x:v>1.05</x:v>
      </x:c>
      <x:c r="N19" s="32" t="n">
        <x:f>Receivers!J19</x:f>
        <x:v>1.05</x:v>
      </x:c>
      <x:c r="O19" s="32" t="n">
        <x:f>Residual!N19</x:f>
        <x:v>1.05</x:v>
      </x:c>
      <x:c r="P19" s="32" t="n">
        <x:f>MIN(I19:O19)</x:f>
        <x:v>1.008</x:v>
      </x:c>
      <x:c r="Q19" s="19" t="str">
        <x:f>INDEX($I$6:$O$6,1,MATCH(P19,I19:O19,0))</x:f>
        <x:v>Mass</x:v>
      </x:c>
      <x:c r="R19" s="19" t="str">
        <x:f>IF(AND(P19&gt;=Controls!$D$8,COUNTIF('Component Bill'!$D$7:$D$166,C19)=8,COUNTIF('Route Flow'!$C$7:$C$98,C19)=5),"BALANCED","OPEN")</x:f>
        <x:v>BALANCED</x:v>
      </x:c>
      <x:c r="S19" s="19" t="n">
        <x:f>COUNTIFS('Evidence Gates'!$D$7:$D$146,C19,'Evidence Gates'!$F$7:$F$146,1)</x:f>
        <x:v>0</x:v>
      </x:c>
      <x:c r="T19" s="22" t="n">
        <x:v>0</x:v>
      </x:c>
      <x:c r="U19" s="22" t="n">
        <x:v>0</x:v>
      </x:c>
      <x:c r="V19" s="22" t="n">
        <x:v>0</x:v>
      </x:c>
      <x:c r="W19" s="19" t="str">
        <x:f>IF(AND(R19="BALANCED",S19=Controls!$D$12,T19=Controls!$D$13,U19=Controls!$D$14,V19=0),"RELEASED","HOLD")</x:f>
        <x:v>HOLD</x:v>
      </x:c>
      <x:c r="X19" s="49" t="n">
        <x:v>19.137720186217514</x:v>
      </x:c>
      <x:c r="Y19" s="75"/>
      <x:c r="Z19" s="75"/>
    </x:row>
    <x:row r="20">
      <x:c r="C20" s="19" t="str">
        <x:v>MS-HU|B</x:v>
      </x:c>
      <x:c r="D20" s="19" t="str">
        <x:v>C3-HU-B-CF1</x:v>
      </x:c>
      <x:c r="E20" s="19" t="str">
        <x:v>MS-HU</x:v>
      </x:c>
      <x:c r="F20" s="19" t="str">
        <x:v>Neighborhood care fabric</x:v>
      </x:c>
      <x:c r="G20" s="31" t="n">
        <x:f>'Mass Access'!E20/1000</x:f>
        <x:v>31</x:v>
      </x:c>
      <x:c r="H20" s="31" t="n">
        <x:f>'Mass Access'!G20/1000</x:f>
        <x:v>38</x:v>
      </x:c>
      <x:c r="I20" s="32" t="n">
        <x:f>'Mass Access'!M20</x:f>
        <x:v>1.0526315789473684</x:v>
      </x:c>
      <x:c r="J20" s="32" t="n">
        <x:f>Energy!Q20</x:f>
        <x:v>1.0588235294117647</x:v>
      </x:c>
      <x:c r="K20" s="32" t="n">
        <x:f>MIN('Route Flow'!O64:O68)</x:f>
        <x:v>1.048</x:v>
      </x:c>
      <x:c r="L20" s="32" t="n">
        <x:f>Labor!L20</x:f>
        <x:v>1.2345679012345678</x:v>
      </x:c>
      <x:c r="M20" s="32" t="n">
        <x:f>Safety!K20</x:f>
        <x:v>1.0501176470588236</x:v>
      </x:c>
      <x:c r="N20" s="32" t="n">
        <x:f>Receivers!J20</x:f>
        <x:v>1.05</x:v>
      </x:c>
      <x:c r="O20" s="32" t="n">
        <x:f>Residual!N20</x:f>
        <x:v>1.05</x:v>
      </x:c>
      <x:c r="P20" s="32" t="n">
        <x:f>MIN(I20:O20)</x:f>
        <x:v>1.048</x:v>
      </x:c>
      <x:c r="Q20" s="19" t="str">
        <x:f>INDEX($I$6:$O$6,1,MATCH(P20,I20:O20,0))</x:f>
        <x:v>Route flow</x:v>
      </x:c>
      <x:c r="R20" s="19" t="str">
        <x:f>IF(AND(P20&gt;=Controls!$D$8,COUNTIF('Component Bill'!$D$7:$D$166,C20)=8,COUNTIF('Route Flow'!$C$7:$C$98,C20)=5),"BALANCED","OPEN")</x:f>
        <x:v>BALANCED</x:v>
      </x:c>
      <x:c r="S20" s="19" t="n">
        <x:f>COUNTIFS('Evidence Gates'!$D$7:$D$146,C20,'Evidence Gates'!$F$7:$F$146,1)</x:f>
        <x:v>0</x:v>
      </x:c>
      <x:c r="T20" s="22" t="n">
        <x:v>0</x:v>
      </x:c>
      <x:c r="U20" s="22" t="n">
        <x:v>0</x:v>
      </x:c>
      <x:c r="V20" s="22" t="n">
        <x:v>0</x:v>
      </x:c>
      <x:c r="W20" s="19" t="str">
        <x:f>IF(AND(R20="BALANCED",S20=Controls!$D$12,T20=Controls!$D$13,U20=Controls!$D$14,V20=0),"RELEASED","HOLD")</x:f>
        <x:v>HOLD</x:v>
      </x:c>
      <x:c r="X20" s="49" t="n">
        <x:v>19.137720186217514</x:v>
      </x:c>
      <x:c r="Y20" s="75"/>
      <x:c r="Z20" s="75"/>
    </x:row>
    <x:row r="21">
      <x:c r="C21" s="19" t="str">
        <x:v>MS-HU|C</x:v>
      </x:c>
      <x:c r="D21" s="19" t="str">
        <x:v>C3-HU-C-CF1</x:v>
      </x:c>
      <x:c r="E21" s="19" t="str">
        <x:v>MS-HU</x:v>
      </x:c>
      <x:c r="F21" s="19" t="str">
        <x:v>Mobile care network</x:v>
      </x:c>
      <x:c r="G21" s="31" t="n">
        <x:f>'Mass Access'!E21/1000</x:f>
        <x:v>38</x:v>
      </x:c>
      <x:c r="H21" s="31" t="n">
        <x:f>'Mass Access'!G21/1000</x:f>
        <x:v>46</x:v>
      </x:c>
      <x:c r="I21" s="32" t="n">
        <x:f>'Mass Access'!M21</x:f>
        <x:v>1.0434782608695652</x:v>
      </x:c>
      <x:c r="J21" s="32" t="n">
        <x:f>Energy!Q21</x:f>
        <x:v>1.0666666666666667</x:v>
      </x:c>
      <x:c r="K21" s="32" t="n">
        <x:f>MIN('Route Flow'!O69:O73)</x:f>
        <x:v>1.064</x:v>
      </x:c>
      <x:c r="L21" s="32" t="n">
        <x:f>Labor!L21</x:f>
        <x:v>1.2345679012345678</x:v>
      </x:c>
      <x:c r="M21" s="32" t="n">
        <x:f>Safety!K21</x:f>
        <x:v>1.05</x:v>
      </x:c>
      <x:c r="N21" s="32" t="n">
        <x:f>Receivers!J21</x:f>
        <x:v>1.05</x:v>
      </x:c>
      <x:c r="O21" s="32" t="n">
        <x:f>Residual!N21</x:f>
        <x:v>1.05</x:v>
      </x:c>
      <x:c r="P21" s="32" t="n">
        <x:f>MIN(I21:O21)</x:f>
        <x:v>1.0434782608695652</x:v>
      </x:c>
      <x:c r="Q21" s="19" t="str">
        <x:f>INDEX($I$6:$O$6,1,MATCH(P21,I21:O21,0))</x:f>
        <x:v>Mass</x:v>
      </x:c>
      <x:c r="R21" s="19" t="str">
        <x:f>IF(AND(P21&gt;=Controls!$D$8,COUNTIF('Component Bill'!$D$7:$D$166,C21)=8,COUNTIF('Route Flow'!$C$7:$C$98,C21)=5),"BALANCED","OPEN")</x:f>
        <x:v>BALANCED</x:v>
      </x:c>
      <x:c r="S21" s="19" t="n">
        <x:f>COUNTIFS('Evidence Gates'!$D$7:$D$146,C21,'Evidence Gates'!$F$7:$F$146,1)</x:f>
        <x:v>0</x:v>
      </x:c>
      <x:c r="T21" s="22" t="n">
        <x:v>0</x:v>
      </x:c>
      <x:c r="U21" s="22" t="n">
        <x:v>0</x:v>
      </x:c>
      <x:c r="V21" s="22" t="n">
        <x:v>0</x:v>
      </x:c>
      <x:c r="W21" s="19" t="str">
        <x:f>IF(AND(R21="BALANCED",S21=Controls!$D$12,T21=Controls!$D$13,U21=Controls!$D$14,V21=0),"RELEASED","HOLD")</x:f>
        <x:v>HOLD</x:v>
      </x:c>
      <x:c r="X21" s="49" t="n">
        <x:v>19.137720186217514</x:v>
      </x:c>
      <x:c r="Y21" s="75"/>
      <x:c r="Z21" s="75"/>
    </x:row>
    <x:row r="22">
      <x:c r="C22" s="19" t="str">
        <x:v>MS-HU|D</x:v>
      </x:c>
      <x:c r="D22" s="19" t="str">
        <x:v>C3-HU-D-CF1</x:v>
      </x:c>
      <x:c r="E22" s="19" t="str">
        <x:v>MS-HU</x:v>
      </x:c>
      <x:c r="F22" s="19" t="str">
        <x:v>Host-building conversion</x:v>
      </x:c>
      <x:c r="G22" s="31" t="n">
        <x:f>'Mass Access'!E22/1000</x:f>
        <x:v>24</x:v>
      </x:c>
      <x:c r="H22" s="31" t="n">
        <x:f>'Mass Access'!G22/1000</x:f>
        <x:v>29</x:v>
      </x:c>
      <x:c r="I22" s="32" t="n">
        <x:f>'Mass Access'!M22</x:f>
        <x:v>1.013793103448276</x:v>
      </x:c>
      <x:c r="J22" s="32" t="n">
        <x:f>Energy!Q22</x:f>
        <x:v>1.0483870967741935</x:v>
      </x:c>
      <x:c r="K22" s="32" t="n">
        <x:f>MIN('Route Flow'!O74:O78)</x:f>
        <x:v>1.08</x:v>
      </x:c>
      <x:c r="L22" s="32" t="n">
        <x:f>Labor!L22</x:f>
        <x:v>1.2345679012345678</x:v>
      </x:c>
      <x:c r="M22" s="32" t="n">
        <x:f>Safety!K22</x:f>
        <x:v>1.05</x:v>
      </x:c>
      <x:c r="N22" s="32" t="n">
        <x:f>Receivers!J22</x:f>
        <x:v>1.05</x:v>
      </x:c>
      <x:c r="O22" s="32" t="n">
        <x:f>Residual!N22</x:f>
        <x:v>1.05</x:v>
      </x:c>
      <x:c r="P22" s="32" t="n">
        <x:f>MIN(I22:O22)</x:f>
        <x:v>1.013793103448276</x:v>
      </x:c>
      <x:c r="Q22" s="19" t="str">
        <x:f>INDEX($I$6:$O$6,1,MATCH(P22,I22:O22,0))</x:f>
        <x:v>Mass</x:v>
      </x:c>
      <x:c r="R22" s="19" t="str">
        <x:f>IF(AND(P22&gt;=Controls!$D$8,COUNTIF('Component Bill'!$D$7:$D$166,C22)=8,COUNTIF('Route Flow'!$C$7:$C$98,C22)=5),"BALANCED","OPEN")</x:f>
        <x:v>BALANCED</x:v>
      </x:c>
      <x:c r="S22" s="19" t="n">
        <x:f>COUNTIFS('Evidence Gates'!$D$7:$D$146,C22,'Evidence Gates'!$F$7:$F$146,1)</x:f>
        <x:v>0</x:v>
      </x:c>
      <x:c r="T22" s="22" t="n">
        <x:v>0</x:v>
      </x:c>
      <x:c r="U22" s="22" t="n">
        <x:v>0</x:v>
      </x:c>
      <x:c r="V22" s="22" t="n">
        <x:v>0</x:v>
      </x:c>
      <x:c r="W22" s="19" t="str">
        <x:f>IF(AND(R22="BALANCED",S22=Controls!$D$12,T22=Controls!$D$13,U22=Controls!$D$14,V22=0),"RELEASED","HOLD")</x:f>
        <x:v>HOLD</x:v>
      </x:c>
      <x:c r="X22" s="49" t="n">
        <x:v>19.137720186217514</x:v>
      </x:c>
      <x:c r="Y22" s="75"/>
      <x:c r="Z22" s="75"/>
    </x:row>
    <x:row r="23">
      <x:c r="C23" s="19" t="str">
        <x:v>MS-RT|A</x:v>
      </x:c>
      <x:c r="D23" s="19" t="str">
        <x:v>C3-RT-A-CF1</x:v>
      </x:c>
      <x:c r="E23" s="19" t="str">
        <x:v>MS-RT</x:v>
      </x:c>
      <x:c r="F23" s="19" t="str">
        <x:v>Heavy arsenal base</x:v>
      </x:c>
      <x:c r="G23" s="31" t="n">
        <x:f>'Mass Access'!E23/1000</x:f>
        <x:v>96</x:v>
      </x:c>
      <x:c r="H23" s="31" t="n">
        <x:f>'Mass Access'!G23/1000</x:f>
        <x:v>118</x:v>
      </x:c>
      <x:c r="I23" s="32" t="n">
        <x:f>'Mass Access'!M23</x:f>
        <x:v>1.0372881355932204</x:v>
      </x:c>
      <x:c r="J23" s="32" t="n">
        <x:f>Energy!Q23</x:f>
        <x:v>1.0166666666666666</x:v>
      </x:c>
      <x:c r="K23" s="32" t="n">
        <x:f>MIN('Route Flow'!O79:O83)</x:f>
        <x:v>1.024</x:v>
      </x:c>
      <x:c r="L23" s="32" t="n">
        <x:f>Labor!L23</x:f>
        <x:v>1.2345679012345678</x:v>
      </x:c>
      <x:c r="M23" s="32" t="n">
        <x:f>Safety!K23</x:f>
        <x:v>1.05024</x:v>
      </x:c>
      <x:c r="N23" s="32" t="n">
        <x:f>Receivers!J23</x:f>
        <x:v>1.05</x:v>
      </x:c>
      <x:c r="O23" s="32" t="n">
        <x:f>Residual!N23</x:f>
        <x:v>1.05</x:v>
      </x:c>
      <x:c r="P23" s="32" t="n">
        <x:f>MIN(I23:O23)</x:f>
        <x:v>1.0166666666666666</x:v>
      </x:c>
      <x:c r="Q23" s="19" t="str">
        <x:f>INDEX($I$6:$O$6,1,MATCH(P23,I23:O23,0))</x:f>
        <x:v>Energy</x:v>
      </x:c>
      <x:c r="R23" s="19" t="str">
        <x:f>IF(AND(P23&gt;=Controls!$D$8,COUNTIF('Component Bill'!$D$7:$D$166,C23)=8,COUNTIF('Route Flow'!$C$7:$C$98,C23)=5),"BALANCED","OPEN")</x:f>
        <x:v>BALANCED</x:v>
      </x:c>
      <x:c r="S23" s="19" t="n">
        <x:f>COUNTIFS('Evidence Gates'!$D$7:$D$146,C23,'Evidence Gates'!$F$7:$F$146,1)</x:f>
        <x:v>0</x:v>
      </x:c>
      <x:c r="T23" s="22" t="n">
        <x:v>0</x:v>
      </x:c>
      <x:c r="U23" s="22" t="n">
        <x:v>0</x:v>
      </x:c>
      <x:c r="V23" s="22" t="n">
        <x:v>0</x:v>
      </x:c>
      <x:c r="W23" s="19" t="str">
        <x:f>IF(AND(R23="BALANCED",S23=Controls!$D$12,T23=Controls!$D$13,U23=Controls!$D$14,V23=0),"RELEASED","HOLD")</x:f>
        <x:v>HOLD</x:v>
      </x:c>
      <x:c r="X23" s="49" t="n">
        <x:v>11.175132761678244</x:v>
      </x:c>
      <x:c r="Y23" s="75"/>
      <x:c r="Z23" s="75"/>
    </x:row>
    <x:row r="24">
      <x:c r="C24" s="19" t="str">
        <x:v>MS-RT|B</x:v>
      </x:c>
      <x:c r="D24" s="19" t="str">
        <x:v>C3-RT-B-CF1</x:v>
      </x:c>
      <x:c r="E24" s="19" t="str">
        <x:v>MS-RT</x:v>
      </x:c>
      <x:c r="F24" s="19" t="str">
        <x:v>Microfactory mesh</x:v>
      </x:c>
      <x:c r="G24" s="31" t="n">
        <x:f>'Mass Access'!E24/1000</x:f>
        <x:v>58</x:v>
      </x:c>
      <x:c r="H24" s="31" t="n">
        <x:f>'Mass Access'!G24/1000</x:f>
        <x:v>72</x:v>
      </x:c>
      <x:c r="I24" s="32" t="n">
        <x:f>'Mass Access'!M24</x:f>
        <x:v>1.05</x:v>
      </x:c>
      <x:c r="J24" s="32" t="n">
        <x:f>Energy!Q24</x:f>
        <x:v>1.0064516129032257</x:v>
      </x:c>
      <x:c r="K24" s="32" t="n">
        <x:f>MIN('Route Flow'!O84:O88)</x:f>
        <x:v>1.04</x:v>
      </x:c>
      <x:c r="L24" s="32" t="n">
        <x:f>Labor!L24</x:f>
        <x:v>1.2345679012345678</x:v>
      </x:c>
      <x:c r="M24" s="32" t="n">
        <x:f>Safety!K24</x:f>
        <x:v>1.05</x:v>
      </x:c>
      <x:c r="N24" s="32" t="n">
        <x:f>Receivers!J24</x:f>
        <x:v>1.05</x:v>
      </x:c>
      <x:c r="O24" s="32" t="n">
        <x:f>Residual!N24</x:f>
        <x:v>1.05</x:v>
      </x:c>
      <x:c r="P24" s="32" t="n">
        <x:f>MIN(I24:O24)</x:f>
        <x:v>1.0064516129032257</x:v>
      </x:c>
      <x:c r="Q24" s="19" t="str">
        <x:f>INDEX($I$6:$O$6,1,MATCH(P24,I24:O24,0))</x:f>
        <x:v>Energy</x:v>
      </x:c>
      <x:c r="R24" s="19" t="str">
        <x:f>IF(AND(P24&gt;=Controls!$D$8,COUNTIF('Component Bill'!$D$7:$D$166,C24)=8,COUNTIF('Route Flow'!$C$7:$C$98,C24)=5),"BALANCED","OPEN")</x:f>
        <x:v>BALANCED</x:v>
      </x:c>
      <x:c r="S24" s="19" t="n">
        <x:f>COUNTIFS('Evidence Gates'!$D$7:$D$146,C24,'Evidence Gates'!$F$7:$F$146,1)</x:f>
        <x:v>0</x:v>
      </x:c>
      <x:c r="T24" s="22" t="n">
        <x:v>0</x:v>
      </x:c>
      <x:c r="U24" s="22" t="n">
        <x:v>0</x:v>
      </x:c>
      <x:c r="V24" s="22" t="n">
        <x:v>0</x:v>
      </x:c>
      <x:c r="W24" s="19" t="str">
        <x:f>IF(AND(R24="BALANCED",S24=Controls!$D$12,T24=Controls!$D$13,U24=Controls!$D$14,V24=0),"RELEASED","HOLD")</x:f>
        <x:v>HOLD</x:v>
      </x:c>
      <x:c r="X24" s="49" t="n">
        <x:v>11.175132761678244</x:v>
      </x:c>
      <x:c r="Y24" s="75"/>
      <x:c r="Z24" s="75"/>
    </x:row>
    <x:row r="25">
      <x:c r="C25" s="19" t="str">
        <x:v>MS-RT|C</x:v>
      </x:c>
      <x:c r="D25" s="19" t="str">
        <x:v>C3-RT-C-CF1</x:v>
      </x:c>
      <x:c r="E25" s="19" t="str">
        <x:v>MS-RT</x:v>
      </x:c>
      <x:c r="F25" s="19" t="str">
        <x:v>Exchange-remanufacture network</x:v>
      </x:c>
      <x:c r="G25" s="31" t="n">
        <x:f>'Mass Access'!E25/1000</x:f>
        <x:v>72</x:v>
      </x:c>
      <x:c r="H25" s="31" t="n">
        <x:f>'Mass Access'!G25/1000</x:f>
        <x:v>90</x:v>
      </x:c>
      <x:c r="I25" s="32" t="n">
        <x:f>'Mass Access'!M25</x:f>
        <x:v>1.05</x:v>
      </x:c>
      <x:c r="J25" s="32" t="n">
        <x:f>Energy!Q25</x:f>
        <x:v>1.0222222222222221</x:v>
      </x:c>
      <x:c r="K25" s="32" t="n">
        <x:f>MIN('Route Flow'!O89:O93)</x:f>
        <x:v>1.056</x:v>
      </x:c>
      <x:c r="L25" s="32" t="n">
        <x:f>Labor!L25</x:f>
        <x:v>1.2345679012345678</x:v>
      </x:c>
      <x:c r="M25" s="32" t="n">
        <x:f>Safety!K25</x:f>
        <x:v>1.05</x:v>
      </x:c>
      <x:c r="N25" s="32" t="n">
        <x:f>Receivers!J25</x:f>
        <x:v>1.05</x:v>
      </x:c>
      <x:c r="O25" s="32" t="n">
        <x:f>Residual!N25</x:f>
        <x:v>1.05</x:v>
      </x:c>
      <x:c r="P25" s="32" t="n">
        <x:f>MIN(I25:O25)</x:f>
        <x:v>1.0222222222222221</x:v>
      </x:c>
      <x:c r="Q25" s="19" t="str">
        <x:f>INDEX($I$6:$O$6,1,MATCH(P25,I25:O25,0))</x:f>
        <x:v>Energy</x:v>
      </x:c>
      <x:c r="R25" s="19" t="str">
        <x:f>IF(AND(P25&gt;=Controls!$D$8,COUNTIF('Component Bill'!$D$7:$D$166,C25)=8,COUNTIF('Route Flow'!$C$7:$C$98,C25)=5),"BALANCED","OPEN")</x:f>
        <x:v>BALANCED</x:v>
      </x:c>
      <x:c r="S25" s="19" t="n">
        <x:f>COUNTIFS('Evidence Gates'!$D$7:$D$146,C25,'Evidence Gates'!$F$7:$F$146,1)</x:f>
        <x:v>0</x:v>
      </x:c>
      <x:c r="T25" s="22" t="n">
        <x:v>0</x:v>
      </x:c>
      <x:c r="U25" s="22" t="n">
        <x:v>0</x:v>
      </x:c>
      <x:c r="V25" s="22" t="n">
        <x:v>0</x:v>
      </x:c>
      <x:c r="W25" s="19" t="str">
        <x:f>IF(AND(R25="BALANCED",S25=Controls!$D$12,T25=Controls!$D$13,U25=Controls!$D$14,V25=0),"RELEASED","HOLD")</x:f>
        <x:v>HOLD</x:v>
      </x:c>
      <x:c r="X25" s="49" t="n">
        <x:v>11.175132761678244</x:v>
      </x:c>
      <x:c r="Y25" s="75"/>
      <x:c r="Z25" s="75"/>
    </x:row>
    <x:row r="26">
      <x:c r="C26" s="23" t="str">
        <x:v>MS-RT|D</x:v>
      </x:c>
      <x:c r="D26" s="23" t="str">
        <x:v>C3-RT-D-CF1</x:v>
      </x:c>
      <x:c r="E26" s="23" t="str">
        <x:v>MS-RT</x:v>
      </x:c>
      <x:c r="F26" s="23" t="str">
        <x:v>Closed-loop sustainment fleet</x:v>
      </x:c>
      <x:c r="G26" s="33" t="n">
        <x:f>'Mass Access'!E26/1000</x:f>
        <x:v>84</x:v>
      </x:c>
      <x:c r="H26" s="33" t="n">
        <x:f>'Mass Access'!G26/1000</x:f>
        <x:v>104</x:v>
      </x:c>
      <x:c r="I26" s="34" t="n">
        <x:f>'Mass Access'!M26</x:f>
        <x:v>1.0384615384615385</x:v>
      </x:c>
      <x:c r="J26" s="34" t="n">
        <x:f>Energy!Q26</x:f>
        <x:v>1.013157894736842</x:v>
      </x:c>
      <x:c r="K26" s="34" t="n">
        <x:f>MIN('Route Flow'!O94:O98)</x:f>
        <x:v>1.072</x:v>
      </x:c>
      <x:c r="L26" s="34" t="n">
        <x:f>Labor!L26</x:f>
        <x:v>1.2345679012345678</x:v>
      </x:c>
      <x:c r="M26" s="34" t="n">
        <x:f>Safety!K26</x:f>
        <x:v>1.0502857142857143</x:v>
      </x:c>
      <x:c r="N26" s="34" t="n">
        <x:f>Receivers!J26</x:f>
        <x:v>1.05</x:v>
      </x:c>
      <x:c r="O26" s="34" t="n">
        <x:f>Residual!N26</x:f>
        <x:v>1.05</x:v>
      </x:c>
      <x:c r="P26" s="34" t="n">
        <x:f>MIN(I26:O26)</x:f>
        <x:v>1.013157894736842</x:v>
      </x:c>
      <x:c r="Q26" s="23" t="str">
        <x:f>INDEX($I$6:$O$6,1,MATCH(P26,I26:O26,0))</x:f>
        <x:v>Energy</x:v>
      </x:c>
      <x:c r="R26" s="23" t="str">
        <x:f>IF(AND(P26&gt;=Controls!$D$8,COUNTIF('Component Bill'!$D$7:$D$166,C26)=8,COUNTIF('Route Flow'!$C$7:$C$98,C26)=5),"BALANCED","OPEN")</x:f>
        <x:v>BALANCED</x:v>
      </x:c>
      <x:c r="S26" s="23" t="n">
        <x:f>COUNTIFS('Evidence Gates'!$D$7:$D$146,C26,'Evidence Gates'!$F$7:$F$146,1)</x:f>
        <x:v>0</x:v>
      </x:c>
      <x:c r="T26" s="24" t="n">
        <x:v>0</x:v>
      </x:c>
      <x:c r="U26" s="24" t="n">
        <x:v>0</x:v>
      </x:c>
      <x:c r="V26" s="24" t="n">
        <x:v>0</x:v>
      </x:c>
      <x:c r="W26" s="23" t="str">
        <x:f>IF(AND(R26="BALANCED",S26=Controls!$D$12,T26=Controls!$D$13,U26=Controls!$D$14,V26=0),"RELEASED","HOLD")</x:f>
        <x:v>HOLD</x:v>
      </x:c>
      <x:c r="X26" s="50" t="n">
        <x:v>11.175132761678244</x:v>
      </x:c>
      <x:c r="Y26" s="75"/>
      <x:c r="Z26" s="75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75"/>
      <x:c r="Z27" s="75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75"/>
      <x:c r="Z28" s="75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75"/>
      <x:c r="Z29" s="75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75"/>
      <x:c r="Z30" s="75"/>
    </x:row>
  </x:sheetData>
  <x:conditionalFormatting sqref="R7:R26">
    <x:cfRule type="containsText" dxfId="0" priority="1" operator="containsText" text="OPEN"/>
  </x:conditionalFormatting>
  <x:conditionalFormatting sqref="W7:W26">
    <x:cfRule type="containsText" dxfId="1" priority="2" operator="containsText" text="RELEASE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9" hidden="0" customWidth="1"/>
    <x:col min="4" max="4" width="19" hidden="0" customWidth="1"/>
    <x:col min="5" max="5" width="19" hidden="0" customWidth="1"/>
    <x:col min="6" max="6" width="27" hidden="0" customWidth="1"/>
    <x:col min="7" max="7" width="18" hidden="0" customWidth="1"/>
    <x:col min="8" max="8" width="18" hidden="0" customWidth="1"/>
    <x:col min="9" max="9" width="64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Configuration-owned dry-mass bill</x:v>
      </x:c>
      <x:c r="D2" s="2"/>
      <x:c r="E2" s="2"/>
      <x:c r="F2" s="2"/>
      <x:c r="G2" s="2"/>
      <x:c r="H2" s="2"/>
      <x:c r="I2" s="2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Eight blocks close one complete proof unit; values are acquisition hypotheses.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Record</x:v>
      </x:c>
      <x:c r="D6" s="18" t="str">
        <x:v>Root</x:v>
      </x:c>
      <x:c r="E6" s="18" t="str">
        <x:v>System</x:v>
      </x:c>
      <x:c r="F6" s="18" t="str">
        <x:v>Block</x:v>
      </x:c>
      <x:c r="G6" s="18" t="str">
        <x:v>Dry mass t</x:v>
      </x:c>
      <x:c r="H6" s="18" t="str">
        <x:v>Unit</x:v>
      </x:c>
      <x:c r="I6" s="18" t="str">
        <x:v>Design content</x:v>
      </x:c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MS-ET|A|01</x:v>
      </x:c>
      <x:c r="D7" s="19" t="str">
        <x:v>MS-ET|A</x:v>
      </x:c>
      <x:c r="E7" s="19" t="str">
        <x:v>MS-ET</x:v>
      </x:c>
      <x:c r="F7" s="19" t="str">
        <x:v>Mission mechanism</x:v>
      </x:c>
      <x:c r="G7" s="27" t="n">
        <x:v>24000</x:v>
      </x:c>
      <x:c r="H7" s="19" t="str">
        <x:v>controlled dry t</x:v>
      </x:c>
      <x:c r="I7" s="21" t="str">
        <x:v>Sectional hydrostatics, self-installing port and wet-to-dry custody</x:v>
      </x:c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MS-ET|A|02</x:v>
      </x:c>
      <x:c r="D8" s="19" t="str">
        <x:v>MS-ET|A</x:v>
      </x:c>
      <x:c r="E8" s="19" t="str">
        <x:v>MS-ET</x:v>
      </x:c>
      <x:c r="F8" s="19" t="str">
        <x:v>Access and mobility</x:v>
      </x:c>
      <x:c r="G8" s="27" t="n">
        <x:v>31000</x:v>
      </x:c>
      <x:c r="H8" s="19" t="str">
        <x:v>controlled dry t</x:v>
      </x:c>
      <x:c r="I8" s="21" t="str">
        <x:v>Configuration-owned physical block</x:v>
      </x:c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MS-ET|A|03</x:v>
      </x:c>
      <x:c r="D9" s="19" t="str">
        <x:v>MS-ET|A</x:v>
      </x:c>
      <x:c r="E9" s="19" t="str">
        <x:v>MS-ET</x:v>
      </x:c>
      <x:c r="F9" s="19" t="str">
        <x:v>Energy plant</x:v>
      </x:c>
      <x:c r="G9" s="27" t="n">
        <x:v>10000</x:v>
      </x:c>
      <x:c r="H9" s="19" t="str">
        <x:v>controlled dry t</x:v>
      </x:c>
      <x:c r="I9" s="21" t="str">
        <x:v>Configuration-owned physical block</x:v>
      </x:c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MS-ET|A|04</x:v>
      </x:c>
      <x:c r="D10" s="19" t="str">
        <x:v>MS-ET|A</x:v>
      </x:c>
      <x:c r="E10" s="19" t="str">
        <x:v>MS-ET</x:v>
      </x:c>
      <x:c r="F10" s="19" t="str">
        <x:v>Public interface</x:v>
      </x:c>
      <x:c r="G10" s="27" t="n">
        <x:v>9000</x:v>
      </x:c>
      <x:c r="H10" s="19" t="str">
        <x:v>controlled dry t</x:v>
      </x:c>
      <x:c r="I10" s="21" t="str">
        <x:v>Configuration-owned physical block</x:v>
      </x:c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MS-ET|A|05</x:v>
      </x:c>
      <x:c r="D11" s="19" t="str">
        <x:v>MS-ET|A</x:v>
      </x:c>
      <x:c r="E11" s="19" t="str">
        <x:v>MS-ET</x:v>
      </x:c>
      <x:c r="F11" s="19" t="str">
        <x:v>Control and evidence</x:v>
      </x:c>
      <x:c r="G11" s="27" t="n">
        <x:v>2000</x:v>
      </x:c>
      <x:c r="H11" s="19" t="str">
        <x:v>controlled dry t</x:v>
      </x:c>
      <x:c r="I11" s="21" t="str">
        <x:v>Configuration-owned physical block</x:v>
      </x:c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MS-ET|A|06</x:v>
      </x:c>
      <x:c r="D12" s="19" t="str">
        <x:v>MS-ET|A</x:v>
      </x:c>
      <x:c r="E12" s="19" t="str">
        <x:v>MS-ET</x:v>
      </x:c>
      <x:c r="F12" s="19" t="str">
        <x:v>Safety and habitability</x:v>
      </x:c>
      <x:c r="G12" s="27" t="n">
        <x:v>3000</x:v>
      </x:c>
      <x:c r="H12" s="19" t="str">
        <x:v>controlled dry t</x:v>
      </x:c>
      <x:c r="I12" s="21" t="str">
        <x:v>Configuration-owned physical block</x:v>
      </x:c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MS-ET|A|07</x:v>
      </x:c>
      <x:c r="D13" s="19" t="str">
        <x:v>MS-ET|A</x:v>
      </x:c>
      <x:c r="E13" s="19" t="str">
        <x:v>MS-ET</x:v>
      </x:c>
      <x:c r="F13" s="19" t="str">
        <x:v>Repair and reserve</x:v>
      </x:c>
      <x:c r="G13" s="27" t="n">
        <x:v>6000</x:v>
      </x:c>
      <x:c r="H13" s="19" t="str">
        <x:v>controlled dry t</x:v>
      </x:c>
      <x:c r="I13" s="21" t="str">
        <x:v>Configuration-owned physical block</x:v>
      </x:c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MS-ET|A|08</x:v>
      </x:c>
      <x:c r="D14" s="19" t="str">
        <x:v>MS-ET|A</x:v>
      </x:c>
      <x:c r="E14" s="19" t="str">
        <x:v>MS-ET</x:v>
      </x:c>
      <x:c r="F14" s="19" t="str">
        <x:v>Residual control</x:v>
      </x:c>
      <x:c r="G14" s="27" t="n">
        <x:v>4000</x:v>
      </x:c>
      <x:c r="H14" s="19" t="str">
        <x:v>controlled dry t</x:v>
      </x:c>
      <x:c r="I14" s="21" t="str">
        <x:v>Configuration-owned physical block</x:v>
      </x:c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MS-ET|B|01</x:v>
      </x:c>
      <x:c r="D15" s="19" t="str">
        <x:v>MS-ET|B</x:v>
      </x:c>
      <x:c r="E15" s="19" t="str">
        <x:v>MS-ET</x:v>
      </x:c>
      <x:c r="F15" s="19" t="str">
        <x:v>Mission mechanism</x:v>
      </x:c>
      <x:c r="G15" s="27" t="n">
        <x:v>26000</x:v>
      </x:c>
      <x:c r="H15" s="19" t="str">
        <x:v>controlled dry t</x:v>
      </x:c>
      <x:c r="I15" s="21" t="str">
        <x:v>Variable-buoyancy unloading without runway or receiver ballast</x:v>
      </x:c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MS-ET|B|02</x:v>
      </x:c>
      <x:c r="D16" s="19" t="str">
        <x:v>MS-ET|B</x:v>
      </x:c>
      <x:c r="E16" s="19" t="str">
        <x:v>MS-ET</x:v>
      </x:c>
      <x:c r="F16" s="19" t="str">
        <x:v>Access and mobility</x:v>
      </x:c>
      <x:c r="G16" s="27" t="n">
        <x:v>9000</x:v>
      </x:c>
      <x:c r="H16" s="19" t="str">
        <x:v>controlled dry t</x:v>
      </x:c>
      <x:c r="I16" s="21" t="str">
        <x:v>Configuration-owned physical block</x:v>
      </x:c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MS-ET|B|03</x:v>
      </x:c>
      <x:c r="D17" s="19" t="str">
        <x:v>MS-ET|B</x:v>
      </x:c>
      <x:c r="E17" s="19" t="str">
        <x:v>MS-ET</x:v>
      </x:c>
      <x:c r="F17" s="19" t="str">
        <x:v>Energy plant</x:v>
      </x:c>
      <x:c r="G17" s="27" t="n">
        <x:v>8000</x:v>
      </x:c>
      <x:c r="H17" s="19" t="str">
        <x:v>controlled dry t</x:v>
      </x:c>
      <x:c r="I17" s="21" t="str">
        <x:v>Configuration-owned physical block</x:v>
      </x:c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MS-ET|B|04</x:v>
      </x:c>
      <x:c r="D18" s="19" t="str">
        <x:v>MS-ET|B</x:v>
      </x:c>
      <x:c r="E18" s="19" t="str">
        <x:v>MS-ET</x:v>
      </x:c>
      <x:c r="F18" s="19" t="str">
        <x:v>Public interface</x:v>
      </x:c>
      <x:c r="G18" s="27" t="n">
        <x:v>5000</x:v>
      </x:c>
      <x:c r="H18" s="19" t="str">
        <x:v>controlled dry t</x:v>
      </x:c>
      <x:c r="I18" s="21" t="str">
        <x:v>Configuration-owned physical block</x:v>
      </x:c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MS-ET|B|05</x:v>
      </x:c>
      <x:c r="D19" s="19" t="str">
        <x:v>MS-ET|B</x:v>
      </x:c>
      <x:c r="E19" s="19" t="str">
        <x:v>MS-ET</x:v>
      </x:c>
      <x:c r="F19" s="19" t="str">
        <x:v>Control and evidence</x:v>
      </x:c>
      <x:c r="G19" s="27" t="n">
        <x:v>2000</x:v>
      </x:c>
      <x:c r="H19" s="19" t="str">
        <x:v>controlled dry t</x:v>
      </x:c>
      <x:c r="I19" s="21" t="str">
        <x:v>Configuration-owned physical block</x:v>
      </x:c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MS-ET|B|06</x:v>
      </x:c>
      <x:c r="D20" s="19" t="str">
        <x:v>MS-ET|B</x:v>
      </x:c>
      <x:c r="E20" s="19" t="str">
        <x:v>MS-ET</x:v>
      </x:c>
      <x:c r="F20" s="19" t="str">
        <x:v>Safety and habitability</x:v>
      </x:c>
      <x:c r="G20" s="27" t="n">
        <x:v>2000</x:v>
      </x:c>
      <x:c r="H20" s="19" t="str">
        <x:v>controlled dry t</x:v>
      </x:c>
      <x:c r="I20" s="21" t="str">
        <x:v>Configuration-owned physical block</x:v>
      </x:c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MS-ET|B|07</x:v>
      </x:c>
      <x:c r="D21" s="19" t="str">
        <x:v>MS-ET|B</x:v>
      </x:c>
      <x:c r="E21" s="19" t="str">
        <x:v>MS-ET</x:v>
      </x:c>
      <x:c r="F21" s="19" t="str">
        <x:v>Repair and reserve</x:v>
      </x:c>
      <x:c r="G21" s="27" t="n">
        <x:v>4000</x:v>
      </x:c>
      <x:c r="H21" s="19" t="str">
        <x:v>controlled dry t</x:v>
      </x:c>
      <x:c r="I21" s="21" t="str">
        <x:v>Configuration-owned physical block</x:v>
      </x:c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MS-ET|B|08</x:v>
      </x:c>
      <x:c r="D22" s="19" t="str">
        <x:v>MS-ET|B</x:v>
      </x:c>
      <x:c r="E22" s="19" t="str">
        <x:v>MS-ET</x:v>
      </x:c>
      <x:c r="F22" s="19" t="str">
        <x:v>Residual control</x:v>
      </x:c>
      <x:c r="G22" s="27" t="n">
        <x:v>2000</x:v>
      </x:c>
      <x:c r="H22" s="19" t="str">
        <x:v>controlled dry t</x:v>
      </x:c>
      <x:c r="I22" s="21" t="str">
        <x:v>Configuration-owned physical block</x:v>
      </x:c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MS-ET|C|01</x:v>
      </x:c>
      <x:c r="D23" s="19" t="str">
        <x:v>MS-ET|C</x:v>
      </x:c>
      <x:c r="E23" s="19" t="str">
        <x:v>MS-ET</x:v>
      </x:c>
      <x:c r="F23" s="19" t="str">
        <x:v>Mission mechanism</x:v>
      </x:c>
      <x:c r="G23" s="27" t="n">
        <x:v>20000</x:v>
      </x:c>
      <x:c r="H23" s="19" t="str">
        <x:v>controlled dry t</x:v>
      </x:c>
      <x:c r="I23" s="21" t="str">
        <x:v>Articulated carriers create bearing surface and crossings as they advance</x:v>
      </x:c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MS-ET|C|02</x:v>
      </x:c>
      <x:c r="D24" s="19" t="str">
        <x:v>MS-ET|C</x:v>
      </x:c>
      <x:c r="E24" s="19" t="str">
        <x:v>MS-ET</x:v>
      </x:c>
      <x:c r="F24" s="19" t="str">
        <x:v>Access and mobility</x:v>
      </x:c>
      <x:c r="G24" s="27" t="n">
        <x:v>25000</x:v>
      </x:c>
      <x:c r="H24" s="19" t="str">
        <x:v>controlled dry t</x:v>
      </x:c>
      <x:c r="I24" s="21" t="str">
        <x:v>Configuration-owned physical block</x:v>
      </x:c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MS-ET|C|03</x:v>
      </x:c>
      <x:c r="D25" s="19" t="str">
        <x:v>MS-ET|C</x:v>
      </x:c>
      <x:c r="E25" s="19" t="str">
        <x:v>MS-ET</x:v>
      </x:c>
      <x:c r="F25" s="19" t="str">
        <x:v>Energy plant</x:v>
      </x:c>
      <x:c r="G25" s="27" t="n">
        <x:v>9000</x:v>
      </x:c>
      <x:c r="H25" s="19" t="str">
        <x:v>controlled dry t</x:v>
      </x:c>
      <x:c r="I25" s="21" t="str">
        <x:v>Configuration-owned physical block</x:v>
      </x:c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19" t="str">
        <x:v>MS-ET|C|04</x:v>
      </x:c>
      <x:c r="D26" s="19" t="str">
        <x:v>MS-ET|C</x:v>
      </x:c>
      <x:c r="E26" s="19" t="str">
        <x:v>MS-ET</x:v>
      </x:c>
      <x:c r="F26" s="19" t="str">
        <x:v>Public interface</x:v>
      </x:c>
      <x:c r="G26" s="27" t="n">
        <x:v>7000</x:v>
      </x:c>
      <x:c r="H26" s="19" t="str">
        <x:v>controlled dry t</x:v>
      </x:c>
      <x:c r="I26" s="21" t="str">
        <x:v>Configuration-owned physical block</x:v>
      </x:c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19" t="str">
        <x:v>MS-ET|C|05</x:v>
      </x:c>
      <x:c r="D27" s="19" t="str">
        <x:v>MS-ET|C</x:v>
      </x:c>
      <x:c r="E27" s="19" t="str">
        <x:v>MS-ET</x:v>
      </x:c>
      <x:c r="F27" s="19" t="str">
        <x:v>Control and evidence</x:v>
      </x:c>
      <x:c r="G27" s="27" t="n">
        <x:v>2000</x:v>
      </x:c>
      <x:c r="H27" s="19" t="str">
        <x:v>controlled dry t</x:v>
      </x:c>
      <x:c r="I27" s="21" t="str">
        <x:v>Configuration-owned physical block</x:v>
      </x:c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19" t="str">
        <x:v>MS-ET|C|06</x:v>
      </x:c>
      <x:c r="D28" s="19" t="str">
        <x:v>MS-ET|C</x:v>
      </x:c>
      <x:c r="E28" s="19" t="str">
        <x:v>MS-ET</x:v>
      </x:c>
      <x:c r="F28" s="19" t="str">
        <x:v>Safety and habitability</x:v>
      </x:c>
      <x:c r="G28" s="27" t="n">
        <x:v>3000</x:v>
      </x:c>
      <x:c r="H28" s="19" t="str">
        <x:v>controlled dry t</x:v>
      </x:c>
      <x:c r="I28" s="21" t="str">
        <x:v>Configuration-owned physical block</x:v>
      </x:c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19" t="str">
        <x:v>MS-ET|C|07</x:v>
      </x:c>
      <x:c r="D29" s="19" t="str">
        <x:v>MS-ET|C</x:v>
      </x:c>
      <x:c r="E29" s="19" t="str">
        <x:v>MS-ET</x:v>
      </x:c>
      <x:c r="F29" s="19" t="str">
        <x:v>Repair and reserve</x:v>
      </x:c>
      <x:c r="G29" s="27" t="n">
        <x:v>5000</x:v>
      </x:c>
      <x:c r="H29" s="19" t="str">
        <x:v>controlled dry t</x:v>
      </x:c>
      <x:c r="I29" s="21" t="str">
        <x:v>Configuration-owned physical block</x:v>
      </x:c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19" t="str">
        <x:v>MS-ET|C|08</x:v>
      </x:c>
      <x:c r="D30" s="19" t="str">
        <x:v>MS-ET|C</x:v>
      </x:c>
      <x:c r="E30" s="19" t="str">
        <x:v>MS-ET</x:v>
      </x:c>
      <x:c r="F30" s="19" t="str">
        <x:v>Residual control</x:v>
      </x:c>
      <x:c r="G30" s="27" t="n">
        <x:v>3000</x:v>
      </x:c>
      <x:c r="H30" s="19" t="str">
        <x:v>controlled dry t</x:v>
      </x:c>
      <x:c r="I30" s="21" t="str">
        <x:v>Configuration-owned physical block</x:v>
      </x:c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C31" s="19" t="str">
        <x:v>MS-ET|D|01</x:v>
      </x:c>
      <x:c r="D31" s="19" t="str">
        <x:v>MS-ET|D</x:v>
      </x:c>
      <x:c r="E31" s="19" t="str">
        <x:v>MS-ET</x:v>
      </x:c>
      <x:c r="F31" s="19" t="str">
        <x:v>Mission mechanism</x:v>
      </x:c>
      <x:c r="G31" s="27" t="n">
        <x:v>16000</x:v>
      </x:c>
      <x:c r="H31" s="19" t="str">
        <x:v>controlled dry t</x:v>
      </x:c>
      <x:c r="I31" s="21" t="str">
        <x:v>Self-routing land-water cells carry sealed custody through node loss</x:v>
      </x:c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C32" s="19" t="str">
        <x:v>MS-ET|D|02</x:v>
      </x:c>
      <x:c r="D32" s="19" t="str">
        <x:v>MS-ET|D</x:v>
      </x:c>
      <x:c r="E32" s="19" t="str">
        <x:v>MS-ET</x:v>
      </x:c>
      <x:c r="F32" s="19" t="str">
        <x:v>Access and mobility</x:v>
      </x:c>
      <x:c r="G32" s="27" t="n">
        <x:v>12000</x:v>
      </x:c>
      <x:c r="H32" s="19" t="str">
        <x:v>controlled dry t</x:v>
      </x:c>
      <x:c r="I32" s="21" t="str">
        <x:v>Configuration-owned physical block</x:v>
      </x:c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C33" s="19" t="str">
        <x:v>MS-ET|D|03</x:v>
      </x:c>
      <x:c r="D33" s="19" t="str">
        <x:v>MS-ET|D</x:v>
      </x:c>
      <x:c r="E33" s="19" t="str">
        <x:v>MS-ET</x:v>
      </x:c>
      <x:c r="F33" s="19" t="str">
        <x:v>Energy plant</x:v>
      </x:c>
      <x:c r="G33" s="27" t="n">
        <x:v>8000</x:v>
      </x:c>
      <x:c r="H33" s="19" t="str">
        <x:v>controlled dry t</x:v>
      </x:c>
      <x:c r="I33" s="21" t="str">
        <x:v>Configuration-owned physical block</x:v>
      </x:c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C34" s="19" t="str">
        <x:v>MS-ET|D|04</x:v>
      </x:c>
      <x:c r="D34" s="19" t="str">
        <x:v>MS-ET|D</x:v>
      </x:c>
      <x:c r="E34" s="19" t="str">
        <x:v>MS-ET</x:v>
      </x:c>
      <x:c r="F34" s="19" t="str">
        <x:v>Public interface</x:v>
      </x:c>
      <x:c r="G34" s="27" t="n">
        <x:v>6000</x:v>
      </x:c>
      <x:c r="H34" s="19" t="str">
        <x:v>controlled dry t</x:v>
      </x:c>
      <x:c r="I34" s="21" t="str">
        <x:v>Configuration-owned physical block</x:v>
      </x:c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C35" s="19" t="str">
        <x:v>MS-ET|D|05</x:v>
      </x:c>
      <x:c r="D35" s="19" t="str">
        <x:v>MS-ET|D</x:v>
      </x:c>
      <x:c r="E35" s="19" t="str">
        <x:v>MS-ET</x:v>
      </x:c>
      <x:c r="F35" s="19" t="str">
        <x:v>Control and evidence</x:v>
      </x:c>
      <x:c r="G35" s="27" t="n">
        <x:v>3000</x:v>
      </x:c>
      <x:c r="H35" s="19" t="str">
        <x:v>controlled dry t</x:v>
      </x:c>
      <x:c r="I35" s="21" t="str">
        <x:v>Configuration-owned physical block</x:v>
      </x:c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C36" s="19" t="str">
        <x:v>MS-ET|D|06</x:v>
      </x:c>
      <x:c r="D36" s="19" t="str">
        <x:v>MS-ET|D</x:v>
      </x:c>
      <x:c r="E36" s="19" t="str">
        <x:v>MS-ET</x:v>
      </x:c>
      <x:c r="F36" s="19" t="str">
        <x:v>Safety and habitability</x:v>
      </x:c>
      <x:c r="G36" s="27" t="n">
        <x:v>2000</x:v>
      </x:c>
      <x:c r="H36" s="19" t="str">
        <x:v>controlled dry t</x:v>
      </x:c>
      <x:c r="I36" s="21" t="str">
        <x:v>Configuration-owned physical block</x:v>
      </x:c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C37" s="19" t="str">
        <x:v>MS-ET|D|07</x:v>
      </x:c>
      <x:c r="D37" s="19" t="str">
        <x:v>MS-ET|D</x:v>
      </x:c>
      <x:c r="E37" s="19" t="str">
        <x:v>MS-ET</x:v>
      </x:c>
      <x:c r="F37" s="19" t="str">
        <x:v>Repair and reserve</x:v>
      </x:c>
      <x:c r="G37" s="27" t="n">
        <x:v>3000</x:v>
      </x:c>
      <x:c r="H37" s="19" t="str">
        <x:v>controlled dry t</x:v>
      </x:c>
      <x:c r="I37" s="21" t="str">
        <x:v>Configuration-owned physical block</x:v>
      </x:c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C38" s="19" t="str">
        <x:v>MS-ET|D|08</x:v>
      </x:c>
      <x:c r="D38" s="19" t="str">
        <x:v>MS-ET|D</x:v>
      </x:c>
      <x:c r="E38" s="19" t="str">
        <x:v>MS-ET</x:v>
      </x:c>
      <x:c r="F38" s="19" t="str">
        <x:v>Residual control</x:v>
      </x:c>
      <x:c r="G38" s="27" t="n">
        <x:v>2000</x:v>
      </x:c>
      <x:c r="H38" s="19" t="str">
        <x:v>controlled dry t</x:v>
      </x:c>
      <x:c r="I38" s="21" t="str">
        <x:v>Configuration-owned physical block</x:v>
      </x:c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C39" s="19" t="str">
        <x:v>MS-CT|A|01</x:v>
      </x:c>
      <x:c r="D39" s="19" t="str">
        <x:v>MS-CT|A</x:v>
      </x:c>
      <x:c r="E39" s="19" t="str">
        <x:v>MS-CT</x:v>
      </x:c>
      <x:c r="F39" s="19" t="str">
        <x:v>Mission mechanism</x:v>
      </x:c>
      <x:c r="G39" s="27" t="n">
        <x:v>4000</x:v>
      </x:c>
      <x:c r="H39" s="19" t="str">
        <x:v>controlled dry t</x:v>
      </x:c>
      <x:c r="I39" s="21" t="str">
        <x:v>Offline public transactions preserve household state and authority</x:v>
      </x:c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C40" s="19" t="str">
        <x:v>MS-CT|A|02</x:v>
      </x:c>
      <x:c r="D40" s="19" t="str">
        <x:v>MS-CT|A</x:v>
      </x:c>
      <x:c r="E40" s="19" t="str">
        <x:v>MS-CT</x:v>
      </x:c>
      <x:c r="F40" s="19" t="str">
        <x:v>Access and mobility</x:v>
      </x:c>
      <x:c r="G40" s="27" t="n">
        <x:v>2500</x:v>
      </x:c>
      <x:c r="H40" s="19" t="str">
        <x:v>controlled dry t</x:v>
      </x:c>
      <x:c r="I40" s="21" t="str">
        <x:v>Configuration-owned physical block</x:v>
      </x:c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C41" s="19" t="str">
        <x:v>MS-CT|A|03</x:v>
      </x:c>
      <x:c r="D41" s="19" t="str">
        <x:v>MS-CT|A</x:v>
      </x:c>
      <x:c r="E41" s="19" t="str">
        <x:v>MS-CT</x:v>
      </x:c>
      <x:c r="F41" s="19" t="str">
        <x:v>Energy plant</x:v>
      </x:c>
      <x:c r="G41" s="27" t="n">
        <x:v>1800</x:v>
      </x:c>
      <x:c r="H41" s="19" t="str">
        <x:v>controlled dry t</x:v>
      </x:c>
      <x:c r="I41" s="21" t="str">
        <x:v>Configuration-owned physical block</x:v>
      </x:c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C42" s="19" t="str">
        <x:v>MS-CT|A|04</x:v>
      </x:c>
      <x:c r="D42" s="19" t="str">
        <x:v>MS-CT|A</x:v>
      </x:c>
      <x:c r="E42" s="19" t="str">
        <x:v>MS-CT</x:v>
      </x:c>
      <x:c r="F42" s="19" t="str">
        <x:v>Public interface</x:v>
      </x:c>
      <x:c r="G42" s="27" t="n">
        <x:v>2600</x:v>
      </x:c>
      <x:c r="H42" s="19" t="str">
        <x:v>controlled dry t</x:v>
      </x:c>
      <x:c r="I42" s="21" t="str">
        <x:v>Configuration-owned physical block</x:v>
      </x:c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C43" s="19" t="str">
        <x:v>MS-CT|A|05</x:v>
      </x:c>
      <x:c r="D43" s="19" t="str">
        <x:v>MS-CT|A</x:v>
      </x:c>
      <x:c r="E43" s="19" t="str">
        <x:v>MS-CT</x:v>
      </x:c>
      <x:c r="F43" s="19" t="str">
        <x:v>Control and evidence</x:v>
      </x:c>
      <x:c r="G43" s="27" t="n">
        <x:v>1200</x:v>
      </x:c>
      <x:c r="H43" s="19" t="str">
        <x:v>controlled dry t</x:v>
      </x:c>
      <x:c r="I43" s="21" t="str">
        <x:v>Configuration-owned physical block</x:v>
      </x:c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C44" s="19" t="str">
        <x:v>MS-CT|A|06</x:v>
      </x:c>
      <x:c r="D44" s="19" t="str">
        <x:v>MS-CT|A</x:v>
      </x:c>
      <x:c r="E44" s="19" t="str">
        <x:v>MS-CT</x:v>
      </x:c>
      <x:c r="F44" s="19" t="str">
        <x:v>Safety and habitability</x:v>
      </x:c>
      <x:c r="G44" s="27" t="n">
        <x:v>1200</x:v>
      </x:c>
      <x:c r="H44" s="19" t="str">
        <x:v>controlled dry t</x:v>
      </x:c>
      <x:c r="I44" s="21" t="str">
        <x:v>Configuration-owned physical block</x:v>
      </x:c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C45" s="19" t="str">
        <x:v>MS-CT|A|07</x:v>
      </x:c>
      <x:c r="D45" s="19" t="str">
        <x:v>MS-CT|A</x:v>
      </x:c>
      <x:c r="E45" s="19" t="str">
        <x:v>MS-CT</x:v>
      </x:c>
      <x:c r="F45" s="19" t="str">
        <x:v>Repair and reserve</x:v>
      </x:c>
      <x:c r="G45" s="27" t="n">
        <x:v>1600</x:v>
      </x:c>
      <x:c r="H45" s="19" t="str">
        <x:v>controlled dry t</x:v>
      </x:c>
      <x:c r="I45" s="21" t="str">
        <x:v>Configuration-owned physical block</x:v>
      </x:c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C46" s="19" t="str">
        <x:v>MS-CT|A|08</x:v>
      </x:c>
      <x:c r="D46" s="19" t="str">
        <x:v>MS-CT|A</x:v>
      </x:c>
      <x:c r="E46" s="19" t="str">
        <x:v>MS-CT</x:v>
      </x:c>
      <x:c r="F46" s="19" t="str">
        <x:v>Residual control</x:v>
      </x:c>
      <x:c r="G46" s="27" t="n">
        <x:v>1100</x:v>
      </x:c>
      <x:c r="H46" s="19" t="str">
        <x:v>controlled dry t</x:v>
      </x:c>
      <x:c r="I46" s="21" t="str">
        <x:v>Configuration-owned physical block</x:v>
      </x:c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C47" s="19" t="str">
        <x:v>MS-CT|B|01</x:v>
      </x:c>
      <x:c r="D47" s="19" t="str">
        <x:v>MS-CT|B</x:v>
      </x:c>
      <x:c r="E47" s="19" t="str">
        <x:v>MS-CT</x:v>
      </x:c>
      <x:c r="F47" s="19" t="str">
        <x:v>Mission mechanism</x:v>
      </x:c>
      <x:c r="G47" s="27" t="n">
        <x:v>7000</x:v>
      </x:c>
      <x:c r="H47" s="19" t="str">
        <x:v>controlled dry t</x:v>
      </x:c>
      <x:c r="I47" s="21" t="str">
        <x:v>Lawful aircraft and facade robots reach roofs, windows and voids</x:v>
      </x:c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C48" s="19" t="str">
        <x:v>MS-CT|B|02</x:v>
      </x:c>
      <x:c r="D48" s="19" t="str">
        <x:v>MS-CT|B</x:v>
      </x:c>
      <x:c r="E48" s="19" t="str">
        <x:v>MS-CT</x:v>
      </x:c>
      <x:c r="F48" s="19" t="str">
        <x:v>Access and mobility</x:v>
      </x:c>
      <x:c r="G48" s="27" t="n">
        <x:v>4000</x:v>
      </x:c>
      <x:c r="H48" s="19" t="str">
        <x:v>controlled dry t</x:v>
      </x:c>
      <x:c r="I48" s="21" t="str">
        <x:v>Configuration-owned physical block</x:v>
      </x:c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C49" s="19" t="str">
        <x:v>MS-CT|B|03</x:v>
      </x:c>
      <x:c r="D49" s="19" t="str">
        <x:v>MS-CT|B</x:v>
      </x:c>
      <x:c r="E49" s="19" t="str">
        <x:v>MS-CT</x:v>
      </x:c>
      <x:c r="F49" s="19" t="str">
        <x:v>Energy plant</x:v>
      </x:c>
      <x:c r="G49" s="27" t="n">
        <x:v>3000</x:v>
      </x:c>
      <x:c r="H49" s="19" t="str">
        <x:v>controlled dry t</x:v>
      </x:c>
      <x:c r="I49" s="21" t="str">
        <x:v>Configuration-owned physical block</x:v>
      </x:c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C50" s="19" t="str">
        <x:v>MS-CT|B|04</x:v>
      </x:c>
      <x:c r="D50" s="19" t="str">
        <x:v>MS-CT|B</x:v>
      </x:c>
      <x:c r="E50" s="19" t="str">
        <x:v>MS-CT</x:v>
      </x:c>
      <x:c r="F50" s="19" t="str">
        <x:v>Public interface</x:v>
      </x:c>
      <x:c r="G50" s="27" t="n">
        <x:v>2200</x:v>
      </x:c>
      <x:c r="H50" s="19" t="str">
        <x:v>controlled dry t</x:v>
      </x:c>
      <x:c r="I50" s="21" t="str">
        <x:v>Configuration-owned physical block</x:v>
      </x:c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C51" s="19" t="str">
        <x:v>MS-CT|B|05</x:v>
      </x:c>
      <x:c r="D51" s="19" t="str">
        <x:v>MS-CT|B</x:v>
      </x:c>
      <x:c r="E51" s="19" t="str">
        <x:v>MS-CT</x:v>
      </x:c>
      <x:c r="F51" s="19" t="str">
        <x:v>Control and evidence</x:v>
      </x:c>
      <x:c r="G51" s="27" t="n">
        <x:v>1400</x:v>
      </x:c>
      <x:c r="H51" s="19" t="str">
        <x:v>controlled dry t</x:v>
      </x:c>
      <x:c r="I51" s="21" t="str">
        <x:v>Configuration-owned physical block</x:v>
      </x:c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C52" s="19" t="str">
        <x:v>MS-CT|B|06</x:v>
      </x:c>
      <x:c r="D52" s="19" t="str">
        <x:v>MS-CT|B</x:v>
      </x:c>
      <x:c r="E52" s="19" t="str">
        <x:v>MS-CT</x:v>
      </x:c>
      <x:c r="F52" s="19" t="str">
        <x:v>Safety and habitability</x:v>
      </x:c>
      <x:c r="G52" s="27" t="n">
        <x:v>1200</x:v>
      </x:c>
      <x:c r="H52" s="19" t="str">
        <x:v>controlled dry t</x:v>
      </x:c>
      <x:c r="I52" s="21" t="str">
        <x:v>Configuration-owned physical block</x:v>
      </x:c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C53" s="19" t="str">
        <x:v>MS-CT|B|07</x:v>
      </x:c>
      <x:c r="D53" s="19" t="str">
        <x:v>MS-CT|B</x:v>
      </x:c>
      <x:c r="E53" s="19" t="str">
        <x:v>MS-CT</x:v>
      </x:c>
      <x:c r="F53" s="19" t="str">
        <x:v>Repair and reserve</x:v>
      </x:c>
      <x:c r="G53" s="27" t="n">
        <x:v>1400</x:v>
      </x:c>
      <x:c r="H53" s="19" t="str">
        <x:v>controlled dry t</x:v>
      </x:c>
      <x:c r="I53" s="21" t="str">
        <x:v>Configuration-owned physical block</x:v>
      </x:c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C54" s="19" t="str">
        <x:v>MS-CT|B|08</x:v>
      </x:c>
      <x:c r="D54" s="19" t="str">
        <x:v>MS-CT|B</x:v>
      </x:c>
      <x:c r="E54" s="19" t="str">
        <x:v>MS-CT</x:v>
      </x:c>
      <x:c r="F54" s="19" t="str">
        <x:v>Residual control</x:v>
      </x:c>
      <x:c r="G54" s="27" t="n">
        <x:v>800</x:v>
      </x:c>
      <x:c r="H54" s="19" t="str">
        <x:v>controlled dry t</x:v>
      </x:c>
      <x:c r="I54" s="21" t="str">
        <x:v>Configuration-owned physical block</x:v>
      </x:c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C55" s="19" t="str">
        <x:v>MS-CT|C|01</x:v>
      </x:c>
      <x:c r="D55" s="19" t="str">
        <x:v>MS-CT|C</x:v>
      </x:c>
      <x:c r="E55" s="19" t="str">
        <x:v>MS-CT</x:v>
      </x:c>
      <x:c r="F55" s="19" t="str">
        <x:v>Mission mechanism</x:v>
      </x:c>
      <x:c r="G55" s="27" t="n">
        <x:v>8500</x:v>
      </x:c>
      <x:c r="H55" s="19" t="str">
        <x:v>controlled dry t</x:v>
      </x:c>
      <x:c r="I55" s="21" t="str">
        <x:v>Robotic trunks insert isolated utilities into occupied damaged buildings</x:v>
      </x:c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C56" s="19" t="str">
        <x:v>MS-CT|C|02</x:v>
      </x:c>
      <x:c r="D56" s="19" t="str">
        <x:v>MS-CT|C</x:v>
      </x:c>
      <x:c r="E56" s="19" t="str">
        <x:v>MS-CT</x:v>
      </x:c>
      <x:c r="F56" s="19" t="str">
        <x:v>Access and mobility</x:v>
      </x:c>
      <x:c r="G56" s="27" t="n">
        <x:v>5500</x:v>
      </x:c>
      <x:c r="H56" s="19" t="str">
        <x:v>controlled dry t</x:v>
      </x:c>
      <x:c r="I56" s="21" t="str">
        <x:v>Configuration-owned physical block</x:v>
      </x:c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C57" s="19" t="str">
        <x:v>MS-CT|C|03</x:v>
      </x:c>
      <x:c r="D57" s="19" t="str">
        <x:v>MS-CT|C</x:v>
      </x:c>
      <x:c r="E57" s="19" t="str">
        <x:v>MS-CT</x:v>
      </x:c>
      <x:c r="F57" s="19" t="str">
        <x:v>Energy plant</x:v>
      </x:c>
      <x:c r="G57" s="27" t="n">
        <x:v>4000</x:v>
      </x:c>
      <x:c r="H57" s="19" t="str">
        <x:v>controlled dry t</x:v>
      </x:c>
      <x:c r="I57" s="21" t="str">
        <x:v>Configuration-owned physical block</x:v>
      </x:c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C58" s="19" t="str">
        <x:v>MS-CT|C|04</x:v>
      </x:c>
      <x:c r="D58" s="19" t="str">
        <x:v>MS-CT|C</x:v>
      </x:c>
      <x:c r="E58" s="19" t="str">
        <x:v>MS-CT</x:v>
      </x:c>
      <x:c r="F58" s="19" t="str">
        <x:v>Public interface</x:v>
      </x:c>
      <x:c r="G58" s="27" t="n">
        <x:v>3000</x:v>
      </x:c>
      <x:c r="H58" s="19" t="str">
        <x:v>controlled dry t</x:v>
      </x:c>
      <x:c r="I58" s="21" t="str">
        <x:v>Configuration-owned physical block</x:v>
      </x:c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C59" s="19" t="str">
        <x:v>MS-CT|C|05</x:v>
      </x:c>
      <x:c r="D59" s="19" t="str">
        <x:v>MS-CT|C</x:v>
      </x:c>
      <x:c r="E59" s="19" t="str">
        <x:v>MS-CT</x:v>
      </x:c>
      <x:c r="F59" s="19" t="str">
        <x:v>Control and evidence</x:v>
      </x:c>
      <x:c r="G59" s="27" t="n">
        <x:v>1300</x:v>
      </x:c>
      <x:c r="H59" s="19" t="str">
        <x:v>controlled dry t</x:v>
      </x:c>
      <x:c r="I59" s="21" t="str">
        <x:v>Configuration-owned physical block</x:v>
      </x:c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C60" s="19" t="str">
        <x:v>MS-CT|C|06</x:v>
      </x:c>
      <x:c r="D60" s="19" t="str">
        <x:v>MS-CT|C</x:v>
      </x:c>
      <x:c r="E60" s="19" t="str">
        <x:v>MS-CT</x:v>
      </x:c>
      <x:c r="F60" s="19" t="str">
        <x:v>Safety and habitability</x:v>
      </x:c>
      <x:c r="G60" s="27" t="n">
        <x:v>1500</x:v>
      </x:c>
      <x:c r="H60" s="19" t="str">
        <x:v>controlled dry t</x:v>
      </x:c>
      <x:c r="I60" s="21" t="str">
        <x:v>Configuration-owned physical block</x:v>
      </x:c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C61" s="19" t="str">
        <x:v>MS-CT|C|07</x:v>
      </x:c>
      <x:c r="D61" s="19" t="str">
        <x:v>MS-CT|C</x:v>
      </x:c>
      <x:c r="E61" s="19" t="str">
        <x:v>MS-CT</x:v>
      </x:c>
      <x:c r="F61" s="19" t="str">
        <x:v>Repair and reserve</x:v>
      </x:c>
      <x:c r="G61" s="27" t="n">
        <x:v>1900</x:v>
      </x:c>
      <x:c r="H61" s="19" t="str">
        <x:v>controlled dry t</x:v>
      </x:c>
      <x:c r="I61" s="21" t="str">
        <x:v>Configuration-owned physical block</x:v>
      </x:c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C62" s="19" t="str">
        <x:v>MS-CT|C|08</x:v>
      </x:c>
      <x:c r="D62" s="19" t="str">
        <x:v>MS-CT|C</x:v>
      </x:c>
      <x:c r="E62" s="19" t="str">
        <x:v>MS-CT</x:v>
      </x:c>
      <x:c r="F62" s="19" t="str">
        <x:v>Residual control</x:v>
      </x:c>
      <x:c r="G62" s="27" t="n">
        <x:v>1300</x:v>
      </x:c>
      <x:c r="H62" s="19" t="str">
        <x:v>controlled dry t</x:v>
      </x:c>
      <x:c r="I62" s="21" t="str">
        <x:v>Configuration-owned physical block</x:v>
      </x:c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C63" s="19" t="str">
        <x:v>MS-CT|D|01</x:v>
      </x:c>
      <x:c r="D63" s="19" t="str">
        <x:v>MS-CT|D</x:v>
      </x:c>
      <x:c r="E63" s="19" t="str">
        <x:v>MS-CT</x:v>
      </x:c>
      <x:c r="F63" s="19" t="str">
        <x:v>Mission mechanism</x:v>
      </x:c>
      <x:c r="G63" s="27" t="n">
        <x:v>6000</x:v>
      </x:c>
      <x:c r="H63" s="19" t="str">
        <x:v>controlled dry t</x:v>
      </x:c>
      <x:c r="I63" s="21" t="str">
        <x:v>Heterogeneous small machines perform last-building work under local veto</x:v>
      </x:c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C64" s="19" t="str">
        <x:v>MS-CT|D|02</x:v>
      </x:c>
      <x:c r="D64" s="19" t="str">
        <x:v>MS-CT|D</x:v>
      </x:c>
      <x:c r="E64" s="19" t="str">
        <x:v>MS-CT</x:v>
      </x:c>
      <x:c r="F64" s="19" t="str">
        <x:v>Access and mobility</x:v>
      </x:c>
      <x:c r="G64" s="27" t="n">
        <x:v>3500</x:v>
      </x:c>
      <x:c r="H64" s="19" t="str">
        <x:v>controlled dry t</x:v>
      </x:c>
      <x:c r="I64" s="21" t="str">
        <x:v>Configuration-owned physical block</x:v>
      </x:c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C65" s="19" t="str">
        <x:v>MS-CT|D|03</x:v>
      </x:c>
      <x:c r="D65" s="19" t="str">
        <x:v>MS-CT|D</x:v>
      </x:c>
      <x:c r="E65" s="19" t="str">
        <x:v>MS-CT</x:v>
      </x:c>
      <x:c r="F65" s="19" t="str">
        <x:v>Energy plant</x:v>
      </x:c>
      <x:c r="G65" s="27" t="n">
        <x:v>2800</x:v>
      </x:c>
      <x:c r="H65" s="19" t="str">
        <x:v>controlled dry t</x:v>
      </x:c>
      <x:c r="I65" s="21" t="str">
        <x:v>Configuration-owned physical block</x:v>
      </x:c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C66" s="19" t="str">
        <x:v>MS-CT|D|04</x:v>
      </x:c>
      <x:c r="D66" s="19" t="str">
        <x:v>MS-CT|D</x:v>
      </x:c>
      <x:c r="E66" s="19" t="str">
        <x:v>MS-CT</x:v>
      </x:c>
      <x:c r="F66" s="19" t="str">
        <x:v>Public interface</x:v>
      </x:c>
      <x:c r="G66" s="27" t="n">
        <x:v>2400</x:v>
      </x:c>
      <x:c r="H66" s="19" t="str">
        <x:v>controlled dry t</x:v>
      </x:c>
      <x:c r="I66" s="21" t="str">
        <x:v>Configuration-owned physical block</x:v>
      </x:c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C67" s="19" t="str">
        <x:v>MS-CT|D|05</x:v>
      </x:c>
      <x:c r="D67" s="19" t="str">
        <x:v>MS-CT|D</x:v>
      </x:c>
      <x:c r="E67" s="19" t="str">
        <x:v>MS-CT</x:v>
      </x:c>
      <x:c r="F67" s="19" t="str">
        <x:v>Control and evidence</x:v>
      </x:c>
      <x:c r="G67" s="27" t="n">
        <x:v>1400</x:v>
      </x:c>
      <x:c r="H67" s="19" t="str">
        <x:v>controlled dry t</x:v>
      </x:c>
      <x:c r="I67" s="21" t="str">
        <x:v>Configuration-owned physical block</x:v>
      </x:c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C68" s="19" t="str">
        <x:v>MS-CT|D|06</x:v>
      </x:c>
      <x:c r="D68" s="19" t="str">
        <x:v>MS-CT|D</x:v>
      </x:c>
      <x:c r="E68" s="19" t="str">
        <x:v>MS-CT</x:v>
      </x:c>
      <x:c r="F68" s="19" t="str">
        <x:v>Safety and habitability</x:v>
      </x:c>
      <x:c r="G68" s="27" t="n">
        <x:v>1000</x:v>
      </x:c>
      <x:c r="H68" s="19" t="str">
        <x:v>controlled dry t</x:v>
      </x:c>
      <x:c r="I68" s="21" t="str">
        <x:v>Configuration-owned physical block</x:v>
      </x:c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C69" s="19" t="str">
        <x:v>MS-CT|D|07</x:v>
      </x:c>
      <x:c r="D69" s="19" t="str">
        <x:v>MS-CT|D</x:v>
      </x:c>
      <x:c r="E69" s="19" t="str">
        <x:v>MS-CT</x:v>
      </x:c>
      <x:c r="F69" s="19" t="str">
        <x:v>Repair and reserve</x:v>
      </x:c>
      <x:c r="G69" s="27" t="n">
        <x:v>1200</x:v>
      </x:c>
      <x:c r="H69" s="19" t="str">
        <x:v>controlled dry t</x:v>
      </x:c>
      <x:c r="I69" s="21" t="str">
        <x:v>Configuration-owned physical block</x:v>
      </x:c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C70" s="19" t="str">
        <x:v>MS-CT|D|08</x:v>
      </x:c>
      <x:c r="D70" s="19" t="str">
        <x:v>MS-CT|D</x:v>
      </x:c>
      <x:c r="E70" s="19" t="str">
        <x:v>MS-CT</x:v>
      </x:c>
      <x:c r="F70" s="19" t="str">
        <x:v>Residual control</x:v>
      </x:c>
      <x:c r="G70" s="27" t="n">
        <x:v>700</x:v>
      </x:c>
      <x:c r="H70" s="19" t="str">
        <x:v>controlled dry t</x:v>
      </x:c>
      <x:c r="I70" s="21" t="str">
        <x:v>Configuration-owned physical block</x:v>
      </x:c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C71" s="19" t="str">
        <x:v>MS-HC|A|01</x:v>
      </x:c>
      <x:c r="D71" s="19" t="str">
        <x:v>MS-HC|A</x:v>
      </x:c>
      <x:c r="E71" s="19" t="str">
        <x:v>MS-HC</x:v>
      </x:c>
      <x:c r="F71" s="19" t="str">
        <x:v>Mission mechanism</x:v>
      </x:c>
      <x:c r="G71" s="27" t="n">
        <x:v>16000</x:v>
      </x:c>
      <x:c r="H71" s="19" t="str">
        <x:v>controlled dry t</x:v>
      </x:c>
      <x:c r="I71" s="21" t="str">
        <x:v>All-weather sensing and precision delivery outrun fire, smoke and heat</x:v>
      </x:c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C72" s="19" t="str">
        <x:v>MS-HC|A|02</x:v>
      </x:c>
      <x:c r="D72" s="19" t="str">
        <x:v>MS-HC|A</x:v>
      </x:c>
      <x:c r="E72" s="19" t="str">
        <x:v>MS-HC</x:v>
      </x:c>
      <x:c r="F72" s="19" t="str">
        <x:v>Access and mobility</x:v>
      </x:c>
      <x:c r="G72" s="27" t="n">
        <x:v>7500</x:v>
      </x:c>
      <x:c r="H72" s="19" t="str">
        <x:v>controlled dry t</x:v>
      </x:c>
      <x:c r="I72" s="21" t="str">
        <x:v>Configuration-owned physical block</x:v>
      </x:c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C73" s="19" t="str">
        <x:v>MS-HC|A|03</x:v>
      </x:c>
      <x:c r="D73" s="19" t="str">
        <x:v>MS-HC|A</x:v>
      </x:c>
      <x:c r="E73" s="19" t="str">
        <x:v>MS-HC</x:v>
      </x:c>
      <x:c r="F73" s="19" t="str">
        <x:v>Energy plant</x:v>
      </x:c>
      <x:c r="G73" s="27" t="n">
        <x:v>6500</x:v>
      </x:c>
      <x:c r="H73" s="19" t="str">
        <x:v>controlled dry t</x:v>
      </x:c>
      <x:c r="I73" s="21" t="str">
        <x:v>Configuration-owned physical block</x:v>
      </x:c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C74" s="19" t="str">
        <x:v>MS-HC|A|04</x:v>
      </x:c>
      <x:c r="D74" s="19" t="str">
        <x:v>MS-HC|A</x:v>
      </x:c>
      <x:c r="E74" s="19" t="str">
        <x:v>MS-HC</x:v>
      </x:c>
      <x:c r="F74" s="19" t="str">
        <x:v>Public interface</x:v>
      </x:c>
      <x:c r="G74" s="27" t="n">
        <x:v>3500</x:v>
      </x:c>
      <x:c r="H74" s="19" t="str">
        <x:v>controlled dry t</x:v>
      </x:c>
      <x:c r="I74" s="21" t="str">
        <x:v>Configuration-owned physical block</x:v>
      </x:c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C75" s="19" t="str">
        <x:v>MS-HC|A|05</x:v>
      </x:c>
      <x:c r="D75" s="19" t="str">
        <x:v>MS-HC|A</x:v>
      </x:c>
      <x:c r="E75" s="19" t="str">
        <x:v>MS-HC</x:v>
      </x:c>
      <x:c r="F75" s="19" t="str">
        <x:v>Control and evidence</x:v>
      </x:c>
      <x:c r="G75" s="27" t="n">
        <x:v>1800</x:v>
      </x:c>
      <x:c r="H75" s="19" t="str">
        <x:v>controlled dry t</x:v>
      </x:c>
      <x:c r="I75" s="21" t="str">
        <x:v>Configuration-owned physical block</x:v>
      </x:c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C76" s="19" t="str">
        <x:v>MS-HC|A|06</x:v>
      </x:c>
      <x:c r="D76" s="19" t="str">
        <x:v>MS-HC|A</x:v>
      </x:c>
      <x:c r="E76" s="19" t="str">
        <x:v>MS-HC</x:v>
      </x:c>
      <x:c r="F76" s="19" t="str">
        <x:v>Safety and habitability</x:v>
      </x:c>
      <x:c r="G76" s="27" t="n">
        <x:v>2300</x:v>
      </x:c>
      <x:c r="H76" s="19" t="str">
        <x:v>controlled dry t</x:v>
      </x:c>
      <x:c r="I76" s="21" t="str">
        <x:v>Configuration-owned physical block</x:v>
      </x:c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C77" s="19" t="str">
        <x:v>MS-HC|A|07</x:v>
      </x:c>
      <x:c r="D77" s="19" t="str">
        <x:v>MS-HC|A</x:v>
      </x:c>
      <x:c r="E77" s="19" t="str">
        <x:v>MS-HC</x:v>
      </x:c>
      <x:c r="F77" s="19" t="str">
        <x:v>Repair and reserve</x:v>
      </x:c>
      <x:c r="G77" s="27" t="n">
        <x:v>3800</x:v>
      </x:c>
      <x:c r="H77" s="19" t="str">
        <x:v>controlled dry t</x:v>
      </x:c>
      <x:c r="I77" s="21" t="str">
        <x:v>Configuration-owned physical block</x:v>
      </x:c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C78" s="19" t="str">
        <x:v>MS-HC|A|08</x:v>
      </x:c>
      <x:c r="D78" s="19" t="str">
        <x:v>MS-HC|A</x:v>
      </x:c>
      <x:c r="E78" s="19" t="str">
        <x:v>MS-HC</x:v>
      </x:c>
      <x:c r="F78" s="19" t="str">
        <x:v>Residual control</x:v>
      </x:c>
      <x:c r="G78" s="27" t="n">
        <x:v>2600</x:v>
      </x:c>
      <x:c r="H78" s="19" t="str">
        <x:v>controlled dry t</x:v>
      </x:c>
      <x:c r="I78" s="21" t="str">
        <x:v>Configuration-owned physical block</x:v>
      </x:c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C79" s="19" t="str">
        <x:v>MS-HC|B|01</x:v>
      </x:c>
      <x:c r="D79" s="19" t="str">
        <x:v>MS-HC|B</x:v>
      </x:c>
      <x:c r="E79" s="19" t="str">
        <x:v>MS-HC</x:v>
      </x:c>
      <x:c r="F79" s="19" t="str">
        <x:v>Mission mechanism</x:v>
      </x:c>
      <x:c r="G79" s="27" t="n">
        <x:v>16000</x:v>
      </x:c>
      <x:c r="H79" s="19" t="str">
        <x:v>controlled dry t</x:v>
      </x:c>
      <x:c r="I79" s="21" t="str">
        <x:v>Debris-tolerant pumps, active manifolds and breach arrest act as one lattice</x:v>
      </x:c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C80" s="19" t="str">
        <x:v>MS-HC|B|02</x:v>
      </x:c>
      <x:c r="D80" s="19" t="str">
        <x:v>MS-HC|B</x:v>
      </x:c>
      <x:c r="E80" s="19" t="str">
        <x:v>MS-HC</x:v>
      </x:c>
      <x:c r="F80" s="19" t="str">
        <x:v>Access and mobility</x:v>
      </x:c>
      <x:c r="G80" s="27" t="n">
        <x:v>12000</x:v>
      </x:c>
      <x:c r="H80" s="19" t="str">
        <x:v>controlled dry t</x:v>
      </x:c>
      <x:c r="I80" s="21" t="str">
        <x:v>Configuration-owned physical block</x:v>
      </x:c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C81" s="19" t="str">
        <x:v>MS-HC|B|03</x:v>
      </x:c>
      <x:c r="D81" s="19" t="str">
        <x:v>MS-HC|B</x:v>
      </x:c>
      <x:c r="E81" s="19" t="str">
        <x:v>MS-HC</x:v>
      </x:c>
      <x:c r="F81" s="19" t="str">
        <x:v>Energy plant</x:v>
      </x:c>
      <x:c r="G81" s="27" t="n">
        <x:v>9000</x:v>
      </x:c>
      <x:c r="H81" s="19" t="str">
        <x:v>controlled dry t</x:v>
      </x:c>
      <x:c r="I81" s="21" t="str">
        <x:v>Configuration-owned physical block</x:v>
      </x:c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C82" s="19" t="str">
        <x:v>MS-HC|B|04</x:v>
      </x:c>
      <x:c r="D82" s="19" t="str">
        <x:v>MS-HC|B</x:v>
      </x:c>
      <x:c r="E82" s="19" t="str">
        <x:v>MS-HC</x:v>
      </x:c>
      <x:c r="F82" s="19" t="str">
        <x:v>Public interface</x:v>
      </x:c>
      <x:c r="G82" s="27" t="n">
        <x:v>6500</x:v>
      </x:c>
      <x:c r="H82" s="19" t="str">
        <x:v>controlled dry t</x:v>
      </x:c>
      <x:c r="I82" s="21" t="str">
        <x:v>Configuration-owned physical block</x:v>
      </x:c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C83" s="19" t="str">
        <x:v>MS-HC|B|05</x:v>
      </x:c>
      <x:c r="D83" s="19" t="str">
        <x:v>MS-HC|B</x:v>
      </x:c>
      <x:c r="E83" s="19" t="str">
        <x:v>MS-HC</x:v>
      </x:c>
      <x:c r="F83" s="19" t="str">
        <x:v>Control and evidence</x:v>
      </x:c>
      <x:c r="G83" s="27" t="n">
        <x:v>2500</x:v>
      </x:c>
      <x:c r="H83" s="19" t="str">
        <x:v>controlled dry t</x:v>
      </x:c>
      <x:c r="I83" s="21" t="str">
        <x:v>Configuration-owned physical block</x:v>
      </x:c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C84" s="19" t="str">
        <x:v>MS-HC|B|06</x:v>
      </x:c>
      <x:c r="D84" s="19" t="str">
        <x:v>MS-HC|B</x:v>
      </x:c>
      <x:c r="E84" s="19" t="str">
        <x:v>MS-HC</x:v>
      </x:c>
      <x:c r="F84" s="19" t="str">
        <x:v>Safety and habitability</x:v>
      </x:c>
      <x:c r="G84" s="27" t="n">
        <x:v>3500</x:v>
      </x:c>
      <x:c r="H84" s="19" t="str">
        <x:v>controlled dry t</x:v>
      </x:c>
      <x:c r="I84" s="21" t="str">
        <x:v>Configuration-owned physical block</x:v>
      </x:c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C85" s="19" t="str">
        <x:v>MS-HC|B|07</x:v>
      </x:c>
      <x:c r="D85" s="19" t="str">
        <x:v>MS-HC|B</x:v>
      </x:c>
      <x:c r="E85" s="19" t="str">
        <x:v>MS-HC</x:v>
      </x:c>
      <x:c r="F85" s="19" t="str">
        <x:v>Repair and reserve</x:v>
      </x:c>
      <x:c r="G85" s="27" t="n">
        <x:v>6500</x:v>
      </x:c>
      <x:c r="H85" s="19" t="str">
        <x:v>controlled dry t</x:v>
      </x:c>
      <x:c r="I85" s="21" t="str">
        <x:v>Configuration-owned physical block</x:v>
      </x:c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C86" s="19" t="str">
        <x:v>MS-HC|B|08</x:v>
      </x:c>
      <x:c r="D86" s="19" t="str">
        <x:v>MS-HC|B</x:v>
      </x:c>
      <x:c r="E86" s="19" t="str">
        <x:v>MS-HC</x:v>
      </x:c>
      <x:c r="F86" s="19" t="str">
        <x:v>Residual control</x:v>
      </x:c>
      <x:c r="G86" s="27" t="n">
        <x:v>5000</x:v>
      </x:c>
      <x:c r="H86" s="19" t="str">
        <x:v>controlled dry t</x:v>
      </x:c>
      <x:c r="I86" s="21" t="str">
        <x:v>Configuration-owned physical block</x:v>
      </x:c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C87" s="19" t="str">
        <x:v>MS-HC|C|01</x:v>
      </x:c>
      <x:c r="D87" s="19" t="str">
        <x:v>MS-HC|C</x:v>
      </x:c>
      <x:c r="E87" s="19" t="str">
        <x:v>MS-HC</x:v>
      </x:c>
      <x:c r="F87" s="19" t="str">
        <x:v>Mission mechanism</x:v>
      </x:c>
      <x:c r="G87" s="27" t="n">
        <x:v>15000</x:v>
      </x:c>
      <x:c r="H87" s="19" t="str">
        <x:v>controlled dry t</x:v>
      </x:c>
      <x:c r="I87" s="21" t="str">
        <x:v>Optionally crewed earthworks continue through smoke, mud and aftershock</x:v>
      </x:c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C88" s="19" t="str">
        <x:v>MS-HC|C|02</x:v>
      </x:c>
      <x:c r="D88" s="19" t="str">
        <x:v>MS-HC|C</x:v>
      </x:c>
      <x:c r="E88" s="19" t="str">
        <x:v>MS-HC</x:v>
      </x:c>
      <x:c r="F88" s="19" t="str">
        <x:v>Access and mobility</x:v>
      </x:c>
      <x:c r="G88" s="27" t="n">
        <x:v>14000</x:v>
      </x:c>
      <x:c r="H88" s="19" t="str">
        <x:v>controlled dry t</x:v>
      </x:c>
      <x:c r="I88" s="21" t="str">
        <x:v>Configuration-owned physical block</x:v>
      </x:c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C89" s="19" t="str">
        <x:v>MS-HC|C|03</x:v>
      </x:c>
      <x:c r="D89" s="19" t="str">
        <x:v>MS-HC|C</x:v>
      </x:c>
      <x:c r="E89" s="19" t="str">
        <x:v>MS-HC</x:v>
      </x:c>
      <x:c r="F89" s="19" t="str">
        <x:v>Energy plant</x:v>
      </x:c>
      <x:c r="G89" s="27" t="n">
        <x:v>7000</x:v>
      </x:c>
      <x:c r="H89" s="19" t="str">
        <x:v>controlled dry t</x:v>
      </x:c>
      <x:c r="I89" s="21" t="str">
        <x:v>Configuration-owned physical block</x:v>
      </x:c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C90" s="19" t="str">
        <x:v>MS-HC|C|04</x:v>
      </x:c>
      <x:c r="D90" s="19" t="str">
        <x:v>MS-HC|C</x:v>
      </x:c>
      <x:c r="E90" s="19" t="str">
        <x:v>MS-HC</x:v>
      </x:c>
      <x:c r="F90" s="19" t="str">
        <x:v>Public interface</x:v>
      </x:c>
      <x:c r="G90" s="27" t="n">
        <x:v>4500</x:v>
      </x:c>
      <x:c r="H90" s="19" t="str">
        <x:v>controlled dry t</x:v>
      </x:c>
      <x:c r="I90" s="21" t="str">
        <x:v>Configuration-owned physical block</x:v>
      </x:c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C91" s="19" t="str">
        <x:v>MS-HC|C|05</x:v>
      </x:c>
      <x:c r="D91" s="19" t="str">
        <x:v>MS-HC|C</x:v>
      </x:c>
      <x:c r="E91" s="19" t="str">
        <x:v>MS-HC</x:v>
      </x:c>
      <x:c r="F91" s="19" t="str">
        <x:v>Control and evidence</x:v>
      </x:c>
      <x:c r="G91" s="27" t="n">
        <x:v>2000</x:v>
      </x:c>
      <x:c r="H91" s="19" t="str">
        <x:v>controlled dry t</x:v>
      </x:c>
      <x:c r="I91" s="21" t="str">
        <x:v>Configuration-owned physical block</x:v>
      </x:c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C92" s="19" t="str">
        <x:v>MS-HC|C|06</x:v>
      </x:c>
      <x:c r="D92" s="19" t="str">
        <x:v>MS-HC|C</x:v>
      </x:c>
      <x:c r="E92" s="19" t="str">
        <x:v>MS-HC</x:v>
      </x:c>
      <x:c r="F92" s="19" t="str">
        <x:v>Safety and habitability</x:v>
      </x:c>
      <x:c r="G92" s="27" t="n">
        <x:v>3000</x:v>
      </x:c>
      <x:c r="H92" s="19" t="str">
        <x:v>controlled dry t</x:v>
      </x:c>
      <x:c r="I92" s="21" t="str">
        <x:v>Configuration-owned physical block</x:v>
      </x:c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C93" s="19" t="str">
        <x:v>MS-HC|C|07</x:v>
      </x:c>
      <x:c r="D93" s="19" t="str">
        <x:v>MS-HC|C</x:v>
      </x:c>
      <x:c r="E93" s="19" t="str">
        <x:v>MS-HC</x:v>
      </x:c>
      <x:c r="F93" s="19" t="str">
        <x:v>Repair and reserve</x:v>
      </x:c>
      <x:c r="G93" s="27" t="n">
        <x:v>4000</x:v>
      </x:c>
      <x:c r="H93" s="19" t="str">
        <x:v>controlled dry t</x:v>
      </x:c>
      <x:c r="I93" s="21" t="str">
        <x:v>Configuration-owned physical block</x:v>
      </x:c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C94" s="19" t="str">
        <x:v>MS-HC|C|08</x:v>
      </x:c>
      <x:c r="D94" s="19" t="str">
        <x:v>MS-HC|C</x:v>
      </x:c>
      <x:c r="E94" s="19" t="str">
        <x:v>MS-HC</x:v>
      </x:c>
      <x:c r="F94" s="19" t="str">
        <x:v>Residual control</x:v>
      </x:c>
      <x:c r="G94" s="27" t="n">
        <x:v>2500</x:v>
      </x:c>
      <x:c r="H94" s="19" t="str">
        <x:v>controlled dry t</x:v>
      </x:c>
      <x:c r="I94" s="21" t="str">
        <x:v>Configuration-owned physical block</x:v>
      </x:c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C95" s="19" t="str">
        <x:v>MS-HC|D|01</x:v>
      </x:c>
      <x:c r="D95" s="19" t="str">
        <x:v>MS-HC|D</x:v>
      </x:c>
      <x:c r="E95" s="19" t="str">
        <x:v>MS-HC</x:v>
      </x:c>
      <x:c r="F95" s="19" t="str">
        <x:v>Mission mechanism</x:v>
      </x:c>
      <x:c r="G95" s="27" t="n">
        <x:v>9000</x:v>
      </x:c>
      <x:c r="H95" s="19" t="str">
        <x:v>controlled dry t</x:v>
      </x:c>
      <x:c r="I95" s="21" t="str">
        <x:v>Rapid sensor-actuator boundaries make temporary terrain locally responsive</x:v>
      </x:c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C96" s="19" t="str">
        <x:v>MS-HC|D|02</x:v>
      </x:c>
      <x:c r="D96" s="19" t="str">
        <x:v>MS-HC|D</x:v>
      </x:c>
      <x:c r="E96" s="19" t="str">
        <x:v>MS-HC</x:v>
      </x:c>
      <x:c r="F96" s="19" t="str">
        <x:v>Access and mobility</x:v>
      </x:c>
      <x:c r="G96" s="27" t="n">
        <x:v>6000</x:v>
      </x:c>
      <x:c r="H96" s="19" t="str">
        <x:v>controlled dry t</x:v>
      </x:c>
      <x:c r="I96" s="21" t="str">
        <x:v>Configuration-owned physical block</x:v>
      </x:c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C97" s="19" t="str">
        <x:v>MS-HC|D|03</x:v>
      </x:c>
      <x:c r="D97" s="19" t="str">
        <x:v>MS-HC|D</x:v>
      </x:c>
      <x:c r="E97" s="19" t="str">
        <x:v>MS-HC</x:v>
      </x:c>
      <x:c r="F97" s="19" t="str">
        <x:v>Energy plant</x:v>
      </x:c>
      <x:c r="G97" s="27" t="n">
        <x:v>5000</x:v>
      </x:c>
      <x:c r="H97" s="19" t="str">
        <x:v>controlled dry t</x:v>
      </x:c>
      <x:c r="I97" s="21" t="str">
        <x:v>Configuration-owned physical block</x:v>
      </x:c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C98" s="19" t="str">
        <x:v>MS-HC|D|04</x:v>
      </x:c>
      <x:c r="D98" s="19" t="str">
        <x:v>MS-HC|D</x:v>
      </x:c>
      <x:c r="E98" s="19" t="str">
        <x:v>MS-HC</x:v>
      </x:c>
      <x:c r="F98" s="19" t="str">
        <x:v>Public interface</x:v>
      </x:c>
      <x:c r="G98" s="27" t="n">
        <x:v>4000</x:v>
      </x:c>
      <x:c r="H98" s="19" t="str">
        <x:v>controlled dry t</x:v>
      </x:c>
      <x:c r="I98" s="21" t="str">
        <x:v>Configuration-owned physical block</x:v>
      </x:c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C99" s="19" t="str">
        <x:v>MS-HC|D|05</x:v>
      </x:c>
      <x:c r="D99" s="19" t="str">
        <x:v>MS-HC|D</x:v>
      </x:c>
      <x:c r="E99" s="19" t="str">
        <x:v>MS-HC</x:v>
      </x:c>
      <x:c r="F99" s="19" t="str">
        <x:v>Control and evidence</x:v>
      </x:c>
      <x:c r="G99" s="27" t="n">
        <x:v>2200</x:v>
      </x:c>
      <x:c r="H99" s="19" t="str">
        <x:v>controlled dry t</x:v>
      </x:c>
      <x:c r="I99" s="21" t="str">
        <x:v>Configuration-owned physical block</x:v>
      </x:c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C100" s="19" t="str">
        <x:v>MS-HC|D|06</x:v>
      </x:c>
      <x:c r="D100" s="19" t="str">
        <x:v>MS-HC|D</x:v>
      </x:c>
      <x:c r="E100" s="19" t="str">
        <x:v>MS-HC</x:v>
      </x:c>
      <x:c r="F100" s="19" t="str">
        <x:v>Safety and habitability</x:v>
      </x:c>
      <x:c r="G100" s="27" t="n">
        <x:v>2000</x:v>
      </x:c>
      <x:c r="H100" s="19" t="str">
        <x:v>controlled dry t</x:v>
      </x:c>
      <x:c r="I100" s="21" t="str">
        <x:v>Configuration-owned physical block</x:v>
      </x:c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C101" s="19" t="str">
        <x:v>MS-HC|D|07</x:v>
      </x:c>
      <x:c r="D101" s="19" t="str">
        <x:v>MS-HC|D</x:v>
      </x:c>
      <x:c r="E101" s="19" t="str">
        <x:v>MS-HC</x:v>
      </x:c>
      <x:c r="F101" s="19" t="str">
        <x:v>Repair and reserve</x:v>
      </x:c>
      <x:c r="G101" s="27" t="n">
        <x:v>2800</x:v>
      </x:c>
      <x:c r="H101" s="19" t="str">
        <x:v>controlled dry t</x:v>
      </x:c>
      <x:c r="I101" s="21" t="str">
        <x:v>Configuration-owned physical block</x:v>
      </x:c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C102" s="19" t="str">
        <x:v>MS-HC|D|08</x:v>
      </x:c>
      <x:c r="D102" s="19" t="str">
        <x:v>MS-HC|D</x:v>
      </x:c>
      <x:c r="E102" s="19" t="str">
        <x:v>MS-HC</x:v>
      </x:c>
      <x:c r="F102" s="19" t="str">
        <x:v>Residual control</x:v>
      </x:c>
      <x:c r="G102" s="27" t="n">
        <x:v>2000</x:v>
      </x:c>
      <x:c r="H102" s="19" t="str">
        <x:v>controlled dry t</x:v>
      </x:c>
      <x:c r="I102" s="21" t="str">
        <x:v>Configuration-owned physical block</x:v>
      </x:c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C103" s="19" t="str">
        <x:v>MS-HU|A|01</x:v>
      </x:c>
      <x:c r="D103" s="19" t="str">
        <x:v>MS-HU|A</x:v>
      </x:c>
      <x:c r="E103" s="19" t="str">
        <x:v>MS-HU</x:v>
      </x:c>
      <x:c r="F103" s="19" t="str">
        <x:v>Mission mechanism</x:v>
      </x:c>
      <x:c r="G103" s="27" t="n">
        <x:v>13000</x:v>
      </x:c>
      <x:c r="H103" s="19" t="str">
        <x:v>controlled dry t</x:v>
      </x:c>
      <x:c r="I103" s="21" t="str">
        <x:v>Modular definitive-care metabolism closes sterile utilities and discharge</x:v>
      </x:c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C104" s="19" t="str">
        <x:v>MS-HU|A|02</x:v>
      </x:c>
      <x:c r="D104" s="19" t="str">
        <x:v>MS-HU|A</x:v>
      </x:c>
      <x:c r="E104" s="19" t="str">
        <x:v>MS-HU</x:v>
      </x:c>
      <x:c r="F104" s="19" t="str">
        <x:v>Access and mobility</x:v>
      </x:c>
      <x:c r="G104" s="27" t="n">
        <x:v>6000</x:v>
      </x:c>
      <x:c r="H104" s="19" t="str">
        <x:v>controlled dry t</x:v>
      </x:c>
      <x:c r="I104" s="21" t="str">
        <x:v>Configuration-owned physical block</x:v>
      </x:c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C105" s="19" t="str">
        <x:v>MS-HU|A|03</x:v>
      </x:c>
      <x:c r="D105" s="19" t="str">
        <x:v>MS-HU|A</x:v>
      </x:c>
      <x:c r="E105" s="19" t="str">
        <x:v>MS-HU</x:v>
      </x:c>
      <x:c r="F105" s="19" t="str">
        <x:v>Energy plant</x:v>
      </x:c>
      <x:c r="G105" s="27" t="n">
        <x:v>5000</x:v>
      </x:c>
      <x:c r="H105" s="19" t="str">
        <x:v>controlled dry t</x:v>
      </x:c>
      <x:c r="I105" s="21" t="str">
        <x:v>Configuration-owned physical block</x:v>
      </x:c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C106" s="19" t="str">
        <x:v>MS-HU|A|04</x:v>
      </x:c>
      <x:c r="D106" s="19" t="str">
        <x:v>MS-HU|A</x:v>
      </x:c>
      <x:c r="E106" s="19" t="str">
        <x:v>MS-HU</x:v>
      </x:c>
      <x:c r="F106" s="19" t="str">
        <x:v>Public interface</x:v>
      </x:c>
      <x:c r="G106" s="27" t="n">
        <x:v>7000</x:v>
      </x:c>
      <x:c r="H106" s="19" t="str">
        <x:v>controlled dry t</x:v>
      </x:c>
      <x:c r="I106" s="21" t="str">
        <x:v>Configuration-owned physical block</x:v>
      </x:c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C107" s="19" t="str">
        <x:v>MS-HU|A|05</x:v>
      </x:c>
      <x:c r="D107" s="19" t="str">
        <x:v>MS-HU|A</x:v>
      </x:c>
      <x:c r="E107" s="19" t="str">
        <x:v>MS-HU</x:v>
      </x:c>
      <x:c r="F107" s="19" t="str">
        <x:v>Control and evidence</x:v>
      </x:c>
      <x:c r="G107" s="27" t="n">
        <x:v>2000</x:v>
      </x:c>
      <x:c r="H107" s="19" t="str">
        <x:v>controlled dry t</x:v>
      </x:c>
      <x:c r="I107" s="21" t="str">
        <x:v>Configuration-owned physical block</x:v>
      </x:c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C108" s="19" t="str">
        <x:v>MS-HU|A|06</x:v>
      </x:c>
      <x:c r="D108" s="19" t="str">
        <x:v>MS-HU|A</x:v>
      </x:c>
      <x:c r="E108" s="19" t="str">
        <x:v>MS-HU</x:v>
      </x:c>
      <x:c r="F108" s="19" t="str">
        <x:v>Safety and habitability</x:v>
      </x:c>
      <x:c r="G108" s="27" t="n">
        <x:v>3000</x:v>
      </x:c>
      <x:c r="H108" s="19" t="str">
        <x:v>controlled dry t</x:v>
      </x:c>
      <x:c r="I108" s="21" t="str">
        <x:v>Configuration-owned physical block</x:v>
      </x:c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C109" s="19" t="str">
        <x:v>MS-HU|A|07</x:v>
      </x:c>
      <x:c r="D109" s="19" t="str">
        <x:v>MS-HU|A</x:v>
      </x:c>
      <x:c r="E109" s="19" t="str">
        <x:v>MS-HU</x:v>
      </x:c>
      <x:c r="F109" s="19" t="str">
        <x:v>Repair and reserve</x:v>
      </x:c>
      <x:c r="G109" s="27" t="n">
        <x:v>3500</x:v>
      </x:c>
      <x:c r="H109" s="19" t="str">
        <x:v>controlled dry t</x:v>
      </x:c>
      <x:c r="I109" s="21" t="str">
        <x:v>Configuration-owned physical block</x:v>
      </x:c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C110" s="19" t="str">
        <x:v>MS-HU|A|08</x:v>
      </x:c>
      <x:c r="D110" s="19" t="str">
        <x:v>MS-HU|A</x:v>
      </x:c>
      <x:c r="E110" s="19" t="str">
        <x:v>MS-HU</x:v>
      </x:c>
      <x:c r="F110" s="19" t="str">
        <x:v>Residual control</x:v>
      </x:c>
      <x:c r="G110" s="27" t="n">
        <x:v>2500</x:v>
      </x:c>
      <x:c r="H110" s="19" t="str">
        <x:v>controlled dry t</x:v>
      </x:c>
      <x:c r="I110" s="21" t="str">
        <x:v>Configuration-owned physical block</x:v>
      </x:c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C111" s="19" t="str">
        <x:v>MS-HU|B|01</x:v>
      </x:c>
      <x:c r="D111" s="19" t="str">
        <x:v>MS-HU|B</x:v>
      </x:c>
      <x:c r="E111" s="19" t="str">
        <x:v>MS-HU</x:v>
      </x:c>
      <x:c r="F111" s="19" t="str">
        <x:v>Mission mechanism</x:v>
      </x:c>
      <x:c r="G111" s="27" t="n">
        <x:v>8000</x:v>
      </x:c>
      <x:c r="H111" s="19" t="str">
        <x:v>controlled dry t</x:v>
      </x:c>
      <x:c r="I111" s="21" t="str">
        <x:v>Prepared ordinary buildings become independently serviced care nodes</x:v>
      </x:c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C112" s="19" t="str">
        <x:v>MS-HU|B|02</x:v>
      </x:c>
      <x:c r="D112" s="19" t="str">
        <x:v>MS-HU|B</x:v>
      </x:c>
      <x:c r="E112" s="19" t="str">
        <x:v>MS-HU</x:v>
      </x:c>
      <x:c r="F112" s="19" t="str">
        <x:v>Access and mobility</x:v>
      </x:c>
      <x:c r="G112" s="27" t="n">
        <x:v>4500</x:v>
      </x:c>
      <x:c r="H112" s="19" t="str">
        <x:v>controlled dry t</x:v>
      </x:c>
      <x:c r="I112" s="21" t="str">
        <x:v>Configuration-owned physical block</x:v>
      </x:c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C113" s="19" t="str">
        <x:v>MS-HU|B|03</x:v>
      </x:c>
      <x:c r="D113" s="19" t="str">
        <x:v>MS-HU|B</x:v>
      </x:c>
      <x:c r="E113" s="19" t="str">
        <x:v>MS-HU</x:v>
      </x:c>
      <x:c r="F113" s="19" t="str">
        <x:v>Energy plant</x:v>
      </x:c>
      <x:c r="G113" s="27" t="n">
        <x:v>4000</x:v>
      </x:c>
      <x:c r="H113" s="19" t="str">
        <x:v>controlled dry t</x:v>
      </x:c>
      <x:c r="I113" s="21" t="str">
        <x:v>Configuration-owned physical block</x:v>
      </x:c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C114" s="19" t="str">
        <x:v>MS-HU|B|04</x:v>
      </x:c>
      <x:c r="D114" s="19" t="str">
        <x:v>MS-HU|B</x:v>
      </x:c>
      <x:c r="E114" s="19" t="str">
        <x:v>MS-HU</x:v>
      </x:c>
      <x:c r="F114" s="19" t="str">
        <x:v>Public interface</x:v>
      </x:c>
      <x:c r="G114" s="27" t="n">
        <x:v>5000</x:v>
      </x:c>
      <x:c r="H114" s="19" t="str">
        <x:v>controlled dry t</x:v>
      </x:c>
      <x:c r="I114" s="21" t="str">
        <x:v>Configuration-owned physical block</x:v>
      </x:c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C115" s="19" t="str">
        <x:v>MS-HU|B|05</x:v>
      </x:c>
      <x:c r="D115" s="19" t="str">
        <x:v>MS-HU|B</x:v>
      </x:c>
      <x:c r="E115" s="19" t="str">
        <x:v>MS-HU</x:v>
      </x:c>
      <x:c r="F115" s="19" t="str">
        <x:v>Control and evidence</x:v>
      </x:c>
      <x:c r="G115" s="27" t="n">
        <x:v>2200</x:v>
      </x:c>
      <x:c r="H115" s="19" t="str">
        <x:v>controlled dry t</x:v>
      </x:c>
      <x:c r="I115" s="21" t="str">
        <x:v>Configuration-owned physical block</x:v>
      </x:c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C116" s="19" t="str">
        <x:v>MS-HU|B|06</x:v>
      </x:c>
      <x:c r="D116" s="19" t="str">
        <x:v>MS-HU|B</x:v>
      </x:c>
      <x:c r="E116" s="19" t="str">
        <x:v>MS-HU</x:v>
      </x:c>
      <x:c r="F116" s="19" t="str">
        <x:v>Safety and habitability</x:v>
      </x:c>
      <x:c r="G116" s="27" t="n">
        <x:v>2500</x:v>
      </x:c>
      <x:c r="H116" s="19" t="str">
        <x:v>controlled dry t</x:v>
      </x:c>
      <x:c r="I116" s="21" t="str">
        <x:v>Configuration-owned physical block</x:v>
      </x:c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C117" s="19" t="str">
        <x:v>MS-HU|B|07</x:v>
      </x:c>
      <x:c r="D117" s="19" t="str">
        <x:v>MS-HU|B</x:v>
      </x:c>
      <x:c r="E117" s="19" t="str">
        <x:v>MS-HU</x:v>
      </x:c>
      <x:c r="F117" s="19" t="str">
        <x:v>Repair and reserve</x:v>
      </x:c>
      <x:c r="G117" s="27" t="n">
        <x:v>2800</x:v>
      </x:c>
      <x:c r="H117" s="19" t="str">
        <x:v>controlled dry t</x:v>
      </x:c>
      <x:c r="I117" s="21" t="str">
        <x:v>Configuration-owned physical block</x:v>
      </x:c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C118" s="19" t="str">
        <x:v>MS-HU|B|08</x:v>
      </x:c>
      <x:c r="D118" s="19" t="str">
        <x:v>MS-HU|B</x:v>
      </x:c>
      <x:c r="E118" s="19" t="str">
        <x:v>MS-HU</x:v>
      </x:c>
      <x:c r="F118" s="19" t="str">
        <x:v>Residual control</x:v>
      </x:c>
      <x:c r="G118" s="27" t="n">
        <x:v>2000</x:v>
      </x:c>
      <x:c r="H118" s="19" t="str">
        <x:v>controlled dry t</x:v>
      </x:c>
      <x:c r="I118" s="21" t="str">
        <x:v>Configuration-owned physical block</x:v>
      </x:c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C119" s="19" t="str">
        <x:v>MS-HU|C|01</x:v>
      </x:c>
      <x:c r="D119" s="19" t="str">
        <x:v>MS-HU|C</x:v>
      </x:c>
      <x:c r="E119" s="19" t="str">
        <x:v>MS-HU</x:v>
      </x:c>
      <x:c r="F119" s="19" t="str">
        <x:v>Mission mechanism</x:v>
      </x:c>
      <x:c r="G119" s="27" t="n">
        <x:v>12000</x:v>
      </x:c>
      <x:c r="H119" s="19" t="str">
        <x:v>controlled dry t</x:v>
      </x:c>
      <x:c r="I119" s="21" t="str">
        <x:v>Therapy, diagnostics, identity and destination remain coherent in motion</x:v>
      </x:c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C120" s="19" t="str">
        <x:v>MS-HU|C|02</x:v>
      </x:c>
      <x:c r="D120" s="19" t="str">
        <x:v>MS-HU|C</x:v>
      </x:c>
      <x:c r="E120" s="19" t="str">
        <x:v>MS-HU</x:v>
      </x:c>
      <x:c r="F120" s="19" t="str">
        <x:v>Access and mobility</x:v>
      </x:c>
      <x:c r="G120" s="27" t="n">
        <x:v>7000</x:v>
      </x:c>
      <x:c r="H120" s="19" t="str">
        <x:v>controlled dry t</x:v>
      </x:c>
      <x:c r="I120" s="21" t="str">
        <x:v>Configuration-owned physical block</x:v>
      </x:c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C121" s="19" t="str">
        <x:v>MS-HU|C|03</x:v>
      </x:c>
      <x:c r="D121" s="19" t="str">
        <x:v>MS-HU|C</x:v>
      </x:c>
      <x:c r="E121" s="19" t="str">
        <x:v>MS-HU</x:v>
      </x:c>
      <x:c r="F121" s="19" t="str">
        <x:v>Energy plant</x:v>
      </x:c>
      <x:c r="G121" s="27" t="n">
        <x:v>4500</x:v>
      </x:c>
      <x:c r="H121" s="19" t="str">
        <x:v>controlled dry t</x:v>
      </x:c>
      <x:c r="I121" s="21" t="str">
        <x:v>Configuration-owned physical block</x:v>
      </x:c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C122" s="19" t="str">
        <x:v>MS-HU|C|04</x:v>
      </x:c>
      <x:c r="D122" s="19" t="str">
        <x:v>MS-HU|C</x:v>
      </x:c>
      <x:c r="E122" s="19" t="str">
        <x:v>MS-HU</x:v>
      </x:c>
      <x:c r="F122" s="19" t="str">
        <x:v>Public interface</x:v>
      </x:c>
      <x:c r="G122" s="27" t="n">
        <x:v>5000</x:v>
      </x:c>
      <x:c r="H122" s="19" t="str">
        <x:v>controlled dry t</x:v>
      </x:c>
      <x:c r="I122" s="21" t="str">
        <x:v>Configuration-owned physical block</x:v>
      </x:c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C123" s="19" t="str">
        <x:v>MS-HU|C|05</x:v>
      </x:c>
      <x:c r="D123" s="19" t="str">
        <x:v>MS-HU|C</x:v>
      </x:c>
      <x:c r="E123" s="19" t="str">
        <x:v>MS-HU</x:v>
      </x:c>
      <x:c r="F123" s="19" t="str">
        <x:v>Control and evidence</x:v>
      </x:c>
      <x:c r="G123" s="27" t="n">
        <x:v>1800</x:v>
      </x:c>
      <x:c r="H123" s="19" t="str">
        <x:v>controlled dry t</x:v>
      </x:c>
      <x:c r="I123" s="21" t="str">
        <x:v>Configuration-owned physical block</x:v>
      </x:c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C124" s="19" t="str">
        <x:v>MS-HU|C|06</x:v>
      </x:c>
      <x:c r="D124" s="19" t="str">
        <x:v>MS-HU|C</x:v>
      </x:c>
      <x:c r="E124" s="19" t="str">
        <x:v>MS-HU</x:v>
      </x:c>
      <x:c r="F124" s="19" t="str">
        <x:v>Safety and habitability</x:v>
      </x:c>
      <x:c r="G124" s="27" t="n">
        <x:v>2800</x:v>
      </x:c>
      <x:c r="H124" s="19" t="str">
        <x:v>controlled dry t</x:v>
      </x:c>
      <x:c r="I124" s="21" t="str">
        <x:v>Configuration-owned physical block</x:v>
      </x:c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C125" s="19" t="str">
        <x:v>MS-HU|C|07</x:v>
      </x:c>
      <x:c r="D125" s="19" t="str">
        <x:v>MS-HU|C</x:v>
      </x:c>
      <x:c r="E125" s="19" t="str">
        <x:v>MS-HU</x:v>
      </x:c>
      <x:c r="F125" s="19" t="str">
        <x:v>Repair and reserve</x:v>
      </x:c>
      <x:c r="G125" s="27" t="n">
        <x:v>3000</x:v>
      </x:c>
      <x:c r="H125" s="19" t="str">
        <x:v>controlled dry t</x:v>
      </x:c>
      <x:c r="I125" s="21" t="str">
        <x:v>Configuration-owned physical block</x:v>
      </x:c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C126" s="19" t="str">
        <x:v>MS-HU|C|08</x:v>
      </x:c>
      <x:c r="D126" s="19" t="str">
        <x:v>MS-HU|C</x:v>
      </x:c>
      <x:c r="E126" s="19" t="str">
        <x:v>MS-HU</x:v>
      </x:c>
      <x:c r="F126" s="19" t="str">
        <x:v>Residual control</x:v>
      </x:c>
      <x:c r="G126" s="27" t="n">
        <x:v>1900</x:v>
      </x:c>
      <x:c r="H126" s="19" t="str">
        <x:v>controlled dry t</x:v>
      </x:c>
      <x:c r="I126" s="21" t="str">
        <x:v>Configuration-owned physical block</x:v>
      </x:c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C127" s="19" t="str">
        <x:v>MS-HU|D|01</x:v>
      </x:c>
      <x:c r="D127" s="19" t="str">
        <x:v>MS-HU|D</x:v>
      </x:c>
      <x:c r="E127" s="19" t="str">
        <x:v>MS-HU</x:v>
      </x:c>
      <x:c r="F127" s="19" t="str">
        <x:v>Mission mechanism</x:v>
      </x:c>
      <x:c r="G127" s="27" t="n">
        <x:v>6500</x:v>
      </x:c>
      <x:c r="H127" s="19" t="str">
        <x:v>controlled dry t</x:v>
      </x:c>
      <x:c r="I127" s="21" t="str">
        <x:v>Robotic structure and utility kits reversibly convert unknown hosts</x:v>
      </x:c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C128" s="19" t="str">
        <x:v>MS-HU|D|02</x:v>
      </x:c>
      <x:c r="D128" s="19" t="str">
        <x:v>MS-HU|D</x:v>
      </x:c>
      <x:c r="E128" s="19" t="str">
        <x:v>MS-HU</x:v>
      </x:c>
      <x:c r="F128" s="19" t="str">
        <x:v>Access and mobility</x:v>
      </x:c>
      <x:c r="G128" s="27" t="n">
        <x:v>3500</x:v>
      </x:c>
      <x:c r="H128" s="19" t="str">
        <x:v>controlled dry t</x:v>
      </x:c>
      <x:c r="I128" s="21" t="str">
        <x:v>Configuration-owned physical block</x:v>
      </x:c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C129" s="19" t="str">
        <x:v>MS-HU|D|03</x:v>
      </x:c>
      <x:c r="D129" s="19" t="str">
        <x:v>MS-HU|D</x:v>
      </x:c>
      <x:c r="E129" s="19" t="str">
        <x:v>MS-HU</x:v>
      </x:c>
      <x:c r="F129" s="19" t="str">
        <x:v>Energy plant</x:v>
      </x:c>
      <x:c r="G129" s="27" t="n">
        <x:v>3000</x:v>
      </x:c>
      <x:c r="H129" s="19" t="str">
        <x:v>controlled dry t</x:v>
      </x:c>
      <x:c r="I129" s="21" t="str">
        <x:v>Configuration-owned physical block</x:v>
      </x:c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C130" s="19" t="str">
        <x:v>MS-HU|D|04</x:v>
      </x:c>
      <x:c r="D130" s="19" t="str">
        <x:v>MS-HU|D</x:v>
      </x:c>
      <x:c r="E130" s="19" t="str">
        <x:v>MS-HU</x:v>
      </x:c>
      <x:c r="F130" s="19" t="str">
        <x:v>Public interface</x:v>
      </x:c>
      <x:c r="G130" s="27" t="n">
        <x:v>4200</x:v>
      </x:c>
      <x:c r="H130" s="19" t="str">
        <x:v>controlled dry t</x:v>
      </x:c>
      <x:c r="I130" s="21" t="str">
        <x:v>Configuration-owned physical block</x:v>
      </x:c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C131" s="19" t="str">
        <x:v>MS-HU|D|05</x:v>
      </x:c>
      <x:c r="D131" s="19" t="str">
        <x:v>MS-HU|D</x:v>
      </x:c>
      <x:c r="E131" s="19" t="str">
        <x:v>MS-HU</x:v>
      </x:c>
      <x:c r="F131" s="19" t="str">
        <x:v>Control and evidence</x:v>
      </x:c>
      <x:c r="G131" s="27" t="n">
        <x:v>1400</x:v>
      </x:c>
      <x:c r="H131" s="19" t="str">
        <x:v>controlled dry t</x:v>
      </x:c>
      <x:c r="I131" s="21" t="str">
        <x:v>Configuration-owned physical block</x:v>
      </x:c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C132" s="19" t="str">
        <x:v>MS-HU|D|06</x:v>
      </x:c>
      <x:c r="D132" s="19" t="str">
        <x:v>MS-HU|D</x:v>
      </x:c>
      <x:c r="E132" s="19" t="str">
        <x:v>MS-HU</x:v>
      </x:c>
      <x:c r="F132" s="19" t="str">
        <x:v>Safety and habitability</x:v>
      </x:c>
      <x:c r="G132" s="27" t="n">
        <x:v>2100</x:v>
      </x:c>
      <x:c r="H132" s="19" t="str">
        <x:v>controlled dry t</x:v>
      </x:c>
      <x:c r="I132" s="21" t="str">
        <x:v>Configuration-owned physical block</x:v>
      </x:c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C133" s="19" t="str">
        <x:v>MS-HU|D|07</x:v>
      </x:c>
      <x:c r="D133" s="19" t="str">
        <x:v>MS-HU|D</x:v>
      </x:c>
      <x:c r="E133" s="19" t="str">
        <x:v>MS-HU</x:v>
      </x:c>
      <x:c r="F133" s="19" t="str">
        <x:v>Repair and reserve</x:v>
      </x:c>
      <x:c r="G133" s="27" t="n">
        <x:v>1900</x:v>
      </x:c>
      <x:c r="H133" s="19" t="str">
        <x:v>controlled dry t</x:v>
      </x:c>
      <x:c r="I133" s="21" t="str">
        <x:v>Configuration-owned physical block</x:v>
      </x:c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C134" s="19" t="str">
        <x:v>MS-HU|D|08</x:v>
      </x:c>
      <x:c r="D134" s="19" t="str">
        <x:v>MS-HU|D</x:v>
      </x:c>
      <x:c r="E134" s="19" t="str">
        <x:v>MS-HU</x:v>
      </x:c>
      <x:c r="F134" s="19" t="str">
        <x:v>Residual control</x:v>
      </x:c>
      <x:c r="G134" s="27" t="n">
        <x:v>1400</x:v>
      </x:c>
      <x:c r="H134" s="19" t="str">
        <x:v>controlled dry t</x:v>
      </x:c>
      <x:c r="I134" s="21" t="str">
        <x:v>Configuration-owned physical block</x:v>
      </x:c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C135" s="19" t="str">
        <x:v>MS-RT|A|01</x:v>
      </x:c>
      <x:c r="D135" s="19" t="str">
        <x:v>MS-RT|A</x:v>
      </x:c>
      <x:c r="E135" s="19" t="str">
        <x:v>MS-RT</x:v>
      </x:c>
      <x:c r="F135" s="19" t="str">
        <x:v>Mission mechanism</x:v>
      </x:c>
      <x:c r="G135" s="27" t="n">
        <x:v>30000</x:v>
      </x:c>
      <x:c r="H135" s="19" t="str">
        <x:v>controlled dry t</x:v>
      </x:c>
      <x:c r="I135" s="21" t="str">
        <x:v>Deep-stock metrology and rebuild lines reset a whole stack within 168 hours</x:v>
      </x:c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C136" s="19" t="str">
        <x:v>MS-RT|A|02</x:v>
      </x:c>
      <x:c r="D136" s="19" t="str">
        <x:v>MS-RT|A</x:v>
      </x:c>
      <x:c r="E136" s="19" t="str">
        <x:v>MS-RT</x:v>
      </x:c>
      <x:c r="F136" s="19" t="str">
        <x:v>Access and mobility</x:v>
      </x:c>
      <x:c r="G136" s="27" t="n">
        <x:v>10000</x:v>
      </x:c>
      <x:c r="H136" s="19" t="str">
        <x:v>controlled dry t</x:v>
      </x:c>
      <x:c r="I136" s="21" t="str">
        <x:v>Configuration-owned physical block</x:v>
      </x:c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C137" s="19" t="str">
        <x:v>MS-RT|A|03</x:v>
      </x:c>
      <x:c r="D137" s="19" t="str">
        <x:v>MS-RT|A</x:v>
      </x:c>
      <x:c r="E137" s="19" t="str">
        <x:v>MS-RT</x:v>
      </x:c>
      <x:c r="F137" s="19" t="str">
        <x:v>Energy plant</x:v>
      </x:c>
      <x:c r="G137" s="27" t="n">
        <x:v>18000</x:v>
      </x:c>
      <x:c r="H137" s="19" t="str">
        <x:v>controlled dry t</x:v>
      </x:c>
      <x:c r="I137" s="21" t="str">
        <x:v>Configuration-owned physical block</x:v>
      </x:c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C138" s="19" t="str">
        <x:v>MS-RT|A|04</x:v>
      </x:c>
      <x:c r="D138" s="19" t="str">
        <x:v>MS-RT|A</x:v>
      </x:c>
      <x:c r="E138" s="19" t="str">
        <x:v>MS-RT</x:v>
      </x:c>
      <x:c r="F138" s="19" t="str">
        <x:v>Public interface</x:v>
      </x:c>
      <x:c r="G138" s="27" t="n">
        <x:v>9000</x:v>
      </x:c>
      <x:c r="H138" s="19" t="str">
        <x:v>controlled dry t</x:v>
      </x:c>
      <x:c r="I138" s="21" t="str">
        <x:v>Configuration-owned physical block</x:v>
      </x:c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C139" s="19" t="str">
        <x:v>MS-RT|A|05</x:v>
      </x:c>
      <x:c r="D139" s="19" t="str">
        <x:v>MS-RT|A</x:v>
      </x:c>
      <x:c r="E139" s="19" t="str">
        <x:v>MS-RT</x:v>
      </x:c>
      <x:c r="F139" s="19" t="str">
        <x:v>Control and evidence</x:v>
      </x:c>
      <x:c r="G139" s="27" t="n">
        <x:v>3000</x:v>
      </x:c>
      <x:c r="H139" s="19" t="str">
        <x:v>controlled dry t</x:v>
      </x:c>
      <x:c r="I139" s="21" t="str">
        <x:v>Configuration-owned physical block</x:v>
      </x:c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C140" s="19" t="str">
        <x:v>MS-RT|A|06</x:v>
      </x:c>
      <x:c r="D140" s="19" t="str">
        <x:v>MS-RT|A</x:v>
      </x:c>
      <x:c r="E140" s="19" t="str">
        <x:v>MS-RT</x:v>
      </x:c>
      <x:c r="F140" s="19" t="str">
        <x:v>Safety and habitability</x:v>
      </x:c>
      <x:c r="G140" s="27" t="n">
        <x:v>5000</x:v>
      </x:c>
      <x:c r="H140" s="19" t="str">
        <x:v>controlled dry t</x:v>
      </x:c>
      <x:c r="I140" s="21" t="str">
        <x:v>Configuration-owned physical block</x:v>
      </x:c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C141" s="19" t="str">
        <x:v>MS-RT|A|07</x:v>
      </x:c>
      <x:c r="D141" s="19" t="str">
        <x:v>MS-RT|A</x:v>
      </x:c>
      <x:c r="E141" s="19" t="str">
        <x:v>MS-RT</x:v>
      </x:c>
      <x:c r="F141" s="19" t="str">
        <x:v>Repair and reserve</x:v>
      </x:c>
      <x:c r="G141" s="27" t="n">
        <x:v>13000</x:v>
      </x:c>
      <x:c r="H141" s="19" t="str">
        <x:v>controlled dry t</x:v>
      </x:c>
      <x:c r="I141" s="21" t="str">
        <x:v>Configuration-owned physical block</x:v>
      </x:c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C142" s="19" t="str">
        <x:v>MS-RT|A|08</x:v>
      </x:c>
      <x:c r="D142" s="19" t="str">
        <x:v>MS-RT|A</x:v>
      </x:c>
      <x:c r="E142" s="19" t="str">
        <x:v>MS-RT</x:v>
      </x:c>
      <x:c r="F142" s="19" t="str">
        <x:v>Residual control</x:v>
      </x:c>
      <x:c r="G142" s="27" t="n">
        <x:v>8000</x:v>
      </x:c>
      <x:c r="H142" s="19" t="str">
        <x:v>controlled dry t</x:v>
      </x:c>
      <x:c r="I142" s="21" t="str">
        <x:v>Configuration-owned physical block</x:v>
      </x:c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C143" s="19" t="str">
        <x:v>MS-RT|B|01</x:v>
      </x:c>
      <x:c r="D143" s="19" t="str">
        <x:v>MS-RT|B</x:v>
      </x:c>
      <x:c r="E143" s="19" t="str">
        <x:v>MS-RT</x:v>
      </x:c>
      <x:c r="F143" s="19" t="str">
        <x:v>Mission mechanism</x:v>
      </x:c>
      <x:c r="G143" s="27" t="n">
        <x:v>18000</x:v>
      </x:c>
      <x:c r="H143" s="19" t="str">
        <x:v>controlled dry t</x:v>
      </x:c>
      <x:c r="I143" s="21" t="str">
        <x:v>Disconnected cells reproduce qualified parts from controlled feedstock</x:v>
      </x:c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C144" s="19" t="str">
        <x:v>MS-RT|B|02</x:v>
      </x:c>
      <x:c r="D144" s="19" t="str">
        <x:v>MS-RT|B</x:v>
      </x:c>
      <x:c r="E144" s="19" t="str">
        <x:v>MS-RT</x:v>
      </x:c>
      <x:c r="F144" s="19" t="str">
        <x:v>Access and mobility</x:v>
      </x:c>
      <x:c r="G144" s="27" t="n">
        <x:v>7000</x:v>
      </x:c>
      <x:c r="H144" s="19" t="str">
        <x:v>controlled dry t</x:v>
      </x:c>
      <x:c r="I144" s="21" t="str">
        <x:v>Configuration-owned physical block</x:v>
      </x:c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C145" s="19" t="str">
        <x:v>MS-RT|B|03</x:v>
      </x:c>
      <x:c r="D145" s="19" t="str">
        <x:v>MS-RT|B</x:v>
      </x:c>
      <x:c r="E145" s="19" t="str">
        <x:v>MS-RT</x:v>
      </x:c>
      <x:c r="F145" s="19" t="str">
        <x:v>Energy plant</x:v>
      </x:c>
      <x:c r="G145" s="27" t="n">
        <x:v>10000</x:v>
      </x:c>
      <x:c r="H145" s="19" t="str">
        <x:v>controlled dry t</x:v>
      </x:c>
      <x:c r="I145" s="21" t="str">
        <x:v>Configuration-owned physical block</x:v>
      </x:c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C146" s="19" t="str">
        <x:v>MS-RT|B|04</x:v>
      </x:c>
      <x:c r="D146" s="19" t="str">
        <x:v>MS-RT|B</x:v>
      </x:c>
      <x:c r="E146" s="19" t="str">
        <x:v>MS-RT</x:v>
      </x:c>
      <x:c r="F146" s="19" t="str">
        <x:v>Public interface</x:v>
      </x:c>
      <x:c r="G146" s="27" t="n">
        <x:v>6000</x:v>
      </x:c>
      <x:c r="H146" s="19" t="str">
        <x:v>controlled dry t</x:v>
      </x:c>
      <x:c r="I146" s="21" t="str">
        <x:v>Configuration-owned physical block</x:v>
      </x:c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C147" s="19" t="str">
        <x:v>MS-RT|B|05</x:v>
      </x:c>
      <x:c r="D147" s="19" t="str">
        <x:v>MS-RT|B</x:v>
      </x:c>
      <x:c r="E147" s="19" t="str">
        <x:v>MS-RT</x:v>
      </x:c>
      <x:c r="F147" s="19" t="str">
        <x:v>Control and evidence</x:v>
      </x:c>
      <x:c r="G147" s="27" t="n">
        <x:v>3000</x:v>
      </x:c>
      <x:c r="H147" s="19" t="str">
        <x:v>controlled dry t</x:v>
      </x:c>
      <x:c r="I147" s="21" t="str">
        <x:v>Configuration-owned physical block</x:v>
      </x:c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C148" s="19" t="str">
        <x:v>MS-RT|B|06</x:v>
      </x:c>
      <x:c r="D148" s="19" t="str">
        <x:v>MS-RT|B</x:v>
      </x:c>
      <x:c r="E148" s="19" t="str">
        <x:v>MS-RT</x:v>
      </x:c>
      <x:c r="F148" s="19" t="str">
        <x:v>Safety and habitability</x:v>
      </x:c>
      <x:c r="G148" s="27" t="n">
        <x:v>4000</x:v>
      </x:c>
      <x:c r="H148" s="19" t="str">
        <x:v>controlled dry t</x:v>
      </x:c>
      <x:c r="I148" s="21" t="str">
        <x:v>Configuration-owned physical block</x:v>
      </x:c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C149" s="19" t="str">
        <x:v>MS-RT|B|07</x:v>
      </x:c>
      <x:c r="D149" s="19" t="str">
        <x:v>MS-RT|B</x:v>
      </x:c>
      <x:c r="E149" s="19" t="str">
        <x:v>MS-RT</x:v>
      </x:c>
      <x:c r="F149" s="19" t="str">
        <x:v>Repair and reserve</x:v>
      </x:c>
      <x:c r="G149" s="27" t="n">
        <x:v>6000</x:v>
      </x:c>
      <x:c r="H149" s="19" t="str">
        <x:v>controlled dry t</x:v>
      </x:c>
      <x:c r="I149" s="21" t="str">
        <x:v>Configuration-owned physical block</x:v>
      </x:c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C150" s="19" t="str">
        <x:v>MS-RT|B|08</x:v>
      </x:c>
      <x:c r="D150" s="19" t="str">
        <x:v>MS-RT|B</x:v>
      </x:c>
      <x:c r="E150" s="19" t="str">
        <x:v>MS-RT</x:v>
      </x:c>
      <x:c r="F150" s="19" t="str">
        <x:v>Residual control</x:v>
      </x:c>
      <x:c r="G150" s="27" t="n">
        <x:v>4000</x:v>
      </x:c>
      <x:c r="H150" s="19" t="str">
        <x:v>controlled dry t</x:v>
      </x:c>
      <x:c r="I150" s="21" t="str">
        <x:v>Configuration-owned physical block</x:v>
      </x:c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C151" s="19" t="str">
        <x:v>MS-RT|C|01</x:v>
      </x:c>
      <x:c r="D151" s="19" t="str">
        <x:v>MS-RT|C</x:v>
      </x:c>
      <x:c r="E151" s="19" t="str">
        <x:v>MS-RT</x:v>
      </x:c>
      <x:c r="F151" s="19" t="str">
        <x:v>Mission mechanism</x:v>
      </x:c>
      <x:c r="G151" s="27" t="n">
        <x:v>18000</x:v>
      </x:c>
      <x:c r="H151" s="19" t="str">
        <x:v>controlled dry t</x:v>
      </x:c>
      <x:c r="I151" s="21" t="str">
        <x:v>Open interchange and grading enable cross-vendor remanufacture</x:v>
      </x:c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C152" s="19" t="str">
        <x:v>MS-RT|C|02</x:v>
      </x:c>
      <x:c r="D152" s="19" t="str">
        <x:v>MS-RT|C</x:v>
      </x:c>
      <x:c r="E152" s="19" t="str">
        <x:v>MS-RT</x:v>
      </x:c>
      <x:c r="F152" s="19" t="str">
        <x:v>Access and mobility</x:v>
      </x:c>
      <x:c r="G152" s="27" t="n">
        <x:v>9000</x:v>
      </x:c>
      <x:c r="H152" s="19" t="str">
        <x:v>controlled dry t</x:v>
      </x:c>
      <x:c r="I152" s="21" t="str">
        <x:v>Configuration-owned physical block</x:v>
      </x:c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C153" s="19" t="str">
        <x:v>MS-RT|C|03</x:v>
      </x:c>
      <x:c r="D153" s="19" t="str">
        <x:v>MS-RT|C</x:v>
      </x:c>
      <x:c r="E153" s="19" t="str">
        <x:v>MS-RT</x:v>
      </x:c>
      <x:c r="F153" s="19" t="str">
        <x:v>Energy plant</x:v>
      </x:c>
      <x:c r="G153" s="27" t="n">
        <x:v>12000</x:v>
      </x:c>
      <x:c r="H153" s="19" t="str">
        <x:v>controlled dry t</x:v>
      </x:c>
      <x:c r="I153" s="21" t="str">
        <x:v>Configuration-owned physical block</x:v>
      </x:c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C154" s="19" t="str">
        <x:v>MS-RT|C|04</x:v>
      </x:c>
      <x:c r="D154" s="19" t="str">
        <x:v>MS-RT|C</x:v>
      </x:c>
      <x:c r="E154" s="19" t="str">
        <x:v>MS-RT</x:v>
      </x:c>
      <x:c r="F154" s="19" t="str">
        <x:v>Public interface</x:v>
      </x:c>
      <x:c r="G154" s="27" t="n">
        <x:v>9000</x:v>
      </x:c>
      <x:c r="H154" s="19" t="str">
        <x:v>controlled dry t</x:v>
      </x:c>
      <x:c r="I154" s="21" t="str">
        <x:v>Configuration-owned physical block</x:v>
      </x:c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C155" s="19" t="str">
        <x:v>MS-RT|C|05</x:v>
      </x:c>
      <x:c r="D155" s="19" t="str">
        <x:v>MS-RT|C</x:v>
      </x:c>
      <x:c r="E155" s="19" t="str">
        <x:v>MS-RT</x:v>
      </x:c>
      <x:c r="F155" s="19" t="str">
        <x:v>Control and evidence</x:v>
      </x:c>
      <x:c r="G155" s="27" t="n">
        <x:v>3500</x:v>
      </x:c>
      <x:c r="H155" s="19" t="str">
        <x:v>controlled dry t</x:v>
      </x:c>
      <x:c r="I155" s="21" t="str">
        <x:v>Configuration-owned physical block</x:v>
      </x:c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C156" s="19" t="str">
        <x:v>MS-RT|C|06</x:v>
      </x:c>
      <x:c r="D156" s="19" t="str">
        <x:v>MS-RT|C</x:v>
      </x:c>
      <x:c r="E156" s="19" t="str">
        <x:v>MS-RT</x:v>
      </x:c>
      <x:c r="F156" s="19" t="str">
        <x:v>Safety and habitability</x:v>
      </x:c>
      <x:c r="G156" s="27" t="n">
        <x:v>4500</x:v>
      </x:c>
      <x:c r="H156" s="19" t="str">
        <x:v>controlled dry t</x:v>
      </x:c>
      <x:c r="I156" s="21" t="str">
        <x:v>Configuration-owned physical block</x:v>
      </x:c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C157" s="19" t="str">
        <x:v>MS-RT|C|07</x:v>
      </x:c>
      <x:c r="D157" s="19" t="str">
        <x:v>MS-RT|C</x:v>
      </x:c>
      <x:c r="E157" s="19" t="str">
        <x:v>MS-RT</x:v>
      </x:c>
      <x:c r="F157" s="19" t="str">
        <x:v>Repair and reserve</x:v>
      </x:c>
      <x:c r="G157" s="27" t="n">
        <x:v>10000</x:v>
      </x:c>
      <x:c r="H157" s="19" t="str">
        <x:v>controlled dry t</x:v>
      </x:c>
      <x:c r="I157" s="21" t="str">
        <x:v>Configuration-owned physical block</x:v>
      </x:c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C158" s="19" t="str">
        <x:v>MS-RT|C|08</x:v>
      </x:c>
      <x:c r="D158" s="19" t="str">
        <x:v>MS-RT|C</x:v>
      </x:c>
      <x:c r="E158" s="19" t="str">
        <x:v>MS-RT</x:v>
      </x:c>
      <x:c r="F158" s="19" t="str">
        <x:v>Residual control</x:v>
      </x:c>
      <x:c r="G158" s="27" t="n">
        <x:v>6000</x:v>
      </x:c>
      <x:c r="H158" s="19" t="str">
        <x:v>controlled dry t</x:v>
      </x:c>
      <x:c r="I158" s="21" t="str">
        <x:v>Configuration-owned physical block</x:v>
      </x:c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C159" s="19" t="str">
        <x:v>MS-RT|D|01</x:v>
      </x:c>
      <x:c r="D159" s="19" t="str">
        <x:v>MS-RT|D</x:v>
      </x:c>
      <x:c r="E159" s="19" t="str">
        <x:v>MS-RT</x:v>
      </x:c>
      <x:c r="F159" s="19" t="str">
        <x:v>Mission mechanism</x:v>
      </x:c>
      <x:c r="G159" s="27" t="n">
        <x:v>25000</x:v>
      </x:c>
      <x:c r="H159" s="19" t="str">
        <x:v>controlled dry t</x:v>
      </x:c>
      <x:c r="I159" s="21" t="str">
        <x:v>Mobile processing follows the formation and internalizes counterflows</x:v>
      </x:c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C160" s="19" t="str">
        <x:v>MS-RT|D|02</x:v>
      </x:c>
      <x:c r="D160" s="19" t="str">
        <x:v>MS-RT|D</x:v>
      </x:c>
      <x:c r="E160" s="19" t="str">
        <x:v>MS-RT</x:v>
      </x:c>
      <x:c r="F160" s="19" t="str">
        <x:v>Access and mobility</x:v>
      </x:c>
      <x:c r="G160" s="27" t="n">
        <x:v>14000</x:v>
      </x:c>
      <x:c r="H160" s="19" t="str">
        <x:v>controlled dry t</x:v>
      </x:c>
      <x:c r="I160" s="21" t="str">
        <x:v>Configuration-owned physical block</x:v>
      </x:c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C161" s="19" t="str">
        <x:v>MS-RT|D|03</x:v>
      </x:c>
      <x:c r="D161" s="19" t="str">
        <x:v>MS-RT|D</x:v>
      </x:c>
      <x:c r="E161" s="19" t="str">
        <x:v>MS-RT</x:v>
      </x:c>
      <x:c r="F161" s="19" t="str">
        <x:v>Energy plant</x:v>
      </x:c>
      <x:c r="G161" s="27" t="n">
        <x:v>15000</x:v>
      </x:c>
      <x:c r="H161" s="19" t="str">
        <x:v>controlled dry t</x:v>
      </x:c>
      <x:c r="I161" s="21" t="str">
        <x:v>Configuration-owned physical block</x:v>
      </x:c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C162" s="19" t="str">
        <x:v>MS-RT|D|04</x:v>
      </x:c>
      <x:c r="D162" s="19" t="str">
        <x:v>MS-RT|D</x:v>
      </x:c>
      <x:c r="E162" s="19" t="str">
        <x:v>MS-RT</x:v>
      </x:c>
      <x:c r="F162" s="19" t="str">
        <x:v>Public interface</x:v>
      </x:c>
      <x:c r="G162" s="27" t="n">
        <x:v>8000</x:v>
      </x:c>
      <x:c r="H162" s="19" t="str">
        <x:v>controlled dry t</x:v>
      </x:c>
      <x:c r="I162" s="21" t="str">
        <x:v>Configuration-owned physical block</x:v>
      </x:c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C163" s="19" t="str">
        <x:v>MS-RT|D|05</x:v>
      </x:c>
      <x:c r="D163" s="19" t="str">
        <x:v>MS-RT|D</x:v>
      </x:c>
      <x:c r="E163" s="19" t="str">
        <x:v>MS-RT</x:v>
      </x:c>
      <x:c r="F163" s="19" t="str">
        <x:v>Control and evidence</x:v>
      </x:c>
      <x:c r="G163" s="27" t="n">
        <x:v>3000</x:v>
      </x:c>
      <x:c r="H163" s="19" t="str">
        <x:v>controlled dry t</x:v>
      </x:c>
      <x:c r="I163" s="21" t="str">
        <x:v>Configuration-owned physical block</x:v>
      </x:c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C164" s="19" t="str">
        <x:v>MS-RT|D|06</x:v>
      </x:c>
      <x:c r="D164" s="19" t="str">
        <x:v>MS-RT|D</x:v>
      </x:c>
      <x:c r="E164" s="19" t="str">
        <x:v>MS-RT</x:v>
      </x:c>
      <x:c r="F164" s="19" t="str">
        <x:v>Safety and habitability</x:v>
      </x:c>
      <x:c r="G164" s="27" t="n">
        <x:v>5000</x:v>
      </x:c>
      <x:c r="H164" s="19" t="str">
        <x:v>controlled dry t</x:v>
      </x:c>
      <x:c r="I164" s="21" t="str">
        <x:v>Configuration-owned physical block</x:v>
      </x:c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C165" s="19" t="str">
        <x:v>MS-RT|D|07</x:v>
      </x:c>
      <x:c r="D165" s="19" t="str">
        <x:v>MS-RT|D</x:v>
      </x:c>
      <x:c r="E165" s="19" t="str">
        <x:v>MS-RT</x:v>
      </x:c>
      <x:c r="F165" s="19" t="str">
        <x:v>Repair and reserve</x:v>
      </x:c>
      <x:c r="G165" s="27" t="n">
        <x:v>8000</x:v>
      </x:c>
      <x:c r="H165" s="19" t="str">
        <x:v>controlled dry t</x:v>
      </x:c>
      <x:c r="I165" s="21" t="str">
        <x:v>Configuration-owned physical block</x:v>
      </x:c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C166" s="23" t="str">
        <x:v>MS-RT|D|08</x:v>
      </x:c>
      <x:c r="D166" s="23" t="str">
        <x:v>MS-RT|D</x:v>
      </x:c>
      <x:c r="E166" s="23" t="str">
        <x:v>MS-RT</x:v>
      </x:c>
      <x:c r="F166" s="23" t="str">
        <x:v>Residual control</x:v>
      </x:c>
      <x:c r="G166" s="28" t="n">
        <x:v>6000</x:v>
      </x:c>
      <x:c r="H166" s="23" t="str">
        <x:v>controlled dry t</x:v>
      </x:c>
      <x:c r="I166" s="25" t="str">
        <x:v>Configuration-owned physical block</x:v>
      </x:c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C167" s="2"/>
      <x:c r="D167" s="2"/>
      <x:c r="E167" s="2"/>
      <x:c r="F167" s="2"/>
      <x:c r="G167" s="2"/>
      <x:c r="H167" s="2"/>
      <x:c r="I167" s="2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C168" s="2"/>
      <x:c r="D168" s="2"/>
      <x:c r="E168" s="2"/>
      <x:c r="F168" s="2"/>
      <x:c r="G168" s="2"/>
      <x:c r="H168" s="2"/>
      <x:c r="I168" s="2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C169" s="2"/>
      <x:c r="D169" s="2"/>
      <x:c r="E169" s="2"/>
      <x:c r="F169" s="2"/>
      <x:c r="G169" s="2"/>
      <x:c r="H169" s="2"/>
      <x:c r="I169" s="2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C170" s="2"/>
      <x:c r="D170" s="2"/>
      <x:c r="E170" s="2"/>
      <x:c r="F170" s="2"/>
      <x:c r="G170" s="2"/>
      <x:c r="H170" s="2"/>
      <x:c r="I170" s="2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Mass and deployment-envelope closure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A configuration must fit intact and after loss of its largest independent access cell.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Root</x:v>
      </x:c>
      <x:c r="D6" s="18" t="str">
        <x:v>System</x:v>
      </x:c>
      <x:c r="E6" s="18" t="str">
        <x:v>Dry mass t</x:v>
      </x:c>
      <x:c r="F6" s="18" t="str">
        <x:v>Mission stock t</x:v>
      </x:c>
      <x:c r="G6" s="18" t="str">
        <x:v>Deployment mass t</x:v>
      </x:c>
      <x:c r="H6" s="18" t="str">
        <x:v>Access cells</x:v>
      </x:c>
      <x:c r="I6" s="18" t="str">
        <x:v>Envelope/cell t</x:v>
      </x:c>
      <x:c r="J6" s="18" t="str">
        <x:v>Intact envelope t</x:v>
      </x:c>
      <x:c r="K6" s="18" t="str">
        <x:v>Loss envelope t</x:v>
      </x:c>
      <x:c r="L6" s="18" t="str">
        <x:v>Intact margin</x:v>
      </x:c>
      <x:c r="M6" s="18" t="str">
        <x:v>Loss margin</x:v>
      </x:c>
      <x:c r="N6" s="18" t="str">
        <x:v>State</x:v>
      </x:c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</x:v>
      </x:c>
      <x:c r="D7" s="19" t="str">
        <x:v>MS-ET</x:v>
      </x:c>
      <x:c r="E7" s="31" t="n">
        <x:f>SUMIF('Component Bill'!$D$7:$D$166,C7,'Component Bill'!$G$7:$G$166)</x:f>
        <x:v>89000</x:v>
      </x:c>
      <x:c r="F7" s="27" t="n">
        <x:v>13000</x:v>
      </x:c>
      <x:c r="G7" s="31" t="n">
        <x:f>E7+F7</x:f>
        <x:v>102000</x:v>
      </x:c>
      <x:c r="H7" s="27" t="n">
        <x:v>8</x:v>
      </x:c>
      <x:c r="I7" s="27" t="n">
        <x:v>16000</x:v>
      </x:c>
      <x:c r="J7" s="31" t="n">
        <x:f>H7*I7</x:f>
        <x:v>128000</x:v>
      </x:c>
      <x:c r="K7" s="31" t="n">
        <x:f>(H7-1)*I7</x:f>
        <x:v>112000</x:v>
      </x:c>
      <x:c r="L7" s="32" t="n">
        <x:f>J7/G7</x:f>
        <x:v>1.2549019607843137</x:v>
      </x:c>
      <x:c r="M7" s="32" t="n">
        <x:f>K7/G7</x:f>
        <x:v>1.0980392156862746</x:v>
      </x:c>
      <x:c r="N7" s="21" t="str">
        <x:f>IF(AND(L7&gt;=Controls!$D$7,M7&gt;=Controls!$D$8),"PASS","FAIL")</x:f>
        <x:v>PASS</x:v>
      </x:c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MS-ET|B</x:v>
      </x:c>
      <x:c r="D8" s="19" t="str">
        <x:v>MS-ET</x:v>
      </x:c>
      <x:c r="E8" s="31" t="n">
        <x:f>SUMIF('Component Bill'!$D$7:$D$166,C8,'Component Bill'!$G$7:$G$166)</x:f>
        <x:v>58000</x:v>
      </x:c>
      <x:c r="F8" s="27" t="n">
        <x:v>10000</x:v>
      </x:c>
      <x:c r="G8" s="31" t="n">
        <x:f>E8+F8</x:f>
        <x:v>68000</x:v>
      </x:c>
      <x:c r="H8" s="27" t="n">
        <x:v>12</x:v>
      </x:c>
      <x:c r="I8" s="27" t="n">
        <x:v>6600</x:v>
      </x:c>
      <x:c r="J8" s="31" t="n">
        <x:f>H8*I8</x:f>
        <x:v>79200</x:v>
      </x:c>
      <x:c r="K8" s="31" t="n">
        <x:f>(H8-1)*I8</x:f>
        <x:v>72600</x:v>
      </x:c>
      <x:c r="L8" s="32" t="n">
        <x:f>J8/G8</x:f>
        <x:v>1.1647058823529413</x:v>
      </x:c>
      <x:c r="M8" s="32" t="n">
        <x:f>K8/G8</x:f>
        <x:v>1.0676470588235294</x:v>
      </x:c>
      <x:c r="N8" s="21" t="str">
        <x:f>IF(AND(L8&gt;=Controls!$D$7,M8&gt;=Controls!$D$8),"PASS","FAIL")</x:f>
        <x:v>PASS</x:v>
      </x:c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MS-ET|C</x:v>
      </x:c>
      <x:c r="D9" s="19" t="str">
        <x:v>MS-ET</x:v>
      </x:c>
      <x:c r="E9" s="31" t="n">
        <x:f>SUMIF('Component Bill'!$D$7:$D$166,C9,'Component Bill'!$G$7:$G$166)</x:f>
        <x:v>74000</x:v>
      </x:c>
      <x:c r="F9" s="27" t="n">
        <x:v>12000</x:v>
      </x:c>
      <x:c r="G9" s="31" t="n">
        <x:f>E9+F9</x:f>
        <x:v>86000</x:v>
      </x:c>
      <x:c r="H9" s="27" t="n">
        <x:v>10</x:v>
      </x:c>
      <x:c r="I9" s="27" t="n">
        <x:v>10000</x:v>
      </x:c>
      <x:c r="J9" s="31" t="n">
        <x:f>H9*I9</x:f>
        <x:v>100000</x:v>
      </x:c>
      <x:c r="K9" s="31" t="n">
        <x:f>(H9-1)*I9</x:f>
        <x:v>90000</x:v>
      </x:c>
      <x:c r="L9" s="32" t="n">
        <x:f>J9/G9</x:f>
        <x:v>1.1627906976744187</x:v>
      </x:c>
      <x:c r="M9" s="32" t="n">
        <x:f>K9/G9</x:f>
        <x:v>1.0465116279069768</x:v>
      </x:c>
      <x:c r="N9" s="21" t="str">
        <x:f>IF(AND(L9&gt;=Controls!$D$7,M9&gt;=Controls!$D$8),"PASS","FAIL")</x:f>
        <x:v>PASS</x:v>
      </x:c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MS-ET|D</x:v>
      </x:c>
      <x:c r="D10" s="19" t="str">
        <x:v>MS-ET</x:v>
      </x:c>
      <x:c r="E10" s="31" t="n">
        <x:f>SUMIF('Component Bill'!$D$7:$D$166,C10,'Component Bill'!$G$7:$G$166)</x:f>
        <x:v>52000</x:v>
      </x:c>
      <x:c r="F10" s="27" t="n">
        <x:v>8000</x:v>
      </x:c>
      <x:c r="G10" s="31" t="n">
        <x:f>E10+F10</x:f>
        <x:v>60000</x:v>
      </x:c>
      <x:c r="H10" s="27" t="n">
        <x:v>12</x:v>
      </x:c>
      <x:c r="I10" s="27" t="n">
        <x:v>5800</x:v>
      </x:c>
      <x:c r="J10" s="31" t="n">
        <x:f>H10*I10</x:f>
        <x:v>69600</x:v>
      </x:c>
      <x:c r="K10" s="31" t="n">
        <x:f>(H10-1)*I10</x:f>
        <x:v>63800</x:v>
      </x:c>
      <x:c r="L10" s="32" t="n">
        <x:f>J10/G10</x:f>
        <x:v>1.16</x:v>
      </x:c>
      <x:c r="M10" s="32" t="n">
        <x:f>K10/G10</x:f>
        <x:v>1.0633333333333332</x:v>
      </x:c>
      <x:c r="N10" s="21" t="str">
        <x:f>IF(AND(L10&gt;=Controls!$D$7,M10&gt;=Controls!$D$8),"PASS","FAIL")</x:f>
        <x:v>PASS</x:v>
      </x:c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MS-CT|A</x:v>
      </x:c>
      <x:c r="D11" s="19" t="str">
        <x:v>MS-CT</x:v>
      </x:c>
      <x:c r="E11" s="31" t="n">
        <x:f>SUMIF('Component Bill'!$D$7:$D$166,C11,'Component Bill'!$G$7:$G$166)</x:f>
        <x:v>16000</x:v>
      </x:c>
      <x:c r="F11" s="27" t="n">
        <x:v>2400</x:v>
      </x:c>
      <x:c r="G11" s="31" t="n">
        <x:f>E11+F11</x:f>
        <x:v>18400</x:v>
      </x:c>
      <x:c r="H11" s="27" t="n">
        <x:v>8</x:v>
      </x:c>
      <x:c r="I11" s="27" t="n">
        <x:v>2700</x:v>
      </x:c>
      <x:c r="J11" s="31" t="n">
        <x:f>H11*I11</x:f>
        <x:v>21600</x:v>
      </x:c>
      <x:c r="K11" s="31" t="n">
        <x:f>(H11-1)*I11</x:f>
        <x:v>18900</x:v>
      </x:c>
      <x:c r="L11" s="32" t="n">
        <x:f>J11/G11</x:f>
        <x:v>1.173913043478261</x:v>
      </x:c>
      <x:c r="M11" s="32" t="n">
        <x:f>K11/G11</x:f>
        <x:v>1.0271739130434783</x:v>
      </x:c>
      <x:c r="N11" s="21" t="str">
        <x:f>IF(AND(L11&gt;=Controls!$D$7,M11&gt;=Controls!$D$8),"PASS","FAIL")</x:f>
        <x:v>PASS</x:v>
      </x:c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MS-CT|B</x:v>
      </x:c>
      <x:c r="D12" s="19" t="str">
        <x:v>MS-CT</x:v>
      </x:c>
      <x:c r="E12" s="31" t="n">
        <x:f>SUMIF('Component Bill'!$D$7:$D$166,C12,'Component Bill'!$G$7:$G$166)</x:f>
        <x:v>21000</x:v>
      </x:c>
      <x:c r="F12" s="27" t="n">
        <x:v>3000</x:v>
      </x:c>
      <x:c r="G12" s="31" t="n">
        <x:f>E12+F12</x:f>
        <x:v>24000</x:v>
      </x:c>
      <x:c r="H12" s="27" t="n">
        <x:v>10</x:v>
      </x:c>
      <x:c r="I12" s="27" t="n">
        <x:v>2800</x:v>
      </x:c>
      <x:c r="J12" s="31" t="n">
        <x:f>H12*I12</x:f>
        <x:v>28000</x:v>
      </x:c>
      <x:c r="K12" s="31" t="n">
        <x:f>(H12-1)*I12</x:f>
        <x:v>25200</x:v>
      </x:c>
      <x:c r="L12" s="32" t="n">
        <x:f>J12/G12</x:f>
        <x:v>1.1666666666666667</x:v>
      </x:c>
      <x:c r="M12" s="32" t="n">
        <x:f>K12/G12</x:f>
        <x:v>1.05</x:v>
      </x:c>
      <x:c r="N12" s="21" t="str">
        <x:f>IF(AND(L12&gt;=Controls!$D$7,M12&gt;=Controls!$D$8),"PASS","FAIL")</x:f>
        <x:v>PASS</x:v>
      </x:c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MS-CT|C</x:v>
      </x:c>
      <x:c r="D13" s="19" t="str">
        <x:v>MS-CT</x:v>
      </x:c>
      <x:c r="E13" s="31" t="n">
        <x:f>SUMIF('Component Bill'!$D$7:$D$166,C13,'Component Bill'!$G$7:$G$166)</x:f>
        <x:v>27000</x:v>
      </x:c>
      <x:c r="F13" s="27" t="n">
        <x:v>4000</x:v>
      </x:c>
      <x:c r="G13" s="31" t="n">
        <x:f>E13+F13</x:f>
        <x:v>31000</x:v>
      </x:c>
      <x:c r="H13" s="27" t="n">
        <x:v>10</x:v>
      </x:c>
      <x:c r="I13" s="27" t="n">
        <x:v>3600</x:v>
      </x:c>
      <x:c r="J13" s="31" t="n">
        <x:f>H13*I13</x:f>
        <x:v>36000</x:v>
      </x:c>
      <x:c r="K13" s="31" t="n">
        <x:f>(H13-1)*I13</x:f>
        <x:v>32400</x:v>
      </x:c>
      <x:c r="L13" s="32" t="n">
        <x:f>J13/G13</x:f>
        <x:v>1.1612903225806452</x:v>
      </x:c>
      <x:c r="M13" s="32" t="n">
        <x:f>K13/G13</x:f>
        <x:v>1.0451612903225806</x:v>
      </x:c>
      <x:c r="N13" s="21" t="str">
        <x:f>IF(AND(L13&gt;=Controls!$D$7,M13&gt;=Controls!$D$8),"PASS","FAIL")</x:f>
        <x:v>PASS</x:v>
      </x:c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MS-CT|D</x:v>
      </x:c>
      <x:c r="D14" s="19" t="str">
        <x:v>MS-CT</x:v>
      </x:c>
      <x:c r="E14" s="31" t="n">
        <x:f>SUMIF('Component Bill'!$D$7:$D$166,C14,'Component Bill'!$G$7:$G$166)</x:f>
        <x:v>19000</x:v>
      </x:c>
      <x:c r="F14" s="27" t="n">
        <x:v>3000</x:v>
      </x:c>
      <x:c r="G14" s="31" t="n">
        <x:f>E14+F14</x:f>
        <x:v>22000</x:v>
      </x:c>
      <x:c r="H14" s="27" t="n">
        <x:v>11</x:v>
      </x:c>
      <x:c r="I14" s="27" t="n">
        <x:v>2350</x:v>
      </x:c>
      <x:c r="J14" s="31" t="n">
        <x:f>H14*I14</x:f>
        <x:v>25850</x:v>
      </x:c>
      <x:c r="K14" s="31" t="n">
        <x:f>(H14-1)*I14</x:f>
        <x:v>23500</x:v>
      </x:c>
      <x:c r="L14" s="32" t="n">
        <x:f>J14/G14</x:f>
        <x:v>1.175</x:v>
      </x:c>
      <x:c r="M14" s="32" t="n">
        <x:f>K14/G14</x:f>
        <x:v>1.0681818181818181</x:v>
      </x:c>
      <x:c r="N14" s="21" t="str">
        <x:f>IF(AND(L14&gt;=Controls!$D$7,M14&gt;=Controls!$D$8),"PASS","FAIL")</x:f>
        <x:v>PASS</x:v>
      </x:c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MS-HC|A</x:v>
      </x:c>
      <x:c r="D15" s="19" t="str">
        <x:v>MS-HC</x:v>
      </x:c>
      <x:c r="E15" s="31" t="n">
        <x:f>SUMIF('Component Bill'!$D$7:$D$166,C15,'Component Bill'!$G$7:$G$166)</x:f>
        <x:v>44000</x:v>
      </x:c>
      <x:c r="F15" s="27" t="n">
        <x:v>10000</x:v>
      </x:c>
      <x:c r="G15" s="31" t="n">
        <x:f>E15+F15</x:f>
        <x:v>54000</x:v>
      </x:c>
      <x:c r="H15" s="27" t="n">
        <x:v>10</x:v>
      </x:c>
      <x:c r="I15" s="27" t="n">
        <x:v>6300</x:v>
      </x:c>
      <x:c r="J15" s="31" t="n">
        <x:f>H15*I15</x:f>
        <x:v>63000</x:v>
      </x:c>
      <x:c r="K15" s="31" t="n">
        <x:f>(H15-1)*I15</x:f>
        <x:v>56700</x:v>
      </x:c>
      <x:c r="L15" s="32" t="n">
        <x:f>J15/G15</x:f>
        <x:v>1.1666666666666667</x:v>
      </x:c>
      <x:c r="M15" s="32" t="n">
        <x:f>K15/G15</x:f>
        <x:v>1.05</x:v>
      </x:c>
      <x:c r="N15" s="21" t="str">
        <x:f>IF(AND(L15&gt;=Controls!$D$7,M15&gt;=Controls!$D$8),"PASS","FAIL")</x:f>
        <x:v>PASS</x:v>
      </x:c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MS-HC|B</x:v>
      </x:c>
      <x:c r="D16" s="19" t="str">
        <x:v>MS-HC</x:v>
      </x:c>
      <x:c r="E16" s="31" t="n">
        <x:f>SUMIF('Component Bill'!$D$7:$D$166,C16,'Component Bill'!$G$7:$G$166)</x:f>
        <x:v>61000</x:v>
      </x:c>
      <x:c r="F16" s="27" t="n">
        <x:v>14000</x:v>
      </x:c>
      <x:c r="G16" s="31" t="n">
        <x:f>E16+F16</x:f>
        <x:v>75000</x:v>
      </x:c>
      <x:c r="H16" s="27" t="n">
        <x:v>9</x:v>
      </x:c>
      <x:c r="I16" s="27" t="n">
        <x:v>10000</x:v>
      </x:c>
      <x:c r="J16" s="31" t="n">
        <x:f>H16*I16</x:f>
        <x:v>90000</x:v>
      </x:c>
      <x:c r="K16" s="31" t="n">
        <x:f>(H16-1)*I16</x:f>
        <x:v>80000</x:v>
      </x:c>
      <x:c r="L16" s="32" t="n">
        <x:f>J16/G16</x:f>
        <x:v>1.2</x:v>
      </x:c>
      <x:c r="M16" s="32" t="n">
        <x:f>K16/G16</x:f>
        <x:v>1.0666666666666667</x:v>
      </x:c>
      <x:c r="N16" s="21" t="str">
        <x:f>IF(AND(L16&gt;=Controls!$D$7,M16&gt;=Controls!$D$8),"PASS","FAIL")</x:f>
        <x:v>PASS</x:v>
      </x:c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MS-HC|C</x:v>
      </x:c>
      <x:c r="D17" s="19" t="str">
        <x:v>MS-HC</x:v>
      </x:c>
      <x:c r="E17" s="31" t="n">
        <x:f>SUMIF('Component Bill'!$D$7:$D$166,C17,'Component Bill'!$G$7:$G$166)</x:f>
        <x:v>52000</x:v>
      </x:c>
      <x:c r="F17" s="27" t="n">
        <x:v>12000</x:v>
      </x:c>
      <x:c r="G17" s="31" t="n">
        <x:f>E17+F17</x:f>
        <x:v>64000</x:v>
      </x:c>
      <x:c r="H17" s="27" t="n">
        <x:v>9</x:v>
      </x:c>
      <x:c r="I17" s="27" t="n">
        <x:v>8300</x:v>
      </x:c>
      <x:c r="J17" s="31" t="n">
        <x:f>H17*I17</x:f>
        <x:v>74700</x:v>
      </x:c>
      <x:c r="K17" s="31" t="n">
        <x:f>(H17-1)*I17</x:f>
        <x:v>66400</x:v>
      </x:c>
      <x:c r="L17" s="32" t="n">
        <x:f>J17/G17</x:f>
        <x:v>1.1671875</x:v>
      </x:c>
      <x:c r="M17" s="32" t="n">
        <x:f>K17/G17</x:f>
        <x:v>1.0375</x:v>
      </x:c>
      <x:c r="N17" s="21" t="str">
        <x:f>IF(AND(L17&gt;=Controls!$D$7,M17&gt;=Controls!$D$8),"PASS","FAIL")</x:f>
        <x:v>PASS</x:v>
      </x:c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MS-HC|D</x:v>
      </x:c>
      <x:c r="D18" s="19" t="str">
        <x:v>MS-HC</x:v>
      </x:c>
      <x:c r="E18" s="31" t="n">
        <x:f>SUMIF('Component Bill'!$D$7:$D$166,C18,'Component Bill'!$G$7:$G$166)</x:f>
        <x:v>33000</x:v>
      </x:c>
      <x:c r="F18" s="27" t="n">
        <x:v>7000</x:v>
      </x:c>
      <x:c r="G18" s="31" t="n">
        <x:f>E18+F18</x:f>
        <x:v>40000</x:v>
      </x:c>
      <x:c r="H18" s="27" t="n">
        <x:v>9</x:v>
      </x:c>
      <x:c r="I18" s="27" t="n">
        <x:v>5200</x:v>
      </x:c>
      <x:c r="J18" s="31" t="n">
        <x:f>H18*I18</x:f>
        <x:v>46800</x:v>
      </x:c>
      <x:c r="K18" s="31" t="n">
        <x:f>(H18-1)*I18</x:f>
        <x:v>41600</x:v>
      </x:c>
      <x:c r="L18" s="32" t="n">
        <x:f>J18/G18</x:f>
        <x:v>1.17</x:v>
      </x:c>
      <x:c r="M18" s="32" t="n">
        <x:f>K18/G18</x:f>
        <x:v>1.04</x:v>
      </x:c>
      <x:c r="N18" s="21" t="str">
        <x:f>IF(AND(L18&gt;=Controls!$D$7,M18&gt;=Controls!$D$8),"PASS","FAIL")</x:f>
        <x:v>PASS</x:v>
      </x:c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MS-HU|A</x:v>
      </x:c>
      <x:c r="D19" s="19" t="str">
        <x:v>MS-HU</x:v>
      </x:c>
      <x:c r="E19" s="31" t="n">
        <x:f>SUMIF('Component Bill'!$D$7:$D$166,C19,'Component Bill'!$G$7:$G$166)</x:f>
        <x:v>42000</x:v>
      </x:c>
      <x:c r="F19" s="27" t="n">
        <x:v>8000</x:v>
      </x:c>
      <x:c r="G19" s="31" t="n">
        <x:f>E19+F19</x:f>
        <x:v>50000</x:v>
      </x:c>
      <x:c r="H19" s="27" t="n">
        <x:v>8</x:v>
      </x:c>
      <x:c r="I19" s="27" t="n">
        <x:v>7200</x:v>
      </x:c>
      <x:c r="J19" s="31" t="n">
        <x:f>H19*I19</x:f>
        <x:v>57600</x:v>
      </x:c>
      <x:c r="K19" s="31" t="n">
        <x:f>(H19-1)*I19</x:f>
        <x:v>50400</x:v>
      </x:c>
      <x:c r="L19" s="32" t="n">
        <x:f>J19/G19</x:f>
        <x:v>1.152</x:v>
      </x:c>
      <x:c r="M19" s="32" t="n">
        <x:f>K19/G19</x:f>
        <x:v>1.008</x:v>
      </x:c>
      <x:c r="N19" s="21" t="str">
        <x:f>IF(AND(L19&gt;=Controls!$D$7,M19&gt;=Controls!$D$8),"PASS","FAIL")</x:f>
        <x:v>PASS</x:v>
      </x:c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MS-HU|B</x:v>
      </x:c>
      <x:c r="D20" s="19" t="str">
        <x:v>MS-HU</x:v>
      </x:c>
      <x:c r="E20" s="31" t="n">
        <x:f>SUMIF('Component Bill'!$D$7:$D$166,C20,'Component Bill'!$G$7:$G$166)</x:f>
        <x:v>31000</x:v>
      </x:c>
      <x:c r="F20" s="27" t="n">
        <x:v>7000</x:v>
      </x:c>
      <x:c r="G20" s="31" t="n">
        <x:f>E20+F20</x:f>
        <x:v>38000</x:v>
      </x:c>
      <x:c r="H20" s="27" t="n">
        <x:v>9</x:v>
      </x:c>
      <x:c r="I20" s="27" t="n">
        <x:v>5000</x:v>
      </x:c>
      <x:c r="J20" s="31" t="n">
        <x:f>H20*I20</x:f>
        <x:v>45000</x:v>
      </x:c>
      <x:c r="K20" s="31" t="n">
        <x:f>(H20-1)*I20</x:f>
        <x:v>40000</x:v>
      </x:c>
      <x:c r="L20" s="32" t="n">
        <x:f>J20/G20</x:f>
        <x:v>1.1842105263157894</x:v>
      </x:c>
      <x:c r="M20" s="32" t="n">
        <x:f>K20/G20</x:f>
        <x:v>1.0526315789473684</x:v>
      </x:c>
      <x:c r="N20" s="21" t="str">
        <x:f>IF(AND(L20&gt;=Controls!$D$7,M20&gt;=Controls!$D$8),"PASS","FAIL")</x:f>
        <x:v>PASS</x:v>
      </x:c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MS-HU|C</x:v>
      </x:c>
      <x:c r="D21" s="19" t="str">
        <x:v>MS-HU</x:v>
      </x:c>
      <x:c r="E21" s="31" t="n">
        <x:f>SUMIF('Component Bill'!$D$7:$D$166,C21,'Component Bill'!$G$7:$G$166)</x:f>
        <x:v>38000</x:v>
      </x:c>
      <x:c r="F21" s="27" t="n">
        <x:v>8000</x:v>
      </x:c>
      <x:c r="G21" s="31" t="n">
        <x:f>E21+F21</x:f>
        <x:v>46000</x:v>
      </x:c>
      <x:c r="H21" s="27" t="n">
        <x:v>9</x:v>
      </x:c>
      <x:c r="I21" s="27" t="n">
        <x:v>6000</x:v>
      </x:c>
      <x:c r="J21" s="31" t="n">
        <x:f>H21*I21</x:f>
        <x:v>54000</x:v>
      </x:c>
      <x:c r="K21" s="31" t="n">
        <x:f>(H21-1)*I21</x:f>
        <x:v>48000</x:v>
      </x:c>
      <x:c r="L21" s="32" t="n">
        <x:f>J21/G21</x:f>
        <x:v>1.173913043478261</x:v>
      </x:c>
      <x:c r="M21" s="32" t="n">
        <x:f>K21/G21</x:f>
        <x:v>1.0434782608695652</x:v>
      </x:c>
      <x:c r="N21" s="21" t="str">
        <x:f>IF(AND(L21&gt;=Controls!$D$7,M21&gt;=Controls!$D$8),"PASS","FAIL")</x:f>
        <x:v>PASS</x:v>
      </x:c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MS-HU|D</x:v>
      </x:c>
      <x:c r="D22" s="19" t="str">
        <x:v>MS-HU</x:v>
      </x:c>
      <x:c r="E22" s="31" t="n">
        <x:f>SUMIF('Component Bill'!$D$7:$D$166,C22,'Component Bill'!$G$7:$G$166)</x:f>
        <x:v>24000</x:v>
      </x:c>
      <x:c r="F22" s="27" t="n">
        <x:v>5000</x:v>
      </x:c>
      <x:c r="G22" s="31" t="n">
        <x:f>E22+F22</x:f>
        <x:v>29000</x:v>
      </x:c>
      <x:c r="H22" s="27" t="n">
        <x:v>8</x:v>
      </x:c>
      <x:c r="I22" s="27" t="n">
        <x:v>4200</x:v>
      </x:c>
      <x:c r="J22" s="31" t="n">
        <x:f>H22*I22</x:f>
        <x:v>33600</x:v>
      </x:c>
      <x:c r="K22" s="31" t="n">
        <x:f>(H22-1)*I22</x:f>
        <x:v>29400</x:v>
      </x:c>
      <x:c r="L22" s="32" t="n">
        <x:f>J22/G22</x:f>
        <x:v>1.1586206896551725</x:v>
      </x:c>
      <x:c r="M22" s="32" t="n">
        <x:f>K22/G22</x:f>
        <x:v>1.013793103448276</x:v>
      </x:c>
      <x:c r="N22" s="21" t="str">
        <x:f>IF(AND(L22&gt;=Controls!$D$7,M22&gt;=Controls!$D$8),"PASS","FAIL")</x:f>
        <x:v>PASS</x:v>
      </x:c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MS-RT|A</x:v>
      </x:c>
      <x:c r="D23" s="19" t="str">
        <x:v>MS-RT</x:v>
      </x:c>
      <x:c r="E23" s="31" t="n">
        <x:f>SUMIF('Component Bill'!$D$7:$D$166,C23,'Component Bill'!$G$7:$G$166)</x:f>
        <x:v>96000</x:v>
      </x:c>
      <x:c r="F23" s="27" t="n">
        <x:v>22000</x:v>
      </x:c>
      <x:c r="G23" s="31" t="n">
        <x:f>E23+F23</x:f>
        <x:v>118000</x:v>
      </x:c>
      <x:c r="H23" s="27" t="n">
        <x:v>9</x:v>
      </x:c>
      <x:c r="I23" s="27" t="n">
        <x:v>15300</x:v>
      </x:c>
      <x:c r="J23" s="31" t="n">
        <x:f>H23*I23</x:f>
        <x:v>137700</x:v>
      </x:c>
      <x:c r="K23" s="31" t="n">
        <x:f>(H23-1)*I23</x:f>
        <x:v>122400</x:v>
      </x:c>
      <x:c r="L23" s="32" t="n">
        <x:f>J23/G23</x:f>
        <x:v>1.166949152542373</x:v>
      </x:c>
      <x:c r="M23" s="32" t="n">
        <x:f>K23/G23</x:f>
        <x:v>1.0372881355932204</x:v>
      </x:c>
      <x:c r="N23" s="21" t="str">
        <x:f>IF(AND(L23&gt;=Controls!$D$7,M23&gt;=Controls!$D$8),"PASS","FAIL")</x:f>
        <x:v>PASS</x:v>
      </x:c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MS-RT|B</x:v>
      </x:c>
      <x:c r="D24" s="19" t="str">
        <x:v>MS-RT</x:v>
      </x:c>
      <x:c r="E24" s="31" t="n">
        <x:f>SUMIF('Component Bill'!$D$7:$D$166,C24,'Component Bill'!$G$7:$G$166)</x:f>
        <x:v>58000</x:v>
      </x:c>
      <x:c r="F24" s="27" t="n">
        <x:v>14000</x:v>
      </x:c>
      <x:c r="G24" s="31" t="n">
        <x:f>E24+F24</x:f>
        <x:v>72000</x:v>
      </x:c>
      <x:c r="H24" s="27" t="n">
        <x:v>10</x:v>
      </x:c>
      <x:c r="I24" s="27" t="n">
        <x:v>8400</x:v>
      </x:c>
      <x:c r="J24" s="31" t="n">
        <x:f>H24*I24</x:f>
        <x:v>84000</x:v>
      </x:c>
      <x:c r="K24" s="31" t="n">
        <x:f>(H24-1)*I24</x:f>
        <x:v>75600</x:v>
      </x:c>
      <x:c r="L24" s="32" t="n">
        <x:f>J24/G24</x:f>
        <x:v>1.1666666666666667</x:v>
      </x:c>
      <x:c r="M24" s="32" t="n">
        <x:f>K24/G24</x:f>
        <x:v>1.05</x:v>
      </x:c>
      <x:c r="N24" s="21" t="str">
        <x:f>IF(AND(L24&gt;=Controls!$D$7,M24&gt;=Controls!$D$8),"PASS","FAIL")</x:f>
        <x:v>PASS</x:v>
      </x:c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MS-RT|C</x:v>
      </x:c>
      <x:c r="D25" s="19" t="str">
        <x:v>MS-RT</x:v>
      </x:c>
      <x:c r="E25" s="31" t="n">
        <x:f>SUMIF('Component Bill'!$D$7:$D$166,C25,'Component Bill'!$G$7:$G$166)</x:f>
        <x:v>72000</x:v>
      </x:c>
      <x:c r="F25" s="27" t="n">
        <x:v>18000</x:v>
      </x:c>
      <x:c r="G25" s="31" t="n">
        <x:f>E25+F25</x:f>
        <x:v>90000</x:v>
      </x:c>
      <x:c r="H25" s="27" t="n">
        <x:v>10</x:v>
      </x:c>
      <x:c r="I25" s="27" t="n">
        <x:v>10500</x:v>
      </x:c>
      <x:c r="J25" s="31" t="n">
        <x:f>H25*I25</x:f>
        <x:v>105000</x:v>
      </x:c>
      <x:c r="K25" s="31" t="n">
        <x:f>(H25-1)*I25</x:f>
        <x:v>94500</x:v>
      </x:c>
      <x:c r="L25" s="32" t="n">
        <x:f>J25/G25</x:f>
        <x:v>1.1666666666666667</x:v>
      </x:c>
      <x:c r="M25" s="32" t="n">
        <x:f>K25/G25</x:f>
        <x:v>1.05</x:v>
      </x:c>
      <x:c r="N25" s="21" t="str">
        <x:f>IF(AND(L25&gt;=Controls!$D$7,M25&gt;=Controls!$D$8),"PASS","FAIL")</x:f>
        <x:v>PASS</x:v>
      </x:c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3" t="str">
        <x:v>MS-RT|D</x:v>
      </x:c>
      <x:c r="D26" s="23" t="str">
        <x:v>MS-RT</x:v>
      </x:c>
      <x:c r="E26" s="33" t="n">
        <x:f>SUMIF('Component Bill'!$D$7:$D$166,C26,'Component Bill'!$G$7:$G$166)</x:f>
        <x:v>84000</x:v>
      </x:c>
      <x:c r="F26" s="28" t="n">
        <x:v>20000</x:v>
      </x:c>
      <x:c r="G26" s="33" t="n">
        <x:f>E26+F26</x:f>
        <x:v>104000</x:v>
      </x:c>
      <x:c r="H26" s="28" t="n">
        <x:v>9</x:v>
      </x:c>
      <x:c r="I26" s="28" t="n">
        <x:v>13500</x:v>
      </x:c>
      <x:c r="J26" s="33" t="n">
        <x:f>H26*I26</x:f>
        <x:v>121500</x:v>
      </x:c>
      <x:c r="K26" s="33" t="n">
        <x:f>(H26-1)*I26</x:f>
        <x:v>108000</x:v>
      </x:c>
      <x:c r="L26" s="34" t="n">
        <x:f>J26/G26</x:f>
        <x:v>1.1682692307692308</x:v>
      </x:c>
      <x:c r="M26" s="34" t="n">
        <x:f>K26/G26</x:f>
        <x:v>1.0384615384615385</x:v>
      </x:c>
      <x:c r="N26" s="25" t="str">
        <x:f>IF(AND(L26&gt;=Controls!$D$7,M26&gt;=Controls!$D$8),"PASS","FAIL")</x:f>
        <x:v>PASS</x:v>
      </x:c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Firm energy and black-start closure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Generation and stored critical energy must both survive one independent cell loss.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Root</x:v>
      </x:c>
      <x:c r="D6" s="18" t="str">
        <x:v>System</x:v>
      </x:c>
      <x:c r="E6" s="18" t="str">
        <x:v>Peak load MW</x:v>
      </x:c>
      <x:c r="F6" s="18" t="str">
        <x:v>Critical share</x:v>
      </x:c>
      <x:c r="G6" s="18" t="str">
        <x:v>Black-start h</x:v>
      </x:c>
      <x:c r="H6" s="18" t="str">
        <x:v>Storage required MWh</x:v>
      </x:c>
      <x:c r="I6" s="18" t="str">
        <x:v>Storage cells</x:v>
      </x:c>
      <x:c r="J6" s="18" t="str">
        <x:v>Storage installed MWh</x:v>
      </x:c>
      <x:c r="K6" s="18" t="str">
        <x:v>Storage after loss MWh</x:v>
      </x:c>
      <x:c r="L6" s="18" t="str">
        <x:v>Generation cells</x:v>
      </x:c>
      <x:c r="M6" s="18" t="str">
        <x:v>MW/cell</x:v>
      </x:c>
      <x:c r="N6" s="18" t="str">
        <x:v>Intact firm MW</x:v>
      </x:c>
      <x:c r="O6" s="18" t="str">
        <x:v>Firm after loss MW</x:v>
      </x:c>
      <x:c r="P6" s="18" t="str">
        <x:v>Intact margin</x:v>
      </x:c>
      <x:c r="Q6" s="18" t="str">
        <x:v>Loss margin</x:v>
      </x:c>
      <x:c r="R6" s="18" t="str">
        <x:v>State</x:v>
      </x:c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</x:v>
      </x:c>
      <x:c r="D7" s="19" t="str">
        <x:v>MS-ET</x:v>
      </x:c>
      <x:c r="E7" s="38" t="n">
        <x:v>96</x:v>
      </x:c>
      <x:c r="F7" s="20" t="n">
        <x:v>0.4</x:v>
      </x:c>
      <x:c r="G7" s="22" t="n">
        <x:v>12</x:v>
      </x:c>
      <x:c r="H7" s="39" t="n">
        <x:f>E7*F7*G7</x:f>
        <x:v>460.80000000000007</x:v>
      </x:c>
      <x:c r="I7" s="40" t="n">
        <x:v>5</x:v>
      </x:c>
      <x:c r="J7" s="40" t="n">
        <x:v>691.2</x:v>
      </x:c>
      <x:c r="K7" s="39" t="n">
        <x:f>J7*(I7-1)/I7</x:f>
        <x:v>552.96</x:v>
      </x:c>
      <x:c r="L7" s="40" t="n">
        <x:v>6</x:v>
      </x:c>
      <x:c r="M7" s="40" t="n">
        <x:v>20</x:v>
      </x:c>
      <x:c r="N7" s="39" t="n">
        <x:f>L7*M7</x:f>
        <x:v>120</x:v>
      </x:c>
      <x:c r="O7" s="39" t="n">
        <x:f>(L7-1)*M7</x:f>
        <x:v>100</x:v>
      </x:c>
      <x:c r="P7" s="32" t="n">
        <x:f>MIN(N7/E7,J7/H7)</x:f>
        <x:v>1.25</x:v>
      </x:c>
      <x:c r="Q7" s="32" t="n">
        <x:f>MIN(O7/E7,K7/H7)</x:f>
        <x:v>1.0416666666666667</x:v>
      </x:c>
      <x:c r="R7" s="21" t="str">
        <x:f>IF(AND(P7&gt;=Controls!$D$7,Q7&gt;=Controls!$D$8),"PASS","FAIL")</x:f>
        <x:v>PASS</x:v>
      </x:c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MS-ET|B</x:v>
      </x:c>
      <x:c r="D8" s="19" t="str">
        <x:v>MS-ET</x:v>
      </x:c>
      <x:c r="E8" s="38" t="n">
        <x:v>210</x:v>
      </x:c>
      <x:c r="F8" s="20" t="n">
        <x:v>0.45</x:v>
      </x:c>
      <x:c r="G8" s="22" t="n">
        <x:v>12</x:v>
      </x:c>
      <x:c r="H8" s="39" t="n">
        <x:f>E8*F8*G8</x:f>
        <x:v>1134</x:v>
      </x:c>
      <x:c r="I8" s="40" t="n">
        <x:v>5</x:v>
      </x:c>
      <x:c r="J8" s="40" t="n">
        <x:v>1701</x:v>
      </x:c>
      <x:c r="K8" s="39" t="n">
        <x:f>J8*(I8-1)/I8</x:f>
        <x:v>1360.8</x:v>
      </x:c>
      <x:c r="L8" s="40" t="n">
        <x:v>8</x:v>
      </x:c>
      <x:c r="M8" s="40" t="n">
        <x:v>32</x:v>
      </x:c>
      <x:c r="N8" s="39" t="n">
        <x:f>L8*M8</x:f>
        <x:v>256</x:v>
      </x:c>
      <x:c r="O8" s="39" t="n">
        <x:f>(L8-1)*M8</x:f>
        <x:v>224</x:v>
      </x:c>
      <x:c r="P8" s="32" t="n">
        <x:f>MIN(N8/E8,J8/H8)</x:f>
        <x:v>1.2190476190476192</x:v>
      </x:c>
      <x:c r="Q8" s="32" t="n">
        <x:f>MIN(O8/E8,K8/H8)</x:f>
        <x:v>1.0666666666666667</x:v>
      </x:c>
      <x:c r="R8" s="21" t="str">
        <x:f>IF(AND(P8&gt;=Controls!$D$7,Q8&gt;=Controls!$D$8),"PASS","FAIL")</x:f>
        <x:v>PASS</x:v>
      </x:c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MS-ET|C</x:v>
      </x:c>
      <x:c r="D9" s="19" t="str">
        <x:v>MS-ET</x:v>
      </x:c>
      <x:c r="E9" s="38" t="n">
        <x:v>150</x:v>
      </x:c>
      <x:c r="F9" s="20" t="n">
        <x:v>0.4</x:v>
      </x:c>
      <x:c r="G9" s="22" t="n">
        <x:v>12</x:v>
      </x:c>
      <x:c r="H9" s="39" t="n">
        <x:f>E9*F9*G9</x:f>
        <x:v>720</x:v>
      </x:c>
      <x:c r="I9" s="40" t="n">
        <x:v>5</x:v>
      </x:c>
      <x:c r="J9" s="40" t="n">
        <x:v>1080</x:v>
      </x:c>
      <x:c r="K9" s="39" t="n">
        <x:f>J9*(I9-1)/I9</x:f>
        <x:v>864</x:v>
      </x:c>
      <x:c r="L9" s="40" t="n">
        <x:v>7</x:v>
      </x:c>
      <x:c r="M9" s="40" t="n">
        <x:v>27</x:v>
      </x:c>
      <x:c r="N9" s="39" t="n">
        <x:f>L9*M9</x:f>
        <x:v>189</x:v>
      </x:c>
      <x:c r="O9" s="39" t="n">
        <x:f>(L9-1)*M9</x:f>
        <x:v>162</x:v>
      </x:c>
      <x:c r="P9" s="32" t="n">
        <x:f>MIN(N9/E9,J9/H9)</x:f>
        <x:v>1.26</x:v>
      </x:c>
      <x:c r="Q9" s="32" t="n">
        <x:f>MIN(O9/E9,K9/H9)</x:f>
        <x:v>1.08</x:v>
      </x:c>
      <x:c r="R9" s="21" t="str">
        <x:f>IF(AND(P9&gt;=Controls!$D$7,Q9&gt;=Controls!$D$8),"PASS","FAIL")</x:f>
        <x:v>PASS</x:v>
      </x:c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MS-ET|D</x:v>
      </x:c>
      <x:c r="D10" s="19" t="str">
        <x:v>MS-ET</x:v>
      </x:c>
      <x:c r="E10" s="38" t="n">
        <x:v>130</x:v>
      </x:c>
      <x:c r="F10" s="20" t="n">
        <x:v>0.45</x:v>
      </x:c>
      <x:c r="G10" s="22" t="n">
        <x:v>12</x:v>
      </x:c>
      <x:c r="H10" s="39" t="n">
        <x:f>E10*F10*G10</x:f>
        <x:v>702</x:v>
      </x:c>
      <x:c r="I10" s="40" t="n">
        <x:v>5</x:v>
      </x:c>
      <x:c r="J10" s="40" t="n">
        <x:v>1053</x:v>
      </x:c>
      <x:c r="K10" s="39" t="n">
        <x:f>J10*(I10-1)/I10</x:f>
        <x:v>842.4</x:v>
      </x:c>
      <x:c r="L10" s="40" t="n">
        <x:v>7</x:v>
      </x:c>
      <x:c r="M10" s="40" t="n">
        <x:v>24</x:v>
      </x:c>
      <x:c r="N10" s="39" t="n">
        <x:f>L10*M10</x:f>
        <x:v>168</x:v>
      </x:c>
      <x:c r="O10" s="39" t="n">
        <x:f>(L10-1)*M10</x:f>
        <x:v>144</x:v>
      </x:c>
      <x:c r="P10" s="32" t="n">
        <x:f>MIN(N10/E10,J10/H10)</x:f>
        <x:v>1.2923076923076924</x:v>
      </x:c>
      <x:c r="Q10" s="32" t="n">
        <x:f>MIN(O10/E10,K10/H10)</x:f>
        <x:v>1.1076923076923078</x:v>
      </x:c>
      <x:c r="R10" s="21" t="str">
        <x:f>IF(AND(P10&gt;=Controls!$D$7,Q10&gt;=Controls!$D$8),"PASS","FAIL")</x:f>
        <x:v>PASS</x:v>
      </x:c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MS-CT|A</x:v>
      </x:c>
      <x:c r="D11" s="19" t="str">
        <x:v>MS-CT</x:v>
      </x:c>
      <x:c r="E11" s="38" t="n">
        <x:v>24</x:v>
      </x:c>
      <x:c r="F11" s="20" t="n">
        <x:v>0.55</x:v>
      </x:c>
      <x:c r="G11" s="22" t="n">
        <x:v>24</x:v>
      </x:c>
      <x:c r="H11" s="39" t="n">
        <x:f>E11*F11*G11</x:f>
        <x:v>316.8</x:v>
      </x:c>
      <x:c r="I11" s="40" t="n">
        <x:v>5</x:v>
      </x:c>
      <x:c r="J11" s="40" t="n">
        <x:v>475.20000000000005</x:v>
      </x:c>
      <x:c r="K11" s="39" t="n">
        <x:f>J11*(I11-1)/I11</x:f>
        <x:v>380.16</x:v>
      </x:c>
      <x:c r="L11" s="40" t="n">
        <x:v>6</x:v>
      </x:c>
      <x:c r="M11" s="40" t="n">
        <x:v>5</x:v>
      </x:c>
      <x:c r="N11" s="39" t="n">
        <x:f>L11*M11</x:f>
        <x:v>30</x:v>
      </x:c>
      <x:c r="O11" s="39" t="n">
        <x:f>(L11-1)*M11</x:f>
        <x:v>25</x:v>
      </x:c>
      <x:c r="P11" s="32" t="n">
        <x:f>MIN(N11/E11,J11/H11)</x:f>
        <x:v>1.25</x:v>
      </x:c>
      <x:c r="Q11" s="32" t="n">
        <x:f>MIN(O11/E11,K11/H11)</x:f>
        <x:v>1.0416666666666667</x:v>
      </x:c>
      <x:c r="R11" s="21" t="str">
        <x:f>IF(AND(P11&gt;=Controls!$D$7,Q11&gt;=Controls!$D$8),"PASS","FAIL")</x:f>
        <x:v>PASS</x:v>
      </x:c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MS-CT|B</x:v>
      </x:c>
      <x:c r="D12" s="19" t="str">
        <x:v>MS-CT</x:v>
      </x:c>
      <x:c r="E12" s="38" t="n">
        <x:v>48</x:v>
      </x:c>
      <x:c r="F12" s="20" t="n">
        <x:v>0.5</x:v>
      </x:c>
      <x:c r="G12" s="22" t="n">
        <x:v>24</x:v>
      </x:c>
      <x:c r="H12" s="39" t="n">
        <x:f>E12*F12*G12</x:f>
        <x:v>576</x:v>
      </x:c>
      <x:c r="I12" s="40" t="n">
        <x:v>5</x:v>
      </x:c>
      <x:c r="J12" s="40" t="n">
        <x:v>864</x:v>
      </x:c>
      <x:c r="K12" s="39" t="n">
        <x:f>J12*(I12-1)/I12</x:f>
        <x:v>691.2</x:v>
      </x:c>
      <x:c r="L12" s="40" t="n">
        <x:v>7</x:v>
      </x:c>
      <x:c r="M12" s="40" t="n">
        <x:v>8</x:v>
      </x:c>
      <x:c r="N12" s="39" t="n">
        <x:f>L12*M12</x:f>
        <x:v>56</x:v>
      </x:c>
      <x:c r="O12" s="39" t="n">
        <x:f>(L12-1)*M12</x:f>
        <x:v>48</x:v>
      </x:c>
      <x:c r="P12" s="32" t="n">
        <x:f>MIN(N12/E12,J12/H12)</x:f>
        <x:v>1.1666666666666667</x:v>
      </x:c>
      <x:c r="Q12" s="32" t="n">
        <x:f>MIN(O12/E12,K12/H12)</x:f>
        <x:v>1</x:v>
      </x:c>
      <x:c r="R12" s="21" t="str">
        <x:f>IF(AND(P12&gt;=Controls!$D$7,Q12&gt;=Controls!$D$8),"PASS","FAIL")</x:f>
        <x:v>PASS</x:v>
      </x:c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MS-CT|C</x:v>
      </x:c>
      <x:c r="D13" s="19" t="str">
        <x:v>MS-CT</x:v>
      </x:c>
      <x:c r="E13" s="38" t="n">
        <x:v>42</x:v>
      </x:c>
      <x:c r="F13" s="20" t="n">
        <x:v>0.55</x:v>
      </x:c>
      <x:c r="G13" s="22" t="n">
        <x:v>24</x:v>
      </x:c>
      <x:c r="H13" s="39" t="n">
        <x:f>E13*F13*G13</x:f>
        <x:v>554.4000000000001</x:v>
      </x:c>
      <x:c r="I13" s="40" t="n">
        <x:v>5</x:v>
      </x:c>
      <x:c r="J13" s="40" t="n">
        <x:v>831.6000000000001</x:v>
      </x:c>
      <x:c r="K13" s="39" t="n">
        <x:f>J13*(I13-1)/I13</x:f>
        <x:v>665.2800000000001</x:v>
      </x:c>
      <x:c r="L13" s="40" t="n">
        <x:v>7</x:v>
      </x:c>
      <x:c r="M13" s="40" t="n">
        <x:v>7</x:v>
      </x:c>
      <x:c r="N13" s="39" t="n">
        <x:f>L13*M13</x:f>
        <x:v>49</x:v>
      </x:c>
      <x:c r="O13" s="39" t="n">
        <x:f>(L13-1)*M13</x:f>
        <x:v>42</x:v>
      </x:c>
      <x:c r="P13" s="32" t="n">
        <x:f>MIN(N13/E13,J13/H13)</x:f>
        <x:v>1.1666666666666667</x:v>
      </x:c>
      <x:c r="Q13" s="32" t="n">
        <x:f>MIN(O13/E13,K13/H13)</x:f>
        <x:v>1</x:v>
      </x:c>
      <x:c r="R13" s="21" t="str">
        <x:f>IF(AND(P13&gt;=Controls!$D$7,Q13&gt;=Controls!$D$8),"PASS","FAIL")</x:f>
        <x:v>PASS</x:v>
      </x:c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MS-CT|D</x:v>
      </x:c>
      <x:c r="D14" s="19" t="str">
        <x:v>MS-CT</x:v>
      </x:c>
      <x:c r="E14" s="38" t="n">
        <x:v>38</x:v>
      </x:c>
      <x:c r="F14" s="20" t="n">
        <x:v>0.5</x:v>
      </x:c>
      <x:c r="G14" s="22" t="n">
        <x:v>24</x:v>
      </x:c>
      <x:c r="H14" s="39" t="n">
        <x:f>E14*F14*G14</x:f>
        <x:v>456</x:v>
      </x:c>
      <x:c r="I14" s="40" t="n">
        <x:v>5</x:v>
      </x:c>
      <x:c r="J14" s="40" t="n">
        <x:v>684</x:v>
      </x:c>
      <x:c r="K14" s="39" t="n">
        <x:f>J14*(I14-1)/I14</x:f>
        <x:v>547.2</x:v>
      </x:c>
      <x:c r="L14" s="40" t="n">
        <x:v>7</x:v>
      </x:c>
      <x:c r="M14" s="40" t="n">
        <x:v>6.5</x:v>
      </x:c>
      <x:c r="N14" s="39" t="n">
        <x:f>L14*M14</x:f>
        <x:v>45.5</x:v>
      </x:c>
      <x:c r="O14" s="39" t="n">
        <x:f>(L14-1)*M14</x:f>
        <x:v>39</x:v>
      </x:c>
      <x:c r="P14" s="32" t="n">
        <x:f>MIN(N14/E14,J14/H14)</x:f>
        <x:v>1.1973684210526316</x:v>
      </x:c>
      <x:c r="Q14" s="32" t="n">
        <x:f>MIN(O14/E14,K14/H14)</x:f>
        <x:v>1.0263157894736843</x:v>
      </x:c>
      <x:c r="R14" s="21" t="str">
        <x:f>IF(AND(P14&gt;=Controls!$D$7,Q14&gt;=Controls!$D$8),"PASS","FAIL")</x:f>
        <x:v>PASS</x:v>
      </x:c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MS-HC|A</x:v>
      </x:c>
      <x:c r="D15" s="19" t="str">
        <x:v>MS-HC</x:v>
      </x:c>
      <x:c r="E15" s="38" t="n">
        <x:v>140</x:v>
      </x:c>
      <x:c r="F15" s="20" t="n">
        <x:v>0.4</x:v>
      </x:c>
      <x:c r="G15" s="22" t="n">
        <x:v>12</x:v>
      </x:c>
      <x:c r="H15" s="39" t="n">
        <x:f>E15*F15*G15</x:f>
        <x:v>672</x:v>
      </x:c>
      <x:c r="I15" s="40" t="n">
        <x:v>5</x:v>
      </x:c>
      <x:c r="J15" s="40" t="n">
        <x:v>1008</x:v>
      </x:c>
      <x:c r="K15" s="39" t="n">
        <x:f>J15*(I15-1)/I15</x:f>
        <x:v>806.4</x:v>
      </x:c>
      <x:c r="L15" s="40" t="n">
        <x:v>8</x:v>
      </x:c>
      <x:c r="M15" s="40" t="n">
        <x:v>20.5</x:v>
      </x:c>
      <x:c r="N15" s="39" t="n">
        <x:f>L15*M15</x:f>
        <x:v>164</x:v>
      </x:c>
      <x:c r="O15" s="39" t="n">
        <x:f>(L15-1)*M15</x:f>
        <x:v>143.5</x:v>
      </x:c>
      <x:c r="P15" s="32" t="n">
        <x:f>MIN(N15/E15,J15/H15)</x:f>
        <x:v>1.1714285714285715</x:v>
      </x:c>
      <x:c r="Q15" s="32" t="n">
        <x:f>MIN(O15/E15,K15/H15)</x:f>
        <x:v>1.025</x:v>
      </x:c>
      <x:c r="R15" s="21" t="str">
        <x:f>IF(AND(P15&gt;=Controls!$D$7,Q15&gt;=Controls!$D$8),"PASS","FAIL")</x:f>
        <x:v>PASS</x:v>
      </x:c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MS-HC|B</x:v>
      </x:c>
      <x:c r="D16" s="19" t="str">
        <x:v>MS-HC</x:v>
      </x:c>
      <x:c r="E16" s="38" t="n">
        <x:v>95</x:v>
      </x:c>
      <x:c r="F16" s="20" t="n">
        <x:v>0.45</x:v>
      </x:c>
      <x:c r="G16" s="22" t="n">
        <x:v>12</x:v>
      </x:c>
      <x:c r="H16" s="39" t="n">
        <x:f>E16*F16*G16</x:f>
        <x:v>513</x:v>
      </x:c>
      <x:c r="I16" s="40" t="n">
        <x:v>5</x:v>
      </x:c>
      <x:c r="J16" s="40" t="n">
        <x:v>769.5</x:v>
      </x:c>
      <x:c r="K16" s="39" t="n">
        <x:f>J16*(I16-1)/I16</x:f>
        <x:v>615.6</x:v>
      </x:c>
      <x:c r="L16" s="40" t="n">
        <x:v>6</x:v>
      </x:c>
      <x:c r="M16" s="40" t="n">
        <x:v>20</x:v>
      </x:c>
      <x:c r="N16" s="39" t="n">
        <x:f>L16*M16</x:f>
        <x:v>120</x:v>
      </x:c>
      <x:c r="O16" s="39" t="n">
        <x:f>(L16-1)*M16</x:f>
        <x:v>100</x:v>
      </x:c>
      <x:c r="P16" s="32" t="n">
        <x:f>MIN(N16/E16,J16/H16)</x:f>
        <x:v>1.263157894736842</x:v>
      </x:c>
      <x:c r="Q16" s="32" t="n">
        <x:f>MIN(O16/E16,K16/H16)</x:f>
        <x:v>1.0526315789473684</x:v>
      </x:c>
      <x:c r="R16" s="21" t="str">
        <x:f>IF(AND(P16&gt;=Controls!$D$7,Q16&gt;=Controls!$D$8),"PASS","FAIL")</x:f>
        <x:v>PASS</x:v>
      </x:c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MS-HC|C</x:v>
      </x:c>
      <x:c r="D17" s="19" t="str">
        <x:v>MS-HC</x:v>
      </x:c>
      <x:c r="E17" s="38" t="n">
        <x:v>85</x:v>
      </x:c>
      <x:c r="F17" s="20" t="n">
        <x:v>0.4</x:v>
      </x:c>
      <x:c r="G17" s="22" t="n">
        <x:v>12</x:v>
      </x:c>
      <x:c r="H17" s="39" t="n">
        <x:f>E17*F17*G17</x:f>
        <x:v>408</x:v>
      </x:c>
      <x:c r="I17" s="40" t="n">
        <x:v>5</x:v>
      </x:c>
      <x:c r="J17" s="40" t="n">
        <x:v>612</x:v>
      </x:c>
      <x:c r="K17" s="39" t="n">
        <x:f>J17*(I17-1)/I17</x:f>
        <x:v>489.6</x:v>
      </x:c>
      <x:c r="L17" s="40" t="n">
        <x:v>6</x:v>
      </x:c>
      <x:c r="M17" s="40" t="n">
        <x:v>18</x:v>
      </x:c>
      <x:c r="N17" s="39" t="n">
        <x:f>L17*M17</x:f>
        <x:v>108</x:v>
      </x:c>
      <x:c r="O17" s="39" t="n">
        <x:f>(L17-1)*M17</x:f>
        <x:v>90</x:v>
      </x:c>
      <x:c r="P17" s="32" t="n">
        <x:f>MIN(N17/E17,J17/H17)</x:f>
        <x:v>1.2705882352941176</x:v>
      </x:c>
      <x:c r="Q17" s="32" t="n">
        <x:f>MIN(O17/E17,K17/H17)</x:f>
        <x:v>1.0588235294117647</x:v>
      </x:c>
      <x:c r="R17" s="21" t="str">
        <x:f>IF(AND(P17&gt;=Controls!$D$7,Q17&gt;=Controls!$D$8),"PASS","FAIL")</x:f>
        <x:v>PASS</x:v>
      </x:c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MS-HC|D</x:v>
      </x:c>
      <x:c r="D18" s="19" t="str">
        <x:v>MS-HC</x:v>
      </x:c>
      <x:c r="E18" s="38" t="n">
        <x:v>60</x:v>
      </x:c>
      <x:c r="F18" s="20" t="n">
        <x:v>0.45</x:v>
      </x:c>
      <x:c r="G18" s="22" t="n">
        <x:v>12</x:v>
      </x:c>
      <x:c r="H18" s="39" t="n">
        <x:f>E18*F18*G18</x:f>
        <x:v>324</x:v>
      </x:c>
      <x:c r="I18" s="40" t="n">
        <x:v>5</x:v>
      </x:c>
      <x:c r="J18" s="40" t="n">
        <x:v>486</x:v>
      </x:c>
      <x:c r="K18" s="39" t="n">
        <x:f>J18*(I18-1)/I18</x:f>
        <x:v>388.8</x:v>
      </x:c>
      <x:c r="L18" s="40" t="n">
        <x:v>6</x:v>
      </x:c>
      <x:c r="M18" s="40" t="n">
        <x:v>13</x:v>
      </x:c>
      <x:c r="N18" s="39" t="n">
        <x:f>L18*M18</x:f>
        <x:v>78</x:v>
      </x:c>
      <x:c r="O18" s="39" t="n">
        <x:f>(L18-1)*M18</x:f>
        <x:v>65</x:v>
      </x:c>
      <x:c r="P18" s="32" t="n">
        <x:f>MIN(N18/E18,J18/H18)</x:f>
        <x:v>1.3</x:v>
      </x:c>
      <x:c r="Q18" s="32" t="n">
        <x:f>MIN(O18/E18,K18/H18)</x:f>
        <x:v>1.0833333333333333</x:v>
      </x:c>
      <x:c r="R18" s="21" t="str">
        <x:f>IF(AND(P18&gt;=Controls!$D$7,Q18&gt;=Controls!$D$8),"PASS","FAIL")</x:f>
        <x:v>PASS</x:v>
      </x:c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MS-HU|A</x:v>
      </x:c>
      <x:c r="D19" s="19" t="str">
        <x:v>MS-HU</x:v>
      </x:c>
      <x:c r="E19" s="38" t="n">
        <x:v>52</x:v>
      </x:c>
      <x:c r="F19" s="20" t="n">
        <x:v>0.6</x:v>
      </x:c>
      <x:c r="G19" s="22" t="n">
        <x:v>24</x:v>
      </x:c>
      <x:c r="H19" s="39" t="n">
        <x:f>E19*F19*G19</x:f>
        <x:v>748.8</x:v>
      </x:c>
      <x:c r="I19" s="40" t="n">
        <x:v>5</x:v>
      </x:c>
      <x:c r="J19" s="40" t="n">
        <x:v>1123.1999999999998</x:v>
      </x:c>
      <x:c r="K19" s="39" t="n">
        <x:f>J19*(I19-1)/I19</x:f>
        <x:v>898.5599999999998</x:v>
      </x:c>
      <x:c r="L19" s="40" t="n">
        <x:v>6</x:v>
      </x:c>
      <x:c r="M19" s="40" t="n">
        <x:v>11</x:v>
      </x:c>
      <x:c r="N19" s="39" t="n">
        <x:f>L19*M19</x:f>
        <x:v>66</x:v>
      </x:c>
      <x:c r="O19" s="39" t="n">
        <x:f>(L19-1)*M19</x:f>
        <x:v>55</x:v>
      </x:c>
      <x:c r="P19" s="32" t="n">
        <x:f>MIN(N19/E19,J19/H19)</x:f>
        <x:v>1.2692307692307692</x:v>
      </x:c>
      <x:c r="Q19" s="32" t="n">
        <x:f>MIN(O19/E19,K19/H19)</x:f>
        <x:v>1.0576923076923077</x:v>
      </x:c>
      <x:c r="R19" s="21" t="str">
        <x:f>IF(AND(P19&gt;=Controls!$D$7,Q19&gt;=Controls!$D$8),"PASS","FAIL")</x:f>
        <x:v>PASS</x:v>
      </x:c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MS-HU|B</x:v>
      </x:c>
      <x:c r="D20" s="19" t="str">
        <x:v>MS-HU</x:v>
      </x:c>
      <x:c r="E20" s="38" t="n">
        <x:v>34</x:v>
      </x:c>
      <x:c r="F20" s="20" t="n">
        <x:v>0.6</x:v>
      </x:c>
      <x:c r="G20" s="22" t="n">
        <x:v>24</x:v>
      </x:c>
      <x:c r="H20" s="39" t="n">
        <x:f>E20*F20*G20</x:f>
        <x:v>489.59999999999997</x:v>
      </x:c>
      <x:c r="I20" s="40" t="n">
        <x:v>5</x:v>
      </x:c>
      <x:c r="J20" s="40" t="n">
        <x:v>734.4</x:v>
      </x:c>
      <x:c r="K20" s="39" t="n">
        <x:f>J20*(I20-1)/I20</x:f>
        <x:v>587.52</x:v>
      </x:c>
      <x:c r="L20" s="40" t="n">
        <x:v>6</x:v>
      </x:c>
      <x:c r="M20" s="40" t="n">
        <x:v>7.2</x:v>
      </x:c>
      <x:c r="N20" s="39" t="n">
        <x:f>L20*M20</x:f>
        <x:v>43.2</x:v>
      </x:c>
      <x:c r="O20" s="39" t="n">
        <x:f>(L20-1)*M20</x:f>
        <x:v>36</x:v>
      </x:c>
      <x:c r="P20" s="32" t="n">
        <x:f>MIN(N20/E20,J20/H20)</x:f>
        <x:v>1.2705882352941178</x:v>
      </x:c>
      <x:c r="Q20" s="32" t="n">
        <x:f>MIN(O20/E20,K20/H20)</x:f>
        <x:v>1.0588235294117647</x:v>
      </x:c>
      <x:c r="R20" s="21" t="str">
        <x:f>IF(AND(P20&gt;=Controls!$D$7,Q20&gt;=Controls!$D$8),"PASS","FAIL")</x:f>
        <x:v>PASS</x:v>
      </x:c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MS-HU|C</x:v>
      </x:c>
      <x:c r="D21" s="19" t="str">
        <x:v>MS-HU</x:v>
      </x:c>
      <x:c r="E21" s="38" t="n">
        <x:v>45</x:v>
      </x:c>
      <x:c r="F21" s="20" t="n">
        <x:v>0.6</x:v>
      </x:c>
      <x:c r="G21" s="22" t="n">
        <x:v>24</x:v>
      </x:c>
      <x:c r="H21" s="39" t="n">
        <x:f>E21*F21*G21</x:f>
        <x:v>648</x:v>
      </x:c>
      <x:c r="I21" s="40" t="n">
        <x:v>5</x:v>
      </x:c>
      <x:c r="J21" s="40" t="n">
        <x:v>972</x:v>
      </x:c>
      <x:c r="K21" s="39" t="n">
        <x:f>J21*(I21-1)/I21</x:f>
        <x:v>777.6</x:v>
      </x:c>
      <x:c r="L21" s="40" t="n">
        <x:v>7</x:v>
      </x:c>
      <x:c r="M21" s="40" t="n">
        <x:v>8</x:v>
      </x:c>
      <x:c r="N21" s="39" t="n">
        <x:f>L21*M21</x:f>
        <x:v>56</x:v>
      </x:c>
      <x:c r="O21" s="39" t="n">
        <x:f>(L21-1)*M21</x:f>
        <x:v>48</x:v>
      </x:c>
      <x:c r="P21" s="32" t="n">
        <x:f>MIN(N21/E21,J21/H21)</x:f>
        <x:v>1.2444444444444445</x:v>
      </x:c>
      <x:c r="Q21" s="32" t="n">
        <x:f>MIN(O21/E21,K21/H21)</x:f>
        <x:v>1.0666666666666667</x:v>
      </x:c>
      <x:c r="R21" s="21" t="str">
        <x:f>IF(AND(P21&gt;=Controls!$D$7,Q21&gt;=Controls!$D$8),"PASS","FAIL")</x:f>
        <x:v>PASS</x:v>
      </x:c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MS-HU|D</x:v>
      </x:c>
      <x:c r="D22" s="19" t="str">
        <x:v>MS-HU</x:v>
      </x:c>
      <x:c r="E22" s="38" t="n">
        <x:v>31</x:v>
      </x:c>
      <x:c r="F22" s="20" t="n">
        <x:v>0.6</x:v>
      </x:c>
      <x:c r="G22" s="22" t="n">
        <x:v>24</x:v>
      </x:c>
      <x:c r="H22" s="39" t="n">
        <x:f>E22*F22*G22</x:f>
        <x:v>446.4</x:v>
      </x:c>
      <x:c r="I22" s="40" t="n">
        <x:v>5</x:v>
      </x:c>
      <x:c r="J22" s="40" t="n">
        <x:v>669.5999999999999</x:v>
      </x:c>
      <x:c r="K22" s="39" t="n">
        <x:f>J22*(I22-1)/I22</x:f>
        <x:v>535.68</x:v>
      </x:c>
      <x:c r="L22" s="40" t="n">
        <x:v>6</x:v>
      </x:c>
      <x:c r="M22" s="40" t="n">
        <x:v>6.5</x:v>
      </x:c>
      <x:c r="N22" s="39" t="n">
        <x:f>L22*M22</x:f>
        <x:v>39</x:v>
      </x:c>
      <x:c r="O22" s="39" t="n">
        <x:f>(L22-1)*M22</x:f>
        <x:v>32.5</x:v>
      </x:c>
      <x:c r="P22" s="32" t="n">
        <x:f>MIN(N22/E22,J22/H22)</x:f>
        <x:v>1.2580645161290323</x:v>
      </x:c>
      <x:c r="Q22" s="32" t="n">
        <x:f>MIN(O22/E22,K22/H22)</x:f>
        <x:v>1.0483870967741935</x:v>
      </x:c>
      <x:c r="R22" s="21" t="str">
        <x:f>IF(AND(P22&gt;=Controls!$D$7,Q22&gt;=Controls!$D$8),"PASS","FAIL")</x:f>
        <x:v>PASS</x:v>
      </x:c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MS-RT|A</x:v>
      </x:c>
      <x:c r="D23" s="19" t="str">
        <x:v>MS-RT</x:v>
      </x:c>
      <x:c r="E23" s="38" t="n">
        <x:v>210</x:v>
      </x:c>
      <x:c r="F23" s="20" t="n">
        <x:v>0.45</x:v>
      </x:c>
      <x:c r="G23" s="22" t="n">
        <x:v>12</x:v>
      </x:c>
      <x:c r="H23" s="39" t="n">
        <x:f>E23*F23*G23</x:f>
        <x:v>1134</x:v>
      </x:c>
      <x:c r="I23" s="40" t="n">
        <x:v>5</x:v>
      </x:c>
      <x:c r="J23" s="40" t="n">
        <x:v>1701</x:v>
      </x:c>
      <x:c r="K23" s="39" t="n">
        <x:f>J23*(I23-1)/I23</x:f>
        <x:v>1360.8</x:v>
      </x:c>
      <x:c r="L23" s="40" t="n">
        <x:v>8</x:v>
      </x:c>
      <x:c r="M23" s="40" t="n">
        <x:v>30.5</x:v>
      </x:c>
      <x:c r="N23" s="39" t="n">
        <x:f>L23*M23</x:f>
        <x:v>244</x:v>
      </x:c>
      <x:c r="O23" s="39" t="n">
        <x:f>(L23-1)*M23</x:f>
        <x:v>213.5</x:v>
      </x:c>
      <x:c r="P23" s="32" t="n">
        <x:f>MIN(N23/E23,J23/H23)</x:f>
        <x:v>1.161904761904762</x:v>
      </x:c>
      <x:c r="Q23" s="32" t="n">
        <x:f>MIN(O23/E23,K23/H23)</x:f>
        <x:v>1.0166666666666666</x:v>
      </x:c>
      <x:c r="R23" s="21" t="str">
        <x:f>IF(AND(P23&gt;=Controls!$D$7,Q23&gt;=Controls!$D$8),"PASS","FAIL")</x:f>
        <x:v>PASS</x:v>
      </x:c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MS-RT|B</x:v>
      </x:c>
      <x:c r="D24" s="19" t="str">
        <x:v>MS-RT</x:v>
      </x:c>
      <x:c r="E24" s="38" t="n">
        <x:v>155</x:v>
      </x:c>
      <x:c r="F24" s="20" t="n">
        <x:v>0.5</x:v>
      </x:c>
      <x:c r="G24" s="22" t="n">
        <x:v>12</x:v>
      </x:c>
      <x:c r="H24" s="39" t="n">
        <x:f>E24*F24*G24</x:f>
        <x:v>930</x:v>
      </x:c>
      <x:c r="I24" s="40" t="n">
        <x:v>5</x:v>
      </x:c>
      <x:c r="J24" s="40" t="n">
        <x:v>1395</x:v>
      </x:c>
      <x:c r="K24" s="39" t="n">
        <x:f>J24*(I24-1)/I24</x:f>
        <x:v>1116</x:v>
      </x:c>
      <x:c r="L24" s="40" t="n">
        <x:v>7</x:v>
      </x:c>
      <x:c r="M24" s="40" t="n">
        <x:v>26</x:v>
      </x:c>
      <x:c r="N24" s="39" t="n">
        <x:f>L24*M24</x:f>
        <x:v>182</x:v>
      </x:c>
      <x:c r="O24" s="39" t="n">
        <x:f>(L24-1)*M24</x:f>
        <x:v>156</x:v>
      </x:c>
      <x:c r="P24" s="32" t="n">
        <x:f>MIN(N24/E24,J24/H24)</x:f>
        <x:v>1.1741935483870967</x:v>
      </x:c>
      <x:c r="Q24" s="32" t="n">
        <x:f>MIN(O24/E24,K24/H24)</x:f>
        <x:v>1.0064516129032257</x:v>
      </x:c>
      <x:c r="R24" s="21" t="str">
        <x:f>IF(AND(P24&gt;=Controls!$D$7,Q24&gt;=Controls!$D$8),"PASS","FAIL")</x:f>
        <x:v>PASS</x:v>
      </x:c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MS-RT|C</x:v>
      </x:c>
      <x:c r="D25" s="19" t="str">
        <x:v>MS-RT</x:v>
      </x:c>
      <x:c r="E25" s="38" t="n">
        <x:v>135</x:v>
      </x:c>
      <x:c r="F25" s="20" t="n">
        <x:v>0.45</x:v>
      </x:c>
      <x:c r="G25" s="22" t="n">
        <x:v>12</x:v>
      </x:c>
      <x:c r="H25" s="39" t="n">
        <x:f>E25*F25*G25</x:f>
        <x:v>729</x:v>
      </x:c>
      <x:c r="I25" s="40" t="n">
        <x:v>5</x:v>
      </x:c>
      <x:c r="J25" s="40" t="n">
        <x:v>1093.5</x:v>
      </x:c>
      <x:c r="K25" s="39" t="n">
        <x:f>J25*(I25-1)/I25</x:f>
        <x:v>874.8</x:v>
      </x:c>
      <x:c r="L25" s="40" t="n">
        <x:v>7</x:v>
      </x:c>
      <x:c r="M25" s="40" t="n">
        <x:v>23</x:v>
      </x:c>
      <x:c r="N25" s="39" t="n">
        <x:f>L25*M25</x:f>
        <x:v>161</x:v>
      </x:c>
      <x:c r="O25" s="39" t="n">
        <x:f>(L25-1)*M25</x:f>
        <x:v>138</x:v>
      </x:c>
      <x:c r="P25" s="32" t="n">
        <x:f>MIN(N25/E25,J25/H25)</x:f>
        <x:v>1.1925925925925926</x:v>
      </x:c>
      <x:c r="Q25" s="32" t="n">
        <x:f>MIN(O25/E25,K25/H25)</x:f>
        <x:v>1.0222222222222221</x:v>
      </x:c>
      <x:c r="R25" s="21" t="str">
        <x:f>IF(AND(P25&gt;=Controls!$D$7,Q25&gt;=Controls!$D$8),"PASS","FAIL")</x:f>
        <x:v>PASS</x:v>
      </x:c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3" t="str">
        <x:v>MS-RT|D</x:v>
      </x:c>
      <x:c r="D26" s="23" t="str">
        <x:v>MS-RT</x:v>
      </x:c>
      <x:c r="E26" s="41" t="n">
        <x:v>190</x:v>
      </x:c>
      <x:c r="F26" s="42" t="n">
        <x:v>0.5</x:v>
      </x:c>
      <x:c r="G26" s="24" t="n">
        <x:v>12</x:v>
      </x:c>
      <x:c r="H26" s="43" t="n">
        <x:f>E26*F26*G26</x:f>
        <x:v>1140</x:v>
      </x:c>
      <x:c r="I26" s="44" t="n">
        <x:v>5</x:v>
      </x:c>
      <x:c r="J26" s="44" t="n">
        <x:v>1710</x:v>
      </x:c>
      <x:c r="K26" s="43" t="n">
        <x:f>J26*(I26-1)/I26</x:f>
        <x:v>1368</x:v>
      </x:c>
      <x:c r="L26" s="44" t="n">
        <x:v>8</x:v>
      </x:c>
      <x:c r="M26" s="44" t="n">
        <x:v>27.5</x:v>
      </x:c>
      <x:c r="N26" s="43" t="n">
        <x:f>L26*M26</x:f>
        <x:v>220</x:v>
      </x:c>
      <x:c r="O26" s="43" t="n">
        <x:f>(L26-1)*M26</x:f>
        <x:v>192.5</x:v>
      </x:c>
      <x:c r="P26" s="34" t="n">
        <x:f>MIN(N26/E26,J26/H26)</x:f>
        <x:v>1.1578947368421053</x:v>
      </x:c>
      <x:c r="Q26" s="34" t="n">
        <x:f>MIN(O26/E26,K26/H26)</x:f>
        <x:v>1.013157894736842</x:v>
      </x:c>
      <x:c r="R26" s="25" t="str">
        <x:f>IF(AND(P26&gt;=Controls!$D$7,Q26&gt;=Controls!$D$8),"PASS","FAIL")</x:f>
        <x:v>PASS</x:v>
      </x:c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75"/>
      <x:c r="T30" s="75"/>
      <x:c r="U30" s="75"/>
      <x:c r="V30" s="75"/>
      <x:c r="W30" s="75"/>
      <x:c r="X30" s="75"/>
      <x:c r="Y30" s="75"/>
      <x:c r="Z30" s="7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3" max="3" width="15" hidden="0" customWidth="1"/>
    <x:col min="4" max="4" width="15" hidden="0" customWidth="1"/>
    <x:col min="5" max="5" width="15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3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Ninety-two route-capacity balances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Every service route retains its own unit, capacity target and largest-cell-loss test.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Root</x:v>
      </x:c>
      <x:c r="D6" s="18" t="str">
        <x:v>System</x:v>
      </x:c>
      <x:c r="E6" s="18" t="str">
        <x:v>Route</x:v>
      </x:c>
      <x:c r="F6" s="18" t="str">
        <x:v>Service route</x:v>
      </x:c>
      <x:c r="G6" s="18" t="str">
        <x:v>Demand</x:v>
      </x:c>
      <x:c r="H6" s="18" t="str">
        <x:v>Unit</x:v>
      </x:c>
      <x:c r="I6" s="18" t="str">
        <x:v>Positions</x:v>
      </x:c>
      <x:c r="J6" s="18" t="str">
        <x:v>Cells</x:v>
      </x:c>
      <x:c r="K6" s="18" t="str">
        <x:v>Capacity/cell</x:v>
      </x:c>
      <x:c r="L6" s="18" t="str">
        <x:v>Intact capacity</x:v>
      </x:c>
      <x:c r="M6" s="18" t="str">
        <x:v>Loss capacity</x:v>
      </x:c>
      <x:c r="N6" s="18" t="str">
        <x:v>Intact margin</x:v>
      </x:c>
      <x:c r="O6" s="18" t="str">
        <x:v>Loss margin</x:v>
      </x:c>
      <x:c r="P6" s="18" t="str">
        <x:v>State</x:v>
      </x:c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</x:v>
      </x:c>
      <x:c r="D7" s="19" t="str">
        <x:v>MS-ET</x:v>
      </x:c>
      <x:c r="E7" s="19" t="str">
        <x:v>ET-R1</x:v>
      </x:c>
      <x:c r="F7" s="19" t="str">
        <x:v>Theater opening and command</x:v>
      </x:c>
      <x:c r="G7" s="40" t="n">
        <x:v>5630</x:v>
      </x:c>
      <x:c r="H7" s="19" t="str">
        <x:v>governed t/day</x:v>
      </x:c>
      <x:c r="I7" s="22" t="n">
        <x:v>1</x:v>
      </x:c>
      <x:c r="J7" s="22" t="n">
        <x:v>5</x:v>
      </x:c>
      <x:c r="K7" s="40" t="n">
        <x:v>1441.2800000000002</x:v>
      </x:c>
      <x:c r="L7" s="39" t="n">
        <x:f>K7*J7</x:f>
        <x:v>7206.4000000000015</x:v>
      </x:c>
      <x:c r="M7" s="39" t="n">
        <x:f>K7*(J7-1)</x:f>
        <x:v>5765.120000000001</x:v>
      </x:c>
      <x:c r="N7" s="32" t="n">
        <x:f>L7/G7</x:f>
        <x:v>1.2800000000000002</x:v>
      </x:c>
      <x:c r="O7" s="32" t="n">
        <x:f>M7/G7</x:f>
        <x:v>1.0240000000000002</x:v>
      </x:c>
      <x:c r="P7" s="21" t="str">
        <x:f>IF(AND(N7&gt;=Controls!$D$7,O7&gt;=Controls!$D$8),"PASS","FAIL")</x:f>
        <x:v>PASS</x:v>
      </x:c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MS-ET|A</x:v>
      </x:c>
      <x:c r="D8" s="19" t="str">
        <x:v>MS-ET</x:v>
      </x:c>
      <x:c r="E8" s="19" t="str">
        <x:v>ET-R2</x:v>
      </x:c>
      <x:c r="F8" s="19" t="str">
        <x:v>Strategic intertheater lift</x:v>
      </x:c>
      <x:c r="G8" s="40" t="n">
        <x:v>5630</x:v>
      </x:c>
      <x:c r="H8" s="19" t="str">
        <x:v>lifted t/day</x:v>
      </x:c>
      <x:c r="I8" s="22" t="n">
        <x:v>1</x:v>
      </x:c>
      <x:c r="J8" s="22" t="n">
        <x:v>5</x:v>
      </x:c>
      <x:c r="K8" s="40" t="n">
        <x:v>1452.54</x:v>
      </x:c>
      <x:c r="L8" s="39" t="n">
        <x:f>K8*J8</x:f>
        <x:v>7262.7</x:v>
      </x:c>
      <x:c r="M8" s="39" t="n">
        <x:f>K8*(J8-1)</x:f>
        <x:v>5810.16</x:v>
      </x:c>
      <x:c r="N8" s="32" t="n">
        <x:f>L8/G8</x:f>
        <x:v>1.29</x:v>
      </x:c>
      <x:c r="O8" s="32" t="n">
        <x:f>M8/G8</x:f>
        <x:v>1.032</x:v>
      </x:c>
      <x:c r="P8" s="21" t="str">
        <x:f>IF(AND(N8&gt;=Controls!$D$7,O8&gt;=Controls!$D$8),"PASS","FAIL")</x:f>
        <x:v>PASS</x:v>
      </x:c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MS-ET|A</x:v>
      </x:c>
      <x:c r="D9" s="19" t="str">
        <x:v>MS-ET</x:v>
      </x:c>
      <x:c r="E9" s="19" t="str">
        <x:v>ET-R3</x:v>
      </x:c>
      <x:c r="F9" s="19" t="str">
        <x:v>Port, littoral and inland-waterway entry</x:v>
      </x:c>
      <x:c r="G9" s="40" t="n">
        <x:v>5630</x:v>
      </x:c>
      <x:c r="H9" s="19" t="str">
        <x:v>landed t/day</x:v>
      </x:c>
      <x:c r="I9" s="22" t="n">
        <x:v>5</x:v>
      </x:c>
      <x:c r="J9" s="22" t="n">
        <x:v>5</x:v>
      </x:c>
      <x:c r="K9" s="40" t="n">
        <x:v>1463.8</x:v>
      </x:c>
      <x:c r="L9" s="39" t="n">
        <x:f>K9*J9</x:f>
        <x:v>7319</x:v>
      </x:c>
      <x:c r="M9" s="39" t="n">
        <x:f>K9*(J9-1)</x:f>
        <x:v>5855.2</x:v>
      </x:c>
      <x:c r="N9" s="32" t="n">
        <x:f>L9/G9</x:f>
        <x:v>1.3</x:v>
      </x:c>
      <x:c r="O9" s="32" t="n">
        <x:f>M9/G9</x:f>
        <x:v>1.04</x:v>
      </x:c>
      <x:c r="P9" s="21" t="str">
        <x:f>IF(AND(N9&gt;=Controls!$D$7,O9&gt;=Controls!$D$8),"PASS","FAIL")</x:f>
        <x:v>PASS</x:v>
      </x:c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MS-ET|A</x:v>
      </x:c>
      <x:c r="D10" s="19" t="str">
        <x:v>MS-ET</x:v>
      </x:c>
      <x:c r="E10" s="19" t="str">
        <x:v>ET-R4</x:v>
      </x:c>
      <x:c r="F10" s="19" t="str">
        <x:v>Austere access, distribution and route opening</x:v>
      </x:c>
      <x:c r="G10" s="40" t="n">
        <x:v>5630</x:v>
      </x:c>
      <x:c r="H10" s="19" t="str">
        <x:v>distributed t/day</x:v>
      </x:c>
      <x:c r="I10" s="22" t="n">
        <x:v>7</x:v>
      </x:c>
      <x:c r="J10" s="22" t="n">
        <x:v>7</x:v>
      </x:c>
      <x:c r="K10" s="40" t="n">
        <x:v>1053.6142857142856</x:v>
      </x:c>
      <x:c r="L10" s="39" t="n">
        <x:f>K10*J10</x:f>
        <x:v>7375.299999999999</x:v>
      </x:c>
      <x:c r="M10" s="39" t="n">
        <x:f>K10*(J10-1)</x:f>
        <x:v>6321.685714285713</x:v>
      </x:c>
      <x:c r="N10" s="32" t="n">
        <x:f>L10/G10</x:f>
        <x:v>1.3099999999999998</x:v>
      </x:c>
      <x:c r="O10" s="32" t="n">
        <x:f>M10/G10</x:f>
        <x:v>1.1228571428571428</x:v>
      </x:c>
      <x:c r="P10" s="21" t="str">
        <x:f>IF(AND(N10&gt;=Controls!$D$7,O10&gt;=Controls!$D$8),"PASS","FAIL")</x:f>
        <x:v>PASS</x:v>
      </x:c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MS-ET|A</x:v>
      </x:c>
      <x:c r="D11" s="19" t="str">
        <x:v>MS-ET</x:v>
      </x:c>
      <x:c r="E11" s="19" t="str">
        <x:v>ET-R5</x:v>
      </x:c>
      <x:c r="F11" s="19" t="str">
        <x:v>Temporary works, crossings and node preparation</x:v>
      </x:c>
      <x:c r="G11" s="40" t="n">
        <x:v>3</x:v>
      </x:c>
      <x:c r="H11" s="19" t="str">
        <x:v>simultaneous workfronts</x:v>
      </x:c>
      <x:c r="I11" s="22" t="n">
        <x:v>3</x:v>
      </x:c>
      <x:c r="J11" s="22" t="n">
        <x:v>5</x:v>
      </x:c>
      <x:c r="K11" s="40" t="n">
        <x:v>0.792</x:v>
      </x:c>
      <x:c r="L11" s="39" t="n">
        <x:f>K11*J11</x:f>
        <x:v>3.96</x:v>
      </x:c>
      <x:c r="M11" s="39" t="n">
        <x:f>K11*(J11-1)</x:f>
        <x:v>3.168</x:v>
      </x:c>
      <x:c r="N11" s="32" t="n">
        <x:f>L11/G11</x:f>
        <x:v>1.32</x:v>
      </x:c>
      <x:c r="O11" s="32" t="n">
        <x:f>M11/G11</x:f>
        <x:v>1.056</x:v>
      </x:c>
      <x:c r="P11" s="21" t="str">
        <x:f>IF(AND(N11&gt;=Controls!$D$7,O11&gt;=Controls!$D$8),"PASS","FAIL")</x:f>
        <x:v>PASS</x:v>
      </x:c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MS-ET|B</x:v>
      </x:c>
      <x:c r="D12" s="19" t="str">
        <x:v>MS-ET</x:v>
      </x:c>
      <x:c r="E12" s="19" t="str">
        <x:v>ET-R1</x:v>
      </x:c>
      <x:c r="F12" s="19" t="str">
        <x:v>Theater opening and command</x:v>
      </x:c>
      <x:c r="G12" s="40" t="n">
        <x:v>5630</x:v>
      </x:c>
      <x:c r="H12" s="19" t="str">
        <x:v>governed t/day</x:v>
      </x:c>
      <x:c r="I12" s="22" t="n">
        <x:v>1</x:v>
      </x:c>
      <x:c r="J12" s="22" t="n">
        <x:v>5</x:v>
      </x:c>
      <x:c r="K12" s="40" t="n">
        <x:v>1463.8</x:v>
      </x:c>
      <x:c r="L12" s="39" t="n">
        <x:f>K12*J12</x:f>
        <x:v>7319</x:v>
      </x:c>
      <x:c r="M12" s="39" t="n">
        <x:f>K12*(J12-1)</x:f>
        <x:v>5855.2</x:v>
      </x:c>
      <x:c r="N12" s="32" t="n">
        <x:f>L12/G12</x:f>
        <x:v>1.3</x:v>
      </x:c>
      <x:c r="O12" s="32" t="n">
        <x:f>M12/G12</x:f>
        <x:v>1.04</x:v>
      </x:c>
      <x:c r="P12" s="21" t="str">
        <x:f>IF(AND(N12&gt;=Controls!$D$7,O12&gt;=Controls!$D$8),"PASS","FAIL")</x:f>
        <x:v>PASS</x:v>
      </x:c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MS-ET|B</x:v>
      </x:c>
      <x:c r="D13" s="19" t="str">
        <x:v>MS-ET</x:v>
      </x:c>
      <x:c r="E13" s="19" t="str">
        <x:v>ET-R2</x:v>
      </x:c>
      <x:c r="F13" s="19" t="str">
        <x:v>Strategic intertheater lift</x:v>
      </x:c>
      <x:c r="G13" s="40" t="n">
        <x:v>5630</x:v>
      </x:c>
      <x:c r="H13" s="19" t="str">
        <x:v>lifted t/day</x:v>
      </x:c>
      <x:c r="I13" s="22" t="n">
        <x:v>1</x:v>
      </x:c>
      <x:c r="J13" s="22" t="n">
        <x:v>5</x:v>
      </x:c>
      <x:c r="K13" s="40" t="n">
        <x:v>1475.06</x:v>
      </x:c>
      <x:c r="L13" s="39" t="n">
        <x:f>K13*J13</x:f>
        <x:v>7375.299999999999</x:v>
      </x:c>
      <x:c r="M13" s="39" t="n">
        <x:f>K13*(J13-1)</x:f>
        <x:v>5900.24</x:v>
      </x:c>
      <x:c r="N13" s="32" t="n">
        <x:f>L13/G13</x:f>
        <x:v>1.3099999999999998</x:v>
      </x:c>
      <x:c r="O13" s="32" t="n">
        <x:f>M13/G13</x:f>
        <x:v>1.048</x:v>
      </x:c>
      <x:c r="P13" s="21" t="str">
        <x:f>IF(AND(N13&gt;=Controls!$D$7,O13&gt;=Controls!$D$8),"PASS","FAIL")</x:f>
        <x:v>PASS</x:v>
      </x:c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MS-ET|B</x:v>
      </x:c>
      <x:c r="D14" s="19" t="str">
        <x:v>MS-ET</x:v>
      </x:c>
      <x:c r="E14" s="19" t="str">
        <x:v>ET-R3</x:v>
      </x:c>
      <x:c r="F14" s="19" t="str">
        <x:v>Port, littoral and inland-waterway entry</x:v>
      </x:c>
      <x:c r="G14" s="40" t="n">
        <x:v>5630</x:v>
      </x:c>
      <x:c r="H14" s="19" t="str">
        <x:v>landed t/day</x:v>
      </x:c>
      <x:c r="I14" s="22" t="n">
        <x:v>5</x:v>
      </x:c>
      <x:c r="J14" s="22" t="n">
        <x:v>5</x:v>
      </x:c>
      <x:c r="K14" s="40" t="n">
        <x:v>1486.3200000000002</x:v>
      </x:c>
      <x:c r="L14" s="39" t="n">
        <x:f>K14*J14</x:f>
        <x:v>7431.6</x:v>
      </x:c>
      <x:c r="M14" s="39" t="n">
        <x:f>K14*(J14-1)</x:f>
        <x:v>5945.280000000001</x:v>
      </x:c>
      <x:c r="N14" s="32" t="n">
        <x:f>L14/G14</x:f>
        <x:v>1.32</x:v>
      </x:c>
      <x:c r="O14" s="32" t="n">
        <x:f>M14/G14</x:f>
        <x:v>1.056</x:v>
      </x:c>
      <x:c r="P14" s="21" t="str">
        <x:f>IF(AND(N14&gt;=Controls!$D$7,O14&gt;=Controls!$D$8),"PASS","FAIL")</x:f>
        <x:v>PASS</x:v>
      </x:c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MS-ET|B</x:v>
      </x:c>
      <x:c r="D15" s="19" t="str">
        <x:v>MS-ET</x:v>
      </x:c>
      <x:c r="E15" s="19" t="str">
        <x:v>ET-R4</x:v>
      </x:c>
      <x:c r="F15" s="19" t="str">
        <x:v>Austere access, distribution and route opening</x:v>
      </x:c>
      <x:c r="G15" s="40" t="n">
        <x:v>5630</x:v>
      </x:c>
      <x:c r="H15" s="19" t="str">
        <x:v>distributed t/day</x:v>
      </x:c>
      <x:c r="I15" s="22" t="n">
        <x:v>7</x:v>
      </x:c>
      <x:c r="J15" s="22" t="n">
        <x:v>7</x:v>
      </x:c>
      <x:c r="K15" s="40" t="n">
        <x:v>1069.7</x:v>
      </x:c>
      <x:c r="L15" s="39" t="n">
        <x:f>K15*J15</x:f>
        <x:v>7487.900000000001</x:v>
      </x:c>
      <x:c r="M15" s="39" t="n">
        <x:f>K15*(J15-1)</x:f>
        <x:v>6418.200000000001</x:v>
      </x:c>
      <x:c r="N15" s="32" t="n">
        <x:f>L15/G15</x:f>
        <x:v>1.33</x:v>
      </x:c>
      <x:c r="O15" s="32" t="n">
        <x:f>M15/G15</x:f>
        <x:v>1.1400000000000001</x:v>
      </x:c>
      <x:c r="P15" s="21" t="str">
        <x:f>IF(AND(N15&gt;=Controls!$D$7,O15&gt;=Controls!$D$8),"PASS","FAIL")</x:f>
        <x:v>PASS</x:v>
      </x:c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MS-ET|B</x:v>
      </x:c>
      <x:c r="D16" s="19" t="str">
        <x:v>MS-ET</x:v>
      </x:c>
      <x:c r="E16" s="19" t="str">
        <x:v>ET-R5</x:v>
      </x:c>
      <x:c r="F16" s="19" t="str">
        <x:v>Temporary works, crossings and node preparation</x:v>
      </x:c>
      <x:c r="G16" s="40" t="n">
        <x:v>3</x:v>
      </x:c>
      <x:c r="H16" s="19" t="str">
        <x:v>simultaneous workfronts</x:v>
      </x:c>
      <x:c r="I16" s="22" t="n">
        <x:v>3</x:v>
      </x:c>
      <x:c r="J16" s="22" t="n">
        <x:v>5</x:v>
      </x:c>
      <x:c r="K16" s="40" t="n">
        <x:v>0.804</x:v>
      </x:c>
      <x:c r="L16" s="39" t="n">
        <x:f>K16*J16</x:f>
        <x:v>4.0200000000000005</x:v>
      </x:c>
      <x:c r="M16" s="39" t="n">
        <x:f>K16*(J16-1)</x:f>
        <x:v>3.216</x:v>
      </x:c>
      <x:c r="N16" s="32" t="n">
        <x:f>L16/G16</x:f>
        <x:v>1.34</x:v>
      </x:c>
      <x:c r="O16" s="32" t="n">
        <x:f>M16/G16</x:f>
        <x:v>1.072</x:v>
      </x:c>
      <x:c r="P16" s="21" t="str">
        <x:f>IF(AND(N16&gt;=Controls!$D$7,O16&gt;=Controls!$D$8),"PASS","FAIL")</x:f>
        <x:v>PASS</x:v>
      </x:c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MS-ET|C</x:v>
      </x:c>
      <x:c r="D17" s="19" t="str">
        <x:v>MS-ET</x:v>
      </x:c>
      <x:c r="E17" s="19" t="str">
        <x:v>ET-R1</x:v>
      </x:c>
      <x:c r="F17" s="19" t="str">
        <x:v>Theater opening and command</x:v>
      </x:c>
      <x:c r="G17" s="40" t="n">
        <x:v>5630</x:v>
      </x:c>
      <x:c r="H17" s="19" t="str">
        <x:v>governed t/day</x:v>
      </x:c>
      <x:c r="I17" s="22" t="n">
        <x:v>1</x:v>
      </x:c>
      <x:c r="J17" s="22" t="n">
        <x:v>5</x:v>
      </x:c>
      <x:c r="K17" s="40" t="n">
        <x:v>1486.3200000000002</x:v>
      </x:c>
      <x:c r="L17" s="39" t="n">
        <x:f>K17*J17</x:f>
        <x:v>7431.6</x:v>
      </x:c>
      <x:c r="M17" s="39" t="n">
        <x:f>K17*(J17-1)</x:f>
        <x:v>5945.280000000001</x:v>
      </x:c>
      <x:c r="N17" s="32" t="n">
        <x:f>L17/G17</x:f>
        <x:v>1.32</x:v>
      </x:c>
      <x:c r="O17" s="32" t="n">
        <x:f>M17/G17</x:f>
        <x:v>1.056</x:v>
      </x:c>
      <x:c r="P17" s="21" t="str">
        <x:f>IF(AND(N17&gt;=Controls!$D$7,O17&gt;=Controls!$D$8),"PASS","FAIL")</x:f>
        <x:v>PASS</x:v>
      </x:c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MS-ET|C</x:v>
      </x:c>
      <x:c r="D18" s="19" t="str">
        <x:v>MS-ET</x:v>
      </x:c>
      <x:c r="E18" s="19" t="str">
        <x:v>ET-R2</x:v>
      </x:c>
      <x:c r="F18" s="19" t="str">
        <x:v>Strategic intertheater lift</x:v>
      </x:c>
      <x:c r="G18" s="40" t="n">
        <x:v>5630</x:v>
      </x:c>
      <x:c r="H18" s="19" t="str">
        <x:v>lifted t/day</x:v>
      </x:c>
      <x:c r="I18" s="22" t="n">
        <x:v>1</x:v>
      </x:c>
      <x:c r="J18" s="22" t="n">
        <x:v>5</x:v>
      </x:c>
      <x:c r="K18" s="40" t="n">
        <x:v>1497.5800000000002</x:v>
      </x:c>
      <x:c r="L18" s="39" t="n">
        <x:f>K18*J18</x:f>
        <x:v>7487.900000000001</x:v>
      </x:c>
      <x:c r="M18" s="39" t="n">
        <x:f>K18*(J18-1)</x:f>
        <x:v>5990.320000000001</x:v>
      </x:c>
      <x:c r="N18" s="32" t="n">
        <x:f>L18/G18</x:f>
        <x:v>1.33</x:v>
      </x:c>
      <x:c r="O18" s="32" t="n">
        <x:f>M18/G18</x:f>
        <x:v>1.064</x:v>
      </x:c>
      <x:c r="P18" s="21" t="str">
        <x:f>IF(AND(N18&gt;=Controls!$D$7,O18&gt;=Controls!$D$8),"PASS","FAIL")</x:f>
        <x:v>PASS</x:v>
      </x:c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MS-ET|C</x:v>
      </x:c>
      <x:c r="D19" s="19" t="str">
        <x:v>MS-ET</x:v>
      </x:c>
      <x:c r="E19" s="19" t="str">
        <x:v>ET-R3</x:v>
      </x:c>
      <x:c r="F19" s="19" t="str">
        <x:v>Port, littoral and inland-waterway entry</x:v>
      </x:c>
      <x:c r="G19" s="40" t="n">
        <x:v>5630</x:v>
      </x:c>
      <x:c r="H19" s="19" t="str">
        <x:v>landed t/day</x:v>
      </x:c>
      <x:c r="I19" s="22" t="n">
        <x:v>5</x:v>
      </x:c>
      <x:c r="J19" s="22" t="n">
        <x:v>5</x:v>
      </x:c>
      <x:c r="K19" s="40" t="n">
        <x:v>1508.8400000000001</x:v>
      </x:c>
      <x:c r="L19" s="39" t="n">
        <x:f>K19*J19</x:f>
        <x:v>7544.200000000001</x:v>
      </x:c>
      <x:c r="M19" s="39" t="n">
        <x:f>K19*(J19-1)</x:f>
        <x:v>6035.360000000001</x:v>
      </x:c>
      <x:c r="N19" s="32" t="n">
        <x:f>L19/G19</x:f>
        <x:v>1.34</x:v>
      </x:c>
      <x:c r="O19" s="32" t="n">
        <x:f>M19/G19</x:f>
        <x:v>1.072</x:v>
      </x:c>
      <x:c r="P19" s="21" t="str">
        <x:f>IF(AND(N19&gt;=Controls!$D$7,O19&gt;=Controls!$D$8),"PASS","FAIL")</x:f>
        <x:v>PASS</x:v>
      </x:c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MS-ET|C</x:v>
      </x:c>
      <x:c r="D20" s="19" t="str">
        <x:v>MS-ET</x:v>
      </x:c>
      <x:c r="E20" s="19" t="str">
        <x:v>ET-R4</x:v>
      </x:c>
      <x:c r="F20" s="19" t="str">
        <x:v>Austere access, distribution and route opening</x:v>
      </x:c>
      <x:c r="G20" s="40" t="n">
        <x:v>5630</x:v>
      </x:c>
      <x:c r="H20" s="19" t="str">
        <x:v>distributed t/day</x:v>
      </x:c>
      <x:c r="I20" s="22" t="n">
        <x:v>7</x:v>
      </x:c>
      <x:c r="J20" s="22" t="n">
        <x:v>7</x:v>
      </x:c>
      <x:c r="K20" s="40" t="n">
        <x:v>1085.7857142857144</x:v>
      </x:c>
      <x:c r="L20" s="39" t="n">
        <x:f>K20*J20</x:f>
        <x:v>7600.500000000001</x:v>
      </x:c>
      <x:c r="M20" s="39" t="n">
        <x:f>K20*(J20-1)</x:f>
        <x:v>6514.714285714286</x:v>
      </x:c>
      <x:c r="N20" s="32" t="n">
        <x:f>L20/G20</x:f>
        <x:v>1.35</x:v>
      </x:c>
      <x:c r="O20" s="32" t="n">
        <x:f>M20/G20</x:f>
        <x:v>1.1571428571428573</x:v>
      </x:c>
      <x:c r="P20" s="21" t="str">
        <x:f>IF(AND(N20&gt;=Controls!$D$7,O20&gt;=Controls!$D$8),"PASS","FAIL")</x:f>
        <x:v>PASS</x:v>
      </x:c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MS-ET|C</x:v>
      </x:c>
      <x:c r="D21" s="19" t="str">
        <x:v>MS-ET</x:v>
      </x:c>
      <x:c r="E21" s="19" t="str">
        <x:v>ET-R5</x:v>
      </x:c>
      <x:c r="F21" s="19" t="str">
        <x:v>Temporary works, crossings and node preparation</x:v>
      </x:c>
      <x:c r="G21" s="40" t="n">
        <x:v>3</x:v>
      </x:c>
      <x:c r="H21" s="19" t="str">
        <x:v>simultaneous workfronts</x:v>
      </x:c>
      <x:c r="I21" s="22" t="n">
        <x:v>3</x:v>
      </x:c>
      <x:c r="J21" s="22" t="n">
        <x:v>5</x:v>
      </x:c>
      <x:c r="K21" s="40" t="n">
        <x:v>0.8160000000000001</x:v>
      </x:c>
      <x:c r="L21" s="39" t="n">
        <x:f>K21*J21</x:f>
        <x:v>4.08</x:v>
      </x:c>
      <x:c r="M21" s="39" t="n">
        <x:f>K21*(J21-1)</x:f>
        <x:v>3.2640000000000002</x:v>
      </x:c>
      <x:c r="N21" s="32" t="n">
        <x:f>L21/G21</x:f>
        <x:v>1.36</x:v>
      </x:c>
      <x:c r="O21" s="32" t="n">
        <x:f>M21/G21</x:f>
        <x:v>1.088</x:v>
      </x:c>
      <x:c r="P21" s="21" t="str">
        <x:f>IF(AND(N21&gt;=Controls!$D$7,O21&gt;=Controls!$D$8),"PASS","FAIL")</x:f>
        <x:v>PASS</x:v>
      </x:c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MS-ET|D</x:v>
      </x:c>
      <x:c r="D22" s="19" t="str">
        <x:v>MS-ET</x:v>
      </x:c>
      <x:c r="E22" s="19" t="str">
        <x:v>ET-R1</x:v>
      </x:c>
      <x:c r="F22" s="19" t="str">
        <x:v>Theater opening and command</x:v>
      </x:c>
      <x:c r="G22" s="40" t="n">
        <x:v>5630</x:v>
      </x:c>
      <x:c r="H22" s="19" t="str">
        <x:v>governed t/day</x:v>
      </x:c>
      <x:c r="I22" s="22" t="n">
        <x:v>1</x:v>
      </x:c>
      <x:c r="J22" s="22" t="n">
        <x:v>5</x:v>
      </x:c>
      <x:c r="K22" s="40" t="n">
        <x:v>1508.8400000000001</x:v>
      </x:c>
      <x:c r="L22" s="39" t="n">
        <x:f>K22*J22</x:f>
        <x:v>7544.200000000001</x:v>
      </x:c>
      <x:c r="M22" s="39" t="n">
        <x:f>K22*(J22-1)</x:f>
        <x:v>6035.360000000001</x:v>
      </x:c>
      <x:c r="N22" s="32" t="n">
        <x:f>L22/G22</x:f>
        <x:v>1.34</x:v>
      </x:c>
      <x:c r="O22" s="32" t="n">
        <x:f>M22/G22</x:f>
        <x:v>1.072</x:v>
      </x:c>
      <x:c r="P22" s="21" t="str">
        <x:f>IF(AND(N22&gt;=Controls!$D$7,O22&gt;=Controls!$D$8),"PASS","FAIL")</x:f>
        <x:v>PASS</x:v>
      </x:c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MS-ET|D</x:v>
      </x:c>
      <x:c r="D23" s="19" t="str">
        <x:v>MS-ET</x:v>
      </x:c>
      <x:c r="E23" s="19" t="str">
        <x:v>ET-R2</x:v>
      </x:c>
      <x:c r="F23" s="19" t="str">
        <x:v>Strategic intertheater lift</x:v>
      </x:c>
      <x:c r="G23" s="40" t="n">
        <x:v>5630</x:v>
      </x:c>
      <x:c r="H23" s="19" t="str">
        <x:v>lifted t/day</x:v>
      </x:c>
      <x:c r="I23" s="22" t="n">
        <x:v>1</x:v>
      </x:c>
      <x:c r="J23" s="22" t="n">
        <x:v>5</x:v>
      </x:c>
      <x:c r="K23" s="40" t="n">
        <x:v>1520.1000000000001</x:v>
      </x:c>
      <x:c r="L23" s="39" t="n">
        <x:f>K23*J23</x:f>
        <x:v>7600.500000000001</x:v>
      </x:c>
      <x:c r="M23" s="39" t="n">
        <x:f>K23*(J23-1)</x:f>
        <x:v>6080.400000000001</x:v>
      </x:c>
      <x:c r="N23" s="32" t="n">
        <x:f>L23/G23</x:f>
        <x:v>1.35</x:v>
      </x:c>
      <x:c r="O23" s="32" t="n">
        <x:f>M23/G23</x:f>
        <x:v>1.08</x:v>
      </x:c>
      <x:c r="P23" s="21" t="str">
        <x:f>IF(AND(N23&gt;=Controls!$D$7,O23&gt;=Controls!$D$8),"PASS","FAIL")</x:f>
        <x:v>PASS</x:v>
      </x:c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MS-ET|D</x:v>
      </x:c>
      <x:c r="D24" s="19" t="str">
        <x:v>MS-ET</x:v>
      </x:c>
      <x:c r="E24" s="19" t="str">
        <x:v>ET-R3</x:v>
      </x:c>
      <x:c r="F24" s="19" t="str">
        <x:v>Port, littoral and inland-waterway entry</x:v>
      </x:c>
      <x:c r="G24" s="40" t="n">
        <x:v>5630</x:v>
      </x:c>
      <x:c r="H24" s="19" t="str">
        <x:v>landed t/day</x:v>
      </x:c>
      <x:c r="I24" s="22" t="n">
        <x:v>5</x:v>
      </x:c>
      <x:c r="J24" s="22" t="n">
        <x:v>5</x:v>
      </x:c>
      <x:c r="K24" s="40" t="n">
        <x:v>1531.3600000000001</x:v>
      </x:c>
      <x:c r="L24" s="39" t="n">
        <x:f>K24*J24</x:f>
        <x:v>7656.800000000001</x:v>
      </x:c>
      <x:c r="M24" s="39" t="n">
        <x:f>K24*(J24-1)</x:f>
        <x:v>6125.4400000000005</x:v>
      </x:c>
      <x:c r="N24" s="32" t="n">
        <x:f>L24/G24</x:f>
        <x:v>1.36</x:v>
      </x:c>
      <x:c r="O24" s="32" t="n">
        <x:f>M24/G24</x:f>
        <x:v>1.088</x:v>
      </x:c>
      <x:c r="P24" s="21" t="str">
        <x:f>IF(AND(N24&gt;=Controls!$D$7,O24&gt;=Controls!$D$8),"PASS","FAIL")</x:f>
        <x:v>PASS</x:v>
      </x:c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MS-ET|D</x:v>
      </x:c>
      <x:c r="D25" s="19" t="str">
        <x:v>MS-ET</x:v>
      </x:c>
      <x:c r="E25" s="19" t="str">
        <x:v>ET-R4</x:v>
      </x:c>
      <x:c r="F25" s="19" t="str">
        <x:v>Austere access, distribution and route opening</x:v>
      </x:c>
      <x:c r="G25" s="40" t="n">
        <x:v>5630</x:v>
      </x:c>
      <x:c r="H25" s="19" t="str">
        <x:v>distributed t/day</x:v>
      </x:c>
      <x:c r="I25" s="22" t="n">
        <x:v>7</x:v>
      </x:c>
      <x:c r="J25" s="22" t="n">
        <x:v>7</x:v>
      </x:c>
      <x:c r="K25" s="40" t="n">
        <x:v>1101.8714285714286</x:v>
      </x:c>
      <x:c r="L25" s="39" t="n">
        <x:f>K25*J25</x:f>
        <x:v>7713.1</x:v>
      </x:c>
      <x:c r="M25" s="39" t="n">
        <x:f>K25*(J25-1)</x:f>
        <x:v>6611.228571428572</x:v>
      </x:c>
      <x:c r="N25" s="32" t="n">
        <x:f>L25/G25</x:f>
        <x:v>1.37</x:v>
      </x:c>
      <x:c r="O25" s="32" t="n">
        <x:f>M25/G25</x:f>
        <x:v>1.1742857142857144</x:v>
      </x:c>
      <x:c r="P25" s="21" t="str">
        <x:f>IF(AND(N25&gt;=Controls!$D$7,O25&gt;=Controls!$D$8),"PASS","FAIL")</x:f>
        <x:v>PASS</x:v>
      </x:c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19" t="str">
        <x:v>MS-ET|D</x:v>
      </x:c>
      <x:c r="D26" s="19" t="str">
        <x:v>MS-ET</x:v>
      </x:c>
      <x:c r="E26" s="19" t="str">
        <x:v>ET-R5</x:v>
      </x:c>
      <x:c r="F26" s="19" t="str">
        <x:v>Temporary works, crossings and node preparation</x:v>
      </x:c>
      <x:c r="G26" s="40" t="n">
        <x:v>3</x:v>
      </x:c>
      <x:c r="H26" s="19" t="str">
        <x:v>simultaneous workfronts</x:v>
      </x:c>
      <x:c r="I26" s="22" t="n">
        <x:v>3</x:v>
      </x:c>
      <x:c r="J26" s="22" t="n">
        <x:v>5</x:v>
      </x:c>
      <x:c r="K26" s="40" t="n">
        <x:v>0.8280000000000001</x:v>
      </x:c>
      <x:c r="L26" s="39" t="n">
        <x:f>K26*J26</x:f>
        <x:v>4.140000000000001</x:v>
      </x:c>
      <x:c r="M26" s="39" t="n">
        <x:f>K26*(J26-1)</x:f>
        <x:v>3.3120000000000003</x:v>
      </x:c>
      <x:c r="N26" s="32" t="n">
        <x:f>L26/G26</x:f>
        <x:v>1.3800000000000001</x:v>
      </x:c>
      <x:c r="O26" s="32" t="n">
        <x:f>M26/G26</x:f>
        <x:v>1.104</x:v>
      </x:c>
      <x:c r="P26" s="21" t="str">
        <x:f>IF(AND(N26&gt;=Controls!$D$7,O26&gt;=Controls!$D$8),"PASS","FAIL")</x:f>
        <x:v>PASS</x:v>
      </x:c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19" t="str">
        <x:v>MS-CT|A</x:v>
      </x:c>
      <x:c r="D27" s="19" t="str">
        <x:v>MS-CT</x:v>
      </x:c>
      <x:c r="E27" s="19" t="str">
        <x:v>CT-R1</x:v>
      </x:c>
      <x:c r="F27" s="19" t="str">
        <x:v>Civil authority and effects coordination</x:v>
      </x:c>
      <x:c r="G27" s="40" t="n">
        <x:v>105000</x:v>
      </x:c>
      <x:c r="H27" s="19" t="str">
        <x:v>people governed/168 h</x:v>
      </x:c>
      <x:c r="I27" s="22" t="n">
        <x:v>2</x:v>
      </x:c>
      <x:c r="J27" s="22" t="n">
        <x:v>5</x:v>
      </x:c>
      <x:c r="K27" s="40" t="n">
        <x:v>26880</x:v>
      </x:c>
      <x:c r="L27" s="39" t="n">
        <x:f>K27*J27</x:f>
        <x:v>134400</x:v>
      </x:c>
      <x:c r="M27" s="39" t="n">
        <x:f>K27*(J27-1)</x:f>
        <x:v>107520</x:v>
      </x:c>
      <x:c r="N27" s="32" t="n">
        <x:f>L27/G27</x:f>
        <x:v>1.28</x:v>
      </x:c>
      <x:c r="O27" s="32" t="n">
        <x:f>M27/G27</x:f>
        <x:v>1.024</x:v>
      </x:c>
      <x:c r="P27" s="21" t="str">
        <x:f>IF(AND(N27&gt;=Controls!$D$7,O27&gt;=Controls!$D$8),"PASS","FAIL")</x:f>
        <x:v>PASS</x:v>
      </x:c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19" t="str">
        <x:v>MS-CT|A</x:v>
      </x:c>
      <x:c r="D28" s="19" t="str">
        <x:v>MS-CT</x:v>
      </x:c>
      <x:c r="E28" s="19" t="str">
        <x:v>CT-R2</x:v>
      </x:c>
      <x:c r="F28" s="19" t="str">
        <x:v>Incident observation and causal picture</x:v>
      </x:c>
      <x:c r="G28" s="40" t="n">
        <x:v>180</x:v>
      </x:c>
      <x:c r="H28" s="19" t="str">
        <x:v>route-km/168 h</x:v>
      </x:c>
      <x:c r="I28" s="22" t="n">
        <x:v>4</x:v>
      </x:c>
      <x:c r="J28" s="22" t="n">
        <x:v>5</x:v>
      </x:c>
      <x:c r="K28" s="40" t="n">
        <x:v>46.440000000000005</x:v>
      </x:c>
      <x:c r="L28" s="39" t="n">
        <x:f>K28*J28</x:f>
        <x:v>232.20000000000002</x:v>
      </x:c>
      <x:c r="M28" s="39" t="n">
        <x:f>K28*(J28-1)</x:f>
        <x:v>185.76000000000002</x:v>
      </x:c>
      <x:c r="N28" s="32" t="n">
        <x:f>L28/G28</x:f>
        <x:v>1.29</x:v>
      </x:c>
      <x:c r="O28" s="32" t="n">
        <x:f>M28/G28</x:f>
        <x:v>1.032</x:v>
      </x:c>
      <x:c r="P28" s="21" t="str">
        <x:f>IF(AND(N28&gt;=Controls!$D$7,O28&gt;=Controls!$D$8),"PASS","FAIL")</x:f>
        <x:v>PASS</x:v>
      </x:c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19" t="str">
        <x:v>MS-CT|A</x:v>
      </x:c>
      <x:c r="D29" s="19" t="str">
        <x:v>MS-CT</x:v>
      </x:c>
      <x:c r="E29" s="19" t="str">
        <x:v>CT-R3</x:v>
      </x:c>
      <x:c r="F29" s="19" t="str">
        <x:v>Disconnected public communications</x:v>
      </x:c>
      <x:c r="G29" s="40" t="n">
        <x:v>42800</x:v>
      </x:c>
      <x:c r="H29" s="19" t="str">
        <x:v>households contacted/168 h</x:v>
      </x:c>
      <x:c r="I29" s="22" t="n">
        <x:v>2</x:v>
      </x:c>
      <x:c r="J29" s="22" t="n">
        <x:v>5</x:v>
      </x:c>
      <x:c r="K29" s="40" t="n">
        <x:v>11128</x:v>
      </x:c>
      <x:c r="L29" s="39" t="n">
        <x:f>K29*J29</x:f>
        <x:v>55640</x:v>
      </x:c>
      <x:c r="M29" s="39" t="n">
        <x:f>K29*(J29-1)</x:f>
        <x:v>44512</x:v>
      </x:c>
      <x:c r="N29" s="32" t="n">
        <x:f>L29/G29</x:f>
        <x:v>1.3</x:v>
      </x:c>
      <x:c r="O29" s="32" t="n">
        <x:f>M29/G29</x:f>
        <x:v>1.04</x:v>
      </x:c>
      <x:c r="P29" s="21" t="str">
        <x:f>IF(AND(N29&gt;=Controls!$D$7,O29&gt;=Controls!$D$8),"PASS","FAIL")</x:f>
        <x:v>PASS</x:v>
      </x:c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19" t="str">
        <x:v>MS-CT|A</x:v>
      </x:c>
      <x:c r="D30" s="19" t="str">
        <x:v>MS-CT</x:v>
      </x:c>
      <x:c r="E30" s="19" t="str">
        <x:v>CT-R4</x:v>
      </x:c>
      <x:c r="F30" s="19" t="str">
        <x:v>Accessible public-service transaction</x:v>
      </x:c>
      <x:c r="G30" s="40" t="n">
        <x:v>42800</x:v>
      </x:c>
      <x:c r="H30" s="19" t="str">
        <x:v>transactions/168 h</x:v>
      </x:c>
      <x:c r="I30" s="22" t="n">
        <x:v>3</x:v>
      </x:c>
      <x:c r="J30" s="22" t="n">
        <x:v>5</x:v>
      </x:c>
      <x:c r="K30" s="40" t="n">
        <x:v>11213.6</x:v>
      </x:c>
      <x:c r="L30" s="39" t="n">
        <x:f>K30*J30</x:f>
        <x:v>56068</x:v>
      </x:c>
      <x:c r="M30" s="39" t="n">
        <x:f>K30*(J30-1)</x:f>
        <x:v>44854.4</x:v>
      </x:c>
      <x:c r="N30" s="32" t="n">
        <x:f>L30/G30</x:f>
        <x:v>1.31</x:v>
      </x:c>
      <x:c r="O30" s="32" t="n">
        <x:f>M30/G30</x:f>
        <x:v>1.048</x:v>
      </x:c>
      <x:c r="P30" s="21" t="str">
        <x:f>IF(AND(N30&gt;=Controls!$D$7,O30&gt;=Controls!$D$8),"PASS","FAIL")</x:f>
        <x:v>PASS</x:v>
      </x:c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C31" s="19" t="str">
        <x:v>MS-CT|A</x:v>
      </x:c>
      <x:c r="D31" s="19" t="str">
        <x:v>MS-CT</x:v>
      </x:c>
      <x:c r="E31" s="19" t="str">
        <x:v>CT-R5</x:v>
      </x:c>
      <x:c r="F31" s="19" t="str">
        <x:v>Household and building-origin reach</x:v>
      </x:c>
      <x:c r="G31" s="40" t="n">
        <x:v>42800</x:v>
      </x:c>
      <x:c r="H31" s="19" t="str">
        <x:v>dispositions/168 h</x:v>
      </x:c>
      <x:c r="I31" s="22" t="n">
        <x:v>3</x:v>
      </x:c>
      <x:c r="J31" s="22" t="n">
        <x:v>5</x:v>
      </x:c>
      <x:c r="K31" s="40" t="n">
        <x:v>11299.2</x:v>
      </x:c>
      <x:c r="L31" s="39" t="n">
        <x:f>K31*J31</x:f>
        <x:v>56496</x:v>
      </x:c>
      <x:c r="M31" s="39" t="n">
        <x:f>K31*(J31-1)</x:f>
        <x:v>45196.8</x:v>
      </x:c>
      <x:c r="N31" s="32" t="n">
        <x:f>L31/G31</x:f>
        <x:v>1.32</x:v>
      </x:c>
      <x:c r="O31" s="32" t="n">
        <x:f>M31/G31</x:f>
        <x:v>1.056</x:v>
      </x:c>
      <x:c r="P31" s="21" t="str">
        <x:f>IF(AND(N31&gt;=Controls!$D$7,O31&gt;=Controls!$D$8),"PASS","FAIL")</x:f>
        <x:v>PASS</x:v>
      </x:c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C32" s="19" t="str">
        <x:v>MS-CT|B</x:v>
      </x:c>
      <x:c r="D32" s="19" t="str">
        <x:v>MS-CT</x:v>
      </x:c>
      <x:c r="E32" s="19" t="str">
        <x:v>CT-R1</x:v>
      </x:c>
      <x:c r="F32" s="19" t="str">
        <x:v>Civil authority and effects coordination</x:v>
      </x:c>
      <x:c r="G32" s="40" t="n">
        <x:v>105000</x:v>
      </x:c>
      <x:c r="H32" s="19" t="str">
        <x:v>people governed/168 h</x:v>
      </x:c>
      <x:c r="I32" s="22" t="n">
        <x:v>2</x:v>
      </x:c>
      <x:c r="J32" s="22" t="n">
        <x:v>5</x:v>
      </x:c>
      <x:c r="K32" s="40" t="n">
        <x:v>27300</x:v>
      </x:c>
      <x:c r="L32" s="39" t="n">
        <x:f>K32*J32</x:f>
        <x:v>136500</x:v>
      </x:c>
      <x:c r="M32" s="39" t="n">
        <x:f>K32*(J32-1)</x:f>
        <x:v>109200</x:v>
      </x:c>
      <x:c r="N32" s="32" t="n">
        <x:f>L32/G32</x:f>
        <x:v>1.3</x:v>
      </x:c>
      <x:c r="O32" s="32" t="n">
        <x:f>M32/G32</x:f>
        <x:v>1.04</x:v>
      </x:c>
      <x:c r="P32" s="21" t="str">
        <x:f>IF(AND(N32&gt;=Controls!$D$7,O32&gt;=Controls!$D$8),"PASS","FAIL")</x:f>
        <x:v>PASS</x:v>
      </x:c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C33" s="19" t="str">
        <x:v>MS-CT|B</x:v>
      </x:c>
      <x:c r="D33" s="19" t="str">
        <x:v>MS-CT</x:v>
      </x:c>
      <x:c r="E33" s="19" t="str">
        <x:v>CT-R2</x:v>
      </x:c>
      <x:c r="F33" s="19" t="str">
        <x:v>Incident observation and causal picture</x:v>
      </x:c>
      <x:c r="G33" s="40" t="n">
        <x:v>180</x:v>
      </x:c>
      <x:c r="H33" s="19" t="str">
        <x:v>route-km/168 h</x:v>
      </x:c>
      <x:c r="I33" s="22" t="n">
        <x:v>4</x:v>
      </x:c>
      <x:c r="J33" s="22" t="n">
        <x:v>5</x:v>
      </x:c>
      <x:c r="K33" s="40" t="n">
        <x:v>47.160000000000004</x:v>
      </x:c>
      <x:c r="L33" s="39" t="n">
        <x:f>K33*J33</x:f>
        <x:v>235.8</x:v>
      </x:c>
      <x:c r="M33" s="39" t="n">
        <x:f>K33*(J33-1)</x:f>
        <x:v>188.64000000000001</x:v>
      </x:c>
      <x:c r="N33" s="32" t="n">
        <x:f>L33/G33</x:f>
        <x:v>1.31</x:v>
      </x:c>
      <x:c r="O33" s="32" t="n">
        <x:f>M33/G33</x:f>
        <x:v>1.048</x:v>
      </x:c>
      <x:c r="P33" s="21" t="str">
        <x:f>IF(AND(N33&gt;=Controls!$D$7,O33&gt;=Controls!$D$8),"PASS","FAIL")</x:f>
        <x:v>PASS</x:v>
      </x:c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C34" s="19" t="str">
        <x:v>MS-CT|B</x:v>
      </x:c>
      <x:c r="D34" s="19" t="str">
        <x:v>MS-CT</x:v>
      </x:c>
      <x:c r="E34" s="19" t="str">
        <x:v>CT-R3</x:v>
      </x:c>
      <x:c r="F34" s="19" t="str">
        <x:v>Disconnected public communications</x:v>
      </x:c>
      <x:c r="G34" s="40" t="n">
        <x:v>42800</x:v>
      </x:c>
      <x:c r="H34" s="19" t="str">
        <x:v>households contacted/168 h</x:v>
      </x:c>
      <x:c r="I34" s="22" t="n">
        <x:v>2</x:v>
      </x:c>
      <x:c r="J34" s="22" t="n">
        <x:v>5</x:v>
      </x:c>
      <x:c r="K34" s="40" t="n">
        <x:v>11299.2</x:v>
      </x:c>
      <x:c r="L34" s="39" t="n">
        <x:f>K34*J34</x:f>
        <x:v>56496</x:v>
      </x:c>
      <x:c r="M34" s="39" t="n">
        <x:f>K34*(J34-1)</x:f>
        <x:v>45196.8</x:v>
      </x:c>
      <x:c r="N34" s="32" t="n">
        <x:f>L34/G34</x:f>
        <x:v>1.32</x:v>
      </x:c>
      <x:c r="O34" s="32" t="n">
        <x:f>M34/G34</x:f>
        <x:v>1.056</x:v>
      </x:c>
      <x:c r="P34" s="21" t="str">
        <x:f>IF(AND(N34&gt;=Controls!$D$7,O34&gt;=Controls!$D$8),"PASS","FAIL")</x:f>
        <x:v>PASS</x:v>
      </x:c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C35" s="19" t="str">
        <x:v>MS-CT|B</x:v>
      </x:c>
      <x:c r="D35" s="19" t="str">
        <x:v>MS-CT</x:v>
      </x:c>
      <x:c r="E35" s="19" t="str">
        <x:v>CT-R4</x:v>
      </x:c>
      <x:c r="F35" s="19" t="str">
        <x:v>Accessible public-service transaction</x:v>
      </x:c>
      <x:c r="G35" s="40" t="n">
        <x:v>42800</x:v>
      </x:c>
      <x:c r="H35" s="19" t="str">
        <x:v>transactions/168 h</x:v>
      </x:c>
      <x:c r="I35" s="22" t="n">
        <x:v>3</x:v>
      </x:c>
      <x:c r="J35" s="22" t="n">
        <x:v>5</x:v>
      </x:c>
      <x:c r="K35" s="40" t="n">
        <x:v>11384.8</x:v>
      </x:c>
      <x:c r="L35" s="39" t="n">
        <x:f>K35*J35</x:f>
        <x:v>56924</x:v>
      </x:c>
      <x:c r="M35" s="39" t="n">
        <x:f>K35*(J35-1)</x:f>
        <x:v>45539.2</x:v>
      </x:c>
      <x:c r="N35" s="32" t="n">
        <x:f>L35/G35</x:f>
        <x:v>1.33</x:v>
      </x:c>
      <x:c r="O35" s="32" t="n">
        <x:f>M35/G35</x:f>
        <x:v>1.0639999999999998</x:v>
      </x:c>
      <x:c r="P35" s="21" t="str">
        <x:f>IF(AND(N35&gt;=Controls!$D$7,O35&gt;=Controls!$D$8),"PASS","FAIL")</x:f>
        <x:v>PASS</x:v>
      </x:c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C36" s="19" t="str">
        <x:v>MS-CT|B</x:v>
      </x:c>
      <x:c r="D36" s="19" t="str">
        <x:v>MS-CT</x:v>
      </x:c>
      <x:c r="E36" s="19" t="str">
        <x:v>CT-R5</x:v>
      </x:c>
      <x:c r="F36" s="19" t="str">
        <x:v>Household and building-origin reach</x:v>
      </x:c>
      <x:c r="G36" s="40" t="n">
        <x:v>42800</x:v>
      </x:c>
      <x:c r="H36" s="19" t="str">
        <x:v>dispositions/168 h</x:v>
      </x:c>
      <x:c r="I36" s="22" t="n">
        <x:v>3</x:v>
      </x:c>
      <x:c r="J36" s="22" t="n">
        <x:v>5</x:v>
      </x:c>
      <x:c r="K36" s="40" t="n">
        <x:v>11470.4</x:v>
      </x:c>
      <x:c r="L36" s="39" t="n">
        <x:f>K36*J36</x:f>
        <x:v>57352</x:v>
      </x:c>
      <x:c r="M36" s="39" t="n">
        <x:f>K36*(J36-1)</x:f>
        <x:v>45881.6</x:v>
      </x:c>
      <x:c r="N36" s="32" t="n">
        <x:f>L36/G36</x:f>
        <x:v>1.34</x:v>
      </x:c>
      <x:c r="O36" s="32" t="n">
        <x:f>M36/G36</x:f>
        <x:v>1.072</x:v>
      </x:c>
      <x:c r="P36" s="21" t="str">
        <x:f>IF(AND(N36&gt;=Controls!$D$7,O36&gt;=Controls!$D$8),"PASS","FAIL")</x:f>
        <x:v>PASS</x:v>
      </x:c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C37" s="19" t="str">
        <x:v>MS-CT|C</x:v>
      </x:c>
      <x:c r="D37" s="19" t="str">
        <x:v>MS-CT</x:v>
      </x:c>
      <x:c r="E37" s="19" t="str">
        <x:v>CT-R1</x:v>
      </x:c>
      <x:c r="F37" s="19" t="str">
        <x:v>Civil authority and effects coordination</x:v>
      </x:c>
      <x:c r="G37" s="40" t="n">
        <x:v>105000</x:v>
      </x:c>
      <x:c r="H37" s="19" t="str">
        <x:v>people governed/168 h</x:v>
      </x:c>
      <x:c r="I37" s="22" t="n">
        <x:v>2</x:v>
      </x:c>
      <x:c r="J37" s="22" t="n">
        <x:v>5</x:v>
      </x:c>
      <x:c r="K37" s="40" t="n">
        <x:v>27720</x:v>
      </x:c>
      <x:c r="L37" s="39" t="n">
        <x:f>K37*J37</x:f>
        <x:v>138600</x:v>
      </x:c>
      <x:c r="M37" s="39" t="n">
        <x:f>K37*(J37-1)</x:f>
        <x:v>110880</x:v>
      </x:c>
      <x:c r="N37" s="32" t="n">
        <x:f>L37/G37</x:f>
        <x:v>1.32</x:v>
      </x:c>
      <x:c r="O37" s="32" t="n">
        <x:f>M37/G37</x:f>
        <x:v>1.056</x:v>
      </x:c>
      <x:c r="P37" s="21" t="str">
        <x:f>IF(AND(N37&gt;=Controls!$D$7,O37&gt;=Controls!$D$8),"PASS","FAIL")</x:f>
        <x:v>PASS</x:v>
      </x:c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C38" s="19" t="str">
        <x:v>MS-CT|C</x:v>
      </x:c>
      <x:c r="D38" s="19" t="str">
        <x:v>MS-CT</x:v>
      </x:c>
      <x:c r="E38" s="19" t="str">
        <x:v>CT-R2</x:v>
      </x:c>
      <x:c r="F38" s="19" t="str">
        <x:v>Incident observation and causal picture</x:v>
      </x:c>
      <x:c r="G38" s="40" t="n">
        <x:v>180</x:v>
      </x:c>
      <x:c r="H38" s="19" t="str">
        <x:v>route-km/168 h</x:v>
      </x:c>
      <x:c r="I38" s="22" t="n">
        <x:v>4</x:v>
      </x:c>
      <x:c r="J38" s="22" t="n">
        <x:v>5</x:v>
      </x:c>
      <x:c r="K38" s="40" t="n">
        <x:v>47.88</x:v>
      </x:c>
      <x:c r="L38" s="39" t="n">
        <x:f>K38*J38</x:f>
        <x:v>239.4</x:v>
      </x:c>
      <x:c r="M38" s="39" t="n">
        <x:f>K38*(J38-1)</x:f>
        <x:v>191.52</x:v>
      </x:c>
      <x:c r="N38" s="32" t="n">
        <x:f>L38/G38</x:f>
        <x:v>1.33</x:v>
      </x:c>
      <x:c r="O38" s="32" t="n">
        <x:f>M38/G38</x:f>
        <x:v>1.064</x:v>
      </x:c>
      <x:c r="P38" s="21" t="str">
        <x:f>IF(AND(N38&gt;=Controls!$D$7,O38&gt;=Controls!$D$8),"PASS","FAIL")</x:f>
        <x:v>PASS</x:v>
      </x:c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C39" s="19" t="str">
        <x:v>MS-CT|C</x:v>
      </x:c>
      <x:c r="D39" s="19" t="str">
        <x:v>MS-CT</x:v>
      </x:c>
      <x:c r="E39" s="19" t="str">
        <x:v>CT-R3</x:v>
      </x:c>
      <x:c r="F39" s="19" t="str">
        <x:v>Disconnected public communications</x:v>
      </x:c>
      <x:c r="G39" s="40" t="n">
        <x:v>42800</x:v>
      </x:c>
      <x:c r="H39" s="19" t="str">
        <x:v>households contacted/168 h</x:v>
      </x:c>
      <x:c r="I39" s="22" t="n">
        <x:v>2</x:v>
      </x:c>
      <x:c r="J39" s="22" t="n">
        <x:v>5</x:v>
      </x:c>
      <x:c r="K39" s="40" t="n">
        <x:v>11470.4</x:v>
      </x:c>
      <x:c r="L39" s="39" t="n">
        <x:f>K39*J39</x:f>
        <x:v>57352</x:v>
      </x:c>
      <x:c r="M39" s="39" t="n">
        <x:f>K39*(J39-1)</x:f>
        <x:v>45881.6</x:v>
      </x:c>
      <x:c r="N39" s="32" t="n">
        <x:f>L39/G39</x:f>
        <x:v>1.34</x:v>
      </x:c>
      <x:c r="O39" s="32" t="n">
        <x:f>M39/G39</x:f>
        <x:v>1.072</x:v>
      </x:c>
      <x:c r="P39" s="21" t="str">
        <x:f>IF(AND(N39&gt;=Controls!$D$7,O39&gt;=Controls!$D$8),"PASS","FAIL")</x:f>
        <x:v>PASS</x:v>
      </x:c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C40" s="19" t="str">
        <x:v>MS-CT|C</x:v>
      </x:c>
      <x:c r="D40" s="19" t="str">
        <x:v>MS-CT</x:v>
      </x:c>
      <x:c r="E40" s="19" t="str">
        <x:v>CT-R4</x:v>
      </x:c>
      <x:c r="F40" s="19" t="str">
        <x:v>Accessible public-service transaction</x:v>
      </x:c>
      <x:c r="G40" s="40" t="n">
        <x:v>42800</x:v>
      </x:c>
      <x:c r="H40" s="19" t="str">
        <x:v>transactions/168 h</x:v>
      </x:c>
      <x:c r="I40" s="22" t="n">
        <x:v>3</x:v>
      </x:c>
      <x:c r="J40" s="22" t="n">
        <x:v>5</x:v>
      </x:c>
      <x:c r="K40" s="40" t="n">
        <x:v>11556.000000000002</x:v>
      </x:c>
      <x:c r="L40" s="39" t="n">
        <x:f>K40*J40</x:f>
        <x:v>57780.00000000001</x:v>
      </x:c>
      <x:c r="M40" s="39" t="n">
        <x:f>K40*(J40-1)</x:f>
        <x:v>46224.00000000001</x:v>
      </x:c>
      <x:c r="N40" s="32" t="n">
        <x:f>L40/G40</x:f>
        <x:v>1.35</x:v>
      </x:c>
      <x:c r="O40" s="32" t="n">
        <x:f>M40/G40</x:f>
        <x:v>1.08</x:v>
      </x:c>
      <x:c r="P40" s="21" t="str">
        <x:f>IF(AND(N40&gt;=Controls!$D$7,O40&gt;=Controls!$D$8),"PASS","FAIL")</x:f>
        <x:v>PASS</x:v>
      </x:c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C41" s="19" t="str">
        <x:v>MS-CT|C</x:v>
      </x:c>
      <x:c r="D41" s="19" t="str">
        <x:v>MS-CT</x:v>
      </x:c>
      <x:c r="E41" s="19" t="str">
        <x:v>CT-R5</x:v>
      </x:c>
      <x:c r="F41" s="19" t="str">
        <x:v>Household and building-origin reach</x:v>
      </x:c>
      <x:c r="G41" s="40" t="n">
        <x:v>42800</x:v>
      </x:c>
      <x:c r="H41" s="19" t="str">
        <x:v>dispositions/168 h</x:v>
      </x:c>
      <x:c r="I41" s="22" t="n">
        <x:v>3</x:v>
      </x:c>
      <x:c r="J41" s="22" t="n">
        <x:v>5</x:v>
      </x:c>
      <x:c r="K41" s="40" t="n">
        <x:v>11641.600000000002</x:v>
      </x:c>
      <x:c r="L41" s="39" t="n">
        <x:f>K41*J41</x:f>
        <x:v>58208.000000000015</x:v>
      </x:c>
      <x:c r="M41" s="39" t="n">
        <x:f>K41*(J41-1)</x:f>
        <x:v>46566.40000000001</x:v>
      </x:c>
      <x:c r="N41" s="32" t="n">
        <x:f>L41/G41</x:f>
        <x:v>1.3600000000000003</x:v>
      </x:c>
      <x:c r="O41" s="32" t="n">
        <x:f>M41/G41</x:f>
        <x:v>1.0880000000000003</x:v>
      </x:c>
      <x:c r="P41" s="21" t="str">
        <x:f>IF(AND(N41&gt;=Controls!$D$7,O41&gt;=Controls!$D$8),"PASS","FAIL")</x:f>
        <x:v>PASS</x:v>
      </x:c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C42" s="19" t="str">
        <x:v>MS-CT|D</x:v>
      </x:c>
      <x:c r="D42" s="19" t="str">
        <x:v>MS-CT</x:v>
      </x:c>
      <x:c r="E42" s="19" t="str">
        <x:v>CT-R1</x:v>
      </x:c>
      <x:c r="F42" s="19" t="str">
        <x:v>Civil authority and effects coordination</x:v>
      </x:c>
      <x:c r="G42" s="40" t="n">
        <x:v>105000</x:v>
      </x:c>
      <x:c r="H42" s="19" t="str">
        <x:v>people governed/168 h</x:v>
      </x:c>
      <x:c r="I42" s="22" t="n">
        <x:v>2</x:v>
      </x:c>
      <x:c r="J42" s="22" t="n">
        <x:v>5</x:v>
      </x:c>
      <x:c r="K42" s="40" t="n">
        <x:v>28140</x:v>
      </x:c>
      <x:c r="L42" s="39" t="n">
        <x:f>K42*J42</x:f>
        <x:v>140700</x:v>
      </x:c>
      <x:c r="M42" s="39" t="n">
        <x:f>K42*(J42-1)</x:f>
        <x:v>112560</x:v>
      </x:c>
      <x:c r="N42" s="32" t="n">
        <x:f>L42/G42</x:f>
        <x:v>1.34</x:v>
      </x:c>
      <x:c r="O42" s="32" t="n">
        <x:f>M42/G42</x:f>
        <x:v>1.072</x:v>
      </x:c>
      <x:c r="P42" s="21" t="str">
        <x:f>IF(AND(N42&gt;=Controls!$D$7,O42&gt;=Controls!$D$8),"PASS","FAIL")</x:f>
        <x:v>PASS</x:v>
      </x:c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C43" s="19" t="str">
        <x:v>MS-CT|D</x:v>
      </x:c>
      <x:c r="D43" s="19" t="str">
        <x:v>MS-CT</x:v>
      </x:c>
      <x:c r="E43" s="19" t="str">
        <x:v>CT-R2</x:v>
      </x:c>
      <x:c r="F43" s="19" t="str">
        <x:v>Incident observation and causal picture</x:v>
      </x:c>
      <x:c r="G43" s="40" t="n">
        <x:v>180</x:v>
      </x:c>
      <x:c r="H43" s="19" t="str">
        <x:v>route-km/168 h</x:v>
      </x:c>
      <x:c r="I43" s="22" t="n">
        <x:v>4</x:v>
      </x:c>
      <x:c r="J43" s="22" t="n">
        <x:v>5</x:v>
      </x:c>
      <x:c r="K43" s="40" t="n">
        <x:v>48.60000000000001</x:v>
      </x:c>
      <x:c r="L43" s="39" t="n">
        <x:f>K43*J43</x:f>
        <x:v>243.00000000000006</x:v>
      </x:c>
      <x:c r="M43" s="39" t="n">
        <x:f>K43*(J43-1)</x:f>
        <x:v>194.40000000000003</x:v>
      </x:c>
      <x:c r="N43" s="32" t="n">
        <x:f>L43/G43</x:f>
        <x:v>1.3500000000000003</x:v>
      </x:c>
      <x:c r="O43" s="32" t="n">
        <x:f>M43/G43</x:f>
        <x:v>1.0800000000000003</x:v>
      </x:c>
      <x:c r="P43" s="21" t="str">
        <x:f>IF(AND(N43&gt;=Controls!$D$7,O43&gt;=Controls!$D$8),"PASS","FAIL")</x:f>
        <x:v>PASS</x:v>
      </x:c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C44" s="19" t="str">
        <x:v>MS-CT|D</x:v>
      </x:c>
      <x:c r="D44" s="19" t="str">
        <x:v>MS-CT</x:v>
      </x:c>
      <x:c r="E44" s="19" t="str">
        <x:v>CT-R3</x:v>
      </x:c>
      <x:c r="F44" s="19" t="str">
        <x:v>Disconnected public communications</x:v>
      </x:c>
      <x:c r="G44" s="40" t="n">
        <x:v>42800</x:v>
      </x:c>
      <x:c r="H44" s="19" t="str">
        <x:v>households contacted/168 h</x:v>
      </x:c>
      <x:c r="I44" s="22" t="n">
        <x:v>2</x:v>
      </x:c>
      <x:c r="J44" s="22" t="n">
        <x:v>5</x:v>
      </x:c>
      <x:c r="K44" s="40" t="n">
        <x:v>11641.600000000002</x:v>
      </x:c>
      <x:c r="L44" s="39" t="n">
        <x:f>K44*J44</x:f>
        <x:v>58208.000000000015</x:v>
      </x:c>
      <x:c r="M44" s="39" t="n">
        <x:f>K44*(J44-1)</x:f>
        <x:v>46566.40000000001</x:v>
      </x:c>
      <x:c r="N44" s="32" t="n">
        <x:f>L44/G44</x:f>
        <x:v>1.3600000000000003</x:v>
      </x:c>
      <x:c r="O44" s="32" t="n">
        <x:f>M44/G44</x:f>
        <x:v>1.0880000000000003</x:v>
      </x:c>
      <x:c r="P44" s="21" t="str">
        <x:f>IF(AND(N44&gt;=Controls!$D$7,O44&gt;=Controls!$D$8),"PASS","FAIL")</x:f>
        <x:v>PASS</x:v>
      </x:c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C45" s="19" t="str">
        <x:v>MS-CT|D</x:v>
      </x:c>
      <x:c r="D45" s="19" t="str">
        <x:v>MS-CT</x:v>
      </x:c>
      <x:c r="E45" s="19" t="str">
        <x:v>CT-R4</x:v>
      </x:c>
      <x:c r="F45" s="19" t="str">
        <x:v>Accessible public-service transaction</x:v>
      </x:c>
      <x:c r="G45" s="40" t="n">
        <x:v>42800</x:v>
      </x:c>
      <x:c r="H45" s="19" t="str">
        <x:v>transactions/168 h</x:v>
      </x:c>
      <x:c r="I45" s="22" t="n">
        <x:v>3</x:v>
      </x:c>
      <x:c r="J45" s="22" t="n">
        <x:v>5</x:v>
      </x:c>
      <x:c r="K45" s="40" t="n">
        <x:v>11727.2</x:v>
      </x:c>
      <x:c r="L45" s="39" t="n">
        <x:f>K45*J45</x:f>
        <x:v>58636</x:v>
      </x:c>
      <x:c r="M45" s="39" t="n">
        <x:f>K45*(J45-1)</x:f>
        <x:v>46908.8</x:v>
      </x:c>
      <x:c r="N45" s="32" t="n">
        <x:f>L45/G45</x:f>
        <x:v>1.37</x:v>
      </x:c>
      <x:c r="O45" s="32" t="n">
        <x:f>M45/G45</x:f>
        <x:v>1.096</x:v>
      </x:c>
      <x:c r="P45" s="21" t="str">
        <x:f>IF(AND(N45&gt;=Controls!$D$7,O45&gt;=Controls!$D$8),"PASS","FAIL")</x:f>
        <x:v>PASS</x:v>
      </x:c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C46" s="19" t="str">
        <x:v>MS-CT|D</x:v>
      </x:c>
      <x:c r="D46" s="19" t="str">
        <x:v>MS-CT</x:v>
      </x:c>
      <x:c r="E46" s="19" t="str">
        <x:v>CT-R5</x:v>
      </x:c>
      <x:c r="F46" s="19" t="str">
        <x:v>Household and building-origin reach</x:v>
      </x:c>
      <x:c r="G46" s="40" t="n">
        <x:v>42800</x:v>
      </x:c>
      <x:c r="H46" s="19" t="str">
        <x:v>dispositions/168 h</x:v>
      </x:c>
      <x:c r="I46" s="22" t="n">
        <x:v>3</x:v>
      </x:c>
      <x:c r="J46" s="22" t="n">
        <x:v>5</x:v>
      </x:c>
      <x:c r="K46" s="40" t="n">
        <x:v>11812.800000000001</x:v>
      </x:c>
      <x:c r="L46" s="39" t="n">
        <x:f>K46*J46</x:f>
        <x:v>59064.00000000001</x:v>
      </x:c>
      <x:c r="M46" s="39" t="n">
        <x:f>K46*(J46-1)</x:f>
        <x:v>47251.200000000004</x:v>
      </x:c>
      <x:c r="N46" s="32" t="n">
        <x:f>L46/G46</x:f>
        <x:v>1.3800000000000001</x:v>
      </x:c>
      <x:c r="O46" s="32" t="n">
        <x:f>M46/G46</x:f>
        <x:v>1.104</x:v>
      </x:c>
      <x:c r="P46" s="21" t="str">
        <x:f>IF(AND(N46&gt;=Controls!$D$7,O46&gt;=Controls!$D$8),"PASS","FAIL")</x:f>
        <x:v>PASS</x:v>
      </x:c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C47" s="19" t="str">
        <x:v>MS-HC|A</x:v>
      </x:c>
      <x:c r="D47" s="19" t="str">
        <x:v>MS-HC</x:v>
      </x:c>
      <x:c r="E47" s="19" t="str">
        <x:v>HC-R1</x:v>
      </x:c>
      <x:c r="F47" s="19" t="str">
        <x:v>Fire and atmospheric control</x:v>
      </x:c>
      <x:c r="G47" s="40" t="n">
        <x:v>103</x:v>
      </x:c>
      <x:c r="H47" s="19" t="str">
        <x:v>held line km/day</x:v>
      </x:c>
      <x:c r="I47" s="22" t="n">
        <x:v>2</x:v>
      </x:c>
      <x:c r="J47" s="22" t="n">
        <x:v>5</x:v>
      </x:c>
      <x:c r="K47" s="40" t="n">
        <x:v>26.368000000000002</x:v>
      </x:c>
      <x:c r="L47" s="39" t="n">
        <x:f>K47*J47</x:f>
        <x:v>131.84</x:v>
      </x:c>
      <x:c r="M47" s="39" t="n">
        <x:f>K47*(J47-1)</x:f>
        <x:v>105.47200000000001</x:v>
      </x:c>
      <x:c r="N47" s="32" t="n">
        <x:f>L47/G47</x:f>
        <x:v>1.28</x:v>
      </x:c>
      <x:c r="O47" s="32" t="n">
        <x:f>M47/G47</x:f>
        <x:v>1.024</x:v>
      </x:c>
      <x:c r="P47" s="21" t="str">
        <x:f>IF(AND(N47&gt;=Controls!$D$7,O47&gt;=Controls!$D$8),"PASS","FAIL")</x:f>
        <x:v>PASS</x:v>
      </x:c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C48" s="19" t="str">
        <x:v>MS-HC|A</x:v>
      </x:c>
      <x:c r="D48" s="19" t="str">
        <x:v>MS-HC</x:v>
      </x:c>
      <x:c r="E48" s="19" t="str">
        <x:v>HC-R2</x:v>
      </x:c>
      <x:c r="F48" s="19" t="str">
        <x:v>Flood and hydraulic control</x:v>
      </x:c>
      <x:c r="G48" s="40" t="n">
        <x:v>13.8</x:v>
      </x:c>
      <x:c r="H48" s="19" t="str">
        <x:v>net m3/s</x:v>
      </x:c>
      <x:c r="I48" s="22" t="n">
        <x:v>2</x:v>
      </x:c>
      <x:c r="J48" s="22" t="n">
        <x:v>5</x:v>
      </x:c>
      <x:c r="K48" s="40" t="n">
        <x:v>3.5604000000000005</x:v>
      </x:c>
      <x:c r="L48" s="39" t="n">
        <x:f>K48*J48</x:f>
        <x:v>17.802000000000003</x:v>
      </x:c>
      <x:c r="M48" s="39" t="n">
        <x:f>K48*(J48-1)</x:f>
        <x:v>14.241600000000002</x:v>
      </x:c>
      <x:c r="N48" s="32" t="n">
        <x:f>L48/G48</x:f>
        <x:v>1.2900000000000003</x:v>
      </x:c>
      <x:c r="O48" s="32" t="n">
        <x:f>M48/G48</x:f>
        <x:v>1.032</x:v>
      </x:c>
      <x:c r="P48" s="21" t="str">
        <x:f>IF(AND(N48&gt;=Controls!$D$7,O48&gt;=Controls!$D$8),"PASS","FAIL")</x:f>
        <x:v>PASS</x:v>
      </x:c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C49" s="19" t="str">
        <x:v>MS-HC|A</x:v>
      </x:c>
      <x:c r="D49" s="19" t="str">
        <x:v>MS-HC</x:v>
      </x:c>
      <x:c r="E49" s="19" t="str">
        <x:v>HC-R3</x:v>
      </x:c>
      <x:c r="F49" s="19" t="str">
        <x:v>Debris, material and geophysical control</x:v>
      </x:c>
      <x:c r="G49" s="40" t="n">
        <x:v>12000</x:v>
      </x:c>
      <x:c r="H49" s="19" t="str">
        <x:v>controlled t/day</x:v>
      </x:c>
      <x:c r="I49" s="22" t="n">
        <x:v>3</x:v>
      </x:c>
      <x:c r="J49" s="22" t="n">
        <x:v>5</x:v>
      </x:c>
      <x:c r="K49" s="40" t="n">
        <x:v>3120</x:v>
      </x:c>
      <x:c r="L49" s="39" t="n">
        <x:f>K49*J49</x:f>
        <x:v>15600</x:v>
      </x:c>
      <x:c r="M49" s="39" t="n">
        <x:f>K49*(J49-1)</x:f>
        <x:v>12480</x:v>
      </x:c>
      <x:c r="N49" s="32" t="n">
        <x:f>L49/G49</x:f>
        <x:v>1.3</x:v>
      </x:c>
      <x:c r="O49" s="32" t="n">
        <x:f>M49/G49</x:f>
        <x:v>1.04</x:v>
      </x:c>
      <x:c r="P49" s="21" t="str">
        <x:f>IF(AND(N49&gt;=Controls!$D$7,O49&gt;=Controls!$D$8),"PASS","FAIL")</x:f>
        <x:v>PASS</x:v>
      </x:c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C50" s="19" t="str">
        <x:v>MS-HC|B</x:v>
      </x:c>
      <x:c r="D50" s="19" t="str">
        <x:v>MS-HC</x:v>
      </x:c>
      <x:c r="E50" s="19" t="str">
        <x:v>HC-R1</x:v>
      </x:c>
      <x:c r="F50" s="19" t="str">
        <x:v>Fire and atmospheric control</x:v>
      </x:c>
      <x:c r="G50" s="40" t="n">
        <x:v>103</x:v>
      </x:c>
      <x:c r="H50" s="19" t="str">
        <x:v>held line km/day</x:v>
      </x:c>
      <x:c r="I50" s="22" t="n">
        <x:v>2</x:v>
      </x:c>
      <x:c r="J50" s="22" t="n">
        <x:v>5</x:v>
      </x:c>
      <x:c r="K50" s="40" t="n">
        <x:v>26.78</x:v>
      </x:c>
      <x:c r="L50" s="39" t="n">
        <x:f>K50*J50</x:f>
        <x:v>133.9</x:v>
      </x:c>
      <x:c r="M50" s="39" t="n">
        <x:f>K50*(J50-1)</x:f>
        <x:v>107.12</x:v>
      </x:c>
      <x:c r="N50" s="32" t="n">
        <x:f>L50/G50</x:f>
        <x:v>1.3</x:v>
      </x:c>
      <x:c r="O50" s="32" t="n">
        <x:f>M50/G50</x:f>
        <x:v>1.04</x:v>
      </x:c>
      <x:c r="P50" s="21" t="str">
        <x:f>IF(AND(N50&gt;=Controls!$D$7,O50&gt;=Controls!$D$8),"PASS","FAIL")</x:f>
        <x:v>PASS</x:v>
      </x:c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C51" s="19" t="str">
        <x:v>MS-HC|B</x:v>
      </x:c>
      <x:c r="D51" s="19" t="str">
        <x:v>MS-HC</x:v>
      </x:c>
      <x:c r="E51" s="19" t="str">
        <x:v>HC-R2</x:v>
      </x:c>
      <x:c r="F51" s="19" t="str">
        <x:v>Flood and hydraulic control</x:v>
      </x:c>
      <x:c r="G51" s="40" t="n">
        <x:v>13.8</x:v>
      </x:c>
      <x:c r="H51" s="19" t="str">
        <x:v>net m3/s</x:v>
      </x:c>
      <x:c r="I51" s="22" t="n">
        <x:v>2</x:v>
      </x:c>
      <x:c r="J51" s="22" t="n">
        <x:v>5</x:v>
      </x:c>
      <x:c r="K51" s="40" t="n">
        <x:v>3.6156000000000006</x:v>
      </x:c>
      <x:c r="L51" s="39" t="n">
        <x:f>K51*J51</x:f>
        <x:v>18.078000000000003</x:v>
      </x:c>
      <x:c r="M51" s="39" t="n">
        <x:f>K51*(J51-1)</x:f>
        <x:v>14.462400000000002</x:v>
      </x:c>
      <x:c r="N51" s="32" t="n">
        <x:f>L51/G51</x:f>
        <x:v>1.31</x:v>
      </x:c>
      <x:c r="O51" s="32" t="n">
        <x:f>M51/G51</x:f>
        <x:v>1.048</x:v>
      </x:c>
      <x:c r="P51" s="21" t="str">
        <x:f>IF(AND(N51&gt;=Controls!$D$7,O51&gt;=Controls!$D$8),"PASS","FAIL")</x:f>
        <x:v>PASS</x:v>
      </x:c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C52" s="19" t="str">
        <x:v>MS-HC|B</x:v>
      </x:c>
      <x:c r="D52" s="19" t="str">
        <x:v>MS-HC</x:v>
      </x:c>
      <x:c r="E52" s="19" t="str">
        <x:v>HC-R3</x:v>
      </x:c>
      <x:c r="F52" s="19" t="str">
        <x:v>Debris, material and geophysical control</x:v>
      </x:c>
      <x:c r="G52" s="40" t="n">
        <x:v>12000</x:v>
      </x:c>
      <x:c r="H52" s="19" t="str">
        <x:v>controlled t/day</x:v>
      </x:c>
      <x:c r="I52" s="22" t="n">
        <x:v>3</x:v>
      </x:c>
      <x:c r="J52" s="22" t="n">
        <x:v>5</x:v>
      </x:c>
      <x:c r="K52" s="40" t="n">
        <x:v>3168</x:v>
      </x:c>
      <x:c r="L52" s="39" t="n">
        <x:f>K52*J52</x:f>
        <x:v>15840</x:v>
      </x:c>
      <x:c r="M52" s="39" t="n">
        <x:f>K52*(J52-1)</x:f>
        <x:v>12672</x:v>
      </x:c>
      <x:c r="N52" s="32" t="n">
        <x:f>L52/G52</x:f>
        <x:v>1.32</x:v>
      </x:c>
      <x:c r="O52" s="32" t="n">
        <x:f>M52/G52</x:f>
        <x:v>1.056</x:v>
      </x:c>
      <x:c r="P52" s="21" t="str">
        <x:f>IF(AND(N52&gt;=Controls!$D$7,O52&gt;=Controls!$D$8),"PASS","FAIL")</x:f>
        <x:v>PASS</x:v>
      </x:c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C53" s="19" t="str">
        <x:v>MS-HC|C</x:v>
      </x:c>
      <x:c r="D53" s="19" t="str">
        <x:v>MS-HC</x:v>
      </x:c>
      <x:c r="E53" s="19" t="str">
        <x:v>HC-R1</x:v>
      </x:c>
      <x:c r="F53" s="19" t="str">
        <x:v>Fire and atmospheric control</x:v>
      </x:c>
      <x:c r="G53" s="40" t="n">
        <x:v>103</x:v>
      </x:c>
      <x:c r="H53" s="19" t="str">
        <x:v>held line km/day</x:v>
      </x:c>
      <x:c r="I53" s="22" t="n">
        <x:v>2</x:v>
      </x:c>
      <x:c r="J53" s="22" t="n">
        <x:v>5</x:v>
      </x:c>
      <x:c r="K53" s="40" t="n">
        <x:v>27.192</x:v>
      </x:c>
      <x:c r="L53" s="39" t="n">
        <x:f>K53*J53</x:f>
        <x:v>135.96</x:v>
      </x:c>
      <x:c r="M53" s="39" t="n">
        <x:f>K53*(J53-1)</x:f>
        <x:v>108.768</x:v>
      </x:c>
      <x:c r="N53" s="32" t="n">
        <x:f>L53/G53</x:f>
        <x:v>1.32</x:v>
      </x:c>
      <x:c r="O53" s="32" t="n">
        <x:f>M53/G53</x:f>
        <x:v>1.056</x:v>
      </x:c>
      <x:c r="P53" s="21" t="str">
        <x:f>IF(AND(N53&gt;=Controls!$D$7,O53&gt;=Controls!$D$8),"PASS","FAIL")</x:f>
        <x:v>PASS</x:v>
      </x:c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C54" s="19" t="str">
        <x:v>MS-HC|C</x:v>
      </x:c>
      <x:c r="D54" s="19" t="str">
        <x:v>MS-HC</x:v>
      </x:c>
      <x:c r="E54" s="19" t="str">
        <x:v>HC-R2</x:v>
      </x:c>
      <x:c r="F54" s="19" t="str">
        <x:v>Flood and hydraulic control</x:v>
      </x:c>
      <x:c r="G54" s="40" t="n">
        <x:v>13.8</x:v>
      </x:c>
      <x:c r="H54" s="19" t="str">
        <x:v>net m3/s</x:v>
      </x:c>
      <x:c r="I54" s="22" t="n">
        <x:v>2</x:v>
      </x:c>
      <x:c r="J54" s="22" t="n">
        <x:v>5</x:v>
      </x:c>
      <x:c r="K54" s="40" t="n">
        <x:v>3.6708000000000007</x:v>
      </x:c>
      <x:c r="L54" s="39" t="n">
        <x:f>K54*J54</x:f>
        <x:v>18.354000000000003</x:v>
      </x:c>
      <x:c r="M54" s="39" t="n">
        <x:f>K54*(J54-1)</x:f>
        <x:v>14.683200000000003</x:v>
      </x:c>
      <x:c r="N54" s="32" t="n">
        <x:f>L54/G54</x:f>
        <x:v>1.33</x:v>
      </x:c>
      <x:c r="O54" s="32" t="n">
        <x:f>M54/G54</x:f>
        <x:v>1.064</x:v>
      </x:c>
      <x:c r="P54" s="21" t="str">
        <x:f>IF(AND(N54&gt;=Controls!$D$7,O54&gt;=Controls!$D$8),"PASS","FAIL")</x:f>
        <x:v>PASS</x:v>
      </x:c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C55" s="19" t="str">
        <x:v>MS-HC|C</x:v>
      </x:c>
      <x:c r="D55" s="19" t="str">
        <x:v>MS-HC</x:v>
      </x:c>
      <x:c r="E55" s="19" t="str">
        <x:v>HC-R3</x:v>
      </x:c>
      <x:c r="F55" s="19" t="str">
        <x:v>Debris, material and geophysical control</x:v>
      </x:c>
      <x:c r="G55" s="40" t="n">
        <x:v>12000</x:v>
      </x:c>
      <x:c r="H55" s="19" t="str">
        <x:v>controlled t/day</x:v>
      </x:c>
      <x:c r="I55" s="22" t="n">
        <x:v>3</x:v>
      </x:c>
      <x:c r="J55" s="22" t="n">
        <x:v>5</x:v>
      </x:c>
      <x:c r="K55" s="40" t="n">
        <x:v>3216.0000000000005</x:v>
      </x:c>
      <x:c r="L55" s="39" t="n">
        <x:f>K55*J55</x:f>
        <x:v>16080.000000000002</x:v>
      </x:c>
      <x:c r="M55" s="39" t="n">
        <x:f>K55*(J55-1)</x:f>
        <x:v>12864.000000000002</x:v>
      </x:c>
      <x:c r="N55" s="32" t="n">
        <x:f>L55/G55</x:f>
        <x:v>1.34</x:v>
      </x:c>
      <x:c r="O55" s="32" t="n">
        <x:f>M55/G55</x:f>
        <x:v>1.072</x:v>
      </x:c>
      <x:c r="P55" s="21" t="str">
        <x:f>IF(AND(N55&gt;=Controls!$D$7,O55&gt;=Controls!$D$8),"PASS","FAIL")</x:f>
        <x:v>PASS</x:v>
      </x:c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C56" s="19" t="str">
        <x:v>MS-HC|D</x:v>
      </x:c>
      <x:c r="D56" s="19" t="str">
        <x:v>MS-HC</x:v>
      </x:c>
      <x:c r="E56" s="19" t="str">
        <x:v>HC-R1</x:v>
      </x:c>
      <x:c r="F56" s="19" t="str">
        <x:v>Fire and atmospheric control</x:v>
      </x:c>
      <x:c r="G56" s="40" t="n">
        <x:v>103</x:v>
      </x:c>
      <x:c r="H56" s="19" t="str">
        <x:v>held line km/day</x:v>
      </x:c>
      <x:c r="I56" s="22" t="n">
        <x:v>2</x:v>
      </x:c>
      <x:c r="J56" s="22" t="n">
        <x:v>5</x:v>
      </x:c>
      <x:c r="K56" s="40" t="n">
        <x:v>27.604000000000003</x:v>
      </x:c>
      <x:c r="L56" s="39" t="n">
        <x:f>K56*J56</x:f>
        <x:v>138.02</x:v>
      </x:c>
      <x:c r="M56" s="39" t="n">
        <x:f>K56*(J56-1)</x:f>
        <x:v>110.41600000000001</x:v>
      </x:c>
      <x:c r="N56" s="32" t="n">
        <x:f>L56/G56</x:f>
        <x:v>1.34</x:v>
      </x:c>
      <x:c r="O56" s="32" t="n">
        <x:f>M56/G56</x:f>
        <x:v>1.072</x:v>
      </x:c>
      <x:c r="P56" s="21" t="str">
        <x:f>IF(AND(N56&gt;=Controls!$D$7,O56&gt;=Controls!$D$8),"PASS","FAIL")</x:f>
        <x:v>PASS</x:v>
      </x:c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C57" s="19" t="str">
        <x:v>MS-HC|D</x:v>
      </x:c>
      <x:c r="D57" s="19" t="str">
        <x:v>MS-HC</x:v>
      </x:c>
      <x:c r="E57" s="19" t="str">
        <x:v>HC-R2</x:v>
      </x:c>
      <x:c r="F57" s="19" t="str">
        <x:v>Flood and hydraulic control</x:v>
      </x:c>
      <x:c r="G57" s="40" t="n">
        <x:v>13.8</x:v>
      </x:c>
      <x:c r="H57" s="19" t="str">
        <x:v>net m3/s</x:v>
      </x:c>
      <x:c r="I57" s="22" t="n">
        <x:v>2</x:v>
      </x:c>
      <x:c r="J57" s="22" t="n">
        <x:v>5</x:v>
      </x:c>
      <x:c r="K57" s="40" t="n">
        <x:v>3.7260000000000004</x:v>
      </x:c>
      <x:c r="L57" s="39" t="n">
        <x:f>K57*J57</x:f>
        <x:v>18.630000000000003</x:v>
      </x:c>
      <x:c r="M57" s="39" t="n">
        <x:f>K57*(J57-1)</x:f>
        <x:v>14.904000000000002</x:v>
      </x:c>
      <x:c r="N57" s="32" t="n">
        <x:f>L57/G57</x:f>
        <x:v>1.35</x:v>
      </x:c>
      <x:c r="O57" s="32" t="n">
        <x:f>M57/G57</x:f>
        <x:v>1.08</x:v>
      </x:c>
      <x:c r="P57" s="21" t="str">
        <x:f>IF(AND(N57&gt;=Controls!$D$7,O57&gt;=Controls!$D$8),"PASS","FAIL")</x:f>
        <x:v>PASS</x:v>
      </x:c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C58" s="19" t="str">
        <x:v>MS-HC|D</x:v>
      </x:c>
      <x:c r="D58" s="19" t="str">
        <x:v>MS-HC</x:v>
      </x:c>
      <x:c r="E58" s="19" t="str">
        <x:v>HC-R3</x:v>
      </x:c>
      <x:c r="F58" s="19" t="str">
        <x:v>Debris, material and geophysical control</x:v>
      </x:c>
      <x:c r="G58" s="40" t="n">
        <x:v>12000</x:v>
      </x:c>
      <x:c r="H58" s="19" t="str">
        <x:v>controlled t/day</x:v>
      </x:c>
      <x:c r="I58" s="22" t="n">
        <x:v>3</x:v>
      </x:c>
      <x:c r="J58" s="22" t="n">
        <x:v>5</x:v>
      </x:c>
      <x:c r="K58" s="40" t="n">
        <x:v>3264.0000000000005</x:v>
      </x:c>
      <x:c r="L58" s="39" t="n">
        <x:f>K58*J58</x:f>
        <x:v>16320.000000000002</x:v>
      </x:c>
      <x:c r="M58" s="39" t="n">
        <x:f>K58*(J58-1)</x:f>
        <x:v>13056.000000000002</x:v>
      </x:c>
      <x:c r="N58" s="32" t="n">
        <x:f>L58/G58</x:f>
        <x:v>1.36</x:v>
      </x:c>
      <x:c r="O58" s="32" t="n">
        <x:f>M58/G58</x:f>
        <x:v>1.088</x:v>
      </x:c>
      <x:c r="P58" s="21" t="str">
        <x:f>IF(AND(N58&gt;=Controls!$D$7,O58&gt;=Controls!$D$8),"PASS","FAIL")</x:f>
        <x:v>PASS</x:v>
      </x:c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C59" s="19" t="str">
        <x:v>MS-HU|A</x:v>
      </x:c>
      <x:c r="D59" s="19" t="str">
        <x:v>MS-HU</x:v>
      </x:c>
      <x:c r="E59" s="19" t="str">
        <x:v>HU-R1</x:v>
      </x:c>
      <x:c r="F59" s="19" t="str">
        <x:v>Local continuity support</x:v>
      </x:c>
      <x:c r="G59" s="40" t="n">
        <x:v>50000</x:v>
      </x:c>
      <x:c r="H59" s="19" t="str">
        <x:v>relationships/168 h</x:v>
      </x:c>
      <x:c r="I59" s="22" t="n">
        <x:v>12</x:v>
      </x:c>
      <x:c r="J59" s="22" t="n">
        <x:v>12</x:v>
      </x:c>
      <x:c r="K59" s="40" t="n">
        <x:v>5333.333333333333</x:v>
      </x:c>
      <x:c r="L59" s="39" t="n">
        <x:f>K59*J59</x:f>
        <x:v>64000</x:v>
      </x:c>
      <x:c r="M59" s="39" t="n">
        <x:f>K59*(J59-1)</x:f>
        <x:v>58666.666666666664</x:v>
      </x:c>
      <x:c r="N59" s="32" t="n">
        <x:f>L59/G59</x:f>
        <x:v>1.28</x:v>
      </x:c>
      <x:c r="O59" s="32" t="n">
        <x:f>M59/G59</x:f>
        <x:v>1.1733333333333333</x:v>
      </x:c>
      <x:c r="P59" s="21" t="str">
        <x:f>IF(AND(N59&gt;=Controls!$D$7,O59&gt;=Controls!$D$8),"PASS","FAIL")</x:f>
        <x:v>PASS</x:v>
      </x:c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C60" s="19" t="str">
        <x:v>MS-HU|A</x:v>
      </x:c>
      <x:c r="D60" s="19" t="str">
        <x:v>MS-HU</x:v>
      </x:c>
      <x:c r="E60" s="19" t="str">
        <x:v>HU-R2</x:v>
      </x:c>
      <x:c r="F60" s="19" t="str">
        <x:v>Definitive care</x:v>
      </x:c>
      <x:c r="G60" s="40" t="n">
        <x:v>2500</x:v>
      </x:c>
      <x:c r="H60" s="19" t="str">
        <x:v>episodes/168 h</x:v>
      </x:c>
      <x:c r="I60" s="22" t="n">
        <x:v>3</x:v>
      </x:c>
      <x:c r="J60" s="22" t="n">
        <x:v>5</x:v>
      </x:c>
      <x:c r="K60" s="40" t="n">
        <x:v>645</x:v>
      </x:c>
      <x:c r="L60" s="39" t="n">
        <x:f>K60*J60</x:f>
        <x:v>3225</x:v>
      </x:c>
      <x:c r="M60" s="39" t="n">
        <x:f>K60*(J60-1)</x:f>
        <x:v>2580</x:v>
      </x:c>
      <x:c r="N60" s="32" t="n">
        <x:f>L60/G60</x:f>
        <x:v>1.29</x:v>
      </x:c>
      <x:c r="O60" s="32" t="n">
        <x:f>M60/G60</x:f>
        <x:v>1.032</x:v>
      </x:c>
      <x:c r="P60" s="21" t="str">
        <x:f>IF(AND(N60&gt;=Controls!$D$7,O60&gt;=Controls!$D$8),"PASS","FAIL")</x:f>
        <x:v>PASS</x:v>
      </x:c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C61" s="19" t="str">
        <x:v>MS-HU|A</x:v>
      </x:c>
      <x:c r="D61" s="19" t="str">
        <x:v>MS-HU</x:v>
      </x:c>
      <x:c r="E61" s="19" t="str">
        <x:v>HU-R3</x:v>
      </x:c>
      <x:c r="F61" s="19" t="str">
        <x:v>Patient regulation and transfer</x:v>
      </x:c>
      <x:c r="G61" s="40" t="n">
        <x:v>5000</x:v>
      </x:c>
      <x:c r="H61" s="19" t="str">
        <x:v>transfers/168 h</x:v>
      </x:c>
      <x:c r="I61" s="22" t="n">
        <x:v>4</x:v>
      </x:c>
      <x:c r="J61" s="22" t="n">
        <x:v>5</x:v>
      </x:c>
      <x:c r="K61" s="40" t="n">
        <x:v>1300</x:v>
      </x:c>
      <x:c r="L61" s="39" t="n">
        <x:f>K61*J61</x:f>
        <x:v>6500</x:v>
      </x:c>
      <x:c r="M61" s="39" t="n">
        <x:f>K61*(J61-1)</x:f>
        <x:v>5200</x:v>
      </x:c>
      <x:c r="N61" s="32" t="n">
        <x:f>L61/G61</x:f>
        <x:v>1.3</x:v>
      </x:c>
      <x:c r="O61" s="32" t="n">
        <x:f>M61/G61</x:f>
        <x:v>1.04</x:v>
      </x:c>
      <x:c r="P61" s="21" t="str">
        <x:f>IF(AND(N61&gt;=Controls!$D$7,O61&gt;=Controls!$D$8),"PASS","FAIL")</x:f>
        <x:v>PASS</x:v>
      </x:c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C62" s="19" t="str">
        <x:v>MS-HU|A</x:v>
      </x:c>
      <x:c r="D62" s="19" t="str">
        <x:v>MS-HU</x:v>
      </x:c>
      <x:c r="E62" s="19" t="str">
        <x:v>HU-R4</x:v>
      </x:c>
      <x:c r="F62" s="19" t="str">
        <x:v>Household relocation and reception</x:v>
      </x:c>
      <x:c r="G62" s="40" t="n">
        <x:v>50000</x:v>
      </x:c>
      <x:c r="H62" s="19" t="str">
        <x:v>states/168 h</x:v>
      </x:c>
      <x:c r="I62" s="22" t="n">
        <x:v>12</x:v>
      </x:c>
      <x:c r="J62" s="22" t="n">
        <x:v>12</x:v>
      </x:c>
      <x:c r="K62" s="40" t="n">
        <x:v>5458.333333333333</x:v>
      </x:c>
      <x:c r="L62" s="39" t="n">
        <x:f>K62*J62</x:f>
        <x:v>65500</x:v>
      </x:c>
      <x:c r="M62" s="39" t="n">
        <x:f>K62*(J62-1)</x:f>
        <x:v>60041.666666666664</x:v>
      </x:c>
      <x:c r="N62" s="32" t="n">
        <x:f>L62/G62</x:f>
        <x:v>1.31</x:v>
      </x:c>
      <x:c r="O62" s="32" t="n">
        <x:f>M62/G62</x:f>
        <x:v>1.2008333333333332</x:v>
      </x:c>
      <x:c r="P62" s="21" t="str">
        <x:f>IF(AND(N62&gt;=Controls!$D$7,O62&gt;=Controls!$D$8),"PASS","FAIL")</x:f>
        <x:v>PASS</x:v>
      </x:c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C63" s="19" t="str">
        <x:v>MS-HU|A</x:v>
      </x:c>
      <x:c r="D63" s="19" t="str">
        <x:v>MS-HU</x:v>
      </x:c>
      <x:c r="E63" s="19" t="str">
        <x:v>HU-R5</x:v>
      </x:c>
      <x:c r="F63" s="19" t="str">
        <x:v>Workforce replacement</x:v>
      </x:c>
      <x:c r="G63" s="40" t="n">
        <x:v>5000</x:v>
      </x:c>
      <x:c r="H63" s="19" t="str">
        <x:v>placements/168 h</x:v>
      </x:c>
      <x:c r="I63" s="22" t="n">
        <x:v>3</x:v>
      </x:c>
      <x:c r="J63" s="22" t="n">
        <x:v>5</x:v>
      </x:c>
      <x:c r="K63" s="40" t="n">
        <x:v>1320</x:v>
      </x:c>
      <x:c r="L63" s="39" t="n">
        <x:f>K63*J63</x:f>
        <x:v>6600</x:v>
      </x:c>
      <x:c r="M63" s="39" t="n">
        <x:f>K63*(J63-1)</x:f>
        <x:v>5280</x:v>
      </x:c>
      <x:c r="N63" s="32" t="n">
        <x:f>L63/G63</x:f>
        <x:v>1.32</x:v>
      </x:c>
      <x:c r="O63" s="32" t="n">
        <x:f>M63/G63</x:f>
        <x:v>1.056</x:v>
      </x:c>
      <x:c r="P63" s="21" t="str">
        <x:f>IF(AND(N63&gt;=Controls!$D$7,O63&gt;=Controls!$D$8),"PASS","FAIL")</x:f>
        <x:v>PASS</x:v>
      </x:c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C64" s="19" t="str">
        <x:v>MS-HU|B</x:v>
      </x:c>
      <x:c r="D64" s="19" t="str">
        <x:v>MS-HU</x:v>
      </x:c>
      <x:c r="E64" s="19" t="str">
        <x:v>HU-R1</x:v>
      </x:c>
      <x:c r="F64" s="19" t="str">
        <x:v>Local continuity support</x:v>
      </x:c>
      <x:c r="G64" s="40" t="n">
        <x:v>50000</x:v>
      </x:c>
      <x:c r="H64" s="19" t="str">
        <x:v>relationships/168 h</x:v>
      </x:c>
      <x:c r="I64" s="22" t="n">
        <x:v>12</x:v>
      </x:c>
      <x:c r="J64" s="22" t="n">
        <x:v>12</x:v>
      </x:c>
      <x:c r="K64" s="40" t="n">
        <x:v>5416.666666666667</x:v>
      </x:c>
      <x:c r="L64" s="39" t="n">
        <x:f>K64*J64</x:f>
        <x:v>65000</x:v>
      </x:c>
      <x:c r="M64" s="39" t="n">
        <x:f>K64*(J64-1)</x:f>
        <x:v>59583.333333333336</x:v>
      </x:c>
      <x:c r="N64" s="32" t="n">
        <x:f>L64/G64</x:f>
        <x:v>1.3</x:v>
      </x:c>
      <x:c r="O64" s="32" t="n">
        <x:f>M64/G64</x:f>
        <x:v>1.1916666666666667</x:v>
      </x:c>
      <x:c r="P64" s="21" t="str">
        <x:f>IF(AND(N64&gt;=Controls!$D$7,O64&gt;=Controls!$D$8),"PASS","FAIL")</x:f>
        <x:v>PASS</x:v>
      </x:c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C65" s="19" t="str">
        <x:v>MS-HU|B</x:v>
      </x:c>
      <x:c r="D65" s="19" t="str">
        <x:v>MS-HU</x:v>
      </x:c>
      <x:c r="E65" s="19" t="str">
        <x:v>HU-R2</x:v>
      </x:c>
      <x:c r="F65" s="19" t="str">
        <x:v>Definitive care</x:v>
      </x:c>
      <x:c r="G65" s="40" t="n">
        <x:v>2500</x:v>
      </x:c>
      <x:c r="H65" s="19" t="str">
        <x:v>episodes/168 h</x:v>
      </x:c>
      <x:c r="I65" s="22" t="n">
        <x:v>3</x:v>
      </x:c>
      <x:c r="J65" s="22" t="n">
        <x:v>5</x:v>
      </x:c>
      <x:c r="K65" s="40" t="n">
        <x:v>655</x:v>
      </x:c>
      <x:c r="L65" s="39" t="n">
        <x:f>K65*J65</x:f>
        <x:v>3275</x:v>
      </x:c>
      <x:c r="M65" s="39" t="n">
        <x:f>K65*(J65-1)</x:f>
        <x:v>2620</x:v>
      </x:c>
      <x:c r="N65" s="32" t="n">
        <x:f>L65/G65</x:f>
        <x:v>1.31</x:v>
      </x:c>
      <x:c r="O65" s="32" t="n">
        <x:f>M65/G65</x:f>
        <x:v>1.048</x:v>
      </x:c>
      <x:c r="P65" s="21" t="str">
        <x:f>IF(AND(N65&gt;=Controls!$D$7,O65&gt;=Controls!$D$8),"PASS","FAIL")</x:f>
        <x:v>PASS</x:v>
      </x:c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C66" s="19" t="str">
        <x:v>MS-HU|B</x:v>
      </x:c>
      <x:c r="D66" s="19" t="str">
        <x:v>MS-HU</x:v>
      </x:c>
      <x:c r="E66" s="19" t="str">
        <x:v>HU-R3</x:v>
      </x:c>
      <x:c r="F66" s="19" t="str">
        <x:v>Patient regulation and transfer</x:v>
      </x:c>
      <x:c r="G66" s="40" t="n">
        <x:v>5000</x:v>
      </x:c>
      <x:c r="H66" s="19" t="str">
        <x:v>transfers/168 h</x:v>
      </x:c>
      <x:c r="I66" s="22" t="n">
        <x:v>4</x:v>
      </x:c>
      <x:c r="J66" s="22" t="n">
        <x:v>5</x:v>
      </x:c>
      <x:c r="K66" s="40" t="n">
        <x:v>1320</x:v>
      </x:c>
      <x:c r="L66" s="39" t="n">
        <x:f>K66*J66</x:f>
        <x:v>6600</x:v>
      </x:c>
      <x:c r="M66" s="39" t="n">
        <x:f>K66*(J66-1)</x:f>
        <x:v>5280</x:v>
      </x:c>
      <x:c r="N66" s="32" t="n">
        <x:f>L66/G66</x:f>
        <x:v>1.32</x:v>
      </x:c>
      <x:c r="O66" s="32" t="n">
        <x:f>M66/G66</x:f>
        <x:v>1.056</x:v>
      </x:c>
      <x:c r="P66" s="21" t="str">
        <x:f>IF(AND(N66&gt;=Controls!$D$7,O66&gt;=Controls!$D$8),"PASS","FAIL")</x:f>
        <x:v>PASS</x:v>
      </x:c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C67" s="19" t="str">
        <x:v>MS-HU|B</x:v>
      </x:c>
      <x:c r="D67" s="19" t="str">
        <x:v>MS-HU</x:v>
      </x:c>
      <x:c r="E67" s="19" t="str">
        <x:v>HU-R4</x:v>
      </x:c>
      <x:c r="F67" s="19" t="str">
        <x:v>Household relocation and reception</x:v>
      </x:c>
      <x:c r="G67" s="40" t="n">
        <x:v>50000</x:v>
      </x:c>
      <x:c r="H67" s="19" t="str">
        <x:v>states/168 h</x:v>
      </x:c>
      <x:c r="I67" s="22" t="n">
        <x:v>12</x:v>
      </x:c>
      <x:c r="J67" s="22" t="n">
        <x:v>12</x:v>
      </x:c>
      <x:c r="K67" s="40" t="n">
        <x:v>5541.666666666667</x:v>
      </x:c>
      <x:c r="L67" s="39" t="n">
        <x:f>K67*J67</x:f>
        <x:v>66500</x:v>
      </x:c>
      <x:c r="M67" s="39" t="n">
        <x:f>K67*(J67-1)</x:f>
        <x:v>60958.333333333336</x:v>
      </x:c>
      <x:c r="N67" s="32" t="n">
        <x:f>L67/G67</x:f>
        <x:v>1.33</x:v>
      </x:c>
      <x:c r="O67" s="32" t="n">
        <x:f>M67/G67</x:f>
        <x:v>1.2191666666666667</x:v>
      </x:c>
      <x:c r="P67" s="21" t="str">
        <x:f>IF(AND(N67&gt;=Controls!$D$7,O67&gt;=Controls!$D$8),"PASS","FAIL")</x:f>
        <x:v>PASS</x:v>
      </x:c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C68" s="19" t="str">
        <x:v>MS-HU|B</x:v>
      </x:c>
      <x:c r="D68" s="19" t="str">
        <x:v>MS-HU</x:v>
      </x:c>
      <x:c r="E68" s="19" t="str">
        <x:v>HU-R5</x:v>
      </x:c>
      <x:c r="F68" s="19" t="str">
        <x:v>Workforce replacement</x:v>
      </x:c>
      <x:c r="G68" s="40" t="n">
        <x:v>5000</x:v>
      </x:c>
      <x:c r="H68" s="19" t="str">
        <x:v>placements/168 h</x:v>
      </x:c>
      <x:c r="I68" s="22" t="n">
        <x:v>3</x:v>
      </x:c>
      <x:c r="J68" s="22" t="n">
        <x:v>5</x:v>
      </x:c>
      <x:c r="K68" s="40" t="n">
        <x:v>1340</x:v>
      </x:c>
      <x:c r="L68" s="39" t="n">
        <x:f>K68*J68</x:f>
        <x:v>6700</x:v>
      </x:c>
      <x:c r="M68" s="39" t="n">
        <x:f>K68*(J68-1)</x:f>
        <x:v>5360</x:v>
      </x:c>
      <x:c r="N68" s="32" t="n">
        <x:f>L68/G68</x:f>
        <x:v>1.34</x:v>
      </x:c>
      <x:c r="O68" s="32" t="n">
        <x:f>M68/G68</x:f>
        <x:v>1.072</x:v>
      </x:c>
      <x:c r="P68" s="21" t="str">
        <x:f>IF(AND(N68&gt;=Controls!$D$7,O68&gt;=Controls!$D$8),"PASS","FAIL")</x:f>
        <x:v>PASS</x:v>
      </x:c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C69" s="19" t="str">
        <x:v>MS-HU|C</x:v>
      </x:c>
      <x:c r="D69" s="19" t="str">
        <x:v>MS-HU</x:v>
      </x:c>
      <x:c r="E69" s="19" t="str">
        <x:v>HU-R1</x:v>
      </x:c>
      <x:c r="F69" s="19" t="str">
        <x:v>Local continuity support</x:v>
      </x:c>
      <x:c r="G69" s="40" t="n">
        <x:v>50000</x:v>
      </x:c>
      <x:c r="H69" s="19" t="str">
        <x:v>relationships/168 h</x:v>
      </x:c>
      <x:c r="I69" s="22" t="n">
        <x:v>12</x:v>
      </x:c>
      <x:c r="J69" s="22" t="n">
        <x:v>12</x:v>
      </x:c>
      <x:c r="K69" s="40" t="n">
        <x:v>5500</x:v>
      </x:c>
      <x:c r="L69" s="39" t="n">
        <x:f>K69*J69</x:f>
        <x:v>66000</x:v>
      </x:c>
      <x:c r="M69" s="39" t="n">
        <x:f>K69*(J69-1)</x:f>
        <x:v>60500</x:v>
      </x:c>
      <x:c r="N69" s="32" t="n">
        <x:f>L69/G69</x:f>
        <x:v>1.32</x:v>
      </x:c>
      <x:c r="O69" s="32" t="n">
        <x:f>M69/G69</x:f>
        <x:v>1.21</x:v>
      </x:c>
      <x:c r="P69" s="21" t="str">
        <x:f>IF(AND(N69&gt;=Controls!$D$7,O69&gt;=Controls!$D$8),"PASS","FAIL")</x:f>
        <x:v>PASS</x:v>
      </x:c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C70" s="19" t="str">
        <x:v>MS-HU|C</x:v>
      </x:c>
      <x:c r="D70" s="19" t="str">
        <x:v>MS-HU</x:v>
      </x:c>
      <x:c r="E70" s="19" t="str">
        <x:v>HU-R2</x:v>
      </x:c>
      <x:c r="F70" s="19" t="str">
        <x:v>Definitive care</x:v>
      </x:c>
      <x:c r="G70" s="40" t="n">
        <x:v>2500</x:v>
      </x:c>
      <x:c r="H70" s="19" t="str">
        <x:v>episodes/168 h</x:v>
      </x:c>
      <x:c r="I70" s="22" t="n">
        <x:v>3</x:v>
      </x:c>
      <x:c r="J70" s="22" t="n">
        <x:v>5</x:v>
      </x:c>
      <x:c r="K70" s="40" t="n">
        <x:v>665</x:v>
      </x:c>
      <x:c r="L70" s="39" t="n">
        <x:f>K70*J70</x:f>
        <x:v>3325</x:v>
      </x:c>
      <x:c r="M70" s="39" t="n">
        <x:f>K70*(J70-1)</x:f>
        <x:v>2660</x:v>
      </x:c>
      <x:c r="N70" s="32" t="n">
        <x:f>L70/G70</x:f>
        <x:v>1.33</x:v>
      </x:c>
      <x:c r="O70" s="32" t="n">
        <x:f>M70/G70</x:f>
        <x:v>1.064</x:v>
      </x:c>
      <x:c r="P70" s="21" t="str">
        <x:f>IF(AND(N70&gt;=Controls!$D$7,O70&gt;=Controls!$D$8),"PASS","FAIL")</x:f>
        <x:v>PASS</x:v>
      </x:c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C71" s="19" t="str">
        <x:v>MS-HU|C</x:v>
      </x:c>
      <x:c r="D71" s="19" t="str">
        <x:v>MS-HU</x:v>
      </x:c>
      <x:c r="E71" s="19" t="str">
        <x:v>HU-R3</x:v>
      </x:c>
      <x:c r="F71" s="19" t="str">
        <x:v>Patient regulation and transfer</x:v>
      </x:c>
      <x:c r="G71" s="40" t="n">
        <x:v>5000</x:v>
      </x:c>
      <x:c r="H71" s="19" t="str">
        <x:v>transfers/168 h</x:v>
      </x:c>
      <x:c r="I71" s="22" t="n">
        <x:v>4</x:v>
      </x:c>
      <x:c r="J71" s="22" t="n">
        <x:v>5</x:v>
      </x:c>
      <x:c r="K71" s="40" t="n">
        <x:v>1340</x:v>
      </x:c>
      <x:c r="L71" s="39" t="n">
        <x:f>K71*J71</x:f>
        <x:v>6700</x:v>
      </x:c>
      <x:c r="M71" s="39" t="n">
        <x:f>K71*(J71-1)</x:f>
        <x:v>5360</x:v>
      </x:c>
      <x:c r="N71" s="32" t="n">
        <x:f>L71/G71</x:f>
        <x:v>1.34</x:v>
      </x:c>
      <x:c r="O71" s="32" t="n">
        <x:f>M71/G71</x:f>
        <x:v>1.072</x:v>
      </x:c>
      <x:c r="P71" s="21" t="str">
        <x:f>IF(AND(N71&gt;=Controls!$D$7,O71&gt;=Controls!$D$8),"PASS","FAIL")</x:f>
        <x:v>PASS</x:v>
      </x:c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C72" s="19" t="str">
        <x:v>MS-HU|C</x:v>
      </x:c>
      <x:c r="D72" s="19" t="str">
        <x:v>MS-HU</x:v>
      </x:c>
      <x:c r="E72" s="19" t="str">
        <x:v>HU-R4</x:v>
      </x:c>
      <x:c r="F72" s="19" t="str">
        <x:v>Household relocation and reception</x:v>
      </x:c>
      <x:c r="G72" s="40" t="n">
        <x:v>50000</x:v>
      </x:c>
      <x:c r="H72" s="19" t="str">
        <x:v>states/168 h</x:v>
      </x:c>
      <x:c r="I72" s="22" t="n">
        <x:v>12</x:v>
      </x:c>
      <x:c r="J72" s="22" t="n">
        <x:v>12</x:v>
      </x:c>
      <x:c r="K72" s="40" t="n">
        <x:v>5625</x:v>
      </x:c>
      <x:c r="L72" s="39" t="n">
        <x:f>K72*J72</x:f>
        <x:v>67500</x:v>
      </x:c>
      <x:c r="M72" s="39" t="n">
        <x:f>K72*(J72-1)</x:f>
        <x:v>61875</x:v>
      </x:c>
      <x:c r="N72" s="32" t="n">
        <x:f>L72/G72</x:f>
        <x:v>1.35</x:v>
      </x:c>
      <x:c r="O72" s="32" t="n">
        <x:f>M72/G72</x:f>
        <x:v>1.2375</x:v>
      </x:c>
      <x:c r="P72" s="21" t="str">
        <x:f>IF(AND(N72&gt;=Controls!$D$7,O72&gt;=Controls!$D$8),"PASS","FAIL")</x:f>
        <x:v>PASS</x:v>
      </x:c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C73" s="19" t="str">
        <x:v>MS-HU|C</x:v>
      </x:c>
      <x:c r="D73" s="19" t="str">
        <x:v>MS-HU</x:v>
      </x:c>
      <x:c r="E73" s="19" t="str">
        <x:v>HU-R5</x:v>
      </x:c>
      <x:c r="F73" s="19" t="str">
        <x:v>Workforce replacement</x:v>
      </x:c>
      <x:c r="G73" s="40" t="n">
        <x:v>5000</x:v>
      </x:c>
      <x:c r="H73" s="19" t="str">
        <x:v>placements/168 h</x:v>
      </x:c>
      <x:c r="I73" s="22" t="n">
        <x:v>3</x:v>
      </x:c>
      <x:c r="J73" s="22" t="n">
        <x:v>5</x:v>
      </x:c>
      <x:c r="K73" s="40" t="n">
        <x:v>1360.0000000000002</x:v>
      </x:c>
      <x:c r="L73" s="39" t="n">
        <x:f>K73*J73</x:f>
        <x:v>6800.000000000001</x:v>
      </x:c>
      <x:c r="M73" s="39" t="n">
        <x:f>K73*(J73-1)</x:f>
        <x:v>5440.000000000001</x:v>
      </x:c>
      <x:c r="N73" s="32" t="n">
        <x:f>L73/G73</x:f>
        <x:v>1.36</x:v>
      </x:c>
      <x:c r="O73" s="32" t="n">
        <x:f>M73/G73</x:f>
        <x:v>1.088</x:v>
      </x:c>
      <x:c r="P73" s="21" t="str">
        <x:f>IF(AND(N73&gt;=Controls!$D$7,O73&gt;=Controls!$D$8),"PASS","FAIL")</x:f>
        <x:v>PASS</x:v>
      </x:c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C74" s="19" t="str">
        <x:v>MS-HU|D</x:v>
      </x:c>
      <x:c r="D74" s="19" t="str">
        <x:v>MS-HU</x:v>
      </x:c>
      <x:c r="E74" s="19" t="str">
        <x:v>HU-R1</x:v>
      </x:c>
      <x:c r="F74" s="19" t="str">
        <x:v>Local continuity support</x:v>
      </x:c>
      <x:c r="G74" s="40" t="n">
        <x:v>50000</x:v>
      </x:c>
      <x:c r="H74" s="19" t="str">
        <x:v>relationships/168 h</x:v>
      </x:c>
      <x:c r="I74" s="22" t="n">
        <x:v>12</x:v>
      </x:c>
      <x:c r="J74" s="22" t="n">
        <x:v>12</x:v>
      </x:c>
      <x:c r="K74" s="40" t="n">
        <x:v>5583.333333333333</x:v>
      </x:c>
      <x:c r="L74" s="39" t="n">
        <x:f>K74*J74</x:f>
        <x:v>67000</x:v>
      </x:c>
      <x:c r="M74" s="39" t="n">
        <x:f>K74*(J74-1)</x:f>
        <x:v>61416.666666666664</x:v>
      </x:c>
      <x:c r="N74" s="32" t="n">
        <x:f>L74/G74</x:f>
        <x:v>1.34</x:v>
      </x:c>
      <x:c r="O74" s="32" t="n">
        <x:f>M74/G74</x:f>
        <x:v>1.2283333333333333</x:v>
      </x:c>
      <x:c r="P74" s="21" t="str">
        <x:f>IF(AND(N74&gt;=Controls!$D$7,O74&gt;=Controls!$D$8),"PASS","FAIL")</x:f>
        <x:v>PASS</x:v>
      </x:c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C75" s="19" t="str">
        <x:v>MS-HU|D</x:v>
      </x:c>
      <x:c r="D75" s="19" t="str">
        <x:v>MS-HU</x:v>
      </x:c>
      <x:c r="E75" s="19" t="str">
        <x:v>HU-R2</x:v>
      </x:c>
      <x:c r="F75" s="19" t="str">
        <x:v>Definitive care</x:v>
      </x:c>
      <x:c r="G75" s="40" t="n">
        <x:v>2500</x:v>
      </x:c>
      <x:c r="H75" s="19" t="str">
        <x:v>episodes/168 h</x:v>
      </x:c>
      <x:c r="I75" s="22" t="n">
        <x:v>3</x:v>
      </x:c>
      <x:c r="J75" s="22" t="n">
        <x:v>5</x:v>
      </x:c>
      <x:c r="K75" s="40" t="n">
        <x:v>675</x:v>
      </x:c>
      <x:c r="L75" s="39" t="n">
        <x:f>K75*J75</x:f>
        <x:v>3375</x:v>
      </x:c>
      <x:c r="M75" s="39" t="n">
        <x:f>K75*(J75-1)</x:f>
        <x:v>2700</x:v>
      </x:c>
      <x:c r="N75" s="32" t="n">
        <x:f>L75/G75</x:f>
        <x:v>1.35</x:v>
      </x:c>
      <x:c r="O75" s="32" t="n">
        <x:f>M75/G75</x:f>
        <x:v>1.08</x:v>
      </x:c>
      <x:c r="P75" s="21" t="str">
        <x:f>IF(AND(N75&gt;=Controls!$D$7,O75&gt;=Controls!$D$8),"PASS","FAIL")</x:f>
        <x:v>PASS</x:v>
      </x:c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C76" s="19" t="str">
        <x:v>MS-HU|D</x:v>
      </x:c>
      <x:c r="D76" s="19" t="str">
        <x:v>MS-HU</x:v>
      </x:c>
      <x:c r="E76" s="19" t="str">
        <x:v>HU-R3</x:v>
      </x:c>
      <x:c r="F76" s="19" t="str">
        <x:v>Patient regulation and transfer</x:v>
      </x:c>
      <x:c r="G76" s="40" t="n">
        <x:v>5000</x:v>
      </x:c>
      <x:c r="H76" s="19" t="str">
        <x:v>transfers/168 h</x:v>
      </x:c>
      <x:c r="I76" s="22" t="n">
        <x:v>4</x:v>
      </x:c>
      <x:c r="J76" s="22" t="n">
        <x:v>5</x:v>
      </x:c>
      <x:c r="K76" s="40" t="n">
        <x:v>1360.0000000000002</x:v>
      </x:c>
      <x:c r="L76" s="39" t="n">
        <x:f>K76*J76</x:f>
        <x:v>6800.000000000001</x:v>
      </x:c>
      <x:c r="M76" s="39" t="n">
        <x:f>K76*(J76-1)</x:f>
        <x:v>5440.000000000001</x:v>
      </x:c>
      <x:c r="N76" s="32" t="n">
        <x:f>L76/G76</x:f>
        <x:v>1.36</x:v>
      </x:c>
      <x:c r="O76" s="32" t="n">
        <x:f>M76/G76</x:f>
        <x:v>1.088</x:v>
      </x:c>
      <x:c r="P76" s="21" t="str">
        <x:f>IF(AND(N76&gt;=Controls!$D$7,O76&gt;=Controls!$D$8),"PASS","FAIL")</x:f>
        <x:v>PASS</x:v>
      </x:c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C77" s="19" t="str">
        <x:v>MS-HU|D</x:v>
      </x:c>
      <x:c r="D77" s="19" t="str">
        <x:v>MS-HU</x:v>
      </x:c>
      <x:c r="E77" s="19" t="str">
        <x:v>HU-R4</x:v>
      </x:c>
      <x:c r="F77" s="19" t="str">
        <x:v>Household relocation and reception</x:v>
      </x:c>
      <x:c r="G77" s="40" t="n">
        <x:v>50000</x:v>
      </x:c>
      <x:c r="H77" s="19" t="str">
        <x:v>states/168 h</x:v>
      </x:c>
      <x:c r="I77" s="22" t="n">
        <x:v>12</x:v>
      </x:c>
      <x:c r="J77" s="22" t="n">
        <x:v>12</x:v>
      </x:c>
      <x:c r="K77" s="40" t="n">
        <x:v>5708.333333333333</x:v>
      </x:c>
      <x:c r="L77" s="39" t="n">
        <x:f>K77*J77</x:f>
        <x:v>68500</x:v>
      </x:c>
      <x:c r="M77" s="39" t="n">
        <x:f>K77*(J77-1)</x:f>
        <x:v>62791.666666666664</x:v>
      </x:c>
      <x:c r="N77" s="32" t="n">
        <x:f>L77/G77</x:f>
        <x:v>1.37</x:v>
      </x:c>
      <x:c r="O77" s="32" t="n">
        <x:f>M77/G77</x:f>
        <x:v>1.2558333333333334</x:v>
      </x:c>
      <x:c r="P77" s="21" t="str">
        <x:f>IF(AND(N77&gt;=Controls!$D$7,O77&gt;=Controls!$D$8),"PASS","FAIL")</x:f>
        <x:v>PASS</x:v>
      </x:c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C78" s="19" t="str">
        <x:v>MS-HU|D</x:v>
      </x:c>
      <x:c r="D78" s="19" t="str">
        <x:v>MS-HU</x:v>
      </x:c>
      <x:c r="E78" s="19" t="str">
        <x:v>HU-R5</x:v>
      </x:c>
      <x:c r="F78" s="19" t="str">
        <x:v>Workforce replacement</x:v>
      </x:c>
      <x:c r="G78" s="40" t="n">
        <x:v>5000</x:v>
      </x:c>
      <x:c r="H78" s="19" t="str">
        <x:v>placements/168 h</x:v>
      </x:c>
      <x:c r="I78" s="22" t="n">
        <x:v>3</x:v>
      </x:c>
      <x:c r="J78" s="22" t="n">
        <x:v>5</x:v>
      </x:c>
      <x:c r="K78" s="40" t="n">
        <x:v>1380.0000000000002</x:v>
      </x:c>
      <x:c r="L78" s="39" t="n">
        <x:f>K78*J78</x:f>
        <x:v>6900.000000000001</x:v>
      </x:c>
      <x:c r="M78" s="39" t="n">
        <x:f>K78*(J78-1)</x:f>
        <x:v>5520.000000000001</x:v>
      </x:c>
      <x:c r="N78" s="32" t="n">
        <x:f>L78/G78</x:f>
        <x:v>1.3800000000000001</x:v>
      </x:c>
      <x:c r="O78" s="32" t="n">
        <x:f>M78/G78</x:f>
        <x:v>1.104</x:v>
      </x:c>
      <x:c r="P78" s="21" t="str">
        <x:f>IF(AND(N78&gt;=Controls!$D$7,O78&gt;=Controls!$D$8),"PASS","FAIL")</x:f>
        <x:v>PASS</x:v>
      </x:c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C79" s="19" t="str">
        <x:v>MS-RT|A</x:v>
      </x:c>
      <x:c r="D79" s="19" t="str">
        <x:v>MS-RT</x:v>
      </x:c>
      <x:c r="E79" s="19" t="str">
        <x:v>RT-R1</x:v>
      </x:c>
      <x:c r="F79" s="19" t="str">
        <x:v>Campaign, ocean and offshore sustainment</x:v>
      </x:c>
      <x:c r="G79" s="40" t="n">
        <x:v>2970</x:v>
      </x:c>
      <x:c r="H79" s="19" t="str">
        <x:v>position-days/30 d</x:v>
      </x:c>
      <x:c r="I79" s="22" t="n">
        <x:v>4</x:v>
      </x:c>
      <x:c r="J79" s="22" t="n">
        <x:v>5</x:v>
      </x:c>
      <x:c r="K79" s="40" t="n">
        <x:v>760.3199999999999</x:v>
      </x:c>
      <x:c r="L79" s="39" t="n">
        <x:f>K79*J79</x:f>
        <x:v>3801.5999999999995</x:v>
      </x:c>
      <x:c r="M79" s="39" t="n">
        <x:f>K79*(J79-1)</x:f>
        <x:v>3041.2799999999997</x:v>
      </x:c>
      <x:c r="N79" s="32" t="n">
        <x:f>L79/G79</x:f>
        <x:v>1.2799999999999998</x:v>
      </x:c>
      <x:c r="O79" s="32" t="n">
        <x:f>M79/G79</x:f>
        <x:v>1.024</x:v>
      </x:c>
      <x:c r="P79" s="21" t="str">
        <x:f>IF(AND(N79&gt;=Controls!$D$7,O79&gt;=Controls!$D$8),"PASS","FAIL")</x:f>
        <x:v>PASS</x:v>
      </x:c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C80" s="19" t="str">
        <x:v>MS-RT|A</x:v>
      </x:c>
      <x:c r="D80" s="19" t="str">
        <x:v>MS-RT</x:v>
      </x:c>
      <x:c r="E80" s="19" t="str">
        <x:v>RT-R2</x:v>
      </x:c>
      <x:c r="F80" s="19" t="str">
        <x:v>Replacement and reconstitution</x:v>
      </x:c>
      <x:c r="G80" s="40" t="n">
        <x:v>99</x:v>
      </x:c>
      <x:c r="H80" s="19" t="str">
        <x:v>positions/168 h</x:v>
      </x:c>
      <x:c r="I80" s="22" t="n">
        <x:v>2</x:v>
      </x:c>
      <x:c r="J80" s="22" t="n">
        <x:v>5</x:v>
      </x:c>
      <x:c r="K80" s="40" t="n">
        <x:v>25.542</x:v>
      </x:c>
      <x:c r="L80" s="39" t="n">
        <x:f>K80*J80</x:f>
        <x:v>127.71000000000001</x:v>
      </x:c>
      <x:c r="M80" s="39" t="n">
        <x:f>K80*(J80-1)</x:f>
        <x:v>102.168</x:v>
      </x:c>
      <x:c r="N80" s="32" t="n">
        <x:f>L80/G80</x:f>
        <x:v>1.29</x:v>
      </x:c>
      <x:c r="O80" s="32" t="n">
        <x:f>M80/G80</x:f>
        <x:v>1.032</x:v>
      </x:c>
      <x:c r="P80" s="21" t="str">
        <x:f>IF(AND(N80&gt;=Controls!$D$7,O80&gt;=Controls!$D$8),"PASS","FAIL")</x:f>
        <x:v>PASS</x:v>
      </x:c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C81" s="19" t="str">
        <x:v>MS-RT|A</x:v>
      </x:c>
      <x:c r="D81" s="19" t="str">
        <x:v>MS-RT</x:v>
      </x:c>
      <x:c r="E81" s="19" t="str">
        <x:v>RT-R3</x:v>
      </x:c>
      <x:c r="F81" s="19" t="str">
        <x:v>Utility reconstruction</x:v>
      </x:c>
      <x:c r="G81" s="40" t="n">
        <x:v>45</x:v>
      </x:c>
      <x:c r="H81" s="19" t="str">
        <x:v>MW-equivalent/168 h</x:v>
      </x:c>
      <x:c r="I81" s="22" t="n">
        <x:v>3</x:v>
      </x:c>
      <x:c r="J81" s="22" t="n">
        <x:v>5</x:v>
      </x:c>
      <x:c r="K81" s="40" t="n">
        <x:v>11.7</x:v>
      </x:c>
      <x:c r="L81" s="39" t="n">
        <x:f>K81*J81</x:f>
        <x:v>58.5</x:v>
      </x:c>
      <x:c r="M81" s="39" t="n">
        <x:f>K81*(J81-1)</x:f>
        <x:v>46.8</x:v>
      </x:c>
      <x:c r="N81" s="32" t="n">
        <x:f>L81/G81</x:f>
        <x:v>1.3</x:v>
      </x:c>
      <x:c r="O81" s="32" t="n">
        <x:f>M81/G81</x:f>
        <x:v>1.04</x:v>
      </x:c>
      <x:c r="P81" s="21" t="str">
        <x:f>IF(AND(N81&gt;=Controls!$D$7,O81&gt;=Controls!$D$8),"PASS","FAIL")</x:f>
        <x:v>PASS</x:v>
      </x:c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C82" s="19" t="str">
        <x:v>MS-RT|A</x:v>
      </x:c>
      <x:c r="D82" s="19" t="str">
        <x:v>MS-RT</x:v>
      </x:c>
      <x:c r="E82" s="19" t="str">
        <x:v>RT-R4</x:v>
      </x:c>
      <x:c r="F82" s="19" t="str">
        <x:v>Civil, institution and economic transfer</x:v>
      </x:c>
      <x:c r="G82" s="40" t="n">
        <x:v>99</x:v>
      </x:c>
      <x:c r="H82" s="19" t="str">
        <x:v>positions transferred/168 h</x:v>
      </x:c>
      <x:c r="I82" s="22" t="n">
        <x:v>6</x:v>
      </x:c>
      <x:c r="J82" s="22" t="n">
        <x:v>6</x:v>
      </x:c>
      <x:c r="K82" s="40" t="n">
        <x:v>21.615</x:v>
      </x:c>
      <x:c r="L82" s="39" t="n">
        <x:f>K82*J82</x:f>
        <x:v>129.69</x:v>
      </x:c>
      <x:c r="M82" s="39" t="n">
        <x:f>K82*(J82-1)</x:f>
        <x:v>108.07499999999999</x:v>
      </x:c>
      <x:c r="N82" s="32" t="n">
        <x:f>L82/G82</x:f>
        <x:v>1.31</x:v>
      </x:c>
      <x:c r="O82" s="32" t="n">
        <x:f>M82/G82</x:f>
        <x:v>1.0916666666666666</x:v>
      </x:c>
      <x:c r="P82" s="21" t="str">
        <x:f>IF(AND(N82&gt;=Controls!$D$7,O82&gt;=Controls!$D$8),"PASS","FAIL")</x:f>
        <x:v>PASS</x:v>
      </x:c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C83" s="19" t="str">
        <x:v>MS-RT|A</x:v>
      </x:c>
      <x:c r="D83" s="19" t="str">
        <x:v>MS-RT</x:v>
      </x:c>
      <x:c r="E83" s="19" t="str">
        <x:v>RT-R5</x:v>
      </x:c>
      <x:c r="F83" s="19" t="str">
        <x:v>Return, continuity and demobilization</x:v>
      </x:c>
      <x:c r="G83" s="40" t="n">
        <x:v>99</x:v>
      </x:c>
      <x:c r="H83" s="19" t="str">
        <x:v>returns accepted/168 h</x:v>
      </x:c>
      <x:c r="I83" s="22" t="n">
        <x:v>2</x:v>
      </x:c>
      <x:c r="J83" s="22" t="n">
        <x:v>5</x:v>
      </x:c>
      <x:c r="K83" s="40" t="n">
        <x:v>26.136000000000003</x:v>
      </x:c>
      <x:c r="L83" s="39" t="n">
        <x:f>K83*J83</x:f>
        <x:v>130.68</x:v>
      </x:c>
      <x:c r="M83" s="39" t="n">
        <x:f>K83*(J83-1)</x:f>
        <x:v>104.54400000000001</x:v>
      </x:c>
      <x:c r="N83" s="32" t="n">
        <x:f>L83/G83</x:f>
        <x:v>1.32</x:v>
      </x:c>
      <x:c r="O83" s="32" t="n">
        <x:f>M83/G83</x:f>
        <x:v>1.056</x:v>
      </x:c>
      <x:c r="P83" s="21" t="str">
        <x:f>IF(AND(N83&gt;=Controls!$D$7,O83&gt;=Controls!$D$8),"PASS","FAIL")</x:f>
        <x:v>PASS</x:v>
      </x:c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C84" s="19" t="str">
        <x:v>MS-RT|B</x:v>
      </x:c>
      <x:c r="D84" s="19" t="str">
        <x:v>MS-RT</x:v>
      </x:c>
      <x:c r="E84" s="19" t="str">
        <x:v>RT-R1</x:v>
      </x:c>
      <x:c r="F84" s="19" t="str">
        <x:v>Campaign, ocean and offshore sustainment</x:v>
      </x:c>
      <x:c r="G84" s="40" t="n">
        <x:v>2970</x:v>
      </x:c>
      <x:c r="H84" s="19" t="str">
        <x:v>position-days/30 d</x:v>
      </x:c>
      <x:c r="I84" s="22" t="n">
        <x:v>4</x:v>
      </x:c>
      <x:c r="J84" s="22" t="n">
        <x:v>5</x:v>
      </x:c>
      <x:c r="K84" s="40" t="n">
        <x:v>772.2</x:v>
      </x:c>
      <x:c r="L84" s="39" t="n">
        <x:f>K84*J84</x:f>
        <x:v>3861</x:v>
      </x:c>
      <x:c r="M84" s="39" t="n">
        <x:f>K84*(J84-1)</x:f>
        <x:v>3088.8</x:v>
      </x:c>
      <x:c r="N84" s="32" t="n">
        <x:f>L84/G84</x:f>
        <x:v>1.3</x:v>
      </x:c>
      <x:c r="O84" s="32" t="n">
        <x:f>M84/G84</x:f>
        <x:v>1.04</x:v>
      </x:c>
      <x:c r="P84" s="21" t="str">
        <x:f>IF(AND(N84&gt;=Controls!$D$7,O84&gt;=Controls!$D$8),"PASS","FAIL")</x:f>
        <x:v>PASS</x:v>
      </x:c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C85" s="19" t="str">
        <x:v>MS-RT|B</x:v>
      </x:c>
      <x:c r="D85" s="19" t="str">
        <x:v>MS-RT</x:v>
      </x:c>
      <x:c r="E85" s="19" t="str">
        <x:v>RT-R2</x:v>
      </x:c>
      <x:c r="F85" s="19" t="str">
        <x:v>Replacement and reconstitution</x:v>
      </x:c>
      <x:c r="G85" s="40" t="n">
        <x:v>99</x:v>
      </x:c>
      <x:c r="H85" s="19" t="str">
        <x:v>positions/168 h</x:v>
      </x:c>
      <x:c r="I85" s="22" t="n">
        <x:v>2</x:v>
      </x:c>
      <x:c r="J85" s="22" t="n">
        <x:v>5</x:v>
      </x:c>
      <x:c r="K85" s="40" t="n">
        <x:v>25.938</x:v>
      </x:c>
      <x:c r="L85" s="39" t="n">
        <x:f>K85*J85</x:f>
        <x:v>129.69</x:v>
      </x:c>
      <x:c r="M85" s="39" t="n">
        <x:f>K85*(J85-1)</x:f>
        <x:v>103.752</x:v>
      </x:c>
      <x:c r="N85" s="32" t="n">
        <x:f>L85/G85</x:f>
        <x:v>1.31</x:v>
      </x:c>
      <x:c r="O85" s="32" t="n">
        <x:f>M85/G85</x:f>
        <x:v>1.048</x:v>
      </x:c>
      <x:c r="P85" s="21" t="str">
        <x:f>IF(AND(N85&gt;=Controls!$D$7,O85&gt;=Controls!$D$8),"PASS","FAIL")</x:f>
        <x:v>PASS</x:v>
      </x:c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C86" s="19" t="str">
        <x:v>MS-RT|B</x:v>
      </x:c>
      <x:c r="D86" s="19" t="str">
        <x:v>MS-RT</x:v>
      </x:c>
      <x:c r="E86" s="19" t="str">
        <x:v>RT-R3</x:v>
      </x:c>
      <x:c r="F86" s="19" t="str">
        <x:v>Utility reconstruction</x:v>
      </x:c>
      <x:c r="G86" s="40" t="n">
        <x:v>45</x:v>
      </x:c>
      <x:c r="H86" s="19" t="str">
        <x:v>MW-equivalent/168 h</x:v>
      </x:c>
      <x:c r="I86" s="22" t="n">
        <x:v>3</x:v>
      </x:c>
      <x:c r="J86" s="22" t="n">
        <x:v>5</x:v>
      </x:c>
      <x:c r="K86" s="40" t="n">
        <x:v>11.88</x:v>
      </x:c>
      <x:c r="L86" s="39" t="n">
        <x:f>K86*J86</x:f>
        <x:v>59.400000000000006</x:v>
      </x:c>
      <x:c r="M86" s="39" t="n">
        <x:f>K86*(J86-1)</x:f>
        <x:v>47.52</x:v>
      </x:c>
      <x:c r="N86" s="32" t="n">
        <x:f>L86/G86</x:f>
        <x:v>1.32</x:v>
      </x:c>
      <x:c r="O86" s="32" t="n">
        <x:f>M86/G86</x:f>
        <x:v>1.056</x:v>
      </x:c>
      <x:c r="P86" s="21" t="str">
        <x:f>IF(AND(N86&gt;=Controls!$D$7,O86&gt;=Controls!$D$8),"PASS","FAIL")</x:f>
        <x:v>PASS</x:v>
      </x:c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C87" s="19" t="str">
        <x:v>MS-RT|B</x:v>
      </x:c>
      <x:c r="D87" s="19" t="str">
        <x:v>MS-RT</x:v>
      </x:c>
      <x:c r="E87" s="19" t="str">
        <x:v>RT-R4</x:v>
      </x:c>
      <x:c r="F87" s="19" t="str">
        <x:v>Civil, institution and economic transfer</x:v>
      </x:c>
      <x:c r="G87" s="40" t="n">
        <x:v>99</x:v>
      </x:c>
      <x:c r="H87" s="19" t="str">
        <x:v>positions transferred/168 h</x:v>
      </x:c>
      <x:c r="I87" s="22" t="n">
        <x:v>6</x:v>
      </x:c>
      <x:c r="J87" s="22" t="n">
        <x:v>6</x:v>
      </x:c>
      <x:c r="K87" s="40" t="n">
        <x:v>21.945000000000004</x:v>
      </x:c>
      <x:c r="L87" s="39" t="n">
        <x:f>K87*J87</x:f>
        <x:v>131.67000000000002</x:v>
      </x:c>
      <x:c r="M87" s="39" t="n">
        <x:f>K87*(J87-1)</x:f>
        <x:v>109.72500000000002</x:v>
      </x:c>
      <x:c r="N87" s="32" t="n">
        <x:f>L87/G87</x:f>
        <x:v>1.33</x:v>
      </x:c>
      <x:c r="O87" s="32" t="n">
        <x:f>M87/G87</x:f>
        <x:v>1.1083333333333336</x:v>
      </x:c>
      <x:c r="P87" s="21" t="str">
        <x:f>IF(AND(N87&gt;=Controls!$D$7,O87&gt;=Controls!$D$8),"PASS","FAIL")</x:f>
        <x:v>PASS</x:v>
      </x:c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C88" s="19" t="str">
        <x:v>MS-RT|B</x:v>
      </x:c>
      <x:c r="D88" s="19" t="str">
        <x:v>MS-RT</x:v>
      </x:c>
      <x:c r="E88" s="19" t="str">
        <x:v>RT-R5</x:v>
      </x:c>
      <x:c r="F88" s="19" t="str">
        <x:v>Return, continuity and demobilization</x:v>
      </x:c>
      <x:c r="G88" s="40" t="n">
        <x:v>99</x:v>
      </x:c>
      <x:c r="H88" s="19" t="str">
        <x:v>returns accepted/168 h</x:v>
      </x:c>
      <x:c r="I88" s="22" t="n">
        <x:v>2</x:v>
      </x:c>
      <x:c r="J88" s="22" t="n">
        <x:v>5</x:v>
      </x:c>
      <x:c r="K88" s="40" t="n">
        <x:v>26.532</x:v>
      </x:c>
      <x:c r="L88" s="39" t="n">
        <x:f>K88*J88</x:f>
        <x:v>132.66</x:v>
      </x:c>
      <x:c r="M88" s="39" t="n">
        <x:f>K88*(J88-1)</x:f>
        <x:v>106.128</x:v>
      </x:c>
      <x:c r="N88" s="32" t="n">
        <x:f>L88/G88</x:f>
        <x:v>1.3399999999999999</x:v>
      </x:c>
      <x:c r="O88" s="32" t="n">
        <x:f>M88/G88</x:f>
        <x:v>1.072</x:v>
      </x:c>
      <x:c r="P88" s="21" t="str">
        <x:f>IF(AND(N88&gt;=Controls!$D$7,O88&gt;=Controls!$D$8),"PASS","FAIL")</x:f>
        <x:v>PASS</x:v>
      </x:c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C89" s="19" t="str">
        <x:v>MS-RT|C</x:v>
      </x:c>
      <x:c r="D89" s="19" t="str">
        <x:v>MS-RT</x:v>
      </x:c>
      <x:c r="E89" s="19" t="str">
        <x:v>RT-R1</x:v>
      </x:c>
      <x:c r="F89" s="19" t="str">
        <x:v>Campaign, ocean and offshore sustainment</x:v>
      </x:c>
      <x:c r="G89" s="40" t="n">
        <x:v>2970</x:v>
      </x:c>
      <x:c r="H89" s="19" t="str">
        <x:v>position-days/30 d</x:v>
      </x:c>
      <x:c r="I89" s="22" t="n">
        <x:v>4</x:v>
      </x:c>
      <x:c r="J89" s="22" t="n">
        <x:v>5</x:v>
      </x:c>
      <x:c r="K89" s="40" t="n">
        <x:v>784.08</x:v>
      </x:c>
      <x:c r="L89" s="39" t="n">
        <x:f>K89*J89</x:f>
        <x:v>3920.4</x:v>
      </x:c>
      <x:c r="M89" s="39" t="n">
        <x:f>K89*(J89-1)</x:f>
        <x:v>3136.32</x:v>
      </x:c>
      <x:c r="N89" s="32" t="n">
        <x:f>L89/G89</x:f>
        <x:v>1.32</x:v>
      </x:c>
      <x:c r="O89" s="32" t="n">
        <x:f>M89/G89</x:f>
        <x:v>1.056</x:v>
      </x:c>
      <x:c r="P89" s="21" t="str">
        <x:f>IF(AND(N89&gt;=Controls!$D$7,O89&gt;=Controls!$D$8),"PASS","FAIL")</x:f>
        <x:v>PASS</x:v>
      </x:c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C90" s="19" t="str">
        <x:v>MS-RT|C</x:v>
      </x:c>
      <x:c r="D90" s="19" t="str">
        <x:v>MS-RT</x:v>
      </x:c>
      <x:c r="E90" s="19" t="str">
        <x:v>RT-R2</x:v>
      </x:c>
      <x:c r="F90" s="19" t="str">
        <x:v>Replacement and reconstitution</x:v>
      </x:c>
      <x:c r="G90" s="40" t="n">
        <x:v>99</x:v>
      </x:c>
      <x:c r="H90" s="19" t="str">
        <x:v>positions/168 h</x:v>
      </x:c>
      <x:c r="I90" s="22" t="n">
        <x:v>2</x:v>
      </x:c>
      <x:c r="J90" s="22" t="n">
        <x:v>5</x:v>
      </x:c>
      <x:c r="K90" s="40" t="n">
        <x:v>26.334000000000003</x:v>
      </x:c>
      <x:c r="L90" s="39" t="n">
        <x:f>K90*J90</x:f>
        <x:v>131.67000000000002</x:v>
      </x:c>
      <x:c r="M90" s="39" t="n">
        <x:f>K90*(J90-1)</x:f>
        <x:v>105.33600000000001</x:v>
      </x:c>
      <x:c r="N90" s="32" t="n">
        <x:f>L90/G90</x:f>
        <x:v>1.33</x:v>
      </x:c>
      <x:c r="O90" s="32" t="n">
        <x:f>M90/G90</x:f>
        <x:v>1.064</x:v>
      </x:c>
      <x:c r="P90" s="21" t="str">
        <x:f>IF(AND(N90&gt;=Controls!$D$7,O90&gt;=Controls!$D$8),"PASS","FAIL")</x:f>
        <x:v>PASS</x:v>
      </x:c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C91" s="19" t="str">
        <x:v>MS-RT|C</x:v>
      </x:c>
      <x:c r="D91" s="19" t="str">
        <x:v>MS-RT</x:v>
      </x:c>
      <x:c r="E91" s="19" t="str">
        <x:v>RT-R3</x:v>
      </x:c>
      <x:c r="F91" s="19" t="str">
        <x:v>Utility reconstruction</x:v>
      </x:c>
      <x:c r="G91" s="40" t="n">
        <x:v>45</x:v>
      </x:c>
      <x:c r="H91" s="19" t="str">
        <x:v>MW-equivalent/168 h</x:v>
      </x:c>
      <x:c r="I91" s="22" t="n">
        <x:v>3</x:v>
      </x:c>
      <x:c r="J91" s="22" t="n">
        <x:v>5</x:v>
      </x:c>
      <x:c r="K91" s="40" t="n">
        <x:v>12.06</x:v>
      </x:c>
      <x:c r="L91" s="39" t="n">
        <x:f>K91*J91</x:f>
        <x:v>60.300000000000004</x:v>
      </x:c>
      <x:c r="M91" s="39" t="n">
        <x:f>K91*(J91-1)</x:f>
        <x:v>48.24</x:v>
      </x:c>
      <x:c r="N91" s="32" t="n">
        <x:f>L91/G91</x:f>
        <x:v>1.34</x:v>
      </x:c>
      <x:c r="O91" s="32" t="n">
        <x:f>M91/G91</x:f>
        <x:v>1.072</x:v>
      </x:c>
      <x:c r="P91" s="21" t="str">
        <x:f>IF(AND(N91&gt;=Controls!$D$7,O91&gt;=Controls!$D$8),"PASS","FAIL")</x:f>
        <x:v>PASS</x:v>
      </x:c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C92" s="19" t="str">
        <x:v>MS-RT|C</x:v>
      </x:c>
      <x:c r="D92" s="19" t="str">
        <x:v>MS-RT</x:v>
      </x:c>
      <x:c r="E92" s="19" t="str">
        <x:v>RT-R4</x:v>
      </x:c>
      <x:c r="F92" s="19" t="str">
        <x:v>Civil, institution and economic transfer</x:v>
      </x:c>
      <x:c r="G92" s="40" t="n">
        <x:v>99</x:v>
      </x:c>
      <x:c r="H92" s="19" t="str">
        <x:v>positions transferred/168 h</x:v>
      </x:c>
      <x:c r="I92" s="22" t="n">
        <x:v>6</x:v>
      </x:c>
      <x:c r="J92" s="22" t="n">
        <x:v>6</x:v>
      </x:c>
      <x:c r="K92" s="40" t="n">
        <x:v>22.275000000000002</x:v>
      </x:c>
      <x:c r="L92" s="39" t="n">
        <x:f>K92*J92</x:f>
        <x:v>133.65</x:v>
      </x:c>
      <x:c r="M92" s="39" t="n">
        <x:f>K92*(J92-1)</x:f>
        <x:v>111.37500000000001</x:v>
      </x:c>
      <x:c r="N92" s="32" t="n">
        <x:f>L92/G92</x:f>
        <x:v>1.35</x:v>
      </x:c>
      <x:c r="O92" s="32" t="n">
        <x:f>M92/G92</x:f>
        <x:v>1.1250000000000002</x:v>
      </x:c>
      <x:c r="P92" s="21" t="str">
        <x:f>IF(AND(N92&gt;=Controls!$D$7,O92&gt;=Controls!$D$8),"PASS","FAIL")</x:f>
        <x:v>PASS</x:v>
      </x:c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C93" s="19" t="str">
        <x:v>MS-RT|C</x:v>
      </x:c>
      <x:c r="D93" s="19" t="str">
        <x:v>MS-RT</x:v>
      </x:c>
      <x:c r="E93" s="19" t="str">
        <x:v>RT-R5</x:v>
      </x:c>
      <x:c r="F93" s="19" t="str">
        <x:v>Return, continuity and demobilization</x:v>
      </x:c>
      <x:c r="G93" s="40" t="n">
        <x:v>99</x:v>
      </x:c>
      <x:c r="H93" s="19" t="str">
        <x:v>returns accepted/168 h</x:v>
      </x:c>
      <x:c r="I93" s="22" t="n">
        <x:v>2</x:v>
      </x:c>
      <x:c r="J93" s="22" t="n">
        <x:v>5</x:v>
      </x:c>
      <x:c r="K93" s="40" t="n">
        <x:v>26.928000000000004</x:v>
      </x:c>
      <x:c r="L93" s="39" t="n">
        <x:f>K93*J93</x:f>
        <x:v>134.64000000000001</x:v>
      </x:c>
      <x:c r="M93" s="39" t="n">
        <x:f>K93*(J93-1)</x:f>
        <x:v>107.71200000000002</x:v>
      </x:c>
      <x:c r="N93" s="32" t="n">
        <x:f>L93/G93</x:f>
        <x:v>1.36</x:v>
      </x:c>
      <x:c r="O93" s="32" t="n">
        <x:f>M93/G93</x:f>
        <x:v>1.088</x:v>
      </x:c>
      <x:c r="P93" s="21" t="str">
        <x:f>IF(AND(N93&gt;=Controls!$D$7,O93&gt;=Controls!$D$8),"PASS","FAIL")</x:f>
        <x:v>PASS</x:v>
      </x:c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C94" s="19" t="str">
        <x:v>MS-RT|D</x:v>
      </x:c>
      <x:c r="D94" s="19" t="str">
        <x:v>MS-RT</x:v>
      </x:c>
      <x:c r="E94" s="19" t="str">
        <x:v>RT-R1</x:v>
      </x:c>
      <x:c r="F94" s="19" t="str">
        <x:v>Campaign, ocean and offshore sustainment</x:v>
      </x:c>
      <x:c r="G94" s="40" t="n">
        <x:v>2970</x:v>
      </x:c>
      <x:c r="H94" s="19" t="str">
        <x:v>position-days/30 d</x:v>
      </x:c>
      <x:c r="I94" s="22" t="n">
        <x:v>4</x:v>
      </x:c>
      <x:c r="J94" s="22" t="n">
        <x:v>5</x:v>
      </x:c>
      <x:c r="K94" s="40" t="n">
        <x:v>795.96</x:v>
      </x:c>
      <x:c r="L94" s="39" t="n">
        <x:f>K94*J94</x:f>
        <x:v>3979.8</x:v>
      </x:c>
      <x:c r="M94" s="39" t="n">
        <x:f>K94*(J94-1)</x:f>
        <x:v>3183.84</x:v>
      </x:c>
      <x:c r="N94" s="32" t="n">
        <x:f>L94/G94</x:f>
        <x:v>1.34</x:v>
      </x:c>
      <x:c r="O94" s="32" t="n">
        <x:f>M94/G94</x:f>
        <x:v>1.072</x:v>
      </x:c>
      <x:c r="P94" s="21" t="str">
        <x:f>IF(AND(N94&gt;=Controls!$D$7,O94&gt;=Controls!$D$8),"PASS","FAIL")</x:f>
        <x:v>PASS</x:v>
      </x:c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C95" s="19" t="str">
        <x:v>MS-RT|D</x:v>
      </x:c>
      <x:c r="D95" s="19" t="str">
        <x:v>MS-RT</x:v>
      </x:c>
      <x:c r="E95" s="19" t="str">
        <x:v>RT-R2</x:v>
      </x:c>
      <x:c r="F95" s="19" t="str">
        <x:v>Replacement and reconstitution</x:v>
      </x:c>
      <x:c r="G95" s="40" t="n">
        <x:v>99</x:v>
      </x:c>
      <x:c r="H95" s="19" t="str">
        <x:v>positions/168 h</x:v>
      </x:c>
      <x:c r="I95" s="22" t="n">
        <x:v>2</x:v>
      </x:c>
      <x:c r="J95" s="22" t="n">
        <x:v>5</x:v>
      </x:c>
      <x:c r="K95" s="40" t="n">
        <x:v>26.73</x:v>
      </x:c>
      <x:c r="L95" s="39" t="n">
        <x:f>K95*J95</x:f>
        <x:v>133.65</x:v>
      </x:c>
      <x:c r="M95" s="39" t="n">
        <x:f>K95*(J95-1)</x:f>
        <x:v>106.92</x:v>
      </x:c>
      <x:c r="N95" s="32" t="n">
        <x:f>L95/G95</x:f>
        <x:v>1.35</x:v>
      </x:c>
      <x:c r="O95" s="32" t="n">
        <x:f>M95/G95</x:f>
        <x:v>1.08</x:v>
      </x:c>
      <x:c r="P95" s="21" t="str">
        <x:f>IF(AND(N95&gt;=Controls!$D$7,O95&gt;=Controls!$D$8),"PASS","FAIL")</x:f>
        <x:v>PASS</x:v>
      </x:c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C96" s="19" t="str">
        <x:v>MS-RT|D</x:v>
      </x:c>
      <x:c r="D96" s="19" t="str">
        <x:v>MS-RT</x:v>
      </x:c>
      <x:c r="E96" s="19" t="str">
        <x:v>RT-R3</x:v>
      </x:c>
      <x:c r="F96" s="19" t="str">
        <x:v>Utility reconstruction</x:v>
      </x:c>
      <x:c r="G96" s="40" t="n">
        <x:v>45</x:v>
      </x:c>
      <x:c r="H96" s="19" t="str">
        <x:v>MW-equivalent/168 h</x:v>
      </x:c>
      <x:c r="I96" s="22" t="n">
        <x:v>3</x:v>
      </x:c>
      <x:c r="J96" s="22" t="n">
        <x:v>5</x:v>
      </x:c>
      <x:c r="K96" s="40" t="n">
        <x:v>12.24</x:v>
      </x:c>
      <x:c r="L96" s="39" t="n">
        <x:f>K96*J96</x:f>
        <x:v>61.2</x:v>
      </x:c>
      <x:c r="M96" s="39" t="n">
        <x:f>K96*(J96-1)</x:f>
        <x:v>48.96</x:v>
      </x:c>
      <x:c r="N96" s="32" t="n">
        <x:f>L96/G96</x:f>
        <x:v>1.36</x:v>
      </x:c>
      <x:c r="O96" s="32" t="n">
        <x:f>M96/G96</x:f>
        <x:v>1.088</x:v>
      </x:c>
      <x:c r="P96" s="21" t="str">
        <x:f>IF(AND(N96&gt;=Controls!$D$7,O96&gt;=Controls!$D$8),"PASS","FAIL")</x:f>
        <x:v>PASS</x:v>
      </x:c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C97" s="19" t="str">
        <x:v>MS-RT|D</x:v>
      </x:c>
      <x:c r="D97" s="19" t="str">
        <x:v>MS-RT</x:v>
      </x:c>
      <x:c r="E97" s="19" t="str">
        <x:v>RT-R4</x:v>
      </x:c>
      <x:c r="F97" s="19" t="str">
        <x:v>Civil, institution and economic transfer</x:v>
      </x:c>
      <x:c r="G97" s="40" t="n">
        <x:v>99</x:v>
      </x:c>
      <x:c r="H97" s="19" t="str">
        <x:v>positions transferred/168 h</x:v>
      </x:c>
      <x:c r="I97" s="22" t="n">
        <x:v>6</x:v>
      </x:c>
      <x:c r="J97" s="22" t="n">
        <x:v>6</x:v>
      </x:c>
      <x:c r="K97" s="40" t="n">
        <x:v>22.605000000000004</x:v>
      </x:c>
      <x:c r="L97" s="39" t="n">
        <x:f>K97*J97</x:f>
        <x:v>135.63000000000002</x:v>
      </x:c>
      <x:c r="M97" s="39" t="n">
        <x:f>K97*(J97-1)</x:f>
        <x:v>113.02500000000002</x:v>
      </x:c>
      <x:c r="N97" s="32" t="n">
        <x:f>L97/G97</x:f>
        <x:v>1.3700000000000003</x:v>
      </x:c>
      <x:c r="O97" s="32" t="n">
        <x:f>M97/G97</x:f>
        <x:v>1.1416666666666668</x:v>
      </x:c>
      <x:c r="P97" s="21" t="str">
        <x:f>IF(AND(N97&gt;=Controls!$D$7,O97&gt;=Controls!$D$8),"PASS","FAIL")</x:f>
        <x:v>PASS</x:v>
      </x:c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C98" s="23" t="str">
        <x:v>MS-RT|D</x:v>
      </x:c>
      <x:c r="D98" s="23" t="str">
        <x:v>MS-RT</x:v>
      </x:c>
      <x:c r="E98" s="23" t="str">
        <x:v>RT-R5</x:v>
      </x:c>
      <x:c r="F98" s="23" t="str">
        <x:v>Return, continuity and demobilization</x:v>
      </x:c>
      <x:c r="G98" s="44" t="n">
        <x:v>99</x:v>
      </x:c>
      <x:c r="H98" s="23" t="str">
        <x:v>returns accepted/168 h</x:v>
      </x:c>
      <x:c r="I98" s="24" t="n">
        <x:v>2</x:v>
      </x:c>
      <x:c r="J98" s="24" t="n">
        <x:v>5</x:v>
      </x:c>
      <x:c r="K98" s="44" t="n">
        <x:v>27.324</x:v>
      </x:c>
      <x:c r="L98" s="43" t="n">
        <x:f>K98*J98</x:f>
        <x:v>136.62</x:v>
      </x:c>
      <x:c r="M98" s="43" t="n">
        <x:f>K98*(J98-1)</x:f>
        <x:v>109.296</x:v>
      </x:c>
      <x:c r="N98" s="34" t="n">
        <x:f>L98/G98</x:f>
        <x:v>1.3800000000000001</x:v>
      </x:c>
      <x:c r="O98" s="34" t="n">
        <x:f>M98/G98</x:f>
        <x:v>1.104</x:v>
      </x:c>
      <x:c r="P98" s="25" t="str">
        <x:f>IF(AND(N98&gt;=Controls!$D$7,O98&gt;=Controls!$D$8),"PASS","FAIL")</x:f>
        <x:v>PASS</x:v>
      </x:c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Shift-complete labor closure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The duty system must retain all continuous posts after the controlled workforce denial.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Root</x:v>
      </x:c>
      <x:c r="D6" s="18" t="str">
        <x:v>System</x:v>
      </x:c>
      <x:c r="E6" s="18" t="str">
        <x:v>Deployed roles</x:v>
      </x:c>
      <x:c r="F6" s="18" t="str">
        <x:v>Continuous posts</x:v>
      </x:c>
      <x:c r="G6" s="18" t="str">
        <x:v>Usable h/role/day</x:v>
      </x:c>
      <x:c r="H6" s="18" t="str">
        <x:v>Required role-h/day</x:v>
      </x:c>
      <x:c r="I6" s="18" t="str">
        <x:v>Intact available h/day</x:v>
      </x:c>
      <x:c r="J6" s="18" t="str">
        <x:v>After denial h/day</x:v>
      </x:c>
      <x:c r="K6" s="18" t="str">
        <x:v>Intact margin</x:v>
      </x:c>
      <x:c r="L6" s="18" t="str">
        <x:v>Loss margin</x:v>
      </x:c>
      <x:c r="M6" s="18" t="str">
        <x:v>State</x:v>
      </x:c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</x:v>
      </x:c>
      <x:c r="D7" s="19" t="str">
        <x:v>MS-ET</x:v>
      </x:c>
      <x:c r="E7" s="27" t="n">
        <x:v>4200</x:v>
      </x:c>
      <x:c r="F7" s="27" t="n">
        <x:v>1134</x:v>
      </x:c>
      <x:c r="G7" s="31" t="n">
        <x:f>Controls!$D$10</x:f>
        <x:v>10</x:v>
      </x:c>
      <x:c r="H7" s="31" t="n">
        <x:f>F7*24</x:f>
        <x:v>27216</x:v>
      </x:c>
      <x:c r="I7" s="31" t="n">
        <x:f>E7*G7</x:f>
        <x:v>42000</x:v>
      </x:c>
      <x:c r="J7" s="31" t="n">
        <x:f>I7*(1-Controls!$D$9)</x:f>
        <x:v>33600</x:v>
      </x:c>
      <x:c r="K7" s="32" t="n">
        <x:f>I7/H7</x:f>
        <x:v>1.5432098765432098</x:v>
      </x:c>
      <x:c r="L7" s="32" t="n">
        <x:f>J7/H7</x:f>
        <x:v>1.2345679012345678</x:v>
      </x:c>
      <x:c r="M7" s="21" t="str">
        <x:f>IF(AND(K7&gt;=Controls!$D$7,L7&gt;=Controls!$D$8),"PASS","FAIL")</x:f>
        <x:v>PASS</x:v>
      </x:c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MS-ET|B</x:v>
      </x:c>
      <x:c r="D8" s="19" t="str">
        <x:v>MS-ET</x:v>
      </x:c>
      <x:c r="E8" s="27" t="n">
        <x:v>5600</x:v>
      </x:c>
      <x:c r="F8" s="27" t="n">
        <x:v>1512</x:v>
      </x:c>
      <x:c r="G8" s="31" t="n">
        <x:f>Controls!$D$10</x:f>
        <x:v>10</x:v>
      </x:c>
      <x:c r="H8" s="31" t="n">
        <x:f>F8*24</x:f>
        <x:v>36288</x:v>
      </x:c>
      <x:c r="I8" s="31" t="n">
        <x:f>E8*G8</x:f>
        <x:v>56000</x:v>
      </x:c>
      <x:c r="J8" s="31" t="n">
        <x:f>I8*(1-Controls!$D$9)</x:f>
        <x:v>44800</x:v>
      </x:c>
      <x:c r="K8" s="32" t="n">
        <x:f>I8/H8</x:f>
        <x:v>1.5432098765432098</x:v>
      </x:c>
      <x:c r="L8" s="32" t="n">
        <x:f>J8/H8</x:f>
        <x:v>1.2345679012345678</x:v>
      </x:c>
      <x:c r="M8" s="21" t="str">
        <x:f>IF(AND(K8&gt;=Controls!$D$7,L8&gt;=Controls!$D$8),"PASS","FAIL")</x:f>
        <x:v>PASS</x:v>
      </x:c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MS-ET|C</x:v>
      </x:c>
      <x:c r="D9" s="19" t="str">
        <x:v>MS-ET</x:v>
      </x:c>
      <x:c r="E9" s="27" t="n">
        <x:v>6800</x:v>
      </x:c>
      <x:c r="F9" s="27" t="n">
        <x:v>1836</x:v>
      </x:c>
      <x:c r="G9" s="31" t="n">
        <x:f>Controls!$D$10</x:f>
        <x:v>10</x:v>
      </x:c>
      <x:c r="H9" s="31" t="n">
        <x:f>F9*24</x:f>
        <x:v>44064</x:v>
      </x:c>
      <x:c r="I9" s="31" t="n">
        <x:f>E9*G9</x:f>
        <x:v>68000</x:v>
      </x:c>
      <x:c r="J9" s="31" t="n">
        <x:f>I9*(1-Controls!$D$9)</x:f>
        <x:v>54400</x:v>
      </x:c>
      <x:c r="K9" s="32" t="n">
        <x:f>I9/H9</x:f>
        <x:v>1.5432098765432098</x:v>
      </x:c>
      <x:c r="L9" s="32" t="n">
        <x:f>J9/H9</x:f>
        <x:v>1.2345679012345678</x:v>
      </x:c>
      <x:c r="M9" s="21" t="str">
        <x:f>IF(AND(K9&gt;=Controls!$D$7,L9&gt;=Controls!$D$8),"PASS","FAIL")</x:f>
        <x:v>PASS</x:v>
      </x:c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MS-ET|D</x:v>
      </x:c>
      <x:c r="D10" s="19" t="str">
        <x:v>MS-ET</x:v>
      </x:c>
      <x:c r="E10" s="27" t="n">
        <x:v>4500</x:v>
      </x:c>
      <x:c r="F10" s="27" t="n">
        <x:v>1215</x:v>
      </x:c>
      <x:c r="G10" s="31" t="n">
        <x:f>Controls!$D$10</x:f>
        <x:v>10</x:v>
      </x:c>
      <x:c r="H10" s="31" t="n">
        <x:f>F10*24</x:f>
        <x:v>29160</x:v>
      </x:c>
      <x:c r="I10" s="31" t="n">
        <x:f>E10*G10</x:f>
        <x:v>45000</x:v>
      </x:c>
      <x:c r="J10" s="31" t="n">
        <x:f>I10*(1-Controls!$D$9)</x:f>
        <x:v>36000</x:v>
      </x:c>
      <x:c r="K10" s="32" t="n">
        <x:f>I10/H10</x:f>
        <x:v>1.5432098765432098</x:v>
      </x:c>
      <x:c r="L10" s="32" t="n">
        <x:f>J10/H10</x:f>
        <x:v>1.2345679012345678</x:v>
      </x:c>
      <x:c r="M10" s="21" t="str">
        <x:f>IF(AND(K10&gt;=Controls!$D$7,L10&gt;=Controls!$D$8),"PASS","FAIL")</x:f>
        <x:v>PASS</x:v>
      </x:c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MS-CT|A</x:v>
      </x:c>
      <x:c r="D11" s="19" t="str">
        <x:v>MS-CT</x:v>
      </x:c>
      <x:c r="E11" s="27" t="n">
        <x:v>3600</x:v>
      </x:c>
      <x:c r="F11" s="27" t="n">
        <x:v>972</x:v>
      </x:c>
      <x:c r="G11" s="31" t="n">
        <x:f>Controls!$D$10</x:f>
        <x:v>10</x:v>
      </x:c>
      <x:c r="H11" s="31" t="n">
        <x:f>F11*24</x:f>
        <x:v>23328</x:v>
      </x:c>
      <x:c r="I11" s="31" t="n">
        <x:f>E11*G11</x:f>
        <x:v>36000</x:v>
      </x:c>
      <x:c r="J11" s="31" t="n">
        <x:f>I11*(1-Controls!$D$9)</x:f>
        <x:v>28800</x:v>
      </x:c>
      <x:c r="K11" s="32" t="n">
        <x:f>I11/H11</x:f>
        <x:v>1.5432098765432098</x:v>
      </x:c>
      <x:c r="L11" s="32" t="n">
        <x:f>J11/H11</x:f>
        <x:v>1.2345679012345678</x:v>
      </x:c>
      <x:c r="M11" s="21" t="str">
        <x:f>IF(AND(K11&gt;=Controls!$D$7,L11&gt;=Controls!$D$8),"PASS","FAIL")</x:f>
        <x:v>PASS</x:v>
      </x:c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MS-CT|B</x:v>
      </x:c>
      <x:c r="D12" s="19" t="str">
        <x:v>MS-CT</x:v>
      </x:c>
      <x:c r="E12" s="27" t="n">
        <x:v>4100</x:v>
      </x:c>
      <x:c r="F12" s="27" t="n">
        <x:v>1107</x:v>
      </x:c>
      <x:c r="G12" s="31" t="n">
        <x:f>Controls!$D$10</x:f>
        <x:v>10</x:v>
      </x:c>
      <x:c r="H12" s="31" t="n">
        <x:f>F12*24</x:f>
        <x:v>26568</x:v>
      </x:c>
      <x:c r="I12" s="31" t="n">
        <x:f>E12*G12</x:f>
        <x:v>41000</x:v>
      </x:c>
      <x:c r="J12" s="31" t="n">
        <x:f>I12*(1-Controls!$D$9)</x:f>
        <x:v>32800</x:v>
      </x:c>
      <x:c r="K12" s="32" t="n">
        <x:f>I12/H12</x:f>
        <x:v>1.5432098765432098</x:v>
      </x:c>
      <x:c r="L12" s="32" t="n">
        <x:f>J12/H12</x:f>
        <x:v>1.2345679012345678</x:v>
      </x:c>
      <x:c r="M12" s="21" t="str">
        <x:f>IF(AND(K12&gt;=Controls!$D$7,L12&gt;=Controls!$D$8),"PASS","FAIL")</x:f>
        <x:v>PASS</x:v>
      </x:c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MS-CT|C</x:v>
      </x:c>
      <x:c r="D13" s="19" t="str">
        <x:v>MS-CT</x:v>
      </x:c>
      <x:c r="E13" s="27" t="n">
        <x:v>5200</x:v>
      </x:c>
      <x:c r="F13" s="27" t="n">
        <x:v>1404</x:v>
      </x:c>
      <x:c r="G13" s="31" t="n">
        <x:f>Controls!$D$10</x:f>
        <x:v>10</x:v>
      </x:c>
      <x:c r="H13" s="31" t="n">
        <x:f>F13*24</x:f>
        <x:v>33696</x:v>
      </x:c>
      <x:c r="I13" s="31" t="n">
        <x:f>E13*G13</x:f>
        <x:v>52000</x:v>
      </x:c>
      <x:c r="J13" s="31" t="n">
        <x:f>I13*(1-Controls!$D$9)</x:f>
        <x:v>41600</x:v>
      </x:c>
      <x:c r="K13" s="32" t="n">
        <x:f>I13/H13</x:f>
        <x:v>1.5432098765432098</x:v>
      </x:c>
      <x:c r="L13" s="32" t="n">
        <x:f>J13/H13</x:f>
        <x:v>1.2345679012345678</x:v>
      </x:c>
      <x:c r="M13" s="21" t="str">
        <x:f>IF(AND(K13&gt;=Controls!$D$7,L13&gt;=Controls!$D$8),"PASS","FAIL")</x:f>
        <x:v>PASS</x:v>
      </x:c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MS-CT|D</x:v>
      </x:c>
      <x:c r="D14" s="19" t="str">
        <x:v>MS-CT</x:v>
      </x:c>
      <x:c r="E14" s="27" t="n">
        <x:v>4300</x:v>
      </x:c>
      <x:c r="F14" s="27" t="n">
        <x:v>1161</x:v>
      </x:c>
      <x:c r="G14" s="31" t="n">
        <x:f>Controls!$D$10</x:f>
        <x:v>10</x:v>
      </x:c>
      <x:c r="H14" s="31" t="n">
        <x:f>F14*24</x:f>
        <x:v>27864</x:v>
      </x:c>
      <x:c r="I14" s="31" t="n">
        <x:f>E14*G14</x:f>
        <x:v>43000</x:v>
      </x:c>
      <x:c r="J14" s="31" t="n">
        <x:f>I14*(1-Controls!$D$9)</x:f>
        <x:v>34400</x:v>
      </x:c>
      <x:c r="K14" s="32" t="n">
        <x:f>I14/H14</x:f>
        <x:v>1.5432098765432098</x:v>
      </x:c>
      <x:c r="L14" s="32" t="n">
        <x:f>J14/H14</x:f>
        <x:v>1.2345679012345678</x:v>
      </x:c>
      <x:c r="M14" s="21" t="str">
        <x:f>IF(AND(K14&gt;=Controls!$D$7,L14&gt;=Controls!$D$8),"PASS","FAIL")</x:f>
        <x:v>PASS</x:v>
      </x:c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MS-HC|A</x:v>
      </x:c>
      <x:c r="D15" s="19" t="str">
        <x:v>MS-HC</x:v>
      </x:c>
      <x:c r="E15" s="27" t="n">
        <x:v>12300</x:v>
      </x:c>
      <x:c r="F15" s="27" t="n">
        <x:v>3321</x:v>
      </x:c>
      <x:c r="G15" s="31" t="n">
        <x:f>Controls!$D$10</x:f>
        <x:v>10</x:v>
      </x:c>
      <x:c r="H15" s="31" t="n">
        <x:f>F15*24</x:f>
        <x:v>79704</x:v>
      </x:c>
      <x:c r="I15" s="31" t="n">
        <x:f>E15*G15</x:f>
        <x:v>123000</x:v>
      </x:c>
      <x:c r="J15" s="31" t="n">
        <x:f>I15*(1-Controls!$D$9)</x:f>
        <x:v>98400</x:v>
      </x:c>
      <x:c r="K15" s="32" t="n">
        <x:f>I15/H15</x:f>
        <x:v>1.5432098765432098</x:v>
      </x:c>
      <x:c r="L15" s="32" t="n">
        <x:f>J15/H15</x:f>
        <x:v>1.2345679012345678</x:v>
      </x:c>
      <x:c r="M15" s="21" t="str">
        <x:f>IF(AND(K15&gt;=Controls!$D$7,L15&gt;=Controls!$D$8),"PASS","FAIL")</x:f>
        <x:v>PASS</x:v>
      </x:c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MS-HC|B</x:v>
      </x:c>
      <x:c r="D16" s="19" t="str">
        <x:v>MS-HC</x:v>
      </x:c>
      <x:c r="E16" s="27" t="n">
        <x:v>6800</x:v>
      </x:c>
      <x:c r="F16" s="27" t="n">
        <x:v>1836</x:v>
      </x:c>
      <x:c r="G16" s="31" t="n">
        <x:f>Controls!$D$10</x:f>
        <x:v>10</x:v>
      </x:c>
      <x:c r="H16" s="31" t="n">
        <x:f>F16*24</x:f>
        <x:v>44064</x:v>
      </x:c>
      <x:c r="I16" s="31" t="n">
        <x:f>E16*G16</x:f>
        <x:v>68000</x:v>
      </x:c>
      <x:c r="J16" s="31" t="n">
        <x:f>I16*(1-Controls!$D$9)</x:f>
        <x:v>54400</x:v>
      </x:c>
      <x:c r="K16" s="32" t="n">
        <x:f>I16/H16</x:f>
        <x:v>1.5432098765432098</x:v>
      </x:c>
      <x:c r="L16" s="32" t="n">
        <x:f>J16/H16</x:f>
        <x:v>1.2345679012345678</x:v>
      </x:c>
      <x:c r="M16" s="21" t="str">
        <x:f>IF(AND(K16&gt;=Controls!$D$7,L16&gt;=Controls!$D$8),"PASS","FAIL")</x:f>
        <x:v>PASS</x:v>
      </x:c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MS-HC|C</x:v>
      </x:c>
      <x:c r="D17" s="19" t="str">
        <x:v>MS-HC</x:v>
      </x:c>
      <x:c r="E17" s="27" t="n">
        <x:v>7400</x:v>
      </x:c>
      <x:c r="F17" s="27" t="n">
        <x:v>1998</x:v>
      </x:c>
      <x:c r="G17" s="31" t="n">
        <x:f>Controls!$D$10</x:f>
        <x:v>10</x:v>
      </x:c>
      <x:c r="H17" s="31" t="n">
        <x:f>F17*24</x:f>
        <x:v>47952</x:v>
      </x:c>
      <x:c r="I17" s="31" t="n">
        <x:f>E17*G17</x:f>
        <x:v>74000</x:v>
      </x:c>
      <x:c r="J17" s="31" t="n">
        <x:f>I17*(1-Controls!$D$9)</x:f>
        <x:v>59200</x:v>
      </x:c>
      <x:c r="K17" s="32" t="n">
        <x:f>I17/H17</x:f>
        <x:v>1.5432098765432098</x:v>
      </x:c>
      <x:c r="L17" s="32" t="n">
        <x:f>J17/H17</x:f>
        <x:v>1.2345679012345678</x:v>
      </x:c>
      <x:c r="M17" s="21" t="str">
        <x:f>IF(AND(K17&gt;=Controls!$D$7,L17&gt;=Controls!$D$8),"PASS","FAIL")</x:f>
        <x:v>PASS</x:v>
      </x:c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MS-HC|D</x:v>
      </x:c>
      <x:c r="D18" s="19" t="str">
        <x:v>MS-HC</x:v>
      </x:c>
      <x:c r="E18" s="27" t="n">
        <x:v>5600</x:v>
      </x:c>
      <x:c r="F18" s="27" t="n">
        <x:v>1512</x:v>
      </x:c>
      <x:c r="G18" s="31" t="n">
        <x:f>Controls!$D$10</x:f>
        <x:v>10</x:v>
      </x:c>
      <x:c r="H18" s="31" t="n">
        <x:f>F18*24</x:f>
        <x:v>36288</x:v>
      </x:c>
      <x:c r="I18" s="31" t="n">
        <x:f>E18*G18</x:f>
        <x:v>56000</x:v>
      </x:c>
      <x:c r="J18" s="31" t="n">
        <x:f>I18*(1-Controls!$D$9)</x:f>
        <x:v>44800</x:v>
      </x:c>
      <x:c r="K18" s="32" t="n">
        <x:f>I18/H18</x:f>
        <x:v>1.5432098765432098</x:v>
      </x:c>
      <x:c r="L18" s="32" t="n">
        <x:f>J18/H18</x:f>
        <x:v>1.2345679012345678</x:v>
      </x:c>
      <x:c r="M18" s="21" t="str">
        <x:f>IF(AND(K18&gt;=Controls!$D$7,L18&gt;=Controls!$D$8),"PASS","FAIL")</x:f>
        <x:v>PASS</x:v>
      </x:c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MS-HU|A</x:v>
      </x:c>
      <x:c r="D19" s="19" t="str">
        <x:v>MS-HU</x:v>
      </x:c>
      <x:c r="E19" s="27" t="n">
        <x:v>8500</x:v>
      </x:c>
      <x:c r="F19" s="27" t="n">
        <x:v>2295</x:v>
      </x:c>
      <x:c r="G19" s="31" t="n">
        <x:f>Controls!$D$10</x:f>
        <x:v>10</x:v>
      </x:c>
      <x:c r="H19" s="31" t="n">
        <x:f>F19*24</x:f>
        <x:v>55080</x:v>
      </x:c>
      <x:c r="I19" s="31" t="n">
        <x:f>E19*G19</x:f>
        <x:v>85000</x:v>
      </x:c>
      <x:c r="J19" s="31" t="n">
        <x:f>I19*(1-Controls!$D$9)</x:f>
        <x:v>68000</x:v>
      </x:c>
      <x:c r="K19" s="32" t="n">
        <x:f>I19/H19</x:f>
        <x:v>1.5432098765432098</x:v>
      </x:c>
      <x:c r="L19" s="32" t="n">
        <x:f>J19/H19</x:f>
        <x:v>1.2345679012345678</x:v>
      </x:c>
      <x:c r="M19" s="21" t="str">
        <x:f>IF(AND(K19&gt;=Controls!$D$7,L19&gt;=Controls!$D$8),"PASS","FAIL")</x:f>
        <x:v>PASS</x:v>
      </x:c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MS-HU|B</x:v>
      </x:c>
      <x:c r="D20" s="19" t="str">
        <x:v>MS-HU</x:v>
      </x:c>
      <x:c r="E20" s="27" t="n">
        <x:v>10500</x:v>
      </x:c>
      <x:c r="F20" s="27" t="n">
        <x:v>2835</x:v>
      </x:c>
      <x:c r="G20" s="31" t="n">
        <x:f>Controls!$D$10</x:f>
        <x:v>10</x:v>
      </x:c>
      <x:c r="H20" s="31" t="n">
        <x:f>F20*24</x:f>
        <x:v>68040</x:v>
      </x:c>
      <x:c r="I20" s="31" t="n">
        <x:f>E20*G20</x:f>
        <x:v>105000</x:v>
      </x:c>
      <x:c r="J20" s="31" t="n">
        <x:f>I20*(1-Controls!$D$9)</x:f>
        <x:v>84000</x:v>
      </x:c>
      <x:c r="K20" s="32" t="n">
        <x:f>I20/H20</x:f>
        <x:v>1.5432098765432098</x:v>
      </x:c>
      <x:c r="L20" s="32" t="n">
        <x:f>J20/H20</x:f>
        <x:v>1.2345679012345678</x:v>
      </x:c>
      <x:c r="M20" s="21" t="str">
        <x:f>IF(AND(K20&gt;=Controls!$D$7,L20&gt;=Controls!$D$8),"PASS","FAIL")</x:f>
        <x:v>PASS</x:v>
      </x:c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MS-HU|C</x:v>
      </x:c>
      <x:c r="D21" s="19" t="str">
        <x:v>MS-HU</x:v>
      </x:c>
      <x:c r="E21" s="27" t="n">
        <x:v>9200</x:v>
      </x:c>
      <x:c r="F21" s="27" t="n">
        <x:v>2484</x:v>
      </x:c>
      <x:c r="G21" s="31" t="n">
        <x:f>Controls!$D$10</x:f>
        <x:v>10</x:v>
      </x:c>
      <x:c r="H21" s="31" t="n">
        <x:f>F21*24</x:f>
        <x:v>59616</x:v>
      </x:c>
      <x:c r="I21" s="31" t="n">
        <x:f>E21*G21</x:f>
        <x:v>92000</x:v>
      </x:c>
      <x:c r="J21" s="31" t="n">
        <x:f>I21*(1-Controls!$D$9)</x:f>
        <x:v>73600</x:v>
      </x:c>
      <x:c r="K21" s="32" t="n">
        <x:f>I21/H21</x:f>
        <x:v>1.5432098765432098</x:v>
      </x:c>
      <x:c r="L21" s="32" t="n">
        <x:f>J21/H21</x:f>
        <x:v>1.2345679012345678</x:v>
      </x:c>
      <x:c r="M21" s="21" t="str">
        <x:f>IF(AND(K21&gt;=Controls!$D$7,L21&gt;=Controls!$D$8),"PASS","FAIL")</x:f>
        <x:v>PASS</x:v>
      </x:c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MS-HU|D</x:v>
      </x:c>
      <x:c r="D22" s="19" t="str">
        <x:v>MS-HU</x:v>
      </x:c>
      <x:c r="E22" s="27" t="n">
        <x:v>7200</x:v>
      </x:c>
      <x:c r="F22" s="27" t="n">
        <x:v>1944</x:v>
      </x:c>
      <x:c r="G22" s="31" t="n">
        <x:f>Controls!$D$10</x:f>
        <x:v>10</x:v>
      </x:c>
      <x:c r="H22" s="31" t="n">
        <x:f>F22*24</x:f>
        <x:v>46656</x:v>
      </x:c>
      <x:c r="I22" s="31" t="n">
        <x:f>E22*G22</x:f>
        <x:v>72000</x:v>
      </x:c>
      <x:c r="J22" s="31" t="n">
        <x:f>I22*(1-Controls!$D$9)</x:f>
        <x:v>57600</x:v>
      </x:c>
      <x:c r="K22" s="32" t="n">
        <x:f>I22/H22</x:f>
        <x:v>1.5432098765432098</x:v>
      </x:c>
      <x:c r="L22" s="32" t="n">
        <x:f>J22/H22</x:f>
        <x:v>1.2345679012345678</x:v>
      </x:c>
      <x:c r="M22" s="21" t="str">
        <x:f>IF(AND(K22&gt;=Controls!$D$7,L22&gt;=Controls!$D$8),"PASS","FAIL")</x:f>
        <x:v>PASS</x:v>
      </x:c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MS-RT|A</x:v>
      </x:c>
      <x:c r="D23" s="19" t="str">
        <x:v>MS-RT</x:v>
      </x:c>
      <x:c r="E23" s="27" t="n">
        <x:v>9600</x:v>
      </x:c>
      <x:c r="F23" s="27" t="n">
        <x:v>2592</x:v>
      </x:c>
      <x:c r="G23" s="31" t="n">
        <x:f>Controls!$D$10</x:f>
        <x:v>10</x:v>
      </x:c>
      <x:c r="H23" s="31" t="n">
        <x:f>F23*24</x:f>
        <x:v>62208</x:v>
      </x:c>
      <x:c r="I23" s="31" t="n">
        <x:f>E23*G23</x:f>
        <x:v>96000</x:v>
      </x:c>
      <x:c r="J23" s="31" t="n">
        <x:f>I23*(1-Controls!$D$9)</x:f>
        <x:v>76800</x:v>
      </x:c>
      <x:c r="K23" s="32" t="n">
        <x:f>I23/H23</x:f>
        <x:v>1.5432098765432098</x:v>
      </x:c>
      <x:c r="L23" s="32" t="n">
        <x:f>J23/H23</x:f>
        <x:v>1.2345679012345678</x:v>
      </x:c>
      <x:c r="M23" s="21" t="str">
        <x:f>IF(AND(K23&gt;=Controls!$D$7,L23&gt;=Controls!$D$8),"PASS","FAIL")</x:f>
        <x:v>PASS</x:v>
      </x:c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MS-RT|B</x:v>
      </x:c>
      <x:c r="D24" s="19" t="str">
        <x:v>MS-RT</x:v>
      </x:c>
      <x:c r="E24" s="27" t="n">
        <x:v>8300</x:v>
      </x:c>
      <x:c r="F24" s="27" t="n">
        <x:v>2241</x:v>
      </x:c>
      <x:c r="G24" s="31" t="n">
        <x:f>Controls!$D$10</x:f>
        <x:v>10</x:v>
      </x:c>
      <x:c r="H24" s="31" t="n">
        <x:f>F24*24</x:f>
        <x:v>53784</x:v>
      </x:c>
      <x:c r="I24" s="31" t="n">
        <x:f>E24*G24</x:f>
        <x:v>83000</x:v>
      </x:c>
      <x:c r="J24" s="31" t="n">
        <x:f>I24*(1-Controls!$D$9)</x:f>
        <x:v>66400</x:v>
      </x:c>
      <x:c r="K24" s="32" t="n">
        <x:f>I24/H24</x:f>
        <x:v>1.5432098765432098</x:v>
      </x:c>
      <x:c r="L24" s="32" t="n">
        <x:f>J24/H24</x:f>
        <x:v>1.2345679012345678</x:v>
      </x:c>
      <x:c r="M24" s="21" t="str">
        <x:f>IF(AND(K24&gt;=Controls!$D$7,L24&gt;=Controls!$D$8),"PASS","FAIL")</x:f>
        <x:v>PASS</x:v>
      </x:c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MS-RT|C</x:v>
      </x:c>
      <x:c r="D25" s="19" t="str">
        <x:v>MS-RT</x:v>
      </x:c>
      <x:c r="E25" s="27" t="n">
        <x:v>8800</x:v>
      </x:c>
      <x:c r="F25" s="27" t="n">
        <x:v>2376</x:v>
      </x:c>
      <x:c r="G25" s="31" t="n">
        <x:f>Controls!$D$10</x:f>
        <x:v>10</x:v>
      </x:c>
      <x:c r="H25" s="31" t="n">
        <x:f>F25*24</x:f>
        <x:v>57024</x:v>
      </x:c>
      <x:c r="I25" s="31" t="n">
        <x:f>E25*G25</x:f>
        <x:v>88000</x:v>
      </x:c>
      <x:c r="J25" s="31" t="n">
        <x:f>I25*(1-Controls!$D$9)</x:f>
        <x:v>70400</x:v>
      </x:c>
      <x:c r="K25" s="32" t="n">
        <x:f>I25/H25</x:f>
        <x:v>1.5432098765432098</x:v>
      </x:c>
      <x:c r="L25" s="32" t="n">
        <x:f>J25/H25</x:f>
        <x:v>1.2345679012345678</x:v>
      </x:c>
      <x:c r="M25" s="21" t="str">
        <x:f>IF(AND(K25&gt;=Controls!$D$7,L25&gt;=Controls!$D$8),"PASS","FAIL")</x:f>
        <x:v>PASS</x:v>
      </x:c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3" t="str">
        <x:v>MS-RT|D</x:v>
      </x:c>
      <x:c r="D26" s="23" t="str">
        <x:v>MS-RT</x:v>
      </x:c>
      <x:c r="E26" s="28" t="n">
        <x:v>7600</x:v>
      </x:c>
      <x:c r="F26" s="28" t="n">
        <x:v>2052</x:v>
      </x:c>
      <x:c r="G26" s="33" t="n">
        <x:f>Controls!$D$10</x:f>
        <x:v>10</x:v>
      </x:c>
      <x:c r="H26" s="33" t="n">
        <x:f>F26*24</x:f>
        <x:v>49248</x:v>
      </x:c>
      <x:c r="I26" s="33" t="n">
        <x:f>E26*G26</x:f>
        <x:v>76000</x:v>
      </x:c>
      <x:c r="J26" s="33" t="n">
        <x:f>I26*(1-Controls!$D$9)</x:f>
        <x:v>60800</x:v>
      </x:c>
      <x:c r="K26" s="34" t="n">
        <x:f>I26/H26</x:f>
        <x:v>1.5432098765432098</x:v>
      </x:c>
      <x:c r="L26" s="34" t="n">
        <x:f>J26/H26</x:f>
        <x:v>1.2345679012345678</x:v>
      </x:c>
      <x:c r="M26" s="25" t="str">
        <x:f>IF(AND(K26&gt;=Controls!$D$7,L26&gt;=Controls!$D$8),"PASS","FAIL")</x:f>
        <x:v>PASS</x:v>
      </x:c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Hazard-envelope refuge closure</x:v>
      </x:c>
      <x:c r="D2" s="2"/>
      <x:c r="E2" s="2"/>
      <x:c r="F2" s="2"/>
      <x:c r="G2" s="2"/>
      <x:c r="H2" s="2"/>
      <x:c r="I2" s="2"/>
      <x:c r="J2" s="2"/>
      <x:c r="K2" s="2"/>
      <x:c r="L2" s="2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Protected positions cover peak declared exposure after loss of one refuge cell.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Root</x:v>
      </x:c>
      <x:c r="D6" s="18" t="str">
        <x:v>System</x:v>
      </x:c>
      <x:c r="E6" s="18" t="str">
        <x:v>Peak exposed people</x:v>
      </x:c>
      <x:c r="F6" s="18" t="str">
        <x:v>Refuge cells</x:v>
      </x:c>
      <x:c r="G6" s="18" t="str">
        <x:v>Positions/cell</x:v>
      </x:c>
      <x:c r="H6" s="18" t="str">
        <x:v>Intact protected</x:v>
      </x:c>
      <x:c r="I6" s="18" t="str">
        <x:v>After loss protected</x:v>
      </x:c>
      <x:c r="J6" s="18" t="str">
        <x:v>Intact margin</x:v>
      </x:c>
      <x:c r="K6" s="18" t="str">
        <x:v>Loss margin</x:v>
      </x:c>
      <x:c r="L6" s="18" t="str">
        <x:v>State</x:v>
      </x:c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</x:v>
      </x:c>
      <x:c r="D7" s="19" t="str">
        <x:v>MS-ET</x:v>
      </x:c>
      <x:c r="E7" s="27" t="n">
        <x:v>6000</x:v>
      </x:c>
      <x:c r="F7" s="27" t="n">
        <x:v>6</x:v>
      </x:c>
      <x:c r="G7" s="27" t="n">
        <x:v>1260</x:v>
      </x:c>
      <x:c r="H7" s="31" t="n">
        <x:f>F7*G7</x:f>
        <x:v>7560</x:v>
      </x:c>
      <x:c r="I7" s="31" t="n">
        <x:f>(F7-1)*G7</x:f>
        <x:v>6300</x:v>
      </x:c>
      <x:c r="J7" s="32" t="n">
        <x:f>H7/E7</x:f>
        <x:v>1.26</x:v>
      </x:c>
      <x:c r="K7" s="32" t="n">
        <x:f>I7/E7</x:f>
        <x:v>1.05</x:v>
      </x:c>
      <x:c r="L7" s="21" t="str">
        <x:f>IF(AND(J7&gt;=Controls!$D$7,K7&gt;=Controls!$D$8),"PASS","FAIL")</x:f>
        <x:v>PASS</x:v>
      </x:c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MS-ET|B</x:v>
      </x:c>
      <x:c r="D8" s="19" t="str">
        <x:v>MS-ET</x:v>
      </x:c>
      <x:c r="E8" s="27" t="n">
        <x:v>7200</x:v>
      </x:c>
      <x:c r="F8" s="27" t="n">
        <x:v>7</x:v>
      </x:c>
      <x:c r="G8" s="27" t="n">
        <x:v>1260</x:v>
      </x:c>
      <x:c r="H8" s="31" t="n">
        <x:f>F8*G8</x:f>
        <x:v>8820</x:v>
      </x:c>
      <x:c r="I8" s="31" t="n">
        <x:f>(F8-1)*G8</x:f>
        <x:v>7560</x:v>
      </x:c>
      <x:c r="J8" s="32" t="n">
        <x:f>H8/E8</x:f>
        <x:v>1.225</x:v>
      </x:c>
      <x:c r="K8" s="32" t="n">
        <x:f>I8/E8</x:f>
        <x:v>1.05</x:v>
      </x:c>
      <x:c r="L8" s="21" t="str">
        <x:f>IF(AND(J8&gt;=Controls!$D$7,K8&gt;=Controls!$D$8),"PASS","FAIL")</x:f>
        <x:v>PASS</x:v>
      </x:c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MS-ET|C</x:v>
      </x:c>
      <x:c r="D9" s="19" t="str">
        <x:v>MS-ET</x:v>
      </x:c>
      <x:c r="E9" s="27" t="n">
        <x:v>8000</x:v>
      </x:c>
      <x:c r="F9" s="27" t="n">
        <x:v>7</x:v>
      </x:c>
      <x:c r="G9" s="27" t="n">
        <x:v>1400</x:v>
      </x:c>
      <x:c r="H9" s="31" t="n">
        <x:f>F9*G9</x:f>
        <x:v>9800</x:v>
      </x:c>
      <x:c r="I9" s="31" t="n">
        <x:f>(F9-1)*G9</x:f>
        <x:v>8400</x:v>
      </x:c>
      <x:c r="J9" s="32" t="n">
        <x:f>H9/E9</x:f>
        <x:v>1.225</x:v>
      </x:c>
      <x:c r="K9" s="32" t="n">
        <x:f>I9/E9</x:f>
        <x:v>1.05</x:v>
      </x:c>
      <x:c r="L9" s="21" t="str">
        <x:f>IF(AND(J9&gt;=Controls!$D$7,K9&gt;=Controls!$D$8),"PASS","FAIL")</x:f>
        <x:v>PASS</x:v>
      </x:c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MS-ET|D</x:v>
      </x:c>
      <x:c r="D10" s="19" t="str">
        <x:v>MS-ET</x:v>
      </x:c>
      <x:c r="E10" s="27" t="n">
        <x:v>6200</x:v>
      </x:c>
      <x:c r="F10" s="27" t="n">
        <x:v>7</x:v>
      </x:c>
      <x:c r="G10" s="27" t="n">
        <x:v>1085</x:v>
      </x:c>
      <x:c r="H10" s="31" t="n">
        <x:f>F10*G10</x:f>
        <x:v>7595</x:v>
      </x:c>
      <x:c r="I10" s="31" t="n">
        <x:f>(F10-1)*G10</x:f>
        <x:v>6510</x:v>
      </x:c>
      <x:c r="J10" s="32" t="n">
        <x:f>H10/E10</x:f>
        <x:v>1.225</x:v>
      </x:c>
      <x:c r="K10" s="32" t="n">
        <x:f>I10/E10</x:f>
        <x:v>1.05</x:v>
      </x:c>
      <x:c r="L10" s="21" t="str">
        <x:f>IF(AND(J10&gt;=Controls!$D$7,K10&gt;=Controls!$D$8),"PASS","FAIL")</x:f>
        <x:v>PASS</x:v>
      </x:c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MS-CT|A</x:v>
      </x:c>
      <x:c r="D11" s="19" t="str">
        <x:v>MS-CT</x:v>
      </x:c>
      <x:c r="E11" s="27" t="n">
        <x:v>9500</x:v>
      </x:c>
      <x:c r="F11" s="27" t="n">
        <x:v>8</x:v>
      </x:c>
      <x:c r="G11" s="27" t="n">
        <x:v>1425</x:v>
      </x:c>
      <x:c r="H11" s="31" t="n">
        <x:f>F11*G11</x:f>
        <x:v>11400</x:v>
      </x:c>
      <x:c r="I11" s="31" t="n">
        <x:f>(F11-1)*G11</x:f>
        <x:v>9975</x:v>
      </x:c>
      <x:c r="J11" s="32" t="n">
        <x:f>H11/E11</x:f>
        <x:v>1.2</x:v>
      </x:c>
      <x:c r="K11" s="32" t="n">
        <x:f>I11/E11</x:f>
        <x:v>1.05</x:v>
      </x:c>
      <x:c r="L11" s="21" t="str">
        <x:f>IF(AND(J11&gt;=Controls!$D$7,K11&gt;=Controls!$D$8),"PASS","FAIL")</x:f>
        <x:v>PASS</x:v>
      </x:c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MS-CT|B</x:v>
      </x:c>
      <x:c r="D12" s="19" t="str">
        <x:v>MS-CT</x:v>
      </x:c>
      <x:c r="E12" s="27" t="n">
        <x:v>9800</x:v>
      </x:c>
      <x:c r="F12" s="27" t="n">
        <x:v>8</x:v>
      </x:c>
      <x:c r="G12" s="27" t="n">
        <x:v>1470</x:v>
      </x:c>
      <x:c r="H12" s="31" t="n">
        <x:f>F12*G12</x:f>
        <x:v>11760</x:v>
      </x:c>
      <x:c r="I12" s="31" t="n">
        <x:f>(F12-1)*G12</x:f>
        <x:v>10290</x:v>
      </x:c>
      <x:c r="J12" s="32" t="n">
        <x:f>H12/E12</x:f>
        <x:v>1.2</x:v>
      </x:c>
      <x:c r="K12" s="32" t="n">
        <x:f>I12/E12</x:f>
        <x:v>1.05</x:v>
      </x:c>
      <x:c r="L12" s="21" t="str">
        <x:f>IF(AND(J12&gt;=Controls!$D$7,K12&gt;=Controls!$D$8),"PASS","FAIL")</x:f>
        <x:v>PASS</x:v>
      </x:c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MS-CT|C</x:v>
      </x:c>
      <x:c r="D13" s="19" t="str">
        <x:v>MS-CT</x:v>
      </x:c>
      <x:c r="E13" s="27" t="n">
        <x:v>12000</x:v>
      </x:c>
      <x:c r="F13" s="27" t="n">
        <x:v>8</x:v>
      </x:c>
      <x:c r="G13" s="27" t="n">
        <x:v>1800</x:v>
      </x:c>
      <x:c r="H13" s="31" t="n">
        <x:f>F13*G13</x:f>
        <x:v>14400</x:v>
      </x:c>
      <x:c r="I13" s="31" t="n">
        <x:f>(F13-1)*G13</x:f>
        <x:v>12600</x:v>
      </x:c>
      <x:c r="J13" s="32" t="n">
        <x:f>H13/E13</x:f>
        <x:v>1.2</x:v>
      </x:c>
      <x:c r="K13" s="32" t="n">
        <x:f>I13/E13</x:f>
        <x:v>1.05</x:v>
      </x:c>
      <x:c r="L13" s="21" t="str">
        <x:f>IF(AND(J13&gt;=Controls!$D$7,K13&gt;=Controls!$D$8),"PASS","FAIL")</x:f>
        <x:v>PASS</x:v>
      </x:c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MS-CT|D</x:v>
      </x:c>
      <x:c r="D14" s="19" t="str">
        <x:v>MS-CT</x:v>
      </x:c>
      <x:c r="E14" s="27" t="n">
        <x:v>10500</x:v>
      </x:c>
      <x:c r="F14" s="27" t="n">
        <x:v>8</x:v>
      </x:c>
      <x:c r="G14" s="27" t="n">
        <x:v>1575</x:v>
      </x:c>
      <x:c r="H14" s="31" t="n">
        <x:f>F14*G14</x:f>
        <x:v>12600</x:v>
      </x:c>
      <x:c r="I14" s="31" t="n">
        <x:f>(F14-1)*G14</x:f>
        <x:v>11025</x:v>
      </x:c>
      <x:c r="J14" s="32" t="n">
        <x:f>H14/E14</x:f>
        <x:v>1.2</x:v>
      </x:c>
      <x:c r="K14" s="32" t="n">
        <x:f>I14/E14</x:f>
        <x:v>1.05</x:v>
      </x:c>
      <x:c r="L14" s="21" t="str">
        <x:f>IF(AND(J14&gt;=Controls!$D$7,K14&gt;=Controls!$D$8),"PASS","FAIL")</x:f>
        <x:v>PASS</x:v>
      </x:c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MS-HC|A</x:v>
      </x:c>
      <x:c r="D15" s="19" t="str">
        <x:v>MS-HC</x:v>
      </x:c>
      <x:c r="E15" s="27" t="n">
        <x:v>18000</x:v>
      </x:c>
      <x:c r="F15" s="27" t="n">
        <x:v>8</x:v>
      </x:c>
      <x:c r="G15" s="27" t="n">
        <x:v>2700</x:v>
      </x:c>
      <x:c r="H15" s="31" t="n">
        <x:f>F15*G15</x:f>
        <x:v>21600</x:v>
      </x:c>
      <x:c r="I15" s="31" t="n">
        <x:f>(F15-1)*G15</x:f>
        <x:v>18900</x:v>
      </x:c>
      <x:c r="J15" s="32" t="n">
        <x:f>H15/E15</x:f>
        <x:v>1.2</x:v>
      </x:c>
      <x:c r="K15" s="32" t="n">
        <x:f>I15/E15</x:f>
        <x:v>1.05</x:v>
      </x:c>
      <x:c r="L15" s="21" t="str">
        <x:f>IF(AND(J15&gt;=Controls!$D$7,K15&gt;=Controls!$D$8),"PASS","FAIL")</x:f>
        <x:v>PASS</x:v>
      </x:c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MS-HC|B</x:v>
      </x:c>
      <x:c r="D16" s="19" t="str">
        <x:v>MS-HC</x:v>
      </x:c>
      <x:c r="E16" s="27" t="n">
        <x:v>11000</x:v>
      </x:c>
      <x:c r="F16" s="27" t="n">
        <x:v>7</x:v>
      </x:c>
      <x:c r="G16" s="27" t="n">
        <x:v>1925</x:v>
      </x:c>
      <x:c r="H16" s="31" t="n">
        <x:f>F16*G16</x:f>
        <x:v>13475</x:v>
      </x:c>
      <x:c r="I16" s="31" t="n">
        <x:f>(F16-1)*G16</x:f>
        <x:v>11550</x:v>
      </x:c>
      <x:c r="J16" s="32" t="n">
        <x:f>H16/E16</x:f>
        <x:v>1.225</x:v>
      </x:c>
      <x:c r="K16" s="32" t="n">
        <x:f>I16/E16</x:f>
        <x:v>1.05</x:v>
      </x:c>
      <x:c r="L16" s="21" t="str">
        <x:f>IF(AND(J16&gt;=Controls!$D$7,K16&gt;=Controls!$D$8),"PASS","FAIL")</x:f>
        <x:v>PASS</x:v>
      </x:c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MS-HC|C</x:v>
      </x:c>
      <x:c r="D17" s="19" t="str">
        <x:v>MS-HC</x:v>
      </x:c>
      <x:c r="E17" s="27" t="n">
        <x:v>12500</x:v>
      </x:c>
      <x:c r="F17" s="27" t="n">
        <x:v>7</x:v>
      </x:c>
      <x:c r="G17" s="27" t="n">
        <x:v>2188</x:v>
      </x:c>
      <x:c r="H17" s="31" t="n">
        <x:f>F17*G17</x:f>
        <x:v>15316</x:v>
      </x:c>
      <x:c r="I17" s="31" t="n">
        <x:f>(F17-1)*G17</x:f>
        <x:v>13128</x:v>
      </x:c>
      <x:c r="J17" s="32" t="n">
        <x:f>H17/E17</x:f>
        <x:v>1.22528</x:v>
      </x:c>
      <x:c r="K17" s="32" t="n">
        <x:f>I17/E17</x:f>
        <x:v>1.05024</x:v>
      </x:c>
      <x:c r="L17" s="21" t="str">
        <x:f>IF(AND(J17&gt;=Controls!$D$7,K17&gt;=Controls!$D$8),"PASS","FAIL")</x:f>
        <x:v>PASS</x:v>
      </x:c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MS-HC|D</x:v>
      </x:c>
      <x:c r="D18" s="19" t="str">
        <x:v>MS-HC</x:v>
      </x:c>
      <x:c r="E18" s="27" t="n">
        <x:v>9000</x:v>
      </x:c>
      <x:c r="F18" s="27" t="n">
        <x:v>7</x:v>
      </x:c>
      <x:c r="G18" s="27" t="n">
        <x:v>1575</x:v>
      </x:c>
      <x:c r="H18" s="31" t="n">
        <x:f>F18*G18</x:f>
        <x:v>11025</x:v>
      </x:c>
      <x:c r="I18" s="31" t="n">
        <x:f>(F18-1)*G18</x:f>
        <x:v>9450</x:v>
      </x:c>
      <x:c r="J18" s="32" t="n">
        <x:f>H18/E18</x:f>
        <x:v>1.225</x:v>
      </x:c>
      <x:c r="K18" s="32" t="n">
        <x:f>I18/E18</x:f>
        <x:v>1.05</x:v>
      </x:c>
      <x:c r="L18" s="21" t="str">
        <x:f>IF(AND(J18&gt;=Controls!$D$7,K18&gt;=Controls!$D$8),"PASS","FAIL")</x:f>
        <x:v>PASS</x:v>
      </x:c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MS-HU|A</x:v>
      </x:c>
      <x:c r="D19" s="19" t="str">
        <x:v>MS-HU</x:v>
      </x:c>
      <x:c r="E19" s="27" t="n">
        <x:v>26000</x:v>
      </x:c>
      <x:c r="F19" s="27" t="n">
        <x:v>8</x:v>
      </x:c>
      <x:c r="G19" s="27" t="n">
        <x:v>3900</x:v>
      </x:c>
      <x:c r="H19" s="31" t="n">
        <x:f>F19*G19</x:f>
        <x:v>31200</x:v>
      </x:c>
      <x:c r="I19" s="31" t="n">
        <x:f>(F19-1)*G19</x:f>
        <x:v>27300</x:v>
      </x:c>
      <x:c r="J19" s="32" t="n">
        <x:f>H19/E19</x:f>
        <x:v>1.2</x:v>
      </x:c>
      <x:c r="K19" s="32" t="n">
        <x:f>I19/E19</x:f>
        <x:v>1.05</x:v>
      </x:c>
      <x:c r="L19" s="21" t="str">
        <x:f>IF(AND(J19&gt;=Controls!$D$7,K19&gt;=Controls!$D$8),"PASS","FAIL")</x:f>
        <x:v>PASS</x:v>
      </x:c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MS-HU|B</x:v>
      </x:c>
      <x:c r="D20" s="19" t="str">
        <x:v>MS-HU</x:v>
      </x:c>
      <x:c r="E20" s="27" t="n">
        <x:v>34000</x:v>
      </x:c>
      <x:c r="F20" s="27" t="n">
        <x:v>9</x:v>
      </x:c>
      <x:c r="G20" s="27" t="n">
        <x:v>4463</x:v>
      </x:c>
      <x:c r="H20" s="31" t="n">
        <x:f>F20*G20</x:f>
        <x:v>40167</x:v>
      </x:c>
      <x:c r="I20" s="31" t="n">
        <x:f>(F20-1)*G20</x:f>
        <x:v>35704</x:v>
      </x:c>
      <x:c r="J20" s="32" t="n">
        <x:f>H20/E20</x:f>
        <x:v>1.1813823529411764</x:v>
      </x:c>
      <x:c r="K20" s="32" t="n">
        <x:f>I20/E20</x:f>
        <x:v>1.0501176470588236</x:v>
      </x:c>
      <x:c r="L20" s="21" t="str">
        <x:f>IF(AND(J20&gt;=Controls!$D$7,K20&gt;=Controls!$D$8),"PASS","FAIL")</x:f>
        <x:v>PASS</x:v>
      </x:c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MS-HU|C</x:v>
      </x:c>
      <x:c r="D21" s="19" t="str">
        <x:v>MS-HU</x:v>
      </x:c>
      <x:c r="E21" s="27" t="n">
        <x:v>24000</x:v>
      </x:c>
      <x:c r="F21" s="27" t="n">
        <x:v>8</x:v>
      </x:c>
      <x:c r="G21" s="27" t="n">
        <x:v>3600</x:v>
      </x:c>
      <x:c r="H21" s="31" t="n">
        <x:f>F21*G21</x:f>
        <x:v>28800</x:v>
      </x:c>
      <x:c r="I21" s="31" t="n">
        <x:f>(F21-1)*G21</x:f>
        <x:v>25200</x:v>
      </x:c>
      <x:c r="J21" s="32" t="n">
        <x:f>H21/E21</x:f>
        <x:v>1.2</x:v>
      </x:c>
      <x:c r="K21" s="32" t="n">
        <x:f>I21/E21</x:f>
        <x:v>1.05</x:v>
      </x:c>
      <x:c r="L21" s="21" t="str">
        <x:f>IF(AND(J21&gt;=Controls!$D$7,K21&gt;=Controls!$D$8),"PASS","FAIL")</x:f>
        <x:v>PASS</x:v>
      </x:c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MS-HU|D</x:v>
      </x:c>
      <x:c r="D22" s="19" t="str">
        <x:v>MS-HU</x:v>
      </x:c>
      <x:c r="E22" s="27" t="n">
        <x:v>22000</x:v>
      </x:c>
      <x:c r="F22" s="27" t="n">
        <x:v>8</x:v>
      </x:c>
      <x:c r="G22" s="27" t="n">
        <x:v>3300</x:v>
      </x:c>
      <x:c r="H22" s="31" t="n">
        <x:f>F22*G22</x:f>
        <x:v>26400</x:v>
      </x:c>
      <x:c r="I22" s="31" t="n">
        <x:f>(F22-1)*G22</x:f>
        <x:v>23100</x:v>
      </x:c>
      <x:c r="J22" s="32" t="n">
        <x:f>H22/E22</x:f>
        <x:v>1.2</x:v>
      </x:c>
      <x:c r="K22" s="32" t="n">
        <x:f>I22/E22</x:f>
        <x:v>1.05</x:v>
      </x:c>
      <x:c r="L22" s="21" t="str">
        <x:f>IF(AND(J22&gt;=Controls!$D$7,K22&gt;=Controls!$D$8),"PASS","FAIL")</x:f>
        <x:v>PASS</x:v>
      </x:c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MS-RT|A</x:v>
      </x:c>
      <x:c r="D23" s="19" t="str">
        <x:v>MS-RT</x:v>
      </x:c>
      <x:c r="E23" s="27" t="n">
        <x:v>12500</x:v>
      </x:c>
      <x:c r="F23" s="27" t="n">
        <x:v>7</x:v>
      </x:c>
      <x:c r="G23" s="27" t="n">
        <x:v>2188</x:v>
      </x:c>
      <x:c r="H23" s="31" t="n">
        <x:f>F23*G23</x:f>
        <x:v>15316</x:v>
      </x:c>
      <x:c r="I23" s="31" t="n">
        <x:f>(F23-1)*G23</x:f>
        <x:v>13128</x:v>
      </x:c>
      <x:c r="J23" s="32" t="n">
        <x:f>H23/E23</x:f>
        <x:v>1.22528</x:v>
      </x:c>
      <x:c r="K23" s="32" t="n">
        <x:f>I23/E23</x:f>
        <x:v>1.05024</x:v>
      </x:c>
      <x:c r="L23" s="21" t="str">
        <x:f>IF(AND(J23&gt;=Controls!$D$7,K23&gt;=Controls!$D$8),"PASS","FAIL")</x:f>
        <x:v>PASS</x:v>
      </x:c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MS-RT|B</x:v>
      </x:c>
      <x:c r="D24" s="19" t="str">
        <x:v>MS-RT</x:v>
      </x:c>
      <x:c r="E24" s="27" t="n">
        <x:v>11000</x:v>
      </x:c>
      <x:c r="F24" s="27" t="n">
        <x:v>7</x:v>
      </x:c>
      <x:c r="G24" s="27" t="n">
        <x:v>1925</x:v>
      </x:c>
      <x:c r="H24" s="31" t="n">
        <x:f>F24*G24</x:f>
        <x:v>13475</x:v>
      </x:c>
      <x:c r="I24" s="31" t="n">
        <x:f>(F24-1)*G24</x:f>
        <x:v>11550</x:v>
      </x:c>
      <x:c r="J24" s="32" t="n">
        <x:f>H24/E24</x:f>
        <x:v>1.225</x:v>
      </x:c>
      <x:c r="K24" s="32" t="n">
        <x:f>I24/E24</x:f>
        <x:v>1.05</x:v>
      </x:c>
      <x:c r="L24" s="21" t="str">
        <x:f>IF(AND(J24&gt;=Controls!$D$7,K24&gt;=Controls!$D$8),"PASS","FAIL")</x:f>
        <x:v>PASS</x:v>
      </x:c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MS-RT|C</x:v>
      </x:c>
      <x:c r="D25" s="19" t="str">
        <x:v>MS-RT</x:v>
      </x:c>
      <x:c r="E25" s="27" t="n">
        <x:v>11800</x:v>
      </x:c>
      <x:c r="F25" s="27" t="n">
        <x:v>7</x:v>
      </x:c>
      <x:c r="G25" s="27" t="n">
        <x:v>2065</x:v>
      </x:c>
      <x:c r="H25" s="31" t="n">
        <x:f>F25*G25</x:f>
        <x:v>14455</x:v>
      </x:c>
      <x:c r="I25" s="31" t="n">
        <x:f>(F25-1)*G25</x:f>
        <x:v>12390</x:v>
      </x:c>
      <x:c r="J25" s="32" t="n">
        <x:f>H25/E25</x:f>
        <x:v>1.225</x:v>
      </x:c>
      <x:c r="K25" s="32" t="n">
        <x:f>I25/E25</x:f>
        <x:v>1.05</x:v>
      </x:c>
      <x:c r="L25" s="21" t="str">
        <x:f>IF(AND(J25&gt;=Controls!$D$7,K25&gt;=Controls!$D$8),"PASS","FAIL")</x:f>
        <x:v>PASS</x:v>
      </x:c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3" t="str">
        <x:v>MS-RT|D</x:v>
      </x:c>
      <x:c r="D26" s="23" t="str">
        <x:v>MS-RT</x:v>
      </x:c>
      <x:c r="E26" s="28" t="n">
        <x:v>10500</x:v>
      </x:c>
      <x:c r="F26" s="28" t="n">
        <x:v>7</x:v>
      </x:c>
      <x:c r="G26" s="28" t="n">
        <x:v>1838</x:v>
      </x:c>
      <x:c r="H26" s="33" t="n">
        <x:f>F26*G26</x:f>
        <x:v>12866</x:v>
      </x:c>
      <x:c r="I26" s="33" t="n">
        <x:f>(F26-1)*G26</x:f>
        <x:v>11028</x:v>
      </x:c>
      <x:c r="J26" s="34" t="n">
        <x:f>H26/E26</x:f>
        <x:v>1.2253333333333334</x:v>
      </x:c>
      <x:c r="K26" s="34" t="n">
        <x:f>I26/E26</x:f>
        <x:v>1.0502857142857143</x:v>
      </x:c>
      <x:c r="L26" s="25" t="str">
        <x:f>IF(AND(J26&gt;=Controls!$D$7,K26&gt;=Controls!$D$8),"PASS","FAIL")</x:f>
        <x:v>PASS</x:v>
      </x:c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9" hidden="0" customWidth="1"/>
    <x:col min="12" max="12" width="13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Public receiver capacity closure</x:v>
      </x:c>
      <x:c r="D2" s="2"/>
      <x:c r="E2" s="2"/>
      <x:c r="F2" s="2"/>
      <x:c r="G2" s="2"/>
      <x:c r="H2" s="2"/>
      <x:c r="I2" s="2"/>
      <x:c r="J2" s="2"/>
      <x:c r="K2" s="2"/>
      <x:c r="L2" s="2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Offered service cannot exceed lawful independent receiver-interface capacity.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Root</x:v>
      </x:c>
      <x:c r="D6" s="18" t="str">
        <x:v>System</x:v>
      </x:c>
      <x:c r="E6" s="18" t="str">
        <x:v>Receiver interfaces</x:v>
      </x:c>
      <x:c r="F6" s="18" t="str">
        <x:v>Capacity/interface</x:v>
      </x:c>
      <x:c r="G6" s="18" t="str">
        <x:v>Intact capacity</x:v>
      </x:c>
      <x:c r="H6" s="18" t="str">
        <x:v>After loss capacity</x:v>
      </x:c>
      <x:c r="I6" s="18" t="str">
        <x:v>Intact margin</x:v>
      </x:c>
      <x:c r="J6" s="18" t="str">
        <x:v>Loss margin</x:v>
      </x:c>
      <x:c r="K6" s="18" t="str">
        <x:v>Public seam</x:v>
      </x:c>
      <x:c r="L6" s="18" t="str">
        <x:v>State</x:v>
      </x:c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</x:v>
      </x:c>
      <x:c r="D7" s="19" t="str">
        <x:v>MS-ET</x:v>
      </x:c>
      <x:c r="E7" s="22" t="n">
        <x:v>6</x:v>
      </x:c>
      <x:c r="F7" s="46" t="n">
        <x:v>0.21000000000000002</x:v>
      </x:c>
      <x:c r="G7" s="32" t="n">
        <x:f>E7*F7</x:f>
        <x:v>1.2600000000000002</x:v>
      </x:c>
      <x:c r="H7" s="32" t="n">
        <x:f>(E7-1)*F7</x:f>
        <x:v>1.05</x:v>
      </x:c>
      <x:c r="I7" s="32" t="n">
        <x:f>G7</x:f>
        <x:v>1.2600000000000002</x:v>
      </x:c>
      <x:c r="J7" s="32" t="n">
        <x:f>H7</x:f>
        <x:v>1.05</x:v>
      </x:c>
      <x:c r="K7" s="19" t="str">
        <x:v>accepted service and custody record</x:v>
      </x:c>
      <x:c r="L7" s="21" t="str">
        <x:f>IF(AND(I7&gt;=Controls!$D$7,J7&gt;=Controls!$D$8),"PASS","FAIL")</x:f>
        <x:v>PASS</x:v>
      </x:c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MS-ET|B</x:v>
      </x:c>
      <x:c r="D8" s="19" t="str">
        <x:v>MS-ET</x:v>
      </x:c>
      <x:c r="E8" s="22" t="n">
        <x:v>8</x:v>
      </x:c>
      <x:c r="F8" s="46" t="n">
        <x:v>0.15</x:v>
      </x:c>
      <x:c r="G8" s="32" t="n">
        <x:f>E8*F8</x:f>
        <x:v>1.2</x:v>
      </x:c>
      <x:c r="H8" s="32" t="n">
        <x:f>(E8-1)*F8</x:f>
        <x:v>1.05</x:v>
      </x:c>
      <x:c r="I8" s="32" t="n">
        <x:f>G8</x:f>
        <x:v>1.2</x:v>
      </x:c>
      <x:c r="J8" s="32" t="n">
        <x:f>H8</x:f>
        <x:v>1.05</x:v>
      </x:c>
      <x:c r="K8" s="19" t="str">
        <x:v>accepted service and custody record</x:v>
      </x:c>
      <x:c r="L8" s="21" t="str">
        <x:f>IF(AND(I8&gt;=Controls!$D$7,J8&gt;=Controls!$D$8),"PASS","FAIL")</x:f>
        <x:v>PASS</x:v>
      </x:c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MS-ET|C</x:v>
      </x:c>
      <x:c r="D9" s="19" t="str">
        <x:v>MS-ET</x:v>
      </x:c>
      <x:c r="E9" s="22" t="n">
        <x:v>7</x:v>
      </x:c>
      <x:c r="F9" s="46" t="n">
        <x:v>0.17500000000000002</x:v>
      </x:c>
      <x:c r="G9" s="32" t="n">
        <x:f>E9*F9</x:f>
        <x:v>1.225</x:v>
      </x:c>
      <x:c r="H9" s="32" t="n">
        <x:f>(E9-1)*F9</x:f>
        <x:v>1.05</x:v>
      </x:c>
      <x:c r="I9" s="32" t="n">
        <x:f>G9</x:f>
        <x:v>1.225</x:v>
      </x:c>
      <x:c r="J9" s="32" t="n">
        <x:f>H9</x:f>
        <x:v>1.05</x:v>
      </x:c>
      <x:c r="K9" s="19" t="str">
        <x:v>accepted service and custody record</x:v>
      </x:c>
      <x:c r="L9" s="21" t="str">
        <x:f>IF(AND(I9&gt;=Controls!$D$7,J9&gt;=Controls!$D$8),"PASS","FAIL")</x:f>
        <x:v>PASS</x:v>
      </x:c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MS-ET|D</x:v>
      </x:c>
      <x:c r="D10" s="19" t="str">
        <x:v>MS-ET</x:v>
      </x:c>
      <x:c r="E10" s="22" t="n">
        <x:v>9</x:v>
      </x:c>
      <x:c r="F10" s="46" t="n">
        <x:v>0.13125</x:v>
      </x:c>
      <x:c r="G10" s="32" t="n">
        <x:f>E10*F10</x:f>
        <x:v>1.1812500000000001</x:v>
      </x:c>
      <x:c r="H10" s="32" t="n">
        <x:f>(E10-1)*F10</x:f>
        <x:v>1.05</x:v>
      </x:c>
      <x:c r="I10" s="32" t="n">
        <x:f>G10</x:f>
        <x:v>1.1812500000000001</x:v>
      </x:c>
      <x:c r="J10" s="32" t="n">
        <x:f>H10</x:f>
        <x:v>1.05</x:v>
      </x:c>
      <x:c r="K10" s="19" t="str">
        <x:v>accepted service and custody record</x:v>
      </x:c>
      <x:c r="L10" s="21" t="str">
        <x:f>IF(AND(I10&gt;=Controls!$D$7,J10&gt;=Controls!$D$8),"PASS","FAIL")</x:f>
        <x:v>PASS</x:v>
      </x:c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MS-CT|A</x:v>
      </x:c>
      <x:c r="D11" s="19" t="str">
        <x:v>MS-CT</x:v>
      </x:c>
      <x:c r="E11" s="22" t="n">
        <x:v>8</x:v>
      </x:c>
      <x:c r="F11" s="46" t="n">
        <x:v>0.15</x:v>
      </x:c>
      <x:c r="G11" s="32" t="n">
        <x:f>E11*F11</x:f>
        <x:v>1.2</x:v>
      </x:c>
      <x:c r="H11" s="32" t="n">
        <x:f>(E11-1)*F11</x:f>
        <x:v>1.05</x:v>
      </x:c>
      <x:c r="I11" s="32" t="n">
        <x:f>G11</x:f>
        <x:v>1.2</x:v>
      </x:c>
      <x:c r="J11" s="32" t="n">
        <x:f>H11</x:f>
        <x:v>1.05</x:v>
      </x:c>
      <x:c r="K11" s="19" t="str">
        <x:v>accepted service and custody record</x:v>
      </x:c>
      <x:c r="L11" s="21" t="str">
        <x:f>IF(AND(I11&gt;=Controls!$D$7,J11&gt;=Controls!$D$8),"PASS","FAIL")</x:f>
        <x:v>PASS</x:v>
      </x:c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MS-CT|B</x:v>
      </x:c>
      <x:c r="D12" s="19" t="str">
        <x:v>MS-CT</x:v>
      </x:c>
      <x:c r="E12" s="22" t="n">
        <x:v>9</x:v>
      </x:c>
      <x:c r="F12" s="46" t="n">
        <x:v>0.13125</x:v>
      </x:c>
      <x:c r="G12" s="32" t="n">
        <x:f>E12*F12</x:f>
        <x:v>1.1812500000000001</x:v>
      </x:c>
      <x:c r="H12" s="32" t="n">
        <x:f>(E12-1)*F12</x:f>
        <x:v>1.05</x:v>
      </x:c>
      <x:c r="I12" s="32" t="n">
        <x:f>G12</x:f>
        <x:v>1.1812500000000001</x:v>
      </x:c>
      <x:c r="J12" s="32" t="n">
        <x:f>H12</x:f>
        <x:v>1.05</x:v>
      </x:c>
      <x:c r="K12" s="19" t="str">
        <x:v>accepted service and custody record</x:v>
      </x:c>
      <x:c r="L12" s="21" t="str">
        <x:f>IF(AND(I12&gt;=Controls!$D$7,J12&gt;=Controls!$D$8),"PASS","FAIL")</x:f>
        <x:v>PASS</x:v>
      </x:c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MS-CT|C</x:v>
      </x:c>
      <x:c r="D13" s="19" t="str">
        <x:v>MS-CT</x:v>
      </x:c>
      <x:c r="E13" s="22" t="n">
        <x:v>8</x:v>
      </x:c>
      <x:c r="F13" s="46" t="n">
        <x:v>0.15</x:v>
      </x:c>
      <x:c r="G13" s="32" t="n">
        <x:f>E13*F13</x:f>
        <x:v>1.2</x:v>
      </x:c>
      <x:c r="H13" s="32" t="n">
        <x:f>(E13-1)*F13</x:f>
        <x:v>1.05</x:v>
      </x:c>
      <x:c r="I13" s="32" t="n">
        <x:f>G13</x:f>
        <x:v>1.2</x:v>
      </x:c>
      <x:c r="J13" s="32" t="n">
        <x:f>H13</x:f>
        <x:v>1.05</x:v>
      </x:c>
      <x:c r="K13" s="19" t="str">
        <x:v>accepted service and custody record</x:v>
      </x:c>
      <x:c r="L13" s="21" t="str">
        <x:f>IF(AND(I13&gt;=Controls!$D$7,J13&gt;=Controls!$D$8),"PASS","FAIL")</x:f>
        <x:v>PASS</x:v>
      </x:c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MS-CT|D</x:v>
      </x:c>
      <x:c r="D14" s="19" t="str">
        <x:v>MS-CT</x:v>
      </x:c>
      <x:c r="E14" s="22" t="n">
        <x:v>10</x:v>
      </x:c>
      <x:c r="F14" s="46" t="n">
        <x:v>0.11666666666666667</x:v>
      </x:c>
      <x:c r="G14" s="32" t="n">
        <x:f>E14*F14</x:f>
        <x:v>1.1666666666666667</x:v>
      </x:c>
      <x:c r="H14" s="32" t="n">
        <x:f>(E14-1)*F14</x:f>
        <x:v>1.05</x:v>
      </x:c>
      <x:c r="I14" s="32" t="n">
        <x:f>G14</x:f>
        <x:v>1.1666666666666667</x:v>
      </x:c>
      <x:c r="J14" s="32" t="n">
        <x:f>H14</x:f>
        <x:v>1.05</x:v>
      </x:c>
      <x:c r="K14" s="19" t="str">
        <x:v>accepted service and custody record</x:v>
      </x:c>
      <x:c r="L14" s="21" t="str">
        <x:f>IF(AND(I14&gt;=Controls!$D$7,J14&gt;=Controls!$D$8),"PASS","FAIL")</x:f>
        <x:v>PASS</x:v>
      </x:c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MS-HC|A</x:v>
      </x:c>
      <x:c r="D15" s="19" t="str">
        <x:v>MS-HC</x:v>
      </x:c>
      <x:c r="E15" s="22" t="n">
        <x:v>8</x:v>
      </x:c>
      <x:c r="F15" s="46" t="n">
        <x:v>0.15</x:v>
      </x:c>
      <x:c r="G15" s="32" t="n">
        <x:f>E15*F15</x:f>
        <x:v>1.2</x:v>
      </x:c>
      <x:c r="H15" s="32" t="n">
        <x:f>(E15-1)*F15</x:f>
        <x:v>1.05</x:v>
      </x:c>
      <x:c r="I15" s="32" t="n">
        <x:f>G15</x:f>
        <x:v>1.2</x:v>
      </x:c>
      <x:c r="J15" s="32" t="n">
        <x:f>H15</x:f>
        <x:v>1.05</x:v>
      </x:c>
      <x:c r="K15" s="19" t="str">
        <x:v>accepted service and custody record</x:v>
      </x:c>
      <x:c r="L15" s="21" t="str">
        <x:f>IF(AND(I15&gt;=Controls!$D$7,J15&gt;=Controls!$D$8),"PASS","FAIL")</x:f>
        <x:v>PASS</x:v>
      </x:c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MS-HC|B</x:v>
      </x:c>
      <x:c r="D16" s="19" t="str">
        <x:v>MS-HC</x:v>
      </x:c>
      <x:c r="E16" s="22" t="n">
        <x:v>7</x:v>
      </x:c>
      <x:c r="F16" s="46" t="n">
        <x:v>0.17500000000000002</x:v>
      </x:c>
      <x:c r="G16" s="32" t="n">
        <x:f>E16*F16</x:f>
        <x:v>1.225</x:v>
      </x:c>
      <x:c r="H16" s="32" t="n">
        <x:f>(E16-1)*F16</x:f>
        <x:v>1.05</x:v>
      </x:c>
      <x:c r="I16" s="32" t="n">
        <x:f>G16</x:f>
        <x:v>1.225</x:v>
      </x:c>
      <x:c r="J16" s="32" t="n">
        <x:f>H16</x:f>
        <x:v>1.05</x:v>
      </x:c>
      <x:c r="K16" s="19" t="str">
        <x:v>accepted service and custody record</x:v>
      </x:c>
      <x:c r="L16" s="21" t="str">
        <x:f>IF(AND(I16&gt;=Controls!$D$7,J16&gt;=Controls!$D$8),"PASS","FAIL")</x:f>
        <x:v>PASS</x:v>
      </x:c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MS-HC|C</x:v>
      </x:c>
      <x:c r="D17" s="19" t="str">
        <x:v>MS-HC</x:v>
      </x:c>
      <x:c r="E17" s="22" t="n">
        <x:v>7</x:v>
      </x:c>
      <x:c r="F17" s="46" t="n">
        <x:v>0.17500000000000002</x:v>
      </x:c>
      <x:c r="G17" s="32" t="n">
        <x:f>E17*F17</x:f>
        <x:v>1.225</x:v>
      </x:c>
      <x:c r="H17" s="32" t="n">
        <x:f>(E17-1)*F17</x:f>
        <x:v>1.05</x:v>
      </x:c>
      <x:c r="I17" s="32" t="n">
        <x:f>G17</x:f>
        <x:v>1.225</x:v>
      </x:c>
      <x:c r="J17" s="32" t="n">
        <x:f>H17</x:f>
        <x:v>1.05</x:v>
      </x:c>
      <x:c r="K17" s="19" t="str">
        <x:v>accepted service and custody record</x:v>
      </x:c>
      <x:c r="L17" s="21" t="str">
        <x:f>IF(AND(I17&gt;=Controls!$D$7,J17&gt;=Controls!$D$8),"PASS","FAIL")</x:f>
        <x:v>PASS</x:v>
      </x:c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MS-HC|D</x:v>
      </x:c>
      <x:c r="D18" s="19" t="str">
        <x:v>MS-HC</x:v>
      </x:c>
      <x:c r="E18" s="22" t="n">
        <x:v>9</x:v>
      </x:c>
      <x:c r="F18" s="46" t="n">
        <x:v>0.13125</x:v>
      </x:c>
      <x:c r="G18" s="32" t="n">
        <x:f>E18*F18</x:f>
        <x:v>1.1812500000000001</x:v>
      </x:c>
      <x:c r="H18" s="32" t="n">
        <x:f>(E18-1)*F18</x:f>
        <x:v>1.05</x:v>
      </x:c>
      <x:c r="I18" s="32" t="n">
        <x:f>G18</x:f>
        <x:v>1.1812500000000001</x:v>
      </x:c>
      <x:c r="J18" s="32" t="n">
        <x:f>H18</x:f>
        <x:v>1.05</x:v>
      </x:c>
      <x:c r="K18" s="19" t="str">
        <x:v>accepted service and custody record</x:v>
      </x:c>
      <x:c r="L18" s="21" t="str">
        <x:f>IF(AND(I18&gt;=Controls!$D$7,J18&gt;=Controls!$D$8),"PASS","FAIL")</x:f>
        <x:v>PASS</x:v>
      </x:c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MS-HU|A</x:v>
      </x:c>
      <x:c r="D19" s="19" t="str">
        <x:v>MS-HU</x:v>
      </x:c>
      <x:c r="E19" s="22" t="n">
        <x:v>8</x:v>
      </x:c>
      <x:c r="F19" s="46" t="n">
        <x:v>0.15</x:v>
      </x:c>
      <x:c r="G19" s="32" t="n">
        <x:f>E19*F19</x:f>
        <x:v>1.2</x:v>
      </x:c>
      <x:c r="H19" s="32" t="n">
        <x:f>(E19-1)*F19</x:f>
        <x:v>1.05</x:v>
      </x:c>
      <x:c r="I19" s="32" t="n">
        <x:f>G19</x:f>
        <x:v>1.2</x:v>
      </x:c>
      <x:c r="J19" s="32" t="n">
        <x:f>H19</x:f>
        <x:v>1.05</x:v>
      </x:c>
      <x:c r="K19" s="19" t="str">
        <x:v>accepted person-state transition</x:v>
      </x:c>
      <x:c r="L19" s="21" t="str">
        <x:f>IF(AND(I19&gt;=Controls!$D$7,J19&gt;=Controls!$D$8),"PASS","FAIL")</x:f>
        <x:v>PASS</x:v>
      </x:c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MS-HU|B</x:v>
      </x:c>
      <x:c r="D20" s="19" t="str">
        <x:v>MS-HU</x:v>
      </x:c>
      <x:c r="E20" s="22" t="n">
        <x:v>10</x:v>
      </x:c>
      <x:c r="F20" s="46" t="n">
        <x:v>0.11666666666666667</x:v>
      </x:c>
      <x:c r="G20" s="32" t="n">
        <x:f>E20*F20</x:f>
        <x:v>1.1666666666666667</x:v>
      </x:c>
      <x:c r="H20" s="32" t="n">
        <x:f>(E20-1)*F20</x:f>
        <x:v>1.05</x:v>
      </x:c>
      <x:c r="I20" s="32" t="n">
        <x:f>G20</x:f>
        <x:v>1.1666666666666667</x:v>
      </x:c>
      <x:c r="J20" s="32" t="n">
        <x:f>H20</x:f>
        <x:v>1.05</x:v>
      </x:c>
      <x:c r="K20" s="19" t="str">
        <x:v>accepted person-state transition</x:v>
      </x:c>
      <x:c r="L20" s="21" t="str">
        <x:f>IF(AND(I20&gt;=Controls!$D$7,J20&gt;=Controls!$D$8),"PASS","FAIL")</x:f>
        <x:v>PASS</x:v>
      </x:c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MS-HU|C</x:v>
      </x:c>
      <x:c r="D21" s="19" t="str">
        <x:v>MS-HU</x:v>
      </x:c>
      <x:c r="E21" s="22" t="n">
        <x:v>9</x:v>
      </x:c>
      <x:c r="F21" s="46" t="n">
        <x:v>0.13125</x:v>
      </x:c>
      <x:c r="G21" s="32" t="n">
        <x:f>E21*F21</x:f>
        <x:v>1.1812500000000001</x:v>
      </x:c>
      <x:c r="H21" s="32" t="n">
        <x:f>(E21-1)*F21</x:f>
        <x:v>1.05</x:v>
      </x:c>
      <x:c r="I21" s="32" t="n">
        <x:f>G21</x:f>
        <x:v>1.1812500000000001</x:v>
      </x:c>
      <x:c r="J21" s="32" t="n">
        <x:f>H21</x:f>
        <x:v>1.05</x:v>
      </x:c>
      <x:c r="K21" s="19" t="str">
        <x:v>accepted person-state transition</x:v>
      </x:c>
      <x:c r="L21" s="21" t="str">
        <x:f>IF(AND(I21&gt;=Controls!$D$7,J21&gt;=Controls!$D$8),"PASS","FAIL")</x:f>
        <x:v>PASS</x:v>
      </x:c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MS-HU|D</x:v>
      </x:c>
      <x:c r="D22" s="19" t="str">
        <x:v>MS-HU</x:v>
      </x:c>
      <x:c r="E22" s="22" t="n">
        <x:v>8</x:v>
      </x:c>
      <x:c r="F22" s="46" t="n">
        <x:v>0.15</x:v>
      </x:c>
      <x:c r="G22" s="32" t="n">
        <x:f>E22*F22</x:f>
        <x:v>1.2</x:v>
      </x:c>
      <x:c r="H22" s="32" t="n">
        <x:f>(E22-1)*F22</x:f>
        <x:v>1.05</x:v>
      </x:c>
      <x:c r="I22" s="32" t="n">
        <x:f>G22</x:f>
        <x:v>1.2</x:v>
      </x:c>
      <x:c r="J22" s="32" t="n">
        <x:f>H22</x:f>
        <x:v>1.05</x:v>
      </x:c>
      <x:c r="K22" s="19" t="str">
        <x:v>accepted person-state transition</x:v>
      </x:c>
      <x:c r="L22" s="21" t="str">
        <x:f>IF(AND(I22&gt;=Controls!$D$7,J22&gt;=Controls!$D$8),"PASS","FAIL")</x:f>
        <x:v>PASS</x:v>
      </x:c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MS-RT|A</x:v>
      </x:c>
      <x:c r="D23" s="19" t="str">
        <x:v>MS-RT</x:v>
      </x:c>
      <x:c r="E23" s="22" t="n">
        <x:v>7</x:v>
      </x:c>
      <x:c r="F23" s="46" t="n">
        <x:v>0.17500000000000002</x:v>
      </x:c>
      <x:c r="G23" s="32" t="n">
        <x:f>E23*F23</x:f>
        <x:v>1.225</x:v>
      </x:c>
      <x:c r="H23" s="32" t="n">
        <x:f>(E23-1)*F23</x:f>
        <x:v>1.05</x:v>
      </x:c>
      <x:c r="I23" s="32" t="n">
        <x:f>G23</x:f>
        <x:v>1.225</x:v>
      </x:c>
      <x:c r="J23" s="32" t="n">
        <x:f>H23</x:f>
        <x:v>1.05</x:v>
      </x:c>
      <x:c r="K23" s="19" t="str">
        <x:v>accepted service and custody record</x:v>
      </x:c>
      <x:c r="L23" s="21" t="str">
        <x:f>IF(AND(I23&gt;=Controls!$D$7,J23&gt;=Controls!$D$8),"PASS","FAIL")</x:f>
        <x:v>PASS</x:v>
      </x:c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MS-RT|B</x:v>
      </x:c>
      <x:c r="D24" s="19" t="str">
        <x:v>MS-RT</x:v>
      </x:c>
      <x:c r="E24" s="22" t="n">
        <x:v>9</x:v>
      </x:c>
      <x:c r="F24" s="46" t="n">
        <x:v>0.13125</x:v>
      </x:c>
      <x:c r="G24" s="32" t="n">
        <x:f>E24*F24</x:f>
        <x:v>1.1812500000000001</x:v>
      </x:c>
      <x:c r="H24" s="32" t="n">
        <x:f>(E24-1)*F24</x:f>
        <x:v>1.05</x:v>
      </x:c>
      <x:c r="I24" s="32" t="n">
        <x:f>G24</x:f>
        <x:v>1.1812500000000001</x:v>
      </x:c>
      <x:c r="J24" s="32" t="n">
        <x:f>H24</x:f>
        <x:v>1.05</x:v>
      </x:c>
      <x:c r="K24" s="19" t="str">
        <x:v>accepted service and custody record</x:v>
      </x:c>
      <x:c r="L24" s="21" t="str">
        <x:f>IF(AND(I24&gt;=Controls!$D$7,J24&gt;=Controls!$D$8),"PASS","FAIL")</x:f>
        <x:v>PASS</x:v>
      </x:c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MS-RT|C</x:v>
      </x:c>
      <x:c r="D25" s="19" t="str">
        <x:v>MS-RT</x:v>
      </x:c>
      <x:c r="E25" s="22" t="n">
        <x:v>9</x:v>
      </x:c>
      <x:c r="F25" s="46" t="n">
        <x:v>0.13125</x:v>
      </x:c>
      <x:c r="G25" s="32" t="n">
        <x:f>E25*F25</x:f>
        <x:v>1.1812500000000001</x:v>
      </x:c>
      <x:c r="H25" s="32" t="n">
        <x:f>(E25-1)*F25</x:f>
        <x:v>1.05</x:v>
      </x:c>
      <x:c r="I25" s="32" t="n">
        <x:f>G25</x:f>
        <x:v>1.1812500000000001</x:v>
      </x:c>
      <x:c r="J25" s="32" t="n">
        <x:f>H25</x:f>
        <x:v>1.05</x:v>
      </x:c>
      <x:c r="K25" s="19" t="str">
        <x:v>accepted service and custody record</x:v>
      </x:c>
      <x:c r="L25" s="21" t="str">
        <x:f>IF(AND(I25&gt;=Controls!$D$7,J25&gt;=Controls!$D$8),"PASS","FAIL")</x:f>
        <x:v>PASS</x:v>
      </x:c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3" t="str">
        <x:v>MS-RT|D</x:v>
      </x:c>
      <x:c r="D26" s="23" t="str">
        <x:v>MS-RT</x:v>
      </x:c>
      <x:c r="E26" s="24" t="n">
        <x:v>8</x:v>
      </x:c>
      <x:c r="F26" s="47" t="n">
        <x:v>0.15</x:v>
      </x:c>
      <x:c r="G26" s="34" t="n">
        <x:f>E26*F26</x:f>
        <x:v>1.2</x:v>
      </x:c>
      <x:c r="H26" s="34" t="n">
        <x:f>(E26-1)*F26</x:f>
        <x:v>1.05</x:v>
      </x:c>
      <x:c r="I26" s="34" t="n">
        <x:f>G26</x:f>
        <x:v>1.2</x:v>
      </x:c>
      <x:c r="J26" s="34" t="n">
        <x:f>H26</x:f>
        <x:v>1.05</x:v>
      </x:c>
      <x:c r="K26" s="23" t="str">
        <x:v>accepted service and custody record</x:v>
      </x:c>
      <x:c r="L26" s="25" t="str">
        <x:f>IF(AND(I26&gt;=Controls!$D$7,J26&gt;=Controls!$D$8),"PASS","FAIL")</x:f>
        <x:v>PASS</x:v>
      </x:c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Residual treatment and isolation closure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Every root owns daily treatment and a distributed isolation buffer through receiver refusal.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Root</x:v>
      </x:c>
      <x:c r="D6" s="18" t="str">
        <x:v>System</x:v>
      </x:c>
      <x:c r="E6" s="18" t="str">
        <x:v>Generated t/day</x:v>
      </x:c>
      <x:c r="F6" s="18" t="str">
        <x:v>Treatment cells</x:v>
      </x:c>
      <x:c r="G6" s="18" t="str">
        <x:v>t/day/cell</x:v>
      </x:c>
      <x:c r="H6" s="18" t="str">
        <x:v>Intact treatment</x:v>
      </x:c>
      <x:c r="I6" s="18" t="str">
        <x:v>After loss treatment</x:v>
      </x:c>
      <x:c r="J6" s="18" t="str">
        <x:v>Hold required days</x:v>
      </x:c>
      <x:c r="K6" s="18" t="str">
        <x:v>Buffer total t</x:v>
      </x:c>
      <x:c r="L6" s="18" t="str">
        <x:v>Buffer after loss t</x:v>
      </x:c>
      <x:c r="M6" s="18" t="str">
        <x:v>Intact margin</x:v>
      </x:c>
      <x:c r="N6" s="18" t="str">
        <x:v>Loss margin</x:v>
      </x:c>
      <x:c r="O6" s="18" t="str">
        <x:v>State</x:v>
      </x:c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</x:v>
      </x:c>
      <x:c r="D7" s="19" t="str">
        <x:v>MS-ET</x:v>
      </x:c>
      <x:c r="E7" s="40" t="n">
        <x:v>1200</x:v>
      </x:c>
      <x:c r="F7" s="40" t="n">
        <x:v>6</x:v>
      </x:c>
      <x:c r="G7" s="40" t="n">
        <x:v>252</x:v>
      </x:c>
      <x:c r="H7" s="39" t="n">
        <x:f>F7*G7</x:f>
        <x:v>1512</x:v>
      </x:c>
      <x:c r="I7" s="39" t="n">
        <x:f>(F7-1)*G7</x:f>
        <x:v>1260</x:v>
      </x:c>
      <x:c r="J7" s="19" t="n">
        <x:f>Controls!$D$11</x:f>
        <x:v>3</x:v>
      </x:c>
      <x:c r="K7" s="27" t="n">
        <x:v>4800</x:v>
      </x:c>
      <x:c r="L7" s="31" t="n">
        <x:f>K7*(F7-1)/F7</x:f>
        <x:v>4000</x:v>
      </x:c>
      <x:c r="M7" s="32" t="n">
        <x:f>MIN(H7/E7,K7/(E7*J7))</x:f>
        <x:v>1.26</x:v>
      </x:c>
      <x:c r="N7" s="32" t="n">
        <x:f>MIN(I7/E7,L7/(E7*J7))</x:f>
        <x:v>1.05</x:v>
      </x:c>
      <x:c r="O7" s="21" t="str">
        <x:f>IF(AND(M7&gt;=Controls!$D$7,N7&gt;=Controls!$D$8),"PASS","FAIL")</x:f>
        <x:v>PASS</x:v>
      </x:c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MS-ET|B</x:v>
      </x:c>
      <x:c r="D8" s="19" t="str">
        <x:v>MS-ET</x:v>
      </x:c>
      <x:c r="E8" s="40" t="n">
        <x:v>800</x:v>
      </x:c>
      <x:c r="F8" s="40" t="n">
        <x:v>6</x:v>
      </x:c>
      <x:c r="G8" s="40" t="n">
        <x:v>168</x:v>
      </x:c>
      <x:c r="H8" s="39" t="n">
        <x:f>F8*G8</x:f>
        <x:v>1008</x:v>
      </x:c>
      <x:c r="I8" s="39" t="n">
        <x:f>(F8-1)*G8</x:f>
        <x:v>840</x:v>
      </x:c>
      <x:c r="J8" s="19" t="n">
        <x:f>Controls!$D$11</x:f>
        <x:v>3</x:v>
      </x:c>
      <x:c r="K8" s="27" t="n">
        <x:v>3200</x:v>
      </x:c>
      <x:c r="L8" s="31" t="n">
        <x:f>K8*(F8-1)/F8</x:f>
        <x:v>2666.6666666666665</x:v>
      </x:c>
      <x:c r="M8" s="32" t="n">
        <x:f>MIN(H8/E8,K8/(E8*J8))</x:f>
        <x:v>1.26</x:v>
      </x:c>
      <x:c r="N8" s="32" t="n">
        <x:f>MIN(I8/E8,L8/(E8*J8))</x:f>
        <x:v>1.05</x:v>
      </x:c>
      <x:c r="O8" s="21" t="str">
        <x:f>IF(AND(M8&gt;=Controls!$D$7,N8&gt;=Controls!$D$8),"PASS","FAIL")</x:f>
        <x:v>PASS</x:v>
      </x:c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MS-ET|C</x:v>
      </x:c>
      <x:c r="D9" s="19" t="str">
        <x:v>MS-ET</x:v>
      </x:c>
      <x:c r="E9" s="40" t="n">
        <x:v>1400</x:v>
      </x:c>
      <x:c r="F9" s="40" t="n">
        <x:v>6</x:v>
      </x:c>
      <x:c r="G9" s="40" t="n">
        <x:v>294</x:v>
      </x:c>
      <x:c r="H9" s="39" t="n">
        <x:f>F9*G9</x:f>
        <x:v>1764</x:v>
      </x:c>
      <x:c r="I9" s="39" t="n">
        <x:f>(F9-1)*G9</x:f>
        <x:v>1470</x:v>
      </x:c>
      <x:c r="J9" s="19" t="n">
        <x:f>Controls!$D$11</x:f>
        <x:v>3</x:v>
      </x:c>
      <x:c r="K9" s="27" t="n">
        <x:v>5600</x:v>
      </x:c>
      <x:c r="L9" s="31" t="n">
        <x:f>K9*(F9-1)/F9</x:f>
        <x:v>4666.666666666667</x:v>
      </x:c>
      <x:c r="M9" s="32" t="n">
        <x:f>MIN(H9/E9,K9/(E9*J9))</x:f>
        <x:v>1.26</x:v>
      </x:c>
      <x:c r="N9" s="32" t="n">
        <x:f>MIN(I9/E9,L9/(E9*J9))</x:f>
        <x:v>1.05</x:v>
      </x:c>
      <x:c r="O9" s="21" t="str">
        <x:f>IF(AND(M9&gt;=Controls!$D$7,N9&gt;=Controls!$D$8),"PASS","FAIL")</x:f>
        <x:v>PASS</x:v>
      </x:c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MS-ET|D</x:v>
      </x:c>
      <x:c r="D10" s="19" t="str">
        <x:v>MS-ET</x:v>
      </x:c>
      <x:c r="E10" s="40" t="n">
        <x:v>900</x:v>
      </x:c>
      <x:c r="F10" s="40" t="n">
        <x:v>6</x:v>
      </x:c>
      <x:c r="G10" s="40" t="n">
        <x:v>189</x:v>
      </x:c>
      <x:c r="H10" s="39" t="n">
        <x:f>F10*G10</x:f>
        <x:v>1134</x:v>
      </x:c>
      <x:c r="I10" s="39" t="n">
        <x:f>(F10-1)*G10</x:f>
        <x:v>945</x:v>
      </x:c>
      <x:c r="J10" s="19" t="n">
        <x:f>Controls!$D$11</x:f>
        <x:v>3</x:v>
      </x:c>
      <x:c r="K10" s="27" t="n">
        <x:v>3600</x:v>
      </x:c>
      <x:c r="L10" s="31" t="n">
        <x:f>K10*(F10-1)/F10</x:f>
        <x:v>3000</x:v>
      </x:c>
      <x:c r="M10" s="32" t="n">
        <x:f>MIN(H10/E10,K10/(E10*J10))</x:f>
        <x:v>1.26</x:v>
      </x:c>
      <x:c r="N10" s="32" t="n">
        <x:f>MIN(I10/E10,L10/(E10*J10))</x:f>
        <x:v>1.05</x:v>
      </x:c>
      <x:c r="O10" s="21" t="str">
        <x:f>IF(AND(M10&gt;=Controls!$D$7,N10&gt;=Controls!$D$8),"PASS","FAIL")</x:f>
        <x:v>PASS</x:v>
      </x:c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MS-CT|A</x:v>
      </x:c>
      <x:c r="D11" s="19" t="str">
        <x:v>MS-CT</x:v>
      </x:c>
      <x:c r="E11" s="40" t="n">
        <x:v>120</x:v>
      </x:c>
      <x:c r="F11" s="40" t="n">
        <x:v>6</x:v>
      </x:c>
      <x:c r="G11" s="40" t="n">
        <x:v>25.2</x:v>
      </x:c>
      <x:c r="H11" s="39" t="n">
        <x:f>F11*G11</x:f>
        <x:v>151.2</x:v>
      </x:c>
      <x:c r="I11" s="39" t="n">
        <x:f>(F11-1)*G11</x:f>
        <x:v>126</x:v>
      </x:c>
      <x:c r="J11" s="19" t="n">
        <x:f>Controls!$D$11</x:f>
        <x:v>3</x:v>
      </x:c>
      <x:c r="K11" s="27" t="n">
        <x:v>480</x:v>
      </x:c>
      <x:c r="L11" s="31" t="n">
        <x:f>K11*(F11-1)/F11</x:f>
        <x:v>400</x:v>
      </x:c>
      <x:c r="M11" s="32" t="n">
        <x:f>MIN(H11/E11,K11/(E11*J11))</x:f>
        <x:v>1.26</x:v>
      </x:c>
      <x:c r="N11" s="32" t="n">
        <x:f>MIN(I11/E11,L11/(E11*J11))</x:f>
        <x:v>1.05</x:v>
      </x:c>
      <x:c r="O11" s="21" t="str">
        <x:f>IF(AND(M11&gt;=Controls!$D$7,N11&gt;=Controls!$D$8),"PASS","FAIL")</x:f>
        <x:v>PASS</x:v>
      </x:c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MS-CT|B</x:v>
      </x:c>
      <x:c r="D12" s="19" t="str">
        <x:v>MS-CT</x:v>
      </x:c>
      <x:c r="E12" s="40" t="n">
        <x:v>150</x:v>
      </x:c>
      <x:c r="F12" s="40" t="n">
        <x:v>6</x:v>
      </x:c>
      <x:c r="G12" s="40" t="n">
        <x:v>31.5</x:v>
      </x:c>
      <x:c r="H12" s="39" t="n">
        <x:f>F12*G12</x:f>
        <x:v>189</x:v>
      </x:c>
      <x:c r="I12" s="39" t="n">
        <x:f>(F12-1)*G12</x:f>
        <x:v>157.5</x:v>
      </x:c>
      <x:c r="J12" s="19" t="n">
        <x:f>Controls!$D$11</x:f>
        <x:v>3</x:v>
      </x:c>
      <x:c r="K12" s="27" t="n">
        <x:v>600</x:v>
      </x:c>
      <x:c r="L12" s="31" t="n">
        <x:f>K12*(F12-1)/F12</x:f>
        <x:v>500</x:v>
      </x:c>
      <x:c r="M12" s="32" t="n">
        <x:f>MIN(H12/E12,K12/(E12*J12))</x:f>
        <x:v>1.26</x:v>
      </x:c>
      <x:c r="N12" s="32" t="n">
        <x:f>MIN(I12/E12,L12/(E12*J12))</x:f>
        <x:v>1.05</x:v>
      </x:c>
      <x:c r="O12" s="21" t="str">
        <x:f>IF(AND(M12&gt;=Controls!$D$7,N12&gt;=Controls!$D$8),"PASS","FAIL")</x:f>
        <x:v>PASS</x:v>
      </x:c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MS-CT|C</x:v>
      </x:c>
      <x:c r="D13" s="19" t="str">
        <x:v>MS-CT</x:v>
      </x:c>
      <x:c r="E13" s="40" t="n">
        <x:v>220</x:v>
      </x:c>
      <x:c r="F13" s="40" t="n">
        <x:v>6</x:v>
      </x:c>
      <x:c r="G13" s="40" t="n">
        <x:v>46.2</x:v>
      </x:c>
      <x:c r="H13" s="39" t="n">
        <x:f>F13*G13</x:f>
        <x:v>277.20000000000005</x:v>
      </x:c>
      <x:c r="I13" s="39" t="n">
        <x:f>(F13-1)*G13</x:f>
        <x:v>231</x:v>
      </x:c>
      <x:c r="J13" s="19" t="n">
        <x:f>Controls!$D$11</x:f>
        <x:v>3</x:v>
      </x:c>
      <x:c r="K13" s="27" t="n">
        <x:v>880</x:v>
      </x:c>
      <x:c r="L13" s="31" t="n">
        <x:f>K13*(F13-1)/F13</x:f>
        <x:v>733.3333333333334</x:v>
      </x:c>
      <x:c r="M13" s="32" t="n">
        <x:f>MIN(H13/E13,K13/(E13*J13))</x:f>
        <x:v>1.2600000000000002</x:v>
      </x:c>
      <x:c r="N13" s="32" t="n">
        <x:f>MIN(I13/E13,L13/(E13*J13))</x:f>
        <x:v>1.05</x:v>
      </x:c>
      <x:c r="O13" s="21" t="str">
        <x:f>IF(AND(M13&gt;=Controls!$D$7,N13&gt;=Controls!$D$8),"PASS","FAIL")</x:f>
        <x:v>PASS</x:v>
      </x:c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MS-CT|D</x:v>
      </x:c>
      <x:c r="D14" s="19" t="str">
        <x:v>MS-CT</x:v>
      </x:c>
      <x:c r="E14" s="40" t="n">
        <x:v>180</x:v>
      </x:c>
      <x:c r="F14" s="40" t="n">
        <x:v>6</x:v>
      </x:c>
      <x:c r="G14" s="40" t="n">
        <x:v>37.8</x:v>
      </x:c>
      <x:c r="H14" s="39" t="n">
        <x:f>F14*G14</x:f>
        <x:v>226.79999999999998</x:v>
      </x:c>
      <x:c r="I14" s="39" t="n">
        <x:f>(F14-1)*G14</x:f>
        <x:v>189</x:v>
      </x:c>
      <x:c r="J14" s="19" t="n">
        <x:f>Controls!$D$11</x:f>
        <x:v>3</x:v>
      </x:c>
      <x:c r="K14" s="27" t="n">
        <x:v>720</x:v>
      </x:c>
      <x:c r="L14" s="31" t="n">
        <x:f>K14*(F14-1)/F14</x:f>
        <x:v>600</x:v>
      </x:c>
      <x:c r="M14" s="32" t="n">
        <x:f>MIN(H14/E14,K14/(E14*J14))</x:f>
        <x:v>1.26</x:v>
      </x:c>
      <x:c r="N14" s="32" t="n">
        <x:f>MIN(I14/E14,L14/(E14*J14))</x:f>
        <x:v>1.05</x:v>
      </x:c>
      <x:c r="O14" s="21" t="str">
        <x:f>IF(AND(M14&gt;=Controls!$D$7,N14&gt;=Controls!$D$8),"PASS","FAIL")</x:f>
        <x:v>PASS</x:v>
      </x:c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MS-HC|A</x:v>
      </x:c>
      <x:c r="D15" s="19" t="str">
        <x:v>MS-HC</x:v>
      </x:c>
      <x:c r="E15" s="40" t="n">
        <x:v>900</x:v>
      </x:c>
      <x:c r="F15" s="40" t="n">
        <x:v>6</x:v>
      </x:c>
      <x:c r="G15" s="40" t="n">
        <x:v>189</x:v>
      </x:c>
      <x:c r="H15" s="39" t="n">
        <x:f>F15*G15</x:f>
        <x:v>1134</x:v>
      </x:c>
      <x:c r="I15" s="39" t="n">
        <x:f>(F15-1)*G15</x:f>
        <x:v>945</x:v>
      </x:c>
      <x:c r="J15" s="19" t="n">
        <x:f>Controls!$D$11</x:f>
        <x:v>3</x:v>
      </x:c>
      <x:c r="K15" s="27" t="n">
        <x:v>3600</x:v>
      </x:c>
      <x:c r="L15" s="31" t="n">
        <x:f>K15*(F15-1)/F15</x:f>
        <x:v>3000</x:v>
      </x:c>
      <x:c r="M15" s="32" t="n">
        <x:f>MIN(H15/E15,K15/(E15*J15))</x:f>
        <x:v>1.26</x:v>
      </x:c>
      <x:c r="N15" s="32" t="n">
        <x:f>MIN(I15/E15,L15/(E15*J15))</x:f>
        <x:v>1.05</x:v>
      </x:c>
      <x:c r="O15" s="21" t="str">
        <x:f>IF(AND(M15&gt;=Controls!$D$7,N15&gt;=Controls!$D$8),"PASS","FAIL")</x:f>
        <x:v>PASS</x:v>
      </x:c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MS-HC|B</x:v>
      </x:c>
      <x:c r="D16" s="19" t="str">
        <x:v>MS-HC</x:v>
      </x:c>
      <x:c r="E16" s="40" t="n">
        <x:v>1800</x:v>
      </x:c>
      <x:c r="F16" s="40" t="n">
        <x:v>6</x:v>
      </x:c>
      <x:c r="G16" s="40" t="n">
        <x:v>378</x:v>
      </x:c>
      <x:c r="H16" s="39" t="n">
        <x:f>F16*G16</x:f>
        <x:v>2268</x:v>
      </x:c>
      <x:c r="I16" s="39" t="n">
        <x:f>(F16-1)*G16</x:f>
        <x:v>1890</x:v>
      </x:c>
      <x:c r="J16" s="19" t="n">
        <x:f>Controls!$D$11</x:f>
        <x:v>3</x:v>
      </x:c>
      <x:c r="K16" s="27" t="n">
        <x:v>7200</x:v>
      </x:c>
      <x:c r="L16" s="31" t="n">
        <x:f>K16*(F16-1)/F16</x:f>
        <x:v>6000</x:v>
      </x:c>
      <x:c r="M16" s="32" t="n">
        <x:f>MIN(H16/E16,K16/(E16*J16))</x:f>
        <x:v>1.26</x:v>
      </x:c>
      <x:c r="N16" s="32" t="n">
        <x:f>MIN(I16/E16,L16/(E16*J16))</x:f>
        <x:v>1.05</x:v>
      </x:c>
      <x:c r="O16" s="21" t="str">
        <x:f>IF(AND(M16&gt;=Controls!$D$7,N16&gt;=Controls!$D$8),"PASS","FAIL")</x:f>
        <x:v>PASS</x:v>
      </x:c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MS-HC|C</x:v>
      </x:c>
      <x:c r="D17" s="19" t="str">
        <x:v>MS-HC</x:v>
      </x:c>
      <x:c r="E17" s="40" t="n">
        <x:v>4200</x:v>
      </x:c>
      <x:c r="F17" s="40" t="n">
        <x:v>7</x:v>
      </x:c>
      <x:c r="G17" s="40" t="n">
        <x:v>735</x:v>
      </x:c>
      <x:c r="H17" s="39" t="n">
        <x:f>F17*G17</x:f>
        <x:v>5145</x:v>
      </x:c>
      <x:c r="I17" s="39" t="n">
        <x:f>(F17-1)*G17</x:f>
        <x:v>4410</x:v>
      </x:c>
      <x:c r="J17" s="19" t="n">
        <x:f>Controls!$D$11</x:f>
        <x:v>3</x:v>
      </x:c>
      <x:c r="K17" s="27" t="n">
        <x:v>16800</x:v>
      </x:c>
      <x:c r="L17" s="31" t="n">
        <x:f>K17*(F17-1)/F17</x:f>
        <x:v>14400</x:v>
      </x:c>
      <x:c r="M17" s="32" t="n">
        <x:f>MIN(H17/E17,K17/(E17*J17))</x:f>
        <x:v>1.225</x:v>
      </x:c>
      <x:c r="N17" s="32" t="n">
        <x:f>MIN(I17/E17,L17/(E17*J17))</x:f>
        <x:v>1.05</x:v>
      </x:c>
      <x:c r="O17" s="21" t="str">
        <x:f>IF(AND(M17&gt;=Controls!$D$7,N17&gt;=Controls!$D$8),"PASS","FAIL")</x:f>
        <x:v>PASS</x:v>
      </x:c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MS-HC|D</x:v>
      </x:c>
      <x:c r="D18" s="19" t="str">
        <x:v>MS-HC</x:v>
      </x:c>
      <x:c r="E18" s="40" t="n">
        <x:v>1100</x:v>
      </x:c>
      <x:c r="F18" s="40" t="n">
        <x:v>6</x:v>
      </x:c>
      <x:c r="G18" s="40" t="n">
        <x:v>231</x:v>
      </x:c>
      <x:c r="H18" s="39" t="n">
        <x:f>F18*G18</x:f>
        <x:v>1386</x:v>
      </x:c>
      <x:c r="I18" s="39" t="n">
        <x:f>(F18-1)*G18</x:f>
        <x:v>1155</x:v>
      </x:c>
      <x:c r="J18" s="19" t="n">
        <x:f>Controls!$D$11</x:f>
        <x:v>3</x:v>
      </x:c>
      <x:c r="K18" s="27" t="n">
        <x:v>4400</x:v>
      </x:c>
      <x:c r="L18" s="31" t="n">
        <x:f>K18*(F18-1)/F18</x:f>
        <x:v>3666.6666666666665</x:v>
      </x:c>
      <x:c r="M18" s="32" t="n">
        <x:f>MIN(H18/E18,K18/(E18*J18))</x:f>
        <x:v>1.26</x:v>
      </x:c>
      <x:c r="N18" s="32" t="n">
        <x:f>MIN(I18/E18,L18/(E18*J18))</x:f>
        <x:v>1.05</x:v>
      </x:c>
      <x:c r="O18" s="21" t="str">
        <x:f>IF(AND(M18&gt;=Controls!$D$7,N18&gt;=Controls!$D$8),"PASS","FAIL")</x:f>
        <x:v>PASS</x:v>
      </x:c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MS-HU|A</x:v>
      </x:c>
      <x:c r="D19" s="19" t="str">
        <x:v>MS-HU</x:v>
      </x:c>
      <x:c r="E19" s="40" t="n">
        <x:v>350</x:v>
      </x:c>
      <x:c r="F19" s="40" t="n">
        <x:v>6</x:v>
      </x:c>
      <x:c r="G19" s="40" t="n">
        <x:v>73.5</x:v>
      </x:c>
      <x:c r="H19" s="39" t="n">
        <x:f>F19*G19</x:f>
        <x:v>441</x:v>
      </x:c>
      <x:c r="I19" s="39" t="n">
        <x:f>(F19-1)*G19</x:f>
        <x:v>367.5</x:v>
      </x:c>
      <x:c r="J19" s="19" t="n">
        <x:f>Controls!$D$11</x:f>
        <x:v>3</x:v>
      </x:c>
      <x:c r="K19" s="27" t="n">
        <x:v>1400</x:v>
      </x:c>
      <x:c r="L19" s="31" t="n">
        <x:f>K19*(F19-1)/F19</x:f>
        <x:v>1166.6666666666667</x:v>
      </x:c>
      <x:c r="M19" s="32" t="n">
        <x:f>MIN(H19/E19,K19/(E19*J19))</x:f>
        <x:v>1.26</x:v>
      </x:c>
      <x:c r="N19" s="32" t="n">
        <x:f>MIN(I19/E19,L19/(E19*J19))</x:f>
        <x:v>1.05</x:v>
      </x:c>
      <x:c r="O19" s="21" t="str">
        <x:f>IF(AND(M19&gt;=Controls!$D$7,N19&gt;=Controls!$D$8),"PASS","FAIL")</x:f>
        <x:v>PASS</x:v>
      </x:c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MS-HU|B</x:v>
      </x:c>
      <x:c r="D20" s="19" t="str">
        <x:v>MS-HU</x:v>
      </x:c>
      <x:c r="E20" s="40" t="n">
        <x:v>300</x:v>
      </x:c>
      <x:c r="F20" s="40" t="n">
        <x:v>6</x:v>
      </x:c>
      <x:c r="G20" s="40" t="n">
        <x:v>63</x:v>
      </x:c>
      <x:c r="H20" s="39" t="n">
        <x:f>F20*G20</x:f>
        <x:v>378</x:v>
      </x:c>
      <x:c r="I20" s="39" t="n">
        <x:f>(F20-1)*G20</x:f>
        <x:v>315</x:v>
      </x:c>
      <x:c r="J20" s="19" t="n">
        <x:f>Controls!$D$11</x:f>
        <x:v>3</x:v>
      </x:c>
      <x:c r="K20" s="27" t="n">
        <x:v>1200</x:v>
      </x:c>
      <x:c r="L20" s="31" t="n">
        <x:f>K20*(F20-1)/F20</x:f>
        <x:v>1000</x:v>
      </x:c>
      <x:c r="M20" s="32" t="n">
        <x:f>MIN(H20/E20,K20/(E20*J20))</x:f>
        <x:v>1.26</x:v>
      </x:c>
      <x:c r="N20" s="32" t="n">
        <x:f>MIN(I20/E20,L20/(E20*J20))</x:f>
        <x:v>1.05</x:v>
      </x:c>
      <x:c r="O20" s="21" t="str">
        <x:f>IF(AND(M20&gt;=Controls!$D$7,N20&gt;=Controls!$D$8),"PASS","FAIL")</x:f>
        <x:v>PASS</x:v>
      </x:c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MS-HU|C</x:v>
      </x:c>
      <x:c r="D21" s="19" t="str">
        <x:v>MS-HU</x:v>
      </x:c>
      <x:c r="E21" s="40" t="n">
        <x:v>320</x:v>
      </x:c>
      <x:c r="F21" s="40" t="n">
        <x:v>6</x:v>
      </x:c>
      <x:c r="G21" s="40" t="n">
        <x:v>67.2</x:v>
      </x:c>
      <x:c r="H21" s="39" t="n">
        <x:f>F21*G21</x:f>
        <x:v>403.20000000000005</x:v>
      </x:c>
      <x:c r="I21" s="39" t="n">
        <x:f>(F21-1)*G21</x:f>
        <x:v>336</x:v>
      </x:c>
      <x:c r="J21" s="19" t="n">
        <x:f>Controls!$D$11</x:f>
        <x:v>3</x:v>
      </x:c>
      <x:c r="K21" s="27" t="n">
        <x:v>1280</x:v>
      </x:c>
      <x:c r="L21" s="31" t="n">
        <x:f>K21*(F21-1)/F21</x:f>
        <x:v>1066.6666666666667</x:v>
      </x:c>
      <x:c r="M21" s="32" t="n">
        <x:f>MIN(H21/E21,K21/(E21*J21))</x:f>
        <x:v>1.2600000000000002</x:v>
      </x:c>
      <x:c r="N21" s="32" t="n">
        <x:f>MIN(I21/E21,L21/(E21*J21))</x:f>
        <x:v>1.05</x:v>
      </x:c>
      <x:c r="O21" s="21" t="str">
        <x:f>IF(AND(M21&gt;=Controls!$D$7,N21&gt;=Controls!$D$8),"PASS","FAIL")</x:f>
        <x:v>PASS</x:v>
      </x:c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MS-HU|D</x:v>
      </x:c>
      <x:c r="D22" s="19" t="str">
        <x:v>MS-HU</x:v>
      </x:c>
      <x:c r="E22" s="40" t="n">
        <x:v>260</x:v>
      </x:c>
      <x:c r="F22" s="40" t="n">
        <x:v>6</x:v>
      </x:c>
      <x:c r="G22" s="40" t="n">
        <x:v>54.6</x:v>
      </x:c>
      <x:c r="H22" s="39" t="n">
        <x:f>F22*G22</x:f>
        <x:v>327.6</x:v>
      </x:c>
      <x:c r="I22" s="39" t="n">
        <x:f>(F22-1)*G22</x:f>
        <x:v>273</x:v>
      </x:c>
      <x:c r="J22" s="19" t="n">
        <x:f>Controls!$D$11</x:f>
        <x:v>3</x:v>
      </x:c>
      <x:c r="K22" s="27" t="n">
        <x:v>1040</x:v>
      </x:c>
      <x:c r="L22" s="31" t="n">
        <x:f>K22*(F22-1)/F22</x:f>
        <x:v>866.6666666666666</x:v>
      </x:c>
      <x:c r="M22" s="32" t="n">
        <x:f>MIN(H22/E22,K22/(E22*J22))</x:f>
        <x:v>1.26</x:v>
      </x:c>
      <x:c r="N22" s="32" t="n">
        <x:f>MIN(I22/E22,L22/(E22*J22))</x:f>
        <x:v>1.05</x:v>
      </x:c>
      <x:c r="O22" s="21" t="str">
        <x:f>IF(AND(M22&gt;=Controls!$D$7,N22&gt;=Controls!$D$8),"PASS","FAIL")</x:f>
        <x:v>PASS</x:v>
      </x:c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MS-RT|A</x:v>
      </x:c>
      <x:c r="D23" s="19" t="str">
        <x:v>MS-RT</x:v>
      </x:c>
      <x:c r="E23" s="40" t="n">
        <x:v>1800</x:v>
      </x:c>
      <x:c r="F23" s="40" t="n">
        <x:v>6</x:v>
      </x:c>
      <x:c r="G23" s="40" t="n">
        <x:v>378</x:v>
      </x:c>
      <x:c r="H23" s="39" t="n">
        <x:f>F23*G23</x:f>
        <x:v>2268</x:v>
      </x:c>
      <x:c r="I23" s="39" t="n">
        <x:f>(F23-1)*G23</x:f>
        <x:v>1890</x:v>
      </x:c>
      <x:c r="J23" s="19" t="n">
        <x:f>Controls!$D$11</x:f>
        <x:v>3</x:v>
      </x:c>
      <x:c r="K23" s="27" t="n">
        <x:v>7200</x:v>
      </x:c>
      <x:c r="L23" s="31" t="n">
        <x:f>K23*(F23-1)/F23</x:f>
        <x:v>6000</x:v>
      </x:c>
      <x:c r="M23" s="32" t="n">
        <x:f>MIN(H23/E23,K23/(E23*J23))</x:f>
        <x:v>1.26</x:v>
      </x:c>
      <x:c r="N23" s="32" t="n">
        <x:f>MIN(I23/E23,L23/(E23*J23))</x:f>
        <x:v>1.05</x:v>
      </x:c>
      <x:c r="O23" s="21" t="str">
        <x:f>IF(AND(M23&gt;=Controls!$D$7,N23&gt;=Controls!$D$8),"PASS","FAIL")</x:f>
        <x:v>PASS</x:v>
      </x:c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MS-RT|B</x:v>
      </x:c>
      <x:c r="D24" s="19" t="str">
        <x:v>MS-RT</x:v>
      </x:c>
      <x:c r="E24" s="40" t="n">
        <x:v>1200</x:v>
      </x:c>
      <x:c r="F24" s="40" t="n">
        <x:v>6</x:v>
      </x:c>
      <x:c r="G24" s="40" t="n">
        <x:v>252</x:v>
      </x:c>
      <x:c r="H24" s="39" t="n">
        <x:f>F24*G24</x:f>
        <x:v>1512</x:v>
      </x:c>
      <x:c r="I24" s="39" t="n">
        <x:f>(F24-1)*G24</x:f>
        <x:v>1260</x:v>
      </x:c>
      <x:c r="J24" s="19" t="n">
        <x:f>Controls!$D$11</x:f>
        <x:v>3</x:v>
      </x:c>
      <x:c r="K24" s="27" t="n">
        <x:v>4800</x:v>
      </x:c>
      <x:c r="L24" s="31" t="n">
        <x:f>K24*(F24-1)/F24</x:f>
        <x:v>4000</x:v>
      </x:c>
      <x:c r="M24" s="32" t="n">
        <x:f>MIN(H24/E24,K24/(E24*J24))</x:f>
        <x:v>1.26</x:v>
      </x:c>
      <x:c r="N24" s="32" t="n">
        <x:f>MIN(I24/E24,L24/(E24*J24))</x:f>
        <x:v>1.05</x:v>
      </x:c>
      <x:c r="O24" s="21" t="str">
        <x:f>IF(AND(M24&gt;=Controls!$D$7,N24&gt;=Controls!$D$8),"PASS","FAIL")</x:f>
        <x:v>PASS</x:v>
      </x:c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MS-RT|C</x:v>
      </x:c>
      <x:c r="D25" s="19" t="str">
        <x:v>MS-RT</x:v>
      </x:c>
      <x:c r="E25" s="40" t="n">
        <x:v>3000</x:v>
      </x:c>
      <x:c r="F25" s="40" t="n">
        <x:v>7</x:v>
      </x:c>
      <x:c r="G25" s="40" t="n">
        <x:v>525</x:v>
      </x:c>
      <x:c r="H25" s="39" t="n">
        <x:f>F25*G25</x:f>
        <x:v>3675</x:v>
      </x:c>
      <x:c r="I25" s="39" t="n">
        <x:f>(F25-1)*G25</x:f>
        <x:v>3150</x:v>
      </x:c>
      <x:c r="J25" s="19" t="n">
        <x:f>Controls!$D$11</x:f>
        <x:v>3</x:v>
      </x:c>
      <x:c r="K25" s="27" t="n">
        <x:v>12000</x:v>
      </x:c>
      <x:c r="L25" s="31" t="n">
        <x:f>K25*(F25-1)/F25</x:f>
        <x:v>10285.714285714286</x:v>
      </x:c>
      <x:c r="M25" s="32" t="n">
        <x:f>MIN(H25/E25,K25/(E25*J25))</x:f>
        <x:v>1.225</x:v>
      </x:c>
      <x:c r="N25" s="32" t="n">
        <x:f>MIN(I25/E25,L25/(E25*J25))</x:f>
        <x:v>1.05</x:v>
      </x:c>
      <x:c r="O25" s="21" t="str">
        <x:f>IF(AND(M25&gt;=Controls!$D$7,N25&gt;=Controls!$D$8),"PASS","FAIL")</x:f>
        <x:v>PASS</x:v>
      </x:c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3" t="str">
        <x:v>MS-RT|D</x:v>
      </x:c>
      <x:c r="D26" s="23" t="str">
        <x:v>MS-RT</x:v>
      </x:c>
      <x:c r="E26" s="44" t="n">
        <x:v>2500</x:v>
      </x:c>
      <x:c r="F26" s="44" t="n">
        <x:v>7</x:v>
      </x:c>
      <x:c r="G26" s="44" t="n">
        <x:v>437.5</x:v>
      </x:c>
      <x:c r="H26" s="43" t="n">
        <x:f>F26*G26</x:f>
        <x:v>3062.5</x:v>
      </x:c>
      <x:c r="I26" s="43" t="n">
        <x:f>(F26-1)*G26</x:f>
        <x:v>2625</x:v>
      </x:c>
      <x:c r="J26" s="23" t="n">
        <x:f>Controls!$D$11</x:f>
        <x:v>3</x:v>
      </x:c>
      <x:c r="K26" s="28" t="n">
        <x:v>10000</x:v>
      </x:c>
      <x:c r="L26" s="33" t="n">
        <x:f>K26*(F26-1)/F26</x:f>
        <x:v>8571.42857142857</x:v>
      </x:c>
      <x:c r="M26" s="34" t="n">
        <x:f>MIN(H26/E26,K26/(E26*J26))</x:f>
        <x:v>1.225</x:v>
      </x:c>
      <x:c r="N26" s="34" t="n">
        <x:f>MIN(I26/E26,L26/(E26*J26))</x:f>
        <x:v>1.05</x:v>
      </x:c>
      <x:c r="O26" s="25" t="str">
        <x:f>IF(AND(M26&gt;=Controls!$D$7,N26&gt;=Controls!$D$8),"PASS","FAIL")</x:f>
        <x:v>PASS</x:v>
      </x:c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3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One hundred forty noncompensatory account cases</x:v>
      </x:c>
      <x:c r="D2" s="2"/>
      <x:c r="E2" s="2"/>
      <x:c r="F2" s="2"/>
      <x:c r="G2" s="2"/>
      <x:c r="H2" s="2"/>
      <x:c r="I2" s="2"/>
      <x:c r="J2" s="2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A strong account cannot offset one failed mass, energy, flow, labor, safety, receiver or residual balance.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Root</x:v>
      </x:c>
      <x:c r="D6" s="18" t="str">
        <x:v>System</x:v>
      </x:c>
      <x:c r="E6" s="18" t="str">
        <x:v>Account</x:v>
      </x:c>
      <x:c r="F6" s="18" t="str">
        <x:v>Intact margin</x:v>
      </x:c>
      <x:c r="G6" s="18" t="str">
        <x:v>Loss margin</x:v>
      </x:c>
      <x:c r="H6" s="18" t="str">
        <x:v>Intact required</x:v>
      </x:c>
      <x:c r="I6" s="18" t="str">
        <x:v>Loss required</x:v>
      </x:c>
      <x:c r="J6" s="18" t="str">
        <x:v>State</x:v>
      </x:c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</x:v>
      </x:c>
      <x:c r="D7" s="19" t="str">
        <x:v>MS-ET</x:v>
      </x:c>
      <x:c r="E7" s="19" t="str">
        <x:v>Mass</x:v>
      </x:c>
      <x:c r="F7" s="32" t="n">
        <x:f>'Mass Access'!L7</x:f>
        <x:v>1.2549019607843137</x:v>
      </x:c>
      <x:c r="G7" s="32" t="n">
        <x:f>'Mass Access'!M7</x:f>
        <x:v>1.0980392156862746</x:v>
      </x:c>
      <x:c r="H7" s="32" t="n">
        <x:f>Controls!$D$7</x:f>
        <x:v>1.15</x:v>
      </x:c>
      <x:c r="I7" s="32" t="n">
        <x:f>Controls!$D$8</x:f>
        <x:v>1</x:v>
      </x:c>
      <x:c r="J7" s="21" t="str">
        <x:f>IF(AND(F7&gt;=H7,G7&gt;=I7),"PASS","FAIL")</x:f>
        <x:v>PASS</x:v>
      </x:c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MS-ET|A</x:v>
      </x:c>
      <x:c r="D8" s="19" t="str">
        <x:v>MS-ET</x:v>
      </x:c>
      <x:c r="E8" s="19" t="str">
        <x:v>Energy</x:v>
      </x:c>
      <x:c r="F8" s="32" t="n">
        <x:f>Energy!P7</x:f>
        <x:v>1.25</x:v>
      </x:c>
      <x:c r="G8" s="32" t="n">
        <x:f>Energy!Q7</x:f>
        <x:v>1.0416666666666667</x:v>
      </x:c>
      <x:c r="H8" s="32" t="n">
        <x:f>Controls!$D$7</x:f>
        <x:v>1.15</x:v>
      </x:c>
      <x:c r="I8" s="32" t="n">
        <x:f>Controls!$D$8</x:f>
        <x:v>1</x:v>
      </x:c>
      <x:c r="J8" s="21" t="str">
        <x:f>IF(AND(F8&gt;=H8,G8&gt;=I8),"PASS","FAIL")</x:f>
        <x:v>PASS</x:v>
      </x:c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MS-ET|A</x:v>
      </x:c>
      <x:c r="D9" s="19" t="str">
        <x:v>MS-ET</x:v>
      </x:c>
      <x:c r="E9" s="19" t="str">
        <x:v>Route flow</x:v>
      </x:c>
      <x:c r="F9" s="32" t="n">
        <x:f>MIN('Route Flow'!N7:N11)</x:f>
        <x:v>1.2800000000000002</x:v>
      </x:c>
      <x:c r="G9" s="32" t="n">
        <x:f>MIN('Route Flow'!O7:O11)</x:f>
        <x:v>1.0240000000000002</x:v>
      </x:c>
      <x:c r="H9" s="32" t="n">
        <x:f>Controls!$D$7</x:f>
        <x:v>1.15</x:v>
      </x:c>
      <x:c r="I9" s="32" t="n">
        <x:f>Controls!$D$8</x:f>
        <x:v>1</x:v>
      </x:c>
      <x:c r="J9" s="21" t="str">
        <x:f>IF(AND(F9&gt;=H9,G9&gt;=I9),"PASS","FAIL")</x:f>
        <x:v>PASS</x:v>
      </x:c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MS-ET|A</x:v>
      </x:c>
      <x:c r="D10" s="19" t="str">
        <x:v>MS-ET</x:v>
      </x:c>
      <x:c r="E10" s="19" t="str">
        <x:v>Labor</x:v>
      </x:c>
      <x:c r="F10" s="32" t="n">
        <x:f>Labor!K7</x:f>
        <x:v>1.5432098765432098</x:v>
      </x:c>
      <x:c r="G10" s="32" t="n">
        <x:f>Labor!L7</x:f>
        <x:v>1.2345679012345678</x:v>
      </x:c>
      <x:c r="H10" s="32" t="n">
        <x:f>Controls!$D$7</x:f>
        <x:v>1.15</x:v>
      </x:c>
      <x:c r="I10" s="32" t="n">
        <x:f>Controls!$D$8</x:f>
        <x:v>1</x:v>
      </x:c>
      <x:c r="J10" s="21" t="str">
        <x:f>IF(AND(F10&gt;=H10,G10&gt;=I10),"PASS","FAIL")</x:f>
        <x:v>PASS</x:v>
      </x:c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MS-ET|A</x:v>
      </x:c>
      <x:c r="D11" s="19" t="str">
        <x:v>MS-ET</x:v>
      </x:c>
      <x:c r="E11" s="19" t="str">
        <x:v>Safety</x:v>
      </x:c>
      <x:c r="F11" s="32" t="n">
        <x:f>Safety!J7</x:f>
        <x:v>1.26</x:v>
      </x:c>
      <x:c r="G11" s="32" t="n">
        <x:f>Safety!K7</x:f>
        <x:v>1.05</x:v>
      </x:c>
      <x:c r="H11" s="32" t="n">
        <x:f>Controls!$D$7</x:f>
        <x:v>1.15</x:v>
      </x:c>
      <x:c r="I11" s="32" t="n">
        <x:f>Controls!$D$8</x:f>
        <x:v>1</x:v>
      </x:c>
      <x:c r="J11" s="21" t="str">
        <x:f>IF(AND(F11&gt;=H11,G11&gt;=I11),"PASS","FAIL")</x:f>
        <x:v>PASS</x:v>
      </x:c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MS-ET|A</x:v>
      </x:c>
      <x:c r="D12" s="19" t="str">
        <x:v>MS-ET</x:v>
      </x:c>
      <x:c r="E12" s="19" t="str">
        <x:v>Receiver</x:v>
      </x:c>
      <x:c r="F12" s="32" t="n">
        <x:f>Receivers!I7</x:f>
        <x:v>1.2600000000000002</x:v>
      </x:c>
      <x:c r="G12" s="32" t="n">
        <x:f>Receivers!J7</x:f>
        <x:v>1.05</x:v>
      </x:c>
      <x:c r="H12" s="32" t="n">
        <x:f>Controls!$D$7</x:f>
        <x:v>1.15</x:v>
      </x:c>
      <x:c r="I12" s="32" t="n">
        <x:f>Controls!$D$8</x:f>
        <x:v>1</x:v>
      </x:c>
      <x:c r="J12" s="21" t="str">
        <x:f>IF(AND(F12&gt;=H12,G12&gt;=I12),"PASS","FAIL")</x:f>
        <x:v>PASS</x:v>
      </x:c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MS-ET|A</x:v>
      </x:c>
      <x:c r="D13" s="19" t="str">
        <x:v>MS-ET</x:v>
      </x:c>
      <x:c r="E13" s="19" t="str">
        <x:v>Residual</x:v>
      </x:c>
      <x:c r="F13" s="32" t="n">
        <x:f>Residual!M7</x:f>
        <x:v>1.26</x:v>
      </x:c>
      <x:c r="G13" s="32" t="n">
        <x:f>Residual!N7</x:f>
        <x:v>1.05</x:v>
      </x:c>
      <x:c r="H13" s="32" t="n">
        <x:f>Controls!$D$7</x:f>
        <x:v>1.15</x:v>
      </x:c>
      <x:c r="I13" s="32" t="n">
        <x:f>Controls!$D$8</x:f>
        <x:v>1</x:v>
      </x:c>
      <x:c r="J13" s="21" t="str">
        <x:f>IF(AND(F13&gt;=H13,G13&gt;=I13),"PASS","FAIL")</x:f>
        <x:v>PASS</x:v>
      </x:c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MS-ET|B</x:v>
      </x:c>
      <x:c r="D14" s="19" t="str">
        <x:v>MS-ET</x:v>
      </x:c>
      <x:c r="E14" s="19" t="str">
        <x:v>Mass</x:v>
      </x:c>
      <x:c r="F14" s="32" t="n">
        <x:f>'Mass Access'!L8</x:f>
        <x:v>1.1647058823529413</x:v>
      </x:c>
      <x:c r="G14" s="32" t="n">
        <x:f>'Mass Access'!M8</x:f>
        <x:v>1.0676470588235294</x:v>
      </x:c>
      <x:c r="H14" s="32" t="n">
        <x:f>Controls!$D$7</x:f>
        <x:v>1.15</x:v>
      </x:c>
      <x:c r="I14" s="32" t="n">
        <x:f>Controls!$D$8</x:f>
        <x:v>1</x:v>
      </x:c>
      <x:c r="J14" s="21" t="str">
        <x:f>IF(AND(F14&gt;=H14,G14&gt;=I14),"PASS","FAIL")</x:f>
        <x:v>PASS</x:v>
      </x:c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MS-ET|B</x:v>
      </x:c>
      <x:c r="D15" s="19" t="str">
        <x:v>MS-ET</x:v>
      </x:c>
      <x:c r="E15" s="19" t="str">
        <x:v>Energy</x:v>
      </x:c>
      <x:c r="F15" s="32" t="n">
        <x:f>Energy!P8</x:f>
        <x:v>1.2190476190476192</x:v>
      </x:c>
      <x:c r="G15" s="32" t="n">
        <x:f>Energy!Q8</x:f>
        <x:v>1.0666666666666667</x:v>
      </x:c>
      <x:c r="H15" s="32" t="n">
        <x:f>Controls!$D$7</x:f>
        <x:v>1.15</x:v>
      </x:c>
      <x:c r="I15" s="32" t="n">
        <x:f>Controls!$D$8</x:f>
        <x:v>1</x:v>
      </x:c>
      <x:c r="J15" s="21" t="str">
        <x:f>IF(AND(F15&gt;=H15,G15&gt;=I15),"PASS","FAIL")</x:f>
        <x:v>PASS</x:v>
      </x:c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MS-ET|B</x:v>
      </x:c>
      <x:c r="D16" s="19" t="str">
        <x:v>MS-ET</x:v>
      </x:c>
      <x:c r="E16" s="19" t="str">
        <x:v>Route flow</x:v>
      </x:c>
      <x:c r="F16" s="32" t="n">
        <x:f>MIN('Route Flow'!N12:N16)</x:f>
        <x:v>1.3</x:v>
      </x:c>
      <x:c r="G16" s="32" t="n">
        <x:f>MIN('Route Flow'!O12:O16)</x:f>
        <x:v>1.04</x:v>
      </x:c>
      <x:c r="H16" s="32" t="n">
        <x:f>Controls!$D$7</x:f>
        <x:v>1.15</x:v>
      </x:c>
      <x:c r="I16" s="32" t="n">
        <x:f>Controls!$D$8</x:f>
        <x:v>1</x:v>
      </x:c>
      <x:c r="J16" s="21" t="str">
        <x:f>IF(AND(F16&gt;=H16,G16&gt;=I16),"PASS","FAIL")</x:f>
        <x:v>PASS</x:v>
      </x:c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MS-ET|B</x:v>
      </x:c>
      <x:c r="D17" s="19" t="str">
        <x:v>MS-ET</x:v>
      </x:c>
      <x:c r="E17" s="19" t="str">
        <x:v>Labor</x:v>
      </x:c>
      <x:c r="F17" s="32" t="n">
        <x:f>Labor!K8</x:f>
        <x:v>1.5432098765432098</x:v>
      </x:c>
      <x:c r="G17" s="32" t="n">
        <x:f>Labor!L8</x:f>
        <x:v>1.2345679012345678</x:v>
      </x:c>
      <x:c r="H17" s="32" t="n">
        <x:f>Controls!$D$7</x:f>
        <x:v>1.15</x:v>
      </x:c>
      <x:c r="I17" s="32" t="n">
        <x:f>Controls!$D$8</x:f>
        <x:v>1</x:v>
      </x:c>
      <x:c r="J17" s="21" t="str">
        <x:f>IF(AND(F17&gt;=H17,G17&gt;=I17),"PASS","FAIL")</x:f>
        <x:v>PASS</x:v>
      </x:c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MS-ET|B</x:v>
      </x:c>
      <x:c r="D18" s="19" t="str">
        <x:v>MS-ET</x:v>
      </x:c>
      <x:c r="E18" s="19" t="str">
        <x:v>Safety</x:v>
      </x:c>
      <x:c r="F18" s="32" t="n">
        <x:f>Safety!J8</x:f>
        <x:v>1.225</x:v>
      </x:c>
      <x:c r="G18" s="32" t="n">
        <x:f>Safety!K8</x:f>
        <x:v>1.05</x:v>
      </x:c>
      <x:c r="H18" s="32" t="n">
        <x:f>Controls!$D$7</x:f>
        <x:v>1.15</x:v>
      </x:c>
      <x:c r="I18" s="32" t="n">
        <x:f>Controls!$D$8</x:f>
        <x:v>1</x:v>
      </x:c>
      <x:c r="J18" s="21" t="str">
        <x:f>IF(AND(F18&gt;=H18,G18&gt;=I18),"PASS","FAIL")</x:f>
        <x:v>PASS</x:v>
      </x:c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MS-ET|B</x:v>
      </x:c>
      <x:c r="D19" s="19" t="str">
        <x:v>MS-ET</x:v>
      </x:c>
      <x:c r="E19" s="19" t="str">
        <x:v>Receiver</x:v>
      </x:c>
      <x:c r="F19" s="32" t="n">
        <x:f>Receivers!I8</x:f>
        <x:v>1.2</x:v>
      </x:c>
      <x:c r="G19" s="32" t="n">
        <x:f>Receivers!J8</x:f>
        <x:v>1.05</x:v>
      </x:c>
      <x:c r="H19" s="32" t="n">
        <x:f>Controls!$D$7</x:f>
        <x:v>1.15</x:v>
      </x:c>
      <x:c r="I19" s="32" t="n">
        <x:f>Controls!$D$8</x:f>
        <x:v>1</x:v>
      </x:c>
      <x:c r="J19" s="21" t="str">
        <x:f>IF(AND(F19&gt;=H19,G19&gt;=I19),"PASS","FAIL")</x:f>
        <x:v>PASS</x:v>
      </x:c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MS-ET|B</x:v>
      </x:c>
      <x:c r="D20" s="19" t="str">
        <x:v>MS-ET</x:v>
      </x:c>
      <x:c r="E20" s="19" t="str">
        <x:v>Residual</x:v>
      </x:c>
      <x:c r="F20" s="32" t="n">
        <x:f>Residual!M8</x:f>
        <x:v>1.26</x:v>
      </x:c>
      <x:c r="G20" s="32" t="n">
        <x:f>Residual!N8</x:f>
        <x:v>1.05</x:v>
      </x:c>
      <x:c r="H20" s="32" t="n">
        <x:f>Controls!$D$7</x:f>
        <x:v>1.15</x:v>
      </x:c>
      <x:c r="I20" s="32" t="n">
        <x:f>Controls!$D$8</x:f>
        <x:v>1</x:v>
      </x:c>
      <x:c r="J20" s="21" t="str">
        <x:f>IF(AND(F20&gt;=H20,G20&gt;=I20),"PASS","FAIL")</x:f>
        <x:v>PASS</x:v>
      </x:c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MS-ET|C</x:v>
      </x:c>
      <x:c r="D21" s="19" t="str">
        <x:v>MS-ET</x:v>
      </x:c>
      <x:c r="E21" s="19" t="str">
        <x:v>Mass</x:v>
      </x:c>
      <x:c r="F21" s="32" t="n">
        <x:f>'Mass Access'!L9</x:f>
        <x:v>1.1627906976744187</x:v>
      </x:c>
      <x:c r="G21" s="32" t="n">
        <x:f>'Mass Access'!M9</x:f>
        <x:v>1.0465116279069768</x:v>
      </x:c>
      <x:c r="H21" s="32" t="n">
        <x:f>Controls!$D$7</x:f>
        <x:v>1.15</x:v>
      </x:c>
      <x:c r="I21" s="32" t="n">
        <x:f>Controls!$D$8</x:f>
        <x:v>1</x:v>
      </x:c>
      <x:c r="J21" s="21" t="str">
        <x:f>IF(AND(F21&gt;=H21,G21&gt;=I21),"PASS","FAIL")</x:f>
        <x:v>PASS</x:v>
      </x:c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MS-ET|C</x:v>
      </x:c>
      <x:c r="D22" s="19" t="str">
        <x:v>MS-ET</x:v>
      </x:c>
      <x:c r="E22" s="19" t="str">
        <x:v>Energy</x:v>
      </x:c>
      <x:c r="F22" s="32" t="n">
        <x:f>Energy!P9</x:f>
        <x:v>1.26</x:v>
      </x:c>
      <x:c r="G22" s="32" t="n">
        <x:f>Energy!Q9</x:f>
        <x:v>1.08</x:v>
      </x:c>
      <x:c r="H22" s="32" t="n">
        <x:f>Controls!$D$7</x:f>
        <x:v>1.15</x:v>
      </x:c>
      <x:c r="I22" s="32" t="n">
        <x:f>Controls!$D$8</x:f>
        <x:v>1</x:v>
      </x:c>
      <x:c r="J22" s="21" t="str">
        <x:f>IF(AND(F22&gt;=H22,G22&gt;=I22),"PASS","FAIL")</x:f>
        <x:v>PASS</x:v>
      </x:c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MS-ET|C</x:v>
      </x:c>
      <x:c r="D23" s="19" t="str">
        <x:v>MS-ET</x:v>
      </x:c>
      <x:c r="E23" s="19" t="str">
        <x:v>Route flow</x:v>
      </x:c>
      <x:c r="F23" s="32" t="n">
        <x:f>MIN('Route Flow'!N17:N21)</x:f>
        <x:v>1.32</x:v>
      </x:c>
      <x:c r="G23" s="32" t="n">
        <x:f>MIN('Route Flow'!O17:O21)</x:f>
        <x:v>1.056</x:v>
      </x:c>
      <x:c r="H23" s="32" t="n">
        <x:f>Controls!$D$7</x:f>
        <x:v>1.15</x:v>
      </x:c>
      <x:c r="I23" s="32" t="n">
        <x:f>Controls!$D$8</x:f>
        <x:v>1</x:v>
      </x:c>
      <x:c r="J23" s="21" t="str">
        <x:f>IF(AND(F23&gt;=H23,G23&gt;=I23),"PASS","FAIL")</x:f>
        <x:v>PASS</x:v>
      </x:c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MS-ET|C</x:v>
      </x:c>
      <x:c r="D24" s="19" t="str">
        <x:v>MS-ET</x:v>
      </x:c>
      <x:c r="E24" s="19" t="str">
        <x:v>Labor</x:v>
      </x:c>
      <x:c r="F24" s="32" t="n">
        <x:f>Labor!K9</x:f>
        <x:v>1.5432098765432098</x:v>
      </x:c>
      <x:c r="G24" s="32" t="n">
        <x:f>Labor!L9</x:f>
        <x:v>1.2345679012345678</x:v>
      </x:c>
      <x:c r="H24" s="32" t="n">
        <x:f>Controls!$D$7</x:f>
        <x:v>1.15</x:v>
      </x:c>
      <x:c r="I24" s="32" t="n">
        <x:f>Controls!$D$8</x:f>
        <x:v>1</x:v>
      </x:c>
      <x:c r="J24" s="21" t="str">
        <x:f>IF(AND(F24&gt;=H24,G24&gt;=I24),"PASS","FAIL")</x:f>
        <x:v>PASS</x:v>
      </x:c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MS-ET|C</x:v>
      </x:c>
      <x:c r="D25" s="19" t="str">
        <x:v>MS-ET</x:v>
      </x:c>
      <x:c r="E25" s="19" t="str">
        <x:v>Safety</x:v>
      </x:c>
      <x:c r="F25" s="32" t="n">
        <x:f>Safety!J9</x:f>
        <x:v>1.225</x:v>
      </x:c>
      <x:c r="G25" s="32" t="n">
        <x:f>Safety!K9</x:f>
        <x:v>1.05</x:v>
      </x:c>
      <x:c r="H25" s="32" t="n">
        <x:f>Controls!$D$7</x:f>
        <x:v>1.15</x:v>
      </x:c>
      <x:c r="I25" s="32" t="n">
        <x:f>Controls!$D$8</x:f>
        <x:v>1</x:v>
      </x:c>
      <x:c r="J25" s="21" t="str">
        <x:f>IF(AND(F25&gt;=H25,G25&gt;=I25),"PASS","FAIL")</x:f>
        <x:v>PASS</x:v>
      </x:c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19" t="str">
        <x:v>MS-ET|C</x:v>
      </x:c>
      <x:c r="D26" s="19" t="str">
        <x:v>MS-ET</x:v>
      </x:c>
      <x:c r="E26" s="19" t="str">
        <x:v>Receiver</x:v>
      </x:c>
      <x:c r="F26" s="32" t="n">
        <x:f>Receivers!I9</x:f>
        <x:v>1.225</x:v>
      </x:c>
      <x:c r="G26" s="32" t="n">
        <x:f>Receivers!J9</x:f>
        <x:v>1.05</x:v>
      </x:c>
      <x:c r="H26" s="32" t="n">
        <x:f>Controls!$D$7</x:f>
        <x:v>1.15</x:v>
      </x:c>
      <x:c r="I26" s="32" t="n">
        <x:f>Controls!$D$8</x:f>
        <x:v>1</x:v>
      </x:c>
      <x:c r="J26" s="21" t="str">
        <x:f>IF(AND(F26&gt;=H26,G26&gt;=I26),"PASS","FAIL")</x:f>
        <x:v>PASS</x:v>
      </x:c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19" t="str">
        <x:v>MS-ET|C</x:v>
      </x:c>
      <x:c r="D27" s="19" t="str">
        <x:v>MS-ET</x:v>
      </x:c>
      <x:c r="E27" s="19" t="str">
        <x:v>Residual</x:v>
      </x:c>
      <x:c r="F27" s="32" t="n">
        <x:f>Residual!M9</x:f>
        <x:v>1.26</x:v>
      </x:c>
      <x:c r="G27" s="32" t="n">
        <x:f>Residual!N9</x:f>
        <x:v>1.05</x:v>
      </x:c>
      <x:c r="H27" s="32" t="n">
        <x:f>Controls!$D$7</x:f>
        <x:v>1.15</x:v>
      </x:c>
      <x:c r="I27" s="32" t="n">
        <x:f>Controls!$D$8</x:f>
        <x:v>1</x:v>
      </x:c>
      <x:c r="J27" s="21" t="str">
        <x:f>IF(AND(F27&gt;=H27,G27&gt;=I27),"PASS","FAIL")</x:f>
        <x:v>PASS</x:v>
      </x:c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19" t="str">
        <x:v>MS-ET|D</x:v>
      </x:c>
      <x:c r="D28" s="19" t="str">
        <x:v>MS-ET</x:v>
      </x:c>
      <x:c r="E28" s="19" t="str">
        <x:v>Mass</x:v>
      </x:c>
      <x:c r="F28" s="32" t="n">
        <x:f>'Mass Access'!L10</x:f>
        <x:v>1.16</x:v>
      </x:c>
      <x:c r="G28" s="32" t="n">
        <x:f>'Mass Access'!M10</x:f>
        <x:v>1.0633333333333332</x:v>
      </x:c>
      <x:c r="H28" s="32" t="n">
        <x:f>Controls!$D$7</x:f>
        <x:v>1.15</x:v>
      </x:c>
      <x:c r="I28" s="32" t="n">
        <x:f>Controls!$D$8</x:f>
        <x:v>1</x:v>
      </x:c>
      <x:c r="J28" s="21" t="str">
        <x:f>IF(AND(F28&gt;=H28,G28&gt;=I28),"PASS","FAIL")</x:f>
        <x:v>PASS</x:v>
      </x:c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19" t="str">
        <x:v>MS-ET|D</x:v>
      </x:c>
      <x:c r="D29" s="19" t="str">
        <x:v>MS-ET</x:v>
      </x:c>
      <x:c r="E29" s="19" t="str">
        <x:v>Energy</x:v>
      </x:c>
      <x:c r="F29" s="32" t="n">
        <x:f>Energy!P10</x:f>
        <x:v>1.2923076923076924</x:v>
      </x:c>
      <x:c r="G29" s="32" t="n">
        <x:f>Energy!Q10</x:f>
        <x:v>1.1076923076923078</x:v>
      </x:c>
      <x:c r="H29" s="32" t="n">
        <x:f>Controls!$D$7</x:f>
        <x:v>1.15</x:v>
      </x:c>
      <x:c r="I29" s="32" t="n">
        <x:f>Controls!$D$8</x:f>
        <x:v>1</x:v>
      </x:c>
      <x:c r="J29" s="21" t="str">
        <x:f>IF(AND(F29&gt;=H29,G29&gt;=I29),"PASS","FAIL")</x:f>
        <x:v>PASS</x:v>
      </x:c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19" t="str">
        <x:v>MS-ET|D</x:v>
      </x:c>
      <x:c r="D30" s="19" t="str">
        <x:v>MS-ET</x:v>
      </x:c>
      <x:c r="E30" s="19" t="str">
        <x:v>Route flow</x:v>
      </x:c>
      <x:c r="F30" s="32" t="n">
        <x:f>MIN('Route Flow'!N22:N26)</x:f>
        <x:v>1.34</x:v>
      </x:c>
      <x:c r="G30" s="32" t="n">
        <x:f>MIN('Route Flow'!O22:O26)</x:f>
        <x:v>1.072</x:v>
      </x:c>
      <x:c r="H30" s="32" t="n">
        <x:f>Controls!$D$7</x:f>
        <x:v>1.15</x:v>
      </x:c>
      <x:c r="I30" s="32" t="n">
        <x:f>Controls!$D$8</x:f>
        <x:v>1</x:v>
      </x:c>
      <x:c r="J30" s="21" t="str">
        <x:f>IF(AND(F30&gt;=H30,G30&gt;=I30),"PASS","FAIL")</x:f>
        <x:v>PASS</x:v>
      </x:c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C31" s="19" t="str">
        <x:v>MS-ET|D</x:v>
      </x:c>
      <x:c r="D31" s="19" t="str">
        <x:v>MS-ET</x:v>
      </x:c>
      <x:c r="E31" s="19" t="str">
        <x:v>Labor</x:v>
      </x:c>
      <x:c r="F31" s="32" t="n">
        <x:f>Labor!K10</x:f>
        <x:v>1.5432098765432098</x:v>
      </x:c>
      <x:c r="G31" s="32" t="n">
        <x:f>Labor!L10</x:f>
        <x:v>1.2345679012345678</x:v>
      </x:c>
      <x:c r="H31" s="32" t="n">
        <x:f>Controls!$D$7</x:f>
        <x:v>1.15</x:v>
      </x:c>
      <x:c r="I31" s="32" t="n">
        <x:f>Controls!$D$8</x:f>
        <x:v>1</x:v>
      </x:c>
      <x:c r="J31" s="21" t="str">
        <x:f>IF(AND(F31&gt;=H31,G31&gt;=I31),"PASS","FAIL")</x:f>
        <x:v>PASS</x:v>
      </x:c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C32" s="19" t="str">
        <x:v>MS-ET|D</x:v>
      </x:c>
      <x:c r="D32" s="19" t="str">
        <x:v>MS-ET</x:v>
      </x:c>
      <x:c r="E32" s="19" t="str">
        <x:v>Safety</x:v>
      </x:c>
      <x:c r="F32" s="32" t="n">
        <x:f>Safety!J10</x:f>
        <x:v>1.225</x:v>
      </x:c>
      <x:c r="G32" s="32" t="n">
        <x:f>Safety!K10</x:f>
        <x:v>1.05</x:v>
      </x:c>
      <x:c r="H32" s="32" t="n">
        <x:f>Controls!$D$7</x:f>
        <x:v>1.15</x:v>
      </x:c>
      <x:c r="I32" s="32" t="n">
        <x:f>Controls!$D$8</x:f>
        <x:v>1</x:v>
      </x:c>
      <x:c r="J32" s="21" t="str">
        <x:f>IF(AND(F32&gt;=H32,G32&gt;=I32),"PASS","FAIL")</x:f>
        <x:v>PASS</x:v>
      </x:c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C33" s="19" t="str">
        <x:v>MS-ET|D</x:v>
      </x:c>
      <x:c r="D33" s="19" t="str">
        <x:v>MS-ET</x:v>
      </x:c>
      <x:c r="E33" s="19" t="str">
        <x:v>Receiver</x:v>
      </x:c>
      <x:c r="F33" s="32" t="n">
        <x:f>Receivers!I10</x:f>
        <x:v>1.1812500000000001</x:v>
      </x:c>
      <x:c r="G33" s="32" t="n">
        <x:f>Receivers!J10</x:f>
        <x:v>1.05</x:v>
      </x:c>
      <x:c r="H33" s="32" t="n">
        <x:f>Controls!$D$7</x:f>
        <x:v>1.15</x:v>
      </x:c>
      <x:c r="I33" s="32" t="n">
        <x:f>Controls!$D$8</x:f>
        <x:v>1</x:v>
      </x:c>
      <x:c r="J33" s="21" t="str">
        <x:f>IF(AND(F33&gt;=H33,G33&gt;=I33),"PASS","FAIL")</x:f>
        <x:v>PASS</x:v>
      </x:c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C34" s="19" t="str">
        <x:v>MS-ET|D</x:v>
      </x:c>
      <x:c r="D34" s="19" t="str">
        <x:v>MS-ET</x:v>
      </x:c>
      <x:c r="E34" s="19" t="str">
        <x:v>Residual</x:v>
      </x:c>
      <x:c r="F34" s="32" t="n">
        <x:f>Residual!M10</x:f>
        <x:v>1.26</x:v>
      </x:c>
      <x:c r="G34" s="32" t="n">
        <x:f>Residual!N10</x:f>
        <x:v>1.05</x:v>
      </x:c>
      <x:c r="H34" s="32" t="n">
        <x:f>Controls!$D$7</x:f>
        <x:v>1.15</x:v>
      </x:c>
      <x:c r="I34" s="32" t="n">
        <x:f>Controls!$D$8</x:f>
        <x:v>1</x:v>
      </x:c>
      <x:c r="J34" s="21" t="str">
        <x:f>IF(AND(F34&gt;=H34,G34&gt;=I34),"PASS","FAIL")</x:f>
        <x:v>PASS</x:v>
      </x:c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C35" s="19" t="str">
        <x:v>MS-CT|A</x:v>
      </x:c>
      <x:c r="D35" s="19" t="str">
        <x:v>MS-CT</x:v>
      </x:c>
      <x:c r="E35" s="19" t="str">
        <x:v>Mass</x:v>
      </x:c>
      <x:c r="F35" s="32" t="n">
        <x:f>'Mass Access'!L11</x:f>
        <x:v>1.173913043478261</x:v>
      </x:c>
      <x:c r="G35" s="32" t="n">
        <x:f>'Mass Access'!M11</x:f>
        <x:v>1.0271739130434783</x:v>
      </x:c>
      <x:c r="H35" s="32" t="n">
        <x:f>Controls!$D$7</x:f>
        <x:v>1.15</x:v>
      </x:c>
      <x:c r="I35" s="32" t="n">
        <x:f>Controls!$D$8</x:f>
        <x:v>1</x:v>
      </x:c>
      <x:c r="J35" s="21" t="str">
        <x:f>IF(AND(F35&gt;=H35,G35&gt;=I35),"PASS","FAIL")</x:f>
        <x:v>PASS</x:v>
      </x:c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C36" s="19" t="str">
        <x:v>MS-CT|A</x:v>
      </x:c>
      <x:c r="D36" s="19" t="str">
        <x:v>MS-CT</x:v>
      </x:c>
      <x:c r="E36" s="19" t="str">
        <x:v>Energy</x:v>
      </x:c>
      <x:c r="F36" s="32" t="n">
        <x:f>Energy!P11</x:f>
        <x:v>1.25</x:v>
      </x:c>
      <x:c r="G36" s="32" t="n">
        <x:f>Energy!Q11</x:f>
        <x:v>1.0416666666666667</x:v>
      </x:c>
      <x:c r="H36" s="32" t="n">
        <x:f>Controls!$D$7</x:f>
        <x:v>1.15</x:v>
      </x:c>
      <x:c r="I36" s="32" t="n">
        <x:f>Controls!$D$8</x:f>
        <x:v>1</x:v>
      </x:c>
      <x:c r="J36" s="21" t="str">
        <x:f>IF(AND(F36&gt;=H36,G36&gt;=I36),"PASS","FAIL")</x:f>
        <x:v>PASS</x:v>
      </x:c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C37" s="19" t="str">
        <x:v>MS-CT|A</x:v>
      </x:c>
      <x:c r="D37" s="19" t="str">
        <x:v>MS-CT</x:v>
      </x:c>
      <x:c r="E37" s="19" t="str">
        <x:v>Route flow</x:v>
      </x:c>
      <x:c r="F37" s="32" t="n">
        <x:f>MIN('Route Flow'!N27:N31)</x:f>
        <x:v>1.28</x:v>
      </x:c>
      <x:c r="G37" s="32" t="n">
        <x:f>MIN('Route Flow'!O27:O31)</x:f>
        <x:v>1.024</x:v>
      </x:c>
      <x:c r="H37" s="32" t="n">
        <x:f>Controls!$D$7</x:f>
        <x:v>1.15</x:v>
      </x:c>
      <x:c r="I37" s="32" t="n">
        <x:f>Controls!$D$8</x:f>
        <x:v>1</x:v>
      </x:c>
      <x:c r="J37" s="21" t="str">
        <x:f>IF(AND(F37&gt;=H37,G37&gt;=I37),"PASS","FAIL")</x:f>
        <x:v>PASS</x:v>
      </x:c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C38" s="19" t="str">
        <x:v>MS-CT|A</x:v>
      </x:c>
      <x:c r="D38" s="19" t="str">
        <x:v>MS-CT</x:v>
      </x:c>
      <x:c r="E38" s="19" t="str">
        <x:v>Labor</x:v>
      </x:c>
      <x:c r="F38" s="32" t="n">
        <x:f>Labor!K11</x:f>
        <x:v>1.5432098765432098</x:v>
      </x:c>
      <x:c r="G38" s="32" t="n">
        <x:f>Labor!L11</x:f>
        <x:v>1.2345679012345678</x:v>
      </x:c>
      <x:c r="H38" s="32" t="n">
        <x:f>Controls!$D$7</x:f>
        <x:v>1.15</x:v>
      </x:c>
      <x:c r="I38" s="32" t="n">
        <x:f>Controls!$D$8</x:f>
        <x:v>1</x:v>
      </x:c>
      <x:c r="J38" s="21" t="str">
        <x:f>IF(AND(F38&gt;=H38,G38&gt;=I38),"PASS","FAIL")</x:f>
        <x:v>PASS</x:v>
      </x:c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C39" s="19" t="str">
        <x:v>MS-CT|A</x:v>
      </x:c>
      <x:c r="D39" s="19" t="str">
        <x:v>MS-CT</x:v>
      </x:c>
      <x:c r="E39" s="19" t="str">
        <x:v>Safety</x:v>
      </x:c>
      <x:c r="F39" s="32" t="n">
        <x:f>Safety!J11</x:f>
        <x:v>1.2</x:v>
      </x:c>
      <x:c r="G39" s="32" t="n">
        <x:f>Safety!K11</x:f>
        <x:v>1.05</x:v>
      </x:c>
      <x:c r="H39" s="32" t="n">
        <x:f>Controls!$D$7</x:f>
        <x:v>1.15</x:v>
      </x:c>
      <x:c r="I39" s="32" t="n">
        <x:f>Controls!$D$8</x:f>
        <x:v>1</x:v>
      </x:c>
      <x:c r="J39" s="21" t="str">
        <x:f>IF(AND(F39&gt;=H39,G39&gt;=I39),"PASS","FAIL")</x:f>
        <x:v>PASS</x:v>
      </x:c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C40" s="19" t="str">
        <x:v>MS-CT|A</x:v>
      </x:c>
      <x:c r="D40" s="19" t="str">
        <x:v>MS-CT</x:v>
      </x:c>
      <x:c r="E40" s="19" t="str">
        <x:v>Receiver</x:v>
      </x:c>
      <x:c r="F40" s="32" t="n">
        <x:f>Receivers!I11</x:f>
        <x:v>1.2</x:v>
      </x:c>
      <x:c r="G40" s="32" t="n">
        <x:f>Receivers!J11</x:f>
        <x:v>1.05</x:v>
      </x:c>
      <x:c r="H40" s="32" t="n">
        <x:f>Controls!$D$7</x:f>
        <x:v>1.15</x:v>
      </x:c>
      <x:c r="I40" s="32" t="n">
        <x:f>Controls!$D$8</x:f>
        <x:v>1</x:v>
      </x:c>
      <x:c r="J40" s="21" t="str">
        <x:f>IF(AND(F40&gt;=H40,G40&gt;=I40),"PASS","FAIL")</x:f>
        <x:v>PASS</x:v>
      </x:c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C41" s="19" t="str">
        <x:v>MS-CT|A</x:v>
      </x:c>
      <x:c r="D41" s="19" t="str">
        <x:v>MS-CT</x:v>
      </x:c>
      <x:c r="E41" s="19" t="str">
        <x:v>Residual</x:v>
      </x:c>
      <x:c r="F41" s="32" t="n">
        <x:f>Residual!M11</x:f>
        <x:v>1.26</x:v>
      </x:c>
      <x:c r="G41" s="32" t="n">
        <x:f>Residual!N11</x:f>
        <x:v>1.05</x:v>
      </x:c>
      <x:c r="H41" s="32" t="n">
        <x:f>Controls!$D$7</x:f>
        <x:v>1.15</x:v>
      </x:c>
      <x:c r="I41" s="32" t="n">
        <x:f>Controls!$D$8</x:f>
        <x:v>1</x:v>
      </x:c>
      <x:c r="J41" s="21" t="str">
        <x:f>IF(AND(F41&gt;=H41,G41&gt;=I41),"PASS","FAIL")</x:f>
        <x:v>PASS</x:v>
      </x:c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C42" s="19" t="str">
        <x:v>MS-CT|B</x:v>
      </x:c>
      <x:c r="D42" s="19" t="str">
        <x:v>MS-CT</x:v>
      </x:c>
      <x:c r="E42" s="19" t="str">
        <x:v>Mass</x:v>
      </x:c>
      <x:c r="F42" s="32" t="n">
        <x:f>'Mass Access'!L12</x:f>
        <x:v>1.1666666666666667</x:v>
      </x:c>
      <x:c r="G42" s="32" t="n">
        <x:f>'Mass Access'!M12</x:f>
        <x:v>1.05</x:v>
      </x:c>
      <x:c r="H42" s="32" t="n">
        <x:f>Controls!$D$7</x:f>
        <x:v>1.15</x:v>
      </x:c>
      <x:c r="I42" s="32" t="n">
        <x:f>Controls!$D$8</x:f>
        <x:v>1</x:v>
      </x:c>
      <x:c r="J42" s="21" t="str">
        <x:f>IF(AND(F42&gt;=H42,G42&gt;=I42),"PASS","FAIL")</x:f>
        <x:v>PASS</x:v>
      </x:c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C43" s="19" t="str">
        <x:v>MS-CT|B</x:v>
      </x:c>
      <x:c r="D43" s="19" t="str">
        <x:v>MS-CT</x:v>
      </x:c>
      <x:c r="E43" s="19" t="str">
        <x:v>Energy</x:v>
      </x:c>
      <x:c r="F43" s="32" t="n">
        <x:f>Energy!P12</x:f>
        <x:v>1.1666666666666667</x:v>
      </x:c>
      <x:c r="G43" s="32" t="n">
        <x:f>Energy!Q12</x:f>
        <x:v>1</x:v>
      </x:c>
      <x:c r="H43" s="32" t="n">
        <x:f>Controls!$D$7</x:f>
        <x:v>1.15</x:v>
      </x:c>
      <x:c r="I43" s="32" t="n">
        <x:f>Controls!$D$8</x:f>
        <x:v>1</x:v>
      </x:c>
      <x:c r="J43" s="21" t="str">
        <x:f>IF(AND(F43&gt;=H43,G43&gt;=I43),"PASS","FAIL")</x:f>
        <x:v>PASS</x:v>
      </x:c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C44" s="19" t="str">
        <x:v>MS-CT|B</x:v>
      </x:c>
      <x:c r="D44" s="19" t="str">
        <x:v>MS-CT</x:v>
      </x:c>
      <x:c r="E44" s="19" t="str">
        <x:v>Route flow</x:v>
      </x:c>
      <x:c r="F44" s="32" t="n">
        <x:f>MIN('Route Flow'!N32:N36)</x:f>
        <x:v>1.3</x:v>
      </x:c>
      <x:c r="G44" s="32" t="n">
        <x:f>MIN('Route Flow'!O32:O36)</x:f>
        <x:v>1.04</x:v>
      </x:c>
      <x:c r="H44" s="32" t="n">
        <x:f>Controls!$D$7</x:f>
        <x:v>1.15</x:v>
      </x:c>
      <x:c r="I44" s="32" t="n">
        <x:f>Controls!$D$8</x:f>
        <x:v>1</x:v>
      </x:c>
      <x:c r="J44" s="21" t="str">
        <x:f>IF(AND(F44&gt;=H44,G44&gt;=I44),"PASS","FAIL")</x:f>
        <x:v>PASS</x:v>
      </x:c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C45" s="19" t="str">
        <x:v>MS-CT|B</x:v>
      </x:c>
      <x:c r="D45" s="19" t="str">
        <x:v>MS-CT</x:v>
      </x:c>
      <x:c r="E45" s="19" t="str">
        <x:v>Labor</x:v>
      </x:c>
      <x:c r="F45" s="32" t="n">
        <x:f>Labor!K12</x:f>
        <x:v>1.5432098765432098</x:v>
      </x:c>
      <x:c r="G45" s="32" t="n">
        <x:f>Labor!L12</x:f>
        <x:v>1.2345679012345678</x:v>
      </x:c>
      <x:c r="H45" s="32" t="n">
        <x:f>Controls!$D$7</x:f>
        <x:v>1.15</x:v>
      </x:c>
      <x:c r="I45" s="32" t="n">
        <x:f>Controls!$D$8</x:f>
        <x:v>1</x:v>
      </x:c>
      <x:c r="J45" s="21" t="str">
        <x:f>IF(AND(F45&gt;=H45,G45&gt;=I45),"PASS","FAIL")</x:f>
        <x:v>PASS</x:v>
      </x:c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C46" s="19" t="str">
        <x:v>MS-CT|B</x:v>
      </x:c>
      <x:c r="D46" s="19" t="str">
        <x:v>MS-CT</x:v>
      </x:c>
      <x:c r="E46" s="19" t="str">
        <x:v>Safety</x:v>
      </x:c>
      <x:c r="F46" s="32" t="n">
        <x:f>Safety!J12</x:f>
        <x:v>1.2</x:v>
      </x:c>
      <x:c r="G46" s="32" t="n">
        <x:f>Safety!K12</x:f>
        <x:v>1.05</x:v>
      </x:c>
      <x:c r="H46" s="32" t="n">
        <x:f>Controls!$D$7</x:f>
        <x:v>1.15</x:v>
      </x:c>
      <x:c r="I46" s="32" t="n">
        <x:f>Controls!$D$8</x:f>
        <x:v>1</x:v>
      </x:c>
      <x:c r="J46" s="21" t="str">
        <x:f>IF(AND(F46&gt;=H46,G46&gt;=I46),"PASS","FAIL")</x:f>
        <x:v>PASS</x:v>
      </x:c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C47" s="19" t="str">
        <x:v>MS-CT|B</x:v>
      </x:c>
      <x:c r="D47" s="19" t="str">
        <x:v>MS-CT</x:v>
      </x:c>
      <x:c r="E47" s="19" t="str">
        <x:v>Receiver</x:v>
      </x:c>
      <x:c r="F47" s="32" t="n">
        <x:f>Receivers!I12</x:f>
        <x:v>1.1812500000000001</x:v>
      </x:c>
      <x:c r="G47" s="32" t="n">
        <x:f>Receivers!J12</x:f>
        <x:v>1.05</x:v>
      </x:c>
      <x:c r="H47" s="32" t="n">
        <x:f>Controls!$D$7</x:f>
        <x:v>1.15</x:v>
      </x:c>
      <x:c r="I47" s="32" t="n">
        <x:f>Controls!$D$8</x:f>
        <x:v>1</x:v>
      </x:c>
      <x:c r="J47" s="21" t="str">
        <x:f>IF(AND(F47&gt;=H47,G47&gt;=I47),"PASS","FAIL")</x:f>
        <x:v>PASS</x:v>
      </x:c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C48" s="19" t="str">
        <x:v>MS-CT|B</x:v>
      </x:c>
      <x:c r="D48" s="19" t="str">
        <x:v>MS-CT</x:v>
      </x:c>
      <x:c r="E48" s="19" t="str">
        <x:v>Residual</x:v>
      </x:c>
      <x:c r="F48" s="32" t="n">
        <x:f>Residual!M12</x:f>
        <x:v>1.26</x:v>
      </x:c>
      <x:c r="G48" s="32" t="n">
        <x:f>Residual!N12</x:f>
        <x:v>1.05</x:v>
      </x:c>
      <x:c r="H48" s="32" t="n">
        <x:f>Controls!$D$7</x:f>
        <x:v>1.15</x:v>
      </x:c>
      <x:c r="I48" s="32" t="n">
        <x:f>Controls!$D$8</x:f>
        <x:v>1</x:v>
      </x:c>
      <x:c r="J48" s="21" t="str">
        <x:f>IF(AND(F48&gt;=H48,G48&gt;=I48),"PASS","FAIL")</x:f>
        <x:v>PASS</x:v>
      </x:c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C49" s="19" t="str">
        <x:v>MS-CT|C</x:v>
      </x:c>
      <x:c r="D49" s="19" t="str">
        <x:v>MS-CT</x:v>
      </x:c>
      <x:c r="E49" s="19" t="str">
        <x:v>Mass</x:v>
      </x:c>
      <x:c r="F49" s="32" t="n">
        <x:f>'Mass Access'!L13</x:f>
        <x:v>1.1612903225806452</x:v>
      </x:c>
      <x:c r="G49" s="32" t="n">
        <x:f>'Mass Access'!M13</x:f>
        <x:v>1.0451612903225806</x:v>
      </x:c>
      <x:c r="H49" s="32" t="n">
        <x:f>Controls!$D$7</x:f>
        <x:v>1.15</x:v>
      </x:c>
      <x:c r="I49" s="32" t="n">
        <x:f>Controls!$D$8</x:f>
        <x:v>1</x:v>
      </x:c>
      <x:c r="J49" s="21" t="str">
        <x:f>IF(AND(F49&gt;=H49,G49&gt;=I49),"PASS","FAIL")</x:f>
        <x:v>PASS</x:v>
      </x:c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C50" s="19" t="str">
        <x:v>MS-CT|C</x:v>
      </x:c>
      <x:c r="D50" s="19" t="str">
        <x:v>MS-CT</x:v>
      </x:c>
      <x:c r="E50" s="19" t="str">
        <x:v>Energy</x:v>
      </x:c>
      <x:c r="F50" s="32" t="n">
        <x:f>Energy!P13</x:f>
        <x:v>1.1666666666666667</x:v>
      </x:c>
      <x:c r="G50" s="32" t="n">
        <x:f>Energy!Q13</x:f>
        <x:v>1</x:v>
      </x:c>
      <x:c r="H50" s="32" t="n">
        <x:f>Controls!$D$7</x:f>
        <x:v>1.15</x:v>
      </x:c>
      <x:c r="I50" s="32" t="n">
        <x:f>Controls!$D$8</x:f>
        <x:v>1</x:v>
      </x:c>
      <x:c r="J50" s="21" t="str">
        <x:f>IF(AND(F50&gt;=H50,G50&gt;=I50),"PASS","FAIL")</x:f>
        <x:v>PASS</x:v>
      </x:c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C51" s="19" t="str">
        <x:v>MS-CT|C</x:v>
      </x:c>
      <x:c r="D51" s="19" t="str">
        <x:v>MS-CT</x:v>
      </x:c>
      <x:c r="E51" s="19" t="str">
        <x:v>Route flow</x:v>
      </x:c>
      <x:c r="F51" s="32" t="n">
        <x:f>MIN('Route Flow'!N37:N41)</x:f>
        <x:v>1.32</x:v>
      </x:c>
      <x:c r="G51" s="32" t="n">
        <x:f>MIN('Route Flow'!O37:O41)</x:f>
        <x:v>1.056</x:v>
      </x:c>
      <x:c r="H51" s="32" t="n">
        <x:f>Controls!$D$7</x:f>
        <x:v>1.15</x:v>
      </x:c>
      <x:c r="I51" s="32" t="n">
        <x:f>Controls!$D$8</x:f>
        <x:v>1</x:v>
      </x:c>
      <x:c r="J51" s="21" t="str">
        <x:f>IF(AND(F51&gt;=H51,G51&gt;=I51),"PASS","FAIL")</x:f>
        <x:v>PASS</x:v>
      </x:c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C52" s="19" t="str">
        <x:v>MS-CT|C</x:v>
      </x:c>
      <x:c r="D52" s="19" t="str">
        <x:v>MS-CT</x:v>
      </x:c>
      <x:c r="E52" s="19" t="str">
        <x:v>Labor</x:v>
      </x:c>
      <x:c r="F52" s="32" t="n">
        <x:f>Labor!K13</x:f>
        <x:v>1.5432098765432098</x:v>
      </x:c>
      <x:c r="G52" s="32" t="n">
        <x:f>Labor!L13</x:f>
        <x:v>1.2345679012345678</x:v>
      </x:c>
      <x:c r="H52" s="32" t="n">
        <x:f>Controls!$D$7</x:f>
        <x:v>1.15</x:v>
      </x:c>
      <x:c r="I52" s="32" t="n">
        <x:f>Controls!$D$8</x:f>
        <x:v>1</x:v>
      </x:c>
      <x:c r="J52" s="21" t="str">
        <x:f>IF(AND(F52&gt;=H52,G52&gt;=I52),"PASS","FAIL")</x:f>
        <x:v>PASS</x:v>
      </x:c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C53" s="19" t="str">
        <x:v>MS-CT|C</x:v>
      </x:c>
      <x:c r="D53" s="19" t="str">
        <x:v>MS-CT</x:v>
      </x:c>
      <x:c r="E53" s="19" t="str">
        <x:v>Safety</x:v>
      </x:c>
      <x:c r="F53" s="32" t="n">
        <x:f>Safety!J13</x:f>
        <x:v>1.2</x:v>
      </x:c>
      <x:c r="G53" s="32" t="n">
        <x:f>Safety!K13</x:f>
        <x:v>1.05</x:v>
      </x:c>
      <x:c r="H53" s="32" t="n">
        <x:f>Controls!$D$7</x:f>
        <x:v>1.15</x:v>
      </x:c>
      <x:c r="I53" s="32" t="n">
        <x:f>Controls!$D$8</x:f>
        <x:v>1</x:v>
      </x:c>
      <x:c r="J53" s="21" t="str">
        <x:f>IF(AND(F53&gt;=H53,G53&gt;=I53),"PASS","FAIL")</x:f>
        <x:v>PASS</x:v>
      </x:c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C54" s="19" t="str">
        <x:v>MS-CT|C</x:v>
      </x:c>
      <x:c r="D54" s="19" t="str">
        <x:v>MS-CT</x:v>
      </x:c>
      <x:c r="E54" s="19" t="str">
        <x:v>Receiver</x:v>
      </x:c>
      <x:c r="F54" s="32" t="n">
        <x:f>Receivers!I13</x:f>
        <x:v>1.2</x:v>
      </x:c>
      <x:c r="G54" s="32" t="n">
        <x:f>Receivers!J13</x:f>
        <x:v>1.05</x:v>
      </x:c>
      <x:c r="H54" s="32" t="n">
        <x:f>Controls!$D$7</x:f>
        <x:v>1.15</x:v>
      </x:c>
      <x:c r="I54" s="32" t="n">
        <x:f>Controls!$D$8</x:f>
        <x:v>1</x:v>
      </x:c>
      <x:c r="J54" s="21" t="str">
        <x:f>IF(AND(F54&gt;=H54,G54&gt;=I54),"PASS","FAIL")</x:f>
        <x:v>PASS</x:v>
      </x:c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C55" s="19" t="str">
        <x:v>MS-CT|C</x:v>
      </x:c>
      <x:c r="D55" s="19" t="str">
        <x:v>MS-CT</x:v>
      </x:c>
      <x:c r="E55" s="19" t="str">
        <x:v>Residual</x:v>
      </x:c>
      <x:c r="F55" s="32" t="n">
        <x:f>Residual!M13</x:f>
        <x:v>1.2600000000000002</x:v>
      </x:c>
      <x:c r="G55" s="32" t="n">
        <x:f>Residual!N13</x:f>
        <x:v>1.05</x:v>
      </x:c>
      <x:c r="H55" s="32" t="n">
        <x:f>Controls!$D$7</x:f>
        <x:v>1.15</x:v>
      </x:c>
      <x:c r="I55" s="32" t="n">
        <x:f>Controls!$D$8</x:f>
        <x:v>1</x:v>
      </x:c>
      <x:c r="J55" s="21" t="str">
        <x:f>IF(AND(F55&gt;=H55,G55&gt;=I55),"PASS","FAIL")</x:f>
        <x:v>PASS</x:v>
      </x:c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C56" s="19" t="str">
        <x:v>MS-CT|D</x:v>
      </x:c>
      <x:c r="D56" s="19" t="str">
        <x:v>MS-CT</x:v>
      </x:c>
      <x:c r="E56" s="19" t="str">
        <x:v>Mass</x:v>
      </x:c>
      <x:c r="F56" s="32" t="n">
        <x:f>'Mass Access'!L14</x:f>
        <x:v>1.175</x:v>
      </x:c>
      <x:c r="G56" s="32" t="n">
        <x:f>'Mass Access'!M14</x:f>
        <x:v>1.0681818181818181</x:v>
      </x:c>
      <x:c r="H56" s="32" t="n">
        <x:f>Controls!$D$7</x:f>
        <x:v>1.15</x:v>
      </x:c>
      <x:c r="I56" s="32" t="n">
        <x:f>Controls!$D$8</x:f>
        <x:v>1</x:v>
      </x:c>
      <x:c r="J56" s="21" t="str">
        <x:f>IF(AND(F56&gt;=H56,G56&gt;=I56),"PASS","FAIL")</x:f>
        <x:v>PASS</x:v>
      </x:c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C57" s="19" t="str">
        <x:v>MS-CT|D</x:v>
      </x:c>
      <x:c r="D57" s="19" t="str">
        <x:v>MS-CT</x:v>
      </x:c>
      <x:c r="E57" s="19" t="str">
        <x:v>Energy</x:v>
      </x:c>
      <x:c r="F57" s="32" t="n">
        <x:f>Energy!P14</x:f>
        <x:v>1.1973684210526316</x:v>
      </x:c>
      <x:c r="G57" s="32" t="n">
        <x:f>Energy!Q14</x:f>
        <x:v>1.0263157894736843</x:v>
      </x:c>
      <x:c r="H57" s="32" t="n">
        <x:f>Controls!$D$7</x:f>
        <x:v>1.15</x:v>
      </x:c>
      <x:c r="I57" s="32" t="n">
        <x:f>Controls!$D$8</x:f>
        <x:v>1</x:v>
      </x:c>
      <x:c r="J57" s="21" t="str">
        <x:f>IF(AND(F57&gt;=H57,G57&gt;=I57),"PASS","FAIL")</x:f>
        <x:v>PASS</x:v>
      </x:c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C58" s="19" t="str">
        <x:v>MS-CT|D</x:v>
      </x:c>
      <x:c r="D58" s="19" t="str">
        <x:v>MS-CT</x:v>
      </x:c>
      <x:c r="E58" s="19" t="str">
        <x:v>Route flow</x:v>
      </x:c>
      <x:c r="F58" s="32" t="n">
        <x:f>MIN('Route Flow'!N42:N46)</x:f>
        <x:v>1.34</x:v>
      </x:c>
      <x:c r="G58" s="32" t="n">
        <x:f>MIN('Route Flow'!O42:O46)</x:f>
        <x:v>1.072</x:v>
      </x:c>
      <x:c r="H58" s="32" t="n">
        <x:f>Controls!$D$7</x:f>
        <x:v>1.15</x:v>
      </x:c>
      <x:c r="I58" s="32" t="n">
        <x:f>Controls!$D$8</x:f>
        <x:v>1</x:v>
      </x:c>
      <x:c r="J58" s="21" t="str">
        <x:f>IF(AND(F58&gt;=H58,G58&gt;=I58),"PASS","FAIL")</x:f>
        <x:v>PASS</x:v>
      </x:c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C59" s="19" t="str">
        <x:v>MS-CT|D</x:v>
      </x:c>
      <x:c r="D59" s="19" t="str">
        <x:v>MS-CT</x:v>
      </x:c>
      <x:c r="E59" s="19" t="str">
        <x:v>Labor</x:v>
      </x:c>
      <x:c r="F59" s="32" t="n">
        <x:f>Labor!K14</x:f>
        <x:v>1.5432098765432098</x:v>
      </x:c>
      <x:c r="G59" s="32" t="n">
        <x:f>Labor!L14</x:f>
        <x:v>1.2345679012345678</x:v>
      </x:c>
      <x:c r="H59" s="32" t="n">
        <x:f>Controls!$D$7</x:f>
        <x:v>1.15</x:v>
      </x:c>
      <x:c r="I59" s="32" t="n">
        <x:f>Controls!$D$8</x:f>
        <x:v>1</x:v>
      </x:c>
      <x:c r="J59" s="21" t="str">
        <x:f>IF(AND(F59&gt;=H59,G59&gt;=I59),"PASS","FAIL")</x:f>
        <x:v>PASS</x:v>
      </x:c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C60" s="19" t="str">
        <x:v>MS-CT|D</x:v>
      </x:c>
      <x:c r="D60" s="19" t="str">
        <x:v>MS-CT</x:v>
      </x:c>
      <x:c r="E60" s="19" t="str">
        <x:v>Safety</x:v>
      </x:c>
      <x:c r="F60" s="32" t="n">
        <x:f>Safety!J14</x:f>
        <x:v>1.2</x:v>
      </x:c>
      <x:c r="G60" s="32" t="n">
        <x:f>Safety!K14</x:f>
        <x:v>1.05</x:v>
      </x:c>
      <x:c r="H60" s="32" t="n">
        <x:f>Controls!$D$7</x:f>
        <x:v>1.15</x:v>
      </x:c>
      <x:c r="I60" s="32" t="n">
        <x:f>Controls!$D$8</x:f>
        <x:v>1</x:v>
      </x:c>
      <x:c r="J60" s="21" t="str">
        <x:f>IF(AND(F60&gt;=H60,G60&gt;=I60),"PASS","FAIL")</x:f>
        <x:v>PASS</x:v>
      </x:c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C61" s="19" t="str">
        <x:v>MS-CT|D</x:v>
      </x:c>
      <x:c r="D61" s="19" t="str">
        <x:v>MS-CT</x:v>
      </x:c>
      <x:c r="E61" s="19" t="str">
        <x:v>Receiver</x:v>
      </x:c>
      <x:c r="F61" s="32" t="n">
        <x:f>Receivers!I14</x:f>
        <x:v>1.1666666666666667</x:v>
      </x:c>
      <x:c r="G61" s="32" t="n">
        <x:f>Receivers!J14</x:f>
        <x:v>1.05</x:v>
      </x:c>
      <x:c r="H61" s="32" t="n">
        <x:f>Controls!$D$7</x:f>
        <x:v>1.15</x:v>
      </x:c>
      <x:c r="I61" s="32" t="n">
        <x:f>Controls!$D$8</x:f>
        <x:v>1</x:v>
      </x:c>
      <x:c r="J61" s="21" t="str">
        <x:f>IF(AND(F61&gt;=H61,G61&gt;=I61),"PASS","FAIL")</x:f>
        <x:v>PASS</x:v>
      </x:c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C62" s="19" t="str">
        <x:v>MS-CT|D</x:v>
      </x:c>
      <x:c r="D62" s="19" t="str">
        <x:v>MS-CT</x:v>
      </x:c>
      <x:c r="E62" s="19" t="str">
        <x:v>Residual</x:v>
      </x:c>
      <x:c r="F62" s="32" t="n">
        <x:f>Residual!M14</x:f>
        <x:v>1.26</x:v>
      </x:c>
      <x:c r="G62" s="32" t="n">
        <x:f>Residual!N14</x:f>
        <x:v>1.05</x:v>
      </x:c>
      <x:c r="H62" s="32" t="n">
        <x:f>Controls!$D$7</x:f>
        <x:v>1.15</x:v>
      </x:c>
      <x:c r="I62" s="32" t="n">
        <x:f>Controls!$D$8</x:f>
        <x:v>1</x:v>
      </x:c>
      <x:c r="J62" s="21" t="str">
        <x:f>IF(AND(F62&gt;=H62,G62&gt;=I62),"PASS","FAIL")</x:f>
        <x:v>PASS</x:v>
      </x:c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C63" s="19" t="str">
        <x:v>MS-HC|A</x:v>
      </x:c>
      <x:c r="D63" s="19" t="str">
        <x:v>MS-HC</x:v>
      </x:c>
      <x:c r="E63" s="19" t="str">
        <x:v>Mass</x:v>
      </x:c>
      <x:c r="F63" s="32" t="n">
        <x:f>'Mass Access'!L15</x:f>
        <x:v>1.1666666666666667</x:v>
      </x:c>
      <x:c r="G63" s="32" t="n">
        <x:f>'Mass Access'!M15</x:f>
        <x:v>1.05</x:v>
      </x:c>
      <x:c r="H63" s="32" t="n">
        <x:f>Controls!$D$7</x:f>
        <x:v>1.15</x:v>
      </x:c>
      <x:c r="I63" s="32" t="n">
        <x:f>Controls!$D$8</x:f>
        <x:v>1</x:v>
      </x:c>
      <x:c r="J63" s="21" t="str">
        <x:f>IF(AND(F63&gt;=H63,G63&gt;=I63),"PASS","FAIL")</x:f>
        <x:v>PASS</x:v>
      </x:c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C64" s="19" t="str">
        <x:v>MS-HC|A</x:v>
      </x:c>
      <x:c r="D64" s="19" t="str">
        <x:v>MS-HC</x:v>
      </x:c>
      <x:c r="E64" s="19" t="str">
        <x:v>Energy</x:v>
      </x:c>
      <x:c r="F64" s="32" t="n">
        <x:f>Energy!P15</x:f>
        <x:v>1.1714285714285715</x:v>
      </x:c>
      <x:c r="G64" s="32" t="n">
        <x:f>Energy!Q15</x:f>
        <x:v>1.025</x:v>
      </x:c>
      <x:c r="H64" s="32" t="n">
        <x:f>Controls!$D$7</x:f>
        <x:v>1.15</x:v>
      </x:c>
      <x:c r="I64" s="32" t="n">
        <x:f>Controls!$D$8</x:f>
        <x:v>1</x:v>
      </x:c>
      <x:c r="J64" s="21" t="str">
        <x:f>IF(AND(F64&gt;=H64,G64&gt;=I64),"PASS","FAIL")</x:f>
        <x:v>PASS</x:v>
      </x:c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C65" s="19" t="str">
        <x:v>MS-HC|A</x:v>
      </x:c>
      <x:c r="D65" s="19" t="str">
        <x:v>MS-HC</x:v>
      </x:c>
      <x:c r="E65" s="19" t="str">
        <x:v>Route flow</x:v>
      </x:c>
      <x:c r="F65" s="32" t="n">
        <x:f>MIN('Route Flow'!N47:N49)</x:f>
        <x:v>1.28</x:v>
      </x:c>
      <x:c r="G65" s="32" t="n">
        <x:f>MIN('Route Flow'!O47:O49)</x:f>
        <x:v>1.024</x:v>
      </x:c>
      <x:c r="H65" s="32" t="n">
        <x:f>Controls!$D$7</x:f>
        <x:v>1.15</x:v>
      </x:c>
      <x:c r="I65" s="32" t="n">
        <x:f>Controls!$D$8</x:f>
        <x:v>1</x:v>
      </x:c>
      <x:c r="J65" s="21" t="str">
        <x:f>IF(AND(F65&gt;=H65,G65&gt;=I65),"PASS","FAIL")</x:f>
        <x:v>PASS</x:v>
      </x:c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C66" s="19" t="str">
        <x:v>MS-HC|A</x:v>
      </x:c>
      <x:c r="D66" s="19" t="str">
        <x:v>MS-HC</x:v>
      </x:c>
      <x:c r="E66" s="19" t="str">
        <x:v>Labor</x:v>
      </x:c>
      <x:c r="F66" s="32" t="n">
        <x:f>Labor!K15</x:f>
        <x:v>1.5432098765432098</x:v>
      </x:c>
      <x:c r="G66" s="32" t="n">
        <x:f>Labor!L15</x:f>
        <x:v>1.2345679012345678</x:v>
      </x:c>
      <x:c r="H66" s="32" t="n">
        <x:f>Controls!$D$7</x:f>
        <x:v>1.15</x:v>
      </x:c>
      <x:c r="I66" s="32" t="n">
        <x:f>Controls!$D$8</x:f>
        <x:v>1</x:v>
      </x:c>
      <x:c r="J66" s="21" t="str">
        <x:f>IF(AND(F66&gt;=H66,G66&gt;=I66),"PASS","FAIL")</x:f>
        <x:v>PASS</x:v>
      </x:c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C67" s="19" t="str">
        <x:v>MS-HC|A</x:v>
      </x:c>
      <x:c r="D67" s="19" t="str">
        <x:v>MS-HC</x:v>
      </x:c>
      <x:c r="E67" s="19" t="str">
        <x:v>Safety</x:v>
      </x:c>
      <x:c r="F67" s="32" t="n">
        <x:f>Safety!J15</x:f>
        <x:v>1.2</x:v>
      </x:c>
      <x:c r="G67" s="32" t="n">
        <x:f>Safety!K15</x:f>
        <x:v>1.05</x:v>
      </x:c>
      <x:c r="H67" s="32" t="n">
        <x:f>Controls!$D$7</x:f>
        <x:v>1.15</x:v>
      </x:c>
      <x:c r="I67" s="32" t="n">
        <x:f>Controls!$D$8</x:f>
        <x:v>1</x:v>
      </x:c>
      <x:c r="J67" s="21" t="str">
        <x:f>IF(AND(F67&gt;=H67,G67&gt;=I67),"PASS","FAIL")</x:f>
        <x:v>PASS</x:v>
      </x:c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C68" s="19" t="str">
        <x:v>MS-HC|A</x:v>
      </x:c>
      <x:c r="D68" s="19" t="str">
        <x:v>MS-HC</x:v>
      </x:c>
      <x:c r="E68" s="19" t="str">
        <x:v>Receiver</x:v>
      </x:c>
      <x:c r="F68" s="32" t="n">
        <x:f>Receivers!I15</x:f>
        <x:v>1.2</x:v>
      </x:c>
      <x:c r="G68" s="32" t="n">
        <x:f>Receivers!J15</x:f>
        <x:v>1.05</x:v>
      </x:c>
      <x:c r="H68" s="32" t="n">
        <x:f>Controls!$D$7</x:f>
        <x:v>1.15</x:v>
      </x:c>
      <x:c r="I68" s="32" t="n">
        <x:f>Controls!$D$8</x:f>
        <x:v>1</x:v>
      </x:c>
      <x:c r="J68" s="21" t="str">
        <x:f>IF(AND(F68&gt;=H68,G68&gt;=I68),"PASS","FAIL")</x:f>
        <x:v>PASS</x:v>
      </x:c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C69" s="19" t="str">
        <x:v>MS-HC|A</x:v>
      </x:c>
      <x:c r="D69" s="19" t="str">
        <x:v>MS-HC</x:v>
      </x:c>
      <x:c r="E69" s="19" t="str">
        <x:v>Residual</x:v>
      </x:c>
      <x:c r="F69" s="32" t="n">
        <x:f>Residual!M15</x:f>
        <x:v>1.26</x:v>
      </x:c>
      <x:c r="G69" s="32" t="n">
        <x:f>Residual!N15</x:f>
        <x:v>1.05</x:v>
      </x:c>
      <x:c r="H69" s="32" t="n">
        <x:f>Controls!$D$7</x:f>
        <x:v>1.15</x:v>
      </x:c>
      <x:c r="I69" s="32" t="n">
        <x:f>Controls!$D$8</x:f>
        <x:v>1</x:v>
      </x:c>
      <x:c r="J69" s="21" t="str">
        <x:f>IF(AND(F69&gt;=H69,G69&gt;=I69),"PASS","FAIL")</x:f>
        <x:v>PASS</x:v>
      </x:c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C70" s="19" t="str">
        <x:v>MS-HC|B</x:v>
      </x:c>
      <x:c r="D70" s="19" t="str">
        <x:v>MS-HC</x:v>
      </x:c>
      <x:c r="E70" s="19" t="str">
        <x:v>Mass</x:v>
      </x:c>
      <x:c r="F70" s="32" t="n">
        <x:f>'Mass Access'!L16</x:f>
        <x:v>1.2</x:v>
      </x:c>
      <x:c r="G70" s="32" t="n">
        <x:f>'Mass Access'!M16</x:f>
        <x:v>1.0666666666666667</x:v>
      </x:c>
      <x:c r="H70" s="32" t="n">
        <x:f>Controls!$D$7</x:f>
        <x:v>1.15</x:v>
      </x:c>
      <x:c r="I70" s="32" t="n">
        <x:f>Controls!$D$8</x:f>
        <x:v>1</x:v>
      </x:c>
      <x:c r="J70" s="21" t="str">
        <x:f>IF(AND(F70&gt;=H70,G70&gt;=I70),"PASS","FAIL")</x:f>
        <x:v>PASS</x:v>
      </x:c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C71" s="19" t="str">
        <x:v>MS-HC|B</x:v>
      </x:c>
      <x:c r="D71" s="19" t="str">
        <x:v>MS-HC</x:v>
      </x:c>
      <x:c r="E71" s="19" t="str">
        <x:v>Energy</x:v>
      </x:c>
      <x:c r="F71" s="32" t="n">
        <x:f>Energy!P16</x:f>
        <x:v>1.263157894736842</x:v>
      </x:c>
      <x:c r="G71" s="32" t="n">
        <x:f>Energy!Q16</x:f>
        <x:v>1.0526315789473684</x:v>
      </x:c>
      <x:c r="H71" s="32" t="n">
        <x:f>Controls!$D$7</x:f>
        <x:v>1.15</x:v>
      </x:c>
      <x:c r="I71" s="32" t="n">
        <x:f>Controls!$D$8</x:f>
        <x:v>1</x:v>
      </x:c>
      <x:c r="J71" s="21" t="str">
        <x:f>IF(AND(F71&gt;=H71,G71&gt;=I71),"PASS","FAIL")</x:f>
        <x:v>PASS</x:v>
      </x:c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C72" s="19" t="str">
        <x:v>MS-HC|B</x:v>
      </x:c>
      <x:c r="D72" s="19" t="str">
        <x:v>MS-HC</x:v>
      </x:c>
      <x:c r="E72" s="19" t="str">
        <x:v>Route flow</x:v>
      </x:c>
      <x:c r="F72" s="32" t="n">
        <x:f>MIN('Route Flow'!N50:N52)</x:f>
        <x:v>1.3</x:v>
      </x:c>
      <x:c r="G72" s="32" t="n">
        <x:f>MIN('Route Flow'!O50:O52)</x:f>
        <x:v>1.04</x:v>
      </x:c>
      <x:c r="H72" s="32" t="n">
        <x:f>Controls!$D$7</x:f>
        <x:v>1.15</x:v>
      </x:c>
      <x:c r="I72" s="32" t="n">
        <x:f>Controls!$D$8</x:f>
        <x:v>1</x:v>
      </x:c>
      <x:c r="J72" s="21" t="str">
        <x:f>IF(AND(F72&gt;=H72,G72&gt;=I72),"PASS","FAIL")</x:f>
        <x:v>PASS</x:v>
      </x:c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C73" s="19" t="str">
        <x:v>MS-HC|B</x:v>
      </x:c>
      <x:c r="D73" s="19" t="str">
        <x:v>MS-HC</x:v>
      </x:c>
      <x:c r="E73" s="19" t="str">
        <x:v>Labor</x:v>
      </x:c>
      <x:c r="F73" s="32" t="n">
        <x:f>Labor!K16</x:f>
        <x:v>1.5432098765432098</x:v>
      </x:c>
      <x:c r="G73" s="32" t="n">
        <x:f>Labor!L16</x:f>
        <x:v>1.2345679012345678</x:v>
      </x:c>
      <x:c r="H73" s="32" t="n">
        <x:f>Controls!$D$7</x:f>
        <x:v>1.15</x:v>
      </x:c>
      <x:c r="I73" s="32" t="n">
        <x:f>Controls!$D$8</x:f>
        <x:v>1</x:v>
      </x:c>
      <x:c r="J73" s="21" t="str">
        <x:f>IF(AND(F73&gt;=H73,G73&gt;=I73),"PASS","FAIL")</x:f>
        <x:v>PASS</x:v>
      </x:c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C74" s="19" t="str">
        <x:v>MS-HC|B</x:v>
      </x:c>
      <x:c r="D74" s="19" t="str">
        <x:v>MS-HC</x:v>
      </x:c>
      <x:c r="E74" s="19" t="str">
        <x:v>Safety</x:v>
      </x:c>
      <x:c r="F74" s="32" t="n">
        <x:f>Safety!J16</x:f>
        <x:v>1.225</x:v>
      </x:c>
      <x:c r="G74" s="32" t="n">
        <x:f>Safety!K16</x:f>
        <x:v>1.05</x:v>
      </x:c>
      <x:c r="H74" s="32" t="n">
        <x:f>Controls!$D$7</x:f>
        <x:v>1.15</x:v>
      </x:c>
      <x:c r="I74" s="32" t="n">
        <x:f>Controls!$D$8</x:f>
        <x:v>1</x:v>
      </x:c>
      <x:c r="J74" s="21" t="str">
        <x:f>IF(AND(F74&gt;=H74,G74&gt;=I74),"PASS","FAIL")</x:f>
        <x:v>PASS</x:v>
      </x:c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C75" s="19" t="str">
        <x:v>MS-HC|B</x:v>
      </x:c>
      <x:c r="D75" s="19" t="str">
        <x:v>MS-HC</x:v>
      </x:c>
      <x:c r="E75" s="19" t="str">
        <x:v>Receiver</x:v>
      </x:c>
      <x:c r="F75" s="32" t="n">
        <x:f>Receivers!I16</x:f>
        <x:v>1.225</x:v>
      </x:c>
      <x:c r="G75" s="32" t="n">
        <x:f>Receivers!J16</x:f>
        <x:v>1.05</x:v>
      </x:c>
      <x:c r="H75" s="32" t="n">
        <x:f>Controls!$D$7</x:f>
        <x:v>1.15</x:v>
      </x:c>
      <x:c r="I75" s="32" t="n">
        <x:f>Controls!$D$8</x:f>
        <x:v>1</x:v>
      </x:c>
      <x:c r="J75" s="21" t="str">
        <x:f>IF(AND(F75&gt;=H75,G75&gt;=I75),"PASS","FAIL")</x:f>
        <x:v>PASS</x:v>
      </x:c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C76" s="19" t="str">
        <x:v>MS-HC|B</x:v>
      </x:c>
      <x:c r="D76" s="19" t="str">
        <x:v>MS-HC</x:v>
      </x:c>
      <x:c r="E76" s="19" t="str">
        <x:v>Residual</x:v>
      </x:c>
      <x:c r="F76" s="32" t="n">
        <x:f>Residual!M16</x:f>
        <x:v>1.26</x:v>
      </x:c>
      <x:c r="G76" s="32" t="n">
        <x:f>Residual!N16</x:f>
        <x:v>1.05</x:v>
      </x:c>
      <x:c r="H76" s="32" t="n">
        <x:f>Controls!$D$7</x:f>
        <x:v>1.15</x:v>
      </x:c>
      <x:c r="I76" s="32" t="n">
        <x:f>Controls!$D$8</x:f>
        <x:v>1</x:v>
      </x:c>
      <x:c r="J76" s="21" t="str">
        <x:f>IF(AND(F76&gt;=H76,G76&gt;=I76),"PASS","FAIL")</x:f>
        <x:v>PASS</x:v>
      </x:c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C77" s="19" t="str">
        <x:v>MS-HC|C</x:v>
      </x:c>
      <x:c r="D77" s="19" t="str">
        <x:v>MS-HC</x:v>
      </x:c>
      <x:c r="E77" s="19" t="str">
        <x:v>Mass</x:v>
      </x:c>
      <x:c r="F77" s="32" t="n">
        <x:f>'Mass Access'!L17</x:f>
        <x:v>1.1671875</x:v>
      </x:c>
      <x:c r="G77" s="32" t="n">
        <x:f>'Mass Access'!M17</x:f>
        <x:v>1.0375</x:v>
      </x:c>
      <x:c r="H77" s="32" t="n">
        <x:f>Controls!$D$7</x:f>
        <x:v>1.15</x:v>
      </x:c>
      <x:c r="I77" s="32" t="n">
        <x:f>Controls!$D$8</x:f>
        <x:v>1</x:v>
      </x:c>
      <x:c r="J77" s="21" t="str">
        <x:f>IF(AND(F77&gt;=H77,G77&gt;=I77),"PASS","FAIL")</x:f>
        <x:v>PASS</x:v>
      </x:c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C78" s="19" t="str">
        <x:v>MS-HC|C</x:v>
      </x:c>
      <x:c r="D78" s="19" t="str">
        <x:v>MS-HC</x:v>
      </x:c>
      <x:c r="E78" s="19" t="str">
        <x:v>Energy</x:v>
      </x:c>
      <x:c r="F78" s="32" t="n">
        <x:f>Energy!P17</x:f>
        <x:v>1.2705882352941176</x:v>
      </x:c>
      <x:c r="G78" s="32" t="n">
        <x:f>Energy!Q17</x:f>
        <x:v>1.0588235294117647</x:v>
      </x:c>
      <x:c r="H78" s="32" t="n">
        <x:f>Controls!$D$7</x:f>
        <x:v>1.15</x:v>
      </x:c>
      <x:c r="I78" s="32" t="n">
        <x:f>Controls!$D$8</x:f>
        <x:v>1</x:v>
      </x:c>
      <x:c r="J78" s="21" t="str">
        <x:f>IF(AND(F78&gt;=H78,G78&gt;=I78),"PASS","FAIL")</x:f>
        <x:v>PASS</x:v>
      </x:c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C79" s="19" t="str">
        <x:v>MS-HC|C</x:v>
      </x:c>
      <x:c r="D79" s="19" t="str">
        <x:v>MS-HC</x:v>
      </x:c>
      <x:c r="E79" s="19" t="str">
        <x:v>Route flow</x:v>
      </x:c>
      <x:c r="F79" s="32" t="n">
        <x:f>MIN('Route Flow'!N53:N55)</x:f>
        <x:v>1.32</x:v>
      </x:c>
      <x:c r="G79" s="32" t="n">
        <x:f>MIN('Route Flow'!O53:O55)</x:f>
        <x:v>1.056</x:v>
      </x:c>
      <x:c r="H79" s="32" t="n">
        <x:f>Controls!$D$7</x:f>
        <x:v>1.15</x:v>
      </x:c>
      <x:c r="I79" s="32" t="n">
        <x:f>Controls!$D$8</x:f>
        <x:v>1</x:v>
      </x:c>
      <x:c r="J79" s="21" t="str">
        <x:f>IF(AND(F79&gt;=H79,G79&gt;=I79),"PASS","FAIL")</x:f>
        <x:v>PASS</x:v>
      </x:c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C80" s="19" t="str">
        <x:v>MS-HC|C</x:v>
      </x:c>
      <x:c r="D80" s="19" t="str">
        <x:v>MS-HC</x:v>
      </x:c>
      <x:c r="E80" s="19" t="str">
        <x:v>Labor</x:v>
      </x:c>
      <x:c r="F80" s="32" t="n">
        <x:f>Labor!K17</x:f>
        <x:v>1.5432098765432098</x:v>
      </x:c>
      <x:c r="G80" s="32" t="n">
        <x:f>Labor!L17</x:f>
        <x:v>1.2345679012345678</x:v>
      </x:c>
      <x:c r="H80" s="32" t="n">
        <x:f>Controls!$D$7</x:f>
        <x:v>1.15</x:v>
      </x:c>
      <x:c r="I80" s="32" t="n">
        <x:f>Controls!$D$8</x:f>
        <x:v>1</x:v>
      </x:c>
      <x:c r="J80" s="21" t="str">
        <x:f>IF(AND(F80&gt;=H80,G80&gt;=I80),"PASS","FAIL")</x:f>
        <x:v>PASS</x:v>
      </x:c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C81" s="19" t="str">
        <x:v>MS-HC|C</x:v>
      </x:c>
      <x:c r="D81" s="19" t="str">
        <x:v>MS-HC</x:v>
      </x:c>
      <x:c r="E81" s="19" t="str">
        <x:v>Safety</x:v>
      </x:c>
      <x:c r="F81" s="32" t="n">
        <x:f>Safety!J17</x:f>
        <x:v>1.22528</x:v>
      </x:c>
      <x:c r="G81" s="32" t="n">
        <x:f>Safety!K17</x:f>
        <x:v>1.05024</x:v>
      </x:c>
      <x:c r="H81" s="32" t="n">
        <x:f>Controls!$D$7</x:f>
        <x:v>1.15</x:v>
      </x:c>
      <x:c r="I81" s="32" t="n">
        <x:f>Controls!$D$8</x:f>
        <x:v>1</x:v>
      </x:c>
      <x:c r="J81" s="21" t="str">
        <x:f>IF(AND(F81&gt;=H81,G81&gt;=I81),"PASS","FAIL")</x:f>
        <x:v>PASS</x:v>
      </x:c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C82" s="19" t="str">
        <x:v>MS-HC|C</x:v>
      </x:c>
      <x:c r="D82" s="19" t="str">
        <x:v>MS-HC</x:v>
      </x:c>
      <x:c r="E82" s="19" t="str">
        <x:v>Receiver</x:v>
      </x:c>
      <x:c r="F82" s="32" t="n">
        <x:f>Receivers!I17</x:f>
        <x:v>1.225</x:v>
      </x:c>
      <x:c r="G82" s="32" t="n">
        <x:f>Receivers!J17</x:f>
        <x:v>1.05</x:v>
      </x:c>
      <x:c r="H82" s="32" t="n">
        <x:f>Controls!$D$7</x:f>
        <x:v>1.15</x:v>
      </x:c>
      <x:c r="I82" s="32" t="n">
        <x:f>Controls!$D$8</x:f>
        <x:v>1</x:v>
      </x:c>
      <x:c r="J82" s="21" t="str">
        <x:f>IF(AND(F82&gt;=H82,G82&gt;=I82),"PASS","FAIL")</x:f>
        <x:v>PASS</x:v>
      </x:c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C83" s="19" t="str">
        <x:v>MS-HC|C</x:v>
      </x:c>
      <x:c r="D83" s="19" t="str">
        <x:v>MS-HC</x:v>
      </x:c>
      <x:c r="E83" s="19" t="str">
        <x:v>Residual</x:v>
      </x:c>
      <x:c r="F83" s="32" t="n">
        <x:f>Residual!M17</x:f>
        <x:v>1.225</x:v>
      </x:c>
      <x:c r="G83" s="32" t="n">
        <x:f>Residual!N17</x:f>
        <x:v>1.05</x:v>
      </x:c>
      <x:c r="H83" s="32" t="n">
        <x:f>Controls!$D$7</x:f>
        <x:v>1.15</x:v>
      </x:c>
      <x:c r="I83" s="32" t="n">
        <x:f>Controls!$D$8</x:f>
        <x:v>1</x:v>
      </x:c>
      <x:c r="J83" s="21" t="str">
        <x:f>IF(AND(F83&gt;=H83,G83&gt;=I83),"PASS","FAIL")</x:f>
        <x:v>PASS</x:v>
      </x:c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C84" s="19" t="str">
        <x:v>MS-HC|D</x:v>
      </x:c>
      <x:c r="D84" s="19" t="str">
        <x:v>MS-HC</x:v>
      </x:c>
      <x:c r="E84" s="19" t="str">
        <x:v>Mass</x:v>
      </x:c>
      <x:c r="F84" s="32" t="n">
        <x:f>'Mass Access'!L18</x:f>
        <x:v>1.17</x:v>
      </x:c>
      <x:c r="G84" s="32" t="n">
        <x:f>'Mass Access'!M18</x:f>
        <x:v>1.04</x:v>
      </x:c>
      <x:c r="H84" s="32" t="n">
        <x:f>Controls!$D$7</x:f>
        <x:v>1.15</x:v>
      </x:c>
      <x:c r="I84" s="32" t="n">
        <x:f>Controls!$D$8</x:f>
        <x:v>1</x:v>
      </x:c>
      <x:c r="J84" s="21" t="str">
        <x:f>IF(AND(F84&gt;=H84,G84&gt;=I84),"PASS","FAIL")</x:f>
        <x:v>PASS</x:v>
      </x:c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C85" s="19" t="str">
        <x:v>MS-HC|D</x:v>
      </x:c>
      <x:c r="D85" s="19" t="str">
        <x:v>MS-HC</x:v>
      </x:c>
      <x:c r="E85" s="19" t="str">
        <x:v>Energy</x:v>
      </x:c>
      <x:c r="F85" s="32" t="n">
        <x:f>Energy!P18</x:f>
        <x:v>1.3</x:v>
      </x:c>
      <x:c r="G85" s="32" t="n">
        <x:f>Energy!Q18</x:f>
        <x:v>1.0833333333333333</x:v>
      </x:c>
      <x:c r="H85" s="32" t="n">
        <x:f>Controls!$D$7</x:f>
        <x:v>1.15</x:v>
      </x:c>
      <x:c r="I85" s="32" t="n">
        <x:f>Controls!$D$8</x:f>
        <x:v>1</x:v>
      </x:c>
      <x:c r="J85" s="21" t="str">
        <x:f>IF(AND(F85&gt;=H85,G85&gt;=I85),"PASS","FAIL")</x:f>
        <x:v>PASS</x:v>
      </x:c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C86" s="19" t="str">
        <x:v>MS-HC|D</x:v>
      </x:c>
      <x:c r="D86" s="19" t="str">
        <x:v>MS-HC</x:v>
      </x:c>
      <x:c r="E86" s="19" t="str">
        <x:v>Route flow</x:v>
      </x:c>
      <x:c r="F86" s="32" t="n">
        <x:f>MIN('Route Flow'!N56:N58)</x:f>
        <x:v>1.34</x:v>
      </x:c>
      <x:c r="G86" s="32" t="n">
        <x:f>MIN('Route Flow'!O56:O58)</x:f>
        <x:v>1.072</x:v>
      </x:c>
      <x:c r="H86" s="32" t="n">
        <x:f>Controls!$D$7</x:f>
        <x:v>1.15</x:v>
      </x:c>
      <x:c r="I86" s="32" t="n">
        <x:f>Controls!$D$8</x:f>
        <x:v>1</x:v>
      </x:c>
      <x:c r="J86" s="21" t="str">
        <x:f>IF(AND(F86&gt;=H86,G86&gt;=I86),"PASS","FAIL")</x:f>
        <x:v>PASS</x:v>
      </x:c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C87" s="19" t="str">
        <x:v>MS-HC|D</x:v>
      </x:c>
      <x:c r="D87" s="19" t="str">
        <x:v>MS-HC</x:v>
      </x:c>
      <x:c r="E87" s="19" t="str">
        <x:v>Labor</x:v>
      </x:c>
      <x:c r="F87" s="32" t="n">
        <x:f>Labor!K18</x:f>
        <x:v>1.5432098765432098</x:v>
      </x:c>
      <x:c r="G87" s="32" t="n">
        <x:f>Labor!L18</x:f>
        <x:v>1.2345679012345678</x:v>
      </x:c>
      <x:c r="H87" s="32" t="n">
        <x:f>Controls!$D$7</x:f>
        <x:v>1.15</x:v>
      </x:c>
      <x:c r="I87" s="32" t="n">
        <x:f>Controls!$D$8</x:f>
        <x:v>1</x:v>
      </x:c>
      <x:c r="J87" s="21" t="str">
        <x:f>IF(AND(F87&gt;=H87,G87&gt;=I87),"PASS","FAIL")</x:f>
        <x:v>PASS</x:v>
      </x:c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C88" s="19" t="str">
        <x:v>MS-HC|D</x:v>
      </x:c>
      <x:c r="D88" s="19" t="str">
        <x:v>MS-HC</x:v>
      </x:c>
      <x:c r="E88" s="19" t="str">
        <x:v>Safety</x:v>
      </x:c>
      <x:c r="F88" s="32" t="n">
        <x:f>Safety!J18</x:f>
        <x:v>1.225</x:v>
      </x:c>
      <x:c r="G88" s="32" t="n">
        <x:f>Safety!K18</x:f>
        <x:v>1.05</x:v>
      </x:c>
      <x:c r="H88" s="32" t="n">
        <x:f>Controls!$D$7</x:f>
        <x:v>1.15</x:v>
      </x:c>
      <x:c r="I88" s="32" t="n">
        <x:f>Controls!$D$8</x:f>
        <x:v>1</x:v>
      </x:c>
      <x:c r="J88" s="21" t="str">
        <x:f>IF(AND(F88&gt;=H88,G88&gt;=I88),"PASS","FAIL")</x:f>
        <x:v>PASS</x:v>
      </x:c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C89" s="19" t="str">
        <x:v>MS-HC|D</x:v>
      </x:c>
      <x:c r="D89" s="19" t="str">
        <x:v>MS-HC</x:v>
      </x:c>
      <x:c r="E89" s="19" t="str">
        <x:v>Receiver</x:v>
      </x:c>
      <x:c r="F89" s="32" t="n">
        <x:f>Receivers!I18</x:f>
        <x:v>1.1812500000000001</x:v>
      </x:c>
      <x:c r="G89" s="32" t="n">
        <x:f>Receivers!J18</x:f>
        <x:v>1.05</x:v>
      </x:c>
      <x:c r="H89" s="32" t="n">
        <x:f>Controls!$D$7</x:f>
        <x:v>1.15</x:v>
      </x:c>
      <x:c r="I89" s="32" t="n">
        <x:f>Controls!$D$8</x:f>
        <x:v>1</x:v>
      </x:c>
      <x:c r="J89" s="21" t="str">
        <x:f>IF(AND(F89&gt;=H89,G89&gt;=I89),"PASS","FAIL")</x:f>
        <x:v>PASS</x:v>
      </x:c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C90" s="19" t="str">
        <x:v>MS-HC|D</x:v>
      </x:c>
      <x:c r="D90" s="19" t="str">
        <x:v>MS-HC</x:v>
      </x:c>
      <x:c r="E90" s="19" t="str">
        <x:v>Residual</x:v>
      </x:c>
      <x:c r="F90" s="32" t="n">
        <x:f>Residual!M18</x:f>
        <x:v>1.26</x:v>
      </x:c>
      <x:c r="G90" s="32" t="n">
        <x:f>Residual!N18</x:f>
        <x:v>1.05</x:v>
      </x:c>
      <x:c r="H90" s="32" t="n">
        <x:f>Controls!$D$7</x:f>
        <x:v>1.15</x:v>
      </x:c>
      <x:c r="I90" s="32" t="n">
        <x:f>Controls!$D$8</x:f>
        <x:v>1</x:v>
      </x:c>
      <x:c r="J90" s="21" t="str">
        <x:f>IF(AND(F90&gt;=H90,G90&gt;=I90),"PASS","FAIL")</x:f>
        <x:v>PASS</x:v>
      </x:c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C91" s="19" t="str">
        <x:v>MS-HU|A</x:v>
      </x:c>
      <x:c r="D91" s="19" t="str">
        <x:v>MS-HU</x:v>
      </x:c>
      <x:c r="E91" s="19" t="str">
        <x:v>Mass</x:v>
      </x:c>
      <x:c r="F91" s="32" t="n">
        <x:f>'Mass Access'!L19</x:f>
        <x:v>1.152</x:v>
      </x:c>
      <x:c r="G91" s="32" t="n">
        <x:f>'Mass Access'!M19</x:f>
        <x:v>1.008</x:v>
      </x:c>
      <x:c r="H91" s="32" t="n">
        <x:f>Controls!$D$7</x:f>
        <x:v>1.15</x:v>
      </x:c>
      <x:c r="I91" s="32" t="n">
        <x:f>Controls!$D$8</x:f>
        <x:v>1</x:v>
      </x:c>
      <x:c r="J91" s="21" t="str">
        <x:f>IF(AND(F91&gt;=H91,G91&gt;=I91),"PASS","FAIL")</x:f>
        <x:v>PASS</x:v>
      </x:c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C92" s="19" t="str">
        <x:v>MS-HU|A</x:v>
      </x:c>
      <x:c r="D92" s="19" t="str">
        <x:v>MS-HU</x:v>
      </x:c>
      <x:c r="E92" s="19" t="str">
        <x:v>Energy</x:v>
      </x:c>
      <x:c r="F92" s="32" t="n">
        <x:f>Energy!P19</x:f>
        <x:v>1.2692307692307692</x:v>
      </x:c>
      <x:c r="G92" s="32" t="n">
        <x:f>Energy!Q19</x:f>
        <x:v>1.0576923076923077</x:v>
      </x:c>
      <x:c r="H92" s="32" t="n">
        <x:f>Controls!$D$7</x:f>
        <x:v>1.15</x:v>
      </x:c>
      <x:c r="I92" s="32" t="n">
        <x:f>Controls!$D$8</x:f>
        <x:v>1</x:v>
      </x:c>
      <x:c r="J92" s="21" t="str">
        <x:f>IF(AND(F92&gt;=H92,G92&gt;=I92),"PASS","FAIL")</x:f>
        <x:v>PASS</x:v>
      </x:c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C93" s="19" t="str">
        <x:v>MS-HU|A</x:v>
      </x:c>
      <x:c r="D93" s="19" t="str">
        <x:v>MS-HU</x:v>
      </x:c>
      <x:c r="E93" s="19" t="str">
        <x:v>Route flow</x:v>
      </x:c>
      <x:c r="F93" s="32" t="n">
        <x:f>MIN('Route Flow'!N59:N63)</x:f>
        <x:v>1.28</x:v>
      </x:c>
      <x:c r="G93" s="32" t="n">
        <x:f>MIN('Route Flow'!O59:O63)</x:f>
        <x:v>1.032</x:v>
      </x:c>
      <x:c r="H93" s="32" t="n">
        <x:f>Controls!$D$7</x:f>
        <x:v>1.15</x:v>
      </x:c>
      <x:c r="I93" s="32" t="n">
        <x:f>Controls!$D$8</x:f>
        <x:v>1</x:v>
      </x:c>
      <x:c r="J93" s="21" t="str">
        <x:f>IF(AND(F93&gt;=H93,G93&gt;=I93),"PASS","FAIL")</x:f>
        <x:v>PASS</x:v>
      </x:c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C94" s="19" t="str">
        <x:v>MS-HU|A</x:v>
      </x:c>
      <x:c r="D94" s="19" t="str">
        <x:v>MS-HU</x:v>
      </x:c>
      <x:c r="E94" s="19" t="str">
        <x:v>Labor</x:v>
      </x:c>
      <x:c r="F94" s="32" t="n">
        <x:f>Labor!K19</x:f>
        <x:v>1.5432098765432098</x:v>
      </x:c>
      <x:c r="G94" s="32" t="n">
        <x:f>Labor!L19</x:f>
        <x:v>1.2345679012345678</x:v>
      </x:c>
      <x:c r="H94" s="32" t="n">
        <x:f>Controls!$D$7</x:f>
        <x:v>1.15</x:v>
      </x:c>
      <x:c r="I94" s="32" t="n">
        <x:f>Controls!$D$8</x:f>
        <x:v>1</x:v>
      </x:c>
      <x:c r="J94" s="21" t="str">
        <x:f>IF(AND(F94&gt;=H94,G94&gt;=I94),"PASS","FAIL")</x:f>
        <x:v>PASS</x:v>
      </x:c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C95" s="19" t="str">
        <x:v>MS-HU|A</x:v>
      </x:c>
      <x:c r="D95" s="19" t="str">
        <x:v>MS-HU</x:v>
      </x:c>
      <x:c r="E95" s="19" t="str">
        <x:v>Safety</x:v>
      </x:c>
      <x:c r="F95" s="32" t="n">
        <x:f>Safety!J19</x:f>
        <x:v>1.2</x:v>
      </x:c>
      <x:c r="G95" s="32" t="n">
        <x:f>Safety!K19</x:f>
        <x:v>1.05</x:v>
      </x:c>
      <x:c r="H95" s="32" t="n">
        <x:f>Controls!$D$7</x:f>
        <x:v>1.15</x:v>
      </x:c>
      <x:c r="I95" s="32" t="n">
        <x:f>Controls!$D$8</x:f>
        <x:v>1</x:v>
      </x:c>
      <x:c r="J95" s="21" t="str">
        <x:f>IF(AND(F95&gt;=H95,G95&gt;=I95),"PASS","FAIL")</x:f>
        <x:v>PASS</x:v>
      </x:c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C96" s="19" t="str">
        <x:v>MS-HU|A</x:v>
      </x:c>
      <x:c r="D96" s="19" t="str">
        <x:v>MS-HU</x:v>
      </x:c>
      <x:c r="E96" s="19" t="str">
        <x:v>Receiver</x:v>
      </x:c>
      <x:c r="F96" s="32" t="n">
        <x:f>Receivers!I19</x:f>
        <x:v>1.2</x:v>
      </x:c>
      <x:c r="G96" s="32" t="n">
        <x:f>Receivers!J19</x:f>
        <x:v>1.05</x:v>
      </x:c>
      <x:c r="H96" s="32" t="n">
        <x:f>Controls!$D$7</x:f>
        <x:v>1.15</x:v>
      </x:c>
      <x:c r="I96" s="32" t="n">
        <x:f>Controls!$D$8</x:f>
        <x:v>1</x:v>
      </x:c>
      <x:c r="J96" s="21" t="str">
        <x:f>IF(AND(F96&gt;=H96,G96&gt;=I96),"PASS","FAIL")</x:f>
        <x:v>PASS</x:v>
      </x:c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C97" s="19" t="str">
        <x:v>MS-HU|A</x:v>
      </x:c>
      <x:c r="D97" s="19" t="str">
        <x:v>MS-HU</x:v>
      </x:c>
      <x:c r="E97" s="19" t="str">
        <x:v>Residual</x:v>
      </x:c>
      <x:c r="F97" s="32" t="n">
        <x:f>Residual!M19</x:f>
        <x:v>1.26</x:v>
      </x:c>
      <x:c r="G97" s="32" t="n">
        <x:f>Residual!N19</x:f>
        <x:v>1.05</x:v>
      </x:c>
      <x:c r="H97" s="32" t="n">
        <x:f>Controls!$D$7</x:f>
        <x:v>1.15</x:v>
      </x:c>
      <x:c r="I97" s="32" t="n">
        <x:f>Controls!$D$8</x:f>
        <x:v>1</x:v>
      </x:c>
      <x:c r="J97" s="21" t="str">
        <x:f>IF(AND(F97&gt;=H97,G97&gt;=I97),"PASS","FAIL")</x:f>
        <x:v>PASS</x:v>
      </x:c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C98" s="19" t="str">
        <x:v>MS-HU|B</x:v>
      </x:c>
      <x:c r="D98" s="19" t="str">
        <x:v>MS-HU</x:v>
      </x:c>
      <x:c r="E98" s="19" t="str">
        <x:v>Mass</x:v>
      </x:c>
      <x:c r="F98" s="32" t="n">
        <x:f>'Mass Access'!L20</x:f>
        <x:v>1.1842105263157894</x:v>
      </x:c>
      <x:c r="G98" s="32" t="n">
        <x:f>'Mass Access'!M20</x:f>
        <x:v>1.0526315789473684</x:v>
      </x:c>
      <x:c r="H98" s="32" t="n">
        <x:f>Controls!$D$7</x:f>
        <x:v>1.15</x:v>
      </x:c>
      <x:c r="I98" s="32" t="n">
        <x:f>Controls!$D$8</x:f>
        <x:v>1</x:v>
      </x:c>
      <x:c r="J98" s="21" t="str">
        <x:f>IF(AND(F98&gt;=H98,G98&gt;=I98),"PASS","FAIL")</x:f>
        <x:v>PASS</x:v>
      </x:c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C99" s="19" t="str">
        <x:v>MS-HU|B</x:v>
      </x:c>
      <x:c r="D99" s="19" t="str">
        <x:v>MS-HU</x:v>
      </x:c>
      <x:c r="E99" s="19" t="str">
        <x:v>Energy</x:v>
      </x:c>
      <x:c r="F99" s="32" t="n">
        <x:f>Energy!P20</x:f>
        <x:v>1.2705882352941178</x:v>
      </x:c>
      <x:c r="G99" s="32" t="n">
        <x:f>Energy!Q20</x:f>
        <x:v>1.0588235294117647</x:v>
      </x:c>
      <x:c r="H99" s="32" t="n">
        <x:f>Controls!$D$7</x:f>
        <x:v>1.15</x:v>
      </x:c>
      <x:c r="I99" s="32" t="n">
        <x:f>Controls!$D$8</x:f>
        <x:v>1</x:v>
      </x:c>
      <x:c r="J99" s="21" t="str">
        <x:f>IF(AND(F99&gt;=H99,G99&gt;=I99),"PASS","FAIL")</x:f>
        <x:v>PASS</x:v>
      </x:c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C100" s="19" t="str">
        <x:v>MS-HU|B</x:v>
      </x:c>
      <x:c r="D100" s="19" t="str">
        <x:v>MS-HU</x:v>
      </x:c>
      <x:c r="E100" s="19" t="str">
        <x:v>Route flow</x:v>
      </x:c>
      <x:c r="F100" s="32" t="n">
        <x:f>MIN('Route Flow'!N64:N68)</x:f>
        <x:v>1.3</x:v>
      </x:c>
      <x:c r="G100" s="32" t="n">
        <x:f>MIN('Route Flow'!O64:O68)</x:f>
        <x:v>1.048</x:v>
      </x:c>
      <x:c r="H100" s="32" t="n">
        <x:f>Controls!$D$7</x:f>
        <x:v>1.15</x:v>
      </x:c>
      <x:c r="I100" s="32" t="n">
        <x:f>Controls!$D$8</x:f>
        <x:v>1</x:v>
      </x:c>
      <x:c r="J100" s="21" t="str">
        <x:f>IF(AND(F100&gt;=H100,G100&gt;=I100),"PASS","FAIL")</x:f>
        <x:v>PASS</x:v>
      </x:c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C101" s="19" t="str">
        <x:v>MS-HU|B</x:v>
      </x:c>
      <x:c r="D101" s="19" t="str">
        <x:v>MS-HU</x:v>
      </x:c>
      <x:c r="E101" s="19" t="str">
        <x:v>Labor</x:v>
      </x:c>
      <x:c r="F101" s="32" t="n">
        <x:f>Labor!K20</x:f>
        <x:v>1.5432098765432098</x:v>
      </x:c>
      <x:c r="G101" s="32" t="n">
        <x:f>Labor!L20</x:f>
        <x:v>1.2345679012345678</x:v>
      </x:c>
      <x:c r="H101" s="32" t="n">
        <x:f>Controls!$D$7</x:f>
        <x:v>1.15</x:v>
      </x:c>
      <x:c r="I101" s="32" t="n">
        <x:f>Controls!$D$8</x:f>
        <x:v>1</x:v>
      </x:c>
      <x:c r="J101" s="21" t="str">
        <x:f>IF(AND(F101&gt;=H101,G101&gt;=I101),"PASS","FAIL")</x:f>
        <x:v>PASS</x:v>
      </x:c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C102" s="19" t="str">
        <x:v>MS-HU|B</x:v>
      </x:c>
      <x:c r="D102" s="19" t="str">
        <x:v>MS-HU</x:v>
      </x:c>
      <x:c r="E102" s="19" t="str">
        <x:v>Safety</x:v>
      </x:c>
      <x:c r="F102" s="32" t="n">
        <x:f>Safety!J20</x:f>
        <x:v>1.1813823529411764</x:v>
      </x:c>
      <x:c r="G102" s="32" t="n">
        <x:f>Safety!K20</x:f>
        <x:v>1.0501176470588236</x:v>
      </x:c>
      <x:c r="H102" s="32" t="n">
        <x:f>Controls!$D$7</x:f>
        <x:v>1.15</x:v>
      </x:c>
      <x:c r="I102" s="32" t="n">
        <x:f>Controls!$D$8</x:f>
        <x:v>1</x:v>
      </x:c>
      <x:c r="J102" s="21" t="str">
        <x:f>IF(AND(F102&gt;=H102,G102&gt;=I102),"PASS","FAIL")</x:f>
        <x:v>PASS</x:v>
      </x:c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C103" s="19" t="str">
        <x:v>MS-HU|B</x:v>
      </x:c>
      <x:c r="D103" s="19" t="str">
        <x:v>MS-HU</x:v>
      </x:c>
      <x:c r="E103" s="19" t="str">
        <x:v>Receiver</x:v>
      </x:c>
      <x:c r="F103" s="32" t="n">
        <x:f>Receivers!I20</x:f>
        <x:v>1.1666666666666667</x:v>
      </x:c>
      <x:c r="G103" s="32" t="n">
        <x:f>Receivers!J20</x:f>
        <x:v>1.05</x:v>
      </x:c>
      <x:c r="H103" s="32" t="n">
        <x:f>Controls!$D$7</x:f>
        <x:v>1.15</x:v>
      </x:c>
      <x:c r="I103" s="32" t="n">
        <x:f>Controls!$D$8</x:f>
        <x:v>1</x:v>
      </x:c>
      <x:c r="J103" s="21" t="str">
        <x:f>IF(AND(F103&gt;=H103,G103&gt;=I103),"PASS","FAIL")</x:f>
        <x:v>PASS</x:v>
      </x:c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C104" s="19" t="str">
        <x:v>MS-HU|B</x:v>
      </x:c>
      <x:c r="D104" s="19" t="str">
        <x:v>MS-HU</x:v>
      </x:c>
      <x:c r="E104" s="19" t="str">
        <x:v>Residual</x:v>
      </x:c>
      <x:c r="F104" s="32" t="n">
        <x:f>Residual!M20</x:f>
        <x:v>1.26</x:v>
      </x:c>
      <x:c r="G104" s="32" t="n">
        <x:f>Residual!N20</x:f>
        <x:v>1.05</x:v>
      </x:c>
      <x:c r="H104" s="32" t="n">
        <x:f>Controls!$D$7</x:f>
        <x:v>1.15</x:v>
      </x:c>
      <x:c r="I104" s="32" t="n">
        <x:f>Controls!$D$8</x:f>
        <x:v>1</x:v>
      </x:c>
      <x:c r="J104" s="21" t="str">
        <x:f>IF(AND(F104&gt;=H104,G104&gt;=I104),"PASS","FAIL")</x:f>
        <x:v>PASS</x:v>
      </x:c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C105" s="19" t="str">
        <x:v>MS-HU|C</x:v>
      </x:c>
      <x:c r="D105" s="19" t="str">
        <x:v>MS-HU</x:v>
      </x:c>
      <x:c r="E105" s="19" t="str">
        <x:v>Mass</x:v>
      </x:c>
      <x:c r="F105" s="32" t="n">
        <x:f>'Mass Access'!L21</x:f>
        <x:v>1.173913043478261</x:v>
      </x:c>
      <x:c r="G105" s="32" t="n">
        <x:f>'Mass Access'!M21</x:f>
        <x:v>1.0434782608695652</x:v>
      </x:c>
      <x:c r="H105" s="32" t="n">
        <x:f>Controls!$D$7</x:f>
        <x:v>1.15</x:v>
      </x:c>
      <x:c r="I105" s="32" t="n">
        <x:f>Controls!$D$8</x:f>
        <x:v>1</x:v>
      </x:c>
      <x:c r="J105" s="21" t="str">
        <x:f>IF(AND(F105&gt;=H105,G105&gt;=I105),"PASS","FAIL")</x:f>
        <x:v>PASS</x:v>
      </x:c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C106" s="19" t="str">
        <x:v>MS-HU|C</x:v>
      </x:c>
      <x:c r="D106" s="19" t="str">
        <x:v>MS-HU</x:v>
      </x:c>
      <x:c r="E106" s="19" t="str">
        <x:v>Energy</x:v>
      </x:c>
      <x:c r="F106" s="32" t="n">
        <x:f>Energy!P21</x:f>
        <x:v>1.2444444444444445</x:v>
      </x:c>
      <x:c r="G106" s="32" t="n">
        <x:f>Energy!Q21</x:f>
        <x:v>1.0666666666666667</x:v>
      </x:c>
      <x:c r="H106" s="32" t="n">
        <x:f>Controls!$D$7</x:f>
        <x:v>1.15</x:v>
      </x:c>
      <x:c r="I106" s="32" t="n">
        <x:f>Controls!$D$8</x:f>
        <x:v>1</x:v>
      </x:c>
      <x:c r="J106" s="21" t="str">
        <x:f>IF(AND(F106&gt;=H106,G106&gt;=I106),"PASS","FAIL")</x:f>
        <x:v>PASS</x:v>
      </x:c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C107" s="19" t="str">
        <x:v>MS-HU|C</x:v>
      </x:c>
      <x:c r="D107" s="19" t="str">
        <x:v>MS-HU</x:v>
      </x:c>
      <x:c r="E107" s="19" t="str">
        <x:v>Route flow</x:v>
      </x:c>
      <x:c r="F107" s="32" t="n">
        <x:f>MIN('Route Flow'!N69:N73)</x:f>
        <x:v>1.32</x:v>
      </x:c>
      <x:c r="G107" s="32" t="n">
        <x:f>MIN('Route Flow'!O69:O73)</x:f>
        <x:v>1.064</x:v>
      </x:c>
      <x:c r="H107" s="32" t="n">
        <x:f>Controls!$D$7</x:f>
        <x:v>1.15</x:v>
      </x:c>
      <x:c r="I107" s="32" t="n">
        <x:f>Controls!$D$8</x:f>
        <x:v>1</x:v>
      </x:c>
      <x:c r="J107" s="21" t="str">
        <x:f>IF(AND(F107&gt;=H107,G107&gt;=I107),"PASS","FAIL")</x:f>
        <x:v>PASS</x:v>
      </x:c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C108" s="19" t="str">
        <x:v>MS-HU|C</x:v>
      </x:c>
      <x:c r="D108" s="19" t="str">
        <x:v>MS-HU</x:v>
      </x:c>
      <x:c r="E108" s="19" t="str">
        <x:v>Labor</x:v>
      </x:c>
      <x:c r="F108" s="32" t="n">
        <x:f>Labor!K21</x:f>
        <x:v>1.5432098765432098</x:v>
      </x:c>
      <x:c r="G108" s="32" t="n">
        <x:f>Labor!L21</x:f>
        <x:v>1.2345679012345678</x:v>
      </x:c>
      <x:c r="H108" s="32" t="n">
        <x:f>Controls!$D$7</x:f>
        <x:v>1.15</x:v>
      </x:c>
      <x:c r="I108" s="32" t="n">
        <x:f>Controls!$D$8</x:f>
        <x:v>1</x:v>
      </x:c>
      <x:c r="J108" s="21" t="str">
        <x:f>IF(AND(F108&gt;=H108,G108&gt;=I108),"PASS","FAIL")</x:f>
        <x:v>PASS</x:v>
      </x:c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C109" s="19" t="str">
        <x:v>MS-HU|C</x:v>
      </x:c>
      <x:c r="D109" s="19" t="str">
        <x:v>MS-HU</x:v>
      </x:c>
      <x:c r="E109" s="19" t="str">
        <x:v>Safety</x:v>
      </x:c>
      <x:c r="F109" s="32" t="n">
        <x:f>Safety!J21</x:f>
        <x:v>1.2</x:v>
      </x:c>
      <x:c r="G109" s="32" t="n">
        <x:f>Safety!K21</x:f>
        <x:v>1.05</x:v>
      </x:c>
      <x:c r="H109" s="32" t="n">
        <x:f>Controls!$D$7</x:f>
        <x:v>1.15</x:v>
      </x:c>
      <x:c r="I109" s="32" t="n">
        <x:f>Controls!$D$8</x:f>
        <x:v>1</x:v>
      </x:c>
      <x:c r="J109" s="21" t="str">
        <x:f>IF(AND(F109&gt;=H109,G109&gt;=I109),"PASS","FAIL")</x:f>
        <x:v>PASS</x:v>
      </x:c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C110" s="19" t="str">
        <x:v>MS-HU|C</x:v>
      </x:c>
      <x:c r="D110" s="19" t="str">
        <x:v>MS-HU</x:v>
      </x:c>
      <x:c r="E110" s="19" t="str">
        <x:v>Receiver</x:v>
      </x:c>
      <x:c r="F110" s="32" t="n">
        <x:f>Receivers!I21</x:f>
        <x:v>1.1812500000000001</x:v>
      </x:c>
      <x:c r="G110" s="32" t="n">
        <x:f>Receivers!J21</x:f>
        <x:v>1.05</x:v>
      </x:c>
      <x:c r="H110" s="32" t="n">
        <x:f>Controls!$D$7</x:f>
        <x:v>1.15</x:v>
      </x:c>
      <x:c r="I110" s="32" t="n">
        <x:f>Controls!$D$8</x:f>
        <x:v>1</x:v>
      </x:c>
      <x:c r="J110" s="21" t="str">
        <x:f>IF(AND(F110&gt;=H110,G110&gt;=I110),"PASS","FAIL")</x:f>
        <x:v>PASS</x:v>
      </x:c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C111" s="19" t="str">
        <x:v>MS-HU|C</x:v>
      </x:c>
      <x:c r="D111" s="19" t="str">
        <x:v>MS-HU</x:v>
      </x:c>
      <x:c r="E111" s="19" t="str">
        <x:v>Residual</x:v>
      </x:c>
      <x:c r="F111" s="32" t="n">
        <x:f>Residual!M21</x:f>
        <x:v>1.2600000000000002</x:v>
      </x:c>
      <x:c r="G111" s="32" t="n">
        <x:f>Residual!N21</x:f>
        <x:v>1.05</x:v>
      </x:c>
      <x:c r="H111" s="32" t="n">
        <x:f>Controls!$D$7</x:f>
        <x:v>1.15</x:v>
      </x:c>
      <x:c r="I111" s="32" t="n">
        <x:f>Controls!$D$8</x:f>
        <x:v>1</x:v>
      </x:c>
      <x:c r="J111" s="21" t="str">
        <x:f>IF(AND(F111&gt;=H111,G111&gt;=I111),"PASS","FAIL")</x:f>
        <x:v>PASS</x:v>
      </x:c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C112" s="19" t="str">
        <x:v>MS-HU|D</x:v>
      </x:c>
      <x:c r="D112" s="19" t="str">
        <x:v>MS-HU</x:v>
      </x:c>
      <x:c r="E112" s="19" t="str">
        <x:v>Mass</x:v>
      </x:c>
      <x:c r="F112" s="32" t="n">
        <x:f>'Mass Access'!L22</x:f>
        <x:v>1.1586206896551725</x:v>
      </x:c>
      <x:c r="G112" s="32" t="n">
        <x:f>'Mass Access'!M22</x:f>
        <x:v>1.013793103448276</x:v>
      </x:c>
      <x:c r="H112" s="32" t="n">
        <x:f>Controls!$D$7</x:f>
        <x:v>1.15</x:v>
      </x:c>
      <x:c r="I112" s="32" t="n">
        <x:f>Controls!$D$8</x:f>
        <x:v>1</x:v>
      </x:c>
      <x:c r="J112" s="21" t="str">
        <x:f>IF(AND(F112&gt;=H112,G112&gt;=I112),"PASS","FAIL")</x:f>
        <x:v>PASS</x:v>
      </x:c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C113" s="19" t="str">
        <x:v>MS-HU|D</x:v>
      </x:c>
      <x:c r="D113" s="19" t="str">
        <x:v>MS-HU</x:v>
      </x:c>
      <x:c r="E113" s="19" t="str">
        <x:v>Energy</x:v>
      </x:c>
      <x:c r="F113" s="32" t="n">
        <x:f>Energy!P22</x:f>
        <x:v>1.2580645161290323</x:v>
      </x:c>
      <x:c r="G113" s="32" t="n">
        <x:f>Energy!Q22</x:f>
        <x:v>1.0483870967741935</x:v>
      </x:c>
      <x:c r="H113" s="32" t="n">
        <x:f>Controls!$D$7</x:f>
        <x:v>1.15</x:v>
      </x:c>
      <x:c r="I113" s="32" t="n">
        <x:f>Controls!$D$8</x:f>
        <x:v>1</x:v>
      </x:c>
      <x:c r="J113" s="21" t="str">
        <x:f>IF(AND(F113&gt;=H113,G113&gt;=I113),"PASS","FAIL")</x:f>
        <x:v>PASS</x:v>
      </x:c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C114" s="19" t="str">
        <x:v>MS-HU|D</x:v>
      </x:c>
      <x:c r="D114" s="19" t="str">
        <x:v>MS-HU</x:v>
      </x:c>
      <x:c r="E114" s="19" t="str">
        <x:v>Route flow</x:v>
      </x:c>
      <x:c r="F114" s="32" t="n">
        <x:f>MIN('Route Flow'!N74:N78)</x:f>
        <x:v>1.34</x:v>
      </x:c>
      <x:c r="G114" s="32" t="n">
        <x:f>MIN('Route Flow'!O74:O78)</x:f>
        <x:v>1.08</x:v>
      </x:c>
      <x:c r="H114" s="32" t="n">
        <x:f>Controls!$D$7</x:f>
        <x:v>1.15</x:v>
      </x:c>
      <x:c r="I114" s="32" t="n">
        <x:f>Controls!$D$8</x:f>
        <x:v>1</x:v>
      </x:c>
      <x:c r="J114" s="21" t="str">
        <x:f>IF(AND(F114&gt;=H114,G114&gt;=I114),"PASS","FAIL")</x:f>
        <x:v>PASS</x:v>
      </x:c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C115" s="19" t="str">
        <x:v>MS-HU|D</x:v>
      </x:c>
      <x:c r="D115" s="19" t="str">
        <x:v>MS-HU</x:v>
      </x:c>
      <x:c r="E115" s="19" t="str">
        <x:v>Labor</x:v>
      </x:c>
      <x:c r="F115" s="32" t="n">
        <x:f>Labor!K22</x:f>
        <x:v>1.5432098765432098</x:v>
      </x:c>
      <x:c r="G115" s="32" t="n">
        <x:f>Labor!L22</x:f>
        <x:v>1.2345679012345678</x:v>
      </x:c>
      <x:c r="H115" s="32" t="n">
        <x:f>Controls!$D$7</x:f>
        <x:v>1.15</x:v>
      </x:c>
      <x:c r="I115" s="32" t="n">
        <x:f>Controls!$D$8</x:f>
        <x:v>1</x:v>
      </x:c>
      <x:c r="J115" s="21" t="str">
        <x:f>IF(AND(F115&gt;=H115,G115&gt;=I115),"PASS","FAIL")</x:f>
        <x:v>PASS</x:v>
      </x:c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C116" s="19" t="str">
        <x:v>MS-HU|D</x:v>
      </x:c>
      <x:c r="D116" s="19" t="str">
        <x:v>MS-HU</x:v>
      </x:c>
      <x:c r="E116" s="19" t="str">
        <x:v>Safety</x:v>
      </x:c>
      <x:c r="F116" s="32" t="n">
        <x:f>Safety!J22</x:f>
        <x:v>1.2</x:v>
      </x:c>
      <x:c r="G116" s="32" t="n">
        <x:f>Safety!K22</x:f>
        <x:v>1.05</x:v>
      </x:c>
      <x:c r="H116" s="32" t="n">
        <x:f>Controls!$D$7</x:f>
        <x:v>1.15</x:v>
      </x:c>
      <x:c r="I116" s="32" t="n">
        <x:f>Controls!$D$8</x:f>
        <x:v>1</x:v>
      </x:c>
      <x:c r="J116" s="21" t="str">
        <x:f>IF(AND(F116&gt;=H116,G116&gt;=I116),"PASS","FAIL")</x:f>
        <x:v>PASS</x:v>
      </x:c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C117" s="19" t="str">
        <x:v>MS-HU|D</x:v>
      </x:c>
      <x:c r="D117" s="19" t="str">
        <x:v>MS-HU</x:v>
      </x:c>
      <x:c r="E117" s="19" t="str">
        <x:v>Receiver</x:v>
      </x:c>
      <x:c r="F117" s="32" t="n">
        <x:f>Receivers!I22</x:f>
        <x:v>1.2</x:v>
      </x:c>
      <x:c r="G117" s="32" t="n">
        <x:f>Receivers!J22</x:f>
        <x:v>1.05</x:v>
      </x:c>
      <x:c r="H117" s="32" t="n">
        <x:f>Controls!$D$7</x:f>
        <x:v>1.15</x:v>
      </x:c>
      <x:c r="I117" s="32" t="n">
        <x:f>Controls!$D$8</x:f>
        <x:v>1</x:v>
      </x:c>
      <x:c r="J117" s="21" t="str">
        <x:f>IF(AND(F117&gt;=H117,G117&gt;=I117),"PASS","FAIL")</x:f>
        <x:v>PASS</x:v>
      </x:c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C118" s="19" t="str">
        <x:v>MS-HU|D</x:v>
      </x:c>
      <x:c r="D118" s="19" t="str">
        <x:v>MS-HU</x:v>
      </x:c>
      <x:c r="E118" s="19" t="str">
        <x:v>Residual</x:v>
      </x:c>
      <x:c r="F118" s="32" t="n">
        <x:f>Residual!M22</x:f>
        <x:v>1.26</x:v>
      </x:c>
      <x:c r="G118" s="32" t="n">
        <x:f>Residual!N22</x:f>
        <x:v>1.05</x:v>
      </x:c>
      <x:c r="H118" s="32" t="n">
        <x:f>Controls!$D$7</x:f>
        <x:v>1.15</x:v>
      </x:c>
      <x:c r="I118" s="32" t="n">
        <x:f>Controls!$D$8</x:f>
        <x:v>1</x:v>
      </x:c>
      <x:c r="J118" s="21" t="str">
        <x:f>IF(AND(F118&gt;=H118,G118&gt;=I118),"PASS","FAIL")</x:f>
        <x:v>PASS</x:v>
      </x:c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C119" s="19" t="str">
        <x:v>MS-RT|A</x:v>
      </x:c>
      <x:c r="D119" s="19" t="str">
        <x:v>MS-RT</x:v>
      </x:c>
      <x:c r="E119" s="19" t="str">
        <x:v>Mass</x:v>
      </x:c>
      <x:c r="F119" s="32" t="n">
        <x:f>'Mass Access'!L23</x:f>
        <x:v>1.166949152542373</x:v>
      </x:c>
      <x:c r="G119" s="32" t="n">
        <x:f>'Mass Access'!M23</x:f>
        <x:v>1.0372881355932204</x:v>
      </x:c>
      <x:c r="H119" s="32" t="n">
        <x:f>Controls!$D$7</x:f>
        <x:v>1.15</x:v>
      </x:c>
      <x:c r="I119" s="32" t="n">
        <x:f>Controls!$D$8</x:f>
        <x:v>1</x:v>
      </x:c>
      <x:c r="J119" s="21" t="str">
        <x:f>IF(AND(F119&gt;=H119,G119&gt;=I119),"PASS","FAIL")</x:f>
        <x:v>PASS</x:v>
      </x:c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C120" s="19" t="str">
        <x:v>MS-RT|A</x:v>
      </x:c>
      <x:c r="D120" s="19" t="str">
        <x:v>MS-RT</x:v>
      </x:c>
      <x:c r="E120" s="19" t="str">
        <x:v>Energy</x:v>
      </x:c>
      <x:c r="F120" s="32" t="n">
        <x:f>Energy!P23</x:f>
        <x:v>1.161904761904762</x:v>
      </x:c>
      <x:c r="G120" s="32" t="n">
        <x:f>Energy!Q23</x:f>
        <x:v>1.0166666666666666</x:v>
      </x:c>
      <x:c r="H120" s="32" t="n">
        <x:f>Controls!$D$7</x:f>
        <x:v>1.15</x:v>
      </x:c>
      <x:c r="I120" s="32" t="n">
        <x:f>Controls!$D$8</x:f>
        <x:v>1</x:v>
      </x:c>
      <x:c r="J120" s="21" t="str">
        <x:f>IF(AND(F120&gt;=H120,G120&gt;=I120),"PASS","FAIL")</x:f>
        <x:v>PASS</x:v>
      </x:c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C121" s="19" t="str">
        <x:v>MS-RT|A</x:v>
      </x:c>
      <x:c r="D121" s="19" t="str">
        <x:v>MS-RT</x:v>
      </x:c>
      <x:c r="E121" s="19" t="str">
        <x:v>Route flow</x:v>
      </x:c>
      <x:c r="F121" s="32" t="n">
        <x:f>MIN('Route Flow'!N79:N83)</x:f>
        <x:v>1.2799999999999998</x:v>
      </x:c>
      <x:c r="G121" s="32" t="n">
        <x:f>MIN('Route Flow'!O79:O83)</x:f>
        <x:v>1.024</x:v>
      </x:c>
      <x:c r="H121" s="32" t="n">
        <x:f>Controls!$D$7</x:f>
        <x:v>1.15</x:v>
      </x:c>
      <x:c r="I121" s="32" t="n">
        <x:f>Controls!$D$8</x:f>
        <x:v>1</x:v>
      </x:c>
      <x:c r="J121" s="21" t="str">
        <x:f>IF(AND(F121&gt;=H121,G121&gt;=I121),"PASS","FAIL")</x:f>
        <x:v>PASS</x:v>
      </x:c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C122" s="19" t="str">
        <x:v>MS-RT|A</x:v>
      </x:c>
      <x:c r="D122" s="19" t="str">
        <x:v>MS-RT</x:v>
      </x:c>
      <x:c r="E122" s="19" t="str">
        <x:v>Labor</x:v>
      </x:c>
      <x:c r="F122" s="32" t="n">
        <x:f>Labor!K23</x:f>
        <x:v>1.5432098765432098</x:v>
      </x:c>
      <x:c r="G122" s="32" t="n">
        <x:f>Labor!L23</x:f>
        <x:v>1.2345679012345678</x:v>
      </x:c>
      <x:c r="H122" s="32" t="n">
        <x:f>Controls!$D$7</x:f>
        <x:v>1.15</x:v>
      </x:c>
      <x:c r="I122" s="32" t="n">
        <x:f>Controls!$D$8</x:f>
        <x:v>1</x:v>
      </x:c>
      <x:c r="J122" s="21" t="str">
        <x:f>IF(AND(F122&gt;=H122,G122&gt;=I122),"PASS","FAIL")</x:f>
        <x:v>PASS</x:v>
      </x:c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C123" s="19" t="str">
        <x:v>MS-RT|A</x:v>
      </x:c>
      <x:c r="D123" s="19" t="str">
        <x:v>MS-RT</x:v>
      </x:c>
      <x:c r="E123" s="19" t="str">
        <x:v>Safety</x:v>
      </x:c>
      <x:c r="F123" s="32" t="n">
        <x:f>Safety!J23</x:f>
        <x:v>1.22528</x:v>
      </x:c>
      <x:c r="G123" s="32" t="n">
        <x:f>Safety!K23</x:f>
        <x:v>1.05024</x:v>
      </x:c>
      <x:c r="H123" s="32" t="n">
        <x:f>Controls!$D$7</x:f>
        <x:v>1.15</x:v>
      </x:c>
      <x:c r="I123" s="32" t="n">
        <x:f>Controls!$D$8</x:f>
        <x:v>1</x:v>
      </x:c>
      <x:c r="J123" s="21" t="str">
        <x:f>IF(AND(F123&gt;=H123,G123&gt;=I123),"PASS","FAIL")</x:f>
        <x:v>PASS</x:v>
      </x:c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C124" s="19" t="str">
        <x:v>MS-RT|A</x:v>
      </x:c>
      <x:c r="D124" s="19" t="str">
        <x:v>MS-RT</x:v>
      </x:c>
      <x:c r="E124" s="19" t="str">
        <x:v>Receiver</x:v>
      </x:c>
      <x:c r="F124" s="32" t="n">
        <x:f>Receivers!I23</x:f>
        <x:v>1.225</x:v>
      </x:c>
      <x:c r="G124" s="32" t="n">
        <x:f>Receivers!J23</x:f>
        <x:v>1.05</x:v>
      </x:c>
      <x:c r="H124" s="32" t="n">
        <x:f>Controls!$D$7</x:f>
        <x:v>1.15</x:v>
      </x:c>
      <x:c r="I124" s="32" t="n">
        <x:f>Controls!$D$8</x:f>
        <x:v>1</x:v>
      </x:c>
      <x:c r="J124" s="21" t="str">
        <x:f>IF(AND(F124&gt;=H124,G124&gt;=I124),"PASS","FAIL")</x:f>
        <x:v>PASS</x:v>
      </x:c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C125" s="19" t="str">
        <x:v>MS-RT|A</x:v>
      </x:c>
      <x:c r="D125" s="19" t="str">
        <x:v>MS-RT</x:v>
      </x:c>
      <x:c r="E125" s="19" t="str">
        <x:v>Residual</x:v>
      </x:c>
      <x:c r="F125" s="32" t="n">
        <x:f>Residual!M23</x:f>
        <x:v>1.26</x:v>
      </x:c>
      <x:c r="G125" s="32" t="n">
        <x:f>Residual!N23</x:f>
        <x:v>1.05</x:v>
      </x:c>
      <x:c r="H125" s="32" t="n">
        <x:f>Controls!$D$7</x:f>
        <x:v>1.15</x:v>
      </x:c>
      <x:c r="I125" s="32" t="n">
        <x:f>Controls!$D$8</x:f>
        <x:v>1</x:v>
      </x:c>
      <x:c r="J125" s="21" t="str">
        <x:f>IF(AND(F125&gt;=H125,G125&gt;=I125),"PASS","FAIL")</x:f>
        <x:v>PASS</x:v>
      </x:c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C126" s="19" t="str">
        <x:v>MS-RT|B</x:v>
      </x:c>
      <x:c r="D126" s="19" t="str">
        <x:v>MS-RT</x:v>
      </x:c>
      <x:c r="E126" s="19" t="str">
        <x:v>Mass</x:v>
      </x:c>
      <x:c r="F126" s="32" t="n">
        <x:f>'Mass Access'!L24</x:f>
        <x:v>1.1666666666666667</x:v>
      </x:c>
      <x:c r="G126" s="32" t="n">
        <x:f>'Mass Access'!M24</x:f>
        <x:v>1.05</x:v>
      </x:c>
      <x:c r="H126" s="32" t="n">
        <x:f>Controls!$D$7</x:f>
        <x:v>1.15</x:v>
      </x:c>
      <x:c r="I126" s="32" t="n">
        <x:f>Controls!$D$8</x:f>
        <x:v>1</x:v>
      </x:c>
      <x:c r="J126" s="21" t="str">
        <x:f>IF(AND(F126&gt;=H126,G126&gt;=I126),"PASS","FAIL")</x:f>
        <x:v>PASS</x:v>
      </x:c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C127" s="19" t="str">
        <x:v>MS-RT|B</x:v>
      </x:c>
      <x:c r="D127" s="19" t="str">
        <x:v>MS-RT</x:v>
      </x:c>
      <x:c r="E127" s="19" t="str">
        <x:v>Energy</x:v>
      </x:c>
      <x:c r="F127" s="32" t="n">
        <x:f>Energy!P24</x:f>
        <x:v>1.1741935483870967</x:v>
      </x:c>
      <x:c r="G127" s="32" t="n">
        <x:f>Energy!Q24</x:f>
        <x:v>1.0064516129032257</x:v>
      </x:c>
      <x:c r="H127" s="32" t="n">
        <x:f>Controls!$D$7</x:f>
        <x:v>1.15</x:v>
      </x:c>
      <x:c r="I127" s="32" t="n">
        <x:f>Controls!$D$8</x:f>
        <x:v>1</x:v>
      </x:c>
      <x:c r="J127" s="21" t="str">
        <x:f>IF(AND(F127&gt;=H127,G127&gt;=I127),"PASS","FAIL")</x:f>
        <x:v>PASS</x:v>
      </x:c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C128" s="19" t="str">
        <x:v>MS-RT|B</x:v>
      </x:c>
      <x:c r="D128" s="19" t="str">
        <x:v>MS-RT</x:v>
      </x:c>
      <x:c r="E128" s="19" t="str">
        <x:v>Route flow</x:v>
      </x:c>
      <x:c r="F128" s="32" t="n">
        <x:f>MIN('Route Flow'!N84:N88)</x:f>
        <x:v>1.3</x:v>
      </x:c>
      <x:c r="G128" s="32" t="n">
        <x:f>MIN('Route Flow'!O84:O88)</x:f>
        <x:v>1.04</x:v>
      </x:c>
      <x:c r="H128" s="32" t="n">
        <x:f>Controls!$D$7</x:f>
        <x:v>1.15</x:v>
      </x:c>
      <x:c r="I128" s="32" t="n">
        <x:f>Controls!$D$8</x:f>
        <x:v>1</x:v>
      </x:c>
      <x:c r="J128" s="21" t="str">
        <x:f>IF(AND(F128&gt;=H128,G128&gt;=I128),"PASS","FAIL")</x:f>
        <x:v>PASS</x:v>
      </x:c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C129" s="19" t="str">
        <x:v>MS-RT|B</x:v>
      </x:c>
      <x:c r="D129" s="19" t="str">
        <x:v>MS-RT</x:v>
      </x:c>
      <x:c r="E129" s="19" t="str">
        <x:v>Labor</x:v>
      </x:c>
      <x:c r="F129" s="32" t="n">
        <x:f>Labor!K24</x:f>
        <x:v>1.5432098765432098</x:v>
      </x:c>
      <x:c r="G129" s="32" t="n">
        <x:f>Labor!L24</x:f>
        <x:v>1.2345679012345678</x:v>
      </x:c>
      <x:c r="H129" s="32" t="n">
        <x:f>Controls!$D$7</x:f>
        <x:v>1.15</x:v>
      </x:c>
      <x:c r="I129" s="32" t="n">
        <x:f>Controls!$D$8</x:f>
        <x:v>1</x:v>
      </x:c>
      <x:c r="J129" s="21" t="str">
        <x:f>IF(AND(F129&gt;=H129,G129&gt;=I129),"PASS","FAIL")</x:f>
        <x:v>PASS</x:v>
      </x:c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C130" s="19" t="str">
        <x:v>MS-RT|B</x:v>
      </x:c>
      <x:c r="D130" s="19" t="str">
        <x:v>MS-RT</x:v>
      </x:c>
      <x:c r="E130" s="19" t="str">
        <x:v>Safety</x:v>
      </x:c>
      <x:c r="F130" s="32" t="n">
        <x:f>Safety!J24</x:f>
        <x:v>1.225</x:v>
      </x:c>
      <x:c r="G130" s="32" t="n">
        <x:f>Safety!K24</x:f>
        <x:v>1.05</x:v>
      </x:c>
      <x:c r="H130" s="32" t="n">
        <x:f>Controls!$D$7</x:f>
        <x:v>1.15</x:v>
      </x:c>
      <x:c r="I130" s="32" t="n">
        <x:f>Controls!$D$8</x:f>
        <x:v>1</x:v>
      </x:c>
      <x:c r="J130" s="21" t="str">
        <x:f>IF(AND(F130&gt;=H130,G130&gt;=I130),"PASS","FAIL")</x:f>
        <x:v>PASS</x:v>
      </x:c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C131" s="19" t="str">
        <x:v>MS-RT|B</x:v>
      </x:c>
      <x:c r="D131" s="19" t="str">
        <x:v>MS-RT</x:v>
      </x:c>
      <x:c r="E131" s="19" t="str">
        <x:v>Receiver</x:v>
      </x:c>
      <x:c r="F131" s="32" t="n">
        <x:f>Receivers!I24</x:f>
        <x:v>1.1812500000000001</x:v>
      </x:c>
      <x:c r="G131" s="32" t="n">
        <x:f>Receivers!J24</x:f>
        <x:v>1.05</x:v>
      </x:c>
      <x:c r="H131" s="32" t="n">
        <x:f>Controls!$D$7</x:f>
        <x:v>1.15</x:v>
      </x:c>
      <x:c r="I131" s="32" t="n">
        <x:f>Controls!$D$8</x:f>
        <x:v>1</x:v>
      </x:c>
      <x:c r="J131" s="21" t="str">
        <x:f>IF(AND(F131&gt;=H131,G131&gt;=I131),"PASS","FAIL")</x:f>
        <x:v>PASS</x:v>
      </x:c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C132" s="19" t="str">
        <x:v>MS-RT|B</x:v>
      </x:c>
      <x:c r="D132" s="19" t="str">
        <x:v>MS-RT</x:v>
      </x:c>
      <x:c r="E132" s="19" t="str">
        <x:v>Residual</x:v>
      </x:c>
      <x:c r="F132" s="32" t="n">
        <x:f>Residual!M24</x:f>
        <x:v>1.26</x:v>
      </x:c>
      <x:c r="G132" s="32" t="n">
        <x:f>Residual!N24</x:f>
        <x:v>1.05</x:v>
      </x:c>
      <x:c r="H132" s="32" t="n">
        <x:f>Controls!$D$7</x:f>
        <x:v>1.15</x:v>
      </x:c>
      <x:c r="I132" s="32" t="n">
        <x:f>Controls!$D$8</x:f>
        <x:v>1</x:v>
      </x:c>
      <x:c r="J132" s="21" t="str">
        <x:f>IF(AND(F132&gt;=H132,G132&gt;=I132),"PASS","FAIL")</x:f>
        <x:v>PASS</x:v>
      </x:c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C133" s="19" t="str">
        <x:v>MS-RT|C</x:v>
      </x:c>
      <x:c r="D133" s="19" t="str">
        <x:v>MS-RT</x:v>
      </x:c>
      <x:c r="E133" s="19" t="str">
        <x:v>Mass</x:v>
      </x:c>
      <x:c r="F133" s="32" t="n">
        <x:f>'Mass Access'!L25</x:f>
        <x:v>1.1666666666666667</x:v>
      </x:c>
      <x:c r="G133" s="32" t="n">
        <x:f>'Mass Access'!M25</x:f>
        <x:v>1.05</x:v>
      </x:c>
      <x:c r="H133" s="32" t="n">
        <x:f>Controls!$D$7</x:f>
        <x:v>1.15</x:v>
      </x:c>
      <x:c r="I133" s="32" t="n">
        <x:f>Controls!$D$8</x:f>
        <x:v>1</x:v>
      </x:c>
      <x:c r="J133" s="21" t="str">
        <x:f>IF(AND(F133&gt;=H133,G133&gt;=I133),"PASS","FAIL")</x:f>
        <x:v>PASS</x:v>
      </x:c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C134" s="19" t="str">
        <x:v>MS-RT|C</x:v>
      </x:c>
      <x:c r="D134" s="19" t="str">
        <x:v>MS-RT</x:v>
      </x:c>
      <x:c r="E134" s="19" t="str">
        <x:v>Energy</x:v>
      </x:c>
      <x:c r="F134" s="32" t="n">
        <x:f>Energy!P25</x:f>
        <x:v>1.1925925925925926</x:v>
      </x:c>
      <x:c r="G134" s="32" t="n">
        <x:f>Energy!Q25</x:f>
        <x:v>1.0222222222222221</x:v>
      </x:c>
      <x:c r="H134" s="32" t="n">
        <x:f>Controls!$D$7</x:f>
        <x:v>1.15</x:v>
      </x:c>
      <x:c r="I134" s="32" t="n">
        <x:f>Controls!$D$8</x:f>
        <x:v>1</x:v>
      </x:c>
      <x:c r="J134" s="21" t="str">
        <x:f>IF(AND(F134&gt;=H134,G134&gt;=I134),"PASS","FAIL")</x:f>
        <x:v>PASS</x:v>
      </x:c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C135" s="19" t="str">
        <x:v>MS-RT|C</x:v>
      </x:c>
      <x:c r="D135" s="19" t="str">
        <x:v>MS-RT</x:v>
      </x:c>
      <x:c r="E135" s="19" t="str">
        <x:v>Route flow</x:v>
      </x:c>
      <x:c r="F135" s="32" t="n">
        <x:f>MIN('Route Flow'!N89:N93)</x:f>
        <x:v>1.32</x:v>
      </x:c>
      <x:c r="G135" s="32" t="n">
        <x:f>MIN('Route Flow'!O89:O93)</x:f>
        <x:v>1.056</x:v>
      </x:c>
      <x:c r="H135" s="32" t="n">
        <x:f>Controls!$D$7</x:f>
        <x:v>1.15</x:v>
      </x:c>
      <x:c r="I135" s="32" t="n">
        <x:f>Controls!$D$8</x:f>
        <x:v>1</x:v>
      </x:c>
      <x:c r="J135" s="21" t="str">
        <x:f>IF(AND(F135&gt;=H135,G135&gt;=I135),"PASS","FAIL")</x:f>
        <x:v>PASS</x:v>
      </x:c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C136" s="19" t="str">
        <x:v>MS-RT|C</x:v>
      </x:c>
      <x:c r="D136" s="19" t="str">
        <x:v>MS-RT</x:v>
      </x:c>
      <x:c r="E136" s="19" t="str">
        <x:v>Labor</x:v>
      </x:c>
      <x:c r="F136" s="32" t="n">
        <x:f>Labor!K25</x:f>
        <x:v>1.5432098765432098</x:v>
      </x:c>
      <x:c r="G136" s="32" t="n">
        <x:f>Labor!L25</x:f>
        <x:v>1.2345679012345678</x:v>
      </x:c>
      <x:c r="H136" s="32" t="n">
        <x:f>Controls!$D$7</x:f>
        <x:v>1.15</x:v>
      </x:c>
      <x:c r="I136" s="32" t="n">
        <x:f>Controls!$D$8</x:f>
        <x:v>1</x:v>
      </x:c>
      <x:c r="J136" s="21" t="str">
        <x:f>IF(AND(F136&gt;=H136,G136&gt;=I136),"PASS","FAIL")</x:f>
        <x:v>PASS</x:v>
      </x:c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C137" s="19" t="str">
        <x:v>MS-RT|C</x:v>
      </x:c>
      <x:c r="D137" s="19" t="str">
        <x:v>MS-RT</x:v>
      </x:c>
      <x:c r="E137" s="19" t="str">
        <x:v>Safety</x:v>
      </x:c>
      <x:c r="F137" s="32" t="n">
        <x:f>Safety!J25</x:f>
        <x:v>1.225</x:v>
      </x:c>
      <x:c r="G137" s="32" t="n">
        <x:f>Safety!K25</x:f>
        <x:v>1.05</x:v>
      </x:c>
      <x:c r="H137" s="32" t="n">
        <x:f>Controls!$D$7</x:f>
        <x:v>1.15</x:v>
      </x:c>
      <x:c r="I137" s="32" t="n">
        <x:f>Controls!$D$8</x:f>
        <x:v>1</x:v>
      </x:c>
      <x:c r="J137" s="21" t="str">
        <x:f>IF(AND(F137&gt;=H137,G137&gt;=I137),"PASS","FAIL")</x:f>
        <x:v>PASS</x:v>
      </x:c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C138" s="19" t="str">
        <x:v>MS-RT|C</x:v>
      </x:c>
      <x:c r="D138" s="19" t="str">
        <x:v>MS-RT</x:v>
      </x:c>
      <x:c r="E138" s="19" t="str">
        <x:v>Receiver</x:v>
      </x:c>
      <x:c r="F138" s="32" t="n">
        <x:f>Receivers!I25</x:f>
        <x:v>1.1812500000000001</x:v>
      </x:c>
      <x:c r="G138" s="32" t="n">
        <x:f>Receivers!J25</x:f>
        <x:v>1.05</x:v>
      </x:c>
      <x:c r="H138" s="32" t="n">
        <x:f>Controls!$D$7</x:f>
        <x:v>1.15</x:v>
      </x:c>
      <x:c r="I138" s="32" t="n">
        <x:f>Controls!$D$8</x:f>
        <x:v>1</x:v>
      </x:c>
      <x:c r="J138" s="21" t="str">
        <x:f>IF(AND(F138&gt;=H138,G138&gt;=I138),"PASS","FAIL")</x:f>
        <x:v>PASS</x:v>
      </x:c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C139" s="19" t="str">
        <x:v>MS-RT|C</x:v>
      </x:c>
      <x:c r="D139" s="19" t="str">
        <x:v>MS-RT</x:v>
      </x:c>
      <x:c r="E139" s="19" t="str">
        <x:v>Residual</x:v>
      </x:c>
      <x:c r="F139" s="32" t="n">
        <x:f>Residual!M25</x:f>
        <x:v>1.225</x:v>
      </x:c>
      <x:c r="G139" s="32" t="n">
        <x:f>Residual!N25</x:f>
        <x:v>1.05</x:v>
      </x:c>
      <x:c r="H139" s="32" t="n">
        <x:f>Controls!$D$7</x:f>
        <x:v>1.15</x:v>
      </x:c>
      <x:c r="I139" s="32" t="n">
        <x:f>Controls!$D$8</x:f>
        <x:v>1</x:v>
      </x:c>
      <x:c r="J139" s="21" t="str">
        <x:f>IF(AND(F139&gt;=H139,G139&gt;=I139),"PASS","FAIL")</x:f>
        <x:v>PASS</x:v>
      </x:c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C140" s="19" t="str">
        <x:v>MS-RT|D</x:v>
      </x:c>
      <x:c r="D140" s="19" t="str">
        <x:v>MS-RT</x:v>
      </x:c>
      <x:c r="E140" s="19" t="str">
        <x:v>Mass</x:v>
      </x:c>
      <x:c r="F140" s="32" t="n">
        <x:f>'Mass Access'!L26</x:f>
        <x:v>1.1682692307692308</x:v>
      </x:c>
      <x:c r="G140" s="32" t="n">
        <x:f>'Mass Access'!M26</x:f>
        <x:v>1.0384615384615385</x:v>
      </x:c>
      <x:c r="H140" s="32" t="n">
        <x:f>Controls!$D$7</x:f>
        <x:v>1.15</x:v>
      </x:c>
      <x:c r="I140" s="32" t="n">
        <x:f>Controls!$D$8</x:f>
        <x:v>1</x:v>
      </x:c>
      <x:c r="J140" s="21" t="str">
        <x:f>IF(AND(F140&gt;=H140,G140&gt;=I140),"PASS","FAIL")</x:f>
        <x:v>PASS</x:v>
      </x:c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C141" s="19" t="str">
        <x:v>MS-RT|D</x:v>
      </x:c>
      <x:c r="D141" s="19" t="str">
        <x:v>MS-RT</x:v>
      </x:c>
      <x:c r="E141" s="19" t="str">
        <x:v>Energy</x:v>
      </x:c>
      <x:c r="F141" s="32" t="n">
        <x:f>Energy!P26</x:f>
        <x:v>1.1578947368421053</x:v>
      </x:c>
      <x:c r="G141" s="32" t="n">
        <x:f>Energy!Q26</x:f>
        <x:v>1.013157894736842</x:v>
      </x:c>
      <x:c r="H141" s="32" t="n">
        <x:f>Controls!$D$7</x:f>
        <x:v>1.15</x:v>
      </x:c>
      <x:c r="I141" s="32" t="n">
        <x:f>Controls!$D$8</x:f>
        <x:v>1</x:v>
      </x:c>
      <x:c r="J141" s="21" t="str">
        <x:f>IF(AND(F141&gt;=H141,G141&gt;=I141),"PASS","FAIL")</x:f>
        <x:v>PASS</x:v>
      </x:c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C142" s="19" t="str">
        <x:v>MS-RT|D</x:v>
      </x:c>
      <x:c r="D142" s="19" t="str">
        <x:v>MS-RT</x:v>
      </x:c>
      <x:c r="E142" s="19" t="str">
        <x:v>Route flow</x:v>
      </x:c>
      <x:c r="F142" s="32" t="n">
        <x:f>MIN('Route Flow'!N94:N98)</x:f>
        <x:v>1.34</x:v>
      </x:c>
      <x:c r="G142" s="32" t="n">
        <x:f>MIN('Route Flow'!O94:O98)</x:f>
        <x:v>1.072</x:v>
      </x:c>
      <x:c r="H142" s="32" t="n">
        <x:f>Controls!$D$7</x:f>
        <x:v>1.15</x:v>
      </x:c>
      <x:c r="I142" s="32" t="n">
        <x:f>Controls!$D$8</x:f>
        <x:v>1</x:v>
      </x:c>
      <x:c r="J142" s="21" t="str">
        <x:f>IF(AND(F142&gt;=H142,G142&gt;=I142),"PASS","FAIL")</x:f>
        <x:v>PASS</x:v>
      </x:c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C143" s="19" t="str">
        <x:v>MS-RT|D</x:v>
      </x:c>
      <x:c r="D143" s="19" t="str">
        <x:v>MS-RT</x:v>
      </x:c>
      <x:c r="E143" s="19" t="str">
        <x:v>Labor</x:v>
      </x:c>
      <x:c r="F143" s="32" t="n">
        <x:f>Labor!K26</x:f>
        <x:v>1.5432098765432098</x:v>
      </x:c>
      <x:c r="G143" s="32" t="n">
        <x:f>Labor!L26</x:f>
        <x:v>1.2345679012345678</x:v>
      </x:c>
      <x:c r="H143" s="32" t="n">
        <x:f>Controls!$D$7</x:f>
        <x:v>1.15</x:v>
      </x:c>
      <x:c r="I143" s="32" t="n">
        <x:f>Controls!$D$8</x:f>
        <x:v>1</x:v>
      </x:c>
      <x:c r="J143" s="21" t="str">
        <x:f>IF(AND(F143&gt;=H143,G143&gt;=I143),"PASS","FAIL")</x:f>
        <x:v>PASS</x:v>
      </x:c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C144" s="19" t="str">
        <x:v>MS-RT|D</x:v>
      </x:c>
      <x:c r="D144" s="19" t="str">
        <x:v>MS-RT</x:v>
      </x:c>
      <x:c r="E144" s="19" t="str">
        <x:v>Safety</x:v>
      </x:c>
      <x:c r="F144" s="32" t="n">
        <x:f>Safety!J26</x:f>
        <x:v>1.2253333333333334</x:v>
      </x:c>
      <x:c r="G144" s="32" t="n">
        <x:f>Safety!K26</x:f>
        <x:v>1.0502857142857143</x:v>
      </x:c>
      <x:c r="H144" s="32" t="n">
        <x:f>Controls!$D$7</x:f>
        <x:v>1.15</x:v>
      </x:c>
      <x:c r="I144" s="32" t="n">
        <x:f>Controls!$D$8</x:f>
        <x:v>1</x:v>
      </x:c>
      <x:c r="J144" s="21" t="str">
        <x:f>IF(AND(F144&gt;=H144,G144&gt;=I144),"PASS","FAIL")</x:f>
        <x:v>PASS</x:v>
      </x:c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C145" s="19" t="str">
        <x:v>MS-RT|D</x:v>
      </x:c>
      <x:c r="D145" s="19" t="str">
        <x:v>MS-RT</x:v>
      </x:c>
      <x:c r="E145" s="19" t="str">
        <x:v>Receiver</x:v>
      </x:c>
      <x:c r="F145" s="32" t="n">
        <x:f>Receivers!I26</x:f>
        <x:v>1.2</x:v>
      </x:c>
      <x:c r="G145" s="32" t="n">
        <x:f>Receivers!J26</x:f>
        <x:v>1.05</x:v>
      </x:c>
      <x:c r="H145" s="32" t="n">
        <x:f>Controls!$D$7</x:f>
        <x:v>1.15</x:v>
      </x:c>
      <x:c r="I145" s="32" t="n">
        <x:f>Controls!$D$8</x:f>
        <x:v>1</x:v>
      </x:c>
      <x:c r="J145" s="21" t="str">
        <x:f>IF(AND(F145&gt;=H145,G145&gt;=I145),"PASS","FAIL")</x:f>
        <x:v>PASS</x:v>
      </x:c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C146" s="23" t="str">
        <x:v>MS-RT|D</x:v>
      </x:c>
      <x:c r="D146" s="23" t="str">
        <x:v>MS-RT</x:v>
      </x:c>
      <x:c r="E146" s="23" t="str">
        <x:v>Residual</x:v>
      </x:c>
      <x:c r="F146" s="34" t="n">
        <x:f>Residual!M26</x:f>
        <x:v>1.225</x:v>
      </x:c>
      <x:c r="G146" s="34" t="n">
        <x:f>Residual!N26</x:f>
        <x:v>1.05</x:v>
      </x:c>
      <x:c r="H146" s="34" t="n">
        <x:f>Controls!$D$7</x:f>
        <x:v>1.15</x:v>
      </x:c>
      <x:c r="I146" s="34" t="n">
        <x:f>Controls!$D$8</x:f>
        <x:v>1</x:v>
      </x:c>
      <x:c r="J146" s="25" t="str">
        <x:f>IF(AND(F146&gt;=H146,G146&gt;=I146),"PASS","FAIL")</x:f>
        <x:v>PASS</x:v>
      </x:c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C147" s="2"/>
      <x:c r="D147" s="2"/>
      <x:c r="E147" s="2"/>
      <x:c r="F147" s="2"/>
      <x:c r="G147" s="2"/>
      <x:c r="H147" s="2"/>
      <x:c r="I147" s="2"/>
      <x:c r="J147" s="2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C148" s="2"/>
      <x:c r="D148" s="2"/>
      <x:c r="E148" s="2"/>
      <x:c r="F148" s="2"/>
      <x:c r="G148" s="2"/>
      <x:c r="H148" s="2"/>
      <x:c r="I148" s="2"/>
      <x:c r="J148" s="2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C149" s="2"/>
      <x:c r="D149" s="2"/>
      <x:c r="E149" s="2"/>
      <x:c r="F149" s="2"/>
      <x:c r="G149" s="2"/>
      <x:c r="H149" s="2"/>
      <x:c r="I149" s="2"/>
      <x:c r="J149" s="2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C150" s="2"/>
      <x:c r="D150" s="2"/>
      <x:c r="E150" s="2"/>
      <x:c r="F150" s="2"/>
      <x:c r="G150" s="2"/>
      <x:c r="H150" s="2"/>
      <x:c r="I150" s="2"/>
      <x:c r="J150" s="2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C151" s="2"/>
      <x:c r="D151" s="2"/>
      <x:c r="E151" s="2"/>
      <x:c r="F151" s="2"/>
      <x:c r="G151" s="2"/>
      <x:c r="H151" s="2"/>
      <x:c r="I151" s="2"/>
      <x:c r="J151" s="2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C152" s="2"/>
      <x:c r="D152" s="2"/>
      <x:c r="E152" s="2"/>
      <x:c r="F152" s="2"/>
      <x:c r="G152" s="2"/>
      <x:c r="H152" s="2"/>
      <x:c r="I152" s="2"/>
      <x:c r="J152" s="2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C153" s="2"/>
      <x:c r="D153" s="2"/>
      <x:c r="E153" s="2"/>
      <x:c r="F153" s="2"/>
      <x:c r="G153" s="2"/>
      <x:c r="H153" s="2"/>
      <x:c r="I153" s="2"/>
      <x:c r="J153" s="2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C154" s="2"/>
      <x:c r="D154" s="2"/>
      <x:c r="E154" s="2"/>
      <x:c r="F154" s="2"/>
      <x:c r="G154" s="2"/>
      <x:c r="H154" s="2"/>
      <x:c r="I154" s="2"/>
      <x:c r="J154" s="2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C155" s="2"/>
      <x:c r="D155" s="2"/>
      <x:c r="E155" s="2"/>
      <x:c r="F155" s="2"/>
      <x:c r="G155" s="2"/>
      <x:c r="H155" s="2"/>
      <x:c r="I155" s="2"/>
      <x:c r="J155" s="2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20" hidden="0" customWidth="1"/>
    <x:col min="4" max="4" width="20" hidden="0" customWidth="1"/>
    <x:col min="5" max="5" width="20" hidden="0" customWidth="1"/>
    <x:col min="6" max="6" width="15" hidden="0" customWidth="1"/>
    <x:col min="7" max="7" width="15" hidden="0" customWidth="1"/>
  </x:cols>
  <x:sheetData>
    <x:row r="1">
      <x:c r="C1" s="2"/>
      <x:c r="D1" s="2"/>
      <x:c r="E1" s="2"/>
      <x:c r="F1" s="2"/>
      <x:c r="G1" s="2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Source-empty physical balance evidence</x:v>
      </x:c>
      <x:c r="D2" s="2"/>
      <x:c r="E2" s="2"/>
      <x:c r="F2" s="2"/>
      <x:c r="G2" s="2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Paper closure creates a testable baseline; it does not accept a physical coefficient.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Gate</x:v>
      </x:c>
      <x:c r="D6" s="18" t="str">
        <x:v>Root</x:v>
      </x:c>
      <x:c r="E6" s="18" t="str">
        <x:v>Account</x:v>
      </x:c>
      <x:c r="F6" s="18" t="str">
        <x:v>Accepted</x:v>
      </x:c>
      <x:c r="G6" s="18" t="str">
        <x:v>State</x:v>
      </x:c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EB-ET-A-1</x:v>
      </x:c>
      <x:c r="D7" s="19" t="str">
        <x:v>MS-ET|A</x:v>
      </x:c>
      <x:c r="E7" s="19" t="str">
        <x:v>Mass</x:v>
      </x:c>
      <x:c r="F7" s="22" t="n">
        <x:v>0</x:v>
      </x:c>
      <x:c r="G7" s="21" t="str">
        <x:v>UNTESTED</x:v>
      </x:c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EB-ET-A-2</x:v>
      </x:c>
      <x:c r="D8" s="19" t="str">
        <x:v>MS-ET|A</x:v>
      </x:c>
      <x:c r="E8" s="19" t="str">
        <x:v>Energy</x:v>
      </x:c>
      <x:c r="F8" s="22" t="n">
        <x:v>0</x:v>
      </x:c>
      <x:c r="G8" s="21" t="str">
        <x:v>UNTESTED</x:v>
      </x:c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EB-ET-A-3</x:v>
      </x:c>
      <x:c r="D9" s="19" t="str">
        <x:v>MS-ET|A</x:v>
      </x:c>
      <x:c r="E9" s="19" t="str">
        <x:v>Route flow</x:v>
      </x:c>
      <x:c r="F9" s="22" t="n">
        <x:v>0</x:v>
      </x:c>
      <x:c r="G9" s="21" t="str">
        <x:v>UNTESTED</x:v>
      </x:c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EB-ET-A-4</x:v>
      </x:c>
      <x:c r="D10" s="19" t="str">
        <x:v>MS-ET|A</x:v>
      </x:c>
      <x:c r="E10" s="19" t="str">
        <x:v>Labor</x:v>
      </x:c>
      <x:c r="F10" s="22" t="n">
        <x:v>0</x:v>
      </x:c>
      <x:c r="G10" s="21" t="str">
        <x:v>UNTESTED</x:v>
      </x:c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EB-ET-A-5</x:v>
      </x:c>
      <x:c r="D11" s="19" t="str">
        <x:v>MS-ET|A</x:v>
      </x:c>
      <x:c r="E11" s="19" t="str">
        <x:v>Safety</x:v>
      </x:c>
      <x:c r="F11" s="22" t="n">
        <x:v>0</x:v>
      </x:c>
      <x:c r="G11" s="21" t="str">
        <x:v>UNTESTED</x:v>
      </x:c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EB-ET-A-6</x:v>
      </x:c>
      <x:c r="D12" s="19" t="str">
        <x:v>MS-ET|A</x:v>
      </x:c>
      <x:c r="E12" s="19" t="str">
        <x:v>Receiver</x:v>
      </x:c>
      <x:c r="F12" s="22" t="n">
        <x:v>0</x:v>
      </x:c>
      <x:c r="G12" s="21" t="str">
        <x:v>UNTESTED</x:v>
      </x:c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EB-ET-A-7</x:v>
      </x:c>
      <x:c r="D13" s="19" t="str">
        <x:v>MS-ET|A</x:v>
      </x:c>
      <x:c r="E13" s="19" t="str">
        <x:v>Residual</x:v>
      </x:c>
      <x:c r="F13" s="22" t="n">
        <x:v>0</x:v>
      </x:c>
      <x:c r="G13" s="21" t="str">
        <x:v>UNTESTED</x:v>
      </x:c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EB-ET-B-1</x:v>
      </x:c>
      <x:c r="D14" s="19" t="str">
        <x:v>MS-ET|B</x:v>
      </x:c>
      <x:c r="E14" s="19" t="str">
        <x:v>Mass</x:v>
      </x:c>
      <x:c r="F14" s="22" t="n">
        <x:v>0</x:v>
      </x:c>
      <x:c r="G14" s="21" t="str">
        <x:v>UNTESTED</x:v>
      </x:c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EB-ET-B-2</x:v>
      </x:c>
      <x:c r="D15" s="19" t="str">
        <x:v>MS-ET|B</x:v>
      </x:c>
      <x:c r="E15" s="19" t="str">
        <x:v>Energy</x:v>
      </x:c>
      <x:c r="F15" s="22" t="n">
        <x:v>0</x:v>
      </x:c>
      <x:c r="G15" s="21" t="str">
        <x:v>UNTESTED</x:v>
      </x:c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EB-ET-B-3</x:v>
      </x:c>
      <x:c r="D16" s="19" t="str">
        <x:v>MS-ET|B</x:v>
      </x:c>
      <x:c r="E16" s="19" t="str">
        <x:v>Route flow</x:v>
      </x:c>
      <x:c r="F16" s="22" t="n">
        <x:v>0</x:v>
      </x:c>
      <x:c r="G16" s="21" t="str">
        <x:v>UNTESTED</x:v>
      </x:c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EB-ET-B-4</x:v>
      </x:c>
      <x:c r="D17" s="19" t="str">
        <x:v>MS-ET|B</x:v>
      </x:c>
      <x:c r="E17" s="19" t="str">
        <x:v>Labor</x:v>
      </x:c>
      <x:c r="F17" s="22" t="n">
        <x:v>0</x:v>
      </x:c>
      <x:c r="G17" s="21" t="str">
        <x:v>UNTESTED</x:v>
      </x:c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EB-ET-B-5</x:v>
      </x:c>
      <x:c r="D18" s="19" t="str">
        <x:v>MS-ET|B</x:v>
      </x:c>
      <x:c r="E18" s="19" t="str">
        <x:v>Safety</x:v>
      </x:c>
      <x:c r="F18" s="22" t="n">
        <x:v>0</x:v>
      </x:c>
      <x:c r="G18" s="21" t="str">
        <x:v>UNTESTED</x:v>
      </x:c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EB-ET-B-6</x:v>
      </x:c>
      <x:c r="D19" s="19" t="str">
        <x:v>MS-ET|B</x:v>
      </x:c>
      <x:c r="E19" s="19" t="str">
        <x:v>Receiver</x:v>
      </x:c>
      <x:c r="F19" s="22" t="n">
        <x:v>0</x:v>
      </x:c>
      <x:c r="G19" s="21" t="str">
        <x:v>UNTESTED</x:v>
      </x:c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EB-ET-B-7</x:v>
      </x:c>
      <x:c r="D20" s="19" t="str">
        <x:v>MS-ET|B</x:v>
      </x:c>
      <x:c r="E20" s="19" t="str">
        <x:v>Residual</x:v>
      </x:c>
      <x:c r="F20" s="22" t="n">
        <x:v>0</x:v>
      </x:c>
      <x:c r="G20" s="21" t="str">
        <x:v>UNTESTED</x:v>
      </x:c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EB-ET-C-1</x:v>
      </x:c>
      <x:c r="D21" s="19" t="str">
        <x:v>MS-ET|C</x:v>
      </x:c>
      <x:c r="E21" s="19" t="str">
        <x:v>Mass</x:v>
      </x:c>
      <x:c r="F21" s="22" t="n">
        <x:v>0</x:v>
      </x:c>
      <x:c r="G21" s="21" t="str">
        <x:v>UNTESTED</x:v>
      </x:c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EB-ET-C-2</x:v>
      </x:c>
      <x:c r="D22" s="19" t="str">
        <x:v>MS-ET|C</x:v>
      </x:c>
      <x:c r="E22" s="19" t="str">
        <x:v>Energy</x:v>
      </x:c>
      <x:c r="F22" s="22" t="n">
        <x:v>0</x:v>
      </x:c>
      <x:c r="G22" s="21" t="str">
        <x:v>UNTESTED</x:v>
      </x:c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EB-ET-C-3</x:v>
      </x:c>
      <x:c r="D23" s="19" t="str">
        <x:v>MS-ET|C</x:v>
      </x:c>
      <x:c r="E23" s="19" t="str">
        <x:v>Route flow</x:v>
      </x:c>
      <x:c r="F23" s="22" t="n">
        <x:v>0</x:v>
      </x:c>
      <x:c r="G23" s="21" t="str">
        <x:v>UNTESTED</x:v>
      </x:c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EB-ET-C-4</x:v>
      </x:c>
      <x:c r="D24" s="19" t="str">
        <x:v>MS-ET|C</x:v>
      </x:c>
      <x:c r="E24" s="19" t="str">
        <x:v>Labor</x:v>
      </x:c>
      <x:c r="F24" s="22" t="n">
        <x:v>0</x:v>
      </x:c>
      <x:c r="G24" s="21" t="str">
        <x:v>UNTESTED</x:v>
      </x:c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EB-ET-C-5</x:v>
      </x:c>
      <x:c r="D25" s="19" t="str">
        <x:v>MS-ET|C</x:v>
      </x:c>
      <x:c r="E25" s="19" t="str">
        <x:v>Safety</x:v>
      </x:c>
      <x:c r="F25" s="22" t="n">
        <x:v>0</x:v>
      </x:c>
      <x:c r="G25" s="21" t="str">
        <x:v>UNTESTED</x:v>
      </x:c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19" t="str">
        <x:v>EB-ET-C-6</x:v>
      </x:c>
      <x:c r="D26" s="19" t="str">
        <x:v>MS-ET|C</x:v>
      </x:c>
      <x:c r="E26" s="19" t="str">
        <x:v>Receiver</x:v>
      </x:c>
      <x:c r="F26" s="22" t="n">
        <x:v>0</x:v>
      </x:c>
      <x:c r="G26" s="21" t="str">
        <x:v>UNTESTED</x:v>
      </x:c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19" t="str">
        <x:v>EB-ET-C-7</x:v>
      </x:c>
      <x:c r="D27" s="19" t="str">
        <x:v>MS-ET|C</x:v>
      </x:c>
      <x:c r="E27" s="19" t="str">
        <x:v>Residual</x:v>
      </x:c>
      <x:c r="F27" s="22" t="n">
        <x:v>0</x:v>
      </x:c>
      <x:c r="G27" s="21" t="str">
        <x:v>UNTESTED</x:v>
      </x:c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19" t="str">
        <x:v>EB-ET-D-1</x:v>
      </x:c>
      <x:c r="D28" s="19" t="str">
        <x:v>MS-ET|D</x:v>
      </x:c>
      <x:c r="E28" s="19" t="str">
        <x:v>Mass</x:v>
      </x:c>
      <x:c r="F28" s="22" t="n">
        <x:v>0</x:v>
      </x:c>
      <x:c r="G28" s="21" t="str">
        <x:v>UNTESTED</x:v>
      </x:c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19" t="str">
        <x:v>EB-ET-D-2</x:v>
      </x:c>
      <x:c r="D29" s="19" t="str">
        <x:v>MS-ET|D</x:v>
      </x:c>
      <x:c r="E29" s="19" t="str">
        <x:v>Energy</x:v>
      </x:c>
      <x:c r="F29" s="22" t="n">
        <x:v>0</x:v>
      </x:c>
      <x:c r="G29" s="21" t="str">
        <x:v>UNTESTED</x:v>
      </x:c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19" t="str">
        <x:v>EB-ET-D-3</x:v>
      </x:c>
      <x:c r="D30" s="19" t="str">
        <x:v>MS-ET|D</x:v>
      </x:c>
      <x:c r="E30" s="19" t="str">
        <x:v>Route flow</x:v>
      </x:c>
      <x:c r="F30" s="22" t="n">
        <x:v>0</x:v>
      </x:c>
      <x:c r="G30" s="21" t="str">
        <x:v>UNTESTED</x:v>
      </x:c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C31" s="19" t="str">
        <x:v>EB-ET-D-4</x:v>
      </x:c>
      <x:c r="D31" s="19" t="str">
        <x:v>MS-ET|D</x:v>
      </x:c>
      <x:c r="E31" s="19" t="str">
        <x:v>Labor</x:v>
      </x:c>
      <x:c r="F31" s="22" t="n">
        <x:v>0</x:v>
      </x:c>
      <x:c r="G31" s="21" t="str">
        <x:v>UNTESTED</x:v>
      </x:c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C32" s="19" t="str">
        <x:v>EB-ET-D-5</x:v>
      </x:c>
      <x:c r="D32" s="19" t="str">
        <x:v>MS-ET|D</x:v>
      </x:c>
      <x:c r="E32" s="19" t="str">
        <x:v>Safety</x:v>
      </x:c>
      <x:c r="F32" s="22" t="n">
        <x:v>0</x:v>
      </x:c>
      <x:c r="G32" s="21" t="str">
        <x:v>UNTESTED</x:v>
      </x:c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C33" s="19" t="str">
        <x:v>EB-ET-D-6</x:v>
      </x:c>
      <x:c r="D33" s="19" t="str">
        <x:v>MS-ET|D</x:v>
      </x:c>
      <x:c r="E33" s="19" t="str">
        <x:v>Receiver</x:v>
      </x:c>
      <x:c r="F33" s="22" t="n">
        <x:v>0</x:v>
      </x:c>
      <x:c r="G33" s="21" t="str">
        <x:v>UNTESTED</x:v>
      </x:c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C34" s="19" t="str">
        <x:v>EB-ET-D-7</x:v>
      </x:c>
      <x:c r="D34" s="19" t="str">
        <x:v>MS-ET|D</x:v>
      </x:c>
      <x:c r="E34" s="19" t="str">
        <x:v>Residual</x:v>
      </x:c>
      <x:c r="F34" s="22" t="n">
        <x:v>0</x:v>
      </x:c>
      <x:c r="G34" s="21" t="str">
        <x:v>UNTESTED</x:v>
      </x:c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C35" s="19" t="str">
        <x:v>EB-CT-A-1</x:v>
      </x:c>
      <x:c r="D35" s="19" t="str">
        <x:v>MS-CT|A</x:v>
      </x:c>
      <x:c r="E35" s="19" t="str">
        <x:v>Mass</x:v>
      </x:c>
      <x:c r="F35" s="22" t="n">
        <x:v>0</x:v>
      </x:c>
      <x:c r="G35" s="21" t="str">
        <x:v>UNTESTED</x:v>
      </x:c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C36" s="19" t="str">
        <x:v>EB-CT-A-2</x:v>
      </x:c>
      <x:c r="D36" s="19" t="str">
        <x:v>MS-CT|A</x:v>
      </x:c>
      <x:c r="E36" s="19" t="str">
        <x:v>Energy</x:v>
      </x:c>
      <x:c r="F36" s="22" t="n">
        <x:v>0</x:v>
      </x:c>
      <x:c r="G36" s="21" t="str">
        <x:v>UNTESTED</x:v>
      </x:c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C37" s="19" t="str">
        <x:v>EB-CT-A-3</x:v>
      </x:c>
      <x:c r="D37" s="19" t="str">
        <x:v>MS-CT|A</x:v>
      </x:c>
      <x:c r="E37" s="19" t="str">
        <x:v>Route flow</x:v>
      </x:c>
      <x:c r="F37" s="22" t="n">
        <x:v>0</x:v>
      </x:c>
      <x:c r="G37" s="21" t="str">
        <x:v>UNTESTED</x:v>
      </x:c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C38" s="19" t="str">
        <x:v>EB-CT-A-4</x:v>
      </x:c>
      <x:c r="D38" s="19" t="str">
        <x:v>MS-CT|A</x:v>
      </x:c>
      <x:c r="E38" s="19" t="str">
        <x:v>Labor</x:v>
      </x:c>
      <x:c r="F38" s="22" t="n">
        <x:v>0</x:v>
      </x:c>
      <x:c r="G38" s="21" t="str">
        <x:v>UNTESTED</x:v>
      </x:c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C39" s="19" t="str">
        <x:v>EB-CT-A-5</x:v>
      </x:c>
      <x:c r="D39" s="19" t="str">
        <x:v>MS-CT|A</x:v>
      </x:c>
      <x:c r="E39" s="19" t="str">
        <x:v>Safety</x:v>
      </x:c>
      <x:c r="F39" s="22" t="n">
        <x:v>0</x:v>
      </x:c>
      <x:c r="G39" s="21" t="str">
        <x:v>UNTESTED</x:v>
      </x:c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C40" s="19" t="str">
        <x:v>EB-CT-A-6</x:v>
      </x:c>
      <x:c r="D40" s="19" t="str">
        <x:v>MS-CT|A</x:v>
      </x:c>
      <x:c r="E40" s="19" t="str">
        <x:v>Receiver</x:v>
      </x:c>
      <x:c r="F40" s="22" t="n">
        <x:v>0</x:v>
      </x:c>
      <x:c r="G40" s="21" t="str">
        <x:v>UNTESTED</x:v>
      </x:c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C41" s="19" t="str">
        <x:v>EB-CT-A-7</x:v>
      </x:c>
      <x:c r="D41" s="19" t="str">
        <x:v>MS-CT|A</x:v>
      </x:c>
      <x:c r="E41" s="19" t="str">
        <x:v>Residual</x:v>
      </x:c>
      <x:c r="F41" s="22" t="n">
        <x:v>0</x:v>
      </x:c>
      <x:c r="G41" s="21" t="str">
        <x:v>UNTESTED</x:v>
      </x:c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C42" s="19" t="str">
        <x:v>EB-CT-B-1</x:v>
      </x:c>
      <x:c r="D42" s="19" t="str">
        <x:v>MS-CT|B</x:v>
      </x:c>
      <x:c r="E42" s="19" t="str">
        <x:v>Mass</x:v>
      </x:c>
      <x:c r="F42" s="22" t="n">
        <x:v>0</x:v>
      </x:c>
      <x:c r="G42" s="21" t="str">
        <x:v>UNTESTED</x:v>
      </x:c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C43" s="19" t="str">
        <x:v>EB-CT-B-2</x:v>
      </x:c>
      <x:c r="D43" s="19" t="str">
        <x:v>MS-CT|B</x:v>
      </x:c>
      <x:c r="E43" s="19" t="str">
        <x:v>Energy</x:v>
      </x:c>
      <x:c r="F43" s="22" t="n">
        <x:v>0</x:v>
      </x:c>
      <x:c r="G43" s="21" t="str">
        <x:v>UNTESTED</x:v>
      </x:c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C44" s="19" t="str">
        <x:v>EB-CT-B-3</x:v>
      </x:c>
      <x:c r="D44" s="19" t="str">
        <x:v>MS-CT|B</x:v>
      </x:c>
      <x:c r="E44" s="19" t="str">
        <x:v>Route flow</x:v>
      </x:c>
      <x:c r="F44" s="22" t="n">
        <x:v>0</x:v>
      </x:c>
      <x:c r="G44" s="21" t="str">
        <x:v>UNTESTED</x:v>
      </x:c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C45" s="19" t="str">
        <x:v>EB-CT-B-4</x:v>
      </x:c>
      <x:c r="D45" s="19" t="str">
        <x:v>MS-CT|B</x:v>
      </x:c>
      <x:c r="E45" s="19" t="str">
        <x:v>Labor</x:v>
      </x:c>
      <x:c r="F45" s="22" t="n">
        <x:v>0</x:v>
      </x:c>
      <x:c r="G45" s="21" t="str">
        <x:v>UNTESTED</x:v>
      </x:c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C46" s="19" t="str">
        <x:v>EB-CT-B-5</x:v>
      </x:c>
      <x:c r="D46" s="19" t="str">
        <x:v>MS-CT|B</x:v>
      </x:c>
      <x:c r="E46" s="19" t="str">
        <x:v>Safety</x:v>
      </x:c>
      <x:c r="F46" s="22" t="n">
        <x:v>0</x:v>
      </x:c>
      <x:c r="G46" s="21" t="str">
        <x:v>UNTESTED</x:v>
      </x:c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C47" s="19" t="str">
        <x:v>EB-CT-B-6</x:v>
      </x:c>
      <x:c r="D47" s="19" t="str">
        <x:v>MS-CT|B</x:v>
      </x:c>
      <x:c r="E47" s="19" t="str">
        <x:v>Receiver</x:v>
      </x:c>
      <x:c r="F47" s="22" t="n">
        <x:v>0</x:v>
      </x:c>
      <x:c r="G47" s="21" t="str">
        <x:v>UNTESTED</x:v>
      </x:c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C48" s="19" t="str">
        <x:v>EB-CT-B-7</x:v>
      </x:c>
      <x:c r="D48" s="19" t="str">
        <x:v>MS-CT|B</x:v>
      </x:c>
      <x:c r="E48" s="19" t="str">
        <x:v>Residual</x:v>
      </x:c>
      <x:c r="F48" s="22" t="n">
        <x:v>0</x:v>
      </x:c>
      <x:c r="G48" s="21" t="str">
        <x:v>UNTESTED</x:v>
      </x:c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C49" s="19" t="str">
        <x:v>EB-CT-C-1</x:v>
      </x:c>
      <x:c r="D49" s="19" t="str">
        <x:v>MS-CT|C</x:v>
      </x:c>
      <x:c r="E49" s="19" t="str">
        <x:v>Mass</x:v>
      </x:c>
      <x:c r="F49" s="22" t="n">
        <x:v>0</x:v>
      </x:c>
      <x:c r="G49" s="21" t="str">
        <x:v>UNTESTED</x:v>
      </x:c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C50" s="19" t="str">
        <x:v>EB-CT-C-2</x:v>
      </x:c>
      <x:c r="D50" s="19" t="str">
        <x:v>MS-CT|C</x:v>
      </x:c>
      <x:c r="E50" s="19" t="str">
        <x:v>Energy</x:v>
      </x:c>
      <x:c r="F50" s="22" t="n">
        <x:v>0</x:v>
      </x:c>
      <x:c r="G50" s="21" t="str">
        <x:v>UNTESTED</x:v>
      </x:c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C51" s="19" t="str">
        <x:v>EB-CT-C-3</x:v>
      </x:c>
      <x:c r="D51" s="19" t="str">
        <x:v>MS-CT|C</x:v>
      </x:c>
      <x:c r="E51" s="19" t="str">
        <x:v>Route flow</x:v>
      </x:c>
      <x:c r="F51" s="22" t="n">
        <x:v>0</x:v>
      </x:c>
      <x:c r="G51" s="21" t="str">
        <x:v>UNTESTED</x:v>
      </x:c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C52" s="19" t="str">
        <x:v>EB-CT-C-4</x:v>
      </x:c>
      <x:c r="D52" s="19" t="str">
        <x:v>MS-CT|C</x:v>
      </x:c>
      <x:c r="E52" s="19" t="str">
        <x:v>Labor</x:v>
      </x:c>
      <x:c r="F52" s="22" t="n">
        <x:v>0</x:v>
      </x:c>
      <x:c r="G52" s="21" t="str">
        <x:v>UNTESTED</x:v>
      </x:c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C53" s="19" t="str">
        <x:v>EB-CT-C-5</x:v>
      </x:c>
      <x:c r="D53" s="19" t="str">
        <x:v>MS-CT|C</x:v>
      </x:c>
      <x:c r="E53" s="19" t="str">
        <x:v>Safety</x:v>
      </x:c>
      <x:c r="F53" s="22" t="n">
        <x:v>0</x:v>
      </x:c>
      <x:c r="G53" s="21" t="str">
        <x:v>UNTESTED</x:v>
      </x:c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C54" s="19" t="str">
        <x:v>EB-CT-C-6</x:v>
      </x:c>
      <x:c r="D54" s="19" t="str">
        <x:v>MS-CT|C</x:v>
      </x:c>
      <x:c r="E54" s="19" t="str">
        <x:v>Receiver</x:v>
      </x:c>
      <x:c r="F54" s="22" t="n">
        <x:v>0</x:v>
      </x:c>
      <x:c r="G54" s="21" t="str">
        <x:v>UNTESTED</x:v>
      </x:c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C55" s="19" t="str">
        <x:v>EB-CT-C-7</x:v>
      </x:c>
      <x:c r="D55" s="19" t="str">
        <x:v>MS-CT|C</x:v>
      </x:c>
      <x:c r="E55" s="19" t="str">
        <x:v>Residual</x:v>
      </x:c>
      <x:c r="F55" s="22" t="n">
        <x:v>0</x:v>
      </x:c>
      <x:c r="G55" s="21" t="str">
        <x:v>UNTESTED</x:v>
      </x:c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C56" s="19" t="str">
        <x:v>EB-CT-D-1</x:v>
      </x:c>
      <x:c r="D56" s="19" t="str">
        <x:v>MS-CT|D</x:v>
      </x:c>
      <x:c r="E56" s="19" t="str">
        <x:v>Mass</x:v>
      </x:c>
      <x:c r="F56" s="22" t="n">
        <x:v>0</x:v>
      </x:c>
      <x:c r="G56" s="21" t="str">
        <x:v>UNTESTED</x:v>
      </x:c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C57" s="19" t="str">
        <x:v>EB-CT-D-2</x:v>
      </x:c>
      <x:c r="D57" s="19" t="str">
        <x:v>MS-CT|D</x:v>
      </x:c>
      <x:c r="E57" s="19" t="str">
        <x:v>Energy</x:v>
      </x:c>
      <x:c r="F57" s="22" t="n">
        <x:v>0</x:v>
      </x:c>
      <x:c r="G57" s="21" t="str">
        <x:v>UNTESTED</x:v>
      </x:c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C58" s="19" t="str">
        <x:v>EB-CT-D-3</x:v>
      </x:c>
      <x:c r="D58" s="19" t="str">
        <x:v>MS-CT|D</x:v>
      </x:c>
      <x:c r="E58" s="19" t="str">
        <x:v>Route flow</x:v>
      </x:c>
      <x:c r="F58" s="22" t="n">
        <x:v>0</x:v>
      </x:c>
      <x:c r="G58" s="21" t="str">
        <x:v>UNTESTED</x:v>
      </x:c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C59" s="19" t="str">
        <x:v>EB-CT-D-4</x:v>
      </x:c>
      <x:c r="D59" s="19" t="str">
        <x:v>MS-CT|D</x:v>
      </x:c>
      <x:c r="E59" s="19" t="str">
        <x:v>Labor</x:v>
      </x:c>
      <x:c r="F59" s="22" t="n">
        <x:v>0</x:v>
      </x:c>
      <x:c r="G59" s="21" t="str">
        <x:v>UNTESTED</x:v>
      </x:c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C60" s="19" t="str">
        <x:v>EB-CT-D-5</x:v>
      </x:c>
      <x:c r="D60" s="19" t="str">
        <x:v>MS-CT|D</x:v>
      </x:c>
      <x:c r="E60" s="19" t="str">
        <x:v>Safety</x:v>
      </x:c>
      <x:c r="F60" s="22" t="n">
        <x:v>0</x:v>
      </x:c>
      <x:c r="G60" s="21" t="str">
        <x:v>UNTESTED</x:v>
      </x:c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C61" s="19" t="str">
        <x:v>EB-CT-D-6</x:v>
      </x:c>
      <x:c r="D61" s="19" t="str">
        <x:v>MS-CT|D</x:v>
      </x:c>
      <x:c r="E61" s="19" t="str">
        <x:v>Receiver</x:v>
      </x:c>
      <x:c r="F61" s="22" t="n">
        <x:v>0</x:v>
      </x:c>
      <x:c r="G61" s="21" t="str">
        <x:v>UNTESTED</x:v>
      </x:c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C62" s="19" t="str">
        <x:v>EB-CT-D-7</x:v>
      </x:c>
      <x:c r="D62" s="19" t="str">
        <x:v>MS-CT|D</x:v>
      </x:c>
      <x:c r="E62" s="19" t="str">
        <x:v>Residual</x:v>
      </x:c>
      <x:c r="F62" s="22" t="n">
        <x:v>0</x:v>
      </x:c>
      <x:c r="G62" s="21" t="str">
        <x:v>UNTESTED</x:v>
      </x:c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C63" s="19" t="str">
        <x:v>EB-HC-A-1</x:v>
      </x:c>
      <x:c r="D63" s="19" t="str">
        <x:v>MS-HC|A</x:v>
      </x:c>
      <x:c r="E63" s="19" t="str">
        <x:v>Mass</x:v>
      </x:c>
      <x:c r="F63" s="22" t="n">
        <x:v>0</x:v>
      </x:c>
      <x:c r="G63" s="21" t="str">
        <x:v>UNTESTED</x:v>
      </x:c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C64" s="19" t="str">
        <x:v>EB-HC-A-2</x:v>
      </x:c>
      <x:c r="D64" s="19" t="str">
        <x:v>MS-HC|A</x:v>
      </x:c>
      <x:c r="E64" s="19" t="str">
        <x:v>Energy</x:v>
      </x:c>
      <x:c r="F64" s="22" t="n">
        <x:v>0</x:v>
      </x:c>
      <x:c r="G64" s="21" t="str">
        <x:v>UNTESTED</x:v>
      </x:c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C65" s="19" t="str">
        <x:v>EB-HC-A-3</x:v>
      </x:c>
      <x:c r="D65" s="19" t="str">
        <x:v>MS-HC|A</x:v>
      </x:c>
      <x:c r="E65" s="19" t="str">
        <x:v>Route flow</x:v>
      </x:c>
      <x:c r="F65" s="22" t="n">
        <x:v>0</x:v>
      </x:c>
      <x:c r="G65" s="21" t="str">
        <x:v>UNTESTED</x:v>
      </x:c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C66" s="19" t="str">
        <x:v>EB-HC-A-4</x:v>
      </x:c>
      <x:c r="D66" s="19" t="str">
        <x:v>MS-HC|A</x:v>
      </x:c>
      <x:c r="E66" s="19" t="str">
        <x:v>Labor</x:v>
      </x:c>
      <x:c r="F66" s="22" t="n">
        <x:v>0</x:v>
      </x:c>
      <x:c r="G66" s="21" t="str">
        <x:v>UNTESTED</x:v>
      </x:c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C67" s="19" t="str">
        <x:v>EB-HC-A-5</x:v>
      </x:c>
      <x:c r="D67" s="19" t="str">
        <x:v>MS-HC|A</x:v>
      </x:c>
      <x:c r="E67" s="19" t="str">
        <x:v>Safety</x:v>
      </x:c>
      <x:c r="F67" s="22" t="n">
        <x:v>0</x:v>
      </x:c>
      <x:c r="G67" s="21" t="str">
        <x:v>UNTESTED</x:v>
      </x:c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C68" s="19" t="str">
        <x:v>EB-HC-A-6</x:v>
      </x:c>
      <x:c r="D68" s="19" t="str">
        <x:v>MS-HC|A</x:v>
      </x:c>
      <x:c r="E68" s="19" t="str">
        <x:v>Receiver</x:v>
      </x:c>
      <x:c r="F68" s="22" t="n">
        <x:v>0</x:v>
      </x:c>
      <x:c r="G68" s="21" t="str">
        <x:v>UNTESTED</x:v>
      </x:c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C69" s="19" t="str">
        <x:v>EB-HC-A-7</x:v>
      </x:c>
      <x:c r="D69" s="19" t="str">
        <x:v>MS-HC|A</x:v>
      </x:c>
      <x:c r="E69" s="19" t="str">
        <x:v>Residual</x:v>
      </x:c>
      <x:c r="F69" s="22" t="n">
        <x:v>0</x:v>
      </x:c>
      <x:c r="G69" s="21" t="str">
        <x:v>UNTESTED</x:v>
      </x:c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C70" s="19" t="str">
        <x:v>EB-HC-B-1</x:v>
      </x:c>
      <x:c r="D70" s="19" t="str">
        <x:v>MS-HC|B</x:v>
      </x:c>
      <x:c r="E70" s="19" t="str">
        <x:v>Mass</x:v>
      </x:c>
      <x:c r="F70" s="22" t="n">
        <x:v>0</x:v>
      </x:c>
      <x:c r="G70" s="21" t="str">
        <x:v>UNTESTED</x:v>
      </x:c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C71" s="19" t="str">
        <x:v>EB-HC-B-2</x:v>
      </x:c>
      <x:c r="D71" s="19" t="str">
        <x:v>MS-HC|B</x:v>
      </x:c>
      <x:c r="E71" s="19" t="str">
        <x:v>Energy</x:v>
      </x:c>
      <x:c r="F71" s="22" t="n">
        <x:v>0</x:v>
      </x:c>
      <x:c r="G71" s="21" t="str">
        <x:v>UNTESTED</x:v>
      </x:c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C72" s="19" t="str">
        <x:v>EB-HC-B-3</x:v>
      </x:c>
      <x:c r="D72" s="19" t="str">
        <x:v>MS-HC|B</x:v>
      </x:c>
      <x:c r="E72" s="19" t="str">
        <x:v>Route flow</x:v>
      </x:c>
      <x:c r="F72" s="22" t="n">
        <x:v>0</x:v>
      </x:c>
      <x:c r="G72" s="21" t="str">
        <x:v>UNTESTED</x:v>
      </x:c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C73" s="19" t="str">
        <x:v>EB-HC-B-4</x:v>
      </x:c>
      <x:c r="D73" s="19" t="str">
        <x:v>MS-HC|B</x:v>
      </x:c>
      <x:c r="E73" s="19" t="str">
        <x:v>Labor</x:v>
      </x:c>
      <x:c r="F73" s="22" t="n">
        <x:v>0</x:v>
      </x:c>
      <x:c r="G73" s="21" t="str">
        <x:v>UNTESTED</x:v>
      </x:c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C74" s="19" t="str">
        <x:v>EB-HC-B-5</x:v>
      </x:c>
      <x:c r="D74" s="19" t="str">
        <x:v>MS-HC|B</x:v>
      </x:c>
      <x:c r="E74" s="19" t="str">
        <x:v>Safety</x:v>
      </x:c>
      <x:c r="F74" s="22" t="n">
        <x:v>0</x:v>
      </x:c>
      <x:c r="G74" s="21" t="str">
        <x:v>UNTESTED</x:v>
      </x:c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C75" s="19" t="str">
        <x:v>EB-HC-B-6</x:v>
      </x:c>
      <x:c r="D75" s="19" t="str">
        <x:v>MS-HC|B</x:v>
      </x:c>
      <x:c r="E75" s="19" t="str">
        <x:v>Receiver</x:v>
      </x:c>
      <x:c r="F75" s="22" t="n">
        <x:v>0</x:v>
      </x:c>
      <x:c r="G75" s="21" t="str">
        <x:v>UNTESTED</x:v>
      </x:c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C76" s="19" t="str">
        <x:v>EB-HC-B-7</x:v>
      </x:c>
      <x:c r="D76" s="19" t="str">
        <x:v>MS-HC|B</x:v>
      </x:c>
      <x:c r="E76" s="19" t="str">
        <x:v>Residual</x:v>
      </x:c>
      <x:c r="F76" s="22" t="n">
        <x:v>0</x:v>
      </x:c>
      <x:c r="G76" s="21" t="str">
        <x:v>UNTESTED</x:v>
      </x:c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C77" s="19" t="str">
        <x:v>EB-HC-C-1</x:v>
      </x:c>
      <x:c r="D77" s="19" t="str">
        <x:v>MS-HC|C</x:v>
      </x:c>
      <x:c r="E77" s="19" t="str">
        <x:v>Mass</x:v>
      </x:c>
      <x:c r="F77" s="22" t="n">
        <x:v>0</x:v>
      </x:c>
      <x:c r="G77" s="21" t="str">
        <x:v>UNTESTED</x:v>
      </x:c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C78" s="19" t="str">
        <x:v>EB-HC-C-2</x:v>
      </x:c>
      <x:c r="D78" s="19" t="str">
        <x:v>MS-HC|C</x:v>
      </x:c>
      <x:c r="E78" s="19" t="str">
        <x:v>Energy</x:v>
      </x:c>
      <x:c r="F78" s="22" t="n">
        <x:v>0</x:v>
      </x:c>
      <x:c r="G78" s="21" t="str">
        <x:v>UNTESTED</x:v>
      </x:c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C79" s="19" t="str">
        <x:v>EB-HC-C-3</x:v>
      </x:c>
      <x:c r="D79" s="19" t="str">
        <x:v>MS-HC|C</x:v>
      </x:c>
      <x:c r="E79" s="19" t="str">
        <x:v>Route flow</x:v>
      </x:c>
      <x:c r="F79" s="22" t="n">
        <x:v>0</x:v>
      </x:c>
      <x:c r="G79" s="21" t="str">
        <x:v>UNTESTED</x:v>
      </x:c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C80" s="19" t="str">
        <x:v>EB-HC-C-4</x:v>
      </x:c>
      <x:c r="D80" s="19" t="str">
        <x:v>MS-HC|C</x:v>
      </x:c>
      <x:c r="E80" s="19" t="str">
        <x:v>Labor</x:v>
      </x:c>
      <x:c r="F80" s="22" t="n">
        <x:v>0</x:v>
      </x:c>
      <x:c r="G80" s="21" t="str">
        <x:v>UNTESTED</x:v>
      </x:c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C81" s="19" t="str">
        <x:v>EB-HC-C-5</x:v>
      </x:c>
      <x:c r="D81" s="19" t="str">
        <x:v>MS-HC|C</x:v>
      </x:c>
      <x:c r="E81" s="19" t="str">
        <x:v>Safety</x:v>
      </x:c>
      <x:c r="F81" s="22" t="n">
        <x:v>0</x:v>
      </x:c>
      <x:c r="G81" s="21" t="str">
        <x:v>UNTESTED</x:v>
      </x:c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C82" s="19" t="str">
        <x:v>EB-HC-C-6</x:v>
      </x:c>
      <x:c r="D82" s="19" t="str">
        <x:v>MS-HC|C</x:v>
      </x:c>
      <x:c r="E82" s="19" t="str">
        <x:v>Receiver</x:v>
      </x:c>
      <x:c r="F82" s="22" t="n">
        <x:v>0</x:v>
      </x:c>
      <x:c r="G82" s="21" t="str">
        <x:v>UNTESTED</x:v>
      </x:c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C83" s="19" t="str">
        <x:v>EB-HC-C-7</x:v>
      </x:c>
      <x:c r="D83" s="19" t="str">
        <x:v>MS-HC|C</x:v>
      </x:c>
      <x:c r="E83" s="19" t="str">
        <x:v>Residual</x:v>
      </x:c>
      <x:c r="F83" s="22" t="n">
        <x:v>0</x:v>
      </x:c>
      <x:c r="G83" s="21" t="str">
        <x:v>UNTESTED</x:v>
      </x:c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C84" s="19" t="str">
        <x:v>EB-HC-D-1</x:v>
      </x:c>
      <x:c r="D84" s="19" t="str">
        <x:v>MS-HC|D</x:v>
      </x:c>
      <x:c r="E84" s="19" t="str">
        <x:v>Mass</x:v>
      </x:c>
      <x:c r="F84" s="22" t="n">
        <x:v>0</x:v>
      </x:c>
      <x:c r="G84" s="21" t="str">
        <x:v>UNTESTED</x:v>
      </x:c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C85" s="19" t="str">
        <x:v>EB-HC-D-2</x:v>
      </x:c>
      <x:c r="D85" s="19" t="str">
        <x:v>MS-HC|D</x:v>
      </x:c>
      <x:c r="E85" s="19" t="str">
        <x:v>Energy</x:v>
      </x:c>
      <x:c r="F85" s="22" t="n">
        <x:v>0</x:v>
      </x:c>
      <x:c r="G85" s="21" t="str">
        <x:v>UNTESTED</x:v>
      </x:c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C86" s="19" t="str">
        <x:v>EB-HC-D-3</x:v>
      </x:c>
      <x:c r="D86" s="19" t="str">
        <x:v>MS-HC|D</x:v>
      </x:c>
      <x:c r="E86" s="19" t="str">
        <x:v>Route flow</x:v>
      </x:c>
      <x:c r="F86" s="22" t="n">
        <x:v>0</x:v>
      </x:c>
      <x:c r="G86" s="21" t="str">
        <x:v>UNTESTED</x:v>
      </x:c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C87" s="19" t="str">
        <x:v>EB-HC-D-4</x:v>
      </x:c>
      <x:c r="D87" s="19" t="str">
        <x:v>MS-HC|D</x:v>
      </x:c>
      <x:c r="E87" s="19" t="str">
        <x:v>Labor</x:v>
      </x:c>
      <x:c r="F87" s="22" t="n">
        <x:v>0</x:v>
      </x:c>
      <x:c r="G87" s="21" t="str">
        <x:v>UNTESTED</x:v>
      </x:c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C88" s="19" t="str">
        <x:v>EB-HC-D-5</x:v>
      </x:c>
      <x:c r="D88" s="19" t="str">
        <x:v>MS-HC|D</x:v>
      </x:c>
      <x:c r="E88" s="19" t="str">
        <x:v>Safety</x:v>
      </x:c>
      <x:c r="F88" s="22" t="n">
        <x:v>0</x:v>
      </x:c>
      <x:c r="G88" s="21" t="str">
        <x:v>UNTESTED</x:v>
      </x:c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C89" s="19" t="str">
        <x:v>EB-HC-D-6</x:v>
      </x:c>
      <x:c r="D89" s="19" t="str">
        <x:v>MS-HC|D</x:v>
      </x:c>
      <x:c r="E89" s="19" t="str">
        <x:v>Receiver</x:v>
      </x:c>
      <x:c r="F89" s="22" t="n">
        <x:v>0</x:v>
      </x:c>
      <x:c r="G89" s="21" t="str">
        <x:v>UNTESTED</x:v>
      </x:c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C90" s="19" t="str">
        <x:v>EB-HC-D-7</x:v>
      </x:c>
      <x:c r="D90" s="19" t="str">
        <x:v>MS-HC|D</x:v>
      </x:c>
      <x:c r="E90" s="19" t="str">
        <x:v>Residual</x:v>
      </x:c>
      <x:c r="F90" s="22" t="n">
        <x:v>0</x:v>
      </x:c>
      <x:c r="G90" s="21" t="str">
        <x:v>UNTESTED</x:v>
      </x:c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C91" s="19" t="str">
        <x:v>EB-HU-A-1</x:v>
      </x:c>
      <x:c r="D91" s="19" t="str">
        <x:v>MS-HU|A</x:v>
      </x:c>
      <x:c r="E91" s="19" t="str">
        <x:v>Mass</x:v>
      </x:c>
      <x:c r="F91" s="22" t="n">
        <x:v>0</x:v>
      </x:c>
      <x:c r="G91" s="21" t="str">
        <x:v>UNTESTED</x:v>
      </x:c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C92" s="19" t="str">
        <x:v>EB-HU-A-2</x:v>
      </x:c>
      <x:c r="D92" s="19" t="str">
        <x:v>MS-HU|A</x:v>
      </x:c>
      <x:c r="E92" s="19" t="str">
        <x:v>Energy</x:v>
      </x:c>
      <x:c r="F92" s="22" t="n">
        <x:v>0</x:v>
      </x:c>
      <x:c r="G92" s="21" t="str">
        <x:v>UNTESTED</x:v>
      </x:c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C93" s="19" t="str">
        <x:v>EB-HU-A-3</x:v>
      </x:c>
      <x:c r="D93" s="19" t="str">
        <x:v>MS-HU|A</x:v>
      </x:c>
      <x:c r="E93" s="19" t="str">
        <x:v>Route flow</x:v>
      </x:c>
      <x:c r="F93" s="22" t="n">
        <x:v>0</x:v>
      </x:c>
      <x:c r="G93" s="21" t="str">
        <x:v>UNTESTED</x:v>
      </x:c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C94" s="19" t="str">
        <x:v>EB-HU-A-4</x:v>
      </x:c>
      <x:c r="D94" s="19" t="str">
        <x:v>MS-HU|A</x:v>
      </x:c>
      <x:c r="E94" s="19" t="str">
        <x:v>Labor</x:v>
      </x:c>
      <x:c r="F94" s="22" t="n">
        <x:v>0</x:v>
      </x:c>
      <x:c r="G94" s="21" t="str">
        <x:v>UNTESTED</x:v>
      </x:c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C95" s="19" t="str">
        <x:v>EB-HU-A-5</x:v>
      </x:c>
      <x:c r="D95" s="19" t="str">
        <x:v>MS-HU|A</x:v>
      </x:c>
      <x:c r="E95" s="19" t="str">
        <x:v>Safety</x:v>
      </x:c>
      <x:c r="F95" s="22" t="n">
        <x:v>0</x:v>
      </x:c>
      <x:c r="G95" s="21" t="str">
        <x:v>UNTESTED</x:v>
      </x:c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C96" s="19" t="str">
        <x:v>EB-HU-A-6</x:v>
      </x:c>
      <x:c r="D96" s="19" t="str">
        <x:v>MS-HU|A</x:v>
      </x:c>
      <x:c r="E96" s="19" t="str">
        <x:v>Receiver</x:v>
      </x:c>
      <x:c r="F96" s="22" t="n">
        <x:v>0</x:v>
      </x:c>
      <x:c r="G96" s="21" t="str">
        <x:v>UNTESTED</x:v>
      </x:c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C97" s="19" t="str">
        <x:v>EB-HU-A-7</x:v>
      </x:c>
      <x:c r="D97" s="19" t="str">
        <x:v>MS-HU|A</x:v>
      </x:c>
      <x:c r="E97" s="19" t="str">
        <x:v>Residual</x:v>
      </x:c>
      <x:c r="F97" s="22" t="n">
        <x:v>0</x:v>
      </x:c>
      <x:c r="G97" s="21" t="str">
        <x:v>UNTESTED</x:v>
      </x:c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C98" s="19" t="str">
        <x:v>EB-HU-B-1</x:v>
      </x:c>
      <x:c r="D98" s="19" t="str">
        <x:v>MS-HU|B</x:v>
      </x:c>
      <x:c r="E98" s="19" t="str">
        <x:v>Mass</x:v>
      </x:c>
      <x:c r="F98" s="22" t="n">
        <x:v>0</x:v>
      </x:c>
      <x:c r="G98" s="21" t="str">
        <x:v>UNTESTED</x:v>
      </x:c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C99" s="19" t="str">
        <x:v>EB-HU-B-2</x:v>
      </x:c>
      <x:c r="D99" s="19" t="str">
        <x:v>MS-HU|B</x:v>
      </x:c>
      <x:c r="E99" s="19" t="str">
        <x:v>Energy</x:v>
      </x:c>
      <x:c r="F99" s="22" t="n">
        <x:v>0</x:v>
      </x:c>
      <x:c r="G99" s="21" t="str">
        <x:v>UNTESTED</x:v>
      </x:c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C100" s="19" t="str">
        <x:v>EB-HU-B-3</x:v>
      </x:c>
      <x:c r="D100" s="19" t="str">
        <x:v>MS-HU|B</x:v>
      </x:c>
      <x:c r="E100" s="19" t="str">
        <x:v>Route flow</x:v>
      </x:c>
      <x:c r="F100" s="22" t="n">
        <x:v>0</x:v>
      </x:c>
      <x:c r="G100" s="21" t="str">
        <x:v>UNTESTED</x:v>
      </x:c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C101" s="19" t="str">
        <x:v>EB-HU-B-4</x:v>
      </x:c>
      <x:c r="D101" s="19" t="str">
        <x:v>MS-HU|B</x:v>
      </x:c>
      <x:c r="E101" s="19" t="str">
        <x:v>Labor</x:v>
      </x:c>
      <x:c r="F101" s="22" t="n">
        <x:v>0</x:v>
      </x:c>
      <x:c r="G101" s="21" t="str">
        <x:v>UNTESTED</x:v>
      </x:c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C102" s="19" t="str">
        <x:v>EB-HU-B-5</x:v>
      </x:c>
      <x:c r="D102" s="19" t="str">
        <x:v>MS-HU|B</x:v>
      </x:c>
      <x:c r="E102" s="19" t="str">
        <x:v>Safety</x:v>
      </x:c>
      <x:c r="F102" s="22" t="n">
        <x:v>0</x:v>
      </x:c>
      <x:c r="G102" s="21" t="str">
        <x:v>UNTESTED</x:v>
      </x:c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C103" s="19" t="str">
        <x:v>EB-HU-B-6</x:v>
      </x:c>
      <x:c r="D103" s="19" t="str">
        <x:v>MS-HU|B</x:v>
      </x:c>
      <x:c r="E103" s="19" t="str">
        <x:v>Receiver</x:v>
      </x:c>
      <x:c r="F103" s="22" t="n">
        <x:v>0</x:v>
      </x:c>
      <x:c r="G103" s="21" t="str">
        <x:v>UNTESTED</x:v>
      </x:c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C104" s="19" t="str">
        <x:v>EB-HU-B-7</x:v>
      </x:c>
      <x:c r="D104" s="19" t="str">
        <x:v>MS-HU|B</x:v>
      </x:c>
      <x:c r="E104" s="19" t="str">
        <x:v>Residual</x:v>
      </x:c>
      <x:c r="F104" s="22" t="n">
        <x:v>0</x:v>
      </x:c>
      <x:c r="G104" s="21" t="str">
        <x:v>UNTESTED</x:v>
      </x:c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C105" s="19" t="str">
        <x:v>EB-HU-C-1</x:v>
      </x:c>
      <x:c r="D105" s="19" t="str">
        <x:v>MS-HU|C</x:v>
      </x:c>
      <x:c r="E105" s="19" t="str">
        <x:v>Mass</x:v>
      </x:c>
      <x:c r="F105" s="22" t="n">
        <x:v>0</x:v>
      </x:c>
      <x:c r="G105" s="21" t="str">
        <x:v>UNTESTED</x:v>
      </x:c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C106" s="19" t="str">
        <x:v>EB-HU-C-2</x:v>
      </x:c>
      <x:c r="D106" s="19" t="str">
        <x:v>MS-HU|C</x:v>
      </x:c>
      <x:c r="E106" s="19" t="str">
        <x:v>Energy</x:v>
      </x:c>
      <x:c r="F106" s="22" t="n">
        <x:v>0</x:v>
      </x:c>
      <x:c r="G106" s="21" t="str">
        <x:v>UNTESTED</x:v>
      </x:c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C107" s="19" t="str">
        <x:v>EB-HU-C-3</x:v>
      </x:c>
      <x:c r="D107" s="19" t="str">
        <x:v>MS-HU|C</x:v>
      </x:c>
      <x:c r="E107" s="19" t="str">
        <x:v>Route flow</x:v>
      </x:c>
      <x:c r="F107" s="22" t="n">
        <x:v>0</x:v>
      </x:c>
      <x:c r="G107" s="21" t="str">
        <x:v>UNTESTED</x:v>
      </x:c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C108" s="19" t="str">
        <x:v>EB-HU-C-4</x:v>
      </x:c>
      <x:c r="D108" s="19" t="str">
        <x:v>MS-HU|C</x:v>
      </x:c>
      <x:c r="E108" s="19" t="str">
        <x:v>Labor</x:v>
      </x:c>
      <x:c r="F108" s="22" t="n">
        <x:v>0</x:v>
      </x:c>
      <x:c r="G108" s="21" t="str">
        <x:v>UNTESTED</x:v>
      </x:c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C109" s="19" t="str">
        <x:v>EB-HU-C-5</x:v>
      </x:c>
      <x:c r="D109" s="19" t="str">
        <x:v>MS-HU|C</x:v>
      </x:c>
      <x:c r="E109" s="19" t="str">
        <x:v>Safety</x:v>
      </x:c>
      <x:c r="F109" s="22" t="n">
        <x:v>0</x:v>
      </x:c>
      <x:c r="G109" s="21" t="str">
        <x:v>UNTESTED</x:v>
      </x:c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C110" s="19" t="str">
        <x:v>EB-HU-C-6</x:v>
      </x:c>
      <x:c r="D110" s="19" t="str">
        <x:v>MS-HU|C</x:v>
      </x:c>
      <x:c r="E110" s="19" t="str">
        <x:v>Receiver</x:v>
      </x:c>
      <x:c r="F110" s="22" t="n">
        <x:v>0</x:v>
      </x:c>
      <x:c r="G110" s="21" t="str">
        <x:v>UNTESTED</x:v>
      </x:c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C111" s="19" t="str">
        <x:v>EB-HU-C-7</x:v>
      </x:c>
      <x:c r="D111" s="19" t="str">
        <x:v>MS-HU|C</x:v>
      </x:c>
      <x:c r="E111" s="19" t="str">
        <x:v>Residual</x:v>
      </x:c>
      <x:c r="F111" s="22" t="n">
        <x:v>0</x:v>
      </x:c>
      <x:c r="G111" s="21" t="str">
        <x:v>UNTESTED</x:v>
      </x:c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C112" s="19" t="str">
        <x:v>EB-HU-D-1</x:v>
      </x:c>
      <x:c r="D112" s="19" t="str">
        <x:v>MS-HU|D</x:v>
      </x:c>
      <x:c r="E112" s="19" t="str">
        <x:v>Mass</x:v>
      </x:c>
      <x:c r="F112" s="22" t="n">
        <x:v>0</x:v>
      </x:c>
      <x:c r="G112" s="21" t="str">
        <x:v>UNTESTED</x:v>
      </x:c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C113" s="19" t="str">
        <x:v>EB-HU-D-2</x:v>
      </x:c>
      <x:c r="D113" s="19" t="str">
        <x:v>MS-HU|D</x:v>
      </x:c>
      <x:c r="E113" s="19" t="str">
        <x:v>Energy</x:v>
      </x:c>
      <x:c r="F113" s="22" t="n">
        <x:v>0</x:v>
      </x:c>
      <x:c r="G113" s="21" t="str">
        <x:v>UNTESTED</x:v>
      </x:c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C114" s="19" t="str">
        <x:v>EB-HU-D-3</x:v>
      </x:c>
      <x:c r="D114" s="19" t="str">
        <x:v>MS-HU|D</x:v>
      </x:c>
      <x:c r="E114" s="19" t="str">
        <x:v>Route flow</x:v>
      </x:c>
      <x:c r="F114" s="22" t="n">
        <x:v>0</x:v>
      </x:c>
      <x:c r="G114" s="21" t="str">
        <x:v>UNTESTED</x:v>
      </x:c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C115" s="19" t="str">
        <x:v>EB-HU-D-4</x:v>
      </x:c>
      <x:c r="D115" s="19" t="str">
        <x:v>MS-HU|D</x:v>
      </x:c>
      <x:c r="E115" s="19" t="str">
        <x:v>Labor</x:v>
      </x:c>
      <x:c r="F115" s="22" t="n">
        <x:v>0</x:v>
      </x:c>
      <x:c r="G115" s="21" t="str">
        <x:v>UNTESTED</x:v>
      </x:c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C116" s="19" t="str">
        <x:v>EB-HU-D-5</x:v>
      </x:c>
      <x:c r="D116" s="19" t="str">
        <x:v>MS-HU|D</x:v>
      </x:c>
      <x:c r="E116" s="19" t="str">
        <x:v>Safety</x:v>
      </x:c>
      <x:c r="F116" s="22" t="n">
        <x:v>0</x:v>
      </x:c>
      <x:c r="G116" s="21" t="str">
        <x:v>UNTESTED</x:v>
      </x:c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C117" s="19" t="str">
        <x:v>EB-HU-D-6</x:v>
      </x:c>
      <x:c r="D117" s="19" t="str">
        <x:v>MS-HU|D</x:v>
      </x:c>
      <x:c r="E117" s="19" t="str">
        <x:v>Receiver</x:v>
      </x:c>
      <x:c r="F117" s="22" t="n">
        <x:v>0</x:v>
      </x:c>
      <x:c r="G117" s="21" t="str">
        <x:v>UNTESTED</x:v>
      </x:c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C118" s="19" t="str">
        <x:v>EB-HU-D-7</x:v>
      </x:c>
      <x:c r="D118" s="19" t="str">
        <x:v>MS-HU|D</x:v>
      </x:c>
      <x:c r="E118" s="19" t="str">
        <x:v>Residual</x:v>
      </x:c>
      <x:c r="F118" s="22" t="n">
        <x:v>0</x:v>
      </x:c>
      <x:c r="G118" s="21" t="str">
        <x:v>UNTESTED</x:v>
      </x:c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C119" s="19" t="str">
        <x:v>EB-RT-A-1</x:v>
      </x:c>
      <x:c r="D119" s="19" t="str">
        <x:v>MS-RT|A</x:v>
      </x:c>
      <x:c r="E119" s="19" t="str">
        <x:v>Mass</x:v>
      </x:c>
      <x:c r="F119" s="22" t="n">
        <x:v>0</x:v>
      </x:c>
      <x:c r="G119" s="21" t="str">
        <x:v>UNTESTED</x:v>
      </x:c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C120" s="19" t="str">
        <x:v>EB-RT-A-2</x:v>
      </x:c>
      <x:c r="D120" s="19" t="str">
        <x:v>MS-RT|A</x:v>
      </x:c>
      <x:c r="E120" s="19" t="str">
        <x:v>Energy</x:v>
      </x:c>
      <x:c r="F120" s="22" t="n">
        <x:v>0</x:v>
      </x:c>
      <x:c r="G120" s="21" t="str">
        <x:v>UNTESTED</x:v>
      </x:c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C121" s="19" t="str">
        <x:v>EB-RT-A-3</x:v>
      </x:c>
      <x:c r="D121" s="19" t="str">
        <x:v>MS-RT|A</x:v>
      </x:c>
      <x:c r="E121" s="19" t="str">
        <x:v>Route flow</x:v>
      </x:c>
      <x:c r="F121" s="22" t="n">
        <x:v>0</x:v>
      </x:c>
      <x:c r="G121" s="21" t="str">
        <x:v>UNTESTED</x:v>
      </x:c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C122" s="19" t="str">
        <x:v>EB-RT-A-4</x:v>
      </x:c>
      <x:c r="D122" s="19" t="str">
        <x:v>MS-RT|A</x:v>
      </x:c>
      <x:c r="E122" s="19" t="str">
        <x:v>Labor</x:v>
      </x:c>
      <x:c r="F122" s="22" t="n">
        <x:v>0</x:v>
      </x:c>
      <x:c r="G122" s="21" t="str">
        <x:v>UNTESTED</x:v>
      </x:c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C123" s="19" t="str">
        <x:v>EB-RT-A-5</x:v>
      </x:c>
      <x:c r="D123" s="19" t="str">
        <x:v>MS-RT|A</x:v>
      </x:c>
      <x:c r="E123" s="19" t="str">
        <x:v>Safety</x:v>
      </x:c>
      <x:c r="F123" s="22" t="n">
        <x:v>0</x:v>
      </x:c>
      <x:c r="G123" s="21" t="str">
        <x:v>UNTESTED</x:v>
      </x:c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C124" s="19" t="str">
        <x:v>EB-RT-A-6</x:v>
      </x:c>
      <x:c r="D124" s="19" t="str">
        <x:v>MS-RT|A</x:v>
      </x:c>
      <x:c r="E124" s="19" t="str">
        <x:v>Receiver</x:v>
      </x:c>
      <x:c r="F124" s="22" t="n">
        <x:v>0</x:v>
      </x:c>
      <x:c r="G124" s="21" t="str">
        <x:v>UNTESTED</x:v>
      </x:c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C125" s="19" t="str">
        <x:v>EB-RT-A-7</x:v>
      </x:c>
      <x:c r="D125" s="19" t="str">
        <x:v>MS-RT|A</x:v>
      </x:c>
      <x:c r="E125" s="19" t="str">
        <x:v>Residual</x:v>
      </x:c>
      <x:c r="F125" s="22" t="n">
        <x:v>0</x:v>
      </x:c>
      <x:c r="G125" s="21" t="str">
        <x:v>UNTESTED</x:v>
      </x:c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C126" s="19" t="str">
        <x:v>EB-RT-B-1</x:v>
      </x:c>
      <x:c r="D126" s="19" t="str">
        <x:v>MS-RT|B</x:v>
      </x:c>
      <x:c r="E126" s="19" t="str">
        <x:v>Mass</x:v>
      </x:c>
      <x:c r="F126" s="22" t="n">
        <x:v>0</x:v>
      </x:c>
      <x:c r="G126" s="21" t="str">
        <x:v>UNTESTED</x:v>
      </x:c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C127" s="19" t="str">
        <x:v>EB-RT-B-2</x:v>
      </x:c>
      <x:c r="D127" s="19" t="str">
        <x:v>MS-RT|B</x:v>
      </x:c>
      <x:c r="E127" s="19" t="str">
        <x:v>Energy</x:v>
      </x:c>
      <x:c r="F127" s="22" t="n">
        <x:v>0</x:v>
      </x:c>
      <x:c r="G127" s="21" t="str">
        <x:v>UNTESTED</x:v>
      </x:c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C128" s="19" t="str">
        <x:v>EB-RT-B-3</x:v>
      </x:c>
      <x:c r="D128" s="19" t="str">
        <x:v>MS-RT|B</x:v>
      </x:c>
      <x:c r="E128" s="19" t="str">
        <x:v>Route flow</x:v>
      </x:c>
      <x:c r="F128" s="22" t="n">
        <x:v>0</x:v>
      </x:c>
      <x:c r="G128" s="21" t="str">
        <x:v>UNTESTED</x:v>
      </x:c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C129" s="19" t="str">
        <x:v>EB-RT-B-4</x:v>
      </x:c>
      <x:c r="D129" s="19" t="str">
        <x:v>MS-RT|B</x:v>
      </x:c>
      <x:c r="E129" s="19" t="str">
        <x:v>Labor</x:v>
      </x:c>
      <x:c r="F129" s="22" t="n">
        <x:v>0</x:v>
      </x:c>
      <x:c r="G129" s="21" t="str">
        <x:v>UNTESTED</x:v>
      </x:c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C130" s="19" t="str">
        <x:v>EB-RT-B-5</x:v>
      </x:c>
      <x:c r="D130" s="19" t="str">
        <x:v>MS-RT|B</x:v>
      </x:c>
      <x:c r="E130" s="19" t="str">
        <x:v>Safety</x:v>
      </x:c>
      <x:c r="F130" s="22" t="n">
        <x:v>0</x:v>
      </x:c>
      <x:c r="G130" s="21" t="str">
        <x:v>UNTESTED</x:v>
      </x:c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C131" s="19" t="str">
        <x:v>EB-RT-B-6</x:v>
      </x:c>
      <x:c r="D131" s="19" t="str">
        <x:v>MS-RT|B</x:v>
      </x:c>
      <x:c r="E131" s="19" t="str">
        <x:v>Receiver</x:v>
      </x:c>
      <x:c r="F131" s="22" t="n">
        <x:v>0</x:v>
      </x:c>
      <x:c r="G131" s="21" t="str">
        <x:v>UNTESTED</x:v>
      </x:c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C132" s="19" t="str">
        <x:v>EB-RT-B-7</x:v>
      </x:c>
      <x:c r="D132" s="19" t="str">
        <x:v>MS-RT|B</x:v>
      </x:c>
      <x:c r="E132" s="19" t="str">
        <x:v>Residual</x:v>
      </x:c>
      <x:c r="F132" s="22" t="n">
        <x:v>0</x:v>
      </x:c>
      <x:c r="G132" s="21" t="str">
        <x:v>UNTESTED</x:v>
      </x:c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C133" s="19" t="str">
        <x:v>EB-RT-C-1</x:v>
      </x:c>
      <x:c r="D133" s="19" t="str">
        <x:v>MS-RT|C</x:v>
      </x:c>
      <x:c r="E133" s="19" t="str">
        <x:v>Mass</x:v>
      </x:c>
      <x:c r="F133" s="22" t="n">
        <x:v>0</x:v>
      </x:c>
      <x:c r="G133" s="21" t="str">
        <x:v>UNTESTED</x:v>
      </x:c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C134" s="19" t="str">
        <x:v>EB-RT-C-2</x:v>
      </x:c>
      <x:c r="D134" s="19" t="str">
        <x:v>MS-RT|C</x:v>
      </x:c>
      <x:c r="E134" s="19" t="str">
        <x:v>Energy</x:v>
      </x:c>
      <x:c r="F134" s="22" t="n">
        <x:v>0</x:v>
      </x:c>
      <x:c r="G134" s="21" t="str">
        <x:v>UNTESTED</x:v>
      </x:c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C135" s="19" t="str">
        <x:v>EB-RT-C-3</x:v>
      </x:c>
      <x:c r="D135" s="19" t="str">
        <x:v>MS-RT|C</x:v>
      </x:c>
      <x:c r="E135" s="19" t="str">
        <x:v>Route flow</x:v>
      </x:c>
      <x:c r="F135" s="22" t="n">
        <x:v>0</x:v>
      </x:c>
      <x:c r="G135" s="21" t="str">
        <x:v>UNTESTED</x:v>
      </x:c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C136" s="19" t="str">
        <x:v>EB-RT-C-4</x:v>
      </x:c>
      <x:c r="D136" s="19" t="str">
        <x:v>MS-RT|C</x:v>
      </x:c>
      <x:c r="E136" s="19" t="str">
        <x:v>Labor</x:v>
      </x:c>
      <x:c r="F136" s="22" t="n">
        <x:v>0</x:v>
      </x:c>
      <x:c r="G136" s="21" t="str">
        <x:v>UNTESTED</x:v>
      </x:c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C137" s="19" t="str">
        <x:v>EB-RT-C-5</x:v>
      </x:c>
      <x:c r="D137" s="19" t="str">
        <x:v>MS-RT|C</x:v>
      </x:c>
      <x:c r="E137" s="19" t="str">
        <x:v>Safety</x:v>
      </x:c>
      <x:c r="F137" s="22" t="n">
        <x:v>0</x:v>
      </x:c>
      <x:c r="G137" s="21" t="str">
        <x:v>UNTESTED</x:v>
      </x:c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C138" s="19" t="str">
        <x:v>EB-RT-C-6</x:v>
      </x:c>
      <x:c r="D138" s="19" t="str">
        <x:v>MS-RT|C</x:v>
      </x:c>
      <x:c r="E138" s="19" t="str">
        <x:v>Receiver</x:v>
      </x:c>
      <x:c r="F138" s="22" t="n">
        <x:v>0</x:v>
      </x:c>
      <x:c r="G138" s="21" t="str">
        <x:v>UNTESTED</x:v>
      </x:c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C139" s="19" t="str">
        <x:v>EB-RT-C-7</x:v>
      </x:c>
      <x:c r="D139" s="19" t="str">
        <x:v>MS-RT|C</x:v>
      </x:c>
      <x:c r="E139" s="19" t="str">
        <x:v>Residual</x:v>
      </x:c>
      <x:c r="F139" s="22" t="n">
        <x:v>0</x:v>
      </x:c>
      <x:c r="G139" s="21" t="str">
        <x:v>UNTESTED</x:v>
      </x:c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C140" s="19" t="str">
        <x:v>EB-RT-D-1</x:v>
      </x:c>
      <x:c r="D140" s="19" t="str">
        <x:v>MS-RT|D</x:v>
      </x:c>
      <x:c r="E140" s="19" t="str">
        <x:v>Mass</x:v>
      </x:c>
      <x:c r="F140" s="22" t="n">
        <x:v>0</x:v>
      </x:c>
      <x:c r="G140" s="21" t="str">
        <x:v>UNTESTED</x:v>
      </x:c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C141" s="19" t="str">
        <x:v>EB-RT-D-2</x:v>
      </x:c>
      <x:c r="D141" s="19" t="str">
        <x:v>MS-RT|D</x:v>
      </x:c>
      <x:c r="E141" s="19" t="str">
        <x:v>Energy</x:v>
      </x:c>
      <x:c r="F141" s="22" t="n">
        <x:v>0</x:v>
      </x:c>
      <x:c r="G141" s="21" t="str">
        <x:v>UNTESTED</x:v>
      </x:c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C142" s="19" t="str">
        <x:v>EB-RT-D-3</x:v>
      </x:c>
      <x:c r="D142" s="19" t="str">
        <x:v>MS-RT|D</x:v>
      </x:c>
      <x:c r="E142" s="19" t="str">
        <x:v>Route flow</x:v>
      </x:c>
      <x:c r="F142" s="22" t="n">
        <x:v>0</x:v>
      </x:c>
      <x:c r="G142" s="21" t="str">
        <x:v>UNTESTED</x:v>
      </x:c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C143" s="19" t="str">
        <x:v>EB-RT-D-4</x:v>
      </x:c>
      <x:c r="D143" s="19" t="str">
        <x:v>MS-RT|D</x:v>
      </x:c>
      <x:c r="E143" s="19" t="str">
        <x:v>Labor</x:v>
      </x:c>
      <x:c r="F143" s="22" t="n">
        <x:v>0</x:v>
      </x:c>
      <x:c r="G143" s="21" t="str">
        <x:v>UNTESTED</x:v>
      </x:c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C144" s="19" t="str">
        <x:v>EB-RT-D-5</x:v>
      </x:c>
      <x:c r="D144" s="19" t="str">
        <x:v>MS-RT|D</x:v>
      </x:c>
      <x:c r="E144" s="19" t="str">
        <x:v>Safety</x:v>
      </x:c>
      <x:c r="F144" s="22" t="n">
        <x:v>0</x:v>
      </x:c>
      <x:c r="G144" s="21" t="str">
        <x:v>UNTESTED</x:v>
      </x:c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C145" s="19" t="str">
        <x:v>EB-RT-D-6</x:v>
      </x:c>
      <x:c r="D145" s="19" t="str">
        <x:v>MS-RT|D</x:v>
      </x:c>
      <x:c r="E145" s="19" t="str">
        <x:v>Receiver</x:v>
      </x:c>
      <x:c r="F145" s="22" t="n">
        <x:v>0</x:v>
      </x:c>
      <x:c r="G145" s="21" t="str">
        <x:v>UNTESTED</x:v>
      </x:c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C146" s="23" t="str">
        <x:v>EB-RT-D-7</x:v>
      </x:c>
      <x:c r="D146" s="23" t="str">
        <x:v>MS-RT|D</x:v>
      </x:c>
      <x:c r="E146" s="23" t="str">
        <x:v>Residual</x:v>
      </x:c>
      <x:c r="F146" s="24" t="n">
        <x:v>0</x:v>
      </x:c>
      <x:c r="G146" s="25" t="str">
        <x:v>UNTESTED</x:v>
      </x:c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C147" s="2"/>
      <x:c r="D147" s="2"/>
      <x:c r="E147" s="2"/>
      <x:c r="F147" s="2"/>
      <x:c r="G147" s="2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C148" s="2"/>
      <x:c r="D148" s="2"/>
      <x:c r="E148" s="2"/>
      <x:c r="F148" s="2"/>
      <x:c r="G148" s="2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C149" s="2"/>
      <x:c r="D149" s="2"/>
      <x:c r="E149" s="2"/>
      <x:c r="F149" s="2"/>
      <x:c r="G149" s="2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C150" s="2"/>
      <x:c r="D150" s="2"/>
      <x:c r="E150" s="2"/>
      <x:c r="F150" s="2"/>
      <x:c r="G150" s="2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C151" s="2"/>
      <x:c r="D151" s="2"/>
      <x:c r="E151" s="2"/>
      <x:c r="F151" s="2"/>
      <x:c r="G151" s="2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C152" s="2"/>
      <x:c r="D152" s="2"/>
      <x:c r="E152" s="2"/>
      <x:c r="F152" s="2"/>
      <x:c r="G152" s="2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C153" s="2"/>
      <x:c r="D153" s="2"/>
      <x:c r="E153" s="2"/>
      <x:c r="F153" s="2"/>
      <x:c r="G153" s="2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C154" s="2"/>
      <x:c r="D154" s="2"/>
      <x:c r="E154" s="2"/>
      <x:c r="F154" s="2"/>
      <x:c r="G154" s="2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C155" s="2"/>
      <x:c r="D155" s="2"/>
      <x:c r="E155" s="2"/>
      <x:c r="F155" s="2"/>
      <x:c r="G155" s="2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5" hidden="0" customWidth="1"/>
    <x:col min="4" max="4" width="15" hidden="0" customWidth="1"/>
    <x:col min="5" max="5" width="25" hidden="0" customWidth="1"/>
    <x:col min="6" max="6" width="25" hidden="0" customWidth="1"/>
    <x:col min="7" max="7" width="62" hidden="0" customWidth="1"/>
    <x:col min="8" max="8" width="62" hidden="0" customWidth="1"/>
  </x:cols>
  <x:sheetData>
    <x:row r="1">
      <x:c r="C1" s="2"/>
      <x:c r="D1" s="2"/>
      <x:c r="E1" s="2"/>
      <x:c r="F1" s="2"/>
      <x:c r="G1" s="2"/>
      <x:c r="H1" s="2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Root-native technology consequences</x:v>
      </x:c>
      <x:c r="D2" s="2"/>
      <x:c r="E2" s="2"/>
      <x:c r="F2" s="2"/>
      <x:c r="G2" s="2"/>
      <x:c r="H2" s="2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The balance sheet defines what innovation must accomplish; it does not presume success.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Root</x:v>
      </x:c>
      <x:c r="D6" s="18" t="str">
        <x:v>System</x:v>
      </x:c>
      <x:c r="E6" s="18" t="str">
        <x:v>Mechanism</x:v>
      </x:c>
      <x:c r="F6" s="18" t="str">
        <x:v>Limiting account</x:v>
      </x:c>
      <x:c r="G6" s="18" t="str">
        <x:v>Technology objective</x:v>
      </x:c>
      <x:c r="H6" s="18" t="str">
        <x:v>Fatal result</x:v>
      </x:c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MS-ET|A</x:v>
      </x:c>
      <x:c r="D7" s="19" t="str">
        <x:v>MS-ET</x:v>
      </x:c>
      <x:c r="E7" s="19" t="str">
        <x:v>Pelagic heavy bridge</x:v>
      </x:c>
      <x:c r="F7" s="19" t="str">
        <x:f>'Root Balance'!Q7</x:f>
        <x:v>Route flow</x:v>
      </x:c>
      <x:c r="G7" s="19" t="str">
        <x:v>Sectional hydrostatics, self-installing port and wet-to-dry custody</x:v>
      </x:c>
      <x:c r="H7" s="21" t="str">
        <x:v>Port or causeway denial breaks complete 5,630 t/day flow.</x:v>
      </x:c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MS-ET|B</x:v>
      </x:c>
      <x:c r="D8" s="19" t="str">
        <x:v>MS-ET</x:v>
      </x:c>
      <x:c r="E8" s="19" t="str">
        <x:v>Aerostatic sky bridge</x:v>
      </x:c>
      <x:c r="F8" s="19" t="str">
        <x:f>'Root Balance'!Q8</x:f>
        <x:v>Route flow</x:v>
      </x:c>
      <x:c r="G8" s="19" t="str">
        <x:v>Variable-buoyancy unloading without runway or receiver ballast</x:v>
      </x:c>
      <x:c r="H8" s="21" t="str">
        <x:v>The system needs receiver ballast, runway or unsafe ground reaction.</x:v>
      </x:c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MS-ET|C</x:v>
      </x:c>
      <x:c r="D9" s="19" t="str">
        <x:v>MS-ET</x:v>
      </x:c>
      <x:c r="E9" s="19" t="str">
        <x:v>Terrain corridor train</x:v>
      </x:c>
      <x:c r="F9" s="19" t="str">
        <x:f>'Root Balance'!Q9</x:f>
        <x:v>Mass</x:v>
      </x:c>
      <x:c r="G9" s="19" t="str">
        <x:v>Articulated carriers create bearing surface and crossings as they advance</x:v>
      </x:c>
      <x:c r="H9" s="21" t="str">
        <x:v>Weak soil or a lost bridge module stops the complete corridor.</x:v>
      </x:c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MS-ET|D</x:v>
      </x:c>
      <x:c r="D10" s="19" t="str">
        <x:v>MS-ET</x:v>
      </x:c>
      <x:c r="E10" s="19" t="str">
        <x:v>Amphibious mesh</x:v>
      </x:c>
      <x:c r="F10" s="19" t="str">
        <x:f>'Root Balance'!Q10</x:f>
        <x:v>Safety</x:v>
      </x:c>
      <x:c r="G10" s="19" t="str">
        <x:v>Self-routing land-water cells carry sealed custody through node loss</x:v>
      </x:c>
      <x:c r="H10" s="21" t="str">
        <x:v>One-third node attrition fragments service or custody.</x:v>
      </x:c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MS-CT|A</x:v>
      </x:c>
      <x:c r="D11" s="19" t="str">
        <x:v>MS-CT</x:v>
      </x:c>
      <x:c r="E11" s="19" t="str">
        <x:v>Civic edge grid</x:v>
      </x:c>
      <x:c r="F11" s="19" t="str">
        <x:f>'Root Balance'!Q11</x:f>
        <x:v>Route flow</x:v>
      </x:c>
      <x:c r="G11" s="19" t="str">
        <x:v>Offline public transactions preserve household state and authority</x:v>
      </x:c>
      <x:c r="H11" s="21" t="str">
        <x:v>Any household disappears from an accountable state after network loss.</x:v>
      </x:c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MS-CT|B</x:v>
      </x:c>
      <x:c r="D12" s="19" t="str">
        <x:v>MS-CT</x:v>
      </x:c>
      <x:c r="E12" s="19" t="str">
        <x:v>Air-and-skin reach</x:v>
      </x:c>
      <x:c r="F12" s="19" t="str">
        <x:f>'Root Balance'!Q12</x:f>
        <x:v>Energy</x:v>
      </x:c>
      <x:c r="G12" s="19" t="str">
        <x:v>Lawful aircraft and facade robots reach roofs, windows and voids</x:v>
      </x:c>
      <x:c r="H12" s="21" t="str">
        <x:v>Occupied access cannot be made safe, accessible and lawful.</x:v>
      </x:c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MS-CT|C</x:v>
      </x:c>
      <x:c r="D13" s="19" t="str">
        <x:v>MS-CT</x:v>
      </x:c>
      <x:c r="E13" s="19" t="str">
        <x:v>Building utility spine</x:v>
      </x:c>
      <x:c r="F13" s="19" t="str">
        <x:f>'Root Balance'!Q13</x:f>
        <x:v>Energy</x:v>
      </x:c>
      <x:c r="G13" s="19" t="str">
        <x:v>Robotic trunks insert isolated utilities into occupied damaged buildings</x:v>
      </x:c>
      <x:c r="H13" s="21" t="str">
        <x:v>Insertion propagates structural, utility or contamination failure.</x:v>
      </x:c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MS-CT|D</x:v>
      </x:c>
      <x:c r="D14" s="19" t="str">
        <x:v>MS-CT</x:v>
      </x:c>
      <x:c r="E14" s="19" t="str">
        <x:v>Neighborhood machine swarm</x:v>
      </x:c>
      <x:c r="F14" s="19" t="str">
        <x:f>'Root Balance'!Q14</x:f>
        <x:v>Energy</x:v>
      </x:c>
      <x:c r="G14" s="19" t="str">
        <x:v>Heterogeneous small machines perform last-building work under local veto</x:v>
      </x:c>
      <x:c r="H14" s="21" t="str">
        <x:v>Attrition or link loss defeats safe human release and case closure.</x:v>
      </x:c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MS-HC|A</x:v>
      </x:c>
      <x:c r="D15" s="19" t="str">
        <x:v>MS-HC</x:v>
      </x:c>
      <x:c r="E15" s="19" t="str">
        <x:v>Atmospheric flux wing</x:v>
      </x:c>
      <x:c r="F15" s="19" t="str">
        <x:f>'Root Balance'!Q15</x:f>
        <x:v>Route flow</x:v>
      </x:c>
      <x:c r="G15" s="19" t="str">
        <x:v>All-weather sensing and precision delivery outrun fire, smoke and heat</x:v>
      </x:c>
      <x:c r="H15" s="21" t="str">
        <x:v>Hazard growth exceeds verified held effect after control loss.</x:v>
      </x:c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MS-HC|B</x:v>
      </x:c>
      <x:c r="D16" s="19" t="str">
        <x:v>MS-HC</x:v>
      </x:c>
      <x:c r="E16" s="19" t="str">
        <x:v>Hydraulic intervention lattice</x:v>
      </x:c>
      <x:c r="F16" s="19" t="str">
        <x:f>'Root Balance'!Q16</x:f>
        <x:v>Route flow</x:v>
      </x:c>
      <x:c r="G16" s="19" t="str">
        <x:v>Debris-tolerant pumps, active manifolds and breach arrest act as one lattice</x:v>
      </x:c>
      <x:c r="H16" s="21" t="str">
        <x:v>Net basin removal becomes nonpositive or residual custody breaks.</x:v>
      </x:c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MS-HC|C</x:v>
      </x:c>
      <x:c r="D17" s="19" t="str">
        <x:v>MS-HC</x:v>
      </x:c>
      <x:c r="E17" s="19" t="str">
        <x:v>Autonomous terrain corps</x:v>
      </x:c>
      <x:c r="F17" s="19" t="str">
        <x:f>'Root Balance'!Q17</x:f>
        <x:v>Mass</x:v>
      </x:c>
      <x:c r="G17" s="19" t="str">
        <x:v>Optionally crewed earthworks continue through smoke, mud and aftershock</x:v>
      </x:c>
      <x:c r="H17" s="21" t="str">
        <x:v>Lost sensing or control creates unsafe motion, negative margin or unowned debris.</x:v>
      </x:c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MS-HC|D</x:v>
      </x:c>
      <x:c r="D18" s="19" t="str">
        <x:v>MS-HC</x:v>
      </x:c>
      <x:c r="E18" s="19" t="str">
        <x:v>Boundary-control field</x:v>
      </x:c>
      <x:c r="F18" s="19" t="str">
        <x:f>'Root Balance'!Q18</x:f>
        <x:v>Mass</x:v>
      </x:c>
      <x:c r="G18" s="19" t="str">
        <x:v>Rapid sensor-actuator boundaries make temporary terrain locally responsive</x:v>
      </x:c>
      <x:c r="H18" s="21" t="str">
        <x:v>Local interactions amplify the hazard or defeat a safe manual stop.</x:v>
      </x:c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MS-HU|A</x:v>
      </x:c>
      <x:c r="D19" s="19" t="str">
        <x:v>MS-HU</x:v>
      </x:c>
      <x:c r="E19" s="19" t="str">
        <x:v>Clinical continuity campus</x:v>
      </x:c>
      <x:c r="F19" s="19" t="str">
        <x:f>'Root Balance'!Q19</x:f>
        <x:v>Mass</x:v>
      </x:c>
      <x:c r="G19" s="19" t="str">
        <x:v>Modular definitive-care metabolism closes sterile utilities and discharge</x:v>
      </x:c>
      <x:c r="H19" s="21" t="str">
        <x:v>A specialist, utility or destination loss breaks accepted clinical continuity.</x:v>
      </x:c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MS-HU|B</x:v>
      </x:c>
      <x:c r="D20" s="19" t="str">
        <x:v>MS-HU</x:v>
      </x:c>
      <x:c r="E20" s="19" t="str">
        <x:v>Neighborhood care fabric</x:v>
      </x:c>
      <x:c r="F20" s="19" t="str">
        <x:f>'Root Balance'!Q20</x:f>
        <x:v>Route flow</x:v>
      </x:c>
      <x:c r="G20" s="19" t="str">
        <x:v>Prepared ordinary buildings become independently serviced care nodes</x:v>
      </x:c>
      <x:c r="H20" s="21" t="str">
        <x:v>Any origin loses a person-care relationship or safe occupied state.</x:v>
      </x:c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MS-HU|C</x:v>
      </x:c>
      <x:c r="D21" s="19" t="str">
        <x:v>MS-HU</x:v>
      </x:c>
      <x:c r="E21" s="19" t="str">
        <x:v>Mobile care network</x:v>
      </x:c>
      <x:c r="F21" s="19" t="str">
        <x:f>'Root Balance'!Q21</x:f>
        <x:v>Mass</x:v>
      </x:c>
      <x:c r="G21" s="19" t="str">
        <x:v>Therapy, diagnostics, identity and destination remain coherent in motion</x:v>
      </x:c>
      <x:c r="H21" s="21" t="str">
        <x:v>Movement separates therapy, records, relationships or receiving capacity.</x:v>
      </x:c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MS-HU|D</x:v>
      </x:c>
      <x:c r="D22" s="19" t="str">
        <x:v>MS-HU</x:v>
      </x:c>
      <x:c r="E22" s="19" t="str">
        <x:v>Host-building conversion</x:v>
      </x:c>
      <x:c r="F22" s="19" t="str">
        <x:f>'Root Balance'!Q22</x:f>
        <x:v>Mass</x:v>
      </x:c>
      <x:c r="G22" s="19" t="str">
        <x:v>Robotic structure and utility kits reversibly convert unknown hosts</x:v>
      </x:c>
      <x:c r="H22" s="21" t="str">
        <x:v>Conversion cannot prove a safe, lawful, reversible occupied state.</x:v>
      </x:c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MS-RT|A</x:v>
      </x:c>
      <x:c r="D23" s="19" t="str">
        <x:v>MS-RT</x:v>
      </x:c>
      <x:c r="E23" s="19" t="str">
        <x:v>Heavy arsenal base</x:v>
      </x:c>
      <x:c r="F23" s="19" t="str">
        <x:f>'Root Balance'!Q23</x:f>
        <x:v>Energy</x:v>
      </x:c>
      <x:c r="G23" s="19" t="str">
        <x:v>Deep-stock metrology and rebuild lines reset a whole stack within 168 hours</x:v>
      </x:c>
      <x:c r="H23" s="21" t="str">
        <x:v>A critical configuration cannot be restored after depot or tool loss.</x:v>
      </x:c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MS-RT|B</x:v>
      </x:c>
      <x:c r="D24" s="19" t="str">
        <x:v>MS-RT</x:v>
      </x:c>
      <x:c r="E24" s="19" t="str">
        <x:v>Microfactory mesh</x:v>
      </x:c>
      <x:c r="F24" s="19" t="str">
        <x:f>'Root Balance'!Q24</x:f>
        <x:v>Energy</x:v>
      </x:c>
      <x:c r="G24" s="19" t="str">
        <x:v>Disconnected cells reproduce qualified parts from controlled feedstock</x:v>
      </x:c>
      <x:c r="H24" s="21" t="str">
        <x:v>Output cannot reproduce ancestry, calibration, material state or qualification.</x:v>
      </x:c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MS-RT|C</x:v>
      </x:c>
      <x:c r="D25" s="19" t="str">
        <x:v>MS-RT</x:v>
      </x:c>
      <x:c r="E25" s="19" t="str">
        <x:v>Exchange-remanufacture network</x:v>
      </x:c>
      <x:c r="F25" s="19" t="str">
        <x:f>'Root Balance'!Q25</x:f>
        <x:v>Energy</x:v>
      </x:c>
      <x:c r="G25" s="19" t="str">
        <x:v>Open interchange and grading enable cross-vendor remanufacture</x:v>
      </x:c>
      <x:c r="H25" s="21" t="str">
        <x:v>A common interface masks non-equivalence or rejects a residual stream.</x:v>
      </x:c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3" t="str">
        <x:v>MS-RT|D</x:v>
      </x:c>
      <x:c r="D26" s="23" t="str">
        <x:v>MS-RT</x:v>
      </x:c>
      <x:c r="E26" s="23" t="str">
        <x:v>Closed-loop sustainment fleet</x:v>
      </x:c>
      <x:c r="F26" s="23" t="str">
        <x:f>'Root Balance'!Q26</x:f>
        <x:v>Energy</x:v>
      </x:c>
      <x:c r="G26" s="23" t="str">
        <x:v>Mobile processing follows the formation and internalizes counterflows</x:v>
      </x:c>
      <x:c r="H26" s="25" t="str">
        <x:v>A critical class accumulates or the fleet externalizes service to the damaged host.</x:v>
      </x:c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2"/>
      <x:c r="H27" s="2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2"/>
      <x:c r="H28" s="2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2"/>
      <x:c r="D29" s="2"/>
      <x:c r="E29" s="2"/>
      <x:c r="F29" s="2"/>
      <x:c r="G29" s="2"/>
      <x:c r="H29" s="2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2"/>
      <x:c r="D30" s="2"/>
      <x:c r="E30" s="2"/>
      <x:c r="F30" s="2"/>
      <x:c r="G30" s="2"/>
      <x:c r="H30" s="2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25" topLeftCell="A26" activePane="bottomLeft" state="frozen"/>
    </x:sheetView>
  </x:sheetViews>
  <x:sheetFormatPr defaultRowHeight="15"/>
  <x:cols>
    <x:col min="3" max="3" width="18" hidden="0" customWidth="1"/>
    <x:col min="4" max="4" width="24" hidden="0" customWidth="1"/>
    <x:col min="5" max="5" width="24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Cross-classified physical-account learning authority</x:v>
      </x:c>
      <x:c r="D2" s="2"/>
      <x:c r="E2" s="2"/>
      <x:c r="F2" s="2"/>
      <x:c r="G2" s="2"/>
      <x:c r="H2" s="2"/>
      <x:c r="I2" s="2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The seven accounts partition each root option; this is not added to the four Pass 181 workstream views.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System</x:v>
      </x:c>
      <x:c r="D6" s="18" t="str">
        <x:v>Allocation USD B</x:v>
      </x:c>
      <x:c r="E6" s="18" t="str">
        <x:v>Roots</x:v>
      </x:c>
      <x:c r="F6" s="18" t="str">
        <x:v>Per-root option USD B</x:v>
      </x:c>
      <x:c r="G6" s="18" t="str">
        <x:v>Dry mass kt</x:v>
      </x:c>
      <x:c r="H6" s="18" t="str">
        <x:v>Peak MW</x:v>
      </x:c>
      <x:c r="I6" s="18" t="str">
        <x:v>Deployed roles</x:v>
      </x:c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MS-ET</x:v>
      </x:c>
      <x:c r="D7" s="58" t="n">
        <x:v>44.51169804004222</x:v>
      </x:c>
      <x:c r="E7" s="19" t="n">
        <x:v>4</x:v>
      </x:c>
      <x:c r="F7" s="59" t="n">
        <x:v>11.127924510010555</x:v>
      </x:c>
      <x:c r="G7" s="19" t="n">
        <x:f>SUMIF('Root Balance'!$E$7:$E$26,C7,'Root Balance'!$G$7:$G$26)</x:f>
        <x:v>273</x:v>
      </x:c>
      <x:c r="H7" s="19" t="n">
        <x:f>SUMIF(Energy!$D$7:$D$26,C7,Energy!$E$7:$E$26)</x:f>
        <x:v>586</x:v>
      </x:c>
      <x:c r="I7" s="21" t="n">
        <x:f>SUMIF(Labor!$D$7:$D$26,C7,Labor!$E$7:$E$26)</x:f>
        <x:v>21100</x:v>
      </x:c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MS-CT</x:v>
      </x:c>
      <x:c r="D8" s="58" t="n">
        <x:v>45.93639930929069</x:v>
      </x:c>
      <x:c r="E8" s="19" t="n">
        <x:v>4</x:v>
      </x:c>
      <x:c r="F8" s="59" t="n">
        <x:v>11.484099827322673</x:v>
      </x:c>
      <x:c r="G8" s="19" t="n">
        <x:f>SUMIF('Root Balance'!$E$7:$E$26,C8,'Root Balance'!$G$7:$G$26)</x:f>
        <x:v>83</x:v>
      </x:c>
      <x:c r="H8" s="19" t="n">
        <x:f>SUMIF(Energy!$D$7:$D$26,C8,Energy!$E$7:$E$26)</x:f>
        <x:v>152</x:v>
      </x:c>
      <x:c r="I8" s="21" t="n">
        <x:f>SUMIF(Labor!$D$7:$D$26,C8,Labor!$E$7:$E$26)</x:f>
        <x:v>17200</x:v>
      </x:c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MS-HC</x:v>
      </x:c>
      <x:c r="D9" s="58" t="n">
        <x:v>27.323978086261516</x:v>
      </x:c>
      <x:c r="E9" s="19" t="n">
        <x:v>4</x:v>
      </x:c>
      <x:c r="F9" s="59" t="n">
        <x:v>6.830994521565379</x:v>
      </x:c>
      <x:c r="G9" s="19" t="n">
        <x:f>SUMIF('Root Balance'!$E$7:$E$26,C9,'Root Balance'!$G$7:$G$26)</x:f>
        <x:v>190</x:v>
      </x:c>
      <x:c r="H9" s="19" t="n">
        <x:f>SUMIF(Energy!$D$7:$D$26,C9,Energy!$E$7:$E$26)</x:f>
        <x:v>380</x:v>
      </x:c>
      <x:c r="I9" s="21" t="n">
        <x:f>SUMIF(Labor!$D$7:$D$26,C9,Labor!$E$7:$E$26)</x:f>
        <x:v>32100</x:v>
      </x:c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MS-HU</x:v>
      </x:c>
      <x:c r="D10" s="58" t="n">
        <x:v>76.55088074487006</x:v>
      </x:c>
      <x:c r="E10" s="19" t="n">
        <x:v>4</x:v>
      </x:c>
      <x:c r="F10" s="59" t="n">
        <x:v>19.137720186217514</x:v>
      </x:c>
      <x:c r="G10" s="19" t="n">
        <x:f>SUMIF('Root Balance'!$E$7:$E$26,C10,'Root Balance'!$G$7:$G$26)</x:f>
        <x:v>135</x:v>
      </x:c>
      <x:c r="H10" s="19" t="n">
        <x:f>SUMIF(Energy!$D$7:$D$26,C10,Energy!$E$7:$E$26)</x:f>
        <x:v>162</x:v>
      </x:c>
      <x:c r="I10" s="21" t="n">
        <x:f>SUMIF(Labor!$D$7:$D$26,C10,Labor!$E$7:$E$26)</x:f>
        <x:v>35400</x:v>
      </x:c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MS-RT</x:v>
      </x:c>
      <x:c r="D11" s="58" t="n">
        <x:v>44.700531046712975</x:v>
      </x:c>
      <x:c r="E11" s="19" t="n">
        <x:v>4</x:v>
      </x:c>
      <x:c r="F11" s="59" t="n">
        <x:v>11.175132761678244</x:v>
      </x:c>
      <x:c r="G11" s="19" t="n">
        <x:f>SUMIF('Root Balance'!$E$7:$E$26,C11,'Root Balance'!$G$7:$G$26)</x:f>
        <x:v>310</x:v>
      </x:c>
      <x:c r="H11" s="19" t="n">
        <x:f>SUMIF(Energy!$D$7:$D$26,C11,Energy!$E$7:$E$26)</x:f>
        <x:v>690</x:v>
      </x:c>
      <x:c r="I11" s="21" t="n">
        <x:f>SUMIF(Labor!$D$7:$D$26,C11,Labor!$E$7:$E$26)</x:f>
        <x:v>34300</x:v>
      </x:c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/>
      <x:c r="D12" s="58"/>
      <x:c r="E12" s="19"/>
      <x:c r="F12" s="19"/>
      <x:c r="G12" s="19"/>
      <x:c r="H12" s="19"/>
      <x:c r="I12" s="21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60" t="str">
        <x:v>Total</x:v>
      </x:c>
      <x:c r="D13" s="61" t="n">
        <x:f>SUM(D7:D11)</x:f>
        <x:v>239.02348722717744</x:v>
      </x:c>
      <x:c r="E13" s="60" t="n">
        <x:f>SUM(E7:E11)</x:f>
        <x:v>20</x:v>
      </x:c>
      <x:c r="F13" s="60" t="str">
        <x:v>—</x:v>
      </x:c>
      <x:c r="G13" s="60" t="n">
        <x:f>SUM(G7:G11)</x:f>
        <x:v>991</x:v>
      </x:c>
      <x:c r="H13" s="60" t="n">
        <x:f>SUM(H7:H11)</x:f>
        <x:v>1970</x:v>
      </x:c>
      <x:c r="I13" s="62" t="n">
        <x:f>SUM(I7:I11)</x:f>
        <x:v>140100</x:v>
      </x:c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2"/>
      <x:c r="D14" s="2"/>
      <x:c r="E14" s="2"/>
      <x:c r="F14" s="2"/>
      <x:c r="G14" s="2"/>
      <x:c r="H14" s="2"/>
      <x:c r="I14" s="2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2"/>
      <x:c r="D15" s="2"/>
      <x:c r="E15" s="2"/>
      <x:c r="F15" s="2"/>
      <x:c r="G15" s="2"/>
      <x:c r="H15" s="2"/>
      <x:c r="I15" s="2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7" t="str">
        <x:v>Account</x:v>
      </x:c>
      <x:c r="D16" s="18" t="str">
        <x:v>Share</x:v>
      </x:c>
      <x:c r="E16" s="18" t="str">
        <x:v>Allocation USD B</x:v>
      </x:c>
      <x:c r="F16" s="18" t="str">
        <x:v>Use</x:v>
      </x:c>
      <x:c r="G16" s="2"/>
      <x:c r="H16" s="2"/>
      <x:c r="I16" s="2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Mass</x:v>
      </x:c>
      <x:c r="D17" s="63" t="n">
        <x:v>0.18</x:v>
      </x:c>
      <x:c r="E17" s="58" t="n">
        <x:f>$D$13*D17</x:f>
        <x:v>43.024227700891934</x:v>
      </x:c>
      <x:c r="F17" s="21" t="str">
        <x:v>Root-owned experiments and complete-system closure</x:v>
      </x:c>
      <x:c r="G17" s="2"/>
      <x:c r="H17" s="2"/>
      <x:c r="I17" s="2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Energy</x:v>
      </x:c>
      <x:c r="D18" s="63" t="n">
        <x:v>0.17</x:v>
      </x:c>
      <x:c r="E18" s="58" t="n">
        <x:f>$D$13*D18</x:f>
        <x:v>40.633992828620165</x:v>
      </x:c>
      <x:c r="F18" s="21" t="str">
        <x:v>Root-owned experiments and complete-system closure</x:v>
      </x:c>
      <x:c r="G18" s="2"/>
      <x:c r="H18" s="2"/>
      <x:c r="I18" s="2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Route flow</x:v>
      </x:c>
      <x:c r="D19" s="63" t="n">
        <x:v>0.2</x:v>
      </x:c>
      <x:c r="E19" s="58" t="n">
        <x:f>$D$13*D19</x:f>
        <x:v>47.804697445435494</x:v>
      </x:c>
      <x:c r="F19" s="21" t="str">
        <x:v>Root-owned experiments and complete-system closure</x:v>
      </x:c>
      <x:c r="G19" s="2"/>
      <x:c r="H19" s="2"/>
      <x:c r="I19" s="2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Labor</x:v>
      </x:c>
      <x:c r="D20" s="63" t="n">
        <x:v>0.1</x:v>
      </x:c>
      <x:c r="E20" s="58" t="n">
        <x:f>$D$13*D20</x:f>
        <x:v>23.902348722717747</x:v>
      </x:c>
      <x:c r="F20" s="21" t="str">
        <x:v>Root-owned experiments and complete-system closure</x:v>
      </x:c>
      <x:c r="G20" s="2"/>
      <x:c r="H20" s="2"/>
      <x:c r="I20" s="2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Safety</x:v>
      </x:c>
      <x:c r="D21" s="63" t="n">
        <x:v>0.13</x:v>
      </x:c>
      <x:c r="E21" s="58" t="n">
        <x:f>$D$13*D21</x:f>
        <x:v>31.073053339533068</x:v>
      </x:c>
      <x:c r="F21" s="21" t="str">
        <x:v>Root-owned experiments and complete-system closure</x:v>
      </x:c>
      <x:c r="G21" s="2"/>
      <x:c r="H21" s="2"/>
      <x:c r="I21" s="2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Receiver</x:v>
      </x:c>
      <x:c r="D22" s="63" t="n">
        <x:v>0.12</x:v>
      </x:c>
      <x:c r="E22" s="58" t="n">
        <x:f>$D$13*D22</x:f>
        <x:v>28.682818467261292</x:v>
      </x:c>
      <x:c r="F22" s="21" t="str">
        <x:v>Root-owned experiments and complete-system closure</x:v>
      </x:c>
      <x:c r="G22" s="2"/>
      <x:c r="H22" s="2"/>
      <x:c r="I22" s="2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23" t="str">
        <x:v>Residual</x:v>
      </x:c>
      <x:c r="D23" s="64" t="n">
        <x:v>0.1</x:v>
      </x:c>
      <x:c r="E23" s="65" t="n">
        <x:f>$D$13*D23</x:f>
        <x:v>23.902348722717747</x:v>
      </x:c>
      <x:c r="F23" s="25" t="str">
        <x:v>Root-owned experiments and complete-system closure</x:v>
      </x:c>
      <x:c r="G23" s="2"/>
      <x:c r="H23" s="2"/>
      <x:c r="I23" s="2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2"/>
      <x:c r="D24" s="2"/>
      <x:c r="E24" s="2"/>
      <x:c r="F24" s="2"/>
      <x:c r="G24" s="2"/>
      <x:c r="H24" s="2"/>
      <x:c r="I24" s="2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7" t="str">
        <x:v>Root</x:v>
      </x:c>
      <x:c r="D25" s="18" t="str">
        <x:v>System</x:v>
      </x:c>
      <x:c r="E25" s="18" t="str">
        <x:v>Account</x:v>
      </x:c>
      <x:c r="F25" s="18" t="str">
        <x:v>Share</x:v>
      </x:c>
      <x:c r="G25" s="18" t="str">
        <x:v>Root option USD B</x:v>
      </x:c>
      <x:c r="H25" s="18" t="str">
        <x:v>Account reservation USD B</x:v>
      </x:c>
      <x:c r="I25" s="2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19" t="str">
        <x:v>MS-ET|A</x:v>
      </x:c>
      <x:c r="D26" s="19" t="str">
        <x:v>MS-ET</x:v>
      </x:c>
      <x:c r="E26" s="19" t="str">
        <x:v>Mass</x:v>
      </x:c>
      <x:c r="F26" s="63" t="n">
        <x:v>0.18</x:v>
      </x:c>
      <x:c r="G26" s="66" t="n">
        <x:v>11.127924510010555</x:v>
      </x:c>
      <x:c r="H26" s="67" t="n">
        <x:f>F26*G26</x:f>
        <x:v>2.0030264118019</x:v>
      </x:c>
      <x:c r="I26" s="2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19" t="str">
        <x:v>MS-ET|A</x:v>
      </x:c>
      <x:c r="D27" s="19" t="str">
        <x:v>MS-ET</x:v>
      </x:c>
      <x:c r="E27" s="19" t="str">
        <x:v>Energy</x:v>
      </x:c>
      <x:c r="F27" s="63" t="n">
        <x:v>0.17</x:v>
      </x:c>
      <x:c r="G27" s="66" t="n">
        <x:v>11.127924510010555</x:v>
      </x:c>
      <x:c r="H27" s="67" t="n">
        <x:f>F27*G27</x:f>
        <x:v>1.8917471667017944</x:v>
      </x:c>
      <x:c r="I27" s="2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19" t="str">
        <x:v>MS-ET|A</x:v>
      </x:c>
      <x:c r="D28" s="19" t="str">
        <x:v>MS-ET</x:v>
      </x:c>
      <x:c r="E28" s="19" t="str">
        <x:v>Route flow</x:v>
      </x:c>
      <x:c r="F28" s="63" t="n">
        <x:v>0.2</x:v>
      </x:c>
      <x:c r="G28" s="66" t="n">
        <x:v>11.127924510010555</x:v>
      </x:c>
      <x:c r="H28" s="67" t="n">
        <x:f>F28*G28</x:f>
        <x:v>2.2255849020021112</x:v>
      </x:c>
      <x:c r="I28" s="2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19" t="str">
        <x:v>MS-ET|A</x:v>
      </x:c>
      <x:c r="D29" s="19" t="str">
        <x:v>MS-ET</x:v>
      </x:c>
      <x:c r="E29" s="19" t="str">
        <x:v>Labor</x:v>
      </x:c>
      <x:c r="F29" s="63" t="n">
        <x:v>0.1</x:v>
      </x:c>
      <x:c r="G29" s="66" t="n">
        <x:v>11.127924510010555</x:v>
      </x:c>
      <x:c r="H29" s="67" t="n">
        <x:f>F29*G29</x:f>
        <x:v>1.1127924510010556</x:v>
      </x:c>
      <x:c r="I29" s="2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19" t="str">
        <x:v>MS-ET|A</x:v>
      </x:c>
      <x:c r="D30" s="19" t="str">
        <x:v>MS-ET</x:v>
      </x:c>
      <x:c r="E30" s="19" t="str">
        <x:v>Safety</x:v>
      </x:c>
      <x:c r="F30" s="63" t="n">
        <x:v>0.13</x:v>
      </x:c>
      <x:c r="G30" s="66" t="n">
        <x:v>11.127924510010555</x:v>
      </x:c>
      <x:c r="H30" s="67" t="n">
        <x:f>F30*G30</x:f>
        <x:v>1.4466301863013722</x:v>
      </x:c>
      <x:c r="I30" s="2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C31" s="19" t="str">
        <x:v>MS-ET|A</x:v>
      </x:c>
      <x:c r="D31" s="19" t="str">
        <x:v>MS-ET</x:v>
      </x:c>
      <x:c r="E31" s="19" t="str">
        <x:v>Receiver</x:v>
      </x:c>
      <x:c r="F31" s="63" t="n">
        <x:v>0.12</x:v>
      </x:c>
      <x:c r="G31" s="66" t="n">
        <x:v>11.127924510010555</x:v>
      </x:c>
      <x:c r="H31" s="67" t="n">
        <x:f>F31*G31</x:f>
        <x:v>1.3353509412012665</x:v>
      </x:c>
      <x:c r="I31" s="2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C32" s="19" t="str">
        <x:v>MS-ET|A</x:v>
      </x:c>
      <x:c r="D32" s="19" t="str">
        <x:v>MS-ET</x:v>
      </x:c>
      <x:c r="E32" s="19" t="str">
        <x:v>Residual</x:v>
      </x:c>
      <x:c r="F32" s="63" t="n">
        <x:v>0.1</x:v>
      </x:c>
      <x:c r="G32" s="66" t="n">
        <x:v>11.127924510010555</x:v>
      </x:c>
      <x:c r="H32" s="67" t="n">
        <x:f>F32*G32</x:f>
        <x:v>1.1127924510010556</x:v>
      </x:c>
      <x:c r="I32" s="2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C33" s="19" t="str">
        <x:v>MS-ET|B</x:v>
      </x:c>
      <x:c r="D33" s="19" t="str">
        <x:v>MS-ET</x:v>
      </x:c>
      <x:c r="E33" s="19" t="str">
        <x:v>Mass</x:v>
      </x:c>
      <x:c r="F33" s="63" t="n">
        <x:v>0.18</x:v>
      </x:c>
      <x:c r="G33" s="66" t="n">
        <x:v>11.127924510010555</x:v>
      </x:c>
      <x:c r="H33" s="67" t="n">
        <x:f>F33*G33</x:f>
        <x:v>2.0030264118019</x:v>
      </x:c>
      <x:c r="I33" s="2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C34" s="19" t="str">
        <x:v>MS-ET|B</x:v>
      </x:c>
      <x:c r="D34" s="19" t="str">
        <x:v>MS-ET</x:v>
      </x:c>
      <x:c r="E34" s="19" t="str">
        <x:v>Energy</x:v>
      </x:c>
      <x:c r="F34" s="63" t="n">
        <x:v>0.17</x:v>
      </x:c>
      <x:c r="G34" s="66" t="n">
        <x:v>11.127924510010555</x:v>
      </x:c>
      <x:c r="H34" s="67" t="n">
        <x:f>F34*G34</x:f>
        <x:v>1.8917471667017944</x:v>
      </x:c>
      <x:c r="I34" s="2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C35" s="19" t="str">
        <x:v>MS-ET|B</x:v>
      </x:c>
      <x:c r="D35" s="19" t="str">
        <x:v>MS-ET</x:v>
      </x:c>
      <x:c r="E35" s="19" t="str">
        <x:v>Route flow</x:v>
      </x:c>
      <x:c r="F35" s="63" t="n">
        <x:v>0.2</x:v>
      </x:c>
      <x:c r="G35" s="66" t="n">
        <x:v>11.127924510010555</x:v>
      </x:c>
      <x:c r="H35" s="67" t="n">
        <x:f>F35*G35</x:f>
        <x:v>2.2255849020021112</x:v>
      </x:c>
      <x:c r="I35" s="2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C36" s="19" t="str">
        <x:v>MS-ET|B</x:v>
      </x:c>
      <x:c r="D36" s="19" t="str">
        <x:v>MS-ET</x:v>
      </x:c>
      <x:c r="E36" s="19" t="str">
        <x:v>Labor</x:v>
      </x:c>
      <x:c r="F36" s="63" t="n">
        <x:v>0.1</x:v>
      </x:c>
      <x:c r="G36" s="66" t="n">
        <x:v>11.127924510010555</x:v>
      </x:c>
      <x:c r="H36" s="67" t="n">
        <x:f>F36*G36</x:f>
        <x:v>1.1127924510010556</x:v>
      </x:c>
      <x:c r="I36" s="2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C37" s="19" t="str">
        <x:v>MS-ET|B</x:v>
      </x:c>
      <x:c r="D37" s="19" t="str">
        <x:v>MS-ET</x:v>
      </x:c>
      <x:c r="E37" s="19" t="str">
        <x:v>Safety</x:v>
      </x:c>
      <x:c r="F37" s="63" t="n">
        <x:v>0.13</x:v>
      </x:c>
      <x:c r="G37" s="66" t="n">
        <x:v>11.127924510010555</x:v>
      </x:c>
      <x:c r="H37" s="67" t="n">
        <x:f>F37*G37</x:f>
        <x:v>1.4466301863013722</x:v>
      </x:c>
      <x:c r="I37" s="2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C38" s="19" t="str">
        <x:v>MS-ET|B</x:v>
      </x:c>
      <x:c r="D38" s="19" t="str">
        <x:v>MS-ET</x:v>
      </x:c>
      <x:c r="E38" s="19" t="str">
        <x:v>Receiver</x:v>
      </x:c>
      <x:c r="F38" s="63" t="n">
        <x:v>0.12</x:v>
      </x:c>
      <x:c r="G38" s="66" t="n">
        <x:v>11.127924510010555</x:v>
      </x:c>
      <x:c r="H38" s="67" t="n">
        <x:f>F38*G38</x:f>
        <x:v>1.3353509412012665</x:v>
      </x:c>
      <x:c r="I38" s="2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C39" s="19" t="str">
        <x:v>MS-ET|B</x:v>
      </x:c>
      <x:c r="D39" s="19" t="str">
        <x:v>MS-ET</x:v>
      </x:c>
      <x:c r="E39" s="19" t="str">
        <x:v>Residual</x:v>
      </x:c>
      <x:c r="F39" s="63" t="n">
        <x:v>0.1</x:v>
      </x:c>
      <x:c r="G39" s="66" t="n">
        <x:v>11.127924510010555</x:v>
      </x:c>
      <x:c r="H39" s="67" t="n">
        <x:f>F39*G39</x:f>
        <x:v>1.1127924510010556</x:v>
      </x:c>
      <x:c r="I39" s="2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C40" s="19" t="str">
        <x:v>MS-ET|C</x:v>
      </x:c>
      <x:c r="D40" s="19" t="str">
        <x:v>MS-ET</x:v>
      </x:c>
      <x:c r="E40" s="19" t="str">
        <x:v>Mass</x:v>
      </x:c>
      <x:c r="F40" s="63" t="n">
        <x:v>0.18</x:v>
      </x:c>
      <x:c r="G40" s="66" t="n">
        <x:v>11.127924510010555</x:v>
      </x:c>
      <x:c r="H40" s="67" t="n">
        <x:f>F40*G40</x:f>
        <x:v>2.0030264118019</x:v>
      </x:c>
      <x:c r="I40" s="2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C41" s="19" t="str">
        <x:v>MS-ET|C</x:v>
      </x:c>
      <x:c r="D41" s="19" t="str">
        <x:v>MS-ET</x:v>
      </x:c>
      <x:c r="E41" s="19" t="str">
        <x:v>Energy</x:v>
      </x:c>
      <x:c r="F41" s="63" t="n">
        <x:v>0.17</x:v>
      </x:c>
      <x:c r="G41" s="66" t="n">
        <x:v>11.127924510010555</x:v>
      </x:c>
      <x:c r="H41" s="67" t="n">
        <x:f>F41*G41</x:f>
        <x:v>1.8917471667017944</x:v>
      </x:c>
      <x:c r="I41" s="2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C42" s="19" t="str">
        <x:v>MS-ET|C</x:v>
      </x:c>
      <x:c r="D42" s="19" t="str">
        <x:v>MS-ET</x:v>
      </x:c>
      <x:c r="E42" s="19" t="str">
        <x:v>Route flow</x:v>
      </x:c>
      <x:c r="F42" s="63" t="n">
        <x:v>0.2</x:v>
      </x:c>
      <x:c r="G42" s="66" t="n">
        <x:v>11.127924510010555</x:v>
      </x:c>
      <x:c r="H42" s="67" t="n">
        <x:f>F42*G42</x:f>
        <x:v>2.2255849020021112</x:v>
      </x:c>
      <x:c r="I42" s="2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C43" s="19" t="str">
        <x:v>MS-ET|C</x:v>
      </x:c>
      <x:c r="D43" s="19" t="str">
        <x:v>MS-ET</x:v>
      </x:c>
      <x:c r="E43" s="19" t="str">
        <x:v>Labor</x:v>
      </x:c>
      <x:c r="F43" s="63" t="n">
        <x:v>0.1</x:v>
      </x:c>
      <x:c r="G43" s="66" t="n">
        <x:v>11.127924510010555</x:v>
      </x:c>
      <x:c r="H43" s="67" t="n">
        <x:f>F43*G43</x:f>
        <x:v>1.1127924510010556</x:v>
      </x:c>
      <x:c r="I43" s="2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C44" s="19" t="str">
        <x:v>MS-ET|C</x:v>
      </x:c>
      <x:c r="D44" s="19" t="str">
        <x:v>MS-ET</x:v>
      </x:c>
      <x:c r="E44" s="19" t="str">
        <x:v>Safety</x:v>
      </x:c>
      <x:c r="F44" s="63" t="n">
        <x:v>0.13</x:v>
      </x:c>
      <x:c r="G44" s="66" t="n">
        <x:v>11.127924510010555</x:v>
      </x:c>
      <x:c r="H44" s="67" t="n">
        <x:f>F44*G44</x:f>
        <x:v>1.4466301863013722</x:v>
      </x:c>
      <x:c r="I44" s="2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C45" s="19" t="str">
        <x:v>MS-ET|C</x:v>
      </x:c>
      <x:c r="D45" s="19" t="str">
        <x:v>MS-ET</x:v>
      </x:c>
      <x:c r="E45" s="19" t="str">
        <x:v>Receiver</x:v>
      </x:c>
      <x:c r="F45" s="63" t="n">
        <x:v>0.12</x:v>
      </x:c>
      <x:c r="G45" s="66" t="n">
        <x:v>11.127924510010555</x:v>
      </x:c>
      <x:c r="H45" s="67" t="n">
        <x:f>F45*G45</x:f>
        <x:v>1.3353509412012665</x:v>
      </x:c>
      <x:c r="I45" s="2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C46" s="19" t="str">
        <x:v>MS-ET|C</x:v>
      </x:c>
      <x:c r="D46" s="19" t="str">
        <x:v>MS-ET</x:v>
      </x:c>
      <x:c r="E46" s="19" t="str">
        <x:v>Residual</x:v>
      </x:c>
      <x:c r="F46" s="63" t="n">
        <x:v>0.1</x:v>
      </x:c>
      <x:c r="G46" s="66" t="n">
        <x:v>11.127924510010555</x:v>
      </x:c>
      <x:c r="H46" s="67" t="n">
        <x:f>F46*G46</x:f>
        <x:v>1.1127924510010556</x:v>
      </x:c>
      <x:c r="I46" s="2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C47" s="19" t="str">
        <x:v>MS-ET|D</x:v>
      </x:c>
      <x:c r="D47" s="19" t="str">
        <x:v>MS-ET</x:v>
      </x:c>
      <x:c r="E47" s="19" t="str">
        <x:v>Mass</x:v>
      </x:c>
      <x:c r="F47" s="63" t="n">
        <x:v>0.18</x:v>
      </x:c>
      <x:c r="G47" s="66" t="n">
        <x:v>11.127924510010555</x:v>
      </x:c>
      <x:c r="H47" s="67" t="n">
        <x:f>F47*G47</x:f>
        <x:v>2.0030264118019</x:v>
      </x:c>
      <x:c r="I47" s="2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C48" s="19" t="str">
        <x:v>MS-ET|D</x:v>
      </x:c>
      <x:c r="D48" s="19" t="str">
        <x:v>MS-ET</x:v>
      </x:c>
      <x:c r="E48" s="19" t="str">
        <x:v>Energy</x:v>
      </x:c>
      <x:c r="F48" s="63" t="n">
        <x:v>0.17</x:v>
      </x:c>
      <x:c r="G48" s="66" t="n">
        <x:v>11.127924510010555</x:v>
      </x:c>
      <x:c r="H48" s="67" t="n">
        <x:f>F48*G48</x:f>
        <x:v>1.8917471667017944</x:v>
      </x:c>
      <x:c r="I48" s="2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C49" s="19" t="str">
        <x:v>MS-ET|D</x:v>
      </x:c>
      <x:c r="D49" s="19" t="str">
        <x:v>MS-ET</x:v>
      </x:c>
      <x:c r="E49" s="19" t="str">
        <x:v>Route flow</x:v>
      </x:c>
      <x:c r="F49" s="63" t="n">
        <x:v>0.2</x:v>
      </x:c>
      <x:c r="G49" s="66" t="n">
        <x:v>11.127924510010555</x:v>
      </x:c>
      <x:c r="H49" s="67" t="n">
        <x:f>F49*G49</x:f>
        <x:v>2.2255849020021112</x:v>
      </x:c>
      <x:c r="I49" s="2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C50" s="19" t="str">
        <x:v>MS-ET|D</x:v>
      </x:c>
      <x:c r="D50" s="19" t="str">
        <x:v>MS-ET</x:v>
      </x:c>
      <x:c r="E50" s="19" t="str">
        <x:v>Labor</x:v>
      </x:c>
      <x:c r="F50" s="63" t="n">
        <x:v>0.1</x:v>
      </x:c>
      <x:c r="G50" s="66" t="n">
        <x:v>11.127924510010555</x:v>
      </x:c>
      <x:c r="H50" s="67" t="n">
        <x:f>F50*G50</x:f>
        <x:v>1.1127924510010556</x:v>
      </x:c>
      <x:c r="I50" s="2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C51" s="19" t="str">
        <x:v>MS-ET|D</x:v>
      </x:c>
      <x:c r="D51" s="19" t="str">
        <x:v>MS-ET</x:v>
      </x:c>
      <x:c r="E51" s="19" t="str">
        <x:v>Safety</x:v>
      </x:c>
      <x:c r="F51" s="63" t="n">
        <x:v>0.13</x:v>
      </x:c>
      <x:c r="G51" s="66" t="n">
        <x:v>11.127924510010555</x:v>
      </x:c>
      <x:c r="H51" s="67" t="n">
        <x:f>F51*G51</x:f>
        <x:v>1.4466301863013722</x:v>
      </x:c>
      <x:c r="I51" s="2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C52" s="19" t="str">
        <x:v>MS-ET|D</x:v>
      </x:c>
      <x:c r="D52" s="19" t="str">
        <x:v>MS-ET</x:v>
      </x:c>
      <x:c r="E52" s="19" t="str">
        <x:v>Receiver</x:v>
      </x:c>
      <x:c r="F52" s="63" t="n">
        <x:v>0.12</x:v>
      </x:c>
      <x:c r="G52" s="66" t="n">
        <x:v>11.127924510010555</x:v>
      </x:c>
      <x:c r="H52" s="67" t="n">
        <x:f>F52*G52</x:f>
        <x:v>1.3353509412012665</x:v>
      </x:c>
      <x:c r="I52" s="2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C53" s="19" t="str">
        <x:v>MS-ET|D</x:v>
      </x:c>
      <x:c r="D53" s="19" t="str">
        <x:v>MS-ET</x:v>
      </x:c>
      <x:c r="E53" s="19" t="str">
        <x:v>Residual</x:v>
      </x:c>
      <x:c r="F53" s="63" t="n">
        <x:v>0.1</x:v>
      </x:c>
      <x:c r="G53" s="66" t="n">
        <x:v>11.127924510010555</x:v>
      </x:c>
      <x:c r="H53" s="67" t="n">
        <x:f>F53*G53</x:f>
        <x:v>1.1127924510010556</x:v>
      </x:c>
      <x:c r="I53" s="2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C54" s="19" t="str">
        <x:v>MS-CT|A</x:v>
      </x:c>
      <x:c r="D54" s="19" t="str">
        <x:v>MS-CT</x:v>
      </x:c>
      <x:c r="E54" s="19" t="str">
        <x:v>Mass</x:v>
      </x:c>
      <x:c r="F54" s="63" t="n">
        <x:v>0.18</x:v>
      </x:c>
      <x:c r="G54" s="66" t="n">
        <x:v>11.484099827322673</x:v>
      </x:c>
      <x:c r="H54" s="67" t="n">
        <x:f>F54*G54</x:f>
        <x:v>2.067137968918081</x:v>
      </x:c>
      <x:c r="I54" s="2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C55" s="19" t="str">
        <x:v>MS-CT|A</x:v>
      </x:c>
      <x:c r="D55" s="19" t="str">
        <x:v>MS-CT</x:v>
      </x:c>
      <x:c r="E55" s="19" t="str">
        <x:v>Energy</x:v>
      </x:c>
      <x:c r="F55" s="63" t="n">
        <x:v>0.17</x:v>
      </x:c>
      <x:c r="G55" s="66" t="n">
        <x:v>11.484099827322673</x:v>
      </x:c>
      <x:c r="H55" s="67" t="n">
        <x:f>F55*G55</x:f>
        <x:v>1.9522969706448545</x:v>
      </x:c>
      <x:c r="I55" s="2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C56" s="19" t="str">
        <x:v>MS-CT|A</x:v>
      </x:c>
      <x:c r="D56" s="19" t="str">
        <x:v>MS-CT</x:v>
      </x:c>
      <x:c r="E56" s="19" t="str">
        <x:v>Route flow</x:v>
      </x:c>
      <x:c r="F56" s="63" t="n">
        <x:v>0.2</x:v>
      </x:c>
      <x:c r="G56" s="66" t="n">
        <x:v>11.484099827322673</x:v>
      </x:c>
      <x:c r="H56" s="67" t="n">
        <x:f>F56*G56</x:f>
        <x:v>2.2968199654645347</x:v>
      </x:c>
      <x:c r="I56" s="2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C57" s="19" t="str">
        <x:v>MS-CT|A</x:v>
      </x:c>
      <x:c r="D57" s="19" t="str">
        <x:v>MS-CT</x:v>
      </x:c>
      <x:c r="E57" s="19" t="str">
        <x:v>Labor</x:v>
      </x:c>
      <x:c r="F57" s="63" t="n">
        <x:v>0.1</x:v>
      </x:c>
      <x:c r="G57" s="66" t="n">
        <x:v>11.484099827322673</x:v>
      </x:c>
      <x:c r="H57" s="67" t="n">
        <x:f>F57*G57</x:f>
        <x:v>1.1484099827322674</x:v>
      </x:c>
      <x:c r="I57" s="2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C58" s="19" t="str">
        <x:v>MS-CT|A</x:v>
      </x:c>
      <x:c r="D58" s="19" t="str">
        <x:v>MS-CT</x:v>
      </x:c>
      <x:c r="E58" s="19" t="str">
        <x:v>Safety</x:v>
      </x:c>
      <x:c r="F58" s="63" t="n">
        <x:v>0.13</x:v>
      </x:c>
      <x:c r="G58" s="66" t="n">
        <x:v>11.484099827322673</x:v>
      </x:c>
      <x:c r="H58" s="67" t="n">
        <x:f>F58*G58</x:f>
        <x:v>1.4929329775519475</x:v>
      </x:c>
      <x:c r="I58" s="2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C59" s="19" t="str">
        <x:v>MS-CT|A</x:v>
      </x:c>
      <x:c r="D59" s="19" t="str">
        <x:v>MS-CT</x:v>
      </x:c>
      <x:c r="E59" s="19" t="str">
        <x:v>Receiver</x:v>
      </x:c>
      <x:c r="F59" s="63" t="n">
        <x:v>0.12</x:v>
      </x:c>
      <x:c r="G59" s="66" t="n">
        <x:v>11.484099827322673</x:v>
      </x:c>
      <x:c r="H59" s="67" t="n">
        <x:f>F59*G59</x:f>
        <x:v>1.3780919792787207</x:v>
      </x:c>
      <x:c r="I59" s="2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C60" s="19" t="str">
        <x:v>MS-CT|A</x:v>
      </x:c>
      <x:c r="D60" s="19" t="str">
        <x:v>MS-CT</x:v>
      </x:c>
      <x:c r="E60" s="19" t="str">
        <x:v>Residual</x:v>
      </x:c>
      <x:c r="F60" s="63" t="n">
        <x:v>0.1</x:v>
      </x:c>
      <x:c r="G60" s="66" t="n">
        <x:v>11.484099827322673</x:v>
      </x:c>
      <x:c r="H60" s="67" t="n">
        <x:f>F60*G60</x:f>
        <x:v>1.1484099827322674</x:v>
      </x:c>
      <x:c r="I60" s="2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C61" s="19" t="str">
        <x:v>MS-CT|B</x:v>
      </x:c>
      <x:c r="D61" s="19" t="str">
        <x:v>MS-CT</x:v>
      </x:c>
      <x:c r="E61" s="19" t="str">
        <x:v>Mass</x:v>
      </x:c>
      <x:c r="F61" s="63" t="n">
        <x:v>0.18</x:v>
      </x:c>
      <x:c r="G61" s="66" t="n">
        <x:v>11.484099827322673</x:v>
      </x:c>
      <x:c r="H61" s="67" t="n">
        <x:f>F61*G61</x:f>
        <x:v>2.067137968918081</x:v>
      </x:c>
      <x:c r="I61" s="2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C62" s="19" t="str">
        <x:v>MS-CT|B</x:v>
      </x:c>
      <x:c r="D62" s="19" t="str">
        <x:v>MS-CT</x:v>
      </x:c>
      <x:c r="E62" s="19" t="str">
        <x:v>Energy</x:v>
      </x:c>
      <x:c r="F62" s="63" t="n">
        <x:v>0.17</x:v>
      </x:c>
      <x:c r="G62" s="66" t="n">
        <x:v>11.484099827322673</x:v>
      </x:c>
      <x:c r="H62" s="67" t="n">
        <x:f>F62*G62</x:f>
        <x:v>1.9522969706448545</x:v>
      </x:c>
      <x:c r="I62" s="2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C63" s="19" t="str">
        <x:v>MS-CT|B</x:v>
      </x:c>
      <x:c r="D63" s="19" t="str">
        <x:v>MS-CT</x:v>
      </x:c>
      <x:c r="E63" s="19" t="str">
        <x:v>Route flow</x:v>
      </x:c>
      <x:c r="F63" s="63" t="n">
        <x:v>0.2</x:v>
      </x:c>
      <x:c r="G63" s="66" t="n">
        <x:v>11.484099827322673</x:v>
      </x:c>
      <x:c r="H63" s="67" t="n">
        <x:f>F63*G63</x:f>
        <x:v>2.2968199654645347</x:v>
      </x:c>
      <x:c r="I63" s="2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C64" s="19" t="str">
        <x:v>MS-CT|B</x:v>
      </x:c>
      <x:c r="D64" s="19" t="str">
        <x:v>MS-CT</x:v>
      </x:c>
      <x:c r="E64" s="19" t="str">
        <x:v>Labor</x:v>
      </x:c>
      <x:c r="F64" s="63" t="n">
        <x:v>0.1</x:v>
      </x:c>
      <x:c r="G64" s="66" t="n">
        <x:v>11.484099827322673</x:v>
      </x:c>
      <x:c r="H64" s="67" t="n">
        <x:f>F64*G64</x:f>
        <x:v>1.1484099827322674</x:v>
      </x:c>
      <x:c r="I64" s="2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C65" s="19" t="str">
        <x:v>MS-CT|B</x:v>
      </x:c>
      <x:c r="D65" s="19" t="str">
        <x:v>MS-CT</x:v>
      </x:c>
      <x:c r="E65" s="19" t="str">
        <x:v>Safety</x:v>
      </x:c>
      <x:c r="F65" s="63" t="n">
        <x:v>0.13</x:v>
      </x:c>
      <x:c r="G65" s="66" t="n">
        <x:v>11.484099827322673</x:v>
      </x:c>
      <x:c r="H65" s="67" t="n">
        <x:f>F65*G65</x:f>
        <x:v>1.4929329775519475</x:v>
      </x:c>
      <x:c r="I65" s="2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C66" s="19" t="str">
        <x:v>MS-CT|B</x:v>
      </x:c>
      <x:c r="D66" s="19" t="str">
        <x:v>MS-CT</x:v>
      </x:c>
      <x:c r="E66" s="19" t="str">
        <x:v>Receiver</x:v>
      </x:c>
      <x:c r="F66" s="63" t="n">
        <x:v>0.12</x:v>
      </x:c>
      <x:c r="G66" s="66" t="n">
        <x:v>11.484099827322673</x:v>
      </x:c>
      <x:c r="H66" s="67" t="n">
        <x:f>F66*G66</x:f>
        <x:v>1.3780919792787207</x:v>
      </x:c>
      <x:c r="I66" s="2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C67" s="19" t="str">
        <x:v>MS-CT|B</x:v>
      </x:c>
      <x:c r="D67" s="19" t="str">
        <x:v>MS-CT</x:v>
      </x:c>
      <x:c r="E67" s="19" t="str">
        <x:v>Residual</x:v>
      </x:c>
      <x:c r="F67" s="63" t="n">
        <x:v>0.1</x:v>
      </x:c>
      <x:c r="G67" s="66" t="n">
        <x:v>11.484099827322673</x:v>
      </x:c>
      <x:c r="H67" s="67" t="n">
        <x:f>F67*G67</x:f>
        <x:v>1.1484099827322674</x:v>
      </x:c>
      <x:c r="I67" s="2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C68" s="19" t="str">
        <x:v>MS-CT|C</x:v>
      </x:c>
      <x:c r="D68" s="19" t="str">
        <x:v>MS-CT</x:v>
      </x:c>
      <x:c r="E68" s="19" t="str">
        <x:v>Mass</x:v>
      </x:c>
      <x:c r="F68" s="63" t="n">
        <x:v>0.18</x:v>
      </x:c>
      <x:c r="G68" s="66" t="n">
        <x:v>11.484099827322673</x:v>
      </x:c>
      <x:c r="H68" s="67" t="n">
        <x:f>F68*G68</x:f>
        <x:v>2.067137968918081</x:v>
      </x:c>
      <x:c r="I68" s="2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C69" s="19" t="str">
        <x:v>MS-CT|C</x:v>
      </x:c>
      <x:c r="D69" s="19" t="str">
        <x:v>MS-CT</x:v>
      </x:c>
      <x:c r="E69" s="19" t="str">
        <x:v>Energy</x:v>
      </x:c>
      <x:c r="F69" s="63" t="n">
        <x:v>0.17</x:v>
      </x:c>
      <x:c r="G69" s="66" t="n">
        <x:v>11.484099827322673</x:v>
      </x:c>
      <x:c r="H69" s="67" t="n">
        <x:f>F69*G69</x:f>
        <x:v>1.9522969706448545</x:v>
      </x:c>
      <x:c r="I69" s="2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C70" s="19" t="str">
        <x:v>MS-CT|C</x:v>
      </x:c>
      <x:c r="D70" s="19" t="str">
        <x:v>MS-CT</x:v>
      </x:c>
      <x:c r="E70" s="19" t="str">
        <x:v>Route flow</x:v>
      </x:c>
      <x:c r="F70" s="63" t="n">
        <x:v>0.2</x:v>
      </x:c>
      <x:c r="G70" s="66" t="n">
        <x:v>11.484099827322673</x:v>
      </x:c>
      <x:c r="H70" s="67" t="n">
        <x:f>F70*G70</x:f>
        <x:v>2.2968199654645347</x:v>
      </x:c>
      <x:c r="I70" s="2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C71" s="19" t="str">
        <x:v>MS-CT|C</x:v>
      </x:c>
      <x:c r="D71" s="19" t="str">
        <x:v>MS-CT</x:v>
      </x:c>
      <x:c r="E71" s="19" t="str">
        <x:v>Labor</x:v>
      </x:c>
      <x:c r="F71" s="63" t="n">
        <x:v>0.1</x:v>
      </x:c>
      <x:c r="G71" s="66" t="n">
        <x:v>11.484099827322673</x:v>
      </x:c>
      <x:c r="H71" s="67" t="n">
        <x:f>F71*G71</x:f>
        <x:v>1.1484099827322674</x:v>
      </x:c>
      <x:c r="I71" s="2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C72" s="19" t="str">
        <x:v>MS-CT|C</x:v>
      </x:c>
      <x:c r="D72" s="19" t="str">
        <x:v>MS-CT</x:v>
      </x:c>
      <x:c r="E72" s="19" t="str">
        <x:v>Safety</x:v>
      </x:c>
      <x:c r="F72" s="63" t="n">
        <x:v>0.13</x:v>
      </x:c>
      <x:c r="G72" s="66" t="n">
        <x:v>11.484099827322673</x:v>
      </x:c>
      <x:c r="H72" s="67" t="n">
        <x:f>F72*G72</x:f>
        <x:v>1.4929329775519475</x:v>
      </x:c>
      <x:c r="I72" s="2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C73" s="19" t="str">
        <x:v>MS-CT|C</x:v>
      </x:c>
      <x:c r="D73" s="19" t="str">
        <x:v>MS-CT</x:v>
      </x:c>
      <x:c r="E73" s="19" t="str">
        <x:v>Receiver</x:v>
      </x:c>
      <x:c r="F73" s="63" t="n">
        <x:v>0.12</x:v>
      </x:c>
      <x:c r="G73" s="66" t="n">
        <x:v>11.484099827322673</x:v>
      </x:c>
      <x:c r="H73" s="67" t="n">
        <x:f>F73*G73</x:f>
        <x:v>1.3780919792787207</x:v>
      </x:c>
      <x:c r="I73" s="2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C74" s="19" t="str">
        <x:v>MS-CT|C</x:v>
      </x:c>
      <x:c r="D74" s="19" t="str">
        <x:v>MS-CT</x:v>
      </x:c>
      <x:c r="E74" s="19" t="str">
        <x:v>Residual</x:v>
      </x:c>
      <x:c r="F74" s="63" t="n">
        <x:v>0.1</x:v>
      </x:c>
      <x:c r="G74" s="66" t="n">
        <x:v>11.484099827322673</x:v>
      </x:c>
      <x:c r="H74" s="67" t="n">
        <x:f>F74*G74</x:f>
        <x:v>1.1484099827322674</x:v>
      </x:c>
      <x:c r="I74" s="2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C75" s="19" t="str">
        <x:v>MS-CT|D</x:v>
      </x:c>
      <x:c r="D75" s="19" t="str">
        <x:v>MS-CT</x:v>
      </x:c>
      <x:c r="E75" s="19" t="str">
        <x:v>Mass</x:v>
      </x:c>
      <x:c r="F75" s="63" t="n">
        <x:v>0.18</x:v>
      </x:c>
      <x:c r="G75" s="66" t="n">
        <x:v>11.484099827322673</x:v>
      </x:c>
      <x:c r="H75" s="67" t="n">
        <x:f>F75*G75</x:f>
        <x:v>2.067137968918081</x:v>
      </x:c>
      <x:c r="I75" s="2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C76" s="19" t="str">
        <x:v>MS-CT|D</x:v>
      </x:c>
      <x:c r="D76" s="19" t="str">
        <x:v>MS-CT</x:v>
      </x:c>
      <x:c r="E76" s="19" t="str">
        <x:v>Energy</x:v>
      </x:c>
      <x:c r="F76" s="63" t="n">
        <x:v>0.17</x:v>
      </x:c>
      <x:c r="G76" s="66" t="n">
        <x:v>11.484099827322673</x:v>
      </x:c>
      <x:c r="H76" s="67" t="n">
        <x:f>F76*G76</x:f>
        <x:v>1.9522969706448545</x:v>
      </x:c>
      <x:c r="I76" s="2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C77" s="19" t="str">
        <x:v>MS-CT|D</x:v>
      </x:c>
      <x:c r="D77" s="19" t="str">
        <x:v>MS-CT</x:v>
      </x:c>
      <x:c r="E77" s="19" t="str">
        <x:v>Route flow</x:v>
      </x:c>
      <x:c r="F77" s="63" t="n">
        <x:v>0.2</x:v>
      </x:c>
      <x:c r="G77" s="66" t="n">
        <x:v>11.484099827322673</x:v>
      </x:c>
      <x:c r="H77" s="67" t="n">
        <x:f>F77*G77</x:f>
        <x:v>2.2968199654645347</x:v>
      </x:c>
      <x:c r="I77" s="2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C78" s="19" t="str">
        <x:v>MS-CT|D</x:v>
      </x:c>
      <x:c r="D78" s="19" t="str">
        <x:v>MS-CT</x:v>
      </x:c>
      <x:c r="E78" s="19" t="str">
        <x:v>Labor</x:v>
      </x:c>
      <x:c r="F78" s="63" t="n">
        <x:v>0.1</x:v>
      </x:c>
      <x:c r="G78" s="66" t="n">
        <x:v>11.484099827322673</x:v>
      </x:c>
      <x:c r="H78" s="67" t="n">
        <x:f>F78*G78</x:f>
        <x:v>1.1484099827322674</x:v>
      </x:c>
      <x:c r="I78" s="2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C79" s="19" t="str">
        <x:v>MS-CT|D</x:v>
      </x:c>
      <x:c r="D79" s="19" t="str">
        <x:v>MS-CT</x:v>
      </x:c>
      <x:c r="E79" s="19" t="str">
        <x:v>Safety</x:v>
      </x:c>
      <x:c r="F79" s="63" t="n">
        <x:v>0.13</x:v>
      </x:c>
      <x:c r="G79" s="66" t="n">
        <x:v>11.484099827322673</x:v>
      </x:c>
      <x:c r="H79" s="67" t="n">
        <x:f>F79*G79</x:f>
        <x:v>1.4929329775519475</x:v>
      </x:c>
      <x:c r="I79" s="2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C80" s="19" t="str">
        <x:v>MS-CT|D</x:v>
      </x:c>
      <x:c r="D80" s="19" t="str">
        <x:v>MS-CT</x:v>
      </x:c>
      <x:c r="E80" s="19" t="str">
        <x:v>Receiver</x:v>
      </x:c>
      <x:c r="F80" s="63" t="n">
        <x:v>0.12</x:v>
      </x:c>
      <x:c r="G80" s="66" t="n">
        <x:v>11.484099827322673</x:v>
      </x:c>
      <x:c r="H80" s="67" t="n">
        <x:f>F80*G80</x:f>
        <x:v>1.3780919792787207</x:v>
      </x:c>
      <x:c r="I80" s="2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C81" s="19" t="str">
        <x:v>MS-CT|D</x:v>
      </x:c>
      <x:c r="D81" s="19" t="str">
        <x:v>MS-CT</x:v>
      </x:c>
      <x:c r="E81" s="19" t="str">
        <x:v>Residual</x:v>
      </x:c>
      <x:c r="F81" s="63" t="n">
        <x:v>0.1</x:v>
      </x:c>
      <x:c r="G81" s="66" t="n">
        <x:v>11.484099827322673</x:v>
      </x:c>
      <x:c r="H81" s="67" t="n">
        <x:f>F81*G81</x:f>
        <x:v>1.1484099827322674</x:v>
      </x:c>
      <x:c r="I81" s="2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C82" s="19" t="str">
        <x:v>MS-HC|A</x:v>
      </x:c>
      <x:c r="D82" s="19" t="str">
        <x:v>MS-HC</x:v>
      </x:c>
      <x:c r="E82" s="19" t="str">
        <x:v>Mass</x:v>
      </x:c>
      <x:c r="F82" s="63" t="n">
        <x:v>0.18</x:v>
      </x:c>
      <x:c r="G82" s="66" t="n">
        <x:v>6.830994521565379</x:v>
      </x:c>
      <x:c r="H82" s="67" t="n">
        <x:f>F82*G82</x:f>
        <x:v>1.2295790138817682</x:v>
      </x:c>
      <x:c r="I82" s="2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C83" s="19" t="str">
        <x:v>MS-HC|A</x:v>
      </x:c>
      <x:c r="D83" s="19" t="str">
        <x:v>MS-HC</x:v>
      </x:c>
      <x:c r="E83" s="19" t="str">
        <x:v>Energy</x:v>
      </x:c>
      <x:c r="F83" s="63" t="n">
        <x:v>0.17</x:v>
      </x:c>
      <x:c r="G83" s="66" t="n">
        <x:v>6.830994521565379</x:v>
      </x:c>
      <x:c r="H83" s="67" t="n">
        <x:f>F83*G83</x:f>
        <x:v>1.1612690686661145</x:v>
      </x:c>
      <x:c r="I83" s="2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C84" s="19" t="str">
        <x:v>MS-HC|A</x:v>
      </x:c>
      <x:c r="D84" s="19" t="str">
        <x:v>MS-HC</x:v>
      </x:c>
      <x:c r="E84" s="19" t="str">
        <x:v>Route flow</x:v>
      </x:c>
      <x:c r="F84" s="63" t="n">
        <x:v>0.2</x:v>
      </x:c>
      <x:c r="G84" s="66" t="n">
        <x:v>6.830994521565379</x:v>
      </x:c>
      <x:c r="H84" s="67" t="n">
        <x:f>F84*G84</x:f>
        <x:v>1.3661989043130758</x:v>
      </x:c>
      <x:c r="I84" s="2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C85" s="19" t="str">
        <x:v>MS-HC|A</x:v>
      </x:c>
      <x:c r="D85" s="19" t="str">
        <x:v>MS-HC</x:v>
      </x:c>
      <x:c r="E85" s="19" t="str">
        <x:v>Labor</x:v>
      </x:c>
      <x:c r="F85" s="63" t="n">
        <x:v>0.1</x:v>
      </x:c>
      <x:c r="G85" s="66" t="n">
        <x:v>6.830994521565379</x:v>
      </x:c>
      <x:c r="H85" s="67" t="n">
        <x:f>F85*G85</x:f>
        <x:v>0.6830994521565379</x:v>
      </x:c>
      <x:c r="I85" s="2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C86" s="19" t="str">
        <x:v>MS-HC|A</x:v>
      </x:c>
      <x:c r="D86" s="19" t="str">
        <x:v>MS-HC</x:v>
      </x:c>
      <x:c r="E86" s="19" t="str">
        <x:v>Safety</x:v>
      </x:c>
      <x:c r="F86" s="63" t="n">
        <x:v>0.13</x:v>
      </x:c>
      <x:c r="G86" s="66" t="n">
        <x:v>6.830994521565379</x:v>
      </x:c>
      <x:c r="H86" s="67" t="n">
        <x:f>F86*G86</x:f>
        <x:v>0.8880292878034993</x:v>
      </x:c>
      <x:c r="I86" s="2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C87" s="19" t="str">
        <x:v>MS-HC|A</x:v>
      </x:c>
      <x:c r="D87" s="19" t="str">
        <x:v>MS-HC</x:v>
      </x:c>
      <x:c r="E87" s="19" t="str">
        <x:v>Receiver</x:v>
      </x:c>
      <x:c r="F87" s="63" t="n">
        <x:v>0.12</x:v>
      </x:c>
      <x:c r="G87" s="66" t="n">
        <x:v>6.830994521565379</x:v>
      </x:c>
      <x:c r="H87" s="67" t="n">
        <x:f>F87*G87</x:f>
        <x:v>0.8197193425878454</x:v>
      </x:c>
      <x:c r="I87" s="2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C88" s="19" t="str">
        <x:v>MS-HC|A</x:v>
      </x:c>
      <x:c r="D88" s="19" t="str">
        <x:v>MS-HC</x:v>
      </x:c>
      <x:c r="E88" s="19" t="str">
        <x:v>Residual</x:v>
      </x:c>
      <x:c r="F88" s="63" t="n">
        <x:v>0.1</x:v>
      </x:c>
      <x:c r="G88" s="66" t="n">
        <x:v>6.830994521565379</x:v>
      </x:c>
      <x:c r="H88" s="67" t="n">
        <x:f>F88*G88</x:f>
        <x:v>0.6830994521565379</x:v>
      </x:c>
      <x:c r="I88" s="2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C89" s="19" t="str">
        <x:v>MS-HC|B</x:v>
      </x:c>
      <x:c r="D89" s="19" t="str">
        <x:v>MS-HC</x:v>
      </x:c>
      <x:c r="E89" s="19" t="str">
        <x:v>Mass</x:v>
      </x:c>
      <x:c r="F89" s="63" t="n">
        <x:v>0.18</x:v>
      </x:c>
      <x:c r="G89" s="66" t="n">
        <x:v>6.830994521565379</x:v>
      </x:c>
      <x:c r="H89" s="67" t="n">
        <x:f>F89*G89</x:f>
        <x:v>1.2295790138817682</x:v>
      </x:c>
      <x:c r="I89" s="2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C90" s="19" t="str">
        <x:v>MS-HC|B</x:v>
      </x:c>
      <x:c r="D90" s="19" t="str">
        <x:v>MS-HC</x:v>
      </x:c>
      <x:c r="E90" s="19" t="str">
        <x:v>Energy</x:v>
      </x:c>
      <x:c r="F90" s="63" t="n">
        <x:v>0.17</x:v>
      </x:c>
      <x:c r="G90" s="66" t="n">
        <x:v>6.830994521565379</x:v>
      </x:c>
      <x:c r="H90" s="67" t="n">
        <x:f>F90*G90</x:f>
        <x:v>1.1612690686661145</x:v>
      </x:c>
      <x:c r="I90" s="2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C91" s="19" t="str">
        <x:v>MS-HC|B</x:v>
      </x:c>
      <x:c r="D91" s="19" t="str">
        <x:v>MS-HC</x:v>
      </x:c>
      <x:c r="E91" s="19" t="str">
        <x:v>Route flow</x:v>
      </x:c>
      <x:c r="F91" s="63" t="n">
        <x:v>0.2</x:v>
      </x:c>
      <x:c r="G91" s="66" t="n">
        <x:v>6.830994521565379</x:v>
      </x:c>
      <x:c r="H91" s="67" t="n">
        <x:f>F91*G91</x:f>
        <x:v>1.3661989043130758</x:v>
      </x:c>
      <x:c r="I91" s="2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C92" s="19" t="str">
        <x:v>MS-HC|B</x:v>
      </x:c>
      <x:c r="D92" s="19" t="str">
        <x:v>MS-HC</x:v>
      </x:c>
      <x:c r="E92" s="19" t="str">
        <x:v>Labor</x:v>
      </x:c>
      <x:c r="F92" s="63" t="n">
        <x:v>0.1</x:v>
      </x:c>
      <x:c r="G92" s="66" t="n">
        <x:v>6.830994521565379</x:v>
      </x:c>
      <x:c r="H92" s="67" t="n">
        <x:f>F92*G92</x:f>
        <x:v>0.6830994521565379</x:v>
      </x:c>
      <x:c r="I92" s="2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C93" s="19" t="str">
        <x:v>MS-HC|B</x:v>
      </x:c>
      <x:c r="D93" s="19" t="str">
        <x:v>MS-HC</x:v>
      </x:c>
      <x:c r="E93" s="19" t="str">
        <x:v>Safety</x:v>
      </x:c>
      <x:c r="F93" s="63" t="n">
        <x:v>0.13</x:v>
      </x:c>
      <x:c r="G93" s="66" t="n">
        <x:v>6.830994521565379</x:v>
      </x:c>
      <x:c r="H93" s="67" t="n">
        <x:f>F93*G93</x:f>
        <x:v>0.8880292878034993</x:v>
      </x:c>
      <x:c r="I93" s="2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C94" s="19" t="str">
        <x:v>MS-HC|B</x:v>
      </x:c>
      <x:c r="D94" s="19" t="str">
        <x:v>MS-HC</x:v>
      </x:c>
      <x:c r="E94" s="19" t="str">
        <x:v>Receiver</x:v>
      </x:c>
      <x:c r="F94" s="63" t="n">
        <x:v>0.12</x:v>
      </x:c>
      <x:c r="G94" s="66" t="n">
        <x:v>6.830994521565379</x:v>
      </x:c>
      <x:c r="H94" s="67" t="n">
        <x:f>F94*G94</x:f>
        <x:v>0.8197193425878454</x:v>
      </x:c>
      <x:c r="I94" s="2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C95" s="19" t="str">
        <x:v>MS-HC|B</x:v>
      </x:c>
      <x:c r="D95" s="19" t="str">
        <x:v>MS-HC</x:v>
      </x:c>
      <x:c r="E95" s="19" t="str">
        <x:v>Residual</x:v>
      </x:c>
      <x:c r="F95" s="63" t="n">
        <x:v>0.1</x:v>
      </x:c>
      <x:c r="G95" s="66" t="n">
        <x:v>6.830994521565379</x:v>
      </x:c>
      <x:c r="H95" s="67" t="n">
        <x:f>F95*G95</x:f>
        <x:v>0.6830994521565379</x:v>
      </x:c>
      <x:c r="I95" s="2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C96" s="19" t="str">
        <x:v>MS-HC|C</x:v>
      </x:c>
      <x:c r="D96" s="19" t="str">
        <x:v>MS-HC</x:v>
      </x:c>
      <x:c r="E96" s="19" t="str">
        <x:v>Mass</x:v>
      </x:c>
      <x:c r="F96" s="63" t="n">
        <x:v>0.18</x:v>
      </x:c>
      <x:c r="G96" s="66" t="n">
        <x:v>6.830994521565379</x:v>
      </x:c>
      <x:c r="H96" s="67" t="n">
        <x:f>F96*G96</x:f>
        <x:v>1.2295790138817682</x:v>
      </x:c>
      <x:c r="I96" s="2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C97" s="19" t="str">
        <x:v>MS-HC|C</x:v>
      </x:c>
      <x:c r="D97" s="19" t="str">
        <x:v>MS-HC</x:v>
      </x:c>
      <x:c r="E97" s="19" t="str">
        <x:v>Energy</x:v>
      </x:c>
      <x:c r="F97" s="63" t="n">
        <x:v>0.17</x:v>
      </x:c>
      <x:c r="G97" s="66" t="n">
        <x:v>6.830994521565379</x:v>
      </x:c>
      <x:c r="H97" s="67" t="n">
        <x:f>F97*G97</x:f>
        <x:v>1.1612690686661145</x:v>
      </x:c>
      <x:c r="I97" s="2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C98" s="19" t="str">
        <x:v>MS-HC|C</x:v>
      </x:c>
      <x:c r="D98" s="19" t="str">
        <x:v>MS-HC</x:v>
      </x:c>
      <x:c r="E98" s="19" t="str">
        <x:v>Route flow</x:v>
      </x:c>
      <x:c r="F98" s="63" t="n">
        <x:v>0.2</x:v>
      </x:c>
      <x:c r="G98" s="66" t="n">
        <x:v>6.830994521565379</x:v>
      </x:c>
      <x:c r="H98" s="67" t="n">
        <x:f>F98*G98</x:f>
        <x:v>1.3661989043130758</x:v>
      </x:c>
      <x:c r="I98" s="2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C99" s="19" t="str">
        <x:v>MS-HC|C</x:v>
      </x:c>
      <x:c r="D99" s="19" t="str">
        <x:v>MS-HC</x:v>
      </x:c>
      <x:c r="E99" s="19" t="str">
        <x:v>Labor</x:v>
      </x:c>
      <x:c r="F99" s="63" t="n">
        <x:v>0.1</x:v>
      </x:c>
      <x:c r="G99" s="66" t="n">
        <x:v>6.830994521565379</x:v>
      </x:c>
      <x:c r="H99" s="67" t="n">
        <x:f>F99*G99</x:f>
        <x:v>0.6830994521565379</x:v>
      </x:c>
      <x:c r="I99" s="2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C100" s="19" t="str">
        <x:v>MS-HC|C</x:v>
      </x:c>
      <x:c r="D100" s="19" t="str">
        <x:v>MS-HC</x:v>
      </x:c>
      <x:c r="E100" s="19" t="str">
        <x:v>Safety</x:v>
      </x:c>
      <x:c r="F100" s="63" t="n">
        <x:v>0.13</x:v>
      </x:c>
      <x:c r="G100" s="66" t="n">
        <x:v>6.830994521565379</x:v>
      </x:c>
      <x:c r="H100" s="67" t="n">
        <x:f>F100*G100</x:f>
        <x:v>0.8880292878034993</x:v>
      </x:c>
      <x:c r="I100" s="2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C101" s="19" t="str">
        <x:v>MS-HC|C</x:v>
      </x:c>
      <x:c r="D101" s="19" t="str">
        <x:v>MS-HC</x:v>
      </x:c>
      <x:c r="E101" s="19" t="str">
        <x:v>Receiver</x:v>
      </x:c>
      <x:c r="F101" s="63" t="n">
        <x:v>0.12</x:v>
      </x:c>
      <x:c r="G101" s="66" t="n">
        <x:v>6.830994521565379</x:v>
      </x:c>
      <x:c r="H101" s="67" t="n">
        <x:f>F101*G101</x:f>
        <x:v>0.8197193425878454</x:v>
      </x:c>
      <x:c r="I101" s="2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C102" s="19" t="str">
        <x:v>MS-HC|C</x:v>
      </x:c>
      <x:c r="D102" s="19" t="str">
        <x:v>MS-HC</x:v>
      </x:c>
      <x:c r="E102" s="19" t="str">
        <x:v>Residual</x:v>
      </x:c>
      <x:c r="F102" s="63" t="n">
        <x:v>0.1</x:v>
      </x:c>
      <x:c r="G102" s="66" t="n">
        <x:v>6.830994521565379</x:v>
      </x:c>
      <x:c r="H102" s="67" t="n">
        <x:f>F102*G102</x:f>
        <x:v>0.6830994521565379</x:v>
      </x:c>
      <x:c r="I102" s="2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C103" s="19" t="str">
        <x:v>MS-HC|D</x:v>
      </x:c>
      <x:c r="D103" s="19" t="str">
        <x:v>MS-HC</x:v>
      </x:c>
      <x:c r="E103" s="19" t="str">
        <x:v>Mass</x:v>
      </x:c>
      <x:c r="F103" s="63" t="n">
        <x:v>0.18</x:v>
      </x:c>
      <x:c r="G103" s="66" t="n">
        <x:v>6.830994521565379</x:v>
      </x:c>
      <x:c r="H103" s="67" t="n">
        <x:f>F103*G103</x:f>
        <x:v>1.2295790138817682</x:v>
      </x:c>
      <x:c r="I103" s="2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C104" s="19" t="str">
        <x:v>MS-HC|D</x:v>
      </x:c>
      <x:c r="D104" s="19" t="str">
        <x:v>MS-HC</x:v>
      </x:c>
      <x:c r="E104" s="19" t="str">
        <x:v>Energy</x:v>
      </x:c>
      <x:c r="F104" s="63" t="n">
        <x:v>0.17</x:v>
      </x:c>
      <x:c r="G104" s="66" t="n">
        <x:v>6.830994521565379</x:v>
      </x:c>
      <x:c r="H104" s="67" t="n">
        <x:f>F104*G104</x:f>
        <x:v>1.1612690686661145</x:v>
      </x:c>
      <x:c r="I104" s="2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C105" s="19" t="str">
        <x:v>MS-HC|D</x:v>
      </x:c>
      <x:c r="D105" s="19" t="str">
        <x:v>MS-HC</x:v>
      </x:c>
      <x:c r="E105" s="19" t="str">
        <x:v>Route flow</x:v>
      </x:c>
      <x:c r="F105" s="63" t="n">
        <x:v>0.2</x:v>
      </x:c>
      <x:c r="G105" s="66" t="n">
        <x:v>6.830994521565379</x:v>
      </x:c>
      <x:c r="H105" s="67" t="n">
        <x:f>F105*G105</x:f>
        <x:v>1.3661989043130758</x:v>
      </x:c>
      <x:c r="I105" s="2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C106" s="19" t="str">
        <x:v>MS-HC|D</x:v>
      </x:c>
      <x:c r="D106" s="19" t="str">
        <x:v>MS-HC</x:v>
      </x:c>
      <x:c r="E106" s="19" t="str">
        <x:v>Labor</x:v>
      </x:c>
      <x:c r="F106" s="63" t="n">
        <x:v>0.1</x:v>
      </x:c>
      <x:c r="G106" s="66" t="n">
        <x:v>6.830994521565379</x:v>
      </x:c>
      <x:c r="H106" s="67" t="n">
        <x:f>F106*G106</x:f>
        <x:v>0.6830994521565379</x:v>
      </x:c>
      <x:c r="I106" s="2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C107" s="19" t="str">
        <x:v>MS-HC|D</x:v>
      </x:c>
      <x:c r="D107" s="19" t="str">
        <x:v>MS-HC</x:v>
      </x:c>
      <x:c r="E107" s="19" t="str">
        <x:v>Safety</x:v>
      </x:c>
      <x:c r="F107" s="63" t="n">
        <x:v>0.13</x:v>
      </x:c>
      <x:c r="G107" s="66" t="n">
        <x:v>6.830994521565379</x:v>
      </x:c>
      <x:c r="H107" s="67" t="n">
        <x:f>F107*G107</x:f>
        <x:v>0.8880292878034993</x:v>
      </x:c>
      <x:c r="I107" s="2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C108" s="19" t="str">
        <x:v>MS-HC|D</x:v>
      </x:c>
      <x:c r="D108" s="19" t="str">
        <x:v>MS-HC</x:v>
      </x:c>
      <x:c r="E108" s="19" t="str">
        <x:v>Receiver</x:v>
      </x:c>
      <x:c r="F108" s="63" t="n">
        <x:v>0.12</x:v>
      </x:c>
      <x:c r="G108" s="66" t="n">
        <x:v>6.830994521565379</x:v>
      </x:c>
      <x:c r="H108" s="67" t="n">
        <x:f>F108*G108</x:f>
        <x:v>0.8197193425878454</x:v>
      </x:c>
      <x:c r="I108" s="2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C109" s="19" t="str">
        <x:v>MS-HC|D</x:v>
      </x:c>
      <x:c r="D109" s="19" t="str">
        <x:v>MS-HC</x:v>
      </x:c>
      <x:c r="E109" s="19" t="str">
        <x:v>Residual</x:v>
      </x:c>
      <x:c r="F109" s="63" t="n">
        <x:v>0.1</x:v>
      </x:c>
      <x:c r="G109" s="66" t="n">
        <x:v>6.830994521565379</x:v>
      </x:c>
      <x:c r="H109" s="67" t="n">
        <x:f>F109*G109</x:f>
        <x:v>0.6830994521565379</x:v>
      </x:c>
      <x:c r="I109" s="2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C110" s="19" t="str">
        <x:v>MS-HU|A</x:v>
      </x:c>
      <x:c r="D110" s="19" t="str">
        <x:v>MS-HU</x:v>
      </x:c>
      <x:c r="E110" s="19" t="str">
        <x:v>Mass</x:v>
      </x:c>
      <x:c r="F110" s="63" t="n">
        <x:v>0.18</x:v>
      </x:c>
      <x:c r="G110" s="66" t="n">
        <x:v>19.137720186217514</x:v>
      </x:c>
      <x:c r="H110" s="67" t="n">
        <x:f>F110*G110</x:f>
        <x:v>3.4447896335191523</x:v>
      </x:c>
      <x:c r="I110" s="2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C111" s="19" t="str">
        <x:v>MS-HU|A</x:v>
      </x:c>
      <x:c r="D111" s="19" t="str">
        <x:v>MS-HU</x:v>
      </x:c>
      <x:c r="E111" s="19" t="str">
        <x:v>Energy</x:v>
      </x:c>
      <x:c r="F111" s="63" t="n">
        <x:v>0.17</x:v>
      </x:c>
      <x:c r="G111" s="66" t="n">
        <x:v>19.137720186217514</x:v>
      </x:c>
      <x:c r="H111" s="67" t="n">
        <x:f>F111*G111</x:f>
        <x:v>3.2534124316569777</x:v>
      </x:c>
      <x:c r="I111" s="2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C112" s="19" t="str">
        <x:v>MS-HU|A</x:v>
      </x:c>
      <x:c r="D112" s="19" t="str">
        <x:v>MS-HU</x:v>
      </x:c>
      <x:c r="E112" s="19" t="str">
        <x:v>Route flow</x:v>
      </x:c>
      <x:c r="F112" s="63" t="n">
        <x:v>0.2</x:v>
      </x:c>
      <x:c r="G112" s="66" t="n">
        <x:v>19.137720186217514</x:v>
      </x:c>
      <x:c r="H112" s="67" t="n">
        <x:f>F112*G112</x:f>
        <x:v>3.827544037243503</x:v>
      </x:c>
      <x:c r="I112" s="2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C113" s="19" t="str">
        <x:v>MS-HU|A</x:v>
      </x:c>
      <x:c r="D113" s="19" t="str">
        <x:v>MS-HU</x:v>
      </x:c>
      <x:c r="E113" s="19" t="str">
        <x:v>Labor</x:v>
      </x:c>
      <x:c r="F113" s="63" t="n">
        <x:v>0.1</x:v>
      </x:c>
      <x:c r="G113" s="66" t="n">
        <x:v>19.137720186217514</x:v>
      </x:c>
      <x:c r="H113" s="67" t="n">
        <x:f>F113*G113</x:f>
        <x:v>1.9137720186217515</x:v>
      </x:c>
      <x:c r="I113" s="2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C114" s="19" t="str">
        <x:v>MS-HU|A</x:v>
      </x:c>
      <x:c r="D114" s="19" t="str">
        <x:v>MS-HU</x:v>
      </x:c>
      <x:c r="E114" s="19" t="str">
        <x:v>Safety</x:v>
      </x:c>
      <x:c r="F114" s="63" t="n">
        <x:v>0.13</x:v>
      </x:c>
      <x:c r="G114" s="66" t="n">
        <x:v>19.137720186217514</x:v>
      </x:c>
      <x:c r="H114" s="67" t="n">
        <x:f>F114*G114</x:f>
        <x:v>2.487903624208277</x:v>
      </x:c>
      <x:c r="I114" s="2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C115" s="19" t="str">
        <x:v>MS-HU|A</x:v>
      </x:c>
      <x:c r="D115" s="19" t="str">
        <x:v>MS-HU</x:v>
      </x:c>
      <x:c r="E115" s="19" t="str">
        <x:v>Receiver</x:v>
      </x:c>
      <x:c r="F115" s="63" t="n">
        <x:v>0.12</x:v>
      </x:c>
      <x:c r="G115" s="66" t="n">
        <x:v>19.137720186217514</x:v>
      </x:c>
      <x:c r="H115" s="67" t="n">
        <x:f>F115*G115</x:f>
        <x:v>2.2965264223461017</x:v>
      </x:c>
      <x:c r="I115" s="2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C116" s="19" t="str">
        <x:v>MS-HU|A</x:v>
      </x:c>
      <x:c r="D116" s="19" t="str">
        <x:v>MS-HU</x:v>
      </x:c>
      <x:c r="E116" s="19" t="str">
        <x:v>Residual</x:v>
      </x:c>
      <x:c r="F116" s="63" t="n">
        <x:v>0.1</x:v>
      </x:c>
      <x:c r="G116" s="66" t="n">
        <x:v>19.137720186217514</x:v>
      </x:c>
      <x:c r="H116" s="67" t="n">
        <x:f>F116*G116</x:f>
        <x:v>1.9137720186217515</x:v>
      </x:c>
      <x:c r="I116" s="2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C117" s="19" t="str">
        <x:v>MS-HU|B</x:v>
      </x:c>
      <x:c r="D117" s="19" t="str">
        <x:v>MS-HU</x:v>
      </x:c>
      <x:c r="E117" s="19" t="str">
        <x:v>Mass</x:v>
      </x:c>
      <x:c r="F117" s="63" t="n">
        <x:v>0.18</x:v>
      </x:c>
      <x:c r="G117" s="66" t="n">
        <x:v>19.137720186217514</x:v>
      </x:c>
      <x:c r="H117" s="67" t="n">
        <x:f>F117*G117</x:f>
        <x:v>3.4447896335191523</x:v>
      </x:c>
      <x:c r="I117" s="2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C118" s="19" t="str">
        <x:v>MS-HU|B</x:v>
      </x:c>
      <x:c r="D118" s="19" t="str">
        <x:v>MS-HU</x:v>
      </x:c>
      <x:c r="E118" s="19" t="str">
        <x:v>Energy</x:v>
      </x:c>
      <x:c r="F118" s="63" t="n">
        <x:v>0.17</x:v>
      </x:c>
      <x:c r="G118" s="66" t="n">
        <x:v>19.137720186217514</x:v>
      </x:c>
      <x:c r="H118" s="67" t="n">
        <x:f>F118*G118</x:f>
        <x:v>3.2534124316569777</x:v>
      </x:c>
      <x:c r="I118" s="2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C119" s="19" t="str">
        <x:v>MS-HU|B</x:v>
      </x:c>
      <x:c r="D119" s="19" t="str">
        <x:v>MS-HU</x:v>
      </x:c>
      <x:c r="E119" s="19" t="str">
        <x:v>Route flow</x:v>
      </x:c>
      <x:c r="F119" s="63" t="n">
        <x:v>0.2</x:v>
      </x:c>
      <x:c r="G119" s="66" t="n">
        <x:v>19.137720186217514</x:v>
      </x:c>
      <x:c r="H119" s="67" t="n">
        <x:f>F119*G119</x:f>
        <x:v>3.827544037243503</x:v>
      </x:c>
      <x:c r="I119" s="2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C120" s="19" t="str">
        <x:v>MS-HU|B</x:v>
      </x:c>
      <x:c r="D120" s="19" t="str">
        <x:v>MS-HU</x:v>
      </x:c>
      <x:c r="E120" s="19" t="str">
        <x:v>Labor</x:v>
      </x:c>
      <x:c r="F120" s="63" t="n">
        <x:v>0.1</x:v>
      </x:c>
      <x:c r="G120" s="66" t="n">
        <x:v>19.137720186217514</x:v>
      </x:c>
      <x:c r="H120" s="67" t="n">
        <x:f>F120*G120</x:f>
        <x:v>1.9137720186217515</x:v>
      </x:c>
      <x:c r="I120" s="2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C121" s="19" t="str">
        <x:v>MS-HU|B</x:v>
      </x:c>
      <x:c r="D121" s="19" t="str">
        <x:v>MS-HU</x:v>
      </x:c>
      <x:c r="E121" s="19" t="str">
        <x:v>Safety</x:v>
      </x:c>
      <x:c r="F121" s="63" t="n">
        <x:v>0.13</x:v>
      </x:c>
      <x:c r="G121" s="66" t="n">
        <x:v>19.137720186217514</x:v>
      </x:c>
      <x:c r="H121" s="67" t="n">
        <x:f>F121*G121</x:f>
        <x:v>2.487903624208277</x:v>
      </x:c>
      <x:c r="I121" s="2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C122" s="19" t="str">
        <x:v>MS-HU|B</x:v>
      </x:c>
      <x:c r="D122" s="19" t="str">
        <x:v>MS-HU</x:v>
      </x:c>
      <x:c r="E122" s="19" t="str">
        <x:v>Receiver</x:v>
      </x:c>
      <x:c r="F122" s="63" t="n">
        <x:v>0.12</x:v>
      </x:c>
      <x:c r="G122" s="66" t="n">
        <x:v>19.137720186217514</x:v>
      </x:c>
      <x:c r="H122" s="67" t="n">
        <x:f>F122*G122</x:f>
        <x:v>2.2965264223461017</x:v>
      </x:c>
      <x:c r="I122" s="2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C123" s="19" t="str">
        <x:v>MS-HU|B</x:v>
      </x:c>
      <x:c r="D123" s="19" t="str">
        <x:v>MS-HU</x:v>
      </x:c>
      <x:c r="E123" s="19" t="str">
        <x:v>Residual</x:v>
      </x:c>
      <x:c r="F123" s="63" t="n">
        <x:v>0.1</x:v>
      </x:c>
      <x:c r="G123" s="66" t="n">
        <x:v>19.137720186217514</x:v>
      </x:c>
      <x:c r="H123" s="67" t="n">
        <x:f>F123*G123</x:f>
        <x:v>1.9137720186217515</x:v>
      </x:c>
      <x:c r="I123" s="2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C124" s="19" t="str">
        <x:v>MS-HU|C</x:v>
      </x:c>
      <x:c r="D124" s="19" t="str">
        <x:v>MS-HU</x:v>
      </x:c>
      <x:c r="E124" s="19" t="str">
        <x:v>Mass</x:v>
      </x:c>
      <x:c r="F124" s="63" t="n">
        <x:v>0.18</x:v>
      </x:c>
      <x:c r="G124" s="66" t="n">
        <x:v>19.137720186217514</x:v>
      </x:c>
      <x:c r="H124" s="67" t="n">
        <x:f>F124*G124</x:f>
        <x:v>3.4447896335191523</x:v>
      </x:c>
      <x:c r="I124" s="2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C125" s="19" t="str">
        <x:v>MS-HU|C</x:v>
      </x:c>
      <x:c r="D125" s="19" t="str">
        <x:v>MS-HU</x:v>
      </x:c>
      <x:c r="E125" s="19" t="str">
        <x:v>Energy</x:v>
      </x:c>
      <x:c r="F125" s="63" t="n">
        <x:v>0.17</x:v>
      </x:c>
      <x:c r="G125" s="66" t="n">
        <x:v>19.137720186217514</x:v>
      </x:c>
      <x:c r="H125" s="67" t="n">
        <x:f>F125*G125</x:f>
        <x:v>3.2534124316569777</x:v>
      </x:c>
      <x:c r="I125" s="2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C126" s="19" t="str">
        <x:v>MS-HU|C</x:v>
      </x:c>
      <x:c r="D126" s="19" t="str">
        <x:v>MS-HU</x:v>
      </x:c>
      <x:c r="E126" s="19" t="str">
        <x:v>Route flow</x:v>
      </x:c>
      <x:c r="F126" s="63" t="n">
        <x:v>0.2</x:v>
      </x:c>
      <x:c r="G126" s="66" t="n">
        <x:v>19.137720186217514</x:v>
      </x:c>
      <x:c r="H126" s="67" t="n">
        <x:f>F126*G126</x:f>
        <x:v>3.827544037243503</x:v>
      </x:c>
      <x:c r="I126" s="2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C127" s="19" t="str">
        <x:v>MS-HU|C</x:v>
      </x:c>
      <x:c r="D127" s="19" t="str">
        <x:v>MS-HU</x:v>
      </x:c>
      <x:c r="E127" s="19" t="str">
        <x:v>Labor</x:v>
      </x:c>
      <x:c r="F127" s="63" t="n">
        <x:v>0.1</x:v>
      </x:c>
      <x:c r="G127" s="66" t="n">
        <x:v>19.137720186217514</x:v>
      </x:c>
      <x:c r="H127" s="67" t="n">
        <x:f>F127*G127</x:f>
        <x:v>1.9137720186217515</x:v>
      </x:c>
      <x:c r="I127" s="2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C128" s="19" t="str">
        <x:v>MS-HU|C</x:v>
      </x:c>
      <x:c r="D128" s="19" t="str">
        <x:v>MS-HU</x:v>
      </x:c>
      <x:c r="E128" s="19" t="str">
        <x:v>Safety</x:v>
      </x:c>
      <x:c r="F128" s="63" t="n">
        <x:v>0.13</x:v>
      </x:c>
      <x:c r="G128" s="66" t="n">
        <x:v>19.137720186217514</x:v>
      </x:c>
      <x:c r="H128" s="67" t="n">
        <x:f>F128*G128</x:f>
        <x:v>2.487903624208277</x:v>
      </x:c>
      <x:c r="I128" s="2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C129" s="19" t="str">
        <x:v>MS-HU|C</x:v>
      </x:c>
      <x:c r="D129" s="19" t="str">
        <x:v>MS-HU</x:v>
      </x:c>
      <x:c r="E129" s="19" t="str">
        <x:v>Receiver</x:v>
      </x:c>
      <x:c r="F129" s="63" t="n">
        <x:v>0.12</x:v>
      </x:c>
      <x:c r="G129" s="66" t="n">
        <x:v>19.137720186217514</x:v>
      </x:c>
      <x:c r="H129" s="67" t="n">
        <x:f>F129*G129</x:f>
        <x:v>2.2965264223461017</x:v>
      </x:c>
      <x:c r="I129" s="2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C130" s="19" t="str">
        <x:v>MS-HU|C</x:v>
      </x:c>
      <x:c r="D130" s="19" t="str">
        <x:v>MS-HU</x:v>
      </x:c>
      <x:c r="E130" s="19" t="str">
        <x:v>Residual</x:v>
      </x:c>
      <x:c r="F130" s="63" t="n">
        <x:v>0.1</x:v>
      </x:c>
      <x:c r="G130" s="66" t="n">
        <x:v>19.137720186217514</x:v>
      </x:c>
      <x:c r="H130" s="67" t="n">
        <x:f>F130*G130</x:f>
        <x:v>1.9137720186217515</x:v>
      </x:c>
      <x:c r="I130" s="2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C131" s="19" t="str">
        <x:v>MS-HU|D</x:v>
      </x:c>
      <x:c r="D131" s="19" t="str">
        <x:v>MS-HU</x:v>
      </x:c>
      <x:c r="E131" s="19" t="str">
        <x:v>Mass</x:v>
      </x:c>
      <x:c r="F131" s="63" t="n">
        <x:v>0.18</x:v>
      </x:c>
      <x:c r="G131" s="66" t="n">
        <x:v>19.137720186217514</x:v>
      </x:c>
      <x:c r="H131" s="67" t="n">
        <x:f>F131*G131</x:f>
        <x:v>3.4447896335191523</x:v>
      </x:c>
      <x:c r="I131" s="2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C132" s="19" t="str">
        <x:v>MS-HU|D</x:v>
      </x:c>
      <x:c r="D132" s="19" t="str">
        <x:v>MS-HU</x:v>
      </x:c>
      <x:c r="E132" s="19" t="str">
        <x:v>Energy</x:v>
      </x:c>
      <x:c r="F132" s="63" t="n">
        <x:v>0.17</x:v>
      </x:c>
      <x:c r="G132" s="66" t="n">
        <x:v>19.137720186217514</x:v>
      </x:c>
      <x:c r="H132" s="67" t="n">
        <x:f>F132*G132</x:f>
        <x:v>3.2534124316569777</x:v>
      </x:c>
      <x:c r="I132" s="2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C133" s="19" t="str">
        <x:v>MS-HU|D</x:v>
      </x:c>
      <x:c r="D133" s="19" t="str">
        <x:v>MS-HU</x:v>
      </x:c>
      <x:c r="E133" s="19" t="str">
        <x:v>Route flow</x:v>
      </x:c>
      <x:c r="F133" s="63" t="n">
        <x:v>0.2</x:v>
      </x:c>
      <x:c r="G133" s="66" t="n">
        <x:v>19.137720186217514</x:v>
      </x:c>
      <x:c r="H133" s="67" t="n">
        <x:f>F133*G133</x:f>
        <x:v>3.827544037243503</x:v>
      </x:c>
      <x:c r="I133" s="2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C134" s="19" t="str">
        <x:v>MS-HU|D</x:v>
      </x:c>
      <x:c r="D134" s="19" t="str">
        <x:v>MS-HU</x:v>
      </x:c>
      <x:c r="E134" s="19" t="str">
        <x:v>Labor</x:v>
      </x:c>
      <x:c r="F134" s="63" t="n">
        <x:v>0.1</x:v>
      </x:c>
      <x:c r="G134" s="66" t="n">
        <x:v>19.137720186217514</x:v>
      </x:c>
      <x:c r="H134" s="67" t="n">
        <x:f>F134*G134</x:f>
        <x:v>1.9137720186217515</x:v>
      </x:c>
      <x:c r="I134" s="2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C135" s="19" t="str">
        <x:v>MS-HU|D</x:v>
      </x:c>
      <x:c r="D135" s="19" t="str">
        <x:v>MS-HU</x:v>
      </x:c>
      <x:c r="E135" s="19" t="str">
        <x:v>Safety</x:v>
      </x:c>
      <x:c r="F135" s="63" t="n">
        <x:v>0.13</x:v>
      </x:c>
      <x:c r="G135" s="66" t="n">
        <x:v>19.137720186217514</x:v>
      </x:c>
      <x:c r="H135" s="67" t="n">
        <x:f>F135*G135</x:f>
        <x:v>2.487903624208277</x:v>
      </x:c>
      <x:c r="I135" s="2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C136" s="19" t="str">
        <x:v>MS-HU|D</x:v>
      </x:c>
      <x:c r="D136" s="19" t="str">
        <x:v>MS-HU</x:v>
      </x:c>
      <x:c r="E136" s="19" t="str">
        <x:v>Receiver</x:v>
      </x:c>
      <x:c r="F136" s="63" t="n">
        <x:v>0.12</x:v>
      </x:c>
      <x:c r="G136" s="66" t="n">
        <x:v>19.137720186217514</x:v>
      </x:c>
      <x:c r="H136" s="67" t="n">
        <x:f>F136*G136</x:f>
        <x:v>2.2965264223461017</x:v>
      </x:c>
      <x:c r="I136" s="2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C137" s="19" t="str">
        <x:v>MS-HU|D</x:v>
      </x:c>
      <x:c r="D137" s="19" t="str">
        <x:v>MS-HU</x:v>
      </x:c>
      <x:c r="E137" s="19" t="str">
        <x:v>Residual</x:v>
      </x:c>
      <x:c r="F137" s="63" t="n">
        <x:v>0.1</x:v>
      </x:c>
      <x:c r="G137" s="66" t="n">
        <x:v>19.137720186217514</x:v>
      </x:c>
      <x:c r="H137" s="67" t="n">
        <x:f>F137*G137</x:f>
        <x:v>1.9137720186217515</x:v>
      </x:c>
      <x:c r="I137" s="2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C138" s="19" t="str">
        <x:v>MS-RT|A</x:v>
      </x:c>
      <x:c r="D138" s="19" t="str">
        <x:v>MS-RT</x:v>
      </x:c>
      <x:c r="E138" s="19" t="str">
        <x:v>Mass</x:v>
      </x:c>
      <x:c r="F138" s="63" t="n">
        <x:v>0.18</x:v>
      </x:c>
      <x:c r="G138" s="66" t="n">
        <x:v>11.175132761678244</x:v>
      </x:c>
      <x:c r="H138" s="67" t="n">
        <x:f>F138*G138</x:f>
        <x:v>2.0115238971020837</x:v>
      </x:c>
      <x:c r="I138" s="2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C139" s="19" t="str">
        <x:v>MS-RT|A</x:v>
      </x:c>
      <x:c r="D139" s="19" t="str">
        <x:v>MS-RT</x:v>
      </x:c>
      <x:c r="E139" s="19" t="str">
        <x:v>Energy</x:v>
      </x:c>
      <x:c r="F139" s="63" t="n">
        <x:v>0.17</x:v>
      </x:c>
      <x:c r="G139" s="66" t="n">
        <x:v>11.175132761678244</x:v>
      </x:c>
      <x:c r="H139" s="67" t="n">
        <x:f>F139*G139</x:f>
        <x:v>1.8997725694853016</x:v>
      </x:c>
      <x:c r="I139" s="2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C140" s="19" t="str">
        <x:v>MS-RT|A</x:v>
      </x:c>
      <x:c r="D140" s="19" t="str">
        <x:v>MS-RT</x:v>
      </x:c>
      <x:c r="E140" s="19" t="str">
        <x:v>Route flow</x:v>
      </x:c>
      <x:c r="F140" s="63" t="n">
        <x:v>0.2</x:v>
      </x:c>
      <x:c r="G140" s="66" t="n">
        <x:v>11.175132761678244</x:v>
      </x:c>
      <x:c r="H140" s="67" t="n">
        <x:f>F140*G140</x:f>
        <x:v>2.2350265523356487</x:v>
      </x:c>
      <x:c r="I140" s="2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C141" s="19" t="str">
        <x:v>MS-RT|A</x:v>
      </x:c>
      <x:c r="D141" s="19" t="str">
        <x:v>MS-RT</x:v>
      </x:c>
      <x:c r="E141" s="19" t="str">
        <x:v>Labor</x:v>
      </x:c>
      <x:c r="F141" s="63" t="n">
        <x:v>0.1</x:v>
      </x:c>
      <x:c r="G141" s="66" t="n">
        <x:v>11.175132761678244</x:v>
      </x:c>
      <x:c r="H141" s="67" t="n">
        <x:f>F141*G141</x:f>
        <x:v>1.1175132761678244</x:v>
      </x:c>
      <x:c r="I141" s="2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C142" s="19" t="str">
        <x:v>MS-RT|A</x:v>
      </x:c>
      <x:c r="D142" s="19" t="str">
        <x:v>MS-RT</x:v>
      </x:c>
      <x:c r="E142" s="19" t="str">
        <x:v>Safety</x:v>
      </x:c>
      <x:c r="F142" s="63" t="n">
        <x:v>0.13</x:v>
      </x:c>
      <x:c r="G142" s="66" t="n">
        <x:v>11.175132761678244</x:v>
      </x:c>
      <x:c r="H142" s="67" t="n">
        <x:f>F142*G142</x:f>
        <x:v>1.4527672590181717</x:v>
      </x:c>
      <x:c r="I142" s="2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C143" s="19" t="str">
        <x:v>MS-RT|A</x:v>
      </x:c>
      <x:c r="D143" s="19" t="str">
        <x:v>MS-RT</x:v>
      </x:c>
      <x:c r="E143" s="19" t="str">
        <x:v>Receiver</x:v>
      </x:c>
      <x:c r="F143" s="63" t="n">
        <x:v>0.12</x:v>
      </x:c>
      <x:c r="G143" s="66" t="n">
        <x:v>11.175132761678244</x:v>
      </x:c>
      <x:c r="H143" s="67" t="n">
        <x:f>F143*G143</x:f>
        <x:v>1.3410159314013892</x:v>
      </x:c>
      <x:c r="I143" s="2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C144" s="19" t="str">
        <x:v>MS-RT|A</x:v>
      </x:c>
      <x:c r="D144" s="19" t="str">
        <x:v>MS-RT</x:v>
      </x:c>
      <x:c r="E144" s="19" t="str">
        <x:v>Residual</x:v>
      </x:c>
      <x:c r="F144" s="63" t="n">
        <x:v>0.1</x:v>
      </x:c>
      <x:c r="G144" s="66" t="n">
        <x:v>11.175132761678244</x:v>
      </x:c>
      <x:c r="H144" s="67" t="n">
        <x:f>F144*G144</x:f>
        <x:v>1.1175132761678244</x:v>
      </x:c>
      <x:c r="I144" s="2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C145" s="19" t="str">
        <x:v>MS-RT|B</x:v>
      </x:c>
      <x:c r="D145" s="19" t="str">
        <x:v>MS-RT</x:v>
      </x:c>
      <x:c r="E145" s="19" t="str">
        <x:v>Mass</x:v>
      </x:c>
      <x:c r="F145" s="63" t="n">
        <x:v>0.18</x:v>
      </x:c>
      <x:c r="G145" s="66" t="n">
        <x:v>11.175132761678244</x:v>
      </x:c>
      <x:c r="H145" s="67" t="n">
        <x:f>F145*G145</x:f>
        <x:v>2.0115238971020837</x:v>
      </x:c>
      <x:c r="I145" s="2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C146" s="19" t="str">
        <x:v>MS-RT|B</x:v>
      </x:c>
      <x:c r="D146" s="19" t="str">
        <x:v>MS-RT</x:v>
      </x:c>
      <x:c r="E146" s="19" t="str">
        <x:v>Energy</x:v>
      </x:c>
      <x:c r="F146" s="63" t="n">
        <x:v>0.17</x:v>
      </x:c>
      <x:c r="G146" s="66" t="n">
        <x:v>11.175132761678244</x:v>
      </x:c>
      <x:c r="H146" s="67" t="n">
        <x:f>F146*G146</x:f>
        <x:v>1.8997725694853016</x:v>
      </x:c>
      <x:c r="I146" s="2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C147" s="19" t="str">
        <x:v>MS-RT|B</x:v>
      </x:c>
      <x:c r="D147" s="19" t="str">
        <x:v>MS-RT</x:v>
      </x:c>
      <x:c r="E147" s="19" t="str">
        <x:v>Route flow</x:v>
      </x:c>
      <x:c r="F147" s="63" t="n">
        <x:v>0.2</x:v>
      </x:c>
      <x:c r="G147" s="66" t="n">
        <x:v>11.175132761678244</x:v>
      </x:c>
      <x:c r="H147" s="67" t="n">
        <x:f>F147*G147</x:f>
        <x:v>2.2350265523356487</x:v>
      </x:c>
      <x:c r="I147" s="2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C148" s="19" t="str">
        <x:v>MS-RT|B</x:v>
      </x:c>
      <x:c r="D148" s="19" t="str">
        <x:v>MS-RT</x:v>
      </x:c>
      <x:c r="E148" s="19" t="str">
        <x:v>Labor</x:v>
      </x:c>
      <x:c r="F148" s="63" t="n">
        <x:v>0.1</x:v>
      </x:c>
      <x:c r="G148" s="66" t="n">
        <x:v>11.175132761678244</x:v>
      </x:c>
      <x:c r="H148" s="67" t="n">
        <x:f>F148*G148</x:f>
        <x:v>1.1175132761678244</x:v>
      </x:c>
      <x:c r="I148" s="2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C149" s="19" t="str">
        <x:v>MS-RT|B</x:v>
      </x:c>
      <x:c r="D149" s="19" t="str">
        <x:v>MS-RT</x:v>
      </x:c>
      <x:c r="E149" s="19" t="str">
        <x:v>Safety</x:v>
      </x:c>
      <x:c r="F149" s="63" t="n">
        <x:v>0.13</x:v>
      </x:c>
      <x:c r="G149" s="66" t="n">
        <x:v>11.175132761678244</x:v>
      </x:c>
      <x:c r="H149" s="67" t="n">
        <x:f>F149*G149</x:f>
        <x:v>1.4527672590181717</x:v>
      </x:c>
      <x:c r="I149" s="2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C150" s="19" t="str">
        <x:v>MS-RT|B</x:v>
      </x:c>
      <x:c r="D150" s="19" t="str">
        <x:v>MS-RT</x:v>
      </x:c>
      <x:c r="E150" s="19" t="str">
        <x:v>Receiver</x:v>
      </x:c>
      <x:c r="F150" s="63" t="n">
        <x:v>0.12</x:v>
      </x:c>
      <x:c r="G150" s="66" t="n">
        <x:v>11.175132761678244</x:v>
      </x:c>
      <x:c r="H150" s="67" t="n">
        <x:f>F150*G150</x:f>
        <x:v>1.3410159314013892</x:v>
      </x:c>
      <x:c r="I150" s="2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C151" s="19" t="str">
        <x:v>MS-RT|B</x:v>
      </x:c>
      <x:c r="D151" s="19" t="str">
        <x:v>MS-RT</x:v>
      </x:c>
      <x:c r="E151" s="19" t="str">
        <x:v>Residual</x:v>
      </x:c>
      <x:c r="F151" s="63" t="n">
        <x:v>0.1</x:v>
      </x:c>
      <x:c r="G151" s="66" t="n">
        <x:v>11.175132761678244</x:v>
      </x:c>
      <x:c r="H151" s="67" t="n">
        <x:f>F151*G151</x:f>
        <x:v>1.1175132761678244</x:v>
      </x:c>
      <x:c r="I151" s="2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C152" s="19" t="str">
        <x:v>MS-RT|C</x:v>
      </x:c>
      <x:c r="D152" s="19" t="str">
        <x:v>MS-RT</x:v>
      </x:c>
      <x:c r="E152" s="19" t="str">
        <x:v>Mass</x:v>
      </x:c>
      <x:c r="F152" s="63" t="n">
        <x:v>0.18</x:v>
      </x:c>
      <x:c r="G152" s="66" t="n">
        <x:v>11.175132761678244</x:v>
      </x:c>
      <x:c r="H152" s="67" t="n">
        <x:f>F152*G152</x:f>
        <x:v>2.0115238971020837</x:v>
      </x:c>
      <x:c r="I152" s="2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C153" s="19" t="str">
        <x:v>MS-RT|C</x:v>
      </x:c>
      <x:c r="D153" s="19" t="str">
        <x:v>MS-RT</x:v>
      </x:c>
      <x:c r="E153" s="19" t="str">
        <x:v>Energy</x:v>
      </x:c>
      <x:c r="F153" s="63" t="n">
        <x:v>0.17</x:v>
      </x:c>
      <x:c r="G153" s="66" t="n">
        <x:v>11.175132761678244</x:v>
      </x:c>
      <x:c r="H153" s="67" t="n">
        <x:f>F153*G153</x:f>
        <x:v>1.8997725694853016</x:v>
      </x:c>
      <x:c r="I153" s="2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C154" s="19" t="str">
        <x:v>MS-RT|C</x:v>
      </x:c>
      <x:c r="D154" s="19" t="str">
        <x:v>MS-RT</x:v>
      </x:c>
      <x:c r="E154" s="19" t="str">
        <x:v>Route flow</x:v>
      </x:c>
      <x:c r="F154" s="63" t="n">
        <x:v>0.2</x:v>
      </x:c>
      <x:c r="G154" s="66" t="n">
        <x:v>11.175132761678244</x:v>
      </x:c>
      <x:c r="H154" s="67" t="n">
        <x:f>F154*G154</x:f>
        <x:v>2.2350265523356487</x:v>
      </x:c>
      <x:c r="I154" s="2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C155" s="19" t="str">
        <x:v>MS-RT|C</x:v>
      </x:c>
      <x:c r="D155" s="19" t="str">
        <x:v>MS-RT</x:v>
      </x:c>
      <x:c r="E155" s="19" t="str">
        <x:v>Labor</x:v>
      </x:c>
      <x:c r="F155" s="63" t="n">
        <x:v>0.1</x:v>
      </x:c>
      <x:c r="G155" s="66" t="n">
        <x:v>11.175132761678244</x:v>
      </x:c>
      <x:c r="H155" s="67" t="n">
        <x:f>F155*G155</x:f>
        <x:v>1.1175132761678244</x:v>
      </x:c>
      <x:c r="I155" s="2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C156" s="19" t="str">
        <x:v>MS-RT|C</x:v>
      </x:c>
      <x:c r="D156" s="19" t="str">
        <x:v>MS-RT</x:v>
      </x:c>
      <x:c r="E156" s="19" t="str">
        <x:v>Safety</x:v>
      </x:c>
      <x:c r="F156" s="63" t="n">
        <x:v>0.13</x:v>
      </x:c>
      <x:c r="G156" s="66" t="n">
        <x:v>11.175132761678244</x:v>
      </x:c>
      <x:c r="H156" s="67" t="n">
        <x:f>F156*G156</x:f>
        <x:v>1.4527672590181717</x:v>
      </x:c>
      <x:c r="I156" s="2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C157" s="19" t="str">
        <x:v>MS-RT|C</x:v>
      </x:c>
      <x:c r="D157" s="19" t="str">
        <x:v>MS-RT</x:v>
      </x:c>
      <x:c r="E157" s="19" t="str">
        <x:v>Receiver</x:v>
      </x:c>
      <x:c r="F157" s="63" t="n">
        <x:v>0.12</x:v>
      </x:c>
      <x:c r="G157" s="66" t="n">
        <x:v>11.175132761678244</x:v>
      </x:c>
      <x:c r="H157" s="67" t="n">
        <x:f>F157*G157</x:f>
        <x:v>1.3410159314013892</x:v>
      </x:c>
      <x:c r="I157" s="2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C158" s="19" t="str">
        <x:v>MS-RT|C</x:v>
      </x:c>
      <x:c r="D158" s="19" t="str">
        <x:v>MS-RT</x:v>
      </x:c>
      <x:c r="E158" s="19" t="str">
        <x:v>Residual</x:v>
      </x:c>
      <x:c r="F158" s="63" t="n">
        <x:v>0.1</x:v>
      </x:c>
      <x:c r="G158" s="66" t="n">
        <x:v>11.175132761678244</x:v>
      </x:c>
      <x:c r="H158" s="67" t="n">
        <x:f>F158*G158</x:f>
        <x:v>1.1175132761678244</x:v>
      </x:c>
      <x:c r="I158" s="2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C159" s="19" t="str">
        <x:v>MS-RT|D</x:v>
      </x:c>
      <x:c r="D159" s="19" t="str">
        <x:v>MS-RT</x:v>
      </x:c>
      <x:c r="E159" s="19" t="str">
        <x:v>Mass</x:v>
      </x:c>
      <x:c r="F159" s="63" t="n">
        <x:v>0.18</x:v>
      </x:c>
      <x:c r="G159" s="66" t="n">
        <x:v>11.175132761678244</x:v>
      </x:c>
      <x:c r="H159" s="67" t="n">
        <x:f>F159*G159</x:f>
        <x:v>2.0115238971020837</x:v>
      </x:c>
      <x:c r="I159" s="2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C160" s="19" t="str">
        <x:v>MS-RT|D</x:v>
      </x:c>
      <x:c r="D160" s="19" t="str">
        <x:v>MS-RT</x:v>
      </x:c>
      <x:c r="E160" s="19" t="str">
        <x:v>Energy</x:v>
      </x:c>
      <x:c r="F160" s="63" t="n">
        <x:v>0.17</x:v>
      </x:c>
      <x:c r="G160" s="66" t="n">
        <x:v>11.175132761678244</x:v>
      </x:c>
      <x:c r="H160" s="67" t="n">
        <x:f>F160*G160</x:f>
        <x:v>1.8997725694853016</x:v>
      </x:c>
      <x:c r="I160" s="2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C161" s="19" t="str">
        <x:v>MS-RT|D</x:v>
      </x:c>
      <x:c r="D161" s="19" t="str">
        <x:v>MS-RT</x:v>
      </x:c>
      <x:c r="E161" s="19" t="str">
        <x:v>Route flow</x:v>
      </x:c>
      <x:c r="F161" s="63" t="n">
        <x:v>0.2</x:v>
      </x:c>
      <x:c r="G161" s="66" t="n">
        <x:v>11.175132761678244</x:v>
      </x:c>
      <x:c r="H161" s="67" t="n">
        <x:f>F161*G161</x:f>
        <x:v>2.2350265523356487</x:v>
      </x:c>
      <x:c r="I161" s="2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C162" s="19" t="str">
        <x:v>MS-RT|D</x:v>
      </x:c>
      <x:c r="D162" s="19" t="str">
        <x:v>MS-RT</x:v>
      </x:c>
      <x:c r="E162" s="19" t="str">
        <x:v>Labor</x:v>
      </x:c>
      <x:c r="F162" s="63" t="n">
        <x:v>0.1</x:v>
      </x:c>
      <x:c r="G162" s="66" t="n">
        <x:v>11.175132761678244</x:v>
      </x:c>
      <x:c r="H162" s="67" t="n">
        <x:f>F162*G162</x:f>
        <x:v>1.1175132761678244</x:v>
      </x:c>
      <x:c r="I162" s="2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C163" s="19" t="str">
        <x:v>MS-RT|D</x:v>
      </x:c>
      <x:c r="D163" s="19" t="str">
        <x:v>MS-RT</x:v>
      </x:c>
      <x:c r="E163" s="19" t="str">
        <x:v>Safety</x:v>
      </x:c>
      <x:c r="F163" s="63" t="n">
        <x:v>0.13</x:v>
      </x:c>
      <x:c r="G163" s="66" t="n">
        <x:v>11.175132761678244</x:v>
      </x:c>
      <x:c r="H163" s="67" t="n">
        <x:f>F163*G163</x:f>
        <x:v>1.4527672590181717</x:v>
      </x:c>
      <x:c r="I163" s="2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C164" s="19" t="str">
        <x:v>MS-RT|D</x:v>
      </x:c>
      <x:c r="D164" s="19" t="str">
        <x:v>MS-RT</x:v>
      </x:c>
      <x:c r="E164" s="19" t="str">
        <x:v>Receiver</x:v>
      </x:c>
      <x:c r="F164" s="63" t="n">
        <x:v>0.12</x:v>
      </x:c>
      <x:c r="G164" s="66" t="n">
        <x:v>11.175132761678244</x:v>
      </x:c>
      <x:c r="H164" s="67" t="n">
        <x:f>F164*G164</x:f>
        <x:v>1.3410159314013892</x:v>
      </x:c>
      <x:c r="I164" s="2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C165" s="19" t="str">
        <x:v>MS-RT|D</x:v>
      </x:c>
      <x:c r="D165" s="19" t="str">
        <x:v>MS-RT</x:v>
      </x:c>
      <x:c r="E165" s="19" t="str">
        <x:v>Residual</x:v>
      </x:c>
      <x:c r="F165" s="63" t="n">
        <x:v>0.1</x:v>
      </x:c>
      <x:c r="G165" s="66" t="n">
        <x:v>11.175132761678244</x:v>
      </x:c>
      <x:c r="H165" s="67" t="n">
        <x:f>F165*G165</x:f>
        <x:v>1.1175132761678244</x:v>
      </x:c>
      <x:c r="I165" s="2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C166" s="19"/>
      <x:c r="D166" s="19"/>
      <x:c r="E166" s="19"/>
      <x:c r="F166" s="19"/>
      <x:c r="G166" s="66"/>
      <x:c r="H166" s="67"/>
      <x:c r="I166" s="2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C167" s="19"/>
      <x:c r="D167" s="19"/>
      <x:c r="E167" s="19"/>
      <x:c r="F167" s="19"/>
      <x:c r="G167" s="66"/>
      <x:c r="H167" s="67"/>
      <x:c r="I167" s="2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C168" s="60" t="str">
        <x:v>Total</x:v>
      </x:c>
      <x:c r="D168" s="60"/>
      <x:c r="E168" s="60"/>
      <x:c r="F168" s="60"/>
      <x:c r="G168" s="68"/>
      <x:c r="H168" s="69" t="n">
        <x:f>SUM(H26:H165)</x:f>
        <x:v>239.02348722717747</x:v>
      </x:c>
      <x:c r="I168" s="2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C169" s="2"/>
      <x:c r="D169" s="2"/>
      <x:c r="E169" s="2"/>
      <x:c r="F169" s="2"/>
      <x:c r="G169" s="2"/>
      <x:c r="H169" s="2"/>
      <x:c r="I169" s="2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C170" s="2"/>
      <x:c r="D170" s="2"/>
      <x:c r="E170" s="2"/>
      <x:c r="F170" s="2"/>
      <x:c r="G170" s="2"/>
      <x:c r="H170" s="2"/>
      <x:c r="I170" s="2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>
      <x:c r="C171" s="2"/>
      <x:c r="D171" s="2"/>
      <x:c r="E171" s="2"/>
      <x:c r="F171" s="2"/>
      <x:c r="G171" s="2"/>
      <x:c r="H171" s="2"/>
      <x:c r="I171" s="2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>
      <x:c r="C172" s="2"/>
      <x:c r="D172" s="2"/>
      <x:c r="E172" s="2"/>
      <x:c r="F172" s="2"/>
      <x:c r="G172" s="2"/>
      <x:c r="H172" s="2"/>
      <x:c r="I172" s="2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>
      <x:c r="C173" s="2"/>
      <x:c r="D173" s="2"/>
      <x:c r="E173" s="2"/>
      <x:c r="F173" s="2"/>
      <x:c r="G173" s="2"/>
      <x:c r="H173" s="2"/>
      <x:c r="I173" s="2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>
      <x:c r="C174" s="2"/>
      <x:c r="D174" s="2"/>
      <x:c r="E174" s="2"/>
      <x:c r="F174" s="2"/>
      <x:c r="G174" s="2"/>
      <x:c r="H174" s="2"/>
      <x:c r="I174" s="2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>
      <x:c r="C175" s="2"/>
      <x:c r="D175" s="2"/>
      <x:c r="E175" s="2"/>
      <x:c r="F175" s="2"/>
      <x:c r="G175" s="2"/>
      <x:c r="H175" s="2"/>
      <x:c r="I175" s="2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Twenty-four-root Cascadia entry barrier</x:v>
      </x:c>
      <x:c r="D2" s="2"/>
      <x:c r="E2" s="2"/>
      <x:c r="F2" s="2"/>
      <x:c r="G2" s="2"/>
      <x:c r="H2" s="2"/>
      <x:c r="I2" s="2"/>
      <x:c r="J2" s="2"/>
      <x:c r="K2" s="2"/>
      <x:c r="L2" s="2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Paper balance is necessary but no root or stack releases without accepted evidence and public seams.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Stack</x:v>
      </x:c>
      <x:c r="D6" s="18" t="str">
        <x:v>MS-ET</x:v>
      </x:c>
      <x:c r="E6" s="18" t="str">
        <x:v>MS-CT</x:v>
      </x:c>
      <x:c r="F6" s="18" t="str">
        <x:v>MS-HC</x:v>
      </x:c>
      <x:c r="G6" s="18" t="str">
        <x:v>MS-LF</x:v>
      </x:c>
      <x:c r="H6" s="18" t="str">
        <x:v>MS-HU</x:v>
      </x:c>
      <x:c r="I6" s="18" t="str">
        <x:v>MS-RT</x:v>
      </x:c>
      <x:c r="J6" s="18" t="str">
        <x:v>Stack state</x:v>
      </x:c>
      <x:c r="K6" s="2"/>
      <x:c r="L6" s="2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A</x:v>
      </x:c>
      <x:c r="D7" s="19" t="str">
        <x:f>'Root Balance'!W7</x:f>
        <x:v>HOLD</x:v>
      </x:c>
      <x:c r="E7" s="19" t="str">
        <x:f>'Root Balance'!W11</x:f>
        <x:v>HOLD</x:v>
      </x:c>
      <x:c r="F7" s="19" t="str">
        <x:f>'Root Balance'!W15</x:f>
        <x:v>HOLD</x:v>
      </x:c>
      <x:c r="G7" s="19" t="str">
        <x:f>Controls!D23</x:f>
        <x:v>HOLD</x:v>
      </x:c>
      <x:c r="H7" s="19" t="str">
        <x:f>'Root Balance'!W19</x:f>
        <x:v>HOLD</x:v>
      </x:c>
      <x:c r="I7" s="19" t="str">
        <x:f>'Root Balance'!W23</x:f>
        <x:v>HOLD</x:v>
      </x:c>
      <x:c r="J7" s="21" t="str">
        <x:f>IF(COUNTIF(D7:I7,"RELEASED")=6,"READY","BLOCKED")</x:f>
        <x:v>BLOCKED</x:v>
      </x:c>
      <x:c r="K7" s="2"/>
      <x:c r="L7" s="2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B</x:v>
      </x:c>
      <x:c r="D8" s="19" t="str">
        <x:f>'Root Balance'!W8</x:f>
        <x:v>HOLD</x:v>
      </x:c>
      <x:c r="E8" s="19" t="str">
        <x:f>'Root Balance'!W12</x:f>
        <x:v>HOLD</x:v>
      </x:c>
      <x:c r="F8" s="19" t="str">
        <x:f>'Root Balance'!W16</x:f>
        <x:v>HOLD</x:v>
      </x:c>
      <x:c r="G8" s="19" t="str">
        <x:f>Controls!D24</x:f>
        <x:v>HOLD</x:v>
      </x:c>
      <x:c r="H8" s="19" t="str">
        <x:f>'Root Balance'!W20</x:f>
        <x:v>HOLD</x:v>
      </x:c>
      <x:c r="I8" s="19" t="str">
        <x:f>'Root Balance'!W24</x:f>
        <x:v>HOLD</x:v>
      </x:c>
      <x:c r="J8" s="21" t="str">
        <x:f>IF(COUNTIF(D8:I8,"RELEASED")=6,"READY","BLOCKED")</x:f>
        <x:v>BLOCKED</x:v>
      </x:c>
      <x:c r="K8" s="2"/>
      <x:c r="L8" s="2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C</x:v>
      </x:c>
      <x:c r="D9" s="19" t="str">
        <x:f>'Root Balance'!W9</x:f>
        <x:v>HOLD</x:v>
      </x:c>
      <x:c r="E9" s="19" t="str">
        <x:f>'Root Balance'!W13</x:f>
        <x:v>HOLD</x:v>
      </x:c>
      <x:c r="F9" s="19" t="str">
        <x:f>'Root Balance'!W17</x:f>
        <x:v>HOLD</x:v>
      </x:c>
      <x:c r="G9" s="19" t="str">
        <x:f>Controls!D25</x:f>
        <x:v>HOLD</x:v>
      </x:c>
      <x:c r="H9" s="19" t="str">
        <x:f>'Root Balance'!W21</x:f>
        <x:v>HOLD</x:v>
      </x:c>
      <x:c r="I9" s="19" t="str">
        <x:f>'Root Balance'!W25</x:f>
        <x:v>HOLD</x:v>
      </x:c>
      <x:c r="J9" s="21" t="str">
        <x:f>IF(COUNTIF(D9:I9,"RELEASED")=6,"READY","BLOCKED")</x:f>
        <x:v>BLOCKED</x:v>
      </x:c>
      <x:c r="K9" s="2"/>
      <x:c r="L9" s="2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23" t="str">
        <x:v>D</x:v>
      </x:c>
      <x:c r="D10" s="23" t="str">
        <x:f>'Root Balance'!W10</x:f>
        <x:v>HOLD</x:v>
      </x:c>
      <x:c r="E10" s="23" t="str">
        <x:f>'Root Balance'!W14</x:f>
        <x:v>HOLD</x:v>
      </x:c>
      <x:c r="F10" s="23" t="str">
        <x:f>'Root Balance'!W18</x:f>
        <x:v>HOLD</x:v>
      </x:c>
      <x:c r="G10" s="23" t="str">
        <x:f>Controls!D26</x:f>
        <x:v>HOLD</x:v>
      </x:c>
      <x:c r="H10" s="23" t="str">
        <x:f>'Root Balance'!W22</x:f>
        <x:v>HOLD</x:v>
      </x:c>
      <x:c r="I10" s="23" t="str">
        <x:f>'Root Balance'!W26</x:f>
        <x:v>HOLD</x:v>
      </x:c>
      <x:c r="J10" s="25" t="str">
        <x:f>IF(COUNTIF(D10:I10,"RELEASED")=6,"READY","BLOCKED")</x:f>
        <x:v>BLOCKED</x:v>
      </x:c>
      <x:c r="K10" s="2"/>
      <x:c r="L10" s="2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7" t="str">
        <x:v>Program measure</x:v>
      </x:c>
      <x:c r="D14" s="18" t="str">
        <x:v>Observed</x:v>
      </x:c>
      <x:c r="E14" s="18" t="str">
        <x:v>Required</x:v>
      </x:c>
      <x:c r="F14" s="18" t="str">
        <x:v>State</x:v>
      </x:c>
      <x:c r="G14" s="2"/>
      <x:c r="H14" s="2"/>
      <x:c r="I14" s="2"/>
      <x:c r="J14" s="2"/>
      <x:c r="K14" s="2"/>
      <x:c r="L14" s="2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Paper-balanced non-lifeline roots</x:v>
      </x:c>
      <x:c r="D15" s="19" t="n">
        <x:f>COUNTIF('Root Balance'!R7:R26,"BALANCED")</x:f>
        <x:v>20</x:v>
      </x:c>
      <x:c r="E15" s="19" t="n">
        <x:v>20</x:v>
      </x:c>
      <x:c r="F15" s="21" t="str">
        <x:f>IF(D15=E15,"PASS","BLOCKED")</x:f>
        <x:v>PASS</x:v>
      </x:c>
      <x:c r="G15" s="2"/>
      <x:c r="H15" s="2"/>
      <x:c r="I15" s="2"/>
      <x:c r="J15" s="2"/>
      <x:c r="K15" s="2"/>
      <x:c r="L15" s="2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Released non-lifeline roots</x:v>
      </x:c>
      <x:c r="D16" s="19" t="n">
        <x:f>COUNTIF('Root Balance'!W7:W26,"RELEASED")</x:f>
        <x:v>0</x:v>
      </x:c>
      <x:c r="E16" s="19" t="n">
        <x:v>20</x:v>
      </x:c>
      <x:c r="F16" s="21" t="str">
        <x:f>IF(D16=E16,"PASS","BLOCKED")</x:f>
        <x:v>BLOCKED</x:v>
      </x:c>
      <x:c r="G16" s="2"/>
      <x:c r="H16" s="2"/>
      <x:c r="I16" s="2"/>
      <x:c r="J16" s="2"/>
      <x:c r="K16" s="2"/>
      <x:c r="L16" s="2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Released lifeline roots</x:v>
      </x:c>
      <x:c r="D17" s="19" t="n">
        <x:f>COUNTIF(Controls!D23:D26,"RELEASED")</x:f>
        <x:v>0</x:v>
      </x:c>
      <x:c r="E17" s="19" t="n">
        <x:v>4</x:v>
      </x:c>
      <x:c r="F17" s="21" t="str">
        <x:f>IF(D17=E17,"PASS","BLOCKED")</x:f>
        <x:v>BLOCKED</x:v>
      </x:c>
      <x:c r="G17" s="2"/>
      <x:c r="H17" s="2"/>
      <x:c r="I17" s="2"/>
      <x:c r="J17" s="2"/>
      <x:c r="K17" s="2"/>
      <x:c r="L17" s="2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Ready stacks</x:v>
      </x:c>
      <x:c r="D18" s="19" t="n">
        <x:f>COUNTIF(J7:J10,"READY")</x:f>
        <x:v>0</x:v>
      </x:c>
      <x:c r="E18" s="19" t="n">
        <x:v>4</x:v>
      </x:c>
      <x:c r="F18" s="21" t="str">
        <x:f>IF(D18=E18,"PASS","BLOCKED")</x:f>
        <x:v>BLOCKED</x:v>
      </x:c>
      <x:c r="G18" s="2"/>
      <x:c r="H18" s="2"/>
      <x:c r="I18" s="2"/>
      <x:c r="J18" s="2"/>
      <x:c r="K18" s="2"/>
      <x:c r="L18" s="2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Qualified public seams</x:v>
      </x:c>
      <x:c r="D19" s="19" t="n">
        <x:f>Controls!D16</x:f>
        <x:v>0</x:v>
      </x:c>
      <x:c r="E19" s="19" t="n">
        <x:v>4</x:v>
      </x:c>
      <x:c r="F19" s="21" t="str">
        <x:f>IF(D19=E19,"PASS","BLOCKED")</x:f>
        <x:v>BLOCKED</x:v>
      </x:c>
      <x:c r="G19" s="2"/>
      <x:c r="H19" s="2"/>
      <x:c r="I19" s="2"/>
      <x:c r="J19" s="2"/>
      <x:c r="K19" s="2"/>
      <x:c r="L19" s="2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Kernel exceptions</x:v>
      </x:c>
      <x:c r="D20" s="19" t="n">
        <x:f>Controls!D17</x:f>
        <x:v>0</x:v>
      </x:c>
      <x:c r="E20" s="19" t="n">
        <x:v>0</x:v>
      </x:c>
      <x:c r="F20" s="21" t="str">
        <x:f>IF(D20=0,"PASS","BLOCKED")</x:f>
        <x:v>PASS</x:v>
      </x:c>
      <x:c r="G20" s="2"/>
      <x:c r="H20" s="2"/>
      <x:c r="I20" s="2"/>
      <x:c r="J20" s="2"/>
      <x:c r="K20" s="2"/>
      <x:c r="L20" s="2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23" t="str">
        <x:v>Ancestry collisions</x:v>
      </x:c>
      <x:c r="D21" s="23" t="n">
        <x:f>Controls!D18</x:f>
        <x:v>0</x:v>
      </x:c>
      <x:c r="E21" s="23" t="n">
        <x:v>0</x:v>
      </x:c>
      <x:c r="F21" s="25" t="str">
        <x:f>IF(D21=0,"PASS","BLOCKED")</x:f>
        <x:v>PASS</x:v>
      </x:c>
      <x:c r="G21" s="2"/>
      <x:c r="H21" s="2"/>
      <x:c r="I21" s="2"/>
      <x:c r="J21" s="2"/>
      <x:c r="K21" s="2"/>
      <x:c r="L21" s="2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70" t="str">
        <x:v>Cascadia G4 entry</x:v>
      </x:c>
      <x:c r="D24" s="71" t="str">
        <x:f>IF(AND(D15=20,D16=20,D17=4,D18=4,D19=4,D20=0,D21=0),"ELIGIBLE","BLOCKED")</x:f>
        <x:v>BLOCKED</x:v>
      </x:c>
      <x:c r="E24" s="70"/>
      <x:c r="F24" s="70"/>
      <x:c r="G24" s="2"/>
      <x:c r="H24" s="2"/>
      <x:c r="I24" s="2"/>
      <x:c r="J24" s="2"/>
      <x:c r="K24" s="2"/>
      <x:c r="L24" s="2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18" hidden="0" customWidth="1"/>
    <x:col min="4" max="4" width="58" hidden="0" customWidth="1"/>
    <x:col min="5" max="5" width="18" hidden="0" customWidth="1"/>
    <x:col min="6" max="6" width="18" hidden="0" customWidth="1"/>
  </x:cols>
  <x:sheetData>
    <x:row r="1">
      <x:c r="C1" s="2"/>
      <x:c r="D1" s="2"/>
      <x:c r="E1" s="2"/>
      <x:c r="F1" s="2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Terminal integrity audits</x:v>
      </x:c>
      <x:c r="D2" s="2"/>
      <x:c r="E2" s="2"/>
      <x:c r="F2" s="2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Audits observe the model; no balance, release or financial formula depends on this sheet.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Audit</x:v>
      </x:c>
      <x:c r="D6" s="18" t="str">
        <x:v>Test</x:v>
      </x:c>
      <x:c r="E6" s="18" t="str">
        <x:v>Result</x:v>
      </x:c>
      <x:c r="F6" s="18" t="str">
        <x:v>Class</x:v>
      </x:c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AU-R-001</x:v>
      </x:c>
      <x:c r="D7" s="19" t="str">
        <x:v>MS-ET|A paper balance</x:v>
      </x:c>
      <x:c r="E7" s="19" t="str">
        <x:f>IF('Root Balance'!R7="BALANCED","PASS","FAIL")</x:f>
        <x:v>PASS</x:v>
      </x:c>
      <x:c r="F7" s="21" t="str">
        <x:v>TERMINAL</x:v>
      </x:c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AU-R-002</x:v>
      </x:c>
      <x:c r="D8" s="19" t="str">
        <x:v>MS-ET|B paper balance</x:v>
      </x:c>
      <x:c r="E8" s="19" t="str">
        <x:f>IF('Root Balance'!R8="BALANCED","PASS","FAIL")</x:f>
        <x:v>PASS</x:v>
      </x:c>
      <x:c r="F8" s="21" t="str">
        <x:v>TERMINAL</x:v>
      </x:c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AU-R-003</x:v>
      </x:c>
      <x:c r="D9" s="19" t="str">
        <x:v>MS-ET|C paper balance</x:v>
      </x:c>
      <x:c r="E9" s="19" t="str">
        <x:f>IF('Root Balance'!R9="BALANCED","PASS","FAIL")</x:f>
        <x:v>PASS</x:v>
      </x:c>
      <x:c r="F9" s="21" t="str">
        <x:v>TERMINAL</x:v>
      </x:c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AU-R-004</x:v>
      </x:c>
      <x:c r="D10" s="19" t="str">
        <x:v>MS-ET|D paper balance</x:v>
      </x:c>
      <x:c r="E10" s="19" t="str">
        <x:f>IF('Root Balance'!R10="BALANCED","PASS","FAIL")</x:f>
        <x:v>PASS</x:v>
      </x:c>
      <x:c r="F10" s="21" t="str">
        <x:v>TERMINAL</x:v>
      </x:c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AU-R-005</x:v>
      </x:c>
      <x:c r="D11" s="19" t="str">
        <x:v>MS-CT|A paper balance</x:v>
      </x:c>
      <x:c r="E11" s="19" t="str">
        <x:f>IF('Root Balance'!R11="BALANCED","PASS","FAIL")</x:f>
        <x:v>PASS</x:v>
      </x:c>
      <x:c r="F11" s="21" t="str">
        <x:v>TERMINAL</x:v>
      </x:c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AU-R-006</x:v>
      </x:c>
      <x:c r="D12" s="19" t="str">
        <x:v>MS-CT|B paper balance</x:v>
      </x:c>
      <x:c r="E12" s="19" t="str">
        <x:f>IF('Root Balance'!R12="BALANCED","PASS","FAIL")</x:f>
        <x:v>PASS</x:v>
      </x:c>
      <x:c r="F12" s="21" t="str">
        <x:v>TERMINAL</x:v>
      </x:c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AU-R-007</x:v>
      </x:c>
      <x:c r="D13" s="19" t="str">
        <x:v>MS-CT|C paper balance</x:v>
      </x:c>
      <x:c r="E13" s="19" t="str">
        <x:f>IF('Root Balance'!R13="BALANCED","PASS","FAIL")</x:f>
        <x:v>PASS</x:v>
      </x:c>
      <x:c r="F13" s="21" t="str">
        <x:v>TERMINAL</x:v>
      </x:c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AU-R-008</x:v>
      </x:c>
      <x:c r="D14" s="19" t="str">
        <x:v>MS-CT|D paper balance</x:v>
      </x:c>
      <x:c r="E14" s="19" t="str">
        <x:f>IF('Root Balance'!R14="BALANCED","PASS","FAIL")</x:f>
        <x:v>PASS</x:v>
      </x:c>
      <x:c r="F14" s="21" t="str">
        <x:v>TERMINAL</x:v>
      </x:c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AU-R-009</x:v>
      </x:c>
      <x:c r="D15" s="19" t="str">
        <x:v>MS-HC|A paper balance</x:v>
      </x:c>
      <x:c r="E15" s="19" t="str">
        <x:f>IF('Root Balance'!R15="BALANCED","PASS","FAIL")</x:f>
        <x:v>PASS</x:v>
      </x:c>
      <x:c r="F15" s="21" t="str">
        <x:v>TERMINAL</x:v>
      </x:c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AU-R-010</x:v>
      </x:c>
      <x:c r="D16" s="19" t="str">
        <x:v>MS-HC|B paper balance</x:v>
      </x:c>
      <x:c r="E16" s="19" t="str">
        <x:f>IF('Root Balance'!R16="BALANCED","PASS","FAIL")</x:f>
        <x:v>PASS</x:v>
      </x:c>
      <x:c r="F16" s="21" t="str">
        <x:v>TERMINAL</x:v>
      </x:c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19" t="str">
        <x:v>AU-R-011</x:v>
      </x:c>
      <x:c r="D17" s="19" t="str">
        <x:v>MS-HC|C paper balance</x:v>
      </x:c>
      <x:c r="E17" s="19" t="str">
        <x:f>IF('Root Balance'!R17="BALANCED","PASS","FAIL")</x:f>
        <x:v>PASS</x:v>
      </x:c>
      <x:c r="F17" s="21" t="str">
        <x:v>TERMINAL</x:v>
      </x:c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19" t="str">
        <x:v>AU-R-012</x:v>
      </x:c>
      <x:c r="D18" s="19" t="str">
        <x:v>MS-HC|D paper balance</x:v>
      </x:c>
      <x:c r="E18" s="19" t="str">
        <x:f>IF('Root Balance'!R18="BALANCED","PASS","FAIL")</x:f>
        <x:v>PASS</x:v>
      </x:c>
      <x:c r="F18" s="21" t="str">
        <x:v>TERMINAL</x:v>
      </x:c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19" t="str">
        <x:v>AU-R-013</x:v>
      </x:c>
      <x:c r="D19" s="19" t="str">
        <x:v>MS-HU|A paper balance</x:v>
      </x:c>
      <x:c r="E19" s="19" t="str">
        <x:f>IF('Root Balance'!R19="BALANCED","PASS","FAIL")</x:f>
        <x:v>PASS</x:v>
      </x:c>
      <x:c r="F19" s="21" t="str">
        <x:v>TERMINAL</x:v>
      </x:c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19" t="str">
        <x:v>AU-R-014</x:v>
      </x:c>
      <x:c r="D20" s="19" t="str">
        <x:v>MS-HU|B paper balance</x:v>
      </x:c>
      <x:c r="E20" s="19" t="str">
        <x:f>IF('Root Balance'!R20="BALANCED","PASS","FAIL")</x:f>
        <x:v>PASS</x:v>
      </x:c>
      <x:c r="F20" s="21" t="str">
        <x:v>TERMINAL</x:v>
      </x:c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  <x:row r="21">
      <x:c r="C21" s="19" t="str">
        <x:v>AU-R-015</x:v>
      </x:c>
      <x:c r="D21" s="19" t="str">
        <x:v>MS-HU|C paper balance</x:v>
      </x:c>
      <x:c r="E21" s="19" t="str">
        <x:f>IF('Root Balance'!R21="BALANCED","PASS","FAIL")</x:f>
        <x:v>PASS</x:v>
      </x:c>
      <x:c r="F21" s="21" t="str">
        <x:v>TERMINAL</x:v>
      </x:c>
      <x:c r="G21" s="75"/>
      <x:c r="H21" s="75"/>
      <x:c r="I21" s="75"/>
      <x:c r="J21" s="75"/>
      <x:c r="K21" s="75"/>
      <x:c r="L21" s="75"/>
      <x:c r="M21" s="75"/>
      <x:c r="N21" s="75"/>
      <x:c r="O21" s="75"/>
      <x:c r="P21" s="75"/>
      <x:c r="Q21" s="75"/>
      <x:c r="R21" s="75"/>
      <x:c r="S21" s="75"/>
      <x:c r="T21" s="75"/>
      <x:c r="U21" s="75"/>
      <x:c r="V21" s="75"/>
      <x:c r="W21" s="75"/>
      <x:c r="X21" s="75"/>
      <x:c r="Y21" s="75"/>
      <x:c r="Z21" s="75"/>
    </x:row>
    <x:row r="22">
      <x:c r="C22" s="19" t="str">
        <x:v>AU-R-016</x:v>
      </x:c>
      <x:c r="D22" s="19" t="str">
        <x:v>MS-HU|D paper balance</x:v>
      </x:c>
      <x:c r="E22" s="19" t="str">
        <x:f>IF('Root Balance'!R22="BALANCED","PASS","FAIL")</x:f>
        <x:v>PASS</x:v>
      </x:c>
      <x:c r="F22" s="21" t="str">
        <x:v>TERMINAL</x:v>
      </x:c>
      <x:c r="G22" s="75"/>
      <x:c r="H22" s="75"/>
      <x:c r="I22" s="75"/>
      <x:c r="J22" s="75"/>
      <x:c r="K22" s="75"/>
      <x:c r="L22" s="75"/>
      <x:c r="M22" s="75"/>
      <x:c r="N22" s="75"/>
      <x:c r="O22" s="75"/>
      <x:c r="P22" s="75"/>
      <x:c r="Q22" s="75"/>
      <x:c r="R22" s="75"/>
      <x:c r="S22" s="75"/>
      <x:c r="T22" s="75"/>
      <x:c r="U22" s="75"/>
      <x:c r="V22" s="75"/>
      <x:c r="W22" s="75"/>
      <x:c r="X22" s="75"/>
      <x:c r="Y22" s="75"/>
      <x:c r="Z22" s="75"/>
    </x:row>
    <x:row r="23">
      <x:c r="C23" s="19" t="str">
        <x:v>AU-R-017</x:v>
      </x:c>
      <x:c r="D23" s="19" t="str">
        <x:v>MS-RT|A paper balance</x:v>
      </x:c>
      <x:c r="E23" s="19" t="str">
        <x:f>IF('Root Balance'!R23="BALANCED","PASS","FAIL")</x:f>
        <x:v>PASS</x:v>
      </x:c>
      <x:c r="F23" s="21" t="str">
        <x:v>TERMINAL</x:v>
      </x:c>
      <x:c r="G23" s="75"/>
      <x:c r="H23" s="75"/>
      <x:c r="I23" s="75"/>
      <x:c r="J23" s="75"/>
      <x:c r="K23" s="75"/>
      <x:c r="L23" s="75"/>
      <x:c r="M23" s="75"/>
      <x:c r="N23" s="75"/>
      <x:c r="O23" s="75"/>
      <x:c r="P23" s="75"/>
      <x:c r="Q23" s="75"/>
      <x:c r="R23" s="75"/>
      <x:c r="S23" s="75"/>
      <x:c r="T23" s="75"/>
      <x:c r="U23" s="75"/>
      <x:c r="V23" s="75"/>
      <x:c r="W23" s="75"/>
      <x:c r="X23" s="75"/>
      <x:c r="Y23" s="75"/>
      <x:c r="Z23" s="75"/>
    </x:row>
    <x:row r="24">
      <x:c r="C24" s="19" t="str">
        <x:v>AU-R-018</x:v>
      </x:c>
      <x:c r="D24" s="19" t="str">
        <x:v>MS-RT|B paper balance</x:v>
      </x:c>
      <x:c r="E24" s="19" t="str">
        <x:f>IF('Root Balance'!R24="BALANCED","PASS","FAIL")</x:f>
        <x:v>PASS</x:v>
      </x:c>
      <x:c r="F24" s="21" t="str">
        <x:v>TERMINAL</x:v>
      </x:c>
      <x:c r="G24" s="75"/>
      <x:c r="H24" s="75"/>
      <x:c r="I24" s="75"/>
      <x:c r="J24" s="75"/>
      <x:c r="K24" s="75"/>
      <x:c r="L24" s="75"/>
      <x:c r="M24" s="75"/>
      <x:c r="N24" s="75"/>
      <x:c r="O24" s="75"/>
      <x:c r="P24" s="75"/>
      <x:c r="Q24" s="75"/>
      <x:c r="R24" s="75"/>
      <x:c r="S24" s="75"/>
      <x:c r="T24" s="75"/>
      <x:c r="U24" s="75"/>
      <x:c r="V24" s="75"/>
      <x:c r="W24" s="75"/>
      <x:c r="X24" s="75"/>
      <x:c r="Y24" s="75"/>
      <x:c r="Z24" s="75"/>
    </x:row>
    <x:row r="25">
      <x:c r="C25" s="19" t="str">
        <x:v>AU-R-019</x:v>
      </x:c>
      <x:c r="D25" s="19" t="str">
        <x:v>MS-RT|C paper balance</x:v>
      </x:c>
      <x:c r="E25" s="19" t="str">
        <x:f>IF('Root Balance'!R25="BALANCED","PASS","FAIL")</x:f>
        <x:v>PASS</x:v>
      </x:c>
      <x:c r="F25" s="21" t="str">
        <x:v>TERMINAL</x:v>
      </x:c>
      <x:c r="G25" s="75"/>
      <x:c r="H25" s="75"/>
      <x:c r="I25" s="75"/>
      <x:c r="J25" s="75"/>
      <x:c r="K25" s="75"/>
      <x:c r="L25" s="75"/>
      <x:c r="M25" s="75"/>
      <x:c r="N25" s="75"/>
      <x:c r="O25" s="75"/>
      <x:c r="P25" s="75"/>
      <x:c r="Q25" s="75"/>
      <x:c r="R25" s="75"/>
      <x:c r="S25" s="75"/>
      <x:c r="T25" s="75"/>
      <x:c r="U25" s="75"/>
      <x:c r="V25" s="75"/>
      <x:c r="W25" s="75"/>
      <x:c r="X25" s="75"/>
      <x:c r="Y25" s="75"/>
      <x:c r="Z25" s="75"/>
    </x:row>
    <x:row r="26">
      <x:c r="C26" s="19" t="str">
        <x:v>AU-R-020</x:v>
      </x:c>
      <x:c r="D26" s="19" t="str">
        <x:v>MS-RT|D paper balance</x:v>
      </x:c>
      <x:c r="E26" s="19" t="str">
        <x:f>IF('Root Balance'!R26="BALANCED","PASS","FAIL")</x:f>
        <x:v>PASS</x:v>
      </x:c>
      <x:c r="F26" s="21" t="str">
        <x:v>TERMINAL</x:v>
      </x:c>
      <x:c r="G26" s="75"/>
      <x:c r="H26" s="75"/>
      <x:c r="I26" s="75"/>
      <x:c r="J26" s="75"/>
      <x:c r="K26" s="75"/>
      <x:c r="L26" s="75"/>
      <x:c r="M26" s="75"/>
      <x:c r="N26" s="75"/>
      <x:c r="O26" s="75"/>
      <x:c r="P26" s="75"/>
      <x:c r="Q26" s="75"/>
      <x:c r="R26" s="75"/>
      <x:c r="S26" s="75"/>
      <x:c r="T26" s="75"/>
      <x:c r="U26" s="75"/>
      <x:c r="V26" s="75"/>
      <x:c r="W26" s="75"/>
      <x:c r="X26" s="75"/>
      <x:c r="Y26" s="75"/>
      <x:c r="Z26" s="75"/>
    </x:row>
    <x:row r="27">
      <x:c r="C27" s="19" t="str">
        <x:v>AU-A-001</x:v>
      </x:c>
      <x:c r="D27" s="19" t="str">
        <x:v>MS-ET|A Mass case</x:v>
      </x:c>
      <x:c r="E27" s="19" t="str">
        <x:f>IF('Account Cases'!J7="PASS","PASS","FAIL")</x:f>
        <x:v>PASS</x:v>
      </x:c>
      <x:c r="F27" s="21" t="str">
        <x:v>TERMINAL</x:v>
      </x:c>
      <x:c r="G27" s="75"/>
      <x:c r="H27" s="75"/>
      <x:c r="I27" s="75"/>
      <x:c r="J27" s="75"/>
      <x:c r="K27" s="75"/>
      <x:c r="L27" s="75"/>
      <x:c r="M27" s="75"/>
      <x:c r="N27" s="75"/>
      <x:c r="O27" s="75"/>
      <x:c r="P27" s="75"/>
      <x:c r="Q27" s="75"/>
      <x:c r="R27" s="75"/>
      <x:c r="S27" s="75"/>
      <x:c r="T27" s="75"/>
      <x:c r="U27" s="75"/>
      <x:c r="V27" s="75"/>
      <x:c r="W27" s="75"/>
      <x:c r="X27" s="75"/>
      <x:c r="Y27" s="75"/>
      <x:c r="Z27" s="75"/>
    </x:row>
    <x:row r="28">
      <x:c r="C28" s="19" t="str">
        <x:v>AU-A-002</x:v>
      </x:c>
      <x:c r="D28" s="19" t="str">
        <x:v>MS-ET|A Energy case</x:v>
      </x:c>
      <x:c r="E28" s="19" t="str">
        <x:f>IF('Account Cases'!J8="PASS","PASS","FAIL")</x:f>
        <x:v>PASS</x:v>
      </x:c>
      <x:c r="F28" s="21" t="str">
        <x:v>TERMINAL</x:v>
      </x:c>
      <x:c r="G28" s="75"/>
      <x:c r="H28" s="75"/>
      <x:c r="I28" s="75"/>
      <x:c r="J28" s="75"/>
      <x:c r="K28" s="75"/>
      <x:c r="L28" s="75"/>
      <x:c r="M28" s="75"/>
      <x:c r="N28" s="75"/>
      <x:c r="O28" s="75"/>
      <x:c r="P28" s="75"/>
      <x:c r="Q28" s="75"/>
      <x:c r="R28" s="75"/>
      <x:c r="S28" s="75"/>
      <x:c r="T28" s="75"/>
      <x:c r="U28" s="75"/>
      <x:c r="V28" s="75"/>
      <x:c r="W28" s="75"/>
      <x:c r="X28" s="75"/>
      <x:c r="Y28" s="75"/>
      <x:c r="Z28" s="75"/>
    </x:row>
    <x:row r="29">
      <x:c r="C29" s="19" t="str">
        <x:v>AU-A-003</x:v>
      </x:c>
      <x:c r="D29" s="19" t="str">
        <x:v>MS-ET|A Route flow case</x:v>
      </x:c>
      <x:c r="E29" s="19" t="str">
        <x:f>IF('Account Cases'!J9="PASS","PASS","FAIL")</x:f>
        <x:v>PASS</x:v>
      </x:c>
      <x:c r="F29" s="21" t="str">
        <x:v>TERMINAL</x:v>
      </x:c>
      <x:c r="G29" s="75"/>
      <x:c r="H29" s="75"/>
      <x:c r="I29" s="75"/>
      <x:c r="J29" s="75"/>
      <x:c r="K29" s="75"/>
      <x:c r="L29" s="75"/>
      <x:c r="M29" s="75"/>
      <x:c r="N29" s="75"/>
      <x:c r="O29" s="75"/>
      <x:c r="P29" s="75"/>
      <x:c r="Q29" s="75"/>
      <x:c r="R29" s="75"/>
      <x:c r="S29" s="75"/>
      <x:c r="T29" s="75"/>
      <x:c r="U29" s="75"/>
      <x:c r="V29" s="75"/>
      <x:c r="W29" s="75"/>
      <x:c r="X29" s="75"/>
      <x:c r="Y29" s="75"/>
      <x:c r="Z29" s="75"/>
    </x:row>
    <x:row r="30">
      <x:c r="C30" s="19" t="str">
        <x:v>AU-A-004</x:v>
      </x:c>
      <x:c r="D30" s="19" t="str">
        <x:v>MS-ET|A Labor case</x:v>
      </x:c>
      <x:c r="E30" s="19" t="str">
        <x:f>IF('Account Cases'!J10="PASS","PASS","FAIL")</x:f>
        <x:v>PASS</x:v>
      </x:c>
      <x:c r="F30" s="21" t="str">
        <x:v>TERMINAL</x:v>
      </x:c>
      <x:c r="G30" s="75"/>
      <x:c r="H30" s="75"/>
      <x:c r="I30" s="75"/>
      <x:c r="J30" s="75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</x:row>
    <x:row r="31">
      <x:c r="C31" s="19" t="str">
        <x:v>AU-A-005</x:v>
      </x:c>
      <x:c r="D31" s="19" t="str">
        <x:v>MS-ET|A Safety case</x:v>
      </x:c>
      <x:c r="E31" s="19" t="str">
        <x:f>IF('Account Cases'!J11="PASS","PASS","FAIL")</x:f>
        <x:v>PASS</x:v>
      </x:c>
      <x:c r="F31" s="21" t="str">
        <x:v>TERMINAL</x:v>
      </x:c>
      <x:c r="G31" s="75"/>
      <x:c r="H31" s="75"/>
      <x:c r="I31" s="75"/>
      <x:c r="J31" s="75"/>
      <x:c r="K31" s="75"/>
      <x:c r="L31" s="75"/>
      <x:c r="M31" s="75"/>
      <x:c r="N31" s="75"/>
      <x:c r="O31" s="75"/>
      <x:c r="P31" s="75"/>
      <x:c r="Q31" s="75"/>
      <x:c r="R31" s="75"/>
      <x:c r="S31" s="75"/>
      <x:c r="T31" s="75"/>
      <x:c r="U31" s="75"/>
      <x:c r="V31" s="75"/>
      <x:c r="W31" s="75"/>
      <x:c r="X31" s="75"/>
      <x:c r="Y31" s="75"/>
      <x:c r="Z31" s="75"/>
    </x:row>
    <x:row r="32">
      <x:c r="C32" s="19" t="str">
        <x:v>AU-A-006</x:v>
      </x:c>
      <x:c r="D32" s="19" t="str">
        <x:v>MS-ET|A Receiver case</x:v>
      </x:c>
      <x:c r="E32" s="19" t="str">
        <x:f>IF('Account Cases'!J12="PASS","PASS","FAIL")</x:f>
        <x:v>PASS</x:v>
      </x:c>
      <x:c r="F32" s="21" t="str">
        <x:v>TERMINAL</x:v>
      </x:c>
      <x:c r="G32" s="75"/>
      <x:c r="H32" s="75"/>
      <x:c r="I32" s="75"/>
      <x:c r="J32" s="75"/>
      <x:c r="K32" s="75"/>
      <x:c r="L32" s="75"/>
      <x:c r="M32" s="75"/>
      <x:c r="N32" s="75"/>
      <x:c r="O32" s="75"/>
      <x:c r="P32" s="75"/>
      <x:c r="Q32" s="75"/>
      <x:c r="R32" s="75"/>
      <x:c r="S32" s="75"/>
      <x:c r="T32" s="75"/>
      <x:c r="U32" s="75"/>
      <x:c r="V32" s="75"/>
      <x:c r="W32" s="75"/>
      <x:c r="X32" s="75"/>
      <x:c r="Y32" s="75"/>
      <x:c r="Z32" s="75"/>
    </x:row>
    <x:row r="33">
      <x:c r="C33" s="19" t="str">
        <x:v>AU-A-007</x:v>
      </x:c>
      <x:c r="D33" s="19" t="str">
        <x:v>MS-ET|A Residual case</x:v>
      </x:c>
      <x:c r="E33" s="19" t="str">
        <x:f>IF('Account Cases'!J13="PASS","PASS","FAIL")</x:f>
        <x:v>PASS</x:v>
      </x:c>
      <x:c r="F33" s="21" t="str">
        <x:v>TERMINAL</x:v>
      </x:c>
      <x:c r="G33" s="75"/>
      <x:c r="H33" s="75"/>
      <x:c r="I33" s="75"/>
      <x:c r="J33" s="75"/>
      <x:c r="K33" s="75"/>
      <x:c r="L33" s="75"/>
      <x:c r="M33" s="75"/>
      <x:c r="N33" s="75"/>
      <x:c r="O33" s="75"/>
      <x:c r="P33" s="75"/>
      <x:c r="Q33" s="75"/>
      <x:c r="R33" s="75"/>
      <x:c r="S33" s="75"/>
      <x:c r="T33" s="75"/>
      <x:c r="U33" s="75"/>
      <x:c r="V33" s="75"/>
      <x:c r="W33" s="75"/>
      <x:c r="X33" s="75"/>
      <x:c r="Y33" s="75"/>
      <x:c r="Z33" s="75"/>
    </x:row>
    <x:row r="34">
      <x:c r="C34" s="19" t="str">
        <x:v>AU-A-008</x:v>
      </x:c>
      <x:c r="D34" s="19" t="str">
        <x:v>MS-ET|B Mass case</x:v>
      </x:c>
      <x:c r="E34" s="19" t="str">
        <x:f>IF('Account Cases'!J14="PASS","PASS","FAIL")</x:f>
        <x:v>PASS</x:v>
      </x:c>
      <x:c r="F34" s="21" t="str">
        <x:v>TERMINAL</x:v>
      </x:c>
      <x:c r="G34" s="75"/>
      <x:c r="H34" s="75"/>
      <x:c r="I34" s="75"/>
      <x:c r="J34" s="75"/>
      <x:c r="K34" s="75"/>
      <x:c r="L34" s="75"/>
      <x:c r="M34" s="75"/>
      <x:c r="N34" s="75"/>
      <x:c r="O34" s="75"/>
      <x:c r="P34" s="75"/>
      <x:c r="Q34" s="75"/>
      <x:c r="R34" s="75"/>
      <x:c r="S34" s="75"/>
      <x:c r="T34" s="75"/>
      <x:c r="U34" s="75"/>
      <x:c r="V34" s="75"/>
      <x:c r="W34" s="75"/>
      <x:c r="X34" s="75"/>
      <x:c r="Y34" s="75"/>
      <x:c r="Z34" s="75"/>
    </x:row>
    <x:row r="35">
      <x:c r="C35" s="19" t="str">
        <x:v>AU-A-009</x:v>
      </x:c>
      <x:c r="D35" s="19" t="str">
        <x:v>MS-ET|B Energy case</x:v>
      </x:c>
      <x:c r="E35" s="19" t="str">
        <x:f>IF('Account Cases'!J15="PASS","PASS","FAIL")</x:f>
        <x:v>PASS</x:v>
      </x:c>
      <x:c r="F35" s="21" t="str">
        <x:v>TERMINAL</x:v>
      </x:c>
      <x:c r="G35" s="75"/>
      <x:c r="H35" s="75"/>
      <x:c r="I35" s="75"/>
      <x:c r="J35" s="75"/>
      <x:c r="K35" s="75"/>
      <x:c r="L35" s="75"/>
      <x:c r="M35" s="75"/>
      <x:c r="N35" s="75"/>
      <x:c r="O35" s="75"/>
      <x:c r="P35" s="75"/>
      <x:c r="Q35" s="75"/>
      <x:c r="R35" s="75"/>
      <x:c r="S35" s="75"/>
      <x:c r="T35" s="75"/>
      <x:c r="U35" s="75"/>
      <x:c r="V35" s="75"/>
      <x:c r="W35" s="75"/>
      <x:c r="X35" s="75"/>
      <x:c r="Y35" s="75"/>
      <x:c r="Z35" s="75"/>
    </x:row>
    <x:row r="36">
      <x:c r="C36" s="19" t="str">
        <x:v>AU-A-010</x:v>
      </x:c>
      <x:c r="D36" s="19" t="str">
        <x:v>MS-ET|B Route flow case</x:v>
      </x:c>
      <x:c r="E36" s="19" t="str">
        <x:f>IF('Account Cases'!J16="PASS","PASS","FAIL")</x:f>
        <x:v>PASS</x:v>
      </x:c>
      <x:c r="F36" s="21" t="str">
        <x:v>TERMINAL</x:v>
      </x:c>
      <x:c r="G36" s="75"/>
      <x:c r="H36" s="75"/>
      <x:c r="I36" s="75"/>
      <x:c r="J36" s="75"/>
      <x:c r="K36" s="75"/>
      <x:c r="L36" s="75"/>
      <x:c r="M36" s="75"/>
      <x:c r="N36" s="75"/>
      <x:c r="O36" s="75"/>
      <x:c r="P36" s="75"/>
      <x:c r="Q36" s="75"/>
      <x:c r="R36" s="75"/>
      <x:c r="S36" s="75"/>
      <x:c r="T36" s="75"/>
      <x:c r="U36" s="75"/>
      <x:c r="V36" s="75"/>
      <x:c r="W36" s="75"/>
      <x:c r="X36" s="75"/>
      <x:c r="Y36" s="75"/>
      <x:c r="Z36" s="75"/>
    </x:row>
    <x:row r="37">
      <x:c r="C37" s="19" t="str">
        <x:v>AU-A-011</x:v>
      </x:c>
      <x:c r="D37" s="19" t="str">
        <x:v>MS-ET|B Labor case</x:v>
      </x:c>
      <x:c r="E37" s="19" t="str">
        <x:f>IF('Account Cases'!J17="PASS","PASS","FAIL")</x:f>
        <x:v>PASS</x:v>
      </x:c>
      <x:c r="F37" s="21" t="str">
        <x:v>TERMINAL</x:v>
      </x:c>
      <x:c r="G37" s="75"/>
      <x:c r="H37" s="75"/>
      <x:c r="I37" s="75"/>
      <x:c r="J37" s="75"/>
      <x:c r="K37" s="75"/>
      <x:c r="L37" s="75"/>
      <x:c r="M37" s="75"/>
      <x:c r="N37" s="75"/>
      <x:c r="O37" s="75"/>
      <x:c r="P37" s="75"/>
      <x:c r="Q37" s="75"/>
      <x:c r="R37" s="75"/>
      <x:c r="S37" s="75"/>
      <x:c r="T37" s="75"/>
      <x:c r="U37" s="75"/>
      <x:c r="V37" s="75"/>
      <x:c r="W37" s="75"/>
      <x:c r="X37" s="75"/>
      <x:c r="Y37" s="75"/>
      <x:c r="Z37" s="75"/>
    </x:row>
    <x:row r="38">
      <x:c r="C38" s="19" t="str">
        <x:v>AU-A-012</x:v>
      </x:c>
      <x:c r="D38" s="19" t="str">
        <x:v>MS-ET|B Safety case</x:v>
      </x:c>
      <x:c r="E38" s="19" t="str">
        <x:f>IF('Account Cases'!J18="PASS","PASS","FAIL")</x:f>
        <x:v>PASS</x:v>
      </x:c>
      <x:c r="F38" s="21" t="str">
        <x:v>TERMINAL</x:v>
      </x:c>
      <x:c r="G38" s="75"/>
      <x:c r="H38" s="75"/>
      <x:c r="I38" s="75"/>
      <x:c r="J38" s="75"/>
      <x:c r="K38" s="75"/>
      <x:c r="L38" s="75"/>
      <x:c r="M38" s="75"/>
      <x:c r="N38" s="75"/>
      <x:c r="O38" s="75"/>
      <x:c r="P38" s="75"/>
      <x:c r="Q38" s="75"/>
      <x:c r="R38" s="75"/>
      <x:c r="S38" s="75"/>
      <x:c r="T38" s="75"/>
      <x:c r="U38" s="75"/>
      <x:c r="V38" s="75"/>
      <x:c r="W38" s="75"/>
      <x:c r="X38" s="75"/>
      <x:c r="Y38" s="75"/>
      <x:c r="Z38" s="75"/>
    </x:row>
    <x:row r="39">
      <x:c r="C39" s="19" t="str">
        <x:v>AU-A-013</x:v>
      </x:c>
      <x:c r="D39" s="19" t="str">
        <x:v>MS-ET|B Receiver case</x:v>
      </x:c>
      <x:c r="E39" s="19" t="str">
        <x:f>IF('Account Cases'!J19="PASS","PASS","FAIL")</x:f>
        <x:v>PASS</x:v>
      </x:c>
      <x:c r="F39" s="21" t="str">
        <x:v>TERMINAL</x:v>
      </x:c>
      <x:c r="G39" s="75"/>
      <x:c r="H39" s="75"/>
      <x:c r="I39" s="75"/>
      <x:c r="J39" s="75"/>
      <x:c r="K39" s="75"/>
      <x:c r="L39" s="75"/>
      <x:c r="M39" s="75"/>
      <x:c r="N39" s="75"/>
      <x:c r="O39" s="75"/>
      <x:c r="P39" s="75"/>
      <x:c r="Q39" s="75"/>
      <x:c r="R39" s="75"/>
      <x:c r="S39" s="75"/>
      <x:c r="T39" s="75"/>
      <x:c r="U39" s="75"/>
      <x:c r="V39" s="75"/>
      <x:c r="W39" s="75"/>
      <x:c r="X39" s="75"/>
      <x:c r="Y39" s="75"/>
      <x:c r="Z39" s="75"/>
    </x:row>
    <x:row r="40">
      <x:c r="C40" s="19" t="str">
        <x:v>AU-A-014</x:v>
      </x:c>
      <x:c r="D40" s="19" t="str">
        <x:v>MS-ET|B Residual case</x:v>
      </x:c>
      <x:c r="E40" s="19" t="str">
        <x:f>IF('Account Cases'!J20="PASS","PASS","FAIL")</x:f>
        <x:v>PASS</x:v>
      </x:c>
      <x:c r="F40" s="21" t="str">
        <x:v>TERMINAL</x:v>
      </x:c>
      <x:c r="G40" s="75"/>
      <x:c r="H40" s="75"/>
      <x:c r="I40" s="75"/>
      <x:c r="J40" s="75"/>
      <x:c r="K40" s="75"/>
      <x:c r="L40" s="75"/>
      <x:c r="M40" s="75"/>
      <x:c r="N40" s="75"/>
      <x:c r="O40" s="75"/>
      <x:c r="P40" s="75"/>
      <x:c r="Q40" s="75"/>
      <x:c r="R40" s="75"/>
      <x:c r="S40" s="75"/>
      <x:c r="T40" s="75"/>
      <x:c r="U40" s="75"/>
      <x:c r="V40" s="75"/>
      <x:c r="W40" s="75"/>
      <x:c r="X40" s="75"/>
      <x:c r="Y40" s="75"/>
      <x:c r="Z40" s="75"/>
    </x:row>
    <x:row r="41">
      <x:c r="C41" s="19" t="str">
        <x:v>AU-A-015</x:v>
      </x:c>
      <x:c r="D41" s="19" t="str">
        <x:v>MS-ET|C Mass case</x:v>
      </x:c>
      <x:c r="E41" s="19" t="str">
        <x:f>IF('Account Cases'!J21="PASS","PASS","FAIL")</x:f>
        <x:v>PASS</x:v>
      </x:c>
      <x:c r="F41" s="21" t="str">
        <x:v>TERMINAL</x:v>
      </x:c>
      <x:c r="G41" s="75"/>
      <x:c r="H41" s="75"/>
      <x:c r="I41" s="75"/>
      <x:c r="J41" s="75"/>
      <x:c r="K41" s="75"/>
      <x:c r="L41" s="75"/>
      <x:c r="M41" s="75"/>
      <x:c r="N41" s="75"/>
      <x:c r="O41" s="75"/>
      <x:c r="P41" s="75"/>
      <x:c r="Q41" s="75"/>
      <x:c r="R41" s="75"/>
      <x:c r="S41" s="75"/>
      <x:c r="T41" s="75"/>
      <x:c r="U41" s="75"/>
      <x:c r="V41" s="75"/>
      <x:c r="W41" s="75"/>
      <x:c r="X41" s="75"/>
      <x:c r="Y41" s="75"/>
      <x:c r="Z41" s="75"/>
    </x:row>
    <x:row r="42">
      <x:c r="C42" s="19" t="str">
        <x:v>AU-A-016</x:v>
      </x:c>
      <x:c r="D42" s="19" t="str">
        <x:v>MS-ET|C Energy case</x:v>
      </x:c>
      <x:c r="E42" s="19" t="str">
        <x:f>IF('Account Cases'!J22="PASS","PASS","FAIL")</x:f>
        <x:v>PASS</x:v>
      </x:c>
      <x:c r="F42" s="21" t="str">
        <x:v>TERMINAL</x:v>
      </x:c>
      <x:c r="G42" s="75"/>
      <x:c r="H42" s="75"/>
      <x:c r="I42" s="75"/>
      <x:c r="J42" s="75"/>
      <x:c r="K42" s="75"/>
      <x:c r="L42" s="75"/>
      <x:c r="M42" s="75"/>
      <x:c r="N42" s="75"/>
      <x:c r="O42" s="75"/>
      <x:c r="P42" s="75"/>
      <x:c r="Q42" s="75"/>
      <x:c r="R42" s="75"/>
      <x:c r="S42" s="75"/>
      <x:c r="T42" s="75"/>
      <x:c r="U42" s="75"/>
      <x:c r="V42" s="75"/>
      <x:c r="W42" s="75"/>
      <x:c r="X42" s="75"/>
      <x:c r="Y42" s="75"/>
      <x:c r="Z42" s="75"/>
    </x:row>
    <x:row r="43">
      <x:c r="C43" s="19" t="str">
        <x:v>AU-A-017</x:v>
      </x:c>
      <x:c r="D43" s="19" t="str">
        <x:v>MS-ET|C Route flow case</x:v>
      </x:c>
      <x:c r="E43" s="19" t="str">
        <x:f>IF('Account Cases'!J23="PASS","PASS","FAIL")</x:f>
        <x:v>PASS</x:v>
      </x:c>
      <x:c r="F43" s="21" t="str">
        <x:v>TERMINAL</x:v>
      </x:c>
      <x:c r="G43" s="75"/>
      <x:c r="H43" s="75"/>
      <x:c r="I43" s="75"/>
      <x:c r="J43" s="75"/>
      <x:c r="K43" s="75"/>
      <x:c r="L43" s="75"/>
      <x:c r="M43" s="75"/>
      <x:c r="N43" s="75"/>
      <x:c r="O43" s="75"/>
      <x:c r="P43" s="75"/>
      <x:c r="Q43" s="75"/>
      <x:c r="R43" s="75"/>
      <x:c r="S43" s="75"/>
      <x:c r="T43" s="75"/>
      <x:c r="U43" s="75"/>
      <x:c r="V43" s="75"/>
      <x:c r="W43" s="75"/>
      <x:c r="X43" s="75"/>
      <x:c r="Y43" s="75"/>
      <x:c r="Z43" s="75"/>
    </x:row>
    <x:row r="44">
      <x:c r="C44" s="19" t="str">
        <x:v>AU-A-018</x:v>
      </x:c>
      <x:c r="D44" s="19" t="str">
        <x:v>MS-ET|C Labor case</x:v>
      </x:c>
      <x:c r="E44" s="19" t="str">
        <x:f>IF('Account Cases'!J24="PASS","PASS","FAIL")</x:f>
        <x:v>PASS</x:v>
      </x:c>
      <x:c r="F44" s="21" t="str">
        <x:v>TERMINAL</x:v>
      </x:c>
      <x:c r="G44" s="75"/>
      <x:c r="H44" s="75"/>
      <x:c r="I44" s="75"/>
      <x:c r="J44" s="75"/>
      <x:c r="K44" s="75"/>
      <x:c r="L44" s="75"/>
      <x:c r="M44" s="75"/>
      <x:c r="N44" s="75"/>
      <x:c r="O44" s="75"/>
      <x:c r="P44" s="75"/>
      <x:c r="Q44" s="75"/>
      <x:c r="R44" s="75"/>
      <x:c r="S44" s="75"/>
      <x:c r="T44" s="75"/>
      <x:c r="U44" s="75"/>
      <x:c r="V44" s="75"/>
      <x:c r="W44" s="75"/>
      <x:c r="X44" s="75"/>
      <x:c r="Y44" s="75"/>
      <x:c r="Z44" s="75"/>
    </x:row>
    <x:row r="45">
      <x:c r="C45" s="19" t="str">
        <x:v>AU-A-019</x:v>
      </x:c>
      <x:c r="D45" s="19" t="str">
        <x:v>MS-ET|C Safety case</x:v>
      </x:c>
      <x:c r="E45" s="19" t="str">
        <x:f>IF('Account Cases'!J25="PASS","PASS","FAIL")</x:f>
        <x:v>PASS</x:v>
      </x:c>
      <x:c r="F45" s="21" t="str">
        <x:v>TERMINAL</x:v>
      </x:c>
      <x:c r="G45" s="75"/>
      <x:c r="H45" s="75"/>
      <x:c r="I45" s="75"/>
      <x:c r="J45" s="75"/>
      <x:c r="K45" s="75"/>
      <x:c r="L45" s="75"/>
      <x:c r="M45" s="75"/>
      <x:c r="N45" s="75"/>
      <x:c r="O45" s="75"/>
      <x:c r="P45" s="75"/>
      <x:c r="Q45" s="75"/>
      <x:c r="R45" s="75"/>
      <x:c r="S45" s="75"/>
      <x:c r="T45" s="75"/>
      <x:c r="U45" s="75"/>
      <x:c r="V45" s="75"/>
      <x:c r="W45" s="75"/>
      <x:c r="X45" s="75"/>
      <x:c r="Y45" s="75"/>
      <x:c r="Z45" s="75"/>
    </x:row>
    <x:row r="46">
      <x:c r="C46" s="19" t="str">
        <x:v>AU-A-020</x:v>
      </x:c>
      <x:c r="D46" s="19" t="str">
        <x:v>MS-ET|C Receiver case</x:v>
      </x:c>
      <x:c r="E46" s="19" t="str">
        <x:f>IF('Account Cases'!J26="PASS","PASS","FAIL")</x:f>
        <x:v>PASS</x:v>
      </x:c>
      <x:c r="F46" s="21" t="str">
        <x:v>TERMINAL</x:v>
      </x:c>
      <x:c r="G46" s="75"/>
      <x:c r="H46" s="75"/>
      <x:c r="I46" s="75"/>
      <x:c r="J46" s="75"/>
      <x:c r="K46" s="75"/>
      <x:c r="L46" s="75"/>
      <x:c r="M46" s="75"/>
      <x:c r="N46" s="75"/>
      <x:c r="O46" s="75"/>
      <x:c r="P46" s="75"/>
      <x:c r="Q46" s="75"/>
      <x:c r="R46" s="75"/>
      <x:c r="S46" s="75"/>
      <x:c r="T46" s="75"/>
      <x:c r="U46" s="75"/>
      <x:c r="V46" s="75"/>
      <x:c r="W46" s="75"/>
      <x:c r="X46" s="75"/>
      <x:c r="Y46" s="75"/>
      <x:c r="Z46" s="75"/>
    </x:row>
    <x:row r="47">
      <x:c r="C47" s="19" t="str">
        <x:v>AU-A-021</x:v>
      </x:c>
      <x:c r="D47" s="19" t="str">
        <x:v>MS-ET|C Residual case</x:v>
      </x:c>
      <x:c r="E47" s="19" t="str">
        <x:f>IF('Account Cases'!J27="PASS","PASS","FAIL")</x:f>
        <x:v>PASS</x:v>
      </x:c>
      <x:c r="F47" s="21" t="str">
        <x:v>TERMINAL</x:v>
      </x:c>
      <x:c r="G47" s="75"/>
      <x:c r="H47" s="75"/>
      <x:c r="I47" s="75"/>
      <x:c r="J47" s="75"/>
      <x:c r="K47" s="75"/>
      <x:c r="L47" s="75"/>
      <x:c r="M47" s="75"/>
      <x:c r="N47" s="75"/>
      <x:c r="O47" s="75"/>
      <x:c r="P47" s="75"/>
      <x:c r="Q47" s="75"/>
      <x:c r="R47" s="75"/>
      <x:c r="S47" s="75"/>
      <x:c r="T47" s="75"/>
      <x:c r="U47" s="75"/>
      <x:c r="V47" s="75"/>
      <x:c r="W47" s="75"/>
      <x:c r="X47" s="75"/>
      <x:c r="Y47" s="75"/>
      <x:c r="Z47" s="75"/>
    </x:row>
    <x:row r="48">
      <x:c r="C48" s="19" t="str">
        <x:v>AU-A-022</x:v>
      </x:c>
      <x:c r="D48" s="19" t="str">
        <x:v>MS-ET|D Mass case</x:v>
      </x:c>
      <x:c r="E48" s="19" t="str">
        <x:f>IF('Account Cases'!J28="PASS","PASS","FAIL")</x:f>
        <x:v>PASS</x:v>
      </x:c>
      <x:c r="F48" s="21" t="str">
        <x:v>TERMINAL</x:v>
      </x:c>
      <x:c r="G48" s="75"/>
      <x:c r="H48" s="75"/>
      <x:c r="I48" s="75"/>
      <x:c r="J48" s="75"/>
      <x:c r="K48" s="75"/>
      <x:c r="L48" s="75"/>
      <x:c r="M48" s="75"/>
      <x:c r="N48" s="75"/>
      <x:c r="O48" s="75"/>
      <x:c r="P48" s="75"/>
      <x:c r="Q48" s="75"/>
      <x:c r="R48" s="75"/>
      <x:c r="S48" s="75"/>
      <x:c r="T48" s="75"/>
      <x:c r="U48" s="75"/>
      <x:c r="V48" s="75"/>
      <x:c r="W48" s="75"/>
      <x:c r="X48" s="75"/>
      <x:c r="Y48" s="75"/>
      <x:c r="Z48" s="75"/>
    </x:row>
    <x:row r="49">
      <x:c r="C49" s="19" t="str">
        <x:v>AU-A-023</x:v>
      </x:c>
      <x:c r="D49" s="19" t="str">
        <x:v>MS-ET|D Energy case</x:v>
      </x:c>
      <x:c r="E49" s="19" t="str">
        <x:f>IF('Account Cases'!J29="PASS","PASS","FAIL")</x:f>
        <x:v>PASS</x:v>
      </x:c>
      <x:c r="F49" s="21" t="str">
        <x:v>TERMINAL</x:v>
      </x:c>
      <x:c r="G49" s="75"/>
      <x:c r="H49" s="75"/>
      <x:c r="I49" s="75"/>
      <x:c r="J49" s="75"/>
      <x:c r="K49" s="75"/>
      <x:c r="L49" s="75"/>
      <x:c r="M49" s="75"/>
      <x:c r="N49" s="75"/>
      <x:c r="O49" s="75"/>
      <x:c r="P49" s="75"/>
      <x:c r="Q49" s="75"/>
      <x:c r="R49" s="75"/>
      <x:c r="S49" s="75"/>
      <x:c r="T49" s="75"/>
      <x:c r="U49" s="75"/>
      <x:c r="V49" s="75"/>
      <x:c r="W49" s="75"/>
      <x:c r="X49" s="75"/>
      <x:c r="Y49" s="75"/>
      <x:c r="Z49" s="75"/>
    </x:row>
    <x:row r="50">
      <x:c r="C50" s="19" t="str">
        <x:v>AU-A-024</x:v>
      </x:c>
      <x:c r="D50" s="19" t="str">
        <x:v>MS-ET|D Route flow case</x:v>
      </x:c>
      <x:c r="E50" s="19" t="str">
        <x:f>IF('Account Cases'!J30="PASS","PASS","FAIL")</x:f>
        <x:v>PASS</x:v>
      </x:c>
      <x:c r="F50" s="21" t="str">
        <x:v>TERMINAL</x:v>
      </x:c>
      <x:c r="G50" s="75"/>
      <x:c r="H50" s="75"/>
      <x:c r="I50" s="75"/>
      <x:c r="J50" s="75"/>
      <x:c r="K50" s="75"/>
      <x:c r="L50" s="75"/>
      <x:c r="M50" s="75"/>
      <x:c r="N50" s="75"/>
      <x:c r="O50" s="75"/>
      <x:c r="P50" s="75"/>
      <x:c r="Q50" s="75"/>
      <x:c r="R50" s="75"/>
      <x:c r="S50" s="75"/>
      <x:c r="T50" s="75"/>
      <x:c r="U50" s="75"/>
      <x:c r="V50" s="75"/>
      <x:c r="W50" s="75"/>
      <x:c r="X50" s="75"/>
      <x:c r="Y50" s="75"/>
      <x:c r="Z50" s="75"/>
    </x:row>
    <x:row r="51">
      <x:c r="C51" s="19" t="str">
        <x:v>AU-A-025</x:v>
      </x:c>
      <x:c r="D51" s="19" t="str">
        <x:v>MS-ET|D Labor case</x:v>
      </x:c>
      <x:c r="E51" s="19" t="str">
        <x:f>IF('Account Cases'!J31="PASS","PASS","FAIL")</x:f>
        <x:v>PASS</x:v>
      </x:c>
      <x:c r="F51" s="21" t="str">
        <x:v>TERMINAL</x:v>
      </x:c>
      <x:c r="G51" s="75"/>
      <x:c r="H51" s="75"/>
      <x:c r="I51" s="75"/>
      <x:c r="J51" s="75"/>
      <x:c r="K51" s="75"/>
      <x:c r="L51" s="75"/>
      <x:c r="M51" s="75"/>
      <x:c r="N51" s="75"/>
      <x:c r="O51" s="75"/>
      <x:c r="P51" s="75"/>
      <x:c r="Q51" s="75"/>
      <x:c r="R51" s="75"/>
      <x:c r="S51" s="75"/>
      <x:c r="T51" s="75"/>
      <x:c r="U51" s="75"/>
      <x:c r="V51" s="75"/>
      <x:c r="W51" s="75"/>
      <x:c r="X51" s="75"/>
      <x:c r="Y51" s="75"/>
      <x:c r="Z51" s="75"/>
    </x:row>
    <x:row r="52">
      <x:c r="C52" s="19" t="str">
        <x:v>AU-A-026</x:v>
      </x:c>
      <x:c r="D52" s="19" t="str">
        <x:v>MS-ET|D Safety case</x:v>
      </x:c>
      <x:c r="E52" s="19" t="str">
        <x:f>IF('Account Cases'!J32="PASS","PASS","FAIL")</x:f>
        <x:v>PASS</x:v>
      </x:c>
      <x:c r="F52" s="21" t="str">
        <x:v>TERMINAL</x:v>
      </x:c>
      <x:c r="G52" s="75"/>
      <x:c r="H52" s="75"/>
      <x:c r="I52" s="75"/>
      <x:c r="J52" s="75"/>
      <x:c r="K52" s="75"/>
      <x:c r="L52" s="75"/>
      <x:c r="M52" s="75"/>
      <x:c r="N52" s="75"/>
      <x:c r="O52" s="75"/>
      <x:c r="P52" s="75"/>
      <x:c r="Q52" s="75"/>
      <x:c r="R52" s="75"/>
      <x:c r="S52" s="75"/>
      <x:c r="T52" s="75"/>
      <x:c r="U52" s="75"/>
      <x:c r="V52" s="75"/>
      <x:c r="W52" s="75"/>
      <x:c r="X52" s="75"/>
      <x:c r="Y52" s="75"/>
      <x:c r="Z52" s="75"/>
    </x:row>
    <x:row r="53">
      <x:c r="C53" s="19" t="str">
        <x:v>AU-A-027</x:v>
      </x:c>
      <x:c r="D53" s="19" t="str">
        <x:v>MS-ET|D Receiver case</x:v>
      </x:c>
      <x:c r="E53" s="19" t="str">
        <x:f>IF('Account Cases'!J33="PASS","PASS","FAIL")</x:f>
        <x:v>PASS</x:v>
      </x:c>
      <x:c r="F53" s="21" t="str">
        <x:v>TERMINAL</x:v>
      </x:c>
      <x:c r="G53" s="75"/>
      <x:c r="H53" s="75"/>
      <x:c r="I53" s="75"/>
      <x:c r="J53" s="75"/>
      <x:c r="K53" s="75"/>
      <x:c r="L53" s="75"/>
      <x:c r="M53" s="75"/>
      <x:c r="N53" s="75"/>
      <x:c r="O53" s="75"/>
      <x:c r="P53" s="75"/>
      <x:c r="Q53" s="75"/>
      <x:c r="R53" s="75"/>
      <x:c r="S53" s="75"/>
      <x:c r="T53" s="75"/>
      <x:c r="U53" s="75"/>
      <x:c r="V53" s="75"/>
      <x:c r="W53" s="75"/>
      <x:c r="X53" s="75"/>
      <x:c r="Y53" s="75"/>
      <x:c r="Z53" s="75"/>
    </x:row>
    <x:row r="54">
      <x:c r="C54" s="19" t="str">
        <x:v>AU-A-028</x:v>
      </x:c>
      <x:c r="D54" s="19" t="str">
        <x:v>MS-ET|D Residual case</x:v>
      </x:c>
      <x:c r="E54" s="19" t="str">
        <x:f>IF('Account Cases'!J34="PASS","PASS","FAIL")</x:f>
        <x:v>PASS</x:v>
      </x:c>
      <x:c r="F54" s="21" t="str">
        <x:v>TERMINAL</x:v>
      </x:c>
      <x:c r="G54" s="75"/>
      <x:c r="H54" s="75"/>
      <x:c r="I54" s="75"/>
      <x:c r="J54" s="75"/>
      <x:c r="K54" s="75"/>
      <x:c r="L54" s="75"/>
      <x:c r="M54" s="75"/>
      <x:c r="N54" s="75"/>
      <x:c r="O54" s="75"/>
      <x:c r="P54" s="75"/>
      <x:c r="Q54" s="75"/>
      <x:c r="R54" s="75"/>
      <x:c r="S54" s="75"/>
      <x:c r="T54" s="75"/>
      <x:c r="U54" s="75"/>
      <x:c r="V54" s="75"/>
      <x:c r="W54" s="75"/>
      <x:c r="X54" s="75"/>
      <x:c r="Y54" s="75"/>
      <x:c r="Z54" s="75"/>
    </x:row>
    <x:row r="55">
      <x:c r="C55" s="19" t="str">
        <x:v>AU-A-029</x:v>
      </x:c>
      <x:c r="D55" s="19" t="str">
        <x:v>MS-CT|A Mass case</x:v>
      </x:c>
      <x:c r="E55" s="19" t="str">
        <x:f>IF('Account Cases'!J35="PASS","PASS","FAIL")</x:f>
        <x:v>PASS</x:v>
      </x:c>
      <x:c r="F55" s="21" t="str">
        <x:v>TERMINAL</x:v>
      </x:c>
      <x:c r="G55" s="75"/>
      <x:c r="H55" s="75"/>
      <x:c r="I55" s="75"/>
      <x:c r="J55" s="75"/>
      <x:c r="K55" s="75"/>
      <x:c r="L55" s="75"/>
      <x:c r="M55" s="75"/>
      <x:c r="N55" s="75"/>
      <x:c r="O55" s="75"/>
      <x:c r="P55" s="75"/>
      <x:c r="Q55" s="75"/>
      <x:c r="R55" s="75"/>
      <x:c r="S55" s="75"/>
      <x:c r="T55" s="75"/>
      <x:c r="U55" s="75"/>
      <x:c r="V55" s="75"/>
      <x:c r="W55" s="75"/>
      <x:c r="X55" s="75"/>
      <x:c r="Y55" s="75"/>
      <x:c r="Z55" s="75"/>
    </x:row>
    <x:row r="56">
      <x:c r="C56" s="19" t="str">
        <x:v>AU-A-030</x:v>
      </x:c>
      <x:c r="D56" s="19" t="str">
        <x:v>MS-CT|A Energy case</x:v>
      </x:c>
      <x:c r="E56" s="19" t="str">
        <x:f>IF('Account Cases'!J36="PASS","PASS","FAIL")</x:f>
        <x:v>PASS</x:v>
      </x:c>
      <x:c r="F56" s="21" t="str">
        <x:v>TERMINAL</x:v>
      </x:c>
      <x:c r="G56" s="75"/>
      <x:c r="H56" s="75"/>
      <x:c r="I56" s="75"/>
      <x:c r="J56" s="75"/>
      <x:c r="K56" s="75"/>
      <x:c r="L56" s="75"/>
      <x:c r="M56" s="75"/>
      <x:c r="N56" s="75"/>
      <x:c r="O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</x:row>
    <x:row r="57">
      <x:c r="C57" s="19" t="str">
        <x:v>AU-A-031</x:v>
      </x:c>
      <x:c r="D57" s="19" t="str">
        <x:v>MS-CT|A Route flow case</x:v>
      </x:c>
      <x:c r="E57" s="19" t="str">
        <x:f>IF('Account Cases'!J37="PASS","PASS","FAIL")</x:f>
        <x:v>PASS</x:v>
      </x:c>
      <x:c r="F57" s="21" t="str">
        <x:v>TERMINAL</x:v>
      </x:c>
      <x:c r="G57" s="75"/>
      <x:c r="H57" s="75"/>
      <x:c r="I57" s="75"/>
      <x:c r="J57" s="75"/>
      <x:c r="K57" s="75"/>
      <x:c r="L57" s="75"/>
      <x:c r="M57" s="75"/>
      <x:c r="N57" s="75"/>
      <x:c r="O57" s="75"/>
      <x:c r="P57" s="75"/>
      <x:c r="Q57" s="75"/>
      <x:c r="R57" s="75"/>
      <x:c r="S57" s="75"/>
      <x:c r="T57" s="75"/>
      <x:c r="U57" s="75"/>
      <x:c r="V57" s="75"/>
      <x:c r="W57" s="75"/>
      <x:c r="X57" s="75"/>
      <x:c r="Y57" s="75"/>
      <x:c r="Z57" s="75"/>
    </x:row>
    <x:row r="58">
      <x:c r="C58" s="19" t="str">
        <x:v>AU-A-032</x:v>
      </x:c>
      <x:c r="D58" s="19" t="str">
        <x:v>MS-CT|A Labor case</x:v>
      </x:c>
      <x:c r="E58" s="19" t="str">
        <x:f>IF('Account Cases'!J38="PASS","PASS","FAIL")</x:f>
        <x:v>PASS</x:v>
      </x:c>
      <x:c r="F58" s="21" t="str">
        <x:v>TERMINAL</x:v>
      </x:c>
      <x:c r="G58" s="75"/>
      <x:c r="H58" s="75"/>
      <x:c r="I58" s="75"/>
      <x:c r="J58" s="75"/>
      <x:c r="K58" s="75"/>
      <x:c r="L58" s="75"/>
      <x:c r="M58" s="75"/>
      <x:c r="N58" s="75"/>
      <x:c r="O58" s="75"/>
      <x:c r="P58" s="75"/>
      <x:c r="Q58" s="75"/>
      <x:c r="R58" s="75"/>
      <x:c r="S58" s="75"/>
      <x:c r="T58" s="75"/>
      <x:c r="U58" s="75"/>
      <x:c r="V58" s="75"/>
      <x:c r="W58" s="75"/>
      <x:c r="X58" s="75"/>
      <x:c r="Y58" s="75"/>
      <x:c r="Z58" s="75"/>
    </x:row>
    <x:row r="59">
      <x:c r="C59" s="19" t="str">
        <x:v>AU-A-033</x:v>
      </x:c>
      <x:c r="D59" s="19" t="str">
        <x:v>MS-CT|A Safety case</x:v>
      </x:c>
      <x:c r="E59" s="19" t="str">
        <x:f>IF('Account Cases'!J39="PASS","PASS","FAIL")</x:f>
        <x:v>PASS</x:v>
      </x:c>
      <x:c r="F59" s="21" t="str">
        <x:v>TERMINAL</x:v>
      </x:c>
      <x:c r="G59" s="75"/>
      <x:c r="H59" s="75"/>
      <x:c r="I59" s="75"/>
      <x:c r="J59" s="75"/>
      <x:c r="K59" s="75"/>
      <x:c r="L59" s="75"/>
      <x:c r="M59" s="75"/>
      <x:c r="N59" s="75"/>
      <x:c r="O59" s="75"/>
      <x:c r="P59" s="75"/>
      <x:c r="Q59" s="75"/>
      <x:c r="R59" s="75"/>
      <x:c r="S59" s="75"/>
      <x:c r="T59" s="75"/>
      <x:c r="U59" s="75"/>
      <x:c r="V59" s="75"/>
      <x:c r="W59" s="75"/>
      <x:c r="X59" s="75"/>
      <x:c r="Y59" s="75"/>
      <x:c r="Z59" s="75"/>
    </x:row>
    <x:row r="60">
      <x:c r="C60" s="19" t="str">
        <x:v>AU-A-034</x:v>
      </x:c>
      <x:c r="D60" s="19" t="str">
        <x:v>MS-CT|A Receiver case</x:v>
      </x:c>
      <x:c r="E60" s="19" t="str">
        <x:f>IF('Account Cases'!J40="PASS","PASS","FAIL")</x:f>
        <x:v>PASS</x:v>
      </x:c>
      <x:c r="F60" s="21" t="str">
        <x:v>TERMINAL</x:v>
      </x:c>
      <x:c r="G60" s="75"/>
      <x:c r="H60" s="75"/>
      <x:c r="I60" s="75"/>
      <x:c r="J60" s="75"/>
      <x:c r="K60" s="75"/>
      <x:c r="L60" s="75"/>
      <x:c r="M60" s="75"/>
      <x:c r="N60" s="75"/>
      <x:c r="O60" s="75"/>
      <x:c r="P60" s="75"/>
      <x:c r="Q60" s="75"/>
      <x:c r="R60" s="75"/>
      <x:c r="S60" s="75"/>
      <x:c r="T60" s="75"/>
      <x:c r="U60" s="75"/>
      <x:c r="V60" s="75"/>
      <x:c r="W60" s="75"/>
      <x:c r="X60" s="75"/>
      <x:c r="Y60" s="75"/>
      <x:c r="Z60" s="75"/>
    </x:row>
    <x:row r="61">
      <x:c r="C61" s="19" t="str">
        <x:v>AU-A-035</x:v>
      </x:c>
      <x:c r="D61" s="19" t="str">
        <x:v>MS-CT|A Residual case</x:v>
      </x:c>
      <x:c r="E61" s="19" t="str">
        <x:f>IF('Account Cases'!J41="PASS","PASS","FAIL")</x:f>
        <x:v>PASS</x:v>
      </x:c>
      <x:c r="F61" s="21" t="str">
        <x:v>TERMINAL</x:v>
      </x:c>
      <x:c r="G61" s="75"/>
      <x:c r="H61" s="75"/>
      <x:c r="I61" s="75"/>
      <x:c r="J61" s="75"/>
      <x:c r="K61" s="75"/>
      <x:c r="L61" s="75"/>
      <x:c r="M61" s="75"/>
      <x:c r="N61" s="75"/>
      <x:c r="O61" s="75"/>
      <x:c r="P61" s="75"/>
      <x:c r="Q61" s="75"/>
      <x:c r="R61" s="75"/>
      <x:c r="S61" s="75"/>
      <x:c r="T61" s="75"/>
      <x:c r="U61" s="75"/>
      <x:c r="V61" s="75"/>
      <x:c r="W61" s="75"/>
      <x:c r="X61" s="75"/>
      <x:c r="Y61" s="75"/>
      <x:c r="Z61" s="75"/>
    </x:row>
    <x:row r="62">
      <x:c r="C62" s="19" t="str">
        <x:v>AU-A-036</x:v>
      </x:c>
      <x:c r="D62" s="19" t="str">
        <x:v>MS-CT|B Mass case</x:v>
      </x:c>
      <x:c r="E62" s="19" t="str">
        <x:f>IF('Account Cases'!J42="PASS","PASS","FAIL")</x:f>
        <x:v>PASS</x:v>
      </x:c>
      <x:c r="F62" s="21" t="str">
        <x:v>TERMINAL</x:v>
      </x:c>
      <x:c r="G62" s="75"/>
      <x:c r="H62" s="75"/>
      <x:c r="I62" s="75"/>
      <x:c r="J62" s="75"/>
      <x:c r="K62" s="75"/>
      <x:c r="L62" s="75"/>
      <x:c r="M62" s="75"/>
      <x:c r="N62" s="75"/>
      <x:c r="O62" s="75"/>
      <x:c r="P62" s="75"/>
      <x:c r="Q62" s="75"/>
      <x:c r="R62" s="75"/>
      <x:c r="S62" s="75"/>
      <x:c r="T62" s="75"/>
      <x:c r="U62" s="75"/>
      <x:c r="V62" s="75"/>
      <x:c r="W62" s="75"/>
      <x:c r="X62" s="75"/>
      <x:c r="Y62" s="75"/>
      <x:c r="Z62" s="75"/>
    </x:row>
    <x:row r="63">
      <x:c r="C63" s="19" t="str">
        <x:v>AU-A-037</x:v>
      </x:c>
      <x:c r="D63" s="19" t="str">
        <x:v>MS-CT|B Energy case</x:v>
      </x:c>
      <x:c r="E63" s="19" t="str">
        <x:f>IF('Account Cases'!J43="PASS","PASS","FAIL")</x:f>
        <x:v>PASS</x:v>
      </x:c>
      <x:c r="F63" s="21" t="str">
        <x:v>TERMINAL</x:v>
      </x:c>
      <x:c r="G63" s="75"/>
      <x:c r="H63" s="75"/>
      <x:c r="I63" s="75"/>
      <x:c r="J63" s="75"/>
      <x:c r="K63" s="75"/>
      <x:c r="L63" s="75"/>
      <x:c r="M63" s="75"/>
      <x:c r="N63" s="75"/>
      <x:c r="O63" s="75"/>
      <x:c r="P63" s="75"/>
      <x:c r="Q63" s="75"/>
      <x:c r="R63" s="75"/>
      <x:c r="S63" s="75"/>
      <x:c r="T63" s="75"/>
      <x:c r="U63" s="75"/>
      <x:c r="V63" s="75"/>
      <x:c r="W63" s="75"/>
      <x:c r="X63" s="75"/>
      <x:c r="Y63" s="75"/>
      <x:c r="Z63" s="75"/>
    </x:row>
    <x:row r="64">
      <x:c r="C64" s="19" t="str">
        <x:v>AU-A-038</x:v>
      </x:c>
      <x:c r="D64" s="19" t="str">
        <x:v>MS-CT|B Route flow case</x:v>
      </x:c>
      <x:c r="E64" s="19" t="str">
        <x:f>IF('Account Cases'!J44="PASS","PASS","FAIL")</x:f>
        <x:v>PASS</x:v>
      </x:c>
      <x:c r="F64" s="21" t="str">
        <x:v>TERMINAL</x:v>
      </x:c>
      <x:c r="G64" s="75"/>
      <x:c r="H64" s="75"/>
      <x:c r="I64" s="75"/>
      <x:c r="J64" s="75"/>
      <x:c r="K64" s="75"/>
      <x:c r="L64" s="75"/>
      <x:c r="M64" s="75"/>
      <x:c r="N64" s="75"/>
      <x:c r="O64" s="75"/>
      <x:c r="P64" s="75"/>
      <x:c r="Q64" s="75"/>
      <x:c r="R64" s="75"/>
      <x:c r="S64" s="75"/>
      <x:c r="T64" s="75"/>
      <x:c r="U64" s="75"/>
      <x:c r="V64" s="75"/>
      <x:c r="W64" s="75"/>
      <x:c r="X64" s="75"/>
      <x:c r="Y64" s="75"/>
      <x:c r="Z64" s="75"/>
    </x:row>
    <x:row r="65">
      <x:c r="C65" s="19" t="str">
        <x:v>AU-A-039</x:v>
      </x:c>
      <x:c r="D65" s="19" t="str">
        <x:v>MS-CT|B Labor case</x:v>
      </x:c>
      <x:c r="E65" s="19" t="str">
        <x:f>IF('Account Cases'!J45="PASS","PASS","FAIL")</x:f>
        <x:v>PASS</x:v>
      </x:c>
      <x:c r="F65" s="21" t="str">
        <x:v>TERMINAL</x:v>
      </x:c>
      <x:c r="G65" s="75"/>
      <x:c r="H65" s="75"/>
      <x:c r="I65" s="75"/>
      <x:c r="J65" s="75"/>
      <x:c r="K65" s="75"/>
      <x:c r="L65" s="75"/>
      <x:c r="M65" s="75"/>
      <x:c r="N65" s="75"/>
      <x:c r="O65" s="75"/>
      <x:c r="P65" s="75"/>
      <x:c r="Q65" s="75"/>
      <x:c r="R65" s="75"/>
      <x:c r="S65" s="75"/>
      <x:c r="T65" s="75"/>
      <x:c r="U65" s="75"/>
      <x:c r="V65" s="75"/>
      <x:c r="W65" s="75"/>
      <x:c r="X65" s="75"/>
      <x:c r="Y65" s="75"/>
      <x:c r="Z65" s="75"/>
    </x:row>
    <x:row r="66">
      <x:c r="C66" s="19" t="str">
        <x:v>AU-A-040</x:v>
      </x:c>
      <x:c r="D66" s="19" t="str">
        <x:v>MS-CT|B Safety case</x:v>
      </x:c>
      <x:c r="E66" s="19" t="str">
        <x:f>IF('Account Cases'!J46="PASS","PASS","FAIL")</x:f>
        <x:v>PASS</x:v>
      </x:c>
      <x:c r="F66" s="21" t="str">
        <x:v>TERMINAL</x:v>
      </x:c>
      <x:c r="G66" s="75"/>
      <x:c r="H66" s="75"/>
      <x:c r="I66" s="75"/>
      <x:c r="J66" s="75"/>
      <x:c r="K66" s="75"/>
      <x:c r="L66" s="75"/>
      <x:c r="M66" s="75"/>
      <x:c r="N66" s="75"/>
      <x:c r="O66" s="75"/>
      <x:c r="P66" s="75"/>
      <x:c r="Q66" s="75"/>
      <x:c r="R66" s="75"/>
      <x:c r="S66" s="75"/>
      <x:c r="T66" s="75"/>
      <x:c r="U66" s="75"/>
      <x:c r="V66" s="75"/>
      <x:c r="W66" s="75"/>
      <x:c r="X66" s="75"/>
      <x:c r="Y66" s="75"/>
      <x:c r="Z66" s="75"/>
    </x:row>
    <x:row r="67">
      <x:c r="C67" s="19" t="str">
        <x:v>AU-A-041</x:v>
      </x:c>
      <x:c r="D67" s="19" t="str">
        <x:v>MS-CT|B Receiver case</x:v>
      </x:c>
      <x:c r="E67" s="19" t="str">
        <x:f>IF('Account Cases'!J47="PASS","PASS","FAIL")</x:f>
        <x:v>PASS</x:v>
      </x:c>
      <x:c r="F67" s="21" t="str">
        <x:v>TERMINAL</x:v>
      </x:c>
      <x:c r="G67" s="75"/>
      <x:c r="H67" s="75"/>
      <x:c r="I67" s="75"/>
      <x:c r="J67" s="75"/>
      <x:c r="K67" s="75"/>
      <x:c r="L67" s="75"/>
      <x:c r="M67" s="75"/>
      <x:c r="N67" s="75"/>
      <x:c r="O67" s="75"/>
      <x:c r="P67" s="75"/>
      <x:c r="Q67" s="75"/>
      <x:c r="R67" s="75"/>
      <x:c r="S67" s="75"/>
      <x:c r="T67" s="75"/>
      <x:c r="U67" s="75"/>
      <x:c r="V67" s="75"/>
      <x:c r="W67" s="75"/>
      <x:c r="X67" s="75"/>
      <x:c r="Y67" s="75"/>
      <x:c r="Z67" s="75"/>
    </x:row>
    <x:row r="68">
      <x:c r="C68" s="19" t="str">
        <x:v>AU-A-042</x:v>
      </x:c>
      <x:c r="D68" s="19" t="str">
        <x:v>MS-CT|B Residual case</x:v>
      </x:c>
      <x:c r="E68" s="19" t="str">
        <x:f>IF('Account Cases'!J48="PASS","PASS","FAIL")</x:f>
        <x:v>PASS</x:v>
      </x:c>
      <x:c r="F68" s="21" t="str">
        <x:v>TERMINAL</x:v>
      </x:c>
      <x:c r="G68" s="75"/>
      <x:c r="H68" s="75"/>
      <x:c r="I68" s="75"/>
      <x:c r="J68" s="75"/>
      <x:c r="K68" s="75"/>
      <x:c r="L68" s="75"/>
      <x:c r="M68" s="75"/>
      <x:c r="N68" s="75"/>
      <x:c r="O68" s="75"/>
      <x:c r="P68" s="75"/>
      <x:c r="Q68" s="75"/>
      <x:c r="R68" s="75"/>
      <x:c r="S68" s="75"/>
      <x:c r="T68" s="75"/>
      <x:c r="U68" s="75"/>
      <x:c r="V68" s="75"/>
      <x:c r="W68" s="75"/>
      <x:c r="X68" s="75"/>
      <x:c r="Y68" s="75"/>
      <x:c r="Z68" s="75"/>
    </x:row>
    <x:row r="69">
      <x:c r="C69" s="19" t="str">
        <x:v>AU-A-043</x:v>
      </x:c>
      <x:c r="D69" s="19" t="str">
        <x:v>MS-CT|C Mass case</x:v>
      </x:c>
      <x:c r="E69" s="19" t="str">
        <x:f>IF('Account Cases'!J49="PASS","PASS","FAIL")</x:f>
        <x:v>PASS</x:v>
      </x:c>
      <x:c r="F69" s="21" t="str">
        <x:v>TERMINAL</x:v>
      </x:c>
      <x:c r="G69" s="75"/>
      <x:c r="H69" s="75"/>
      <x:c r="I69" s="75"/>
      <x:c r="J69" s="75"/>
      <x:c r="K69" s="75"/>
      <x:c r="L69" s="75"/>
      <x:c r="M69" s="75"/>
      <x:c r="N69" s="75"/>
      <x:c r="O69" s="75"/>
      <x:c r="P69" s="75"/>
      <x:c r="Q69" s="75"/>
      <x:c r="R69" s="75"/>
      <x:c r="S69" s="75"/>
      <x:c r="T69" s="75"/>
      <x:c r="U69" s="75"/>
      <x:c r="V69" s="75"/>
      <x:c r="W69" s="75"/>
      <x:c r="X69" s="75"/>
      <x:c r="Y69" s="75"/>
      <x:c r="Z69" s="75"/>
    </x:row>
    <x:row r="70">
      <x:c r="C70" s="19" t="str">
        <x:v>AU-A-044</x:v>
      </x:c>
      <x:c r="D70" s="19" t="str">
        <x:v>MS-CT|C Energy case</x:v>
      </x:c>
      <x:c r="E70" s="19" t="str">
        <x:f>IF('Account Cases'!J50="PASS","PASS","FAIL")</x:f>
        <x:v>PASS</x:v>
      </x:c>
      <x:c r="F70" s="21" t="str">
        <x:v>TERMINAL</x:v>
      </x:c>
      <x:c r="G70" s="75"/>
      <x:c r="H70" s="75"/>
      <x:c r="I70" s="75"/>
      <x:c r="J70" s="75"/>
      <x:c r="K70" s="75"/>
      <x:c r="L70" s="75"/>
      <x:c r="M70" s="75"/>
      <x:c r="N70" s="75"/>
      <x:c r="O70" s="75"/>
      <x:c r="P70" s="75"/>
      <x:c r="Q70" s="75"/>
      <x:c r="R70" s="75"/>
      <x:c r="S70" s="75"/>
      <x:c r="T70" s="75"/>
      <x:c r="U70" s="75"/>
      <x:c r="V70" s="75"/>
      <x:c r="W70" s="75"/>
      <x:c r="X70" s="75"/>
      <x:c r="Y70" s="75"/>
      <x:c r="Z70" s="75"/>
    </x:row>
    <x:row r="71">
      <x:c r="C71" s="19" t="str">
        <x:v>AU-A-045</x:v>
      </x:c>
      <x:c r="D71" s="19" t="str">
        <x:v>MS-CT|C Route flow case</x:v>
      </x:c>
      <x:c r="E71" s="19" t="str">
        <x:f>IF('Account Cases'!J51="PASS","PASS","FAIL")</x:f>
        <x:v>PASS</x:v>
      </x:c>
      <x:c r="F71" s="21" t="str">
        <x:v>TERMINAL</x:v>
      </x:c>
      <x:c r="G71" s="75"/>
      <x:c r="H71" s="75"/>
      <x:c r="I71" s="75"/>
      <x:c r="J71" s="75"/>
      <x:c r="K71" s="75"/>
      <x:c r="L71" s="75"/>
      <x:c r="M71" s="75"/>
      <x:c r="N71" s="75"/>
      <x:c r="O71" s="75"/>
      <x:c r="P71" s="75"/>
      <x:c r="Q71" s="75"/>
      <x:c r="R71" s="75"/>
      <x:c r="S71" s="75"/>
      <x:c r="T71" s="75"/>
      <x:c r="U71" s="75"/>
      <x:c r="V71" s="75"/>
      <x:c r="W71" s="75"/>
      <x:c r="X71" s="75"/>
      <x:c r="Y71" s="75"/>
      <x:c r="Z71" s="75"/>
    </x:row>
    <x:row r="72">
      <x:c r="C72" s="19" t="str">
        <x:v>AU-A-046</x:v>
      </x:c>
      <x:c r="D72" s="19" t="str">
        <x:v>MS-CT|C Labor case</x:v>
      </x:c>
      <x:c r="E72" s="19" t="str">
        <x:f>IF('Account Cases'!J52="PASS","PASS","FAIL")</x:f>
        <x:v>PASS</x:v>
      </x:c>
      <x:c r="F72" s="21" t="str">
        <x:v>TERMINAL</x:v>
      </x:c>
      <x:c r="G72" s="75"/>
      <x:c r="H72" s="75"/>
      <x:c r="I72" s="75"/>
      <x:c r="J72" s="75"/>
      <x:c r="K72" s="75"/>
      <x:c r="L72" s="75"/>
      <x:c r="M72" s="75"/>
      <x:c r="N72" s="75"/>
      <x:c r="O72" s="75"/>
      <x:c r="P72" s="75"/>
      <x:c r="Q72" s="75"/>
      <x:c r="R72" s="75"/>
      <x:c r="S72" s="75"/>
      <x:c r="T72" s="75"/>
      <x:c r="U72" s="75"/>
      <x:c r="V72" s="75"/>
      <x:c r="W72" s="75"/>
      <x:c r="X72" s="75"/>
      <x:c r="Y72" s="75"/>
      <x:c r="Z72" s="75"/>
    </x:row>
    <x:row r="73">
      <x:c r="C73" s="19" t="str">
        <x:v>AU-A-047</x:v>
      </x:c>
      <x:c r="D73" s="19" t="str">
        <x:v>MS-CT|C Safety case</x:v>
      </x:c>
      <x:c r="E73" s="19" t="str">
        <x:f>IF('Account Cases'!J53="PASS","PASS","FAIL")</x:f>
        <x:v>PASS</x:v>
      </x:c>
      <x:c r="F73" s="21" t="str">
        <x:v>TERMINAL</x:v>
      </x:c>
      <x:c r="G73" s="75"/>
      <x:c r="H73" s="75"/>
      <x:c r="I73" s="75"/>
      <x:c r="J73" s="75"/>
      <x:c r="K73" s="75"/>
      <x:c r="L73" s="75"/>
      <x:c r="M73" s="75"/>
      <x:c r="N73" s="75"/>
      <x:c r="O73" s="75"/>
      <x:c r="P73" s="75"/>
      <x:c r="Q73" s="75"/>
      <x:c r="R73" s="75"/>
      <x:c r="S73" s="75"/>
      <x:c r="T73" s="75"/>
      <x:c r="U73" s="75"/>
      <x:c r="V73" s="75"/>
      <x:c r="W73" s="75"/>
      <x:c r="X73" s="75"/>
      <x:c r="Y73" s="75"/>
      <x:c r="Z73" s="75"/>
    </x:row>
    <x:row r="74">
      <x:c r="C74" s="19" t="str">
        <x:v>AU-A-048</x:v>
      </x:c>
      <x:c r="D74" s="19" t="str">
        <x:v>MS-CT|C Receiver case</x:v>
      </x:c>
      <x:c r="E74" s="19" t="str">
        <x:f>IF('Account Cases'!J54="PASS","PASS","FAIL")</x:f>
        <x:v>PASS</x:v>
      </x:c>
      <x:c r="F74" s="21" t="str">
        <x:v>TERMINAL</x:v>
      </x:c>
      <x:c r="G74" s="75"/>
      <x:c r="H74" s="75"/>
      <x:c r="I74" s="75"/>
      <x:c r="J74" s="75"/>
      <x:c r="K74" s="75"/>
      <x:c r="L74" s="75"/>
      <x:c r="M74" s="75"/>
      <x:c r="N74" s="75"/>
      <x:c r="O74" s="75"/>
      <x:c r="P74" s="75"/>
      <x:c r="Q74" s="75"/>
      <x:c r="R74" s="75"/>
      <x:c r="S74" s="75"/>
      <x:c r="T74" s="75"/>
      <x:c r="U74" s="75"/>
      <x:c r="V74" s="75"/>
      <x:c r="W74" s="75"/>
      <x:c r="X74" s="75"/>
      <x:c r="Y74" s="75"/>
      <x:c r="Z74" s="75"/>
    </x:row>
    <x:row r="75">
      <x:c r="C75" s="19" t="str">
        <x:v>AU-A-049</x:v>
      </x:c>
      <x:c r="D75" s="19" t="str">
        <x:v>MS-CT|C Residual case</x:v>
      </x:c>
      <x:c r="E75" s="19" t="str">
        <x:f>IF('Account Cases'!J55="PASS","PASS","FAIL")</x:f>
        <x:v>PASS</x:v>
      </x:c>
      <x:c r="F75" s="21" t="str">
        <x:v>TERMINAL</x:v>
      </x:c>
      <x:c r="G75" s="75"/>
      <x:c r="H75" s="75"/>
      <x:c r="I75" s="75"/>
      <x:c r="J75" s="75"/>
      <x:c r="K75" s="75"/>
      <x:c r="L75" s="75"/>
      <x:c r="M75" s="75"/>
      <x:c r="N75" s="75"/>
      <x:c r="O75" s="75"/>
      <x:c r="P75" s="75"/>
      <x:c r="Q75" s="75"/>
      <x:c r="R75" s="75"/>
      <x:c r="S75" s="75"/>
      <x:c r="T75" s="75"/>
      <x:c r="U75" s="75"/>
      <x:c r="V75" s="75"/>
      <x:c r="W75" s="75"/>
      <x:c r="X75" s="75"/>
      <x:c r="Y75" s="75"/>
      <x:c r="Z75" s="75"/>
    </x:row>
    <x:row r="76">
      <x:c r="C76" s="19" t="str">
        <x:v>AU-A-050</x:v>
      </x:c>
      <x:c r="D76" s="19" t="str">
        <x:v>MS-CT|D Mass case</x:v>
      </x:c>
      <x:c r="E76" s="19" t="str">
        <x:f>IF('Account Cases'!J56="PASS","PASS","FAIL")</x:f>
        <x:v>PASS</x:v>
      </x:c>
      <x:c r="F76" s="21" t="str">
        <x:v>TERMINAL</x:v>
      </x:c>
      <x:c r="G76" s="75"/>
      <x:c r="H76" s="75"/>
      <x:c r="I76" s="75"/>
      <x:c r="J76" s="75"/>
      <x:c r="K76" s="75"/>
      <x:c r="L76" s="75"/>
      <x:c r="M76" s="75"/>
      <x:c r="N76" s="75"/>
      <x:c r="O76" s="75"/>
      <x:c r="P76" s="75"/>
      <x:c r="Q76" s="75"/>
      <x:c r="R76" s="75"/>
      <x:c r="S76" s="75"/>
      <x:c r="T76" s="75"/>
      <x:c r="U76" s="75"/>
      <x:c r="V76" s="75"/>
      <x:c r="W76" s="75"/>
      <x:c r="X76" s="75"/>
      <x:c r="Y76" s="75"/>
      <x:c r="Z76" s="75"/>
    </x:row>
    <x:row r="77">
      <x:c r="C77" s="19" t="str">
        <x:v>AU-A-051</x:v>
      </x:c>
      <x:c r="D77" s="19" t="str">
        <x:v>MS-CT|D Energy case</x:v>
      </x:c>
      <x:c r="E77" s="19" t="str">
        <x:f>IF('Account Cases'!J57="PASS","PASS","FAIL")</x:f>
        <x:v>PASS</x:v>
      </x:c>
      <x:c r="F77" s="21" t="str">
        <x:v>TERMINAL</x:v>
      </x:c>
      <x:c r="G77" s="75"/>
      <x:c r="H77" s="75"/>
      <x:c r="I77" s="75"/>
      <x:c r="J77" s="75"/>
      <x:c r="K77" s="75"/>
      <x:c r="L77" s="75"/>
      <x:c r="M77" s="75"/>
      <x:c r="N77" s="75"/>
      <x:c r="O77" s="75"/>
      <x:c r="P77" s="75"/>
      <x:c r="Q77" s="75"/>
      <x:c r="R77" s="75"/>
      <x:c r="S77" s="75"/>
      <x:c r="T77" s="75"/>
      <x:c r="U77" s="75"/>
      <x:c r="V77" s="75"/>
      <x:c r="W77" s="75"/>
      <x:c r="X77" s="75"/>
      <x:c r="Y77" s="75"/>
      <x:c r="Z77" s="75"/>
    </x:row>
    <x:row r="78">
      <x:c r="C78" s="19" t="str">
        <x:v>AU-A-052</x:v>
      </x:c>
      <x:c r="D78" s="19" t="str">
        <x:v>MS-CT|D Route flow case</x:v>
      </x:c>
      <x:c r="E78" s="19" t="str">
        <x:f>IF('Account Cases'!J58="PASS","PASS","FAIL")</x:f>
        <x:v>PASS</x:v>
      </x:c>
      <x:c r="F78" s="21" t="str">
        <x:v>TERMINAL</x:v>
      </x:c>
      <x:c r="G78" s="75"/>
      <x:c r="H78" s="75"/>
      <x:c r="I78" s="75"/>
      <x:c r="J78" s="75"/>
      <x:c r="K78" s="75"/>
      <x:c r="L78" s="75"/>
      <x:c r="M78" s="75"/>
      <x:c r="N78" s="75"/>
      <x:c r="O78" s="75"/>
      <x:c r="P78" s="75"/>
      <x:c r="Q78" s="75"/>
      <x:c r="R78" s="75"/>
      <x:c r="S78" s="75"/>
      <x:c r="T78" s="75"/>
      <x:c r="U78" s="75"/>
      <x:c r="V78" s="75"/>
      <x:c r="W78" s="75"/>
      <x:c r="X78" s="75"/>
      <x:c r="Y78" s="75"/>
      <x:c r="Z78" s="75"/>
    </x:row>
    <x:row r="79">
      <x:c r="C79" s="19" t="str">
        <x:v>AU-A-053</x:v>
      </x:c>
      <x:c r="D79" s="19" t="str">
        <x:v>MS-CT|D Labor case</x:v>
      </x:c>
      <x:c r="E79" s="19" t="str">
        <x:f>IF('Account Cases'!J59="PASS","PASS","FAIL")</x:f>
        <x:v>PASS</x:v>
      </x:c>
      <x:c r="F79" s="21" t="str">
        <x:v>TERMINAL</x:v>
      </x:c>
      <x:c r="G79" s="75"/>
      <x:c r="H79" s="75"/>
      <x:c r="I79" s="75"/>
      <x:c r="J79" s="75"/>
      <x:c r="K79" s="75"/>
      <x:c r="L79" s="75"/>
      <x:c r="M79" s="75"/>
      <x:c r="N79" s="75"/>
      <x:c r="O79" s="75"/>
      <x:c r="P79" s="75"/>
      <x:c r="Q79" s="75"/>
      <x:c r="R79" s="75"/>
      <x:c r="S79" s="75"/>
      <x:c r="T79" s="75"/>
      <x:c r="U79" s="75"/>
      <x:c r="V79" s="75"/>
      <x:c r="W79" s="75"/>
      <x:c r="X79" s="75"/>
      <x:c r="Y79" s="75"/>
      <x:c r="Z79" s="75"/>
    </x:row>
    <x:row r="80">
      <x:c r="C80" s="19" t="str">
        <x:v>AU-A-054</x:v>
      </x:c>
      <x:c r="D80" s="19" t="str">
        <x:v>MS-CT|D Safety case</x:v>
      </x:c>
      <x:c r="E80" s="19" t="str">
        <x:f>IF('Account Cases'!J60="PASS","PASS","FAIL")</x:f>
        <x:v>PASS</x:v>
      </x:c>
      <x:c r="F80" s="21" t="str">
        <x:v>TERMINAL</x:v>
      </x:c>
      <x:c r="G80" s="75"/>
      <x:c r="H80" s="75"/>
      <x:c r="I80" s="75"/>
      <x:c r="J80" s="75"/>
      <x:c r="K80" s="75"/>
      <x:c r="L80" s="75"/>
      <x:c r="M80" s="75"/>
      <x:c r="N80" s="75"/>
      <x:c r="O80" s="75"/>
      <x:c r="P80" s="75"/>
      <x:c r="Q80" s="75"/>
      <x:c r="R80" s="75"/>
      <x:c r="S80" s="75"/>
      <x:c r="T80" s="75"/>
      <x:c r="U80" s="75"/>
      <x:c r="V80" s="75"/>
      <x:c r="W80" s="75"/>
      <x:c r="X80" s="75"/>
      <x:c r="Y80" s="75"/>
      <x:c r="Z80" s="75"/>
    </x:row>
    <x:row r="81">
      <x:c r="C81" s="19" t="str">
        <x:v>AU-A-055</x:v>
      </x:c>
      <x:c r="D81" s="19" t="str">
        <x:v>MS-CT|D Receiver case</x:v>
      </x:c>
      <x:c r="E81" s="19" t="str">
        <x:f>IF('Account Cases'!J61="PASS","PASS","FAIL")</x:f>
        <x:v>PASS</x:v>
      </x:c>
      <x:c r="F81" s="21" t="str">
        <x:v>TERMINAL</x:v>
      </x:c>
      <x:c r="G81" s="75"/>
      <x:c r="H81" s="75"/>
      <x:c r="I81" s="75"/>
      <x:c r="J81" s="75"/>
      <x:c r="K81" s="75"/>
      <x:c r="L81" s="75"/>
      <x:c r="M81" s="75"/>
      <x:c r="N81" s="75"/>
      <x:c r="O81" s="75"/>
      <x:c r="P81" s="75"/>
      <x:c r="Q81" s="75"/>
      <x:c r="R81" s="75"/>
      <x:c r="S81" s="75"/>
      <x:c r="T81" s="75"/>
      <x:c r="U81" s="75"/>
      <x:c r="V81" s="75"/>
      <x:c r="W81" s="75"/>
      <x:c r="X81" s="75"/>
      <x:c r="Y81" s="75"/>
      <x:c r="Z81" s="75"/>
    </x:row>
    <x:row r="82">
      <x:c r="C82" s="19" t="str">
        <x:v>AU-A-056</x:v>
      </x:c>
      <x:c r="D82" s="19" t="str">
        <x:v>MS-CT|D Residual case</x:v>
      </x:c>
      <x:c r="E82" s="19" t="str">
        <x:f>IF('Account Cases'!J62="PASS","PASS","FAIL")</x:f>
        <x:v>PASS</x:v>
      </x:c>
      <x:c r="F82" s="21" t="str">
        <x:v>TERMINAL</x:v>
      </x:c>
      <x:c r="G82" s="75"/>
      <x:c r="H82" s="75"/>
      <x:c r="I82" s="75"/>
      <x:c r="J82" s="75"/>
      <x:c r="K82" s="75"/>
      <x:c r="L82" s="75"/>
      <x:c r="M82" s="75"/>
      <x:c r="N82" s="75"/>
      <x:c r="O82" s="75"/>
      <x:c r="P82" s="75"/>
      <x:c r="Q82" s="75"/>
      <x:c r="R82" s="75"/>
      <x:c r="S82" s="75"/>
      <x:c r="T82" s="75"/>
      <x:c r="U82" s="75"/>
      <x:c r="V82" s="75"/>
      <x:c r="W82" s="75"/>
      <x:c r="X82" s="75"/>
      <x:c r="Y82" s="75"/>
      <x:c r="Z82" s="75"/>
    </x:row>
    <x:row r="83">
      <x:c r="C83" s="19" t="str">
        <x:v>AU-A-057</x:v>
      </x:c>
      <x:c r="D83" s="19" t="str">
        <x:v>MS-HC|A Mass case</x:v>
      </x:c>
      <x:c r="E83" s="19" t="str">
        <x:f>IF('Account Cases'!J63="PASS","PASS","FAIL")</x:f>
        <x:v>PASS</x:v>
      </x:c>
      <x:c r="F83" s="21" t="str">
        <x:v>TERMINAL</x:v>
      </x:c>
      <x:c r="G83" s="75"/>
      <x:c r="H83" s="75"/>
      <x:c r="I83" s="75"/>
      <x:c r="J83" s="75"/>
      <x:c r="K83" s="75"/>
      <x:c r="L83" s="75"/>
      <x:c r="M83" s="75"/>
      <x:c r="N83" s="75"/>
      <x:c r="O83" s="75"/>
      <x:c r="P83" s="75"/>
      <x:c r="Q83" s="75"/>
      <x:c r="R83" s="75"/>
      <x:c r="S83" s="75"/>
      <x:c r="T83" s="75"/>
      <x:c r="U83" s="75"/>
      <x:c r="V83" s="75"/>
      <x:c r="W83" s="75"/>
      <x:c r="X83" s="75"/>
      <x:c r="Y83" s="75"/>
      <x:c r="Z83" s="75"/>
    </x:row>
    <x:row r="84">
      <x:c r="C84" s="19" t="str">
        <x:v>AU-A-058</x:v>
      </x:c>
      <x:c r="D84" s="19" t="str">
        <x:v>MS-HC|A Energy case</x:v>
      </x:c>
      <x:c r="E84" s="19" t="str">
        <x:f>IF('Account Cases'!J64="PASS","PASS","FAIL")</x:f>
        <x:v>PASS</x:v>
      </x:c>
      <x:c r="F84" s="21" t="str">
        <x:v>TERMINAL</x:v>
      </x:c>
      <x:c r="G84" s="75"/>
      <x:c r="H84" s="75"/>
      <x:c r="I84" s="75"/>
      <x:c r="J84" s="75"/>
      <x:c r="K84" s="75"/>
      <x:c r="L84" s="75"/>
      <x:c r="M84" s="75"/>
      <x:c r="N84" s="75"/>
      <x:c r="O84" s="75"/>
      <x:c r="P84" s="75"/>
      <x:c r="Q84" s="75"/>
      <x:c r="R84" s="75"/>
      <x:c r="S84" s="75"/>
      <x:c r="T84" s="75"/>
      <x:c r="U84" s="75"/>
      <x:c r="V84" s="75"/>
      <x:c r="W84" s="75"/>
      <x:c r="X84" s="75"/>
      <x:c r="Y84" s="75"/>
      <x:c r="Z84" s="75"/>
    </x:row>
    <x:row r="85">
      <x:c r="C85" s="19" t="str">
        <x:v>AU-A-059</x:v>
      </x:c>
      <x:c r="D85" s="19" t="str">
        <x:v>MS-HC|A Route flow case</x:v>
      </x:c>
      <x:c r="E85" s="19" t="str">
        <x:f>IF('Account Cases'!J65="PASS","PASS","FAIL")</x:f>
        <x:v>PASS</x:v>
      </x:c>
      <x:c r="F85" s="21" t="str">
        <x:v>TERMINAL</x:v>
      </x:c>
      <x:c r="G85" s="75"/>
      <x:c r="H85" s="75"/>
      <x:c r="I85" s="75"/>
      <x:c r="J85" s="75"/>
      <x:c r="K85" s="75"/>
      <x:c r="L85" s="75"/>
      <x:c r="M85" s="75"/>
      <x:c r="N85" s="75"/>
      <x:c r="O85" s="75"/>
      <x:c r="P85" s="75"/>
      <x:c r="Q85" s="75"/>
      <x:c r="R85" s="75"/>
      <x:c r="S85" s="75"/>
      <x:c r="T85" s="75"/>
      <x:c r="U85" s="75"/>
      <x:c r="V85" s="75"/>
      <x:c r="W85" s="75"/>
      <x:c r="X85" s="75"/>
      <x:c r="Y85" s="75"/>
      <x:c r="Z85" s="75"/>
    </x:row>
    <x:row r="86">
      <x:c r="C86" s="19" t="str">
        <x:v>AU-A-060</x:v>
      </x:c>
      <x:c r="D86" s="19" t="str">
        <x:v>MS-HC|A Labor case</x:v>
      </x:c>
      <x:c r="E86" s="19" t="str">
        <x:f>IF('Account Cases'!J66="PASS","PASS","FAIL")</x:f>
        <x:v>PASS</x:v>
      </x:c>
      <x:c r="F86" s="21" t="str">
        <x:v>TERMINAL</x:v>
      </x:c>
      <x:c r="G86" s="75"/>
      <x:c r="H86" s="75"/>
      <x:c r="I86" s="75"/>
      <x:c r="J86" s="75"/>
      <x:c r="K86" s="75"/>
      <x:c r="L86" s="75"/>
      <x:c r="M86" s="75"/>
      <x:c r="N86" s="75"/>
      <x:c r="O86" s="75"/>
      <x:c r="P86" s="75"/>
      <x:c r="Q86" s="75"/>
      <x:c r="R86" s="75"/>
      <x:c r="S86" s="75"/>
      <x:c r="T86" s="75"/>
      <x:c r="U86" s="75"/>
      <x:c r="V86" s="75"/>
      <x:c r="W86" s="75"/>
      <x:c r="X86" s="75"/>
      <x:c r="Y86" s="75"/>
      <x:c r="Z86" s="75"/>
    </x:row>
    <x:row r="87">
      <x:c r="C87" s="19" t="str">
        <x:v>AU-A-061</x:v>
      </x:c>
      <x:c r="D87" s="19" t="str">
        <x:v>MS-HC|A Safety case</x:v>
      </x:c>
      <x:c r="E87" s="19" t="str">
        <x:f>IF('Account Cases'!J67="PASS","PASS","FAIL")</x:f>
        <x:v>PASS</x:v>
      </x:c>
      <x:c r="F87" s="21" t="str">
        <x:v>TERMINAL</x:v>
      </x:c>
      <x:c r="G87" s="75"/>
      <x:c r="H87" s="75"/>
      <x:c r="I87" s="75"/>
      <x:c r="J87" s="75"/>
      <x:c r="K87" s="75"/>
      <x:c r="L87" s="75"/>
      <x:c r="M87" s="75"/>
      <x:c r="N87" s="75"/>
      <x:c r="O87" s="75"/>
      <x:c r="P87" s="75"/>
      <x:c r="Q87" s="75"/>
      <x:c r="R87" s="75"/>
      <x:c r="S87" s="75"/>
      <x:c r="T87" s="75"/>
      <x:c r="U87" s="75"/>
      <x:c r="V87" s="75"/>
      <x:c r="W87" s="75"/>
      <x:c r="X87" s="75"/>
      <x:c r="Y87" s="75"/>
      <x:c r="Z87" s="75"/>
    </x:row>
    <x:row r="88">
      <x:c r="C88" s="19" t="str">
        <x:v>AU-A-062</x:v>
      </x:c>
      <x:c r="D88" s="19" t="str">
        <x:v>MS-HC|A Receiver case</x:v>
      </x:c>
      <x:c r="E88" s="19" t="str">
        <x:f>IF('Account Cases'!J68="PASS","PASS","FAIL")</x:f>
        <x:v>PASS</x:v>
      </x:c>
      <x:c r="F88" s="21" t="str">
        <x:v>TERMINAL</x:v>
      </x:c>
      <x:c r="G88" s="75"/>
      <x:c r="H88" s="75"/>
      <x:c r="I88" s="75"/>
      <x:c r="J88" s="75"/>
      <x:c r="K88" s="75"/>
      <x:c r="L88" s="75"/>
      <x:c r="M88" s="75"/>
      <x:c r="N88" s="75"/>
      <x:c r="O88" s="75"/>
      <x:c r="P88" s="75"/>
      <x:c r="Q88" s="75"/>
      <x:c r="R88" s="75"/>
      <x:c r="S88" s="75"/>
      <x:c r="T88" s="75"/>
      <x:c r="U88" s="75"/>
      <x:c r="V88" s="75"/>
      <x:c r="W88" s="75"/>
      <x:c r="X88" s="75"/>
      <x:c r="Y88" s="75"/>
      <x:c r="Z88" s="75"/>
    </x:row>
    <x:row r="89">
      <x:c r="C89" s="19" t="str">
        <x:v>AU-A-063</x:v>
      </x:c>
      <x:c r="D89" s="19" t="str">
        <x:v>MS-HC|A Residual case</x:v>
      </x:c>
      <x:c r="E89" s="19" t="str">
        <x:f>IF('Account Cases'!J69="PASS","PASS","FAIL")</x:f>
        <x:v>PASS</x:v>
      </x:c>
      <x:c r="F89" s="21" t="str">
        <x:v>TERMINAL</x:v>
      </x:c>
      <x:c r="G89" s="75"/>
      <x:c r="H89" s="75"/>
      <x:c r="I89" s="75"/>
      <x:c r="J89" s="75"/>
      <x:c r="K89" s="75"/>
      <x:c r="L89" s="75"/>
      <x:c r="M89" s="75"/>
      <x:c r="N89" s="75"/>
      <x:c r="O89" s="75"/>
      <x:c r="P89" s="75"/>
      <x:c r="Q89" s="75"/>
      <x:c r="R89" s="75"/>
      <x:c r="S89" s="75"/>
      <x:c r="T89" s="75"/>
      <x:c r="U89" s="75"/>
      <x:c r="V89" s="75"/>
      <x:c r="W89" s="75"/>
      <x:c r="X89" s="75"/>
      <x:c r="Y89" s="75"/>
      <x:c r="Z89" s="75"/>
    </x:row>
    <x:row r="90">
      <x:c r="C90" s="19" t="str">
        <x:v>AU-A-064</x:v>
      </x:c>
      <x:c r="D90" s="19" t="str">
        <x:v>MS-HC|B Mass case</x:v>
      </x:c>
      <x:c r="E90" s="19" t="str">
        <x:f>IF('Account Cases'!J70="PASS","PASS","FAIL")</x:f>
        <x:v>PASS</x:v>
      </x:c>
      <x:c r="F90" s="21" t="str">
        <x:v>TERMINAL</x:v>
      </x:c>
      <x:c r="G90" s="75"/>
      <x:c r="H90" s="75"/>
      <x:c r="I90" s="75"/>
      <x:c r="J90" s="75"/>
      <x:c r="K90" s="75"/>
      <x:c r="L90" s="75"/>
      <x:c r="M90" s="75"/>
      <x:c r="N90" s="75"/>
      <x:c r="O90" s="75"/>
      <x:c r="P90" s="75"/>
      <x:c r="Q90" s="75"/>
      <x:c r="R90" s="75"/>
      <x:c r="S90" s="75"/>
      <x:c r="T90" s="75"/>
      <x:c r="U90" s="75"/>
      <x:c r="V90" s="75"/>
      <x:c r="W90" s="75"/>
      <x:c r="X90" s="75"/>
      <x:c r="Y90" s="75"/>
      <x:c r="Z90" s="75"/>
    </x:row>
    <x:row r="91">
      <x:c r="C91" s="19" t="str">
        <x:v>AU-A-065</x:v>
      </x:c>
      <x:c r="D91" s="19" t="str">
        <x:v>MS-HC|B Energy case</x:v>
      </x:c>
      <x:c r="E91" s="19" t="str">
        <x:f>IF('Account Cases'!J71="PASS","PASS","FAIL")</x:f>
        <x:v>PASS</x:v>
      </x:c>
      <x:c r="F91" s="21" t="str">
        <x:v>TERMINAL</x:v>
      </x:c>
      <x:c r="G91" s="75"/>
      <x:c r="H91" s="75"/>
      <x:c r="I91" s="75"/>
      <x:c r="J91" s="75"/>
      <x:c r="K91" s="75"/>
      <x:c r="L91" s="75"/>
      <x:c r="M91" s="75"/>
      <x:c r="N91" s="75"/>
      <x:c r="O91" s="75"/>
      <x:c r="P91" s="75"/>
      <x:c r="Q91" s="75"/>
      <x:c r="R91" s="75"/>
      <x:c r="S91" s="75"/>
      <x:c r="T91" s="75"/>
      <x:c r="U91" s="75"/>
      <x:c r="V91" s="75"/>
      <x:c r="W91" s="75"/>
      <x:c r="X91" s="75"/>
      <x:c r="Y91" s="75"/>
      <x:c r="Z91" s="75"/>
    </x:row>
    <x:row r="92">
      <x:c r="C92" s="19" t="str">
        <x:v>AU-A-066</x:v>
      </x:c>
      <x:c r="D92" s="19" t="str">
        <x:v>MS-HC|B Route flow case</x:v>
      </x:c>
      <x:c r="E92" s="19" t="str">
        <x:f>IF('Account Cases'!J72="PASS","PASS","FAIL")</x:f>
        <x:v>PASS</x:v>
      </x:c>
      <x:c r="F92" s="21" t="str">
        <x:v>TERMINAL</x:v>
      </x:c>
      <x:c r="G92" s="75"/>
      <x:c r="H92" s="75"/>
      <x:c r="I92" s="75"/>
      <x:c r="J92" s="75"/>
      <x:c r="K92" s="75"/>
      <x:c r="L92" s="75"/>
      <x:c r="M92" s="75"/>
      <x:c r="N92" s="75"/>
      <x:c r="O92" s="75"/>
      <x:c r="P92" s="75"/>
      <x:c r="Q92" s="75"/>
      <x:c r="R92" s="75"/>
      <x:c r="S92" s="75"/>
      <x:c r="T92" s="75"/>
      <x:c r="U92" s="75"/>
      <x:c r="V92" s="75"/>
      <x:c r="W92" s="75"/>
      <x:c r="X92" s="75"/>
      <x:c r="Y92" s="75"/>
      <x:c r="Z92" s="75"/>
    </x:row>
    <x:row r="93">
      <x:c r="C93" s="19" t="str">
        <x:v>AU-A-067</x:v>
      </x:c>
      <x:c r="D93" s="19" t="str">
        <x:v>MS-HC|B Labor case</x:v>
      </x:c>
      <x:c r="E93" s="19" t="str">
        <x:f>IF('Account Cases'!J73="PASS","PASS","FAIL")</x:f>
        <x:v>PASS</x:v>
      </x:c>
      <x:c r="F93" s="21" t="str">
        <x:v>TERMINAL</x:v>
      </x:c>
      <x:c r="G93" s="75"/>
      <x:c r="H93" s="75"/>
      <x:c r="I93" s="75"/>
      <x:c r="J93" s="75"/>
      <x:c r="K93" s="75"/>
      <x:c r="L93" s="75"/>
      <x:c r="M93" s="75"/>
      <x:c r="N93" s="75"/>
      <x:c r="O93" s="75"/>
      <x:c r="P93" s="75"/>
      <x:c r="Q93" s="75"/>
      <x:c r="R93" s="75"/>
      <x:c r="S93" s="75"/>
      <x:c r="T93" s="75"/>
      <x:c r="U93" s="75"/>
      <x:c r="V93" s="75"/>
      <x:c r="W93" s="75"/>
      <x:c r="X93" s="75"/>
      <x:c r="Y93" s="75"/>
      <x:c r="Z93" s="75"/>
    </x:row>
    <x:row r="94">
      <x:c r="C94" s="19" t="str">
        <x:v>AU-A-068</x:v>
      </x:c>
      <x:c r="D94" s="19" t="str">
        <x:v>MS-HC|B Safety case</x:v>
      </x:c>
      <x:c r="E94" s="19" t="str">
        <x:f>IF('Account Cases'!J74="PASS","PASS","FAIL")</x:f>
        <x:v>PASS</x:v>
      </x:c>
      <x:c r="F94" s="21" t="str">
        <x:v>TERMINAL</x:v>
      </x:c>
      <x:c r="G94" s="75"/>
      <x:c r="H94" s="75"/>
      <x:c r="I94" s="75"/>
      <x:c r="J94" s="75"/>
      <x:c r="K94" s="75"/>
      <x:c r="L94" s="75"/>
      <x:c r="M94" s="75"/>
      <x:c r="N94" s="75"/>
      <x:c r="O94" s="75"/>
      <x:c r="P94" s="75"/>
      <x:c r="Q94" s="75"/>
      <x:c r="R94" s="75"/>
      <x:c r="S94" s="75"/>
      <x:c r="T94" s="75"/>
      <x:c r="U94" s="75"/>
      <x:c r="V94" s="75"/>
      <x:c r="W94" s="75"/>
      <x:c r="X94" s="75"/>
      <x:c r="Y94" s="75"/>
      <x:c r="Z94" s="75"/>
    </x:row>
    <x:row r="95">
      <x:c r="C95" s="19" t="str">
        <x:v>AU-A-069</x:v>
      </x:c>
      <x:c r="D95" s="19" t="str">
        <x:v>MS-HC|B Receiver case</x:v>
      </x:c>
      <x:c r="E95" s="19" t="str">
        <x:f>IF('Account Cases'!J75="PASS","PASS","FAIL")</x:f>
        <x:v>PASS</x:v>
      </x:c>
      <x:c r="F95" s="21" t="str">
        <x:v>TERMINAL</x:v>
      </x:c>
      <x:c r="G95" s="75"/>
      <x:c r="H95" s="75"/>
      <x:c r="I95" s="75"/>
      <x:c r="J95" s="75"/>
      <x:c r="K95" s="75"/>
      <x:c r="L95" s="75"/>
      <x:c r="M95" s="75"/>
      <x:c r="N95" s="75"/>
      <x:c r="O95" s="75"/>
      <x:c r="P95" s="75"/>
      <x:c r="Q95" s="75"/>
      <x:c r="R95" s="75"/>
      <x:c r="S95" s="75"/>
      <x:c r="T95" s="75"/>
      <x:c r="U95" s="75"/>
      <x:c r="V95" s="75"/>
      <x:c r="W95" s="75"/>
      <x:c r="X95" s="75"/>
      <x:c r="Y95" s="75"/>
      <x:c r="Z95" s="75"/>
    </x:row>
    <x:row r="96">
      <x:c r="C96" s="19" t="str">
        <x:v>AU-A-070</x:v>
      </x:c>
      <x:c r="D96" s="19" t="str">
        <x:v>MS-HC|B Residual case</x:v>
      </x:c>
      <x:c r="E96" s="19" t="str">
        <x:f>IF('Account Cases'!J76="PASS","PASS","FAIL")</x:f>
        <x:v>PASS</x:v>
      </x:c>
      <x:c r="F96" s="21" t="str">
        <x:v>TERMINAL</x:v>
      </x:c>
      <x:c r="G96" s="75"/>
      <x:c r="H96" s="75"/>
      <x:c r="I96" s="75"/>
      <x:c r="J96" s="75"/>
      <x:c r="K96" s="75"/>
      <x:c r="L96" s="75"/>
      <x:c r="M96" s="75"/>
      <x:c r="N96" s="75"/>
      <x:c r="O96" s="75"/>
      <x:c r="P96" s="75"/>
      <x:c r="Q96" s="75"/>
      <x:c r="R96" s="75"/>
      <x:c r="S96" s="75"/>
      <x:c r="T96" s="75"/>
      <x:c r="U96" s="75"/>
      <x:c r="V96" s="75"/>
      <x:c r="W96" s="75"/>
      <x:c r="X96" s="75"/>
      <x:c r="Y96" s="75"/>
      <x:c r="Z96" s="75"/>
    </x:row>
    <x:row r="97">
      <x:c r="C97" s="19" t="str">
        <x:v>AU-A-071</x:v>
      </x:c>
      <x:c r="D97" s="19" t="str">
        <x:v>MS-HC|C Mass case</x:v>
      </x:c>
      <x:c r="E97" s="19" t="str">
        <x:f>IF('Account Cases'!J77="PASS","PASS","FAIL")</x:f>
        <x:v>PASS</x:v>
      </x:c>
      <x:c r="F97" s="21" t="str">
        <x:v>TERMINAL</x:v>
      </x:c>
      <x:c r="G97" s="75"/>
      <x:c r="H97" s="75"/>
      <x:c r="I97" s="75"/>
      <x:c r="J97" s="75"/>
      <x:c r="K97" s="75"/>
      <x:c r="L97" s="75"/>
      <x:c r="M97" s="75"/>
      <x:c r="N97" s="75"/>
      <x:c r="O97" s="75"/>
      <x:c r="P97" s="75"/>
      <x:c r="Q97" s="75"/>
      <x:c r="R97" s="75"/>
      <x:c r="S97" s="75"/>
      <x:c r="T97" s="75"/>
      <x:c r="U97" s="75"/>
      <x:c r="V97" s="75"/>
      <x:c r="W97" s="75"/>
      <x:c r="X97" s="75"/>
      <x:c r="Y97" s="75"/>
      <x:c r="Z97" s="75"/>
    </x:row>
    <x:row r="98">
      <x:c r="C98" s="19" t="str">
        <x:v>AU-A-072</x:v>
      </x:c>
      <x:c r="D98" s="19" t="str">
        <x:v>MS-HC|C Energy case</x:v>
      </x:c>
      <x:c r="E98" s="19" t="str">
        <x:f>IF('Account Cases'!J78="PASS","PASS","FAIL")</x:f>
        <x:v>PASS</x:v>
      </x:c>
      <x:c r="F98" s="21" t="str">
        <x:v>TERMINAL</x:v>
      </x:c>
      <x:c r="G98" s="75"/>
      <x:c r="H98" s="75"/>
      <x:c r="I98" s="75"/>
      <x:c r="J98" s="75"/>
      <x:c r="K98" s="75"/>
      <x:c r="L98" s="75"/>
      <x:c r="M98" s="75"/>
      <x:c r="N98" s="75"/>
      <x:c r="O98" s="75"/>
      <x:c r="P98" s="75"/>
      <x:c r="Q98" s="75"/>
      <x:c r="R98" s="75"/>
      <x:c r="S98" s="75"/>
      <x:c r="T98" s="75"/>
      <x:c r="U98" s="75"/>
      <x:c r="V98" s="75"/>
      <x:c r="W98" s="75"/>
      <x:c r="X98" s="75"/>
      <x:c r="Y98" s="75"/>
      <x:c r="Z98" s="75"/>
    </x:row>
    <x:row r="99">
      <x:c r="C99" s="19" t="str">
        <x:v>AU-A-073</x:v>
      </x:c>
      <x:c r="D99" s="19" t="str">
        <x:v>MS-HC|C Route flow case</x:v>
      </x:c>
      <x:c r="E99" s="19" t="str">
        <x:f>IF('Account Cases'!J79="PASS","PASS","FAIL")</x:f>
        <x:v>PASS</x:v>
      </x:c>
      <x:c r="F99" s="21" t="str">
        <x:v>TERMINAL</x:v>
      </x:c>
      <x:c r="G99" s="75"/>
      <x:c r="H99" s="75"/>
      <x:c r="I99" s="75"/>
      <x:c r="J99" s="75"/>
      <x:c r="K99" s="75"/>
      <x:c r="L99" s="75"/>
      <x:c r="M99" s="75"/>
      <x:c r="N99" s="75"/>
      <x:c r="O99" s="75"/>
      <x:c r="P99" s="75"/>
      <x:c r="Q99" s="75"/>
      <x:c r="R99" s="75"/>
      <x:c r="S99" s="75"/>
      <x:c r="T99" s="75"/>
      <x:c r="U99" s="75"/>
      <x:c r="V99" s="75"/>
      <x:c r="W99" s="75"/>
      <x:c r="X99" s="75"/>
      <x:c r="Y99" s="75"/>
      <x:c r="Z99" s="75"/>
    </x:row>
    <x:row r="100">
      <x:c r="C100" s="19" t="str">
        <x:v>AU-A-074</x:v>
      </x:c>
      <x:c r="D100" s="19" t="str">
        <x:v>MS-HC|C Labor case</x:v>
      </x:c>
      <x:c r="E100" s="19" t="str">
        <x:f>IF('Account Cases'!J80="PASS","PASS","FAIL")</x:f>
        <x:v>PASS</x:v>
      </x:c>
      <x:c r="F100" s="21" t="str">
        <x:v>TERMINAL</x:v>
      </x:c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5"/>
      <x:c r="Q100" s="75"/>
      <x:c r="R100" s="75"/>
      <x:c r="S100" s="75"/>
      <x:c r="T100" s="75"/>
      <x:c r="U100" s="75"/>
      <x:c r="V100" s="75"/>
      <x:c r="W100" s="75"/>
      <x:c r="X100" s="75"/>
      <x:c r="Y100" s="75"/>
      <x:c r="Z100" s="75"/>
    </x:row>
    <x:row r="101">
      <x:c r="C101" s="19" t="str">
        <x:v>AU-A-075</x:v>
      </x:c>
      <x:c r="D101" s="19" t="str">
        <x:v>MS-HC|C Safety case</x:v>
      </x:c>
      <x:c r="E101" s="19" t="str">
        <x:f>IF('Account Cases'!J81="PASS","PASS","FAIL")</x:f>
        <x:v>PASS</x:v>
      </x:c>
      <x:c r="F101" s="21" t="str">
        <x:v>TERMINAL</x:v>
      </x:c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5"/>
      <x:c r="Q101" s="75"/>
      <x:c r="R101" s="75"/>
      <x:c r="S101" s="75"/>
      <x:c r="T101" s="75"/>
      <x:c r="U101" s="75"/>
      <x:c r="V101" s="75"/>
      <x:c r="W101" s="75"/>
      <x:c r="X101" s="75"/>
      <x:c r="Y101" s="75"/>
      <x:c r="Z101" s="75"/>
    </x:row>
    <x:row r="102">
      <x:c r="C102" s="19" t="str">
        <x:v>AU-A-076</x:v>
      </x:c>
      <x:c r="D102" s="19" t="str">
        <x:v>MS-HC|C Receiver case</x:v>
      </x:c>
      <x:c r="E102" s="19" t="str">
        <x:f>IF('Account Cases'!J82="PASS","PASS","FAIL")</x:f>
        <x:v>PASS</x:v>
      </x:c>
      <x:c r="F102" s="21" t="str">
        <x:v>TERMINAL</x:v>
      </x:c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5"/>
      <x:c r="Q102" s="75"/>
      <x:c r="R102" s="75"/>
      <x:c r="S102" s="75"/>
      <x:c r="T102" s="75"/>
      <x:c r="U102" s="75"/>
      <x:c r="V102" s="75"/>
      <x:c r="W102" s="75"/>
      <x:c r="X102" s="75"/>
      <x:c r="Y102" s="75"/>
      <x:c r="Z102" s="75"/>
    </x:row>
    <x:row r="103">
      <x:c r="C103" s="19" t="str">
        <x:v>AU-A-077</x:v>
      </x:c>
      <x:c r="D103" s="19" t="str">
        <x:v>MS-HC|C Residual case</x:v>
      </x:c>
      <x:c r="E103" s="19" t="str">
        <x:f>IF('Account Cases'!J83="PASS","PASS","FAIL")</x:f>
        <x:v>PASS</x:v>
      </x:c>
      <x:c r="F103" s="21" t="str">
        <x:v>TERMINAL</x:v>
      </x:c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5"/>
      <x:c r="Q103" s="75"/>
      <x:c r="R103" s="75"/>
      <x:c r="S103" s="75"/>
      <x:c r="T103" s="75"/>
      <x:c r="U103" s="75"/>
      <x:c r="V103" s="75"/>
      <x:c r="W103" s="75"/>
      <x:c r="X103" s="75"/>
      <x:c r="Y103" s="75"/>
      <x:c r="Z103" s="75"/>
    </x:row>
    <x:row r="104">
      <x:c r="C104" s="19" t="str">
        <x:v>AU-A-078</x:v>
      </x:c>
      <x:c r="D104" s="19" t="str">
        <x:v>MS-HC|D Mass case</x:v>
      </x:c>
      <x:c r="E104" s="19" t="str">
        <x:f>IF('Account Cases'!J84="PASS","PASS","FAIL")</x:f>
        <x:v>PASS</x:v>
      </x:c>
      <x:c r="F104" s="21" t="str">
        <x:v>TERMINAL</x:v>
      </x:c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5"/>
      <x:c r="Q104" s="75"/>
      <x:c r="R104" s="75"/>
      <x:c r="S104" s="75"/>
      <x:c r="T104" s="75"/>
      <x:c r="U104" s="75"/>
      <x:c r="V104" s="75"/>
      <x:c r="W104" s="75"/>
      <x:c r="X104" s="75"/>
      <x:c r="Y104" s="75"/>
      <x:c r="Z104" s="75"/>
    </x:row>
    <x:row r="105">
      <x:c r="C105" s="19" t="str">
        <x:v>AU-A-079</x:v>
      </x:c>
      <x:c r="D105" s="19" t="str">
        <x:v>MS-HC|D Energy case</x:v>
      </x:c>
      <x:c r="E105" s="19" t="str">
        <x:f>IF('Account Cases'!J85="PASS","PASS","FAIL")</x:f>
        <x:v>PASS</x:v>
      </x:c>
      <x:c r="F105" s="21" t="str">
        <x:v>TERMINAL</x:v>
      </x:c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5"/>
      <x:c r="Q105" s="75"/>
      <x:c r="R105" s="75"/>
      <x:c r="S105" s="75"/>
      <x:c r="T105" s="75"/>
      <x:c r="U105" s="75"/>
      <x:c r="V105" s="75"/>
      <x:c r="W105" s="75"/>
      <x:c r="X105" s="75"/>
      <x:c r="Y105" s="75"/>
      <x:c r="Z105" s="75"/>
    </x:row>
    <x:row r="106">
      <x:c r="C106" s="19" t="str">
        <x:v>AU-A-080</x:v>
      </x:c>
      <x:c r="D106" s="19" t="str">
        <x:v>MS-HC|D Route flow case</x:v>
      </x:c>
      <x:c r="E106" s="19" t="str">
        <x:f>IF('Account Cases'!J86="PASS","PASS","FAIL")</x:f>
        <x:v>PASS</x:v>
      </x:c>
      <x:c r="F106" s="21" t="str">
        <x:v>TERMINAL</x:v>
      </x:c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5"/>
      <x:c r="Q106" s="75"/>
      <x:c r="R106" s="75"/>
      <x:c r="S106" s="75"/>
      <x:c r="T106" s="75"/>
      <x:c r="U106" s="75"/>
      <x:c r="V106" s="75"/>
      <x:c r="W106" s="75"/>
      <x:c r="X106" s="75"/>
      <x:c r="Y106" s="75"/>
      <x:c r="Z106" s="75"/>
    </x:row>
    <x:row r="107">
      <x:c r="C107" s="19" t="str">
        <x:v>AU-A-081</x:v>
      </x:c>
      <x:c r="D107" s="19" t="str">
        <x:v>MS-HC|D Labor case</x:v>
      </x:c>
      <x:c r="E107" s="19" t="str">
        <x:f>IF('Account Cases'!J87="PASS","PASS","FAIL")</x:f>
        <x:v>PASS</x:v>
      </x:c>
      <x:c r="F107" s="21" t="str">
        <x:v>TERMINAL</x:v>
      </x:c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5"/>
      <x:c r="Q107" s="75"/>
      <x:c r="R107" s="75"/>
      <x:c r="S107" s="75"/>
      <x:c r="T107" s="75"/>
      <x:c r="U107" s="75"/>
      <x:c r="V107" s="75"/>
      <x:c r="W107" s="75"/>
      <x:c r="X107" s="75"/>
      <x:c r="Y107" s="75"/>
      <x:c r="Z107" s="75"/>
    </x:row>
    <x:row r="108">
      <x:c r="C108" s="19" t="str">
        <x:v>AU-A-082</x:v>
      </x:c>
      <x:c r="D108" s="19" t="str">
        <x:v>MS-HC|D Safety case</x:v>
      </x:c>
      <x:c r="E108" s="19" t="str">
        <x:f>IF('Account Cases'!J88="PASS","PASS","FAIL")</x:f>
        <x:v>PASS</x:v>
      </x:c>
      <x:c r="F108" s="21" t="str">
        <x:v>TERMINAL</x:v>
      </x:c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5"/>
      <x:c r="Q108" s="75"/>
      <x:c r="R108" s="75"/>
      <x:c r="S108" s="75"/>
      <x:c r="T108" s="75"/>
      <x:c r="U108" s="75"/>
      <x:c r="V108" s="75"/>
      <x:c r="W108" s="75"/>
      <x:c r="X108" s="75"/>
      <x:c r="Y108" s="75"/>
      <x:c r="Z108" s="75"/>
    </x:row>
    <x:row r="109">
      <x:c r="C109" s="19" t="str">
        <x:v>AU-A-083</x:v>
      </x:c>
      <x:c r="D109" s="19" t="str">
        <x:v>MS-HC|D Receiver case</x:v>
      </x:c>
      <x:c r="E109" s="19" t="str">
        <x:f>IF('Account Cases'!J89="PASS","PASS","FAIL")</x:f>
        <x:v>PASS</x:v>
      </x:c>
      <x:c r="F109" s="21" t="str">
        <x:v>TERMINAL</x:v>
      </x:c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5"/>
      <x:c r="Q109" s="75"/>
      <x:c r="R109" s="75"/>
      <x:c r="S109" s="75"/>
      <x:c r="T109" s="75"/>
      <x:c r="U109" s="75"/>
      <x:c r="V109" s="75"/>
      <x:c r="W109" s="75"/>
      <x:c r="X109" s="75"/>
      <x:c r="Y109" s="75"/>
      <x:c r="Z109" s="75"/>
    </x:row>
    <x:row r="110">
      <x:c r="C110" s="19" t="str">
        <x:v>AU-A-084</x:v>
      </x:c>
      <x:c r="D110" s="19" t="str">
        <x:v>MS-HC|D Residual case</x:v>
      </x:c>
      <x:c r="E110" s="19" t="str">
        <x:f>IF('Account Cases'!J90="PASS","PASS","FAIL")</x:f>
        <x:v>PASS</x:v>
      </x:c>
      <x:c r="F110" s="21" t="str">
        <x:v>TERMINAL</x:v>
      </x:c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5"/>
      <x:c r="Q110" s="75"/>
      <x:c r="R110" s="75"/>
      <x:c r="S110" s="75"/>
      <x:c r="T110" s="75"/>
      <x:c r="U110" s="75"/>
      <x:c r="V110" s="75"/>
      <x:c r="W110" s="75"/>
      <x:c r="X110" s="75"/>
      <x:c r="Y110" s="75"/>
      <x:c r="Z110" s="75"/>
    </x:row>
    <x:row r="111">
      <x:c r="C111" s="19" t="str">
        <x:v>AU-A-085</x:v>
      </x:c>
      <x:c r="D111" s="19" t="str">
        <x:v>MS-HU|A Mass case</x:v>
      </x:c>
      <x:c r="E111" s="19" t="str">
        <x:f>IF('Account Cases'!J91="PASS","PASS","FAIL")</x:f>
        <x:v>PASS</x:v>
      </x:c>
      <x:c r="F111" s="21" t="str">
        <x:v>TERMINAL</x:v>
      </x:c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5"/>
      <x:c r="Q111" s="75"/>
      <x:c r="R111" s="75"/>
      <x:c r="S111" s="75"/>
      <x:c r="T111" s="75"/>
      <x:c r="U111" s="75"/>
      <x:c r="V111" s="75"/>
      <x:c r="W111" s="75"/>
      <x:c r="X111" s="75"/>
      <x:c r="Y111" s="75"/>
      <x:c r="Z111" s="75"/>
    </x:row>
    <x:row r="112">
      <x:c r="C112" s="19" t="str">
        <x:v>AU-A-086</x:v>
      </x:c>
      <x:c r="D112" s="19" t="str">
        <x:v>MS-HU|A Energy case</x:v>
      </x:c>
      <x:c r="E112" s="19" t="str">
        <x:f>IF('Account Cases'!J92="PASS","PASS","FAIL")</x:f>
        <x:v>PASS</x:v>
      </x:c>
      <x:c r="F112" s="21" t="str">
        <x:v>TERMINAL</x:v>
      </x:c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5"/>
      <x:c r="Q112" s="75"/>
      <x:c r="R112" s="75"/>
      <x:c r="S112" s="75"/>
      <x:c r="T112" s="75"/>
      <x:c r="U112" s="75"/>
      <x:c r="V112" s="75"/>
      <x:c r="W112" s="75"/>
      <x:c r="X112" s="75"/>
      <x:c r="Y112" s="75"/>
      <x:c r="Z112" s="75"/>
    </x:row>
    <x:row r="113">
      <x:c r="C113" s="19" t="str">
        <x:v>AU-A-087</x:v>
      </x:c>
      <x:c r="D113" s="19" t="str">
        <x:v>MS-HU|A Route flow case</x:v>
      </x:c>
      <x:c r="E113" s="19" t="str">
        <x:f>IF('Account Cases'!J93="PASS","PASS","FAIL")</x:f>
        <x:v>PASS</x:v>
      </x:c>
      <x:c r="F113" s="21" t="str">
        <x:v>TERMINAL</x:v>
      </x:c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5"/>
      <x:c r="Q113" s="75"/>
      <x:c r="R113" s="75"/>
      <x:c r="S113" s="75"/>
      <x:c r="T113" s="75"/>
      <x:c r="U113" s="75"/>
      <x:c r="V113" s="75"/>
      <x:c r="W113" s="75"/>
      <x:c r="X113" s="75"/>
      <x:c r="Y113" s="75"/>
      <x:c r="Z113" s="75"/>
    </x:row>
    <x:row r="114">
      <x:c r="C114" s="19" t="str">
        <x:v>AU-A-088</x:v>
      </x:c>
      <x:c r="D114" s="19" t="str">
        <x:v>MS-HU|A Labor case</x:v>
      </x:c>
      <x:c r="E114" s="19" t="str">
        <x:f>IF('Account Cases'!J94="PASS","PASS","FAIL")</x:f>
        <x:v>PASS</x:v>
      </x:c>
      <x:c r="F114" s="21" t="str">
        <x:v>TERMINAL</x:v>
      </x:c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</x:row>
    <x:row r="115">
      <x:c r="C115" s="19" t="str">
        <x:v>AU-A-089</x:v>
      </x:c>
      <x:c r="D115" s="19" t="str">
        <x:v>MS-HU|A Safety case</x:v>
      </x:c>
      <x:c r="E115" s="19" t="str">
        <x:f>IF('Account Cases'!J95="PASS","PASS","FAIL")</x:f>
        <x:v>PASS</x:v>
      </x:c>
      <x:c r="F115" s="21" t="str">
        <x:v>TERMINAL</x:v>
      </x:c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5"/>
      <x:c r="Q115" s="75"/>
      <x:c r="R115" s="75"/>
      <x:c r="S115" s="75"/>
      <x:c r="T115" s="75"/>
      <x:c r="U115" s="75"/>
      <x:c r="V115" s="75"/>
      <x:c r="W115" s="75"/>
      <x:c r="X115" s="75"/>
      <x:c r="Y115" s="75"/>
      <x:c r="Z115" s="75"/>
    </x:row>
    <x:row r="116">
      <x:c r="C116" s="19" t="str">
        <x:v>AU-A-090</x:v>
      </x:c>
      <x:c r="D116" s="19" t="str">
        <x:v>MS-HU|A Receiver case</x:v>
      </x:c>
      <x:c r="E116" s="19" t="str">
        <x:f>IF('Account Cases'!J96="PASS","PASS","FAIL")</x:f>
        <x:v>PASS</x:v>
      </x:c>
      <x:c r="F116" s="21" t="str">
        <x:v>TERMINAL</x:v>
      </x:c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5"/>
      <x:c r="Q116" s="75"/>
      <x:c r="R116" s="75"/>
      <x:c r="S116" s="75"/>
      <x:c r="T116" s="75"/>
      <x:c r="U116" s="75"/>
      <x:c r="V116" s="75"/>
      <x:c r="W116" s="75"/>
      <x:c r="X116" s="75"/>
      <x:c r="Y116" s="75"/>
      <x:c r="Z116" s="75"/>
    </x:row>
    <x:row r="117">
      <x:c r="C117" s="19" t="str">
        <x:v>AU-A-091</x:v>
      </x:c>
      <x:c r="D117" s="19" t="str">
        <x:v>MS-HU|A Residual case</x:v>
      </x:c>
      <x:c r="E117" s="19" t="str">
        <x:f>IF('Account Cases'!J97="PASS","PASS","FAIL")</x:f>
        <x:v>PASS</x:v>
      </x:c>
      <x:c r="F117" s="21" t="str">
        <x:v>TERMINAL</x:v>
      </x:c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5"/>
      <x:c r="Q117" s="75"/>
      <x:c r="R117" s="75"/>
      <x:c r="S117" s="75"/>
      <x:c r="T117" s="75"/>
      <x:c r="U117" s="75"/>
      <x:c r="V117" s="75"/>
      <x:c r="W117" s="75"/>
      <x:c r="X117" s="75"/>
      <x:c r="Y117" s="75"/>
      <x:c r="Z117" s="75"/>
    </x:row>
    <x:row r="118">
      <x:c r="C118" s="19" t="str">
        <x:v>AU-A-092</x:v>
      </x:c>
      <x:c r="D118" s="19" t="str">
        <x:v>MS-HU|B Mass case</x:v>
      </x:c>
      <x:c r="E118" s="19" t="str">
        <x:f>IF('Account Cases'!J98="PASS","PASS","FAIL")</x:f>
        <x:v>PASS</x:v>
      </x:c>
      <x:c r="F118" s="21" t="str">
        <x:v>TERMINAL</x:v>
      </x:c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5"/>
      <x:c r="Q118" s="75"/>
      <x:c r="R118" s="75"/>
      <x:c r="S118" s="75"/>
      <x:c r="T118" s="75"/>
      <x:c r="U118" s="75"/>
      <x:c r="V118" s="75"/>
      <x:c r="W118" s="75"/>
      <x:c r="X118" s="75"/>
      <x:c r="Y118" s="75"/>
      <x:c r="Z118" s="75"/>
    </x:row>
    <x:row r="119">
      <x:c r="C119" s="19" t="str">
        <x:v>AU-A-093</x:v>
      </x:c>
      <x:c r="D119" s="19" t="str">
        <x:v>MS-HU|B Energy case</x:v>
      </x:c>
      <x:c r="E119" s="19" t="str">
        <x:f>IF('Account Cases'!J99="PASS","PASS","FAIL")</x:f>
        <x:v>PASS</x:v>
      </x:c>
      <x:c r="F119" s="21" t="str">
        <x:v>TERMINAL</x:v>
      </x:c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</x:row>
    <x:row r="120">
      <x:c r="C120" s="19" t="str">
        <x:v>AU-A-094</x:v>
      </x:c>
      <x:c r="D120" s="19" t="str">
        <x:v>MS-HU|B Route flow case</x:v>
      </x:c>
      <x:c r="E120" s="19" t="str">
        <x:f>IF('Account Cases'!J100="PASS","PASS","FAIL")</x:f>
        <x:v>PASS</x:v>
      </x:c>
      <x:c r="F120" s="21" t="str">
        <x:v>TERMINAL</x:v>
      </x:c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5"/>
      <x:c r="Q120" s="75"/>
      <x:c r="R120" s="75"/>
      <x:c r="S120" s="75"/>
      <x:c r="T120" s="75"/>
      <x:c r="U120" s="75"/>
      <x:c r="V120" s="75"/>
      <x:c r="W120" s="75"/>
      <x:c r="X120" s="75"/>
      <x:c r="Y120" s="75"/>
      <x:c r="Z120" s="75"/>
    </x:row>
    <x:row r="121">
      <x:c r="C121" s="19" t="str">
        <x:v>AU-A-095</x:v>
      </x:c>
      <x:c r="D121" s="19" t="str">
        <x:v>MS-HU|B Labor case</x:v>
      </x:c>
      <x:c r="E121" s="19" t="str">
        <x:f>IF('Account Cases'!J101="PASS","PASS","FAIL")</x:f>
        <x:v>PASS</x:v>
      </x:c>
      <x:c r="F121" s="21" t="str">
        <x:v>TERMINAL</x:v>
      </x:c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5"/>
      <x:c r="Q121" s="75"/>
      <x:c r="R121" s="75"/>
      <x:c r="S121" s="75"/>
      <x:c r="T121" s="75"/>
      <x:c r="U121" s="75"/>
      <x:c r="V121" s="75"/>
      <x:c r="W121" s="75"/>
      <x:c r="X121" s="75"/>
      <x:c r="Y121" s="75"/>
      <x:c r="Z121" s="75"/>
    </x:row>
    <x:row r="122">
      <x:c r="C122" s="19" t="str">
        <x:v>AU-A-096</x:v>
      </x:c>
      <x:c r="D122" s="19" t="str">
        <x:v>MS-HU|B Safety case</x:v>
      </x:c>
      <x:c r="E122" s="19" t="str">
        <x:f>IF('Account Cases'!J102="PASS","PASS","FAIL")</x:f>
        <x:v>PASS</x:v>
      </x:c>
      <x:c r="F122" s="21" t="str">
        <x:v>TERMINAL</x:v>
      </x:c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5"/>
      <x:c r="Q122" s="75"/>
      <x:c r="R122" s="75"/>
      <x:c r="S122" s="75"/>
      <x:c r="T122" s="75"/>
      <x:c r="U122" s="75"/>
      <x:c r="V122" s="75"/>
      <x:c r="W122" s="75"/>
      <x:c r="X122" s="75"/>
      <x:c r="Y122" s="75"/>
      <x:c r="Z122" s="75"/>
    </x:row>
    <x:row r="123">
      <x:c r="C123" s="19" t="str">
        <x:v>AU-A-097</x:v>
      </x:c>
      <x:c r="D123" s="19" t="str">
        <x:v>MS-HU|B Receiver case</x:v>
      </x:c>
      <x:c r="E123" s="19" t="str">
        <x:f>IF('Account Cases'!J103="PASS","PASS","FAIL")</x:f>
        <x:v>PASS</x:v>
      </x:c>
      <x:c r="F123" s="21" t="str">
        <x:v>TERMINAL</x:v>
      </x:c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5"/>
      <x:c r="Q123" s="75"/>
      <x:c r="R123" s="75"/>
      <x:c r="S123" s="75"/>
      <x:c r="T123" s="75"/>
      <x:c r="U123" s="75"/>
      <x:c r="V123" s="75"/>
      <x:c r="W123" s="75"/>
      <x:c r="X123" s="75"/>
      <x:c r="Y123" s="75"/>
      <x:c r="Z123" s="75"/>
    </x:row>
    <x:row r="124">
      <x:c r="C124" s="19" t="str">
        <x:v>AU-A-098</x:v>
      </x:c>
      <x:c r="D124" s="19" t="str">
        <x:v>MS-HU|B Residual case</x:v>
      </x:c>
      <x:c r="E124" s="19" t="str">
        <x:f>IF('Account Cases'!J104="PASS","PASS","FAIL")</x:f>
        <x:v>PASS</x:v>
      </x:c>
      <x:c r="F124" s="21" t="str">
        <x:v>TERMINAL</x:v>
      </x:c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</x:row>
    <x:row r="125">
      <x:c r="C125" s="19" t="str">
        <x:v>AU-A-099</x:v>
      </x:c>
      <x:c r="D125" s="19" t="str">
        <x:v>MS-HU|C Mass case</x:v>
      </x:c>
      <x:c r="E125" s="19" t="str">
        <x:f>IF('Account Cases'!J105="PASS","PASS","FAIL")</x:f>
        <x:v>PASS</x:v>
      </x:c>
      <x:c r="F125" s="21" t="str">
        <x:v>TERMINAL</x:v>
      </x:c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5"/>
      <x:c r="Q125" s="75"/>
      <x:c r="R125" s="75"/>
      <x:c r="S125" s="75"/>
      <x:c r="T125" s="75"/>
      <x:c r="U125" s="75"/>
      <x:c r="V125" s="75"/>
      <x:c r="W125" s="75"/>
      <x:c r="X125" s="75"/>
      <x:c r="Y125" s="75"/>
      <x:c r="Z125" s="75"/>
    </x:row>
    <x:row r="126">
      <x:c r="C126" s="19" t="str">
        <x:v>AU-A-100</x:v>
      </x:c>
      <x:c r="D126" s="19" t="str">
        <x:v>MS-HU|C Energy case</x:v>
      </x:c>
      <x:c r="E126" s="19" t="str">
        <x:f>IF('Account Cases'!J106="PASS","PASS","FAIL")</x:f>
        <x:v>PASS</x:v>
      </x:c>
      <x:c r="F126" s="21" t="str">
        <x:v>TERMINAL</x:v>
      </x:c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5"/>
      <x:c r="Q126" s="75"/>
      <x:c r="R126" s="75"/>
      <x:c r="S126" s="75"/>
      <x:c r="T126" s="75"/>
      <x:c r="U126" s="75"/>
      <x:c r="V126" s="75"/>
      <x:c r="W126" s="75"/>
      <x:c r="X126" s="75"/>
      <x:c r="Y126" s="75"/>
      <x:c r="Z126" s="75"/>
    </x:row>
    <x:row r="127">
      <x:c r="C127" s="19" t="str">
        <x:v>AU-A-101</x:v>
      </x:c>
      <x:c r="D127" s="19" t="str">
        <x:v>MS-HU|C Route flow case</x:v>
      </x:c>
      <x:c r="E127" s="19" t="str">
        <x:f>IF('Account Cases'!J107="PASS","PASS","FAIL")</x:f>
        <x:v>PASS</x:v>
      </x:c>
      <x:c r="F127" s="21" t="str">
        <x:v>TERMINAL</x:v>
      </x:c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5"/>
      <x:c r="Q127" s="75"/>
      <x:c r="R127" s="75"/>
      <x:c r="S127" s="75"/>
      <x:c r="T127" s="75"/>
      <x:c r="U127" s="75"/>
      <x:c r="V127" s="75"/>
      <x:c r="W127" s="75"/>
      <x:c r="X127" s="75"/>
      <x:c r="Y127" s="75"/>
      <x:c r="Z127" s="75"/>
    </x:row>
    <x:row r="128">
      <x:c r="C128" s="19" t="str">
        <x:v>AU-A-102</x:v>
      </x:c>
      <x:c r="D128" s="19" t="str">
        <x:v>MS-HU|C Labor case</x:v>
      </x:c>
      <x:c r="E128" s="19" t="str">
        <x:f>IF('Account Cases'!J108="PASS","PASS","FAIL")</x:f>
        <x:v>PASS</x:v>
      </x:c>
      <x:c r="F128" s="21" t="str">
        <x:v>TERMINAL</x:v>
      </x:c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5"/>
      <x:c r="Q128" s="75"/>
      <x:c r="R128" s="75"/>
      <x:c r="S128" s="75"/>
      <x:c r="T128" s="75"/>
      <x:c r="U128" s="75"/>
      <x:c r="V128" s="75"/>
      <x:c r="W128" s="75"/>
      <x:c r="X128" s="75"/>
      <x:c r="Y128" s="75"/>
      <x:c r="Z128" s="75"/>
    </x:row>
    <x:row r="129">
      <x:c r="C129" s="19" t="str">
        <x:v>AU-A-103</x:v>
      </x:c>
      <x:c r="D129" s="19" t="str">
        <x:v>MS-HU|C Safety case</x:v>
      </x:c>
      <x:c r="E129" s="19" t="str">
        <x:f>IF('Account Cases'!J109="PASS","PASS","FAIL")</x:f>
        <x:v>PASS</x:v>
      </x:c>
      <x:c r="F129" s="21" t="str">
        <x:v>TERMINAL</x:v>
      </x:c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5"/>
      <x:c r="Q129" s="75"/>
      <x:c r="R129" s="75"/>
      <x:c r="S129" s="75"/>
      <x:c r="T129" s="75"/>
      <x:c r="U129" s="75"/>
      <x:c r="V129" s="75"/>
      <x:c r="W129" s="75"/>
      <x:c r="X129" s="75"/>
      <x:c r="Y129" s="75"/>
      <x:c r="Z129" s="75"/>
    </x:row>
    <x:row r="130">
      <x:c r="C130" s="19" t="str">
        <x:v>AU-A-104</x:v>
      </x:c>
      <x:c r="D130" s="19" t="str">
        <x:v>MS-HU|C Receiver case</x:v>
      </x:c>
      <x:c r="E130" s="19" t="str">
        <x:f>IF('Account Cases'!J110="PASS","PASS","FAIL")</x:f>
        <x:v>PASS</x:v>
      </x:c>
      <x:c r="F130" s="21" t="str">
        <x:v>TERMINAL</x:v>
      </x:c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5"/>
      <x:c r="Q130" s="75"/>
      <x:c r="R130" s="75"/>
      <x:c r="S130" s="75"/>
      <x:c r="T130" s="75"/>
      <x:c r="U130" s="75"/>
      <x:c r="V130" s="75"/>
      <x:c r="W130" s="75"/>
      <x:c r="X130" s="75"/>
      <x:c r="Y130" s="75"/>
      <x:c r="Z130" s="75"/>
    </x:row>
    <x:row r="131">
      <x:c r="C131" s="19" t="str">
        <x:v>AU-A-105</x:v>
      </x:c>
      <x:c r="D131" s="19" t="str">
        <x:v>MS-HU|C Residual case</x:v>
      </x:c>
      <x:c r="E131" s="19" t="str">
        <x:f>IF('Account Cases'!J111="PASS","PASS","FAIL")</x:f>
        <x:v>PASS</x:v>
      </x:c>
      <x:c r="F131" s="21" t="str">
        <x:v>TERMINAL</x:v>
      </x:c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5"/>
      <x:c r="Q131" s="75"/>
      <x:c r="R131" s="75"/>
      <x:c r="S131" s="75"/>
      <x:c r="T131" s="75"/>
      <x:c r="U131" s="75"/>
      <x:c r="V131" s="75"/>
      <x:c r="W131" s="75"/>
      <x:c r="X131" s="75"/>
      <x:c r="Y131" s="75"/>
      <x:c r="Z131" s="75"/>
    </x:row>
    <x:row r="132">
      <x:c r="C132" s="19" t="str">
        <x:v>AU-A-106</x:v>
      </x:c>
      <x:c r="D132" s="19" t="str">
        <x:v>MS-HU|D Mass case</x:v>
      </x:c>
      <x:c r="E132" s="19" t="str">
        <x:f>IF('Account Cases'!J112="PASS","PASS","FAIL")</x:f>
        <x:v>PASS</x:v>
      </x:c>
      <x:c r="F132" s="21" t="str">
        <x:v>TERMINAL</x:v>
      </x:c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5"/>
      <x:c r="Q132" s="75"/>
      <x:c r="R132" s="75"/>
      <x:c r="S132" s="75"/>
      <x:c r="T132" s="75"/>
      <x:c r="U132" s="75"/>
      <x:c r="V132" s="75"/>
      <x:c r="W132" s="75"/>
      <x:c r="X132" s="75"/>
      <x:c r="Y132" s="75"/>
      <x:c r="Z132" s="75"/>
    </x:row>
    <x:row r="133">
      <x:c r="C133" s="19" t="str">
        <x:v>AU-A-107</x:v>
      </x:c>
      <x:c r="D133" s="19" t="str">
        <x:v>MS-HU|D Energy case</x:v>
      </x:c>
      <x:c r="E133" s="19" t="str">
        <x:f>IF('Account Cases'!J113="PASS","PASS","FAIL")</x:f>
        <x:v>PASS</x:v>
      </x:c>
      <x:c r="F133" s="21" t="str">
        <x:v>TERMINAL</x:v>
      </x:c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5"/>
      <x:c r="Q133" s="75"/>
      <x:c r="R133" s="75"/>
      <x:c r="S133" s="75"/>
      <x:c r="T133" s="75"/>
      <x:c r="U133" s="75"/>
      <x:c r="V133" s="75"/>
      <x:c r="W133" s="75"/>
      <x:c r="X133" s="75"/>
      <x:c r="Y133" s="75"/>
      <x:c r="Z133" s="75"/>
    </x:row>
    <x:row r="134">
      <x:c r="C134" s="19" t="str">
        <x:v>AU-A-108</x:v>
      </x:c>
      <x:c r="D134" s="19" t="str">
        <x:v>MS-HU|D Route flow case</x:v>
      </x:c>
      <x:c r="E134" s="19" t="str">
        <x:f>IF('Account Cases'!J114="PASS","PASS","FAIL")</x:f>
        <x:v>PASS</x:v>
      </x:c>
      <x:c r="F134" s="21" t="str">
        <x:v>TERMINAL</x:v>
      </x:c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5"/>
      <x:c r="Q134" s="75"/>
      <x:c r="R134" s="75"/>
      <x:c r="S134" s="75"/>
      <x:c r="T134" s="75"/>
      <x:c r="U134" s="75"/>
      <x:c r="V134" s="75"/>
      <x:c r="W134" s="75"/>
      <x:c r="X134" s="75"/>
      <x:c r="Y134" s="75"/>
      <x:c r="Z134" s="75"/>
    </x:row>
    <x:row r="135">
      <x:c r="C135" s="19" t="str">
        <x:v>AU-A-109</x:v>
      </x:c>
      <x:c r="D135" s="19" t="str">
        <x:v>MS-HU|D Labor case</x:v>
      </x:c>
      <x:c r="E135" s="19" t="str">
        <x:f>IF('Account Cases'!J115="PASS","PASS","FAIL")</x:f>
        <x:v>PASS</x:v>
      </x:c>
      <x:c r="F135" s="21" t="str">
        <x:v>TERMINAL</x:v>
      </x:c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5"/>
      <x:c r="Q135" s="75"/>
      <x:c r="R135" s="75"/>
      <x:c r="S135" s="75"/>
      <x:c r="T135" s="75"/>
      <x:c r="U135" s="75"/>
      <x:c r="V135" s="75"/>
      <x:c r="W135" s="75"/>
      <x:c r="X135" s="75"/>
      <x:c r="Y135" s="75"/>
      <x:c r="Z135" s="75"/>
    </x:row>
    <x:row r="136">
      <x:c r="C136" s="19" t="str">
        <x:v>AU-A-110</x:v>
      </x:c>
      <x:c r="D136" s="19" t="str">
        <x:v>MS-HU|D Safety case</x:v>
      </x:c>
      <x:c r="E136" s="19" t="str">
        <x:f>IF('Account Cases'!J116="PASS","PASS","FAIL")</x:f>
        <x:v>PASS</x:v>
      </x:c>
      <x:c r="F136" s="21" t="str">
        <x:v>TERMINAL</x:v>
      </x:c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5"/>
      <x:c r="Q136" s="75"/>
      <x:c r="R136" s="75"/>
      <x:c r="S136" s="75"/>
      <x:c r="T136" s="75"/>
      <x:c r="U136" s="75"/>
      <x:c r="V136" s="75"/>
      <x:c r="W136" s="75"/>
      <x:c r="X136" s="75"/>
      <x:c r="Y136" s="75"/>
      <x:c r="Z136" s="75"/>
    </x:row>
    <x:row r="137">
      <x:c r="C137" s="19" t="str">
        <x:v>AU-A-111</x:v>
      </x:c>
      <x:c r="D137" s="19" t="str">
        <x:v>MS-HU|D Receiver case</x:v>
      </x:c>
      <x:c r="E137" s="19" t="str">
        <x:f>IF('Account Cases'!J117="PASS","PASS","FAIL")</x:f>
        <x:v>PASS</x:v>
      </x:c>
      <x:c r="F137" s="21" t="str">
        <x:v>TERMINAL</x:v>
      </x:c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5"/>
      <x:c r="Q137" s="75"/>
      <x:c r="R137" s="75"/>
      <x:c r="S137" s="75"/>
      <x:c r="T137" s="75"/>
      <x:c r="U137" s="75"/>
      <x:c r="V137" s="75"/>
      <x:c r="W137" s="75"/>
      <x:c r="X137" s="75"/>
      <x:c r="Y137" s="75"/>
      <x:c r="Z137" s="75"/>
    </x:row>
    <x:row r="138">
      <x:c r="C138" s="19" t="str">
        <x:v>AU-A-112</x:v>
      </x:c>
      <x:c r="D138" s="19" t="str">
        <x:v>MS-HU|D Residual case</x:v>
      </x:c>
      <x:c r="E138" s="19" t="str">
        <x:f>IF('Account Cases'!J118="PASS","PASS","FAIL")</x:f>
        <x:v>PASS</x:v>
      </x:c>
      <x:c r="F138" s="21" t="str">
        <x:v>TERMINAL</x:v>
      </x:c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5"/>
      <x:c r="Q138" s="75"/>
      <x:c r="R138" s="75"/>
      <x:c r="S138" s="75"/>
      <x:c r="T138" s="75"/>
      <x:c r="U138" s="75"/>
      <x:c r="V138" s="75"/>
      <x:c r="W138" s="75"/>
      <x:c r="X138" s="75"/>
      <x:c r="Y138" s="75"/>
      <x:c r="Z138" s="75"/>
    </x:row>
    <x:row r="139">
      <x:c r="C139" s="19" t="str">
        <x:v>AU-A-113</x:v>
      </x:c>
      <x:c r="D139" s="19" t="str">
        <x:v>MS-RT|A Mass case</x:v>
      </x:c>
      <x:c r="E139" s="19" t="str">
        <x:f>IF('Account Cases'!J119="PASS","PASS","FAIL")</x:f>
        <x:v>PASS</x:v>
      </x:c>
      <x:c r="F139" s="21" t="str">
        <x:v>TERMINAL</x:v>
      </x:c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5"/>
      <x:c r="Q139" s="75"/>
      <x:c r="R139" s="75"/>
      <x:c r="S139" s="75"/>
      <x:c r="T139" s="75"/>
      <x:c r="U139" s="75"/>
      <x:c r="V139" s="75"/>
      <x:c r="W139" s="75"/>
      <x:c r="X139" s="75"/>
      <x:c r="Y139" s="75"/>
      <x:c r="Z139" s="75"/>
    </x:row>
    <x:row r="140">
      <x:c r="C140" s="19" t="str">
        <x:v>AU-A-114</x:v>
      </x:c>
      <x:c r="D140" s="19" t="str">
        <x:v>MS-RT|A Energy case</x:v>
      </x:c>
      <x:c r="E140" s="19" t="str">
        <x:f>IF('Account Cases'!J120="PASS","PASS","FAIL")</x:f>
        <x:v>PASS</x:v>
      </x:c>
      <x:c r="F140" s="21" t="str">
        <x:v>TERMINAL</x:v>
      </x:c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5"/>
      <x:c r="Q140" s="75"/>
      <x:c r="R140" s="75"/>
      <x:c r="S140" s="75"/>
      <x:c r="T140" s="75"/>
      <x:c r="U140" s="75"/>
      <x:c r="V140" s="75"/>
      <x:c r="W140" s="75"/>
      <x:c r="X140" s="75"/>
      <x:c r="Y140" s="75"/>
      <x:c r="Z140" s="75"/>
    </x:row>
    <x:row r="141">
      <x:c r="C141" s="19" t="str">
        <x:v>AU-A-115</x:v>
      </x:c>
      <x:c r="D141" s="19" t="str">
        <x:v>MS-RT|A Route flow case</x:v>
      </x:c>
      <x:c r="E141" s="19" t="str">
        <x:f>IF('Account Cases'!J121="PASS","PASS","FAIL")</x:f>
        <x:v>PASS</x:v>
      </x:c>
      <x:c r="F141" s="21" t="str">
        <x:v>TERMINAL</x:v>
      </x:c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5"/>
      <x:c r="Q141" s="75"/>
      <x:c r="R141" s="75"/>
      <x:c r="S141" s="75"/>
      <x:c r="T141" s="75"/>
      <x:c r="U141" s="75"/>
      <x:c r="V141" s="75"/>
      <x:c r="W141" s="75"/>
      <x:c r="X141" s="75"/>
      <x:c r="Y141" s="75"/>
      <x:c r="Z141" s="75"/>
    </x:row>
    <x:row r="142">
      <x:c r="C142" s="19" t="str">
        <x:v>AU-A-116</x:v>
      </x:c>
      <x:c r="D142" s="19" t="str">
        <x:v>MS-RT|A Labor case</x:v>
      </x:c>
      <x:c r="E142" s="19" t="str">
        <x:f>IF('Account Cases'!J122="PASS","PASS","FAIL")</x:f>
        <x:v>PASS</x:v>
      </x:c>
      <x:c r="F142" s="21" t="str">
        <x:v>TERMINAL</x:v>
      </x:c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5"/>
      <x:c r="Q142" s="75"/>
      <x:c r="R142" s="75"/>
      <x:c r="S142" s="75"/>
      <x:c r="T142" s="75"/>
      <x:c r="U142" s="75"/>
      <x:c r="V142" s="75"/>
      <x:c r="W142" s="75"/>
      <x:c r="X142" s="75"/>
      <x:c r="Y142" s="75"/>
      <x:c r="Z142" s="75"/>
    </x:row>
    <x:row r="143">
      <x:c r="C143" s="19" t="str">
        <x:v>AU-A-117</x:v>
      </x:c>
      <x:c r="D143" s="19" t="str">
        <x:v>MS-RT|A Safety case</x:v>
      </x:c>
      <x:c r="E143" s="19" t="str">
        <x:f>IF('Account Cases'!J123="PASS","PASS","FAIL")</x:f>
        <x:v>PASS</x:v>
      </x:c>
      <x:c r="F143" s="21" t="str">
        <x:v>TERMINAL</x:v>
      </x:c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5"/>
      <x:c r="Q143" s="75"/>
      <x:c r="R143" s="75"/>
      <x:c r="S143" s="75"/>
      <x:c r="T143" s="75"/>
      <x:c r="U143" s="75"/>
      <x:c r="V143" s="75"/>
      <x:c r="W143" s="75"/>
      <x:c r="X143" s="75"/>
      <x:c r="Y143" s="75"/>
      <x:c r="Z143" s="75"/>
    </x:row>
    <x:row r="144">
      <x:c r="C144" s="19" t="str">
        <x:v>AU-A-118</x:v>
      </x:c>
      <x:c r="D144" s="19" t="str">
        <x:v>MS-RT|A Receiver case</x:v>
      </x:c>
      <x:c r="E144" s="19" t="str">
        <x:f>IF('Account Cases'!J124="PASS","PASS","FAIL")</x:f>
        <x:v>PASS</x:v>
      </x:c>
      <x:c r="F144" s="21" t="str">
        <x:v>TERMINAL</x:v>
      </x:c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5"/>
      <x:c r="Q144" s="75"/>
      <x:c r="R144" s="75"/>
      <x:c r="S144" s="75"/>
      <x:c r="T144" s="75"/>
      <x:c r="U144" s="75"/>
      <x:c r="V144" s="75"/>
      <x:c r="W144" s="75"/>
      <x:c r="X144" s="75"/>
      <x:c r="Y144" s="75"/>
      <x:c r="Z144" s="75"/>
    </x:row>
    <x:row r="145">
      <x:c r="C145" s="19" t="str">
        <x:v>AU-A-119</x:v>
      </x:c>
      <x:c r="D145" s="19" t="str">
        <x:v>MS-RT|A Residual case</x:v>
      </x:c>
      <x:c r="E145" s="19" t="str">
        <x:f>IF('Account Cases'!J125="PASS","PASS","FAIL")</x:f>
        <x:v>PASS</x:v>
      </x:c>
      <x:c r="F145" s="21" t="str">
        <x:v>TERMINAL</x:v>
      </x:c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5"/>
      <x:c r="Q145" s="75"/>
      <x:c r="R145" s="75"/>
      <x:c r="S145" s="75"/>
      <x:c r="T145" s="75"/>
      <x:c r="U145" s="75"/>
      <x:c r="V145" s="75"/>
      <x:c r="W145" s="75"/>
      <x:c r="X145" s="75"/>
      <x:c r="Y145" s="75"/>
      <x:c r="Z145" s="75"/>
    </x:row>
    <x:row r="146">
      <x:c r="C146" s="19" t="str">
        <x:v>AU-A-120</x:v>
      </x:c>
      <x:c r="D146" s="19" t="str">
        <x:v>MS-RT|B Mass case</x:v>
      </x:c>
      <x:c r="E146" s="19" t="str">
        <x:f>IF('Account Cases'!J126="PASS","PASS","FAIL")</x:f>
        <x:v>PASS</x:v>
      </x:c>
      <x:c r="F146" s="21" t="str">
        <x:v>TERMINAL</x:v>
      </x:c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5"/>
      <x:c r="Q146" s="75"/>
      <x:c r="R146" s="75"/>
      <x:c r="S146" s="75"/>
      <x:c r="T146" s="75"/>
      <x:c r="U146" s="75"/>
      <x:c r="V146" s="75"/>
      <x:c r="W146" s="75"/>
      <x:c r="X146" s="75"/>
      <x:c r="Y146" s="75"/>
      <x:c r="Z146" s="75"/>
    </x:row>
    <x:row r="147">
      <x:c r="C147" s="19" t="str">
        <x:v>AU-A-121</x:v>
      </x:c>
      <x:c r="D147" s="19" t="str">
        <x:v>MS-RT|B Energy case</x:v>
      </x:c>
      <x:c r="E147" s="19" t="str">
        <x:f>IF('Account Cases'!J127="PASS","PASS","FAIL")</x:f>
        <x:v>PASS</x:v>
      </x:c>
      <x:c r="F147" s="21" t="str">
        <x:v>TERMINAL</x:v>
      </x:c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5"/>
      <x:c r="Q147" s="75"/>
      <x:c r="R147" s="75"/>
      <x:c r="S147" s="75"/>
      <x:c r="T147" s="75"/>
      <x:c r="U147" s="75"/>
      <x:c r="V147" s="75"/>
      <x:c r="W147" s="75"/>
      <x:c r="X147" s="75"/>
      <x:c r="Y147" s="75"/>
      <x:c r="Z147" s="75"/>
    </x:row>
    <x:row r="148">
      <x:c r="C148" s="19" t="str">
        <x:v>AU-A-122</x:v>
      </x:c>
      <x:c r="D148" s="19" t="str">
        <x:v>MS-RT|B Route flow case</x:v>
      </x:c>
      <x:c r="E148" s="19" t="str">
        <x:f>IF('Account Cases'!J128="PASS","PASS","FAIL")</x:f>
        <x:v>PASS</x:v>
      </x:c>
      <x:c r="F148" s="21" t="str">
        <x:v>TERMINAL</x:v>
      </x:c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5"/>
      <x:c r="Q148" s="75"/>
      <x:c r="R148" s="75"/>
      <x:c r="S148" s="75"/>
      <x:c r="T148" s="75"/>
      <x:c r="U148" s="75"/>
      <x:c r="V148" s="75"/>
      <x:c r="W148" s="75"/>
      <x:c r="X148" s="75"/>
      <x:c r="Y148" s="75"/>
      <x:c r="Z148" s="75"/>
    </x:row>
    <x:row r="149">
      <x:c r="C149" s="19" t="str">
        <x:v>AU-A-123</x:v>
      </x:c>
      <x:c r="D149" s="19" t="str">
        <x:v>MS-RT|B Labor case</x:v>
      </x:c>
      <x:c r="E149" s="19" t="str">
        <x:f>IF('Account Cases'!J129="PASS","PASS","FAIL")</x:f>
        <x:v>PASS</x:v>
      </x:c>
      <x:c r="F149" s="21" t="str">
        <x:v>TERMINAL</x:v>
      </x:c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5"/>
      <x:c r="Q149" s="75"/>
      <x:c r="R149" s="75"/>
      <x:c r="S149" s="75"/>
      <x:c r="T149" s="75"/>
      <x:c r="U149" s="75"/>
      <x:c r="V149" s="75"/>
      <x:c r="W149" s="75"/>
      <x:c r="X149" s="75"/>
      <x:c r="Y149" s="75"/>
      <x:c r="Z149" s="75"/>
    </x:row>
    <x:row r="150">
      <x:c r="C150" s="19" t="str">
        <x:v>AU-A-124</x:v>
      </x:c>
      <x:c r="D150" s="19" t="str">
        <x:v>MS-RT|B Safety case</x:v>
      </x:c>
      <x:c r="E150" s="19" t="str">
        <x:f>IF('Account Cases'!J130="PASS","PASS","FAIL")</x:f>
        <x:v>PASS</x:v>
      </x:c>
      <x:c r="F150" s="21" t="str">
        <x:v>TERMINAL</x:v>
      </x:c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5"/>
      <x:c r="Q150" s="75"/>
      <x:c r="R150" s="75"/>
      <x:c r="S150" s="75"/>
      <x:c r="T150" s="75"/>
      <x:c r="U150" s="75"/>
      <x:c r="V150" s="75"/>
      <x:c r="W150" s="75"/>
      <x:c r="X150" s="75"/>
      <x:c r="Y150" s="75"/>
      <x:c r="Z150" s="75"/>
    </x:row>
    <x:row r="151">
      <x:c r="C151" s="19" t="str">
        <x:v>AU-A-125</x:v>
      </x:c>
      <x:c r="D151" s="19" t="str">
        <x:v>MS-RT|B Receiver case</x:v>
      </x:c>
      <x:c r="E151" s="19" t="str">
        <x:f>IF('Account Cases'!J131="PASS","PASS","FAIL")</x:f>
        <x:v>PASS</x:v>
      </x:c>
      <x:c r="F151" s="21" t="str">
        <x:v>TERMINAL</x:v>
      </x:c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5"/>
      <x:c r="Q151" s="75"/>
      <x:c r="R151" s="75"/>
      <x:c r="S151" s="75"/>
      <x:c r="T151" s="75"/>
      <x:c r="U151" s="75"/>
      <x:c r="V151" s="75"/>
      <x:c r="W151" s="75"/>
      <x:c r="X151" s="75"/>
      <x:c r="Y151" s="75"/>
      <x:c r="Z151" s="75"/>
    </x:row>
    <x:row r="152">
      <x:c r="C152" s="19" t="str">
        <x:v>AU-A-126</x:v>
      </x:c>
      <x:c r="D152" s="19" t="str">
        <x:v>MS-RT|B Residual case</x:v>
      </x:c>
      <x:c r="E152" s="19" t="str">
        <x:f>IF('Account Cases'!J132="PASS","PASS","FAIL")</x:f>
        <x:v>PASS</x:v>
      </x:c>
      <x:c r="F152" s="21" t="str">
        <x:v>TERMINAL</x:v>
      </x:c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5"/>
      <x:c r="Q152" s="75"/>
      <x:c r="R152" s="75"/>
      <x:c r="S152" s="75"/>
      <x:c r="T152" s="75"/>
      <x:c r="U152" s="75"/>
      <x:c r="V152" s="75"/>
      <x:c r="W152" s="75"/>
      <x:c r="X152" s="75"/>
      <x:c r="Y152" s="75"/>
      <x:c r="Z152" s="75"/>
    </x:row>
    <x:row r="153">
      <x:c r="C153" s="19" t="str">
        <x:v>AU-A-127</x:v>
      </x:c>
      <x:c r="D153" s="19" t="str">
        <x:v>MS-RT|C Mass case</x:v>
      </x:c>
      <x:c r="E153" s="19" t="str">
        <x:f>IF('Account Cases'!J133="PASS","PASS","FAIL")</x:f>
        <x:v>PASS</x:v>
      </x:c>
      <x:c r="F153" s="21" t="str">
        <x:v>TERMINAL</x:v>
      </x:c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5"/>
      <x:c r="Q153" s="75"/>
      <x:c r="R153" s="75"/>
      <x:c r="S153" s="75"/>
      <x:c r="T153" s="75"/>
      <x:c r="U153" s="75"/>
      <x:c r="V153" s="75"/>
      <x:c r="W153" s="75"/>
      <x:c r="X153" s="75"/>
      <x:c r="Y153" s="75"/>
      <x:c r="Z153" s="75"/>
    </x:row>
    <x:row r="154">
      <x:c r="C154" s="19" t="str">
        <x:v>AU-A-128</x:v>
      </x:c>
      <x:c r="D154" s="19" t="str">
        <x:v>MS-RT|C Energy case</x:v>
      </x:c>
      <x:c r="E154" s="19" t="str">
        <x:f>IF('Account Cases'!J134="PASS","PASS","FAIL")</x:f>
        <x:v>PASS</x:v>
      </x:c>
      <x:c r="F154" s="21" t="str">
        <x:v>TERMINAL</x:v>
      </x:c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5"/>
      <x:c r="Q154" s="75"/>
      <x:c r="R154" s="75"/>
      <x:c r="S154" s="75"/>
      <x:c r="T154" s="75"/>
      <x:c r="U154" s="75"/>
      <x:c r="V154" s="75"/>
      <x:c r="W154" s="75"/>
      <x:c r="X154" s="75"/>
      <x:c r="Y154" s="75"/>
      <x:c r="Z154" s="75"/>
    </x:row>
    <x:row r="155">
      <x:c r="C155" s="19" t="str">
        <x:v>AU-A-129</x:v>
      </x:c>
      <x:c r="D155" s="19" t="str">
        <x:v>MS-RT|C Route flow case</x:v>
      </x:c>
      <x:c r="E155" s="19" t="str">
        <x:f>IF('Account Cases'!J135="PASS","PASS","FAIL")</x:f>
        <x:v>PASS</x:v>
      </x:c>
      <x:c r="F155" s="21" t="str">
        <x:v>TERMINAL</x:v>
      </x:c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5"/>
      <x:c r="Q155" s="75"/>
      <x:c r="R155" s="75"/>
      <x:c r="S155" s="75"/>
      <x:c r="T155" s="75"/>
      <x:c r="U155" s="75"/>
      <x:c r="V155" s="75"/>
      <x:c r="W155" s="75"/>
      <x:c r="X155" s="75"/>
      <x:c r="Y155" s="75"/>
      <x:c r="Z155" s="75"/>
    </x:row>
    <x:row r="156">
      <x:c r="C156" s="19" t="str">
        <x:v>AU-A-130</x:v>
      </x:c>
      <x:c r="D156" s="19" t="str">
        <x:v>MS-RT|C Labor case</x:v>
      </x:c>
      <x:c r="E156" s="19" t="str">
        <x:f>IF('Account Cases'!J136="PASS","PASS","FAIL")</x:f>
        <x:v>PASS</x:v>
      </x:c>
      <x:c r="F156" s="21" t="str">
        <x:v>TERMINAL</x:v>
      </x:c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5"/>
      <x:c r="Q156" s="75"/>
      <x:c r="R156" s="75"/>
      <x:c r="S156" s="75"/>
      <x:c r="T156" s="75"/>
      <x:c r="U156" s="75"/>
      <x:c r="V156" s="75"/>
      <x:c r="W156" s="75"/>
      <x:c r="X156" s="75"/>
      <x:c r="Y156" s="75"/>
      <x:c r="Z156" s="75"/>
    </x:row>
    <x:row r="157">
      <x:c r="C157" s="19" t="str">
        <x:v>AU-A-131</x:v>
      </x:c>
      <x:c r="D157" s="19" t="str">
        <x:v>MS-RT|C Safety case</x:v>
      </x:c>
      <x:c r="E157" s="19" t="str">
        <x:f>IF('Account Cases'!J137="PASS","PASS","FAIL")</x:f>
        <x:v>PASS</x:v>
      </x:c>
      <x:c r="F157" s="21" t="str">
        <x:v>TERMINAL</x:v>
      </x:c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5"/>
      <x:c r="Q157" s="75"/>
      <x:c r="R157" s="75"/>
      <x:c r="S157" s="75"/>
      <x:c r="T157" s="75"/>
      <x:c r="U157" s="75"/>
      <x:c r="V157" s="75"/>
      <x:c r="W157" s="75"/>
      <x:c r="X157" s="75"/>
      <x:c r="Y157" s="75"/>
      <x:c r="Z157" s="75"/>
    </x:row>
    <x:row r="158">
      <x:c r="C158" s="19" t="str">
        <x:v>AU-A-132</x:v>
      </x:c>
      <x:c r="D158" s="19" t="str">
        <x:v>MS-RT|C Receiver case</x:v>
      </x:c>
      <x:c r="E158" s="19" t="str">
        <x:f>IF('Account Cases'!J138="PASS","PASS","FAIL")</x:f>
        <x:v>PASS</x:v>
      </x:c>
      <x:c r="F158" s="21" t="str">
        <x:v>TERMINAL</x:v>
      </x:c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5"/>
      <x:c r="Q158" s="75"/>
      <x:c r="R158" s="75"/>
      <x:c r="S158" s="75"/>
      <x:c r="T158" s="75"/>
      <x:c r="U158" s="75"/>
      <x:c r="V158" s="75"/>
      <x:c r="W158" s="75"/>
      <x:c r="X158" s="75"/>
      <x:c r="Y158" s="75"/>
      <x:c r="Z158" s="75"/>
    </x:row>
    <x:row r="159">
      <x:c r="C159" s="19" t="str">
        <x:v>AU-A-133</x:v>
      </x:c>
      <x:c r="D159" s="19" t="str">
        <x:v>MS-RT|C Residual case</x:v>
      </x:c>
      <x:c r="E159" s="19" t="str">
        <x:f>IF('Account Cases'!J139="PASS","PASS","FAIL")</x:f>
        <x:v>PASS</x:v>
      </x:c>
      <x:c r="F159" s="21" t="str">
        <x:v>TERMINAL</x:v>
      </x:c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5"/>
      <x:c r="Q159" s="75"/>
      <x:c r="R159" s="75"/>
      <x:c r="S159" s="75"/>
      <x:c r="T159" s="75"/>
      <x:c r="U159" s="75"/>
      <x:c r="V159" s="75"/>
      <x:c r="W159" s="75"/>
      <x:c r="X159" s="75"/>
      <x:c r="Y159" s="75"/>
      <x:c r="Z159" s="75"/>
    </x:row>
    <x:row r="160">
      <x:c r="C160" s="19" t="str">
        <x:v>AU-A-134</x:v>
      </x:c>
      <x:c r="D160" s="19" t="str">
        <x:v>MS-RT|D Mass case</x:v>
      </x:c>
      <x:c r="E160" s="19" t="str">
        <x:f>IF('Account Cases'!J140="PASS","PASS","FAIL")</x:f>
        <x:v>PASS</x:v>
      </x:c>
      <x:c r="F160" s="21" t="str">
        <x:v>TERMINAL</x:v>
      </x:c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5"/>
      <x:c r="Q160" s="75"/>
      <x:c r="R160" s="75"/>
      <x:c r="S160" s="75"/>
      <x:c r="T160" s="75"/>
      <x:c r="U160" s="75"/>
      <x:c r="V160" s="75"/>
      <x:c r="W160" s="75"/>
      <x:c r="X160" s="75"/>
      <x:c r="Y160" s="75"/>
      <x:c r="Z160" s="75"/>
    </x:row>
    <x:row r="161">
      <x:c r="C161" s="19" t="str">
        <x:v>AU-A-135</x:v>
      </x:c>
      <x:c r="D161" s="19" t="str">
        <x:v>MS-RT|D Energy case</x:v>
      </x:c>
      <x:c r="E161" s="19" t="str">
        <x:f>IF('Account Cases'!J141="PASS","PASS","FAIL")</x:f>
        <x:v>PASS</x:v>
      </x:c>
      <x:c r="F161" s="21" t="str">
        <x:v>TERMINAL</x:v>
      </x:c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5"/>
      <x:c r="Q161" s="75"/>
      <x:c r="R161" s="75"/>
      <x:c r="S161" s="75"/>
      <x:c r="T161" s="75"/>
      <x:c r="U161" s="75"/>
      <x:c r="V161" s="75"/>
      <x:c r="W161" s="75"/>
      <x:c r="X161" s="75"/>
      <x:c r="Y161" s="75"/>
      <x:c r="Z161" s="75"/>
    </x:row>
    <x:row r="162">
      <x:c r="C162" s="19" t="str">
        <x:v>AU-A-136</x:v>
      </x:c>
      <x:c r="D162" s="19" t="str">
        <x:v>MS-RT|D Route flow case</x:v>
      </x:c>
      <x:c r="E162" s="19" t="str">
        <x:f>IF('Account Cases'!J142="PASS","PASS","FAIL")</x:f>
        <x:v>PASS</x:v>
      </x:c>
      <x:c r="F162" s="21" t="str">
        <x:v>TERMINAL</x:v>
      </x:c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5"/>
      <x:c r="Q162" s="75"/>
      <x:c r="R162" s="75"/>
      <x:c r="S162" s="75"/>
      <x:c r="T162" s="75"/>
      <x:c r="U162" s="75"/>
      <x:c r="V162" s="75"/>
      <x:c r="W162" s="75"/>
      <x:c r="X162" s="75"/>
      <x:c r="Y162" s="75"/>
      <x:c r="Z162" s="75"/>
    </x:row>
    <x:row r="163">
      <x:c r="C163" s="19" t="str">
        <x:v>AU-A-137</x:v>
      </x:c>
      <x:c r="D163" s="19" t="str">
        <x:v>MS-RT|D Labor case</x:v>
      </x:c>
      <x:c r="E163" s="19" t="str">
        <x:f>IF('Account Cases'!J143="PASS","PASS","FAIL")</x:f>
        <x:v>PASS</x:v>
      </x:c>
      <x:c r="F163" s="21" t="str">
        <x:v>TERMINAL</x:v>
      </x:c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5"/>
      <x:c r="Q163" s="75"/>
      <x:c r="R163" s="75"/>
      <x:c r="S163" s="75"/>
      <x:c r="T163" s="75"/>
      <x:c r="U163" s="75"/>
      <x:c r="V163" s="75"/>
      <x:c r="W163" s="75"/>
      <x:c r="X163" s="75"/>
      <x:c r="Y163" s="75"/>
      <x:c r="Z163" s="75"/>
    </x:row>
    <x:row r="164">
      <x:c r="C164" s="19" t="str">
        <x:v>AU-A-138</x:v>
      </x:c>
      <x:c r="D164" s="19" t="str">
        <x:v>MS-RT|D Safety case</x:v>
      </x:c>
      <x:c r="E164" s="19" t="str">
        <x:f>IF('Account Cases'!J144="PASS","PASS","FAIL")</x:f>
        <x:v>PASS</x:v>
      </x:c>
      <x:c r="F164" s="21" t="str">
        <x:v>TERMINAL</x:v>
      </x:c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5"/>
      <x:c r="Q164" s="75"/>
      <x:c r="R164" s="75"/>
      <x:c r="S164" s="75"/>
      <x:c r="T164" s="75"/>
      <x:c r="U164" s="75"/>
      <x:c r="V164" s="75"/>
      <x:c r="W164" s="75"/>
      <x:c r="X164" s="75"/>
      <x:c r="Y164" s="75"/>
      <x:c r="Z164" s="75"/>
    </x:row>
    <x:row r="165">
      <x:c r="C165" s="19" t="str">
        <x:v>AU-A-139</x:v>
      </x:c>
      <x:c r="D165" s="19" t="str">
        <x:v>MS-RT|D Receiver case</x:v>
      </x:c>
      <x:c r="E165" s="19" t="str">
        <x:f>IF('Account Cases'!J145="PASS","PASS","FAIL")</x:f>
        <x:v>PASS</x:v>
      </x:c>
      <x:c r="F165" s="21" t="str">
        <x:v>TERMINAL</x:v>
      </x:c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5"/>
      <x:c r="Q165" s="75"/>
      <x:c r="R165" s="75"/>
      <x:c r="S165" s="75"/>
      <x:c r="T165" s="75"/>
      <x:c r="U165" s="75"/>
      <x:c r="V165" s="75"/>
      <x:c r="W165" s="75"/>
      <x:c r="X165" s="75"/>
      <x:c r="Y165" s="75"/>
      <x:c r="Z165" s="75"/>
    </x:row>
    <x:row r="166">
      <x:c r="C166" s="19" t="str">
        <x:v>AU-A-140</x:v>
      </x:c>
      <x:c r="D166" s="19" t="str">
        <x:v>MS-RT|D Residual case</x:v>
      </x:c>
      <x:c r="E166" s="19" t="str">
        <x:f>IF('Account Cases'!J146="PASS","PASS","FAIL")</x:f>
        <x:v>PASS</x:v>
      </x:c>
      <x:c r="F166" s="21" t="str">
        <x:v>TERMINAL</x:v>
      </x:c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5"/>
      <x:c r="Q166" s="75"/>
      <x:c r="R166" s="75"/>
      <x:c r="S166" s="75"/>
      <x:c r="T166" s="75"/>
      <x:c r="U166" s="75"/>
      <x:c r="V166" s="75"/>
      <x:c r="W166" s="75"/>
      <x:c r="X166" s="75"/>
      <x:c r="Y166" s="75"/>
      <x:c r="Z166" s="75"/>
    </x:row>
    <x:row r="167">
      <x:c r="C167" s="19" t="str">
        <x:v>AU-Q-001</x:v>
      </x:c>
      <x:c r="D167" s="19" t="str">
        <x:v>MS-ET|A ET-R1 route</x:v>
      </x:c>
      <x:c r="E167" s="19" t="str">
        <x:f>IF('Route Flow'!P7="PASS","PASS","FAIL")</x:f>
        <x:v>PASS</x:v>
      </x:c>
      <x:c r="F167" s="21" t="str">
        <x:v>TERMINAL</x:v>
      </x:c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5"/>
      <x:c r="Q167" s="75"/>
      <x:c r="R167" s="75"/>
      <x:c r="S167" s="75"/>
      <x:c r="T167" s="75"/>
      <x:c r="U167" s="75"/>
      <x:c r="V167" s="75"/>
      <x:c r="W167" s="75"/>
      <x:c r="X167" s="75"/>
      <x:c r="Y167" s="75"/>
      <x:c r="Z167" s="75"/>
    </x:row>
    <x:row r="168">
      <x:c r="C168" s="19" t="str">
        <x:v>AU-Q-002</x:v>
      </x:c>
      <x:c r="D168" s="19" t="str">
        <x:v>MS-ET|A ET-R2 route</x:v>
      </x:c>
      <x:c r="E168" s="19" t="str">
        <x:f>IF('Route Flow'!P8="PASS","PASS","FAIL")</x:f>
        <x:v>PASS</x:v>
      </x:c>
      <x:c r="F168" s="21" t="str">
        <x:v>TERMINAL</x:v>
      </x:c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5"/>
      <x:c r="Q168" s="75"/>
      <x:c r="R168" s="75"/>
      <x:c r="S168" s="75"/>
      <x:c r="T168" s="75"/>
      <x:c r="U168" s="75"/>
      <x:c r="V168" s="75"/>
      <x:c r="W168" s="75"/>
      <x:c r="X168" s="75"/>
      <x:c r="Y168" s="75"/>
      <x:c r="Z168" s="75"/>
    </x:row>
    <x:row r="169">
      <x:c r="C169" s="19" t="str">
        <x:v>AU-Q-003</x:v>
      </x:c>
      <x:c r="D169" s="19" t="str">
        <x:v>MS-ET|A ET-R3 route</x:v>
      </x:c>
      <x:c r="E169" s="19" t="str">
        <x:f>IF('Route Flow'!P9="PASS","PASS","FAIL")</x:f>
        <x:v>PASS</x:v>
      </x:c>
      <x:c r="F169" s="21" t="str">
        <x:v>TERMINAL</x:v>
      </x:c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5"/>
      <x:c r="Q169" s="75"/>
      <x:c r="R169" s="75"/>
      <x:c r="S169" s="75"/>
      <x:c r="T169" s="75"/>
      <x:c r="U169" s="75"/>
      <x:c r="V169" s="75"/>
      <x:c r="W169" s="75"/>
      <x:c r="X169" s="75"/>
      <x:c r="Y169" s="75"/>
      <x:c r="Z169" s="75"/>
    </x:row>
    <x:row r="170">
      <x:c r="C170" s="19" t="str">
        <x:v>AU-Q-004</x:v>
      </x:c>
      <x:c r="D170" s="19" t="str">
        <x:v>MS-ET|A ET-R4 route</x:v>
      </x:c>
      <x:c r="E170" s="19" t="str">
        <x:f>IF('Route Flow'!P10="PASS","PASS","FAIL")</x:f>
        <x:v>PASS</x:v>
      </x:c>
      <x:c r="F170" s="21" t="str">
        <x:v>TERMINAL</x:v>
      </x:c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5"/>
      <x:c r="Q170" s="75"/>
      <x:c r="R170" s="75"/>
      <x:c r="S170" s="75"/>
      <x:c r="T170" s="75"/>
      <x:c r="U170" s="75"/>
      <x:c r="V170" s="75"/>
      <x:c r="W170" s="75"/>
      <x:c r="X170" s="75"/>
      <x:c r="Y170" s="75"/>
      <x:c r="Z170" s="75"/>
    </x:row>
    <x:row r="171">
      <x:c r="C171" s="19" t="str">
        <x:v>AU-Q-005</x:v>
      </x:c>
      <x:c r="D171" s="19" t="str">
        <x:v>MS-ET|A ET-R5 route</x:v>
      </x:c>
      <x:c r="E171" s="19" t="str">
        <x:f>IF('Route Flow'!P11="PASS","PASS","FAIL")</x:f>
        <x:v>PASS</x:v>
      </x:c>
      <x:c r="F171" s="21" t="str">
        <x:v>TERMINAL</x:v>
      </x:c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5"/>
      <x:c r="Q171" s="75"/>
      <x:c r="R171" s="75"/>
      <x:c r="S171" s="75"/>
      <x:c r="T171" s="75"/>
      <x:c r="U171" s="75"/>
      <x:c r="V171" s="75"/>
      <x:c r="W171" s="75"/>
      <x:c r="X171" s="75"/>
      <x:c r="Y171" s="75"/>
      <x:c r="Z171" s="75"/>
    </x:row>
    <x:row r="172">
      <x:c r="C172" s="19" t="str">
        <x:v>AU-Q-006</x:v>
      </x:c>
      <x:c r="D172" s="19" t="str">
        <x:v>MS-ET|B ET-R1 route</x:v>
      </x:c>
      <x:c r="E172" s="19" t="str">
        <x:f>IF('Route Flow'!P12="PASS","PASS","FAIL")</x:f>
        <x:v>PASS</x:v>
      </x:c>
      <x:c r="F172" s="21" t="str">
        <x:v>TERMINAL</x:v>
      </x:c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5"/>
      <x:c r="Q172" s="75"/>
      <x:c r="R172" s="75"/>
      <x:c r="S172" s="75"/>
      <x:c r="T172" s="75"/>
      <x:c r="U172" s="75"/>
      <x:c r="V172" s="75"/>
      <x:c r="W172" s="75"/>
      <x:c r="X172" s="75"/>
      <x:c r="Y172" s="75"/>
      <x:c r="Z172" s="75"/>
    </x:row>
    <x:row r="173">
      <x:c r="C173" s="19" t="str">
        <x:v>AU-Q-007</x:v>
      </x:c>
      <x:c r="D173" s="19" t="str">
        <x:v>MS-ET|B ET-R2 route</x:v>
      </x:c>
      <x:c r="E173" s="19" t="str">
        <x:f>IF('Route Flow'!P13="PASS","PASS","FAIL")</x:f>
        <x:v>PASS</x:v>
      </x:c>
      <x:c r="F173" s="21" t="str">
        <x:v>TERMINAL</x:v>
      </x:c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5"/>
      <x:c r="Q173" s="75"/>
      <x:c r="R173" s="75"/>
      <x:c r="S173" s="75"/>
      <x:c r="T173" s="75"/>
      <x:c r="U173" s="75"/>
      <x:c r="V173" s="75"/>
      <x:c r="W173" s="75"/>
      <x:c r="X173" s="75"/>
      <x:c r="Y173" s="75"/>
      <x:c r="Z173" s="75"/>
    </x:row>
    <x:row r="174">
      <x:c r="C174" s="19" t="str">
        <x:v>AU-Q-008</x:v>
      </x:c>
      <x:c r="D174" s="19" t="str">
        <x:v>MS-ET|B ET-R3 route</x:v>
      </x:c>
      <x:c r="E174" s="19" t="str">
        <x:f>IF('Route Flow'!P14="PASS","PASS","FAIL")</x:f>
        <x:v>PASS</x:v>
      </x:c>
      <x:c r="F174" s="21" t="str">
        <x:v>TERMINAL</x:v>
      </x:c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5"/>
      <x:c r="Q174" s="75"/>
      <x:c r="R174" s="75"/>
      <x:c r="S174" s="75"/>
      <x:c r="T174" s="75"/>
      <x:c r="U174" s="75"/>
      <x:c r="V174" s="75"/>
      <x:c r="W174" s="75"/>
      <x:c r="X174" s="75"/>
      <x:c r="Y174" s="75"/>
      <x:c r="Z174" s="75"/>
    </x:row>
    <x:row r="175">
      <x:c r="C175" s="19" t="str">
        <x:v>AU-Q-009</x:v>
      </x:c>
      <x:c r="D175" s="19" t="str">
        <x:v>MS-ET|B ET-R4 route</x:v>
      </x:c>
      <x:c r="E175" s="19" t="str">
        <x:f>IF('Route Flow'!P15="PASS","PASS","FAIL")</x:f>
        <x:v>PASS</x:v>
      </x:c>
      <x:c r="F175" s="21" t="str">
        <x:v>TERMINAL</x:v>
      </x:c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5"/>
      <x:c r="Q175" s="75"/>
      <x:c r="R175" s="75"/>
      <x:c r="S175" s="75"/>
      <x:c r="T175" s="75"/>
      <x:c r="U175" s="75"/>
      <x:c r="V175" s="75"/>
      <x:c r="W175" s="75"/>
      <x:c r="X175" s="75"/>
      <x:c r="Y175" s="75"/>
      <x:c r="Z175" s="75"/>
    </x:row>
    <x:row r="176">
      <x:c r="C176" s="19" t="str">
        <x:v>AU-Q-010</x:v>
      </x:c>
      <x:c r="D176" s="19" t="str">
        <x:v>MS-ET|B ET-R5 route</x:v>
      </x:c>
      <x:c r="E176" s="19" t="str">
        <x:f>IF('Route Flow'!P16="PASS","PASS","FAIL")</x:f>
        <x:v>PASS</x:v>
      </x:c>
      <x:c r="F176" s="21" t="str">
        <x:v>TERMINAL</x:v>
      </x:c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5"/>
      <x:c r="Q176" s="75"/>
      <x:c r="R176" s="75"/>
      <x:c r="S176" s="75"/>
      <x:c r="T176" s="75"/>
      <x:c r="U176" s="75"/>
      <x:c r="V176" s="75"/>
      <x:c r="W176" s="75"/>
      <x:c r="X176" s="75"/>
      <x:c r="Y176" s="75"/>
      <x:c r="Z176" s="75"/>
    </x:row>
    <x:row r="177">
      <x:c r="C177" s="19" t="str">
        <x:v>AU-Q-011</x:v>
      </x:c>
      <x:c r="D177" s="19" t="str">
        <x:v>MS-ET|C ET-R1 route</x:v>
      </x:c>
      <x:c r="E177" s="19" t="str">
        <x:f>IF('Route Flow'!P17="PASS","PASS","FAIL")</x:f>
        <x:v>PASS</x:v>
      </x:c>
      <x:c r="F177" s="21" t="str">
        <x:v>TERMINAL</x:v>
      </x:c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5"/>
      <x:c r="Q177" s="75"/>
      <x:c r="R177" s="75"/>
      <x:c r="S177" s="75"/>
      <x:c r="T177" s="75"/>
      <x:c r="U177" s="75"/>
      <x:c r="V177" s="75"/>
      <x:c r="W177" s="75"/>
      <x:c r="X177" s="75"/>
      <x:c r="Y177" s="75"/>
      <x:c r="Z177" s="75"/>
    </x:row>
    <x:row r="178">
      <x:c r="C178" s="19" t="str">
        <x:v>AU-Q-012</x:v>
      </x:c>
      <x:c r="D178" s="19" t="str">
        <x:v>MS-ET|C ET-R2 route</x:v>
      </x:c>
      <x:c r="E178" s="19" t="str">
        <x:f>IF('Route Flow'!P18="PASS","PASS","FAIL")</x:f>
        <x:v>PASS</x:v>
      </x:c>
      <x:c r="F178" s="21" t="str">
        <x:v>TERMINAL</x:v>
      </x:c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5"/>
      <x:c r="Q178" s="75"/>
      <x:c r="R178" s="75"/>
      <x:c r="S178" s="75"/>
      <x:c r="T178" s="75"/>
      <x:c r="U178" s="75"/>
      <x:c r="V178" s="75"/>
      <x:c r="W178" s="75"/>
      <x:c r="X178" s="75"/>
      <x:c r="Y178" s="75"/>
      <x:c r="Z178" s="75"/>
    </x:row>
    <x:row r="179">
      <x:c r="C179" s="19" t="str">
        <x:v>AU-Q-013</x:v>
      </x:c>
      <x:c r="D179" s="19" t="str">
        <x:v>MS-ET|C ET-R3 route</x:v>
      </x:c>
      <x:c r="E179" s="19" t="str">
        <x:f>IF('Route Flow'!P19="PASS","PASS","FAIL")</x:f>
        <x:v>PASS</x:v>
      </x:c>
      <x:c r="F179" s="21" t="str">
        <x:v>TERMINAL</x:v>
      </x:c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5"/>
      <x:c r="Q179" s="75"/>
      <x:c r="R179" s="75"/>
      <x:c r="S179" s="75"/>
      <x:c r="T179" s="75"/>
      <x:c r="U179" s="75"/>
      <x:c r="V179" s="75"/>
      <x:c r="W179" s="75"/>
      <x:c r="X179" s="75"/>
      <x:c r="Y179" s="75"/>
      <x:c r="Z179" s="75"/>
    </x:row>
    <x:row r="180">
      <x:c r="C180" s="19" t="str">
        <x:v>AU-Q-014</x:v>
      </x:c>
      <x:c r="D180" s="19" t="str">
        <x:v>MS-ET|C ET-R4 route</x:v>
      </x:c>
      <x:c r="E180" s="19" t="str">
        <x:f>IF('Route Flow'!P20="PASS","PASS","FAIL")</x:f>
        <x:v>PASS</x:v>
      </x:c>
      <x:c r="F180" s="21" t="str">
        <x:v>TERMINAL</x:v>
      </x:c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5"/>
      <x:c r="Q180" s="75"/>
      <x:c r="R180" s="75"/>
      <x:c r="S180" s="75"/>
      <x:c r="T180" s="75"/>
      <x:c r="U180" s="75"/>
      <x:c r="V180" s="75"/>
      <x:c r="W180" s="75"/>
      <x:c r="X180" s="75"/>
      <x:c r="Y180" s="75"/>
      <x:c r="Z180" s="75"/>
    </x:row>
    <x:row r="181">
      <x:c r="C181" s="19" t="str">
        <x:v>AU-Q-015</x:v>
      </x:c>
      <x:c r="D181" s="19" t="str">
        <x:v>MS-ET|C ET-R5 route</x:v>
      </x:c>
      <x:c r="E181" s="19" t="str">
        <x:f>IF('Route Flow'!P21="PASS","PASS","FAIL")</x:f>
        <x:v>PASS</x:v>
      </x:c>
      <x:c r="F181" s="21" t="str">
        <x:v>TERMINAL</x:v>
      </x:c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</x:row>
    <x:row r="182">
      <x:c r="C182" s="19" t="str">
        <x:v>AU-Q-016</x:v>
      </x:c>
      <x:c r="D182" s="19" t="str">
        <x:v>MS-ET|D ET-R1 route</x:v>
      </x:c>
      <x:c r="E182" s="19" t="str">
        <x:f>IF('Route Flow'!P22="PASS","PASS","FAIL")</x:f>
        <x:v>PASS</x:v>
      </x:c>
      <x:c r="F182" s="21" t="str">
        <x:v>TERMINAL</x:v>
      </x:c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5"/>
      <x:c r="Q182" s="75"/>
      <x:c r="R182" s="75"/>
      <x:c r="S182" s="75"/>
      <x:c r="T182" s="75"/>
      <x:c r="U182" s="75"/>
      <x:c r="V182" s="75"/>
      <x:c r="W182" s="75"/>
      <x:c r="X182" s="75"/>
      <x:c r="Y182" s="75"/>
      <x:c r="Z182" s="75"/>
    </x:row>
    <x:row r="183">
      <x:c r="C183" s="19" t="str">
        <x:v>AU-Q-017</x:v>
      </x:c>
      <x:c r="D183" s="19" t="str">
        <x:v>MS-ET|D ET-R2 route</x:v>
      </x:c>
      <x:c r="E183" s="19" t="str">
        <x:f>IF('Route Flow'!P23="PASS","PASS","FAIL")</x:f>
        <x:v>PASS</x:v>
      </x:c>
      <x:c r="F183" s="21" t="str">
        <x:v>TERMINAL</x:v>
      </x:c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5"/>
      <x:c r="Q183" s="75"/>
      <x:c r="R183" s="75"/>
      <x:c r="S183" s="75"/>
      <x:c r="T183" s="75"/>
      <x:c r="U183" s="75"/>
      <x:c r="V183" s="75"/>
      <x:c r="W183" s="75"/>
      <x:c r="X183" s="75"/>
      <x:c r="Y183" s="75"/>
      <x:c r="Z183" s="75"/>
    </x:row>
    <x:row r="184">
      <x:c r="C184" s="19" t="str">
        <x:v>AU-Q-018</x:v>
      </x:c>
      <x:c r="D184" s="19" t="str">
        <x:v>MS-ET|D ET-R3 route</x:v>
      </x:c>
      <x:c r="E184" s="19" t="str">
        <x:f>IF('Route Flow'!P24="PASS","PASS","FAIL")</x:f>
        <x:v>PASS</x:v>
      </x:c>
      <x:c r="F184" s="21" t="str">
        <x:v>TERMINAL</x:v>
      </x:c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5"/>
      <x:c r="Q184" s="75"/>
      <x:c r="R184" s="75"/>
      <x:c r="S184" s="75"/>
      <x:c r="T184" s="75"/>
      <x:c r="U184" s="75"/>
      <x:c r="V184" s="75"/>
      <x:c r="W184" s="75"/>
      <x:c r="X184" s="75"/>
      <x:c r="Y184" s="75"/>
      <x:c r="Z184" s="75"/>
    </x:row>
    <x:row r="185">
      <x:c r="C185" s="19" t="str">
        <x:v>AU-Q-019</x:v>
      </x:c>
      <x:c r="D185" s="19" t="str">
        <x:v>MS-ET|D ET-R4 route</x:v>
      </x:c>
      <x:c r="E185" s="19" t="str">
        <x:f>IF('Route Flow'!P25="PASS","PASS","FAIL")</x:f>
        <x:v>PASS</x:v>
      </x:c>
      <x:c r="F185" s="21" t="str">
        <x:v>TERMINAL</x:v>
      </x:c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5"/>
      <x:c r="Q185" s="75"/>
      <x:c r="R185" s="75"/>
      <x:c r="S185" s="75"/>
      <x:c r="T185" s="75"/>
      <x:c r="U185" s="75"/>
      <x:c r="V185" s="75"/>
      <x:c r="W185" s="75"/>
      <x:c r="X185" s="75"/>
      <x:c r="Y185" s="75"/>
      <x:c r="Z185" s="75"/>
    </x:row>
    <x:row r="186">
      <x:c r="C186" s="19" t="str">
        <x:v>AU-Q-020</x:v>
      </x:c>
      <x:c r="D186" s="19" t="str">
        <x:v>MS-ET|D ET-R5 route</x:v>
      </x:c>
      <x:c r="E186" s="19" t="str">
        <x:f>IF('Route Flow'!P26="PASS","PASS","FAIL")</x:f>
        <x:v>PASS</x:v>
      </x:c>
      <x:c r="F186" s="21" t="str">
        <x:v>TERMINAL</x:v>
      </x:c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5"/>
      <x:c r="Q186" s="75"/>
      <x:c r="R186" s="75"/>
      <x:c r="S186" s="75"/>
      <x:c r="T186" s="75"/>
      <x:c r="U186" s="75"/>
      <x:c r="V186" s="75"/>
      <x:c r="W186" s="75"/>
      <x:c r="X186" s="75"/>
      <x:c r="Y186" s="75"/>
      <x:c r="Z186" s="75"/>
    </x:row>
    <x:row r="187">
      <x:c r="C187" s="19" t="str">
        <x:v>AU-Q-021</x:v>
      </x:c>
      <x:c r="D187" s="19" t="str">
        <x:v>MS-CT|A CT-R1 route</x:v>
      </x:c>
      <x:c r="E187" s="19" t="str">
        <x:f>IF('Route Flow'!P27="PASS","PASS","FAIL")</x:f>
        <x:v>PASS</x:v>
      </x:c>
      <x:c r="F187" s="21" t="str">
        <x:v>TERMINAL</x:v>
      </x:c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5"/>
      <x:c r="Q187" s="75"/>
      <x:c r="R187" s="75"/>
      <x:c r="S187" s="75"/>
      <x:c r="T187" s="75"/>
      <x:c r="U187" s="75"/>
      <x:c r="V187" s="75"/>
      <x:c r="W187" s="75"/>
      <x:c r="X187" s="75"/>
      <x:c r="Y187" s="75"/>
      <x:c r="Z187" s="75"/>
    </x:row>
    <x:row r="188">
      <x:c r="C188" s="19" t="str">
        <x:v>AU-Q-022</x:v>
      </x:c>
      <x:c r="D188" s="19" t="str">
        <x:v>MS-CT|A CT-R2 route</x:v>
      </x:c>
      <x:c r="E188" s="19" t="str">
        <x:f>IF('Route Flow'!P28="PASS","PASS","FAIL")</x:f>
        <x:v>PASS</x:v>
      </x:c>
      <x:c r="F188" s="21" t="str">
        <x:v>TERMINAL</x:v>
      </x:c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5"/>
      <x:c r="Q188" s="75"/>
      <x:c r="R188" s="75"/>
      <x:c r="S188" s="75"/>
      <x:c r="T188" s="75"/>
      <x:c r="U188" s="75"/>
      <x:c r="V188" s="75"/>
      <x:c r="W188" s="75"/>
      <x:c r="X188" s="75"/>
      <x:c r="Y188" s="75"/>
      <x:c r="Z188" s="75"/>
    </x:row>
    <x:row r="189">
      <x:c r="C189" s="19" t="str">
        <x:v>AU-Q-023</x:v>
      </x:c>
      <x:c r="D189" s="19" t="str">
        <x:v>MS-CT|A CT-R3 route</x:v>
      </x:c>
      <x:c r="E189" s="19" t="str">
        <x:f>IF('Route Flow'!P29="PASS","PASS","FAIL")</x:f>
        <x:v>PASS</x:v>
      </x:c>
      <x:c r="F189" s="21" t="str">
        <x:v>TERMINAL</x:v>
      </x:c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5"/>
      <x:c r="Q189" s="75"/>
      <x:c r="R189" s="75"/>
      <x:c r="S189" s="75"/>
      <x:c r="T189" s="75"/>
      <x:c r="U189" s="75"/>
      <x:c r="V189" s="75"/>
      <x:c r="W189" s="75"/>
      <x:c r="X189" s="75"/>
      <x:c r="Y189" s="75"/>
      <x:c r="Z189" s="75"/>
    </x:row>
    <x:row r="190">
      <x:c r="C190" s="19" t="str">
        <x:v>AU-Q-024</x:v>
      </x:c>
      <x:c r="D190" s="19" t="str">
        <x:v>MS-CT|A CT-R4 route</x:v>
      </x:c>
      <x:c r="E190" s="19" t="str">
        <x:f>IF('Route Flow'!P30="PASS","PASS","FAIL")</x:f>
        <x:v>PASS</x:v>
      </x:c>
      <x:c r="F190" s="21" t="str">
        <x:v>TERMINAL</x:v>
      </x:c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5"/>
      <x:c r="Q190" s="75"/>
      <x:c r="R190" s="75"/>
      <x:c r="S190" s="75"/>
      <x:c r="T190" s="75"/>
      <x:c r="U190" s="75"/>
      <x:c r="V190" s="75"/>
      <x:c r="W190" s="75"/>
      <x:c r="X190" s="75"/>
      <x:c r="Y190" s="75"/>
      <x:c r="Z190" s="75"/>
    </x:row>
    <x:row r="191">
      <x:c r="C191" s="19" t="str">
        <x:v>AU-Q-025</x:v>
      </x:c>
      <x:c r="D191" s="19" t="str">
        <x:v>MS-CT|A CT-R5 route</x:v>
      </x:c>
      <x:c r="E191" s="19" t="str">
        <x:f>IF('Route Flow'!P31="PASS","PASS","FAIL")</x:f>
        <x:v>PASS</x:v>
      </x:c>
      <x:c r="F191" s="21" t="str">
        <x:v>TERMINAL</x:v>
      </x:c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5"/>
      <x:c r="Q191" s="75"/>
      <x:c r="R191" s="75"/>
      <x:c r="S191" s="75"/>
      <x:c r="T191" s="75"/>
      <x:c r="U191" s="75"/>
      <x:c r="V191" s="75"/>
      <x:c r="W191" s="75"/>
      <x:c r="X191" s="75"/>
      <x:c r="Y191" s="75"/>
      <x:c r="Z191" s="75"/>
    </x:row>
    <x:row r="192">
      <x:c r="C192" s="19" t="str">
        <x:v>AU-Q-026</x:v>
      </x:c>
      <x:c r="D192" s="19" t="str">
        <x:v>MS-CT|B CT-R1 route</x:v>
      </x:c>
      <x:c r="E192" s="19" t="str">
        <x:f>IF('Route Flow'!P32="PASS","PASS","FAIL")</x:f>
        <x:v>PASS</x:v>
      </x:c>
      <x:c r="F192" s="21" t="str">
        <x:v>TERMINAL</x:v>
      </x:c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5"/>
      <x:c r="Q192" s="75"/>
      <x:c r="R192" s="75"/>
      <x:c r="S192" s="75"/>
      <x:c r="T192" s="75"/>
      <x:c r="U192" s="75"/>
      <x:c r="V192" s="75"/>
      <x:c r="W192" s="75"/>
      <x:c r="X192" s="75"/>
      <x:c r="Y192" s="75"/>
      <x:c r="Z192" s="75"/>
    </x:row>
    <x:row r="193">
      <x:c r="C193" s="19" t="str">
        <x:v>AU-Q-027</x:v>
      </x:c>
      <x:c r="D193" s="19" t="str">
        <x:v>MS-CT|B CT-R2 route</x:v>
      </x:c>
      <x:c r="E193" s="19" t="str">
        <x:f>IF('Route Flow'!P33="PASS","PASS","FAIL")</x:f>
        <x:v>PASS</x:v>
      </x:c>
      <x:c r="F193" s="21" t="str">
        <x:v>TERMINAL</x:v>
      </x:c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5"/>
      <x:c r="Q193" s="75"/>
      <x:c r="R193" s="75"/>
      <x:c r="S193" s="75"/>
      <x:c r="T193" s="75"/>
      <x:c r="U193" s="75"/>
      <x:c r="V193" s="75"/>
      <x:c r="W193" s="75"/>
      <x:c r="X193" s="75"/>
      <x:c r="Y193" s="75"/>
      <x:c r="Z193" s="75"/>
    </x:row>
    <x:row r="194">
      <x:c r="C194" s="19" t="str">
        <x:v>AU-Q-028</x:v>
      </x:c>
      <x:c r="D194" s="19" t="str">
        <x:v>MS-CT|B CT-R3 route</x:v>
      </x:c>
      <x:c r="E194" s="19" t="str">
        <x:f>IF('Route Flow'!P34="PASS","PASS","FAIL")</x:f>
        <x:v>PASS</x:v>
      </x:c>
      <x:c r="F194" s="21" t="str">
        <x:v>TERMINAL</x:v>
      </x:c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5"/>
      <x:c r="Q194" s="75"/>
      <x:c r="R194" s="75"/>
      <x:c r="S194" s="75"/>
      <x:c r="T194" s="75"/>
      <x:c r="U194" s="75"/>
      <x:c r="V194" s="75"/>
      <x:c r="W194" s="75"/>
      <x:c r="X194" s="75"/>
      <x:c r="Y194" s="75"/>
      <x:c r="Z194" s="75"/>
    </x:row>
    <x:row r="195">
      <x:c r="C195" s="19" t="str">
        <x:v>AU-Q-029</x:v>
      </x:c>
      <x:c r="D195" s="19" t="str">
        <x:v>MS-CT|B CT-R4 route</x:v>
      </x:c>
      <x:c r="E195" s="19" t="str">
        <x:f>IF('Route Flow'!P35="PASS","PASS","FAIL")</x:f>
        <x:v>PASS</x:v>
      </x:c>
      <x:c r="F195" s="21" t="str">
        <x:v>TERMINAL</x:v>
      </x:c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5"/>
      <x:c r="Q195" s="75"/>
      <x:c r="R195" s="75"/>
      <x:c r="S195" s="75"/>
      <x:c r="T195" s="75"/>
      <x:c r="U195" s="75"/>
      <x:c r="V195" s="75"/>
      <x:c r="W195" s="75"/>
      <x:c r="X195" s="75"/>
      <x:c r="Y195" s="75"/>
      <x:c r="Z195" s="75"/>
    </x:row>
    <x:row r="196">
      <x:c r="C196" s="19" t="str">
        <x:v>AU-Q-030</x:v>
      </x:c>
      <x:c r="D196" s="19" t="str">
        <x:v>MS-CT|B CT-R5 route</x:v>
      </x:c>
      <x:c r="E196" s="19" t="str">
        <x:f>IF('Route Flow'!P36="PASS","PASS","FAIL")</x:f>
        <x:v>PASS</x:v>
      </x:c>
      <x:c r="F196" s="21" t="str">
        <x:v>TERMINAL</x:v>
      </x:c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5"/>
      <x:c r="Q196" s="75"/>
      <x:c r="R196" s="75"/>
      <x:c r="S196" s="75"/>
      <x:c r="T196" s="75"/>
      <x:c r="U196" s="75"/>
      <x:c r="V196" s="75"/>
      <x:c r="W196" s="75"/>
      <x:c r="X196" s="75"/>
      <x:c r="Y196" s="75"/>
      <x:c r="Z196" s="75"/>
    </x:row>
    <x:row r="197">
      <x:c r="C197" s="19" t="str">
        <x:v>AU-Q-031</x:v>
      </x:c>
      <x:c r="D197" s="19" t="str">
        <x:v>MS-CT|C CT-R1 route</x:v>
      </x:c>
      <x:c r="E197" s="19" t="str">
        <x:f>IF('Route Flow'!P37="PASS","PASS","FAIL")</x:f>
        <x:v>PASS</x:v>
      </x:c>
      <x:c r="F197" s="21" t="str">
        <x:v>TERMINAL</x:v>
      </x:c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5"/>
      <x:c r="Q197" s="75"/>
      <x:c r="R197" s="75"/>
      <x:c r="S197" s="75"/>
      <x:c r="T197" s="75"/>
      <x:c r="U197" s="75"/>
      <x:c r="V197" s="75"/>
      <x:c r="W197" s="75"/>
      <x:c r="X197" s="75"/>
      <x:c r="Y197" s="75"/>
      <x:c r="Z197" s="75"/>
    </x:row>
    <x:row r="198">
      <x:c r="C198" s="19" t="str">
        <x:v>AU-Q-032</x:v>
      </x:c>
      <x:c r="D198" s="19" t="str">
        <x:v>MS-CT|C CT-R2 route</x:v>
      </x:c>
      <x:c r="E198" s="19" t="str">
        <x:f>IF('Route Flow'!P38="PASS","PASS","FAIL")</x:f>
        <x:v>PASS</x:v>
      </x:c>
      <x:c r="F198" s="21" t="str">
        <x:v>TERMINAL</x:v>
      </x:c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5"/>
      <x:c r="Q198" s="75"/>
      <x:c r="R198" s="75"/>
      <x:c r="S198" s="75"/>
      <x:c r="T198" s="75"/>
      <x:c r="U198" s="75"/>
      <x:c r="V198" s="75"/>
      <x:c r="W198" s="75"/>
      <x:c r="X198" s="75"/>
      <x:c r="Y198" s="75"/>
      <x:c r="Z198" s="75"/>
    </x:row>
    <x:row r="199">
      <x:c r="C199" s="19" t="str">
        <x:v>AU-Q-033</x:v>
      </x:c>
      <x:c r="D199" s="19" t="str">
        <x:v>MS-CT|C CT-R3 route</x:v>
      </x:c>
      <x:c r="E199" s="19" t="str">
        <x:f>IF('Route Flow'!P39="PASS","PASS","FAIL")</x:f>
        <x:v>PASS</x:v>
      </x:c>
      <x:c r="F199" s="21" t="str">
        <x:v>TERMINAL</x:v>
      </x:c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5"/>
      <x:c r="Q199" s="75"/>
      <x:c r="R199" s="75"/>
      <x:c r="S199" s="75"/>
      <x:c r="T199" s="75"/>
      <x:c r="U199" s="75"/>
      <x:c r="V199" s="75"/>
      <x:c r="W199" s="75"/>
      <x:c r="X199" s="75"/>
      <x:c r="Y199" s="75"/>
      <x:c r="Z199" s="75"/>
    </x:row>
    <x:row r="200">
      <x:c r="C200" s="19" t="str">
        <x:v>AU-Q-034</x:v>
      </x:c>
      <x:c r="D200" s="19" t="str">
        <x:v>MS-CT|C CT-R4 route</x:v>
      </x:c>
      <x:c r="E200" s="19" t="str">
        <x:f>IF('Route Flow'!P40="PASS","PASS","FAIL")</x:f>
        <x:v>PASS</x:v>
      </x:c>
      <x:c r="F200" s="21" t="str">
        <x:v>TERMINAL</x:v>
      </x:c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5"/>
      <x:c r="Q200" s="75"/>
      <x:c r="R200" s="75"/>
      <x:c r="S200" s="75"/>
      <x:c r="T200" s="75"/>
      <x:c r="U200" s="75"/>
      <x:c r="V200" s="75"/>
      <x:c r="W200" s="75"/>
      <x:c r="X200" s="75"/>
      <x:c r="Y200" s="75"/>
      <x:c r="Z200" s="75"/>
    </x:row>
    <x:row r="201">
      <x:c r="C201" s="19" t="str">
        <x:v>AU-Q-035</x:v>
      </x:c>
      <x:c r="D201" s="19" t="str">
        <x:v>MS-CT|C CT-R5 route</x:v>
      </x:c>
      <x:c r="E201" s="19" t="str">
        <x:f>IF('Route Flow'!P41="PASS","PASS","FAIL")</x:f>
        <x:v>PASS</x:v>
      </x:c>
      <x:c r="F201" s="21" t="str">
        <x:v>TERMINAL</x:v>
      </x:c>
      <x:c r="G201" s="75"/>
      <x:c r="H201" s="75"/>
      <x:c r="I201" s="75"/>
      <x:c r="J201" s="75"/>
      <x:c r="K201" s="75"/>
      <x:c r="L201" s="75"/>
      <x:c r="M201" s="75"/>
      <x:c r="N201" s="75"/>
      <x:c r="O201" s="75"/>
      <x:c r="P201" s="75"/>
      <x:c r="Q201" s="75"/>
      <x:c r="R201" s="75"/>
      <x:c r="S201" s="75"/>
      <x:c r="T201" s="75"/>
      <x:c r="U201" s="75"/>
      <x:c r="V201" s="75"/>
      <x:c r="W201" s="75"/>
      <x:c r="X201" s="75"/>
      <x:c r="Y201" s="75"/>
      <x:c r="Z201" s="75"/>
    </x:row>
    <x:row r="202">
      <x:c r="C202" s="19" t="str">
        <x:v>AU-Q-036</x:v>
      </x:c>
      <x:c r="D202" s="19" t="str">
        <x:v>MS-CT|D CT-R1 route</x:v>
      </x:c>
      <x:c r="E202" s="19" t="str">
        <x:f>IF('Route Flow'!P42="PASS","PASS","FAIL")</x:f>
        <x:v>PASS</x:v>
      </x:c>
      <x:c r="F202" s="21" t="str">
        <x:v>TERMINAL</x:v>
      </x:c>
      <x:c r="G202" s="75"/>
      <x:c r="H202" s="75"/>
      <x:c r="I202" s="75"/>
      <x:c r="J202" s="75"/>
      <x:c r="K202" s="75"/>
      <x:c r="L202" s="75"/>
      <x:c r="M202" s="75"/>
      <x:c r="N202" s="75"/>
      <x:c r="O202" s="75"/>
      <x:c r="P202" s="75"/>
      <x:c r="Q202" s="75"/>
      <x:c r="R202" s="75"/>
      <x:c r="S202" s="75"/>
      <x:c r="T202" s="75"/>
      <x:c r="U202" s="75"/>
      <x:c r="V202" s="75"/>
      <x:c r="W202" s="75"/>
      <x:c r="X202" s="75"/>
      <x:c r="Y202" s="75"/>
      <x:c r="Z202" s="75"/>
    </x:row>
    <x:row r="203">
      <x:c r="C203" s="19" t="str">
        <x:v>AU-Q-037</x:v>
      </x:c>
      <x:c r="D203" s="19" t="str">
        <x:v>MS-CT|D CT-R2 route</x:v>
      </x:c>
      <x:c r="E203" s="19" t="str">
        <x:f>IF('Route Flow'!P43="PASS","PASS","FAIL")</x:f>
        <x:v>PASS</x:v>
      </x:c>
      <x:c r="F203" s="21" t="str">
        <x:v>TERMINAL</x:v>
      </x:c>
      <x:c r="G203" s="75"/>
      <x:c r="H203" s="75"/>
      <x:c r="I203" s="75"/>
      <x:c r="J203" s="75"/>
      <x:c r="K203" s="75"/>
      <x:c r="L203" s="75"/>
      <x:c r="M203" s="75"/>
      <x:c r="N203" s="75"/>
      <x:c r="O203" s="75"/>
      <x:c r="P203" s="75"/>
      <x:c r="Q203" s="75"/>
      <x:c r="R203" s="75"/>
      <x:c r="S203" s="75"/>
      <x:c r="T203" s="75"/>
      <x:c r="U203" s="75"/>
      <x:c r="V203" s="75"/>
      <x:c r="W203" s="75"/>
      <x:c r="X203" s="75"/>
      <x:c r="Y203" s="75"/>
      <x:c r="Z203" s="75"/>
    </x:row>
    <x:row r="204">
      <x:c r="C204" s="19" t="str">
        <x:v>AU-Q-038</x:v>
      </x:c>
      <x:c r="D204" s="19" t="str">
        <x:v>MS-CT|D CT-R3 route</x:v>
      </x:c>
      <x:c r="E204" s="19" t="str">
        <x:f>IF('Route Flow'!P44="PASS","PASS","FAIL")</x:f>
        <x:v>PASS</x:v>
      </x:c>
      <x:c r="F204" s="21" t="str">
        <x:v>TERMINAL</x:v>
      </x:c>
      <x:c r="G204" s="75"/>
      <x:c r="H204" s="75"/>
      <x:c r="I204" s="75"/>
      <x:c r="J204" s="75"/>
      <x:c r="K204" s="75"/>
      <x:c r="L204" s="75"/>
      <x:c r="M204" s="75"/>
      <x:c r="N204" s="75"/>
      <x:c r="O204" s="75"/>
      <x:c r="P204" s="75"/>
      <x:c r="Q204" s="75"/>
      <x:c r="R204" s="75"/>
      <x:c r="S204" s="75"/>
      <x:c r="T204" s="75"/>
      <x:c r="U204" s="75"/>
      <x:c r="V204" s="75"/>
      <x:c r="W204" s="75"/>
      <x:c r="X204" s="75"/>
      <x:c r="Y204" s="75"/>
      <x:c r="Z204" s="75"/>
    </x:row>
    <x:row r="205">
      <x:c r="C205" s="19" t="str">
        <x:v>AU-Q-039</x:v>
      </x:c>
      <x:c r="D205" s="19" t="str">
        <x:v>MS-CT|D CT-R4 route</x:v>
      </x:c>
      <x:c r="E205" s="19" t="str">
        <x:f>IF('Route Flow'!P45="PASS","PASS","FAIL")</x:f>
        <x:v>PASS</x:v>
      </x:c>
      <x:c r="F205" s="21" t="str">
        <x:v>TERMINAL</x:v>
      </x:c>
      <x:c r="G205" s="75"/>
      <x:c r="H205" s="75"/>
      <x:c r="I205" s="75"/>
      <x:c r="J205" s="75"/>
      <x:c r="K205" s="75"/>
      <x:c r="L205" s="75"/>
      <x:c r="M205" s="75"/>
      <x:c r="N205" s="75"/>
      <x:c r="O205" s="75"/>
      <x:c r="P205" s="75"/>
      <x:c r="Q205" s="75"/>
      <x:c r="R205" s="75"/>
      <x:c r="S205" s="75"/>
      <x:c r="T205" s="75"/>
      <x:c r="U205" s="75"/>
      <x:c r="V205" s="75"/>
      <x:c r="W205" s="75"/>
      <x:c r="X205" s="75"/>
      <x:c r="Y205" s="75"/>
      <x:c r="Z205" s="75"/>
    </x:row>
    <x:row r="206">
      <x:c r="C206" s="19" t="str">
        <x:v>AU-Q-040</x:v>
      </x:c>
      <x:c r="D206" s="19" t="str">
        <x:v>MS-CT|D CT-R5 route</x:v>
      </x:c>
      <x:c r="E206" s="19" t="str">
        <x:f>IF('Route Flow'!P46="PASS","PASS","FAIL")</x:f>
        <x:v>PASS</x:v>
      </x:c>
      <x:c r="F206" s="21" t="str">
        <x:v>TERMINAL</x:v>
      </x:c>
      <x:c r="G206" s="75"/>
      <x:c r="H206" s="75"/>
      <x:c r="I206" s="75"/>
      <x:c r="J206" s="75"/>
      <x:c r="K206" s="75"/>
      <x:c r="L206" s="75"/>
      <x:c r="M206" s="75"/>
      <x:c r="N206" s="75"/>
      <x:c r="O206" s="75"/>
      <x:c r="P206" s="75"/>
      <x:c r="Q206" s="75"/>
      <x:c r="R206" s="75"/>
      <x:c r="S206" s="75"/>
      <x:c r="T206" s="75"/>
      <x:c r="U206" s="75"/>
      <x:c r="V206" s="75"/>
      <x:c r="W206" s="75"/>
      <x:c r="X206" s="75"/>
      <x:c r="Y206" s="75"/>
      <x:c r="Z206" s="75"/>
    </x:row>
    <x:row r="207">
      <x:c r="C207" s="19" t="str">
        <x:v>AU-Q-041</x:v>
      </x:c>
      <x:c r="D207" s="19" t="str">
        <x:v>MS-HC|A HC-R1 route</x:v>
      </x:c>
      <x:c r="E207" s="19" t="str">
        <x:f>IF('Route Flow'!P47="PASS","PASS","FAIL")</x:f>
        <x:v>PASS</x:v>
      </x:c>
      <x:c r="F207" s="21" t="str">
        <x:v>TERMINAL</x:v>
      </x:c>
      <x:c r="G207" s="75"/>
      <x:c r="H207" s="75"/>
      <x:c r="I207" s="75"/>
      <x:c r="J207" s="75"/>
      <x:c r="K207" s="75"/>
      <x:c r="L207" s="75"/>
      <x:c r="M207" s="75"/>
      <x:c r="N207" s="75"/>
      <x:c r="O207" s="75"/>
      <x:c r="P207" s="75"/>
      <x:c r="Q207" s="75"/>
      <x:c r="R207" s="75"/>
      <x:c r="S207" s="75"/>
      <x:c r="T207" s="75"/>
      <x:c r="U207" s="75"/>
      <x:c r="V207" s="75"/>
      <x:c r="W207" s="75"/>
      <x:c r="X207" s="75"/>
      <x:c r="Y207" s="75"/>
      <x:c r="Z207" s="75"/>
    </x:row>
    <x:row r="208">
      <x:c r="C208" s="19" t="str">
        <x:v>AU-Q-042</x:v>
      </x:c>
      <x:c r="D208" s="19" t="str">
        <x:v>MS-HC|A HC-R2 route</x:v>
      </x:c>
      <x:c r="E208" s="19" t="str">
        <x:f>IF('Route Flow'!P48="PASS","PASS","FAIL")</x:f>
        <x:v>PASS</x:v>
      </x:c>
      <x:c r="F208" s="21" t="str">
        <x:v>TERMINAL</x:v>
      </x:c>
      <x:c r="G208" s="75"/>
      <x:c r="H208" s="75"/>
      <x:c r="I208" s="75"/>
      <x:c r="J208" s="75"/>
      <x:c r="K208" s="75"/>
      <x:c r="L208" s="75"/>
      <x:c r="M208" s="75"/>
      <x:c r="N208" s="75"/>
      <x:c r="O208" s="75"/>
      <x:c r="P208" s="75"/>
      <x:c r="Q208" s="75"/>
      <x:c r="R208" s="75"/>
      <x:c r="S208" s="75"/>
      <x:c r="T208" s="75"/>
      <x:c r="U208" s="75"/>
      <x:c r="V208" s="75"/>
      <x:c r="W208" s="75"/>
      <x:c r="X208" s="75"/>
      <x:c r="Y208" s="75"/>
      <x:c r="Z208" s="75"/>
    </x:row>
    <x:row r="209">
      <x:c r="C209" s="19" t="str">
        <x:v>AU-Q-043</x:v>
      </x:c>
      <x:c r="D209" s="19" t="str">
        <x:v>MS-HC|A HC-R3 route</x:v>
      </x:c>
      <x:c r="E209" s="19" t="str">
        <x:f>IF('Route Flow'!P49="PASS","PASS","FAIL")</x:f>
        <x:v>PASS</x:v>
      </x:c>
      <x:c r="F209" s="21" t="str">
        <x:v>TERMINAL</x:v>
      </x:c>
      <x:c r="G209" s="75"/>
      <x:c r="H209" s="75"/>
      <x:c r="I209" s="75"/>
      <x:c r="J209" s="75"/>
      <x:c r="K209" s="75"/>
      <x:c r="L209" s="75"/>
      <x:c r="M209" s="75"/>
      <x:c r="N209" s="75"/>
      <x:c r="O209" s="75"/>
      <x:c r="P209" s="75"/>
      <x:c r="Q209" s="75"/>
      <x:c r="R209" s="75"/>
      <x:c r="S209" s="75"/>
      <x:c r="T209" s="75"/>
      <x:c r="U209" s="75"/>
      <x:c r="V209" s="75"/>
      <x:c r="W209" s="75"/>
      <x:c r="X209" s="75"/>
      <x:c r="Y209" s="75"/>
      <x:c r="Z209" s="75"/>
    </x:row>
    <x:row r="210">
      <x:c r="C210" s="19" t="str">
        <x:v>AU-Q-044</x:v>
      </x:c>
      <x:c r="D210" s="19" t="str">
        <x:v>MS-HC|B HC-R1 route</x:v>
      </x:c>
      <x:c r="E210" s="19" t="str">
        <x:f>IF('Route Flow'!P50="PASS","PASS","FAIL")</x:f>
        <x:v>PASS</x:v>
      </x:c>
      <x:c r="F210" s="21" t="str">
        <x:v>TERMINAL</x:v>
      </x:c>
      <x:c r="G210" s="75"/>
      <x:c r="H210" s="75"/>
      <x:c r="I210" s="75"/>
      <x:c r="J210" s="75"/>
      <x:c r="K210" s="75"/>
      <x:c r="L210" s="75"/>
      <x:c r="M210" s="75"/>
      <x:c r="N210" s="75"/>
      <x:c r="O210" s="75"/>
      <x:c r="P210" s="75"/>
      <x:c r="Q210" s="75"/>
      <x:c r="R210" s="75"/>
      <x:c r="S210" s="75"/>
      <x:c r="T210" s="75"/>
      <x:c r="U210" s="75"/>
      <x:c r="V210" s="75"/>
      <x:c r="W210" s="75"/>
      <x:c r="X210" s="75"/>
      <x:c r="Y210" s="75"/>
      <x:c r="Z210" s="75"/>
    </x:row>
    <x:row r="211">
      <x:c r="C211" s="19" t="str">
        <x:v>AU-Q-045</x:v>
      </x:c>
      <x:c r="D211" s="19" t="str">
        <x:v>MS-HC|B HC-R2 route</x:v>
      </x:c>
      <x:c r="E211" s="19" t="str">
        <x:f>IF('Route Flow'!P51="PASS","PASS","FAIL")</x:f>
        <x:v>PASS</x:v>
      </x:c>
      <x:c r="F211" s="21" t="str">
        <x:v>TERMINAL</x:v>
      </x:c>
      <x:c r="G211" s="75"/>
      <x:c r="H211" s="75"/>
      <x:c r="I211" s="75"/>
      <x:c r="J211" s="75"/>
      <x:c r="K211" s="75"/>
      <x:c r="L211" s="75"/>
      <x:c r="M211" s="75"/>
      <x:c r="N211" s="75"/>
      <x:c r="O211" s="75"/>
      <x:c r="P211" s="75"/>
      <x:c r="Q211" s="75"/>
      <x:c r="R211" s="75"/>
      <x:c r="S211" s="75"/>
      <x:c r="T211" s="75"/>
      <x:c r="U211" s="75"/>
      <x:c r="V211" s="75"/>
      <x:c r="W211" s="75"/>
      <x:c r="X211" s="75"/>
      <x:c r="Y211" s="75"/>
      <x:c r="Z211" s="75"/>
    </x:row>
    <x:row r="212">
      <x:c r="C212" s="19" t="str">
        <x:v>AU-Q-046</x:v>
      </x:c>
      <x:c r="D212" s="19" t="str">
        <x:v>MS-HC|B HC-R3 route</x:v>
      </x:c>
      <x:c r="E212" s="19" t="str">
        <x:f>IF('Route Flow'!P52="PASS","PASS","FAIL")</x:f>
        <x:v>PASS</x:v>
      </x:c>
      <x:c r="F212" s="21" t="str">
        <x:v>TERMINAL</x:v>
      </x:c>
      <x:c r="G212" s="75"/>
      <x:c r="H212" s="75"/>
      <x:c r="I212" s="75"/>
      <x:c r="J212" s="75"/>
      <x:c r="K212" s="75"/>
      <x:c r="L212" s="75"/>
      <x:c r="M212" s="75"/>
      <x:c r="N212" s="75"/>
      <x:c r="O212" s="75"/>
      <x:c r="P212" s="75"/>
      <x:c r="Q212" s="75"/>
      <x:c r="R212" s="75"/>
      <x:c r="S212" s="75"/>
      <x:c r="T212" s="75"/>
      <x:c r="U212" s="75"/>
      <x:c r="V212" s="75"/>
      <x:c r="W212" s="75"/>
      <x:c r="X212" s="75"/>
      <x:c r="Y212" s="75"/>
      <x:c r="Z212" s="75"/>
    </x:row>
    <x:row r="213">
      <x:c r="C213" s="19" t="str">
        <x:v>AU-Q-047</x:v>
      </x:c>
      <x:c r="D213" s="19" t="str">
        <x:v>MS-HC|C HC-R1 route</x:v>
      </x:c>
      <x:c r="E213" s="19" t="str">
        <x:f>IF('Route Flow'!P53="PASS","PASS","FAIL")</x:f>
        <x:v>PASS</x:v>
      </x:c>
      <x:c r="F213" s="21" t="str">
        <x:v>TERMINAL</x:v>
      </x:c>
      <x:c r="G213" s="75"/>
      <x:c r="H213" s="75"/>
      <x:c r="I213" s="75"/>
      <x:c r="J213" s="75"/>
      <x:c r="K213" s="75"/>
      <x:c r="L213" s="75"/>
      <x:c r="M213" s="75"/>
      <x:c r="N213" s="75"/>
      <x:c r="O213" s="75"/>
      <x:c r="P213" s="75"/>
      <x:c r="Q213" s="75"/>
      <x:c r="R213" s="75"/>
      <x:c r="S213" s="75"/>
      <x:c r="T213" s="75"/>
      <x:c r="U213" s="75"/>
      <x:c r="V213" s="75"/>
      <x:c r="W213" s="75"/>
      <x:c r="X213" s="75"/>
      <x:c r="Y213" s="75"/>
      <x:c r="Z213" s="75"/>
    </x:row>
    <x:row r="214">
      <x:c r="C214" s="19" t="str">
        <x:v>AU-Q-048</x:v>
      </x:c>
      <x:c r="D214" s="19" t="str">
        <x:v>MS-HC|C HC-R2 route</x:v>
      </x:c>
      <x:c r="E214" s="19" t="str">
        <x:f>IF('Route Flow'!P54="PASS","PASS","FAIL")</x:f>
        <x:v>PASS</x:v>
      </x:c>
      <x:c r="F214" s="21" t="str">
        <x:v>TERMINAL</x:v>
      </x:c>
      <x:c r="G214" s="75"/>
      <x:c r="H214" s="75"/>
      <x:c r="I214" s="75"/>
      <x:c r="J214" s="75"/>
      <x:c r="K214" s="75"/>
      <x:c r="L214" s="75"/>
      <x:c r="M214" s="75"/>
      <x:c r="N214" s="75"/>
      <x:c r="O214" s="75"/>
      <x:c r="P214" s="75"/>
      <x:c r="Q214" s="75"/>
      <x:c r="R214" s="75"/>
      <x:c r="S214" s="75"/>
      <x:c r="T214" s="75"/>
      <x:c r="U214" s="75"/>
      <x:c r="V214" s="75"/>
      <x:c r="W214" s="75"/>
      <x:c r="X214" s="75"/>
      <x:c r="Y214" s="75"/>
      <x:c r="Z214" s="75"/>
    </x:row>
    <x:row r="215">
      <x:c r="C215" s="19" t="str">
        <x:v>AU-Q-049</x:v>
      </x:c>
      <x:c r="D215" s="19" t="str">
        <x:v>MS-HC|C HC-R3 route</x:v>
      </x:c>
      <x:c r="E215" s="19" t="str">
        <x:f>IF('Route Flow'!P55="PASS","PASS","FAIL")</x:f>
        <x:v>PASS</x:v>
      </x:c>
      <x:c r="F215" s="21" t="str">
        <x:v>TERMINAL</x:v>
      </x:c>
      <x:c r="G215" s="75"/>
      <x:c r="H215" s="75"/>
      <x:c r="I215" s="75"/>
      <x:c r="J215" s="75"/>
      <x:c r="K215" s="75"/>
      <x:c r="L215" s="75"/>
      <x:c r="M215" s="75"/>
      <x:c r="N215" s="75"/>
      <x:c r="O215" s="75"/>
      <x:c r="P215" s="75"/>
      <x:c r="Q215" s="75"/>
      <x:c r="R215" s="75"/>
      <x:c r="S215" s="75"/>
      <x:c r="T215" s="75"/>
      <x:c r="U215" s="75"/>
      <x:c r="V215" s="75"/>
      <x:c r="W215" s="75"/>
      <x:c r="X215" s="75"/>
      <x:c r="Y215" s="75"/>
      <x:c r="Z215" s="75"/>
    </x:row>
    <x:row r="216">
      <x:c r="C216" s="19" t="str">
        <x:v>AU-Q-050</x:v>
      </x:c>
      <x:c r="D216" s="19" t="str">
        <x:v>MS-HC|D HC-R1 route</x:v>
      </x:c>
      <x:c r="E216" s="19" t="str">
        <x:f>IF('Route Flow'!P56="PASS","PASS","FAIL")</x:f>
        <x:v>PASS</x:v>
      </x:c>
      <x:c r="F216" s="21" t="str">
        <x:v>TERMINAL</x:v>
      </x:c>
      <x:c r="G216" s="75"/>
      <x:c r="H216" s="75"/>
      <x:c r="I216" s="75"/>
      <x:c r="J216" s="75"/>
      <x:c r="K216" s="75"/>
      <x:c r="L216" s="75"/>
      <x:c r="M216" s="75"/>
      <x:c r="N216" s="75"/>
      <x:c r="O216" s="75"/>
      <x:c r="P216" s="75"/>
      <x:c r="Q216" s="75"/>
      <x:c r="R216" s="75"/>
      <x:c r="S216" s="75"/>
      <x:c r="T216" s="75"/>
      <x:c r="U216" s="75"/>
      <x:c r="V216" s="75"/>
      <x:c r="W216" s="75"/>
      <x:c r="X216" s="75"/>
      <x:c r="Y216" s="75"/>
      <x:c r="Z216" s="75"/>
    </x:row>
    <x:row r="217">
      <x:c r="C217" s="19" t="str">
        <x:v>AU-Q-051</x:v>
      </x:c>
      <x:c r="D217" s="19" t="str">
        <x:v>MS-HC|D HC-R2 route</x:v>
      </x:c>
      <x:c r="E217" s="19" t="str">
        <x:f>IF('Route Flow'!P57="PASS","PASS","FAIL")</x:f>
        <x:v>PASS</x:v>
      </x:c>
      <x:c r="F217" s="21" t="str">
        <x:v>TERMINAL</x:v>
      </x:c>
      <x:c r="G217" s="75"/>
      <x:c r="H217" s="75"/>
      <x:c r="I217" s="75"/>
      <x:c r="J217" s="75"/>
      <x:c r="K217" s="75"/>
      <x:c r="L217" s="75"/>
      <x:c r="M217" s="75"/>
      <x:c r="N217" s="75"/>
      <x:c r="O217" s="75"/>
      <x:c r="P217" s="75"/>
      <x:c r="Q217" s="75"/>
      <x:c r="R217" s="75"/>
      <x:c r="S217" s="75"/>
      <x:c r="T217" s="75"/>
      <x:c r="U217" s="75"/>
      <x:c r="V217" s="75"/>
      <x:c r="W217" s="75"/>
      <x:c r="X217" s="75"/>
      <x:c r="Y217" s="75"/>
      <x:c r="Z217" s="75"/>
    </x:row>
    <x:row r="218">
      <x:c r="C218" s="19" t="str">
        <x:v>AU-Q-052</x:v>
      </x:c>
      <x:c r="D218" s="19" t="str">
        <x:v>MS-HC|D HC-R3 route</x:v>
      </x:c>
      <x:c r="E218" s="19" t="str">
        <x:f>IF('Route Flow'!P58="PASS","PASS","FAIL")</x:f>
        <x:v>PASS</x:v>
      </x:c>
      <x:c r="F218" s="21" t="str">
        <x:v>TERMINAL</x:v>
      </x:c>
      <x:c r="G218" s="75"/>
      <x:c r="H218" s="75"/>
      <x:c r="I218" s="75"/>
      <x:c r="J218" s="75"/>
      <x:c r="K218" s="75"/>
      <x:c r="L218" s="75"/>
      <x:c r="M218" s="75"/>
      <x:c r="N218" s="75"/>
      <x:c r="O218" s="75"/>
      <x:c r="P218" s="75"/>
      <x:c r="Q218" s="75"/>
      <x:c r="R218" s="75"/>
      <x:c r="S218" s="75"/>
      <x:c r="T218" s="75"/>
      <x:c r="U218" s="75"/>
      <x:c r="V218" s="75"/>
      <x:c r="W218" s="75"/>
      <x:c r="X218" s="75"/>
      <x:c r="Y218" s="75"/>
      <x:c r="Z218" s="75"/>
    </x:row>
    <x:row r="219">
      <x:c r="C219" s="19" t="str">
        <x:v>AU-Q-053</x:v>
      </x:c>
      <x:c r="D219" s="19" t="str">
        <x:v>MS-HU|A HU-R1 route</x:v>
      </x:c>
      <x:c r="E219" s="19" t="str">
        <x:f>IF('Route Flow'!P59="PASS","PASS","FAIL")</x:f>
        <x:v>PASS</x:v>
      </x:c>
      <x:c r="F219" s="21" t="str">
        <x:v>TERMINAL</x:v>
      </x:c>
      <x:c r="G219" s="75"/>
      <x:c r="H219" s="75"/>
      <x:c r="I219" s="75"/>
      <x:c r="J219" s="75"/>
      <x:c r="K219" s="75"/>
      <x:c r="L219" s="75"/>
      <x:c r="M219" s="75"/>
      <x:c r="N219" s="75"/>
      <x:c r="O219" s="75"/>
      <x:c r="P219" s="75"/>
      <x:c r="Q219" s="75"/>
      <x:c r="R219" s="75"/>
      <x:c r="S219" s="75"/>
      <x:c r="T219" s="75"/>
      <x:c r="U219" s="75"/>
      <x:c r="V219" s="75"/>
      <x:c r="W219" s="75"/>
      <x:c r="X219" s="75"/>
      <x:c r="Y219" s="75"/>
      <x:c r="Z219" s="75"/>
    </x:row>
    <x:row r="220">
      <x:c r="C220" s="19" t="str">
        <x:v>AU-Q-054</x:v>
      </x:c>
      <x:c r="D220" s="19" t="str">
        <x:v>MS-HU|A HU-R2 route</x:v>
      </x:c>
      <x:c r="E220" s="19" t="str">
        <x:f>IF('Route Flow'!P60="PASS","PASS","FAIL")</x:f>
        <x:v>PASS</x:v>
      </x:c>
      <x:c r="F220" s="21" t="str">
        <x:v>TERMINAL</x:v>
      </x:c>
      <x:c r="G220" s="75"/>
      <x:c r="H220" s="75"/>
      <x:c r="I220" s="75"/>
      <x:c r="J220" s="75"/>
      <x:c r="K220" s="75"/>
      <x:c r="L220" s="75"/>
      <x:c r="M220" s="75"/>
      <x:c r="N220" s="75"/>
      <x:c r="O220" s="75"/>
      <x:c r="P220" s="75"/>
      <x:c r="Q220" s="75"/>
      <x:c r="R220" s="75"/>
      <x:c r="S220" s="75"/>
      <x:c r="T220" s="75"/>
      <x:c r="U220" s="75"/>
      <x:c r="V220" s="75"/>
      <x:c r="W220" s="75"/>
      <x:c r="X220" s="75"/>
      <x:c r="Y220" s="75"/>
      <x:c r="Z220" s="75"/>
    </x:row>
    <x:row r="221">
      <x:c r="C221" s="19" t="str">
        <x:v>AU-Q-055</x:v>
      </x:c>
      <x:c r="D221" s="19" t="str">
        <x:v>MS-HU|A HU-R3 route</x:v>
      </x:c>
      <x:c r="E221" s="19" t="str">
        <x:f>IF('Route Flow'!P61="PASS","PASS","FAIL")</x:f>
        <x:v>PASS</x:v>
      </x:c>
      <x:c r="F221" s="21" t="str">
        <x:v>TERMINAL</x:v>
      </x:c>
      <x:c r="G221" s="75"/>
      <x:c r="H221" s="75"/>
      <x:c r="I221" s="75"/>
      <x:c r="J221" s="75"/>
      <x:c r="K221" s="75"/>
      <x:c r="L221" s="75"/>
      <x:c r="M221" s="75"/>
      <x:c r="N221" s="75"/>
      <x:c r="O221" s="75"/>
      <x:c r="P221" s="75"/>
      <x:c r="Q221" s="75"/>
      <x:c r="R221" s="75"/>
      <x:c r="S221" s="75"/>
      <x:c r="T221" s="75"/>
      <x:c r="U221" s="75"/>
      <x:c r="V221" s="75"/>
      <x:c r="W221" s="75"/>
      <x:c r="X221" s="75"/>
      <x:c r="Y221" s="75"/>
      <x:c r="Z221" s="75"/>
    </x:row>
    <x:row r="222">
      <x:c r="C222" s="19" t="str">
        <x:v>AU-Q-056</x:v>
      </x:c>
      <x:c r="D222" s="19" t="str">
        <x:v>MS-HU|A HU-R4 route</x:v>
      </x:c>
      <x:c r="E222" s="19" t="str">
        <x:f>IF('Route Flow'!P62="PASS","PASS","FAIL")</x:f>
        <x:v>PASS</x:v>
      </x:c>
      <x:c r="F222" s="21" t="str">
        <x:v>TERMINAL</x:v>
      </x:c>
      <x:c r="G222" s="75"/>
      <x:c r="H222" s="75"/>
      <x:c r="I222" s="75"/>
      <x:c r="J222" s="75"/>
      <x:c r="K222" s="75"/>
      <x:c r="L222" s="75"/>
      <x:c r="M222" s="75"/>
      <x:c r="N222" s="75"/>
      <x:c r="O222" s="75"/>
      <x:c r="P222" s="75"/>
      <x:c r="Q222" s="75"/>
      <x:c r="R222" s="75"/>
      <x:c r="S222" s="75"/>
      <x:c r="T222" s="75"/>
      <x:c r="U222" s="75"/>
      <x:c r="V222" s="75"/>
      <x:c r="W222" s="75"/>
      <x:c r="X222" s="75"/>
      <x:c r="Y222" s="75"/>
      <x:c r="Z222" s="75"/>
    </x:row>
    <x:row r="223">
      <x:c r="C223" s="19" t="str">
        <x:v>AU-Q-057</x:v>
      </x:c>
      <x:c r="D223" s="19" t="str">
        <x:v>MS-HU|A HU-R5 route</x:v>
      </x:c>
      <x:c r="E223" s="19" t="str">
        <x:f>IF('Route Flow'!P63="PASS","PASS","FAIL")</x:f>
        <x:v>PASS</x:v>
      </x:c>
      <x:c r="F223" s="21" t="str">
        <x:v>TERMINAL</x:v>
      </x:c>
      <x:c r="G223" s="75"/>
      <x:c r="H223" s="75"/>
      <x:c r="I223" s="75"/>
      <x:c r="J223" s="75"/>
      <x:c r="K223" s="75"/>
      <x:c r="L223" s="75"/>
      <x:c r="M223" s="75"/>
      <x:c r="N223" s="75"/>
      <x:c r="O223" s="75"/>
      <x:c r="P223" s="75"/>
      <x:c r="Q223" s="75"/>
      <x:c r="R223" s="75"/>
      <x:c r="S223" s="75"/>
      <x:c r="T223" s="75"/>
      <x:c r="U223" s="75"/>
      <x:c r="V223" s="75"/>
      <x:c r="W223" s="75"/>
      <x:c r="X223" s="75"/>
      <x:c r="Y223" s="75"/>
      <x:c r="Z223" s="75"/>
    </x:row>
    <x:row r="224">
      <x:c r="C224" s="19" t="str">
        <x:v>AU-Q-058</x:v>
      </x:c>
      <x:c r="D224" s="19" t="str">
        <x:v>MS-HU|B HU-R1 route</x:v>
      </x:c>
      <x:c r="E224" s="19" t="str">
        <x:f>IF('Route Flow'!P64="PASS","PASS","FAIL")</x:f>
        <x:v>PASS</x:v>
      </x:c>
      <x:c r="F224" s="21" t="str">
        <x:v>TERMINAL</x:v>
      </x:c>
      <x:c r="G224" s="75"/>
      <x:c r="H224" s="75"/>
      <x:c r="I224" s="75"/>
      <x:c r="J224" s="75"/>
      <x:c r="K224" s="75"/>
      <x:c r="L224" s="75"/>
      <x:c r="M224" s="75"/>
      <x:c r="N224" s="75"/>
      <x:c r="O224" s="75"/>
      <x:c r="P224" s="75"/>
      <x:c r="Q224" s="75"/>
      <x:c r="R224" s="75"/>
      <x:c r="S224" s="75"/>
      <x:c r="T224" s="75"/>
      <x:c r="U224" s="75"/>
      <x:c r="V224" s="75"/>
      <x:c r="W224" s="75"/>
      <x:c r="X224" s="75"/>
      <x:c r="Y224" s="75"/>
      <x:c r="Z224" s="75"/>
    </x:row>
    <x:row r="225">
      <x:c r="C225" s="19" t="str">
        <x:v>AU-Q-059</x:v>
      </x:c>
      <x:c r="D225" s="19" t="str">
        <x:v>MS-HU|B HU-R2 route</x:v>
      </x:c>
      <x:c r="E225" s="19" t="str">
        <x:f>IF('Route Flow'!P65="PASS","PASS","FAIL")</x:f>
        <x:v>PASS</x:v>
      </x:c>
      <x:c r="F225" s="21" t="str">
        <x:v>TERMINAL</x:v>
      </x:c>
      <x:c r="G225" s="75"/>
      <x:c r="H225" s="75"/>
      <x:c r="I225" s="75"/>
      <x:c r="J225" s="75"/>
      <x:c r="K225" s="75"/>
      <x:c r="L225" s="75"/>
      <x:c r="M225" s="75"/>
      <x:c r="N225" s="75"/>
      <x:c r="O225" s="75"/>
      <x:c r="P225" s="75"/>
      <x:c r="Q225" s="75"/>
      <x:c r="R225" s="75"/>
      <x:c r="S225" s="75"/>
      <x:c r="T225" s="75"/>
      <x:c r="U225" s="75"/>
      <x:c r="V225" s="75"/>
      <x:c r="W225" s="75"/>
      <x:c r="X225" s="75"/>
      <x:c r="Y225" s="75"/>
      <x:c r="Z225" s="75"/>
    </x:row>
    <x:row r="226">
      <x:c r="C226" s="19" t="str">
        <x:v>AU-Q-060</x:v>
      </x:c>
      <x:c r="D226" s="19" t="str">
        <x:v>MS-HU|B HU-R3 route</x:v>
      </x:c>
      <x:c r="E226" s="19" t="str">
        <x:f>IF('Route Flow'!P66="PASS","PASS","FAIL")</x:f>
        <x:v>PASS</x:v>
      </x:c>
      <x:c r="F226" s="21" t="str">
        <x:v>TERMINAL</x:v>
      </x:c>
      <x:c r="G226" s="75"/>
      <x:c r="H226" s="75"/>
      <x:c r="I226" s="75"/>
      <x:c r="J226" s="75"/>
      <x:c r="K226" s="75"/>
      <x:c r="L226" s="75"/>
      <x:c r="M226" s="75"/>
      <x:c r="N226" s="75"/>
      <x:c r="O226" s="75"/>
      <x:c r="P226" s="75"/>
      <x:c r="Q226" s="75"/>
      <x:c r="R226" s="75"/>
      <x:c r="S226" s="75"/>
      <x:c r="T226" s="75"/>
      <x:c r="U226" s="75"/>
      <x:c r="V226" s="75"/>
      <x:c r="W226" s="75"/>
      <x:c r="X226" s="75"/>
      <x:c r="Y226" s="75"/>
      <x:c r="Z226" s="75"/>
    </x:row>
    <x:row r="227">
      <x:c r="C227" s="19" t="str">
        <x:v>AU-Q-061</x:v>
      </x:c>
      <x:c r="D227" s="19" t="str">
        <x:v>MS-HU|B HU-R4 route</x:v>
      </x:c>
      <x:c r="E227" s="19" t="str">
        <x:f>IF('Route Flow'!P67="PASS","PASS","FAIL")</x:f>
        <x:v>PASS</x:v>
      </x:c>
      <x:c r="F227" s="21" t="str">
        <x:v>TERMINAL</x:v>
      </x:c>
      <x:c r="G227" s="75"/>
      <x:c r="H227" s="75"/>
      <x:c r="I227" s="75"/>
      <x:c r="J227" s="75"/>
      <x:c r="K227" s="75"/>
      <x:c r="L227" s="75"/>
      <x:c r="M227" s="75"/>
      <x:c r="N227" s="75"/>
      <x:c r="O227" s="75"/>
      <x:c r="P227" s="75"/>
      <x:c r="Q227" s="75"/>
      <x:c r="R227" s="75"/>
      <x:c r="S227" s="75"/>
      <x:c r="T227" s="75"/>
      <x:c r="U227" s="75"/>
      <x:c r="V227" s="75"/>
      <x:c r="W227" s="75"/>
      <x:c r="X227" s="75"/>
      <x:c r="Y227" s="75"/>
      <x:c r="Z227" s="75"/>
    </x:row>
    <x:row r="228">
      <x:c r="C228" s="19" t="str">
        <x:v>AU-Q-062</x:v>
      </x:c>
      <x:c r="D228" s="19" t="str">
        <x:v>MS-HU|B HU-R5 route</x:v>
      </x:c>
      <x:c r="E228" s="19" t="str">
        <x:f>IF('Route Flow'!P68="PASS","PASS","FAIL")</x:f>
        <x:v>PASS</x:v>
      </x:c>
      <x:c r="F228" s="21" t="str">
        <x:v>TERMINAL</x:v>
      </x:c>
      <x:c r="G228" s="75"/>
      <x:c r="H228" s="75"/>
      <x:c r="I228" s="75"/>
      <x:c r="J228" s="75"/>
      <x:c r="K228" s="75"/>
      <x:c r="L228" s="75"/>
      <x:c r="M228" s="75"/>
      <x:c r="N228" s="75"/>
      <x:c r="O228" s="75"/>
      <x:c r="P228" s="75"/>
      <x:c r="Q228" s="75"/>
      <x:c r="R228" s="75"/>
      <x:c r="S228" s="75"/>
      <x:c r="T228" s="75"/>
      <x:c r="U228" s="75"/>
      <x:c r="V228" s="75"/>
      <x:c r="W228" s="75"/>
      <x:c r="X228" s="75"/>
      <x:c r="Y228" s="75"/>
      <x:c r="Z228" s="75"/>
    </x:row>
    <x:row r="229">
      <x:c r="C229" s="19" t="str">
        <x:v>AU-Q-063</x:v>
      </x:c>
      <x:c r="D229" s="19" t="str">
        <x:v>MS-HU|C HU-R1 route</x:v>
      </x:c>
      <x:c r="E229" s="19" t="str">
        <x:f>IF('Route Flow'!P69="PASS","PASS","FAIL")</x:f>
        <x:v>PASS</x:v>
      </x:c>
      <x:c r="F229" s="21" t="str">
        <x:v>TERMINAL</x:v>
      </x:c>
      <x:c r="G229" s="75"/>
      <x:c r="H229" s="75"/>
      <x:c r="I229" s="75"/>
      <x:c r="J229" s="75"/>
      <x:c r="K229" s="75"/>
      <x:c r="L229" s="75"/>
      <x:c r="M229" s="75"/>
      <x:c r="N229" s="75"/>
      <x:c r="O229" s="75"/>
      <x:c r="P229" s="75"/>
      <x:c r="Q229" s="75"/>
      <x:c r="R229" s="75"/>
      <x:c r="S229" s="75"/>
      <x:c r="T229" s="75"/>
      <x:c r="U229" s="75"/>
      <x:c r="V229" s="75"/>
      <x:c r="W229" s="75"/>
      <x:c r="X229" s="75"/>
      <x:c r="Y229" s="75"/>
      <x:c r="Z229" s="75"/>
    </x:row>
    <x:row r="230">
      <x:c r="C230" s="19" t="str">
        <x:v>AU-Q-064</x:v>
      </x:c>
      <x:c r="D230" s="19" t="str">
        <x:v>MS-HU|C HU-R2 route</x:v>
      </x:c>
      <x:c r="E230" s="19" t="str">
        <x:f>IF('Route Flow'!P70="PASS","PASS","FAIL")</x:f>
        <x:v>PASS</x:v>
      </x:c>
      <x:c r="F230" s="21" t="str">
        <x:v>TERMINAL</x:v>
      </x:c>
      <x:c r="G230" s="75"/>
      <x:c r="H230" s="75"/>
      <x:c r="I230" s="75"/>
      <x:c r="J230" s="75"/>
      <x:c r="K230" s="75"/>
      <x:c r="L230" s="75"/>
      <x:c r="M230" s="75"/>
      <x:c r="N230" s="75"/>
      <x:c r="O230" s="75"/>
      <x:c r="P230" s="75"/>
      <x:c r="Q230" s="75"/>
      <x:c r="R230" s="75"/>
      <x:c r="S230" s="75"/>
      <x:c r="T230" s="75"/>
      <x:c r="U230" s="75"/>
      <x:c r="V230" s="75"/>
      <x:c r="W230" s="75"/>
      <x:c r="X230" s="75"/>
      <x:c r="Y230" s="75"/>
      <x:c r="Z230" s="75"/>
    </x:row>
    <x:row r="231">
      <x:c r="C231" s="19" t="str">
        <x:v>AU-Q-065</x:v>
      </x:c>
      <x:c r="D231" s="19" t="str">
        <x:v>MS-HU|C HU-R3 route</x:v>
      </x:c>
      <x:c r="E231" s="19" t="str">
        <x:f>IF('Route Flow'!P71="PASS","PASS","FAIL")</x:f>
        <x:v>PASS</x:v>
      </x:c>
      <x:c r="F231" s="21" t="str">
        <x:v>TERMINAL</x:v>
      </x:c>
      <x:c r="G231" s="75"/>
      <x:c r="H231" s="75"/>
      <x:c r="I231" s="75"/>
      <x:c r="J231" s="75"/>
      <x:c r="K231" s="75"/>
      <x:c r="L231" s="75"/>
      <x:c r="M231" s="75"/>
      <x:c r="N231" s="75"/>
      <x:c r="O231" s="75"/>
      <x:c r="P231" s="75"/>
      <x:c r="Q231" s="75"/>
      <x:c r="R231" s="75"/>
      <x:c r="S231" s="75"/>
      <x:c r="T231" s="75"/>
      <x:c r="U231" s="75"/>
      <x:c r="V231" s="75"/>
      <x:c r="W231" s="75"/>
      <x:c r="X231" s="75"/>
      <x:c r="Y231" s="75"/>
      <x:c r="Z231" s="75"/>
    </x:row>
    <x:row r="232">
      <x:c r="C232" s="19" t="str">
        <x:v>AU-Q-066</x:v>
      </x:c>
      <x:c r="D232" s="19" t="str">
        <x:v>MS-HU|C HU-R4 route</x:v>
      </x:c>
      <x:c r="E232" s="19" t="str">
        <x:f>IF('Route Flow'!P72="PASS","PASS","FAIL")</x:f>
        <x:v>PASS</x:v>
      </x:c>
      <x:c r="F232" s="21" t="str">
        <x:v>TERMINAL</x:v>
      </x:c>
      <x:c r="G232" s="75"/>
      <x:c r="H232" s="75"/>
      <x:c r="I232" s="75"/>
      <x:c r="J232" s="75"/>
      <x:c r="K232" s="75"/>
      <x:c r="L232" s="75"/>
      <x:c r="M232" s="75"/>
      <x:c r="N232" s="75"/>
      <x:c r="O232" s="75"/>
      <x:c r="P232" s="75"/>
      <x:c r="Q232" s="75"/>
      <x:c r="R232" s="75"/>
      <x:c r="S232" s="75"/>
      <x:c r="T232" s="75"/>
      <x:c r="U232" s="75"/>
      <x:c r="V232" s="75"/>
      <x:c r="W232" s="75"/>
      <x:c r="X232" s="75"/>
      <x:c r="Y232" s="75"/>
      <x:c r="Z232" s="75"/>
    </x:row>
    <x:row r="233">
      <x:c r="C233" s="19" t="str">
        <x:v>AU-Q-067</x:v>
      </x:c>
      <x:c r="D233" s="19" t="str">
        <x:v>MS-HU|C HU-R5 route</x:v>
      </x:c>
      <x:c r="E233" s="19" t="str">
        <x:f>IF('Route Flow'!P73="PASS","PASS","FAIL")</x:f>
        <x:v>PASS</x:v>
      </x:c>
      <x:c r="F233" s="21" t="str">
        <x:v>TERMINAL</x:v>
      </x:c>
      <x:c r="G233" s="75"/>
      <x:c r="H233" s="75"/>
      <x:c r="I233" s="75"/>
      <x:c r="J233" s="75"/>
      <x:c r="K233" s="75"/>
      <x:c r="L233" s="75"/>
      <x:c r="M233" s="75"/>
      <x:c r="N233" s="75"/>
      <x:c r="O233" s="75"/>
      <x:c r="P233" s="75"/>
      <x:c r="Q233" s="75"/>
      <x:c r="R233" s="75"/>
      <x:c r="S233" s="75"/>
      <x:c r="T233" s="75"/>
      <x:c r="U233" s="75"/>
      <x:c r="V233" s="75"/>
      <x:c r="W233" s="75"/>
      <x:c r="X233" s="75"/>
      <x:c r="Y233" s="75"/>
      <x:c r="Z233" s="75"/>
    </x:row>
    <x:row r="234">
      <x:c r="C234" s="19" t="str">
        <x:v>AU-Q-068</x:v>
      </x:c>
      <x:c r="D234" s="19" t="str">
        <x:v>MS-HU|D HU-R1 route</x:v>
      </x:c>
      <x:c r="E234" s="19" t="str">
        <x:f>IF('Route Flow'!P74="PASS","PASS","FAIL")</x:f>
        <x:v>PASS</x:v>
      </x:c>
      <x:c r="F234" s="21" t="str">
        <x:v>TERMINAL</x:v>
      </x:c>
      <x:c r="G234" s="75"/>
      <x:c r="H234" s="75"/>
      <x:c r="I234" s="75"/>
      <x:c r="J234" s="75"/>
      <x:c r="K234" s="75"/>
      <x:c r="L234" s="75"/>
      <x:c r="M234" s="75"/>
      <x:c r="N234" s="75"/>
      <x:c r="O234" s="75"/>
      <x:c r="P234" s="75"/>
      <x:c r="Q234" s="75"/>
      <x:c r="R234" s="75"/>
      <x:c r="S234" s="75"/>
      <x:c r="T234" s="75"/>
      <x:c r="U234" s="75"/>
      <x:c r="V234" s="75"/>
      <x:c r="W234" s="75"/>
      <x:c r="X234" s="75"/>
      <x:c r="Y234" s="75"/>
      <x:c r="Z234" s="75"/>
    </x:row>
    <x:row r="235">
      <x:c r="C235" s="19" t="str">
        <x:v>AU-Q-069</x:v>
      </x:c>
      <x:c r="D235" s="19" t="str">
        <x:v>MS-HU|D HU-R2 route</x:v>
      </x:c>
      <x:c r="E235" s="19" t="str">
        <x:f>IF('Route Flow'!P75="PASS","PASS","FAIL")</x:f>
        <x:v>PASS</x:v>
      </x:c>
      <x:c r="F235" s="21" t="str">
        <x:v>TERMINAL</x:v>
      </x:c>
      <x:c r="G235" s="75"/>
      <x:c r="H235" s="75"/>
      <x:c r="I235" s="75"/>
      <x:c r="J235" s="75"/>
      <x:c r="K235" s="75"/>
      <x:c r="L235" s="75"/>
      <x:c r="M235" s="75"/>
      <x:c r="N235" s="75"/>
      <x:c r="O235" s="75"/>
      <x:c r="P235" s="75"/>
      <x:c r="Q235" s="75"/>
      <x:c r="R235" s="75"/>
      <x:c r="S235" s="75"/>
      <x:c r="T235" s="75"/>
      <x:c r="U235" s="75"/>
      <x:c r="V235" s="75"/>
      <x:c r="W235" s="75"/>
      <x:c r="X235" s="75"/>
      <x:c r="Y235" s="75"/>
      <x:c r="Z235" s="75"/>
    </x:row>
    <x:row r="236">
      <x:c r="C236" s="19" t="str">
        <x:v>AU-Q-070</x:v>
      </x:c>
      <x:c r="D236" s="19" t="str">
        <x:v>MS-HU|D HU-R3 route</x:v>
      </x:c>
      <x:c r="E236" s="19" t="str">
        <x:f>IF('Route Flow'!P76="PASS","PASS","FAIL")</x:f>
        <x:v>PASS</x:v>
      </x:c>
      <x:c r="F236" s="21" t="str">
        <x:v>TERMINAL</x:v>
      </x:c>
      <x:c r="G236" s="75"/>
      <x:c r="H236" s="75"/>
      <x:c r="I236" s="75"/>
      <x:c r="J236" s="75"/>
      <x:c r="K236" s="75"/>
      <x:c r="L236" s="75"/>
      <x:c r="M236" s="75"/>
      <x:c r="N236" s="75"/>
      <x:c r="O236" s="75"/>
      <x:c r="P236" s="75"/>
      <x:c r="Q236" s="75"/>
      <x:c r="R236" s="75"/>
      <x:c r="S236" s="75"/>
      <x:c r="T236" s="75"/>
      <x:c r="U236" s="75"/>
      <x:c r="V236" s="75"/>
      <x:c r="W236" s="75"/>
      <x:c r="X236" s="75"/>
      <x:c r="Y236" s="75"/>
      <x:c r="Z236" s="75"/>
    </x:row>
    <x:row r="237">
      <x:c r="C237" s="19" t="str">
        <x:v>AU-Q-071</x:v>
      </x:c>
      <x:c r="D237" s="19" t="str">
        <x:v>MS-HU|D HU-R4 route</x:v>
      </x:c>
      <x:c r="E237" s="19" t="str">
        <x:f>IF('Route Flow'!P77="PASS","PASS","FAIL")</x:f>
        <x:v>PASS</x:v>
      </x:c>
      <x:c r="F237" s="21" t="str">
        <x:v>TERMINAL</x:v>
      </x:c>
      <x:c r="G237" s="75"/>
      <x:c r="H237" s="75"/>
      <x:c r="I237" s="75"/>
      <x:c r="J237" s="75"/>
      <x:c r="K237" s="75"/>
      <x:c r="L237" s="75"/>
      <x:c r="M237" s="75"/>
      <x:c r="N237" s="75"/>
      <x:c r="O237" s="75"/>
      <x:c r="P237" s="75"/>
      <x:c r="Q237" s="75"/>
      <x:c r="R237" s="75"/>
      <x:c r="S237" s="75"/>
      <x:c r="T237" s="75"/>
      <x:c r="U237" s="75"/>
      <x:c r="V237" s="75"/>
      <x:c r="W237" s="75"/>
      <x:c r="X237" s="75"/>
      <x:c r="Y237" s="75"/>
      <x:c r="Z237" s="75"/>
    </x:row>
    <x:row r="238">
      <x:c r="C238" s="19" t="str">
        <x:v>AU-Q-072</x:v>
      </x:c>
      <x:c r="D238" s="19" t="str">
        <x:v>MS-HU|D HU-R5 route</x:v>
      </x:c>
      <x:c r="E238" s="19" t="str">
        <x:f>IF('Route Flow'!P78="PASS","PASS","FAIL")</x:f>
        <x:v>PASS</x:v>
      </x:c>
      <x:c r="F238" s="21" t="str">
        <x:v>TERMINAL</x:v>
      </x:c>
      <x:c r="G238" s="75"/>
      <x:c r="H238" s="75"/>
      <x:c r="I238" s="75"/>
      <x:c r="J238" s="75"/>
      <x:c r="K238" s="75"/>
      <x:c r="L238" s="75"/>
      <x:c r="M238" s="75"/>
      <x:c r="N238" s="75"/>
      <x:c r="O238" s="75"/>
      <x:c r="P238" s="75"/>
      <x:c r="Q238" s="75"/>
      <x:c r="R238" s="75"/>
      <x:c r="S238" s="75"/>
      <x:c r="T238" s="75"/>
      <x:c r="U238" s="75"/>
      <x:c r="V238" s="75"/>
      <x:c r="W238" s="75"/>
      <x:c r="X238" s="75"/>
      <x:c r="Y238" s="75"/>
      <x:c r="Z238" s="75"/>
    </x:row>
    <x:row r="239">
      <x:c r="C239" s="19" t="str">
        <x:v>AU-Q-073</x:v>
      </x:c>
      <x:c r="D239" s="19" t="str">
        <x:v>MS-RT|A RT-R1 route</x:v>
      </x:c>
      <x:c r="E239" s="19" t="str">
        <x:f>IF('Route Flow'!P79="PASS","PASS","FAIL")</x:f>
        <x:v>PASS</x:v>
      </x:c>
      <x:c r="F239" s="21" t="str">
        <x:v>TERMINAL</x:v>
      </x:c>
      <x:c r="G239" s="75"/>
      <x:c r="H239" s="75"/>
      <x:c r="I239" s="75"/>
      <x:c r="J239" s="75"/>
      <x:c r="K239" s="75"/>
      <x:c r="L239" s="75"/>
      <x:c r="M239" s="75"/>
      <x:c r="N239" s="75"/>
      <x:c r="O239" s="75"/>
      <x:c r="P239" s="75"/>
      <x:c r="Q239" s="75"/>
      <x:c r="R239" s="75"/>
      <x:c r="S239" s="75"/>
      <x:c r="T239" s="75"/>
      <x:c r="U239" s="75"/>
      <x:c r="V239" s="75"/>
      <x:c r="W239" s="75"/>
      <x:c r="X239" s="75"/>
      <x:c r="Y239" s="75"/>
      <x:c r="Z239" s="75"/>
    </x:row>
    <x:row r="240">
      <x:c r="C240" s="19" t="str">
        <x:v>AU-Q-074</x:v>
      </x:c>
      <x:c r="D240" s="19" t="str">
        <x:v>MS-RT|A RT-R2 route</x:v>
      </x:c>
      <x:c r="E240" s="19" t="str">
        <x:f>IF('Route Flow'!P80="PASS","PASS","FAIL")</x:f>
        <x:v>PASS</x:v>
      </x:c>
      <x:c r="F240" s="21" t="str">
        <x:v>TERMINAL</x:v>
      </x:c>
      <x:c r="G240" s="75"/>
      <x:c r="H240" s="75"/>
      <x:c r="I240" s="75"/>
      <x:c r="J240" s="75"/>
      <x:c r="K240" s="75"/>
      <x:c r="L240" s="75"/>
      <x:c r="M240" s="75"/>
      <x:c r="N240" s="75"/>
      <x:c r="O240" s="75"/>
      <x:c r="P240" s="75"/>
      <x:c r="Q240" s="75"/>
      <x:c r="R240" s="75"/>
      <x:c r="S240" s="75"/>
      <x:c r="T240" s="75"/>
      <x:c r="U240" s="75"/>
      <x:c r="V240" s="75"/>
      <x:c r="W240" s="75"/>
      <x:c r="X240" s="75"/>
      <x:c r="Y240" s="75"/>
      <x:c r="Z240" s="75"/>
    </x:row>
    <x:row r="241">
      <x:c r="C241" s="19" t="str">
        <x:v>AU-Q-075</x:v>
      </x:c>
      <x:c r="D241" s="19" t="str">
        <x:v>MS-RT|A RT-R3 route</x:v>
      </x:c>
      <x:c r="E241" s="19" t="str">
        <x:f>IF('Route Flow'!P81="PASS","PASS","FAIL")</x:f>
        <x:v>PASS</x:v>
      </x:c>
      <x:c r="F241" s="21" t="str">
        <x:v>TERMINAL</x:v>
      </x:c>
      <x:c r="G241" s="75"/>
      <x:c r="H241" s="75"/>
      <x:c r="I241" s="75"/>
      <x:c r="J241" s="75"/>
      <x:c r="K241" s="75"/>
      <x:c r="L241" s="75"/>
      <x:c r="M241" s="75"/>
      <x:c r="N241" s="75"/>
      <x:c r="O241" s="75"/>
      <x:c r="P241" s="75"/>
      <x:c r="Q241" s="75"/>
      <x:c r="R241" s="75"/>
      <x:c r="S241" s="75"/>
      <x:c r="T241" s="75"/>
      <x:c r="U241" s="75"/>
      <x:c r="V241" s="75"/>
      <x:c r="W241" s="75"/>
      <x:c r="X241" s="75"/>
      <x:c r="Y241" s="75"/>
      <x:c r="Z241" s="75"/>
    </x:row>
    <x:row r="242">
      <x:c r="C242" s="19" t="str">
        <x:v>AU-Q-076</x:v>
      </x:c>
      <x:c r="D242" s="19" t="str">
        <x:v>MS-RT|A RT-R4 route</x:v>
      </x:c>
      <x:c r="E242" s="19" t="str">
        <x:f>IF('Route Flow'!P82="PASS","PASS","FAIL")</x:f>
        <x:v>PASS</x:v>
      </x:c>
      <x:c r="F242" s="21" t="str">
        <x:v>TERMINAL</x:v>
      </x:c>
      <x:c r="G242" s="75"/>
      <x:c r="H242" s="75"/>
      <x:c r="I242" s="75"/>
      <x:c r="J242" s="75"/>
      <x:c r="K242" s="75"/>
      <x:c r="L242" s="75"/>
      <x:c r="M242" s="75"/>
      <x:c r="N242" s="75"/>
      <x:c r="O242" s="75"/>
      <x:c r="P242" s="75"/>
      <x:c r="Q242" s="75"/>
      <x:c r="R242" s="75"/>
      <x:c r="S242" s="75"/>
      <x:c r="T242" s="75"/>
      <x:c r="U242" s="75"/>
      <x:c r="V242" s="75"/>
      <x:c r="W242" s="75"/>
      <x:c r="X242" s="75"/>
      <x:c r="Y242" s="75"/>
      <x:c r="Z242" s="75"/>
    </x:row>
    <x:row r="243">
      <x:c r="C243" s="19" t="str">
        <x:v>AU-Q-077</x:v>
      </x:c>
      <x:c r="D243" s="19" t="str">
        <x:v>MS-RT|A RT-R5 route</x:v>
      </x:c>
      <x:c r="E243" s="19" t="str">
        <x:f>IF('Route Flow'!P83="PASS","PASS","FAIL")</x:f>
        <x:v>PASS</x:v>
      </x:c>
      <x:c r="F243" s="21" t="str">
        <x:v>TERMINAL</x:v>
      </x:c>
      <x:c r="G243" s="75"/>
      <x:c r="H243" s="75"/>
      <x:c r="I243" s="75"/>
      <x:c r="J243" s="75"/>
      <x:c r="K243" s="75"/>
      <x:c r="L243" s="75"/>
      <x:c r="M243" s="75"/>
      <x:c r="N243" s="75"/>
      <x:c r="O243" s="75"/>
      <x:c r="P243" s="75"/>
      <x:c r="Q243" s="75"/>
      <x:c r="R243" s="75"/>
      <x:c r="S243" s="75"/>
      <x:c r="T243" s="75"/>
      <x:c r="U243" s="75"/>
      <x:c r="V243" s="75"/>
      <x:c r="W243" s="75"/>
      <x:c r="X243" s="75"/>
      <x:c r="Y243" s="75"/>
      <x:c r="Z243" s="75"/>
    </x:row>
    <x:row r="244">
      <x:c r="C244" s="19" t="str">
        <x:v>AU-Q-078</x:v>
      </x:c>
      <x:c r="D244" s="19" t="str">
        <x:v>MS-RT|B RT-R1 route</x:v>
      </x:c>
      <x:c r="E244" s="19" t="str">
        <x:f>IF('Route Flow'!P84="PASS","PASS","FAIL")</x:f>
        <x:v>PASS</x:v>
      </x:c>
      <x:c r="F244" s="21" t="str">
        <x:v>TERMINAL</x:v>
      </x:c>
      <x:c r="G244" s="75"/>
      <x:c r="H244" s="75"/>
      <x:c r="I244" s="75"/>
      <x:c r="J244" s="75"/>
      <x:c r="K244" s="75"/>
      <x:c r="L244" s="75"/>
      <x:c r="M244" s="75"/>
      <x:c r="N244" s="75"/>
      <x:c r="O244" s="75"/>
      <x:c r="P244" s="75"/>
      <x:c r="Q244" s="75"/>
      <x:c r="R244" s="75"/>
      <x:c r="S244" s="75"/>
      <x:c r="T244" s="75"/>
      <x:c r="U244" s="75"/>
      <x:c r="V244" s="75"/>
      <x:c r="W244" s="75"/>
      <x:c r="X244" s="75"/>
      <x:c r="Y244" s="75"/>
      <x:c r="Z244" s="75"/>
    </x:row>
    <x:row r="245">
      <x:c r="C245" s="19" t="str">
        <x:v>AU-Q-079</x:v>
      </x:c>
      <x:c r="D245" s="19" t="str">
        <x:v>MS-RT|B RT-R2 route</x:v>
      </x:c>
      <x:c r="E245" s="19" t="str">
        <x:f>IF('Route Flow'!P85="PASS","PASS","FAIL")</x:f>
        <x:v>PASS</x:v>
      </x:c>
      <x:c r="F245" s="21" t="str">
        <x:v>TERMINAL</x:v>
      </x:c>
      <x:c r="G245" s="75"/>
      <x:c r="H245" s="75"/>
      <x:c r="I245" s="75"/>
      <x:c r="J245" s="75"/>
      <x:c r="K245" s="75"/>
      <x:c r="L245" s="75"/>
      <x:c r="M245" s="75"/>
      <x:c r="N245" s="75"/>
      <x:c r="O245" s="75"/>
      <x:c r="P245" s="75"/>
      <x:c r="Q245" s="75"/>
      <x:c r="R245" s="75"/>
      <x:c r="S245" s="75"/>
      <x:c r="T245" s="75"/>
      <x:c r="U245" s="75"/>
      <x:c r="V245" s="75"/>
      <x:c r="W245" s="75"/>
      <x:c r="X245" s="75"/>
      <x:c r="Y245" s="75"/>
      <x:c r="Z245" s="75"/>
    </x:row>
    <x:row r="246">
      <x:c r="C246" s="19" t="str">
        <x:v>AU-Q-080</x:v>
      </x:c>
      <x:c r="D246" s="19" t="str">
        <x:v>MS-RT|B RT-R3 route</x:v>
      </x:c>
      <x:c r="E246" s="19" t="str">
        <x:f>IF('Route Flow'!P86="PASS","PASS","FAIL")</x:f>
        <x:v>PASS</x:v>
      </x:c>
      <x:c r="F246" s="21" t="str">
        <x:v>TERMINAL</x:v>
      </x:c>
      <x:c r="G246" s="75"/>
      <x:c r="H246" s="75"/>
      <x:c r="I246" s="75"/>
      <x:c r="J246" s="75"/>
      <x:c r="K246" s="75"/>
      <x:c r="L246" s="75"/>
      <x:c r="M246" s="75"/>
      <x:c r="N246" s="75"/>
      <x:c r="O246" s="75"/>
      <x:c r="P246" s="75"/>
      <x:c r="Q246" s="75"/>
      <x:c r="R246" s="75"/>
      <x:c r="S246" s="75"/>
      <x:c r="T246" s="75"/>
      <x:c r="U246" s="75"/>
      <x:c r="V246" s="75"/>
      <x:c r="W246" s="75"/>
      <x:c r="X246" s="75"/>
      <x:c r="Y246" s="75"/>
      <x:c r="Z246" s="75"/>
    </x:row>
    <x:row r="247">
      <x:c r="C247" s="19" t="str">
        <x:v>AU-Q-081</x:v>
      </x:c>
      <x:c r="D247" s="19" t="str">
        <x:v>MS-RT|B RT-R4 route</x:v>
      </x:c>
      <x:c r="E247" s="19" t="str">
        <x:f>IF('Route Flow'!P87="PASS","PASS","FAIL")</x:f>
        <x:v>PASS</x:v>
      </x:c>
      <x:c r="F247" s="21" t="str">
        <x:v>TERMINAL</x:v>
      </x:c>
      <x:c r="G247" s="75"/>
      <x:c r="H247" s="75"/>
      <x:c r="I247" s="75"/>
      <x:c r="J247" s="75"/>
      <x:c r="K247" s="75"/>
      <x:c r="L247" s="75"/>
      <x:c r="M247" s="75"/>
      <x:c r="N247" s="75"/>
      <x:c r="O247" s="75"/>
      <x:c r="P247" s="75"/>
      <x:c r="Q247" s="75"/>
      <x:c r="R247" s="75"/>
      <x:c r="S247" s="75"/>
      <x:c r="T247" s="75"/>
      <x:c r="U247" s="75"/>
      <x:c r="V247" s="75"/>
      <x:c r="W247" s="75"/>
      <x:c r="X247" s="75"/>
      <x:c r="Y247" s="75"/>
      <x:c r="Z247" s="75"/>
    </x:row>
    <x:row r="248">
      <x:c r="C248" s="19" t="str">
        <x:v>AU-Q-082</x:v>
      </x:c>
      <x:c r="D248" s="19" t="str">
        <x:v>MS-RT|B RT-R5 route</x:v>
      </x:c>
      <x:c r="E248" s="19" t="str">
        <x:f>IF('Route Flow'!P88="PASS","PASS","FAIL")</x:f>
        <x:v>PASS</x:v>
      </x:c>
      <x:c r="F248" s="21" t="str">
        <x:v>TERMINAL</x:v>
      </x:c>
      <x:c r="G248" s="75"/>
      <x:c r="H248" s="75"/>
      <x:c r="I248" s="75"/>
      <x:c r="J248" s="75"/>
      <x:c r="K248" s="75"/>
      <x:c r="L248" s="75"/>
      <x:c r="M248" s="75"/>
      <x:c r="N248" s="75"/>
      <x:c r="O248" s="75"/>
      <x:c r="P248" s="75"/>
      <x:c r="Q248" s="75"/>
      <x:c r="R248" s="75"/>
      <x:c r="S248" s="75"/>
      <x:c r="T248" s="75"/>
      <x:c r="U248" s="75"/>
      <x:c r="V248" s="75"/>
      <x:c r="W248" s="75"/>
      <x:c r="X248" s="75"/>
      <x:c r="Y248" s="75"/>
      <x:c r="Z248" s="75"/>
    </x:row>
    <x:row r="249">
      <x:c r="C249" s="19" t="str">
        <x:v>AU-Q-083</x:v>
      </x:c>
      <x:c r="D249" s="19" t="str">
        <x:v>MS-RT|C RT-R1 route</x:v>
      </x:c>
      <x:c r="E249" s="19" t="str">
        <x:f>IF('Route Flow'!P89="PASS","PASS","FAIL")</x:f>
        <x:v>PASS</x:v>
      </x:c>
      <x:c r="F249" s="21" t="str">
        <x:v>TERMINAL</x:v>
      </x:c>
      <x:c r="G249" s="75"/>
      <x:c r="H249" s="75"/>
      <x:c r="I249" s="75"/>
      <x:c r="J249" s="75"/>
      <x:c r="K249" s="75"/>
      <x:c r="L249" s="75"/>
      <x:c r="M249" s="75"/>
      <x:c r="N249" s="75"/>
      <x:c r="O249" s="75"/>
      <x:c r="P249" s="75"/>
      <x:c r="Q249" s="75"/>
      <x:c r="R249" s="75"/>
      <x:c r="S249" s="75"/>
      <x:c r="T249" s="75"/>
      <x:c r="U249" s="75"/>
      <x:c r="V249" s="75"/>
      <x:c r="W249" s="75"/>
      <x:c r="X249" s="75"/>
      <x:c r="Y249" s="75"/>
      <x:c r="Z249" s="75"/>
    </x:row>
    <x:row r="250">
      <x:c r="C250" s="19" t="str">
        <x:v>AU-Q-084</x:v>
      </x:c>
      <x:c r="D250" s="19" t="str">
        <x:v>MS-RT|C RT-R2 route</x:v>
      </x:c>
      <x:c r="E250" s="19" t="str">
        <x:f>IF('Route Flow'!P90="PASS","PASS","FAIL")</x:f>
        <x:v>PASS</x:v>
      </x:c>
      <x:c r="F250" s="21" t="str">
        <x:v>TERMINAL</x:v>
      </x:c>
      <x:c r="G250" s="75"/>
      <x:c r="H250" s="75"/>
      <x:c r="I250" s="75"/>
      <x:c r="J250" s="75"/>
      <x:c r="K250" s="75"/>
      <x:c r="L250" s="75"/>
      <x:c r="M250" s="75"/>
      <x:c r="N250" s="75"/>
      <x:c r="O250" s="75"/>
      <x:c r="P250" s="75"/>
      <x:c r="Q250" s="75"/>
      <x:c r="R250" s="75"/>
      <x:c r="S250" s="75"/>
      <x:c r="T250" s="75"/>
      <x:c r="U250" s="75"/>
      <x:c r="V250" s="75"/>
      <x:c r="W250" s="75"/>
      <x:c r="X250" s="75"/>
      <x:c r="Y250" s="75"/>
      <x:c r="Z250" s="75"/>
    </x:row>
    <x:row r="251">
      <x:c r="C251" s="19" t="str">
        <x:v>AU-Q-085</x:v>
      </x:c>
      <x:c r="D251" s="19" t="str">
        <x:v>MS-RT|C RT-R3 route</x:v>
      </x:c>
      <x:c r="E251" s="19" t="str">
        <x:f>IF('Route Flow'!P91="PASS","PASS","FAIL")</x:f>
        <x:v>PASS</x:v>
      </x:c>
      <x:c r="F251" s="21" t="str">
        <x:v>TERMINAL</x:v>
      </x:c>
      <x:c r="G251" s="75"/>
      <x:c r="H251" s="75"/>
      <x:c r="I251" s="75"/>
      <x:c r="J251" s="75"/>
      <x:c r="K251" s="75"/>
      <x:c r="L251" s="75"/>
      <x:c r="M251" s="75"/>
      <x:c r="N251" s="75"/>
      <x:c r="O251" s="75"/>
      <x:c r="P251" s="75"/>
      <x:c r="Q251" s="75"/>
      <x:c r="R251" s="75"/>
      <x:c r="S251" s="75"/>
      <x:c r="T251" s="75"/>
      <x:c r="U251" s="75"/>
      <x:c r="V251" s="75"/>
      <x:c r="W251" s="75"/>
      <x:c r="X251" s="75"/>
      <x:c r="Y251" s="75"/>
      <x:c r="Z251" s="75"/>
    </x:row>
    <x:row r="252">
      <x:c r="C252" s="19" t="str">
        <x:v>AU-Q-086</x:v>
      </x:c>
      <x:c r="D252" s="19" t="str">
        <x:v>MS-RT|C RT-R4 route</x:v>
      </x:c>
      <x:c r="E252" s="19" t="str">
        <x:f>IF('Route Flow'!P92="PASS","PASS","FAIL")</x:f>
        <x:v>PASS</x:v>
      </x:c>
      <x:c r="F252" s="21" t="str">
        <x:v>TERMINAL</x:v>
      </x:c>
      <x:c r="G252" s="75"/>
      <x:c r="H252" s="75"/>
      <x:c r="I252" s="75"/>
      <x:c r="J252" s="75"/>
      <x:c r="K252" s="75"/>
      <x:c r="L252" s="75"/>
      <x:c r="M252" s="75"/>
      <x:c r="N252" s="75"/>
      <x:c r="O252" s="75"/>
      <x:c r="P252" s="75"/>
      <x:c r="Q252" s="75"/>
      <x:c r="R252" s="75"/>
      <x:c r="S252" s="75"/>
      <x:c r="T252" s="75"/>
      <x:c r="U252" s="75"/>
      <x:c r="V252" s="75"/>
      <x:c r="W252" s="75"/>
      <x:c r="X252" s="75"/>
      <x:c r="Y252" s="75"/>
      <x:c r="Z252" s="75"/>
    </x:row>
    <x:row r="253">
      <x:c r="C253" s="19" t="str">
        <x:v>AU-Q-087</x:v>
      </x:c>
      <x:c r="D253" s="19" t="str">
        <x:v>MS-RT|C RT-R5 route</x:v>
      </x:c>
      <x:c r="E253" s="19" t="str">
        <x:f>IF('Route Flow'!P93="PASS","PASS","FAIL")</x:f>
        <x:v>PASS</x:v>
      </x:c>
      <x:c r="F253" s="21" t="str">
        <x:v>TERMINAL</x:v>
      </x:c>
      <x:c r="G253" s="75"/>
      <x:c r="H253" s="75"/>
      <x:c r="I253" s="75"/>
      <x:c r="J253" s="75"/>
      <x:c r="K253" s="75"/>
      <x:c r="L253" s="75"/>
      <x:c r="M253" s="75"/>
      <x:c r="N253" s="75"/>
      <x:c r="O253" s="75"/>
      <x:c r="P253" s="75"/>
      <x:c r="Q253" s="75"/>
      <x:c r="R253" s="75"/>
      <x:c r="S253" s="75"/>
      <x:c r="T253" s="75"/>
      <x:c r="U253" s="75"/>
      <x:c r="V253" s="75"/>
      <x:c r="W253" s="75"/>
      <x:c r="X253" s="75"/>
      <x:c r="Y253" s="75"/>
      <x:c r="Z253" s="75"/>
    </x:row>
    <x:row r="254">
      <x:c r="C254" s="19" t="str">
        <x:v>AU-Q-088</x:v>
      </x:c>
      <x:c r="D254" s="19" t="str">
        <x:v>MS-RT|D RT-R1 route</x:v>
      </x:c>
      <x:c r="E254" s="19" t="str">
        <x:f>IF('Route Flow'!P94="PASS","PASS","FAIL")</x:f>
        <x:v>PASS</x:v>
      </x:c>
      <x:c r="F254" s="21" t="str">
        <x:v>TERMINAL</x:v>
      </x:c>
      <x:c r="G254" s="75"/>
      <x:c r="H254" s="75"/>
      <x:c r="I254" s="75"/>
      <x:c r="J254" s="75"/>
      <x:c r="K254" s="75"/>
      <x:c r="L254" s="75"/>
      <x:c r="M254" s="75"/>
      <x:c r="N254" s="75"/>
      <x:c r="O254" s="75"/>
      <x:c r="P254" s="75"/>
      <x:c r="Q254" s="75"/>
      <x:c r="R254" s="75"/>
      <x:c r="S254" s="75"/>
      <x:c r="T254" s="75"/>
      <x:c r="U254" s="75"/>
      <x:c r="V254" s="75"/>
      <x:c r="W254" s="75"/>
      <x:c r="X254" s="75"/>
      <x:c r="Y254" s="75"/>
      <x:c r="Z254" s="75"/>
    </x:row>
    <x:row r="255">
      <x:c r="C255" s="19" t="str">
        <x:v>AU-Q-089</x:v>
      </x:c>
      <x:c r="D255" s="19" t="str">
        <x:v>MS-RT|D RT-R2 route</x:v>
      </x:c>
      <x:c r="E255" s="19" t="str">
        <x:f>IF('Route Flow'!P95="PASS","PASS","FAIL")</x:f>
        <x:v>PASS</x:v>
      </x:c>
      <x:c r="F255" s="21" t="str">
        <x:v>TERMINAL</x:v>
      </x:c>
      <x:c r="G255" s="75"/>
      <x:c r="H255" s="75"/>
      <x:c r="I255" s="75"/>
      <x:c r="J255" s="75"/>
      <x:c r="K255" s="75"/>
      <x:c r="L255" s="75"/>
      <x:c r="M255" s="75"/>
      <x:c r="N255" s="75"/>
      <x:c r="O255" s="75"/>
      <x:c r="P255" s="75"/>
      <x:c r="Q255" s="75"/>
      <x:c r="R255" s="75"/>
      <x:c r="S255" s="75"/>
      <x:c r="T255" s="75"/>
      <x:c r="U255" s="75"/>
      <x:c r="V255" s="75"/>
      <x:c r="W255" s="75"/>
      <x:c r="X255" s="75"/>
      <x:c r="Y255" s="75"/>
      <x:c r="Z255" s="75"/>
    </x:row>
    <x:row r="256">
      <x:c r="C256" s="19" t="str">
        <x:v>AU-Q-090</x:v>
      </x:c>
      <x:c r="D256" s="19" t="str">
        <x:v>MS-RT|D RT-R3 route</x:v>
      </x:c>
      <x:c r="E256" s="19" t="str">
        <x:f>IF('Route Flow'!P96="PASS","PASS","FAIL")</x:f>
        <x:v>PASS</x:v>
      </x:c>
      <x:c r="F256" s="21" t="str">
        <x:v>TERMINAL</x:v>
      </x:c>
      <x:c r="G256" s="75"/>
      <x:c r="H256" s="75"/>
      <x:c r="I256" s="75"/>
      <x:c r="J256" s="75"/>
      <x:c r="K256" s="75"/>
      <x:c r="L256" s="75"/>
      <x:c r="M256" s="75"/>
      <x:c r="N256" s="75"/>
      <x:c r="O256" s="75"/>
      <x:c r="P256" s="75"/>
      <x:c r="Q256" s="75"/>
      <x:c r="R256" s="75"/>
      <x:c r="S256" s="75"/>
      <x:c r="T256" s="75"/>
      <x:c r="U256" s="75"/>
      <x:c r="V256" s="75"/>
      <x:c r="W256" s="75"/>
      <x:c r="X256" s="75"/>
      <x:c r="Y256" s="75"/>
      <x:c r="Z256" s="75"/>
    </x:row>
    <x:row r="257">
      <x:c r="C257" s="19" t="str">
        <x:v>AU-Q-091</x:v>
      </x:c>
      <x:c r="D257" s="19" t="str">
        <x:v>MS-RT|D RT-R4 route</x:v>
      </x:c>
      <x:c r="E257" s="19" t="str">
        <x:f>IF('Route Flow'!P97="PASS","PASS","FAIL")</x:f>
        <x:v>PASS</x:v>
      </x:c>
      <x:c r="F257" s="21" t="str">
        <x:v>TERMINAL</x:v>
      </x:c>
      <x:c r="G257" s="75"/>
      <x:c r="H257" s="75"/>
      <x:c r="I257" s="75"/>
      <x:c r="J257" s="75"/>
      <x:c r="K257" s="75"/>
      <x:c r="L257" s="75"/>
      <x:c r="M257" s="75"/>
      <x:c r="N257" s="75"/>
      <x:c r="O257" s="75"/>
      <x:c r="P257" s="75"/>
      <x:c r="Q257" s="75"/>
      <x:c r="R257" s="75"/>
      <x:c r="S257" s="75"/>
      <x:c r="T257" s="75"/>
      <x:c r="U257" s="75"/>
      <x:c r="V257" s="75"/>
      <x:c r="W257" s="75"/>
      <x:c r="X257" s="75"/>
      <x:c r="Y257" s="75"/>
      <x:c r="Z257" s="75"/>
    </x:row>
    <x:row r="258">
      <x:c r="C258" s="19" t="str">
        <x:v>AU-Q-092</x:v>
      </x:c>
      <x:c r="D258" s="19" t="str">
        <x:v>MS-RT|D RT-R5 route</x:v>
      </x:c>
      <x:c r="E258" s="19" t="str">
        <x:f>IF('Route Flow'!P98="PASS","PASS","FAIL")</x:f>
        <x:v>PASS</x:v>
      </x:c>
      <x:c r="F258" s="21" t="str">
        <x:v>TERMINAL</x:v>
      </x:c>
      <x:c r="G258" s="75"/>
      <x:c r="H258" s="75"/>
      <x:c r="I258" s="75"/>
      <x:c r="J258" s="75"/>
      <x:c r="K258" s="75"/>
      <x:c r="L258" s="75"/>
      <x:c r="M258" s="75"/>
      <x:c r="N258" s="75"/>
      <x:c r="O258" s="75"/>
      <x:c r="P258" s="75"/>
      <x:c r="Q258" s="75"/>
      <x:c r="R258" s="75"/>
      <x:c r="S258" s="75"/>
      <x:c r="T258" s="75"/>
      <x:c r="U258" s="75"/>
      <x:c r="V258" s="75"/>
      <x:c r="W258" s="75"/>
      <x:c r="X258" s="75"/>
      <x:c r="Y258" s="75"/>
      <x:c r="Z258" s="75"/>
    </x:row>
    <x:row r="259">
      <x:c r="C259" s="19" t="str">
        <x:v>AU-G-001</x:v>
      </x:c>
      <x:c r="D259" s="19" t="str">
        <x:v>Twenty roots registered</x:v>
      </x:c>
      <x:c r="E259" s="19" t="str">
        <x:f>IF(COUNTA('Root Balance'!C7:C26)=20,"PASS","FAIL")</x:f>
        <x:v>PASS</x:v>
      </x:c>
      <x:c r="F259" s="21" t="str">
        <x:v>TERMINAL</x:v>
      </x:c>
      <x:c r="G259" s="75"/>
      <x:c r="H259" s="75"/>
      <x:c r="I259" s="75"/>
      <x:c r="J259" s="75"/>
      <x:c r="K259" s="75"/>
      <x:c r="L259" s="75"/>
      <x:c r="M259" s="75"/>
      <x:c r="N259" s="75"/>
      <x:c r="O259" s="75"/>
      <x:c r="P259" s="75"/>
      <x:c r="Q259" s="75"/>
      <x:c r="R259" s="75"/>
      <x:c r="S259" s="75"/>
      <x:c r="T259" s="75"/>
      <x:c r="U259" s="75"/>
      <x:c r="V259" s="75"/>
      <x:c r="W259" s="75"/>
      <x:c r="X259" s="75"/>
      <x:c r="Y259" s="75"/>
      <x:c r="Z259" s="75"/>
    </x:row>
    <x:row r="260">
      <x:c r="C260" s="19" t="str">
        <x:v>AU-G-002</x:v>
      </x:c>
      <x:c r="D260" s="19" t="str">
        <x:v>One hundred sixty component records</x:v>
      </x:c>
      <x:c r="E260" s="19" t="str">
        <x:f>IF(COUNTA('Component Bill'!C7:C166)=160,"PASS","FAIL")</x:f>
        <x:v>PASS</x:v>
      </x:c>
      <x:c r="F260" s="21" t="str">
        <x:v>TERMINAL</x:v>
      </x:c>
      <x:c r="G260" s="75"/>
      <x:c r="H260" s="75"/>
      <x:c r="I260" s="75"/>
      <x:c r="J260" s="75"/>
      <x:c r="K260" s="75"/>
      <x:c r="L260" s="75"/>
      <x:c r="M260" s="75"/>
      <x:c r="N260" s="75"/>
      <x:c r="O260" s="75"/>
      <x:c r="P260" s="75"/>
      <x:c r="Q260" s="75"/>
      <x:c r="R260" s="75"/>
      <x:c r="S260" s="75"/>
      <x:c r="T260" s="75"/>
      <x:c r="U260" s="75"/>
      <x:c r="V260" s="75"/>
      <x:c r="W260" s="75"/>
      <x:c r="X260" s="75"/>
      <x:c r="Y260" s="75"/>
      <x:c r="Z260" s="75"/>
    </x:row>
    <x:row r="261">
      <x:c r="C261" s="19" t="str">
        <x:v>AU-G-003</x:v>
      </x:c>
      <x:c r="D261" s="19" t="str">
        <x:v>Ninety-two route records</x:v>
      </x:c>
      <x:c r="E261" s="19" t="str">
        <x:f>IF(COUNTA('Route Flow'!C7:C98)=92,"PASS","FAIL")</x:f>
        <x:v>PASS</x:v>
      </x:c>
      <x:c r="F261" s="21" t="str">
        <x:v>TERMINAL</x:v>
      </x:c>
      <x:c r="G261" s="75"/>
      <x:c r="H261" s="75"/>
      <x:c r="I261" s="75"/>
      <x:c r="J261" s="75"/>
      <x:c r="K261" s="75"/>
      <x:c r="L261" s="75"/>
      <x:c r="M261" s="75"/>
      <x:c r="N261" s="75"/>
      <x:c r="O261" s="75"/>
      <x:c r="P261" s="75"/>
      <x:c r="Q261" s="75"/>
      <x:c r="R261" s="75"/>
      <x:c r="S261" s="75"/>
      <x:c r="T261" s="75"/>
      <x:c r="U261" s="75"/>
      <x:c r="V261" s="75"/>
      <x:c r="W261" s="75"/>
      <x:c r="X261" s="75"/>
      <x:c r="Y261" s="75"/>
      <x:c r="Z261" s="75"/>
    </x:row>
    <x:row r="262">
      <x:c r="C262" s="19" t="str">
        <x:v>AU-G-004</x:v>
      </x:c>
      <x:c r="D262" s="19" t="str">
        <x:v>One hundred forty evidence gates</x:v>
      </x:c>
      <x:c r="E262" s="19" t="str">
        <x:f>IF(COUNTA('Evidence Gates'!C7:C146)=140,"PASS","FAIL")</x:f>
        <x:v>PASS</x:v>
      </x:c>
      <x:c r="F262" s="21" t="str">
        <x:v>TERMINAL</x:v>
      </x:c>
      <x:c r="G262" s="75"/>
      <x:c r="H262" s="75"/>
      <x:c r="I262" s="75"/>
      <x:c r="J262" s="75"/>
      <x:c r="K262" s="75"/>
      <x:c r="L262" s="75"/>
      <x:c r="M262" s="75"/>
      <x:c r="N262" s="75"/>
      <x:c r="O262" s="75"/>
      <x:c r="P262" s="75"/>
      <x:c r="Q262" s="75"/>
      <x:c r="R262" s="75"/>
      <x:c r="S262" s="75"/>
      <x:c r="T262" s="75"/>
      <x:c r="U262" s="75"/>
      <x:c r="V262" s="75"/>
      <x:c r="W262" s="75"/>
      <x:c r="X262" s="75"/>
      <x:c r="Y262" s="75"/>
      <x:c r="Z262" s="75"/>
    </x:row>
    <x:row r="263">
      <x:c r="C263" s="19" t="str">
        <x:v>AU-G-005</x:v>
      </x:c>
      <x:c r="D263" s="19" t="str">
        <x:v>Evidence source-empty</x:v>
      </x:c>
      <x:c r="E263" s="19" t="str">
        <x:f>IF(COUNTIF('Evidence Gates'!F7:F146,1)=0,"PASS","FAIL")</x:f>
        <x:v>PASS</x:v>
      </x:c>
      <x:c r="F263" s="21" t="str">
        <x:v>TERMINAL</x:v>
      </x:c>
      <x:c r="G263" s="75"/>
      <x:c r="H263" s="75"/>
      <x:c r="I263" s="75"/>
      <x:c r="J263" s="75"/>
      <x:c r="K263" s="75"/>
      <x:c r="L263" s="75"/>
      <x:c r="M263" s="75"/>
      <x:c r="N263" s="75"/>
      <x:c r="O263" s="75"/>
      <x:c r="P263" s="75"/>
      <x:c r="Q263" s="75"/>
      <x:c r="R263" s="75"/>
      <x:c r="S263" s="75"/>
      <x:c r="T263" s="75"/>
      <x:c r="U263" s="75"/>
      <x:c r="V263" s="75"/>
      <x:c r="W263" s="75"/>
      <x:c r="X263" s="75"/>
      <x:c r="Y263" s="75"/>
      <x:c r="Z263" s="75"/>
    </x:row>
    <x:row r="264">
      <x:c r="C264" s="19" t="str">
        <x:v>AU-G-006</x:v>
      </x:c>
      <x:c r="D264" s="19" t="str">
        <x:v>Account shares reconcile</x:v>
      </x:c>
      <x:c r="E264" s="19" t="str">
        <x:f>IF(ABS(SUM(Finance!D17:D23)-1)&lt;0.000001,"PASS","FAIL")</x:f>
        <x:v>PASS</x:v>
      </x:c>
      <x:c r="F264" s="21" t="str">
        <x:v>TERMINAL</x:v>
      </x:c>
      <x:c r="G264" s="75"/>
      <x:c r="H264" s="75"/>
      <x:c r="I264" s="75"/>
      <x:c r="J264" s="75"/>
      <x:c r="K264" s="75"/>
      <x:c r="L264" s="75"/>
      <x:c r="M264" s="75"/>
      <x:c r="N264" s="75"/>
      <x:c r="O264" s="75"/>
      <x:c r="P264" s="75"/>
      <x:c r="Q264" s="75"/>
      <x:c r="R264" s="75"/>
      <x:c r="S264" s="75"/>
      <x:c r="T264" s="75"/>
      <x:c r="U264" s="75"/>
      <x:c r="V264" s="75"/>
      <x:c r="W264" s="75"/>
      <x:c r="X264" s="75"/>
      <x:c r="Y264" s="75"/>
      <x:c r="Z264" s="75"/>
    </x:row>
    <x:row r="265">
      <x:c r="C265" s="19" t="str">
        <x:v>AU-G-007</x:v>
      </x:c>
      <x:c r="D265" s="19" t="str">
        <x:v>Physical reservations reconcile</x:v>
      </x:c>
      <x:c r="E265" s="19" t="str">
        <x:f>IF(ABS(Finance!H168-Finance!D13)&lt;0.000001,"PASS","FAIL")</x:f>
        <x:v>PASS</x:v>
      </x:c>
      <x:c r="F265" s="21" t="str">
        <x:v>TERMINAL</x:v>
      </x:c>
      <x:c r="G265" s="75"/>
      <x:c r="H265" s="75"/>
      <x:c r="I265" s="75"/>
      <x:c r="J265" s="75"/>
      <x:c r="K265" s="75"/>
      <x:c r="L265" s="75"/>
      <x:c r="M265" s="75"/>
      <x:c r="N265" s="75"/>
      <x:c r="O265" s="75"/>
      <x:c r="P265" s="75"/>
      <x:c r="Q265" s="75"/>
      <x:c r="R265" s="75"/>
      <x:c r="S265" s="75"/>
      <x:c r="T265" s="75"/>
      <x:c r="U265" s="75"/>
      <x:c r="V265" s="75"/>
      <x:c r="W265" s="75"/>
      <x:c r="X265" s="75"/>
      <x:c r="Y265" s="75"/>
      <x:c r="Z265" s="75"/>
    </x:row>
    <x:row r="266">
      <x:c r="C266" s="23" t="str">
        <x:v>AU-G-008</x:v>
      </x:c>
      <x:c r="D266" s="23" t="str">
        <x:v>Cascadia remains blocked</x:v>
      </x:c>
      <x:c r="E266" s="23" t="str">
        <x:f>IF('Cascadia Barrier'!D24="BLOCKED","PASS","FAIL")</x:f>
        <x:v>PASS</x:v>
      </x:c>
      <x:c r="F266" s="25" t="str">
        <x:v>TERMINAL</x:v>
      </x:c>
      <x:c r="G266" s="75"/>
      <x:c r="H266" s="75"/>
      <x:c r="I266" s="75"/>
      <x:c r="J266" s="75"/>
      <x:c r="K266" s="75"/>
      <x:c r="L266" s="75"/>
      <x:c r="M266" s="75"/>
      <x:c r="N266" s="75"/>
      <x:c r="O266" s="75"/>
      <x:c r="P266" s="75"/>
      <x:c r="Q266" s="75"/>
      <x:c r="R266" s="75"/>
      <x:c r="S266" s="75"/>
      <x:c r="T266" s="75"/>
      <x:c r="U266" s="75"/>
      <x:c r="V266" s="75"/>
      <x:c r="W266" s="75"/>
      <x:c r="X266" s="75"/>
      <x:c r="Y266" s="75"/>
      <x:c r="Z266" s="75"/>
    </x:row>
    <x:row r="267">
      <x:c r="C267" s="2"/>
      <x:c r="D267" s="2"/>
      <x:c r="E267" s="2"/>
      <x:c r="F267" s="2"/>
      <x:c r="G267" s="75"/>
      <x:c r="H267" s="75"/>
      <x:c r="I267" s="75"/>
      <x:c r="J267" s="75"/>
      <x:c r="K267" s="75"/>
      <x:c r="L267" s="75"/>
      <x:c r="M267" s="75"/>
      <x:c r="N267" s="75"/>
      <x:c r="O267" s="75"/>
      <x:c r="P267" s="75"/>
      <x:c r="Q267" s="75"/>
      <x:c r="R267" s="75"/>
      <x:c r="S267" s="75"/>
      <x:c r="T267" s="75"/>
      <x:c r="U267" s="75"/>
      <x:c r="V267" s="75"/>
      <x:c r="W267" s="75"/>
      <x:c r="X267" s="75"/>
      <x:c r="Y267" s="75"/>
      <x:c r="Z267" s="75"/>
    </x:row>
    <x:row r="268">
      <x:c r="C268" s="2"/>
      <x:c r="D268" s="2"/>
      <x:c r="E268" s="2"/>
      <x:c r="F268" s="2"/>
      <x:c r="G268" s="75"/>
      <x:c r="H268" s="75"/>
      <x:c r="I268" s="75"/>
      <x:c r="J268" s="75"/>
      <x:c r="K268" s="75"/>
      <x:c r="L268" s="75"/>
      <x:c r="M268" s="75"/>
      <x:c r="N268" s="75"/>
      <x:c r="O268" s="75"/>
      <x:c r="P268" s="75"/>
      <x:c r="Q268" s="75"/>
      <x:c r="R268" s="75"/>
      <x:c r="S268" s="75"/>
      <x:c r="T268" s="75"/>
      <x:c r="U268" s="75"/>
      <x:c r="V268" s="75"/>
      <x:c r="W268" s="75"/>
      <x:c r="X268" s="75"/>
      <x:c r="Y268" s="75"/>
      <x:c r="Z268" s="7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2" hidden="0" customWidth="1"/>
    <x:col min="4" max="4" width="48" hidden="0" customWidth="1"/>
    <x:col min="5" max="5" width="12" hidden="0" customWidth="1"/>
    <x:col min="6" max="6" width="54" hidden="0" customWidth="1"/>
    <x:col min="7" max="7" width="42" hidden="0" customWidth="1"/>
    <x:col min="8" max="8" width="15" hidden="0" customWidth="1"/>
  </x:cols>
  <x:sheetData>
    <x:row r="1">
      <x:c r="C1" s="2"/>
      <x:c r="D1" s="2"/>
      <x:c r="E1" s="2"/>
      <x:c r="F1" s="2"/>
      <x:c r="G1" s="2"/>
      <x:c r="H1" s="2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Internal source lineage</x:v>
      </x:c>
      <x:c r="D2" s="2"/>
      <x:c r="E2" s="2"/>
      <x:c r="F2" s="2"/>
      <x:c r="G2" s="2"/>
      <x:c r="H2" s="2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No external-site research or observed physical evidence is introduced.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2"/>
      <x:c r="F4" s="2"/>
      <x:c r="G4" s="2"/>
      <x:c r="H4" s="2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2"/>
      <x:c r="F5" s="2"/>
      <x:c r="G5" s="2"/>
      <x:c r="H5" s="2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Source</x:v>
      </x:c>
      <x:c r="D6" s="18" t="str">
        <x:v>Artifact</x:v>
      </x:c>
      <x:c r="E6" s="18" t="str">
        <x:v>Pass</x:v>
      </x:c>
      <x:c r="F6" s="18" t="str">
        <x:v>Use</x:v>
      </x:c>
      <x:c r="G6" s="18" t="str">
        <x:v>Access note</x:v>
      </x:c>
      <x:c r="H6" s="18" t="str">
        <x:v>Status</x:v>
      </x:c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S01</x:v>
      </x:c>
      <x:c r="D7" s="19" t="str">
        <x:v>Twenty non-lifeline root controlled-configuration constitution</x:v>
      </x:c>
      <x:c r="E7" s="19" t="n">
        <x:v>181</x:v>
      </x:c>
      <x:c r="F7" s="19" t="str">
        <x:v>Root mechanisms, routes, keystone tests and USD 239B boundary</x:v>
      </x:c>
      <x:c r="G7" s="19" t="str">
        <x:v>Repository Markdown and workbook</x:v>
      </x:c>
      <x:c r="H7" s="21" t="str">
        <x:v>CURRENT</x:v>
      </x:c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S02</x:v>
      </x:c>
      <x:c r="D8" s="19" t="str">
        <x:v>Six-system G3 proof-unit and evidence-estate constitution</x:v>
      </x:c>
      <x:c r="E8" s="19" t="n">
        <x:v>180</x:v>
      </x:c>
      <x:c r="F8" s="19" t="str">
        <x:v>Public denominators, route-position vectors and proof estate</x:v>
      </x:c>
      <x:c r="G8" s="19" t="str">
        <x:v>Repository Markdown and workbook</x:v>
      </x:c>
      <x:c r="H8" s="21" t="str">
        <x:v>CURRENT</x:v>
      </x:c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S03</x:v>
      </x:c>
      <x:c r="D9" s="19" t="str">
        <x:v>Twenty-four-root diversity and G3 freeze constitution</x:v>
      </x:c>
      <x:c r="E9" s="19" t="n">
        <x:v>175</x:v>
      </x:c>
      <x:c r="F9" s="19" t="str">
        <x:v>Ancestry, public seams and fourteen-gate law</x:v>
      </x:c>
      <x:c r="G9" s="19" t="str">
        <x:v>Repository Markdown and workbook</x:v>
      </x:c>
      <x:c r="H9" s="21" t="str">
        <x:v>CURRENT</x:v>
      </x:c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S04</x:v>
      </x:c>
      <x:c r="D10" s="19" t="str">
        <x:v>Lifeline evidence-adjudication and root-disposition constitution</x:v>
      </x:c>
      <x:c r="E10" s="19" t="n">
        <x:v>178</x:v>
      </x:c>
      <x:c r="F10" s="19" t="str">
        <x:v>Source-empty release semantics and Cascadia barrier</x:v>
      </x:c>
      <x:c r="G10" s="19" t="str">
        <x:v>Repository Markdown and workbook</x:v>
      </x:c>
      <x:c r="H10" s="21" t="str">
        <x:v>CURRENT</x:v>
      </x:c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S05</x:v>
      </x:c>
      <x:c r="D11" s="19" t="str">
        <x:v>All-six service-contract vector and exchange grammar</x:v>
      </x:c>
      <x:c r="E11" s="19" t="n">
        <x:v>172</x:v>
      </x:c>
      <x:c r="F11" s="19" t="str">
        <x:v>Route definitions and service-stage law</x:v>
      </x:c>
      <x:c r="G11" s="19" t="str">
        <x:v>Repository Markdown and workbook</x:v>
      </x:c>
      <x:c r="H11" s="21" t="str">
        <x:v>CURRENT</x:v>
      </x:c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S06</x:v>
      </x:c>
      <x:c r="D12" s="19" t="str">
        <x:v>Fire response force configuration</x:v>
      </x:c>
      <x:c r="E12" s="19"/>
      <x:c r="F12" s="19" t="str">
        <x:v>103 km/day quarter-scale held-line threshold</x:v>
      </x:c>
      <x:c r="G12" s="19" t="str">
        <x:v>Repository Markdown; inherited design study</x:v>
      </x:c>
      <x:c r="H12" s="21" t="str">
        <x:v>R2+</x:v>
      </x:c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S07</x:v>
      </x:c>
      <x:c r="D13" s="19" t="str">
        <x:v>Flood response force engineering</x:v>
      </x:c>
      <x:c r="E13" s="19"/>
      <x:c r="F13" s="19" t="str">
        <x:v>13.8 m3/s net removal and 12,000 t/day material target</x:v>
      </x:c>
      <x:c r="G13" s="19" t="str">
        <x:v>Repository Markdown; inherited design study</x:v>
      </x:c>
      <x:c r="H13" s="21" t="str">
        <x:v>R2+</x:v>
      </x:c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23" t="str">
        <x:v>S08</x:v>
      </x:c>
      <x:c r="D14" s="23" t="str">
        <x:v>First physical human-continuity system</x:v>
      </x:c>
      <x:c r="E14" s="23" t="n">
        <x:v>170</x:v>
      </x:c>
      <x:c r="F14" s="23" t="str">
        <x:v>Fifty-thousand relationship denominator and 168-hour mission</x:v>
      </x:c>
      <x:c r="G14" s="23" t="str">
        <x:v>Repository Markdown and workbook</x:v>
      </x:c>
      <x:c r="H14" s="25" t="str">
        <x:v>CURRENT</x:v>
      </x:c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2"/>
      <x:c r="D15" s="2"/>
      <x:c r="E15" s="2"/>
      <x:c r="F15" s="2"/>
      <x:c r="G15" s="2"/>
      <x:c r="H15" s="2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2"/>
      <x:c r="D16" s="2"/>
      <x:c r="E16" s="2"/>
      <x:c r="F16" s="2"/>
      <x:c r="G16" s="2"/>
      <x:c r="H16" s="2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2"/>
      <x:c r="D17" s="2"/>
      <x:c r="E17" s="2"/>
      <x:c r="F17" s="2"/>
      <x:c r="G17" s="2"/>
      <x:c r="H17" s="2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2"/>
      <x:c r="D18" s="2"/>
      <x:c r="E18" s="2"/>
      <x:c r="F18" s="2"/>
      <x:c r="G18" s="2"/>
      <x:c r="H18" s="2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2"/>
      <x:c r="D19" s="2"/>
      <x:c r="E19" s="2"/>
      <x:c r="F19" s="2"/>
      <x:c r="G19" s="2"/>
      <x:c r="H19" s="2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2"/>
      <x:c r="D20" s="2"/>
      <x:c r="E20" s="2"/>
      <x:c r="F20" s="2"/>
      <x:c r="G20" s="2"/>
      <x:c r="H20" s="2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28" hidden="0" customWidth="1"/>
    <x:col min="4" max="4" width="92" hidden="0" customWidth="1"/>
  </x:cols>
  <x:sheetData>
    <x:row r="1">
      <x:c r="C1" s="2"/>
      <x:c r="D1" s="2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>
      <x:c r="C2" s="3" t="str">
        <x:v>How to use this balance constitution</x:v>
      </x:c>
      <x:c r="D2" s="2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</x:row>
    <x:row r="3">
      <x:c r="C3" s="6" t="str">
        <x:v>Read Decision first. Yellow fields are controlled hypotheses or future observations.</x:v>
      </x:c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</x:row>
    <x:row r="4">
      <x:c r="C4" s="2"/>
      <x:c r="D4" s="2"/>
      <x:c r="E4" s="75"/>
      <x:c r="F4" s="75"/>
      <x:c r="G4" s="75"/>
      <x:c r="H4" s="75"/>
      <x:c r="I4" s="75"/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</x:row>
    <x:row r="5">
      <x:c r="C5" s="2"/>
      <x:c r="D5" s="2"/>
      <x:c r="E5" s="75"/>
      <x:c r="F5" s="75"/>
      <x:c r="G5" s="75"/>
      <x:c r="H5" s="75"/>
      <x:c r="I5" s="75"/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</x:row>
    <x:row r="6">
      <x:c r="C6" s="17" t="str">
        <x:v>Topic</x:v>
      </x:c>
      <x:c r="D6" s="18" t="str">
        <x:v>Rule</x:v>
      </x:c>
      <x:c r="E6" s="75"/>
      <x:c r="F6" s="75"/>
      <x:c r="G6" s="75"/>
      <x:c r="H6" s="75"/>
      <x:c r="I6" s="75"/>
      <x:c r="J6" s="75"/>
      <x:c r="K6" s="75"/>
      <x:c r="L6" s="75"/>
      <x:c r="M6" s="75"/>
      <x:c r="N6" s="75"/>
      <x:c r="O6" s="75"/>
      <x:c r="P6" s="75"/>
      <x:c r="Q6" s="75"/>
      <x:c r="R6" s="75"/>
      <x:c r="S6" s="75"/>
      <x:c r="T6" s="75"/>
      <x:c r="U6" s="75"/>
      <x:c r="V6" s="75"/>
      <x:c r="W6" s="75"/>
      <x:c r="X6" s="75"/>
      <x:c r="Y6" s="75"/>
      <x:c r="Z6" s="75"/>
    </x:row>
    <x:row r="7">
      <x:c r="C7" s="19" t="str">
        <x:v>Paper closure</x:v>
      </x:c>
      <x:c r="D7" s="21" t="str">
        <x:v>BALANCED means every account meets intact and largest-cell-loss arithmetic; it is not physical evidence.</x:v>
      </x:c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5"/>
      <x:c r="Q7" s="75"/>
      <x:c r="R7" s="75"/>
      <x:c r="S7" s="75"/>
      <x:c r="T7" s="75"/>
      <x:c r="U7" s="75"/>
      <x:c r="V7" s="75"/>
      <x:c r="W7" s="75"/>
      <x:c r="X7" s="75"/>
      <x:c r="Y7" s="75"/>
      <x:c r="Z7" s="75"/>
    </x:row>
    <x:row r="8">
      <x:c r="C8" s="19" t="str">
        <x:v>Capacity worlds</x:v>
      </x:c>
      <x:c r="D8" s="21" t="str">
        <x:v>Intact must retain 15 percent; the controlled largest-cell loss must remain at or above demand.</x:v>
      </x:c>
      <x:c r="E8" s="75"/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5"/>
      <x:c r="Q8" s="75"/>
      <x:c r="R8" s="75"/>
      <x:c r="S8" s="75"/>
      <x:c r="T8" s="75"/>
      <x:c r="U8" s="75"/>
      <x:c r="V8" s="75"/>
      <x:c r="W8" s="75"/>
      <x:c r="X8" s="75"/>
      <x:c r="Y8" s="75"/>
      <x:c r="Z8" s="75"/>
    </x:row>
    <x:row r="9">
      <x:c r="C9" s="19" t="str">
        <x:v>Mass</x:v>
      </x:c>
      <x:c r="D9" s="21" t="str">
        <x:v>Dry blocks plus mission stock must fit the surviving deployment envelope.</x:v>
      </x:c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</x:row>
    <x:row r="10">
      <x:c r="C10" s="19" t="str">
        <x:v>Energy</x:v>
      </x:c>
      <x:c r="D10" s="21" t="str">
        <x:v>Firm generation and black-start storage must both survive one cell loss.</x:v>
      </x:c>
      <x:c r="E10" s="75"/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</x:row>
    <x:row r="11">
      <x:c r="C11" s="19" t="str">
        <x:v>Route flow</x:v>
      </x:c>
      <x:c r="D11" s="21" t="str">
        <x:v>Every inherited route keeps its native unit; no route subtotal can compensate for another.</x:v>
      </x:c>
      <x:c r="E11" s="75"/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</x:row>
    <x:row r="12">
      <x:c r="C12" s="19" t="str">
        <x:v>Labor and safety</x:v>
      </x:c>
      <x:c r="D12" s="21" t="str">
        <x:v>Twenty percent workforce denial and one refuge-cell loss are explicit design worlds.</x:v>
      </x:c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</x:row>
    <x:row r="13">
      <x:c r="C13" s="19" t="str">
        <x:v>Receiver and residual</x:v>
      </x:c>
      <x:c r="D13" s="21" t="str">
        <x:v>Lawful receiving capacity and distributed residual isolation remain noncompensatory.</x:v>
      </x:c>
      <x:c r="E13" s="75"/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</x:row>
    <x:row r="14">
      <x:c r="C14" s="19" t="str">
        <x:v>Evidence</x:v>
      </x:c>
      <x:c r="D14" s="21" t="str">
        <x:v>Zero is missing physical acceptance, never demonstrated failure or success.</x:v>
      </x:c>
      <x:c r="E14" s="75"/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</x:row>
    <x:row r="15">
      <x:c r="C15" s="19" t="str">
        <x:v>Finance</x:v>
      </x:c>
      <x:c r="D15" s="21" t="str">
        <x:v>Seven account reservations cross-classify the Pass 181 root options and add no money.</x:v>
      </x:c>
      <x:c r="E15" s="75"/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5"/>
      <x:c r="Q15" s="75"/>
      <x:c r="R15" s="75"/>
      <x:c r="S15" s="75"/>
      <x:c r="T15" s="75"/>
      <x:c r="U15" s="75"/>
      <x:c r="V15" s="75"/>
      <x:c r="W15" s="75"/>
      <x:c r="X15" s="75"/>
      <x:c r="Y15" s="75"/>
      <x:c r="Z15" s="75"/>
    </x:row>
    <x:row r="16">
      <x:c r="C16" s="19" t="str">
        <x:v>Cascadia</x:v>
      </x:c>
      <x:c r="D16" s="21" t="str">
        <x:v>Twenty-four released roots and four public seam implementations remain conjunctive.</x:v>
      </x:c>
      <x:c r="E16" s="75"/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5"/>
      <x:c r="Q16" s="75"/>
      <x:c r="R16" s="75"/>
      <x:c r="S16" s="75"/>
      <x:c r="T16" s="75"/>
      <x:c r="U16" s="75"/>
      <x:c r="V16" s="75"/>
      <x:c r="W16" s="75"/>
      <x:c r="X16" s="75"/>
      <x:c r="Y16" s="75"/>
      <x:c r="Z16" s="75"/>
    </x:row>
    <x:row r="17">
      <x:c r="C17" s="23" t="str">
        <x:v>Rendering</x:v>
      </x:c>
      <x:c r="D17" s="25" t="str">
        <x:v>Exterior form remains blocked until physical evidence changes the configuration state.</x:v>
      </x:c>
      <x:c r="E17" s="75"/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5"/>
      <x:c r="Q17" s="75"/>
      <x:c r="R17" s="75"/>
      <x:c r="S17" s="75"/>
      <x:c r="T17" s="75"/>
      <x:c r="U17" s="75"/>
      <x:c r="V17" s="75"/>
      <x:c r="W17" s="75"/>
      <x:c r="X17" s="75"/>
      <x:c r="Y17" s="75"/>
      <x:c r="Z17" s="75"/>
    </x:row>
    <x:row r="18">
      <x:c r="C18" s="2"/>
      <x:c r="D18" s="2"/>
      <x:c r="E18" s="75"/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5"/>
      <x:c r="Q18" s="75"/>
      <x:c r="R18" s="75"/>
      <x:c r="S18" s="75"/>
      <x:c r="T18" s="75"/>
      <x:c r="U18" s="75"/>
      <x:c r="V18" s="75"/>
      <x:c r="W18" s="75"/>
      <x:c r="X18" s="75"/>
      <x:c r="Y18" s="75"/>
      <x:c r="Z18" s="75"/>
    </x:row>
    <x:row r="19">
      <x:c r="C19" s="2"/>
      <x:c r="D19" s="2"/>
      <x:c r="E19" s="75"/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5"/>
      <x:c r="Q19" s="75"/>
      <x:c r="R19" s="75"/>
      <x:c r="S19" s="75"/>
      <x:c r="T19" s="75"/>
      <x:c r="U19" s="75"/>
      <x:c r="V19" s="75"/>
      <x:c r="W19" s="75"/>
      <x:c r="X19" s="75"/>
      <x:c r="Y19" s="75"/>
      <x:c r="Z19" s="75"/>
    </x:row>
    <x:row r="20">
      <x:c r="C20" s="2"/>
      <x:c r="D20" s="2"/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5"/>
      <x:c r="Q20" s="75"/>
      <x:c r="R20" s="75"/>
      <x:c r="S20" s="75"/>
      <x:c r="T20" s="75"/>
      <x:c r="U20" s="75"/>
      <x:c r="V20" s="75"/>
      <x:c r="W20" s="75"/>
      <x:c r="X20" s="75"/>
      <x:c r="Y20" s="75"/>
      <x:c r="Z20" s="75"/>
    </x:row>
  </x:sheetData>
  <x:pageMargins left="0.7" right="0.7" top="0.75" bottom="0.75" header="0.3" footer="0.3"/>
</x:worksheet>
</file>