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040fd23d6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b420212d5eae47d8"/>
    <x:sheet xmlns:r="http://schemas.openxmlformats.org/officeDocument/2006/relationships" name="Controls" sheetId="2" r:id="R575c3ba381de4a31"/>
    <x:sheet xmlns:r="http://schemas.openxmlformats.org/officeDocument/2006/relationships" name="Portfolio Budget" sheetId="3" r:id="Rcbc62b752158470a"/>
    <x:sheet xmlns:r="http://schemas.openxmlformats.org/officeDocument/2006/relationships" name="Service Matrix" sheetId="4" r:id="R2910498ff8ec4dde"/>
    <x:sheet xmlns:r="http://schemas.openxmlformats.org/officeDocument/2006/relationships" name="Service View" sheetId="5" r:id="R72bc4b1248c64d16"/>
    <x:sheet xmlns:r="http://schemas.openxmlformats.org/officeDocument/2006/relationships" name="Account Register" sheetId="6" r:id="Rdc6f7d5f8e1c46a9"/>
    <x:sheet xmlns:r="http://schemas.openxmlformats.org/officeDocument/2006/relationships" name="Common Accounts" sheetId="7" r:id="R4802c3ddee1643a7"/>
    <x:sheet xmlns:r="http://schemas.openxmlformats.org/officeDocument/2006/relationships" name="Authority" sheetId="8" r:id="R7c29379674ea4b3a"/>
    <x:sheet xmlns:r="http://schemas.openxmlformats.org/officeDocument/2006/relationships" name="Reservation Tests" sheetId="9" r:id="R95c7dcc447db4220"/>
    <x:sheet xmlns:r="http://schemas.openxmlformats.org/officeDocument/2006/relationships" name="25Y Program" sheetId="10" r:id="Rc88f92c8d35244d4"/>
    <x:sheet xmlns:r="http://schemas.openxmlformats.org/officeDocument/2006/relationships" name="Sensitivity" sheetId="11" r:id="R6d6338c3a8414a3a"/>
    <x:sheet xmlns:r="http://schemas.openxmlformats.org/officeDocument/2006/relationships" name="Audit" sheetId="12" r:id="R2d59aae2196a48cc"/>
    <x:sheet xmlns:r="http://schemas.openxmlformats.org/officeDocument/2006/relationships" name="Sources" sheetId="13" r:id="Rb88f63accfcc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;[Red](&quot;$&quot;#,##0.0);-"/>
    <x:numFmt numFmtId="201" formatCode="0.0%"/>
    <x:numFmt numFmtId="202" formatCode="#,##0.000"/>
  </x:numFmts>
  <x:fonts count="10">
    <x:font>
      <x:sz val="11"/>
      <x:name val="Carlito"/>
    </x:font>
    <x:font>
      <x:sz val="10"/>
      <x:color rgb="FF1F1F1F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10"/>
      <x:color rgb="FF008000"/>
      <x:name val="Arial"/>
    </x:font>
    <x:font>
      <x:i/>
      <x:sz val="10"/>
      <x:color rgb="FF1F1F1F"/>
      <x:name val="Arial"/>
    </x:font>
    <x:font>
      <x:b/>
      <x:i/>
      <x:sz val="10"/>
      <x:color rgb="FF1F1F1F"/>
      <x:name val="Arial"/>
    </x:font>
    <x:font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>
      <x:bottom style="medium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4472C4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3" borderId="4" xfId="0" applyNumberFormat="1" applyFont="1" applyFill="1" applyBorder="1"/>
    <x:xf numFmtId="201" fontId="7" fillId="0" borderId="0" xfId="0" applyNumberFormat="1" applyFont="1" applyFill="1" applyBorder="1"/>
    <x:xf numFmtId="201" fontId="8" fillId="3" borderId="4" xfId="0" applyNumberFormat="1" applyFont="1" applyFill="1" applyBorder="1"/>
    <x:xf numFmtId="200" fontId="1" fillId="0" borderId="0" xfId="0" applyNumberFormat="1" applyFont="1" applyFill="1" applyBorder="1"/>
    <x:xf numFmtId="200" fontId="4" fillId="3" borderId="4" xfId="0" applyNumberFormat="1" applyFont="1" applyFill="1" applyBorder="1"/>
    <x:xf numFmtId="200" fontId="9" fillId="0" borderId="0" xfId="0" applyNumberFormat="1" applyFont="1" applyFill="1" applyBorder="1"/>
    <x:xf numFmtId="200" fontId="3" fillId="2" borderId="5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8" fillId="3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07937b3d14418" /><Relationship Type="http://schemas.openxmlformats.org/officeDocument/2006/relationships/theme" Target="/xl/theme/theme1.xml" Id="Re03d1ec72ef3469a" /><Relationship Type="http://schemas.openxmlformats.org/officeDocument/2006/relationships/sharedStrings" Target="/xl/sharedStrings.xml" Id="Rf358d769b1624d0f" /><Relationship Type="http://schemas.openxmlformats.org/officeDocument/2006/relationships/worksheet" Target="/xl/worksheets/sheet1.xml" Id="Rb420212d5eae47d8" /><Relationship Type="http://schemas.openxmlformats.org/officeDocument/2006/relationships/worksheet" Target="/xl/worksheets/sheet2.xml" Id="R575c3ba381de4a31" /><Relationship Type="http://schemas.openxmlformats.org/officeDocument/2006/relationships/worksheet" Target="/xl/worksheets/sheet3.xml" Id="Rcbc62b752158470a" /><Relationship Type="http://schemas.openxmlformats.org/officeDocument/2006/relationships/worksheet" Target="/xl/worksheets/sheet4.xml" Id="R2910498ff8ec4dde" /><Relationship Type="http://schemas.openxmlformats.org/officeDocument/2006/relationships/worksheet" Target="/xl/worksheets/sheet5.xml" Id="R72bc4b1248c64d16" /><Relationship Type="http://schemas.openxmlformats.org/officeDocument/2006/relationships/worksheet" Target="/xl/worksheets/sheet6.xml" Id="Rdc6f7d5f8e1c46a9" /><Relationship Type="http://schemas.openxmlformats.org/officeDocument/2006/relationships/worksheet" Target="/xl/worksheets/sheet7.xml" Id="R4802c3ddee1643a7" /><Relationship Type="http://schemas.openxmlformats.org/officeDocument/2006/relationships/worksheet" Target="/xl/worksheets/sheet8.xml" Id="R7c29379674ea4b3a" /><Relationship Type="http://schemas.openxmlformats.org/officeDocument/2006/relationships/worksheet" Target="/xl/worksheets/sheet9.xml" Id="R95c7dcc447db4220" /><Relationship Type="http://schemas.openxmlformats.org/officeDocument/2006/relationships/worksheet" Target="/xl/worksheets/sheet10.xml" Id="Rc88f92c8d35244d4" /><Relationship Type="http://schemas.openxmlformats.org/officeDocument/2006/relationships/worksheet" Target="/xl/worksheets/sheet11.xml" Id="R6d6338c3a8414a3a" /><Relationship Type="http://schemas.openxmlformats.org/officeDocument/2006/relationships/worksheet" Target="/xl/worksheets/sheet12.xml" Id="R2d59aae2196a48cc" /><Relationship Type="http://schemas.openxmlformats.org/officeDocument/2006/relationships/worksheet" Target="/xl/worksheets/sheet13.xml" Id="Rb88f63accfcc49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ba9a86dd674687" /><Relationship Type="http://schemas.openxmlformats.org/officeDocument/2006/relationships/chart" Target="/xl/drawings/charts/chart2.xml" Id="Rc638a229141c45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Funding by appropriation class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USD B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'Decision'!$J$5:$J$9</c:f>
              <c:strCache>
                <c:ptCount val="0"/>
              </c:strCache>
            </c:strRef>
          </c:cat>
          <c:val>
            <c:numRef>
              <c:f>'Decision'!$K$5:$K$9</c:f>
              <c:numCache>
                <c:formatCode>"$"#,##0.0;[Red]("$"#,##0.0);-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Joint mission-system budgets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USD B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'Decision'!$J$29:$J$37</c:f>
              <c:strCache>
                <c:ptCount val="0"/>
              </c:strCache>
            </c:strRef>
          </c:cat>
          <c:val>
            <c:numRef>
              <c:f>'Decision'!$K$29:$K$37</c:f>
              <c:numCache>
                <c:formatCode>"$"#,##0.0;[Red]("$"#,##0.0);-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ba9a86dd674687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38a229141c45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36561a83554eb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0" hidden="0" customWidth="1"/>
    <x:col min="4" max="4" width="100" hidden="0" customWidth="1"/>
    <x:col min="10" max="10" width="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Joint mission-system appropriation and accountability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Decision field</x:v>
      </x:c>
      <x:c r="D4" s="13" t="str">
        <x:v>Pass 166 result</x:v>
      </x:c>
      <x:c r="E4" s="37"/>
      <x:c r="F4" s="37"/>
      <x:c r="G4" s="37"/>
      <x:c r="H4" s="37"/>
      <x:c r="I4" s="37"/>
      <x:c r="J4" s="37" t="str">
        <x:v>Funding jurisdiction</x:v>
      </x:c>
      <x:c r="K4" s="37" t="str">
        <x:v>USD B</x:v>
      </x:c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Verdict</x:v>
      </x:c>
      <x:c r="D5" s="38" t="str">
        <x:v>CLOSE</x:v>
      </x:c>
      <x:c r="E5" s="37"/>
      <x:c r="F5" s="37"/>
      <x:c r="G5" s="37"/>
      <x:c r="H5" s="37"/>
      <x:c r="I5" s="37"/>
      <x:c r="J5" s="37" t="str">
        <x:v>Mission systems</x:v>
      </x:c>
      <x:c r="K5" s="47" t="n">
        <x:f>Controls!$D$6*Controls!D9</x:f>
        <x:v>550</x:v>
      </x:c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Acquisition unit</x:v>
      </x:c>
      <x:c r="D6" s="38" t="str">
        <x:v>Joint mission system expressed through service-owned article families</x:v>
      </x:c>
      <x:c r="E6" s="37"/>
      <x:c r="F6" s="37"/>
      <x:c r="G6" s="37"/>
      <x:c r="H6" s="37"/>
      <x:c r="I6" s="37"/>
      <x:c r="J6" s="37" t="str">
        <x:v>Service base</x:v>
      </x:c>
      <x:c r="K6" s="47" t="n">
        <x:f>Controls!$D$6*Controls!D10</x:f>
        <x:v>150</x:v>
      </x:c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Appropriation owner</x:v>
      </x:c>
      <x:c r="D7" s="38" t="str">
        <x:v>One Department mission-system, service-base, common-capacity, sovereign-technical or failure-reserve account</x:v>
      </x:c>
      <x:c r="E7" s="37"/>
      <x:c r="F7" s="37"/>
      <x:c r="G7" s="37"/>
      <x:c r="H7" s="37"/>
      <x:c r="I7" s="37"/>
      <x:c r="J7" s="37" t="str">
        <x:v>Common capacity</x:v>
      </x:c>
      <x:c r="K7" s="47" t="n">
        <x:f>Controls!$D$6*Controls!D11</x:f>
        <x:v>150</x:v>
      </x:c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Execution rule</x:v>
      </x:c>
      <x:c r="D8" s="38" t="str">
        <x:v>Services execute work packages without becoming a second appropriation owner</x:v>
      </x:c>
      <x:c r="E8" s="37"/>
      <x:c r="F8" s="37"/>
      <x:c r="G8" s="37"/>
      <x:c r="H8" s="37"/>
      <x:c r="I8" s="37"/>
      <x:c r="J8" s="37" t="str">
        <x:v>Sovereign technical</x:v>
      </x:c>
      <x:c r="K8" s="47" t="n">
        <x:f>Controls!$D$6*Controls!D12</x:f>
        <x:v>100</x:v>
      </x:c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Capacity rule</x:v>
      </x:c>
      <x:c r="D9" s="38" t="str">
        <x:v>Common assets earn no quantity credit without a unique time-and-place reservation</x:v>
      </x:c>
      <x:c r="E9" s="37"/>
      <x:c r="F9" s="37"/>
      <x:c r="G9" s="37"/>
      <x:c r="H9" s="37"/>
      <x:c r="I9" s="37"/>
      <x:c r="J9" s="37" t="str">
        <x:v>Failure reserve</x:v>
      </x:c>
      <x:c r="K9" s="47" t="n">
        <x:f>Controls!$D$6*Controls!D13</x:f>
        <x:v>50</x:v>
      </x:c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Evidence rule</x:v>
      </x:c>
      <x:c r="D10" s="38" t="str">
        <x:v>Independent assurance may deny credit but may not redirect funds</x:v>
      </x:c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Technology envelope</x:v>
      </x:c>
      <x:c r="D11" s="38" t="str">
        <x:v>USD 1.00T over 25 years in constant 2026 dollars</x:v>
      </x:c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str">
        <x:v>Remaining open item</x:v>
      </x:c>
      <x:c r="D12" s="39" t="str">
        <x:v>National and invited-international force-sizing scenario</x:v>
      </x:c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40" t="str">
        <x:v>Resolution test</x:v>
      </x:c>
      <x:c r="D14" s="40" t="str">
        <x:v>Reversing this rule would change budget ownership, program offices, contracting, common-capacity accounting and force credit across the Department.</x:v>
      </x:c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41" t="str">
        <x:v>Authoritative</x:v>
      </x:c>
      <x:c r="D16" s="37" t="str">
        <x:v>Five mutually exclusive appropriation classes and one executor crosswalk</x:v>
      </x:c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41" t="str">
        <x:v>No double count</x:v>
      </x:c>
      <x:c r="D17" s="37" t="str">
        <x:v>Mission-office budgets and service execution are two views of the same work-package dollars</x:v>
      </x:c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41" t="str">
        <x:v>Industrial structure</x:v>
      </x:c>
      <x:c r="D18" s="37" t="str">
        <x:v>Rival mission integrators work through government-owned interfaces and service technical authorities</x:v>
      </x:c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41" t="str">
        <x:v>Physical capacity</x:v>
      </x:c>
      <x:c r="D19" s="37" t="str">
        <x:v>Title, configuration, reservation, assignment and release remain separate facts</x:v>
      </x:c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41" t="str">
        <x:v>Force admission</x:v>
      </x:c>
      <x:c r="D20" s="37" t="str">
        <x:v>Zero until the national concurrency scenario is fixed and compiled</x:v>
      </x:c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41" t="str">
        <x:v>Rendering</x:v>
      </x:c>
      <x:c r="D21" s="37" t="str">
        <x:v>Exterior form remains withheld</x:v>
      </x:c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/>
      <x:c r="D28" s="37"/>
      <x:c r="E28" s="37"/>
      <x:c r="F28" s="37"/>
      <x:c r="G28" s="37"/>
      <x:c r="H28" s="37"/>
      <x:c r="I28" s="37"/>
      <x:c r="J28" s="37" t="str">
        <x:v>Mission-system portfolio</x:v>
      </x:c>
      <x:c r="K28" s="37" t="str">
        <x:v>USD B</x:v>
      </x:c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 t="str">
        <x:v>Civil coordination, safety and public information</x:v>
      </x:c>
      <x:c r="K29" s="47" t="n">
        <x:f>'Portfolio Budget'!F5</x:f>
        <x:v>33</x:v>
      </x:c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 t="str">
        <x:v>Food, shelter and essential-goods continuity</x:v>
      </x:c>
      <x:c r="K30" s="47" t="n">
        <x:f>'Portfolio Budget'!F6</x:f>
        <x:v>44</x:v>
      </x:c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 t="str">
        <x:v>Health and medical continuity</x:v>
      </x:c>
      <x:c r="K31" s="47" t="n">
        <x:f>'Portfolio Budget'!F7</x:f>
        <x:v>71.5</x:v>
      </x:c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 t="str">
        <x:v>Energy and thermal continuity</x:v>
      </x:c>
      <x:c r="K32" s="47" t="n">
        <x:f>'Portfolio Budget'!F8</x:f>
        <x:v>71.5</x:v>
      </x:c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 t="str">
        <x:v>Communications, computation and public-service access</x:v>
      </x:c>
      <x:c r="K33" s="47" t="n">
        <x:f>'Portfolio Budget'!F9</x:f>
        <x:v>49.5</x:v>
      </x:c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 t="str">
        <x:v>Mobility, access and distribution</x:v>
      </x:c>
      <x:c r="K34" s="47" t="n">
        <x:f>'Portfolio Budget'!F10</x:f>
        <x:v>77.00000000000001</x:v>
      </x:c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 t="str">
        <x:v>Water, sanitation and hygiene</x:v>
      </x:c>
      <x:c r="K35" s="47" t="n">
        <x:f>'Portfolio Budget'!F11</x:f>
        <x:v>71.5</x:v>
      </x:c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 t="str">
        <x:v>Hazard and environmental control</x:v>
      </x:c>
      <x:c r="K36" s="47" t="n">
        <x:f>'Portfolio Budget'!F12</x:f>
        <x:v>82.5</x:v>
      </x:c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 t="str">
        <x:v>Housing, public works and economic continuity</x:v>
      </x:c>
      <x:c r="K37" s="47" t="n">
        <x:f>'Portfolio Budget'!F13</x:f>
        <x:v>49.5</x:v>
      </x:c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  <x:drawing xmlns:r="http://schemas.openxmlformats.org/officeDocument/2006/relationships" r:id="R7c36561a83554ebe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60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  <x:col min="9" max="9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Funding controls and allocation weights</x:v>
      </x:c>
      <x:c r="D2" s="2"/>
      <x:c r="E2" s="2"/>
      <x:c r="F2" s="2"/>
      <x:c r="G2" s="2"/>
      <x:c r="H2" s="2"/>
      <x:c r="I2" s="2"/>
      <x:c r="J2" s="2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1"/>
      <x:c r="B4" s="1"/>
      <x:c r="C4" s="37" t="str">
        <x:v>Case selector</x:v>
      </x:c>
      <x:c r="D4" s="42" t="n">
        <x:v>1</x:v>
      </x:c>
      <x:c r="E4" s="37" t="str">
        <x:v>Edit 1–3</x:v>
      </x:c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Selected case</x:v>
      </x:c>
      <x:c r="D5" s="43" t="str">
        <x:f>INDEX(F5:H5,1,D4)</x:f>
        <x:v>Reference</x:v>
      </x:c>
      <x:c r="E5" s="37" t="str">
        <x:v>Formula-linked</x:v>
      </x:c>
      <x:c r="F5" s="37" t="str">
        <x:v>Reference</x:v>
      </x:c>
      <x:c r="G5" s="37" t="str">
        <x:v>Service depth</x:v>
      </x:c>
      <x:c r="H5" s="37" t="str">
        <x:v>Competition reserve</x:v>
      </x:c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Total 25-year technology and proving envelope (USD B)</x:v>
      </x:c>
      <x:c r="D6" s="44" t="n">
        <x:v>1000</x:v>
      </x:c>
      <x:c r="E6" s="37" t="str">
        <x:v>Constant 2026 dollars; excludes Department capital and annual operations</x:v>
      </x:c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 ht="30" customHeight="1">
      <x:c r="A8" s="1"/>
      <x:c r="B8" s="1"/>
      <x:c r="C8" s="12" t="str">
        <x:v>Funding class</x:v>
      </x:c>
      <x:c r="D8" s="23" t="str">
        <x:v>Active share</x:v>
      </x:c>
      <x:c r="E8" s="23" t="str"/>
      <x:c r="F8" s="23" t="str">
        <x:v>Reference</x:v>
      </x:c>
      <x:c r="G8" s="23" t="str">
        <x:v>Service depth</x:v>
      </x:c>
      <x:c r="H8" s="23" t="str">
        <x:v>Competition reserve</x:v>
      </x:c>
      <x:c r="I8" s="13" t="str">
        <x:v>Account purpose</x:v>
      </x:c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Joint mission-system programs</x:v>
      </x:c>
      <x:c r="D9" s="45" t="n">
        <x:f>INDEX(F9:H9,1,$D$4)</x:f>
        <x:v>0.55</x:v>
      </x:c>
      <x:c r="E9" s="45"/>
      <x:c r="F9" s="45" t="n">
        <x:v>0.55</x:v>
      </x:c>
      <x:c r="G9" s="45" t="n">
        <x:v>0.45</x:v>
      </x:c>
      <x:c r="H9" s="45" t="n">
        <x:v>0.5</x:v>
      </x:c>
      <x:c r="I9" s="37" t="str">
        <x:v>Integrated service-chain programs</x:v>
      </x:c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Service professional and article-family base</x:v>
      </x:c>
      <x:c r="D10" s="45" t="n">
        <x:f>INDEX(F10:H10,1,$D$4)</x:f>
        <x:v>0.15</x:v>
      </x:c>
      <x:c r="E10" s="45"/>
      <x:c r="F10" s="45" t="n">
        <x:v>0.15</x:v>
      </x:c>
      <x:c r="G10" s="45" t="n">
        <x:v>0.25</x:v>
      </x:c>
      <x:c r="H10" s="45" t="n">
        <x:v>0.15</x:v>
      </x:c>
      <x:c r="I10" s="37" t="str">
        <x:v>Schools, technical corps, article lifecycle and depots</x:v>
      </x:c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National common-capacity development</x:v>
      </x:c>
      <x:c r="D11" s="45" t="n">
        <x:f>INDEX(F11:H11,1,$D$4)</x:f>
        <x:v>0.15</x:v>
      </x:c>
      <x:c r="E11" s="45"/>
      <x:c r="F11" s="45" t="n">
        <x:v>0.15</x:v>
      </x:c>
      <x:c r="G11" s="45" t="n">
        <x:v>0.15</x:v>
      </x:c>
      <x:c r="H11" s="45" t="n">
        <x:v>0.15</x:v>
      </x:c>
      <x:c r="I11" s="37" t="str">
        <x:v>Shared families with conserved reservations</x:v>
      </x:c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str">
        <x:v>Sovereign technical estate</x:v>
      </x:c>
      <x:c r="D12" s="45" t="n">
        <x:f>INDEX(F12:H12,1,$D$4)</x:f>
        <x:v>0.1</x:v>
      </x:c>
      <x:c r="E12" s="45"/>
      <x:c r="F12" s="45" t="n">
        <x:v>0.1</x:v>
      </x:c>
      <x:c r="G12" s="45" t="n">
        <x:v>0.1</x:v>
      </x:c>
      <x:c r="H12" s="45" t="n">
        <x:v>0.1</x:v>
      </x:c>
      <x:c r="I12" s="37" t="str">
        <x:v>Independent test, standards, evidence and technical rights</x:v>
      </x:c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str">
        <x:v>Competitive failure reserve</x:v>
      </x:c>
      <x:c r="D13" s="45" t="n">
        <x:f>INDEX(F13:H13,1,$D$4)</x:f>
        <x:v>0.05</x:v>
      </x:c>
      <x:c r="E13" s="45"/>
      <x:c r="F13" s="45" t="n">
        <x:v>0.05</x:v>
      </x:c>
      <x:c r="G13" s="45" t="n">
        <x:v>0.05</x:v>
      </x:c>
      <x:c r="H13" s="45" t="n">
        <x:v>0.1</x:v>
      </x:c>
      <x:c r="I13" s="37" t="str">
        <x:v>Dissimilar roots and replacement after a killed program</x:v>
      </x:c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40" t="str">
        <x:v>Total</x:v>
      </x:c>
      <x:c r="D14" s="46" t="n">
        <x:f>SUM(D9:D13)</x:f>
        <x:v>1</x:v>
      </x:c>
      <x:c r="E14" s="46"/>
      <x:c r="F14" s="46" t="n">
        <x:f>SUM(F9:F13)</x:f>
        <x:v>1</x:v>
      </x:c>
      <x:c r="G14" s="46" t="n">
        <x:f>SUM(G9:G13)</x:f>
        <x:v>1</x:v>
      </x:c>
      <x:c r="H14" s="46" t="n">
        <x:f>SUM(H9:H13)</x:f>
        <x:v>1</x:v>
      </x:c>
      <x:c r="I14" s="40" t="str">
        <x:v>Must equal 100%</x:v>
      </x:c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 ht="30" customHeight="1">
      <x:c r="A17" s="1"/>
      <x:c r="B17" s="1"/>
      <x:c r="C17" s="12" t="str">
        <x:v>Portfolio ID</x:v>
      </x:c>
      <x:c r="D17" s="23" t="str">
        <x:v>Mission-system portfolio</x:v>
      </x:c>
      <x:c r="E17" s="13" t="str">
        <x:v>Weight</x:v>
      </x:c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 t="str">
        <x:v>MS-01</x:v>
      </x:c>
      <x:c r="D18" s="37" t="str">
        <x:v>Civil coordination, safety and public information</x:v>
      </x:c>
      <x:c r="E18" s="45" t="n">
        <x:v>0.06</x:v>
      </x:c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 t="str">
        <x:v>MS-02</x:v>
      </x:c>
      <x:c r="D19" s="37" t="str">
        <x:v>Food, shelter and essential-goods continuity</x:v>
      </x:c>
      <x:c r="E19" s="45" t="n">
        <x:v>0.08</x:v>
      </x:c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 t="str">
        <x:v>MS-03</x:v>
      </x:c>
      <x:c r="D20" s="37" t="str">
        <x:v>Health and medical continuity</x:v>
      </x:c>
      <x:c r="E20" s="45" t="n">
        <x:v>0.13</x:v>
      </x:c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 t="str">
        <x:v>MS-04</x:v>
      </x:c>
      <x:c r="D21" s="37" t="str">
        <x:v>Energy and thermal continuity</x:v>
      </x:c>
      <x:c r="E21" s="45" t="n">
        <x:v>0.13</x:v>
      </x:c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 t="str">
        <x:v>MS-05</x:v>
      </x:c>
      <x:c r="D22" s="37" t="str">
        <x:v>Communications, computation and public-service access</x:v>
      </x:c>
      <x:c r="E22" s="45" t="n">
        <x:v>0.09</x:v>
      </x:c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 t="str">
        <x:v>MS-06</x:v>
      </x:c>
      <x:c r="D23" s="37" t="str">
        <x:v>Mobility, access and distribution</x:v>
      </x:c>
      <x:c r="E23" s="45" t="n">
        <x:v>0.14</x:v>
      </x:c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 t="str">
        <x:v>MS-07</x:v>
      </x:c>
      <x:c r="D24" s="37" t="str">
        <x:v>Water, sanitation and hygiene</x:v>
      </x:c>
      <x:c r="E24" s="45" t="n">
        <x:v>0.13</x:v>
      </x:c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 t="str">
        <x:v>MS-08</x:v>
      </x:c>
      <x:c r="D25" s="37" t="str">
        <x:v>Hazard and environmental control</x:v>
      </x:c>
      <x:c r="E25" s="45" t="n">
        <x:v>0.15</x:v>
      </x:c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 t="str">
        <x:v>MS-09</x:v>
      </x:c>
      <x:c r="D26" s="37" t="str">
        <x:v>Housing, public works and economic continuity</x:v>
      </x:c>
      <x:c r="E26" s="45" t="n">
        <x:v>0.09</x:v>
      </x:c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 ht="30" customHeight="1">
      <x:c r="A28" s="1"/>
      <x:c r="B28" s="1"/>
      <x:c r="C28" s="12" t="str">
        <x:v>Service ID</x:v>
      </x:c>
      <x:c r="D28" s="23" t="str">
        <x:v>Generating service</x:v>
      </x:c>
      <x:c r="E28" s="13" t="str">
        <x:v>Service-base weight</x:v>
      </x:c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 t="str">
        <x:v>S-01</x:v>
      </x:c>
      <x:c r="D29" s="37" t="str">
        <x:v>Land Engineering</x:v>
      </x:c>
      <x:c r="E29" s="45" t="n">
        <x:v>0.2</x:v>
      </x:c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 t="str">
        <x:v>S-02</x:v>
      </x:c>
      <x:c r="D30" s="37" t="str">
        <x:v>Air Response</x:v>
      </x:c>
      <x:c r="E30" s="45" t="n">
        <x:v>0.15</x:v>
      </x:c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 t="str">
        <x:v>S-03</x:v>
      </x:c>
      <x:c r="D31" s="37" t="str">
        <x:v>Maritime Response</x:v>
      </x:c>
      <x:c r="E31" s="45" t="n">
        <x:v>0.12</x:v>
      </x:c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 t="str">
        <x:v>S-04</x:v>
      </x:c>
      <x:c r="D32" s="37" t="str">
        <x:v>Infrastructure Restoration</x:v>
      </x:c>
      <x:c r="E32" s="45" t="n">
        <x:v>0.2</x:v>
      </x:c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 t="str">
        <x:v>S-05</x:v>
      </x:c>
      <x:c r="D33" s="37" t="str">
        <x:v>Health Protection</x:v>
      </x:c>
      <x:c r="E33" s="45" t="n">
        <x:v>0.15</x:v>
      </x:c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 t="str">
        <x:v>S-06</x:v>
      </x:c>
      <x:c r="D34" s="37" t="str">
        <x:v>Community Stabilization</x:v>
      </x:c>
      <x:c r="E34" s="45" t="n">
        <x:v>0.1</x:v>
      </x:c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 t="str">
        <x:v>S-07</x:v>
      </x:c>
      <x:c r="D35" s="37" t="str">
        <x:v>Civil Mobility and Continuity</x:v>
      </x:c>
      <x:c r="E35" s="45" t="n">
        <x:v>0.08</x:v>
      </x:c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 ht="30" customHeight="1">
      <x:c r="A37" s="1"/>
      <x:c r="B37" s="1"/>
      <x:c r="C37" s="12" t="str">
        <x:v>Common account</x:v>
      </x:c>
      <x:c r="D37" s="23" t="str">
        <x:v>Program</x:v>
      </x:c>
      <x:c r="E37" s="13" t="str">
        <x:v>Weight</x:v>
      </x:c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 t="str">
        <x:v>NC-01</x:v>
      </x:c>
      <x:c r="D38" s="37" t="str">
        <x:v>Strategic mobility and entry</x:v>
      </x:c>
      <x:c r="E38" s="45" t="n">
        <x:v>0.35</x:v>
      </x:c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 t="str">
        <x:v>NC-02</x:v>
      </x:c>
      <x:c r="D39" s="37" t="str">
        <x:v>Sustainment, repair and regeneration</x:v>
      </x:c>
      <x:c r="E39" s="45" t="n">
        <x:v>0.25</x:v>
      </x:c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 t="str">
        <x:v>NC-03</x:v>
      </x:c>
      <x:c r="D40" s="37" t="str">
        <x:v>Open power, fluid and data interfaces</x:v>
      </x:c>
      <x:c r="E40" s="45" t="n">
        <x:v>0.15</x:v>
      </x:c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 t="str">
        <x:v>NC-04</x:v>
      </x:c>
      <x:c r="D41" s="37" t="str">
        <x:v>Prepared receiver networks</x:v>
      </x:c>
      <x:c r="E41" s="45" t="n">
        <x:v>0.15</x:v>
      </x:c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 t="str">
        <x:v>NC-05</x:v>
      </x:c>
      <x:c r="D42" s="37" t="str">
        <x:v>National reserve and release system</x:v>
      </x:c>
      <x:c r="E42" s="45" t="n">
        <x:v>0.1</x:v>
      </x:c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 ht="30" customHeight="1">
      <x:c r="A44" s="1"/>
      <x:c r="B44" s="1"/>
      <x:c r="C44" s="12" t="str">
        <x:v>Technical account</x:v>
      </x:c>
      <x:c r="D44" s="23" t="str">
        <x:v>Program</x:v>
      </x:c>
      <x:c r="E44" s="13" t="str">
        <x:v>Weight</x:v>
      </x:c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 t="str">
        <x:v>ST-01</x:v>
      </x:c>
      <x:c r="D45" s="37" t="str">
        <x:v>Independent test and evaluation</x:v>
      </x:c>
      <x:c r="E45" s="45" t="n">
        <x:v>0.35</x:v>
      </x:c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 t="str">
        <x:v>ST-02</x:v>
      </x:c>
      <x:c r="D46" s="37" t="str">
        <x:v>Public design standards and technical data</x:v>
      </x:c>
      <x:c r="E46" s="45" t="n">
        <x:v>0.2</x:v>
      </x:c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 t="str">
        <x:v>ST-03</x:v>
      </x:c>
      <x:c r="D47" s="37" t="str">
        <x:v>Evidence, configuration and causal data</x:v>
      </x:c>
      <x:c r="E47" s="45" t="n">
        <x:v>0.15</x:v>
      </x:c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 t="str">
        <x:v>ST-04</x:v>
      </x:c>
      <x:c r="D48" s="37" t="str">
        <x:v>Rights, safety and public accountability</x:v>
      </x:c>
      <x:c r="E48" s="45" t="n">
        <x:v>0.1</x:v>
      </x:c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 t="str">
        <x:v>ST-05</x:v>
      </x:c>
      <x:c r="D49" s="37" t="str">
        <x:v>Industrial mobilization and second sources</x:v>
      </x:c>
      <x:c r="E49" s="45" t="n">
        <x:v>0.2</x:v>
      </x:c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dataValidations count="1">
    <x:dataValidation type="whole" operator="between" sqref="D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4" hidden="0" customWidth="1"/>
    <x:col min="4" max="4" width="56" hidden="0" customWidth="1"/>
    <x:col min="5" max="5" width="14" hidden="0" customWidth="1"/>
    <x:col min="6" max="6" width="24" hidden="0" customWidth="1"/>
    <x:col min="7" max="7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Joint mission-system program budgets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Portfolio ID</x:v>
      </x:c>
      <x:c r="D4" s="23" t="str">
        <x:v>Mission-system portfolio</x:v>
      </x:c>
      <x:c r="E4" s="23" t="str">
        <x:v>Weight</x:v>
      </x:c>
      <x:c r="F4" s="23" t="str">
        <x:v>25-year budget (USD B)</x:v>
      </x:c>
      <x:c r="G4" s="13" t="str">
        <x:v>Appropriation owner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MS-01</x:v>
      </x:c>
      <x:c r="D5" s="37" t="str">
        <x:v>Civil coordination, safety and public information</x:v>
      </x:c>
      <x:c r="E5" s="45" t="n">
        <x:f>Controls!E18</x:f>
        <x:v>0.06</x:v>
      </x:c>
      <x:c r="F5" s="47" t="n">
        <x:f>Controls!$D$6*Controls!$D$9*E5</x:f>
        <x:v>33</x:v>
      </x:c>
      <x:c r="G5" s="37" t="str">
        <x:v>Civil coordination, safety and public information Mission System Office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MS-02</x:v>
      </x:c>
      <x:c r="D6" s="37" t="str">
        <x:v>Food, shelter and essential-goods continuity</x:v>
      </x:c>
      <x:c r="E6" s="45" t="n">
        <x:f>Controls!E19</x:f>
        <x:v>0.08</x:v>
      </x:c>
      <x:c r="F6" s="47" t="n">
        <x:f>Controls!$D$6*Controls!$D$9*E6</x:f>
        <x:v>44</x:v>
      </x:c>
      <x:c r="G6" s="37" t="str">
        <x:v>Food, shelter and essential-goods continuity Mission System Office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MS-03</x:v>
      </x:c>
      <x:c r="D7" s="37" t="str">
        <x:v>Health and medical continuity</x:v>
      </x:c>
      <x:c r="E7" s="45" t="n">
        <x:f>Controls!E20</x:f>
        <x:v>0.13</x:v>
      </x:c>
      <x:c r="F7" s="47" t="n">
        <x:f>Controls!$D$6*Controls!$D$9*E7</x:f>
        <x:v>71.5</x:v>
      </x:c>
      <x:c r="G7" s="37" t="str">
        <x:v>Health and medical continuity Mission System Office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MS-04</x:v>
      </x:c>
      <x:c r="D8" s="37" t="str">
        <x:v>Energy and thermal continuity</x:v>
      </x:c>
      <x:c r="E8" s="45" t="n">
        <x:f>Controls!E21</x:f>
        <x:v>0.13</x:v>
      </x:c>
      <x:c r="F8" s="47" t="n">
        <x:f>Controls!$D$6*Controls!$D$9*E8</x:f>
        <x:v>71.5</x:v>
      </x:c>
      <x:c r="G8" s="37" t="str">
        <x:v>Energy and thermal continuity Mission System Office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MS-05</x:v>
      </x:c>
      <x:c r="D9" s="37" t="str">
        <x:v>Communications, computation and public-service access</x:v>
      </x:c>
      <x:c r="E9" s="45" t="n">
        <x:f>Controls!E22</x:f>
        <x:v>0.09</x:v>
      </x:c>
      <x:c r="F9" s="47" t="n">
        <x:f>Controls!$D$6*Controls!$D$9*E9</x:f>
        <x:v>49.5</x:v>
      </x:c>
      <x:c r="G9" s="37" t="str">
        <x:v>Communications, computation and public-service access Mission System Office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MS-06</x:v>
      </x:c>
      <x:c r="D10" s="37" t="str">
        <x:v>Mobility, access and distribution</x:v>
      </x:c>
      <x:c r="E10" s="45" t="n">
        <x:f>Controls!E23</x:f>
        <x:v>0.14</x:v>
      </x:c>
      <x:c r="F10" s="47" t="n">
        <x:f>Controls!$D$6*Controls!$D$9*E10</x:f>
        <x:v>77.00000000000001</x:v>
      </x:c>
      <x:c r="G10" s="37" t="str">
        <x:v>Mobility, access and distribution Mission System Office</x:v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MS-07</x:v>
      </x:c>
      <x:c r="D11" s="37" t="str">
        <x:v>Water, sanitation and hygiene</x:v>
      </x:c>
      <x:c r="E11" s="45" t="n">
        <x:f>Controls!E24</x:f>
        <x:v>0.13</x:v>
      </x:c>
      <x:c r="F11" s="47" t="n">
        <x:f>Controls!$D$6*Controls!$D$9*E11</x:f>
        <x:v>71.5</x:v>
      </x:c>
      <x:c r="G11" s="37" t="str">
        <x:v>Water, sanitation and hygiene Mission System Office</x:v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str">
        <x:v>MS-08</x:v>
      </x:c>
      <x:c r="D12" s="37" t="str">
        <x:v>Hazard and environmental control</x:v>
      </x:c>
      <x:c r="E12" s="45" t="n">
        <x:f>Controls!E25</x:f>
        <x:v>0.15</x:v>
      </x:c>
      <x:c r="F12" s="47" t="n">
        <x:f>Controls!$D$6*Controls!$D$9*E12</x:f>
        <x:v>82.5</x:v>
      </x:c>
      <x:c r="G12" s="37" t="str">
        <x:v>Hazard and environmental control Mission System Office</x:v>
      </x:c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str">
        <x:v>MS-09</x:v>
      </x:c>
      <x:c r="D13" s="37" t="str">
        <x:v>Housing, public works and economic continuity</x:v>
      </x:c>
      <x:c r="E13" s="45" t="n">
        <x:f>Controls!E26</x:f>
        <x:v>0.09</x:v>
      </x:c>
      <x:c r="F13" s="47" t="n">
        <x:f>Controls!$D$6*Controls!$D$9*E13</x:f>
        <x:v>49.5</x:v>
      </x:c>
      <x:c r="G13" s="37" t="str">
        <x:v>Housing, public works and economic continuity Mission System Office</x:v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40" t="str">
        <x:v>Total</x:v>
      </x:c>
      <x:c r="D14" s="40" t="str"/>
      <x:c r="E14" s="46" t="n">
        <x:f>SUM(E5:E13)</x:f>
        <x:v>1</x:v>
      </x:c>
      <x:c r="F14" s="48" t="n">
        <x:f>SUM(F5:F13)</x:f>
        <x:v>550</x:v>
      </x:c>
      <x:c r="G14" s="40" t="str">
        <x:v>One appropriation view</x:v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4" hidden="0" customWidth="1"/>
    <x:col min="4" max="4" width="18" hidden="0" customWidth="1"/>
    <x:col min="5" max="5" width="17" hidden="0" customWidth="1"/>
    <x:col min="6" max="6" width="19" hidden="0" customWidth="1"/>
    <x:col min="7" max="7" width="24" hidden="0" customWidth="1"/>
    <x:col min="8" max="8" width="18" hidden="0" customWidth="1"/>
    <x:col min="9" max="9" width="23" hidden="0" customWidth="1"/>
    <x:col min="10" max="10" width="25" hidden="0" customWidth="1"/>
    <x:col min="11" max="11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Mission work-package execution crosswalk</x:v>
      </x:c>
      <x:c r="D2" s="2"/>
      <x:c r="E2" s="2"/>
      <x:c r="F2" s="2"/>
      <x:c r="G2" s="2"/>
      <x:c r="H2" s="2"/>
      <x:c r="I2" s="2"/>
      <x:c r="J2" s="2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Mission-system portfolio</x:v>
      </x:c>
      <x:c r="D4" s="23" t="str">
        <x:v>Land Engineering</x:v>
      </x:c>
      <x:c r="E4" s="23" t="str">
        <x:v>Air Response</x:v>
      </x:c>
      <x:c r="F4" s="23" t="str">
        <x:v>Maritime Response</x:v>
      </x:c>
      <x:c r="G4" s="23" t="str">
        <x:v>Infrastructure Restoration</x:v>
      </x:c>
      <x:c r="H4" s="23" t="str">
        <x:v>Health Protection</x:v>
      </x:c>
      <x:c r="I4" s="23" t="str">
        <x:v>Community Stabilization</x:v>
      </x:c>
      <x:c r="J4" s="23" t="str">
        <x:v>Civil Mobility and Continuity</x:v>
      </x:c>
      <x:c r="K4" s="13" t="str">
        <x:v>Row total</x:v>
      </x:c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Civil coordination, safety and public information</x:v>
      </x:c>
      <x:c r="D5" s="45" t="n">
        <x:v>0.05</x:v>
      </x:c>
      <x:c r="E5" s="45" t="n">
        <x:v>0.05</x:v>
      </x:c>
      <x:c r="F5" s="45" t="n">
        <x:v>0.03</x:v>
      </x:c>
      <x:c r="G5" s="45" t="n">
        <x:v>0.12</x:v>
      </x:c>
      <x:c r="H5" s="45" t="n">
        <x:v>0.08</x:v>
      </x:c>
      <x:c r="I5" s="45" t="n">
        <x:v>0.52</x:v>
      </x:c>
      <x:c r="J5" s="45" t="n">
        <x:v>0.15</x:v>
      </x:c>
      <x:c r="K5" s="45" t="n">
        <x:f>SUM(D5:J5)</x:f>
        <x:v>1</x:v>
      </x:c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Food, shelter and essential-goods continuity</x:v>
      </x:c>
      <x:c r="D6" s="45" t="n">
        <x:v>0.1</x:v>
      </x:c>
      <x:c r="E6" s="45" t="n">
        <x:v>0.08</x:v>
      </x:c>
      <x:c r="F6" s="45" t="n">
        <x:v>0.08</x:v>
      </x:c>
      <x:c r="G6" s="45" t="n">
        <x:v>0.2</x:v>
      </x:c>
      <x:c r="H6" s="45" t="n">
        <x:v>0.08</x:v>
      </x:c>
      <x:c r="I6" s="45" t="n">
        <x:v>0.35</x:v>
      </x:c>
      <x:c r="J6" s="45" t="n">
        <x:v>0.11</x:v>
      </x:c>
      <x:c r="K6" s="45" t="n">
        <x:f>SUM(D6:J6)</x:f>
        <x:v>1</x:v>
      </x:c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Health and medical continuity</x:v>
      </x:c>
      <x:c r="D7" s="45" t="n">
        <x:v>0.04</x:v>
      </x:c>
      <x:c r="E7" s="45" t="n">
        <x:v>0.08</x:v>
      </x:c>
      <x:c r="F7" s="45" t="n">
        <x:v>0.06</x:v>
      </x:c>
      <x:c r="G7" s="45" t="n">
        <x:v>0.22</x:v>
      </x:c>
      <x:c r="H7" s="45" t="n">
        <x:v>0.4</x:v>
      </x:c>
      <x:c r="I7" s="45" t="n">
        <x:v>0.08</x:v>
      </x:c>
      <x:c r="J7" s="45" t="n">
        <x:v>0.12</x:v>
      </x:c>
      <x:c r="K7" s="45" t="n">
        <x:f>SUM(D7:J7)</x:f>
        <x:v>1</x:v>
      </x:c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Energy and thermal continuity</x:v>
      </x:c>
      <x:c r="D8" s="45" t="n">
        <x:v>0.1</x:v>
      </x:c>
      <x:c r="E8" s="45" t="n">
        <x:v>0.05</x:v>
      </x:c>
      <x:c r="F8" s="45" t="n">
        <x:v>0.15</x:v>
      </x:c>
      <x:c r="G8" s="45" t="n">
        <x:v>0.55</x:v>
      </x:c>
      <x:c r="H8" s="45" t="n">
        <x:v>0.02</x:v>
      </x:c>
      <x:c r="I8" s="45" t="n">
        <x:v>0.03</x:v>
      </x:c>
      <x:c r="J8" s="45" t="n">
        <x:v>0.1</x:v>
      </x:c>
      <x:c r="K8" s="45" t="n">
        <x:f>SUM(D8:J8)</x:f>
        <x:v>1.0000000000000002</x:v>
      </x:c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Communications, computation and public-service access</x:v>
      </x:c>
      <x:c r="D9" s="45" t="n">
        <x:v>0.05</x:v>
      </x:c>
      <x:c r="E9" s="45" t="n">
        <x:v>0.15</x:v>
      </x:c>
      <x:c r="F9" s="45" t="n">
        <x:v>0.05</x:v>
      </x:c>
      <x:c r="G9" s="45" t="n">
        <x:v>0.45</x:v>
      </x:c>
      <x:c r="H9" s="45" t="n">
        <x:v>0.03</x:v>
      </x:c>
      <x:c r="I9" s="45" t="n">
        <x:v>0.12</x:v>
      </x:c>
      <x:c r="J9" s="45" t="n">
        <x:v>0.15</x:v>
      </x:c>
      <x:c r="K9" s="45" t="n">
        <x:f>SUM(D9:J9)</x:f>
        <x:v>1</x:v>
      </x:c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Mobility, access and distribution</x:v>
      </x:c>
      <x:c r="D10" s="45" t="n">
        <x:v>0.15</x:v>
      </x:c>
      <x:c r="E10" s="45" t="n">
        <x:v>0.18</x:v>
      </x:c>
      <x:c r="F10" s="45" t="n">
        <x:v>0.17</x:v>
      </x:c>
      <x:c r="G10" s="45" t="n">
        <x:v>0.08</x:v>
      </x:c>
      <x:c r="H10" s="45" t="n">
        <x:v>0.05</x:v>
      </x:c>
      <x:c r="I10" s="45" t="n">
        <x:v>0.07</x:v>
      </x:c>
      <x:c r="J10" s="45" t="n">
        <x:v>0.3</x:v>
      </x:c>
      <x:c r="K10" s="45" t="n">
        <x:f>SUM(D10:J10)</x:f>
        <x:v>1</x:v>
      </x:c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Water, sanitation and hygiene</x:v>
      </x:c>
      <x:c r="D11" s="45" t="n">
        <x:v>0.15</x:v>
      </x:c>
      <x:c r="E11" s="45" t="n">
        <x:v>0.03</x:v>
      </x:c>
      <x:c r="F11" s="45" t="n">
        <x:v>0.2</x:v>
      </x:c>
      <x:c r="G11" s="45" t="n">
        <x:v>0.45</x:v>
      </x:c>
      <x:c r="H11" s="45" t="n">
        <x:v>0.07</x:v>
      </x:c>
      <x:c r="I11" s="45" t="n">
        <x:v>0.05</x:v>
      </x:c>
      <x:c r="J11" s="45" t="n">
        <x:v>0.05</x:v>
      </x:c>
      <x:c r="K11" s="45" t="n">
        <x:f>SUM(D11:J11)</x:f>
        <x:v>1.0000000000000002</x:v>
      </x:c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str">
        <x:v>Hazard and environmental control</x:v>
      </x:c>
      <x:c r="D12" s="45" t="n">
        <x:v>0.3</x:v>
      </x:c>
      <x:c r="E12" s="45" t="n">
        <x:v>0.25</x:v>
      </x:c>
      <x:c r="F12" s="45" t="n">
        <x:v>0.15</x:v>
      </x:c>
      <x:c r="G12" s="45" t="n">
        <x:v>0.15</x:v>
      </x:c>
      <x:c r="H12" s="45" t="n">
        <x:v>0.05</x:v>
      </x:c>
      <x:c r="I12" s="45" t="n">
        <x:v>0.05</x:v>
      </x:c>
      <x:c r="J12" s="45" t="n">
        <x:v>0.05</x:v>
      </x:c>
      <x:c r="K12" s="45" t="n">
        <x:f>SUM(D12:J12)</x:f>
        <x:v>1.0000000000000002</x:v>
      </x:c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str">
        <x:v>Housing, public works and economic continuity</x:v>
      </x:c>
      <x:c r="D13" s="45" t="n">
        <x:v>0.35</x:v>
      </x:c>
      <x:c r="E13" s="45" t="n">
        <x:v>0.02</x:v>
      </x:c>
      <x:c r="F13" s="45" t="n">
        <x:v>0.03</x:v>
      </x:c>
      <x:c r="G13" s="45" t="n">
        <x:v>0.3</x:v>
      </x:c>
      <x:c r="H13" s="45" t="n">
        <x:v>0.03</x:v>
      </x:c>
      <x:c r="I13" s="45" t="n">
        <x:v>0.22</x:v>
      </x:c>
      <x:c r="J13" s="45" t="n">
        <x:v>0.05</x:v>
      </x:c>
      <x:c r="K13" s="45" t="n">
        <x:f>SUM(D13:J13)</x:f>
        <x:v>1</x:v>
      </x:c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 t="str">
        <x:v>Each row must equal 100%</x:v>
      </x:c>
      <x:c r="D14" s="45"/>
      <x:c r="E14" s="45"/>
      <x:c r="F14" s="45"/>
      <x:c r="G14" s="45"/>
      <x:c r="H14" s="45"/>
      <x:c r="I14" s="45"/>
      <x:c r="J14" s="45"/>
      <x:c r="K14" s="45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 ht="30" customHeight="1">
      <x:c r="A18" s="1"/>
      <x:c r="B18" s="1"/>
      <x:c r="C18" s="12" t="str">
        <x:v>Mission-system portfolio</x:v>
      </x:c>
      <x:c r="D18" s="23" t="str">
        <x:v>Land Engineering (USD B)</x:v>
      </x:c>
      <x:c r="E18" s="23" t="str">
        <x:v>Air Response (USD B)</x:v>
      </x:c>
      <x:c r="F18" s="23" t="str">
        <x:v>Maritime Response (USD B)</x:v>
      </x:c>
      <x:c r="G18" s="23" t="str">
        <x:v>Infrastructure Restoration (USD B)</x:v>
      </x:c>
      <x:c r="H18" s="23" t="str">
        <x:v>Health Protection (USD B)</x:v>
      </x:c>
      <x:c r="I18" s="23" t="str">
        <x:v>Community Stabilization (USD B)</x:v>
      </x:c>
      <x:c r="J18" s="13" t="str">
        <x:v>Civil Mobility and Continuity (USD B)</x:v>
      </x:c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 t="str">
        <x:v>Civil coordination, safety and public information</x:v>
      </x:c>
      <x:c r="D19" s="49" t="n">
        <x:f>'Portfolio Budget'!$F$5*D5</x:f>
        <x:v>1.6500000000000001</x:v>
      </x:c>
      <x:c r="E19" s="49" t="n">
        <x:f>'Portfolio Budget'!$F$5*E5</x:f>
        <x:v>1.6500000000000001</x:v>
      </x:c>
      <x:c r="F19" s="49" t="n">
        <x:f>'Portfolio Budget'!$F$5*F5</x:f>
        <x:v>0.99</x:v>
      </x:c>
      <x:c r="G19" s="49" t="n">
        <x:f>'Portfolio Budget'!$F$5*G5</x:f>
        <x:v>3.96</x:v>
      </x:c>
      <x:c r="H19" s="49" t="n">
        <x:f>'Portfolio Budget'!$F$5*H5</x:f>
        <x:v>2.64</x:v>
      </x:c>
      <x:c r="I19" s="49" t="n">
        <x:f>'Portfolio Budget'!$F$5*I5</x:f>
        <x:v>17.16</x:v>
      </x:c>
      <x:c r="J19" s="49" t="n">
        <x:f>'Portfolio Budget'!$F$5*J5</x:f>
        <x:v>4.95</x:v>
      </x:c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 t="str">
        <x:v>Food, shelter and essential-goods continuity</x:v>
      </x:c>
      <x:c r="D20" s="49" t="n">
        <x:f>'Portfolio Budget'!$F$6*D6</x:f>
        <x:v>4.4</x:v>
      </x:c>
      <x:c r="E20" s="49" t="n">
        <x:f>'Portfolio Budget'!$F$6*E6</x:f>
        <x:v>3.52</x:v>
      </x:c>
      <x:c r="F20" s="49" t="n">
        <x:f>'Portfolio Budget'!$F$6*F6</x:f>
        <x:v>3.52</x:v>
      </x:c>
      <x:c r="G20" s="49" t="n">
        <x:f>'Portfolio Budget'!$F$6*G6</x:f>
        <x:v>8.8</x:v>
      </x:c>
      <x:c r="H20" s="49" t="n">
        <x:f>'Portfolio Budget'!$F$6*H6</x:f>
        <x:v>3.52</x:v>
      </x:c>
      <x:c r="I20" s="49" t="n">
        <x:f>'Portfolio Budget'!$F$6*I6</x:f>
        <x:v>15.399999999999999</x:v>
      </x:c>
      <x:c r="J20" s="49" t="n">
        <x:f>'Portfolio Budget'!$F$6*J6</x:f>
        <x:v>4.84</x:v>
      </x:c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 t="str">
        <x:v>Health and medical continuity</x:v>
      </x:c>
      <x:c r="D21" s="49" t="n">
        <x:f>'Portfolio Budget'!$F$7*D7</x:f>
        <x:v>2.86</x:v>
      </x:c>
      <x:c r="E21" s="49" t="n">
        <x:f>'Portfolio Budget'!$F$7*E7</x:f>
        <x:v>5.72</x:v>
      </x:c>
      <x:c r="F21" s="49" t="n">
        <x:f>'Portfolio Budget'!$F$7*F7</x:f>
        <x:v>4.29</x:v>
      </x:c>
      <x:c r="G21" s="49" t="n">
        <x:f>'Portfolio Budget'!$F$7*G7</x:f>
        <x:v>15.73</x:v>
      </x:c>
      <x:c r="H21" s="49" t="n">
        <x:f>'Portfolio Budget'!$F$7*H7</x:f>
        <x:v>28.6</x:v>
      </x:c>
      <x:c r="I21" s="49" t="n">
        <x:f>'Portfolio Budget'!$F$7*I7</x:f>
        <x:v>5.72</x:v>
      </x:c>
      <x:c r="J21" s="49" t="n">
        <x:f>'Portfolio Budget'!$F$7*J7</x:f>
        <x:v>8.58</x:v>
      </x:c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 t="str">
        <x:v>Energy and thermal continuity</x:v>
      </x:c>
      <x:c r="D22" s="49" t="n">
        <x:f>'Portfolio Budget'!$F$8*D8</x:f>
        <x:v>7.15</x:v>
      </x:c>
      <x:c r="E22" s="49" t="n">
        <x:f>'Portfolio Budget'!$F$8*E8</x:f>
        <x:v>3.575</x:v>
      </x:c>
      <x:c r="F22" s="49" t="n">
        <x:f>'Portfolio Budget'!$F$8*F8</x:f>
        <x:v>10.725</x:v>
      </x:c>
      <x:c r="G22" s="49" t="n">
        <x:f>'Portfolio Budget'!$F$8*G8</x:f>
        <x:v>39.325</x:v>
      </x:c>
      <x:c r="H22" s="49" t="n">
        <x:f>'Portfolio Budget'!$F$8*H8</x:f>
        <x:v>1.43</x:v>
      </x:c>
      <x:c r="I22" s="49" t="n">
        <x:f>'Portfolio Budget'!$F$8*I8</x:f>
        <x:v>2.145</x:v>
      </x:c>
      <x:c r="J22" s="49" t="n">
        <x:f>'Portfolio Budget'!$F$8*J8</x:f>
        <x:v>7.15</x:v>
      </x:c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 t="str">
        <x:v>Communications, computation and public-service access</x:v>
      </x:c>
      <x:c r="D23" s="49" t="n">
        <x:f>'Portfolio Budget'!$F$9*D9</x:f>
        <x:v>2.475</x:v>
      </x:c>
      <x:c r="E23" s="49" t="n">
        <x:f>'Portfolio Budget'!$F$9*E9</x:f>
        <x:v>7.425</x:v>
      </x:c>
      <x:c r="F23" s="49" t="n">
        <x:f>'Portfolio Budget'!$F$9*F9</x:f>
        <x:v>2.475</x:v>
      </x:c>
      <x:c r="G23" s="49" t="n">
        <x:f>'Portfolio Budget'!$F$9*G9</x:f>
        <x:v>22.275000000000002</x:v>
      </x:c>
      <x:c r="H23" s="49" t="n">
        <x:f>'Portfolio Budget'!$F$9*H9</x:f>
        <x:v>1.4849999999999999</x:v>
      </x:c>
      <x:c r="I23" s="49" t="n">
        <x:f>'Portfolio Budget'!$F$9*I9</x:f>
        <x:v>5.9399999999999995</x:v>
      </x:c>
      <x:c r="J23" s="49" t="n">
        <x:f>'Portfolio Budget'!$F$9*J9</x:f>
        <x:v>7.425</x:v>
      </x:c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 t="str">
        <x:v>Mobility, access and distribution</x:v>
      </x:c>
      <x:c r="D24" s="49" t="n">
        <x:f>'Portfolio Budget'!$F$10*D10</x:f>
        <x:v>11.550000000000002</x:v>
      </x:c>
      <x:c r="E24" s="49" t="n">
        <x:f>'Portfolio Budget'!$F$10*E10</x:f>
        <x:v>13.860000000000001</x:v>
      </x:c>
      <x:c r="F24" s="49" t="n">
        <x:f>'Portfolio Budget'!$F$10*F10</x:f>
        <x:v>13.090000000000003</x:v>
      </x:c>
      <x:c r="G24" s="49" t="n">
        <x:f>'Portfolio Budget'!$F$10*G10</x:f>
        <x:v>6.160000000000001</x:v>
      </x:c>
      <x:c r="H24" s="49" t="n">
        <x:f>'Portfolio Budget'!$F$10*H10</x:f>
        <x:v>3.850000000000001</x:v>
      </x:c>
      <x:c r="I24" s="49" t="n">
        <x:f>'Portfolio Budget'!$F$10*I10</x:f>
        <x:v>5.3900000000000015</x:v>
      </x:c>
      <x:c r="J24" s="49" t="n">
        <x:f>'Portfolio Budget'!$F$10*J10</x:f>
        <x:v>23.100000000000005</x:v>
      </x:c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 t="str">
        <x:v>Water, sanitation and hygiene</x:v>
      </x:c>
      <x:c r="D25" s="49" t="n">
        <x:f>'Portfolio Budget'!$F$11*D11</x:f>
        <x:v>10.725</x:v>
      </x:c>
      <x:c r="E25" s="49" t="n">
        <x:f>'Portfolio Budget'!$F$11*E11</x:f>
        <x:v>2.145</x:v>
      </x:c>
      <x:c r="F25" s="49" t="n">
        <x:f>'Portfolio Budget'!$F$11*F11</x:f>
        <x:v>14.3</x:v>
      </x:c>
      <x:c r="G25" s="49" t="n">
        <x:f>'Portfolio Budget'!$F$11*G11</x:f>
        <x:v>32.175000000000004</x:v>
      </x:c>
      <x:c r="H25" s="49" t="n">
        <x:f>'Portfolio Budget'!$F$11*H11</x:f>
        <x:v>5.005000000000001</x:v>
      </x:c>
      <x:c r="I25" s="49" t="n">
        <x:f>'Portfolio Budget'!$F$11*I11</x:f>
        <x:v>3.575</x:v>
      </x:c>
      <x:c r="J25" s="49" t="n">
        <x:f>'Portfolio Budget'!$F$11*J11</x:f>
        <x:v>3.575</x:v>
      </x:c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 t="str">
        <x:v>Hazard and environmental control</x:v>
      </x:c>
      <x:c r="D26" s="49" t="n">
        <x:f>'Portfolio Budget'!$F$12*D12</x:f>
        <x:v>24.75</x:v>
      </x:c>
      <x:c r="E26" s="49" t="n">
        <x:f>'Portfolio Budget'!$F$12*E12</x:f>
        <x:v>20.625</x:v>
      </x:c>
      <x:c r="F26" s="49" t="n">
        <x:f>'Portfolio Budget'!$F$12*F12</x:f>
        <x:v>12.375</x:v>
      </x:c>
      <x:c r="G26" s="49" t="n">
        <x:f>'Portfolio Budget'!$F$12*G12</x:f>
        <x:v>12.375</x:v>
      </x:c>
      <x:c r="H26" s="49" t="n">
        <x:f>'Portfolio Budget'!$F$12*H12</x:f>
        <x:v>4.125</x:v>
      </x:c>
      <x:c r="I26" s="49" t="n">
        <x:f>'Portfolio Budget'!$F$12*I12</x:f>
        <x:v>4.125</x:v>
      </x:c>
      <x:c r="J26" s="49" t="n">
        <x:f>'Portfolio Budget'!$F$12*J12</x:f>
        <x:v>4.125</x:v>
      </x:c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 t="str">
        <x:v>Housing, public works and economic continuity</x:v>
      </x:c>
      <x:c r="D27" s="49" t="n">
        <x:f>'Portfolio Budget'!$F$13*D13</x:f>
        <x:v>17.325</x:v>
      </x:c>
      <x:c r="E27" s="49" t="n">
        <x:f>'Portfolio Budget'!$F$13*E13</x:f>
        <x:v>0.99</x:v>
      </x:c>
      <x:c r="F27" s="49" t="n">
        <x:f>'Portfolio Budget'!$F$13*F13</x:f>
        <x:v>1.4849999999999999</x:v>
      </x:c>
      <x:c r="G27" s="49" t="n">
        <x:f>'Portfolio Budget'!$F$13*G13</x:f>
        <x:v>14.85</x:v>
      </x:c>
      <x:c r="H27" s="49" t="n">
        <x:f>'Portfolio Budget'!$F$13*H13</x:f>
        <x:v>1.4849999999999999</x:v>
      </x:c>
      <x:c r="I27" s="49" t="n">
        <x:f>'Portfolio Budget'!$F$13*I13</x:f>
        <x:v>10.89</x:v>
      </x:c>
      <x:c r="J27" s="49" t="n">
        <x:f>'Portfolio Budget'!$F$13*J13</x:f>
        <x:v>2.475</x:v>
      </x:c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40" t="str">
        <x:v>Total mission work packages</x:v>
      </x:c>
      <x:c r="D28" s="48" t="n">
        <x:f>SUM(D19:D27)</x:f>
        <x:v>82.885</x:v>
      </x:c>
      <x:c r="E28" s="48" t="n">
        <x:f>SUM(E19:E27)</x:f>
        <x:v>59.510000000000005</x:v>
      </x:c>
      <x:c r="F28" s="48" t="n">
        <x:f>SUM(F19:F27)</x:f>
        <x:v>63.25</x:v>
      </x:c>
      <x:c r="G28" s="48" t="n">
        <x:f>SUM(G19:G27)</x:f>
        <x:v>155.65</x:v>
      </x:c>
      <x:c r="H28" s="48" t="n">
        <x:f>SUM(H19:H27)</x:f>
        <x:v>52.14000000000001</x:v>
      </x:c>
      <x:c r="I28" s="48" t="n">
        <x:f>SUM(I19:I27)</x:f>
        <x:v>70.345</x:v>
      </x:c>
      <x:c r="J28" s="48" t="n">
        <x:f>SUM(J19:J27)</x:f>
        <x:v>66.22</x:v>
      </x:c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8" hidden="0" customWidth="1"/>
    <x:col min="4" max="4" width="48" hidden="0" customWidth="1"/>
    <x:col min="5" max="5" width="28" hidden="0" customWidth="1"/>
    <x:col min="6" max="6" width="30" hidden="0" customWidth="1"/>
    <x:col min="7" max="7" width="30" hidden="0" customWidth="1"/>
    <x:col min="8" max="8" width="2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Generating-service funding view</x:v>
      </x:c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Service ID</x:v>
      </x:c>
      <x:c r="D4" s="23" t="str">
        <x:v>Generating service</x:v>
      </x:c>
      <x:c r="E4" s="23" t="str">
        <x:v>Mission work packages (USD B)</x:v>
      </x:c>
      <x:c r="F4" s="23" t="str">
        <x:v>Service-base appropriation (USD B)</x:v>
      </x:c>
      <x:c r="G4" s="23" t="str">
        <x:v>Total cash administered (USD B)</x:v>
      </x:c>
      <x:c r="H4" s="13" t="str">
        <x:v>Share of service-administered cash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S-01</x:v>
      </x:c>
      <x:c r="D5" s="37" t="str">
        <x:v>Land Engineering</x:v>
      </x:c>
      <x:c r="E5" s="49" t="n">
        <x:f>'Service Matrix'!D$28</x:f>
        <x:v>82.885</x:v>
      </x:c>
      <x:c r="F5" s="49" t="n">
        <x:f>Controls!$D$6*Controls!$D$10*Controls!E29</x:f>
        <x:v>30</x:v>
      </x:c>
      <x:c r="G5" s="47" t="n">
        <x:f>E5+F5</x:f>
        <x:v>112.885</x:v>
      </x:c>
      <x:c r="H5" s="45" t="n">
        <x:f>G5/$G$12</x:f>
        <x:v>0.16126428571428572</x:v>
      </x:c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S-02</x:v>
      </x:c>
      <x:c r="D6" s="37" t="str">
        <x:v>Air Response</x:v>
      </x:c>
      <x:c r="E6" s="49" t="n">
        <x:f>'Service Matrix'!E$28</x:f>
        <x:v>59.510000000000005</x:v>
      </x:c>
      <x:c r="F6" s="49" t="n">
        <x:f>Controls!$D$6*Controls!$D$10*Controls!E30</x:f>
        <x:v>22.5</x:v>
      </x:c>
      <x:c r="G6" s="47" t="n">
        <x:f>E6+F6</x:f>
        <x:v>82.01</x:v>
      </x:c>
      <x:c r="H6" s="45" t="n">
        <x:f>G6/$G$12</x:f>
        <x:v>0.11715714285714286</x:v>
      </x:c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S-03</x:v>
      </x:c>
      <x:c r="D7" s="37" t="str">
        <x:v>Maritime Response</x:v>
      </x:c>
      <x:c r="E7" s="49" t="n">
        <x:f>'Service Matrix'!F$28</x:f>
        <x:v>63.25</x:v>
      </x:c>
      <x:c r="F7" s="49" t="n">
        <x:f>Controls!$D$6*Controls!$D$10*Controls!E31</x:f>
        <x:v>18</x:v>
      </x:c>
      <x:c r="G7" s="47" t="n">
        <x:f>E7+F7</x:f>
        <x:v>81.25</x:v>
      </x:c>
      <x:c r="H7" s="45" t="n">
        <x:f>G7/$G$12</x:f>
        <x:v>0.11607142857142858</x:v>
      </x:c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S-04</x:v>
      </x:c>
      <x:c r="D8" s="37" t="str">
        <x:v>Infrastructure Restoration</x:v>
      </x:c>
      <x:c r="E8" s="49" t="n">
        <x:f>'Service Matrix'!G$28</x:f>
        <x:v>155.65</x:v>
      </x:c>
      <x:c r="F8" s="49" t="n">
        <x:f>Controls!$D$6*Controls!$D$10*Controls!E32</x:f>
        <x:v>30</x:v>
      </x:c>
      <x:c r="G8" s="47" t="n">
        <x:f>E8+F8</x:f>
        <x:v>185.65</x:v>
      </x:c>
      <x:c r="H8" s="45" t="n">
        <x:f>G8/$G$12</x:f>
        <x:v>0.26521428571428574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S-05</x:v>
      </x:c>
      <x:c r="D9" s="37" t="str">
        <x:v>Health Protection</x:v>
      </x:c>
      <x:c r="E9" s="49" t="n">
        <x:f>'Service Matrix'!H$28</x:f>
        <x:v>52.14000000000001</x:v>
      </x:c>
      <x:c r="F9" s="49" t="n">
        <x:f>Controls!$D$6*Controls!$D$10*Controls!E33</x:f>
        <x:v>22.5</x:v>
      </x:c>
      <x:c r="G9" s="47" t="n">
        <x:f>E9+F9</x:f>
        <x:v>74.64000000000001</x:v>
      </x:c>
      <x:c r="H9" s="45" t="n">
        <x:f>G9/$G$12</x:f>
        <x:v>0.10662857142857145</x:v>
      </x:c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S-06</x:v>
      </x:c>
      <x:c r="D10" s="37" t="str">
        <x:v>Community Stabilization</x:v>
      </x:c>
      <x:c r="E10" s="49" t="n">
        <x:f>'Service Matrix'!I$28</x:f>
        <x:v>70.345</x:v>
      </x:c>
      <x:c r="F10" s="49" t="n">
        <x:f>Controls!$D$6*Controls!$D$10*Controls!E34</x:f>
        <x:v>15</x:v>
      </x:c>
      <x:c r="G10" s="47" t="n">
        <x:f>E10+F10</x:f>
        <x:v>85.345</x:v>
      </x:c>
      <x:c r="H10" s="45" t="n">
        <x:f>G10/$G$12</x:f>
        <x:v>0.12192142857142857</x:v>
      </x:c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S-07</x:v>
      </x:c>
      <x:c r="D11" s="37" t="str">
        <x:v>Civil Mobility and Continuity</x:v>
      </x:c>
      <x:c r="E11" s="49" t="n">
        <x:f>'Service Matrix'!J$28</x:f>
        <x:v>66.22</x:v>
      </x:c>
      <x:c r="F11" s="49" t="n">
        <x:f>Controls!$D$6*Controls!$D$10*Controls!E35</x:f>
        <x:v>12</x:v>
      </x:c>
      <x:c r="G11" s="47" t="n">
        <x:f>E11+F11</x:f>
        <x:v>78.22</x:v>
      </x:c>
      <x:c r="H11" s="45" t="n">
        <x:f>G11/$G$12</x:f>
        <x:v>0.11174285714285714</x:v>
      </x:c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40" t="str">
        <x:v>Total</x:v>
      </x:c>
      <x:c r="D12" s="40" t="str"/>
      <x:c r="E12" s="48" t="n">
        <x:f>SUM(E5:E11)</x:f>
        <x:v>550</x:v>
      </x:c>
      <x:c r="F12" s="48" t="n">
        <x:f>SUM(F5:F11)</x:f>
        <x:v>150</x:v>
      </x:c>
      <x:c r="G12" s="48" t="n">
        <x:f>SUM(G5:G11)</x:f>
        <x:v>700</x:v>
      </x:c>
      <x:c r="H12" s="46" t="n">
        <x:f>SUM(H5:H11)</x:f>
        <x:v>1</x:v>
      </x:c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 ht="32" customHeight="1">
      <x:c r="A15" s="1"/>
      <x:c r="B15" s="1"/>
      <x:c r="C15" s="41" t="str">
        <x:v>Interpretation</x:v>
      </x:c>
      <x:c r="D15" s="38" t="str">
        <x:v>Mission work packages are the same dollars owned by mission-system offices. Do not add them to the mission-office portfolio view.</x:v>
      </x:c>
      <x:c r="E15" s="38"/>
      <x:c r="F15" s="38"/>
      <x:c r="G15" s="38"/>
      <x:c r="H15" s="38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 ht="32" customHeight="1">
      <x:c r="A16" s="1"/>
      <x:c r="B16" s="1"/>
      <x:c r="C16" s="41" t="str">
        <x:v>Appropriation distinction</x:v>
      </x:c>
      <x:c r="D16" s="38" t="str">
        <x:v>Only the service-base column is a separate appropriation from mission-system programs.</x:v>
      </x:c>
      <x:c r="E16" s="38"/>
      <x:c r="F16" s="38"/>
      <x:c r="G16" s="38"/>
      <x:c r="H16" s="38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 ht="32" customHeight="1">
      <x:c r="A17" s="1"/>
      <x:c r="B17" s="1"/>
      <x:c r="C17" s="41" t="str">
        <x:v>Authority distinction</x:v>
      </x:c>
      <x:c r="D17" s="38" t="str">
        <x:v>Cash administration does not transfer outcome ownership or independent technical release.</x:v>
      </x:c>
      <x:c r="E17" s="38"/>
      <x:c r="F17" s="38"/>
      <x:c r="G17" s="38"/>
      <x:c r="H17" s="38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15" hidden="0" customWidth="1"/>
    <x:col min="4" max="4" width="37" hidden="0" customWidth="1"/>
    <x:col min="5" max="5" width="52" hidden="0" customWidth="1"/>
    <x:col min="6" max="6" width="34" hidden="0" customWidth="1"/>
    <x:col min="7" max="7" width="24" hidden="0" customWidth="1"/>
    <x:col min="8" max="8" width="56" hidden="0" customWidth="1"/>
    <x:col min="9" max="9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Unique appropriation account register</x:v>
      </x:c>
      <x:c r="D2" s="2"/>
      <x:c r="E2" s="2"/>
      <x:c r="F2" s="2"/>
      <x:c r="G2" s="2"/>
      <x:c r="H2" s="2"/>
      <x:c r="I2" s="2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Account ID</x:v>
      </x:c>
      <x:c r="D4" s="23" t="str">
        <x:v>Account class</x:v>
      </x:c>
      <x:c r="E4" s="23" t="str">
        <x:v>Appropriation owner</x:v>
      </x:c>
      <x:c r="F4" s="23" t="str">
        <x:v>Executor</x:v>
      </x:c>
      <x:c r="G4" s="23" t="str">
        <x:v>25-year budget (USD B)</x:v>
      </x:c>
      <x:c r="H4" s="23" t="str">
        <x:v>Permitted use</x:v>
      </x:c>
      <x:c r="I4" s="13" t="str">
        <x:v>Duplicate count</x:v>
      </x:c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MS-01</x:v>
      </x:c>
      <x:c r="D5" s="37" t="str">
        <x:v>Joint mission-system program</x:v>
      </x:c>
      <x:c r="E5" s="37" t="str">
        <x:v>Civil coordination, safety and public information Mission System Office</x:v>
      </x:c>
      <x:c r="F5" s="37" t="str">
        <x:v>Service work packages</x:v>
      </x:c>
      <x:c r="G5" s="49" t="n">
        <x:f>'Portfolio Budget'!F5</x:f>
        <x:v>33</x:v>
      </x:c>
      <x:c r="H5" s="37" t="str">
        <x:v>Integrated requirement, interfaces and representative campaign</x:v>
      </x:c>
      <x:c r="I5" s="37" t="n">
        <x:f>COUNTIF($C$5:$C$31,C5)</x:f>
        <x:v>1</x:v>
      </x:c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MS-02</x:v>
      </x:c>
      <x:c r="D6" s="37" t="str">
        <x:v>Joint mission-system program</x:v>
      </x:c>
      <x:c r="E6" s="37" t="str">
        <x:v>Food, shelter and essential-goods continuity Mission System Office</x:v>
      </x:c>
      <x:c r="F6" s="37" t="str">
        <x:v>Service work packages</x:v>
      </x:c>
      <x:c r="G6" s="49" t="n">
        <x:f>'Portfolio Budget'!F6</x:f>
        <x:v>44</x:v>
      </x:c>
      <x:c r="H6" s="37" t="str">
        <x:v>Integrated requirement, interfaces and representative campaign</x:v>
      </x:c>
      <x:c r="I6" s="37" t="n">
        <x:f>COUNTIF($C$5:$C$31,C6)</x:f>
        <x:v>1</x:v>
      </x:c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MS-03</x:v>
      </x:c>
      <x:c r="D7" s="37" t="str">
        <x:v>Joint mission-system program</x:v>
      </x:c>
      <x:c r="E7" s="37" t="str">
        <x:v>Health and medical continuity Mission System Office</x:v>
      </x:c>
      <x:c r="F7" s="37" t="str">
        <x:v>Service work packages</x:v>
      </x:c>
      <x:c r="G7" s="49" t="n">
        <x:f>'Portfolio Budget'!F7</x:f>
        <x:v>71.5</x:v>
      </x:c>
      <x:c r="H7" s="37" t="str">
        <x:v>Integrated requirement, interfaces and representative campaign</x:v>
      </x:c>
      <x:c r="I7" s="37" t="n">
        <x:f>COUNTIF($C$5:$C$31,C7)</x:f>
        <x:v>1</x:v>
      </x:c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MS-04</x:v>
      </x:c>
      <x:c r="D8" s="37" t="str">
        <x:v>Joint mission-system program</x:v>
      </x:c>
      <x:c r="E8" s="37" t="str">
        <x:v>Energy and thermal continuity Mission System Office</x:v>
      </x:c>
      <x:c r="F8" s="37" t="str">
        <x:v>Service work packages</x:v>
      </x:c>
      <x:c r="G8" s="49" t="n">
        <x:f>'Portfolio Budget'!F8</x:f>
        <x:v>71.5</x:v>
      </x:c>
      <x:c r="H8" s="37" t="str">
        <x:v>Integrated requirement, interfaces and representative campaign</x:v>
      </x:c>
      <x:c r="I8" s="37" t="n">
        <x:f>COUNTIF($C$5:$C$31,C8)</x:f>
        <x:v>1</x:v>
      </x:c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MS-05</x:v>
      </x:c>
      <x:c r="D9" s="37" t="str">
        <x:v>Joint mission-system program</x:v>
      </x:c>
      <x:c r="E9" s="37" t="str">
        <x:v>Communications, computation and public-service access Mission System Office</x:v>
      </x:c>
      <x:c r="F9" s="37" t="str">
        <x:v>Service work packages</x:v>
      </x:c>
      <x:c r="G9" s="49" t="n">
        <x:f>'Portfolio Budget'!F9</x:f>
        <x:v>49.5</x:v>
      </x:c>
      <x:c r="H9" s="37" t="str">
        <x:v>Integrated requirement, interfaces and representative campaign</x:v>
      </x:c>
      <x:c r="I9" s="37" t="n">
        <x:f>COUNTIF($C$5:$C$31,C9)</x:f>
        <x:v>1</x:v>
      </x:c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MS-06</x:v>
      </x:c>
      <x:c r="D10" s="37" t="str">
        <x:v>Joint mission-system program</x:v>
      </x:c>
      <x:c r="E10" s="37" t="str">
        <x:v>Mobility, access and distribution Mission System Office</x:v>
      </x:c>
      <x:c r="F10" s="37" t="str">
        <x:v>Service work packages</x:v>
      </x:c>
      <x:c r="G10" s="49" t="n">
        <x:f>'Portfolio Budget'!F10</x:f>
        <x:v>77.00000000000001</x:v>
      </x:c>
      <x:c r="H10" s="37" t="str">
        <x:v>Integrated requirement, interfaces and representative campaign</x:v>
      </x:c>
      <x:c r="I10" s="37" t="n">
        <x:f>COUNTIF($C$5:$C$31,C10)</x:f>
        <x:v>1</x:v>
      </x:c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MS-07</x:v>
      </x:c>
      <x:c r="D11" s="37" t="str">
        <x:v>Joint mission-system program</x:v>
      </x:c>
      <x:c r="E11" s="37" t="str">
        <x:v>Water, sanitation and hygiene Mission System Office</x:v>
      </x:c>
      <x:c r="F11" s="37" t="str">
        <x:v>Service work packages</x:v>
      </x:c>
      <x:c r="G11" s="49" t="n">
        <x:f>'Portfolio Budget'!F11</x:f>
        <x:v>71.5</x:v>
      </x:c>
      <x:c r="H11" s="37" t="str">
        <x:v>Integrated requirement, interfaces and representative campaign</x:v>
      </x:c>
      <x:c r="I11" s="37" t="n">
        <x:f>COUNTIF($C$5:$C$31,C11)</x:f>
        <x:v>1</x:v>
      </x:c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str">
        <x:v>MS-08</x:v>
      </x:c>
      <x:c r="D12" s="37" t="str">
        <x:v>Joint mission-system program</x:v>
      </x:c>
      <x:c r="E12" s="37" t="str">
        <x:v>Hazard and environmental control Mission System Office</x:v>
      </x:c>
      <x:c r="F12" s="37" t="str">
        <x:v>Service work packages</x:v>
      </x:c>
      <x:c r="G12" s="49" t="n">
        <x:f>'Portfolio Budget'!F12</x:f>
        <x:v>82.5</x:v>
      </x:c>
      <x:c r="H12" s="37" t="str">
        <x:v>Integrated requirement, interfaces and representative campaign</x:v>
      </x:c>
      <x:c r="I12" s="37" t="n">
        <x:f>COUNTIF($C$5:$C$31,C12)</x:f>
        <x:v>1</x:v>
      </x:c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str">
        <x:v>MS-09</x:v>
      </x:c>
      <x:c r="D13" s="37" t="str">
        <x:v>Joint mission-system program</x:v>
      </x:c>
      <x:c r="E13" s="37" t="str">
        <x:v>Housing, public works and economic continuity Mission System Office</x:v>
      </x:c>
      <x:c r="F13" s="37" t="str">
        <x:v>Service work packages</x:v>
      </x:c>
      <x:c r="G13" s="49" t="n">
        <x:f>'Portfolio Budget'!F13</x:f>
        <x:v>49.5</x:v>
      </x:c>
      <x:c r="H13" s="37" t="str">
        <x:v>Integrated requirement, interfaces and representative campaign</x:v>
      </x:c>
      <x:c r="I13" s="37" t="n">
        <x:f>COUNTIF($C$5:$C$31,C13)</x:f>
        <x:v>1</x:v>
      </x:c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 t="str">
        <x:v>S-01</x:v>
      </x:c>
      <x:c r="D14" s="37" t="str">
        <x:v>Service professional and article-family base</x:v>
      </x:c>
      <x:c r="E14" s="37" t="str">
        <x:v>Land Engineering</x:v>
      </x:c>
      <x:c r="F14" s="37" t="str">
        <x:v>Land Engineering</x:v>
      </x:c>
      <x:c r="G14" s="49" t="n">
        <x:f>'Service View'!F5</x:f>
        <x:v>30</x:v>
      </x:c>
      <x:c r="H14" s="37" t="str">
        <x:v>Professions, schools, article lifecycle and depot base</x:v>
      </x:c>
      <x:c r="I14" s="37" t="n">
        <x:f>COUNTIF($C$5:$C$31,C14)</x:f>
        <x:v>1</x:v>
      </x:c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 t="str">
        <x:v>S-02</x:v>
      </x:c>
      <x:c r="D15" s="37" t="str">
        <x:v>Service professional and article-family base</x:v>
      </x:c>
      <x:c r="E15" s="37" t="str">
        <x:v>Air Response</x:v>
      </x:c>
      <x:c r="F15" s="37" t="str">
        <x:v>Air Response</x:v>
      </x:c>
      <x:c r="G15" s="49" t="n">
        <x:f>'Service View'!F6</x:f>
        <x:v>22.5</x:v>
      </x:c>
      <x:c r="H15" s="37" t="str">
        <x:v>Professions, schools, article lifecycle and depot base</x:v>
      </x:c>
      <x:c r="I15" s="37" t="n">
        <x:f>COUNTIF($C$5:$C$31,C15)</x:f>
        <x:v>1</x:v>
      </x:c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 t="str">
        <x:v>S-03</x:v>
      </x:c>
      <x:c r="D16" s="37" t="str">
        <x:v>Service professional and article-family base</x:v>
      </x:c>
      <x:c r="E16" s="37" t="str">
        <x:v>Maritime Response</x:v>
      </x:c>
      <x:c r="F16" s="37" t="str">
        <x:v>Maritime Response</x:v>
      </x:c>
      <x:c r="G16" s="49" t="n">
        <x:f>'Service View'!F7</x:f>
        <x:v>18</x:v>
      </x:c>
      <x:c r="H16" s="37" t="str">
        <x:v>Professions, schools, article lifecycle and depot base</x:v>
      </x:c>
      <x:c r="I16" s="37" t="n">
        <x:f>COUNTIF($C$5:$C$31,C16)</x:f>
        <x:v>1</x:v>
      </x:c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 t="str">
        <x:v>S-04</x:v>
      </x:c>
      <x:c r="D17" s="37" t="str">
        <x:v>Service professional and article-family base</x:v>
      </x:c>
      <x:c r="E17" s="37" t="str">
        <x:v>Infrastructure Restoration</x:v>
      </x:c>
      <x:c r="F17" s="37" t="str">
        <x:v>Infrastructure Restoration</x:v>
      </x:c>
      <x:c r="G17" s="49" t="n">
        <x:f>'Service View'!F8</x:f>
        <x:v>30</x:v>
      </x:c>
      <x:c r="H17" s="37" t="str">
        <x:v>Professions, schools, article lifecycle and depot base</x:v>
      </x:c>
      <x:c r="I17" s="37" t="n">
        <x:f>COUNTIF($C$5:$C$31,C17)</x:f>
        <x:v>1</x:v>
      </x:c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 t="str">
        <x:v>S-05</x:v>
      </x:c>
      <x:c r="D18" s="37" t="str">
        <x:v>Service professional and article-family base</x:v>
      </x:c>
      <x:c r="E18" s="37" t="str">
        <x:v>Health Protection</x:v>
      </x:c>
      <x:c r="F18" s="37" t="str">
        <x:v>Health Protection</x:v>
      </x:c>
      <x:c r="G18" s="49" t="n">
        <x:f>'Service View'!F9</x:f>
        <x:v>22.5</x:v>
      </x:c>
      <x:c r="H18" s="37" t="str">
        <x:v>Professions, schools, article lifecycle and depot base</x:v>
      </x:c>
      <x:c r="I18" s="37" t="n">
        <x:f>COUNTIF($C$5:$C$31,C18)</x:f>
        <x:v>1</x:v>
      </x:c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 t="str">
        <x:v>S-06</x:v>
      </x:c>
      <x:c r="D19" s="37" t="str">
        <x:v>Service professional and article-family base</x:v>
      </x:c>
      <x:c r="E19" s="37" t="str">
        <x:v>Community Stabilization</x:v>
      </x:c>
      <x:c r="F19" s="37" t="str">
        <x:v>Community Stabilization</x:v>
      </x:c>
      <x:c r="G19" s="49" t="n">
        <x:f>'Service View'!F10</x:f>
        <x:v>15</x:v>
      </x:c>
      <x:c r="H19" s="37" t="str">
        <x:v>Professions, schools, article lifecycle and depot base</x:v>
      </x:c>
      <x:c r="I19" s="37" t="n">
        <x:f>COUNTIF($C$5:$C$31,C19)</x:f>
        <x:v>1</x:v>
      </x:c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 t="str">
        <x:v>S-07</x:v>
      </x:c>
      <x:c r="D20" s="37" t="str">
        <x:v>Service professional and article-family base</x:v>
      </x:c>
      <x:c r="E20" s="37" t="str">
        <x:v>Civil Mobility and Continuity</x:v>
      </x:c>
      <x:c r="F20" s="37" t="str">
        <x:v>Civil Mobility and Continuity</x:v>
      </x:c>
      <x:c r="G20" s="49" t="n">
        <x:f>'Service View'!F11</x:f>
        <x:v>12</x:v>
      </x:c>
      <x:c r="H20" s="37" t="str">
        <x:v>Professions, schools, article lifecycle and depot base</x:v>
      </x:c>
      <x:c r="I20" s="37" t="n">
        <x:f>COUNTIF($C$5:$C$31,C20)</x:f>
        <x:v>1</x:v>
      </x:c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 t="str">
        <x:v>NC-01</x:v>
      </x:c>
      <x:c r="D21" s="37" t="str">
        <x:v>National common capacity</x:v>
      </x:c>
      <x:c r="E21" s="37" t="str">
        <x:v>National Common Force</x:v>
      </x:c>
      <x:c r="F21" s="37" t="str">
        <x:v>National Common Force</x:v>
      </x:c>
      <x:c r="G21" s="49" t="n">
        <x:f>'Common Accounts'!F5</x:f>
        <x:v>52.5</x:v>
      </x:c>
      <x:c r="H21" s="37" t="str">
        <x:v>Common families and conserved reservation system</x:v>
      </x:c>
      <x:c r="I21" s="37" t="n">
        <x:f>COUNTIF($C$5:$C$31,C21)</x:f>
        <x:v>1</x:v>
      </x:c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 t="str">
        <x:v>NC-02</x:v>
      </x:c>
      <x:c r="D22" s="37" t="str">
        <x:v>National common capacity</x:v>
      </x:c>
      <x:c r="E22" s="37" t="str">
        <x:v>Strategic Sustainment Command</x:v>
      </x:c>
      <x:c r="F22" s="37" t="str">
        <x:v>Strategic Sustainment Command</x:v>
      </x:c>
      <x:c r="G22" s="49" t="n">
        <x:f>'Common Accounts'!F6</x:f>
        <x:v>37.5</x:v>
      </x:c>
      <x:c r="H22" s="37" t="str">
        <x:v>Common families and conserved reservation system</x:v>
      </x:c>
      <x:c r="I22" s="37" t="n">
        <x:f>COUNTIF($C$5:$C$31,C22)</x:f>
        <x:v>1</x:v>
      </x:c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 t="str">
        <x:v>NC-03</x:v>
      </x:c>
      <x:c r="D23" s="37" t="str">
        <x:v>National common capacity</x:v>
      </x:c>
      <x:c r="E23" s="37" t="str">
        <x:v>Common Technical Authority</x:v>
      </x:c>
      <x:c r="F23" s="37" t="str">
        <x:v>Common Technical Authority</x:v>
      </x:c>
      <x:c r="G23" s="49" t="n">
        <x:f>'Common Accounts'!F7</x:f>
        <x:v>22.5</x:v>
      </x:c>
      <x:c r="H23" s="37" t="str">
        <x:v>Common families and conserved reservation system</x:v>
      </x:c>
      <x:c r="I23" s="37" t="n">
        <x:f>COUNTIF($C$5:$C$31,C23)</x:f>
        <x:v>1</x:v>
      </x:c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 t="str">
        <x:v>NC-04</x:v>
      </x:c>
      <x:c r="D24" s="37" t="str">
        <x:v>National common capacity</x:v>
      </x:c>
      <x:c r="E24" s="37" t="str">
        <x:v>Joint Capacity Authority</x:v>
      </x:c>
      <x:c r="F24" s="37" t="str">
        <x:v>Joint Capacity Authority</x:v>
      </x:c>
      <x:c r="G24" s="49" t="n">
        <x:f>'Common Accounts'!F8</x:f>
        <x:v>22.5</x:v>
      </x:c>
      <x:c r="H24" s="37" t="str">
        <x:v>Common families and conserved reservation system</x:v>
      </x:c>
      <x:c r="I24" s="37" t="n">
        <x:f>COUNTIF($C$5:$C$31,C24)</x:f>
        <x:v>1</x:v>
      </x:c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 t="str">
        <x:v>NC-05</x:v>
      </x:c>
      <x:c r="D25" s="37" t="str">
        <x:v>National common capacity</x:v>
      </x:c>
      <x:c r="E25" s="37" t="str">
        <x:v>Joint Capacity Authority</x:v>
      </x:c>
      <x:c r="F25" s="37" t="str">
        <x:v>Joint Capacity Authority</x:v>
      </x:c>
      <x:c r="G25" s="49" t="n">
        <x:f>'Common Accounts'!F9</x:f>
        <x:v>15</x:v>
      </x:c>
      <x:c r="H25" s="37" t="str">
        <x:v>Common families and conserved reservation system</x:v>
      </x:c>
      <x:c r="I25" s="37" t="n">
        <x:f>COUNTIF($C$5:$C$31,C25)</x:f>
        <x:v>1</x:v>
      </x:c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 t="str">
        <x:v>ST-01</x:v>
      </x:c>
      <x:c r="D26" s="37" t="str">
        <x:v>Sovereign technical estate</x:v>
      </x:c>
      <x:c r="E26" s="37" t="str">
        <x:v>National Resilience Evaluation Authority</x:v>
      </x:c>
      <x:c r="F26" s="37" t="str">
        <x:v>National Resilience Evaluation Authority</x:v>
      </x:c>
      <x:c r="G26" s="49" t="n">
        <x:f>'Common Accounts'!F14</x:f>
        <x:v>35</x:v>
      </x:c>
      <x:c r="H26" s="37" t="str">
        <x:v>Independent evidence, standards, rights or industrial depth</x:v>
      </x:c>
      <x:c r="I26" s="37" t="n">
        <x:f>COUNTIF($C$5:$C$31,C26)</x:f>
        <x:v>1</x:v>
      </x:c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 t="str">
        <x:v>ST-02</x:v>
      </x:c>
      <x:c r="D27" s="37" t="str">
        <x:v>Sovereign technical estate</x:v>
      </x:c>
      <x:c r="E27" s="37" t="str">
        <x:v>Sovereign Design Authority</x:v>
      </x:c>
      <x:c r="F27" s="37" t="str">
        <x:v>Sovereign Design Authority</x:v>
      </x:c>
      <x:c r="G27" s="49" t="n">
        <x:f>'Common Accounts'!F15</x:f>
        <x:v>20</x:v>
      </x:c>
      <x:c r="H27" s="37" t="str">
        <x:v>Independent evidence, standards, rights or industrial depth</x:v>
      </x:c>
      <x:c r="I27" s="37" t="n">
        <x:f>COUNTIF($C$5:$C$31,C27)</x:f>
        <x:v>1</x:v>
      </x:c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 t="str">
        <x:v>ST-03</x:v>
      </x:c>
      <x:c r="D28" s="37" t="str">
        <x:v>Sovereign technical estate</x:v>
      </x:c>
      <x:c r="E28" s="37" t="str">
        <x:v>Joint Campaign Assurance Command</x:v>
      </x:c>
      <x:c r="F28" s="37" t="str">
        <x:v>Joint Campaign Assurance Command</x:v>
      </x:c>
      <x:c r="G28" s="49" t="n">
        <x:f>'Common Accounts'!F16</x:f>
        <x:v>15</x:v>
      </x:c>
      <x:c r="H28" s="37" t="str">
        <x:v>Independent evidence, standards, rights or industrial depth</x:v>
      </x:c>
      <x:c r="I28" s="37" t="n">
        <x:f>COUNTIF($C$5:$C$31,C28)</x:f>
        <x:v>1</x:v>
      </x:c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 t="str">
        <x:v>ST-04</x:v>
      </x:c>
      <x:c r="D29" s="37" t="str">
        <x:v>Sovereign technical estate</x:v>
      </x:c>
      <x:c r="E29" s="37" t="str">
        <x:v>Independent Rights and Safety Authority</x:v>
      </x:c>
      <x:c r="F29" s="37" t="str">
        <x:v>Independent Rights and Safety Authority</x:v>
      </x:c>
      <x:c r="G29" s="49" t="n">
        <x:f>'Common Accounts'!F17</x:f>
        <x:v>10</x:v>
      </x:c>
      <x:c r="H29" s="37" t="str">
        <x:v>Independent evidence, standards, rights or industrial depth</x:v>
      </x:c>
      <x:c r="I29" s="37" t="n">
        <x:f>COUNTIF($C$5:$C$31,C29)</x:f>
        <x:v>1</x:v>
      </x:c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 t="str">
        <x:v>ST-05</x:v>
      </x:c>
      <x:c r="D30" s="37" t="str">
        <x:v>Sovereign technical estate</x:v>
      </x:c>
      <x:c r="E30" s="37" t="str">
        <x:v>Resilience Industrial Base Command</x:v>
      </x:c>
      <x:c r="F30" s="37" t="str">
        <x:v>Resilience Industrial Base Command</x:v>
      </x:c>
      <x:c r="G30" s="49" t="n">
        <x:f>'Common Accounts'!F18</x:f>
        <x:v>20</x:v>
      </x:c>
      <x:c r="H30" s="37" t="str">
        <x:v>Independent evidence, standards, rights or industrial depth</x:v>
      </x:c>
      <x:c r="I30" s="37" t="n">
        <x:f>COUNTIF($C$5:$C$31,C30)</x:f>
        <x:v>1</x:v>
      </x:c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 t="str">
        <x:v>FR-01</x:v>
      </x:c>
      <x:c r="D31" s="37" t="str">
        <x:v>Competitive failure reserve</x:v>
      </x:c>
      <x:c r="E31" s="37" t="str">
        <x:v>Department CFO and independent termination board</x:v>
      </x:c>
      <x:c r="F31" s="37" t="str">
        <x:v>Unassigned until lawful release</x:v>
      </x:c>
      <x:c r="G31" s="49" t="n">
        <x:f>'Common Accounts'!F22</x:f>
        <x:v>50</x:v>
      </x:c>
      <x:c r="H31" s="37" t="str">
        <x:v>Killed roots, failed scale transitions and dissimilar competitors</x:v>
      </x:c>
      <x:c r="I31" s="37" t="n">
        <x:f>COUNTIF($C$5:$C$31,C31)</x:f>
        <x:v>1</x:v>
      </x:c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40" t="str">
        <x:v>Total</x:v>
      </x:c>
      <x:c r="D32" s="40" t="str"/>
      <x:c r="E32" s="40" t="str"/>
      <x:c r="F32" s="40" t="str"/>
      <x:c r="G32" s="48" t="n">
        <x:f>SUM(G5:G31)</x:f>
        <x:v>1000</x:v>
      </x:c>
      <x:c r="H32" s="40" t="str">
        <x:v>Authoritative appropriation view</x:v>
      </x:c>
      <x:c r="I32" s="40" t="str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3" hidden="0" customWidth="1"/>
    <x:col min="4" max="4" width="52" hidden="0" customWidth="1"/>
    <x:col min="5" max="5" width="14" hidden="0" customWidth="1"/>
    <x:col min="6" max="6" width="24" hidden="0" customWidth="1"/>
    <x:col min="7" max="7" width="5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Common capacity and sovereign technical accounts</x:v>
      </x:c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Account ID</x:v>
      </x:c>
      <x:c r="D4" s="23" t="str">
        <x:v>Program</x:v>
      </x:c>
      <x:c r="E4" s="23" t="str">
        <x:v>Weight</x:v>
      </x:c>
      <x:c r="F4" s="23" t="str">
        <x:v>25-year budget (USD B)</x:v>
      </x:c>
      <x:c r="G4" s="13" t="str">
        <x:v>Account owner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NC-01</x:v>
      </x:c>
      <x:c r="D5" s="37" t="str">
        <x:v>Strategic mobility and entry</x:v>
      </x:c>
      <x:c r="E5" s="45" t="n">
        <x:f>Controls!E38</x:f>
        <x:v>0.35</x:v>
      </x:c>
      <x:c r="F5" s="47" t="n">
        <x:f>Controls!$D$6*Controls!$D$11*E5</x:f>
        <x:v>52.5</x:v>
      </x:c>
      <x:c r="G5" s="37" t="str">
        <x:v>National Common Force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NC-02</x:v>
      </x:c>
      <x:c r="D6" s="37" t="str">
        <x:v>Sustainment, repair and regeneration</x:v>
      </x:c>
      <x:c r="E6" s="45" t="n">
        <x:f>Controls!E39</x:f>
        <x:v>0.25</x:v>
      </x:c>
      <x:c r="F6" s="47" t="n">
        <x:f>Controls!$D$6*Controls!$D$11*E6</x:f>
        <x:v>37.5</x:v>
      </x:c>
      <x:c r="G6" s="37" t="str">
        <x:v>Strategic Sustainment Command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NC-03</x:v>
      </x:c>
      <x:c r="D7" s="37" t="str">
        <x:v>Open power, fluid and data interfaces</x:v>
      </x:c>
      <x:c r="E7" s="45" t="n">
        <x:f>Controls!E40</x:f>
        <x:v>0.15</x:v>
      </x:c>
      <x:c r="F7" s="47" t="n">
        <x:f>Controls!$D$6*Controls!$D$11*E7</x:f>
        <x:v>22.5</x:v>
      </x:c>
      <x:c r="G7" s="37" t="str">
        <x:v>Common Technical Authority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NC-04</x:v>
      </x:c>
      <x:c r="D8" s="37" t="str">
        <x:v>Prepared receiver networks</x:v>
      </x:c>
      <x:c r="E8" s="45" t="n">
        <x:f>Controls!E41</x:f>
        <x:v>0.15</x:v>
      </x:c>
      <x:c r="F8" s="47" t="n">
        <x:f>Controls!$D$6*Controls!$D$11*E8</x:f>
        <x:v>22.5</x:v>
      </x:c>
      <x:c r="G8" s="37" t="str">
        <x:v>Joint Capacity Authority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NC-05</x:v>
      </x:c>
      <x:c r="D9" s="37" t="str">
        <x:v>National reserve and release system</x:v>
      </x:c>
      <x:c r="E9" s="45" t="n">
        <x:f>Controls!E42</x:f>
        <x:v>0.1</x:v>
      </x:c>
      <x:c r="F9" s="47" t="n">
        <x:f>Controls!$D$6*Controls!$D$11*E9</x:f>
        <x:v>15</x:v>
      </x:c>
      <x:c r="G9" s="37" t="str">
        <x:v>Joint Capacity Authority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40" t="str">
        <x:v>Common subtotal</x:v>
      </x:c>
      <x:c r="D10" s="40" t="str"/>
      <x:c r="E10" s="46" t="n">
        <x:f>SUM(E5:E9)</x:f>
        <x:v>1</x:v>
      </x:c>
      <x:c r="F10" s="48" t="n">
        <x:f>SUM(F5:F9)</x:f>
        <x:v>150</x:v>
      </x:c>
      <x:c r="G10" s="40" t="str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/>
      <x:c r="D11" s="37"/>
      <x:c r="E11" s="37"/>
      <x:c r="F11" s="4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/>
      <x:c r="D12" s="37"/>
      <x:c r="E12" s="37"/>
      <x:c r="F12" s="4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 ht="30" customHeight="1">
      <x:c r="A13" s="1"/>
      <x:c r="B13" s="1"/>
      <x:c r="C13" s="12" t="str">
        <x:v>Account ID</x:v>
      </x:c>
      <x:c r="D13" s="23" t="str">
        <x:v>Program</x:v>
      </x:c>
      <x:c r="E13" s="23" t="str">
        <x:v>Weight</x:v>
      </x:c>
      <x:c r="F13" s="35" t="str">
        <x:v>25-year budget (USD B)</x:v>
      </x:c>
      <x:c r="G13" s="13" t="str">
        <x:v>Account owner</x:v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 t="str">
        <x:v>ST-01</x:v>
      </x:c>
      <x:c r="D14" s="37" t="str">
        <x:v>Independent test and evaluation</x:v>
      </x:c>
      <x:c r="E14" s="45" t="n">
        <x:f>Controls!E45</x:f>
        <x:v>0.35</x:v>
      </x:c>
      <x:c r="F14" s="47" t="n">
        <x:f>Controls!$D$6*Controls!$D$12*E14</x:f>
        <x:v>35</x:v>
      </x:c>
      <x:c r="G14" s="37" t="str">
        <x:v>National Resilience Evaluation Authority</x:v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 t="str">
        <x:v>ST-02</x:v>
      </x:c>
      <x:c r="D15" s="37" t="str">
        <x:v>Public design standards and technical data</x:v>
      </x:c>
      <x:c r="E15" s="45" t="n">
        <x:f>Controls!E46</x:f>
        <x:v>0.2</x:v>
      </x:c>
      <x:c r="F15" s="47" t="n">
        <x:f>Controls!$D$6*Controls!$D$12*E15</x:f>
        <x:v>20</x:v>
      </x:c>
      <x:c r="G15" s="37" t="str">
        <x:v>Sovereign Design Authority</x:v>
      </x:c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 t="str">
        <x:v>ST-03</x:v>
      </x:c>
      <x:c r="D16" s="37" t="str">
        <x:v>Evidence, configuration and causal data</x:v>
      </x:c>
      <x:c r="E16" s="45" t="n">
        <x:f>Controls!E47</x:f>
        <x:v>0.15</x:v>
      </x:c>
      <x:c r="F16" s="47" t="n">
        <x:f>Controls!$D$6*Controls!$D$12*E16</x:f>
        <x:v>15</x:v>
      </x:c>
      <x:c r="G16" s="37" t="str">
        <x:v>Joint Campaign Assurance Command</x:v>
      </x:c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 t="str">
        <x:v>ST-04</x:v>
      </x:c>
      <x:c r="D17" s="37" t="str">
        <x:v>Rights, safety and public accountability</x:v>
      </x:c>
      <x:c r="E17" s="45" t="n">
        <x:f>Controls!E48</x:f>
        <x:v>0.1</x:v>
      </x:c>
      <x:c r="F17" s="47" t="n">
        <x:f>Controls!$D$6*Controls!$D$12*E17</x:f>
        <x:v>10</x:v>
      </x:c>
      <x:c r="G17" s="37" t="str">
        <x:v>Independent Rights and Safety Authority</x:v>
      </x:c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 t="str">
        <x:v>ST-05</x:v>
      </x:c>
      <x:c r="D18" s="37" t="str">
        <x:v>Industrial mobilization and second sources</x:v>
      </x:c>
      <x:c r="E18" s="45" t="n">
        <x:f>Controls!E49</x:f>
        <x:v>0.2</x:v>
      </x:c>
      <x:c r="F18" s="47" t="n">
        <x:f>Controls!$D$6*Controls!$D$12*E18</x:f>
        <x:v>20</x:v>
      </x:c>
      <x:c r="G18" s="37" t="str">
        <x:v>Resilience Industrial Base Command</x:v>
      </x:c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40" t="str">
        <x:v>Sovereign subtotal</x:v>
      </x:c>
      <x:c r="D19" s="40" t="str"/>
      <x:c r="E19" s="46" t="n">
        <x:f>SUM(E14:E18)</x:f>
        <x:v>1</x:v>
      </x:c>
      <x:c r="F19" s="48" t="n">
        <x:f>SUM(F14:F18)</x:f>
        <x:v>100</x:v>
      </x:c>
      <x:c r="G19" s="40" t="str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/>
      <x:c r="D20" s="37"/>
      <x:c r="E20" s="37"/>
      <x:c r="F20" s="4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/>
      <x:c r="D21" s="37"/>
      <x:c r="E21" s="37"/>
      <x:c r="F21" s="4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 t="str">
        <x:v>FR-01</x:v>
      </x:c>
      <x:c r="D22" s="37" t="str">
        <x:v>Competitive failure reserve</x:v>
      </x:c>
      <x:c r="E22" s="37" t="n">
        <x:v>1</x:v>
      </x:c>
      <x:c r="F22" s="47" t="n">
        <x:f>Controls!$D$6*Controls!$D$13</x:f>
        <x:v>50</x:v>
      </x:c>
      <x:c r="G22" s="37" t="str">
        <x:v>Department CFO and independent termination board</x:v>
      </x:c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 t="str">
        <x:v>Reserve release rule</x:v>
      </x:c>
      <x:c r="D23" s="37" t="str">
        <x:v>Only after a killed root, failed scale transition or required dissimilar competitor</x:v>
      </x:c>
      <x:c r="E23" s="37" t="str"/>
      <x:c r="F23" s="37" t="str"/>
      <x:c r="G23" s="37" t="str">
        <x:v>No routine overrun or readiness-gap use</x:v>
      </x:c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44" hidden="0" customWidth="1"/>
    <x:col min="5" max="5" width="48" hidden="0" customWidth="1"/>
    <x:col min="6" max="6" width="34" hidden="0" customWidth="1"/>
    <x:col min="7" max="7" width="30" hidden="0" customWidth="1"/>
    <x:col min="8" max="8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Decision and release authority</x:v>
      </x:c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Decision</x:v>
      </x:c>
      <x:c r="D4" s="23" t="str">
        <x:v>Primary authority</x:v>
      </x:c>
      <x:c r="E4" s="23" t="str">
        <x:v>Required concurrence</x:v>
      </x:c>
      <x:c r="F4" s="23" t="str">
        <x:v>Authority withheld from</x:v>
      </x:c>
      <x:c r="G4" s="23" t="str">
        <x:v>Record</x:v>
      </x:c>
      <x:c r="H4" s="13" t="str">
        <x:v>Stop condition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Define public-service outcome</x:v>
      </x:c>
      <x:c r="D5" s="37" t="str">
        <x:v>Mission System Office</x:v>
      </x:c>
      <x:c r="E5" s="37" t="str">
        <x:v>Affected civil authority and Resilience Staff</x:v>
      </x:c>
      <x:c r="F5" s="37" t="str">
        <x:v>Service article sponsor</x:v>
      </x:c>
      <x:c r="G5" s="37" t="str">
        <x:v>Outcome obligation</x:v>
      </x:c>
      <x:c r="H5" s="37" t="str">
        <x:v>Incomplete population, time, damage or transfer term</x:v>
      </x:c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Own integrated appropriation</x:v>
      </x:c>
      <x:c r="D6" s="37" t="str">
        <x:v>Mission System Office</x:v>
      </x:c>
      <x:c r="E6" s="37" t="str">
        <x:v>Department CFO</x:v>
      </x:c>
      <x:c r="F6" s="37" t="str">
        <x:v>Service executor</x:v>
      </x:c>
      <x:c r="G6" s="37" t="str">
        <x:v>Unique account and program baseline</x:v>
      </x:c>
      <x:c r="H6" s="37" t="str">
        <x:v>Duplicate account or off-ledger dependency</x:v>
      </x:c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Qualify professions</x:v>
      </x:c>
      <x:c r="D7" s="37" t="str">
        <x:v>Generating service</x:v>
      </x:c>
      <x:c r="E7" s="37" t="str">
        <x:v>Licensing and safety authority</x:v>
      </x:c>
      <x:c r="F7" s="37" t="str">
        <x:v>Mission integrator</x:v>
      </x:c>
      <x:c r="G7" s="37" t="str">
        <x:v>Qualification register</x:v>
      </x:c>
      <x:c r="H7" s="37" t="str">
        <x:v>Unqualified crew or invalid jurisdiction</x:v>
      </x:c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Release technical article</x:v>
      </x:c>
      <x:c r="D8" s="37" t="str">
        <x:v>Generating service technical authority</x:v>
      </x:c>
      <x:c r="E8" s="37" t="str">
        <x:v>Independent safety authority</x:v>
      </x:c>
      <x:c r="F8" s="37" t="str">
        <x:v>Mission System Office</x:v>
      </x:c>
      <x:c r="G8" s="37" t="str">
        <x:v>Configuration and release record</x:v>
      </x:c>
      <x:c r="H8" s="37" t="str">
        <x:v>Unaccepted configuration or missing safe state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Execute work package</x:v>
      </x:c>
      <x:c r="D9" s="37" t="str">
        <x:v>Generating service or contracted integrator</x:v>
      </x:c>
      <x:c r="E9" s="37" t="str">
        <x:v>Mission System Office and technical authority</x:v>
      </x:c>
      <x:c r="F9" s="37" t="str">
        <x:v>Common-capacity allocator</x:v>
      </x:c>
      <x:c r="G9" s="37" t="str">
        <x:v>Work-package identity</x:v>
      </x:c>
      <x:c r="H9" s="37" t="str">
        <x:v>Scope exceeds appropriation or interface baseline</x:v>
      </x:c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Reserve common capacity</x:v>
      </x:c>
      <x:c r="D10" s="37" t="str">
        <x:v>Joint Capacity Authority</x:v>
      </x:c>
      <x:c r="E10" s="37" t="str">
        <x:v>Mission System Office and asset owner</x:v>
      </x:c>
      <x:c r="F10" s="37" t="str">
        <x:v>Service preference</x:v>
      </x:c>
      <x:c r="G10" s="37" t="str">
        <x:v>Reservation warrant</x:v>
      </x:c>
      <x:c r="H10" s="37" t="str">
        <x:v>Overlapping claim, missing crew, place or reset</x:v>
      </x:c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Employ campaign formation</x:v>
      </x:c>
      <x:c r="D11" s="37" t="str">
        <x:v>Geographic or functional command</x:v>
      </x:c>
      <x:c r="E11" s="37" t="str">
        <x:v>Civil mission authority</x:v>
      </x:c>
      <x:c r="F11" s="37" t="str">
        <x:v>Acquisition office</x:v>
      </x:c>
      <x:c r="G11" s="37" t="str">
        <x:v>Employment order</x:v>
      </x:c>
      <x:c r="H11" s="37" t="str">
        <x:v>No lawful mission or incomplete readiness vector</x:v>
      </x:c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str">
        <x:v>Admit representative evidence</x:v>
      </x:c>
      <x:c r="D12" s="37" t="str">
        <x:v>Independent evaluation authority</x:v>
      </x:c>
      <x:c r="E12" s="37" t="str">
        <x:v>Technical and rights authorities</x:v>
      </x:c>
      <x:c r="F12" s="37" t="str">
        <x:v>Sponsor or contractor</x:v>
      </x:c>
      <x:c r="G12" s="37" t="str">
        <x:v>Admission decision</x:v>
      </x:c>
      <x:c r="H12" s="37" t="str">
        <x:v>Missing replication, adverse evidence or invalid trial</x:v>
      </x:c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str">
        <x:v>Reconcile all accounts</x:v>
      </x:c>
      <x:c r="D13" s="37" t="str">
        <x:v>Department CFO</x:v>
      </x:c>
      <x:c r="E13" s="37" t="str">
        <x:v>Joint Capacity Authority and independent audit</x:v>
      </x:c>
      <x:c r="F13" s="37" t="str">
        <x:v>Program office alone</x:v>
      </x:c>
      <x:c r="G13" s="37" t="str">
        <x:v>Appropriation and liability ledger</x:v>
      </x:c>
      <x:c r="H13" s="37" t="str">
        <x:v>Total differs from authorized envelope</x:v>
      </x:c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2" hidden="0" customWidth="1"/>
    <x:col min="10" max="10" width="20" hidden="0" customWidth="1"/>
    <x:col min="11" max="11" width="19" hidden="0" customWidth="1"/>
    <x:col min="12" max="12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Common-capacity accounting tests</x:v>
      </x:c>
      <x:c r="D2" s="2"/>
      <x:c r="E2" s="2"/>
      <x:c r="F2" s="2"/>
      <x:c r="G2" s="2"/>
      <x:c r="H2" s="2"/>
      <x:c r="I2" s="2"/>
      <x:c r="J2" s="2"/>
      <x:c r="K2" s="2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Test</x:v>
      </x:c>
      <x:c r="D4" s="23" t="str">
        <x:v>Available articles</x:v>
      </x:c>
      <x:c r="E4" s="23" t="str">
        <x:v>Claim A</x:v>
      </x:c>
      <x:c r="F4" s="23" t="str">
        <x:v>Claim B</x:v>
      </x:c>
      <x:c r="G4" s="23" t="str">
        <x:v>Overlap factor</x:v>
      </x:c>
      <x:c r="H4" s="23" t="str">
        <x:v>Reset and recall valid</x:v>
      </x:c>
      <x:c r="I4" s="23" t="str">
        <x:v>Technical equivalence</x:v>
      </x:c>
      <x:c r="J4" s="23" t="str">
        <x:v>Peak valid demand</x:v>
      </x:c>
      <x:c r="K4" s="23" t="str">
        <x:v>Uncovered demand</x:v>
      </x:c>
      <x:c r="L4" s="13" t="str">
        <x:v>Result</x:v>
      </x:c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Overlapping claims</x:v>
      </x:c>
      <x:c r="D5" s="37" t="n">
        <x:v>10</x:v>
      </x:c>
      <x:c r="E5" s="37" t="n">
        <x:v>6</x:v>
      </x:c>
      <x:c r="F5" s="37" t="n">
        <x:v>6</x:v>
      </x:c>
      <x:c r="G5" s="37" t="n">
        <x:v>1</x:v>
      </x:c>
      <x:c r="H5" s="37" t="n">
        <x:v>1</x:v>
      </x:c>
      <x:c r="I5" s="37" t="n">
        <x:v>1</x:v>
      </x:c>
      <x:c r="J5" s="37" t="n">
        <x:f>IF(G5=1,E5+F5,MAX(E5,F5))</x:f>
        <x:v>12</x:v>
      </x:c>
      <x:c r="K5" s="37" t="n">
        <x:f>MAX(0,J5-D5)</x:f>
        <x:v>2</x:v>
      </x:c>
      <x:c r="L5" s="37" t="str">
        <x:f>IF(AND(H5=1,I5=1,K5=0),"PASS","NO CREDIT")</x:f>
        <x:v>NO CREDIT</x:v>
      </x:c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Sequential claims with valid reset</x:v>
      </x:c>
      <x:c r="D6" s="37" t="n">
        <x:v>10</x:v>
      </x:c>
      <x:c r="E6" s="37" t="n">
        <x:v>6</x:v>
      </x:c>
      <x:c r="F6" s="37" t="n">
        <x:v>6</x:v>
      </x:c>
      <x:c r="G6" s="37" t="n">
        <x:v>0</x:v>
      </x:c>
      <x:c r="H6" s="37" t="n">
        <x:v>1</x:v>
      </x:c>
      <x:c r="I6" s="37" t="n">
        <x:v>1</x:v>
      </x:c>
      <x:c r="J6" s="37" t="n">
        <x:f>IF(G6=1,E6+F6,MAX(E6,F6))</x:f>
        <x:v>6</x:v>
      </x:c>
      <x:c r="K6" s="37" t="n">
        <x:f>MAX(0,J6-D6)</x:f>
        <x:v>0</x:v>
      </x:c>
      <x:c r="L6" s="37" t="str">
        <x:f>IF(AND(H6=1,I6=1,K6=0),"PASS","NO CREDIT")</x:f>
        <x:v>PASS</x:v>
      </x:c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Sequential claims without reset</x:v>
      </x:c>
      <x:c r="D7" s="37" t="n">
        <x:v>10</x:v>
      </x:c>
      <x:c r="E7" s="37" t="n">
        <x:v>6</x:v>
      </x:c>
      <x:c r="F7" s="37" t="n">
        <x:v>6</x:v>
      </x:c>
      <x:c r="G7" s="37" t="n">
        <x:v>0</x:v>
      </x:c>
      <x:c r="H7" s="37" t="n">
        <x:v>0</x:v>
      </x:c>
      <x:c r="I7" s="37" t="n">
        <x:v>1</x:v>
      </x:c>
      <x:c r="J7" s="37" t="n">
        <x:f>IF(G7=1,E7+F7,MAX(E7,F7))</x:f>
        <x:v>6</x:v>
      </x:c>
      <x:c r="K7" s="37" t="n">
        <x:f>MAX(0,J7-D7)</x:f>
        <x:v>0</x:v>
      </x:c>
      <x:c r="L7" s="37" t="str">
        <x:f>IF(AND(H7=1,I7=1,K7=0),"PASS","NO CREDIT")</x:f>
        <x:v>NO CREDIT</x:v>
      </x:c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Common title without equivalence</x:v>
      </x:c>
      <x:c r="D8" s="37" t="n">
        <x:v>10</x:v>
      </x:c>
      <x:c r="E8" s="37" t="n">
        <x:v>5</x:v>
      </x:c>
      <x:c r="F8" s="37" t="n">
        <x:v>5</x:v>
      </x:c>
      <x:c r="G8" s="37" t="n">
        <x:v>1</x:v>
      </x:c>
      <x:c r="H8" s="37" t="n">
        <x:v>1</x:v>
      </x:c>
      <x:c r="I8" s="37" t="n">
        <x:v>0</x:v>
      </x:c>
      <x:c r="J8" s="37" t="n">
        <x:f>IF(G8=1,E8+F8,MAX(E8,F8))</x:f>
        <x:v>10</x:v>
      </x:c>
      <x:c r="K8" s="37" t="n">
        <x:f>MAX(0,J8-D8)</x:f>
        <x:v>0</x:v>
      </x:c>
      <x:c r="L8" s="37" t="str">
        <x:f>IF(AND(H8=1,I8=1,K8=0),"PASS","NO CREDIT")</x:f>
        <x:v>NO CREDIT</x:v>
      </x:c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Concurrent demand exceeds inventory</x:v>
      </x:c>
      <x:c r="D9" s="37" t="n">
        <x:v>20</x:v>
      </x:c>
      <x:c r="E9" s="37" t="n">
        <x:v>12</x:v>
      </x:c>
      <x:c r="F9" s="37" t="n">
        <x:v>12</x:v>
      </x:c>
      <x:c r="G9" s="37" t="n">
        <x:v>1</x:v>
      </x:c>
      <x:c r="H9" s="37" t="n">
        <x:v>1</x:v>
      </x:c>
      <x:c r="I9" s="37" t="n">
        <x:v>1</x:v>
      </x:c>
      <x:c r="J9" s="37" t="n">
        <x:f>IF(G9=1,E9+F9,MAX(E9,F9))</x:f>
        <x:v>24</x:v>
      </x:c>
      <x:c r="K9" s="37" t="n">
        <x:f>MAX(0,J9-D9)</x:f>
        <x:v>4</x:v>
      </x:c>
      <x:c r="L9" s="37" t="str">
        <x:f>IF(AND(H9=1,I9=1,K9=0),"PASS","NO CREDIT")</x:f>
        <x:v>NO CREDIT</x:v>
      </x:c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National scenario not yet fixed</x:v>
      </x:c>
      <x:c r="D10" s="37" t="n">
        <x:v>0</x:v>
      </x:c>
      <x:c r="E10" s="37" t="n">
        <x:v>0</x:v>
      </x:c>
      <x:c r="F10" s="37" t="n">
        <x:v>0</x:v>
      </x:c>
      <x:c r="G10" s="37" t="n">
        <x:v>1</x:v>
      </x:c>
      <x:c r="H10" s="37" t="n">
        <x:v>0</x:v>
      </x:c>
      <x:c r="I10" s="37" t="n">
        <x:v>0</x:v>
      </x:c>
      <x:c r="J10" s="37" t="n">
        <x:f>IF(G10=1,E10+F10,MAX(E10,F10))</x:f>
        <x:v>0</x:v>
      </x:c>
      <x:c r="K10" s="37" t="n">
        <x:f>MAX(0,J10-D10)</x:f>
        <x:v>0</x:v>
      </x:c>
      <x:c r="L10" s="37" t="str">
        <x:f>IF(AND(H10=1,I10=1,K10=0),"PASS","NO CREDIT")</x:f>
        <x:v>NO CREDIT</x:v>
      </x:c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str">
        <x:v>Rule</x:v>
      </x:c>
      <x:c r="D13" s="37" t="str">
        <x:v>One serialized article can support at most one obligation in an overlapping interval.</x:v>
      </x:c>
      <x:c r="E13" s="37" t="str"/>
      <x:c r="F13" s="37" t="str"/>
      <x:c r="G13" s="37" t="str"/>
      <x:c r="H13" s="37" t="str"/>
      <x:c r="I13" s="37" t="str"/>
      <x:c r="J13" s="37" t="str"/>
      <x:c r="K13" s="37" t="str"/>
      <x:c r="L13" s="37" t="str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 t="str">
        <x:v>Rule</x:v>
      </x:c>
      <x:c r="D14" s="37" t="str">
        <x:v>Sequential reuse requires compatible configuration, crew, route, reset and recall clocks.</x:v>
      </x:c>
      <x:c r="E14" s="37" t="str"/>
      <x:c r="F14" s="37" t="str"/>
      <x:c r="G14" s="37" t="str"/>
      <x:c r="H14" s="37" t="str"/>
      <x:c r="I14" s="37" t="str"/>
      <x:c r="J14" s="37" t="str"/>
      <x:c r="K14" s="37" t="str"/>
      <x:c r="L14" s="37" t="str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 t="str">
        <x:v>Current admission</x:v>
      </x:c>
      <x:c r="D15" s="37" t="str">
        <x:v>Cross-portfolio quantity reduction</x:v>
      </x:c>
      <x:c r="E15" s="37" t="n">
        <x:v>0</x:v>
      </x:c>
      <x:c r="F15" s="37" t="str">
        <x:v>articles</x:v>
      </x:c>
      <x:c r="G15" s="37" t="str"/>
      <x:c r="H15" s="37" t="str"/>
      <x:c r="I15" s="37" t="str"/>
      <x:c r="J15" s="37" t="str"/>
      <x:c r="K15" s="37" t="str"/>
      <x:c r="L15" s="37" t="str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 t="str">
        <x:v>Reason</x:v>
      </x:c>
      <x:c r="D16" s="37" t="str">
        <x:v>The national concurrency and geography scenario remains open.</x:v>
      </x:c>
      <x:c r="E16" s="37" t="str"/>
      <x:c r="F16" s="37" t="str"/>
      <x:c r="G16" s="37" t="str"/>
      <x:c r="H16" s="37" t="str"/>
      <x:c r="I16" s="37" t="str"/>
      <x:c r="J16" s="37" t="str"/>
      <x:c r="K16" s="37" t="str"/>
      <x:c r="L16" s="37" t="str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conditionalFormatting sqref="L5:L10">
    <x:cfRule type="containsText" dxfId="0" priority="1" operator="containsText" text="NO CREDIT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54" hidden="0" customWidth="1"/>
    <x:col min="5" max="5" width="15" hidden="0" customWidth="1"/>
    <x:col min="6" max="6" width="23" hidden="0" customWidth="1"/>
    <x:col min="7" max="7" width="21" hidden="0" customWidth="1"/>
    <x:col min="8" max="8" width="23" hidden="0" customWidth="1"/>
    <x:col min="9" max="9" width="24" hidden="0" customWidth="1"/>
    <x:col min="10" max="10" width="22" hidden="0" customWidth="1"/>
    <x:col min="11" max="11" width="19" hidden="0" customWidth="1"/>
    <x:col min="12" max="12" width="2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Twenty-five-year funding schedule</x:v>
      </x:c>
      <x:c r="D2" s="2"/>
      <x:c r="E2" s="2"/>
      <x:c r="F2" s="2"/>
      <x:c r="G2" s="2"/>
      <x:c r="H2" s="2"/>
      <x:c r="I2" s="2"/>
      <x:c r="J2" s="2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Year</x:v>
      </x:c>
      <x:c r="D4" s="23" t="str">
        <x:v>Program phase</x:v>
      </x:c>
      <x:c r="E4" s="23" t="str">
        <x:v>Annual share</x:v>
      </x:c>
      <x:c r="F4" s="23" t="str">
        <x:v>Mission systems (USD B)</x:v>
      </x:c>
      <x:c r="G4" s="23" t="str">
        <x:v>Service base (USD B)</x:v>
      </x:c>
      <x:c r="H4" s="23" t="str">
        <x:v>Common capacity (USD B)</x:v>
      </x:c>
      <x:c r="I4" s="23" t="str">
        <x:v>Sovereign technical (USD B)</x:v>
      </x:c>
      <x:c r="J4" s="23" t="str">
        <x:v>Failure reserve (USD B)</x:v>
      </x:c>
      <x:c r="K4" s="23" t="str">
        <x:v>Annual total (USD B)</x:v>
      </x:c>
      <x:c r="L4" s="13" t="str">
        <x:v>Cumulative total (USD B)</x:v>
      </x:c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n">
        <x:v>1</x:v>
      </x:c>
      <x:c r="D5" s="37" t="str">
        <x:v>Constitute institutions and rival prototypes</x:v>
      </x:c>
      <x:c r="E5" s="45" t="n">
        <x:v>0.04</x:v>
      </x:c>
      <x:c r="F5" s="49" t="n">
        <x:f>Controls!$D$6*Controls!$D$9*E5</x:f>
        <x:v>22</x:v>
      </x:c>
      <x:c r="G5" s="49" t="n">
        <x:f>Controls!$D$6*Controls!$D$10*E5</x:f>
        <x:v>6</x:v>
      </x:c>
      <x:c r="H5" s="49" t="n">
        <x:f>Controls!$D$6*Controls!$D$11*E5</x:f>
        <x:v>6</x:v>
      </x:c>
      <x:c r="I5" s="49" t="n">
        <x:f>Controls!$D$6*Controls!$D$12*E5</x:f>
        <x:v>4</x:v>
      </x:c>
      <x:c r="J5" s="49" t="n">
        <x:f>Controls!$D$6*Controls!$D$13*E5</x:f>
        <x:v>2</x:v>
      </x:c>
      <x:c r="K5" s="47" t="n">
        <x:f>SUM(F5:J5)</x:f>
        <x:v>40</x:v>
      </x:c>
      <x:c r="L5" s="47" t="n">
        <x:f>SUM($K$5:K5)</x:f>
        <x:v>40</x:v>
      </x:c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n">
        <x:v>2</x:v>
      </x:c>
      <x:c r="D6" s="37" t="str">
        <x:v>Constitute institutions and rival prototypes</x:v>
      </x:c>
      <x:c r="E6" s="45" t="n">
        <x:v>0.04</x:v>
      </x:c>
      <x:c r="F6" s="49" t="n">
        <x:f>Controls!$D$6*Controls!$D$9*E6</x:f>
        <x:v>22</x:v>
      </x:c>
      <x:c r="G6" s="49" t="n">
        <x:f>Controls!$D$6*Controls!$D$10*E6</x:f>
        <x:v>6</x:v>
      </x:c>
      <x:c r="H6" s="49" t="n">
        <x:f>Controls!$D$6*Controls!$D$11*E6</x:f>
        <x:v>6</x:v>
      </x:c>
      <x:c r="I6" s="49" t="n">
        <x:f>Controls!$D$6*Controls!$D$12*E6</x:f>
        <x:v>4</x:v>
      </x:c>
      <x:c r="J6" s="49" t="n">
        <x:f>Controls!$D$6*Controls!$D$13*E6</x:f>
        <x:v>2</x:v>
      </x:c>
      <x:c r="K6" s="47" t="n">
        <x:f>SUM(F6:J6)</x:f>
        <x:v>40</x:v>
      </x:c>
      <x:c r="L6" s="47" t="n">
        <x:f>SUM($K$5:K6)</x:f>
        <x:v>80</x:v>
      </x:c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n">
        <x:v>3</x:v>
      </x:c>
      <x:c r="D7" s="37" t="str">
        <x:v>Constitute institutions and rival prototypes</x:v>
      </x:c>
      <x:c r="E7" s="45" t="n">
        <x:v>0.04</x:v>
      </x:c>
      <x:c r="F7" s="49" t="n">
        <x:f>Controls!$D$6*Controls!$D$9*E7</x:f>
        <x:v>22</x:v>
      </x:c>
      <x:c r="G7" s="49" t="n">
        <x:f>Controls!$D$6*Controls!$D$10*E7</x:f>
        <x:v>6</x:v>
      </x:c>
      <x:c r="H7" s="49" t="n">
        <x:f>Controls!$D$6*Controls!$D$11*E7</x:f>
        <x:v>6</x:v>
      </x:c>
      <x:c r="I7" s="49" t="n">
        <x:f>Controls!$D$6*Controls!$D$12*E7</x:f>
        <x:v>4</x:v>
      </x:c>
      <x:c r="J7" s="49" t="n">
        <x:f>Controls!$D$6*Controls!$D$13*E7</x:f>
        <x:v>2</x:v>
      </x:c>
      <x:c r="K7" s="47" t="n">
        <x:f>SUM(F7:J7)</x:f>
        <x:v>40</x:v>
      </x:c>
      <x:c r="L7" s="47" t="n">
        <x:f>SUM($K$5:K7)</x:f>
        <x:v>120</x:v>
      </x:c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n">
        <x:v>4</x:v>
      </x:c>
      <x:c r="D8" s="37" t="str">
        <x:v>Constitute institutions and rival prototypes</x:v>
      </x:c>
      <x:c r="E8" s="45" t="n">
        <x:v>0.04</x:v>
      </x:c>
      <x:c r="F8" s="49" t="n">
        <x:f>Controls!$D$6*Controls!$D$9*E8</x:f>
        <x:v>22</x:v>
      </x:c>
      <x:c r="G8" s="49" t="n">
        <x:f>Controls!$D$6*Controls!$D$10*E8</x:f>
        <x:v>6</x:v>
      </x:c>
      <x:c r="H8" s="49" t="n">
        <x:f>Controls!$D$6*Controls!$D$11*E8</x:f>
        <x:v>6</x:v>
      </x:c>
      <x:c r="I8" s="49" t="n">
        <x:f>Controls!$D$6*Controls!$D$12*E8</x:f>
        <x:v>4</x:v>
      </x:c>
      <x:c r="J8" s="49" t="n">
        <x:f>Controls!$D$6*Controls!$D$13*E8</x:f>
        <x:v>2</x:v>
      </x:c>
      <x:c r="K8" s="47" t="n">
        <x:f>SUM(F8:J8)</x:f>
        <x:v>40</x:v>
      </x:c>
      <x:c r="L8" s="47" t="n">
        <x:f>SUM($K$5:K8)</x:f>
        <x:v>160</x:v>
      </x:c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n">
        <x:v>5</x:v>
      </x:c>
      <x:c r="D9" s="37" t="str">
        <x:v>Constitute institutions and rival prototypes</x:v>
      </x:c>
      <x:c r="E9" s="45" t="n">
        <x:v>0.04</x:v>
      </x:c>
      <x:c r="F9" s="49" t="n">
        <x:f>Controls!$D$6*Controls!$D$9*E9</x:f>
        <x:v>22</x:v>
      </x:c>
      <x:c r="G9" s="49" t="n">
        <x:f>Controls!$D$6*Controls!$D$10*E9</x:f>
        <x:v>6</x:v>
      </x:c>
      <x:c r="H9" s="49" t="n">
        <x:f>Controls!$D$6*Controls!$D$11*E9</x:f>
        <x:v>6</x:v>
      </x:c>
      <x:c r="I9" s="49" t="n">
        <x:f>Controls!$D$6*Controls!$D$12*E9</x:f>
        <x:v>4</x:v>
      </x:c>
      <x:c r="J9" s="49" t="n">
        <x:f>Controls!$D$6*Controls!$D$13*E9</x:f>
        <x:v>2</x:v>
      </x:c>
      <x:c r="K9" s="47" t="n">
        <x:f>SUM(F9:J9)</x:f>
        <x:v>40</x:v>
      </x:c>
      <x:c r="L9" s="47" t="n">
        <x:f>SUM($K$5:K9)</x:f>
        <x:v>200</x:v>
      </x:c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n">
        <x:v>6</x:v>
      </x:c>
      <x:c r="D10" s="37" t="str">
        <x:v>Full-scale competition and public proving</x:v>
      </x:c>
      <x:c r="E10" s="45" t="n">
        <x:v>0.06</x:v>
      </x:c>
      <x:c r="F10" s="49" t="n">
        <x:f>Controls!$D$6*Controls!$D$9*E10</x:f>
        <x:v>33</x:v>
      </x:c>
      <x:c r="G10" s="49" t="n">
        <x:f>Controls!$D$6*Controls!$D$10*E10</x:f>
        <x:v>9</x:v>
      </x:c>
      <x:c r="H10" s="49" t="n">
        <x:f>Controls!$D$6*Controls!$D$11*E10</x:f>
        <x:v>9</x:v>
      </x:c>
      <x:c r="I10" s="49" t="n">
        <x:f>Controls!$D$6*Controls!$D$12*E10</x:f>
        <x:v>6</x:v>
      </x:c>
      <x:c r="J10" s="49" t="n">
        <x:f>Controls!$D$6*Controls!$D$13*E10</x:f>
        <x:v>3</x:v>
      </x:c>
      <x:c r="K10" s="47" t="n">
        <x:f>SUM(F10:J10)</x:f>
        <x:v>60</x:v>
      </x:c>
      <x:c r="L10" s="47" t="n">
        <x:f>SUM($K$5:K10)</x:f>
        <x:v>260</x:v>
      </x:c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n">
        <x:v>7</x:v>
      </x:c>
      <x:c r="D11" s="37" t="str">
        <x:v>Full-scale competition and public proving</x:v>
      </x:c>
      <x:c r="E11" s="45" t="n">
        <x:v>0.06</x:v>
      </x:c>
      <x:c r="F11" s="49" t="n">
        <x:f>Controls!$D$6*Controls!$D$9*E11</x:f>
        <x:v>33</x:v>
      </x:c>
      <x:c r="G11" s="49" t="n">
        <x:f>Controls!$D$6*Controls!$D$10*E11</x:f>
        <x:v>9</x:v>
      </x:c>
      <x:c r="H11" s="49" t="n">
        <x:f>Controls!$D$6*Controls!$D$11*E11</x:f>
        <x:v>9</x:v>
      </x:c>
      <x:c r="I11" s="49" t="n">
        <x:f>Controls!$D$6*Controls!$D$12*E11</x:f>
        <x:v>6</x:v>
      </x:c>
      <x:c r="J11" s="49" t="n">
        <x:f>Controls!$D$6*Controls!$D$13*E11</x:f>
        <x:v>3</x:v>
      </x:c>
      <x:c r="K11" s="47" t="n">
        <x:f>SUM(F11:J11)</x:f>
        <x:v>60</x:v>
      </x:c>
      <x:c r="L11" s="47" t="n">
        <x:f>SUM($K$5:K11)</x:f>
        <x:v>320</x:v>
      </x:c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n">
        <x:v>8</x:v>
      </x:c>
      <x:c r="D12" s="37" t="str">
        <x:v>Full-scale competition and public proving</x:v>
      </x:c>
      <x:c r="E12" s="45" t="n">
        <x:v>0.06</x:v>
      </x:c>
      <x:c r="F12" s="49" t="n">
        <x:f>Controls!$D$6*Controls!$D$9*E12</x:f>
        <x:v>33</x:v>
      </x:c>
      <x:c r="G12" s="49" t="n">
        <x:f>Controls!$D$6*Controls!$D$10*E12</x:f>
        <x:v>9</x:v>
      </x:c>
      <x:c r="H12" s="49" t="n">
        <x:f>Controls!$D$6*Controls!$D$11*E12</x:f>
        <x:v>9</x:v>
      </x:c>
      <x:c r="I12" s="49" t="n">
        <x:f>Controls!$D$6*Controls!$D$12*E12</x:f>
        <x:v>6</x:v>
      </x:c>
      <x:c r="J12" s="49" t="n">
        <x:f>Controls!$D$6*Controls!$D$13*E12</x:f>
        <x:v>3</x:v>
      </x:c>
      <x:c r="K12" s="47" t="n">
        <x:f>SUM(F12:J12)</x:f>
        <x:v>60</x:v>
      </x:c>
      <x:c r="L12" s="47" t="n">
        <x:f>SUM($K$5:K12)</x:f>
        <x:v>380</x:v>
      </x:c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n">
        <x:v>9</x:v>
      </x:c>
      <x:c r="D13" s="37" t="str">
        <x:v>Full-scale competition and public proving</x:v>
      </x:c>
      <x:c r="E13" s="45" t="n">
        <x:v>0.06</x:v>
      </x:c>
      <x:c r="F13" s="49" t="n">
        <x:f>Controls!$D$6*Controls!$D$9*E13</x:f>
        <x:v>33</x:v>
      </x:c>
      <x:c r="G13" s="49" t="n">
        <x:f>Controls!$D$6*Controls!$D$10*E13</x:f>
        <x:v>9</x:v>
      </x:c>
      <x:c r="H13" s="49" t="n">
        <x:f>Controls!$D$6*Controls!$D$11*E13</x:f>
        <x:v>9</x:v>
      </x:c>
      <x:c r="I13" s="49" t="n">
        <x:f>Controls!$D$6*Controls!$D$12*E13</x:f>
        <x:v>6</x:v>
      </x:c>
      <x:c r="J13" s="49" t="n">
        <x:f>Controls!$D$6*Controls!$D$13*E13</x:f>
        <x:v>3</x:v>
      </x:c>
      <x:c r="K13" s="47" t="n">
        <x:f>SUM(F13:J13)</x:f>
        <x:v>60</x:v>
      </x:c>
      <x:c r="L13" s="47" t="n">
        <x:f>SUM($K$5:K13)</x:f>
        <x:v>440</x:v>
      </x:c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 t="n">
        <x:v>10</x:v>
      </x:c>
      <x:c r="D14" s="37" t="str">
        <x:v>Full-scale competition and public proving</x:v>
      </x:c>
      <x:c r="E14" s="45" t="n">
        <x:v>0.06</x:v>
      </x:c>
      <x:c r="F14" s="49" t="n">
        <x:f>Controls!$D$6*Controls!$D$9*E14</x:f>
        <x:v>33</x:v>
      </x:c>
      <x:c r="G14" s="49" t="n">
        <x:f>Controls!$D$6*Controls!$D$10*E14</x:f>
        <x:v>9</x:v>
      </x:c>
      <x:c r="H14" s="49" t="n">
        <x:f>Controls!$D$6*Controls!$D$11*E14</x:f>
        <x:v>9</x:v>
      </x:c>
      <x:c r="I14" s="49" t="n">
        <x:f>Controls!$D$6*Controls!$D$12*E14</x:f>
        <x:v>6</x:v>
      </x:c>
      <x:c r="J14" s="49" t="n">
        <x:f>Controls!$D$6*Controls!$D$13*E14</x:f>
        <x:v>3</x:v>
      </x:c>
      <x:c r="K14" s="47" t="n">
        <x:f>SUM(F14:J14)</x:f>
        <x:v>60</x:v>
      </x:c>
      <x:c r="L14" s="47" t="n">
        <x:f>SUM($K$5:K14)</x:f>
        <x:v>500</x:v>
      </x:c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 t="n">
        <x:v>11</x:v>
      </x:c>
      <x:c r="D15" s="37" t="str">
        <x:v>Initial production lines and operational test</x:v>
      </x:c>
      <x:c r="E15" s="45" t="n">
        <x:v>0.05</x:v>
      </x:c>
      <x:c r="F15" s="49" t="n">
        <x:f>Controls!$D$6*Controls!$D$9*E15</x:f>
        <x:v>27.5</x:v>
      </x:c>
      <x:c r="G15" s="49" t="n">
        <x:f>Controls!$D$6*Controls!$D$10*E15</x:f>
        <x:v>7.5</x:v>
      </x:c>
      <x:c r="H15" s="49" t="n">
        <x:f>Controls!$D$6*Controls!$D$11*E15</x:f>
        <x:v>7.5</x:v>
      </x:c>
      <x:c r="I15" s="49" t="n">
        <x:f>Controls!$D$6*Controls!$D$12*E15</x:f>
        <x:v>5</x:v>
      </x:c>
      <x:c r="J15" s="49" t="n">
        <x:f>Controls!$D$6*Controls!$D$13*E15</x:f>
        <x:v>2.5</x:v>
      </x:c>
      <x:c r="K15" s="47" t="n">
        <x:f>SUM(F15:J15)</x:f>
        <x:v>50</x:v>
      </x:c>
      <x:c r="L15" s="47" t="n">
        <x:f>SUM($K$5:K15)</x:f>
        <x:v>550</x:v>
      </x:c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 t="n">
        <x:v>12</x:v>
      </x:c>
      <x:c r="D16" s="37" t="str">
        <x:v>Initial production lines and operational test</x:v>
      </x:c>
      <x:c r="E16" s="45" t="n">
        <x:v>0.05</x:v>
      </x:c>
      <x:c r="F16" s="49" t="n">
        <x:f>Controls!$D$6*Controls!$D$9*E16</x:f>
        <x:v>27.5</x:v>
      </x:c>
      <x:c r="G16" s="49" t="n">
        <x:f>Controls!$D$6*Controls!$D$10*E16</x:f>
        <x:v>7.5</x:v>
      </x:c>
      <x:c r="H16" s="49" t="n">
        <x:f>Controls!$D$6*Controls!$D$11*E16</x:f>
        <x:v>7.5</x:v>
      </x:c>
      <x:c r="I16" s="49" t="n">
        <x:f>Controls!$D$6*Controls!$D$12*E16</x:f>
        <x:v>5</x:v>
      </x:c>
      <x:c r="J16" s="49" t="n">
        <x:f>Controls!$D$6*Controls!$D$13*E16</x:f>
        <x:v>2.5</x:v>
      </x:c>
      <x:c r="K16" s="47" t="n">
        <x:f>SUM(F16:J16)</x:f>
        <x:v>50</x:v>
      </x:c>
      <x:c r="L16" s="47" t="n">
        <x:f>SUM($K$5:K16)</x:f>
        <x:v>600</x:v>
      </x:c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 t="n">
        <x:v>13</x:v>
      </x:c>
      <x:c r="D17" s="37" t="str">
        <x:v>Initial production lines and operational test</x:v>
      </x:c>
      <x:c r="E17" s="45" t="n">
        <x:v>0.05</x:v>
      </x:c>
      <x:c r="F17" s="49" t="n">
        <x:f>Controls!$D$6*Controls!$D$9*E17</x:f>
        <x:v>27.5</x:v>
      </x:c>
      <x:c r="G17" s="49" t="n">
        <x:f>Controls!$D$6*Controls!$D$10*E17</x:f>
        <x:v>7.5</x:v>
      </x:c>
      <x:c r="H17" s="49" t="n">
        <x:f>Controls!$D$6*Controls!$D$11*E17</x:f>
        <x:v>7.5</x:v>
      </x:c>
      <x:c r="I17" s="49" t="n">
        <x:f>Controls!$D$6*Controls!$D$12*E17</x:f>
        <x:v>5</x:v>
      </x:c>
      <x:c r="J17" s="49" t="n">
        <x:f>Controls!$D$6*Controls!$D$13*E17</x:f>
        <x:v>2.5</x:v>
      </x:c>
      <x:c r="K17" s="47" t="n">
        <x:f>SUM(F17:J17)</x:f>
        <x:v>50</x:v>
      </x:c>
      <x:c r="L17" s="47" t="n">
        <x:f>SUM($K$5:K17)</x:f>
        <x:v>650</x:v>
      </x:c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 t="n">
        <x:v>14</x:v>
      </x:c>
      <x:c r="D18" s="37" t="str">
        <x:v>Initial production lines and operational test</x:v>
      </x:c>
      <x:c r="E18" s="45" t="n">
        <x:v>0.05</x:v>
      </x:c>
      <x:c r="F18" s="49" t="n">
        <x:f>Controls!$D$6*Controls!$D$9*E18</x:f>
        <x:v>27.5</x:v>
      </x:c>
      <x:c r="G18" s="49" t="n">
        <x:f>Controls!$D$6*Controls!$D$10*E18</x:f>
        <x:v>7.5</x:v>
      </x:c>
      <x:c r="H18" s="49" t="n">
        <x:f>Controls!$D$6*Controls!$D$11*E18</x:f>
        <x:v>7.5</x:v>
      </x:c>
      <x:c r="I18" s="49" t="n">
        <x:f>Controls!$D$6*Controls!$D$12*E18</x:f>
        <x:v>5</x:v>
      </x:c>
      <x:c r="J18" s="49" t="n">
        <x:f>Controls!$D$6*Controls!$D$13*E18</x:f>
        <x:v>2.5</x:v>
      </x:c>
      <x:c r="K18" s="47" t="n">
        <x:f>SUM(F18:J18)</x:f>
        <x:v>50</x:v>
      </x:c>
      <x:c r="L18" s="47" t="n">
        <x:f>SUM($K$5:K18)</x:f>
        <x:v>700</x:v>
      </x:c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 t="n">
        <x:v>15</x:v>
      </x:c>
      <x:c r="D19" s="37" t="str">
        <x:v>Initial production lines and operational test</x:v>
      </x:c>
      <x:c r="E19" s="45" t="n">
        <x:v>0.05</x:v>
      </x:c>
      <x:c r="F19" s="49" t="n">
        <x:f>Controls!$D$6*Controls!$D$9*E19</x:f>
        <x:v>27.5</x:v>
      </x:c>
      <x:c r="G19" s="49" t="n">
        <x:f>Controls!$D$6*Controls!$D$10*E19</x:f>
        <x:v>7.5</x:v>
      </x:c>
      <x:c r="H19" s="49" t="n">
        <x:f>Controls!$D$6*Controls!$D$11*E19</x:f>
        <x:v>7.5</x:v>
      </x:c>
      <x:c r="I19" s="49" t="n">
        <x:f>Controls!$D$6*Controls!$D$12*E19</x:f>
        <x:v>5</x:v>
      </x:c>
      <x:c r="J19" s="49" t="n">
        <x:f>Controls!$D$6*Controls!$D$13*E19</x:f>
        <x:v>2.5</x:v>
      </x:c>
      <x:c r="K19" s="47" t="n">
        <x:f>SUM(F19:J19)</x:f>
        <x:v>50</x:v>
      </x:c>
      <x:c r="L19" s="47" t="n">
        <x:f>SUM($K$5:K19)</x:f>
        <x:v>750</x:v>
      </x:c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 t="n">
        <x:v>16</x:v>
      </x:c>
      <x:c r="D20" s="37" t="str">
        <x:v>Deployment integration and allied qualification</x:v>
      </x:c>
      <x:c r="E20" s="45" t="n">
        <x:v>0.03</x:v>
      </x:c>
      <x:c r="F20" s="49" t="n">
        <x:f>Controls!$D$6*Controls!$D$9*E20</x:f>
        <x:v>16.5</x:v>
      </x:c>
      <x:c r="G20" s="49" t="n">
        <x:f>Controls!$D$6*Controls!$D$10*E20</x:f>
        <x:v>4.5</x:v>
      </x:c>
      <x:c r="H20" s="49" t="n">
        <x:f>Controls!$D$6*Controls!$D$11*E20</x:f>
        <x:v>4.5</x:v>
      </x:c>
      <x:c r="I20" s="49" t="n">
        <x:f>Controls!$D$6*Controls!$D$12*E20</x:f>
        <x:v>3</x:v>
      </x:c>
      <x:c r="J20" s="49" t="n">
        <x:f>Controls!$D$6*Controls!$D$13*E20</x:f>
        <x:v>1.5</x:v>
      </x:c>
      <x:c r="K20" s="47" t="n">
        <x:f>SUM(F20:J20)</x:f>
        <x:v>30</x:v>
      </x:c>
      <x:c r="L20" s="47" t="n">
        <x:f>SUM($K$5:K20)</x:f>
        <x:v>780</x:v>
      </x:c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 t="n">
        <x:v>17</x:v>
      </x:c>
      <x:c r="D21" s="37" t="str">
        <x:v>Deployment integration and allied qualification</x:v>
      </x:c>
      <x:c r="E21" s="45" t="n">
        <x:v>0.03</x:v>
      </x:c>
      <x:c r="F21" s="49" t="n">
        <x:f>Controls!$D$6*Controls!$D$9*E21</x:f>
        <x:v>16.5</x:v>
      </x:c>
      <x:c r="G21" s="49" t="n">
        <x:f>Controls!$D$6*Controls!$D$10*E21</x:f>
        <x:v>4.5</x:v>
      </x:c>
      <x:c r="H21" s="49" t="n">
        <x:f>Controls!$D$6*Controls!$D$11*E21</x:f>
        <x:v>4.5</x:v>
      </x:c>
      <x:c r="I21" s="49" t="n">
        <x:f>Controls!$D$6*Controls!$D$12*E21</x:f>
        <x:v>3</x:v>
      </x:c>
      <x:c r="J21" s="49" t="n">
        <x:f>Controls!$D$6*Controls!$D$13*E21</x:f>
        <x:v>1.5</x:v>
      </x:c>
      <x:c r="K21" s="47" t="n">
        <x:f>SUM(F21:J21)</x:f>
        <x:v>30</x:v>
      </x:c>
      <x:c r="L21" s="47" t="n">
        <x:f>SUM($K$5:K21)</x:f>
        <x:v>810</x:v>
      </x:c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 t="n">
        <x:v>18</x:v>
      </x:c>
      <x:c r="D22" s="37" t="str">
        <x:v>Deployment integration and allied qualification</x:v>
      </x:c>
      <x:c r="E22" s="45" t="n">
        <x:v>0.03</x:v>
      </x:c>
      <x:c r="F22" s="49" t="n">
        <x:f>Controls!$D$6*Controls!$D$9*E22</x:f>
        <x:v>16.5</x:v>
      </x:c>
      <x:c r="G22" s="49" t="n">
        <x:f>Controls!$D$6*Controls!$D$10*E22</x:f>
        <x:v>4.5</x:v>
      </x:c>
      <x:c r="H22" s="49" t="n">
        <x:f>Controls!$D$6*Controls!$D$11*E22</x:f>
        <x:v>4.5</x:v>
      </x:c>
      <x:c r="I22" s="49" t="n">
        <x:f>Controls!$D$6*Controls!$D$12*E22</x:f>
        <x:v>3</x:v>
      </x:c>
      <x:c r="J22" s="49" t="n">
        <x:f>Controls!$D$6*Controls!$D$13*E22</x:f>
        <x:v>1.5</x:v>
      </x:c>
      <x:c r="K22" s="47" t="n">
        <x:f>SUM(F22:J22)</x:f>
        <x:v>30</x:v>
      </x:c>
      <x:c r="L22" s="47" t="n">
        <x:f>SUM($K$5:K22)</x:f>
        <x:v>840</x:v>
      </x:c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 t="n">
        <x:v>19</x:v>
      </x:c>
      <x:c r="D23" s="37" t="str">
        <x:v>Deployment integration and allied qualification</x:v>
      </x:c>
      <x:c r="E23" s="45" t="n">
        <x:v>0.03</x:v>
      </x:c>
      <x:c r="F23" s="49" t="n">
        <x:f>Controls!$D$6*Controls!$D$9*E23</x:f>
        <x:v>16.5</x:v>
      </x:c>
      <x:c r="G23" s="49" t="n">
        <x:f>Controls!$D$6*Controls!$D$10*E23</x:f>
        <x:v>4.5</x:v>
      </x:c>
      <x:c r="H23" s="49" t="n">
        <x:f>Controls!$D$6*Controls!$D$11*E23</x:f>
        <x:v>4.5</x:v>
      </x:c>
      <x:c r="I23" s="49" t="n">
        <x:f>Controls!$D$6*Controls!$D$12*E23</x:f>
        <x:v>3</x:v>
      </x:c>
      <x:c r="J23" s="49" t="n">
        <x:f>Controls!$D$6*Controls!$D$13*E23</x:f>
        <x:v>1.5</x:v>
      </x:c>
      <x:c r="K23" s="47" t="n">
        <x:f>SUM(F23:J23)</x:f>
        <x:v>30</x:v>
      </x:c>
      <x:c r="L23" s="47" t="n">
        <x:f>SUM($K$5:K23)</x:f>
        <x:v>870</x:v>
      </x:c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 t="n">
        <x:v>20</x:v>
      </x:c>
      <x:c r="D24" s="37" t="str">
        <x:v>Deployment integration and allied qualification</x:v>
      </x:c>
      <x:c r="E24" s="45" t="n">
        <x:v>0.03</x:v>
      </x:c>
      <x:c r="F24" s="49" t="n">
        <x:f>Controls!$D$6*Controls!$D$9*E24</x:f>
        <x:v>16.5</x:v>
      </x:c>
      <x:c r="G24" s="49" t="n">
        <x:f>Controls!$D$6*Controls!$D$10*E24</x:f>
        <x:v>4.5</x:v>
      </x:c>
      <x:c r="H24" s="49" t="n">
        <x:f>Controls!$D$6*Controls!$D$11*E24</x:f>
        <x:v>4.5</x:v>
      </x:c>
      <x:c r="I24" s="49" t="n">
        <x:f>Controls!$D$6*Controls!$D$12*E24</x:f>
        <x:v>3</x:v>
      </x:c>
      <x:c r="J24" s="49" t="n">
        <x:f>Controls!$D$6*Controls!$D$13*E24</x:f>
        <x:v>1.5</x:v>
      </x:c>
      <x:c r="K24" s="47" t="n">
        <x:f>SUM(F24:J24)</x:f>
        <x:v>30</x:v>
      </x:c>
      <x:c r="L24" s="47" t="n">
        <x:f>SUM($K$5:K24)</x:f>
        <x:v>900</x:v>
      </x:c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 t="n">
        <x:v>21</x:v>
      </x:c>
      <x:c r="D25" s="37" t="str">
        <x:v>Renewal, replacement and second-generation roots</x:v>
      </x:c>
      <x:c r="E25" s="45" t="n">
        <x:v>0.02</x:v>
      </x:c>
      <x:c r="F25" s="49" t="n">
        <x:f>Controls!$D$6*Controls!$D$9*E25</x:f>
        <x:v>11</x:v>
      </x:c>
      <x:c r="G25" s="49" t="n">
        <x:f>Controls!$D$6*Controls!$D$10*E25</x:f>
        <x:v>3</x:v>
      </x:c>
      <x:c r="H25" s="49" t="n">
        <x:f>Controls!$D$6*Controls!$D$11*E25</x:f>
        <x:v>3</x:v>
      </x:c>
      <x:c r="I25" s="49" t="n">
        <x:f>Controls!$D$6*Controls!$D$12*E25</x:f>
        <x:v>2</x:v>
      </x:c>
      <x:c r="J25" s="49" t="n">
        <x:f>Controls!$D$6*Controls!$D$13*E25</x:f>
        <x:v>1</x:v>
      </x:c>
      <x:c r="K25" s="47" t="n">
        <x:f>SUM(F25:J25)</x:f>
        <x:v>20</x:v>
      </x:c>
      <x:c r="L25" s="47" t="n">
        <x:f>SUM($K$5:K25)</x:f>
        <x:v>920</x:v>
      </x:c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 t="n">
        <x:v>22</x:v>
      </x:c>
      <x:c r="D26" s="37" t="str">
        <x:v>Renewal, replacement and second-generation roots</x:v>
      </x:c>
      <x:c r="E26" s="45" t="n">
        <x:v>0.02</x:v>
      </x:c>
      <x:c r="F26" s="49" t="n">
        <x:f>Controls!$D$6*Controls!$D$9*E26</x:f>
        <x:v>11</x:v>
      </x:c>
      <x:c r="G26" s="49" t="n">
        <x:f>Controls!$D$6*Controls!$D$10*E26</x:f>
        <x:v>3</x:v>
      </x:c>
      <x:c r="H26" s="49" t="n">
        <x:f>Controls!$D$6*Controls!$D$11*E26</x:f>
        <x:v>3</x:v>
      </x:c>
      <x:c r="I26" s="49" t="n">
        <x:f>Controls!$D$6*Controls!$D$12*E26</x:f>
        <x:v>2</x:v>
      </x:c>
      <x:c r="J26" s="49" t="n">
        <x:f>Controls!$D$6*Controls!$D$13*E26</x:f>
        <x:v>1</x:v>
      </x:c>
      <x:c r="K26" s="47" t="n">
        <x:f>SUM(F26:J26)</x:f>
        <x:v>20</x:v>
      </x:c>
      <x:c r="L26" s="47" t="n">
        <x:f>SUM($K$5:K26)</x:f>
        <x:v>940</x:v>
      </x:c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 t="n">
        <x:v>23</x:v>
      </x:c>
      <x:c r="D27" s="37" t="str">
        <x:v>Renewal, replacement and second-generation roots</x:v>
      </x:c>
      <x:c r="E27" s="45" t="n">
        <x:v>0.02</x:v>
      </x:c>
      <x:c r="F27" s="49" t="n">
        <x:f>Controls!$D$6*Controls!$D$9*E27</x:f>
        <x:v>11</x:v>
      </x:c>
      <x:c r="G27" s="49" t="n">
        <x:f>Controls!$D$6*Controls!$D$10*E27</x:f>
        <x:v>3</x:v>
      </x:c>
      <x:c r="H27" s="49" t="n">
        <x:f>Controls!$D$6*Controls!$D$11*E27</x:f>
        <x:v>3</x:v>
      </x:c>
      <x:c r="I27" s="49" t="n">
        <x:f>Controls!$D$6*Controls!$D$12*E27</x:f>
        <x:v>2</x:v>
      </x:c>
      <x:c r="J27" s="49" t="n">
        <x:f>Controls!$D$6*Controls!$D$13*E27</x:f>
        <x:v>1</x:v>
      </x:c>
      <x:c r="K27" s="47" t="n">
        <x:f>SUM(F27:J27)</x:f>
        <x:v>20</x:v>
      </x:c>
      <x:c r="L27" s="47" t="n">
        <x:f>SUM($K$5:K27)</x:f>
        <x:v>960</x:v>
      </x:c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 t="n">
        <x:v>24</x:v>
      </x:c>
      <x:c r="D28" s="37" t="str">
        <x:v>Renewal, replacement and second-generation roots</x:v>
      </x:c>
      <x:c r="E28" s="45" t="n">
        <x:v>0.02</x:v>
      </x:c>
      <x:c r="F28" s="49" t="n">
        <x:f>Controls!$D$6*Controls!$D$9*E28</x:f>
        <x:v>11</x:v>
      </x:c>
      <x:c r="G28" s="49" t="n">
        <x:f>Controls!$D$6*Controls!$D$10*E28</x:f>
        <x:v>3</x:v>
      </x:c>
      <x:c r="H28" s="49" t="n">
        <x:f>Controls!$D$6*Controls!$D$11*E28</x:f>
        <x:v>3</x:v>
      </x:c>
      <x:c r="I28" s="49" t="n">
        <x:f>Controls!$D$6*Controls!$D$12*E28</x:f>
        <x:v>2</x:v>
      </x:c>
      <x:c r="J28" s="49" t="n">
        <x:f>Controls!$D$6*Controls!$D$13*E28</x:f>
        <x:v>1</x:v>
      </x:c>
      <x:c r="K28" s="47" t="n">
        <x:f>SUM(F28:J28)</x:f>
        <x:v>20</x:v>
      </x:c>
      <x:c r="L28" s="47" t="n">
        <x:f>SUM($K$5:K28)</x:f>
        <x:v>980</x:v>
      </x:c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 t="n">
        <x:v>25</x:v>
      </x:c>
      <x:c r="D29" s="37" t="str">
        <x:v>Renewal, replacement and second-generation roots</x:v>
      </x:c>
      <x:c r="E29" s="45" t="n">
        <x:v>0.02</x:v>
      </x:c>
      <x:c r="F29" s="49" t="n">
        <x:f>Controls!$D$6*Controls!$D$9*E29</x:f>
        <x:v>11</x:v>
      </x:c>
      <x:c r="G29" s="49" t="n">
        <x:f>Controls!$D$6*Controls!$D$10*E29</x:f>
        <x:v>3</x:v>
      </x:c>
      <x:c r="H29" s="49" t="n">
        <x:f>Controls!$D$6*Controls!$D$11*E29</x:f>
        <x:v>3</x:v>
      </x:c>
      <x:c r="I29" s="49" t="n">
        <x:f>Controls!$D$6*Controls!$D$12*E29</x:f>
        <x:v>2</x:v>
      </x:c>
      <x:c r="J29" s="49" t="n">
        <x:f>Controls!$D$6*Controls!$D$13*E29</x:f>
        <x:v>1</x:v>
      </x:c>
      <x:c r="K29" s="47" t="n">
        <x:f>SUM(F29:J29)</x:f>
        <x:v>20</x:v>
      </x:c>
      <x:c r="L29" s="47" t="n">
        <x:f>SUM($K$5:K29)</x:f>
        <x:v>1000</x:v>
      </x:c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40" t="str">
        <x:v>Total</x:v>
      </x:c>
      <x:c r="D30" s="40" t="str"/>
      <x:c r="E30" s="46" t="n">
        <x:f>SUM(E5:E29)</x:f>
        <x:v>1.0000000000000004</x:v>
      </x:c>
      <x:c r="F30" s="48" t="n">
        <x:f>SUM(F5:F29)</x:f>
        <x:v>550</x:v>
      </x:c>
      <x:c r="G30" s="48" t="n">
        <x:f>SUM(G5:G29)</x:f>
        <x:v>150</x:v>
      </x:c>
      <x:c r="H30" s="48" t="n">
        <x:f>SUM(H5:H29)</x:f>
        <x:v>150</x:v>
      </x:c>
      <x:c r="I30" s="48" t="n">
        <x:f>SUM(I5:I29)</x:f>
        <x:v>100</x:v>
      </x:c>
      <x:c r="J30" s="48" t="n">
        <x:f>SUM(J5:J29)</x:f>
        <x:v>50</x:v>
      </x:c>
      <x:c r="K30" s="48" t="n">
        <x:f>SUM(K5:K29)</x:f>
        <x:v>1000</x:v>
      </x:c>
      <x:c r="L30" s="48" t="n">
        <x:f>L29</x:f>
        <x:v>1000</x:v>
      </x:c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6" hidden="0" customWidth="1"/>
    <x:col min="4" max="4" width="20" hidden="0" customWidth="1"/>
    <x:col min="5" max="5" width="23" hidden="0" customWidth="1"/>
    <x:col min="6" max="6" width="28" hidden="0" customWidth="1"/>
    <x:col min="7" max="7" width="25" hidden="0" customWidth="1"/>
    <x:col min="8" max="8" width="26" hidden="0" customWidth="1"/>
    <x:col min="9" max="9" width="20" hidden="0" customWidth="1"/>
    <x:col min="10" max="10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Funding-jurisdiction sensitivity</x:v>
      </x:c>
      <x:c r="D2" s="2"/>
      <x:c r="E2" s="2"/>
      <x:c r="F2" s="2"/>
      <x:c r="G2" s="2"/>
      <x:c r="H2" s="2"/>
      <x:c r="I2" s="2"/>
      <x:c r="J2" s="2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Case</x:v>
      </x:c>
      <x:c r="D4" s="23" t="str">
        <x:v>Mission systems</x:v>
      </x:c>
      <x:c r="E4" s="23" t="str">
        <x:v>Service base</x:v>
      </x:c>
      <x:c r="F4" s="23" t="str">
        <x:v>Common capacity</x:v>
      </x:c>
      <x:c r="G4" s="23" t="str">
        <x:v>Sovereign technical</x:v>
      </x:c>
      <x:c r="H4" s="23" t="str">
        <x:v>Failure reserve</x:v>
      </x:c>
      <x:c r="I4" s="23" t="str">
        <x:v>Total (USD B)</x:v>
      </x:c>
      <x:c r="J4" s="13" t="str">
        <x:v>Institutional interpretation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Reference</x:v>
      </x:c>
      <x:c r="D5" s="47" t="n">
        <x:f>Controls!F9*Controls!$D$6</x:f>
        <x:v>550</x:v>
      </x:c>
      <x:c r="E5" s="47" t="n">
        <x:f>Controls!F10*Controls!$D$6</x:f>
        <x:v>150</x:v>
      </x:c>
      <x:c r="F5" s="47" t="n">
        <x:f>Controls!F11*Controls!$D$6</x:f>
        <x:v>150</x:v>
      </x:c>
      <x:c r="G5" s="47" t="n">
        <x:f>Controls!F12*Controls!$D$6</x:f>
        <x:v>100</x:v>
      </x:c>
      <x:c r="H5" s="47" t="n">
        <x:f>Controls!F13*Controls!$D$6</x:f>
        <x:v>50</x:v>
      </x:c>
      <x:c r="I5" s="47" t="n">
        <x:f>SUM(D5:H5)</x:f>
        <x:v>1000</x:v>
      </x:c>
      <x:c r="J5" s="37" t="str">
        <x:v>More outcome integration</x:v>
      </x:c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Service depth</x:v>
      </x:c>
      <x:c r="D6" s="47" t="n">
        <x:f>Controls!G9*Controls!$D$6</x:f>
        <x:v>450</x:v>
      </x:c>
      <x:c r="E6" s="47" t="n">
        <x:f>Controls!G10*Controls!$D$6</x:f>
        <x:v>250</x:v>
      </x:c>
      <x:c r="F6" s="47" t="n">
        <x:f>Controls!G11*Controls!$D$6</x:f>
        <x:v>150</x:v>
      </x:c>
      <x:c r="G6" s="47" t="n">
        <x:f>Controls!G12*Controls!$D$6</x:f>
        <x:v>100</x:v>
      </x:c>
      <x:c r="H6" s="47" t="n">
        <x:f>Controls!G13*Controls!$D$6</x:f>
        <x:v>50</x:v>
      </x:c>
      <x:c r="I6" s="47" t="n">
        <x:f>SUM(D6:H6)</x:f>
        <x:v>1000</x:v>
      </x:c>
      <x:c r="J6" s="37" t="str">
        <x:v>More professional and article-family depth</x:v>
      </x:c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Competition reserve</x:v>
      </x:c>
      <x:c r="D7" s="47" t="n">
        <x:f>Controls!H9*Controls!$D$6</x:f>
        <x:v>500</x:v>
      </x:c>
      <x:c r="E7" s="47" t="n">
        <x:f>Controls!H10*Controls!$D$6</x:f>
        <x:v>150</x:v>
      </x:c>
      <x:c r="F7" s="47" t="n">
        <x:f>Controls!H11*Controls!$D$6</x:f>
        <x:v>150</x:v>
      </x:c>
      <x:c r="G7" s="47" t="n">
        <x:f>Controls!H12*Controls!$D$6</x:f>
        <x:v>100</x:v>
      </x:c>
      <x:c r="H7" s="47" t="n">
        <x:f>Controls!H13*Controls!$D$6</x:f>
        <x:v>100</x:v>
      </x:c>
      <x:c r="I7" s="47" t="n">
        <x:f>SUM(D7:H7)</x:f>
        <x:v>1000</x:v>
      </x:c>
      <x:c r="J7" s="37" t="str">
        <x:v>More protected failure and recompete capacity</x:v>
      </x:c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 ht="30" customHeight="1">
      <x:c r="A10" s="1"/>
      <x:c r="B10" s="1"/>
      <x:c r="C10" s="12" t="str">
        <x:v>Reference portfolio</x:v>
      </x:c>
      <x:c r="D10" s="23" t="str">
        <x:v>Reference budget (USD B)</x:v>
      </x:c>
      <x:c r="E10" s="23" t="str">
        <x:v>Service-depth budget (USD B)</x:v>
      </x:c>
      <x:c r="F10" s="23" t="str">
        <x:v>Competition-reserve budget (USD B)</x:v>
      </x:c>
      <x:c r="G10" s="23" t="str">
        <x:v>Maximum difference (USD B)</x:v>
      </x:c>
      <x:c r="H10" s="13" t="str">
        <x:v>Decision status</x:v>
      </x:c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Civil coordination, safety and public information</x:v>
      </x:c>
      <x:c r="D11" s="47" t="n">
        <x:f>Controls!$D$6*Controls!$F$9*Controls!E18</x:f>
        <x:v>33</x:v>
      </x:c>
      <x:c r="E11" s="47" t="n">
        <x:f>Controls!$D$6*Controls!$G$9*Controls!E18</x:f>
        <x:v>27</x:v>
      </x:c>
      <x:c r="F11" s="47" t="n">
        <x:f>Controls!$D$6*Controls!$H$9*Controls!E18</x:f>
        <x:v>30</x:v>
      </x:c>
      <x:c r="G11" s="47" t="n">
        <x:f>MAX(D11:F11)-MIN(D11:F11)</x:f>
        <x:v>6</x:v>
      </x:c>
      <x:c r="H11" s="37" t="str">
        <x:v>Weights remain provisional</x:v>
      </x:c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str">
        <x:v>Food, shelter and essential-goods continuity</x:v>
      </x:c>
      <x:c r="D12" s="47" t="n">
        <x:f>Controls!$D$6*Controls!$F$9*Controls!E19</x:f>
        <x:v>44</x:v>
      </x:c>
      <x:c r="E12" s="47" t="n">
        <x:f>Controls!$D$6*Controls!$G$9*Controls!E19</x:f>
        <x:v>36</x:v>
      </x:c>
      <x:c r="F12" s="47" t="n">
        <x:f>Controls!$D$6*Controls!$H$9*Controls!E19</x:f>
        <x:v>40</x:v>
      </x:c>
      <x:c r="G12" s="47" t="n">
        <x:f>MAX(D12:F12)-MIN(D12:F12)</x:f>
        <x:v>8</x:v>
      </x:c>
      <x:c r="H12" s="37" t="str">
        <x:v>Weights remain provisional</x:v>
      </x:c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str">
        <x:v>Health and medical continuity</x:v>
      </x:c>
      <x:c r="D13" s="47" t="n">
        <x:f>Controls!$D$6*Controls!$F$9*Controls!E20</x:f>
        <x:v>71.5</x:v>
      </x:c>
      <x:c r="E13" s="47" t="n">
        <x:f>Controls!$D$6*Controls!$G$9*Controls!E20</x:f>
        <x:v>58.5</x:v>
      </x:c>
      <x:c r="F13" s="47" t="n">
        <x:f>Controls!$D$6*Controls!$H$9*Controls!E20</x:f>
        <x:v>65</x:v>
      </x:c>
      <x:c r="G13" s="47" t="n">
        <x:f>MAX(D13:F13)-MIN(D13:F13)</x:f>
        <x:v>13</x:v>
      </x:c>
      <x:c r="H13" s="37" t="str">
        <x:v>Weights remain provisional</x:v>
      </x:c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 t="str">
        <x:v>Energy and thermal continuity</x:v>
      </x:c>
      <x:c r="D14" s="47" t="n">
        <x:f>Controls!$D$6*Controls!$F$9*Controls!E21</x:f>
        <x:v>71.5</x:v>
      </x:c>
      <x:c r="E14" s="47" t="n">
        <x:f>Controls!$D$6*Controls!$G$9*Controls!E21</x:f>
        <x:v>58.5</x:v>
      </x:c>
      <x:c r="F14" s="47" t="n">
        <x:f>Controls!$D$6*Controls!$H$9*Controls!E21</x:f>
        <x:v>65</x:v>
      </x:c>
      <x:c r="G14" s="47" t="n">
        <x:f>MAX(D14:F14)-MIN(D14:F14)</x:f>
        <x:v>13</x:v>
      </x:c>
      <x:c r="H14" s="37" t="str">
        <x:v>Weights remain provisional</x:v>
      </x:c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 t="str">
        <x:v>Communications, computation and public-service access</x:v>
      </x:c>
      <x:c r="D15" s="47" t="n">
        <x:f>Controls!$D$6*Controls!$F$9*Controls!E22</x:f>
        <x:v>49.5</x:v>
      </x:c>
      <x:c r="E15" s="47" t="n">
        <x:f>Controls!$D$6*Controls!$G$9*Controls!E22</x:f>
        <x:v>40.5</x:v>
      </x:c>
      <x:c r="F15" s="47" t="n">
        <x:f>Controls!$D$6*Controls!$H$9*Controls!E22</x:f>
        <x:v>45</x:v>
      </x:c>
      <x:c r="G15" s="47" t="n">
        <x:f>MAX(D15:F15)-MIN(D15:F15)</x:f>
        <x:v>9</x:v>
      </x:c>
      <x:c r="H15" s="37" t="str">
        <x:v>Weights remain provisional</x:v>
      </x:c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 t="str">
        <x:v>Mobility, access and distribution</x:v>
      </x:c>
      <x:c r="D16" s="47" t="n">
        <x:f>Controls!$D$6*Controls!$F$9*Controls!E23</x:f>
        <x:v>77.00000000000001</x:v>
      </x:c>
      <x:c r="E16" s="47" t="n">
        <x:f>Controls!$D$6*Controls!$G$9*Controls!E23</x:f>
        <x:v>63.00000000000001</x:v>
      </x:c>
      <x:c r="F16" s="47" t="n">
        <x:f>Controls!$D$6*Controls!$H$9*Controls!E23</x:f>
        <x:v>70</x:v>
      </x:c>
      <x:c r="G16" s="47" t="n">
        <x:f>MAX(D16:F16)-MIN(D16:F16)</x:f>
        <x:v>14.000000000000007</x:v>
      </x:c>
      <x:c r="H16" s="37" t="str">
        <x:v>Weights remain provisional</x:v>
      </x:c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 t="str">
        <x:v>Water, sanitation and hygiene</x:v>
      </x:c>
      <x:c r="D17" s="47" t="n">
        <x:f>Controls!$D$6*Controls!$F$9*Controls!E24</x:f>
        <x:v>71.5</x:v>
      </x:c>
      <x:c r="E17" s="47" t="n">
        <x:f>Controls!$D$6*Controls!$G$9*Controls!E24</x:f>
        <x:v>58.5</x:v>
      </x:c>
      <x:c r="F17" s="47" t="n">
        <x:f>Controls!$D$6*Controls!$H$9*Controls!E24</x:f>
        <x:v>65</x:v>
      </x:c>
      <x:c r="G17" s="47" t="n">
        <x:f>MAX(D17:F17)-MIN(D17:F17)</x:f>
        <x:v>13</x:v>
      </x:c>
      <x:c r="H17" s="37" t="str">
        <x:v>Weights remain provisional</x:v>
      </x:c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 t="str">
        <x:v>Hazard and environmental control</x:v>
      </x:c>
      <x:c r="D18" s="47" t="n">
        <x:f>Controls!$D$6*Controls!$F$9*Controls!E25</x:f>
        <x:v>82.5</x:v>
      </x:c>
      <x:c r="E18" s="47" t="n">
        <x:f>Controls!$D$6*Controls!$G$9*Controls!E25</x:f>
        <x:v>67.5</x:v>
      </x:c>
      <x:c r="F18" s="47" t="n">
        <x:f>Controls!$D$6*Controls!$H$9*Controls!E25</x:f>
        <x:v>75</x:v>
      </x:c>
      <x:c r="G18" s="47" t="n">
        <x:f>MAX(D18:F18)-MIN(D18:F18)</x:f>
        <x:v>15</x:v>
      </x:c>
      <x:c r="H18" s="37" t="str">
        <x:v>Weights remain provisional</x:v>
      </x:c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 t="str">
        <x:v>Housing, public works and economic continuity</x:v>
      </x:c>
      <x:c r="D19" s="47" t="n">
        <x:f>Controls!$D$6*Controls!$F$9*Controls!E26</x:f>
        <x:v>49.5</x:v>
      </x:c>
      <x:c r="E19" s="47" t="n">
        <x:f>Controls!$D$6*Controls!$G$9*Controls!E26</x:f>
        <x:v>40.5</x:v>
      </x:c>
      <x:c r="F19" s="47" t="n">
        <x:f>Controls!$D$6*Controls!$H$9*Controls!E26</x:f>
        <x:v>45</x:v>
      </x:c>
      <x:c r="G19" s="47" t="n">
        <x:f>MAX(D19:F19)-MIN(D19:F19)</x:f>
        <x:v>9</x:v>
      </x:c>
      <x:c r="H19" s="37" t="str">
        <x:v>Weights remain provisional</x:v>
      </x:c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0" hidden="0" customWidth="1"/>
    <x:col min="4" max="4" width="20" hidden="0" customWidth="1"/>
    <x:col min="5" max="5" width="20" hidden="0" customWidth="1"/>
    <x:col min="6" max="6" width="15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Independent reconciliation audit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Check</x:v>
      </x:c>
      <x:c r="D4" s="23" t="str">
        <x:v>Expected</x:v>
      </x:c>
      <x:c r="E4" s="23" t="str">
        <x:v>Observed</x:v>
      </x:c>
      <x:c r="F4" s="23" t="str">
        <x:v>Tolerance</x:v>
      </x:c>
      <x:c r="G4" s="13" t="str">
        <x:v>Result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Active funding shares sum</x:v>
      </x:c>
      <x:c r="D5" s="50" t="n">
        <x:v>1</x:v>
      </x:c>
      <x:c r="E5" s="50" t="n">
        <x:f>Controls!D14</x:f>
        <x:v>1</x:v>
      </x:c>
      <x:c r="F5" s="50" t="n">
        <x:v>0.000001</x:v>
      </x:c>
      <x:c r="G5" s="37" t="str">
        <x:f>IF(ABS(D5-E5)&lt;=F5,"PASS","FAIL")</x:f>
        <x:v>PASS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Reference funding shares sum</x:v>
      </x:c>
      <x:c r="D6" s="50" t="n">
        <x:v>1</x:v>
      </x:c>
      <x:c r="E6" s="50" t="n">
        <x:f>Controls!F14</x:f>
        <x:v>1</x:v>
      </x:c>
      <x:c r="F6" s="50" t="n">
        <x:v>0.000001</x:v>
      </x:c>
      <x:c r="G6" s="37" t="str">
        <x:f>IF(ABS(D6-E6)&lt;=F6,"PASS","FAIL")</x:f>
        <x:v>PASS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Service-depth funding shares sum</x:v>
      </x:c>
      <x:c r="D7" s="50" t="n">
        <x:v>1</x:v>
      </x:c>
      <x:c r="E7" s="50" t="n">
        <x:f>Controls!G14</x:f>
        <x:v>1</x:v>
      </x:c>
      <x:c r="F7" s="50" t="n">
        <x:v>0.000001</x:v>
      </x:c>
      <x:c r="G7" s="37" t="str">
        <x:f>IF(ABS(D7-E7)&lt;=F7,"PASS","FAIL")</x:f>
        <x:v>PASS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Competition-reserve funding shares sum</x:v>
      </x:c>
      <x:c r="D8" s="50" t="n">
        <x:v>1</x:v>
      </x:c>
      <x:c r="E8" s="50" t="n">
        <x:f>Controls!H14</x:f>
        <x:v>1</x:v>
      </x:c>
      <x:c r="F8" s="50" t="n">
        <x:v>0.000001</x:v>
      </x:c>
      <x:c r="G8" s="37" t="str">
        <x:f>IF(ABS(D8-E8)&lt;=F8,"PASS","FAIL")</x:f>
        <x:v>PASS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Portfolio weights sum</x:v>
      </x:c>
      <x:c r="D9" s="50" t="n">
        <x:v>1</x:v>
      </x:c>
      <x:c r="E9" s="50" t="n">
        <x:f>SUM(Controls!E18:E26)</x:f>
        <x:v>1</x:v>
      </x:c>
      <x:c r="F9" s="50" t="n">
        <x:v>0.000001</x:v>
      </x:c>
      <x:c r="G9" s="37" t="str">
        <x:f>IF(ABS(D9-E9)&lt;=F9,"PASS","FAIL")</x:f>
        <x:v>PASS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 t="str">
        <x:v>Service-base weights sum</x:v>
      </x:c>
      <x:c r="D10" s="50" t="n">
        <x:v>1</x:v>
      </x:c>
      <x:c r="E10" s="50" t="n">
        <x:f>SUM(Controls!E29:E35)</x:f>
        <x:v>0.9999999999999999</x:v>
      </x:c>
      <x:c r="F10" s="50" t="n">
        <x:v>0.000001</x:v>
      </x:c>
      <x:c r="G10" s="37" t="str">
        <x:f>IF(ABS(D10-E10)&lt;=F10,"PASS","FAIL")</x:f>
        <x:v>PASS</x:v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 t="str">
        <x:v>Common-account weights sum</x:v>
      </x:c>
      <x:c r="D11" s="50" t="n">
        <x:v>1</x:v>
      </x:c>
      <x:c r="E11" s="50" t="n">
        <x:f>SUM(Controls!E38:E42)</x:f>
        <x:v>1</x:v>
      </x:c>
      <x:c r="F11" s="50" t="n">
        <x:v>0.000001</x:v>
      </x:c>
      <x:c r="G11" s="37" t="str">
        <x:f>IF(ABS(D11-E11)&lt;=F11,"PASS","FAIL")</x:f>
        <x:v>PASS</x:v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37" t="str">
        <x:v>Sovereign-account weights sum</x:v>
      </x:c>
      <x:c r="D12" s="50" t="n">
        <x:v>1</x:v>
      </x:c>
      <x:c r="E12" s="50" t="n">
        <x:f>SUM(Controls!E45:E49)</x:f>
        <x:v>1</x:v>
      </x:c>
      <x:c r="F12" s="50" t="n">
        <x:v>0.000001</x:v>
      </x:c>
      <x:c r="G12" s="37" t="str">
        <x:f>IF(ABS(D12-E12)&lt;=F12,"PASS","FAIL")</x:f>
        <x:v>PASS</x:v>
      </x:c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37" t="str">
        <x:v>Service matrix row 1 sum</x:v>
      </x:c>
      <x:c r="D13" s="50" t="n">
        <x:v>1</x:v>
      </x:c>
      <x:c r="E13" s="50" t="n">
        <x:f>'Service Matrix'!K5</x:f>
        <x:v>1</x:v>
      </x:c>
      <x:c r="F13" s="50" t="n">
        <x:v>0.000001</x:v>
      </x:c>
      <x:c r="G13" s="37" t="str">
        <x:f>IF(ABS(D13-E13)&lt;=F13,"PASS","FAIL")</x:f>
        <x:v>PASS</x:v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37" t="str">
        <x:v>Service matrix row 5 sum</x:v>
      </x:c>
      <x:c r="D14" s="50" t="n">
        <x:v>1</x:v>
      </x:c>
      <x:c r="E14" s="50" t="n">
        <x:f>'Service Matrix'!K9</x:f>
        <x:v>1</x:v>
      </x:c>
      <x:c r="F14" s="50" t="n">
        <x:v>0.000001</x:v>
      </x:c>
      <x:c r="G14" s="37" t="str">
        <x:f>IF(ABS(D14-E14)&lt;=F14,"PASS","FAIL")</x:f>
        <x:v>PASS</x:v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37" t="str">
        <x:v>Service matrix row 9 sum</x:v>
      </x:c>
      <x:c r="D15" s="50" t="n">
        <x:v>1</x:v>
      </x:c>
      <x:c r="E15" s="50" t="n">
        <x:f>'Service Matrix'!K13</x:f>
        <x:v>1</x:v>
      </x:c>
      <x:c r="F15" s="50" t="n">
        <x:v>0.000001</x:v>
      </x:c>
      <x:c r="G15" s="37" t="str">
        <x:f>IF(ABS(D15-E15)&lt;=F15,"PASS","FAIL")</x:f>
        <x:v>PASS</x:v>
      </x:c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37" t="str">
        <x:v>Mission portfolio total</x:v>
      </x:c>
      <x:c r="D16" s="50" t="n">
        <x:f>Controls!D6*Controls!D9</x:f>
        <x:v>550</x:v>
      </x:c>
      <x:c r="E16" s="50" t="n">
        <x:f>'Portfolio Budget'!F14</x:f>
        <x:v>550</x:v>
      </x:c>
      <x:c r="F16" s="50" t="n">
        <x:v>0.001</x:v>
      </x:c>
      <x:c r="G16" s="37" t="str">
        <x:f>IF(ABS(D16-E16)&lt;=F16,"PASS","FAIL")</x:f>
        <x:v>PASS</x:v>
      </x:c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37" t="str">
        <x:v>Mission executor total</x:v>
      </x:c>
      <x:c r="D17" s="50" t="n">
        <x:f>Controls!D6*Controls!D9</x:f>
        <x:v>550</x:v>
      </x:c>
      <x:c r="E17" s="50" t="n">
        <x:f>'Service View'!E12</x:f>
        <x:v>550</x:v>
      </x:c>
      <x:c r="F17" s="50" t="n">
        <x:v>0.001</x:v>
      </x:c>
      <x:c r="G17" s="37" t="str">
        <x:f>IF(ABS(D17-E17)&lt;=F17,"PASS","FAIL")</x:f>
        <x:v>PASS</x:v>
      </x:c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 t="str">
        <x:v>Service-base total</x:v>
      </x:c>
      <x:c r="D18" s="50" t="n">
        <x:f>Controls!D6*Controls!D10</x:f>
        <x:v>150</x:v>
      </x:c>
      <x:c r="E18" s="50" t="n">
        <x:f>'Service View'!F12</x:f>
        <x:v>150</x:v>
      </x:c>
      <x:c r="F18" s="50" t="n">
        <x:v>0.001</x:v>
      </x:c>
      <x:c r="G18" s="37" t="str">
        <x:f>IF(ABS(D18-E18)&lt;=F18,"PASS","FAIL")</x:f>
        <x:v>PASS</x:v>
      </x:c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 t="str">
        <x:v>Common-account total</x:v>
      </x:c>
      <x:c r="D19" s="50" t="n">
        <x:f>Controls!D6*Controls!D11</x:f>
        <x:v>150</x:v>
      </x:c>
      <x:c r="E19" s="50" t="n">
        <x:f>'Common Accounts'!F10</x:f>
        <x:v>150</x:v>
      </x:c>
      <x:c r="F19" s="50" t="n">
        <x:v>0.001</x:v>
      </x:c>
      <x:c r="G19" s="37" t="str">
        <x:f>IF(ABS(D19-E19)&lt;=F19,"PASS","FAIL")</x:f>
        <x:v>PASS</x:v>
      </x:c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 t="str">
        <x:v>Sovereign-account total</x:v>
      </x:c>
      <x:c r="D20" s="50" t="n">
        <x:f>Controls!D6*Controls!D12</x:f>
        <x:v>100</x:v>
      </x:c>
      <x:c r="E20" s="50" t="n">
        <x:f>'Common Accounts'!F19</x:f>
        <x:v>100</x:v>
      </x:c>
      <x:c r="F20" s="50" t="n">
        <x:v>0.001</x:v>
      </x:c>
      <x:c r="G20" s="37" t="str">
        <x:f>IF(ABS(D20-E20)&lt;=F20,"PASS","FAIL")</x:f>
        <x:v>PASS</x:v>
      </x:c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 t="str">
        <x:v>Account register total</x:v>
      </x:c>
      <x:c r="D21" s="50" t="n">
        <x:f>Controls!D6</x:f>
        <x:v>1000</x:v>
      </x:c>
      <x:c r="E21" s="50" t="n">
        <x:f>'Account Register'!G32</x:f>
        <x:v>1000</x:v>
      </x:c>
      <x:c r="F21" s="50" t="n">
        <x:v>0.001</x:v>
      </x:c>
      <x:c r="G21" s="37" t="str">
        <x:f>IF(ABS(D21-E21)&lt;=F21,"PASS","FAIL")</x:f>
        <x:v>PASS</x:v>
      </x:c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 t="str">
        <x:v>Account IDs count</x:v>
      </x:c>
      <x:c r="D22" s="50" t="n">
        <x:v>27</x:v>
      </x:c>
      <x:c r="E22" s="50" t="n">
        <x:f>COUNTA('Account Register'!C5:C31)</x:f>
        <x:v>27</x:v>
      </x:c>
      <x:c r="F22" s="50" t="n">
        <x:v>0</x:v>
      </x:c>
      <x:c r="G22" s="37" t="str">
        <x:f>IF(ABS(D22-E22)&lt;=F22,"PASS","FAIL")</x:f>
        <x:v>PASS</x:v>
      </x:c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 t="str">
        <x:v>Maximum account duplicate count</x:v>
      </x:c>
      <x:c r="D23" s="50" t="n">
        <x:v>1</x:v>
      </x:c>
      <x:c r="E23" s="50" t="n">
        <x:f>MAX('Account Register'!I5:I31)</x:f>
        <x:v>1</x:v>
      </x:c>
      <x:c r="F23" s="50" t="n">
        <x:v>0</x:v>
      </x:c>
      <x:c r="G23" s="37" t="str">
        <x:f>IF(ABS(D23-E23)&lt;=F23,"PASS","FAIL")</x:f>
        <x:v>PASS</x:v>
      </x:c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 t="str">
        <x:v>25-year program total</x:v>
      </x:c>
      <x:c r="D24" s="50" t="n">
        <x:f>Controls!D6</x:f>
        <x:v>1000</x:v>
      </x:c>
      <x:c r="E24" s="50" t="n">
        <x:f>'25Y Program'!K30</x:f>
        <x:v>1000</x:v>
      </x:c>
      <x:c r="F24" s="50" t="n">
        <x:v>0.001</x:v>
      </x:c>
      <x:c r="G24" s="37" t="str">
        <x:f>IF(ABS(D24-E24)&lt;=F24,"PASS","FAIL")</x:f>
        <x:v>PASS</x:v>
      </x:c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 t="str">
        <x:v>25-year annual shares sum</x:v>
      </x:c>
      <x:c r="D25" s="50" t="n">
        <x:v>1</x:v>
      </x:c>
      <x:c r="E25" s="50" t="n">
        <x:f>'25Y Program'!E30</x:f>
        <x:v>1.0000000000000004</x:v>
      </x:c>
      <x:c r="F25" s="50" t="n">
        <x:v>0.000001</x:v>
      </x:c>
      <x:c r="G25" s="37" t="str">
        <x:f>IF(ABS(D25-E25)&lt;=F25,"PASS","FAIL")</x:f>
        <x:v>PASS</x:v>
      </x:c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 t="str">
        <x:v>Reference sensitivity total</x:v>
      </x:c>
      <x:c r="D26" s="50" t="n">
        <x:f>Controls!D6</x:f>
        <x:v>1000</x:v>
      </x:c>
      <x:c r="E26" s="50" t="n">
        <x:f>Sensitivity!I5</x:f>
        <x:v>1000</x:v>
      </x:c>
      <x:c r="F26" s="50" t="n">
        <x:v>0.001</x:v>
      </x:c>
      <x:c r="G26" s="37" t="str">
        <x:f>IF(ABS(D26-E26)&lt;=F26,"PASS","FAIL")</x:f>
        <x:v>PASS</x:v>
      </x:c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 t="str">
        <x:v>Service-depth sensitivity total</x:v>
      </x:c>
      <x:c r="D27" s="50" t="n">
        <x:f>Controls!D6</x:f>
        <x:v>1000</x:v>
      </x:c>
      <x:c r="E27" s="50" t="n">
        <x:f>Sensitivity!I6</x:f>
        <x:v>1000</x:v>
      </x:c>
      <x:c r="F27" s="50" t="n">
        <x:v>0.001</x:v>
      </x:c>
      <x:c r="G27" s="37" t="str">
        <x:f>IF(ABS(D27-E27)&lt;=F27,"PASS","FAIL")</x:f>
        <x:v>PASS</x:v>
      </x:c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 t="str">
        <x:v>Competition sensitivity total</x:v>
      </x:c>
      <x:c r="D28" s="50" t="n">
        <x:f>Controls!D6</x:f>
        <x:v>1000</x:v>
      </x:c>
      <x:c r="E28" s="50" t="n">
        <x:f>Sensitivity!I7</x:f>
        <x:v>1000</x:v>
      </x:c>
      <x:c r="F28" s="50" t="n">
        <x:v>0.001</x:v>
      </x:c>
      <x:c r="G28" s="37" t="str">
        <x:f>IF(ABS(D28-E28)&lt;=F28,"PASS","FAIL")</x:f>
        <x:v>PASS</x:v>
      </x:c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 t="str">
        <x:v>Admitted cross-portfolio quantity reduction</x:v>
      </x:c>
      <x:c r="D29" s="50" t="n">
        <x:v>0</x:v>
      </x:c>
      <x:c r="E29" s="50" t="n">
        <x:f>'Reservation Tests'!E15</x:f>
        <x:v>0</x:v>
      </x:c>
      <x:c r="F29" s="50" t="n">
        <x:v>0</x:v>
      </x:c>
      <x:c r="G29" s="37" t="str">
        <x:f>IF(ABS(D29-E29)&lt;=F29,"PASS","FAIL")</x:f>
        <x:v>PASS</x:v>
      </x:c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 t="str">
        <x:v>Open-item running total</x:v>
      </x:c>
      <x:c r="D30" s="50" t="n">
        <x:v>1</x:v>
      </x:c>
      <x:c r="E30" s="50" t="n">
        <x:v>1</x:v>
      </x:c>
      <x:c r="F30" s="50" t="n">
        <x:v>0</x:v>
      </x:c>
      <x:c r="G30" s="37" t="str">
        <x:f>IF(ABS(D30-E30)&lt;=F30,"PASS","FAIL")</x:f>
        <x:v>PASS</x:v>
      </x:c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conditionalFormatting sqref="G5:G30">
    <x:cfRule type="containsText" dxfId="1" priority="1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86" hidden="0" customWidth="1"/>
    <x:col min="5" max="5" width="18" hidden="0" customWidth="1"/>
    <x:col min="6" max="6" width="70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Internal source lineage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30" customHeight="1">
      <x:c r="A4" s="1"/>
      <x:c r="B4" s="1"/>
      <x:c r="C4" s="12" t="str">
        <x:v>Source</x:v>
      </x:c>
      <x:c r="D4" s="23" t="str">
        <x:v>Repository artifact</x:v>
      </x:c>
      <x:c r="E4" s="23" t="str">
        <x:v>Date</x:v>
      </x:c>
      <x:c r="F4" s="23" t="str">
        <x:v>Claims used</x:v>
      </x:c>
      <x:c r="G4" s="13" t="str">
        <x:v>Limit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1"/>
      <x:c r="B5" s="1"/>
      <x:c r="C5" s="37" t="str">
        <x:v>Department of Resilience force architecture</x:v>
      </x:c>
      <x:c r="D5" s="37" t="str">
        <x:v>research/force/force-architecture.md</x:v>
      </x:c>
      <x:c r="E5" s="37" t="str">
        <x:v>2026-09-10</x:v>
      </x:c>
      <x:c r="F5" s="37" t="str">
        <x:v>Seven services, nine effect portfolios, joint mission-system acquisition boundary</x:v>
      </x:c>
      <x:c r="G5" s="37" t="str">
        <x:v>Conceptual institutional authority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1"/>
      <x:c r="B6" s="1"/>
      <x:c r="C6" s="37" t="str">
        <x:v>Pass 159 NCFC-1</x:v>
      </x:c>
      <x:c r="D6" s="37" t="str">
        <x:v>research/force/generation/f36-cisa40-sa6-root-a-national-common-force-decomposition-availability-contract-and-anti-double-counting-constitution.md</x:v>
      </x:c>
      <x:c r="E6" s="37" t="str">
        <x:v>2026-09-10</x:v>
      </x:c>
      <x:c r="F6" s="37" t="str">
        <x:v>Title, technical family, reservation and assignment are separate; one article supports one overlapping obligation</x:v>
      </x:c>
      <x:c r="G6" s="37" t="str">
        <x:v>Planning constitution; no physical admission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1"/>
      <x:c r="B7" s="1"/>
      <x:c r="C7" s="37" t="str">
        <x:v>Pass 160 MPSC-1</x:v>
      </x:c>
      <x:c r="D7" s="37" t="str">
        <x:v>research/force/generation/f36-cisa40-sa6-root-a-five-portfolio-concurrent-service-compiler-common-force-quantity-and-technology-convergence-constitution.md</x:v>
      </x:c>
      <x:c r="E7" s="37" t="str">
        <x:v>2026-09-10</x:v>
      </x:c>
      <x:c r="F7" s="37" t="str">
        <x:v>USD 1.00T technology-convergence envelope and protected failure reserve</x:v>
      </x:c>
      <x:c r="G7" s="37" t="str">
        <x:v>Policy-scale research boundary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1"/>
      <x:c r="B8" s="1"/>
      <x:c r="C8" s="37" t="str">
        <x:v>Pass 165 RCC-1R</x:v>
      </x:c>
      <x:c r="D8" s="37" t="str">
        <x:v>research/force/generation/f36-cisa40-sa6-root-a-clinical-service-island-branch-disposition-and-joint-mission-system-return.md</x:v>
      </x:c>
      <x:c r="E8" s="37" t="str">
        <x:v>2026-09-10</x:v>
      </x:c>
      <x:c r="F8" s="37" t="str">
        <x:v>Clinical continuity is a joint mission system; two parent-level items remain</x:v>
      </x:c>
      <x:c r="G8" s="37" t="str">
        <x:v>RETURN verdict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1"/>
      <x:c r="B9" s="1"/>
      <x:c r="C9" s="37" t="str">
        <x:v>Strategic study</x:v>
      </x:c>
      <x:c r="D9" s="37" t="str">
        <x:v>research/synthesis/strategic-study.md</x:v>
      </x:c>
      <x:c r="E9" s="37" t="str">
        <x:v>2026-09-10</x:v>
      </x:c>
      <x:c r="F9" s="37" t="str">
        <x:v>Department, Establishment, Force and industrial-economy distinctions</x:v>
      </x:c>
      <x:c r="G9" s="37" t="str">
        <x:v>Strategic synthesis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1"/>
      <x:c r="B10" s="1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1"/>
      <x:c r="B11" s="1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1"/>
      <x:c r="B12" s="1"/>
      <x:c r="C12" s="41" t="str">
        <x:v>Financial basis</x:v>
      </x:c>
      <x:c r="D12" s="37" t="str">
        <x:v>Constant 2026 US dollars; undiscounted; research allocations, not vendor estimates</x:v>
      </x:c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1"/>
      <x:c r="B13" s="1"/>
      <x:c r="C13" s="41" t="str">
        <x:v>Precision</x:v>
      </x:c>
      <x:c r="D13" s="37" t="str">
        <x:v>Display uses no more than three significant figures for modeled quantities</x:v>
      </x:c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1"/>
      <x:c r="B14" s="1"/>
      <x:c r="C14" s="41" t="str">
        <x:v>Case rule</x:v>
      </x:c>
      <x:c r="D14" s="37" t="str">
        <x:v>Funding mixes test the jurisdiction rule; they are not recommendations</x:v>
      </x:c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1"/>
      <x:c r="B15" s="1"/>
      <x:c r="C15" s="41" t="str">
        <x:v>Capacity rule</x:v>
      </x:c>
      <x:c r="D15" s="37" t="str">
        <x:v>No physical quantity reduction is admitted before a national concurrency scenario</x:v>
      </x:c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1"/>
      <x:c r="B16" s="1"/>
      <x:c r="C16" s="41" t="str">
        <x:v>Source boundary</x:v>
      </x:c>
      <x:c r="D16" s="37" t="str">
        <x:v>No external website, product, clinical or institutional source is introduced</x:v>
      </x:c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1"/>
      <x:c r="B17" s="1"/>
      <x:c r="C17" s="41" t="str">
        <x:v>Rendering</x:v>
      </x:c>
      <x:c r="D17" s="37" t="str">
        <x:v>No exterior form is authorized</x:v>
      </x:c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1"/>
      <x:c r="B18" s="1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1"/>
      <x:c r="B19" s="1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1"/>
      <x:c r="B20" s="1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1"/>
      <x:c r="B21" s="1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1"/>
      <x:c r="B22" s="1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1"/>
      <x:c r="B23" s="1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1"/>
      <x:c r="B24" s="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1"/>
      <x:c r="B25" s="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1"/>
      <x:c r="B26" s="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1"/>
      <x:c r="B27" s="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1"/>
      <x:c r="B28" s="1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1"/>
      <x:c r="B29" s="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1"/>
      <x:c r="B30" s="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1"/>
      <x:c r="B31" s="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1"/>
      <x:c r="B32" s="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1"/>
      <x:c r="B33" s="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1"/>
      <x:c r="B34" s="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1"/>
      <x:c r="B35" s="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1"/>
      <x:c r="B36" s="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1"/>
      <x:c r="B37" s="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1"/>
      <x:c r="B38" s="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1"/>
      <x:c r="B39" s="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1"/>
      <x:c r="B40" s="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1"/>
      <x:c r="B41" s="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1"/>
      <x:c r="B42" s="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1"/>
      <x:c r="B43" s="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1"/>
      <x:c r="B44" s="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1"/>
      <x:c r="B45" s="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1"/>
      <x:c r="B46" s="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1"/>
      <x:c r="B47" s="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1"/>
      <x:c r="B48" s="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1"/>
      <x:c r="B49" s="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1"/>
      <x:c r="B50" s="1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1"/>
      <x:c r="B51" s="1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1"/>
      <x:c r="B52" s="1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1"/>
      <x:c r="B53" s="1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1"/>
      <x:c r="B54" s="1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1"/>
      <x:c r="B55" s="1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1"/>
      <x:c r="B56" s="1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1"/>
      <x:c r="B57" s="1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1"/>
      <x:c r="B58" s="1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1"/>
      <x:c r="B59" s="1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1"/>
      <x:c r="B60" s="1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1"/>
      <x:c r="B61" s="1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1"/>
      <x:c r="B62" s="1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1"/>
      <x:c r="B63" s="1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1"/>
      <x:c r="B64" s="1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1"/>
      <x:c r="B65" s="1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1"/>
      <x:c r="B66" s="1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1"/>
      <x:c r="B67" s="1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1"/>
      <x:c r="B68" s="1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1"/>
      <x:c r="B69" s="1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1"/>
      <x:c r="B70" s="1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1"/>
      <x:c r="B71" s="1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1"/>
      <x:c r="B72" s="1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1"/>
      <x:c r="B73" s="1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1"/>
      <x:c r="B74" s="1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1"/>
      <x:c r="B75" s="1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1"/>
      <x:c r="B76" s="1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1"/>
      <x:c r="B77" s="1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1"/>
      <x:c r="B78" s="1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1"/>
      <x:c r="B79" s="1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1"/>
      <x:c r="B80" s="1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1"/>
      <x:c r="B81" s="1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1"/>
      <x:c r="B82" s="1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1"/>
      <x:c r="B83" s="1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1"/>
      <x:c r="B84" s="1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1"/>
      <x:c r="B85" s="1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1"/>
      <x:c r="B86" s="1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1"/>
      <x:c r="B87" s="1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1"/>
      <x:c r="B88" s="1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1"/>
      <x:c r="B89" s="1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1"/>
      <x:c r="B90" s="1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1"/>
      <x:c r="B91" s="1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1"/>
      <x:c r="B92" s="1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1"/>
      <x:c r="B93" s="1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1"/>
      <x:c r="B94" s="1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1"/>
      <x:c r="B95" s="1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1"/>
      <x:c r="B96" s="1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1"/>
      <x:c r="B97" s="1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1"/>
      <x:c r="B98" s="1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1"/>
      <x:c r="B99" s="1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1"/>
      <x:c r="B100" s="1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pageMargins left="0.7" right="0.7" top="0.75" bottom="0.75" header="0.3" footer="0.3"/>
</x:worksheet>
</file>