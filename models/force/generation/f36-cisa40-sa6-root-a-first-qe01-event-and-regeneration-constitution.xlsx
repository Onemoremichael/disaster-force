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cdc62416f34a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2e089ed7ef24945"/>
    <x:sheet xmlns:r="http://schemas.openxmlformats.org/officeDocument/2006/relationships" name="Controls" sheetId="2" r:id="R409ca1e3cea54683"/>
    <x:sheet xmlns:r="http://schemas.openxmlformats.org/officeDocument/2006/relationships" name="Research Questions" sheetId="3" r:id="R48340ce52c104cf3"/>
    <x:sheet xmlns:r="http://schemas.openxmlformats.org/officeDocument/2006/relationships" name="Claim Boundary" sheetId="4" r:id="Rc57a8011fc624808"/>
    <x:sheet xmlns:r="http://schemas.openxmlformats.org/officeDocument/2006/relationships" name="Governance" sheetId="5" r:id="R9dd418663bfe434d"/>
    <x:sheet xmlns:r="http://schemas.openxmlformats.org/officeDocument/2006/relationships" name="Event State" sheetId="6" r:id="R41cc9a210d934ff4"/>
    <x:sheet xmlns:r="http://schemas.openxmlformats.org/officeDocument/2006/relationships" name="Candidate Cells" sheetId="7" r:id="R4a1f1f7856a74ea4"/>
    <x:sheet xmlns:r="http://schemas.openxmlformats.org/officeDocument/2006/relationships" name="Draw Commitments" sheetId="8" r:id="Re693f4bf00b74db9"/>
    <x:sheet xmlns:r="http://schemas.openxmlformats.org/officeDocument/2006/relationships" name="Event Selection" sheetId="9" r:id="Rbd8c83ac14974a98"/>
    <x:sheet xmlns:r="http://schemas.openxmlformats.org/officeDocument/2006/relationships" name="Dossier Bindings" sheetId="10" r:id="R34148685da1c48e2"/>
    <x:sheet xmlns:r="http://schemas.openxmlformats.org/officeDocument/2006/relationships" name="Event Crew" sheetId="11" r:id="Raf7293521b864599"/>
    <x:sheet xmlns:r="http://schemas.openxmlformats.org/officeDocument/2006/relationships" name="Event Issue" sheetId="12" r:id="Refa904a3a0774dbf"/>
    <x:sheet xmlns:r="http://schemas.openxmlformats.org/officeDocument/2006/relationships" name="Configuration Freeze" sheetId="13" r:id="R26dd8c50136c42f3"/>
    <x:sheet xmlns:r="http://schemas.openxmlformats.org/officeDocument/2006/relationships" name="Zero Source" sheetId="14" r:id="Rfa72a8db9f48431e"/>
    <x:sheet xmlns:r="http://schemas.openxmlformats.org/officeDocument/2006/relationships" name="Zero Water" sheetId="15" r:id="R852e733873084bb5"/>
    <x:sheet xmlns:r="http://schemas.openxmlformats.org/officeDocument/2006/relationships" name="Uncertainty" sheetId="16" r:id="R4178dbb4b6f94777"/>
    <x:sheet xmlns:r="http://schemas.openxmlformats.org/officeDocument/2006/relationships" name="Uncertainty Summary" sheetId="17" r:id="Rd20bf4f603f846c8"/>
    <x:sheet xmlns:r="http://schemas.openxmlformats.org/officeDocument/2006/relationships" name="Measurement Windows" sheetId="18" r:id="R7237849909dd485b"/>
    <x:sheet xmlns:r="http://schemas.openxmlformats.org/officeDocument/2006/relationships" name="Neighbor Proofs" sheetId="19" r:id="R52fbe491abf54acd"/>
    <x:sheet xmlns:r="http://schemas.openxmlformats.org/officeDocument/2006/relationships" name="Safeing Poll" sheetId="20" r:id="Rb0cb0c9e854544d5"/>
    <x:sheet xmlns:r="http://schemas.openxmlformats.org/officeDocument/2006/relationships" name="Command Transactions" sheetId="21" r:id="Rfcb3e2a465da4f1f"/>
    <x:sheet xmlns:r="http://schemas.openxmlformats.org/officeDocument/2006/relationships" name="Phase Clock" sheetId="22" r:id="R2c07b9d3df594b26"/>
    <x:sheet xmlns:r="http://schemas.openxmlformats.org/officeDocument/2006/relationships" name="Holds" sheetId="23" r:id="R974b6f981cfa48c2"/>
    <x:sheet xmlns:r="http://schemas.openxmlformats.org/officeDocument/2006/relationships" name="Evidence Obligations" sheetId="24" r:id="R8fbb5fa619a845ab"/>
    <x:sheet xmlns:r="http://schemas.openxmlformats.org/officeDocument/2006/relationships" name="Blank Samples" sheetId="25" r:id="Rc716aaf189314bd4"/>
    <x:sheet xmlns:r="http://schemas.openxmlformats.org/officeDocument/2006/relationships" name="Abort Conditions" sheetId="26" r:id="R27b0bea29ab64d5e"/>
    <x:sheet xmlns:r="http://schemas.openxmlformats.org/officeDocument/2006/relationships" name="Intervention Rules" sheetId="27" r:id="Rcf88516a946e4af7"/>
    <x:sheet xmlns:r="http://schemas.openxmlformats.org/officeDocument/2006/relationships" name="Event Observations" sheetId="28" r:id="Redba38d22b1a4934"/>
    <x:sheet xmlns:r="http://schemas.openxmlformats.org/officeDocument/2006/relationships" name="Source Ledger" sheetId="29" r:id="Ra259813af30c429b"/>
    <x:sheet xmlns:r="http://schemas.openxmlformats.org/officeDocument/2006/relationships" name="Water Ledger" sheetId="30" r:id="R43af3d5ab8474117"/>
    <x:sheet xmlns:r="http://schemas.openxmlformats.org/officeDocument/2006/relationships" name="Validity Rules" sheetId="31" r:id="Rcd10fd0f88024644"/>
    <x:sheet xmlns:r="http://schemas.openxmlformats.org/officeDocument/2006/relationships" name="Outcome Rules" sheetId="32" r:id="R18aa6586f73344a7"/>
    <x:sheet xmlns:r="http://schemas.openxmlformats.org/officeDocument/2006/relationships" name="Event Result" sheetId="33" r:id="R7bd958e6cdd34323"/>
    <x:sheet xmlns:r="http://schemas.openxmlformats.org/officeDocument/2006/relationships" name="Recovery States" sheetId="34" r:id="R54e1b6adfa2046c7"/>
    <x:sheet xmlns:r="http://schemas.openxmlformats.org/officeDocument/2006/relationships" name="Regeneration Tasks" sheetId="35" r:id="Rcee9c89e1ec44560"/>
    <x:sheet xmlns:r="http://schemas.openxmlformats.org/officeDocument/2006/relationships" name="Regression Tests" sheetId="36" r:id="Rfeca61133f864a89"/>
    <x:sheet xmlns:r="http://schemas.openxmlformats.org/officeDocument/2006/relationships" name="Reentry Decisions" sheetId="37" r:id="R02c7d05da9da4598"/>
    <x:sheet xmlns:r="http://schemas.openxmlformats.org/officeDocument/2006/relationships" name="Evidence Replay" sheetId="38" r:id="Rbcf494e3b37c4ea0"/>
    <x:sheet xmlns:r="http://schemas.openxmlformats.org/officeDocument/2006/relationships" name="Exceptions" sheetId="39" r:id="Rccee79ce006c4867"/>
    <x:sheet xmlns:r="http://schemas.openxmlformats.org/officeDocument/2006/relationships" name="Change Control" sheetId="40" r:id="R453c8d57f3ac4bf0"/>
    <x:sheet xmlns:r="http://schemas.openxmlformats.org/officeDocument/2006/relationships" name="Quarantine" sheetId="41" r:id="R77f8e142a01741db"/>
    <x:sheet xmlns:r="http://schemas.openxmlformats.org/officeDocument/2006/relationships" name="Expiry Ledger" sheetId="42" r:id="R3765fb98454b4de0"/>
    <x:sheet xmlns:r="http://schemas.openxmlformats.org/officeDocument/2006/relationships" name="Release Gates" sheetId="43" r:id="Rb613f12f4ec848ce"/>
    <x:sheet xmlns:r="http://schemas.openxmlformats.org/officeDocument/2006/relationships" name="Event Release" sheetId="44" r:id="R8e7ff5a4ec664994"/>
    <x:sheet xmlns:r="http://schemas.openxmlformats.org/officeDocument/2006/relationships" name="QE-02 Boundary" sheetId="45" r:id="Rb6c5811a911d4b1c"/>
    <x:sheet xmlns:r="http://schemas.openxmlformats.org/officeDocument/2006/relationships" name="Decision Rules" sheetId="46" r:id="Rcd8319fda9444eeb"/>
    <x:sheet xmlns:r="http://schemas.openxmlformats.org/officeDocument/2006/relationships" name="Stop Rules" sheetId="47" r:id="R6538e4646ff74996"/>
    <x:sheet xmlns:r="http://schemas.openxmlformats.org/officeDocument/2006/relationships" name="Schedule" sheetId="48" r:id="R5ca08bf0c8dc4976"/>
    <x:sheet xmlns:r="http://schemas.openxmlformats.org/officeDocument/2006/relationships" name="Capacity" sheetId="49" r:id="R38e1f4ab3c0d4a6b"/>
    <x:sheet xmlns:r="http://schemas.openxmlformats.org/officeDocument/2006/relationships" name="Capital" sheetId="50" r:id="R03a23a99f0fd420f"/>
    <x:sheet xmlns:r="http://schemas.openxmlformats.org/officeDocument/2006/relationships" name="Annual Support" sheetId="51" r:id="Rf53c279e981c4c15"/>
    <x:sheet xmlns:r="http://schemas.openxmlformats.org/officeDocument/2006/relationships" name="Quarterly Cash Flow" sheetId="52" r:id="Rc069bbbf7d5b477e"/>
    <x:sheet xmlns:r="http://schemas.openxmlformats.org/officeDocument/2006/relationships" name="Portfolio Boundary" sheetId="53" r:id="Rc26f64ce1c774648"/>
    <x:sheet xmlns:r="http://schemas.openxmlformats.org/officeDocument/2006/relationships" name="Technology Programs" sheetId="54" r:id="R8db05ef6ae664ca9"/>
    <x:sheet xmlns:r="http://schemas.openxmlformats.org/officeDocument/2006/relationships" name="Audit" sheetId="55" r:id="R97acadae19854bfd"/>
    <x:sheet xmlns:r="http://schemas.openxmlformats.org/officeDocument/2006/relationships" name="Sources" sheetId="56" r:id="R22068422270d4d90"/>
    <x:sheet xmlns:r="http://schemas.openxmlformats.org/officeDocument/2006/relationships" name="ReadMe" sheetId="57" r:id="R995cfb96e3a940e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%"/>
    <x:numFmt numFmtId="201" formatCode="mm/dd/yy"/>
    <x:numFmt numFmtId="202" formatCode="mm/dd/yy hh:mm"/>
    <x:numFmt numFmtId="203" formatCode="0.000"/>
    <x:numFmt numFmtId="204" formatCode="0.0"/>
  </x:numFmts>
  <x:fonts count="9">
    <x:font>
      <x:sz val="11"/>
      <x:name val="Carlito"/>
    </x:font>
    <x:font>
      <x:b/>
      <x:sz val="14"/>
      <x:color rgb="FF17365D"/>
      <x:name val="Arial"/>
    </x:font>
    <x:font>
      <x:i/>
      <x:sz val="10"/>
      <x:color rgb="FF666666"/>
      <x:name val="Arial"/>
    </x:font>
    <x:font>
      <x:b/>
      <x:sz val="10"/>
      <x:color rgb="FFFFFFFF"/>
      <x:name val="Arial"/>
    </x:font>
    <x:font>
      <x:sz val="10"/>
      <x:color rgb="FF222222"/>
      <x:name val="Arial"/>
    </x:font>
    <x:font>
      <x:sz val="10"/>
      <x:color rgb="FF0070C0"/>
      <x:name val="Arial"/>
    </x:font>
    <x:font>
      <x:b/>
      <x:sz val="10"/>
      <x:color rgb="FF17365D"/>
      <x:name val="Arial"/>
    </x:font>
    <x:font>
      <x:b/>
      <x:sz val="10"/>
      <x:color rgb="FF222222"/>
      <x:name val="Arial"/>
    </x:font>
    <x:font>
      <x:i/>
      <x:sz val="10"/>
      <x:color rgb="FF222222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</x:fills>
  <x:borders count="1">
    <x:border/>
  </x:borders>
  <x:cellStyleXfs count="1">
    <x:xf numFmtId="0" fontId="0" fillId="0" borderId="0"/>
  </x:cellStyleXfs>
  <x:cellXfs count="4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3" borderId="0" xfId="0" applyNumberFormat="1" applyFont="1" applyFill="1" applyBorder="1"/>
    <x:xf numFmtId="0" fontId="5" fillId="3" borderId="0" xfId="0" applyNumberFormat="1" applyFont="1" applyFill="1" applyBorder="1"/>
    <x:xf numFmtId="200" fontId="5" fillId="3" borderId="0" xfId="0" applyNumberFormat="1" applyFont="1" applyFill="1" applyBorder="1"/>
    <x:xf numFmtId="201" fontId="5" fillId="3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202" fontId="4" fillId="0" borderId="0" xfId="0" applyNumberFormat="1" applyFont="1" applyFill="1" applyBorder="1"/>
    <x:xf numFmtId="203" fontId="4" fillId="0" borderId="0" xfId="0" applyNumberFormat="1" applyFont="1" applyFill="1" applyBorder="1"/>
    <x:xf numFmtId="201" fontId="4" fillId="0" borderId="0" xfId="0" applyNumberFormat="1" applyFont="1" applyFill="1" applyBorder="1"/>
    <x:xf numFmtId="200" fontId="4" fillId="0" borderId="0" xfId="0" applyNumberFormat="1" applyFont="1" applyFill="1" applyBorder="1"/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200" fontId="6" fillId="4" borderId="0" xfId="0" applyNumberFormat="1" applyFont="1" applyFill="1" applyBorder="1"/>
    <x:xf numFmtId="204" fontId="4" fillId="0" borderId="0" xfId="0" applyNumberFormat="1" applyFont="1" applyFill="1" applyBorder="1"/>
    <x:xf numFmtId="204" fontId="6" fillId="4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200" fontId="5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201" fontId="5" fillId="3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1"/>
    </x:xf>
    <x:xf numFmtId="202" fontId="4" fillId="0" borderId="0" xfId="0" applyNumberFormat="1" applyFont="1" applyFill="1" applyBorder="1" applyAlignment="1">
      <x:alignment vertical="center"/>
    </x:xf>
    <x:xf numFmtId="203" fontId="4" fillId="0" borderId="0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200" fontId="6" fillId="4" borderId="0" xfId="0" applyNumberFormat="1" applyFont="1" applyFill="1" applyBorder="1" applyAlignment="1">
      <x:alignment vertical="center"/>
    </x:xf>
    <x:xf numFmtId="204" fontId="4" fillId="0" borderId="0" xfId="0" applyNumberFormat="1" applyFont="1" applyFill="1" applyBorder="1" applyAlignment="1">
      <x:alignment vertical="center"/>
    </x:xf>
    <x:xf numFmtId="204" fontId="6" fillId="4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396"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3fd297ee9b4144" /><Relationship Type="http://schemas.openxmlformats.org/officeDocument/2006/relationships/theme" Target="/xl/theme/theme1.xml" Id="Re0f7e900ee464704" /><Relationship Type="http://schemas.openxmlformats.org/officeDocument/2006/relationships/sharedStrings" Target="/xl/sharedStrings.xml" Id="Rcc58188dafcf44f6" /><Relationship Type="http://schemas.openxmlformats.org/officeDocument/2006/relationships/worksheet" Target="/xl/worksheets/sheet1.xml" Id="R02e089ed7ef24945" /><Relationship Type="http://schemas.openxmlformats.org/officeDocument/2006/relationships/worksheet" Target="/xl/worksheets/sheet2.xml" Id="R409ca1e3cea54683" /><Relationship Type="http://schemas.openxmlformats.org/officeDocument/2006/relationships/worksheet" Target="/xl/worksheets/sheet3.xml" Id="R48340ce52c104cf3" /><Relationship Type="http://schemas.openxmlformats.org/officeDocument/2006/relationships/worksheet" Target="/xl/worksheets/sheet4.xml" Id="Rc57a8011fc624808" /><Relationship Type="http://schemas.openxmlformats.org/officeDocument/2006/relationships/worksheet" Target="/xl/worksheets/sheet5.xml" Id="R9dd418663bfe434d" /><Relationship Type="http://schemas.openxmlformats.org/officeDocument/2006/relationships/worksheet" Target="/xl/worksheets/sheet6.xml" Id="R41cc9a210d934ff4" /><Relationship Type="http://schemas.openxmlformats.org/officeDocument/2006/relationships/worksheet" Target="/xl/worksheets/sheet7.xml" Id="R4a1f1f7856a74ea4" /><Relationship Type="http://schemas.openxmlformats.org/officeDocument/2006/relationships/worksheet" Target="/xl/worksheets/sheet8.xml" Id="Re693f4bf00b74db9" /><Relationship Type="http://schemas.openxmlformats.org/officeDocument/2006/relationships/worksheet" Target="/xl/worksheets/sheet9.xml" Id="Rbd8c83ac14974a98" /><Relationship Type="http://schemas.openxmlformats.org/officeDocument/2006/relationships/worksheet" Target="/xl/worksheets/sheet10.xml" Id="R34148685da1c48e2" /><Relationship Type="http://schemas.openxmlformats.org/officeDocument/2006/relationships/worksheet" Target="/xl/worksheets/sheet11.xml" Id="Raf7293521b864599" /><Relationship Type="http://schemas.openxmlformats.org/officeDocument/2006/relationships/worksheet" Target="/xl/worksheets/sheet12.xml" Id="Refa904a3a0774dbf" /><Relationship Type="http://schemas.openxmlformats.org/officeDocument/2006/relationships/worksheet" Target="/xl/worksheets/sheet13.xml" Id="R26dd8c50136c42f3" /><Relationship Type="http://schemas.openxmlformats.org/officeDocument/2006/relationships/worksheet" Target="/xl/worksheets/sheet14.xml" Id="Rfa72a8db9f48431e" /><Relationship Type="http://schemas.openxmlformats.org/officeDocument/2006/relationships/worksheet" Target="/xl/worksheets/sheet15.xml" Id="R852e733873084bb5" /><Relationship Type="http://schemas.openxmlformats.org/officeDocument/2006/relationships/worksheet" Target="/xl/worksheets/sheet16.xml" Id="R4178dbb4b6f94777" /><Relationship Type="http://schemas.openxmlformats.org/officeDocument/2006/relationships/worksheet" Target="/xl/worksheets/sheet17.xml" Id="Rd20bf4f603f846c8" /><Relationship Type="http://schemas.openxmlformats.org/officeDocument/2006/relationships/worksheet" Target="/xl/worksheets/sheet18.xml" Id="R7237849909dd485b" /><Relationship Type="http://schemas.openxmlformats.org/officeDocument/2006/relationships/worksheet" Target="/xl/worksheets/sheet19.xml" Id="R52fbe491abf54acd" /><Relationship Type="http://schemas.openxmlformats.org/officeDocument/2006/relationships/worksheet" Target="/xl/worksheets/sheet20.xml" Id="Rb0cb0c9e854544d5" /><Relationship Type="http://schemas.openxmlformats.org/officeDocument/2006/relationships/worksheet" Target="/xl/worksheets/sheet21.xml" Id="Rfcb3e2a465da4f1f" /><Relationship Type="http://schemas.openxmlformats.org/officeDocument/2006/relationships/worksheet" Target="/xl/worksheets/sheet22.xml" Id="R2c07b9d3df594b26" /><Relationship Type="http://schemas.openxmlformats.org/officeDocument/2006/relationships/worksheet" Target="/xl/worksheets/sheet23.xml" Id="R974b6f981cfa48c2" /><Relationship Type="http://schemas.openxmlformats.org/officeDocument/2006/relationships/worksheet" Target="/xl/worksheets/sheet24.xml" Id="R8fbb5fa619a845ab" /><Relationship Type="http://schemas.openxmlformats.org/officeDocument/2006/relationships/worksheet" Target="/xl/worksheets/sheet25.xml" Id="Rc716aaf189314bd4" /><Relationship Type="http://schemas.openxmlformats.org/officeDocument/2006/relationships/worksheet" Target="/xl/worksheets/sheet26.xml" Id="R27b0bea29ab64d5e" /><Relationship Type="http://schemas.openxmlformats.org/officeDocument/2006/relationships/worksheet" Target="/xl/worksheets/sheet27.xml" Id="Rcf88516a946e4af7" /><Relationship Type="http://schemas.openxmlformats.org/officeDocument/2006/relationships/worksheet" Target="/xl/worksheets/sheet28.xml" Id="Redba38d22b1a4934" /><Relationship Type="http://schemas.openxmlformats.org/officeDocument/2006/relationships/worksheet" Target="/xl/worksheets/sheet29.xml" Id="Ra259813af30c429b" /><Relationship Type="http://schemas.openxmlformats.org/officeDocument/2006/relationships/worksheet" Target="/xl/worksheets/sheet30.xml" Id="R43af3d5ab8474117" /><Relationship Type="http://schemas.openxmlformats.org/officeDocument/2006/relationships/worksheet" Target="/xl/worksheets/sheet31.xml" Id="Rcd10fd0f88024644" /><Relationship Type="http://schemas.openxmlformats.org/officeDocument/2006/relationships/worksheet" Target="/xl/worksheets/sheet32.xml" Id="R18aa6586f73344a7" /><Relationship Type="http://schemas.openxmlformats.org/officeDocument/2006/relationships/worksheet" Target="/xl/worksheets/sheet33.xml" Id="R7bd958e6cdd34323" /><Relationship Type="http://schemas.openxmlformats.org/officeDocument/2006/relationships/worksheet" Target="/xl/worksheets/sheet34.xml" Id="R54e1b6adfa2046c7" /><Relationship Type="http://schemas.openxmlformats.org/officeDocument/2006/relationships/worksheet" Target="/xl/worksheets/sheet35.xml" Id="Rcee9c89e1ec44560" /><Relationship Type="http://schemas.openxmlformats.org/officeDocument/2006/relationships/worksheet" Target="/xl/worksheets/sheet36.xml" Id="Rfeca61133f864a89" /><Relationship Type="http://schemas.openxmlformats.org/officeDocument/2006/relationships/worksheet" Target="/xl/worksheets/sheet37.xml" Id="R02c7d05da9da4598" /><Relationship Type="http://schemas.openxmlformats.org/officeDocument/2006/relationships/worksheet" Target="/xl/worksheets/sheet38.xml" Id="Rbcf494e3b37c4ea0" /><Relationship Type="http://schemas.openxmlformats.org/officeDocument/2006/relationships/worksheet" Target="/xl/worksheets/sheet39.xml" Id="Rccee79ce006c4867" /><Relationship Type="http://schemas.openxmlformats.org/officeDocument/2006/relationships/worksheet" Target="/xl/worksheets/sheet40.xml" Id="R453c8d57f3ac4bf0" /><Relationship Type="http://schemas.openxmlformats.org/officeDocument/2006/relationships/worksheet" Target="/xl/worksheets/sheet41.xml" Id="R77f8e142a01741db" /><Relationship Type="http://schemas.openxmlformats.org/officeDocument/2006/relationships/worksheet" Target="/xl/worksheets/sheet42.xml" Id="R3765fb98454b4de0" /><Relationship Type="http://schemas.openxmlformats.org/officeDocument/2006/relationships/worksheet" Target="/xl/worksheets/sheet43.xml" Id="Rb613f12f4ec848ce" /><Relationship Type="http://schemas.openxmlformats.org/officeDocument/2006/relationships/worksheet" Target="/xl/worksheets/sheet44.xml" Id="R8e7ff5a4ec664994" /><Relationship Type="http://schemas.openxmlformats.org/officeDocument/2006/relationships/worksheet" Target="/xl/worksheets/sheet45.xml" Id="Rb6c5811a911d4b1c" /><Relationship Type="http://schemas.openxmlformats.org/officeDocument/2006/relationships/worksheet" Target="/xl/worksheets/sheet46.xml" Id="Rcd8319fda9444eeb" /><Relationship Type="http://schemas.openxmlformats.org/officeDocument/2006/relationships/worksheet" Target="/xl/worksheets/sheet47.xml" Id="R6538e4646ff74996" /><Relationship Type="http://schemas.openxmlformats.org/officeDocument/2006/relationships/worksheet" Target="/xl/worksheets/sheet48.xml" Id="R5ca08bf0c8dc4976" /><Relationship Type="http://schemas.openxmlformats.org/officeDocument/2006/relationships/worksheet" Target="/xl/worksheets/sheet49.xml" Id="R38e1f4ab3c0d4a6b" /><Relationship Type="http://schemas.openxmlformats.org/officeDocument/2006/relationships/worksheet" Target="/xl/worksheets/sheet50.xml" Id="R03a23a99f0fd420f" /><Relationship Type="http://schemas.openxmlformats.org/officeDocument/2006/relationships/worksheet" Target="/xl/worksheets/sheet51.xml" Id="Rf53c279e981c4c15" /><Relationship Type="http://schemas.openxmlformats.org/officeDocument/2006/relationships/worksheet" Target="/xl/worksheets/sheet52.xml" Id="Rc069bbbf7d5b477e" /><Relationship Type="http://schemas.openxmlformats.org/officeDocument/2006/relationships/worksheet" Target="/xl/worksheets/sheet53.xml" Id="Rc26f64ce1c774648" /><Relationship Type="http://schemas.openxmlformats.org/officeDocument/2006/relationships/worksheet" Target="/xl/worksheets/sheet54.xml" Id="R8db05ef6ae664ca9" /><Relationship Type="http://schemas.openxmlformats.org/officeDocument/2006/relationships/worksheet" Target="/xl/worksheets/sheet55.xml" Id="R97acadae19854bfd" /><Relationship Type="http://schemas.openxmlformats.org/officeDocument/2006/relationships/worksheet" Target="/xl/worksheets/sheet56.xml" Id="R22068422270d4d90" /><Relationship Type="http://schemas.openxmlformats.org/officeDocument/2006/relationships/worksheet" Target="/xl/worksheets/sheet57.xml" Id="R995cfb96e3a940e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25" hidden="0" customWidth="1"/>
    <x:col min="3" max="3" width="96" hidden="0" customWidth="1"/>
    <x:col min="4" max="4" width="4" hidden="0" customWidth="1"/>
    <x:col min="5" max="5" width="34" hidden="0" customWidth="1"/>
    <x:col min="6" max="6" width="18" hidden="0" customWidth="1"/>
    <x:col min="7" max="7" width="34" hidden="0" customWidth="1"/>
    <x:col min="8" max="8" width="18" hidden="0" customWidth="1"/>
  </x:cols>
  <x:sheetData>
    <x:row r="2">
      <x:c r="B2" s="22" t="str">
        <x:v>RAY-1 first QE-01 event and regeneration constitution</x:v>
      </x:c>
      <x:c r="C2" s="23"/>
      <x:c r="D2" s="23"/>
      <x:c r="E2" s="23"/>
      <x:c r="F2" s="23"/>
      <x:c r="G2" s="23"/>
      <x:c r="H2" s="23"/>
    </x:row>
    <x:row r="3">
      <x:c r="B3" s="24" t="str">
        <x:v>One selected null event consumes campaign readiness, establishes observed zero and returns the pair only through a new baseline.</x:v>
      </x:c>
      <x:c r="C3" s="23"/>
      <x:c r="D3" s="23"/>
      <x:c r="E3" s="23"/>
      <x:c r="F3" s="23"/>
      <x:c r="G3" s="23"/>
      <x:c r="H3" s="23"/>
    </x:row>
    <x:row r="4">
      <x:c r="B4" s="23"/>
      <x:c r="C4" s="23"/>
      <x:c r="D4" s="23"/>
      <x:c r="E4" s="23"/>
      <x:c r="F4" s="23"/>
      <x:c r="G4" s="23"/>
      <x:c r="H4" s="23"/>
    </x:row>
    <x:row r="5">
      <x:c r="B5" s="23"/>
      <x:c r="C5" s="23"/>
      <x:c r="D5" s="23"/>
      <x:c r="E5" s="23"/>
      <x:c r="F5" s="23"/>
      <x:c r="G5" s="23"/>
      <x:c r="H5" s="23"/>
    </x:row>
    <x:row r="6" ht="24" customHeight="1">
      <x:c r="B6" s="6" t="str">
        <x:v>Decision field</x:v>
      </x:c>
      <x:c r="C6" s="6" t="str">
        <x:v>RAY-1 position</x:v>
      </x:c>
      <x:c r="D6" s="23" t="str"/>
      <x:c r="E6" s="6" t="str">
        <x:v>NUMERIC ANCHORS</x:v>
      </x:c>
      <x:c r="F6" s="6" t="str"/>
      <x:c r="G6" s="6" t="str"/>
      <x:c r="H6" s="6" t="str"/>
    </x:row>
    <x:row r="7">
      <x:c r="B7" s="23" t="str">
        <x:v>Object</x:v>
      </x:c>
      <x:c r="C7" s="23" t="str">
        <x:v>First QE-01 event issue, execution and regeneration constitution</x:v>
      </x:c>
      <x:c r="D7" s="23" t="str"/>
      <x:c r="E7" s="25" t="str">
        <x:v>Candidate cells</x:v>
      </x:c>
      <x:c r="F7" s="25" t="n">
        <x:v>24</x:v>
      </x:c>
      <x:c r="G7" s="25" t="str">
        <x:v>Dossier bindings</x:v>
      </x:c>
      <x:c r="H7" s="25" t="n">
        <x:v>192</x:v>
      </x:c>
    </x:row>
    <x:row r="8">
      <x:c r="B8" s="23" t="str">
        <x:v>Selection</x:v>
      </x:c>
      <x:c r="C8" s="23" t="str">
        <x:v>All twenty-four method-root-rig cells pass before one public draw</x:v>
      </x:c>
      <x:c r="D8" s="23" t="str"/>
      <x:c r="E8" s="25" t="str">
        <x:v>Event crew</x:v>
      </x:c>
      <x:c r="F8" s="25" t="n">
        <x:v>40</x:v>
      </x:c>
      <x:c r="G8" s="25" t="str">
        <x:v>Event phases</x:v>
      </x:c>
      <x:c r="H8" s="25" t="n">
        <x:v>24</x:v>
      </x:c>
    </x:row>
    <x:row r="9">
      <x:c r="B9" s="23" t="str">
        <x:v>Zero state</x:v>
      </x:c>
      <x:c r="C9" s="23" t="str">
        <x:v>Two unlike roots bound source below 0.10 kg and water below 0.025 m3</x:v>
      </x:c>
      <x:c r="D9" s="23" t="str"/>
      <x:c r="E9" s="25" t="str">
        <x:v>Measurement records</x:v>
      </x:c>
      <x:c r="F9" s="25" t="n">
        <x:v>96</x:v>
      </x:c>
      <x:c r="G9" s="25" t="str">
        <x:v>Safeing polls</x:v>
      </x:c>
      <x:c r="H9" s="25" t="n">
        <x:v>36</x:v>
      </x:c>
    </x:row>
    <x:row r="10">
      <x:c r="B10" s="23" t="str">
        <x:v>Issue</x:v>
      </x:c>
      <x:c r="C10" s="23" t="str">
        <x:v>One expiring authority atomically reserves article, rig, crew, slot and evidence</x:v>
      </x:c>
      <x:c r="D10" s="23" t="str"/>
      <x:c r="E10" s="25" t="str">
        <x:v>Holds</x:v>
      </x:c>
      <x:c r="F10" s="25" t="n">
        <x:v>32</x:v>
      </x:c>
      <x:c r="G10" s="25" t="str">
        <x:v>Evidence obligations</x:v>
      </x:c>
      <x:c r="H10" s="25" t="n">
        <x:v>12</x:v>
      </x:c>
    </x:row>
    <x:row r="11">
      <x:c r="B11" s="23" t="str">
        <x:v>Execution</x:v>
      </x:c>
      <x:c r="C11" s="23" t="str">
        <x:v>Twenty commands, twenty aborts and twelve intervention rules govern the event</x:v>
      </x:c>
      <x:c r="D11" s="23" t="str"/>
      <x:c r="E11" s="25" t="str">
        <x:v>Blank samples</x:v>
      </x:c>
      <x:c r="F11" s="25" t="n">
        <x:v>6</x:v>
      </x:c>
      <x:c r="G11" s="25" t="str">
        <x:v>Recovery states</x:v>
      </x:c>
      <x:c r="H11" s="25" t="n">
        <x:v>10</x:v>
      </x:c>
    </x:row>
    <x:row r="12">
      <x:c r="B12" s="23" t="str">
        <x:v>Regeneration</x:v>
      </x:c>
      <x:c r="C12" s="23" t="str">
        <x:v>Thirty-six tasks, twenty-four regressions and six reentry decisions</x:v>
      </x:c>
      <x:c r="D12" s="23" t="str"/>
      <x:c r="E12" s="25" t="str">
        <x:v>Event evidence GB</x:v>
      </x:c>
      <x:c r="F12" s="25" t="n">
        <x:v>117.659</x:v>
      </x:c>
      <x:c r="G12" s="25" t="str">
        <x:v>Allocated GB</x:v>
      </x:c>
      <x:c r="H12" s="25" t="n">
        <x:v>152.9567</x:v>
      </x:c>
    </x:row>
    <x:row r="13">
      <x:c r="B13" s="23" t="str">
        <x:v>Calendar</x:v>
      </x:c>
      <x:c r="C13" s="23" t="str">
        <x:v>Sequential chain is eighty-two months; release-aware chain closes at month fifty-eight</x:v>
      </x:c>
      <x:c r="D13" s="23" t="str"/>
      <x:c r="E13" s="25" t="str">
        <x:v>Capital USD M</x:v>
      </x:c>
      <x:c r="F13" s="25" t="n">
        <x:v>12</x:v>
      </x:c>
      <x:c r="G13" s="25" t="str">
        <x:v>Annual USD M</x:v>
      </x:c>
      <x:c r="H13" s="25" t="n">
        <x:v>6</x:v>
      </x:c>
    </x:row>
    <x:row r="14">
      <x:c r="B14" s="23" t="str">
        <x:v>Finance</x:v>
      </x:c>
      <x:c r="C14" s="23" t="str">
        <x:v>Four-month stage exposure is USD 14M; parent remainders protect later source work</x:v>
      </x:c>
      <x:c r="D14" s="23" t="str"/>
      <x:c r="E14" s="25" t="str">
        <x:v>Stage exposure USD M</x:v>
      </x:c>
      <x:c r="F14" s="25" t="n">
        <x:v>14</x:v>
      </x:c>
      <x:c r="G14" s="25" t="str">
        <x:v>Technology USD M</x:v>
      </x:c>
      <x:c r="H14" s="25" t="n">
        <x:v>24</x:v>
      </x:c>
    </x:row>
    <x:row r="15">
      <x:c r="B15" s="23" t="str">
        <x:v>Authority ceiling</x:v>
      </x:c>
      <x:c r="C15" s="23" t="str">
        <x:v>One QE-01 event only; no class, QE-02, source, candidate, production or exterior-form authority</x:v>
      </x:c>
      <x:c r="D15" s="23" t="str"/>
      <x:c r="E15" s="25" t="str">
        <x:v>Capital remainder USD M</x:v>
      </x:c>
      <x:c r="F15" s="25" t="n">
        <x:v>16</x:v>
      </x:c>
      <x:c r="G15" s="25" t="str">
        <x:v>Annual remainder USD M</x:v>
      </x:c>
      <x:c r="H15" s="25" t="n">
        <x:v>6</x:v>
      </x:c>
    </x:row>
    <x:row r="16">
      <x:c r="B16" s="23" t="str">
        <x:v>Next object</x:v>
      </x:c>
      <x:c r="C16" s="23" t="str">
        <x:v>Complete the twenty-four-event QE-01 class before any 100 kg QE-02 issue</x:v>
      </x:c>
      <x:c r="D16" s="23" t="str"/>
      <x:c r="E16" s="25" t="str">
        <x:v>Technology remainder USD M</x:v>
      </x:c>
      <x:c r="F16" s="25" t="n">
        <x:v>36</x:v>
      </x:c>
      <x:c r="G16" s="25" t="str">
        <x:v>Release gates</x:v>
      </x:c>
      <x:c r="H16" s="25" t="n">
        <x:v>24</x:v>
      </x:c>
    </x:row>
  </x:sheetData>
  <x:mergeCells>
    <x:mergeCell ref="E6:H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1" hidden="0" customWidth="1"/>
    <x:col min="3" max="3" width="58" hidden="0" customWidth="1"/>
    <x:col min="4" max="4" width="20" hidden="0" customWidth="1"/>
    <x:col min="5" max="5" width="22" hidden="0" customWidth="1"/>
    <x:col min="6" max="6" width="20" hidden="0" customWidth="1"/>
    <x:col min="7" max="7" width="20" hidden="0" customWidth="1"/>
  </x:cols>
  <x:sheetData>
    <x:row r="2">
      <x:c r="B2" s="22" t="str">
        <x:v>RAY-1 controls</x:v>
      </x:c>
      <x:c r="C2" s="23"/>
      <x:c r="D2" s="23"/>
      <x:c r="E2" s="23"/>
      <x:c r="F2" s="23"/>
      <x:c r="G2" s="23"/>
    </x:row>
    <x:row r="3">
      <x:c r="B3" s="24" t="str">
        <x:v>Amber cells are inherited limits, design allocations or physical inputs. Authority remains zero until the accountable board acts.</x:v>
      </x:c>
      <x:c r="C3" s="23"/>
      <x:c r="D3" s="23"/>
      <x:c r="E3" s="23"/>
      <x:c r="F3" s="23"/>
      <x:c r="G3" s="23"/>
    </x:row>
    <x:row r="4">
      <x:c r="B4" s="23"/>
      <x:c r="C4" s="23"/>
      <x:c r="D4" s="23"/>
      <x:c r="E4" s="23"/>
      <x:c r="F4" s="23"/>
      <x:c r="G4" s="23"/>
    </x:row>
    <x:row r="5">
      <x:c r="B5" s="23"/>
      <x:c r="C5" s="23"/>
      <x:c r="D5" s="23"/>
      <x:c r="E5" s="23"/>
      <x:c r="F5" s="23"/>
      <x:c r="G5" s="23"/>
    </x:row>
    <x:row r="6" ht="24" customHeight="1">
      <x:c r="B6" s="6" t="str">
        <x:v>ID</x:v>
      </x:c>
      <x:c r="C6" s="6" t="str">
        <x:v>Control</x:v>
      </x:c>
      <x:c r="D6" s="6" t="str">
        <x:v>Value</x:v>
      </x:c>
      <x:c r="E6" s="6" t="str">
        <x:v>Unit</x:v>
      </x:c>
      <x:c r="F6" s="6" t="str">
        <x:v>Class</x:v>
      </x:c>
      <x:c r="G6" s="6" t="str">
        <x:v>Authority</x:v>
      </x:c>
    </x:row>
    <x:row r="7">
      <x:c r="B7" s="26" t="str">
        <x:v>C01</x:v>
      </x:c>
      <x:c r="C7" s="26" t="str">
        <x:v>candidate event cells</x:v>
      </x:c>
      <x:c r="D7" s="27" t="n">
        <x:v>24</x:v>
      </x:c>
      <x:c r="E7" s="26" t="str">
        <x:v>cells</x:v>
      </x:c>
      <x:c r="F7" s="26" t="str">
        <x:v>derived</x:v>
      </x:c>
      <x:c r="G7" s="26" t="str">
        <x:v>RAE-1</x:v>
      </x:c>
    </x:row>
    <x:row r="8">
      <x:c r="B8" s="26" t="str">
        <x:v>C02</x:v>
      </x:c>
      <x:c r="C8" s="26" t="str">
        <x:v>public rigs</x:v>
      </x:c>
      <x:c r="D8" s="27" t="n">
        <x:v>6</x:v>
      </x:c>
      <x:c r="E8" s="26" t="str">
        <x:v>rigs</x:v>
      </x:c>
      <x:c r="F8" s="26" t="str">
        <x:v>inherited</x:v>
      </x:c>
      <x:c r="G8" s="26" t="str">
        <x:v>RFP-1</x:v>
      </x:c>
    </x:row>
    <x:row r="9">
      <x:c r="B9" s="26" t="str">
        <x:v>C03</x:v>
      </x:c>
      <x:c r="C9" s="26" t="str">
        <x:v>method states</x:v>
      </x:c>
      <x:c r="D9" s="27" t="n">
        <x:v>2</x:v>
      </x:c>
      <x:c r="E9" s="26" t="str">
        <x:v>methods</x:v>
      </x:c>
      <x:c r="F9" s="26" t="str">
        <x:v>inherited</x:v>
      </x:c>
      <x:c r="G9" s="26" t="str">
        <x:v>RAE-1</x:v>
      </x:c>
    </x:row>
    <x:row r="10">
      <x:c r="B10" s="26" t="str">
        <x:v>C04</x:v>
      </x:c>
      <x:c r="C10" s="26" t="str">
        <x:v>truth roots</x:v>
      </x:c>
      <x:c r="D10" s="27" t="n">
        <x:v>2</x:v>
      </x:c>
      <x:c r="E10" s="26" t="str">
        <x:v>roots</x:v>
      </x:c>
      <x:c r="F10" s="26" t="str">
        <x:v>inherited</x:v>
      </x:c>
      <x:c r="G10" s="26" t="str">
        <x:v>RAE-1</x:v>
      </x:c>
    </x:row>
    <x:row r="11">
      <x:c r="B11" s="26" t="str">
        <x:v>C05</x:v>
      </x:c>
      <x:c r="C11" s="26" t="str">
        <x:v>draw commitments</x:v>
      </x:c>
      <x:c r="D11" s="27" t="n">
        <x:v>6</x:v>
      </x:c>
      <x:c r="E11" s="26" t="str">
        <x:v>records</x:v>
      </x:c>
      <x:c r="F11" s="26" t="str">
        <x:v>design</x:v>
      </x:c>
      <x:c r="G11" s="26" t="str">
        <x:v>RAY-1</x:v>
      </x:c>
    </x:row>
    <x:row r="12">
      <x:c r="B12" s="26" t="str">
        <x:v>C06</x:v>
      </x:c>
      <x:c r="C12" s="26" t="str">
        <x:v>dossier bindings</x:v>
      </x:c>
      <x:c r="D12" s="27" t="n">
        <x:v>192</x:v>
      </x:c>
      <x:c r="E12" s="26" t="str">
        <x:v>records</x:v>
      </x:c>
      <x:c r="F12" s="26" t="str">
        <x:v>derived</x:v>
      </x:c>
      <x:c r="G12" s="26" t="str">
        <x:v>RAE-1</x:v>
      </x:c>
    </x:row>
    <x:row r="13">
      <x:c r="B13" s="26" t="str">
        <x:v>C07</x:v>
      </x:c>
      <x:c r="C13" s="26" t="str">
        <x:v>event crew positions</x:v>
      </x:c>
      <x:c r="D13" s="27" t="n">
        <x:v>40</x:v>
      </x:c>
      <x:c r="E13" s="26" t="str">
        <x:v>positions</x:v>
      </x:c>
      <x:c r="F13" s="26" t="str">
        <x:v>design</x:v>
      </x:c>
      <x:c r="G13" s="26" t="str">
        <x:v>RAY-1</x:v>
      </x:c>
    </x:row>
    <x:row r="14">
      <x:c r="B14" s="26" t="str">
        <x:v>C08</x:v>
      </x:c>
      <x:c r="C14" s="26" t="str">
        <x:v>configuration freeze domains</x:v>
      </x:c>
      <x:c r="D14" s="27" t="n">
        <x:v>24</x:v>
      </x:c>
      <x:c r="E14" s="26" t="str">
        <x:v>domains</x:v>
      </x:c>
      <x:c r="F14" s="26" t="str">
        <x:v>design</x:v>
      </x:c>
      <x:c r="G14" s="26" t="str">
        <x:v>RAY-1</x:v>
      </x:c>
    </x:row>
    <x:row r="15">
      <x:c r="B15" s="26" t="str">
        <x:v>C09</x:v>
      </x:c>
      <x:c r="C15" s="26" t="str">
        <x:v>zero-source checks</x:v>
      </x:c>
      <x:c r="D15" s="27" t="n">
        <x:v>12</x:v>
      </x:c>
      <x:c r="E15" s="26" t="str">
        <x:v>checks</x:v>
      </x:c>
      <x:c r="F15" s="26" t="str">
        <x:v>design</x:v>
      </x:c>
      <x:c r="G15" s="26" t="str">
        <x:v>RAY-1</x:v>
      </x:c>
    </x:row>
    <x:row r="16">
      <x:c r="B16" s="26" t="str">
        <x:v>C10</x:v>
      </x:c>
      <x:c r="C16" s="26" t="str">
        <x:v>zero-water checks</x:v>
      </x:c>
      <x:c r="D16" s="27" t="n">
        <x:v>10</x:v>
      </x:c>
      <x:c r="E16" s="26" t="str">
        <x:v>checks</x:v>
      </x:c>
      <x:c r="F16" s="26" t="str">
        <x:v>design</x:v>
      </x:c>
      <x:c r="G16" s="26" t="str">
        <x:v>RAY-1</x:v>
      </x:c>
    </x:row>
    <x:row r="17">
      <x:c r="B17" s="26" t="str">
        <x:v>C11</x:v>
      </x:c>
      <x:c r="C17" s="26" t="str">
        <x:v>source uncertainty components</x:v>
      </x:c>
      <x:c r="D17" s="27" t="n">
        <x:v>6</x:v>
      </x:c>
      <x:c r="E17" s="26" t="str">
        <x:v>components/root</x:v>
      </x:c>
      <x:c r="F17" s="26" t="str">
        <x:v>design</x:v>
      </x:c>
      <x:c r="G17" s="26" t="str">
        <x:v>RAY-1</x:v>
      </x:c>
    </x:row>
    <x:row r="18">
      <x:c r="B18" s="26" t="str">
        <x:v>C12</x:v>
      </x:c>
      <x:c r="C18" s="26" t="str">
        <x:v>water uncertainty components</x:v>
      </x:c>
      <x:c r="D18" s="27" t="n">
        <x:v>5</x:v>
      </x:c>
      <x:c r="E18" s="26" t="str">
        <x:v>components/root</x:v>
      </x:c>
      <x:c r="F18" s="26" t="str">
        <x:v>design</x:v>
      </x:c>
      <x:c r="G18" s="26" t="str">
        <x:v>RAY-1</x:v>
      </x:c>
    </x:row>
    <x:row r="19">
      <x:c r="B19" s="26" t="str">
        <x:v>C13</x:v>
      </x:c>
      <x:c r="C19" s="26" t="str">
        <x:v>uncertainty roots</x:v>
      </x:c>
      <x:c r="D19" s="27" t="n">
        <x:v>2</x:v>
      </x:c>
      <x:c r="E19" s="26" t="str">
        <x:v>roots</x:v>
      </x:c>
      <x:c r="F19" s="26" t="str">
        <x:v>inherited</x:v>
      </x:c>
      <x:c r="G19" s="26" t="str">
        <x:v>RAE-1</x:v>
      </x:c>
    </x:row>
    <x:row r="20">
      <x:c r="B20" s="26" t="str">
        <x:v>C14</x:v>
      </x:c>
      <x:c r="C20" s="26" t="str">
        <x:v>uncertainty decisions</x:v>
      </x:c>
      <x:c r="D20" s="27" t="n">
        <x:v>4</x:v>
      </x:c>
      <x:c r="E20" s="26" t="str">
        <x:v>decisions</x:v>
      </x:c>
      <x:c r="F20" s="26" t="str">
        <x:v>derived</x:v>
      </x:c>
      <x:c r="G20" s="26" t="str">
        <x:v>RAY-1</x:v>
      </x:c>
    </x:row>
    <x:row r="21">
      <x:c r="B21" s="26" t="str">
        <x:v>C15</x:v>
      </x:c>
      <x:c r="C21" s="26" t="str">
        <x:v>measurement functions</x:v>
      </x:c>
      <x:c r="D21" s="27" t="n">
        <x:v>24</x:v>
      </x:c>
      <x:c r="E21" s="26" t="str">
        <x:v>functions</x:v>
      </x:c>
      <x:c r="F21" s="26" t="str">
        <x:v>inherited</x:v>
      </x:c>
      <x:c r="G21" s="26" t="str">
        <x:v>RFE-1</x:v>
      </x:c>
    </x:row>
    <x:row r="22">
      <x:c r="B22" s="26" t="str">
        <x:v>C16</x:v>
      </x:c>
      <x:c r="C22" s="26" t="str">
        <x:v>measurement windows</x:v>
      </x:c>
      <x:c r="D22" s="27" t="n">
        <x:v>2</x:v>
      </x:c>
      <x:c r="E22" s="26" t="str">
        <x:v>windows</x:v>
      </x:c>
      <x:c r="F22" s="26" t="str">
        <x:v>design</x:v>
      </x:c>
      <x:c r="G22" s="26" t="str">
        <x:v>RAY-1</x:v>
      </x:c>
    </x:row>
    <x:row r="23">
      <x:c r="B23" s="26" t="str">
        <x:v>C17</x:v>
      </x:c>
      <x:c r="C23" s="26" t="str">
        <x:v>measurement-window records</x:v>
      </x:c>
      <x:c r="D23" s="27" t="n">
        <x:v>96</x:v>
      </x:c>
      <x:c r="E23" s="26" t="str">
        <x:v>records</x:v>
      </x:c>
      <x:c r="F23" s="26" t="str">
        <x:v>derived</x:v>
      </x:c>
      <x:c r="G23" s="26" t="str">
        <x:v>RAY-1</x:v>
      </x:c>
    </x:row>
    <x:row r="24">
      <x:c r="B24" s="26" t="str">
        <x:v>C18</x:v>
      </x:c>
      <x:c r="C24" s="26" t="str">
        <x:v>neighbor proofs</x:v>
      </x:c>
      <x:c r="D24" s="27" t="n">
        <x:v>3</x:v>
      </x:c>
      <x:c r="E24" s="26" t="str">
        <x:v>proofs</x:v>
      </x:c>
      <x:c r="F24" s="26" t="str">
        <x:v>inherited</x:v>
      </x:c>
      <x:c r="G24" s="26" t="str">
        <x:v>RAE-1</x:v>
      </x:c>
    </x:row>
    <x:row r="25">
      <x:c r="B25" s="26" t="str">
        <x:v>C19</x:v>
      </x:c>
      <x:c r="C25" s="26" t="str">
        <x:v>final control elements</x:v>
      </x:c>
      <x:c r="D25" s="27" t="n">
        <x:v>12</x:v>
      </x:c>
      <x:c r="E25" s="26" t="str">
        <x:v>elements</x:v>
      </x:c>
      <x:c r="F25" s="26" t="str">
        <x:v>inherited</x:v>
      </x:c>
      <x:c r="G25" s="26" t="str">
        <x:v>RAE-1</x:v>
      </x:c>
    </x:row>
    <x:row r="26">
      <x:c r="B26" s="26" t="str">
        <x:v>C20</x:v>
      </x:c>
      <x:c r="C26" s="26" t="str">
        <x:v>safeing paths per element</x:v>
      </x:c>
      <x:c r="D26" s="27" t="n">
        <x:v>3</x:v>
      </x:c>
      <x:c r="E26" s="26" t="str">
        <x:v>paths</x:v>
      </x:c>
      <x:c r="F26" s="26" t="str">
        <x:v>inherited</x:v>
      </x:c>
      <x:c r="G26" s="26" t="str">
        <x:v>RAE-1</x:v>
      </x:c>
    </x:row>
    <x:row r="27">
      <x:c r="B27" s="26" t="str">
        <x:v>C21</x:v>
      </x:c>
      <x:c r="C27" s="26" t="str">
        <x:v>event safeing polls</x:v>
      </x:c>
      <x:c r="D27" s="27" t="n">
        <x:v>36</x:v>
      </x:c>
      <x:c r="E27" s="26" t="str">
        <x:v>polls</x:v>
      </x:c>
      <x:c r="F27" s="26" t="str">
        <x:v>derived</x:v>
      </x:c>
      <x:c r="G27" s="26" t="str">
        <x:v>RAY-1</x:v>
      </x:c>
    </x:row>
    <x:row r="28">
      <x:c r="B28" s="26" t="str">
        <x:v>C22</x:v>
      </x:c>
      <x:c r="C28" s="26" t="str">
        <x:v>command transactions</x:v>
      </x:c>
      <x:c r="D28" s="27" t="n">
        <x:v>20</x:v>
      </x:c>
      <x:c r="E28" s="26" t="str">
        <x:v>transactions</x:v>
      </x:c>
      <x:c r="F28" s="26" t="str">
        <x:v>inherited</x:v>
      </x:c>
      <x:c r="G28" s="26" t="str">
        <x:v>RFE-1</x:v>
      </x:c>
    </x:row>
    <x:row r="29">
      <x:c r="B29" s="26" t="str">
        <x:v>C23</x:v>
      </x:c>
      <x:c r="C29" s="26" t="str">
        <x:v>event phases</x:v>
      </x:c>
      <x:c r="D29" s="27" t="n">
        <x:v>24</x:v>
      </x:c>
      <x:c r="E29" s="26" t="str">
        <x:v>phases</x:v>
      </x:c>
      <x:c r="F29" s="26" t="str">
        <x:v>inherited</x:v>
      </x:c>
      <x:c r="G29" s="26" t="str">
        <x:v>RAE-1</x:v>
      </x:c>
    </x:row>
    <x:row r="30">
      <x:c r="B30" s="26" t="str">
        <x:v>C24</x:v>
      </x:c>
      <x:c r="C30" s="26" t="str">
        <x:v>hold domains</x:v>
      </x:c>
      <x:c r="D30" s="27" t="n">
        <x:v>8</x:v>
      </x:c>
      <x:c r="E30" s="26" t="str">
        <x:v>domains</x:v>
      </x:c>
      <x:c r="F30" s="26" t="str">
        <x:v>inherited</x:v>
      </x:c>
      <x:c r="G30" s="26" t="str">
        <x:v>RAE-1</x:v>
      </x:c>
    </x:row>
    <x:row r="31">
      <x:c r="B31" s="26" t="str">
        <x:v>C25</x:v>
      </x:c>
      <x:c r="C31" s="26" t="str">
        <x:v>questions per hold domain</x:v>
      </x:c>
      <x:c r="D31" s="27" t="n">
        <x:v>4</x:v>
      </x:c>
      <x:c r="E31" s="26" t="str">
        <x:v>questions</x:v>
      </x:c>
      <x:c r="F31" s="26" t="str">
        <x:v>inherited</x:v>
      </x:c>
      <x:c r="G31" s="26" t="str">
        <x:v>RAE-1</x:v>
      </x:c>
    </x:row>
    <x:row r="32">
      <x:c r="B32" s="26" t="str">
        <x:v>C26</x:v>
      </x:c>
      <x:c r="C32" s="26" t="str">
        <x:v>event holds</x:v>
      </x:c>
      <x:c r="D32" s="27" t="n">
        <x:v>32</x:v>
      </x:c>
      <x:c r="E32" s="26" t="str">
        <x:v>holds</x:v>
      </x:c>
      <x:c r="F32" s="26" t="str">
        <x:v>derived</x:v>
      </x:c>
      <x:c r="G32" s="26" t="str">
        <x:v>RAE-1</x:v>
      </x:c>
    </x:row>
    <x:row r="33">
      <x:c r="B33" s="26" t="str">
        <x:v>C27</x:v>
      </x:c>
      <x:c r="C33" s="26" t="str">
        <x:v>evidence obligations</x:v>
      </x:c>
      <x:c r="D33" s="27" t="n">
        <x:v>12</x:v>
      </x:c>
      <x:c r="E33" s="26" t="str">
        <x:v>records</x:v>
      </x:c>
      <x:c r="F33" s="26" t="str">
        <x:v>inherited</x:v>
      </x:c>
      <x:c r="G33" s="26" t="str">
        <x:v>RAE-1</x:v>
      </x:c>
    </x:row>
    <x:row r="34">
      <x:c r="B34" s="26" t="str">
        <x:v>C28</x:v>
      </x:c>
      <x:c r="C34" s="26" t="str">
        <x:v>blank samples</x:v>
      </x:c>
      <x:c r="D34" s="27" t="n">
        <x:v>6</x:v>
      </x:c>
      <x:c r="E34" s="26" t="str">
        <x:v>samples</x:v>
      </x:c>
      <x:c r="F34" s="26" t="str">
        <x:v>inherited</x:v>
      </x:c>
      <x:c r="G34" s="26" t="str">
        <x:v>RAE-1</x:v>
      </x:c>
    </x:row>
    <x:row r="35">
      <x:c r="B35" s="26" t="str">
        <x:v>C29</x:v>
      </x:c>
      <x:c r="C35" s="26" t="str">
        <x:v>abort conditions</x:v>
      </x:c>
      <x:c r="D35" s="27" t="n">
        <x:v>20</x:v>
      </x:c>
      <x:c r="E35" s="26" t="str">
        <x:v>conditions</x:v>
      </x:c>
      <x:c r="F35" s="26" t="str">
        <x:v>inherited</x:v>
      </x:c>
      <x:c r="G35" s="26" t="str">
        <x:v>RAS-1</x:v>
      </x:c>
    </x:row>
    <x:row r="36">
      <x:c r="B36" s="26" t="str">
        <x:v>C30</x:v>
      </x:c>
      <x:c r="C36" s="26" t="str">
        <x:v>intervention rules</x:v>
      </x:c>
      <x:c r="D36" s="27" t="n">
        <x:v>12</x:v>
      </x:c>
      <x:c r="E36" s="26" t="str">
        <x:v>rules</x:v>
      </x:c>
      <x:c r="F36" s="26" t="str">
        <x:v>inherited</x:v>
      </x:c>
      <x:c r="G36" s="26" t="str">
        <x:v>RFE-1</x:v>
      </x:c>
    </x:row>
    <x:row r="37">
      <x:c r="B37" s="26" t="str">
        <x:v>C31</x:v>
      </x:c>
      <x:c r="C37" s="26" t="str">
        <x:v>decisive event observations</x:v>
      </x:c>
      <x:c r="D37" s="27" t="n">
        <x:v>12</x:v>
      </x:c>
      <x:c r="E37" s="26" t="str">
        <x:v>observations</x:v>
      </x:c>
      <x:c r="F37" s="26" t="str">
        <x:v>design</x:v>
      </x:c>
      <x:c r="G37" s="26" t="str">
        <x:v>RAY-1</x:v>
      </x:c>
    </x:row>
    <x:row r="38">
      <x:c r="B38" s="26" t="str">
        <x:v>C32</x:v>
      </x:c>
      <x:c r="C38" s="26" t="str">
        <x:v>source ledger lines</x:v>
      </x:c>
      <x:c r="D38" s="27" t="n">
        <x:v>7</x:v>
      </x:c>
      <x:c r="E38" s="26" t="str">
        <x:v>lines</x:v>
      </x:c>
      <x:c r="F38" s="26" t="str">
        <x:v>design</x:v>
      </x:c>
      <x:c r="G38" s="26" t="str">
        <x:v>RAY-1</x:v>
      </x:c>
    </x:row>
    <x:row r="39">
      <x:c r="B39" s="26" t="str">
        <x:v>C33</x:v>
      </x:c>
      <x:c r="C39" s="26" t="str">
        <x:v>water ledger lines</x:v>
      </x:c>
      <x:c r="D39" s="27" t="n">
        <x:v>8</x:v>
      </x:c>
      <x:c r="E39" s="26" t="str">
        <x:v>lines</x:v>
      </x:c>
      <x:c r="F39" s="26" t="str">
        <x:v>design</x:v>
      </x:c>
      <x:c r="G39" s="26" t="str">
        <x:v>RAY-1</x:v>
      </x:c>
    </x:row>
    <x:row r="40">
      <x:c r="B40" s="26" t="str">
        <x:v>C34</x:v>
      </x:c>
      <x:c r="C40" s="26" t="str">
        <x:v>validity rules</x:v>
      </x:c>
      <x:c r="D40" s="27" t="n">
        <x:v>16</x:v>
      </x:c>
      <x:c r="E40" s="26" t="str">
        <x:v>rules</x:v>
      </x:c>
      <x:c r="F40" s="26" t="str">
        <x:v>inherited</x:v>
      </x:c>
      <x:c r="G40" s="26" t="str">
        <x:v>RAE-1</x:v>
      </x:c>
    </x:row>
    <x:row r="41">
      <x:c r="B41" s="26" t="str">
        <x:v>C35</x:v>
      </x:c>
      <x:c r="C41" s="26" t="str">
        <x:v>outcome rules</x:v>
      </x:c>
      <x:c r="D41" s="27" t="n">
        <x:v>10</x:v>
      </x:c>
      <x:c r="E41" s="26" t="str">
        <x:v>rules</x:v>
      </x:c>
      <x:c r="F41" s="26" t="str">
        <x:v>design</x:v>
      </x:c>
      <x:c r="G41" s="26" t="str">
        <x:v>RAY-1</x:v>
      </x:c>
    </x:row>
    <x:row r="42">
      <x:c r="B42" s="26" t="str">
        <x:v>C36</x:v>
      </x:c>
      <x:c r="C42" s="26" t="str">
        <x:v>ordered recovery states</x:v>
      </x:c>
      <x:c r="D42" s="27" t="n">
        <x:v>10</x:v>
      </x:c>
      <x:c r="E42" s="26" t="str">
        <x:v>states</x:v>
      </x:c>
      <x:c r="F42" s="26" t="str">
        <x:v>inherited</x:v>
      </x:c>
      <x:c r="G42" s="26" t="str">
        <x:v>RFE-1</x:v>
      </x:c>
    </x:row>
    <x:row r="43">
      <x:c r="B43" s="26" t="str">
        <x:v>C37</x:v>
      </x:c>
      <x:c r="C43" s="26" t="str">
        <x:v>regeneration tasks</x:v>
      </x:c>
      <x:c r="D43" s="27" t="n">
        <x:v>36</x:v>
      </x:c>
      <x:c r="E43" s="26" t="str">
        <x:v>tasks</x:v>
      </x:c>
      <x:c r="F43" s="26" t="str">
        <x:v>design</x:v>
      </x:c>
      <x:c r="G43" s="26" t="str">
        <x:v>RAY-1</x:v>
      </x:c>
    </x:row>
    <x:row r="44">
      <x:c r="B44" s="26" t="str">
        <x:v>C38</x:v>
      </x:c>
      <x:c r="C44" s="26" t="str">
        <x:v>regression tests</x:v>
      </x:c>
      <x:c r="D44" s="27" t="n">
        <x:v>24</x:v>
      </x:c>
      <x:c r="E44" s="26" t="str">
        <x:v>tests</x:v>
      </x:c>
      <x:c r="F44" s="26" t="str">
        <x:v>design</x:v>
      </x:c>
      <x:c r="G44" s="26" t="str">
        <x:v>RAY-1</x:v>
      </x:c>
    </x:row>
    <x:row r="45">
      <x:c r="B45" s="26" t="str">
        <x:v>C39</x:v>
      </x:c>
      <x:c r="C45" s="26" t="str">
        <x:v>reentry decisions</x:v>
      </x:c>
      <x:c r="D45" s="27" t="n">
        <x:v>6</x:v>
      </x:c>
      <x:c r="E45" s="26" t="str">
        <x:v>decisions</x:v>
      </x:c>
      <x:c r="F45" s="26" t="str">
        <x:v>design</x:v>
      </x:c>
      <x:c r="G45" s="26" t="str">
        <x:v>RAY-1</x:v>
      </x:c>
    </x:row>
    <x:row r="46">
      <x:c r="B46" s="26" t="str">
        <x:v>C40</x:v>
      </x:c>
      <x:c r="C46" s="26" t="str">
        <x:v>remote replay packets</x:v>
      </x:c>
      <x:c r="D46" s="27" t="n">
        <x:v>12</x:v>
      </x:c>
      <x:c r="E46" s="26" t="str">
        <x:v>packets</x:v>
      </x:c>
      <x:c r="F46" s="26" t="str">
        <x:v>design</x:v>
      </x:c>
      <x:c r="G46" s="26" t="str">
        <x:v>RAY-1</x:v>
      </x:c>
    </x:row>
    <x:row r="47">
      <x:c r="B47" s="26" t="str">
        <x:v>C41</x:v>
      </x:c>
      <x:c r="C47" s="26" t="str">
        <x:v>event credentials</x:v>
      </x:c>
      <x:c r="D47" s="27" t="n">
        <x:v>12</x:v>
      </x:c>
      <x:c r="E47" s="26" t="str">
        <x:v>credentials</x:v>
      </x:c>
      <x:c r="F47" s="26" t="str">
        <x:v>design</x:v>
      </x:c>
      <x:c r="G47" s="26" t="str">
        <x:v>RAY-1</x:v>
      </x:c>
    </x:row>
    <x:row r="48">
      <x:c r="B48" s="26" t="str">
        <x:v>C42</x:v>
      </x:c>
      <x:c r="C48" s="26" t="str">
        <x:v>RAY-1 release gates</x:v>
      </x:c>
      <x:c r="D48" s="27" t="n">
        <x:v>24</x:v>
      </x:c>
      <x:c r="E48" s="26" t="str">
        <x:v>gates</x:v>
      </x:c>
      <x:c r="F48" s="26" t="str">
        <x:v>design</x:v>
      </x:c>
      <x:c r="G48" s="26" t="str">
        <x:v>RAY-1</x:v>
      </x:c>
    </x:row>
    <x:row r="49">
      <x:c r="B49" s="26" t="str">
        <x:v>C43</x:v>
      </x:c>
      <x:c r="C49" s="26" t="str">
        <x:v>QE-02 boundary conditions</x:v>
      </x:c>
      <x:c r="D49" s="27" t="n">
        <x:v>10</x:v>
      </x:c>
      <x:c r="E49" s="26" t="str">
        <x:v>conditions</x:v>
      </x:c>
      <x:c r="F49" s="26" t="str">
        <x:v>design</x:v>
      </x:c>
      <x:c r="G49" s="26" t="str">
        <x:v>RAY-1</x:v>
      </x:c>
    </x:row>
    <x:row r="50">
      <x:c r="B50" s="26" t="str">
        <x:v>C44</x:v>
      </x:c>
      <x:c r="C50" s="26" t="str">
        <x:v>QE-01 rig days</x:v>
      </x:c>
      <x:c r="D50" s="27" t="n">
        <x:v>2</x:v>
      </x:c>
      <x:c r="E50" s="26" t="str">
        <x:v>rig-days</x:v>
      </x:c>
      <x:c r="F50" s="26" t="str">
        <x:v>inherited</x:v>
      </x:c>
      <x:c r="G50" s="26" t="str">
        <x:v>RAE-1</x:v>
      </x:c>
    </x:row>
    <x:row r="51">
      <x:c r="B51" s="26" t="str">
        <x:v>C45</x:v>
      </x:c>
      <x:c r="C51" s="26" t="str">
        <x:v>native event evidence</x:v>
      </x:c>
      <x:c r="D51" s="27" t="n">
        <x:v>117.659</x:v>
      </x:c>
      <x:c r="E51" s="26" t="str">
        <x:v>GB</x:v>
      </x:c>
      <x:c r="F51" s="26" t="str">
        <x:v>inherited</x:v>
      </x:c>
      <x:c r="G51" s="26" t="str">
        <x:v>RAE-1</x:v>
      </x:c>
    </x:row>
    <x:row r="52">
      <x:c r="B52" s="26" t="str">
        <x:v>C46</x:v>
      </x:c>
      <x:c r="C52" s="26" t="str">
        <x:v>forensic allowance</x:v>
      </x:c>
      <x:c r="D52" s="28" t="n">
        <x:v>0.3</x:v>
      </x:c>
      <x:c r="E52" s="26" t="str">
        <x:v>fraction</x:v>
      </x:c>
      <x:c r="F52" s="26" t="str">
        <x:v>inherited</x:v>
      </x:c>
      <x:c r="G52" s="26" t="str">
        <x:v>RAE-1</x:v>
      </x:c>
    </x:row>
    <x:row r="53">
      <x:c r="B53" s="26" t="str">
        <x:v>C47</x:v>
      </x:c>
      <x:c r="C53" s="26" t="str">
        <x:v>allocated event evidence</x:v>
      </x:c>
      <x:c r="D53" s="29" t="n">
        <x:f>'Controls'!$D$51*(1+'Controls'!$D$52)</x:f>
        <x:v>152.9567</x:v>
      </x:c>
      <x:c r="E53" s="26" t="str">
        <x:v>GB</x:v>
      </x:c>
      <x:c r="F53" s="26" t="str">
        <x:v>derived</x:v>
      </x:c>
      <x:c r="G53" s="26" t="str">
        <x:v>RAY-1</x:v>
      </x:c>
    </x:row>
    <x:row r="54">
      <x:c r="B54" s="26" t="str">
        <x:v>C48</x:v>
      </x:c>
      <x:c r="C54" s="26" t="str">
        <x:v>zero-source upper decision ceiling</x:v>
      </x:c>
      <x:c r="D54" s="27" t="n">
        <x:v>0.1</x:v>
      </x:c>
      <x:c r="E54" s="26" t="str">
        <x:v>kg</x:v>
      </x:c>
      <x:c r="F54" s="26" t="str">
        <x:v>inherited</x:v>
      </x:c>
      <x:c r="G54" s="26" t="str">
        <x:v>RAE-1</x:v>
      </x:c>
    </x:row>
    <x:row r="55">
      <x:c r="B55" s="26" t="str">
        <x:v>C49</x:v>
      </x:c>
      <x:c r="C55" s="26" t="str">
        <x:v>zero-water upper decision ceiling</x:v>
      </x:c>
      <x:c r="D55" s="27" t="n">
        <x:v>0.025</x:v>
      </x:c>
      <x:c r="E55" s="26" t="str">
        <x:v>m3</x:v>
      </x:c>
      <x:c r="F55" s="26" t="str">
        <x:v>design</x:v>
      </x:c>
      <x:c r="G55" s="26" t="str">
        <x:v>RAY-1</x:v>
      </x:c>
    </x:row>
    <x:row r="56">
      <x:c r="B56" s="26" t="str">
        <x:v>C50</x:v>
      </x:c>
      <x:c r="C56" s="26" t="str">
        <x:v>RAX readiness validity</x:v>
      </x:c>
      <x:c r="D56" s="27" t="n">
        <x:v>14</x:v>
      </x:c>
      <x:c r="E56" s="26" t="str">
        <x:v>days</x:v>
      </x:c>
      <x:c r="F56" s="26" t="str">
        <x:v>inherited</x:v>
      </x:c>
      <x:c r="G56" s="26" t="str">
        <x:v>RAX-1</x:v>
      </x:c>
    </x:row>
    <x:row r="57">
      <x:c r="B57" s="26" t="str">
        <x:v>C51</x:v>
      </x:c>
      <x:c r="C57" s="26" t="str">
        <x:v>baseline freeze lead</x:v>
      </x:c>
      <x:c r="D57" s="27" t="n">
        <x:v>96</x:v>
      </x:c>
      <x:c r="E57" s="26" t="str">
        <x:v>hours</x:v>
      </x:c>
      <x:c r="F57" s="26" t="str">
        <x:v>inherited</x:v>
      </x:c>
      <x:c r="G57" s="26" t="str">
        <x:v>RAE-1</x:v>
      </x:c>
    </x:row>
    <x:row r="58">
      <x:c r="B58" s="26" t="str">
        <x:v>C52</x:v>
      </x:c>
      <x:c r="C58" s="26" t="str">
        <x:v>technical baseline restoration ceiling</x:v>
      </x:c>
      <x:c r="D58" s="27" t="n">
        <x:v>72</x:v>
      </x:c>
      <x:c r="E58" s="26" t="str">
        <x:v>hours</x:v>
      </x:c>
      <x:c r="F58" s="26" t="str">
        <x:v>inherited</x:v>
      </x:c>
      <x:c r="G58" s="26" t="str">
        <x:v>RFE-1</x:v>
      </x:c>
    </x:row>
    <x:row r="59">
      <x:c r="B59" s="26" t="str">
        <x:v>C53</x:v>
      </x:c>
      <x:c r="C59" s="26" t="str">
        <x:v>event disposition board</x:v>
      </x:c>
      <x:c r="D59" s="27" t="n">
        <x:v>7</x:v>
      </x:c>
      <x:c r="E59" s="26" t="str">
        <x:v>days after T0</x:v>
      </x:c>
      <x:c r="F59" s="26" t="str">
        <x:v>inherited</x:v>
      </x:c>
      <x:c r="G59" s="26" t="str">
        <x:v>RAE-1</x:v>
      </x:c>
    </x:row>
    <x:row r="60">
      <x:c r="B60" s="26" t="str">
        <x:v>C54</x:v>
      </x:c>
      <x:c r="C60" s="26" t="str">
        <x:v>RAY-1 duration</x:v>
      </x:c>
      <x:c r="D60" s="27" t="n">
        <x:v>4</x:v>
      </x:c>
      <x:c r="E60" s="26" t="str">
        <x:v>months</x:v>
      </x:c>
      <x:c r="F60" s="26" t="str">
        <x:v>design</x:v>
      </x:c>
      <x:c r="G60" s="26" t="str">
        <x:v>RAY-1</x:v>
      </x:c>
    </x:row>
    <x:row r="61">
      <x:c r="B61" s="26" t="str">
        <x:v>C55</x:v>
      </x:c>
      <x:c r="C61" s="26" t="str">
        <x:v>sequential chain duration</x:v>
      </x:c>
      <x:c r="D61" s="29" t="n">
        <x:f>78+'Controls'!$D$60</x:f>
        <x:v>82</x:v>
      </x:c>
      <x:c r="E61" s="26" t="str">
        <x:v>months</x:v>
      </x:c>
      <x:c r="F61" s="26" t="str">
        <x:v>derived</x:v>
      </x:c>
      <x:c r="G61" s="26" t="str">
        <x:v>RAY-1</x:v>
      </x:c>
    </x:row>
    <x:row r="62">
      <x:c r="B62" s="26" t="str">
        <x:v>C56</x:v>
      </x:c>
      <x:c r="C62" s="26" t="str">
        <x:v>release-aware chain duration</x:v>
      </x:c>
      <x:c r="D62" s="29" t="n">
        <x:f>54+'Controls'!$D$60</x:f>
        <x:v>58</x:v>
      </x:c>
      <x:c r="E62" s="26" t="str">
        <x:v>months</x:v>
      </x:c>
      <x:c r="F62" s="26" t="str">
        <x:v>derived</x:v>
      </x:c>
      <x:c r="G62" s="26" t="str">
        <x:v>RAY-1</x:v>
      </x:c>
    </x:row>
    <x:row r="63">
      <x:c r="B63" s="26" t="str">
        <x:v>C57</x:v>
      </x:c>
      <x:c r="C63" s="26" t="str">
        <x:v>original RAP-1 duration</x:v>
      </x:c>
      <x:c r="D63" s="27" t="n">
        <x:v>24</x:v>
      </x:c>
      <x:c r="E63" s="26" t="str">
        <x:v>months</x:v>
      </x:c>
      <x:c r="F63" s="26" t="str">
        <x:v>inherited</x:v>
      </x:c>
      <x:c r="G63" s="26" t="str">
        <x:v>RAP-1</x:v>
      </x:c>
    </x:row>
    <x:row r="64">
      <x:c r="B64" s="26" t="str">
        <x:v>C58</x:v>
      </x:c>
      <x:c r="C64" s="26" t="str">
        <x:v>release-aware excess</x:v>
      </x:c>
      <x:c r="D64" s="29" t="n">
        <x:f>'Controls'!$D$62-'Controls'!$D$63</x:f>
        <x:v>34</x:v>
      </x:c>
      <x:c r="E64" s="26" t="str">
        <x:v>months</x:v>
      </x:c>
      <x:c r="F64" s="26" t="str">
        <x:v>derived</x:v>
      </x:c>
      <x:c r="G64" s="26" t="str">
        <x:v>RAY-1</x:v>
      </x:c>
    </x:row>
    <x:row r="65">
      <x:c r="B65" s="26" t="str">
        <x:v>C59</x:v>
      </x:c>
      <x:c r="C65" s="26" t="str">
        <x:v>RAY-1 capital</x:v>
      </x:c>
      <x:c r="D65" s="27" t="n">
        <x:v>12</x:v>
      </x:c>
      <x:c r="E65" s="26" t="str">
        <x:v>USD M</x:v>
      </x:c>
      <x:c r="F65" s="26" t="str">
        <x:v>allocation</x:v>
      </x:c>
      <x:c r="G65" s="26" t="str">
        <x:v>RAY-1</x:v>
      </x:c>
    </x:row>
    <x:row r="66">
      <x:c r="B66" s="26" t="str">
        <x:v>C60</x:v>
      </x:c>
      <x:c r="C66" s="26" t="str">
        <x:v>RAY-1 annual support</x:v>
      </x:c>
      <x:c r="D66" s="27" t="n">
        <x:v>6</x:v>
      </x:c>
      <x:c r="E66" s="26" t="str">
        <x:v>USD M/year</x:v>
      </x:c>
      <x:c r="F66" s="26" t="str">
        <x:v>allocation</x:v>
      </x:c>
      <x:c r="G66" s="26" t="str">
        <x:v>RAY-1</x:v>
      </x:c>
    </x:row>
    <x:row r="67">
      <x:c r="B67" s="26" t="str">
        <x:v>C61</x:v>
      </x:c>
      <x:c r="C67" s="26" t="str">
        <x:v>RAY-1 stage exposure</x:v>
      </x:c>
      <x:c r="D67" s="29" t="n">
        <x:f>'Controls'!$D$65+'Controls'!$D$66*'Controls'!$D$60/12</x:f>
        <x:v>14</x:v>
      </x:c>
      <x:c r="E67" s="26" t="str">
        <x:v>USD M</x:v>
      </x:c>
      <x:c r="F67" s="26" t="str">
        <x:v>derived</x:v>
      </x:c>
      <x:c r="G67" s="26" t="str">
        <x:v>RAY-1</x:v>
      </x:c>
    </x:row>
    <x:row r="68">
      <x:c r="B68" s="26" t="str">
        <x:v>C62</x:v>
      </x:c>
      <x:c r="C68" s="26" t="str">
        <x:v>RAE-1 capital boundary</x:v>
      </x:c>
      <x:c r="D68" s="27" t="n">
        <x:v>360</x:v>
      </x:c>
      <x:c r="E68" s="26" t="str">
        <x:v>USD M</x:v>
      </x:c>
      <x:c r="F68" s="26" t="str">
        <x:v>inherited</x:v>
      </x:c>
      <x:c r="G68" s="26" t="str">
        <x:v>RAE-1</x:v>
      </x:c>
    </x:row>
    <x:row r="69">
      <x:c r="B69" s="26" t="str">
        <x:v>C63</x:v>
      </x:c>
      <x:c r="C69" s="26" t="str">
        <x:v>prior capital allocation</x:v>
      </x:c>
      <x:c r="D69" s="27" t="n">
        <x:v>332</x:v>
      </x:c>
      <x:c r="E69" s="26" t="str">
        <x:v>USD M</x:v>
      </x:c>
      <x:c r="F69" s="26" t="str">
        <x:v>inherited</x:v>
      </x:c>
      <x:c r="G69" s="26" t="str">
        <x:v>RAX-1</x:v>
      </x:c>
    </x:row>
    <x:row r="70">
      <x:c r="B70" s="26" t="str">
        <x:v>C64</x:v>
      </x:c>
      <x:c r="C70" s="26" t="str">
        <x:v>remaining capital</x:v>
      </x:c>
      <x:c r="D70" s="29" t="n">
        <x:f>'Controls'!$D$68-'Controls'!$D$69-'Controls'!$D$65</x:f>
        <x:v>16</x:v>
      </x:c>
      <x:c r="E70" s="26" t="str">
        <x:v>USD M</x:v>
      </x:c>
      <x:c r="F70" s="26" t="str">
        <x:v>derived</x:v>
      </x:c>
      <x:c r="G70" s="26" t="str">
        <x:v>RAY-1</x:v>
      </x:c>
    </x:row>
    <x:row r="71">
      <x:c r="B71" s="26" t="str">
        <x:v>C65</x:v>
      </x:c>
      <x:c r="C71" s="26" t="str">
        <x:v>RAE-1 annual boundary</x:v>
      </x:c>
      <x:c r="D71" s="27" t="n">
        <x:v>168</x:v>
      </x:c>
      <x:c r="E71" s="26" t="str">
        <x:v>USD M/year</x:v>
      </x:c>
      <x:c r="F71" s="26" t="str">
        <x:v>inherited</x:v>
      </x:c>
      <x:c r="G71" s="26" t="str">
        <x:v>RAE-1</x:v>
      </x:c>
    </x:row>
    <x:row r="72">
      <x:c r="B72" s="26" t="str">
        <x:v>C66</x:v>
      </x:c>
      <x:c r="C72" s="26" t="str">
        <x:v>prior annual allocation</x:v>
      </x:c>
      <x:c r="D72" s="27" t="n">
        <x:v>156</x:v>
      </x:c>
      <x:c r="E72" s="26" t="str">
        <x:v>USD M/year</x:v>
      </x:c>
      <x:c r="F72" s="26" t="str">
        <x:v>inherited</x:v>
      </x:c>
      <x:c r="G72" s="26" t="str">
        <x:v>RAX-1</x:v>
      </x:c>
    </x:row>
    <x:row r="73">
      <x:c r="B73" s="26" t="str">
        <x:v>C67</x:v>
      </x:c>
      <x:c r="C73" s="26" t="str">
        <x:v>remaining annual support</x:v>
      </x:c>
      <x:c r="D73" s="29" t="n">
        <x:f>'Controls'!$D$71-'Controls'!$D$72-'Controls'!$D$66</x:f>
        <x:v>6</x:v>
      </x:c>
      <x:c r="E73" s="26" t="str">
        <x:v>USD M/year</x:v>
      </x:c>
      <x:c r="F73" s="26" t="str">
        <x:v>derived</x:v>
      </x:c>
      <x:c r="G73" s="26" t="str">
        <x:v>RAY-1</x:v>
      </x:c>
    </x:row>
    <x:row r="74">
      <x:c r="B74" s="26" t="str">
        <x:v>C68</x:v>
      </x:c>
      <x:c r="C74" s="26" t="str">
        <x:v>RAE-1 technology boundary</x:v>
      </x:c>
      <x:c r="D74" s="27" t="n">
        <x:v>470</x:v>
      </x:c>
      <x:c r="E74" s="26" t="str">
        <x:v>USD M</x:v>
      </x:c>
      <x:c r="F74" s="26" t="str">
        <x:v>inherited</x:v>
      </x:c>
      <x:c r="G74" s="26" t="str">
        <x:v>RAE-1</x:v>
      </x:c>
    </x:row>
    <x:row r="75">
      <x:c r="B75" s="26" t="str">
        <x:v>C69</x:v>
      </x:c>
      <x:c r="C75" s="26" t="str">
        <x:v>prior technology allocation</x:v>
      </x:c>
      <x:c r="D75" s="27" t="n">
        <x:v>410</x:v>
      </x:c>
      <x:c r="E75" s="26" t="str">
        <x:v>USD M</x:v>
      </x:c>
      <x:c r="F75" s="26" t="str">
        <x:v>inherited</x:v>
      </x:c>
      <x:c r="G75" s="26" t="str">
        <x:v>RAX-1</x:v>
      </x:c>
    </x:row>
    <x:row r="76">
      <x:c r="B76" s="26" t="str">
        <x:v>C70</x:v>
      </x:c>
      <x:c r="C76" s="26" t="str">
        <x:v>RAY-1 technology allocation</x:v>
      </x:c>
      <x:c r="D76" s="27" t="n">
        <x:v>24</x:v>
      </x:c>
      <x:c r="E76" s="26" t="str">
        <x:v>USD M</x:v>
      </x:c>
      <x:c r="F76" s="26" t="str">
        <x:v>cross-classified</x:v>
      </x:c>
      <x:c r="G76" s="26" t="str">
        <x:v>RAY-1</x:v>
      </x:c>
    </x:row>
    <x:row r="77">
      <x:c r="B77" s="26" t="str">
        <x:v>C71</x:v>
      </x:c>
      <x:c r="C77" s="26" t="str">
        <x:v>remaining technology</x:v>
      </x:c>
      <x:c r="D77" s="29" t="n">
        <x:f>'Controls'!$D$74-'Controls'!$D$75-'Controls'!$D$76</x:f>
        <x:v>36</x:v>
      </x:c>
      <x:c r="E77" s="26" t="str">
        <x:v>USD M</x:v>
      </x:c>
      <x:c r="F77" s="26" t="str">
        <x:v>derived</x:v>
      </x:c>
      <x:c r="G77" s="26" t="str">
        <x:v>RAY-1</x:v>
      </x:c>
    </x:row>
    <x:row r="78">
      <x:c r="B78" s="26" t="str">
        <x:v>C72</x:v>
      </x:c>
      <x:c r="C78" s="26" t="str">
        <x:v>event date</x:v>
      </x:c>
      <x:c r="D78" s="30" t="str"/>
      <x:c r="E78" s="26" t="str">
        <x:v>Excel date</x:v>
      </x:c>
      <x:c r="F78" s="26" t="str">
        <x:v>physical input</x:v>
      </x:c>
      <x:c r="G78" s="26" t="str">
        <x:v>event board</x:v>
      </x:c>
    </x:row>
    <x:row r="79">
      <x:c r="B79" s="26" t="str">
        <x:v>C73</x:v>
      </x:c>
      <x:c r="C79" s="26" t="str">
        <x:v>selected candidate index</x:v>
      </x:c>
      <x:c r="D79" s="27" t="str"/>
      <x:c r="E79" s="26" t="str">
        <x:v>integer 1-24</x:v>
      </x:c>
      <x:c r="F79" s="26" t="str">
        <x:v>physical input</x:v>
      </x:c>
      <x:c r="G79" s="26" t="str">
        <x:v>draw board</x:v>
      </x:c>
    </x:row>
    <x:row r="80">
      <x:c r="B80" s="26" t="str">
        <x:v>C74</x:v>
      </x:c>
      <x:c r="C80" s="26" t="str">
        <x:v>RAX accepted UTC</x:v>
      </x:c>
      <x:c r="D80" s="30" t="str"/>
      <x:c r="E80" s="26" t="str">
        <x:v>Excel date/time</x:v>
      </x:c>
      <x:c r="F80" s="26" t="str">
        <x:v>physical input</x:v>
      </x:c>
      <x:c r="G80" s="26" t="str">
        <x:v>campaign board</x:v>
      </x:c>
    </x:row>
    <x:row r="81">
      <x:c r="B81" s="26" t="str">
        <x:v>C75</x:v>
      </x:c>
      <x:c r="C81" s="26" t="str">
        <x:v>RAX valid through</x:v>
      </x:c>
      <x:c r="D81" s="30" t="str"/>
      <x:c r="E81" s="26" t="str">
        <x:v>Excel date/time</x:v>
      </x:c>
      <x:c r="F81" s="26" t="str">
        <x:v>physical input</x:v>
      </x:c>
      <x:c r="G81" s="26" t="str">
        <x:v>campaign board</x:v>
      </x:c>
    </x:row>
    <x:row r="82">
      <x:c r="B82" s="26" t="str">
        <x:v>C76</x:v>
      </x:c>
      <x:c r="C82" s="26" t="str">
        <x:v>RAX release state</x:v>
      </x:c>
      <x:c r="D82" s="27" t="str"/>
      <x:c r="E82" s="26" t="str">
        <x:v>PASS</x:v>
      </x:c>
      <x:c r="F82" s="26" t="str">
        <x:v>physical input</x:v>
      </x:c>
      <x:c r="G82" s="26" t="str">
        <x:v>campaign board</x:v>
      </x:c>
    </x:row>
    <x:row r="83">
      <x:c r="B83" s="26" t="str">
        <x:v>C77</x:v>
      </x:c>
      <x:c r="C83" s="26" t="str">
        <x:v>QE-01 issue authority</x:v>
      </x:c>
      <x:c r="D83" s="27" t="n">
        <x:v>0</x:v>
      </x:c>
      <x:c r="E83" s="26" t="str">
        <x:v>binary</x:v>
      </x:c>
      <x:c r="F83" s="26" t="str">
        <x:v>authority</x:v>
      </x:c>
      <x:c r="G83" s="26" t="str">
        <x:v>event issuer</x:v>
      </x:c>
    </x:row>
    <x:row r="84">
      <x:c r="B84" s="26" t="str">
        <x:v>C78</x:v>
      </x:c>
      <x:c r="C84" s="26" t="str">
        <x:v>QE-01 class authority</x:v>
      </x:c>
      <x:c r="D84" s="27" t="n">
        <x:v>0</x:v>
      </x:c>
      <x:c r="E84" s="26" t="str">
        <x:v>binary</x:v>
      </x:c>
      <x:c r="F84" s="26" t="str">
        <x:v>authority</x:v>
      </x:c>
      <x:c r="G84" s="26" t="str">
        <x:v>downstream</x:v>
      </x:c>
    </x:row>
    <x:row r="85">
      <x:c r="B85" s="26" t="str">
        <x:v>C79</x:v>
      </x:c>
      <x:c r="C85" s="26" t="str">
        <x:v>QE-02 issue authority</x:v>
      </x:c>
      <x:c r="D85" s="27" t="n">
        <x:v>0</x:v>
      </x:c>
      <x:c r="E85" s="26" t="str">
        <x:v>binary</x:v>
      </x:c>
      <x:c r="F85" s="26" t="str">
        <x:v>authority</x:v>
      </x:c>
      <x:c r="G85" s="26" t="str">
        <x:v>downstream</x:v>
      </x:c>
    </x:row>
    <x:row r="86">
      <x:c r="B86" s="26" t="str">
        <x:v>C80</x:v>
      </x:c>
      <x:c r="C86" s="26" t="str">
        <x:v>source-entry authority</x:v>
      </x:c>
      <x:c r="D86" s="27" t="n">
        <x:v>0</x:v>
      </x:c>
      <x:c r="E86" s="26" t="str">
        <x:v>binary</x:v>
      </x:c>
      <x:c r="F86" s="26" t="str">
        <x:v>authority</x:v>
      </x:c>
      <x:c r="G86" s="26" t="str">
        <x:v>downstream</x:v>
      </x:c>
    </x:row>
    <x:row r="87">
      <x:c r="B87" s="26" t="str">
        <x:v>C81</x:v>
      </x:c>
      <x:c r="C87" s="26" t="str">
        <x:v>candidate-entry authority</x:v>
      </x:c>
      <x:c r="D87" s="27" t="n">
        <x:v>0</x:v>
      </x:c>
      <x:c r="E87" s="26" t="str">
        <x:v>binary</x:v>
      </x:c>
      <x:c r="F87" s="26" t="str">
        <x:v>authority</x:v>
      </x:c>
      <x:c r="G87" s="26" t="str">
        <x:v>downstream</x:v>
      </x:c>
    </x:row>
    <x:row r="88">
      <x:c r="B88" s="26" t="str">
        <x:v>C82</x:v>
      </x:c>
      <x:c r="C88" s="26" t="str">
        <x:v>series-production authority</x:v>
      </x:c>
      <x:c r="D88" s="27" t="n">
        <x:v>0</x:v>
      </x:c>
      <x:c r="E88" s="26" t="str">
        <x:v>binary</x:v>
      </x:c>
      <x:c r="F88" s="26" t="str">
        <x:v>authority</x:v>
      </x:c>
      <x:c r="G88" s="26" t="str">
        <x:v>downstream</x:v>
      </x:c>
    </x:row>
    <x:row r="89">
      <x:c r="B89" s="26" t="str">
        <x:v>C83</x:v>
      </x:c>
      <x:c r="C89" s="26" t="str">
        <x:v>exterior-rendering authority</x:v>
      </x:c>
      <x:c r="D89" s="27" t="n">
        <x:v>0</x:v>
      </x:c>
      <x:c r="E89" s="26" t="str">
        <x:v>binary</x:v>
      </x:c>
      <x:c r="F89" s="26" t="str">
        <x:v>authority</x:v>
      </x:c>
      <x:c r="G89" s="26" t="str">
        <x:v>downstream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4" hidden="0" customWidth="1"/>
    <x:col min="3" max="3" width="27" hidden="0" customWidth="1"/>
    <x:col min="4" max="4" width="82" hidden="0" customWidth="1"/>
    <x:col min="5" max="5" width="66" hidden="0" customWidth="1"/>
  </x:cols>
  <x:sheetData>
    <x:row r="2">
      <x:c r="B2" s="22" t="str">
        <x:v>Twelve questions governing the first QE-01 event</x:v>
      </x:c>
      <x:c r="C2" s="23"/>
      <x:c r="D2" s="23"/>
      <x:c r="E2" s="23"/>
    </x:row>
    <x:row r="3">
      <x:c r="B3" s="24" t="str">
        <x:v>RAY-1 turns a current campaign system into one issued, executed, adjudicated and regenerated zero-source event.</x:v>
      </x:c>
      <x:c r="C3" s="23"/>
      <x:c r="D3" s="23"/>
      <x:c r="E3" s="23"/>
    </x:row>
    <x:row r="4">
      <x:c r="B4" s="23"/>
      <x:c r="C4" s="23"/>
      <x:c r="D4" s="23"/>
      <x:c r="E4" s="23"/>
    </x:row>
    <x:row r="5">
      <x:c r="B5" s="23"/>
      <x:c r="C5" s="23"/>
      <x:c r="D5" s="23"/>
      <x:c r="E5" s="23"/>
    </x:row>
    <x:row r="6" ht="24" customHeight="1">
      <x:c r="B6" s="6" t="str">
        <x:v>Question</x:v>
      </x:c>
      <x:c r="C6" s="6" t="str">
        <x:v>Subject</x:v>
      </x:c>
      <x:c r="D6" s="6" t="str">
        <x:v>RAY-1 answer</x:v>
      </x:c>
      <x:c r="E6" s="6" t="str">
        <x:v>Boundary</x:v>
      </x:c>
    </x:row>
    <x:row r="7" ht="42" customHeight="1">
      <x:c r="B7" s="26" t="str">
        <x:v>RQ-01</x:v>
      </x:c>
      <x:c r="C7" s="26" t="str">
        <x:v>event identity</x:v>
      </x:c>
      <x:c r="D7" s="31" t="str">
        <x:v>select one of twenty-four eligible method-root-rig cells after all are current</x:v>
      </x:c>
      <x:c r="E7" s="31" t="str">
        <x:v>no favorable first cell</x:v>
      </x:c>
    </x:row>
    <x:row r="8" ht="42" customHeight="1">
      <x:c r="B8" s="26" t="str">
        <x:v>RQ-02</x:v>
      </x:c>
      <x:c r="C8" s="26" t="str">
        <x:v>observed zero</x:v>
      </x:c>
      <x:c r="D8" s="31" t="str">
        <x:v>measure zero source and zero water with bounded upper decisions</x:v>
      </x:c>
      <x:c r="E8" s="31" t="str">
        <x:v>blank fields and missing samples cannot become zero</x:v>
      </x:c>
    </x:row>
    <x:row r="9" ht="42" customHeight="1">
      <x:c r="B9" s="26" t="str">
        <x:v>RQ-03</x:v>
      </x:c>
      <x:c r="C9" s="26" t="str">
        <x:v>issue authority</x:v>
      </x:c>
      <x:c r="D9" s="31" t="str">
        <x:v>bind 192 accepted dossier objects, one crew and one expiring event issue</x:v>
      </x:c>
      <x:c r="E9" s="31" t="str">
        <x:v>campaign readiness alone cannot start T0</x:v>
      </x:c>
    </x:row>
    <x:row r="10" ht="42" customHeight="1">
      <x:c r="B10" s="26" t="str">
        <x:v>RQ-04</x:v>
      </x:c>
      <x:c r="C10" s="26" t="str">
        <x:v>readiness consumption</x:v>
      </x:c>
      <x:c r="D10" s="31" t="str">
        <x:v>reserve the article, rig, crew, slot and evidence estate atomically</x:v>
      </x:c>
      <x:c r="E10" s="31" t="str">
        <x:v>an issued pair cannot remain available elsewhere</x:v>
      </x:c>
    </x:row>
    <x:row r="11" ht="42" customHeight="1">
      <x:c r="B11" s="26" t="str">
        <x:v>RQ-05</x:v>
      </x:c>
      <x:c r="C11" s="26" t="str">
        <x:v>causal execution</x:v>
      </x:c>
      <x:c r="D11" s="31" t="str">
        <x:v>use twenty-four phases and twenty signed command transactions</x:v>
      </x:c>
      <x:c r="E11" s="31" t="str">
        <x:v>operator narrative cannot replace causal time</x:v>
      </x:c>
    </x:row>
    <x:row r="12" ht="42" customHeight="1">
      <x:c r="B12" s="26" t="str">
        <x:v>RQ-06</x:v>
      </x:c>
      <x:c r="C12" s="26" t="str">
        <x:v>safeing</x:v>
      </x:c>
      <x:c r="D12" s="31" t="str">
        <x:v>poll thirty-six unlike paths and observe twelve final physical states</x:v>
      </x:c>
      <x:c r="E12" s="31" t="str">
        <x:v>command receipt is not final-state evidence</x:v>
      </x:c>
    </x:row>
    <x:row r="13" ht="42" customHeight="1">
      <x:c r="B13" s="26" t="str">
        <x:v>RQ-07</x:v>
      </x:c>
      <x:c r="C13" s="26" t="str">
        <x:v>validity</x:v>
      </x:c>
      <x:c r="D13" s="31" t="str">
        <x:v>judge whether the registered null event occurred before judging its outcome</x:v>
      </x:c>
      <x:c r="E13" s="31" t="str">
        <x:v>invalidity cannot erase a valid adverse result</x:v>
      </x:c>
    </x:row>
    <x:row r="14" ht="42" customHeight="1">
      <x:c r="B14" s="26" t="str">
        <x:v>RQ-08</x:v>
      </x:c>
      <x:c r="C14" s="26" t="str">
        <x:v>recovery</x:v>
      </x:c>
      <x:c r="D14" s="31" t="str">
        <x:v>preserve ten ordered states before cleaning, repair or baseline restoration</x:v>
      </x:c>
      <x:c r="E14" s="31" t="str">
        <x:v>elapsed time alone cannot release work</x:v>
      </x:c>
    </x:row>
    <x:row r="15" ht="42" customHeight="1">
      <x:c r="B15" s="26" t="str">
        <x:v>RQ-09</x:v>
      </x:c>
      <x:c r="C15" s="26" t="str">
        <x:v>regeneration</x:v>
      </x:c>
      <x:c r="D15" s="31" t="str">
        <x:v>repeat twenty-four decisive tests and six reentry decisions</x:v>
      </x:c>
      <x:c r="E15" s="31" t="str">
        <x:v>successful execution does not imply readiness for reuse</x:v>
      </x:c>
    </x:row>
    <x:row r="16" ht="42" customHeight="1">
      <x:c r="B16" s="26" t="str">
        <x:v>RQ-10</x:v>
      </x:c>
      <x:c r="C16" s="26" t="str">
        <x:v>outside replay</x:v>
      </x:c>
      <x:c r="D16" s="31" t="str">
        <x:v>a non-origin campus reconstructs twelve packet classes</x:v>
      </x:c>
      <x:c r="E16" s="31" t="str">
        <x:v>a compiled origin conclusion cannot substitute</x:v>
      </x:c>
    </x:row>
    <x:row r="17" ht="42" customHeight="1">
      <x:c r="B17" s="26" t="str">
        <x:v>RQ-11</x:v>
      </x:c>
      <x:c r="C17" s="26" t="str">
        <x:v>calendar</x:v>
      </x:c>
      <x:c r="D17" s="31" t="str">
        <x:v>add four months after RAX-1, reaching month fifty-eight</x:v>
      </x:c>
      <x:c r="E17" s="31" t="str">
        <x:v>event urgency cannot borrow predecessor authority</x:v>
      </x:c>
    </x:row>
    <x:row r="18" ht="42" customHeight="1">
      <x:c r="B18" s="26" t="str">
        <x:v>RQ-12</x:v>
      </x:c>
      <x:c r="C18" s="26" t="str">
        <x:v>authority ceiling</x:v>
      </x:c>
      <x:c r="D18" s="31" t="str">
        <x:v>close one QE-01 attempt only</x:v>
      </x:c>
      <x:c r="E18" s="31" t="str">
        <x:v>no QE-01 class, QE-02, source, candidate, production or rendering authority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4" hidden="0" customWidth="1"/>
    <x:col min="3" max="3" width="31" hidden="0" customWidth="1"/>
    <x:col min="4" max="4" width="78" hidden="0" customWidth="1"/>
    <x:col min="5" max="5" width="67" hidden="0" customWidth="1"/>
  </x:cols>
  <x:sheetData>
    <x:row r="2">
      <x:c r="B2" s="22" t="str">
        <x:v>RAY-1 claim boundary</x:v>
      </x:c>
      <x:c r="C2" s="23"/>
      <x:c r="D2" s="23"/>
      <x:c r="E2" s="23"/>
    </x:row>
    <x:row r="3">
      <x:c r="B3" s="24" t="str">
        <x:v>A zero-source event can establish institutional competence without granting the next source-bearing class.</x:v>
      </x:c>
      <x:c r="C3" s="23"/>
      <x:c r="D3" s="23"/>
      <x:c r="E3" s="23"/>
    </x:row>
    <x:row r="4">
      <x:c r="B4" s="23"/>
      <x:c r="C4" s="23"/>
      <x:c r="D4" s="23"/>
      <x:c r="E4" s="23"/>
    </x:row>
    <x:row r="5">
      <x:c r="B5" s="23"/>
      <x:c r="C5" s="23"/>
      <x:c r="D5" s="23"/>
      <x:c r="E5" s="23"/>
    </x:row>
    <x:row r="6" ht="24" customHeight="1">
      <x:c r="B6" s="6" t="str">
        <x:v>Claim</x:v>
      </x:c>
      <x:c r="C6" s="6" t="str">
        <x:v>Permitted statement</x:v>
      </x:c>
      <x:c r="D6" s="6" t="str">
        <x:v>Meaning</x:v>
      </x:c>
      <x:c r="E6" s="6" t="str">
        <x:v>Prohibited inference</x:v>
      </x:c>
    </x:row>
    <x:row r="7" ht="44" customHeight="1">
      <x:c r="B7" s="26" t="str">
        <x:v>CB-01</x:v>
      </x:c>
      <x:c r="C7" s="26" t="str">
        <x:v>candidate cell selected</x:v>
      </x:c>
      <x:c r="D7" s="31" t="str">
        <x:v>one of twenty-four fully eligible cells won a committed public draw</x:v>
      </x:c>
      <x:c r="E7" s="31" t="str">
        <x:v>selected cell is technically superior</x:v>
      </x:c>
    </x:row>
    <x:row r="8" ht="44" customHeight="1">
      <x:c r="B8" s="26" t="str">
        <x:v>CB-02</x:v>
      </x:c>
      <x:c r="C8" s="26" t="str">
        <x:v>event issued</x:v>
      </x:c>
      <x:c r="D8" s="31" t="str">
        <x:v>one expiring issue bound the exact dossier, crew, pair and date</x:v>
      </x:c>
      <x:c r="E8" s="31" t="str">
        <x:v>general permission to operate</x:v>
      </x:c>
    </x:row>
    <x:row r="9" ht="44" customHeight="1">
      <x:c r="B9" s="26" t="str">
        <x:v>CB-03</x:v>
      </x:c>
      <x:c r="C9" s="26" t="str">
        <x:v>numeric zero accepted</x:v>
      </x:c>
      <x:c r="D9" s="31" t="str">
        <x:v>both roots bounded apparent source and water below declared ceilings</x:v>
      </x:c>
      <x:c r="E9" s="31" t="str">
        <x:v>perfect absence below every possible detection limit</x:v>
      </x:c>
    </x:row>
    <x:row r="10" ht="44" customHeight="1">
      <x:c r="B10" s="26" t="str">
        <x:v>CB-04</x:v>
      </x:c>
      <x:c r="C10" s="26" t="str">
        <x:v>event valid</x:v>
      </x:c>
      <x:c r="D10" s="31" t="str">
        <x:v>the registered QE-01 proposition occurred and remained attributable</x:v>
      </x:c>
      <x:c r="E10" s="31" t="str">
        <x:v>successful outcome</x:v>
      </x:c>
    </x:row>
    <x:row r="11" ht="44" customHeight="1">
      <x:c r="B11" s="26" t="str">
        <x:v>CB-05</x:v>
      </x:c>
      <x:c r="C11" s="26" t="str">
        <x:v>event successful</x:v>
      </x:c>
      <x:c r="D11" s="31" t="str">
        <x:v>the valid event satisfied all precommitted zero-state and safeing rules</x:v>
      </x:c>
      <x:c r="E11" s="31" t="str">
        <x:v>method or QE-01 class qualification</x:v>
      </x:c>
    </x:row>
    <x:row r="12" ht="44" customHeight="1">
      <x:c r="B12" s="26" t="str">
        <x:v>CB-06</x:v>
      </x:c>
      <x:c r="C12" s="26" t="str">
        <x:v>baseline restored</x:v>
      </x:c>
      <x:c r="D12" s="31" t="str">
        <x:v>technical configuration returned within seventy-two hours</x:v>
      </x:c>
      <x:c r="E12" s="31" t="str">
        <x:v>pair returned to available status</x:v>
      </x:c>
    </x:row>
    <x:row r="13" ht="44" customHeight="1">
      <x:c r="B13" s="26" t="str">
        <x:v>CB-07</x:v>
      </x:c>
      <x:c r="C13" s="26" t="str">
        <x:v>pair reentered</x:v>
      </x:c>
      <x:c r="D13" s="31" t="str">
        <x:v>article, rig, crew, evidence and campus slot received new authority</x:v>
      </x:c>
      <x:c r="E13" s="31" t="str">
        <x:v>readiness after the new expiry date</x:v>
      </x:c>
    </x:row>
    <x:row r="14" ht="44" customHeight="1">
      <x:c r="B14" s="26" t="str">
        <x:v>CB-08</x:v>
      </x:c>
      <x:c r="C14" s="26" t="str">
        <x:v>packet replayed</x:v>
      </x:c>
      <x:c r="D14" s="31" t="str">
        <x:v>a non-origin campus reproduced all twelve decisions</x:v>
      </x:c>
      <x:c r="E14" s="31" t="str">
        <x:v>future source-event validity</x:v>
      </x:c>
    </x:row>
    <x:row r="15" ht="44" customHeight="1">
      <x:c r="B15" s="26" t="str">
        <x:v>CB-09</x:v>
      </x:c>
      <x:c r="C15" s="26" t="str">
        <x:v>RAY-1 closed</x:v>
      </x:c>
      <x:c r="D15" s="31" t="str">
        <x:v>one event and its regeneration chain passed twenty-four release gates</x:v>
      </x:c>
      <x:c r="E15" s="31" t="str">
        <x:v>QE-02 or source entry</x:v>
      </x:c>
    </x:row>
    <x:row r="16" ht="44" customHeight="1">
      <x:c r="B16" s="26" t="str">
        <x:v>CB-10</x:v>
      </x:c>
      <x:c r="C16" s="26" t="str">
        <x:v>finance reconciled</x:v>
      </x:c>
      <x:c r="D16" s="31" t="str">
        <x:v>RAY-1 uses part of the remaining RAE-1 allocation</x:v>
      </x:c>
      <x:c r="E16" s="31" t="str">
        <x:v>appropriation, bid or observed cost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4" hidden="0" customWidth="1"/>
    <x:col min="3" max="3" width="30" hidden="0" customWidth="1"/>
    <x:col min="4" max="4" width="76" hidden="0" customWidth="1"/>
    <x:col min="5" max="5" width="60" hidden="0" customWidth="1"/>
  </x:cols>
  <x:sheetData>
    <x:row r="2">
      <x:c r="B2" s="22" t="str">
        <x:v>Fourteen separated event authorities</x:v>
      </x:c>
      <x:c r="C2" s="23"/>
      <x:c r="D2" s="23"/>
      <x:c r="E2" s="23"/>
    </x:row>
    <x:row r="3">
      <x:c r="B3" s="24" t="str">
        <x:v>Selection, issue, operation, safety, metrology, evidence, validity, outcome and regeneration remain institutionally distinct.</x:v>
      </x:c>
      <x:c r="C3" s="23"/>
      <x:c r="D3" s="23"/>
      <x:c r="E3" s="23"/>
    </x:row>
    <x:row r="4">
      <x:c r="B4" s="23"/>
      <x:c r="C4" s="23"/>
      <x:c r="D4" s="23"/>
      <x:c r="E4" s="23"/>
    </x:row>
    <x:row r="5">
      <x:c r="B5" s="23"/>
      <x:c r="C5" s="23"/>
      <x:c r="D5" s="23"/>
      <x:c r="E5" s="23"/>
    </x:row>
    <x:row r="6" ht="24" customHeight="1">
      <x:c r="B6" s="6" t="str">
        <x:v>Authority</x:v>
      </x:c>
      <x:c r="C6" s="6" t="str">
        <x:v>Owner</x:v>
      </x:c>
      <x:c r="D6" s="6" t="str">
        <x:v>Responsibility</x:v>
      </x:c>
      <x:c r="E6" s="6" t="str">
        <x:v>Cannot do</x:v>
      </x:c>
    </x:row>
    <x:row r="7" ht="42" customHeight="1">
      <x:c r="B7" s="26" t="str">
        <x:v>GOV-01</x:v>
      </x:c>
      <x:c r="C7" s="26" t="str">
        <x:v>campaign board</x:v>
      </x:c>
      <x:c r="D7" s="31" t="str">
        <x:v>confirms all twenty-four cells were eligible before the draw</x:v>
      </x:c>
      <x:c r="E7" s="31" t="str">
        <x:v>cannot select the winner</x:v>
      </x:c>
    </x:row>
    <x:row r="8" ht="42" customHeight="1">
      <x:c r="B8" s="26" t="str">
        <x:v>GOV-02</x:v>
      </x:c>
      <x:c r="C8" s="26" t="str">
        <x:v>draw board</x:v>
      </x:c>
      <x:c r="D8" s="31" t="str">
        <x:v>seals commitments, reveals, algorithm and selected cell</x:v>
      </x:c>
      <x:c r="E8" s="31" t="str">
        <x:v>cannot remove an eligible cell</x:v>
      </x:c>
    </x:row>
    <x:row r="9" ht="42" customHeight="1">
      <x:c r="B9" s="26" t="str">
        <x:v>GOV-03</x:v>
      </x:c>
      <x:c r="C9" s="26" t="str">
        <x:v>event issuer</x:v>
      </x:c>
      <x:c r="D9" s="31" t="str">
        <x:v>binds the exact dossier and expiring T0 authority</x:v>
      </x:c>
      <x:c r="E9" s="31" t="str">
        <x:v>cannot waive a physical hold</x:v>
      </x:c>
    </x:row>
    <x:row r="10" ht="42" customHeight="1">
      <x:c r="B10" s="26" t="str">
        <x:v>GOV-04</x:v>
      </x:c>
      <x:c r="C10" s="26" t="str">
        <x:v>rig command</x:v>
      </x:c>
      <x:c r="D10" s="31" t="str">
        <x:v>owns local plant, state transitions and stop authority</x:v>
      </x:c>
      <x:c r="E10" s="31" t="str">
        <x:v>cannot judge validity</x:v>
      </x:c>
    </x:row>
    <x:row r="11" ht="42" customHeight="1">
      <x:c r="B11" s="26" t="str">
        <x:v>GOV-05</x:v>
      </x:c>
      <x:c r="C11" s="26" t="str">
        <x:v>article custody</x:v>
      </x:c>
      <x:c r="D11" s="31" t="str">
        <x:v>owns serialized article state from commitment through reentry</x:v>
      </x:c>
      <x:c r="E11" s="31" t="str">
        <x:v>cannot conceal a repair</x:v>
      </x:c>
    </x:row>
    <x:row r="12" ht="42" customHeight="1">
      <x:c r="B12" s="26" t="str">
        <x:v>GOV-06</x:v>
      </x:c>
      <x:c r="C12" s="26" t="str">
        <x:v>source-zero custody</x:v>
      </x:c>
      <x:c r="D12" s="31" t="str">
        <x:v>proves no source package or accessible upstream inventory</x:v>
      </x:c>
      <x:c r="E12" s="31" t="str">
        <x:v>cannot treat missing mass as zero</x:v>
      </x:c>
    </x:row>
    <x:row r="13" ht="42" customHeight="1">
      <x:c r="B13" s="26" t="str">
        <x:v>GOV-07</x:v>
      </x:c>
      <x:c r="C13" s="26" t="str">
        <x:v>water-zero custody</x:v>
      </x:c>
      <x:c r="D13" s="31" t="str">
        <x:v>proves zero candidate and public water at the event boundary</x:v>
      </x:c>
      <x:c r="E13" s="31" t="str">
        <x:v>cannot credit an unmeasured dry claim</x:v>
      </x:c>
    </x:row>
    <x:row r="14" ht="42" customHeight="1">
      <x:c r="B14" s="26" t="str">
        <x:v>GOV-08</x:v>
      </x:c>
      <x:c r="C14" s="26" t="str">
        <x:v>safeing authority</x:v>
      </x:c>
      <x:c r="D14" s="31" t="str">
        <x:v>owns twelve elements and thirty-six unlike paths</x:v>
      </x:c>
      <x:c r="E14" s="31" t="str">
        <x:v>cannot infer final state from commands</x:v>
      </x:c>
    </x:row>
    <x:row r="15" ht="42" customHeight="1">
      <x:c r="B15" s="26" t="str">
        <x:v>GOV-09</x:v>
      </x:c>
      <x:c r="C15" s="26" t="str">
        <x:v>rescue authority</x:v>
      </x:c>
      <x:c r="D15" s="31" t="str">
        <x:v>may intervene immediately and records the causal consequence</x:v>
      </x:c>
      <x:c r="E15" s="31" t="str">
        <x:v>cannot wait for evidence convenience</x:v>
      </x:c>
    </x:row>
    <x:row r="16" ht="42" customHeight="1">
      <x:c r="B16" s="26" t="str">
        <x:v>GOV-10</x:v>
      </x:c>
      <x:c r="C16" s="26" t="str">
        <x:v>metrology authority</x:v>
      </x:c>
      <x:c r="D16" s="31" t="str">
        <x:v>owns two unlike zero-state decisions and uncertainty</x:v>
      </x:c>
      <x:c r="E16" s="31" t="str">
        <x:v>cannot award event outcome</x:v>
      </x:c>
    </x:row>
    <x:row r="17" ht="42" customHeight="1">
      <x:c r="B17" s="26" t="str">
        <x:v>GOV-11</x:v>
      </x:c>
      <x:c r="C17" s="26" t="str">
        <x:v>evidence authority</x:v>
      </x:c>
      <x:c r="D17" s="31" t="str">
        <x:v>seals originals, time and remote packet</x:v>
      </x:c>
      <x:c r="E17" s="31" t="str">
        <x:v>cannot alter observed results</x:v>
      </x:c>
    </x:row>
    <x:row r="18" ht="42" customHeight="1">
      <x:c r="B18" s="26" t="str">
        <x:v>GOV-12</x:v>
      </x:c>
      <x:c r="C18" s="26" t="str">
        <x:v>validity board</x:v>
      </x:c>
      <x:c r="D18" s="31" t="str">
        <x:v>decides whether the registered event occurred</x:v>
      </x:c>
      <x:c r="E18" s="31" t="str">
        <x:v>cannot score outcome first</x:v>
      </x:c>
    </x:row>
    <x:row r="19" ht="42" customHeight="1">
      <x:c r="B19" s="26" t="str">
        <x:v>GOV-13</x:v>
      </x:c>
      <x:c r="C19" s="26" t="str">
        <x:v>outcome board</x:v>
      </x:c>
      <x:c r="D19" s="31" t="str">
        <x:v>applies the precommitted zero-state rules</x:v>
      </x:c>
      <x:c r="E19" s="31" t="str">
        <x:v>cannot change the rule after T0</x:v>
      </x:c>
    </x:row>
    <x:row r="20" ht="42" customHeight="1">
      <x:c r="B20" s="26" t="str">
        <x:v>GOV-14</x:v>
      </x:c>
      <x:c r="C20" s="26" t="str">
        <x:v>regeneration board</x:v>
      </x:c>
      <x:c r="D20" s="31" t="str">
        <x:v>returns each consumed resource to a new baseline or quarantine</x:v>
      </x:c>
      <x:c r="E20" s="31" t="str">
        <x:v>cannot preserve pre-event readiness by assertion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2" hidden="0" customWidth="1"/>
    <x:col min="3" max="3" width="18" hidden="0" customWidth="1"/>
    <x:col min="4" max="4" width="70" hidden="0" customWidth="1"/>
    <x:col min="5" max="5" width="20" hidden="0" customWidth="1"/>
    <x:col min="6" max="6" width="20" hidden="0" customWidth="1"/>
    <x:col min="7" max="7" width="34" hidden="0" customWidth="1"/>
    <x:col min="8" max="8" width="14" hidden="0" customWidth="1"/>
  </x:cols>
  <x:sheetData>
    <x:row r="2">
      <x:c r="B2" s="22" t="str">
        <x:v>Eight-state readiness consumption and return chain</x:v>
      </x:c>
      <x:c r="C2" s="23"/>
      <x:c r="D2" s="23"/>
      <x:c r="E2" s="23"/>
      <x:c r="F2" s="23"/>
      <x:c r="G2" s="23"/>
      <x:c r="H2" s="23"/>
    </x:row>
    <x:row r="3">
      <x:c r="B3" s="24" t="str">
        <x:v>The selected article-rig pair leaves the available pool at reservation and returns only after fresh reentry authority.</x:v>
      </x:c>
      <x:c r="C3" s="23"/>
      <x:c r="D3" s="23"/>
      <x:c r="E3" s="23"/>
      <x:c r="F3" s="23"/>
      <x:c r="G3" s="23"/>
      <x:c r="H3" s="23"/>
    </x:row>
    <x:row r="4">
      <x:c r="B4" s="23"/>
      <x:c r="C4" s="23"/>
      <x:c r="D4" s="23"/>
      <x:c r="E4" s="23"/>
      <x:c r="F4" s="23"/>
      <x:c r="G4" s="23"/>
      <x:c r="H4" s="23"/>
    </x:row>
    <x:row r="5">
      <x:c r="B5" s="23"/>
      <x:c r="C5" s="23"/>
      <x:c r="D5" s="23"/>
      <x:c r="E5" s="23"/>
      <x:c r="F5" s="23"/>
      <x:c r="G5" s="23"/>
      <x:c r="H5" s="23"/>
    </x:row>
    <x:row r="6" ht="24" customHeight="1">
      <x:c r="B6" s="6" t="str">
        <x:v>Sequence</x:v>
      </x:c>
      <x:c r="C6" s="6" t="str">
        <x:v>Required state</x:v>
      </x:c>
      <x:c r="D6" s="6" t="str">
        <x:v>Meaning</x:v>
      </x:c>
      <x:c r="E6" s="6" t="str">
        <x:v>Observed sequence</x:v>
      </x:c>
      <x:c r="F6" s="6" t="str">
        <x:v>Observed state</x:v>
      </x:c>
      <x:c r="G6" s="6" t="str">
        <x:v>Evidence root</x:v>
      </x:c>
      <x:c r="H6" s="6" t="str">
        <x:v>State</x:v>
      </x:c>
    </x:row>
    <x:row r="7" ht="36" customHeight="1">
      <x:c r="B7" s="26" t="n">
        <x:v>1</x:v>
      </x:c>
      <x:c r="C7" s="26" t="str">
        <x:v>AVAILABLE</x:v>
      </x:c>
      <x:c r="D7" s="31" t="str">
        <x:v>RAX-1 pair current before selection</x:v>
      </x:c>
      <x:c r="E7" s="26" t="str"/>
      <x:c r="F7" s="26" t="str"/>
      <x:c r="G7" s="26" t="str"/>
      <x:c r="H7" s="26" t="str">
        <x:f>IF(OR(E7="",F7=""),"OPEN",IF(AND(E7=B7,F7=C7,G7&lt;&gt;""),"PASS","FAIL"))</x:f>
        <x:v>OPEN</x:v>
      </x:c>
    </x:row>
    <x:row r="8" ht="36" customHeight="1">
      <x:c r="B8" s="26" t="n">
        <x:v>2</x:v>
      </x:c>
      <x:c r="C8" s="26" t="str">
        <x:v>RESERVED</x:v>
      </x:c>
      <x:c r="D8" s="31" t="str">
        <x:v>selected cell removed from every other schedule</x:v>
      </x:c>
      <x:c r="E8" s="26" t="str"/>
      <x:c r="F8" s="26" t="str"/>
      <x:c r="G8" s="26" t="str"/>
      <x:c r="H8" s="26" t="str">
        <x:f>IF(OR(E8="",F8=""),"OPEN",IF(AND(E8=B8,F8=C8,G8&lt;&gt;""),"PASS","FAIL"))</x:f>
        <x:v>OPEN</x:v>
      </x:c>
    </x:row>
    <x:row r="9" ht="36" customHeight="1">
      <x:c r="B9" s="26" t="n">
        <x:v>3</x:v>
      </x:c>
      <x:c r="C9" s="26" t="str">
        <x:v>COMMITTED</x:v>
      </x:c>
      <x:c r="D9" s="31" t="str">
        <x:v>event issue accepted and expiring</x:v>
      </x:c>
      <x:c r="E9" s="26" t="str"/>
      <x:c r="F9" s="26" t="str"/>
      <x:c r="G9" s="26" t="str"/>
      <x:c r="H9" s="26" t="str">
        <x:f>IF(OR(E9="",F9=""),"OPEN",IF(AND(E9=B9,F9=C9,G9&lt;&gt;""),"PASS","FAIL"))</x:f>
        <x:v>OPEN</x:v>
      </x:c>
    </x:row>
    <x:row r="10" ht="36" customHeight="1">
      <x:c r="B10" s="26" t="n">
        <x:v>4</x:v>
      </x:c>
      <x:c r="C10" s="26" t="str">
        <x:v>EXECUTING</x:v>
      </x:c>
      <x:c r="D10" s="31" t="str">
        <x:v>T0 null-source command recorded</x:v>
      </x:c>
      <x:c r="E10" s="26" t="str"/>
      <x:c r="F10" s="26" t="str"/>
      <x:c r="G10" s="26" t="str"/>
      <x:c r="H10" s="26" t="str">
        <x:f>IF(OR(E10="",F10=""),"OPEN",IF(AND(E10=B10,F10=C10,G10&lt;&gt;""),"PASS","FAIL"))</x:f>
        <x:v>OPEN</x:v>
      </x:c>
    </x:row>
    <x:row r="11" ht="36" customHeight="1">
      <x:c r="B11" s="26" t="n">
        <x:v>5</x:v>
      </x:c>
      <x:c r="C11" s="26" t="str">
        <x:v>SAFEING</x:v>
      </x:c>
      <x:c r="D11" s="31" t="str">
        <x:v>registered safeing sequence underway</x:v>
      </x:c>
      <x:c r="E11" s="26" t="str"/>
      <x:c r="F11" s="26" t="str"/>
      <x:c r="G11" s="26" t="str"/>
      <x:c r="H11" s="26" t="str">
        <x:f>IF(OR(E11="",F11=""),"OPEN",IF(AND(E11=B11,F11=C11,G11&lt;&gt;""),"PASS","FAIL"))</x:f>
        <x:v>OPEN</x:v>
      </x:c>
    </x:row>
    <x:row r="12" ht="36" customHeight="1">
      <x:c r="B12" s="26" t="n">
        <x:v>6</x:v>
      </x:c>
      <x:c r="C12" s="26" t="str">
        <x:v>RECOVERING</x:v>
      </x:c>
      <x:c r="D12" s="31" t="str">
        <x:v>evidence and inventories held before cleanup</x:v>
      </x:c>
      <x:c r="E12" s="26" t="str"/>
      <x:c r="F12" s="26" t="str"/>
      <x:c r="G12" s="26" t="str"/>
      <x:c r="H12" s="26" t="str">
        <x:f>IF(OR(E12="",F12=""),"OPEN",IF(AND(E12=B12,F12=C12,G12&lt;&gt;""),"PASS","FAIL"))</x:f>
        <x:v>OPEN</x:v>
      </x:c>
    </x:row>
    <x:row r="13" ht="36" customHeight="1">
      <x:c r="B13" s="26" t="n">
        <x:v>7</x:v>
      </x:c>
      <x:c r="C13" s="26" t="str">
        <x:v>REGENERATING</x:v>
      </x:c>
      <x:c r="D13" s="31" t="str">
        <x:v>released restoration and regression work</x:v>
      </x:c>
      <x:c r="E13" s="26" t="str"/>
      <x:c r="F13" s="26" t="str"/>
      <x:c r="G13" s="26" t="str"/>
      <x:c r="H13" s="26" t="str">
        <x:f>IF(OR(E13="",F13=""),"OPEN",IF(AND(E13=B13,F13=C13,G13&lt;&gt;""),"PASS","FAIL"))</x:f>
        <x:v>OPEN</x:v>
      </x:c>
    </x:row>
    <x:row r="14" ht="36" customHeight="1">
      <x:c r="B14" s="26" t="n">
        <x:v>8</x:v>
      </x:c>
      <x:c r="C14" s="26" t="str">
        <x:v>AVAILABLE</x:v>
      </x:c>
      <x:c r="D14" s="31" t="str">
        <x:v>new board authority after day-seven disposition</x:v>
      </x:c>
      <x:c r="E14" s="26" t="str"/>
      <x:c r="F14" s="26" t="str"/>
      <x:c r="G14" s="26" t="str"/>
      <x:c r="H14" s="26" t="str">
        <x:f>IF(OR(E14="",F14=""),"OPEN",IF(AND(E14=B14,F14=C14,G14&lt;&gt;""),"PASS","FAIL"))</x:f>
        <x:v>OPEN</x:v>
      </x:c>
    </x:row>
  </x:sheetData>
  <x:conditionalFormatting sqref="H7:H14">
    <x:cfRule type="containsText" dxfId="0" priority="1" operator="containsText" text="FAIL"/>
    <x:cfRule type="containsText" dxfId="1" priority="2" operator="containsText" text="BLOCKED"/>
    <x:cfRule type="containsText" dxfId="2" priority="3" operator="containsText" text="INVALID"/>
    <x:cfRule type="containsText" dxfId="3" priority="4" operator="containsText" text="ADVERSE"/>
    <x:cfRule type="containsText" dxfId="4" priority="5" operator="containsText" text="EXPIRED"/>
    <x:cfRule type="containsText" dxfId="5" priority="6" operator="containsText" text="OPEN"/>
    <x:cfRule type="containsText" dxfId="6" priority="7" operator="containsText" text="DORMANT"/>
    <x:cfRule type="containsText" dxfId="7" priority="8" operator="containsText" text="PASS"/>
    <x:cfRule type="containsText" dxfId="8" priority="9" operator="containsText" text="AVAILABLE"/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4" ySplit="6" topLeftCell="E7" activePane="bottomRight" state="frozen"/>
    </x:sheetView>
  </x:sheetViews>
  <x:sheetFormatPr defaultRowHeight="15"/>
  <x:cols>
    <x:col min="2" max="2" width="12" hidden="0" customWidth="1"/>
    <x:col min="3" max="3" width="35" hidden="0" customWidth="1"/>
    <x:col min="4" max="4" width="14" hidden="0" customWidth="1"/>
    <x:col min="5" max="5" width="14" hidden="0" customWidth="1"/>
    <x:col min="6" max="6" width="17" hidden="0" customWidth="1"/>
    <x:col min="7" max="7" width="14" hidden="0" customWidth="1"/>
    <x:col min="8" max="8" width="14" hidden="0" customWidth="1"/>
    <x:col min="9" max="9" width="16" hidden="0" customWidth="1"/>
    <x:col min="10" max="10" width="17" hidden="0" customWidth="1"/>
    <x:col min="11" max="11" width="15" hidden="0" customWidth="1"/>
    <x:col min="12" max="12" width="18" hidden="0" customWidth="1"/>
    <x:col min="13" max="13" width="16" hidden="0" customWidth="1"/>
    <x:col min="14" max="14" width="21" hidden="0" customWidth="1"/>
    <x:col min="15" max="15" width="14" hidden="0" customWidth="1"/>
  </x:cols>
  <x:sheetData>
    <x:row r="2">
      <x:c r="B2" s="39" t="str">
        <x:v>Twenty-four equally eligible first-event cells</x:v>
      </x:c>
      <x:c r="C2" s="26"/>
      <x:c r="D2" s="26"/>
      <x:c r="E2" s="26"/>
      <x:c r="F2" s="26"/>
      <x:c r="G2" s="26"/>
      <x:c r="H2" s="26"/>
      <x:c r="I2" s="26"/>
      <x:c r="J2" s="26"/>
      <x:c r="K2" s="26"/>
      <x:c r="L2" s="26"/>
      <x:c r="M2" s="26"/>
      <x:c r="N2" s="26"/>
      <x:c r="O2" s="26"/>
    </x:row>
    <x:row r="3">
      <x:c r="B3" s="40" t="str">
        <x:v>All cells must be current before selection. A first event cannot be chosen from a favorable subset.</x:v>
      </x:c>
      <x:c r="C3" s="26"/>
      <x:c r="D3" s="26"/>
      <x:c r="E3" s="26"/>
      <x:c r="F3" s="26"/>
      <x:c r="G3" s="26"/>
      <x:c r="H3" s="26"/>
      <x:c r="I3" s="26"/>
      <x:c r="J3" s="26"/>
      <x:c r="K3" s="26"/>
      <x:c r="L3" s="26"/>
      <x:c r="M3" s="26"/>
      <x:c r="N3" s="26"/>
      <x:c r="O3" s="26"/>
    </x:row>
    <x:row r="4">
      <x:c r="B4" s="26"/>
      <x:c r="C4" s="26"/>
      <x:c r="D4" s="26"/>
      <x:c r="E4" s="26"/>
      <x:c r="F4" s="26"/>
      <x:c r="G4" s="26"/>
      <x:c r="H4" s="26"/>
      <x:c r="I4" s="26"/>
      <x:c r="J4" s="26"/>
      <x:c r="K4" s="26"/>
      <x:c r="L4" s="26"/>
      <x:c r="M4" s="26"/>
      <x:c r="N4" s="26"/>
      <x:c r="O4" s="26"/>
    </x:row>
    <x:row r="5">
      <x:c r="B5" s="26"/>
      <x:c r="C5" s="26"/>
      <x:c r="D5" s="26"/>
      <x:c r="E5" s="26"/>
      <x:c r="F5" s="26"/>
      <x:c r="G5" s="26"/>
      <x:c r="H5" s="26"/>
      <x:c r="I5" s="26"/>
      <x:c r="J5" s="26"/>
      <x:c r="K5" s="26"/>
      <x:c r="L5" s="26"/>
      <x:c r="M5" s="26"/>
      <x:c r="N5" s="26"/>
      <x:c r="O5" s="26"/>
    </x:row>
    <x:row r="6" ht="24" customHeight="1">
      <x:c r="B6" s="41" t="str">
        <x:v>Index</x:v>
      </x:c>
      <x:c r="C6" s="41" t="str">
        <x:v>Cell</x:v>
      </x:c>
      <x:c r="D6" s="41" t="str">
        <x:v>Rig</x:v>
      </x:c>
      <x:c r="E6" s="41" t="str">
        <x:v>Campus</x:v>
      </x:c>
      <x:c r="F6" s="41" t="str">
        <x:v>Article</x:v>
      </x:c>
      <x:c r="G6" s="41" t="str">
        <x:v>Method</x:v>
      </x:c>
      <x:c r="H6" s="41" t="str">
        <x:v>Credit root</x:v>
      </x:c>
      <x:c r="I6" s="41" t="str">
        <x:v>RAX pair</x:v>
      </x:c>
      <x:c r="J6" s="41" t="str">
        <x:v>Article state</x:v>
      </x:c>
      <x:c r="K6" s="41" t="str">
        <x:v>Rig state</x:v>
      </x:c>
      <x:c r="L6" s="41" t="str">
        <x:v>Campus state</x:v>
      </x:c>
      <x:c r="M6" s="41" t="str">
        <x:v>No exclusion</x:v>
      </x:c>
      <x:c r="N6" s="41" t="str">
        <x:v>Accepted UTC</x:v>
      </x:c>
      <x:c r="O6" s="41" t="str">
        <x:v>State</x:v>
      </x:c>
    </x:row>
    <x:row r="7">
      <x:c r="B7" s="26" t="n">
        <x:v>1</x:v>
      </x:c>
      <x:c r="C7" s="26" t="str">
        <x:v>QE01-RFP-A1-AM-05-TR-A</x:v>
      </x:c>
      <x:c r="D7" s="26" t="str">
        <x:v>RFP-A1</x:v>
      </x:c>
      <x:c r="E7" s="26" t="str">
        <x:v>PTC-A</x:v>
      </x:c>
      <x:c r="F7" s="26" t="str">
        <x:v>PEA-A-X1</x:v>
      </x:c>
      <x:c r="G7" s="26" t="str">
        <x:v>AM-05</x:v>
      </x:c>
      <x:c r="H7" s="26" t="str">
        <x:v>TR-A</x:v>
      </x:c>
      <x:c r="I7" s="26" t="str"/>
      <x:c r="J7" s="26" t="str"/>
      <x:c r="K7" s="26" t="str"/>
      <x:c r="L7" s="26" t="str"/>
      <x:c r="M7" s="26" t="str"/>
      <x:c r="N7" s="26" t="str"/>
      <x:c r="O7" s="26" t="str">
        <x:f>IF(N7="","OPEN",IF(OR('Controls'!$D$78="",'Controls'!$D$81=""),"FAIL",IF(AND(I7="PASS",J7="PASS",K7="PASS",L7="PASS",M7="PASS",'Controls'!$D$78&lt;='Controls'!$D$81),"PASS",IF('Controls'!$D$78&gt;'Controls'!$D$81,"EXPIRED","FAIL"))))</x:f>
        <x:v>OPEN</x:v>
      </x:c>
    </x:row>
    <x:row r="8">
      <x:c r="B8" s="26" t="n">
        <x:v>2</x:v>
      </x:c>
      <x:c r="C8" s="26" t="str">
        <x:v>QE01-RFP-A1-AM-05-TR-B</x:v>
      </x:c>
      <x:c r="D8" s="26" t="str">
        <x:v>RFP-A1</x:v>
      </x:c>
      <x:c r="E8" s="26" t="str">
        <x:v>PTC-A</x:v>
      </x:c>
      <x:c r="F8" s="26" t="str">
        <x:v>PEA-A-X1</x:v>
      </x:c>
      <x:c r="G8" s="26" t="str">
        <x:v>AM-05</x:v>
      </x:c>
      <x:c r="H8" s="26" t="str">
        <x:v>TR-B</x:v>
      </x:c>
      <x:c r="I8" s="26" t="str"/>
      <x:c r="J8" s="26" t="str"/>
      <x:c r="K8" s="26" t="str"/>
      <x:c r="L8" s="26" t="str"/>
      <x:c r="M8" s="26" t="str"/>
      <x:c r="N8" s="26" t="str"/>
      <x:c r="O8" s="26" t="str">
        <x:f>IF(N8="","OPEN",IF(OR('Controls'!$D$78="",'Controls'!$D$81=""),"FAIL",IF(AND(I8="PASS",J8="PASS",K8="PASS",L8="PASS",M8="PASS",'Controls'!$D$78&lt;='Controls'!$D$81),"PASS",IF('Controls'!$D$78&gt;'Controls'!$D$81,"EXPIRED","FAIL"))))</x:f>
        <x:v>OPEN</x:v>
      </x:c>
    </x:row>
    <x:row r="9">
      <x:c r="B9" s="26" t="n">
        <x:v>3</x:v>
      </x:c>
      <x:c r="C9" s="26" t="str">
        <x:v>QE01-RFP-A1-AM-06-TR-A</x:v>
      </x:c>
      <x:c r="D9" s="26" t="str">
        <x:v>RFP-A1</x:v>
      </x:c>
      <x:c r="E9" s="26" t="str">
        <x:v>PTC-A</x:v>
      </x:c>
      <x:c r="F9" s="26" t="str">
        <x:v>PEA-A-X1</x:v>
      </x:c>
      <x:c r="G9" s="26" t="str">
        <x:v>AM-06</x:v>
      </x:c>
      <x:c r="H9" s="26" t="str">
        <x:v>TR-A</x:v>
      </x:c>
      <x:c r="I9" s="26" t="str"/>
      <x:c r="J9" s="26" t="str"/>
      <x:c r="K9" s="26" t="str"/>
      <x:c r="L9" s="26" t="str"/>
      <x:c r="M9" s="26" t="str"/>
      <x:c r="N9" s="26" t="str"/>
      <x:c r="O9" s="26" t="str">
        <x:f>IF(N9="","OPEN",IF(OR('Controls'!$D$78="",'Controls'!$D$81=""),"FAIL",IF(AND(I9="PASS",J9="PASS",K9="PASS",L9="PASS",M9="PASS",'Controls'!$D$78&lt;='Controls'!$D$81),"PASS",IF('Controls'!$D$78&gt;'Controls'!$D$81,"EXPIRED","FAIL"))))</x:f>
        <x:v>OPEN</x:v>
      </x:c>
    </x:row>
    <x:row r="10">
      <x:c r="B10" s="26" t="n">
        <x:v>4</x:v>
      </x:c>
      <x:c r="C10" s="26" t="str">
        <x:v>QE01-RFP-A1-AM-06-TR-B</x:v>
      </x:c>
      <x:c r="D10" s="26" t="str">
        <x:v>RFP-A1</x:v>
      </x:c>
      <x:c r="E10" s="26" t="str">
        <x:v>PTC-A</x:v>
      </x:c>
      <x:c r="F10" s="26" t="str">
        <x:v>PEA-A-X1</x:v>
      </x:c>
      <x:c r="G10" s="26" t="str">
        <x:v>AM-06</x:v>
      </x:c>
      <x:c r="H10" s="26" t="str">
        <x:v>TR-B</x:v>
      </x:c>
      <x:c r="I10" s="26" t="str"/>
      <x:c r="J10" s="26" t="str"/>
      <x:c r="K10" s="26" t="str"/>
      <x:c r="L10" s="26" t="str"/>
      <x:c r="M10" s="26" t="str"/>
      <x:c r="N10" s="26" t="str"/>
      <x:c r="O10" s="26" t="str">
        <x:f>IF(N10="","OPEN",IF(OR('Controls'!$D$78="",'Controls'!$D$81=""),"FAIL",IF(AND(I10="PASS",J10="PASS",K10="PASS",L10="PASS",M10="PASS",'Controls'!$D$78&lt;='Controls'!$D$81),"PASS",IF('Controls'!$D$78&gt;'Controls'!$D$81,"EXPIRED","FAIL"))))</x:f>
        <x:v>OPEN</x:v>
      </x:c>
    </x:row>
    <x:row r="11">
      <x:c r="B11" s="26" t="n">
        <x:v>5</x:v>
      </x:c>
      <x:c r="C11" s="26" t="str">
        <x:v>QE01-RFP-A2-AM-05-TR-A</x:v>
      </x:c>
      <x:c r="D11" s="26" t="str">
        <x:v>RFP-A2</x:v>
      </x:c>
      <x:c r="E11" s="26" t="str">
        <x:v>PTC-A</x:v>
      </x:c>
      <x:c r="F11" s="26" t="str">
        <x:v>PEA-A-Y1</x:v>
      </x:c>
      <x:c r="G11" s="26" t="str">
        <x:v>AM-05</x:v>
      </x:c>
      <x:c r="H11" s="26" t="str">
        <x:v>TR-A</x:v>
      </x:c>
      <x:c r="I11" s="26" t="str"/>
      <x:c r="J11" s="26" t="str"/>
      <x:c r="K11" s="26" t="str"/>
      <x:c r="L11" s="26" t="str"/>
      <x:c r="M11" s="26" t="str"/>
      <x:c r="N11" s="26" t="str"/>
      <x:c r="O11" s="26" t="str">
        <x:f>IF(N11="","OPEN",IF(OR('Controls'!$D$78="",'Controls'!$D$81=""),"FAIL",IF(AND(I11="PASS",J11="PASS",K11="PASS",L11="PASS",M11="PASS",'Controls'!$D$78&lt;='Controls'!$D$81),"PASS",IF('Controls'!$D$78&gt;'Controls'!$D$81,"EXPIRED","FAIL"))))</x:f>
        <x:v>OPEN</x:v>
      </x:c>
    </x:row>
    <x:row r="12">
      <x:c r="B12" s="26" t="n">
        <x:v>6</x:v>
      </x:c>
      <x:c r="C12" s="26" t="str">
        <x:v>QE01-RFP-A2-AM-05-TR-B</x:v>
      </x:c>
      <x:c r="D12" s="26" t="str">
        <x:v>RFP-A2</x:v>
      </x:c>
      <x:c r="E12" s="26" t="str">
        <x:v>PTC-A</x:v>
      </x:c>
      <x:c r="F12" s="26" t="str">
        <x:v>PEA-A-Y1</x:v>
      </x:c>
      <x:c r="G12" s="26" t="str">
        <x:v>AM-05</x:v>
      </x:c>
      <x:c r="H12" s="26" t="str">
        <x:v>TR-B</x:v>
      </x:c>
      <x:c r="I12" s="26" t="str"/>
      <x:c r="J12" s="26" t="str"/>
      <x:c r="K12" s="26" t="str"/>
      <x:c r="L12" s="26" t="str"/>
      <x:c r="M12" s="26" t="str"/>
      <x:c r="N12" s="26" t="str"/>
      <x:c r="O12" s="26" t="str">
        <x:f>IF(N12="","OPEN",IF(OR('Controls'!$D$78="",'Controls'!$D$81=""),"FAIL",IF(AND(I12="PASS",J12="PASS",K12="PASS",L12="PASS",M12="PASS",'Controls'!$D$78&lt;='Controls'!$D$81),"PASS",IF('Controls'!$D$78&gt;'Controls'!$D$81,"EXPIRED","FAIL"))))</x:f>
        <x:v>OPEN</x:v>
      </x:c>
    </x:row>
    <x:row r="13">
      <x:c r="B13" s="26" t="n">
        <x:v>7</x:v>
      </x:c>
      <x:c r="C13" s="26" t="str">
        <x:v>QE01-RFP-A2-AM-06-TR-A</x:v>
      </x:c>
      <x:c r="D13" s="26" t="str">
        <x:v>RFP-A2</x:v>
      </x:c>
      <x:c r="E13" s="26" t="str">
        <x:v>PTC-A</x:v>
      </x:c>
      <x:c r="F13" s="26" t="str">
        <x:v>PEA-A-Y1</x:v>
      </x:c>
      <x:c r="G13" s="26" t="str">
        <x:v>AM-06</x:v>
      </x:c>
      <x:c r="H13" s="26" t="str">
        <x:v>TR-A</x:v>
      </x:c>
      <x:c r="I13" s="26" t="str"/>
      <x:c r="J13" s="26" t="str"/>
      <x:c r="K13" s="26" t="str"/>
      <x:c r="L13" s="26" t="str"/>
      <x:c r="M13" s="26" t="str"/>
      <x:c r="N13" s="26" t="str"/>
      <x:c r="O13" s="26" t="str">
        <x:f>IF(N13="","OPEN",IF(OR('Controls'!$D$78="",'Controls'!$D$81=""),"FAIL",IF(AND(I13="PASS",J13="PASS",K13="PASS",L13="PASS",M13="PASS",'Controls'!$D$78&lt;='Controls'!$D$81),"PASS",IF('Controls'!$D$78&gt;'Controls'!$D$81,"EXPIRED","FAIL"))))</x:f>
        <x:v>OPEN</x:v>
      </x:c>
    </x:row>
    <x:row r="14">
      <x:c r="B14" s="26" t="n">
        <x:v>8</x:v>
      </x:c>
      <x:c r="C14" s="26" t="str">
        <x:v>QE01-RFP-A2-AM-06-TR-B</x:v>
      </x:c>
      <x:c r="D14" s="26" t="str">
        <x:v>RFP-A2</x:v>
      </x:c>
      <x:c r="E14" s="26" t="str">
        <x:v>PTC-A</x:v>
      </x:c>
      <x:c r="F14" s="26" t="str">
        <x:v>PEA-A-Y1</x:v>
      </x:c>
      <x:c r="G14" s="26" t="str">
        <x:v>AM-06</x:v>
      </x:c>
      <x:c r="H14" s="26" t="str">
        <x:v>TR-B</x:v>
      </x:c>
      <x:c r="I14" s="26" t="str"/>
      <x:c r="J14" s="26" t="str"/>
      <x:c r="K14" s="26" t="str"/>
      <x:c r="L14" s="26" t="str"/>
      <x:c r="M14" s="26" t="str"/>
      <x:c r="N14" s="26" t="str"/>
      <x:c r="O14" s="26" t="str">
        <x:f>IF(N14="","OPEN",IF(OR('Controls'!$D$78="",'Controls'!$D$81=""),"FAIL",IF(AND(I14="PASS",J14="PASS",K14="PASS",L14="PASS",M14="PASS",'Controls'!$D$78&lt;='Controls'!$D$81),"PASS",IF('Controls'!$D$78&gt;'Controls'!$D$81,"EXPIRED","FAIL"))))</x:f>
        <x:v>OPEN</x:v>
      </x:c>
    </x:row>
    <x:row r="15">
      <x:c r="B15" s="26" t="n">
        <x:v>9</x:v>
      </x:c>
      <x:c r="C15" s="26" t="str">
        <x:v>QE01-RFP-B1-AM-05-TR-A</x:v>
      </x:c>
      <x:c r="D15" s="26" t="str">
        <x:v>RFP-B1</x:v>
      </x:c>
      <x:c r="E15" s="26" t="str">
        <x:v>PTC-B</x:v>
      </x:c>
      <x:c r="F15" s="26" t="str">
        <x:v>PEA-B-X1</x:v>
      </x:c>
      <x:c r="G15" s="26" t="str">
        <x:v>AM-05</x:v>
      </x:c>
      <x:c r="H15" s="26" t="str">
        <x:v>TR-A</x:v>
      </x:c>
      <x:c r="I15" s="26" t="str"/>
      <x:c r="J15" s="26" t="str"/>
      <x:c r="K15" s="26" t="str"/>
      <x:c r="L15" s="26" t="str"/>
      <x:c r="M15" s="26" t="str"/>
      <x:c r="N15" s="26" t="str"/>
      <x:c r="O15" s="26" t="str">
        <x:f>IF(N15="","OPEN",IF(OR('Controls'!$D$78="",'Controls'!$D$81=""),"FAIL",IF(AND(I15="PASS",J15="PASS",K15="PASS",L15="PASS",M15="PASS",'Controls'!$D$78&lt;='Controls'!$D$81),"PASS",IF('Controls'!$D$78&gt;'Controls'!$D$81,"EXPIRED","FAIL"))))</x:f>
        <x:v>OPEN</x:v>
      </x:c>
    </x:row>
    <x:row r="16">
      <x:c r="B16" s="26" t="n">
        <x:v>10</x:v>
      </x:c>
      <x:c r="C16" s="26" t="str">
        <x:v>QE01-RFP-B1-AM-05-TR-B</x:v>
      </x:c>
      <x:c r="D16" s="26" t="str">
        <x:v>RFP-B1</x:v>
      </x:c>
      <x:c r="E16" s="26" t="str">
        <x:v>PTC-B</x:v>
      </x:c>
      <x:c r="F16" s="26" t="str">
        <x:v>PEA-B-X1</x:v>
      </x:c>
      <x:c r="G16" s="26" t="str">
        <x:v>AM-05</x:v>
      </x:c>
      <x:c r="H16" s="26" t="str">
        <x:v>TR-B</x:v>
      </x:c>
      <x:c r="I16" s="26" t="str"/>
      <x:c r="J16" s="26" t="str"/>
      <x:c r="K16" s="26" t="str"/>
      <x:c r="L16" s="26" t="str"/>
      <x:c r="M16" s="26" t="str"/>
      <x:c r="N16" s="26" t="str"/>
      <x:c r="O16" s="26" t="str">
        <x:f>IF(N16="","OPEN",IF(OR('Controls'!$D$78="",'Controls'!$D$81=""),"FAIL",IF(AND(I16="PASS",J16="PASS",K16="PASS",L16="PASS",M16="PASS",'Controls'!$D$78&lt;='Controls'!$D$81),"PASS",IF('Controls'!$D$78&gt;'Controls'!$D$81,"EXPIRED","FAIL"))))</x:f>
        <x:v>OPEN</x:v>
      </x:c>
    </x:row>
    <x:row r="17">
      <x:c r="B17" s="26" t="n">
        <x:v>11</x:v>
      </x:c>
      <x:c r="C17" s="26" t="str">
        <x:v>QE01-RFP-B1-AM-06-TR-A</x:v>
      </x:c>
      <x:c r="D17" s="26" t="str">
        <x:v>RFP-B1</x:v>
      </x:c>
      <x:c r="E17" s="26" t="str">
        <x:v>PTC-B</x:v>
      </x:c>
      <x:c r="F17" s="26" t="str">
        <x:v>PEA-B-X1</x:v>
      </x:c>
      <x:c r="G17" s="26" t="str">
        <x:v>AM-06</x:v>
      </x:c>
      <x:c r="H17" s="26" t="str">
        <x:v>TR-A</x:v>
      </x:c>
      <x:c r="I17" s="26" t="str"/>
      <x:c r="J17" s="26" t="str"/>
      <x:c r="K17" s="26" t="str"/>
      <x:c r="L17" s="26" t="str"/>
      <x:c r="M17" s="26" t="str"/>
      <x:c r="N17" s="26" t="str"/>
      <x:c r="O17" s="26" t="str">
        <x:f>IF(N17="","OPEN",IF(OR('Controls'!$D$78="",'Controls'!$D$81=""),"FAIL",IF(AND(I17="PASS",J17="PASS",K17="PASS",L17="PASS",M17="PASS",'Controls'!$D$78&lt;='Controls'!$D$81),"PASS",IF('Controls'!$D$78&gt;'Controls'!$D$81,"EXPIRED","FAIL"))))</x:f>
        <x:v>OPEN</x:v>
      </x:c>
    </x:row>
    <x:row r="18">
      <x:c r="B18" s="26" t="n">
        <x:v>12</x:v>
      </x:c>
      <x:c r="C18" s="26" t="str">
        <x:v>QE01-RFP-B1-AM-06-TR-B</x:v>
      </x:c>
      <x:c r="D18" s="26" t="str">
        <x:v>RFP-B1</x:v>
      </x:c>
      <x:c r="E18" s="26" t="str">
        <x:v>PTC-B</x:v>
      </x:c>
      <x:c r="F18" s="26" t="str">
        <x:v>PEA-B-X1</x:v>
      </x:c>
      <x:c r="G18" s="26" t="str">
        <x:v>AM-06</x:v>
      </x:c>
      <x:c r="H18" s="26" t="str">
        <x:v>TR-B</x:v>
      </x:c>
      <x:c r="I18" s="26" t="str"/>
      <x:c r="J18" s="26" t="str"/>
      <x:c r="K18" s="26" t="str"/>
      <x:c r="L18" s="26" t="str"/>
      <x:c r="M18" s="26" t="str"/>
      <x:c r="N18" s="26" t="str"/>
      <x:c r="O18" s="26" t="str">
        <x:f>IF(N18="","OPEN",IF(OR('Controls'!$D$78="",'Controls'!$D$81=""),"FAIL",IF(AND(I18="PASS",J18="PASS",K18="PASS",L18="PASS",M18="PASS",'Controls'!$D$78&lt;='Controls'!$D$81),"PASS",IF('Controls'!$D$78&gt;'Controls'!$D$81,"EXPIRED","FAIL"))))</x:f>
        <x:v>OPEN</x:v>
      </x:c>
    </x:row>
    <x:row r="19">
      <x:c r="B19" s="26" t="n">
        <x:v>13</x:v>
      </x:c>
      <x:c r="C19" s="26" t="str">
        <x:v>QE01-RFP-B2-AM-05-TR-A</x:v>
      </x:c>
      <x:c r="D19" s="26" t="str">
        <x:v>RFP-B2</x:v>
      </x:c>
      <x:c r="E19" s="26" t="str">
        <x:v>PTC-B</x:v>
      </x:c>
      <x:c r="F19" s="26" t="str">
        <x:v>PEA-B-Y1</x:v>
      </x:c>
      <x:c r="G19" s="26" t="str">
        <x:v>AM-05</x:v>
      </x:c>
      <x:c r="H19" s="26" t="str">
        <x:v>TR-A</x:v>
      </x:c>
      <x:c r="I19" s="26" t="str"/>
      <x:c r="J19" s="26" t="str"/>
      <x:c r="K19" s="26" t="str"/>
      <x:c r="L19" s="26" t="str"/>
      <x:c r="M19" s="26" t="str"/>
      <x:c r="N19" s="26" t="str"/>
      <x:c r="O19" s="26" t="str">
        <x:f>IF(N19="","OPEN",IF(OR('Controls'!$D$78="",'Controls'!$D$81=""),"FAIL",IF(AND(I19="PASS",J19="PASS",K19="PASS",L19="PASS",M19="PASS",'Controls'!$D$78&lt;='Controls'!$D$81),"PASS",IF('Controls'!$D$78&gt;'Controls'!$D$81,"EXPIRED","FAIL"))))</x:f>
        <x:v>OPEN</x:v>
      </x:c>
    </x:row>
    <x:row r="20">
      <x:c r="B20" s="26" t="n">
        <x:v>14</x:v>
      </x:c>
      <x:c r="C20" s="26" t="str">
        <x:v>QE01-RFP-B2-AM-05-TR-B</x:v>
      </x:c>
      <x:c r="D20" s="26" t="str">
        <x:v>RFP-B2</x:v>
      </x:c>
      <x:c r="E20" s="26" t="str">
        <x:v>PTC-B</x:v>
      </x:c>
      <x:c r="F20" s="26" t="str">
        <x:v>PEA-B-Y1</x:v>
      </x:c>
      <x:c r="G20" s="26" t="str">
        <x:v>AM-05</x:v>
      </x:c>
      <x:c r="H20" s="26" t="str">
        <x:v>TR-B</x:v>
      </x:c>
      <x:c r="I20" s="26" t="str"/>
      <x:c r="J20" s="26" t="str"/>
      <x:c r="K20" s="26" t="str"/>
      <x:c r="L20" s="26" t="str"/>
      <x:c r="M20" s="26" t="str"/>
      <x:c r="N20" s="26" t="str"/>
      <x:c r="O20" s="26" t="str">
        <x:f>IF(N20="","OPEN",IF(OR('Controls'!$D$78="",'Controls'!$D$81=""),"FAIL",IF(AND(I20="PASS",J20="PASS",K20="PASS",L20="PASS",M20="PASS",'Controls'!$D$78&lt;='Controls'!$D$81),"PASS",IF('Controls'!$D$78&gt;'Controls'!$D$81,"EXPIRED","FAIL"))))</x:f>
        <x:v>OPEN</x:v>
      </x:c>
    </x:row>
    <x:row r="21">
      <x:c r="B21" s="26" t="n">
        <x:v>15</x:v>
      </x:c>
      <x:c r="C21" s="26" t="str">
        <x:v>QE01-RFP-B2-AM-06-TR-A</x:v>
      </x:c>
      <x:c r="D21" s="26" t="str">
        <x:v>RFP-B2</x:v>
      </x:c>
      <x:c r="E21" s="26" t="str">
        <x:v>PTC-B</x:v>
      </x:c>
      <x:c r="F21" s="26" t="str">
        <x:v>PEA-B-Y1</x:v>
      </x:c>
      <x:c r="G21" s="26" t="str">
        <x:v>AM-06</x:v>
      </x:c>
      <x:c r="H21" s="26" t="str">
        <x:v>TR-A</x:v>
      </x:c>
      <x:c r="I21" s="26" t="str"/>
      <x:c r="J21" s="26" t="str"/>
      <x:c r="K21" s="26" t="str"/>
      <x:c r="L21" s="26" t="str"/>
      <x:c r="M21" s="26" t="str"/>
      <x:c r="N21" s="26" t="str"/>
      <x:c r="O21" s="26" t="str">
        <x:f>IF(N21="","OPEN",IF(OR('Controls'!$D$78="",'Controls'!$D$81=""),"FAIL",IF(AND(I21="PASS",J21="PASS",K21="PASS",L21="PASS",M21="PASS",'Controls'!$D$78&lt;='Controls'!$D$81),"PASS",IF('Controls'!$D$78&gt;'Controls'!$D$81,"EXPIRED","FAIL"))))</x:f>
        <x:v>OPEN</x:v>
      </x:c>
    </x:row>
    <x:row r="22">
      <x:c r="B22" s="26" t="n">
        <x:v>16</x:v>
      </x:c>
      <x:c r="C22" s="26" t="str">
        <x:v>QE01-RFP-B2-AM-06-TR-B</x:v>
      </x:c>
      <x:c r="D22" s="26" t="str">
        <x:v>RFP-B2</x:v>
      </x:c>
      <x:c r="E22" s="26" t="str">
        <x:v>PTC-B</x:v>
      </x:c>
      <x:c r="F22" s="26" t="str">
        <x:v>PEA-B-Y1</x:v>
      </x:c>
      <x:c r="G22" s="26" t="str">
        <x:v>AM-06</x:v>
      </x:c>
      <x:c r="H22" s="26" t="str">
        <x:v>TR-B</x:v>
      </x:c>
      <x:c r="I22" s="26" t="str"/>
      <x:c r="J22" s="26" t="str"/>
      <x:c r="K22" s="26" t="str"/>
      <x:c r="L22" s="26" t="str"/>
      <x:c r="M22" s="26" t="str"/>
      <x:c r="N22" s="26" t="str"/>
      <x:c r="O22" s="26" t="str">
        <x:f>IF(N22="","OPEN",IF(OR('Controls'!$D$78="",'Controls'!$D$81=""),"FAIL",IF(AND(I22="PASS",J22="PASS",K22="PASS",L22="PASS",M22="PASS",'Controls'!$D$78&lt;='Controls'!$D$81),"PASS",IF('Controls'!$D$78&gt;'Controls'!$D$81,"EXPIRED","FAIL"))))</x:f>
        <x:v>OPEN</x:v>
      </x:c>
    </x:row>
    <x:row r="23">
      <x:c r="B23" s="26" t="n">
        <x:v>17</x:v>
      </x:c>
      <x:c r="C23" s="26" t="str">
        <x:v>QE01-RFP-C1-AM-05-TR-A</x:v>
      </x:c>
      <x:c r="D23" s="26" t="str">
        <x:v>RFP-C1</x:v>
      </x:c>
      <x:c r="E23" s="26" t="str">
        <x:v>PTC-C</x:v>
      </x:c>
      <x:c r="F23" s="26" t="str">
        <x:v>PEA-C-X1</x:v>
      </x:c>
      <x:c r="G23" s="26" t="str">
        <x:v>AM-05</x:v>
      </x:c>
      <x:c r="H23" s="26" t="str">
        <x:v>TR-A</x:v>
      </x:c>
      <x:c r="I23" s="26" t="str"/>
      <x:c r="J23" s="26" t="str"/>
      <x:c r="K23" s="26" t="str"/>
      <x:c r="L23" s="26" t="str"/>
      <x:c r="M23" s="26" t="str"/>
      <x:c r="N23" s="26" t="str"/>
      <x:c r="O23" s="26" t="str">
        <x:f>IF(N23="","OPEN",IF(OR('Controls'!$D$78="",'Controls'!$D$81=""),"FAIL",IF(AND(I23="PASS",J23="PASS",K23="PASS",L23="PASS",M23="PASS",'Controls'!$D$78&lt;='Controls'!$D$81),"PASS",IF('Controls'!$D$78&gt;'Controls'!$D$81,"EXPIRED","FAIL"))))</x:f>
        <x:v>OPEN</x:v>
      </x:c>
    </x:row>
    <x:row r="24">
      <x:c r="B24" s="26" t="n">
        <x:v>18</x:v>
      </x:c>
      <x:c r="C24" s="26" t="str">
        <x:v>QE01-RFP-C1-AM-05-TR-B</x:v>
      </x:c>
      <x:c r="D24" s="26" t="str">
        <x:v>RFP-C1</x:v>
      </x:c>
      <x:c r="E24" s="26" t="str">
        <x:v>PTC-C</x:v>
      </x:c>
      <x:c r="F24" s="26" t="str">
        <x:v>PEA-C-X1</x:v>
      </x:c>
      <x:c r="G24" s="26" t="str">
        <x:v>AM-05</x:v>
      </x:c>
      <x:c r="H24" s="26" t="str">
        <x:v>TR-B</x:v>
      </x:c>
      <x:c r="I24" s="26" t="str"/>
      <x:c r="J24" s="26" t="str"/>
      <x:c r="K24" s="26" t="str"/>
      <x:c r="L24" s="26" t="str"/>
      <x:c r="M24" s="26" t="str"/>
      <x:c r="N24" s="26" t="str"/>
      <x:c r="O24" s="26" t="str">
        <x:f>IF(N24="","OPEN",IF(OR('Controls'!$D$78="",'Controls'!$D$81=""),"FAIL",IF(AND(I24="PASS",J24="PASS",K24="PASS",L24="PASS",M24="PASS",'Controls'!$D$78&lt;='Controls'!$D$81),"PASS",IF('Controls'!$D$78&gt;'Controls'!$D$81,"EXPIRED","FAIL"))))</x:f>
        <x:v>OPEN</x:v>
      </x:c>
    </x:row>
    <x:row r="25">
      <x:c r="B25" s="26" t="n">
        <x:v>19</x:v>
      </x:c>
      <x:c r="C25" s="26" t="str">
        <x:v>QE01-RFP-C1-AM-06-TR-A</x:v>
      </x:c>
      <x:c r="D25" s="26" t="str">
        <x:v>RFP-C1</x:v>
      </x:c>
      <x:c r="E25" s="26" t="str">
        <x:v>PTC-C</x:v>
      </x:c>
      <x:c r="F25" s="26" t="str">
        <x:v>PEA-C-X1</x:v>
      </x:c>
      <x:c r="G25" s="26" t="str">
        <x:v>AM-06</x:v>
      </x:c>
      <x:c r="H25" s="26" t="str">
        <x:v>TR-A</x:v>
      </x:c>
      <x:c r="I25" s="26" t="str"/>
      <x:c r="J25" s="26" t="str"/>
      <x:c r="K25" s="26" t="str"/>
      <x:c r="L25" s="26" t="str"/>
      <x:c r="M25" s="26" t="str"/>
      <x:c r="N25" s="26" t="str"/>
      <x:c r="O25" s="26" t="str">
        <x:f>IF(N25="","OPEN",IF(OR('Controls'!$D$78="",'Controls'!$D$81=""),"FAIL",IF(AND(I25="PASS",J25="PASS",K25="PASS",L25="PASS",M25="PASS",'Controls'!$D$78&lt;='Controls'!$D$81),"PASS",IF('Controls'!$D$78&gt;'Controls'!$D$81,"EXPIRED","FAIL"))))</x:f>
        <x:v>OPEN</x:v>
      </x:c>
    </x:row>
    <x:row r="26">
      <x:c r="B26" s="26" t="n">
        <x:v>20</x:v>
      </x:c>
      <x:c r="C26" s="26" t="str">
        <x:v>QE01-RFP-C1-AM-06-TR-B</x:v>
      </x:c>
      <x:c r="D26" s="26" t="str">
        <x:v>RFP-C1</x:v>
      </x:c>
      <x:c r="E26" s="26" t="str">
        <x:v>PTC-C</x:v>
      </x:c>
      <x:c r="F26" s="26" t="str">
        <x:v>PEA-C-X1</x:v>
      </x:c>
      <x:c r="G26" s="26" t="str">
        <x:v>AM-06</x:v>
      </x:c>
      <x:c r="H26" s="26" t="str">
        <x:v>TR-B</x:v>
      </x:c>
      <x:c r="I26" s="26" t="str"/>
      <x:c r="J26" s="26" t="str"/>
      <x:c r="K26" s="26" t="str"/>
      <x:c r="L26" s="26" t="str"/>
      <x:c r="M26" s="26" t="str"/>
      <x:c r="N26" s="26" t="str"/>
      <x:c r="O26" s="26" t="str">
        <x:f>IF(N26="","OPEN",IF(OR('Controls'!$D$78="",'Controls'!$D$81=""),"FAIL",IF(AND(I26="PASS",J26="PASS",K26="PASS",L26="PASS",M26="PASS",'Controls'!$D$78&lt;='Controls'!$D$81),"PASS",IF('Controls'!$D$78&gt;'Controls'!$D$81,"EXPIRED","FAIL"))))</x:f>
        <x:v>OPEN</x:v>
      </x:c>
    </x:row>
    <x:row r="27">
      <x:c r="B27" s="26" t="n">
        <x:v>21</x:v>
      </x:c>
      <x:c r="C27" s="26" t="str">
        <x:v>QE01-RFP-C2-AM-05-TR-A</x:v>
      </x:c>
      <x:c r="D27" s="26" t="str">
        <x:v>RFP-C2</x:v>
      </x:c>
      <x:c r="E27" s="26" t="str">
        <x:v>PTC-C</x:v>
      </x:c>
      <x:c r="F27" s="26" t="str">
        <x:v>PEA-C-Y1</x:v>
      </x:c>
      <x:c r="G27" s="26" t="str">
        <x:v>AM-05</x:v>
      </x:c>
      <x:c r="H27" s="26" t="str">
        <x:v>TR-A</x:v>
      </x:c>
      <x:c r="I27" s="26" t="str"/>
      <x:c r="J27" s="26" t="str"/>
      <x:c r="K27" s="26" t="str"/>
      <x:c r="L27" s="26" t="str"/>
      <x:c r="M27" s="26" t="str"/>
      <x:c r="N27" s="26" t="str"/>
      <x:c r="O27" s="26" t="str">
        <x:f>IF(N27="","OPEN",IF(OR('Controls'!$D$78="",'Controls'!$D$81=""),"FAIL",IF(AND(I27="PASS",J27="PASS",K27="PASS",L27="PASS",M27="PASS",'Controls'!$D$78&lt;='Controls'!$D$81),"PASS",IF('Controls'!$D$78&gt;'Controls'!$D$81,"EXPIRED","FAIL"))))</x:f>
        <x:v>OPEN</x:v>
      </x:c>
    </x:row>
    <x:row r="28">
      <x:c r="B28" s="26" t="n">
        <x:v>22</x:v>
      </x:c>
      <x:c r="C28" s="26" t="str">
        <x:v>QE01-RFP-C2-AM-05-TR-B</x:v>
      </x:c>
      <x:c r="D28" s="26" t="str">
        <x:v>RFP-C2</x:v>
      </x:c>
      <x:c r="E28" s="26" t="str">
        <x:v>PTC-C</x:v>
      </x:c>
      <x:c r="F28" s="26" t="str">
        <x:v>PEA-C-Y1</x:v>
      </x:c>
      <x:c r="G28" s="26" t="str">
        <x:v>AM-05</x:v>
      </x:c>
      <x:c r="H28" s="26" t="str">
        <x:v>TR-B</x:v>
      </x:c>
      <x:c r="I28" s="26" t="str"/>
      <x:c r="J28" s="26" t="str"/>
      <x:c r="K28" s="26" t="str"/>
      <x:c r="L28" s="26" t="str"/>
      <x:c r="M28" s="26" t="str"/>
      <x:c r="N28" s="26" t="str"/>
      <x:c r="O28" s="26" t="str">
        <x:f>IF(N28="","OPEN",IF(OR('Controls'!$D$78="",'Controls'!$D$81=""),"FAIL",IF(AND(I28="PASS",J28="PASS",K28="PASS",L28="PASS",M28="PASS",'Controls'!$D$78&lt;='Controls'!$D$81),"PASS",IF('Controls'!$D$78&gt;'Controls'!$D$81,"EXPIRED","FAIL"))))</x:f>
        <x:v>OPEN</x:v>
      </x:c>
    </x:row>
    <x:row r="29">
      <x:c r="B29" s="26" t="n">
        <x:v>23</x:v>
      </x:c>
      <x:c r="C29" s="26" t="str">
        <x:v>QE01-RFP-C2-AM-06-TR-A</x:v>
      </x:c>
      <x:c r="D29" s="26" t="str">
        <x:v>RFP-C2</x:v>
      </x:c>
      <x:c r="E29" s="26" t="str">
        <x:v>PTC-C</x:v>
      </x:c>
      <x:c r="F29" s="26" t="str">
        <x:v>PEA-C-Y1</x:v>
      </x:c>
      <x:c r="G29" s="26" t="str">
        <x:v>AM-06</x:v>
      </x:c>
      <x:c r="H29" s="26" t="str">
        <x:v>TR-A</x:v>
      </x:c>
      <x:c r="I29" s="26" t="str"/>
      <x:c r="J29" s="26" t="str"/>
      <x:c r="K29" s="26" t="str"/>
      <x:c r="L29" s="26" t="str"/>
      <x:c r="M29" s="26" t="str"/>
      <x:c r="N29" s="26" t="str"/>
      <x:c r="O29" s="26" t="str">
        <x:f>IF(N29="","OPEN",IF(OR('Controls'!$D$78="",'Controls'!$D$81=""),"FAIL",IF(AND(I29="PASS",J29="PASS",K29="PASS",L29="PASS",M29="PASS",'Controls'!$D$78&lt;='Controls'!$D$81),"PASS",IF('Controls'!$D$78&gt;'Controls'!$D$81,"EXPIRED","FAIL"))))</x:f>
        <x:v>OPEN</x:v>
      </x:c>
    </x:row>
    <x:row r="30">
      <x:c r="B30" s="26" t="n">
        <x:v>24</x:v>
      </x:c>
      <x:c r="C30" s="26" t="str">
        <x:v>QE01-RFP-C2-AM-06-TR-B</x:v>
      </x:c>
      <x:c r="D30" s="26" t="str">
        <x:v>RFP-C2</x:v>
      </x:c>
      <x:c r="E30" s="26" t="str">
        <x:v>PTC-C</x:v>
      </x:c>
      <x:c r="F30" s="26" t="str">
        <x:v>PEA-C-Y1</x:v>
      </x:c>
      <x:c r="G30" s="26" t="str">
        <x:v>AM-06</x:v>
      </x:c>
      <x:c r="H30" s="26" t="str">
        <x:v>TR-B</x:v>
      </x:c>
      <x:c r="I30" s="26" t="str"/>
      <x:c r="J30" s="26" t="str"/>
      <x:c r="K30" s="26" t="str"/>
      <x:c r="L30" s="26" t="str"/>
      <x:c r="M30" s="26" t="str"/>
      <x:c r="N30" s="26" t="str"/>
      <x:c r="O30" s="26" t="str">
        <x:f>IF(N30="","OPEN",IF(OR('Controls'!$D$78="",'Controls'!$D$81=""),"FAIL",IF(AND(I30="PASS",J30="PASS",K30="PASS",L30="PASS",M30="PASS",'Controls'!$D$78&lt;='Controls'!$D$81),"PASS",IF('Controls'!$D$78&gt;'Controls'!$D$81,"EXPIRED","FAIL"))))</x:f>
        <x:v>OPEN</x:v>
      </x:c>
    </x:row>
  </x:sheetData>
  <x:conditionalFormatting sqref="O7:O30">
    <x:cfRule type="containsText" dxfId="9" priority="1" operator="containsText" text="FAIL"/>
    <x:cfRule type="containsText" dxfId="10" priority="2" operator="containsText" text="BLOCKED"/>
    <x:cfRule type="containsText" dxfId="11" priority="3" operator="containsText" text="INVALID"/>
    <x:cfRule type="containsText" dxfId="12" priority="4" operator="containsText" text="ADVERSE"/>
    <x:cfRule type="containsText" dxfId="13" priority="5" operator="containsText" text="EXPIRED"/>
    <x:cfRule type="containsText" dxfId="14" priority="6" operator="containsText" text="OPEN"/>
    <x:cfRule type="containsText" dxfId="15" priority="7" operator="containsText" text="DORMANT"/>
    <x:cfRule type="containsText" dxfId="16" priority="8" operator="containsText" text="PASS"/>
    <x:cfRule type="containsText" dxfId="17" priority="9" operator="containsText" text="AVAILABLE"/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xSplit="4" ySplit="6" topLeftCell="E7" activePane="bottomRight" state="frozen"/>
    </x:sheetView>
  </x:sheetViews>
  <x:sheetFormatPr defaultRowHeight="15"/>
  <x:cols>
    <x:col min="2" max="2" width="16" hidden="0" customWidth="1"/>
    <x:col min="3" max="3" width="17" hidden="0" customWidth="1"/>
    <x:col min="4" max="4" width="14" hidden="0" customWidth="1"/>
    <x:col min="5" max="5" width="35" hidden="0" customWidth="1"/>
    <x:col min="6" max="6" width="28" hidden="0" customWidth="1"/>
    <x:col min="7" max="7" width="35" hidden="0" customWidth="1"/>
    <x:col min="8" max="8" width="35" hidden="0" customWidth="1"/>
    <x:col min="9" max="9" width="21" hidden="0" customWidth="1"/>
    <x:col min="10" max="10" width="14" hidden="0" customWidth="1"/>
  </x:cols>
  <x:sheetData>
    <x:row r="2">
      <x:c r="B2" s="39" t="str">
        <x:v>Six independent commit-reveal contributions</x:v>
      </x:c>
      <x:c r="C2" s="26"/>
      <x:c r="D2" s="26"/>
      <x:c r="E2" s="26"/>
      <x:c r="F2" s="26"/>
      <x:c r="G2" s="26"/>
      <x:c r="H2" s="26"/>
      <x:c r="I2" s="26"/>
      <x:c r="J2" s="26"/>
    </x:row>
    <x:row r="3">
      <x:c r="B3" s="40" t="str">
        <x:v>Each rig contributes before any reveal. Matching commitment evidence is verified outside the workbook and bound here.</x:v>
      </x:c>
      <x:c r="C3" s="26"/>
      <x:c r="D3" s="26"/>
      <x:c r="E3" s="26"/>
      <x:c r="F3" s="26"/>
      <x:c r="G3" s="26"/>
      <x:c r="H3" s="26"/>
      <x:c r="I3" s="26"/>
      <x:c r="J3" s="26"/>
    </x:row>
    <x:row r="4">
      <x:c r="B4" s="26"/>
      <x:c r="C4" s="26"/>
      <x:c r="D4" s="26"/>
      <x:c r="E4" s="26"/>
      <x:c r="F4" s="26"/>
      <x:c r="G4" s="26"/>
      <x:c r="H4" s="26"/>
      <x:c r="I4" s="26"/>
      <x:c r="J4" s="26"/>
    </x:row>
    <x:row r="5">
      <x:c r="B5" s="26"/>
      <x:c r="C5" s="26"/>
      <x:c r="D5" s="26"/>
      <x:c r="E5" s="26"/>
      <x:c r="F5" s="26"/>
      <x:c r="G5" s="26"/>
      <x:c r="H5" s="26"/>
      <x:c r="I5" s="26"/>
      <x:c r="J5" s="26"/>
    </x:row>
    <x:row r="6" ht="24" customHeight="1">
      <x:c r="B6" s="41" t="str">
        <x:v>Record</x:v>
      </x:c>
      <x:c r="C6" s="41" t="str">
        <x:v>Contributor</x:v>
      </x:c>
      <x:c r="D6" s="41" t="str">
        <x:v>Campus</x:v>
      </x:c>
      <x:c r="E6" s="41" t="str">
        <x:v>Commitment root</x:v>
      </x:c>
      <x:c r="F6" s="41" t="str">
        <x:v>Reveal</x:v>
      </x:c>
      <x:c r="G6" s="41" t="str">
        <x:v>Computed commitment</x:v>
      </x:c>
      <x:c r="H6" s="41" t="str">
        <x:v>Evidence root</x:v>
      </x:c>
      <x:c r="I6" s="41" t="str">
        <x:v>Accepted UTC</x:v>
      </x:c>
      <x:c r="J6" s="41" t="str">
        <x:v>State</x:v>
      </x:c>
    </x:row>
    <x:row r="7">
      <x:c r="B7" s="26" t="str">
        <x:v>DC-01</x:v>
      </x:c>
      <x:c r="C7" s="26" t="str">
        <x:v>RFP-A1</x:v>
      </x:c>
      <x:c r="D7" s="26" t="str">
        <x:v>PTC-A</x:v>
      </x:c>
      <x:c r="E7" s="26" t="str"/>
      <x:c r="F7" s="26" t="str"/>
      <x:c r="G7" s="26" t="str"/>
      <x:c r="H7" s="26" t="str"/>
      <x:c r="I7" s="26" t="str"/>
      <x:c r="J7" s="26" t="str">
        <x:f>IF(I7="","OPEN",IF(AND(E7&lt;&gt;"",F7&lt;&gt;"",G7=E7,H7&lt;&gt;""),"PASS","FAIL"))</x:f>
        <x:v>OPEN</x:v>
      </x:c>
    </x:row>
    <x:row r="8">
      <x:c r="B8" s="26" t="str">
        <x:v>DC-02</x:v>
      </x:c>
      <x:c r="C8" s="26" t="str">
        <x:v>RFP-A2</x:v>
      </x:c>
      <x:c r="D8" s="26" t="str">
        <x:v>PTC-A</x:v>
      </x:c>
      <x:c r="E8" s="26" t="str"/>
      <x:c r="F8" s="26" t="str"/>
      <x:c r="G8" s="26" t="str"/>
      <x:c r="H8" s="26" t="str"/>
      <x:c r="I8" s="26" t="str"/>
      <x:c r="J8" s="26" t="str">
        <x:f>IF(I8="","OPEN",IF(AND(E8&lt;&gt;"",F8&lt;&gt;"",G8=E8,H8&lt;&gt;""),"PASS","FAIL"))</x:f>
        <x:v>OPEN</x:v>
      </x:c>
    </x:row>
    <x:row r="9">
      <x:c r="B9" s="26" t="str">
        <x:v>DC-03</x:v>
      </x:c>
      <x:c r="C9" s="26" t="str">
        <x:v>RFP-B1</x:v>
      </x:c>
      <x:c r="D9" s="26" t="str">
        <x:v>PTC-B</x:v>
      </x:c>
      <x:c r="E9" s="26" t="str"/>
      <x:c r="F9" s="26" t="str"/>
      <x:c r="G9" s="26" t="str"/>
      <x:c r="H9" s="26" t="str"/>
      <x:c r="I9" s="26" t="str"/>
      <x:c r="J9" s="26" t="str">
        <x:f>IF(I9="","OPEN",IF(AND(E9&lt;&gt;"",F9&lt;&gt;"",G9=E9,H9&lt;&gt;""),"PASS","FAIL"))</x:f>
        <x:v>OPEN</x:v>
      </x:c>
    </x:row>
    <x:row r="10">
      <x:c r="B10" s="26" t="str">
        <x:v>DC-04</x:v>
      </x:c>
      <x:c r="C10" s="26" t="str">
        <x:v>RFP-B2</x:v>
      </x:c>
      <x:c r="D10" s="26" t="str">
        <x:v>PTC-B</x:v>
      </x:c>
      <x:c r="E10" s="26" t="str"/>
      <x:c r="F10" s="26" t="str"/>
      <x:c r="G10" s="26" t="str"/>
      <x:c r="H10" s="26" t="str"/>
      <x:c r="I10" s="26" t="str"/>
      <x:c r="J10" s="26" t="str">
        <x:f>IF(I10="","OPEN",IF(AND(E10&lt;&gt;"",F10&lt;&gt;"",G10=E10,H10&lt;&gt;""),"PASS","FAIL"))</x:f>
        <x:v>OPEN</x:v>
      </x:c>
    </x:row>
    <x:row r="11">
      <x:c r="B11" s="26" t="str">
        <x:v>DC-05</x:v>
      </x:c>
      <x:c r="C11" s="26" t="str">
        <x:v>RFP-C1</x:v>
      </x:c>
      <x:c r="D11" s="26" t="str">
        <x:v>PTC-C</x:v>
      </x:c>
      <x:c r="E11" s="26" t="str"/>
      <x:c r="F11" s="26" t="str"/>
      <x:c r="G11" s="26" t="str"/>
      <x:c r="H11" s="26" t="str"/>
      <x:c r="I11" s="26" t="str"/>
      <x:c r="J11" s="26" t="str">
        <x:f>IF(I11="","OPEN",IF(AND(E11&lt;&gt;"",F11&lt;&gt;"",G11=E11,H11&lt;&gt;""),"PASS","FAIL"))</x:f>
        <x:v>OPEN</x:v>
      </x:c>
    </x:row>
    <x:row r="12">
      <x:c r="B12" s="26" t="str">
        <x:v>DC-06</x:v>
      </x:c>
      <x:c r="C12" s="26" t="str">
        <x:v>RFP-C2</x:v>
      </x:c>
      <x:c r="D12" s="26" t="str">
        <x:v>PTC-C</x:v>
      </x:c>
      <x:c r="E12" s="26" t="str"/>
      <x:c r="F12" s="26" t="str"/>
      <x:c r="G12" s="26" t="str"/>
      <x:c r="H12" s="26" t="str"/>
      <x:c r="I12" s="26" t="str"/>
      <x:c r="J12" s="26" t="str">
        <x:f>IF(I12="","OPEN",IF(AND(E12&lt;&gt;"",F12&lt;&gt;"",G12=E12,H12&lt;&gt;""),"PASS","FAIL"))</x:f>
        <x:v>OPEN</x:v>
      </x:c>
    </x:row>
  </x:sheetData>
  <x:conditionalFormatting sqref="J7:J12">
    <x:cfRule type="containsText" dxfId="18" priority="1" operator="containsText" text="FAIL"/>
    <x:cfRule type="containsText" dxfId="19" priority="2" operator="containsText" text="BLOCKED"/>
    <x:cfRule type="containsText" dxfId="20" priority="3" operator="containsText" text="INVALID"/>
    <x:cfRule type="containsText" dxfId="21" priority="4" operator="containsText" text="ADVERSE"/>
    <x:cfRule type="containsText" dxfId="22" priority="5" operator="containsText" text="EXPIRED"/>
    <x:cfRule type="containsText" dxfId="23" priority="6" operator="containsText" text="OPEN"/>
    <x:cfRule type="containsText" dxfId="24" priority="7" operator="containsText" text="DORMANT"/>
    <x:cfRule type="containsText" dxfId="25" priority="8" operator="containsText" text="PASS"/>
    <x:cfRule type="containsText" dxfId="26" priority="9" operator="containsText" text="AVAILABLE"/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6" hidden="0" customWidth="1"/>
    <x:col min="3" max="3" width="25" hidden="0" customWidth="1"/>
    <x:col min="4" max="4" width="37" hidden="0" customWidth="1"/>
    <x:col min="5" max="5" width="18" hidden="0" customWidth="1"/>
    <x:col min="6" max="6" width="38" hidden="0" customWidth="1"/>
    <x:col min="7" max="7" width="18" hidden="0" customWidth="1"/>
    <x:col min="8" max="8" width="20" hidden="0" customWidth="1"/>
    <x:col min="9" max="9" width="21" hidden="0" customWidth="1"/>
    <x:col min="10" max="10" width="14" hidden="0" customWidth="1"/>
  </x:cols>
  <x:sheetData>
    <x:row r="2">
      <x:c r="B2" s="39" t="str">
        <x:v>One committed first-event selection</x:v>
      </x:c>
      <x:c r="C2" s="26"/>
      <x:c r="D2" s="26"/>
      <x:c r="E2" s="26"/>
      <x:c r="F2" s="26"/>
      <x:c r="G2" s="26"/>
      <x:c r="H2" s="26"/>
      <x:c r="I2" s="26"/>
      <x:c r="J2" s="26"/>
    </x:row>
    <x:row r="3">
      <x:c r="B3" s="40" t="str">
        <x:v>The draw occurs only after all twenty-four cells pass. The workbook records the verified result; it does not implement the cryptographic function.</x:v>
      </x:c>
      <x:c r="C3" s="26"/>
      <x:c r="D3" s="26"/>
      <x:c r="E3" s="26"/>
      <x:c r="F3" s="26"/>
      <x:c r="G3" s="26"/>
      <x:c r="H3" s="26"/>
      <x:c r="I3" s="26"/>
      <x:c r="J3" s="26"/>
    </x:row>
    <x:row r="4">
      <x:c r="B4" s="26"/>
      <x:c r="C4" s="26"/>
      <x:c r="D4" s="26"/>
      <x:c r="E4" s="26"/>
      <x:c r="F4" s="26"/>
      <x:c r="G4" s="26"/>
      <x:c r="H4" s="26"/>
      <x:c r="I4" s="26"/>
      <x:c r="J4" s="26"/>
    </x:row>
    <x:row r="5">
      <x:c r="B5" s="26"/>
      <x:c r="C5" s="26"/>
      <x:c r="D5" s="26"/>
      <x:c r="E5" s="26"/>
      <x:c r="F5" s="26"/>
      <x:c r="G5" s="26"/>
      <x:c r="H5" s="26"/>
      <x:c r="I5" s="26"/>
      <x:c r="J5" s="26"/>
    </x:row>
    <x:row r="6" ht="24" customHeight="1">
      <x:c r="B6" s="41" t="str">
        <x:v>Selection</x:v>
      </x:c>
      <x:c r="C6" s="41" t="str">
        <x:v>Algorithm</x:v>
      </x:c>
      <x:c r="D6" s="41" t="str">
        <x:v>Combined seed root</x:v>
      </x:c>
      <x:c r="E6" s="41" t="str">
        <x:v>Selected index</x:v>
      </x:c>
      <x:c r="F6" s="41" t="str">
        <x:v>Selected cell</x:v>
      </x:c>
      <x:c r="G6" s="41" t="str">
        <x:v>Selected rig</x:v>
      </x:c>
      <x:c r="H6" s="41" t="str">
        <x:v>Selected article</x:v>
      </x:c>
      <x:c r="I6" s="41" t="str">
        <x:v>Board accepted UTC</x:v>
      </x:c>
      <x:c r="J6" s="41" t="str">
        <x:v>State</x:v>
      </x:c>
    </x:row>
    <x:row r="7">
      <x:c r="B7" s="26" t="str">
        <x:v>SEL-001</x:v>
      </x:c>
      <x:c r="C7" s="26" t="str">
        <x:v>PUBLIC-DRAW-V1</x:v>
      </x:c>
      <x:c r="D7" s="26" t="str"/>
      <x:c r="E7" s="26" t="str">
        <x:f>'Controls'!$D$79</x:f>
      </x:c>
      <x:c r="F7" s="26" t="str">
        <x:f>IF(AND(ISNUMBER(E7),E7&gt;=1,E7&lt;=24),INDEX('Candidate Cells'!C7:C30,E7),"")</x:f>
      </x:c>
      <x:c r="G7" s="26" t="str">
        <x:f>IF(AND(ISNUMBER(E7),E7&gt;=1,E7&lt;=24),INDEX('Candidate Cells'!D7:D30,E7),"")</x:f>
      </x:c>
      <x:c r="H7" s="26" t="str">
        <x:f>IF(AND(ISNUMBER(E7),E7&gt;=1,E7&lt;=24),INDEX('Candidate Cells'!F7:F30,E7),"")</x:f>
      </x:c>
      <x:c r="I7" s="26" t="str"/>
      <x:c r="J7" s="26" t="str">
        <x:f>IF(I7="","OPEN",IF(AND(COUNTIFS('Candidate Cells'!O7:O30,"PASS")=24,COUNTIFS('Draw Commitments'!J7:J12,"PASS")=6,C7="PUBLIC-DRAW-V1",D7&lt;&gt;"",ISNUMBER(E7),E7&gt;=1,E7&lt;=24,COUNTIFS('Candidate Cells'!B7:B30,E7,'Candidate Cells'!O7:O30,"PASS")=1),"PASS","FAIL"))</x:f>
        <x:v>OPEN</x:v>
      </x:c>
    </x:row>
  </x:sheetData>
  <x:conditionalFormatting sqref="J7:J7">
    <x:cfRule type="containsText" dxfId="27" priority="1" operator="containsText" text="FAIL"/>
    <x:cfRule type="containsText" dxfId="28" priority="2" operator="containsText" text="BLOCKED"/>
    <x:cfRule type="containsText" dxfId="29" priority="3" operator="containsText" text="INVALID"/>
    <x:cfRule type="containsText" dxfId="30" priority="4" operator="containsText" text="ADVERSE"/>
    <x:cfRule type="containsText" dxfId="31" priority="5" operator="containsText" text="EXPIRED"/>
    <x:cfRule type="containsText" dxfId="32" priority="6" operator="containsText" text="OPEN"/>
    <x:cfRule type="containsText" dxfId="33" priority="7" operator="containsText" text="DORMANT"/>
    <x:cfRule type="containsText" dxfId="34" priority="8" operator="containsText" text="PASS"/>
    <x:cfRule type="containsText" dxfId="35" priority="9" operator="containsText" text="AVAILABLE"/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xSplit="4" ySplit="6" topLeftCell="E7" activePane="bottomRight" state="frozen"/>
    </x:sheetView>
  </x:sheetViews>
  <x:sheetFormatPr defaultRowHeight="15"/>
  <x:cols>
    <x:col min="2" max="2" width="16" hidden="0" customWidth="1"/>
    <x:col min="3" max="3" width="26" hidden="0" customWidth="1"/>
    <x:col min="4" max="4" width="12" hidden="0" customWidth="1"/>
    <x:col min="5" max="5" width="40" hidden="0" customWidth="1"/>
    <x:col min="6" max="6" width="40" hidden="0" customWidth="1"/>
    <x:col min="7" max="7" width="18" hidden="0" customWidth="1"/>
    <x:col min="8" max="8" width="34" hidden="0" customWidth="1"/>
    <x:col min="9" max="9" width="21" hidden="0" customWidth="1"/>
    <x:col min="10" max="10" width="14" hidden="0" customWidth="1"/>
  </x:cols>
  <x:sheetData>
    <x:row r="2">
      <x:c r="B2" s="39" t="str">
        <x:v>One hundred ninety-two event-specific dossier bindings</x:v>
      </x:c>
      <x:c r="C2" s="26"/>
      <x:c r="D2" s="26"/>
      <x:c r="E2" s="26"/>
      <x:c r="F2" s="26"/>
      <x:c r="G2" s="26"/>
      <x:c r="H2" s="26"/>
      <x:c r="I2" s="26"/>
      <x:c r="J2" s="26"/>
    </x:row>
    <x:row r="3">
      <x:c r="B3" s="40" t="str">
        <x:v>Accepted objects are rebound to one cell, one baseline and one expiring issue. A count cannot substitute for identity.</x:v>
      </x:c>
      <x:c r="C3" s="26"/>
      <x:c r="D3" s="26"/>
      <x:c r="E3" s="26"/>
      <x:c r="F3" s="26"/>
      <x:c r="G3" s="26"/>
      <x:c r="H3" s="26"/>
      <x:c r="I3" s="26"/>
      <x:c r="J3" s="26"/>
    </x:row>
    <x:row r="4">
      <x:c r="B4" s="26"/>
      <x:c r="C4" s="26"/>
      <x:c r="D4" s="26"/>
      <x:c r="E4" s="26"/>
      <x:c r="F4" s="26"/>
      <x:c r="G4" s="26"/>
      <x:c r="H4" s="26"/>
      <x:c r="I4" s="26"/>
      <x:c r="J4" s="26"/>
    </x:row>
    <x:row r="5">
      <x:c r="B5" s="26"/>
      <x:c r="C5" s="26"/>
      <x:c r="D5" s="26"/>
      <x:c r="E5" s="26"/>
      <x:c r="F5" s="26"/>
      <x:c r="G5" s="26"/>
      <x:c r="H5" s="26"/>
      <x:c r="I5" s="26"/>
      <x:c r="J5" s="26"/>
    </x:row>
    <x:row r="6" ht="24" customHeight="1">
      <x:c r="B6" s="41" t="str">
        <x:v>Binding</x:v>
      </x:c>
      <x:c r="C6" s="41" t="str">
        <x:v>Object class</x:v>
      </x:c>
      <x:c r="D6" s="41" t="str">
        <x:v>Instance</x:v>
      </x:c>
      <x:c r="E6" s="41" t="str">
        <x:v>Expected identity</x:v>
      </x:c>
      <x:c r="F6" s="41" t="str">
        <x:v>Bound identity</x:v>
      </x:c>
      <x:c r="G6" s="41" t="str">
        <x:v>Current state</x:v>
      </x:c>
      <x:c r="H6" s="41" t="str">
        <x:v>Evidence root</x:v>
      </x:c>
      <x:c r="I6" s="41" t="str">
        <x:v>Accepted UTC</x:v>
      </x:c>
      <x:c r="J6" s="41" t="str">
        <x:v>State</x:v>
      </x:c>
    </x:row>
    <x:row r="7">
      <x:c r="B7" s="26" t="str">
        <x:v>DB-001</x:v>
      </x:c>
      <x:c r="C7" s="26" t="str">
        <x:v>reference article</x:v>
      </x:c>
      <x:c r="D7" s="26" t="n">
        <x:v>1</x:v>
      </x:c>
      <x:c r="E7" s="26" t="str">
        <x:v>REFERENCE-ARTICLE-01</x:v>
      </x:c>
      <x:c r="F7" s="26" t="str"/>
      <x:c r="G7" s="26" t="str"/>
      <x:c r="H7" s="26" t="str"/>
      <x:c r="I7" s="26" t="str"/>
      <x:c r="J7" s="26" t="str">
        <x:f>IF(I7="","OPEN",IF(AND(E7=F7,G7="PASS",H7&lt;&gt;""),"PASS","FAIL"))</x:f>
        <x:v>OPEN</x:v>
      </x:c>
    </x:row>
    <x:row r="8">
      <x:c r="B8" s="26" t="str">
        <x:v>DB-002</x:v>
      </x:c>
      <x:c r="C8" s="26" t="str">
        <x:v>cell section</x:v>
      </x:c>
      <x:c r="D8" s="26" t="n">
        <x:v>1</x:v>
      </x:c>
      <x:c r="E8" s="26" t="str">
        <x:v>CELL-SECTION-01</x:v>
      </x:c>
      <x:c r="F8" s="26" t="str"/>
      <x:c r="G8" s="26" t="str"/>
      <x:c r="H8" s="26" t="str"/>
      <x:c r="I8" s="26" t="str"/>
      <x:c r="J8" s="26" t="str">
        <x:f>IF(I8="","OPEN",IF(AND(E8=F8,G8="PASS",H8&lt;&gt;""),"PASS","FAIL"))</x:f>
        <x:v>OPEN</x:v>
      </x:c>
    </x:row>
    <x:row r="9">
      <x:c r="B9" s="26" t="str">
        <x:v>DB-003</x:v>
      </x:c>
      <x:c r="C9" s="26" t="str">
        <x:v>cell section</x:v>
      </x:c>
      <x:c r="D9" s="26" t="n">
        <x:v>2</x:v>
      </x:c>
      <x:c r="E9" s="26" t="str">
        <x:v>CELL-SECTION-02</x:v>
      </x:c>
      <x:c r="F9" s="26" t="str"/>
      <x:c r="G9" s="26" t="str"/>
      <x:c r="H9" s="26" t="str"/>
      <x:c r="I9" s="26" t="str"/>
      <x:c r="J9" s="26" t="str">
        <x:f>IF(I9="","OPEN",IF(AND(E9=F9,G9="PASS",H9&lt;&gt;""),"PASS","FAIL"))</x:f>
        <x:v>OPEN</x:v>
      </x:c>
    </x:row>
    <x:row r="10">
      <x:c r="B10" s="26" t="str">
        <x:v>DB-004</x:v>
      </x:c>
      <x:c r="C10" s="26" t="str">
        <x:v>cell section</x:v>
      </x:c>
      <x:c r="D10" s="26" t="n">
        <x:v>3</x:v>
      </x:c>
      <x:c r="E10" s="26" t="str">
        <x:v>CELL-SECTION-03</x:v>
      </x:c>
      <x:c r="F10" s="26" t="str"/>
      <x:c r="G10" s="26" t="str"/>
      <x:c r="H10" s="26" t="str"/>
      <x:c r="I10" s="26" t="str"/>
      <x:c r="J10" s="26" t="str">
        <x:f>IF(I10="","OPEN",IF(AND(E10=F10,G10="PASS",H10&lt;&gt;""),"PASS","FAIL"))</x:f>
        <x:v>OPEN</x:v>
      </x:c>
    </x:row>
    <x:row r="11">
      <x:c r="B11" s="26" t="str">
        <x:v>DB-005</x:v>
      </x:c>
      <x:c r="C11" s="26" t="str">
        <x:v>cell section</x:v>
      </x:c>
      <x:c r="D11" s="26" t="n">
        <x:v>4</x:v>
      </x:c>
      <x:c r="E11" s="26" t="str">
        <x:v>CELL-SECTION-04</x:v>
      </x:c>
      <x:c r="F11" s="26" t="str"/>
      <x:c r="G11" s="26" t="str"/>
      <x:c r="H11" s="26" t="str"/>
      <x:c r="I11" s="26" t="str"/>
      <x:c r="J11" s="26" t="str">
        <x:f>IF(I11="","OPEN",IF(AND(E11=F11,G11="PASS",H11&lt;&gt;""),"PASS","FAIL"))</x:f>
        <x:v>OPEN</x:v>
      </x:c>
    </x:row>
    <x:row r="12">
      <x:c r="B12" s="26" t="str">
        <x:v>DB-006</x:v>
      </x:c>
      <x:c r="C12" s="26" t="str">
        <x:v>cell section</x:v>
      </x:c>
      <x:c r="D12" s="26" t="n">
        <x:v>5</x:v>
      </x:c>
      <x:c r="E12" s="26" t="str">
        <x:v>CELL-SECTION-05</x:v>
      </x:c>
      <x:c r="F12" s="26" t="str"/>
      <x:c r="G12" s="26" t="str"/>
      <x:c r="H12" s="26" t="str"/>
      <x:c r="I12" s="26" t="str"/>
      <x:c r="J12" s="26" t="str">
        <x:f>IF(I12="","OPEN",IF(AND(E12=F12,G12="PASS",H12&lt;&gt;""),"PASS","FAIL"))</x:f>
        <x:v>OPEN</x:v>
      </x:c>
    </x:row>
    <x:row r="13">
      <x:c r="B13" s="26" t="str">
        <x:v>DB-007</x:v>
      </x:c>
      <x:c r="C13" s="26" t="str">
        <x:v>cell section</x:v>
      </x:c>
      <x:c r="D13" s="26" t="n">
        <x:v>6</x:v>
      </x:c>
      <x:c r="E13" s="26" t="str">
        <x:v>CELL-SECTION-06</x:v>
      </x:c>
      <x:c r="F13" s="26" t="str"/>
      <x:c r="G13" s="26" t="str"/>
      <x:c r="H13" s="26" t="str"/>
      <x:c r="I13" s="26" t="str"/>
      <x:c r="J13" s="26" t="str">
        <x:f>IF(I13="","OPEN",IF(AND(E13=F13,G13="PASS",H13&lt;&gt;""),"PASS","FAIL"))</x:f>
        <x:v>OPEN</x:v>
      </x:c>
    </x:row>
    <x:row r="14">
      <x:c r="B14" s="26" t="str">
        <x:v>DB-008</x:v>
      </x:c>
      <x:c r="C14" s="26" t="str">
        <x:v>cell section</x:v>
      </x:c>
      <x:c r="D14" s="26" t="n">
        <x:v>7</x:v>
      </x:c>
      <x:c r="E14" s="26" t="str">
        <x:v>CELL-SECTION-07</x:v>
      </x:c>
      <x:c r="F14" s="26" t="str"/>
      <x:c r="G14" s="26" t="str"/>
      <x:c r="H14" s="26" t="str"/>
      <x:c r="I14" s="26" t="str"/>
      <x:c r="J14" s="26" t="str">
        <x:f>IF(I14="","OPEN",IF(AND(E14=F14,G14="PASS",H14&lt;&gt;""),"PASS","FAIL"))</x:f>
        <x:v>OPEN</x:v>
      </x:c>
    </x:row>
    <x:row r="15">
      <x:c r="B15" s="26" t="str">
        <x:v>DB-009</x:v>
      </x:c>
      <x:c r="C15" s="26" t="str">
        <x:v>cell section</x:v>
      </x:c>
      <x:c r="D15" s="26" t="n">
        <x:v>8</x:v>
      </x:c>
      <x:c r="E15" s="26" t="str">
        <x:v>CELL-SECTION-08</x:v>
      </x:c>
      <x:c r="F15" s="26" t="str"/>
      <x:c r="G15" s="26" t="str"/>
      <x:c r="H15" s="26" t="str"/>
      <x:c r="I15" s="26" t="str"/>
      <x:c r="J15" s="26" t="str">
        <x:f>IF(I15="","OPEN",IF(AND(E15=F15,G15="PASS",H15&lt;&gt;""),"PASS","FAIL"))</x:f>
        <x:v>OPEN</x:v>
      </x:c>
    </x:row>
    <x:row r="16">
      <x:c r="B16" s="26" t="str">
        <x:v>DB-010</x:v>
      </x:c>
      <x:c r="C16" s="26" t="str">
        <x:v>cell section</x:v>
      </x:c>
      <x:c r="D16" s="26" t="n">
        <x:v>9</x:v>
      </x:c>
      <x:c r="E16" s="26" t="str">
        <x:v>CELL-SECTION-09</x:v>
      </x:c>
      <x:c r="F16" s="26" t="str"/>
      <x:c r="G16" s="26" t="str"/>
      <x:c r="H16" s="26" t="str"/>
      <x:c r="I16" s="26" t="str"/>
      <x:c r="J16" s="26" t="str">
        <x:f>IF(I16="","OPEN",IF(AND(E16=F16,G16="PASS",H16&lt;&gt;""),"PASS","FAIL"))</x:f>
        <x:v>OPEN</x:v>
      </x:c>
    </x:row>
    <x:row r="17">
      <x:c r="B17" s="26" t="str">
        <x:v>DB-011</x:v>
      </x:c>
      <x:c r="C17" s="26" t="str">
        <x:v>cell section</x:v>
      </x:c>
      <x:c r="D17" s="26" t="n">
        <x:v>10</x:v>
      </x:c>
      <x:c r="E17" s="26" t="str">
        <x:v>CELL-SECTION-10</x:v>
      </x:c>
      <x:c r="F17" s="26" t="str"/>
      <x:c r="G17" s="26" t="str"/>
      <x:c r="H17" s="26" t="str"/>
      <x:c r="I17" s="26" t="str"/>
      <x:c r="J17" s="26" t="str">
        <x:f>IF(I17="","OPEN",IF(AND(E17=F17,G17="PASS",H17&lt;&gt;""),"PASS","FAIL"))</x:f>
        <x:v>OPEN</x:v>
      </x:c>
    </x:row>
    <x:row r="18">
      <x:c r="B18" s="26" t="str">
        <x:v>DB-012</x:v>
      </x:c>
      <x:c r="C18" s="26" t="str">
        <x:v>cell section</x:v>
      </x:c>
      <x:c r="D18" s="26" t="n">
        <x:v>11</x:v>
      </x:c>
      <x:c r="E18" s="26" t="str">
        <x:v>CELL-SECTION-11</x:v>
      </x:c>
      <x:c r="F18" s="26" t="str"/>
      <x:c r="G18" s="26" t="str"/>
      <x:c r="H18" s="26" t="str"/>
      <x:c r="I18" s="26" t="str"/>
      <x:c r="J18" s="26" t="str">
        <x:f>IF(I18="","OPEN",IF(AND(E18=F18,G18="PASS",H18&lt;&gt;""),"PASS","FAIL"))</x:f>
        <x:v>OPEN</x:v>
      </x:c>
    </x:row>
    <x:row r="19">
      <x:c r="B19" s="26" t="str">
        <x:v>DB-013</x:v>
      </x:c>
      <x:c r="C19" s="26" t="str">
        <x:v>cell section</x:v>
      </x:c>
      <x:c r="D19" s="26" t="n">
        <x:v>12</x:v>
      </x:c>
      <x:c r="E19" s="26" t="str">
        <x:v>CELL-SECTION-12</x:v>
      </x:c>
      <x:c r="F19" s="26" t="str"/>
      <x:c r="G19" s="26" t="str"/>
      <x:c r="H19" s="26" t="str"/>
      <x:c r="I19" s="26" t="str"/>
      <x:c r="J19" s="26" t="str">
        <x:f>IF(I19="","OPEN",IF(AND(E19=F19,G19="PASS",H19&lt;&gt;""),"PASS","FAIL"))</x:f>
        <x:v>OPEN</x:v>
      </x:c>
    </x:row>
    <x:row r="20">
      <x:c r="B20" s="26" t="str">
        <x:v>DB-014</x:v>
      </x:c>
      <x:c r="C20" s="26" t="str">
        <x:v>cell section</x:v>
      </x:c>
      <x:c r="D20" s="26" t="n">
        <x:v>13</x:v>
      </x:c>
      <x:c r="E20" s="26" t="str">
        <x:v>CELL-SECTION-13</x:v>
      </x:c>
      <x:c r="F20" s="26" t="str"/>
      <x:c r="G20" s="26" t="str"/>
      <x:c r="H20" s="26" t="str"/>
      <x:c r="I20" s="26" t="str"/>
      <x:c r="J20" s="26" t="str">
        <x:f>IF(I20="","OPEN",IF(AND(E20=F20,G20="PASS",H20&lt;&gt;""),"PASS","FAIL"))</x:f>
        <x:v>OPEN</x:v>
      </x:c>
    </x:row>
    <x:row r="21">
      <x:c r="B21" s="26" t="str">
        <x:v>DB-015</x:v>
      </x:c>
      <x:c r="C21" s="26" t="str">
        <x:v>cell section</x:v>
      </x:c>
      <x:c r="D21" s="26" t="n">
        <x:v>14</x:v>
      </x:c>
      <x:c r="E21" s="26" t="str">
        <x:v>CELL-SECTION-14</x:v>
      </x:c>
      <x:c r="F21" s="26" t="str"/>
      <x:c r="G21" s="26" t="str"/>
      <x:c r="H21" s="26" t="str"/>
      <x:c r="I21" s="26" t="str"/>
      <x:c r="J21" s="26" t="str">
        <x:f>IF(I21="","OPEN",IF(AND(E21=F21,G21="PASS",H21&lt;&gt;""),"PASS","FAIL"))</x:f>
        <x:v>OPEN</x:v>
      </x:c>
    </x:row>
    <x:row r="22">
      <x:c r="B22" s="26" t="str">
        <x:v>DB-016</x:v>
      </x:c>
      <x:c r="C22" s="26" t="str">
        <x:v>cell section</x:v>
      </x:c>
      <x:c r="D22" s="26" t="n">
        <x:v>15</x:v>
      </x:c>
      <x:c r="E22" s="26" t="str">
        <x:v>CELL-SECTION-15</x:v>
      </x:c>
      <x:c r="F22" s="26" t="str"/>
      <x:c r="G22" s="26" t="str"/>
      <x:c r="H22" s="26" t="str"/>
      <x:c r="I22" s="26" t="str"/>
      <x:c r="J22" s="26" t="str">
        <x:f>IF(I22="","OPEN",IF(AND(E22=F22,G22="PASS",H22&lt;&gt;""),"PASS","FAIL"))</x:f>
        <x:v>OPEN</x:v>
      </x:c>
    </x:row>
    <x:row r="23">
      <x:c r="B23" s="26" t="str">
        <x:v>DB-017</x:v>
      </x:c>
      <x:c r="C23" s="26" t="str">
        <x:v>cell section</x:v>
      </x:c>
      <x:c r="D23" s="26" t="n">
        <x:v>16</x:v>
      </x:c>
      <x:c r="E23" s="26" t="str">
        <x:v>CELL-SECTION-16</x:v>
      </x:c>
      <x:c r="F23" s="26" t="str"/>
      <x:c r="G23" s="26" t="str"/>
      <x:c r="H23" s="26" t="str"/>
      <x:c r="I23" s="26" t="str"/>
      <x:c r="J23" s="26" t="str">
        <x:f>IF(I23="","OPEN",IF(AND(E23=F23,G23="PASS",H23&lt;&gt;""),"PASS","FAIL"))</x:f>
        <x:v>OPEN</x:v>
      </x:c>
    </x:row>
    <x:row r="24">
      <x:c r="B24" s="26" t="str">
        <x:v>DB-018</x:v>
      </x:c>
      <x:c r="C24" s="26" t="str">
        <x:v>cell section</x:v>
      </x:c>
      <x:c r="D24" s="26" t="n">
        <x:v>17</x:v>
      </x:c>
      <x:c r="E24" s="26" t="str">
        <x:v>CELL-SECTION-17</x:v>
      </x:c>
      <x:c r="F24" s="26" t="str"/>
      <x:c r="G24" s="26" t="str"/>
      <x:c r="H24" s="26" t="str"/>
      <x:c r="I24" s="26" t="str"/>
      <x:c r="J24" s="26" t="str">
        <x:f>IF(I24="","OPEN",IF(AND(E24=F24,G24="PASS",H24&lt;&gt;""),"PASS","FAIL"))</x:f>
        <x:v>OPEN</x:v>
      </x:c>
    </x:row>
    <x:row r="25">
      <x:c r="B25" s="26" t="str">
        <x:v>DB-019</x:v>
      </x:c>
      <x:c r="C25" s="26" t="str">
        <x:v>cell section</x:v>
      </x:c>
      <x:c r="D25" s="26" t="n">
        <x:v>18</x:v>
      </x:c>
      <x:c r="E25" s="26" t="str">
        <x:v>CELL-SECTION-18</x:v>
      </x:c>
      <x:c r="F25" s="26" t="str"/>
      <x:c r="G25" s="26" t="str"/>
      <x:c r="H25" s="26" t="str"/>
      <x:c r="I25" s="26" t="str"/>
      <x:c r="J25" s="26" t="str">
        <x:f>IF(I25="","OPEN",IF(AND(E25=F25,G25="PASS",H25&lt;&gt;""),"PASS","FAIL"))</x:f>
        <x:v>OPEN</x:v>
      </x:c>
    </x:row>
    <x:row r="26">
      <x:c r="B26" s="26" t="str">
        <x:v>DB-020</x:v>
      </x:c>
      <x:c r="C26" s="26" t="str">
        <x:v>cell section</x:v>
      </x:c>
      <x:c r="D26" s="26" t="n">
        <x:v>19</x:v>
      </x:c>
      <x:c r="E26" s="26" t="str">
        <x:v>CELL-SECTION-19</x:v>
      </x:c>
      <x:c r="F26" s="26" t="str"/>
      <x:c r="G26" s="26" t="str"/>
      <x:c r="H26" s="26" t="str"/>
      <x:c r="I26" s="26" t="str"/>
      <x:c r="J26" s="26" t="str">
        <x:f>IF(I26="","OPEN",IF(AND(E26=F26,G26="PASS",H26&lt;&gt;""),"PASS","FAIL"))</x:f>
        <x:v>OPEN</x:v>
      </x:c>
    </x:row>
    <x:row r="27">
      <x:c r="B27" s="26" t="str">
        <x:v>DB-021</x:v>
      </x:c>
      <x:c r="C27" s="26" t="str">
        <x:v>cell section</x:v>
      </x:c>
      <x:c r="D27" s="26" t="n">
        <x:v>20</x:v>
      </x:c>
      <x:c r="E27" s="26" t="str">
        <x:v>CELL-SECTION-20</x:v>
      </x:c>
      <x:c r="F27" s="26" t="str"/>
      <x:c r="G27" s="26" t="str"/>
      <x:c r="H27" s="26" t="str"/>
      <x:c r="I27" s="26" t="str"/>
      <x:c r="J27" s="26" t="str">
        <x:f>IF(I27="","OPEN",IF(AND(E27=F27,G27="PASS",H27&lt;&gt;""),"PASS","FAIL"))</x:f>
        <x:v>OPEN</x:v>
      </x:c>
    </x:row>
    <x:row r="28">
      <x:c r="B28" s="26" t="str">
        <x:v>DB-022</x:v>
      </x:c>
      <x:c r="C28" s="26" t="str">
        <x:v>configuration master</x:v>
      </x:c>
      <x:c r="D28" s="26" t="n">
        <x:v>1</x:v>
      </x:c>
      <x:c r="E28" s="26" t="str">
        <x:v>CONFIGURATION-MASTER-01</x:v>
      </x:c>
      <x:c r="F28" s="26" t="str"/>
      <x:c r="G28" s="26" t="str"/>
      <x:c r="H28" s="26" t="str"/>
      <x:c r="I28" s="26" t="str"/>
      <x:c r="J28" s="26" t="str">
        <x:f>IF(I28="","OPEN",IF(AND(E28=F28,G28="PASS",H28&lt;&gt;""),"PASS","FAIL"))</x:f>
        <x:v>OPEN</x:v>
      </x:c>
    </x:row>
    <x:row r="29">
      <x:c r="B29" s="26" t="str">
        <x:v>DB-023</x:v>
      </x:c>
      <x:c r="C29" s="26" t="str">
        <x:v>zero-water package</x:v>
      </x:c>
      <x:c r="D29" s="26" t="n">
        <x:v>1</x:v>
      </x:c>
      <x:c r="E29" s="26" t="str">
        <x:v>ZERO-WATER-PACKAGE-01</x:v>
      </x:c>
      <x:c r="F29" s="26" t="str"/>
      <x:c r="G29" s="26" t="str"/>
      <x:c r="H29" s="26" t="str"/>
      <x:c r="I29" s="26" t="str"/>
      <x:c r="J29" s="26" t="str">
        <x:f>IF(I29="","OPEN",IF(AND(E29=F29,G29="PASS",H29&lt;&gt;""),"PASS","FAIL"))</x:f>
        <x:v>OPEN</x:v>
      </x:c>
    </x:row>
    <x:row r="30">
      <x:c r="B30" s="26" t="str">
        <x:v>DB-024</x:v>
      </x:c>
      <x:c r="C30" s="26" t="str">
        <x:v>final control element</x:v>
      </x:c>
      <x:c r="D30" s="26" t="n">
        <x:v>1</x:v>
      </x:c>
      <x:c r="E30" s="26" t="str">
        <x:v>FINAL-CONTROL-ELEMENT-01</x:v>
      </x:c>
      <x:c r="F30" s="26" t="str"/>
      <x:c r="G30" s="26" t="str"/>
      <x:c r="H30" s="26" t="str"/>
      <x:c r="I30" s="26" t="str"/>
      <x:c r="J30" s="26" t="str">
        <x:f>IF(I30="","OPEN",IF(AND(E30=F30,G30="PASS",H30&lt;&gt;""),"PASS","FAIL"))</x:f>
        <x:v>OPEN</x:v>
      </x:c>
    </x:row>
    <x:row r="31">
      <x:c r="B31" s="26" t="str">
        <x:v>DB-025</x:v>
      </x:c>
      <x:c r="C31" s="26" t="str">
        <x:v>final control element</x:v>
      </x:c>
      <x:c r="D31" s="26" t="n">
        <x:v>2</x:v>
      </x:c>
      <x:c r="E31" s="26" t="str">
        <x:v>FINAL-CONTROL-ELEMENT-02</x:v>
      </x:c>
      <x:c r="F31" s="26" t="str"/>
      <x:c r="G31" s="26" t="str"/>
      <x:c r="H31" s="26" t="str"/>
      <x:c r="I31" s="26" t="str"/>
      <x:c r="J31" s="26" t="str">
        <x:f>IF(I31="","OPEN",IF(AND(E31=F31,G31="PASS",H31&lt;&gt;""),"PASS","FAIL"))</x:f>
        <x:v>OPEN</x:v>
      </x:c>
    </x:row>
    <x:row r="32">
      <x:c r="B32" s="26" t="str">
        <x:v>DB-026</x:v>
      </x:c>
      <x:c r="C32" s="26" t="str">
        <x:v>final control element</x:v>
      </x:c>
      <x:c r="D32" s="26" t="n">
        <x:v>3</x:v>
      </x:c>
      <x:c r="E32" s="26" t="str">
        <x:v>FINAL-CONTROL-ELEMENT-03</x:v>
      </x:c>
      <x:c r="F32" s="26" t="str"/>
      <x:c r="G32" s="26" t="str"/>
      <x:c r="H32" s="26" t="str"/>
      <x:c r="I32" s="26" t="str"/>
      <x:c r="J32" s="26" t="str">
        <x:f>IF(I32="","OPEN",IF(AND(E32=F32,G32="PASS",H32&lt;&gt;""),"PASS","FAIL"))</x:f>
        <x:v>OPEN</x:v>
      </x:c>
    </x:row>
    <x:row r="33">
      <x:c r="B33" s="26" t="str">
        <x:v>DB-027</x:v>
      </x:c>
      <x:c r="C33" s="26" t="str">
        <x:v>final control element</x:v>
      </x:c>
      <x:c r="D33" s="26" t="n">
        <x:v>4</x:v>
      </x:c>
      <x:c r="E33" s="26" t="str">
        <x:v>FINAL-CONTROL-ELEMENT-04</x:v>
      </x:c>
      <x:c r="F33" s="26" t="str"/>
      <x:c r="G33" s="26" t="str"/>
      <x:c r="H33" s="26" t="str"/>
      <x:c r="I33" s="26" t="str"/>
      <x:c r="J33" s="26" t="str">
        <x:f>IF(I33="","OPEN",IF(AND(E33=F33,G33="PASS",H33&lt;&gt;""),"PASS","FAIL"))</x:f>
        <x:v>OPEN</x:v>
      </x:c>
    </x:row>
    <x:row r="34">
      <x:c r="B34" s="26" t="str">
        <x:v>DB-028</x:v>
      </x:c>
      <x:c r="C34" s="26" t="str">
        <x:v>final control element</x:v>
      </x:c>
      <x:c r="D34" s="26" t="n">
        <x:v>5</x:v>
      </x:c>
      <x:c r="E34" s="26" t="str">
        <x:v>FINAL-CONTROL-ELEMENT-05</x:v>
      </x:c>
      <x:c r="F34" s="26" t="str"/>
      <x:c r="G34" s="26" t="str"/>
      <x:c r="H34" s="26" t="str"/>
      <x:c r="I34" s="26" t="str"/>
      <x:c r="J34" s="26" t="str">
        <x:f>IF(I34="","OPEN",IF(AND(E34=F34,G34="PASS",H34&lt;&gt;""),"PASS","FAIL"))</x:f>
        <x:v>OPEN</x:v>
      </x:c>
    </x:row>
    <x:row r="35">
      <x:c r="B35" s="26" t="str">
        <x:v>DB-029</x:v>
      </x:c>
      <x:c r="C35" s="26" t="str">
        <x:v>final control element</x:v>
      </x:c>
      <x:c r="D35" s="26" t="n">
        <x:v>6</x:v>
      </x:c>
      <x:c r="E35" s="26" t="str">
        <x:v>FINAL-CONTROL-ELEMENT-06</x:v>
      </x:c>
      <x:c r="F35" s="26" t="str"/>
      <x:c r="G35" s="26" t="str"/>
      <x:c r="H35" s="26" t="str"/>
      <x:c r="I35" s="26" t="str"/>
      <x:c r="J35" s="26" t="str">
        <x:f>IF(I35="","OPEN",IF(AND(E35=F35,G35="PASS",H35&lt;&gt;""),"PASS","FAIL"))</x:f>
        <x:v>OPEN</x:v>
      </x:c>
    </x:row>
    <x:row r="36">
      <x:c r="B36" s="26" t="str">
        <x:v>DB-030</x:v>
      </x:c>
      <x:c r="C36" s="26" t="str">
        <x:v>final control element</x:v>
      </x:c>
      <x:c r="D36" s="26" t="n">
        <x:v>7</x:v>
      </x:c>
      <x:c r="E36" s="26" t="str">
        <x:v>FINAL-CONTROL-ELEMENT-07</x:v>
      </x:c>
      <x:c r="F36" s="26" t="str"/>
      <x:c r="G36" s="26" t="str"/>
      <x:c r="H36" s="26" t="str"/>
      <x:c r="I36" s="26" t="str"/>
      <x:c r="J36" s="26" t="str">
        <x:f>IF(I36="","OPEN",IF(AND(E36=F36,G36="PASS",H36&lt;&gt;""),"PASS","FAIL"))</x:f>
        <x:v>OPEN</x:v>
      </x:c>
    </x:row>
    <x:row r="37">
      <x:c r="B37" s="26" t="str">
        <x:v>DB-031</x:v>
      </x:c>
      <x:c r="C37" s="26" t="str">
        <x:v>final control element</x:v>
      </x:c>
      <x:c r="D37" s="26" t="n">
        <x:v>8</x:v>
      </x:c>
      <x:c r="E37" s="26" t="str">
        <x:v>FINAL-CONTROL-ELEMENT-08</x:v>
      </x:c>
      <x:c r="F37" s="26" t="str"/>
      <x:c r="G37" s="26" t="str"/>
      <x:c r="H37" s="26" t="str"/>
      <x:c r="I37" s="26" t="str"/>
      <x:c r="J37" s="26" t="str">
        <x:f>IF(I37="","OPEN",IF(AND(E37=F37,G37="PASS",H37&lt;&gt;""),"PASS","FAIL"))</x:f>
        <x:v>OPEN</x:v>
      </x:c>
    </x:row>
    <x:row r="38">
      <x:c r="B38" s="26" t="str">
        <x:v>DB-032</x:v>
      </x:c>
      <x:c r="C38" s="26" t="str">
        <x:v>final control element</x:v>
      </x:c>
      <x:c r="D38" s="26" t="n">
        <x:v>9</x:v>
      </x:c>
      <x:c r="E38" s="26" t="str">
        <x:v>FINAL-CONTROL-ELEMENT-09</x:v>
      </x:c>
      <x:c r="F38" s="26" t="str"/>
      <x:c r="G38" s="26" t="str"/>
      <x:c r="H38" s="26" t="str"/>
      <x:c r="I38" s="26" t="str"/>
      <x:c r="J38" s="26" t="str">
        <x:f>IF(I38="","OPEN",IF(AND(E38=F38,G38="PASS",H38&lt;&gt;""),"PASS","FAIL"))</x:f>
        <x:v>OPEN</x:v>
      </x:c>
    </x:row>
    <x:row r="39">
      <x:c r="B39" s="26" t="str">
        <x:v>DB-033</x:v>
      </x:c>
      <x:c r="C39" s="26" t="str">
        <x:v>final control element</x:v>
      </x:c>
      <x:c r="D39" s="26" t="n">
        <x:v>10</x:v>
      </x:c>
      <x:c r="E39" s="26" t="str">
        <x:v>FINAL-CONTROL-ELEMENT-10</x:v>
      </x:c>
      <x:c r="F39" s="26" t="str"/>
      <x:c r="G39" s="26" t="str"/>
      <x:c r="H39" s="26" t="str"/>
      <x:c r="I39" s="26" t="str"/>
      <x:c r="J39" s="26" t="str">
        <x:f>IF(I39="","OPEN",IF(AND(E39=F39,G39="PASS",H39&lt;&gt;""),"PASS","FAIL"))</x:f>
        <x:v>OPEN</x:v>
      </x:c>
    </x:row>
    <x:row r="40">
      <x:c r="B40" s="26" t="str">
        <x:v>DB-034</x:v>
      </x:c>
      <x:c r="C40" s="26" t="str">
        <x:v>final control element</x:v>
      </x:c>
      <x:c r="D40" s="26" t="n">
        <x:v>11</x:v>
      </x:c>
      <x:c r="E40" s="26" t="str">
        <x:v>FINAL-CONTROL-ELEMENT-11</x:v>
      </x:c>
      <x:c r="F40" s="26" t="str"/>
      <x:c r="G40" s="26" t="str"/>
      <x:c r="H40" s="26" t="str"/>
      <x:c r="I40" s="26" t="str"/>
      <x:c r="J40" s="26" t="str">
        <x:f>IF(I40="","OPEN",IF(AND(E40=F40,G40="PASS",H40&lt;&gt;""),"PASS","FAIL"))</x:f>
        <x:v>OPEN</x:v>
      </x:c>
    </x:row>
    <x:row r="41">
      <x:c r="B41" s="26" t="str">
        <x:v>DB-035</x:v>
      </x:c>
      <x:c r="C41" s="26" t="str">
        <x:v>final control element</x:v>
      </x:c>
      <x:c r="D41" s="26" t="n">
        <x:v>12</x:v>
      </x:c>
      <x:c r="E41" s="26" t="str">
        <x:v>FINAL-CONTROL-ELEMENT-12</x:v>
      </x:c>
      <x:c r="F41" s="26" t="str"/>
      <x:c r="G41" s="26" t="str"/>
      <x:c r="H41" s="26" t="str"/>
      <x:c r="I41" s="26" t="str"/>
      <x:c r="J41" s="26" t="str">
        <x:f>IF(I41="","OPEN",IF(AND(E41=F41,G41="PASS",H41&lt;&gt;""),"PASS","FAIL"))</x:f>
        <x:v>OPEN</x:v>
      </x:c>
    </x:row>
    <x:row r="42">
      <x:c r="B42" s="26" t="str">
        <x:v>DB-036</x:v>
      </x:c>
      <x:c r="C42" s="26" t="str">
        <x:v>safeing path</x:v>
      </x:c>
      <x:c r="D42" s="26" t="n">
        <x:v>1</x:v>
      </x:c>
      <x:c r="E42" s="26" t="str">
        <x:v>SAFEING-PATH-01</x:v>
      </x:c>
      <x:c r="F42" s="26" t="str"/>
      <x:c r="G42" s="26" t="str"/>
      <x:c r="H42" s="26" t="str"/>
      <x:c r="I42" s="26" t="str"/>
      <x:c r="J42" s="26" t="str">
        <x:f>IF(I42="","OPEN",IF(AND(E42=F42,G42="PASS",H42&lt;&gt;""),"PASS","FAIL"))</x:f>
        <x:v>OPEN</x:v>
      </x:c>
    </x:row>
    <x:row r="43">
      <x:c r="B43" s="26" t="str">
        <x:v>DB-037</x:v>
      </x:c>
      <x:c r="C43" s="26" t="str">
        <x:v>safeing path</x:v>
      </x:c>
      <x:c r="D43" s="26" t="n">
        <x:v>2</x:v>
      </x:c>
      <x:c r="E43" s="26" t="str">
        <x:v>SAFEING-PATH-02</x:v>
      </x:c>
      <x:c r="F43" s="26" t="str"/>
      <x:c r="G43" s="26" t="str"/>
      <x:c r="H43" s="26" t="str"/>
      <x:c r="I43" s="26" t="str"/>
      <x:c r="J43" s="26" t="str">
        <x:f>IF(I43="","OPEN",IF(AND(E43=F43,G43="PASS",H43&lt;&gt;""),"PASS","FAIL"))</x:f>
        <x:v>OPEN</x:v>
      </x:c>
    </x:row>
    <x:row r="44">
      <x:c r="B44" s="26" t="str">
        <x:v>DB-038</x:v>
      </x:c>
      <x:c r="C44" s="26" t="str">
        <x:v>safeing path</x:v>
      </x:c>
      <x:c r="D44" s="26" t="n">
        <x:v>3</x:v>
      </x:c>
      <x:c r="E44" s="26" t="str">
        <x:v>SAFEING-PATH-03</x:v>
      </x:c>
      <x:c r="F44" s="26" t="str"/>
      <x:c r="G44" s="26" t="str"/>
      <x:c r="H44" s="26" t="str"/>
      <x:c r="I44" s="26" t="str"/>
      <x:c r="J44" s="26" t="str">
        <x:f>IF(I44="","OPEN",IF(AND(E44=F44,G44="PASS",H44&lt;&gt;""),"PASS","FAIL"))</x:f>
        <x:v>OPEN</x:v>
      </x:c>
    </x:row>
    <x:row r="45">
      <x:c r="B45" s="26" t="str">
        <x:v>DB-039</x:v>
      </x:c>
      <x:c r="C45" s="26" t="str">
        <x:v>safeing path</x:v>
      </x:c>
      <x:c r="D45" s="26" t="n">
        <x:v>4</x:v>
      </x:c>
      <x:c r="E45" s="26" t="str">
        <x:v>SAFEING-PATH-04</x:v>
      </x:c>
      <x:c r="F45" s="26" t="str"/>
      <x:c r="G45" s="26" t="str"/>
      <x:c r="H45" s="26" t="str"/>
      <x:c r="I45" s="26" t="str"/>
      <x:c r="J45" s="26" t="str">
        <x:f>IF(I45="","OPEN",IF(AND(E45=F45,G45="PASS",H45&lt;&gt;""),"PASS","FAIL"))</x:f>
        <x:v>OPEN</x:v>
      </x:c>
    </x:row>
    <x:row r="46">
      <x:c r="B46" s="26" t="str">
        <x:v>DB-040</x:v>
      </x:c>
      <x:c r="C46" s="26" t="str">
        <x:v>safeing path</x:v>
      </x:c>
      <x:c r="D46" s="26" t="n">
        <x:v>5</x:v>
      </x:c>
      <x:c r="E46" s="26" t="str">
        <x:v>SAFEING-PATH-05</x:v>
      </x:c>
      <x:c r="F46" s="26" t="str"/>
      <x:c r="G46" s="26" t="str"/>
      <x:c r="H46" s="26" t="str"/>
      <x:c r="I46" s="26" t="str"/>
      <x:c r="J46" s="26" t="str">
        <x:f>IF(I46="","OPEN",IF(AND(E46=F46,G46="PASS",H46&lt;&gt;""),"PASS","FAIL"))</x:f>
        <x:v>OPEN</x:v>
      </x:c>
    </x:row>
    <x:row r="47">
      <x:c r="B47" s="26" t="str">
        <x:v>DB-041</x:v>
      </x:c>
      <x:c r="C47" s="26" t="str">
        <x:v>safeing path</x:v>
      </x:c>
      <x:c r="D47" s="26" t="n">
        <x:v>6</x:v>
      </x:c>
      <x:c r="E47" s="26" t="str">
        <x:v>SAFEING-PATH-06</x:v>
      </x:c>
      <x:c r="F47" s="26" t="str"/>
      <x:c r="G47" s="26" t="str"/>
      <x:c r="H47" s="26" t="str"/>
      <x:c r="I47" s="26" t="str"/>
      <x:c r="J47" s="26" t="str">
        <x:f>IF(I47="","OPEN",IF(AND(E47=F47,G47="PASS",H47&lt;&gt;""),"PASS","FAIL"))</x:f>
        <x:v>OPEN</x:v>
      </x:c>
    </x:row>
    <x:row r="48">
      <x:c r="B48" s="26" t="str">
        <x:v>DB-042</x:v>
      </x:c>
      <x:c r="C48" s="26" t="str">
        <x:v>safeing path</x:v>
      </x:c>
      <x:c r="D48" s="26" t="n">
        <x:v>7</x:v>
      </x:c>
      <x:c r="E48" s="26" t="str">
        <x:v>SAFEING-PATH-07</x:v>
      </x:c>
      <x:c r="F48" s="26" t="str"/>
      <x:c r="G48" s="26" t="str"/>
      <x:c r="H48" s="26" t="str"/>
      <x:c r="I48" s="26" t="str"/>
      <x:c r="J48" s="26" t="str">
        <x:f>IF(I48="","OPEN",IF(AND(E48=F48,G48="PASS",H48&lt;&gt;""),"PASS","FAIL"))</x:f>
        <x:v>OPEN</x:v>
      </x:c>
    </x:row>
    <x:row r="49">
      <x:c r="B49" s="26" t="str">
        <x:v>DB-043</x:v>
      </x:c>
      <x:c r="C49" s="26" t="str">
        <x:v>safeing path</x:v>
      </x:c>
      <x:c r="D49" s="26" t="n">
        <x:v>8</x:v>
      </x:c>
      <x:c r="E49" s="26" t="str">
        <x:v>SAFEING-PATH-08</x:v>
      </x:c>
      <x:c r="F49" s="26" t="str"/>
      <x:c r="G49" s="26" t="str"/>
      <x:c r="H49" s="26" t="str"/>
      <x:c r="I49" s="26" t="str"/>
      <x:c r="J49" s="26" t="str">
        <x:f>IF(I49="","OPEN",IF(AND(E49=F49,G49="PASS",H49&lt;&gt;""),"PASS","FAIL"))</x:f>
        <x:v>OPEN</x:v>
      </x:c>
    </x:row>
    <x:row r="50">
      <x:c r="B50" s="26" t="str">
        <x:v>DB-044</x:v>
      </x:c>
      <x:c r="C50" s="26" t="str">
        <x:v>safeing path</x:v>
      </x:c>
      <x:c r="D50" s="26" t="n">
        <x:v>9</x:v>
      </x:c>
      <x:c r="E50" s="26" t="str">
        <x:v>SAFEING-PATH-09</x:v>
      </x:c>
      <x:c r="F50" s="26" t="str"/>
      <x:c r="G50" s="26" t="str"/>
      <x:c r="H50" s="26" t="str"/>
      <x:c r="I50" s="26" t="str"/>
      <x:c r="J50" s="26" t="str">
        <x:f>IF(I50="","OPEN",IF(AND(E50=F50,G50="PASS",H50&lt;&gt;""),"PASS","FAIL"))</x:f>
        <x:v>OPEN</x:v>
      </x:c>
    </x:row>
    <x:row r="51">
      <x:c r="B51" s="26" t="str">
        <x:v>DB-045</x:v>
      </x:c>
      <x:c r="C51" s="26" t="str">
        <x:v>safeing path</x:v>
      </x:c>
      <x:c r="D51" s="26" t="n">
        <x:v>10</x:v>
      </x:c>
      <x:c r="E51" s="26" t="str">
        <x:v>SAFEING-PATH-10</x:v>
      </x:c>
      <x:c r="F51" s="26" t="str"/>
      <x:c r="G51" s="26" t="str"/>
      <x:c r="H51" s="26" t="str"/>
      <x:c r="I51" s="26" t="str"/>
      <x:c r="J51" s="26" t="str">
        <x:f>IF(I51="","OPEN",IF(AND(E51=F51,G51="PASS",H51&lt;&gt;""),"PASS","FAIL"))</x:f>
        <x:v>OPEN</x:v>
      </x:c>
    </x:row>
    <x:row r="52">
      <x:c r="B52" s="26" t="str">
        <x:v>DB-046</x:v>
      </x:c>
      <x:c r="C52" s="26" t="str">
        <x:v>safeing path</x:v>
      </x:c>
      <x:c r="D52" s="26" t="n">
        <x:v>11</x:v>
      </x:c>
      <x:c r="E52" s="26" t="str">
        <x:v>SAFEING-PATH-11</x:v>
      </x:c>
      <x:c r="F52" s="26" t="str"/>
      <x:c r="G52" s="26" t="str"/>
      <x:c r="H52" s="26" t="str"/>
      <x:c r="I52" s="26" t="str"/>
      <x:c r="J52" s="26" t="str">
        <x:f>IF(I52="","OPEN",IF(AND(E52=F52,G52="PASS",H52&lt;&gt;""),"PASS","FAIL"))</x:f>
        <x:v>OPEN</x:v>
      </x:c>
    </x:row>
    <x:row r="53">
      <x:c r="B53" s="26" t="str">
        <x:v>DB-047</x:v>
      </x:c>
      <x:c r="C53" s="26" t="str">
        <x:v>safeing path</x:v>
      </x:c>
      <x:c r="D53" s="26" t="n">
        <x:v>12</x:v>
      </x:c>
      <x:c r="E53" s="26" t="str">
        <x:v>SAFEING-PATH-12</x:v>
      </x:c>
      <x:c r="F53" s="26" t="str"/>
      <x:c r="G53" s="26" t="str"/>
      <x:c r="H53" s="26" t="str"/>
      <x:c r="I53" s="26" t="str"/>
      <x:c r="J53" s="26" t="str">
        <x:f>IF(I53="","OPEN",IF(AND(E53=F53,G53="PASS",H53&lt;&gt;""),"PASS","FAIL"))</x:f>
        <x:v>OPEN</x:v>
      </x:c>
    </x:row>
    <x:row r="54">
      <x:c r="B54" s="26" t="str">
        <x:v>DB-048</x:v>
      </x:c>
      <x:c r="C54" s="26" t="str">
        <x:v>safeing path</x:v>
      </x:c>
      <x:c r="D54" s="26" t="n">
        <x:v>13</x:v>
      </x:c>
      <x:c r="E54" s="26" t="str">
        <x:v>SAFEING-PATH-13</x:v>
      </x:c>
      <x:c r="F54" s="26" t="str"/>
      <x:c r="G54" s="26" t="str"/>
      <x:c r="H54" s="26" t="str"/>
      <x:c r="I54" s="26" t="str"/>
      <x:c r="J54" s="26" t="str">
        <x:f>IF(I54="","OPEN",IF(AND(E54=F54,G54="PASS",H54&lt;&gt;""),"PASS","FAIL"))</x:f>
        <x:v>OPEN</x:v>
      </x:c>
    </x:row>
    <x:row r="55">
      <x:c r="B55" s="26" t="str">
        <x:v>DB-049</x:v>
      </x:c>
      <x:c r="C55" s="26" t="str">
        <x:v>safeing path</x:v>
      </x:c>
      <x:c r="D55" s="26" t="n">
        <x:v>14</x:v>
      </x:c>
      <x:c r="E55" s="26" t="str">
        <x:v>SAFEING-PATH-14</x:v>
      </x:c>
      <x:c r="F55" s="26" t="str"/>
      <x:c r="G55" s="26" t="str"/>
      <x:c r="H55" s="26" t="str"/>
      <x:c r="I55" s="26" t="str"/>
      <x:c r="J55" s="26" t="str">
        <x:f>IF(I55="","OPEN",IF(AND(E55=F55,G55="PASS",H55&lt;&gt;""),"PASS","FAIL"))</x:f>
        <x:v>OPEN</x:v>
      </x:c>
    </x:row>
    <x:row r="56">
      <x:c r="B56" s="26" t="str">
        <x:v>DB-050</x:v>
      </x:c>
      <x:c r="C56" s="26" t="str">
        <x:v>safeing path</x:v>
      </x:c>
      <x:c r="D56" s="26" t="n">
        <x:v>15</x:v>
      </x:c>
      <x:c r="E56" s="26" t="str">
        <x:v>SAFEING-PATH-15</x:v>
      </x:c>
      <x:c r="F56" s="26" t="str"/>
      <x:c r="G56" s="26" t="str"/>
      <x:c r="H56" s="26" t="str"/>
      <x:c r="I56" s="26" t="str"/>
      <x:c r="J56" s="26" t="str">
        <x:f>IF(I56="","OPEN",IF(AND(E56=F56,G56="PASS",H56&lt;&gt;""),"PASS","FAIL"))</x:f>
        <x:v>OPEN</x:v>
      </x:c>
    </x:row>
    <x:row r="57">
      <x:c r="B57" s="26" t="str">
        <x:v>DB-051</x:v>
      </x:c>
      <x:c r="C57" s="26" t="str">
        <x:v>safeing path</x:v>
      </x:c>
      <x:c r="D57" s="26" t="n">
        <x:v>16</x:v>
      </x:c>
      <x:c r="E57" s="26" t="str">
        <x:v>SAFEING-PATH-16</x:v>
      </x:c>
      <x:c r="F57" s="26" t="str"/>
      <x:c r="G57" s="26" t="str"/>
      <x:c r="H57" s="26" t="str"/>
      <x:c r="I57" s="26" t="str"/>
      <x:c r="J57" s="26" t="str">
        <x:f>IF(I57="","OPEN",IF(AND(E57=F57,G57="PASS",H57&lt;&gt;""),"PASS","FAIL"))</x:f>
        <x:v>OPEN</x:v>
      </x:c>
    </x:row>
    <x:row r="58">
      <x:c r="B58" s="26" t="str">
        <x:v>DB-052</x:v>
      </x:c>
      <x:c r="C58" s="26" t="str">
        <x:v>safeing path</x:v>
      </x:c>
      <x:c r="D58" s="26" t="n">
        <x:v>17</x:v>
      </x:c>
      <x:c r="E58" s="26" t="str">
        <x:v>SAFEING-PATH-17</x:v>
      </x:c>
      <x:c r="F58" s="26" t="str"/>
      <x:c r="G58" s="26" t="str"/>
      <x:c r="H58" s="26" t="str"/>
      <x:c r="I58" s="26" t="str"/>
      <x:c r="J58" s="26" t="str">
        <x:f>IF(I58="","OPEN",IF(AND(E58=F58,G58="PASS",H58&lt;&gt;""),"PASS","FAIL"))</x:f>
        <x:v>OPEN</x:v>
      </x:c>
    </x:row>
    <x:row r="59">
      <x:c r="B59" s="26" t="str">
        <x:v>DB-053</x:v>
      </x:c>
      <x:c r="C59" s="26" t="str">
        <x:v>safeing path</x:v>
      </x:c>
      <x:c r="D59" s="26" t="n">
        <x:v>18</x:v>
      </x:c>
      <x:c r="E59" s="26" t="str">
        <x:v>SAFEING-PATH-18</x:v>
      </x:c>
      <x:c r="F59" s="26" t="str"/>
      <x:c r="G59" s="26" t="str"/>
      <x:c r="H59" s="26" t="str"/>
      <x:c r="I59" s="26" t="str"/>
      <x:c r="J59" s="26" t="str">
        <x:f>IF(I59="","OPEN",IF(AND(E59=F59,G59="PASS",H59&lt;&gt;""),"PASS","FAIL"))</x:f>
        <x:v>OPEN</x:v>
      </x:c>
    </x:row>
    <x:row r="60">
      <x:c r="B60" s="26" t="str">
        <x:v>DB-054</x:v>
      </x:c>
      <x:c r="C60" s="26" t="str">
        <x:v>safeing path</x:v>
      </x:c>
      <x:c r="D60" s="26" t="n">
        <x:v>19</x:v>
      </x:c>
      <x:c r="E60" s="26" t="str">
        <x:v>SAFEING-PATH-19</x:v>
      </x:c>
      <x:c r="F60" s="26" t="str"/>
      <x:c r="G60" s="26" t="str"/>
      <x:c r="H60" s="26" t="str"/>
      <x:c r="I60" s="26" t="str"/>
      <x:c r="J60" s="26" t="str">
        <x:f>IF(I60="","OPEN",IF(AND(E60=F60,G60="PASS",H60&lt;&gt;""),"PASS","FAIL"))</x:f>
        <x:v>OPEN</x:v>
      </x:c>
    </x:row>
    <x:row r="61">
      <x:c r="B61" s="26" t="str">
        <x:v>DB-055</x:v>
      </x:c>
      <x:c r="C61" s="26" t="str">
        <x:v>safeing path</x:v>
      </x:c>
      <x:c r="D61" s="26" t="n">
        <x:v>20</x:v>
      </x:c>
      <x:c r="E61" s="26" t="str">
        <x:v>SAFEING-PATH-20</x:v>
      </x:c>
      <x:c r="F61" s="26" t="str"/>
      <x:c r="G61" s="26" t="str"/>
      <x:c r="H61" s="26" t="str"/>
      <x:c r="I61" s="26" t="str"/>
      <x:c r="J61" s="26" t="str">
        <x:f>IF(I61="","OPEN",IF(AND(E61=F61,G61="PASS",H61&lt;&gt;""),"PASS","FAIL"))</x:f>
        <x:v>OPEN</x:v>
      </x:c>
    </x:row>
    <x:row r="62">
      <x:c r="B62" s="26" t="str">
        <x:v>DB-056</x:v>
      </x:c>
      <x:c r="C62" s="26" t="str">
        <x:v>safeing path</x:v>
      </x:c>
      <x:c r="D62" s="26" t="n">
        <x:v>21</x:v>
      </x:c>
      <x:c r="E62" s="26" t="str">
        <x:v>SAFEING-PATH-21</x:v>
      </x:c>
      <x:c r="F62" s="26" t="str"/>
      <x:c r="G62" s="26" t="str"/>
      <x:c r="H62" s="26" t="str"/>
      <x:c r="I62" s="26" t="str"/>
      <x:c r="J62" s="26" t="str">
        <x:f>IF(I62="","OPEN",IF(AND(E62=F62,G62="PASS",H62&lt;&gt;""),"PASS","FAIL"))</x:f>
        <x:v>OPEN</x:v>
      </x:c>
    </x:row>
    <x:row r="63">
      <x:c r="B63" s="26" t="str">
        <x:v>DB-057</x:v>
      </x:c>
      <x:c r="C63" s="26" t="str">
        <x:v>safeing path</x:v>
      </x:c>
      <x:c r="D63" s="26" t="n">
        <x:v>22</x:v>
      </x:c>
      <x:c r="E63" s="26" t="str">
        <x:v>SAFEING-PATH-22</x:v>
      </x:c>
      <x:c r="F63" s="26" t="str"/>
      <x:c r="G63" s="26" t="str"/>
      <x:c r="H63" s="26" t="str"/>
      <x:c r="I63" s="26" t="str"/>
      <x:c r="J63" s="26" t="str">
        <x:f>IF(I63="","OPEN",IF(AND(E63=F63,G63="PASS",H63&lt;&gt;""),"PASS","FAIL"))</x:f>
        <x:v>OPEN</x:v>
      </x:c>
    </x:row>
    <x:row r="64">
      <x:c r="B64" s="26" t="str">
        <x:v>DB-058</x:v>
      </x:c>
      <x:c r="C64" s="26" t="str">
        <x:v>safeing path</x:v>
      </x:c>
      <x:c r="D64" s="26" t="n">
        <x:v>23</x:v>
      </x:c>
      <x:c r="E64" s="26" t="str">
        <x:v>SAFEING-PATH-23</x:v>
      </x:c>
      <x:c r="F64" s="26" t="str"/>
      <x:c r="G64" s="26" t="str"/>
      <x:c r="H64" s="26" t="str"/>
      <x:c r="I64" s="26" t="str"/>
      <x:c r="J64" s="26" t="str">
        <x:f>IF(I64="","OPEN",IF(AND(E64=F64,G64="PASS",H64&lt;&gt;""),"PASS","FAIL"))</x:f>
        <x:v>OPEN</x:v>
      </x:c>
    </x:row>
    <x:row r="65">
      <x:c r="B65" s="26" t="str">
        <x:v>DB-059</x:v>
      </x:c>
      <x:c r="C65" s="26" t="str">
        <x:v>safeing path</x:v>
      </x:c>
      <x:c r="D65" s="26" t="n">
        <x:v>24</x:v>
      </x:c>
      <x:c r="E65" s="26" t="str">
        <x:v>SAFEING-PATH-24</x:v>
      </x:c>
      <x:c r="F65" s="26" t="str"/>
      <x:c r="G65" s="26" t="str"/>
      <x:c r="H65" s="26" t="str"/>
      <x:c r="I65" s="26" t="str"/>
      <x:c r="J65" s="26" t="str">
        <x:f>IF(I65="","OPEN",IF(AND(E65=F65,G65="PASS",H65&lt;&gt;""),"PASS","FAIL"))</x:f>
        <x:v>OPEN</x:v>
      </x:c>
    </x:row>
    <x:row r="66">
      <x:c r="B66" s="26" t="str">
        <x:v>DB-060</x:v>
      </x:c>
      <x:c r="C66" s="26" t="str">
        <x:v>safeing path</x:v>
      </x:c>
      <x:c r="D66" s="26" t="n">
        <x:v>25</x:v>
      </x:c>
      <x:c r="E66" s="26" t="str">
        <x:v>SAFEING-PATH-25</x:v>
      </x:c>
      <x:c r="F66" s="26" t="str"/>
      <x:c r="G66" s="26" t="str"/>
      <x:c r="H66" s="26" t="str"/>
      <x:c r="I66" s="26" t="str"/>
      <x:c r="J66" s="26" t="str">
        <x:f>IF(I66="","OPEN",IF(AND(E66=F66,G66="PASS",H66&lt;&gt;""),"PASS","FAIL"))</x:f>
        <x:v>OPEN</x:v>
      </x:c>
    </x:row>
    <x:row r="67">
      <x:c r="B67" s="26" t="str">
        <x:v>DB-061</x:v>
      </x:c>
      <x:c r="C67" s="26" t="str">
        <x:v>safeing path</x:v>
      </x:c>
      <x:c r="D67" s="26" t="n">
        <x:v>26</x:v>
      </x:c>
      <x:c r="E67" s="26" t="str">
        <x:v>SAFEING-PATH-26</x:v>
      </x:c>
      <x:c r="F67" s="26" t="str"/>
      <x:c r="G67" s="26" t="str"/>
      <x:c r="H67" s="26" t="str"/>
      <x:c r="I67" s="26" t="str"/>
      <x:c r="J67" s="26" t="str">
        <x:f>IF(I67="","OPEN",IF(AND(E67=F67,G67="PASS",H67&lt;&gt;""),"PASS","FAIL"))</x:f>
        <x:v>OPEN</x:v>
      </x:c>
    </x:row>
    <x:row r="68">
      <x:c r="B68" s="26" t="str">
        <x:v>DB-062</x:v>
      </x:c>
      <x:c r="C68" s="26" t="str">
        <x:v>safeing path</x:v>
      </x:c>
      <x:c r="D68" s="26" t="n">
        <x:v>27</x:v>
      </x:c>
      <x:c r="E68" s="26" t="str">
        <x:v>SAFEING-PATH-27</x:v>
      </x:c>
      <x:c r="F68" s="26" t="str"/>
      <x:c r="G68" s="26" t="str"/>
      <x:c r="H68" s="26" t="str"/>
      <x:c r="I68" s="26" t="str"/>
      <x:c r="J68" s="26" t="str">
        <x:f>IF(I68="","OPEN",IF(AND(E68=F68,G68="PASS",H68&lt;&gt;""),"PASS","FAIL"))</x:f>
        <x:v>OPEN</x:v>
      </x:c>
    </x:row>
    <x:row r="69">
      <x:c r="B69" s="26" t="str">
        <x:v>DB-063</x:v>
      </x:c>
      <x:c r="C69" s="26" t="str">
        <x:v>safeing path</x:v>
      </x:c>
      <x:c r="D69" s="26" t="n">
        <x:v>28</x:v>
      </x:c>
      <x:c r="E69" s="26" t="str">
        <x:v>SAFEING-PATH-28</x:v>
      </x:c>
      <x:c r="F69" s="26" t="str"/>
      <x:c r="G69" s="26" t="str"/>
      <x:c r="H69" s="26" t="str"/>
      <x:c r="I69" s="26" t="str"/>
      <x:c r="J69" s="26" t="str">
        <x:f>IF(I69="","OPEN",IF(AND(E69=F69,G69="PASS",H69&lt;&gt;""),"PASS","FAIL"))</x:f>
        <x:v>OPEN</x:v>
      </x:c>
    </x:row>
    <x:row r="70">
      <x:c r="B70" s="26" t="str">
        <x:v>DB-064</x:v>
      </x:c>
      <x:c r="C70" s="26" t="str">
        <x:v>safeing path</x:v>
      </x:c>
      <x:c r="D70" s="26" t="n">
        <x:v>29</x:v>
      </x:c>
      <x:c r="E70" s="26" t="str">
        <x:v>SAFEING-PATH-29</x:v>
      </x:c>
      <x:c r="F70" s="26" t="str"/>
      <x:c r="G70" s="26" t="str"/>
      <x:c r="H70" s="26" t="str"/>
      <x:c r="I70" s="26" t="str"/>
      <x:c r="J70" s="26" t="str">
        <x:f>IF(I70="","OPEN",IF(AND(E70=F70,G70="PASS",H70&lt;&gt;""),"PASS","FAIL"))</x:f>
        <x:v>OPEN</x:v>
      </x:c>
    </x:row>
    <x:row r="71">
      <x:c r="B71" s="26" t="str">
        <x:v>DB-065</x:v>
      </x:c>
      <x:c r="C71" s="26" t="str">
        <x:v>safeing path</x:v>
      </x:c>
      <x:c r="D71" s="26" t="n">
        <x:v>30</x:v>
      </x:c>
      <x:c r="E71" s="26" t="str">
        <x:v>SAFEING-PATH-30</x:v>
      </x:c>
      <x:c r="F71" s="26" t="str"/>
      <x:c r="G71" s="26" t="str"/>
      <x:c r="H71" s="26" t="str"/>
      <x:c r="I71" s="26" t="str"/>
      <x:c r="J71" s="26" t="str">
        <x:f>IF(I71="","OPEN",IF(AND(E71=F71,G71="PASS",H71&lt;&gt;""),"PASS","FAIL"))</x:f>
        <x:v>OPEN</x:v>
      </x:c>
    </x:row>
    <x:row r="72">
      <x:c r="B72" s="26" t="str">
        <x:v>DB-066</x:v>
      </x:c>
      <x:c r="C72" s="26" t="str">
        <x:v>safeing path</x:v>
      </x:c>
      <x:c r="D72" s="26" t="n">
        <x:v>31</x:v>
      </x:c>
      <x:c r="E72" s="26" t="str">
        <x:v>SAFEING-PATH-31</x:v>
      </x:c>
      <x:c r="F72" s="26" t="str"/>
      <x:c r="G72" s="26" t="str"/>
      <x:c r="H72" s="26" t="str"/>
      <x:c r="I72" s="26" t="str"/>
      <x:c r="J72" s="26" t="str">
        <x:f>IF(I72="","OPEN",IF(AND(E72=F72,G72="PASS",H72&lt;&gt;""),"PASS","FAIL"))</x:f>
        <x:v>OPEN</x:v>
      </x:c>
    </x:row>
    <x:row r="73">
      <x:c r="B73" s="26" t="str">
        <x:v>DB-067</x:v>
      </x:c>
      <x:c r="C73" s="26" t="str">
        <x:v>safeing path</x:v>
      </x:c>
      <x:c r="D73" s="26" t="n">
        <x:v>32</x:v>
      </x:c>
      <x:c r="E73" s="26" t="str">
        <x:v>SAFEING-PATH-32</x:v>
      </x:c>
      <x:c r="F73" s="26" t="str"/>
      <x:c r="G73" s="26" t="str"/>
      <x:c r="H73" s="26" t="str"/>
      <x:c r="I73" s="26" t="str"/>
      <x:c r="J73" s="26" t="str">
        <x:f>IF(I73="","OPEN",IF(AND(E73=F73,G73="PASS",H73&lt;&gt;""),"PASS","FAIL"))</x:f>
        <x:v>OPEN</x:v>
      </x:c>
    </x:row>
    <x:row r="74">
      <x:c r="B74" s="26" t="str">
        <x:v>DB-068</x:v>
      </x:c>
      <x:c r="C74" s="26" t="str">
        <x:v>safeing path</x:v>
      </x:c>
      <x:c r="D74" s="26" t="n">
        <x:v>33</x:v>
      </x:c>
      <x:c r="E74" s="26" t="str">
        <x:v>SAFEING-PATH-33</x:v>
      </x:c>
      <x:c r="F74" s="26" t="str"/>
      <x:c r="G74" s="26" t="str"/>
      <x:c r="H74" s="26" t="str"/>
      <x:c r="I74" s="26" t="str"/>
      <x:c r="J74" s="26" t="str">
        <x:f>IF(I74="","OPEN",IF(AND(E74=F74,G74="PASS",H74&lt;&gt;""),"PASS","FAIL"))</x:f>
        <x:v>OPEN</x:v>
      </x:c>
    </x:row>
    <x:row r="75">
      <x:c r="B75" s="26" t="str">
        <x:v>DB-069</x:v>
      </x:c>
      <x:c r="C75" s="26" t="str">
        <x:v>safeing path</x:v>
      </x:c>
      <x:c r="D75" s="26" t="n">
        <x:v>34</x:v>
      </x:c>
      <x:c r="E75" s="26" t="str">
        <x:v>SAFEING-PATH-34</x:v>
      </x:c>
      <x:c r="F75" s="26" t="str"/>
      <x:c r="G75" s="26" t="str"/>
      <x:c r="H75" s="26" t="str"/>
      <x:c r="I75" s="26" t="str"/>
      <x:c r="J75" s="26" t="str">
        <x:f>IF(I75="","OPEN",IF(AND(E75=F75,G75="PASS",H75&lt;&gt;""),"PASS","FAIL"))</x:f>
        <x:v>OPEN</x:v>
      </x:c>
    </x:row>
    <x:row r="76">
      <x:c r="B76" s="26" t="str">
        <x:v>DB-070</x:v>
      </x:c>
      <x:c r="C76" s="26" t="str">
        <x:v>safeing path</x:v>
      </x:c>
      <x:c r="D76" s="26" t="n">
        <x:v>35</x:v>
      </x:c>
      <x:c r="E76" s="26" t="str">
        <x:v>SAFEING-PATH-35</x:v>
      </x:c>
      <x:c r="F76" s="26" t="str"/>
      <x:c r="G76" s="26" t="str"/>
      <x:c r="H76" s="26" t="str"/>
      <x:c r="I76" s="26" t="str"/>
      <x:c r="J76" s="26" t="str">
        <x:f>IF(I76="","OPEN",IF(AND(E76=F76,G76="PASS",H76&lt;&gt;""),"PASS","FAIL"))</x:f>
        <x:v>OPEN</x:v>
      </x:c>
    </x:row>
    <x:row r="77">
      <x:c r="B77" s="26" t="str">
        <x:v>DB-071</x:v>
      </x:c>
      <x:c r="C77" s="26" t="str">
        <x:v>safeing path</x:v>
      </x:c>
      <x:c r="D77" s="26" t="n">
        <x:v>36</x:v>
      </x:c>
      <x:c r="E77" s="26" t="str">
        <x:v>SAFEING-PATH-36</x:v>
      </x:c>
      <x:c r="F77" s="26" t="str"/>
      <x:c r="G77" s="26" t="str"/>
      <x:c r="H77" s="26" t="str"/>
      <x:c r="I77" s="26" t="str"/>
      <x:c r="J77" s="26" t="str">
        <x:f>IF(I77="","OPEN",IF(AND(E77=F77,G77="PASS",H77&lt;&gt;""),"PASS","FAIL"))</x:f>
        <x:v>OPEN</x:v>
      </x:c>
    </x:row>
    <x:row r="78">
      <x:c r="B78" s="26" t="str">
        <x:v>DB-072</x:v>
      </x:c>
      <x:c r="C78" s="26" t="str">
        <x:v>path proof</x:v>
      </x:c>
      <x:c r="D78" s="26" t="n">
        <x:v>1</x:v>
      </x:c>
      <x:c r="E78" s="26" t="str">
        <x:v>PATH-PROOF-01</x:v>
      </x:c>
      <x:c r="F78" s="26" t="str"/>
      <x:c r="G78" s="26" t="str"/>
      <x:c r="H78" s="26" t="str"/>
      <x:c r="I78" s="26" t="str"/>
      <x:c r="J78" s="26" t="str">
        <x:f>IF(I78="","OPEN",IF(AND(E78=F78,G78="PASS",H78&lt;&gt;""),"PASS","FAIL"))</x:f>
        <x:v>OPEN</x:v>
      </x:c>
    </x:row>
    <x:row r="79">
      <x:c r="B79" s="26" t="str">
        <x:v>DB-073</x:v>
      </x:c>
      <x:c r="C79" s="26" t="str">
        <x:v>path proof</x:v>
      </x:c>
      <x:c r="D79" s="26" t="n">
        <x:v>2</x:v>
      </x:c>
      <x:c r="E79" s="26" t="str">
        <x:v>PATH-PROOF-02</x:v>
      </x:c>
      <x:c r="F79" s="26" t="str"/>
      <x:c r="G79" s="26" t="str"/>
      <x:c r="H79" s="26" t="str"/>
      <x:c r="I79" s="26" t="str"/>
      <x:c r="J79" s="26" t="str">
        <x:f>IF(I79="","OPEN",IF(AND(E79=F79,G79="PASS",H79&lt;&gt;""),"PASS","FAIL"))</x:f>
        <x:v>OPEN</x:v>
      </x:c>
    </x:row>
    <x:row r="80">
      <x:c r="B80" s="26" t="str">
        <x:v>DB-074</x:v>
      </x:c>
      <x:c r="C80" s="26" t="str">
        <x:v>path proof</x:v>
      </x:c>
      <x:c r="D80" s="26" t="n">
        <x:v>3</x:v>
      </x:c>
      <x:c r="E80" s="26" t="str">
        <x:v>PATH-PROOF-03</x:v>
      </x:c>
      <x:c r="F80" s="26" t="str"/>
      <x:c r="G80" s="26" t="str"/>
      <x:c r="H80" s="26" t="str"/>
      <x:c r="I80" s="26" t="str"/>
      <x:c r="J80" s="26" t="str">
        <x:f>IF(I80="","OPEN",IF(AND(E80=F80,G80="PASS",H80&lt;&gt;""),"PASS","FAIL"))</x:f>
        <x:v>OPEN</x:v>
      </x:c>
    </x:row>
    <x:row r="81">
      <x:c r="B81" s="26" t="str">
        <x:v>DB-075</x:v>
      </x:c>
      <x:c r="C81" s="26" t="str">
        <x:v>path proof</x:v>
      </x:c>
      <x:c r="D81" s="26" t="n">
        <x:v>4</x:v>
      </x:c>
      <x:c r="E81" s="26" t="str">
        <x:v>PATH-PROOF-04</x:v>
      </x:c>
      <x:c r="F81" s="26" t="str"/>
      <x:c r="G81" s="26" t="str"/>
      <x:c r="H81" s="26" t="str"/>
      <x:c r="I81" s="26" t="str"/>
      <x:c r="J81" s="26" t="str">
        <x:f>IF(I81="","OPEN",IF(AND(E81=F81,G81="PASS",H81&lt;&gt;""),"PASS","FAIL"))</x:f>
        <x:v>OPEN</x:v>
      </x:c>
    </x:row>
    <x:row r="82">
      <x:c r="B82" s="26" t="str">
        <x:v>DB-076</x:v>
      </x:c>
      <x:c r="C82" s="26" t="str">
        <x:v>path proof</x:v>
      </x:c>
      <x:c r="D82" s="26" t="n">
        <x:v>5</x:v>
      </x:c>
      <x:c r="E82" s="26" t="str">
        <x:v>PATH-PROOF-05</x:v>
      </x:c>
      <x:c r="F82" s="26" t="str"/>
      <x:c r="G82" s="26" t="str"/>
      <x:c r="H82" s="26" t="str"/>
      <x:c r="I82" s="26" t="str"/>
      <x:c r="J82" s="26" t="str">
        <x:f>IF(I82="","OPEN",IF(AND(E82=F82,G82="PASS",H82&lt;&gt;""),"PASS","FAIL"))</x:f>
        <x:v>OPEN</x:v>
      </x:c>
    </x:row>
    <x:row r="83">
      <x:c r="B83" s="26" t="str">
        <x:v>DB-077</x:v>
      </x:c>
      <x:c r="C83" s="26" t="str">
        <x:v>path proof</x:v>
      </x:c>
      <x:c r="D83" s="26" t="n">
        <x:v>6</x:v>
      </x:c>
      <x:c r="E83" s="26" t="str">
        <x:v>PATH-PROOF-06</x:v>
      </x:c>
      <x:c r="F83" s="26" t="str"/>
      <x:c r="G83" s="26" t="str"/>
      <x:c r="H83" s="26" t="str"/>
      <x:c r="I83" s="26" t="str"/>
      <x:c r="J83" s="26" t="str">
        <x:f>IF(I83="","OPEN",IF(AND(E83=F83,G83="PASS",H83&lt;&gt;""),"PASS","FAIL"))</x:f>
        <x:v>OPEN</x:v>
      </x:c>
    </x:row>
    <x:row r="84">
      <x:c r="B84" s="26" t="str">
        <x:v>DB-078</x:v>
      </x:c>
      <x:c r="C84" s="26" t="str">
        <x:v>path proof</x:v>
      </x:c>
      <x:c r="D84" s="26" t="n">
        <x:v>7</x:v>
      </x:c>
      <x:c r="E84" s="26" t="str">
        <x:v>PATH-PROOF-07</x:v>
      </x:c>
      <x:c r="F84" s="26" t="str"/>
      <x:c r="G84" s="26" t="str"/>
      <x:c r="H84" s="26" t="str"/>
      <x:c r="I84" s="26" t="str"/>
      <x:c r="J84" s="26" t="str">
        <x:f>IF(I84="","OPEN",IF(AND(E84=F84,G84="PASS",H84&lt;&gt;""),"PASS","FAIL"))</x:f>
        <x:v>OPEN</x:v>
      </x:c>
    </x:row>
    <x:row r="85">
      <x:c r="B85" s="26" t="str">
        <x:v>DB-079</x:v>
      </x:c>
      <x:c r="C85" s="26" t="str">
        <x:v>path proof</x:v>
      </x:c>
      <x:c r="D85" s="26" t="n">
        <x:v>8</x:v>
      </x:c>
      <x:c r="E85" s="26" t="str">
        <x:v>PATH-PROOF-08</x:v>
      </x:c>
      <x:c r="F85" s="26" t="str"/>
      <x:c r="G85" s="26" t="str"/>
      <x:c r="H85" s="26" t="str"/>
      <x:c r="I85" s="26" t="str"/>
      <x:c r="J85" s="26" t="str">
        <x:f>IF(I85="","OPEN",IF(AND(E85=F85,G85="PASS",H85&lt;&gt;""),"PASS","FAIL"))</x:f>
        <x:v>OPEN</x:v>
      </x:c>
    </x:row>
    <x:row r="86">
      <x:c r="B86" s="26" t="str">
        <x:v>DB-080</x:v>
      </x:c>
      <x:c r="C86" s="26" t="str">
        <x:v>path proof</x:v>
      </x:c>
      <x:c r="D86" s="26" t="n">
        <x:v>9</x:v>
      </x:c>
      <x:c r="E86" s="26" t="str">
        <x:v>PATH-PROOF-09</x:v>
      </x:c>
      <x:c r="F86" s="26" t="str"/>
      <x:c r="G86" s="26" t="str"/>
      <x:c r="H86" s="26" t="str"/>
      <x:c r="I86" s="26" t="str"/>
      <x:c r="J86" s="26" t="str">
        <x:f>IF(I86="","OPEN",IF(AND(E86=F86,G86="PASS",H86&lt;&gt;""),"PASS","FAIL"))</x:f>
        <x:v>OPEN</x:v>
      </x:c>
    </x:row>
    <x:row r="87">
      <x:c r="B87" s="26" t="str">
        <x:v>DB-081</x:v>
      </x:c>
      <x:c r="C87" s="26" t="str">
        <x:v>path proof</x:v>
      </x:c>
      <x:c r="D87" s="26" t="n">
        <x:v>10</x:v>
      </x:c>
      <x:c r="E87" s="26" t="str">
        <x:v>PATH-PROOF-10</x:v>
      </x:c>
      <x:c r="F87" s="26" t="str"/>
      <x:c r="G87" s="26" t="str"/>
      <x:c r="H87" s="26" t="str"/>
      <x:c r="I87" s="26" t="str"/>
      <x:c r="J87" s="26" t="str">
        <x:f>IF(I87="","OPEN",IF(AND(E87=F87,G87="PASS",H87&lt;&gt;""),"PASS","FAIL"))</x:f>
        <x:v>OPEN</x:v>
      </x:c>
    </x:row>
    <x:row r="88">
      <x:c r="B88" s="26" t="str">
        <x:v>DB-082</x:v>
      </x:c>
      <x:c r="C88" s="26" t="str">
        <x:v>path proof</x:v>
      </x:c>
      <x:c r="D88" s="26" t="n">
        <x:v>11</x:v>
      </x:c>
      <x:c r="E88" s="26" t="str">
        <x:v>PATH-PROOF-11</x:v>
      </x:c>
      <x:c r="F88" s="26" t="str"/>
      <x:c r="G88" s="26" t="str"/>
      <x:c r="H88" s="26" t="str"/>
      <x:c r="I88" s="26" t="str"/>
      <x:c r="J88" s="26" t="str">
        <x:f>IF(I88="","OPEN",IF(AND(E88=F88,G88="PASS",H88&lt;&gt;""),"PASS","FAIL"))</x:f>
        <x:v>OPEN</x:v>
      </x:c>
    </x:row>
    <x:row r="89">
      <x:c r="B89" s="26" t="str">
        <x:v>DB-083</x:v>
      </x:c>
      <x:c r="C89" s="26" t="str">
        <x:v>path proof</x:v>
      </x:c>
      <x:c r="D89" s="26" t="n">
        <x:v>12</x:v>
      </x:c>
      <x:c r="E89" s="26" t="str">
        <x:v>PATH-PROOF-12</x:v>
      </x:c>
      <x:c r="F89" s="26" t="str"/>
      <x:c r="G89" s="26" t="str"/>
      <x:c r="H89" s="26" t="str"/>
      <x:c r="I89" s="26" t="str"/>
      <x:c r="J89" s="26" t="str">
        <x:f>IF(I89="","OPEN",IF(AND(E89=F89,G89="PASS",H89&lt;&gt;""),"PASS","FAIL"))</x:f>
        <x:v>OPEN</x:v>
      </x:c>
    </x:row>
    <x:row r="90">
      <x:c r="B90" s="26" t="str">
        <x:v>DB-084</x:v>
      </x:c>
      <x:c r="C90" s="26" t="str">
        <x:v>path proof</x:v>
      </x:c>
      <x:c r="D90" s="26" t="n">
        <x:v>13</x:v>
      </x:c>
      <x:c r="E90" s="26" t="str">
        <x:v>PATH-PROOF-13</x:v>
      </x:c>
      <x:c r="F90" s="26" t="str"/>
      <x:c r="G90" s="26" t="str"/>
      <x:c r="H90" s="26" t="str"/>
      <x:c r="I90" s="26" t="str"/>
      <x:c r="J90" s="26" t="str">
        <x:f>IF(I90="","OPEN",IF(AND(E90=F90,G90="PASS",H90&lt;&gt;""),"PASS","FAIL"))</x:f>
        <x:v>OPEN</x:v>
      </x:c>
    </x:row>
    <x:row r="91">
      <x:c r="B91" s="26" t="str">
        <x:v>DB-085</x:v>
      </x:c>
      <x:c r="C91" s="26" t="str">
        <x:v>path proof</x:v>
      </x:c>
      <x:c r="D91" s="26" t="n">
        <x:v>14</x:v>
      </x:c>
      <x:c r="E91" s="26" t="str">
        <x:v>PATH-PROOF-14</x:v>
      </x:c>
      <x:c r="F91" s="26" t="str"/>
      <x:c r="G91" s="26" t="str"/>
      <x:c r="H91" s="26" t="str"/>
      <x:c r="I91" s="26" t="str"/>
      <x:c r="J91" s="26" t="str">
        <x:f>IF(I91="","OPEN",IF(AND(E91=F91,G91="PASS",H91&lt;&gt;""),"PASS","FAIL"))</x:f>
        <x:v>OPEN</x:v>
      </x:c>
    </x:row>
    <x:row r="92">
      <x:c r="B92" s="26" t="str">
        <x:v>DB-086</x:v>
      </x:c>
      <x:c r="C92" s="26" t="str">
        <x:v>path proof</x:v>
      </x:c>
      <x:c r="D92" s="26" t="n">
        <x:v>15</x:v>
      </x:c>
      <x:c r="E92" s="26" t="str">
        <x:v>PATH-PROOF-15</x:v>
      </x:c>
      <x:c r="F92" s="26" t="str"/>
      <x:c r="G92" s="26" t="str"/>
      <x:c r="H92" s="26" t="str"/>
      <x:c r="I92" s="26" t="str"/>
      <x:c r="J92" s="26" t="str">
        <x:f>IF(I92="","OPEN",IF(AND(E92=F92,G92="PASS",H92&lt;&gt;""),"PASS","FAIL"))</x:f>
        <x:v>OPEN</x:v>
      </x:c>
    </x:row>
    <x:row r="93">
      <x:c r="B93" s="26" t="str">
        <x:v>DB-087</x:v>
      </x:c>
      <x:c r="C93" s="26" t="str">
        <x:v>path proof</x:v>
      </x:c>
      <x:c r="D93" s="26" t="n">
        <x:v>16</x:v>
      </x:c>
      <x:c r="E93" s="26" t="str">
        <x:v>PATH-PROOF-16</x:v>
      </x:c>
      <x:c r="F93" s="26" t="str"/>
      <x:c r="G93" s="26" t="str"/>
      <x:c r="H93" s="26" t="str"/>
      <x:c r="I93" s="26" t="str"/>
      <x:c r="J93" s="26" t="str">
        <x:f>IF(I93="","OPEN",IF(AND(E93=F93,G93="PASS",H93&lt;&gt;""),"PASS","FAIL"))</x:f>
        <x:v>OPEN</x:v>
      </x:c>
    </x:row>
    <x:row r="94">
      <x:c r="B94" s="26" t="str">
        <x:v>DB-088</x:v>
      </x:c>
      <x:c r="C94" s="26" t="str">
        <x:v>path proof</x:v>
      </x:c>
      <x:c r="D94" s="26" t="n">
        <x:v>17</x:v>
      </x:c>
      <x:c r="E94" s="26" t="str">
        <x:v>PATH-PROOF-17</x:v>
      </x:c>
      <x:c r="F94" s="26" t="str"/>
      <x:c r="G94" s="26" t="str"/>
      <x:c r="H94" s="26" t="str"/>
      <x:c r="I94" s="26" t="str"/>
      <x:c r="J94" s="26" t="str">
        <x:f>IF(I94="","OPEN",IF(AND(E94=F94,G94="PASS",H94&lt;&gt;""),"PASS","FAIL"))</x:f>
        <x:v>OPEN</x:v>
      </x:c>
    </x:row>
    <x:row r="95">
      <x:c r="B95" s="26" t="str">
        <x:v>DB-089</x:v>
      </x:c>
      <x:c r="C95" s="26" t="str">
        <x:v>path proof</x:v>
      </x:c>
      <x:c r="D95" s="26" t="n">
        <x:v>18</x:v>
      </x:c>
      <x:c r="E95" s="26" t="str">
        <x:v>PATH-PROOF-18</x:v>
      </x:c>
      <x:c r="F95" s="26" t="str"/>
      <x:c r="G95" s="26" t="str"/>
      <x:c r="H95" s="26" t="str"/>
      <x:c r="I95" s="26" t="str"/>
      <x:c r="J95" s="26" t="str">
        <x:f>IF(I95="","OPEN",IF(AND(E95=F95,G95="PASS",H95&lt;&gt;""),"PASS","FAIL"))</x:f>
        <x:v>OPEN</x:v>
      </x:c>
    </x:row>
    <x:row r="96">
      <x:c r="B96" s="26" t="str">
        <x:v>DB-090</x:v>
      </x:c>
      <x:c r="C96" s="26" t="str">
        <x:v>path proof</x:v>
      </x:c>
      <x:c r="D96" s="26" t="n">
        <x:v>19</x:v>
      </x:c>
      <x:c r="E96" s="26" t="str">
        <x:v>PATH-PROOF-19</x:v>
      </x:c>
      <x:c r="F96" s="26" t="str"/>
      <x:c r="G96" s="26" t="str"/>
      <x:c r="H96" s="26" t="str"/>
      <x:c r="I96" s="26" t="str"/>
      <x:c r="J96" s="26" t="str">
        <x:f>IF(I96="","OPEN",IF(AND(E96=F96,G96="PASS",H96&lt;&gt;""),"PASS","FAIL"))</x:f>
        <x:v>OPEN</x:v>
      </x:c>
    </x:row>
    <x:row r="97">
      <x:c r="B97" s="26" t="str">
        <x:v>DB-091</x:v>
      </x:c>
      <x:c r="C97" s="26" t="str">
        <x:v>path proof</x:v>
      </x:c>
      <x:c r="D97" s="26" t="n">
        <x:v>20</x:v>
      </x:c>
      <x:c r="E97" s="26" t="str">
        <x:v>PATH-PROOF-20</x:v>
      </x:c>
      <x:c r="F97" s="26" t="str"/>
      <x:c r="G97" s="26" t="str"/>
      <x:c r="H97" s="26" t="str"/>
      <x:c r="I97" s="26" t="str"/>
      <x:c r="J97" s="26" t="str">
        <x:f>IF(I97="","OPEN",IF(AND(E97=F97,G97="PASS",H97&lt;&gt;""),"PASS","FAIL"))</x:f>
        <x:v>OPEN</x:v>
      </x:c>
    </x:row>
    <x:row r="98">
      <x:c r="B98" s="26" t="str">
        <x:v>DB-092</x:v>
      </x:c>
      <x:c r="C98" s="26" t="str">
        <x:v>path proof</x:v>
      </x:c>
      <x:c r="D98" s="26" t="n">
        <x:v>21</x:v>
      </x:c>
      <x:c r="E98" s="26" t="str">
        <x:v>PATH-PROOF-21</x:v>
      </x:c>
      <x:c r="F98" s="26" t="str"/>
      <x:c r="G98" s="26" t="str"/>
      <x:c r="H98" s="26" t="str"/>
      <x:c r="I98" s="26" t="str"/>
      <x:c r="J98" s="26" t="str">
        <x:f>IF(I98="","OPEN",IF(AND(E98=F98,G98="PASS",H98&lt;&gt;""),"PASS","FAIL"))</x:f>
        <x:v>OPEN</x:v>
      </x:c>
    </x:row>
    <x:row r="99">
      <x:c r="B99" s="26" t="str">
        <x:v>DB-093</x:v>
      </x:c>
      <x:c r="C99" s="26" t="str">
        <x:v>path proof</x:v>
      </x:c>
      <x:c r="D99" s="26" t="n">
        <x:v>22</x:v>
      </x:c>
      <x:c r="E99" s="26" t="str">
        <x:v>PATH-PROOF-22</x:v>
      </x:c>
      <x:c r="F99" s="26" t="str"/>
      <x:c r="G99" s="26" t="str"/>
      <x:c r="H99" s="26" t="str"/>
      <x:c r="I99" s="26" t="str"/>
      <x:c r="J99" s="26" t="str">
        <x:f>IF(I99="","OPEN",IF(AND(E99=F99,G99="PASS",H99&lt;&gt;""),"PASS","FAIL"))</x:f>
        <x:v>OPEN</x:v>
      </x:c>
    </x:row>
    <x:row r="100">
      <x:c r="B100" s="26" t="str">
        <x:v>DB-094</x:v>
      </x:c>
      <x:c r="C100" s="26" t="str">
        <x:v>path proof</x:v>
      </x:c>
      <x:c r="D100" s="26" t="n">
        <x:v>23</x:v>
      </x:c>
      <x:c r="E100" s="26" t="str">
        <x:v>PATH-PROOF-23</x:v>
      </x:c>
      <x:c r="F100" s="26" t="str"/>
      <x:c r="G100" s="26" t="str"/>
      <x:c r="H100" s="26" t="str"/>
      <x:c r="I100" s="26" t="str"/>
      <x:c r="J100" s="26" t="str">
        <x:f>IF(I100="","OPEN",IF(AND(E100=F100,G100="PASS",H100&lt;&gt;""),"PASS","FAIL"))</x:f>
        <x:v>OPEN</x:v>
      </x:c>
    </x:row>
    <x:row r="101">
      <x:c r="B101" s="26" t="str">
        <x:v>DB-095</x:v>
      </x:c>
      <x:c r="C101" s="26" t="str">
        <x:v>path proof</x:v>
      </x:c>
      <x:c r="D101" s="26" t="n">
        <x:v>24</x:v>
      </x:c>
      <x:c r="E101" s="26" t="str">
        <x:v>PATH-PROOF-24</x:v>
      </x:c>
      <x:c r="F101" s="26" t="str"/>
      <x:c r="G101" s="26" t="str"/>
      <x:c r="H101" s="26" t="str"/>
      <x:c r="I101" s="26" t="str"/>
      <x:c r="J101" s="26" t="str">
        <x:f>IF(I101="","OPEN",IF(AND(E101=F101,G101="PASS",H101&lt;&gt;""),"PASS","FAIL"))</x:f>
        <x:v>OPEN</x:v>
      </x:c>
    </x:row>
    <x:row r="102">
      <x:c r="B102" s="26" t="str">
        <x:v>DB-096</x:v>
      </x:c>
      <x:c r="C102" s="26" t="str">
        <x:v>path proof</x:v>
      </x:c>
      <x:c r="D102" s="26" t="n">
        <x:v>25</x:v>
      </x:c>
      <x:c r="E102" s="26" t="str">
        <x:v>PATH-PROOF-25</x:v>
      </x:c>
      <x:c r="F102" s="26" t="str"/>
      <x:c r="G102" s="26" t="str"/>
      <x:c r="H102" s="26" t="str"/>
      <x:c r="I102" s="26" t="str"/>
      <x:c r="J102" s="26" t="str">
        <x:f>IF(I102="","OPEN",IF(AND(E102=F102,G102="PASS",H102&lt;&gt;""),"PASS","FAIL"))</x:f>
        <x:v>OPEN</x:v>
      </x:c>
    </x:row>
    <x:row r="103">
      <x:c r="B103" s="26" t="str">
        <x:v>DB-097</x:v>
      </x:c>
      <x:c r="C103" s="26" t="str">
        <x:v>path proof</x:v>
      </x:c>
      <x:c r="D103" s="26" t="n">
        <x:v>26</x:v>
      </x:c>
      <x:c r="E103" s="26" t="str">
        <x:v>PATH-PROOF-26</x:v>
      </x:c>
      <x:c r="F103" s="26" t="str"/>
      <x:c r="G103" s="26" t="str"/>
      <x:c r="H103" s="26" t="str"/>
      <x:c r="I103" s="26" t="str"/>
      <x:c r="J103" s="26" t="str">
        <x:f>IF(I103="","OPEN",IF(AND(E103=F103,G103="PASS",H103&lt;&gt;""),"PASS","FAIL"))</x:f>
        <x:v>OPEN</x:v>
      </x:c>
    </x:row>
    <x:row r="104">
      <x:c r="B104" s="26" t="str">
        <x:v>DB-098</x:v>
      </x:c>
      <x:c r="C104" s="26" t="str">
        <x:v>path proof</x:v>
      </x:c>
      <x:c r="D104" s="26" t="n">
        <x:v>27</x:v>
      </x:c>
      <x:c r="E104" s="26" t="str">
        <x:v>PATH-PROOF-27</x:v>
      </x:c>
      <x:c r="F104" s="26" t="str"/>
      <x:c r="G104" s="26" t="str"/>
      <x:c r="H104" s="26" t="str"/>
      <x:c r="I104" s="26" t="str"/>
      <x:c r="J104" s="26" t="str">
        <x:f>IF(I104="","OPEN",IF(AND(E104=F104,G104="PASS",H104&lt;&gt;""),"PASS","FAIL"))</x:f>
        <x:v>OPEN</x:v>
      </x:c>
    </x:row>
    <x:row r="105">
      <x:c r="B105" s="26" t="str">
        <x:v>DB-099</x:v>
      </x:c>
      <x:c r="C105" s="26" t="str">
        <x:v>path proof</x:v>
      </x:c>
      <x:c r="D105" s="26" t="n">
        <x:v>28</x:v>
      </x:c>
      <x:c r="E105" s="26" t="str">
        <x:v>PATH-PROOF-28</x:v>
      </x:c>
      <x:c r="F105" s="26" t="str"/>
      <x:c r="G105" s="26" t="str"/>
      <x:c r="H105" s="26" t="str"/>
      <x:c r="I105" s="26" t="str"/>
      <x:c r="J105" s="26" t="str">
        <x:f>IF(I105="","OPEN",IF(AND(E105=F105,G105="PASS",H105&lt;&gt;""),"PASS","FAIL"))</x:f>
        <x:v>OPEN</x:v>
      </x:c>
    </x:row>
    <x:row r="106">
      <x:c r="B106" s="26" t="str">
        <x:v>DB-100</x:v>
      </x:c>
      <x:c r="C106" s="26" t="str">
        <x:v>path proof</x:v>
      </x:c>
      <x:c r="D106" s="26" t="n">
        <x:v>29</x:v>
      </x:c>
      <x:c r="E106" s="26" t="str">
        <x:v>PATH-PROOF-29</x:v>
      </x:c>
      <x:c r="F106" s="26" t="str"/>
      <x:c r="G106" s="26" t="str"/>
      <x:c r="H106" s="26" t="str"/>
      <x:c r="I106" s="26" t="str"/>
      <x:c r="J106" s="26" t="str">
        <x:f>IF(I106="","OPEN",IF(AND(E106=F106,G106="PASS",H106&lt;&gt;""),"PASS","FAIL"))</x:f>
        <x:v>OPEN</x:v>
      </x:c>
    </x:row>
    <x:row r="107">
      <x:c r="B107" s="26" t="str">
        <x:v>DB-101</x:v>
      </x:c>
      <x:c r="C107" s="26" t="str">
        <x:v>path proof</x:v>
      </x:c>
      <x:c r="D107" s="26" t="n">
        <x:v>30</x:v>
      </x:c>
      <x:c r="E107" s="26" t="str">
        <x:v>PATH-PROOF-30</x:v>
      </x:c>
      <x:c r="F107" s="26" t="str"/>
      <x:c r="G107" s="26" t="str"/>
      <x:c r="H107" s="26" t="str"/>
      <x:c r="I107" s="26" t="str"/>
      <x:c r="J107" s="26" t="str">
        <x:f>IF(I107="","OPEN",IF(AND(E107=F107,G107="PASS",H107&lt;&gt;""),"PASS","FAIL"))</x:f>
        <x:v>OPEN</x:v>
      </x:c>
    </x:row>
    <x:row r="108">
      <x:c r="B108" s="26" t="str">
        <x:v>DB-102</x:v>
      </x:c>
      <x:c r="C108" s="26" t="str">
        <x:v>path proof</x:v>
      </x:c>
      <x:c r="D108" s="26" t="n">
        <x:v>31</x:v>
      </x:c>
      <x:c r="E108" s="26" t="str">
        <x:v>PATH-PROOF-31</x:v>
      </x:c>
      <x:c r="F108" s="26" t="str"/>
      <x:c r="G108" s="26" t="str"/>
      <x:c r="H108" s="26" t="str"/>
      <x:c r="I108" s="26" t="str"/>
      <x:c r="J108" s="26" t="str">
        <x:f>IF(I108="","OPEN",IF(AND(E108=F108,G108="PASS",H108&lt;&gt;""),"PASS","FAIL"))</x:f>
        <x:v>OPEN</x:v>
      </x:c>
    </x:row>
    <x:row r="109">
      <x:c r="B109" s="26" t="str">
        <x:v>DB-103</x:v>
      </x:c>
      <x:c r="C109" s="26" t="str">
        <x:v>path proof</x:v>
      </x:c>
      <x:c r="D109" s="26" t="n">
        <x:v>32</x:v>
      </x:c>
      <x:c r="E109" s="26" t="str">
        <x:v>PATH-PROOF-32</x:v>
      </x:c>
      <x:c r="F109" s="26" t="str"/>
      <x:c r="G109" s="26" t="str"/>
      <x:c r="H109" s="26" t="str"/>
      <x:c r="I109" s="26" t="str"/>
      <x:c r="J109" s="26" t="str">
        <x:f>IF(I109="","OPEN",IF(AND(E109=F109,G109="PASS",H109&lt;&gt;""),"PASS","FAIL"))</x:f>
        <x:v>OPEN</x:v>
      </x:c>
    </x:row>
    <x:row r="110">
      <x:c r="B110" s="26" t="str">
        <x:v>DB-104</x:v>
      </x:c>
      <x:c r="C110" s="26" t="str">
        <x:v>path proof</x:v>
      </x:c>
      <x:c r="D110" s="26" t="n">
        <x:v>33</x:v>
      </x:c>
      <x:c r="E110" s="26" t="str">
        <x:v>PATH-PROOF-33</x:v>
      </x:c>
      <x:c r="F110" s="26" t="str"/>
      <x:c r="G110" s="26" t="str"/>
      <x:c r="H110" s="26" t="str"/>
      <x:c r="I110" s="26" t="str"/>
      <x:c r="J110" s="26" t="str">
        <x:f>IF(I110="","OPEN",IF(AND(E110=F110,G110="PASS",H110&lt;&gt;""),"PASS","FAIL"))</x:f>
        <x:v>OPEN</x:v>
      </x:c>
    </x:row>
    <x:row r="111">
      <x:c r="B111" s="26" t="str">
        <x:v>DB-105</x:v>
      </x:c>
      <x:c r="C111" s="26" t="str">
        <x:v>path proof</x:v>
      </x:c>
      <x:c r="D111" s="26" t="n">
        <x:v>34</x:v>
      </x:c>
      <x:c r="E111" s="26" t="str">
        <x:v>PATH-PROOF-34</x:v>
      </x:c>
      <x:c r="F111" s="26" t="str"/>
      <x:c r="G111" s="26" t="str"/>
      <x:c r="H111" s="26" t="str"/>
      <x:c r="I111" s="26" t="str"/>
      <x:c r="J111" s="26" t="str">
        <x:f>IF(I111="","OPEN",IF(AND(E111=F111,G111="PASS",H111&lt;&gt;""),"PASS","FAIL"))</x:f>
        <x:v>OPEN</x:v>
      </x:c>
    </x:row>
    <x:row r="112">
      <x:c r="B112" s="26" t="str">
        <x:v>DB-106</x:v>
      </x:c>
      <x:c r="C112" s="26" t="str">
        <x:v>path proof</x:v>
      </x:c>
      <x:c r="D112" s="26" t="n">
        <x:v>35</x:v>
      </x:c>
      <x:c r="E112" s="26" t="str">
        <x:v>PATH-PROOF-35</x:v>
      </x:c>
      <x:c r="F112" s="26" t="str"/>
      <x:c r="G112" s="26" t="str"/>
      <x:c r="H112" s="26" t="str"/>
      <x:c r="I112" s="26" t="str"/>
      <x:c r="J112" s="26" t="str">
        <x:f>IF(I112="","OPEN",IF(AND(E112=F112,G112="PASS",H112&lt;&gt;""),"PASS","FAIL"))</x:f>
        <x:v>OPEN</x:v>
      </x:c>
    </x:row>
    <x:row r="113">
      <x:c r="B113" s="26" t="str">
        <x:v>DB-107</x:v>
      </x:c>
      <x:c r="C113" s="26" t="str">
        <x:v>path proof</x:v>
      </x:c>
      <x:c r="D113" s="26" t="n">
        <x:v>36</x:v>
      </x:c>
      <x:c r="E113" s="26" t="str">
        <x:v>PATH-PROOF-36</x:v>
      </x:c>
      <x:c r="F113" s="26" t="str"/>
      <x:c r="G113" s="26" t="str"/>
      <x:c r="H113" s="26" t="str"/>
      <x:c r="I113" s="26" t="str"/>
      <x:c r="J113" s="26" t="str">
        <x:f>IF(I113="","OPEN",IF(AND(E113=F113,G113="PASS",H113&lt;&gt;""),"PASS","FAIL"))</x:f>
        <x:v>OPEN</x:v>
      </x:c>
    </x:row>
    <x:row r="114">
      <x:c r="B114" s="26" t="str">
        <x:v>DB-108</x:v>
      </x:c>
      <x:c r="C114" s="26" t="str">
        <x:v>walkdown</x:v>
      </x:c>
      <x:c r="D114" s="26" t="n">
        <x:v>1</x:v>
      </x:c>
      <x:c r="E114" s="26" t="str">
        <x:v>WALKDOWN-01</x:v>
      </x:c>
      <x:c r="F114" s="26" t="str"/>
      <x:c r="G114" s="26" t="str"/>
      <x:c r="H114" s="26" t="str"/>
      <x:c r="I114" s="26" t="str"/>
      <x:c r="J114" s="26" t="str">
        <x:f>IF(I114="","OPEN",IF(AND(E114=F114,G114="PASS",H114&lt;&gt;""),"PASS","FAIL"))</x:f>
        <x:v>OPEN</x:v>
      </x:c>
    </x:row>
    <x:row r="115">
      <x:c r="B115" s="26" t="str">
        <x:v>DB-109</x:v>
      </x:c>
      <x:c r="C115" s="26" t="str">
        <x:v>walkdown</x:v>
      </x:c>
      <x:c r="D115" s="26" t="n">
        <x:v>2</x:v>
      </x:c>
      <x:c r="E115" s="26" t="str">
        <x:v>WALKDOWN-02</x:v>
      </x:c>
      <x:c r="F115" s="26" t="str"/>
      <x:c r="G115" s="26" t="str"/>
      <x:c r="H115" s="26" t="str"/>
      <x:c r="I115" s="26" t="str"/>
      <x:c r="J115" s="26" t="str">
        <x:f>IF(I115="","OPEN",IF(AND(E115=F115,G115="PASS",H115&lt;&gt;""),"PASS","FAIL"))</x:f>
        <x:v>OPEN</x:v>
      </x:c>
    </x:row>
    <x:row r="116">
      <x:c r="B116" s="26" t="str">
        <x:v>DB-110</x:v>
      </x:c>
      <x:c r="C116" s="26" t="str">
        <x:v>walkdown</x:v>
      </x:c>
      <x:c r="D116" s="26" t="n">
        <x:v>3</x:v>
      </x:c>
      <x:c r="E116" s="26" t="str">
        <x:v>WALKDOWN-03</x:v>
      </x:c>
      <x:c r="F116" s="26" t="str"/>
      <x:c r="G116" s="26" t="str"/>
      <x:c r="H116" s="26" t="str"/>
      <x:c r="I116" s="26" t="str"/>
      <x:c r="J116" s="26" t="str">
        <x:f>IF(I116="","OPEN",IF(AND(E116=F116,G116="PASS",H116&lt;&gt;""),"PASS","FAIL"))</x:f>
        <x:v>OPEN</x:v>
      </x:c>
    </x:row>
    <x:row r="117">
      <x:c r="B117" s="26" t="str">
        <x:v>DB-111</x:v>
      </x:c>
      <x:c r="C117" s="26" t="str">
        <x:v>walkdown</x:v>
      </x:c>
      <x:c r="D117" s="26" t="n">
        <x:v>4</x:v>
      </x:c>
      <x:c r="E117" s="26" t="str">
        <x:v>WALKDOWN-04</x:v>
      </x:c>
      <x:c r="F117" s="26" t="str"/>
      <x:c r="G117" s="26" t="str"/>
      <x:c r="H117" s="26" t="str"/>
      <x:c r="I117" s="26" t="str"/>
      <x:c r="J117" s="26" t="str">
        <x:f>IF(I117="","OPEN",IF(AND(E117=F117,G117="PASS",H117&lt;&gt;""),"PASS","FAIL"))</x:f>
        <x:v>OPEN</x:v>
      </x:c>
    </x:row>
    <x:row r="118">
      <x:c r="B118" s="26" t="str">
        <x:v>DB-112</x:v>
      </x:c>
      <x:c r="C118" s="26" t="str">
        <x:v>walkdown</x:v>
      </x:c>
      <x:c r="D118" s="26" t="n">
        <x:v>5</x:v>
      </x:c>
      <x:c r="E118" s="26" t="str">
        <x:v>WALKDOWN-05</x:v>
      </x:c>
      <x:c r="F118" s="26" t="str"/>
      <x:c r="G118" s="26" t="str"/>
      <x:c r="H118" s="26" t="str"/>
      <x:c r="I118" s="26" t="str"/>
      <x:c r="J118" s="26" t="str">
        <x:f>IF(I118="","OPEN",IF(AND(E118=F118,G118="PASS",H118&lt;&gt;""),"PASS","FAIL"))</x:f>
        <x:v>OPEN</x:v>
      </x:c>
    </x:row>
    <x:row r="119">
      <x:c r="B119" s="26" t="str">
        <x:v>DB-113</x:v>
      </x:c>
      <x:c r="C119" s="26" t="str">
        <x:v>walkdown</x:v>
      </x:c>
      <x:c r="D119" s="26" t="n">
        <x:v>6</x:v>
      </x:c>
      <x:c r="E119" s="26" t="str">
        <x:v>WALKDOWN-06</x:v>
      </x:c>
      <x:c r="F119" s="26" t="str"/>
      <x:c r="G119" s="26" t="str"/>
      <x:c r="H119" s="26" t="str"/>
      <x:c r="I119" s="26" t="str"/>
      <x:c r="J119" s="26" t="str">
        <x:f>IF(I119="","OPEN",IF(AND(E119=F119,G119="PASS",H119&lt;&gt;""),"PASS","FAIL"))</x:f>
        <x:v>OPEN</x:v>
      </x:c>
    </x:row>
    <x:row r="120">
      <x:c r="B120" s="26" t="str">
        <x:v>DB-114</x:v>
      </x:c>
      <x:c r="C120" s="26" t="str">
        <x:v>walkdown</x:v>
      </x:c>
      <x:c r="D120" s="26" t="n">
        <x:v>7</x:v>
      </x:c>
      <x:c r="E120" s="26" t="str">
        <x:v>WALKDOWN-07</x:v>
      </x:c>
      <x:c r="F120" s="26" t="str"/>
      <x:c r="G120" s="26" t="str"/>
      <x:c r="H120" s="26" t="str"/>
      <x:c r="I120" s="26" t="str"/>
      <x:c r="J120" s="26" t="str">
        <x:f>IF(I120="","OPEN",IF(AND(E120=F120,G120="PASS",H120&lt;&gt;""),"PASS","FAIL"))</x:f>
        <x:v>OPEN</x:v>
      </x:c>
    </x:row>
    <x:row r="121">
      <x:c r="B121" s="26" t="str">
        <x:v>DB-115</x:v>
      </x:c>
      <x:c r="C121" s="26" t="str">
        <x:v>walkdown</x:v>
      </x:c>
      <x:c r="D121" s="26" t="n">
        <x:v>8</x:v>
      </x:c>
      <x:c r="E121" s="26" t="str">
        <x:v>WALKDOWN-08</x:v>
      </x:c>
      <x:c r="F121" s="26" t="str"/>
      <x:c r="G121" s="26" t="str"/>
      <x:c r="H121" s="26" t="str"/>
      <x:c r="I121" s="26" t="str"/>
      <x:c r="J121" s="26" t="str">
        <x:f>IF(I121="","OPEN",IF(AND(E121=F121,G121="PASS",H121&lt;&gt;""),"PASS","FAIL"))</x:f>
        <x:v>OPEN</x:v>
      </x:c>
    </x:row>
    <x:row r="122">
      <x:c r="B122" s="26" t="str">
        <x:v>DB-116</x:v>
      </x:c>
      <x:c r="C122" s="26" t="str">
        <x:v>walkdown</x:v>
      </x:c>
      <x:c r="D122" s="26" t="n">
        <x:v>9</x:v>
      </x:c>
      <x:c r="E122" s="26" t="str">
        <x:v>WALKDOWN-09</x:v>
      </x:c>
      <x:c r="F122" s="26" t="str"/>
      <x:c r="G122" s="26" t="str"/>
      <x:c r="H122" s="26" t="str"/>
      <x:c r="I122" s="26" t="str"/>
      <x:c r="J122" s="26" t="str">
        <x:f>IF(I122="","OPEN",IF(AND(E122=F122,G122="PASS",H122&lt;&gt;""),"PASS","FAIL"))</x:f>
        <x:v>OPEN</x:v>
      </x:c>
    </x:row>
    <x:row r="123">
      <x:c r="B123" s="26" t="str">
        <x:v>DB-117</x:v>
      </x:c>
      <x:c r="C123" s="26" t="str">
        <x:v>walkdown</x:v>
      </x:c>
      <x:c r="D123" s="26" t="n">
        <x:v>10</x:v>
      </x:c>
      <x:c r="E123" s="26" t="str">
        <x:v>WALKDOWN-10</x:v>
      </x:c>
      <x:c r="F123" s="26" t="str"/>
      <x:c r="G123" s="26" t="str"/>
      <x:c r="H123" s="26" t="str"/>
      <x:c r="I123" s="26" t="str"/>
      <x:c r="J123" s="26" t="str">
        <x:f>IF(I123="","OPEN",IF(AND(E123=F123,G123="PASS",H123&lt;&gt;""),"PASS","FAIL"))</x:f>
        <x:v>OPEN</x:v>
      </x:c>
    </x:row>
    <x:row r="124">
      <x:c r="B124" s="26" t="str">
        <x:v>DB-118</x:v>
      </x:c>
      <x:c r="C124" s="26" t="str">
        <x:v>walkdown</x:v>
      </x:c>
      <x:c r="D124" s="26" t="n">
        <x:v>11</x:v>
      </x:c>
      <x:c r="E124" s="26" t="str">
        <x:v>WALKDOWN-11</x:v>
      </x:c>
      <x:c r="F124" s="26" t="str"/>
      <x:c r="G124" s="26" t="str"/>
      <x:c r="H124" s="26" t="str"/>
      <x:c r="I124" s="26" t="str"/>
      <x:c r="J124" s="26" t="str">
        <x:f>IF(I124="","OPEN",IF(AND(E124=F124,G124="PASS",H124&lt;&gt;""),"PASS","FAIL"))</x:f>
        <x:v>OPEN</x:v>
      </x:c>
    </x:row>
    <x:row r="125">
      <x:c r="B125" s="26" t="str">
        <x:v>DB-119</x:v>
      </x:c>
      <x:c r="C125" s="26" t="str">
        <x:v>walkdown</x:v>
      </x:c>
      <x:c r="D125" s="26" t="n">
        <x:v>12</x:v>
      </x:c>
      <x:c r="E125" s="26" t="str">
        <x:v>WALKDOWN-12</x:v>
      </x:c>
      <x:c r="F125" s="26" t="str"/>
      <x:c r="G125" s="26" t="str"/>
      <x:c r="H125" s="26" t="str"/>
      <x:c r="I125" s="26" t="str"/>
      <x:c r="J125" s="26" t="str">
        <x:f>IF(I125="","OPEN",IF(AND(E125=F125,G125="PASS",H125&lt;&gt;""),"PASS","FAIL"))</x:f>
        <x:v>OPEN</x:v>
      </x:c>
    </x:row>
    <x:row r="126">
      <x:c r="B126" s="26" t="str">
        <x:v>DB-120</x:v>
      </x:c>
      <x:c r="C126" s="26" t="str">
        <x:v>walkdown</x:v>
      </x:c>
      <x:c r="D126" s="26" t="n">
        <x:v>13</x:v>
      </x:c>
      <x:c r="E126" s="26" t="str">
        <x:v>WALKDOWN-13</x:v>
      </x:c>
      <x:c r="F126" s="26" t="str"/>
      <x:c r="G126" s="26" t="str"/>
      <x:c r="H126" s="26" t="str"/>
      <x:c r="I126" s="26" t="str"/>
      <x:c r="J126" s="26" t="str">
        <x:f>IF(I126="","OPEN",IF(AND(E126=F126,G126="PASS",H126&lt;&gt;""),"PASS","FAIL"))</x:f>
        <x:v>OPEN</x:v>
      </x:c>
    </x:row>
    <x:row r="127">
      <x:c r="B127" s="26" t="str">
        <x:v>DB-121</x:v>
      </x:c>
      <x:c r="C127" s="26" t="str">
        <x:v>walkdown</x:v>
      </x:c>
      <x:c r="D127" s="26" t="n">
        <x:v>14</x:v>
      </x:c>
      <x:c r="E127" s="26" t="str">
        <x:v>WALKDOWN-14</x:v>
      </x:c>
      <x:c r="F127" s="26" t="str"/>
      <x:c r="G127" s="26" t="str"/>
      <x:c r="H127" s="26" t="str"/>
      <x:c r="I127" s="26" t="str"/>
      <x:c r="J127" s="26" t="str">
        <x:f>IF(I127="","OPEN",IF(AND(E127=F127,G127="PASS",H127&lt;&gt;""),"PASS","FAIL"))</x:f>
        <x:v>OPEN</x:v>
      </x:c>
    </x:row>
    <x:row r="128">
      <x:c r="B128" s="26" t="str">
        <x:v>DB-122</x:v>
      </x:c>
      <x:c r="C128" s="26" t="str">
        <x:v>walkdown</x:v>
      </x:c>
      <x:c r="D128" s="26" t="n">
        <x:v>15</x:v>
      </x:c>
      <x:c r="E128" s="26" t="str">
        <x:v>WALKDOWN-15</x:v>
      </x:c>
      <x:c r="F128" s="26" t="str"/>
      <x:c r="G128" s="26" t="str"/>
      <x:c r="H128" s="26" t="str"/>
      <x:c r="I128" s="26" t="str"/>
      <x:c r="J128" s="26" t="str">
        <x:f>IF(I128="","OPEN",IF(AND(E128=F128,G128="PASS",H128&lt;&gt;""),"PASS","FAIL"))</x:f>
        <x:v>OPEN</x:v>
      </x:c>
    </x:row>
    <x:row r="129">
      <x:c r="B129" s="26" t="str">
        <x:v>DB-123</x:v>
      </x:c>
      <x:c r="C129" s="26" t="str">
        <x:v>walkdown</x:v>
      </x:c>
      <x:c r="D129" s="26" t="n">
        <x:v>16</x:v>
      </x:c>
      <x:c r="E129" s="26" t="str">
        <x:v>WALKDOWN-16</x:v>
      </x:c>
      <x:c r="F129" s="26" t="str"/>
      <x:c r="G129" s="26" t="str"/>
      <x:c r="H129" s="26" t="str"/>
      <x:c r="I129" s="26" t="str"/>
      <x:c r="J129" s="26" t="str">
        <x:f>IF(I129="","OPEN",IF(AND(E129=F129,G129="PASS",H129&lt;&gt;""),"PASS","FAIL"))</x:f>
        <x:v>OPEN</x:v>
      </x:c>
    </x:row>
    <x:row r="130">
      <x:c r="B130" s="26" t="str">
        <x:v>DB-124</x:v>
      </x:c>
      <x:c r="C130" s="26" t="str">
        <x:v>walkdown</x:v>
      </x:c>
      <x:c r="D130" s="26" t="n">
        <x:v>17</x:v>
      </x:c>
      <x:c r="E130" s="26" t="str">
        <x:v>WALKDOWN-17</x:v>
      </x:c>
      <x:c r="F130" s="26" t="str"/>
      <x:c r="G130" s="26" t="str"/>
      <x:c r="H130" s="26" t="str"/>
      <x:c r="I130" s="26" t="str"/>
      <x:c r="J130" s="26" t="str">
        <x:f>IF(I130="","OPEN",IF(AND(E130=F130,G130="PASS",H130&lt;&gt;""),"PASS","FAIL"))</x:f>
        <x:v>OPEN</x:v>
      </x:c>
    </x:row>
    <x:row r="131">
      <x:c r="B131" s="26" t="str">
        <x:v>DB-125</x:v>
      </x:c>
      <x:c r="C131" s="26" t="str">
        <x:v>walkdown</x:v>
      </x:c>
      <x:c r="D131" s="26" t="n">
        <x:v>18</x:v>
      </x:c>
      <x:c r="E131" s="26" t="str">
        <x:v>WALKDOWN-18</x:v>
      </x:c>
      <x:c r="F131" s="26" t="str"/>
      <x:c r="G131" s="26" t="str"/>
      <x:c r="H131" s="26" t="str"/>
      <x:c r="I131" s="26" t="str"/>
      <x:c r="J131" s="26" t="str">
        <x:f>IF(I131="","OPEN",IF(AND(E131=F131,G131="PASS",H131&lt;&gt;""),"PASS","FAIL"))</x:f>
        <x:v>OPEN</x:v>
      </x:c>
    </x:row>
    <x:row r="132">
      <x:c r="B132" s="26" t="str">
        <x:v>DB-126</x:v>
      </x:c>
      <x:c r="C132" s="26" t="str">
        <x:v>walkdown</x:v>
      </x:c>
      <x:c r="D132" s="26" t="n">
        <x:v>19</x:v>
      </x:c>
      <x:c r="E132" s="26" t="str">
        <x:v>WALKDOWN-19</x:v>
      </x:c>
      <x:c r="F132" s="26" t="str"/>
      <x:c r="G132" s="26" t="str"/>
      <x:c r="H132" s="26" t="str"/>
      <x:c r="I132" s="26" t="str"/>
      <x:c r="J132" s="26" t="str">
        <x:f>IF(I132="","OPEN",IF(AND(E132=F132,G132="PASS",H132&lt;&gt;""),"PASS","FAIL"))</x:f>
        <x:v>OPEN</x:v>
      </x:c>
    </x:row>
    <x:row r="133">
      <x:c r="B133" s="26" t="str">
        <x:v>DB-127</x:v>
      </x:c>
      <x:c r="C133" s="26" t="str">
        <x:v>walkdown</x:v>
      </x:c>
      <x:c r="D133" s="26" t="n">
        <x:v>20</x:v>
      </x:c>
      <x:c r="E133" s="26" t="str">
        <x:v>WALKDOWN-20</x:v>
      </x:c>
      <x:c r="F133" s="26" t="str"/>
      <x:c r="G133" s="26" t="str"/>
      <x:c r="H133" s="26" t="str"/>
      <x:c r="I133" s="26" t="str"/>
      <x:c r="J133" s="26" t="str">
        <x:f>IF(I133="","OPEN",IF(AND(E133=F133,G133="PASS",H133&lt;&gt;""),"PASS","FAIL"))</x:f>
        <x:v>OPEN</x:v>
      </x:c>
    </x:row>
    <x:row r="134">
      <x:c r="B134" s="26" t="str">
        <x:v>DB-128</x:v>
      </x:c>
      <x:c r="C134" s="26" t="str">
        <x:v>walkdown</x:v>
      </x:c>
      <x:c r="D134" s="26" t="n">
        <x:v>21</x:v>
      </x:c>
      <x:c r="E134" s="26" t="str">
        <x:v>WALKDOWN-21</x:v>
      </x:c>
      <x:c r="F134" s="26" t="str"/>
      <x:c r="G134" s="26" t="str"/>
      <x:c r="H134" s="26" t="str"/>
      <x:c r="I134" s="26" t="str"/>
      <x:c r="J134" s="26" t="str">
        <x:f>IF(I134="","OPEN",IF(AND(E134=F134,G134="PASS",H134&lt;&gt;""),"PASS","FAIL"))</x:f>
        <x:v>OPEN</x:v>
      </x:c>
    </x:row>
    <x:row r="135">
      <x:c r="B135" s="26" t="str">
        <x:v>DB-129</x:v>
      </x:c>
      <x:c r="C135" s="26" t="str">
        <x:v>walkdown</x:v>
      </x:c>
      <x:c r="D135" s="26" t="n">
        <x:v>22</x:v>
      </x:c>
      <x:c r="E135" s="26" t="str">
        <x:v>WALKDOWN-22</x:v>
      </x:c>
      <x:c r="F135" s="26" t="str"/>
      <x:c r="G135" s="26" t="str"/>
      <x:c r="H135" s="26" t="str"/>
      <x:c r="I135" s="26" t="str"/>
      <x:c r="J135" s="26" t="str">
        <x:f>IF(I135="","OPEN",IF(AND(E135=F135,G135="PASS",H135&lt;&gt;""),"PASS","FAIL"))</x:f>
        <x:v>OPEN</x:v>
      </x:c>
    </x:row>
    <x:row r="136">
      <x:c r="B136" s="26" t="str">
        <x:v>DB-130</x:v>
      </x:c>
      <x:c r="C136" s="26" t="str">
        <x:v>walkdown</x:v>
      </x:c>
      <x:c r="D136" s="26" t="n">
        <x:v>23</x:v>
      </x:c>
      <x:c r="E136" s="26" t="str">
        <x:v>WALKDOWN-23</x:v>
      </x:c>
      <x:c r="F136" s="26" t="str"/>
      <x:c r="G136" s="26" t="str"/>
      <x:c r="H136" s="26" t="str"/>
      <x:c r="I136" s="26" t="str"/>
      <x:c r="J136" s="26" t="str">
        <x:f>IF(I136="","OPEN",IF(AND(E136=F136,G136="PASS",H136&lt;&gt;""),"PASS","FAIL"))</x:f>
        <x:v>OPEN</x:v>
      </x:c>
    </x:row>
    <x:row r="137">
      <x:c r="B137" s="26" t="str">
        <x:v>DB-131</x:v>
      </x:c>
      <x:c r="C137" s="26" t="str">
        <x:v>walkdown</x:v>
      </x:c>
      <x:c r="D137" s="26" t="n">
        <x:v>24</x:v>
      </x:c>
      <x:c r="E137" s="26" t="str">
        <x:v>WALKDOWN-24</x:v>
      </x:c>
      <x:c r="F137" s="26" t="str"/>
      <x:c r="G137" s="26" t="str"/>
      <x:c r="H137" s="26" t="str"/>
      <x:c r="I137" s="26" t="str"/>
      <x:c r="J137" s="26" t="str">
        <x:f>IF(I137="","OPEN",IF(AND(E137=F137,G137="PASS",H137&lt;&gt;""),"PASS","FAIL"))</x:f>
        <x:v>OPEN</x:v>
      </x:c>
    </x:row>
    <x:row r="138">
      <x:c r="B138" s="26" t="str">
        <x:v>DB-132</x:v>
      </x:c>
      <x:c r="C138" s="26" t="str">
        <x:v>walkdown</x:v>
      </x:c>
      <x:c r="D138" s="26" t="n">
        <x:v>25</x:v>
      </x:c>
      <x:c r="E138" s="26" t="str">
        <x:v>WALKDOWN-25</x:v>
      </x:c>
      <x:c r="F138" s="26" t="str"/>
      <x:c r="G138" s="26" t="str"/>
      <x:c r="H138" s="26" t="str"/>
      <x:c r="I138" s="26" t="str"/>
      <x:c r="J138" s="26" t="str">
        <x:f>IF(I138="","OPEN",IF(AND(E138=F138,G138="PASS",H138&lt;&gt;""),"PASS","FAIL"))</x:f>
        <x:v>OPEN</x:v>
      </x:c>
    </x:row>
    <x:row r="139">
      <x:c r="B139" s="26" t="str">
        <x:v>DB-133</x:v>
      </x:c>
      <x:c r="C139" s="26" t="str">
        <x:v>walkdown</x:v>
      </x:c>
      <x:c r="D139" s="26" t="n">
        <x:v>26</x:v>
      </x:c>
      <x:c r="E139" s="26" t="str">
        <x:v>WALKDOWN-26</x:v>
      </x:c>
      <x:c r="F139" s="26" t="str"/>
      <x:c r="G139" s="26" t="str"/>
      <x:c r="H139" s="26" t="str"/>
      <x:c r="I139" s="26" t="str"/>
      <x:c r="J139" s="26" t="str">
        <x:f>IF(I139="","OPEN",IF(AND(E139=F139,G139="PASS",H139&lt;&gt;""),"PASS","FAIL"))</x:f>
        <x:v>OPEN</x:v>
      </x:c>
    </x:row>
    <x:row r="140">
      <x:c r="B140" s="26" t="str">
        <x:v>DB-134</x:v>
      </x:c>
      <x:c r="C140" s="26" t="str">
        <x:v>walkdown</x:v>
      </x:c>
      <x:c r="D140" s="26" t="n">
        <x:v>27</x:v>
      </x:c>
      <x:c r="E140" s="26" t="str">
        <x:v>WALKDOWN-27</x:v>
      </x:c>
      <x:c r="F140" s="26" t="str"/>
      <x:c r="G140" s="26" t="str"/>
      <x:c r="H140" s="26" t="str"/>
      <x:c r="I140" s="26" t="str"/>
      <x:c r="J140" s="26" t="str">
        <x:f>IF(I140="","OPEN",IF(AND(E140=F140,G140="PASS",H140&lt;&gt;""),"PASS","FAIL"))</x:f>
        <x:v>OPEN</x:v>
      </x:c>
    </x:row>
    <x:row r="141">
      <x:c r="B141" s="26" t="str">
        <x:v>DB-135</x:v>
      </x:c>
      <x:c r="C141" s="26" t="str">
        <x:v>walkdown</x:v>
      </x:c>
      <x:c r="D141" s="26" t="n">
        <x:v>28</x:v>
      </x:c>
      <x:c r="E141" s="26" t="str">
        <x:v>WALKDOWN-28</x:v>
      </x:c>
      <x:c r="F141" s="26" t="str"/>
      <x:c r="G141" s="26" t="str"/>
      <x:c r="H141" s="26" t="str"/>
      <x:c r="I141" s="26" t="str"/>
      <x:c r="J141" s="26" t="str">
        <x:f>IF(I141="","OPEN",IF(AND(E141=F141,G141="PASS",H141&lt;&gt;""),"PASS","FAIL"))</x:f>
        <x:v>OPEN</x:v>
      </x:c>
    </x:row>
    <x:row r="142">
      <x:c r="B142" s="26" t="str">
        <x:v>DB-136</x:v>
      </x:c>
      <x:c r="C142" s="26" t="str">
        <x:v>walkdown</x:v>
      </x:c>
      <x:c r="D142" s="26" t="n">
        <x:v>29</x:v>
      </x:c>
      <x:c r="E142" s="26" t="str">
        <x:v>WALKDOWN-29</x:v>
      </x:c>
      <x:c r="F142" s="26" t="str"/>
      <x:c r="G142" s="26" t="str"/>
      <x:c r="H142" s="26" t="str"/>
      <x:c r="I142" s="26" t="str"/>
      <x:c r="J142" s="26" t="str">
        <x:f>IF(I142="","OPEN",IF(AND(E142=F142,G142="PASS",H142&lt;&gt;""),"PASS","FAIL"))</x:f>
        <x:v>OPEN</x:v>
      </x:c>
    </x:row>
    <x:row r="143">
      <x:c r="B143" s="26" t="str">
        <x:v>DB-137</x:v>
      </x:c>
      <x:c r="C143" s="26" t="str">
        <x:v>walkdown</x:v>
      </x:c>
      <x:c r="D143" s="26" t="n">
        <x:v>30</x:v>
      </x:c>
      <x:c r="E143" s="26" t="str">
        <x:v>WALKDOWN-30</x:v>
      </x:c>
      <x:c r="F143" s="26" t="str"/>
      <x:c r="G143" s="26" t="str"/>
      <x:c r="H143" s="26" t="str"/>
      <x:c r="I143" s="26" t="str"/>
      <x:c r="J143" s="26" t="str">
        <x:f>IF(I143="","OPEN",IF(AND(E143=F143,G143="PASS",H143&lt;&gt;""),"PASS","FAIL"))</x:f>
        <x:v>OPEN</x:v>
      </x:c>
    </x:row>
    <x:row r="144">
      <x:c r="B144" s="26" t="str">
        <x:v>DB-138</x:v>
      </x:c>
      <x:c r="C144" s="26" t="str">
        <x:v>walkdown</x:v>
      </x:c>
      <x:c r="D144" s="26" t="n">
        <x:v>31</x:v>
      </x:c>
      <x:c r="E144" s="26" t="str">
        <x:v>WALKDOWN-31</x:v>
      </x:c>
      <x:c r="F144" s="26" t="str"/>
      <x:c r="G144" s="26" t="str"/>
      <x:c r="H144" s="26" t="str"/>
      <x:c r="I144" s="26" t="str"/>
      <x:c r="J144" s="26" t="str">
        <x:f>IF(I144="","OPEN",IF(AND(E144=F144,G144="PASS",H144&lt;&gt;""),"PASS","FAIL"))</x:f>
        <x:v>OPEN</x:v>
      </x:c>
    </x:row>
    <x:row r="145">
      <x:c r="B145" s="26" t="str">
        <x:v>DB-139</x:v>
      </x:c>
      <x:c r="C145" s="26" t="str">
        <x:v>walkdown</x:v>
      </x:c>
      <x:c r="D145" s="26" t="n">
        <x:v>32</x:v>
      </x:c>
      <x:c r="E145" s="26" t="str">
        <x:v>WALKDOWN-32</x:v>
      </x:c>
      <x:c r="F145" s="26" t="str"/>
      <x:c r="G145" s="26" t="str"/>
      <x:c r="H145" s="26" t="str"/>
      <x:c r="I145" s="26" t="str"/>
      <x:c r="J145" s="26" t="str">
        <x:f>IF(I145="","OPEN",IF(AND(E145=F145,G145="PASS",H145&lt;&gt;""),"PASS","FAIL"))</x:f>
        <x:v>OPEN</x:v>
      </x:c>
    </x:row>
    <x:row r="146">
      <x:c r="B146" s="26" t="str">
        <x:v>DB-140</x:v>
      </x:c>
      <x:c r="C146" s="26" t="str">
        <x:v>neighbor proof</x:v>
      </x:c>
      <x:c r="D146" s="26" t="n">
        <x:v>1</x:v>
      </x:c>
      <x:c r="E146" s="26" t="str">
        <x:v>NEIGHBOR-PROOF-01</x:v>
      </x:c>
      <x:c r="F146" s="26" t="str"/>
      <x:c r="G146" s="26" t="str"/>
      <x:c r="H146" s="26" t="str"/>
      <x:c r="I146" s="26" t="str"/>
      <x:c r="J146" s="26" t="str">
        <x:f>IF(I146="","OPEN",IF(AND(E146=F146,G146="PASS",H146&lt;&gt;""),"PASS","FAIL"))</x:f>
        <x:v>OPEN</x:v>
      </x:c>
    </x:row>
    <x:row r="147">
      <x:c r="B147" s="26" t="str">
        <x:v>DB-141</x:v>
      </x:c>
      <x:c r="C147" s="26" t="str">
        <x:v>neighbor proof</x:v>
      </x:c>
      <x:c r="D147" s="26" t="n">
        <x:v>2</x:v>
      </x:c>
      <x:c r="E147" s="26" t="str">
        <x:v>NEIGHBOR-PROOF-02</x:v>
      </x:c>
      <x:c r="F147" s="26" t="str"/>
      <x:c r="G147" s="26" t="str"/>
      <x:c r="H147" s="26" t="str"/>
      <x:c r="I147" s="26" t="str"/>
      <x:c r="J147" s="26" t="str">
        <x:f>IF(I147="","OPEN",IF(AND(E147=F147,G147="PASS",H147&lt;&gt;""),"PASS","FAIL"))</x:f>
        <x:v>OPEN</x:v>
      </x:c>
    </x:row>
    <x:row r="148">
      <x:c r="B148" s="26" t="str">
        <x:v>DB-142</x:v>
      </x:c>
      <x:c r="C148" s="26" t="str">
        <x:v>neighbor proof</x:v>
      </x:c>
      <x:c r="D148" s="26" t="n">
        <x:v>3</x:v>
      </x:c>
      <x:c r="E148" s="26" t="str">
        <x:v>NEIGHBOR-PROOF-03</x:v>
      </x:c>
      <x:c r="F148" s="26" t="str"/>
      <x:c r="G148" s="26" t="str"/>
      <x:c r="H148" s="26" t="str"/>
      <x:c r="I148" s="26" t="str"/>
      <x:c r="J148" s="26" t="str">
        <x:f>IF(I148="","OPEN",IF(AND(E148=F148,G148="PASS",H148&lt;&gt;""),"PASS","FAIL"))</x:f>
        <x:v>OPEN</x:v>
      </x:c>
    </x:row>
    <x:row r="149">
      <x:c r="B149" s="26" t="str">
        <x:v>DB-143</x:v>
      </x:c>
      <x:c r="C149" s="26" t="str">
        <x:v>event hold</x:v>
      </x:c>
      <x:c r="D149" s="26" t="n">
        <x:v>1</x:v>
      </x:c>
      <x:c r="E149" s="26" t="str">
        <x:v>EVENT-HOLD-01</x:v>
      </x:c>
      <x:c r="F149" s="26" t="str"/>
      <x:c r="G149" s="26" t="str"/>
      <x:c r="H149" s="26" t="str"/>
      <x:c r="I149" s="26" t="str"/>
      <x:c r="J149" s="26" t="str">
        <x:f>IF(I149="","OPEN",IF(AND(E149=F149,G149="PASS",H149&lt;&gt;""),"PASS","FAIL"))</x:f>
        <x:v>OPEN</x:v>
      </x:c>
    </x:row>
    <x:row r="150">
      <x:c r="B150" s="26" t="str">
        <x:v>DB-144</x:v>
      </x:c>
      <x:c r="C150" s="26" t="str">
        <x:v>event hold</x:v>
      </x:c>
      <x:c r="D150" s="26" t="n">
        <x:v>2</x:v>
      </x:c>
      <x:c r="E150" s="26" t="str">
        <x:v>EVENT-HOLD-02</x:v>
      </x:c>
      <x:c r="F150" s="26" t="str"/>
      <x:c r="G150" s="26" t="str"/>
      <x:c r="H150" s="26" t="str"/>
      <x:c r="I150" s="26" t="str"/>
      <x:c r="J150" s="26" t="str">
        <x:f>IF(I150="","OPEN",IF(AND(E150=F150,G150="PASS",H150&lt;&gt;""),"PASS","FAIL"))</x:f>
        <x:v>OPEN</x:v>
      </x:c>
    </x:row>
    <x:row r="151">
      <x:c r="B151" s="26" t="str">
        <x:v>DB-145</x:v>
      </x:c>
      <x:c r="C151" s="26" t="str">
        <x:v>event hold</x:v>
      </x:c>
      <x:c r="D151" s="26" t="n">
        <x:v>3</x:v>
      </x:c>
      <x:c r="E151" s="26" t="str">
        <x:v>EVENT-HOLD-03</x:v>
      </x:c>
      <x:c r="F151" s="26" t="str"/>
      <x:c r="G151" s="26" t="str"/>
      <x:c r="H151" s="26" t="str"/>
      <x:c r="I151" s="26" t="str"/>
      <x:c r="J151" s="26" t="str">
        <x:f>IF(I151="","OPEN",IF(AND(E151=F151,G151="PASS",H151&lt;&gt;""),"PASS","FAIL"))</x:f>
        <x:v>OPEN</x:v>
      </x:c>
    </x:row>
    <x:row r="152">
      <x:c r="B152" s="26" t="str">
        <x:v>DB-146</x:v>
      </x:c>
      <x:c r="C152" s="26" t="str">
        <x:v>event hold</x:v>
      </x:c>
      <x:c r="D152" s="26" t="n">
        <x:v>4</x:v>
      </x:c>
      <x:c r="E152" s="26" t="str">
        <x:v>EVENT-HOLD-04</x:v>
      </x:c>
      <x:c r="F152" s="26" t="str"/>
      <x:c r="G152" s="26" t="str"/>
      <x:c r="H152" s="26" t="str"/>
      <x:c r="I152" s="26" t="str"/>
      <x:c r="J152" s="26" t="str">
        <x:f>IF(I152="","OPEN",IF(AND(E152=F152,G152="PASS",H152&lt;&gt;""),"PASS","FAIL"))</x:f>
        <x:v>OPEN</x:v>
      </x:c>
    </x:row>
    <x:row r="153">
      <x:c r="B153" s="26" t="str">
        <x:v>DB-147</x:v>
      </x:c>
      <x:c r="C153" s="26" t="str">
        <x:v>event hold</x:v>
      </x:c>
      <x:c r="D153" s="26" t="n">
        <x:v>5</x:v>
      </x:c>
      <x:c r="E153" s="26" t="str">
        <x:v>EVENT-HOLD-05</x:v>
      </x:c>
      <x:c r="F153" s="26" t="str"/>
      <x:c r="G153" s="26" t="str"/>
      <x:c r="H153" s="26" t="str"/>
      <x:c r="I153" s="26" t="str"/>
      <x:c r="J153" s="26" t="str">
        <x:f>IF(I153="","OPEN",IF(AND(E153=F153,G153="PASS",H153&lt;&gt;""),"PASS","FAIL"))</x:f>
        <x:v>OPEN</x:v>
      </x:c>
    </x:row>
    <x:row r="154">
      <x:c r="B154" s="26" t="str">
        <x:v>DB-148</x:v>
      </x:c>
      <x:c r="C154" s="26" t="str">
        <x:v>event hold</x:v>
      </x:c>
      <x:c r="D154" s="26" t="n">
        <x:v>6</x:v>
      </x:c>
      <x:c r="E154" s="26" t="str">
        <x:v>EVENT-HOLD-06</x:v>
      </x:c>
      <x:c r="F154" s="26" t="str"/>
      <x:c r="G154" s="26" t="str"/>
      <x:c r="H154" s="26" t="str"/>
      <x:c r="I154" s="26" t="str"/>
      <x:c r="J154" s="26" t="str">
        <x:f>IF(I154="","OPEN",IF(AND(E154=F154,G154="PASS",H154&lt;&gt;""),"PASS","FAIL"))</x:f>
        <x:v>OPEN</x:v>
      </x:c>
    </x:row>
    <x:row r="155">
      <x:c r="B155" s="26" t="str">
        <x:v>DB-149</x:v>
      </x:c>
      <x:c r="C155" s="26" t="str">
        <x:v>event hold</x:v>
      </x:c>
      <x:c r="D155" s="26" t="n">
        <x:v>7</x:v>
      </x:c>
      <x:c r="E155" s="26" t="str">
        <x:v>EVENT-HOLD-07</x:v>
      </x:c>
      <x:c r="F155" s="26" t="str"/>
      <x:c r="G155" s="26" t="str"/>
      <x:c r="H155" s="26" t="str"/>
      <x:c r="I155" s="26" t="str"/>
      <x:c r="J155" s="26" t="str">
        <x:f>IF(I155="","OPEN",IF(AND(E155=F155,G155="PASS",H155&lt;&gt;""),"PASS","FAIL"))</x:f>
        <x:v>OPEN</x:v>
      </x:c>
    </x:row>
    <x:row r="156">
      <x:c r="B156" s="26" t="str">
        <x:v>DB-150</x:v>
      </x:c>
      <x:c r="C156" s="26" t="str">
        <x:v>event hold</x:v>
      </x:c>
      <x:c r="D156" s="26" t="n">
        <x:v>8</x:v>
      </x:c>
      <x:c r="E156" s="26" t="str">
        <x:v>EVENT-HOLD-08</x:v>
      </x:c>
      <x:c r="F156" s="26" t="str"/>
      <x:c r="G156" s="26" t="str"/>
      <x:c r="H156" s="26" t="str"/>
      <x:c r="I156" s="26" t="str"/>
      <x:c r="J156" s="26" t="str">
        <x:f>IF(I156="","OPEN",IF(AND(E156=F156,G156="PASS",H156&lt;&gt;""),"PASS","FAIL"))</x:f>
        <x:v>OPEN</x:v>
      </x:c>
    </x:row>
    <x:row r="157">
      <x:c r="B157" s="26" t="str">
        <x:v>DB-151</x:v>
      </x:c>
      <x:c r="C157" s="26" t="str">
        <x:v>event hold</x:v>
      </x:c>
      <x:c r="D157" s="26" t="n">
        <x:v>9</x:v>
      </x:c>
      <x:c r="E157" s="26" t="str">
        <x:v>EVENT-HOLD-09</x:v>
      </x:c>
      <x:c r="F157" s="26" t="str"/>
      <x:c r="G157" s="26" t="str"/>
      <x:c r="H157" s="26" t="str"/>
      <x:c r="I157" s="26" t="str"/>
      <x:c r="J157" s="26" t="str">
        <x:f>IF(I157="","OPEN",IF(AND(E157=F157,G157="PASS",H157&lt;&gt;""),"PASS","FAIL"))</x:f>
        <x:v>OPEN</x:v>
      </x:c>
    </x:row>
    <x:row r="158">
      <x:c r="B158" s="26" t="str">
        <x:v>DB-152</x:v>
      </x:c>
      <x:c r="C158" s="26" t="str">
        <x:v>event hold</x:v>
      </x:c>
      <x:c r="D158" s="26" t="n">
        <x:v>10</x:v>
      </x:c>
      <x:c r="E158" s="26" t="str">
        <x:v>EVENT-HOLD-10</x:v>
      </x:c>
      <x:c r="F158" s="26" t="str"/>
      <x:c r="G158" s="26" t="str"/>
      <x:c r="H158" s="26" t="str"/>
      <x:c r="I158" s="26" t="str"/>
      <x:c r="J158" s="26" t="str">
        <x:f>IF(I158="","OPEN",IF(AND(E158=F158,G158="PASS",H158&lt;&gt;""),"PASS","FAIL"))</x:f>
        <x:v>OPEN</x:v>
      </x:c>
    </x:row>
    <x:row r="159">
      <x:c r="B159" s="26" t="str">
        <x:v>DB-153</x:v>
      </x:c>
      <x:c r="C159" s="26" t="str">
        <x:v>event hold</x:v>
      </x:c>
      <x:c r="D159" s="26" t="n">
        <x:v>11</x:v>
      </x:c>
      <x:c r="E159" s="26" t="str">
        <x:v>EVENT-HOLD-11</x:v>
      </x:c>
      <x:c r="F159" s="26" t="str"/>
      <x:c r="G159" s="26" t="str"/>
      <x:c r="H159" s="26" t="str"/>
      <x:c r="I159" s="26" t="str"/>
      <x:c r="J159" s="26" t="str">
        <x:f>IF(I159="","OPEN",IF(AND(E159=F159,G159="PASS",H159&lt;&gt;""),"PASS","FAIL"))</x:f>
        <x:v>OPEN</x:v>
      </x:c>
    </x:row>
    <x:row r="160">
      <x:c r="B160" s="26" t="str">
        <x:v>DB-154</x:v>
      </x:c>
      <x:c r="C160" s="26" t="str">
        <x:v>event hold</x:v>
      </x:c>
      <x:c r="D160" s="26" t="n">
        <x:v>12</x:v>
      </x:c>
      <x:c r="E160" s="26" t="str">
        <x:v>EVENT-HOLD-12</x:v>
      </x:c>
      <x:c r="F160" s="26" t="str"/>
      <x:c r="G160" s="26" t="str"/>
      <x:c r="H160" s="26" t="str"/>
      <x:c r="I160" s="26" t="str"/>
      <x:c r="J160" s="26" t="str">
        <x:f>IF(I160="","OPEN",IF(AND(E160=F160,G160="PASS",H160&lt;&gt;""),"PASS","FAIL"))</x:f>
        <x:v>OPEN</x:v>
      </x:c>
    </x:row>
    <x:row r="161">
      <x:c r="B161" s="26" t="str">
        <x:v>DB-155</x:v>
      </x:c>
      <x:c r="C161" s="26" t="str">
        <x:v>event hold</x:v>
      </x:c>
      <x:c r="D161" s="26" t="n">
        <x:v>13</x:v>
      </x:c>
      <x:c r="E161" s="26" t="str">
        <x:v>EVENT-HOLD-13</x:v>
      </x:c>
      <x:c r="F161" s="26" t="str"/>
      <x:c r="G161" s="26" t="str"/>
      <x:c r="H161" s="26" t="str"/>
      <x:c r="I161" s="26" t="str"/>
      <x:c r="J161" s="26" t="str">
        <x:f>IF(I161="","OPEN",IF(AND(E161=F161,G161="PASS",H161&lt;&gt;""),"PASS","FAIL"))</x:f>
        <x:v>OPEN</x:v>
      </x:c>
    </x:row>
    <x:row r="162">
      <x:c r="B162" s="26" t="str">
        <x:v>DB-156</x:v>
      </x:c>
      <x:c r="C162" s="26" t="str">
        <x:v>event hold</x:v>
      </x:c>
      <x:c r="D162" s="26" t="n">
        <x:v>14</x:v>
      </x:c>
      <x:c r="E162" s="26" t="str">
        <x:v>EVENT-HOLD-14</x:v>
      </x:c>
      <x:c r="F162" s="26" t="str"/>
      <x:c r="G162" s="26" t="str"/>
      <x:c r="H162" s="26" t="str"/>
      <x:c r="I162" s="26" t="str"/>
      <x:c r="J162" s="26" t="str">
        <x:f>IF(I162="","OPEN",IF(AND(E162=F162,G162="PASS",H162&lt;&gt;""),"PASS","FAIL"))</x:f>
        <x:v>OPEN</x:v>
      </x:c>
    </x:row>
    <x:row r="163">
      <x:c r="B163" s="26" t="str">
        <x:v>DB-157</x:v>
      </x:c>
      <x:c r="C163" s="26" t="str">
        <x:v>event hold</x:v>
      </x:c>
      <x:c r="D163" s="26" t="n">
        <x:v>15</x:v>
      </x:c>
      <x:c r="E163" s="26" t="str">
        <x:v>EVENT-HOLD-15</x:v>
      </x:c>
      <x:c r="F163" s="26" t="str"/>
      <x:c r="G163" s="26" t="str"/>
      <x:c r="H163" s="26" t="str"/>
      <x:c r="I163" s="26" t="str"/>
      <x:c r="J163" s="26" t="str">
        <x:f>IF(I163="","OPEN",IF(AND(E163=F163,G163="PASS",H163&lt;&gt;""),"PASS","FAIL"))</x:f>
        <x:v>OPEN</x:v>
      </x:c>
    </x:row>
    <x:row r="164">
      <x:c r="B164" s="26" t="str">
        <x:v>DB-158</x:v>
      </x:c>
      <x:c r="C164" s="26" t="str">
        <x:v>event hold</x:v>
      </x:c>
      <x:c r="D164" s="26" t="n">
        <x:v>16</x:v>
      </x:c>
      <x:c r="E164" s="26" t="str">
        <x:v>EVENT-HOLD-16</x:v>
      </x:c>
      <x:c r="F164" s="26" t="str"/>
      <x:c r="G164" s="26" t="str"/>
      <x:c r="H164" s="26" t="str"/>
      <x:c r="I164" s="26" t="str"/>
      <x:c r="J164" s="26" t="str">
        <x:f>IF(I164="","OPEN",IF(AND(E164=F164,G164="PASS",H164&lt;&gt;""),"PASS","FAIL"))</x:f>
        <x:v>OPEN</x:v>
      </x:c>
    </x:row>
    <x:row r="165">
      <x:c r="B165" s="26" t="str">
        <x:v>DB-159</x:v>
      </x:c>
      <x:c r="C165" s="26" t="str">
        <x:v>event hold</x:v>
      </x:c>
      <x:c r="D165" s="26" t="n">
        <x:v>17</x:v>
      </x:c>
      <x:c r="E165" s="26" t="str">
        <x:v>EVENT-HOLD-17</x:v>
      </x:c>
      <x:c r="F165" s="26" t="str"/>
      <x:c r="G165" s="26" t="str"/>
      <x:c r="H165" s="26" t="str"/>
      <x:c r="I165" s="26" t="str"/>
      <x:c r="J165" s="26" t="str">
        <x:f>IF(I165="","OPEN",IF(AND(E165=F165,G165="PASS",H165&lt;&gt;""),"PASS","FAIL"))</x:f>
        <x:v>OPEN</x:v>
      </x:c>
    </x:row>
    <x:row r="166">
      <x:c r="B166" s="26" t="str">
        <x:v>DB-160</x:v>
      </x:c>
      <x:c r="C166" s="26" t="str">
        <x:v>event hold</x:v>
      </x:c>
      <x:c r="D166" s="26" t="n">
        <x:v>18</x:v>
      </x:c>
      <x:c r="E166" s="26" t="str">
        <x:v>EVENT-HOLD-18</x:v>
      </x:c>
      <x:c r="F166" s="26" t="str"/>
      <x:c r="G166" s="26" t="str"/>
      <x:c r="H166" s="26" t="str"/>
      <x:c r="I166" s="26" t="str"/>
      <x:c r="J166" s="26" t="str">
        <x:f>IF(I166="","OPEN",IF(AND(E166=F166,G166="PASS",H166&lt;&gt;""),"PASS","FAIL"))</x:f>
        <x:v>OPEN</x:v>
      </x:c>
    </x:row>
    <x:row r="167">
      <x:c r="B167" s="26" t="str">
        <x:v>DB-161</x:v>
      </x:c>
      <x:c r="C167" s="26" t="str">
        <x:v>event hold</x:v>
      </x:c>
      <x:c r="D167" s="26" t="n">
        <x:v>19</x:v>
      </x:c>
      <x:c r="E167" s="26" t="str">
        <x:v>EVENT-HOLD-19</x:v>
      </x:c>
      <x:c r="F167" s="26" t="str"/>
      <x:c r="G167" s="26" t="str"/>
      <x:c r="H167" s="26" t="str"/>
      <x:c r="I167" s="26" t="str"/>
      <x:c r="J167" s="26" t="str">
        <x:f>IF(I167="","OPEN",IF(AND(E167=F167,G167="PASS",H167&lt;&gt;""),"PASS","FAIL"))</x:f>
        <x:v>OPEN</x:v>
      </x:c>
    </x:row>
    <x:row r="168">
      <x:c r="B168" s="26" t="str">
        <x:v>DB-162</x:v>
      </x:c>
      <x:c r="C168" s="26" t="str">
        <x:v>event hold</x:v>
      </x:c>
      <x:c r="D168" s="26" t="n">
        <x:v>20</x:v>
      </x:c>
      <x:c r="E168" s="26" t="str">
        <x:v>EVENT-HOLD-20</x:v>
      </x:c>
      <x:c r="F168" s="26" t="str"/>
      <x:c r="G168" s="26" t="str"/>
      <x:c r="H168" s="26" t="str"/>
      <x:c r="I168" s="26" t="str"/>
      <x:c r="J168" s="26" t="str">
        <x:f>IF(I168="","OPEN",IF(AND(E168=F168,G168="PASS",H168&lt;&gt;""),"PASS","FAIL"))</x:f>
        <x:v>OPEN</x:v>
      </x:c>
    </x:row>
    <x:row r="169">
      <x:c r="B169" s="26" t="str">
        <x:v>DB-163</x:v>
      </x:c>
      <x:c r="C169" s="26" t="str">
        <x:v>event hold</x:v>
      </x:c>
      <x:c r="D169" s="26" t="n">
        <x:v>21</x:v>
      </x:c>
      <x:c r="E169" s="26" t="str">
        <x:v>EVENT-HOLD-21</x:v>
      </x:c>
      <x:c r="F169" s="26" t="str"/>
      <x:c r="G169" s="26" t="str"/>
      <x:c r="H169" s="26" t="str"/>
      <x:c r="I169" s="26" t="str"/>
      <x:c r="J169" s="26" t="str">
        <x:f>IF(I169="","OPEN",IF(AND(E169=F169,G169="PASS",H169&lt;&gt;""),"PASS","FAIL"))</x:f>
        <x:v>OPEN</x:v>
      </x:c>
    </x:row>
    <x:row r="170">
      <x:c r="B170" s="26" t="str">
        <x:v>DB-164</x:v>
      </x:c>
      <x:c r="C170" s="26" t="str">
        <x:v>event hold</x:v>
      </x:c>
      <x:c r="D170" s="26" t="n">
        <x:v>22</x:v>
      </x:c>
      <x:c r="E170" s="26" t="str">
        <x:v>EVENT-HOLD-22</x:v>
      </x:c>
      <x:c r="F170" s="26" t="str"/>
      <x:c r="G170" s="26" t="str"/>
      <x:c r="H170" s="26" t="str"/>
      <x:c r="I170" s="26" t="str"/>
      <x:c r="J170" s="26" t="str">
        <x:f>IF(I170="","OPEN",IF(AND(E170=F170,G170="PASS",H170&lt;&gt;""),"PASS","FAIL"))</x:f>
        <x:v>OPEN</x:v>
      </x:c>
    </x:row>
    <x:row r="171">
      <x:c r="B171" s="26" t="str">
        <x:v>DB-165</x:v>
      </x:c>
      <x:c r="C171" s="26" t="str">
        <x:v>event hold</x:v>
      </x:c>
      <x:c r="D171" s="26" t="n">
        <x:v>23</x:v>
      </x:c>
      <x:c r="E171" s="26" t="str">
        <x:v>EVENT-HOLD-23</x:v>
      </x:c>
      <x:c r="F171" s="26" t="str"/>
      <x:c r="G171" s="26" t="str"/>
      <x:c r="H171" s="26" t="str"/>
      <x:c r="I171" s="26" t="str"/>
      <x:c r="J171" s="26" t="str">
        <x:f>IF(I171="","OPEN",IF(AND(E171=F171,G171="PASS",H171&lt;&gt;""),"PASS","FAIL"))</x:f>
        <x:v>OPEN</x:v>
      </x:c>
    </x:row>
    <x:row r="172">
      <x:c r="B172" s="26" t="str">
        <x:v>DB-166</x:v>
      </x:c>
      <x:c r="C172" s="26" t="str">
        <x:v>event hold</x:v>
      </x:c>
      <x:c r="D172" s="26" t="n">
        <x:v>24</x:v>
      </x:c>
      <x:c r="E172" s="26" t="str">
        <x:v>EVENT-HOLD-24</x:v>
      </x:c>
      <x:c r="F172" s="26" t="str"/>
      <x:c r="G172" s="26" t="str"/>
      <x:c r="H172" s="26" t="str"/>
      <x:c r="I172" s="26" t="str"/>
      <x:c r="J172" s="26" t="str">
        <x:f>IF(I172="","OPEN",IF(AND(E172=F172,G172="PASS",H172&lt;&gt;""),"PASS","FAIL"))</x:f>
        <x:v>OPEN</x:v>
      </x:c>
    </x:row>
    <x:row r="173">
      <x:c r="B173" s="26" t="str">
        <x:v>DB-167</x:v>
      </x:c>
      <x:c r="C173" s="26" t="str">
        <x:v>event hold</x:v>
      </x:c>
      <x:c r="D173" s="26" t="n">
        <x:v>25</x:v>
      </x:c>
      <x:c r="E173" s="26" t="str">
        <x:v>EVENT-HOLD-25</x:v>
      </x:c>
      <x:c r="F173" s="26" t="str"/>
      <x:c r="G173" s="26" t="str"/>
      <x:c r="H173" s="26" t="str"/>
      <x:c r="I173" s="26" t="str"/>
      <x:c r="J173" s="26" t="str">
        <x:f>IF(I173="","OPEN",IF(AND(E173=F173,G173="PASS",H173&lt;&gt;""),"PASS","FAIL"))</x:f>
        <x:v>OPEN</x:v>
      </x:c>
    </x:row>
    <x:row r="174">
      <x:c r="B174" s="26" t="str">
        <x:v>DB-168</x:v>
      </x:c>
      <x:c r="C174" s="26" t="str">
        <x:v>event hold</x:v>
      </x:c>
      <x:c r="D174" s="26" t="n">
        <x:v>26</x:v>
      </x:c>
      <x:c r="E174" s="26" t="str">
        <x:v>EVENT-HOLD-26</x:v>
      </x:c>
      <x:c r="F174" s="26" t="str"/>
      <x:c r="G174" s="26" t="str"/>
      <x:c r="H174" s="26" t="str"/>
      <x:c r="I174" s="26" t="str"/>
      <x:c r="J174" s="26" t="str">
        <x:f>IF(I174="","OPEN",IF(AND(E174=F174,G174="PASS",H174&lt;&gt;""),"PASS","FAIL"))</x:f>
        <x:v>OPEN</x:v>
      </x:c>
    </x:row>
    <x:row r="175">
      <x:c r="B175" s="26" t="str">
        <x:v>DB-169</x:v>
      </x:c>
      <x:c r="C175" s="26" t="str">
        <x:v>event hold</x:v>
      </x:c>
      <x:c r="D175" s="26" t="n">
        <x:v>27</x:v>
      </x:c>
      <x:c r="E175" s="26" t="str">
        <x:v>EVENT-HOLD-27</x:v>
      </x:c>
      <x:c r="F175" s="26" t="str"/>
      <x:c r="G175" s="26" t="str"/>
      <x:c r="H175" s="26" t="str"/>
      <x:c r="I175" s="26" t="str"/>
      <x:c r="J175" s="26" t="str">
        <x:f>IF(I175="","OPEN",IF(AND(E175=F175,G175="PASS",H175&lt;&gt;""),"PASS","FAIL"))</x:f>
        <x:v>OPEN</x:v>
      </x:c>
    </x:row>
    <x:row r="176">
      <x:c r="B176" s="26" t="str">
        <x:v>DB-170</x:v>
      </x:c>
      <x:c r="C176" s="26" t="str">
        <x:v>event hold</x:v>
      </x:c>
      <x:c r="D176" s="26" t="n">
        <x:v>28</x:v>
      </x:c>
      <x:c r="E176" s="26" t="str">
        <x:v>EVENT-HOLD-28</x:v>
      </x:c>
      <x:c r="F176" s="26" t="str"/>
      <x:c r="G176" s="26" t="str"/>
      <x:c r="H176" s="26" t="str"/>
      <x:c r="I176" s="26" t="str"/>
      <x:c r="J176" s="26" t="str">
        <x:f>IF(I176="","OPEN",IF(AND(E176=F176,G176="PASS",H176&lt;&gt;""),"PASS","FAIL"))</x:f>
        <x:v>OPEN</x:v>
      </x:c>
    </x:row>
    <x:row r="177">
      <x:c r="B177" s="26" t="str">
        <x:v>DB-171</x:v>
      </x:c>
      <x:c r="C177" s="26" t="str">
        <x:v>event hold</x:v>
      </x:c>
      <x:c r="D177" s="26" t="n">
        <x:v>29</x:v>
      </x:c>
      <x:c r="E177" s="26" t="str">
        <x:v>EVENT-HOLD-29</x:v>
      </x:c>
      <x:c r="F177" s="26" t="str"/>
      <x:c r="G177" s="26" t="str"/>
      <x:c r="H177" s="26" t="str"/>
      <x:c r="I177" s="26" t="str"/>
      <x:c r="J177" s="26" t="str">
        <x:f>IF(I177="","OPEN",IF(AND(E177=F177,G177="PASS",H177&lt;&gt;""),"PASS","FAIL"))</x:f>
        <x:v>OPEN</x:v>
      </x:c>
    </x:row>
    <x:row r="178">
      <x:c r="B178" s="26" t="str">
        <x:v>DB-172</x:v>
      </x:c>
      <x:c r="C178" s="26" t="str">
        <x:v>event hold</x:v>
      </x:c>
      <x:c r="D178" s="26" t="n">
        <x:v>30</x:v>
      </x:c>
      <x:c r="E178" s="26" t="str">
        <x:v>EVENT-HOLD-30</x:v>
      </x:c>
      <x:c r="F178" s="26" t="str"/>
      <x:c r="G178" s="26" t="str"/>
      <x:c r="H178" s="26" t="str"/>
      <x:c r="I178" s="26" t="str"/>
      <x:c r="J178" s="26" t="str">
        <x:f>IF(I178="","OPEN",IF(AND(E178=F178,G178="PASS",H178&lt;&gt;""),"PASS","FAIL"))</x:f>
        <x:v>OPEN</x:v>
      </x:c>
    </x:row>
    <x:row r="179">
      <x:c r="B179" s="26" t="str">
        <x:v>DB-173</x:v>
      </x:c>
      <x:c r="C179" s="26" t="str">
        <x:v>event hold</x:v>
      </x:c>
      <x:c r="D179" s="26" t="n">
        <x:v>31</x:v>
      </x:c>
      <x:c r="E179" s="26" t="str">
        <x:v>EVENT-HOLD-31</x:v>
      </x:c>
      <x:c r="F179" s="26" t="str"/>
      <x:c r="G179" s="26" t="str"/>
      <x:c r="H179" s="26" t="str"/>
      <x:c r="I179" s="26" t="str"/>
      <x:c r="J179" s="26" t="str">
        <x:f>IF(I179="","OPEN",IF(AND(E179=F179,G179="PASS",H179&lt;&gt;""),"PASS","FAIL"))</x:f>
        <x:v>OPEN</x:v>
      </x:c>
    </x:row>
    <x:row r="180">
      <x:c r="B180" s="26" t="str">
        <x:v>DB-174</x:v>
      </x:c>
      <x:c r="C180" s="26" t="str">
        <x:v>event hold</x:v>
      </x:c>
      <x:c r="D180" s="26" t="n">
        <x:v>32</x:v>
      </x:c>
      <x:c r="E180" s="26" t="str">
        <x:v>EVENT-HOLD-32</x:v>
      </x:c>
      <x:c r="F180" s="26" t="str"/>
      <x:c r="G180" s="26" t="str"/>
      <x:c r="H180" s="26" t="str"/>
      <x:c r="I180" s="26" t="str"/>
      <x:c r="J180" s="26" t="str">
        <x:f>IF(I180="","OPEN",IF(AND(E180=F180,G180="PASS",H180&lt;&gt;""),"PASS","FAIL"))</x:f>
        <x:v>OPEN</x:v>
      </x:c>
    </x:row>
    <x:row r="181">
      <x:c r="B181" s="26" t="str">
        <x:v>DB-175</x:v>
      </x:c>
      <x:c r="C181" s="26" t="str">
        <x:v>evidence obligation</x:v>
      </x:c>
      <x:c r="D181" s="26" t="n">
        <x:v>1</x:v>
      </x:c>
      <x:c r="E181" s="26" t="str">
        <x:v>EVIDENCE-OBLIGATION-01</x:v>
      </x:c>
      <x:c r="F181" s="26" t="str"/>
      <x:c r="G181" s="26" t="str"/>
      <x:c r="H181" s="26" t="str"/>
      <x:c r="I181" s="26" t="str"/>
      <x:c r="J181" s="26" t="str">
        <x:f>IF(I181="","OPEN",IF(AND(E181=F181,G181="PASS",H181&lt;&gt;""),"PASS","FAIL"))</x:f>
        <x:v>OPEN</x:v>
      </x:c>
    </x:row>
    <x:row r="182">
      <x:c r="B182" s="26" t="str">
        <x:v>DB-176</x:v>
      </x:c>
      <x:c r="C182" s="26" t="str">
        <x:v>evidence obligation</x:v>
      </x:c>
      <x:c r="D182" s="26" t="n">
        <x:v>2</x:v>
      </x:c>
      <x:c r="E182" s="26" t="str">
        <x:v>EVIDENCE-OBLIGATION-02</x:v>
      </x:c>
      <x:c r="F182" s="26" t="str"/>
      <x:c r="G182" s="26" t="str"/>
      <x:c r="H182" s="26" t="str"/>
      <x:c r="I182" s="26" t="str"/>
      <x:c r="J182" s="26" t="str">
        <x:f>IF(I182="","OPEN",IF(AND(E182=F182,G182="PASS",H182&lt;&gt;""),"PASS","FAIL"))</x:f>
        <x:v>OPEN</x:v>
      </x:c>
    </x:row>
    <x:row r="183">
      <x:c r="B183" s="26" t="str">
        <x:v>DB-177</x:v>
      </x:c>
      <x:c r="C183" s="26" t="str">
        <x:v>evidence obligation</x:v>
      </x:c>
      <x:c r="D183" s="26" t="n">
        <x:v>3</x:v>
      </x:c>
      <x:c r="E183" s="26" t="str">
        <x:v>EVIDENCE-OBLIGATION-03</x:v>
      </x:c>
      <x:c r="F183" s="26" t="str"/>
      <x:c r="G183" s="26" t="str"/>
      <x:c r="H183" s="26" t="str"/>
      <x:c r="I183" s="26" t="str"/>
      <x:c r="J183" s="26" t="str">
        <x:f>IF(I183="","OPEN",IF(AND(E183=F183,G183="PASS",H183&lt;&gt;""),"PASS","FAIL"))</x:f>
        <x:v>OPEN</x:v>
      </x:c>
    </x:row>
    <x:row r="184">
      <x:c r="B184" s="26" t="str">
        <x:v>DB-178</x:v>
      </x:c>
      <x:c r="C184" s="26" t="str">
        <x:v>evidence obligation</x:v>
      </x:c>
      <x:c r="D184" s="26" t="n">
        <x:v>4</x:v>
      </x:c>
      <x:c r="E184" s="26" t="str">
        <x:v>EVIDENCE-OBLIGATION-04</x:v>
      </x:c>
      <x:c r="F184" s="26" t="str"/>
      <x:c r="G184" s="26" t="str"/>
      <x:c r="H184" s="26" t="str"/>
      <x:c r="I184" s="26" t="str"/>
      <x:c r="J184" s="26" t="str">
        <x:f>IF(I184="","OPEN",IF(AND(E184=F184,G184="PASS",H184&lt;&gt;""),"PASS","FAIL"))</x:f>
        <x:v>OPEN</x:v>
      </x:c>
    </x:row>
    <x:row r="185">
      <x:c r="B185" s="26" t="str">
        <x:v>DB-179</x:v>
      </x:c>
      <x:c r="C185" s="26" t="str">
        <x:v>evidence obligation</x:v>
      </x:c>
      <x:c r="D185" s="26" t="n">
        <x:v>5</x:v>
      </x:c>
      <x:c r="E185" s="26" t="str">
        <x:v>EVIDENCE-OBLIGATION-05</x:v>
      </x:c>
      <x:c r="F185" s="26" t="str"/>
      <x:c r="G185" s="26" t="str"/>
      <x:c r="H185" s="26" t="str"/>
      <x:c r="I185" s="26" t="str"/>
      <x:c r="J185" s="26" t="str">
        <x:f>IF(I185="","OPEN",IF(AND(E185=F185,G185="PASS",H185&lt;&gt;""),"PASS","FAIL"))</x:f>
        <x:v>OPEN</x:v>
      </x:c>
    </x:row>
    <x:row r="186">
      <x:c r="B186" s="26" t="str">
        <x:v>DB-180</x:v>
      </x:c>
      <x:c r="C186" s="26" t="str">
        <x:v>evidence obligation</x:v>
      </x:c>
      <x:c r="D186" s="26" t="n">
        <x:v>6</x:v>
      </x:c>
      <x:c r="E186" s="26" t="str">
        <x:v>EVIDENCE-OBLIGATION-06</x:v>
      </x:c>
      <x:c r="F186" s="26" t="str"/>
      <x:c r="G186" s="26" t="str"/>
      <x:c r="H186" s="26" t="str"/>
      <x:c r="I186" s="26" t="str"/>
      <x:c r="J186" s="26" t="str">
        <x:f>IF(I186="","OPEN",IF(AND(E186=F186,G186="PASS",H186&lt;&gt;""),"PASS","FAIL"))</x:f>
        <x:v>OPEN</x:v>
      </x:c>
    </x:row>
    <x:row r="187">
      <x:c r="B187" s="26" t="str">
        <x:v>DB-181</x:v>
      </x:c>
      <x:c r="C187" s="26" t="str">
        <x:v>evidence obligation</x:v>
      </x:c>
      <x:c r="D187" s="26" t="n">
        <x:v>7</x:v>
      </x:c>
      <x:c r="E187" s="26" t="str">
        <x:v>EVIDENCE-OBLIGATION-07</x:v>
      </x:c>
      <x:c r="F187" s="26" t="str"/>
      <x:c r="G187" s="26" t="str"/>
      <x:c r="H187" s="26" t="str"/>
      <x:c r="I187" s="26" t="str"/>
      <x:c r="J187" s="26" t="str">
        <x:f>IF(I187="","OPEN",IF(AND(E187=F187,G187="PASS",H187&lt;&gt;""),"PASS","FAIL"))</x:f>
        <x:v>OPEN</x:v>
      </x:c>
    </x:row>
    <x:row r="188">
      <x:c r="B188" s="26" t="str">
        <x:v>DB-182</x:v>
      </x:c>
      <x:c r="C188" s="26" t="str">
        <x:v>evidence obligation</x:v>
      </x:c>
      <x:c r="D188" s="26" t="n">
        <x:v>8</x:v>
      </x:c>
      <x:c r="E188" s="26" t="str">
        <x:v>EVIDENCE-OBLIGATION-08</x:v>
      </x:c>
      <x:c r="F188" s="26" t="str"/>
      <x:c r="G188" s="26" t="str"/>
      <x:c r="H188" s="26" t="str"/>
      <x:c r="I188" s="26" t="str"/>
      <x:c r="J188" s="26" t="str">
        <x:f>IF(I188="","OPEN",IF(AND(E188=F188,G188="PASS",H188&lt;&gt;""),"PASS","FAIL"))</x:f>
        <x:v>OPEN</x:v>
      </x:c>
    </x:row>
    <x:row r="189">
      <x:c r="B189" s="26" t="str">
        <x:v>DB-183</x:v>
      </x:c>
      <x:c r="C189" s="26" t="str">
        <x:v>evidence obligation</x:v>
      </x:c>
      <x:c r="D189" s="26" t="n">
        <x:v>9</x:v>
      </x:c>
      <x:c r="E189" s="26" t="str">
        <x:v>EVIDENCE-OBLIGATION-09</x:v>
      </x:c>
      <x:c r="F189" s="26" t="str"/>
      <x:c r="G189" s="26" t="str"/>
      <x:c r="H189" s="26" t="str"/>
      <x:c r="I189" s="26" t="str"/>
      <x:c r="J189" s="26" t="str">
        <x:f>IF(I189="","OPEN",IF(AND(E189=F189,G189="PASS",H189&lt;&gt;""),"PASS","FAIL"))</x:f>
        <x:v>OPEN</x:v>
      </x:c>
    </x:row>
    <x:row r="190">
      <x:c r="B190" s="26" t="str">
        <x:v>DB-184</x:v>
      </x:c>
      <x:c r="C190" s="26" t="str">
        <x:v>evidence obligation</x:v>
      </x:c>
      <x:c r="D190" s="26" t="n">
        <x:v>10</x:v>
      </x:c>
      <x:c r="E190" s="26" t="str">
        <x:v>EVIDENCE-OBLIGATION-10</x:v>
      </x:c>
      <x:c r="F190" s="26" t="str"/>
      <x:c r="G190" s="26" t="str"/>
      <x:c r="H190" s="26" t="str"/>
      <x:c r="I190" s="26" t="str"/>
      <x:c r="J190" s="26" t="str">
        <x:f>IF(I190="","OPEN",IF(AND(E190=F190,G190="PASS",H190&lt;&gt;""),"PASS","FAIL"))</x:f>
        <x:v>OPEN</x:v>
      </x:c>
    </x:row>
    <x:row r="191">
      <x:c r="B191" s="26" t="str">
        <x:v>DB-185</x:v>
      </x:c>
      <x:c r="C191" s="26" t="str">
        <x:v>evidence obligation</x:v>
      </x:c>
      <x:c r="D191" s="26" t="n">
        <x:v>11</x:v>
      </x:c>
      <x:c r="E191" s="26" t="str">
        <x:v>EVIDENCE-OBLIGATION-11</x:v>
      </x:c>
      <x:c r="F191" s="26" t="str"/>
      <x:c r="G191" s="26" t="str"/>
      <x:c r="H191" s="26" t="str"/>
      <x:c r="I191" s="26" t="str"/>
      <x:c r="J191" s="26" t="str">
        <x:f>IF(I191="","OPEN",IF(AND(E191=F191,G191="PASS",H191&lt;&gt;""),"PASS","FAIL"))</x:f>
        <x:v>OPEN</x:v>
      </x:c>
    </x:row>
    <x:row r="192">
      <x:c r="B192" s="26" t="str">
        <x:v>DB-186</x:v>
      </x:c>
      <x:c r="C192" s="26" t="str">
        <x:v>evidence obligation</x:v>
      </x:c>
      <x:c r="D192" s="26" t="n">
        <x:v>12</x:v>
      </x:c>
      <x:c r="E192" s="26" t="str">
        <x:v>EVIDENCE-OBLIGATION-12</x:v>
      </x:c>
      <x:c r="F192" s="26" t="str"/>
      <x:c r="G192" s="26" t="str"/>
      <x:c r="H192" s="26" t="str"/>
      <x:c r="I192" s="26" t="str"/>
      <x:c r="J192" s="26" t="str">
        <x:f>IF(I192="","OPEN",IF(AND(E192=F192,G192="PASS",H192&lt;&gt;""),"PASS","FAIL"))</x:f>
        <x:v>OPEN</x:v>
      </x:c>
    </x:row>
    <x:row r="193">
      <x:c r="B193" s="26" t="str">
        <x:v>DB-187</x:v>
      </x:c>
      <x:c r="C193" s="26" t="str">
        <x:v>blank sample</x:v>
      </x:c>
      <x:c r="D193" s="26" t="n">
        <x:v>1</x:v>
      </x:c>
      <x:c r="E193" s="26" t="str">
        <x:v>BLANK-SAMPLE-01</x:v>
      </x:c>
      <x:c r="F193" s="26" t="str"/>
      <x:c r="G193" s="26" t="str"/>
      <x:c r="H193" s="26" t="str"/>
      <x:c r="I193" s="26" t="str"/>
      <x:c r="J193" s="26" t="str">
        <x:f>IF(I193="","OPEN",IF(AND(E193=F193,G193="PASS",H193&lt;&gt;""),"PASS","FAIL"))</x:f>
        <x:v>OPEN</x:v>
      </x:c>
    </x:row>
    <x:row r="194">
      <x:c r="B194" s="26" t="str">
        <x:v>DB-188</x:v>
      </x:c>
      <x:c r="C194" s="26" t="str">
        <x:v>blank sample</x:v>
      </x:c>
      <x:c r="D194" s="26" t="n">
        <x:v>2</x:v>
      </x:c>
      <x:c r="E194" s="26" t="str">
        <x:v>BLANK-SAMPLE-02</x:v>
      </x:c>
      <x:c r="F194" s="26" t="str"/>
      <x:c r="G194" s="26" t="str"/>
      <x:c r="H194" s="26" t="str"/>
      <x:c r="I194" s="26" t="str"/>
      <x:c r="J194" s="26" t="str">
        <x:f>IF(I194="","OPEN",IF(AND(E194=F194,G194="PASS",H194&lt;&gt;""),"PASS","FAIL"))</x:f>
        <x:v>OPEN</x:v>
      </x:c>
    </x:row>
    <x:row r="195">
      <x:c r="B195" s="26" t="str">
        <x:v>DB-189</x:v>
      </x:c>
      <x:c r="C195" s="26" t="str">
        <x:v>blank sample</x:v>
      </x:c>
      <x:c r="D195" s="26" t="n">
        <x:v>3</x:v>
      </x:c>
      <x:c r="E195" s="26" t="str">
        <x:v>BLANK-SAMPLE-03</x:v>
      </x:c>
      <x:c r="F195" s="26" t="str"/>
      <x:c r="G195" s="26" t="str"/>
      <x:c r="H195" s="26" t="str"/>
      <x:c r="I195" s="26" t="str"/>
      <x:c r="J195" s="26" t="str">
        <x:f>IF(I195="","OPEN",IF(AND(E195=F195,G195="PASS",H195&lt;&gt;""),"PASS","FAIL"))</x:f>
        <x:v>OPEN</x:v>
      </x:c>
    </x:row>
    <x:row r="196">
      <x:c r="B196" s="26" t="str">
        <x:v>DB-190</x:v>
      </x:c>
      <x:c r="C196" s="26" t="str">
        <x:v>blank sample</x:v>
      </x:c>
      <x:c r="D196" s="26" t="n">
        <x:v>4</x:v>
      </x:c>
      <x:c r="E196" s="26" t="str">
        <x:v>BLANK-SAMPLE-04</x:v>
      </x:c>
      <x:c r="F196" s="26" t="str"/>
      <x:c r="G196" s="26" t="str"/>
      <x:c r="H196" s="26" t="str"/>
      <x:c r="I196" s="26" t="str"/>
      <x:c r="J196" s="26" t="str">
        <x:f>IF(I196="","OPEN",IF(AND(E196=F196,G196="PASS",H196&lt;&gt;""),"PASS","FAIL"))</x:f>
        <x:v>OPEN</x:v>
      </x:c>
    </x:row>
    <x:row r="197">
      <x:c r="B197" s="26" t="str">
        <x:v>DB-191</x:v>
      </x:c>
      <x:c r="C197" s="26" t="str">
        <x:v>blank sample</x:v>
      </x:c>
      <x:c r="D197" s="26" t="n">
        <x:v>5</x:v>
      </x:c>
      <x:c r="E197" s="26" t="str">
        <x:v>BLANK-SAMPLE-05</x:v>
      </x:c>
      <x:c r="F197" s="26" t="str"/>
      <x:c r="G197" s="26" t="str"/>
      <x:c r="H197" s="26" t="str"/>
      <x:c r="I197" s="26" t="str"/>
      <x:c r="J197" s="26" t="str">
        <x:f>IF(I197="","OPEN",IF(AND(E197=F197,G197="PASS",H197&lt;&gt;""),"PASS","FAIL"))</x:f>
        <x:v>OPEN</x:v>
      </x:c>
    </x:row>
    <x:row r="198">
      <x:c r="B198" s="26" t="str">
        <x:v>DB-192</x:v>
      </x:c>
      <x:c r="C198" s="26" t="str">
        <x:v>blank sample</x:v>
      </x:c>
      <x:c r="D198" s="26" t="n">
        <x:v>6</x:v>
      </x:c>
      <x:c r="E198" s="26" t="str">
        <x:v>BLANK-SAMPLE-06</x:v>
      </x:c>
      <x:c r="F198" s="26" t="str"/>
      <x:c r="G198" s="26" t="str"/>
      <x:c r="H198" s="26" t="str"/>
      <x:c r="I198" s="26" t="str"/>
      <x:c r="J198" s="26" t="str">
        <x:f>IF(I198="","OPEN",IF(AND(E198=F198,G198="PASS",H198&lt;&gt;""),"PASS","FAIL"))</x:f>
        <x:v>OPEN</x:v>
      </x:c>
    </x:row>
  </x:sheetData>
  <x:conditionalFormatting sqref="J7:J198">
    <x:cfRule type="containsText" dxfId="36" priority="1" operator="containsText" text="FAIL"/>
    <x:cfRule type="containsText" dxfId="37" priority="2" operator="containsText" text="BLOCKED"/>
    <x:cfRule type="containsText" dxfId="38" priority="3" operator="containsText" text="INVALID"/>
    <x:cfRule type="containsText" dxfId="39" priority="4" operator="containsText" text="ADVERSE"/>
    <x:cfRule type="containsText" dxfId="40" priority="5" operator="containsText" text="EXPIRED"/>
    <x:cfRule type="containsText" dxfId="41" priority="6" operator="containsText" text="OPEN"/>
    <x:cfRule type="containsText" dxfId="42" priority="7" operator="containsText" text="DORMANT"/>
    <x:cfRule type="containsText" dxfId="43" priority="8" operator="containsText" text="PASS"/>
    <x:cfRule type="containsText" dxfId="44" priority="9" operator="containsText" text="AVAILABLE"/>
  </x:conditionalFormatting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xSplit="4" ySplit="6" topLeftCell="E7" activePane="bottomRight" state="frozen"/>
    </x:sheetView>
  </x:sheetViews>
  <x:sheetFormatPr defaultRowHeight="15"/>
  <x:cols>
    <x:col min="2" max="2" width="15" hidden="0" customWidth="1"/>
    <x:col min="3" max="3" width="31" hidden="0" customWidth="1"/>
    <x:col min="4" max="4" width="12" hidden="0" customWidth="1"/>
    <x:col min="5" max="5" width="24" hidden="0" customWidth="1"/>
    <x:col min="6" max="6" width="29" hidden="0" customWidth="1"/>
    <x:col min="7" max="7" width="23" hidden="0" customWidth="1"/>
    <x:col min="8" max="8" width="18" hidden="0" customWidth="1"/>
    <x:col min="9" max="9" width="21" hidden="0" customWidth="1"/>
    <x:col min="10" max="10" width="14" hidden="0" customWidth="1"/>
  </x:cols>
  <x:sheetData>
    <x:row r="2">
      <x:c r="B2" s="39" t="str">
        <x:v>Forty named event-duty positions</x:v>
      </x:c>
      <x:c r="C2" s="26"/>
      <x:c r="D2" s="26"/>
      <x:c r="E2" s="26"/>
      <x:c r="F2" s="26"/>
      <x:c r="G2" s="26"/>
      <x:c r="H2" s="26"/>
      <x:c r="I2" s="26"/>
      <x:c r="J2" s="26"/>
    </x:row>
    <x:row r="3">
      <x:c r="B3" s="40" t="str">
        <x:v>Every position retains RAX-1 qualification and receives an event window, fatigue check and independent acceptance.</x:v>
      </x:c>
      <x:c r="C3" s="26"/>
      <x:c r="D3" s="26"/>
      <x:c r="E3" s="26"/>
      <x:c r="F3" s="26"/>
      <x:c r="G3" s="26"/>
      <x:c r="H3" s="26"/>
      <x:c r="I3" s="26"/>
      <x:c r="J3" s="26"/>
    </x:row>
    <x:row r="4">
      <x:c r="B4" s="26"/>
      <x:c r="C4" s="26"/>
      <x:c r="D4" s="26"/>
      <x:c r="E4" s="26"/>
      <x:c r="F4" s="26"/>
      <x:c r="G4" s="26"/>
      <x:c r="H4" s="26"/>
      <x:c r="I4" s="26"/>
      <x:c r="J4" s="26"/>
    </x:row>
    <x:row r="5">
      <x:c r="B5" s="26"/>
      <x:c r="C5" s="26"/>
      <x:c r="D5" s="26"/>
      <x:c r="E5" s="26"/>
      <x:c r="F5" s="26"/>
      <x:c r="G5" s="26"/>
      <x:c r="H5" s="26"/>
      <x:c r="I5" s="26"/>
      <x:c r="J5" s="26"/>
    </x:row>
    <x:row r="6" ht="24" customHeight="1">
      <x:c r="B6" s="41" t="str">
        <x:v>Position</x:v>
      </x:c>
      <x:c r="C6" s="41" t="str">
        <x:v>Function</x:v>
      </x:c>
      <x:c r="D6" s="41" t="str">
        <x:v>Seat</x:v>
      </x:c>
      <x:c r="E6" s="41" t="str">
        <x:v>Person identity</x:v>
      </x:c>
      <x:c r="F6" s="41" t="str">
        <x:v>RAX credential</x:v>
      </x:c>
      <x:c r="G6" s="41" t="str">
        <x:v>Duty window</x:v>
      </x:c>
      <x:c r="H6" s="41" t="str">
        <x:v>Rest accepted</x:v>
      </x:c>
      <x:c r="I6" s="41" t="str">
        <x:v>Accepted UTC</x:v>
      </x:c>
      <x:c r="J6" s="41" t="str">
        <x:v>State</x:v>
      </x:c>
    </x:row>
    <x:row r="7">
      <x:c r="B7" s="26" t="str">
        <x:v>EC-01</x:v>
      </x:c>
      <x:c r="C7" s="26" t="str">
        <x:v>event command</x:v>
      </x:c>
      <x:c r="D7" s="26" t="n">
        <x:v>1</x:v>
      </x:c>
      <x:c r="E7" s="26" t="str"/>
      <x:c r="F7" s="26" t="str"/>
      <x:c r="G7" s="26" t="str"/>
      <x:c r="H7" s="26" t="str"/>
      <x:c r="I7" s="26" t="str"/>
      <x:c r="J7" s="26" t="str">
        <x:f>IF(I7="","OPEN",IF(AND(E7&lt;&gt;"",F7&lt;&gt;"",G7&lt;&gt;"",H7="PASS"),"PASS","FAIL"))</x:f>
        <x:v>OPEN</x:v>
      </x:c>
    </x:row>
    <x:row r="8">
      <x:c r="B8" s="26" t="str">
        <x:v>EC-02</x:v>
      </x:c>
      <x:c r="C8" s="26" t="str">
        <x:v>event command</x:v>
      </x:c>
      <x:c r="D8" s="26" t="n">
        <x:v>2</x:v>
      </x:c>
      <x:c r="E8" s="26" t="str"/>
      <x:c r="F8" s="26" t="str"/>
      <x:c r="G8" s="26" t="str"/>
      <x:c r="H8" s="26" t="str"/>
      <x:c r="I8" s="26" t="str"/>
      <x:c r="J8" s="26" t="str">
        <x:f>IF(I8="","OPEN",IF(AND(E8&lt;&gt;"",F8&lt;&gt;"",G8&lt;&gt;"",H8="PASS"),"PASS","FAIL"))</x:f>
        <x:v>OPEN</x:v>
      </x:c>
    </x:row>
    <x:row r="9">
      <x:c r="B9" s="26" t="str">
        <x:v>EC-03</x:v>
      </x:c>
      <x:c r="C9" s="26" t="str">
        <x:v>timeline and controls</x:v>
      </x:c>
      <x:c r="D9" s="26" t="n">
        <x:v>1</x:v>
      </x:c>
      <x:c r="E9" s="26" t="str"/>
      <x:c r="F9" s="26" t="str"/>
      <x:c r="G9" s="26" t="str"/>
      <x:c r="H9" s="26" t="str"/>
      <x:c r="I9" s="26" t="str"/>
      <x:c r="J9" s="26" t="str">
        <x:f>IF(I9="","OPEN",IF(AND(E9&lt;&gt;"",F9&lt;&gt;"",G9&lt;&gt;"",H9="PASS"),"PASS","FAIL"))</x:f>
        <x:v>OPEN</x:v>
      </x:c>
    </x:row>
    <x:row r="10">
      <x:c r="B10" s="26" t="str">
        <x:v>EC-04</x:v>
      </x:c>
      <x:c r="C10" s="26" t="str">
        <x:v>timeline and controls</x:v>
      </x:c>
      <x:c r="D10" s="26" t="n">
        <x:v>2</x:v>
      </x:c>
      <x:c r="E10" s="26" t="str"/>
      <x:c r="F10" s="26" t="str"/>
      <x:c r="G10" s="26" t="str"/>
      <x:c r="H10" s="26" t="str"/>
      <x:c r="I10" s="26" t="str"/>
      <x:c r="J10" s="26" t="str">
        <x:f>IF(I10="","OPEN",IF(AND(E10&lt;&gt;"",F10&lt;&gt;"",G10&lt;&gt;"",H10="PASS"),"PASS","FAIL"))</x:f>
        <x:v>OPEN</x:v>
      </x:c>
    </x:row>
    <x:row r="11">
      <x:c r="B11" s="26" t="str">
        <x:v>EC-05</x:v>
      </x:c>
      <x:c r="C11" s="26" t="str">
        <x:v>timeline and controls</x:v>
      </x:c>
      <x:c r="D11" s="26" t="n">
        <x:v>3</x:v>
      </x:c>
      <x:c r="E11" s="26" t="str"/>
      <x:c r="F11" s="26" t="str"/>
      <x:c r="G11" s="26" t="str"/>
      <x:c r="H11" s="26" t="str"/>
      <x:c r="I11" s="26" t="str"/>
      <x:c r="J11" s="26" t="str">
        <x:f>IF(I11="","OPEN",IF(AND(E11&lt;&gt;"",F11&lt;&gt;"",G11&lt;&gt;"",H11="PASS"),"PASS","FAIL"))</x:f>
        <x:v>OPEN</x:v>
      </x:c>
    </x:row>
    <x:row r="12">
      <x:c r="B12" s="26" t="str">
        <x:v>EC-06</x:v>
      </x:c>
      <x:c r="C12" s="26" t="str">
        <x:v>timeline and controls</x:v>
      </x:c>
      <x:c r="D12" s="26" t="n">
        <x:v>4</x:v>
      </x:c>
      <x:c r="E12" s="26" t="str"/>
      <x:c r="F12" s="26" t="str"/>
      <x:c r="G12" s="26" t="str"/>
      <x:c r="H12" s="26" t="str"/>
      <x:c r="I12" s="26" t="str"/>
      <x:c r="J12" s="26" t="str">
        <x:f>IF(I12="","OPEN",IF(AND(E12&lt;&gt;"",F12&lt;&gt;"",G12&lt;&gt;"",H12="PASS"),"PASS","FAIL"))</x:f>
        <x:v>OPEN</x:v>
      </x:c>
    </x:row>
    <x:row r="13">
      <x:c r="B13" s="26" t="str">
        <x:v>EC-07</x:v>
      </x:c>
      <x:c r="C13" s="26" t="str">
        <x:v>source-zero custody</x:v>
      </x:c>
      <x:c r="D13" s="26" t="n">
        <x:v>1</x:v>
      </x:c>
      <x:c r="E13" s="26" t="str"/>
      <x:c r="F13" s="26" t="str"/>
      <x:c r="G13" s="26" t="str"/>
      <x:c r="H13" s="26" t="str"/>
      <x:c r="I13" s="26" t="str"/>
      <x:c r="J13" s="26" t="str">
        <x:f>IF(I13="","OPEN",IF(AND(E13&lt;&gt;"",F13&lt;&gt;"",G13&lt;&gt;"",H13="PASS"),"PASS","FAIL"))</x:f>
        <x:v>OPEN</x:v>
      </x:c>
    </x:row>
    <x:row r="14">
      <x:c r="B14" s="26" t="str">
        <x:v>EC-08</x:v>
      </x:c>
      <x:c r="C14" s="26" t="str">
        <x:v>source-zero custody</x:v>
      </x:c>
      <x:c r="D14" s="26" t="n">
        <x:v>2</x:v>
      </x:c>
      <x:c r="E14" s="26" t="str"/>
      <x:c r="F14" s="26" t="str"/>
      <x:c r="G14" s="26" t="str"/>
      <x:c r="H14" s="26" t="str"/>
      <x:c r="I14" s="26" t="str"/>
      <x:c r="J14" s="26" t="str">
        <x:f>IF(I14="","OPEN",IF(AND(E14&lt;&gt;"",F14&lt;&gt;"",G14&lt;&gt;"",H14="PASS"),"PASS","FAIL"))</x:f>
        <x:v>OPEN</x:v>
      </x:c>
    </x:row>
    <x:row r="15">
      <x:c r="B15" s="26" t="str">
        <x:v>EC-09</x:v>
      </x:c>
      <x:c r="C15" s="26" t="str">
        <x:v>source-zero custody</x:v>
      </x:c>
      <x:c r="D15" s="26" t="n">
        <x:v>3</x:v>
      </x:c>
      <x:c r="E15" s="26" t="str"/>
      <x:c r="F15" s="26" t="str"/>
      <x:c r="G15" s="26" t="str"/>
      <x:c r="H15" s="26" t="str"/>
      <x:c r="I15" s="26" t="str"/>
      <x:c r="J15" s="26" t="str">
        <x:f>IF(I15="","OPEN",IF(AND(E15&lt;&gt;"",F15&lt;&gt;"",G15&lt;&gt;"",H15="PASS"),"PASS","FAIL"))</x:f>
        <x:v>OPEN</x:v>
      </x:c>
    </x:row>
    <x:row r="16">
      <x:c r="B16" s="26" t="str">
        <x:v>EC-10</x:v>
      </x:c>
      <x:c r="C16" s="26" t="str">
        <x:v>water-zero custody</x:v>
      </x:c>
      <x:c r="D16" s="26" t="n">
        <x:v>1</x:v>
      </x:c>
      <x:c r="E16" s="26" t="str"/>
      <x:c r="F16" s="26" t="str"/>
      <x:c r="G16" s="26" t="str"/>
      <x:c r="H16" s="26" t="str"/>
      <x:c r="I16" s="26" t="str"/>
      <x:c r="J16" s="26" t="str">
        <x:f>IF(I16="","OPEN",IF(AND(E16&lt;&gt;"",F16&lt;&gt;"",G16&lt;&gt;"",H16="PASS"),"PASS","FAIL"))</x:f>
        <x:v>OPEN</x:v>
      </x:c>
    </x:row>
    <x:row r="17">
      <x:c r="B17" s="26" t="str">
        <x:v>EC-11</x:v>
      </x:c>
      <x:c r="C17" s="26" t="str">
        <x:v>water-zero custody</x:v>
      </x:c>
      <x:c r="D17" s="26" t="n">
        <x:v>2</x:v>
      </x:c>
      <x:c r="E17" s="26" t="str"/>
      <x:c r="F17" s="26" t="str"/>
      <x:c r="G17" s="26" t="str"/>
      <x:c r="H17" s="26" t="str"/>
      <x:c r="I17" s="26" t="str"/>
      <x:c r="J17" s="26" t="str">
        <x:f>IF(I17="","OPEN",IF(AND(E17&lt;&gt;"",F17&lt;&gt;"",G17&lt;&gt;"",H17="PASS"),"PASS","FAIL"))</x:f>
        <x:v>OPEN</x:v>
      </x:c>
    </x:row>
    <x:row r="18">
      <x:c r="B18" s="26" t="str">
        <x:v>EC-12</x:v>
      </x:c>
      <x:c r="C18" s="26" t="str">
        <x:v>water-zero custody</x:v>
      </x:c>
      <x:c r="D18" s="26" t="n">
        <x:v>3</x:v>
      </x:c>
      <x:c r="E18" s="26" t="str"/>
      <x:c r="F18" s="26" t="str"/>
      <x:c r="G18" s="26" t="str"/>
      <x:c r="H18" s="26" t="str"/>
      <x:c r="I18" s="26" t="str"/>
      <x:c r="J18" s="26" t="str">
        <x:f>IF(I18="","OPEN",IF(AND(E18&lt;&gt;"",F18&lt;&gt;"",G18&lt;&gt;"",H18="PASS"),"PASS","FAIL"))</x:f>
        <x:v>OPEN</x:v>
      </x:c>
    </x:row>
    <x:row r="19">
      <x:c r="B19" s="26" t="str">
        <x:v>EC-13</x:v>
      </x:c>
      <x:c r="C19" s="26" t="str">
        <x:v>metrology and instrumentation</x:v>
      </x:c>
      <x:c r="D19" s="26" t="n">
        <x:v>1</x:v>
      </x:c>
      <x:c r="E19" s="26" t="str"/>
      <x:c r="F19" s="26" t="str"/>
      <x:c r="G19" s="26" t="str"/>
      <x:c r="H19" s="26" t="str"/>
      <x:c r="I19" s="26" t="str"/>
      <x:c r="J19" s="26" t="str">
        <x:f>IF(I19="","OPEN",IF(AND(E19&lt;&gt;"",F19&lt;&gt;"",G19&lt;&gt;"",H19="PASS"),"PASS","FAIL"))</x:f>
        <x:v>OPEN</x:v>
      </x:c>
    </x:row>
    <x:row r="20">
      <x:c r="B20" s="26" t="str">
        <x:v>EC-14</x:v>
      </x:c>
      <x:c r="C20" s="26" t="str">
        <x:v>metrology and instrumentation</x:v>
      </x:c>
      <x:c r="D20" s="26" t="n">
        <x:v>2</x:v>
      </x:c>
      <x:c r="E20" s="26" t="str"/>
      <x:c r="F20" s="26" t="str"/>
      <x:c r="G20" s="26" t="str"/>
      <x:c r="H20" s="26" t="str"/>
      <x:c r="I20" s="26" t="str"/>
      <x:c r="J20" s="26" t="str">
        <x:f>IF(I20="","OPEN",IF(AND(E20&lt;&gt;"",F20&lt;&gt;"",G20&lt;&gt;"",H20="PASS"),"PASS","FAIL"))</x:f>
        <x:v>OPEN</x:v>
      </x:c>
    </x:row>
    <x:row r="21">
      <x:c r="B21" s="26" t="str">
        <x:v>EC-15</x:v>
      </x:c>
      <x:c r="C21" s="26" t="str">
        <x:v>metrology and instrumentation</x:v>
      </x:c>
      <x:c r="D21" s="26" t="n">
        <x:v>3</x:v>
      </x:c>
      <x:c r="E21" s="26" t="str"/>
      <x:c r="F21" s="26" t="str"/>
      <x:c r="G21" s="26" t="str"/>
      <x:c r="H21" s="26" t="str"/>
      <x:c r="I21" s="26" t="str"/>
      <x:c r="J21" s="26" t="str">
        <x:f>IF(I21="","OPEN",IF(AND(E21&lt;&gt;"",F21&lt;&gt;"",G21&lt;&gt;"",H21="PASS"),"PASS","FAIL"))</x:f>
        <x:v>OPEN</x:v>
      </x:c>
    </x:row>
    <x:row r="22">
      <x:c r="B22" s="26" t="str">
        <x:v>EC-16</x:v>
      </x:c>
      <x:c r="C22" s="26" t="str">
        <x:v>metrology and instrumentation</x:v>
      </x:c>
      <x:c r="D22" s="26" t="n">
        <x:v>4</x:v>
      </x:c>
      <x:c r="E22" s="26" t="str"/>
      <x:c r="F22" s="26" t="str"/>
      <x:c r="G22" s="26" t="str"/>
      <x:c r="H22" s="26" t="str"/>
      <x:c r="I22" s="26" t="str"/>
      <x:c r="J22" s="26" t="str">
        <x:f>IF(I22="","OPEN",IF(AND(E22&lt;&gt;"",F22&lt;&gt;"",G22&lt;&gt;"",H22="PASS"),"PASS","FAIL"))</x:f>
        <x:v>OPEN</x:v>
      </x:c>
    </x:row>
    <x:row r="23">
      <x:c r="B23" s="26" t="str">
        <x:v>EC-17</x:v>
      </x:c>
      <x:c r="C23" s="26" t="str">
        <x:v>metrology and instrumentation</x:v>
      </x:c>
      <x:c r="D23" s="26" t="n">
        <x:v>5</x:v>
      </x:c>
      <x:c r="E23" s="26" t="str"/>
      <x:c r="F23" s="26" t="str"/>
      <x:c r="G23" s="26" t="str"/>
      <x:c r="H23" s="26" t="str"/>
      <x:c r="I23" s="26" t="str"/>
      <x:c r="J23" s="26" t="str">
        <x:f>IF(I23="","OPEN",IF(AND(E23&lt;&gt;"",F23&lt;&gt;"",G23&lt;&gt;"",H23="PASS"),"PASS","FAIL"))</x:f>
        <x:v>OPEN</x:v>
      </x:c>
    </x:row>
    <x:row r="24">
      <x:c r="B24" s="26" t="str">
        <x:v>EC-18</x:v>
      </x:c>
      <x:c r="C24" s="26" t="str">
        <x:v>metrology and instrumentation</x:v>
      </x:c>
      <x:c r="D24" s="26" t="n">
        <x:v>6</x:v>
      </x:c>
      <x:c r="E24" s="26" t="str"/>
      <x:c r="F24" s="26" t="str"/>
      <x:c r="G24" s="26" t="str"/>
      <x:c r="H24" s="26" t="str"/>
      <x:c r="I24" s="26" t="str"/>
      <x:c r="J24" s="26" t="str">
        <x:f>IF(I24="","OPEN",IF(AND(E24&lt;&gt;"",F24&lt;&gt;"",G24&lt;&gt;"",H24="PASS"),"PASS","FAIL"))</x:f>
        <x:v>OPEN</x:v>
      </x:c>
    </x:row>
    <x:row r="25">
      <x:c r="B25" s="26" t="str">
        <x:v>EC-19</x:v>
      </x:c>
      <x:c r="C25" s="26" t="str">
        <x:v>metrology and instrumentation</x:v>
      </x:c>
      <x:c r="D25" s="26" t="n">
        <x:v>7</x:v>
      </x:c>
      <x:c r="E25" s="26" t="str"/>
      <x:c r="F25" s="26" t="str"/>
      <x:c r="G25" s="26" t="str"/>
      <x:c r="H25" s="26" t="str"/>
      <x:c r="I25" s="26" t="str"/>
      <x:c r="J25" s="26" t="str">
        <x:f>IF(I25="","OPEN",IF(AND(E25&lt;&gt;"",F25&lt;&gt;"",G25&lt;&gt;"",H25="PASS"),"PASS","FAIL"))</x:f>
        <x:v>OPEN</x:v>
      </x:c>
    </x:row>
    <x:row r="26">
      <x:c r="B26" s="26" t="str">
        <x:v>EC-20</x:v>
      </x:c>
      <x:c r="C26" s="26" t="str">
        <x:v>metrology and instrumentation</x:v>
      </x:c>
      <x:c r="D26" s="26" t="n">
        <x:v>8</x:v>
      </x:c>
      <x:c r="E26" s="26" t="str"/>
      <x:c r="F26" s="26" t="str"/>
      <x:c r="G26" s="26" t="str"/>
      <x:c r="H26" s="26" t="str"/>
      <x:c r="I26" s="26" t="str"/>
      <x:c r="J26" s="26" t="str">
        <x:f>IF(I26="","OPEN",IF(AND(E26&lt;&gt;"",F26&lt;&gt;"",G26&lt;&gt;"",H26="PASS"),"PASS","FAIL"))</x:f>
        <x:v>OPEN</x:v>
      </x:c>
    </x:row>
    <x:row r="27">
      <x:c r="B27" s="26" t="str">
        <x:v>EC-21</x:v>
      </x:c>
      <x:c r="C27" s="26" t="str">
        <x:v>evidence and causal time</x:v>
      </x:c>
      <x:c r="D27" s="26" t="n">
        <x:v>1</x:v>
      </x:c>
      <x:c r="E27" s="26" t="str"/>
      <x:c r="F27" s="26" t="str"/>
      <x:c r="G27" s="26" t="str"/>
      <x:c r="H27" s="26" t="str"/>
      <x:c r="I27" s="26" t="str"/>
      <x:c r="J27" s="26" t="str">
        <x:f>IF(I27="","OPEN",IF(AND(E27&lt;&gt;"",F27&lt;&gt;"",G27&lt;&gt;"",H27="PASS"),"PASS","FAIL"))</x:f>
        <x:v>OPEN</x:v>
      </x:c>
    </x:row>
    <x:row r="28">
      <x:c r="B28" s="26" t="str">
        <x:v>EC-22</x:v>
      </x:c>
      <x:c r="C28" s="26" t="str">
        <x:v>evidence and causal time</x:v>
      </x:c>
      <x:c r="D28" s="26" t="n">
        <x:v>2</x:v>
      </x:c>
      <x:c r="E28" s="26" t="str"/>
      <x:c r="F28" s="26" t="str"/>
      <x:c r="G28" s="26" t="str"/>
      <x:c r="H28" s="26" t="str"/>
      <x:c r="I28" s="26" t="str"/>
      <x:c r="J28" s="26" t="str">
        <x:f>IF(I28="","OPEN",IF(AND(E28&lt;&gt;"",F28&lt;&gt;"",G28&lt;&gt;"",H28="PASS"),"PASS","FAIL"))</x:f>
        <x:v>OPEN</x:v>
      </x:c>
    </x:row>
    <x:row r="29">
      <x:c r="B29" s="26" t="str">
        <x:v>EC-23</x:v>
      </x:c>
      <x:c r="C29" s="26" t="str">
        <x:v>evidence and causal time</x:v>
      </x:c>
      <x:c r="D29" s="26" t="n">
        <x:v>3</x:v>
      </x:c>
      <x:c r="E29" s="26" t="str"/>
      <x:c r="F29" s="26" t="str"/>
      <x:c r="G29" s="26" t="str"/>
      <x:c r="H29" s="26" t="str"/>
      <x:c r="I29" s="26" t="str"/>
      <x:c r="J29" s="26" t="str">
        <x:f>IF(I29="","OPEN",IF(AND(E29&lt;&gt;"",F29&lt;&gt;"",G29&lt;&gt;"",H29="PASS"),"PASS","FAIL"))</x:f>
        <x:v>OPEN</x:v>
      </x:c>
    </x:row>
    <x:row r="30">
      <x:c r="B30" s="26" t="str">
        <x:v>EC-24</x:v>
      </x:c>
      <x:c r="C30" s="26" t="str">
        <x:v>evidence and causal time</x:v>
      </x:c>
      <x:c r="D30" s="26" t="n">
        <x:v>4</x:v>
      </x:c>
      <x:c r="E30" s="26" t="str"/>
      <x:c r="F30" s="26" t="str"/>
      <x:c r="G30" s="26" t="str"/>
      <x:c r="H30" s="26" t="str"/>
      <x:c r="I30" s="26" t="str"/>
      <x:c r="J30" s="26" t="str">
        <x:f>IF(I30="","OPEN",IF(AND(E30&lt;&gt;"",F30&lt;&gt;"",G30&lt;&gt;"",H30="PASS"),"PASS","FAIL"))</x:f>
        <x:v>OPEN</x:v>
      </x:c>
    </x:row>
    <x:row r="31">
      <x:c r="B31" s="26" t="str">
        <x:v>EC-25</x:v>
      </x:c>
      <x:c r="C31" s="26" t="str">
        <x:v>evidence and causal time</x:v>
      </x:c>
      <x:c r="D31" s="26" t="n">
        <x:v>5</x:v>
      </x:c>
      <x:c r="E31" s="26" t="str"/>
      <x:c r="F31" s="26" t="str"/>
      <x:c r="G31" s="26" t="str"/>
      <x:c r="H31" s="26" t="str"/>
      <x:c r="I31" s="26" t="str"/>
      <x:c r="J31" s="26" t="str">
        <x:f>IF(I31="","OPEN",IF(AND(E31&lt;&gt;"",F31&lt;&gt;"",G31&lt;&gt;"",H31="PASS"),"PASS","FAIL"))</x:f>
        <x:v>OPEN</x:v>
      </x:c>
    </x:row>
    <x:row r="32">
      <x:c r="B32" s="26" t="str">
        <x:v>EC-26</x:v>
      </x:c>
      <x:c r="C32" s="26" t="str">
        <x:v>evidence and causal time</x:v>
      </x:c>
      <x:c r="D32" s="26" t="n">
        <x:v>6</x:v>
      </x:c>
      <x:c r="E32" s="26" t="str"/>
      <x:c r="F32" s="26" t="str"/>
      <x:c r="G32" s="26" t="str"/>
      <x:c r="H32" s="26" t="str"/>
      <x:c r="I32" s="26" t="str"/>
      <x:c r="J32" s="26" t="str">
        <x:f>IF(I32="","OPEN",IF(AND(E32&lt;&gt;"",F32&lt;&gt;"",G32&lt;&gt;"",H32="PASS"),"PASS","FAIL"))</x:f>
        <x:v>OPEN</x:v>
      </x:c>
    </x:row>
    <x:row r="33">
      <x:c r="B33" s="26" t="str">
        <x:v>EC-27</x:v>
      </x:c>
      <x:c r="C33" s="26" t="str">
        <x:v>safeing</x:v>
      </x:c>
      <x:c r="D33" s="26" t="n">
        <x:v>1</x:v>
      </x:c>
      <x:c r="E33" s="26" t="str"/>
      <x:c r="F33" s="26" t="str"/>
      <x:c r="G33" s="26" t="str"/>
      <x:c r="H33" s="26" t="str"/>
      <x:c r="I33" s="26" t="str"/>
      <x:c r="J33" s="26" t="str">
        <x:f>IF(I33="","OPEN",IF(AND(E33&lt;&gt;"",F33&lt;&gt;"",G33&lt;&gt;"",H33="PASS"),"PASS","FAIL"))</x:f>
        <x:v>OPEN</x:v>
      </x:c>
    </x:row>
    <x:row r="34">
      <x:c r="B34" s="26" t="str">
        <x:v>EC-28</x:v>
      </x:c>
      <x:c r="C34" s="26" t="str">
        <x:v>safeing</x:v>
      </x:c>
      <x:c r="D34" s="26" t="n">
        <x:v>2</x:v>
      </x:c>
      <x:c r="E34" s="26" t="str"/>
      <x:c r="F34" s="26" t="str"/>
      <x:c r="G34" s="26" t="str"/>
      <x:c r="H34" s="26" t="str"/>
      <x:c r="I34" s="26" t="str"/>
      <x:c r="J34" s="26" t="str">
        <x:f>IF(I34="","OPEN",IF(AND(E34&lt;&gt;"",F34&lt;&gt;"",G34&lt;&gt;"",H34="PASS"),"PASS","FAIL"))</x:f>
        <x:v>OPEN</x:v>
      </x:c>
    </x:row>
    <x:row r="35">
      <x:c r="B35" s="26" t="str">
        <x:v>EC-29</x:v>
      </x:c>
      <x:c r="C35" s="26" t="str">
        <x:v>safeing</x:v>
      </x:c>
      <x:c r="D35" s="26" t="n">
        <x:v>3</x:v>
      </x:c>
      <x:c r="E35" s="26" t="str"/>
      <x:c r="F35" s="26" t="str"/>
      <x:c r="G35" s="26" t="str"/>
      <x:c r="H35" s="26" t="str"/>
      <x:c r="I35" s="26" t="str"/>
      <x:c r="J35" s="26" t="str">
        <x:f>IF(I35="","OPEN",IF(AND(E35&lt;&gt;"",F35&lt;&gt;"",G35&lt;&gt;"",H35="PASS"),"PASS","FAIL"))</x:f>
        <x:v>OPEN</x:v>
      </x:c>
    </x:row>
    <x:row r="36">
      <x:c r="B36" s="26" t="str">
        <x:v>EC-30</x:v>
      </x:c>
      <x:c r="C36" s="26" t="str">
        <x:v>safeing</x:v>
      </x:c>
      <x:c r="D36" s="26" t="n">
        <x:v>4</x:v>
      </x:c>
      <x:c r="E36" s="26" t="str"/>
      <x:c r="F36" s="26" t="str"/>
      <x:c r="G36" s="26" t="str"/>
      <x:c r="H36" s="26" t="str"/>
      <x:c r="I36" s="26" t="str"/>
      <x:c r="J36" s="26" t="str">
        <x:f>IF(I36="","OPEN",IF(AND(E36&lt;&gt;"",F36&lt;&gt;"",G36&lt;&gt;"",H36="PASS"),"PASS","FAIL"))</x:f>
        <x:v>OPEN</x:v>
      </x:c>
    </x:row>
    <x:row r="37">
      <x:c r="B37" s="26" t="str">
        <x:v>EC-31</x:v>
      </x:c>
      <x:c r="C37" s="26" t="str">
        <x:v>safety and rescue</x:v>
      </x:c>
      <x:c r="D37" s="26" t="n">
        <x:v>1</x:v>
      </x:c>
      <x:c r="E37" s="26" t="str"/>
      <x:c r="F37" s="26" t="str"/>
      <x:c r="G37" s="26" t="str"/>
      <x:c r="H37" s="26" t="str"/>
      <x:c r="I37" s="26" t="str"/>
      <x:c r="J37" s="26" t="str">
        <x:f>IF(I37="","OPEN",IF(AND(E37&lt;&gt;"",F37&lt;&gt;"",G37&lt;&gt;"",H37="PASS"),"PASS","FAIL"))</x:f>
        <x:v>OPEN</x:v>
      </x:c>
    </x:row>
    <x:row r="38">
      <x:c r="B38" s="26" t="str">
        <x:v>EC-32</x:v>
      </x:c>
      <x:c r="C38" s="26" t="str">
        <x:v>safety and rescue</x:v>
      </x:c>
      <x:c r="D38" s="26" t="n">
        <x:v>2</x:v>
      </x:c>
      <x:c r="E38" s="26" t="str"/>
      <x:c r="F38" s="26" t="str"/>
      <x:c r="G38" s="26" t="str"/>
      <x:c r="H38" s="26" t="str"/>
      <x:c r="I38" s="26" t="str"/>
      <x:c r="J38" s="26" t="str">
        <x:f>IF(I38="","OPEN",IF(AND(E38&lt;&gt;"",F38&lt;&gt;"",G38&lt;&gt;"",H38="PASS"),"PASS","FAIL"))</x:f>
        <x:v>OPEN</x:v>
      </x:c>
    </x:row>
    <x:row r="39">
      <x:c r="B39" s="26" t="str">
        <x:v>EC-33</x:v>
      </x:c>
      <x:c r="C39" s="26" t="str">
        <x:v>safety and rescue</x:v>
      </x:c>
      <x:c r="D39" s="26" t="n">
        <x:v>3</x:v>
      </x:c>
      <x:c r="E39" s="26" t="str"/>
      <x:c r="F39" s="26" t="str"/>
      <x:c r="G39" s="26" t="str"/>
      <x:c r="H39" s="26" t="str"/>
      <x:c r="I39" s="26" t="str"/>
      <x:c r="J39" s="26" t="str">
        <x:f>IF(I39="","OPEN",IF(AND(E39&lt;&gt;"",F39&lt;&gt;"",G39&lt;&gt;"",H39="PASS"),"PASS","FAIL"))</x:f>
        <x:v>OPEN</x:v>
      </x:c>
    </x:row>
    <x:row r="40">
      <x:c r="B40" s="26" t="str">
        <x:v>EC-34</x:v>
      </x:c>
      <x:c r="C40" s="26" t="str">
        <x:v>safety and rescue</x:v>
      </x:c>
      <x:c r="D40" s="26" t="n">
        <x:v>4</x:v>
      </x:c>
      <x:c r="E40" s="26" t="str"/>
      <x:c r="F40" s="26" t="str"/>
      <x:c r="G40" s="26" t="str"/>
      <x:c r="H40" s="26" t="str"/>
      <x:c r="I40" s="26" t="str"/>
      <x:c r="J40" s="26" t="str">
        <x:f>IF(I40="","OPEN",IF(AND(E40&lt;&gt;"",F40&lt;&gt;"",G40&lt;&gt;"",H40="PASS"),"PASS","FAIL"))</x:f>
        <x:v>OPEN</x:v>
      </x:c>
    </x:row>
    <x:row r="41">
      <x:c r="B41" s="26" t="str">
        <x:v>EC-35</x:v>
      </x:c>
      <x:c r="C41" s="26" t="str">
        <x:v>environment and samples</x:v>
      </x:c>
      <x:c r="D41" s="26" t="n">
        <x:v>1</x:v>
      </x:c>
      <x:c r="E41" s="26" t="str"/>
      <x:c r="F41" s="26" t="str"/>
      <x:c r="G41" s="26" t="str"/>
      <x:c r="H41" s="26" t="str"/>
      <x:c r="I41" s="26" t="str"/>
      <x:c r="J41" s="26" t="str">
        <x:f>IF(I41="","OPEN",IF(AND(E41&lt;&gt;"",F41&lt;&gt;"",G41&lt;&gt;"",H41="PASS"),"PASS","FAIL"))</x:f>
        <x:v>OPEN</x:v>
      </x:c>
    </x:row>
    <x:row r="42">
      <x:c r="B42" s="26" t="str">
        <x:v>EC-36</x:v>
      </x:c>
      <x:c r="C42" s="26" t="str">
        <x:v>environment and samples</x:v>
      </x:c>
      <x:c r="D42" s="26" t="n">
        <x:v>2</x:v>
      </x:c>
      <x:c r="E42" s="26" t="str"/>
      <x:c r="F42" s="26" t="str"/>
      <x:c r="G42" s="26" t="str"/>
      <x:c r="H42" s="26" t="str"/>
      <x:c r="I42" s="26" t="str"/>
      <x:c r="J42" s="26" t="str">
        <x:f>IF(I42="","OPEN",IF(AND(E42&lt;&gt;"",F42&lt;&gt;"",G42&lt;&gt;"",H42="PASS"),"PASS","FAIL"))</x:f>
        <x:v>OPEN</x:v>
      </x:c>
    </x:row>
    <x:row r="43">
      <x:c r="B43" s="26" t="str">
        <x:v>EC-37</x:v>
      </x:c>
      <x:c r="C43" s="26" t="str">
        <x:v>environment and samples</x:v>
      </x:c>
      <x:c r="D43" s="26" t="n">
        <x:v>3</x:v>
      </x:c>
      <x:c r="E43" s="26" t="str"/>
      <x:c r="F43" s="26" t="str"/>
      <x:c r="G43" s="26" t="str"/>
      <x:c r="H43" s="26" t="str"/>
      <x:c r="I43" s="26" t="str"/>
      <x:c r="J43" s="26" t="str">
        <x:f>IF(I43="","OPEN",IF(AND(E43&lt;&gt;"",F43&lt;&gt;"",G43&lt;&gt;"",H43="PASS"),"PASS","FAIL"))</x:f>
        <x:v>OPEN</x:v>
      </x:c>
    </x:row>
    <x:row r="44">
      <x:c r="B44" s="26" t="str">
        <x:v>EC-38</x:v>
      </x:c>
      <x:c r="C44" s="26" t="str">
        <x:v>environment and samples</x:v>
      </x:c>
      <x:c r="D44" s="26" t="n">
        <x:v>4</x:v>
      </x:c>
      <x:c r="E44" s="26" t="str"/>
      <x:c r="F44" s="26" t="str"/>
      <x:c r="G44" s="26" t="str"/>
      <x:c r="H44" s="26" t="str"/>
      <x:c r="I44" s="26" t="str"/>
      <x:c r="J44" s="26" t="str">
        <x:f>IF(I44="","OPEN",IF(AND(E44&lt;&gt;"",F44&lt;&gt;"",G44&lt;&gt;"",H44="PASS"),"PASS","FAIL"))</x:f>
        <x:v>OPEN</x:v>
      </x:c>
    </x:row>
    <x:row r="45">
      <x:c r="B45" s="26" t="str">
        <x:v>EC-39</x:v>
      </x:c>
      <x:c r="C45" s="26" t="str">
        <x:v>independent observation</x:v>
      </x:c>
      <x:c r="D45" s="26" t="n">
        <x:v>1</x:v>
      </x:c>
      <x:c r="E45" s="26" t="str"/>
      <x:c r="F45" s="26" t="str"/>
      <x:c r="G45" s="26" t="str"/>
      <x:c r="H45" s="26" t="str"/>
      <x:c r="I45" s="26" t="str"/>
      <x:c r="J45" s="26" t="str">
        <x:f>IF(I45="","OPEN",IF(AND(E45&lt;&gt;"",F45&lt;&gt;"",G45&lt;&gt;"",H45="PASS"),"PASS","FAIL"))</x:f>
        <x:v>OPEN</x:v>
      </x:c>
    </x:row>
    <x:row r="46">
      <x:c r="B46" s="26" t="str">
        <x:v>EC-40</x:v>
      </x:c>
      <x:c r="C46" s="26" t="str">
        <x:v>independent observation</x:v>
      </x:c>
      <x:c r="D46" s="26" t="n">
        <x:v>2</x:v>
      </x:c>
      <x:c r="E46" s="26" t="str"/>
      <x:c r="F46" s="26" t="str"/>
      <x:c r="G46" s="26" t="str"/>
      <x:c r="H46" s="26" t="str"/>
      <x:c r="I46" s="26" t="str"/>
      <x:c r="J46" s="26" t="str">
        <x:f>IF(I46="","OPEN",IF(AND(E46&lt;&gt;"",F46&lt;&gt;"",G46&lt;&gt;"",H46="PASS"),"PASS","FAIL"))</x:f>
        <x:v>OPEN</x:v>
      </x:c>
    </x:row>
  </x:sheetData>
  <x:conditionalFormatting sqref="J7:J46">
    <x:cfRule type="containsText" dxfId="45" priority="1" operator="containsText" text="FAIL"/>
    <x:cfRule type="containsText" dxfId="46" priority="2" operator="containsText" text="BLOCKED"/>
    <x:cfRule type="containsText" dxfId="47" priority="3" operator="containsText" text="INVALID"/>
    <x:cfRule type="containsText" dxfId="48" priority="4" operator="containsText" text="ADVERSE"/>
    <x:cfRule type="containsText" dxfId="49" priority="5" operator="containsText" text="EXPIRED"/>
    <x:cfRule type="containsText" dxfId="50" priority="6" operator="containsText" text="OPEN"/>
    <x:cfRule type="containsText" dxfId="51" priority="7" operator="containsText" text="DORMANT"/>
    <x:cfRule type="containsText" dxfId="52" priority="8" operator="containsText" text="PASS"/>
    <x:cfRule type="containsText" dxfId="53" priority="9" operator="containsText" text="AVAILABLE"/>
  </x:conditionalFormatting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20" hidden="0" customWidth="1"/>
    <x:col min="3" max="3" width="18" hidden="0" customWidth="1"/>
    <x:col min="4" max="4" width="38" hidden="0" customWidth="1"/>
    <x:col min="5" max="5" width="20" hidden="0" customWidth="1"/>
    <x:col min="6" max="6" width="38" hidden="0" customWidth="1"/>
    <x:col min="7" max="7" width="22" hidden="0" customWidth="1"/>
    <x:col min="8" max="8" width="22" hidden="0" customWidth="1"/>
    <x:col min="9" max="9" width="22" hidden="0" customWidth="1"/>
    <x:col min="10" max="10" width="14" hidden="0" customWidth="1"/>
  </x:cols>
  <x:sheetData>
    <x:row r="2">
      <x:c r="B2" s="39" t="str">
        <x:v>One expiring QE-01 event issue</x:v>
      </x:c>
      <x:c r="C2" s="26"/>
      <x:c r="D2" s="26"/>
      <x:c r="E2" s="26"/>
      <x:c r="F2" s="26"/>
      <x:c r="G2" s="26"/>
      <x:c r="H2" s="26"/>
      <x:c r="I2" s="26"/>
      <x:c r="J2" s="26"/>
    </x:row>
    <x:row r="3">
      <x:c r="B3" s="40" t="str">
        <x:v>Issue consumes the selected article, rig, crew, campus slot and evidence estate. It lapses if T0 does not occur inside its window.</x:v>
      </x:c>
      <x:c r="C3" s="26"/>
      <x:c r="D3" s="26"/>
      <x:c r="E3" s="26"/>
      <x:c r="F3" s="26"/>
      <x:c r="G3" s="26"/>
      <x:c r="H3" s="26"/>
      <x:c r="I3" s="26"/>
      <x:c r="J3" s="26"/>
    </x:row>
    <x:row r="4">
      <x:c r="B4" s="26"/>
      <x:c r="C4" s="26"/>
      <x:c r="D4" s="26"/>
      <x:c r="E4" s="26"/>
      <x:c r="F4" s="26"/>
      <x:c r="G4" s="26"/>
      <x:c r="H4" s="26"/>
      <x:c r="I4" s="26"/>
      <x:c r="J4" s="26"/>
    </x:row>
    <x:row r="5">
      <x:c r="B5" s="26"/>
      <x:c r="C5" s="26"/>
      <x:c r="D5" s="26"/>
      <x:c r="E5" s="26"/>
      <x:c r="F5" s="26"/>
      <x:c r="G5" s="26"/>
      <x:c r="H5" s="26"/>
      <x:c r="I5" s="26"/>
      <x:c r="J5" s="26"/>
    </x:row>
    <x:row r="6" ht="24" customHeight="1">
      <x:c r="B6" s="41" t="str">
        <x:v>Issue</x:v>
      </x:c>
      <x:c r="C6" s="41" t="str">
        <x:v>Event</x:v>
      </x:c>
      <x:c r="D6" s="41" t="str">
        <x:v>Selected cell</x:v>
      </x:c>
      <x:c r="E6" s="41" t="str">
        <x:v>Event date</x:v>
      </x:c>
      <x:c r="F6" s="41" t="str">
        <x:v>Baseline root</x:v>
      </x:c>
      <x:c r="G6" s="41" t="str">
        <x:v>Issue accepted UTC</x:v>
      </x:c>
      <x:c r="H6" s="41" t="str">
        <x:v>Issue expires UTC</x:v>
      </x:c>
      <x:c r="I6" s="41" t="str">
        <x:v>T0 UTC</x:v>
      </x:c>
      <x:c r="J6" s="41" t="str">
        <x:v>State</x:v>
      </x:c>
    </x:row>
    <x:row r="7">
      <x:c r="B7" s="26" t="str">
        <x:v>ISS-QE01-0001</x:v>
      </x:c>
      <x:c r="C7" s="26" t="str">
        <x:v>QE01-0001</x:v>
      </x:c>
      <x:c r="D7" s="26" t="n">
        <x:f>'Event Selection'!F7</x:f>
        <x:v>0</x:v>
      </x:c>
      <x:c r="E7" s="32" t="str">
        <x:f>'Controls'!$D$78</x:f>
      </x:c>
      <x:c r="F7" s="32" t="str"/>
      <x:c r="G7" s="32" t="str"/>
      <x:c r="H7" s="32" t="str"/>
      <x:c r="I7" s="26" t="str"/>
      <x:c r="J7" s="26" t="str">
        <x:f>IF(G7="","OPEN",IF(AND('Event Selection'!J7="PASS",COUNTIFS('Dossier Bindings'!J7:J198,"PASS")=192,COUNTIFS('Event Crew'!J7:J46,"PASS")=40,E7='Controls'!$D$78,F7&lt;&gt;"",I7&gt;=G7,I7&lt;=H7,'Controls'!$D$83=1,COUNTIFS(Exceptions!J7:J22,"OPEN")=0,COUNTIFS(Exceptions!J7:J22,"FAIL")=0),"PASS","FAIL"))</x:f>
        <x:v>OPEN</x:v>
      </x:c>
    </x:row>
  </x:sheetData>
  <x:conditionalFormatting sqref="J7:J7">
    <x:cfRule type="containsText" dxfId="54" priority="1" operator="containsText" text="FAIL"/>
    <x:cfRule type="containsText" dxfId="55" priority="2" operator="containsText" text="BLOCKED"/>
    <x:cfRule type="containsText" dxfId="56" priority="3" operator="containsText" text="INVALID"/>
    <x:cfRule type="containsText" dxfId="57" priority="4" operator="containsText" text="ADVERSE"/>
    <x:cfRule type="containsText" dxfId="58" priority="5" operator="containsText" text="EXPIRED"/>
    <x:cfRule type="containsText" dxfId="59" priority="6" operator="containsText" text="OPEN"/>
    <x:cfRule type="containsText" dxfId="60" priority="7" operator="containsText" text="DORMANT"/>
    <x:cfRule type="containsText" dxfId="61" priority="8" operator="containsText" text="PASS"/>
    <x:cfRule type="containsText" dxfId="62" priority="9" operator="containsText" text="AVAILABLE"/>
  </x:conditionalFormatting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5" hidden="0" customWidth="1"/>
    <x:col min="3" max="3" width="12" hidden="0" customWidth="1"/>
    <x:col min="4" max="4" width="39" hidden="0" customWidth="1"/>
    <x:col min="5" max="5" width="34" hidden="0" customWidth="1"/>
    <x:col min="6" max="6" width="34" hidden="0" customWidth="1"/>
    <x:col min="7" max="7" width="22" hidden="0" customWidth="1"/>
    <x:col min="8" max="8" width="21" hidden="0" customWidth="1"/>
    <x:col min="9" max="9" width="14" hidden="0" customWidth="1"/>
  </x:cols>
  <x:sheetData>
    <x:row r="2">
      <x:c r="B2" s="39" t="str">
        <x:v>Twenty-four configuration-freeze records</x:v>
      </x:c>
      <x:c r="C2" s="26"/>
      <x:c r="D2" s="26"/>
      <x:c r="E2" s="26"/>
      <x:c r="F2" s="26"/>
      <x:c r="G2" s="26"/>
      <x:c r="H2" s="26"/>
      <x:c r="I2" s="26"/>
    </x:row>
    <x:row r="3">
      <x:c r="B3" s="40" t="str">
        <x:v>Every governing object receives one root at T-96 hours. A later change expires the event issue.</x:v>
      </x:c>
      <x:c r="C3" s="26"/>
      <x:c r="D3" s="26"/>
      <x:c r="E3" s="26"/>
      <x:c r="F3" s="26"/>
      <x:c r="G3" s="26"/>
      <x:c r="H3" s="26"/>
      <x:c r="I3" s="26"/>
    </x:row>
    <x:row r="4">
      <x:c r="B4" s="26"/>
      <x:c r="C4" s="26"/>
      <x:c r="D4" s="26"/>
      <x:c r="E4" s="26"/>
      <x:c r="F4" s="26"/>
      <x:c r="G4" s="26"/>
      <x:c r="H4" s="26"/>
      <x:c r="I4" s="26"/>
    </x:row>
    <x:row r="5">
      <x:c r="B5" s="26"/>
      <x:c r="C5" s="26"/>
      <x:c r="D5" s="26"/>
      <x:c r="E5" s="26"/>
      <x:c r="F5" s="26"/>
      <x:c r="G5" s="26"/>
      <x:c r="H5" s="26"/>
      <x:c r="I5" s="26"/>
    </x:row>
    <x:row r="6" ht="24" customHeight="1">
      <x:c r="B6" s="41" t="str">
        <x:v>Record</x:v>
      </x:c>
      <x:c r="C6" s="41" t="str">
        <x:v>Domain</x:v>
      </x:c>
      <x:c r="D6" s="41" t="str">
        <x:v>Requirement</x:v>
      </x:c>
      <x:c r="E6" s="41" t="str">
        <x:v>Expected root</x:v>
      </x:c>
      <x:c r="F6" s="41" t="str">
        <x:v>Observed root</x:v>
      </x:c>
      <x:c r="G6" s="41" t="str">
        <x:v>Freeze UTC</x:v>
      </x:c>
      <x:c r="H6" s="41" t="str">
        <x:v>Accepted UTC</x:v>
      </x:c>
      <x:c r="I6" s="41" t="str">
        <x:v>State</x:v>
      </x:c>
    </x:row>
    <x:row r="7">
      <x:c r="B7" s="26" t="str">
        <x:v>CF-01</x:v>
      </x:c>
      <x:c r="C7" s="26" t="n">
        <x:v>1</x:v>
      </x:c>
      <x:c r="D7" s="26" t="str">
        <x:v>article configuration</x:v>
      </x:c>
      <x:c r="E7" s="26" t="str"/>
      <x:c r="F7" s="26" t="str"/>
      <x:c r="G7" s="26" t="str"/>
      <x:c r="H7" s="26" t="str"/>
      <x:c r="I7" s="26" t="str">
        <x:f>IF(H7="","OPEN",IF(AND(E7&lt;&gt;"",F7=E7,G7&lt;&gt;""),"PASS","FAIL"))</x:f>
        <x:v>OPEN</x:v>
      </x:c>
    </x:row>
    <x:row r="8">
      <x:c r="B8" s="26" t="str">
        <x:v>CF-02</x:v>
      </x:c>
      <x:c r="C8" s="26" t="n">
        <x:v>2</x:v>
      </x:c>
      <x:c r="D8" s="26" t="str">
        <x:v>rig configuration</x:v>
      </x:c>
      <x:c r="E8" s="26" t="str"/>
      <x:c r="F8" s="26" t="str"/>
      <x:c r="G8" s="26" t="str"/>
      <x:c r="H8" s="26" t="str"/>
      <x:c r="I8" s="26" t="str">
        <x:f>IF(H8="","OPEN",IF(AND(E8&lt;&gt;"",F8=E8,G8&lt;&gt;""),"PASS","FAIL"))</x:f>
        <x:v>OPEN</x:v>
      </x:c>
    </x:row>
    <x:row r="9">
      <x:c r="B9" s="26" t="str">
        <x:v>CF-03</x:v>
      </x:c>
      <x:c r="C9" s="26" t="n">
        <x:v>3</x:v>
      </x:c>
      <x:c r="D9" s="26" t="str">
        <x:v>public datum</x:v>
      </x:c>
      <x:c r="E9" s="26" t="str"/>
      <x:c r="F9" s="26" t="str"/>
      <x:c r="G9" s="26" t="str"/>
      <x:c r="H9" s="26" t="str"/>
      <x:c r="I9" s="26" t="str">
        <x:f>IF(H9="","OPEN",IF(AND(E9&lt;&gt;"",F9=E9,G9&lt;&gt;""),"PASS","FAIL"))</x:f>
        <x:v>OPEN</x:v>
      </x:c>
    </x:row>
    <x:row r="10">
      <x:c r="B10" s="26" t="str">
        <x:v>CF-04</x:v>
      </x:c>
      <x:c r="C10" s="26" t="n">
        <x:v>4</x:v>
      </x:c>
      <x:c r="D10" s="26" t="str">
        <x:v>route geometry</x:v>
      </x:c>
      <x:c r="E10" s="26" t="str"/>
      <x:c r="F10" s="26" t="str"/>
      <x:c r="G10" s="26" t="str"/>
      <x:c r="H10" s="26" t="str"/>
      <x:c r="I10" s="26" t="str">
        <x:f>IF(H10="","OPEN",IF(AND(E10&lt;&gt;"",F10=E10,G10&lt;&gt;""),"PASS","FAIL"))</x:f>
        <x:v>OPEN</x:v>
      </x:c>
    </x:row>
    <x:row r="11">
      <x:c r="B11" s="26" t="str">
        <x:v>CF-05</x:v>
      </x:c>
      <x:c r="C11" s="26" t="n">
        <x:v>5</x:v>
      </x:c>
      <x:c r="D11" s="26" t="str">
        <x:v>normal source receiver</x:v>
      </x:c>
      <x:c r="E11" s="26" t="str"/>
      <x:c r="F11" s="26" t="str"/>
      <x:c r="G11" s="26" t="str"/>
      <x:c r="H11" s="26" t="str"/>
      <x:c r="I11" s="26" t="str">
        <x:f>IF(H11="","OPEN",IF(AND(E11&lt;&gt;"",F11=E11,G11&lt;&gt;""),"PASS","FAIL"))</x:f>
        <x:v>OPEN</x:v>
      </x:c>
    </x:row>
    <x:row r="12">
      <x:c r="B12" s="26" t="str">
        <x:v>CF-06</x:v>
      </x:c>
      <x:c r="C12" s="26" t="n">
        <x:v>6</x:v>
      </x:c>
      <x:c r="D12" s="26" t="str">
        <x:v>casualty source receiver</x:v>
      </x:c>
      <x:c r="E12" s="26" t="str"/>
      <x:c r="F12" s="26" t="str"/>
      <x:c r="G12" s="26" t="str"/>
      <x:c r="H12" s="26" t="str"/>
      <x:c r="I12" s="26" t="str">
        <x:f>IF(H12="","OPEN",IF(AND(E12&lt;&gt;"",F12=E12,G12&lt;&gt;""),"PASS","FAIL"))</x:f>
        <x:v>OPEN</x:v>
      </x:c>
    </x:row>
    <x:row r="13">
      <x:c r="B13" s="26" t="str">
        <x:v>CF-07</x:v>
      </x:c>
      <x:c r="C13" s="26" t="n">
        <x:v>7</x:v>
      </x:c>
      <x:c r="D13" s="26" t="str">
        <x:v>normal water path</x:v>
      </x:c>
      <x:c r="E13" s="26" t="str"/>
      <x:c r="F13" s="26" t="str"/>
      <x:c r="G13" s="26" t="str"/>
      <x:c r="H13" s="26" t="str"/>
      <x:c r="I13" s="26" t="str">
        <x:f>IF(H13="","OPEN",IF(AND(E13&lt;&gt;"",F13=E13,G13&lt;&gt;""),"PASS","FAIL"))</x:f>
        <x:v>OPEN</x:v>
      </x:c>
    </x:row>
    <x:row r="14">
      <x:c r="B14" s="26" t="str">
        <x:v>CF-08</x:v>
      </x:c>
      <x:c r="C14" s="26" t="n">
        <x:v>8</x:v>
      </x:c>
      <x:c r="D14" s="26" t="str">
        <x:v>casualty water path</x:v>
      </x:c>
      <x:c r="E14" s="26" t="str"/>
      <x:c r="F14" s="26" t="str"/>
      <x:c r="G14" s="26" t="str"/>
      <x:c r="H14" s="26" t="str"/>
      <x:c r="I14" s="26" t="str">
        <x:f>IF(H14="","OPEN",IF(AND(E14&lt;&gt;"",F14=E14,G14&lt;&gt;""),"PASS","FAIL"))</x:f>
        <x:v>OPEN</x:v>
      </x:c>
    </x:row>
    <x:row r="15">
      <x:c r="B15" s="26" t="str">
        <x:v>CF-09</x:v>
      </x:c>
      <x:c r="C15" s="26" t="n">
        <x:v>9</x:v>
      </x:c>
      <x:c r="D15" s="26" t="str">
        <x:v>normal power</x:v>
      </x:c>
      <x:c r="E15" s="26" t="str"/>
      <x:c r="F15" s="26" t="str"/>
      <x:c r="G15" s="26" t="str"/>
      <x:c r="H15" s="26" t="str"/>
      <x:c r="I15" s="26" t="str">
        <x:f>IF(H15="","OPEN",IF(AND(E15&lt;&gt;"",F15=E15,G15&lt;&gt;""),"PASS","FAIL"))</x:f>
        <x:v>OPEN</x:v>
      </x:c>
    </x:row>
    <x:row r="16">
      <x:c r="B16" s="26" t="str">
        <x:v>CF-10</x:v>
      </x:c>
      <x:c r="C16" s="26" t="n">
        <x:v>10</x:v>
      </x:c>
      <x:c r="D16" s="26" t="str">
        <x:v>independent safety energy</x:v>
      </x:c>
      <x:c r="E16" s="26" t="str"/>
      <x:c r="F16" s="26" t="str"/>
      <x:c r="G16" s="26" t="str"/>
      <x:c r="H16" s="26" t="str"/>
      <x:c r="I16" s="26" t="str">
        <x:f>IF(H16="","OPEN",IF(AND(E16&lt;&gt;"",F16=E16,G16&lt;&gt;""),"PASS","FAIL"))</x:f>
        <x:v>OPEN</x:v>
      </x:c>
    </x:row>
    <x:row r="17">
      <x:c r="B17" s="26" t="str">
        <x:v>CF-11</x:v>
      </x:c>
      <x:c r="C17" s="26" t="n">
        <x:v>11</x:v>
      </x:c>
      <x:c r="D17" s="26" t="str">
        <x:v>final control elements</x:v>
      </x:c>
      <x:c r="E17" s="26" t="str"/>
      <x:c r="F17" s="26" t="str"/>
      <x:c r="G17" s="26" t="str"/>
      <x:c r="H17" s="26" t="str"/>
      <x:c r="I17" s="26" t="str">
        <x:f>IF(H17="","OPEN",IF(AND(E17&lt;&gt;"",F17=E17,G17&lt;&gt;""),"PASS","FAIL"))</x:f>
        <x:v>OPEN</x:v>
      </x:c>
    </x:row>
    <x:row r="18">
      <x:c r="B18" s="26" t="str">
        <x:v>CF-12</x:v>
      </x:c>
      <x:c r="C18" s="26" t="n">
        <x:v>12</x:v>
      </x:c>
      <x:c r="D18" s="26" t="str">
        <x:v>safeing paths</x:v>
      </x:c>
      <x:c r="E18" s="26" t="str"/>
      <x:c r="F18" s="26" t="str"/>
      <x:c r="G18" s="26" t="str"/>
      <x:c r="H18" s="26" t="str"/>
      <x:c r="I18" s="26" t="str">
        <x:f>IF(H18="","OPEN",IF(AND(E18&lt;&gt;"",F18=E18,G18&lt;&gt;""),"PASS","FAIL"))</x:f>
        <x:v>OPEN</x:v>
      </x:c>
    </x:row>
    <x:row r="19">
      <x:c r="B19" s="26" t="str">
        <x:v>CF-13</x:v>
      </x:c>
      <x:c r="C19" s="26" t="n">
        <x:v>13</x:v>
      </x:c>
      <x:c r="D19" s="26" t="str">
        <x:v>control software</x:v>
      </x:c>
      <x:c r="E19" s="26" t="str"/>
      <x:c r="F19" s="26" t="str"/>
      <x:c r="G19" s="26" t="str"/>
      <x:c r="H19" s="26" t="str"/>
      <x:c r="I19" s="26" t="str">
        <x:f>IF(H19="","OPEN",IF(AND(E19&lt;&gt;"",F19=E19,G19&lt;&gt;""),"PASS","FAIL"))</x:f>
        <x:v>OPEN</x:v>
      </x:c>
    </x:row>
    <x:row r="20">
      <x:c r="B20" s="26" t="str">
        <x:v>CF-14</x:v>
      </x:c>
      <x:c r="C20" s="26" t="n">
        <x:v>14</x:v>
      </x:c>
      <x:c r="D20" s="26" t="str">
        <x:v>firmware</x:v>
      </x:c>
      <x:c r="E20" s="26" t="str"/>
      <x:c r="F20" s="26" t="str"/>
      <x:c r="G20" s="26" t="str"/>
      <x:c r="H20" s="26" t="str"/>
      <x:c r="I20" s="26" t="str">
        <x:f>IF(H20="","OPEN",IF(AND(E20&lt;&gt;"",F20=E20,G20&lt;&gt;""),"PASS","FAIL"))</x:f>
        <x:v>OPEN</x:v>
      </x:c>
    </x:row>
    <x:row r="21">
      <x:c r="B21" s="26" t="str">
        <x:v>CF-15</x:v>
      </x:c>
      <x:c r="C21" s="26" t="n">
        <x:v>15</x:v>
      </x:c>
      <x:c r="D21" s="26" t="str">
        <x:v>measurement map</x:v>
      </x:c>
      <x:c r="E21" s="26" t="str"/>
      <x:c r="F21" s="26" t="str"/>
      <x:c r="G21" s="26" t="str"/>
      <x:c r="H21" s="26" t="str"/>
      <x:c r="I21" s="26" t="str">
        <x:f>IF(H21="","OPEN",IF(AND(E21&lt;&gt;"",F21=E21,G21&lt;&gt;""),"PASS","FAIL"))</x:f>
        <x:v>OPEN</x:v>
      </x:c>
    </x:row>
    <x:row r="22">
      <x:c r="B22" s="26" t="str">
        <x:v>CF-16</x:v>
      </x:c>
      <x:c r="C22" s="26" t="n">
        <x:v>16</x:v>
      </x:c>
      <x:c r="D22" s="26" t="str">
        <x:v>standards</x:v>
      </x:c>
      <x:c r="E22" s="26" t="str"/>
      <x:c r="F22" s="26" t="str"/>
      <x:c r="G22" s="26" t="str"/>
      <x:c r="H22" s="26" t="str"/>
      <x:c r="I22" s="26" t="str">
        <x:f>IF(H22="","OPEN",IF(AND(E22&lt;&gt;"",F22=E22,G22&lt;&gt;""),"PASS","FAIL"))</x:f>
        <x:v>OPEN</x:v>
      </x:c>
    </x:row>
    <x:row r="23">
      <x:c r="B23" s="26" t="str">
        <x:v>CF-17</x:v>
      </x:c>
      <x:c r="C23" s="26" t="n">
        <x:v>17</x:v>
      </x:c>
      <x:c r="D23" s="26" t="str">
        <x:v>causal time</x:v>
      </x:c>
      <x:c r="E23" s="26" t="str"/>
      <x:c r="F23" s="26" t="str"/>
      <x:c r="G23" s="26" t="str"/>
      <x:c r="H23" s="26" t="str"/>
      <x:c r="I23" s="26" t="str">
        <x:f>IF(H23="","OPEN",IF(AND(E23&lt;&gt;"",F23=E23,G23&lt;&gt;""),"PASS","FAIL"))</x:f>
        <x:v>OPEN</x:v>
      </x:c>
    </x:row>
    <x:row r="24">
      <x:c r="B24" s="26" t="str">
        <x:v>CF-18</x:v>
      </x:c>
      <x:c r="C24" s="26" t="n">
        <x:v>18</x:v>
      </x:c>
      <x:c r="D24" s="26" t="str">
        <x:v>evidence schema</x:v>
      </x:c>
      <x:c r="E24" s="26" t="str"/>
      <x:c r="F24" s="26" t="str"/>
      <x:c r="G24" s="26" t="str"/>
      <x:c r="H24" s="26" t="str"/>
      <x:c r="I24" s="26" t="str">
        <x:f>IF(H24="","OPEN",IF(AND(E24&lt;&gt;"",F24=E24,G24&lt;&gt;""),"PASS","FAIL"))</x:f>
        <x:v>OPEN</x:v>
      </x:c>
    </x:row>
    <x:row r="25">
      <x:c r="B25" s="26" t="str">
        <x:v>CF-19</x:v>
      </x:c>
      <x:c r="C25" s="26" t="n">
        <x:v>19</x:v>
      </x:c>
      <x:c r="D25" s="26" t="str">
        <x:v>environment baseline</x:v>
      </x:c>
      <x:c r="E25" s="26" t="str"/>
      <x:c r="F25" s="26" t="str"/>
      <x:c r="G25" s="26" t="str"/>
      <x:c r="H25" s="26" t="str"/>
      <x:c r="I25" s="26" t="str">
        <x:f>IF(H25="","OPEN",IF(AND(E25&lt;&gt;"",F25=E25,G25&lt;&gt;""),"PASS","FAIL"))</x:f>
        <x:v>OPEN</x:v>
      </x:c>
    </x:row>
    <x:row r="26">
      <x:c r="B26" s="26" t="str">
        <x:v>CF-20</x:v>
      </x:c>
      <x:c r="C26" s="26" t="n">
        <x:v>20</x:v>
      </x:c>
      <x:c r="D26" s="26" t="str">
        <x:v>neighbor state</x:v>
      </x:c>
      <x:c r="E26" s="26" t="str"/>
      <x:c r="F26" s="26" t="str"/>
      <x:c r="G26" s="26" t="str"/>
      <x:c r="H26" s="26" t="str"/>
      <x:c r="I26" s="26" t="str">
        <x:f>IF(H26="","OPEN",IF(AND(E26&lt;&gt;"",F26=E26,G26&lt;&gt;""),"PASS","FAIL"))</x:f>
        <x:v>OPEN</x:v>
      </x:c>
    </x:row>
    <x:row r="27">
      <x:c r="B27" s="26" t="str">
        <x:v>CF-21</x:v>
      </x:c>
      <x:c r="C27" s="26" t="n">
        <x:v>21</x:v>
      </x:c>
      <x:c r="D27" s="26" t="str">
        <x:v>rescue posture</x:v>
      </x:c>
      <x:c r="E27" s="26" t="str"/>
      <x:c r="F27" s="26" t="str"/>
      <x:c r="G27" s="26" t="str"/>
      <x:c r="H27" s="26" t="str"/>
      <x:c r="I27" s="26" t="str">
        <x:f>IF(H27="","OPEN",IF(AND(E27&lt;&gt;"",F27=E27,G27&lt;&gt;""),"PASS","FAIL"))</x:f>
        <x:v>OPEN</x:v>
      </x:c>
    </x:row>
    <x:row r="28">
      <x:c r="B28" s="26" t="str">
        <x:v>CF-22</x:v>
      </x:c>
      <x:c r="C28" s="26" t="n">
        <x:v>22</x:v>
      </x:c>
      <x:c r="D28" s="26" t="str">
        <x:v>crew roster</x:v>
      </x:c>
      <x:c r="E28" s="26" t="str"/>
      <x:c r="F28" s="26" t="str"/>
      <x:c r="G28" s="26" t="str"/>
      <x:c r="H28" s="26" t="str"/>
      <x:c r="I28" s="26" t="str">
        <x:f>IF(H28="","OPEN",IF(AND(E28&lt;&gt;"",F28=E28,G28&lt;&gt;""),"PASS","FAIL"))</x:f>
        <x:v>OPEN</x:v>
      </x:c>
    </x:row>
    <x:row r="29">
      <x:c r="B29" s="26" t="str">
        <x:v>CF-23</x:v>
      </x:c>
      <x:c r="C29" s="26" t="n">
        <x:v>23</x:v>
      </x:c>
      <x:c r="D29" s="26" t="str">
        <x:v>sample plan</x:v>
      </x:c>
      <x:c r="E29" s="26" t="str"/>
      <x:c r="F29" s="26" t="str"/>
      <x:c r="G29" s="26" t="str"/>
      <x:c r="H29" s="26" t="str"/>
      <x:c r="I29" s="26" t="str">
        <x:f>IF(H29="","OPEN",IF(AND(E29&lt;&gt;"",F29=E29,G29&lt;&gt;""),"PASS","FAIL"))</x:f>
        <x:v>OPEN</x:v>
      </x:c>
    </x:row>
    <x:row r="30">
      <x:c r="B30" s="26" t="str">
        <x:v>CF-24</x:v>
      </x:c>
      <x:c r="C30" s="26" t="n">
        <x:v>24</x:v>
      </x:c>
      <x:c r="D30" s="26" t="str">
        <x:v>event issue package</x:v>
      </x:c>
      <x:c r="E30" s="26" t="str"/>
      <x:c r="F30" s="26" t="str"/>
      <x:c r="G30" s="26" t="str"/>
      <x:c r="H30" s="26" t="str"/>
      <x:c r="I30" s="26" t="str">
        <x:f>IF(H30="","OPEN",IF(AND(E30&lt;&gt;"",F30=E30,G30&lt;&gt;""),"PASS","FAIL"))</x:f>
        <x:v>OPEN</x:v>
      </x:c>
    </x:row>
  </x:sheetData>
  <x:conditionalFormatting sqref="I7:I30">
    <x:cfRule type="containsText" dxfId="63" priority="1" operator="containsText" text="FAIL"/>
    <x:cfRule type="containsText" dxfId="64" priority="2" operator="containsText" text="BLOCKED"/>
    <x:cfRule type="containsText" dxfId="65" priority="3" operator="containsText" text="INVALID"/>
    <x:cfRule type="containsText" dxfId="66" priority="4" operator="containsText" text="ADVERSE"/>
    <x:cfRule type="containsText" dxfId="67" priority="5" operator="containsText" text="EXPIRED"/>
    <x:cfRule type="containsText" dxfId="68" priority="6" operator="containsText" text="OPEN"/>
    <x:cfRule type="containsText" dxfId="69" priority="7" operator="containsText" text="DORMANT"/>
    <x:cfRule type="containsText" dxfId="70" priority="8" operator="containsText" text="PASS"/>
    <x:cfRule type="containsText" dxfId="71" priority="9" operator="containsText" text="AVAILABLE"/>
  </x:conditionalFormatting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5" hidden="0" customWidth="1"/>
    <x:col min="3" max="3" width="12" hidden="0" customWidth="1"/>
    <x:col min="4" max="4" width="45" hidden="0" customWidth="1"/>
    <x:col min="5" max="5" width="19" hidden="0" customWidth="1"/>
    <x:col min="6" max="6" width="20" hidden="0" customWidth="1"/>
    <x:col min="7" max="7" width="35" hidden="0" customWidth="1"/>
    <x:col min="8" max="8" width="21" hidden="0" customWidth="1"/>
    <x:col min="9" max="9" width="14" hidden="0" customWidth="1"/>
  </x:cols>
  <x:sheetData>
    <x:row r="2">
      <x:c r="B2" s="39" t="str">
        <x:v>Twelve physical zero-source checks</x:v>
      </x:c>
      <x:c r="C2" s="26"/>
      <x:c r="D2" s="26"/>
      <x:c r="E2" s="26"/>
      <x:c r="F2" s="26"/>
      <x:c r="G2" s="26"/>
      <x:c r="H2" s="26"/>
      <x:c r="I2" s="26"/>
    </x:row>
    <x:row r="3">
      <x:c r="B3" s="40" t="str">
        <x:v>Zero is established by exclusion, a serialized null capsule, two barriers, dry routes, blank receivers and environmental witnesses.</x:v>
      </x:c>
      <x:c r="C3" s="26"/>
      <x:c r="D3" s="26"/>
      <x:c r="E3" s="26"/>
      <x:c r="F3" s="26"/>
      <x:c r="G3" s="26"/>
      <x:c r="H3" s="26"/>
      <x:c r="I3" s="26"/>
    </x:row>
    <x:row r="4">
      <x:c r="B4" s="26"/>
      <x:c r="C4" s="26"/>
      <x:c r="D4" s="26"/>
      <x:c r="E4" s="26"/>
      <x:c r="F4" s="26"/>
      <x:c r="G4" s="26"/>
      <x:c r="H4" s="26"/>
      <x:c r="I4" s="26"/>
    </x:row>
    <x:row r="5">
      <x:c r="B5" s="26"/>
      <x:c r="C5" s="26"/>
      <x:c r="D5" s="26"/>
      <x:c r="E5" s="26"/>
      <x:c r="F5" s="26"/>
      <x:c r="G5" s="26"/>
      <x:c r="H5" s="26"/>
      <x:c r="I5" s="26"/>
    </x:row>
    <x:row r="6" ht="24" customHeight="1">
      <x:c r="B6" s="41" t="str">
        <x:v>Check</x:v>
      </x:c>
      <x:c r="C6" s="41" t="str">
        <x:v>Sequence</x:v>
      </x:c>
      <x:c r="D6" s="41" t="str">
        <x:v>Requirement</x:v>
      </x:c>
      <x:c r="E6" s="41" t="str">
        <x:v>Required result</x:v>
      </x:c>
      <x:c r="F6" s="41" t="str">
        <x:v>Observed result</x:v>
      </x:c>
      <x:c r="G6" s="41" t="str">
        <x:v>Evidence root</x:v>
      </x:c>
      <x:c r="H6" s="41" t="str">
        <x:v>Accepted UTC</x:v>
      </x:c>
      <x:c r="I6" s="41" t="str">
        <x:v>State</x:v>
      </x:c>
    </x:row>
    <x:row r="7">
      <x:c r="B7" s="26" t="str">
        <x:v>ZS-01</x:v>
      </x:c>
      <x:c r="C7" s="26" t="n">
        <x:v>1</x:v>
      </x:c>
      <x:c r="D7" s="26" t="str">
        <x:v>bulk source store excluded</x:v>
      </x:c>
      <x:c r="E7" s="26" t="str">
        <x:v>PASS</x:v>
      </x:c>
      <x:c r="F7" s="26" t="str"/>
      <x:c r="G7" s="26" t="str"/>
      <x:c r="H7" s="26" t="str"/>
      <x:c r="I7" s="26" t="str">
        <x:f>IF(H7="","OPEN",IF(AND(F7=E7,G7&lt;&gt;""),"PASS","FAIL"))</x:f>
        <x:v>OPEN</x:v>
      </x:c>
    </x:row>
    <x:row r="8">
      <x:c r="B8" s="26" t="str">
        <x:v>ZS-02</x:v>
      </x:c>
      <x:c r="C8" s="26" t="n">
        <x:v>2</x:v>
      </x:c>
      <x:c r="D8" s="26" t="str">
        <x:v>source transport excluded</x:v>
      </x:c>
      <x:c r="E8" s="26" t="str">
        <x:v>PASS</x:v>
      </x:c>
      <x:c r="F8" s="26" t="str"/>
      <x:c r="G8" s="26" t="str"/>
      <x:c r="H8" s="26" t="str"/>
      <x:c r="I8" s="26" t="str">
        <x:f>IF(H8="","OPEN",IF(AND(F8=E8,G8&lt;&gt;""),"PASS","FAIL"))</x:f>
        <x:v>OPEN</x:v>
      </x:c>
    </x:row>
    <x:row r="9">
      <x:c r="B9" s="26" t="str">
        <x:v>ZS-03</x:v>
      </x:c>
      <x:c r="C9" s="26" t="n">
        <x:v>3</x:v>
      </x:c>
      <x:c r="D9" s="26" t="str">
        <x:v>source package absent</x:v>
      </x:c>
      <x:c r="E9" s="26" t="str">
        <x:v>PASS</x:v>
      </x:c>
      <x:c r="F9" s="26" t="str"/>
      <x:c r="G9" s="26" t="str"/>
      <x:c r="H9" s="26" t="str"/>
      <x:c r="I9" s="26" t="str">
        <x:f>IF(H9="","OPEN",IF(AND(F9=E9,G9&lt;&gt;""),"PASS","FAIL"))</x:f>
        <x:v>OPEN</x:v>
      </x:c>
    </x:row>
    <x:row r="10">
      <x:c r="B10" s="26" t="str">
        <x:v>ZS-04</x:v>
      </x:c>
      <x:c r="C10" s="26" t="n">
        <x:v>4</x:v>
      </x:c>
      <x:c r="D10" s="26" t="str">
        <x:v>null capsule identified</x:v>
      </x:c>
      <x:c r="E10" s="26" t="str">
        <x:v>PASS</x:v>
      </x:c>
      <x:c r="F10" s="26" t="str"/>
      <x:c r="G10" s="26" t="str"/>
      <x:c r="H10" s="26" t="str"/>
      <x:c r="I10" s="26" t="str">
        <x:f>IF(H10="","OPEN",IF(AND(F10=E10,G10&lt;&gt;""),"PASS","FAIL"))</x:f>
        <x:v>OPEN</x:v>
      </x:c>
    </x:row>
    <x:row r="11">
      <x:c r="B11" s="26" t="str">
        <x:v>ZS-05</x:v>
      </x:c>
      <x:c r="C11" s="26" t="n">
        <x:v>5</x:v>
      </x:c>
      <x:c r="D11" s="26" t="str">
        <x:v>null capsule tare accepted</x:v>
      </x:c>
      <x:c r="E11" s="26" t="str">
        <x:v>PASS</x:v>
      </x:c>
      <x:c r="F11" s="26" t="str"/>
      <x:c r="G11" s="26" t="str"/>
      <x:c r="H11" s="26" t="str"/>
      <x:c r="I11" s="26" t="str">
        <x:f>IF(H11="","OPEN",IF(AND(F11=E11,G11&lt;&gt;""),"PASS","FAIL"))</x:f>
        <x:v>OPEN</x:v>
      </x:c>
    </x:row>
    <x:row r="12">
      <x:c r="B12" s="26" t="str">
        <x:v>ZS-06</x:v>
      </x:c>
      <x:c r="C12" s="26" t="n">
        <x:v>6</x:v>
      </x:c>
      <x:c r="D12" s="26" t="str">
        <x:v>upstream blind A installed</x:v>
      </x:c>
      <x:c r="E12" s="26" t="str">
        <x:v>PASS</x:v>
      </x:c>
      <x:c r="F12" s="26" t="str"/>
      <x:c r="G12" s="26" t="str"/>
      <x:c r="H12" s="26" t="str"/>
      <x:c r="I12" s="26" t="str">
        <x:f>IF(H12="","OPEN",IF(AND(F12=E12,G12&lt;&gt;""),"PASS","FAIL"))</x:f>
        <x:v>OPEN</x:v>
      </x:c>
    </x:row>
    <x:row r="13">
      <x:c r="B13" s="26" t="str">
        <x:v>ZS-07</x:v>
      </x:c>
      <x:c r="C13" s="26" t="n">
        <x:v>7</x:v>
      </x:c>
      <x:c r="D13" s="26" t="str">
        <x:v>upstream blind B installed</x:v>
      </x:c>
      <x:c r="E13" s="26" t="str">
        <x:v>PASS</x:v>
      </x:c>
      <x:c r="F13" s="26" t="str"/>
      <x:c r="G13" s="26" t="str"/>
      <x:c r="H13" s="26" t="str"/>
      <x:c r="I13" s="26" t="str">
        <x:f>IF(H13="","OPEN",IF(AND(F13=E13,G13&lt;&gt;""),"PASS","FAIL"))</x:f>
        <x:v>OPEN</x:v>
      </x:c>
    </x:row>
    <x:row r="14">
      <x:c r="B14" s="26" t="str">
        <x:v>ZS-08</x:v>
      </x:c>
      <x:c r="C14" s="26" t="n">
        <x:v>8</x:v>
      </x:c>
      <x:c r="D14" s="26" t="str">
        <x:v>interspace leak state clear</x:v>
      </x:c>
      <x:c r="E14" s="26" t="str">
        <x:v>PASS</x:v>
      </x:c>
      <x:c r="F14" s="26" t="str"/>
      <x:c r="G14" s="26" t="str"/>
      <x:c r="H14" s="26" t="str"/>
      <x:c r="I14" s="26" t="str">
        <x:f>IF(H14="","OPEN",IF(AND(F14=E14,G14&lt;&gt;""),"PASS","FAIL"))</x:f>
        <x:v>OPEN</x:v>
      </x:c>
    </x:row>
    <x:row r="15">
      <x:c r="B15" s="26" t="str">
        <x:v>ZS-09</x:v>
      </x:c>
      <x:c r="C15" s="26" t="n">
        <x:v>9</x:v>
      </x:c>
      <x:c r="D15" s="26" t="str">
        <x:v>source route dry</x:v>
      </x:c>
      <x:c r="E15" s="26" t="str">
        <x:v>PASS</x:v>
      </x:c>
      <x:c r="F15" s="26" t="str"/>
      <x:c r="G15" s="26" t="str"/>
      <x:c r="H15" s="26" t="str"/>
      <x:c r="I15" s="26" t="str">
        <x:f>IF(H15="","OPEN",IF(AND(F15=E15,G15&lt;&gt;""),"PASS","FAIL"))</x:f>
        <x:v>OPEN</x:v>
      </x:c>
    </x:row>
    <x:row r="16">
      <x:c r="B16" s="26" t="str">
        <x:v>ZS-10</x:v>
      </x:c>
      <x:c r="C16" s="26" t="n">
        <x:v>10</x:v>
      </x:c>
      <x:c r="D16" s="26" t="str">
        <x:v>normal receiver blank</x:v>
      </x:c>
      <x:c r="E16" s="26" t="str">
        <x:v>PASS</x:v>
      </x:c>
      <x:c r="F16" s="26" t="str"/>
      <x:c r="G16" s="26" t="str"/>
      <x:c r="H16" s="26" t="str"/>
      <x:c r="I16" s="26" t="str">
        <x:f>IF(H16="","OPEN",IF(AND(F16=E16,G16&lt;&gt;""),"PASS","FAIL"))</x:f>
        <x:v>OPEN</x:v>
      </x:c>
    </x:row>
    <x:row r="17">
      <x:c r="B17" s="26" t="str">
        <x:v>ZS-11</x:v>
      </x:c>
      <x:c r="C17" s="26" t="n">
        <x:v>11</x:v>
      </x:c>
      <x:c r="D17" s="26" t="str">
        <x:v>casualty receiver blank</x:v>
      </x:c>
      <x:c r="E17" s="26" t="str">
        <x:v>PASS</x:v>
      </x:c>
      <x:c r="F17" s="26" t="str"/>
      <x:c r="G17" s="26" t="str"/>
      <x:c r="H17" s="26" t="str"/>
      <x:c r="I17" s="26" t="str">
        <x:f>IF(H17="","OPEN",IF(AND(F17=E17,G17&lt;&gt;""),"PASS","FAIL"))</x:f>
        <x:v>OPEN</x:v>
      </x:c>
    </x:row>
    <x:row r="18">
      <x:c r="B18" s="26" t="str">
        <x:v>ZS-12</x:v>
      </x:c>
      <x:c r="C18" s="26" t="n">
        <x:v>12</x:v>
      </x:c>
      <x:c r="D18" s="26" t="str">
        <x:v>environment witness blank</x:v>
      </x:c>
      <x:c r="E18" s="26" t="str">
        <x:v>PASS</x:v>
      </x:c>
      <x:c r="F18" s="26" t="str"/>
      <x:c r="G18" s="26" t="str"/>
      <x:c r="H18" s="26" t="str"/>
      <x:c r="I18" s="26" t="str">
        <x:f>IF(H18="","OPEN",IF(AND(F18=E18,G18&lt;&gt;""),"PASS","FAIL"))</x:f>
        <x:v>OPEN</x:v>
      </x:c>
    </x:row>
  </x:sheetData>
  <x:conditionalFormatting sqref="I7:I18">
    <x:cfRule type="containsText" dxfId="72" priority="1" operator="containsText" text="FAIL"/>
    <x:cfRule type="containsText" dxfId="73" priority="2" operator="containsText" text="BLOCKED"/>
    <x:cfRule type="containsText" dxfId="74" priority="3" operator="containsText" text="INVALID"/>
    <x:cfRule type="containsText" dxfId="75" priority="4" operator="containsText" text="ADVERSE"/>
    <x:cfRule type="containsText" dxfId="76" priority="5" operator="containsText" text="EXPIRED"/>
    <x:cfRule type="containsText" dxfId="77" priority="6" operator="containsText" text="OPEN"/>
    <x:cfRule type="containsText" dxfId="78" priority="7" operator="containsText" text="DORMANT"/>
    <x:cfRule type="containsText" dxfId="79" priority="8" operator="containsText" text="PASS"/>
    <x:cfRule type="containsText" dxfId="80" priority="9" operator="containsText" text="AVAILABLE"/>
  </x:conditionalFormatting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5" hidden="0" customWidth="1"/>
    <x:col min="3" max="3" width="12" hidden="0" customWidth="1"/>
    <x:col min="4" max="4" width="46" hidden="0" customWidth="1"/>
    <x:col min="5" max="5" width="19" hidden="0" customWidth="1"/>
    <x:col min="6" max="6" width="20" hidden="0" customWidth="1"/>
    <x:col min="7" max="7" width="35" hidden="0" customWidth="1"/>
    <x:col min="8" max="8" width="21" hidden="0" customWidth="1"/>
    <x:col min="9" max="9" width="14" hidden="0" customWidth="1"/>
  </x:cols>
  <x:sheetData>
    <x:row r="2">
      <x:c r="B2" s="39" t="str">
        <x:v>Ten physical zero-water checks</x:v>
      </x:c>
      <x:c r="C2" s="26"/>
      <x:c r="D2" s="26"/>
      <x:c r="E2" s="26"/>
      <x:c r="F2" s="26"/>
      <x:c r="G2" s="26"/>
      <x:c r="H2" s="26"/>
      <x:c r="I2" s="26"/>
    </x:row>
    <x:row r="3">
      <x:c r="B3" s="40" t="str">
        <x:v>QE-01 admits no candidate or public water. Weather and background are measured rather than assumed away.</x:v>
      </x:c>
      <x:c r="C3" s="26"/>
      <x:c r="D3" s="26"/>
      <x:c r="E3" s="26"/>
      <x:c r="F3" s="26"/>
      <x:c r="G3" s="26"/>
      <x:c r="H3" s="26"/>
      <x:c r="I3" s="26"/>
    </x:row>
    <x:row r="4">
      <x:c r="B4" s="26"/>
      <x:c r="C4" s="26"/>
      <x:c r="D4" s="26"/>
      <x:c r="E4" s="26"/>
      <x:c r="F4" s="26"/>
      <x:c r="G4" s="26"/>
      <x:c r="H4" s="26"/>
      <x:c r="I4" s="26"/>
    </x:row>
    <x:row r="5">
      <x:c r="B5" s="26"/>
      <x:c r="C5" s="26"/>
      <x:c r="D5" s="26"/>
      <x:c r="E5" s="26"/>
      <x:c r="F5" s="26"/>
      <x:c r="G5" s="26"/>
      <x:c r="H5" s="26"/>
      <x:c r="I5" s="26"/>
    </x:row>
    <x:row r="6" ht="24" customHeight="1">
      <x:c r="B6" s="41" t="str">
        <x:v>Check</x:v>
      </x:c>
      <x:c r="C6" s="41" t="str">
        <x:v>Sequence</x:v>
      </x:c>
      <x:c r="D6" s="41" t="str">
        <x:v>Requirement</x:v>
      </x:c>
      <x:c r="E6" s="41" t="str">
        <x:v>Required result</x:v>
      </x:c>
      <x:c r="F6" s="41" t="str">
        <x:v>Observed result</x:v>
      </x:c>
      <x:c r="G6" s="41" t="str">
        <x:v>Evidence root</x:v>
      </x:c>
      <x:c r="H6" s="41" t="str">
        <x:v>Accepted UTC</x:v>
      </x:c>
      <x:c r="I6" s="41" t="str">
        <x:v>State</x:v>
      </x:c>
    </x:row>
    <x:row r="7">
      <x:c r="B7" s="26" t="str">
        <x:v>ZW-01</x:v>
      </x:c>
      <x:c r="C7" s="26" t="n">
        <x:v>1</x:v>
      </x:c>
      <x:c r="D7" s="26" t="str">
        <x:v>candidate-water path isolated</x:v>
      </x:c>
      <x:c r="E7" s="26" t="str">
        <x:v>PASS</x:v>
      </x:c>
      <x:c r="F7" s="26" t="str"/>
      <x:c r="G7" s="26" t="str"/>
      <x:c r="H7" s="26" t="str"/>
      <x:c r="I7" s="26" t="str">
        <x:f>IF(H7="","OPEN",IF(AND(F7=E7,G7&lt;&gt;""),"PASS","FAIL"))</x:f>
        <x:v>OPEN</x:v>
      </x:c>
    </x:row>
    <x:row r="8">
      <x:c r="B8" s="26" t="str">
        <x:v>ZW-02</x:v>
      </x:c>
      <x:c r="C8" s="26" t="n">
        <x:v>2</x:v>
      </x:c>
      <x:c r="D8" s="26" t="str">
        <x:v>public-water path isolated</x:v>
      </x:c>
      <x:c r="E8" s="26" t="str">
        <x:v>PASS</x:v>
      </x:c>
      <x:c r="F8" s="26" t="str"/>
      <x:c r="G8" s="26" t="str"/>
      <x:c r="H8" s="26" t="str"/>
      <x:c r="I8" s="26" t="str">
        <x:f>IF(H8="","OPEN",IF(AND(F8=E8,G8&lt;&gt;""),"PASS","FAIL"))</x:f>
        <x:v>OPEN</x:v>
      </x:c>
    </x:row>
    <x:row r="9">
      <x:c r="B9" s="26" t="str">
        <x:v>ZW-03</x:v>
      </x:c>
      <x:c r="C9" s="26" t="n">
        <x:v>3</x:v>
      </x:c>
      <x:c r="D9" s="26" t="str">
        <x:v>normal supply blind installed</x:v>
      </x:c>
      <x:c r="E9" s="26" t="str">
        <x:v>PASS</x:v>
      </x:c>
      <x:c r="F9" s="26" t="str"/>
      <x:c r="G9" s="26" t="str"/>
      <x:c r="H9" s="26" t="str"/>
      <x:c r="I9" s="26" t="str">
        <x:f>IF(H9="","OPEN",IF(AND(F9=E9,G9&lt;&gt;""),"PASS","FAIL"))</x:f>
        <x:v>OPEN</x:v>
      </x:c>
    </x:row>
    <x:row r="10">
      <x:c r="B10" s="26" t="str">
        <x:v>ZW-04</x:v>
      </x:c>
      <x:c r="C10" s="26" t="n">
        <x:v>4</x:v>
      </x:c>
      <x:c r="D10" s="26" t="str">
        <x:v>return blind installed</x:v>
      </x:c>
      <x:c r="E10" s="26" t="str">
        <x:v>PASS</x:v>
      </x:c>
      <x:c r="F10" s="26" t="str"/>
      <x:c r="G10" s="26" t="str"/>
      <x:c r="H10" s="26" t="str"/>
      <x:c r="I10" s="26" t="str">
        <x:f>IF(H10="","OPEN",IF(AND(F10=E10,G10&lt;&gt;""),"PASS","FAIL"))</x:f>
        <x:v>OPEN</x:v>
      </x:c>
    </x:row>
    <x:row r="11">
      <x:c r="B11" s="26" t="str">
        <x:v>ZW-05</x:v>
      </x:c>
      <x:c r="C11" s="26" t="n">
        <x:v>5</x:v>
      </x:c>
      <x:c r="D11" s="26" t="str">
        <x:v>casualty-water route isolated</x:v>
      </x:c>
      <x:c r="E11" s="26" t="str">
        <x:v>PASS</x:v>
      </x:c>
      <x:c r="F11" s="26" t="str"/>
      <x:c r="G11" s="26" t="str"/>
      <x:c r="H11" s="26" t="str"/>
      <x:c r="I11" s="26" t="str">
        <x:f>IF(H11="","OPEN",IF(AND(F11=E11,G11&lt;&gt;""),"PASS","FAIL"))</x:f>
        <x:v>OPEN</x:v>
      </x:c>
    </x:row>
    <x:row r="12">
      <x:c r="B12" s="26" t="str">
        <x:v>ZW-06</x:v>
      </x:c>
      <x:c r="C12" s="26" t="n">
        <x:v>6</x:v>
      </x:c>
      <x:c r="D12" s="26" t="str">
        <x:v>normal receiver dry</x:v>
      </x:c>
      <x:c r="E12" s="26" t="str">
        <x:v>PASS</x:v>
      </x:c>
      <x:c r="F12" s="26" t="str"/>
      <x:c r="G12" s="26" t="str"/>
      <x:c r="H12" s="26" t="str"/>
      <x:c r="I12" s="26" t="str">
        <x:f>IF(H12="","OPEN",IF(AND(F12=E12,G12&lt;&gt;""),"PASS","FAIL"))</x:f>
        <x:v>OPEN</x:v>
      </x:c>
    </x:row>
    <x:row r="13">
      <x:c r="B13" s="26" t="str">
        <x:v>ZW-07</x:v>
      </x:c>
      <x:c r="C13" s="26" t="n">
        <x:v>7</x:v>
      </x:c>
      <x:c r="D13" s="26" t="str">
        <x:v>casualty receiver dry</x:v>
      </x:c>
      <x:c r="E13" s="26" t="str">
        <x:v>PASS</x:v>
      </x:c>
      <x:c r="F13" s="26" t="str"/>
      <x:c r="G13" s="26" t="str"/>
      <x:c r="H13" s="26" t="str"/>
      <x:c r="I13" s="26" t="str">
        <x:f>IF(H13="","OPEN",IF(AND(F13=E13,G13&lt;&gt;""),"PASS","FAIL"))</x:f>
        <x:v>OPEN</x:v>
      </x:c>
    </x:row>
    <x:row r="14">
      <x:c r="B14" s="26" t="str">
        <x:v>ZW-08</x:v>
      </x:c>
      <x:c r="C14" s="26" t="n">
        <x:v>8</x:v>
      </x:c>
      <x:c r="D14" s="26" t="str">
        <x:v>terrain field dry</x:v>
      </x:c>
      <x:c r="E14" s="26" t="str">
        <x:v>PASS</x:v>
      </x:c>
      <x:c r="F14" s="26" t="str"/>
      <x:c r="G14" s="26" t="str"/>
      <x:c r="H14" s="26" t="str"/>
      <x:c r="I14" s="26" t="str">
        <x:f>IF(H14="","OPEN",IF(AND(F14=E14,G14&lt;&gt;""),"PASS","FAIL"))</x:f>
        <x:v>OPEN</x:v>
      </x:c>
    </x:row>
    <x:row r="15">
      <x:c r="B15" s="26" t="str">
        <x:v>ZW-09</x:v>
      </x:c>
      <x:c r="C15" s="26" t="n">
        <x:v>9</x:v>
      </x:c>
      <x:c r="D15" s="26" t="str">
        <x:v>weather hold accepted</x:v>
      </x:c>
      <x:c r="E15" s="26" t="str">
        <x:v>PASS</x:v>
      </x:c>
      <x:c r="F15" s="26" t="str"/>
      <x:c r="G15" s="26" t="str"/>
      <x:c r="H15" s="26" t="str"/>
      <x:c r="I15" s="26" t="str">
        <x:f>IF(H15="","OPEN",IF(AND(F15=E15,G15&lt;&gt;""),"PASS","FAIL"))</x:f>
        <x:v>OPEN</x:v>
      </x:c>
    </x:row>
    <x:row r="16">
      <x:c r="B16" s="26" t="str">
        <x:v>ZW-10</x:v>
      </x:c>
      <x:c r="C16" s="26" t="n">
        <x:v>10</x:v>
      </x:c>
      <x:c r="D16" s="26" t="str">
        <x:v>background water inventory accepted</x:v>
      </x:c>
      <x:c r="E16" s="26" t="str">
        <x:v>PASS</x:v>
      </x:c>
      <x:c r="F16" s="26" t="str"/>
      <x:c r="G16" s="26" t="str"/>
      <x:c r="H16" s="26" t="str"/>
      <x:c r="I16" s="26" t="str">
        <x:f>IF(H16="","OPEN",IF(AND(F16=E16,G16&lt;&gt;""),"PASS","FAIL"))</x:f>
        <x:v>OPEN</x:v>
      </x:c>
    </x:row>
  </x:sheetData>
  <x:conditionalFormatting sqref="I7:I16">
    <x:cfRule type="containsText" dxfId="81" priority="1" operator="containsText" text="FAIL"/>
    <x:cfRule type="containsText" dxfId="82" priority="2" operator="containsText" text="BLOCKED"/>
    <x:cfRule type="containsText" dxfId="83" priority="3" operator="containsText" text="INVALID"/>
    <x:cfRule type="containsText" dxfId="84" priority="4" operator="containsText" text="ADVERSE"/>
    <x:cfRule type="containsText" dxfId="85" priority="5" operator="containsText" text="EXPIRED"/>
    <x:cfRule type="containsText" dxfId="86" priority="6" operator="containsText" text="OPEN"/>
    <x:cfRule type="containsText" dxfId="87" priority="7" operator="containsText" text="DORMANT"/>
    <x:cfRule type="containsText" dxfId="88" priority="8" operator="containsText" text="PASS"/>
    <x:cfRule type="containsText" dxfId="89" priority="9" operator="containsText" text="AVAILABLE"/>
  </x:conditionalFormatting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>
      <x:pane xSplit="4" ySplit="6" topLeftCell="E7" activePane="bottomRight" state="frozen"/>
    </x:sheetView>
  </x:sheetViews>
  <x:sheetFormatPr defaultRowHeight="15"/>
  <x:cols>
    <x:col min="2" max="2" width="23" hidden="0" customWidth="1"/>
    <x:col min="3" max="3" width="14" hidden="0" customWidth="1"/>
    <x:col min="4" max="4" width="15" hidden="0" customWidth="1"/>
    <x:col min="5" max="5" width="31" hidden="0" customWidth="1"/>
    <x:col min="6" max="6" width="29" hidden="0" customWidth="1"/>
    <x:col min="7" max="7" width="12" hidden="0" customWidth="1"/>
    <x:col min="8" max="8" width="31" hidden="0" customWidth="1"/>
    <x:col min="9" max="9" width="34" hidden="0" customWidth="1"/>
    <x:col min="10" max="10" width="21" hidden="0" customWidth="1"/>
    <x:col min="11" max="11" width="14" hidden="0" customWidth="1"/>
  </x:cols>
  <x:sheetData>
    <x:row r="2">
      <x:c r="B2" s="39" t="str">
        <x:v>Twenty-two zero-state uncertainty components</x:v>
      </x:c>
      <x:c r="C2" s="26"/>
      <x:c r="D2" s="26"/>
      <x:c r="E2" s="26"/>
      <x:c r="F2" s="26"/>
      <x:c r="G2" s="26"/>
      <x:c r="H2" s="26"/>
      <x:c r="I2" s="26"/>
      <x:c r="J2" s="26"/>
      <x:c r="K2" s="26"/>
    </x:row>
    <x:row r="3">
      <x:c r="B3" s="40" t="str">
        <x:v>Allocations are design requirements for a new zero-state instrument chain, not accepted instrument performance.</x:v>
      </x:c>
      <x:c r="C3" s="26"/>
      <x:c r="D3" s="26"/>
      <x:c r="E3" s="26"/>
      <x:c r="F3" s="26"/>
      <x:c r="G3" s="26"/>
      <x:c r="H3" s="26"/>
      <x:c r="I3" s="26"/>
      <x:c r="J3" s="26"/>
      <x:c r="K3" s="26"/>
    </x:row>
    <x:row r="4">
      <x:c r="B4" s="26"/>
      <x:c r="C4" s="26"/>
      <x:c r="D4" s="26"/>
      <x:c r="E4" s="26"/>
      <x:c r="F4" s="26"/>
      <x:c r="G4" s="26"/>
      <x:c r="H4" s="26"/>
      <x:c r="I4" s="26"/>
      <x:c r="J4" s="26"/>
      <x:c r="K4" s="26"/>
    </x:row>
    <x:row r="5">
      <x:c r="B5" s="26"/>
      <x:c r="C5" s="26"/>
      <x:c r="D5" s="26"/>
      <x:c r="E5" s="26"/>
      <x:c r="F5" s="26"/>
      <x:c r="G5" s="26"/>
      <x:c r="H5" s="26"/>
      <x:c r="I5" s="26"/>
      <x:c r="J5" s="26"/>
      <x:c r="K5" s="26"/>
    </x:row>
    <x:row r="6" ht="24" customHeight="1">
      <x:c r="B6" s="41" t="str">
        <x:v>Record</x:v>
      </x:c>
      <x:c r="C6" s="41" t="str">
        <x:v>Root</x:v>
      </x:c>
      <x:c r="D6" s="41" t="str">
        <x:v>Inventory</x:v>
      </x:c>
      <x:c r="E6" s="41" t="str">
        <x:v>Component</x:v>
      </x:c>
      <x:c r="F6" s="41" t="str">
        <x:v>Allocated standard uncertainty</x:v>
      </x:c>
      <x:c r="G6" s="41" t="str">
        <x:v>Unit</x:v>
      </x:c>
      <x:c r="H6" s="41" t="str">
        <x:v>Observed standard uncertainty</x:v>
      </x:c>
      <x:c r="I6" s="41" t="str">
        <x:v>Evidence root</x:v>
      </x:c>
      <x:c r="J6" s="41" t="str">
        <x:v>Accepted UTC</x:v>
      </x:c>
      <x:c r="K6" s="41" t="str">
        <x:v>State</x:v>
      </x:c>
    </x:row>
    <x:row r="7">
      <x:c r="B7" s="26" t="str">
        <x:v>US-TR-A-1</x:v>
      </x:c>
      <x:c r="C7" s="26" t="str">
        <x:v>TR-A</x:v>
      </x:c>
      <x:c r="D7" s="26" t="str">
        <x:v>SOURCE</x:v>
      </x:c>
      <x:c r="E7" s="26" t="str">
        <x:v>route micro-inventory</x:v>
      </x:c>
      <x:c r="F7" s="33" t="n">
        <x:v>0.02</x:v>
      </x:c>
      <x:c r="G7" s="26" t="str">
        <x:v>kg</x:v>
      </x:c>
      <x:c r="H7" s="33" t="str"/>
      <x:c r="I7" s="26" t="str"/>
      <x:c r="J7" s="26" t="str"/>
      <x:c r="K7" s="26" t="str">
        <x:f>IF(J7="","OPEN",IF(AND(ISNUMBER(H7),H7&lt;=F7,I7&lt;&gt;""),"PASS","FAIL"))</x:f>
        <x:v>OPEN</x:v>
      </x:c>
    </x:row>
    <x:row r="8">
      <x:c r="B8" s="26" t="str">
        <x:v>US-TR-A-2</x:v>
      </x:c>
      <x:c r="C8" s="26" t="str">
        <x:v>TR-A</x:v>
      </x:c>
      <x:c r="D8" s="26" t="str">
        <x:v>SOURCE</x:v>
      </x:c>
      <x:c r="E8" s="26" t="str">
        <x:v>receiver delta</x:v>
      </x:c>
      <x:c r="F8" s="33" t="n">
        <x:v>0.02</x:v>
      </x:c>
      <x:c r="G8" s="26" t="str">
        <x:v>kg</x:v>
      </x:c>
      <x:c r="H8" s="33" t="str"/>
      <x:c r="I8" s="26" t="str"/>
      <x:c r="J8" s="26" t="str"/>
      <x:c r="K8" s="26" t="str">
        <x:f>IF(J8="","OPEN",IF(AND(ISNUMBER(H8),H8&lt;=F8,I8&lt;&gt;""),"PASS","FAIL"))</x:f>
        <x:v>OPEN</x:v>
      </x:c>
    </x:row>
    <x:row r="9">
      <x:c r="B9" s="26" t="str">
        <x:v>US-TR-A-3</x:v>
      </x:c>
      <x:c r="C9" s="26" t="str">
        <x:v>TR-A</x:v>
      </x:c>
      <x:c r="D9" s="26" t="str">
        <x:v>SOURCE</x:v>
      </x:c>
      <x:c r="E9" s="26" t="str">
        <x:v>background chemistry</x:v>
      </x:c>
      <x:c r="F9" s="33" t="n">
        <x:v>0.01</x:v>
      </x:c>
      <x:c r="G9" s="26" t="str">
        <x:v>kg</x:v>
      </x:c>
      <x:c r="H9" s="33" t="str"/>
      <x:c r="I9" s="26" t="str"/>
      <x:c r="J9" s="26" t="str"/>
      <x:c r="K9" s="26" t="str">
        <x:f>IF(J9="","OPEN",IF(AND(ISNUMBER(H9),H9&lt;=F9,I9&lt;&gt;""),"PASS","FAIL"))</x:f>
        <x:v>OPEN</x:v>
      </x:c>
    </x:row>
    <x:row r="10">
      <x:c r="B10" s="26" t="str">
        <x:v>US-TR-A-4</x:v>
      </x:c>
      <x:c r="C10" s="26" t="str">
        <x:v>TR-A</x:v>
      </x:c>
      <x:c r="D10" s="26" t="str">
        <x:v>SOURCE</x:v>
      </x:c>
      <x:c r="E10" s="26" t="str">
        <x:v>environment witness</x:v>
      </x:c>
      <x:c r="F10" s="33" t="n">
        <x:v>0.01</x:v>
      </x:c>
      <x:c r="G10" s="26" t="str">
        <x:v>kg</x:v>
      </x:c>
      <x:c r="H10" s="33" t="str"/>
      <x:c r="I10" s="26" t="str"/>
      <x:c r="J10" s="26" t="str"/>
      <x:c r="K10" s="26" t="str">
        <x:f>IF(J10="","OPEN",IF(AND(ISNUMBER(H10),H10&lt;=F10,I10&lt;&gt;""),"PASS","FAIL"))</x:f>
        <x:v>OPEN</x:v>
      </x:c>
    </x:row>
    <x:row r="11">
      <x:c r="B11" s="26" t="str">
        <x:v>US-TR-A-5</x:v>
      </x:c>
      <x:c r="C11" s="26" t="str">
        <x:v>TR-A</x:v>
      </x:c>
      <x:c r="D11" s="26" t="str">
        <x:v>SOURCE</x:v>
      </x:c>
      <x:c r="E11" s="26" t="str">
        <x:v>sample handling</x:v>
      </x:c>
      <x:c r="F11" s="33" t="n">
        <x:v>0.015</x:v>
      </x:c>
      <x:c r="G11" s="26" t="str">
        <x:v>kg</x:v>
      </x:c>
      <x:c r="H11" s="33" t="str"/>
      <x:c r="I11" s="26" t="str"/>
      <x:c r="J11" s="26" t="str"/>
      <x:c r="K11" s="26" t="str">
        <x:f>IF(J11="","OPEN",IF(AND(ISNUMBER(H11),H11&lt;=F11,I11&lt;&gt;""),"PASS","FAIL"))</x:f>
        <x:v>OPEN</x:v>
      </x:c>
    </x:row>
    <x:row r="12">
      <x:c r="B12" s="26" t="str">
        <x:v>US-TR-A-6</x:v>
      </x:c>
      <x:c r="C12" s="26" t="str">
        <x:v>TR-A</x:v>
      </x:c>
      <x:c r="D12" s="26" t="str">
        <x:v>SOURCE</x:v>
      </x:c>
      <x:c r="E12" s="26" t="str">
        <x:v>time association</x:v>
      </x:c>
      <x:c r="F12" s="33" t="n">
        <x:v>0.01</x:v>
      </x:c>
      <x:c r="G12" s="26" t="str">
        <x:v>kg</x:v>
      </x:c>
      <x:c r="H12" s="33" t="str"/>
      <x:c r="I12" s="26" t="str"/>
      <x:c r="J12" s="26" t="str"/>
      <x:c r="K12" s="26" t="str">
        <x:f>IF(J12="","OPEN",IF(AND(ISNUMBER(H12),H12&lt;=F12,I12&lt;&gt;""),"PASS","FAIL"))</x:f>
        <x:v>OPEN</x:v>
      </x:c>
    </x:row>
    <x:row r="13">
      <x:c r="B13" s="26" t="str">
        <x:v>UW-TR-A-7</x:v>
      </x:c>
      <x:c r="C13" s="26" t="str">
        <x:v>TR-A</x:v>
      </x:c>
      <x:c r="D13" s="26" t="str">
        <x:v>WATER</x:v>
      </x:c>
      <x:c r="E13" s="26" t="str">
        <x:v>supply meter</x:v>
      </x:c>
      <x:c r="F13" s="33" t="n">
        <x:v>0.005</x:v>
      </x:c>
      <x:c r="G13" s="26" t="str">
        <x:v>m3</x:v>
      </x:c>
      <x:c r="H13" s="33" t="str"/>
      <x:c r="I13" s="26" t="str"/>
      <x:c r="J13" s="26" t="str"/>
      <x:c r="K13" s="26" t="str">
        <x:f>IF(J13="","OPEN",IF(AND(ISNUMBER(H13),H13&lt;=F13,I13&lt;&gt;""),"PASS","FAIL"))</x:f>
        <x:v>OPEN</x:v>
      </x:c>
    </x:row>
    <x:row r="14">
      <x:c r="B14" s="26" t="str">
        <x:v>UW-TR-A-8</x:v>
      </x:c>
      <x:c r="C14" s="26" t="str">
        <x:v>TR-A</x:v>
      </x:c>
      <x:c r="D14" s="26" t="str">
        <x:v>WATER</x:v>
      </x:c>
      <x:c r="E14" s="26" t="str">
        <x:v>return meter</x:v>
      </x:c>
      <x:c r="F14" s="33" t="n">
        <x:v>0.005</x:v>
      </x:c>
      <x:c r="G14" s="26" t="str">
        <x:v>m3</x:v>
      </x:c>
      <x:c r="H14" s="33" t="str"/>
      <x:c r="I14" s="26" t="str"/>
      <x:c r="J14" s="26" t="str"/>
      <x:c r="K14" s="26" t="str">
        <x:f>IF(J14="","OPEN",IF(AND(ISNUMBER(H14),H14&lt;=F14,I14&lt;&gt;""),"PASS","FAIL"))</x:f>
        <x:v>OPEN</x:v>
      </x:c>
    </x:row>
    <x:row r="15">
      <x:c r="B15" s="26" t="str">
        <x:v>UW-TR-A-9</x:v>
      </x:c>
      <x:c r="C15" s="26" t="str">
        <x:v>TR-A</x:v>
      </x:c>
      <x:c r="D15" s="26" t="str">
        <x:v>WATER</x:v>
      </x:c>
      <x:c r="E15" s="26" t="str">
        <x:v>receiver inventory</x:v>
      </x:c>
      <x:c r="F15" s="33" t="n">
        <x:v>0.005</x:v>
      </x:c>
      <x:c r="G15" s="26" t="str">
        <x:v>m3</x:v>
      </x:c>
      <x:c r="H15" s="33" t="str"/>
      <x:c r="I15" s="26" t="str"/>
      <x:c r="J15" s="26" t="str"/>
      <x:c r="K15" s="26" t="str">
        <x:f>IF(J15="","OPEN",IF(AND(ISNUMBER(H15),H15&lt;=F15,I15&lt;&gt;""),"PASS","FAIL"))</x:f>
        <x:v>OPEN</x:v>
      </x:c>
    </x:row>
    <x:row r="16">
      <x:c r="B16" s="26" t="str">
        <x:v>UW-TR-A-10</x:v>
      </x:c>
      <x:c r="C16" s="26" t="str">
        <x:v>TR-A</x:v>
      </x:c>
      <x:c r="D16" s="26" t="str">
        <x:v>WATER</x:v>
      </x:c>
      <x:c r="E16" s="26" t="str">
        <x:v>surface inventory</x:v>
      </x:c>
      <x:c r="F16" s="33" t="n">
        <x:v>0.002</x:v>
      </x:c>
      <x:c r="G16" s="26" t="str">
        <x:v>m3</x:v>
      </x:c>
      <x:c r="H16" s="33" t="str"/>
      <x:c r="I16" s="26" t="str"/>
      <x:c r="J16" s="26" t="str"/>
      <x:c r="K16" s="26" t="str">
        <x:f>IF(J16="","OPEN",IF(AND(ISNUMBER(H16),H16&lt;=F16,I16&lt;&gt;""),"PASS","FAIL"))</x:f>
        <x:v>OPEN</x:v>
      </x:c>
    </x:row>
    <x:row r="17">
      <x:c r="B17" s="26" t="str">
        <x:v>UW-TR-A-11</x:v>
      </x:c>
      <x:c r="C17" s="26" t="str">
        <x:v>TR-A</x:v>
      </x:c>
      <x:c r="D17" s="26" t="str">
        <x:v>WATER</x:v>
      </x:c>
      <x:c r="E17" s="26" t="str">
        <x:v>weather/background</x:v>
      </x:c>
      <x:c r="F17" s="33" t="n">
        <x:v>0.005</x:v>
      </x:c>
      <x:c r="G17" s="26" t="str">
        <x:v>m3</x:v>
      </x:c>
      <x:c r="H17" s="33" t="str"/>
      <x:c r="I17" s="26" t="str"/>
      <x:c r="J17" s="26" t="str"/>
      <x:c r="K17" s="26" t="str">
        <x:f>IF(J17="","OPEN",IF(AND(ISNUMBER(H17),H17&lt;=F17,I17&lt;&gt;""),"PASS","FAIL"))</x:f>
        <x:v>OPEN</x:v>
      </x:c>
    </x:row>
    <x:row r="18">
      <x:c r="B18" s="26" t="str">
        <x:v>US-TR-B-12</x:v>
      </x:c>
      <x:c r="C18" s="26" t="str">
        <x:v>TR-B</x:v>
      </x:c>
      <x:c r="D18" s="26" t="str">
        <x:v>SOURCE</x:v>
      </x:c>
      <x:c r="E18" s="26" t="str">
        <x:v>route micro-inventory</x:v>
      </x:c>
      <x:c r="F18" s="33" t="n">
        <x:v>0.02</x:v>
      </x:c>
      <x:c r="G18" s="26" t="str">
        <x:v>kg</x:v>
      </x:c>
      <x:c r="H18" s="33" t="str"/>
      <x:c r="I18" s="26" t="str"/>
      <x:c r="J18" s="26" t="str"/>
      <x:c r="K18" s="26" t="str">
        <x:f>IF(J18="","OPEN",IF(AND(ISNUMBER(H18),H18&lt;=F18,I18&lt;&gt;""),"PASS","FAIL"))</x:f>
        <x:v>OPEN</x:v>
      </x:c>
    </x:row>
    <x:row r="19">
      <x:c r="B19" s="26" t="str">
        <x:v>US-TR-B-13</x:v>
      </x:c>
      <x:c r="C19" s="26" t="str">
        <x:v>TR-B</x:v>
      </x:c>
      <x:c r="D19" s="26" t="str">
        <x:v>SOURCE</x:v>
      </x:c>
      <x:c r="E19" s="26" t="str">
        <x:v>receiver delta</x:v>
      </x:c>
      <x:c r="F19" s="33" t="n">
        <x:v>0.02</x:v>
      </x:c>
      <x:c r="G19" s="26" t="str">
        <x:v>kg</x:v>
      </x:c>
      <x:c r="H19" s="33" t="str"/>
      <x:c r="I19" s="26" t="str"/>
      <x:c r="J19" s="26" t="str"/>
      <x:c r="K19" s="26" t="str">
        <x:f>IF(J19="","OPEN",IF(AND(ISNUMBER(H19),H19&lt;=F19,I19&lt;&gt;""),"PASS","FAIL"))</x:f>
        <x:v>OPEN</x:v>
      </x:c>
    </x:row>
    <x:row r="20">
      <x:c r="B20" s="26" t="str">
        <x:v>US-TR-B-14</x:v>
      </x:c>
      <x:c r="C20" s="26" t="str">
        <x:v>TR-B</x:v>
      </x:c>
      <x:c r="D20" s="26" t="str">
        <x:v>SOURCE</x:v>
      </x:c>
      <x:c r="E20" s="26" t="str">
        <x:v>background chemistry</x:v>
      </x:c>
      <x:c r="F20" s="33" t="n">
        <x:v>0.01</x:v>
      </x:c>
      <x:c r="G20" s="26" t="str">
        <x:v>kg</x:v>
      </x:c>
      <x:c r="H20" s="33" t="str"/>
      <x:c r="I20" s="26" t="str"/>
      <x:c r="J20" s="26" t="str"/>
      <x:c r="K20" s="26" t="str">
        <x:f>IF(J20="","OPEN",IF(AND(ISNUMBER(H20),H20&lt;=F20,I20&lt;&gt;""),"PASS","FAIL"))</x:f>
        <x:v>OPEN</x:v>
      </x:c>
    </x:row>
    <x:row r="21">
      <x:c r="B21" s="26" t="str">
        <x:v>US-TR-B-15</x:v>
      </x:c>
      <x:c r="C21" s="26" t="str">
        <x:v>TR-B</x:v>
      </x:c>
      <x:c r="D21" s="26" t="str">
        <x:v>SOURCE</x:v>
      </x:c>
      <x:c r="E21" s="26" t="str">
        <x:v>environment witness</x:v>
      </x:c>
      <x:c r="F21" s="33" t="n">
        <x:v>0.01</x:v>
      </x:c>
      <x:c r="G21" s="26" t="str">
        <x:v>kg</x:v>
      </x:c>
      <x:c r="H21" s="33" t="str"/>
      <x:c r="I21" s="26" t="str"/>
      <x:c r="J21" s="26" t="str"/>
      <x:c r="K21" s="26" t="str">
        <x:f>IF(J21="","OPEN",IF(AND(ISNUMBER(H21),H21&lt;=F21,I21&lt;&gt;""),"PASS","FAIL"))</x:f>
        <x:v>OPEN</x:v>
      </x:c>
    </x:row>
    <x:row r="22">
      <x:c r="B22" s="26" t="str">
        <x:v>US-TR-B-16</x:v>
      </x:c>
      <x:c r="C22" s="26" t="str">
        <x:v>TR-B</x:v>
      </x:c>
      <x:c r="D22" s="26" t="str">
        <x:v>SOURCE</x:v>
      </x:c>
      <x:c r="E22" s="26" t="str">
        <x:v>sample handling</x:v>
      </x:c>
      <x:c r="F22" s="33" t="n">
        <x:v>0.015</x:v>
      </x:c>
      <x:c r="G22" s="26" t="str">
        <x:v>kg</x:v>
      </x:c>
      <x:c r="H22" s="33" t="str"/>
      <x:c r="I22" s="26" t="str"/>
      <x:c r="J22" s="26" t="str"/>
      <x:c r="K22" s="26" t="str">
        <x:f>IF(J22="","OPEN",IF(AND(ISNUMBER(H22),H22&lt;=F22,I22&lt;&gt;""),"PASS","FAIL"))</x:f>
        <x:v>OPEN</x:v>
      </x:c>
    </x:row>
    <x:row r="23">
      <x:c r="B23" s="26" t="str">
        <x:v>US-TR-B-17</x:v>
      </x:c>
      <x:c r="C23" s="26" t="str">
        <x:v>TR-B</x:v>
      </x:c>
      <x:c r="D23" s="26" t="str">
        <x:v>SOURCE</x:v>
      </x:c>
      <x:c r="E23" s="26" t="str">
        <x:v>time association</x:v>
      </x:c>
      <x:c r="F23" s="33" t="n">
        <x:v>0.01</x:v>
      </x:c>
      <x:c r="G23" s="26" t="str">
        <x:v>kg</x:v>
      </x:c>
      <x:c r="H23" s="33" t="str"/>
      <x:c r="I23" s="26" t="str"/>
      <x:c r="J23" s="26" t="str"/>
      <x:c r="K23" s="26" t="str">
        <x:f>IF(J23="","OPEN",IF(AND(ISNUMBER(H23),H23&lt;=F23,I23&lt;&gt;""),"PASS","FAIL"))</x:f>
        <x:v>OPEN</x:v>
      </x:c>
    </x:row>
    <x:row r="24">
      <x:c r="B24" s="26" t="str">
        <x:v>UW-TR-B-18</x:v>
      </x:c>
      <x:c r="C24" s="26" t="str">
        <x:v>TR-B</x:v>
      </x:c>
      <x:c r="D24" s="26" t="str">
        <x:v>WATER</x:v>
      </x:c>
      <x:c r="E24" s="26" t="str">
        <x:v>supply meter</x:v>
      </x:c>
      <x:c r="F24" s="33" t="n">
        <x:v>0.005</x:v>
      </x:c>
      <x:c r="G24" s="26" t="str">
        <x:v>m3</x:v>
      </x:c>
      <x:c r="H24" s="33" t="str"/>
      <x:c r="I24" s="26" t="str"/>
      <x:c r="J24" s="26" t="str"/>
      <x:c r="K24" s="26" t="str">
        <x:f>IF(J24="","OPEN",IF(AND(ISNUMBER(H24),H24&lt;=F24,I24&lt;&gt;""),"PASS","FAIL"))</x:f>
        <x:v>OPEN</x:v>
      </x:c>
    </x:row>
    <x:row r="25">
      <x:c r="B25" s="26" t="str">
        <x:v>UW-TR-B-19</x:v>
      </x:c>
      <x:c r="C25" s="26" t="str">
        <x:v>TR-B</x:v>
      </x:c>
      <x:c r="D25" s="26" t="str">
        <x:v>WATER</x:v>
      </x:c>
      <x:c r="E25" s="26" t="str">
        <x:v>return meter</x:v>
      </x:c>
      <x:c r="F25" s="33" t="n">
        <x:v>0.005</x:v>
      </x:c>
      <x:c r="G25" s="26" t="str">
        <x:v>m3</x:v>
      </x:c>
      <x:c r="H25" s="33" t="str"/>
      <x:c r="I25" s="26" t="str"/>
      <x:c r="J25" s="26" t="str"/>
      <x:c r="K25" s="26" t="str">
        <x:f>IF(J25="","OPEN",IF(AND(ISNUMBER(H25),H25&lt;=F25,I25&lt;&gt;""),"PASS","FAIL"))</x:f>
        <x:v>OPEN</x:v>
      </x:c>
    </x:row>
    <x:row r="26">
      <x:c r="B26" s="26" t="str">
        <x:v>UW-TR-B-20</x:v>
      </x:c>
      <x:c r="C26" s="26" t="str">
        <x:v>TR-B</x:v>
      </x:c>
      <x:c r="D26" s="26" t="str">
        <x:v>WATER</x:v>
      </x:c>
      <x:c r="E26" s="26" t="str">
        <x:v>receiver inventory</x:v>
      </x:c>
      <x:c r="F26" s="33" t="n">
        <x:v>0.005</x:v>
      </x:c>
      <x:c r="G26" s="26" t="str">
        <x:v>m3</x:v>
      </x:c>
      <x:c r="H26" s="33" t="str"/>
      <x:c r="I26" s="26" t="str"/>
      <x:c r="J26" s="26" t="str"/>
      <x:c r="K26" s="26" t="str">
        <x:f>IF(J26="","OPEN",IF(AND(ISNUMBER(H26),H26&lt;=F26,I26&lt;&gt;""),"PASS","FAIL"))</x:f>
        <x:v>OPEN</x:v>
      </x:c>
    </x:row>
    <x:row r="27">
      <x:c r="B27" s="26" t="str">
        <x:v>UW-TR-B-21</x:v>
      </x:c>
      <x:c r="C27" s="26" t="str">
        <x:v>TR-B</x:v>
      </x:c>
      <x:c r="D27" s="26" t="str">
        <x:v>WATER</x:v>
      </x:c>
      <x:c r="E27" s="26" t="str">
        <x:v>surface inventory</x:v>
      </x:c>
      <x:c r="F27" s="33" t="n">
        <x:v>0.002</x:v>
      </x:c>
      <x:c r="G27" s="26" t="str">
        <x:v>m3</x:v>
      </x:c>
      <x:c r="H27" s="33" t="str"/>
      <x:c r="I27" s="26" t="str"/>
      <x:c r="J27" s="26" t="str"/>
      <x:c r="K27" s="26" t="str">
        <x:f>IF(J27="","OPEN",IF(AND(ISNUMBER(H27),H27&lt;=F27,I27&lt;&gt;""),"PASS","FAIL"))</x:f>
        <x:v>OPEN</x:v>
      </x:c>
    </x:row>
    <x:row r="28">
      <x:c r="B28" s="26" t="str">
        <x:v>UW-TR-B-22</x:v>
      </x:c>
      <x:c r="C28" s="26" t="str">
        <x:v>TR-B</x:v>
      </x:c>
      <x:c r="D28" s="26" t="str">
        <x:v>WATER</x:v>
      </x:c>
      <x:c r="E28" s="26" t="str">
        <x:v>weather/background</x:v>
      </x:c>
      <x:c r="F28" s="33" t="n">
        <x:v>0.005</x:v>
      </x:c>
      <x:c r="G28" s="26" t="str">
        <x:v>m3</x:v>
      </x:c>
      <x:c r="H28" s="33" t="str"/>
      <x:c r="I28" s="26" t="str"/>
      <x:c r="J28" s="26" t="str"/>
      <x:c r="K28" s="26" t="str">
        <x:f>IF(J28="","OPEN",IF(AND(ISNUMBER(H28),H28&lt;=F28,I28&lt;&gt;""),"PASS","FAIL"))</x:f>
        <x:v>OPEN</x:v>
      </x:c>
    </x:row>
  </x:sheetData>
  <x:conditionalFormatting sqref="K7:K28">
    <x:cfRule type="containsText" dxfId="90" priority="1" operator="containsText" text="FAIL"/>
    <x:cfRule type="containsText" dxfId="91" priority="2" operator="containsText" text="BLOCKED"/>
    <x:cfRule type="containsText" dxfId="92" priority="3" operator="containsText" text="INVALID"/>
    <x:cfRule type="containsText" dxfId="93" priority="4" operator="containsText" text="ADVERSE"/>
    <x:cfRule type="containsText" dxfId="94" priority="5" operator="containsText" text="EXPIRED"/>
    <x:cfRule type="containsText" dxfId="95" priority="6" operator="containsText" text="OPEN"/>
    <x:cfRule type="containsText" dxfId="96" priority="7" operator="containsText" text="DORMANT"/>
    <x:cfRule type="containsText" dxfId="97" priority="8" operator="containsText" text="PASS"/>
    <x:cfRule type="containsText" dxfId="98" priority="9" operator="containsText" text="AVAILABLE"/>
  </x:conditionalFormatting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5" hidden="0" customWidth="1"/>
    <x:col min="3" max="3" width="14" hidden="0" customWidth="1"/>
    <x:col min="4" max="4" width="15" hidden="0" customWidth="1"/>
    <x:col min="5" max="5" width="29" hidden="0" customWidth="1"/>
    <x:col min="6" max="6" width="27" hidden="0" customWidth="1"/>
    <x:col min="7" max="7" width="25" hidden="0" customWidth="1"/>
    <x:col min="8" max="8" width="18" hidden="0" customWidth="1"/>
    <x:col min="9" max="9" width="14" hidden="0" customWidth="1"/>
  </x:cols>
  <x:sheetData>
    <x:row r="2">
      <x:c r="B2" s="22" t="str">
        <x:v>Four unlike-root zero-state decisions</x:v>
      </x:c>
      <x:c r="C2" s="23"/>
      <x:c r="D2" s="23"/>
      <x:c r="E2" s="23"/>
      <x:c r="F2" s="23"/>
      <x:c r="G2" s="23"/>
      <x:c r="H2" s="23"/>
      <x:c r="I2" s="23"/>
    </x:row>
    <x:row r="3">
      <x:c r="B3" s="24" t="str">
        <x:v>The upper decision is the observed estimate plus expanded uncertainty. Both roots must remain below the ceiling; only the registered root earns credit.</x:v>
      </x:c>
      <x:c r="C3" s="23"/>
      <x:c r="D3" s="23"/>
      <x:c r="E3" s="23"/>
      <x:c r="F3" s="23"/>
      <x:c r="G3" s="23"/>
      <x:c r="H3" s="23"/>
      <x:c r="I3" s="23"/>
    </x:row>
    <x:row r="4">
      <x:c r="B4" s="23"/>
      <x:c r="C4" s="23"/>
      <x:c r="D4" s="23"/>
      <x:c r="E4" s="23"/>
      <x:c r="F4" s="23"/>
      <x:c r="G4" s="23"/>
      <x:c r="H4" s="23"/>
      <x:c r="I4" s="23"/>
    </x:row>
    <x:row r="5">
      <x:c r="B5" s="23"/>
      <x:c r="C5" s="23"/>
      <x:c r="D5" s="23"/>
      <x:c r="E5" s="23"/>
      <x:c r="F5" s="23"/>
      <x:c r="G5" s="23"/>
      <x:c r="H5" s="23"/>
      <x:c r="I5" s="23"/>
    </x:row>
    <x:row r="6" ht="24" customHeight="1">
      <x:c r="B6" s="6" t="str">
        <x:v>Decision</x:v>
      </x:c>
      <x:c r="C6" s="6" t="str">
        <x:v>Root</x:v>
      </x:c>
      <x:c r="D6" s="6" t="str">
        <x:v>Inventory</x:v>
      </x:c>
      <x:c r="E6" s="6" t="str">
        <x:v>Required component records</x:v>
      </x:c>
      <x:c r="F6" s="6" t="str">
        <x:v>Passing component records</x:v>
      </x:c>
      <x:c r="G6" s="6" t="str">
        <x:v>Expanded uncertainty k=2</x:v>
      </x:c>
      <x:c r="H6" s="6" t="str">
        <x:v>Ceiling</x:v>
      </x:c>
      <x:c r="I6" s="6" t="str">
        <x:v>State</x:v>
      </x:c>
    </x:row>
    <x:row r="7">
      <x:c r="B7" s="26" t="str">
        <x:v>UD-01</x:v>
      </x:c>
      <x:c r="C7" s="26" t="str">
        <x:v>TR-A</x:v>
      </x:c>
      <x:c r="D7" s="26" t="str">
        <x:v>SOURCE</x:v>
      </x:c>
      <x:c r="E7" s="26" t="n">
        <x:v>6</x:v>
      </x:c>
      <x:c r="F7" s="26" t="n">
        <x:f>COUNTIFS(Uncertainty!C7:C28,C7,Uncertainty!D7:D28,D7,Uncertainty!K7:K28,"PASS")</x:f>
        <x:v>0</x:v>
      </x:c>
      <x:c r="G7" s="33" t="n">
        <x:f>2*SQRT(Uncertainty!H7^2+Uncertainty!H8^2+Uncertainty!H9^2+Uncertainty!H10^2+Uncertainty!H11^2+Uncertainty!H12^2)</x:f>
        <x:v>0</x:v>
      </x:c>
      <x:c r="H7" s="33" t="n">
        <x:v>0.1</x:v>
      </x:c>
      <x:c r="I7" s="26" t="str">
        <x:f>IF(G7=0,"OPEN",IF(AND(F7=E7,G7&lt;=H7),"PASS","FAIL"))</x:f>
        <x:v>OPEN</x:v>
      </x:c>
    </x:row>
    <x:row r="8">
      <x:c r="B8" s="26" t="str">
        <x:v>UD-02</x:v>
      </x:c>
      <x:c r="C8" s="26" t="str">
        <x:v>TR-B</x:v>
      </x:c>
      <x:c r="D8" s="26" t="str">
        <x:v>SOURCE</x:v>
      </x:c>
      <x:c r="E8" s="26" t="n">
        <x:v>6</x:v>
      </x:c>
      <x:c r="F8" s="26" t="n">
        <x:f>COUNTIFS(Uncertainty!C7:C28,C8,Uncertainty!D7:D28,D8,Uncertainty!K7:K28,"PASS")</x:f>
        <x:v>0</x:v>
      </x:c>
      <x:c r="G8" s="33" t="n">
        <x:f>2*SQRT(Uncertainty!H18^2+Uncertainty!H19^2+Uncertainty!H20^2+Uncertainty!H21^2+Uncertainty!H22^2+Uncertainty!H23^2)</x:f>
        <x:v>0</x:v>
      </x:c>
      <x:c r="H8" s="33" t="n">
        <x:v>0.1</x:v>
      </x:c>
      <x:c r="I8" s="26" t="str">
        <x:f>IF(G8=0,"OPEN",IF(AND(F8=E8,G8&lt;=H8),"PASS","FAIL"))</x:f>
        <x:v>OPEN</x:v>
      </x:c>
    </x:row>
    <x:row r="9">
      <x:c r="B9" s="26" t="str">
        <x:v>UD-03</x:v>
      </x:c>
      <x:c r="C9" s="26" t="str">
        <x:v>TR-A</x:v>
      </x:c>
      <x:c r="D9" s="26" t="str">
        <x:v>WATER</x:v>
      </x:c>
      <x:c r="E9" s="26" t="n">
        <x:v>5</x:v>
      </x:c>
      <x:c r="F9" s="26" t="n">
        <x:f>COUNTIFS(Uncertainty!C7:C28,C9,Uncertainty!D7:D28,D9,Uncertainty!K7:K28,"PASS")</x:f>
        <x:v>0</x:v>
      </x:c>
      <x:c r="G9" s="33" t="n">
        <x:f>2*SQRT(Uncertainty!H13^2+Uncertainty!H14^2+Uncertainty!H15^2+Uncertainty!H16^2+Uncertainty!H17^2)</x:f>
        <x:v>0</x:v>
      </x:c>
      <x:c r="H9" s="33" t="n">
        <x:v>0.025</x:v>
      </x:c>
      <x:c r="I9" s="26" t="str">
        <x:f>IF(G9=0,"OPEN",IF(AND(F9=E9,G9&lt;=H9),"PASS","FAIL"))</x:f>
        <x:v>OPEN</x:v>
      </x:c>
    </x:row>
    <x:row r="10">
      <x:c r="B10" s="26" t="str">
        <x:v>UD-04</x:v>
      </x:c>
      <x:c r="C10" s="26" t="str">
        <x:v>TR-B</x:v>
      </x:c>
      <x:c r="D10" s="26" t="str">
        <x:v>WATER</x:v>
      </x:c>
      <x:c r="E10" s="26" t="n">
        <x:v>5</x:v>
      </x:c>
      <x:c r="F10" s="26" t="n">
        <x:f>COUNTIFS(Uncertainty!C7:C28,C10,Uncertainty!D7:D28,D10,Uncertainty!K7:K28,"PASS")</x:f>
        <x:v>0</x:v>
      </x:c>
      <x:c r="G10" s="33" t="n">
        <x:f>2*SQRT(Uncertainty!H24^2+Uncertainty!H25^2+Uncertainty!H26^2+Uncertainty!H27^2+Uncertainty!H28^2)</x:f>
        <x:v>0</x:v>
      </x:c>
      <x:c r="H10" s="33" t="n">
        <x:v>0.025</x:v>
      </x:c>
      <x:c r="I10" s="26" t="str">
        <x:f>IF(G10=0,"OPEN",IF(AND(F10=E10,G10&lt;=H10),"PASS","FAIL"))</x:f>
        <x:v>OPEN</x:v>
      </x:c>
    </x:row>
  </x:sheetData>
  <x:conditionalFormatting sqref="I7:I10">
    <x:cfRule type="containsText" dxfId="99" priority="1" operator="containsText" text="FAIL"/>
    <x:cfRule type="containsText" dxfId="100" priority="2" operator="containsText" text="BLOCKED"/>
    <x:cfRule type="containsText" dxfId="101" priority="3" operator="containsText" text="INVALID"/>
    <x:cfRule type="containsText" dxfId="102" priority="4" operator="containsText" text="ADVERSE"/>
    <x:cfRule type="containsText" dxfId="103" priority="5" operator="containsText" text="EXPIRED"/>
    <x:cfRule type="containsText" dxfId="104" priority="6" operator="containsText" text="OPEN"/>
    <x:cfRule type="containsText" dxfId="105" priority="7" operator="containsText" text="DORMANT"/>
    <x:cfRule type="containsText" dxfId="106" priority="8" operator="containsText" text="PASS"/>
    <x:cfRule type="containsText" dxfId="107" priority="9" operator="containsText" text="AVAILABLE"/>
  </x:conditionalFormatting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>
      <x:pane xSplit="5" ySplit="6" topLeftCell="F7" activePane="bottomRight" state="frozen"/>
    </x:sheetView>
  </x:sheetViews>
  <x:sheetFormatPr defaultRowHeight="15"/>
  <x:cols>
    <x:col min="2" max="2" width="29" hidden="0" customWidth="1"/>
    <x:col min="3" max="3" width="14" hidden="0" customWidth="1"/>
    <x:col min="4" max="4" width="15" hidden="0" customWidth="1"/>
    <x:col min="5" max="5" width="12" hidden="0" customWidth="1"/>
    <x:col min="6" max="6" width="33" hidden="0" customWidth="1"/>
    <x:col min="7" max="7" width="22" hidden="0" customWidth="1"/>
    <x:col min="8" max="8" width="15" hidden="0" customWidth="1"/>
    <x:col min="9" max="9" width="20" hidden="0" customWidth="1"/>
    <x:col min="10" max="10" width="19" hidden="0" customWidth="1"/>
    <x:col min="11" max="11" width="34" hidden="0" customWidth="1"/>
    <x:col min="12" max="12" width="21" hidden="0" customWidth="1"/>
    <x:col min="13" max="13" width="14" hidden="0" customWidth="1"/>
  </x:cols>
  <x:sheetData>
    <x:row r="2">
      <x:c r="B2" s="39" t="str">
        <x:v>Ninety-six unlike-root measurement-window records</x:v>
      </x:c>
      <x:c r="C2" s="26"/>
      <x:c r="D2" s="26"/>
      <x:c r="E2" s="26"/>
      <x:c r="F2" s="26"/>
      <x:c r="G2" s="26"/>
      <x:c r="H2" s="26"/>
      <x:c r="I2" s="26"/>
      <x:c r="J2" s="26"/>
      <x:c r="K2" s="26"/>
      <x:c r="L2" s="26"/>
      <x:c r="M2" s="26"/>
    </x:row>
    <x:row r="3">
      <x:c r="B3" s="40" t="str">
        <x:v>Both roots observe baseline and event windows. The noncredit root remains an independent safety and diagnostic witness.</x:v>
      </x:c>
      <x:c r="C3" s="26"/>
      <x:c r="D3" s="26"/>
      <x:c r="E3" s="26"/>
      <x:c r="F3" s="26"/>
      <x:c r="G3" s="26"/>
      <x:c r="H3" s="26"/>
      <x:c r="I3" s="26"/>
      <x:c r="J3" s="26"/>
      <x:c r="K3" s="26"/>
      <x:c r="L3" s="26"/>
      <x:c r="M3" s="26"/>
    </x:row>
    <x:row r="4">
      <x:c r="B4" s="26"/>
      <x:c r="C4" s="26"/>
      <x:c r="D4" s="26"/>
      <x:c r="E4" s="26"/>
      <x:c r="F4" s="26"/>
      <x:c r="G4" s="26"/>
      <x:c r="H4" s="26"/>
      <x:c r="I4" s="26"/>
      <x:c r="J4" s="26"/>
      <x:c r="K4" s="26"/>
      <x:c r="L4" s="26"/>
      <x:c r="M4" s="26"/>
    </x:row>
    <x:row r="5">
      <x:c r="B5" s="26"/>
      <x:c r="C5" s="26"/>
      <x:c r="D5" s="26"/>
      <x:c r="E5" s="26"/>
      <x:c r="F5" s="26"/>
      <x:c r="G5" s="26"/>
      <x:c r="H5" s="26"/>
      <x:c r="I5" s="26"/>
      <x:c r="J5" s="26"/>
      <x:c r="K5" s="26"/>
      <x:c r="L5" s="26"/>
      <x:c r="M5" s="26"/>
    </x:row>
    <x:row r="6" ht="24" customHeight="1">
      <x:c r="B6" s="41" t="str">
        <x:v>Record</x:v>
      </x:c>
      <x:c r="C6" s="41" t="str">
        <x:v>Root</x:v>
      </x:c>
      <x:c r="D6" s="41" t="str">
        <x:v>Window</x:v>
      </x:c>
      <x:c r="E6" s="41" t="str">
        <x:v>Function</x:v>
      </x:c>
      <x:c r="F6" s="41" t="str">
        <x:v>Measurement</x:v>
      </x:c>
      <x:c r="G6" s="41" t="str">
        <x:v>Observed value</x:v>
      </x:c>
      <x:c r="H6" s="41" t="str">
        <x:v>Unit</x:v>
      </x:c>
      <x:c r="I6" s="41" t="str">
        <x:v>Required validity</x:v>
      </x:c>
      <x:c r="J6" s="41" t="str">
        <x:v>Observed validity</x:v>
      </x:c>
      <x:c r="K6" s="41" t="str">
        <x:v>Evidence root</x:v>
      </x:c>
      <x:c r="L6" s="41" t="str">
        <x:v>Accepted UTC</x:v>
      </x:c>
      <x:c r="M6" s="41" t="str">
        <x:v>State</x:v>
      </x:c>
    </x:row>
    <x:row r="7">
      <x:c r="B7" s="26" t="str">
        <x:v>MW-TR-A-BASELINE-01</x:v>
      </x:c>
      <x:c r="C7" s="26" t="str">
        <x:v>TR-A</x:v>
      </x:c>
      <x:c r="D7" s="26" t="str">
        <x:v>BASELINE</x:v>
      </x:c>
      <x:c r="E7" s="26" t="n">
        <x:v>1</x:v>
      </x:c>
      <x:c r="F7" s="26" t="str">
        <x:v>public datum</x:v>
      </x:c>
      <x:c r="G7" s="26" t="str"/>
      <x:c r="H7" s="26" t="str"/>
      <x:c r="I7" s="26" t="n">
        <x:v>1</x:v>
      </x:c>
      <x:c r="J7" s="26" t="str"/>
      <x:c r="K7" s="26" t="str"/>
      <x:c r="L7" s="26" t="str"/>
      <x:c r="M7" s="26" t="str">
        <x:f>IF(L7="","OPEN",IF(AND(ISNUMBER(G7),H7&lt;&gt;"",J7=I7,K7&lt;&gt;""),"PASS","FAIL"))</x:f>
        <x:v>OPEN</x:v>
      </x:c>
    </x:row>
    <x:row r="8">
      <x:c r="B8" s="26" t="str">
        <x:v>MW-TR-A-BASELINE-02</x:v>
      </x:c>
      <x:c r="C8" s="26" t="str">
        <x:v>TR-A</x:v>
      </x:c>
      <x:c r="D8" s="26" t="str">
        <x:v>BASELINE</x:v>
      </x:c>
      <x:c r="E8" s="26" t="n">
        <x:v>2</x:v>
      </x:c>
      <x:c r="F8" s="26" t="str">
        <x:v>source capsule tare</x:v>
      </x:c>
      <x:c r="G8" s="26" t="str"/>
      <x:c r="H8" s="26" t="str"/>
      <x:c r="I8" s="26" t="n">
        <x:v>1</x:v>
      </x:c>
      <x:c r="J8" s="26" t="str"/>
      <x:c r="K8" s="26" t="str"/>
      <x:c r="L8" s="26" t="str"/>
      <x:c r="M8" s="26" t="str">
        <x:f>IF(L8="","OPEN",IF(AND(ISNUMBER(G8),H8&lt;&gt;"",J8=I8,K8&lt;&gt;""),"PASS","FAIL"))</x:f>
        <x:v>OPEN</x:v>
      </x:c>
    </x:row>
    <x:row r="9">
      <x:c r="B9" s="26" t="str">
        <x:v>MW-TR-A-BASELINE-03</x:v>
      </x:c>
      <x:c r="C9" s="26" t="str">
        <x:v>TR-A</x:v>
      </x:c>
      <x:c r="D9" s="26" t="str">
        <x:v>BASELINE</x:v>
      </x:c>
      <x:c r="E9" s="26" t="n">
        <x:v>3</x:v>
      </x:c>
      <x:c r="F9" s="26" t="str">
        <x:v>source-route inventory</x:v>
      </x:c>
      <x:c r="G9" s="26" t="str"/>
      <x:c r="H9" s="26" t="str"/>
      <x:c r="I9" s="26" t="n">
        <x:v>1</x:v>
      </x:c>
      <x:c r="J9" s="26" t="str"/>
      <x:c r="K9" s="26" t="str"/>
      <x:c r="L9" s="26" t="str"/>
      <x:c r="M9" s="26" t="str">
        <x:f>IF(L9="","OPEN",IF(AND(ISNUMBER(G9),H9&lt;&gt;"",J9=I9,K9&lt;&gt;""),"PASS","FAIL"))</x:f>
        <x:v>OPEN</x:v>
      </x:c>
    </x:row>
    <x:row r="10">
      <x:c r="B10" s="26" t="str">
        <x:v>MW-TR-A-BASELINE-04</x:v>
      </x:c>
      <x:c r="C10" s="26" t="str">
        <x:v>TR-A</x:v>
      </x:c>
      <x:c r="D10" s="26" t="str">
        <x:v>BASELINE</x:v>
      </x:c>
      <x:c r="E10" s="26" t="n">
        <x:v>4</x:v>
      </x:c>
      <x:c r="F10" s="26" t="str">
        <x:v>normal source receiver</x:v>
      </x:c>
      <x:c r="G10" s="26" t="str"/>
      <x:c r="H10" s="26" t="str"/>
      <x:c r="I10" s="26" t="n">
        <x:v>1</x:v>
      </x:c>
      <x:c r="J10" s="26" t="str"/>
      <x:c r="K10" s="26" t="str"/>
      <x:c r="L10" s="26" t="str"/>
      <x:c r="M10" s="26" t="str">
        <x:f>IF(L10="","OPEN",IF(AND(ISNUMBER(G10),H10&lt;&gt;"",J10=I10,K10&lt;&gt;""),"PASS","FAIL"))</x:f>
        <x:v>OPEN</x:v>
      </x:c>
    </x:row>
    <x:row r="11">
      <x:c r="B11" s="26" t="str">
        <x:v>MW-TR-A-BASELINE-05</x:v>
      </x:c>
      <x:c r="C11" s="26" t="str">
        <x:v>TR-A</x:v>
      </x:c>
      <x:c r="D11" s="26" t="str">
        <x:v>BASELINE</x:v>
      </x:c>
      <x:c r="E11" s="26" t="n">
        <x:v>5</x:v>
      </x:c>
      <x:c r="F11" s="26" t="str">
        <x:v>casualty source receiver</x:v>
      </x:c>
      <x:c r="G11" s="26" t="str"/>
      <x:c r="H11" s="26" t="str"/>
      <x:c r="I11" s="26" t="n">
        <x:v>1</x:v>
      </x:c>
      <x:c r="J11" s="26" t="str"/>
      <x:c r="K11" s="26" t="str"/>
      <x:c r="L11" s="26" t="str"/>
      <x:c r="M11" s="26" t="str">
        <x:f>IF(L11="","OPEN",IF(AND(ISNUMBER(G11),H11&lt;&gt;"",J11=I11,K11&lt;&gt;""),"PASS","FAIL"))</x:f>
        <x:v>OPEN</x:v>
      </x:c>
    </x:row>
    <x:row r="12">
      <x:c r="B12" s="26" t="str">
        <x:v>MW-TR-A-BASELINE-06</x:v>
      </x:c>
      <x:c r="C12" s="26" t="str">
        <x:v>TR-A</x:v>
      </x:c>
      <x:c r="D12" s="26" t="str">
        <x:v>BASELINE</x:v>
      </x:c>
      <x:c r="E12" s="26" t="n">
        <x:v>6</x:v>
      </x:c>
      <x:c r="F12" s="26" t="str">
        <x:v>environment source witness</x:v>
      </x:c>
      <x:c r="G12" s="26" t="str"/>
      <x:c r="H12" s="26" t="str"/>
      <x:c r="I12" s="26" t="n">
        <x:v>1</x:v>
      </x:c>
      <x:c r="J12" s="26" t="str"/>
      <x:c r="K12" s="26" t="str"/>
      <x:c r="L12" s="26" t="str"/>
      <x:c r="M12" s="26" t="str">
        <x:f>IF(L12="","OPEN",IF(AND(ISNUMBER(G12),H12&lt;&gt;"",J12=I12,K12&lt;&gt;""),"PASS","FAIL"))</x:f>
        <x:v>OPEN</x:v>
      </x:c>
    </x:row>
    <x:row r="13">
      <x:c r="B13" s="26" t="str">
        <x:v>MW-TR-A-BASELINE-07</x:v>
      </x:c>
      <x:c r="C13" s="26" t="str">
        <x:v>TR-A</x:v>
      </x:c>
      <x:c r="D13" s="26" t="str">
        <x:v>BASELINE</x:v>
      </x:c>
      <x:c r="E13" s="26" t="n">
        <x:v>7</x:v>
      </x:c>
      <x:c r="F13" s="26" t="str">
        <x:v>water supply inventory</x:v>
      </x:c>
      <x:c r="G13" s="26" t="str"/>
      <x:c r="H13" s="26" t="str"/>
      <x:c r="I13" s="26" t="n">
        <x:v>1</x:v>
      </x:c>
      <x:c r="J13" s="26" t="str"/>
      <x:c r="K13" s="26" t="str"/>
      <x:c r="L13" s="26" t="str"/>
      <x:c r="M13" s="26" t="str">
        <x:f>IF(L13="","OPEN",IF(AND(ISNUMBER(G13),H13&lt;&gt;"",J13=I13,K13&lt;&gt;""),"PASS","FAIL"))</x:f>
        <x:v>OPEN</x:v>
      </x:c>
    </x:row>
    <x:row r="14">
      <x:c r="B14" s="26" t="str">
        <x:v>MW-TR-A-BASELINE-08</x:v>
      </x:c>
      <x:c r="C14" s="26" t="str">
        <x:v>TR-A</x:v>
      </x:c>
      <x:c r="D14" s="26" t="str">
        <x:v>BASELINE</x:v>
      </x:c>
      <x:c r="E14" s="26" t="n">
        <x:v>8</x:v>
      </x:c>
      <x:c r="F14" s="26" t="str">
        <x:v>water return inventory</x:v>
      </x:c>
      <x:c r="G14" s="26" t="str"/>
      <x:c r="H14" s="26" t="str"/>
      <x:c r="I14" s="26" t="n">
        <x:v>1</x:v>
      </x:c>
      <x:c r="J14" s="26" t="str"/>
      <x:c r="K14" s="26" t="str"/>
      <x:c r="L14" s="26" t="str"/>
      <x:c r="M14" s="26" t="str">
        <x:f>IF(L14="","OPEN",IF(AND(ISNUMBER(G14),H14&lt;&gt;"",J14=I14,K14&lt;&gt;""),"PASS","FAIL"))</x:f>
        <x:v>OPEN</x:v>
      </x:c>
    </x:row>
    <x:row r="15">
      <x:c r="B15" s="26" t="str">
        <x:v>MW-TR-A-BASELINE-09</x:v>
      </x:c>
      <x:c r="C15" s="26" t="str">
        <x:v>TR-A</x:v>
      </x:c>
      <x:c r="D15" s="26" t="str">
        <x:v>BASELINE</x:v>
      </x:c>
      <x:c r="E15" s="26" t="n">
        <x:v>9</x:v>
      </x:c>
      <x:c r="F15" s="26" t="str">
        <x:v>normal water receiver</x:v>
      </x:c>
      <x:c r="G15" s="26" t="str"/>
      <x:c r="H15" s="26" t="str"/>
      <x:c r="I15" s="26" t="n">
        <x:v>1</x:v>
      </x:c>
      <x:c r="J15" s="26" t="str"/>
      <x:c r="K15" s="26" t="str"/>
      <x:c r="L15" s="26" t="str"/>
      <x:c r="M15" s="26" t="str">
        <x:f>IF(L15="","OPEN",IF(AND(ISNUMBER(G15),H15&lt;&gt;"",J15=I15,K15&lt;&gt;""),"PASS","FAIL"))</x:f>
        <x:v>OPEN</x:v>
      </x:c>
    </x:row>
    <x:row r="16">
      <x:c r="B16" s="26" t="str">
        <x:v>MW-TR-A-BASELINE-10</x:v>
      </x:c>
      <x:c r="C16" s="26" t="str">
        <x:v>TR-A</x:v>
      </x:c>
      <x:c r="D16" s="26" t="str">
        <x:v>BASELINE</x:v>
      </x:c>
      <x:c r="E16" s="26" t="n">
        <x:v>10</x:v>
      </x:c>
      <x:c r="F16" s="26" t="str">
        <x:v>casualty water receiver</x:v>
      </x:c>
      <x:c r="G16" s="26" t="str"/>
      <x:c r="H16" s="26" t="str"/>
      <x:c r="I16" s="26" t="n">
        <x:v>1</x:v>
      </x:c>
      <x:c r="J16" s="26" t="str"/>
      <x:c r="K16" s="26" t="str"/>
      <x:c r="L16" s="26" t="str"/>
      <x:c r="M16" s="26" t="str">
        <x:f>IF(L16="","OPEN",IF(AND(ISNUMBER(G16),H16&lt;&gt;"",J16=I16,K16&lt;&gt;""),"PASS","FAIL"))</x:f>
        <x:v>OPEN</x:v>
      </x:c>
    </x:row>
    <x:row r="17">
      <x:c r="B17" s="26" t="str">
        <x:v>MW-TR-A-BASELINE-11</x:v>
      </x:c>
      <x:c r="C17" s="26" t="str">
        <x:v>TR-A</x:v>
      </x:c>
      <x:c r="D17" s="26" t="str">
        <x:v>BASELINE</x:v>
      </x:c>
      <x:c r="E17" s="26" t="n">
        <x:v>11</x:v>
      </x:c>
      <x:c r="F17" s="26" t="str">
        <x:v>terrain moisture</x:v>
      </x:c>
      <x:c r="G17" s="26" t="str"/>
      <x:c r="H17" s="26" t="str"/>
      <x:c r="I17" s="26" t="n">
        <x:v>1</x:v>
      </x:c>
      <x:c r="J17" s="26" t="str"/>
      <x:c r="K17" s="26" t="str"/>
      <x:c r="L17" s="26" t="str"/>
      <x:c r="M17" s="26" t="str">
        <x:f>IF(L17="","OPEN",IF(AND(ISNUMBER(G17),H17&lt;&gt;"",J17=I17,K17&lt;&gt;""),"PASS","FAIL"))</x:f>
        <x:v>OPEN</x:v>
      </x:c>
    </x:row>
    <x:row r="18">
      <x:c r="B18" s="26" t="str">
        <x:v>MW-TR-A-BASELINE-12</x:v>
      </x:c>
      <x:c r="C18" s="26" t="str">
        <x:v>TR-A</x:v>
      </x:c>
      <x:c r="D18" s="26" t="str">
        <x:v>BASELINE</x:v>
      </x:c>
      <x:c r="E18" s="26" t="n">
        <x:v>12</x:v>
      </x:c>
      <x:c r="F18" s="26" t="str">
        <x:v>environment water witness</x:v>
      </x:c>
      <x:c r="G18" s="26" t="str"/>
      <x:c r="H18" s="26" t="str"/>
      <x:c r="I18" s="26" t="n">
        <x:v>1</x:v>
      </x:c>
      <x:c r="J18" s="26" t="str"/>
      <x:c r="K18" s="26" t="str"/>
      <x:c r="L18" s="26" t="str"/>
      <x:c r="M18" s="26" t="str">
        <x:f>IF(L18="","OPEN",IF(AND(ISNUMBER(G18),H18&lt;&gt;"",J18=I18,K18&lt;&gt;""),"PASS","FAIL"))</x:f>
        <x:v>OPEN</x:v>
      </x:c>
    </x:row>
    <x:row r="19">
      <x:c r="B19" s="26" t="str">
        <x:v>MW-TR-A-BASELINE-13</x:v>
      </x:c>
      <x:c r="C19" s="26" t="str">
        <x:v>TR-A</x:v>
      </x:c>
      <x:c r="D19" s="26" t="str">
        <x:v>BASELINE</x:v>
      </x:c>
      <x:c r="E19" s="26" t="n">
        <x:v>13</x:v>
      </x:c>
      <x:c r="F19" s="26" t="str">
        <x:v>normal power</x:v>
      </x:c>
      <x:c r="G19" s="26" t="str"/>
      <x:c r="H19" s="26" t="str"/>
      <x:c r="I19" s="26" t="n">
        <x:v>1</x:v>
      </x:c>
      <x:c r="J19" s="26" t="str"/>
      <x:c r="K19" s="26" t="str"/>
      <x:c r="L19" s="26" t="str"/>
      <x:c r="M19" s="26" t="str">
        <x:f>IF(L19="","OPEN",IF(AND(ISNUMBER(G19),H19&lt;&gt;"",J19=I19,K19&lt;&gt;""),"PASS","FAIL"))</x:f>
        <x:v>OPEN</x:v>
      </x:c>
    </x:row>
    <x:row r="20">
      <x:c r="B20" s="26" t="str">
        <x:v>MW-TR-A-BASELINE-14</x:v>
      </x:c>
      <x:c r="C20" s="26" t="str">
        <x:v>TR-A</x:v>
      </x:c>
      <x:c r="D20" s="26" t="str">
        <x:v>BASELINE</x:v>
      </x:c>
      <x:c r="E20" s="26" t="n">
        <x:v>14</x:v>
      </x:c>
      <x:c r="F20" s="26" t="str">
        <x:v>independent safety energy</x:v>
      </x:c>
      <x:c r="G20" s="26" t="str"/>
      <x:c r="H20" s="26" t="str"/>
      <x:c r="I20" s="26" t="n">
        <x:v>1</x:v>
      </x:c>
      <x:c r="J20" s="26" t="str"/>
      <x:c r="K20" s="26" t="str"/>
      <x:c r="L20" s="26" t="str"/>
      <x:c r="M20" s="26" t="str">
        <x:f>IF(L20="","OPEN",IF(AND(ISNUMBER(G20),H20&lt;&gt;"",J20=I20,K20&lt;&gt;""),"PASS","FAIL"))</x:f>
        <x:v>OPEN</x:v>
      </x:c>
    </x:row>
    <x:row r="21">
      <x:c r="B21" s="26" t="str">
        <x:v>MW-TR-A-BASELINE-15</x:v>
      </x:c>
      <x:c r="C21" s="26" t="str">
        <x:v>TR-A</x:v>
      </x:c>
      <x:c r="D21" s="26" t="str">
        <x:v>BASELINE</x:v>
      </x:c>
      <x:c r="E21" s="26" t="n">
        <x:v>15</x:v>
      </x:c>
      <x:c r="F21" s="26" t="str">
        <x:v>source isolation state</x:v>
      </x:c>
      <x:c r="G21" s="26" t="str"/>
      <x:c r="H21" s="26" t="str"/>
      <x:c r="I21" s="26" t="n">
        <x:v>1</x:v>
      </x:c>
      <x:c r="J21" s="26" t="str"/>
      <x:c r="K21" s="26" t="str"/>
      <x:c r="L21" s="26" t="str"/>
      <x:c r="M21" s="26" t="str">
        <x:f>IF(L21="","OPEN",IF(AND(ISNUMBER(G21),H21&lt;&gt;"",J21=I21,K21&lt;&gt;""),"PASS","FAIL"))</x:f>
        <x:v>OPEN</x:v>
      </x:c>
    </x:row>
    <x:row r="22">
      <x:c r="B22" s="26" t="str">
        <x:v>MW-TR-A-BASELINE-16</x:v>
      </x:c>
      <x:c r="C22" s="26" t="str">
        <x:v>TR-A</x:v>
      </x:c>
      <x:c r="D22" s="26" t="str">
        <x:v>BASELINE</x:v>
      </x:c>
      <x:c r="E22" s="26" t="n">
        <x:v>16</x:v>
      </x:c>
      <x:c r="F22" s="26" t="str">
        <x:v>water isolation state</x:v>
      </x:c>
      <x:c r="G22" s="26" t="str"/>
      <x:c r="H22" s="26" t="str"/>
      <x:c r="I22" s="26" t="n">
        <x:v>1</x:v>
      </x:c>
      <x:c r="J22" s="26" t="str"/>
      <x:c r="K22" s="26" t="str"/>
      <x:c r="L22" s="26" t="str"/>
      <x:c r="M22" s="26" t="str">
        <x:f>IF(L22="","OPEN",IF(AND(ISNUMBER(G22),H22&lt;&gt;"",J22=I22,K22&lt;&gt;""),"PASS","FAIL"))</x:f>
        <x:v>OPEN</x:v>
      </x:c>
    </x:row>
    <x:row r="23">
      <x:c r="B23" s="26" t="str">
        <x:v>MW-TR-A-BASELINE-17</x:v>
      </x:c>
      <x:c r="C23" s="26" t="str">
        <x:v>TR-A</x:v>
      </x:c>
      <x:c r="D23" s="26" t="str">
        <x:v>BASELINE</x:v>
      </x:c>
      <x:c r="E23" s="26" t="n">
        <x:v>17</x:v>
      </x:c>
      <x:c r="F23" s="26" t="str">
        <x:v>casualty-route state</x:v>
      </x:c>
      <x:c r="G23" s="26" t="str"/>
      <x:c r="H23" s="26" t="str"/>
      <x:c r="I23" s="26" t="n">
        <x:v>1</x:v>
      </x:c>
      <x:c r="J23" s="26" t="str"/>
      <x:c r="K23" s="26" t="str"/>
      <x:c r="L23" s="26" t="str"/>
      <x:c r="M23" s="26" t="str">
        <x:f>IF(L23="","OPEN",IF(AND(ISNUMBER(G23),H23&lt;&gt;"",J23=I23,K23&lt;&gt;""),"PASS","FAIL"))</x:f>
        <x:v>OPEN</x:v>
      </x:c>
    </x:row>
    <x:row r="24">
      <x:c r="B24" s="26" t="str">
        <x:v>MW-TR-A-BASELINE-18</x:v>
      </x:c>
      <x:c r="C24" s="26" t="str">
        <x:v>TR-A</x:v>
      </x:c>
      <x:c r="D24" s="26" t="str">
        <x:v>BASELINE</x:v>
      </x:c>
      <x:c r="E24" s="26" t="n">
        <x:v>18</x:v>
      </x:c>
      <x:c r="F24" s="26" t="str">
        <x:v>safeing final state</x:v>
      </x:c>
      <x:c r="G24" s="26" t="str"/>
      <x:c r="H24" s="26" t="str"/>
      <x:c r="I24" s="26" t="n">
        <x:v>1</x:v>
      </x:c>
      <x:c r="J24" s="26" t="str"/>
      <x:c r="K24" s="26" t="str"/>
      <x:c r="L24" s="26" t="str"/>
      <x:c r="M24" s="26" t="str">
        <x:f>IF(L24="","OPEN",IF(AND(ISNUMBER(G24),H24&lt;&gt;"",J24=I24,K24&lt;&gt;""),"PASS","FAIL"))</x:f>
        <x:v>OPEN</x:v>
      </x:c>
    </x:row>
    <x:row r="25">
      <x:c r="B25" s="26" t="str">
        <x:v>MW-TR-A-BASELINE-19</x:v>
      </x:c>
      <x:c r="C25" s="26" t="str">
        <x:v>TR-A</x:v>
      </x:c>
      <x:c r="D25" s="26" t="str">
        <x:v>BASELINE</x:v>
      </x:c>
      <x:c r="E25" s="26" t="n">
        <x:v>19</x:v>
      </x:c>
      <x:c r="F25" s="26" t="str">
        <x:v>causal time root</x:v>
      </x:c>
      <x:c r="G25" s="26" t="str"/>
      <x:c r="H25" s="26" t="str"/>
      <x:c r="I25" s="26" t="n">
        <x:v>1</x:v>
      </x:c>
      <x:c r="J25" s="26" t="str"/>
      <x:c r="K25" s="26" t="str"/>
      <x:c r="L25" s="26" t="str"/>
      <x:c r="M25" s="26" t="str">
        <x:f>IF(L25="","OPEN",IF(AND(ISNUMBER(G25),H25&lt;&gt;"",J25=I25,K25&lt;&gt;""),"PASS","FAIL"))</x:f>
        <x:v>OPEN</x:v>
      </x:c>
    </x:row>
    <x:row r="26">
      <x:c r="B26" s="26" t="str">
        <x:v>MW-TR-A-BASELINE-20</x:v>
      </x:c>
      <x:c r="C26" s="26" t="str">
        <x:v>TR-A</x:v>
      </x:c>
      <x:c r="D26" s="26" t="str">
        <x:v>BASELINE</x:v>
      </x:c>
      <x:c r="E26" s="26" t="n">
        <x:v>20</x:v>
      </x:c>
      <x:c r="F26" s="26" t="str">
        <x:v>native original A</x:v>
      </x:c>
      <x:c r="G26" s="26" t="str"/>
      <x:c r="H26" s="26" t="str"/>
      <x:c r="I26" s="26" t="n">
        <x:v>1</x:v>
      </x:c>
      <x:c r="J26" s="26" t="str"/>
      <x:c r="K26" s="26" t="str"/>
      <x:c r="L26" s="26" t="str"/>
      <x:c r="M26" s="26" t="str">
        <x:f>IF(L26="","OPEN",IF(AND(ISNUMBER(G26),H26&lt;&gt;"",J26=I26,K26&lt;&gt;""),"PASS","FAIL"))</x:f>
        <x:v>OPEN</x:v>
      </x:c>
    </x:row>
    <x:row r="27">
      <x:c r="B27" s="26" t="str">
        <x:v>MW-TR-A-BASELINE-21</x:v>
      </x:c>
      <x:c r="C27" s="26" t="str">
        <x:v>TR-A</x:v>
      </x:c>
      <x:c r="D27" s="26" t="str">
        <x:v>BASELINE</x:v>
      </x:c>
      <x:c r="E27" s="26" t="n">
        <x:v>21</x:v>
      </x:c>
      <x:c r="F27" s="26" t="str">
        <x:v>native original B</x:v>
      </x:c>
      <x:c r="G27" s="26" t="str"/>
      <x:c r="H27" s="26" t="str"/>
      <x:c r="I27" s="26" t="n">
        <x:v>1</x:v>
      </x:c>
      <x:c r="J27" s="26" t="str"/>
      <x:c r="K27" s="26" t="str"/>
      <x:c r="L27" s="26" t="str"/>
      <x:c r="M27" s="26" t="str">
        <x:f>IF(L27="","OPEN",IF(AND(ISNUMBER(G27),H27&lt;&gt;"",J27=I27,K27&lt;&gt;""),"PASS","FAIL"))</x:f>
        <x:v>OPEN</x:v>
      </x:c>
    </x:row>
    <x:row r="28">
      <x:c r="B28" s="26" t="str">
        <x:v>MW-TR-A-BASELINE-22</x:v>
      </x:c>
      <x:c r="C28" s="26" t="str">
        <x:v>TR-A</x:v>
      </x:c>
      <x:c r="D28" s="26" t="str">
        <x:v>BASELINE</x:v>
      </x:c>
      <x:c r="E28" s="26" t="n">
        <x:v>22</x:v>
      </x:c>
      <x:c r="F28" s="26" t="str">
        <x:v>neighbor state</x:v>
      </x:c>
      <x:c r="G28" s="26" t="str"/>
      <x:c r="H28" s="26" t="str"/>
      <x:c r="I28" s="26" t="n">
        <x:v>1</x:v>
      </x:c>
      <x:c r="J28" s="26" t="str"/>
      <x:c r="K28" s="26" t="str"/>
      <x:c r="L28" s="26" t="str"/>
      <x:c r="M28" s="26" t="str">
        <x:f>IF(L28="","OPEN",IF(AND(ISNUMBER(G28),H28&lt;&gt;"",J28=I28,K28&lt;&gt;""),"PASS","FAIL"))</x:f>
        <x:v>OPEN</x:v>
      </x:c>
    </x:row>
    <x:row r="29">
      <x:c r="B29" s="26" t="str">
        <x:v>MW-TR-A-BASELINE-23</x:v>
      </x:c>
      <x:c r="C29" s="26" t="str">
        <x:v>TR-A</x:v>
      </x:c>
      <x:c r="D29" s="26" t="str">
        <x:v>BASELINE</x:v>
      </x:c>
      <x:c r="E29" s="26" t="n">
        <x:v>23</x:v>
      </x:c>
      <x:c r="F29" s="26" t="str">
        <x:v>rescue access</x:v>
      </x:c>
      <x:c r="G29" s="26" t="str"/>
      <x:c r="H29" s="26" t="str"/>
      <x:c r="I29" s="26" t="n">
        <x:v>1</x:v>
      </x:c>
      <x:c r="J29" s="26" t="str"/>
      <x:c r="K29" s="26" t="str"/>
      <x:c r="L29" s="26" t="str"/>
      <x:c r="M29" s="26" t="str">
        <x:f>IF(L29="","OPEN",IF(AND(ISNUMBER(G29),H29&lt;&gt;"",J29=I29,K29&lt;&gt;""),"PASS","FAIL"))</x:f>
        <x:v>OPEN</x:v>
      </x:c>
    </x:row>
    <x:row r="30">
      <x:c r="B30" s="26" t="str">
        <x:v>MW-TR-A-BASELINE-24</x:v>
      </x:c>
      <x:c r="C30" s="26" t="str">
        <x:v>TR-A</x:v>
      </x:c>
      <x:c r="D30" s="26" t="str">
        <x:v>BASELINE</x:v>
      </x:c>
      <x:c r="E30" s="26" t="n">
        <x:v>24</x:v>
      </x:c>
      <x:c r="F30" s="26" t="str">
        <x:v>environment boundary</x:v>
      </x:c>
      <x:c r="G30" s="26" t="str"/>
      <x:c r="H30" s="26" t="str"/>
      <x:c r="I30" s="26" t="n">
        <x:v>1</x:v>
      </x:c>
      <x:c r="J30" s="26" t="str"/>
      <x:c r="K30" s="26" t="str"/>
      <x:c r="L30" s="26" t="str"/>
      <x:c r="M30" s="26" t="str">
        <x:f>IF(L30="","OPEN",IF(AND(ISNUMBER(G30),H30&lt;&gt;"",J30=I30,K30&lt;&gt;""),"PASS","FAIL"))</x:f>
        <x:v>OPEN</x:v>
      </x:c>
    </x:row>
    <x:row r="31">
      <x:c r="B31" s="26" t="str">
        <x:v>MW-TR-A-EVENT-01</x:v>
      </x:c>
      <x:c r="C31" s="26" t="str">
        <x:v>TR-A</x:v>
      </x:c>
      <x:c r="D31" s="26" t="str">
        <x:v>EVENT</x:v>
      </x:c>
      <x:c r="E31" s="26" t="n">
        <x:v>1</x:v>
      </x:c>
      <x:c r="F31" s="26" t="str">
        <x:v>public datum</x:v>
      </x:c>
      <x:c r="G31" s="26" t="str"/>
      <x:c r="H31" s="26" t="str"/>
      <x:c r="I31" s="26" t="n">
        <x:v>1</x:v>
      </x:c>
      <x:c r="J31" s="26" t="str"/>
      <x:c r="K31" s="26" t="str"/>
      <x:c r="L31" s="26" t="str"/>
      <x:c r="M31" s="26" t="str">
        <x:f>IF(L31="","OPEN",IF(AND(ISNUMBER(G31),H31&lt;&gt;"",J31=I31,K31&lt;&gt;""),"PASS","FAIL"))</x:f>
        <x:v>OPEN</x:v>
      </x:c>
    </x:row>
    <x:row r="32">
      <x:c r="B32" s="26" t="str">
        <x:v>MW-TR-A-EVENT-02</x:v>
      </x:c>
      <x:c r="C32" s="26" t="str">
        <x:v>TR-A</x:v>
      </x:c>
      <x:c r="D32" s="26" t="str">
        <x:v>EVENT</x:v>
      </x:c>
      <x:c r="E32" s="26" t="n">
        <x:v>2</x:v>
      </x:c>
      <x:c r="F32" s="26" t="str">
        <x:v>source capsule tare</x:v>
      </x:c>
      <x:c r="G32" s="26" t="str"/>
      <x:c r="H32" s="26" t="str"/>
      <x:c r="I32" s="26" t="n">
        <x:v>1</x:v>
      </x:c>
      <x:c r="J32" s="26" t="str"/>
      <x:c r="K32" s="26" t="str"/>
      <x:c r="L32" s="26" t="str"/>
      <x:c r="M32" s="26" t="str">
        <x:f>IF(L32="","OPEN",IF(AND(ISNUMBER(G32),H32&lt;&gt;"",J32=I32,K32&lt;&gt;""),"PASS","FAIL"))</x:f>
        <x:v>OPEN</x:v>
      </x:c>
    </x:row>
    <x:row r="33">
      <x:c r="B33" s="26" t="str">
        <x:v>MW-TR-A-EVENT-03</x:v>
      </x:c>
      <x:c r="C33" s="26" t="str">
        <x:v>TR-A</x:v>
      </x:c>
      <x:c r="D33" s="26" t="str">
        <x:v>EVENT</x:v>
      </x:c>
      <x:c r="E33" s="26" t="n">
        <x:v>3</x:v>
      </x:c>
      <x:c r="F33" s="26" t="str">
        <x:v>source-route inventory</x:v>
      </x:c>
      <x:c r="G33" s="26" t="str"/>
      <x:c r="H33" s="26" t="str"/>
      <x:c r="I33" s="26" t="n">
        <x:v>1</x:v>
      </x:c>
      <x:c r="J33" s="26" t="str"/>
      <x:c r="K33" s="26" t="str"/>
      <x:c r="L33" s="26" t="str"/>
      <x:c r="M33" s="26" t="str">
        <x:f>IF(L33="","OPEN",IF(AND(ISNUMBER(G33),H33&lt;&gt;"",J33=I33,K33&lt;&gt;""),"PASS","FAIL"))</x:f>
        <x:v>OPEN</x:v>
      </x:c>
    </x:row>
    <x:row r="34">
      <x:c r="B34" s="26" t="str">
        <x:v>MW-TR-A-EVENT-04</x:v>
      </x:c>
      <x:c r="C34" s="26" t="str">
        <x:v>TR-A</x:v>
      </x:c>
      <x:c r="D34" s="26" t="str">
        <x:v>EVENT</x:v>
      </x:c>
      <x:c r="E34" s="26" t="n">
        <x:v>4</x:v>
      </x:c>
      <x:c r="F34" s="26" t="str">
        <x:v>normal source receiver</x:v>
      </x:c>
      <x:c r="G34" s="26" t="str"/>
      <x:c r="H34" s="26" t="str"/>
      <x:c r="I34" s="26" t="n">
        <x:v>1</x:v>
      </x:c>
      <x:c r="J34" s="26" t="str"/>
      <x:c r="K34" s="26" t="str"/>
      <x:c r="L34" s="26" t="str"/>
      <x:c r="M34" s="26" t="str">
        <x:f>IF(L34="","OPEN",IF(AND(ISNUMBER(G34),H34&lt;&gt;"",J34=I34,K34&lt;&gt;""),"PASS","FAIL"))</x:f>
        <x:v>OPEN</x:v>
      </x:c>
    </x:row>
    <x:row r="35">
      <x:c r="B35" s="26" t="str">
        <x:v>MW-TR-A-EVENT-05</x:v>
      </x:c>
      <x:c r="C35" s="26" t="str">
        <x:v>TR-A</x:v>
      </x:c>
      <x:c r="D35" s="26" t="str">
        <x:v>EVENT</x:v>
      </x:c>
      <x:c r="E35" s="26" t="n">
        <x:v>5</x:v>
      </x:c>
      <x:c r="F35" s="26" t="str">
        <x:v>casualty source receiver</x:v>
      </x:c>
      <x:c r="G35" s="26" t="str"/>
      <x:c r="H35" s="26" t="str"/>
      <x:c r="I35" s="26" t="n">
        <x:v>1</x:v>
      </x:c>
      <x:c r="J35" s="26" t="str"/>
      <x:c r="K35" s="26" t="str"/>
      <x:c r="L35" s="26" t="str"/>
      <x:c r="M35" s="26" t="str">
        <x:f>IF(L35="","OPEN",IF(AND(ISNUMBER(G35),H35&lt;&gt;"",J35=I35,K35&lt;&gt;""),"PASS","FAIL"))</x:f>
        <x:v>OPEN</x:v>
      </x:c>
    </x:row>
    <x:row r="36">
      <x:c r="B36" s="26" t="str">
        <x:v>MW-TR-A-EVENT-06</x:v>
      </x:c>
      <x:c r="C36" s="26" t="str">
        <x:v>TR-A</x:v>
      </x:c>
      <x:c r="D36" s="26" t="str">
        <x:v>EVENT</x:v>
      </x:c>
      <x:c r="E36" s="26" t="n">
        <x:v>6</x:v>
      </x:c>
      <x:c r="F36" s="26" t="str">
        <x:v>environment source witness</x:v>
      </x:c>
      <x:c r="G36" s="26" t="str"/>
      <x:c r="H36" s="26" t="str"/>
      <x:c r="I36" s="26" t="n">
        <x:v>1</x:v>
      </x:c>
      <x:c r="J36" s="26" t="str"/>
      <x:c r="K36" s="26" t="str"/>
      <x:c r="L36" s="26" t="str"/>
      <x:c r="M36" s="26" t="str">
        <x:f>IF(L36="","OPEN",IF(AND(ISNUMBER(G36),H36&lt;&gt;"",J36=I36,K36&lt;&gt;""),"PASS","FAIL"))</x:f>
        <x:v>OPEN</x:v>
      </x:c>
    </x:row>
    <x:row r="37">
      <x:c r="B37" s="26" t="str">
        <x:v>MW-TR-A-EVENT-07</x:v>
      </x:c>
      <x:c r="C37" s="26" t="str">
        <x:v>TR-A</x:v>
      </x:c>
      <x:c r="D37" s="26" t="str">
        <x:v>EVENT</x:v>
      </x:c>
      <x:c r="E37" s="26" t="n">
        <x:v>7</x:v>
      </x:c>
      <x:c r="F37" s="26" t="str">
        <x:v>water supply inventory</x:v>
      </x:c>
      <x:c r="G37" s="26" t="str"/>
      <x:c r="H37" s="26" t="str"/>
      <x:c r="I37" s="26" t="n">
        <x:v>1</x:v>
      </x:c>
      <x:c r="J37" s="26" t="str"/>
      <x:c r="K37" s="26" t="str"/>
      <x:c r="L37" s="26" t="str"/>
      <x:c r="M37" s="26" t="str">
        <x:f>IF(L37="","OPEN",IF(AND(ISNUMBER(G37),H37&lt;&gt;"",J37=I37,K37&lt;&gt;""),"PASS","FAIL"))</x:f>
        <x:v>OPEN</x:v>
      </x:c>
    </x:row>
    <x:row r="38">
      <x:c r="B38" s="26" t="str">
        <x:v>MW-TR-A-EVENT-08</x:v>
      </x:c>
      <x:c r="C38" s="26" t="str">
        <x:v>TR-A</x:v>
      </x:c>
      <x:c r="D38" s="26" t="str">
        <x:v>EVENT</x:v>
      </x:c>
      <x:c r="E38" s="26" t="n">
        <x:v>8</x:v>
      </x:c>
      <x:c r="F38" s="26" t="str">
        <x:v>water return inventory</x:v>
      </x:c>
      <x:c r="G38" s="26" t="str"/>
      <x:c r="H38" s="26" t="str"/>
      <x:c r="I38" s="26" t="n">
        <x:v>1</x:v>
      </x:c>
      <x:c r="J38" s="26" t="str"/>
      <x:c r="K38" s="26" t="str"/>
      <x:c r="L38" s="26" t="str"/>
      <x:c r="M38" s="26" t="str">
        <x:f>IF(L38="","OPEN",IF(AND(ISNUMBER(G38),H38&lt;&gt;"",J38=I38,K38&lt;&gt;""),"PASS","FAIL"))</x:f>
        <x:v>OPEN</x:v>
      </x:c>
    </x:row>
    <x:row r="39">
      <x:c r="B39" s="26" t="str">
        <x:v>MW-TR-A-EVENT-09</x:v>
      </x:c>
      <x:c r="C39" s="26" t="str">
        <x:v>TR-A</x:v>
      </x:c>
      <x:c r="D39" s="26" t="str">
        <x:v>EVENT</x:v>
      </x:c>
      <x:c r="E39" s="26" t="n">
        <x:v>9</x:v>
      </x:c>
      <x:c r="F39" s="26" t="str">
        <x:v>normal water receiver</x:v>
      </x:c>
      <x:c r="G39" s="26" t="str"/>
      <x:c r="H39" s="26" t="str"/>
      <x:c r="I39" s="26" t="n">
        <x:v>1</x:v>
      </x:c>
      <x:c r="J39" s="26" t="str"/>
      <x:c r="K39" s="26" t="str"/>
      <x:c r="L39" s="26" t="str"/>
      <x:c r="M39" s="26" t="str">
        <x:f>IF(L39="","OPEN",IF(AND(ISNUMBER(G39),H39&lt;&gt;"",J39=I39,K39&lt;&gt;""),"PASS","FAIL"))</x:f>
        <x:v>OPEN</x:v>
      </x:c>
    </x:row>
    <x:row r="40">
      <x:c r="B40" s="26" t="str">
        <x:v>MW-TR-A-EVENT-10</x:v>
      </x:c>
      <x:c r="C40" s="26" t="str">
        <x:v>TR-A</x:v>
      </x:c>
      <x:c r="D40" s="26" t="str">
        <x:v>EVENT</x:v>
      </x:c>
      <x:c r="E40" s="26" t="n">
        <x:v>10</x:v>
      </x:c>
      <x:c r="F40" s="26" t="str">
        <x:v>casualty water receiver</x:v>
      </x:c>
      <x:c r="G40" s="26" t="str"/>
      <x:c r="H40" s="26" t="str"/>
      <x:c r="I40" s="26" t="n">
        <x:v>1</x:v>
      </x:c>
      <x:c r="J40" s="26" t="str"/>
      <x:c r="K40" s="26" t="str"/>
      <x:c r="L40" s="26" t="str"/>
      <x:c r="M40" s="26" t="str">
        <x:f>IF(L40="","OPEN",IF(AND(ISNUMBER(G40),H40&lt;&gt;"",J40=I40,K40&lt;&gt;""),"PASS","FAIL"))</x:f>
        <x:v>OPEN</x:v>
      </x:c>
    </x:row>
    <x:row r="41">
      <x:c r="B41" s="26" t="str">
        <x:v>MW-TR-A-EVENT-11</x:v>
      </x:c>
      <x:c r="C41" s="26" t="str">
        <x:v>TR-A</x:v>
      </x:c>
      <x:c r="D41" s="26" t="str">
        <x:v>EVENT</x:v>
      </x:c>
      <x:c r="E41" s="26" t="n">
        <x:v>11</x:v>
      </x:c>
      <x:c r="F41" s="26" t="str">
        <x:v>terrain moisture</x:v>
      </x:c>
      <x:c r="G41" s="26" t="str"/>
      <x:c r="H41" s="26" t="str"/>
      <x:c r="I41" s="26" t="n">
        <x:v>1</x:v>
      </x:c>
      <x:c r="J41" s="26" t="str"/>
      <x:c r="K41" s="26" t="str"/>
      <x:c r="L41" s="26" t="str"/>
      <x:c r="M41" s="26" t="str">
        <x:f>IF(L41="","OPEN",IF(AND(ISNUMBER(G41),H41&lt;&gt;"",J41=I41,K41&lt;&gt;""),"PASS","FAIL"))</x:f>
        <x:v>OPEN</x:v>
      </x:c>
    </x:row>
    <x:row r="42">
      <x:c r="B42" s="26" t="str">
        <x:v>MW-TR-A-EVENT-12</x:v>
      </x:c>
      <x:c r="C42" s="26" t="str">
        <x:v>TR-A</x:v>
      </x:c>
      <x:c r="D42" s="26" t="str">
        <x:v>EVENT</x:v>
      </x:c>
      <x:c r="E42" s="26" t="n">
        <x:v>12</x:v>
      </x:c>
      <x:c r="F42" s="26" t="str">
        <x:v>environment water witness</x:v>
      </x:c>
      <x:c r="G42" s="26" t="str"/>
      <x:c r="H42" s="26" t="str"/>
      <x:c r="I42" s="26" t="n">
        <x:v>1</x:v>
      </x:c>
      <x:c r="J42" s="26" t="str"/>
      <x:c r="K42" s="26" t="str"/>
      <x:c r="L42" s="26" t="str"/>
      <x:c r="M42" s="26" t="str">
        <x:f>IF(L42="","OPEN",IF(AND(ISNUMBER(G42),H42&lt;&gt;"",J42=I42,K42&lt;&gt;""),"PASS","FAIL"))</x:f>
        <x:v>OPEN</x:v>
      </x:c>
    </x:row>
    <x:row r="43">
      <x:c r="B43" s="26" t="str">
        <x:v>MW-TR-A-EVENT-13</x:v>
      </x:c>
      <x:c r="C43" s="26" t="str">
        <x:v>TR-A</x:v>
      </x:c>
      <x:c r="D43" s="26" t="str">
        <x:v>EVENT</x:v>
      </x:c>
      <x:c r="E43" s="26" t="n">
        <x:v>13</x:v>
      </x:c>
      <x:c r="F43" s="26" t="str">
        <x:v>normal power</x:v>
      </x:c>
      <x:c r="G43" s="26" t="str"/>
      <x:c r="H43" s="26" t="str"/>
      <x:c r="I43" s="26" t="n">
        <x:v>1</x:v>
      </x:c>
      <x:c r="J43" s="26" t="str"/>
      <x:c r="K43" s="26" t="str"/>
      <x:c r="L43" s="26" t="str"/>
      <x:c r="M43" s="26" t="str">
        <x:f>IF(L43="","OPEN",IF(AND(ISNUMBER(G43),H43&lt;&gt;"",J43=I43,K43&lt;&gt;""),"PASS","FAIL"))</x:f>
        <x:v>OPEN</x:v>
      </x:c>
    </x:row>
    <x:row r="44">
      <x:c r="B44" s="26" t="str">
        <x:v>MW-TR-A-EVENT-14</x:v>
      </x:c>
      <x:c r="C44" s="26" t="str">
        <x:v>TR-A</x:v>
      </x:c>
      <x:c r="D44" s="26" t="str">
        <x:v>EVENT</x:v>
      </x:c>
      <x:c r="E44" s="26" t="n">
        <x:v>14</x:v>
      </x:c>
      <x:c r="F44" s="26" t="str">
        <x:v>independent safety energy</x:v>
      </x:c>
      <x:c r="G44" s="26" t="str"/>
      <x:c r="H44" s="26" t="str"/>
      <x:c r="I44" s="26" t="n">
        <x:v>1</x:v>
      </x:c>
      <x:c r="J44" s="26" t="str"/>
      <x:c r="K44" s="26" t="str"/>
      <x:c r="L44" s="26" t="str"/>
      <x:c r="M44" s="26" t="str">
        <x:f>IF(L44="","OPEN",IF(AND(ISNUMBER(G44),H44&lt;&gt;"",J44=I44,K44&lt;&gt;""),"PASS","FAIL"))</x:f>
        <x:v>OPEN</x:v>
      </x:c>
    </x:row>
    <x:row r="45">
      <x:c r="B45" s="26" t="str">
        <x:v>MW-TR-A-EVENT-15</x:v>
      </x:c>
      <x:c r="C45" s="26" t="str">
        <x:v>TR-A</x:v>
      </x:c>
      <x:c r="D45" s="26" t="str">
        <x:v>EVENT</x:v>
      </x:c>
      <x:c r="E45" s="26" t="n">
        <x:v>15</x:v>
      </x:c>
      <x:c r="F45" s="26" t="str">
        <x:v>source isolation state</x:v>
      </x:c>
      <x:c r="G45" s="26" t="str"/>
      <x:c r="H45" s="26" t="str"/>
      <x:c r="I45" s="26" t="n">
        <x:v>1</x:v>
      </x:c>
      <x:c r="J45" s="26" t="str"/>
      <x:c r="K45" s="26" t="str"/>
      <x:c r="L45" s="26" t="str"/>
      <x:c r="M45" s="26" t="str">
        <x:f>IF(L45="","OPEN",IF(AND(ISNUMBER(G45),H45&lt;&gt;"",J45=I45,K45&lt;&gt;""),"PASS","FAIL"))</x:f>
        <x:v>OPEN</x:v>
      </x:c>
    </x:row>
    <x:row r="46">
      <x:c r="B46" s="26" t="str">
        <x:v>MW-TR-A-EVENT-16</x:v>
      </x:c>
      <x:c r="C46" s="26" t="str">
        <x:v>TR-A</x:v>
      </x:c>
      <x:c r="D46" s="26" t="str">
        <x:v>EVENT</x:v>
      </x:c>
      <x:c r="E46" s="26" t="n">
        <x:v>16</x:v>
      </x:c>
      <x:c r="F46" s="26" t="str">
        <x:v>water isolation state</x:v>
      </x:c>
      <x:c r="G46" s="26" t="str"/>
      <x:c r="H46" s="26" t="str"/>
      <x:c r="I46" s="26" t="n">
        <x:v>1</x:v>
      </x:c>
      <x:c r="J46" s="26" t="str"/>
      <x:c r="K46" s="26" t="str"/>
      <x:c r="L46" s="26" t="str"/>
      <x:c r="M46" s="26" t="str">
        <x:f>IF(L46="","OPEN",IF(AND(ISNUMBER(G46),H46&lt;&gt;"",J46=I46,K46&lt;&gt;""),"PASS","FAIL"))</x:f>
        <x:v>OPEN</x:v>
      </x:c>
    </x:row>
    <x:row r="47">
      <x:c r="B47" s="26" t="str">
        <x:v>MW-TR-A-EVENT-17</x:v>
      </x:c>
      <x:c r="C47" s="26" t="str">
        <x:v>TR-A</x:v>
      </x:c>
      <x:c r="D47" s="26" t="str">
        <x:v>EVENT</x:v>
      </x:c>
      <x:c r="E47" s="26" t="n">
        <x:v>17</x:v>
      </x:c>
      <x:c r="F47" s="26" t="str">
        <x:v>casualty-route state</x:v>
      </x:c>
      <x:c r="G47" s="26" t="str"/>
      <x:c r="H47" s="26" t="str"/>
      <x:c r="I47" s="26" t="n">
        <x:v>1</x:v>
      </x:c>
      <x:c r="J47" s="26" t="str"/>
      <x:c r="K47" s="26" t="str"/>
      <x:c r="L47" s="26" t="str"/>
      <x:c r="M47" s="26" t="str">
        <x:f>IF(L47="","OPEN",IF(AND(ISNUMBER(G47),H47&lt;&gt;"",J47=I47,K47&lt;&gt;""),"PASS","FAIL"))</x:f>
        <x:v>OPEN</x:v>
      </x:c>
    </x:row>
    <x:row r="48">
      <x:c r="B48" s="26" t="str">
        <x:v>MW-TR-A-EVENT-18</x:v>
      </x:c>
      <x:c r="C48" s="26" t="str">
        <x:v>TR-A</x:v>
      </x:c>
      <x:c r="D48" s="26" t="str">
        <x:v>EVENT</x:v>
      </x:c>
      <x:c r="E48" s="26" t="n">
        <x:v>18</x:v>
      </x:c>
      <x:c r="F48" s="26" t="str">
        <x:v>safeing final state</x:v>
      </x:c>
      <x:c r="G48" s="26" t="str"/>
      <x:c r="H48" s="26" t="str"/>
      <x:c r="I48" s="26" t="n">
        <x:v>1</x:v>
      </x:c>
      <x:c r="J48" s="26" t="str"/>
      <x:c r="K48" s="26" t="str"/>
      <x:c r="L48" s="26" t="str"/>
      <x:c r="M48" s="26" t="str">
        <x:f>IF(L48="","OPEN",IF(AND(ISNUMBER(G48),H48&lt;&gt;"",J48=I48,K48&lt;&gt;""),"PASS","FAIL"))</x:f>
        <x:v>OPEN</x:v>
      </x:c>
    </x:row>
    <x:row r="49">
      <x:c r="B49" s="26" t="str">
        <x:v>MW-TR-A-EVENT-19</x:v>
      </x:c>
      <x:c r="C49" s="26" t="str">
        <x:v>TR-A</x:v>
      </x:c>
      <x:c r="D49" s="26" t="str">
        <x:v>EVENT</x:v>
      </x:c>
      <x:c r="E49" s="26" t="n">
        <x:v>19</x:v>
      </x:c>
      <x:c r="F49" s="26" t="str">
        <x:v>causal time root</x:v>
      </x:c>
      <x:c r="G49" s="26" t="str"/>
      <x:c r="H49" s="26" t="str"/>
      <x:c r="I49" s="26" t="n">
        <x:v>1</x:v>
      </x:c>
      <x:c r="J49" s="26" t="str"/>
      <x:c r="K49" s="26" t="str"/>
      <x:c r="L49" s="26" t="str"/>
      <x:c r="M49" s="26" t="str">
        <x:f>IF(L49="","OPEN",IF(AND(ISNUMBER(G49),H49&lt;&gt;"",J49=I49,K49&lt;&gt;""),"PASS","FAIL"))</x:f>
        <x:v>OPEN</x:v>
      </x:c>
    </x:row>
    <x:row r="50">
      <x:c r="B50" s="26" t="str">
        <x:v>MW-TR-A-EVENT-20</x:v>
      </x:c>
      <x:c r="C50" s="26" t="str">
        <x:v>TR-A</x:v>
      </x:c>
      <x:c r="D50" s="26" t="str">
        <x:v>EVENT</x:v>
      </x:c>
      <x:c r="E50" s="26" t="n">
        <x:v>20</x:v>
      </x:c>
      <x:c r="F50" s="26" t="str">
        <x:v>native original A</x:v>
      </x:c>
      <x:c r="G50" s="26" t="str"/>
      <x:c r="H50" s="26" t="str"/>
      <x:c r="I50" s="26" t="n">
        <x:v>1</x:v>
      </x:c>
      <x:c r="J50" s="26" t="str"/>
      <x:c r="K50" s="26" t="str"/>
      <x:c r="L50" s="26" t="str"/>
      <x:c r="M50" s="26" t="str">
        <x:f>IF(L50="","OPEN",IF(AND(ISNUMBER(G50),H50&lt;&gt;"",J50=I50,K50&lt;&gt;""),"PASS","FAIL"))</x:f>
        <x:v>OPEN</x:v>
      </x:c>
    </x:row>
    <x:row r="51">
      <x:c r="B51" s="26" t="str">
        <x:v>MW-TR-A-EVENT-21</x:v>
      </x:c>
      <x:c r="C51" s="26" t="str">
        <x:v>TR-A</x:v>
      </x:c>
      <x:c r="D51" s="26" t="str">
        <x:v>EVENT</x:v>
      </x:c>
      <x:c r="E51" s="26" t="n">
        <x:v>21</x:v>
      </x:c>
      <x:c r="F51" s="26" t="str">
        <x:v>native original B</x:v>
      </x:c>
      <x:c r="G51" s="26" t="str"/>
      <x:c r="H51" s="26" t="str"/>
      <x:c r="I51" s="26" t="n">
        <x:v>1</x:v>
      </x:c>
      <x:c r="J51" s="26" t="str"/>
      <x:c r="K51" s="26" t="str"/>
      <x:c r="L51" s="26" t="str"/>
      <x:c r="M51" s="26" t="str">
        <x:f>IF(L51="","OPEN",IF(AND(ISNUMBER(G51),H51&lt;&gt;"",J51=I51,K51&lt;&gt;""),"PASS","FAIL"))</x:f>
        <x:v>OPEN</x:v>
      </x:c>
    </x:row>
    <x:row r="52">
      <x:c r="B52" s="26" t="str">
        <x:v>MW-TR-A-EVENT-22</x:v>
      </x:c>
      <x:c r="C52" s="26" t="str">
        <x:v>TR-A</x:v>
      </x:c>
      <x:c r="D52" s="26" t="str">
        <x:v>EVENT</x:v>
      </x:c>
      <x:c r="E52" s="26" t="n">
        <x:v>22</x:v>
      </x:c>
      <x:c r="F52" s="26" t="str">
        <x:v>neighbor state</x:v>
      </x:c>
      <x:c r="G52" s="26" t="str"/>
      <x:c r="H52" s="26" t="str"/>
      <x:c r="I52" s="26" t="n">
        <x:v>1</x:v>
      </x:c>
      <x:c r="J52" s="26" t="str"/>
      <x:c r="K52" s="26" t="str"/>
      <x:c r="L52" s="26" t="str"/>
      <x:c r="M52" s="26" t="str">
        <x:f>IF(L52="","OPEN",IF(AND(ISNUMBER(G52),H52&lt;&gt;"",J52=I52,K52&lt;&gt;""),"PASS","FAIL"))</x:f>
        <x:v>OPEN</x:v>
      </x:c>
    </x:row>
    <x:row r="53">
      <x:c r="B53" s="26" t="str">
        <x:v>MW-TR-A-EVENT-23</x:v>
      </x:c>
      <x:c r="C53" s="26" t="str">
        <x:v>TR-A</x:v>
      </x:c>
      <x:c r="D53" s="26" t="str">
        <x:v>EVENT</x:v>
      </x:c>
      <x:c r="E53" s="26" t="n">
        <x:v>23</x:v>
      </x:c>
      <x:c r="F53" s="26" t="str">
        <x:v>rescue access</x:v>
      </x:c>
      <x:c r="G53" s="26" t="str"/>
      <x:c r="H53" s="26" t="str"/>
      <x:c r="I53" s="26" t="n">
        <x:v>1</x:v>
      </x:c>
      <x:c r="J53" s="26" t="str"/>
      <x:c r="K53" s="26" t="str"/>
      <x:c r="L53" s="26" t="str"/>
      <x:c r="M53" s="26" t="str">
        <x:f>IF(L53="","OPEN",IF(AND(ISNUMBER(G53),H53&lt;&gt;"",J53=I53,K53&lt;&gt;""),"PASS","FAIL"))</x:f>
        <x:v>OPEN</x:v>
      </x:c>
    </x:row>
    <x:row r="54">
      <x:c r="B54" s="26" t="str">
        <x:v>MW-TR-A-EVENT-24</x:v>
      </x:c>
      <x:c r="C54" s="26" t="str">
        <x:v>TR-A</x:v>
      </x:c>
      <x:c r="D54" s="26" t="str">
        <x:v>EVENT</x:v>
      </x:c>
      <x:c r="E54" s="26" t="n">
        <x:v>24</x:v>
      </x:c>
      <x:c r="F54" s="26" t="str">
        <x:v>environment boundary</x:v>
      </x:c>
      <x:c r="G54" s="26" t="str"/>
      <x:c r="H54" s="26" t="str"/>
      <x:c r="I54" s="26" t="n">
        <x:v>1</x:v>
      </x:c>
      <x:c r="J54" s="26" t="str"/>
      <x:c r="K54" s="26" t="str"/>
      <x:c r="L54" s="26" t="str"/>
      <x:c r="M54" s="26" t="str">
        <x:f>IF(L54="","OPEN",IF(AND(ISNUMBER(G54),H54&lt;&gt;"",J54=I54,K54&lt;&gt;""),"PASS","FAIL"))</x:f>
        <x:v>OPEN</x:v>
      </x:c>
    </x:row>
    <x:row r="55">
      <x:c r="B55" s="26" t="str">
        <x:v>MW-TR-B-BASELINE-01</x:v>
      </x:c>
      <x:c r="C55" s="26" t="str">
        <x:v>TR-B</x:v>
      </x:c>
      <x:c r="D55" s="26" t="str">
        <x:v>BASELINE</x:v>
      </x:c>
      <x:c r="E55" s="26" t="n">
        <x:v>1</x:v>
      </x:c>
      <x:c r="F55" s="26" t="str">
        <x:v>public datum</x:v>
      </x:c>
      <x:c r="G55" s="26" t="str"/>
      <x:c r="H55" s="26" t="str"/>
      <x:c r="I55" s="26" t="n">
        <x:v>1</x:v>
      </x:c>
      <x:c r="J55" s="26" t="str"/>
      <x:c r="K55" s="26" t="str"/>
      <x:c r="L55" s="26" t="str"/>
      <x:c r="M55" s="26" t="str">
        <x:f>IF(L55="","OPEN",IF(AND(ISNUMBER(G55),H55&lt;&gt;"",J55=I55,K55&lt;&gt;""),"PASS","FAIL"))</x:f>
        <x:v>OPEN</x:v>
      </x:c>
    </x:row>
    <x:row r="56">
      <x:c r="B56" s="26" t="str">
        <x:v>MW-TR-B-BASELINE-02</x:v>
      </x:c>
      <x:c r="C56" s="26" t="str">
        <x:v>TR-B</x:v>
      </x:c>
      <x:c r="D56" s="26" t="str">
        <x:v>BASELINE</x:v>
      </x:c>
      <x:c r="E56" s="26" t="n">
        <x:v>2</x:v>
      </x:c>
      <x:c r="F56" s="26" t="str">
        <x:v>source capsule tare</x:v>
      </x:c>
      <x:c r="G56" s="26" t="str"/>
      <x:c r="H56" s="26" t="str"/>
      <x:c r="I56" s="26" t="n">
        <x:v>1</x:v>
      </x:c>
      <x:c r="J56" s="26" t="str"/>
      <x:c r="K56" s="26" t="str"/>
      <x:c r="L56" s="26" t="str"/>
      <x:c r="M56" s="26" t="str">
        <x:f>IF(L56="","OPEN",IF(AND(ISNUMBER(G56),H56&lt;&gt;"",J56=I56,K56&lt;&gt;""),"PASS","FAIL"))</x:f>
        <x:v>OPEN</x:v>
      </x:c>
    </x:row>
    <x:row r="57">
      <x:c r="B57" s="26" t="str">
        <x:v>MW-TR-B-BASELINE-03</x:v>
      </x:c>
      <x:c r="C57" s="26" t="str">
        <x:v>TR-B</x:v>
      </x:c>
      <x:c r="D57" s="26" t="str">
        <x:v>BASELINE</x:v>
      </x:c>
      <x:c r="E57" s="26" t="n">
        <x:v>3</x:v>
      </x:c>
      <x:c r="F57" s="26" t="str">
        <x:v>source-route inventory</x:v>
      </x:c>
      <x:c r="G57" s="26" t="str"/>
      <x:c r="H57" s="26" t="str"/>
      <x:c r="I57" s="26" t="n">
        <x:v>1</x:v>
      </x:c>
      <x:c r="J57" s="26" t="str"/>
      <x:c r="K57" s="26" t="str"/>
      <x:c r="L57" s="26" t="str"/>
      <x:c r="M57" s="26" t="str">
        <x:f>IF(L57="","OPEN",IF(AND(ISNUMBER(G57),H57&lt;&gt;"",J57=I57,K57&lt;&gt;""),"PASS","FAIL"))</x:f>
        <x:v>OPEN</x:v>
      </x:c>
    </x:row>
    <x:row r="58">
      <x:c r="B58" s="26" t="str">
        <x:v>MW-TR-B-BASELINE-04</x:v>
      </x:c>
      <x:c r="C58" s="26" t="str">
        <x:v>TR-B</x:v>
      </x:c>
      <x:c r="D58" s="26" t="str">
        <x:v>BASELINE</x:v>
      </x:c>
      <x:c r="E58" s="26" t="n">
        <x:v>4</x:v>
      </x:c>
      <x:c r="F58" s="26" t="str">
        <x:v>normal source receiver</x:v>
      </x:c>
      <x:c r="G58" s="26" t="str"/>
      <x:c r="H58" s="26" t="str"/>
      <x:c r="I58" s="26" t="n">
        <x:v>1</x:v>
      </x:c>
      <x:c r="J58" s="26" t="str"/>
      <x:c r="K58" s="26" t="str"/>
      <x:c r="L58" s="26" t="str"/>
      <x:c r="M58" s="26" t="str">
        <x:f>IF(L58="","OPEN",IF(AND(ISNUMBER(G58),H58&lt;&gt;"",J58=I58,K58&lt;&gt;""),"PASS","FAIL"))</x:f>
        <x:v>OPEN</x:v>
      </x:c>
    </x:row>
    <x:row r="59">
      <x:c r="B59" s="26" t="str">
        <x:v>MW-TR-B-BASELINE-05</x:v>
      </x:c>
      <x:c r="C59" s="26" t="str">
        <x:v>TR-B</x:v>
      </x:c>
      <x:c r="D59" s="26" t="str">
        <x:v>BASELINE</x:v>
      </x:c>
      <x:c r="E59" s="26" t="n">
        <x:v>5</x:v>
      </x:c>
      <x:c r="F59" s="26" t="str">
        <x:v>casualty source receiver</x:v>
      </x:c>
      <x:c r="G59" s="26" t="str"/>
      <x:c r="H59" s="26" t="str"/>
      <x:c r="I59" s="26" t="n">
        <x:v>1</x:v>
      </x:c>
      <x:c r="J59" s="26" t="str"/>
      <x:c r="K59" s="26" t="str"/>
      <x:c r="L59" s="26" t="str"/>
      <x:c r="M59" s="26" t="str">
        <x:f>IF(L59="","OPEN",IF(AND(ISNUMBER(G59),H59&lt;&gt;"",J59=I59,K59&lt;&gt;""),"PASS","FAIL"))</x:f>
        <x:v>OPEN</x:v>
      </x:c>
    </x:row>
    <x:row r="60">
      <x:c r="B60" s="26" t="str">
        <x:v>MW-TR-B-BASELINE-06</x:v>
      </x:c>
      <x:c r="C60" s="26" t="str">
        <x:v>TR-B</x:v>
      </x:c>
      <x:c r="D60" s="26" t="str">
        <x:v>BASELINE</x:v>
      </x:c>
      <x:c r="E60" s="26" t="n">
        <x:v>6</x:v>
      </x:c>
      <x:c r="F60" s="26" t="str">
        <x:v>environment source witness</x:v>
      </x:c>
      <x:c r="G60" s="26" t="str"/>
      <x:c r="H60" s="26" t="str"/>
      <x:c r="I60" s="26" t="n">
        <x:v>1</x:v>
      </x:c>
      <x:c r="J60" s="26" t="str"/>
      <x:c r="K60" s="26" t="str"/>
      <x:c r="L60" s="26" t="str"/>
      <x:c r="M60" s="26" t="str">
        <x:f>IF(L60="","OPEN",IF(AND(ISNUMBER(G60),H60&lt;&gt;"",J60=I60,K60&lt;&gt;""),"PASS","FAIL"))</x:f>
        <x:v>OPEN</x:v>
      </x:c>
    </x:row>
    <x:row r="61">
      <x:c r="B61" s="26" t="str">
        <x:v>MW-TR-B-BASELINE-07</x:v>
      </x:c>
      <x:c r="C61" s="26" t="str">
        <x:v>TR-B</x:v>
      </x:c>
      <x:c r="D61" s="26" t="str">
        <x:v>BASELINE</x:v>
      </x:c>
      <x:c r="E61" s="26" t="n">
        <x:v>7</x:v>
      </x:c>
      <x:c r="F61" s="26" t="str">
        <x:v>water supply inventory</x:v>
      </x:c>
      <x:c r="G61" s="26" t="str"/>
      <x:c r="H61" s="26" t="str"/>
      <x:c r="I61" s="26" t="n">
        <x:v>1</x:v>
      </x:c>
      <x:c r="J61" s="26" t="str"/>
      <x:c r="K61" s="26" t="str"/>
      <x:c r="L61" s="26" t="str"/>
      <x:c r="M61" s="26" t="str">
        <x:f>IF(L61="","OPEN",IF(AND(ISNUMBER(G61),H61&lt;&gt;"",J61=I61,K61&lt;&gt;""),"PASS","FAIL"))</x:f>
        <x:v>OPEN</x:v>
      </x:c>
    </x:row>
    <x:row r="62">
      <x:c r="B62" s="26" t="str">
        <x:v>MW-TR-B-BASELINE-08</x:v>
      </x:c>
      <x:c r="C62" s="26" t="str">
        <x:v>TR-B</x:v>
      </x:c>
      <x:c r="D62" s="26" t="str">
        <x:v>BASELINE</x:v>
      </x:c>
      <x:c r="E62" s="26" t="n">
        <x:v>8</x:v>
      </x:c>
      <x:c r="F62" s="26" t="str">
        <x:v>water return inventory</x:v>
      </x:c>
      <x:c r="G62" s="26" t="str"/>
      <x:c r="H62" s="26" t="str"/>
      <x:c r="I62" s="26" t="n">
        <x:v>1</x:v>
      </x:c>
      <x:c r="J62" s="26" t="str"/>
      <x:c r="K62" s="26" t="str"/>
      <x:c r="L62" s="26" t="str"/>
      <x:c r="M62" s="26" t="str">
        <x:f>IF(L62="","OPEN",IF(AND(ISNUMBER(G62),H62&lt;&gt;"",J62=I62,K62&lt;&gt;""),"PASS","FAIL"))</x:f>
        <x:v>OPEN</x:v>
      </x:c>
    </x:row>
    <x:row r="63">
      <x:c r="B63" s="26" t="str">
        <x:v>MW-TR-B-BASELINE-09</x:v>
      </x:c>
      <x:c r="C63" s="26" t="str">
        <x:v>TR-B</x:v>
      </x:c>
      <x:c r="D63" s="26" t="str">
        <x:v>BASELINE</x:v>
      </x:c>
      <x:c r="E63" s="26" t="n">
        <x:v>9</x:v>
      </x:c>
      <x:c r="F63" s="26" t="str">
        <x:v>normal water receiver</x:v>
      </x:c>
      <x:c r="G63" s="26" t="str"/>
      <x:c r="H63" s="26" t="str"/>
      <x:c r="I63" s="26" t="n">
        <x:v>1</x:v>
      </x:c>
      <x:c r="J63" s="26" t="str"/>
      <x:c r="K63" s="26" t="str"/>
      <x:c r="L63" s="26" t="str"/>
      <x:c r="M63" s="26" t="str">
        <x:f>IF(L63="","OPEN",IF(AND(ISNUMBER(G63),H63&lt;&gt;"",J63=I63,K63&lt;&gt;""),"PASS","FAIL"))</x:f>
        <x:v>OPEN</x:v>
      </x:c>
    </x:row>
    <x:row r="64">
      <x:c r="B64" s="26" t="str">
        <x:v>MW-TR-B-BASELINE-10</x:v>
      </x:c>
      <x:c r="C64" s="26" t="str">
        <x:v>TR-B</x:v>
      </x:c>
      <x:c r="D64" s="26" t="str">
        <x:v>BASELINE</x:v>
      </x:c>
      <x:c r="E64" s="26" t="n">
        <x:v>10</x:v>
      </x:c>
      <x:c r="F64" s="26" t="str">
        <x:v>casualty water receiver</x:v>
      </x:c>
      <x:c r="G64" s="26" t="str"/>
      <x:c r="H64" s="26" t="str"/>
      <x:c r="I64" s="26" t="n">
        <x:v>1</x:v>
      </x:c>
      <x:c r="J64" s="26" t="str"/>
      <x:c r="K64" s="26" t="str"/>
      <x:c r="L64" s="26" t="str"/>
      <x:c r="M64" s="26" t="str">
        <x:f>IF(L64="","OPEN",IF(AND(ISNUMBER(G64),H64&lt;&gt;"",J64=I64,K64&lt;&gt;""),"PASS","FAIL"))</x:f>
        <x:v>OPEN</x:v>
      </x:c>
    </x:row>
    <x:row r="65">
      <x:c r="B65" s="26" t="str">
        <x:v>MW-TR-B-BASELINE-11</x:v>
      </x:c>
      <x:c r="C65" s="26" t="str">
        <x:v>TR-B</x:v>
      </x:c>
      <x:c r="D65" s="26" t="str">
        <x:v>BASELINE</x:v>
      </x:c>
      <x:c r="E65" s="26" t="n">
        <x:v>11</x:v>
      </x:c>
      <x:c r="F65" s="26" t="str">
        <x:v>terrain moisture</x:v>
      </x:c>
      <x:c r="G65" s="26" t="str"/>
      <x:c r="H65" s="26" t="str"/>
      <x:c r="I65" s="26" t="n">
        <x:v>1</x:v>
      </x:c>
      <x:c r="J65" s="26" t="str"/>
      <x:c r="K65" s="26" t="str"/>
      <x:c r="L65" s="26" t="str"/>
      <x:c r="M65" s="26" t="str">
        <x:f>IF(L65="","OPEN",IF(AND(ISNUMBER(G65),H65&lt;&gt;"",J65=I65,K65&lt;&gt;""),"PASS","FAIL"))</x:f>
        <x:v>OPEN</x:v>
      </x:c>
    </x:row>
    <x:row r="66">
      <x:c r="B66" s="26" t="str">
        <x:v>MW-TR-B-BASELINE-12</x:v>
      </x:c>
      <x:c r="C66" s="26" t="str">
        <x:v>TR-B</x:v>
      </x:c>
      <x:c r="D66" s="26" t="str">
        <x:v>BASELINE</x:v>
      </x:c>
      <x:c r="E66" s="26" t="n">
        <x:v>12</x:v>
      </x:c>
      <x:c r="F66" s="26" t="str">
        <x:v>environment water witness</x:v>
      </x:c>
      <x:c r="G66" s="26" t="str"/>
      <x:c r="H66" s="26" t="str"/>
      <x:c r="I66" s="26" t="n">
        <x:v>1</x:v>
      </x:c>
      <x:c r="J66" s="26" t="str"/>
      <x:c r="K66" s="26" t="str"/>
      <x:c r="L66" s="26" t="str"/>
      <x:c r="M66" s="26" t="str">
        <x:f>IF(L66="","OPEN",IF(AND(ISNUMBER(G66),H66&lt;&gt;"",J66=I66,K66&lt;&gt;""),"PASS","FAIL"))</x:f>
        <x:v>OPEN</x:v>
      </x:c>
    </x:row>
    <x:row r="67">
      <x:c r="B67" s="26" t="str">
        <x:v>MW-TR-B-BASELINE-13</x:v>
      </x:c>
      <x:c r="C67" s="26" t="str">
        <x:v>TR-B</x:v>
      </x:c>
      <x:c r="D67" s="26" t="str">
        <x:v>BASELINE</x:v>
      </x:c>
      <x:c r="E67" s="26" t="n">
        <x:v>13</x:v>
      </x:c>
      <x:c r="F67" s="26" t="str">
        <x:v>normal power</x:v>
      </x:c>
      <x:c r="G67" s="26" t="str"/>
      <x:c r="H67" s="26" t="str"/>
      <x:c r="I67" s="26" t="n">
        <x:v>1</x:v>
      </x:c>
      <x:c r="J67" s="26" t="str"/>
      <x:c r="K67" s="26" t="str"/>
      <x:c r="L67" s="26" t="str"/>
      <x:c r="M67" s="26" t="str">
        <x:f>IF(L67="","OPEN",IF(AND(ISNUMBER(G67),H67&lt;&gt;"",J67=I67,K67&lt;&gt;""),"PASS","FAIL"))</x:f>
        <x:v>OPEN</x:v>
      </x:c>
    </x:row>
    <x:row r="68">
      <x:c r="B68" s="26" t="str">
        <x:v>MW-TR-B-BASELINE-14</x:v>
      </x:c>
      <x:c r="C68" s="26" t="str">
        <x:v>TR-B</x:v>
      </x:c>
      <x:c r="D68" s="26" t="str">
        <x:v>BASELINE</x:v>
      </x:c>
      <x:c r="E68" s="26" t="n">
        <x:v>14</x:v>
      </x:c>
      <x:c r="F68" s="26" t="str">
        <x:v>independent safety energy</x:v>
      </x:c>
      <x:c r="G68" s="26" t="str"/>
      <x:c r="H68" s="26" t="str"/>
      <x:c r="I68" s="26" t="n">
        <x:v>1</x:v>
      </x:c>
      <x:c r="J68" s="26" t="str"/>
      <x:c r="K68" s="26" t="str"/>
      <x:c r="L68" s="26" t="str"/>
      <x:c r="M68" s="26" t="str">
        <x:f>IF(L68="","OPEN",IF(AND(ISNUMBER(G68),H68&lt;&gt;"",J68=I68,K68&lt;&gt;""),"PASS","FAIL"))</x:f>
        <x:v>OPEN</x:v>
      </x:c>
    </x:row>
    <x:row r="69">
      <x:c r="B69" s="26" t="str">
        <x:v>MW-TR-B-BASELINE-15</x:v>
      </x:c>
      <x:c r="C69" s="26" t="str">
        <x:v>TR-B</x:v>
      </x:c>
      <x:c r="D69" s="26" t="str">
        <x:v>BASELINE</x:v>
      </x:c>
      <x:c r="E69" s="26" t="n">
        <x:v>15</x:v>
      </x:c>
      <x:c r="F69" s="26" t="str">
        <x:v>source isolation state</x:v>
      </x:c>
      <x:c r="G69" s="26" t="str"/>
      <x:c r="H69" s="26" t="str"/>
      <x:c r="I69" s="26" t="n">
        <x:v>1</x:v>
      </x:c>
      <x:c r="J69" s="26" t="str"/>
      <x:c r="K69" s="26" t="str"/>
      <x:c r="L69" s="26" t="str"/>
      <x:c r="M69" s="26" t="str">
        <x:f>IF(L69="","OPEN",IF(AND(ISNUMBER(G69),H69&lt;&gt;"",J69=I69,K69&lt;&gt;""),"PASS","FAIL"))</x:f>
        <x:v>OPEN</x:v>
      </x:c>
    </x:row>
    <x:row r="70">
      <x:c r="B70" s="26" t="str">
        <x:v>MW-TR-B-BASELINE-16</x:v>
      </x:c>
      <x:c r="C70" s="26" t="str">
        <x:v>TR-B</x:v>
      </x:c>
      <x:c r="D70" s="26" t="str">
        <x:v>BASELINE</x:v>
      </x:c>
      <x:c r="E70" s="26" t="n">
        <x:v>16</x:v>
      </x:c>
      <x:c r="F70" s="26" t="str">
        <x:v>water isolation state</x:v>
      </x:c>
      <x:c r="G70" s="26" t="str"/>
      <x:c r="H70" s="26" t="str"/>
      <x:c r="I70" s="26" t="n">
        <x:v>1</x:v>
      </x:c>
      <x:c r="J70" s="26" t="str"/>
      <x:c r="K70" s="26" t="str"/>
      <x:c r="L70" s="26" t="str"/>
      <x:c r="M70" s="26" t="str">
        <x:f>IF(L70="","OPEN",IF(AND(ISNUMBER(G70),H70&lt;&gt;"",J70=I70,K70&lt;&gt;""),"PASS","FAIL"))</x:f>
        <x:v>OPEN</x:v>
      </x:c>
    </x:row>
    <x:row r="71">
      <x:c r="B71" s="26" t="str">
        <x:v>MW-TR-B-BASELINE-17</x:v>
      </x:c>
      <x:c r="C71" s="26" t="str">
        <x:v>TR-B</x:v>
      </x:c>
      <x:c r="D71" s="26" t="str">
        <x:v>BASELINE</x:v>
      </x:c>
      <x:c r="E71" s="26" t="n">
        <x:v>17</x:v>
      </x:c>
      <x:c r="F71" s="26" t="str">
        <x:v>casualty-route state</x:v>
      </x:c>
      <x:c r="G71" s="26" t="str"/>
      <x:c r="H71" s="26" t="str"/>
      <x:c r="I71" s="26" t="n">
        <x:v>1</x:v>
      </x:c>
      <x:c r="J71" s="26" t="str"/>
      <x:c r="K71" s="26" t="str"/>
      <x:c r="L71" s="26" t="str"/>
      <x:c r="M71" s="26" t="str">
        <x:f>IF(L71="","OPEN",IF(AND(ISNUMBER(G71),H71&lt;&gt;"",J71=I71,K71&lt;&gt;""),"PASS","FAIL"))</x:f>
        <x:v>OPEN</x:v>
      </x:c>
    </x:row>
    <x:row r="72">
      <x:c r="B72" s="26" t="str">
        <x:v>MW-TR-B-BASELINE-18</x:v>
      </x:c>
      <x:c r="C72" s="26" t="str">
        <x:v>TR-B</x:v>
      </x:c>
      <x:c r="D72" s="26" t="str">
        <x:v>BASELINE</x:v>
      </x:c>
      <x:c r="E72" s="26" t="n">
        <x:v>18</x:v>
      </x:c>
      <x:c r="F72" s="26" t="str">
        <x:v>safeing final state</x:v>
      </x:c>
      <x:c r="G72" s="26" t="str"/>
      <x:c r="H72" s="26" t="str"/>
      <x:c r="I72" s="26" t="n">
        <x:v>1</x:v>
      </x:c>
      <x:c r="J72" s="26" t="str"/>
      <x:c r="K72" s="26" t="str"/>
      <x:c r="L72" s="26" t="str"/>
      <x:c r="M72" s="26" t="str">
        <x:f>IF(L72="","OPEN",IF(AND(ISNUMBER(G72),H72&lt;&gt;"",J72=I72,K72&lt;&gt;""),"PASS","FAIL"))</x:f>
        <x:v>OPEN</x:v>
      </x:c>
    </x:row>
    <x:row r="73">
      <x:c r="B73" s="26" t="str">
        <x:v>MW-TR-B-BASELINE-19</x:v>
      </x:c>
      <x:c r="C73" s="26" t="str">
        <x:v>TR-B</x:v>
      </x:c>
      <x:c r="D73" s="26" t="str">
        <x:v>BASELINE</x:v>
      </x:c>
      <x:c r="E73" s="26" t="n">
        <x:v>19</x:v>
      </x:c>
      <x:c r="F73" s="26" t="str">
        <x:v>causal time root</x:v>
      </x:c>
      <x:c r="G73" s="26" t="str"/>
      <x:c r="H73" s="26" t="str"/>
      <x:c r="I73" s="26" t="n">
        <x:v>1</x:v>
      </x:c>
      <x:c r="J73" s="26" t="str"/>
      <x:c r="K73" s="26" t="str"/>
      <x:c r="L73" s="26" t="str"/>
      <x:c r="M73" s="26" t="str">
        <x:f>IF(L73="","OPEN",IF(AND(ISNUMBER(G73),H73&lt;&gt;"",J73=I73,K73&lt;&gt;""),"PASS","FAIL"))</x:f>
        <x:v>OPEN</x:v>
      </x:c>
    </x:row>
    <x:row r="74">
      <x:c r="B74" s="26" t="str">
        <x:v>MW-TR-B-BASELINE-20</x:v>
      </x:c>
      <x:c r="C74" s="26" t="str">
        <x:v>TR-B</x:v>
      </x:c>
      <x:c r="D74" s="26" t="str">
        <x:v>BASELINE</x:v>
      </x:c>
      <x:c r="E74" s="26" t="n">
        <x:v>20</x:v>
      </x:c>
      <x:c r="F74" s="26" t="str">
        <x:v>native original A</x:v>
      </x:c>
      <x:c r="G74" s="26" t="str"/>
      <x:c r="H74" s="26" t="str"/>
      <x:c r="I74" s="26" t="n">
        <x:v>1</x:v>
      </x:c>
      <x:c r="J74" s="26" t="str"/>
      <x:c r="K74" s="26" t="str"/>
      <x:c r="L74" s="26" t="str"/>
      <x:c r="M74" s="26" t="str">
        <x:f>IF(L74="","OPEN",IF(AND(ISNUMBER(G74),H74&lt;&gt;"",J74=I74,K74&lt;&gt;""),"PASS","FAIL"))</x:f>
        <x:v>OPEN</x:v>
      </x:c>
    </x:row>
    <x:row r="75">
      <x:c r="B75" s="26" t="str">
        <x:v>MW-TR-B-BASELINE-21</x:v>
      </x:c>
      <x:c r="C75" s="26" t="str">
        <x:v>TR-B</x:v>
      </x:c>
      <x:c r="D75" s="26" t="str">
        <x:v>BASELINE</x:v>
      </x:c>
      <x:c r="E75" s="26" t="n">
        <x:v>21</x:v>
      </x:c>
      <x:c r="F75" s="26" t="str">
        <x:v>native original B</x:v>
      </x:c>
      <x:c r="G75" s="26" t="str"/>
      <x:c r="H75" s="26" t="str"/>
      <x:c r="I75" s="26" t="n">
        <x:v>1</x:v>
      </x:c>
      <x:c r="J75" s="26" t="str"/>
      <x:c r="K75" s="26" t="str"/>
      <x:c r="L75" s="26" t="str"/>
      <x:c r="M75" s="26" t="str">
        <x:f>IF(L75="","OPEN",IF(AND(ISNUMBER(G75),H75&lt;&gt;"",J75=I75,K75&lt;&gt;""),"PASS","FAIL"))</x:f>
        <x:v>OPEN</x:v>
      </x:c>
    </x:row>
    <x:row r="76">
      <x:c r="B76" s="26" t="str">
        <x:v>MW-TR-B-BASELINE-22</x:v>
      </x:c>
      <x:c r="C76" s="26" t="str">
        <x:v>TR-B</x:v>
      </x:c>
      <x:c r="D76" s="26" t="str">
        <x:v>BASELINE</x:v>
      </x:c>
      <x:c r="E76" s="26" t="n">
        <x:v>22</x:v>
      </x:c>
      <x:c r="F76" s="26" t="str">
        <x:v>neighbor state</x:v>
      </x:c>
      <x:c r="G76" s="26" t="str"/>
      <x:c r="H76" s="26" t="str"/>
      <x:c r="I76" s="26" t="n">
        <x:v>1</x:v>
      </x:c>
      <x:c r="J76" s="26" t="str"/>
      <x:c r="K76" s="26" t="str"/>
      <x:c r="L76" s="26" t="str"/>
      <x:c r="M76" s="26" t="str">
        <x:f>IF(L76="","OPEN",IF(AND(ISNUMBER(G76),H76&lt;&gt;"",J76=I76,K76&lt;&gt;""),"PASS","FAIL"))</x:f>
        <x:v>OPEN</x:v>
      </x:c>
    </x:row>
    <x:row r="77">
      <x:c r="B77" s="26" t="str">
        <x:v>MW-TR-B-BASELINE-23</x:v>
      </x:c>
      <x:c r="C77" s="26" t="str">
        <x:v>TR-B</x:v>
      </x:c>
      <x:c r="D77" s="26" t="str">
        <x:v>BASELINE</x:v>
      </x:c>
      <x:c r="E77" s="26" t="n">
        <x:v>23</x:v>
      </x:c>
      <x:c r="F77" s="26" t="str">
        <x:v>rescue access</x:v>
      </x:c>
      <x:c r="G77" s="26" t="str"/>
      <x:c r="H77" s="26" t="str"/>
      <x:c r="I77" s="26" t="n">
        <x:v>1</x:v>
      </x:c>
      <x:c r="J77" s="26" t="str"/>
      <x:c r="K77" s="26" t="str"/>
      <x:c r="L77" s="26" t="str"/>
      <x:c r="M77" s="26" t="str">
        <x:f>IF(L77="","OPEN",IF(AND(ISNUMBER(G77),H77&lt;&gt;"",J77=I77,K77&lt;&gt;""),"PASS","FAIL"))</x:f>
        <x:v>OPEN</x:v>
      </x:c>
    </x:row>
    <x:row r="78">
      <x:c r="B78" s="26" t="str">
        <x:v>MW-TR-B-BASELINE-24</x:v>
      </x:c>
      <x:c r="C78" s="26" t="str">
        <x:v>TR-B</x:v>
      </x:c>
      <x:c r="D78" s="26" t="str">
        <x:v>BASELINE</x:v>
      </x:c>
      <x:c r="E78" s="26" t="n">
        <x:v>24</x:v>
      </x:c>
      <x:c r="F78" s="26" t="str">
        <x:v>environment boundary</x:v>
      </x:c>
      <x:c r="G78" s="26" t="str"/>
      <x:c r="H78" s="26" t="str"/>
      <x:c r="I78" s="26" t="n">
        <x:v>1</x:v>
      </x:c>
      <x:c r="J78" s="26" t="str"/>
      <x:c r="K78" s="26" t="str"/>
      <x:c r="L78" s="26" t="str"/>
      <x:c r="M78" s="26" t="str">
        <x:f>IF(L78="","OPEN",IF(AND(ISNUMBER(G78),H78&lt;&gt;"",J78=I78,K78&lt;&gt;""),"PASS","FAIL"))</x:f>
        <x:v>OPEN</x:v>
      </x:c>
    </x:row>
    <x:row r="79">
      <x:c r="B79" s="26" t="str">
        <x:v>MW-TR-B-EVENT-01</x:v>
      </x:c>
      <x:c r="C79" s="26" t="str">
        <x:v>TR-B</x:v>
      </x:c>
      <x:c r="D79" s="26" t="str">
        <x:v>EVENT</x:v>
      </x:c>
      <x:c r="E79" s="26" t="n">
        <x:v>1</x:v>
      </x:c>
      <x:c r="F79" s="26" t="str">
        <x:v>public datum</x:v>
      </x:c>
      <x:c r="G79" s="26" t="str"/>
      <x:c r="H79" s="26" t="str"/>
      <x:c r="I79" s="26" t="n">
        <x:v>1</x:v>
      </x:c>
      <x:c r="J79" s="26" t="str"/>
      <x:c r="K79" s="26" t="str"/>
      <x:c r="L79" s="26" t="str"/>
      <x:c r="M79" s="26" t="str">
        <x:f>IF(L79="","OPEN",IF(AND(ISNUMBER(G79),H79&lt;&gt;"",J79=I79,K79&lt;&gt;""),"PASS","FAIL"))</x:f>
        <x:v>OPEN</x:v>
      </x:c>
    </x:row>
    <x:row r="80">
      <x:c r="B80" s="26" t="str">
        <x:v>MW-TR-B-EVENT-02</x:v>
      </x:c>
      <x:c r="C80" s="26" t="str">
        <x:v>TR-B</x:v>
      </x:c>
      <x:c r="D80" s="26" t="str">
        <x:v>EVENT</x:v>
      </x:c>
      <x:c r="E80" s="26" t="n">
        <x:v>2</x:v>
      </x:c>
      <x:c r="F80" s="26" t="str">
        <x:v>source capsule tare</x:v>
      </x:c>
      <x:c r="G80" s="26" t="str"/>
      <x:c r="H80" s="26" t="str"/>
      <x:c r="I80" s="26" t="n">
        <x:v>1</x:v>
      </x:c>
      <x:c r="J80" s="26" t="str"/>
      <x:c r="K80" s="26" t="str"/>
      <x:c r="L80" s="26" t="str"/>
      <x:c r="M80" s="26" t="str">
        <x:f>IF(L80="","OPEN",IF(AND(ISNUMBER(G80),H80&lt;&gt;"",J80=I80,K80&lt;&gt;""),"PASS","FAIL"))</x:f>
        <x:v>OPEN</x:v>
      </x:c>
    </x:row>
    <x:row r="81">
      <x:c r="B81" s="26" t="str">
        <x:v>MW-TR-B-EVENT-03</x:v>
      </x:c>
      <x:c r="C81" s="26" t="str">
        <x:v>TR-B</x:v>
      </x:c>
      <x:c r="D81" s="26" t="str">
        <x:v>EVENT</x:v>
      </x:c>
      <x:c r="E81" s="26" t="n">
        <x:v>3</x:v>
      </x:c>
      <x:c r="F81" s="26" t="str">
        <x:v>source-route inventory</x:v>
      </x:c>
      <x:c r="G81" s="26" t="str"/>
      <x:c r="H81" s="26" t="str"/>
      <x:c r="I81" s="26" t="n">
        <x:v>1</x:v>
      </x:c>
      <x:c r="J81" s="26" t="str"/>
      <x:c r="K81" s="26" t="str"/>
      <x:c r="L81" s="26" t="str"/>
      <x:c r="M81" s="26" t="str">
        <x:f>IF(L81="","OPEN",IF(AND(ISNUMBER(G81),H81&lt;&gt;"",J81=I81,K81&lt;&gt;""),"PASS","FAIL"))</x:f>
        <x:v>OPEN</x:v>
      </x:c>
    </x:row>
    <x:row r="82">
      <x:c r="B82" s="26" t="str">
        <x:v>MW-TR-B-EVENT-04</x:v>
      </x:c>
      <x:c r="C82" s="26" t="str">
        <x:v>TR-B</x:v>
      </x:c>
      <x:c r="D82" s="26" t="str">
        <x:v>EVENT</x:v>
      </x:c>
      <x:c r="E82" s="26" t="n">
        <x:v>4</x:v>
      </x:c>
      <x:c r="F82" s="26" t="str">
        <x:v>normal source receiver</x:v>
      </x:c>
      <x:c r="G82" s="26" t="str"/>
      <x:c r="H82" s="26" t="str"/>
      <x:c r="I82" s="26" t="n">
        <x:v>1</x:v>
      </x:c>
      <x:c r="J82" s="26" t="str"/>
      <x:c r="K82" s="26" t="str"/>
      <x:c r="L82" s="26" t="str"/>
      <x:c r="M82" s="26" t="str">
        <x:f>IF(L82="","OPEN",IF(AND(ISNUMBER(G82),H82&lt;&gt;"",J82=I82,K82&lt;&gt;""),"PASS","FAIL"))</x:f>
        <x:v>OPEN</x:v>
      </x:c>
    </x:row>
    <x:row r="83">
      <x:c r="B83" s="26" t="str">
        <x:v>MW-TR-B-EVENT-05</x:v>
      </x:c>
      <x:c r="C83" s="26" t="str">
        <x:v>TR-B</x:v>
      </x:c>
      <x:c r="D83" s="26" t="str">
        <x:v>EVENT</x:v>
      </x:c>
      <x:c r="E83" s="26" t="n">
        <x:v>5</x:v>
      </x:c>
      <x:c r="F83" s="26" t="str">
        <x:v>casualty source receiver</x:v>
      </x:c>
      <x:c r="G83" s="26" t="str"/>
      <x:c r="H83" s="26" t="str"/>
      <x:c r="I83" s="26" t="n">
        <x:v>1</x:v>
      </x:c>
      <x:c r="J83" s="26" t="str"/>
      <x:c r="K83" s="26" t="str"/>
      <x:c r="L83" s="26" t="str"/>
      <x:c r="M83" s="26" t="str">
        <x:f>IF(L83="","OPEN",IF(AND(ISNUMBER(G83),H83&lt;&gt;"",J83=I83,K83&lt;&gt;""),"PASS","FAIL"))</x:f>
        <x:v>OPEN</x:v>
      </x:c>
    </x:row>
    <x:row r="84">
      <x:c r="B84" s="26" t="str">
        <x:v>MW-TR-B-EVENT-06</x:v>
      </x:c>
      <x:c r="C84" s="26" t="str">
        <x:v>TR-B</x:v>
      </x:c>
      <x:c r="D84" s="26" t="str">
        <x:v>EVENT</x:v>
      </x:c>
      <x:c r="E84" s="26" t="n">
        <x:v>6</x:v>
      </x:c>
      <x:c r="F84" s="26" t="str">
        <x:v>environment source witness</x:v>
      </x:c>
      <x:c r="G84" s="26" t="str"/>
      <x:c r="H84" s="26" t="str"/>
      <x:c r="I84" s="26" t="n">
        <x:v>1</x:v>
      </x:c>
      <x:c r="J84" s="26" t="str"/>
      <x:c r="K84" s="26" t="str"/>
      <x:c r="L84" s="26" t="str"/>
      <x:c r="M84" s="26" t="str">
        <x:f>IF(L84="","OPEN",IF(AND(ISNUMBER(G84),H84&lt;&gt;"",J84=I84,K84&lt;&gt;""),"PASS","FAIL"))</x:f>
        <x:v>OPEN</x:v>
      </x:c>
    </x:row>
    <x:row r="85">
      <x:c r="B85" s="26" t="str">
        <x:v>MW-TR-B-EVENT-07</x:v>
      </x:c>
      <x:c r="C85" s="26" t="str">
        <x:v>TR-B</x:v>
      </x:c>
      <x:c r="D85" s="26" t="str">
        <x:v>EVENT</x:v>
      </x:c>
      <x:c r="E85" s="26" t="n">
        <x:v>7</x:v>
      </x:c>
      <x:c r="F85" s="26" t="str">
        <x:v>water supply inventory</x:v>
      </x:c>
      <x:c r="G85" s="26" t="str"/>
      <x:c r="H85" s="26" t="str"/>
      <x:c r="I85" s="26" t="n">
        <x:v>1</x:v>
      </x:c>
      <x:c r="J85" s="26" t="str"/>
      <x:c r="K85" s="26" t="str"/>
      <x:c r="L85" s="26" t="str"/>
      <x:c r="M85" s="26" t="str">
        <x:f>IF(L85="","OPEN",IF(AND(ISNUMBER(G85),H85&lt;&gt;"",J85=I85,K85&lt;&gt;""),"PASS","FAIL"))</x:f>
        <x:v>OPEN</x:v>
      </x:c>
    </x:row>
    <x:row r="86">
      <x:c r="B86" s="26" t="str">
        <x:v>MW-TR-B-EVENT-08</x:v>
      </x:c>
      <x:c r="C86" s="26" t="str">
        <x:v>TR-B</x:v>
      </x:c>
      <x:c r="D86" s="26" t="str">
        <x:v>EVENT</x:v>
      </x:c>
      <x:c r="E86" s="26" t="n">
        <x:v>8</x:v>
      </x:c>
      <x:c r="F86" s="26" t="str">
        <x:v>water return inventory</x:v>
      </x:c>
      <x:c r="G86" s="26" t="str"/>
      <x:c r="H86" s="26" t="str"/>
      <x:c r="I86" s="26" t="n">
        <x:v>1</x:v>
      </x:c>
      <x:c r="J86" s="26" t="str"/>
      <x:c r="K86" s="26" t="str"/>
      <x:c r="L86" s="26" t="str"/>
      <x:c r="M86" s="26" t="str">
        <x:f>IF(L86="","OPEN",IF(AND(ISNUMBER(G86),H86&lt;&gt;"",J86=I86,K86&lt;&gt;""),"PASS","FAIL"))</x:f>
        <x:v>OPEN</x:v>
      </x:c>
    </x:row>
    <x:row r="87">
      <x:c r="B87" s="26" t="str">
        <x:v>MW-TR-B-EVENT-09</x:v>
      </x:c>
      <x:c r="C87" s="26" t="str">
        <x:v>TR-B</x:v>
      </x:c>
      <x:c r="D87" s="26" t="str">
        <x:v>EVENT</x:v>
      </x:c>
      <x:c r="E87" s="26" t="n">
        <x:v>9</x:v>
      </x:c>
      <x:c r="F87" s="26" t="str">
        <x:v>normal water receiver</x:v>
      </x:c>
      <x:c r="G87" s="26" t="str"/>
      <x:c r="H87" s="26" t="str"/>
      <x:c r="I87" s="26" t="n">
        <x:v>1</x:v>
      </x:c>
      <x:c r="J87" s="26" t="str"/>
      <x:c r="K87" s="26" t="str"/>
      <x:c r="L87" s="26" t="str"/>
      <x:c r="M87" s="26" t="str">
        <x:f>IF(L87="","OPEN",IF(AND(ISNUMBER(G87),H87&lt;&gt;"",J87=I87,K87&lt;&gt;""),"PASS","FAIL"))</x:f>
        <x:v>OPEN</x:v>
      </x:c>
    </x:row>
    <x:row r="88">
      <x:c r="B88" s="26" t="str">
        <x:v>MW-TR-B-EVENT-10</x:v>
      </x:c>
      <x:c r="C88" s="26" t="str">
        <x:v>TR-B</x:v>
      </x:c>
      <x:c r="D88" s="26" t="str">
        <x:v>EVENT</x:v>
      </x:c>
      <x:c r="E88" s="26" t="n">
        <x:v>10</x:v>
      </x:c>
      <x:c r="F88" s="26" t="str">
        <x:v>casualty water receiver</x:v>
      </x:c>
      <x:c r="G88" s="26" t="str"/>
      <x:c r="H88" s="26" t="str"/>
      <x:c r="I88" s="26" t="n">
        <x:v>1</x:v>
      </x:c>
      <x:c r="J88" s="26" t="str"/>
      <x:c r="K88" s="26" t="str"/>
      <x:c r="L88" s="26" t="str"/>
      <x:c r="M88" s="26" t="str">
        <x:f>IF(L88="","OPEN",IF(AND(ISNUMBER(G88),H88&lt;&gt;"",J88=I88,K88&lt;&gt;""),"PASS","FAIL"))</x:f>
        <x:v>OPEN</x:v>
      </x:c>
    </x:row>
    <x:row r="89">
      <x:c r="B89" s="26" t="str">
        <x:v>MW-TR-B-EVENT-11</x:v>
      </x:c>
      <x:c r="C89" s="26" t="str">
        <x:v>TR-B</x:v>
      </x:c>
      <x:c r="D89" s="26" t="str">
        <x:v>EVENT</x:v>
      </x:c>
      <x:c r="E89" s="26" t="n">
        <x:v>11</x:v>
      </x:c>
      <x:c r="F89" s="26" t="str">
        <x:v>terrain moisture</x:v>
      </x:c>
      <x:c r="G89" s="26" t="str"/>
      <x:c r="H89" s="26" t="str"/>
      <x:c r="I89" s="26" t="n">
        <x:v>1</x:v>
      </x:c>
      <x:c r="J89" s="26" t="str"/>
      <x:c r="K89" s="26" t="str"/>
      <x:c r="L89" s="26" t="str"/>
      <x:c r="M89" s="26" t="str">
        <x:f>IF(L89="","OPEN",IF(AND(ISNUMBER(G89),H89&lt;&gt;"",J89=I89,K89&lt;&gt;""),"PASS","FAIL"))</x:f>
        <x:v>OPEN</x:v>
      </x:c>
    </x:row>
    <x:row r="90">
      <x:c r="B90" s="26" t="str">
        <x:v>MW-TR-B-EVENT-12</x:v>
      </x:c>
      <x:c r="C90" s="26" t="str">
        <x:v>TR-B</x:v>
      </x:c>
      <x:c r="D90" s="26" t="str">
        <x:v>EVENT</x:v>
      </x:c>
      <x:c r="E90" s="26" t="n">
        <x:v>12</x:v>
      </x:c>
      <x:c r="F90" s="26" t="str">
        <x:v>environment water witness</x:v>
      </x:c>
      <x:c r="G90" s="26" t="str"/>
      <x:c r="H90" s="26" t="str"/>
      <x:c r="I90" s="26" t="n">
        <x:v>1</x:v>
      </x:c>
      <x:c r="J90" s="26" t="str"/>
      <x:c r="K90" s="26" t="str"/>
      <x:c r="L90" s="26" t="str"/>
      <x:c r="M90" s="26" t="str">
        <x:f>IF(L90="","OPEN",IF(AND(ISNUMBER(G90),H90&lt;&gt;"",J90=I90,K90&lt;&gt;""),"PASS","FAIL"))</x:f>
        <x:v>OPEN</x:v>
      </x:c>
    </x:row>
    <x:row r="91">
      <x:c r="B91" s="26" t="str">
        <x:v>MW-TR-B-EVENT-13</x:v>
      </x:c>
      <x:c r="C91" s="26" t="str">
        <x:v>TR-B</x:v>
      </x:c>
      <x:c r="D91" s="26" t="str">
        <x:v>EVENT</x:v>
      </x:c>
      <x:c r="E91" s="26" t="n">
        <x:v>13</x:v>
      </x:c>
      <x:c r="F91" s="26" t="str">
        <x:v>normal power</x:v>
      </x:c>
      <x:c r="G91" s="26" t="str"/>
      <x:c r="H91" s="26" t="str"/>
      <x:c r="I91" s="26" t="n">
        <x:v>1</x:v>
      </x:c>
      <x:c r="J91" s="26" t="str"/>
      <x:c r="K91" s="26" t="str"/>
      <x:c r="L91" s="26" t="str"/>
      <x:c r="M91" s="26" t="str">
        <x:f>IF(L91="","OPEN",IF(AND(ISNUMBER(G91),H91&lt;&gt;"",J91=I91,K91&lt;&gt;""),"PASS","FAIL"))</x:f>
        <x:v>OPEN</x:v>
      </x:c>
    </x:row>
    <x:row r="92">
      <x:c r="B92" s="26" t="str">
        <x:v>MW-TR-B-EVENT-14</x:v>
      </x:c>
      <x:c r="C92" s="26" t="str">
        <x:v>TR-B</x:v>
      </x:c>
      <x:c r="D92" s="26" t="str">
        <x:v>EVENT</x:v>
      </x:c>
      <x:c r="E92" s="26" t="n">
        <x:v>14</x:v>
      </x:c>
      <x:c r="F92" s="26" t="str">
        <x:v>independent safety energy</x:v>
      </x:c>
      <x:c r="G92" s="26" t="str"/>
      <x:c r="H92" s="26" t="str"/>
      <x:c r="I92" s="26" t="n">
        <x:v>1</x:v>
      </x:c>
      <x:c r="J92" s="26" t="str"/>
      <x:c r="K92" s="26" t="str"/>
      <x:c r="L92" s="26" t="str"/>
      <x:c r="M92" s="26" t="str">
        <x:f>IF(L92="","OPEN",IF(AND(ISNUMBER(G92),H92&lt;&gt;"",J92=I92,K92&lt;&gt;""),"PASS","FAIL"))</x:f>
        <x:v>OPEN</x:v>
      </x:c>
    </x:row>
    <x:row r="93">
      <x:c r="B93" s="26" t="str">
        <x:v>MW-TR-B-EVENT-15</x:v>
      </x:c>
      <x:c r="C93" s="26" t="str">
        <x:v>TR-B</x:v>
      </x:c>
      <x:c r="D93" s="26" t="str">
        <x:v>EVENT</x:v>
      </x:c>
      <x:c r="E93" s="26" t="n">
        <x:v>15</x:v>
      </x:c>
      <x:c r="F93" s="26" t="str">
        <x:v>source isolation state</x:v>
      </x:c>
      <x:c r="G93" s="26" t="str"/>
      <x:c r="H93" s="26" t="str"/>
      <x:c r="I93" s="26" t="n">
        <x:v>1</x:v>
      </x:c>
      <x:c r="J93" s="26" t="str"/>
      <x:c r="K93" s="26" t="str"/>
      <x:c r="L93" s="26" t="str"/>
      <x:c r="M93" s="26" t="str">
        <x:f>IF(L93="","OPEN",IF(AND(ISNUMBER(G93),H93&lt;&gt;"",J93=I93,K93&lt;&gt;""),"PASS","FAIL"))</x:f>
        <x:v>OPEN</x:v>
      </x:c>
    </x:row>
    <x:row r="94">
      <x:c r="B94" s="26" t="str">
        <x:v>MW-TR-B-EVENT-16</x:v>
      </x:c>
      <x:c r="C94" s="26" t="str">
        <x:v>TR-B</x:v>
      </x:c>
      <x:c r="D94" s="26" t="str">
        <x:v>EVENT</x:v>
      </x:c>
      <x:c r="E94" s="26" t="n">
        <x:v>16</x:v>
      </x:c>
      <x:c r="F94" s="26" t="str">
        <x:v>water isolation state</x:v>
      </x:c>
      <x:c r="G94" s="26" t="str"/>
      <x:c r="H94" s="26" t="str"/>
      <x:c r="I94" s="26" t="n">
        <x:v>1</x:v>
      </x:c>
      <x:c r="J94" s="26" t="str"/>
      <x:c r="K94" s="26" t="str"/>
      <x:c r="L94" s="26" t="str"/>
      <x:c r="M94" s="26" t="str">
        <x:f>IF(L94="","OPEN",IF(AND(ISNUMBER(G94),H94&lt;&gt;"",J94=I94,K94&lt;&gt;""),"PASS","FAIL"))</x:f>
        <x:v>OPEN</x:v>
      </x:c>
    </x:row>
    <x:row r="95">
      <x:c r="B95" s="26" t="str">
        <x:v>MW-TR-B-EVENT-17</x:v>
      </x:c>
      <x:c r="C95" s="26" t="str">
        <x:v>TR-B</x:v>
      </x:c>
      <x:c r="D95" s="26" t="str">
        <x:v>EVENT</x:v>
      </x:c>
      <x:c r="E95" s="26" t="n">
        <x:v>17</x:v>
      </x:c>
      <x:c r="F95" s="26" t="str">
        <x:v>casualty-route state</x:v>
      </x:c>
      <x:c r="G95" s="26" t="str"/>
      <x:c r="H95" s="26" t="str"/>
      <x:c r="I95" s="26" t="n">
        <x:v>1</x:v>
      </x:c>
      <x:c r="J95" s="26" t="str"/>
      <x:c r="K95" s="26" t="str"/>
      <x:c r="L95" s="26" t="str"/>
      <x:c r="M95" s="26" t="str">
        <x:f>IF(L95="","OPEN",IF(AND(ISNUMBER(G95),H95&lt;&gt;"",J95=I95,K95&lt;&gt;""),"PASS","FAIL"))</x:f>
        <x:v>OPEN</x:v>
      </x:c>
    </x:row>
    <x:row r="96">
      <x:c r="B96" s="26" t="str">
        <x:v>MW-TR-B-EVENT-18</x:v>
      </x:c>
      <x:c r="C96" s="26" t="str">
        <x:v>TR-B</x:v>
      </x:c>
      <x:c r="D96" s="26" t="str">
        <x:v>EVENT</x:v>
      </x:c>
      <x:c r="E96" s="26" t="n">
        <x:v>18</x:v>
      </x:c>
      <x:c r="F96" s="26" t="str">
        <x:v>safeing final state</x:v>
      </x:c>
      <x:c r="G96" s="26" t="str"/>
      <x:c r="H96" s="26" t="str"/>
      <x:c r="I96" s="26" t="n">
        <x:v>1</x:v>
      </x:c>
      <x:c r="J96" s="26" t="str"/>
      <x:c r="K96" s="26" t="str"/>
      <x:c r="L96" s="26" t="str"/>
      <x:c r="M96" s="26" t="str">
        <x:f>IF(L96="","OPEN",IF(AND(ISNUMBER(G96),H96&lt;&gt;"",J96=I96,K96&lt;&gt;""),"PASS","FAIL"))</x:f>
        <x:v>OPEN</x:v>
      </x:c>
    </x:row>
    <x:row r="97">
      <x:c r="B97" s="26" t="str">
        <x:v>MW-TR-B-EVENT-19</x:v>
      </x:c>
      <x:c r="C97" s="26" t="str">
        <x:v>TR-B</x:v>
      </x:c>
      <x:c r="D97" s="26" t="str">
        <x:v>EVENT</x:v>
      </x:c>
      <x:c r="E97" s="26" t="n">
        <x:v>19</x:v>
      </x:c>
      <x:c r="F97" s="26" t="str">
        <x:v>causal time root</x:v>
      </x:c>
      <x:c r="G97" s="26" t="str"/>
      <x:c r="H97" s="26" t="str"/>
      <x:c r="I97" s="26" t="n">
        <x:v>1</x:v>
      </x:c>
      <x:c r="J97" s="26" t="str"/>
      <x:c r="K97" s="26" t="str"/>
      <x:c r="L97" s="26" t="str"/>
      <x:c r="M97" s="26" t="str">
        <x:f>IF(L97="","OPEN",IF(AND(ISNUMBER(G97),H97&lt;&gt;"",J97=I97,K97&lt;&gt;""),"PASS","FAIL"))</x:f>
        <x:v>OPEN</x:v>
      </x:c>
    </x:row>
    <x:row r="98">
      <x:c r="B98" s="26" t="str">
        <x:v>MW-TR-B-EVENT-20</x:v>
      </x:c>
      <x:c r="C98" s="26" t="str">
        <x:v>TR-B</x:v>
      </x:c>
      <x:c r="D98" s="26" t="str">
        <x:v>EVENT</x:v>
      </x:c>
      <x:c r="E98" s="26" t="n">
        <x:v>20</x:v>
      </x:c>
      <x:c r="F98" s="26" t="str">
        <x:v>native original A</x:v>
      </x:c>
      <x:c r="G98" s="26" t="str"/>
      <x:c r="H98" s="26" t="str"/>
      <x:c r="I98" s="26" t="n">
        <x:v>1</x:v>
      </x:c>
      <x:c r="J98" s="26" t="str"/>
      <x:c r="K98" s="26" t="str"/>
      <x:c r="L98" s="26" t="str"/>
      <x:c r="M98" s="26" t="str">
        <x:f>IF(L98="","OPEN",IF(AND(ISNUMBER(G98),H98&lt;&gt;"",J98=I98,K98&lt;&gt;""),"PASS","FAIL"))</x:f>
        <x:v>OPEN</x:v>
      </x:c>
    </x:row>
    <x:row r="99">
      <x:c r="B99" s="26" t="str">
        <x:v>MW-TR-B-EVENT-21</x:v>
      </x:c>
      <x:c r="C99" s="26" t="str">
        <x:v>TR-B</x:v>
      </x:c>
      <x:c r="D99" s="26" t="str">
        <x:v>EVENT</x:v>
      </x:c>
      <x:c r="E99" s="26" t="n">
        <x:v>21</x:v>
      </x:c>
      <x:c r="F99" s="26" t="str">
        <x:v>native original B</x:v>
      </x:c>
      <x:c r="G99" s="26" t="str"/>
      <x:c r="H99" s="26" t="str"/>
      <x:c r="I99" s="26" t="n">
        <x:v>1</x:v>
      </x:c>
      <x:c r="J99" s="26" t="str"/>
      <x:c r="K99" s="26" t="str"/>
      <x:c r="L99" s="26" t="str"/>
      <x:c r="M99" s="26" t="str">
        <x:f>IF(L99="","OPEN",IF(AND(ISNUMBER(G99),H99&lt;&gt;"",J99=I99,K99&lt;&gt;""),"PASS","FAIL"))</x:f>
        <x:v>OPEN</x:v>
      </x:c>
    </x:row>
    <x:row r="100">
      <x:c r="B100" s="26" t="str">
        <x:v>MW-TR-B-EVENT-22</x:v>
      </x:c>
      <x:c r="C100" s="26" t="str">
        <x:v>TR-B</x:v>
      </x:c>
      <x:c r="D100" s="26" t="str">
        <x:v>EVENT</x:v>
      </x:c>
      <x:c r="E100" s="26" t="n">
        <x:v>22</x:v>
      </x:c>
      <x:c r="F100" s="26" t="str">
        <x:v>neighbor state</x:v>
      </x:c>
      <x:c r="G100" s="26" t="str"/>
      <x:c r="H100" s="26" t="str"/>
      <x:c r="I100" s="26" t="n">
        <x:v>1</x:v>
      </x:c>
      <x:c r="J100" s="26" t="str"/>
      <x:c r="K100" s="26" t="str"/>
      <x:c r="L100" s="26" t="str"/>
      <x:c r="M100" s="26" t="str">
        <x:f>IF(L100="","OPEN",IF(AND(ISNUMBER(G100),H100&lt;&gt;"",J100=I100,K100&lt;&gt;""),"PASS","FAIL"))</x:f>
        <x:v>OPEN</x:v>
      </x:c>
    </x:row>
    <x:row r="101">
      <x:c r="B101" s="26" t="str">
        <x:v>MW-TR-B-EVENT-23</x:v>
      </x:c>
      <x:c r="C101" s="26" t="str">
        <x:v>TR-B</x:v>
      </x:c>
      <x:c r="D101" s="26" t="str">
        <x:v>EVENT</x:v>
      </x:c>
      <x:c r="E101" s="26" t="n">
        <x:v>23</x:v>
      </x:c>
      <x:c r="F101" s="26" t="str">
        <x:v>rescue access</x:v>
      </x:c>
      <x:c r="G101" s="26" t="str"/>
      <x:c r="H101" s="26" t="str"/>
      <x:c r="I101" s="26" t="n">
        <x:v>1</x:v>
      </x:c>
      <x:c r="J101" s="26" t="str"/>
      <x:c r="K101" s="26" t="str"/>
      <x:c r="L101" s="26" t="str"/>
      <x:c r="M101" s="26" t="str">
        <x:f>IF(L101="","OPEN",IF(AND(ISNUMBER(G101),H101&lt;&gt;"",J101=I101,K101&lt;&gt;""),"PASS","FAIL"))</x:f>
        <x:v>OPEN</x:v>
      </x:c>
    </x:row>
    <x:row r="102">
      <x:c r="B102" s="26" t="str">
        <x:v>MW-TR-B-EVENT-24</x:v>
      </x:c>
      <x:c r="C102" s="26" t="str">
        <x:v>TR-B</x:v>
      </x:c>
      <x:c r="D102" s="26" t="str">
        <x:v>EVENT</x:v>
      </x:c>
      <x:c r="E102" s="26" t="n">
        <x:v>24</x:v>
      </x:c>
      <x:c r="F102" s="26" t="str">
        <x:v>environment boundary</x:v>
      </x:c>
      <x:c r="G102" s="26" t="str"/>
      <x:c r="H102" s="26" t="str"/>
      <x:c r="I102" s="26" t="n">
        <x:v>1</x:v>
      </x:c>
      <x:c r="J102" s="26" t="str"/>
      <x:c r="K102" s="26" t="str"/>
      <x:c r="L102" s="26" t="str"/>
      <x:c r="M102" s="26" t="str">
        <x:f>IF(L102="","OPEN",IF(AND(ISNUMBER(G102),H102&lt;&gt;"",J102=I102,K102&lt;&gt;""),"PASS","FAIL"))</x:f>
        <x:v>OPEN</x:v>
      </x:c>
    </x:row>
  </x:sheetData>
  <x:conditionalFormatting sqref="M7:M102">
    <x:cfRule type="containsText" dxfId="108" priority="1" operator="containsText" text="FAIL"/>
    <x:cfRule type="containsText" dxfId="109" priority="2" operator="containsText" text="BLOCKED"/>
    <x:cfRule type="containsText" dxfId="110" priority="3" operator="containsText" text="INVALID"/>
    <x:cfRule type="containsText" dxfId="111" priority="4" operator="containsText" text="ADVERSE"/>
    <x:cfRule type="containsText" dxfId="112" priority="5" operator="containsText" text="EXPIRED"/>
    <x:cfRule type="containsText" dxfId="113" priority="6" operator="containsText" text="OPEN"/>
    <x:cfRule type="containsText" dxfId="114" priority="7" operator="containsText" text="DORMANT"/>
    <x:cfRule type="containsText" dxfId="115" priority="8" operator="containsText" text="PASS"/>
    <x:cfRule type="containsText" dxfId="116" priority="9" operator="containsText" text="AVAILABLE"/>
  </x:conditionalFormatting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5" hidden="0" customWidth="1"/>
    <x:col min="3" max="3" width="13" hidden="0" customWidth="1"/>
    <x:col min="4" max="4" width="31" hidden="0" customWidth="1"/>
    <x:col min="5" max="5" width="19" hidden="0" customWidth="1"/>
    <x:col min="6" max="6" width="20" hidden="0" customWidth="1"/>
    <x:col min="7" max="7" width="34" hidden="0" customWidth="1"/>
    <x:col min="8" max="8" width="21" hidden="0" customWidth="1"/>
    <x:col min="9" max="9" width="14" hidden="0" customWidth="1"/>
  </x:cols>
  <x:sheetData>
    <x:row r="2">
      <x:c r="B2" s="39" t="str">
        <x:v>Three adjacent-compartment proofs</x:v>
      </x:c>
      <x:c r="C2" s="26"/>
      <x:c r="D2" s="26"/>
      <x:c r="E2" s="26"/>
      <x:c r="F2" s="26"/>
      <x:c r="G2" s="26"/>
      <x:c r="H2" s="26"/>
      <x:c r="I2" s="26"/>
    </x:row>
    <x:row r="3">
      <x:c r="B3" s="40" t="str">
        <x:v>Every neighbor remains inert, isolated and independently observed before and after the null event.</x:v>
      </x:c>
      <x:c r="C3" s="26"/>
      <x:c r="D3" s="26"/>
      <x:c r="E3" s="26"/>
      <x:c r="F3" s="26"/>
      <x:c r="G3" s="26"/>
      <x:c r="H3" s="26"/>
      <x:c r="I3" s="26"/>
    </x:row>
    <x:row r="4">
      <x:c r="B4" s="26"/>
      <x:c r="C4" s="26"/>
      <x:c r="D4" s="26"/>
      <x:c r="E4" s="26"/>
      <x:c r="F4" s="26"/>
      <x:c r="G4" s="26"/>
      <x:c r="H4" s="26"/>
      <x:c r="I4" s="26"/>
    </x:row>
    <x:row r="5">
      <x:c r="B5" s="26"/>
      <x:c r="C5" s="26"/>
      <x:c r="D5" s="26"/>
      <x:c r="E5" s="26"/>
      <x:c r="F5" s="26"/>
      <x:c r="G5" s="26"/>
      <x:c r="H5" s="26"/>
      <x:c r="I5" s="26"/>
    </x:row>
    <x:row r="6" ht="24" customHeight="1">
      <x:c r="B6" s="41" t="str">
        <x:v>Proof</x:v>
      </x:c>
      <x:c r="C6" s="41" t="str">
        <x:v>Neighbor</x:v>
      </x:c>
      <x:c r="D6" s="41" t="str">
        <x:v>Requirement</x:v>
      </x:c>
      <x:c r="E6" s="41" t="str">
        <x:v>Required state</x:v>
      </x:c>
      <x:c r="F6" s="41" t="str">
        <x:v>Observed state</x:v>
      </x:c>
      <x:c r="G6" s="41" t="str">
        <x:v>Evidence root</x:v>
      </x:c>
      <x:c r="H6" s="41" t="str">
        <x:v>Accepted UTC</x:v>
      </x:c>
      <x:c r="I6" s="41" t="str">
        <x:v>State</x:v>
      </x:c>
    </x:row>
    <x:row r="7">
      <x:c r="B7" s="26" t="str">
        <x:v>NP-1</x:v>
      </x:c>
      <x:c r="C7" s="26" t="n">
        <x:v>1</x:v>
      </x:c>
      <x:c r="D7" s="26" t="str">
        <x:v>adjacent compartment 1</x:v>
      </x:c>
      <x:c r="E7" s="26" t="str">
        <x:v>INERT</x:v>
      </x:c>
      <x:c r="F7" s="26" t="str"/>
      <x:c r="G7" s="26" t="str"/>
      <x:c r="H7" s="26" t="str"/>
      <x:c r="I7" s="26" t="str">
        <x:f>IF(H7="","OPEN",IF(AND(F7=E7,G7&lt;&gt;""),"PASS","FAIL"))</x:f>
        <x:v>OPEN</x:v>
      </x:c>
    </x:row>
    <x:row r="8">
      <x:c r="B8" s="26" t="str">
        <x:v>NP-2</x:v>
      </x:c>
      <x:c r="C8" s="26" t="n">
        <x:v>2</x:v>
      </x:c>
      <x:c r="D8" s="26" t="str">
        <x:v>adjacent compartment 2</x:v>
      </x:c>
      <x:c r="E8" s="26" t="str">
        <x:v>INERT</x:v>
      </x:c>
      <x:c r="F8" s="26" t="str"/>
      <x:c r="G8" s="26" t="str"/>
      <x:c r="H8" s="26" t="str"/>
      <x:c r="I8" s="26" t="str">
        <x:f>IF(H8="","OPEN",IF(AND(F8=E8,G8&lt;&gt;""),"PASS","FAIL"))</x:f>
        <x:v>OPEN</x:v>
      </x:c>
    </x:row>
    <x:row r="9">
      <x:c r="B9" s="26" t="str">
        <x:v>NP-3</x:v>
      </x:c>
      <x:c r="C9" s="26" t="n">
        <x:v>3</x:v>
      </x:c>
      <x:c r="D9" s="26" t="str">
        <x:v>adjacent compartment 3</x:v>
      </x:c>
      <x:c r="E9" s="26" t="str">
        <x:v>INERT</x:v>
      </x:c>
      <x:c r="F9" s="26" t="str"/>
      <x:c r="G9" s="26" t="str"/>
      <x:c r="H9" s="26" t="str"/>
      <x:c r="I9" s="26" t="str">
        <x:f>IF(H9="","OPEN",IF(AND(F9=E9,G9&lt;&gt;""),"PASS","FAIL"))</x:f>
        <x:v>OPEN</x:v>
      </x:c>
    </x:row>
  </x:sheetData>
  <x:conditionalFormatting sqref="I7:I9">
    <x:cfRule type="containsText" dxfId="117" priority="1" operator="containsText" text="FAIL"/>
    <x:cfRule type="containsText" dxfId="118" priority="2" operator="containsText" text="BLOCKED"/>
    <x:cfRule type="containsText" dxfId="119" priority="3" operator="containsText" text="INVALID"/>
    <x:cfRule type="containsText" dxfId="120" priority="4" operator="containsText" text="ADVERSE"/>
    <x:cfRule type="containsText" dxfId="121" priority="5" operator="containsText" text="EXPIRED"/>
    <x:cfRule type="containsText" dxfId="122" priority="6" operator="containsText" text="OPEN"/>
    <x:cfRule type="containsText" dxfId="123" priority="7" operator="containsText" text="DORMANT"/>
    <x:cfRule type="containsText" dxfId="124" priority="8" operator="containsText" text="PASS"/>
    <x:cfRule type="containsText" dxfId="125" priority="9" operator="containsText" text="AVAILABLE"/>
  </x:conditionalFormatting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0" workbookViewId="0">
      <x:pane xSplit="4" ySplit="6" topLeftCell="E7" activePane="bottomRight" state="frozen"/>
    </x:sheetView>
  </x:sheetViews>
  <x:sheetFormatPr defaultRowHeight="15"/>
  <x:cols>
    <x:col min="2" max="2" width="18" hidden="0" customWidth="1"/>
    <x:col min="3" max="3" width="12" hidden="0" customWidth="1"/>
    <x:col min="4" max="4" width="38" hidden="0" customWidth="1"/>
    <x:col min="5" max="5" width="15" hidden="0" customWidth="1"/>
    <x:col min="6" max="6" width="19" hidden="0" customWidth="1"/>
    <x:col min="7" max="7" width="20" hidden="0" customWidth="1"/>
    <x:col min="8" max="8" width="34" hidden="0" customWidth="1"/>
    <x:col min="9" max="9" width="21" hidden="0" customWidth="1"/>
    <x:col min="10" max="10" width="14" hidden="0" customWidth="1"/>
  </x:cols>
  <x:sheetData>
    <x:row r="2">
      <x:c r="B2" s="39" t="str">
        <x:v>Thirty-six event-specific safeing-path polls</x:v>
      </x:c>
      <x:c r="C2" s="26"/>
      <x:c r="D2" s="26"/>
      <x:c r="E2" s="26"/>
      <x:c r="F2" s="26"/>
      <x:c r="G2" s="26"/>
      <x:c r="H2" s="26"/>
      <x:c r="I2" s="26"/>
      <x:c r="J2" s="26"/>
    </x:row>
    <x:row r="3">
      <x:c r="B3" s="40" t="str">
        <x:v>Availability is observed at the mechanism. Three displays of the same command do not create three paths.</x:v>
      </x:c>
      <x:c r="C3" s="26"/>
      <x:c r="D3" s="26"/>
      <x:c r="E3" s="26"/>
      <x:c r="F3" s="26"/>
      <x:c r="G3" s="26"/>
      <x:c r="H3" s="26"/>
      <x:c r="I3" s="26"/>
      <x:c r="J3" s="26"/>
    </x:row>
    <x:row r="4">
      <x:c r="B4" s="26"/>
      <x:c r="C4" s="26"/>
      <x:c r="D4" s="26"/>
      <x:c r="E4" s="26"/>
      <x:c r="F4" s="26"/>
      <x:c r="G4" s="26"/>
      <x:c r="H4" s="26"/>
      <x:c r="I4" s="26"/>
      <x:c r="J4" s="26"/>
    </x:row>
    <x:row r="5">
      <x:c r="B5" s="26"/>
      <x:c r="C5" s="26"/>
      <x:c r="D5" s="26"/>
      <x:c r="E5" s="26"/>
      <x:c r="F5" s="26"/>
      <x:c r="G5" s="26"/>
      <x:c r="H5" s="26"/>
      <x:c r="I5" s="26"/>
      <x:c r="J5" s="26"/>
    </x:row>
    <x:row r="6" ht="24" customHeight="1">
      <x:c r="B6" s="41" t="str">
        <x:v>Poll</x:v>
      </x:c>
      <x:c r="C6" s="41" t="str">
        <x:v>Element</x:v>
      </x:c>
      <x:c r="D6" s="41" t="str">
        <x:v>Final control element</x:v>
      </x:c>
      <x:c r="E6" s="41" t="str">
        <x:v>Path</x:v>
      </x:c>
      <x:c r="F6" s="41" t="str">
        <x:v>Required state</x:v>
      </x:c>
      <x:c r="G6" s="41" t="str">
        <x:v>Observed state</x:v>
      </x:c>
      <x:c r="H6" s="41" t="str">
        <x:v>Evidence root</x:v>
      </x:c>
      <x:c r="I6" s="41" t="str">
        <x:v>Accepted UTC</x:v>
      </x:c>
      <x:c r="J6" s="41" t="str">
        <x:v>State</x:v>
      </x:c>
    </x:row>
    <x:row r="7">
      <x:c r="B7" s="26" t="str">
        <x:v>SP-01-P</x:v>
      </x:c>
      <x:c r="C7" s="26" t="n">
        <x:v>1</x:v>
      </x:c>
      <x:c r="D7" s="26" t="str">
        <x:v>source inlet isolation</x:v>
      </x:c>
      <x:c r="E7" s="26" t="str">
        <x:v>PRIMARY</x:v>
      </x:c>
      <x:c r="F7" s="26" t="str">
        <x:v>AVAILABLE</x:v>
      </x:c>
      <x:c r="G7" s="26" t="str"/>
      <x:c r="H7" s="26" t="str"/>
      <x:c r="I7" s="26" t="str"/>
      <x:c r="J7" s="26" t="str">
        <x:f>IF(I7="","OPEN",IF(AND(G7=F7,H7&lt;&gt;""),"PASS","FAIL"))</x:f>
        <x:v>OPEN</x:v>
      </x:c>
    </x:row>
    <x:row r="8">
      <x:c r="B8" s="26" t="str">
        <x:v>SP-01-D</x:v>
      </x:c>
      <x:c r="C8" s="26" t="n">
        <x:v>1</x:v>
      </x:c>
      <x:c r="D8" s="26" t="str">
        <x:v>source inlet isolation</x:v>
      </x:c>
      <x:c r="E8" s="26" t="str">
        <x:v>DIVERSE</x:v>
      </x:c>
      <x:c r="F8" s="26" t="str">
        <x:v>AVAILABLE</x:v>
      </x:c>
      <x:c r="G8" s="26" t="str"/>
      <x:c r="H8" s="26" t="str"/>
      <x:c r="I8" s="26" t="str"/>
      <x:c r="J8" s="26" t="str">
        <x:f>IF(I8="","OPEN",IF(AND(G8=F8,H8&lt;&gt;""),"PASS","FAIL"))</x:f>
        <x:v>OPEN</x:v>
      </x:c>
    </x:row>
    <x:row r="9">
      <x:c r="B9" s="26" t="str">
        <x:v>SP-01-P</x:v>
      </x:c>
      <x:c r="C9" s="26" t="n">
        <x:v>1</x:v>
      </x:c>
      <x:c r="D9" s="26" t="str">
        <x:v>source inlet isolation</x:v>
      </x:c>
      <x:c r="E9" s="26" t="str">
        <x:v>PASSIVE</x:v>
      </x:c>
      <x:c r="F9" s="26" t="str">
        <x:v>AVAILABLE</x:v>
      </x:c>
      <x:c r="G9" s="26" t="str"/>
      <x:c r="H9" s="26" t="str"/>
      <x:c r="I9" s="26" t="str"/>
      <x:c r="J9" s="26" t="str">
        <x:f>IF(I9="","OPEN",IF(AND(G9=F9,H9&lt;&gt;""),"PASS","FAIL"))</x:f>
        <x:v>OPEN</x:v>
      </x:c>
    </x:row>
    <x:row r="10">
      <x:c r="B10" s="26" t="str">
        <x:v>SP-02-P</x:v>
      </x:c>
      <x:c r="C10" s="26" t="n">
        <x:v>2</x:v>
      </x:c>
      <x:c r="D10" s="26" t="str">
        <x:v>dispenser isolation</x:v>
      </x:c>
      <x:c r="E10" s="26" t="str">
        <x:v>PRIMARY</x:v>
      </x:c>
      <x:c r="F10" s="26" t="str">
        <x:v>AVAILABLE</x:v>
      </x:c>
      <x:c r="G10" s="26" t="str"/>
      <x:c r="H10" s="26" t="str"/>
      <x:c r="I10" s="26" t="str"/>
      <x:c r="J10" s="26" t="str">
        <x:f>IF(I10="","OPEN",IF(AND(G10=F10,H10&lt;&gt;""),"PASS","FAIL"))</x:f>
        <x:v>OPEN</x:v>
      </x:c>
    </x:row>
    <x:row r="11">
      <x:c r="B11" s="26" t="str">
        <x:v>SP-02-D</x:v>
      </x:c>
      <x:c r="C11" s="26" t="n">
        <x:v>2</x:v>
      </x:c>
      <x:c r="D11" s="26" t="str">
        <x:v>dispenser isolation</x:v>
      </x:c>
      <x:c r="E11" s="26" t="str">
        <x:v>DIVERSE</x:v>
      </x:c>
      <x:c r="F11" s="26" t="str">
        <x:v>AVAILABLE</x:v>
      </x:c>
      <x:c r="G11" s="26" t="str"/>
      <x:c r="H11" s="26" t="str"/>
      <x:c r="I11" s="26" t="str"/>
      <x:c r="J11" s="26" t="str">
        <x:f>IF(I11="","OPEN",IF(AND(G11=F11,H11&lt;&gt;""),"PASS","FAIL"))</x:f>
        <x:v>OPEN</x:v>
      </x:c>
    </x:row>
    <x:row r="12">
      <x:c r="B12" s="26" t="str">
        <x:v>SP-02-P</x:v>
      </x:c>
      <x:c r="C12" s="26" t="n">
        <x:v>2</x:v>
      </x:c>
      <x:c r="D12" s="26" t="str">
        <x:v>dispenser isolation</x:v>
      </x:c>
      <x:c r="E12" s="26" t="str">
        <x:v>PASSIVE</x:v>
      </x:c>
      <x:c r="F12" s="26" t="str">
        <x:v>AVAILABLE</x:v>
      </x:c>
      <x:c r="G12" s="26" t="str"/>
      <x:c r="H12" s="26" t="str"/>
      <x:c r="I12" s="26" t="str"/>
      <x:c r="J12" s="26" t="str">
        <x:f>IF(I12="","OPEN",IF(AND(G12=F12,H12&lt;&gt;""),"PASS","FAIL"))</x:f>
        <x:v>OPEN</x:v>
      </x:c>
    </x:row>
    <x:row r="13">
      <x:c r="B13" s="26" t="str">
        <x:v>SP-03-P</x:v>
      </x:c>
      <x:c r="C13" s="26" t="n">
        <x:v>3</x:v>
      </x:c>
      <x:c r="D13" s="26" t="str">
        <x:v>gravity source diversion</x:v>
      </x:c>
      <x:c r="E13" s="26" t="str">
        <x:v>PRIMARY</x:v>
      </x:c>
      <x:c r="F13" s="26" t="str">
        <x:v>AVAILABLE</x:v>
      </x:c>
      <x:c r="G13" s="26" t="str"/>
      <x:c r="H13" s="26" t="str"/>
      <x:c r="I13" s="26" t="str"/>
      <x:c r="J13" s="26" t="str">
        <x:f>IF(I13="","OPEN",IF(AND(G13=F13,H13&lt;&gt;""),"PASS","FAIL"))</x:f>
        <x:v>OPEN</x:v>
      </x:c>
    </x:row>
    <x:row r="14">
      <x:c r="B14" s="26" t="str">
        <x:v>SP-03-D</x:v>
      </x:c>
      <x:c r="C14" s="26" t="n">
        <x:v>3</x:v>
      </x:c>
      <x:c r="D14" s="26" t="str">
        <x:v>gravity source diversion</x:v>
      </x:c>
      <x:c r="E14" s="26" t="str">
        <x:v>DIVERSE</x:v>
      </x:c>
      <x:c r="F14" s="26" t="str">
        <x:v>AVAILABLE</x:v>
      </x:c>
      <x:c r="G14" s="26" t="str"/>
      <x:c r="H14" s="26" t="str"/>
      <x:c r="I14" s="26" t="str"/>
      <x:c r="J14" s="26" t="str">
        <x:f>IF(I14="","OPEN",IF(AND(G14=F14,H14&lt;&gt;""),"PASS","FAIL"))</x:f>
        <x:v>OPEN</x:v>
      </x:c>
    </x:row>
    <x:row r="15">
      <x:c r="B15" s="26" t="str">
        <x:v>SP-03-P</x:v>
      </x:c>
      <x:c r="C15" s="26" t="n">
        <x:v>3</x:v>
      </x:c>
      <x:c r="D15" s="26" t="str">
        <x:v>gravity source diversion</x:v>
      </x:c>
      <x:c r="E15" s="26" t="str">
        <x:v>PASSIVE</x:v>
      </x:c>
      <x:c r="F15" s="26" t="str">
        <x:v>AVAILABLE</x:v>
      </x:c>
      <x:c r="G15" s="26" t="str"/>
      <x:c r="H15" s="26" t="str"/>
      <x:c r="I15" s="26" t="str"/>
      <x:c r="J15" s="26" t="str">
        <x:f>IF(I15="","OPEN",IF(AND(G15=F15,H15&lt;&gt;""),"PASS","FAIL"))</x:f>
        <x:v>OPEN</x:v>
      </x:c>
    </x:row>
    <x:row r="16">
      <x:c r="B16" s="26" t="str">
        <x:v>SP-04-P</x:v>
      </x:c>
      <x:c r="C16" s="26" t="n">
        <x:v>4</x:v>
      </x:c>
      <x:c r="D16" s="26" t="str">
        <x:v>normal receiver isolation</x:v>
      </x:c>
      <x:c r="E16" s="26" t="str">
        <x:v>PRIMARY</x:v>
      </x:c>
      <x:c r="F16" s="26" t="str">
        <x:v>AVAILABLE</x:v>
      </x:c>
      <x:c r="G16" s="26" t="str"/>
      <x:c r="H16" s="26" t="str"/>
      <x:c r="I16" s="26" t="str"/>
      <x:c r="J16" s="26" t="str">
        <x:f>IF(I16="","OPEN",IF(AND(G16=F16,H16&lt;&gt;""),"PASS","FAIL"))</x:f>
        <x:v>OPEN</x:v>
      </x:c>
    </x:row>
    <x:row r="17">
      <x:c r="B17" s="26" t="str">
        <x:v>SP-04-D</x:v>
      </x:c>
      <x:c r="C17" s="26" t="n">
        <x:v>4</x:v>
      </x:c>
      <x:c r="D17" s="26" t="str">
        <x:v>normal receiver isolation</x:v>
      </x:c>
      <x:c r="E17" s="26" t="str">
        <x:v>DIVERSE</x:v>
      </x:c>
      <x:c r="F17" s="26" t="str">
        <x:v>AVAILABLE</x:v>
      </x:c>
      <x:c r="G17" s="26" t="str"/>
      <x:c r="H17" s="26" t="str"/>
      <x:c r="I17" s="26" t="str"/>
      <x:c r="J17" s="26" t="str">
        <x:f>IF(I17="","OPEN",IF(AND(G17=F17,H17&lt;&gt;""),"PASS","FAIL"))</x:f>
        <x:v>OPEN</x:v>
      </x:c>
    </x:row>
    <x:row r="18">
      <x:c r="B18" s="26" t="str">
        <x:v>SP-04-P</x:v>
      </x:c>
      <x:c r="C18" s="26" t="n">
        <x:v>4</x:v>
      </x:c>
      <x:c r="D18" s="26" t="str">
        <x:v>normal receiver isolation</x:v>
      </x:c>
      <x:c r="E18" s="26" t="str">
        <x:v>PASSIVE</x:v>
      </x:c>
      <x:c r="F18" s="26" t="str">
        <x:v>AVAILABLE</x:v>
      </x:c>
      <x:c r="G18" s="26" t="str"/>
      <x:c r="H18" s="26" t="str"/>
      <x:c r="I18" s="26" t="str"/>
      <x:c r="J18" s="26" t="str">
        <x:f>IF(I18="","OPEN",IF(AND(G18=F18,H18&lt;&gt;""),"PASS","FAIL"))</x:f>
        <x:v>OPEN</x:v>
      </x:c>
    </x:row>
    <x:row r="19">
      <x:c r="B19" s="26" t="str">
        <x:v>SP-05-P</x:v>
      </x:c>
      <x:c r="C19" s="26" t="n">
        <x:v>5</x:v>
      </x:c>
      <x:c r="D19" s="26" t="str">
        <x:v>casualty source diversion</x:v>
      </x:c>
      <x:c r="E19" s="26" t="str">
        <x:v>PRIMARY</x:v>
      </x:c>
      <x:c r="F19" s="26" t="str">
        <x:v>AVAILABLE</x:v>
      </x:c>
      <x:c r="G19" s="26" t="str"/>
      <x:c r="H19" s="26" t="str"/>
      <x:c r="I19" s="26" t="str"/>
      <x:c r="J19" s="26" t="str">
        <x:f>IF(I19="","OPEN",IF(AND(G19=F19,H19&lt;&gt;""),"PASS","FAIL"))</x:f>
        <x:v>OPEN</x:v>
      </x:c>
    </x:row>
    <x:row r="20">
      <x:c r="B20" s="26" t="str">
        <x:v>SP-05-D</x:v>
      </x:c>
      <x:c r="C20" s="26" t="n">
        <x:v>5</x:v>
      </x:c>
      <x:c r="D20" s="26" t="str">
        <x:v>casualty source diversion</x:v>
      </x:c>
      <x:c r="E20" s="26" t="str">
        <x:v>DIVERSE</x:v>
      </x:c>
      <x:c r="F20" s="26" t="str">
        <x:v>AVAILABLE</x:v>
      </x:c>
      <x:c r="G20" s="26" t="str"/>
      <x:c r="H20" s="26" t="str"/>
      <x:c r="I20" s="26" t="str"/>
      <x:c r="J20" s="26" t="str">
        <x:f>IF(I20="","OPEN",IF(AND(G20=F20,H20&lt;&gt;""),"PASS","FAIL"))</x:f>
        <x:v>OPEN</x:v>
      </x:c>
    </x:row>
    <x:row r="21">
      <x:c r="B21" s="26" t="str">
        <x:v>SP-05-P</x:v>
      </x:c>
      <x:c r="C21" s="26" t="n">
        <x:v>5</x:v>
      </x:c>
      <x:c r="D21" s="26" t="str">
        <x:v>casualty source diversion</x:v>
      </x:c>
      <x:c r="E21" s="26" t="str">
        <x:v>PASSIVE</x:v>
      </x:c>
      <x:c r="F21" s="26" t="str">
        <x:v>AVAILABLE</x:v>
      </x:c>
      <x:c r="G21" s="26" t="str"/>
      <x:c r="H21" s="26" t="str"/>
      <x:c r="I21" s="26" t="str"/>
      <x:c r="J21" s="26" t="str">
        <x:f>IF(I21="","OPEN",IF(AND(G21=F21,H21&lt;&gt;""),"PASS","FAIL"))</x:f>
        <x:v>OPEN</x:v>
      </x:c>
    </x:row>
    <x:row r="22">
      <x:c r="B22" s="26" t="str">
        <x:v>SP-06-P</x:v>
      </x:c>
      <x:c r="C22" s="26" t="n">
        <x:v>6</x:v>
      </x:c>
      <x:c r="D22" s="26" t="str">
        <x:v>ignition-energy removal</x:v>
      </x:c>
      <x:c r="E22" s="26" t="str">
        <x:v>PRIMARY</x:v>
      </x:c>
      <x:c r="F22" s="26" t="str">
        <x:v>AVAILABLE</x:v>
      </x:c>
      <x:c r="G22" s="26" t="str"/>
      <x:c r="H22" s="26" t="str"/>
      <x:c r="I22" s="26" t="str"/>
      <x:c r="J22" s="26" t="str">
        <x:f>IF(I22="","OPEN",IF(AND(G22=F22,H22&lt;&gt;""),"PASS","FAIL"))</x:f>
        <x:v>OPEN</x:v>
      </x:c>
    </x:row>
    <x:row r="23">
      <x:c r="B23" s="26" t="str">
        <x:v>SP-06-D</x:v>
      </x:c>
      <x:c r="C23" s="26" t="n">
        <x:v>6</x:v>
      </x:c>
      <x:c r="D23" s="26" t="str">
        <x:v>ignition-energy removal</x:v>
      </x:c>
      <x:c r="E23" s="26" t="str">
        <x:v>DIVERSE</x:v>
      </x:c>
      <x:c r="F23" s="26" t="str">
        <x:v>AVAILABLE</x:v>
      </x:c>
      <x:c r="G23" s="26" t="str"/>
      <x:c r="H23" s="26" t="str"/>
      <x:c r="I23" s="26" t="str"/>
      <x:c r="J23" s="26" t="str">
        <x:f>IF(I23="","OPEN",IF(AND(G23=F23,H23&lt;&gt;""),"PASS","FAIL"))</x:f>
        <x:v>OPEN</x:v>
      </x:c>
    </x:row>
    <x:row r="24">
      <x:c r="B24" s="26" t="str">
        <x:v>SP-06-P</x:v>
      </x:c>
      <x:c r="C24" s="26" t="n">
        <x:v>6</x:v>
      </x:c>
      <x:c r="D24" s="26" t="str">
        <x:v>ignition-energy removal</x:v>
      </x:c>
      <x:c r="E24" s="26" t="str">
        <x:v>PASSIVE</x:v>
      </x:c>
      <x:c r="F24" s="26" t="str">
        <x:v>AVAILABLE</x:v>
      </x:c>
      <x:c r="G24" s="26" t="str"/>
      <x:c r="H24" s="26" t="str"/>
      <x:c r="I24" s="26" t="str"/>
      <x:c r="J24" s="26" t="str">
        <x:f>IF(I24="","OPEN",IF(AND(G24=F24,H24&lt;&gt;""),"PASS","FAIL"))</x:f>
        <x:v>OPEN</x:v>
      </x:c>
    </x:row>
    <x:row r="25">
      <x:c r="B25" s="26" t="str">
        <x:v>SP-07-P</x:v>
      </x:c>
      <x:c r="C25" s="26" t="n">
        <x:v>7</x:v>
      </x:c>
      <x:c r="D25" s="26" t="str">
        <x:v>candidate/public-water isolation</x:v>
      </x:c>
      <x:c r="E25" s="26" t="str">
        <x:v>PRIMARY</x:v>
      </x:c>
      <x:c r="F25" s="26" t="str">
        <x:v>AVAILABLE</x:v>
      </x:c>
      <x:c r="G25" s="26" t="str"/>
      <x:c r="H25" s="26" t="str"/>
      <x:c r="I25" s="26" t="str"/>
      <x:c r="J25" s="26" t="str">
        <x:f>IF(I25="","OPEN",IF(AND(G25=F25,H25&lt;&gt;""),"PASS","FAIL"))</x:f>
        <x:v>OPEN</x:v>
      </x:c>
    </x:row>
    <x:row r="26">
      <x:c r="B26" s="26" t="str">
        <x:v>SP-07-D</x:v>
      </x:c>
      <x:c r="C26" s="26" t="n">
        <x:v>7</x:v>
      </x:c>
      <x:c r="D26" s="26" t="str">
        <x:v>candidate/public-water isolation</x:v>
      </x:c>
      <x:c r="E26" s="26" t="str">
        <x:v>DIVERSE</x:v>
      </x:c>
      <x:c r="F26" s="26" t="str">
        <x:v>AVAILABLE</x:v>
      </x:c>
      <x:c r="G26" s="26" t="str"/>
      <x:c r="H26" s="26" t="str"/>
      <x:c r="I26" s="26" t="str"/>
      <x:c r="J26" s="26" t="str">
        <x:f>IF(I26="","OPEN",IF(AND(G26=F26,H26&lt;&gt;""),"PASS","FAIL"))</x:f>
        <x:v>OPEN</x:v>
      </x:c>
    </x:row>
    <x:row r="27">
      <x:c r="B27" s="26" t="str">
        <x:v>SP-07-P</x:v>
      </x:c>
      <x:c r="C27" s="26" t="n">
        <x:v>7</x:v>
      </x:c>
      <x:c r="D27" s="26" t="str">
        <x:v>candidate/public-water isolation</x:v>
      </x:c>
      <x:c r="E27" s="26" t="str">
        <x:v>PASSIVE</x:v>
      </x:c>
      <x:c r="F27" s="26" t="str">
        <x:v>AVAILABLE</x:v>
      </x:c>
      <x:c r="G27" s="26" t="str"/>
      <x:c r="H27" s="26" t="str"/>
      <x:c r="I27" s="26" t="str"/>
      <x:c r="J27" s="26" t="str">
        <x:f>IF(I27="","OPEN",IF(AND(G27=F27,H27&lt;&gt;""),"PASS","FAIL"))</x:f>
        <x:v>OPEN</x:v>
      </x:c>
    </x:row>
    <x:row r="28">
      <x:c r="B28" s="26" t="str">
        <x:v>SP-08-P</x:v>
      </x:c>
      <x:c r="C28" s="26" t="n">
        <x:v>8</x:v>
      </x:c>
      <x:c r="D28" s="26" t="str">
        <x:v>casualty-water diversion</x:v>
      </x:c>
      <x:c r="E28" s="26" t="str">
        <x:v>PRIMARY</x:v>
      </x:c>
      <x:c r="F28" s="26" t="str">
        <x:v>AVAILABLE</x:v>
      </x:c>
      <x:c r="G28" s="26" t="str"/>
      <x:c r="H28" s="26" t="str"/>
      <x:c r="I28" s="26" t="str"/>
      <x:c r="J28" s="26" t="str">
        <x:f>IF(I28="","OPEN",IF(AND(G28=F28,H28&lt;&gt;""),"PASS","FAIL"))</x:f>
        <x:v>OPEN</x:v>
      </x:c>
    </x:row>
    <x:row r="29">
      <x:c r="B29" s="26" t="str">
        <x:v>SP-08-D</x:v>
      </x:c>
      <x:c r="C29" s="26" t="n">
        <x:v>8</x:v>
      </x:c>
      <x:c r="D29" s="26" t="str">
        <x:v>casualty-water diversion</x:v>
      </x:c>
      <x:c r="E29" s="26" t="str">
        <x:v>DIVERSE</x:v>
      </x:c>
      <x:c r="F29" s="26" t="str">
        <x:v>AVAILABLE</x:v>
      </x:c>
      <x:c r="G29" s="26" t="str"/>
      <x:c r="H29" s="26" t="str"/>
      <x:c r="I29" s="26" t="str"/>
      <x:c r="J29" s="26" t="str">
        <x:f>IF(I29="","OPEN",IF(AND(G29=F29,H29&lt;&gt;""),"PASS","FAIL"))</x:f>
        <x:v>OPEN</x:v>
      </x:c>
    </x:row>
    <x:row r="30">
      <x:c r="B30" s="26" t="str">
        <x:v>SP-08-P</x:v>
      </x:c>
      <x:c r="C30" s="26" t="n">
        <x:v>8</x:v>
      </x:c>
      <x:c r="D30" s="26" t="str">
        <x:v>casualty-water diversion</x:v>
      </x:c>
      <x:c r="E30" s="26" t="str">
        <x:v>PASSIVE</x:v>
      </x:c>
      <x:c r="F30" s="26" t="str">
        <x:v>AVAILABLE</x:v>
      </x:c>
      <x:c r="G30" s="26" t="str"/>
      <x:c r="H30" s="26" t="str"/>
      <x:c r="I30" s="26" t="str"/>
      <x:c r="J30" s="26" t="str">
        <x:f>IF(I30="","OPEN",IF(AND(G30=F30,H30&lt;&gt;""),"PASS","FAIL"))</x:f>
        <x:v>OPEN</x:v>
      </x:c>
    </x:row>
    <x:row r="31">
      <x:c r="B31" s="26" t="str">
        <x:v>SP-09-P</x:v>
      </x:c>
      <x:c r="C31" s="26" t="n">
        <x:v>9</x:v>
      </x:c>
      <x:c r="D31" s="26" t="str">
        <x:v>normal electrical isolation</x:v>
      </x:c>
      <x:c r="E31" s="26" t="str">
        <x:v>PRIMARY</x:v>
      </x:c>
      <x:c r="F31" s="26" t="str">
        <x:v>AVAILABLE</x:v>
      </x:c>
      <x:c r="G31" s="26" t="str"/>
      <x:c r="H31" s="26" t="str"/>
      <x:c r="I31" s="26" t="str"/>
      <x:c r="J31" s="26" t="str">
        <x:f>IF(I31="","OPEN",IF(AND(G31=F31,H31&lt;&gt;""),"PASS","FAIL"))</x:f>
        <x:v>OPEN</x:v>
      </x:c>
    </x:row>
    <x:row r="32">
      <x:c r="B32" s="26" t="str">
        <x:v>SP-09-D</x:v>
      </x:c>
      <x:c r="C32" s="26" t="n">
        <x:v>9</x:v>
      </x:c>
      <x:c r="D32" s="26" t="str">
        <x:v>normal electrical isolation</x:v>
      </x:c>
      <x:c r="E32" s="26" t="str">
        <x:v>DIVERSE</x:v>
      </x:c>
      <x:c r="F32" s="26" t="str">
        <x:v>AVAILABLE</x:v>
      </x:c>
      <x:c r="G32" s="26" t="str"/>
      <x:c r="H32" s="26" t="str"/>
      <x:c r="I32" s="26" t="str"/>
      <x:c r="J32" s="26" t="str">
        <x:f>IF(I32="","OPEN",IF(AND(G32=F32,H32&lt;&gt;""),"PASS","FAIL"))</x:f>
        <x:v>OPEN</x:v>
      </x:c>
    </x:row>
    <x:row r="33">
      <x:c r="B33" s="26" t="str">
        <x:v>SP-09-P</x:v>
      </x:c>
      <x:c r="C33" s="26" t="n">
        <x:v>9</x:v>
      </x:c>
      <x:c r="D33" s="26" t="str">
        <x:v>normal electrical isolation</x:v>
      </x:c>
      <x:c r="E33" s="26" t="str">
        <x:v>PASSIVE</x:v>
      </x:c>
      <x:c r="F33" s="26" t="str">
        <x:v>AVAILABLE</x:v>
      </x:c>
      <x:c r="G33" s="26" t="str"/>
      <x:c r="H33" s="26" t="str"/>
      <x:c r="I33" s="26" t="str"/>
      <x:c r="J33" s="26" t="str">
        <x:f>IF(I33="","OPEN",IF(AND(G33=F33,H33&lt;&gt;""),"PASS","FAIL"))</x:f>
        <x:v>OPEN</x:v>
      </x:c>
    </x:row>
    <x:row r="34">
      <x:c r="B34" s="26" t="str">
        <x:v>SP-10-P</x:v>
      </x:c>
      <x:c r="C34" s="26" t="n">
        <x:v>10</x:v>
      </x:c>
      <x:c r="D34" s="26" t="str">
        <x:v>independent safety energy</x:v>
      </x:c>
      <x:c r="E34" s="26" t="str">
        <x:v>PRIMARY</x:v>
      </x:c>
      <x:c r="F34" s="26" t="str">
        <x:v>AVAILABLE</x:v>
      </x:c>
      <x:c r="G34" s="26" t="str"/>
      <x:c r="H34" s="26" t="str"/>
      <x:c r="I34" s="26" t="str"/>
      <x:c r="J34" s="26" t="str">
        <x:f>IF(I34="","OPEN",IF(AND(G34=F34,H34&lt;&gt;""),"PASS","FAIL"))</x:f>
        <x:v>OPEN</x:v>
      </x:c>
    </x:row>
    <x:row r="35">
      <x:c r="B35" s="26" t="str">
        <x:v>SP-10-D</x:v>
      </x:c>
      <x:c r="C35" s="26" t="n">
        <x:v>10</x:v>
      </x:c>
      <x:c r="D35" s="26" t="str">
        <x:v>independent safety energy</x:v>
      </x:c>
      <x:c r="E35" s="26" t="str">
        <x:v>DIVERSE</x:v>
      </x:c>
      <x:c r="F35" s="26" t="str">
        <x:v>AVAILABLE</x:v>
      </x:c>
      <x:c r="G35" s="26" t="str"/>
      <x:c r="H35" s="26" t="str"/>
      <x:c r="I35" s="26" t="str"/>
      <x:c r="J35" s="26" t="str">
        <x:f>IF(I35="","OPEN",IF(AND(G35=F35,H35&lt;&gt;""),"PASS","FAIL"))</x:f>
        <x:v>OPEN</x:v>
      </x:c>
    </x:row>
    <x:row r="36">
      <x:c r="B36" s="26" t="str">
        <x:v>SP-10-P</x:v>
      </x:c>
      <x:c r="C36" s="26" t="n">
        <x:v>10</x:v>
      </x:c>
      <x:c r="D36" s="26" t="str">
        <x:v>independent safety energy</x:v>
      </x:c>
      <x:c r="E36" s="26" t="str">
        <x:v>PASSIVE</x:v>
      </x:c>
      <x:c r="F36" s="26" t="str">
        <x:v>AVAILABLE</x:v>
      </x:c>
      <x:c r="G36" s="26" t="str"/>
      <x:c r="H36" s="26" t="str"/>
      <x:c r="I36" s="26" t="str"/>
      <x:c r="J36" s="26" t="str">
        <x:f>IF(I36="","OPEN",IF(AND(G36=F36,H36&lt;&gt;""),"PASS","FAIL"))</x:f>
        <x:v>OPEN</x:v>
      </x:c>
    </x:row>
    <x:row r="37">
      <x:c r="B37" s="26" t="str">
        <x:v>SP-11-P</x:v>
      </x:c>
      <x:c r="C37" s="26" t="n">
        <x:v>11</x:v>
      </x:c>
      <x:c r="D37" s="26" t="str">
        <x:v>environment boundary and vent</x:v>
      </x:c>
      <x:c r="E37" s="26" t="str">
        <x:v>PRIMARY</x:v>
      </x:c>
      <x:c r="F37" s="26" t="str">
        <x:v>AVAILABLE</x:v>
      </x:c>
      <x:c r="G37" s="26" t="str"/>
      <x:c r="H37" s="26" t="str"/>
      <x:c r="I37" s="26" t="str"/>
      <x:c r="J37" s="26" t="str">
        <x:f>IF(I37="","OPEN",IF(AND(G37=F37,H37&lt;&gt;""),"PASS","FAIL"))</x:f>
        <x:v>OPEN</x:v>
      </x:c>
    </x:row>
    <x:row r="38">
      <x:c r="B38" s="26" t="str">
        <x:v>SP-11-D</x:v>
      </x:c>
      <x:c r="C38" s="26" t="n">
        <x:v>11</x:v>
      </x:c>
      <x:c r="D38" s="26" t="str">
        <x:v>environment boundary and vent</x:v>
      </x:c>
      <x:c r="E38" s="26" t="str">
        <x:v>DIVERSE</x:v>
      </x:c>
      <x:c r="F38" s="26" t="str">
        <x:v>AVAILABLE</x:v>
      </x:c>
      <x:c r="G38" s="26" t="str"/>
      <x:c r="H38" s="26" t="str"/>
      <x:c r="I38" s="26" t="str"/>
      <x:c r="J38" s="26" t="str">
        <x:f>IF(I38="","OPEN",IF(AND(G38=F38,H38&lt;&gt;""),"PASS","FAIL"))</x:f>
        <x:v>OPEN</x:v>
      </x:c>
    </x:row>
    <x:row r="39">
      <x:c r="B39" s="26" t="str">
        <x:v>SP-11-P</x:v>
      </x:c>
      <x:c r="C39" s="26" t="n">
        <x:v>11</x:v>
      </x:c>
      <x:c r="D39" s="26" t="str">
        <x:v>environment boundary and vent</x:v>
      </x:c>
      <x:c r="E39" s="26" t="str">
        <x:v>PASSIVE</x:v>
      </x:c>
      <x:c r="F39" s="26" t="str">
        <x:v>AVAILABLE</x:v>
      </x:c>
      <x:c r="G39" s="26" t="str"/>
      <x:c r="H39" s="26" t="str"/>
      <x:c r="I39" s="26" t="str"/>
      <x:c r="J39" s="26" t="str">
        <x:f>IF(I39="","OPEN",IF(AND(G39=F39,H39&lt;&gt;""),"PASS","FAIL"))</x:f>
        <x:v>OPEN</x:v>
      </x:c>
    </x:row>
    <x:row r="40">
      <x:c r="B40" s="26" t="str">
        <x:v>SP-12-P</x:v>
      </x:c>
      <x:c r="C40" s="26" t="n">
        <x:v>12</x:v>
      </x:c>
      <x:c r="D40" s="26" t="str">
        <x:v>evidence safe-state latch</x:v>
      </x:c>
      <x:c r="E40" s="26" t="str">
        <x:v>PRIMARY</x:v>
      </x:c>
      <x:c r="F40" s="26" t="str">
        <x:v>AVAILABLE</x:v>
      </x:c>
      <x:c r="G40" s="26" t="str"/>
      <x:c r="H40" s="26" t="str"/>
      <x:c r="I40" s="26" t="str"/>
      <x:c r="J40" s="26" t="str">
        <x:f>IF(I40="","OPEN",IF(AND(G40=F40,H40&lt;&gt;""),"PASS","FAIL"))</x:f>
        <x:v>OPEN</x:v>
      </x:c>
    </x:row>
    <x:row r="41">
      <x:c r="B41" s="26" t="str">
        <x:v>SP-12-D</x:v>
      </x:c>
      <x:c r="C41" s="26" t="n">
        <x:v>12</x:v>
      </x:c>
      <x:c r="D41" s="26" t="str">
        <x:v>evidence safe-state latch</x:v>
      </x:c>
      <x:c r="E41" s="26" t="str">
        <x:v>DIVERSE</x:v>
      </x:c>
      <x:c r="F41" s="26" t="str">
        <x:v>AVAILABLE</x:v>
      </x:c>
      <x:c r="G41" s="26" t="str"/>
      <x:c r="H41" s="26" t="str"/>
      <x:c r="I41" s="26" t="str"/>
      <x:c r="J41" s="26" t="str">
        <x:f>IF(I41="","OPEN",IF(AND(G41=F41,H41&lt;&gt;""),"PASS","FAIL"))</x:f>
        <x:v>OPEN</x:v>
      </x:c>
    </x:row>
    <x:row r="42">
      <x:c r="B42" s="26" t="str">
        <x:v>SP-12-P</x:v>
      </x:c>
      <x:c r="C42" s="26" t="n">
        <x:v>12</x:v>
      </x:c>
      <x:c r="D42" s="26" t="str">
        <x:v>evidence safe-state latch</x:v>
      </x:c>
      <x:c r="E42" s="26" t="str">
        <x:v>PASSIVE</x:v>
      </x:c>
      <x:c r="F42" s="26" t="str">
        <x:v>AVAILABLE</x:v>
      </x:c>
      <x:c r="G42" s="26" t="str"/>
      <x:c r="H42" s="26" t="str"/>
      <x:c r="I42" s="26" t="str"/>
      <x:c r="J42" s="26" t="str">
        <x:f>IF(I42="","OPEN",IF(AND(G42=F42,H42&lt;&gt;""),"PASS","FAIL"))</x:f>
        <x:v>OPEN</x:v>
      </x:c>
    </x:row>
  </x:sheetData>
  <x:conditionalFormatting sqref="J7:J42">
    <x:cfRule type="containsText" dxfId="126" priority="1" operator="containsText" text="FAIL"/>
    <x:cfRule type="containsText" dxfId="127" priority="2" operator="containsText" text="BLOCKED"/>
    <x:cfRule type="containsText" dxfId="128" priority="3" operator="containsText" text="INVALID"/>
    <x:cfRule type="containsText" dxfId="129" priority="4" operator="containsText" text="ADVERSE"/>
    <x:cfRule type="containsText" dxfId="130" priority="5" operator="containsText" text="EXPIRED"/>
    <x:cfRule type="containsText" dxfId="131" priority="6" operator="containsText" text="OPEN"/>
    <x:cfRule type="containsText" dxfId="132" priority="7" operator="containsText" text="DORMANT"/>
    <x:cfRule type="containsText" dxfId="133" priority="8" operator="containsText" text="PASS"/>
    <x:cfRule type="containsText" dxfId="134" priority="9" operator="containsText" text="AVAILABLE"/>
  </x:conditionalFormatting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7" hidden="0" customWidth="1"/>
    <x:col min="3" max="3" width="12" hidden="0" customWidth="1"/>
    <x:col min="4" max="4" width="39" hidden="0" customWidth="1"/>
    <x:col min="5" max="5" width="19" hidden="0" customWidth="1"/>
    <x:col min="6" max="6" width="20" hidden="0" customWidth="1"/>
    <x:col min="7" max="7" width="35" hidden="0" customWidth="1"/>
    <x:col min="8" max="8" width="21" hidden="0" customWidth="1"/>
    <x:col min="9" max="9" width="14" hidden="0" customWidth="1"/>
  </x:cols>
  <x:sheetData>
    <x:row r="2">
      <x:c r="B2" s="39" t="str">
        <x:v>Twenty signed public command transactions</x:v>
      </x:c>
      <x:c r="C2" s="26"/>
      <x:c r="D2" s="26"/>
      <x:c r="E2" s="26"/>
      <x:c r="F2" s="26"/>
      <x:c r="G2" s="26"/>
      <x:c r="H2" s="26"/>
      <x:c r="I2" s="26"/>
    </x:row>
    <x:row r="3">
      <x:c r="B3" s="40" t="str">
        <x:v>A command record carries issuer, causal time, physical response and evidence. Narrative sequence is insufficient.</x:v>
      </x:c>
      <x:c r="C3" s="26"/>
      <x:c r="D3" s="26"/>
      <x:c r="E3" s="26"/>
      <x:c r="F3" s="26"/>
      <x:c r="G3" s="26"/>
      <x:c r="H3" s="26"/>
      <x:c r="I3" s="26"/>
    </x:row>
    <x:row r="4">
      <x:c r="B4" s="26"/>
      <x:c r="C4" s="26"/>
      <x:c r="D4" s="26"/>
      <x:c r="E4" s="26"/>
      <x:c r="F4" s="26"/>
      <x:c r="G4" s="26"/>
      <x:c r="H4" s="26"/>
      <x:c r="I4" s="26"/>
    </x:row>
    <x:row r="5">
      <x:c r="B5" s="26"/>
      <x:c r="C5" s="26"/>
      <x:c r="D5" s="26"/>
      <x:c r="E5" s="26"/>
      <x:c r="F5" s="26"/>
      <x:c r="G5" s="26"/>
      <x:c r="H5" s="26"/>
      <x:c r="I5" s="26"/>
    </x:row>
    <x:row r="6" ht="24" customHeight="1">
      <x:c r="B6" s="41" t="str">
        <x:v>Command</x:v>
      </x:c>
      <x:c r="C6" s="41" t="str">
        <x:v>Sequence</x:v>
      </x:c>
      <x:c r="D6" s="41" t="str">
        <x:v>Transaction</x:v>
      </x:c>
      <x:c r="E6" s="41" t="str">
        <x:v>Required result</x:v>
      </x:c>
      <x:c r="F6" s="41" t="str">
        <x:v>Observed result</x:v>
      </x:c>
      <x:c r="G6" s="41" t="str">
        <x:v>Causal-time root</x:v>
      </x:c>
      <x:c r="H6" s="41" t="str">
        <x:v>Accepted UTC</x:v>
      </x:c>
      <x:c r="I6" s="41" t="str">
        <x:v>State</x:v>
      </x:c>
    </x:row>
    <x:row r="7">
      <x:c r="B7" s="26" t="str">
        <x:v>CMD-01</x:v>
      </x:c>
      <x:c r="C7" s="26" t="n">
        <x:v>1</x:v>
      </x:c>
      <x:c r="D7" s="26" t="str">
        <x:v>event issue bind</x:v>
      </x:c>
      <x:c r="E7" s="26" t="str">
        <x:v>OBSERVED</x:v>
      </x:c>
      <x:c r="F7" s="26" t="str"/>
      <x:c r="G7" s="26" t="str"/>
      <x:c r="H7" s="26" t="str"/>
      <x:c r="I7" s="26" t="str">
        <x:f>IF(H7="","OPEN",IF(AND(F7=E7,G7&lt;&gt;""),"PASS","FAIL"))</x:f>
        <x:v>OPEN</x:v>
      </x:c>
    </x:row>
    <x:row r="8">
      <x:c r="B8" s="26" t="str">
        <x:v>CMD-02</x:v>
      </x:c>
      <x:c r="C8" s="26" t="n">
        <x:v>2</x:v>
      </x:c>
      <x:c r="D8" s="26" t="str">
        <x:v>resource reservation</x:v>
      </x:c>
      <x:c r="E8" s="26" t="str">
        <x:v>OBSERVED</x:v>
      </x:c>
      <x:c r="F8" s="26" t="str"/>
      <x:c r="G8" s="26" t="str"/>
      <x:c r="H8" s="26" t="str"/>
      <x:c r="I8" s="26" t="str">
        <x:f>IF(H8="","OPEN",IF(AND(F8=E8,G8&lt;&gt;""),"PASS","FAIL"))</x:f>
        <x:v>OPEN</x:v>
      </x:c>
    </x:row>
    <x:row r="9">
      <x:c r="B9" s="26" t="str">
        <x:v>CMD-03</x:v>
      </x:c>
      <x:c r="C9" s="26" t="n">
        <x:v>3</x:v>
      </x:c>
      <x:c r="D9" s="26" t="str">
        <x:v>baseline commit</x:v>
      </x:c>
      <x:c r="E9" s="26" t="str">
        <x:v>OBSERVED</x:v>
      </x:c>
      <x:c r="F9" s="26" t="str"/>
      <x:c r="G9" s="26" t="str"/>
      <x:c r="H9" s="26" t="str"/>
      <x:c r="I9" s="26" t="str">
        <x:f>IF(H9="","OPEN",IF(AND(F9=E9,G9&lt;&gt;""),"PASS","FAIL"))</x:f>
        <x:v>OPEN</x:v>
      </x:c>
    </x:row>
    <x:row r="10">
      <x:c r="B10" s="26" t="str">
        <x:v>CMD-04</x:v>
      </x:c>
      <x:c r="C10" s="26" t="n">
        <x:v>4</x:v>
      </x:c>
      <x:c r="D10" s="26" t="str">
        <x:v>source-zero seal</x:v>
      </x:c>
      <x:c r="E10" s="26" t="str">
        <x:v>OBSERVED</x:v>
      </x:c>
      <x:c r="F10" s="26" t="str"/>
      <x:c r="G10" s="26" t="str"/>
      <x:c r="H10" s="26" t="str"/>
      <x:c r="I10" s="26" t="str">
        <x:f>IF(H10="","OPEN",IF(AND(F10=E10,G10&lt;&gt;""),"PASS","FAIL"))</x:f>
        <x:v>OPEN</x:v>
      </x:c>
    </x:row>
    <x:row r="11">
      <x:c r="B11" s="26" t="str">
        <x:v>CMD-05</x:v>
      </x:c>
      <x:c r="C11" s="26" t="n">
        <x:v>5</x:v>
      </x:c>
      <x:c r="D11" s="26" t="str">
        <x:v>water-zero seal</x:v>
      </x:c>
      <x:c r="E11" s="26" t="str">
        <x:v>OBSERVED</x:v>
      </x:c>
      <x:c r="F11" s="26" t="str"/>
      <x:c r="G11" s="26" t="str"/>
      <x:c r="H11" s="26" t="str"/>
      <x:c r="I11" s="26" t="str">
        <x:f>IF(H11="","OPEN",IF(AND(F11=E11,G11&lt;&gt;""),"PASS","FAIL"))</x:f>
        <x:v>OPEN</x:v>
      </x:c>
    </x:row>
    <x:row r="12">
      <x:c r="B12" s="26" t="str">
        <x:v>CMD-06</x:v>
      </x:c>
      <x:c r="C12" s="26" t="n">
        <x:v>6</x:v>
      </x:c>
      <x:c r="D12" s="26" t="str">
        <x:v>evidence arm</x:v>
      </x:c>
      <x:c r="E12" s="26" t="str">
        <x:v>OBSERVED</x:v>
      </x:c>
      <x:c r="F12" s="26" t="str"/>
      <x:c r="G12" s="26" t="str"/>
      <x:c r="H12" s="26" t="str"/>
      <x:c r="I12" s="26" t="str">
        <x:f>IF(H12="","OPEN",IF(AND(F12=E12,G12&lt;&gt;""),"PASS","FAIL"))</x:f>
        <x:v>OPEN</x:v>
      </x:c>
    </x:row>
    <x:row r="13">
      <x:c r="B13" s="26" t="str">
        <x:v>CMD-07</x:v>
      </x:c>
      <x:c r="C13" s="26" t="n">
        <x:v>7</x:v>
      </x:c>
      <x:c r="D13" s="26" t="str">
        <x:v>full-rate acquisition</x:v>
      </x:c>
      <x:c r="E13" s="26" t="str">
        <x:v>OBSERVED</x:v>
      </x:c>
      <x:c r="F13" s="26" t="str"/>
      <x:c r="G13" s="26" t="str"/>
      <x:c r="H13" s="26" t="str"/>
      <x:c r="I13" s="26" t="str">
        <x:f>IF(H13="","OPEN",IF(AND(F13=E13,G13&lt;&gt;""),"PASS","FAIL"))</x:f>
        <x:v>OPEN</x:v>
      </x:c>
    </x:row>
    <x:row r="14">
      <x:c r="B14" s="26" t="str">
        <x:v>CMD-08</x:v>
      </x:c>
      <x:c r="C14" s="26" t="n">
        <x:v>8</x:v>
      </x:c>
      <x:c r="D14" s="26" t="str">
        <x:v>null-source command</x:v>
      </x:c>
      <x:c r="E14" s="26" t="str">
        <x:v>OBSERVED</x:v>
      </x:c>
      <x:c r="F14" s="26" t="str"/>
      <x:c r="G14" s="26" t="str"/>
      <x:c r="H14" s="26" t="str"/>
      <x:c r="I14" s="26" t="str">
        <x:f>IF(H14="","OPEN",IF(AND(F14=E14,G14&lt;&gt;""),"PASS","FAIL"))</x:f>
        <x:v>OPEN</x:v>
      </x:c>
    </x:row>
    <x:row r="15">
      <x:c r="B15" s="26" t="str">
        <x:v>CMD-09</x:v>
      </x:c>
      <x:c r="C15" s="26" t="n">
        <x:v>9</x:v>
      </x:c>
      <x:c r="D15" s="26" t="str">
        <x:v>route actuation</x:v>
      </x:c>
      <x:c r="E15" s="26" t="str">
        <x:v>OBSERVED</x:v>
      </x:c>
      <x:c r="F15" s="26" t="str"/>
      <x:c r="G15" s="26" t="str"/>
      <x:c r="H15" s="26" t="str"/>
      <x:c r="I15" s="26" t="str">
        <x:f>IF(H15="","OPEN",IF(AND(F15=E15,G15&lt;&gt;""),"PASS","FAIL"))</x:f>
        <x:v>OPEN</x:v>
      </x:c>
    </x:row>
    <x:row r="16">
      <x:c r="B16" s="26" t="str">
        <x:v>CMD-10</x:v>
      </x:c>
      <x:c r="C16" s="26" t="n">
        <x:v>10</x:v>
      </x:c>
      <x:c r="D16" s="26" t="str">
        <x:v>terminal-source decision</x:v>
      </x:c>
      <x:c r="E16" s="26" t="str">
        <x:v>OBSERVED</x:v>
      </x:c>
      <x:c r="F16" s="26" t="str"/>
      <x:c r="G16" s="26" t="str"/>
      <x:c r="H16" s="26" t="str"/>
      <x:c r="I16" s="26" t="str">
        <x:f>IF(H16="","OPEN",IF(AND(F16=E16,G16&lt;&gt;""),"PASS","FAIL"))</x:f>
        <x:v>OPEN</x:v>
      </x:c>
    </x:row>
    <x:row r="17">
      <x:c r="B17" s="26" t="str">
        <x:v>CMD-11</x:v>
      </x:c>
      <x:c r="C17" s="26" t="n">
        <x:v>11</x:v>
      </x:c>
      <x:c r="D17" s="26" t="str">
        <x:v>scheduled dispenser end</x:v>
      </x:c>
      <x:c r="E17" s="26" t="str">
        <x:v>OBSERVED</x:v>
      </x:c>
      <x:c r="F17" s="26" t="str"/>
      <x:c r="G17" s="26" t="str"/>
      <x:c r="H17" s="26" t="str"/>
      <x:c r="I17" s="26" t="str">
        <x:f>IF(H17="","OPEN",IF(AND(F17=E17,G17&lt;&gt;""),"PASS","FAIL"))</x:f>
        <x:v>OPEN</x:v>
      </x:c>
    </x:row>
    <x:row r="18">
      <x:c r="B18" s="26" t="str">
        <x:v>CMD-12</x:v>
      </x:c>
      <x:c r="C18" s="26" t="n">
        <x:v>12</x:v>
      </x:c>
      <x:c r="D18" s="26" t="str">
        <x:v>primary safeing</x:v>
      </x:c>
      <x:c r="E18" s="26" t="str">
        <x:v>OBSERVED</x:v>
      </x:c>
      <x:c r="F18" s="26" t="str"/>
      <x:c r="G18" s="26" t="str"/>
      <x:c r="H18" s="26" t="str"/>
      <x:c r="I18" s="26" t="str">
        <x:f>IF(H18="","OPEN",IF(AND(F18=E18,G18&lt;&gt;""),"PASS","FAIL"))</x:f>
        <x:v>OPEN</x:v>
      </x:c>
    </x:row>
    <x:row r="19">
      <x:c r="B19" s="26" t="str">
        <x:v>CMD-13</x:v>
      </x:c>
      <x:c r="C19" s="26" t="n">
        <x:v>13</x:v>
      </x:c>
      <x:c r="D19" s="26" t="str">
        <x:v>diverse-trip challenge</x:v>
      </x:c>
      <x:c r="E19" s="26" t="str">
        <x:v>OBSERVED</x:v>
      </x:c>
      <x:c r="F19" s="26" t="str"/>
      <x:c r="G19" s="26" t="str"/>
      <x:c r="H19" s="26" t="str"/>
      <x:c r="I19" s="26" t="str">
        <x:f>IF(H19="","OPEN",IF(AND(F19=E19,G19&lt;&gt;""),"PASS","FAIL"))</x:f>
        <x:v>OPEN</x:v>
      </x:c>
    </x:row>
    <x:row r="20">
      <x:c r="B20" s="26" t="str">
        <x:v>CMD-14</x:v>
      </x:c>
      <x:c r="C20" s="26" t="n">
        <x:v>14</x:v>
      </x:c>
      <x:c r="D20" s="26" t="str">
        <x:v>passive-state witness</x:v>
      </x:c>
      <x:c r="E20" s="26" t="str">
        <x:v>OBSERVED</x:v>
      </x:c>
      <x:c r="F20" s="26" t="str"/>
      <x:c r="G20" s="26" t="str"/>
      <x:c r="H20" s="26" t="str"/>
      <x:c r="I20" s="26" t="str">
        <x:f>IF(H20="","OPEN",IF(AND(F20=E20,G20&lt;&gt;""),"PASS","FAIL"))</x:f>
        <x:v>OPEN</x:v>
      </x:c>
    </x:row>
    <x:row r="21">
      <x:c r="B21" s="26" t="str">
        <x:v>CMD-15</x:v>
      </x:c>
      <x:c r="C21" s="26" t="n">
        <x:v>15</x:v>
      </x:c>
      <x:c r="D21" s="26" t="str">
        <x:v>water isolation confirmation</x:v>
      </x:c>
      <x:c r="E21" s="26" t="str">
        <x:v>OBSERVED</x:v>
      </x:c>
      <x:c r="F21" s="26" t="str"/>
      <x:c r="G21" s="26" t="str"/>
      <x:c r="H21" s="26" t="str"/>
      <x:c r="I21" s="26" t="str">
        <x:f>IF(H21="","OPEN",IF(AND(F21=E21,G21&lt;&gt;""),"PASS","FAIL"))</x:f>
        <x:v>OPEN</x:v>
      </x:c>
    </x:row>
    <x:row r="22">
      <x:c r="B22" s="26" t="str">
        <x:v>CMD-16</x:v>
      </x:c>
      <x:c r="C22" s="26" t="n">
        <x:v>16</x:v>
      </x:c>
      <x:c r="D22" s="26" t="str">
        <x:v>casualty-route confirmation</x:v>
      </x:c>
      <x:c r="E22" s="26" t="str">
        <x:v>OBSERVED</x:v>
      </x:c>
      <x:c r="F22" s="26" t="str"/>
      <x:c r="G22" s="26" t="str"/>
      <x:c r="H22" s="26" t="str"/>
      <x:c r="I22" s="26" t="str">
        <x:f>IF(H22="","OPEN",IF(AND(F22=E22,G22&lt;&gt;""),"PASS","FAIL"))</x:f>
        <x:v>OPEN</x:v>
      </x:c>
    </x:row>
    <x:row r="23">
      <x:c r="B23" s="26" t="str">
        <x:v>CMD-17</x:v>
      </x:c>
      <x:c r="C23" s="26" t="n">
        <x:v>17</x:v>
      </x:c>
      <x:c r="D23" s="26" t="str">
        <x:v>evidence latch</x:v>
      </x:c>
      <x:c r="E23" s="26" t="str">
        <x:v>OBSERVED</x:v>
      </x:c>
      <x:c r="F23" s="26" t="str"/>
      <x:c r="G23" s="26" t="str"/>
      <x:c r="H23" s="26" t="str"/>
      <x:c r="I23" s="26" t="str">
        <x:f>IF(H23="","OPEN",IF(AND(F23=E23,G23&lt;&gt;""),"PASS","FAIL"))</x:f>
        <x:v>OPEN</x:v>
      </x:c>
    </x:row>
    <x:row r="24">
      <x:c r="B24" s="26" t="str">
        <x:v>CMD-18</x:v>
      </x:c>
      <x:c r="C24" s="26" t="n">
        <x:v>18</x:v>
      </x:c>
      <x:c r="D24" s="26" t="str">
        <x:v>recovery release</x:v>
      </x:c>
      <x:c r="E24" s="26" t="str">
        <x:v>OBSERVED</x:v>
      </x:c>
      <x:c r="F24" s="26" t="str"/>
      <x:c r="G24" s="26" t="str"/>
      <x:c r="H24" s="26" t="str"/>
      <x:c r="I24" s="26" t="str">
        <x:f>IF(H24="","OPEN",IF(AND(F24=E24,G24&lt;&gt;""),"PASS","FAIL"))</x:f>
        <x:v>OPEN</x:v>
      </x:c>
    </x:row>
    <x:row r="25">
      <x:c r="B25" s="26" t="str">
        <x:v>CMD-19</x:v>
      </x:c>
      <x:c r="C25" s="26" t="n">
        <x:v>19</x:v>
      </x:c>
      <x:c r="D25" s="26" t="str">
        <x:v>packet freeze</x:v>
      </x:c>
      <x:c r="E25" s="26" t="str">
        <x:v>OBSERVED</x:v>
      </x:c>
      <x:c r="F25" s="26" t="str"/>
      <x:c r="G25" s="26" t="str"/>
      <x:c r="H25" s="26" t="str"/>
      <x:c r="I25" s="26" t="str">
        <x:f>IF(H25="","OPEN",IF(AND(F25=E25,G25&lt;&gt;""),"PASS","FAIL"))</x:f>
        <x:v>OPEN</x:v>
      </x:c>
    </x:row>
    <x:row r="26">
      <x:c r="B26" s="26" t="str">
        <x:v>CMD-20</x:v>
      </x:c>
      <x:c r="C26" s="26" t="n">
        <x:v>20</x:v>
      </x:c>
      <x:c r="D26" s="26" t="str">
        <x:v>reentry release</x:v>
      </x:c>
      <x:c r="E26" s="26" t="str">
        <x:v>OBSERVED</x:v>
      </x:c>
      <x:c r="F26" s="26" t="str"/>
      <x:c r="G26" s="26" t="str"/>
      <x:c r="H26" s="26" t="str"/>
      <x:c r="I26" s="26" t="str">
        <x:f>IF(H26="","OPEN",IF(AND(F26=E26,G26&lt;&gt;""),"PASS","FAIL"))</x:f>
        <x:v>OPEN</x:v>
      </x:c>
    </x:row>
  </x:sheetData>
  <x:conditionalFormatting sqref="I7:I26">
    <x:cfRule type="containsText" dxfId="135" priority="1" operator="containsText" text="FAIL"/>
    <x:cfRule type="containsText" dxfId="136" priority="2" operator="containsText" text="BLOCKED"/>
    <x:cfRule type="containsText" dxfId="137" priority="3" operator="containsText" text="INVALID"/>
    <x:cfRule type="containsText" dxfId="138" priority="4" operator="containsText" text="ADVERSE"/>
    <x:cfRule type="containsText" dxfId="139" priority="5" operator="containsText" text="EXPIRED"/>
    <x:cfRule type="containsText" dxfId="140" priority="6" operator="containsText" text="OPEN"/>
    <x:cfRule type="containsText" dxfId="141" priority="7" operator="containsText" text="DORMANT"/>
    <x:cfRule type="containsText" dxfId="142" priority="8" operator="containsText" text="PASS"/>
    <x:cfRule type="containsText" dxfId="143" priority="9" operator="containsText" text="AVAILABLE"/>
  </x:conditionalFormatting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Views>
    <x:sheetView showGridLines="0" workbookViewId="0">
      <x:pane xSplit="4" ySplit="6" topLeftCell="E7" activePane="bottomRight" state="frozen"/>
    </x:sheetView>
  </x:sheetViews>
  <x:sheetFormatPr defaultRowHeight="15"/>
  <x:cols>
    <x:col min="2" max="2" width="16" hidden="0" customWidth="1"/>
    <x:col min="3" max="3" width="12" hidden="0" customWidth="1"/>
    <x:col min="4" max="4" width="18" hidden="0" customWidth="1"/>
    <x:col min="5" max="5" width="49" hidden="0" customWidth="1"/>
    <x:col min="6" max="6" width="21" hidden="0" customWidth="1"/>
    <x:col min="7" max="7" width="22" hidden="0" customWidth="1"/>
    <x:col min="8" max="8" width="35" hidden="0" customWidth="1"/>
    <x:col min="9" max="9" width="14" hidden="0" customWidth="1"/>
  </x:cols>
  <x:sheetData>
    <x:row r="2">
      <x:c r="B2" s="39" t="str">
        <x:v>Twenty-four causal event phases</x:v>
      </x:c>
      <x:c r="C2" s="26"/>
      <x:c r="D2" s="26"/>
      <x:c r="E2" s="26"/>
      <x:c r="F2" s="26"/>
      <x:c r="G2" s="26"/>
      <x:c r="H2" s="26"/>
      <x:c r="I2" s="26"/>
    </x:row>
    <x:row r="3">
      <x:c r="B3" s="40" t="str">
        <x:v>The clock begins at the T-96-hour freeze and ends at day-seven disposition. Observed sequence must match the registered order.</x:v>
      </x:c>
      <x:c r="C3" s="26"/>
      <x:c r="D3" s="26"/>
      <x:c r="E3" s="26"/>
      <x:c r="F3" s="26"/>
      <x:c r="G3" s="26"/>
      <x:c r="H3" s="26"/>
      <x:c r="I3" s="26"/>
    </x:row>
    <x:row r="4">
      <x:c r="B4" s="26"/>
      <x:c r="C4" s="26"/>
      <x:c r="D4" s="26"/>
      <x:c r="E4" s="26"/>
      <x:c r="F4" s="26"/>
      <x:c r="G4" s="26"/>
      <x:c r="H4" s="26"/>
      <x:c r="I4" s="26"/>
    </x:row>
    <x:row r="5">
      <x:c r="B5" s="26"/>
      <x:c r="C5" s="26"/>
      <x:c r="D5" s="26"/>
      <x:c r="E5" s="26"/>
      <x:c r="F5" s="26"/>
      <x:c r="G5" s="26"/>
      <x:c r="H5" s="26"/>
      <x:c r="I5" s="26"/>
    </x:row>
    <x:row r="6" ht="24" customHeight="1">
      <x:c r="B6" s="41" t="str">
        <x:v>Phase</x:v>
      </x:c>
      <x:c r="C6" s="41" t="str">
        <x:v>Sequence</x:v>
      </x:c>
      <x:c r="D6" s="41" t="str">
        <x:v>Offset minutes</x:v>
      </x:c>
      <x:c r="E6" s="41" t="str">
        <x:v>Causal act</x:v>
      </x:c>
      <x:c r="F6" s="41" t="str">
        <x:v>Observed sequence</x:v>
      </x:c>
      <x:c r="G6" s="41" t="str">
        <x:v>Observed UTC</x:v>
      </x:c>
      <x:c r="H6" s="41" t="str">
        <x:v>Evidence root</x:v>
      </x:c>
      <x:c r="I6" s="41" t="str">
        <x:v>State</x:v>
      </x:c>
    </x:row>
    <x:row r="7">
      <x:c r="B7" s="26" t="str">
        <x:v>PH-01</x:v>
      </x:c>
      <x:c r="C7" s="26" t="n">
        <x:v>1</x:v>
      </x:c>
      <x:c r="D7" s="26" t="n">
        <x:v>-5760</x:v>
      </x:c>
      <x:c r="E7" s="26" t="str">
        <x:v>configuration freeze</x:v>
      </x:c>
      <x:c r="F7" s="26" t="str"/>
      <x:c r="G7" s="26" t="str"/>
      <x:c r="H7" s="26" t="str"/>
      <x:c r="I7" s="26" t="str">
        <x:f>IF(G7="","OPEN",IF(AND(F7=C7,H7&lt;&gt;""),"PASS","FAIL"))</x:f>
        <x:v>OPEN</x:v>
      </x:c>
    </x:row>
    <x:row r="8">
      <x:c r="B8" s="26" t="str">
        <x:v>PH-02</x:v>
      </x:c>
      <x:c r="C8" s="26" t="n">
        <x:v>2</x:v>
      </x:c>
      <x:c r="D8" s="26" t="n">
        <x:v>-4320</x:v>
      </x:c>
      <x:c r="E8" s="26" t="str">
        <x:v>dossier bind</x:v>
      </x:c>
      <x:c r="F8" s="26" t="str"/>
      <x:c r="G8" s="26" t="str"/>
      <x:c r="H8" s="26" t="str"/>
      <x:c r="I8" s="26" t="str">
        <x:f>IF(G8="","OPEN",IF(AND(F8=C8,H8&lt;&gt;""),"PASS","FAIL"))</x:f>
        <x:v>OPEN</x:v>
      </x:c>
    </x:row>
    <x:row r="9">
      <x:c r="B9" s="26" t="str">
        <x:v>PH-03</x:v>
      </x:c>
      <x:c r="C9" s="26" t="n">
        <x:v>3</x:v>
      </x:c>
      <x:c r="D9" s="26" t="n">
        <x:v>-2880</x:v>
      </x:c>
      <x:c r="E9" s="26" t="str">
        <x:v>zero-source exclusion</x:v>
      </x:c>
      <x:c r="F9" s="26" t="str"/>
      <x:c r="G9" s="26" t="str"/>
      <x:c r="H9" s="26" t="str"/>
      <x:c r="I9" s="26" t="str">
        <x:f>IF(G9="","OPEN",IF(AND(F9=C9,H9&lt;&gt;""),"PASS","FAIL"))</x:f>
        <x:v>OPEN</x:v>
      </x:c>
    </x:row>
    <x:row r="10">
      <x:c r="B10" s="26" t="str">
        <x:v>PH-04</x:v>
      </x:c>
      <x:c r="C10" s="26" t="n">
        <x:v>4</x:v>
      </x:c>
      <x:c r="D10" s="26" t="n">
        <x:v>-2160</x:v>
      </x:c>
      <x:c r="E10" s="26" t="str">
        <x:v>zero-water exclusion</x:v>
      </x:c>
      <x:c r="F10" s="26" t="str"/>
      <x:c r="G10" s="26" t="str"/>
      <x:c r="H10" s="26" t="str"/>
      <x:c r="I10" s="26" t="str">
        <x:f>IF(G10="","OPEN",IF(AND(F10=C10,H10&lt;&gt;""),"PASS","FAIL"))</x:f>
        <x:v>OPEN</x:v>
      </x:c>
    </x:row>
    <x:row r="11">
      <x:c r="B11" s="26" t="str">
        <x:v>PH-05</x:v>
      </x:c>
      <x:c r="C11" s="26" t="n">
        <x:v>5</x:v>
      </x:c>
      <x:c r="D11" s="26" t="n">
        <x:v>-1440</x:v>
      </x:c>
      <x:c r="E11" s="26" t="str">
        <x:v>environment and neighbor baseline</x:v>
      </x:c>
      <x:c r="F11" s="26" t="str"/>
      <x:c r="G11" s="26" t="str"/>
      <x:c r="H11" s="26" t="str"/>
      <x:c r="I11" s="26" t="str">
        <x:f>IF(G11="","OPEN",IF(AND(F11=C11,H11&lt;&gt;""),"PASS","FAIL"))</x:f>
        <x:v>OPEN</x:v>
      </x:c>
    </x:row>
    <x:row r="12">
      <x:c r="B12" s="26" t="str">
        <x:v>PH-06</x:v>
      </x:c>
      <x:c r="C12" s="26" t="n">
        <x:v>6</x:v>
      </x:c>
      <x:c r="D12" s="26" t="n">
        <x:v>-720</x:v>
      </x:c>
      <x:c r="E12" s="26" t="str">
        <x:v>crew and rescue release</x:v>
      </x:c>
      <x:c r="F12" s="26" t="str"/>
      <x:c r="G12" s="26" t="str"/>
      <x:c r="H12" s="26" t="str"/>
      <x:c r="I12" s="26" t="str">
        <x:f>IF(G12="","OPEN",IF(AND(F12=C12,H12&lt;&gt;""),"PASS","FAIL"))</x:f>
        <x:v>OPEN</x:v>
      </x:c>
    </x:row>
    <x:row r="13">
      <x:c r="B13" s="26" t="str">
        <x:v>PH-07</x:v>
      </x:c>
      <x:c r="C13" s="26" t="n">
        <x:v>7</x:v>
      </x:c>
      <x:c r="D13" s="26" t="n">
        <x:v>-360</x:v>
      </x:c>
      <x:c r="E13" s="26" t="str">
        <x:v>standards and calibration</x:v>
      </x:c>
      <x:c r="F13" s="26" t="str"/>
      <x:c r="G13" s="26" t="str"/>
      <x:c r="H13" s="26" t="str"/>
      <x:c r="I13" s="26" t="str">
        <x:f>IF(G13="","OPEN",IF(AND(F13=C13,H13&lt;&gt;""),"PASS","FAIL"))</x:f>
        <x:v>OPEN</x:v>
      </x:c>
    </x:row>
    <x:row r="14">
      <x:c r="B14" s="26" t="str">
        <x:v>PH-08</x:v>
      </x:c>
      <x:c r="C14" s="26" t="n">
        <x:v>8</x:v>
      </x:c>
      <x:c r="D14" s="26" t="n">
        <x:v>-120</x:v>
      </x:c>
      <x:c r="E14" s="26" t="str">
        <x:v>containment and receivers</x:v>
      </x:c>
      <x:c r="F14" s="26" t="str"/>
      <x:c r="G14" s="26" t="str"/>
      <x:c r="H14" s="26" t="str"/>
      <x:c r="I14" s="26" t="str">
        <x:f>IF(G14="","OPEN",IF(AND(F14=C14,H14&lt;&gt;""),"PASS","FAIL"))</x:f>
        <x:v>OPEN</x:v>
      </x:c>
    </x:row>
    <x:row r="15">
      <x:c r="B15" s="26" t="str">
        <x:v>PH-09</x:v>
      </x:c>
      <x:c r="C15" s="26" t="n">
        <x:v>9</x:v>
      </x:c>
      <x:c r="D15" s="26" t="n">
        <x:v>-30</x:v>
      </x:c>
      <x:c r="E15" s="26" t="str">
        <x:v>evidence armed</x:v>
      </x:c>
      <x:c r="F15" s="26" t="str"/>
      <x:c r="G15" s="26" t="str"/>
      <x:c r="H15" s="26" t="str"/>
      <x:c r="I15" s="26" t="str">
        <x:f>IF(G15="","OPEN",IF(AND(F15=C15,H15&lt;&gt;""),"PASS","FAIL"))</x:f>
        <x:v>OPEN</x:v>
      </x:c>
    </x:row>
    <x:row r="16">
      <x:c r="B16" s="26" t="str">
        <x:v>PH-10</x:v>
      </x:c>
      <x:c r="C16" s="26" t="n">
        <x:v>10</x:v>
      </x:c>
      <x:c r="D16" s="26" t="n">
        <x:v>-10</x:v>
      </x:c>
      <x:c r="E16" s="26" t="str">
        <x:v>final issue poll</x:v>
      </x:c>
      <x:c r="F16" s="26" t="str"/>
      <x:c r="G16" s="26" t="str"/>
      <x:c r="H16" s="26" t="str"/>
      <x:c r="I16" s="26" t="str">
        <x:f>IF(G16="","OPEN",IF(AND(F16=C16,H16&lt;&gt;""),"PASS","FAIL"))</x:f>
        <x:v>OPEN</x:v>
      </x:c>
    </x:row>
    <x:row r="17">
      <x:c r="B17" s="26" t="str">
        <x:v>PH-11</x:v>
      </x:c>
      <x:c r="C17" s="26" t="n">
        <x:v>11</x:v>
      </x:c>
      <x:c r="D17" s="26" t="n">
        <x:v>-1</x:v>
      </x:c>
      <x:c r="E17" s="26" t="str">
        <x:v>full-rate acquisition</x:v>
      </x:c>
      <x:c r="F17" s="26" t="str"/>
      <x:c r="G17" s="26" t="str"/>
      <x:c r="H17" s="26" t="str"/>
      <x:c r="I17" s="26" t="str">
        <x:f>IF(G17="","OPEN",IF(AND(F17=C17,H17&lt;&gt;""),"PASS","FAIL"))</x:f>
        <x:v>OPEN</x:v>
      </x:c>
    </x:row>
    <x:row r="18">
      <x:c r="B18" s="26" t="str">
        <x:v>PH-12</x:v>
      </x:c>
      <x:c r="C18" s="26" t="n">
        <x:v>12</x:v>
      </x:c>
      <x:c r="D18" s="26" t="n">
        <x:v>-0.167</x:v>
      </x:c>
      <x:c r="E18" s="26" t="str">
        <x:v>route initial state</x:v>
      </x:c>
      <x:c r="F18" s="26" t="str"/>
      <x:c r="G18" s="26" t="str"/>
      <x:c r="H18" s="26" t="str"/>
      <x:c r="I18" s="26" t="str">
        <x:f>IF(G18="","OPEN",IF(AND(F18=C18,H18&lt;&gt;""),"PASS","FAIL"))</x:f>
        <x:v>OPEN</x:v>
      </x:c>
    </x:row>
    <x:row r="19">
      <x:c r="B19" s="26" t="str">
        <x:v>PH-13</x:v>
      </x:c>
      <x:c r="C19" s="26" t="n">
        <x:v>13</x:v>
      </x:c>
      <x:c r="D19" s="26" t="n">
        <x:v>0</x:v>
      </x:c>
      <x:c r="E19" s="26" t="str">
        <x:v>null-source command</x:v>
      </x:c>
      <x:c r="F19" s="26" t="str"/>
      <x:c r="G19" s="26" t="str"/>
      <x:c r="H19" s="26" t="str"/>
      <x:c r="I19" s="26" t="str">
        <x:f>IF(G19="","OPEN",IF(AND(F19=C19,H19&lt;&gt;""),"PASS","FAIL"))</x:f>
        <x:v>OPEN</x:v>
      </x:c>
    </x:row>
    <x:row r="20">
      <x:c r="B20" s="26" t="str">
        <x:v>PH-14</x:v>
      </x:c>
      <x:c r="C20" s="26" t="n">
        <x:v>14</x:v>
      </x:c>
      <x:c r="D20" s="26" t="n">
        <x:v>0.083</x:v>
      </x:c>
      <x:c r="E20" s="26" t="str">
        <x:v>route actuation observed</x:v>
      </x:c>
      <x:c r="F20" s="26" t="str"/>
      <x:c r="G20" s="26" t="str"/>
      <x:c r="H20" s="26" t="str"/>
      <x:c r="I20" s="26" t="str">
        <x:f>IF(G20="","OPEN",IF(AND(F20=C20,H20&lt;&gt;""),"PASS","FAIL"))</x:f>
        <x:v>OPEN</x:v>
      </x:c>
    </x:row>
    <x:row r="21">
      <x:c r="B21" s="26" t="str">
        <x:v>PH-15</x:v>
      </x:c>
      <x:c r="C21" s="26" t="n">
        <x:v>15</x:v>
      </x:c>
      <x:c r="D21" s="26" t="n">
        <x:v>0.25</x:v>
      </x:c>
      <x:c r="E21" s="26" t="str">
        <x:v>ignition prohibited confirmation</x:v>
      </x:c>
      <x:c r="F21" s="26" t="str"/>
      <x:c r="G21" s="26" t="str"/>
      <x:c r="H21" s="26" t="str"/>
      <x:c r="I21" s="26" t="str">
        <x:f>IF(G21="","OPEN",IF(AND(F21=C21,H21&lt;&gt;""),"PASS","FAIL"))</x:f>
        <x:v>OPEN</x:v>
      </x:c>
    </x:row>
    <x:row r="22">
      <x:c r="B22" s="26" t="str">
        <x:v>PH-16</x:v>
      </x:c>
      <x:c r="C22" s="26" t="n">
        <x:v>16</x:v>
      </x:c>
      <x:c r="D22" s="26" t="n">
        <x:v>0.5</x:v>
      </x:c>
      <x:c r="E22" s="26" t="str">
        <x:v>terminal-source decision</x:v>
      </x:c>
      <x:c r="F22" s="26" t="str"/>
      <x:c r="G22" s="26" t="str"/>
      <x:c r="H22" s="26" t="str"/>
      <x:c r="I22" s="26" t="str">
        <x:f>IF(G22="","OPEN",IF(AND(F22=C22,H22&lt;&gt;""),"PASS","FAIL"))</x:f>
        <x:v>OPEN</x:v>
      </x:c>
    </x:row>
    <x:row r="23">
      <x:c r="B23" s="26" t="str">
        <x:v>PH-17</x:v>
      </x:c>
      <x:c r="C23" s="26" t="n">
        <x:v>17</x:v>
      </x:c>
      <x:c r="D23" s="26" t="n">
        <x:v>2</x:v>
      </x:c>
      <x:c r="E23" s="26" t="str">
        <x:v>scheduled dispenser end and safeing</x:v>
      </x:c>
      <x:c r="F23" s="26" t="str"/>
      <x:c r="G23" s="26" t="str"/>
      <x:c r="H23" s="26" t="str"/>
      <x:c r="I23" s="26" t="str">
        <x:f>IF(G23="","OPEN",IF(AND(F23=C23,H23&lt;&gt;""),"PASS","FAIL"))</x:f>
        <x:v>OPEN</x:v>
      </x:c>
    </x:row>
    <x:row r="24">
      <x:c r="B24" s="26" t="str">
        <x:v>PH-18</x:v>
      </x:c>
      <x:c r="C24" s="26" t="n">
        <x:v>18</x:v>
      </x:c>
      <x:c r="D24" s="26" t="n">
        <x:v>15</x:v>
      </x:c>
      <x:c r="E24" s="26" t="str">
        <x:v>source-water-environment classification</x:v>
      </x:c>
      <x:c r="F24" s="26" t="str"/>
      <x:c r="G24" s="26" t="str"/>
      <x:c r="H24" s="26" t="str"/>
      <x:c r="I24" s="26" t="str">
        <x:f>IF(G24="","OPEN",IF(AND(F24=C24,H24&lt;&gt;""),"PASS","FAIL"))</x:f>
        <x:v>OPEN</x:v>
      </x:c>
    </x:row>
    <x:row r="25">
      <x:c r="B25" s="26" t="str">
        <x:v>PH-19</x:v>
      </x:c>
      <x:c r="C25" s="26" t="n">
        <x:v>19</x:v>
      </x:c>
      <x:c r="D25" s="26" t="n">
        <x:v>30</x:v>
      </x:c>
      <x:c r="E25" s="26" t="str">
        <x:v>intervention and rescue classification</x:v>
      </x:c>
      <x:c r="F25" s="26" t="str"/>
      <x:c r="G25" s="26" t="str"/>
      <x:c r="H25" s="26" t="str"/>
      <x:c r="I25" s="26" t="str">
        <x:f>IF(G25="","OPEN",IF(AND(F25=C25,H25&lt;&gt;""),"PASS","FAIL"))</x:f>
        <x:v>OPEN</x:v>
      </x:c>
    </x:row>
    <x:row r="26">
      <x:c r="B26" s="26" t="str">
        <x:v>PH-20</x:v>
      </x:c>
      <x:c r="C26" s="26" t="n">
        <x:v>20</x:v>
      </x:c>
      <x:c r="D26" s="26" t="n">
        <x:v>60</x:v>
      </x:c>
      <x:c r="E26" s="26" t="str">
        <x:v>remote-entry class</x:v>
      </x:c>
      <x:c r="F26" s="26" t="str"/>
      <x:c r="G26" s="26" t="str"/>
      <x:c r="H26" s="26" t="str"/>
      <x:c r="I26" s="26" t="str">
        <x:f>IF(G26="","OPEN",IF(AND(F26=C26,H26&lt;&gt;""),"PASS","FAIL"))</x:f>
        <x:v>OPEN</x:v>
      </x:c>
    </x:row>
    <x:row r="27">
      <x:c r="B27" s="26" t="str">
        <x:v>PH-21</x:v>
      </x:c>
      <x:c r="C27" s="26" t="n">
        <x:v>21</x:v>
      </x:c>
      <x:c r="D27" s="26" t="n">
        <x:v>360</x:v>
      </x:c>
      <x:c r="E27" s="26" t="str">
        <x:v>evidence tail</x:v>
      </x:c>
      <x:c r="F27" s="26" t="str"/>
      <x:c r="G27" s="26" t="str"/>
      <x:c r="H27" s="26" t="str"/>
      <x:c r="I27" s="26" t="str">
        <x:f>IF(G27="","OPEN",IF(AND(F27=C27,H27&lt;&gt;""),"PASS","FAIL"))</x:f>
        <x:v>OPEN</x:v>
      </x:c>
    </x:row>
    <x:row r="28">
      <x:c r="B28" s="26" t="str">
        <x:v>PH-22</x:v>
      </x:c>
      <x:c r="C28" s="26" t="n">
        <x:v>22</x:v>
      </x:c>
      <x:c r="D28" s="26" t="n">
        <x:v>1440</x:v>
      </x:c>
      <x:c r="E28" s="26" t="str">
        <x:v>ledgers and samples</x:v>
      </x:c>
      <x:c r="F28" s="26" t="str"/>
      <x:c r="G28" s="26" t="str"/>
      <x:c r="H28" s="26" t="str"/>
      <x:c r="I28" s="26" t="str">
        <x:f>IF(G28="","OPEN",IF(AND(F28=C28,H28&lt;&gt;""),"PASS","FAIL"))</x:f>
        <x:v>OPEN</x:v>
      </x:c>
    </x:row>
    <x:row r="29">
      <x:c r="B29" s="26" t="str">
        <x:v>PH-23</x:v>
      </x:c>
      <x:c r="C29" s="26" t="n">
        <x:v>23</x:v>
      </x:c>
      <x:c r="D29" s="26" t="n">
        <x:v>4320</x:v>
      </x:c>
      <x:c r="E29" s="26" t="str">
        <x:v>packet freeze and replay</x:v>
      </x:c>
      <x:c r="F29" s="26" t="str"/>
      <x:c r="G29" s="26" t="str"/>
      <x:c r="H29" s="26" t="str"/>
      <x:c r="I29" s="26" t="str">
        <x:f>IF(G29="","OPEN",IF(AND(F29=C29,H29&lt;&gt;""),"PASS","FAIL"))</x:f>
        <x:v>OPEN</x:v>
      </x:c>
    </x:row>
    <x:row r="30">
      <x:c r="B30" s="26" t="str">
        <x:v>PH-24</x:v>
      </x:c>
      <x:c r="C30" s="26" t="n">
        <x:v>24</x:v>
      </x:c>
      <x:c r="D30" s="26" t="n">
        <x:v>10080</x:v>
      </x:c>
      <x:c r="E30" s="26" t="str">
        <x:v>validity, outcome and regeneration board</x:v>
      </x:c>
      <x:c r="F30" s="26" t="str"/>
      <x:c r="G30" s="26" t="str"/>
      <x:c r="H30" s="26" t="str"/>
      <x:c r="I30" s="26" t="str">
        <x:f>IF(G30="","OPEN",IF(AND(F30=C30,H30&lt;&gt;""),"PASS","FAIL"))</x:f>
        <x:v>OPEN</x:v>
      </x:c>
    </x:row>
  </x:sheetData>
  <x:conditionalFormatting sqref="I7:I30">
    <x:cfRule type="containsText" dxfId="144" priority="1" operator="containsText" text="FAIL"/>
    <x:cfRule type="containsText" dxfId="145" priority="2" operator="containsText" text="BLOCKED"/>
    <x:cfRule type="containsText" dxfId="146" priority="3" operator="containsText" text="INVALID"/>
    <x:cfRule type="containsText" dxfId="147" priority="4" operator="containsText" text="ADVERSE"/>
    <x:cfRule type="containsText" dxfId="148" priority="5" operator="containsText" text="EXPIRED"/>
    <x:cfRule type="containsText" dxfId="149" priority="6" operator="containsText" text="OPEN"/>
    <x:cfRule type="containsText" dxfId="150" priority="7" operator="containsText" text="DORMANT"/>
    <x:cfRule type="containsText" dxfId="151" priority="8" operator="containsText" text="PASS"/>
    <x:cfRule type="containsText" dxfId="152" priority="9" operator="containsText" text="AVAILABLE"/>
  </x:conditionalFormatting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5" hidden="0" customWidth="1"/>
    <x:col min="3" max="3" width="21" hidden="0" customWidth="1"/>
    <x:col min="4" max="4" width="31" hidden="0" customWidth="1"/>
    <x:col min="5" max="5" width="19" hidden="0" customWidth="1"/>
    <x:col min="6" max="6" width="20" hidden="0" customWidth="1"/>
    <x:col min="7" max="7" width="35" hidden="0" customWidth="1"/>
    <x:col min="8" max="8" width="21" hidden="0" customWidth="1"/>
    <x:col min="9" max="9" width="14" hidden="0" customWidth="1"/>
  </x:cols>
  <x:sheetData>
    <x:row r="2">
      <x:c r="B2" s="39" t="str">
        <x:v>Thirty-two event-specific holds</x:v>
      </x:c>
      <x:c r="C2" s="26"/>
      <x:c r="D2" s="26"/>
      <x:c r="E2" s="26"/>
      <x:c r="F2" s="26"/>
      <x:c r="G2" s="26"/>
      <x:c r="H2" s="26"/>
      <x:c r="I2" s="26"/>
    </x:row>
    <x:row r="3">
      <x:c r="B3" s="40" t="str">
        <x:v>Each domain answers identity, capacity, state and accountable acceptance for this event. Prior campaign holds cannot be reused silently.</x:v>
      </x:c>
      <x:c r="C3" s="26"/>
      <x:c r="D3" s="26"/>
      <x:c r="E3" s="26"/>
      <x:c r="F3" s="26"/>
      <x:c r="G3" s="26"/>
      <x:c r="H3" s="26"/>
      <x:c r="I3" s="26"/>
    </x:row>
    <x:row r="4">
      <x:c r="B4" s="26"/>
      <x:c r="C4" s="26"/>
      <x:c r="D4" s="26"/>
      <x:c r="E4" s="26"/>
      <x:c r="F4" s="26"/>
      <x:c r="G4" s="26"/>
      <x:c r="H4" s="26"/>
      <x:c r="I4" s="26"/>
    </x:row>
    <x:row r="5">
      <x:c r="B5" s="26"/>
      <x:c r="C5" s="26"/>
      <x:c r="D5" s="26"/>
      <x:c r="E5" s="26"/>
      <x:c r="F5" s="26"/>
      <x:c r="G5" s="26"/>
      <x:c r="H5" s="26"/>
      <x:c r="I5" s="26"/>
    </x:row>
    <x:row r="6" ht="24" customHeight="1">
      <x:c r="B6" s="41" t="str">
        <x:v>Hold</x:v>
      </x:c>
      <x:c r="C6" s="41" t="str">
        <x:v>Domain</x:v>
      </x:c>
      <x:c r="D6" s="41" t="str">
        <x:v>Question</x:v>
      </x:c>
      <x:c r="E6" s="41" t="str">
        <x:v>Required state</x:v>
      </x:c>
      <x:c r="F6" s="41" t="str">
        <x:v>Observed state</x:v>
      </x:c>
      <x:c r="G6" s="41" t="str">
        <x:v>Evidence root</x:v>
      </x:c>
      <x:c r="H6" s="41" t="str">
        <x:v>Accepted UTC</x:v>
      </x:c>
      <x:c r="I6" s="41" t="str">
        <x:v>State</x:v>
      </x:c>
    </x:row>
    <x:row r="7">
      <x:c r="B7" s="26" t="str">
        <x:v>HD-01</x:v>
      </x:c>
      <x:c r="C7" s="26" t="str">
        <x:v>configuration</x:v>
      </x:c>
      <x:c r="D7" s="26" t="str">
        <x:v>identity</x:v>
      </x:c>
      <x:c r="E7" s="26" t="str">
        <x:v>HELD</x:v>
      </x:c>
      <x:c r="F7" s="26" t="str"/>
      <x:c r="G7" s="26" t="str"/>
      <x:c r="H7" s="26" t="str"/>
      <x:c r="I7" s="26" t="str">
        <x:f>IF(H7="","OPEN",IF(AND(F7=E7,G7&lt;&gt;""),"PASS","FAIL"))</x:f>
        <x:v>OPEN</x:v>
      </x:c>
    </x:row>
    <x:row r="8">
      <x:c r="B8" s="26" t="str">
        <x:v>HD-02</x:v>
      </x:c>
      <x:c r="C8" s="26" t="str">
        <x:v>configuration</x:v>
      </x:c>
      <x:c r="D8" s="26" t="str">
        <x:v>capacity</x:v>
      </x:c>
      <x:c r="E8" s="26" t="str">
        <x:v>HELD</x:v>
      </x:c>
      <x:c r="F8" s="26" t="str"/>
      <x:c r="G8" s="26" t="str"/>
      <x:c r="H8" s="26" t="str"/>
      <x:c r="I8" s="26" t="str">
        <x:f>IF(H8="","OPEN",IF(AND(F8=E8,G8&lt;&gt;""),"PASS","FAIL"))</x:f>
        <x:v>OPEN</x:v>
      </x:c>
    </x:row>
    <x:row r="9">
      <x:c r="B9" s="26" t="str">
        <x:v>HD-03</x:v>
      </x:c>
      <x:c r="C9" s="26" t="str">
        <x:v>configuration</x:v>
      </x:c>
      <x:c r="D9" s="26" t="str">
        <x:v>state</x:v>
      </x:c>
      <x:c r="E9" s="26" t="str">
        <x:v>HELD</x:v>
      </x:c>
      <x:c r="F9" s="26" t="str"/>
      <x:c r="G9" s="26" t="str"/>
      <x:c r="H9" s="26" t="str"/>
      <x:c r="I9" s="26" t="str">
        <x:f>IF(H9="","OPEN",IF(AND(F9=E9,G9&lt;&gt;""),"PASS","FAIL"))</x:f>
        <x:v>OPEN</x:v>
      </x:c>
    </x:row>
    <x:row r="10">
      <x:c r="B10" s="26" t="str">
        <x:v>HD-04</x:v>
      </x:c>
      <x:c r="C10" s="26" t="str">
        <x:v>configuration</x:v>
      </x:c>
      <x:c r="D10" s="26" t="str">
        <x:v>accountable acceptance</x:v>
      </x:c>
      <x:c r="E10" s="26" t="str">
        <x:v>HELD</x:v>
      </x:c>
      <x:c r="F10" s="26" t="str"/>
      <x:c r="G10" s="26" t="str"/>
      <x:c r="H10" s="26" t="str"/>
      <x:c r="I10" s="26" t="str">
        <x:f>IF(H10="","OPEN",IF(AND(F10=E10,G10&lt;&gt;""),"PASS","FAIL"))</x:f>
        <x:v>OPEN</x:v>
      </x:c>
    </x:row>
    <x:row r="11">
      <x:c r="B11" s="26" t="str">
        <x:v>HD-05</x:v>
      </x:c>
      <x:c r="C11" s="26" t="str">
        <x:v>source zero</x:v>
      </x:c>
      <x:c r="D11" s="26" t="str">
        <x:v>identity</x:v>
      </x:c>
      <x:c r="E11" s="26" t="str">
        <x:v>HELD</x:v>
      </x:c>
      <x:c r="F11" s="26" t="str"/>
      <x:c r="G11" s="26" t="str"/>
      <x:c r="H11" s="26" t="str"/>
      <x:c r="I11" s="26" t="str">
        <x:f>IF(H11="","OPEN",IF(AND(F11=E11,G11&lt;&gt;""),"PASS","FAIL"))</x:f>
        <x:v>OPEN</x:v>
      </x:c>
    </x:row>
    <x:row r="12">
      <x:c r="B12" s="26" t="str">
        <x:v>HD-06</x:v>
      </x:c>
      <x:c r="C12" s="26" t="str">
        <x:v>source zero</x:v>
      </x:c>
      <x:c r="D12" s="26" t="str">
        <x:v>capacity</x:v>
      </x:c>
      <x:c r="E12" s="26" t="str">
        <x:v>HELD</x:v>
      </x:c>
      <x:c r="F12" s="26" t="str"/>
      <x:c r="G12" s="26" t="str"/>
      <x:c r="H12" s="26" t="str"/>
      <x:c r="I12" s="26" t="str">
        <x:f>IF(H12="","OPEN",IF(AND(F12=E12,G12&lt;&gt;""),"PASS","FAIL"))</x:f>
        <x:v>OPEN</x:v>
      </x:c>
    </x:row>
    <x:row r="13">
      <x:c r="B13" s="26" t="str">
        <x:v>HD-07</x:v>
      </x:c>
      <x:c r="C13" s="26" t="str">
        <x:v>source zero</x:v>
      </x:c>
      <x:c r="D13" s="26" t="str">
        <x:v>state</x:v>
      </x:c>
      <x:c r="E13" s="26" t="str">
        <x:v>HELD</x:v>
      </x:c>
      <x:c r="F13" s="26" t="str"/>
      <x:c r="G13" s="26" t="str"/>
      <x:c r="H13" s="26" t="str"/>
      <x:c r="I13" s="26" t="str">
        <x:f>IF(H13="","OPEN",IF(AND(F13=E13,G13&lt;&gt;""),"PASS","FAIL"))</x:f>
        <x:v>OPEN</x:v>
      </x:c>
    </x:row>
    <x:row r="14">
      <x:c r="B14" s="26" t="str">
        <x:v>HD-08</x:v>
      </x:c>
      <x:c r="C14" s="26" t="str">
        <x:v>source zero</x:v>
      </x:c>
      <x:c r="D14" s="26" t="str">
        <x:v>accountable acceptance</x:v>
      </x:c>
      <x:c r="E14" s="26" t="str">
        <x:v>HELD</x:v>
      </x:c>
      <x:c r="F14" s="26" t="str"/>
      <x:c r="G14" s="26" t="str"/>
      <x:c r="H14" s="26" t="str"/>
      <x:c r="I14" s="26" t="str">
        <x:f>IF(H14="","OPEN",IF(AND(F14=E14,G14&lt;&gt;""),"PASS","FAIL"))</x:f>
        <x:v>OPEN</x:v>
      </x:c>
    </x:row>
    <x:row r="15">
      <x:c r="B15" s="26" t="str">
        <x:v>HD-09</x:v>
      </x:c>
      <x:c r="C15" s="26" t="str">
        <x:v>containment</x:v>
      </x:c>
      <x:c r="D15" s="26" t="str">
        <x:v>identity</x:v>
      </x:c>
      <x:c r="E15" s="26" t="str">
        <x:v>HELD</x:v>
      </x:c>
      <x:c r="F15" s="26" t="str"/>
      <x:c r="G15" s="26" t="str"/>
      <x:c r="H15" s="26" t="str"/>
      <x:c r="I15" s="26" t="str">
        <x:f>IF(H15="","OPEN",IF(AND(F15=E15,G15&lt;&gt;""),"PASS","FAIL"))</x:f>
        <x:v>OPEN</x:v>
      </x:c>
    </x:row>
    <x:row r="16">
      <x:c r="B16" s="26" t="str">
        <x:v>HD-10</x:v>
      </x:c>
      <x:c r="C16" s="26" t="str">
        <x:v>containment</x:v>
      </x:c>
      <x:c r="D16" s="26" t="str">
        <x:v>capacity</x:v>
      </x:c>
      <x:c r="E16" s="26" t="str">
        <x:v>HELD</x:v>
      </x:c>
      <x:c r="F16" s="26" t="str"/>
      <x:c r="G16" s="26" t="str"/>
      <x:c r="H16" s="26" t="str"/>
      <x:c r="I16" s="26" t="str">
        <x:f>IF(H16="","OPEN",IF(AND(F16=E16,G16&lt;&gt;""),"PASS","FAIL"))</x:f>
        <x:v>OPEN</x:v>
      </x:c>
    </x:row>
    <x:row r="17">
      <x:c r="B17" s="26" t="str">
        <x:v>HD-11</x:v>
      </x:c>
      <x:c r="C17" s="26" t="str">
        <x:v>containment</x:v>
      </x:c>
      <x:c r="D17" s="26" t="str">
        <x:v>state</x:v>
      </x:c>
      <x:c r="E17" s="26" t="str">
        <x:v>HELD</x:v>
      </x:c>
      <x:c r="F17" s="26" t="str"/>
      <x:c r="G17" s="26" t="str"/>
      <x:c r="H17" s="26" t="str"/>
      <x:c r="I17" s="26" t="str">
        <x:f>IF(H17="","OPEN",IF(AND(F17=E17,G17&lt;&gt;""),"PASS","FAIL"))</x:f>
        <x:v>OPEN</x:v>
      </x:c>
    </x:row>
    <x:row r="18">
      <x:c r="B18" s="26" t="str">
        <x:v>HD-12</x:v>
      </x:c>
      <x:c r="C18" s="26" t="str">
        <x:v>containment</x:v>
      </x:c>
      <x:c r="D18" s="26" t="str">
        <x:v>accountable acceptance</x:v>
      </x:c>
      <x:c r="E18" s="26" t="str">
        <x:v>HELD</x:v>
      </x:c>
      <x:c r="F18" s="26" t="str"/>
      <x:c r="G18" s="26" t="str"/>
      <x:c r="H18" s="26" t="str"/>
      <x:c r="I18" s="26" t="str">
        <x:f>IF(H18="","OPEN",IF(AND(F18=E18,G18&lt;&gt;""),"PASS","FAIL"))</x:f>
        <x:v>OPEN</x:v>
      </x:c>
    </x:row>
    <x:row r="19">
      <x:c r="B19" s="26" t="str">
        <x:v>HD-13</x:v>
      </x:c>
      <x:c r="C19" s="26" t="str">
        <x:v>water zero</x:v>
      </x:c>
      <x:c r="D19" s="26" t="str">
        <x:v>identity</x:v>
      </x:c>
      <x:c r="E19" s="26" t="str">
        <x:v>HELD</x:v>
      </x:c>
      <x:c r="F19" s="26" t="str"/>
      <x:c r="G19" s="26" t="str"/>
      <x:c r="H19" s="26" t="str"/>
      <x:c r="I19" s="26" t="str">
        <x:f>IF(H19="","OPEN",IF(AND(F19=E19,G19&lt;&gt;""),"PASS","FAIL"))</x:f>
        <x:v>OPEN</x:v>
      </x:c>
    </x:row>
    <x:row r="20">
      <x:c r="B20" s="26" t="str">
        <x:v>HD-14</x:v>
      </x:c>
      <x:c r="C20" s="26" t="str">
        <x:v>water zero</x:v>
      </x:c>
      <x:c r="D20" s="26" t="str">
        <x:v>capacity</x:v>
      </x:c>
      <x:c r="E20" s="26" t="str">
        <x:v>HELD</x:v>
      </x:c>
      <x:c r="F20" s="26" t="str"/>
      <x:c r="G20" s="26" t="str"/>
      <x:c r="H20" s="26" t="str"/>
      <x:c r="I20" s="26" t="str">
        <x:f>IF(H20="","OPEN",IF(AND(F20=E20,G20&lt;&gt;""),"PASS","FAIL"))</x:f>
        <x:v>OPEN</x:v>
      </x:c>
    </x:row>
    <x:row r="21">
      <x:c r="B21" s="26" t="str">
        <x:v>HD-15</x:v>
      </x:c>
      <x:c r="C21" s="26" t="str">
        <x:v>water zero</x:v>
      </x:c>
      <x:c r="D21" s="26" t="str">
        <x:v>state</x:v>
      </x:c>
      <x:c r="E21" s="26" t="str">
        <x:v>HELD</x:v>
      </x:c>
      <x:c r="F21" s="26" t="str"/>
      <x:c r="G21" s="26" t="str"/>
      <x:c r="H21" s="26" t="str"/>
      <x:c r="I21" s="26" t="str">
        <x:f>IF(H21="","OPEN",IF(AND(F21=E21,G21&lt;&gt;""),"PASS","FAIL"))</x:f>
        <x:v>OPEN</x:v>
      </x:c>
    </x:row>
    <x:row r="22">
      <x:c r="B22" s="26" t="str">
        <x:v>HD-16</x:v>
      </x:c>
      <x:c r="C22" s="26" t="str">
        <x:v>water zero</x:v>
      </x:c>
      <x:c r="D22" s="26" t="str">
        <x:v>accountable acceptance</x:v>
      </x:c>
      <x:c r="E22" s="26" t="str">
        <x:v>HELD</x:v>
      </x:c>
      <x:c r="F22" s="26" t="str"/>
      <x:c r="G22" s="26" t="str"/>
      <x:c r="H22" s="26" t="str"/>
      <x:c r="I22" s="26" t="str">
        <x:f>IF(H22="","OPEN",IF(AND(F22=E22,G22&lt;&gt;""),"PASS","FAIL"))</x:f>
        <x:v>OPEN</x:v>
      </x:c>
    </x:row>
    <x:row r="23">
      <x:c r="B23" s="26" t="str">
        <x:v>HD-17</x:v>
      </x:c>
      <x:c r="C23" s="26" t="str">
        <x:v>safeing</x:v>
      </x:c>
      <x:c r="D23" s="26" t="str">
        <x:v>identity</x:v>
      </x:c>
      <x:c r="E23" s="26" t="str">
        <x:v>HELD</x:v>
      </x:c>
      <x:c r="F23" s="26" t="str"/>
      <x:c r="G23" s="26" t="str"/>
      <x:c r="H23" s="26" t="str"/>
      <x:c r="I23" s="26" t="str">
        <x:f>IF(H23="","OPEN",IF(AND(F23=E23,G23&lt;&gt;""),"PASS","FAIL"))</x:f>
        <x:v>OPEN</x:v>
      </x:c>
    </x:row>
    <x:row r="24">
      <x:c r="B24" s="26" t="str">
        <x:v>HD-18</x:v>
      </x:c>
      <x:c r="C24" s="26" t="str">
        <x:v>safeing</x:v>
      </x:c>
      <x:c r="D24" s="26" t="str">
        <x:v>capacity</x:v>
      </x:c>
      <x:c r="E24" s="26" t="str">
        <x:v>HELD</x:v>
      </x:c>
      <x:c r="F24" s="26" t="str"/>
      <x:c r="G24" s="26" t="str"/>
      <x:c r="H24" s="26" t="str"/>
      <x:c r="I24" s="26" t="str">
        <x:f>IF(H24="","OPEN",IF(AND(F24=E24,G24&lt;&gt;""),"PASS","FAIL"))</x:f>
        <x:v>OPEN</x:v>
      </x:c>
    </x:row>
    <x:row r="25">
      <x:c r="B25" s="26" t="str">
        <x:v>HD-19</x:v>
      </x:c>
      <x:c r="C25" s="26" t="str">
        <x:v>safeing</x:v>
      </x:c>
      <x:c r="D25" s="26" t="str">
        <x:v>state</x:v>
      </x:c>
      <x:c r="E25" s="26" t="str">
        <x:v>HELD</x:v>
      </x:c>
      <x:c r="F25" s="26" t="str"/>
      <x:c r="G25" s="26" t="str"/>
      <x:c r="H25" s="26" t="str"/>
      <x:c r="I25" s="26" t="str">
        <x:f>IF(H25="","OPEN",IF(AND(F25=E25,G25&lt;&gt;""),"PASS","FAIL"))</x:f>
        <x:v>OPEN</x:v>
      </x:c>
    </x:row>
    <x:row r="26">
      <x:c r="B26" s="26" t="str">
        <x:v>HD-20</x:v>
      </x:c>
      <x:c r="C26" s="26" t="str">
        <x:v>safeing</x:v>
      </x:c>
      <x:c r="D26" s="26" t="str">
        <x:v>accountable acceptance</x:v>
      </x:c>
      <x:c r="E26" s="26" t="str">
        <x:v>HELD</x:v>
      </x:c>
      <x:c r="F26" s="26" t="str"/>
      <x:c r="G26" s="26" t="str"/>
      <x:c r="H26" s="26" t="str"/>
      <x:c r="I26" s="26" t="str">
        <x:f>IF(H26="","OPEN",IF(AND(F26=E26,G26&lt;&gt;""),"PASS","FAIL"))</x:f>
        <x:v>OPEN</x:v>
      </x:c>
    </x:row>
    <x:row r="27">
      <x:c r="B27" s="26" t="str">
        <x:v>HD-21</x:v>
      </x:c>
      <x:c r="C27" s="26" t="str">
        <x:v>evidence</x:v>
      </x:c>
      <x:c r="D27" s="26" t="str">
        <x:v>identity</x:v>
      </x:c>
      <x:c r="E27" s="26" t="str">
        <x:v>HELD</x:v>
      </x:c>
      <x:c r="F27" s="26" t="str"/>
      <x:c r="G27" s="26" t="str"/>
      <x:c r="H27" s="26" t="str"/>
      <x:c r="I27" s="26" t="str">
        <x:f>IF(H27="","OPEN",IF(AND(F27=E27,G27&lt;&gt;""),"PASS","FAIL"))</x:f>
        <x:v>OPEN</x:v>
      </x:c>
    </x:row>
    <x:row r="28">
      <x:c r="B28" s="26" t="str">
        <x:v>HD-22</x:v>
      </x:c>
      <x:c r="C28" s="26" t="str">
        <x:v>evidence</x:v>
      </x:c>
      <x:c r="D28" s="26" t="str">
        <x:v>capacity</x:v>
      </x:c>
      <x:c r="E28" s="26" t="str">
        <x:v>HELD</x:v>
      </x:c>
      <x:c r="F28" s="26" t="str"/>
      <x:c r="G28" s="26" t="str"/>
      <x:c r="H28" s="26" t="str"/>
      <x:c r="I28" s="26" t="str">
        <x:f>IF(H28="","OPEN",IF(AND(F28=E28,G28&lt;&gt;""),"PASS","FAIL"))</x:f>
        <x:v>OPEN</x:v>
      </x:c>
    </x:row>
    <x:row r="29">
      <x:c r="B29" s="26" t="str">
        <x:v>HD-23</x:v>
      </x:c>
      <x:c r="C29" s="26" t="str">
        <x:v>evidence</x:v>
      </x:c>
      <x:c r="D29" s="26" t="str">
        <x:v>state</x:v>
      </x:c>
      <x:c r="E29" s="26" t="str">
        <x:v>HELD</x:v>
      </x:c>
      <x:c r="F29" s="26" t="str"/>
      <x:c r="G29" s="26" t="str"/>
      <x:c r="H29" s="26" t="str"/>
      <x:c r="I29" s="26" t="str">
        <x:f>IF(H29="","OPEN",IF(AND(F29=E29,G29&lt;&gt;""),"PASS","FAIL"))</x:f>
        <x:v>OPEN</x:v>
      </x:c>
    </x:row>
    <x:row r="30">
      <x:c r="B30" s="26" t="str">
        <x:v>HD-24</x:v>
      </x:c>
      <x:c r="C30" s="26" t="str">
        <x:v>evidence</x:v>
      </x:c>
      <x:c r="D30" s="26" t="str">
        <x:v>accountable acceptance</x:v>
      </x:c>
      <x:c r="E30" s="26" t="str">
        <x:v>HELD</x:v>
      </x:c>
      <x:c r="F30" s="26" t="str"/>
      <x:c r="G30" s="26" t="str"/>
      <x:c r="H30" s="26" t="str"/>
      <x:c r="I30" s="26" t="str">
        <x:f>IF(H30="","OPEN",IF(AND(F30=E30,G30&lt;&gt;""),"PASS","FAIL"))</x:f>
        <x:v>OPEN</x:v>
      </x:c>
    </x:row>
    <x:row r="31">
      <x:c r="B31" s="26" t="str">
        <x:v>HD-25</x:v>
      </x:c>
      <x:c r="C31" s="26" t="str">
        <x:v>environment</x:v>
      </x:c>
      <x:c r="D31" s="26" t="str">
        <x:v>identity</x:v>
      </x:c>
      <x:c r="E31" s="26" t="str">
        <x:v>HELD</x:v>
      </x:c>
      <x:c r="F31" s="26" t="str"/>
      <x:c r="G31" s="26" t="str"/>
      <x:c r="H31" s="26" t="str"/>
      <x:c r="I31" s="26" t="str">
        <x:f>IF(H31="","OPEN",IF(AND(F31=E31,G31&lt;&gt;""),"PASS","FAIL"))</x:f>
        <x:v>OPEN</x:v>
      </x:c>
    </x:row>
    <x:row r="32">
      <x:c r="B32" s="26" t="str">
        <x:v>HD-26</x:v>
      </x:c>
      <x:c r="C32" s="26" t="str">
        <x:v>environment</x:v>
      </x:c>
      <x:c r="D32" s="26" t="str">
        <x:v>capacity</x:v>
      </x:c>
      <x:c r="E32" s="26" t="str">
        <x:v>HELD</x:v>
      </x:c>
      <x:c r="F32" s="26" t="str"/>
      <x:c r="G32" s="26" t="str"/>
      <x:c r="H32" s="26" t="str"/>
      <x:c r="I32" s="26" t="str">
        <x:f>IF(H32="","OPEN",IF(AND(F32=E32,G32&lt;&gt;""),"PASS","FAIL"))</x:f>
        <x:v>OPEN</x:v>
      </x:c>
    </x:row>
    <x:row r="33">
      <x:c r="B33" s="26" t="str">
        <x:v>HD-27</x:v>
      </x:c>
      <x:c r="C33" s="26" t="str">
        <x:v>environment</x:v>
      </x:c>
      <x:c r="D33" s="26" t="str">
        <x:v>state</x:v>
      </x:c>
      <x:c r="E33" s="26" t="str">
        <x:v>HELD</x:v>
      </x:c>
      <x:c r="F33" s="26" t="str"/>
      <x:c r="G33" s="26" t="str"/>
      <x:c r="H33" s="26" t="str"/>
      <x:c r="I33" s="26" t="str">
        <x:f>IF(H33="","OPEN",IF(AND(F33=E33,G33&lt;&gt;""),"PASS","FAIL"))</x:f>
        <x:v>OPEN</x:v>
      </x:c>
    </x:row>
    <x:row r="34">
      <x:c r="B34" s="26" t="str">
        <x:v>HD-28</x:v>
      </x:c>
      <x:c r="C34" s="26" t="str">
        <x:v>environment</x:v>
      </x:c>
      <x:c r="D34" s="26" t="str">
        <x:v>accountable acceptance</x:v>
      </x:c>
      <x:c r="E34" s="26" t="str">
        <x:v>HELD</x:v>
      </x:c>
      <x:c r="F34" s="26" t="str"/>
      <x:c r="G34" s="26" t="str"/>
      <x:c r="H34" s="26" t="str"/>
      <x:c r="I34" s="26" t="str">
        <x:f>IF(H34="","OPEN",IF(AND(F34=E34,G34&lt;&gt;""),"PASS","FAIL"))</x:f>
        <x:v>OPEN</x:v>
      </x:c>
    </x:row>
    <x:row r="35">
      <x:c r="B35" s="26" t="str">
        <x:v>HD-29</x:v>
      </x:c>
      <x:c r="C35" s="26" t="str">
        <x:v>authority</x:v>
      </x:c>
      <x:c r="D35" s="26" t="str">
        <x:v>identity</x:v>
      </x:c>
      <x:c r="E35" s="26" t="str">
        <x:v>HELD</x:v>
      </x:c>
      <x:c r="F35" s="26" t="str"/>
      <x:c r="G35" s="26" t="str"/>
      <x:c r="H35" s="26" t="str"/>
      <x:c r="I35" s="26" t="str">
        <x:f>IF(H35="","OPEN",IF(AND(F35=E35,G35&lt;&gt;""),"PASS","FAIL"))</x:f>
        <x:v>OPEN</x:v>
      </x:c>
    </x:row>
    <x:row r="36">
      <x:c r="B36" s="26" t="str">
        <x:v>HD-30</x:v>
      </x:c>
      <x:c r="C36" s="26" t="str">
        <x:v>authority</x:v>
      </x:c>
      <x:c r="D36" s="26" t="str">
        <x:v>capacity</x:v>
      </x:c>
      <x:c r="E36" s="26" t="str">
        <x:v>HELD</x:v>
      </x:c>
      <x:c r="F36" s="26" t="str"/>
      <x:c r="G36" s="26" t="str"/>
      <x:c r="H36" s="26" t="str"/>
      <x:c r="I36" s="26" t="str">
        <x:f>IF(H36="","OPEN",IF(AND(F36=E36,G36&lt;&gt;""),"PASS","FAIL"))</x:f>
        <x:v>OPEN</x:v>
      </x:c>
    </x:row>
    <x:row r="37">
      <x:c r="B37" s="26" t="str">
        <x:v>HD-31</x:v>
      </x:c>
      <x:c r="C37" s="26" t="str">
        <x:v>authority</x:v>
      </x:c>
      <x:c r="D37" s="26" t="str">
        <x:v>state</x:v>
      </x:c>
      <x:c r="E37" s="26" t="str">
        <x:v>HELD</x:v>
      </x:c>
      <x:c r="F37" s="26" t="str"/>
      <x:c r="G37" s="26" t="str"/>
      <x:c r="H37" s="26" t="str"/>
      <x:c r="I37" s="26" t="str">
        <x:f>IF(H37="","OPEN",IF(AND(F37=E37,G37&lt;&gt;""),"PASS","FAIL"))</x:f>
        <x:v>OPEN</x:v>
      </x:c>
    </x:row>
    <x:row r="38">
      <x:c r="B38" s="26" t="str">
        <x:v>HD-32</x:v>
      </x:c>
      <x:c r="C38" s="26" t="str">
        <x:v>authority</x:v>
      </x:c>
      <x:c r="D38" s="26" t="str">
        <x:v>accountable acceptance</x:v>
      </x:c>
      <x:c r="E38" s="26" t="str">
        <x:v>HELD</x:v>
      </x:c>
      <x:c r="F38" s="26" t="str"/>
      <x:c r="G38" s="26" t="str"/>
      <x:c r="H38" s="26" t="str"/>
      <x:c r="I38" s="26" t="str">
        <x:f>IF(H38="","OPEN",IF(AND(F38=E38,G38&lt;&gt;""),"PASS","FAIL"))</x:f>
        <x:v>OPEN</x:v>
      </x:c>
    </x:row>
  </x:sheetData>
  <x:conditionalFormatting sqref="I7:I38">
    <x:cfRule type="containsText" dxfId="153" priority="1" operator="containsText" text="FAIL"/>
    <x:cfRule type="containsText" dxfId="154" priority="2" operator="containsText" text="BLOCKED"/>
    <x:cfRule type="containsText" dxfId="155" priority="3" operator="containsText" text="INVALID"/>
    <x:cfRule type="containsText" dxfId="156" priority="4" operator="containsText" text="ADVERSE"/>
    <x:cfRule type="containsText" dxfId="157" priority="5" operator="containsText" text="EXPIRED"/>
    <x:cfRule type="containsText" dxfId="158" priority="6" operator="containsText" text="OPEN"/>
    <x:cfRule type="containsText" dxfId="159" priority="7" operator="containsText" text="DORMANT"/>
    <x:cfRule type="containsText" dxfId="160" priority="8" operator="containsText" text="PASS"/>
    <x:cfRule type="containsText" dxfId="161" priority="9" operator="containsText" text="AVAILABLE"/>
  </x:conditionalFormatting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7" hidden="0" customWidth="1"/>
    <x:col min="3" max="3" width="12" hidden="0" customWidth="1"/>
    <x:col min="4" max="4" width="45" hidden="0" customWidth="1"/>
    <x:col min="5" max="5" width="35" hidden="0" customWidth="1"/>
    <x:col min="6" max="6" width="35" hidden="0" customWidth="1"/>
    <x:col min="7" max="7" width="35" hidden="0" customWidth="1"/>
    <x:col min="8" max="8" width="21" hidden="0" customWidth="1"/>
    <x:col min="9" max="9" width="14" hidden="0" customWidth="1"/>
  </x:cols>
  <x:sheetData>
    <x:row r="2">
      <x:c r="B2" s="39" t="str">
        <x:v>Twelve native evidence obligations</x:v>
      </x:c>
      <x:c r="C2" s="26"/>
      <x:c r="D2" s="26"/>
      <x:c r="E2" s="26"/>
      <x:c r="F2" s="26"/>
      <x:c r="G2" s="26"/>
      <x:c r="H2" s="26"/>
      <x:c r="I2" s="26"/>
    </x:row>
    <x:row r="3">
      <x:c r="B3" s="40" t="str">
        <x:v>Two independent originals remain authoritative. The compiled dossier indexes and tests them but cannot replace them.</x:v>
      </x:c>
      <x:c r="C3" s="26"/>
      <x:c r="D3" s="26"/>
      <x:c r="E3" s="26"/>
      <x:c r="F3" s="26"/>
      <x:c r="G3" s="26"/>
      <x:c r="H3" s="26"/>
      <x:c r="I3" s="26"/>
    </x:row>
    <x:row r="4">
      <x:c r="B4" s="26"/>
      <x:c r="C4" s="26"/>
      <x:c r="D4" s="26"/>
      <x:c r="E4" s="26"/>
      <x:c r="F4" s="26"/>
      <x:c r="G4" s="26"/>
      <x:c r="H4" s="26"/>
      <x:c r="I4" s="26"/>
    </x:row>
    <x:row r="5">
      <x:c r="B5" s="26"/>
      <x:c r="C5" s="26"/>
      <x:c r="D5" s="26"/>
      <x:c r="E5" s="26"/>
      <x:c r="F5" s="26"/>
      <x:c r="G5" s="26"/>
      <x:c r="H5" s="26"/>
      <x:c r="I5" s="26"/>
    </x:row>
    <x:row r="6" ht="24" customHeight="1">
      <x:c r="B6" s="41" t="str">
        <x:v>Obligation</x:v>
      </x:c>
      <x:c r="C6" s="41" t="str">
        <x:v>Class</x:v>
      </x:c>
      <x:c r="D6" s="41" t="str">
        <x:v>Requirement</x:v>
      </x:c>
      <x:c r="E6" s="41" t="str">
        <x:v>Original A root</x:v>
      </x:c>
      <x:c r="F6" s="41" t="str">
        <x:v>Original B root</x:v>
      </x:c>
      <x:c r="G6" s="41" t="str">
        <x:v>Seal root</x:v>
      </x:c>
      <x:c r="H6" s="41" t="str">
        <x:v>Accepted UTC</x:v>
      </x:c>
      <x:c r="I6" s="41" t="str">
        <x:v>State</x:v>
      </x:c>
    </x:row>
    <x:row r="7">
      <x:c r="B7" s="26" t="str">
        <x:v>EO-01</x:v>
      </x:c>
      <x:c r="C7" s="26" t="n">
        <x:v>1</x:v>
      </x:c>
      <x:c r="D7" s="26" t="str">
        <x:v>registered baseline</x:v>
      </x:c>
      <x:c r="E7" s="26" t="str"/>
      <x:c r="F7" s="26" t="str"/>
      <x:c r="G7" s="26" t="str"/>
      <x:c r="H7" s="26" t="str"/>
      <x:c r="I7" s="26" t="str">
        <x:f>IF(H7="","OPEN",IF(AND(E7&lt;&gt;"",F7&lt;&gt;"",E7&lt;&gt;F7,G7&lt;&gt;""),"PASS","FAIL"))</x:f>
        <x:v>OPEN</x:v>
      </x:c>
    </x:row>
    <x:row r="8">
      <x:c r="B8" s="26" t="str">
        <x:v>EO-02</x:v>
      </x:c>
      <x:c r="C8" s="26" t="n">
        <x:v>2</x:v>
      </x:c>
      <x:c r="D8" s="26" t="str">
        <x:v>null-source command and mass</x:v>
      </x:c>
      <x:c r="E8" s="26" t="str"/>
      <x:c r="F8" s="26" t="str"/>
      <x:c r="G8" s="26" t="str"/>
      <x:c r="H8" s="26" t="str"/>
      <x:c r="I8" s="26" t="str">
        <x:f>IF(H8="","OPEN",IF(AND(E8&lt;&gt;"",F8&lt;&gt;"",E8&lt;&gt;F8,G8&lt;&gt;""),"PASS","FAIL"))</x:f>
        <x:v>OPEN</x:v>
      </x:c>
    </x:row>
    <x:row r="9">
      <x:c r="B9" s="26" t="str">
        <x:v>EO-03</x:v>
      </x:c>
      <x:c r="C9" s="26" t="n">
        <x:v>3</x:v>
      </x:c>
      <x:c r="D9" s="26" t="str">
        <x:v>final control states</x:v>
      </x:c>
      <x:c r="E9" s="26" t="str"/>
      <x:c r="F9" s="26" t="str"/>
      <x:c r="G9" s="26" t="str"/>
      <x:c r="H9" s="26" t="str"/>
      <x:c r="I9" s="26" t="str">
        <x:f>IF(H9="","OPEN",IF(AND(E9&lt;&gt;"",F9&lt;&gt;"",E9&lt;&gt;F9,G9&lt;&gt;""),"PASS","FAIL"))</x:f>
        <x:v>OPEN</x:v>
      </x:c>
    </x:row>
    <x:row r="10">
      <x:c r="B10" s="26" t="str">
        <x:v>EO-04</x:v>
      </x:c>
      <x:c r="C10" s="26" t="n">
        <x:v>4</x:v>
      </x:c>
      <x:c r="D10" s="26" t="str">
        <x:v>path timing</x:v>
      </x:c>
      <x:c r="E10" s="26" t="str"/>
      <x:c r="F10" s="26" t="str"/>
      <x:c r="G10" s="26" t="str"/>
      <x:c r="H10" s="26" t="str"/>
      <x:c r="I10" s="26" t="str">
        <x:f>IF(H10="","OPEN",IF(AND(E10&lt;&gt;"",F10&lt;&gt;"",E10&lt;&gt;F10,G10&lt;&gt;""),"PASS","FAIL"))</x:f>
        <x:v>OPEN</x:v>
      </x:c>
    </x:row>
    <x:row r="11">
      <x:c r="B11" s="26" t="str">
        <x:v>EO-05</x:v>
      </x:c>
      <x:c r="C11" s="26" t="n">
        <x:v>5</x:v>
      </x:c>
      <x:c r="D11" s="26" t="str">
        <x:v>receiver inventories</x:v>
      </x:c>
      <x:c r="E11" s="26" t="str"/>
      <x:c r="F11" s="26" t="str"/>
      <x:c r="G11" s="26" t="str"/>
      <x:c r="H11" s="26" t="str"/>
      <x:c r="I11" s="26" t="str">
        <x:f>IF(H11="","OPEN",IF(AND(E11&lt;&gt;"",F11&lt;&gt;"",E11&lt;&gt;F11,G11&lt;&gt;""),"PASS","FAIL"))</x:f>
        <x:v>OPEN</x:v>
      </x:c>
    </x:row>
    <x:row r="12">
      <x:c r="B12" s="26" t="str">
        <x:v>EO-06</x:v>
      </x:c>
      <x:c r="C12" s="26" t="n">
        <x:v>6</x:v>
      </x:c>
      <x:c r="D12" s="26" t="str">
        <x:v>thermal and ignition prohibition</x:v>
      </x:c>
      <x:c r="E12" s="26" t="str"/>
      <x:c r="F12" s="26" t="str"/>
      <x:c r="G12" s="26" t="str"/>
      <x:c r="H12" s="26" t="str"/>
      <x:c r="I12" s="26" t="str">
        <x:f>IF(H12="","OPEN",IF(AND(E12&lt;&gt;"",F12&lt;&gt;"",E12&lt;&gt;F12,G12&lt;&gt;""),"PASS","FAIL"))</x:f>
        <x:v>OPEN</x:v>
      </x:c>
    </x:row>
    <x:row r="13">
      <x:c r="B13" s="26" t="str">
        <x:v>EO-07</x:v>
      </x:c>
      <x:c r="C13" s="26" t="n">
        <x:v>7</x:v>
      </x:c>
      <x:c r="D13" s="26" t="str">
        <x:v>water state</x:v>
      </x:c>
      <x:c r="E13" s="26" t="str"/>
      <x:c r="F13" s="26" t="str"/>
      <x:c r="G13" s="26" t="str"/>
      <x:c r="H13" s="26" t="str"/>
      <x:c r="I13" s="26" t="str">
        <x:f>IF(H13="","OPEN",IF(AND(E13&lt;&gt;"",F13&lt;&gt;"",E13&lt;&gt;F13,G13&lt;&gt;""),"PASS","FAIL"))</x:f>
        <x:v>OPEN</x:v>
      </x:c>
    </x:row>
    <x:row r="14">
      <x:c r="B14" s="26" t="str">
        <x:v>EO-08</x:v>
      </x:c>
      <x:c r="C14" s="26" t="n">
        <x:v>8</x:v>
      </x:c>
      <x:c r="D14" s="26" t="str">
        <x:v>source and water ancestry blanks</x:v>
      </x:c>
      <x:c r="E14" s="26" t="str"/>
      <x:c r="F14" s="26" t="str"/>
      <x:c r="G14" s="26" t="str"/>
      <x:c r="H14" s="26" t="str"/>
      <x:c r="I14" s="26" t="str">
        <x:f>IF(H14="","OPEN",IF(AND(E14&lt;&gt;"",F14&lt;&gt;"",E14&lt;&gt;F14,G14&lt;&gt;""),"PASS","FAIL"))</x:f>
        <x:v>OPEN</x:v>
      </x:c>
    </x:row>
    <x:row r="15">
      <x:c r="B15" s="26" t="str">
        <x:v>EO-09</x:v>
      </x:c>
      <x:c r="C15" s="26" t="n">
        <x:v>9</x:v>
      </x:c>
      <x:c r="D15" s="26" t="str">
        <x:v>environment boundary</x:v>
      </x:c>
      <x:c r="E15" s="26" t="str"/>
      <x:c r="F15" s="26" t="str"/>
      <x:c r="G15" s="26" t="str"/>
      <x:c r="H15" s="26" t="str"/>
      <x:c r="I15" s="26" t="str">
        <x:f>IF(H15="","OPEN",IF(AND(E15&lt;&gt;"",F15&lt;&gt;"",E15&lt;&gt;F15,G15&lt;&gt;""),"PASS","FAIL"))</x:f>
        <x:v>OPEN</x:v>
      </x:c>
    </x:row>
    <x:row r="16">
      <x:c r="B16" s="26" t="str">
        <x:v>EO-10</x:v>
      </x:c>
      <x:c r="C16" s="26" t="n">
        <x:v>10</x:v>
      </x:c>
      <x:c r="D16" s="26" t="str">
        <x:v>neighbor state</x:v>
      </x:c>
      <x:c r="E16" s="26" t="str"/>
      <x:c r="F16" s="26" t="str"/>
      <x:c r="G16" s="26" t="str"/>
      <x:c r="H16" s="26" t="str"/>
      <x:c r="I16" s="26" t="str">
        <x:f>IF(H16="","OPEN",IF(AND(E16&lt;&gt;"",F16&lt;&gt;"",E16&lt;&gt;F16,G16&lt;&gt;""),"PASS","FAIL"))</x:f>
        <x:v>OPEN</x:v>
      </x:c>
    </x:row>
    <x:row r="17">
      <x:c r="B17" s="26" t="str">
        <x:v>EO-11</x:v>
      </x:c>
      <x:c r="C17" s="26" t="n">
        <x:v>11</x:v>
      </x:c>
      <x:c r="D17" s="26" t="str">
        <x:v>intervention history</x:v>
      </x:c>
      <x:c r="E17" s="26" t="str"/>
      <x:c r="F17" s="26" t="str"/>
      <x:c r="G17" s="26" t="str"/>
      <x:c r="H17" s="26" t="str"/>
      <x:c r="I17" s="26" t="str">
        <x:f>IF(H17="","OPEN",IF(AND(E17&lt;&gt;"",F17&lt;&gt;"",E17&lt;&gt;F17,G17&lt;&gt;""),"PASS","FAIL"))</x:f>
        <x:v>OPEN</x:v>
      </x:c>
    </x:row>
    <x:row r="18">
      <x:c r="B18" s="26" t="str">
        <x:v>EO-12</x:v>
      </x:c>
      <x:c r="C18" s="26" t="n">
        <x:v>12</x:v>
      </x:c>
      <x:c r="D18" s="26" t="str">
        <x:v>validity and outcome packet</x:v>
      </x:c>
      <x:c r="E18" s="26" t="str"/>
      <x:c r="F18" s="26" t="str"/>
      <x:c r="G18" s="26" t="str"/>
      <x:c r="H18" s="26" t="str"/>
      <x:c r="I18" s="26" t="str">
        <x:f>IF(H18="","OPEN",IF(AND(E18&lt;&gt;"",F18&lt;&gt;"",E18&lt;&gt;F18,G18&lt;&gt;""),"PASS","FAIL"))</x:f>
        <x:v>OPEN</x:v>
      </x:c>
    </x:row>
  </x:sheetData>
  <x:conditionalFormatting sqref="I7:I18">
    <x:cfRule type="containsText" dxfId="162" priority="1" operator="containsText" text="FAIL"/>
    <x:cfRule type="containsText" dxfId="163" priority="2" operator="containsText" text="BLOCKED"/>
    <x:cfRule type="containsText" dxfId="164" priority="3" operator="containsText" text="INVALID"/>
    <x:cfRule type="containsText" dxfId="165" priority="4" operator="containsText" text="ADVERSE"/>
    <x:cfRule type="containsText" dxfId="166" priority="5" operator="containsText" text="EXPIRED"/>
    <x:cfRule type="containsText" dxfId="167" priority="6" operator="containsText" text="OPEN"/>
    <x:cfRule type="containsText" dxfId="168" priority="7" operator="containsText" text="DORMANT"/>
    <x:cfRule type="containsText" dxfId="169" priority="8" operator="containsText" text="PASS"/>
    <x:cfRule type="containsText" dxfId="170" priority="9" operator="containsText" text="AVAILABLE"/>
  </x:conditionalFormatting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5" hidden="0" customWidth="1"/>
    <x:col min="3" max="3" width="12" hidden="0" customWidth="1"/>
    <x:col min="4" max="4" width="34" hidden="0" customWidth="1"/>
    <x:col min="5" max="5" width="18" hidden="0" customWidth="1"/>
    <x:col min="6" max="6" width="19" hidden="0" customWidth="1"/>
    <x:col min="7" max="7" width="20" hidden="0" customWidth="1"/>
    <x:col min="8" max="8" width="34" hidden="0" customWidth="1"/>
    <x:col min="9" max="9" width="34" hidden="0" customWidth="1"/>
    <x:col min="10" max="10" width="21" hidden="0" customWidth="1"/>
    <x:col min="11" max="11" width="14" hidden="0" customWidth="1"/>
  </x:cols>
  <x:sheetData>
    <x:row r="2">
      <x:c r="B2" s="39" t="str">
        <x:v>Six sealed blank-sample decisions</x:v>
      </x:c>
      <x:c r="C2" s="26"/>
      <x:c r="D2" s="26"/>
      <x:c r="E2" s="26"/>
      <x:c r="F2" s="26"/>
      <x:c r="G2" s="26"/>
      <x:c r="H2" s="26"/>
      <x:c r="I2" s="26"/>
      <x:c r="J2" s="26"/>
      <x:c r="K2" s="26"/>
    </x:row>
    <x:row r="3">
      <x:c r="B3" s="40" t="str">
        <x:v>A blank is a physical sample with a reported result, detection limit, custody root and retained archive.</x:v>
      </x:c>
      <x:c r="C3" s="26"/>
      <x:c r="D3" s="26"/>
      <x:c r="E3" s="26"/>
      <x:c r="F3" s="26"/>
      <x:c r="G3" s="26"/>
      <x:c r="H3" s="26"/>
      <x:c r="I3" s="26"/>
      <x:c r="J3" s="26"/>
      <x:c r="K3" s="26"/>
    </x:row>
    <x:row r="4">
      <x:c r="B4" s="26"/>
      <x:c r="C4" s="26"/>
      <x:c r="D4" s="26"/>
      <x:c r="E4" s="26"/>
      <x:c r="F4" s="26"/>
      <x:c r="G4" s="26"/>
      <x:c r="H4" s="26"/>
      <x:c r="I4" s="26"/>
      <x:c r="J4" s="26"/>
      <x:c r="K4" s="26"/>
    </x:row>
    <x:row r="5">
      <x:c r="B5" s="26"/>
      <x:c r="C5" s="26"/>
      <x:c r="D5" s="26"/>
      <x:c r="E5" s="26"/>
      <x:c r="F5" s="26"/>
      <x:c r="G5" s="26"/>
      <x:c r="H5" s="26"/>
      <x:c r="I5" s="26"/>
      <x:c r="J5" s="26"/>
      <x:c r="K5" s="26"/>
    </x:row>
    <x:row r="6" ht="24" customHeight="1">
      <x:c r="B6" s="41" t="str">
        <x:v>Sample</x:v>
      </x:c>
      <x:c r="C6" s="41" t="str">
        <x:v>Sequence</x:v>
      </x:c>
      <x:c r="D6" s="41" t="str">
        <x:v>Location</x:v>
      </x:c>
      <x:c r="E6" s="41" t="str">
        <x:v>Unit</x:v>
      </x:c>
      <x:c r="F6" s="41" t="str">
        <x:v>Decision limit</x:v>
      </x:c>
      <x:c r="G6" s="41" t="str">
        <x:v>Reported result</x:v>
      </x:c>
      <x:c r="H6" s="41" t="str">
        <x:v>Custody root</x:v>
      </x:c>
      <x:c r="I6" s="41" t="str">
        <x:v>Evidence root</x:v>
      </x:c>
      <x:c r="J6" s="41" t="str">
        <x:v>Accepted UTC</x:v>
      </x:c>
      <x:c r="K6" s="41" t="str">
        <x:v>State</x:v>
      </x:c>
    </x:row>
    <x:row r="7">
      <x:c r="B7" s="26" t="str">
        <x:v>BS-01</x:v>
      </x:c>
      <x:c r="C7" s="26" t="n">
        <x:v>1</x:v>
      </x:c>
      <x:c r="D7" s="26" t="str">
        <x:v>source-route inlet</x:v>
      </x:c>
      <x:c r="E7" s="26" t="str">
        <x:v>kg-equivalent</x:v>
      </x:c>
      <x:c r="F7" s="33" t="n">
        <x:v>0.025</x:v>
      </x:c>
      <x:c r="G7" s="33" t="str"/>
      <x:c r="H7" s="26" t="str"/>
      <x:c r="I7" s="26" t="str"/>
      <x:c r="J7" s="26" t="str"/>
      <x:c r="K7" s="26" t="str">
        <x:f>IF(J7="","OPEN",IF(AND(ISNUMBER(G7),G7&lt;=F7,H7&lt;&gt;"",I7&lt;&gt;""),"PASS","FAIL"))</x:f>
        <x:v>OPEN</x:v>
      </x:c>
    </x:row>
    <x:row r="8">
      <x:c r="B8" s="26" t="str">
        <x:v>BS-02</x:v>
      </x:c>
      <x:c r="C8" s="26" t="n">
        <x:v>2</x:v>
      </x:c>
      <x:c r="D8" s="26" t="str">
        <x:v>source-route outlet</x:v>
      </x:c>
      <x:c r="E8" s="26" t="str">
        <x:v>kg-equivalent</x:v>
      </x:c>
      <x:c r="F8" s="33" t="n">
        <x:v>0.025</x:v>
      </x:c>
      <x:c r="G8" s="33" t="str"/>
      <x:c r="H8" s="26" t="str"/>
      <x:c r="I8" s="26" t="str"/>
      <x:c r="J8" s="26" t="str"/>
      <x:c r="K8" s="26" t="str">
        <x:f>IF(J8="","OPEN",IF(AND(ISNUMBER(G8),G8&lt;=F8,H8&lt;&gt;"",I8&lt;&gt;""),"PASS","FAIL"))</x:f>
        <x:v>OPEN</x:v>
      </x:c>
    </x:row>
    <x:row r="9">
      <x:c r="B9" s="26" t="str">
        <x:v>BS-03</x:v>
      </x:c>
      <x:c r="C9" s="26" t="n">
        <x:v>3</x:v>
      </x:c>
      <x:c r="D9" s="26" t="str">
        <x:v>normal source receiver</x:v>
      </x:c>
      <x:c r="E9" s="26" t="str">
        <x:v>kg-equivalent</x:v>
      </x:c>
      <x:c r="F9" s="33" t="n">
        <x:v>0.025</x:v>
      </x:c>
      <x:c r="G9" s="33" t="str"/>
      <x:c r="H9" s="26" t="str"/>
      <x:c r="I9" s="26" t="str"/>
      <x:c r="J9" s="26" t="str"/>
      <x:c r="K9" s="26" t="str">
        <x:f>IF(J9="","OPEN",IF(AND(ISNUMBER(G9),G9&lt;=F9,H9&lt;&gt;"",I9&lt;&gt;""),"PASS","FAIL"))</x:f>
        <x:v>OPEN</x:v>
      </x:c>
    </x:row>
    <x:row r="10">
      <x:c r="B10" s="26" t="str">
        <x:v>BS-04</x:v>
      </x:c>
      <x:c r="C10" s="26" t="n">
        <x:v>4</x:v>
      </x:c>
      <x:c r="D10" s="26" t="str">
        <x:v>casualty source receiver</x:v>
      </x:c>
      <x:c r="E10" s="26" t="str">
        <x:v>kg-equivalent</x:v>
      </x:c>
      <x:c r="F10" s="33" t="n">
        <x:v>0.025</x:v>
      </x:c>
      <x:c r="G10" s="33" t="str"/>
      <x:c r="H10" s="26" t="str"/>
      <x:c r="I10" s="26" t="str"/>
      <x:c r="J10" s="26" t="str"/>
      <x:c r="K10" s="26" t="str">
        <x:f>IF(J10="","OPEN",IF(AND(ISNUMBER(G10),G10&lt;=F10,H10&lt;&gt;"",I10&lt;&gt;""),"PASS","FAIL"))</x:f>
        <x:v>OPEN</x:v>
      </x:c>
    </x:row>
    <x:row r="11">
      <x:c r="B11" s="26" t="str">
        <x:v>BS-05</x:v>
      </x:c>
      <x:c r="C11" s="26" t="n">
        <x:v>5</x:v>
      </x:c>
      <x:c r="D11" s="26" t="str">
        <x:v>environment downgradient</x:v>
      </x:c>
      <x:c r="E11" s="26" t="str">
        <x:v>kg-equivalent</x:v>
      </x:c>
      <x:c r="F11" s="33" t="n">
        <x:v>0.025</x:v>
      </x:c>
      <x:c r="G11" s="33" t="str"/>
      <x:c r="H11" s="26" t="str"/>
      <x:c r="I11" s="26" t="str"/>
      <x:c r="J11" s="26" t="str"/>
      <x:c r="K11" s="26" t="str">
        <x:f>IF(J11="","OPEN",IF(AND(ISNUMBER(G11),G11&lt;=F11,H11&lt;&gt;"",I11&lt;&gt;""),"PASS","FAIL"))</x:f>
        <x:v>OPEN</x:v>
      </x:c>
    </x:row>
    <x:row r="12">
      <x:c r="B12" s="26" t="str">
        <x:v>BS-06</x:v>
      </x:c>
      <x:c r="C12" s="26" t="n">
        <x:v>6</x:v>
      </x:c>
      <x:c r="D12" s="26" t="str">
        <x:v>sealed archive</x:v>
      </x:c>
      <x:c r="E12" s="26" t="str">
        <x:v>kg-equivalent</x:v>
      </x:c>
      <x:c r="F12" s="33" t="n">
        <x:v>0.025</x:v>
      </x:c>
      <x:c r="G12" s="33" t="str"/>
      <x:c r="H12" s="26" t="str"/>
      <x:c r="I12" s="26" t="str"/>
      <x:c r="J12" s="26" t="str"/>
      <x:c r="K12" s="26" t="str">
        <x:f>IF(J12="","OPEN",IF(AND(ISNUMBER(G12),G12&lt;=F12,H12&lt;&gt;"",I12&lt;&gt;""),"PASS","FAIL"))</x:f>
        <x:v>OPEN</x:v>
      </x:c>
    </x:row>
  </x:sheetData>
  <x:conditionalFormatting sqref="K7:K12">
    <x:cfRule type="containsText" dxfId="171" priority="1" operator="containsText" text="FAIL"/>
    <x:cfRule type="containsText" dxfId="172" priority="2" operator="containsText" text="BLOCKED"/>
    <x:cfRule type="containsText" dxfId="173" priority="3" operator="containsText" text="INVALID"/>
    <x:cfRule type="containsText" dxfId="174" priority="4" operator="containsText" text="ADVERSE"/>
    <x:cfRule type="containsText" dxfId="175" priority="5" operator="containsText" text="EXPIRED"/>
    <x:cfRule type="containsText" dxfId="176" priority="6" operator="containsText" text="OPEN"/>
    <x:cfRule type="containsText" dxfId="177" priority="7" operator="containsText" text="DORMANT"/>
    <x:cfRule type="containsText" dxfId="178" priority="8" operator="containsText" text="PASS"/>
    <x:cfRule type="containsText" dxfId="179" priority="9" operator="containsText" text="AVAILABLE"/>
  </x:conditionalFormatting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5" hidden="0" customWidth="1"/>
    <x:col min="3" max="3" width="12" hidden="0" customWidth="1"/>
    <x:col min="4" max="4" width="41" hidden="0" customWidth="1"/>
    <x:col min="5" max="5" width="22" hidden="0" customWidth="1"/>
    <x:col min="6" max="6" width="22" hidden="0" customWidth="1"/>
    <x:col min="7" max="7" width="23" hidden="0" customWidth="1"/>
    <x:col min="8" max="8" width="23" hidden="0" customWidth="1"/>
    <x:col min="9" max="9" width="34" hidden="0" customWidth="1"/>
    <x:col min="10" max="10" width="14" hidden="0" customWidth="1"/>
  </x:cols>
  <x:sheetData>
    <x:row r="2">
      <x:c r="B2" s="39" t="str">
        <x:v>Twenty active abort conditions</x:v>
      </x:c>
      <x:c r="C2" s="26"/>
      <x:c r="D2" s="26"/>
      <x:c r="E2" s="26"/>
      <x:c r="F2" s="26"/>
      <x:c r="G2" s="26"/>
      <x:c r="H2" s="26"/>
      <x:c r="I2" s="26"/>
      <x:c r="J2" s="26"/>
    </x:row>
    <x:row r="3">
      <x:c r="B3" s="40" t="str">
        <x:v>Abort authority remains live from selection through T0. A trigger preserves safety and opens validity review.</x:v>
      </x:c>
      <x:c r="C3" s="26"/>
      <x:c r="D3" s="26"/>
      <x:c r="E3" s="26"/>
      <x:c r="F3" s="26"/>
      <x:c r="G3" s="26"/>
      <x:c r="H3" s="26"/>
      <x:c r="I3" s="26"/>
      <x:c r="J3" s="26"/>
    </x:row>
    <x:row r="4">
      <x:c r="B4" s="26"/>
      <x:c r="C4" s="26"/>
      <x:c r="D4" s="26"/>
      <x:c r="E4" s="26"/>
      <x:c r="F4" s="26"/>
      <x:c r="G4" s="26"/>
      <x:c r="H4" s="26"/>
      <x:c r="I4" s="26"/>
      <x:c r="J4" s="26"/>
    </x:row>
    <x:row r="5">
      <x:c r="B5" s="26"/>
      <x:c r="C5" s="26"/>
      <x:c r="D5" s="26"/>
      <x:c r="E5" s="26"/>
      <x:c r="F5" s="26"/>
      <x:c r="G5" s="26"/>
      <x:c r="H5" s="26"/>
      <x:c r="I5" s="26"/>
      <x:c r="J5" s="26"/>
    </x:row>
    <x:row r="6" ht="24" customHeight="1">
      <x:c r="B6" s="41" t="str">
        <x:v>Abort</x:v>
      </x:c>
      <x:c r="C6" s="41" t="str">
        <x:v>Sequence</x:v>
      </x:c>
      <x:c r="D6" s="41" t="str">
        <x:v>Condition</x:v>
      </x:c>
      <x:c r="E6" s="41" t="str">
        <x:v>Required armed state</x:v>
      </x:c>
      <x:c r="F6" s="41" t="str">
        <x:v>Observed armed state</x:v>
      </x:c>
      <x:c r="G6" s="41" t="str">
        <x:v>Required pre-T0 state</x:v>
      </x:c>
      <x:c r="H6" s="41" t="str">
        <x:v>Observed pre-T0 state</x:v>
      </x:c>
      <x:c r="I6" s="41" t="str">
        <x:v>Evidence root</x:v>
      </x:c>
      <x:c r="J6" s="41" t="str">
        <x:v>State</x:v>
      </x:c>
    </x:row>
    <x:row r="7">
      <x:c r="B7" s="26" t="str">
        <x:v>AB-01</x:v>
      </x:c>
      <x:c r="C7" s="26" t="n">
        <x:v>1</x:v>
      </x:c>
      <x:c r="D7" s="26" t="str">
        <x:v>source package detected</x:v>
      </x:c>
      <x:c r="E7" s="26" t="str">
        <x:v>ARMED</x:v>
      </x:c>
      <x:c r="F7" s="26" t="str"/>
      <x:c r="G7" s="26" t="str">
        <x:v>CLEAR</x:v>
      </x:c>
      <x:c r="H7" s="26" t="str"/>
      <x:c r="I7" s="26" t="str"/>
      <x:c r="J7" s="26" t="str">
        <x:f>IF(OR(F7="",H7=""),"OPEN",IF(AND(F7=E7,H7=G7,I7&lt;&gt;""),"PASS","FAIL"))</x:f>
        <x:v>OPEN</x:v>
      </x:c>
    </x:row>
    <x:row r="8">
      <x:c r="B8" s="26" t="str">
        <x:v>AB-02</x:v>
      </x:c>
      <x:c r="C8" s="26" t="n">
        <x:v>2</x:v>
      </x:c>
      <x:c r="D8" s="26" t="str">
        <x:v>upstream source accessible</x:v>
      </x:c>
      <x:c r="E8" s="26" t="str">
        <x:v>ARMED</x:v>
      </x:c>
      <x:c r="F8" s="26" t="str"/>
      <x:c r="G8" s="26" t="str">
        <x:v>CLEAR</x:v>
      </x:c>
      <x:c r="H8" s="26" t="str"/>
      <x:c r="I8" s="26" t="str"/>
      <x:c r="J8" s="26" t="str">
        <x:f>IF(OR(F8="",H8=""),"OPEN",IF(AND(F8=E8,H8=G8,I8&lt;&gt;""),"PASS","FAIL"))</x:f>
        <x:v>OPEN</x:v>
      </x:c>
    </x:row>
    <x:row r="9">
      <x:c r="B9" s="26" t="str">
        <x:v>AB-03</x:v>
      </x:c>
      <x:c r="C9" s="26" t="n">
        <x:v>3</x:v>
      </x:c>
      <x:c r="D9" s="26" t="str">
        <x:v>null capsule mismatch</x:v>
      </x:c>
      <x:c r="E9" s="26" t="str">
        <x:v>ARMED</x:v>
      </x:c>
      <x:c r="F9" s="26" t="str"/>
      <x:c r="G9" s="26" t="str">
        <x:v>CLEAR</x:v>
      </x:c>
      <x:c r="H9" s="26" t="str"/>
      <x:c r="I9" s="26" t="str"/>
      <x:c r="J9" s="26" t="str">
        <x:f>IF(OR(F9="",H9=""),"OPEN",IF(AND(F9=E9,H9=G9,I9&lt;&gt;""),"PASS","FAIL"))</x:f>
        <x:v>OPEN</x:v>
      </x:c>
    </x:row>
    <x:row r="10">
      <x:c r="B10" s="26" t="str">
        <x:v>AB-04</x:v>
      </x:c>
      <x:c r="C10" s="26" t="n">
        <x:v>4</x:v>
      </x:c>
      <x:c r="D10" s="26" t="str">
        <x:v>source barrier A unavailable</x:v>
      </x:c>
      <x:c r="E10" s="26" t="str">
        <x:v>ARMED</x:v>
      </x:c>
      <x:c r="F10" s="26" t="str"/>
      <x:c r="G10" s="26" t="str">
        <x:v>CLEAR</x:v>
      </x:c>
      <x:c r="H10" s="26" t="str"/>
      <x:c r="I10" s="26" t="str"/>
      <x:c r="J10" s="26" t="str">
        <x:f>IF(OR(F10="",H10=""),"OPEN",IF(AND(F10=E10,H10=G10,I10&lt;&gt;""),"PASS","FAIL"))</x:f>
        <x:v>OPEN</x:v>
      </x:c>
    </x:row>
    <x:row r="11">
      <x:c r="B11" s="26" t="str">
        <x:v>AB-05</x:v>
      </x:c>
      <x:c r="C11" s="26" t="n">
        <x:v>5</x:v>
      </x:c>
      <x:c r="D11" s="26" t="str">
        <x:v>source barrier B unavailable</x:v>
      </x:c>
      <x:c r="E11" s="26" t="str">
        <x:v>ARMED</x:v>
      </x:c>
      <x:c r="F11" s="26" t="str"/>
      <x:c r="G11" s="26" t="str">
        <x:v>CLEAR</x:v>
      </x:c>
      <x:c r="H11" s="26" t="str"/>
      <x:c r="I11" s="26" t="str"/>
      <x:c r="J11" s="26" t="str">
        <x:f>IF(OR(F11="",H11=""),"OPEN",IF(AND(F11=E11,H11=G11,I11&lt;&gt;""),"PASS","FAIL"))</x:f>
        <x:v>OPEN</x:v>
      </x:c>
    </x:row>
    <x:row r="12">
      <x:c r="B12" s="26" t="str">
        <x:v>AB-06</x:v>
      </x:c>
      <x:c r="C12" s="26" t="n">
        <x:v>6</x:v>
      </x:c>
      <x:c r="D12" s="26" t="str">
        <x:v>interspace leak detected</x:v>
      </x:c>
      <x:c r="E12" s="26" t="str">
        <x:v>ARMED</x:v>
      </x:c>
      <x:c r="F12" s="26" t="str"/>
      <x:c r="G12" s="26" t="str">
        <x:v>CLEAR</x:v>
      </x:c>
      <x:c r="H12" s="26" t="str"/>
      <x:c r="I12" s="26" t="str"/>
      <x:c r="J12" s="26" t="str">
        <x:f>IF(OR(F12="",H12=""),"OPEN",IF(AND(F12=E12,H12=G12,I12&lt;&gt;""),"PASS","FAIL"))</x:f>
        <x:v>OPEN</x:v>
      </x:c>
    </x:row>
    <x:row r="13">
      <x:c r="B13" s="26" t="str">
        <x:v>AB-07</x:v>
      </x:c>
      <x:c r="C13" s="26" t="n">
        <x:v>7</x:v>
      </x:c>
      <x:c r="D13" s="26" t="str">
        <x:v>water path not isolated</x:v>
      </x:c>
      <x:c r="E13" s="26" t="str">
        <x:v>ARMED</x:v>
      </x:c>
      <x:c r="F13" s="26" t="str"/>
      <x:c r="G13" s="26" t="str">
        <x:v>CLEAR</x:v>
      </x:c>
      <x:c r="H13" s="26" t="str"/>
      <x:c r="I13" s="26" t="str"/>
      <x:c r="J13" s="26" t="str">
        <x:f>IF(OR(F13="",H13=""),"OPEN",IF(AND(F13=E13,H13=G13,I13&lt;&gt;""),"PASS","FAIL"))</x:f>
        <x:v>OPEN</x:v>
      </x:c>
    </x:row>
    <x:row r="14">
      <x:c r="B14" s="26" t="str">
        <x:v>AB-08</x:v>
      </x:c>
      <x:c r="C14" s="26" t="n">
        <x:v>8</x:v>
      </x:c>
      <x:c r="D14" s="26" t="str">
        <x:v>weather water detected</x:v>
      </x:c>
      <x:c r="E14" s="26" t="str">
        <x:v>ARMED</x:v>
      </x:c>
      <x:c r="F14" s="26" t="str"/>
      <x:c r="G14" s="26" t="str">
        <x:v>CLEAR</x:v>
      </x:c>
      <x:c r="H14" s="26" t="str"/>
      <x:c r="I14" s="26" t="str"/>
      <x:c r="J14" s="26" t="str">
        <x:f>IF(OR(F14="",H14=""),"OPEN",IF(AND(F14=E14,H14=G14,I14&lt;&gt;""),"PASS","FAIL"))</x:f>
        <x:v>OPEN</x:v>
      </x:c>
    </x:row>
    <x:row r="15">
      <x:c r="B15" s="26" t="str">
        <x:v>AB-09</x:v>
      </x:c>
      <x:c r="C15" s="26" t="n">
        <x:v>9</x:v>
      </x:c>
      <x:c r="D15" s="26" t="str">
        <x:v>receiver initial inventory nonzero</x:v>
      </x:c>
      <x:c r="E15" s="26" t="str">
        <x:v>ARMED</x:v>
      </x:c>
      <x:c r="F15" s="26" t="str"/>
      <x:c r="G15" s="26" t="str">
        <x:v>CLEAR</x:v>
      </x:c>
      <x:c r="H15" s="26" t="str"/>
      <x:c r="I15" s="26" t="str"/>
      <x:c r="J15" s="26" t="str">
        <x:f>IF(OR(F15="",H15=""),"OPEN",IF(AND(F15=E15,H15=G15,I15&lt;&gt;""),"PASS","FAIL"))</x:f>
        <x:v>OPEN</x:v>
      </x:c>
    </x:row>
    <x:row r="16">
      <x:c r="B16" s="26" t="str">
        <x:v>AB-10</x:v>
      </x:c>
      <x:c r="C16" s="26" t="n">
        <x:v>10</x:v>
      </x:c>
      <x:c r="D16" s="26" t="str">
        <x:v>background source above limit</x:v>
      </x:c>
      <x:c r="E16" s="26" t="str">
        <x:v>ARMED</x:v>
      </x:c>
      <x:c r="F16" s="26" t="str"/>
      <x:c r="G16" s="26" t="str">
        <x:v>CLEAR</x:v>
      </x:c>
      <x:c r="H16" s="26" t="str"/>
      <x:c r="I16" s="26" t="str"/>
      <x:c r="J16" s="26" t="str">
        <x:f>IF(OR(F16="",H16=""),"OPEN",IF(AND(F16=E16,H16=G16,I16&lt;&gt;""),"PASS","FAIL"))</x:f>
        <x:v>OPEN</x:v>
      </x:c>
    </x:row>
    <x:row r="17">
      <x:c r="B17" s="26" t="str">
        <x:v>AB-11</x:v>
      </x:c>
      <x:c r="C17" s="26" t="n">
        <x:v>11</x:v>
      </x:c>
      <x:c r="D17" s="26" t="str">
        <x:v>truth-root disagreement</x:v>
      </x:c>
      <x:c r="E17" s="26" t="str">
        <x:v>ARMED</x:v>
      </x:c>
      <x:c r="F17" s="26" t="str"/>
      <x:c r="G17" s="26" t="str">
        <x:v>CLEAR</x:v>
      </x:c>
      <x:c r="H17" s="26" t="str"/>
      <x:c r="I17" s="26" t="str"/>
      <x:c r="J17" s="26" t="str">
        <x:f>IF(OR(F17="",H17=""),"OPEN",IF(AND(F17=E17,H17=G17,I17&lt;&gt;""),"PASS","FAIL"))</x:f>
        <x:v>OPEN</x:v>
      </x:c>
    </x:row>
    <x:row r="18">
      <x:c r="B18" s="26" t="str">
        <x:v>AB-12</x:v>
      </x:c>
      <x:c r="C18" s="26" t="n">
        <x:v>12</x:v>
      </x:c>
      <x:c r="D18" s="26" t="str">
        <x:v>causal-time disagreement</x:v>
      </x:c>
      <x:c r="E18" s="26" t="str">
        <x:v>ARMED</x:v>
      </x:c>
      <x:c r="F18" s="26" t="str"/>
      <x:c r="G18" s="26" t="str">
        <x:v>CLEAR</x:v>
      </x:c>
      <x:c r="H18" s="26" t="str"/>
      <x:c r="I18" s="26" t="str"/>
      <x:c r="J18" s="26" t="str">
        <x:f>IF(OR(F18="",H18=""),"OPEN",IF(AND(F18=E18,H18=G18,I18&lt;&gt;""),"PASS","FAIL"))</x:f>
        <x:v>OPEN</x:v>
      </x:c>
    </x:row>
    <x:row r="19">
      <x:c r="B19" s="26" t="str">
        <x:v>AB-13</x:v>
      </x:c>
      <x:c r="C19" s="26" t="n">
        <x:v>13</x:v>
      </x:c>
      <x:c r="D19" s="26" t="str">
        <x:v>evidence original lost</x:v>
      </x:c>
      <x:c r="E19" s="26" t="str">
        <x:v>ARMED</x:v>
      </x:c>
      <x:c r="F19" s="26" t="str"/>
      <x:c r="G19" s="26" t="str">
        <x:v>CLEAR</x:v>
      </x:c>
      <x:c r="H19" s="26" t="str"/>
      <x:c r="I19" s="26" t="str"/>
      <x:c r="J19" s="26" t="str">
        <x:f>IF(OR(F19="",H19=""),"OPEN",IF(AND(F19=E19,H19=G19,I19&lt;&gt;""),"PASS","FAIL"))</x:f>
        <x:v>OPEN</x:v>
      </x:c>
    </x:row>
    <x:row r="20">
      <x:c r="B20" s="26" t="str">
        <x:v>AB-14</x:v>
      </x:c>
      <x:c r="C20" s="26" t="n">
        <x:v>14</x:v>
      </x:c>
      <x:c r="D20" s="26" t="str">
        <x:v>safeing path unavailable</x:v>
      </x:c>
      <x:c r="E20" s="26" t="str">
        <x:v>ARMED</x:v>
      </x:c>
      <x:c r="F20" s="26" t="str"/>
      <x:c r="G20" s="26" t="str">
        <x:v>CLEAR</x:v>
      </x:c>
      <x:c r="H20" s="26" t="str"/>
      <x:c r="I20" s="26" t="str"/>
      <x:c r="J20" s="26" t="str">
        <x:f>IF(OR(F20="",H20=""),"OPEN",IF(AND(F20=E20,H20=G20,I20&lt;&gt;""),"PASS","FAIL"))</x:f>
        <x:v>OPEN</x:v>
      </x:c>
    </x:row>
    <x:row r="21">
      <x:c r="B21" s="26" t="str">
        <x:v>AB-15</x:v>
      </x:c>
      <x:c r="C21" s="26" t="n">
        <x:v>15</x:v>
      </x:c>
      <x:c r="D21" s="26" t="str">
        <x:v>final element state ambiguous</x:v>
      </x:c>
      <x:c r="E21" s="26" t="str">
        <x:v>ARMED</x:v>
      </x:c>
      <x:c r="F21" s="26" t="str"/>
      <x:c r="G21" s="26" t="str">
        <x:v>CLEAR</x:v>
      </x:c>
      <x:c r="H21" s="26" t="str"/>
      <x:c r="I21" s="26" t="str"/>
      <x:c r="J21" s="26" t="str">
        <x:f>IF(OR(F21="",H21=""),"OPEN",IF(AND(F21=E21,H21=G21,I21&lt;&gt;""),"PASS","FAIL"))</x:f>
        <x:v>OPEN</x:v>
      </x:c>
    </x:row>
    <x:row r="22">
      <x:c r="B22" s="26" t="str">
        <x:v>AB-16</x:v>
      </x:c>
      <x:c r="C22" s="26" t="n">
        <x:v>16</x:v>
      </x:c>
      <x:c r="D22" s="26" t="str">
        <x:v>neighbor not inert</x:v>
      </x:c>
      <x:c r="E22" s="26" t="str">
        <x:v>ARMED</x:v>
      </x:c>
      <x:c r="F22" s="26" t="str"/>
      <x:c r="G22" s="26" t="str">
        <x:v>CLEAR</x:v>
      </x:c>
      <x:c r="H22" s="26" t="str"/>
      <x:c r="I22" s="26" t="str"/>
      <x:c r="J22" s="26" t="str">
        <x:f>IF(OR(F22="",H22=""),"OPEN",IF(AND(F22=E22,H22=G22,I22&lt;&gt;""),"PASS","FAIL"))</x:f>
        <x:v>OPEN</x:v>
      </x:c>
    </x:row>
    <x:row r="23">
      <x:c r="B23" s="26" t="str">
        <x:v>AB-17</x:v>
      </x:c>
      <x:c r="C23" s="26" t="n">
        <x:v>17</x:v>
      </x:c>
      <x:c r="D23" s="26" t="str">
        <x:v>rescue posture lost</x:v>
      </x:c>
      <x:c r="E23" s="26" t="str">
        <x:v>ARMED</x:v>
      </x:c>
      <x:c r="F23" s="26" t="str"/>
      <x:c r="G23" s="26" t="str">
        <x:v>CLEAR</x:v>
      </x:c>
      <x:c r="H23" s="26" t="str"/>
      <x:c r="I23" s="26" t="str"/>
      <x:c r="J23" s="26" t="str">
        <x:f>IF(OR(F23="",H23=""),"OPEN",IF(AND(F23=E23,H23=G23,I23&lt;&gt;""),"PASS","FAIL"))</x:f>
        <x:v>OPEN</x:v>
      </x:c>
    </x:row>
    <x:row r="24">
      <x:c r="B24" s="26" t="str">
        <x:v>AB-18</x:v>
      </x:c>
      <x:c r="C24" s="26" t="n">
        <x:v>18</x:v>
      </x:c>
      <x:c r="D24" s="26" t="str">
        <x:v>unregistered configuration change</x:v>
      </x:c>
      <x:c r="E24" s="26" t="str">
        <x:v>ARMED</x:v>
      </x:c>
      <x:c r="F24" s="26" t="str"/>
      <x:c r="G24" s="26" t="str">
        <x:v>CLEAR</x:v>
      </x:c>
      <x:c r="H24" s="26" t="str"/>
      <x:c r="I24" s="26" t="str"/>
      <x:c r="J24" s="26" t="str">
        <x:f>IF(OR(F24="",H24=""),"OPEN",IF(AND(F24=E24,H24=G24,I24&lt;&gt;""),"PASS","FAIL"))</x:f>
        <x:v>OPEN</x:v>
      </x:c>
    </x:row>
    <x:row r="25">
      <x:c r="B25" s="26" t="str">
        <x:v>AB-19</x:v>
      </x:c>
      <x:c r="C25" s="26" t="n">
        <x:v>19</x:v>
      </x:c>
      <x:c r="D25" s="26" t="str">
        <x:v>crew authority expired</x:v>
      </x:c>
      <x:c r="E25" s="26" t="str">
        <x:v>ARMED</x:v>
      </x:c>
      <x:c r="F25" s="26" t="str"/>
      <x:c r="G25" s="26" t="str">
        <x:v>CLEAR</x:v>
      </x:c>
      <x:c r="H25" s="26" t="str"/>
      <x:c r="I25" s="26" t="str"/>
      <x:c r="J25" s="26" t="str">
        <x:f>IF(OR(F25="",H25=""),"OPEN",IF(AND(F25=E25,H25=G25,I25&lt;&gt;""),"PASS","FAIL"))</x:f>
        <x:v>OPEN</x:v>
      </x:c>
    </x:row>
    <x:row r="26">
      <x:c r="B26" s="26" t="str">
        <x:v>AB-20</x:v>
      </x:c>
      <x:c r="C26" s="26" t="n">
        <x:v>20</x:v>
      </x:c>
      <x:c r="D26" s="26" t="str">
        <x:v>event issue expired</x:v>
      </x:c>
      <x:c r="E26" s="26" t="str">
        <x:v>ARMED</x:v>
      </x:c>
      <x:c r="F26" s="26" t="str"/>
      <x:c r="G26" s="26" t="str">
        <x:v>CLEAR</x:v>
      </x:c>
      <x:c r="H26" s="26" t="str"/>
      <x:c r="I26" s="26" t="str"/>
      <x:c r="J26" s="26" t="str">
        <x:f>IF(OR(F26="",H26=""),"OPEN",IF(AND(F26=E26,H26=G26,I26&lt;&gt;""),"PASS","FAIL"))</x:f>
        <x:v>OPEN</x:v>
      </x:c>
    </x:row>
  </x:sheetData>
  <x:conditionalFormatting sqref="J7:J26">
    <x:cfRule type="containsText" dxfId="180" priority="1" operator="containsText" text="FAIL"/>
    <x:cfRule type="containsText" dxfId="181" priority="2" operator="containsText" text="BLOCKED"/>
    <x:cfRule type="containsText" dxfId="182" priority="3" operator="containsText" text="INVALID"/>
    <x:cfRule type="containsText" dxfId="183" priority="4" operator="containsText" text="ADVERSE"/>
    <x:cfRule type="containsText" dxfId="184" priority="5" operator="containsText" text="EXPIRED"/>
    <x:cfRule type="containsText" dxfId="185" priority="6" operator="containsText" text="OPEN"/>
    <x:cfRule type="containsText" dxfId="186" priority="7" operator="containsText" text="DORMANT"/>
    <x:cfRule type="containsText" dxfId="187" priority="8" operator="containsText" text="PASS"/>
    <x:cfRule type="containsText" dxfId="188" priority="9" operator="containsText" text="AVAILABLE"/>
  </x:conditionalFormatting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5" hidden="0" customWidth="1"/>
    <x:col min="3" max="3" width="12" hidden="0" customWidth="1"/>
    <x:col min="4" max="4" width="38" hidden="0" customWidth="1"/>
    <x:col min="5" max="5" width="18" hidden="0" customWidth="1"/>
    <x:col min="6" max="6" width="24" hidden="0" customWidth="1"/>
    <x:col min="7" max="7" width="29" hidden="0" customWidth="1"/>
    <x:col min="8" max="8" width="34" hidden="0" customWidth="1"/>
    <x:col min="9" max="9" width="21" hidden="0" customWidth="1"/>
    <x:col min="10" max="10" width="14" hidden="0" customWidth="1"/>
  </x:cols>
  <x:sheetData>
    <x:row r="2">
      <x:c r="B2" s="39" t="str">
        <x:v>Twelve scored public interventions</x:v>
      </x:c>
      <x:c r="C2" s="26"/>
      <x:c r="D2" s="26"/>
      <x:c r="E2" s="26"/>
      <x:c r="F2" s="26"/>
      <x:c r="G2" s="26"/>
      <x:c r="H2" s="26"/>
      <x:c r="I2" s="26"/>
      <x:c r="J2" s="26"/>
    </x:row>
    <x:row r="3">
      <x:c r="B3" s="40" t="str">
        <x:v>Intervention protects people and the site. It does not create a successful event and does not automatically create invalidity.</x:v>
      </x:c>
      <x:c r="C3" s="26"/>
      <x:c r="D3" s="26"/>
      <x:c r="E3" s="26"/>
      <x:c r="F3" s="26"/>
      <x:c r="G3" s="26"/>
      <x:c r="H3" s="26"/>
      <x:c r="I3" s="26"/>
      <x:c r="J3" s="26"/>
    </x:row>
    <x:row r="4">
      <x:c r="B4" s="26"/>
      <x:c r="C4" s="26"/>
      <x:c r="D4" s="26"/>
      <x:c r="E4" s="26"/>
      <x:c r="F4" s="26"/>
      <x:c r="G4" s="26"/>
      <x:c r="H4" s="26"/>
      <x:c r="I4" s="26"/>
      <x:c r="J4" s="26"/>
    </x:row>
    <x:row r="5">
      <x:c r="B5" s="26"/>
      <x:c r="C5" s="26"/>
      <x:c r="D5" s="26"/>
      <x:c r="E5" s="26"/>
      <x:c r="F5" s="26"/>
      <x:c r="G5" s="26"/>
      <x:c r="H5" s="26"/>
      <x:c r="I5" s="26"/>
      <x:c r="J5" s="26"/>
    </x:row>
    <x:row r="6" ht="24" customHeight="1">
      <x:c r="B6" s="41" t="str">
        <x:v>Rule</x:v>
      </x:c>
      <x:c r="C6" s="41" t="str">
        <x:v>Sequence</x:v>
      </x:c>
      <x:c r="D6" s="41" t="str">
        <x:v>Intervention</x:v>
      </x:c>
      <x:c r="E6" s="41" t="str">
        <x:v>Activated flag</x:v>
      </x:c>
      <x:c r="F6" s="41" t="str">
        <x:v>Observed action</x:v>
      </x:c>
      <x:c r="G6" s="41" t="str">
        <x:v>Validity effect</x:v>
      </x:c>
      <x:c r="H6" s="41" t="str">
        <x:v>Evidence root</x:v>
      </x:c>
      <x:c r="I6" s="41" t="str">
        <x:v>Accepted UTC</x:v>
      </x:c>
      <x:c r="J6" s="41" t="str">
        <x:v>State</x:v>
      </x:c>
    </x:row>
    <x:row r="7">
      <x:c r="B7" s="26" t="str">
        <x:v>IV-01</x:v>
      </x:c>
      <x:c r="C7" s="26" t="n">
        <x:v>1</x:v>
      </x:c>
      <x:c r="D7" s="26" t="str">
        <x:v>public source isolation</x:v>
      </x:c>
      <x:c r="E7" s="26" t="n">
        <x:v>0</x:v>
      </x:c>
      <x:c r="F7" s="26" t="str">
        <x:v>NONE</x:v>
      </x:c>
      <x:c r="G7" s="26" t="str"/>
      <x:c r="H7" s="26" t="str"/>
      <x:c r="I7" s="26" t="str"/>
      <x:c r="J7" s="26" t="str">
        <x:f>IF(I7="","OPEN",IF(AND(ISNUMBER(E7),OR(AND(E7=0,F7="NONE"),AND(E7=1,F7&lt;&gt;"NONE",G7&lt;&gt;"",H7&lt;&gt;""))),"PASS","FAIL"))</x:f>
        <x:v>OPEN</x:v>
      </x:c>
    </x:row>
    <x:row r="8">
      <x:c r="B8" s="26" t="str">
        <x:v>IV-02</x:v>
      </x:c>
      <x:c r="C8" s="26" t="n">
        <x:v>2</x:v>
      </x:c>
      <x:c r="D8" s="26" t="str">
        <x:v>gravity source diversion</x:v>
      </x:c>
      <x:c r="E8" s="26" t="n">
        <x:v>0</x:v>
      </x:c>
      <x:c r="F8" s="26" t="str">
        <x:v>NONE</x:v>
      </x:c>
      <x:c r="G8" s="26" t="str"/>
      <x:c r="H8" s="26" t="str"/>
      <x:c r="I8" s="26" t="str"/>
      <x:c r="J8" s="26" t="str">
        <x:f>IF(I8="","OPEN",IF(AND(ISNUMBER(E8),OR(AND(E8=0,F8="NONE"),AND(E8=1,F8&lt;&gt;"NONE",G8&lt;&gt;"",H8&lt;&gt;""))),"PASS","FAIL"))</x:f>
        <x:v>OPEN</x:v>
      </x:c>
    </x:row>
    <x:row r="9">
      <x:c r="B9" s="26" t="str">
        <x:v>IV-03</x:v>
      </x:c>
      <x:c r="C9" s="26" t="n">
        <x:v>3</x:v>
      </x:c>
      <x:c r="D9" s="26" t="str">
        <x:v>casualty source capture</x:v>
      </x:c>
      <x:c r="E9" s="26" t="n">
        <x:v>0</x:v>
      </x:c>
      <x:c r="F9" s="26" t="str">
        <x:v>NONE</x:v>
      </x:c>
      <x:c r="G9" s="26" t="str"/>
      <x:c r="H9" s="26" t="str"/>
      <x:c r="I9" s="26" t="str"/>
      <x:c r="J9" s="26" t="str">
        <x:f>IF(I9="","OPEN",IF(AND(ISNUMBER(E9),OR(AND(E9=0,F9="NONE"),AND(E9=1,F9&lt;&gt;"NONE",G9&lt;&gt;"",H9&lt;&gt;""))),"PASS","FAIL"))</x:f>
        <x:v>OPEN</x:v>
      </x:c>
    </x:row>
    <x:row r="10">
      <x:c r="B10" s="26" t="str">
        <x:v>IV-04</x:v>
      </x:c>
      <x:c r="C10" s="26" t="n">
        <x:v>4</x:v>
      </x:c>
      <x:c r="D10" s="26" t="str">
        <x:v>public water isolation</x:v>
      </x:c>
      <x:c r="E10" s="26" t="n">
        <x:v>0</x:v>
      </x:c>
      <x:c r="F10" s="26" t="str">
        <x:v>NONE</x:v>
      </x:c>
      <x:c r="G10" s="26" t="str"/>
      <x:c r="H10" s="26" t="str"/>
      <x:c r="I10" s="26" t="str"/>
      <x:c r="J10" s="26" t="str">
        <x:f>IF(I10="","OPEN",IF(AND(ISNUMBER(E10),OR(AND(E10=0,F10="NONE"),AND(E10=1,F10&lt;&gt;"NONE",G10&lt;&gt;"",H10&lt;&gt;""))),"PASS","FAIL"))</x:f>
        <x:v>OPEN</x:v>
      </x:c>
    </x:row>
    <x:row r="11">
      <x:c r="B11" s="26" t="str">
        <x:v>IV-05</x:v>
      </x:c>
      <x:c r="C11" s="26" t="n">
        <x:v>5</x:v>
      </x:c>
      <x:c r="D11" s="26" t="str">
        <x:v>casualty water capture</x:v>
      </x:c>
      <x:c r="E11" s="26" t="n">
        <x:v>0</x:v>
      </x:c>
      <x:c r="F11" s="26" t="str">
        <x:v>NONE</x:v>
      </x:c>
      <x:c r="G11" s="26" t="str"/>
      <x:c r="H11" s="26" t="str"/>
      <x:c r="I11" s="26" t="str"/>
      <x:c r="J11" s="26" t="str">
        <x:f>IF(I11="","OPEN",IF(AND(ISNUMBER(E11),OR(AND(E11=0,F11="NONE"),AND(E11=1,F11&lt;&gt;"NONE",G11&lt;&gt;"",H11&lt;&gt;""))),"PASS","FAIL"))</x:f>
        <x:v>OPEN</x:v>
      </x:c>
    </x:row>
    <x:row r="12">
      <x:c r="B12" s="26" t="str">
        <x:v>IV-06</x:v>
      </x:c>
      <x:c r="C12" s="26" t="n">
        <x:v>6</x:v>
      </x:c>
      <x:c r="D12" s="26" t="str">
        <x:v>thermal control</x:v>
      </x:c>
      <x:c r="E12" s="26" t="n">
        <x:v>0</x:v>
      </x:c>
      <x:c r="F12" s="26" t="str">
        <x:v>NONE</x:v>
      </x:c>
      <x:c r="G12" s="26" t="str"/>
      <x:c r="H12" s="26" t="str"/>
      <x:c r="I12" s="26" t="str"/>
      <x:c r="J12" s="26" t="str">
        <x:f>IF(I12="","OPEN",IF(AND(ISNUMBER(E12),OR(AND(E12=0,F12="NONE"),AND(E12=1,F12&lt;&gt;"NONE",G12&lt;&gt;"",H12&lt;&gt;""))),"PASS","FAIL"))</x:f>
        <x:v>OPEN</x:v>
      </x:c>
    </x:row>
    <x:row r="13">
      <x:c r="B13" s="26" t="str">
        <x:v>IV-07</x:v>
      </x:c>
      <x:c r="C13" s="26" t="n">
        <x:v>7</x:v>
      </x:c>
      <x:c r="D13" s="26" t="str">
        <x:v>ignition-energy removal</x:v>
      </x:c>
      <x:c r="E13" s="26" t="n">
        <x:v>0</x:v>
      </x:c>
      <x:c r="F13" s="26" t="str">
        <x:v>NONE</x:v>
      </x:c>
      <x:c r="G13" s="26" t="str"/>
      <x:c r="H13" s="26" t="str"/>
      <x:c r="I13" s="26" t="str"/>
      <x:c r="J13" s="26" t="str">
        <x:f>IF(I13="","OPEN",IF(AND(ISNUMBER(E13),OR(AND(E13=0,F13="NONE"),AND(E13=1,F13&lt;&gt;"NONE",G13&lt;&gt;"",H13&lt;&gt;""))),"PASS","FAIL"))</x:f>
        <x:v>OPEN</x:v>
      </x:c>
    </x:row>
    <x:row r="14">
      <x:c r="B14" s="26" t="str">
        <x:v>IV-08</x:v>
      </x:c>
      <x:c r="C14" s="26" t="n">
        <x:v>8</x:v>
      </x:c>
      <x:c r="D14" s="26" t="str">
        <x:v>environment isolation</x:v>
      </x:c>
      <x:c r="E14" s="26" t="n">
        <x:v>0</x:v>
      </x:c>
      <x:c r="F14" s="26" t="str">
        <x:v>NONE</x:v>
      </x:c>
      <x:c r="G14" s="26" t="str"/>
      <x:c r="H14" s="26" t="str"/>
      <x:c r="I14" s="26" t="str"/>
      <x:c r="J14" s="26" t="str">
        <x:f>IF(I14="","OPEN",IF(AND(ISNUMBER(E14),OR(AND(E14=0,F14="NONE"),AND(E14=1,F14&lt;&gt;"NONE",G14&lt;&gt;"",H14&lt;&gt;""))),"PASS","FAIL"))</x:f>
        <x:v>OPEN</x:v>
      </x:c>
    </x:row>
    <x:row r="15">
      <x:c r="B15" s="26" t="str">
        <x:v>IV-09</x:v>
      </x:c>
      <x:c r="C15" s="26" t="n">
        <x:v>9</x:v>
      </x:c>
      <x:c r="D15" s="26" t="str">
        <x:v>atmosphere control</x:v>
      </x:c>
      <x:c r="E15" s="26" t="n">
        <x:v>0</x:v>
      </x:c>
      <x:c r="F15" s="26" t="str">
        <x:v>NONE</x:v>
      </x:c>
      <x:c r="G15" s="26" t="str"/>
      <x:c r="H15" s="26" t="str"/>
      <x:c r="I15" s="26" t="str"/>
      <x:c r="J15" s="26" t="str">
        <x:f>IF(I15="","OPEN",IF(AND(ISNUMBER(E15),OR(AND(E15=0,F15="NONE"),AND(E15=1,F15&lt;&gt;"NONE",G15&lt;&gt;"",H15&lt;&gt;""))),"PASS","FAIL"))</x:f>
        <x:v>OPEN</x:v>
      </x:c>
    </x:row>
    <x:row r="16">
      <x:c r="B16" s="26" t="str">
        <x:v>IV-10</x:v>
      </x:c>
      <x:c r="C16" s="26" t="n">
        <x:v>10</x:v>
      </x:c>
      <x:c r="D16" s="26" t="str">
        <x:v>rescue entry</x:v>
      </x:c>
      <x:c r="E16" s="26" t="n">
        <x:v>0</x:v>
      </x:c>
      <x:c r="F16" s="26" t="str">
        <x:v>NONE</x:v>
      </x:c>
      <x:c r="G16" s="26" t="str"/>
      <x:c r="H16" s="26" t="str"/>
      <x:c r="I16" s="26" t="str"/>
      <x:c r="J16" s="26" t="str">
        <x:f>IF(I16="","OPEN",IF(AND(ISNUMBER(E16),OR(AND(E16=0,F16="NONE"),AND(E16=1,F16&lt;&gt;"NONE",G16&lt;&gt;"",H16&lt;&gt;""))),"PASS","FAIL"))</x:f>
        <x:v>OPEN</x:v>
      </x:c>
    </x:row>
    <x:row r="17">
      <x:c r="B17" s="26" t="str">
        <x:v>IV-11</x:v>
      </x:c>
      <x:c r="C17" s="26" t="n">
        <x:v>11</x:v>
      </x:c>
      <x:c r="D17" s="26" t="str">
        <x:v>casualty extraction</x:v>
      </x:c>
      <x:c r="E17" s="26" t="n">
        <x:v>0</x:v>
      </x:c>
      <x:c r="F17" s="26" t="str">
        <x:v>NONE</x:v>
      </x:c>
      <x:c r="G17" s="26" t="str"/>
      <x:c r="H17" s="26" t="str"/>
      <x:c r="I17" s="26" t="str"/>
      <x:c r="J17" s="26" t="str">
        <x:f>IF(I17="","OPEN",IF(AND(ISNUMBER(E17),OR(AND(E17=0,F17="NONE"),AND(E17=1,F17&lt;&gt;"NONE",G17&lt;&gt;"",H17&lt;&gt;""))),"PASS","FAIL"))</x:f>
        <x:v>OPEN</x:v>
      </x:c>
    </x:row>
    <x:row r="18">
      <x:c r="B18" s="26" t="str">
        <x:v>IV-12</x:v>
      </x:c>
      <x:c r="C18" s="26" t="n">
        <x:v>12</x:v>
      </x:c>
      <x:c r="D18" s="26" t="str">
        <x:v>evidence safe-state latch</x:v>
      </x:c>
      <x:c r="E18" s="26" t="n">
        <x:v>0</x:v>
      </x:c>
      <x:c r="F18" s="26" t="str">
        <x:v>NONE</x:v>
      </x:c>
      <x:c r="G18" s="26" t="str"/>
      <x:c r="H18" s="26" t="str"/>
      <x:c r="I18" s="26" t="str"/>
      <x:c r="J18" s="26" t="str">
        <x:f>IF(I18="","OPEN",IF(AND(ISNUMBER(E18),OR(AND(E18=0,F18="NONE"),AND(E18=1,F18&lt;&gt;"NONE",G18&lt;&gt;"",H18&lt;&gt;""))),"PASS","FAIL"))</x:f>
        <x:v>OPEN</x:v>
      </x:c>
    </x:row>
  </x:sheetData>
  <x:conditionalFormatting sqref="J7:J18">
    <x:cfRule type="containsText" dxfId="189" priority="1" operator="containsText" text="FAIL"/>
    <x:cfRule type="containsText" dxfId="190" priority="2" operator="containsText" text="BLOCKED"/>
    <x:cfRule type="containsText" dxfId="191" priority="3" operator="containsText" text="INVALID"/>
    <x:cfRule type="containsText" dxfId="192" priority="4" operator="containsText" text="ADVERSE"/>
    <x:cfRule type="containsText" dxfId="193" priority="5" operator="containsText" text="EXPIRED"/>
    <x:cfRule type="containsText" dxfId="194" priority="6" operator="containsText" text="OPEN"/>
    <x:cfRule type="containsText" dxfId="195" priority="7" operator="containsText" text="DORMANT"/>
    <x:cfRule type="containsText" dxfId="196" priority="8" operator="containsText" text="PASS"/>
    <x:cfRule type="containsText" dxfId="197" priority="9" operator="containsText" text="AVAILABLE"/>
  </x:conditionalFormatting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5" hidden="0" customWidth="1"/>
    <x:col min="3" max="3" width="12" hidden="0" customWidth="1"/>
    <x:col min="4" max="4" width="45" hidden="0" customWidth="1"/>
    <x:col min="5" max="5" width="19" hidden="0" customWidth="1"/>
    <x:col min="6" max="6" width="17" hidden="0" customWidth="1"/>
    <x:col min="7" max="7" width="14" hidden="0" customWidth="1"/>
    <x:col min="8" max="8" width="20" hidden="0" customWidth="1"/>
    <x:col min="9" max="9" width="34" hidden="0" customWidth="1"/>
    <x:col min="10" max="10" width="21" hidden="0" customWidth="1"/>
    <x:col min="11" max="11" width="14" hidden="0" customWidth="1"/>
  </x:cols>
  <x:sheetData>
    <x:row r="2">
      <x:c r="B2" s="39" t="str">
        <x:v>Twelve decisive QE-01 observations</x:v>
      </x:c>
      <x:c r="C2" s="26"/>
      <x:c r="D2" s="26"/>
      <x:c r="E2" s="26"/>
      <x:c r="F2" s="26"/>
      <x:c r="G2" s="26"/>
      <x:c r="H2" s="26"/>
      <x:c r="I2" s="26"/>
      <x:c r="J2" s="26"/>
      <x:c r="K2" s="26"/>
    </x:row>
    <x:row r="3">
      <x:c r="B3" s="40" t="str">
        <x:v>Every observed quantity is numeric. Missing evidence cannot be coerced into a favorable zero.</x:v>
      </x:c>
      <x:c r="C3" s="26"/>
      <x:c r="D3" s="26"/>
      <x:c r="E3" s="26"/>
      <x:c r="F3" s="26"/>
      <x:c r="G3" s="26"/>
      <x:c r="H3" s="26"/>
      <x:c r="I3" s="26"/>
      <x:c r="J3" s="26"/>
      <x:c r="K3" s="26"/>
    </x:row>
    <x:row r="4">
      <x:c r="B4" s="26"/>
      <x:c r="C4" s="26"/>
      <x:c r="D4" s="26"/>
      <x:c r="E4" s="26"/>
      <x:c r="F4" s="26"/>
      <x:c r="G4" s="26"/>
      <x:c r="H4" s="26"/>
      <x:c r="I4" s="26"/>
      <x:c r="J4" s="26"/>
      <x:c r="K4" s="26"/>
    </x:row>
    <x:row r="5">
      <x:c r="B5" s="26"/>
      <x:c r="C5" s="26"/>
      <x:c r="D5" s="26"/>
      <x:c r="E5" s="26"/>
      <x:c r="F5" s="26"/>
      <x:c r="G5" s="26"/>
      <x:c r="H5" s="26"/>
      <x:c r="I5" s="26"/>
      <x:c r="J5" s="26"/>
      <x:c r="K5" s="26"/>
    </x:row>
    <x:row r="6" ht="24" customHeight="1">
      <x:c r="B6" s="41" t="str">
        <x:v>Observation</x:v>
      </x:c>
      <x:c r="C6" s="41" t="str">
        <x:v>Sequence</x:v>
      </x:c>
      <x:c r="D6" s="41" t="str">
        <x:v>Quantity</x:v>
      </x:c>
      <x:c r="E6" s="41" t="str">
        <x:v>Required value</x:v>
      </x:c>
      <x:c r="F6" s="41" t="str">
        <x:v>Unit</x:v>
      </x:c>
      <x:c r="G6" s="41" t="str">
        <x:v>Operator</x:v>
      </x:c>
      <x:c r="H6" s="41" t="str">
        <x:v>Observed value</x:v>
      </x:c>
      <x:c r="I6" s="41" t="str">
        <x:v>Evidence root</x:v>
      </x:c>
      <x:c r="J6" s="41" t="str">
        <x:v>Accepted UTC</x:v>
      </x:c>
      <x:c r="K6" s="41" t="str">
        <x:v>State</x:v>
      </x:c>
    </x:row>
    <x:row r="7">
      <x:c r="B7" s="26" t="str">
        <x:v>OB-01</x:v>
      </x:c>
      <x:c r="C7" s="26" t="n">
        <x:v>1</x:v>
      </x:c>
      <x:c r="D7" s="26" t="str">
        <x:v>source admitted</x:v>
      </x:c>
      <x:c r="E7" s="26" t="n">
        <x:v>0</x:v>
      </x:c>
      <x:c r="F7" s="26" t="str">
        <x:v>kg</x:v>
      </x:c>
      <x:c r="G7" s="26" t="str">
        <x:v>EQ</x:v>
      </x:c>
      <x:c r="H7" s="26" t="str"/>
      <x:c r="I7" s="26" t="str"/>
      <x:c r="J7" s="26" t="str"/>
      <x:c r="K7" s="26" t="str">
        <x:f>IF(J7="","OPEN",IF(OR(NOT(ISNUMBER(H7)),I7=""),"FAIL",IF(OR(AND(G7="EQ",H7=E7),AND(G7="LE",H7&lt;=E7),AND(G7="GE",H7&gt;=E7)),"PASS","FAIL")))</x:f>
        <x:v>OPEN</x:v>
      </x:c>
    </x:row>
    <x:row r="8">
      <x:c r="B8" s="26" t="str">
        <x:v>OB-02</x:v>
      </x:c>
      <x:c r="C8" s="26" t="n">
        <x:v>2</x:v>
      </x:c>
      <x:c r="D8" s="26" t="str">
        <x:v>water admitted</x:v>
      </x:c>
      <x:c r="E8" s="26" t="n">
        <x:v>0</x:v>
      </x:c>
      <x:c r="F8" s="26" t="str">
        <x:v>m3</x:v>
      </x:c>
      <x:c r="G8" s="26" t="str">
        <x:v>EQ</x:v>
      </x:c>
      <x:c r="H8" s="26" t="str"/>
      <x:c r="I8" s="26" t="str"/>
      <x:c r="J8" s="26" t="str"/>
      <x:c r="K8" s="26" t="str">
        <x:f>IF(J8="","OPEN",IF(OR(NOT(ISNUMBER(H8)),I8=""),"FAIL",IF(OR(AND(G8="EQ",H8=E8),AND(G8="LE",H8&lt;=E8),AND(G8="GE",H8&gt;=E8)),"PASS","FAIL")))</x:f>
        <x:v>OPEN</x:v>
      </x:c>
    </x:row>
    <x:row r="9">
      <x:c r="B9" s="26" t="str">
        <x:v>OB-03</x:v>
      </x:c>
      <x:c r="C9" s="26" t="n">
        <x:v>3</x:v>
      </x:c>
      <x:c r="D9" s="26" t="str">
        <x:v>ignition commands</x:v>
      </x:c>
      <x:c r="E9" s="26" t="n">
        <x:v>0</x:v>
      </x:c>
      <x:c r="F9" s="26" t="str">
        <x:v>count</x:v>
      </x:c>
      <x:c r="G9" s="26" t="str">
        <x:v>EQ</x:v>
      </x:c>
      <x:c r="H9" s="26" t="str"/>
      <x:c r="I9" s="26" t="str"/>
      <x:c r="J9" s="26" t="str"/>
      <x:c r="K9" s="26" t="str">
        <x:f>IF(J9="","OPEN",IF(OR(NOT(ISNUMBER(H9)),I9=""),"FAIL",IF(OR(AND(G9="EQ",H9=E9),AND(G9="LE",H9&lt;=E9),AND(G9="GE",H9&gt;=E9)),"PASS","FAIL")))</x:f>
        <x:v>OPEN</x:v>
      </x:c>
    </x:row>
    <x:row r="10">
      <x:c r="B10" s="26" t="str">
        <x:v>OB-04</x:v>
      </x:c>
      <x:c r="C10" s="26" t="n">
        <x:v>4</x:v>
      </x:c>
      <x:c r="D10" s="26" t="str">
        <x:v>occupied source area</x:v>
      </x:c>
      <x:c r="E10" s="26" t="n">
        <x:v>0</x:v>
      </x:c>
      <x:c r="F10" s="26" t="str">
        <x:v>m2</x:v>
      </x:c>
      <x:c r="G10" s="26" t="str">
        <x:v>EQ</x:v>
      </x:c>
      <x:c r="H10" s="26" t="str"/>
      <x:c r="I10" s="26" t="str"/>
      <x:c r="J10" s="26" t="str"/>
      <x:c r="K10" s="26" t="str">
        <x:f>IF(J10="","OPEN",IF(OR(NOT(ISNUMBER(H10)),I10=""),"FAIL",IF(OR(AND(G10="EQ",H10=E10),AND(G10="LE",H10&lt;=E10),AND(G10="GE",H10&gt;=E10)),"PASS","FAIL")))</x:f>
        <x:v>OPEN</x:v>
      </x:c>
    </x:row>
    <x:row r="11">
      <x:c r="B11" s="26" t="str">
        <x:v>OB-05</x:v>
      </x:c>
      <x:c r="C11" s="26" t="n">
        <x:v>5</x:v>
      </x:c>
      <x:c r="D11" s="26" t="str">
        <x:v>source upper decision</x:v>
      </x:c>
      <x:c r="E11" s="26" t="n">
        <x:v>0.1</x:v>
      </x:c>
      <x:c r="F11" s="26" t="str">
        <x:v>kg</x:v>
      </x:c>
      <x:c r="G11" s="26" t="str">
        <x:v>LE</x:v>
      </x:c>
      <x:c r="H11" s="26" t="str"/>
      <x:c r="I11" s="26" t="str"/>
      <x:c r="J11" s="26" t="str"/>
      <x:c r="K11" s="26" t="str">
        <x:f>IF(J11="","OPEN",IF(OR(NOT(ISNUMBER(H11)),I11=""),"FAIL",IF(OR(AND(G11="EQ",H11=E11),AND(G11="LE",H11&lt;=E11),AND(G11="GE",H11&gt;=E11)),"PASS","FAIL")))</x:f>
        <x:v>OPEN</x:v>
      </x:c>
    </x:row>
    <x:row r="12">
      <x:c r="B12" s="26" t="str">
        <x:v>OB-06</x:v>
      </x:c>
      <x:c r="C12" s="26" t="n">
        <x:v>6</x:v>
      </x:c>
      <x:c r="D12" s="26" t="str">
        <x:v>water upper decision</x:v>
      </x:c>
      <x:c r="E12" s="26" t="n">
        <x:v>0.025</x:v>
      </x:c>
      <x:c r="F12" s="26" t="str">
        <x:v>m3</x:v>
      </x:c>
      <x:c r="G12" s="26" t="str">
        <x:v>LE</x:v>
      </x:c>
      <x:c r="H12" s="26" t="str"/>
      <x:c r="I12" s="26" t="str"/>
      <x:c r="J12" s="26" t="str"/>
      <x:c r="K12" s="26" t="str">
        <x:f>IF(J12="","OPEN",IF(OR(NOT(ISNUMBER(H12)),I12=""),"FAIL",IF(OR(AND(G12="EQ",H12=E12),AND(G12="LE",H12&lt;=E12),AND(G12="GE",H12&gt;=E12)),"PASS","FAIL")))</x:f>
        <x:v>OPEN</x:v>
      </x:c>
    </x:row>
    <x:row r="13">
      <x:c r="B13" s="26" t="str">
        <x:v>OB-07</x:v>
      </x:c>
      <x:c r="C13" s="26" t="n">
        <x:v>7</x:v>
      </x:c>
      <x:c r="D13" s="26" t="str">
        <x:v>uncontrolled source at thirty seconds</x:v>
      </x:c>
      <x:c r="E13" s="26" t="n">
        <x:v>0.1</x:v>
      </x:c>
      <x:c r="F13" s="26" t="str">
        <x:v>kg</x:v>
      </x:c>
      <x:c r="G13" s="26" t="str">
        <x:v>LE</x:v>
      </x:c>
      <x:c r="H13" s="26" t="str"/>
      <x:c r="I13" s="26" t="str"/>
      <x:c r="J13" s="26" t="str"/>
      <x:c r="K13" s="26" t="str">
        <x:f>IF(J13="","OPEN",IF(OR(NOT(ISNUMBER(H13)),I13=""),"FAIL",IF(OR(AND(G13="EQ",H13=E13),AND(G13="LE",H13&lt;=E13),AND(G13="GE",H13&gt;=E13)),"PASS","FAIL")))</x:f>
        <x:v>OPEN</x:v>
      </x:c>
    </x:row>
    <x:row r="14">
      <x:c r="B14" s="26" t="str">
        <x:v>OB-08</x:v>
      </x:c>
      <x:c r="C14" s="26" t="n">
        <x:v>8</x:v>
      </x:c>
      <x:c r="D14" s="26" t="str">
        <x:v>environment source upper decision</x:v>
      </x:c>
      <x:c r="E14" s="26" t="n">
        <x:v>0.1</x:v>
      </x:c>
      <x:c r="F14" s="26" t="str">
        <x:v>kg</x:v>
      </x:c>
      <x:c r="G14" s="26" t="str">
        <x:v>LE</x:v>
      </x:c>
      <x:c r="H14" s="26" t="str"/>
      <x:c r="I14" s="26" t="str"/>
      <x:c r="J14" s="26" t="str"/>
      <x:c r="K14" s="26" t="str">
        <x:f>IF(J14="","OPEN",IF(OR(NOT(ISNUMBER(H14)),I14=""),"FAIL",IF(OR(AND(G14="EQ",H14=E14),AND(G14="LE",H14&lt;=E14),AND(G14="GE",H14&gt;=E14)),"PASS","FAIL")))</x:f>
        <x:v>OPEN</x:v>
      </x:c>
    </x:row>
    <x:row r="15">
      <x:c r="B15" s="26" t="str">
        <x:v>OB-09</x:v>
      </x:c>
      <x:c r="C15" s="26" t="n">
        <x:v>9</x:v>
      </x:c>
      <x:c r="D15" s="26" t="str">
        <x:v>final control elements in required state</x:v>
      </x:c>
      <x:c r="E15" s="26" t="n">
        <x:v>12</x:v>
      </x:c>
      <x:c r="F15" s="26" t="str">
        <x:v>count</x:v>
      </x:c>
      <x:c r="G15" s="26" t="str">
        <x:v>GE</x:v>
      </x:c>
      <x:c r="H15" s="26" t="str"/>
      <x:c r="I15" s="26" t="str"/>
      <x:c r="J15" s="26" t="str"/>
      <x:c r="K15" s="26" t="str">
        <x:f>IF(J15="","OPEN",IF(OR(NOT(ISNUMBER(H15)),I15=""),"FAIL",IF(OR(AND(G15="EQ",H15=E15),AND(G15="LE",H15&lt;=E15),AND(G15="GE",H15&gt;=E15)),"PASS","FAIL")))</x:f>
        <x:v>OPEN</x:v>
      </x:c>
    </x:row>
    <x:row r="16">
      <x:c r="B16" s="26" t="str">
        <x:v>OB-10</x:v>
      </x:c>
      <x:c r="C16" s="26" t="n">
        <x:v>10</x:v>
      </x:c>
      <x:c r="D16" s="26" t="str">
        <x:v>native evidence originals</x:v>
      </x:c>
      <x:c r="E16" s="26" t="n">
        <x:v>2</x:v>
      </x:c>
      <x:c r="F16" s="26" t="str">
        <x:v>count</x:v>
      </x:c>
      <x:c r="G16" s="26" t="str">
        <x:v>GE</x:v>
      </x:c>
      <x:c r="H16" s="26" t="str"/>
      <x:c r="I16" s="26" t="str"/>
      <x:c r="J16" s="26" t="str"/>
      <x:c r="K16" s="26" t="str">
        <x:f>IF(J16="","OPEN",IF(OR(NOT(ISNUMBER(H16)),I16=""),"FAIL",IF(OR(AND(G16="EQ",H16=E16),AND(G16="LE",H16&lt;=E16),AND(G16="GE",H16&gt;=E16)),"PASS","FAIL")))</x:f>
        <x:v>OPEN</x:v>
      </x:c>
    </x:row>
    <x:row r="17">
      <x:c r="B17" s="26" t="str">
        <x:v>OB-11</x:v>
      </x:c>
      <x:c r="C17" s="26" t="n">
        <x:v>11</x:v>
      </x:c>
      <x:c r="D17" s="26" t="str">
        <x:v>neighbor deviations</x:v>
      </x:c>
      <x:c r="E17" s="26" t="n">
        <x:v>0</x:v>
      </x:c>
      <x:c r="F17" s="26" t="str">
        <x:v>count</x:v>
      </x:c>
      <x:c r="G17" s="26" t="str">
        <x:v>EQ</x:v>
      </x:c>
      <x:c r="H17" s="26" t="str"/>
      <x:c r="I17" s="26" t="str"/>
      <x:c r="J17" s="26" t="str"/>
      <x:c r="K17" s="26" t="str">
        <x:f>IF(J17="","OPEN",IF(OR(NOT(ISNUMBER(H17)),I17=""),"FAIL",IF(OR(AND(G17="EQ",H17=E17),AND(G17="LE",H17&lt;=E17),AND(G17="GE",H17&gt;=E17)),"PASS","FAIL")))</x:f>
        <x:v>OPEN</x:v>
      </x:c>
    </x:row>
    <x:row r="18">
      <x:c r="B18" s="26" t="str">
        <x:v>OB-12</x:v>
      </x:c>
      <x:c r="C18" s="26" t="n">
        <x:v>12</x:v>
      </x:c>
      <x:c r="D18" s="26" t="str">
        <x:v>unregistered interventions</x:v>
      </x:c>
      <x:c r="E18" s="26" t="n">
        <x:v>0</x:v>
      </x:c>
      <x:c r="F18" s="26" t="str">
        <x:v>count</x:v>
      </x:c>
      <x:c r="G18" s="26" t="str">
        <x:v>EQ</x:v>
      </x:c>
      <x:c r="H18" s="26" t="str"/>
      <x:c r="I18" s="26" t="str"/>
      <x:c r="J18" s="26" t="str"/>
      <x:c r="K18" s="26" t="str">
        <x:f>IF(J18="","OPEN",IF(OR(NOT(ISNUMBER(H18)),I18=""),"FAIL",IF(OR(AND(G18="EQ",H18=E18),AND(G18="LE",H18&lt;=E18),AND(G18="GE",H18&gt;=E18)),"PASS","FAIL")))</x:f>
        <x:v>OPEN</x:v>
      </x:c>
    </x:row>
  </x:sheetData>
  <x:conditionalFormatting sqref="K7:K18">
    <x:cfRule type="containsText" dxfId="198" priority="1" operator="containsText" text="FAIL"/>
    <x:cfRule type="containsText" dxfId="199" priority="2" operator="containsText" text="BLOCKED"/>
    <x:cfRule type="containsText" dxfId="200" priority="3" operator="containsText" text="INVALID"/>
    <x:cfRule type="containsText" dxfId="201" priority="4" operator="containsText" text="ADVERSE"/>
    <x:cfRule type="containsText" dxfId="202" priority="5" operator="containsText" text="EXPIRED"/>
    <x:cfRule type="containsText" dxfId="203" priority="6" operator="containsText" text="OPEN"/>
    <x:cfRule type="containsText" dxfId="204" priority="7" operator="containsText" text="DORMANT"/>
    <x:cfRule type="containsText" dxfId="205" priority="8" operator="containsText" text="PASS"/>
    <x:cfRule type="containsText" dxfId="206" priority="9" operator="containsText" text="AVAILABLE"/>
  </x:conditionalFormatting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5" hidden="0" customWidth="1"/>
    <x:col min="3" max="3" width="12" hidden="0" customWidth="1"/>
    <x:col min="4" max="4" width="33" hidden="0" customWidth="1"/>
    <x:col min="5" max="5" width="19" hidden="0" customWidth="1"/>
    <x:col min="6" max="6" width="14" hidden="0" customWidth="1"/>
    <x:col min="7" max="7" width="20" hidden="0" customWidth="1"/>
    <x:col min="8" max="8" width="18" hidden="0" customWidth="1"/>
    <x:col min="9" max="9" width="34" hidden="0" customWidth="1"/>
    <x:col min="10" max="10" width="21" hidden="0" customWidth="1"/>
    <x:col min="11" max="11" width="14" hidden="0" customWidth="1"/>
  </x:cols>
  <x:sheetData>
    <x:row r="2">
      <x:c r="B2" s="39" t="str">
        <x:v>Seven-line numeric-zero source ledger</x:v>
      </x:c>
      <x:c r="C2" s="26"/>
      <x:c r="D2" s="26"/>
      <x:c r="E2" s="26"/>
      <x:c r="F2" s="26"/>
      <x:c r="G2" s="26"/>
      <x:c r="H2" s="26"/>
      <x:c r="I2" s="26"/>
      <x:c r="J2" s="26"/>
      <x:c r="K2" s="26"/>
    </x:row>
    <x:row r="3">
      <x:c r="B3" s="40" t="str">
        <x:v>Every destination reports a numeric estimate. The unlike-root upper decision remains a separate conjunctive requirement.</x:v>
      </x:c>
      <x:c r="C3" s="26"/>
      <x:c r="D3" s="26"/>
      <x:c r="E3" s="26"/>
      <x:c r="F3" s="26"/>
      <x:c r="G3" s="26"/>
      <x:c r="H3" s="26"/>
      <x:c r="I3" s="26"/>
      <x:c r="J3" s="26"/>
      <x:c r="K3" s="26"/>
    </x:row>
    <x:row r="4">
      <x:c r="B4" s="26"/>
      <x:c r="C4" s="26"/>
      <x:c r="D4" s="26"/>
      <x:c r="E4" s="26"/>
      <x:c r="F4" s="26"/>
      <x:c r="G4" s="26"/>
      <x:c r="H4" s="26"/>
      <x:c r="I4" s="26"/>
      <x:c r="J4" s="26"/>
      <x:c r="K4" s="26"/>
    </x:row>
    <x:row r="5">
      <x:c r="B5" s="26"/>
      <x:c r="C5" s="26"/>
      <x:c r="D5" s="26"/>
      <x:c r="E5" s="26"/>
      <x:c r="F5" s="26"/>
      <x:c r="G5" s="26"/>
      <x:c r="H5" s="26"/>
      <x:c r="I5" s="26"/>
      <x:c r="J5" s="26"/>
      <x:c r="K5" s="26"/>
    </x:row>
    <x:row r="6" ht="24" customHeight="1">
      <x:c r="B6" s="41" t="str">
        <x:v>Line</x:v>
      </x:c>
      <x:c r="C6" s="41" t="str">
        <x:v>Sequence</x:v>
      </x:c>
      <x:c r="D6" s="41" t="str">
        <x:v>Destination</x:v>
      </x:c>
      <x:c r="E6" s="41" t="str">
        <x:v>Required mass</x:v>
      </x:c>
      <x:c r="F6" s="41" t="str">
        <x:v>Unit</x:v>
      </x:c>
      <x:c r="G6" s="41" t="str">
        <x:v>Observed mass</x:v>
      </x:c>
      <x:c r="H6" s="41" t="str">
        <x:v>Uncertainty</x:v>
      </x:c>
      <x:c r="I6" s="41" t="str">
        <x:v>Evidence root</x:v>
      </x:c>
      <x:c r="J6" s="41" t="str">
        <x:v>Accepted UTC</x:v>
      </x:c>
      <x:c r="K6" s="41" t="str">
        <x:v>State</x:v>
      </x:c>
    </x:row>
    <x:row r="7">
      <x:c r="B7" s="26" t="str">
        <x:v>SL-01</x:v>
      </x:c>
      <x:c r="C7" s="26" t="n">
        <x:v>1</x:v>
      </x:c>
      <x:c r="D7" s="26" t="str">
        <x:v>admitted source</x:v>
      </x:c>
      <x:c r="E7" s="33" t="n">
        <x:v>0</x:v>
      </x:c>
      <x:c r="F7" s="33" t="str">
        <x:v>kg</x:v>
      </x:c>
      <x:c r="G7" s="33" t="str"/>
      <x:c r="H7" s="33" t="str"/>
      <x:c r="I7" s="26" t="str"/>
      <x:c r="J7" s="26" t="str"/>
      <x:c r="K7" s="26" t="str">
        <x:f>IF(J7="","OPEN",IF(AND(ISNUMBER(G7),G7=E7,ISNUMBER(H7),I7&lt;&gt;""),"PASS","FAIL"))</x:f>
        <x:v>OPEN</x:v>
      </x:c>
    </x:row>
    <x:row r="8">
      <x:c r="B8" s="26" t="str">
        <x:v>SL-02</x:v>
      </x:c>
      <x:c r="C8" s="26" t="n">
        <x:v>2</x:v>
      </x:c>
      <x:c r="D8" s="26" t="str">
        <x:v>source-vessel residual</x:v>
      </x:c>
      <x:c r="E8" s="33" t="n">
        <x:v>0</x:v>
      </x:c>
      <x:c r="F8" s="33" t="str">
        <x:v>kg</x:v>
      </x:c>
      <x:c r="G8" s="33" t="str"/>
      <x:c r="H8" s="33" t="str"/>
      <x:c r="I8" s="26" t="str"/>
      <x:c r="J8" s="26" t="str"/>
      <x:c r="K8" s="26" t="str">
        <x:f>IF(J8="","OPEN",IF(AND(ISNUMBER(G8),G8=E8,ISNUMBER(H8),I8&lt;&gt;""),"PASS","FAIL"))</x:f>
        <x:v>OPEN</x:v>
      </x:c>
    </x:row>
    <x:row r="9">
      <x:c r="B9" s="26" t="str">
        <x:v>SL-03</x:v>
      </x:c>
      <x:c r="C9" s="26" t="n">
        <x:v>3</x:v>
      </x:c>
      <x:c r="D9" s="26" t="str">
        <x:v>normal receiver</x:v>
      </x:c>
      <x:c r="E9" s="33" t="n">
        <x:v>0</x:v>
      </x:c>
      <x:c r="F9" s="33" t="str">
        <x:v>kg</x:v>
      </x:c>
      <x:c r="G9" s="33" t="str"/>
      <x:c r="H9" s="33" t="str"/>
      <x:c r="I9" s="26" t="str"/>
      <x:c r="J9" s="26" t="str"/>
      <x:c r="K9" s="26" t="str">
        <x:f>IF(J9="","OPEN",IF(AND(ISNUMBER(G9),G9=E9,ISNUMBER(H9),I9&lt;&gt;""),"PASS","FAIL"))</x:f>
        <x:v>OPEN</x:v>
      </x:c>
    </x:row>
    <x:row r="10">
      <x:c r="B10" s="26" t="str">
        <x:v>SL-04</x:v>
      </x:c>
      <x:c r="C10" s="26" t="n">
        <x:v>4</x:v>
      </x:c>
      <x:c r="D10" s="26" t="str">
        <x:v>casualty receiver</x:v>
      </x:c>
      <x:c r="E10" s="33" t="n">
        <x:v>0</x:v>
      </x:c>
      <x:c r="F10" s="33" t="str">
        <x:v>kg</x:v>
      </x:c>
      <x:c r="G10" s="33" t="str"/>
      <x:c r="H10" s="33" t="str"/>
      <x:c r="I10" s="26" t="str"/>
      <x:c r="J10" s="26" t="str"/>
      <x:c r="K10" s="26" t="str">
        <x:f>IF(J10="","OPEN",IF(AND(ISNUMBER(G10),G10=E10,ISNUMBER(H10),I10&lt;&gt;""),"PASS","FAIL"))</x:f>
        <x:v>OPEN</x:v>
      </x:c>
    </x:row>
    <x:row r="11">
      <x:c r="B11" s="26" t="str">
        <x:v>SL-05</x:v>
      </x:c>
      <x:c r="C11" s="26" t="n">
        <x:v>5</x:v>
      </x:c>
      <x:c r="D11" s="26" t="str">
        <x:v>route or surface</x:v>
      </x:c>
      <x:c r="E11" s="33" t="n">
        <x:v>0</x:v>
      </x:c>
      <x:c r="F11" s="33" t="str">
        <x:v>kg</x:v>
      </x:c>
      <x:c r="G11" s="33" t="str"/>
      <x:c r="H11" s="33" t="str"/>
      <x:c r="I11" s="26" t="str"/>
      <x:c r="J11" s="26" t="str"/>
      <x:c r="K11" s="26" t="str">
        <x:f>IF(J11="","OPEN",IF(AND(ISNUMBER(G11),G11=E11,ISNUMBER(H11),I11&lt;&gt;""),"PASS","FAIL"))</x:f>
        <x:v>OPEN</x:v>
      </x:c>
    </x:row>
    <x:row r="12">
      <x:c r="B12" s="26" t="str">
        <x:v>SL-06</x:v>
      </x:c>
      <x:c r="C12" s="26" t="n">
        <x:v>6</x:v>
      </x:c>
      <x:c r="D12" s="26" t="str">
        <x:v>samples</x:v>
      </x:c>
      <x:c r="E12" s="33" t="n">
        <x:v>0</x:v>
      </x:c>
      <x:c r="F12" s="33" t="str">
        <x:v>kg</x:v>
      </x:c>
      <x:c r="G12" s="33" t="str"/>
      <x:c r="H12" s="33" t="str"/>
      <x:c r="I12" s="26" t="str"/>
      <x:c r="J12" s="26" t="str"/>
      <x:c r="K12" s="26" t="str">
        <x:f>IF(J12="","OPEN",IF(AND(ISNUMBER(G12),G12=E12,ISNUMBER(H12),I12&lt;&gt;""),"PASS","FAIL"))</x:f>
        <x:v>OPEN</x:v>
      </x:c>
    </x:row>
    <x:row r="13">
      <x:c r="B13" s="26" t="str">
        <x:v>SL-07</x:v>
      </x:c>
      <x:c r="C13" s="26" t="n">
        <x:v>7</x:v>
      </x:c>
      <x:c r="D13" s="26" t="str">
        <x:v>environment</x:v>
      </x:c>
      <x:c r="E13" s="33" t="n">
        <x:v>0</x:v>
      </x:c>
      <x:c r="F13" s="33" t="str">
        <x:v>kg</x:v>
      </x:c>
      <x:c r="G13" s="33" t="str"/>
      <x:c r="H13" s="33" t="str"/>
      <x:c r="I13" s="26" t="str"/>
      <x:c r="J13" s="26" t="str"/>
      <x:c r="K13" s="26" t="str">
        <x:f>IF(J13="","OPEN",IF(AND(ISNUMBER(G13),G13=E13,ISNUMBER(H13),I13&lt;&gt;""),"PASS","FAIL"))</x:f>
        <x:v>OPEN</x:v>
      </x:c>
    </x:row>
  </x:sheetData>
  <x:conditionalFormatting sqref="K7:K13">
    <x:cfRule type="containsText" dxfId="207" priority="1" operator="containsText" text="FAIL"/>
    <x:cfRule type="containsText" dxfId="208" priority="2" operator="containsText" text="BLOCKED"/>
    <x:cfRule type="containsText" dxfId="209" priority="3" operator="containsText" text="INVALID"/>
    <x:cfRule type="containsText" dxfId="210" priority="4" operator="containsText" text="ADVERSE"/>
    <x:cfRule type="containsText" dxfId="211" priority="5" operator="containsText" text="EXPIRED"/>
    <x:cfRule type="containsText" dxfId="212" priority="6" operator="containsText" text="OPEN"/>
    <x:cfRule type="containsText" dxfId="213" priority="7" operator="containsText" text="DORMANT"/>
    <x:cfRule type="containsText" dxfId="214" priority="8" operator="containsText" text="PASS"/>
    <x:cfRule type="containsText" dxfId="215" priority="9" operator="containsText" text="AVAILABLE"/>
  </x:conditionalFormatting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5" hidden="0" customWidth="1"/>
    <x:col min="3" max="3" width="12" hidden="0" customWidth="1"/>
    <x:col min="4" max="4" width="33" hidden="0" customWidth="1"/>
    <x:col min="5" max="5" width="19" hidden="0" customWidth="1"/>
    <x:col min="6" max="6" width="14" hidden="0" customWidth="1"/>
    <x:col min="7" max="7" width="20" hidden="0" customWidth="1"/>
    <x:col min="8" max="8" width="18" hidden="0" customWidth="1"/>
    <x:col min="9" max="9" width="34" hidden="0" customWidth="1"/>
    <x:col min="10" max="10" width="21" hidden="0" customWidth="1"/>
    <x:col min="11" max="11" width="14" hidden="0" customWidth="1"/>
  </x:cols>
  <x:sheetData>
    <x:row r="2">
      <x:c r="B2" s="39" t="str">
        <x:v>Eight-line numeric-zero water ledger</x:v>
      </x:c>
      <x:c r="C2" s="26"/>
      <x:c r="D2" s="26"/>
      <x:c r="E2" s="26"/>
      <x:c r="F2" s="26"/>
      <x:c r="G2" s="26"/>
      <x:c r="H2" s="26"/>
      <x:c r="I2" s="26"/>
      <x:c r="J2" s="26"/>
      <x:c r="K2" s="26"/>
    </x:row>
    <x:row r="3">
      <x:c r="B3" s="40" t="str">
        <x:v>Weather, intervention and residual inventories remain explicit even when the accepted total is zero.</x:v>
      </x:c>
      <x:c r="C3" s="26"/>
      <x:c r="D3" s="26"/>
      <x:c r="E3" s="26"/>
      <x:c r="F3" s="26"/>
      <x:c r="G3" s="26"/>
      <x:c r="H3" s="26"/>
      <x:c r="I3" s="26"/>
      <x:c r="J3" s="26"/>
      <x:c r="K3" s="26"/>
    </x:row>
    <x:row r="4">
      <x:c r="B4" s="26"/>
      <x:c r="C4" s="26"/>
      <x:c r="D4" s="26"/>
      <x:c r="E4" s="26"/>
      <x:c r="F4" s="26"/>
      <x:c r="G4" s="26"/>
      <x:c r="H4" s="26"/>
      <x:c r="I4" s="26"/>
      <x:c r="J4" s="26"/>
      <x:c r="K4" s="26"/>
    </x:row>
    <x:row r="5">
      <x:c r="B5" s="26"/>
      <x:c r="C5" s="26"/>
      <x:c r="D5" s="26"/>
      <x:c r="E5" s="26"/>
      <x:c r="F5" s="26"/>
      <x:c r="G5" s="26"/>
      <x:c r="H5" s="26"/>
      <x:c r="I5" s="26"/>
      <x:c r="J5" s="26"/>
      <x:c r="K5" s="26"/>
    </x:row>
    <x:row r="6" ht="24" customHeight="1">
      <x:c r="B6" s="41" t="str">
        <x:v>Line</x:v>
      </x:c>
      <x:c r="C6" s="41" t="str">
        <x:v>Sequence</x:v>
      </x:c>
      <x:c r="D6" s="41" t="str">
        <x:v>Destination</x:v>
      </x:c>
      <x:c r="E6" s="41" t="str">
        <x:v>Required volume</x:v>
      </x:c>
      <x:c r="F6" s="41" t="str">
        <x:v>Unit</x:v>
      </x:c>
      <x:c r="G6" s="41" t="str">
        <x:v>Observed volume</x:v>
      </x:c>
      <x:c r="H6" s="41" t="str">
        <x:v>Uncertainty</x:v>
      </x:c>
      <x:c r="I6" s="41" t="str">
        <x:v>Evidence root</x:v>
      </x:c>
      <x:c r="J6" s="41" t="str">
        <x:v>Accepted UTC</x:v>
      </x:c>
      <x:c r="K6" s="41" t="str">
        <x:v>State</x:v>
      </x:c>
    </x:row>
    <x:row r="7">
      <x:c r="B7" s="26" t="str">
        <x:v>WL-01</x:v>
      </x:c>
      <x:c r="C7" s="26" t="n">
        <x:v>1</x:v>
      </x:c>
      <x:c r="D7" s="26" t="str">
        <x:v>initial water</x:v>
      </x:c>
      <x:c r="E7" s="33" t="n">
        <x:v>0</x:v>
      </x:c>
      <x:c r="F7" s="33" t="str">
        <x:v>m3</x:v>
      </x:c>
      <x:c r="G7" s="33" t="str"/>
      <x:c r="H7" s="33" t="str"/>
      <x:c r="I7" s="26" t="str"/>
      <x:c r="J7" s="26" t="str"/>
      <x:c r="K7" s="26" t="str">
        <x:f>IF(J7="","OPEN",IF(AND(ISNUMBER(G7),G7=E7,ISNUMBER(H7),I7&lt;&gt;""),"PASS","FAIL"))</x:f>
        <x:v>OPEN</x:v>
      </x:c>
    </x:row>
    <x:row r="8">
      <x:c r="B8" s="26" t="str">
        <x:v>WL-02</x:v>
      </x:c>
      <x:c r="C8" s="26" t="n">
        <x:v>2</x:v>
      </x:c>
      <x:c r="D8" s="26" t="str">
        <x:v>supplied water</x:v>
      </x:c>
      <x:c r="E8" s="33" t="n">
        <x:v>0</x:v>
      </x:c>
      <x:c r="F8" s="33" t="str">
        <x:v>m3</x:v>
      </x:c>
      <x:c r="G8" s="33" t="str"/>
      <x:c r="H8" s="33" t="str"/>
      <x:c r="I8" s="26" t="str"/>
      <x:c r="J8" s="26" t="str"/>
      <x:c r="K8" s="26" t="str">
        <x:f>IF(J8="","OPEN",IF(AND(ISNUMBER(G8),G8=E8,ISNUMBER(H8),I8&lt;&gt;""),"PASS","FAIL"))</x:f>
        <x:v>OPEN</x:v>
      </x:c>
    </x:row>
    <x:row r="9">
      <x:c r="B9" s="26" t="str">
        <x:v>WL-03</x:v>
      </x:c>
      <x:c r="C9" s="26" t="n">
        <x:v>3</x:v>
      </x:c>
      <x:c r="D9" s="26" t="str">
        <x:v>return water</x:v>
      </x:c>
      <x:c r="E9" s="33" t="n">
        <x:v>0</x:v>
      </x:c>
      <x:c r="F9" s="33" t="str">
        <x:v>m3</x:v>
      </x:c>
      <x:c r="G9" s="33" t="str"/>
      <x:c r="H9" s="33" t="str"/>
      <x:c r="I9" s="26" t="str"/>
      <x:c r="J9" s="26" t="str"/>
      <x:c r="K9" s="26" t="str">
        <x:f>IF(J9="","OPEN",IF(AND(ISNUMBER(G9),G9=E9,ISNUMBER(H9),I9&lt;&gt;""),"PASS","FAIL"))</x:f>
        <x:v>OPEN</x:v>
      </x:c>
    </x:row>
    <x:row r="10">
      <x:c r="B10" s="26" t="str">
        <x:v>WL-04</x:v>
      </x:c>
      <x:c r="C10" s="26" t="n">
        <x:v>4</x:v>
      </x:c>
      <x:c r="D10" s="26" t="str">
        <x:v>normal storage</x:v>
      </x:c>
      <x:c r="E10" s="33" t="n">
        <x:v>0</x:v>
      </x:c>
      <x:c r="F10" s="33" t="str">
        <x:v>m3</x:v>
      </x:c>
      <x:c r="G10" s="33" t="str"/>
      <x:c r="H10" s="33" t="str"/>
      <x:c r="I10" s="26" t="str"/>
      <x:c r="J10" s="26" t="str"/>
      <x:c r="K10" s="26" t="str">
        <x:f>IF(J10="","OPEN",IF(AND(ISNUMBER(G10),G10=E10,ISNUMBER(H10),I10&lt;&gt;""),"PASS","FAIL"))</x:f>
        <x:v>OPEN</x:v>
      </x:c>
    </x:row>
    <x:row r="11">
      <x:c r="B11" s="26" t="str">
        <x:v>WL-05</x:v>
      </x:c>
      <x:c r="C11" s="26" t="n">
        <x:v>5</x:v>
      </x:c>
      <x:c r="D11" s="26" t="str">
        <x:v>casualty storage</x:v>
      </x:c>
      <x:c r="E11" s="33" t="n">
        <x:v>0</x:v>
      </x:c>
      <x:c r="F11" s="33" t="str">
        <x:v>m3</x:v>
      </x:c>
      <x:c r="G11" s="33" t="str"/>
      <x:c r="H11" s="33" t="str"/>
      <x:c r="I11" s="26" t="str"/>
      <x:c r="J11" s="26" t="str"/>
      <x:c r="K11" s="26" t="str">
        <x:f>IF(J11="","OPEN",IF(AND(ISNUMBER(G11),G11=E11,ISNUMBER(H11),I11&lt;&gt;""),"PASS","FAIL"))</x:f>
        <x:v>OPEN</x:v>
      </x:c>
    </x:row>
    <x:row r="12">
      <x:c r="B12" s="26" t="str">
        <x:v>WL-06</x:v>
      </x:c>
      <x:c r="C12" s="26" t="n">
        <x:v>6</x:v>
      </x:c>
      <x:c r="D12" s="26" t="str">
        <x:v>environment</x:v>
      </x:c>
      <x:c r="E12" s="33" t="n">
        <x:v>0</x:v>
      </x:c>
      <x:c r="F12" s="33" t="str">
        <x:v>m3</x:v>
      </x:c>
      <x:c r="G12" s="33" t="str"/>
      <x:c r="H12" s="33" t="str"/>
      <x:c r="I12" s="26" t="str"/>
      <x:c r="J12" s="26" t="str"/>
      <x:c r="K12" s="26" t="str">
        <x:f>IF(J12="","OPEN",IF(AND(ISNUMBER(G12),G12=E12,ISNUMBER(H12),I12&lt;&gt;""),"PASS","FAIL"))</x:f>
        <x:v>OPEN</x:v>
      </x:c>
    </x:row>
    <x:row r="13">
      <x:c r="B13" s="26" t="str">
        <x:v>WL-07</x:v>
      </x:c>
      <x:c r="C13" s="26" t="n">
        <x:v>7</x:v>
      </x:c>
      <x:c r="D13" s="26" t="str">
        <x:v>vapor or sample</x:v>
      </x:c>
      <x:c r="E13" s="33" t="n">
        <x:v>0</x:v>
      </x:c>
      <x:c r="F13" s="33" t="str">
        <x:v>m3</x:v>
      </x:c>
      <x:c r="G13" s="33" t="str"/>
      <x:c r="H13" s="33" t="str"/>
      <x:c r="I13" s="26" t="str"/>
      <x:c r="J13" s="26" t="str"/>
      <x:c r="K13" s="26" t="str">
        <x:f>IF(J13="","OPEN",IF(AND(ISNUMBER(G13),G13=E13,ISNUMBER(H13),I13&lt;&gt;""),"PASS","FAIL"))</x:f>
        <x:v>OPEN</x:v>
      </x:c>
    </x:row>
    <x:row r="14">
      <x:c r="B14" s="26" t="str">
        <x:v>WL-08</x:v>
      </x:c>
      <x:c r="C14" s="26" t="n">
        <x:v>8</x:v>
      </x:c>
      <x:c r="D14" s="26" t="str">
        <x:v>unassigned water</x:v>
      </x:c>
      <x:c r="E14" s="33" t="n">
        <x:v>0</x:v>
      </x:c>
      <x:c r="F14" s="33" t="str">
        <x:v>m3</x:v>
      </x:c>
      <x:c r="G14" s="33" t="str"/>
      <x:c r="H14" s="33" t="str"/>
      <x:c r="I14" s="26" t="str"/>
      <x:c r="J14" s="26" t="str"/>
      <x:c r="K14" s="26" t="str">
        <x:f>IF(J14="","OPEN",IF(AND(ISNUMBER(G14),G14=E14,ISNUMBER(H14),I14&lt;&gt;""),"PASS","FAIL"))</x:f>
        <x:v>OPEN</x:v>
      </x:c>
    </x:row>
  </x:sheetData>
  <x:conditionalFormatting sqref="K7:K14">
    <x:cfRule type="containsText" dxfId="216" priority="1" operator="containsText" text="FAIL"/>
    <x:cfRule type="containsText" dxfId="217" priority="2" operator="containsText" text="BLOCKED"/>
    <x:cfRule type="containsText" dxfId="218" priority="3" operator="containsText" text="INVALID"/>
    <x:cfRule type="containsText" dxfId="219" priority="4" operator="containsText" text="ADVERSE"/>
    <x:cfRule type="containsText" dxfId="220" priority="5" operator="containsText" text="EXPIRED"/>
    <x:cfRule type="containsText" dxfId="221" priority="6" operator="containsText" text="OPEN"/>
    <x:cfRule type="containsText" dxfId="222" priority="7" operator="containsText" text="DORMANT"/>
    <x:cfRule type="containsText" dxfId="223" priority="8" operator="containsText" text="PASS"/>
    <x:cfRule type="containsText" dxfId="224" priority="9" operator="containsText" text="AVAILABLE"/>
  </x:conditionalFormatting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5" hidden="0" customWidth="1"/>
    <x:col min="3" max="3" width="12" hidden="0" customWidth="1"/>
    <x:col min="4" max="4" width="47" hidden="0" customWidth="1"/>
    <x:col min="5" max="5" width="19" hidden="0" customWidth="1"/>
    <x:col min="6" max="6" width="20" hidden="0" customWidth="1"/>
    <x:col min="7" max="7" width="34" hidden="0" customWidth="1"/>
    <x:col min="8" max="8" width="21" hidden="0" customWidth="1"/>
    <x:col min="9" max="9" width="14" hidden="0" customWidth="1"/>
  </x:cols>
  <x:sheetData>
    <x:row r="2">
      <x:c r="B2" s="39" t="str">
        <x:v>Sixteen event-validity rules</x:v>
      </x:c>
      <x:c r="C2" s="26"/>
      <x:c r="D2" s="26"/>
      <x:c r="E2" s="26"/>
      <x:c r="F2" s="26"/>
      <x:c r="G2" s="26"/>
      <x:c r="H2" s="26"/>
      <x:c r="I2" s="26"/>
    </x:row>
    <x:row r="3">
      <x:c r="B3" s="40" t="str">
        <x:v>Validity is decided before outcome. A valid adverse event remains evidence and cannot be repeated away.</x:v>
      </x:c>
      <x:c r="C3" s="26"/>
      <x:c r="D3" s="26"/>
      <x:c r="E3" s="26"/>
      <x:c r="F3" s="26"/>
      <x:c r="G3" s="26"/>
      <x:c r="H3" s="26"/>
      <x:c r="I3" s="26"/>
    </x:row>
    <x:row r="4">
      <x:c r="B4" s="26"/>
      <x:c r="C4" s="26"/>
      <x:c r="D4" s="26"/>
      <x:c r="E4" s="26"/>
      <x:c r="F4" s="26"/>
      <x:c r="G4" s="26"/>
      <x:c r="H4" s="26"/>
      <x:c r="I4" s="26"/>
    </x:row>
    <x:row r="5">
      <x:c r="B5" s="26"/>
      <x:c r="C5" s="26"/>
      <x:c r="D5" s="26"/>
      <x:c r="E5" s="26"/>
      <x:c r="F5" s="26"/>
      <x:c r="G5" s="26"/>
      <x:c r="H5" s="26"/>
      <x:c r="I5" s="26"/>
    </x:row>
    <x:row r="6" ht="24" customHeight="1">
      <x:c r="B6" s="41" t="str">
        <x:v>Rule</x:v>
      </x:c>
      <x:c r="C6" s="41" t="str">
        <x:v>Sequence</x:v>
      </x:c>
      <x:c r="D6" s="41" t="str">
        <x:v>Question</x:v>
      </x:c>
      <x:c r="E6" s="41" t="str">
        <x:v>Required result</x:v>
      </x:c>
      <x:c r="F6" s="41" t="str">
        <x:v>Observed result</x:v>
      </x:c>
      <x:c r="G6" s="41" t="str">
        <x:v>Evidence root</x:v>
      </x:c>
      <x:c r="H6" s="41" t="str">
        <x:v>Accepted UTC</x:v>
      </x:c>
      <x:c r="I6" s="41" t="str">
        <x:v>State</x:v>
      </x:c>
    </x:row>
    <x:row r="7">
      <x:c r="B7" s="26" t="str">
        <x:v>VR-01</x:v>
      </x:c>
      <x:c r="C7" s="26" t="n">
        <x:v>1</x:v>
      </x:c>
      <x:c r="D7" s="26" t="str">
        <x:v>correct article</x:v>
      </x:c>
      <x:c r="E7" s="26" t="str">
        <x:v>PASS</x:v>
      </x:c>
      <x:c r="F7" s="26" t="str"/>
      <x:c r="G7" s="26" t="str"/>
      <x:c r="H7" s="26" t="str"/>
      <x:c r="I7" s="26" t="str">
        <x:f>IF(H7="","OPEN",IF(AND(F7=E7,G7&lt;&gt;""),"PASS","FAIL"))</x:f>
        <x:v>OPEN</x:v>
      </x:c>
    </x:row>
    <x:row r="8">
      <x:c r="B8" s="26" t="str">
        <x:v>VR-02</x:v>
      </x:c>
      <x:c r="C8" s="26" t="n">
        <x:v>2</x:v>
      </x:c>
      <x:c r="D8" s="26" t="str">
        <x:v>correct rig and configuration</x:v>
      </x:c>
      <x:c r="E8" s="26" t="str">
        <x:v>PASS</x:v>
      </x:c>
      <x:c r="F8" s="26" t="str"/>
      <x:c r="G8" s="26" t="str"/>
      <x:c r="H8" s="26" t="str"/>
      <x:c r="I8" s="26" t="str">
        <x:f>IF(H8="","OPEN",IF(AND(F8=E8,G8&lt;&gt;""),"PASS","FAIL"))</x:f>
        <x:v>OPEN</x:v>
      </x:c>
    </x:row>
    <x:row r="9">
      <x:c r="B9" s="26" t="str">
        <x:v>VR-03</x:v>
      </x:c>
      <x:c r="C9" s="26" t="n">
        <x:v>3</x:v>
      </x:c>
      <x:c r="D9" s="26" t="str">
        <x:v>custody continuous</x:v>
      </x:c>
      <x:c r="E9" s="26" t="str">
        <x:v>PASS</x:v>
      </x:c>
      <x:c r="F9" s="26" t="str"/>
      <x:c r="G9" s="26" t="str"/>
      <x:c r="H9" s="26" t="str"/>
      <x:c r="I9" s="26" t="str">
        <x:f>IF(H9="","OPEN",IF(AND(F9=E9,G9&lt;&gt;""),"PASS","FAIL"))</x:f>
        <x:v>OPEN</x:v>
      </x:c>
    </x:row>
    <x:row r="10">
      <x:c r="B10" s="26" t="str">
        <x:v>VR-04</x:v>
      </x:c>
      <x:c r="C10" s="26" t="n">
        <x:v>4</x:v>
      </x:c>
      <x:c r="D10" s="26" t="str">
        <x:v>zero-source state established</x:v>
      </x:c>
      <x:c r="E10" s="26" t="str">
        <x:v>PASS</x:v>
      </x:c>
      <x:c r="F10" s="26" t="str"/>
      <x:c r="G10" s="26" t="str"/>
      <x:c r="H10" s="26" t="str"/>
      <x:c r="I10" s="26" t="str">
        <x:f>IF(H10="","OPEN",IF(AND(F10=E10,G10&lt;&gt;""),"PASS","FAIL"))</x:f>
        <x:v>OPEN</x:v>
      </x:c>
    </x:row>
    <x:row r="11">
      <x:c r="B11" s="26" t="str">
        <x:v>VR-05</x:v>
      </x:c>
      <x:c r="C11" s="26" t="n">
        <x:v>5</x:v>
      </x:c>
      <x:c r="D11" s="26" t="str">
        <x:v>zero-water state established</x:v>
      </x:c>
      <x:c r="E11" s="26" t="str">
        <x:v>PASS</x:v>
      </x:c>
      <x:c r="F11" s="26" t="str"/>
      <x:c r="G11" s="26" t="str"/>
      <x:c r="H11" s="26" t="str"/>
      <x:c r="I11" s="26" t="str">
        <x:f>IF(H11="","OPEN",IF(AND(F11=E11,G11&lt;&gt;""),"PASS","FAIL"))</x:f>
        <x:v>OPEN</x:v>
      </x:c>
    </x:row>
    <x:row r="12">
      <x:c r="B12" s="26" t="str">
        <x:v>VR-06</x:v>
      </x:c>
      <x:c r="C12" s="26" t="n">
        <x:v>6</x:v>
      </x:c>
      <x:c r="D12" s="26" t="str">
        <x:v>receiver inventories observed</x:v>
      </x:c>
      <x:c r="E12" s="26" t="str">
        <x:v>PASS</x:v>
      </x:c>
      <x:c r="F12" s="26" t="str"/>
      <x:c r="G12" s="26" t="str"/>
      <x:c r="H12" s="26" t="str"/>
      <x:c r="I12" s="26" t="str">
        <x:f>IF(H12="","OPEN",IF(AND(F12=E12,G12&lt;&gt;""),"PASS","FAIL"))</x:f>
        <x:v>OPEN</x:v>
      </x:c>
    </x:row>
    <x:row r="13">
      <x:c r="B13" s="26" t="str">
        <x:v>VR-07</x:v>
      </x:c>
      <x:c r="C13" s="26" t="n">
        <x:v>7</x:v>
      </x:c>
      <x:c r="D13" s="26" t="str">
        <x:v>control elements known</x:v>
      </x:c>
      <x:c r="E13" s="26" t="str">
        <x:v>PASS</x:v>
      </x:c>
      <x:c r="F13" s="26" t="str"/>
      <x:c r="G13" s="26" t="str"/>
      <x:c r="H13" s="26" t="str"/>
      <x:c r="I13" s="26" t="str">
        <x:f>IF(H13="","OPEN",IF(AND(F13=E13,G13&lt;&gt;""),"PASS","FAIL"))</x:f>
        <x:v>OPEN</x:v>
      </x:c>
    </x:row>
    <x:row r="14">
      <x:c r="B14" s="26" t="str">
        <x:v>VR-08</x:v>
      </x:c>
      <x:c r="C14" s="26" t="n">
        <x:v>8</x:v>
      </x:c>
      <x:c r="D14" s="26" t="str">
        <x:v>safeing paths independent</x:v>
      </x:c>
      <x:c r="E14" s="26" t="str">
        <x:v>PASS</x:v>
      </x:c>
      <x:c r="F14" s="26" t="str"/>
      <x:c r="G14" s="26" t="str"/>
      <x:c r="H14" s="26" t="str"/>
      <x:c r="I14" s="26" t="str">
        <x:f>IF(H14="","OPEN",IF(AND(F14=E14,G14&lt;&gt;""),"PASS","FAIL"))</x:f>
        <x:v>OPEN</x:v>
      </x:c>
    </x:row>
    <x:row r="15">
      <x:c r="B15" s="26" t="str">
        <x:v>VR-09</x:v>
      </x:c>
      <x:c r="C15" s="26" t="n">
        <x:v>9</x:v>
      </x:c>
      <x:c r="D15" s="26" t="str">
        <x:v>causal time agreed</x:v>
      </x:c>
      <x:c r="E15" s="26" t="str">
        <x:v>PASS</x:v>
      </x:c>
      <x:c r="F15" s="26" t="str"/>
      <x:c r="G15" s="26" t="str"/>
      <x:c r="H15" s="26" t="str"/>
      <x:c r="I15" s="26" t="str">
        <x:f>IF(H15="","OPEN",IF(AND(F15=E15,G15&lt;&gt;""),"PASS","FAIL"))</x:f>
        <x:v>OPEN</x:v>
      </x:c>
    </x:row>
    <x:row r="16">
      <x:c r="B16" s="26" t="str">
        <x:v>VR-10</x:v>
      </x:c>
      <x:c r="C16" s="26" t="n">
        <x:v>10</x:v>
      </x:c>
      <x:c r="D16" s="26" t="str">
        <x:v>evidence originals complete</x:v>
      </x:c>
      <x:c r="E16" s="26" t="str">
        <x:v>PASS</x:v>
      </x:c>
      <x:c r="F16" s="26" t="str"/>
      <x:c r="G16" s="26" t="str"/>
      <x:c r="H16" s="26" t="str"/>
      <x:c r="I16" s="26" t="str">
        <x:f>IF(H16="","OPEN",IF(AND(F16=E16,G16&lt;&gt;""),"PASS","FAIL"))</x:f>
        <x:v>OPEN</x:v>
      </x:c>
    </x:row>
    <x:row r="17">
      <x:c r="B17" s="26" t="str">
        <x:v>VR-11</x:v>
      </x:c>
      <x:c r="C17" s="26" t="n">
        <x:v>11</x:v>
      </x:c>
      <x:c r="D17" s="26" t="str">
        <x:v>sample custody complete</x:v>
      </x:c>
      <x:c r="E17" s="26" t="str">
        <x:v>PASS</x:v>
      </x:c>
      <x:c r="F17" s="26" t="str"/>
      <x:c r="G17" s="26" t="str"/>
      <x:c r="H17" s="26" t="str"/>
      <x:c r="I17" s="26" t="str">
        <x:f>IF(H17="","OPEN",IF(AND(F17=E17,G17&lt;&gt;""),"PASS","FAIL"))</x:f>
        <x:v>OPEN</x:v>
      </x:c>
    </x:row>
    <x:row r="18">
      <x:c r="B18" s="26" t="str">
        <x:v>VR-12</x:v>
      </x:c>
      <x:c r="C18" s="26" t="n">
        <x:v>12</x:v>
      </x:c>
      <x:c r="D18" s="26" t="str">
        <x:v>neighbor state preserved</x:v>
      </x:c>
      <x:c r="E18" s="26" t="str">
        <x:v>PASS</x:v>
      </x:c>
      <x:c r="F18" s="26" t="str"/>
      <x:c r="G18" s="26" t="str"/>
      <x:c r="H18" s="26" t="str"/>
      <x:c r="I18" s="26" t="str">
        <x:f>IF(H18="","OPEN",IF(AND(F18=E18,G18&lt;&gt;""),"PASS","FAIL"))</x:f>
        <x:v>OPEN</x:v>
      </x:c>
    </x:row>
    <x:row r="19">
      <x:c r="B19" s="26" t="str">
        <x:v>VR-13</x:v>
      </x:c>
      <x:c r="C19" s="26" t="n">
        <x:v>13</x:v>
      </x:c>
      <x:c r="D19" s="26" t="str">
        <x:v>environment boundary observed</x:v>
      </x:c>
      <x:c r="E19" s="26" t="str">
        <x:v>PASS</x:v>
      </x:c>
      <x:c r="F19" s="26" t="str"/>
      <x:c r="G19" s="26" t="str"/>
      <x:c r="H19" s="26" t="str"/>
      <x:c r="I19" s="26" t="str">
        <x:f>IF(H19="","OPEN",IF(AND(F19=E19,G19&lt;&gt;""),"PASS","FAIL"))</x:f>
        <x:v>OPEN</x:v>
      </x:c>
    </x:row>
    <x:row r="20">
      <x:c r="B20" s="26" t="str">
        <x:v>VR-14</x:v>
      </x:c>
      <x:c r="C20" s="26" t="n">
        <x:v>14</x:v>
      </x:c>
      <x:c r="D20" s="26" t="str">
        <x:v>intervention registered</x:v>
      </x:c>
      <x:c r="E20" s="26" t="str">
        <x:v>PASS</x:v>
      </x:c>
      <x:c r="F20" s="26" t="str"/>
      <x:c r="G20" s="26" t="str"/>
      <x:c r="H20" s="26" t="str"/>
      <x:c r="I20" s="26" t="str">
        <x:f>IF(H20="","OPEN",IF(AND(F20=E20,G20&lt;&gt;""),"PASS","FAIL"))</x:f>
        <x:v>OPEN</x:v>
      </x:c>
    </x:row>
    <x:row r="21">
      <x:c r="B21" s="26" t="str">
        <x:v>VR-15</x:v>
      </x:c>
      <x:c r="C21" s="26" t="n">
        <x:v>15</x:v>
      </x:c>
      <x:c r="D21" s="26" t="str">
        <x:v>rescue actions attributable</x:v>
      </x:c>
      <x:c r="E21" s="26" t="str">
        <x:v>PASS</x:v>
      </x:c>
      <x:c r="F21" s="26" t="str"/>
      <x:c r="G21" s="26" t="str"/>
      <x:c r="H21" s="26" t="str"/>
      <x:c r="I21" s="26" t="str">
        <x:f>IF(H21="","OPEN",IF(AND(F21=E21,G21&lt;&gt;""),"PASS","FAIL"))</x:f>
        <x:v>OPEN</x:v>
      </x:c>
    </x:row>
    <x:row r="22">
      <x:c r="B22" s="26" t="str">
        <x:v>VR-16</x:v>
      </x:c>
      <x:c r="C22" s="26" t="n">
        <x:v>16</x:v>
      </x:c>
      <x:c r="D22" s="26" t="str">
        <x:v>issuer authority valid</x:v>
      </x:c>
      <x:c r="E22" s="26" t="str">
        <x:v>PASS</x:v>
      </x:c>
      <x:c r="F22" s="26" t="str"/>
      <x:c r="G22" s="26" t="str"/>
      <x:c r="H22" s="26" t="str"/>
      <x:c r="I22" s="26" t="str">
        <x:f>IF(H22="","OPEN",IF(AND(F22=E22,G22&lt;&gt;""),"PASS","FAIL"))</x:f>
        <x:v>OPEN</x:v>
      </x:c>
    </x:row>
  </x:sheetData>
  <x:conditionalFormatting sqref="I7:I22">
    <x:cfRule type="containsText" dxfId="225" priority="1" operator="containsText" text="FAIL"/>
    <x:cfRule type="containsText" dxfId="226" priority="2" operator="containsText" text="BLOCKED"/>
    <x:cfRule type="containsText" dxfId="227" priority="3" operator="containsText" text="INVALID"/>
    <x:cfRule type="containsText" dxfId="228" priority="4" operator="containsText" text="ADVERSE"/>
    <x:cfRule type="containsText" dxfId="229" priority="5" operator="containsText" text="EXPIRED"/>
    <x:cfRule type="containsText" dxfId="230" priority="6" operator="containsText" text="OPEN"/>
    <x:cfRule type="containsText" dxfId="231" priority="7" operator="containsText" text="DORMANT"/>
    <x:cfRule type="containsText" dxfId="232" priority="8" operator="containsText" text="PASS"/>
    <x:cfRule type="containsText" dxfId="233" priority="9" operator="containsText" text="AVAILABLE"/>
  </x:conditionalFormatting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5" hidden="0" customWidth="1"/>
    <x:col min="3" max="3" width="12" hidden="0" customWidth="1"/>
    <x:col min="4" max="4" width="49" hidden="0" customWidth="1"/>
    <x:col min="5" max="5" width="19" hidden="0" customWidth="1"/>
    <x:col min="6" max="6" width="20" hidden="0" customWidth="1"/>
    <x:col min="7" max="7" width="34" hidden="0" customWidth="1"/>
    <x:col min="8" max="8" width="21" hidden="0" customWidth="1"/>
    <x:col min="9" max="9" width="14" hidden="0" customWidth="1"/>
  </x:cols>
  <x:sheetData>
    <x:row r="2">
      <x:c r="B2" s="39" t="str">
        <x:v>Ten QE-01 outcome rules</x:v>
      </x:c>
      <x:c r="C2" s="26"/>
      <x:c r="D2" s="26"/>
      <x:c r="E2" s="26"/>
      <x:c r="F2" s="26"/>
      <x:c r="G2" s="26"/>
      <x:c r="H2" s="26"/>
      <x:c r="I2" s="26"/>
    </x:row>
    <x:row r="3">
      <x:c r="B3" s="40" t="str">
        <x:v>A valid event can still be adverse. Outcome cannot be decided by the authority that decides validity.</x:v>
      </x:c>
      <x:c r="C3" s="26"/>
      <x:c r="D3" s="26"/>
      <x:c r="E3" s="26"/>
      <x:c r="F3" s="26"/>
      <x:c r="G3" s="26"/>
      <x:c r="H3" s="26"/>
      <x:c r="I3" s="26"/>
    </x:row>
    <x:row r="4">
      <x:c r="B4" s="26"/>
      <x:c r="C4" s="26"/>
      <x:c r="D4" s="26"/>
      <x:c r="E4" s="26"/>
      <x:c r="F4" s="26"/>
      <x:c r="G4" s="26"/>
      <x:c r="H4" s="26"/>
      <x:c r="I4" s="26"/>
    </x:row>
    <x:row r="5">
      <x:c r="B5" s="26"/>
      <x:c r="C5" s="26"/>
      <x:c r="D5" s="26"/>
      <x:c r="E5" s="26"/>
      <x:c r="F5" s="26"/>
      <x:c r="G5" s="26"/>
      <x:c r="H5" s="26"/>
      <x:c r="I5" s="26"/>
    </x:row>
    <x:row r="6" ht="24" customHeight="1">
      <x:c r="B6" s="41" t="str">
        <x:v>Rule</x:v>
      </x:c>
      <x:c r="C6" s="41" t="str">
        <x:v>Sequence</x:v>
      </x:c>
      <x:c r="D6" s="41" t="str">
        <x:v>Question</x:v>
      </x:c>
      <x:c r="E6" s="41" t="str">
        <x:v>Required result</x:v>
      </x:c>
      <x:c r="F6" s="41" t="str">
        <x:v>Observed result</x:v>
      </x:c>
      <x:c r="G6" s="41" t="str">
        <x:v>Evidence root</x:v>
      </x:c>
      <x:c r="H6" s="41" t="str">
        <x:v>Accepted UTC</x:v>
      </x:c>
      <x:c r="I6" s="41" t="str">
        <x:v>State</x:v>
      </x:c>
    </x:row>
    <x:row r="7">
      <x:c r="B7" s="26" t="str">
        <x:v>OR-01</x:v>
      </x:c>
      <x:c r="C7" s="26" t="n">
        <x:v>1</x:v>
      </x:c>
      <x:c r="D7" s="26" t="str">
        <x:v>numeric source zero</x:v>
      </x:c>
      <x:c r="E7" s="26" t="str">
        <x:v>PASS</x:v>
      </x:c>
      <x:c r="F7" s="26" t="str"/>
      <x:c r="G7" s="26" t="str"/>
      <x:c r="H7" s="26" t="str"/>
      <x:c r="I7" s="26" t="str">
        <x:f>IF(H7="","OPEN",IF(AND(F7=E7,G7&lt;&gt;""),"PASS","FAIL"))</x:f>
        <x:v>OPEN</x:v>
      </x:c>
    </x:row>
    <x:row r="8">
      <x:c r="B8" s="26" t="str">
        <x:v>OR-02</x:v>
      </x:c>
      <x:c r="C8" s="26" t="n">
        <x:v>2</x:v>
      </x:c>
      <x:c r="D8" s="26" t="str">
        <x:v>numeric water zero</x:v>
      </x:c>
      <x:c r="E8" s="26" t="str">
        <x:v>PASS</x:v>
      </x:c>
      <x:c r="F8" s="26" t="str"/>
      <x:c r="G8" s="26" t="str"/>
      <x:c r="H8" s="26" t="str"/>
      <x:c r="I8" s="26" t="str">
        <x:f>IF(H8="","OPEN",IF(AND(F8=E8,G8&lt;&gt;""),"PASS","FAIL"))</x:f>
        <x:v>OPEN</x:v>
      </x:c>
    </x:row>
    <x:row r="9">
      <x:c r="B9" s="26" t="str">
        <x:v>OR-03</x:v>
      </x:c>
      <x:c r="C9" s="26" t="n">
        <x:v>3</x:v>
      </x:c>
      <x:c r="D9" s="26" t="str">
        <x:v>ignition prohibited</x:v>
      </x:c>
      <x:c r="E9" s="26" t="str">
        <x:v>PASS</x:v>
      </x:c>
      <x:c r="F9" s="26" t="str"/>
      <x:c r="G9" s="26" t="str"/>
      <x:c r="H9" s="26" t="str"/>
      <x:c r="I9" s="26" t="str">
        <x:f>IF(H9="","OPEN",IF(AND(F9=E9,G9&lt;&gt;""),"PASS","FAIL"))</x:f>
        <x:v>OPEN</x:v>
      </x:c>
    </x:row>
    <x:row r="10">
      <x:c r="B10" s="26" t="str">
        <x:v>OR-04</x:v>
      </x:c>
      <x:c r="C10" s="26" t="n">
        <x:v>4</x:v>
      </x:c>
      <x:c r="D10" s="26" t="str">
        <x:v>occupied area zero</x:v>
      </x:c>
      <x:c r="E10" s="26" t="str">
        <x:v>PASS</x:v>
      </x:c>
      <x:c r="F10" s="26" t="str"/>
      <x:c r="G10" s="26" t="str"/>
      <x:c r="H10" s="26" t="str"/>
      <x:c r="I10" s="26" t="str">
        <x:f>IF(H10="","OPEN",IF(AND(F10=E10,G10&lt;&gt;""),"PASS","FAIL"))</x:f>
        <x:v>OPEN</x:v>
      </x:c>
    </x:row>
    <x:row r="11">
      <x:c r="B11" s="26" t="str">
        <x:v>OR-05</x:v>
      </x:c>
      <x:c r="C11" s="26" t="n">
        <x:v>5</x:v>
      </x:c>
      <x:c r="D11" s="26" t="str">
        <x:v>all final states accepted</x:v>
      </x:c>
      <x:c r="E11" s="26" t="str">
        <x:v>PASS</x:v>
      </x:c>
      <x:c r="F11" s="26" t="str"/>
      <x:c r="G11" s="26" t="str"/>
      <x:c r="H11" s="26" t="str"/>
      <x:c r="I11" s="26" t="str">
        <x:f>IF(H11="","OPEN",IF(AND(F11=E11,G11&lt;&gt;""),"PASS","FAIL"))</x:f>
        <x:v>OPEN</x:v>
      </x:c>
    </x:row>
    <x:row r="12">
      <x:c r="B12" s="26" t="str">
        <x:v>OR-06</x:v>
      </x:c>
      <x:c r="C12" s="26" t="n">
        <x:v>6</x:v>
      </x:c>
      <x:c r="D12" s="26" t="str">
        <x:v>no unexplained neighbor change</x:v>
      </x:c>
      <x:c r="E12" s="26" t="str">
        <x:v>PASS</x:v>
      </x:c>
      <x:c r="F12" s="26" t="str"/>
      <x:c r="G12" s="26" t="str"/>
      <x:c r="H12" s="26" t="str"/>
      <x:c r="I12" s="26" t="str">
        <x:f>IF(H12="","OPEN",IF(AND(F12=E12,G12&lt;&gt;""),"PASS","FAIL"))</x:f>
        <x:v>OPEN</x:v>
      </x:c>
    </x:row>
    <x:row r="13">
      <x:c r="B13" s="26" t="str">
        <x:v>OR-07</x:v>
      </x:c>
      <x:c r="C13" s="26" t="n">
        <x:v>7</x:v>
      </x:c>
      <x:c r="D13" s="26" t="str">
        <x:v>no unexplained environmental signal</x:v>
      </x:c>
      <x:c r="E13" s="26" t="str">
        <x:v>PASS</x:v>
      </x:c>
      <x:c r="F13" s="26" t="str"/>
      <x:c r="G13" s="26" t="str"/>
      <x:c r="H13" s="26" t="str"/>
      <x:c r="I13" s="26" t="str">
        <x:f>IF(H13="","OPEN",IF(AND(F13=E13,G13&lt;&gt;""),"PASS","FAIL"))</x:f>
        <x:v>OPEN</x:v>
      </x:c>
    </x:row>
    <x:row r="14">
      <x:c r="B14" s="26" t="str">
        <x:v>OR-08</x:v>
      </x:c>
      <x:c r="C14" s="26" t="n">
        <x:v>8</x:v>
      </x:c>
      <x:c r="D14" s="26" t="str">
        <x:v>interventions correctly classified</x:v>
      </x:c>
      <x:c r="E14" s="26" t="str">
        <x:v>PASS</x:v>
      </x:c>
      <x:c r="F14" s="26" t="str"/>
      <x:c r="G14" s="26" t="str"/>
      <x:c r="H14" s="26" t="str"/>
      <x:c r="I14" s="26" t="str">
        <x:f>IF(H14="","OPEN",IF(AND(F14=E14,G14&lt;&gt;""),"PASS","FAIL"))</x:f>
        <x:v>OPEN</x:v>
      </x:c>
    </x:row>
    <x:row r="15">
      <x:c r="B15" s="26" t="str">
        <x:v>OR-09</x:v>
      </x:c>
      <x:c r="C15" s="26" t="n">
        <x:v>9</x:v>
      </x:c>
      <x:c r="D15" s="26" t="str">
        <x:v>two roots inside ceiling</x:v>
      </x:c>
      <x:c r="E15" s="26" t="str">
        <x:v>PASS</x:v>
      </x:c>
      <x:c r="F15" s="26" t="str"/>
      <x:c r="G15" s="26" t="str"/>
      <x:c r="H15" s="26" t="str"/>
      <x:c r="I15" s="26" t="str">
        <x:f>IF(H15="","OPEN",IF(AND(F15=E15,G15&lt;&gt;""),"PASS","FAIL"))</x:f>
        <x:v>OPEN</x:v>
      </x:c>
    </x:row>
    <x:row r="16">
      <x:c r="B16" s="26" t="str">
        <x:v>OR-10</x:v>
      </x:c>
      <x:c r="C16" s="26" t="n">
        <x:v>10</x:v>
      </x:c>
      <x:c r="D16" s="26" t="str">
        <x:v>event packet complete</x:v>
      </x:c>
      <x:c r="E16" s="26" t="str">
        <x:v>PASS</x:v>
      </x:c>
      <x:c r="F16" s="26" t="str"/>
      <x:c r="G16" s="26" t="str"/>
      <x:c r="H16" s="26" t="str"/>
      <x:c r="I16" s="26" t="str">
        <x:f>IF(H16="","OPEN",IF(AND(F16=E16,G16&lt;&gt;""),"PASS","FAIL"))</x:f>
        <x:v>OPEN</x:v>
      </x:c>
    </x:row>
  </x:sheetData>
  <x:conditionalFormatting sqref="I7:I16">
    <x:cfRule type="containsText" dxfId="234" priority="1" operator="containsText" text="FAIL"/>
    <x:cfRule type="containsText" dxfId="235" priority="2" operator="containsText" text="BLOCKED"/>
    <x:cfRule type="containsText" dxfId="236" priority="3" operator="containsText" text="INVALID"/>
    <x:cfRule type="containsText" dxfId="237" priority="4" operator="containsText" text="ADVERSE"/>
    <x:cfRule type="containsText" dxfId="238" priority="5" operator="containsText" text="EXPIRED"/>
    <x:cfRule type="containsText" dxfId="239" priority="6" operator="containsText" text="OPEN"/>
    <x:cfRule type="containsText" dxfId="240" priority="7" operator="containsText" text="DORMANT"/>
    <x:cfRule type="containsText" dxfId="241" priority="8" operator="containsText" text="PASS"/>
    <x:cfRule type="containsText" dxfId="242" priority="9" operator="containsText" text="AVAILABLE"/>
  </x:conditionalFormatting>
  <x:pageMargins left="0.7" right="0.7" top="0.75" bottom="0.75" header="0.3" footer="0.3"/>
</x:worksheet>
</file>

<file path=xl/worksheets/sheet33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20" hidden="0" customWidth="1"/>
    <x:col min="3" max="3" width="18" hidden="0" customWidth="1"/>
    <x:col min="4" max="4" width="18" hidden="0" customWidth="1"/>
    <x:col min="5" max="5" width="19" hidden="0" customWidth="1"/>
    <x:col min="6" max="6" width="18" hidden="0" customWidth="1"/>
    <x:col min="7" max="7" width="19" hidden="0" customWidth="1"/>
    <x:col min="8" max="8" width="22" hidden="0" customWidth="1"/>
    <x:col min="9" max="9" width="22" hidden="0" customWidth="1"/>
    <x:col min="10" max="10" width="21" hidden="0" customWidth="1"/>
    <x:col min="11" max="11" width="14" hidden="0" customWidth="1"/>
  </x:cols>
  <x:sheetData>
    <x:row r="2">
      <x:c r="B2" s="39" t="str">
        <x:v>One validity-first QE-01 result</x:v>
      </x:c>
      <x:c r="C2" s="26"/>
      <x:c r="D2" s="26"/>
      <x:c r="E2" s="26"/>
      <x:c r="F2" s="26"/>
      <x:c r="G2" s="26"/>
      <x:c r="H2" s="26"/>
      <x:c r="I2" s="26"/>
      <x:c r="J2" s="26"/>
      <x:c r="K2" s="26"/>
    </x:row>
    <x:row r="3">
      <x:c r="B3" s="40" t="str">
        <x:v>Event credit is distinct from pair reentry. A valid adverse result is retained even if the article never returns to service.</x:v>
      </x:c>
      <x:c r="C3" s="26"/>
      <x:c r="D3" s="26"/>
      <x:c r="E3" s="26"/>
      <x:c r="F3" s="26"/>
      <x:c r="G3" s="26"/>
      <x:c r="H3" s="26"/>
      <x:c r="I3" s="26"/>
      <x:c r="J3" s="26"/>
      <x:c r="K3" s="26"/>
    </x:row>
    <x:row r="4">
      <x:c r="B4" s="26"/>
      <x:c r="C4" s="26"/>
      <x:c r="D4" s="26"/>
      <x:c r="E4" s="26"/>
      <x:c r="F4" s="26"/>
      <x:c r="G4" s="26"/>
      <x:c r="H4" s="26"/>
      <x:c r="I4" s="26"/>
      <x:c r="J4" s="26"/>
      <x:c r="K4" s="26"/>
    </x:row>
    <x:row r="5">
      <x:c r="B5" s="26"/>
      <x:c r="C5" s="26"/>
      <x:c r="D5" s="26"/>
      <x:c r="E5" s="26"/>
      <x:c r="F5" s="26"/>
      <x:c r="G5" s="26"/>
      <x:c r="H5" s="26"/>
      <x:c r="I5" s="26"/>
      <x:c r="J5" s="26"/>
      <x:c r="K5" s="26"/>
    </x:row>
    <x:row r="6" ht="24" customHeight="1">
      <x:c r="B6" s="41" t="str">
        <x:v>Result</x:v>
      </x:c>
      <x:c r="C6" s="41" t="str">
        <x:v>Event</x:v>
      </x:c>
      <x:c r="D6" s="41" t="str">
        <x:v>Validity rules</x:v>
      </x:c>
      <x:c r="E6" s="41" t="str">
        <x:v>Passing validity</x:v>
      </x:c>
      <x:c r="F6" s="41" t="str">
        <x:v>Outcome rules</x:v>
      </x:c>
      <x:c r="G6" s="41" t="str">
        <x:v>Passing outcome</x:v>
      </x:c>
      <x:c r="H6" s="41" t="str">
        <x:v>Validity board</x:v>
      </x:c>
      <x:c r="I6" s="41" t="str">
        <x:v>Outcome board</x:v>
      </x:c>
      <x:c r="J6" s="41" t="str">
        <x:v>Accepted UTC</x:v>
      </x:c>
      <x:c r="K6" s="41" t="str">
        <x:v>State</x:v>
      </x:c>
    </x:row>
    <x:row r="7">
      <x:c r="B7" s="26" t="str">
        <x:v>ER-QE01-0001</x:v>
      </x:c>
      <x:c r="C7" s="26" t="str">
        <x:v>QE01-0001</x:v>
      </x:c>
      <x:c r="D7" s="26" t="n">
        <x:v>16</x:v>
      </x:c>
      <x:c r="E7" s="26" t="n">
        <x:f>COUNTIFS('Validity Rules'!I7:I22,"PASS")</x:f>
        <x:v>0</x:v>
      </x:c>
      <x:c r="F7" s="26" t="n">
        <x:v>10</x:v>
      </x:c>
      <x:c r="G7" s="26" t="n">
        <x:f>COUNTIFS('Outcome Rules'!I7:I16,"PASS")</x:f>
        <x:v>0</x:v>
      </x:c>
      <x:c r="H7" s="26" t="str"/>
      <x:c r="I7" s="26" t="str"/>
      <x:c r="J7" s="26" t="str"/>
      <x:c r="K7" s="26" t="str">
        <x:f>IF(J7="","OPEN",IF(H7&lt;&gt;"VALID","INVALID",IF(I7="SUCCESS",IF(AND(E7=D7,G7=F7),"PASS","FAIL"),"ADVERSE")))</x:f>
        <x:v>OPEN</x:v>
      </x:c>
    </x:row>
  </x:sheetData>
  <x:conditionalFormatting sqref="K7:K7">
    <x:cfRule type="containsText" dxfId="243" priority="1" operator="containsText" text="FAIL"/>
    <x:cfRule type="containsText" dxfId="244" priority="2" operator="containsText" text="BLOCKED"/>
    <x:cfRule type="containsText" dxfId="245" priority="3" operator="containsText" text="INVALID"/>
    <x:cfRule type="containsText" dxfId="246" priority="4" operator="containsText" text="ADVERSE"/>
    <x:cfRule type="containsText" dxfId="247" priority="5" operator="containsText" text="EXPIRED"/>
    <x:cfRule type="containsText" dxfId="248" priority="6" operator="containsText" text="OPEN"/>
    <x:cfRule type="containsText" dxfId="249" priority="7" operator="containsText" text="DORMANT"/>
    <x:cfRule type="containsText" dxfId="250" priority="8" operator="containsText" text="PASS"/>
    <x:cfRule type="containsText" dxfId="251" priority="9" operator="containsText" text="AVAILABLE"/>
  </x:conditionalFormatting>
  <x:pageMargins left="0.7" right="0.7" top="0.75" bottom="0.75" header="0.3" footer="0.3"/>
</x:worksheet>
</file>

<file path=xl/worksheets/sheet34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7" hidden="0" customWidth="1"/>
    <x:col min="3" max="3" width="12" hidden="0" customWidth="1"/>
    <x:col min="4" max="4" width="50" hidden="0" customWidth="1"/>
    <x:col min="5" max="5" width="21" hidden="0" customWidth="1"/>
    <x:col min="6" max="6" width="22" hidden="0" customWidth="1"/>
    <x:col min="7" max="7" width="34" hidden="0" customWidth="1"/>
    <x:col min="8" max="8" width="21" hidden="0" customWidth="1"/>
    <x:col min="9" max="9" width="14" hidden="0" customWidth="1"/>
  </x:cols>
  <x:sheetData>
    <x:row r="2">
      <x:c r="B2" s="39" t="str">
        <x:v>Ten ordered recovery states</x:v>
      </x:c>
      <x:c r="C2" s="26"/>
      <x:c r="D2" s="26"/>
      <x:c r="E2" s="26"/>
      <x:c r="F2" s="26"/>
      <x:c r="G2" s="26"/>
      <x:c r="H2" s="26"/>
      <x:c r="I2" s="26"/>
    </x:row>
    <x:row r="3">
      <x:c r="B3" s="40" t="str">
        <x:v>Cleanup and repair begin only after evidence, samples, inventories and physical state are released in order.</x:v>
      </x:c>
      <x:c r="C3" s="26"/>
      <x:c r="D3" s="26"/>
      <x:c r="E3" s="26"/>
      <x:c r="F3" s="26"/>
      <x:c r="G3" s="26"/>
      <x:c r="H3" s="26"/>
      <x:c r="I3" s="26"/>
    </x:row>
    <x:row r="4">
      <x:c r="B4" s="26"/>
      <x:c r="C4" s="26"/>
      <x:c r="D4" s="26"/>
      <x:c r="E4" s="26"/>
      <x:c r="F4" s="26"/>
      <x:c r="G4" s="26"/>
      <x:c r="H4" s="26"/>
      <x:c r="I4" s="26"/>
    </x:row>
    <x:row r="5">
      <x:c r="B5" s="26"/>
      <x:c r="C5" s="26"/>
      <x:c r="D5" s="26"/>
      <x:c r="E5" s="26"/>
      <x:c r="F5" s="26"/>
      <x:c r="G5" s="26"/>
      <x:c r="H5" s="26"/>
      <x:c r="I5" s="26"/>
    </x:row>
    <x:row r="6" ht="24" customHeight="1">
      <x:c r="B6" s="41" t="str">
        <x:v>State record</x:v>
      </x:c>
      <x:c r="C6" s="41" t="str">
        <x:v>Sequence</x:v>
      </x:c>
      <x:c r="D6" s="41" t="str">
        <x:v>Required state</x:v>
      </x:c>
      <x:c r="E6" s="41" t="str">
        <x:v>Observed sequence</x:v>
      </x:c>
      <x:c r="F6" s="41" t="str">
        <x:v>Observed state</x:v>
      </x:c>
      <x:c r="G6" s="41" t="str">
        <x:v>Evidence root</x:v>
      </x:c>
      <x:c r="H6" s="41" t="str">
        <x:v>Accepted UTC</x:v>
      </x:c>
      <x:c r="I6" s="41" t="str">
        <x:v>State</x:v>
      </x:c>
    </x:row>
    <x:row r="7">
      <x:c r="B7" s="26" t="str">
        <x:v>RC-01</x:v>
      </x:c>
      <x:c r="C7" s="26" t="n">
        <x:v>1</x:v>
      </x:c>
      <x:c r="D7" s="26" t="str">
        <x:v>new source terminated at numeric zero</x:v>
      </x:c>
      <x:c r="E7" s="26" t="str"/>
      <x:c r="F7" s="26" t="str"/>
      <x:c r="G7" s="26" t="str"/>
      <x:c r="H7" s="26" t="str"/>
      <x:c r="I7" s="26" t="str">
        <x:f>IF(H7="","OPEN",IF(AND(E7=C7,F7="PASS",G7&lt;&gt;""),"PASS","FAIL"))</x:f>
        <x:v>OPEN</x:v>
      </x:c>
    </x:row>
    <x:row r="8">
      <x:c r="B8" s="26" t="str">
        <x:v>RC-02</x:v>
      </x:c>
      <x:c r="C8" s="26" t="n">
        <x:v>2</x:v>
      </x:c>
      <x:c r="D8" s="26" t="str">
        <x:v>all source and water paths isolated</x:v>
      </x:c>
      <x:c r="E8" s="26" t="str"/>
      <x:c r="F8" s="26" t="str"/>
      <x:c r="G8" s="26" t="str"/>
      <x:c r="H8" s="26" t="str"/>
      <x:c r="I8" s="26" t="str">
        <x:f>IF(H8="","OPEN",IF(AND(E8=C8,F8="PASS",G8&lt;&gt;""),"PASS","FAIL"))</x:f>
        <x:v>OPEN</x:v>
      </x:c>
    </x:row>
    <x:row r="9">
      <x:c r="B9" s="26" t="str">
        <x:v>RC-03</x:v>
      </x:c>
      <x:c r="C9" s="26" t="n">
        <x:v>3</x:v>
      </x:c>
      <x:c r="D9" s="26" t="str">
        <x:v>casualty status resolved</x:v>
      </x:c>
      <x:c r="E9" s="26" t="str"/>
      <x:c r="F9" s="26" t="str"/>
      <x:c r="G9" s="26" t="str"/>
      <x:c r="H9" s="26" t="str"/>
      <x:c r="I9" s="26" t="str">
        <x:f>IF(H9="","OPEN",IF(AND(E9=C9,F9="PASS",G9&lt;&gt;""),"PASS","FAIL"))</x:f>
        <x:v>OPEN</x:v>
      </x:c>
    </x:row>
    <x:row r="10">
      <x:c r="B10" s="26" t="str">
        <x:v>RC-04</x:v>
      </x:c>
      <x:c r="C10" s="26" t="n">
        <x:v>4</x:v>
      </x:c>
      <x:c r="D10" s="26" t="str">
        <x:v>remote physical map accepted</x:v>
      </x:c>
      <x:c r="E10" s="26" t="str"/>
      <x:c r="F10" s="26" t="str"/>
      <x:c r="G10" s="26" t="str"/>
      <x:c r="H10" s="26" t="str"/>
      <x:c r="I10" s="26" t="str">
        <x:f>IF(H10="","OPEN",IF(AND(E10=C10,F10="PASS",G10&lt;&gt;""),"PASS","FAIL"))</x:f>
        <x:v>OPEN</x:v>
      </x:c>
    </x:row>
    <x:row r="11">
      <x:c r="B11" s="26" t="str">
        <x:v>RC-05</x:v>
      </x:c>
      <x:c r="C11" s="26" t="n">
        <x:v>5</x:v>
      </x:c>
      <x:c r="D11" s="26" t="str">
        <x:v>accountable inventories captured</x:v>
      </x:c>
      <x:c r="E11" s="26" t="str"/>
      <x:c r="F11" s="26" t="str"/>
      <x:c r="G11" s="26" t="str"/>
      <x:c r="H11" s="26" t="str"/>
      <x:c r="I11" s="26" t="str">
        <x:f>IF(H11="","OPEN",IF(AND(E11=C11,F11="PASS",G11&lt;&gt;""),"PASS","FAIL"))</x:f>
        <x:v>OPEN</x:v>
      </x:c>
    </x:row>
    <x:row r="12">
      <x:c r="B12" s="26" t="str">
        <x:v>RC-06</x:v>
      </x:c>
      <x:c r="C12" s="26" t="n">
        <x:v>6</x:v>
      </x:c>
      <x:c r="D12" s="26" t="str">
        <x:v>atmosphere and thermal state accepted</x:v>
      </x:c>
      <x:c r="E12" s="26" t="str"/>
      <x:c r="F12" s="26" t="str"/>
      <x:c r="G12" s="26" t="str"/>
      <x:c r="H12" s="26" t="str"/>
      <x:c r="I12" s="26" t="str">
        <x:f>IF(H12="","OPEN",IF(AND(E12=C12,F12="PASS",G12&lt;&gt;""),"PASS","FAIL"))</x:f>
        <x:v>OPEN</x:v>
      </x:c>
    </x:row>
    <x:row r="13">
      <x:c r="B13" s="26" t="str">
        <x:v>RC-07</x:v>
      </x:c>
      <x:c r="C13" s="26" t="n">
        <x:v>7</x:v>
      </x:c>
      <x:c r="D13" s="26" t="str">
        <x:v>source and water ledgers closed</x:v>
      </x:c>
      <x:c r="E13" s="26" t="str"/>
      <x:c r="F13" s="26" t="str"/>
      <x:c r="G13" s="26" t="str"/>
      <x:c r="H13" s="26" t="str"/>
      <x:c r="I13" s="26" t="str">
        <x:f>IF(H13="","OPEN",IF(AND(E13=C13,F13="PASS",G13&lt;&gt;""),"PASS","FAIL"))</x:f>
        <x:v>OPEN</x:v>
      </x:c>
    </x:row>
    <x:row r="14">
      <x:c r="B14" s="26" t="str">
        <x:v>RC-08</x:v>
      </x:c>
      <x:c r="C14" s="26" t="n">
        <x:v>8</x:v>
      </x:c>
      <x:c r="D14" s="26" t="str">
        <x:v>native evidence packet frozen</x:v>
      </x:c>
      <x:c r="E14" s="26" t="str"/>
      <x:c r="F14" s="26" t="str"/>
      <x:c r="G14" s="26" t="str"/>
      <x:c r="H14" s="26" t="str"/>
      <x:c r="I14" s="26" t="str">
        <x:f>IF(H14="","OPEN",IF(AND(E14=C14,F14="PASS",G14&lt;&gt;""),"PASS","FAIL"))</x:f>
        <x:v>OPEN</x:v>
      </x:c>
    </x:row>
    <x:row r="15">
      <x:c r="B15" s="26" t="str">
        <x:v>RC-09</x:v>
      </x:c>
      <x:c r="C15" s="26" t="n">
        <x:v>9</x:v>
      </x:c>
      <x:c r="D15" s="26" t="str">
        <x:v>cleaning and repair released</x:v>
      </x:c>
      <x:c r="E15" s="26" t="str"/>
      <x:c r="F15" s="26" t="str"/>
      <x:c r="G15" s="26" t="str"/>
      <x:c r="H15" s="26" t="str"/>
      <x:c r="I15" s="26" t="str">
        <x:f>IF(H15="","OPEN",IF(AND(E15=C15,F15="PASS",G15&lt;&gt;""),"PASS","FAIL"))</x:f>
        <x:v>OPEN</x:v>
      </x:c>
    </x:row>
    <x:row r="16">
      <x:c r="B16" s="26" t="str">
        <x:v>RC-10</x:v>
      </x:c>
      <x:c r="C16" s="26" t="n">
        <x:v>10</x:v>
      </x:c>
      <x:c r="D16" s="26" t="str">
        <x:v>serialized baseline restored</x:v>
      </x:c>
      <x:c r="E16" s="26" t="str"/>
      <x:c r="F16" s="26" t="str"/>
      <x:c r="G16" s="26" t="str"/>
      <x:c r="H16" s="26" t="str"/>
      <x:c r="I16" s="26" t="str">
        <x:f>IF(H16="","OPEN",IF(AND(E16=C16,F16="PASS",G16&lt;&gt;""),"PASS","FAIL"))</x:f>
        <x:v>OPEN</x:v>
      </x:c>
    </x:row>
  </x:sheetData>
  <x:conditionalFormatting sqref="I7:I16">
    <x:cfRule type="containsText" dxfId="252" priority="1" operator="containsText" text="FAIL"/>
    <x:cfRule type="containsText" dxfId="253" priority="2" operator="containsText" text="BLOCKED"/>
    <x:cfRule type="containsText" dxfId="254" priority="3" operator="containsText" text="INVALID"/>
    <x:cfRule type="containsText" dxfId="255" priority="4" operator="containsText" text="ADVERSE"/>
    <x:cfRule type="containsText" dxfId="256" priority="5" operator="containsText" text="EXPIRED"/>
    <x:cfRule type="containsText" dxfId="257" priority="6" operator="containsText" text="OPEN"/>
    <x:cfRule type="containsText" dxfId="258" priority="7" operator="containsText" text="DORMANT"/>
    <x:cfRule type="containsText" dxfId="259" priority="8" operator="containsText" text="PASS"/>
    <x:cfRule type="containsText" dxfId="260" priority="9" operator="containsText" text="AVAILABLE"/>
  </x:conditionalFormatting>
  <x:pageMargins left="0.7" right="0.7" top="0.75" bottom="0.75" header="0.3" footer="0.3"/>
</x:worksheet>
</file>

<file path=xl/worksheets/sheet35.xml><?xml version="1.0" encoding="utf-8"?>
<x:worksheet xmlns:x="http://schemas.openxmlformats.org/spreadsheetml/2006/main">
  <x:sheetViews>
    <x:sheetView showGridLines="0" workbookViewId="0">
      <x:pane xSplit="4" ySplit="6" topLeftCell="E7" activePane="bottomRight" state="frozen"/>
    </x:sheetView>
  </x:sheetViews>
  <x:sheetFormatPr defaultRowHeight="15"/>
  <x:cols>
    <x:col min="2" max="2" width="15" hidden="0" customWidth="1"/>
    <x:col min="3" max="3" width="21" hidden="0" customWidth="1"/>
    <x:col min="4" max="4" width="12" hidden="0" customWidth="1"/>
    <x:col min="5" max="5" width="48" hidden="0" customWidth="1"/>
    <x:col min="6" max="6" width="19" hidden="0" customWidth="1"/>
    <x:col min="7" max="7" width="20" hidden="0" customWidth="1"/>
    <x:col min="8" max="8" width="34" hidden="0" customWidth="1"/>
    <x:col min="9" max="9" width="21" hidden="0" customWidth="1"/>
    <x:col min="10" max="10" width="14" hidden="0" customWidth="1"/>
  </x:cols>
  <x:sheetData>
    <x:row r="2">
      <x:c r="B2" s="39" t="str">
        <x:v>Thirty-six governed regeneration tasks</x:v>
      </x:c>
      <x:c r="C2" s="26"/>
      <x:c r="D2" s="26"/>
      <x:c r="E2" s="26"/>
      <x:c r="F2" s="26"/>
      <x:c r="G2" s="26"/>
      <x:c r="H2" s="26"/>
      <x:c r="I2" s="26"/>
      <x:c r="J2" s="26"/>
    </x:row>
    <x:row r="3">
      <x:c r="B3" s="40" t="str">
        <x:v>Every consumed resource receives a new accepted state. Pre-event readiness is never copied across T0.</x:v>
      </x:c>
      <x:c r="C3" s="26"/>
      <x:c r="D3" s="26"/>
      <x:c r="E3" s="26"/>
      <x:c r="F3" s="26"/>
      <x:c r="G3" s="26"/>
      <x:c r="H3" s="26"/>
      <x:c r="I3" s="26"/>
      <x:c r="J3" s="26"/>
    </x:row>
    <x:row r="4">
      <x:c r="B4" s="26"/>
      <x:c r="C4" s="26"/>
      <x:c r="D4" s="26"/>
      <x:c r="E4" s="26"/>
      <x:c r="F4" s="26"/>
      <x:c r="G4" s="26"/>
      <x:c r="H4" s="26"/>
      <x:c r="I4" s="26"/>
      <x:c r="J4" s="26"/>
    </x:row>
    <x:row r="5">
      <x:c r="B5" s="26"/>
      <x:c r="C5" s="26"/>
      <x:c r="D5" s="26"/>
      <x:c r="E5" s="26"/>
      <x:c r="F5" s="26"/>
      <x:c r="G5" s="26"/>
      <x:c r="H5" s="26"/>
      <x:c r="I5" s="26"/>
      <x:c r="J5" s="26"/>
    </x:row>
    <x:row r="6" ht="24" customHeight="1">
      <x:c r="B6" s="41" t="str">
        <x:v>Task</x:v>
      </x:c>
      <x:c r="C6" s="41" t="str">
        <x:v>Resource</x:v>
      </x:c>
      <x:c r="D6" s="41" t="str">
        <x:v>Sequence</x:v>
      </x:c>
      <x:c r="E6" s="41" t="str">
        <x:v>Requirement</x:v>
      </x:c>
      <x:c r="F6" s="41" t="str">
        <x:v>Required result</x:v>
      </x:c>
      <x:c r="G6" s="41" t="str">
        <x:v>Observed result</x:v>
      </x:c>
      <x:c r="H6" s="41" t="str">
        <x:v>Evidence root</x:v>
      </x:c>
      <x:c r="I6" s="41" t="str">
        <x:v>Accepted UTC</x:v>
      </x:c>
      <x:c r="J6" s="41" t="str">
        <x:v>State</x:v>
      </x:c>
    </x:row>
    <x:row r="7">
      <x:c r="B7" s="26" t="str">
        <x:v>RG-01</x:v>
      </x:c>
      <x:c r="C7" s="26" t="str">
        <x:v>article</x:v>
      </x:c>
      <x:c r="D7" s="26" t="n">
        <x:v>1</x:v>
      </x:c>
      <x:c r="E7" s="26" t="str">
        <x:v>restore article requirement 1</x:v>
      </x:c>
      <x:c r="F7" s="26" t="str">
        <x:v>PASS</x:v>
      </x:c>
      <x:c r="G7" s="26" t="str"/>
      <x:c r="H7" s="26" t="str"/>
      <x:c r="I7" s="26" t="str"/>
      <x:c r="J7" s="26" t="str">
        <x:f>IF(I7="","OPEN",IF(AND(G7=F7,H7&lt;&gt;""),"PASS","FAIL"))</x:f>
        <x:v>OPEN</x:v>
      </x:c>
    </x:row>
    <x:row r="8">
      <x:c r="B8" s="26" t="str">
        <x:v>RG-02</x:v>
      </x:c>
      <x:c r="C8" s="26" t="str">
        <x:v>article</x:v>
      </x:c>
      <x:c r="D8" s="26" t="n">
        <x:v>2</x:v>
      </x:c>
      <x:c r="E8" s="26" t="str">
        <x:v>restore article requirement 2</x:v>
      </x:c>
      <x:c r="F8" s="26" t="str">
        <x:v>PASS</x:v>
      </x:c>
      <x:c r="G8" s="26" t="str"/>
      <x:c r="H8" s="26" t="str"/>
      <x:c r="I8" s="26" t="str"/>
      <x:c r="J8" s="26" t="str">
        <x:f>IF(I8="","OPEN",IF(AND(G8=F8,H8&lt;&gt;""),"PASS","FAIL"))</x:f>
        <x:v>OPEN</x:v>
      </x:c>
    </x:row>
    <x:row r="9">
      <x:c r="B9" s="26" t="str">
        <x:v>RG-03</x:v>
      </x:c>
      <x:c r="C9" s="26" t="str">
        <x:v>article</x:v>
      </x:c>
      <x:c r="D9" s="26" t="n">
        <x:v>3</x:v>
      </x:c>
      <x:c r="E9" s="26" t="str">
        <x:v>restore article requirement 3</x:v>
      </x:c>
      <x:c r="F9" s="26" t="str">
        <x:v>PASS</x:v>
      </x:c>
      <x:c r="G9" s="26" t="str"/>
      <x:c r="H9" s="26" t="str"/>
      <x:c r="I9" s="26" t="str"/>
      <x:c r="J9" s="26" t="str">
        <x:f>IF(I9="","OPEN",IF(AND(G9=F9,H9&lt;&gt;""),"PASS","FAIL"))</x:f>
        <x:v>OPEN</x:v>
      </x:c>
    </x:row>
    <x:row r="10">
      <x:c r="B10" s="26" t="str">
        <x:v>RG-04</x:v>
      </x:c>
      <x:c r="C10" s="26" t="str">
        <x:v>article</x:v>
      </x:c>
      <x:c r="D10" s="26" t="n">
        <x:v>4</x:v>
      </x:c>
      <x:c r="E10" s="26" t="str">
        <x:v>restore article requirement 4</x:v>
      </x:c>
      <x:c r="F10" s="26" t="str">
        <x:v>PASS</x:v>
      </x:c>
      <x:c r="G10" s="26" t="str"/>
      <x:c r="H10" s="26" t="str"/>
      <x:c r="I10" s="26" t="str"/>
      <x:c r="J10" s="26" t="str">
        <x:f>IF(I10="","OPEN",IF(AND(G10=F10,H10&lt;&gt;""),"PASS","FAIL"))</x:f>
        <x:v>OPEN</x:v>
      </x:c>
    </x:row>
    <x:row r="11">
      <x:c r="B11" s="26" t="str">
        <x:v>RG-05</x:v>
      </x:c>
      <x:c r="C11" s="26" t="str">
        <x:v>article</x:v>
      </x:c>
      <x:c r="D11" s="26" t="n">
        <x:v>5</x:v>
      </x:c>
      <x:c r="E11" s="26" t="str">
        <x:v>restore article requirement 5</x:v>
      </x:c>
      <x:c r="F11" s="26" t="str">
        <x:v>PASS</x:v>
      </x:c>
      <x:c r="G11" s="26" t="str"/>
      <x:c r="H11" s="26" t="str"/>
      <x:c r="I11" s="26" t="str"/>
      <x:c r="J11" s="26" t="str">
        <x:f>IF(I11="","OPEN",IF(AND(G11=F11,H11&lt;&gt;""),"PASS","FAIL"))</x:f>
        <x:v>OPEN</x:v>
      </x:c>
    </x:row>
    <x:row r="12">
      <x:c r="B12" s="26" t="str">
        <x:v>RG-06</x:v>
      </x:c>
      <x:c r="C12" s="26" t="str">
        <x:v>article</x:v>
      </x:c>
      <x:c r="D12" s="26" t="n">
        <x:v>6</x:v>
      </x:c>
      <x:c r="E12" s="26" t="str">
        <x:v>restore article requirement 6</x:v>
      </x:c>
      <x:c r="F12" s="26" t="str">
        <x:v>PASS</x:v>
      </x:c>
      <x:c r="G12" s="26" t="str"/>
      <x:c r="H12" s="26" t="str"/>
      <x:c r="I12" s="26" t="str"/>
      <x:c r="J12" s="26" t="str">
        <x:f>IF(I12="","OPEN",IF(AND(G12=F12,H12&lt;&gt;""),"PASS","FAIL"))</x:f>
        <x:v>OPEN</x:v>
      </x:c>
    </x:row>
    <x:row r="13">
      <x:c r="B13" s="26" t="str">
        <x:v>RG-07</x:v>
      </x:c>
      <x:c r="C13" s="26" t="str">
        <x:v>article</x:v>
      </x:c>
      <x:c r="D13" s="26" t="n">
        <x:v>7</x:v>
      </x:c>
      <x:c r="E13" s="26" t="str">
        <x:v>restore article requirement 7</x:v>
      </x:c>
      <x:c r="F13" s="26" t="str">
        <x:v>PASS</x:v>
      </x:c>
      <x:c r="G13" s="26" t="str"/>
      <x:c r="H13" s="26" t="str"/>
      <x:c r="I13" s="26" t="str"/>
      <x:c r="J13" s="26" t="str">
        <x:f>IF(I13="","OPEN",IF(AND(G13=F13,H13&lt;&gt;""),"PASS","FAIL"))</x:f>
        <x:v>OPEN</x:v>
      </x:c>
    </x:row>
    <x:row r="14">
      <x:c r="B14" s="26" t="str">
        <x:v>RG-08</x:v>
      </x:c>
      <x:c r="C14" s="26" t="str">
        <x:v>article</x:v>
      </x:c>
      <x:c r="D14" s="26" t="n">
        <x:v>8</x:v>
      </x:c>
      <x:c r="E14" s="26" t="str">
        <x:v>restore article requirement 8</x:v>
      </x:c>
      <x:c r="F14" s="26" t="str">
        <x:v>PASS</x:v>
      </x:c>
      <x:c r="G14" s="26" t="str"/>
      <x:c r="H14" s="26" t="str"/>
      <x:c r="I14" s="26" t="str"/>
      <x:c r="J14" s="26" t="str">
        <x:f>IF(I14="","OPEN",IF(AND(G14=F14,H14&lt;&gt;""),"PASS","FAIL"))</x:f>
        <x:v>OPEN</x:v>
      </x:c>
    </x:row>
    <x:row r="15">
      <x:c r="B15" s="26" t="str">
        <x:v>RG-09</x:v>
      </x:c>
      <x:c r="C15" s="26" t="str">
        <x:v>article</x:v>
      </x:c>
      <x:c r="D15" s="26" t="n">
        <x:v>9</x:v>
      </x:c>
      <x:c r="E15" s="26" t="str">
        <x:v>restore article requirement 9</x:v>
      </x:c>
      <x:c r="F15" s="26" t="str">
        <x:v>PASS</x:v>
      </x:c>
      <x:c r="G15" s="26" t="str"/>
      <x:c r="H15" s="26" t="str"/>
      <x:c r="I15" s="26" t="str"/>
      <x:c r="J15" s="26" t="str">
        <x:f>IF(I15="","OPEN",IF(AND(G15=F15,H15&lt;&gt;""),"PASS","FAIL"))</x:f>
        <x:v>OPEN</x:v>
      </x:c>
    </x:row>
    <x:row r="16">
      <x:c r="B16" s="26" t="str">
        <x:v>RG-10</x:v>
      </x:c>
      <x:c r="C16" s="26" t="str">
        <x:v>article</x:v>
      </x:c>
      <x:c r="D16" s="26" t="n">
        <x:v>10</x:v>
      </x:c>
      <x:c r="E16" s="26" t="str">
        <x:v>restore article requirement 10</x:v>
      </x:c>
      <x:c r="F16" s="26" t="str">
        <x:v>PASS</x:v>
      </x:c>
      <x:c r="G16" s="26" t="str"/>
      <x:c r="H16" s="26" t="str"/>
      <x:c r="I16" s="26" t="str"/>
      <x:c r="J16" s="26" t="str">
        <x:f>IF(I16="","OPEN",IF(AND(G16=F16,H16&lt;&gt;""),"PASS","FAIL"))</x:f>
        <x:v>OPEN</x:v>
      </x:c>
    </x:row>
    <x:row r="17">
      <x:c r="B17" s="26" t="str">
        <x:v>RG-11</x:v>
      </x:c>
      <x:c r="C17" s="26" t="str">
        <x:v>article</x:v>
      </x:c>
      <x:c r="D17" s="26" t="n">
        <x:v>11</x:v>
      </x:c>
      <x:c r="E17" s="26" t="str">
        <x:v>restore article requirement 11</x:v>
      </x:c>
      <x:c r="F17" s="26" t="str">
        <x:v>PASS</x:v>
      </x:c>
      <x:c r="G17" s="26" t="str"/>
      <x:c r="H17" s="26" t="str"/>
      <x:c r="I17" s="26" t="str"/>
      <x:c r="J17" s="26" t="str">
        <x:f>IF(I17="","OPEN",IF(AND(G17=F17,H17&lt;&gt;""),"PASS","FAIL"))</x:f>
        <x:v>OPEN</x:v>
      </x:c>
    </x:row>
    <x:row r="18">
      <x:c r="B18" s="26" t="str">
        <x:v>RG-12</x:v>
      </x:c>
      <x:c r="C18" s="26" t="str">
        <x:v>article</x:v>
      </x:c>
      <x:c r="D18" s="26" t="n">
        <x:v>12</x:v>
      </x:c>
      <x:c r="E18" s="26" t="str">
        <x:v>restore article requirement 12</x:v>
      </x:c>
      <x:c r="F18" s="26" t="str">
        <x:v>PASS</x:v>
      </x:c>
      <x:c r="G18" s="26" t="str"/>
      <x:c r="H18" s="26" t="str"/>
      <x:c r="I18" s="26" t="str"/>
      <x:c r="J18" s="26" t="str">
        <x:f>IF(I18="","OPEN",IF(AND(G18=F18,H18&lt;&gt;""),"PASS","FAIL"))</x:f>
        <x:v>OPEN</x:v>
      </x:c>
    </x:row>
    <x:row r="19">
      <x:c r="B19" s="26" t="str">
        <x:v>RG-13</x:v>
      </x:c>
      <x:c r="C19" s="26" t="str">
        <x:v>rig</x:v>
      </x:c>
      <x:c r="D19" s="26" t="n">
        <x:v>1</x:v>
      </x:c>
      <x:c r="E19" s="26" t="str">
        <x:v>restore rig requirement 1</x:v>
      </x:c>
      <x:c r="F19" s="26" t="str">
        <x:v>PASS</x:v>
      </x:c>
      <x:c r="G19" s="26" t="str"/>
      <x:c r="H19" s="26" t="str"/>
      <x:c r="I19" s="26" t="str"/>
      <x:c r="J19" s="26" t="str">
        <x:f>IF(I19="","OPEN",IF(AND(G19=F19,H19&lt;&gt;""),"PASS","FAIL"))</x:f>
        <x:v>OPEN</x:v>
      </x:c>
    </x:row>
    <x:row r="20">
      <x:c r="B20" s="26" t="str">
        <x:v>RG-14</x:v>
      </x:c>
      <x:c r="C20" s="26" t="str">
        <x:v>rig</x:v>
      </x:c>
      <x:c r="D20" s="26" t="n">
        <x:v>2</x:v>
      </x:c>
      <x:c r="E20" s="26" t="str">
        <x:v>restore rig requirement 2</x:v>
      </x:c>
      <x:c r="F20" s="26" t="str">
        <x:v>PASS</x:v>
      </x:c>
      <x:c r="G20" s="26" t="str"/>
      <x:c r="H20" s="26" t="str"/>
      <x:c r="I20" s="26" t="str"/>
      <x:c r="J20" s="26" t="str">
        <x:f>IF(I20="","OPEN",IF(AND(G20=F20,H20&lt;&gt;""),"PASS","FAIL"))</x:f>
        <x:v>OPEN</x:v>
      </x:c>
    </x:row>
    <x:row r="21">
      <x:c r="B21" s="26" t="str">
        <x:v>RG-15</x:v>
      </x:c>
      <x:c r="C21" s="26" t="str">
        <x:v>rig</x:v>
      </x:c>
      <x:c r="D21" s="26" t="n">
        <x:v>3</x:v>
      </x:c>
      <x:c r="E21" s="26" t="str">
        <x:v>restore rig requirement 3</x:v>
      </x:c>
      <x:c r="F21" s="26" t="str">
        <x:v>PASS</x:v>
      </x:c>
      <x:c r="G21" s="26" t="str"/>
      <x:c r="H21" s="26" t="str"/>
      <x:c r="I21" s="26" t="str"/>
      <x:c r="J21" s="26" t="str">
        <x:f>IF(I21="","OPEN",IF(AND(G21=F21,H21&lt;&gt;""),"PASS","FAIL"))</x:f>
        <x:v>OPEN</x:v>
      </x:c>
    </x:row>
    <x:row r="22">
      <x:c r="B22" s="26" t="str">
        <x:v>RG-16</x:v>
      </x:c>
      <x:c r="C22" s="26" t="str">
        <x:v>rig</x:v>
      </x:c>
      <x:c r="D22" s="26" t="n">
        <x:v>4</x:v>
      </x:c>
      <x:c r="E22" s="26" t="str">
        <x:v>restore rig requirement 4</x:v>
      </x:c>
      <x:c r="F22" s="26" t="str">
        <x:v>PASS</x:v>
      </x:c>
      <x:c r="G22" s="26" t="str"/>
      <x:c r="H22" s="26" t="str"/>
      <x:c r="I22" s="26" t="str"/>
      <x:c r="J22" s="26" t="str">
        <x:f>IF(I22="","OPEN",IF(AND(G22=F22,H22&lt;&gt;""),"PASS","FAIL"))</x:f>
        <x:v>OPEN</x:v>
      </x:c>
    </x:row>
    <x:row r="23">
      <x:c r="B23" s="26" t="str">
        <x:v>RG-17</x:v>
      </x:c>
      <x:c r="C23" s="26" t="str">
        <x:v>rig</x:v>
      </x:c>
      <x:c r="D23" s="26" t="n">
        <x:v>5</x:v>
      </x:c>
      <x:c r="E23" s="26" t="str">
        <x:v>restore rig requirement 5</x:v>
      </x:c>
      <x:c r="F23" s="26" t="str">
        <x:v>PASS</x:v>
      </x:c>
      <x:c r="G23" s="26" t="str"/>
      <x:c r="H23" s="26" t="str"/>
      <x:c r="I23" s="26" t="str"/>
      <x:c r="J23" s="26" t="str">
        <x:f>IF(I23="","OPEN",IF(AND(G23=F23,H23&lt;&gt;""),"PASS","FAIL"))</x:f>
        <x:v>OPEN</x:v>
      </x:c>
    </x:row>
    <x:row r="24">
      <x:c r="B24" s="26" t="str">
        <x:v>RG-18</x:v>
      </x:c>
      <x:c r="C24" s="26" t="str">
        <x:v>rig</x:v>
      </x:c>
      <x:c r="D24" s="26" t="n">
        <x:v>6</x:v>
      </x:c>
      <x:c r="E24" s="26" t="str">
        <x:v>restore rig requirement 6</x:v>
      </x:c>
      <x:c r="F24" s="26" t="str">
        <x:v>PASS</x:v>
      </x:c>
      <x:c r="G24" s="26" t="str"/>
      <x:c r="H24" s="26" t="str"/>
      <x:c r="I24" s="26" t="str"/>
      <x:c r="J24" s="26" t="str">
        <x:f>IF(I24="","OPEN",IF(AND(G24=F24,H24&lt;&gt;""),"PASS","FAIL"))</x:f>
        <x:v>OPEN</x:v>
      </x:c>
    </x:row>
    <x:row r="25">
      <x:c r="B25" s="26" t="str">
        <x:v>RG-19</x:v>
      </x:c>
      <x:c r="C25" s="26" t="str">
        <x:v>rig</x:v>
      </x:c>
      <x:c r="D25" s="26" t="n">
        <x:v>7</x:v>
      </x:c>
      <x:c r="E25" s="26" t="str">
        <x:v>restore rig requirement 7</x:v>
      </x:c>
      <x:c r="F25" s="26" t="str">
        <x:v>PASS</x:v>
      </x:c>
      <x:c r="G25" s="26" t="str"/>
      <x:c r="H25" s="26" t="str"/>
      <x:c r="I25" s="26" t="str"/>
      <x:c r="J25" s="26" t="str">
        <x:f>IF(I25="","OPEN",IF(AND(G25=F25,H25&lt;&gt;""),"PASS","FAIL"))</x:f>
        <x:v>OPEN</x:v>
      </x:c>
    </x:row>
    <x:row r="26">
      <x:c r="B26" s="26" t="str">
        <x:v>RG-20</x:v>
      </x:c>
      <x:c r="C26" s="26" t="str">
        <x:v>rig</x:v>
      </x:c>
      <x:c r="D26" s="26" t="n">
        <x:v>8</x:v>
      </x:c>
      <x:c r="E26" s="26" t="str">
        <x:v>restore rig requirement 8</x:v>
      </x:c>
      <x:c r="F26" s="26" t="str">
        <x:v>PASS</x:v>
      </x:c>
      <x:c r="G26" s="26" t="str"/>
      <x:c r="H26" s="26" t="str"/>
      <x:c r="I26" s="26" t="str"/>
      <x:c r="J26" s="26" t="str">
        <x:f>IF(I26="","OPEN",IF(AND(G26=F26,H26&lt;&gt;""),"PASS","FAIL"))</x:f>
        <x:v>OPEN</x:v>
      </x:c>
    </x:row>
    <x:row r="27">
      <x:c r="B27" s="26" t="str">
        <x:v>RG-21</x:v>
      </x:c>
      <x:c r="C27" s="26" t="str">
        <x:v>rig</x:v>
      </x:c>
      <x:c r="D27" s="26" t="n">
        <x:v>9</x:v>
      </x:c>
      <x:c r="E27" s="26" t="str">
        <x:v>restore rig requirement 9</x:v>
      </x:c>
      <x:c r="F27" s="26" t="str">
        <x:v>PASS</x:v>
      </x:c>
      <x:c r="G27" s="26" t="str"/>
      <x:c r="H27" s="26" t="str"/>
      <x:c r="I27" s="26" t="str"/>
      <x:c r="J27" s="26" t="str">
        <x:f>IF(I27="","OPEN",IF(AND(G27=F27,H27&lt;&gt;""),"PASS","FAIL"))</x:f>
        <x:v>OPEN</x:v>
      </x:c>
    </x:row>
    <x:row r="28">
      <x:c r="B28" s="26" t="str">
        <x:v>RG-22</x:v>
      </x:c>
      <x:c r="C28" s="26" t="str">
        <x:v>rig</x:v>
      </x:c>
      <x:c r="D28" s="26" t="n">
        <x:v>10</x:v>
      </x:c>
      <x:c r="E28" s="26" t="str">
        <x:v>restore rig requirement 10</x:v>
      </x:c>
      <x:c r="F28" s="26" t="str">
        <x:v>PASS</x:v>
      </x:c>
      <x:c r="G28" s="26" t="str"/>
      <x:c r="H28" s="26" t="str"/>
      <x:c r="I28" s="26" t="str"/>
      <x:c r="J28" s="26" t="str">
        <x:f>IF(I28="","OPEN",IF(AND(G28=F28,H28&lt;&gt;""),"PASS","FAIL"))</x:f>
        <x:v>OPEN</x:v>
      </x:c>
    </x:row>
    <x:row r="29">
      <x:c r="B29" s="26" t="str">
        <x:v>RG-23</x:v>
      </x:c>
      <x:c r="C29" s="26" t="str">
        <x:v>rig</x:v>
      </x:c>
      <x:c r="D29" s="26" t="n">
        <x:v>11</x:v>
      </x:c>
      <x:c r="E29" s="26" t="str">
        <x:v>restore rig requirement 11</x:v>
      </x:c>
      <x:c r="F29" s="26" t="str">
        <x:v>PASS</x:v>
      </x:c>
      <x:c r="G29" s="26" t="str"/>
      <x:c r="H29" s="26" t="str"/>
      <x:c r="I29" s="26" t="str"/>
      <x:c r="J29" s="26" t="str">
        <x:f>IF(I29="","OPEN",IF(AND(G29=F29,H29&lt;&gt;""),"PASS","FAIL"))</x:f>
        <x:v>OPEN</x:v>
      </x:c>
    </x:row>
    <x:row r="30">
      <x:c r="B30" s="26" t="str">
        <x:v>RG-24</x:v>
      </x:c>
      <x:c r="C30" s="26" t="str">
        <x:v>rig</x:v>
      </x:c>
      <x:c r="D30" s="26" t="n">
        <x:v>12</x:v>
      </x:c>
      <x:c r="E30" s="26" t="str">
        <x:v>restore rig requirement 12</x:v>
      </x:c>
      <x:c r="F30" s="26" t="str">
        <x:v>PASS</x:v>
      </x:c>
      <x:c r="G30" s="26" t="str"/>
      <x:c r="H30" s="26" t="str"/>
      <x:c r="I30" s="26" t="str"/>
      <x:c r="J30" s="26" t="str">
        <x:f>IF(I30="","OPEN",IF(AND(G30=F30,H30&lt;&gt;""),"PASS","FAIL"))</x:f>
        <x:v>OPEN</x:v>
      </x:c>
    </x:row>
    <x:row r="31">
      <x:c r="B31" s="26" t="str">
        <x:v>RG-25</x:v>
      </x:c>
      <x:c r="C31" s="26" t="str">
        <x:v>crew</x:v>
      </x:c>
      <x:c r="D31" s="26" t="n">
        <x:v>1</x:v>
      </x:c>
      <x:c r="E31" s="26" t="str">
        <x:v>restore crew requirement 1</x:v>
      </x:c>
      <x:c r="F31" s="26" t="str">
        <x:v>PASS</x:v>
      </x:c>
      <x:c r="G31" s="26" t="str"/>
      <x:c r="H31" s="26" t="str"/>
      <x:c r="I31" s="26" t="str"/>
      <x:c r="J31" s="26" t="str">
        <x:f>IF(I31="","OPEN",IF(AND(G31=F31,H31&lt;&gt;""),"PASS","FAIL"))</x:f>
        <x:v>OPEN</x:v>
      </x:c>
    </x:row>
    <x:row r="32">
      <x:c r="B32" s="26" t="str">
        <x:v>RG-26</x:v>
      </x:c>
      <x:c r="C32" s="26" t="str">
        <x:v>crew</x:v>
      </x:c>
      <x:c r="D32" s="26" t="n">
        <x:v>2</x:v>
      </x:c>
      <x:c r="E32" s="26" t="str">
        <x:v>restore crew requirement 2</x:v>
      </x:c>
      <x:c r="F32" s="26" t="str">
        <x:v>PASS</x:v>
      </x:c>
      <x:c r="G32" s="26" t="str"/>
      <x:c r="H32" s="26" t="str"/>
      <x:c r="I32" s="26" t="str"/>
      <x:c r="J32" s="26" t="str">
        <x:f>IF(I32="","OPEN",IF(AND(G32=F32,H32&lt;&gt;""),"PASS","FAIL"))</x:f>
        <x:v>OPEN</x:v>
      </x:c>
    </x:row>
    <x:row r="33">
      <x:c r="B33" s="26" t="str">
        <x:v>RG-27</x:v>
      </x:c>
      <x:c r="C33" s="26" t="str">
        <x:v>crew</x:v>
      </x:c>
      <x:c r="D33" s="26" t="n">
        <x:v>3</x:v>
      </x:c>
      <x:c r="E33" s="26" t="str">
        <x:v>restore crew requirement 3</x:v>
      </x:c>
      <x:c r="F33" s="26" t="str">
        <x:v>PASS</x:v>
      </x:c>
      <x:c r="G33" s="26" t="str"/>
      <x:c r="H33" s="26" t="str"/>
      <x:c r="I33" s="26" t="str"/>
      <x:c r="J33" s="26" t="str">
        <x:f>IF(I33="","OPEN",IF(AND(G33=F33,H33&lt;&gt;""),"PASS","FAIL"))</x:f>
        <x:v>OPEN</x:v>
      </x:c>
    </x:row>
    <x:row r="34">
      <x:c r="B34" s="26" t="str">
        <x:v>RG-28</x:v>
      </x:c>
      <x:c r="C34" s="26" t="str">
        <x:v>crew</x:v>
      </x:c>
      <x:c r="D34" s="26" t="n">
        <x:v>4</x:v>
      </x:c>
      <x:c r="E34" s="26" t="str">
        <x:v>restore crew requirement 4</x:v>
      </x:c>
      <x:c r="F34" s="26" t="str">
        <x:v>PASS</x:v>
      </x:c>
      <x:c r="G34" s="26" t="str"/>
      <x:c r="H34" s="26" t="str"/>
      <x:c r="I34" s="26" t="str"/>
      <x:c r="J34" s="26" t="str">
        <x:f>IF(I34="","OPEN",IF(AND(G34=F34,H34&lt;&gt;""),"PASS","FAIL"))</x:f>
        <x:v>OPEN</x:v>
      </x:c>
    </x:row>
    <x:row r="35">
      <x:c r="B35" s="26" t="str">
        <x:v>RG-29</x:v>
      </x:c>
      <x:c r="C35" s="26" t="str">
        <x:v>evidence</x:v>
      </x:c>
      <x:c r="D35" s="26" t="n">
        <x:v>1</x:v>
      </x:c>
      <x:c r="E35" s="26" t="str">
        <x:v>restore evidence requirement 1</x:v>
      </x:c>
      <x:c r="F35" s="26" t="str">
        <x:v>PASS</x:v>
      </x:c>
      <x:c r="G35" s="26" t="str"/>
      <x:c r="H35" s="26" t="str"/>
      <x:c r="I35" s="26" t="str"/>
      <x:c r="J35" s="26" t="str">
        <x:f>IF(I35="","OPEN",IF(AND(G35=F35,H35&lt;&gt;""),"PASS","FAIL"))</x:f>
        <x:v>OPEN</x:v>
      </x:c>
    </x:row>
    <x:row r="36">
      <x:c r="B36" s="26" t="str">
        <x:v>RG-30</x:v>
      </x:c>
      <x:c r="C36" s="26" t="str">
        <x:v>evidence</x:v>
      </x:c>
      <x:c r="D36" s="26" t="n">
        <x:v>2</x:v>
      </x:c>
      <x:c r="E36" s="26" t="str">
        <x:v>restore evidence requirement 2</x:v>
      </x:c>
      <x:c r="F36" s="26" t="str">
        <x:v>PASS</x:v>
      </x:c>
      <x:c r="G36" s="26" t="str"/>
      <x:c r="H36" s="26" t="str"/>
      <x:c r="I36" s="26" t="str"/>
      <x:c r="J36" s="26" t="str">
        <x:f>IF(I36="","OPEN",IF(AND(G36=F36,H36&lt;&gt;""),"PASS","FAIL"))</x:f>
        <x:v>OPEN</x:v>
      </x:c>
    </x:row>
    <x:row r="37">
      <x:c r="B37" s="26" t="str">
        <x:v>RG-31</x:v>
      </x:c>
      <x:c r="C37" s="26" t="str">
        <x:v>evidence</x:v>
      </x:c>
      <x:c r="D37" s="26" t="n">
        <x:v>3</x:v>
      </x:c>
      <x:c r="E37" s="26" t="str">
        <x:v>restore evidence requirement 3</x:v>
      </x:c>
      <x:c r="F37" s="26" t="str">
        <x:v>PASS</x:v>
      </x:c>
      <x:c r="G37" s="26" t="str"/>
      <x:c r="H37" s="26" t="str"/>
      <x:c r="I37" s="26" t="str"/>
      <x:c r="J37" s="26" t="str">
        <x:f>IF(I37="","OPEN",IF(AND(G37=F37,H37&lt;&gt;""),"PASS","FAIL"))</x:f>
        <x:v>OPEN</x:v>
      </x:c>
    </x:row>
    <x:row r="38">
      <x:c r="B38" s="26" t="str">
        <x:v>RG-32</x:v>
      </x:c>
      <x:c r="C38" s="26" t="str">
        <x:v>evidence</x:v>
      </x:c>
      <x:c r="D38" s="26" t="n">
        <x:v>4</x:v>
      </x:c>
      <x:c r="E38" s="26" t="str">
        <x:v>restore evidence requirement 4</x:v>
      </x:c>
      <x:c r="F38" s="26" t="str">
        <x:v>PASS</x:v>
      </x:c>
      <x:c r="G38" s="26" t="str"/>
      <x:c r="H38" s="26" t="str"/>
      <x:c r="I38" s="26" t="str"/>
      <x:c r="J38" s="26" t="str">
        <x:f>IF(I38="","OPEN",IF(AND(G38=F38,H38&lt;&gt;""),"PASS","FAIL"))</x:f>
        <x:v>OPEN</x:v>
      </x:c>
    </x:row>
    <x:row r="39">
      <x:c r="B39" s="26" t="str">
        <x:v>RG-33</x:v>
      </x:c>
      <x:c r="C39" s="26" t="str">
        <x:v>safety and rescue</x:v>
      </x:c>
      <x:c r="D39" s="26" t="n">
        <x:v>1</x:v>
      </x:c>
      <x:c r="E39" s="26" t="str">
        <x:v>restore safety and rescue requirement 1</x:v>
      </x:c>
      <x:c r="F39" s="26" t="str">
        <x:v>PASS</x:v>
      </x:c>
      <x:c r="G39" s="26" t="str"/>
      <x:c r="H39" s="26" t="str"/>
      <x:c r="I39" s="26" t="str"/>
      <x:c r="J39" s="26" t="str">
        <x:f>IF(I39="","OPEN",IF(AND(G39=F39,H39&lt;&gt;""),"PASS","FAIL"))</x:f>
        <x:v>OPEN</x:v>
      </x:c>
    </x:row>
    <x:row r="40">
      <x:c r="B40" s="26" t="str">
        <x:v>RG-34</x:v>
      </x:c>
      <x:c r="C40" s="26" t="str">
        <x:v>safety and rescue</x:v>
      </x:c>
      <x:c r="D40" s="26" t="n">
        <x:v>2</x:v>
      </x:c>
      <x:c r="E40" s="26" t="str">
        <x:v>restore safety and rescue requirement 2</x:v>
      </x:c>
      <x:c r="F40" s="26" t="str">
        <x:v>PASS</x:v>
      </x:c>
      <x:c r="G40" s="26" t="str"/>
      <x:c r="H40" s="26" t="str"/>
      <x:c r="I40" s="26" t="str"/>
      <x:c r="J40" s="26" t="str">
        <x:f>IF(I40="","OPEN",IF(AND(G40=F40,H40&lt;&gt;""),"PASS","FAIL"))</x:f>
        <x:v>OPEN</x:v>
      </x:c>
    </x:row>
    <x:row r="41">
      <x:c r="B41" s="26" t="str">
        <x:v>RG-35</x:v>
      </x:c>
      <x:c r="C41" s="26" t="str">
        <x:v>safety and rescue</x:v>
      </x:c>
      <x:c r="D41" s="26" t="n">
        <x:v>3</x:v>
      </x:c>
      <x:c r="E41" s="26" t="str">
        <x:v>restore safety and rescue requirement 3</x:v>
      </x:c>
      <x:c r="F41" s="26" t="str">
        <x:v>PASS</x:v>
      </x:c>
      <x:c r="G41" s="26" t="str"/>
      <x:c r="H41" s="26" t="str"/>
      <x:c r="I41" s="26" t="str"/>
      <x:c r="J41" s="26" t="str">
        <x:f>IF(I41="","OPEN",IF(AND(G41=F41,H41&lt;&gt;""),"PASS","FAIL"))</x:f>
        <x:v>OPEN</x:v>
      </x:c>
    </x:row>
    <x:row r="42">
      <x:c r="B42" s="26" t="str">
        <x:v>RG-36</x:v>
      </x:c>
      <x:c r="C42" s="26" t="str">
        <x:v>safety and rescue</x:v>
      </x:c>
      <x:c r="D42" s="26" t="n">
        <x:v>4</x:v>
      </x:c>
      <x:c r="E42" s="26" t="str">
        <x:v>restore safety and rescue requirement 4</x:v>
      </x:c>
      <x:c r="F42" s="26" t="str">
        <x:v>PASS</x:v>
      </x:c>
      <x:c r="G42" s="26" t="str"/>
      <x:c r="H42" s="26" t="str"/>
      <x:c r="I42" s="26" t="str"/>
      <x:c r="J42" s="26" t="str">
        <x:f>IF(I42="","OPEN",IF(AND(G42=F42,H42&lt;&gt;""),"PASS","FAIL"))</x:f>
        <x:v>OPEN</x:v>
      </x:c>
    </x:row>
  </x:sheetData>
  <x:conditionalFormatting sqref="J7:J42">
    <x:cfRule type="containsText" dxfId="261" priority="1" operator="containsText" text="FAIL"/>
    <x:cfRule type="containsText" dxfId="262" priority="2" operator="containsText" text="BLOCKED"/>
    <x:cfRule type="containsText" dxfId="263" priority="3" operator="containsText" text="INVALID"/>
    <x:cfRule type="containsText" dxfId="264" priority="4" operator="containsText" text="ADVERSE"/>
    <x:cfRule type="containsText" dxfId="265" priority="5" operator="containsText" text="EXPIRED"/>
    <x:cfRule type="containsText" dxfId="266" priority="6" operator="containsText" text="OPEN"/>
    <x:cfRule type="containsText" dxfId="267" priority="7" operator="containsText" text="DORMANT"/>
    <x:cfRule type="containsText" dxfId="268" priority="8" operator="containsText" text="PASS"/>
    <x:cfRule type="containsText" dxfId="269" priority="9" operator="containsText" text="AVAILABLE"/>
  </x:conditionalFormatting>
  <x:pageMargins left="0.7" right="0.7" top="0.75" bottom="0.75" header="0.3" footer="0.3"/>
</x:worksheet>
</file>

<file path=xl/worksheets/sheet36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5" hidden="0" customWidth="1"/>
    <x:col min="3" max="3" width="12" hidden="0" customWidth="1"/>
    <x:col min="4" max="4" width="50" hidden="0" customWidth="1"/>
    <x:col min="5" max="5" width="19" hidden="0" customWidth="1"/>
    <x:col min="6" max="6" width="20" hidden="0" customWidth="1"/>
    <x:col min="7" max="7" width="34" hidden="0" customWidth="1"/>
    <x:col min="8" max="8" width="21" hidden="0" customWidth="1"/>
    <x:col min="9" max="9" width="14" hidden="0" customWidth="1"/>
  </x:cols>
  <x:sheetData>
    <x:row r="2">
      <x:c r="B2" s="39" t="str">
        <x:v>Twenty-four post-event regression tests</x:v>
      </x:c>
      <x:c r="C2" s="26"/>
      <x:c r="D2" s="26"/>
      <x:c r="E2" s="26"/>
      <x:c r="F2" s="26"/>
      <x:c r="G2" s="26"/>
      <x:c r="H2" s="26"/>
      <x:c r="I2" s="26"/>
    </x:row>
    <x:row r="3">
      <x:c r="B3" s="40" t="str">
        <x:v>The restored baseline must again satisfy interfaces, zero-state sensing, time, evidence, rescue, neighbor and environment requirements.</x:v>
      </x:c>
      <x:c r="C3" s="26"/>
      <x:c r="D3" s="26"/>
      <x:c r="E3" s="26"/>
      <x:c r="F3" s="26"/>
      <x:c r="G3" s="26"/>
      <x:c r="H3" s="26"/>
      <x:c r="I3" s="26"/>
    </x:row>
    <x:row r="4">
      <x:c r="B4" s="26"/>
      <x:c r="C4" s="26"/>
      <x:c r="D4" s="26"/>
      <x:c r="E4" s="26"/>
      <x:c r="F4" s="26"/>
      <x:c r="G4" s="26"/>
      <x:c r="H4" s="26"/>
      <x:c r="I4" s="26"/>
    </x:row>
    <x:row r="5">
      <x:c r="B5" s="26"/>
      <x:c r="C5" s="26"/>
      <x:c r="D5" s="26"/>
      <x:c r="E5" s="26"/>
      <x:c r="F5" s="26"/>
      <x:c r="G5" s="26"/>
      <x:c r="H5" s="26"/>
      <x:c r="I5" s="26"/>
    </x:row>
    <x:row r="6" ht="24" customHeight="1">
      <x:c r="B6" s="41" t="str">
        <x:v>Test</x:v>
      </x:c>
      <x:c r="C6" s="41" t="str">
        <x:v>Sequence</x:v>
      </x:c>
      <x:c r="D6" s="41" t="str">
        <x:v>Requirement</x:v>
      </x:c>
      <x:c r="E6" s="41" t="str">
        <x:v>Required result</x:v>
      </x:c>
      <x:c r="F6" s="41" t="str">
        <x:v>Observed result</x:v>
      </x:c>
      <x:c r="G6" s="41" t="str">
        <x:v>Evidence root</x:v>
      </x:c>
      <x:c r="H6" s="41" t="str">
        <x:v>Accepted UTC</x:v>
      </x:c>
      <x:c r="I6" s="41" t="str">
        <x:v>State</x:v>
      </x:c>
    </x:row>
    <x:row r="7">
      <x:c r="B7" s="26" t="str">
        <x:v>RT-01</x:v>
      </x:c>
      <x:c r="C7" s="26" t="n">
        <x:v>1</x:v>
      </x:c>
      <x:c r="D7" s="26" t="str">
        <x:v>interface: source inlet isolation</x:v>
      </x:c>
      <x:c r="E7" s="26" t="str">
        <x:v>PASS</x:v>
      </x:c>
      <x:c r="F7" s="26" t="str"/>
      <x:c r="G7" s="26" t="str"/>
      <x:c r="H7" s="26" t="str"/>
      <x:c r="I7" s="26" t="str">
        <x:f>IF(H7="","OPEN",IF(AND(F7=E7,G7&lt;&gt;""),"PASS","FAIL"))</x:f>
        <x:v>OPEN</x:v>
      </x:c>
    </x:row>
    <x:row r="8">
      <x:c r="B8" s="26" t="str">
        <x:v>RT-02</x:v>
      </x:c>
      <x:c r="C8" s="26" t="n">
        <x:v>2</x:v>
      </x:c>
      <x:c r="D8" s="26" t="str">
        <x:v>interface: dispenser isolation</x:v>
      </x:c>
      <x:c r="E8" s="26" t="str">
        <x:v>PASS</x:v>
      </x:c>
      <x:c r="F8" s="26" t="str"/>
      <x:c r="G8" s="26" t="str"/>
      <x:c r="H8" s="26" t="str"/>
      <x:c r="I8" s="26" t="str">
        <x:f>IF(H8="","OPEN",IF(AND(F8=E8,G8&lt;&gt;""),"PASS","FAIL"))</x:f>
        <x:v>OPEN</x:v>
      </x:c>
    </x:row>
    <x:row r="9">
      <x:c r="B9" s="26" t="str">
        <x:v>RT-03</x:v>
      </x:c>
      <x:c r="C9" s="26" t="n">
        <x:v>3</x:v>
      </x:c>
      <x:c r="D9" s="26" t="str">
        <x:v>interface: gravity source diversion</x:v>
      </x:c>
      <x:c r="E9" s="26" t="str">
        <x:v>PASS</x:v>
      </x:c>
      <x:c r="F9" s="26" t="str"/>
      <x:c r="G9" s="26" t="str"/>
      <x:c r="H9" s="26" t="str"/>
      <x:c r="I9" s="26" t="str">
        <x:f>IF(H9="","OPEN",IF(AND(F9=E9,G9&lt;&gt;""),"PASS","FAIL"))</x:f>
        <x:v>OPEN</x:v>
      </x:c>
    </x:row>
    <x:row r="10">
      <x:c r="B10" s="26" t="str">
        <x:v>RT-04</x:v>
      </x:c>
      <x:c r="C10" s="26" t="n">
        <x:v>4</x:v>
      </x:c>
      <x:c r="D10" s="26" t="str">
        <x:v>interface: normal receiver isolation</x:v>
      </x:c>
      <x:c r="E10" s="26" t="str">
        <x:v>PASS</x:v>
      </x:c>
      <x:c r="F10" s="26" t="str"/>
      <x:c r="G10" s="26" t="str"/>
      <x:c r="H10" s="26" t="str"/>
      <x:c r="I10" s="26" t="str">
        <x:f>IF(H10="","OPEN",IF(AND(F10=E10,G10&lt;&gt;""),"PASS","FAIL"))</x:f>
        <x:v>OPEN</x:v>
      </x:c>
    </x:row>
    <x:row r="11">
      <x:c r="B11" s="26" t="str">
        <x:v>RT-05</x:v>
      </x:c>
      <x:c r="C11" s="26" t="n">
        <x:v>5</x:v>
      </x:c>
      <x:c r="D11" s="26" t="str">
        <x:v>interface: casualty source diversion</x:v>
      </x:c>
      <x:c r="E11" s="26" t="str">
        <x:v>PASS</x:v>
      </x:c>
      <x:c r="F11" s="26" t="str"/>
      <x:c r="G11" s="26" t="str"/>
      <x:c r="H11" s="26" t="str"/>
      <x:c r="I11" s="26" t="str">
        <x:f>IF(H11="","OPEN",IF(AND(F11=E11,G11&lt;&gt;""),"PASS","FAIL"))</x:f>
        <x:v>OPEN</x:v>
      </x:c>
    </x:row>
    <x:row r="12">
      <x:c r="B12" s="26" t="str">
        <x:v>RT-06</x:v>
      </x:c>
      <x:c r="C12" s="26" t="n">
        <x:v>6</x:v>
      </x:c>
      <x:c r="D12" s="26" t="str">
        <x:v>interface: ignition-energy removal</x:v>
      </x:c>
      <x:c r="E12" s="26" t="str">
        <x:v>PASS</x:v>
      </x:c>
      <x:c r="F12" s="26" t="str"/>
      <x:c r="G12" s="26" t="str"/>
      <x:c r="H12" s="26" t="str"/>
      <x:c r="I12" s="26" t="str">
        <x:f>IF(H12="","OPEN",IF(AND(F12=E12,G12&lt;&gt;""),"PASS","FAIL"))</x:f>
        <x:v>OPEN</x:v>
      </x:c>
    </x:row>
    <x:row r="13">
      <x:c r="B13" s="26" t="str">
        <x:v>RT-07</x:v>
      </x:c>
      <x:c r="C13" s="26" t="n">
        <x:v>7</x:v>
      </x:c>
      <x:c r="D13" s="26" t="str">
        <x:v>interface: candidate/public-water isolation</x:v>
      </x:c>
      <x:c r="E13" s="26" t="str">
        <x:v>PASS</x:v>
      </x:c>
      <x:c r="F13" s="26" t="str"/>
      <x:c r="G13" s="26" t="str"/>
      <x:c r="H13" s="26" t="str"/>
      <x:c r="I13" s="26" t="str">
        <x:f>IF(H13="","OPEN",IF(AND(F13=E13,G13&lt;&gt;""),"PASS","FAIL"))</x:f>
        <x:v>OPEN</x:v>
      </x:c>
    </x:row>
    <x:row r="14">
      <x:c r="B14" s="26" t="str">
        <x:v>RT-08</x:v>
      </x:c>
      <x:c r="C14" s="26" t="n">
        <x:v>8</x:v>
      </x:c>
      <x:c r="D14" s="26" t="str">
        <x:v>interface: casualty-water diversion</x:v>
      </x:c>
      <x:c r="E14" s="26" t="str">
        <x:v>PASS</x:v>
      </x:c>
      <x:c r="F14" s="26" t="str"/>
      <x:c r="G14" s="26" t="str"/>
      <x:c r="H14" s="26" t="str"/>
      <x:c r="I14" s="26" t="str">
        <x:f>IF(H14="","OPEN",IF(AND(F14=E14,G14&lt;&gt;""),"PASS","FAIL"))</x:f>
        <x:v>OPEN</x:v>
      </x:c>
    </x:row>
    <x:row r="15">
      <x:c r="B15" s="26" t="str">
        <x:v>RT-09</x:v>
      </x:c>
      <x:c r="C15" s="26" t="n">
        <x:v>9</x:v>
      </x:c>
      <x:c r="D15" s="26" t="str">
        <x:v>interface: normal electrical isolation</x:v>
      </x:c>
      <x:c r="E15" s="26" t="str">
        <x:v>PASS</x:v>
      </x:c>
      <x:c r="F15" s="26" t="str"/>
      <x:c r="G15" s="26" t="str"/>
      <x:c r="H15" s="26" t="str"/>
      <x:c r="I15" s="26" t="str">
        <x:f>IF(H15="","OPEN",IF(AND(F15=E15,G15&lt;&gt;""),"PASS","FAIL"))</x:f>
        <x:v>OPEN</x:v>
      </x:c>
    </x:row>
    <x:row r="16">
      <x:c r="B16" s="26" t="str">
        <x:v>RT-10</x:v>
      </x:c>
      <x:c r="C16" s="26" t="n">
        <x:v>10</x:v>
      </x:c>
      <x:c r="D16" s="26" t="str">
        <x:v>interface: independent safety energy</x:v>
      </x:c>
      <x:c r="E16" s="26" t="str">
        <x:v>PASS</x:v>
      </x:c>
      <x:c r="F16" s="26" t="str"/>
      <x:c r="G16" s="26" t="str"/>
      <x:c r="H16" s="26" t="str"/>
      <x:c r="I16" s="26" t="str">
        <x:f>IF(H16="","OPEN",IF(AND(F16=E16,G16&lt;&gt;""),"PASS","FAIL"))</x:f>
        <x:v>OPEN</x:v>
      </x:c>
    </x:row>
    <x:row r="17">
      <x:c r="B17" s="26" t="str">
        <x:v>RT-11</x:v>
      </x:c>
      <x:c r="C17" s="26" t="n">
        <x:v>11</x:v>
      </x:c>
      <x:c r="D17" s="26" t="str">
        <x:v>interface: environment boundary and vent</x:v>
      </x:c>
      <x:c r="E17" s="26" t="str">
        <x:v>PASS</x:v>
      </x:c>
      <x:c r="F17" s="26" t="str"/>
      <x:c r="G17" s="26" t="str"/>
      <x:c r="H17" s="26" t="str"/>
      <x:c r="I17" s="26" t="str">
        <x:f>IF(H17="","OPEN",IF(AND(F17=E17,G17&lt;&gt;""),"PASS","FAIL"))</x:f>
        <x:v>OPEN</x:v>
      </x:c>
    </x:row>
    <x:row r="18">
      <x:c r="B18" s="26" t="str">
        <x:v>RT-12</x:v>
      </x:c>
      <x:c r="C18" s="26" t="n">
        <x:v>12</x:v>
      </x:c>
      <x:c r="D18" s="26" t="str">
        <x:v>interface: evidence safe-state latch</x:v>
      </x:c>
      <x:c r="E18" s="26" t="str">
        <x:v>PASS</x:v>
      </x:c>
      <x:c r="F18" s="26" t="str"/>
      <x:c r="G18" s="26" t="str"/>
      <x:c r="H18" s="26" t="str"/>
      <x:c r="I18" s="26" t="str">
        <x:f>IF(H18="","OPEN",IF(AND(F18=E18,G18&lt;&gt;""),"PASS","FAIL"))</x:f>
        <x:v>OPEN</x:v>
      </x:c>
    </x:row>
    <x:row r="19">
      <x:c r="B19" s="26" t="str">
        <x:v>RT-13</x:v>
      </x:c>
      <x:c r="C19" s="26" t="n">
        <x:v>13</x:v>
      </x:c>
      <x:c r="D19" s="26" t="str">
        <x:v>truth-root A zero source</x:v>
      </x:c>
      <x:c r="E19" s="26" t="str">
        <x:v>PASS</x:v>
      </x:c>
      <x:c r="F19" s="26" t="str"/>
      <x:c r="G19" s="26" t="str"/>
      <x:c r="H19" s="26" t="str"/>
      <x:c r="I19" s="26" t="str">
        <x:f>IF(H19="","OPEN",IF(AND(F19=E19,G19&lt;&gt;""),"PASS","FAIL"))</x:f>
        <x:v>OPEN</x:v>
      </x:c>
    </x:row>
    <x:row r="20">
      <x:c r="B20" s="26" t="str">
        <x:v>RT-14</x:v>
      </x:c>
      <x:c r="C20" s="26" t="n">
        <x:v>14</x:v>
      </x:c>
      <x:c r="D20" s="26" t="str">
        <x:v>truth-root B zero source</x:v>
      </x:c>
      <x:c r="E20" s="26" t="str">
        <x:v>PASS</x:v>
      </x:c>
      <x:c r="F20" s="26" t="str"/>
      <x:c r="G20" s="26" t="str"/>
      <x:c r="H20" s="26" t="str"/>
      <x:c r="I20" s="26" t="str">
        <x:f>IF(H20="","OPEN",IF(AND(F20=E20,G20&lt;&gt;""),"PASS","FAIL"))</x:f>
        <x:v>OPEN</x:v>
      </x:c>
    </x:row>
    <x:row r="21">
      <x:c r="B21" s="26" t="str">
        <x:v>RT-15</x:v>
      </x:c>
      <x:c r="C21" s="26" t="n">
        <x:v>15</x:v>
      </x:c>
      <x:c r="D21" s="26" t="str">
        <x:v>truth-root A zero water</x:v>
      </x:c>
      <x:c r="E21" s="26" t="str">
        <x:v>PASS</x:v>
      </x:c>
      <x:c r="F21" s="26" t="str"/>
      <x:c r="G21" s="26" t="str"/>
      <x:c r="H21" s="26" t="str"/>
      <x:c r="I21" s="26" t="str">
        <x:f>IF(H21="","OPEN",IF(AND(F21=E21,G21&lt;&gt;""),"PASS","FAIL"))</x:f>
        <x:v>OPEN</x:v>
      </x:c>
    </x:row>
    <x:row r="22">
      <x:c r="B22" s="26" t="str">
        <x:v>RT-16</x:v>
      </x:c>
      <x:c r="C22" s="26" t="n">
        <x:v>16</x:v>
      </x:c>
      <x:c r="D22" s="26" t="str">
        <x:v>truth-root B zero water</x:v>
      </x:c>
      <x:c r="E22" s="26" t="str">
        <x:v>PASS</x:v>
      </x:c>
      <x:c r="F22" s="26" t="str"/>
      <x:c r="G22" s="26" t="str"/>
      <x:c r="H22" s="26" t="str"/>
      <x:c r="I22" s="26" t="str">
        <x:f>IF(H22="","OPEN",IF(AND(F22=E22,G22&lt;&gt;""),"PASS","FAIL"))</x:f>
        <x:v>OPEN</x:v>
      </x:c>
    </x:row>
    <x:row r="23">
      <x:c r="B23" s="26" t="str">
        <x:v>RT-17</x:v>
      </x:c>
      <x:c r="C23" s="26" t="n">
        <x:v>17</x:v>
      </x:c>
      <x:c r="D23" s="26" t="str">
        <x:v>causal-time agreement</x:v>
      </x:c>
      <x:c r="E23" s="26" t="str">
        <x:v>PASS</x:v>
      </x:c>
      <x:c r="F23" s="26" t="str"/>
      <x:c r="G23" s="26" t="str"/>
      <x:c r="H23" s="26" t="str"/>
      <x:c r="I23" s="26" t="str">
        <x:f>IF(H23="","OPEN",IF(AND(F23=E23,G23&lt;&gt;""),"PASS","FAIL"))</x:f>
        <x:v>OPEN</x:v>
      </x:c>
    </x:row>
    <x:row r="24">
      <x:c r="B24" s="26" t="str">
        <x:v>RT-18</x:v>
      </x:c>
      <x:c r="C24" s="26" t="n">
        <x:v>18</x:v>
      </x:c>
      <x:c r="D24" s="26" t="str">
        <x:v>native original A</x:v>
      </x:c>
      <x:c r="E24" s="26" t="str">
        <x:v>PASS</x:v>
      </x:c>
      <x:c r="F24" s="26" t="str"/>
      <x:c r="G24" s="26" t="str"/>
      <x:c r="H24" s="26" t="str"/>
      <x:c r="I24" s="26" t="str">
        <x:f>IF(H24="","OPEN",IF(AND(F24=E24,G24&lt;&gt;""),"PASS","FAIL"))</x:f>
        <x:v>OPEN</x:v>
      </x:c>
    </x:row>
    <x:row r="25">
      <x:c r="B25" s="26" t="str">
        <x:v>RT-19</x:v>
      </x:c>
      <x:c r="C25" s="26" t="n">
        <x:v>19</x:v>
      </x:c>
      <x:c r="D25" s="26" t="str">
        <x:v>native original B</x:v>
      </x:c>
      <x:c r="E25" s="26" t="str">
        <x:v>PASS</x:v>
      </x:c>
      <x:c r="F25" s="26" t="str"/>
      <x:c r="G25" s="26" t="str"/>
      <x:c r="H25" s="26" t="str"/>
      <x:c r="I25" s="26" t="str">
        <x:f>IF(H25="","OPEN",IF(AND(F25=E25,G25&lt;&gt;""),"PASS","FAIL"))</x:f>
        <x:v>OPEN</x:v>
      </x:c>
    </x:row>
    <x:row r="26">
      <x:c r="B26" s="26" t="str">
        <x:v>RT-20</x:v>
      </x:c>
      <x:c r="C26" s="26" t="n">
        <x:v>20</x:v>
      </x:c>
      <x:c r="D26" s="26" t="str">
        <x:v>remote replay</x:v>
      </x:c>
      <x:c r="E26" s="26" t="str">
        <x:v>PASS</x:v>
      </x:c>
      <x:c r="F26" s="26" t="str"/>
      <x:c r="G26" s="26" t="str"/>
      <x:c r="H26" s="26" t="str"/>
      <x:c r="I26" s="26" t="str">
        <x:f>IF(H26="","OPEN",IF(AND(F26=E26,G26&lt;&gt;""),"PASS","FAIL"))</x:f>
        <x:v>OPEN</x:v>
      </x:c>
    </x:row>
    <x:row r="27">
      <x:c r="B27" s="26" t="str">
        <x:v>RT-21</x:v>
      </x:c>
      <x:c r="C27" s="26" t="n">
        <x:v>21</x:v>
      </x:c>
      <x:c r="D27" s="26" t="str">
        <x:v>rescue access</x:v>
      </x:c>
      <x:c r="E27" s="26" t="str">
        <x:v>PASS</x:v>
      </x:c>
      <x:c r="F27" s="26" t="str"/>
      <x:c r="G27" s="26" t="str"/>
      <x:c r="H27" s="26" t="str"/>
      <x:c r="I27" s="26" t="str">
        <x:f>IF(H27="","OPEN",IF(AND(F27=E27,G27&lt;&gt;""),"PASS","FAIL"))</x:f>
        <x:v>OPEN</x:v>
      </x:c>
    </x:row>
    <x:row r="28">
      <x:c r="B28" s="26" t="str">
        <x:v>RT-22</x:v>
      </x:c>
      <x:c r="C28" s="26" t="n">
        <x:v>22</x:v>
      </x:c>
      <x:c r="D28" s="26" t="str">
        <x:v>neighbor state</x:v>
      </x:c>
      <x:c r="E28" s="26" t="str">
        <x:v>PASS</x:v>
      </x:c>
      <x:c r="F28" s="26" t="str"/>
      <x:c r="G28" s="26" t="str"/>
      <x:c r="H28" s="26" t="str"/>
      <x:c r="I28" s="26" t="str">
        <x:f>IF(H28="","OPEN",IF(AND(F28=E28,G28&lt;&gt;""),"PASS","FAIL"))</x:f>
        <x:v>OPEN</x:v>
      </x:c>
    </x:row>
    <x:row r="29">
      <x:c r="B29" s="26" t="str">
        <x:v>RT-23</x:v>
      </x:c>
      <x:c r="C29" s="26" t="n">
        <x:v>23</x:v>
      </x:c>
      <x:c r="D29" s="26" t="str">
        <x:v>environment boundary</x:v>
      </x:c>
      <x:c r="E29" s="26" t="str">
        <x:v>PASS</x:v>
      </x:c>
      <x:c r="F29" s="26" t="str"/>
      <x:c r="G29" s="26" t="str"/>
      <x:c r="H29" s="26" t="str"/>
      <x:c r="I29" s="26" t="str">
        <x:f>IF(H29="","OPEN",IF(AND(F29=E29,G29&lt;&gt;""),"PASS","FAIL"))</x:f>
        <x:v>OPEN</x:v>
      </x:c>
    </x:row>
    <x:row r="30">
      <x:c r="B30" s="26" t="str">
        <x:v>RT-24</x:v>
      </x:c>
      <x:c r="C30" s="26" t="n">
        <x:v>24</x:v>
      </x:c>
      <x:c r="D30" s="26" t="str">
        <x:v>event issue lock</x:v>
      </x:c>
      <x:c r="E30" s="26" t="str">
        <x:v>PASS</x:v>
      </x:c>
      <x:c r="F30" s="26" t="str"/>
      <x:c r="G30" s="26" t="str"/>
      <x:c r="H30" s="26" t="str"/>
      <x:c r="I30" s="26" t="str">
        <x:f>IF(H30="","OPEN",IF(AND(F30=E30,G30&lt;&gt;""),"PASS","FAIL"))</x:f>
        <x:v>OPEN</x:v>
      </x:c>
    </x:row>
  </x:sheetData>
  <x:conditionalFormatting sqref="I7:I30">
    <x:cfRule type="containsText" dxfId="270" priority="1" operator="containsText" text="FAIL"/>
    <x:cfRule type="containsText" dxfId="271" priority="2" operator="containsText" text="BLOCKED"/>
    <x:cfRule type="containsText" dxfId="272" priority="3" operator="containsText" text="INVALID"/>
    <x:cfRule type="containsText" dxfId="273" priority="4" operator="containsText" text="ADVERSE"/>
    <x:cfRule type="containsText" dxfId="274" priority="5" operator="containsText" text="EXPIRED"/>
    <x:cfRule type="containsText" dxfId="275" priority="6" operator="containsText" text="OPEN"/>
    <x:cfRule type="containsText" dxfId="276" priority="7" operator="containsText" text="DORMANT"/>
    <x:cfRule type="containsText" dxfId="277" priority="8" operator="containsText" text="PASS"/>
    <x:cfRule type="containsText" dxfId="278" priority="9" operator="containsText" text="AVAILABLE"/>
  </x:conditionalFormatting>
  <x:pageMargins left="0.7" right="0.7" top="0.75" bottom="0.75" header="0.3" footer="0.3"/>
</x:worksheet>
</file>

<file path=xl/worksheets/sheet37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5" hidden="0" customWidth="1"/>
    <x:col min="3" max="3" width="12" hidden="0" customWidth="1"/>
    <x:col min="4" max="4" width="31" hidden="0" customWidth="1"/>
    <x:col min="5" max="5" width="19" hidden="0" customWidth="1"/>
    <x:col min="6" max="6" width="20" hidden="0" customWidth="1"/>
    <x:col min="7" max="7" width="21" hidden="0" customWidth="1"/>
    <x:col min="8" max="8" width="21" hidden="0" customWidth="1"/>
    <x:col min="9" max="9" width="14" hidden="0" customWidth="1"/>
  </x:cols>
  <x:sheetData>
    <x:row r="2">
      <x:c r="B2" s="39" t="str">
        <x:v>Six independent resource-reentry decisions</x:v>
      </x:c>
      <x:c r="C2" s="26"/>
      <x:c r="D2" s="26"/>
      <x:c r="E2" s="26"/>
      <x:c r="F2" s="26"/>
      <x:c r="G2" s="26"/>
      <x:c r="H2" s="26"/>
      <x:c r="I2" s="26"/>
    </x:row>
    <x:row r="3">
      <x:c r="B3" s="40" t="str">
        <x:v>Technical restoration is necessary but insufficient. Each resource receives a new availability decision and validity interval.</x:v>
      </x:c>
      <x:c r="C3" s="26"/>
      <x:c r="D3" s="26"/>
      <x:c r="E3" s="26"/>
      <x:c r="F3" s="26"/>
      <x:c r="G3" s="26"/>
      <x:c r="H3" s="26"/>
      <x:c r="I3" s="26"/>
    </x:row>
    <x:row r="4">
      <x:c r="B4" s="26"/>
      <x:c r="C4" s="26"/>
      <x:c r="D4" s="26"/>
      <x:c r="E4" s="26"/>
      <x:c r="F4" s="26"/>
      <x:c r="G4" s="26"/>
      <x:c r="H4" s="26"/>
      <x:c r="I4" s="26"/>
    </x:row>
    <x:row r="5">
      <x:c r="B5" s="26"/>
      <x:c r="C5" s="26"/>
      <x:c r="D5" s="26"/>
      <x:c r="E5" s="26"/>
      <x:c r="F5" s="26"/>
      <x:c r="G5" s="26"/>
      <x:c r="H5" s="26"/>
      <x:c r="I5" s="26"/>
    </x:row>
    <x:row r="6" ht="24" customHeight="1">
      <x:c r="B6" s="41" t="str">
        <x:v>Decision</x:v>
      </x:c>
      <x:c r="C6" s="41" t="str">
        <x:v>Sequence</x:v>
      </x:c>
      <x:c r="D6" s="41" t="str">
        <x:v>Resource</x:v>
      </x:c>
      <x:c r="E6" s="41" t="str">
        <x:v>Required state</x:v>
      </x:c>
      <x:c r="F6" s="41" t="str">
        <x:v>Observed state</x:v>
      </x:c>
      <x:c r="G6" s="41" t="str">
        <x:v>Valid through</x:v>
      </x:c>
      <x:c r="H6" s="41" t="str">
        <x:v>Accepted UTC</x:v>
      </x:c>
      <x:c r="I6" s="41" t="str">
        <x:v>State</x:v>
      </x:c>
    </x:row>
    <x:row r="7">
      <x:c r="B7" s="26" t="str">
        <x:v>RE-01</x:v>
      </x:c>
      <x:c r="C7" s="26" t="n">
        <x:v>1</x:v>
      </x:c>
      <x:c r="D7" s="26" t="str">
        <x:v>article</x:v>
      </x:c>
      <x:c r="E7" s="26" t="str">
        <x:v>AVAILABLE</x:v>
      </x:c>
      <x:c r="F7" s="26" t="str"/>
      <x:c r="G7" s="34" t="str"/>
      <x:c r="H7" s="26" t="str"/>
      <x:c r="I7" s="26" t="str">
        <x:f>IF(H7="","OPEN",IF(AND(F7=E7,G7&gt;'Controls'!$D$78,COUNTIFS('Regeneration Tasks'!J7:J42,"PASS")=36,COUNTIFS('Regression Tests'!I7:I30,"PASS")=24),"PASS","FAIL"))</x:f>
        <x:v>OPEN</x:v>
      </x:c>
    </x:row>
    <x:row r="8">
      <x:c r="B8" s="26" t="str">
        <x:v>RE-02</x:v>
      </x:c>
      <x:c r="C8" s="26" t="n">
        <x:v>2</x:v>
      </x:c>
      <x:c r="D8" s="26" t="str">
        <x:v>rig</x:v>
      </x:c>
      <x:c r="E8" s="26" t="str">
        <x:v>AVAILABLE</x:v>
      </x:c>
      <x:c r="F8" s="26" t="str"/>
      <x:c r="G8" s="34" t="str"/>
      <x:c r="H8" s="26" t="str"/>
      <x:c r="I8" s="26" t="str">
        <x:f>IF(H8="","OPEN",IF(AND(F8=E8,G8&gt;'Controls'!$D$78,COUNTIFS('Regeneration Tasks'!J7:J42,"PASS")=36,COUNTIFS('Regression Tests'!I7:I30,"PASS")=24),"PASS","FAIL"))</x:f>
        <x:v>OPEN</x:v>
      </x:c>
    </x:row>
    <x:row r="9">
      <x:c r="B9" s="26" t="str">
        <x:v>RE-03</x:v>
      </x:c>
      <x:c r="C9" s="26" t="n">
        <x:v>3</x:v>
      </x:c>
      <x:c r="D9" s="26" t="str">
        <x:v>article-rig pair</x:v>
      </x:c>
      <x:c r="E9" s="26" t="str">
        <x:v>AVAILABLE</x:v>
      </x:c>
      <x:c r="F9" s="26" t="str"/>
      <x:c r="G9" s="34" t="str"/>
      <x:c r="H9" s="26" t="str"/>
      <x:c r="I9" s="26" t="str">
        <x:f>IF(H9="","OPEN",IF(AND(F9=E9,G9&gt;'Controls'!$D$78,COUNTIFS('Regeneration Tasks'!J7:J42,"PASS")=36,COUNTIFS('Regression Tests'!I7:I30,"PASS")=24),"PASS","FAIL"))</x:f>
        <x:v>OPEN</x:v>
      </x:c>
    </x:row>
    <x:row r="10">
      <x:c r="B10" s="26" t="str">
        <x:v>RE-04</x:v>
      </x:c>
      <x:c r="C10" s="26" t="n">
        <x:v>4</x:v>
      </x:c>
      <x:c r="D10" s="26" t="str">
        <x:v>campus event slot</x:v>
      </x:c>
      <x:c r="E10" s="26" t="str">
        <x:v>AVAILABLE</x:v>
      </x:c>
      <x:c r="F10" s="26" t="str"/>
      <x:c r="G10" s="34" t="str"/>
      <x:c r="H10" s="26" t="str"/>
      <x:c r="I10" s="26" t="str">
        <x:f>IF(H10="","OPEN",IF(AND(F10=E10,G10&gt;'Controls'!$D$78,COUNTIFS('Regeneration Tasks'!J7:J42,"PASS")=36,COUNTIFS('Regression Tests'!I7:I30,"PASS")=24),"PASS","FAIL"))</x:f>
        <x:v>OPEN</x:v>
      </x:c>
    </x:row>
    <x:row r="11">
      <x:c r="B11" s="26" t="str">
        <x:v>RE-05</x:v>
      </x:c>
      <x:c r="C11" s="26" t="n">
        <x:v>5</x:v>
      </x:c>
      <x:c r="D11" s="26" t="str">
        <x:v>crew roster</x:v>
      </x:c>
      <x:c r="E11" s="26" t="str">
        <x:v>AVAILABLE</x:v>
      </x:c>
      <x:c r="F11" s="26" t="str"/>
      <x:c r="G11" s="34" t="str"/>
      <x:c r="H11" s="26" t="str"/>
      <x:c r="I11" s="26" t="str">
        <x:f>IF(H11="","OPEN",IF(AND(F11=E11,G11&gt;'Controls'!$D$78,COUNTIFS('Regeneration Tasks'!J7:J42,"PASS")=36,COUNTIFS('Regression Tests'!I7:I30,"PASS")=24),"PASS","FAIL"))</x:f>
        <x:v>OPEN</x:v>
      </x:c>
    </x:row>
    <x:row r="12">
      <x:c r="B12" s="26" t="str">
        <x:v>RE-06</x:v>
      </x:c>
      <x:c r="C12" s="26" t="n">
        <x:v>6</x:v>
      </x:c>
      <x:c r="D12" s="26" t="str">
        <x:v>evidence system</x:v>
      </x:c>
      <x:c r="E12" s="26" t="str">
        <x:v>AVAILABLE</x:v>
      </x:c>
      <x:c r="F12" s="26" t="str"/>
      <x:c r="G12" s="34" t="str"/>
      <x:c r="H12" s="26" t="str"/>
      <x:c r="I12" s="26" t="str">
        <x:f>IF(H12="","OPEN",IF(AND(F12=E12,G12&gt;'Controls'!$D$78,COUNTIFS('Regeneration Tasks'!J7:J42,"PASS")=36,COUNTIFS('Regression Tests'!I7:I30,"PASS")=24),"PASS","FAIL"))</x:f>
        <x:v>OPEN</x:v>
      </x:c>
    </x:row>
  </x:sheetData>
  <x:conditionalFormatting sqref="I7:I12">
    <x:cfRule type="containsText" dxfId="279" priority="1" operator="containsText" text="FAIL"/>
    <x:cfRule type="containsText" dxfId="280" priority="2" operator="containsText" text="BLOCKED"/>
    <x:cfRule type="containsText" dxfId="281" priority="3" operator="containsText" text="INVALID"/>
    <x:cfRule type="containsText" dxfId="282" priority="4" operator="containsText" text="ADVERSE"/>
    <x:cfRule type="containsText" dxfId="283" priority="5" operator="containsText" text="EXPIRED"/>
    <x:cfRule type="containsText" dxfId="284" priority="6" operator="containsText" text="OPEN"/>
    <x:cfRule type="containsText" dxfId="285" priority="7" operator="containsText" text="DORMANT"/>
    <x:cfRule type="containsText" dxfId="286" priority="8" operator="containsText" text="PASS"/>
    <x:cfRule type="containsText" dxfId="287" priority="9" operator="containsText" text="AVAILABLE"/>
  </x:conditionalFormatting>
  <x:pageMargins left="0.7" right="0.7" top="0.75" bottom="0.75" header="0.3" footer="0.3"/>
</x:worksheet>
</file>

<file path=xl/worksheets/sheet38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5" hidden="0" customWidth="1"/>
    <x:col min="3" max="3" width="12" hidden="0" customWidth="1"/>
    <x:col min="4" max="4" width="43" hidden="0" customWidth="1"/>
    <x:col min="5" max="5" width="22" hidden="0" customWidth="1"/>
    <x:col min="6" max="6" width="22" hidden="0" customWidth="1"/>
    <x:col min="7" max="7" width="17" hidden="0" customWidth="1"/>
    <x:col min="8" max="8" width="34" hidden="0" customWidth="1"/>
    <x:col min="9" max="9" width="21" hidden="0" customWidth="1"/>
    <x:col min="10" max="10" width="14" hidden="0" customWidth="1"/>
  </x:cols>
  <x:sheetData>
    <x:row r="2">
      <x:c r="B2" s="39" t="str">
        <x:v>Twelve non-origin event-packet replays</x:v>
      </x:c>
      <x:c r="C2" s="26"/>
      <x:c r="D2" s="26"/>
      <x:c r="E2" s="26"/>
      <x:c r="F2" s="26"/>
      <x:c r="G2" s="26"/>
      <x:c r="H2" s="26"/>
      <x:c r="I2" s="26"/>
      <x:c r="J2" s="26"/>
    </x:row>
    <x:row r="3">
      <x:c r="B3" s="40" t="str">
        <x:v>A remote campus reconstructs each decision from native originals and registered rules without copying the origin conclusion.</x:v>
      </x:c>
      <x:c r="C3" s="26"/>
      <x:c r="D3" s="26"/>
      <x:c r="E3" s="26"/>
      <x:c r="F3" s="26"/>
      <x:c r="G3" s="26"/>
      <x:c r="H3" s="26"/>
      <x:c r="I3" s="26"/>
      <x:c r="J3" s="26"/>
    </x:row>
    <x:row r="4">
      <x:c r="B4" s="26"/>
      <x:c r="C4" s="26"/>
      <x:c r="D4" s="26"/>
      <x:c r="E4" s="26"/>
      <x:c r="F4" s="26"/>
      <x:c r="G4" s="26"/>
      <x:c r="H4" s="26"/>
      <x:c r="I4" s="26"/>
      <x:c r="J4" s="26"/>
    </x:row>
    <x:row r="5">
      <x:c r="B5" s="26"/>
      <x:c r="C5" s="26"/>
      <x:c r="D5" s="26"/>
      <x:c r="E5" s="26"/>
      <x:c r="F5" s="26"/>
      <x:c r="G5" s="26"/>
      <x:c r="H5" s="26"/>
      <x:c r="I5" s="26"/>
      <x:c r="J5" s="26"/>
    </x:row>
    <x:row r="6" ht="24" customHeight="1">
      <x:c r="B6" s="41" t="str">
        <x:v>Replay</x:v>
      </x:c>
      <x:c r="C6" s="41" t="str">
        <x:v>Class</x:v>
      </x:c>
      <x:c r="D6" s="41" t="str">
        <x:v>Packet</x:v>
      </x:c>
      <x:c r="E6" s="41" t="str">
        <x:v>Origin result</x:v>
      </x:c>
      <x:c r="F6" s="41" t="str">
        <x:v>Replay result</x:v>
      </x:c>
      <x:c r="G6" s="41" t="str">
        <x:v>Agreement</x:v>
      </x:c>
      <x:c r="H6" s="41" t="str">
        <x:v>Evidence root</x:v>
      </x:c>
      <x:c r="I6" s="41" t="str">
        <x:v>Accepted UTC</x:v>
      </x:c>
      <x:c r="J6" s="41" t="str">
        <x:v>State</x:v>
      </x:c>
    </x:row>
    <x:row r="7">
      <x:c r="B7" s="26" t="str">
        <x:v>RP-01</x:v>
      </x:c>
      <x:c r="C7" s="26" t="n">
        <x:v>1</x:v>
      </x:c>
      <x:c r="D7" s="26" t="str">
        <x:v>registered baseline</x:v>
      </x:c>
      <x:c r="E7" s="26" t="str"/>
      <x:c r="F7" s="26" t="str"/>
      <x:c r="G7" s="35" t="str">
        <x:f>IF(OR(E7="",F7=""),"",IF(E7=F7,1,0))</x:f>
      </x:c>
      <x:c r="H7" s="26" t="str"/>
      <x:c r="I7" s="26" t="str"/>
      <x:c r="J7" s="26" t="str">
        <x:f>IF(I7="","OPEN",IF(AND(G7=1,H7&lt;&gt;""),"PASS","FAIL"))</x:f>
        <x:v>OPEN</x:v>
      </x:c>
    </x:row>
    <x:row r="8">
      <x:c r="B8" s="26" t="str">
        <x:v>RP-02</x:v>
      </x:c>
      <x:c r="C8" s="26" t="n">
        <x:v>2</x:v>
      </x:c>
      <x:c r="D8" s="26" t="str">
        <x:v>null-source command and mass</x:v>
      </x:c>
      <x:c r="E8" s="26" t="str"/>
      <x:c r="F8" s="26" t="str"/>
      <x:c r="G8" s="35" t="str">
        <x:f>IF(OR(E8="",F8=""),"",IF(E8=F8,1,0))</x:f>
      </x:c>
      <x:c r="H8" s="26" t="str"/>
      <x:c r="I8" s="26" t="str"/>
      <x:c r="J8" s="26" t="str">
        <x:f>IF(I8="","OPEN",IF(AND(G8=1,H8&lt;&gt;""),"PASS","FAIL"))</x:f>
        <x:v>OPEN</x:v>
      </x:c>
    </x:row>
    <x:row r="9">
      <x:c r="B9" s="26" t="str">
        <x:v>RP-03</x:v>
      </x:c>
      <x:c r="C9" s="26" t="n">
        <x:v>3</x:v>
      </x:c>
      <x:c r="D9" s="26" t="str">
        <x:v>final control states</x:v>
      </x:c>
      <x:c r="E9" s="26" t="str"/>
      <x:c r="F9" s="26" t="str"/>
      <x:c r="G9" s="35" t="str">
        <x:f>IF(OR(E9="",F9=""),"",IF(E9=F9,1,0))</x:f>
      </x:c>
      <x:c r="H9" s="26" t="str"/>
      <x:c r="I9" s="26" t="str"/>
      <x:c r="J9" s="26" t="str">
        <x:f>IF(I9="","OPEN",IF(AND(G9=1,H9&lt;&gt;""),"PASS","FAIL"))</x:f>
        <x:v>OPEN</x:v>
      </x:c>
    </x:row>
    <x:row r="10">
      <x:c r="B10" s="26" t="str">
        <x:v>RP-04</x:v>
      </x:c>
      <x:c r="C10" s="26" t="n">
        <x:v>4</x:v>
      </x:c>
      <x:c r="D10" s="26" t="str">
        <x:v>path timing</x:v>
      </x:c>
      <x:c r="E10" s="26" t="str"/>
      <x:c r="F10" s="26" t="str"/>
      <x:c r="G10" s="35" t="str">
        <x:f>IF(OR(E10="",F10=""),"",IF(E10=F10,1,0))</x:f>
      </x:c>
      <x:c r="H10" s="26" t="str"/>
      <x:c r="I10" s="26" t="str"/>
      <x:c r="J10" s="26" t="str">
        <x:f>IF(I10="","OPEN",IF(AND(G10=1,H10&lt;&gt;""),"PASS","FAIL"))</x:f>
        <x:v>OPEN</x:v>
      </x:c>
    </x:row>
    <x:row r="11">
      <x:c r="B11" s="26" t="str">
        <x:v>RP-05</x:v>
      </x:c>
      <x:c r="C11" s="26" t="n">
        <x:v>5</x:v>
      </x:c>
      <x:c r="D11" s="26" t="str">
        <x:v>receiver inventories</x:v>
      </x:c>
      <x:c r="E11" s="26" t="str"/>
      <x:c r="F11" s="26" t="str"/>
      <x:c r="G11" s="35" t="str">
        <x:f>IF(OR(E11="",F11=""),"",IF(E11=F11,1,0))</x:f>
      </x:c>
      <x:c r="H11" s="26" t="str"/>
      <x:c r="I11" s="26" t="str"/>
      <x:c r="J11" s="26" t="str">
        <x:f>IF(I11="","OPEN",IF(AND(G11=1,H11&lt;&gt;""),"PASS","FAIL"))</x:f>
        <x:v>OPEN</x:v>
      </x:c>
    </x:row>
    <x:row r="12">
      <x:c r="B12" s="26" t="str">
        <x:v>RP-06</x:v>
      </x:c>
      <x:c r="C12" s="26" t="n">
        <x:v>6</x:v>
      </x:c>
      <x:c r="D12" s="26" t="str">
        <x:v>thermal and ignition prohibition</x:v>
      </x:c>
      <x:c r="E12" s="26" t="str"/>
      <x:c r="F12" s="26" t="str"/>
      <x:c r="G12" s="35" t="str">
        <x:f>IF(OR(E12="",F12=""),"",IF(E12=F12,1,0))</x:f>
      </x:c>
      <x:c r="H12" s="26" t="str"/>
      <x:c r="I12" s="26" t="str"/>
      <x:c r="J12" s="26" t="str">
        <x:f>IF(I12="","OPEN",IF(AND(G12=1,H12&lt;&gt;""),"PASS","FAIL"))</x:f>
        <x:v>OPEN</x:v>
      </x:c>
    </x:row>
    <x:row r="13">
      <x:c r="B13" s="26" t="str">
        <x:v>RP-07</x:v>
      </x:c>
      <x:c r="C13" s="26" t="n">
        <x:v>7</x:v>
      </x:c>
      <x:c r="D13" s="26" t="str">
        <x:v>water state</x:v>
      </x:c>
      <x:c r="E13" s="26" t="str"/>
      <x:c r="F13" s="26" t="str"/>
      <x:c r="G13" s="35" t="str">
        <x:f>IF(OR(E13="",F13=""),"",IF(E13=F13,1,0))</x:f>
      </x:c>
      <x:c r="H13" s="26" t="str"/>
      <x:c r="I13" s="26" t="str"/>
      <x:c r="J13" s="26" t="str">
        <x:f>IF(I13="","OPEN",IF(AND(G13=1,H13&lt;&gt;""),"PASS","FAIL"))</x:f>
        <x:v>OPEN</x:v>
      </x:c>
    </x:row>
    <x:row r="14">
      <x:c r="B14" s="26" t="str">
        <x:v>RP-08</x:v>
      </x:c>
      <x:c r="C14" s="26" t="n">
        <x:v>8</x:v>
      </x:c>
      <x:c r="D14" s="26" t="str">
        <x:v>source and water ancestry blanks</x:v>
      </x:c>
      <x:c r="E14" s="26" t="str"/>
      <x:c r="F14" s="26" t="str"/>
      <x:c r="G14" s="35" t="str">
        <x:f>IF(OR(E14="",F14=""),"",IF(E14=F14,1,0))</x:f>
      </x:c>
      <x:c r="H14" s="26" t="str"/>
      <x:c r="I14" s="26" t="str"/>
      <x:c r="J14" s="26" t="str">
        <x:f>IF(I14="","OPEN",IF(AND(G14=1,H14&lt;&gt;""),"PASS","FAIL"))</x:f>
        <x:v>OPEN</x:v>
      </x:c>
    </x:row>
    <x:row r="15">
      <x:c r="B15" s="26" t="str">
        <x:v>RP-09</x:v>
      </x:c>
      <x:c r="C15" s="26" t="n">
        <x:v>9</x:v>
      </x:c>
      <x:c r="D15" s="26" t="str">
        <x:v>environment boundary</x:v>
      </x:c>
      <x:c r="E15" s="26" t="str"/>
      <x:c r="F15" s="26" t="str"/>
      <x:c r="G15" s="35" t="str">
        <x:f>IF(OR(E15="",F15=""),"",IF(E15=F15,1,0))</x:f>
      </x:c>
      <x:c r="H15" s="26" t="str"/>
      <x:c r="I15" s="26" t="str"/>
      <x:c r="J15" s="26" t="str">
        <x:f>IF(I15="","OPEN",IF(AND(G15=1,H15&lt;&gt;""),"PASS","FAIL"))</x:f>
        <x:v>OPEN</x:v>
      </x:c>
    </x:row>
    <x:row r="16">
      <x:c r="B16" s="26" t="str">
        <x:v>RP-10</x:v>
      </x:c>
      <x:c r="C16" s="26" t="n">
        <x:v>10</x:v>
      </x:c>
      <x:c r="D16" s="26" t="str">
        <x:v>neighbor state</x:v>
      </x:c>
      <x:c r="E16" s="26" t="str"/>
      <x:c r="F16" s="26" t="str"/>
      <x:c r="G16" s="35" t="str">
        <x:f>IF(OR(E16="",F16=""),"",IF(E16=F16,1,0))</x:f>
      </x:c>
      <x:c r="H16" s="26" t="str"/>
      <x:c r="I16" s="26" t="str"/>
      <x:c r="J16" s="26" t="str">
        <x:f>IF(I16="","OPEN",IF(AND(G16=1,H16&lt;&gt;""),"PASS","FAIL"))</x:f>
        <x:v>OPEN</x:v>
      </x:c>
    </x:row>
    <x:row r="17">
      <x:c r="B17" s="26" t="str">
        <x:v>RP-11</x:v>
      </x:c>
      <x:c r="C17" s="26" t="n">
        <x:v>11</x:v>
      </x:c>
      <x:c r="D17" s="26" t="str">
        <x:v>intervention history</x:v>
      </x:c>
      <x:c r="E17" s="26" t="str"/>
      <x:c r="F17" s="26" t="str"/>
      <x:c r="G17" s="35" t="str">
        <x:f>IF(OR(E17="",F17=""),"",IF(E17=F17,1,0))</x:f>
      </x:c>
      <x:c r="H17" s="26" t="str"/>
      <x:c r="I17" s="26" t="str"/>
      <x:c r="J17" s="26" t="str">
        <x:f>IF(I17="","OPEN",IF(AND(G17=1,H17&lt;&gt;""),"PASS","FAIL"))</x:f>
        <x:v>OPEN</x:v>
      </x:c>
    </x:row>
    <x:row r="18">
      <x:c r="B18" s="26" t="str">
        <x:v>RP-12</x:v>
      </x:c>
      <x:c r="C18" s="26" t="n">
        <x:v>12</x:v>
      </x:c>
      <x:c r="D18" s="26" t="str">
        <x:v>validity and outcome packet</x:v>
      </x:c>
      <x:c r="E18" s="26" t="str"/>
      <x:c r="F18" s="26" t="str"/>
      <x:c r="G18" s="35" t="str">
        <x:f>IF(OR(E18="",F18=""),"",IF(E18=F18,1,0))</x:f>
      </x:c>
      <x:c r="H18" s="26" t="str"/>
      <x:c r="I18" s="26" t="str"/>
      <x:c r="J18" s="26" t="str">
        <x:f>IF(I18="","OPEN",IF(AND(G18=1,H18&lt;&gt;""),"PASS","FAIL"))</x:f>
        <x:v>OPEN</x:v>
      </x:c>
    </x:row>
  </x:sheetData>
  <x:conditionalFormatting sqref="J7:J18">
    <x:cfRule type="containsText" dxfId="288" priority="1" operator="containsText" text="FAIL"/>
    <x:cfRule type="containsText" dxfId="289" priority="2" operator="containsText" text="BLOCKED"/>
    <x:cfRule type="containsText" dxfId="290" priority="3" operator="containsText" text="INVALID"/>
    <x:cfRule type="containsText" dxfId="291" priority="4" operator="containsText" text="ADVERSE"/>
    <x:cfRule type="containsText" dxfId="292" priority="5" operator="containsText" text="EXPIRED"/>
    <x:cfRule type="containsText" dxfId="293" priority="6" operator="containsText" text="OPEN"/>
    <x:cfRule type="containsText" dxfId="294" priority="7" operator="containsText" text="DORMANT"/>
    <x:cfRule type="containsText" dxfId="295" priority="8" operator="containsText" text="PASS"/>
    <x:cfRule type="containsText" dxfId="296" priority="9" operator="containsText" text="AVAILABLE"/>
  </x:conditionalFormatting>
  <x:pageMargins left="0.7" right="0.7" top="0.75" bottom="0.75" header="0.3" footer="0.3"/>
</x:worksheet>
</file>

<file path=xl/worksheets/sheet39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5" hidden="0" customWidth="1"/>
    <x:col min="3" max="3" width="20" hidden="0" customWidth="1"/>
    <x:col min="4" max="4" width="44" hidden="0" customWidth="1"/>
    <x:col min="5" max="5" width="16" hidden="0" customWidth="1"/>
    <x:col min="6" max="6" width="39" hidden="0" customWidth="1"/>
    <x:col min="7" max="7" width="29" hidden="0" customWidth="1"/>
    <x:col min="8" max="8" width="34" hidden="0" customWidth="1"/>
    <x:col min="9" max="9" width="21" hidden="0" customWidth="1"/>
    <x:col min="10" max="10" width="14" hidden="0" customWidth="1"/>
  </x:cols>
  <x:sheetData>
    <x:row r="2">
      <x:c r="B2" s="39" t="str">
        <x:v>Sixteen reserved event-exception records</x:v>
      </x:c>
      <x:c r="C2" s="26"/>
      <x:c r="D2" s="26"/>
      <x:c r="E2" s="26"/>
      <x:c r="F2" s="26"/>
      <x:c r="G2" s="26"/>
      <x:c r="H2" s="26"/>
      <x:c r="I2" s="26"/>
      <x:c r="J2" s="26"/>
    </x:row>
    <x:row r="3">
      <x:c r="B3" s="40" t="str">
        <x:v>An exception remains in the event history. Closure requires disposition, evidence and every affected regression.</x:v>
      </x:c>
      <x:c r="C3" s="26"/>
      <x:c r="D3" s="26"/>
      <x:c r="E3" s="26"/>
      <x:c r="F3" s="26"/>
      <x:c r="G3" s="26"/>
      <x:c r="H3" s="26"/>
      <x:c r="I3" s="26"/>
      <x:c r="J3" s="26"/>
    </x:row>
    <x:row r="4">
      <x:c r="B4" s="26"/>
      <x:c r="C4" s="26"/>
      <x:c r="D4" s="26"/>
      <x:c r="E4" s="26"/>
      <x:c r="F4" s="26"/>
      <x:c r="G4" s="26"/>
      <x:c r="H4" s="26"/>
      <x:c r="I4" s="26"/>
      <x:c r="J4" s="26"/>
    </x:row>
    <x:row r="5">
      <x:c r="B5" s="26"/>
      <x:c r="C5" s="26"/>
      <x:c r="D5" s="26"/>
      <x:c r="E5" s="26"/>
      <x:c r="F5" s="26"/>
      <x:c r="G5" s="26"/>
      <x:c r="H5" s="26"/>
      <x:c r="I5" s="26"/>
      <x:c r="J5" s="26"/>
    </x:row>
    <x:row r="6" ht="24" customHeight="1">
      <x:c r="B6" s="41" t="str">
        <x:v>Exception</x:v>
      </x:c>
      <x:c r="C6" s="41" t="str">
        <x:v>Class</x:v>
      </x:c>
      <x:c r="D6" s="41" t="str">
        <x:v>Description</x:v>
      </x:c>
      <x:c r="E6" s="41" t="str">
        <x:v>Severity</x:v>
      </x:c>
      <x:c r="F6" s="41" t="str">
        <x:v>Disposition</x:v>
      </x:c>
      <x:c r="G6" s="41" t="str">
        <x:v>Regression identity</x:v>
      </x:c>
      <x:c r="H6" s="41" t="str">
        <x:v>Evidence root</x:v>
      </x:c>
      <x:c r="I6" s="41" t="str">
        <x:v>Closed UTC</x:v>
      </x:c>
      <x:c r="J6" s="41" t="str">
        <x:v>State</x:v>
      </x:c>
    </x:row>
    <x:row r="7">
      <x:c r="B7" s="26" t="str">
        <x:v>EX-01</x:v>
      </x:c>
      <x:c r="C7" s="26" t="str">
        <x:v>SELECTION</x:v>
      </x:c>
      <x:c r="D7" s="26" t="str"/>
      <x:c r="E7" s="26" t="str"/>
      <x:c r="F7" s="26" t="str"/>
      <x:c r="G7" s="26" t="str"/>
      <x:c r="H7" s="26" t="str"/>
      <x:c r="I7" s="26" t="str"/>
      <x:c r="J7" s="26" t="str">
        <x:f>IF(D7="","DORMANT",IF(I7="","OPEN",IF(AND(E7&lt;&gt;"",F7&lt;&gt;"",G7&lt;&gt;"",H7&lt;&gt;""),"PASS","FAIL")))</x:f>
        <x:v>DORMANT</x:v>
      </x:c>
    </x:row>
    <x:row r="8">
      <x:c r="B8" s="26" t="str">
        <x:v>EX-02</x:v>
      </x:c>
      <x:c r="C8" s="26" t="str">
        <x:v>ISSUE</x:v>
      </x:c>
      <x:c r="D8" s="26" t="str"/>
      <x:c r="E8" s="26" t="str"/>
      <x:c r="F8" s="26" t="str"/>
      <x:c r="G8" s="26" t="str"/>
      <x:c r="H8" s="26" t="str"/>
      <x:c r="I8" s="26" t="str"/>
      <x:c r="J8" s="26" t="str">
        <x:f>IF(D8="","DORMANT",IF(I8="","OPEN",IF(AND(E8&lt;&gt;"",F8&lt;&gt;"",G8&lt;&gt;"",H8&lt;&gt;""),"PASS","FAIL")))</x:f>
        <x:v>DORMANT</x:v>
      </x:c>
    </x:row>
    <x:row r="9">
      <x:c r="B9" s="26" t="str">
        <x:v>EX-03</x:v>
      </x:c>
      <x:c r="C9" s="26" t="str">
        <x:v>CONFIGURATION</x:v>
      </x:c>
      <x:c r="D9" s="26" t="str"/>
      <x:c r="E9" s="26" t="str"/>
      <x:c r="F9" s="26" t="str"/>
      <x:c r="G9" s="26" t="str"/>
      <x:c r="H9" s="26" t="str"/>
      <x:c r="I9" s="26" t="str"/>
      <x:c r="J9" s="26" t="str">
        <x:f>IF(D9="","DORMANT",IF(I9="","OPEN",IF(AND(E9&lt;&gt;"",F9&lt;&gt;"",G9&lt;&gt;"",H9&lt;&gt;""),"PASS","FAIL")))</x:f>
        <x:v>DORMANT</x:v>
      </x:c>
    </x:row>
    <x:row r="10">
      <x:c r="B10" s="26" t="str">
        <x:v>EX-04</x:v>
      </x:c>
      <x:c r="C10" s="26" t="str">
        <x:v>SOURCE ZERO</x:v>
      </x:c>
      <x:c r="D10" s="26" t="str"/>
      <x:c r="E10" s="26" t="str"/>
      <x:c r="F10" s="26" t="str"/>
      <x:c r="G10" s="26" t="str"/>
      <x:c r="H10" s="26" t="str"/>
      <x:c r="I10" s="26" t="str"/>
      <x:c r="J10" s="26" t="str">
        <x:f>IF(D10="","DORMANT",IF(I10="","OPEN",IF(AND(E10&lt;&gt;"",F10&lt;&gt;"",G10&lt;&gt;"",H10&lt;&gt;""),"PASS","FAIL")))</x:f>
        <x:v>DORMANT</x:v>
      </x:c>
    </x:row>
    <x:row r="11">
      <x:c r="B11" s="26" t="str">
        <x:v>EX-05</x:v>
      </x:c>
      <x:c r="C11" s="26" t="str">
        <x:v>WATER ZERO</x:v>
      </x:c>
      <x:c r="D11" s="26" t="str"/>
      <x:c r="E11" s="26" t="str"/>
      <x:c r="F11" s="26" t="str"/>
      <x:c r="G11" s="26" t="str"/>
      <x:c r="H11" s="26" t="str"/>
      <x:c r="I11" s="26" t="str"/>
      <x:c r="J11" s="26" t="str">
        <x:f>IF(D11="","DORMANT",IF(I11="","OPEN",IF(AND(E11&lt;&gt;"",F11&lt;&gt;"",G11&lt;&gt;"",H11&lt;&gt;""),"PASS","FAIL")))</x:f>
        <x:v>DORMANT</x:v>
      </x:c>
    </x:row>
    <x:row r="12">
      <x:c r="B12" s="26" t="str">
        <x:v>EX-06</x:v>
      </x:c>
      <x:c r="C12" s="26" t="str">
        <x:v>METROLOGY</x:v>
      </x:c>
      <x:c r="D12" s="26" t="str"/>
      <x:c r="E12" s="26" t="str"/>
      <x:c r="F12" s="26" t="str"/>
      <x:c r="G12" s="26" t="str"/>
      <x:c r="H12" s="26" t="str"/>
      <x:c r="I12" s="26" t="str"/>
      <x:c r="J12" s="26" t="str">
        <x:f>IF(D12="","DORMANT",IF(I12="","OPEN",IF(AND(E12&lt;&gt;"",F12&lt;&gt;"",G12&lt;&gt;"",H12&lt;&gt;""),"PASS","FAIL")))</x:f>
        <x:v>DORMANT</x:v>
      </x:c>
    </x:row>
    <x:row r="13">
      <x:c r="B13" s="26" t="str">
        <x:v>EX-07</x:v>
      </x:c>
      <x:c r="C13" s="26" t="str">
        <x:v>SAFEING</x:v>
      </x:c>
      <x:c r="D13" s="26" t="str"/>
      <x:c r="E13" s="26" t="str"/>
      <x:c r="F13" s="26" t="str"/>
      <x:c r="G13" s="26" t="str"/>
      <x:c r="H13" s="26" t="str"/>
      <x:c r="I13" s="26" t="str"/>
      <x:c r="J13" s="26" t="str">
        <x:f>IF(D13="","DORMANT",IF(I13="","OPEN",IF(AND(E13&lt;&gt;"",F13&lt;&gt;"",G13&lt;&gt;"",H13&lt;&gt;""),"PASS","FAIL")))</x:f>
        <x:v>DORMANT</x:v>
      </x:c>
    </x:row>
    <x:row r="14">
      <x:c r="B14" s="26" t="str">
        <x:v>EX-08</x:v>
      </x:c>
      <x:c r="C14" s="26" t="str">
        <x:v>COMMAND</x:v>
      </x:c>
      <x:c r="D14" s="26" t="str"/>
      <x:c r="E14" s="26" t="str"/>
      <x:c r="F14" s="26" t="str"/>
      <x:c r="G14" s="26" t="str"/>
      <x:c r="H14" s="26" t="str"/>
      <x:c r="I14" s="26" t="str"/>
      <x:c r="J14" s="26" t="str">
        <x:f>IF(D14="","DORMANT",IF(I14="","OPEN",IF(AND(E14&lt;&gt;"",F14&lt;&gt;"",G14&lt;&gt;"",H14&lt;&gt;""),"PASS","FAIL")))</x:f>
        <x:v>DORMANT</x:v>
      </x:c>
    </x:row>
    <x:row r="15">
      <x:c r="B15" s="26" t="str">
        <x:v>EX-09</x:v>
      </x:c>
      <x:c r="C15" s="26" t="str">
        <x:v>PHASE</x:v>
      </x:c>
      <x:c r="D15" s="26" t="str"/>
      <x:c r="E15" s="26" t="str"/>
      <x:c r="F15" s="26" t="str"/>
      <x:c r="G15" s="26" t="str"/>
      <x:c r="H15" s="26" t="str"/>
      <x:c r="I15" s="26" t="str"/>
      <x:c r="J15" s="26" t="str">
        <x:f>IF(D15="","DORMANT",IF(I15="","OPEN",IF(AND(E15&lt;&gt;"",F15&lt;&gt;"",G15&lt;&gt;"",H15&lt;&gt;""),"PASS","FAIL")))</x:f>
        <x:v>DORMANT</x:v>
      </x:c>
    </x:row>
    <x:row r="16">
      <x:c r="B16" s="26" t="str">
        <x:v>EX-10</x:v>
      </x:c>
      <x:c r="C16" s="26" t="str">
        <x:v>EVIDENCE</x:v>
      </x:c>
      <x:c r="D16" s="26" t="str"/>
      <x:c r="E16" s="26" t="str"/>
      <x:c r="F16" s="26" t="str"/>
      <x:c r="G16" s="26" t="str"/>
      <x:c r="H16" s="26" t="str"/>
      <x:c r="I16" s="26" t="str"/>
      <x:c r="J16" s="26" t="str">
        <x:f>IF(D16="","DORMANT",IF(I16="","OPEN",IF(AND(E16&lt;&gt;"",F16&lt;&gt;"",G16&lt;&gt;"",H16&lt;&gt;""),"PASS","FAIL")))</x:f>
        <x:v>DORMANT</x:v>
      </x:c>
    </x:row>
    <x:row r="17">
      <x:c r="B17" s="26" t="str">
        <x:v>EX-11</x:v>
      </x:c>
      <x:c r="C17" s="26" t="str">
        <x:v>SAMPLE</x:v>
      </x:c>
      <x:c r="D17" s="26" t="str"/>
      <x:c r="E17" s="26" t="str"/>
      <x:c r="F17" s="26" t="str"/>
      <x:c r="G17" s="26" t="str"/>
      <x:c r="H17" s="26" t="str"/>
      <x:c r="I17" s="26" t="str"/>
      <x:c r="J17" s="26" t="str">
        <x:f>IF(D17="","DORMANT",IF(I17="","OPEN",IF(AND(E17&lt;&gt;"",F17&lt;&gt;"",G17&lt;&gt;"",H17&lt;&gt;""),"PASS","FAIL")))</x:f>
        <x:v>DORMANT</x:v>
      </x:c>
    </x:row>
    <x:row r="18">
      <x:c r="B18" s="26" t="str">
        <x:v>EX-12</x:v>
      </x:c>
      <x:c r="C18" s="26" t="str">
        <x:v>ABORT</x:v>
      </x:c>
      <x:c r="D18" s="26" t="str"/>
      <x:c r="E18" s="26" t="str"/>
      <x:c r="F18" s="26" t="str"/>
      <x:c r="G18" s="26" t="str"/>
      <x:c r="H18" s="26" t="str"/>
      <x:c r="I18" s="26" t="str"/>
      <x:c r="J18" s="26" t="str">
        <x:f>IF(D18="","DORMANT",IF(I18="","OPEN",IF(AND(E18&lt;&gt;"",F18&lt;&gt;"",G18&lt;&gt;"",H18&lt;&gt;""),"PASS","FAIL")))</x:f>
        <x:v>DORMANT</x:v>
      </x:c>
    </x:row>
    <x:row r="19">
      <x:c r="B19" s="26" t="str">
        <x:v>EX-13</x:v>
      </x:c>
      <x:c r="C19" s="26" t="str">
        <x:v>INTERVENTION</x:v>
      </x:c>
      <x:c r="D19" s="26" t="str"/>
      <x:c r="E19" s="26" t="str"/>
      <x:c r="F19" s="26" t="str"/>
      <x:c r="G19" s="26" t="str"/>
      <x:c r="H19" s="26" t="str"/>
      <x:c r="I19" s="26" t="str"/>
      <x:c r="J19" s="26" t="str">
        <x:f>IF(D19="","DORMANT",IF(I19="","OPEN",IF(AND(E19&lt;&gt;"",F19&lt;&gt;"",G19&lt;&gt;"",H19&lt;&gt;""),"PASS","FAIL")))</x:f>
        <x:v>DORMANT</x:v>
      </x:c>
    </x:row>
    <x:row r="20">
      <x:c r="B20" s="26" t="str">
        <x:v>EX-14</x:v>
      </x:c>
      <x:c r="C20" s="26" t="str">
        <x:v>VALIDITY</x:v>
      </x:c>
      <x:c r="D20" s="26" t="str"/>
      <x:c r="E20" s="26" t="str"/>
      <x:c r="F20" s="26" t="str"/>
      <x:c r="G20" s="26" t="str"/>
      <x:c r="H20" s="26" t="str"/>
      <x:c r="I20" s="26" t="str"/>
      <x:c r="J20" s="26" t="str">
        <x:f>IF(D20="","DORMANT",IF(I20="","OPEN",IF(AND(E20&lt;&gt;"",F20&lt;&gt;"",G20&lt;&gt;"",H20&lt;&gt;""),"PASS","FAIL")))</x:f>
        <x:v>DORMANT</x:v>
      </x:c>
    </x:row>
    <x:row r="21">
      <x:c r="B21" s="26" t="str">
        <x:v>EX-15</x:v>
      </x:c>
      <x:c r="C21" s="26" t="str">
        <x:v>RECOVERY</x:v>
      </x:c>
      <x:c r="D21" s="26" t="str"/>
      <x:c r="E21" s="26" t="str"/>
      <x:c r="F21" s="26" t="str"/>
      <x:c r="G21" s="26" t="str"/>
      <x:c r="H21" s="26" t="str"/>
      <x:c r="I21" s="26" t="str"/>
      <x:c r="J21" s="26" t="str">
        <x:f>IF(D21="","DORMANT",IF(I21="","OPEN",IF(AND(E21&lt;&gt;"",F21&lt;&gt;"",G21&lt;&gt;"",H21&lt;&gt;""),"PASS","FAIL")))</x:f>
        <x:v>DORMANT</x:v>
      </x:c>
    </x:row>
    <x:row r="22">
      <x:c r="B22" s="26" t="str">
        <x:v>EX-16</x:v>
      </x:c>
      <x:c r="C22" s="26" t="str">
        <x:v>REENTRY</x:v>
      </x:c>
      <x:c r="D22" s="26" t="str"/>
      <x:c r="E22" s="26" t="str"/>
      <x:c r="F22" s="26" t="str"/>
      <x:c r="G22" s="26" t="str"/>
      <x:c r="H22" s="26" t="str"/>
      <x:c r="I22" s="26" t="str"/>
      <x:c r="J22" s="26" t="str">
        <x:f>IF(D22="","DORMANT",IF(I22="","OPEN",IF(AND(E22&lt;&gt;"",F22&lt;&gt;"",G22&lt;&gt;"",H22&lt;&gt;""),"PASS","FAIL")))</x:f>
        <x:v>DORMANT</x:v>
      </x:c>
    </x:row>
  </x:sheetData>
  <x:conditionalFormatting sqref="J7:J22">
    <x:cfRule type="containsText" dxfId="297" priority="1" operator="containsText" text="FAIL"/>
    <x:cfRule type="containsText" dxfId="298" priority="2" operator="containsText" text="BLOCKED"/>
    <x:cfRule type="containsText" dxfId="299" priority="3" operator="containsText" text="INVALID"/>
    <x:cfRule type="containsText" dxfId="300" priority="4" operator="containsText" text="ADVERSE"/>
    <x:cfRule type="containsText" dxfId="301" priority="5" operator="containsText" text="EXPIRED"/>
    <x:cfRule type="containsText" dxfId="302" priority="6" operator="containsText" text="OPEN"/>
    <x:cfRule type="containsText" dxfId="303" priority="7" operator="containsText" text="DORMANT"/>
    <x:cfRule type="containsText" dxfId="304" priority="8" operator="containsText" text="PASS"/>
    <x:cfRule type="containsText" dxfId="305" priority="9" operator="containsText" text="AVAILABLE"/>
  </x:conditionalFormatting>
  <x:pageMargins left="0.7" right="0.7" top="0.75" bottom="0.75" header="0.3" footer="0.3"/>
</x:worksheet>
</file>

<file path=xl/worksheets/sheet40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5" hidden="0" customWidth="1"/>
    <x:col min="3" max="3" width="31" hidden="0" customWidth="1"/>
    <x:col min="4" max="4" width="26" hidden="0" customWidth="1"/>
    <x:col min="5" max="5" width="25" hidden="0" customWidth="1"/>
    <x:col min="6" max="6" width="17" hidden="0" customWidth="1"/>
    <x:col min="7" max="7" width="39" hidden="0" customWidth="1"/>
    <x:col min="8" max="8" width="34" hidden="0" customWidth="1"/>
    <x:col min="9" max="9" width="21" hidden="0" customWidth="1"/>
    <x:col min="10" max="10" width="14" hidden="0" customWidth="1"/>
  </x:cols>
  <x:sheetData>
    <x:row r="2">
      <x:c r="B2" s="39" t="str">
        <x:v>Twelve event-change classes</x:v>
      </x:c>
      <x:c r="C2" s="26"/>
      <x:c r="D2" s="26"/>
      <x:c r="E2" s="26"/>
      <x:c r="F2" s="26"/>
      <x:c r="G2" s="26"/>
      <x:c r="H2" s="26"/>
      <x:c r="I2" s="26"/>
      <x:c r="J2" s="26"/>
    </x:row>
    <x:row r="3">
      <x:c r="B3" s="40" t="str">
        <x:v>Any post-freeze change expires the issue and identifies every record that must be repeated.</x:v>
      </x:c>
      <x:c r="C3" s="26"/>
      <x:c r="D3" s="26"/>
      <x:c r="E3" s="26"/>
      <x:c r="F3" s="26"/>
      <x:c r="G3" s="26"/>
      <x:c r="H3" s="26"/>
      <x:c r="I3" s="26"/>
      <x:c r="J3" s="26"/>
    </x:row>
    <x:row r="4">
      <x:c r="B4" s="26"/>
      <x:c r="C4" s="26"/>
      <x:c r="D4" s="26"/>
      <x:c r="E4" s="26"/>
      <x:c r="F4" s="26"/>
      <x:c r="G4" s="26"/>
      <x:c r="H4" s="26"/>
      <x:c r="I4" s="26"/>
      <x:c r="J4" s="26"/>
    </x:row>
    <x:row r="5">
      <x:c r="B5" s="26"/>
      <x:c r="C5" s="26"/>
      <x:c r="D5" s="26"/>
      <x:c r="E5" s="26"/>
      <x:c r="F5" s="26"/>
      <x:c r="G5" s="26"/>
      <x:c r="H5" s="26"/>
      <x:c r="I5" s="26"/>
      <x:c r="J5" s="26"/>
    </x:row>
    <x:row r="6" ht="24" customHeight="1">
      <x:c r="B6" s="41" t="str">
        <x:v>Change</x:v>
      </x:c>
      <x:c r="C6" s="41" t="str">
        <x:v>Class</x:v>
      </x:c>
      <x:c r="D6" s="41" t="str">
        <x:v>Change identity</x:v>
      </x:c>
      <x:c r="E6" s="41" t="str">
        <x:v>Affected object</x:v>
      </x:c>
      <x:c r="F6" s="41" t="str">
        <x:v>Critical flag</x:v>
      </x:c>
      <x:c r="G6" s="41" t="str">
        <x:v>Regression scope</x:v>
      </x:c>
      <x:c r="H6" s="41" t="str">
        <x:v>Evidence root</x:v>
      </x:c>
      <x:c r="I6" s="41" t="str">
        <x:v>Closed UTC</x:v>
      </x:c>
      <x:c r="J6" s="41" t="str">
        <x:v>State</x:v>
      </x:c>
    </x:row>
    <x:row r="7">
      <x:c r="B7" s="26" t="str">
        <x:v>CH-01</x:v>
      </x:c>
      <x:c r="C7" s="26" t="str">
        <x:v>article configuration</x:v>
      </x:c>
      <x:c r="D7" s="26" t="str"/>
      <x:c r="E7" s="26" t="str"/>
      <x:c r="F7" s="26" t="str"/>
      <x:c r="G7" s="26" t="str"/>
      <x:c r="H7" s="26" t="str"/>
      <x:c r="I7" s="26" t="str"/>
      <x:c r="J7" s="26" t="str">
        <x:f>IF(D7="","DORMANT",IF(I7="","OPEN",IF(AND(E7&lt;&gt;"",F7&lt;&gt;"",G7&lt;&gt;"",H7&lt;&gt;""),"PASS","FAIL")))</x:f>
        <x:v>DORMANT</x:v>
      </x:c>
    </x:row>
    <x:row r="8">
      <x:c r="B8" s="26" t="str">
        <x:v>CH-02</x:v>
      </x:c>
      <x:c r="C8" s="26" t="str">
        <x:v>rig configuration</x:v>
      </x:c>
      <x:c r="D8" s="26" t="str"/>
      <x:c r="E8" s="26" t="str"/>
      <x:c r="F8" s="26" t="str"/>
      <x:c r="G8" s="26" t="str"/>
      <x:c r="H8" s="26" t="str"/>
      <x:c r="I8" s="26" t="str"/>
      <x:c r="J8" s="26" t="str">
        <x:f>IF(D8="","DORMANT",IF(I8="","OPEN",IF(AND(E8&lt;&gt;"",F8&lt;&gt;"",G8&lt;&gt;"",H8&lt;&gt;""),"PASS","FAIL")))</x:f>
        <x:v>DORMANT</x:v>
      </x:c>
    </x:row>
    <x:row r="9">
      <x:c r="B9" s="26" t="str">
        <x:v>CH-03</x:v>
      </x:c>
      <x:c r="C9" s="26" t="str">
        <x:v>source-zero boundary</x:v>
      </x:c>
      <x:c r="D9" s="26" t="str"/>
      <x:c r="E9" s="26" t="str"/>
      <x:c r="F9" s="26" t="str"/>
      <x:c r="G9" s="26" t="str"/>
      <x:c r="H9" s="26" t="str"/>
      <x:c r="I9" s="26" t="str"/>
      <x:c r="J9" s="26" t="str">
        <x:f>IF(D9="","DORMANT",IF(I9="","OPEN",IF(AND(E9&lt;&gt;"",F9&lt;&gt;"",G9&lt;&gt;"",H9&lt;&gt;""),"PASS","FAIL")))</x:f>
        <x:v>DORMANT</x:v>
      </x:c>
    </x:row>
    <x:row r="10">
      <x:c r="B10" s="26" t="str">
        <x:v>CH-04</x:v>
      </x:c>
      <x:c r="C10" s="26" t="str">
        <x:v>water-zero boundary</x:v>
      </x:c>
      <x:c r="D10" s="26" t="str"/>
      <x:c r="E10" s="26" t="str"/>
      <x:c r="F10" s="26" t="str"/>
      <x:c r="G10" s="26" t="str"/>
      <x:c r="H10" s="26" t="str"/>
      <x:c r="I10" s="26" t="str"/>
      <x:c r="J10" s="26" t="str">
        <x:f>IF(D10="","DORMANT",IF(I10="","OPEN",IF(AND(E10&lt;&gt;"",F10&lt;&gt;"",G10&lt;&gt;"",H10&lt;&gt;""),"PASS","FAIL")))</x:f>
        <x:v>DORMANT</x:v>
      </x:c>
    </x:row>
    <x:row r="11">
      <x:c r="B11" s="26" t="str">
        <x:v>CH-05</x:v>
      </x:c>
      <x:c r="C11" s="26" t="str">
        <x:v>measurement root</x:v>
      </x:c>
      <x:c r="D11" s="26" t="str"/>
      <x:c r="E11" s="26" t="str"/>
      <x:c r="F11" s="26" t="str"/>
      <x:c r="G11" s="26" t="str"/>
      <x:c r="H11" s="26" t="str"/>
      <x:c r="I11" s="26" t="str"/>
      <x:c r="J11" s="26" t="str">
        <x:f>IF(D11="","DORMANT",IF(I11="","OPEN",IF(AND(E11&lt;&gt;"",F11&lt;&gt;"",G11&lt;&gt;"",H11&lt;&gt;""),"PASS","FAIL")))</x:f>
        <x:v>DORMANT</x:v>
      </x:c>
    </x:row>
    <x:row r="12">
      <x:c r="B12" s="26" t="str">
        <x:v>CH-06</x:v>
      </x:c>
      <x:c r="C12" s="26" t="str">
        <x:v>safeing path</x:v>
      </x:c>
      <x:c r="D12" s="26" t="str"/>
      <x:c r="E12" s="26" t="str"/>
      <x:c r="F12" s="26" t="str"/>
      <x:c r="G12" s="26" t="str"/>
      <x:c r="H12" s="26" t="str"/>
      <x:c r="I12" s="26" t="str"/>
      <x:c r="J12" s="26" t="str">
        <x:f>IF(D12="","DORMANT",IF(I12="","OPEN",IF(AND(E12&lt;&gt;"",F12&lt;&gt;"",G12&lt;&gt;"",H12&lt;&gt;""),"PASS","FAIL")))</x:f>
        <x:v>DORMANT</x:v>
      </x:c>
    </x:row>
    <x:row r="13">
      <x:c r="B13" s="26" t="str">
        <x:v>CH-07</x:v>
      </x:c>
      <x:c r="C13" s="26" t="str">
        <x:v>control software</x:v>
      </x:c>
      <x:c r="D13" s="26" t="str"/>
      <x:c r="E13" s="26" t="str"/>
      <x:c r="F13" s="26" t="str"/>
      <x:c r="G13" s="26" t="str"/>
      <x:c r="H13" s="26" t="str"/>
      <x:c r="I13" s="26" t="str"/>
      <x:c r="J13" s="26" t="str">
        <x:f>IF(D13="","DORMANT",IF(I13="","OPEN",IF(AND(E13&lt;&gt;"",F13&lt;&gt;"",G13&lt;&gt;"",H13&lt;&gt;""),"PASS","FAIL")))</x:f>
        <x:v>DORMANT</x:v>
      </x:c>
    </x:row>
    <x:row r="14">
      <x:c r="B14" s="26" t="str">
        <x:v>CH-08</x:v>
      </x:c>
      <x:c r="C14" s="26" t="str">
        <x:v>causal-time root</x:v>
      </x:c>
      <x:c r="D14" s="26" t="str"/>
      <x:c r="E14" s="26" t="str"/>
      <x:c r="F14" s="26" t="str"/>
      <x:c r="G14" s="26" t="str"/>
      <x:c r="H14" s="26" t="str"/>
      <x:c r="I14" s="26" t="str"/>
      <x:c r="J14" s="26" t="str">
        <x:f>IF(D14="","DORMANT",IF(I14="","OPEN",IF(AND(E14&lt;&gt;"",F14&lt;&gt;"",G14&lt;&gt;"",H14&lt;&gt;""),"PASS","FAIL")))</x:f>
        <x:v>DORMANT</x:v>
      </x:c>
    </x:row>
    <x:row r="15">
      <x:c r="B15" s="26" t="str">
        <x:v>CH-09</x:v>
      </x:c>
      <x:c r="C15" s="26" t="str">
        <x:v>evidence schema</x:v>
      </x:c>
      <x:c r="D15" s="26" t="str"/>
      <x:c r="E15" s="26" t="str"/>
      <x:c r="F15" s="26" t="str"/>
      <x:c r="G15" s="26" t="str"/>
      <x:c r="H15" s="26" t="str"/>
      <x:c r="I15" s="26" t="str"/>
      <x:c r="J15" s="26" t="str">
        <x:f>IF(D15="","DORMANT",IF(I15="","OPEN",IF(AND(E15&lt;&gt;"",F15&lt;&gt;"",G15&lt;&gt;"",H15&lt;&gt;""),"PASS","FAIL")))</x:f>
        <x:v>DORMANT</x:v>
      </x:c>
    </x:row>
    <x:row r="16">
      <x:c r="B16" s="26" t="str">
        <x:v>CH-10</x:v>
      </x:c>
      <x:c r="C16" s="26" t="str">
        <x:v>crew roster</x:v>
      </x:c>
      <x:c r="D16" s="26" t="str"/>
      <x:c r="E16" s="26" t="str"/>
      <x:c r="F16" s="26" t="str"/>
      <x:c r="G16" s="26" t="str"/>
      <x:c r="H16" s="26" t="str"/>
      <x:c r="I16" s="26" t="str"/>
      <x:c r="J16" s="26" t="str">
        <x:f>IF(D16="","DORMANT",IF(I16="","OPEN",IF(AND(E16&lt;&gt;"",F16&lt;&gt;"",G16&lt;&gt;"",H16&lt;&gt;""),"PASS","FAIL")))</x:f>
        <x:v>DORMANT</x:v>
      </x:c>
    </x:row>
    <x:row r="17">
      <x:c r="B17" s="26" t="str">
        <x:v>CH-11</x:v>
      </x:c>
      <x:c r="C17" s="26" t="str">
        <x:v>sample method</x:v>
      </x:c>
      <x:c r="D17" s="26" t="str"/>
      <x:c r="E17" s="26" t="str"/>
      <x:c r="F17" s="26" t="str"/>
      <x:c r="G17" s="26" t="str"/>
      <x:c r="H17" s="26" t="str"/>
      <x:c r="I17" s="26" t="str"/>
      <x:c r="J17" s="26" t="str">
        <x:f>IF(D17="","DORMANT",IF(I17="","OPEN",IF(AND(E17&lt;&gt;"",F17&lt;&gt;"",G17&lt;&gt;"",H17&lt;&gt;""),"PASS","FAIL")))</x:f>
        <x:v>DORMANT</x:v>
      </x:c>
    </x:row>
    <x:row r="18">
      <x:c r="B18" s="26" t="str">
        <x:v>CH-12</x:v>
      </x:c>
      <x:c r="C18" s="26" t="str">
        <x:v>recovery method</x:v>
      </x:c>
      <x:c r="D18" s="26" t="str"/>
      <x:c r="E18" s="26" t="str"/>
      <x:c r="F18" s="26" t="str"/>
      <x:c r="G18" s="26" t="str"/>
      <x:c r="H18" s="26" t="str"/>
      <x:c r="I18" s="26" t="str"/>
      <x:c r="J18" s="26" t="str">
        <x:f>IF(D18="","DORMANT",IF(I18="","OPEN",IF(AND(E18&lt;&gt;"",F18&lt;&gt;"",G18&lt;&gt;"",H18&lt;&gt;""),"PASS","FAIL")))</x:f>
        <x:v>DORMANT</x:v>
      </x:c>
    </x:row>
  </x:sheetData>
  <x:conditionalFormatting sqref="J7:J18">
    <x:cfRule type="containsText" dxfId="306" priority="1" operator="containsText" text="FAIL"/>
    <x:cfRule type="containsText" dxfId="307" priority="2" operator="containsText" text="BLOCKED"/>
    <x:cfRule type="containsText" dxfId="308" priority="3" operator="containsText" text="INVALID"/>
    <x:cfRule type="containsText" dxfId="309" priority="4" operator="containsText" text="ADVERSE"/>
    <x:cfRule type="containsText" dxfId="310" priority="5" operator="containsText" text="EXPIRED"/>
    <x:cfRule type="containsText" dxfId="311" priority="6" operator="containsText" text="OPEN"/>
    <x:cfRule type="containsText" dxfId="312" priority="7" operator="containsText" text="DORMANT"/>
    <x:cfRule type="containsText" dxfId="313" priority="8" operator="containsText" text="PASS"/>
    <x:cfRule type="containsText" dxfId="314" priority="9" operator="containsText" text="AVAILABLE"/>
  </x:conditionalFormatting>
  <x:pageMargins left="0.7" right="0.7" top="0.75" bottom="0.75" header="0.3" footer="0.3"/>
</x:worksheet>
</file>

<file path=xl/worksheets/sheet41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5" hidden="0" customWidth="1"/>
    <x:col min="3" max="3" width="38" hidden="0" customWidth="1"/>
    <x:col min="4" max="4" width="24" hidden="0" customWidth="1"/>
    <x:col min="5" max="5" width="27" hidden="0" customWidth="1"/>
    <x:col min="6" max="6" width="52" hidden="0" customWidth="1"/>
    <x:col min="7" max="7" width="14" hidden="0" customWidth="1"/>
  </x:cols>
  <x:sheetData>
    <x:row r="2">
      <x:c r="B2" s="22" t="str">
        <x:v>Eight event quarantine conditions</x:v>
      </x:c>
      <x:c r="C2" s="23"/>
      <x:c r="D2" s="23"/>
      <x:c r="E2" s="23"/>
      <x:c r="F2" s="23"/>
      <x:c r="G2" s="23"/>
    </x:row>
    <x:row r="3">
      <x:c r="B3" s="24" t="str">
        <x:v>The affected article, rig, packet or campus slot remains unavailable until a new accepted branch exists.</x:v>
      </x:c>
      <x:c r="C3" s="23"/>
      <x:c r="D3" s="23"/>
      <x:c r="E3" s="23"/>
      <x:c r="F3" s="23"/>
      <x:c r="G3" s="23"/>
    </x:row>
    <x:row r="4">
      <x:c r="B4" s="23"/>
      <x:c r="C4" s="23"/>
      <x:c r="D4" s="23"/>
      <x:c r="E4" s="23"/>
      <x:c r="F4" s="23"/>
      <x:c r="G4" s="23"/>
    </x:row>
    <x:row r="5">
      <x:c r="B5" s="23"/>
      <x:c r="C5" s="23"/>
      <x:c r="D5" s="23"/>
      <x:c r="E5" s="23"/>
      <x:c r="F5" s="23"/>
      <x:c r="G5" s="23"/>
    </x:row>
    <x:row r="6" ht="24" customHeight="1">
      <x:c r="B6" s="6" t="str">
        <x:v>Case</x:v>
      </x:c>
      <x:c r="C6" s="6" t="str">
        <x:v>Condition</x:v>
      </x:c>
      <x:c r="D6" s="6" t="str">
        <x:v>Initial object</x:v>
      </x:c>
      <x:c r="E6" s="6" t="str">
        <x:v>Authority</x:v>
      </x:c>
      <x:c r="F6" s="6" t="str">
        <x:v>Release rule</x:v>
      </x:c>
      <x:c r="G6" s="6" t="str">
        <x:v>State</x:v>
      </x:c>
    </x:row>
    <x:row r="7">
      <x:c r="B7" s="26" t="str">
        <x:v>Q-01</x:v>
      </x:c>
      <x:c r="C7" s="26" t="str">
        <x:v>unexpected source signal</x:v>
      </x:c>
      <x:c r="D7" s="26" t="str">
        <x:v>article-rig pair</x:v>
      </x:c>
      <x:c r="E7" s="26" t="str">
        <x:v>regeneration board</x:v>
      </x:c>
      <x:c r="F7" s="26" t="str">
        <x:v>accepted cause, disposition and regression</x:v>
      </x:c>
      <x:c r="G7" s="26" t="str">
        <x:v>DORMANT</x:v>
      </x:c>
    </x:row>
    <x:row r="8">
      <x:c r="B8" s="26" t="str">
        <x:v>Q-02</x:v>
      </x:c>
      <x:c r="C8" s="26" t="str">
        <x:v>unexpected water signal</x:v>
      </x:c>
      <x:c r="D8" s="26" t="str">
        <x:v>article-rig pair</x:v>
      </x:c>
      <x:c r="E8" s="26" t="str">
        <x:v>regeneration board</x:v>
      </x:c>
      <x:c r="F8" s="26" t="str">
        <x:v>accepted cause, disposition and regression</x:v>
      </x:c>
      <x:c r="G8" s="26" t="str">
        <x:v>DORMANT</x:v>
      </x:c>
    </x:row>
    <x:row r="9">
      <x:c r="B9" s="26" t="str">
        <x:v>Q-03</x:v>
      </x:c>
      <x:c r="C9" s="26" t="str">
        <x:v>truth-root disagreement</x:v>
      </x:c>
      <x:c r="D9" s="26" t="str">
        <x:v>article-rig pair</x:v>
      </x:c>
      <x:c r="E9" s="26" t="str">
        <x:v>regeneration board</x:v>
      </x:c>
      <x:c r="F9" s="26" t="str">
        <x:v>accepted cause, disposition and regression</x:v>
      </x:c>
      <x:c r="G9" s="26" t="str">
        <x:v>DORMANT</x:v>
      </x:c>
    </x:row>
    <x:row r="10">
      <x:c r="B10" s="26" t="str">
        <x:v>Q-04</x:v>
      </x:c>
      <x:c r="C10" s="26" t="str">
        <x:v>custody discontinuity</x:v>
      </x:c>
      <x:c r="D10" s="26" t="str">
        <x:v>article-rig pair</x:v>
      </x:c>
      <x:c r="E10" s="26" t="str">
        <x:v>regeneration board</x:v>
      </x:c>
      <x:c r="F10" s="26" t="str">
        <x:v>accepted cause, disposition and regression</x:v>
      </x:c>
      <x:c r="G10" s="26" t="str">
        <x:v>DORMANT</x:v>
      </x:c>
    </x:row>
    <x:row r="11">
      <x:c r="B11" s="26" t="str">
        <x:v>Q-05</x:v>
      </x:c>
      <x:c r="C11" s="26" t="str">
        <x:v>configuration change</x:v>
      </x:c>
      <x:c r="D11" s="26" t="str">
        <x:v>article-rig pair</x:v>
      </x:c>
      <x:c r="E11" s="26" t="str">
        <x:v>regeneration board</x:v>
      </x:c>
      <x:c r="F11" s="26" t="str">
        <x:v>accepted cause, disposition and regression</x:v>
      </x:c>
      <x:c r="G11" s="26" t="str">
        <x:v>DORMANT</x:v>
      </x:c>
    </x:row>
    <x:row r="12">
      <x:c r="B12" s="26" t="str">
        <x:v>Q-06</x:v>
      </x:c>
      <x:c r="C12" s="26" t="str">
        <x:v>safeing failure</x:v>
      </x:c>
      <x:c r="D12" s="26" t="str">
        <x:v>campaign packet</x:v>
      </x:c>
      <x:c r="E12" s="26" t="str">
        <x:v>regeneration board</x:v>
      </x:c>
      <x:c r="F12" s="26" t="str">
        <x:v>accepted cause, disposition and regression</x:v>
      </x:c>
      <x:c r="G12" s="26" t="str">
        <x:v>DORMANT</x:v>
      </x:c>
    </x:row>
    <x:row r="13">
      <x:c r="B13" s="26" t="str">
        <x:v>Q-07</x:v>
      </x:c>
      <x:c r="C13" s="26" t="str">
        <x:v>evidence loss</x:v>
      </x:c>
      <x:c r="D13" s="26" t="str">
        <x:v>campaign packet</x:v>
      </x:c>
      <x:c r="E13" s="26" t="str">
        <x:v>regeneration board</x:v>
      </x:c>
      <x:c r="F13" s="26" t="str">
        <x:v>accepted cause, disposition and regression</x:v>
      </x:c>
      <x:c r="G13" s="26" t="str">
        <x:v>DORMANT</x:v>
      </x:c>
    </x:row>
    <x:row r="14">
      <x:c r="B14" s="26" t="str">
        <x:v>Q-08</x:v>
      </x:c>
      <x:c r="C14" s="26" t="str">
        <x:v>failed regeneration</x:v>
      </x:c>
      <x:c r="D14" s="26" t="str">
        <x:v>campaign packet</x:v>
      </x:c>
      <x:c r="E14" s="26" t="str">
        <x:v>regeneration board</x:v>
      </x:c>
      <x:c r="F14" s="26" t="str">
        <x:v>accepted cause, disposition and regression</x:v>
      </x:c>
      <x:c r="G14" s="26" t="str">
        <x:v>DORMANT</x:v>
      </x:c>
    </x:row>
  </x:sheetData>
  <x:pageMargins left="0.7" right="0.7" top="0.75" bottom="0.75" header="0.3" footer="0.3"/>
</x:worksheet>
</file>

<file path=xl/worksheets/sheet42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6" hidden="0" customWidth="1"/>
    <x:col min="3" max="3" width="12" hidden="0" customWidth="1"/>
    <x:col min="4" max="4" width="36" hidden="0" customWidth="1"/>
    <x:col min="5" max="5" width="21" hidden="0" customWidth="1"/>
    <x:col min="6" max="6" width="21" hidden="0" customWidth="1"/>
    <x:col min="7" max="7" width="21" hidden="0" customWidth="1"/>
    <x:col min="8" max="8" width="14" hidden="0" customWidth="1"/>
  </x:cols>
  <x:sheetData>
    <x:row r="2">
      <x:c r="B2" s="39" t="str">
        <x:v>Twelve event-date credentials</x:v>
      </x:c>
      <x:c r="C2" s="26"/>
      <x:c r="D2" s="26"/>
      <x:c r="E2" s="26"/>
      <x:c r="F2" s="26"/>
      <x:c r="G2" s="26"/>
      <x:c r="H2" s="26"/>
    </x:row>
    <x:row r="3">
      <x:c r="B3" s="40" t="str">
        <x:v>Every credential covers the registered event date. Expiry withdraws the event issue automatically.</x:v>
      </x:c>
      <x:c r="C3" s="26"/>
      <x:c r="D3" s="26"/>
      <x:c r="E3" s="26"/>
      <x:c r="F3" s="26"/>
      <x:c r="G3" s="26"/>
      <x:c r="H3" s="26"/>
    </x:row>
    <x:row r="4">
      <x:c r="B4" s="26"/>
      <x:c r="C4" s="26"/>
      <x:c r="D4" s="26"/>
      <x:c r="E4" s="26"/>
      <x:c r="F4" s="26"/>
      <x:c r="G4" s="26"/>
      <x:c r="H4" s="26"/>
    </x:row>
    <x:row r="5">
      <x:c r="B5" s="26"/>
      <x:c r="C5" s="26"/>
      <x:c r="D5" s="26"/>
      <x:c r="E5" s="26"/>
      <x:c r="F5" s="26"/>
      <x:c r="G5" s="26"/>
      <x:c r="H5" s="26"/>
    </x:row>
    <x:row r="6" ht="24" customHeight="1">
      <x:c r="B6" s="41" t="str">
        <x:v>Credential</x:v>
      </x:c>
      <x:c r="C6" s="41" t="str">
        <x:v>Sequence</x:v>
      </x:c>
      <x:c r="D6" s="41" t="str">
        <x:v>Requirement</x:v>
      </x:c>
      <x:c r="E6" s="41" t="str">
        <x:v>Valid from</x:v>
      </x:c>
      <x:c r="F6" s="41" t="str">
        <x:v>Valid through</x:v>
      </x:c>
      <x:c r="G6" s="41" t="str">
        <x:v>Accepted UTC</x:v>
      </x:c>
      <x:c r="H6" s="41" t="str">
        <x:v>State</x:v>
      </x:c>
    </x:row>
    <x:row r="7">
      <x:c r="B7" s="26" t="str">
        <x:v>XP-01</x:v>
      </x:c>
      <x:c r="C7" s="26" t="n">
        <x:v>1</x:v>
      </x:c>
      <x:c r="D7" s="26" t="str">
        <x:v>RAX pair readiness</x:v>
      </x:c>
      <x:c r="E7" s="34" t="str"/>
      <x:c r="F7" s="34" t="str"/>
      <x:c r="G7" s="26" t="str"/>
      <x:c r="H7" s="26" t="str">
        <x:f>IF(G7="","OPEN",IF(OR(E7="",F7="",'Controls'!$D$78=""),"FAIL",IF(AND('Controls'!$D$78&gt;=E7,'Controls'!$D$78&lt;=F7),"PASS","EXPIRED")))</x:f>
        <x:v>OPEN</x:v>
      </x:c>
    </x:row>
    <x:row r="8">
      <x:c r="B8" s="26" t="str">
        <x:v>XP-02</x:v>
      </x:c>
      <x:c r="C8" s="26" t="n">
        <x:v>2</x:v>
      </x:c>
      <x:c r="D8" s="26" t="str">
        <x:v>RAX campus readiness</x:v>
      </x:c>
      <x:c r="E8" s="34" t="str"/>
      <x:c r="F8" s="34" t="str"/>
      <x:c r="G8" s="26" t="str"/>
      <x:c r="H8" s="26" t="str">
        <x:f>IF(G8="","OPEN",IF(OR(E8="",F8="",'Controls'!$D$78=""),"FAIL",IF(AND('Controls'!$D$78&gt;=E8,'Controls'!$D$78&lt;=F8),"PASS","EXPIRED")))</x:f>
        <x:v>OPEN</x:v>
      </x:c>
    </x:row>
    <x:row r="9">
      <x:c r="B9" s="26" t="str">
        <x:v>XP-03</x:v>
      </x:c>
      <x:c r="C9" s="26" t="n">
        <x:v>3</x:v>
      </x:c>
      <x:c r="D9" s="26" t="str">
        <x:v>selected article</x:v>
      </x:c>
      <x:c r="E9" s="34" t="str"/>
      <x:c r="F9" s="34" t="str"/>
      <x:c r="G9" s="26" t="str"/>
      <x:c r="H9" s="26" t="str">
        <x:f>IF(G9="","OPEN",IF(OR(E9="",F9="",'Controls'!$D$78=""),"FAIL",IF(AND('Controls'!$D$78&gt;=E9,'Controls'!$D$78&lt;=F9),"PASS","EXPIRED")))</x:f>
        <x:v>OPEN</x:v>
      </x:c>
    </x:row>
    <x:row r="10">
      <x:c r="B10" s="26" t="str">
        <x:v>XP-04</x:v>
      </x:c>
      <x:c r="C10" s="26" t="n">
        <x:v>4</x:v>
      </x:c>
      <x:c r="D10" s="26" t="str">
        <x:v>selected rig</x:v>
      </x:c>
      <x:c r="E10" s="34" t="str"/>
      <x:c r="F10" s="34" t="str"/>
      <x:c r="G10" s="26" t="str"/>
      <x:c r="H10" s="26" t="str">
        <x:f>IF(G10="","OPEN",IF(OR(E10="",F10="",'Controls'!$D$78=""),"FAIL",IF(AND('Controls'!$D$78&gt;=E10,'Controls'!$D$78&lt;=F10),"PASS","EXPIRED")))</x:f>
        <x:v>OPEN</x:v>
      </x:c>
    </x:row>
    <x:row r="11">
      <x:c r="B11" s="26" t="str">
        <x:v>XP-05</x:v>
      </x:c>
      <x:c r="C11" s="26" t="n">
        <x:v>5</x:v>
      </x:c>
      <x:c r="D11" s="26" t="str">
        <x:v>crew roster</x:v>
      </x:c>
      <x:c r="E11" s="34" t="str"/>
      <x:c r="F11" s="34" t="str"/>
      <x:c r="G11" s="26" t="str"/>
      <x:c r="H11" s="26" t="str">
        <x:f>IF(G11="","OPEN",IF(OR(E11="",F11="",'Controls'!$D$78=""),"FAIL",IF(AND('Controls'!$D$78&gt;=E11,'Controls'!$D$78&lt;=F11),"PASS","EXPIRED")))</x:f>
        <x:v>OPEN</x:v>
      </x:c>
    </x:row>
    <x:row r="12">
      <x:c r="B12" s="26" t="str">
        <x:v>XP-06</x:v>
      </x:c>
      <x:c r="C12" s="26" t="n">
        <x:v>6</x:v>
      </x:c>
      <x:c r="D12" s="26" t="str">
        <x:v>configuration freeze</x:v>
      </x:c>
      <x:c r="E12" s="34" t="str"/>
      <x:c r="F12" s="34" t="str"/>
      <x:c r="G12" s="26" t="str"/>
      <x:c r="H12" s="26" t="str">
        <x:f>IF(G12="","OPEN",IF(OR(E12="",F12="",'Controls'!$D$78=""),"FAIL",IF(AND('Controls'!$D$78&gt;=E12,'Controls'!$D$78&lt;=F12),"PASS","EXPIRED")))</x:f>
        <x:v>OPEN</x:v>
      </x:c>
    </x:row>
    <x:row r="13">
      <x:c r="B13" s="26" t="str">
        <x:v>XP-07</x:v>
      </x:c>
      <x:c r="C13" s="26" t="n">
        <x:v>7</x:v>
      </x:c>
      <x:c r="D13" s="26" t="str">
        <x:v>source-zero chain</x:v>
      </x:c>
      <x:c r="E13" s="34" t="str"/>
      <x:c r="F13" s="34" t="str"/>
      <x:c r="G13" s="26" t="str"/>
      <x:c r="H13" s="26" t="str">
        <x:f>IF(G13="","OPEN",IF(OR(E13="",F13="",'Controls'!$D$78=""),"FAIL",IF(AND('Controls'!$D$78&gt;=E13,'Controls'!$D$78&lt;=F13),"PASS","EXPIRED")))</x:f>
        <x:v>OPEN</x:v>
      </x:c>
    </x:row>
    <x:row r="14">
      <x:c r="B14" s="26" t="str">
        <x:v>XP-08</x:v>
      </x:c>
      <x:c r="C14" s="26" t="n">
        <x:v>8</x:v>
      </x:c>
      <x:c r="D14" s="26" t="str">
        <x:v>water-zero chain</x:v>
      </x:c>
      <x:c r="E14" s="34" t="str"/>
      <x:c r="F14" s="34" t="str"/>
      <x:c r="G14" s="26" t="str"/>
      <x:c r="H14" s="26" t="str">
        <x:f>IF(G14="","OPEN",IF(OR(E14="",F14="",'Controls'!$D$78=""),"FAIL",IF(AND('Controls'!$D$78&gt;=E14,'Controls'!$D$78&lt;=F14),"PASS","EXPIRED")))</x:f>
        <x:v>OPEN</x:v>
      </x:c>
    </x:row>
    <x:row r="15">
      <x:c r="B15" s="26" t="str">
        <x:v>XP-09</x:v>
      </x:c>
      <x:c r="C15" s="26" t="n">
        <x:v>9</x:v>
      </x:c>
      <x:c r="D15" s="26" t="str">
        <x:v>metrology roots</x:v>
      </x:c>
      <x:c r="E15" s="34" t="str"/>
      <x:c r="F15" s="34" t="str"/>
      <x:c r="G15" s="26" t="str"/>
      <x:c r="H15" s="26" t="str">
        <x:f>IF(G15="","OPEN",IF(OR(E15="",F15="",'Controls'!$D$78=""),"FAIL",IF(AND('Controls'!$D$78&gt;=E15,'Controls'!$D$78&lt;=F15),"PASS","EXPIRED")))</x:f>
        <x:v>OPEN</x:v>
      </x:c>
    </x:row>
    <x:row r="16">
      <x:c r="B16" s="26" t="str">
        <x:v>XP-10</x:v>
      </x:c>
      <x:c r="C16" s="26" t="n">
        <x:v>10</x:v>
      </x:c>
      <x:c r="D16" s="26" t="str">
        <x:v>safeing paths</x:v>
      </x:c>
      <x:c r="E16" s="34" t="str"/>
      <x:c r="F16" s="34" t="str"/>
      <x:c r="G16" s="26" t="str"/>
      <x:c r="H16" s="26" t="str">
        <x:f>IF(G16="","OPEN",IF(OR(E16="",F16="",'Controls'!$D$78=""),"FAIL",IF(AND('Controls'!$D$78&gt;=E16,'Controls'!$D$78&lt;=F16),"PASS","EXPIRED")))</x:f>
        <x:v>OPEN</x:v>
      </x:c>
    </x:row>
    <x:row r="17">
      <x:c r="B17" s="26" t="str">
        <x:v>XP-11</x:v>
      </x:c>
      <x:c r="C17" s="26" t="n">
        <x:v>11</x:v>
      </x:c>
      <x:c r="D17" s="26" t="str">
        <x:v>evidence originals</x:v>
      </x:c>
      <x:c r="E17" s="34" t="str"/>
      <x:c r="F17" s="34" t="str"/>
      <x:c r="G17" s="26" t="str"/>
      <x:c r="H17" s="26" t="str">
        <x:f>IF(G17="","OPEN",IF(OR(E17="",F17="",'Controls'!$D$78=""),"FAIL",IF(AND('Controls'!$D$78&gt;=E17,'Controls'!$D$78&lt;=F17),"PASS","EXPIRED")))</x:f>
        <x:v>OPEN</x:v>
      </x:c>
    </x:row>
    <x:row r="18">
      <x:c r="B18" s="26" t="str">
        <x:v>XP-12</x:v>
      </x:c>
      <x:c r="C18" s="26" t="n">
        <x:v>12</x:v>
      </x:c>
      <x:c r="D18" s="26" t="str">
        <x:v>rescue posture</x:v>
      </x:c>
      <x:c r="E18" s="34" t="str"/>
      <x:c r="F18" s="34" t="str"/>
      <x:c r="G18" s="26" t="str"/>
      <x:c r="H18" s="26" t="str">
        <x:f>IF(G18="","OPEN",IF(OR(E18="",F18="",'Controls'!$D$78=""),"FAIL",IF(AND('Controls'!$D$78&gt;=E18,'Controls'!$D$78&lt;=F18),"PASS","EXPIRED")))</x:f>
        <x:v>OPEN</x:v>
      </x:c>
    </x:row>
  </x:sheetData>
  <x:conditionalFormatting sqref="H7:H18">
    <x:cfRule type="containsText" dxfId="315" priority="1" operator="containsText" text="FAIL"/>
    <x:cfRule type="containsText" dxfId="316" priority="2" operator="containsText" text="BLOCKED"/>
    <x:cfRule type="containsText" dxfId="317" priority="3" operator="containsText" text="INVALID"/>
    <x:cfRule type="containsText" dxfId="318" priority="4" operator="containsText" text="ADVERSE"/>
    <x:cfRule type="containsText" dxfId="319" priority="5" operator="containsText" text="EXPIRED"/>
    <x:cfRule type="containsText" dxfId="320" priority="6" operator="containsText" text="OPEN"/>
    <x:cfRule type="containsText" dxfId="321" priority="7" operator="containsText" text="DORMANT"/>
    <x:cfRule type="containsText" dxfId="322" priority="8" operator="containsText" text="PASS"/>
    <x:cfRule type="containsText" dxfId="323" priority="9" operator="containsText" text="AVAILABLE"/>
  </x:conditionalFormatting>
  <x:pageMargins left="0.7" right="0.7" top="0.75" bottom="0.75" header="0.3" footer="0.3"/>
</x:worksheet>
</file>

<file path=xl/worksheets/sheet43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5" hidden="0" customWidth="1"/>
    <x:col min="3" max="3" width="12" hidden="0" customWidth="1"/>
    <x:col min="4" max="4" width="49" hidden="0" customWidth="1"/>
    <x:col min="5" max="5" width="19" hidden="0" customWidth="1"/>
    <x:col min="6" max="6" width="20" hidden="0" customWidth="1"/>
    <x:col min="7" max="7" width="21" hidden="0" customWidth="1"/>
    <x:col min="8" max="8" width="14" hidden="0" customWidth="1"/>
  </x:cols>
  <x:sheetData>
    <x:row r="2">
      <x:c r="B2" s="39" t="str">
        <x:v>Twenty-four conjunctive RAY-1 release gates</x:v>
      </x:c>
      <x:c r="C2" s="26"/>
      <x:c r="D2" s="26"/>
      <x:c r="E2" s="26"/>
      <x:c r="F2" s="26"/>
      <x:c r="G2" s="26"/>
      <x:c r="H2" s="26"/>
    </x:row>
    <x:row r="3">
      <x:c r="B3" s="40" t="str">
        <x:v>The first event closes only when issue, execution, adjudication, replay and regeneration are complete. No gate is averaged.</x:v>
      </x:c>
      <x:c r="C3" s="26"/>
      <x:c r="D3" s="26"/>
      <x:c r="E3" s="26"/>
      <x:c r="F3" s="26"/>
      <x:c r="G3" s="26"/>
      <x:c r="H3" s="26"/>
    </x:row>
    <x:row r="4">
      <x:c r="B4" s="26"/>
      <x:c r="C4" s="26"/>
      <x:c r="D4" s="26"/>
      <x:c r="E4" s="26"/>
      <x:c r="F4" s="26"/>
      <x:c r="G4" s="26"/>
      <x:c r="H4" s="26"/>
    </x:row>
    <x:row r="5">
      <x:c r="B5" s="26"/>
      <x:c r="C5" s="26"/>
      <x:c r="D5" s="26"/>
      <x:c r="E5" s="26"/>
      <x:c r="F5" s="26"/>
      <x:c r="G5" s="26"/>
      <x:c r="H5" s="26"/>
    </x:row>
    <x:row r="6" ht="24" customHeight="1">
      <x:c r="B6" s="41" t="str">
        <x:v>Gate</x:v>
      </x:c>
      <x:c r="C6" s="41" t="str">
        <x:v>Sequence</x:v>
      </x:c>
      <x:c r="D6" s="41" t="str">
        <x:v>Requirement</x:v>
      </x:c>
      <x:c r="E6" s="41" t="str">
        <x:v>Required state</x:v>
      </x:c>
      <x:c r="F6" s="41" t="str">
        <x:v>Observed state</x:v>
      </x:c>
      <x:c r="G6" s="41" t="str">
        <x:v>Board accepted UTC</x:v>
      </x:c>
      <x:c r="H6" s="41" t="str">
        <x:v>State</x:v>
      </x:c>
    </x:row>
    <x:row r="7">
      <x:c r="B7" s="26" t="str">
        <x:v>GT-01</x:v>
      </x:c>
      <x:c r="C7" s="26" t="n">
        <x:v>1</x:v>
      </x:c>
      <x:c r="D7" s="26" t="str">
        <x:v>RAX release current</x:v>
      </x:c>
      <x:c r="E7" s="26" t="str">
        <x:v>PASS</x:v>
      </x:c>
      <x:c r="F7" s="26" t="str">
        <x:f>IF(AND('Controls'!$D$82="PASS",'Controls'!$D$78&lt;='Controls'!$D$81),"PASS","OPEN")</x:f>
        <x:v>OPEN</x:v>
      </x:c>
      <x:c r="G7" s="26" t="str"/>
      <x:c r="H7" s="26" t="str">
        <x:f>IF(G7="","OPEN",IF(F7=E7,"PASS","FAIL"))</x:f>
        <x:v>OPEN</x:v>
      </x:c>
    </x:row>
    <x:row r="8">
      <x:c r="B8" s="26" t="str">
        <x:v>GT-02</x:v>
      </x:c>
      <x:c r="C8" s="26" t="n">
        <x:v>2</x:v>
      </x:c>
      <x:c r="D8" s="26" t="str">
        <x:v>twenty-four cells eligible</x:v>
      </x:c>
      <x:c r="E8" s="26" t="str">
        <x:v>PASS</x:v>
      </x:c>
      <x:c r="F8" s="26" t="str">
        <x:f>IF(COUNTIFS('Candidate Cells'!O7:O30,"FAIL")+COUNTIFS('Candidate Cells'!O7:O30,"EXPIRED")&gt;0,"FAIL",IF(COUNTIFS('Candidate Cells'!O7:O30,"PASS")=24,"PASS","OPEN"))</x:f>
        <x:v>OPEN</x:v>
      </x:c>
      <x:c r="G8" s="26" t="str"/>
      <x:c r="H8" s="26" t="str">
        <x:f>IF(G8="","OPEN",IF(F8=E8,"PASS","FAIL"))</x:f>
        <x:v>OPEN</x:v>
      </x:c>
    </x:row>
    <x:row r="9">
      <x:c r="B9" s="26" t="str">
        <x:v>GT-03</x:v>
      </x:c>
      <x:c r="C9" s="26" t="n">
        <x:v>3</x:v>
      </x:c>
      <x:c r="D9" s="26" t="str">
        <x:v>draw commitments complete</x:v>
      </x:c>
      <x:c r="E9" s="26" t="str">
        <x:v>PASS</x:v>
      </x:c>
      <x:c r="F9" s="26" t="str">
        <x:f>IF(COUNTIFS('Draw Commitments'!J7:J12,"FAIL")&gt;0,"FAIL",IF(COUNTIFS('Draw Commitments'!J7:J12,"PASS")=6,"PASS","OPEN"))</x:f>
        <x:v>OPEN</x:v>
      </x:c>
      <x:c r="G9" s="26" t="str"/>
      <x:c r="H9" s="26" t="str">
        <x:f>IF(G9="","OPEN",IF(F9=E9,"PASS","FAIL"))</x:f>
        <x:v>OPEN</x:v>
      </x:c>
    </x:row>
    <x:row r="10">
      <x:c r="B10" s="26" t="str">
        <x:v>GT-04</x:v>
      </x:c>
      <x:c r="C10" s="26" t="n">
        <x:v>4</x:v>
      </x:c>
      <x:c r="D10" s="26" t="str">
        <x:v>selected cell accepted</x:v>
      </x:c>
      <x:c r="E10" s="26" t="str">
        <x:v>PASS</x:v>
      </x:c>
      <x:c r="F10" s="26" t="str">
        <x:f>'Event Selection'!J7</x:f>
        <x:v>OPEN</x:v>
      </x:c>
      <x:c r="G10" s="26" t="str"/>
      <x:c r="H10" s="26" t="str">
        <x:f>IF(G10="","OPEN",IF(F10=E10,"PASS","FAIL"))</x:f>
        <x:v>OPEN</x:v>
      </x:c>
    </x:row>
    <x:row r="11">
      <x:c r="B11" s="26" t="str">
        <x:v>GT-05</x:v>
      </x:c>
      <x:c r="C11" s="26" t="n">
        <x:v>5</x:v>
      </x:c>
      <x:c r="D11" s="26" t="str">
        <x:v>event state reservation complete</x:v>
      </x:c>
      <x:c r="E11" s="26" t="str">
        <x:v>PASS</x:v>
      </x:c>
      <x:c r="F11" s="26" t="str">
        <x:f>IF(COUNTIFS('Event State'!H7:H14,"FAIL")&gt;0,"FAIL",IF(COUNTIFS('Event State'!H7:H14,"PASS")=8,"PASS","OPEN"))</x:f>
        <x:v>OPEN</x:v>
      </x:c>
      <x:c r="G11" s="26" t="str"/>
      <x:c r="H11" s="26" t="str">
        <x:f>IF(G11="","OPEN",IF(F11=E11,"PASS","FAIL"))</x:f>
        <x:v>OPEN</x:v>
      </x:c>
    </x:row>
    <x:row r="12">
      <x:c r="B12" s="26" t="str">
        <x:v>GT-06</x:v>
      </x:c>
      <x:c r="C12" s="26" t="n">
        <x:v>6</x:v>
      </x:c>
      <x:c r="D12" s="26" t="str">
        <x:v>dossier bindings complete</x:v>
      </x:c>
      <x:c r="E12" s="26" t="str">
        <x:v>PASS</x:v>
      </x:c>
      <x:c r="F12" s="26" t="str">
        <x:f>IF(COUNTIFS('Dossier Bindings'!J7:J198,"FAIL")&gt;0,"FAIL",IF(COUNTIFS('Dossier Bindings'!J7:J198,"PASS")=192,"PASS","OPEN"))</x:f>
        <x:v>OPEN</x:v>
      </x:c>
      <x:c r="G12" s="26" t="str"/>
      <x:c r="H12" s="26" t="str">
        <x:f>IF(G12="","OPEN",IF(F12=E12,"PASS","FAIL"))</x:f>
        <x:v>OPEN</x:v>
      </x:c>
    </x:row>
    <x:row r="13">
      <x:c r="B13" s="26" t="str">
        <x:v>GT-07</x:v>
      </x:c>
      <x:c r="C13" s="26" t="n">
        <x:v>7</x:v>
      </x:c>
      <x:c r="D13" s="26" t="str">
        <x:v>event crew complete</x:v>
      </x:c>
      <x:c r="E13" s="26" t="str">
        <x:v>PASS</x:v>
      </x:c>
      <x:c r="F13" s="26" t="str">
        <x:f>IF(COUNTIFS('Event Crew'!J7:J46,"FAIL")&gt;0,"FAIL",IF(COUNTIFS('Event Crew'!J7:J46,"PASS")=40,"PASS","OPEN"))</x:f>
        <x:v>OPEN</x:v>
      </x:c>
      <x:c r="G13" s="26" t="str"/>
      <x:c r="H13" s="26" t="str">
        <x:f>IF(G13="","OPEN",IF(F13=E13,"PASS","FAIL"))</x:f>
        <x:v>OPEN</x:v>
      </x:c>
    </x:row>
    <x:row r="14">
      <x:c r="B14" s="26" t="str">
        <x:v>GT-08</x:v>
      </x:c>
      <x:c r="C14" s="26" t="n">
        <x:v>8</x:v>
      </x:c>
      <x:c r="D14" s="26" t="str">
        <x:v>event issue valid</x:v>
      </x:c>
      <x:c r="E14" s="26" t="str">
        <x:v>PASS</x:v>
      </x:c>
      <x:c r="F14" s="26" t="str">
        <x:f>'Event Issue'!J7</x:f>
        <x:v>OPEN</x:v>
      </x:c>
      <x:c r="G14" s="26" t="str"/>
      <x:c r="H14" s="26" t="str">
        <x:f>IF(G14="","OPEN",IF(F14=E14,"PASS","FAIL"))</x:f>
        <x:v>OPEN</x:v>
      </x:c>
    </x:row>
    <x:row r="15">
      <x:c r="B15" s="26" t="str">
        <x:v>GT-09</x:v>
      </x:c>
      <x:c r="C15" s="26" t="n">
        <x:v>9</x:v>
      </x:c>
      <x:c r="D15" s="26" t="str">
        <x:v>configuration freeze complete</x:v>
      </x:c>
      <x:c r="E15" s="26" t="str">
        <x:v>PASS</x:v>
      </x:c>
      <x:c r="F15" s="26" t="str">
        <x:f>IF(COUNTIFS('Configuration Freeze'!I7:I30,"FAIL")&gt;0,"FAIL",IF(COUNTIFS('Configuration Freeze'!I7:I30,"PASS")=24,"PASS","OPEN"))</x:f>
        <x:v>OPEN</x:v>
      </x:c>
      <x:c r="G15" s="26" t="str"/>
      <x:c r="H15" s="26" t="str">
        <x:f>IF(G15="","OPEN",IF(F15=E15,"PASS","FAIL"))</x:f>
        <x:v>OPEN</x:v>
      </x:c>
    </x:row>
    <x:row r="16">
      <x:c r="B16" s="26" t="str">
        <x:v>GT-10</x:v>
      </x:c>
      <x:c r="C16" s="26" t="n">
        <x:v>10</x:v>
      </x:c>
      <x:c r="D16" s="26" t="str">
        <x:v>zero-source checks complete</x:v>
      </x:c>
      <x:c r="E16" s="26" t="str">
        <x:v>PASS</x:v>
      </x:c>
      <x:c r="F16" s="26" t="str">
        <x:f>IF(COUNTIFS('Zero Source'!I7:I18,"FAIL")&gt;0,"FAIL",IF(COUNTIFS('Zero Source'!I7:I18,"PASS")=12,"PASS","OPEN"))</x:f>
        <x:v>OPEN</x:v>
      </x:c>
      <x:c r="G16" s="26" t="str"/>
      <x:c r="H16" s="26" t="str">
        <x:f>IF(G16="","OPEN",IF(F16=E16,"PASS","FAIL"))</x:f>
        <x:v>OPEN</x:v>
      </x:c>
    </x:row>
    <x:row r="17">
      <x:c r="B17" s="26" t="str">
        <x:v>GT-11</x:v>
      </x:c>
      <x:c r="C17" s="26" t="n">
        <x:v>11</x:v>
      </x:c>
      <x:c r="D17" s="26" t="str">
        <x:v>zero-water checks complete</x:v>
      </x:c>
      <x:c r="E17" s="26" t="str">
        <x:v>PASS</x:v>
      </x:c>
      <x:c r="F17" s="26" t="str">
        <x:f>IF(COUNTIFS('Zero Water'!I7:I16,"FAIL")&gt;0,"FAIL",IF(COUNTIFS('Zero Water'!I7:I16,"PASS")=10,"PASS","OPEN"))</x:f>
        <x:v>OPEN</x:v>
      </x:c>
      <x:c r="G17" s="26" t="str"/>
      <x:c r="H17" s="26" t="str">
        <x:f>IF(G17="","OPEN",IF(F17=E17,"PASS","FAIL"))</x:f>
        <x:v>OPEN</x:v>
      </x:c>
    </x:row>
    <x:row r="18">
      <x:c r="B18" s="26" t="str">
        <x:v>GT-12</x:v>
      </x:c>
      <x:c r="C18" s="26" t="n">
        <x:v>12</x:v>
      </x:c>
      <x:c r="D18" s="26" t="str">
        <x:v>uncertainty decisions complete</x:v>
      </x:c>
      <x:c r="E18" s="26" t="str">
        <x:v>PASS</x:v>
      </x:c>
      <x:c r="F18" s="26" t="str">
        <x:f>IF(COUNTIFS('Uncertainty Summary'!I7:I10,"FAIL")&gt;0,"FAIL",IF(COUNTIFS('Uncertainty Summary'!I7:I10,"PASS")=4,"PASS","OPEN"))</x:f>
        <x:v>OPEN</x:v>
      </x:c>
      <x:c r="G18" s="26" t="str"/>
      <x:c r="H18" s="26" t="str">
        <x:f>IF(G18="","OPEN",IF(F18=E18,"PASS","FAIL"))</x:f>
        <x:v>OPEN</x:v>
      </x:c>
    </x:row>
    <x:row r="19">
      <x:c r="B19" s="26" t="str">
        <x:v>GT-13</x:v>
      </x:c>
      <x:c r="C19" s="26" t="n">
        <x:v>13</x:v>
      </x:c>
      <x:c r="D19" s="26" t="str">
        <x:v>measurement windows complete</x:v>
      </x:c>
      <x:c r="E19" s="26" t="str">
        <x:v>PASS</x:v>
      </x:c>
      <x:c r="F19" s="26" t="str">
        <x:f>IF(COUNTIFS('Measurement Windows'!M7:M102,"FAIL")&gt;0,"FAIL",IF(COUNTIFS('Measurement Windows'!M7:M102,"PASS")=96,"PASS","OPEN"))</x:f>
        <x:v>OPEN</x:v>
      </x:c>
      <x:c r="G19" s="26" t="str"/>
      <x:c r="H19" s="26" t="str">
        <x:f>IF(G19="","OPEN",IF(F19=E19,"PASS","FAIL"))</x:f>
        <x:v>OPEN</x:v>
      </x:c>
    </x:row>
    <x:row r="20">
      <x:c r="B20" s="26" t="str">
        <x:v>GT-14</x:v>
      </x:c>
      <x:c r="C20" s="26" t="n">
        <x:v>14</x:v>
      </x:c>
      <x:c r="D20" s="26" t="str">
        <x:v>neighbor proofs complete</x:v>
      </x:c>
      <x:c r="E20" s="26" t="str">
        <x:v>PASS</x:v>
      </x:c>
      <x:c r="F20" s="26" t="str">
        <x:f>IF(COUNTIFS('Neighbor Proofs'!I7:I9,"FAIL")&gt;0,"FAIL",IF(COUNTIFS('Neighbor Proofs'!I7:I9,"PASS")=3,"PASS","OPEN"))</x:f>
        <x:v>OPEN</x:v>
      </x:c>
      <x:c r="G20" s="26" t="str"/>
      <x:c r="H20" s="26" t="str">
        <x:f>IF(G20="","OPEN",IF(F20=E20,"PASS","FAIL"))</x:f>
        <x:v>OPEN</x:v>
      </x:c>
    </x:row>
    <x:row r="21">
      <x:c r="B21" s="26" t="str">
        <x:v>GT-15</x:v>
      </x:c>
      <x:c r="C21" s="26" t="n">
        <x:v>15</x:v>
      </x:c>
      <x:c r="D21" s="26" t="str">
        <x:v>safeing polls complete</x:v>
      </x:c>
      <x:c r="E21" s="26" t="str">
        <x:v>PASS</x:v>
      </x:c>
      <x:c r="F21" s="26" t="str">
        <x:f>IF(COUNTIFS('Safeing Poll'!J7:J42,"FAIL")&gt;0,"FAIL",IF(COUNTIFS('Safeing Poll'!J7:J42,"PASS")=36,"PASS","OPEN"))</x:f>
        <x:v>OPEN</x:v>
      </x:c>
      <x:c r="G21" s="26" t="str"/>
      <x:c r="H21" s="26" t="str">
        <x:f>IF(G21="","OPEN",IF(F21=E21,"PASS","FAIL"))</x:f>
        <x:v>OPEN</x:v>
      </x:c>
    </x:row>
    <x:row r="22">
      <x:c r="B22" s="26" t="str">
        <x:v>GT-16</x:v>
      </x:c>
      <x:c r="C22" s="26" t="n">
        <x:v>16</x:v>
      </x:c>
      <x:c r="D22" s="26" t="str">
        <x:v>command transactions complete</x:v>
      </x:c>
      <x:c r="E22" s="26" t="str">
        <x:v>PASS</x:v>
      </x:c>
      <x:c r="F22" s="26" t="str">
        <x:f>IF(COUNTIFS('Command Transactions'!I7:I26,"FAIL")&gt;0,"FAIL",IF(COUNTIFS('Command Transactions'!I7:I26,"PASS")=20,"PASS","OPEN"))</x:f>
        <x:v>OPEN</x:v>
      </x:c>
      <x:c r="G22" s="26" t="str"/>
      <x:c r="H22" s="26" t="str">
        <x:f>IF(G22="","OPEN",IF(F22=E22,"PASS","FAIL"))</x:f>
        <x:v>OPEN</x:v>
      </x:c>
    </x:row>
    <x:row r="23">
      <x:c r="B23" s="26" t="str">
        <x:v>GT-17</x:v>
      </x:c>
      <x:c r="C23" s="26" t="n">
        <x:v>17</x:v>
      </x:c>
      <x:c r="D23" s="26" t="str">
        <x:v>phase clock complete</x:v>
      </x:c>
      <x:c r="E23" s="26" t="str">
        <x:v>PASS</x:v>
      </x:c>
      <x:c r="F23" s="26" t="str">
        <x:f>IF(COUNTIFS('Phase Clock'!I7:I30,"FAIL")&gt;0,"FAIL",IF(COUNTIFS('Phase Clock'!I7:I30,"PASS")=24,"PASS","OPEN"))</x:f>
        <x:v>OPEN</x:v>
      </x:c>
      <x:c r="G23" s="26" t="str"/>
      <x:c r="H23" s="26" t="str">
        <x:f>IF(G23="","OPEN",IF(F23=E23,"PASS","FAIL"))</x:f>
        <x:v>OPEN</x:v>
      </x:c>
    </x:row>
    <x:row r="24">
      <x:c r="B24" s="26" t="str">
        <x:v>GT-18</x:v>
      </x:c>
      <x:c r="C24" s="26" t="n">
        <x:v>18</x:v>
      </x:c>
      <x:c r="D24" s="26" t="str">
        <x:v>holds complete</x:v>
      </x:c>
      <x:c r="E24" s="26" t="str">
        <x:v>PASS</x:v>
      </x:c>
      <x:c r="F24" s="26" t="str">
        <x:f>IF(COUNTIFS(Holds!I7:I38,"FAIL")&gt;0,"FAIL",IF(COUNTIFS(Holds!I7:I38,"PASS")=32,"PASS","OPEN"))</x:f>
        <x:v>OPEN</x:v>
      </x:c>
      <x:c r="G24" s="26" t="str"/>
      <x:c r="H24" s="26" t="str">
        <x:f>IF(G24="","OPEN",IF(F24=E24,"PASS","FAIL"))</x:f>
        <x:v>OPEN</x:v>
      </x:c>
    </x:row>
    <x:row r="25">
      <x:c r="B25" s="26" t="str">
        <x:v>GT-19</x:v>
      </x:c>
      <x:c r="C25" s="26" t="n">
        <x:v>19</x:v>
      </x:c>
      <x:c r="D25" s="26" t="str">
        <x:v>evidence obligations complete</x:v>
      </x:c>
      <x:c r="E25" s="26" t="str">
        <x:v>PASS</x:v>
      </x:c>
      <x:c r="F25" s="26" t="str">
        <x:f>IF(COUNTIFS('Evidence Obligations'!I7:I18,"FAIL")&gt;0,"FAIL",IF(COUNTIFS('Evidence Obligations'!I7:I18,"PASS")=12,"PASS","OPEN"))</x:f>
        <x:v>OPEN</x:v>
      </x:c>
      <x:c r="G25" s="26" t="str"/>
      <x:c r="H25" s="26" t="str">
        <x:f>IF(G25="","OPEN",IF(F25=E25,"PASS","FAIL"))</x:f>
        <x:v>OPEN</x:v>
      </x:c>
    </x:row>
    <x:row r="26">
      <x:c r="B26" s="26" t="str">
        <x:v>GT-20</x:v>
      </x:c>
      <x:c r="C26" s="26" t="n">
        <x:v>20</x:v>
      </x:c>
      <x:c r="D26" s="26" t="str">
        <x:v>blank samples complete</x:v>
      </x:c>
      <x:c r="E26" s="26" t="str">
        <x:v>PASS</x:v>
      </x:c>
      <x:c r="F26" s="26" t="str">
        <x:f>IF(COUNTIFS('Blank Samples'!K7:K12,"FAIL")&gt;0,"FAIL",IF(COUNTIFS('Blank Samples'!K7:K12,"PASS")=6,"PASS","OPEN"))</x:f>
        <x:v>OPEN</x:v>
      </x:c>
      <x:c r="G26" s="26" t="str"/>
      <x:c r="H26" s="26" t="str">
        <x:f>IF(G26="","OPEN",IF(F26=E26,"PASS","FAIL"))</x:f>
        <x:v>OPEN</x:v>
      </x:c>
    </x:row>
    <x:row r="27">
      <x:c r="B27" s="26" t="str">
        <x:v>GT-21</x:v>
      </x:c>
      <x:c r="C27" s="26" t="n">
        <x:v>21</x:v>
      </x:c>
      <x:c r="D27" s="26" t="str">
        <x:v>abort system complete</x:v>
      </x:c>
      <x:c r="E27" s="26" t="str">
        <x:v>PASS</x:v>
      </x:c>
      <x:c r="F27" s="26" t="str">
        <x:f>IF(COUNTIFS('Abort Conditions'!J7:J26,"FAIL")&gt;0,"FAIL",IF(COUNTIFS('Abort Conditions'!J7:J26,"PASS")=20,"PASS","OPEN"))</x:f>
        <x:v>OPEN</x:v>
      </x:c>
      <x:c r="G27" s="26" t="str"/>
      <x:c r="H27" s="26" t="str">
        <x:f>IF(G27="","OPEN",IF(F27=E27,"PASS","FAIL"))</x:f>
        <x:v>OPEN</x:v>
      </x:c>
    </x:row>
    <x:row r="28">
      <x:c r="B28" s="26" t="str">
        <x:v>GT-22</x:v>
      </x:c>
      <x:c r="C28" s="26" t="n">
        <x:v>22</x:v>
      </x:c>
      <x:c r="D28" s="26" t="str">
        <x:v>interventions classified</x:v>
      </x:c>
      <x:c r="E28" s="26" t="str">
        <x:v>PASS</x:v>
      </x:c>
      <x:c r="F28" s="26" t="str">
        <x:f>IF(COUNTIFS('Intervention Rules'!J7:J18,"FAIL")&gt;0,"FAIL",IF(COUNTIFS('Intervention Rules'!J7:J18,"PASS")=12,"PASS","OPEN"))</x:f>
        <x:v>OPEN</x:v>
      </x:c>
      <x:c r="G28" s="26" t="str"/>
      <x:c r="H28" s="26" t="str">
        <x:f>IF(G28="","OPEN",IF(F28=E28,"PASS","FAIL"))</x:f>
        <x:v>OPEN</x:v>
      </x:c>
    </x:row>
    <x:row r="29">
      <x:c r="B29" s="26" t="str">
        <x:v>GT-23</x:v>
      </x:c>
      <x:c r="C29" s="26" t="n">
        <x:v>23</x:v>
      </x:c>
      <x:c r="D29" s="26" t="str">
        <x:v>event result accepted</x:v>
      </x:c>
      <x:c r="E29" s="26" t="str">
        <x:v>PASS</x:v>
      </x:c>
      <x:c r="F29" s="26" t="str">
        <x:f>'Event Result'!K7</x:f>
        <x:v>OPEN</x:v>
      </x:c>
      <x:c r="G29" s="26" t="str"/>
      <x:c r="H29" s="26" t="str">
        <x:f>IF(G29="","OPEN",IF(F29=E29,"PASS","FAIL"))</x:f>
        <x:v>OPEN</x:v>
      </x:c>
    </x:row>
    <x:row r="30">
      <x:c r="B30" s="26" t="str">
        <x:v>GT-24</x:v>
      </x:c>
      <x:c r="C30" s="26" t="n">
        <x:v>24</x:v>
      </x:c>
      <x:c r="D30" s="26" t="str">
        <x:v>regeneration and reentry complete</x:v>
      </x:c>
      <x:c r="E30" s="26" t="str">
        <x:v>PASS</x:v>
      </x:c>
      <x:c r="F30" s="26" t="str">
        <x:f>IF(OR(COUNTIFS('Event Observations'!K7:K18,"FAIL")&gt;0,COUNTIFS('Source Ledger'!K7:K13,"FAIL")&gt;0,COUNTIFS('Water Ledger'!K7:K14,"FAIL")&gt;0,COUNTIFS('Recovery States'!I7:I16,"FAIL")&gt;0,COUNTIFS('Regeneration Tasks'!J7:J42,"FAIL")&gt;0,COUNTIFS('Regression Tests'!I7:I30,"FAIL")&gt;0,COUNTIFS('Reentry Decisions'!I7:I12,"FAIL")&gt;0,COUNTIFS('Evidence Replay'!J7:J18,"FAIL")&gt;0,COUNTIFS('Expiry Ledger'!H7:H18,"FAIL")&gt;0,COUNTIFS('Expiry Ledger'!H7:H18,"EXPIRED")&gt;0,COUNTIFS(Exceptions!J7:J22,"OPEN")&gt;0,COUNTIFS(Exceptions!J7:J22,"FAIL")&gt;0,COUNTIFS('Change Control'!J7:J18,"OPEN")&gt;0,COUNTIFS('Change Control'!J7:J18,"FAIL")&gt;0),"FAIL",IF(AND(COUNTIFS('Event Observations'!K7:K18,"PASS")=12,COUNTIFS('Source Ledger'!K7:K13,"PASS")=7,COUNTIFS('Water Ledger'!K7:K14,"PASS")=8,COUNTIFS('Recovery States'!I7:I16,"PASS")=10,COUNTIFS('Regeneration Tasks'!J7:J42,"PASS")=36,COUNTIFS('Regression Tests'!I7:I30,"PASS")=24,COUNTIFS('Reentry Decisions'!I7:I12,"PASS")=6,COUNTIFS('Evidence Replay'!J7:J18,"PASS")=12,COUNTIFS('Expiry Ledger'!H7:H18,"PASS")=12),"PASS","OPEN"))</x:f>
        <x:v>OPEN</x:v>
      </x:c>
      <x:c r="G30" s="26" t="str"/>
      <x:c r="H30" s="26" t="str">
        <x:f>IF(G30="","OPEN",IF(F30=E30,"PASS","FAIL"))</x:f>
        <x:v>OPEN</x:v>
      </x:c>
    </x:row>
  </x:sheetData>
  <x:conditionalFormatting sqref="H7:H30">
    <x:cfRule type="containsText" dxfId="324" priority="1" operator="containsText" text="FAIL"/>
    <x:cfRule type="containsText" dxfId="325" priority="2" operator="containsText" text="BLOCKED"/>
    <x:cfRule type="containsText" dxfId="326" priority="3" operator="containsText" text="INVALID"/>
    <x:cfRule type="containsText" dxfId="327" priority="4" operator="containsText" text="ADVERSE"/>
    <x:cfRule type="containsText" dxfId="328" priority="5" operator="containsText" text="EXPIRED"/>
    <x:cfRule type="containsText" dxfId="329" priority="6" operator="containsText" text="OPEN"/>
    <x:cfRule type="containsText" dxfId="330" priority="7" operator="containsText" text="DORMANT"/>
    <x:cfRule type="containsText" dxfId="331" priority="8" operator="containsText" text="PASS"/>
    <x:cfRule type="containsText" dxfId="332" priority="9" operator="containsText" text="AVAILABLE"/>
  </x:conditionalFormatting>
  <x:pageMargins left="0.7" right="0.7" top="0.75" bottom="0.75" header="0.3" footer="0.3"/>
</x:worksheet>
</file>

<file path=xl/worksheets/sheet44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22" hidden="0" customWidth="1"/>
    <x:col min="3" max="3" width="22" hidden="0" customWidth="1"/>
    <x:col min="4" max="4" width="20" hidden="0" customWidth="1"/>
    <x:col min="5" max="5" width="22" hidden="0" customWidth="1"/>
    <x:col min="6" max="6" width="14" hidden="0" customWidth="1"/>
  </x:cols>
  <x:sheetData>
    <x:row r="2">
      <x:c r="B2" s="22" t="str">
        <x:v>Three bounded event decisions</x:v>
      </x:c>
      <x:c r="C2" s="23"/>
      <x:c r="D2" s="23"/>
      <x:c r="E2" s="23"/>
      <x:c r="F2" s="23"/>
    </x:row>
    <x:row r="3">
      <x:c r="B3" s="24" t="str">
        <x:v>RAY-1 can close one event, one credit and one resource-return chain. It cannot release the QE-01 class or QE-02.</x:v>
      </x:c>
      <x:c r="C3" s="23"/>
      <x:c r="D3" s="23"/>
      <x:c r="E3" s="23"/>
      <x:c r="F3" s="23"/>
    </x:row>
    <x:row r="4">
      <x:c r="B4" s="23"/>
      <x:c r="C4" s="23"/>
      <x:c r="D4" s="23"/>
      <x:c r="E4" s="23"/>
      <x:c r="F4" s="23"/>
    </x:row>
    <x:row r="5">
      <x:c r="B5" s="23"/>
      <x:c r="C5" s="23"/>
      <x:c r="D5" s="23"/>
      <x:c r="E5" s="23"/>
      <x:c r="F5" s="23"/>
    </x:row>
    <x:row r="6" ht="24" customHeight="1">
      <x:c r="B6" s="6" t="str">
        <x:v>Decision</x:v>
      </x:c>
      <x:c r="C6" s="6" t="str">
        <x:v>Required count</x:v>
      </x:c>
      <x:c r="D6" s="6" t="str">
        <x:v>Passing count</x:v>
      </x:c>
      <x:c r="E6" s="6" t="str">
        <x:v>Board accepted UTC</x:v>
      </x:c>
      <x:c r="F6" s="6" t="str">
        <x:v>State</x:v>
      </x:c>
    </x:row>
    <x:row r="7">
      <x:c r="B7" s="26" t="str">
        <x:v>RAY-CLOSED</x:v>
      </x:c>
      <x:c r="C7" s="26" t="n">
        <x:v>24</x:v>
      </x:c>
      <x:c r="D7" s="26" t="n">
        <x:f>COUNTIFS('Release Gates'!H7:H30,"PASS")</x:f>
        <x:v>0</x:v>
      </x:c>
      <x:c r="E7" s="26" t="str"/>
      <x:c r="F7" s="26" t="str">
        <x:f>IF(E7="","OPEN",IF(D7=C7,"PASS","FAIL"))</x:f>
        <x:v>OPEN</x:v>
      </x:c>
    </x:row>
    <x:row r="8">
      <x:c r="B8" s="26" t="str">
        <x:v>QE01-CREDIT</x:v>
      </x:c>
      <x:c r="C8" s="26" t="n">
        <x:v>1</x:v>
      </x:c>
      <x:c r="D8" s="26" t="n">
        <x:f>COUNTIFS('Event Result'!K7,"PASS")</x:f>
        <x:v>0</x:v>
      </x:c>
      <x:c r="E8" s="26" t="str"/>
      <x:c r="F8" s="26" t="str">
        <x:f>IF(E8="","OPEN",IF(D8=C8,"PASS","FAIL"))</x:f>
        <x:v>OPEN</x:v>
      </x:c>
    </x:row>
    <x:row r="9">
      <x:c r="B9" s="26" t="str">
        <x:v>PAIR-RETURNED</x:v>
      </x:c>
      <x:c r="C9" s="26" t="n">
        <x:v>6</x:v>
      </x:c>
      <x:c r="D9" s="26" t="n">
        <x:f>COUNTIFS('Reentry Decisions'!I7:I12,"PASS")</x:f>
        <x:v>0</x:v>
      </x:c>
      <x:c r="E9" s="26" t="str"/>
      <x:c r="F9" s="26" t="str">
        <x:f>IF(E9="","OPEN",IF(D9=C9,"PASS","FAIL"))</x:f>
        <x:v>OPEN</x:v>
      </x:c>
    </x:row>
  </x:sheetData>
  <x:conditionalFormatting sqref="F7:F9">
    <x:cfRule type="containsText" dxfId="333" priority="1" operator="containsText" text="FAIL"/>
    <x:cfRule type="containsText" dxfId="334" priority="2" operator="containsText" text="BLOCKED"/>
    <x:cfRule type="containsText" dxfId="335" priority="3" operator="containsText" text="INVALID"/>
    <x:cfRule type="containsText" dxfId="336" priority="4" operator="containsText" text="ADVERSE"/>
    <x:cfRule type="containsText" dxfId="337" priority="5" operator="containsText" text="EXPIRED"/>
    <x:cfRule type="containsText" dxfId="338" priority="6" operator="containsText" text="OPEN"/>
    <x:cfRule type="containsText" dxfId="339" priority="7" operator="containsText" text="DORMANT"/>
    <x:cfRule type="containsText" dxfId="340" priority="8" operator="containsText" text="PASS"/>
    <x:cfRule type="containsText" dxfId="341" priority="9" operator="containsText" text="AVAILABLE"/>
  </x:conditionalFormatting>
  <x:pageMargins left="0.7" right="0.7" top="0.75" bottom="0.75" header="0.3" footer="0.3"/>
</x:worksheet>
</file>

<file path=xl/worksheets/sheet45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6" hidden="0" customWidth="1"/>
    <x:col min="3" max="3" width="65" hidden="0" customWidth="1"/>
    <x:col min="4" max="4" width="18" hidden="0" customWidth="1"/>
    <x:col min="5" max="5" width="33" hidden="0" customWidth="1"/>
  </x:cols>
  <x:sheetData>
    <x:row r="2">
      <x:c r="B2" s="22" t="str">
        <x:v>Ten conditions still required before the first source-bearing event</x:v>
      </x:c>
      <x:c r="C2" s="23"/>
      <x:c r="D2" s="23"/>
      <x:c r="E2" s="23"/>
    </x:row>
    <x:row r="3">
      <x:c r="B3" s="24" t="str">
        <x:v>A successful first QE-01 attempt cannot satisfy any source-bearing obligation.</x:v>
      </x:c>
      <x:c r="C3" s="23"/>
      <x:c r="D3" s="23"/>
      <x:c r="E3" s="23"/>
    </x:row>
    <x:row r="4">
      <x:c r="B4" s="23"/>
      <x:c r="C4" s="23"/>
      <x:c r="D4" s="23"/>
      <x:c r="E4" s="23"/>
    </x:row>
    <x:row r="5">
      <x:c r="B5" s="23"/>
      <x:c r="C5" s="23"/>
      <x:c r="D5" s="23"/>
      <x:c r="E5" s="23"/>
    </x:row>
    <x:row r="6" ht="24" customHeight="1">
      <x:c r="B6" s="6" t="str">
        <x:v>Condition</x:v>
      </x:c>
      <x:c r="C6" s="6" t="str">
        <x:v>Requirement</x:v>
      </x:c>
      <x:c r="D6" s="6" t="str">
        <x:v>Current state</x:v>
      </x:c>
      <x:c r="E6" s="6" t="str">
        <x:v>Authority</x:v>
      </x:c>
    </x:row>
    <x:row r="7">
      <x:c r="B7" s="26" t="str">
        <x:v>Q2-01</x:v>
      </x:c>
      <x:c r="C7" s="26" t="str">
        <x:v>complete twenty-four-event QE-01 class</x:v>
      </x:c>
      <x:c r="D7" s="26" t="str">
        <x:v>BLOCKED</x:v>
      </x:c>
      <x:c r="E7" s="26" t="str">
        <x:v>future QE-01/QE-02 boards</x:v>
      </x:c>
    </x:row>
    <x:row r="8">
      <x:c r="B8" s="26" t="str">
        <x:v>Q2-02</x:v>
      </x:c>
      <x:c r="C8" s="26" t="str">
        <x:v>separate QE-01 class board</x:v>
      </x:c>
      <x:c r="D8" s="26" t="str">
        <x:v>BLOCKED</x:v>
      </x:c>
      <x:c r="E8" s="26" t="str">
        <x:v>future QE-01/QE-02 boards</x:v>
      </x:c>
    </x:row>
    <x:row r="9">
      <x:c r="B9" s="26" t="str">
        <x:v>Q2-03</x:v>
      </x:c>
      <x:c r="C9" s="26" t="str">
        <x:v>accepted 100 kg source package</x:v>
      </x:c>
      <x:c r="D9" s="26" t="str">
        <x:v>BLOCKED</x:v>
      </x:c>
      <x:c r="E9" s="26" t="str">
        <x:v>future QE-01/QE-02 boards</x:v>
      </x:c>
    </x:row>
    <x:row r="10">
      <x:c r="B10" s="26" t="str">
        <x:v>Q2-04</x:v>
      </x:c>
      <x:c r="C10" s="26" t="str">
        <x:v>accepted source characteristics</x:v>
      </x:c>
      <x:c r="D10" s="26" t="str">
        <x:v>BLOCKED</x:v>
      </x:c>
      <x:c r="E10" s="26" t="str">
        <x:v>future QE-01/QE-02 boards</x:v>
      </x:c>
    </x:row>
    <x:row r="11">
      <x:c r="B11" s="26" t="str">
        <x:v>Q2-05</x:v>
      </x:c>
      <x:c r="C11" s="26" t="str">
        <x:v>accepted source uncertainty budget</x:v>
      </x:c>
      <x:c r="D11" s="26" t="str">
        <x:v>BLOCKED</x:v>
      </x:c>
      <x:c r="E11" s="26" t="str">
        <x:v>future QE-01/QE-02 boards</x:v>
      </x:c>
    </x:row>
    <x:row r="12">
      <x:c r="B12" s="26" t="str">
        <x:v>Q2-06</x:v>
      </x:c>
      <x:c r="C12" s="26" t="str">
        <x:v>source custody and reserve token</x:v>
      </x:c>
      <x:c r="D12" s="26" t="str">
        <x:v>BLOCKED</x:v>
      </x:c>
      <x:c r="E12" s="26" t="str">
        <x:v>future QE-01/QE-02 boards</x:v>
      </x:c>
    </x:row>
    <x:row r="13">
      <x:c r="B13" s="26" t="str">
        <x:v>Q2-07</x:v>
      </x:c>
      <x:c r="C13" s="26" t="str">
        <x:v>100 kg route and receiver proof</x:v>
      </x:c>
      <x:c r="D13" s="26" t="str">
        <x:v>BLOCKED</x:v>
      </x:c>
      <x:c r="E13" s="26" t="str">
        <x:v>future QE-01/QE-02 boards</x:v>
      </x:c>
    </x:row>
    <x:row r="14">
      <x:c r="B14" s="26" t="str">
        <x:v>Q2-08</x:v>
      </x:c>
      <x:c r="C14" s="26" t="str">
        <x:v>source-bearing sample plan</x:v>
      </x:c>
      <x:c r="D14" s="26" t="str">
        <x:v>BLOCKED</x:v>
      </x:c>
      <x:c r="E14" s="26" t="str">
        <x:v>future QE-01/QE-02 boards</x:v>
      </x:c>
    </x:row>
    <x:row r="15">
      <x:c r="B15" s="26" t="str">
        <x:v>Q2-09</x:v>
      </x:c>
      <x:c r="C15" s="26" t="str">
        <x:v>QE-02 event-specific readiness</x:v>
      </x:c>
      <x:c r="D15" s="26" t="str">
        <x:v>BLOCKED</x:v>
      </x:c>
      <x:c r="E15" s="26" t="str">
        <x:v>future QE-01/QE-02 boards</x:v>
      </x:c>
    </x:row>
    <x:row r="16">
      <x:c r="B16" s="26" t="str">
        <x:v>Q2-10</x:v>
      </x:c>
      <x:c r="C16" s="26" t="str">
        <x:v>separate QE-02 issue authority</x:v>
      </x:c>
      <x:c r="D16" s="26" t="str">
        <x:v>BLOCKED</x:v>
      </x:c>
      <x:c r="E16" s="26" t="str">
        <x:v>future QE-01/QE-02 boards</x:v>
      </x:c>
    </x:row>
  </x:sheetData>
  <x:conditionalFormatting sqref="D7:D16">
    <x:cfRule type="containsText" dxfId="342" priority="1" operator="containsText" text="FAIL"/>
    <x:cfRule type="containsText" dxfId="343" priority="2" operator="containsText" text="BLOCKED"/>
    <x:cfRule type="containsText" dxfId="344" priority="3" operator="containsText" text="INVALID"/>
    <x:cfRule type="containsText" dxfId="345" priority="4" operator="containsText" text="ADVERSE"/>
    <x:cfRule type="containsText" dxfId="346" priority="5" operator="containsText" text="EXPIRED"/>
    <x:cfRule type="containsText" dxfId="347" priority="6" operator="containsText" text="OPEN"/>
    <x:cfRule type="containsText" dxfId="348" priority="7" operator="containsText" text="DORMANT"/>
    <x:cfRule type="containsText" dxfId="349" priority="8" operator="containsText" text="PASS"/>
    <x:cfRule type="containsText" dxfId="350" priority="9" operator="containsText" text="AVAILABLE"/>
  </x:conditionalFormatting>
  <x:pageMargins left="0.7" right="0.7" top="0.75" bottom="0.75" header="0.3" footer="0.3"/>
</x:worksheet>
</file>

<file path=xl/worksheets/sheet46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5" hidden="0" customWidth="1"/>
    <x:col min="3" max="3" width="21" hidden="0" customWidth="1"/>
    <x:col min="4" max="4" width="78" hidden="0" customWidth="1"/>
    <x:col min="5" max="5" width="14" hidden="0" customWidth="1"/>
  </x:cols>
  <x:sheetData>
    <x:row r="2">
      <x:c r="B2" s="22" t="str">
        <x:v>Fifteen first-event decision rules</x:v>
      </x:c>
      <x:c r="C2" s="23"/>
      <x:c r="D2" s="23"/>
      <x:c r="E2" s="23"/>
    </x:row>
    <x:row r="3">
      <x:c r="B3" s="24" t="str">
        <x:v>Rules are registered before selection and remain unchanged after observations exist.</x:v>
      </x:c>
      <x:c r="C3" s="23"/>
      <x:c r="D3" s="23"/>
      <x:c r="E3" s="23"/>
    </x:row>
    <x:row r="4">
      <x:c r="B4" s="23"/>
      <x:c r="C4" s="23"/>
      <x:c r="D4" s="23"/>
      <x:c r="E4" s="23"/>
    </x:row>
    <x:row r="5">
      <x:c r="B5" s="23"/>
      <x:c r="C5" s="23"/>
      <x:c r="D5" s="23"/>
      <x:c r="E5" s="23"/>
    </x:row>
    <x:row r="6" ht="24" customHeight="1">
      <x:c r="B6" s="6" t="str">
        <x:v>Rule</x:v>
      </x:c>
      <x:c r="C6" s="6" t="str">
        <x:v>Subject</x:v>
      </x:c>
      <x:c r="D6" s="6" t="str">
        <x:v>Decision</x:v>
      </x:c>
      <x:c r="E6" s="6" t="str">
        <x:v>State</x:v>
      </x:c>
    </x:row>
    <x:row r="7" ht="36" customHeight="1">
      <x:c r="B7" s="26" t="str">
        <x:v>DR-01</x:v>
      </x:c>
      <x:c r="C7" s="26" t="str">
        <x:v>selection</x:v>
      </x:c>
      <x:c r="D7" s="31" t="str">
        <x:v>all twenty-four cells pass before commitments reveal</x:v>
      </x:c>
      <x:c r="E7" s="26" t="str">
        <x:v>OPEN</x:v>
      </x:c>
    </x:row>
    <x:row r="8" ht="36" customHeight="1">
      <x:c r="B8" s="26" t="str">
        <x:v>DR-02</x:v>
      </x:c>
      <x:c r="C8" s="26" t="str">
        <x:v>issue</x:v>
      </x:c>
      <x:c r="D8" s="31" t="str">
        <x:v>one selected cell, 192 bindings and forty crew positions pass</x:v>
      </x:c>
      <x:c r="E8" s="26" t="str">
        <x:v>OPEN</x:v>
      </x:c>
    </x:row>
    <x:row r="9" ht="36" customHeight="1">
      <x:c r="B9" s="26" t="str">
        <x:v>DR-03</x:v>
      </x:c>
      <x:c r="C9" s="26" t="str">
        <x:v>zero source</x:v>
      </x:c>
      <x:c r="D9" s="31" t="str">
        <x:v>both unlike roots remain below 0.10 kg upper decision</x:v>
      </x:c>
      <x:c r="E9" s="26" t="str">
        <x:v>OPEN</x:v>
      </x:c>
    </x:row>
    <x:row r="10" ht="36" customHeight="1">
      <x:c r="B10" s="26" t="str">
        <x:v>DR-04</x:v>
      </x:c>
      <x:c r="C10" s="26" t="str">
        <x:v>zero water</x:v>
      </x:c>
      <x:c r="D10" s="31" t="str">
        <x:v>both unlike roots remain below 0.025 m3 upper decision</x:v>
      </x:c>
      <x:c r="E10" s="26" t="str">
        <x:v>OPEN</x:v>
      </x:c>
    </x:row>
    <x:row r="11" ht="36" customHeight="1">
      <x:c r="B11" s="26" t="str">
        <x:v>DR-05</x:v>
      </x:c>
      <x:c r="C11" s="26" t="str">
        <x:v>numeric presence</x:v>
      </x:c>
      <x:c r="D11" s="31" t="str">
        <x:v>every ledger and decisive observation contains a number</x:v>
      </x:c>
      <x:c r="E11" s="26" t="str">
        <x:v>OPEN</x:v>
      </x:c>
    </x:row>
    <x:row r="12" ht="36" customHeight="1">
      <x:c r="B12" s="26" t="str">
        <x:v>DR-06</x:v>
      </x:c>
      <x:c r="C12" s="26" t="str">
        <x:v>ignition</x:v>
      </x:c>
      <x:c r="D12" s="31" t="str">
        <x:v>every ignition command count equals zero</x:v>
      </x:c>
      <x:c r="E12" s="26" t="str">
        <x:v>OPEN</x:v>
      </x:c>
    </x:row>
    <x:row r="13" ht="36" customHeight="1">
      <x:c r="B13" s="26" t="str">
        <x:v>DR-07</x:v>
      </x:c>
      <x:c r="C13" s="26" t="str">
        <x:v>validity first</x:v>
      </x:c>
      <x:c r="D13" s="31" t="str">
        <x:v>validity board acts before outcome board</x:v>
      </x:c>
      <x:c r="E13" s="26" t="str">
        <x:v>OPEN</x:v>
      </x:c>
    </x:row>
    <x:row r="14" ht="36" customHeight="1">
      <x:c r="B14" s="26" t="str">
        <x:v>DR-08</x:v>
      </x:c>
      <x:c r="C14" s="26" t="str">
        <x:v>valid adverse</x:v>
      </x:c>
      <x:c r="D14" s="31" t="str">
        <x:v>retain and count; do not activate a reserve token</x:v>
      </x:c>
      <x:c r="E14" s="26" t="str">
        <x:v>OPEN</x:v>
      </x:c>
    </x:row>
    <x:row r="15" ht="36" customHeight="1">
      <x:c r="B15" s="26" t="str">
        <x:v>DR-09</x:v>
      </x:c>
      <x:c r="C15" s="26" t="str">
        <x:v>invalid attempt</x:v>
      </x:c>
      <x:c r="D15" s="31" t="str">
        <x:v>retain original; independent board may activate one QE-01 reserve</x:v>
      </x:c>
      <x:c r="E15" s="26" t="str">
        <x:v>OPEN</x:v>
      </x:c>
    </x:row>
    <x:row r="16" ht="36" customHeight="1">
      <x:c r="B16" s="26" t="str">
        <x:v>DR-10</x:v>
      </x:c>
      <x:c r="C16" s="26" t="str">
        <x:v>intervention</x:v>
      </x:c>
      <x:c r="D16" s="31" t="str">
        <x:v>protect life and site; classify causal and scoring effect</x:v>
      </x:c>
      <x:c r="E16" s="26" t="str">
        <x:v>OPEN</x:v>
      </x:c>
    </x:row>
    <x:row r="17" ht="36" customHeight="1">
      <x:c r="B17" s="26" t="str">
        <x:v>DR-11</x:v>
      </x:c>
      <x:c r="C17" s="26" t="str">
        <x:v>recovery order</x:v>
      </x:c>
      <x:c r="D17" s="31" t="str">
        <x:v>states one through ten remain sequential</x:v>
      </x:c>
      <x:c r="E17" s="26" t="str">
        <x:v>OPEN</x:v>
      </x:c>
    </x:row>
    <x:row r="18" ht="36" customHeight="1">
      <x:c r="B18" s="26" t="str">
        <x:v>DR-12</x:v>
      </x:c>
      <x:c r="C18" s="26" t="str">
        <x:v>technical restoration</x:v>
      </x:c>
      <x:c r="D18" s="31" t="str">
        <x:v>serialized baseline returns within seventy-two hours</x:v>
      </x:c>
      <x:c r="E18" s="26" t="str">
        <x:v>OPEN</x:v>
      </x:c>
    </x:row>
    <x:row r="19" ht="36" customHeight="1">
      <x:c r="B19" s="26" t="str">
        <x:v>DR-13</x:v>
      </x:c>
      <x:c r="C19" s="26" t="str">
        <x:v>reentry</x:v>
      </x:c>
      <x:c r="D19" s="31" t="str">
        <x:v>fresh six-part availability authority follows regression</x:v>
      </x:c>
      <x:c r="E19" s="26" t="str">
        <x:v>OPEN</x:v>
      </x:c>
    </x:row>
    <x:row r="20" ht="36" customHeight="1">
      <x:c r="B20" s="26" t="str">
        <x:v>DR-14</x:v>
      </x:c>
      <x:c r="C20" s="26" t="str">
        <x:v>remote replay</x:v>
      </x:c>
      <x:c r="D20" s="31" t="str">
        <x:v>all twelve packet classes agree at a non-origin campus</x:v>
      </x:c>
      <x:c r="E20" s="26" t="str">
        <x:v>OPEN</x:v>
      </x:c>
    </x:row>
    <x:row r="21" ht="36" customHeight="1">
      <x:c r="B21" s="26" t="str">
        <x:v>DR-15</x:v>
      </x:c>
      <x:c r="C21" s="26" t="str">
        <x:v>authority ceiling</x:v>
      </x:c>
      <x:c r="D21" s="31" t="str">
        <x:v>one QE-01 event only; every downstream release stays blocked</x:v>
      </x:c>
      <x:c r="E21" s="26" t="str">
        <x:v>OPEN</x:v>
      </x:c>
    </x:row>
  </x:sheetData>
  <x:conditionalFormatting sqref="E7:E21">
    <x:cfRule type="containsText" dxfId="351" priority="1" operator="containsText" text="FAIL"/>
    <x:cfRule type="containsText" dxfId="352" priority="2" operator="containsText" text="BLOCKED"/>
    <x:cfRule type="containsText" dxfId="353" priority="3" operator="containsText" text="INVALID"/>
    <x:cfRule type="containsText" dxfId="354" priority="4" operator="containsText" text="ADVERSE"/>
    <x:cfRule type="containsText" dxfId="355" priority="5" operator="containsText" text="EXPIRED"/>
    <x:cfRule type="containsText" dxfId="356" priority="6" operator="containsText" text="OPEN"/>
    <x:cfRule type="containsText" dxfId="357" priority="7" operator="containsText" text="DORMANT"/>
    <x:cfRule type="containsText" dxfId="358" priority="8" operator="containsText" text="PASS"/>
    <x:cfRule type="containsText" dxfId="359" priority="9" operator="containsText" text="AVAILABLE"/>
  </x:conditionalFormatting>
  <x:pageMargins left="0.7" right="0.7" top="0.75" bottom="0.75" header="0.3" footer="0.3"/>
</x:worksheet>
</file>

<file path=xl/worksheets/sheet47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5" hidden="0" customWidth="1"/>
    <x:col min="3" max="3" width="51" hidden="0" customWidth="1"/>
    <x:col min="4" max="4" width="76" hidden="0" customWidth="1"/>
    <x:col min="5" max="5" width="14" hidden="0" customWidth="1"/>
  </x:cols>
  <x:sheetData>
    <x:row r="2">
      <x:c r="B2" s="22" t="str">
        <x:v>Fifteen immediate event stops</x:v>
      </x:c>
      <x:c r="C2" s="23"/>
      <x:c r="D2" s="23"/>
      <x:c r="E2" s="23"/>
    </x:row>
    <x:row r="3">
      <x:c r="B3" s="24" t="str">
        <x:v>A stop preserves the meaning of later evidence. It does not authorize an administrative waiver.</x:v>
      </x:c>
      <x:c r="C3" s="23"/>
      <x:c r="D3" s="23"/>
      <x:c r="E3" s="23"/>
    </x:row>
    <x:row r="4">
      <x:c r="B4" s="23"/>
      <x:c r="C4" s="23"/>
      <x:c r="D4" s="23"/>
      <x:c r="E4" s="23"/>
    </x:row>
    <x:row r="5">
      <x:c r="B5" s="23"/>
      <x:c r="C5" s="23"/>
      <x:c r="D5" s="23"/>
      <x:c r="E5" s="23"/>
    </x:row>
    <x:row r="6" ht="24" customHeight="1">
      <x:c r="B6" s="6" t="str">
        <x:v>Rule</x:v>
      </x:c>
      <x:c r="C6" s="6" t="str">
        <x:v>Trigger</x:v>
      </x:c>
      <x:c r="D6" s="6" t="str">
        <x:v>Immediate action</x:v>
      </x:c>
      <x:c r="E6" s="6" t="str">
        <x:v>State</x:v>
      </x:c>
    </x:row>
    <x:row r="7" ht="38" customHeight="1">
      <x:c r="B7" s="26" t="str">
        <x:v>SR-01</x:v>
      </x:c>
      <x:c r="C7" s="31" t="str">
        <x:v>fewer than twenty-four eligible cells</x:v>
      </x:c>
      <x:c r="D7" s="31" t="str">
        <x:v>halt, isolate, preserve originals and route to the accountable board</x:v>
      </x:c>
      <x:c r="E7" s="26" t="str">
        <x:v>ACTIVE</x:v>
      </x:c>
    </x:row>
    <x:row r="8" ht="38" customHeight="1">
      <x:c r="B8" s="26" t="str">
        <x:v>SR-02</x:v>
      </x:c>
      <x:c r="C8" s="31" t="str">
        <x:v>commitment or reveal mismatch</x:v>
      </x:c>
      <x:c r="D8" s="31" t="str">
        <x:v>halt, isolate, preserve originals and route to the accountable board</x:v>
      </x:c>
      <x:c r="E8" s="26" t="str">
        <x:v>ACTIVE</x:v>
      </x:c>
    </x:row>
    <x:row r="9" ht="38" customHeight="1">
      <x:c r="B9" s="26" t="str">
        <x:v>SR-03</x:v>
      </x:c>
      <x:c r="C9" s="31" t="str">
        <x:v>selected index outside one through twenty-four</x:v>
      </x:c>
      <x:c r="D9" s="31" t="str">
        <x:v>halt, isolate, preserve originals and route to the accountable board</x:v>
      </x:c>
      <x:c r="E9" s="26" t="str">
        <x:v>ACTIVE</x:v>
      </x:c>
    </x:row>
    <x:row r="10" ht="38" customHeight="1">
      <x:c r="B10" s="26" t="str">
        <x:v>SR-04</x:v>
      </x:c>
      <x:c r="C10" s="31" t="str">
        <x:v>RAX readiness expired</x:v>
      </x:c>
      <x:c r="D10" s="31" t="str">
        <x:v>halt, isolate, preserve originals and route to the accountable board</x:v>
      </x:c>
      <x:c r="E10" s="26" t="str">
        <x:v>ACTIVE</x:v>
      </x:c>
    </x:row>
    <x:row r="11" ht="38" customHeight="1">
      <x:c r="B11" s="26" t="str">
        <x:v>SR-05</x:v>
      </x:c>
      <x:c r="C11" s="31" t="str">
        <x:v>dossier binding missing or mismatched</x:v>
      </x:c>
      <x:c r="D11" s="31" t="str">
        <x:v>halt, isolate, preserve originals and route to the accountable board</x:v>
      </x:c>
      <x:c r="E11" s="26" t="str">
        <x:v>ACTIVE</x:v>
      </x:c>
    </x:row>
    <x:row r="12" ht="38" customHeight="1">
      <x:c r="B12" s="26" t="str">
        <x:v>SR-06</x:v>
      </x:c>
      <x:c r="C12" s="31" t="str">
        <x:v>event crew incomplete</x:v>
      </x:c>
      <x:c r="D12" s="31" t="str">
        <x:v>halt, isolate, preserve originals and route to the accountable board</x:v>
      </x:c>
      <x:c r="E12" s="26" t="str">
        <x:v>ACTIVE</x:v>
      </x:c>
    </x:row>
    <x:row r="13" ht="38" customHeight="1">
      <x:c r="B13" s="26" t="str">
        <x:v>SR-07</x:v>
      </x:c>
      <x:c r="C13" s="31" t="str">
        <x:v>issue expired before T0</x:v>
      </x:c>
      <x:c r="D13" s="31" t="str">
        <x:v>halt, isolate, preserve originals and route to the accountable board</x:v>
      </x:c>
      <x:c r="E13" s="26" t="str">
        <x:v>ACTIVE</x:v>
      </x:c>
    </x:row>
    <x:row r="14" ht="38" customHeight="1">
      <x:c r="B14" s="26" t="str">
        <x:v>SR-08</x:v>
      </x:c>
      <x:c r="C14" s="31" t="str">
        <x:v>configuration changed after freeze</x:v>
      </x:c>
      <x:c r="D14" s="31" t="str">
        <x:v>halt, isolate, preserve originals and route to the accountable board</x:v>
      </x:c>
      <x:c r="E14" s="26" t="str">
        <x:v>ACTIVE</x:v>
      </x:c>
    </x:row>
    <x:row r="15" ht="38" customHeight="1">
      <x:c r="B15" s="26" t="str">
        <x:v>SR-09</x:v>
      </x:c>
      <x:c r="C15" s="31" t="str">
        <x:v>source detected or accessible</x:v>
      </x:c>
      <x:c r="D15" s="31" t="str">
        <x:v>halt, isolate, preserve originals and route to the accountable board</x:v>
      </x:c>
      <x:c r="E15" s="26" t="str">
        <x:v>ACTIVE</x:v>
      </x:c>
    </x:row>
    <x:row r="16" ht="38" customHeight="1">
      <x:c r="B16" s="26" t="str">
        <x:v>SR-10</x:v>
      </x:c>
      <x:c r="C16" s="31" t="str">
        <x:v>water detected or accessible</x:v>
      </x:c>
      <x:c r="D16" s="31" t="str">
        <x:v>halt, isolate, preserve originals and route to the accountable board</x:v>
      </x:c>
      <x:c r="E16" s="26" t="str">
        <x:v>ACTIVE</x:v>
      </x:c>
    </x:row>
    <x:row r="17" ht="38" customHeight="1">
      <x:c r="B17" s="26" t="str">
        <x:v>SR-11</x:v>
      </x:c>
      <x:c r="C17" s="31" t="str">
        <x:v>truth roots exceed ceiling or disagree</x:v>
      </x:c>
      <x:c r="D17" s="31" t="str">
        <x:v>halt, isolate, preserve originals and route to the accountable board</x:v>
      </x:c>
      <x:c r="E17" s="26" t="str">
        <x:v>ACTIVE</x:v>
      </x:c>
    </x:row>
    <x:row r="18" ht="38" customHeight="1">
      <x:c r="B18" s="26" t="str">
        <x:v>SR-12</x:v>
      </x:c>
      <x:c r="C18" s="31" t="str">
        <x:v>safeing path unavailable</x:v>
      </x:c>
      <x:c r="D18" s="31" t="str">
        <x:v>halt, isolate, preserve originals and route to the accountable board</x:v>
      </x:c>
      <x:c r="E18" s="26" t="str">
        <x:v>ACTIVE</x:v>
      </x:c>
    </x:row>
    <x:row r="19" ht="38" customHeight="1">
      <x:c r="B19" s="26" t="str">
        <x:v>SR-13</x:v>
      </x:c>
      <x:c r="C19" s="31" t="str">
        <x:v>evidence original or causal time lost</x:v>
      </x:c>
      <x:c r="D19" s="31" t="str">
        <x:v>halt, isolate, preserve originals and route to the accountable board</x:v>
      </x:c>
      <x:c r="E19" s="26" t="str">
        <x:v>ACTIVE</x:v>
      </x:c>
    </x:row>
    <x:row r="20" ht="38" customHeight="1">
      <x:c r="B20" s="26" t="str">
        <x:v>SR-14</x:v>
      </x:c>
      <x:c r="C20" s="31" t="str">
        <x:v>validity authority compromised</x:v>
      </x:c>
      <x:c r="D20" s="31" t="str">
        <x:v>halt, isolate, preserve originals and route to the accountable board</x:v>
      </x:c>
      <x:c r="E20" s="26" t="str">
        <x:v>ACTIVE</x:v>
      </x:c>
    </x:row>
    <x:row r="21" ht="38" customHeight="1">
      <x:c r="B21" s="26" t="str">
        <x:v>SR-15</x:v>
      </x:c>
      <x:c r="C21" s="31" t="str">
        <x:v>regeneration or reentry fails</x:v>
      </x:c>
      <x:c r="D21" s="31" t="str">
        <x:v>halt, isolate, preserve originals and route to the accountable board</x:v>
      </x:c>
      <x:c r="E21" s="26" t="str">
        <x:v>ACTIVE</x:v>
      </x:c>
    </x:row>
  </x:sheetData>
  <x:pageMargins left="0.7" right="0.7" top="0.75" bottom="0.75" header="0.3" footer="0.3"/>
</x:worksheet>
</file>

<file path=xl/worksheets/sheet48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22" hidden="0" customWidth="1"/>
    <x:col min="3" max="3" width="17" hidden="0" customWidth="1"/>
    <x:col min="4" max="4" width="17" hidden="0" customWidth="1"/>
    <x:col min="5" max="5" width="66" hidden="0" customWidth="1"/>
    <x:col min="6" max="6" width="22" hidden="0" customWidth="1"/>
    <x:col min="7" max="7" width="21" hidden="0" customWidth="1"/>
    <x:col min="8" max="8" width="14" hidden="0" customWidth="1"/>
  </x:cols>
  <x:sheetData>
    <x:row r="2">
      <x:c r="B2" s="22" t="str">
        <x:v>Fifty-eight-month release-aware establishment schedule</x:v>
      </x:c>
      <x:c r="C2" s="23"/>
      <x:c r="D2" s="23"/>
      <x:c r="E2" s="23"/>
      <x:c r="F2" s="23"/>
      <x:c r="G2" s="23"/>
      <x:c r="H2" s="23"/>
    </x:row>
    <x:row r="3">
      <x:c r="B3" s="24" t="str">
        <x:v>RAY-1 begins only after RAX-1 closes. The event adds four months and no physical predecessor work is credited early.</x:v>
      </x:c>
      <x:c r="C3" s="23"/>
      <x:c r="D3" s="23"/>
      <x:c r="E3" s="23"/>
      <x:c r="F3" s="23"/>
      <x:c r="G3" s="23"/>
      <x:c r="H3" s="23"/>
    </x:row>
    <x:row r="4">
      <x:c r="B4" s="23"/>
      <x:c r="C4" s="23"/>
      <x:c r="D4" s="23"/>
      <x:c r="E4" s="23"/>
      <x:c r="F4" s="23"/>
      <x:c r="G4" s="23"/>
      <x:c r="H4" s="23"/>
    </x:row>
    <x:row r="5">
      <x:c r="B5" s="23"/>
      <x:c r="C5" s="23"/>
      <x:c r="D5" s="23"/>
      <x:c r="E5" s="23"/>
      <x:c r="F5" s="23"/>
      <x:c r="G5" s="23"/>
      <x:c r="H5" s="23"/>
    </x:row>
    <x:row r="6" ht="24" customHeight="1">
      <x:c r="B6" s="6" t="str">
        <x:v>Stage</x:v>
      </x:c>
      <x:c r="C6" s="6" t="str">
        <x:v>Start month</x:v>
      </x:c>
      <x:c r="D6" s="6" t="str">
        <x:v>End month</x:v>
      </x:c>
      <x:c r="E6" s="6" t="str">
        <x:v>Work</x:v>
      </x:c>
      <x:c r="F6" s="6" t="str">
        <x:v>Authority class</x:v>
      </x:c>
      <x:c r="G6" s="6" t="str">
        <x:v>Accepted UTC</x:v>
      </x:c>
      <x:c r="H6" s="6" t="str">
        <x:v>State</x:v>
      </x:c>
    </x:row>
    <x:row r="7" ht="36" customHeight="1">
      <x:c r="B7" s="26" t="str">
        <x:v>RAC-1</x:v>
      </x:c>
      <x:c r="C7" s="26" t="n">
        <x:v>1</x:v>
      </x:c>
      <x:c r="D7" s="26" t="n">
        <x:v>18</x:v>
      </x:c>
      <x:c r="E7" s="31" t="str">
        <x:v>development construction constitution</x:v>
      </x:c>
      <x:c r="F7" s="26" t="str">
        <x:v>physical</x:v>
      </x:c>
      <x:c r="G7" s="26" t="str"/>
      <x:c r="H7" s="26" t="str">
        <x:v>OPEN</x:v>
      </x:c>
    </x:row>
    <x:row r="8" ht="36" customHeight="1">
      <x:c r="B8" s="26" t="str">
        <x:v>RAB-1</x:v>
      </x:c>
      <x:c r="C8" s="26" t="n">
        <x:v>19</x:v>
      </x:c>
      <x:c r="D8" s="26" t="n">
        <x:v>36</x:v>
      </x:c>
      <x:c r="E8" s="31" t="str">
        <x:v>development and destructive qualification</x:v>
      </x:c>
      <x:c r="F8" s="26" t="str">
        <x:v>physical</x:v>
      </x:c>
      <x:c r="G8" s="26" t="str"/>
      <x:c r="H8" s="26" t="str">
        <x:v>OPEN</x:v>
      </x:c>
    </x:row>
    <x:row r="9" ht="36" customHeight="1">
      <x:c r="B9" s="26" t="str">
        <x:v>RAQ-1 prep</x:v>
      </x:c>
      <x:c r="C9" s="26" t="n">
        <x:v>25</x:v>
      </x:c>
      <x:c r="D9" s="26" t="n">
        <x:v>36</x:v>
      </x:c>
      <x:c r="E9" s="31" t="str">
        <x:v>revocable site, tool and workforce preparation</x:v>
      </x:c>
      <x:c r="F9" s="26" t="str">
        <x:v>revocable</x:v>
      </x:c>
      <x:c r="G9" s="26" t="str"/>
      <x:c r="H9" s="26" t="str">
        <x:v>OPEN</x:v>
      </x:c>
    </x:row>
    <x:row r="10" ht="36" customHeight="1">
      <x:c r="B10" s="26" t="str">
        <x:v>RAQ-1 physical</x:v>
      </x:c>
      <x:c r="C10" s="26" t="n">
        <x:v>37</x:v>
      </x:c>
      <x:c r="D10" s="26" t="n">
        <x:v>48</x:v>
      </x:c>
      <x:c r="E10" s="31" t="str">
        <x:v>production-equivalent bank build and acceptance</x:v>
      </x:c>
      <x:c r="F10" s="26" t="str">
        <x:v>physical</x:v>
      </x:c>
      <x:c r="G10" s="26" t="str"/>
      <x:c r="H10" s="26" t="str">
        <x:v>OPEN</x:v>
      </x:c>
    </x:row>
    <x:row r="11" ht="36" customHeight="1">
      <x:c r="B11" s="26" t="str">
        <x:v>RAX-1 prep</x:v>
      </x:c>
      <x:c r="C11" s="26" t="n">
        <x:v>37</x:v>
      </x:c>
      <x:c r="D11" s="26" t="n">
        <x:v>48</x:v>
      </x:c>
      <x:c r="E11" s="31" t="str">
        <x:v>revocable rigs, crews, replay and logistics preparation</x:v>
      </x:c>
      <x:c r="F11" s="26" t="str">
        <x:v>revocable</x:v>
      </x:c>
      <x:c r="G11" s="26" t="str"/>
      <x:c r="H11" s="26" t="str">
        <x:v>OPEN</x:v>
      </x:c>
    </x:row>
    <x:row r="12" ht="36" customHeight="1">
      <x:c r="B12" s="26" t="str">
        <x:v>RAX-1 physical</x:v>
      </x:c>
      <x:c r="C12" s="26" t="n">
        <x:v>49</x:v>
      </x:c>
      <x:c r="D12" s="26" t="n">
        <x:v>54</x:v>
      </x:c>
      <x:c r="E12" s="31" t="str">
        <x:v>custody, rotation and campaign readiness</x:v>
      </x:c>
      <x:c r="F12" s="26" t="str">
        <x:v>physical</x:v>
      </x:c>
      <x:c r="G12" s="26" t="str"/>
      <x:c r="H12" s="26" t="str">
        <x:v>OPEN</x:v>
      </x:c>
    </x:row>
    <x:row r="13" ht="36" customHeight="1">
      <x:c r="B13" s="26" t="str">
        <x:v>RAY-1 preparation</x:v>
      </x:c>
      <x:c r="C13" s="26" t="n">
        <x:v>55</x:v>
      </x:c>
      <x:c r="D13" s="26" t="n">
        <x:v>56</x:v>
      </x:c>
      <x:c r="E13" s="31" t="str">
        <x:v>selection institution, event hardware and dossier preparation</x:v>
      </x:c>
      <x:c r="F13" s="26" t="str">
        <x:v>revocable until issue</x:v>
      </x:c>
      <x:c r="G13" s="26" t="str"/>
      <x:c r="H13" s="26" t="str">
        <x:v>OPEN</x:v>
      </x:c>
    </x:row>
    <x:row r="14" ht="36" customHeight="1">
      <x:c r="B14" s="26" t="str">
        <x:v>RAY-1 event</x:v>
      </x:c>
      <x:c r="C14" s="26" t="n">
        <x:v>57</x:v>
      </x:c>
      <x:c r="D14" s="26" t="n">
        <x:v>58</x:v>
      </x:c>
      <x:c r="E14" s="31" t="str">
        <x:v>freeze, issue, QE-01 execution, board and regeneration</x:v>
      </x:c>
      <x:c r="F14" s="26" t="str">
        <x:v>physical</x:v>
      </x:c>
      <x:c r="G14" s="26" t="str"/>
      <x:c r="H14" s="26" t="str">
        <x:v>OPEN</x:v>
      </x:c>
    </x:row>
  </x:sheetData>
  <x:conditionalFormatting sqref="H7:H14">
    <x:cfRule type="containsText" dxfId="360" priority="1" operator="containsText" text="FAIL"/>
    <x:cfRule type="containsText" dxfId="361" priority="2" operator="containsText" text="BLOCKED"/>
    <x:cfRule type="containsText" dxfId="362" priority="3" operator="containsText" text="INVALID"/>
    <x:cfRule type="containsText" dxfId="363" priority="4" operator="containsText" text="ADVERSE"/>
    <x:cfRule type="containsText" dxfId="364" priority="5" operator="containsText" text="EXPIRED"/>
    <x:cfRule type="containsText" dxfId="365" priority="6" operator="containsText" text="OPEN"/>
    <x:cfRule type="containsText" dxfId="366" priority="7" operator="containsText" text="DORMANT"/>
    <x:cfRule type="containsText" dxfId="367" priority="8" operator="containsText" text="PASS"/>
    <x:cfRule type="containsText" dxfId="368" priority="9" operator="containsText" text="AVAILABLE"/>
  </x:conditionalFormatting>
  <x:pageMargins left="0.7" right="0.7" top="0.75" bottom="0.75" header="0.3" footer="0.3"/>
</x:worksheet>
</file>

<file path=xl/worksheets/sheet49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31" hidden="0" customWidth="1"/>
    <x:col min="3" max="3" width="20" hidden="0" customWidth="1"/>
    <x:col min="4" max="4" width="22" hidden="0" customWidth="1"/>
    <x:col min="5" max="5" width="22" hidden="0" customWidth="1"/>
    <x:col min="6" max="6" width="17" hidden="0" customWidth="1"/>
    <x:col min="7" max="7" width="20" hidden="0" customWidth="1"/>
    <x:col min="8" max="8" width="22" hidden="0" customWidth="1"/>
    <x:col min="9" max="9" width="14" hidden="0" customWidth="1"/>
  </x:cols>
  <x:sheetData>
    <x:row r="2">
      <x:c r="B2" s="22" t="str">
        <x:v>First-event capacity reserve</x:v>
      </x:c>
      <x:c r="C2" s="23"/>
      <x:c r="D2" s="23"/>
      <x:c r="E2" s="23"/>
      <x:c r="F2" s="23"/>
      <x:c r="G2" s="23"/>
      <x:c r="H2" s="23"/>
      <x:c r="I2" s="23"/>
    </x:row>
    <x:row r="3">
      <x:c r="B3" s="24" t="str">
        <x:v>Base demand, one invalid-attempt reserve and available capacity remain separate. A valid adverse event does not consume reserve.</x:v>
      </x:c>
      <x:c r="C3" s="23"/>
      <x:c r="D3" s="23"/>
      <x:c r="E3" s="23"/>
      <x:c r="F3" s="23"/>
      <x:c r="G3" s="23"/>
      <x:c r="H3" s="23"/>
      <x:c r="I3" s="23"/>
    </x:row>
    <x:row r="4">
      <x:c r="B4" s="23"/>
      <x:c r="C4" s="23"/>
      <x:c r="D4" s="23"/>
      <x:c r="E4" s="23"/>
      <x:c r="F4" s="23"/>
      <x:c r="G4" s="23"/>
      <x:c r="H4" s="23"/>
      <x:c r="I4" s="23"/>
    </x:row>
    <x:row r="5">
      <x:c r="B5" s="23"/>
      <x:c r="C5" s="23"/>
      <x:c r="D5" s="23"/>
      <x:c r="E5" s="23"/>
      <x:c r="F5" s="23"/>
      <x:c r="G5" s="23"/>
      <x:c r="H5" s="23"/>
      <x:c r="I5" s="23"/>
    </x:row>
    <x:row r="6" ht="24" customHeight="1">
      <x:c r="B6" s="6" t="str">
        <x:v>Resource</x:v>
      </x:c>
      <x:c r="C6" s="6" t="str">
        <x:v>Base demand</x:v>
      </x:c>
      <x:c r="D6" s="6" t="str">
        <x:v>Protected reserve</x:v>
      </x:c>
      <x:c r="E6" s="6" t="str">
        <x:v>Available capacity</x:v>
      </x:c>
      <x:c r="F6" s="6" t="str">
        <x:v>Unit</x:v>
      </x:c>
      <x:c r="G6" s="6" t="str">
        <x:v>Base utilization</x:v>
      </x:c>
      <x:c r="H6" s="6" t="str">
        <x:v>Reserve utilization</x:v>
      </x:c>
      <x:c r="I6" s="6" t="str">
        <x:v>State</x:v>
      </x:c>
    </x:row>
    <x:row r="7">
      <x:c r="B7" s="26" t="str">
        <x:v>selected-rig time</x:v>
      </x:c>
      <x:c r="C7" s="26" t="n">
        <x:v>2</x:v>
      </x:c>
      <x:c r="D7" s="26" t="n">
        <x:v>2</x:v>
      </x:c>
      <x:c r="E7" s="26" t="n">
        <x:v>70.62</x:v>
      </x:c>
      <x:c r="F7" s="26" t="str">
        <x:v>rig-days</x:v>
      </x:c>
      <x:c r="G7" s="35" t="n">
        <x:f>C7/E7</x:f>
        <x:v>0.02832058906825262</x:v>
      </x:c>
      <x:c r="H7" s="35" t="n">
        <x:f>(C7+D7)/E7</x:f>
        <x:v>0.05664117813650524</x:v>
      </x:c>
      <x:c r="I7" s="26" t="str">
        <x:f>IF(AND(C7&lt;=E7,C7+D7&lt;=E7),"PASS","FAIL")</x:f>
        <x:v>PASS</x:v>
      </x:c>
    </x:row>
    <x:row r="8">
      <x:c r="B8" s="26" t="str">
        <x:v>native evidence</x:v>
      </x:c>
      <x:c r="C8" s="26" t="n">
        <x:v>117.659</x:v>
      </x:c>
      <x:c r="D8" s="26" t="n">
        <x:v>35.298</x:v>
      </x:c>
      <x:c r="E8" s="26" t="n">
        <x:v>200</x:v>
      </x:c>
      <x:c r="F8" s="26" t="str">
        <x:v>GB</x:v>
      </x:c>
      <x:c r="G8" s="35" t="n">
        <x:f>C8/E8</x:f>
        <x:v>0.588295</x:v>
      </x:c>
      <x:c r="H8" s="35" t="n">
        <x:f>(C8+D8)/E8</x:f>
        <x:v>0.7647849999999999</x:v>
      </x:c>
      <x:c r="I8" s="26" t="str">
        <x:f>IF(AND(C8&lt;=E8,C8+D8&lt;=E8),"PASS","FAIL")</x:f>
        <x:v>PASS</x:v>
      </x:c>
    </x:row>
    <x:row r="9">
      <x:c r="B9" s="26" t="str">
        <x:v>blank assays</x:v>
      </x:c>
      <x:c r="C9" s="26" t="n">
        <x:v>6</x:v>
      </x:c>
      <x:c r="D9" s="26" t="n">
        <x:v>6</x:v>
      </x:c>
      <x:c r="E9" s="26" t="n">
        <x:v>24</x:v>
      </x:c>
      <x:c r="F9" s="26" t="str">
        <x:v>assays</x:v>
      </x:c>
      <x:c r="G9" s="35" t="n">
        <x:f>C9/E9</x:f>
        <x:v>0.25</x:v>
      </x:c>
      <x:c r="H9" s="35" t="n">
        <x:f>(C9+D9)/E9</x:f>
        <x:v>0.5</x:v>
      </x:c>
      <x:c r="I9" s="26" t="str">
        <x:f>IF(AND(C9&lt;=E9,C9+D9&lt;=E9),"PASS","FAIL")</x:f>
        <x:v>PASS</x:v>
      </x:c>
    </x:row>
    <x:row r="10">
      <x:c r="B10" s="26" t="str">
        <x:v>safeing polls</x:v>
      </x:c>
      <x:c r="C10" s="26" t="n">
        <x:v>36</x:v>
      </x:c>
      <x:c r="D10" s="26" t="n">
        <x:v>36</x:v>
      </x:c>
      <x:c r="E10" s="26" t="n">
        <x:v>72</x:v>
      </x:c>
      <x:c r="F10" s="26" t="str">
        <x:v>polls</x:v>
      </x:c>
      <x:c r="G10" s="35" t="n">
        <x:f>C10/E10</x:f>
        <x:v>0.5</x:v>
      </x:c>
      <x:c r="H10" s="35" t="n">
        <x:f>(C10+D10)/E10</x:f>
        <x:v>1</x:v>
      </x:c>
      <x:c r="I10" s="26" t="str">
        <x:f>IF(AND(C10&lt;=E10,C10+D10&lt;=E10),"PASS","FAIL")</x:f>
        <x:v>PASS</x:v>
      </x:c>
    </x:row>
    <x:row r="11">
      <x:c r="B11" s="26" t="str">
        <x:v>remote replays</x:v>
      </x:c>
      <x:c r="C11" s="26" t="n">
        <x:v>12</x:v>
      </x:c>
      <x:c r="D11" s="26" t="n">
        <x:v>12</x:v>
      </x:c>
      <x:c r="E11" s="26" t="n">
        <x:v>24</x:v>
      </x:c>
      <x:c r="F11" s="26" t="str">
        <x:v>packets</x:v>
      </x:c>
      <x:c r="G11" s="35" t="n">
        <x:f>C11/E11</x:f>
        <x:v>0.5</x:v>
      </x:c>
      <x:c r="H11" s="35" t="n">
        <x:f>(C11+D11)/E11</x:f>
        <x:v>1</x:v>
      </x:c>
      <x:c r="I11" s="26" t="str">
        <x:f>IF(AND(C11&lt;=E11,C11+D11&lt;=E11),"PASS","FAIL")</x:f>
        <x:v>PASS</x:v>
      </x:c>
    </x:row>
    <x:row r="12">
      <x:c r="B12" s="26" t="str">
        <x:v>quarantine bays</x:v>
      </x:c>
      <x:c r="C12" s="26" t="n">
        <x:v>0</x:v>
      </x:c>
      <x:c r="D12" s="26" t="n">
        <x:v>1</x:v>
      </x:c>
      <x:c r="E12" s="26" t="n">
        <x:v>2</x:v>
      </x:c>
      <x:c r="F12" s="26" t="str">
        <x:v>bays</x:v>
      </x:c>
      <x:c r="G12" s="35" t="n">
        <x:f>C12/E12</x:f>
        <x:v>0</x:v>
      </x:c>
      <x:c r="H12" s="35" t="n">
        <x:f>(C12+D12)/E12</x:f>
        <x:v>0.5</x:v>
      </x:c>
      <x:c r="I12" s="26" t="str">
        <x:f>IF(AND(C12&lt;=E12,C12+D12&lt;=E12),"PASS","FAIL")</x:f>
        <x:v>PASS</x:v>
      </x:c>
    </x:row>
  </x:sheetData>
  <x:conditionalFormatting sqref="I7:I12">
    <x:cfRule type="containsText" dxfId="369" priority="1" operator="containsText" text="FAIL"/>
    <x:cfRule type="containsText" dxfId="370" priority="2" operator="containsText" text="BLOCKED"/>
    <x:cfRule type="containsText" dxfId="371" priority="3" operator="containsText" text="INVALID"/>
    <x:cfRule type="containsText" dxfId="372" priority="4" operator="containsText" text="ADVERSE"/>
    <x:cfRule type="containsText" dxfId="373" priority="5" operator="containsText" text="EXPIRED"/>
    <x:cfRule type="containsText" dxfId="374" priority="6" operator="containsText" text="OPEN"/>
    <x:cfRule type="containsText" dxfId="375" priority="7" operator="containsText" text="DORMANT"/>
    <x:cfRule type="containsText" dxfId="376" priority="8" operator="containsText" text="PASS"/>
    <x:cfRule type="containsText" dxfId="377" priority="9" operator="containsText" text="AVAILABLE"/>
  </x:conditionalFormatting>
  <x:pageMargins left="0.7" right="0.7" top="0.75" bottom="0.75" header="0.3" footer="0.3"/>
</x:worksheet>
</file>

<file path=xl/worksheets/sheet50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49" hidden="0" customWidth="1"/>
    <x:col min="3" max="3" width="19" hidden="0" customWidth="1"/>
    <x:col min="4" max="4" width="17" hidden="0" customWidth="1"/>
  </x:cols>
  <x:sheetData>
    <x:row r="2">
      <x:c r="B2" s="22" t="str">
        <x:v>RAY-1 capital allocation</x:v>
      </x:c>
      <x:c r="C2" s="23"/>
      <x:c r="D2" s="23"/>
    </x:row>
    <x:row r="3">
      <x:c r="B3" s="24" t="str">
        <x:v>The USD 12M tranche uses the remaining RAE-1 authority and creates hardware required for one governed zero-state event.</x:v>
      </x:c>
      <x:c r="C3" s="23"/>
      <x:c r="D3" s="23"/>
    </x:row>
    <x:row r="4">
      <x:c r="B4" s="23"/>
      <x:c r="C4" s="23"/>
      <x:c r="D4" s="23"/>
    </x:row>
    <x:row r="5">
      <x:c r="B5" s="23"/>
      <x:c r="C5" s="23"/>
      <x:c r="D5" s="23"/>
    </x:row>
    <x:row r="6" ht="24" customHeight="1">
      <x:c r="B6" s="6" t="str">
        <x:v>Capital line</x:v>
      </x:c>
      <x:c r="C6" s="6" t="str">
        <x:v>USD M</x:v>
      </x:c>
      <x:c r="D6" s="6" t="str">
        <x:v>Share</x:v>
      </x:c>
    </x:row>
    <x:row r="7">
      <x:c r="B7" s="26" t="str">
        <x:v>zero-state source sensing</x:v>
      </x:c>
      <x:c r="C7" s="26" t="n">
        <x:v>3</x:v>
      </x:c>
      <x:c r="D7" s="35" t="n">
        <x:f>C7/C16</x:f>
        <x:v>0.25</x:v>
      </x:c>
    </x:row>
    <x:row r="8">
      <x:c r="B8" s="26" t="str">
        <x:v>null-source capsule and dual barriers</x:v>
      </x:c>
      <x:c r="C8" s="26" t="n">
        <x:v>1.2</x:v>
      </x:c>
      <x:c r="D8" s="35" t="n">
        <x:f>C8/C16</x:f>
        <x:v>0.09999999999999999</x:v>
      </x:c>
    </x:row>
    <x:row r="9">
      <x:c r="B9" s="26" t="str">
        <x:v>zero-water and blank sampling</x:v>
      </x:c>
      <x:c r="C9" s="26" t="n">
        <x:v>1</x:v>
      </x:c>
      <x:c r="D9" s="35" t="n">
        <x:f>C9/C16</x:f>
        <x:v>0.08333333333333333</x:v>
      </x:c>
    </x:row>
    <x:row r="10">
      <x:c r="B10" s="26" t="str">
        <x:v>event-issue and state compiler</x:v>
      </x:c>
      <x:c r="C10" s="26" t="n">
        <x:v>1.5</x:v>
      </x:c>
      <x:c r="D10" s="35" t="n">
        <x:f>C10/C16</x:f>
        <x:v>0.125</x:v>
      </x:c>
    </x:row>
    <x:row r="11">
      <x:c r="B11" s="26" t="str">
        <x:v>native evidence and replay</x:v>
      </x:c>
      <x:c r="C11" s="26" t="n">
        <x:v>1.5</x:v>
      </x:c>
      <x:c r="D11" s="35" t="n">
        <x:f>C11/C16</x:f>
        <x:v>0.125</x:v>
      </x:c>
    </x:row>
    <x:row r="12">
      <x:c r="B12" s="26" t="str">
        <x:v>regeneration instrumentation</x:v>
      </x:c>
      <x:c r="C12" s="26" t="n">
        <x:v>1.2</x:v>
      </x:c>
      <x:c r="D12" s="35" t="n">
        <x:f>C12/C16</x:f>
        <x:v>0.09999999999999999</x:v>
      </x:c>
    </x:row>
    <x:row r="13">
      <x:c r="B13" s="26" t="str">
        <x:v>quarantine and decontamination</x:v>
      </x:c>
      <x:c r="C13" s="26" t="n">
        <x:v>0.8</x:v>
      </x:c>
      <x:c r="D13" s="35" t="n">
        <x:f>C13/C16</x:f>
        <x:v>0.06666666666666667</x:v>
      </x:c>
    </x:row>
    <x:row r="14">
      <x:c r="B14" s="26" t="str">
        <x:v>independent control upgrades</x:v>
      </x:c>
      <x:c r="C14" s="26" t="n">
        <x:v>0.8</x:v>
      </x:c>
      <x:c r="D14" s="35" t="n">
        <x:f>C14/C16</x:f>
        <x:v>0.06666666666666667</x:v>
      </x:c>
    </x:row>
    <x:row r="15">
      <x:c r="B15" s="26" t="str">
        <x:v>contingency</x:v>
      </x:c>
      <x:c r="C15" s="26" t="n">
        <x:v>1</x:v>
      </x:c>
      <x:c r="D15" s="35" t="n">
        <x:f>C15/C16</x:f>
        <x:v>0.08333333333333333</x:v>
      </x:c>
    </x:row>
    <x:row r="16">
      <x:c r="B16" s="25" t="str">
        <x:v>Total</x:v>
      </x:c>
      <x:c r="C16" s="25" t="n">
        <x:v>12</x:v>
      </x:c>
      <x:c r="D16" s="36" t="n">
        <x:v>1</x:v>
      </x:c>
    </x:row>
  </x:sheetData>
  <x:pageMargins left="0.7" right="0.7" top="0.75" bottom="0.75" header="0.3" footer="0.3"/>
</x:worksheet>
</file>

<file path=xl/worksheets/sheet51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49" hidden="0" customWidth="1"/>
    <x:col min="3" max="3" width="22" hidden="0" customWidth="1"/>
    <x:col min="4" max="4" width="17" hidden="0" customWidth="1"/>
  </x:cols>
  <x:sheetData>
    <x:row r="2">
      <x:c r="B2" s="22" t="str">
        <x:v>RAY-1 annual support</x:v>
      </x:c>
      <x:c r="C2" s="23"/>
      <x:c r="D2" s="23"/>
    </x:row>
    <x:row r="3">
      <x:c r="B3" s="24" t="str">
        <x:v>The USD 6M annual rate covers the event window, adjudication and return-to-readiness work.</x:v>
      </x:c>
      <x:c r="C3" s="23"/>
      <x:c r="D3" s="23"/>
    </x:row>
    <x:row r="4">
      <x:c r="B4" s="23"/>
      <x:c r="C4" s="23"/>
      <x:c r="D4" s="23"/>
    </x:row>
    <x:row r="5">
      <x:c r="B5" s="23"/>
      <x:c r="C5" s="23"/>
      <x:c r="D5" s="23"/>
    </x:row>
    <x:row r="6" ht="24" customHeight="1">
      <x:c r="B6" s="6" t="str">
        <x:v>Annual support line</x:v>
      </x:c>
      <x:c r="C6" s="6" t="str">
        <x:v>USD M/year</x:v>
      </x:c>
      <x:c r="D6" s="6" t="str">
        <x:v>Share</x:v>
      </x:c>
    </x:row>
    <x:row r="7">
      <x:c r="B7" s="26" t="str">
        <x:v>event crew and qualification</x:v>
      </x:c>
      <x:c r="C7" s="26" t="n">
        <x:v>2</x:v>
      </x:c>
      <x:c r="D7" s="35" t="n">
        <x:f>C7/C16</x:f>
        <x:v>0.3333333333333333</x:v>
      </x:c>
    </x:row>
    <x:row r="8">
      <x:c r="B8" s="26" t="str">
        <x:v>metrology and calibration</x:v>
      </x:c>
      <x:c r="C8" s="26" t="n">
        <x:v>0.8</x:v>
      </x:c>
      <x:c r="D8" s="35" t="n">
        <x:f>C8/C16</x:f>
        <x:v>0.13333333333333333</x:v>
      </x:c>
    </x:row>
    <x:row r="9">
      <x:c r="B9" s="26" t="str">
        <x:v>evidence and replay</x:v>
      </x:c>
      <x:c r="C9" s="26" t="n">
        <x:v>0.6</x:v>
      </x:c>
      <x:c r="D9" s="35" t="n">
        <x:f>C9/C16</x:f>
        <x:v>0.09999999999999999</x:v>
      </x:c>
    </x:row>
    <x:row r="10">
      <x:c r="B10" s="26" t="str">
        <x:v>recovery and regeneration</x:v>
      </x:c>
      <x:c r="C10" s="26" t="n">
        <x:v>0.8</x:v>
      </x:c>
      <x:c r="D10" s="35" t="n">
        <x:f>C10/C16</x:f>
        <x:v>0.13333333333333333</x:v>
      </x:c>
    </x:row>
    <x:row r="11">
      <x:c r="B11" s="26" t="str">
        <x:v>safety and rescue</x:v>
      </x:c>
      <x:c r="C11" s="26" t="n">
        <x:v>0.6</x:v>
      </x:c>
      <x:c r="D11" s="35" t="n">
        <x:f>C11/C16</x:f>
        <x:v>0.09999999999999999</x:v>
      </x:c>
    </x:row>
    <x:row r="12">
      <x:c r="B12" s="26" t="str">
        <x:v>independent boards</x:v>
      </x:c>
      <x:c r="C12" s="26" t="n">
        <x:v>0.4</x:v>
      </x:c>
      <x:c r="D12" s="35" t="n">
        <x:f>C12/C16</x:f>
        <x:v>0.06666666666666667</x:v>
      </x:c>
    </x:row>
    <x:row r="13">
      <x:c r="B13" s="26" t="str">
        <x:v>custody and blank assay</x:v>
      </x:c>
      <x:c r="C13" s="26" t="n">
        <x:v>0.3</x:v>
      </x:c>
      <x:c r="D13" s="35" t="n">
        <x:f>C13/C16</x:f>
        <x:v>0.049999999999999996</x:v>
      </x:c>
    </x:row>
    <x:row r="14">
      <x:c r="B14" s="26" t="str">
        <x:v>program operations</x:v>
      </x:c>
      <x:c r="C14" s="26" t="n">
        <x:v>0.2</x:v>
      </x:c>
      <x:c r="D14" s="35" t="n">
        <x:f>C14/C16</x:f>
        <x:v>0.03333333333333333</x:v>
      </x:c>
    </x:row>
    <x:row r="15">
      <x:c r="B15" s="26" t="str">
        <x:v>contingency</x:v>
      </x:c>
      <x:c r="C15" s="26" t="n">
        <x:v>0.3</x:v>
      </x:c>
      <x:c r="D15" s="35" t="n">
        <x:f>C15/C16</x:f>
        <x:v>0.049999999999999996</x:v>
      </x:c>
    </x:row>
    <x:row r="16">
      <x:c r="B16" s="25" t="str">
        <x:v>Total</x:v>
      </x:c>
      <x:c r="C16" s="25" t="n">
        <x:v>6</x:v>
      </x:c>
      <x:c r="D16" s="36" t="n">
        <x:v>1</x:v>
      </x:c>
    </x:row>
  </x:sheetData>
  <x:pageMargins left="0.7" right="0.7" top="0.75" bottom="0.75" header="0.3" footer="0.3"/>
</x:worksheet>
</file>

<file path=xl/worksheets/sheet52.xml><?xml version="1.0" encoding="utf-8"?>
<x:worksheet xmlns:x="http://schemas.openxmlformats.org/spreadsheetml/2006/main">
  <x:sheetViews>
    <x:sheetView showGridLines="0" workbookViewId="0">
      <x:pane xSplit="4" ySplit="6" topLeftCell="E7" activePane="bottomRight" state="frozen"/>
    </x:sheetView>
  </x:sheetViews>
  <x:sheetFormatPr defaultRowHeight="15"/>
  <x:cols>
    <x:col min="2" max="2" width="12" hidden="0" customWidth="1"/>
    <x:col min="3" max="3" width="18" hidden="0" customWidth="1"/>
    <x:col min="4" max="4" width="30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9" hidden="0" customWidth="1"/>
    <x:col min="16" max="16" width="25" hidden="0" customWidth="1"/>
  </x:cols>
  <x:sheetData>
    <x:row r="2">
      <x:c r="B2" s="22" t="str">
        <x:v>Fifty-eight-month stage cash profile</x:v>
      </x:c>
      <x:c r="C2" s="23"/>
      <x:c r="D2" s="23"/>
      <x:c r="E2" s="23"/>
      <x:c r="F2" s="23"/>
      <x:c r="G2" s="23"/>
      <x:c r="H2" s="23"/>
      <x:c r="I2" s="23"/>
      <x:c r="J2" s="23"/>
      <x:c r="K2" s="23"/>
      <x:c r="L2" s="23"/>
      <x:c r="M2" s="23"/>
      <x:c r="N2" s="23"/>
      <x:c r="O2" s="23"/>
      <x:c r="P2" s="23"/>
    </x:row>
    <x:row r="3">
      <x:c r="B3" s="24" t="str">
        <x:v>Capital and stage support follow physical and revocable work windows. The final quarter contains one month of RAY-1.</x:v>
      </x:c>
      <x:c r="C3" s="23"/>
      <x:c r="D3" s="23"/>
      <x:c r="E3" s="23"/>
      <x:c r="F3" s="23"/>
      <x:c r="G3" s="23"/>
      <x:c r="H3" s="23"/>
      <x:c r="I3" s="23"/>
      <x:c r="J3" s="23"/>
      <x:c r="K3" s="23"/>
      <x:c r="L3" s="23"/>
      <x:c r="M3" s="23"/>
      <x:c r="N3" s="23"/>
      <x:c r="O3" s="23"/>
      <x:c r="P3" s="23"/>
    </x:row>
    <x:row r="4">
      <x:c r="B4" s="23"/>
      <x:c r="C4" s="23"/>
      <x:c r="D4" s="23"/>
      <x:c r="E4" s="23"/>
      <x:c r="F4" s="23"/>
      <x:c r="G4" s="23"/>
      <x:c r="H4" s="23"/>
      <x:c r="I4" s="23"/>
      <x:c r="J4" s="23"/>
      <x:c r="K4" s="23"/>
      <x:c r="L4" s="23"/>
      <x:c r="M4" s="23"/>
      <x:c r="N4" s="23"/>
      <x:c r="O4" s="23"/>
      <x:c r="P4" s="23"/>
    </x:row>
    <x:row r="5">
      <x:c r="B5" s="23"/>
      <x:c r="C5" s="23"/>
      <x:c r="D5" s="23"/>
      <x:c r="E5" s="23"/>
      <x:c r="F5" s="23"/>
      <x:c r="G5" s="23"/>
      <x:c r="H5" s="23"/>
      <x:c r="I5" s="23"/>
      <x:c r="J5" s="23"/>
      <x:c r="K5" s="23"/>
      <x:c r="L5" s="23"/>
      <x:c r="M5" s="23"/>
      <x:c r="N5" s="23"/>
      <x:c r="O5" s="23"/>
      <x:c r="P5" s="23"/>
    </x:row>
    <x:row r="6" ht="24" customHeight="1">
      <x:c r="B6" s="6" t="str">
        <x:v>Quarter</x:v>
      </x:c>
      <x:c r="C6" s="6" t="str">
        <x:v>Program months</x:v>
      </x:c>
      <x:c r="D6" s="6" t="str">
        <x:v>Active stages</x:v>
      </x:c>
      <x:c r="E6" s="6" t="str">
        <x:v>RAC capital</x:v>
      </x:c>
      <x:c r="F6" s="6" t="str">
        <x:v>RAC support</x:v>
      </x:c>
      <x:c r="G6" s="6" t="str">
        <x:v>RAB capital</x:v>
      </x:c>
      <x:c r="H6" s="6" t="str">
        <x:v>RAB support</x:v>
      </x:c>
      <x:c r="I6" s="6" t="str">
        <x:v>RAQ capital</x:v>
      </x:c>
      <x:c r="J6" s="6" t="str">
        <x:v>RAQ support</x:v>
      </x:c>
      <x:c r="K6" s="6" t="str">
        <x:v>RAX capital</x:v>
      </x:c>
      <x:c r="L6" s="6" t="str">
        <x:v>RAX support</x:v>
      </x:c>
      <x:c r="M6" s="6" t="str">
        <x:v>RAY capital</x:v>
      </x:c>
      <x:c r="N6" s="6" t="str">
        <x:v>RAY support</x:v>
      </x:c>
      <x:c r="O6" s="6" t="str">
        <x:v>Quarter spend</x:v>
      </x:c>
      <x:c r="P6" s="6" t="str">
        <x:v>Concurrent annual support</x:v>
      </x:c>
    </x:row>
    <x:row r="7">
      <x:c r="B7" s="26" t="str">
        <x:v>Q1</x:v>
      </x:c>
      <x:c r="C7" s="26" t="str">
        <x:v>1-3</x:v>
      </x:c>
      <x:c r="D7" s="26" t="str">
        <x:v>RAC-1</x:v>
      </x:c>
      <x:c r="E7" s="37" t="n">
        <x:v>10.666666666666666</x:v>
      </x:c>
      <x:c r="F7" s="37" t="n">
        <x:v>9.5</x:v>
      </x:c>
      <x:c r="G7" s="37" t="n">
        <x:v>0</x:v>
      </x:c>
      <x:c r="H7" s="37" t="n">
        <x:v>0</x:v>
      </x:c>
      <x:c r="I7" s="37" t="n">
        <x:v>0</x:v>
      </x:c>
      <x:c r="J7" s="37" t="n">
        <x:v>0</x:v>
      </x:c>
      <x:c r="K7" s="37" t="n">
        <x:v>0</x:v>
      </x:c>
      <x:c r="L7" s="37" t="n">
        <x:v>0</x:v>
      </x:c>
      <x:c r="M7" s="37" t="n">
        <x:v>0</x:v>
      </x:c>
      <x:c r="N7" s="37" t="n">
        <x:v>0</x:v>
      </x:c>
      <x:c r="O7" s="37" t="n">
        <x:f>SUM(E7:N7)</x:f>
        <x:v>20.166666666666664</x:v>
      </x:c>
      <x:c r="P7" s="37" t="n">
        <x:f>4*SUM(F7,H7,J7,L7,N7)</x:f>
        <x:v>38</x:v>
      </x:c>
    </x:row>
    <x:row r="8">
      <x:c r="B8" s="26" t="str">
        <x:v>Q2</x:v>
      </x:c>
      <x:c r="C8" s="26" t="str">
        <x:v>4-6</x:v>
      </x:c>
      <x:c r="D8" s="26" t="str">
        <x:v>RAC-1</x:v>
      </x:c>
      <x:c r="E8" s="37" t="n">
        <x:v>10.666666666666666</x:v>
      </x:c>
      <x:c r="F8" s="37" t="n">
        <x:v>9.5</x:v>
      </x:c>
      <x:c r="G8" s="37" t="n">
        <x:v>0</x:v>
      </x:c>
      <x:c r="H8" s="37" t="n">
        <x:v>0</x:v>
      </x:c>
      <x:c r="I8" s="37" t="n">
        <x:v>0</x:v>
      </x:c>
      <x:c r="J8" s="37" t="n">
        <x:v>0</x:v>
      </x:c>
      <x:c r="K8" s="37" t="n">
        <x:v>0</x:v>
      </x:c>
      <x:c r="L8" s="37" t="n">
        <x:v>0</x:v>
      </x:c>
      <x:c r="M8" s="37" t="n">
        <x:v>0</x:v>
      </x:c>
      <x:c r="N8" s="37" t="n">
        <x:v>0</x:v>
      </x:c>
      <x:c r="O8" s="37" t="n">
        <x:f>SUM(E8:N8)</x:f>
        <x:v>20.166666666666664</x:v>
      </x:c>
      <x:c r="P8" s="37" t="n">
        <x:f>4*SUM(F8,H8,J8,L8,N8)</x:f>
        <x:v>38</x:v>
      </x:c>
    </x:row>
    <x:row r="9">
      <x:c r="B9" s="26" t="str">
        <x:v>Q3</x:v>
      </x:c>
      <x:c r="C9" s="26" t="str">
        <x:v>7-9</x:v>
      </x:c>
      <x:c r="D9" s="26" t="str">
        <x:v>RAC-1</x:v>
      </x:c>
      <x:c r="E9" s="37" t="n">
        <x:v>10.666666666666666</x:v>
      </x:c>
      <x:c r="F9" s="37" t="n">
        <x:v>9.5</x:v>
      </x:c>
      <x:c r="G9" s="37" t="n">
        <x:v>0</x:v>
      </x:c>
      <x:c r="H9" s="37" t="n">
        <x:v>0</x:v>
      </x:c>
      <x:c r="I9" s="37" t="n">
        <x:v>0</x:v>
      </x:c>
      <x:c r="J9" s="37" t="n">
        <x:v>0</x:v>
      </x:c>
      <x:c r="K9" s="37" t="n">
        <x:v>0</x:v>
      </x:c>
      <x:c r="L9" s="37" t="n">
        <x:v>0</x:v>
      </x:c>
      <x:c r="M9" s="37" t="n">
        <x:v>0</x:v>
      </x:c>
      <x:c r="N9" s="37" t="n">
        <x:v>0</x:v>
      </x:c>
      <x:c r="O9" s="37" t="n">
        <x:f>SUM(E9:N9)</x:f>
        <x:v>20.166666666666664</x:v>
      </x:c>
      <x:c r="P9" s="37" t="n">
        <x:f>4*SUM(F9,H9,J9,L9,N9)</x:f>
        <x:v>38</x:v>
      </x:c>
    </x:row>
    <x:row r="10">
      <x:c r="B10" s="26" t="str">
        <x:v>Q4</x:v>
      </x:c>
      <x:c r="C10" s="26" t="str">
        <x:v>10-12</x:v>
      </x:c>
      <x:c r="D10" s="26" t="str">
        <x:v>RAC-1</x:v>
      </x:c>
      <x:c r="E10" s="37" t="n">
        <x:v>10.666666666666666</x:v>
      </x:c>
      <x:c r="F10" s="37" t="n">
        <x:v>9.5</x:v>
      </x:c>
      <x:c r="G10" s="37" t="n">
        <x:v>0</x:v>
      </x:c>
      <x:c r="H10" s="37" t="n">
        <x:v>0</x:v>
      </x:c>
      <x:c r="I10" s="37" t="n">
        <x:v>0</x:v>
      </x:c>
      <x:c r="J10" s="37" t="n">
        <x:v>0</x:v>
      </x:c>
      <x:c r="K10" s="37" t="n">
        <x:v>0</x:v>
      </x:c>
      <x:c r="L10" s="37" t="n">
        <x:v>0</x:v>
      </x:c>
      <x:c r="M10" s="37" t="n">
        <x:v>0</x:v>
      </x:c>
      <x:c r="N10" s="37" t="n">
        <x:v>0</x:v>
      </x:c>
      <x:c r="O10" s="37" t="n">
        <x:f>SUM(E10:N10)</x:f>
        <x:v>20.166666666666664</x:v>
      </x:c>
      <x:c r="P10" s="37" t="n">
        <x:f>4*SUM(F10,H10,J10,L10,N10)</x:f>
        <x:v>38</x:v>
      </x:c>
    </x:row>
    <x:row r="11">
      <x:c r="B11" s="26" t="str">
        <x:v>Q5</x:v>
      </x:c>
      <x:c r="C11" s="26" t="str">
        <x:v>13-15</x:v>
      </x:c>
      <x:c r="D11" s="26" t="str">
        <x:v>RAC-1</x:v>
      </x:c>
      <x:c r="E11" s="37" t="n">
        <x:v>10.666666666666666</x:v>
      </x:c>
      <x:c r="F11" s="37" t="n">
        <x:v>9.5</x:v>
      </x:c>
      <x:c r="G11" s="37" t="n">
        <x:v>0</x:v>
      </x:c>
      <x:c r="H11" s="37" t="n">
        <x:v>0</x:v>
      </x:c>
      <x:c r="I11" s="37" t="n">
        <x:v>0</x:v>
      </x:c>
      <x:c r="J11" s="37" t="n">
        <x:v>0</x:v>
      </x:c>
      <x:c r="K11" s="37" t="n">
        <x:v>0</x:v>
      </x:c>
      <x:c r="L11" s="37" t="n">
        <x:v>0</x:v>
      </x:c>
      <x:c r="M11" s="37" t="n">
        <x:v>0</x:v>
      </x:c>
      <x:c r="N11" s="37" t="n">
        <x:v>0</x:v>
      </x:c>
      <x:c r="O11" s="37" t="n">
        <x:f>SUM(E11:N11)</x:f>
        <x:v>20.166666666666664</x:v>
      </x:c>
      <x:c r="P11" s="37" t="n">
        <x:f>4*SUM(F11,H11,J11,L11,N11)</x:f>
        <x:v>38</x:v>
      </x:c>
    </x:row>
    <x:row r="12">
      <x:c r="B12" s="26" t="str">
        <x:v>Q6</x:v>
      </x:c>
      <x:c r="C12" s="26" t="str">
        <x:v>16-18</x:v>
      </x:c>
      <x:c r="D12" s="26" t="str">
        <x:v>RAC-1</x:v>
      </x:c>
      <x:c r="E12" s="37" t="n">
        <x:v>10.666666666666666</x:v>
      </x:c>
      <x:c r="F12" s="37" t="n">
        <x:v>9.5</x:v>
      </x:c>
      <x:c r="G12" s="37" t="n">
        <x:v>0</x:v>
      </x:c>
      <x:c r="H12" s="37" t="n">
        <x:v>0</x:v>
      </x:c>
      <x:c r="I12" s="37" t="n">
        <x:v>0</x:v>
      </x:c>
      <x:c r="J12" s="37" t="n">
        <x:v>0</x:v>
      </x:c>
      <x:c r="K12" s="37" t="n">
        <x:v>0</x:v>
      </x:c>
      <x:c r="L12" s="37" t="n">
        <x:v>0</x:v>
      </x:c>
      <x:c r="M12" s="37" t="n">
        <x:v>0</x:v>
      </x:c>
      <x:c r="N12" s="37" t="n">
        <x:v>0</x:v>
      </x:c>
      <x:c r="O12" s="37" t="n">
        <x:f>SUM(E12:N12)</x:f>
        <x:v>20.166666666666664</x:v>
      </x:c>
      <x:c r="P12" s="37" t="n">
        <x:f>4*SUM(F12,H12,J12,L12,N12)</x:f>
        <x:v>38</x:v>
      </x:c>
    </x:row>
    <x:row r="13">
      <x:c r="B13" s="26" t="str">
        <x:v>Q7</x:v>
      </x:c>
      <x:c r="C13" s="26" t="str">
        <x:v>19-21</x:v>
      </x:c>
      <x:c r="D13" s="26" t="str">
        <x:v>RAB-1</x:v>
      </x:c>
      <x:c r="E13" s="37" t="n">
        <x:v>0</x:v>
      </x:c>
      <x:c r="F13" s="37" t="n">
        <x:v>0</x:v>
      </x:c>
      <x:c r="G13" s="37" t="n">
        <x:v>19.666666666666668</x:v>
      </x:c>
      <x:c r="H13" s="37" t="n">
        <x:v>14.5</x:v>
      </x:c>
      <x:c r="I13" s="37" t="n">
        <x:v>0</x:v>
      </x:c>
      <x:c r="J13" s="37" t="n">
        <x:v>0</x:v>
      </x:c>
      <x:c r="K13" s="37" t="n">
        <x:v>0</x:v>
      </x:c>
      <x:c r="L13" s="37" t="n">
        <x:v>0</x:v>
      </x:c>
      <x:c r="M13" s="37" t="n">
        <x:v>0</x:v>
      </x:c>
      <x:c r="N13" s="37" t="n">
        <x:v>0</x:v>
      </x:c>
      <x:c r="O13" s="37" t="n">
        <x:f>SUM(E13:N13)</x:f>
        <x:v>34.16666666666667</x:v>
      </x:c>
      <x:c r="P13" s="37" t="n">
        <x:f>4*SUM(F13,H13,J13,L13,N13)</x:f>
        <x:v>58</x:v>
      </x:c>
    </x:row>
    <x:row r="14">
      <x:c r="B14" s="26" t="str">
        <x:v>Q8</x:v>
      </x:c>
      <x:c r="C14" s="26" t="str">
        <x:v>22-24</x:v>
      </x:c>
      <x:c r="D14" s="26" t="str">
        <x:v>RAB-1</x:v>
      </x:c>
      <x:c r="E14" s="37" t="n">
        <x:v>0</x:v>
      </x:c>
      <x:c r="F14" s="37" t="n">
        <x:v>0</x:v>
      </x:c>
      <x:c r="G14" s="37" t="n">
        <x:v>19.666666666666668</x:v>
      </x:c>
      <x:c r="H14" s="37" t="n">
        <x:v>14.5</x:v>
      </x:c>
      <x:c r="I14" s="37" t="n">
        <x:v>0</x:v>
      </x:c>
      <x:c r="J14" s="37" t="n">
        <x:v>0</x:v>
      </x:c>
      <x:c r="K14" s="37" t="n">
        <x:v>0</x:v>
      </x:c>
      <x:c r="L14" s="37" t="n">
        <x:v>0</x:v>
      </x:c>
      <x:c r="M14" s="37" t="n">
        <x:v>0</x:v>
      </x:c>
      <x:c r="N14" s="37" t="n">
        <x:v>0</x:v>
      </x:c>
      <x:c r="O14" s="37" t="n">
        <x:f>SUM(E14:N14)</x:f>
        <x:v>34.16666666666667</x:v>
      </x:c>
      <x:c r="P14" s="37" t="n">
        <x:f>4*SUM(F14,H14,J14,L14,N14)</x:f>
        <x:v>58</x:v>
      </x:c>
    </x:row>
    <x:row r="15">
      <x:c r="B15" s="26" t="str">
        <x:v>Q9</x:v>
      </x:c>
      <x:c r="C15" s="26" t="str">
        <x:v>25-27</x:v>
      </x:c>
      <x:c r="D15" s="26" t="str">
        <x:v>RAB-1 + RAQ-1</x:v>
      </x:c>
      <x:c r="E15" s="37" t="n">
        <x:v>0</x:v>
      </x:c>
      <x:c r="F15" s="37" t="n">
        <x:v>0</x:v>
      </x:c>
      <x:c r="G15" s="37" t="n">
        <x:v>19.666666666666668</x:v>
      </x:c>
      <x:c r="H15" s="37" t="n">
        <x:v>14.5</x:v>
      </x:c>
      <x:c r="I15" s="37" t="n">
        <x:v>8.25</x:v>
      </x:c>
      <x:c r="J15" s="37" t="n">
        <x:v>4</x:v>
      </x:c>
      <x:c r="K15" s="37" t="n">
        <x:v>0</x:v>
      </x:c>
      <x:c r="L15" s="37" t="n">
        <x:v>0</x:v>
      </x:c>
      <x:c r="M15" s="37" t="n">
        <x:v>0</x:v>
      </x:c>
      <x:c r="N15" s="37" t="n">
        <x:v>0</x:v>
      </x:c>
      <x:c r="O15" s="37" t="n">
        <x:f>SUM(E15:N15)</x:f>
        <x:v>46.41666666666667</x:v>
      </x:c>
      <x:c r="P15" s="37" t="n">
        <x:f>4*SUM(F15,H15,J15,L15,N15)</x:f>
        <x:v>74</x:v>
      </x:c>
    </x:row>
    <x:row r="16">
      <x:c r="B16" s="26" t="str">
        <x:v>Q10</x:v>
      </x:c>
      <x:c r="C16" s="26" t="str">
        <x:v>28-30</x:v>
      </x:c>
      <x:c r="D16" s="26" t="str">
        <x:v>RAB-1 + RAQ-1</x:v>
      </x:c>
      <x:c r="E16" s="37" t="n">
        <x:v>0</x:v>
      </x:c>
      <x:c r="F16" s="37" t="n">
        <x:v>0</x:v>
      </x:c>
      <x:c r="G16" s="37" t="n">
        <x:v>19.666666666666668</x:v>
      </x:c>
      <x:c r="H16" s="37" t="n">
        <x:v>14.5</x:v>
      </x:c>
      <x:c r="I16" s="37" t="n">
        <x:v>8.25</x:v>
      </x:c>
      <x:c r="J16" s="37" t="n">
        <x:v>4</x:v>
      </x:c>
      <x:c r="K16" s="37" t="n">
        <x:v>0</x:v>
      </x:c>
      <x:c r="L16" s="37" t="n">
        <x:v>0</x:v>
      </x:c>
      <x:c r="M16" s="37" t="n">
        <x:v>0</x:v>
      </x:c>
      <x:c r="N16" s="37" t="n">
        <x:v>0</x:v>
      </x:c>
      <x:c r="O16" s="37" t="n">
        <x:f>SUM(E16:N16)</x:f>
        <x:v>46.41666666666667</x:v>
      </x:c>
      <x:c r="P16" s="37" t="n">
        <x:f>4*SUM(F16,H16,J16,L16,N16)</x:f>
        <x:v>74</x:v>
      </x:c>
    </x:row>
    <x:row r="17">
      <x:c r="B17" s="26" t="str">
        <x:v>Q11</x:v>
      </x:c>
      <x:c r="C17" s="26" t="str">
        <x:v>31-33</x:v>
      </x:c>
      <x:c r="D17" s="26" t="str">
        <x:v>RAB-1 + RAQ-1</x:v>
      </x:c>
      <x:c r="E17" s="37" t="n">
        <x:v>0</x:v>
      </x:c>
      <x:c r="F17" s="37" t="n">
        <x:v>0</x:v>
      </x:c>
      <x:c r="G17" s="37" t="n">
        <x:v>19.666666666666668</x:v>
      </x:c>
      <x:c r="H17" s="37" t="n">
        <x:v>14.5</x:v>
      </x:c>
      <x:c r="I17" s="37" t="n">
        <x:v>8.25</x:v>
      </x:c>
      <x:c r="J17" s="37" t="n">
        <x:v>4</x:v>
      </x:c>
      <x:c r="K17" s="37" t="n">
        <x:v>0</x:v>
      </x:c>
      <x:c r="L17" s="37" t="n">
        <x:v>0</x:v>
      </x:c>
      <x:c r="M17" s="37" t="n">
        <x:v>0</x:v>
      </x:c>
      <x:c r="N17" s="37" t="n">
        <x:v>0</x:v>
      </x:c>
      <x:c r="O17" s="37" t="n">
        <x:f>SUM(E17:N17)</x:f>
        <x:v>46.41666666666667</x:v>
      </x:c>
      <x:c r="P17" s="37" t="n">
        <x:f>4*SUM(F17,H17,J17,L17,N17)</x:f>
        <x:v>74</x:v>
      </x:c>
    </x:row>
    <x:row r="18">
      <x:c r="B18" s="26" t="str">
        <x:v>Q12</x:v>
      </x:c>
      <x:c r="C18" s="26" t="str">
        <x:v>34-36</x:v>
      </x:c>
      <x:c r="D18" s="26" t="str">
        <x:v>RAB-1 + RAQ-1</x:v>
      </x:c>
      <x:c r="E18" s="37" t="n">
        <x:v>0</x:v>
      </x:c>
      <x:c r="F18" s="37" t="n">
        <x:v>0</x:v>
      </x:c>
      <x:c r="G18" s="37" t="n">
        <x:v>19.666666666666668</x:v>
      </x:c>
      <x:c r="H18" s="37" t="n">
        <x:v>14.5</x:v>
      </x:c>
      <x:c r="I18" s="37" t="n">
        <x:v>8.25</x:v>
      </x:c>
      <x:c r="J18" s="37" t="n">
        <x:v>4</x:v>
      </x:c>
      <x:c r="K18" s="37" t="n">
        <x:v>0</x:v>
      </x:c>
      <x:c r="L18" s="37" t="n">
        <x:v>0</x:v>
      </x:c>
      <x:c r="M18" s="37" t="n">
        <x:v>0</x:v>
      </x:c>
      <x:c r="N18" s="37" t="n">
        <x:v>0</x:v>
      </x:c>
      <x:c r="O18" s="37" t="n">
        <x:f>SUM(E18:N18)</x:f>
        <x:v>46.41666666666667</x:v>
      </x:c>
      <x:c r="P18" s="37" t="n">
        <x:f>4*SUM(F18,H18,J18,L18,N18)</x:f>
        <x:v>74</x:v>
      </x:c>
    </x:row>
    <x:row r="19">
      <x:c r="B19" s="26" t="str">
        <x:v>Q13</x:v>
      </x:c>
      <x:c r="C19" s="26" t="str">
        <x:v>37-39</x:v>
      </x:c>
      <x:c r="D19" s="26" t="str">
        <x:v>RAQ-1 + RAX-1</x:v>
      </x:c>
      <x:c r="E19" s="37" t="n">
        <x:v>0</x:v>
      </x:c>
      <x:c r="F19" s="37" t="n">
        <x:v>0</x:v>
      </x:c>
      <x:c r="G19" s="37" t="n">
        <x:v>0</x:v>
      </x:c>
      <x:c r="H19" s="37" t="n">
        <x:v>0</x:v>
      </x:c>
      <x:c r="I19" s="37" t="n">
        <x:v>8.25</x:v>
      </x:c>
      <x:c r="J19" s="37" t="n">
        <x:v>4</x:v>
      </x:c>
      <x:c r="K19" s="37" t="n">
        <x:v>14</x:v>
      </x:c>
      <x:c r="L19" s="37" t="n">
        <x:v>11</x:v>
      </x:c>
      <x:c r="M19" s="37" t="n">
        <x:v>0</x:v>
      </x:c>
      <x:c r="N19" s="37" t="n">
        <x:v>0</x:v>
      </x:c>
      <x:c r="O19" s="37" t="n">
        <x:f>SUM(E19:N19)</x:f>
        <x:v>37.25</x:v>
      </x:c>
      <x:c r="P19" s="37" t="n">
        <x:f>4*SUM(F19,H19,J19,L19,N19)</x:f>
        <x:v>60</x:v>
      </x:c>
    </x:row>
    <x:row r="20">
      <x:c r="B20" s="26" t="str">
        <x:v>Q14</x:v>
      </x:c>
      <x:c r="C20" s="26" t="str">
        <x:v>40-42</x:v>
      </x:c>
      <x:c r="D20" s="26" t="str">
        <x:v>RAQ-1 + RAX-1</x:v>
      </x:c>
      <x:c r="E20" s="37" t="n">
        <x:v>0</x:v>
      </x:c>
      <x:c r="F20" s="37" t="n">
        <x:v>0</x:v>
      </x:c>
      <x:c r="G20" s="37" t="n">
        <x:v>0</x:v>
      </x:c>
      <x:c r="H20" s="37" t="n">
        <x:v>0</x:v>
      </x:c>
      <x:c r="I20" s="37" t="n">
        <x:v>8.25</x:v>
      </x:c>
      <x:c r="J20" s="37" t="n">
        <x:v>4</x:v>
      </x:c>
      <x:c r="K20" s="37" t="n">
        <x:v>14</x:v>
      </x:c>
      <x:c r="L20" s="37" t="n">
        <x:v>11</x:v>
      </x:c>
      <x:c r="M20" s="37" t="n">
        <x:v>0</x:v>
      </x:c>
      <x:c r="N20" s="37" t="n">
        <x:v>0</x:v>
      </x:c>
      <x:c r="O20" s="37" t="n">
        <x:f>SUM(E20:N20)</x:f>
        <x:v>37.25</x:v>
      </x:c>
      <x:c r="P20" s="37" t="n">
        <x:f>4*SUM(F20,H20,J20,L20,N20)</x:f>
        <x:v>60</x:v>
      </x:c>
    </x:row>
    <x:row r="21">
      <x:c r="B21" s="26" t="str">
        <x:v>Q15</x:v>
      </x:c>
      <x:c r="C21" s="26" t="str">
        <x:v>43-45</x:v>
      </x:c>
      <x:c r="D21" s="26" t="str">
        <x:v>RAQ-1 + RAX-1</x:v>
      </x:c>
      <x:c r="E21" s="37" t="n">
        <x:v>0</x:v>
      </x:c>
      <x:c r="F21" s="37" t="n">
        <x:v>0</x:v>
      </x:c>
      <x:c r="G21" s="37" t="n">
        <x:v>0</x:v>
      </x:c>
      <x:c r="H21" s="37" t="n">
        <x:v>0</x:v>
      </x:c>
      <x:c r="I21" s="37" t="n">
        <x:v>8.25</x:v>
      </x:c>
      <x:c r="J21" s="37" t="n">
        <x:v>4</x:v>
      </x:c>
      <x:c r="K21" s="37" t="n">
        <x:v>14</x:v>
      </x:c>
      <x:c r="L21" s="37" t="n">
        <x:v>11</x:v>
      </x:c>
      <x:c r="M21" s="37" t="n">
        <x:v>0</x:v>
      </x:c>
      <x:c r="N21" s="37" t="n">
        <x:v>0</x:v>
      </x:c>
      <x:c r="O21" s="37" t="n">
        <x:f>SUM(E21:N21)</x:f>
        <x:v>37.25</x:v>
      </x:c>
      <x:c r="P21" s="37" t="n">
        <x:f>4*SUM(F21,H21,J21,L21,N21)</x:f>
        <x:v>60</x:v>
      </x:c>
    </x:row>
    <x:row r="22">
      <x:c r="B22" s="26" t="str">
        <x:v>Q16</x:v>
      </x:c>
      <x:c r="C22" s="26" t="str">
        <x:v>46-48</x:v>
      </x:c>
      <x:c r="D22" s="26" t="str">
        <x:v>RAQ-1 + RAX-1</x:v>
      </x:c>
      <x:c r="E22" s="37" t="n">
        <x:v>0</x:v>
      </x:c>
      <x:c r="F22" s="37" t="n">
        <x:v>0</x:v>
      </x:c>
      <x:c r="G22" s="37" t="n">
        <x:v>0</x:v>
      </x:c>
      <x:c r="H22" s="37" t="n">
        <x:v>0</x:v>
      </x:c>
      <x:c r="I22" s="37" t="n">
        <x:v>8.25</x:v>
      </x:c>
      <x:c r="J22" s="37" t="n">
        <x:v>4</x:v>
      </x:c>
      <x:c r="K22" s="37" t="n">
        <x:v>14</x:v>
      </x:c>
      <x:c r="L22" s="37" t="n">
        <x:v>11</x:v>
      </x:c>
      <x:c r="M22" s="37" t="n">
        <x:v>0</x:v>
      </x:c>
      <x:c r="N22" s="37" t="n">
        <x:v>0</x:v>
      </x:c>
      <x:c r="O22" s="37" t="n">
        <x:f>SUM(E22:N22)</x:f>
        <x:v>37.25</x:v>
      </x:c>
      <x:c r="P22" s="37" t="n">
        <x:f>4*SUM(F22,H22,J22,L22,N22)</x:f>
        <x:v>60</x:v>
      </x:c>
    </x:row>
    <x:row r="23">
      <x:c r="B23" s="26" t="str">
        <x:v>Q17</x:v>
      </x:c>
      <x:c r="C23" s="26" t="str">
        <x:v>49-51</x:v>
      </x:c>
      <x:c r="D23" s="26" t="str">
        <x:v>RAX-1</x:v>
      </x:c>
      <x:c r="E23" s="37" t="n">
        <x:v>0</x:v>
      </x:c>
      <x:c r="F23" s="37" t="n">
        <x:v>0</x:v>
      </x:c>
      <x:c r="G23" s="37" t="n">
        <x:v>0</x:v>
      </x:c>
      <x:c r="H23" s="37" t="n">
        <x:v>0</x:v>
      </x:c>
      <x:c r="I23" s="37" t="n">
        <x:v>0</x:v>
      </x:c>
      <x:c r="J23" s="37" t="n">
        <x:v>0</x:v>
      </x:c>
      <x:c r="K23" s="37" t="n">
        <x:v>14</x:v>
      </x:c>
      <x:c r="L23" s="37" t="n">
        <x:v>11</x:v>
      </x:c>
      <x:c r="M23" s="37" t="n">
        <x:v>0</x:v>
      </x:c>
      <x:c r="N23" s="37" t="n">
        <x:v>0</x:v>
      </x:c>
      <x:c r="O23" s="37" t="n">
        <x:f>SUM(E23:N23)</x:f>
        <x:v>25</x:v>
      </x:c>
      <x:c r="P23" s="37" t="n">
        <x:f>4*SUM(F23,H23,J23,L23,N23)</x:f>
        <x:v>44</x:v>
      </x:c>
    </x:row>
    <x:row r="24">
      <x:c r="B24" s="26" t="str">
        <x:v>Q18</x:v>
      </x:c>
      <x:c r="C24" s="26" t="str">
        <x:v>52-54</x:v>
      </x:c>
      <x:c r="D24" s="26" t="str">
        <x:v>RAX-1</x:v>
      </x:c>
      <x:c r="E24" s="37" t="n">
        <x:v>0</x:v>
      </x:c>
      <x:c r="F24" s="37" t="n">
        <x:v>0</x:v>
      </x:c>
      <x:c r="G24" s="37" t="n">
        <x:v>0</x:v>
      </x:c>
      <x:c r="H24" s="37" t="n">
        <x:v>0</x:v>
      </x:c>
      <x:c r="I24" s="37" t="n">
        <x:v>0</x:v>
      </x:c>
      <x:c r="J24" s="37" t="n">
        <x:v>0</x:v>
      </x:c>
      <x:c r="K24" s="37" t="n">
        <x:v>14</x:v>
      </x:c>
      <x:c r="L24" s="37" t="n">
        <x:v>11</x:v>
      </x:c>
      <x:c r="M24" s="37" t="n">
        <x:v>0</x:v>
      </x:c>
      <x:c r="N24" s="37" t="n">
        <x:v>0</x:v>
      </x:c>
      <x:c r="O24" s="37" t="n">
        <x:f>SUM(E24:N24)</x:f>
        <x:v>25</x:v>
      </x:c>
      <x:c r="P24" s="37" t="n">
        <x:f>4*SUM(F24,H24,J24,L24,N24)</x:f>
        <x:v>44</x:v>
      </x:c>
    </x:row>
    <x:row r="25">
      <x:c r="B25" s="26" t="str">
        <x:v>Q19</x:v>
      </x:c>
      <x:c r="C25" s="26" t="str">
        <x:v>55-57</x:v>
      </x:c>
      <x:c r="D25" s="26" t="str">
        <x:v>RAY-1</x:v>
      </x:c>
      <x:c r="E25" s="37" t="n">
        <x:v>0</x:v>
      </x:c>
      <x:c r="F25" s="37" t="n">
        <x:v>0</x:v>
      </x:c>
      <x:c r="G25" s="37" t="n">
        <x:v>0</x:v>
      </x:c>
      <x:c r="H25" s="37" t="n">
        <x:v>0</x:v>
      </x:c>
      <x:c r="I25" s="37" t="n">
        <x:v>0</x:v>
      </x:c>
      <x:c r="J25" s="37" t="n">
        <x:v>0</x:v>
      </x:c>
      <x:c r="K25" s="37" t="n">
        <x:v>0</x:v>
      </x:c>
      <x:c r="L25" s="37" t="n">
        <x:v>0</x:v>
      </x:c>
      <x:c r="M25" s="37" t="n">
        <x:v>9</x:v>
      </x:c>
      <x:c r="N25" s="37" t="n">
        <x:v>1.5</x:v>
      </x:c>
      <x:c r="O25" s="37" t="n">
        <x:f>SUM(E25:N25)</x:f>
        <x:v>10.5</x:v>
      </x:c>
      <x:c r="P25" s="37" t="n">
        <x:f>4*SUM(F25,H25,J25,L25,N25)</x:f>
        <x:v>6</x:v>
      </x:c>
    </x:row>
    <x:row r="26">
      <x:c r="B26" s="26" t="str">
        <x:v>Q20</x:v>
      </x:c>
      <x:c r="C26" s="26" t="str">
        <x:v>58-60</x:v>
      </x:c>
      <x:c r="D26" s="26" t="str">
        <x:v>RAY-1</x:v>
      </x:c>
      <x:c r="E26" s="37" t="n">
        <x:v>0</x:v>
      </x:c>
      <x:c r="F26" s="37" t="n">
        <x:v>0</x:v>
      </x:c>
      <x:c r="G26" s="37" t="n">
        <x:v>0</x:v>
      </x:c>
      <x:c r="H26" s="37" t="n">
        <x:v>0</x:v>
      </x:c>
      <x:c r="I26" s="37" t="n">
        <x:v>0</x:v>
      </x:c>
      <x:c r="J26" s="37" t="n">
        <x:v>0</x:v>
      </x:c>
      <x:c r="K26" s="37" t="n">
        <x:v>0</x:v>
      </x:c>
      <x:c r="L26" s="37" t="n">
        <x:v>0</x:v>
      </x:c>
      <x:c r="M26" s="37" t="n">
        <x:v>3</x:v>
      </x:c>
      <x:c r="N26" s="37" t="n">
        <x:v>0.5</x:v>
      </x:c>
      <x:c r="O26" s="37" t="n">
        <x:f>SUM(E26:N26)</x:f>
        <x:v>3.5</x:v>
      </x:c>
      <x:c r="P26" s="37" t="n">
        <x:f>4*SUM(F26,H26,J26,L26,N26)</x:f>
        <x:v>2</x:v>
      </x:c>
    </x:row>
    <x:row r="27">
      <x:c r="B27" s="25" t="str">
        <x:v>Total</x:v>
      </x:c>
      <x:c r="C27" s="25" t="str"/>
      <x:c r="D27" s="25" t="str"/>
      <x:c r="E27" s="38" t="n">
        <x:v>64</x:v>
      </x:c>
      <x:c r="F27" s="38" t="n">
        <x:v>57</x:v>
      </x:c>
      <x:c r="G27" s="38" t="n">
        <x:v>118</x:v>
      </x:c>
      <x:c r="H27" s="38" t="n">
        <x:v>87</x:v>
      </x:c>
      <x:c r="I27" s="38" t="n">
        <x:v>66</x:v>
      </x:c>
      <x:c r="J27" s="38" t="n">
        <x:v>32</x:v>
      </x:c>
      <x:c r="K27" s="38" t="n">
        <x:v>84</x:v>
      </x:c>
      <x:c r="L27" s="38" t="n">
        <x:v>66</x:v>
      </x:c>
      <x:c r="M27" s="38" t="n">
        <x:v>12</x:v>
      </x:c>
      <x:c r="N27" s="38" t="n">
        <x:v>2</x:v>
      </x:c>
      <x:c r="O27" s="38" t="n">
        <x:f>SUM(O7:O26)</x:f>
        <x:v>588</x:v>
      </x:c>
      <x:c r="P27" s="38" t="n">
        <x:f>MAX(P7:P26)</x:f>
        <x:v>74</x:v>
      </x:c>
    </x:row>
  </x:sheetData>
  <x:pageMargins left="0.7" right="0.7" top="0.75" bottom="0.75" header="0.3" footer="0.3"/>
</x:worksheet>
</file>

<file path=xl/worksheets/sheet53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49" hidden="0" customWidth="1"/>
    <x:col min="3" max="3" width="20" hidden="0" customWidth="1"/>
    <x:col min="4" max="4" width="19" hidden="0" customWidth="1"/>
    <x:col min="5" max="5" width="66" hidden="0" customWidth="1"/>
  </x:cols>
  <x:sheetData>
    <x:row r="2">
      <x:c r="B2" s="22" t="str">
        <x:v>RAE-1 financial and calendar reconciliation</x:v>
      </x:c>
      <x:c r="C2" s="23"/>
      <x:c r="D2" s="23"/>
      <x:c r="E2" s="23"/>
    </x:row>
    <x:row r="3">
      <x:c r="B3" s="24" t="str">
        <x:v>RAY-1 uses part of the remaining parent allocation. Financial capacity does not permit early issue or source entry.</x:v>
      </x:c>
      <x:c r="C3" s="23"/>
      <x:c r="D3" s="23"/>
      <x:c r="E3" s="23"/>
    </x:row>
    <x:row r="4">
      <x:c r="B4" s="23"/>
      <x:c r="C4" s="23"/>
      <x:c r="D4" s="23"/>
      <x:c r="E4" s="23"/>
    </x:row>
    <x:row r="5">
      <x:c r="B5" s="23"/>
      <x:c r="C5" s="23"/>
      <x:c r="D5" s="23"/>
      <x:c r="E5" s="23"/>
    </x:row>
    <x:row r="6" ht="24" customHeight="1">
      <x:c r="B6" s="6" t="str">
        <x:v>Line</x:v>
      </x:c>
      <x:c r="C6" s="6" t="str">
        <x:v>Value</x:v>
      </x:c>
      <x:c r="D6" s="6" t="str">
        <x:v>Unit</x:v>
      </x:c>
      <x:c r="E6" s="6" t="str">
        <x:v>Interpretation</x:v>
      </x:c>
    </x:row>
    <x:row r="7" ht="34" customHeight="1">
      <x:c r="B7" s="26" t="str">
        <x:v>RAE-1 capital boundary</x:v>
      </x:c>
      <x:c r="C7" s="26" t="n">
        <x:v>360</x:v>
      </x:c>
      <x:c r="D7" s="26" t="str">
        <x:v>USD M</x:v>
      </x:c>
      <x:c r="E7" s="31" t="str">
        <x:v>parent limit</x:v>
      </x:c>
    </x:row>
    <x:row r="8" ht="34" customHeight="1">
      <x:c r="B8" s="26" t="str">
        <x:v>prior capital allocation</x:v>
      </x:c>
      <x:c r="C8" s="26" t="n">
        <x:v>332</x:v>
      </x:c>
      <x:c r="D8" s="26" t="str">
        <x:v>USD M</x:v>
      </x:c>
      <x:c r="E8" s="31" t="str">
        <x:v>RAC-1 through RAX-1</x:v>
      </x:c>
    </x:row>
    <x:row r="9" ht="34" customHeight="1">
      <x:c r="B9" s="26" t="str">
        <x:v>RAY-1 capital</x:v>
      </x:c>
      <x:c r="C9" s="26" t="n">
        <x:v>12</x:v>
      </x:c>
      <x:c r="D9" s="26" t="str">
        <x:v>USD M</x:v>
      </x:c>
      <x:c r="E9" s="31" t="str">
        <x:v>current tranche</x:v>
      </x:c>
    </x:row>
    <x:row r="10" ht="34" customHeight="1">
      <x:c r="B10" s="26" t="str">
        <x:v>remaining capital</x:v>
      </x:c>
      <x:c r="C10" s="26" t="n">
        <x:f>'Controls'!$D$70</x:f>
        <x:v>16</x:v>
      </x:c>
      <x:c r="D10" s="26" t="str">
        <x:v>USD M</x:v>
      </x:c>
      <x:c r="E10" s="31" t="str">
        <x:v>reserved for later event work</x:v>
      </x:c>
    </x:row>
    <x:row r="11" ht="34" customHeight="1">
      <x:c r="B11" s="26" t="str">
        <x:v>RAE-1 annual boundary</x:v>
      </x:c>
      <x:c r="C11" s="26" t="n">
        <x:v>168</x:v>
      </x:c>
      <x:c r="D11" s="26" t="str">
        <x:v>USD M/year</x:v>
      </x:c>
      <x:c r="E11" s="31" t="str">
        <x:v>parent limit</x:v>
      </x:c>
    </x:row>
    <x:row r="12" ht="34" customHeight="1">
      <x:c r="B12" s="26" t="str">
        <x:v>prior annual allocation</x:v>
      </x:c>
      <x:c r="C12" s="26" t="n">
        <x:v>156</x:v>
      </x:c>
      <x:c r="D12" s="26" t="str">
        <x:v>USD M/year</x:v>
      </x:c>
      <x:c r="E12" s="31" t="str">
        <x:v>RAC-1 through RAX-1</x:v>
      </x:c>
    </x:row>
    <x:row r="13" ht="34" customHeight="1">
      <x:c r="B13" s="26" t="str">
        <x:v>RAY-1 annual support</x:v>
      </x:c>
      <x:c r="C13" s="26" t="n">
        <x:v>6</x:v>
      </x:c>
      <x:c r="D13" s="26" t="str">
        <x:v>USD M/year</x:v>
      </x:c>
      <x:c r="E13" s="31" t="str">
        <x:v>current tranche</x:v>
      </x:c>
    </x:row>
    <x:row r="14" ht="34" customHeight="1">
      <x:c r="B14" s="26" t="str">
        <x:v>remaining annual support</x:v>
      </x:c>
      <x:c r="C14" s="26" t="n">
        <x:f>'Controls'!$D$73</x:f>
        <x:v>6</x:v>
      </x:c>
      <x:c r="D14" s="26" t="str">
        <x:v>USD M/year</x:v>
      </x:c>
      <x:c r="E14" s="31" t="str">
        <x:v>reserved for later event work</x:v>
      </x:c>
    </x:row>
    <x:row r="15" ht="34" customHeight="1">
      <x:c r="B15" s="26" t="str">
        <x:v>RAE-1 technology boundary</x:v>
      </x:c>
      <x:c r="C15" s="26" t="n">
        <x:v>470</x:v>
      </x:c>
      <x:c r="D15" s="26" t="str">
        <x:v>USD M</x:v>
      </x:c>
      <x:c r="E15" s="31" t="str">
        <x:v>cross-classified limit</x:v>
      </x:c>
    </x:row>
    <x:row r="16" ht="34" customHeight="1">
      <x:c r="B16" s="26" t="str">
        <x:v>prior technology allocation</x:v>
      </x:c>
      <x:c r="C16" s="26" t="n">
        <x:v>410</x:v>
      </x:c>
      <x:c r="D16" s="26" t="str">
        <x:v>USD M</x:v>
      </x:c>
      <x:c r="E16" s="31" t="str">
        <x:v>RAC-1 through RAX-1</x:v>
      </x:c>
    </x:row>
    <x:row r="17" ht="34" customHeight="1">
      <x:c r="B17" s="26" t="str">
        <x:v>RAY-1 technology</x:v>
      </x:c>
      <x:c r="C17" s="26" t="n">
        <x:v>24</x:v>
      </x:c>
      <x:c r="D17" s="26" t="str">
        <x:v>USD M</x:v>
      </x:c>
      <x:c r="E17" s="31" t="str">
        <x:v>current allocation</x:v>
      </x:c>
    </x:row>
    <x:row r="18" ht="34" customHeight="1">
      <x:c r="B18" s="26" t="str">
        <x:v>remaining technology</x:v>
      </x:c>
      <x:c r="C18" s="26" t="n">
        <x:f>'Controls'!$D$77</x:f>
        <x:v>36</x:v>
      </x:c>
      <x:c r="D18" s="26" t="str">
        <x:v>USD M</x:v>
      </x:c>
      <x:c r="E18" s="31" t="str">
        <x:v>reserved for later event work</x:v>
      </x:c>
    </x:row>
    <x:row r="19" ht="34" customHeight="1">
      <x:c r="B19" s="26" t="str">
        <x:v>RAC through RAX stage exposure</x:v>
      </x:c>
      <x:c r="C19" s="26" t="n">
        <x:v>574</x:v>
      </x:c>
      <x:c r="D19" s="26" t="str">
        <x:v>USD M</x:v>
      </x:c>
      <x:c r="E19" s="31" t="str">
        <x:v>prior stage exposures</x:v>
      </x:c>
    </x:row>
    <x:row r="20" ht="34" customHeight="1">
      <x:c r="B20" s="26" t="str">
        <x:v>RAY-1 stage exposure</x:v>
      </x:c>
      <x:c r="C20" s="26" t="n">
        <x:f>'Controls'!$D$67</x:f>
        <x:v>14</x:v>
      </x:c>
      <x:c r="D20" s="26" t="str">
        <x:v>USD M</x:v>
      </x:c>
      <x:c r="E20" s="31" t="str">
        <x:v>four-month exposure</x:v>
      </x:c>
    </x:row>
    <x:row r="21" ht="34" customHeight="1">
      <x:c r="B21" s="26" t="str">
        <x:v>cumulative stage exposure</x:v>
      </x:c>
      <x:c r="C21" s="26" t="n">
        <x:f>C19+C20</x:f>
        <x:v>588</x:v>
      </x:c>
      <x:c r="D21" s="26" t="str">
        <x:v>USD M</x:v>
      </x:c>
      <x:c r="E21" s="31" t="str">
        <x:v>stage-specific sum</x:v>
      </x:c>
    </x:row>
    <x:row r="22" ht="34" customHeight="1">
      <x:c r="B22" s="26" t="str">
        <x:v>RAE-1 original gross exposure</x:v>
      </x:c>
      <x:c r="C22" s="26" t="n">
        <x:v>696</x:v>
      </x:c>
      <x:c r="D22" s="26" t="str">
        <x:v>USD M</x:v>
      </x:c>
      <x:c r="E22" s="31" t="str">
        <x:v>reference envelope, not elapsed-time evidence</x:v>
      </x:c>
    </x:row>
    <x:row r="23" ht="34" customHeight="1">
      <x:c r="B23" s="26" t="str">
        <x:v>unassigned inside reference envelope</x:v>
      </x:c>
      <x:c r="C23" s="26" t="n">
        <x:f>C22-C21</x:f>
        <x:v>108</x:v>
      </x:c>
      <x:c r="D23" s="26" t="str">
        <x:v>USD M</x:v>
      </x:c>
      <x:c r="E23" s="31" t="str">
        <x:v>not calendar authority</x:v>
      </x:c>
    </x:row>
    <x:row r="24" ht="34" customHeight="1">
      <x:c r="B24" s="26" t="str">
        <x:v>sequential chain</x:v>
      </x:c>
      <x:c r="C24" s="26" t="n">
        <x:f>'Controls'!$D$61</x:f>
        <x:v>82</x:v>
      </x:c>
      <x:c r="D24" s="26" t="str">
        <x:v>months</x:v>
      </x:c>
      <x:c r="E24" s="31" t="str">
        <x:v>no overlap</x:v>
      </x:c>
    </x:row>
    <x:row r="25" ht="34" customHeight="1">
      <x:c r="B25" s="26" t="str">
        <x:v>release-aware chain</x:v>
      </x:c>
      <x:c r="C25" s="26" t="n">
        <x:f>'Controls'!$D$62</x:f>
        <x:v>58</x:v>
      </x:c>
      <x:c r="D25" s="26" t="str">
        <x:v>months</x:v>
      </x:c>
      <x:c r="E25" s="31" t="str">
        <x:v>predecessor releases preserved</x:v>
      </x:c>
    </x:row>
    <x:row r="26" ht="34" customHeight="1">
      <x:c r="B26" s="26" t="str">
        <x:v>calendar saved</x:v>
      </x:c>
      <x:c r="C26" s="26" t="n">
        <x:f>C24-C25</x:f>
        <x:v>24</x:v>
      </x:c>
      <x:c r="D26" s="26" t="str">
        <x:v>months</x:v>
      </x:c>
      <x:c r="E26" s="31" t="str">
        <x:v>revocable preparation only</x:v>
      </x:c>
    </x:row>
  </x:sheetData>
  <x:pageMargins left="0.7" right="0.7" top="0.75" bottom="0.75" header="0.3" footer="0.3"/>
</x:worksheet>
</file>

<file path=xl/worksheets/sheet54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4" hidden="0" customWidth="1"/>
    <x:col min="3" max="3" width="42" hidden="0" customWidth="1"/>
    <x:col min="4" max="4" width="18" hidden="0" customWidth="1"/>
    <x:col min="5" max="5" width="80" hidden="0" customWidth="1"/>
    <x:col min="6" max="6" width="14" hidden="0" customWidth="1"/>
  </x:cols>
  <x:sheetData>
    <x:row r="2">
      <x:c r="B2" s="22" t="str">
        <x:v>USD 24M RAY-1 technology allocation</x:v>
      </x:c>
      <x:c r="C2" s="23"/>
      <x:c r="D2" s="23"/>
      <x:c r="E2" s="23"/>
      <x:c r="F2" s="23"/>
    </x:row>
    <x:row r="3">
      <x:c r="B3" s="24" t="str">
        <x:v>The first event creates demand for sensing, selection, state evidence, blank assay and regeneration systems that ordinary test equipment does not provide.</x:v>
      </x:c>
      <x:c r="C3" s="23"/>
      <x:c r="D3" s="23"/>
      <x:c r="E3" s="23"/>
      <x:c r="F3" s="23"/>
    </x:row>
    <x:row r="4">
      <x:c r="B4" s="23"/>
      <x:c r="C4" s="23"/>
      <x:c r="D4" s="23"/>
      <x:c r="E4" s="23"/>
      <x:c r="F4" s="23"/>
    </x:row>
    <x:row r="5">
      <x:c r="B5" s="23"/>
      <x:c r="C5" s="23"/>
      <x:c r="D5" s="23"/>
      <x:c r="E5" s="23"/>
      <x:c r="F5" s="23"/>
    </x:row>
    <x:row r="6" ht="24" customHeight="1">
      <x:c r="B6" s="6" t="str">
        <x:v>Program</x:v>
      </x:c>
      <x:c r="C6" s="6" t="str">
        <x:v>Technology</x:v>
      </x:c>
      <x:c r="D6" s="6" t="str">
        <x:v>USD M</x:v>
      </x:c>
      <x:c r="E6" s="6" t="str">
        <x:v>Research objective</x:v>
      </x:c>
      <x:c r="F6" s="6" t="str">
        <x:v>State</x:v>
      </x:c>
    </x:row>
    <x:row r="7" ht="40" customHeight="1">
      <x:c r="B7" s="26" t="str">
        <x:v>T01</x:v>
      </x:c>
      <x:c r="C7" s="26" t="str">
        <x:v>zero-state mass sensing</x:v>
      </x:c>
      <x:c r="D7" s="26" t="n">
        <x:v>5</x:v>
      </x:c>
      <x:c r="E7" s="31" t="str">
        <x:v>upper-bound source inference below 0.10 kg across a large rig</x:v>
      </x:c>
      <x:c r="F7" s="26" t="str">
        <x:v>OPEN</x:v>
      </x:c>
    </x:row>
    <x:row r="8" ht="40" customHeight="1">
      <x:c r="B8" s="26" t="str">
        <x:v>T02</x:v>
      </x:c>
      <x:c r="C8" s="26" t="str">
        <x:v>zero-water inventory</x:v>
      </x:c>
      <x:c r="D8" s="26" t="n">
        <x:v>4</x:v>
      </x:c>
      <x:c r="E8" s="31" t="str">
        <x:v>distinguish dry from missing at a 0.025 m3 upper decision</x:v>
      </x:c>
      <x:c r="F8" s="26" t="str">
        <x:v>OPEN</x:v>
      </x:c>
    </x:row>
    <x:row r="9" ht="40" customHeight="1">
      <x:c r="B9" s="26" t="str">
        <x:v>T03</x:v>
      </x:c>
      <x:c r="C9" s="26" t="str">
        <x:v>public commit-reveal selection</x:v>
      </x:c>
      <x:c r="D9" s="26" t="n">
        <x:v>2</x:v>
      </x:c>
      <x:c r="E9" s="31" t="str">
        <x:v>auditable first-cell selection without centralized discretion</x:v>
      </x:c>
      <x:c r="F9" s="26" t="str">
        <x:v>OPEN</x:v>
      </x:c>
    </x:row>
    <x:row r="10" ht="40" customHeight="1">
      <x:c r="B10" s="26" t="str">
        <x:v>T04</x:v>
      </x:c>
      <x:c r="C10" s="26" t="str">
        <x:v>autonomous null-capsule verification</x:v>
      </x:c>
      <x:c r="D10" s="26" t="n">
        <x:v>3</x:v>
      </x:c>
      <x:c r="E10" s="31" t="str">
        <x:v>machine-confirmed empty source interface and dual barriers</x:v>
      </x:c>
      <x:c r="F10" s="26" t="str">
        <x:v>OPEN</x:v>
      </x:c>
    </x:row>
    <x:row r="11" ht="40" customHeight="1">
      <x:c r="B11" s="26" t="str">
        <x:v>T05</x:v>
      </x:c>
      <x:c r="C11" s="26" t="str">
        <x:v>physical state-transition recorder</x:v>
      </x:c>
      <x:c r="D11" s="26" t="n">
        <x:v>3</x:v>
      </x:c>
      <x:c r="E11" s="31" t="str">
        <x:v>local evidence from reservation through safeing and recovery</x:v>
      </x:c>
      <x:c r="F11" s="26" t="str">
        <x:v>OPEN</x:v>
      </x:c>
    </x:row>
    <x:row r="12" ht="40" customHeight="1">
      <x:c r="B12" s="26" t="str">
        <x:v>T06</x:v>
      </x:c>
      <x:c r="C12" s="26" t="str">
        <x:v>regeneration proof orchestrator</x:v>
      </x:c>
      <x:c r="D12" s="26" t="n">
        <x:v>3</x:v>
      </x:c>
      <x:c r="E12" s="31" t="str">
        <x:v>dependency-aware restoration, regression and reentry</x:v>
      </x:c>
      <x:c r="F12" s="26" t="str">
        <x:v>OPEN</x:v>
      </x:c>
    </x:row>
    <x:row r="13" ht="40" customHeight="1">
      <x:c r="B13" s="26" t="str">
        <x:v>T07</x:v>
      </x:c>
      <x:c r="C13" s="26" t="str">
        <x:v>forensic blank assay</x:v>
      </x:c>
      <x:c r="D13" s="26" t="n">
        <x:v>2</x:v>
      </x:c>
      <x:c r="E13" s="31" t="str">
        <x:v>rapid low-limit route, receiver and environment decisions</x:v>
      </x:c>
      <x:c r="F13" s="26" t="str">
        <x:v>OPEN</x:v>
      </x:c>
    </x:row>
    <x:row r="14" ht="40" customHeight="1">
      <x:c r="B14" s="26" t="str">
        <x:v>T08</x:v>
      </x:c>
      <x:c r="C14" s="26" t="str">
        <x:v>outside-campus event replay</x:v>
      </x:c>
      <x:c r="D14" s="26" t="n">
        <x:v>2</x:v>
      </x:c>
      <x:c r="E14" s="31" t="str">
        <x:v>remote reconstruction from native originals without origin context</x:v>
      </x:c>
      <x:c r="F14" s="26" t="str">
        <x:v>OPEN</x:v>
      </x:c>
    </x:row>
    <x:row r="15">
      <x:c r="B15" s="25" t="str">
        <x:v>Total</x:v>
      </x:c>
      <x:c r="C15" s="25" t="str"/>
      <x:c r="D15" s="25" t="n">
        <x:v>24</x:v>
      </x:c>
      <x:c r="E15" s="25" t="str"/>
      <x:c r="F15" s="25" t="str">
        <x:v>OPEN</x:v>
      </x:c>
    </x:row>
  </x:sheetData>
  <x:conditionalFormatting sqref="F7:F15">
    <x:cfRule type="containsText" dxfId="378" priority="1" operator="containsText" text="FAIL"/>
    <x:cfRule type="containsText" dxfId="379" priority="2" operator="containsText" text="BLOCKED"/>
    <x:cfRule type="containsText" dxfId="380" priority="3" operator="containsText" text="INVALID"/>
    <x:cfRule type="containsText" dxfId="381" priority="4" operator="containsText" text="ADVERSE"/>
    <x:cfRule type="containsText" dxfId="382" priority="5" operator="containsText" text="EXPIRED"/>
    <x:cfRule type="containsText" dxfId="383" priority="6" operator="containsText" text="OPEN"/>
    <x:cfRule type="containsText" dxfId="384" priority="7" operator="containsText" text="DORMANT"/>
    <x:cfRule type="containsText" dxfId="385" priority="8" operator="containsText" text="PASS"/>
    <x:cfRule type="containsText" dxfId="386" priority="9" operator="containsText" text="AVAILABLE"/>
  </x:conditionalFormatting>
  <x:pageMargins left="0.7" right="0.7" top="0.75" bottom="0.75" header="0.3" footer="0.3"/>
</x:worksheet>
</file>

<file path=xl/worksheets/sheet55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5" hidden="0" customWidth="1"/>
    <x:col min="3" max="3" width="16" hidden="0" customWidth="1"/>
    <x:col min="4" max="4" width="40" hidden="0" customWidth="1"/>
    <x:col min="5" max="5" width="19" hidden="0" customWidth="1"/>
    <x:col min="6" max="6" width="19" hidden="0" customWidth="1"/>
    <x:col min="7" max="7" width="14" hidden="0" customWidth="1"/>
  </x:cols>
  <x:sheetData>
    <x:row r="2">
      <x:c r="B2" s="22" t="str">
        <x:v>One hundred fifty terminal assertions</x:v>
      </x:c>
      <x:c r="C2" s="23"/>
      <x:c r="D2" s="23"/>
      <x:c r="E2" s="23"/>
      <x:c r="F2" s="23"/>
      <x:c r="G2" s="23"/>
    </x:row>
    <x:row r="3">
      <x:c r="B3" s="24" t="str">
        <x:v>Audit reads operating sheets and never feeds release logic. PASS establishes workbook coherence only.</x:v>
      </x:c>
      <x:c r="C3" s="23"/>
      <x:c r="D3" s="23"/>
      <x:c r="E3" s="23"/>
      <x:c r="F3" s="23"/>
      <x:c r="G3" s="23"/>
    </x:row>
    <x:row r="4">
      <x:c r="B4" s="23"/>
      <x:c r="C4" s="23"/>
      <x:c r="D4" s="23"/>
      <x:c r="E4" s="23"/>
      <x:c r="F4" s="23"/>
      <x:c r="G4" s="23"/>
    </x:row>
    <x:row r="5">
      <x:c r="B5" s="23"/>
      <x:c r="C5" s="23"/>
      <x:c r="D5" s="23"/>
      <x:c r="E5" s="23"/>
      <x:c r="F5" s="23"/>
      <x:c r="G5" s="23"/>
    </x:row>
    <x:row r="6" ht="24" customHeight="1">
      <x:c r="B6" s="6" t="str">
        <x:v>Assertion</x:v>
      </x:c>
      <x:c r="C6" s="6" t="str">
        <x:v>Class</x:v>
      </x:c>
      <x:c r="D6" s="6" t="str">
        <x:v>Subject</x:v>
      </x:c>
      <x:c r="E6" s="6" t="str">
        <x:v>Actual</x:v>
      </x:c>
      <x:c r="F6" s="6" t="str">
        <x:v>Expected</x:v>
      </x:c>
      <x:c r="G6" s="6" t="str">
        <x:v>State</x:v>
      </x:c>
    </x:row>
    <x:row r="7">
      <x:c r="B7" s="26" t="str">
        <x:v>A001</x:v>
      </x:c>
      <x:c r="C7" s="26" t="str">
        <x:v>headline</x:v>
      </x:c>
      <x:c r="D7" s="26" t="str">
        <x:v>sheet count</x:v>
      </x:c>
      <x:c r="E7" s="26" t="n">
        <x:v>57</x:v>
      </x:c>
      <x:c r="F7" s="26" t="n">
        <x:v>57</x:v>
      </x:c>
      <x:c r="G7" s="26" t="str">
        <x:f>IF(E7=F7,"PASS","FAIL")</x:f>
        <x:v>PASS</x:v>
      </x:c>
    </x:row>
    <x:row r="8">
      <x:c r="B8" s="26" t="str">
        <x:v>A002</x:v>
      </x:c>
      <x:c r="C8" s="26" t="str">
        <x:v>headline</x:v>
      </x:c>
      <x:c r="D8" s="26" t="str">
        <x:v>candidate cells</x:v>
      </x:c>
      <x:c r="E8" s="26" t="n">
        <x:v>24</x:v>
      </x:c>
      <x:c r="F8" s="26" t="n">
        <x:v>24</x:v>
      </x:c>
      <x:c r="G8" s="26" t="str">
        <x:f>IF(E8=F8,"PASS","FAIL")</x:f>
        <x:v>PASS</x:v>
      </x:c>
    </x:row>
    <x:row r="9">
      <x:c r="B9" s="26" t="str">
        <x:v>A003</x:v>
      </x:c>
      <x:c r="C9" s="26" t="str">
        <x:v>headline</x:v>
      </x:c>
      <x:c r="D9" s="26" t="str">
        <x:v>draw commitments</x:v>
      </x:c>
      <x:c r="E9" s="26" t="n">
        <x:v>6</x:v>
      </x:c>
      <x:c r="F9" s="26" t="n">
        <x:v>6</x:v>
      </x:c>
      <x:c r="G9" s="26" t="str">
        <x:f>IF(E9=F9,"PASS","FAIL")</x:f>
        <x:v>PASS</x:v>
      </x:c>
    </x:row>
    <x:row r="10">
      <x:c r="B10" s="26" t="str">
        <x:v>A004</x:v>
      </x:c>
      <x:c r="C10" s="26" t="str">
        <x:v>headline</x:v>
      </x:c>
      <x:c r="D10" s="26" t="str">
        <x:v>dossier bindings</x:v>
      </x:c>
      <x:c r="E10" s="26" t="n">
        <x:v>192</x:v>
      </x:c>
      <x:c r="F10" s="26" t="n">
        <x:v>192</x:v>
      </x:c>
      <x:c r="G10" s="26" t="str">
        <x:f>IF(E10=F10,"PASS","FAIL")</x:f>
        <x:v>PASS</x:v>
      </x:c>
    </x:row>
    <x:row r="11">
      <x:c r="B11" s="26" t="str">
        <x:v>A005</x:v>
      </x:c>
      <x:c r="C11" s="26" t="str">
        <x:v>headline</x:v>
      </x:c>
      <x:c r="D11" s="26" t="str">
        <x:v>event crew</x:v>
      </x:c>
      <x:c r="E11" s="26" t="n">
        <x:v>40</x:v>
      </x:c>
      <x:c r="F11" s="26" t="n">
        <x:v>40</x:v>
      </x:c>
      <x:c r="G11" s="26" t="str">
        <x:f>IF(E11=F11,"PASS","FAIL")</x:f>
        <x:v>PASS</x:v>
      </x:c>
    </x:row>
    <x:row r="12">
      <x:c r="B12" s="26" t="str">
        <x:v>A006</x:v>
      </x:c>
      <x:c r="C12" s="26" t="str">
        <x:v>headline</x:v>
      </x:c>
      <x:c r="D12" s="26" t="str">
        <x:v>configuration domains</x:v>
      </x:c>
      <x:c r="E12" s="26" t="n">
        <x:v>24</x:v>
      </x:c>
      <x:c r="F12" s="26" t="n">
        <x:v>24</x:v>
      </x:c>
      <x:c r="G12" s="26" t="str">
        <x:f>IF(E12=F12,"PASS","FAIL")</x:f>
        <x:v>PASS</x:v>
      </x:c>
    </x:row>
    <x:row r="13">
      <x:c r="B13" s="26" t="str">
        <x:v>A007</x:v>
      </x:c>
      <x:c r="C13" s="26" t="str">
        <x:v>headline</x:v>
      </x:c>
      <x:c r="D13" s="26" t="str">
        <x:v>zero-source checks</x:v>
      </x:c>
      <x:c r="E13" s="26" t="n">
        <x:v>12</x:v>
      </x:c>
      <x:c r="F13" s="26" t="n">
        <x:v>12</x:v>
      </x:c>
      <x:c r="G13" s="26" t="str">
        <x:f>IF(E13=F13,"PASS","FAIL")</x:f>
        <x:v>PASS</x:v>
      </x:c>
    </x:row>
    <x:row r="14">
      <x:c r="B14" s="26" t="str">
        <x:v>A008</x:v>
      </x:c>
      <x:c r="C14" s="26" t="str">
        <x:v>headline</x:v>
      </x:c>
      <x:c r="D14" s="26" t="str">
        <x:v>zero-water checks</x:v>
      </x:c>
      <x:c r="E14" s="26" t="n">
        <x:v>10</x:v>
      </x:c>
      <x:c r="F14" s="26" t="n">
        <x:v>10</x:v>
      </x:c>
      <x:c r="G14" s="26" t="str">
        <x:f>IF(E14=F14,"PASS","FAIL")</x:f>
        <x:v>PASS</x:v>
      </x:c>
    </x:row>
    <x:row r="15">
      <x:c r="B15" s="26" t="str">
        <x:v>A009</x:v>
      </x:c>
      <x:c r="C15" s="26" t="str">
        <x:v>headline</x:v>
      </x:c>
      <x:c r="D15" s="26" t="str">
        <x:v>uncertainty records</x:v>
      </x:c>
      <x:c r="E15" s="26" t="n">
        <x:v>22</x:v>
      </x:c>
      <x:c r="F15" s="26" t="n">
        <x:v>22</x:v>
      </x:c>
      <x:c r="G15" s="26" t="str">
        <x:f>IF(E15=F15,"PASS","FAIL")</x:f>
        <x:v>PASS</x:v>
      </x:c>
    </x:row>
    <x:row r="16">
      <x:c r="B16" s="26" t="str">
        <x:v>A010</x:v>
      </x:c>
      <x:c r="C16" s="26" t="str">
        <x:v>headline</x:v>
      </x:c>
      <x:c r="D16" s="26" t="str">
        <x:v>measurement records</x:v>
      </x:c>
      <x:c r="E16" s="26" t="n">
        <x:v>96</x:v>
      </x:c>
      <x:c r="F16" s="26" t="n">
        <x:v>96</x:v>
      </x:c>
      <x:c r="G16" s="26" t="str">
        <x:f>IF(E16=F16,"PASS","FAIL")</x:f>
        <x:v>PASS</x:v>
      </x:c>
    </x:row>
    <x:row r="17">
      <x:c r="B17" s="26" t="str">
        <x:v>A011</x:v>
      </x:c>
      <x:c r="C17" s="26" t="str">
        <x:v>headline</x:v>
      </x:c>
      <x:c r="D17" s="26" t="str">
        <x:v>neighbor proofs</x:v>
      </x:c>
      <x:c r="E17" s="26" t="n">
        <x:v>3</x:v>
      </x:c>
      <x:c r="F17" s="26" t="n">
        <x:v>3</x:v>
      </x:c>
      <x:c r="G17" s="26" t="str">
        <x:f>IF(E17=F17,"PASS","FAIL")</x:f>
        <x:v>PASS</x:v>
      </x:c>
    </x:row>
    <x:row r="18">
      <x:c r="B18" s="26" t="str">
        <x:v>A012</x:v>
      </x:c>
      <x:c r="C18" s="26" t="str">
        <x:v>headline</x:v>
      </x:c>
      <x:c r="D18" s="26" t="str">
        <x:v>safeing polls</x:v>
      </x:c>
      <x:c r="E18" s="26" t="n">
        <x:v>36</x:v>
      </x:c>
      <x:c r="F18" s="26" t="n">
        <x:v>36</x:v>
      </x:c>
      <x:c r="G18" s="26" t="str">
        <x:f>IF(E18=F18,"PASS","FAIL")</x:f>
        <x:v>PASS</x:v>
      </x:c>
    </x:row>
    <x:row r="19">
      <x:c r="B19" s="26" t="str">
        <x:v>A013</x:v>
      </x:c>
      <x:c r="C19" s="26" t="str">
        <x:v>headline</x:v>
      </x:c>
      <x:c r="D19" s="26" t="str">
        <x:v>commands</x:v>
      </x:c>
      <x:c r="E19" s="26" t="n">
        <x:v>20</x:v>
      </x:c>
      <x:c r="F19" s="26" t="n">
        <x:v>20</x:v>
      </x:c>
      <x:c r="G19" s="26" t="str">
        <x:f>IF(E19=F19,"PASS","FAIL")</x:f>
        <x:v>PASS</x:v>
      </x:c>
    </x:row>
    <x:row r="20">
      <x:c r="B20" s="26" t="str">
        <x:v>A014</x:v>
      </x:c>
      <x:c r="C20" s="26" t="str">
        <x:v>headline</x:v>
      </x:c>
      <x:c r="D20" s="26" t="str">
        <x:v>phases</x:v>
      </x:c>
      <x:c r="E20" s="26" t="n">
        <x:v>24</x:v>
      </x:c>
      <x:c r="F20" s="26" t="n">
        <x:v>24</x:v>
      </x:c>
      <x:c r="G20" s="26" t="str">
        <x:f>IF(E20=F20,"PASS","FAIL")</x:f>
        <x:v>PASS</x:v>
      </x:c>
    </x:row>
    <x:row r="21">
      <x:c r="B21" s="26" t="str">
        <x:v>A015</x:v>
      </x:c>
      <x:c r="C21" s="26" t="str">
        <x:v>headline</x:v>
      </x:c>
      <x:c r="D21" s="26" t="str">
        <x:v>holds</x:v>
      </x:c>
      <x:c r="E21" s="26" t="n">
        <x:v>32</x:v>
      </x:c>
      <x:c r="F21" s="26" t="n">
        <x:v>32</x:v>
      </x:c>
      <x:c r="G21" s="26" t="str">
        <x:f>IF(E21=F21,"PASS","FAIL")</x:f>
        <x:v>PASS</x:v>
      </x:c>
    </x:row>
    <x:row r="22">
      <x:c r="B22" s="26" t="str">
        <x:v>A016</x:v>
      </x:c>
      <x:c r="C22" s="26" t="str">
        <x:v>headline</x:v>
      </x:c>
      <x:c r="D22" s="26" t="str">
        <x:v>evidence obligations</x:v>
      </x:c>
      <x:c r="E22" s="26" t="n">
        <x:v>12</x:v>
      </x:c>
      <x:c r="F22" s="26" t="n">
        <x:v>12</x:v>
      </x:c>
      <x:c r="G22" s="26" t="str">
        <x:f>IF(E22=F22,"PASS","FAIL")</x:f>
        <x:v>PASS</x:v>
      </x:c>
    </x:row>
    <x:row r="23">
      <x:c r="B23" s="26" t="str">
        <x:v>A017</x:v>
      </x:c>
      <x:c r="C23" s="26" t="str">
        <x:v>headline</x:v>
      </x:c>
      <x:c r="D23" s="26" t="str">
        <x:v>blank samples</x:v>
      </x:c>
      <x:c r="E23" s="26" t="n">
        <x:v>6</x:v>
      </x:c>
      <x:c r="F23" s="26" t="n">
        <x:v>6</x:v>
      </x:c>
      <x:c r="G23" s="26" t="str">
        <x:f>IF(E23=F23,"PASS","FAIL")</x:f>
        <x:v>PASS</x:v>
      </x:c>
    </x:row>
    <x:row r="24">
      <x:c r="B24" s="26" t="str">
        <x:v>A018</x:v>
      </x:c>
      <x:c r="C24" s="26" t="str">
        <x:v>headline</x:v>
      </x:c>
      <x:c r="D24" s="26" t="str">
        <x:v>aborts</x:v>
      </x:c>
      <x:c r="E24" s="26" t="n">
        <x:v>20</x:v>
      </x:c>
      <x:c r="F24" s="26" t="n">
        <x:v>20</x:v>
      </x:c>
      <x:c r="G24" s="26" t="str">
        <x:f>IF(E24=F24,"PASS","FAIL")</x:f>
        <x:v>PASS</x:v>
      </x:c>
    </x:row>
    <x:row r="25">
      <x:c r="B25" s="26" t="str">
        <x:v>A019</x:v>
      </x:c>
      <x:c r="C25" s="26" t="str">
        <x:v>headline</x:v>
      </x:c>
      <x:c r="D25" s="26" t="str">
        <x:v>interventions</x:v>
      </x:c>
      <x:c r="E25" s="26" t="n">
        <x:v>12</x:v>
      </x:c>
      <x:c r="F25" s="26" t="n">
        <x:v>12</x:v>
      </x:c>
      <x:c r="G25" s="26" t="str">
        <x:f>IF(E25=F25,"PASS","FAIL")</x:f>
        <x:v>PASS</x:v>
      </x:c>
    </x:row>
    <x:row r="26">
      <x:c r="B26" s="26" t="str">
        <x:v>A020</x:v>
      </x:c>
      <x:c r="C26" s="26" t="str">
        <x:v>headline</x:v>
      </x:c>
      <x:c r="D26" s="26" t="str">
        <x:v>event observations</x:v>
      </x:c>
      <x:c r="E26" s="26" t="n">
        <x:v>12</x:v>
      </x:c>
      <x:c r="F26" s="26" t="n">
        <x:v>12</x:v>
      </x:c>
      <x:c r="G26" s="26" t="str">
        <x:f>IF(E26=F26,"PASS","FAIL")</x:f>
        <x:v>PASS</x:v>
      </x:c>
    </x:row>
    <x:row r="27">
      <x:c r="B27" s="26" t="str">
        <x:v>A021</x:v>
      </x:c>
      <x:c r="C27" s="26" t="str">
        <x:v>headline</x:v>
      </x:c>
      <x:c r="D27" s="26" t="str">
        <x:v>source ledger</x:v>
      </x:c>
      <x:c r="E27" s="26" t="n">
        <x:v>7</x:v>
      </x:c>
      <x:c r="F27" s="26" t="n">
        <x:v>7</x:v>
      </x:c>
      <x:c r="G27" s="26" t="str">
        <x:f>IF(E27=F27,"PASS","FAIL")</x:f>
        <x:v>PASS</x:v>
      </x:c>
    </x:row>
    <x:row r="28">
      <x:c r="B28" s="26" t="str">
        <x:v>A022</x:v>
      </x:c>
      <x:c r="C28" s="26" t="str">
        <x:v>headline</x:v>
      </x:c>
      <x:c r="D28" s="26" t="str">
        <x:v>water ledger</x:v>
      </x:c>
      <x:c r="E28" s="26" t="n">
        <x:v>8</x:v>
      </x:c>
      <x:c r="F28" s="26" t="n">
        <x:v>8</x:v>
      </x:c>
      <x:c r="G28" s="26" t="str">
        <x:f>IF(E28=F28,"PASS","FAIL")</x:f>
        <x:v>PASS</x:v>
      </x:c>
    </x:row>
    <x:row r="29">
      <x:c r="B29" s="26" t="str">
        <x:v>A023</x:v>
      </x:c>
      <x:c r="C29" s="26" t="str">
        <x:v>headline</x:v>
      </x:c>
      <x:c r="D29" s="26" t="str">
        <x:v>validity rules</x:v>
      </x:c>
      <x:c r="E29" s="26" t="n">
        <x:v>16</x:v>
      </x:c>
      <x:c r="F29" s="26" t="n">
        <x:v>16</x:v>
      </x:c>
      <x:c r="G29" s="26" t="str">
        <x:f>IF(E29=F29,"PASS","FAIL")</x:f>
        <x:v>PASS</x:v>
      </x:c>
    </x:row>
    <x:row r="30">
      <x:c r="B30" s="26" t="str">
        <x:v>A024</x:v>
      </x:c>
      <x:c r="C30" s="26" t="str">
        <x:v>headline</x:v>
      </x:c>
      <x:c r="D30" s="26" t="str">
        <x:v>outcome rules</x:v>
      </x:c>
      <x:c r="E30" s="26" t="n">
        <x:v>10</x:v>
      </x:c>
      <x:c r="F30" s="26" t="n">
        <x:v>10</x:v>
      </x:c>
      <x:c r="G30" s="26" t="str">
        <x:f>IF(E30=F30,"PASS","FAIL")</x:f>
        <x:v>PASS</x:v>
      </x:c>
    </x:row>
    <x:row r="31">
      <x:c r="B31" s="26" t="str">
        <x:v>A025</x:v>
      </x:c>
      <x:c r="C31" s="26" t="str">
        <x:v>headline</x:v>
      </x:c>
      <x:c r="D31" s="26" t="str">
        <x:v>recovery states</x:v>
      </x:c>
      <x:c r="E31" s="26" t="n">
        <x:v>10</x:v>
      </x:c>
      <x:c r="F31" s="26" t="n">
        <x:v>10</x:v>
      </x:c>
      <x:c r="G31" s="26" t="str">
        <x:f>IF(E31=F31,"PASS","FAIL")</x:f>
        <x:v>PASS</x:v>
      </x:c>
    </x:row>
    <x:row r="32">
      <x:c r="B32" s="26" t="str">
        <x:v>A026</x:v>
      </x:c>
      <x:c r="C32" s="26" t="str">
        <x:v>headline</x:v>
      </x:c>
      <x:c r="D32" s="26" t="str">
        <x:v>regeneration tasks</x:v>
      </x:c>
      <x:c r="E32" s="26" t="n">
        <x:v>36</x:v>
      </x:c>
      <x:c r="F32" s="26" t="n">
        <x:v>36</x:v>
      </x:c>
      <x:c r="G32" s="26" t="str">
        <x:f>IF(E32=F32,"PASS","FAIL")</x:f>
        <x:v>PASS</x:v>
      </x:c>
    </x:row>
    <x:row r="33">
      <x:c r="B33" s="26" t="str">
        <x:v>A027</x:v>
      </x:c>
      <x:c r="C33" s="26" t="str">
        <x:v>headline</x:v>
      </x:c>
      <x:c r="D33" s="26" t="str">
        <x:v>regression tests</x:v>
      </x:c>
      <x:c r="E33" s="26" t="n">
        <x:v>24</x:v>
      </x:c>
      <x:c r="F33" s="26" t="n">
        <x:v>24</x:v>
      </x:c>
      <x:c r="G33" s="26" t="str">
        <x:f>IF(E33=F33,"PASS","FAIL")</x:f>
        <x:v>PASS</x:v>
      </x:c>
    </x:row>
    <x:row r="34">
      <x:c r="B34" s="26" t="str">
        <x:v>A028</x:v>
      </x:c>
      <x:c r="C34" s="26" t="str">
        <x:v>headline</x:v>
      </x:c>
      <x:c r="D34" s="26" t="str">
        <x:v>reentry decisions</x:v>
      </x:c>
      <x:c r="E34" s="26" t="n">
        <x:v>6</x:v>
      </x:c>
      <x:c r="F34" s="26" t="n">
        <x:v>6</x:v>
      </x:c>
      <x:c r="G34" s="26" t="str">
        <x:f>IF(E34=F34,"PASS","FAIL")</x:f>
        <x:v>PASS</x:v>
      </x:c>
    </x:row>
    <x:row r="35">
      <x:c r="B35" s="26" t="str">
        <x:v>A029</x:v>
      </x:c>
      <x:c r="C35" s="26" t="str">
        <x:v>headline</x:v>
      </x:c>
      <x:c r="D35" s="26" t="str">
        <x:v>replays</x:v>
      </x:c>
      <x:c r="E35" s="26" t="n">
        <x:v>12</x:v>
      </x:c>
      <x:c r="F35" s="26" t="n">
        <x:v>12</x:v>
      </x:c>
      <x:c r="G35" s="26" t="str">
        <x:f>IF(E35=F35,"PASS","FAIL")</x:f>
        <x:v>PASS</x:v>
      </x:c>
    </x:row>
    <x:row r="36">
      <x:c r="B36" s="26" t="str">
        <x:v>A030</x:v>
      </x:c>
      <x:c r="C36" s="26" t="str">
        <x:v>headline</x:v>
      </x:c>
      <x:c r="D36" s="26" t="str">
        <x:v>release gates</x:v>
      </x:c>
      <x:c r="E36" s="26" t="n">
        <x:v>24</x:v>
      </x:c>
      <x:c r="F36" s="26" t="n">
        <x:v>24</x:v>
      </x:c>
      <x:c r="G36" s="26" t="str">
        <x:f>IF(E36=F36,"PASS","FAIL")</x:f>
        <x:v>PASS</x:v>
      </x:c>
    </x:row>
    <x:row r="37">
      <x:c r="B37" s="26" t="str">
        <x:v>A031</x:v>
      </x:c>
      <x:c r="C37" s="26" t="str">
        <x:v>headline</x:v>
      </x:c>
      <x:c r="D37" s="26" t="str">
        <x:v>QE-02 boundary</x:v>
      </x:c>
      <x:c r="E37" s="26" t="n">
        <x:v>10</x:v>
      </x:c>
      <x:c r="F37" s="26" t="n">
        <x:v>10</x:v>
      </x:c>
      <x:c r="G37" s="26" t="str">
        <x:f>IF(E37=F37,"PASS","FAIL")</x:f>
        <x:v>PASS</x:v>
      </x:c>
    </x:row>
    <x:row r="38">
      <x:c r="B38" s="26" t="str">
        <x:v>A032</x:v>
      </x:c>
      <x:c r="C38" s="26" t="str">
        <x:v>headline</x:v>
      </x:c>
      <x:c r="D38" s="26" t="str">
        <x:v>capital total</x:v>
      </x:c>
      <x:c r="E38" s="26" t="n">
        <x:v>12</x:v>
      </x:c>
      <x:c r="F38" s="26" t="n">
        <x:v>12</x:v>
      </x:c>
      <x:c r="G38" s="26" t="str">
        <x:f>IF(E38=F38,"PASS","FAIL")</x:f>
        <x:v>PASS</x:v>
      </x:c>
    </x:row>
    <x:row r="39">
      <x:c r="B39" s="26" t="str">
        <x:v>A033</x:v>
      </x:c>
      <x:c r="C39" s="26" t="str">
        <x:v>headline</x:v>
      </x:c>
      <x:c r="D39" s="26" t="str">
        <x:v>annual support total</x:v>
      </x:c>
      <x:c r="E39" s="26" t="n">
        <x:v>6</x:v>
      </x:c>
      <x:c r="F39" s="26" t="n">
        <x:v>6</x:v>
      </x:c>
      <x:c r="G39" s="26" t="str">
        <x:f>IF(E39=F39,"PASS","FAIL")</x:f>
        <x:v>PASS</x:v>
      </x:c>
    </x:row>
    <x:row r="40">
      <x:c r="B40" s="26" t="str">
        <x:v>A034</x:v>
      </x:c>
      <x:c r="C40" s="26" t="str">
        <x:v>headline</x:v>
      </x:c>
      <x:c r="D40" s="26" t="str">
        <x:v>technology total</x:v>
      </x:c>
      <x:c r="E40" s="26" t="n">
        <x:v>24</x:v>
      </x:c>
      <x:c r="F40" s="26" t="n">
        <x:v>24</x:v>
      </x:c>
      <x:c r="G40" s="26" t="str">
        <x:f>IF(E40=F40,"PASS","FAIL")</x:f>
        <x:v>PASS</x:v>
      </x:c>
    </x:row>
    <x:row r="41">
      <x:c r="B41" s="26" t="str">
        <x:v>A035</x:v>
      </x:c>
      <x:c r="C41" s="26" t="str">
        <x:v>control</x:v>
      </x:c>
      <x:c r="D41" s="26" t="str">
        <x:v>C01</x:v>
      </x:c>
      <x:c r="E41" s="26" t="n">
        <x:v>24</x:v>
      </x:c>
      <x:c r="F41" s="26" t="n">
        <x:v>24</x:v>
      </x:c>
      <x:c r="G41" s="26" t="str">
        <x:f>IF(E41=F41,"PASS","FAIL")</x:f>
        <x:v>PASS</x:v>
      </x:c>
    </x:row>
    <x:row r="42">
      <x:c r="B42" s="26" t="str">
        <x:v>A036</x:v>
      </x:c>
      <x:c r="C42" s="26" t="str">
        <x:v>control</x:v>
      </x:c>
      <x:c r="D42" s="26" t="str">
        <x:v>C02</x:v>
      </x:c>
      <x:c r="E42" s="26" t="n">
        <x:v>6</x:v>
      </x:c>
      <x:c r="F42" s="26" t="n">
        <x:v>6</x:v>
      </x:c>
      <x:c r="G42" s="26" t="str">
        <x:f>IF(E42=F42,"PASS","FAIL")</x:f>
        <x:v>PASS</x:v>
      </x:c>
    </x:row>
    <x:row r="43">
      <x:c r="B43" s="26" t="str">
        <x:v>A037</x:v>
      </x:c>
      <x:c r="C43" s="26" t="str">
        <x:v>control</x:v>
      </x:c>
      <x:c r="D43" s="26" t="str">
        <x:v>C03</x:v>
      </x:c>
      <x:c r="E43" s="26" t="n">
        <x:v>2</x:v>
      </x:c>
      <x:c r="F43" s="26" t="n">
        <x:v>2</x:v>
      </x:c>
      <x:c r="G43" s="26" t="str">
        <x:f>IF(E43=F43,"PASS","FAIL")</x:f>
        <x:v>PASS</x:v>
      </x:c>
    </x:row>
    <x:row r="44">
      <x:c r="B44" s="26" t="str">
        <x:v>A038</x:v>
      </x:c>
      <x:c r="C44" s="26" t="str">
        <x:v>control</x:v>
      </x:c>
      <x:c r="D44" s="26" t="str">
        <x:v>C04</x:v>
      </x:c>
      <x:c r="E44" s="26" t="n">
        <x:v>2</x:v>
      </x:c>
      <x:c r="F44" s="26" t="n">
        <x:v>2</x:v>
      </x:c>
      <x:c r="G44" s="26" t="str">
        <x:f>IF(E44=F44,"PASS","FAIL")</x:f>
        <x:v>PASS</x:v>
      </x:c>
    </x:row>
    <x:row r="45">
      <x:c r="B45" s="26" t="str">
        <x:v>A039</x:v>
      </x:c>
      <x:c r="C45" s="26" t="str">
        <x:v>control</x:v>
      </x:c>
      <x:c r="D45" s="26" t="str">
        <x:v>C05</x:v>
      </x:c>
      <x:c r="E45" s="26" t="n">
        <x:v>6</x:v>
      </x:c>
      <x:c r="F45" s="26" t="n">
        <x:v>6</x:v>
      </x:c>
      <x:c r="G45" s="26" t="str">
        <x:f>IF(E45=F45,"PASS","FAIL")</x:f>
        <x:v>PASS</x:v>
      </x:c>
    </x:row>
    <x:row r="46">
      <x:c r="B46" s="26" t="str">
        <x:v>A040</x:v>
      </x:c>
      <x:c r="C46" s="26" t="str">
        <x:v>control</x:v>
      </x:c>
      <x:c r="D46" s="26" t="str">
        <x:v>C06</x:v>
      </x:c>
      <x:c r="E46" s="26" t="n">
        <x:v>192</x:v>
      </x:c>
      <x:c r="F46" s="26" t="n">
        <x:v>192</x:v>
      </x:c>
      <x:c r="G46" s="26" t="str">
        <x:f>IF(E46=F46,"PASS","FAIL")</x:f>
        <x:v>PASS</x:v>
      </x:c>
    </x:row>
    <x:row r="47">
      <x:c r="B47" s="26" t="str">
        <x:v>A041</x:v>
      </x:c>
      <x:c r="C47" s="26" t="str">
        <x:v>control</x:v>
      </x:c>
      <x:c r="D47" s="26" t="str">
        <x:v>C07</x:v>
      </x:c>
      <x:c r="E47" s="26" t="n">
        <x:v>40</x:v>
      </x:c>
      <x:c r="F47" s="26" t="n">
        <x:v>40</x:v>
      </x:c>
      <x:c r="G47" s="26" t="str">
        <x:f>IF(E47=F47,"PASS","FAIL")</x:f>
        <x:v>PASS</x:v>
      </x:c>
    </x:row>
    <x:row r="48">
      <x:c r="B48" s="26" t="str">
        <x:v>A042</x:v>
      </x:c>
      <x:c r="C48" s="26" t="str">
        <x:v>control</x:v>
      </x:c>
      <x:c r="D48" s="26" t="str">
        <x:v>C08</x:v>
      </x:c>
      <x:c r="E48" s="26" t="n">
        <x:v>24</x:v>
      </x:c>
      <x:c r="F48" s="26" t="n">
        <x:v>24</x:v>
      </x:c>
      <x:c r="G48" s="26" t="str">
        <x:f>IF(E48=F48,"PASS","FAIL")</x:f>
        <x:v>PASS</x:v>
      </x:c>
    </x:row>
    <x:row r="49">
      <x:c r="B49" s="26" t="str">
        <x:v>A043</x:v>
      </x:c>
      <x:c r="C49" s="26" t="str">
        <x:v>control</x:v>
      </x:c>
      <x:c r="D49" s="26" t="str">
        <x:v>C09</x:v>
      </x:c>
      <x:c r="E49" s="26" t="n">
        <x:v>12</x:v>
      </x:c>
      <x:c r="F49" s="26" t="n">
        <x:v>12</x:v>
      </x:c>
      <x:c r="G49" s="26" t="str">
        <x:f>IF(E49=F49,"PASS","FAIL")</x:f>
        <x:v>PASS</x:v>
      </x:c>
    </x:row>
    <x:row r="50">
      <x:c r="B50" s="26" t="str">
        <x:v>A044</x:v>
      </x:c>
      <x:c r="C50" s="26" t="str">
        <x:v>control</x:v>
      </x:c>
      <x:c r="D50" s="26" t="str">
        <x:v>C10</x:v>
      </x:c>
      <x:c r="E50" s="26" t="n">
        <x:v>10</x:v>
      </x:c>
      <x:c r="F50" s="26" t="n">
        <x:v>10</x:v>
      </x:c>
      <x:c r="G50" s="26" t="str">
        <x:f>IF(E50=F50,"PASS","FAIL")</x:f>
        <x:v>PASS</x:v>
      </x:c>
    </x:row>
    <x:row r="51">
      <x:c r="B51" s="26" t="str">
        <x:v>A045</x:v>
      </x:c>
      <x:c r="C51" s="26" t="str">
        <x:v>control</x:v>
      </x:c>
      <x:c r="D51" s="26" t="str">
        <x:v>C11</x:v>
      </x:c>
      <x:c r="E51" s="26" t="n">
        <x:v>6</x:v>
      </x:c>
      <x:c r="F51" s="26" t="n">
        <x:v>6</x:v>
      </x:c>
      <x:c r="G51" s="26" t="str">
        <x:f>IF(E51=F51,"PASS","FAIL")</x:f>
        <x:v>PASS</x:v>
      </x:c>
    </x:row>
    <x:row r="52">
      <x:c r="B52" s="26" t="str">
        <x:v>A046</x:v>
      </x:c>
      <x:c r="C52" s="26" t="str">
        <x:v>control</x:v>
      </x:c>
      <x:c r="D52" s="26" t="str">
        <x:v>C12</x:v>
      </x:c>
      <x:c r="E52" s="26" t="n">
        <x:v>5</x:v>
      </x:c>
      <x:c r="F52" s="26" t="n">
        <x:v>5</x:v>
      </x:c>
      <x:c r="G52" s="26" t="str">
        <x:f>IF(E52=F52,"PASS","FAIL")</x:f>
        <x:v>PASS</x:v>
      </x:c>
    </x:row>
    <x:row r="53">
      <x:c r="B53" s="26" t="str">
        <x:v>A047</x:v>
      </x:c>
      <x:c r="C53" s="26" t="str">
        <x:v>control</x:v>
      </x:c>
      <x:c r="D53" s="26" t="str">
        <x:v>C13</x:v>
      </x:c>
      <x:c r="E53" s="26" t="n">
        <x:v>2</x:v>
      </x:c>
      <x:c r="F53" s="26" t="n">
        <x:v>2</x:v>
      </x:c>
      <x:c r="G53" s="26" t="str">
        <x:f>IF(E53=F53,"PASS","FAIL")</x:f>
        <x:v>PASS</x:v>
      </x:c>
    </x:row>
    <x:row r="54">
      <x:c r="B54" s="26" t="str">
        <x:v>A048</x:v>
      </x:c>
      <x:c r="C54" s="26" t="str">
        <x:v>control</x:v>
      </x:c>
      <x:c r="D54" s="26" t="str">
        <x:v>C14</x:v>
      </x:c>
      <x:c r="E54" s="26" t="n">
        <x:v>4</x:v>
      </x:c>
      <x:c r="F54" s="26" t="n">
        <x:v>4</x:v>
      </x:c>
      <x:c r="G54" s="26" t="str">
        <x:f>IF(E54=F54,"PASS","FAIL")</x:f>
        <x:v>PASS</x:v>
      </x:c>
    </x:row>
    <x:row r="55">
      <x:c r="B55" s="26" t="str">
        <x:v>A049</x:v>
      </x:c>
      <x:c r="C55" s="26" t="str">
        <x:v>control</x:v>
      </x:c>
      <x:c r="D55" s="26" t="str">
        <x:v>C15</x:v>
      </x:c>
      <x:c r="E55" s="26" t="n">
        <x:v>24</x:v>
      </x:c>
      <x:c r="F55" s="26" t="n">
        <x:v>24</x:v>
      </x:c>
      <x:c r="G55" s="26" t="str">
        <x:f>IF(E55=F55,"PASS","FAIL")</x:f>
        <x:v>PASS</x:v>
      </x:c>
    </x:row>
    <x:row r="56">
      <x:c r="B56" s="26" t="str">
        <x:v>A050</x:v>
      </x:c>
      <x:c r="C56" s="26" t="str">
        <x:v>control</x:v>
      </x:c>
      <x:c r="D56" s="26" t="str">
        <x:v>C16</x:v>
      </x:c>
      <x:c r="E56" s="26" t="n">
        <x:v>2</x:v>
      </x:c>
      <x:c r="F56" s="26" t="n">
        <x:v>2</x:v>
      </x:c>
      <x:c r="G56" s="26" t="str">
        <x:f>IF(E56=F56,"PASS","FAIL")</x:f>
        <x:v>PASS</x:v>
      </x:c>
    </x:row>
    <x:row r="57">
      <x:c r="B57" s="26" t="str">
        <x:v>A051</x:v>
      </x:c>
      <x:c r="C57" s="26" t="str">
        <x:v>control</x:v>
      </x:c>
      <x:c r="D57" s="26" t="str">
        <x:v>C17</x:v>
      </x:c>
      <x:c r="E57" s="26" t="n">
        <x:v>96</x:v>
      </x:c>
      <x:c r="F57" s="26" t="n">
        <x:v>96</x:v>
      </x:c>
      <x:c r="G57" s="26" t="str">
        <x:f>IF(E57=F57,"PASS","FAIL")</x:f>
        <x:v>PASS</x:v>
      </x:c>
    </x:row>
    <x:row r="58">
      <x:c r="B58" s="26" t="str">
        <x:v>A052</x:v>
      </x:c>
      <x:c r="C58" s="26" t="str">
        <x:v>control</x:v>
      </x:c>
      <x:c r="D58" s="26" t="str">
        <x:v>C18</x:v>
      </x:c>
      <x:c r="E58" s="26" t="n">
        <x:v>3</x:v>
      </x:c>
      <x:c r="F58" s="26" t="n">
        <x:v>3</x:v>
      </x:c>
      <x:c r="G58" s="26" t="str">
        <x:f>IF(E58=F58,"PASS","FAIL")</x:f>
        <x:v>PASS</x:v>
      </x:c>
    </x:row>
    <x:row r="59">
      <x:c r="B59" s="26" t="str">
        <x:v>A053</x:v>
      </x:c>
      <x:c r="C59" s="26" t="str">
        <x:v>control</x:v>
      </x:c>
      <x:c r="D59" s="26" t="str">
        <x:v>C19</x:v>
      </x:c>
      <x:c r="E59" s="26" t="n">
        <x:v>12</x:v>
      </x:c>
      <x:c r="F59" s="26" t="n">
        <x:v>12</x:v>
      </x:c>
      <x:c r="G59" s="26" t="str">
        <x:f>IF(E59=F59,"PASS","FAIL")</x:f>
        <x:v>PASS</x:v>
      </x:c>
    </x:row>
    <x:row r="60">
      <x:c r="B60" s="26" t="str">
        <x:v>A054</x:v>
      </x:c>
      <x:c r="C60" s="26" t="str">
        <x:v>control</x:v>
      </x:c>
      <x:c r="D60" s="26" t="str">
        <x:v>C20</x:v>
      </x:c>
      <x:c r="E60" s="26" t="n">
        <x:v>3</x:v>
      </x:c>
      <x:c r="F60" s="26" t="n">
        <x:v>3</x:v>
      </x:c>
      <x:c r="G60" s="26" t="str">
        <x:f>IF(E60=F60,"PASS","FAIL")</x:f>
        <x:v>PASS</x:v>
      </x:c>
    </x:row>
    <x:row r="61">
      <x:c r="B61" s="26" t="str">
        <x:v>A055</x:v>
      </x:c>
      <x:c r="C61" s="26" t="str">
        <x:v>control</x:v>
      </x:c>
      <x:c r="D61" s="26" t="str">
        <x:v>C21</x:v>
      </x:c>
      <x:c r="E61" s="26" t="n">
        <x:v>36</x:v>
      </x:c>
      <x:c r="F61" s="26" t="n">
        <x:v>36</x:v>
      </x:c>
      <x:c r="G61" s="26" t="str">
        <x:f>IF(E61=F61,"PASS","FAIL")</x:f>
        <x:v>PASS</x:v>
      </x:c>
    </x:row>
    <x:row r="62">
      <x:c r="B62" s="26" t="str">
        <x:v>A056</x:v>
      </x:c>
      <x:c r="C62" s="26" t="str">
        <x:v>control</x:v>
      </x:c>
      <x:c r="D62" s="26" t="str">
        <x:v>C22</x:v>
      </x:c>
      <x:c r="E62" s="26" t="n">
        <x:v>20</x:v>
      </x:c>
      <x:c r="F62" s="26" t="n">
        <x:v>20</x:v>
      </x:c>
      <x:c r="G62" s="26" t="str">
        <x:f>IF(E62=F62,"PASS","FAIL")</x:f>
        <x:v>PASS</x:v>
      </x:c>
    </x:row>
    <x:row r="63">
      <x:c r="B63" s="26" t="str">
        <x:v>A057</x:v>
      </x:c>
      <x:c r="C63" s="26" t="str">
        <x:v>control</x:v>
      </x:c>
      <x:c r="D63" s="26" t="str">
        <x:v>C23</x:v>
      </x:c>
      <x:c r="E63" s="26" t="n">
        <x:v>24</x:v>
      </x:c>
      <x:c r="F63" s="26" t="n">
        <x:v>24</x:v>
      </x:c>
      <x:c r="G63" s="26" t="str">
        <x:f>IF(E63=F63,"PASS","FAIL")</x:f>
        <x:v>PASS</x:v>
      </x:c>
    </x:row>
    <x:row r="64">
      <x:c r="B64" s="26" t="str">
        <x:v>A058</x:v>
      </x:c>
      <x:c r="C64" s="26" t="str">
        <x:v>control</x:v>
      </x:c>
      <x:c r="D64" s="26" t="str">
        <x:v>C24</x:v>
      </x:c>
      <x:c r="E64" s="26" t="n">
        <x:v>8</x:v>
      </x:c>
      <x:c r="F64" s="26" t="n">
        <x:v>8</x:v>
      </x:c>
      <x:c r="G64" s="26" t="str">
        <x:f>IF(E64=F64,"PASS","FAIL")</x:f>
        <x:v>PASS</x:v>
      </x:c>
    </x:row>
    <x:row r="65">
      <x:c r="B65" s="26" t="str">
        <x:v>A059</x:v>
      </x:c>
      <x:c r="C65" s="26" t="str">
        <x:v>control</x:v>
      </x:c>
      <x:c r="D65" s="26" t="str">
        <x:v>C25</x:v>
      </x:c>
      <x:c r="E65" s="26" t="n">
        <x:v>4</x:v>
      </x:c>
      <x:c r="F65" s="26" t="n">
        <x:v>4</x:v>
      </x:c>
      <x:c r="G65" s="26" t="str">
        <x:f>IF(E65=F65,"PASS","FAIL")</x:f>
        <x:v>PASS</x:v>
      </x:c>
    </x:row>
    <x:row r="66">
      <x:c r="B66" s="26" t="str">
        <x:v>A060</x:v>
      </x:c>
      <x:c r="C66" s="26" t="str">
        <x:v>control</x:v>
      </x:c>
      <x:c r="D66" s="26" t="str">
        <x:v>C26</x:v>
      </x:c>
      <x:c r="E66" s="26" t="n">
        <x:v>32</x:v>
      </x:c>
      <x:c r="F66" s="26" t="n">
        <x:v>32</x:v>
      </x:c>
      <x:c r="G66" s="26" t="str">
        <x:f>IF(E66=F66,"PASS","FAIL")</x:f>
        <x:v>PASS</x:v>
      </x:c>
    </x:row>
    <x:row r="67">
      <x:c r="B67" s="26" t="str">
        <x:v>A061</x:v>
      </x:c>
      <x:c r="C67" s="26" t="str">
        <x:v>control</x:v>
      </x:c>
      <x:c r="D67" s="26" t="str">
        <x:v>C27</x:v>
      </x:c>
      <x:c r="E67" s="26" t="n">
        <x:v>12</x:v>
      </x:c>
      <x:c r="F67" s="26" t="n">
        <x:v>12</x:v>
      </x:c>
      <x:c r="G67" s="26" t="str">
        <x:f>IF(E67=F67,"PASS","FAIL")</x:f>
        <x:v>PASS</x:v>
      </x:c>
    </x:row>
    <x:row r="68">
      <x:c r="B68" s="26" t="str">
        <x:v>A062</x:v>
      </x:c>
      <x:c r="C68" s="26" t="str">
        <x:v>control</x:v>
      </x:c>
      <x:c r="D68" s="26" t="str">
        <x:v>C28</x:v>
      </x:c>
      <x:c r="E68" s="26" t="n">
        <x:v>6</x:v>
      </x:c>
      <x:c r="F68" s="26" t="n">
        <x:v>6</x:v>
      </x:c>
      <x:c r="G68" s="26" t="str">
        <x:f>IF(E68=F68,"PASS","FAIL")</x:f>
        <x:v>PASS</x:v>
      </x:c>
    </x:row>
    <x:row r="69">
      <x:c r="B69" s="26" t="str">
        <x:v>A063</x:v>
      </x:c>
      <x:c r="C69" s="26" t="str">
        <x:v>control</x:v>
      </x:c>
      <x:c r="D69" s="26" t="str">
        <x:v>C29</x:v>
      </x:c>
      <x:c r="E69" s="26" t="n">
        <x:v>20</x:v>
      </x:c>
      <x:c r="F69" s="26" t="n">
        <x:v>20</x:v>
      </x:c>
      <x:c r="G69" s="26" t="str">
        <x:f>IF(E69=F69,"PASS","FAIL")</x:f>
        <x:v>PASS</x:v>
      </x:c>
    </x:row>
    <x:row r="70">
      <x:c r="B70" s="26" t="str">
        <x:v>A064</x:v>
      </x:c>
      <x:c r="C70" s="26" t="str">
        <x:v>control</x:v>
      </x:c>
      <x:c r="D70" s="26" t="str">
        <x:v>C30</x:v>
      </x:c>
      <x:c r="E70" s="26" t="n">
        <x:v>12</x:v>
      </x:c>
      <x:c r="F70" s="26" t="n">
        <x:v>12</x:v>
      </x:c>
      <x:c r="G70" s="26" t="str">
        <x:f>IF(E70=F70,"PASS","FAIL")</x:f>
        <x:v>PASS</x:v>
      </x:c>
    </x:row>
    <x:row r="71">
      <x:c r="B71" s="26" t="str">
        <x:v>A065</x:v>
      </x:c>
      <x:c r="C71" s="26" t="str">
        <x:v>control</x:v>
      </x:c>
      <x:c r="D71" s="26" t="str">
        <x:v>C31</x:v>
      </x:c>
      <x:c r="E71" s="26" t="n">
        <x:v>12</x:v>
      </x:c>
      <x:c r="F71" s="26" t="n">
        <x:v>12</x:v>
      </x:c>
      <x:c r="G71" s="26" t="str">
        <x:f>IF(E71=F71,"PASS","FAIL")</x:f>
        <x:v>PASS</x:v>
      </x:c>
    </x:row>
    <x:row r="72">
      <x:c r="B72" s="26" t="str">
        <x:v>A066</x:v>
      </x:c>
      <x:c r="C72" s="26" t="str">
        <x:v>control</x:v>
      </x:c>
      <x:c r="D72" s="26" t="str">
        <x:v>C32</x:v>
      </x:c>
      <x:c r="E72" s="26" t="n">
        <x:v>7</x:v>
      </x:c>
      <x:c r="F72" s="26" t="n">
        <x:v>7</x:v>
      </x:c>
      <x:c r="G72" s="26" t="str">
        <x:f>IF(E72=F72,"PASS","FAIL")</x:f>
        <x:v>PASS</x:v>
      </x:c>
    </x:row>
    <x:row r="73">
      <x:c r="B73" s="26" t="str">
        <x:v>A067</x:v>
      </x:c>
      <x:c r="C73" s="26" t="str">
        <x:v>control</x:v>
      </x:c>
      <x:c r="D73" s="26" t="str">
        <x:v>C33</x:v>
      </x:c>
      <x:c r="E73" s="26" t="n">
        <x:v>8</x:v>
      </x:c>
      <x:c r="F73" s="26" t="n">
        <x:v>8</x:v>
      </x:c>
      <x:c r="G73" s="26" t="str">
        <x:f>IF(E73=F73,"PASS","FAIL")</x:f>
        <x:v>PASS</x:v>
      </x:c>
    </x:row>
    <x:row r="74">
      <x:c r="B74" s="26" t="str">
        <x:v>A068</x:v>
      </x:c>
      <x:c r="C74" s="26" t="str">
        <x:v>control</x:v>
      </x:c>
      <x:c r="D74" s="26" t="str">
        <x:v>C34</x:v>
      </x:c>
      <x:c r="E74" s="26" t="n">
        <x:v>16</x:v>
      </x:c>
      <x:c r="F74" s="26" t="n">
        <x:v>16</x:v>
      </x:c>
      <x:c r="G74" s="26" t="str">
        <x:f>IF(E74=F74,"PASS","FAIL")</x:f>
        <x:v>PASS</x:v>
      </x:c>
    </x:row>
    <x:row r="75">
      <x:c r="B75" s="26" t="str">
        <x:v>A069</x:v>
      </x:c>
      <x:c r="C75" s="26" t="str">
        <x:v>control</x:v>
      </x:c>
      <x:c r="D75" s="26" t="str">
        <x:v>C35</x:v>
      </x:c>
      <x:c r="E75" s="26" t="n">
        <x:v>10</x:v>
      </x:c>
      <x:c r="F75" s="26" t="n">
        <x:v>10</x:v>
      </x:c>
      <x:c r="G75" s="26" t="str">
        <x:f>IF(E75=F75,"PASS","FAIL")</x:f>
        <x:v>PASS</x:v>
      </x:c>
    </x:row>
    <x:row r="76">
      <x:c r="B76" s="26" t="str">
        <x:v>A070</x:v>
      </x:c>
      <x:c r="C76" s="26" t="str">
        <x:v>control</x:v>
      </x:c>
      <x:c r="D76" s="26" t="str">
        <x:v>C36</x:v>
      </x:c>
      <x:c r="E76" s="26" t="n">
        <x:v>10</x:v>
      </x:c>
      <x:c r="F76" s="26" t="n">
        <x:v>10</x:v>
      </x:c>
      <x:c r="G76" s="26" t="str">
        <x:f>IF(E76=F76,"PASS","FAIL")</x:f>
        <x:v>PASS</x:v>
      </x:c>
    </x:row>
    <x:row r="77">
      <x:c r="B77" s="26" t="str">
        <x:v>A071</x:v>
      </x:c>
      <x:c r="C77" s="26" t="str">
        <x:v>control</x:v>
      </x:c>
      <x:c r="D77" s="26" t="str">
        <x:v>C37</x:v>
      </x:c>
      <x:c r="E77" s="26" t="n">
        <x:v>36</x:v>
      </x:c>
      <x:c r="F77" s="26" t="n">
        <x:v>36</x:v>
      </x:c>
      <x:c r="G77" s="26" t="str">
        <x:f>IF(E77=F77,"PASS","FAIL")</x:f>
        <x:v>PASS</x:v>
      </x:c>
    </x:row>
    <x:row r="78">
      <x:c r="B78" s="26" t="str">
        <x:v>A072</x:v>
      </x:c>
      <x:c r="C78" s="26" t="str">
        <x:v>control</x:v>
      </x:c>
      <x:c r="D78" s="26" t="str">
        <x:v>C38</x:v>
      </x:c>
      <x:c r="E78" s="26" t="n">
        <x:v>24</x:v>
      </x:c>
      <x:c r="F78" s="26" t="n">
        <x:v>24</x:v>
      </x:c>
      <x:c r="G78" s="26" t="str">
        <x:f>IF(E78=F78,"PASS","FAIL")</x:f>
        <x:v>PASS</x:v>
      </x:c>
    </x:row>
    <x:row r="79">
      <x:c r="B79" s="26" t="str">
        <x:v>A073</x:v>
      </x:c>
      <x:c r="C79" s="26" t="str">
        <x:v>control</x:v>
      </x:c>
      <x:c r="D79" s="26" t="str">
        <x:v>C39</x:v>
      </x:c>
      <x:c r="E79" s="26" t="n">
        <x:v>6</x:v>
      </x:c>
      <x:c r="F79" s="26" t="n">
        <x:v>6</x:v>
      </x:c>
      <x:c r="G79" s="26" t="str">
        <x:f>IF(E79=F79,"PASS","FAIL")</x:f>
        <x:v>PASS</x:v>
      </x:c>
    </x:row>
    <x:row r="80">
      <x:c r="B80" s="26" t="str">
        <x:v>A074</x:v>
      </x:c>
      <x:c r="C80" s="26" t="str">
        <x:v>control</x:v>
      </x:c>
      <x:c r="D80" s="26" t="str">
        <x:v>C40</x:v>
      </x:c>
      <x:c r="E80" s="26" t="n">
        <x:v>12</x:v>
      </x:c>
      <x:c r="F80" s="26" t="n">
        <x:v>12</x:v>
      </x:c>
      <x:c r="G80" s="26" t="str">
        <x:f>IF(E80=F80,"PASS","FAIL")</x:f>
        <x:v>PASS</x:v>
      </x:c>
    </x:row>
    <x:row r="81">
      <x:c r="B81" s="26" t="str">
        <x:v>A075</x:v>
      </x:c>
      <x:c r="C81" s="26" t="str">
        <x:v>control</x:v>
      </x:c>
      <x:c r="D81" s="26" t="str">
        <x:v>C41</x:v>
      </x:c>
      <x:c r="E81" s="26" t="n">
        <x:v>12</x:v>
      </x:c>
      <x:c r="F81" s="26" t="n">
        <x:v>12</x:v>
      </x:c>
      <x:c r="G81" s="26" t="str">
        <x:f>IF(E81=F81,"PASS","FAIL")</x:f>
        <x:v>PASS</x:v>
      </x:c>
    </x:row>
    <x:row r="82">
      <x:c r="B82" s="26" t="str">
        <x:v>A076</x:v>
      </x:c>
      <x:c r="C82" s="26" t="str">
        <x:v>control</x:v>
      </x:c>
      <x:c r="D82" s="26" t="str">
        <x:v>C42</x:v>
      </x:c>
      <x:c r="E82" s="26" t="n">
        <x:v>24</x:v>
      </x:c>
      <x:c r="F82" s="26" t="n">
        <x:v>24</x:v>
      </x:c>
      <x:c r="G82" s="26" t="str">
        <x:f>IF(E82=F82,"PASS","FAIL")</x:f>
        <x:v>PASS</x:v>
      </x:c>
    </x:row>
    <x:row r="83">
      <x:c r="B83" s="26" t="str">
        <x:v>A077</x:v>
      </x:c>
      <x:c r="C83" s="26" t="str">
        <x:v>control</x:v>
      </x:c>
      <x:c r="D83" s="26" t="str">
        <x:v>C43</x:v>
      </x:c>
      <x:c r="E83" s="26" t="n">
        <x:v>10</x:v>
      </x:c>
      <x:c r="F83" s="26" t="n">
        <x:v>10</x:v>
      </x:c>
      <x:c r="G83" s="26" t="str">
        <x:f>IF(E83=F83,"PASS","FAIL")</x:f>
        <x:v>PASS</x:v>
      </x:c>
    </x:row>
    <x:row r="84">
      <x:c r="B84" s="26" t="str">
        <x:v>A078</x:v>
      </x:c>
      <x:c r="C84" s="26" t="str">
        <x:v>control</x:v>
      </x:c>
      <x:c r="D84" s="26" t="str">
        <x:v>C44</x:v>
      </x:c>
      <x:c r="E84" s="26" t="n">
        <x:v>2</x:v>
      </x:c>
      <x:c r="F84" s="26" t="n">
        <x:v>2</x:v>
      </x:c>
      <x:c r="G84" s="26" t="str">
        <x:f>IF(E84=F84,"PASS","FAIL")</x:f>
        <x:v>PASS</x:v>
      </x:c>
    </x:row>
    <x:row r="85">
      <x:c r="B85" s="26" t="str">
        <x:v>A079</x:v>
      </x:c>
      <x:c r="C85" s="26" t="str">
        <x:v>control</x:v>
      </x:c>
      <x:c r="D85" s="26" t="str">
        <x:v>C45</x:v>
      </x:c>
      <x:c r="E85" s="26" t="n">
        <x:v>117.659</x:v>
      </x:c>
      <x:c r="F85" s="26" t="n">
        <x:v>117.659</x:v>
      </x:c>
      <x:c r="G85" s="26" t="str">
        <x:f>IF(E85=F85,"PASS","FAIL")</x:f>
        <x:v>PASS</x:v>
      </x:c>
    </x:row>
    <x:row r="86">
      <x:c r="B86" s="26" t="str">
        <x:v>A080</x:v>
      </x:c>
      <x:c r="C86" s="26" t="str">
        <x:v>control</x:v>
      </x:c>
      <x:c r="D86" s="26" t="str">
        <x:v>C46</x:v>
      </x:c>
      <x:c r="E86" s="26" t="n">
        <x:v>0.3</x:v>
      </x:c>
      <x:c r="F86" s="26" t="n">
        <x:v>0.3</x:v>
      </x:c>
      <x:c r="G86" s="26" t="str">
        <x:f>IF(E86=F86,"PASS","FAIL")</x:f>
        <x:v>PASS</x:v>
      </x:c>
    </x:row>
    <x:row r="87">
      <x:c r="B87" s="26" t="str">
        <x:v>A081</x:v>
      </x:c>
      <x:c r="C87" s="26" t="str">
        <x:v>control</x:v>
      </x:c>
      <x:c r="D87" s="26" t="str">
        <x:v>C47</x:v>
      </x:c>
      <x:c r="E87" s="26" t="n">
        <x:v>152.9567</x:v>
      </x:c>
      <x:c r="F87" s="26" t="n">
        <x:v>152.9567</x:v>
      </x:c>
      <x:c r="G87" s="26" t="str">
        <x:f>IF(E87=F87,"PASS","FAIL")</x:f>
        <x:v>PASS</x:v>
      </x:c>
    </x:row>
    <x:row r="88">
      <x:c r="B88" s="26" t="str">
        <x:v>A082</x:v>
      </x:c>
      <x:c r="C88" s="26" t="str">
        <x:v>control</x:v>
      </x:c>
      <x:c r="D88" s="26" t="str">
        <x:v>C48</x:v>
      </x:c>
      <x:c r="E88" s="26" t="n">
        <x:v>0.1</x:v>
      </x:c>
      <x:c r="F88" s="26" t="n">
        <x:v>0.1</x:v>
      </x:c>
      <x:c r="G88" s="26" t="str">
        <x:f>IF(E88=F88,"PASS","FAIL")</x:f>
        <x:v>PASS</x:v>
      </x:c>
    </x:row>
    <x:row r="89">
      <x:c r="B89" s="26" t="str">
        <x:v>A083</x:v>
      </x:c>
      <x:c r="C89" s="26" t="str">
        <x:v>control</x:v>
      </x:c>
      <x:c r="D89" s="26" t="str">
        <x:v>C49</x:v>
      </x:c>
      <x:c r="E89" s="26" t="n">
        <x:v>0.025</x:v>
      </x:c>
      <x:c r="F89" s="26" t="n">
        <x:v>0.025</x:v>
      </x:c>
      <x:c r="G89" s="26" t="str">
        <x:f>IF(E89=F89,"PASS","FAIL")</x:f>
        <x:v>PASS</x:v>
      </x:c>
    </x:row>
    <x:row r="90">
      <x:c r="B90" s="26" t="str">
        <x:v>A084</x:v>
      </x:c>
      <x:c r="C90" s="26" t="str">
        <x:v>control</x:v>
      </x:c>
      <x:c r="D90" s="26" t="str">
        <x:v>C50</x:v>
      </x:c>
      <x:c r="E90" s="26" t="n">
        <x:v>14</x:v>
      </x:c>
      <x:c r="F90" s="26" t="n">
        <x:v>14</x:v>
      </x:c>
      <x:c r="G90" s="26" t="str">
        <x:f>IF(E90=F90,"PASS","FAIL")</x:f>
        <x:v>PASS</x:v>
      </x:c>
    </x:row>
    <x:row r="91">
      <x:c r="B91" s="26" t="str">
        <x:v>A085</x:v>
      </x:c>
      <x:c r="C91" s="26" t="str">
        <x:v>control</x:v>
      </x:c>
      <x:c r="D91" s="26" t="str">
        <x:v>C51</x:v>
      </x:c>
      <x:c r="E91" s="26" t="n">
        <x:v>96</x:v>
      </x:c>
      <x:c r="F91" s="26" t="n">
        <x:v>96</x:v>
      </x:c>
      <x:c r="G91" s="26" t="str">
        <x:f>IF(E91=F91,"PASS","FAIL")</x:f>
        <x:v>PASS</x:v>
      </x:c>
    </x:row>
    <x:row r="92">
      <x:c r="B92" s="26" t="str">
        <x:v>A086</x:v>
      </x:c>
      <x:c r="C92" s="26" t="str">
        <x:v>control</x:v>
      </x:c>
      <x:c r="D92" s="26" t="str">
        <x:v>C52</x:v>
      </x:c>
      <x:c r="E92" s="26" t="n">
        <x:v>72</x:v>
      </x:c>
      <x:c r="F92" s="26" t="n">
        <x:v>72</x:v>
      </x:c>
      <x:c r="G92" s="26" t="str">
        <x:f>IF(E92=F92,"PASS","FAIL")</x:f>
        <x:v>PASS</x:v>
      </x:c>
    </x:row>
    <x:row r="93">
      <x:c r="B93" s="26" t="str">
        <x:v>A087</x:v>
      </x:c>
      <x:c r="C93" s="26" t="str">
        <x:v>control</x:v>
      </x:c>
      <x:c r="D93" s="26" t="str">
        <x:v>C53</x:v>
      </x:c>
      <x:c r="E93" s="26" t="n">
        <x:v>7</x:v>
      </x:c>
      <x:c r="F93" s="26" t="n">
        <x:v>7</x:v>
      </x:c>
      <x:c r="G93" s="26" t="str">
        <x:f>IF(E93=F93,"PASS","FAIL")</x:f>
        <x:v>PASS</x:v>
      </x:c>
    </x:row>
    <x:row r="94">
      <x:c r="B94" s="26" t="str">
        <x:v>A088</x:v>
      </x:c>
      <x:c r="C94" s="26" t="str">
        <x:v>control</x:v>
      </x:c>
      <x:c r="D94" s="26" t="str">
        <x:v>C54</x:v>
      </x:c>
      <x:c r="E94" s="26" t="n">
        <x:v>4</x:v>
      </x:c>
      <x:c r="F94" s="26" t="n">
        <x:v>4</x:v>
      </x:c>
      <x:c r="G94" s="26" t="str">
        <x:f>IF(E94=F94,"PASS","FAIL")</x:f>
        <x:v>PASS</x:v>
      </x:c>
    </x:row>
    <x:row r="95">
      <x:c r="B95" s="26" t="str">
        <x:v>A089</x:v>
      </x:c>
      <x:c r="C95" s="26" t="str">
        <x:v>control</x:v>
      </x:c>
      <x:c r="D95" s="26" t="str">
        <x:v>C55</x:v>
      </x:c>
      <x:c r="E95" s="26" t="n">
        <x:v>82</x:v>
      </x:c>
      <x:c r="F95" s="26" t="n">
        <x:v>82</x:v>
      </x:c>
      <x:c r="G95" s="26" t="str">
        <x:f>IF(E95=F95,"PASS","FAIL")</x:f>
        <x:v>PASS</x:v>
      </x:c>
    </x:row>
    <x:row r="96">
      <x:c r="B96" s="26" t="str">
        <x:v>A090</x:v>
      </x:c>
      <x:c r="C96" s="26" t="str">
        <x:v>control</x:v>
      </x:c>
      <x:c r="D96" s="26" t="str">
        <x:v>C56</x:v>
      </x:c>
      <x:c r="E96" s="26" t="n">
        <x:v>58</x:v>
      </x:c>
      <x:c r="F96" s="26" t="n">
        <x:v>58</x:v>
      </x:c>
      <x:c r="G96" s="26" t="str">
        <x:f>IF(E96=F96,"PASS","FAIL")</x:f>
        <x:v>PASS</x:v>
      </x:c>
    </x:row>
    <x:row r="97">
      <x:c r="B97" s="26" t="str">
        <x:v>A091</x:v>
      </x:c>
      <x:c r="C97" s="26" t="str">
        <x:v>control</x:v>
      </x:c>
      <x:c r="D97" s="26" t="str">
        <x:v>C57</x:v>
      </x:c>
      <x:c r="E97" s="26" t="n">
        <x:v>24</x:v>
      </x:c>
      <x:c r="F97" s="26" t="n">
        <x:v>24</x:v>
      </x:c>
      <x:c r="G97" s="26" t="str">
        <x:f>IF(E97=F97,"PASS","FAIL")</x:f>
        <x:v>PASS</x:v>
      </x:c>
    </x:row>
    <x:row r="98">
      <x:c r="B98" s="26" t="str">
        <x:v>A092</x:v>
      </x:c>
      <x:c r="C98" s="26" t="str">
        <x:v>control</x:v>
      </x:c>
      <x:c r="D98" s="26" t="str">
        <x:v>C58</x:v>
      </x:c>
      <x:c r="E98" s="26" t="n">
        <x:v>34</x:v>
      </x:c>
      <x:c r="F98" s="26" t="n">
        <x:v>34</x:v>
      </x:c>
      <x:c r="G98" s="26" t="str">
        <x:f>IF(E98=F98,"PASS","FAIL")</x:f>
        <x:v>PASS</x:v>
      </x:c>
    </x:row>
    <x:row r="99">
      <x:c r="B99" s="26" t="str">
        <x:v>A093</x:v>
      </x:c>
      <x:c r="C99" s="26" t="str">
        <x:v>control</x:v>
      </x:c>
      <x:c r="D99" s="26" t="str">
        <x:v>C59</x:v>
      </x:c>
      <x:c r="E99" s="26" t="n">
        <x:v>12</x:v>
      </x:c>
      <x:c r="F99" s="26" t="n">
        <x:v>12</x:v>
      </x:c>
      <x:c r="G99" s="26" t="str">
        <x:f>IF(E99=F99,"PASS","FAIL")</x:f>
        <x:v>PASS</x:v>
      </x:c>
    </x:row>
    <x:row r="100">
      <x:c r="B100" s="26" t="str">
        <x:v>A094</x:v>
      </x:c>
      <x:c r="C100" s="26" t="str">
        <x:v>control</x:v>
      </x:c>
      <x:c r="D100" s="26" t="str">
        <x:v>C60</x:v>
      </x:c>
      <x:c r="E100" s="26" t="n">
        <x:v>6</x:v>
      </x:c>
      <x:c r="F100" s="26" t="n">
        <x:v>6</x:v>
      </x:c>
      <x:c r="G100" s="26" t="str">
        <x:f>IF(E100=F100,"PASS","FAIL")</x:f>
        <x:v>PASS</x:v>
      </x:c>
    </x:row>
    <x:row r="101">
      <x:c r="B101" s="26" t="str">
        <x:v>A095</x:v>
      </x:c>
      <x:c r="C101" s="26" t="str">
        <x:v>control</x:v>
      </x:c>
      <x:c r="D101" s="26" t="str">
        <x:v>C61</x:v>
      </x:c>
      <x:c r="E101" s="26" t="n">
        <x:v>14</x:v>
      </x:c>
      <x:c r="F101" s="26" t="n">
        <x:v>14</x:v>
      </x:c>
      <x:c r="G101" s="26" t="str">
        <x:f>IF(E101=F101,"PASS","FAIL")</x:f>
        <x:v>PASS</x:v>
      </x:c>
    </x:row>
    <x:row r="102">
      <x:c r="B102" s="26" t="str">
        <x:v>A096</x:v>
      </x:c>
      <x:c r="C102" s="26" t="str">
        <x:v>control</x:v>
      </x:c>
      <x:c r="D102" s="26" t="str">
        <x:v>C62</x:v>
      </x:c>
      <x:c r="E102" s="26" t="n">
        <x:v>360</x:v>
      </x:c>
      <x:c r="F102" s="26" t="n">
        <x:v>360</x:v>
      </x:c>
      <x:c r="G102" s="26" t="str">
        <x:f>IF(E102=F102,"PASS","FAIL")</x:f>
        <x:v>PASS</x:v>
      </x:c>
    </x:row>
    <x:row r="103">
      <x:c r="B103" s="26" t="str">
        <x:v>A097</x:v>
      </x:c>
      <x:c r="C103" s="26" t="str">
        <x:v>control</x:v>
      </x:c>
      <x:c r="D103" s="26" t="str">
        <x:v>C63</x:v>
      </x:c>
      <x:c r="E103" s="26" t="n">
        <x:v>332</x:v>
      </x:c>
      <x:c r="F103" s="26" t="n">
        <x:v>332</x:v>
      </x:c>
      <x:c r="G103" s="26" t="str">
        <x:f>IF(E103=F103,"PASS","FAIL")</x:f>
        <x:v>PASS</x:v>
      </x:c>
    </x:row>
    <x:row r="104">
      <x:c r="B104" s="26" t="str">
        <x:v>A098</x:v>
      </x:c>
      <x:c r="C104" s="26" t="str">
        <x:v>control</x:v>
      </x:c>
      <x:c r="D104" s="26" t="str">
        <x:v>C64</x:v>
      </x:c>
      <x:c r="E104" s="26" t="n">
        <x:v>16</x:v>
      </x:c>
      <x:c r="F104" s="26" t="n">
        <x:v>16</x:v>
      </x:c>
      <x:c r="G104" s="26" t="str">
        <x:f>IF(E104=F104,"PASS","FAIL")</x:f>
        <x:v>PASS</x:v>
      </x:c>
    </x:row>
    <x:row r="105">
      <x:c r="B105" s="26" t="str">
        <x:v>A099</x:v>
      </x:c>
      <x:c r="C105" s="26" t="str">
        <x:v>control</x:v>
      </x:c>
      <x:c r="D105" s="26" t="str">
        <x:v>C65</x:v>
      </x:c>
      <x:c r="E105" s="26" t="n">
        <x:v>168</x:v>
      </x:c>
      <x:c r="F105" s="26" t="n">
        <x:v>168</x:v>
      </x:c>
      <x:c r="G105" s="26" t="str">
        <x:f>IF(E105=F105,"PASS","FAIL")</x:f>
        <x:v>PASS</x:v>
      </x:c>
    </x:row>
    <x:row r="106">
      <x:c r="B106" s="26" t="str">
        <x:v>A100</x:v>
      </x:c>
      <x:c r="C106" s="26" t="str">
        <x:v>control</x:v>
      </x:c>
      <x:c r="D106" s="26" t="str">
        <x:v>C66</x:v>
      </x:c>
      <x:c r="E106" s="26" t="n">
        <x:v>156</x:v>
      </x:c>
      <x:c r="F106" s="26" t="n">
        <x:v>156</x:v>
      </x:c>
      <x:c r="G106" s="26" t="str">
        <x:f>IF(E106=F106,"PASS","FAIL")</x:f>
        <x:v>PASS</x:v>
      </x:c>
    </x:row>
    <x:row r="107">
      <x:c r="B107" s="26" t="str">
        <x:v>A101</x:v>
      </x:c>
      <x:c r="C107" s="26" t="str">
        <x:v>control</x:v>
      </x:c>
      <x:c r="D107" s="26" t="str">
        <x:v>C67</x:v>
      </x:c>
      <x:c r="E107" s="26" t="n">
        <x:v>6</x:v>
      </x:c>
      <x:c r="F107" s="26" t="n">
        <x:v>6</x:v>
      </x:c>
      <x:c r="G107" s="26" t="str">
        <x:f>IF(E107=F107,"PASS","FAIL")</x:f>
        <x:v>PASS</x:v>
      </x:c>
    </x:row>
    <x:row r="108">
      <x:c r="B108" s="26" t="str">
        <x:v>A102</x:v>
      </x:c>
      <x:c r="C108" s="26" t="str">
        <x:v>control</x:v>
      </x:c>
      <x:c r="D108" s="26" t="str">
        <x:v>C68</x:v>
      </x:c>
      <x:c r="E108" s="26" t="n">
        <x:v>470</x:v>
      </x:c>
      <x:c r="F108" s="26" t="n">
        <x:v>470</x:v>
      </x:c>
      <x:c r="G108" s="26" t="str">
        <x:f>IF(E108=F108,"PASS","FAIL")</x:f>
        <x:v>PASS</x:v>
      </x:c>
    </x:row>
    <x:row r="109">
      <x:c r="B109" s="26" t="str">
        <x:v>A103</x:v>
      </x:c>
      <x:c r="C109" s="26" t="str">
        <x:v>control</x:v>
      </x:c>
      <x:c r="D109" s="26" t="str">
        <x:v>C69</x:v>
      </x:c>
      <x:c r="E109" s="26" t="n">
        <x:v>410</x:v>
      </x:c>
      <x:c r="F109" s="26" t="n">
        <x:v>410</x:v>
      </x:c>
      <x:c r="G109" s="26" t="str">
        <x:f>IF(E109=F109,"PASS","FAIL")</x:f>
        <x:v>PASS</x:v>
      </x:c>
    </x:row>
    <x:row r="110">
      <x:c r="B110" s="26" t="str">
        <x:v>A104</x:v>
      </x:c>
      <x:c r="C110" s="26" t="str">
        <x:v>control</x:v>
      </x:c>
      <x:c r="D110" s="26" t="str">
        <x:v>C70</x:v>
      </x:c>
      <x:c r="E110" s="26" t="n">
        <x:v>24</x:v>
      </x:c>
      <x:c r="F110" s="26" t="n">
        <x:v>24</x:v>
      </x:c>
      <x:c r="G110" s="26" t="str">
        <x:f>IF(E110=F110,"PASS","FAIL")</x:f>
        <x:v>PASS</x:v>
      </x:c>
    </x:row>
    <x:row r="111">
      <x:c r="B111" s="26" t="str">
        <x:v>A105</x:v>
      </x:c>
      <x:c r="C111" s="26" t="str">
        <x:v>control</x:v>
      </x:c>
      <x:c r="D111" s="26" t="str">
        <x:v>C71</x:v>
      </x:c>
      <x:c r="E111" s="26" t="n">
        <x:v>36</x:v>
      </x:c>
      <x:c r="F111" s="26" t="n">
        <x:v>36</x:v>
      </x:c>
      <x:c r="G111" s="26" t="str">
        <x:f>IF(E111=F111,"PASS","FAIL")</x:f>
        <x:v>PASS</x:v>
      </x:c>
    </x:row>
    <x:row r="112">
      <x:c r="B112" s="26" t="str">
        <x:v>A106</x:v>
      </x:c>
      <x:c r="C112" s="26" t="str">
        <x:v>baseline</x:v>
      </x:c>
      <x:c r="D112" s="26" t="str">
        <x:v>candidate cells open</x:v>
      </x:c>
      <x:c r="E112" s="26" t="n">
        <x:f>COUNTIFS('Candidate Cells'!O7:O30,"OPEN")</x:f>
        <x:v>24</x:v>
      </x:c>
      <x:c r="F112" s="26" t="n">
        <x:v>24</x:v>
      </x:c>
      <x:c r="G112" s="26" t="str">
        <x:f>IF(E112=F112,"PASS","FAIL")</x:f>
        <x:v>PASS</x:v>
      </x:c>
    </x:row>
    <x:row r="113">
      <x:c r="B113" s="26" t="str">
        <x:v>A107</x:v>
      </x:c>
      <x:c r="C113" s="26" t="str">
        <x:v>baseline</x:v>
      </x:c>
      <x:c r="D113" s="26" t="str">
        <x:v>commitments open</x:v>
      </x:c>
      <x:c r="E113" s="26" t="n">
        <x:f>COUNTIFS('Draw Commitments'!J7:J12,"OPEN")</x:f>
        <x:v>6</x:v>
      </x:c>
      <x:c r="F113" s="26" t="n">
        <x:v>6</x:v>
      </x:c>
      <x:c r="G113" s="26" t="str">
        <x:f>IF(E113=F113,"PASS","FAIL")</x:f>
        <x:v>PASS</x:v>
      </x:c>
    </x:row>
    <x:row r="114">
      <x:c r="B114" s="26" t="str">
        <x:v>A108</x:v>
      </x:c>
      <x:c r="C114" s="26" t="str">
        <x:v>baseline</x:v>
      </x:c>
      <x:c r="D114" s="26" t="str">
        <x:v>selection open</x:v>
      </x:c>
      <x:c r="E114" s="26" t="n">
        <x:f>COUNTIFS('Event Selection'!J7,"OPEN")</x:f>
        <x:v>1</x:v>
      </x:c>
      <x:c r="F114" s="26" t="n">
        <x:v>1</x:v>
      </x:c>
      <x:c r="G114" s="26" t="str">
        <x:f>IF(E114=F114,"PASS","FAIL")</x:f>
        <x:v>PASS</x:v>
      </x:c>
    </x:row>
    <x:row r="115">
      <x:c r="B115" s="26" t="str">
        <x:v>A109</x:v>
      </x:c>
      <x:c r="C115" s="26" t="str">
        <x:v>baseline</x:v>
      </x:c>
      <x:c r="D115" s="26" t="str">
        <x:v>dossier open</x:v>
      </x:c>
      <x:c r="E115" s="26" t="n">
        <x:f>COUNTIFS('Dossier Bindings'!J7:J198,"OPEN")</x:f>
        <x:v>192</x:v>
      </x:c>
      <x:c r="F115" s="26" t="n">
        <x:v>192</x:v>
      </x:c>
      <x:c r="G115" s="26" t="str">
        <x:f>IF(E115=F115,"PASS","FAIL")</x:f>
        <x:v>PASS</x:v>
      </x:c>
    </x:row>
    <x:row r="116">
      <x:c r="B116" s="26" t="str">
        <x:v>A110</x:v>
      </x:c>
      <x:c r="C116" s="26" t="str">
        <x:v>baseline</x:v>
      </x:c>
      <x:c r="D116" s="26" t="str">
        <x:v>crew open</x:v>
      </x:c>
      <x:c r="E116" s="26" t="n">
        <x:f>COUNTIFS('Event Crew'!J7:J46,"OPEN")</x:f>
        <x:v>40</x:v>
      </x:c>
      <x:c r="F116" s="26" t="n">
        <x:v>40</x:v>
      </x:c>
      <x:c r="G116" s="26" t="str">
        <x:f>IF(E116=F116,"PASS","FAIL")</x:f>
        <x:v>PASS</x:v>
      </x:c>
    </x:row>
    <x:row r="117">
      <x:c r="B117" s="26" t="str">
        <x:v>A111</x:v>
      </x:c>
      <x:c r="C117" s="26" t="str">
        <x:v>baseline</x:v>
      </x:c>
      <x:c r="D117" s="26" t="str">
        <x:v>event issue open</x:v>
      </x:c>
      <x:c r="E117" s="26" t="n">
        <x:f>COUNTIFS('Event Issue'!J7,"OPEN")</x:f>
        <x:v>1</x:v>
      </x:c>
      <x:c r="F117" s="26" t="n">
        <x:v>1</x:v>
      </x:c>
      <x:c r="G117" s="26" t="str">
        <x:f>IF(E117=F117,"PASS","FAIL")</x:f>
        <x:v>PASS</x:v>
      </x:c>
    </x:row>
    <x:row r="118">
      <x:c r="B118" s="26" t="str">
        <x:v>A112</x:v>
      </x:c>
      <x:c r="C118" s="26" t="str">
        <x:v>baseline</x:v>
      </x:c>
      <x:c r="D118" s="26" t="str">
        <x:v>configuration open</x:v>
      </x:c>
      <x:c r="E118" s="26" t="n">
        <x:f>COUNTIFS('Configuration Freeze'!I7:I30,"OPEN")</x:f>
        <x:v>24</x:v>
      </x:c>
      <x:c r="F118" s="26" t="n">
        <x:v>24</x:v>
      </x:c>
      <x:c r="G118" s="26" t="str">
        <x:f>IF(E118=F118,"PASS","FAIL")</x:f>
        <x:v>PASS</x:v>
      </x:c>
    </x:row>
    <x:row r="119">
      <x:c r="B119" s="26" t="str">
        <x:v>A113</x:v>
      </x:c>
      <x:c r="C119" s="26" t="str">
        <x:v>baseline</x:v>
      </x:c>
      <x:c r="D119" s="26" t="str">
        <x:v>zero source open</x:v>
      </x:c>
      <x:c r="E119" s="26" t="n">
        <x:f>COUNTIFS('Zero Source'!I7:I18,"OPEN")</x:f>
        <x:v>12</x:v>
      </x:c>
      <x:c r="F119" s="26" t="n">
        <x:v>12</x:v>
      </x:c>
      <x:c r="G119" s="26" t="str">
        <x:f>IF(E119=F119,"PASS","FAIL")</x:f>
        <x:v>PASS</x:v>
      </x:c>
    </x:row>
    <x:row r="120">
      <x:c r="B120" s="26" t="str">
        <x:v>A114</x:v>
      </x:c>
      <x:c r="C120" s="26" t="str">
        <x:v>baseline</x:v>
      </x:c>
      <x:c r="D120" s="26" t="str">
        <x:v>zero water open</x:v>
      </x:c>
      <x:c r="E120" s="26" t="n">
        <x:f>COUNTIFS('Zero Water'!I7:I16,"OPEN")</x:f>
        <x:v>10</x:v>
      </x:c>
      <x:c r="F120" s="26" t="n">
        <x:v>10</x:v>
      </x:c>
      <x:c r="G120" s="26" t="str">
        <x:f>IF(E120=F120,"PASS","FAIL")</x:f>
        <x:v>PASS</x:v>
      </x:c>
    </x:row>
    <x:row r="121">
      <x:c r="B121" s="26" t="str">
        <x:v>A115</x:v>
      </x:c>
      <x:c r="C121" s="26" t="str">
        <x:v>baseline</x:v>
      </x:c>
      <x:c r="D121" s="26" t="str">
        <x:v>uncertainty open</x:v>
      </x:c>
      <x:c r="E121" s="26" t="n">
        <x:f>COUNTIFS(Uncertainty!K7:K28,"OPEN")</x:f>
        <x:v>22</x:v>
      </x:c>
      <x:c r="F121" s="26" t="n">
        <x:v>22</x:v>
      </x:c>
      <x:c r="G121" s="26" t="str">
        <x:f>IF(E121=F121,"PASS","FAIL")</x:f>
        <x:v>PASS</x:v>
      </x:c>
    </x:row>
    <x:row r="122">
      <x:c r="B122" s="26" t="str">
        <x:v>A116</x:v>
      </x:c>
      <x:c r="C122" s="26" t="str">
        <x:v>baseline</x:v>
      </x:c>
      <x:c r="D122" s="26" t="str">
        <x:v>uncertainty summary open</x:v>
      </x:c>
      <x:c r="E122" s="26" t="n">
        <x:f>COUNTIFS('Uncertainty Summary'!I7:I10,"OPEN")</x:f>
        <x:v>4</x:v>
      </x:c>
      <x:c r="F122" s="26" t="n">
        <x:v>4</x:v>
      </x:c>
      <x:c r="G122" s="26" t="str">
        <x:f>IF(E122=F122,"PASS","FAIL")</x:f>
        <x:v>PASS</x:v>
      </x:c>
    </x:row>
    <x:row r="123">
      <x:c r="B123" s="26" t="str">
        <x:v>A117</x:v>
      </x:c>
      <x:c r="C123" s="26" t="str">
        <x:v>baseline</x:v>
      </x:c>
      <x:c r="D123" s="26" t="str">
        <x:v>measurements open</x:v>
      </x:c>
      <x:c r="E123" s="26" t="n">
        <x:f>COUNTIFS('Measurement Windows'!M7:M102,"OPEN")</x:f>
        <x:v>96</x:v>
      </x:c>
      <x:c r="F123" s="26" t="n">
        <x:v>96</x:v>
      </x:c>
      <x:c r="G123" s="26" t="str">
        <x:f>IF(E123=F123,"PASS","FAIL")</x:f>
        <x:v>PASS</x:v>
      </x:c>
    </x:row>
    <x:row r="124">
      <x:c r="B124" s="26" t="str">
        <x:v>A118</x:v>
      </x:c>
      <x:c r="C124" s="26" t="str">
        <x:v>baseline</x:v>
      </x:c>
      <x:c r="D124" s="26" t="str">
        <x:v>neighbors open</x:v>
      </x:c>
      <x:c r="E124" s="26" t="n">
        <x:f>COUNTIFS('Neighbor Proofs'!I7:I9,"OPEN")</x:f>
        <x:v>3</x:v>
      </x:c>
      <x:c r="F124" s="26" t="n">
        <x:v>3</x:v>
      </x:c>
      <x:c r="G124" s="26" t="str">
        <x:f>IF(E124=F124,"PASS","FAIL")</x:f>
        <x:v>PASS</x:v>
      </x:c>
    </x:row>
    <x:row r="125">
      <x:c r="B125" s="26" t="str">
        <x:v>A119</x:v>
      </x:c>
      <x:c r="C125" s="26" t="str">
        <x:v>baseline</x:v>
      </x:c>
      <x:c r="D125" s="26" t="str">
        <x:v>safeing open</x:v>
      </x:c>
      <x:c r="E125" s="26" t="n">
        <x:f>COUNTIFS('Safeing Poll'!J7:J42,"OPEN")</x:f>
        <x:v>36</x:v>
      </x:c>
      <x:c r="F125" s="26" t="n">
        <x:v>36</x:v>
      </x:c>
      <x:c r="G125" s="26" t="str">
        <x:f>IF(E125=F125,"PASS","FAIL")</x:f>
        <x:v>PASS</x:v>
      </x:c>
    </x:row>
    <x:row r="126">
      <x:c r="B126" s="26" t="str">
        <x:v>A120</x:v>
      </x:c>
      <x:c r="C126" s="26" t="str">
        <x:v>baseline</x:v>
      </x:c>
      <x:c r="D126" s="26" t="str">
        <x:v>commands open</x:v>
      </x:c>
      <x:c r="E126" s="26" t="n">
        <x:f>COUNTIFS('Command Transactions'!I7:I26,"OPEN")</x:f>
        <x:v>20</x:v>
      </x:c>
      <x:c r="F126" s="26" t="n">
        <x:v>20</x:v>
      </x:c>
      <x:c r="G126" s="26" t="str">
        <x:f>IF(E126=F126,"PASS","FAIL")</x:f>
        <x:v>PASS</x:v>
      </x:c>
    </x:row>
    <x:row r="127">
      <x:c r="B127" s="26" t="str">
        <x:v>A121</x:v>
      </x:c>
      <x:c r="C127" s="26" t="str">
        <x:v>baseline</x:v>
      </x:c>
      <x:c r="D127" s="26" t="str">
        <x:v>phases open</x:v>
      </x:c>
      <x:c r="E127" s="26" t="n">
        <x:f>COUNTIFS('Phase Clock'!I7:I30,"OPEN")</x:f>
        <x:v>24</x:v>
      </x:c>
      <x:c r="F127" s="26" t="n">
        <x:v>24</x:v>
      </x:c>
      <x:c r="G127" s="26" t="str">
        <x:f>IF(E127=F127,"PASS","FAIL")</x:f>
        <x:v>PASS</x:v>
      </x:c>
    </x:row>
    <x:row r="128">
      <x:c r="B128" s="26" t="str">
        <x:v>A122</x:v>
      </x:c>
      <x:c r="C128" s="26" t="str">
        <x:v>baseline</x:v>
      </x:c>
      <x:c r="D128" s="26" t="str">
        <x:v>holds open</x:v>
      </x:c>
      <x:c r="E128" s="26" t="n">
        <x:f>COUNTIFS(Holds!I7:I38,"OPEN")</x:f>
        <x:v>32</x:v>
      </x:c>
      <x:c r="F128" s="26" t="n">
        <x:v>32</x:v>
      </x:c>
      <x:c r="G128" s="26" t="str">
        <x:f>IF(E128=F128,"PASS","FAIL")</x:f>
        <x:v>PASS</x:v>
      </x:c>
    </x:row>
    <x:row r="129">
      <x:c r="B129" s="26" t="str">
        <x:v>A123</x:v>
      </x:c>
      <x:c r="C129" s="26" t="str">
        <x:v>baseline</x:v>
      </x:c>
      <x:c r="D129" s="26" t="str">
        <x:v>evidence open</x:v>
      </x:c>
      <x:c r="E129" s="26" t="n">
        <x:f>COUNTIFS('Evidence Obligations'!I7:I18,"OPEN")</x:f>
        <x:v>12</x:v>
      </x:c>
      <x:c r="F129" s="26" t="n">
        <x:v>12</x:v>
      </x:c>
      <x:c r="G129" s="26" t="str">
        <x:f>IF(E129=F129,"PASS","FAIL")</x:f>
        <x:v>PASS</x:v>
      </x:c>
    </x:row>
    <x:row r="130">
      <x:c r="B130" s="26" t="str">
        <x:v>A124</x:v>
      </x:c>
      <x:c r="C130" s="26" t="str">
        <x:v>baseline</x:v>
      </x:c>
      <x:c r="D130" s="26" t="str">
        <x:v>samples open</x:v>
      </x:c>
      <x:c r="E130" s="26" t="n">
        <x:f>COUNTIFS('Blank Samples'!K7:K12,"OPEN")</x:f>
        <x:v>6</x:v>
      </x:c>
      <x:c r="F130" s="26" t="n">
        <x:v>6</x:v>
      </x:c>
      <x:c r="G130" s="26" t="str">
        <x:f>IF(E130=F130,"PASS","FAIL")</x:f>
        <x:v>PASS</x:v>
      </x:c>
    </x:row>
    <x:row r="131">
      <x:c r="B131" s="26" t="str">
        <x:v>A125</x:v>
      </x:c>
      <x:c r="C131" s="26" t="str">
        <x:v>baseline</x:v>
      </x:c>
      <x:c r="D131" s="26" t="str">
        <x:v>aborts open</x:v>
      </x:c>
      <x:c r="E131" s="26" t="n">
        <x:f>COUNTIFS('Abort Conditions'!J7:J26,"OPEN")</x:f>
        <x:v>20</x:v>
      </x:c>
      <x:c r="F131" s="26" t="n">
        <x:v>20</x:v>
      </x:c>
      <x:c r="G131" s="26" t="str">
        <x:f>IF(E131=F131,"PASS","FAIL")</x:f>
        <x:v>PASS</x:v>
      </x:c>
    </x:row>
    <x:row r="132">
      <x:c r="B132" s="26" t="str">
        <x:v>A126</x:v>
      </x:c>
      <x:c r="C132" s="26" t="str">
        <x:v>baseline</x:v>
      </x:c>
      <x:c r="D132" s="26" t="str">
        <x:v>interventions open</x:v>
      </x:c>
      <x:c r="E132" s="26" t="n">
        <x:f>COUNTIFS('Intervention Rules'!J7:J18,"OPEN")</x:f>
        <x:v>12</x:v>
      </x:c>
      <x:c r="F132" s="26" t="n">
        <x:v>12</x:v>
      </x:c>
      <x:c r="G132" s="26" t="str">
        <x:f>IF(E132=F132,"PASS","FAIL")</x:f>
        <x:v>PASS</x:v>
      </x:c>
    </x:row>
    <x:row r="133">
      <x:c r="B133" s="26" t="str">
        <x:v>A127</x:v>
      </x:c>
      <x:c r="C133" s="26" t="str">
        <x:v>baseline</x:v>
      </x:c>
      <x:c r="D133" s="26" t="str">
        <x:v>observations open</x:v>
      </x:c>
      <x:c r="E133" s="26" t="n">
        <x:f>COUNTIFS('Event Observations'!K7:K18,"OPEN")</x:f>
        <x:v>12</x:v>
      </x:c>
      <x:c r="F133" s="26" t="n">
        <x:v>12</x:v>
      </x:c>
      <x:c r="G133" s="26" t="str">
        <x:f>IF(E133=F133,"PASS","FAIL")</x:f>
        <x:v>PASS</x:v>
      </x:c>
    </x:row>
    <x:row r="134">
      <x:c r="B134" s="26" t="str">
        <x:v>A128</x:v>
      </x:c>
      <x:c r="C134" s="26" t="str">
        <x:v>baseline</x:v>
      </x:c>
      <x:c r="D134" s="26" t="str">
        <x:v>source ledger open</x:v>
      </x:c>
      <x:c r="E134" s="26" t="n">
        <x:f>COUNTIFS('Source Ledger'!K7:K13,"OPEN")</x:f>
        <x:v>7</x:v>
      </x:c>
      <x:c r="F134" s="26" t="n">
        <x:v>7</x:v>
      </x:c>
      <x:c r="G134" s="26" t="str">
        <x:f>IF(E134=F134,"PASS","FAIL")</x:f>
        <x:v>PASS</x:v>
      </x:c>
    </x:row>
    <x:row r="135">
      <x:c r="B135" s="26" t="str">
        <x:v>A129</x:v>
      </x:c>
      <x:c r="C135" s="26" t="str">
        <x:v>baseline</x:v>
      </x:c>
      <x:c r="D135" s="26" t="str">
        <x:v>water ledger open</x:v>
      </x:c>
      <x:c r="E135" s="26" t="n">
        <x:f>COUNTIFS('Water Ledger'!K7:K14,"OPEN")</x:f>
        <x:v>8</x:v>
      </x:c>
      <x:c r="F135" s="26" t="n">
        <x:v>8</x:v>
      </x:c>
      <x:c r="G135" s="26" t="str">
        <x:f>IF(E135=F135,"PASS","FAIL")</x:f>
        <x:v>PASS</x:v>
      </x:c>
    </x:row>
    <x:row r="136">
      <x:c r="B136" s="26" t="str">
        <x:v>A130</x:v>
      </x:c>
      <x:c r="C136" s="26" t="str">
        <x:v>baseline</x:v>
      </x:c>
      <x:c r="D136" s="26" t="str">
        <x:v>validity open</x:v>
      </x:c>
      <x:c r="E136" s="26" t="n">
        <x:f>COUNTIFS('Validity Rules'!I7:I22,"OPEN")</x:f>
        <x:v>16</x:v>
      </x:c>
      <x:c r="F136" s="26" t="n">
        <x:v>16</x:v>
      </x:c>
      <x:c r="G136" s="26" t="str">
        <x:f>IF(E136=F136,"PASS","FAIL")</x:f>
        <x:v>PASS</x:v>
      </x:c>
    </x:row>
    <x:row r="137">
      <x:c r="B137" s="26" t="str">
        <x:v>A131</x:v>
      </x:c>
      <x:c r="C137" s="26" t="str">
        <x:v>baseline</x:v>
      </x:c>
      <x:c r="D137" s="26" t="str">
        <x:v>outcome open</x:v>
      </x:c>
      <x:c r="E137" s="26" t="n">
        <x:f>COUNTIFS('Outcome Rules'!I7:I16,"OPEN")</x:f>
        <x:v>10</x:v>
      </x:c>
      <x:c r="F137" s="26" t="n">
        <x:v>10</x:v>
      </x:c>
      <x:c r="G137" s="26" t="str">
        <x:f>IF(E137=F137,"PASS","FAIL")</x:f>
        <x:v>PASS</x:v>
      </x:c>
    </x:row>
    <x:row r="138">
      <x:c r="B138" s="26" t="str">
        <x:v>A132</x:v>
      </x:c>
      <x:c r="C138" s="26" t="str">
        <x:v>baseline</x:v>
      </x:c>
      <x:c r="D138" s="26" t="str">
        <x:v>event result open</x:v>
      </x:c>
      <x:c r="E138" s="26" t="n">
        <x:f>COUNTIFS('Event Result'!K7,"OPEN")</x:f>
        <x:v>1</x:v>
      </x:c>
      <x:c r="F138" s="26" t="n">
        <x:v>1</x:v>
      </x:c>
      <x:c r="G138" s="26" t="str">
        <x:f>IF(E138=F138,"PASS","FAIL")</x:f>
        <x:v>PASS</x:v>
      </x:c>
    </x:row>
    <x:row r="139">
      <x:c r="B139" s="26" t="str">
        <x:v>A133</x:v>
      </x:c>
      <x:c r="C139" s="26" t="str">
        <x:v>baseline</x:v>
      </x:c>
      <x:c r="D139" s="26" t="str">
        <x:v>recovery open</x:v>
      </x:c>
      <x:c r="E139" s="26" t="n">
        <x:f>COUNTIFS('Recovery States'!I7:I16,"OPEN")</x:f>
        <x:v>10</x:v>
      </x:c>
      <x:c r="F139" s="26" t="n">
        <x:v>10</x:v>
      </x:c>
      <x:c r="G139" s="26" t="str">
        <x:f>IF(E139=F139,"PASS","FAIL")</x:f>
        <x:v>PASS</x:v>
      </x:c>
    </x:row>
    <x:row r="140">
      <x:c r="B140" s="26" t="str">
        <x:v>A134</x:v>
      </x:c>
      <x:c r="C140" s="26" t="str">
        <x:v>baseline</x:v>
      </x:c>
      <x:c r="D140" s="26" t="str">
        <x:v>regeneration open</x:v>
      </x:c>
      <x:c r="E140" s="26" t="n">
        <x:f>COUNTIFS('Regeneration Tasks'!J7:J42,"OPEN")</x:f>
        <x:v>36</x:v>
      </x:c>
      <x:c r="F140" s="26" t="n">
        <x:v>36</x:v>
      </x:c>
      <x:c r="G140" s="26" t="str">
        <x:f>IF(E140=F140,"PASS","FAIL")</x:f>
        <x:v>PASS</x:v>
      </x:c>
    </x:row>
    <x:row r="141">
      <x:c r="B141" s="26" t="str">
        <x:v>A135</x:v>
      </x:c>
      <x:c r="C141" s="26" t="str">
        <x:v>baseline</x:v>
      </x:c>
      <x:c r="D141" s="26" t="str">
        <x:v>regression open</x:v>
      </x:c>
      <x:c r="E141" s="26" t="n">
        <x:f>COUNTIFS('Regression Tests'!I7:I30,"OPEN")</x:f>
        <x:v>24</x:v>
      </x:c>
      <x:c r="F141" s="26" t="n">
        <x:v>24</x:v>
      </x:c>
      <x:c r="G141" s="26" t="str">
        <x:f>IF(E141=F141,"PASS","FAIL")</x:f>
        <x:v>PASS</x:v>
      </x:c>
    </x:row>
    <x:row r="142">
      <x:c r="B142" s="26" t="str">
        <x:v>A136</x:v>
      </x:c>
      <x:c r="C142" s="26" t="str">
        <x:v>baseline</x:v>
      </x:c>
      <x:c r="D142" s="26" t="str">
        <x:v>reentry open</x:v>
      </x:c>
      <x:c r="E142" s="26" t="n">
        <x:f>COUNTIFS('Reentry Decisions'!I7:I12,"OPEN")</x:f>
        <x:v>6</x:v>
      </x:c>
      <x:c r="F142" s="26" t="n">
        <x:v>6</x:v>
      </x:c>
      <x:c r="G142" s="26" t="str">
        <x:f>IF(E142=F142,"PASS","FAIL")</x:f>
        <x:v>PASS</x:v>
      </x:c>
    </x:row>
    <x:row r="143">
      <x:c r="B143" s="26" t="str">
        <x:v>A137</x:v>
      </x:c>
      <x:c r="C143" s="26" t="str">
        <x:v>baseline</x:v>
      </x:c>
      <x:c r="D143" s="26" t="str">
        <x:v>replay open</x:v>
      </x:c>
      <x:c r="E143" s="26" t="n">
        <x:f>COUNTIFS('Evidence Replay'!J7:J18,"OPEN")</x:f>
        <x:v>12</x:v>
      </x:c>
      <x:c r="F143" s="26" t="n">
        <x:v>12</x:v>
      </x:c>
      <x:c r="G143" s="26" t="str">
        <x:f>IF(E143=F143,"PASS","FAIL")</x:f>
        <x:v>PASS</x:v>
      </x:c>
    </x:row>
    <x:row r="144">
      <x:c r="B144" s="26" t="str">
        <x:v>A138</x:v>
      </x:c>
      <x:c r="C144" s="26" t="str">
        <x:v>baseline</x:v>
      </x:c>
      <x:c r="D144" s="26" t="str">
        <x:v>expiry open</x:v>
      </x:c>
      <x:c r="E144" s="26" t="n">
        <x:f>COUNTIFS('Expiry Ledger'!H7:H18,"OPEN")</x:f>
        <x:v>12</x:v>
      </x:c>
      <x:c r="F144" s="26" t="n">
        <x:v>12</x:v>
      </x:c>
      <x:c r="G144" s="26" t="str">
        <x:f>IF(E144=F144,"PASS","FAIL")</x:f>
        <x:v>PASS</x:v>
      </x:c>
    </x:row>
    <x:row r="145">
      <x:c r="B145" s="26" t="str">
        <x:v>A139</x:v>
      </x:c>
      <x:c r="C145" s="26" t="str">
        <x:v>baseline</x:v>
      </x:c>
      <x:c r="D145" s="26" t="str">
        <x:v>release gates open</x:v>
      </x:c>
      <x:c r="E145" s="26" t="n">
        <x:f>COUNTIFS('Release Gates'!H7:H30,"OPEN")</x:f>
        <x:v>24</x:v>
      </x:c>
      <x:c r="F145" s="26" t="n">
        <x:v>24</x:v>
      </x:c>
      <x:c r="G145" s="26" t="str">
        <x:f>IF(E145=F145,"PASS","FAIL")</x:f>
        <x:v>PASS</x:v>
      </x:c>
    </x:row>
    <x:row r="146">
      <x:c r="B146" s="26" t="str">
        <x:v>A140</x:v>
      </x:c>
      <x:c r="C146" s="26" t="str">
        <x:v>baseline</x:v>
      </x:c>
      <x:c r="D146" s="26" t="str">
        <x:v>event release open</x:v>
      </x:c>
      <x:c r="E146" s="26" t="n">
        <x:f>COUNTIFS('Event Release'!F7:F9,"OPEN")</x:f>
        <x:v>3</x:v>
      </x:c>
      <x:c r="F146" s="26" t="n">
        <x:v>3</x:v>
      </x:c>
      <x:c r="G146" s="26" t="str">
        <x:f>IF(E146=F146,"PASS","FAIL")</x:f>
        <x:v>PASS</x:v>
      </x:c>
    </x:row>
    <x:row r="147">
      <x:c r="B147" s="26" t="str">
        <x:v>A141</x:v>
      </x:c>
      <x:c r="C147" s="26" t="str">
        <x:v>baseline</x:v>
      </x:c>
      <x:c r="D147" s="26" t="str">
        <x:v>QE-02 blocked</x:v>
      </x:c>
      <x:c r="E147" s="26" t="n">
        <x:f>COUNTIFS('QE-02 Boundary'!D7:D16,"BLOCKED")</x:f>
        <x:v>10</x:v>
      </x:c>
      <x:c r="F147" s="26" t="n">
        <x:v>10</x:v>
      </x:c>
      <x:c r="G147" s="26" t="str">
        <x:f>IF(E147=F147,"PASS","FAIL")</x:f>
        <x:v>PASS</x:v>
      </x:c>
    </x:row>
    <x:row r="148">
      <x:c r="B148" s="26" t="str">
        <x:v>A142</x:v>
      </x:c>
      <x:c r="C148" s="26" t="str">
        <x:v>authority</x:v>
      </x:c>
      <x:c r="D148" s="26" t="str">
        <x:v>downstream authority 142</x:v>
      </x:c>
      <x:c r="E148" s="26" t="n">
        <x:v>0</x:v>
      </x:c>
      <x:c r="F148" s="26" t="n">
        <x:v>0</x:v>
      </x:c>
      <x:c r="G148" s="26" t="str">
        <x:f>IF(E148=F148,"PASS","FAIL")</x:f>
        <x:v>PASS</x:v>
      </x:c>
    </x:row>
    <x:row r="149">
      <x:c r="B149" s="26" t="str">
        <x:v>A143</x:v>
      </x:c>
      <x:c r="C149" s="26" t="str">
        <x:v>authority</x:v>
      </x:c>
      <x:c r="D149" s="26" t="str">
        <x:v>downstream authority 143</x:v>
      </x:c>
      <x:c r="E149" s="26" t="n">
        <x:v>0</x:v>
      </x:c>
      <x:c r="F149" s="26" t="n">
        <x:v>0</x:v>
      </x:c>
      <x:c r="G149" s="26" t="str">
        <x:f>IF(E149=F149,"PASS","FAIL")</x:f>
        <x:v>PASS</x:v>
      </x:c>
    </x:row>
    <x:row r="150">
      <x:c r="B150" s="26" t="str">
        <x:v>A144</x:v>
      </x:c>
      <x:c r="C150" s="26" t="str">
        <x:v>authority</x:v>
      </x:c>
      <x:c r="D150" s="26" t="str">
        <x:v>downstream authority 144</x:v>
      </x:c>
      <x:c r="E150" s="26" t="n">
        <x:v>0</x:v>
      </x:c>
      <x:c r="F150" s="26" t="n">
        <x:v>0</x:v>
      </x:c>
      <x:c r="G150" s="26" t="str">
        <x:f>IF(E150=F150,"PASS","FAIL")</x:f>
        <x:v>PASS</x:v>
      </x:c>
    </x:row>
    <x:row r="151">
      <x:c r="B151" s="26" t="str">
        <x:v>A145</x:v>
      </x:c>
      <x:c r="C151" s="26" t="str">
        <x:v>authority</x:v>
      </x:c>
      <x:c r="D151" s="26" t="str">
        <x:v>downstream authority 145</x:v>
      </x:c>
      <x:c r="E151" s="26" t="n">
        <x:v>0</x:v>
      </x:c>
      <x:c r="F151" s="26" t="n">
        <x:v>0</x:v>
      </x:c>
      <x:c r="G151" s="26" t="str">
        <x:f>IF(E151=F151,"PASS","FAIL")</x:f>
        <x:v>PASS</x:v>
      </x:c>
    </x:row>
    <x:row r="152">
      <x:c r="B152" s="26" t="str">
        <x:v>A146</x:v>
      </x:c>
      <x:c r="C152" s="26" t="str">
        <x:v>authority</x:v>
      </x:c>
      <x:c r="D152" s="26" t="str">
        <x:v>downstream authority 146</x:v>
      </x:c>
      <x:c r="E152" s="26" t="n">
        <x:v>0</x:v>
      </x:c>
      <x:c r="F152" s="26" t="n">
        <x:v>0</x:v>
      </x:c>
      <x:c r="G152" s="26" t="str">
        <x:f>IF(E152=F152,"PASS","FAIL")</x:f>
        <x:v>PASS</x:v>
      </x:c>
    </x:row>
    <x:row r="153">
      <x:c r="B153" s="26" t="str">
        <x:v>A147</x:v>
      </x:c>
      <x:c r="C153" s="26" t="str">
        <x:v>authority</x:v>
      </x:c>
      <x:c r="D153" s="26" t="str">
        <x:v>downstream authority 147</x:v>
      </x:c>
      <x:c r="E153" s="26" t="n">
        <x:v>0</x:v>
      </x:c>
      <x:c r="F153" s="26" t="n">
        <x:v>0</x:v>
      </x:c>
      <x:c r="G153" s="26" t="str">
        <x:f>IF(E153=F153,"PASS","FAIL")</x:f>
        <x:v>PASS</x:v>
      </x:c>
    </x:row>
    <x:row r="154">
      <x:c r="B154" s="26" t="str">
        <x:v>A148</x:v>
      </x:c>
      <x:c r="C154" s="26" t="str">
        <x:v>authority</x:v>
      </x:c>
      <x:c r="D154" s="26" t="str">
        <x:v>downstream authority 148</x:v>
      </x:c>
      <x:c r="E154" s="26" t="n">
        <x:v>0</x:v>
      </x:c>
      <x:c r="F154" s="26" t="n">
        <x:v>0</x:v>
      </x:c>
      <x:c r="G154" s="26" t="str">
        <x:f>IF(E154=F154,"PASS","FAIL")</x:f>
        <x:v>PASS</x:v>
      </x:c>
    </x:row>
    <x:row r="155">
      <x:c r="B155" s="26" t="str">
        <x:v>A149</x:v>
      </x:c>
      <x:c r="C155" s="26" t="str">
        <x:v>authority</x:v>
      </x:c>
      <x:c r="D155" s="26" t="str">
        <x:v>downstream authority 149</x:v>
      </x:c>
      <x:c r="E155" s="26" t="n">
        <x:v>0</x:v>
      </x:c>
      <x:c r="F155" s="26" t="n">
        <x:v>0</x:v>
      </x:c>
      <x:c r="G155" s="26" t="str">
        <x:f>IF(E155=F155,"PASS","FAIL")</x:f>
        <x:v>PASS</x:v>
      </x:c>
    </x:row>
    <x:row r="156">
      <x:c r="B156" s="26" t="str">
        <x:v>A150</x:v>
      </x:c>
      <x:c r="C156" s="26" t="str">
        <x:v>authority</x:v>
      </x:c>
      <x:c r="D156" s="26" t="str">
        <x:v>downstream authority 150</x:v>
      </x:c>
      <x:c r="E156" s="26" t="n">
        <x:v>0</x:v>
      </x:c>
      <x:c r="F156" s="26" t="n">
        <x:v>0</x:v>
      </x:c>
      <x:c r="G156" s="26" t="str">
        <x:f>IF(E156=F156,"PASS","FAIL")</x:f>
        <x:v>PASS</x:v>
      </x:c>
    </x:row>
  </x:sheetData>
  <x:conditionalFormatting sqref="G7:G156">
    <x:cfRule type="containsText" dxfId="387" priority="1" operator="containsText" text="FAIL"/>
    <x:cfRule type="containsText" dxfId="388" priority="2" operator="containsText" text="BLOCKED"/>
    <x:cfRule type="containsText" dxfId="389" priority="3" operator="containsText" text="INVALID"/>
    <x:cfRule type="containsText" dxfId="390" priority="4" operator="containsText" text="ADVERSE"/>
    <x:cfRule type="containsText" dxfId="391" priority="5" operator="containsText" text="EXPIRED"/>
    <x:cfRule type="containsText" dxfId="392" priority="6" operator="containsText" text="OPEN"/>
    <x:cfRule type="containsText" dxfId="393" priority="7" operator="containsText" text="DORMANT"/>
    <x:cfRule type="containsText" dxfId="394" priority="8" operator="containsText" text="PASS"/>
    <x:cfRule type="containsText" dxfId="395" priority="9" operator="containsText" text="AVAILABLE"/>
  </x:conditionalFormatting>
  <x:pageMargins left="0.7" right="0.7" top="0.75" bottom="0.75" header="0.3" footer="0.3"/>
</x:worksheet>
</file>

<file path=xl/worksheets/sheet56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5" hidden="0" customWidth="1"/>
    <x:col min="3" max="3" width="17" hidden="0" customWidth="1"/>
    <x:col min="4" max="4" width="92" hidden="0" customWidth="1"/>
    <x:col min="5" max="5" width="24" hidden="0" customWidth="1"/>
  </x:cols>
  <x:sheetData>
    <x:row r="2">
      <x:c r="B2" s="22" t="str">
        <x:v>Internal authority register</x:v>
      </x:c>
      <x:c r="C2" s="23"/>
      <x:c r="D2" s="23"/>
      <x:c r="E2" s="23"/>
    </x:row>
    <x:row r="3">
      <x:c r="B3" s="24" t="str">
        <x:v>Every source is a repository authority. No external site or new empirical result is used.</x:v>
      </x:c>
      <x:c r="C3" s="23"/>
      <x:c r="D3" s="23"/>
      <x:c r="E3" s="23"/>
    </x:row>
    <x:row r="4">
      <x:c r="B4" s="23"/>
      <x:c r="C4" s="23"/>
      <x:c r="D4" s="23"/>
      <x:c r="E4" s="23"/>
    </x:row>
    <x:row r="5">
      <x:c r="B5" s="23"/>
      <x:c r="C5" s="23"/>
      <x:c r="D5" s="23"/>
      <x:c r="E5" s="23"/>
    </x:row>
    <x:row r="6" ht="24" customHeight="1">
      <x:c r="B6" s="6" t="str">
        <x:v>Source</x:v>
      </x:c>
      <x:c r="C6" s="6" t="str">
        <x:v>Authority</x:v>
      </x:c>
      <x:c r="D6" s="6" t="str">
        <x:v>Use</x:v>
      </x:c>
      <x:c r="E6" s="6" t="str">
        <x:v>Class</x:v>
      </x:c>
    </x:row>
    <x:row r="7" ht="40" customHeight="1">
      <x:c r="B7" s="26" t="str">
        <x:v>SRC-01</x:v>
      </x:c>
      <x:c r="C7" s="26" t="str">
        <x:v>RAE-1</x:v>
      </x:c>
      <x:c r="D7" s="31" t="str">
        <x:v>event classes, zero-state proposition, 192 bound objects, phases, holds, evidence and source uncertainty</x:v>
      </x:c>
      <x:c r="E7" s="26" t="str">
        <x:v>internal predecessor</x:v>
      </x:c>
    </x:row>
    <x:row r="8" ht="40" customHeight="1">
      <x:c r="B8" s="26" t="str">
        <x:v>SRC-02</x:v>
      </x:c>
      <x:c r="C8" s="26" t="str">
        <x:v>RAP-1</x:v>
      </x:c>
      <x:c r="D8" s="31" t="str">
        <x:v>article bank, proof institution and reserve law</x:v>
      </x:c>
      <x:c r="E8" s="26" t="str">
        <x:v>internal predecessor</x:v>
      </x:c>
    </x:row>
    <x:row r="9" ht="40" customHeight="1">
      <x:c r="B9" s="26" t="str">
        <x:v>SRC-03</x:v>
      </x:c>
      <x:c r="C9" s="26" t="str">
        <x:v>RAC-1</x:v>
      </x:c>
      <x:c r="D9" s="31" t="str">
        <x:v>construction identity and eighteen-month duration</x:v>
      </x:c>
      <x:c r="E9" s="26" t="str">
        <x:v>internal predecessor</x:v>
      </x:c>
    </x:row>
    <x:row r="10" ht="40" customHeight="1">
      <x:c r="B10" s="26" t="str">
        <x:v>SRC-04</x:v>
      </x:c>
      <x:c r="C10" s="26" t="str">
        <x:v>RAB-1</x:v>
      </x:c>
      <x:c r="D10" s="31" t="str">
        <x:v>development and destructive qualification</x:v>
      </x:c>
      <x:c r="E10" s="26" t="str">
        <x:v>internal predecessor</x:v>
      </x:c>
    </x:row>
    <x:row r="11" ht="40" customHeight="1">
      <x:c r="B11" s="26" t="str">
        <x:v>SRC-05</x:v>
      </x:c>
      <x:c r="C11" s="26" t="str">
        <x:v>RAQ-1</x:v>
      </x:c>
      <x:c r="D11" s="31" t="str">
        <x:v>accepted production-equivalent bank and article roles</x:v>
      </x:c>
      <x:c r="E11" s="26" t="str">
        <x:v>internal predecessor</x:v>
      </x:c>
    </x:row>
    <x:row r="12" ht="40" customHeight="1">
      <x:c r="B12" s="26" t="str">
        <x:v>SRC-06</x:v>
      </x:c>
      <x:c r="C12" s="26" t="str">
        <x:v>RAX-1</x:v>
      </x:c>
      <x:c r="D12" s="31" t="str">
        <x:v>six-rig readiness, current credentials and remaining finance</x:v>
      </x:c>
      <x:c r="E12" s="26" t="str">
        <x:v>immediate predecessor</x:v>
      </x:c>
    </x:row>
    <x:row r="13" ht="40" customHeight="1">
      <x:c r="B13" s="26" t="str">
        <x:v>SRC-07</x:v>
      </x:c>
      <x:c r="C13" s="26" t="str">
        <x:v>RFP-1</x:v>
      </x:c>
      <x:c r="D13" s="31" t="str">
        <x:v>rig physics, 576 channels, rescue and environmental custody</x:v>
      </x:c>
      <x:c r="E13" s="26" t="str">
        <x:v>rig authority</x:v>
      </x:c>
    </x:row>
    <x:row r="14" ht="40" customHeight="1">
      <x:c r="B14" s="26" t="str">
        <x:v>SRC-08</x:v>
      </x:c>
      <x:c r="C14" s="26" t="str">
        <x:v>RFE-1</x:v>
      </x:c>
      <x:c r="D14" s="31" t="str">
        <x:v>command grammar, validity first, ten recovery states and 72-hour reset ceiling</x:v>
      </x:c>
      <x:c r="E14" s="26" t="str">
        <x:v>execution authority</x:v>
      </x:c>
    </x:row>
    <x:row r="15" ht="40" customHeight="1">
      <x:c r="B15" s="26" t="str">
        <x:v>SRC-09</x:v>
      </x:c>
      <x:c r="C15" s="26" t="str">
        <x:v>RAS-1</x:v>
      </x:c>
      <x:c r="D15" s="31" t="str">
        <x:v>zero class, safeing, aborts, unlike roots and source-bearing boundary</x:v>
      </x:c>
      <x:c r="E15" s="26" t="str">
        <x:v>safety authority</x:v>
      </x:c>
    </x:row>
    <x:row r="16" ht="40" customHeight="1">
      <x:c r="B16" s="26" t="str">
        <x:v>SRC-10</x:v>
      </x:c>
      <x:c r="C16" s="26" t="str">
        <x:v>RAY-1</x:v>
      </x:c>
      <x:c r="D16" s="31" t="str">
        <x:v>first-event issue, observed-zero and regeneration design</x:v>
      </x:c>
      <x:c r="E16" s="26" t="str">
        <x:v>current design</x:v>
      </x:c>
    </x:row>
  </x:sheetData>
  <x:pageMargins left="0.7" right="0.7" top="0.75" bottom="0.75" header="0.3" footer="0.3"/>
</x:worksheet>
</file>

<file path=xl/worksheets/sheet57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22" hidden="0" customWidth="1"/>
    <x:col min="3" max="3" width="115" hidden="0" customWidth="1"/>
  </x:cols>
  <x:sheetData>
    <x:row r="2">
      <x:c r="B2" s="22" t="str">
        <x:v>How to use RAY-1</x:v>
      </x:c>
      <x:c r="C2" s="23"/>
    </x:row>
    <x:row r="3">
      <x:c r="B3" s="24" t="str">
        <x:v>The workbook is a constitutional model. It begins open and records no physical event.</x:v>
      </x:c>
      <x:c r="C3" s="23"/>
    </x:row>
    <x:row r="4">
      <x:c r="B4" s="23"/>
      <x:c r="C4" s="23"/>
    </x:row>
    <x:row r="5">
      <x:c r="B5" s="23"/>
      <x:c r="C5" s="23"/>
    </x:row>
    <x:row r="6" ht="24" customHeight="1">
      <x:c r="B6" s="6" t="str">
        <x:v>Topic</x:v>
      </x:c>
      <x:c r="C6" s="6" t="str">
        <x:v>Guidance</x:v>
      </x:c>
    </x:row>
    <x:row r="7" ht="42" customHeight="1">
      <x:c r="B7" s="26" t="str">
        <x:v>Purpose</x:v>
      </x:c>
      <x:c r="C7" s="31" t="str">
        <x:v>Define the first QE-01 event as one selected, issued, observed, adjudicated and regenerated zero-source state.</x:v>
      </x:c>
    </x:row>
    <x:row r="8" ht="42" customHeight="1">
      <x:c r="B8" s="26" t="str">
        <x:v>Decision</x:v>
      </x:c>
      <x:c r="C8" s="31" t="str">
        <x:v>Close one event and return its consumed resources to new authority; do not qualify the class or issue QE-02.</x:v>
      </x:c>
    </x:row>
    <x:row r="9" ht="42" customHeight="1">
      <x:c r="B9" s="26" t="str">
        <x:v>Observed zero</x:v>
      </x:c>
      <x:c r="C9" s="31" t="str">
        <x:v>Enter numeric results, uncertainty, samples and ledgers. Empty cells remain open and never become zero.</x:v>
      </x:c>
    </x:row>
    <x:row r="10" ht="42" customHeight="1">
      <x:c r="B10" s="26" t="str">
        <x:v>Selection</x:v>
      </x:c>
      <x:c r="C10" s="31" t="str">
        <x:v>Populate all twenty-four cells before the draw, then record six verified commitment-reveal contributions and the selected index.</x:v>
      </x:c>
    </x:row>
    <x:row r="11" ht="42" customHeight="1">
      <x:c r="B11" s="26" t="str">
        <x:v>Issue</x:v>
      </x:c>
      <x:c r="C11" s="31" t="str">
        <x:v>Bind all 192 dossier objects, forty crew positions, event date, baseline root, authority and expiry before T0.</x:v>
      </x:c>
    </x:row>
    <x:row r="12" ht="42" customHeight="1">
      <x:c r="B12" s="26" t="str">
        <x:v>Execution</x:v>
      </x:c>
      <x:c r="C12" s="31" t="str">
        <x:v>Record twenty-four phases, twenty commands, thirty-six safeing polls, twenty abort channels and twelve evidence obligations.</x:v>
      </x:c>
    </x:row>
    <x:row r="13" ht="42" customHeight="1">
      <x:c r="B13" s="26" t="str">
        <x:v>Adjudication</x:v>
      </x:c>
      <x:c r="C13" s="31" t="str">
        <x:v>Validity precedes outcome. A valid adverse result remains evidence; an invalid attempt may use a reserved QE-01 token.</x:v>
      </x:c>
    </x:row>
    <x:row r="14" ht="42" customHeight="1">
      <x:c r="B14" s="26" t="str">
        <x:v>Regeneration</x:v>
      </x:c>
      <x:c r="C14" s="31" t="str">
        <x:v>Complete ten ordered recovery states, thirty-six tasks, twenty-four regressions and six new reentry decisions.</x:v>
      </x:c>
    </x:row>
    <x:row r="15" ht="42" customHeight="1">
      <x:c r="B15" s="26" t="str">
        <x:v>Finance</x:v>
      </x:c>
      <x:c r="C15" s="31" t="str">
        <x:v>RAY-1 uses USD 12M capital, USD 6M/year and USD 24M technology, leaving parent capacity for later source work.</x:v>
      </x:c>
    </x:row>
    <x:row r="16" ht="42" customHeight="1">
      <x:c r="B16" s="26" t="str">
        <x:v>Authority</x:v>
      </x:c>
      <x:c r="C16" s="31" t="str">
        <x:v>All physical cells begin open. No workbook formula grants QE-01 class, QE-02, source, candidate, production or exterior-form authority.</x:v>
      </x:c>
    </x:row>
    <x:row r="17" ht="42" customHeight="1">
      <x:c r="B17" s="26" t="str">
        <x:v>Next</x:v>
      </x:c>
      <x:c r="C17" s="31" t="str">
        <x:v>A later object must complete the twenty-four-event QE-01 class before any 100 kg QE-02 issue can be considered.</x:v>
      </x:c>
    </x:row>
  </x:sheetData>
  <x:pageMargins left="0.7" right="0.7" top="0.75" bottom="0.75" header="0.3" footer="0.3"/>
</x:worksheet>
</file>