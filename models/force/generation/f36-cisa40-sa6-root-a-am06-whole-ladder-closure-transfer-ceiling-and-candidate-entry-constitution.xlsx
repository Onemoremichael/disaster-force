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c41095bac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5c71a80ae44be3"/>
    <x:sheet xmlns:r="http://schemas.openxmlformats.org/officeDocument/2006/relationships" name="Rung Ledger" sheetId="2" r:id="R990b7059b4de42b8"/>
    <x:sheet xmlns:r="http://schemas.openxmlformats.org/officeDocument/2006/relationships" name="Assumptions" sheetId="3" r:id="R6d38f3e123e945c4"/>
    <x:sheet xmlns:r="http://schemas.openxmlformats.org/officeDocument/2006/relationships" name="Resource Reconciliation" sheetId="4" r:id="R461891c17e894bc0"/>
    <x:sheet xmlns:r="http://schemas.openxmlformats.org/officeDocument/2006/relationships" name="Root Matrix" sheetId="5" r:id="R9f3955e0b02b47fb"/>
    <x:sheet xmlns:r="http://schemas.openxmlformats.org/officeDocument/2006/relationships" name="Transfer Obligations" sheetId="6" r:id="Rda4fe94d6a1749e8"/>
    <x:sheet xmlns:r="http://schemas.openxmlformats.org/officeDocument/2006/relationships" name="Version Edges" sheetId="7" r:id="Ra27b2b7298084e8b"/>
    <x:sheet xmlns:r="http://schemas.openxmlformats.org/officeDocument/2006/relationships" name="Translation Carriers" sheetId="8" r:id="R5808b216a8c6488e"/>
    <x:sheet xmlns:r="http://schemas.openxmlformats.org/officeDocument/2006/relationships" name="Translation Cycles" sheetId="9" r:id="R638f7a0bae5d454d"/>
    <x:sheet xmlns:r="http://schemas.openxmlformats.org/officeDocument/2006/relationships" name="Translation Totals" sheetId="10" r:id="R1a239df9732e431b"/>
    <x:sheet xmlns:r="http://schemas.openxmlformats.org/officeDocument/2006/relationships" name="Reconstruction Decisions" sheetId="11" r:id="Rfe992669eb9e4df3"/>
    <x:sheet xmlns:r="http://schemas.openxmlformats.org/officeDocument/2006/relationships" name="Contradiction Cases" sheetId="12" r:id="R1ff3cf5cfa7f4373"/>
    <x:sheet xmlns:r="http://schemas.openxmlformats.org/officeDocument/2006/relationships" name="Adverse Ledger" sheetId="13" r:id="R4903971a6684493d"/>
    <x:sheet xmlns:r="http://schemas.openxmlformats.org/officeDocument/2006/relationships" name="Reserve Ledger" sheetId="14" r:id="R15bda6c52bcd4639"/>
    <x:sheet xmlns:r="http://schemas.openxmlformats.org/officeDocument/2006/relationships" name="Transfer Claims" sheetId="15" r:id="R582931c0ce0446e6"/>
    <x:sheet xmlns:r="http://schemas.openxmlformats.org/officeDocument/2006/relationships" name="Transfer Exclusions" sheetId="16" r:id="R5f4d89fd94974886"/>
    <x:sheet xmlns:r="http://schemas.openxmlformats.org/officeDocument/2006/relationships" name="OCE Dossier" sheetId="17" r:id="R375bf20448744f11"/>
    <x:sheet xmlns:r="http://schemas.openxmlformats.org/officeDocument/2006/relationships" name="Candidate Families" sheetId="18" r:id="R29fd6e07f39d410f"/>
    <x:sheet xmlns:r="http://schemas.openxmlformats.org/officeDocument/2006/relationships" name="Entry States" sheetId="19" r:id="Rc67a0b1cbf0a4002"/>
    <x:sheet xmlns:r="http://schemas.openxmlformats.org/officeDocument/2006/relationships" name="Evidence Totals" sheetId="20" r:id="Ra8df49819ee544f5"/>
    <x:sheet xmlns:r="http://schemas.openxmlformats.org/officeDocument/2006/relationships" name="Schedule" sheetId="21" r:id="R93e51d70cb2c4013"/>
    <x:sheet xmlns:r="http://schemas.openxmlformats.org/officeDocument/2006/relationships" name="Overlap Logic" sheetId="22" r:id="R1c8ca50fba914126"/>
    <x:sheet xmlns:r="http://schemas.openxmlformats.org/officeDocument/2006/relationships" name="Workforce" sheetId="23" r:id="R629ec8114a8f4117"/>
    <x:sheet xmlns:r="http://schemas.openxmlformats.org/officeDocument/2006/relationships" name="Capital" sheetId="24" r:id="Rf14797cbac724afb"/>
    <x:sheet xmlns:r="http://schemas.openxmlformats.org/officeDocument/2006/relationships" name="Annual Support" sheetId="25" r:id="R09984b9e2fd94cae"/>
    <x:sheet xmlns:r="http://schemas.openxmlformats.org/officeDocument/2006/relationships" name="Technology" sheetId="26" r:id="Ra74ccee7ac374583"/>
    <x:sheet xmlns:r="http://schemas.openxmlformats.org/officeDocument/2006/relationships" name="Parent Capacity" sheetId="27" r:id="R0c6520fa2f4d4b97"/>
    <x:sheet xmlns:r="http://schemas.openxmlformats.org/officeDocument/2006/relationships" name="Sensitivity" sheetId="28" r:id="Rcec90a3a3831438c"/>
    <x:sheet xmlns:r="http://schemas.openxmlformats.org/officeDocument/2006/relationships" name="Release Gates" sheetId="29" r:id="Rf648232119d44183"/>
    <x:sheet xmlns:r="http://schemas.openxmlformats.org/officeDocument/2006/relationships" name="Audit" sheetId="30" r:id="Rafc0606912c34fed"/>
    <x:sheet xmlns:r="http://schemas.openxmlformats.org/officeDocument/2006/relationships" name="Sources" sheetId="31" r:id="Rb4c892829b704e88"/>
    <x:sheet xmlns:r="http://schemas.openxmlformats.org/officeDocument/2006/relationships" name="Read Me" sheetId="32" r:id="R3f6ec81eee62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#,##0"/>
    <x:numFmt numFmtId="202" formatCode="$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1" fontId="4" fillId="7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202" fontId="4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19f2572b8459d" /><Relationship Type="http://schemas.openxmlformats.org/officeDocument/2006/relationships/theme" Target="/xl/theme/theme1.xml" Id="R63ee123c7a984c5c" /><Relationship Type="http://schemas.openxmlformats.org/officeDocument/2006/relationships/sharedStrings" Target="/xl/sharedStrings.xml" Id="Rbb8a5fcbe8194060" /><Relationship Type="http://schemas.openxmlformats.org/officeDocument/2006/relationships/worksheet" Target="/xl/worksheets/sheet1.xml" Id="Rb75c71a80ae44be3" /><Relationship Type="http://schemas.openxmlformats.org/officeDocument/2006/relationships/worksheet" Target="/xl/worksheets/sheet2.xml" Id="R990b7059b4de42b8" /><Relationship Type="http://schemas.openxmlformats.org/officeDocument/2006/relationships/worksheet" Target="/xl/worksheets/sheet3.xml" Id="R6d38f3e123e945c4" /><Relationship Type="http://schemas.openxmlformats.org/officeDocument/2006/relationships/worksheet" Target="/xl/worksheets/sheet4.xml" Id="R461891c17e894bc0" /><Relationship Type="http://schemas.openxmlformats.org/officeDocument/2006/relationships/worksheet" Target="/xl/worksheets/sheet5.xml" Id="R9f3955e0b02b47fb" /><Relationship Type="http://schemas.openxmlformats.org/officeDocument/2006/relationships/worksheet" Target="/xl/worksheets/sheet6.xml" Id="Rda4fe94d6a1749e8" /><Relationship Type="http://schemas.openxmlformats.org/officeDocument/2006/relationships/worksheet" Target="/xl/worksheets/sheet7.xml" Id="Ra27b2b7298084e8b" /><Relationship Type="http://schemas.openxmlformats.org/officeDocument/2006/relationships/worksheet" Target="/xl/worksheets/sheet8.xml" Id="R5808b216a8c6488e" /><Relationship Type="http://schemas.openxmlformats.org/officeDocument/2006/relationships/worksheet" Target="/xl/worksheets/sheet9.xml" Id="R638f7a0bae5d454d" /><Relationship Type="http://schemas.openxmlformats.org/officeDocument/2006/relationships/worksheet" Target="/xl/worksheets/sheet10.xml" Id="R1a239df9732e431b" /><Relationship Type="http://schemas.openxmlformats.org/officeDocument/2006/relationships/worksheet" Target="/xl/worksheets/sheet11.xml" Id="Rfe992669eb9e4df3" /><Relationship Type="http://schemas.openxmlformats.org/officeDocument/2006/relationships/worksheet" Target="/xl/worksheets/sheet12.xml" Id="R1ff3cf5cfa7f4373" /><Relationship Type="http://schemas.openxmlformats.org/officeDocument/2006/relationships/worksheet" Target="/xl/worksheets/sheet13.xml" Id="R4903971a6684493d" /><Relationship Type="http://schemas.openxmlformats.org/officeDocument/2006/relationships/worksheet" Target="/xl/worksheets/sheet14.xml" Id="R15bda6c52bcd4639" /><Relationship Type="http://schemas.openxmlformats.org/officeDocument/2006/relationships/worksheet" Target="/xl/worksheets/sheet15.xml" Id="R582931c0ce0446e6" /><Relationship Type="http://schemas.openxmlformats.org/officeDocument/2006/relationships/worksheet" Target="/xl/worksheets/sheet16.xml" Id="R5f4d89fd94974886" /><Relationship Type="http://schemas.openxmlformats.org/officeDocument/2006/relationships/worksheet" Target="/xl/worksheets/sheet17.xml" Id="R375bf20448744f11" /><Relationship Type="http://schemas.openxmlformats.org/officeDocument/2006/relationships/worksheet" Target="/xl/worksheets/sheet18.xml" Id="R29fd6e07f39d410f" /><Relationship Type="http://schemas.openxmlformats.org/officeDocument/2006/relationships/worksheet" Target="/xl/worksheets/sheet19.xml" Id="Rc67a0b1cbf0a4002" /><Relationship Type="http://schemas.openxmlformats.org/officeDocument/2006/relationships/worksheet" Target="/xl/worksheets/sheet20.xml" Id="Ra8df49819ee544f5" /><Relationship Type="http://schemas.openxmlformats.org/officeDocument/2006/relationships/worksheet" Target="/xl/worksheets/sheet21.xml" Id="R93e51d70cb2c4013" /><Relationship Type="http://schemas.openxmlformats.org/officeDocument/2006/relationships/worksheet" Target="/xl/worksheets/sheet22.xml" Id="R1c8ca50fba914126" /><Relationship Type="http://schemas.openxmlformats.org/officeDocument/2006/relationships/worksheet" Target="/xl/worksheets/sheet23.xml" Id="R629ec8114a8f4117" /><Relationship Type="http://schemas.openxmlformats.org/officeDocument/2006/relationships/worksheet" Target="/xl/worksheets/sheet24.xml" Id="Rf14797cbac724afb" /><Relationship Type="http://schemas.openxmlformats.org/officeDocument/2006/relationships/worksheet" Target="/xl/worksheets/sheet25.xml" Id="R09984b9e2fd94cae" /><Relationship Type="http://schemas.openxmlformats.org/officeDocument/2006/relationships/worksheet" Target="/xl/worksheets/sheet26.xml" Id="Ra74ccee7ac374583" /><Relationship Type="http://schemas.openxmlformats.org/officeDocument/2006/relationships/worksheet" Target="/xl/worksheets/sheet27.xml" Id="R0c6520fa2f4d4b97" /><Relationship Type="http://schemas.openxmlformats.org/officeDocument/2006/relationships/worksheet" Target="/xl/worksheets/sheet28.xml" Id="Rcec90a3a3831438c" /><Relationship Type="http://schemas.openxmlformats.org/officeDocument/2006/relationships/worksheet" Target="/xl/worksheets/sheet29.xml" Id="Rf648232119d44183" /><Relationship Type="http://schemas.openxmlformats.org/officeDocument/2006/relationships/worksheet" Target="/xl/worksheets/sheet30.xml" Id="Rafc0606912c34fed" /><Relationship Type="http://schemas.openxmlformats.org/officeDocument/2006/relationships/worksheet" Target="/xl/worksheets/sheet31.xml" Id="Rb4c892829b704e88" /><Relationship Type="http://schemas.openxmlformats.org/officeDocument/2006/relationships/worksheet" Target="/xl/worksheets/sheet32.xml" Id="R3f6ec81eee62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4" max="4" width="27" hidden="0" customWidth="1"/>
    <x:col min="7" max="7" width="27" hidden="0" customWidth="1"/>
    <x:col min="2" max="2" width="18" hidden="0" customWidth="1"/>
    <x:col min="5" max="5" width="18" hidden="0" customWidth="1"/>
    <x:col min="8" max="8" width="18" hidden="0" customWidth="1"/>
    <x:col min="3" max="3" width="4" hidden="0" customWidth="1"/>
    <x:col min="6" max="6" width="4" hidden="0" customWidth="1"/>
  </x:cols>
  <x:sheetData>
    <x:row r="1" ht="28" customHeight="1">
      <x:c r="A1" s="3" t="str">
        <x:v>RBR-1 whole-ladder closure and candidate-entry model</x:v>
      </x:c>
    </x:row>
    <x:row r="2" ht="28" customHeight="1">
      <x:c r="A2" s="31" t="str">
        <x:v>Ten accepted classes still require versioned causal closure before any operational candidate can inherit a reference interface.</x:v>
      </x:c>
    </x:row>
    <x:row r="4">
      <x:c r="A4" s="9" t="str">
        <x:v>Ladder</x:v>
      </x:c>
      <x:c r="B4" s="9" t="str">
        <x:v>Result</x:v>
      </x:c>
      <x:c r="D4" s="9" t="str">
        <x:v>Closure</x:v>
      </x:c>
      <x:c r="E4" s="9" t="str">
        <x:v>Result</x:v>
      </x:c>
      <x:c r="G4" s="9" t="str">
        <x:v>Resources</x:v>
      </x:c>
      <x:c r="H4" s="9" t="str">
        <x:v>Result</x:v>
      </x:c>
    </x:row>
    <x:row r="5">
      <x:c r="A5" s="33" t="str">
        <x:v>Rungs</x:v>
      </x:c>
      <x:c r="B5" s="39" t="n">
        <x:f>Audit!B5</x:f>
        <x:v>10</x:v>
      </x:c>
      <x:c r="D5" s="33" t="str">
        <x:v>Root cells</x:v>
      </x:c>
      <x:c r="E5" s="39" t="n">
        <x:f>Audit!B14</x:f>
        <x:v>90</x:v>
      </x:c>
      <x:c r="G5" s="33" t="str">
        <x:v>Primary weeks</x:v>
      </x:c>
      <x:c r="H5" s="39" t="n">
        <x:f>Audit!B23</x:f>
        <x:v>78</x:v>
      </x:c>
    </x:row>
    <x:row r="6">
      <x:c r="A6" s="33" t="str">
        <x:v>Required cells</x:v>
      </x:c>
      <x:c r="B6" s="39" t="n">
        <x:f>Audit!B8</x:f>
        <x:v>120</x:v>
      </x:c>
      <x:c r="D6" s="33" t="str">
        <x:v>Obligations</x:v>
      </x:c>
      <x:c r="E6" s="39" t="n">
        <x:f>Audit!B15</x:f>
        <x:v>540</x:v>
      </x:c>
      <x:c r="G6" s="33" t="str">
        <x:v>Maximum weeks</x:v>
      </x:c>
      <x:c r="H6" s="39" t="n">
        <x:f>Audit!B24</x:f>
        <x:v>84</x:v>
      </x:c>
    </x:row>
    <x:row r="7">
      <x:c r="A7" s="33" t="str">
        <x:v>Maximum attempts</x:v>
      </x:c>
      <x:c r="B7" s="39" t="n">
        <x:f>Audit!B9</x:f>
        <x:v>160</x:v>
      </x:c>
      <x:c r="D7" s="33" t="str">
        <x:v>Edges</x:v>
      </x:c>
      <x:c r="E7" s="39" t="n">
        <x:f>Audit!B16</x:f>
        <x:v>9</x:v>
      </x:c>
      <x:c r="G7" s="33" t="str">
        <x:v>Concurrent positions</x:v>
      </x:c>
      <x:c r="H7" s="39" t="n">
        <x:f>Workforce!B17</x:f>
        <x:v>7350</x:v>
      </x:c>
    </x:row>
    <x:row r="8">
      <x:c r="A8" s="33" t="str">
        <x:v>Candidate trials</x:v>
      </x:c>
      <x:c r="B8" s="39" t="n">
        <x:f>Audit!B6</x:f>
        <x:v>3276</x:v>
      </x:c>
      <x:c r="D8" s="33" t="str">
        <x:v>Carriers</x:v>
      </x:c>
      <x:c r="E8" s="39" t="n">
        <x:f>Audit!B17</x:f>
        <x:v>18</x:v>
      </x:c>
      <x:c r="G8" s="33" t="str">
        <x:v>Capital USD M</x:v>
      </x:c>
      <x:c r="H8" s="39" t="n">
        <x:f>Audit!B26</x:f>
        <x:v>1800</x:v>
      </x:c>
    </x:row>
    <x:row r="9">
      <x:c r="A9" s="33" t="str">
        <x:v>Qualification cycles</x:v>
      </x:c>
      <x:c r="B9" s="39" t="n">
        <x:f>Audit!B7</x:f>
        <x:v>1012</x:v>
      </x:c>
      <x:c r="D9" s="33" t="str">
        <x:v>Translation cycles</x:v>
      </x:c>
      <x:c r="E9" s="39" t="n">
        <x:f>Audit!B18</x:f>
        <x:v>72</x:v>
      </x:c>
      <x:c r="G9" s="33" t="str">
        <x:v>Annual USD M</x:v>
      </x:c>
      <x:c r="H9" s="39" t="n">
        <x:f>'Annual Support'!B13</x:f>
        <x:v>220</x:v>
      </x:c>
    </x:row>
    <x:row r="10">
      <x:c r="A10" s="33" t="str">
        <x:v>Capital</x:v>
      </x:c>
      <x:c r="B10" s="39" t="n">
        <x:f>Audit!B12</x:f>
        <x:v>18880</x:v>
      </x:c>
      <x:c r="D10" s="33" t="str">
        <x:v>Reconstructions</x:v>
      </x:c>
      <x:c r="E10" s="39" t="n">
        <x:f>Audit!B21</x:f>
        <x:v>360</x:v>
      </x:c>
      <x:c r="G10" s="33" t="str">
        <x:v>Technology USD M</x:v>
      </x:c>
      <x:c r="H10" s="39" t="n">
        <x:f>Audit!B28</x:f>
        <x:v>750</x:v>
      </x:c>
    </x:row>
    <x:row r="11">
      <x:c r="A11" s="33" t="str">
        <x:v>Evidence TB</x:v>
      </x:c>
      <x:c r="B11" s="39" t="n">
        <x:f>'Resource Reconciliation'!B17</x:f>
        <x:v>3668.163</x:v>
      </x:c>
      <x:c r="D11" s="33" t="str">
        <x:v>Contradictions</x:v>
      </x:c>
      <x:c r="E11" s="39" t="n">
        <x:f>Audit!B22</x:f>
        <x:v>30</x:v>
      </x:c>
      <x:c r="G11" s="33" t="str">
        <x:v>Next object</x:v>
      </x:c>
      <x:c r="H11" s="33" t="str">
        <x:f>"RBS-1"</x:f>
        <x:v>RBS-1</x:v>
      </x:c>
    </x:row>
    <x:row r="13">
      <x:c r="A13" s="34" t="str">
        <x:v>Finding</x:v>
      </x:c>
    </x:row>
    <x:row r="14" ht="74" customHeight="1">
      <x:c r="A14" s="38" t="str">
        <x:v>The ladder qualifies a public reference truth system, not an operational suppression fleet. Ninety root cells, 540 transfer obligations, seventy-two physical translations and 360 external reconstructions must close before a bounded reference claim can enter an operational mission competition.</x:v>
      </x:c>
    </x:row>
  </x:sheetData>
  <x:mergeCells>
    <x:mergeCell ref="A1:H1"/>
    <x:mergeCell ref="A2:H2"/>
    <x:mergeCell ref="A13:H13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20" hidden="0" customWidth="1"/>
    <x:col min="11" max="11" width="16" hidden="0" customWidth="1"/>
    <x:col min="12" max="12" width="18" hidden="0" customWidth="1"/>
    <x:col min="13" max="13" width="18" hidden="0" customWidth="1"/>
    <x:col min="14" max="14" width="20" hidden="0" customWidth="1"/>
    <x:col min="15" max="15" width="14" hidden="0" customWidth="1"/>
    <x:col min="16" max="16" width="16" hidden="0" customWidth="1"/>
    <x:col min="17" max="17" width="16" hidden="0" customWidth="1"/>
  </x:cols>
  <x:sheetData>
    <x:row r="1" ht="27" customHeight="1">
      <x:c r="A1" s="3" t="str">
        <x:v>AM-06 ten-rung ledger</x:v>
      </x:c>
    </x:row>
    <x:row r="2" ht="32" customHeight="1">
      <x:c r="A2" s="7" t="str">
        <x:v>Rows are unlike research propositions. Totals reconcile resources and do not create a pooled success rate.</x:v>
      </x:c>
    </x:row>
    <x:row r="4" ht="28" customHeight="1">
      <x:c r="A4" s="11" t="str">
        <x:v>Rung</x:v>
      </x:c>
      <x:c r="B4" s="11" t="str">
        <x:v>Registered state</x:v>
      </x:c>
      <x:c r="C4" s="11" t="str">
        <x:v>Candidate trials</x:v>
      </x:c>
      <x:c r="D4" s="11" t="str">
        <x:v>Full-scale cycles</x:v>
      </x:c>
      <x:c r="E4" s="11" t="str">
        <x:v>Required cells</x:v>
      </x:c>
      <x:c r="F4" s="11" t="str">
        <x:v>Maximum attempts</x:v>
      </x:c>
      <x:c r="G4" s="11" t="str">
        <x:v>Primary weeks</x:v>
      </x:c>
      <x:c r="H4" s="11" t="str">
        <x:v>Maximum weeks</x:v>
      </x:c>
      <x:c r="I4" s="11" t="str">
        <x:v>Capital USD M</x:v>
      </x:c>
      <x:c r="J4" s="11" t="str">
        <x:v>Technology USD M</x:v>
      </x:c>
      <x:c r="K4" s="11" t="str">
        <x:v>Annual USD M</x:v>
      </x:c>
      <x:c r="L4" s="11" t="str">
        <x:v>Execution positions</x:v>
      </x:c>
      <x:c r="M4" s="11" t="str">
        <x:v>Gates per event</x:v>
      </x:c>
      <x:c r="N4" s="11" t="str">
        <x:v>Records per event</x:v>
      </x:c>
      <x:c r="O4" s="11" t="str">
        <x:v>Channels</x:v>
      </x:c>
      <x:c r="P4" s="11" t="str">
        <x:v>Safeing paths</x:v>
      </x:c>
      <x:c r="Q4" s="11" t="str">
        <x:v>Evidence TB</x:v>
      </x:c>
    </x:row>
    <x:row r="5">
      <x:c r="A5" s="14" t="str">
        <x:v>ER-01</x:v>
      </x:c>
      <x:c r="B5" s="14" t="str">
        <x:v>Dry ignition opportunity</x:v>
      </x:c>
      <x:c r="C5" s="16" t="n">
        <x:v>108</x:v>
      </x:c>
      <x:c r="D5" s="16" t="n">
        <x:v>0</x:v>
      </x:c>
      <x:c r="E5" s="16" t="n">
        <x:v>12</x:v>
      </x:c>
      <x:c r="F5" s="16" t="n">
        <x:v>16</x:v>
      </x:c>
      <x:c r="G5" s="16" t="n">
        <x:v>37</x:v>
      </x:c>
      <x:c r="H5" s="16" t="n">
        <x:v>39</x:v>
      </x:c>
      <x:c r="I5" s="16" t="n">
        <x:v>180</x:v>
      </x:c>
      <x:c r="J5" s="16" t="n">
        <x:v>95</x:v>
      </x:c>
      <x:c r="K5" s="16" t="n">
        <x:v>42</x:v>
      </x:c>
      <x:c r="L5" s="16" t="n">
        <x:v>260</x:v>
      </x:c>
      <x:c r="M5" s="16" t="n">
        <x:v>36</x:v>
      </x:c>
      <x:c r="N5" s="16" t="n">
        <x:v>144</x:v>
      </x:c>
      <x:c r="O5" s="16" t="n">
        <x:v>160</x:v>
      </x:c>
      <x:c r="P5" s="16" t="n">
        <x:v>12</x:v>
      </x:c>
      <x:c r="Q5" s="16" t="n">
        <x:v>23.2</x:v>
      </x:c>
    </x:row>
    <x:row r="6">
      <x:c r="A6" s="15" t="str">
        <x:v>ER-02</x:v>
      </x:c>
      <x:c r="B6" s="15" t="str">
        <x:v>24 m3 clean water</x:v>
      </x:c>
      <x:c r="C6" s="17" t="n">
        <x:v>0</x:v>
      </x:c>
      <x:c r="D6" s="17" t="n">
        <x:v>64</x:v>
      </x:c>
      <x:c r="E6" s="17" t="n">
        <x:v>12</x:v>
      </x:c>
      <x:c r="F6" s="17" t="n">
        <x:v>16</x:v>
      </x:c>
      <x:c r="G6" s="17" t="n">
        <x:v>34</x:v>
      </x:c>
      <x:c r="H6" s="17" t="n">
        <x:v>36</x:v>
      </x:c>
      <x:c r="I6" s="17" t="n">
        <x:v>260</x:v>
      </x:c>
      <x:c r="J6" s="17" t="n">
        <x:v>90</x:v>
      </x:c>
      <x:c r="K6" s="17" t="n">
        <x:v>48</x:v>
      </x:c>
      <x:c r="L6" s="17" t="n">
        <x:v>330</x:v>
      </x:c>
      <x:c r="M6" s="17" t="n">
        <x:v>48</x:v>
      </x:c>
      <x:c r="N6" s="17" t="n">
        <x:v>192</x:v>
      </x:c>
      <x:c r="O6" s="17" t="n">
        <x:v>192</x:v>
      </x:c>
      <x:c r="P6" s="17" t="n">
        <x:v>12</x:v>
      </x:c>
      <x:c r="Q6" s="17" t="n">
        <x:v>30.72</x:v>
      </x:c>
    </x:row>
    <x:row r="7">
      <x:c r="A7" s="14" t="str">
        <x:v>ER-03</x:v>
      </x:c>
      <x:c r="B7" s="14" t="str">
        <x:v>Coded simulant and 24 m3</x:v>
      </x:c>
      <x:c r="C7" s="16" t="n">
        <x:v>336</x:v>
      </x:c>
      <x:c r="D7" s="16" t="n">
        <x:v>96</x:v>
      </x:c>
      <x:c r="E7" s="16" t="n">
        <x:v>12</x:v>
      </x:c>
      <x:c r="F7" s="16" t="n">
        <x:v>16</x:v>
      </x:c>
      <x:c r="G7" s="16" t="n">
        <x:v>72</x:v>
      </x:c>
      <x:c r="H7" s="16" t="n">
        <x:v>74</x:v>
      </x:c>
      <x:c r="I7" s="16" t="n">
        <x:v>420</x:v>
      </x:c>
      <x:c r="J7" s="16" t="n">
        <x:v>210</x:v>
      </x:c>
      <x:c r="K7" s="16" t="n">
        <x:v>72</x:v>
      </x:c>
      <x:c r="L7" s="16" t="n">
        <x:v>420</x:v>
      </x:c>
      <x:c r="M7" s="16" t="n">
        <x:v>64</x:v>
      </x:c>
      <x:c r="N7" s="16" t="n">
        <x:v>256</x:v>
      </x:c>
      <x:c r="O7" s="16" t="n">
        <x:v>240</x:v>
      </x:c>
      <x:c r="P7" s="16" t="n">
        <x:v>16</x:v>
      </x:c>
      <x:c r="Q7" s="16" t="n">
        <x:v>162.24</x:v>
      </x:c>
    </x:row>
    <x:row r="8">
      <x:c r="A8" s="15" t="str">
        <x:v>ER-04</x:v>
      </x:c>
      <x:c r="B8" s="15" t="str">
        <x:v>100 kg dry flame</x:v>
      </x:c>
      <x:c r="C8" s="17" t="n">
        <x:v>336</x:v>
      </x:c>
      <x:c r="D8" s="17" t="n">
        <x:v>96</x:v>
      </x:c>
      <x:c r="E8" s="17" t="n">
        <x:v>12</x:v>
      </x:c>
      <x:c r="F8" s="17" t="n">
        <x:v>16</x:v>
      </x:c>
      <x:c r="G8" s="17" t="n">
        <x:v>82</x:v>
      </x:c>
      <x:c r="H8" s="17" t="n">
        <x:v>86</x:v>
      </x:c>
      <x:c r="I8" s="17" t="n">
        <x:v>720</x:v>
      </x:c>
      <x:c r="J8" s="17" t="n">
        <x:v>300</x:v>
      </x:c>
      <x:c r="K8" s="17" t="n">
        <x:v>105</x:v>
      </x:c>
      <x:c r="L8" s="17" t="n">
        <x:v>575</x:v>
      </x:c>
      <x:c r="M8" s="17" t="n">
        <x:v>80</x:v>
      </x:c>
      <x:c r="N8" s="17" t="n">
        <x:v>320</x:v>
      </x:c>
      <x:c r="O8" s="17" t="n">
        <x:v>512</x:v>
      </x:c>
      <x:c r="P8" s="17" t="n">
        <x:v>20</x:v>
      </x:c>
      <x:c r="Q8" s="17" t="n">
        <x:v>33.45</x:v>
      </x:c>
    </x:row>
    <x:row r="9">
      <x:c r="A9" s="14" t="str">
        <x:v>ER-05</x:v>
      </x:c>
      <x:c r="B9" s="14" t="str">
        <x:v>100 kg and 4.8 m3</x:v>
      </x:c>
      <x:c r="C9" s="16" t="n">
        <x:v>336</x:v>
      </x:c>
      <x:c r="D9" s="16" t="n">
        <x:v>96</x:v>
      </x:c>
      <x:c r="E9" s="16" t="n">
        <x:v>12</x:v>
      </x:c>
      <x:c r="F9" s="16" t="n">
        <x:v>16</x:v>
      </x:c>
      <x:c r="G9" s="16" t="n">
        <x:v>92</x:v>
      </x:c>
      <x:c r="H9" s="16" t="n">
        <x:v>96</x:v>
      </x:c>
      <x:c r="I9" s="16" t="n">
        <x:v>900</x:v>
      </x:c>
      <x:c r="J9" s="16" t="n">
        <x:v>440</x:v>
      </x:c>
      <x:c r="K9" s="16" t="n">
        <x:v>130</x:v>
      </x:c>
      <x:c r="L9" s="16" t="n">
        <x:v>720</x:v>
      </x:c>
      <x:c r="M9" s="16" t="n">
        <x:v>96</x:v>
      </x:c>
      <x:c r="N9" s="16" t="n">
        <x:v>384</x:v>
      </x:c>
      <x:c r="O9" s="16" t="n">
        <x:v>768</x:v>
      </x:c>
      <x:c r="P9" s="16" t="n">
        <x:v>24</x:v>
      </x:c>
      <x:c r="Q9" s="16" t="n">
        <x:v>50.85</x:v>
      </x:c>
    </x:row>
    <x:row r="10">
      <x:c r="A10" s="15" t="str">
        <x:v>ER-06</x:v>
      </x:c>
      <x:c r="B10" s="15" t="str">
        <x:v>250 kg dry field</x:v>
      </x:c>
      <x:c r="C10" s="17" t="n">
        <x:v>336</x:v>
      </x:c>
      <x:c r="D10" s="17" t="n">
        <x:v>96</x:v>
      </x:c>
      <x:c r="E10" s="17" t="n">
        <x:v>12</x:v>
      </x:c>
      <x:c r="F10" s="17" t="n">
        <x:v>16</x:v>
      </x:c>
      <x:c r="G10" s="17" t="n">
        <x:v>94</x:v>
      </x:c>
      <x:c r="H10" s="17" t="n">
        <x:v>98</x:v>
      </x:c>
      <x:c r="I10" s="17" t="n">
        <x:v>1350</x:v>
      </x:c>
      <x:c r="J10" s="17" t="n">
        <x:v>500</x:v>
      </x:c>
      <x:c r="K10" s="17" t="n">
        <x:v>165</x:v>
      </x:c>
      <x:c r="L10" s="17" t="n">
        <x:v>900</x:v>
      </x:c>
      <x:c r="M10" s="17" t="n">
        <x:v>104</x:v>
      </x:c>
      <x:c r="N10" s="17" t="n">
        <x:v>416</x:v>
      </x:c>
      <x:c r="O10" s="17" t="n">
        <x:v>896</x:v>
      </x:c>
      <x:c r="P10" s="17" t="n">
        <x:v>28</x:v>
      </x:c>
      <x:c r="Q10" s="17" t="n">
        <x:v>80.524</x:v>
      </x:c>
    </x:row>
    <x:row r="11">
      <x:c r="A11" s="14" t="str">
        <x:v>ER-07</x:v>
      </x:c>
      <x:c r="B11" s="14" t="str">
        <x:v>250 kg and 12 m3</x:v>
      </x:c>
      <x:c r="C11" s="16" t="n">
        <x:v>432</x:v>
      </x:c>
      <x:c r="D11" s="16" t="n">
        <x:v>128</x:v>
      </x:c>
      <x:c r="E11" s="16" t="n">
        <x:v>12</x:v>
      </x:c>
      <x:c r="F11" s="16" t="n">
        <x:v>16</x:v>
      </x:c>
      <x:c r="G11" s="16" t="n">
        <x:v>111</x:v>
      </x:c>
      <x:c r="H11" s="16" t="n">
        <x:v>115</x:v>
      </x:c>
      <x:c r="I11" s="16" t="n">
        <x:v>1850</x:v>
      </x:c>
      <x:c r="J11" s="16" t="n">
        <x:v>700</x:v>
      </x:c>
      <x:c r="K11" s="16" t="n">
        <x:v>225</x:v>
      </x:c>
      <x:c r="L11" s="16" t="n">
        <x:v>1150</x:v>
      </x:c>
      <x:c r="M11" s="16" t="n">
        <x:v>120</x:v>
      </x:c>
      <x:c r="N11" s="16" t="n">
        <x:v>480</x:v>
      </x:c>
      <x:c r="O11" s="16" t="n">
        <x:v>1024</x:v>
      </x:c>
      <x:c r="P11" s="16" t="n">
        <x:v>32</x:v>
      </x:c>
      <x:c r="Q11" s="16" t="n">
        <x:v>176.564</x:v>
      </x:c>
    </x:row>
    <x:row r="12">
      <x:c r="A12" s="15" t="str">
        <x:v>ER-08</x:v>
      </x:c>
      <x:c r="B12" s="15" t="str">
        <x:v>500 kg dry field</x:v>
      </x:c>
      <x:c r="C12" s="17" t="n">
        <x:v>384</x:v>
      </x:c>
      <x:c r="D12" s="17" t="n">
        <x:v>128</x:v>
      </x:c>
      <x:c r="E12" s="17" t="n">
        <x:v>12</x:v>
      </x:c>
      <x:c r="F12" s="17" t="n">
        <x:v>16</x:v>
      </x:c>
      <x:c r="G12" s="17" t="n">
        <x:v>123</x:v>
      </x:c>
      <x:c r="H12" s="17" t="n">
        <x:v>127</x:v>
      </x:c>
      <x:c r="I12" s="17" t="n">
        <x:v>2600</x:v>
      </x:c>
      <x:c r="J12" s="17" t="n">
        <x:v>1000</x:v>
      </x:c>
      <x:c r="K12" s="17" t="n">
        <x:v>300</x:v>
      </x:c>
      <x:c r="L12" s="17" t="n">
        <x:v>1500</x:v>
      </x:c>
      <x:c r="M12" s="17" t="n">
        <x:v>128</x:v>
      </x:c>
      <x:c r="N12" s="17" t="n">
        <x:v>512</x:v>
      </x:c>
      <x:c r="O12" s="17" t="n">
        <x:v>1152</x:v>
      </x:c>
      <x:c r="P12" s="17" t="n">
        <x:v>36</x:v>
      </x:c>
      <x:c r="Q12" s="17" t="n">
        <x:v>262.966</x:v>
      </x:c>
    </x:row>
    <x:row r="13">
      <x:c r="A13" s="14" t="str">
        <x:v>ER-09</x:v>
      </x:c>
      <x:c r="B13" s="14" t="str">
        <x:v>500 kg and 24 m3</x:v>
      </x:c>
      <x:c r="C13" s="16" t="n">
        <x:v>432</x:v>
      </x:c>
      <x:c r="D13" s="16" t="n">
        <x:v>128</x:v>
      </x:c>
      <x:c r="E13" s="16" t="n">
        <x:v>12</x:v>
      </x:c>
      <x:c r="F13" s="16" t="n">
        <x:v>16</x:v>
      </x:c>
      <x:c r="G13" s="16" t="n">
        <x:v>131</x:v>
      </x:c>
      <x:c r="H13" s="16" t="n">
        <x:v>135</x:v>
      </x:c>
      <x:c r="I13" s="16" t="n">
        <x:v>3800</x:v>
      </x:c>
      <x:c r="J13" s="16" t="n">
        <x:v>1350</x:v>
      </x:c>
      <x:c r="K13" s="16" t="n">
        <x:v>350</x:v>
      </x:c>
      <x:c r="L13" s="16" t="n">
        <x:v>1700</x:v>
      </x:c>
      <x:c r="M13" s="16" t="n">
        <x:v>144</x:v>
      </x:c>
      <x:c r="N13" s="16" t="n">
        <x:v>576</x:v>
      </x:c>
      <x:c r="O13" s="16" t="n">
        <x:v>1536</x:v>
      </x:c>
      <x:c r="P13" s="16" t="n">
        <x:v>40</x:v>
      </x:c>
      <x:c r="Q13" s="16" t="n">
        <x:v>407.381</x:v>
      </x:c>
    </x:row>
    <x:row r="14">
      <x:c r="A14" s="15" t="str">
        <x:v>ER-10</x:v>
      </x:c>
      <x:c r="B14" s="15" t="str">
        <x:v>500 kg and 48 m3 casualty</x:v>
      </x:c>
      <x:c r="C14" s="17" t="n">
        <x:v>576</x:v>
      </x:c>
      <x:c r="D14" s="17" t="n">
        <x:v>180</x:v>
      </x:c>
      <x:c r="E14" s="17" t="n">
        <x:v>12</x:v>
      </x:c>
      <x:c r="F14" s="17" t="n">
        <x:v>16</x:v>
      </x:c>
      <x:c r="G14" s="17" t="n">
        <x:v>180</x:v>
      </x:c>
      <x:c r="H14" s="17" t="n">
        <x:v>184</x:v>
      </x:c>
      <x:c r="I14" s="17" t="n">
        <x:v>6800</x:v>
      </x:c>
      <x:c r="J14" s="17" t="n">
        <x:v>2800</x:v>
      </x:c>
      <x:c r="K14" s="17" t="n">
        <x:v>550</x:v>
      </x:c>
      <x:c r="L14" s="17" t="n">
        <x:v>2600</x:v>
      </x:c>
      <x:c r="M14" s="17" t="n">
        <x:v>200</x:v>
      </x:c>
      <x:c r="N14" s="17" t="n">
        <x:v>800</x:v>
      </x:c>
      <x:c r="O14" s="17" t="n">
        <x:v>1920</x:v>
      </x:c>
      <x:c r="P14" s="17" t="n">
        <x:v>48</x:v>
      </x:c>
      <x:c r="Q14" s="17" t="n">
        <x:v>2440.268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58" hidden="0" customWidth="1"/>
  </x:cols>
  <x:sheetData>
    <x:row r="1" ht="27" customHeight="1">
      <x:c r="A1" s="3" t="str">
        <x:v>Whole-ladder closure assumptions</x:v>
      </x:c>
    </x:row>
    <x:row r="2" ht="32" customHeight="1">
      <x:c r="A2" s="7" t="str">
        <x:v>Gold cells are planning inputs. Physical results and edge treatments remain open.</x:v>
      </x:c>
    </x:row>
    <x:row r="4" ht="28" customHeight="1">
      <x:c r="A4" s="11" t="str">
        <x:v>Input</x:v>
      </x:c>
      <x:c r="B4" s="11" t="str">
        <x:v>Value</x:v>
      </x:c>
      <x:c r="C4" s="11" t="str">
        <x:v>Unit</x:v>
      </x:c>
      <x:c r="D4" s="11" t="str">
        <x:v>Authority</x:v>
      </x:c>
    </x:row>
    <x:row r="5">
      <x:c r="A5" s="14" t="str">
        <x:v>Rungs</x:v>
      </x:c>
      <x:c r="B5" s="19" t="n">
        <x:v>10</x:v>
      </x:c>
      <x:c r="C5" s="14" t="str">
        <x:v>count</x:v>
      </x:c>
      <x:c r="D5" s="14" t="str">
        <x:v>Registered ladder</x:v>
      </x:c>
    </x:row>
    <x:row r="6">
      <x:c r="A6" s="15" t="str">
        <x:v>Required cells per rung</x:v>
      </x:c>
      <x:c r="B6" s="19" t="n">
        <x:v>12</x:v>
      </x:c>
      <x:c r="C6" s="15" t="str">
        <x:v>count</x:v>
      </x:c>
      <x:c r="D6" s="15" t="str">
        <x:v>Exact class</x:v>
      </x:c>
    </x:row>
    <x:row r="7">
      <x:c r="A7" s="14" t="str">
        <x:v>Reserves per rung</x:v>
      </x:c>
      <x:c r="B7" s="19" t="n">
        <x:v>4</x:v>
      </x:c>
      <x:c r="C7" s="14" t="str">
        <x:v>count</x:v>
      </x:c>
      <x:c r="D7" s="14" t="str">
        <x:v>Invalidity only</x:v>
      </x:c>
    </x:row>
    <x:row r="8">
      <x:c r="A8" s="15" t="str">
        <x:v>Terminal roots</x:v>
      </x:c>
      <x:c r="B8" s="19" t="n">
        <x:v>9</x:v>
      </x:c>
      <x:c r="C8" s="15" t="str">
        <x:v>count</x:v>
      </x:c>
      <x:c r="D8" s="15" t="str">
        <x:v>PHO, ION, TOP, MOL, CAL, AQU, COU, DIV, PUB</x:v>
      </x:c>
    </x:row>
    <x:row r="9">
      <x:c r="A9" s="14" t="str">
        <x:v>Obligations per root cell</x:v>
      </x:c>
      <x:c r="B9" s="19" t="n">
        <x:v>6</x:v>
      </x:c>
      <x:c r="C9" s="14" t="str">
        <x:v>count</x:v>
      </x:c>
      <x:c r="D9" s="14" t="str">
        <x:v>Semantic, physical, metrological, computational, uncertainty, authority</x:v>
      </x:c>
    </x:row>
    <x:row r="10">
      <x:c r="A10" s="15" t="str">
        <x:v>Adjacent edges</x:v>
      </x:c>
      <x:c r="B10" s="19" t="n">
        <x:v>9</x:v>
      </x:c>
      <x:c r="C10" s="15" t="str">
        <x:v>count</x:v>
      </x:c>
      <x:c r="D10" s="15" t="str">
        <x:v>ER-01 to ER-10</x:v>
      </x:c>
    </x:row>
    <x:row r="11">
      <x:c r="A11" s="14" t="str">
        <x:v>Carrier lineages per edge</x:v>
      </x:c>
      <x:c r="B11" s="19" t="n">
        <x:v>2</x:v>
      </x:c>
      <x:c r="C11" s="14" t="str">
        <x:v>count</x:v>
      </x:c>
      <x:c r="D11" s="14" t="str">
        <x:v>Independent</x:v>
      </x:c>
    </x:row>
    <x:row r="12">
      <x:c r="A12" s="15" t="str">
        <x:v>Cycles per edge</x:v>
      </x:c>
      <x:c r="B12" s="19" t="n">
        <x:v>4</x:v>
      </x:c>
      <x:c r="C12" s="15" t="str">
        <x:v>count</x:v>
      </x:c>
      <x:c r="D12" s="15" t="str">
        <x:v>Two campuses by two repetitions</x:v>
      </x:c>
    </x:row>
    <x:row r="13">
      <x:c r="A13" s="14" t="str">
        <x:v>External closure authorities</x:v>
      </x:c>
      <x:c r="B13" s="19" t="n">
        <x:v>3</x:v>
      </x:c>
      <x:c r="C13" s="14" t="str">
        <x:v>count</x:v>
      </x:c>
      <x:c r="D13" s="14" t="str">
        <x:v>Per required exact cell</x:v>
      </x:c>
    </x:row>
    <x:row r="14">
      <x:c r="A14" s="15" t="str">
        <x:v>Contradictions per rung</x:v>
      </x:c>
      <x:c r="B14" s="19" t="n">
        <x:v>3</x:v>
      </x:c>
      <x:c r="C14" s="15" t="str">
        <x:v>count</x:v>
      </x:c>
      <x:c r="D14" s="15" t="str">
        <x:v>Plus two clean controls each</x:v>
      </x:c>
    </x:row>
    <x:row r="15">
      <x:c r="A15" s="14" t="str">
        <x:v>Primary closure weeks</x:v>
      </x:c>
      <x:c r="B15" s="19" t="n">
        <x:v>78</x:v>
      </x:c>
      <x:c r="C15" s="14" t="str">
        <x:v>weeks</x:v>
      </x:c>
      <x:c r="D15" s="14" t="str">
        <x:v>Release-aware</x:v>
      </x:c>
    </x:row>
    <x:row r="16">
      <x:c r="A16" s="15" t="str">
        <x:v>Maximum closure weeks</x:v>
      </x:c>
      <x:c r="B16" s="19" t="n">
        <x:v>84</x:v>
      </x:c>
      <x:c r="C16" s="15" t="str">
        <x:v>weeks</x:v>
      </x:c>
      <x:c r="D16" s="15" t="str">
        <x:v>Release-aware</x:v>
      </x:c>
    </x:row>
    <x:row r="17">
      <x:c r="A17" s="14" t="str">
        <x:v>Execution positions</x:v>
      </x:c>
      <x:c r="B17" s="19" t="n">
        <x:v>850</x:v>
      </x:c>
      <x:c r="C17" s="14" t="str">
        <x:v>positions</x:v>
      </x:c>
      <x:c r="D17" s="14" t="str">
        <x:v>Closure directorate</x:v>
      </x:c>
    </x:row>
    <x:row r="18">
      <x:c r="A18" s="15" t="str">
        <x:v>Retained positions</x:v>
      </x:c>
      <x:c r="B18" s="19" t="n">
        <x:v>6500</x:v>
      </x:c>
      <x:c r="C18" s="15" t="str">
        <x:v>positions</x:v>
      </x:c>
      <x:c r="D18" s="15" t="str">
        <x:v>Ladder formation</x:v>
      </x:c>
    </x:row>
    <x:row r="19">
      <x:c r="A19" s="14" t="str">
        <x:v>Capital</x:v>
      </x:c>
      <x:c r="B19" s="19" t="n">
        <x:v>1800</x:v>
      </x:c>
      <x:c r="C19" s="14" t="str">
        <x:v>USD M</x:v>
      </x:c>
      <x:c r="D19" s="14" t="str">
        <x:v>Closure program</x:v>
      </x:c>
    </x:row>
    <x:row r="20">
      <x:c r="A20" s="15" t="str">
        <x:v>Annual support</x:v>
      </x:c>
      <x:c r="B20" s="19" t="n">
        <x:v>220</x:v>
      </x:c>
      <x:c r="C20" s="15" t="str">
        <x:v>USD M/year</x:v>
      </x:c>
      <x:c r="D20" s="15" t="str">
        <x:v>Closure execution</x:v>
      </x:c>
    </x:row>
    <x:row r="21">
      <x:c r="A21" s="14" t="str">
        <x:v>Retained annual support</x:v>
      </x:c>
      <x:c r="B21" s="19" t="n">
        <x:v>1250</x:v>
      </x:c>
      <x:c r="C21" s="14" t="str">
        <x:v>USD M/year</x:v>
      </x:c>
      <x:c r="D21" s="14" t="str">
        <x:v>Ladder formation</x:v>
      </x:c>
    </x:row>
    <x:row r="22">
      <x:c r="A22" s="15" t="str">
        <x:v>Technology</x:v>
      </x:c>
      <x:c r="B22" s="19" t="n">
        <x:v>750</x:v>
      </x:c>
      <x:c r="C22" s="15" t="str">
        <x:v>USD M</x:v>
      </x:c>
      <x:c r="D22" s="15" t="str">
        <x:v>Closure portfolio</x:v>
      </x:c>
    </x:row>
    <x:row r="23">
      <x:c r="A23" s="14" t="str">
        <x:v>Parent calendar</x:v>
      </x:c>
      <x:c r="B23" s="19" t="n">
        <x:v>1144</x:v>
      </x:c>
      <x:c r="C23" s="14" t="str">
        <x:v>weeks</x:v>
      </x:c>
      <x:c r="D23" s="14" t="str">
        <x:v>RAS-3R8</x:v>
      </x:c>
    </x:row>
    <x:row r="24">
      <x:c r="A24" s="15" t="str">
        <x:v>Parent positions</x:v>
      </x:c>
      <x:c r="B24" s="19" t="n">
        <x:v>7600</x:v>
      </x:c>
      <x:c r="C24" s="15" t="str">
        <x:v>positions</x:v>
      </x:c>
      <x:c r="D24" s="15" t="str">
        <x:v>RAS-3R8</x:v>
      </x:c>
    </x:row>
    <x:row r="25">
      <x:c r="A25" s="14" t="str">
        <x:v>Parent capital</x:v>
      </x:c>
      <x:c r="B25" s="19" t="n">
        <x:v>30000</x:v>
      </x:c>
      <x:c r="C25" s="14" t="str">
        <x:v>USD M</x:v>
      </x:c>
      <x:c r="D25" s="14" t="str">
        <x:v>RAS-3R8</x:v>
      </x:c>
    </x:row>
    <x:row r="26">
      <x:c r="A26" s="15" t="str">
        <x:v>Parent annual support</x:v>
      </x:c>
      <x:c r="B26" s="19" t="n">
        <x:v>1750</x:v>
      </x:c>
      <x:c r="C26" s="15" t="str">
        <x:v>USD M/year</x:v>
      </x:c>
      <x:c r="D26" s="15" t="str">
        <x:v>RAS-3R8</x:v>
      </x:c>
    </x:row>
    <x:row r="27">
      <x:c r="A27" s="14" t="str">
        <x:v>Parent technology</x:v>
      </x:c>
      <x:c r="B27" s="19" t="n">
        <x:v>14000</x:v>
      </x:c>
      <x:c r="C27" s="14" t="str">
        <x:v>USD M</x:v>
      </x:c>
      <x:c r="D27" s="14" t="str">
        <x:v>RAS-3R8</x:v>
      </x:c>
    </x:row>
    <x:row r="28">
      <x:c r="A28" s="15" t="str">
        <x:v>Prior primary weeks</x:v>
      </x:c>
      <x:c r="B28" s="19" t="n">
        <x:v>956</x:v>
      </x:c>
      <x:c r="C28" s="15" t="str">
        <x:v>weeks</x:v>
      </x:c>
      <x:c r="D28" s="15" t="str">
        <x:v>Ten rungs</x:v>
      </x:c>
    </x:row>
    <x:row r="29">
      <x:c r="A29" s="14" t="str">
        <x:v>Prior maximum weeks</x:v>
      </x:c>
      <x:c r="B29" s="19" t="n">
        <x:v>990</x:v>
      </x:c>
      <x:c r="C29" s="14" t="str">
        <x:v>weeks</x:v>
      </x:c>
      <x:c r="D29" s="14" t="str">
        <x:v>Ten rungs</x:v>
      </x:c>
    </x:row>
    <x:row r="30">
      <x:c r="A30" s="15" t="str">
        <x:v>Prior capital</x:v>
      </x:c>
      <x:c r="B30" s="19" t="n">
        <x:v>18880</x:v>
      </x:c>
      <x:c r="C30" s="15" t="str">
        <x:v>USD M</x:v>
      </x:c>
      <x:c r="D30" s="15" t="str">
        <x:v>Ten rungs</x:v>
      </x:c>
    </x:row>
    <x:row r="31">
      <x:c r="A31" s="14" t="str">
        <x:v>Prior technology</x:v>
      </x:c>
      <x:c r="B31" s="19" t="n">
        <x:v>7485</x:v>
      </x:c>
      <x:c r="C31" s="14" t="str">
        <x:v>USD M</x:v>
      </x:c>
      <x:c r="D31" s="14" t="str">
        <x:v>Ten rungs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18" hidden="0" customWidth="1"/>
    <x:col min="5" max="5" width="54" hidden="0" customWidth="1"/>
  </x:cols>
  <x:sheetData>
    <x:row r="1" ht="27" customHeight="1">
      <x:c r="A1" s="3" t="str">
        <x:v>Ten-rung resource reconciliation</x:v>
      </x:c>
    </x:row>
    <x:row r="2" ht="32" customHeight="1">
      <x:c r="A2" s="7" t="str">
        <x:v>Formula totals read the rung ledger.</x:v>
      </x:c>
    </x:row>
    <x:row r="4" ht="28" customHeight="1">
      <x:c r="A4" s="11" t="str">
        <x:v>Metric</x:v>
      </x:c>
      <x:c r="B4" s="11" t="str">
        <x:v>Calculated</x:v>
      </x:c>
      <x:c r="C4" s="11" t="str">
        <x:v>Expected</x:v>
      </x:c>
      <x:c r="D4" s="11" t="str">
        <x:v>Unit</x:v>
      </x:c>
      <x:c r="E4" s="11" t="str">
        <x:v>Interpretation</x:v>
      </x:c>
    </x:row>
    <x:row r="5">
      <x:c r="A5" s="14" t="str">
        <x:v>Candidate and comparison trials</x:v>
      </x:c>
      <x:c r="B5" s="16" t="n">
        <x:f>SUM('Rung Ledger'!C5:C14)</x:f>
        <x:v>3276</x:v>
      </x:c>
      <x:c r="C5" s="16" t="n">
        <x:v>3276</x:v>
      </x:c>
      <x:c r="D5" s="14" t="str">
        <x:v>trials</x:v>
      </x:c>
      <x:c r="E5" s="14" t="str">
        <x:v>Preselection and comparison work</x:v>
      </x:c>
    </x:row>
    <x:row r="6">
      <x:c r="A6" s="15" t="str">
        <x:v>Full-scale qualification cycles</x:v>
      </x:c>
      <x:c r="B6" s="17" t="n">
        <x:f>SUM('Rung Ledger'!D5:D14)</x:f>
        <x:v>1012</x:v>
      </x:c>
      <x:c r="C6" s="17" t="n">
        <x:v>1012</x:v>
      </x:c>
      <x:c r="D6" s="15" t="str">
        <x:v>cycles</x:v>
      </x:c>
      <x:c r="E6" s="15" t="str">
        <x:v>Selected-bank qualification</x:v>
      </x:c>
    </x:row>
    <x:row r="7">
      <x:c r="A7" s="14" t="str">
        <x:v>Required exact cells</x:v>
      </x:c>
      <x:c r="B7" s="16" t="n">
        <x:f>SUM('Rung Ledger'!E5:E14)</x:f>
        <x:v>120</x:v>
      </x:c>
      <x:c r="C7" s="16" t="n">
        <x:v>120</x:v>
      </x:c>
      <x:c r="D7" s="14" t="str">
        <x:v>cells</x:v>
      </x:c>
      <x:c r="E7" s="14" t="str">
        <x:v>Twelve per rung</x:v>
      </x:c>
    </x:row>
    <x:row r="8">
      <x:c r="A8" s="15" t="str">
        <x:v>Maximum exact attempts</x:v>
      </x:c>
      <x:c r="B8" s="17" t="n">
        <x:f>SUM('Rung Ledger'!F5:F14)</x:f>
        <x:v>160</x:v>
      </x:c>
      <x:c r="C8" s="17" t="n">
        <x:v>160</x:v>
      </x:c>
      <x:c r="D8" s="15" t="str">
        <x:v>attempts</x:v>
      </x:c>
      <x:c r="E8" s="15" t="str">
        <x:v>Includes forty reserves</x:v>
      </x:c>
    </x:row>
    <x:row r="9">
      <x:c r="A9" s="14" t="str">
        <x:v>Primary weeks</x:v>
      </x:c>
      <x:c r="B9" s="16" t="n">
        <x:f>SUM('Rung Ledger'!G5:G14)</x:f>
        <x:v>956</x:v>
      </x:c>
      <x:c r="C9" s="16" t="n">
        <x:v>956</x:v>
      </x:c>
      <x:c r="D9" s="14" t="str">
        <x:v>weeks</x:v>
      </x:c>
      <x:c r="E9" s="14" t="str">
        <x:v>Release-aware ladder floor</x:v>
      </x:c>
    </x:row>
    <x:row r="10">
      <x:c r="A10" s="15" t="str">
        <x:v>Maximum weeks</x:v>
      </x:c>
      <x:c r="B10" s="17" t="n">
        <x:f>SUM('Rung Ledger'!H5:H14)</x:f>
        <x:v>990</x:v>
      </x:c>
      <x:c r="C10" s="17" t="n">
        <x:v>990</x:v>
      </x:c>
      <x:c r="D10" s="15" t="str">
        <x:v>weeks</x:v>
      </x:c>
      <x:c r="E10" s="15" t="str">
        <x:v>Reserve-aware ladder floor</x:v>
      </x:c>
    </x:row>
    <x:row r="11">
      <x:c r="A11" s="14" t="str">
        <x:v>Capital</x:v>
      </x:c>
      <x:c r="B11" s="16" t="n">
        <x:f>SUM('Rung Ledger'!I5:I14)</x:f>
        <x:v>18880</x:v>
      </x:c>
      <x:c r="C11" s="16" t="n">
        <x:v>18880</x:v>
      </x:c>
      <x:c r="D11" s="14" t="str">
        <x:v>USD M</x:v>
      </x:c>
      <x:c r="E11" s="14" t="str">
        <x:v>Child authorization</x:v>
      </x:c>
    </x:row>
    <x:row r="12">
      <x:c r="A12" s="15" t="str">
        <x:v>Technology</x:v>
      </x:c>
      <x:c r="B12" s="17" t="n">
        <x:f>SUM('Rung Ledger'!J5:J14)</x:f>
        <x:v>7485</x:v>
      </x:c>
      <x:c r="C12" s="17" t="n">
        <x:v>7485</x:v>
      </x:c>
      <x:c r="D12" s="15" t="str">
        <x:v>USD M</x:v>
      </x:c>
      <x:c r="E12" s="15" t="str">
        <x:v>Mission-led portfolio</x:v>
      </x:c>
    </x:row>
    <x:row r="13">
      <x:c r="A13" s="14" t="str">
        <x:v>Required-event gates</x:v>
      </x:c>
      <x:c r="B13" s="16" t="n">
        <x:f>SUMPRODUCT('Rung Ledger'!E5:E14,'Rung Ledger'!M5:M14)</x:f>
        <x:v>12240</x:v>
      </x:c>
      <x:c r="C13" s="16" t="n">
        <x:v>12240</x:v>
      </x:c>
      <x:c r="D13" s="14" t="str">
        <x:v>gates</x:v>
      </x:c>
      <x:c r="E13" s="14" t="str">
        <x:v>Across 120 required cells</x:v>
      </x:c>
    </x:row>
    <x:row r="14">
      <x:c r="A14" s="15" t="str">
        <x:v>Required-event records</x:v>
      </x:c>
      <x:c r="B14" s="17" t="n">
        <x:f>SUMPRODUCT('Rung Ledger'!E5:E14,'Rung Ledger'!N5:N14)</x:f>
        <x:v>48960</x:v>
      </x:c>
      <x:c r="C14" s="17" t="n">
        <x:v>48960</x:v>
      </x:c>
      <x:c r="D14" s="15" t="str">
        <x:v>records</x:v>
      </x:c>
      <x:c r="E14" s="15" t="str">
        <x:v>Across 120 required cells</x:v>
      </x:c>
    </x:row>
    <x:row r="15">
      <x:c r="A15" s="14" t="str">
        <x:v>Required-event safeing paths</x:v>
      </x:c>
      <x:c r="B15" s="16" t="n">
        <x:f>SUMPRODUCT('Rung Ledger'!E5:E14,'Rung Ledger'!P5:P14)</x:f>
        <x:v>3216</x:v>
      </x:c>
      <x:c r="C15" s="16" t="n">
        <x:v>3216</x:v>
      </x:c>
      <x:c r="D15" s="14" t="str">
        <x:v>paths</x:v>
      </x:c>
      <x:c r="E15" s="14" t="str">
        <x:v>Across 120 required cells</x:v>
      </x:c>
    </x:row>
    <x:row r="16">
      <x:c r="A16" s="15" t="str">
        <x:v>Channel definitions</x:v>
      </x:c>
      <x:c r="B16" s="17" t="n">
        <x:f>SUM('Rung Ledger'!O5:O14)</x:f>
        <x:v>8400</x:v>
      </x:c>
      <x:c r="C16" s="17" t="n">
        <x:v>8400</x:v>
      </x:c>
      <x:c r="D16" s="15" t="str">
        <x:v>definitions</x:v>
      </x:c>
      <x:c r="E16" s="15" t="str">
        <x:v>Terminal active definitions across rung designs</x:v>
      </x:c>
    </x:row>
    <x:row r="17">
      <x:c r="A17" s="14" t="str">
        <x:v>Declared evidence boundaries</x:v>
      </x:c>
      <x:c r="B17" s="16" t="n">
        <x:f>SUM('Rung Ledger'!Q5:Q14)</x:f>
        <x:v>3668.163</x:v>
      </x:c>
      <x:c r="C17" s="16" t="n">
        <x:v>3668.163</x:v>
      </x:c>
      <x:c r="D17" s="14" t="str">
        <x:v>TB</x:v>
      </x:c>
      <x:c r="E17" s="14" t="str">
        <x:v>Approximate sum; no pooling claim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16" hidden="0" customWidth="1"/>
  </x:cols>
  <x:sheetData>
    <x:row r="1" ht="27" customHeight="1">
      <x:c r="A1" s="3" t="str">
        <x:v>Ninety rung-by-terminal-root cells</x:v>
      </x:c>
    </x:row>
    <x:row r="2" ht="32" customHeight="1">
      <x:c r="A2" s="7" t="str">
        <x:v>NOT_APPLICABLE requires an affirmative reason. Every open cell needs version, evidence and disposition.</x:v>
      </x:c>
    </x:row>
    <x:row r="4" ht="28" customHeight="1">
      <x:c r="A4" s="11" t="str">
        <x:v>Cell</x:v>
      </x:c>
      <x:c r="B4" s="11" t="str">
        <x:v>Rung</x:v>
      </x:c>
      <x:c r="C4" s="11" t="str">
        <x:v>Terminal root</x:v>
      </x:c>
      <x:c r="D4" s="11" t="str">
        <x:v>First required rung</x:v>
      </x:c>
      <x:c r="E4" s="11" t="str">
        <x:v>Applicability</x:v>
      </x:c>
      <x:c r="F4" s="11" t="str">
        <x:v>Predecessor version</x:v>
      </x:c>
      <x:c r="G4" s="11" t="str">
        <x:v>Successor version</x:v>
      </x:c>
      <x:c r="H4" s="11" t="str">
        <x:v>Disposition</x:v>
      </x:c>
    </x:row>
    <x:row r="5">
      <x:c r="A5" s="14" t="str">
        <x:v>RC-01</x:v>
      </x:c>
      <x:c r="B5" s="14" t="str">
        <x:v>ER-01</x:v>
      </x:c>
      <x:c r="C5" s="14" t="str">
        <x:v>PHO</x:v>
      </x:c>
      <x:c r="D5" s="14" t="n">
        <x:v>4</x:v>
      </x:c>
      <x:c r="E5" s="14" t="str">
        <x:v>NOT_APPLICABLE</x:v>
      </x:c>
      <x:c r="F5" s="14" t="str"/>
      <x:c r="G5" s="14" t="str"/>
      <x:c r="H5" s="14" t="str">
        <x:v>OPEN</x:v>
      </x:c>
    </x:row>
    <x:row r="6">
      <x:c r="A6" s="15" t="str">
        <x:v>RC-02</x:v>
      </x:c>
      <x:c r="B6" s="15" t="str">
        <x:v>ER-01</x:v>
      </x:c>
      <x:c r="C6" s="15" t="str">
        <x:v>ION</x:v>
      </x:c>
      <x:c r="D6" s="15" t="n">
        <x:v>4</x:v>
      </x:c>
      <x:c r="E6" s="15" t="str">
        <x:v>NOT_APPLICABLE</x:v>
      </x:c>
      <x:c r="F6" s="15" t="str"/>
      <x:c r="G6" s="15" t="str"/>
      <x:c r="H6" s="15" t="str">
        <x:v>OPEN</x:v>
      </x:c>
    </x:row>
    <x:row r="7">
      <x:c r="A7" s="14" t="str">
        <x:v>RC-03</x:v>
      </x:c>
      <x:c r="B7" s="14" t="str">
        <x:v>ER-01</x:v>
      </x:c>
      <x:c r="C7" s="14" t="str">
        <x:v>TOP</x:v>
      </x:c>
      <x:c r="D7" s="14" t="n">
        <x:v>8</x:v>
      </x:c>
      <x:c r="E7" s="14" t="str">
        <x:v>NOT_APPLICABLE</x:v>
      </x:c>
      <x:c r="F7" s="14" t="str"/>
      <x:c r="G7" s="14" t="str"/>
      <x:c r="H7" s="14" t="str">
        <x:v>OPEN</x:v>
      </x:c>
    </x:row>
    <x:row r="8">
      <x:c r="A8" s="15" t="str">
        <x:v>RC-04</x:v>
      </x:c>
      <x:c r="B8" s="15" t="str">
        <x:v>ER-01</x:v>
      </x:c>
      <x:c r="C8" s="15" t="str">
        <x:v>MOL</x:v>
      </x:c>
      <x:c r="D8" s="15" t="n">
        <x:v>4</x:v>
      </x:c>
      <x:c r="E8" s="15" t="str">
        <x:v>NOT_APPLICABLE</x:v>
      </x:c>
      <x:c r="F8" s="15" t="str"/>
      <x:c r="G8" s="15" t="str"/>
      <x:c r="H8" s="15" t="str">
        <x:v>OPEN</x:v>
      </x:c>
    </x:row>
    <x:row r="9">
      <x:c r="A9" s="14" t="str">
        <x:v>RC-05</x:v>
      </x:c>
      <x:c r="B9" s="14" t="str">
        <x:v>ER-01</x:v>
      </x:c>
      <x:c r="C9" s="14" t="str">
        <x:v>CAL</x:v>
      </x:c>
      <x:c r="D9" s="14" t="n">
        <x:v>4</x:v>
      </x:c>
      <x:c r="E9" s="14" t="str">
        <x:v>NOT_APPLICABLE</x:v>
      </x:c>
      <x:c r="F9" s="14" t="str"/>
      <x:c r="G9" s="14" t="str"/>
      <x:c r="H9" s="14" t="str">
        <x:v>OPEN</x:v>
      </x:c>
    </x:row>
    <x:row r="10">
      <x:c r="A10" s="15" t="str">
        <x:v>RC-06</x:v>
      </x:c>
      <x:c r="B10" s="15" t="str">
        <x:v>ER-01</x:v>
      </x:c>
      <x:c r="C10" s="15" t="str">
        <x:v>AQU</x:v>
      </x:c>
      <x:c r="D10" s="15" t="n">
        <x:v>5</x:v>
      </x:c>
      <x:c r="E10" s="15" t="str">
        <x:v>NOT_APPLICABLE</x:v>
      </x:c>
      <x:c r="F10" s="15" t="str"/>
      <x:c r="G10" s="15" t="str"/>
      <x:c r="H10" s="15" t="str">
        <x:v>OPEN</x:v>
      </x:c>
    </x:row>
    <x:row r="11">
      <x:c r="A11" s="14" t="str">
        <x:v>RC-07</x:v>
      </x:c>
      <x:c r="B11" s="14" t="str">
        <x:v>ER-01</x:v>
      </x:c>
      <x:c r="C11" s="14" t="str">
        <x:v>COU</x:v>
      </x:c>
      <x:c r="D11" s="14" t="n">
        <x:v>7</x:v>
      </x:c>
      <x:c r="E11" s="14" t="str">
        <x:v>NOT_APPLICABLE</x:v>
      </x:c>
      <x:c r="F11" s="14" t="str"/>
      <x:c r="G11" s="14" t="str"/>
      <x:c r="H11" s="14" t="str">
        <x:v>OPEN</x:v>
      </x:c>
    </x:row>
    <x:row r="12">
      <x:c r="A12" s="15" t="str">
        <x:v>RC-08</x:v>
      </x:c>
      <x:c r="B12" s="15" t="str">
        <x:v>ER-01</x:v>
      </x:c>
      <x:c r="C12" s="15" t="str">
        <x:v>DIV</x:v>
      </x:c>
      <x:c r="D12" s="15" t="n">
        <x:v>10</x:v>
      </x:c>
      <x:c r="E12" s="15" t="str">
        <x:v>NOT_APPLICABLE</x:v>
      </x:c>
      <x:c r="F12" s="15" t="str"/>
      <x:c r="G12" s="15" t="str"/>
      <x:c r="H12" s="15" t="str">
        <x:v>OPEN</x:v>
      </x:c>
    </x:row>
    <x:row r="13">
      <x:c r="A13" s="14" t="str">
        <x:v>RC-09</x:v>
      </x:c>
      <x:c r="B13" s="14" t="str">
        <x:v>ER-01</x:v>
      </x:c>
      <x:c r="C13" s="14" t="str">
        <x:v>PUB</x:v>
      </x:c>
      <x:c r="D13" s="14" t="n">
        <x:v>10</x:v>
      </x:c>
      <x:c r="E13" s="14" t="str">
        <x:v>NOT_APPLICABLE</x:v>
      </x:c>
      <x:c r="F13" s="14" t="str"/>
      <x:c r="G13" s="14" t="str"/>
      <x:c r="H13" s="14" t="str">
        <x:v>OPEN</x:v>
      </x:c>
    </x:row>
    <x:row r="14">
      <x:c r="A14" s="15" t="str">
        <x:v>RC-10</x:v>
      </x:c>
      <x:c r="B14" s="15" t="str">
        <x:v>ER-02</x:v>
      </x:c>
      <x:c r="C14" s="15" t="str">
        <x:v>PHO</x:v>
      </x:c>
      <x:c r="D14" s="15" t="n">
        <x:v>4</x:v>
      </x:c>
      <x:c r="E14" s="15" t="str">
        <x:v>NOT_APPLICABLE</x:v>
      </x:c>
      <x:c r="F14" s="15" t="str"/>
      <x:c r="G14" s="15" t="str"/>
      <x:c r="H14" s="15" t="str">
        <x:v>OPEN</x:v>
      </x:c>
    </x:row>
    <x:row r="15">
      <x:c r="A15" s="14" t="str">
        <x:v>RC-11</x:v>
      </x:c>
      <x:c r="B15" s="14" t="str">
        <x:v>ER-02</x:v>
      </x:c>
      <x:c r="C15" s="14" t="str">
        <x:v>ION</x:v>
      </x:c>
      <x:c r="D15" s="14" t="n">
        <x:v>4</x:v>
      </x:c>
      <x:c r="E15" s="14" t="str">
        <x:v>NOT_APPLICABLE</x:v>
      </x:c>
      <x:c r="F15" s="14" t="str"/>
      <x:c r="G15" s="14" t="str"/>
      <x:c r="H15" s="14" t="str">
        <x:v>OPEN</x:v>
      </x:c>
    </x:row>
    <x:row r="16">
      <x:c r="A16" s="15" t="str">
        <x:v>RC-12</x:v>
      </x:c>
      <x:c r="B16" s="15" t="str">
        <x:v>ER-02</x:v>
      </x:c>
      <x:c r="C16" s="15" t="str">
        <x:v>TOP</x:v>
      </x:c>
      <x:c r="D16" s="15" t="n">
        <x:v>8</x:v>
      </x:c>
      <x:c r="E16" s="15" t="str">
        <x:v>NOT_APPLICABLE</x:v>
      </x:c>
      <x:c r="F16" s="15" t="str"/>
      <x:c r="G16" s="15" t="str"/>
      <x:c r="H16" s="15" t="str">
        <x:v>OPEN</x:v>
      </x:c>
    </x:row>
    <x:row r="17">
      <x:c r="A17" s="14" t="str">
        <x:v>RC-13</x:v>
      </x:c>
      <x:c r="B17" s="14" t="str">
        <x:v>ER-02</x:v>
      </x:c>
      <x:c r="C17" s="14" t="str">
        <x:v>MOL</x:v>
      </x:c>
      <x:c r="D17" s="14" t="n">
        <x:v>4</x:v>
      </x:c>
      <x:c r="E17" s="14" t="str">
        <x:v>NOT_APPLICABLE</x:v>
      </x:c>
      <x:c r="F17" s="14" t="str"/>
      <x:c r="G17" s="14" t="str"/>
      <x:c r="H17" s="14" t="str">
        <x:v>OPEN</x:v>
      </x:c>
    </x:row>
    <x:row r="18">
      <x:c r="A18" s="15" t="str">
        <x:v>RC-14</x:v>
      </x:c>
      <x:c r="B18" s="15" t="str">
        <x:v>ER-02</x:v>
      </x:c>
      <x:c r="C18" s="15" t="str">
        <x:v>CAL</x:v>
      </x:c>
      <x:c r="D18" s="15" t="n">
        <x:v>4</x:v>
      </x:c>
      <x:c r="E18" s="15" t="str">
        <x:v>NOT_APPLICABLE</x:v>
      </x:c>
      <x:c r="F18" s="15" t="str"/>
      <x:c r="G18" s="15" t="str"/>
      <x:c r="H18" s="15" t="str">
        <x:v>OPEN</x:v>
      </x:c>
    </x:row>
    <x:row r="19">
      <x:c r="A19" s="14" t="str">
        <x:v>RC-15</x:v>
      </x:c>
      <x:c r="B19" s="14" t="str">
        <x:v>ER-02</x:v>
      </x:c>
      <x:c r="C19" s="14" t="str">
        <x:v>AQU</x:v>
      </x:c>
      <x:c r="D19" s="14" t="n">
        <x:v>5</x:v>
      </x:c>
      <x:c r="E19" s="14" t="str">
        <x:v>NOT_APPLICABLE</x:v>
      </x:c>
      <x:c r="F19" s="14" t="str"/>
      <x:c r="G19" s="14" t="str"/>
      <x:c r="H19" s="14" t="str">
        <x:v>OPEN</x:v>
      </x:c>
    </x:row>
    <x:row r="20">
      <x:c r="A20" s="15" t="str">
        <x:v>RC-16</x:v>
      </x:c>
      <x:c r="B20" s="15" t="str">
        <x:v>ER-02</x:v>
      </x:c>
      <x:c r="C20" s="15" t="str">
        <x:v>COU</x:v>
      </x:c>
      <x:c r="D20" s="15" t="n">
        <x:v>7</x:v>
      </x:c>
      <x:c r="E20" s="15" t="str">
        <x:v>NOT_APPLICABLE</x:v>
      </x:c>
      <x:c r="F20" s="15" t="str"/>
      <x:c r="G20" s="15" t="str"/>
      <x:c r="H20" s="15" t="str">
        <x:v>OPEN</x:v>
      </x:c>
    </x:row>
    <x:row r="21">
      <x:c r="A21" s="14" t="str">
        <x:v>RC-17</x:v>
      </x:c>
      <x:c r="B21" s="14" t="str">
        <x:v>ER-02</x:v>
      </x:c>
      <x:c r="C21" s="14" t="str">
        <x:v>DIV</x:v>
      </x:c>
      <x:c r="D21" s="14" t="n">
        <x:v>10</x:v>
      </x:c>
      <x:c r="E21" s="14" t="str">
        <x:v>NOT_APPLICABLE</x:v>
      </x:c>
      <x:c r="F21" s="14" t="str"/>
      <x:c r="G21" s="14" t="str"/>
      <x:c r="H21" s="14" t="str">
        <x:v>OPEN</x:v>
      </x:c>
    </x:row>
    <x:row r="22">
      <x:c r="A22" s="15" t="str">
        <x:v>RC-18</x:v>
      </x:c>
      <x:c r="B22" s="15" t="str">
        <x:v>ER-02</x:v>
      </x:c>
      <x:c r="C22" s="15" t="str">
        <x:v>PUB</x:v>
      </x:c>
      <x:c r="D22" s="15" t="n">
        <x:v>10</x:v>
      </x:c>
      <x:c r="E22" s="15" t="str">
        <x:v>NOT_APPLICABLE</x:v>
      </x:c>
      <x:c r="F22" s="15" t="str"/>
      <x:c r="G22" s="15" t="str"/>
      <x:c r="H22" s="15" t="str">
        <x:v>OPEN</x:v>
      </x:c>
    </x:row>
    <x:row r="23">
      <x:c r="A23" s="14" t="str">
        <x:v>RC-19</x:v>
      </x:c>
      <x:c r="B23" s="14" t="str">
        <x:v>ER-03</x:v>
      </x:c>
      <x:c r="C23" s="14" t="str">
        <x:v>PHO</x:v>
      </x:c>
      <x:c r="D23" s="14" t="n">
        <x:v>4</x:v>
      </x:c>
      <x:c r="E23" s="14" t="str">
        <x:v>NOT_APPLICABLE</x:v>
      </x:c>
      <x:c r="F23" s="14" t="str"/>
      <x:c r="G23" s="14" t="str"/>
      <x:c r="H23" s="14" t="str">
        <x:v>OPEN</x:v>
      </x:c>
    </x:row>
    <x:row r="24">
      <x:c r="A24" s="15" t="str">
        <x:v>RC-20</x:v>
      </x:c>
      <x:c r="B24" s="15" t="str">
        <x:v>ER-03</x:v>
      </x:c>
      <x:c r="C24" s="15" t="str">
        <x:v>ION</x:v>
      </x:c>
      <x:c r="D24" s="15" t="n">
        <x:v>4</x:v>
      </x:c>
      <x:c r="E24" s="15" t="str">
        <x:v>NOT_APPLICABLE</x:v>
      </x:c>
      <x:c r="F24" s="15" t="str"/>
      <x:c r="G24" s="15" t="str"/>
      <x:c r="H24" s="15" t="str">
        <x:v>OPEN</x:v>
      </x:c>
    </x:row>
    <x:row r="25">
      <x:c r="A25" s="14" t="str">
        <x:v>RC-21</x:v>
      </x:c>
      <x:c r="B25" s="14" t="str">
        <x:v>ER-03</x:v>
      </x:c>
      <x:c r="C25" s="14" t="str">
        <x:v>TOP</x:v>
      </x:c>
      <x:c r="D25" s="14" t="n">
        <x:v>8</x:v>
      </x:c>
      <x:c r="E25" s="14" t="str">
        <x:v>NOT_APPLICABLE</x:v>
      </x:c>
      <x:c r="F25" s="14" t="str"/>
      <x:c r="G25" s="14" t="str"/>
      <x:c r="H25" s="14" t="str">
        <x:v>OPEN</x:v>
      </x:c>
    </x:row>
    <x:row r="26">
      <x:c r="A26" s="15" t="str">
        <x:v>RC-22</x:v>
      </x:c>
      <x:c r="B26" s="15" t="str">
        <x:v>ER-03</x:v>
      </x:c>
      <x:c r="C26" s="15" t="str">
        <x:v>MOL</x:v>
      </x:c>
      <x:c r="D26" s="15" t="n">
        <x:v>4</x:v>
      </x:c>
      <x:c r="E26" s="15" t="str">
        <x:v>NOT_APPLICABLE</x:v>
      </x:c>
      <x:c r="F26" s="15" t="str"/>
      <x:c r="G26" s="15" t="str"/>
      <x:c r="H26" s="15" t="str">
        <x:v>OPEN</x:v>
      </x:c>
    </x:row>
    <x:row r="27">
      <x:c r="A27" s="14" t="str">
        <x:v>RC-23</x:v>
      </x:c>
      <x:c r="B27" s="14" t="str">
        <x:v>ER-03</x:v>
      </x:c>
      <x:c r="C27" s="14" t="str">
        <x:v>CAL</x:v>
      </x:c>
      <x:c r="D27" s="14" t="n">
        <x:v>4</x:v>
      </x:c>
      <x:c r="E27" s="14" t="str">
        <x:v>NOT_APPLICABLE</x:v>
      </x:c>
      <x:c r="F27" s="14" t="str"/>
      <x:c r="G27" s="14" t="str"/>
      <x:c r="H27" s="14" t="str">
        <x:v>OPEN</x:v>
      </x:c>
    </x:row>
    <x:row r="28">
      <x:c r="A28" s="15" t="str">
        <x:v>RC-24</x:v>
      </x:c>
      <x:c r="B28" s="15" t="str">
        <x:v>ER-03</x:v>
      </x:c>
      <x:c r="C28" s="15" t="str">
        <x:v>AQU</x:v>
      </x:c>
      <x:c r="D28" s="15" t="n">
        <x:v>5</x:v>
      </x:c>
      <x:c r="E28" s="15" t="str">
        <x:v>NOT_APPLICABLE</x:v>
      </x:c>
      <x:c r="F28" s="15" t="str"/>
      <x:c r="G28" s="15" t="str"/>
      <x:c r="H28" s="15" t="str">
        <x:v>OPEN</x:v>
      </x:c>
    </x:row>
    <x:row r="29">
      <x:c r="A29" s="14" t="str">
        <x:v>RC-25</x:v>
      </x:c>
      <x:c r="B29" s="14" t="str">
        <x:v>ER-03</x:v>
      </x:c>
      <x:c r="C29" s="14" t="str">
        <x:v>COU</x:v>
      </x:c>
      <x:c r="D29" s="14" t="n">
        <x:v>7</x:v>
      </x:c>
      <x:c r="E29" s="14" t="str">
        <x:v>NOT_APPLICABLE</x:v>
      </x:c>
      <x:c r="F29" s="14" t="str"/>
      <x:c r="G29" s="14" t="str"/>
      <x:c r="H29" s="14" t="str">
        <x:v>OPEN</x:v>
      </x:c>
    </x:row>
    <x:row r="30">
      <x:c r="A30" s="15" t="str">
        <x:v>RC-26</x:v>
      </x:c>
      <x:c r="B30" s="15" t="str">
        <x:v>ER-03</x:v>
      </x:c>
      <x:c r="C30" s="15" t="str">
        <x:v>DIV</x:v>
      </x:c>
      <x:c r="D30" s="15" t="n">
        <x:v>10</x:v>
      </x:c>
      <x:c r="E30" s="15" t="str">
        <x:v>NOT_APPLICABLE</x:v>
      </x:c>
      <x:c r="F30" s="15" t="str"/>
      <x:c r="G30" s="15" t="str"/>
      <x:c r="H30" s="15" t="str">
        <x:v>OPEN</x:v>
      </x:c>
    </x:row>
    <x:row r="31">
      <x:c r="A31" s="14" t="str">
        <x:v>RC-27</x:v>
      </x:c>
      <x:c r="B31" s="14" t="str">
        <x:v>ER-03</x:v>
      </x:c>
      <x:c r="C31" s="14" t="str">
        <x:v>PUB</x:v>
      </x:c>
      <x:c r="D31" s="14" t="n">
        <x:v>10</x:v>
      </x:c>
      <x:c r="E31" s="14" t="str">
        <x:v>NOT_APPLICABLE</x:v>
      </x:c>
      <x:c r="F31" s="14" t="str"/>
      <x:c r="G31" s="14" t="str"/>
      <x:c r="H31" s="14" t="str">
        <x:v>OPEN</x:v>
      </x:c>
    </x:row>
    <x:row r="32">
      <x:c r="A32" s="15" t="str">
        <x:v>RC-28</x:v>
      </x:c>
      <x:c r="B32" s="15" t="str">
        <x:v>ER-04</x:v>
      </x:c>
      <x:c r="C32" s="15" t="str">
        <x:v>PHO</x:v>
      </x:c>
      <x:c r="D32" s="15" t="n">
        <x:v>4</x:v>
      </x:c>
      <x:c r="E32" s="15" t="str">
        <x:v>OPEN</x:v>
      </x:c>
      <x:c r="F32" s="15" t="str"/>
      <x:c r="G32" s="15" t="str"/>
      <x:c r="H32" s="15" t="str">
        <x:v>OPEN</x:v>
      </x:c>
    </x:row>
    <x:row r="33">
      <x:c r="A33" s="14" t="str">
        <x:v>RC-29</x:v>
      </x:c>
      <x:c r="B33" s="14" t="str">
        <x:v>ER-04</x:v>
      </x:c>
      <x:c r="C33" s="14" t="str">
        <x:v>ION</x:v>
      </x:c>
      <x:c r="D33" s="14" t="n">
        <x:v>4</x:v>
      </x:c>
      <x:c r="E33" s="14" t="str">
        <x:v>OPEN</x:v>
      </x:c>
      <x:c r="F33" s="14" t="str"/>
      <x:c r="G33" s="14" t="str"/>
      <x:c r="H33" s="14" t="str">
        <x:v>OPEN</x:v>
      </x:c>
    </x:row>
    <x:row r="34">
      <x:c r="A34" s="15" t="str">
        <x:v>RC-30</x:v>
      </x:c>
      <x:c r="B34" s="15" t="str">
        <x:v>ER-04</x:v>
      </x:c>
      <x:c r="C34" s="15" t="str">
        <x:v>TOP</x:v>
      </x:c>
      <x:c r="D34" s="15" t="n">
        <x:v>8</x:v>
      </x:c>
      <x:c r="E34" s="15" t="str">
        <x:v>NOT_APPLICABLE</x:v>
      </x:c>
      <x:c r="F34" s="15" t="str"/>
      <x:c r="G34" s="15" t="str"/>
      <x:c r="H34" s="15" t="str">
        <x:v>OPEN</x:v>
      </x:c>
    </x:row>
    <x:row r="35">
      <x:c r="A35" s="14" t="str">
        <x:v>RC-31</x:v>
      </x:c>
      <x:c r="B35" s="14" t="str">
        <x:v>ER-04</x:v>
      </x:c>
      <x:c r="C35" s="14" t="str">
        <x:v>MOL</x:v>
      </x:c>
      <x:c r="D35" s="14" t="n">
        <x:v>4</x:v>
      </x:c>
      <x:c r="E35" s="14" t="str">
        <x:v>OPEN</x:v>
      </x:c>
      <x:c r="F35" s="14" t="str"/>
      <x:c r="G35" s="14" t="str"/>
      <x:c r="H35" s="14" t="str">
        <x:v>OPEN</x:v>
      </x:c>
    </x:row>
    <x:row r="36">
      <x:c r="A36" s="15" t="str">
        <x:v>RC-32</x:v>
      </x:c>
      <x:c r="B36" s="15" t="str">
        <x:v>ER-04</x:v>
      </x:c>
      <x:c r="C36" s="15" t="str">
        <x:v>CAL</x:v>
      </x:c>
      <x:c r="D36" s="15" t="n">
        <x:v>4</x:v>
      </x:c>
      <x:c r="E36" s="15" t="str">
        <x:v>OPEN</x:v>
      </x:c>
      <x:c r="F36" s="15" t="str"/>
      <x:c r="G36" s="15" t="str"/>
      <x:c r="H36" s="15" t="str">
        <x:v>OPEN</x:v>
      </x:c>
    </x:row>
    <x:row r="37">
      <x:c r="A37" s="14" t="str">
        <x:v>RC-33</x:v>
      </x:c>
      <x:c r="B37" s="14" t="str">
        <x:v>ER-04</x:v>
      </x:c>
      <x:c r="C37" s="14" t="str">
        <x:v>AQU</x:v>
      </x:c>
      <x:c r="D37" s="14" t="n">
        <x:v>5</x:v>
      </x:c>
      <x:c r="E37" s="14" t="str">
        <x:v>NOT_APPLICABLE</x:v>
      </x:c>
      <x:c r="F37" s="14" t="str"/>
      <x:c r="G37" s="14" t="str"/>
      <x:c r="H37" s="14" t="str">
        <x:v>OPEN</x:v>
      </x:c>
    </x:row>
    <x:row r="38">
      <x:c r="A38" s="15" t="str">
        <x:v>RC-34</x:v>
      </x:c>
      <x:c r="B38" s="15" t="str">
        <x:v>ER-04</x:v>
      </x:c>
      <x:c r="C38" s="15" t="str">
        <x:v>COU</x:v>
      </x:c>
      <x:c r="D38" s="15" t="n">
        <x:v>7</x:v>
      </x:c>
      <x:c r="E38" s="15" t="str">
        <x:v>NOT_APPLICABLE</x:v>
      </x:c>
      <x:c r="F38" s="15" t="str"/>
      <x:c r="G38" s="15" t="str"/>
      <x:c r="H38" s="15" t="str">
        <x:v>OPEN</x:v>
      </x:c>
    </x:row>
    <x:row r="39">
      <x:c r="A39" s="14" t="str">
        <x:v>RC-35</x:v>
      </x:c>
      <x:c r="B39" s="14" t="str">
        <x:v>ER-04</x:v>
      </x:c>
      <x:c r="C39" s="14" t="str">
        <x:v>DIV</x:v>
      </x:c>
      <x:c r="D39" s="14" t="n">
        <x:v>10</x:v>
      </x:c>
      <x:c r="E39" s="14" t="str">
        <x:v>NOT_APPLICABLE</x:v>
      </x:c>
      <x:c r="F39" s="14" t="str"/>
      <x:c r="G39" s="14" t="str"/>
      <x:c r="H39" s="14" t="str">
        <x:v>OPEN</x:v>
      </x:c>
    </x:row>
    <x:row r="40">
      <x:c r="A40" s="15" t="str">
        <x:v>RC-36</x:v>
      </x:c>
      <x:c r="B40" s="15" t="str">
        <x:v>ER-04</x:v>
      </x:c>
      <x:c r="C40" s="15" t="str">
        <x:v>PUB</x:v>
      </x:c>
      <x:c r="D40" s="15" t="n">
        <x:v>10</x:v>
      </x:c>
      <x:c r="E40" s="15" t="str">
        <x:v>NOT_APPLICABLE</x:v>
      </x:c>
      <x:c r="F40" s="15" t="str"/>
      <x:c r="G40" s="15" t="str"/>
      <x:c r="H40" s="15" t="str">
        <x:v>OPEN</x:v>
      </x:c>
    </x:row>
    <x:row r="41">
      <x:c r="A41" s="14" t="str">
        <x:v>RC-37</x:v>
      </x:c>
      <x:c r="B41" s="14" t="str">
        <x:v>ER-05</x:v>
      </x:c>
      <x:c r="C41" s="14" t="str">
        <x:v>PHO</x:v>
      </x:c>
      <x:c r="D41" s="14" t="n">
        <x:v>4</x:v>
      </x:c>
      <x:c r="E41" s="14" t="str">
        <x:v>OPEN</x:v>
      </x:c>
      <x:c r="F41" s="14" t="str"/>
      <x:c r="G41" s="14" t="str"/>
      <x:c r="H41" s="14" t="str">
        <x:v>OPEN</x:v>
      </x:c>
    </x:row>
    <x:row r="42">
      <x:c r="A42" s="15" t="str">
        <x:v>RC-38</x:v>
      </x:c>
      <x:c r="B42" s="15" t="str">
        <x:v>ER-05</x:v>
      </x:c>
      <x:c r="C42" s="15" t="str">
        <x:v>ION</x:v>
      </x:c>
      <x:c r="D42" s="15" t="n">
        <x:v>4</x:v>
      </x:c>
      <x:c r="E42" s="15" t="str">
        <x:v>OPEN</x:v>
      </x:c>
      <x:c r="F42" s="15" t="str"/>
      <x:c r="G42" s="15" t="str"/>
      <x:c r="H42" s="15" t="str">
        <x:v>OPEN</x:v>
      </x:c>
    </x:row>
    <x:row r="43">
      <x:c r="A43" s="14" t="str">
        <x:v>RC-39</x:v>
      </x:c>
      <x:c r="B43" s="14" t="str">
        <x:v>ER-05</x:v>
      </x:c>
      <x:c r="C43" s="14" t="str">
        <x:v>TOP</x:v>
      </x:c>
      <x:c r="D43" s="14" t="n">
        <x:v>8</x:v>
      </x:c>
      <x:c r="E43" s="14" t="str">
        <x:v>NOT_APPLICABLE</x:v>
      </x:c>
      <x:c r="F43" s="14" t="str"/>
      <x:c r="G43" s="14" t="str"/>
      <x:c r="H43" s="14" t="str">
        <x:v>OPEN</x:v>
      </x:c>
    </x:row>
    <x:row r="44">
      <x:c r="A44" s="15" t="str">
        <x:v>RC-40</x:v>
      </x:c>
      <x:c r="B44" s="15" t="str">
        <x:v>ER-05</x:v>
      </x:c>
      <x:c r="C44" s="15" t="str">
        <x:v>MOL</x:v>
      </x:c>
      <x:c r="D44" s="15" t="n">
        <x:v>4</x:v>
      </x:c>
      <x:c r="E44" s="15" t="str">
        <x:v>OPEN</x:v>
      </x:c>
      <x:c r="F44" s="15" t="str"/>
      <x:c r="G44" s="15" t="str"/>
      <x:c r="H44" s="15" t="str">
        <x:v>OPEN</x:v>
      </x:c>
    </x:row>
    <x:row r="45">
      <x:c r="A45" s="14" t="str">
        <x:v>RC-41</x:v>
      </x:c>
      <x:c r="B45" s="14" t="str">
        <x:v>ER-05</x:v>
      </x:c>
      <x:c r="C45" s="14" t="str">
        <x:v>CAL</x:v>
      </x:c>
      <x:c r="D45" s="14" t="n">
        <x:v>4</x:v>
      </x:c>
      <x:c r="E45" s="14" t="str">
        <x:v>OPEN</x:v>
      </x:c>
      <x:c r="F45" s="14" t="str"/>
      <x:c r="G45" s="14" t="str"/>
      <x:c r="H45" s="14" t="str">
        <x:v>OPEN</x:v>
      </x:c>
    </x:row>
    <x:row r="46">
      <x:c r="A46" s="15" t="str">
        <x:v>RC-42</x:v>
      </x:c>
      <x:c r="B46" s="15" t="str">
        <x:v>ER-05</x:v>
      </x:c>
      <x:c r="C46" s="15" t="str">
        <x:v>AQU</x:v>
      </x:c>
      <x:c r="D46" s="15" t="n">
        <x:v>5</x:v>
      </x:c>
      <x:c r="E46" s="15" t="str">
        <x:v>OPEN</x:v>
      </x:c>
      <x:c r="F46" s="15" t="str"/>
      <x:c r="G46" s="15" t="str"/>
      <x:c r="H46" s="15" t="str">
        <x:v>OPEN</x:v>
      </x:c>
    </x:row>
    <x:row r="47">
      <x:c r="A47" s="14" t="str">
        <x:v>RC-43</x:v>
      </x:c>
      <x:c r="B47" s="14" t="str">
        <x:v>ER-05</x:v>
      </x:c>
      <x:c r="C47" s="14" t="str">
        <x:v>COU</x:v>
      </x:c>
      <x:c r="D47" s="14" t="n">
        <x:v>7</x:v>
      </x:c>
      <x:c r="E47" s="14" t="str">
        <x:v>NOT_APPLICABLE</x:v>
      </x:c>
      <x:c r="F47" s="14" t="str"/>
      <x:c r="G47" s="14" t="str"/>
      <x:c r="H47" s="14" t="str">
        <x:v>OPEN</x:v>
      </x:c>
    </x:row>
    <x:row r="48">
      <x:c r="A48" s="15" t="str">
        <x:v>RC-44</x:v>
      </x:c>
      <x:c r="B48" s="15" t="str">
        <x:v>ER-05</x:v>
      </x:c>
      <x:c r="C48" s="15" t="str">
        <x:v>DIV</x:v>
      </x:c>
      <x:c r="D48" s="15" t="n">
        <x:v>10</x:v>
      </x:c>
      <x:c r="E48" s="15" t="str">
        <x:v>NOT_APPLICABLE</x:v>
      </x:c>
      <x:c r="F48" s="15" t="str"/>
      <x:c r="G48" s="15" t="str"/>
      <x:c r="H48" s="15" t="str">
        <x:v>OPEN</x:v>
      </x:c>
    </x:row>
    <x:row r="49">
      <x:c r="A49" s="14" t="str">
        <x:v>RC-45</x:v>
      </x:c>
      <x:c r="B49" s="14" t="str">
        <x:v>ER-05</x:v>
      </x:c>
      <x:c r="C49" s="14" t="str">
        <x:v>PUB</x:v>
      </x:c>
      <x:c r="D49" s="14" t="n">
        <x:v>10</x:v>
      </x:c>
      <x:c r="E49" s="14" t="str">
        <x:v>NOT_APPLICABLE</x:v>
      </x:c>
      <x:c r="F49" s="14" t="str"/>
      <x:c r="G49" s="14" t="str"/>
      <x:c r="H49" s="14" t="str">
        <x:v>OPEN</x:v>
      </x:c>
    </x:row>
    <x:row r="50">
      <x:c r="A50" s="15" t="str">
        <x:v>RC-46</x:v>
      </x:c>
      <x:c r="B50" s="15" t="str">
        <x:v>ER-06</x:v>
      </x:c>
      <x:c r="C50" s="15" t="str">
        <x:v>PHO</x:v>
      </x:c>
      <x:c r="D50" s="15" t="n">
        <x:v>4</x:v>
      </x:c>
      <x:c r="E50" s="15" t="str">
        <x:v>OPEN</x:v>
      </x:c>
      <x:c r="F50" s="15" t="str"/>
      <x:c r="G50" s="15" t="str"/>
      <x:c r="H50" s="15" t="str">
        <x:v>OPEN</x:v>
      </x:c>
    </x:row>
    <x:row r="51">
      <x:c r="A51" s="14" t="str">
        <x:v>RC-47</x:v>
      </x:c>
      <x:c r="B51" s="14" t="str">
        <x:v>ER-06</x:v>
      </x:c>
      <x:c r="C51" s="14" t="str">
        <x:v>ION</x:v>
      </x:c>
      <x:c r="D51" s="14" t="n">
        <x:v>4</x:v>
      </x:c>
      <x:c r="E51" s="14" t="str">
        <x:v>OPEN</x:v>
      </x:c>
      <x:c r="F51" s="14" t="str"/>
      <x:c r="G51" s="14" t="str"/>
      <x:c r="H51" s="14" t="str">
        <x:v>OPEN</x:v>
      </x:c>
    </x:row>
    <x:row r="52">
      <x:c r="A52" s="15" t="str">
        <x:v>RC-48</x:v>
      </x:c>
      <x:c r="B52" s="15" t="str">
        <x:v>ER-06</x:v>
      </x:c>
      <x:c r="C52" s="15" t="str">
        <x:v>TOP</x:v>
      </x:c>
      <x:c r="D52" s="15" t="n">
        <x:v>8</x:v>
      </x:c>
      <x:c r="E52" s="15" t="str">
        <x:v>NOT_APPLICABLE</x:v>
      </x:c>
      <x:c r="F52" s="15" t="str"/>
      <x:c r="G52" s="15" t="str"/>
      <x:c r="H52" s="15" t="str">
        <x:v>OPEN</x:v>
      </x:c>
    </x:row>
    <x:row r="53">
      <x:c r="A53" s="14" t="str">
        <x:v>RC-49</x:v>
      </x:c>
      <x:c r="B53" s="14" t="str">
        <x:v>ER-06</x:v>
      </x:c>
      <x:c r="C53" s="14" t="str">
        <x:v>MOL</x:v>
      </x:c>
      <x:c r="D53" s="14" t="n">
        <x:v>4</x:v>
      </x:c>
      <x:c r="E53" s="14" t="str">
        <x:v>OPEN</x:v>
      </x:c>
      <x:c r="F53" s="14" t="str"/>
      <x:c r="G53" s="14" t="str"/>
      <x:c r="H53" s="14" t="str">
        <x:v>OPEN</x:v>
      </x:c>
    </x:row>
    <x:row r="54">
      <x:c r="A54" s="15" t="str">
        <x:v>RC-50</x:v>
      </x:c>
      <x:c r="B54" s="15" t="str">
        <x:v>ER-06</x:v>
      </x:c>
      <x:c r="C54" s="15" t="str">
        <x:v>CAL</x:v>
      </x:c>
      <x:c r="D54" s="15" t="n">
        <x:v>4</x:v>
      </x:c>
      <x:c r="E54" s="15" t="str">
        <x:v>OPEN</x:v>
      </x:c>
      <x:c r="F54" s="15" t="str"/>
      <x:c r="G54" s="15" t="str"/>
      <x:c r="H54" s="15" t="str">
        <x:v>OPEN</x:v>
      </x:c>
    </x:row>
    <x:row r="55">
      <x:c r="A55" s="14" t="str">
        <x:v>RC-51</x:v>
      </x:c>
      <x:c r="B55" s="14" t="str">
        <x:v>ER-06</x:v>
      </x:c>
      <x:c r="C55" s="14" t="str">
        <x:v>AQU</x:v>
      </x:c>
      <x:c r="D55" s="14" t="n">
        <x:v>5</x:v>
      </x:c>
      <x:c r="E55" s="14" t="str">
        <x:v>OPEN</x:v>
      </x:c>
      <x:c r="F55" s="14" t="str"/>
      <x:c r="G55" s="14" t="str"/>
      <x:c r="H55" s="14" t="str">
        <x:v>OPEN</x:v>
      </x:c>
    </x:row>
    <x:row r="56">
      <x:c r="A56" s="15" t="str">
        <x:v>RC-52</x:v>
      </x:c>
      <x:c r="B56" s="15" t="str">
        <x:v>ER-06</x:v>
      </x:c>
      <x:c r="C56" s="15" t="str">
        <x:v>COU</x:v>
      </x:c>
      <x:c r="D56" s="15" t="n">
        <x:v>7</x:v>
      </x:c>
      <x:c r="E56" s="15" t="str">
        <x:v>NOT_APPLICABLE</x:v>
      </x:c>
      <x:c r="F56" s="15" t="str"/>
      <x:c r="G56" s="15" t="str"/>
      <x:c r="H56" s="15" t="str">
        <x:v>OPEN</x:v>
      </x:c>
    </x:row>
    <x:row r="57">
      <x:c r="A57" s="14" t="str">
        <x:v>RC-53</x:v>
      </x:c>
      <x:c r="B57" s="14" t="str">
        <x:v>ER-06</x:v>
      </x:c>
      <x:c r="C57" s="14" t="str">
        <x:v>DIV</x:v>
      </x:c>
      <x:c r="D57" s="14" t="n">
        <x:v>10</x:v>
      </x:c>
      <x:c r="E57" s="14" t="str">
        <x:v>NOT_APPLICABLE</x:v>
      </x:c>
      <x:c r="F57" s="14" t="str"/>
      <x:c r="G57" s="14" t="str"/>
      <x:c r="H57" s="14" t="str">
        <x:v>OPEN</x:v>
      </x:c>
    </x:row>
    <x:row r="58">
      <x:c r="A58" s="15" t="str">
        <x:v>RC-54</x:v>
      </x:c>
      <x:c r="B58" s="15" t="str">
        <x:v>ER-06</x:v>
      </x:c>
      <x:c r="C58" s="15" t="str">
        <x:v>PUB</x:v>
      </x:c>
      <x:c r="D58" s="15" t="n">
        <x:v>10</x:v>
      </x:c>
      <x:c r="E58" s="15" t="str">
        <x:v>NOT_APPLICABLE</x:v>
      </x:c>
      <x:c r="F58" s="15" t="str"/>
      <x:c r="G58" s="15" t="str"/>
      <x:c r="H58" s="15" t="str">
        <x:v>OPEN</x:v>
      </x:c>
    </x:row>
    <x:row r="59">
      <x:c r="A59" s="14" t="str">
        <x:v>RC-55</x:v>
      </x:c>
      <x:c r="B59" s="14" t="str">
        <x:v>ER-07</x:v>
      </x:c>
      <x:c r="C59" s="14" t="str">
        <x:v>PHO</x:v>
      </x:c>
      <x:c r="D59" s="14" t="n">
        <x:v>4</x:v>
      </x:c>
      <x:c r="E59" s="14" t="str">
        <x:v>OPEN</x:v>
      </x:c>
      <x:c r="F59" s="14" t="str"/>
      <x:c r="G59" s="14" t="str"/>
      <x:c r="H59" s="14" t="str">
        <x:v>OPEN</x:v>
      </x:c>
    </x:row>
    <x:row r="60">
      <x:c r="A60" s="15" t="str">
        <x:v>RC-56</x:v>
      </x:c>
      <x:c r="B60" s="15" t="str">
        <x:v>ER-07</x:v>
      </x:c>
      <x:c r="C60" s="15" t="str">
        <x:v>ION</x:v>
      </x:c>
      <x:c r="D60" s="15" t="n">
        <x:v>4</x:v>
      </x:c>
      <x:c r="E60" s="15" t="str">
        <x:v>OPEN</x:v>
      </x:c>
      <x:c r="F60" s="15" t="str"/>
      <x:c r="G60" s="15" t="str"/>
      <x:c r="H60" s="15" t="str">
        <x:v>OPEN</x:v>
      </x:c>
    </x:row>
    <x:row r="61">
      <x:c r="A61" s="14" t="str">
        <x:v>RC-57</x:v>
      </x:c>
      <x:c r="B61" s="14" t="str">
        <x:v>ER-07</x:v>
      </x:c>
      <x:c r="C61" s="14" t="str">
        <x:v>TOP</x:v>
      </x:c>
      <x:c r="D61" s="14" t="n">
        <x:v>8</x:v>
      </x:c>
      <x:c r="E61" s="14" t="str">
        <x:v>NOT_APPLICABLE</x:v>
      </x:c>
      <x:c r="F61" s="14" t="str"/>
      <x:c r="G61" s="14" t="str"/>
      <x:c r="H61" s="14" t="str">
        <x:v>OPEN</x:v>
      </x:c>
    </x:row>
    <x:row r="62">
      <x:c r="A62" s="15" t="str">
        <x:v>RC-58</x:v>
      </x:c>
      <x:c r="B62" s="15" t="str">
        <x:v>ER-07</x:v>
      </x:c>
      <x:c r="C62" s="15" t="str">
        <x:v>MOL</x:v>
      </x:c>
      <x:c r="D62" s="15" t="n">
        <x:v>4</x:v>
      </x:c>
      <x:c r="E62" s="15" t="str">
        <x:v>OPEN</x:v>
      </x:c>
      <x:c r="F62" s="15" t="str"/>
      <x:c r="G62" s="15" t="str"/>
      <x:c r="H62" s="15" t="str">
        <x:v>OPEN</x:v>
      </x:c>
    </x:row>
    <x:row r="63">
      <x:c r="A63" s="14" t="str">
        <x:v>RC-59</x:v>
      </x:c>
      <x:c r="B63" s="14" t="str">
        <x:v>ER-07</x:v>
      </x:c>
      <x:c r="C63" s="14" t="str">
        <x:v>CAL</x:v>
      </x:c>
      <x:c r="D63" s="14" t="n">
        <x:v>4</x:v>
      </x:c>
      <x:c r="E63" s="14" t="str">
        <x:v>OPEN</x:v>
      </x:c>
      <x:c r="F63" s="14" t="str"/>
      <x:c r="G63" s="14" t="str"/>
      <x:c r="H63" s="14" t="str">
        <x:v>OPEN</x:v>
      </x:c>
    </x:row>
    <x:row r="64">
      <x:c r="A64" s="15" t="str">
        <x:v>RC-60</x:v>
      </x:c>
      <x:c r="B64" s="15" t="str">
        <x:v>ER-07</x:v>
      </x:c>
      <x:c r="C64" s="15" t="str">
        <x:v>AQU</x:v>
      </x:c>
      <x:c r="D64" s="15" t="n">
        <x:v>5</x:v>
      </x:c>
      <x:c r="E64" s="15" t="str">
        <x:v>OPEN</x:v>
      </x:c>
      <x:c r="F64" s="15" t="str"/>
      <x:c r="G64" s="15" t="str"/>
      <x:c r="H64" s="15" t="str">
        <x:v>OPEN</x:v>
      </x:c>
    </x:row>
    <x:row r="65">
      <x:c r="A65" s="14" t="str">
        <x:v>RC-61</x:v>
      </x:c>
      <x:c r="B65" s="14" t="str">
        <x:v>ER-07</x:v>
      </x:c>
      <x:c r="C65" s="14" t="str">
        <x:v>COU</x:v>
      </x:c>
      <x:c r="D65" s="14" t="n">
        <x:v>7</x:v>
      </x:c>
      <x:c r="E65" s="14" t="str">
        <x:v>OPEN</x:v>
      </x:c>
      <x:c r="F65" s="14" t="str"/>
      <x:c r="G65" s="14" t="str"/>
      <x:c r="H65" s="14" t="str">
        <x:v>OPEN</x:v>
      </x:c>
    </x:row>
    <x:row r="66">
      <x:c r="A66" s="15" t="str">
        <x:v>RC-62</x:v>
      </x:c>
      <x:c r="B66" s="15" t="str">
        <x:v>ER-07</x:v>
      </x:c>
      <x:c r="C66" s="15" t="str">
        <x:v>DIV</x:v>
      </x:c>
      <x:c r="D66" s="15" t="n">
        <x:v>10</x:v>
      </x:c>
      <x:c r="E66" s="15" t="str">
        <x:v>NOT_APPLICABLE</x:v>
      </x:c>
      <x:c r="F66" s="15" t="str"/>
      <x:c r="G66" s="15" t="str"/>
      <x:c r="H66" s="15" t="str">
        <x:v>OPEN</x:v>
      </x:c>
    </x:row>
    <x:row r="67">
      <x:c r="A67" s="14" t="str">
        <x:v>RC-63</x:v>
      </x:c>
      <x:c r="B67" s="14" t="str">
        <x:v>ER-07</x:v>
      </x:c>
      <x:c r="C67" s="14" t="str">
        <x:v>PUB</x:v>
      </x:c>
      <x:c r="D67" s="14" t="n">
        <x:v>10</x:v>
      </x:c>
      <x:c r="E67" s="14" t="str">
        <x:v>NOT_APPLICABLE</x:v>
      </x:c>
      <x:c r="F67" s="14" t="str"/>
      <x:c r="G67" s="14" t="str"/>
      <x:c r="H67" s="14" t="str">
        <x:v>OPEN</x:v>
      </x:c>
    </x:row>
    <x:row r="68">
      <x:c r="A68" s="15" t="str">
        <x:v>RC-64</x:v>
      </x:c>
      <x:c r="B68" s="15" t="str">
        <x:v>ER-08</x:v>
      </x:c>
      <x:c r="C68" s="15" t="str">
        <x:v>PHO</x:v>
      </x:c>
      <x:c r="D68" s="15" t="n">
        <x:v>4</x:v>
      </x:c>
      <x:c r="E68" s="15" t="str">
        <x:v>OPEN</x:v>
      </x:c>
      <x:c r="F68" s="15" t="str"/>
      <x:c r="G68" s="15" t="str"/>
      <x:c r="H68" s="15" t="str">
        <x:v>OPEN</x:v>
      </x:c>
    </x:row>
    <x:row r="69">
      <x:c r="A69" s="14" t="str">
        <x:v>RC-65</x:v>
      </x:c>
      <x:c r="B69" s="14" t="str">
        <x:v>ER-08</x:v>
      </x:c>
      <x:c r="C69" s="14" t="str">
        <x:v>ION</x:v>
      </x:c>
      <x:c r="D69" s="14" t="n">
        <x:v>4</x:v>
      </x:c>
      <x:c r="E69" s="14" t="str">
        <x:v>OPEN</x:v>
      </x:c>
      <x:c r="F69" s="14" t="str"/>
      <x:c r="G69" s="14" t="str"/>
      <x:c r="H69" s="14" t="str">
        <x:v>OPEN</x:v>
      </x:c>
    </x:row>
    <x:row r="70">
      <x:c r="A70" s="15" t="str">
        <x:v>RC-66</x:v>
      </x:c>
      <x:c r="B70" s="15" t="str">
        <x:v>ER-08</x:v>
      </x:c>
      <x:c r="C70" s="15" t="str">
        <x:v>TOP</x:v>
      </x:c>
      <x:c r="D70" s="15" t="n">
        <x:v>8</x:v>
      </x:c>
      <x:c r="E70" s="15" t="str">
        <x:v>OPEN</x:v>
      </x:c>
      <x:c r="F70" s="15" t="str"/>
      <x:c r="G70" s="15" t="str"/>
      <x:c r="H70" s="15" t="str">
        <x:v>OPEN</x:v>
      </x:c>
    </x:row>
    <x:row r="71">
      <x:c r="A71" s="14" t="str">
        <x:v>RC-67</x:v>
      </x:c>
      <x:c r="B71" s="14" t="str">
        <x:v>ER-08</x:v>
      </x:c>
      <x:c r="C71" s="14" t="str">
        <x:v>MOL</x:v>
      </x:c>
      <x:c r="D71" s="14" t="n">
        <x:v>4</x:v>
      </x:c>
      <x:c r="E71" s="14" t="str">
        <x:v>OPEN</x:v>
      </x:c>
      <x:c r="F71" s="14" t="str"/>
      <x:c r="G71" s="14" t="str"/>
      <x:c r="H71" s="14" t="str">
        <x:v>OPEN</x:v>
      </x:c>
    </x:row>
    <x:row r="72">
      <x:c r="A72" s="15" t="str">
        <x:v>RC-68</x:v>
      </x:c>
      <x:c r="B72" s="15" t="str">
        <x:v>ER-08</x:v>
      </x:c>
      <x:c r="C72" s="15" t="str">
        <x:v>CAL</x:v>
      </x:c>
      <x:c r="D72" s="15" t="n">
        <x:v>4</x:v>
      </x:c>
      <x:c r="E72" s="15" t="str">
        <x:v>OPEN</x:v>
      </x:c>
      <x:c r="F72" s="15" t="str"/>
      <x:c r="G72" s="15" t="str"/>
      <x:c r="H72" s="15" t="str">
        <x:v>OPEN</x:v>
      </x:c>
    </x:row>
    <x:row r="73">
      <x:c r="A73" s="14" t="str">
        <x:v>RC-69</x:v>
      </x:c>
      <x:c r="B73" s="14" t="str">
        <x:v>ER-08</x:v>
      </x:c>
      <x:c r="C73" s="14" t="str">
        <x:v>AQU</x:v>
      </x:c>
      <x:c r="D73" s="14" t="n">
        <x:v>5</x:v>
      </x:c>
      <x:c r="E73" s="14" t="str">
        <x:v>OPEN</x:v>
      </x:c>
      <x:c r="F73" s="14" t="str"/>
      <x:c r="G73" s="14" t="str"/>
      <x:c r="H73" s="14" t="str">
        <x:v>OPEN</x:v>
      </x:c>
    </x:row>
    <x:row r="74">
      <x:c r="A74" s="15" t="str">
        <x:v>RC-70</x:v>
      </x:c>
      <x:c r="B74" s="15" t="str">
        <x:v>ER-08</x:v>
      </x:c>
      <x:c r="C74" s="15" t="str">
        <x:v>COU</x:v>
      </x:c>
      <x:c r="D74" s="15" t="n">
        <x:v>7</x:v>
      </x:c>
      <x:c r="E74" s="15" t="str">
        <x:v>OPEN</x:v>
      </x:c>
      <x:c r="F74" s="15" t="str"/>
      <x:c r="G74" s="15" t="str"/>
      <x:c r="H74" s="15" t="str">
        <x:v>OPEN</x:v>
      </x:c>
    </x:row>
    <x:row r="75">
      <x:c r="A75" s="14" t="str">
        <x:v>RC-71</x:v>
      </x:c>
      <x:c r="B75" s="14" t="str">
        <x:v>ER-08</x:v>
      </x:c>
      <x:c r="C75" s="14" t="str">
        <x:v>DIV</x:v>
      </x:c>
      <x:c r="D75" s="14" t="n">
        <x:v>10</x:v>
      </x:c>
      <x:c r="E75" s="14" t="str">
        <x:v>NOT_APPLICABLE</x:v>
      </x:c>
      <x:c r="F75" s="14" t="str"/>
      <x:c r="G75" s="14" t="str"/>
      <x:c r="H75" s="14" t="str">
        <x:v>OPEN</x:v>
      </x:c>
    </x:row>
    <x:row r="76">
      <x:c r="A76" s="15" t="str">
        <x:v>RC-72</x:v>
      </x:c>
      <x:c r="B76" s="15" t="str">
        <x:v>ER-08</x:v>
      </x:c>
      <x:c r="C76" s="15" t="str">
        <x:v>PUB</x:v>
      </x:c>
      <x:c r="D76" s="15" t="n">
        <x:v>10</x:v>
      </x:c>
      <x:c r="E76" s="15" t="str">
        <x:v>NOT_APPLICABLE</x:v>
      </x:c>
      <x:c r="F76" s="15" t="str"/>
      <x:c r="G76" s="15" t="str"/>
      <x:c r="H76" s="15" t="str">
        <x:v>OPEN</x:v>
      </x:c>
    </x:row>
    <x:row r="77">
      <x:c r="A77" s="14" t="str">
        <x:v>RC-73</x:v>
      </x:c>
      <x:c r="B77" s="14" t="str">
        <x:v>ER-09</x:v>
      </x:c>
      <x:c r="C77" s="14" t="str">
        <x:v>PHO</x:v>
      </x:c>
      <x:c r="D77" s="14" t="n">
        <x:v>4</x:v>
      </x:c>
      <x:c r="E77" s="14" t="str">
        <x:v>OPEN</x:v>
      </x:c>
      <x:c r="F77" s="14" t="str"/>
      <x:c r="G77" s="14" t="str"/>
      <x:c r="H77" s="14" t="str">
        <x:v>OPEN</x:v>
      </x:c>
    </x:row>
    <x:row r="78">
      <x:c r="A78" s="15" t="str">
        <x:v>RC-74</x:v>
      </x:c>
      <x:c r="B78" s="15" t="str">
        <x:v>ER-09</x:v>
      </x:c>
      <x:c r="C78" s="15" t="str">
        <x:v>ION</x:v>
      </x:c>
      <x:c r="D78" s="15" t="n">
        <x:v>4</x:v>
      </x:c>
      <x:c r="E78" s="15" t="str">
        <x:v>OPEN</x:v>
      </x:c>
      <x:c r="F78" s="15" t="str"/>
      <x:c r="G78" s="15" t="str"/>
      <x:c r="H78" s="15" t="str">
        <x:v>OPEN</x:v>
      </x:c>
    </x:row>
    <x:row r="79">
      <x:c r="A79" s="14" t="str">
        <x:v>RC-75</x:v>
      </x:c>
      <x:c r="B79" s="14" t="str">
        <x:v>ER-09</x:v>
      </x:c>
      <x:c r="C79" s="14" t="str">
        <x:v>TOP</x:v>
      </x:c>
      <x:c r="D79" s="14" t="n">
        <x:v>8</x:v>
      </x:c>
      <x:c r="E79" s="14" t="str">
        <x:v>OPEN</x:v>
      </x:c>
      <x:c r="F79" s="14" t="str"/>
      <x:c r="G79" s="14" t="str"/>
      <x:c r="H79" s="14" t="str">
        <x:v>OPEN</x:v>
      </x:c>
    </x:row>
    <x:row r="80">
      <x:c r="A80" s="15" t="str">
        <x:v>RC-76</x:v>
      </x:c>
      <x:c r="B80" s="15" t="str">
        <x:v>ER-09</x:v>
      </x:c>
      <x:c r="C80" s="15" t="str">
        <x:v>MOL</x:v>
      </x:c>
      <x:c r="D80" s="15" t="n">
        <x:v>4</x:v>
      </x:c>
      <x:c r="E80" s="15" t="str">
        <x:v>OPEN</x:v>
      </x:c>
      <x:c r="F80" s="15" t="str"/>
      <x:c r="G80" s="15" t="str"/>
      <x:c r="H80" s="15" t="str">
        <x:v>OPEN</x:v>
      </x:c>
    </x:row>
    <x:row r="81">
      <x:c r="A81" s="14" t="str">
        <x:v>RC-77</x:v>
      </x:c>
      <x:c r="B81" s="14" t="str">
        <x:v>ER-09</x:v>
      </x:c>
      <x:c r="C81" s="14" t="str">
        <x:v>CAL</x:v>
      </x:c>
      <x:c r="D81" s="14" t="n">
        <x:v>4</x:v>
      </x:c>
      <x:c r="E81" s="14" t="str">
        <x:v>OPEN</x:v>
      </x:c>
      <x:c r="F81" s="14" t="str"/>
      <x:c r="G81" s="14" t="str"/>
      <x:c r="H81" s="14" t="str">
        <x:v>OPEN</x:v>
      </x:c>
    </x:row>
    <x:row r="82">
      <x:c r="A82" s="15" t="str">
        <x:v>RC-78</x:v>
      </x:c>
      <x:c r="B82" s="15" t="str">
        <x:v>ER-09</x:v>
      </x:c>
      <x:c r="C82" s="15" t="str">
        <x:v>AQU</x:v>
      </x:c>
      <x:c r="D82" s="15" t="n">
        <x:v>5</x:v>
      </x:c>
      <x:c r="E82" s="15" t="str">
        <x:v>OPEN</x:v>
      </x:c>
      <x:c r="F82" s="15" t="str"/>
      <x:c r="G82" s="15" t="str"/>
      <x:c r="H82" s="15" t="str">
        <x:v>OPEN</x:v>
      </x:c>
    </x:row>
    <x:row r="83">
      <x:c r="A83" s="14" t="str">
        <x:v>RC-79</x:v>
      </x:c>
      <x:c r="B83" s="14" t="str">
        <x:v>ER-09</x:v>
      </x:c>
      <x:c r="C83" s="14" t="str">
        <x:v>COU</x:v>
      </x:c>
      <x:c r="D83" s="14" t="n">
        <x:v>7</x:v>
      </x:c>
      <x:c r="E83" s="14" t="str">
        <x:v>OPEN</x:v>
      </x:c>
      <x:c r="F83" s="14" t="str"/>
      <x:c r="G83" s="14" t="str"/>
      <x:c r="H83" s="14" t="str">
        <x:v>OPEN</x:v>
      </x:c>
    </x:row>
    <x:row r="84">
      <x:c r="A84" s="15" t="str">
        <x:v>RC-80</x:v>
      </x:c>
      <x:c r="B84" s="15" t="str">
        <x:v>ER-09</x:v>
      </x:c>
      <x:c r="C84" s="15" t="str">
        <x:v>DIV</x:v>
      </x:c>
      <x:c r="D84" s="15" t="n">
        <x:v>10</x:v>
      </x:c>
      <x:c r="E84" s="15" t="str">
        <x:v>NOT_APPLICABLE</x:v>
      </x:c>
      <x:c r="F84" s="15" t="str"/>
      <x:c r="G84" s="15" t="str"/>
      <x:c r="H84" s="15" t="str">
        <x:v>OPEN</x:v>
      </x:c>
    </x:row>
    <x:row r="85">
      <x:c r="A85" s="14" t="str">
        <x:v>RC-81</x:v>
      </x:c>
      <x:c r="B85" s="14" t="str">
        <x:v>ER-09</x:v>
      </x:c>
      <x:c r="C85" s="14" t="str">
        <x:v>PUB</x:v>
      </x:c>
      <x:c r="D85" s="14" t="n">
        <x:v>10</x:v>
      </x:c>
      <x:c r="E85" s="14" t="str">
        <x:v>NOT_APPLICABLE</x:v>
      </x:c>
      <x:c r="F85" s="14" t="str"/>
      <x:c r="G85" s="14" t="str"/>
      <x:c r="H85" s="14" t="str">
        <x:v>OPEN</x:v>
      </x:c>
    </x:row>
    <x:row r="86">
      <x:c r="A86" s="15" t="str">
        <x:v>RC-82</x:v>
      </x:c>
      <x:c r="B86" s="15" t="str">
        <x:v>ER-10</x:v>
      </x:c>
      <x:c r="C86" s="15" t="str">
        <x:v>PHO</x:v>
      </x:c>
      <x:c r="D86" s="15" t="n">
        <x:v>4</x:v>
      </x:c>
      <x:c r="E86" s="15" t="str">
        <x:v>OPEN</x:v>
      </x:c>
      <x:c r="F86" s="15" t="str"/>
      <x:c r="G86" s="15" t="str"/>
      <x:c r="H86" s="15" t="str">
        <x:v>OPEN</x:v>
      </x:c>
    </x:row>
    <x:row r="87">
      <x:c r="A87" s="14" t="str">
        <x:v>RC-83</x:v>
      </x:c>
      <x:c r="B87" s="14" t="str">
        <x:v>ER-10</x:v>
      </x:c>
      <x:c r="C87" s="14" t="str">
        <x:v>ION</x:v>
      </x:c>
      <x:c r="D87" s="14" t="n">
        <x:v>4</x:v>
      </x:c>
      <x:c r="E87" s="14" t="str">
        <x:v>OPEN</x:v>
      </x:c>
      <x:c r="F87" s="14" t="str"/>
      <x:c r="G87" s="14" t="str"/>
      <x:c r="H87" s="14" t="str">
        <x:v>OPEN</x:v>
      </x:c>
    </x:row>
    <x:row r="88">
      <x:c r="A88" s="15" t="str">
        <x:v>RC-84</x:v>
      </x:c>
      <x:c r="B88" s="15" t="str">
        <x:v>ER-10</x:v>
      </x:c>
      <x:c r="C88" s="15" t="str">
        <x:v>TOP</x:v>
      </x:c>
      <x:c r="D88" s="15" t="n">
        <x:v>8</x:v>
      </x:c>
      <x:c r="E88" s="15" t="str">
        <x:v>OPEN</x:v>
      </x:c>
      <x:c r="F88" s="15" t="str"/>
      <x:c r="G88" s="15" t="str"/>
      <x:c r="H88" s="15" t="str">
        <x:v>OPEN</x:v>
      </x:c>
    </x:row>
    <x:row r="89">
      <x:c r="A89" s="14" t="str">
        <x:v>RC-85</x:v>
      </x:c>
      <x:c r="B89" s="14" t="str">
        <x:v>ER-10</x:v>
      </x:c>
      <x:c r="C89" s="14" t="str">
        <x:v>MOL</x:v>
      </x:c>
      <x:c r="D89" s="14" t="n">
        <x:v>4</x:v>
      </x:c>
      <x:c r="E89" s="14" t="str">
        <x:v>OPEN</x:v>
      </x:c>
      <x:c r="F89" s="14" t="str"/>
      <x:c r="G89" s="14" t="str"/>
      <x:c r="H89" s="14" t="str">
        <x:v>OPEN</x:v>
      </x:c>
    </x:row>
    <x:row r="90">
      <x:c r="A90" s="15" t="str">
        <x:v>RC-86</x:v>
      </x:c>
      <x:c r="B90" s="15" t="str">
        <x:v>ER-10</x:v>
      </x:c>
      <x:c r="C90" s="15" t="str">
        <x:v>CAL</x:v>
      </x:c>
      <x:c r="D90" s="15" t="n">
        <x:v>4</x:v>
      </x:c>
      <x:c r="E90" s="15" t="str">
        <x:v>OPEN</x:v>
      </x:c>
      <x:c r="F90" s="15" t="str"/>
      <x:c r="G90" s="15" t="str"/>
      <x:c r="H90" s="15" t="str">
        <x:v>OPEN</x:v>
      </x:c>
    </x:row>
    <x:row r="91">
      <x:c r="A91" s="14" t="str">
        <x:v>RC-87</x:v>
      </x:c>
      <x:c r="B91" s="14" t="str">
        <x:v>ER-10</x:v>
      </x:c>
      <x:c r="C91" s="14" t="str">
        <x:v>AQU</x:v>
      </x:c>
      <x:c r="D91" s="14" t="n">
        <x:v>5</x:v>
      </x:c>
      <x:c r="E91" s="14" t="str">
        <x:v>OPEN</x:v>
      </x:c>
      <x:c r="F91" s="14" t="str"/>
      <x:c r="G91" s="14" t="str"/>
      <x:c r="H91" s="14" t="str">
        <x:v>OPEN</x:v>
      </x:c>
    </x:row>
    <x:row r="92">
      <x:c r="A92" s="15" t="str">
        <x:v>RC-88</x:v>
      </x:c>
      <x:c r="B92" s="15" t="str">
        <x:v>ER-10</x:v>
      </x:c>
      <x:c r="C92" s="15" t="str">
        <x:v>COU</x:v>
      </x:c>
      <x:c r="D92" s="15" t="n">
        <x:v>7</x:v>
      </x:c>
      <x:c r="E92" s="15" t="str">
        <x:v>OPEN</x:v>
      </x:c>
      <x:c r="F92" s="15" t="str"/>
      <x:c r="G92" s="15" t="str"/>
      <x:c r="H92" s="15" t="str">
        <x:v>OPEN</x:v>
      </x:c>
    </x:row>
    <x:row r="93">
      <x:c r="A93" s="14" t="str">
        <x:v>RC-89</x:v>
      </x:c>
      <x:c r="B93" s="14" t="str">
        <x:v>ER-10</x:v>
      </x:c>
      <x:c r="C93" s="14" t="str">
        <x:v>DIV</x:v>
      </x:c>
      <x:c r="D93" s="14" t="n">
        <x:v>10</x:v>
      </x:c>
      <x:c r="E93" s="14" t="str">
        <x:v>OPEN</x:v>
      </x:c>
      <x:c r="F93" s="14" t="str"/>
      <x:c r="G93" s="14" t="str"/>
      <x:c r="H93" s="14" t="str">
        <x:v>OPEN</x:v>
      </x:c>
    </x:row>
    <x:row r="94">
      <x:c r="A94" s="15" t="str">
        <x:v>RC-90</x:v>
      </x:c>
      <x:c r="B94" s="15" t="str">
        <x:v>ER-10</x:v>
      </x:c>
      <x:c r="C94" s="15" t="str">
        <x:v>PUB</x:v>
      </x:c>
      <x:c r="D94" s="15" t="n">
        <x:v>10</x:v>
      </x:c>
      <x:c r="E94" s="15" t="str">
        <x:v>OPEN</x:v>
      </x:c>
      <x:c r="F94" s="15" t="str"/>
      <x:c r="G94" s="15" t="str"/>
      <x:c r="H94" s="15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8" hidden="0" customWidth="1"/>
    <x:col min="6" max="6" width="22" hidden="0" customWidth="1"/>
    <x:col min="7" max="7" width="16" hidden="0" customWidth="1"/>
  </x:cols>
  <x:sheetData>
    <x:row r="1" ht="27" customHeight="1">
      <x:c r="A1" s="3" t="str">
        <x:v>Five hundred forty transfer obligations</x:v>
      </x:c>
    </x:row>
    <x:row r="2" ht="32" customHeight="1">
      <x:c r="A2" s="7" t="str">
        <x:v>Six obligations attach to every root cell, including justified non-applicability.</x:v>
      </x:c>
    </x:row>
    <x:row r="4" ht="28" customHeight="1">
      <x:c r="A4" s="11" t="str">
        <x:v>Obligation</x:v>
      </x:c>
      <x:c r="B4" s="11" t="str">
        <x:v>Root cell</x:v>
      </x:c>
      <x:c r="C4" s="11" t="str">
        <x:v>Rung</x:v>
      </x:c>
      <x:c r="D4" s="11" t="str">
        <x:v>Root</x:v>
      </x:c>
      <x:c r="E4" s="11" t="str">
        <x:v>Type</x:v>
      </x:c>
      <x:c r="F4" s="11" t="str">
        <x:v>Evidence</x:v>
      </x:c>
      <x:c r="G4" s="11" t="str">
        <x:v>Disposition</x:v>
      </x:c>
    </x:row>
    <x:row r="5">
      <x:c r="A5" s="14" t="str">
        <x:v>TO-001</x:v>
      </x:c>
      <x:c r="B5" s="14" t="str">
        <x:v>RC-01</x:v>
      </x:c>
      <x:c r="C5" s="14" t="str">
        <x:v>ER-01</x:v>
      </x:c>
      <x:c r="D5" s="14" t="str">
        <x:v>PHO</x:v>
      </x:c>
      <x:c r="E5" s="14" t="str">
        <x:v>Semantic</x:v>
      </x:c>
      <x:c r="F5" s="14" t="str">
        <x:v>OPEN</x:v>
      </x:c>
      <x:c r="G5" s="14" t="str">
        <x:v>OPEN</x:v>
      </x:c>
    </x:row>
    <x:row r="6">
      <x:c r="A6" s="15" t="str">
        <x:v>TO-002</x:v>
      </x:c>
      <x:c r="B6" s="15" t="str">
        <x:v>RC-01</x:v>
      </x:c>
      <x:c r="C6" s="15" t="str">
        <x:v>ER-01</x:v>
      </x:c>
      <x:c r="D6" s="15" t="str">
        <x:v>PHO</x:v>
      </x:c>
      <x:c r="E6" s="15" t="str">
        <x:v>Physical</x:v>
      </x:c>
      <x:c r="F6" s="15" t="str">
        <x:v>OPEN</x:v>
      </x:c>
      <x:c r="G6" s="15" t="str">
        <x:v>OPEN</x:v>
      </x:c>
    </x:row>
    <x:row r="7">
      <x:c r="A7" s="14" t="str">
        <x:v>TO-003</x:v>
      </x:c>
      <x:c r="B7" s="14" t="str">
        <x:v>RC-01</x:v>
      </x:c>
      <x:c r="C7" s="14" t="str">
        <x:v>ER-01</x:v>
      </x:c>
      <x:c r="D7" s="14" t="str">
        <x:v>PHO</x:v>
      </x:c>
      <x:c r="E7" s="14" t="str">
        <x:v>Metrological</x:v>
      </x:c>
      <x:c r="F7" s="14" t="str">
        <x:v>OPEN</x:v>
      </x:c>
      <x:c r="G7" s="14" t="str">
        <x:v>OPEN</x:v>
      </x:c>
    </x:row>
    <x:row r="8">
      <x:c r="A8" s="15" t="str">
        <x:v>TO-004</x:v>
      </x:c>
      <x:c r="B8" s="15" t="str">
        <x:v>RC-01</x:v>
      </x:c>
      <x:c r="C8" s="15" t="str">
        <x:v>ER-01</x:v>
      </x:c>
      <x:c r="D8" s="15" t="str">
        <x:v>PHO</x:v>
      </x:c>
      <x:c r="E8" s="15" t="str">
        <x:v>Computational</x:v>
      </x:c>
      <x:c r="F8" s="15" t="str">
        <x:v>OPEN</x:v>
      </x:c>
      <x:c r="G8" s="15" t="str">
        <x:v>OPEN</x:v>
      </x:c>
    </x:row>
    <x:row r="9">
      <x:c r="A9" s="14" t="str">
        <x:v>TO-005</x:v>
      </x:c>
      <x:c r="B9" s="14" t="str">
        <x:v>RC-01</x:v>
      </x:c>
      <x:c r="C9" s="14" t="str">
        <x:v>ER-01</x:v>
      </x:c>
      <x:c r="D9" s="14" t="str">
        <x:v>PHO</x:v>
      </x:c>
      <x:c r="E9" s="14" t="str">
        <x:v>Uncertainty</x:v>
      </x:c>
      <x:c r="F9" s="14" t="str">
        <x:v>OPEN</x:v>
      </x:c>
      <x:c r="G9" s="14" t="str">
        <x:v>OPEN</x:v>
      </x:c>
    </x:row>
    <x:row r="10">
      <x:c r="A10" s="15" t="str">
        <x:v>TO-006</x:v>
      </x:c>
      <x:c r="B10" s="15" t="str">
        <x:v>RC-01</x:v>
      </x:c>
      <x:c r="C10" s="15" t="str">
        <x:v>ER-01</x:v>
      </x:c>
      <x:c r="D10" s="15" t="str">
        <x:v>PHO</x:v>
      </x:c>
      <x:c r="E10" s="15" t="str">
        <x:v>Authority</x:v>
      </x:c>
      <x:c r="F10" s="15" t="str">
        <x:v>OPEN</x:v>
      </x:c>
      <x:c r="G10" s="15" t="str">
        <x:v>OPEN</x:v>
      </x:c>
    </x:row>
    <x:row r="11">
      <x:c r="A11" s="14" t="str">
        <x:v>TO-007</x:v>
      </x:c>
      <x:c r="B11" s="14" t="str">
        <x:v>RC-02</x:v>
      </x:c>
      <x:c r="C11" s="14" t="str">
        <x:v>ER-01</x:v>
      </x:c>
      <x:c r="D11" s="14" t="str">
        <x:v>ION</x:v>
      </x:c>
      <x:c r="E11" s="14" t="str">
        <x:v>Semantic</x:v>
      </x:c>
      <x:c r="F11" s="14" t="str">
        <x:v>OPEN</x:v>
      </x:c>
      <x:c r="G11" s="14" t="str">
        <x:v>OPEN</x:v>
      </x:c>
    </x:row>
    <x:row r="12">
      <x:c r="A12" s="15" t="str">
        <x:v>TO-008</x:v>
      </x:c>
      <x:c r="B12" s="15" t="str">
        <x:v>RC-02</x:v>
      </x:c>
      <x:c r="C12" s="15" t="str">
        <x:v>ER-01</x:v>
      </x:c>
      <x:c r="D12" s="15" t="str">
        <x:v>ION</x:v>
      </x:c>
      <x:c r="E12" s="15" t="str">
        <x:v>Physical</x:v>
      </x:c>
      <x:c r="F12" s="15" t="str">
        <x:v>OPEN</x:v>
      </x:c>
      <x:c r="G12" s="15" t="str">
        <x:v>OPEN</x:v>
      </x:c>
    </x:row>
    <x:row r="13">
      <x:c r="A13" s="14" t="str">
        <x:v>TO-009</x:v>
      </x:c>
      <x:c r="B13" s="14" t="str">
        <x:v>RC-02</x:v>
      </x:c>
      <x:c r="C13" s="14" t="str">
        <x:v>ER-01</x:v>
      </x:c>
      <x:c r="D13" s="14" t="str">
        <x:v>ION</x:v>
      </x:c>
      <x:c r="E13" s="14" t="str">
        <x:v>Metrological</x:v>
      </x:c>
      <x:c r="F13" s="14" t="str">
        <x:v>OPEN</x:v>
      </x:c>
      <x:c r="G13" s="14" t="str">
        <x:v>OPEN</x:v>
      </x:c>
    </x:row>
    <x:row r="14">
      <x:c r="A14" s="15" t="str">
        <x:v>TO-010</x:v>
      </x:c>
      <x:c r="B14" s="15" t="str">
        <x:v>RC-02</x:v>
      </x:c>
      <x:c r="C14" s="15" t="str">
        <x:v>ER-01</x:v>
      </x:c>
      <x:c r="D14" s="15" t="str">
        <x:v>ION</x:v>
      </x:c>
      <x:c r="E14" s="15" t="str">
        <x:v>Computational</x:v>
      </x:c>
      <x:c r="F14" s="15" t="str">
        <x:v>OPEN</x:v>
      </x:c>
      <x:c r="G14" s="15" t="str">
        <x:v>OPEN</x:v>
      </x:c>
    </x:row>
    <x:row r="15">
      <x:c r="A15" s="14" t="str">
        <x:v>TO-011</x:v>
      </x:c>
      <x:c r="B15" s="14" t="str">
        <x:v>RC-02</x:v>
      </x:c>
      <x:c r="C15" s="14" t="str">
        <x:v>ER-01</x:v>
      </x:c>
      <x:c r="D15" s="14" t="str">
        <x:v>ION</x:v>
      </x:c>
      <x:c r="E15" s="14" t="str">
        <x:v>Uncertainty</x:v>
      </x:c>
      <x:c r="F15" s="14" t="str">
        <x:v>OPEN</x:v>
      </x:c>
      <x:c r="G15" s="14" t="str">
        <x:v>OPEN</x:v>
      </x:c>
    </x:row>
    <x:row r="16">
      <x:c r="A16" s="15" t="str">
        <x:v>TO-012</x:v>
      </x:c>
      <x:c r="B16" s="15" t="str">
        <x:v>RC-02</x:v>
      </x:c>
      <x:c r="C16" s="15" t="str">
        <x:v>ER-01</x:v>
      </x:c>
      <x:c r="D16" s="15" t="str">
        <x:v>ION</x:v>
      </x:c>
      <x:c r="E16" s="15" t="str">
        <x:v>Authority</x:v>
      </x:c>
      <x:c r="F16" s="15" t="str">
        <x:v>OPEN</x:v>
      </x:c>
      <x:c r="G16" s="15" t="str">
        <x:v>OPEN</x:v>
      </x:c>
    </x:row>
    <x:row r="17">
      <x:c r="A17" s="14" t="str">
        <x:v>TO-013</x:v>
      </x:c>
      <x:c r="B17" s="14" t="str">
        <x:v>RC-03</x:v>
      </x:c>
      <x:c r="C17" s="14" t="str">
        <x:v>ER-01</x:v>
      </x:c>
      <x:c r="D17" s="14" t="str">
        <x:v>TOP</x:v>
      </x:c>
      <x:c r="E17" s="14" t="str">
        <x:v>Semantic</x:v>
      </x:c>
      <x:c r="F17" s="14" t="str">
        <x:v>OPEN</x:v>
      </x:c>
      <x:c r="G17" s="14" t="str">
        <x:v>OPEN</x:v>
      </x:c>
    </x:row>
    <x:row r="18">
      <x:c r="A18" s="15" t="str">
        <x:v>TO-014</x:v>
      </x:c>
      <x:c r="B18" s="15" t="str">
        <x:v>RC-03</x:v>
      </x:c>
      <x:c r="C18" s="15" t="str">
        <x:v>ER-01</x:v>
      </x:c>
      <x:c r="D18" s="15" t="str">
        <x:v>TOP</x:v>
      </x:c>
      <x:c r="E18" s="15" t="str">
        <x:v>Physical</x:v>
      </x:c>
      <x:c r="F18" s="15" t="str">
        <x:v>OPEN</x:v>
      </x:c>
      <x:c r="G18" s="15" t="str">
        <x:v>OPEN</x:v>
      </x:c>
    </x:row>
    <x:row r="19">
      <x:c r="A19" s="14" t="str">
        <x:v>TO-015</x:v>
      </x:c>
      <x:c r="B19" s="14" t="str">
        <x:v>RC-03</x:v>
      </x:c>
      <x:c r="C19" s="14" t="str">
        <x:v>ER-01</x:v>
      </x:c>
      <x:c r="D19" s="14" t="str">
        <x:v>TOP</x:v>
      </x:c>
      <x:c r="E19" s="14" t="str">
        <x:v>Metrological</x:v>
      </x:c>
      <x:c r="F19" s="14" t="str">
        <x:v>OPEN</x:v>
      </x:c>
      <x:c r="G19" s="14" t="str">
        <x:v>OPEN</x:v>
      </x:c>
    </x:row>
    <x:row r="20">
      <x:c r="A20" s="15" t="str">
        <x:v>TO-016</x:v>
      </x:c>
      <x:c r="B20" s="15" t="str">
        <x:v>RC-03</x:v>
      </x:c>
      <x:c r="C20" s="15" t="str">
        <x:v>ER-01</x:v>
      </x:c>
      <x:c r="D20" s="15" t="str">
        <x:v>TOP</x:v>
      </x:c>
      <x:c r="E20" s="15" t="str">
        <x:v>Computational</x:v>
      </x:c>
      <x:c r="F20" s="15" t="str">
        <x:v>OPEN</x:v>
      </x:c>
      <x:c r="G20" s="15" t="str">
        <x:v>OPEN</x:v>
      </x:c>
    </x:row>
    <x:row r="21">
      <x:c r="A21" s="14" t="str">
        <x:v>TO-017</x:v>
      </x:c>
      <x:c r="B21" s="14" t="str">
        <x:v>RC-03</x:v>
      </x:c>
      <x:c r="C21" s="14" t="str">
        <x:v>ER-01</x:v>
      </x:c>
      <x:c r="D21" s="14" t="str">
        <x:v>TOP</x:v>
      </x:c>
      <x:c r="E21" s="14" t="str">
        <x:v>Uncertainty</x:v>
      </x:c>
      <x:c r="F21" s="14" t="str">
        <x:v>OPEN</x:v>
      </x:c>
      <x:c r="G21" s="14" t="str">
        <x:v>OPEN</x:v>
      </x:c>
    </x:row>
    <x:row r="22">
      <x:c r="A22" s="15" t="str">
        <x:v>TO-018</x:v>
      </x:c>
      <x:c r="B22" s="15" t="str">
        <x:v>RC-03</x:v>
      </x:c>
      <x:c r="C22" s="15" t="str">
        <x:v>ER-01</x:v>
      </x:c>
      <x:c r="D22" s="15" t="str">
        <x:v>TOP</x:v>
      </x:c>
      <x:c r="E22" s="15" t="str">
        <x:v>Authority</x:v>
      </x:c>
      <x:c r="F22" s="15" t="str">
        <x:v>OPEN</x:v>
      </x:c>
      <x:c r="G22" s="15" t="str">
        <x:v>OPEN</x:v>
      </x:c>
    </x:row>
    <x:row r="23">
      <x:c r="A23" s="14" t="str">
        <x:v>TO-019</x:v>
      </x:c>
      <x:c r="B23" s="14" t="str">
        <x:v>RC-04</x:v>
      </x:c>
      <x:c r="C23" s="14" t="str">
        <x:v>ER-01</x:v>
      </x:c>
      <x:c r="D23" s="14" t="str">
        <x:v>MOL</x:v>
      </x:c>
      <x:c r="E23" s="14" t="str">
        <x:v>Semantic</x:v>
      </x:c>
      <x:c r="F23" s="14" t="str">
        <x:v>OPEN</x:v>
      </x:c>
      <x:c r="G23" s="14" t="str">
        <x:v>OPEN</x:v>
      </x:c>
    </x:row>
    <x:row r="24">
      <x:c r="A24" s="15" t="str">
        <x:v>TO-020</x:v>
      </x:c>
      <x:c r="B24" s="15" t="str">
        <x:v>RC-04</x:v>
      </x:c>
      <x:c r="C24" s="15" t="str">
        <x:v>ER-01</x:v>
      </x:c>
      <x:c r="D24" s="15" t="str">
        <x:v>MOL</x:v>
      </x:c>
      <x:c r="E24" s="15" t="str">
        <x:v>Physical</x:v>
      </x:c>
      <x:c r="F24" s="15" t="str">
        <x:v>OPEN</x:v>
      </x:c>
      <x:c r="G24" s="15" t="str">
        <x:v>OPEN</x:v>
      </x:c>
    </x:row>
    <x:row r="25">
      <x:c r="A25" s="14" t="str">
        <x:v>TO-021</x:v>
      </x:c>
      <x:c r="B25" s="14" t="str">
        <x:v>RC-04</x:v>
      </x:c>
      <x:c r="C25" s="14" t="str">
        <x:v>ER-01</x:v>
      </x:c>
      <x:c r="D25" s="14" t="str">
        <x:v>MOL</x:v>
      </x:c>
      <x:c r="E25" s="14" t="str">
        <x:v>Metrological</x:v>
      </x:c>
      <x:c r="F25" s="14" t="str">
        <x:v>OPEN</x:v>
      </x:c>
      <x:c r="G25" s="14" t="str">
        <x:v>OPEN</x:v>
      </x:c>
    </x:row>
    <x:row r="26">
      <x:c r="A26" s="15" t="str">
        <x:v>TO-022</x:v>
      </x:c>
      <x:c r="B26" s="15" t="str">
        <x:v>RC-04</x:v>
      </x:c>
      <x:c r="C26" s="15" t="str">
        <x:v>ER-01</x:v>
      </x:c>
      <x:c r="D26" s="15" t="str">
        <x:v>MOL</x:v>
      </x:c>
      <x:c r="E26" s="15" t="str">
        <x:v>Computational</x:v>
      </x:c>
      <x:c r="F26" s="15" t="str">
        <x:v>OPEN</x:v>
      </x:c>
      <x:c r="G26" s="15" t="str">
        <x:v>OPEN</x:v>
      </x:c>
    </x:row>
    <x:row r="27">
      <x:c r="A27" s="14" t="str">
        <x:v>TO-023</x:v>
      </x:c>
      <x:c r="B27" s="14" t="str">
        <x:v>RC-04</x:v>
      </x:c>
      <x:c r="C27" s="14" t="str">
        <x:v>ER-01</x:v>
      </x:c>
      <x:c r="D27" s="14" t="str">
        <x:v>MOL</x:v>
      </x:c>
      <x:c r="E27" s="14" t="str">
        <x:v>Uncertainty</x:v>
      </x:c>
      <x:c r="F27" s="14" t="str">
        <x:v>OPEN</x:v>
      </x:c>
      <x:c r="G27" s="14" t="str">
        <x:v>OPEN</x:v>
      </x:c>
    </x:row>
    <x:row r="28">
      <x:c r="A28" s="15" t="str">
        <x:v>TO-024</x:v>
      </x:c>
      <x:c r="B28" s="15" t="str">
        <x:v>RC-04</x:v>
      </x:c>
      <x:c r="C28" s="15" t="str">
        <x:v>ER-01</x:v>
      </x:c>
      <x:c r="D28" s="15" t="str">
        <x:v>MOL</x:v>
      </x:c>
      <x:c r="E28" s="15" t="str">
        <x:v>Authority</x:v>
      </x:c>
      <x:c r="F28" s="15" t="str">
        <x:v>OPEN</x:v>
      </x:c>
      <x:c r="G28" s="15" t="str">
        <x:v>OPEN</x:v>
      </x:c>
    </x:row>
    <x:row r="29">
      <x:c r="A29" s="14" t="str">
        <x:v>TO-025</x:v>
      </x:c>
      <x:c r="B29" s="14" t="str">
        <x:v>RC-05</x:v>
      </x:c>
      <x:c r="C29" s="14" t="str">
        <x:v>ER-01</x:v>
      </x:c>
      <x:c r="D29" s="14" t="str">
        <x:v>CAL</x:v>
      </x:c>
      <x:c r="E29" s="14" t="str">
        <x:v>Semantic</x:v>
      </x:c>
      <x:c r="F29" s="14" t="str">
        <x:v>OPEN</x:v>
      </x:c>
      <x:c r="G29" s="14" t="str">
        <x:v>OPEN</x:v>
      </x:c>
    </x:row>
    <x:row r="30">
      <x:c r="A30" s="15" t="str">
        <x:v>TO-026</x:v>
      </x:c>
      <x:c r="B30" s="15" t="str">
        <x:v>RC-05</x:v>
      </x:c>
      <x:c r="C30" s="15" t="str">
        <x:v>ER-01</x:v>
      </x:c>
      <x:c r="D30" s="15" t="str">
        <x:v>CAL</x:v>
      </x:c>
      <x:c r="E30" s="15" t="str">
        <x:v>Physical</x:v>
      </x:c>
      <x:c r="F30" s="15" t="str">
        <x:v>OPEN</x:v>
      </x:c>
      <x:c r="G30" s="15" t="str">
        <x:v>OPEN</x:v>
      </x:c>
    </x:row>
    <x:row r="31">
      <x:c r="A31" s="14" t="str">
        <x:v>TO-027</x:v>
      </x:c>
      <x:c r="B31" s="14" t="str">
        <x:v>RC-05</x:v>
      </x:c>
      <x:c r="C31" s="14" t="str">
        <x:v>ER-01</x:v>
      </x:c>
      <x:c r="D31" s="14" t="str">
        <x:v>CAL</x:v>
      </x:c>
      <x:c r="E31" s="14" t="str">
        <x:v>Metrological</x:v>
      </x:c>
      <x:c r="F31" s="14" t="str">
        <x:v>OPEN</x:v>
      </x:c>
      <x:c r="G31" s="14" t="str">
        <x:v>OPEN</x:v>
      </x:c>
    </x:row>
    <x:row r="32">
      <x:c r="A32" s="15" t="str">
        <x:v>TO-028</x:v>
      </x:c>
      <x:c r="B32" s="15" t="str">
        <x:v>RC-05</x:v>
      </x:c>
      <x:c r="C32" s="15" t="str">
        <x:v>ER-01</x:v>
      </x:c>
      <x:c r="D32" s="15" t="str">
        <x:v>CAL</x:v>
      </x:c>
      <x:c r="E32" s="15" t="str">
        <x:v>Computational</x:v>
      </x:c>
      <x:c r="F32" s="15" t="str">
        <x:v>OPEN</x:v>
      </x:c>
      <x:c r="G32" s="15" t="str">
        <x:v>OPEN</x:v>
      </x:c>
    </x:row>
    <x:row r="33">
      <x:c r="A33" s="14" t="str">
        <x:v>TO-029</x:v>
      </x:c>
      <x:c r="B33" s="14" t="str">
        <x:v>RC-05</x:v>
      </x:c>
      <x:c r="C33" s="14" t="str">
        <x:v>ER-01</x:v>
      </x:c>
      <x:c r="D33" s="14" t="str">
        <x:v>CAL</x:v>
      </x:c>
      <x:c r="E33" s="14" t="str">
        <x:v>Uncertainty</x:v>
      </x:c>
      <x:c r="F33" s="14" t="str">
        <x:v>OPEN</x:v>
      </x:c>
      <x:c r="G33" s="14" t="str">
        <x:v>OPEN</x:v>
      </x:c>
    </x:row>
    <x:row r="34">
      <x:c r="A34" s="15" t="str">
        <x:v>TO-030</x:v>
      </x:c>
      <x:c r="B34" s="15" t="str">
        <x:v>RC-05</x:v>
      </x:c>
      <x:c r="C34" s="15" t="str">
        <x:v>ER-01</x:v>
      </x:c>
      <x:c r="D34" s="15" t="str">
        <x:v>CAL</x:v>
      </x:c>
      <x:c r="E34" s="15" t="str">
        <x:v>Authority</x:v>
      </x:c>
      <x:c r="F34" s="15" t="str">
        <x:v>OPEN</x:v>
      </x:c>
      <x:c r="G34" s="15" t="str">
        <x:v>OPEN</x:v>
      </x:c>
    </x:row>
    <x:row r="35">
      <x:c r="A35" s="14" t="str">
        <x:v>TO-031</x:v>
      </x:c>
      <x:c r="B35" s="14" t="str">
        <x:v>RC-06</x:v>
      </x:c>
      <x:c r="C35" s="14" t="str">
        <x:v>ER-01</x:v>
      </x:c>
      <x:c r="D35" s="14" t="str">
        <x:v>AQU</x:v>
      </x:c>
      <x:c r="E35" s="14" t="str">
        <x:v>Semantic</x:v>
      </x:c>
      <x:c r="F35" s="14" t="str">
        <x:v>OPEN</x:v>
      </x:c>
      <x:c r="G35" s="14" t="str">
        <x:v>OPEN</x:v>
      </x:c>
    </x:row>
    <x:row r="36">
      <x:c r="A36" s="15" t="str">
        <x:v>TO-032</x:v>
      </x:c>
      <x:c r="B36" s="15" t="str">
        <x:v>RC-06</x:v>
      </x:c>
      <x:c r="C36" s="15" t="str">
        <x:v>ER-01</x:v>
      </x:c>
      <x:c r="D36" s="15" t="str">
        <x:v>AQU</x:v>
      </x:c>
      <x:c r="E36" s="15" t="str">
        <x:v>Physical</x:v>
      </x:c>
      <x:c r="F36" s="15" t="str">
        <x:v>OPEN</x:v>
      </x:c>
      <x:c r="G36" s="15" t="str">
        <x:v>OPEN</x:v>
      </x:c>
    </x:row>
    <x:row r="37">
      <x:c r="A37" s="14" t="str">
        <x:v>TO-033</x:v>
      </x:c>
      <x:c r="B37" s="14" t="str">
        <x:v>RC-06</x:v>
      </x:c>
      <x:c r="C37" s="14" t="str">
        <x:v>ER-01</x:v>
      </x:c>
      <x:c r="D37" s="14" t="str">
        <x:v>AQU</x:v>
      </x:c>
      <x:c r="E37" s="14" t="str">
        <x:v>Metrological</x:v>
      </x:c>
      <x:c r="F37" s="14" t="str">
        <x:v>OPEN</x:v>
      </x:c>
      <x:c r="G37" s="14" t="str">
        <x:v>OPEN</x:v>
      </x:c>
    </x:row>
    <x:row r="38">
      <x:c r="A38" s="15" t="str">
        <x:v>TO-034</x:v>
      </x:c>
      <x:c r="B38" s="15" t="str">
        <x:v>RC-06</x:v>
      </x:c>
      <x:c r="C38" s="15" t="str">
        <x:v>ER-01</x:v>
      </x:c>
      <x:c r="D38" s="15" t="str">
        <x:v>AQU</x:v>
      </x:c>
      <x:c r="E38" s="15" t="str">
        <x:v>Computational</x:v>
      </x:c>
      <x:c r="F38" s="15" t="str">
        <x:v>OPEN</x:v>
      </x:c>
      <x:c r="G38" s="15" t="str">
        <x:v>OPEN</x:v>
      </x:c>
    </x:row>
    <x:row r="39">
      <x:c r="A39" s="14" t="str">
        <x:v>TO-035</x:v>
      </x:c>
      <x:c r="B39" s="14" t="str">
        <x:v>RC-06</x:v>
      </x:c>
      <x:c r="C39" s="14" t="str">
        <x:v>ER-01</x:v>
      </x:c>
      <x:c r="D39" s="14" t="str">
        <x:v>AQU</x:v>
      </x:c>
      <x:c r="E39" s="14" t="str">
        <x:v>Uncertainty</x:v>
      </x:c>
      <x:c r="F39" s="14" t="str">
        <x:v>OPEN</x:v>
      </x:c>
      <x:c r="G39" s="14" t="str">
        <x:v>OPEN</x:v>
      </x:c>
    </x:row>
    <x:row r="40">
      <x:c r="A40" s="15" t="str">
        <x:v>TO-036</x:v>
      </x:c>
      <x:c r="B40" s="15" t="str">
        <x:v>RC-06</x:v>
      </x:c>
      <x:c r="C40" s="15" t="str">
        <x:v>ER-01</x:v>
      </x:c>
      <x:c r="D40" s="15" t="str">
        <x:v>AQU</x:v>
      </x:c>
      <x:c r="E40" s="15" t="str">
        <x:v>Authority</x:v>
      </x:c>
      <x:c r="F40" s="15" t="str">
        <x:v>OPEN</x:v>
      </x:c>
      <x:c r="G40" s="15" t="str">
        <x:v>OPEN</x:v>
      </x:c>
    </x:row>
    <x:row r="41">
      <x:c r="A41" s="14" t="str">
        <x:v>TO-037</x:v>
      </x:c>
      <x:c r="B41" s="14" t="str">
        <x:v>RC-07</x:v>
      </x:c>
      <x:c r="C41" s="14" t="str">
        <x:v>ER-01</x:v>
      </x:c>
      <x:c r="D41" s="14" t="str">
        <x:v>COU</x:v>
      </x:c>
      <x:c r="E41" s="14" t="str">
        <x:v>Semantic</x:v>
      </x:c>
      <x:c r="F41" s="14" t="str">
        <x:v>OPEN</x:v>
      </x:c>
      <x:c r="G41" s="14" t="str">
        <x:v>OPEN</x:v>
      </x:c>
    </x:row>
    <x:row r="42">
      <x:c r="A42" s="15" t="str">
        <x:v>TO-038</x:v>
      </x:c>
      <x:c r="B42" s="15" t="str">
        <x:v>RC-07</x:v>
      </x:c>
      <x:c r="C42" s="15" t="str">
        <x:v>ER-01</x:v>
      </x:c>
      <x:c r="D42" s="15" t="str">
        <x:v>COU</x:v>
      </x:c>
      <x:c r="E42" s="15" t="str">
        <x:v>Physical</x:v>
      </x:c>
      <x:c r="F42" s="15" t="str">
        <x:v>OPEN</x:v>
      </x:c>
      <x:c r="G42" s="15" t="str">
        <x:v>OPEN</x:v>
      </x:c>
    </x:row>
    <x:row r="43">
      <x:c r="A43" s="14" t="str">
        <x:v>TO-039</x:v>
      </x:c>
      <x:c r="B43" s="14" t="str">
        <x:v>RC-07</x:v>
      </x:c>
      <x:c r="C43" s="14" t="str">
        <x:v>ER-01</x:v>
      </x:c>
      <x:c r="D43" s="14" t="str">
        <x:v>COU</x:v>
      </x:c>
      <x:c r="E43" s="14" t="str">
        <x:v>Metrological</x:v>
      </x:c>
      <x:c r="F43" s="14" t="str">
        <x:v>OPEN</x:v>
      </x:c>
      <x:c r="G43" s="14" t="str">
        <x:v>OPEN</x:v>
      </x:c>
    </x:row>
    <x:row r="44">
      <x:c r="A44" s="15" t="str">
        <x:v>TO-040</x:v>
      </x:c>
      <x:c r="B44" s="15" t="str">
        <x:v>RC-07</x:v>
      </x:c>
      <x:c r="C44" s="15" t="str">
        <x:v>ER-01</x:v>
      </x:c>
      <x:c r="D44" s="15" t="str">
        <x:v>COU</x:v>
      </x:c>
      <x:c r="E44" s="15" t="str">
        <x:v>Computational</x:v>
      </x:c>
      <x:c r="F44" s="15" t="str">
        <x:v>OPEN</x:v>
      </x:c>
      <x:c r="G44" s="15" t="str">
        <x:v>OPEN</x:v>
      </x:c>
    </x:row>
    <x:row r="45">
      <x:c r="A45" s="14" t="str">
        <x:v>TO-041</x:v>
      </x:c>
      <x:c r="B45" s="14" t="str">
        <x:v>RC-07</x:v>
      </x:c>
      <x:c r="C45" s="14" t="str">
        <x:v>ER-01</x:v>
      </x:c>
      <x:c r="D45" s="14" t="str">
        <x:v>COU</x:v>
      </x:c>
      <x:c r="E45" s="14" t="str">
        <x:v>Uncertainty</x:v>
      </x:c>
      <x:c r="F45" s="14" t="str">
        <x:v>OPEN</x:v>
      </x:c>
      <x:c r="G45" s="14" t="str">
        <x:v>OPEN</x:v>
      </x:c>
    </x:row>
    <x:row r="46">
      <x:c r="A46" s="15" t="str">
        <x:v>TO-042</x:v>
      </x:c>
      <x:c r="B46" s="15" t="str">
        <x:v>RC-07</x:v>
      </x:c>
      <x:c r="C46" s="15" t="str">
        <x:v>ER-01</x:v>
      </x:c>
      <x:c r="D46" s="15" t="str">
        <x:v>COU</x:v>
      </x:c>
      <x:c r="E46" s="15" t="str">
        <x:v>Authority</x:v>
      </x:c>
      <x:c r="F46" s="15" t="str">
        <x:v>OPEN</x:v>
      </x:c>
      <x:c r="G46" s="15" t="str">
        <x:v>OPEN</x:v>
      </x:c>
    </x:row>
    <x:row r="47">
      <x:c r="A47" s="14" t="str">
        <x:v>TO-043</x:v>
      </x:c>
      <x:c r="B47" s="14" t="str">
        <x:v>RC-08</x:v>
      </x:c>
      <x:c r="C47" s="14" t="str">
        <x:v>ER-01</x:v>
      </x:c>
      <x:c r="D47" s="14" t="str">
        <x:v>DIV</x:v>
      </x:c>
      <x:c r="E47" s="14" t="str">
        <x:v>Semantic</x:v>
      </x:c>
      <x:c r="F47" s="14" t="str">
        <x:v>OPEN</x:v>
      </x:c>
      <x:c r="G47" s="14" t="str">
        <x:v>OPEN</x:v>
      </x:c>
    </x:row>
    <x:row r="48">
      <x:c r="A48" s="15" t="str">
        <x:v>TO-044</x:v>
      </x:c>
      <x:c r="B48" s="15" t="str">
        <x:v>RC-08</x:v>
      </x:c>
      <x:c r="C48" s="15" t="str">
        <x:v>ER-01</x:v>
      </x:c>
      <x:c r="D48" s="15" t="str">
        <x:v>DIV</x:v>
      </x:c>
      <x:c r="E48" s="15" t="str">
        <x:v>Physical</x:v>
      </x:c>
      <x:c r="F48" s="15" t="str">
        <x:v>OPEN</x:v>
      </x:c>
      <x:c r="G48" s="15" t="str">
        <x:v>OPEN</x:v>
      </x:c>
    </x:row>
    <x:row r="49">
      <x:c r="A49" s="14" t="str">
        <x:v>TO-045</x:v>
      </x:c>
      <x:c r="B49" s="14" t="str">
        <x:v>RC-08</x:v>
      </x:c>
      <x:c r="C49" s="14" t="str">
        <x:v>ER-01</x:v>
      </x:c>
      <x:c r="D49" s="14" t="str">
        <x:v>DIV</x:v>
      </x:c>
      <x:c r="E49" s="14" t="str">
        <x:v>Metrological</x:v>
      </x:c>
      <x:c r="F49" s="14" t="str">
        <x:v>OPEN</x:v>
      </x:c>
      <x:c r="G49" s="14" t="str">
        <x:v>OPEN</x:v>
      </x:c>
    </x:row>
    <x:row r="50">
      <x:c r="A50" s="15" t="str">
        <x:v>TO-046</x:v>
      </x:c>
      <x:c r="B50" s="15" t="str">
        <x:v>RC-08</x:v>
      </x:c>
      <x:c r="C50" s="15" t="str">
        <x:v>ER-01</x:v>
      </x:c>
      <x:c r="D50" s="15" t="str">
        <x:v>DIV</x:v>
      </x:c>
      <x:c r="E50" s="15" t="str">
        <x:v>Computational</x:v>
      </x:c>
      <x:c r="F50" s="15" t="str">
        <x:v>OPEN</x:v>
      </x:c>
      <x:c r="G50" s="15" t="str">
        <x:v>OPEN</x:v>
      </x:c>
    </x:row>
    <x:row r="51">
      <x:c r="A51" s="14" t="str">
        <x:v>TO-047</x:v>
      </x:c>
      <x:c r="B51" s="14" t="str">
        <x:v>RC-08</x:v>
      </x:c>
      <x:c r="C51" s="14" t="str">
        <x:v>ER-01</x:v>
      </x:c>
      <x:c r="D51" s="14" t="str">
        <x:v>DIV</x:v>
      </x:c>
      <x:c r="E51" s="14" t="str">
        <x:v>Uncertainty</x:v>
      </x:c>
      <x:c r="F51" s="14" t="str">
        <x:v>OPEN</x:v>
      </x:c>
      <x:c r="G51" s="14" t="str">
        <x:v>OPEN</x:v>
      </x:c>
    </x:row>
    <x:row r="52">
      <x:c r="A52" s="15" t="str">
        <x:v>TO-048</x:v>
      </x:c>
      <x:c r="B52" s="15" t="str">
        <x:v>RC-08</x:v>
      </x:c>
      <x:c r="C52" s="15" t="str">
        <x:v>ER-01</x:v>
      </x:c>
      <x:c r="D52" s="15" t="str">
        <x:v>DIV</x:v>
      </x:c>
      <x:c r="E52" s="15" t="str">
        <x:v>Authority</x:v>
      </x:c>
      <x:c r="F52" s="15" t="str">
        <x:v>OPEN</x:v>
      </x:c>
      <x:c r="G52" s="15" t="str">
        <x:v>OPEN</x:v>
      </x:c>
    </x:row>
    <x:row r="53">
      <x:c r="A53" s="14" t="str">
        <x:v>TO-049</x:v>
      </x:c>
      <x:c r="B53" s="14" t="str">
        <x:v>RC-09</x:v>
      </x:c>
      <x:c r="C53" s="14" t="str">
        <x:v>ER-01</x:v>
      </x:c>
      <x:c r="D53" s="14" t="str">
        <x:v>PUB</x:v>
      </x:c>
      <x:c r="E53" s="14" t="str">
        <x:v>Semantic</x:v>
      </x:c>
      <x:c r="F53" s="14" t="str">
        <x:v>OPEN</x:v>
      </x:c>
      <x:c r="G53" s="14" t="str">
        <x:v>OPEN</x:v>
      </x:c>
    </x:row>
    <x:row r="54">
      <x:c r="A54" s="15" t="str">
        <x:v>TO-050</x:v>
      </x:c>
      <x:c r="B54" s="15" t="str">
        <x:v>RC-09</x:v>
      </x:c>
      <x:c r="C54" s="15" t="str">
        <x:v>ER-01</x:v>
      </x:c>
      <x:c r="D54" s="15" t="str">
        <x:v>PUB</x:v>
      </x:c>
      <x:c r="E54" s="15" t="str">
        <x:v>Physical</x:v>
      </x:c>
      <x:c r="F54" s="15" t="str">
        <x:v>OPEN</x:v>
      </x:c>
      <x:c r="G54" s="15" t="str">
        <x:v>OPEN</x:v>
      </x:c>
    </x:row>
    <x:row r="55">
      <x:c r="A55" s="14" t="str">
        <x:v>TO-051</x:v>
      </x:c>
      <x:c r="B55" s="14" t="str">
        <x:v>RC-09</x:v>
      </x:c>
      <x:c r="C55" s="14" t="str">
        <x:v>ER-01</x:v>
      </x:c>
      <x:c r="D55" s="14" t="str">
        <x:v>PUB</x:v>
      </x:c>
      <x:c r="E55" s="14" t="str">
        <x:v>Metrological</x:v>
      </x:c>
      <x:c r="F55" s="14" t="str">
        <x:v>OPEN</x:v>
      </x:c>
      <x:c r="G55" s="14" t="str">
        <x:v>OPEN</x:v>
      </x:c>
    </x:row>
    <x:row r="56">
      <x:c r="A56" s="15" t="str">
        <x:v>TO-052</x:v>
      </x:c>
      <x:c r="B56" s="15" t="str">
        <x:v>RC-09</x:v>
      </x:c>
      <x:c r="C56" s="15" t="str">
        <x:v>ER-01</x:v>
      </x:c>
      <x:c r="D56" s="15" t="str">
        <x:v>PUB</x:v>
      </x:c>
      <x:c r="E56" s="15" t="str">
        <x:v>Computational</x:v>
      </x:c>
      <x:c r="F56" s="15" t="str">
        <x:v>OPEN</x:v>
      </x:c>
      <x:c r="G56" s="15" t="str">
        <x:v>OPEN</x:v>
      </x:c>
    </x:row>
    <x:row r="57">
      <x:c r="A57" s="14" t="str">
        <x:v>TO-053</x:v>
      </x:c>
      <x:c r="B57" s="14" t="str">
        <x:v>RC-09</x:v>
      </x:c>
      <x:c r="C57" s="14" t="str">
        <x:v>ER-01</x:v>
      </x:c>
      <x:c r="D57" s="14" t="str">
        <x:v>PUB</x:v>
      </x:c>
      <x:c r="E57" s="14" t="str">
        <x:v>Uncertainty</x:v>
      </x:c>
      <x:c r="F57" s="14" t="str">
        <x:v>OPEN</x:v>
      </x:c>
      <x:c r="G57" s="14" t="str">
        <x:v>OPEN</x:v>
      </x:c>
    </x:row>
    <x:row r="58">
      <x:c r="A58" s="15" t="str">
        <x:v>TO-054</x:v>
      </x:c>
      <x:c r="B58" s="15" t="str">
        <x:v>RC-09</x:v>
      </x:c>
      <x:c r="C58" s="15" t="str">
        <x:v>ER-01</x:v>
      </x:c>
      <x:c r="D58" s="15" t="str">
        <x:v>PUB</x:v>
      </x:c>
      <x:c r="E58" s="15" t="str">
        <x:v>Authority</x:v>
      </x:c>
      <x:c r="F58" s="15" t="str">
        <x:v>OPEN</x:v>
      </x:c>
      <x:c r="G58" s="15" t="str">
        <x:v>OPEN</x:v>
      </x:c>
    </x:row>
    <x:row r="59">
      <x:c r="A59" s="14" t="str">
        <x:v>TO-055</x:v>
      </x:c>
      <x:c r="B59" s="14" t="str">
        <x:v>RC-10</x:v>
      </x:c>
      <x:c r="C59" s="14" t="str">
        <x:v>ER-02</x:v>
      </x:c>
      <x:c r="D59" s="14" t="str">
        <x:v>PHO</x:v>
      </x:c>
      <x:c r="E59" s="14" t="str">
        <x:v>Semantic</x:v>
      </x:c>
      <x:c r="F59" s="14" t="str">
        <x:v>OPEN</x:v>
      </x:c>
      <x:c r="G59" s="14" t="str">
        <x:v>OPEN</x:v>
      </x:c>
    </x:row>
    <x:row r="60">
      <x:c r="A60" s="15" t="str">
        <x:v>TO-056</x:v>
      </x:c>
      <x:c r="B60" s="15" t="str">
        <x:v>RC-10</x:v>
      </x:c>
      <x:c r="C60" s="15" t="str">
        <x:v>ER-02</x:v>
      </x:c>
      <x:c r="D60" s="15" t="str">
        <x:v>PHO</x:v>
      </x:c>
      <x:c r="E60" s="15" t="str">
        <x:v>Physical</x:v>
      </x:c>
      <x:c r="F60" s="15" t="str">
        <x:v>OPEN</x:v>
      </x:c>
      <x:c r="G60" s="15" t="str">
        <x:v>OPEN</x:v>
      </x:c>
    </x:row>
    <x:row r="61">
      <x:c r="A61" s="14" t="str">
        <x:v>TO-057</x:v>
      </x:c>
      <x:c r="B61" s="14" t="str">
        <x:v>RC-10</x:v>
      </x:c>
      <x:c r="C61" s="14" t="str">
        <x:v>ER-02</x:v>
      </x:c>
      <x:c r="D61" s="14" t="str">
        <x:v>PHO</x:v>
      </x:c>
      <x:c r="E61" s="14" t="str">
        <x:v>Metrological</x:v>
      </x:c>
      <x:c r="F61" s="14" t="str">
        <x:v>OPEN</x:v>
      </x:c>
      <x:c r="G61" s="14" t="str">
        <x:v>OPEN</x:v>
      </x:c>
    </x:row>
    <x:row r="62">
      <x:c r="A62" s="15" t="str">
        <x:v>TO-058</x:v>
      </x:c>
      <x:c r="B62" s="15" t="str">
        <x:v>RC-10</x:v>
      </x:c>
      <x:c r="C62" s="15" t="str">
        <x:v>ER-02</x:v>
      </x:c>
      <x:c r="D62" s="15" t="str">
        <x:v>PHO</x:v>
      </x:c>
      <x:c r="E62" s="15" t="str">
        <x:v>Computational</x:v>
      </x:c>
      <x:c r="F62" s="15" t="str">
        <x:v>OPEN</x:v>
      </x:c>
      <x:c r="G62" s="15" t="str">
        <x:v>OPEN</x:v>
      </x:c>
    </x:row>
    <x:row r="63">
      <x:c r="A63" s="14" t="str">
        <x:v>TO-059</x:v>
      </x:c>
      <x:c r="B63" s="14" t="str">
        <x:v>RC-10</x:v>
      </x:c>
      <x:c r="C63" s="14" t="str">
        <x:v>ER-02</x:v>
      </x:c>
      <x:c r="D63" s="14" t="str">
        <x:v>PHO</x:v>
      </x:c>
      <x:c r="E63" s="14" t="str">
        <x:v>Uncertainty</x:v>
      </x:c>
      <x:c r="F63" s="14" t="str">
        <x:v>OPEN</x:v>
      </x:c>
      <x:c r="G63" s="14" t="str">
        <x:v>OPEN</x:v>
      </x:c>
    </x:row>
    <x:row r="64">
      <x:c r="A64" s="15" t="str">
        <x:v>TO-060</x:v>
      </x:c>
      <x:c r="B64" s="15" t="str">
        <x:v>RC-10</x:v>
      </x:c>
      <x:c r="C64" s="15" t="str">
        <x:v>ER-02</x:v>
      </x:c>
      <x:c r="D64" s="15" t="str">
        <x:v>PHO</x:v>
      </x:c>
      <x:c r="E64" s="15" t="str">
        <x:v>Authority</x:v>
      </x:c>
      <x:c r="F64" s="15" t="str">
        <x:v>OPEN</x:v>
      </x:c>
      <x:c r="G64" s="15" t="str">
        <x:v>OPEN</x:v>
      </x:c>
    </x:row>
    <x:row r="65">
      <x:c r="A65" s="14" t="str">
        <x:v>TO-061</x:v>
      </x:c>
      <x:c r="B65" s="14" t="str">
        <x:v>RC-11</x:v>
      </x:c>
      <x:c r="C65" s="14" t="str">
        <x:v>ER-02</x:v>
      </x:c>
      <x:c r="D65" s="14" t="str">
        <x:v>ION</x:v>
      </x:c>
      <x:c r="E65" s="14" t="str">
        <x:v>Semantic</x:v>
      </x:c>
      <x:c r="F65" s="14" t="str">
        <x:v>OPEN</x:v>
      </x:c>
      <x:c r="G65" s="14" t="str">
        <x:v>OPEN</x:v>
      </x:c>
    </x:row>
    <x:row r="66">
      <x:c r="A66" s="15" t="str">
        <x:v>TO-062</x:v>
      </x:c>
      <x:c r="B66" s="15" t="str">
        <x:v>RC-11</x:v>
      </x:c>
      <x:c r="C66" s="15" t="str">
        <x:v>ER-02</x:v>
      </x:c>
      <x:c r="D66" s="15" t="str">
        <x:v>ION</x:v>
      </x:c>
      <x:c r="E66" s="15" t="str">
        <x:v>Physical</x:v>
      </x:c>
      <x:c r="F66" s="15" t="str">
        <x:v>OPEN</x:v>
      </x:c>
      <x:c r="G66" s="15" t="str">
        <x:v>OPEN</x:v>
      </x:c>
    </x:row>
    <x:row r="67">
      <x:c r="A67" s="14" t="str">
        <x:v>TO-063</x:v>
      </x:c>
      <x:c r="B67" s="14" t="str">
        <x:v>RC-11</x:v>
      </x:c>
      <x:c r="C67" s="14" t="str">
        <x:v>ER-02</x:v>
      </x:c>
      <x:c r="D67" s="14" t="str">
        <x:v>ION</x:v>
      </x:c>
      <x:c r="E67" s="14" t="str">
        <x:v>Metrological</x:v>
      </x:c>
      <x:c r="F67" s="14" t="str">
        <x:v>OPEN</x:v>
      </x:c>
      <x:c r="G67" s="14" t="str">
        <x:v>OPEN</x:v>
      </x:c>
    </x:row>
    <x:row r="68">
      <x:c r="A68" s="15" t="str">
        <x:v>TO-064</x:v>
      </x:c>
      <x:c r="B68" s="15" t="str">
        <x:v>RC-11</x:v>
      </x:c>
      <x:c r="C68" s="15" t="str">
        <x:v>ER-02</x:v>
      </x:c>
      <x:c r="D68" s="15" t="str">
        <x:v>ION</x:v>
      </x:c>
      <x:c r="E68" s="15" t="str">
        <x:v>Computational</x:v>
      </x:c>
      <x:c r="F68" s="15" t="str">
        <x:v>OPEN</x:v>
      </x:c>
      <x:c r="G68" s="15" t="str">
        <x:v>OPEN</x:v>
      </x:c>
    </x:row>
    <x:row r="69">
      <x:c r="A69" s="14" t="str">
        <x:v>TO-065</x:v>
      </x:c>
      <x:c r="B69" s="14" t="str">
        <x:v>RC-11</x:v>
      </x:c>
      <x:c r="C69" s="14" t="str">
        <x:v>ER-02</x:v>
      </x:c>
      <x:c r="D69" s="14" t="str">
        <x:v>ION</x:v>
      </x:c>
      <x:c r="E69" s="14" t="str">
        <x:v>Uncertainty</x:v>
      </x:c>
      <x:c r="F69" s="14" t="str">
        <x:v>OPEN</x:v>
      </x:c>
      <x:c r="G69" s="14" t="str">
        <x:v>OPEN</x:v>
      </x:c>
    </x:row>
    <x:row r="70">
      <x:c r="A70" s="15" t="str">
        <x:v>TO-066</x:v>
      </x:c>
      <x:c r="B70" s="15" t="str">
        <x:v>RC-11</x:v>
      </x:c>
      <x:c r="C70" s="15" t="str">
        <x:v>ER-02</x:v>
      </x:c>
      <x:c r="D70" s="15" t="str">
        <x:v>ION</x:v>
      </x:c>
      <x:c r="E70" s="15" t="str">
        <x:v>Authority</x:v>
      </x:c>
      <x:c r="F70" s="15" t="str">
        <x:v>OPEN</x:v>
      </x:c>
      <x:c r="G70" s="15" t="str">
        <x:v>OPEN</x:v>
      </x:c>
    </x:row>
    <x:row r="71">
      <x:c r="A71" s="14" t="str">
        <x:v>TO-067</x:v>
      </x:c>
      <x:c r="B71" s="14" t="str">
        <x:v>RC-12</x:v>
      </x:c>
      <x:c r="C71" s="14" t="str">
        <x:v>ER-02</x:v>
      </x:c>
      <x:c r="D71" s="14" t="str">
        <x:v>TOP</x:v>
      </x:c>
      <x:c r="E71" s="14" t="str">
        <x:v>Semantic</x:v>
      </x:c>
      <x:c r="F71" s="14" t="str">
        <x:v>OPEN</x:v>
      </x:c>
      <x:c r="G71" s="14" t="str">
        <x:v>OPEN</x:v>
      </x:c>
    </x:row>
    <x:row r="72">
      <x:c r="A72" s="15" t="str">
        <x:v>TO-068</x:v>
      </x:c>
      <x:c r="B72" s="15" t="str">
        <x:v>RC-12</x:v>
      </x:c>
      <x:c r="C72" s="15" t="str">
        <x:v>ER-02</x:v>
      </x:c>
      <x:c r="D72" s="15" t="str">
        <x:v>TOP</x:v>
      </x:c>
      <x:c r="E72" s="15" t="str">
        <x:v>Physical</x:v>
      </x:c>
      <x:c r="F72" s="15" t="str">
        <x:v>OPEN</x:v>
      </x:c>
      <x:c r="G72" s="15" t="str">
        <x:v>OPEN</x:v>
      </x:c>
    </x:row>
    <x:row r="73">
      <x:c r="A73" s="14" t="str">
        <x:v>TO-069</x:v>
      </x:c>
      <x:c r="B73" s="14" t="str">
        <x:v>RC-12</x:v>
      </x:c>
      <x:c r="C73" s="14" t="str">
        <x:v>ER-02</x:v>
      </x:c>
      <x:c r="D73" s="14" t="str">
        <x:v>TOP</x:v>
      </x:c>
      <x:c r="E73" s="14" t="str">
        <x:v>Metrological</x:v>
      </x:c>
      <x:c r="F73" s="14" t="str">
        <x:v>OPEN</x:v>
      </x:c>
      <x:c r="G73" s="14" t="str">
        <x:v>OPEN</x:v>
      </x:c>
    </x:row>
    <x:row r="74">
      <x:c r="A74" s="15" t="str">
        <x:v>TO-070</x:v>
      </x:c>
      <x:c r="B74" s="15" t="str">
        <x:v>RC-12</x:v>
      </x:c>
      <x:c r="C74" s="15" t="str">
        <x:v>ER-02</x:v>
      </x:c>
      <x:c r="D74" s="15" t="str">
        <x:v>TOP</x:v>
      </x:c>
      <x:c r="E74" s="15" t="str">
        <x:v>Computational</x:v>
      </x:c>
      <x:c r="F74" s="15" t="str">
        <x:v>OPEN</x:v>
      </x:c>
      <x:c r="G74" s="15" t="str">
        <x:v>OPEN</x:v>
      </x:c>
    </x:row>
    <x:row r="75">
      <x:c r="A75" s="14" t="str">
        <x:v>TO-071</x:v>
      </x:c>
      <x:c r="B75" s="14" t="str">
        <x:v>RC-12</x:v>
      </x:c>
      <x:c r="C75" s="14" t="str">
        <x:v>ER-02</x:v>
      </x:c>
      <x:c r="D75" s="14" t="str">
        <x:v>TOP</x:v>
      </x:c>
      <x:c r="E75" s="14" t="str">
        <x:v>Uncertainty</x:v>
      </x:c>
      <x:c r="F75" s="14" t="str">
        <x:v>OPEN</x:v>
      </x:c>
      <x:c r="G75" s="14" t="str">
        <x:v>OPEN</x:v>
      </x:c>
    </x:row>
    <x:row r="76">
      <x:c r="A76" s="15" t="str">
        <x:v>TO-072</x:v>
      </x:c>
      <x:c r="B76" s="15" t="str">
        <x:v>RC-12</x:v>
      </x:c>
      <x:c r="C76" s="15" t="str">
        <x:v>ER-02</x:v>
      </x:c>
      <x:c r="D76" s="15" t="str">
        <x:v>TOP</x:v>
      </x:c>
      <x:c r="E76" s="15" t="str">
        <x:v>Authority</x:v>
      </x:c>
      <x:c r="F76" s="15" t="str">
        <x:v>OPEN</x:v>
      </x:c>
      <x:c r="G76" s="15" t="str">
        <x:v>OPEN</x:v>
      </x:c>
    </x:row>
    <x:row r="77">
      <x:c r="A77" s="14" t="str">
        <x:v>TO-073</x:v>
      </x:c>
      <x:c r="B77" s="14" t="str">
        <x:v>RC-13</x:v>
      </x:c>
      <x:c r="C77" s="14" t="str">
        <x:v>ER-02</x:v>
      </x:c>
      <x:c r="D77" s="14" t="str">
        <x:v>MOL</x:v>
      </x:c>
      <x:c r="E77" s="14" t="str">
        <x:v>Semantic</x:v>
      </x:c>
      <x:c r="F77" s="14" t="str">
        <x:v>OPEN</x:v>
      </x:c>
      <x:c r="G77" s="14" t="str">
        <x:v>OPEN</x:v>
      </x:c>
    </x:row>
    <x:row r="78">
      <x:c r="A78" s="15" t="str">
        <x:v>TO-074</x:v>
      </x:c>
      <x:c r="B78" s="15" t="str">
        <x:v>RC-13</x:v>
      </x:c>
      <x:c r="C78" s="15" t="str">
        <x:v>ER-02</x:v>
      </x:c>
      <x:c r="D78" s="15" t="str">
        <x:v>MOL</x:v>
      </x:c>
      <x:c r="E78" s="15" t="str">
        <x:v>Physical</x:v>
      </x:c>
      <x:c r="F78" s="15" t="str">
        <x:v>OPEN</x:v>
      </x:c>
      <x:c r="G78" s="15" t="str">
        <x:v>OPEN</x:v>
      </x:c>
    </x:row>
    <x:row r="79">
      <x:c r="A79" s="14" t="str">
        <x:v>TO-075</x:v>
      </x:c>
      <x:c r="B79" s="14" t="str">
        <x:v>RC-13</x:v>
      </x:c>
      <x:c r="C79" s="14" t="str">
        <x:v>ER-02</x:v>
      </x:c>
      <x:c r="D79" s="14" t="str">
        <x:v>MOL</x:v>
      </x:c>
      <x:c r="E79" s="14" t="str">
        <x:v>Metrological</x:v>
      </x:c>
      <x:c r="F79" s="14" t="str">
        <x:v>OPEN</x:v>
      </x:c>
      <x:c r="G79" s="14" t="str">
        <x:v>OPEN</x:v>
      </x:c>
    </x:row>
    <x:row r="80">
      <x:c r="A80" s="15" t="str">
        <x:v>TO-076</x:v>
      </x:c>
      <x:c r="B80" s="15" t="str">
        <x:v>RC-13</x:v>
      </x:c>
      <x:c r="C80" s="15" t="str">
        <x:v>ER-02</x:v>
      </x:c>
      <x:c r="D80" s="15" t="str">
        <x:v>MOL</x:v>
      </x:c>
      <x:c r="E80" s="15" t="str">
        <x:v>Computational</x:v>
      </x:c>
      <x:c r="F80" s="15" t="str">
        <x:v>OPEN</x:v>
      </x:c>
      <x:c r="G80" s="15" t="str">
        <x:v>OPEN</x:v>
      </x:c>
    </x:row>
    <x:row r="81">
      <x:c r="A81" s="14" t="str">
        <x:v>TO-077</x:v>
      </x:c>
      <x:c r="B81" s="14" t="str">
        <x:v>RC-13</x:v>
      </x:c>
      <x:c r="C81" s="14" t="str">
        <x:v>ER-02</x:v>
      </x:c>
      <x:c r="D81" s="14" t="str">
        <x:v>MOL</x:v>
      </x:c>
      <x:c r="E81" s="14" t="str">
        <x:v>Uncertainty</x:v>
      </x:c>
      <x:c r="F81" s="14" t="str">
        <x:v>OPEN</x:v>
      </x:c>
      <x:c r="G81" s="14" t="str">
        <x:v>OPEN</x:v>
      </x:c>
    </x:row>
    <x:row r="82">
      <x:c r="A82" s="15" t="str">
        <x:v>TO-078</x:v>
      </x:c>
      <x:c r="B82" s="15" t="str">
        <x:v>RC-13</x:v>
      </x:c>
      <x:c r="C82" s="15" t="str">
        <x:v>ER-02</x:v>
      </x:c>
      <x:c r="D82" s="15" t="str">
        <x:v>MOL</x:v>
      </x:c>
      <x:c r="E82" s="15" t="str">
        <x:v>Authority</x:v>
      </x:c>
      <x:c r="F82" s="15" t="str">
        <x:v>OPEN</x:v>
      </x:c>
      <x:c r="G82" s="15" t="str">
        <x:v>OPEN</x:v>
      </x:c>
    </x:row>
    <x:row r="83">
      <x:c r="A83" s="14" t="str">
        <x:v>TO-079</x:v>
      </x:c>
      <x:c r="B83" s="14" t="str">
        <x:v>RC-14</x:v>
      </x:c>
      <x:c r="C83" s="14" t="str">
        <x:v>ER-02</x:v>
      </x:c>
      <x:c r="D83" s="14" t="str">
        <x:v>CAL</x:v>
      </x:c>
      <x:c r="E83" s="14" t="str">
        <x:v>Semantic</x:v>
      </x:c>
      <x:c r="F83" s="14" t="str">
        <x:v>OPEN</x:v>
      </x:c>
      <x:c r="G83" s="14" t="str">
        <x:v>OPEN</x:v>
      </x:c>
    </x:row>
    <x:row r="84">
      <x:c r="A84" s="15" t="str">
        <x:v>TO-080</x:v>
      </x:c>
      <x:c r="B84" s="15" t="str">
        <x:v>RC-14</x:v>
      </x:c>
      <x:c r="C84" s="15" t="str">
        <x:v>ER-02</x:v>
      </x:c>
      <x:c r="D84" s="15" t="str">
        <x:v>CAL</x:v>
      </x:c>
      <x:c r="E84" s="15" t="str">
        <x:v>Physical</x:v>
      </x:c>
      <x:c r="F84" s="15" t="str">
        <x:v>OPEN</x:v>
      </x:c>
      <x:c r="G84" s="15" t="str">
        <x:v>OPEN</x:v>
      </x:c>
    </x:row>
    <x:row r="85">
      <x:c r="A85" s="14" t="str">
        <x:v>TO-081</x:v>
      </x:c>
      <x:c r="B85" s="14" t="str">
        <x:v>RC-14</x:v>
      </x:c>
      <x:c r="C85" s="14" t="str">
        <x:v>ER-02</x:v>
      </x:c>
      <x:c r="D85" s="14" t="str">
        <x:v>CAL</x:v>
      </x:c>
      <x:c r="E85" s="14" t="str">
        <x:v>Metrological</x:v>
      </x:c>
      <x:c r="F85" s="14" t="str">
        <x:v>OPEN</x:v>
      </x:c>
      <x:c r="G85" s="14" t="str">
        <x:v>OPEN</x:v>
      </x:c>
    </x:row>
    <x:row r="86">
      <x:c r="A86" s="15" t="str">
        <x:v>TO-082</x:v>
      </x:c>
      <x:c r="B86" s="15" t="str">
        <x:v>RC-14</x:v>
      </x:c>
      <x:c r="C86" s="15" t="str">
        <x:v>ER-02</x:v>
      </x:c>
      <x:c r="D86" s="15" t="str">
        <x:v>CAL</x:v>
      </x:c>
      <x:c r="E86" s="15" t="str">
        <x:v>Computational</x:v>
      </x:c>
      <x:c r="F86" s="15" t="str">
        <x:v>OPEN</x:v>
      </x:c>
      <x:c r="G86" s="15" t="str">
        <x:v>OPEN</x:v>
      </x:c>
    </x:row>
    <x:row r="87">
      <x:c r="A87" s="14" t="str">
        <x:v>TO-083</x:v>
      </x:c>
      <x:c r="B87" s="14" t="str">
        <x:v>RC-14</x:v>
      </x:c>
      <x:c r="C87" s="14" t="str">
        <x:v>ER-02</x:v>
      </x:c>
      <x:c r="D87" s="14" t="str">
        <x:v>CAL</x:v>
      </x:c>
      <x:c r="E87" s="14" t="str">
        <x:v>Uncertainty</x:v>
      </x:c>
      <x:c r="F87" s="14" t="str">
        <x:v>OPEN</x:v>
      </x:c>
      <x:c r="G87" s="14" t="str">
        <x:v>OPEN</x:v>
      </x:c>
    </x:row>
    <x:row r="88">
      <x:c r="A88" s="15" t="str">
        <x:v>TO-084</x:v>
      </x:c>
      <x:c r="B88" s="15" t="str">
        <x:v>RC-14</x:v>
      </x:c>
      <x:c r="C88" s="15" t="str">
        <x:v>ER-02</x:v>
      </x:c>
      <x:c r="D88" s="15" t="str">
        <x:v>CAL</x:v>
      </x:c>
      <x:c r="E88" s="15" t="str">
        <x:v>Authority</x:v>
      </x:c>
      <x:c r="F88" s="15" t="str">
        <x:v>OPEN</x:v>
      </x:c>
      <x:c r="G88" s="15" t="str">
        <x:v>OPEN</x:v>
      </x:c>
    </x:row>
    <x:row r="89">
      <x:c r="A89" s="14" t="str">
        <x:v>TO-085</x:v>
      </x:c>
      <x:c r="B89" s="14" t="str">
        <x:v>RC-15</x:v>
      </x:c>
      <x:c r="C89" s="14" t="str">
        <x:v>ER-02</x:v>
      </x:c>
      <x:c r="D89" s="14" t="str">
        <x:v>AQU</x:v>
      </x:c>
      <x:c r="E89" s="14" t="str">
        <x:v>Semantic</x:v>
      </x:c>
      <x:c r="F89" s="14" t="str">
        <x:v>OPEN</x:v>
      </x:c>
      <x:c r="G89" s="14" t="str">
        <x:v>OPEN</x:v>
      </x:c>
    </x:row>
    <x:row r="90">
      <x:c r="A90" s="15" t="str">
        <x:v>TO-086</x:v>
      </x:c>
      <x:c r="B90" s="15" t="str">
        <x:v>RC-15</x:v>
      </x:c>
      <x:c r="C90" s="15" t="str">
        <x:v>ER-02</x:v>
      </x:c>
      <x:c r="D90" s="15" t="str">
        <x:v>AQU</x:v>
      </x:c>
      <x:c r="E90" s="15" t="str">
        <x:v>Physical</x:v>
      </x:c>
      <x:c r="F90" s="15" t="str">
        <x:v>OPEN</x:v>
      </x:c>
      <x:c r="G90" s="15" t="str">
        <x:v>OPEN</x:v>
      </x:c>
    </x:row>
    <x:row r="91">
      <x:c r="A91" s="14" t="str">
        <x:v>TO-087</x:v>
      </x:c>
      <x:c r="B91" s="14" t="str">
        <x:v>RC-15</x:v>
      </x:c>
      <x:c r="C91" s="14" t="str">
        <x:v>ER-02</x:v>
      </x:c>
      <x:c r="D91" s="14" t="str">
        <x:v>AQU</x:v>
      </x:c>
      <x:c r="E91" s="14" t="str">
        <x:v>Metrological</x:v>
      </x:c>
      <x:c r="F91" s="14" t="str">
        <x:v>OPEN</x:v>
      </x:c>
      <x:c r="G91" s="14" t="str">
        <x:v>OPEN</x:v>
      </x:c>
    </x:row>
    <x:row r="92">
      <x:c r="A92" s="15" t="str">
        <x:v>TO-088</x:v>
      </x:c>
      <x:c r="B92" s="15" t="str">
        <x:v>RC-15</x:v>
      </x:c>
      <x:c r="C92" s="15" t="str">
        <x:v>ER-02</x:v>
      </x:c>
      <x:c r="D92" s="15" t="str">
        <x:v>AQU</x:v>
      </x:c>
      <x:c r="E92" s="15" t="str">
        <x:v>Computational</x:v>
      </x:c>
      <x:c r="F92" s="15" t="str">
        <x:v>OPEN</x:v>
      </x:c>
      <x:c r="G92" s="15" t="str">
        <x:v>OPEN</x:v>
      </x:c>
    </x:row>
    <x:row r="93">
      <x:c r="A93" s="14" t="str">
        <x:v>TO-089</x:v>
      </x:c>
      <x:c r="B93" s="14" t="str">
        <x:v>RC-15</x:v>
      </x:c>
      <x:c r="C93" s="14" t="str">
        <x:v>ER-02</x:v>
      </x:c>
      <x:c r="D93" s="14" t="str">
        <x:v>AQU</x:v>
      </x:c>
      <x:c r="E93" s="14" t="str">
        <x:v>Uncertainty</x:v>
      </x:c>
      <x:c r="F93" s="14" t="str">
        <x:v>OPEN</x:v>
      </x:c>
      <x:c r="G93" s="14" t="str">
        <x:v>OPEN</x:v>
      </x:c>
    </x:row>
    <x:row r="94">
      <x:c r="A94" s="15" t="str">
        <x:v>TO-090</x:v>
      </x:c>
      <x:c r="B94" s="15" t="str">
        <x:v>RC-15</x:v>
      </x:c>
      <x:c r="C94" s="15" t="str">
        <x:v>ER-02</x:v>
      </x:c>
      <x:c r="D94" s="15" t="str">
        <x:v>AQU</x:v>
      </x:c>
      <x:c r="E94" s="15" t="str">
        <x:v>Authority</x:v>
      </x:c>
      <x:c r="F94" s="15" t="str">
        <x:v>OPEN</x:v>
      </x:c>
      <x:c r="G94" s="15" t="str">
        <x:v>OPEN</x:v>
      </x:c>
    </x:row>
    <x:row r="95">
      <x:c r="A95" s="14" t="str">
        <x:v>TO-091</x:v>
      </x:c>
      <x:c r="B95" s="14" t="str">
        <x:v>RC-16</x:v>
      </x:c>
      <x:c r="C95" s="14" t="str">
        <x:v>ER-02</x:v>
      </x:c>
      <x:c r="D95" s="14" t="str">
        <x:v>COU</x:v>
      </x:c>
      <x:c r="E95" s="14" t="str">
        <x:v>Semantic</x:v>
      </x:c>
      <x:c r="F95" s="14" t="str">
        <x:v>OPEN</x:v>
      </x:c>
      <x:c r="G95" s="14" t="str">
        <x:v>OPEN</x:v>
      </x:c>
    </x:row>
    <x:row r="96">
      <x:c r="A96" s="15" t="str">
        <x:v>TO-092</x:v>
      </x:c>
      <x:c r="B96" s="15" t="str">
        <x:v>RC-16</x:v>
      </x:c>
      <x:c r="C96" s="15" t="str">
        <x:v>ER-02</x:v>
      </x:c>
      <x:c r="D96" s="15" t="str">
        <x:v>COU</x:v>
      </x:c>
      <x:c r="E96" s="15" t="str">
        <x:v>Physical</x:v>
      </x:c>
      <x:c r="F96" s="15" t="str">
        <x:v>OPEN</x:v>
      </x:c>
      <x:c r="G96" s="15" t="str">
        <x:v>OPEN</x:v>
      </x:c>
    </x:row>
    <x:row r="97">
      <x:c r="A97" s="14" t="str">
        <x:v>TO-093</x:v>
      </x:c>
      <x:c r="B97" s="14" t="str">
        <x:v>RC-16</x:v>
      </x:c>
      <x:c r="C97" s="14" t="str">
        <x:v>ER-02</x:v>
      </x:c>
      <x:c r="D97" s="14" t="str">
        <x:v>COU</x:v>
      </x:c>
      <x:c r="E97" s="14" t="str">
        <x:v>Metrological</x:v>
      </x:c>
      <x:c r="F97" s="14" t="str">
        <x:v>OPEN</x:v>
      </x:c>
      <x:c r="G97" s="14" t="str">
        <x:v>OPEN</x:v>
      </x:c>
    </x:row>
    <x:row r="98">
      <x:c r="A98" s="15" t="str">
        <x:v>TO-094</x:v>
      </x:c>
      <x:c r="B98" s="15" t="str">
        <x:v>RC-16</x:v>
      </x:c>
      <x:c r="C98" s="15" t="str">
        <x:v>ER-02</x:v>
      </x:c>
      <x:c r="D98" s="15" t="str">
        <x:v>COU</x:v>
      </x:c>
      <x:c r="E98" s="15" t="str">
        <x:v>Computational</x:v>
      </x:c>
      <x:c r="F98" s="15" t="str">
        <x:v>OPEN</x:v>
      </x:c>
      <x:c r="G98" s="15" t="str">
        <x:v>OPEN</x:v>
      </x:c>
    </x:row>
    <x:row r="99">
      <x:c r="A99" s="14" t="str">
        <x:v>TO-095</x:v>
      </x:c>
      <x:c r="B99" s="14" t="str">
        <x:v>RC-16</x:v>
      </x:c>
      <x:c r="C99" s="14" t="str">
        <x:v>ER-02</x:v>
      </x:c>
      <x:c r="D99" s="14" t="str">
        <x:v>COU</x:v>
      </x:c>
      <x:c r="E99" s="14" t="str">
        <x:v>Uncertainty</x:v>
      </x:c>
      <x:c r="F99" s="14" t="str">
        <x:v>OPEN</x:v>
      </x:c>
      <x:c r="G99" s="14" t="str">
        <x:v>OPEN</x:v>
      </x:c>
    </x:row>
    <x:row r="100">
      <x:c r="A100" s="15" t="str">
        <x:v>TO-096</x:v>
      </x:c>
      <x:c r="B100" s="15" t="str">
        <x:v>RC-16</x:v>
      </x:c>
      <x:c r="C100" s="15" t="str">
        <x:v>ER-02</x:v>
      </x:c>
      <x:c r="D100" s="15" t="str">
        <x:v>COU</x:v>
      </x:c>
      <x:c r="E100" s="15" t="str">
        <x:v>Authority</x:v>
      </x:c>
      <x:c r="F100" s="15" t="str">
        <x:v>OPEN</x:v>
      </x:c>
      <x:c r="G100" s="15" t="str">
        <x:v>OPEN</x:v>
      </x:c>
    </x:row>
    <x:row r="101">
      <x:c r="A101" s="14" t="str">
        <x:v>TO-097</x:v>
      </x:c>
      <x:c r="B101" s="14" t="str">
        <x:v>RC-17</x:v>
      </x:c>
      <x:c r="C101" s="14" t="str">
        <x:v>ER-02</x:v>
      </x:c>
      <x:c r="D101" s="14" t="str">
        <x:v>DIV</x:v>
      </x:c>
      <x:c r="E101" s="14" t="str">
        <x:v>Semantic</x:v>
      </x:c>
      <x:c r="F101" s="14" t="str">
        <x:v>OPEN</x:v>
      </x:c>
      <x:c r="G101" s="14" t="str">
        <x:v>OPEN</x:v>
      </x:c>
    </x:row>
    <x:row r="102">
      <x:c r="A102" s="15" t="str">
        <x:v>TO-098</x:v>
      </x:c>
      <x:c r="B102" s="15" t="str">
        <x:v>RC-17</x:v>
      </x:c>
      <x:c r="C102" s="15" t="str">
        <x:v>ER-02</x:v>
      </x:c>
      <x:c r="D102" s="15" t="str">
        <x:v>DIV</x:v>
      </x:c>
      <x:c r="E102" s="15" t="str">
        <x:v>Physical</x:v>
      </x:c>
      <x:c r="F102" s="15" t="str">
        <x:v>OPEN</x:v>
      </x:c>
      <x:c r="G102" s="15" t="str">
        <x:v>OPEN</x:v>
      </x:c>
    </x:row>
    <x:row r="103">
      <x:c r="A103" s="14" t="str">
        <x:v>TO-099</x:v>
      </x:c>
      <x:c r="B103" s="14" t="str">
        <x:v>RC-17</x:v>
      </x:c>
      <x:c r="C103" s="14" t="str">
        <x:v>ER-02</x:v>
      </x:c>
      <x:c r="D103" s="14" t="str">
        <x:v>DIV</x:v>
      </x:c>
      <x:c r="E103" s="14" t="str">
        <x:v>Metrological</x:v>
      </x:c>
      <x:c r="F103" s="14" t="str">
        <x:v>OPEN</x:v>
      </x:c>
      <x:c r="G103" s="14" t="str">
        <x:v>OPEN</x:v>
      </x:c>
    </x:row>
    <x:row r="104">
      <x:c r="A104" s="15" t="str">
        <x:v>TO-100</x:v>
      </x:c>
      <x:c r="B104" s="15" t="str">
        <x:v>RC-17</x:v>
      </x:c>
      <x:c r="C104" s="15" t="str">
        <x:v>ER-02</x:v>
      </x:c>
      <x:c r="D104" s="15" t="str">
        <x:v>DIV</x:v>
      </x:c>
      <x:c r="E104" s="15" t="str">
        <x:v>Computational</x:v>
      </x:c>
      <x:c r="F104" s="15" t="str">
        <x:v>OPEN</x:v>
      </x:c>
      <x:c r="G104" s="15" t="str">
        <x:v>OPEN</x:v>
      </x:c>
    </x:row>
    <x:row r="105">
      <x:c r="A105" s="14" t="str">
        <x:v>TO-101</x:v>
      </x:c>
      <x:c r="B105" s="14" t="str">
        <x:v>RC-17</x:v>
      </x:c>
      <x:c r="C105" s="14" t="str">
        <x:v>ER-02</x:v>
      </x:c>
      <x:c r="D105" s="14" t="str">
        <x:v>DIV</x:v>
      </x:c>
      <x:c r="E105" s="14" t="str">
        <x:v>Uncertainty</x:v>
      </x:c>
      <x:c r="F105" s="14" t="str">
        <x:v>OPEN</x:v>
      </x:c>
      <x:c r="G105" s="14" t="str">
        <x:v>OPEN</x:v>
      </x:c>
    </x:row>
    <x:row r="106">
      <x:c r="A106" s="15" t="str">
        <x:v>TO-102</x:v>
      </x:c>
      <x:c r="B106" s="15" t="str">
        <x:v>RC-17</x:v>
      </x:c>
      <x:c r="C106" s="15" t="str">
        <x:v>ER-02</x:v>
      </x:c>
      <x:c r="D106" s="15" t="str">
        <x:v>DIV</x:v>
      </x:c>
      <x:c r="E106" s="15" t="str">
        <x:v>Authority</x:v>
      </x:c>
      <x:c r="F106" s="15" t="str">
        <x:v>OPEN</x:v>
      </x:c>
      <x:c r="G106" s="15" t="str">
        <x:v>OPEN</x:v>
      </x:c>
    </x:row>
    <x:row r="107">
      <x:c r="A107" s="14" t="str">
        <x:v>TO-103</x:v>
      </x:c>
      <x:c r="B107" s="14" t="str">
        <x:v>RC-18</x:v>
      </x:c>
      <x:c r="C107" s="14" t="str">
        <x:v>ER-02</x:v>
      </x:c>
      <x:c r="D107" s="14" t="str">
        <x:v>PUB</x:v>
      </x:c>
      <x:c r="E107" s="14" t="str">
        <x:v>Semantic</x:v>
      </x:c>
      <x:c r="F107" s="14" t="str">
        <x:v>OPEN</x:v>
      </x:c>
      <x:c r="G107" s="14" t="str">
        <x:v>OPEN</x:v>
      </x:c>
    </x:row>
    <x:row r="108">
      <x:c r="A108" s="15" t="str">
        <x:v>TO-104</x:v>
      </x:c>
      <x:c r="B108" s="15" t="str">
        <x:v>RC-18</x:v>
      </x:c>
      <x:c r="C108" s="15" t="str">
        <x:v>ER-02</x:v>
      </x:c>
      <x:c r="D108" s="15" t="str">
        <x:v>PUB</x:v>
      </x:c>
      <x:c r="E108" s="15" t="str">
        <x:v>Physical</x:v>
      </x:c>
      <x:c r="F108" s="15" t="str">
        <x:v>OPEN</x:v>
      </x:c>
      <x:c r="G108" s="15" t="str">
        <x:v>OPEN</x:v>
      </x:c>
    </x:row>
    <x:row r="109">
      <x:c r="A109" s="14" t="str">
        <x:v>TO-105</x:v>
      </x:c>
      <x:c r="B109" s="14" t="str">
        <x:v>RC-18</x:v>
      </x:c>
      <x:c r="C109" s="14" t="str">
        <x:v>ER-02</x:v>
      </x:c>
      <x:c r="D109" s="14" t="str">
        <x:v>PUB</x:v>
      </x:c>
      <x:c r="E109" s="14" t="str">
        <x:v>Metrological</x:v>
      </x:c>
      <x:c r="F109" s="14" t="str">
        <x:v>OPEN</x:v>
      </x:c>
      <x:c r="G109" s="14" t="str">
        <x:v>OPEN</x:v>
      </x:c>
    </x:row>
    <x:row r="110">
      <x:c r="A110" s="15" t="str">
        <x:v>TO-106</x:v>
      </x:c>
      <x:c r="B110" s="15" t="str">
        <x:v>RC-18</x:v>
      </x:c>
      <x:c r="C110" s="15" t="str">
        <x:v>ER-02</x:v>
      </x:c>
      <x:c r="D110" s="15" t="str">
        <x:v>PUB</x:v>
      </x:c>
      <x:c r="E110" s="15" t="str">
        <x:v>Computational</x:v>
      </x:c>
      <x:c r="F110" s="15" t="str">
        <x:v>OPEN</x:v>
      </x:c>
      <x:c r="G110" s="15" t="str">
        <x:v>OPEN</x:v>
      </x:c>
    </x:row>
    <x:row r="111">
      <x:c r="A111" s="14" t="str">
        <x:v>TO-107</x:v>
      </x:c>
      <x:c r="B111" s="14" t="str">
        <x:v>RC-18</x:v>
      </x:c>
      <x:c r="C111" s="14" t="str">
        <x:v>ER-02</x:v>
      </x:c>
      <x:c r="D111" s="14" t="str">
        <x:v>PUB</x:v>
      </x:c>
      <x:c r="E111" s="14" t="str">
        <x:v>Uncertainty</x:v>
      </x:c>
      <x:c r="F111" s="14" t="str">
        <x:v>OPEN</x:v>
      </x:c>
      <x:c r="G111" s="14" t="str">
        <x:v>OPEN</x:v>
      </x:c>
    </x:row>
    <x:row r="112">
      <x:c r="A112" s="15" t="str">
        <x:v>TO-108</x:v>
      </x:c>
      <x:c r="B112" s="15" t="str">
        <x:v>RC-18</x:v>
      </x:c>
      <x:c r="C112" s="15" t="str">
        <x:v>ER-02</x:v>
      </x:c>
      <x:c r="D112" s="15" t="str">
        <x:v>PUB</x:v>
      </x:c>
      <x:c r="E112" s="15" t="str">
        <x:v>Authority</x:v>
      </x:c>
      <x:c r="F112" s="15" t="str">
        <x:v>OPEN</x:v>
      </x:c>
      <x:c r="G112" s="15" t="str">
        <x:v>OPEN</x:v>
      </x:c>
    </x:row>
    <x:row r="113">
      <x:c r="A113" s="14" t="str">
        <x:v>TO-109</x:v>
      </x:c>
      <x:c r="B113" s="14" t="str">
        <x:v>RC-19</x:v>
      </x:c>
      <x:c r="C113" s="14" t="str">
        <x:v>ER-03</x:v>
      </x:c>
      <x:c r="D113" s="14" t="str">
        <x:v>PHO</x:v>
      </x:c>
      <x:c r="E113" s="14" t="str">
        <x:v>Semantic</x:v>
      </x:c>
      <x:c r="F113" s="14" t="str">
        <x:v>OPEN</x:v>
      </x:c>
      <x:c r="G113" s="14" t="str">
        <x:v>OPEN</x:v>
      </x:c>
    </x:row>
    <x:row r="114">
      <x:c r="A114" s="15" t="str">
        <x:v>TO-110</x:v>
      </x:c>
      <x:c r="B114" s="15" t="str">
        <x:v>RC-19</x:v>
      </x:c>
      <x:c r="C114" s="15" t="str">
        <x:v>ER-03</x:v>
      </x:c>
      <x:c r="D114" s="15" t="str">
        <x:v>PHO</x:v>
      </x:c>
      <x:c r="E114" s="15" t="str">
        <x:v>Physical</x:v>
      </x:c>
      <x:c r="F114" s="15" t="str">
        <x:v>OPEN</x:v>
      </x:c>
      <x:c r="G114" s="15" t="str">
        <x:v>OPEN</x:v>
      </x:c>
    </x:row>
    <x:row r="115">
      <x:c r="A115" s="14" t="str">
        <x:v>TO-111</x:v>
      </x:c>
      <x:c r="B115" s="14" t="str">
        <x:v>RC-19</x:v>
      </x:c>
      <x:c r="C115" s="14" t="str">
        <x:v>ER-03</x:v>
      </x:c>
      <x:c r="D115" s="14" t="str">
        <x:v>PHO</x:v>
      </x:c>
      <x:c r="E115" s="14" t="str">
        <x:v>Metrological</x:v>
      </x:c>
      <x:c r="F115" s="14" t="str">
        <x:v>OPEN</x:v>
      </x:c>
      <x:c r="G115" s="14" t="str">
        <x:v>OPEN</x:v>
      </x:c>
    </x:row>
    <x:row r="116">
      <x:c r="A116" s="15" t="str">
        <x:v>TO-112</x:v>
      </x:c>
      <x:c r="B116" s="15" t="str">
        <x:v>RC-19</x:v>
      </x:c>
      <x:c r="C116" s="15" t="str">
        <x:v>ER-03</x:v>
      </x:c>
      <x:c r="D116" s="15" t="str">
        <x:v>PHO</x:v>
      </x:c>
      <x:c r="E116" s="15" t="str">
        <x:v>Computational</x:v>
      </x:c>
      <x:c r="F116" s="15" t="str">
        <x:v>OPEN</x:v>
      </x:c>
      <x:c r="G116" s="15" t="str">
        <x:v>OPEN</x:v>
      </x:c>
    </x:row>
    <x:row r="117">
      <x:c r="A117" s="14" t="str">
        <x:v>TO-113</x:v>
      </x:c>
      <x:c r="B117" s="14" t="str">
        <x:v>RC-19</x:v>
      </x:c>
      <x:c r="C117" s="14" t="str">
        <x:v>ER-03</x:v>
      </x:c>
      <x:c r="D117" s="14" t="str">
        <x:v>PHO</x:v>
      </x:c>
      <x:c r="E117" s="14" t="str">
        <x:v>Uncertainty</x:v>
      </x:c>
      <x:c r="F117" s="14" t="str">
        <x:v>OPEN</x:v>
      </x:c>
      <x:c r="G117" s="14" t="str">
        <x:v>OPEN</x:v>
      </x:c>
    </x:row>
    <x:row r="118">
      <x:c r="A118" s="15" t="str">
        <x:v>TO-114</x:v>
      </x:c>
      <x:c r="B118" s="15" t="str">
        <x:v>RC-19</x:v>
      </x:c>
      <x:c r="C118" s="15" t="str">
        <x:v>ER-03</x:v>
      </x:c>
      <x:c r="D118" s="15" t="str">
        <x:v>PHO</x:v>
      </x:c>
      <x:c r="E118" s="15" t="str">
        <x:v>Authority</x:v>
      </x:c>
      <x:c r="F118" s="15" t="str">
        <x:v>OPEN</x:v>
      </x:c>
      <x:c r="G118" s="15" t="str">
        <x:v>OPEN</x:v>
      </x:c>
    </x:row>
    <x:row r="119">
      <x:c r="A119" s="14" t="str">
        <x:v>TO-115</x:v>
      </x:c>
      <x:c r="B119" s="14" t="str">
        <x:v>RC-20</x:v>
      </x:c>
      <x:c r="C119" s="14" t="str">
        <x:v>ER-03</x:v>
      </x:c>
      <x:c r="D119" s="14" t="str">
        <x:v>ION</x:v>
      </x:c>
      <x:c r="E119" s="14" t="str">
        <x:v>Semantic</x:v>
      </x:c>
      <x:c r="F119" s="14" t="str">
        <x:v>OPEN</x:v>
      </x:c>
      <x:c r="G119" s="14" t="str">
        <x:v>OPEN</x:v>
      </x:c>
    </x:row>
    <x:row r="120">
      <x:c r="A120" s="15" t="str">
        <x:v>TO-116</x:v>
      </x:c>
      <x:c r="B120" s="15" t="str">
        <x:v>RC-20</x:v>
      </x:c>
      <x:c r="C120" s="15" t="str">
        <x:v>ER-03</x:v>
      </x:c>
      <x:c r="D120" s="15" t="str">
        <x:v>ION</x:v>
      </x:c>
      <x:c r="E120" s="15" t="str">
        <x:v>Physical</x:v>
      </x:c>
      <x:c r="F120" s="15" t="str">
        <x:v>OPEN</x:v>
      </x:c>
      <x:c r="G120" s="15" t="str">
        <x:v>OPEN</x:v>
      </x:c>
    </x:row>
    <x:row r="121">
      <x:c r="A121" s="14" t="str">
        <x:v>TO-117</x:v>
      </x:c>
      <x:c r="B121" s="14" t="str">
        <x:v>RC-20</x:v>
      </x:c>
      <x:c r="C121" s="14" t="str">
        <x:v>ER-03</x:v>
      </x:c>
      <x:c r="D121" s="14" t="str">
        <x:v>ION</x:v>
      </x:c>
      <x:c r="E121" s="14" t="str">
        <x:v>Metrological</x:v>
      </x:c>
      <x:c r="F121" s="14" t="str">
        <x:v>OPEN</x:v>
      </x:c>
      <x:c r="G121" s="14" t="str">
        <x:v>OPEN</x:v>
      </x:c>
    </x:row>
    <x:row r="122">
      <x:c r="A122" s="15" t="str">
        <x:v>TO-118</x:v>
      </x:c>
      <x:c r="B122" s="15" t="str">
        <x:v>RC-20</x:v>
      </x:c>
      <x:c r="C122" s="15" t="str">
        <x:v>ER-03</x:v>
      </x:c>
      <x:c r="D122" s="15" t="str">
        <x:v>ION</x:v>
      </x:c>
      <x:c r="E122" s="15" t="str">
        <x:v>Computational</x:v>
      </x:c>
      <x:c r="F122" s="15" t="str">
        <x:v>OPEN</x:v>
      </x:c>
      <x:c r="G122" s="15" t="str">
        <x:v>OPEN</x:v>
      </x:c>
    </x:row>
    <x:row r="123">
      <x:c r="A123" s="14" t="str">
        <x:v>TO-119</x:v>
      </x:c>
      <x:c r="B123" s="14" t="str">
        <x:v>RC-20</x:v>
      </x:c>
      <x:c r="C123" s="14" t="str">
        <x:v>ER-03</x:v>
      </x:c>
      <x:c r="D123" s="14" t="str">
        <x:v>ION</x:v>
      </x:c>
      <x:c r="E123" s="14" t="str">
        <x:v>Uncertainty</x:v>
      </x:c>
      <x:c r="F123" s="14" t="str">
        <x:v>OPEN</x:v>
      </x:c>
      <x:c r="G123" s="14" t="str">
        <x:v>OPEN</x:v>
      </x:c>
    </x:row>
    <x:row r="124">
      <x:c r="A124" s="15" t="str">
        <x:v>TO-120</x:v>
      </x:c>
      <x:c r="B124" s="15" t="str">
        <x:v>RC-20</x:v>
      </x:c>
      <x:c r="C124" s="15" t="str">
        <x:v>ER-03</x:v>
      </x:c>
      <x:c r="D124" s="15" t="str">
        <x:v>ION</x:v>
      </x:c>
      <x:c r="E124" s="15" t="str">
        <x:v>Authority</x:v>
      </x:c>
      <x:c r="F124" s="15" t="str">
        <x:v>OPEN</x:v>
      </x:c>
      <x:c r="G124" s="15" t="str">
        <x:v>OPEN</x:v>
      </x:c>
    </x:row>
    <x:row r="125">
      <x:c r="A125" s="14" t="str">
        <x:v>TO-121</x:v>
      </x:c>
      <x:c r="B125" s="14" t="str">
        <x:v>RC-21</x:v>
      </x:c>
      <x:c r="C125" s="14" t="str">
        <x:v>ER-03</x:v>
      </x:c>
      <x:c r="D125" s="14" t="str">
        <x:v>TOP</x:v>
      </x:c>
      <x:c r="E125" s="14" t="str">
        <x:v>Semantic</x:v>
      </x:c>
      <x:c r="F125" s="14" t="str">
        <x:v>OPEN</x:v>
      </x:c>
      <x:c r="G125" s="14" t="str">
        <x:v>OPEN</x:v>
      </x:c>
    </x:row>
    <x:row r="126">
      <x:c r="A126" s="15" t="str">
        <x:v>TO-122</x:v>
      </x:c>
      <x:c r="B126" s="15" t="str">
        <x:v>RC-21</x:v>
      </x:c>
      <x:c r="C126" s="15" t="str">
        <x:v>ER-03</x:v>
      </x:c>
      <x:c r="D126" s="15" t="str">
        <x:v>TOP</x:v>
      </x:c>
      <x:c r="E126" s="15" t="str">
        <x:v>Physical</x:v>
      </x:c>
      <x:c r="F126" s="15" t="str">
        <x:v>OPEN</x:v>
      </x:c>
      <x:c r="G126" s="15" t="str">
        <x:v>OPEN</x:v>
      </x:c>
    </x:row>
    <x:row r="127">
      <x:c r="A127" s="14" t="str">
        <x:v>TO-123</x:v>
      </x:c>
      <x:c r="B127" s="14" t="str">
        <x:v>RC-21</x:v>
      </x:c>
      <x:c r="C127" s="14" t="str">
        <x:v>ER-03</x:v>
      </x:c>
      <x:c r="D127" s="14" t="str">
        <x:v>TOP</x:v>
      </x:c>
      <x:c r="E127" s="14" t="str">
        <x:v>Metrological</x:v>
      </x:c>
      <x:c r="F127" s="14" t="str">
        <x:v>OPEN</x:v>
      </x:c>
      <x:c r="G127" s="14" t="str">
        <x:v>OPEN</x:v>
      </x:c>
    </x:row>
    <x:row r="128">
      <x:c r="A128" s="15" t="str">
        <x:v>TO-124</x:v>
      </x:c>
      <x:c r="B128" s="15" t="str">
        <x:v>RC-21</x:v>
      </x:c>
      <x:c r="C128" s="15" t="str">
        <x:v>ER-03</x:v>
      </x:c>
      <x:c r="D128" s="15" t="str">
        <x:v>TOP</x:v>
      </x:c>
      <x:c r="E128" s="15" t="str">
        <x:v>Computational</x:v>
      </x:c>
      <x:c r="F128" s="15" t="str">
        <x:v>OPEN</x:v>
      </x:c>
      <x:c r="G128" s="15" t="str">
        <x:v>OPEN</x:v>
      </x:c>
    </x:row>
    <x:row r="129">
      <x:c r="A129" s="14" t="str">
        <x:v>TO-125</x:v>
      </x:c>
      <x:c r="B129" s="14" t="str">
        <x:v>RC-21</x:v>
      </x:c>
      <x:c r="C129" s="14" t="str">
        <x:v>ER-03</x:v>
      </x:c>
      <x:c r="D129" s="14" t="str">
        <x:v>TOP</x:v>
      </x:c>
      <x:c r="E129" s="14" t="str">
        <x:v>Uncertainty</x:v>
      </x:c>
      <x:c r="F129" s="14" t="str">
        <x:v>OPEN</x:v>
      </x:c>
      <x:c r="G129" s="14" t="str">
        <x:v>OPEN</x:v>
      </x:c>
    </x:row>
    <x:row r="130">
      <x:c r="A130" s="15" t="str">
        <x:v>TO-126</x:v>
      </x:c>
      <x:c r="B130" s="15" t="str">
        <x:v>RC-21</x:v>
      </x:c>
      <x:c r="C130" s="15" t="str">
        <x:v>ER-03</x:v>
      </x:c>
      <x:c r="D130" s="15" t="str">
        <x:v>TOP</x:v>
      </x:c>
      <x:c r="E130" s="15" t="str">
        <x:v>Authority</x:v>
      </x:c>
      <x:c r="F130" s="15" t="str">
        <x:v>OPEN</x:v>
      </x:c>
      <x:c r="G130" s="15" t="str">
        <x:v>OPEN</x:v>
      </x:c>
    </x:row>
    <x:row r="131">
      <x:c r="A131" s="14" t="str">
        <x:v>TO-127</x:v>
      </x:c>
      <x:c r="B131" s="14" t="str">
        <x:v>RC-22</x:v>
      </x:c>
      <x:c r="C131" s="14" t="str">
        <x:v>ER-03</x:v>
      </x:c>
      <x:c r="D131" s="14" t="str">
        <x:v>MOL</x:v>
      </x:c>
      <x:c r="E131" s="14" t="str">
        <x:v>Semantic</x:v>
      </x:c>
      <x:c r="F131" s="14" t="str">
        <x:v>OPEN</x:v>
      </x:c>
      <x:c r="G131" s="14" t="str">
        <x:v>OPEN</x:v>
      </x:c>
    </x:row>
    <x:row r="132">
      <x:c r="A132" s="15" t="str">
        <x:v>TO-128</x:v>
      </x:c>
      <x:c r="B132" s="15" t="str">
        <x:v>RC-22</x:v>
      </x:c>
      <x:c r="C132" s="15" t="str">
        <x:v>ER-03</x:v>
      </x:c>
      <x:c r="D132" s="15" t="str">
        <x:v>MOL</x:v>
      </x:c>
      <x:c r="E132" s="15" t="str">
        <x:v>Physical</x:v>
      </x:c>
      <x:c r="F132" s="15" t="str">
        <x:v>OPEN</x:v>
      </x:c>
      <x:c r="G132" s="15" t="str">
        <x:v>OPEN</x:v>
      </x:c>
    </x:row>
    <x:row r="133">
      <x:c r="A133" s="14" t="str">
        <x:v>TO-129</x:v>
      </x:c>
      <x:c r="B133" s="14" t="str">
        <x:v>RC-22</x:v>
      </x:c>
      <x:c r="C133" s="14" t="str">
        <x:v>ER-03</x:v>
      </x:c>
      <x:c r="D133" s="14" t="str">
        <x:v>MOL</x:v>
      </x:c>
      <x:c r="E133" s="14" t="str">
        <x:v>Metrological</x:v>
      </x:c>
      <x:c r="F133" s="14" t="str">
        <x:v>OPEN</x:v>
      </x:c>
      <x:c r="G133" s="14" t="str">
        <x:v>OPEN</x:v>
      </x:c>
    </x:row>
    <x:row r="134">
      <x:c r="A134" s="15" t="str">
        <x:v>TO-130</x:v>
      </x:c>
      <x:c r="B134" s="15" t="str">
        <x:v>RC-22</x:v>
      </x:c>
      <x:c r="C134" s="15" t="str">
        <x:v>ER-03</x:v>
      </x:c>
      <x:c r="D134" s="15" t="str">
        <x:v>MOL</x:v>
      </x:c>
      <x:c r="E134" s="15" t="str">
        <x:v>Computational</x:v>
      </x:c>
      <x:c r="F134" s="15" t="str">
        <x:v>OPEN</x:v>
      </x:c>
      <x:c r="G134" s="15" t="str">
        <x:v>OPEN</x:v>
      </x:c>
    </x:row>
    <x:row r="135">
      <x:c r="A135" s="14" t="str">
        <x:v>TO-131</x:v>
      </x:c>
      <x:c r="B135" s="14" t="str">
        <x:v>RC-22</x:v>
      </x:c>
      <x:c r="C135" s="14" t="str">
        <x:v>ER-03</x:v>
      </x:c>
      <x:c r="D135" s="14" t="str">
        <x:v>MOL</x:v>
      </x:c>
      <x:c r="E135" s="14" t="str">
        <x:v>Uncertainty</x:v>
      </x:c>
      <x:c r="F135" s="14" t="str">
        <x:v>OPEN</x:v>
      </x:c>
      <x:c r="G135" s="14" t="str">
        <x:v>OPEN</x:v>
      </x:c>
    </x:row>
    <x:row r="136">
      <x:c r="A136" s="15" t="str">
        <x:v>TO-132</x:v>
      </x:c>
      <x:c r="B136" s="15" t="str">
        <x:v>RC-22</x:v>
      </x:c>
      <x:c r="C136" s="15" t="str">
        <x:v>ER-03</x:v>
      </x:c>
      <x:c r="D136" s="15" t="str">
        <x:v>MOL</x:v>
      </x:c>
      <x:c r="E136" s="15" t="str">
        <x:v>Authority</x:v>
      </x:c>
      <x:c r="F136" s="15" t="str">
        <x:v>OPEN</x:v>
      </x:c>
      <x:c r="G136" s="15" t="str">
        <x:v>OPEN</x:v>
      </x:c>
    </x:row>
    <x:row r="137">
      <x:c r="A137" s="14" t="str">
        <x:v>TO-133</x:v>
      </x:c>
      <x:c r="B137" s="14" t="str">
        <x:v>RC-23</x:v>
      </x:c>
      <x:c r="C137" s="14" t="str">
        <x:v>ER-03</x:v>
      </x:c>
      <x:c r="D137" s="14" t="str">
        <x:v>CAL</x:v>
      </x:c>
      <x:c r="E137" s="14" t="str">
        <x:v>Semantic</x:v>
      </x:c>
      <x:c r="F137" s="14" t="str">
        <x:v>OPEN</x:v>
      </x:c>
      <x:c r="G137" s="14" t="str">
        <x:v>OPEN</x:v>
      </x:c>
    </x:row>
    <x:row r="138">
      <x:c r="A138" s="15" t="str">
        <x:v>TO-134</x:v>
      </x:c>
      <x:c r="B138" s="15" t="str">
        <x:v>RC-23</x:v>
      </x:c>
      <x:c r="C138" s="15" t="str">
        <x:v>ER-03</x:v>
      </x:c>
      <x:c r="D138" s="15" t="str">
        <x:v>CAL</x:v>
      </x:c>
      <x:c r="E138" s="15" t="str">
        <x:v>Physical</x:v>
      </x:c>
      <x:c r="F138" s="15" t="str">
        <x:v>OPEN</x:v>
      </x:c>
      <x:c r="G138" s="15" t="str">
        <x:v>OPEN</x:v>
      </x:c>
    </x:row>
    <x:row r="139">
      <x:c r="A139" s="14" t="str">
        <x:v>TO-135</x:v>
      </x:c>
      <x:c r="B139" s="14" t="str">
        <x:v>RC-23</x:v>
      </x:c>
      <x:c r="C139" s="14" t="str">
        <x:v>ER-03</x:v>
      </x:c>
      <x:c r="D139" s="14" t="str">
        <x:v>CAL</x:v>
      </x:c>
      <x:c r="E139" s="14" t="str">
        <x:v>Metrological</x:v>
      </x:c>
      <x:c r="F139" s="14" t="str">
        <x:v>OPEN</x:v>
      </x:c>
      <x:c r="G139" s="14" t="str">
        <x:v>OPEN</x:v>
      </x:c>
    </x:row>
    <x:row r="140">
      <x:c r="A140" s="15" t="str">
        <x:v>TO-136</x:v>
      </x:c>
      <x:c r="B140" s="15" t="str">
        <x:v>RC-23</x:v>
      </x:c>
      <x:c r="C140" s="15" t="str">
        <x:v>ER-03</x:v>
      </x:c>
      <x:c r="D140" s="15" t="str">
        <x:v>CAL</x:v>
      </x:c>
      <x:c r="E140" s="15" t="str">
        <x:v>Computational</x:v>
      </x:c>
      <x:c r="F140" s="15" t="str">
        <x:v>OPEN</x:v>
      </x:c>
      <x:c r="G140" s="15" t="str">
        <x:v>OPEN</x:v>
      </x:c>
    </x:row>
    <x:row r="141">
      <x:c r="A141" s="14" t="str">
        <x:v>TO-137</x:v>
      </x:c>
      <x:c r="B141" s="14" t="str">
        <x:v>RC-23</x:v>
      </x:c>
      <x:c r="C141" s="14" t="str">
        <x:v>ER-03</x:v>
      </x:c>
      <x:c r="D141" s="14" t="str">
        <x:v>CAL</x:v>
      </x:c>
      <x:c r="E141" s="14" t="str">
        <x:v>Uncertainty</x:v>
      </x:c>
      <x:c r="F141" s="14" t="str">
        <x:v>OPEN</x:v>
      </x:c>
      <x:c r="G141" s="14" t="str">
        <x:v>OPEN</x:v>
      </x:c>
    </x:row>
    <x:row r="142">
      <x:c r="A142" s="15" t="str">
        <x:v>TO-138</x:v>
      </x:c>
      <x:c r="B142" s="15" t="str">
        <x:v>RC-23</x:v>
      </x:c>
      <x:c r="C142" s="15" t="str">
        <x:v>ER-03</x:v>
      </x:c>
      <x:c r="D142" s="15" t="str">
        <x:v>CAL</x:v>
      </x:c>
      <x:c r="E142" s="15" t="str">
        <x:v>Authority</x:v>
      </x:c>
      <x:c r="F142" s="15" t="str">
        <x:v>OPEN</x:v>
      </x:c>
      <x:c r="G142" s="15" t="str">
        <x:v>OPEN</x:v>
      </x:c>
    </x:row>
    <x:row r="143">
      <x:c r="A143" s="14" t="str">
        <x:v>TO-139</x:v>
      </x:c>
      <x:c r="B143" s="14" t="str">
        <x:v>RC-24</x:v>
      </x:c>
      <x:c r="C143" s="14" t="str">
        <x:v>ER-03</x:v>
      </x:c>
      <x:c r="D143" s="14" t="str">
        <x:v>AQU</x:v>
      </x:c>
      <x:c r="E143" s="14" t="str">
        <x:v>Semantic</x:v>
      </x:c>
      <x:c r="F143" s="14" t="str">
        <x:v>OPEN</x:v>
      </x:c>
      <x:c r="G143" s="14" t="str">
        <x:v>OPEN</x:v>
      </x:c>
    </x:row>
    <x:row r="144">
      <x:c r="A144" s="15" t="str">
        <x:v>TO-140</x:v>
      </x:c>
      <x:c r="B144" s="15" t="str">
        <x:v>RC-24</x:v>
      </x:c>
      <x:c r="C144" s="15" t="str">
        <x:v>ER-03</x:v>
      </x:c>
      <x:c r="D144" s="15" t="str">
        <x:v>AQU</x:v>
      </x:c>
      <x:c r="E144" s="15" t="str">
        <x:v>Physical</x:v>
      </x:c>
      <x:c r="F144" s="15" t="str">
        <x:v>OPEN</x:v>
      </x:c>
      <x:c r="G144" s="15" t="str">
        <x:v>OPEN</x:v>
      </x:c>
    </x:row>
    <x:row r="145">
      <x:c r="A145" s="14" t="str">
        <x:v>TO-141</x:v>
      </x:c>
      <x:c r="B145" s="14" t="str">
        <x:v>RC-24</x:v>
      </x:c>
      <x:c r="C145" s="14" t="str">
        <x:v>ER-03</x:v>
      </x:c>
      <x:c r="D145" s="14" t="str">
        <x:v>AQU</x:v>
      </x:c>
      <x:c r="E145" s="14" t="str">
        <x:v>Metrological</x:v>
      </x:c>
      <x:c r="F145" s="14" t="str">
        <x:v>OPEN</x:v>
      </x:c>
      <x:c r="G145" s="14" t="str">
        <x:v>OPEN</x:v>
      </x:c>
    </x:row>
    <x:row r="146">
      <x:c r="A146" s="15" t="str">
        <x:v>TO-142</x:v>
      </x:c>
      <x:c r="B146" s="15" t="str">
        <x:v>RC-24</x:v>
      </x:c>
      <x:c r="C146" s="15" t="str">
        <x:v>ER-03</x:v>
      </x:c>
      <x:c r="D146" s="15" t="str">
        <x:v>AQU</x:v>
      </x:c>
      <x:c r="E146" s="15" t="str">
        <x:v>Computational</x:v>
      </x:c>
      <x:c r="F146" s="15" t="str">
        <x:v>OPEN</x:v>
      </x:c>
      <x:c r="G146" s="15" t="str">
        <x:v>OPEN</x:v>
      </x:c>
    </x:row>
    <x:row r="147">
      <x:c r="A147" s="14" t="str">
        <x:v>TO-143</x:v>
      </x:c>
      <x:c r="B147" s="14" t="str">
        <x:v>RC-24</x:v>
      </x:c>
      <x:c r="C147" s="14" t="str">
        <x:v>ER-03</x:v>
      </x:c>
      <x:c r="D147" s="14" t="str">
        <x:v>AQU</x:v>
      </x:c>
      <x:c r="E147" s="14" t="str">
        <x:v>Uncertainty</x:v>
      </x:c>
      <x:c r="F147" s="14" t="str">
        <x:v>OPEN</x:v>
      </x:c>
      <x:c r="G147" s="14" t="str">
        <x:v>OPEN</x:v>
      </x:c>
    </x:row>
    <x:row r="148">
      <x:c r="A148" s="15" t="str">
        <x:v>TO-144</x:v>
      </x:c>
      <x:c r="B148" s="15" t="str">
        <x:v>RC-24</x:v>
      </x:c>
      <x:c r="C148" s="15" t="str">
        <x:v>ER-03</x:v>
      </x:c>
      <x:c r="D148" s="15" t="str">
        <x:v>AQU</x:v>
      </x:c>
      <x:c r="E148" s="15" t="str">
        <x:v>Authority</x:v>
      </x:c>
      <x:c r="F148" s="15" t="str">
        <x:v>OPEN</x:v>
      </x:c>
      <x:c r="G148" s="15" t="str">
        <x:v>OPEN</x:v>
      </x:c>
    </x:row>
    <x:row r="149">
      <x:c r="A149" s="14" t="str">
        <x:v>TO-145</x:v>
      </x:c>
      <x:c r="B149" s="14" t="str">
        <x:v>RC-25</x:v>
      </x:c>
      <x:c r="C149" s="14" t="str">
        <x:v>ER-03</x:v>
      </x:c>
      <x:c r="D149" s="14" t="str">
        <x:v>COU</x:v>
      </x:c>
      <x:c r="E149" s="14" t="str">
        <x:v>Semantic</x:v>
      </x:c>
      <x:c r="F149" s="14" t="str">
        <x:v>OPEN</x:v>
      </x:c>
      <x:c r="G149" s="14" t="str">
        <x:v>OPEN</x:v>
      </x:c>
    </x:row>
    <x:row r="150">
      <x:c r="A150" s="15" t="str">
        <x:v>TO-146</x:v>
      </x:c>
      <x:c r="B150" s="15" t="str">
        <x:v>RC-25</x:v>
      </x:c>
      <x:c r="C150" s="15" t="str">
        <x:v>ER-03</x:v>
      </x:c>
      <x:c r="D150" s="15" t="str">
        <x:v>COU</x:v>
      </x:c>
      <x:c r="E150" s="15" t="str">
        <x:v>Physical</x:v>
      </x:c>
      <x:c r="F150" s="15" t="str">
        <x:v>OPEN</x:v>
      </x:c>
      <x:c r="G150" s="15" t="str">
        <x:v>OPEN</x:v>
      </x:c>
    </x:row>
    <x:row r="151">
      <x:c r="A151" s="14" t="str">
        <x:v>TO-147</x:v>
      </x:c>
      <x:c r="B151" s="14" t="str">
        <x:v>RC-25</x:v>
      </x:c>
      <x:c r="C151" s="14" t="str">
        <x:v>ER-03</x:v>
      </x:c>
      <x:c r="D151" s="14" t="str">
        <x:v>COU</x:v>
      </x:c>
      <x:c r="E151" s="14" t="str">
        <x:v>Metrological</x:v>
      </x:c>
      <x:c r="F151" s="14" t="str">
        <x:v>OPEN</x:v>
      </x:c>
      <x:c r="G151" s="14" t="str">
        <x:v>OPEN</x:v>
      </x:c>
    </x:row>
    <x:row r="152">
      <x:c r="A152" s="15" t="str">
        <x:v>TO-148</x:v>
      </x:c>
      <x:c r="B152" s="15" t="str">
        <x:v>RC-25</x:v>
      </x:c>
      <x:c r="C152" s="15" t="str">
        <x:v>ER-03</x:v>
      </x:c>
      <x:c r="D152" s="15" t="str">
        <x:v>COU</x:v>
      </x:c>
      <x:c r="E152" s="15" t="str">
        <x:v>Computational</x:v>
      </x:c>
      <x:c r="F152" s="15" t="str">
        <x:v>OPEN</x:v>
      </x:c>
      <x:c r="G152" s="15" t="str">
        <x:v>OPEN</x:v>
      </x:c>
    </x:row>
    <x:row r="153">
      <x:c r="A153" s="14" t="str">
        <x:v>TO-149</x:v>
      </x:c>
      <x:c r="B153" s="14" t="str">
        <x:v>RC-25</x:v>
      </x:c>
      <x:c r="C153" s="14" t="str">
        <x:v>ER-03</x:v>
      </x:c>
      <x:c r="D153" s="14" t="str">
        <x:v>COU</x:v>
      </x:c>
      <x:c r="E153" s="14" t="str">
        <x:v>Uncertainty</x:v>
      </x:c>
      <x:c r="F153" s="14" t="str">
        <x:v>OPEN</x:v>
      </x:c>
      <x:c r="G153" s="14" t="str">
        <x:v>OPEN</x:v>
      </x:c>
    </x:row>
    <x:row r="154">
      <x:c r="A154" s="15" t="str">
        <x:v>TO-150</x:v>
      </x:c>
      <x:c r="B154" s="15" t="str">
        <x:v>RC-25</x:v>
      </x:c>
      <x:c r="C154" s="15" t="str">
        <x:v>ER-03</x:v>
      </x:c>
      <x:c r="D154" s="15" t="str">
        <x:v>COU</x:v>
      </x:c>
      <x:c r="E154" s="15" t="str">
        <x:v>Authority</x:v>
      </x:c>
      <x:c r="F154" s="15" t="str">
        <x:v>OPEN</x:v>
      </x:c>
      <x:c r="G154" s="15" t="str">
        <x:v>OPEN</x:v>
      </x:c>
    </x:row>
    <x:row r="155">
      <x:c r="A155" s="14" t="str">
        <x:v>TO-151</x:v>
      </x:c>
      <x:c r="B155" s="14" t="str">
        <x:v>RC-26</x:v>
      </x:c>
      <x:c r="C155" s="14" t="str">
        <x:v>ER-03</x:v>
      </x:c>
      <x:c r="D155" s="14" t="str">
        <x:v>DIV</x:v>
      </x:c>
      <x:c r="E155" s="14" t="str">
        <x:v>Semantic</x:v>
      </x:c>
      <x:c r="F155" s="14" t="str">
        <x:v>OPEN</x:v>
      </x:c>
      <x:c r="G155" s="14" t="str">
        <x:v>OPEN</x:v>
      </x:c>
    </x:row>
    <x:row r="156">
      <x:c r="A156" s="15" t="str">
        <x:v>TO-152</x:v>
      </x:c>
      <x:c r="B156" s="15" t="str">
        <x:v>RC-26</x:v>
      </x:c>
      <x:c r="C156" s="15" t="str">
        <x:v>ER-03</x:v>
      </x:c>
      <x:c r="D156" s="15" t="str">
        <x:v>DIV</x:v>
      </x:c>
      <x:c r="E156" s="15" t="str">
        <x:v>Physical</x:v>
      </x:c>
      <x:c r="F156" s="15" t="str">
        <x:v>OPEN</x:v>
      </x:c>
      <x:c r="G156" s="15" t="str">
        <x:v>OPEN</x:v>
      </x:c>
    </x:row>
    <x:row r="157">
      <x:c r="A157" s="14" t="str">
        <x:v>TO-153</x:v>
      </x:c>
      <x:c r="B157" s="14" t="str">
        <x:v>RC-26</x:v>
      </x:c>
      <x:c r="C157" s="14" t="str">
        <x:v>ER-03</x:v>
      </x:c>
      <x:c r="D157" s="14" t="str">
        <x:v>DIV</x:v>
      </x:c>
      <x:c r="E157" s="14" t="str">
        <x:v>Metrological</x:v>
      </x:c>
      <x:c r="F157" s="14" t="str">
        <x:v>OPEN</x:v>
      </x:c>
      <x:c r="G157" s="14" t="str">
        <x:v>OPEN</x:v>
      </x:c>
    </x:row>
    <x:row r="158">
      <x:c r="A158" s="15" t="str">
        <x:v>TO-154</x:v>
      </x:c>
      <x:c r="B158" s="15" t="str">
        <x:v>RC-26</x:v>
      </x:c>
      <x:c r="C158" s="15" t="str">
        <x:v>ER-03</x:v>
      </x:c>
      <x:c r="D158" s="15" t="str">
        <x:v>DIV</x:v>
      </x:c>
      <x:c r="E158" s="15" t="str">
        <x:v>Computational</x:v>
      </x:c>
      <x:c r="F158" s="15" t="str">
        <x:v>OPEN</x:v>
      </x:c>
      <x:c r="G158" s="15" t="str">
        <x:v>OPEN</x:v>
      </x:c>
    </x:row>
    <x:row r="159">
      <x:c r="A159" s="14" t="str">
        <x:v>TO-155</x:v>
      </x:c>
      <x:c r="B159" s="14" t="str">
        <x:v>RC-26</x:v>
      </x:c>
      <x:c r="C159" s="14" t="str">
        <x:v>ER-03</x:v>
      </x:c>
      <x:c r="D159" s="14" t="str">
        <x:v>DIV</x:v>
      </x:c>
      <x:c r="E159" s="14" t="str">
        <x:v>Uncertainty</x:v>
      </x:c>
      <x:c r="F159" s="14" t="str">
        <x:v>OPEN</x:v>
      </x:c>
      <x:c r="G159" s="14" t="str">
        <x:v>OPEN</x:v>
      </x:c>
    </x:row>
    <x:row r="160">
      <x:c r="A160" s="15" t="str">
        <x:v>TO-156</x:v>
      </x:c>
      <x:c r="B160" s="15" t="str">
        <x:v>RC-26</x:v>
      </x:c>
      <x:c r="C160" s="15" t="str">
        <x:v>ER-03</x:v>
      </x:c>
      <x:c r="D160" s="15" t="str">
        <x:v>DIV</x:v>
      </x:c>
      <x:c r="E160" s="15" t="str">
        <x:v>Authority</x:v>
      </x:c>
      <x:c r="F160" s="15" t="str">
        <x:v>OPEN</x:v>
      </x:c>
      <x:c r="G160" s="15" t="str">
        <x:v>OPEN</x:v>
      </x:c>
    </x:row>
    <x:row r="161">
      <x:c r="A161" s="14" t="str">
        <x:v>TO-157</x:v>
      </x:c>
      <x:c r="B161" s="14" t="str">
        <x:v>RC-27</x:v>
      </x:c>
      <x:c r="C161" s="14" t="str">
        <x:v>ER-03</x:v>
      </x:c>
      <x:c r="D161" s="14" t="str">
        <x:v>PUB</x:v>
      </x:c>
      <x:c r="E161" s="14" t="str">
        <x:v>Semantic</x:v>
      </x:c>
      <x:c r="F161" s="14" t="str">
        <x:v>OPEN</x:v>
      </x:c>
      <x:c r="G161" s="14" t="str">
        <x:v>OPEN</x:v>
      </x:c>
    </x:row>
    <x:row r="162">
      <x:c r="A162" s="15" t="str">
        <x:v>TO-158</x:v>
      </x:c>
      <x:c r="B162" s="15" t="str">
        <x:v>RC-27</x:v>
      </x:c>
      <x:c r="C162" s="15" t="str">
        <x:v>ER-03</x:v>
      </x:c>
      <x:c r="D162" s="15" t="str">
        <x:v>PUB</x:v>
      </x:c>
      <x:c r="E162" s="15" t="str">
        <x:v>Physical</x:v>
      </x:c>
      <x:c r="F162" s="15" t="str">
        <x:v>OPEN</x:v>
      </x:c>
      <x:c r="G162" s="15" t="str">
        <x:v>OPEN</x:v>
      </x:c>
    </x:row>
    <x:row r="163">
      <x:c r="A163" s="14" t="str">
        <x:v>TO-159</x:v>
      </x:c>
      <x:c r="B163" s="14" t="str">
        <x:v>RC-27</x:v>
      </x:c>
      <x:c r="C163" s="14" t="str">
        <x:v>ER-03</x:v>
      </x:c>
      <x:c r="D163" s="14" t="str">
        <x:v>PUB</x:v>
      </x:c>
      <x:c r="E163" s="14" t="str">
        <x:v>Metrological</x:v>
      </x:c>
      <x:c r="F163" s="14" t="str">
        <x:v>OPEN</x:v>
      </x:c>
      <x:c r="G163" s="14" t="str">
        <x:v>OPEN</x:v>
      </x:c>
    </x:row>
    <x:row r="164">
      <x:c r="A164" s="15" t="str">
        <x:v>TO-160</x:v>
      </x:c>
      <x:c r="B164" s="15" t="str">
        <x:v>RC-27</x:v>
      </x:c>
      <x:c r="C164" s="15" t="str">
        <x:v>ER-03</x:v>
      </x:c>
      <x:c r="D164" s="15" t="str">
        <x:v>PUB</x:v>
      </x:c>
      <x:c r="E164" s="15" t="str">
        <x:v>Computational</x:v>
      </x:c>
      <x:c r="F164" s="15" t="str">
        <x:v>OPEN</x:v>
      </x:c>
      <x:c r="G164" s="15" t="str">
        <x:v>OPEN</x:v>
      </x:c>
    </x:row>
    <x:row r="165">
      <x:c r="A165" s="14" t="str">
        <x:v>TO-161</x:v>
      </x:c>
      <x:c r="B165" s="14" t="str">
        <x:v>RC-27</x:v>
      </x:c>
      <x:c r="C165" s="14" t="str">
        <x:v>ER-03</x:v>
      </x:c>
      <x:c r="D165" s="14" t="str">
        <x:v>PUB</x:v>
      </x:c>
      <x:c r="E165" s="14" t="str">
        <x:v>Uncertainty</x:v>
      </x:c>
      <x:c r="F165" s="14" t="str">
        <x:v>OPEN</x:v>
      </x:c>
      <x:c r="G165" s="14" t="str">
        <x:v>OPEN</x:v>
      </x:c>
    </x:row>
    <x:row r="166">
      <x:c r="A166" s="15" t="str">
        <x:v>TO-162</x:v>
      </x:c>
      <x:c r="B166" s="15" t="str">
        <x:v>RC-27</x:v>
      </x:c>
      <x:c r="C166" s="15" t="str">
        <x:v>ER-03</x:v>
      </x:c>
      <x:c r="D166" s="15" t="str">
        <x:v>PUB</x:v>
      </x:c>
      <x:c r="E166" s="15" t="str">
        <x:v>Authority</x:v>
      </x:c>
      <x:c r="F166" s="15" t="str">
        <x:v>OPEN</x:v>
      </x:c>
      <x:c r="G166" s="15" t="str">
        <x:v>OPEN</x:v>
      </x:c>
    </x:row>
    <x:row r="167">
      <x:c r="A167" s="14" t="str">
        <x:v>TO-163</x:v>
      </x:c>
      <x:c r="B167" s="14" t="str">
        <x:v>RC-28</x:v>
      </x:c>
      <x:c r="C167" s="14" t="str">
        <x:v>ER-04</x:v>
      </x:c>
      <x:c r="D167" s="14" t="str">
        <x:v>PHO</x:v>
      </x:c>
      <x:c r="E167" s="14" t="str">
        <x:v>Semantic</x:v>
      </x:c>
      <x:c r="F167" s="14" t="str">
        <x:v>OPEN</x:v>
      </x:c>
      <x:c r="G167" s="14" t="str">
        <x:v>OPEN</x:v>
      </x:c>
    </x:row>
    <x:row r="168">
      <x:c r="A168" s="15" t="str">
        <x:v>TO-164</x:v>
      </x:c>
      <x:c r="B168" s="15" t="str">
        <x:v>RC-28</x:v>
      </x:c>
      <x:c r="C168" s="15" t="str">
        <x:v>ER-04</x:v>
      </x:c>
      <x:c r="D168" s="15" t="str">
        <x:v>PHO</x:v>
      </x:c>
      <x:c r="E168" s="15" t="str">
        <x:v>Physical</x:v>
      </x:c>
      <x:c r="F168" s="15" t="str">
        <x:v>OPEN</x:v>
      </x:c>
      <x:c r="G168" s="15" t="str">
        <x:v>OPEN</x:v>
      </x:c>
    </x:row>
    <x:row r="169">
      <x:c r="A169" s="14" t="str">
        <x:v>TO-165</x:v>
      </x:c>
      <x:c r="B169" s="14" t="str">
        <x:v>RC-28</x:v>
      </x:c>
      <x:c r="C169" s="14" t="str">
        <x:v>ER-04</x:v>
      </x:c>
      <x:c r="D169" s="14" t="str">
        <x:v>PHO</x:v>
      </x:c>
      <x:c r="E169" s="14" t="str">
        <x:v>Metrological</x:v>
      </x:c>
      <x:c r="F169" s="14" t="str">
        <x:v>OPEN</x:v>
      </x:c>
      <x:c r="G169" s="14" t="str">
        <x:v>OPEN</x:v>
      </x:c>
    </x:row>
    <x:row r="170">
      <x:c r="A170" s="15" t="str">
        <x:v>TO-166</x:v>
      </x:c>
      <x:c r="B170" s="15" t="str">
        <x:v>RC-28</x:v>
      </x:c>
      <x:c r="C170" s="15" t="str">
        <x:v>ER-04</x:v>
      </x:c>
      <x:c r="D170" s="15" t="str">
        <x:v>PHO</x:v>
      </x:c>
      <x:c r="E170" s="15" t="str">
        <x:v>Computational</x:v>
      </x:c>
      <x:c r="F170" s="15" t="str">
        <x:v>OPEN</x:v>
      </x:c>
      <x:c r="G170" s="15" t="str">
        <x:v>OPEN</x:v>
      </x:c>
    </x:row>
    <x:row r="171">
      <x:c r="A171" s="14" t="str">
        <x:v>TO-167</x:v>
      </x:c>
      <x:c r="B171" s="14" t="str">
        <x:v>RC-28</x:v>
      </x:c>
      <x:c r="C171" s="14" t="str">
        <x:v>ER-04</x:v>
      </x:c>
      <x:c r="D171" s="14" t="str">
        <x:v>PHO</x:v>
      </x:c>
      <x:c r="E171" s="14" t="str">
        <x:v>Uncertainty</x:v>
      </x:c>
      <x:c r="F171" s="14" t="str">
        <x:v>OPEN</x:v>
      </x:c>
      <x:c r="G171" s="14" t="str">
        <x:v>OPEN</x:v>
      </x:c>
    </x:row>
    <x:row r="172">
      <x:c r="A172" s="15" t="str">
        <x:v>TO-168</x:v>
      </x:c>
      <x:c r="B172" s="15" t="str">
        <x:v>RC-28</x:v>
      </x:c>
      <x:c r="C172" s="15" t="str">
        <x:v>ER-04</x:v>
      </x:c>
      <x:c r="D172" s="15" t="str">
        <x:v>PHO</x:v>
      </x:c>
      <x:c r="E172" s="15" t="str">
        <x:v>Authority</x:v>
      </x:c>
      <x:c r="F172" s="15" t="str">
        <x:v>OPEN</x:v>
      </x:c>
      <x:c r="G172" s="15" t="str">
        <x:v>OPEN</x:v>
      </x:c>
    </x:row>
    <x:row r="173">
      <x:c r="A173" s="14" t="str">
        <x:v>TO-169</x:v>
      </x:c>
      <x:c r="B173" s="14" t="str">
        <x:v>RC-29</x:v>
      </x:c>
      <x:c r="C173" s="14" t="str">
        <x:v>ER-04</x:v>
      </x:c>
      <x:c r="D173" s="14" t="str">
        <x:v>ION</x:v>
      </x:c>
      <x:c r="E173" s="14" t="str">
        <x:v>Semantic</x:v>
      </x:c>
      <x:c r="F173" s="14" t="str">
        <x:v>OPEN</x:v>
      </x:c>
      <x:c r="G173" s="14" t="str">
        <x:v>OPEN</x:v>
      </x:c>
    </x:row>
    <x:row r="174">
      <x:c r="A174" s="15" t="str">
        <x:v>TO-170</x:v>
      </x:c>
      <x:c r="B174" s="15" t="str">
        <x:v>RC-29</x:v>
      </x:c>
      <x:c r="C174" s="15" t="str">
        <x:v>ER-04</x:v>
      </x:c>
      <x:c r="D174" s="15" t="str">
        <x:v>ION</x:v>
      </x:c>
      <x:c r="E174" s="15" t="str">
        <x:v>Physical</x:v>
      </x:c>
      <x:c r="F174" s="15" t="str">
        <x:v>OPEN</x:v>
      </x:c>
      <x:c r="G174" s="15" t="str">
        <x:v>OPEN</x:v>
      </x:c>
    </x:row>
    <x:row r="175">
      <x:c r="A175" s="14" t="str">
        <x:v>TO-171</x:v>
      </x:c>
      <x:c r="B175" s="14" t="str">
        <x:v>RC-29</x:v>
      </x:c>
      <x:c r="C175" s="14" t="str">
        <x:v>ER-04</x:v>
      </x:c>
      <x:c r="D175" s="14" t="str">
        <x:v>ION</x:v>
      </x:c>
      <x:c r="E175" s="14" t="str">
        <x:v>Metrological</x:v>
      </x:c>
      <x:c r="F175" s="14" t="str">
        <x:v>OPEN</x:v>
      </x:c>
      <x:c r="G175" s="14" t="str">
        <x:v>OPEN</x:v>
      </x:c>
    </x:row>
    <x:row r="176">
      <x:c r="A176" s="15" t="str">
        <x:v>TO-172</x:v>
      </x:c>
      <x:c r="B176" s="15" t="str">
        <x:v>RC-29</x:v>
      </x:c>
      <x:c r="C176" s="15" t="str">
        <x:v>ER-04</x:v>
      </x:c>
      <x:c r="D176" s="15" t="str">
        <x:v>ION</x:v>
      </x:c>
      <x:c r="E176" s="15" t="str">
        <x:v>Computational</x:v>
      </x:c>
      <x:c r="F176" s="15" t="str">
        <x:v>OPEN</x:v>
      </x:c>
      <x:c r="G176" s="15" t="str">
        <x:v>OPEN</x:v>
      </x:c>
    </x:row>
    <x:row r="177">
      <x:c r="A177" s="14" t="str">
        <x:v>TO-173</x:v>
      </x:c>
      <x:c r="B177" s="14" t="str">
        <x:v>RC-29</x:v>
      </x:c>
      <x:c r="C177" s="14" t="str">
        <x:v>ER-04</x:v>
      </x:c>
      <x:c r="D177" s="14" t="str">
        <x:v>ION</x:v>
      </x:c>
      <x:c r="E177" s="14" t="str">
        <x:v>Uncertainty</x:v>
      </x:c>
      <x:c r="F177" s="14" t="str">
        <x:v>OPEN</x:v>
      </x:c>
      <x:c r="G177" s="14" t="str">
        <x:v>OPEN</x:v>
      </x:c>
    </x:row>
    <x:row r="178">
      <x:c r="A178" s="15" t="str">
        <x:v>TO-174</x:v>
      </x:c>
      <x:c r="B178" s="15" t="str">
        <x:v>RC-29</x:v>
      </x:c>
      <x:c r="C178" s="15" t="str">
        <x:v>ER-04</x:v>
      </x:c>
      <x:c r="D178" s="15" t="str">
        <x:v>ION</x:v>
      </x:c>
      <x:c r="E178" s="15" t="str">
        <x:v>Authority</x:v>
      </x:c>
      <x:c r="F178" s="15" t="str">
        <x:v>OPEN</x:v>
      </x:c>
      <x:c r="G178" s="15" t="str">
        <x:v>OPEN</x:v>
      </x:c>
    </x:row>
    <x:row r="179">
      <x:c r="A179" s="14" t="str">
        <x:v>TO-175</x:v>
      </x:c>
      <x:c r="B179" s="14" t="str">
        <x:v>RC-30</x:v>
      </x:c>
      <x:c r="C179" s="14" t="str">
        <x:v>ER-04</x:v>
      </x:c>
      <x:c r="D179" s="14" t="str">
        <x:v>TOP</x:v>
      </x:c>
      <x:c r="E179" s="14" t="str">
        <x:v>Semantic</x:v>
      </x:c>
      <x:c r="F179" s="14" t="str">
        <x:v>OPEN</x:v>
      </x:c>
      <x:c r="G179" s="14" t="str">
        <x:v>OPEN</x:v>
      </x:c>
    </x:row>
    <x:row r="180">
      <x:c r="A180" s="15" t="str">
        <x:v>TO-176</x:v>
      </x:c>
      <x:c r="B180" s="15" t="str">
        <x:v>RC-30</x:v>
      </x:c>
      <x:c r="C180" s="15" t="str">
        <x:v>ER-04</x:v>
      </x:c>
      <x:c r="D180" s="15" t="str">
        <x:v>TOP</x:v>
      </x:c>
      <x:c r="E180" s="15" t="str">
        <x:v>Physical</x:v>
      </x:c>
      <x:c r="F180" s="15" t="str">
        <x:v>OPEN</x:v>
      </x:c>
      <x:c r="G180" s="15" t="str">
        <x:v>OPEN</x:v>
      </x:c>
    </x:row>
    <x:row r="181">
      <x:c r="A181" s="14" t="str">
        <x:v>TO-177</x:v>
      </x:c>
      <x:c r="B181" s="14" t="str">
        <x:v>RC-30</x:v>
      </x:c>
      <x:c r="C181" s="14" t="str">
        <x:v>ER-04</x:v>
      </x:c>
      <x:c r="D181" s="14" t="str">
        <x:v>TOP</x:v>
      </x:c>
      <x:c r="E181" s="14" t="str">
        <x:v>Metrological</x:v>
      </x:c>
      <x:c r="F181" s="14" t="str">
        <x:v>OPEN</x:v>
      </x:c>
      <x:c r="G181" s="14" t="str">
        <x:v>OPEN</x:v>
      </x:c>
    </x:row>
    <x:row r="182">
      <x:c r="A182" s="15" t="str">
        <x:v>TO-178</x:v>
      </x:c>
      <x:c r="B182" s="15" t="str">
        <x:v>RC-30</x:v>
      </x:c>
      <x:c r="C182" s="15" t="str">
        <x:v>ER-04</x:v>
      </x:c>
      <x:c r="D182" s="15" t="str">
        <x:v>TOP</x:v>
      </x:c>
      <x:c r="E182" s="15" t="str">
        <x:v>Computational</x:v>
      </x:c>
      <x:c r="F182" s="15" t="str">
        <x:v>OPEN</x:v>
      </x:c>
      <x:c r="G182" s="15" t="str">
        <x:v>OPEN</x:v>
      </x:c>
    </x:row>
    <x:row r="183">
      <x:c r="A183" s="14" t="str">
        <x:v>TO-179</x:v>
      </x:c>
      <x:c r="B183" s="14" t="str">
        <x:v>RC-30</x:v>
      </x:c>
      <x:c r="C183" s="14" t="str">
        <x:v>ER-04</x:v>
      </x:c>
      <x:c r="D183" s="14" t="str">
        <x:v>TOP</x:v>
      </x:c>
      <x:c r="E183" s="14" t="str">
        <x:v>Uncertainty</x:v>
      </x:c>
      <x:c r="F183" s="14" t="str">
        <x:v>OPEN</x:v>
      </x:c>
      <x:c r="G183" s="14" t="str">
        <x:v>OPEN</x:v>
      </x:c>
    </x:row>
    <x:row r="184">
      <x:c r="A184" s="15" t="str">
        <x:v>TO-180</x:v>
      </x:c>
      <x:c r="B184" s="15" t="str">
        <x:v>RC-30</x:v>
      </x:c>
      <x:c r="C184" s="15" t="str">
        <x:v>ER-04</x:v>
      </x:c>
      <x:c r="D184" s="15" t="str">
        <x:v>TOP</x:v>
      </x:c>
      <x:c r="E184" s="15" t="str">
        <x:v>Authority</x:v>
      </x:c>
      <x:c r="F184" s="15" t="str">
        <x:v>OPEN</x:v>
      </x:c>
      <x:c r="G184" s="15" t="str">
        <x:v>OPEN</x:v>
      </x:c>
    </x:row>
    <x:row r="185">
      <x:c r="A185" s="14" t="str">
        <x:v>TO-181</x:v>
      </x:c>
      <x:c r="B185" s="14" t="str">
        <x:v>RC-31</x:v>
      </x:c>
      <x:c r="C185" s="14" t="str">
        <x:v>ER-04</x:v>
      </x:c>
      <x:c r="D185" s="14" t="str">
        <x:v>MOL</x:v>
      </x:c>
      <x:c r="E185" s="14" t="str">
        <x:v>Semantic</x:v>
      </x:c>
      <x:c r="F185" s="14" t="str">
        <x:v>OPEN</x:v>
      </x:c>
      <x:c r="G185" s="14" t="str">
        <x:v>OPEN</x:v>
      </x:c>
    </x:row>
    <x:row r="186">
      <x:c r="A186" s="15" t="str">
        <x:v>TO-182</x:v>
      </x:c>
      <x:c r="B186" s="15" t="str">
        <x:v>RC-31</x:v>
      </x:c>
      <x:c r="C186" s="15" t="str">
        <x:v>ER-04</x:v>
      </x:c>
      <x:c r="D186" s="15" t="str">
        <x:v>MOL</x:v>
      </x:c>
      <x:c r="E186" s="15" t="str">
        <x:v>Physical</x:v>
      </x:c>
      <x:c r="F186" s="15" t="str">
        <x:v>OPEN</x:v>
      </x:c>
      <x:c r="G186" s="15" t="str">
        <x:v>OPEN</x:v>
      </x:c>
    </x:row>
    <x:row r="187">
      <x:c r="A187" s="14" t="str">
        <x:v>TO-183</x:v>
      </x:c>
      <x:c r="B187" s="14" t="str">
        <x:v>RC-31</x:v>
      </x:c>
      <x:c r="C187" s="14" t="str">
        <x:v>ER-04</x:v>
      </x:c>
      <x:c r="D187" s="14" t="str">
        <x:v>MOL</x:v>
      </x:c>
      <x:c r="E187" s="14" t="str">
        <x:v>Metrological</x:v>
      </x:c>
      <x:c r="F187" s="14" t="str">
        <x:v>OPEN</x:v>
      </x:c>
      <x:c r="G187" s="14" t="str">
        <x:v>OPEN</x:v>
      </x:c>
    </x:row>
    <x:row r="188">
      <x:c r="A188" s="15" t="str">
        <x:v>TO-184</x:v>
      </x:c>
      <x:c r="B188" s="15" t="str">
        <x:v>RC-31</x:v>
      </x:c>
      <x:c r="C188" s="15" t="str">
        <x:v>ER-04</x:v>
      </x:c>
      <x:c r="D188" s="15" t="str">
        <x:v>MOL</x:v>
      </x:c>
      <x:c r="E188" s="15" t="str">
        <x:v>Computational</x:v>
      </x:c>
      <x:c r="F188" s="15" t="str">
        <x:v>OPEN</x:v>
      </x:c>
      <x:c r="G188" s="15" t="str">
        <x:v>OPEN</x:v>
      </x:c>
    </x:row>
    <x:row r="189">
      <x:c r="A189" s="14" t="str">
        <x:v>TO-185</x:v>
      </x:c>
      <x:c r="B189" s="14" t="str">
        <x:v>RC-31</x:v>
      </x:c>
      <x:c r="C189" s="14" t="str">
        <x:v>ER-04</x:v>
      </x:c>
      <x:c r="D189" s="14" t="str">
        <x:v>MOL</x:v>
      </x:c>
      <x:c r="E189" s="14" t="str">
        <x:v>Uncertainty</x:v>
      </x:c>
      <x:c r="F189" s="14" t="str">
        <x:v>OPEN</x:v>
      </x:c>
      <x:c r="G189" s="14" t="str">
        <x:v>OPEN</x:v>
      </x:c>
    </x:row>
    <x:row r="190">
      <x:c r="A190" s="15" t="str">
        <x:v>TO-186</x:v>
      </x:c>
      <x:c r="B190" s="15" t="str">
        <x:v>RC-31</x:v>
      </x:c>
      <x:c r="C190" s="15" t="str">
        <x:v>ER-04</x:v>
      </x:c>
      <x:c r="D190" s="15" t="str">
        <x:v>MOL</x:v>
      </x:c>
      <x:c r="E190" s="15" t="str">
        <x:v>Authority</x:v>
      </x:c>
      <x:c r="F190" s="15" t="str">
        <x:v>OPEN</x:v>
      </x:c>
      <x:c r="G190" s="15" t="str">
        <x:v>OPEN</x:v>
      </x:c>
    </x:row>
    <x:row r="191">
      <x:c r="A191" s="14" t="str">
        <x:v>TO-187</x:v>
      </x:c>
      <x:c r="B191" s="14" t="str">
        <x:v>RC-32</x:v>
      </x:c>
      <x:c r="C191" s="14" t="str">
        <x:v>ER-04</x:v>
      </x:c>
      <x:c r="D191" s="14" t="str">
        <x:v>CAL</x:v>
      </x:c>
      <x:c r="E191" s="14" t="str">
        <x:v>Semantic</x:v>
      </x:c>
      <x:c r="F191" s="14" t="str">
        <x:v>OPEN</x:v>
      </x:c>
      <x:c r="G191" s="14" t="str">
        <x:v>OPEN</x:v>
      </x:c>
    </x:row>
    <x:row r="192">
      <x:c r="A192" s="15" t="str">
        <x:v>TO-188</x:v>
      </x:c>
      <x:c r="B192" s="15" t="str">
        <x:v>RC-32</x:v>
      </x:c>
      <x:c r="C192" s="15" t="str">
        <x:v>ER-04</x:v>
      </x:c>
      <x:c r="D192" s="15" t="str">
        <x:v>CAL</x:v>
      </x:c>
      <x:c r="E192" s="15" t="str">
        <x:v>Physical</x:v>
      </x:c>
      <x:c r="F192" s="15" t="str">
        <x:v>OPEN</x:v>
      </x:c>
      <x:c r="G192" s="15" t="str">
        <x:v>OPEN</x:v>
      </x:c>
    </x:row>
    <x:row r="193">
      <x:c r="A193" s="14" t="str">
        <x:v>TO-189</x:v>
      </x:c>
      <x:c r="B193" s="14" t="str">
        <x:v>RC-32</x:v>
      </x:c>
      <x:c r="C193" s="14" t="str">
        <x:v>ER-04</x:v>
      </x:c>
      <x:c r="D193" s="14" t="str">
        <x:v>CAL</x:v>
      </x:c>
      <x:c r="E193" s="14" t="str">
        <x:v>Metrological</x:v>
      </x:c>
      <x:c r="F193" s="14" t="str">
        <x:v>OPEN</x:v>
      </x:c>
      <x:c r="G193" s="14" t="str">
        <x:v>OPEN</x:v>
      </x:c>
    </x:row>
    <x:row r="194">
      <x:c r="A194" s="15" t="str">
        <x:v>TO-190</x:v>
      </x:c>
      <x:c r="B194" s="15" t="str">
        <x:v>RC-32</x:v>
      </x:c>
      <x:c r="C194" s="15" t="str">
        <x:v>ER-04</x:v>
      </x:c>
      <x:c r="D194" s="15" t="str">
        <x:v>CAL</x:v>
      </x:c>
      <x:c r="E194" s="15" t="str">
        <x:v>Computational</x:v>
      </x:c>
      <x:c r="F194" s="15" t="str">
        <x:v>OPEN</x:v>
      </x:c>
      <x:c r="G194" s="15" t="str">
        <x:v>OPEN</x:v>
      </x:c>
    </x:row>
    <x:row r="195">
      <x:c r="A195" s="14" t="str">
        <x:v>TO-191</x:v>
      </x:c>
      <x:c r="B195" s="14" t="str">
        <x:v>RC-32</x:v>
      </x:c>
      <x:c r="C195" s="14" t="str">
        <x:v>ER-04</x:v>
      </x:c>
      <x:c r="D195" s="14" t="str">
        <x:v>CAL</x:v>
      </x:c>
      <x:c r="E195" s="14" t="str">
        <x:v>Uncertainty</x:v>
      </x:c>
      <x:c r="F195" s="14" t="str">
        <x:v>OPEN</x:v>
      </x:c>
      <x:c r="G195" s="14" t="str">
        <x:v>OPEN</x:v>
      </x:c>
    </x:row>
    <x:row r="196">
      <x:c r="A196" s="15" t="str">
        <x:v>TO-192</x:v>
      </x:c>
      <x:c r="B196" s="15" t="str">
        <x:v>RC-32</x:v>
      </x:c>
      <x:c r="C196" s="15" t="str">
        <x:v>ER-04</x:v>
      </x:c>
      <x:c r="D196" s="15" t="str">
        <x:v>CAL</x:v>
      </x:c>
      <x:c r="E196" s="15" t="str">
        <x:v>Authority</x:v>
      </x:c>
      <x:c r="F196" s="15" t="str">
        <x:v>OPEN</x:v>
      </x:c>
      <x:c r="G196" s="15" t="str">
        <x:v>OPEN</x:v>
      </x:c>
    </x:row>
    <x:row r="197">
      <x:c r="A197" s="14" t="str">
        <x:v>TO-193</x:v>
      </x:c>
      <x:c r="B197" s="14" t="str">
        <x:v>RC-33</x:v>
      </x:c>
      <x:c r="C197" s="14" t="str">
        <x:v>ER-04</x:v>
      </x:c>
      <x:c r="D197" s="14" t="str">
        <x:v>AQU</x:v>
      </x:c>
      <x:c r="E197" s="14" t="str">
        <x:v>Semantic</x:v>
      </x:c>
      <x:c r="F197" s="14" t="str">
        <x:v>OPEN</x:v>
      </x:c>
      <x:c r="G197" s="14" t="str">
        <x:v>OPEN</x:v>
      </x:c>
    </x:row>
    <x:row r="198">
      <x:c r="A198" s="15" t="str">
        <x:v>TO-194</x:v>
      </x:c>
      <x:c r="B198" s="15" t="str">
        <x:v>RC-33</x:v>
      </x:c>
      <x:c r="C198" s="15" t="str">
        <x:v>ER-04</x:v>
      </x:c>
      <x:c r="D198" s="15" t="str">
        <x:v>AQU</x:v>
      </x:c>
      <x:c r="E198" s="15" t="str">
        <x:v>Physical</x:v>
      </x:c>
      <x:c r="F198" s="15" t="str">
        <x:v>OPEN</x:v>
      </x:c>
      <x:c r="G198" s="15" t="str">
        <x:v>OPEN</x:v>
      </x:c>
    </x:row>
    <x:row r="199">
      <x:c r="A199" s="14" t="str">
        <x:v>TO-195</x:v>
      </x:c>
      <x:c r="B199" s="14" t="str">
        <x:v>RC-33</x:v>
      </x:c>
      <x:c r="C199" s="14" t="str">
        <x:v>ER-04</x:v>
      </x:c>
      <x:c r="D199" s="14" t="str">
        <x:v>AQU</x:v>
      </x:c>
      <x:c r="E199" s="14" t="str">
        <x:v>Metrological</x:v>
      </x:c>
      <x:c r="F199" s="14" t="str">
        <x:v>OPEN</x:v>
      </x:c>
      <x:c r="G199" s="14" t="str">
        <x:v>OPEN</x:v>
      </x:c>
    </x:row>
    <x:row r="200">
      <x:c r="A200" s="15" t="str">
        <x:v>TO-196</x:v>
      </x:c>
      <x:c r="B200" s="15" t="str">
        <x:v>RC-33</x:v>
      </x:c>
      <x:c r="C200" s="15" t="str">
        <x:v>ER-04</x:v>
      </x:c>
      <x:c r="D200" s="15" t="str">
        <x:v>AQU</x:v>
      </x:c>
      <x:c r="E200" s="15" t="str">
        <x:v>Computational</x:v>
      </x:c>
      <x:c r="F200" s="15" t="str">
        <x:v>OPEN</x:v>
      </x:c>
      <x:c r="G200" s="15" t="str">
        <x:v>OPEN</x:v>
      </x:c>
    </x:row>
    <x:row r="201">
      <x:c r="A201" s="14" t="str">
        <x:v>TO-197</x:v>
      </x:c>
      <x:c r="B201" s="14" t="str">
        <x:v>RC-33</x:v>
      </x:c>
      <x:c r="C201" s="14" t="str">
        <x:v>ER-04</x:v>
      </x:c>
      <x:c r="D201" s="14" t="str">
        <x:v>AQU</x:v>
      </x:c>
      <x:c r="E201" s="14" t="str">
        <x:v>Uncertainty</x:v>
      </x:c>
      <x:c r="F201" s="14" t="str">
        <x:v>OPEN</x:v>
      </x:c>
      <x:c r="G201" s="14" t="str">
        <x:v>OPEN</x:v>
      </x:c>
    </x:row>
    <x:row r="202">
      <x:c r="A202" s="15" t="str">
        <x:v>TO-198</x:v>
      </x:c>
      <x:c r="B202" s="15" t="str">
        <x:v>RC-33</x:v>
      </x:c>
      <x:c r="C202" s="15" t="str">
        <x:v>ER-04</x:v>
      </x:c>
      <x:c r="D202" s="15" t="str">
        <x:v>AQU</x:v>
      </x:c>
      <x:c r="E202" s="15" t="str">
        <x:v>Authority</x:v>
      </x:c>
      <x:c r="F202" s="15" t="str">
        <x:v>OPEN</x:v>
      </x:c>
      <x:c r="G202" s="15" t="str">
        <x:v>OPEN</x:v>
      </x:c>
    </x:row>
    <x:row r="203">
      <x:c r="A203" s="14" t="str">
        <x:v>TO-199</x:v>
      </x:c>
      <x:c r="B203" s="14" t="str">
        <x:v>RC-34</x:v>
      </x:c>
      <x:c r="C203" s="14" t="str">
        <x:v>ER-04</x:v>
      </x:c>
      <x:c r="D203" s="14" t="str">
        <x:v>COU</x:v>
      </x:c>
      <x:c r="E203" s="14" t="str">
        <x:v>Semantic</x:v>
      </x:c>
      <x:c r="F203" s="14" t="str">
        <x:v>OPEN</x:v>
      </x:c>
      <x:c r="G203" s="14" t="str">
        <x:v>OPEN</x:v>
      </x:c>
    </x:row>
    <x:row r="204">
      <x:c r="A204" s="15" t="str">
        <x:v>TO-200</x:v>
      </x:c>
      <x:c r="B204" s="15" t="str">
        <x:v>RC-34</x:v>
      </x:c>
      <x:c r="C204" s="15" t="str">
        <x:v>ER-04</x:v>
      </x:c>
      <x:c r="D204" s="15" t="str">
        <x:v>COU</x:v>
      </x:c>
      <x:c r="E204" s="15" t="str">
        <x:v>Physical</x:v>
      </x:c>
      <x:c r="F204" s="15" t="str">
        <x:v>OPEN</x:v>
      </x:c>
      <x:c r="G204" s="15" t="str">
        <x:v>OPEN</x:v>
      </x:c>
    </x:row>
    <x:row r="205">
      <x:c r="A205" s="14" t="str">
        <x:v>TO-201</x:v>
      </x:c>
      <x:c r="B205" s="14" t="str">
        <x:v>RC-34</x:v>
      </x:c>
      <x:c r="C205" s="14" t="str">
        <x:v>ER-04</x:v>
      </x:c>
      <x:c r="D205" s="14" t="str">
        <x:v>COU</x:v>
      </x:c>
      <x:c r="E205" s="14" t="str">
        <x:v>Metrological</x:v>
      </x:c>
      <x:c r="F205" s="14" t="str">
        <x:v>OPEN</x:v>
      </x:c>
      <x:c r="G205" s="14" t="str">
        <x:v>OPEN</x:v>
      </x:c>
    </x:row>
    <x:row r="206">
      <x:c r="A206" s="15" t="str">
        <x:v>TO-202</x:v>
      </x:c>
      <x:c r="B206" s="15" t="str">
        <x:v>RC-34</x:v>
      </x:c>
      <x:c r="C206" s="15" t="str">
        <x:v>ER-04</x:v>
      </x:c>
      <x:c r="D206" s="15" t="str">
        <x:v>COU</x:v>
      </x:c>
      <x:c r="E206" s="15" t="str">
        <x:v>Computational</x:v>
      </x:c>
      <x:c r="F206" s="15" t="str">
        <x:v>OPEN</x:v>
      </x:c>
      <x:c r="G206" s="15" t="str">
        <x:v>OPEN</x:v>
      </x:c>
    </x:row>
    <x:row r="207">
      <x:c r="A207" s="14" t="str">
        <x:v>TO-203</x:v>
      </x:c>
      <x:c r="B207" s="14" t="str">
        <x:v>RC-34</x:v>
      </x:c>
      <x:c r="C207" s="14" t="str">
        <x:v>ER-04</x:v>
      </x:c>
      <x:c r="D207" s="14" t="str">
        <x:v>COU</x:v>
      </x:c>
      <x:c r="E207" s="14" t="str">
        <x:v>Uncertainty</x:v>
      </x:c>
      <x:c r="F207" s="14" t="str">
        <x:v>OPEN</x:v>
      </x:c>
      <x:c r="G207" s="14" t="str">
        <x:v>OPEN</x:v>
      </x:c>
    </x:row>
    <x:row r="208">
      <x:c r="A208" s="15" t="str">
        <x:v>TO-204</x:v>
      </x:c>
      <x:c r="B208" s="15" t="str">
        <x:v>RC-34</x:v>
      </x:c>
      <x:c r="C208" s="15" t="str">
        <x:v>ER-04</x:v>
      </x:c>
      <x:c r="D208" s="15" t="str">
        <x:v>COU</x:v>
      </x:c>
      <x:c r="E208" s="15" t="str">
        <x:v>Authority</x:v>
      </x:c>
      <x:c r="F208" s="15" t="str">
        <x:v>OPEN</x:v>
      </x:c>
      <x:c r="G208" s="15" t="str">
        <x:v>OPEN</x:v>
      </x:c>
    </x:row>
    <x:row r="209">
      <x:c r="A209" s="14" t="str">
        <x:v>TO-205</x:v>
      </x:c>
      <x:c r="B209" s="14" t="str">
        <x:v>RC-35</x:v>
      </x:c>
      <x:c r="C209" s="14" t="str">
        <x:v>ER-04</x:v>
      </x:c>
      <x:c r="D209" s="14" t="str">
        <x:v>DIV</x:v>
      </x:c>
      <x:c r="E209" s="14" t="str">
        <x:v>Semantic</x:v>
      </x:c>
      <x:c r="F209" s="14" t="str">
        <x:v>OPEN</x:v>
      </x:c>
      <x:c r="G209" s="14" t="str">
        <x:v>OPEN</x:v>
      </x:c>
    </x:row>
    <x:row r="210">
      <x:c r="A210" s="15" t="str">
        <x:v>TO-206</x:v>
      </x:c>
      <x:c r="B210" s="15" t="str">
        <x:v>RC-35</x:v>
      </x:c>
      <x:c r="C210" s="15" t="str">
        <x:v>ER-04</x:v>
      </x:c>
      <x:c r="D210" s="15" t="str">
        <x:v>DIV</x:v>
      </x:c>
      <x:c r="E210" s="15" t="str">
        <x:v>Physical</x:v>
      </x:c>
      <x:c r="F210" s="15" t="str">
        <x:v>OPEN</x:v>
      </x:c>
      <x:c r="G210" s="15" t="str">
        <x:v>OPEN</x:v>
      </x:c>
    </x:row>
    <x:row r="211">
      <x:c r="A211" s="14" t="str">
        <x:v>TO-207</x:v>
      </x:c>
      <x:c r="B211" s="14" t="str">
        <x:v>RC-35</x:v>
      </x:c>
      <x:c r="C211" s="14" t="str">
        <x:v>ER-04</x:v>
      </x:c>
      <x:c r="D211" s="14" t="str">
        <x:v>DIV</x:v>
      </x:c>
      <x:c r="E211" s="14" t="str">
        <x:v>Metrological</x:v>
      </x:c>
      <x:c r="F211" s="14" t="str">
        <x:v>OPEN</x:v>
      </x:c>
      <x:c r="G211" s="14" t="str">
        <x:v>OPEN</x:v>
      </x:c>
    </x:row>
    <x:row r="212">
      <x:c r="A212" s="15" t="str">
        <x:v>TO-208</x:v>
      </x:c>
      <x:c r="B212" s="15" t="str">
        <x:v>RC-35</x:v>
      </x:c>
      <x:c r="C212" s="15" t="str">
        <x:v>ER-04</x:v>
      </x:c>
      <x:c r="D212" s="15" t="str">
        <x:v>DIV</x:v>
      </x:c>
      <x:c r="E212" s="15" t="str">
        <x:v>Computational</x:v>
      </x:c>
      <x:c r="F212" s="15" t="str">
        <x:v>OPEN</x:v>
      </x:c>
      <x:c r="G212" s="15" t="str">
        <x:v>OPEN</x:v>
      </x:c>
    </x:row>
    <x:row r="213">
      <x:c r="A213" s="14" t="str">
        <x:v>TO-209</x:v>
      </x:c>
      <x:c r="B213" s="14" t="str">
        <x:v>RC-35</x:v>
      </x:c>
      <x:c r="C213" s="14" t="str">
        <x:v>ER-04</x:v>
      </x:c>
      <x:c r="D213" s="14" t="str">
        <x:v>DIV</x:v>
      </x:c>
      <x:c r="E213" s="14" t="str">
        <x:v>Uncertainty</x:v>
      </x:c>
      <x:c r="F213" s="14" t="str">
        <x:v>OPEN</x:v>
      </x:c>
      <x:c r="G213" s="14" t="str">
        <x:v>OPEN</x:v>
      </x:c>
    </x:row>
    <x:row r="214">
      <x:c r="A214" s="15" t="str">
        <x:v>TO-210</x:v>
      </x:c>
      <x:c r="B214" s="15" t="str">
        <x:v>RC-35</x:v>
      </x:c>
      <x:c r="C214" s="15" t="str">
        <x:v>ER-04</x:v>
      </x:c>
      <x:c r="D214" s="15" t="str">
        <x:v>DIV</x:v>
      </x:c>
      <x:c r="E214" s="15" t="str">
        <x:v>Authority</x:v>
      </x:c>
      <x:c r="F214" s="15" t="str">
        <x:v>OPEN</x:v>
      </x:c>
      <x:c r="G214" s="15" t="str">
        <x:v>OPEN</x:v>
      </x:c>
    </x:row>
    <x:row r="215">
      <x:c r="A215" s="14" t="str">
        <x:v>TO-211</x:v>
      </x:c>
      <x:c r="B215" s="14" t="str">
        <x:v>RC-36</x:v>
      </x:c>
      <x:c r="C215" s="14" t="str">
        <x:v>ER-04</x:v>
      </x:c>
      <x:c r="D215" s="14" t="str">
        <x:v>PUB</x:v>
      </x:c>
      <x:c r="E215" s="14" t="str">
        <x:v>Semantic</x:v>
      </x:c>
      <x:c r="F215" s="14" t="str">
        <x:v>OPEN</x:v>
      </x:c>
      <x:c r="G215" s="14" t="str">
        <x:v>OPEN</x:v>
      </x:c>
    </x:row>
    <x:row r="216">
      <x:c r="A216" s="15" t="str">
        <x:v>TO-212</x:v>
      </x:c>
      <x:c r="B216" s="15" t="str">
        <x:v>RC-36</x:v>
      </x:c>
      <x:c r="C216" s="15" t="str">
        <x:v>ER-04</x:v>
      </x:c>
      <x:c r="D216" s="15" t="str">
        <x:v>PUB</x:v>
      </x:c>
      <x:c r="E216" s="15" t="str">
        <x:v>Physical</x:v>
      </x:c>
      <x:c r="F216" s="15" t="str">
        <x:v>OPEN</x:v>
      </x:c>
      <x:c r="G216" s="15" t="str">
        <x:v>OPEN</x:v>
      </x:c>
    </x:row>
    <x:row r="217">
      <x:c r="A217" s="14" t="str">
        <x:v>TO-213</x:v>
      </x:c>
      <x:c r="B217" s="14" t="str">
        <x:v>RC-36</x:v>
      </x:c>
      <x:c r="C217" s="14" t="str">
        <x:v>ER-04</x:v>
      </x:c>
      <x:c r="D217" s="14" t="str">
        <x:v>PUB</x:v>
      </x:c>
      <x:c r="E217" s="14" t="str">
        <x:v>Metrological</x:v>
      </x:c>
      <x:c r="F217" s="14" t="str">
        <x:v>OPEN</x:v>
      </x:c>
      <x:c r="G217" s="14" t="str">
        <x:v>OPEN</x:v>
      </x:c>
    </x:row>
    <x:row r="218">
      <x:c r="A218" s="15" t="str">
        <x:v>TO-214</x:v>
      </x:c>
      <x:c r="B218" s="15" t="str">
        <x:v>RC-36</x:v>
      </x:c>
      <x:c r="C218" s="15" t="str">
        <x:v>ER-04</x:v>
      </x:c>
      <x:c r="D218" s="15" t="str">
        <x:v>PUB</x:v>
      </x:c>
      <x:c r="E218" s="15" t="str">
        <x:v>Computational</x:v>
      </x:c>
      <x:c r="F218" s="15" t="str">
        <x:v>OPEN</x:v>
      </x:c>
      <x:c r="G218" s="15" t="str">
        <x:v>OPEN</x:v>
      </x:c>
    </x:row>
    <x:row r="219">
      <x:c r="A219" s="14" t="str">
        <x:v>TO-215</x:v>
      </x:c>
      <x:c r="B219" s="14" t="str">
        <x:v>RC-36</x:v>
      </x:c>
      <x:c r="C219" s="14" t="str">
        <x:v>ER-04</x:v>
      </x:c>
      <x:c r="D219" s="14" t="str">
        <x:v>PUB</x:v>
      </x:c>
      <x:c r="E219" s="14" t="str">
        <x:v>Uncertainty</x:v>
      </x:c>
      <x:c r="F219" s="14" t="str">
        <x:v>OPEN</x:v>
      </x:c>
      <x:c r="G219" s="14" t="str">
        <x:v>OPEN</x:v>
      </x:c>
    </x:row>
    <x:row r="220">
      <x:c r="A220" s="15" t="str">
        <x:v>TO-216</x:v>
      </x:c>
      <x:c r="B220" s="15" t="str">
        <x:v>RC-36</x:v>
      </x:c>
      <x:c r="C220" s="15" t="str">
        <x:v>ER-04</x:v>
      </x:c>
      <x:c r="D220" s="15" t="str">
        <x:v>PUB</x:v>
      </x:c>
      <x:c r="E220" s="15" t="str">
        <x:v>Authority</x:v>
      </x:c>
      <x:c r="F220" s="15" t="str">
        <x:v>OPEN</x:v>
      </x:c>
      <x:c r="G220" s="15" t="str">
        <x:v>OPEN</x:v>
      </x:c>
    </x:row>
    <x:row r="221">
      <x:c r="A221" s="14" t="str">
        <x:v>TO-217</x:v>
      </x:c>
      <x:c r="B221" s="14" t="str">
        <x:v>RC-37</x:v>
      </x:c>
      <x:c r="C221" s="14" t="str">
        <x:v>ER-05</x:v>
      </x:c>
      <x:c r="D221" s="14" t="str">
        <x:v>PHO</x:v>
      </x:c>
      <x:c r="E221" s="14" t="str">
        <x:v>Semantic</x:v>
      </x:c>
      <x:c r="F221" s="14" t="str">
        <x:v>OPEN</x:v>
      </x:c>
      <x:c r="G221" s="14" t="str">
        <x:v>OPEN</x:v>
      </x:c>
    </x:row>
    <x:row r="222">
      <x:c r="A222" s="15" t="str">
        <x:v>TO-218</x:v>
      </x:c>
      <x:c r="B222" s="15" t="str">
        <x:v>RC-37</x:v>
      </x:c>
      <x:c r="C222" s="15" t="str">
        <x:v>ER-05</x:v>
      </x:c>
      <x:c r="D222" s="15" t="str">
        <x:v>PHO</x:v>
      </x:c>
      <x:c r="E222" s="15" t="str">
        <x:v>Physical</x:v>
      </x:c>
      <x:c r="F222" s="15" t="str">
        <x:v>OPEN</x:v>
      </x:c>
      <x:c r="G222" s="15" t="str">
        <x:v>OPEN</x:v>
      </x:c>
    </x:row>
    <x:row r="223">
      <x:c r="A223" s="14" t="str">
        <x:v>TO-219</x:v>
      </x:c>
      <x:c r="B223" s="14" t="str">
        <x:v>RC-37</x:v>
      </x:c>
      <x:c r="C223" s="14" t="str">
        <x:v>ER-05</x:v>
      </x:c>
      <x:c r="D223" s="14" t="str">
        <x:v>PHO</x:v>
      </x:c>
      <x:c r="E223" s="14" t="str">
        <x:v>Metrological</x:v>
      </x:c>
      <x:c r="F223" s="14" t="str">
        <x:v>OPEN</x:v>
      </x:c>
      <x:c r="G223" s="14" t="str">
        <x:v>OPEN</x:v>
      </x:c>
    </x:row>
    <x:row r="224">
      <x:c r="A224" s="15" t="str">
        <x:v>TO-220</x:v>
      </x:c>
      <x:c r="B224" s="15" t="str">
        <x:v>RC-37</x:v>
      </x:c>
      <x:c r="C224" s="15" t="str">
        <x:v>ER-05</x:v>
      </x:c>
      <x:c r="D224" s="15" t="str">
        <x:v>PHO</x:v>
      </x:c>
      <x:c r="E224" s="15" t="str">
        <x:v>Computational</x:v>
      </x:c>
      <x:c r="F224" s="15" t="str">
        <x:v>OPEN</x:v>
      </x:c>
      <x:c r="G224" s="15" t="str">
        <x:v>OPEN</x:v>
      </x:c>
    </x:row>
    <x:row r="225">
      <x:c r="A225" s="14" t="str">
        <x:v>TO-221</x:v>
      </x:c>
      <x:c r="B225" s="14" t="str">
        <x:v>RC-37</x:v>
      </x:c>
      <x:c r="C225" s="14" t="str">
        <x:v>ER-05</x:v>
      </x:c>
      <x:c r="D225" s="14" t="str">
        <x:v>PHO</x:v>
      </x:c>
      <x:c r="E225" s="14" t="str">
        <x:v>Uncertainty</x:v>
      </x:c>
      <x:c r="F225" s="14" t="str">
        <x:v>OPEN</x:v>
      </x:c>
      <x:c r="G225" s="14" t="str">
        <x:v>OPEN</x:v>
      </x:c>
    </x:row>
    <x:row r="226">
      <x:c r="A226" s="15" t="str">
        <x:v>TO-222</x:v>
      </x:c>
      <x:c r="B226" s="15" t="str">
        <x:v>RC-37</x:v>
      </x:c>
      <x:c r="C226" s="15" t="str">
        <x:v>ER-05</x:v>
      </x:c>
      <x:c r="D226" s="15" t="str">
        <x:v>PHO</x:v>
      </x:c>
      <x:c r="E226" s="15" t="str">
        <x:v>Authority</x:v>
      </x:c>
      <x:c r="F226" s="15" t="str">
        <x:v>OPEN</x:v>
      </x:c>
      <x:c r="G226" s="15" t="str">
        <x:v>OPEN</x:v>
      </x:c>
    </x:row>
    <x:row r="227">
      <x:c r="A227" s="14" t="str">
        <x:v>TO-223</x:v>
      </x:c>
      <x:c r="B227" s="14" t="str">
        <x:v>RC-38</x:v>
      </x:c>
      <x:c r="C227" s="14" t="str">
        <x:v>ER-05</x:v>
      </x:c>
      <x:c r="D227" s="14" t="str">
        <x:v>ION</x:v>
      </x:c>
      <x:c r="E227" s="14" t="str">
        <x:v>Semantic</x:v>
      </x:c>
      <x:c r="F227" s="14" t="str">
        <x:v>OPEN</x:v>
      </x:c>
      <x:c r="G227" s="14" t="str">
        <x:v>OPEN</x:v>
      </x:c>
    </x:row>
    <x:row r="228">
      <x:c r="A228" s="15" t="str">
        <x:v>TO-224</x:v>
      </x:c>
      <x:c r="B228" s="15" t="str">
        <x:v>RC-38</x:v>
      </x:c>
      <x:c r="C228" s="15" t="str">
        <x:v>ER-05</x:v>
      </x:c>
      <x:c r="D228" s="15" t="str">
        <x:v>ION</x:v>
      </x:c>
      <x:c r="E228" s="15" t="str">
        <x:v>Physical</x:v>
      </x:c>
      <x:c r="F228" s="15" t="str">
        <x:v>OPEN</x:v>
      </x:c>
      <x:c r="G228" s="15" t="str">
        <x:v>OPEN</x:v>
      </x:c>
    </x:row>
    <x:row r="229">
      <x:c r="A229" s="14" t="str">
        <x:v>TO-225</x:v>
      </x:c>
      <x:c r="B229" s="14" t="str">
        <x:v>RC-38</x:v>
      </x:c>
      <x:c r="C229" s="14" t="str">
        <x:v>ER-05</x:v>
      </x:c>
      <x:c r="D229" s="14" t="str">
        <x:v>ION</x:v>
      </x:c>
      <x:c r="E229" s="14" t="str">
        <x:v>Metrological</x:v>
      </x:c>
      <x:c r="F229" s="14" t="str">
        <x:v>OPEN</x:v>
      </x:c>
      <x:c r="G229" s="14" t="str">
        <x:v>OPEN</x:v>
      </x:c>
    </x:row>
    <x:row r="230">
      <x:c r="A230" s="15" t="str">
        <x:v>TO-226</x:v>
      </x:c>
      <x:c r="B230" s="15" t="str">
        <x:v>RC-38</x:v>
      </x:c>
      <x:c r="C230" s="15" t="str">
        <x:v>ER-05</x:v>
      </x:c>
      <x:c r="D230" s="15" t="str">
        <x:v>ION</x:v>
      </x:c>
      <x:c r="E230" s="15" t="str">
        <x:v>Computational</x:v>
      </x:c>
      <x:c r="F230" s="15" t="str">
        <x:v>OPEN</x:v>
      </x:c>
      <x:c r="G230" s="15" t="str">
        <x:v>OPEN</x:v>
      </x:c>
    </x:row>
    <x:row r="231">
      <x:c r="A231" s="14" t="str">
        <x:v>TO-227</x:v>
      </x:c>
      <x:c r="B231" s="14" t="str">
        <x:v>RC-38</x:v>
      </x:c>
      <x:c r="C231" s="14" t="str">
        <x:v>ER-05</x:v>
      </x:c>
      <x:c r="D231" s="14" t="str">
        <x:v>ION</x:v>
      </x:c>
      <x:c r="E231" s="14" t="str">
        <x:v>Uncertainty</x:v>
      </x:c>
      <x:c r="F231" s="14" t="str">
        <x:v>OPEN</x:v>
      </x:c>
      <x:c r="G231" s="14" t="str">
        <x:v>OPEN</x:v>
      </x:c>
    </x:row>
    <x:row r="232">
      <x:c r="A232" s="15" t="str">
        <x:v>TO-228</x:v>
      </x:c>
      <x:c r="B232" s="15" t="str">
        <x:v>RC-38</x:v>
      </x:c>
      <x:c r="C232" s="15" t="str">
        <x:v>ER-05</x:v>
      </x:c>
      <x:c r="D232" s="15" t="str">
        <x:v>ION</x:v>
      </x:c>
      <x:c r="E232" s="15" t="str">
        <x:v>Authority</x:v>
      </x:c>
      <x:c r="F232" s="15" t="str">
        <x:v>OPEN</x:v>
      </x:c>
      <x:c r="G232" s="15" t="str">
        <x:v>OPEN</x:v>
      </x:c>
    </x:row>
    <x:row r="233">
      <x:c r="A233" s="14" t="str">
        <x:v>TO-229</x:v>
      </x:c>
      <x:c r="B233" s="14" t="str">
        <x:v>RC-39</x:v>
      </x:c>
      <x:c r="C233" s="14" t="str">
        <x:v>ER-05</x:v>
      </x:c>
      <x:c r="D233" s="14" t="str">
        <x:v>TOP</x:v>
      </x:c>
      <x:c r="E233" s="14" t="str">
        <x:v>Semantic</x:v>
      </x:c>
      <x:c r="F233" s="14" t="str">
        <x:v>OPEN</x:v>
      </x:c>
      <x:c r="G233" s="14" t="str">
        <x:v>OPEN</x:v>
      </x:c>
    </x:row>
    <x:row r="234">
      <x:c r="A234" s="15" t="str">
        <x:v>TO-230</x:v>
      </x:c>
      <x:c r="B234" s="15" t="str">
        <x:v>RC-39</x:v>
      </x:c>
      <x:c r="C234" s="15" t="str">
        <x:v>ER-05</x:v>
      </x:c>
      <x:c r="D234" s="15" t="str">
        <x:v>TOP</x:v>
      </x:c>
      <x:c r="E234" s="15" t="str">
        <x:v>Physical</x:v>
      </x:c>
      <x:c r="F234" s="15" t="str">
        <x:v>OPEN</x:v>
      </x:c>
      <x:c r="G234" s="15" t="str">
        <x:v>OPEN</x:v>
      </x:c>
    </x:row>
    <x:row r="235">
      <x:c r="A235" s="14" t="str">
        <x:v>TO-231</x:v>
      </x:c>
      <x:c r="B235" s="14" t="str">
        <x:v>RC-39</x:v>
      </x:c>
      <x:c r="C235" s="14" t="str">
        <x:v>ER-05</x:v>
      </x:c>
      <x:c r="D235" s="14" t="str">
        <x:v>TOP</x:v>
      </x:c>
      <x:c r="E235" s="14" t="str">
        <x:v>Metrological</x:v>
      </x:c>
      <x:c r="F235" s="14" t="str">
        <x:v>OPEN</x:v>
      </x:c>
      <x:c r="G235" s="14" t="str">
        <x:v>OPEN</x:v>
      </x:c>
    </x:row>
    <x:row r="236">
      <x:c r="A236" s="15" t="str">
        <x:v>TO-232</x:v>
      </x:c>
      <x:c r="B236" s="15" t="str">
        <x:v>RC-39</x:v>
      </x:c>
      <x:c r="C236" s="15" t="str">
        <x:v>ER-05</x:v>
      </x:c>
      <x:c r="D236" s="15" t="str">
        <x:v>TOP</x:v>
      </x:c>
      <x:c r="E236" s="15" t="str">
        <x:v>Computational</x:v>
      </x:c>
      <x:c r="F236" s="15" t="str">
        <x:v>OPEN</x:v>
      </x:c>
      <x:c r="G236" s="15" t="str">
        <x:v>OPEN</x:v>
      </x:c>
    </x:row>
    <x:row r="237">
      <x:c r="A237" s="14" t="str">
        <x:v>TO-233</x:v>
      </x:c>
      <x:c r="B237" s="14" t="str">
        <x:v>RC-39</x:v>
      </x:c>
      <x:c r="C237" s="14" t="str">
        <x:v>ER-05</x:v>
      </x:c>
      <x:c r="D237" s="14" t="str">
        <x:v>TOP</x:v>
      </x:c>
      <x:c r="E237" s="14" t="str">
        <x:v>Uncertainty</x:v>
      </x:c>
      <x:c r="F237" s="14" t="str">
        <x:v>OPEN</x:v>
      </x:c>
      <x:c r="G237" s="14" t="str">
        <x:v>OPEN</x:v>
      </x:c>
    </x:row>
    <x:row r="238">
      <x:c r="A238" s="15" t="str">
        <x:v>TO-234</x:v>
      </x:c>
      <x:c r="B238" s="15" t="str">
        <x:v>RC-39</x:v>
      </x:c>
      <x:c r="C238" s="15" t="str">
        <x:v>ER-05</x:v>
      </x:c>
      <x:c r="D238" s="15" t="str">
        <x:v>TOP</x:v>
      </x:c>
      <x:c r="E238" s="15" t="str">
        <x:v>Authority</x:v>
      </x:c>
      <x:c r="F238" s="15" t="str">
        <x:v>OPEN</x:v>
      </x:c>
      <x:c r="G238" s="15" t="str">
        <x:v>OPEN</x:v>
      </x:c>
    </x:row>
    <x:row r="239">
      <x:c r="A239" s="14" t="str">
        <x:v>TO-235</x:v>
      </x:c>
      <x:c r="B239" s="14" t="str">
        <x:v>RC-40</x:v>
      </x:c>
      <x:c r="C239" s="14" t="str">
        <x:v>ER-05</x:v>
      </x:c>
      <x:c r="D239" s="14" t="str">
        <x:v>MOL</x:v>
      </x:c>
      <x:c r="E239" s="14" t="str">
        <x:v>Semantic</x:v>
      </x:c>
      <x:c r="F239" s="14" t="str">
        <x:v>OPEN</x:v>
      </x:c>
      <x:c r="G239" s="14" t="str">
        <x:v>OPEN</x:v>
      </x:c>
    </x:row>
    <x:row r="240">
      <x:c r="A240" s="15" t="str">
        <x:v>TO-236</x:v>
      </x:c>
      <x:c r="B240" s="15" t="str">
        <x:v>RC-40</x:v>
      </x:c>
      <x:c r="C240" s="15" t="str">
        <x:v>ER-05</x:v>
      </x:c>
      <x:c r="D240" s="15" t="str">
        <x:v>MOL</x:v>
      </x:c>
      <x:c r="E240" s="15" t="str">
        <x:v>Physical</x:v>
      </x:c>
      <x:c r="F240" s="15" t="str">
        <x:v>OPEN</x:v>
      </x:c>
      <x:c r="G240" s="15" t="str">
        <x:v>OPEN</x:v>
      </x:c>
    </x:row>
    <x:row r="241">
      <x:c r="A241" s="14" t="str">
        <x:v>TO-237</x:v>
      </x:c>
      <x:c r="B241" s="14" t="str">
        <x:v>RC-40</x:v>
      </x:c>
      <x:c r="C241" s="14" t="str">
        <x:v>ER-05</x:v>
      </x:c>
      <x:c r="D241" s="14" t="str">
        <x:v>MOL</x:v>
      </x:c>
      <x:c r="E241" s="14" t="str">
        <x:v>Metrological</x:v>
      </x:c>
      <x:c r="F241" s="14" t="str">
        <x:v>OPEN</x:v>
      </x:c>
      <x:c r="G241" s="14" t="str">
        <x:v>OPEN</x:v>
      </x:c>
    </x:row>
    <x:row r="242">
      <x:c r="A242" s="15" t="str">
        <x:v>TO-238</x:v>
      </x:c>
      <x:c r="B242" s="15" t="str">
        <x:v>RC-40</x:v>
      </x:c>
      <x:c r="C242" s="15" t="str">
        <x:v>ER-05</x:v>
      </x:c>
      <x:c r="D242" s="15" t="str">
        <x:v>MOL</x:v>
      </x:c>
      <x:c r="E242" s="15" t="str">
        <x:v>Computational</x:v>
      </x:c>
      <x:c r="F242" s="15" t="str">
        <x:v>OPEN</x:v>
      </x:c>
      <x:c r="G242" s="15" t="str">
        <x:v>OPEN</x:v>
      </x:c>
    </x:row>
    <x:row r="243">
      <x:c r="A243" s="14" t="str">
        <x:v>TO-239</x:v>
      </x:c>
      <x:c r="B243" s="14" t="str">
        <x:v>RC-40</x:v>
      </x:c>
      <x:c r="C243" s="14" t="str">
        <x:v>ER-05</x:v>
      </x:c>
      <x:c r="D243" s="14" t="str">
        <x:v>MOL</x:v>
      </x:c>
      <x:c r="E243" s="14" t="str">
        <x:v>Uncertainty</x:v>
      </x:c>
      <x:c r="F243" s="14" t="str">
        <x:v>OPEN</x:v>
      </x:c>
      <x:c r="G243" s="14" t="str">
        <x:v>OPEN</x:v>
      </x:c>
    </x:row>
    <x:row r="244">
      <x:c r="A244" s="15" t="str">
        <x:v>TO-240</x:v>
      </x:c>
      <x:c r="B244" s="15" t="str">
        <x:v>RC-40</x:v>
      </x:c>
      <x:c r="C244" s="15" t="str">
        <x:v>ER-05</x:v>
      </x:c>
      <x:c r="D244" s="15" t="str">
        <x:v>MOL</x:v>
      </x:c>
      <x:c r="E244" s="15" t="str">
        <x:v>Authority</x:v>
      </x:c>
      <x:c r="F244" s="15" t="str">
        <x:v>OPEN</x:v>
      </x:c>
      <x:c r="G244" s="15" t="str">
        <x:v>OPEN</x:v>
      </x:c>
    </x:row>
    <x:row r="245">
      <x:c r="A245" s="14" t="str">
        <x:v>TO-241</x:v>
      </x:c>
      <x:c r="B245" s="14" t="str">
        <x:v>RC-41</x:v>
      </x:c>
      <x:c r="C245" s="14" t="str">
        <x:v>ER-05</x:v>
      </x:c>
      <x:c r="D245" s="14" t="str">
        <x:v>CAL</x:v>
      </x:c>
      <x:c r="E245" s="14" t="str">
        <x:v>Semantic</x:v>
      </x:c>
      <x:c r="F245" s="14" t="str">
        <x:v>OPEN</x:v>
      </x:c>
      <x:c r="G245" s="14" t="str">
        <x:v>OPEN</x:v>
      </x:c>
    </x:row>
    <x:row r="246">
      <x:c r="A246" s="15" t="str">
        <x:v>TO-242</x:v>
      </x:c>
      <x:c r="B246" s="15" t="str">
        <x:v>RC-41</x:v>
      </x:c>
      <x:c r="C246" s="15" t="str">
        <x:v>ER-05</x:v>
      </x:c>
      <x:c r="D246" s="15" t="str">
        <x:v>CAL</x:v>
      </x:c>
      <x:c r="E246" s="15" t="str">
        <x:v>Physical</x:v>
      </x:c>
      <x:c r="F246" s="15" t="str">
        <x:v>OPEN</x:v>
      </x:c>
      <x:c r="G246" s="15" t="str">
        <x:v>OPEN</x:v>
      </x:c>
    </x:row>
    <x:row r="247">
      <x:c r="A247" s="14" t="str">
        <x:v>TO-243</x:v>
      </x:c>
      <x:c r="B247" s="14" t="str">
        <x:v>RC-41</x:v>
      </x:c>
      <x:c r="C247" s="14" t="str">
        <x:v>ER-05</x:v>
      </x:c>
      <x:c r="D247" s="14" t="str">
        <x:v>CAL</x:v>
      </x:c>
      <x:c r="E247" s="14" t="str">
        <x:v>Metrological</x:v>
      </x:c>
      <x:c r="F247" s="14" t="str">
        <x:v>OPEN</x:v>
      </x:c>
      <x:c r="G247" s="14" t="str">
        <x:v>OPEN</x:v>
      </x:c>
    </x:row>
    <x:row r="248">
      <x:c r="A248" s="15" t="str">
        <x:v>TO-244</x:v>
      </x:c>
      <x:c r="B248" s="15" t="str">
        <x:v>RC-41</x:v>
      </x:c>
      <x:c r="C248" s="15" t="str">
        <x:v>ER-05</x:v>
      </x:c>
      <x:c r="D248" s="15" t="str">
        <x:v>CAL</x:v>
      </x:c>
      <x:c r="E248" s="15" t="str">
        <x:v>Computational</x:v>
      </x:c>
      <x:c r="F248" s="15" t="str">
        <x:v>OPEN</x:v>
      </x:c>
      <x:c r="G248" s="15" t="str">
        <x:v>OPEN</x:v>
      </x:c>
    </x:row>
    <x:row r="249">
      <x:c r="A249" s="14" t="str">
        <x:v>TO-245</x:v>
      </x:c>
      <x:c r="B249" s="14" t="str">
        <x:v>RC-41</x:v>
      </x:c>
      <x:c r="C249" s="14" t="str">
        <x:v>ER-05</x:v>
      </x:c>
      <x:c r="D249" s="14" t="str">
        <x:v>CAL</x:v>
      </x:c>
      <x:c r="E249" s="14" t="str">
        <x:v>Uncertainty</x:v>
      </x:c>
      <x:c r="F249" s="14" t="str">
        <x:v>OPEN</x:v>
      </x:c>
      <x:c r="G249" s="14" t="str">
        <x:v>OPEN</x:v>
      </x:c>
    </x:row>
    <x:row r="250">
      <x:c r="A250" s="15" t="str">
        <x:v>TO-246</x:v>
      </x:c>
      <x:c r="B250" s="15" t="str">
        <x:v>RC-41</x:v>
      </x:c>
      <x:c r="C250" s="15" t="str">
        <x:v>ER-05</x:v>
      </x:c>
      <x:c r="D250" s="15" t="str">
        <x:v>CAL</x:v>
      </x:c>
      <x:c r="E250" s="15" t="str">
        <x:v>Authority</x:v>
      </x:c>
      <x:c r="F250" s="15" t="str">
        <x:v>OPEN</x:v>
      </x:c>
      <x:c r="G250" s="15" t="str">
        <x:v>OPEN</x:v>
      </x:c>
    </x:row>
    <x:row r="251">
      <x:c r="A251" s="14" t="str">
        <x:v>TO-247</x:v>
      </x:c>
      <x:c r="B251" s="14" t="str">
        <x:v>RC-42</x:v>
      </x:c>
      <x:c r="C251" s="14" t="str">
        <x:v>ER-05</x:v>
      </x:c>
      <x:c r="D251" s="14" t="str">
        <x:v>AQU</x:v>
      </x:c>
      <x:c r="E251" s="14" t="str">
        <x:v>Semantic</x:v>
      </x:c>
      <x:c r="F251" s="14" t="str">
        <x:v>OPEN</x:v>
      </x:c>
      <x:c r="G251" s="14" t="str">
        <x:v>OPEN</x:v>
      </x:c>
    </x:row>
    <x:row r="252">
      <x:c r="A252" s="15" t="str">
        <x:v>TO-248</x:v>
      </x:c>
      <x:c r="B252" s="15" t="str">
        <x:v>RC-42</x:v>
      </x:c>
      <x:c r="C252" s="15" t="str">
        <x:v>ER-05</x:v>
      </x:c>
      <x:c r="D252" s="15" t="str">
        <x:v>AQU</x:v>
      </x:c>
      <x:c r="E252" s="15" t="str">
        <x:v>Physical</x:v>
      </x:c>
      <x:c r="F252" s="15" t="str">
        <x:v>OPEN</x:v>
      </x:c>
      <x:c r="G252" s="15" t="str">
        <x:v>OPEN</x:v>
      </x:c>
    </x:row>
    <x:row r="253">
      <x:c r="A253" s="14" t="str">
        <x:v>TO-249</x:v>
      </x:c>
      <x:c r="B253" s="14" t="str">
        <x:v>RC-42</x:v>
      </x:c>
      <x:c r="C253" s="14" t="str">
        <x:v>ER-05</x:v>
      </x:c>
      <x:c r="D253" s="14" t="str">
        <x:v>AQU</x:v>
      </x:c>
      <x:c r="E253" s="14" t="str">
        <x:v>Metrological</x:v>
      </x:c>
      <x:c r="F253" s="14" t="str">
        <x:v>OPEN</x:v>
      </x:c>
      <x:c r="G253" s="14" t="str">
        <x:v>OPEN</x:v>
      </x:c>
    </x:row>
    <x:row r="254">
      <x:c r="A254" s="15" t="str">
        <x:v>TO-250</x:v>
      </x:c>
      <x:c r="B254" s="15" t="str">
        <x:v>RC-42</x:v>
      </x:c>
      <x:c r="C254" s="15" t="str">
        <x:v>ER-05</x:v>
      </x:c>
      <x:c r="D254" s="15" t="str">
        <x:v>AQU</x:v>
      </x:c>
      <x:c r="E254" s="15" t="str">
        <x:v>Computational</x:v>
      </x:c>
      <x:c r="F254" s="15" t="str">
        <x:v>OPEN</x:v>
      </x:c>
      <x:c r="G254" s="15" t="str">
        <x:v>OPEN</x:v>
      </x:c>
    </x:row>
    <x:row r="255">
      <x:c r="A255" s="14" t="str">
        <x:v>TO-251</x:v>
      </x:c>
      <x:c r="B255" s="14" t="str">
        <x:v>RC-42</x:v>
      </x:c>
      <x:c r="C255" s="14" t="str">
        <x:v>ER-05</x:v>
      </x:c>
      <x:c r="D255" s="14" t="str">
        <x:v>AQU</x:v>
      </x:c>
      <x:c r="E255" s="14" t="str">
        <x:v>Uncertainty</x:v>
      </x:c>
      <x:c r="F255" s="14" t="str">
        <x:v>OPEN</x:v>
      </x:c>
      <x:c r="G255" s="14" t="str">
        <x:v>OPEN</x:v>
      </x:c>
    </x:row>
    <x:row r="256">
      <x:c r="A256" s="15" t="str">
        <x:v>TO-252</x:v>
      </x:c>
      <x:c r="B256" s="15" t="str">
        <x:v>RC-42</x:v>
      </x:c>
      <x:c r="C256" s="15" t="str">
        <x:v>ER-05</x:v>
      </x:c>
      <x:c r="D256" s="15" t="str">
        <x:v>AQU</x:v>
      </x:c>
      <x:c r="E256" s="15" t="str">
        <x:v>Authority</x:v>
      </x:c>
      <x:c r="F256" s="15" t="str">
        <x:v>OPEN</x:v>
      </x:c>
      <x:c r="G256" s="15" t="str">
        <x:v>OPEN</x:v>
      </x:c>
    </x:row>
    <x:row r="257">
      <x:c r="A257" s="14" t="str">
        <x:v>TO-253</x:v>
      </x:c>
      <x:c r="B257" s="14" t="str">
        <x:v>RC-43</x:v>
      </x:c>
      <x:c r="C257" s="14" t="str">
        <x:v>ER-05</x:v>
      </x:c>
      <x:c r="D257" s="14" t="str">
        <x:v>COU</x:v>
      </x:c>
      <x:c r="E257" s="14" t="str">
        <x:v>Semantic</x:v>
      </x:c>
      <x:c r="F257" s="14" t="str">
        <x:v>OPEN</x:v>
      </x:c>
      <x:c r="G257" s="14" t="str">
        <x:v>OPEN</x:v>
      </x:c>
    </x:row>
    <x:row r="258">
      <x:c r="A258" s="15" t="str">
        <x:v>TO-254</x:v>
      </x:c>
      <x:c r="B258" s="15" t="str">
        <x:v>RC-43</x:v>
      </x:c>
      <x:c r="C258" s="15" t="str">
        <x:v>ER-05</x:v>
      </x:c>
      <x:c r="D258" s="15" t="str">
        <x:v>COU</x:v>
      </x:c>
      <x:c r="E258" s="15" t="str">
        <x:v>Physical</x:v>
      </x:c>
      <x:c r="F258" s="15" t="str">
        <x:v>OPEN</x:v>
      </x:c>
      <x:c r="G258" s="15" t="str">
        <x:v>OPEN</x:v>
      </x:c>
    </x:row>
    <x:row r="259">
      <x:c r="A259" s="14" t="str">
        <x:v>TO-255</x:v>
      </x:c>
      <x:c r="B259" s="14" t="str">
        <x:v>RC-43</x:v>
      </x:c>
      <x:c r="C259" s="14" t="str">
        <x:v>ER-05</x:v>
      </x:c>
      <x:c r="D259" s="14" t="str">
        <x:v>COU</x:v>
      </x:c>
      <x:c r="E259" s="14" t="str">
        <x:v>Metrological</x:v>
      </x:c>
      <x:c r="F259" s="14" t="str">
        <x:v>OPEN</x:v>
      </x:c>
      <x:c r="G259" s="14" t="str">
        <x:v>OPEN</x:v>
      </x:c>
    </x:row>
    <x:row r="260">
      <x:c r="A260" s="15" t="str">
        <x:v>TO-256</x:v>
      </x:c>
      <x:c r="B260" s="15" t="str">
        <x:v>RC-43</x:v>
      </x:c>
      <x:c r="C260" s="15" t="str">
        <x:v>ER-05</x:v>
      </x:c>
      <x:c r="D260" s="15" t="str">
        <x:v>COU</x:v>
      </x:c>
      <x:c r="E260" s="15" t="str">
        <x:v>Computational</x:v>
      </x:c>
      <x:c r="F260" s="15" t="str">
        <x:v>OPEN</x:v>
      </x:c>
      <x:c r="G260" s="15" t="str">
        <x:v>OPEN</x:v>
      </x:c>
    </x:row>
    <x:row r="261">
      <x:c r="A261" s="14" t="str">
        <x:v>TO-257</x:v>
      </x:c>
      <x:c r="B261" s="14" t="str">
        <x:v>RC-43</x:v>
      </x:c>
      <x:c r="C261" s="14" t="str">
        <x:v>ER-05</x:v>
      </x:c>
      <x:c r="D261" s="14" t="str">
        <x:v>COU</x:v>
      </x:c>
      <x:c r="E261" s="14" t="str">
        <x:v>Uncertainty</x:v>
      </x:c>
      <x:c r="F261" s="14" t="str">
        <x:v>OPEN</x:v>
      </x:c>
      <x:c r="G261" s="14" t="str">
        <x:v>OPEN</x:v>
      </x:c>
    </x:row>
    <x:row r="262">
      <x:c r="A262" s="15" t="str">
        <x:v>TO-258</x:v>
      </x:c>
      <x:c r="B262" s="15" t="str">
        <x:v>RC-43</x:v>
      </x:c>
      <x:c r="C262" s="15" t="str">
        <x:v>ER-05</x:v>
      </x:c>
      <x:c r="D262" s="15" t="str">
        <x:v>COU</x:v>
      </x:c>
      <x:c r="E262" s="15" t="str">
        <x:v>Authority</x:v>
      </x:c>
      <x:c r="F262" s="15" t="str">
        <x:v>OPEN</x:v>
      </x:c>
      <x:c r="G262" s="15" t="str">
        <x:v>OPEN</x:v>
      </x:c>
    </x:row>
    <x:row r="263">
      <x:c r="A263" s="14" t="str">
        <x:v>TO-259</x:v>
      </x:c>
      <x:c r="B263" s="14" t="str">
        <x:v>RC-44</x:v>
      </x:c>
      <x:c r="C263" s="14" t="str">
        <x:v>ER-05</x:v>
      </x:c>
      <x:c r="D263" s="14" t="str">
        <x:v>DIV</x:v>
      </x:c>
      <x:c r="E263" s="14" t="str">
        <x:v>Semantic</x:v>
      </x:c>
      <x:c r="F263" s="14" t="str">
        <x:v>OPEN</x:v>
      </x:c>
      <x:c r="G263" s="14" t="str">
        <x:v>OPEN</x:v>
      </x:c>
    </x:row>
    <x:row r="264">
      <x:c r="A264" s="15" t="str">
        <x:v>TO-260</x:v>
      </x:c>
      <x:c r="B264" s="15" t="str">
        <x:v>RC-44</x:v>
      </x:c>
      <x:c r="C264" s="15" t="str">
        <x:v>ER-05</x:v>
      </x:c>
      <x:c r="D264" s="15" t="str">
        <x:v>DIV</x:v>
      </x:c>
      <x:c r="E264" s="15" t="str">
        <x:v>Physical</x:v>
      </x:c>
      <x:c r="F264" s="15" t="str">
        <x:v>OPEN</x:v>
      </x:c>
      <x:c r="G264" s="15" t="str">
        <x:v>OPEN</x:v>
      </x:c>
    </x:row>
    <x:row r="265">
      <x:c r="A265" s="14" t="str">
        <x:v>TO-261</x:v>
      </x:c>
      <x:c r="B265" s="14" t="str">
        <x:v>RC-44</x:v>
      </x:c>
      <x:c r="C265" s="14" t="str">
        <x:v>ER-05</x:v>
      </x:c>
      <x:c r="D265" s="14" t="str">
        <x:v>DIV</x:v>
      </x:c>
      <x:c r="E265" s="14" t="str">
        <x:v>Metrological</x:v>
      </x:c>
      <x:c r="F265" s="14" t="str">
        <x:v>OPEN</x:v>
      </x:c>
      <x:c r="G265" s="14" t="str">
        <x:v>OPEN</x:v>
      </x:c>
    </x:row>
    <x:row r="266">
      <x:c r="A266" s="15" t="str">
        <x:v>TO-262</x:v>
      </x:c>
      <x:c r="B266" s="15" t="str">
        <x:v>RC-44</x:v>
      </x:c>
      <x:c r="C266" s="15" t="str">
        <x:v>ER-05</x:v>
      </x:c>
      <x:c r="D266" s="15" t="str">
        <x:v>DIV</x:v>
      </x:c>
      <x:c r="E266" s="15" t="str">
        <x:v>Computational</x:v>
      </x:c>
      <x:c r="F266" s="15" t="str">
        <x:v>OPEN</x:v>
      </x:c>
      <x:c r="G266" s="15" t="str">
        <x:v>OPEN</x:v>
      </x:c>
    </x:row>
    <x:row r="267">
      <x:c r="A267" s="14" t="str">
        <x:v>TO-263</x:v>
      </x:c>
      <x:c r="B267" s="14" t="str">
        <x:v>RC-44</x:v>
      </x:c>
      <x:c r="C267" s="14" t="str">
        <x:v>ER-05</x:v>
      </x:c>
      <x:c r="D267" s="14" t="str">
        <x:v>DIV</x:v>
      </x:c>
      <x:c r="E267" s="14" t="str">
        <x:v>Uncertainty</x:v>
      </x:c>
      <x:c r="F267" s="14" t="str">
        <x:v>OPEN</x:v>
      </x:c>
      <x:c r="G267" s="14" t="str">
        <x:v>OPEN</x:v>
      </x:c>
    </x:row>
    <x:row r="268">
      <x:c r="A268" s="15" t="str">
        <x:v>TO-264</x:v>
      </x:c>
      <x:c r="B268" s="15" t="str">
        <x:v>RC-44</x:v>
      </x:c>
      <x:c r="C268" s="15" t="str">
        <x:v>ER-05</x:v>
      </x:c>
      <x:c r="D268" s="15" t="str">
        <x:v>DIV</x:v>
      </x:c>
      <x:c r="E268" s="15" t="str">
        <x:v>Authority</x:v>
      </x:c>
      <x:c r="F268" s="15" t="str">
        <x:v>OPEN</x:v>
      </x:c>
      <x:c r="G268" s="15" t="str">
        <x:v>OPEN</x:v>
      </x:c>
    </x:row>
    <x:row r="269">
      <x:c r="A269" s="14" t="str">
        <x:v>TO-265</x:v>
      </x:c>
      <x:c r="B269" s="14" t="str">
        <x:v>RC-45</x:v>
      </x:c>
      <x:c r="C269" s="14" t="str">
        <x:v>ER-05</x:v>
      </x:c>
      <x:c r="D269" s="14" t="str">
        <x:v>PUB</x:v>
      </x:c>
      <x:c r="E269" s="14" t="str">
        <x:v>Semantic</x:v>
      </x:c>
      <x:c r="F269" s="14" t="str">
        <x:v>OPEN</x:v>
      </x:c>
      <x:c r="G269" s="14" t="str">
        <x:v>OPEN</x:v>
      </x:c>
    </x:row>
    <x:row r="270">
      <x:c r="A270" s="15" t="str">
        <x:v>TO-266</x:v>
      </x:c>
      <x:c r="B270" s="15" t="str">
        <x:v>RC-45</x:v>
      </x:c>
      <x:c r="C270" s="15" t="str">
        <x:v>ER-05</x:v>
      </x:c>
      <x:c r="D270" s="15" t="str">
        <x:v>PUB</x:v>
      </x:c>
      <x:c r="E270" s="15" t="str">
        <x:v>Physical</x:v>
      </x:c>
      <x:c r="F270" s="15" t="str">
        <x:v>OPEN</x:v>
      </x:c>
      <x:c r="G270" s="15" t="str">
        <x:v>OPEN</x:v>
      </x:c>
    </x:row>
    <x:row r="271">
      <x:c r="A271" s="14" t="str">
        <x:v>TO-267</x:v>
      </x:c>
      <x:c r="B271" s="14" t="str">
        <x:v>RC-45</x:v>
      </x:c>
      <x:c r="C271" s="14" t="str">
        <x:v>ER-05</x:v>
      </x:c>
      <x:c r="D271" s="14" t="str">
        <x:v>PUB</x:v>
      </x:c>
      <x:c r="E271" s="14" t="str">
        <x:v>Metrological</x:v>
      </x:c>
      <x:c r="F271" s="14" t="str">
        <x:v>OPEN</x:v>
      </x:c>
      <x:c r="G271" s="14" t="str">
        <x:v>OPEN</x:v>
      </x:c>
    </x:row>
    <x:row r="272">
      <x:c r="A272" s="15" t="str">
        <x:v>TO-268</x:v>
      </x:c>
      <x:c r="B272" s="15" t="str">
        <x:v>RC-45</x:v>
      </x:c>
      <x:c r="C272" s="15" t="str">
        <x:v>ER-05</x:v>
      </x:c>
      <x:c r="D272" s="15" t="str">
        <x:v>PUB</x:v>
      </x:c>
      <x:c r="E272" s="15" t="str">
        <x:v>Computational</x:v>
      </x:c>
      <x:c r="F272" s="15" t="str">
        <x:v>OPEN</x:v>
      </x:c>
      <x:c r="G272" s="15" t="str">
        <x:v>OPEN</x:v>
      </x:c>
    </x:row>
    <x:row r="273">
      <x:c r="A273" s="14" t="str">
        <x:v>TO-269</x:v>
      </x:c>
      <x:c r="B273" s="14" t="str">
        <x:v>RC-45</x:v>
      </x:c>
      <x:c r="C273" s="14" t="str">
        <x:v>ER-05</x:v>
      </x:c>
      <x:c r="D273" s="14" t="str">
        <x:v>PUB</x:v>
      </x:c>
      <x:c r="E273" s="14" t="str">
        <x:v>Uncertainty</x:v>
      </x:c>
      <x:c r="F273" s="14" t="str">
        <x:v>OPEN</x:v>
      </x:c>
      <x:c r="G273" s="14" t="str">
        <x:v>OPEN</x:v>
      </x:c>
    </x:row>
    <x:row r="274">
      <x:c r="A274" s="15" t="str">
        <x:v>TO-270</x:v>
      </x:c>
      <x:c r="B274" s="15" t="str">
        <x:v>RC-45</x:v>
      </x:c>
      <x:c r="C274" s="15" t="str">
        <x:v>ER-05</x:v>
      </x:c>
      <x:c r="D274" s="15" t="str">
        <x:v>PUB</x:v>
      </x:c>
      <x:c r="E274" s="15" t="str">
        <x:v>Authority</x:v>
      </x:c>
      <x:c r="F274" s="15" t="str">
        <x:v>OPEN</x:v>
      </x:c>
      <x:c r="G274" s="15" t="str">
        <x:v>OPEN</x:v>
      </x:c>
    </x:row>
    <x:row r="275">
      <x:c r="A275" s="14" t="str">
        <x:v>TO-271</x:v>
      </x:c>
      <x:c r="B275" s="14" t="str">
        <x:v>RC-46</x:v>
      </x:c>
      <x:c r="C275" s="14" t="str">
        <x:v>ER-06</x:v>
      </x:c>
      <x:c r="D275" s="14" t="str">
        <x:v>PHO</x:v>
      </x:c>
      <x:c r="E275" s="14" t="str">
        <x:v>Semantic</x:v>
      </x:c>
      <x:c r="F275" s="14" t="str">
        <x:v>OPEN</x:v>
      </x:c>
      <x:c r="G275" s="14" t="str">
        <x:v>OPEN</x:v>
      </x:c>
    </x:row>
    <x:row r="276">
      <x:c r="A276" s="15" t="str">
        <x:v>TO-272</x:v>
      </x:c>
      <x:c r="B276" s="15" t="str">
        <x:v>RC-46</x:v>
      </x:c>
      <x:c r="C276" s="15" t="str">
        <x:v>ER-06</x:v>
      </x:c>
      <x:c r="D276" s="15" t="str">
        <x:v>PHO</x:v>
      </x:c>
      <x:c r="E276" s="15" t="str">
        <x:v>Physical</x:v>
      </x:c>
      <x:c r="F276" s="15" t="str">
        <x:v>OPEN</x:v>
      </x:c>
      <x:c r="G276" s="15" t="str">
        <x:v>OPEN</x:v>
      </x:c>
    </x:row>
    <x:row r="277">
      <x:c r="A277" s="14" t="str">
        <x:v>TO-273</x:v>
      </x:c>
      <x:c r="B277" s="14" t="str">
        <x:v>RC-46</x:v>
      </x:c>
      <x:c r="C277" s="14" t="str">
        <x:v>ER-06</x:v>
      </x:c>
      <x:c r="D277" s="14" t="str">
        <x:v>PHO</x:v>
      </x:c>
      <x:c r="E277" s="14" t="str">
        <x:v>Metrological</x:v>
      </x:c>
      <x:c r="F277" s="14" t="str">
        <x:v>OPEN</x:v>
      </x:c>
      <x:c r="G277" s="14" t="str">
        <x:v>OPEN</x:v>
      </x:c>
    </x:row>
    <x:row r="278">
      <x:c r="A278" s="15" t="str">
        <x:v>TO-274</x:v>
      </x:c>
      <x:c r="B278" s="15" t="str">
        <x:v>RC-46</x:v>
      </x:c>
      <x:c r="C278" s="15" t="str">
        <x:v>ER-06</x:v>
      </x:c>
      <x:c r="D278" s="15" t="str">
        <x:v>PHO</x:v>
      </x:c>
      <x:c r="E278" s="15" t="str">
        <x:v>Computational</x:v>
      </x:c>
      <x:c r="F278" s="15" t="str">
        <x:v>OPEN</x:v>
      </x:c>
      <x:c r="G278" s="15" t="str">
        <x:v>OPEN</x:v>
      </x:c>
    </x:row>
    <x:row r="279">
      <x:c r="A279" s="14" t="str">
        <x:v>TO-275</x:v>
      </x:c>
      <x:c r="B279" s="14" t="str">
        <x:v>RC-46</x:v>
      </x:c>
      <x:c r="C279" s="14" t="str">
        <x:v>ER-06</x:v>
      </x:c>
      <x:c r="D279" s="14" t="str">
        <x:v>PHO</x:v>
      </x:c>
      <x:c r="E279" s="14" t="str">
        <x:v>Uncertainty</x:v>
      </x:c>
      <x:c r="F279" s="14" t="str">
        <x:v>OPEN</x:v>
      </x:c>
      <x:c r="G279" s="14" t="str">
        <x:v>OPEN</x:v>
      </x:c>
    </x:row>
    <x:row r="280">
      <x:c r="A280" s="15" t="str">
        <x:v>TO-276</x:v>
      </x:c>
      <x:c r="B280" s="15" t="str">
        <x:v>RC-46</x:v>
      </x:c>
      <x:c r="C280" s="15" t="str">
        <x:v>ER-06</x:v>
      </x:c>
      <x:c r="D280" s="15" t="str">
        <x:v>PHO</x:v>
      </x:c>
      <x:c r="E280" s="15" t="str">
        <x:v>Authority</x:v>
      </x:c>
      <x:c r="F280" s="15" t="str">
        <x:v>OPEN</x:v>
      </x:c>
      <x:c r="G280" s="15" t="str">
        <x:v>OPEN</x:v>
      </x:c>
    </x:row>
    <x:row r="281">
      <x:c r="A281" s="14" t="str">
        <x:v>TO-277</x:v>
      </x:c>
      <x:c r="B281" s="14" t="str">
        <x:v>RC-47</x:v>
      </x:c>
      <x:c r="C281" s="14" t="str">
        <x:v>ER-06</x:v>
      </x:c>
      <x:c r="D281" s="14" t="str">
        <x:v>ION</x:v>
      </x:c>
      <x:c r="E281" s="14" t="str">
        <x:v>Semantic</x:v>
      </x:c>
      <x:c r="F281" s="14" t="str">
        <x:v>OPEN</x:v>
      </x:c>
      <x:c r="G281" s="14" t="str">
        <x:v>OPEN</x:v>
      </x:c>
    </x:row>
    <x:row r="282">
      <x:c r="A282" s="15" t="str">
        <x:v>TO-278</x:v>
      </x:c>
      <x:c r="B282" s="15" t="str">
        <x:v>RC-47</x:v>
      </x:c>
      <x:c r="C282" s="15" t="str">
        <x:v>ER-06</x:v>
      </x:c>
      <x:c r="D282" s="15" t="str">
        <x:v>ION</x:v>
      </x:c>
      <x:c r="E282" s="15" t="str">
        <x:v>Physical</x:v>
      </x:c>
      <x:c r="F282" s="15" t="str">
        <x:v>OPEN</x:v>
      </x:c>
      <x:c r="G282" s="15" t="str">
        <x:v>OPEN</x:v>
      </x:c>
    </x:row>
    <x:row r="283">
      <x:c r="A283" s="14" t="str">
        <x:v>TO-279</x:v>
      </x:c>
      <x:c r="B283" s="14" t="str">
        <x:v>RC-47</x:v>
      </x:c>
      <x:c r="C283" s="14" t="str">
        <x:v>ER-06</x:v>
      </x:c>
      <x:c r="D283" s="14" t="str">
        <x:v>ION</x:v>
      </x:c>
      <x:c r="E283" s="14" t="str">
        <x:v>Metrological</x:v>
      </x:c>
      <x:c r="F283" s="14" t="str">
        <x:v>OPEN</x:v>
      </x:c>
      <x:c r="G283" s="14" t="str">
        <x:v>OPEN</x:v>
      </x:c>
    </x:row>
    <x:row r="284">
      <x:c r="A284" s="15" t="str">
        <x:v>TO-280</x:v>
      </x:c>
      <x:c r="B284" s="15" t="str">
        <x:v>RC-47</x:v>
      </x:c>
      <x:c r="C284" s="15" t="str">
        <x:v>ER-06</x:v>
      </x:c>
      <x:c r="D284" s="15" t="str">
        <x:v>ION</x:v>
      </x:c>
      <x:c r="E284" s="15" t="str">
        <x:v>Computational</x:v>
      </x:c>
      <x:c r="F284" s="15" t="str">
        <x:v>OPEN</x:v>
      </x:c>
      <x:c r="G284" s="15" t="str">
        <x:v>OPEN</x:v>
      </x:c>
    </x:row>
    <x:row r="285">
      <x:c r="A285" s="14" t="str">
        <x:v>TO-281</x:v>
      </x:c>
      <x:c r="B285" s="14" t="str">
        <x:v>RC-47</x:v>
      </x:c>
      <x:c r="C285" s="14" t="str">
        <x:v>ER-06</x:v>
      </x:c>
      <x:c r="D285" s="14" t="str">
        <x:v>ION</x:v>
      </x:c>
      <x:c r="E285" s="14" t="str">
        <x:v>Uncertainty</x:v>
      </x:c>
      <x:c r="F285" s="14" t="str">
        <x:v>OPEN</x:v>
      </x:c>
      <x:c r="G285" s="14" t="str">
        <x:v>OPEN</x:v>
      </x:c>
    </x:row>
    <x:row r="286">
      <x:c r="A286" s="15" t="str">
        <x:v>TO-282</x:v>
      </x:c>
      <x:c r="B286" s="15" t="str">
        <x:v>RC-47</x:v>
      </x:c>
      <x:c r="C286" s="15" t="str">
        <x:v>ER-06</x:v>
      </x:c>
      <x:c r="D286" s="15" t="str">
        <x:v>ION</x:v>
      </x:c>
      <x:c r="E286" s="15" t="str">
        <x:v>Authority</x:v>
      </x:c>
      <x:c r="F286" s="15" t="str">
        <x:v>OPEN</x:v>
      </x:c>
      <x:c r="G286" s="15" t="str">
        <x:v>OPEN</x:v>
      </x:c>
    </x:row>
    <x:row r="287">
      <x:c r="A287" s="14" t="str">
        <x:v>TO-283</x:v>
      </x:c>
      <x:c r="B287" s="14" t="str">
        <x:v>RC-48</x:v>
      </x:c>
      <x:c r="C287" s="14" t="str">
        <x:v>ER-06</x:v>
      </x:c>
      <x:c r="D287" s="14" t="str">
        <x:v>TOP</x:v>
      </x:c>
      <x:c r="E287" s="14" t="str">
        <x:v>Semantic</x:v>
      </x:c>
      <x:c r="F287" s="14" t="str">
        <x:v>OPEN</x:v>
      </x:c>
      <x:c r="G287" s="14" t="str">
        <x:v>OPEN</x:v>
      </x:c>
    </x:row>
    <x:row r="288">
      <x:c r="A288" s="15" t="str">
        <x:v>TO-284</x:v>
      </x:c>
      <x:c r="B288" s="15" t="str">
        <x:v>RC-48</x:v>
      </x:c>
      <x:c r="C288" s="15" t="str">
        <x:v>ER-06</x:v>
      </x:c>
      <x:c r="D288" s="15" t="str">
        <x:v>TOP</x:v>
      </x:c>
      <x:c r="E288" s="15" t="str">
        <x:v>Physical</x:v>
      </x:c>
      <x:c r="F288" s="15" t="str">
        <x:v>OPEN</x:v>
      </x:c>
      <x:c r="G288" s="15" t="str">
        <x:v>OPEN</x:v>
      </x:c>
    </x:row>
    <x:row r="289">
      <x:c r="A289" s="14" t="str">
        <x:v>TO-285</x:v>
      </x:c>
      <x:c r="B289" s="14" t="str">
        <x:v>RC-48</x:v>
      </x:c>
      <x:c r="C289" s="14" t="str">
        <x:v>ER-06</x:v>
      </x:c>
      <x:c r="D289" s="14" t="str">
        <x:v>TOP</x:v>
      </x:c>
      <x:c r="E289" s="14" t="str">
        <x:v>Metrological</x:v>
      </x:c>
      <x:c r="F289" s="14" t="str">
        <x:v>OPEN</x:v>
      </x:c>
      <x:c r="G289" s="14" t="str">
        <x:v>OPEN</x:v>
      </x:c>
    </x:row>
    <x:row r="290">
      <x:c r="A290" s="15" t="str">
        <x:v>TO-286</x:v>
      </x:c>
      <x:c r="B290" s="15" t="str">
        <x:v>RC-48</x:v>
      </x:c>
      <x:c r="C290" s="15" t="str">
        <x:v>ER-06</x:v>
      </x:c>
      <x:c r="D290" s="15" t="str">
        <x:v>TOP</x:v>
      </x:c>
      <x:c r="E290" s="15" t="str">
        <x:v>Computational</x:v>
      </x:c>
      <x:c r="F290" s="15" t="str">
        <x:v>OPEN</x:v>
      </x:c>
      <x:c r="G290" s="15" t="str">
        <x:v>OPEN</x:v>
      </x:c>
    </x:row>
    <x:row r="291">
      <x:c r="A291" s="14" t="str">
        <x:v>TO-287</x:v>
      </x:c>
      <x:c r="B291" s="14" t="str">
        <x:v>RC-48</x:v>
      </x:c>
      <x:c r="C291" s="14" t="str">
        <x:v>ER-06</x:v>
      </x:c>
      <x:c r="D291" s="14" t="str">
        <x:v>TOP</x:v>
      </x:c>
      <x:c r="E291" s="14" t="str">
        <x:v>Uncertainty</x:v>
      </x:c>
      <x:c r="F291" s="14" t="str">
        <x:v>OPEN</x:v>
      </x:c>
      <x:c r="G291" s="14" t="str">
        <x:v>OPEN</x:v>
      </x:c>
    </x:row>
    <x:row r="292">
      <x:c r="A292" s="15" t="str">
        <x:v>TO-288</x:v>
      </x:c>
      <x:c r="B292" s="15" t="str">
        <x:v>RC-48</x:v>
      </x:c>
      <x:c r="C292" s="15" t="str">
        <x:v>ER-06</x:v>
      </x:c>
      <x:c r="D292" s="15" t="str">
        <x:v>TOP</x:v>
      </x:c>
      <x:c r="E292" s="15" t="str">
        <x:v>Authority</x:v>
      </x:c>
      <x:c r="F292" s="15" t="str">
        <x:v>OPEN</x:v>
      </x:c>
      <x:c r="G292" s="15" t="str">
        <x:v>OPEN</x:v>
      </x:c>
    </x:row>
    <x:row r="293">
      <x:c r="A293" s="14" t="str">
        <x:v>TO-289</x:v>
      </x:c>
      <x:c r="B293" s="14" t="str">
        <x:v>RC-49</x:v>
      </x:c>
      <x:c r="C293" s="14" t="str">
        <x:v>ER-06</x:v>
      </x:c>
      <x:c r="D293" s="14" t="str">
        <x:v>MOL</x:v>
      </x:c>
      <x:c r="E293" s="14" t="str">
        <x:v>Semantic</x:v>
      </x:c>
      <x:c r="F293" s="14" t="str">
        <x:v>OPEN</x:v>
      </x:c>
      <x:c r="G293" s="14" t="str">
        <x:v>OPEN</x:v>
      </x:c>
    </x:row>
    <x:row r="294">
      <x:c r="A294" s="15" t="str">
        <x:v>TO-290</x:v>
      </x:c>
      <x:c r="B294" s="15" t="str">
        <x:v>RC-49</x:v>
      </x:c>
      <x:c r="C294" s="15" t="str">
        <x:v>ER-06</x:v>
      </x:c>
      <x:c r="D294" s="15" t="str">
        <x:v>MOL</x:v>
      </x:c>
      <x:c r="E294" s="15" t="str">
        <x:v>Physical</x:v>
      </x:c>
      <x:c r="F294" s="15" t="str">
        <x:v>OPEN</x:v>
      </x:c>
      <x:c r="G294" s="15" t="str">
        <x:v>OPEN</x:v>
      </x:c>
    </x:row>
    <x:row r="295">
      <x:c r="A295" s="14" t="str">
        <x:v>TO-291</x:v>
      </x:c>
      <x:c r="B295" s="14" t="str">
        <x:v>RC-49</x:v>
      </x:c>
      <x:c r="C295" s="14" t="str">
        <x:v>ER-06</x:v>
      </x:c>
      <x:c r="D295" s="14" t="str">
        <x:v>MOL</x:v>
      </x:c>
      <x:c r="E295" s="14" t="str">
        <x:v>Metrological</x:v>
      </x:c>
      <x:c r="F295" s="14" t="str">
        <x:v>OPEN</x:v>
      </x:c>
      <x:c r="G295" s="14" t="str">
        <x:v>OPEN</x:v>
      </x:c>
    </x:row>
    <x:row r="296">
      <x:c r="A296" s="15" t="str">
        <x:v>TO-292</x:v>
      </x:c>
      <x:c r="B296" s="15" t="str">
        <x:v>RC-49</x:v>
      </x:c>
      <x:c r="C296" s="15" t="str">
        <x:v>ER-06</x:v>
      </x:c>
      <x:c r="D296" s="15" t="str">
        <x:v>MOL</x:v>
      </x:c>
      <x:c r="E296" s="15" t="str">
        <x:v>Computational</x:v>
      </x:c>
      <x:c r="F296" s="15" t="str">
        <x:v>OPEN</x:v>
      </x:c>
      <x:c r="G296" s="15" t="str">
        <x:v>OPEN</x:v>
      </x:c>
    </x:row>
    <x:row r="297">
      <x:c r="A297" s="14" t="str">
        <x:v>TO-293</x:v>
      </x:c>
      <x:c r="B297" s="14" t="str">
        <x:v>RC-49</x:v>
      </x:c>
      <x:c r="C297" s="14" t="str">
        <x:v>ER-06</x:v>
      </x:c>
      <x:c r="D297" s="14" t="str">
        <x:v>MOL</x:v>
      </x:c>
      <x:c r="E297" s="14" t="str">
        <x:v>Uncertainty</x:v>
      </x:c>
      <x:c r="F297" s="14" t="str">
        <x:v>OPEN</x:v>
      </x:c>
      <x:c r="G297" s="14" t="str">
        <x:v>OPEN</x:v>
      </x:c>
    </x:row>
    <x:row r="298">
      <x:c r="A298" s="15" t="str">
        <x:v>TO-294</x:v>
      </x:c>
      <x:c r="B298" s="15" t="str">
        <x:v>RC-49</x:v>
      </x:c>
      <x:c r="C298" s="15" t="str">
        <x:v>ER-06</x:v>
      </x:c>
      <x:c r="D298" s="15" t="str">
        <x:v>MOL</x:v>
      </x:c>
      <x:c r="E298" s="15" t="str">
        <x:v>Authority</x:v>
      </x:c>
      <x:c r="F298" s="15" t="str">
        <x:v>OPEN</x:v>
      </x:c>
      <x:c r="G298" s="15" t="str">
        <x:v>OPEN</x:v>
      </x:c>
    </x:row>
    <x:row r="299">
      <x:c r="A299" s="14" t="str">
        <x:v>TO-295</x:v>
      </x:c>
      <x:c r="B299" s="14" t="str">
        <x:v>RC-50</x:v>
      </x:c>
      <x:c r="C299" s="14" t="str">
        <x:v>ER-06</x:v>
      </x:c>
      <x:c r="D299" s="14" t="str">
        <x:v>CAL</x:v>
      </x:c>
      <x:c r="E299" s="14" t="str">
        <x:v>Semantic</x:v>
      </x:c>
      <x:c r="F299" s="14" t="str">
        <x:v>OPEN</x:v>
      </x:c>
      <x:c r="G299" s="14" t="str">
        <x:v>OPEN</x:v>
      </x:c>
    </x:row>
    <x:row r="300">
      <x:c r="A300" s="15" t="str">
        <x:v>TO-296</x:v>
      </x:c>
      <x:c r="B300" s="15" t="str">
        <x:v>RC-50</x:v>
      </x:c>
      <x:c r="C300" s="15" t="str">
        <x:v>ER-06</x:v>
      </x:c>
      <x:c r="D300" s="15" t="str">
        <x:v>CAL</x:v>
      </x:c>
      <x:c r="E300" s="15" t="str">
        <x:v>Physical</x:v>
      </x:c>
      <x:c r="F300" s="15" t="str">
        <x:v>OPEN</x:v>
      </x:c>
      <x:c r="G300" s="15" t="str">
        <x:v>OPEN</x:v>
      </x:c>
    </x:row>
    <x:row r="301">
      <x:c r="A301" s="14" t="str">
        <x:v>TO-297</x:v>
      </x:c>
      <x:c r="B301" s="14" t="str">
        <x:v>RC-50</x:v>
      </x:c>
      <x:c r="C301" s="14" t="str">
        <x:v>ER-06</x:v>
      </x:c>
      <x:c r="D301" s="14" t="str">
        <x:v>CAL</x:v>
      </x:c>
      <x:c r="E301" s="14" t="str">
        <x:v>Metrological</x:v>
      </x:c>
      <x:c r="F301" s="14" t="str">
        <x:v>OPEN</x:v>
      </x:c>
      <x:c r="G301" s="14" t="str">
        <x:v>OPEN</x:v>
      </x:c>
    </x:row>
    <x:row r="302">
      <x:c r="A302" s="15" t="str">
        <x:v>TO-298</x:v>
      </x:c>
      <x:c r="B302" s="15" t="str">
        <x:v>RC-50</x:v>
      </x:c>
      <x:c r="C302" s="15" t="str">
        <x:v>ER-06</x:v>
      </x:c>
      <x:c r="D302" s="15" t="str">
        <x:v>CAL</x:v>
      </x:c>
      <x:c r="E302" s="15" t="str">
        <x:v>Computational</x:v>
      </x:c>
      <x:c r="F302" s="15" t="str">
        <x:v>OPEN</x:v>
      </x:c>
      <x:c r="G302" s="15" t="str">
        <x:v>OPEN</x:v>
      </x:c>
    </x:row>
    <x:row r="303">
      <x:c r="A303" s="14" t="str">
        <x:v>TO-299</x:v>
      </x:c>
      <x:c r="B303" s="14" t="str">
        <x:v>RC-50</x:v>
      </x:c>
      <x:c r="C303" s="14" t="str">
        <x:v>ER-06</x:v>
      </x:c>
      <x:c r="D303" s="14" t="str">
        <x:v>CAL</x:v>
      </x:c>
      <x:c r="E303" s="14" t="str">
        <x:v>Uncertainty</x:v>
      </x:c>
      <x:c r="F303" s="14" t="str">
        <x:v>OPEN</x:v>
      </x:c>
      <x:c r="G303" s="14" t="str">
        <x:v>OPEN</x:v>
      </x:c>
    </x:row>
    <x:row r="304">
      <x:c r="A304" s="15" t="str">
        <x:v>TO-300</x:v>
      </x:c>
      <x:c r="B304" s="15" t="str">
        <x:v>RC-50</x:v>
      </x:c>
      <x:c r="C304" s="15" t="str">
        <x:v>ER-06</x:v>
      </x:c>
      <x:c r="D304" s="15" t="str">
        <x:v>CAL</x:v>
      </x:c>
      <x:c r="E304" s="15" t="str">
        <x:v>Authority</x:v>
      </x:c>
      <x:c r="F304" s="15" t="str">
        <x:v>OPEN</x:v>
      </x:c>
      <x:c r="G304" s="15" t="str">
        <x:v>OPEN</x:v>
      </x:c>
    </x:row>
    <x:row r="305">
      <x:c r="A305" s="14" t="str">
        <x:v>TO-301</x:v>
      </x:c>
      <x:c r="B305" s="14" t="str">
        <x:v>RC-51</x:v>
      </x:c>
      <x:c r="C305" s="14" t="str">
        <x:v>ER-06</x:v>
      </x:c>
      <x:c r="D305" s="14" t="str">
        <x:v>AQU</x:v>
      </x:c>
      <x:c r="E305" s="14" t="str">
        <x:v>Semantic</x:v>
      </x:c>
      <x:c r="F305" s="14" t="str">
        <x:v>OPEN</x:v>
      </x:c>
      <x:c r="G305" s="14" t="str">
        <x:v>OPEN</x:v>
      </x:c>
    </x:row>
    <x:row r="306">
      <x:c r="A306" s="15" t="str">
        <x:v>TO-302</x:v>
      </x:c>
      <x:c r="B306" s="15" t="str">
        <x:v>RC-51</x:v>
      </x:c>
      <x:c r="C306" s="15" t="str">
        <x:v>ER-06</x:v>
      </x:c>
      <x:c r="D306" s="15" t="str">
        <x:v>AQU</x:v>
      </x:c>
      <x:c r="E306" s="15" t="str">
        <x:v>Physical</x:v>
      </x:c>
      <x:c r="F306" s="15" t="str">
        <x:v>OPEN</x:v>
      </x:c>
      <x:c r="G306" s="15" t="str">
        <x:v>OPEN</x:v>
      </x:c>
    </x:row>
    <x:row r="307">
      <x:c r="A307" s="14" t="str">
        <x:v>TO-303</x:v>
      </x:c>
      <x:c r="B307" s="14" t="str">
        <x:v>RC-51</x:v>
      </x:c>
      <x:c r="C307" s="14" t="str">
        <x:v>ER-06</x:v>
      </x:c>
      <x:c r="D307" s="14" t="str">
        <x:v>AQU</x:v>
      </x:c>
      <x:c r="E307" s="14" t="str">
        <x:v>Metrological</x:v>
      </x:c>
      <x:c r="F307" s="14" t="str">
        <x:v>OPEN</x:v>
      </x:c>
      <x:c r="G307" s="14" t="str">
        <x:v>OPEN</x:v>
      </x:c>
    </x:row>
    <x:row r="308">
      <x:c r="A308" s="15" t="str">
        <x:v>TO-304</x:v>
      </x:c>
      <x:c r="B308" s="15" t="str">
        <x:v>RC-51</x:v>
      </x:c>
      <x:c r="C308" s="15" t="str">
        <x:v>ER-06</x:v>
      </x:c>
      <x:c r="D308" s="15" t="str">
        <x:v>AQU</x:v>
      </x:c>
      <x:c r="E308" s="15" t="str">
        <x:v>Computational</x:v>
      </x:c>
      <x:c r="F308" s="15" t="str">
        <x:v>OPEN</x:v>
      </x:c>
      <x:c r="G308" s="15" t="str">
        <x:v>OPEN</x:v>
      </x:c>
    </x:row>
    <x:row r="309">
      <x:c r="A309" s="14" t="str">
        <x:v>TO-305</x:v>
      </x:c>
      <x:c r="B309" s="14" t="str">
        <x:v>RC-51</x:v>
      </x:c>
      <x:c r="C309" s="14" t="str">
        <x:v>ER-06</x:v>
      </x:c>
      <x:c r="D309" s="14" t="str">
        <x:v>AQU</x:v>
      </x:c>
      <x:c r="E309" s="14" t="str">
        <x:v>Uncertainty</x:v>
      </x:c>
      <x:c r="F309" s="14" t="str">
        <x:v>OPEN</x:v>
      </x:c>
      <x:c r="G309" s="14" t="str">
        <x:v>OPEN</x:v>
      </x:c>
    </x:row>
    <x:row r="310">
      <x:c r="A310" s="15" t="str">
        <x:v>TO-306</x:v>
      </x:c>
      <x:c r="B310" s="15" t="str">
        <x:v>RC-51</x:v>
      </x:c>
      <x:c r="C310" s="15" t="str">
        <x:v>ER-06</x:v>
      </x:c>
      <x:c r="D310" s="15" t="str">
        <x:v>AQU</x:v>
      </x:c>
      <x:c r="E310" s="15" t="str">
        <x:v>Authority</x:v>
      </x:c>
      <x:c r="F310" s="15" t="str">
        <x:v>OPEN</x:v>
      </x:c>
      <x:c r="G310" s="15" t="str">
        <x:v>OPEN</x:v>
      </x:c>
    </x:row>
    <x:row r="311">
      <x:c r="A311" s="14" t="str">
        <x:v>TO-307</x:v>
      </x:c>
      <x:c r="B311" s="14" t="str">
        <x:v>RC-52</x:v>
      </x:c>
      <x:c r="C311" s="14" t="str">
        <x:v>ER-06</x:v>
      </x:c>
      <x:c r="D311" s="14" t="str">
        <x:v>COU</x:v>
      </x:c>
      <x:c r="E311" s="14" t="str">
        <x:v>Semantic</x:v>
      </x:c>
      <x:c r="F311" s="14" t="str">
        <x:v>OPEN</x:v>
      </x:c>
      <x:c r="G311" s="14" t="str">
        <x:v>OPEN</x:v>
      </x:c>
    </x:row>
    <x:row r="312">
      <x:c r="A312" s="15" t="str">
        <x:v>TO-308</x:v>
      </x:c>
      <x:c r="B312" s="15" t="str">
        <x:v>RC-52</x:v>
      </x:c>
      <x:c r="C312" s="15" t="str">
        <x:v>ER-06</x:v>
      </x:c>
      <x:c r="D312" s="15" t="str">
        <x:v>COU</x:v>
      </x:c>
      <x:c r="E312" s="15" t="str">
        <x:v>Physical</x:v>
      </x:c>
      <x:c r="F312" s="15" t="str">
        <x:v>OPEN</x:v>
      </x:c>
      <x:c r="G312" s="15" t="str">
        <x:v>OPEN</x:v>
      </x:c>
    </x:row>
    <x:row r="313">
      <x:c r="A313" s="14" t="str">
        <x:v>TO-309</x:v>
      </x:c>
      <x:c r="B313" s="14" t="str">
        <x:v>RC-52</x:v>
      </x:c>
      <x:c r="C313" s="14" t="str">
        <x:v>ER-06</x:v>
      </x:c>
      <x:c r="D313" s="14" t="str">
        <x:v>COU</x:v>
      </x:c>
      <x:c r="E313" s="14" t="str">
        <x:v>Metrological</x:v>
      </x:c>
      <x:c r="F313" s="14" t="str">
        <x:v>OPEN</x:v>
      </x:c>
      <x:c r="G313" s="14" t="str">
        <x:v>OPEN</x:v>
      </x:c>
    </x:row>
    <x:row r="314">
      <x:c r="A314" s="15" t="str">
        <x:v>TO-310</x:v>
      </x:c>
      <x:c r="B314" s="15" t="str">
        <x:v>RC-52</x:v>
      </x:c>
      <x:c r="C314" s="15" t="str">
        <x:v>ER-06</x:v>
      </x:c>
      <x:c r="D314" s="15" t="str">
        <x:v>COU</x:v>
      </x:c>
      <x:c r="E314" s="15" t="str">
        <x:v>Computational</x:v>
      </x:c>
      <x:c r="F314" s="15" t="str">
        <x:v>OPEN</x:v>
      </x:c>
      <x:c r="G314" s="15" t="str">
        <x:v>OPEN</x:v>
      </x:c>
    </x:row>
    <x:row r="315">
      <x:c r="A315" s="14" t="str">
        <x:v>TO-311</x:v>
      </x:c>
      <x:c r="B315" s="14" t="str">
        <x:v>RC-52</x:v>
      </x:c>
      <x:c r="C315" s="14" t="str">
        <x:v>ER-06</x:v>
      </x:c>
      <x:c r="D315" s="14" t="str">
        <x:v>COU</x:v>
      </x:c>
      <x:c r="E315" s="14" t="str">
        <x:v>Uncertainty</x:v>
      </x:c>
      <x:c r="F315" s="14" t="str">
        <x:v>OPEN</x:v>
      </x:c>
      <x:c r="G315" s="14" t="str">
        <x:v>OPEN</x:v>
      </x:c>
    </x:row>
    <x:row r="316">
      <x:c r="A316" s="15" t="str">
        <x:v>TO-312</x:v>
      </x:c>
      <x:c r="B316" s="15" t="str">
        <x:v>RC-52</x:v>
      </x:c>
      <x:c r="C316" s="15" t="str">
        <x:v>ER-06</x:v>
      </x:c>
      <x:c r="D316" s="15" t="str">
        <x:v>COU</x:v>
      </x:c>
      <x:c r="E316" s="15" t="str">
        <x:v>Authority</x:v>
      </x:c>
      <x:c r="F316" s="15" t="str">
        <x:v>OPEN</x:v>
      </x:c>
      <x:c r="G316" s="15" t="str">
        <x:v>OPEN</x:v>
      </x:c>
    </x:row>
    <x:row r="317">
      <x:c r="A317" s="14" t="str">
        <x:v>TO-313</x:v>
      </x:c>
      <x:c r="B317" s="14" t="str">
        <x:v>RC-53</x:v>
      </x:c>
      <x:c r="C317" s="14" t="str">
        <x:v>ER-06</x:v>
      </x:c>
      <x:c r="D317" s="14" t="str">
        <x:v>DIV</x:v>
      </x:c>
      <x:c r="E317" s="14" t="str">
        <x:v>Semantic</x:v>
      </x:c>
      <x:c r="F317" s="14" t="str">
        <x:v>OPEN</x:v>
      </x:c>
      <x:c r="G317" s="14" t="str">
        <x:v>OPEN</x:v>
      </x:c>
    </x:row>
    <x:row r="318">
      <x:c r="A318" s="15" t="str">
        <x:v>TO-314</x:v>
      </x:c>
      <x:c r="B318" s="15" t="str">
        <x:v>RC-53</x:v>
      </x:c>
      <x:c r="C318" s="15" t="str">
        <x:v>ER-06</x:v>
      </x:c>
      <x:c r="D318" s="15" t="str">
        <x:v>DIV</x:v>
      </x:c>
      <x:c r="E318" s="15" t="str">
        <x:v>Physical</x:v>
      </x:c>
      <x:c r="F318" s="15" t="str">
        <x:v>OPEN</x:v>
      </x:c>
      <x:c r="G318" s="15" t="str">
        <x:v>OPEN</x:v>
      </x:c>
    </x:row>
    <x:row r="319">
      <x:c r="A319" s="14" t="str">
        <x:v>TO-315</x:v>
      </x:c>
      <x:c r="B319" s="14" t="str">
        <x:v>RC-53</x:v>
      </x:c>
      <x:c r="C319" s="14" t="str">
        <x:v>ER-06</x:v>
      </x:c>
      <x:c r="D319" s="14" t="str">
        <x:v>DIV</x:v>
      </x:c>
      <x:c r="E319" s="14" t="str">
        <x:v>Metrological</x:v>
      </x:c>
      <x:c r="F319" s="14" t="str">
        <x:v>OPEN</x:v>
      </x:c>
      <x:c r="G319" s="14" t="str">
        <x:v>OPEN</x:v>
      </x:c>
    </x:row>
    <x:row r="320">
      <x:c r="A320" s="15" t="str">
        <x:v>TO-316</x:v>
      </x:c>
      <x:c r="B320" s="15" t="str">
        <x:v>RC-53</x:v>
      </x:c>
      <x:c r="C320" s="15" t="str">
        <x:v>ER-06</x:v>
      </x:c>
      <x:c r="D320" s="15" t="str">
        <x:v>DIV</x:v>
      </x:c>
      <x:c r="E320" s="15" t="str">
        <x:v>Computational</x:v>
      </x:c>
      <x:c r="F320" s="15" t="str">
        <x:v>OPEN</x:v>
      </x:c>
      <x:c r="G320" s="15" t="str">
        <x:v>OPEN</x:v>
      </x:c>
    </x:row>
    <x:row r="321">
      <x:c r="A321" s="14" t="str">
        <x:v>TO-317</x:v>
      </x:c>
      <x:c r="B321" s="14" t="str">
        <x:v>RC-53</x:v>
      </x:c>
      <x:c r="C321" s="14" t="str">
        <x:v>ER-06</x:v>
      </x:c>
      <x:c r="D321" s="14" t="str">
        <x:v>DIV</x:v>
      </x:c>
      <x:c r="E321" s="14" t="str">
        <x:v>Uncertainty</x:v>
      </x:c>
      <x:c r="F321" s="14" t="str">
        <x:v>OPEN</x:v>
      </x:c>
      <x:c r="G321" s="14" t="str">
        <x:v>OPEN</x:v>
      </x:c>
    </x:row>
    <x:row r="322">
      <x:c r="A322" s="15" t="str">
        <x:v>TO-318</x:v>
      </x:c>
      <x:c r="B322" s="15" t="str">
        <x:v>RC-53</x:v>
      </x:c>
      <x:c r="C322" s="15" t="str">
        <x:v>ER-06</x:v>
      </x:c>
      <x:c r="D322" s="15" t="str">
        <x:v>DIV</x:v>
      </x:c>
      <x:c r="E322" s="15" t="str">
        <x:v>Authority</x:v>
      </x:c>
      <x:c r="F322" s="15" t="str">
        <x:v>OPEN</x:v>
      </x:c>
      <x:c r="G322" s="15" t="str">
        <x:v>OPEN</x:v>
      </x:c>
    </x:row>
    <x:row r="323">
      <x:c r="A323" s="14" t="str">
        <x:v>TO-319</x:v>
      </x:c>
      <x:c r="B323" s="14" t="str">
        <x:v>RC-54</x:v>
      </x:c>
      <x:c r="C323" s="14" t="str">
        <x:v>ER-06</x:v>
      </x:c>
      <x:c r="D323" s="14" t="str">
        <x:v>PUB</x:v>
      </x:c>
      <x:c r="E323" s="14" t="str">
        <x:v>Semantic</x:v>
      </x:c>
      <x:c r="F323" s="14" t="str">
        <x:v>OPEN</x:v>
      </x:c>
      <x:c r="G323" s="14" t="str">
        <x:v>OPEN</x:v>
      </x:c>
    </x:row>
    <x:row r="324">
      <x:c r="A324" s="15" t="str">
        <x:v>TO-320</x:v>
      </x:c>
      <x:c r="B324" s="15" t="str">
        <x:v>RC-54</x:v>
      </x:c>
      <x:c r="C324" s="15" t="str">
        <x:v>ER-06</x:v>
      </x:c>
      <x:c r="D324" s="15" t="str">
        <x:v>PUB</x:v>
      </x:c>
      <x:c r="E324" s="15" t="str">
        <x:v>Physical</x:v>
      </x:c>
      <x:c r="F324" s="15" t="str">
        <x:v>OPEN</x:v>
      </x:c>
      <x:c r="G324" s="15" t="str">
        <x:v>OPEN</x:v>
      </x:c>
    </x:row>
    <x:row r="325">
      <x:c r="A325" s="14" t="str">
        <x:v>TO-321</x:v>
      </x:c>
      <x:c r="B325" s="14" t="str">
        <x:v>RC-54</x:v>
      </x:c>
      <x:c r="C325" s="14" t="str">
        <x:v>ER-06</x:v>
      </x:c>
      <x:c r="D325" s="14" t="str">
        <x:v>PUB</x:v>
      </x:c>
      <x:c r="E325" s="14" t="str">
        <x:v>Metrological</x:v>
      </x:c>
      <x:c r="F325" s="14" t="str">
        <x:v>OPEN</x:v>
      </x:c>
      <x:c r="G325" s="14" t="str">
        <x:v>OPEN</x:v>
      </x:c>
    </x:row>
    <x:row r="326">
      <x:c r="A326" s="15" t="str">
        <x:v>TO-322</x:v>
      </x:c>
      <x:c r="B326" s="15" t="str">
        <x:v>RC-54</x:v>
      </x:c>
      <x:c r="C326" s="15" t="str">
        <x:v>ER-06</x:v>
      </x:c>
      <x:c r="D326" s="15" t="str">
        <x:v>PUB</x:v>
      </x:c>
      <x:c r="E326" s="15" t="str">
        <x:v>Computational</x:v>
      </x:c>
      <x:c r="F326" s="15" t="str">
        <x:v>OPEN</x:v>
      </x:c>
      <x:c r="G326" s="15" t="str">
        <x:v>OPEN</x:v>
      </x:c>
    </x:row>
    <x:row r="327">
      <x:c r="A327" s="14" t="str">
        <x:v>TO-323</x:v>
      </x:c>
      <x:c r="B327" s="14" t="str">
        <x:v>RC-54</x:v>
      </x:c>
      <x:c r="C327" s="14" t="str">
        <x:v>ER-06</x:v>
      </x:c>
      <x:c r="D327" s="14" t="str">
        <x:v>PUB</x:v>
      </x:c>
      <x:c r="E327" s="14" t="str">
        <x:v>Uncertainty</x:v>
      </x:c>
      <x:c r="F327" s="14" t="str">
        <x:v>OPEN</x:v>
      </x:c>
      <x:c r="G327" s="14" t="str">
        <x:v>OPEN</x:v>
      </x:c>
    </x:row>
    <x:row r="328">
      <x:c r="A328" s="15" t="str">
        <x:v>TO-324</x:v>
      </x:c>
      <x:c r="B328" s="15" t="str">
        <x:v>RC-54</x:v>
      </x:c>
      <x:c r="C328" s="15" t="str">
        <x:v>ER-06</x:v>
      </x:c>
      <x:c r="D328" s="15" t="str">
        <x:v>PUB</x:v>
      </x:c>
      <x:c r="E328" s="15" t="str">
        <x:v>Authority</x:v>
      </x:c>
      <x:c r="F328" s="15" t="str">
        <x:v>OPEN</x:v>
      </x:c>
      <x:c r="G328" s="15" t="str">
        <x:v>OPEN</x:v>
      </x:c>
    </x:row>
    <x:row r="329">
      <x:c r="A329" s="14" t="str">
        <x:v>TO-325</x:v>
      </x:c>
      <x:c r="B329" s="14" t="str">
        <x:v>RC-55</x:v>
      </x:c>
      <x:c r="C329" s="14" t="str">
        <x:v>ER-07</x:v>
      </x:c>
      <x:c r="D329" s="14" t="str">
        <x:v>PHO</x:v>
      </x:c>
      <x:c r="E329" s="14" t="str">
        <x:v>Semantic</x:v>
      </x:c>
      <x:c r="F329" s="14" t="str">
        <x:v>OPEN</x:v>
      </x:c>
      <x:c r="G329" s="14" t="str">
        <x:v>OPEN</x:v>
      </x:c>
    </x:row>
    <x:row r="330">
      <x:c r="A330" s="15" t="str">
        <x:v>TO-326</x:v>
      </x:c>
      <x:c r="B330" s="15" t="str">
        <x:v>RC-55</x:v>
      </x:c>
      <x:c r="C330" s="15" t="str">
        <x:v>ER-07</x:v>
      </x:c>
      <x:c r="D330" s="15" t="str">
        <x:v>PHO</x:v>
      </x:c>
      <x:c r="E330" s="15" t="str">
        <x:v>Physical</x:v>
      </x:c>
      <x:c r="F330" s="15" t="str">
        <x:v>OPEN</x:v>
      </x:c>
      <x:c r="G330" s="15" t="str">
        <x:v>OPEN</x:v>
      </x:c>
    </x:row>
    <x:row r="331">
      <x:c r="A331" s="14" t="str">
        <x:v>TO-327</x:v>
      </x:c>
      <x:c r="B331" s="14" t="str">
        <x:v>RC-55</x:v>
      </x:c>
      <x:c r="C331" s="14" t="str">
        <x:v>ER-07</x:v>
      </x:c>
      <x:c r="D331" s="14" t="str">
        <x:v>PHO</x:v>
      </x:c>
      <x:c r="E331" s="14" t="str">
        <x:v>Metrological</x:v>
      </x:c>
      <x:c r="F331" s="14" t="str">
        <x:v>OPEN</x:v>
      </x:c>
      <x:c r="G331" s="14" t="str">
        <x:v>OPEN</x:v>
      </x:c>
    </x:row>
    <x:row r="332">
      <x:c r="A332" s="15" t="str">
        <x:v>TO-328</x:v>
      </x:c>
      <x:c r="B332" s="15" t="str">
        <x:v>RC-55</x:v>
      </x:c>
      <x:c r="C332" s="15" t="str">
        <x:v>ER-07</x:v>
      </x:c>
      <x:c r="D332" s="15" t="str">
        <x:v>PHO</x:v>
      </x:c>
      <x:c r="E332" s="15" t="str">
        <x:v>Computational</x:v>
      </x:c>
      <x:c r="F332" s="15" t="str">
        <x:v>OPEN</x:v>
      </x:c>
      <x:c r="G332" s="15" t="str">
        <x:v>OPEN</x:v>
      </x:c>
    </x:row>
    <x:row r="333">
      <x:c r="A333" s="14" t="str">
        <x:v>TO-329</x:v>
      </x:c>
      <x:c r="B333" s="14" t="str">
        <x:v>RC-55</x:v>
      </x:c>
      <x:c r="C333" s="14" t="str">
        <x:v>ER-07</x:v>
      </x:c>
      <x:c r="D333" s="14" t="str">
        <x:v>PHO</x:v>
      </x:c>
      <x:c r="E333" s="14" t="str">
        <x:v>Uncertainty</x:v>
      </x:c>
      <x:c r="F333" s="14" t="str">
        <x:v>OPEN</x:v>
      </x:c>
      <x:c r="G333" s="14" t="str">
        <x:v>OPEN</x:v>
      </x:c>
    </x:row>
    <x:row r="334">
      <x:c r="A334" s="15" t="str">
        <x:v>TO-330</x:v>
      </x:c>
      <x:c r="B334" s="15" t="str">
        <x:v>RC-55</x:v>
      </x:c>
      <x:c r="C334" s="15" t="str">
        <x:v>ER-07</x:v>
      </x:c>
      <x:c r="D334" s="15" t="str">
        <x:v>PHO</x:v>
      </x:c>
      <x:c r="E334" s="15" t="str">
        <x:v>Authority</x:v>
      </x:c>
      <x:c r="F334" s="15" t="str">
        <x:v>OPEN</x:v>
      </x:c>
      <x:c r="G334" s="15" t="str">
        <x:v>OPEN</x:v>
      </x:c>
    </x:row>
    <x:row r="335">
      <x:c r="A335" s="14" t="str">
        <x:v>TO-331</x:v>
      </x:c>
      <x:c r="B335" s="14" t="str">
        <x:v>RC-56</x:v>
      </x:c>
      <x:c r="C335" s="14" t="str">
        <x:v>ER-07</x:v>
      </x:c>
      <x:c r="D335" s="14" t="str">
        <x:v>ION</x:v>
      </x:c>
      <x:c r="E335" s="14" t="str">
        <x:v>Semantic</x:v>
      </x:c>
      <x:c r="F335" s="14" t="str">
        <x:v>OPEN</x:v>
      </x:c>
      <x:c r="G335" s="14" t="str">
        <x:v>OPEN</x:v>
      </x:c>
    </x:row>
    <x:row r="336">
      <x:c r="A336" s="15" t="str">
        <x:v>TO-332</x:v>
      </x:c>
      <x:c r="B336" s="15" t="str">
        <x:v>RC-56</x:v>
      </x:c>
      <x:c r="C336" s="15" t="str">
        <x:v>ER-07</x:v>
      </x:c>
      <x:c r="D336" s="15" t="str">
        <x:v>ION</x:v>
      </x:c>
      <x:c r="E336" s="15" t="str">
        <x:v>Physical</x:v>
      </x:c>
      <x:c r="F336" s="15" t="str">
        <x:v>OPEN</x:v>
      </x:c>
      <x:c r="G336" s="15" t="str">
        <x:v>OPEN</x:v>
      </x:c>
    </x:row>
    <x:row r="337">
      <x:c r="A337" s="14" t="str">
        <x:v>TO-333</x:v>
      </x:c>
      <x:c r="B337" s="14" t="str">
        <x:v>RC-56</x:v>
      </x:c>
      <x:c r="C337" s="14" t="str">
        <x:v>ER-07</x:v>
      </x:c>
      <x:c r="D337" s="14" t="str">
        <x:v>ION</x:v>
      </x:c>
      <x:c r="E337" s="14" t="str">
        <x:v>Metrological</x:v>
      </x:c>
      <x:c r="F337" s="14" t="str">
        <x:v>OPEN</x:v>
      </x:c>
      <x:c r="G337" s="14" t="str">
        <x:v>OPEN</x:v>
      </x:c>
    </x:row>
    <x:row r="338">
      <x:c r="A338" s="15" t="str">
        <x:v>TO-334</x:v>
      </x:c>
      <x:c r="B338" s="15" t="str">
        <x:v>RC-56</x:v>
      </x:c>
      <x:c r="C338" s="15" t="str">
        <x:v>ER-07</x:v>
      </x:c>
      <x:c r="D338" s="15" t="str">
        <x:v>ION</x:v>
      </x:c>
      <x:c r="E338" s="15" t="str">
        <x:v>Computational</x:v>
      </x:c>
      <x:c r="F338" s="15" t="str">
        <x:v>OPEN</x:v>
      </x:c>
      <x:c r="G338" s="15" t="str">
        <x:v>OPEN</x:v>
      </x:c>
    </x:row>
    <x:row r="339">
      <x:c r="A339" s="14" t="str">
        <x:v>TO-335</x:v>
      </x:c>
      <x:c r="B339" s="14" t="str">
        <x:v>RC-56</x:v>
      </x:c>
      <x:c r="C339" s="14" t="str">
        <x:v>ER-07</x:v>
      </x:c>
      <x:c r="D339" s="14" t="str">
        <x:v>ION</x:v>
      </x:c>
      <x:c r="E339" s="14" t="str">
        <x:v>Uncertainty</x:v>
      </x:c>
      <x:c r="F339" s="14" t="str">
        <x:v>OPEN</x:v>
      </x:c>
      <x:c r="G339" s="14" t="str">
        <x:v>OPEN</x:v>
      </x:c>
    </x:row>
    <x:row r="340">
      <x:c r="A340" s="15" t="str">
        <x:v>TO-336</x:v>
      </x:c>
      <x:c r="B340" s="15" t="str">
        <x:v>RC-56</x:v>
      </x:c>
      <x:c r="C340" s="15" t="str">
        <x:v>ER-07</x:v>
      </x:c>
      <x:c r="D340" s="15" t="str">
        <x:v>ION</x:v>
      </x:c>
      <x:c r="E340" s="15" t="str">
        <x:v>Authority</x:v>
      </x:c>
      <x:c r="F340" s="15" t="str">
        <x:v>OPEN</x:v>
      </x:c>
      <x:c r="G340" s="15" t="str">
        <x:v>OPEN</x:v>
      </x:c>
    </x:row>
    <x:row r="341">
      <x:c r="A341" s="14" t="str">
        <x:v>TO-337</x:v>
      </x:c>
      <x:c r="B341" s="14" t="str">
        <x:v>RC-57</x:v>
      </x:c>
      <x:c r="C341" s="14" t="str">
        <x:v>ER-07</x:v>
      </x:c>
      <x:c r="D341" s="14" t="str">
        <x:v>TOP</x:v>
      </x:c>
      <x:c r="E341" s="14" t="str">
        <x:v>Semantic</x:v>
      </x:c>
      <x:c r="F341" s="14" t="str">
        <x:v>OPEN</x:v>
      </x:c>
      <x:c r="G341" s="14" t="str">
        <x:v>OPEN</x:v>
      </x:c>
    </x:row>
    <x:row r="342">
      <x:c r="A342" s="15" t="str">
        <x:v>TO-338</x:v>
      </x:c>
      <x:c r="B342" s="15" t="str">
        <x:v>RC-57</x:v>
      </x:c>
      <x:c r="C342" s="15" t="str">
        <x:v>ER-07</x:v>
      </x:c>
      <x:c r="D342" s="15" t="str">
        <x:v>TOP</x:v>
      </x:c>
      <x:c r="E342" s="15" t="str">
        <x:v>Physical</x:v>
      </x:c>
      <x:c r="F342" s="15" t="str">
        <x:v>OPEN</x:v>
      </x:c>
      <x:c r="G342" s="15" t="str">
        <x:v>OPEN</x:v>
      </x:c>
    </x:row>
    <x:row r="343">
      <x:c r="A343" s="14" t="str">
        <x:v>TO-339</x:v>
      </x:c>
      <x:c r="B343" s="14" t="str">
        <x:v>RC-57</x:v>
      </x:c>
      <x:c r="C343" s="14" t="str">
        <x:v>ER-07</x:v>
      </x:c>
      <x:c r="D343" s="14" t="str">
        <x:v>TOP</x:v>
      </x:c>
      <x:c r="E343" s="14" t="str">
        <x:v>Metrological</x:v>
      </x:c>
      <x:c r="F343" s="14" t="str">
        <x:v>OPEN</x:v>
      </x:c>
      <x:c r="G343" s="14" t="str">
        <x:v>OPEN</x:v>
      </x:c>
    </x:row>
    <x:row r="344">
      <x:c r="A344" s="15" t="str">
        <x:v>TO-340</x:v>
      </x:c>
      <x:c r="B344" s="15" t="str">
        <x:v>RC-57</x:v>
      </x:c>
      <x:c r="C344" s="15" t="str">
        <x:v>ER-07</x:v>
      </x:c>
      <x:c r="D344" s="15" t="str">
        <x:v>TOP</x:v>
      </x:c>
      <x:c r="E344" s="15" t="str">
        <x:v>Computational</x:v>
      </x:c>
      <x:c r="F344" s="15" t="str">
        <x:v>OPEN</x:v>
      </x:c>
      <x:c r="G344" s="15" t="str">
        <x:v>OPEN</x:v>
      </x:c>
    </x:row>
    <x:row r="345">
      <x:c r="A345" s="14" t="str">
        <x:v>TO-341</x:v>
      </x:c>
      <x:c r="B345" s="14" t="str">
        <x:v>RC-57</x:v>
      </x:c>
      <x:c r="C345" s="14" t="str">
        <x:v>ER-07</x:v>
      </x:c>
      <x:c r="D345" s="14" t="str">
        <x:v>TOP</x:v>
      </x:c>
      <x:c r="E345" s="14" t="str">
        <x:v>Uncertainty</x:v>
      </x:c>
      <x:c r="F345" s="14" t="str">
        <x:v>OPEN</x:v>
      </x:c>
      <x:c r="G345" s="14" t="str">
        <x:v>OPEN</x:v>
      </x:c>
    </x:row>
    <x:row r="346">
      <x:c r="A346" s="15" t="str">
        <x:v>TO-342</x:v>
      </x:c>
      <x:c r="B346" s="15" t="str">
        <x:v>RC-57</x:v>
      </x:c>
      <x:c r="C346" s="15" t="str">
        <x:v>ER-07</x:v>
      </x:c>
      <x:c r="D346" s="15" t="str">
        <x:v>TOP</x:v>
      </x:c>
      <x:c r="E346" s="15" t="str">
        <x:v>Authority</x:v>
      </x:c>
      <x:c r="F346" s="15" t="str">
        <x:v>OPEN</x:v>
      </x:c>
      <x:c r="G346" s="15" t="str">
        <x:v>OPEN</x:v>
      </x:c>
    </x:row>
    <x:row r="347">
      <x:c r="A347" s="14" t="str">
        <x:v>TO-343</x:v>
      </x:c>
      <x:c r="B347" s="14" t="str">
        <x:v>RC-58</x:v>
      </x:c>
      <x:c r="C347" s="14" t="str">
        <x:v>ER-07</x:v>
      </x:c>
      <x:c r="D347" s="14" t="str">
        <x:v>MOL</x:v>
      </x:c>
      <x:c r="E347" s="14" t="str">
        <x:v>Semantic</x:v>
      </x:c>
      <x:c r="F347" s="14" t="str">
        <x:v>OPEN</x:v>
      </x:c>
      <x:c r="G347" s="14" t="str">
        <x:v>OPEN</x:v>
      </x:c>
    </x:row>
    <x:row r="348">
      <x:c r="A348" s="15" t="str">
        <x:v>TO-344</x:v>
      </x:c>
      <x:c r="B348" s="15" t="str">
        <x:v>RC-58</x:v>
      </x:c>
      <x:c r="C348" s="15" t="str">
        <x:v>ER-07</x:v>
      </x:c>
      <x:c r="D348" s="15" t="str">
        <x:v>MOL</x:v>
      </x:c>
      <x:c r="E348" s="15" t="str">
        <x:v>Physical</x:v>
      </x:c>
      <x:c r="F348" s="15" t="str">
        <x:v>OPEN</x:v>
      </x:c>
      <x:c r="G348" s="15" t="str">
        <x:v>OPEN</x:v>
      </x:c>
    </x:row>
    <x:row r="349">
      <x:c r="A349" s="14" t="str">
        <x:v>TO-345</x:v>
      </x:c>
      <x:c r="B349" s="14" t="str">
        <x:v>RC-58</x:v>
      </x:c>
      <x:c r="C349" s="14" t="str">
        <x:v>ER-07</x:v>
      </x:c>
      <x:c r="D349" s="14" t="str">
        <x:v>MOL</x:v>
      </x:c>
      <x:c r="E349" s="14" t="str">
        <x:v>Metrological</x:v>
      </x:c>
      <x:c r="F349" s="14" t="str">
        <x:v>OPEN</x:v>
      </x:c>
      <x:c r="G349" s="14" t="str">
        <x:v>OPEN</x:v>
      </x:c>
    </x:row>
    <x:row r="350">
      <x:c r="A350" s="15" t="str">
        <x:v>TO-346</x:v>
      </x:c>
      <x:c r="B350" s="15" t="str">
        <x:v>RC-58</x:v>
      </x:c>
      <x:c r="C350" s="15" t="str">
        <x:v>ER-07</x:v>
      </x:c>
      <x:c r="D350" s="15" t="str">
        <x:v>MOL</x:v>
      </x:c>
      <x:c r="E350" s="15" t="str">
        <x:v>Computational</x:v>
      </x:c>
      <x:c r="F350" s="15" t="str">
        <x:v>OPEN</x:v>
      </x:c>
      <x:c r="G350" s="15" t="str">
        <x:v>OPEN</x:v>
      </x:c>
    </x:row>
    <x:row r="351">
      <x:c r="A351" s="14" t="str">
        <x:v>TO-347</x:v>
      </x:c>
      <x:c r="B351" s="14" t="str">
        <x:v>RC-58</x:v>
      </x:c>
      <x:c r="C351" s="14" t="str">
        <x:v>ER-07</x:v>
      </x:c>
      <x:c r="D351" s="14" t="str">
        <x:v>MOL</x:v>
      </x:c>
      <x:c r="E351" s="14" t="str">
        <x:v>Uncertainty</x:v>
      </x:c>
      <x:c r="F351" s="14" t="str">
        <x:v>OPEN</x:v>
      </x:c>
      <x:c r="G351" s="14" t="str">
        <x:v>OPEN</x:v>
      </x:c>
    </x:row>
    <x:row r="352">
      <x:c r="A352" s="15" t="str">
        <x:v>TO-348</x:v>
      </x:c>
      <x:c r="B352" s="15" t="str">
        <x:v>RC-58</x:v>
      </x:c>
      <x:c r="C352" s="15" t="str">
        <x:v>ER-07</x:v>
      </x:c>
      <x:c r="D352" s="15" t="str">
        <x:v>MOL</x:v>
      </x:c>
      <x:c r="E352" s="15" t="str">
        <x:v>Authority</x:v>
      </x:c>
      <x:c r="F352" s="15" t="str">
        <x:v>OPEN</x:v>
      </x:c>
      <x:c r="G352" s="15" t="str">
        <x:v>OPEN</x:v>
      </x:c>
    </x:row>
    <x:row r="353">
      <x:c r="A353" s="14" t="str">
        <x:v>TO-349</x:v>
      </x:c>
      <x:c r="B353" s="14" t="str">
        <x:v>RC-59</x:v>
      </x:c>
      <x:c r="C353" s="14" t="str">
        <x:v>ER-07</x:v>
      </x:c>
      <x:c r="D353" s="14" t="str">
        <x:v>CAL</x:v>
      </x:c>
      <x:c r="E353" s="14" t="str">
        <x:v>Semantic</x:v>
      </x:c>
      <x:c r="F353" s="14" t="str">
        <x:v>OPEN</x:v>
      </x:c>
      <x:c r="G353" s="14" t="str">
        <x:v>OPEN</x:v>
      </x:c>
    </x:row>
    <x:row r="354">
      <x:c r="A354" s="15" t="str">
        <x:v>TO-350</x:v>
      </x:c>
      <x:c r="B354" s="15" t="str">
        <x:v>RC-59</x:v>
      </x:c>
      <x:c r="C354" s="15" t="str">
        <x:v>ER-07</x:v>
      </x:c>
      <x:c r="D354" s="15" t="str">
        <x:v>CAL</x:v>
      </x:c>
      <x:c r="E354" s="15" t="str">
        <x:v>Physical</x:v>
      </x:c>
      <x:c r="F354" s="15" t="str">
        <x:v>OPEN</x:v>
      </x:c>
      <x:c r="G354" s="15" t="str">
        <x:v>OPEN</x:v>
      </x:c>
    </x:row>
    <x:row r="355">
      <x:c r="A355" s="14" t="str">
        <x:v>TO-351</x:v>
      </x:c>
      <x:c r="B355" s="14" t="str">
        <x:v>RC-59</x:v>
      </x:c>
      <x:c r="C355" s="14" t="str">
        <x:v>ER-07</x:v>
      </x:c>
      <x:c r="D355" s="14" t="str">
        <x:v>CAL</x:v>
      </x:c>
      <x:c r="E355" s="14" t="str">
        <x:v>Metrological</x:v>
      </x:c>
      <x:c r="F355" s="14" t="str">
        <x:v>OPEN</x:v>
      </x:c>
      <x:c r="G355" s="14" t="str">
        <x:v>OPEN</x:v>
      </x:c>
    </x:row>
    <x:row r="356">
      <x:c r="A356" s="15" t="str">
        <x:v>TO-352</x:v>
      </x:c>
      <x:c r="B356" s="15" t="str">
        <x:v>RC-59</x:v>
      </x:c>
      <x:c r="C356" s="15" t="str">
        <x:v>ER-07</x:v>
      </x:c>
      <x:c r="D356" s="15" t="str">
        <x:v>CAL</x:v>
      </x:c>
      <x:c r="E356" s="15" t="str">
        <x:v>Computational</x:v>
      </x:c>
      <x:c r="F356" s="15" t="str">
        <x:v>OPEN</x:v>
      </x:c>
      <x:c r="G356" s="15" t="str">
        <x:v>OPEN</x:v>
      </x:c>
    </x:row>
    <x:row r="357">
      <x:c r="A357" s="14" t="str">
        <x:v>TO-353</x:v>
      </x:c>
      <x:c r="B357" s="14" t="str">
        <x:v>RC-59</x:v>
      </x:c>
      <x:c r="C357" s="14" t="str">
        <x:v>ER-07</x:v>
      </x:c>
      <x:c r="D357" s="14" t="str">
        <x:v>CAL</x:v>
      </x:c>
      <x:c r="E357" s="14" t="str">
        <x:v>Uncertainty</x:v>
      </x:c>
      <x:c r="F357" s="14" t="str">
        <x:v>OPEN</x:v>
      </x:c>
      <x:c r="G357" s="14" t="str">
        <x:v>OPEN</x:v>
      </x:c>
    </x:row>
    <x:row r="358">
      <x:c r="A358" s="15" t="str">
        <x:v>TO-354</x:v>
      </x:c>
      <x:c r="B358" s="15" t="str">
        <x:v>RC-59</x:v>
      </x:c>
      <x:c r="C358" s="15" t="str">
        <x:v>ER-07</x:v>
      </x:c>
      <x:c r="D358" s="15" t="str">
        <x:v>CAL</x:v>
      </x:c>
      <x:c r="E358" s="15" t="str">
        <x:v>Authority</x:v>
      </x:c>
      <x:c r="F358" s="15" t="str">
        <x:v>OPEN</x:v>
      </x:c>
      <x:c r="G358" s="15" t="str">
        <x:v>OPEN</x:v>
      </x:c>
    </x:row>
    <x:row r="359">
      <x:c r="A359" s="14" t="str">
        <x:v>TO-355</x:v>
      </x:c>
      <x:c r="B359" s="14" t="str">
        <x:v>RC-60</x:v>
      </x:c>
      <x:c r="C359" s="14" t="str">
        <x:v>ER-07</x:v>
      </x:c>
      <x:c r="D359" s="14" t="str">
        <x:v>AQU</x:v>
      </x:c>
      <x:c r="E359" s="14" t="str">
        <x:v>Semantic</x:v>
      </x:c>
      <x:c r="F359" s="14" t="str">
        <x:v>OPEN</x:v>
      </x:c>
      <x:c r="G359" s="14" t="str">
        <x:v>OPEN</x:v>
      </x:c>
    </x:row>
    <x:row r="360">
      <x:c r="A360" s="15" t="str">
        <x:v>TO-356</x:v>
      </x:c>
      <x:c r="B360" s="15" t="str">
        <x:v>RC-60</x:v>
      </x:c>
      <x:c r="C360" s="15" t="str">
        <x:v>ER-07</x:v>
      </x:c>
      <x:c r="D360" s="15" t="str">
        <x:v>AQU</x:v>
      </x:c>
      <x:c r="E360" s="15" t="str">
        <x:v>Physical</x:v>
      </x:c>
      <x:c r="F360" s="15" t="str">
        <x:v>OPEN</x:v>
      </x:c>
      <x:c r="G360" s="15" t="str">
        <x:v>OPEN</x:v>
      </x:c>
    </x:row>
    <x:row r="361">
      <x:c r="A361" s="14" t="str">
        <x:v>TO-357</x:v>
      </x:c>
      <x:c r="B361" s="14" t="str">
        <x:v>RC-60</x:v>
      </x:c>
      <x:c r="C361" s="14" t="str">
        <x:v>ER-07</x:v>
      </x:c>
      <x:c r="D361" s="14" t="str">
        <x:v>AQU</x:v>
      </x:c>
      <x:c r="E361" s="14" t="str">
        <x:v>Metrological</x:v>
      </x:c>
      <x:c r="F361" s="14" t="str">
        <x:v>OPEN</x:v>
      </x:c>
      <x:c r="G361" s="14" t="str">
        <x:v>OPEN</x:v>
      </x:c>
    </x:row>
    <x:row r="362">
      <x:c r="A362" s="15" t="str">
        <x:v>TO-358</x:v>
      </x:c>
      <x:c r="B362" s="15" t="str">
        <x:v>RC-60</x:v>
      </x:c>
      <x:c r="C362" s="15" t="str">
        <x:v>ER-07</x:v>
      </x:c>
      <x:c r="D362" s="15" t="str">
        <x:v>AQU</x:v>
      </x:c>
      <x:c r="E362" s="15" t="str">
        <x:v>Computational</x:v>
      </x:c>
      <x:c r="F362" s="15" t="str">
        <x:v>OPEN</x:v>
      </x:c>
      <x:c r="G362" s="15" t="str">
        <x:v>OPEN</x:v>
      </x:c>
    </x:row>
    <x:row r="363">
      <x:c r="A363" s="14" t="str">
        <x:v>TO-359</x:v>
      </x:c>
      <x:c r="B363" s="14" t="str">
        <x:v>RC-60</x:v>
      </x:c>
      <x:c r="C363" s="14" t="str">
        <x:v>ER-07</x:v>
      </x:c>
      <x:c r="D363" s="14" t="str">
        <x:v>AQU</x:v>
      </x:c>
      <x:c r="E363" s="14" t="str">
        <x:v>Uncertainty</x:v>
      </x:c>
      <x:c r="F363" s="14" t="str">
        <x:v>OPEN</x:v>
      </x:c>
      <x:c r="G363" s="14" t="str">
        <x:v>OPEN</x:v>
      </x:c>
    </x:row>
    <x:row r="364">
      <x:c r="A364" s="15" t="str">
        <x:v>TO-360</x:v>
      </x:c>
      <x:c r="B364" s="15" t="str">
        <x:v>RC-60</x:v>
      </x:c>
      <x:c r="C364" s="15" t="str">
        <x:v>ER-07</x:v>
      </x:c>
      <x:c r="D364" s="15" t="str">
        <x:v>AQU</x:v>
      </x:c>
      <x:c r="E364" s="15" t="str">
        <x:v>Authority</x:v>
      </x:c>
      <x:c r="F364" s="15" t="str">
        <x:v>OPEN</x:v>
      </x:c>
      <x:c r="G364" s="15" t="str">
        <x:v>OPEN</x:v>
      </x:c>
    </x:row>
    <x:row r="365">
      <x:c r="A365" s="14" t="str">
        <x:v>TO-361</x:v>
      </x:c>
      <x:c r="B365" s="14" t="str">
        <x:v>RC-61</x:v>
      </x:c>
      <x:c r="C365" s="14" t="str">
        <x:v>ER-07</x:v>
      </x:c>
      <x:c r="D365" s="14" t="str">
        <x:v>COU</x:v>
      </x:c>
      <x:c r="E365" s="14" t="str">
        <x:v>Semantic</x:v>
      </x:c>
      <x:c r="F365" s="14" t="str">
        <x:v>OPEN</x:v>
      </x:c>
      <x:c r="G365" s="14" t="str">
        <x:v>OPEN</x:v>
      </x:c>
    </x:row>
    <x:row r="366">
      <x:c r="A366" s="15" t="str">
        <x:v>TO-362</x:v>
      </x:c>
      <x:c r="B366" s="15" t="str">
        <x:v>RC-61</x:v>
      </x:c>
      <x:c r="C366" s="15" t="str">
        <x:v>ER-07</x:v>
      </x:c>
      <x:c r="D366" s="15" t="str">
        <x:v>COU</x:v>
      </x:c>
      <x:c r="E366" s="15" t="str">
        <x:v>Physical</x:v>
      </x:c>
      <x:c r="F366" s="15" t="str">
        <x:v>OPEN</x:v>
      </x:c>
      <x:c r="G366" s="15" t="str">
        <x:v>OPEN</x:v>
      </x:c>
    </x:row>
    <x:row r="367">
      <x:c r="A367" s="14" t="str">
        <x:v>TO-363</x:v>
      </x:c>
      <x:c r="B367" s="14" t="str">
        <x:v>RC-61</x:v>
      </x:c>
      <x:c r="C367" s="14" t="str">
        <x:v>ER-07</x:v>
      </x:c>
      <x:c r="D367" s="14" t="str">
        <x:v>COU</x:v>
      </x:c>
      <x:c r="E367" s="14" t="str">
        <x:v>Metrological</x:v>
      </x:c>
      <x:c r="F367" s="14" t="str">
        <x:v>OPEN</x:v>
      </x:c>
      <x:c r="G367" s="14" t="str">
        <x:v>OPEN</x:v>
      </x:c>
    </x:row>
    <x:row r="368">
      <x:c r="A368" s="15" t="str">
        <x:v>TO-364</x:v>
      </x:c>
      <x:c r="B368" s="15" t="str">
        <x:v>RC-61</x:v>
      </x:c>
      <x:c r="C368" s="15" t="str">
        <x:v>ER-07</x:v>
      </x:c>
      <x:c r="D368" s="15" t="str">
        <x:v>COU</x:v>
      </x:c>
      <x:c r="E368" s="15" t="str">
        <x:v>Computational</x:v>
      </x:c>
      <x:c r="F368" s="15" t="str">
        <x:v>OPEN</x:v>
      </x:c>
      <x:c r="G368" s="15" t="str">
        <x:v>OPEN</x:v>
      </x:c>
    </x:row>
    <x:row r="369">
      <x:c r="A369" s="14" t="str">
        <x:v>TO-365</x:v>
      </x:c>
      <x:c r="B369" s="14" t="str">
        <x:v>RC-61</x:v>
      </x:c>
      <x:c r="C369" s="14" t="str">
        <x:v>ER-07</x:v>
      </x:c>
      <x:c r="D369" s="14" t="str">
        <x:v>COU</x:v>
      </x:c>
      <x:c r="E369" s="14" t="str">
        <x:v>Uncertainty</x:v>
      </x:c>
      <x:c r="F369" s="14" t="str">
        <x:v>OPEN</x:v>
      </x:c>
      <x:c r="G369" s="14" t="str">
        <x:v>OPEN</x:v>
      </x:c>
    </x:row>
    <x:row r="370">
      <x:c r="A370" s="15" t="str">
        <x:v>TO-366</x:v>
      </x:c>
      <x:c r="B370" s="15" t="str">
        <x:v>RC-61</x:v>
      </x:c>
      <x:c r="C370" s="15" t="str">
        <x:v>ER-07</x:v>
      </x:c>
      <x:c r="D370" s="15" t="str">
        <x:v>COU</x:v>
      </x:c>
      <x:c r="E370" s="15" t="str">
        <x:v>Authority</x:v>
      </x:c>
      <x:c r="F370" s="15" t="str">
        <x:v>OPEN</x:v>
      </x:c>
      <x:c r="G370" s="15" t="str">
        <x:v>OPEN</x:v>
      </x:c>
    </x:row>
    <x:row r="371">
      <x:c r="A371" s="14" t="str">
        <x:v>TO-367</x:v>
      </x:c>
      <x:c r="B371" s="14" t="str">
        <x:v>RC-62</x:v>
      </x:c>
      <x:c r="C371" s="14" t="str">
        <x:v>ER-07</x:v>
      </x:c>
      <x:c r="D371" s="14" t="str">
        <x:v>DIV</x:v>
      </x:c>
      <x:c r="E371" s="14" t="str">
        <x:v>Semantic</x:v>
      </x:c>
      <x:c r="F371" s="14" t="str">
        <x:v>OPEN</x:v>
      </x:c>
      <x:c r="G371" s="14" t="str">
        <x:v>OPEN</x:v>
      </x:c>
    </x:row>
    <x:row r="372">
      <x:c r="A372" s="15" t="str">
        <x:v>TO-368</x:v>
      </x:c>
      <x:c r="B372" s="15" t="str">
        <x:v>RC-62</x:v>
      </x:c>
      <x:c r="C372" s="15" t="str">
        <x:v>ER-07</x:v>
      </x:c>
      <x:c r="D372" s="15" t="str">
        <x:v>DIV</x:v>
      </x:c>
      <x:c r="E372" s="15" t="str">
        <x:v>Physical</x:v>
      </x:c>
      <x:c r="F372" s="15" t="str">
        <x:v>OPEN</x:v>
      </x:c>
      <x:c r="G372" s="15" t="str">
        <x:v>OPEN</x:v>
      </x:c>
    </x:row>
    <x:row r="373">
      <x:c r="A373" s="14" t="str">
        <x:v>TO-369</x:v>
      </x:c>
      <x:c r="B373" s="14" t="str">
        <x:v>RC-62</x:v>
      </x:c>
      <x:c r="C373" s="14" t="str">
        <x:v>ER-07</x:v>
      </x:c>
      <x:c r="D373" s="14" t="str">
        <x:v>DIV</x:v>
      </x:c>
      <x:c r="E373" s="14" t="str">
        <x:v>Metrological</x:v>
      </x:c>
      <x:c r="F373" s="14" t="str">
        <x:v>OPEN</x:v>
      </x:c>
      <x:c r="G373" s="14" t="str">
        <x:v>OPEN</x:v>
      </x:c>
    </x:row>
    <x:row r="374">
      <x:c r="A374" s="15" t="str">
        <x:v>TO-370</x:v>
      </x:c>
      <x:c r="B374" s="15" t="str">
        <x:v>RC-62</x:v>
      </x:c>
      <x:c r="C374" s="15" t="str">
        <x:v>ER-07</x:v>
      </x:c>
      <x:c r="D374" s="15" t="str">
        <x:v>DIV</x:v>
      </x:c>
      <x:c r="E374" s="15" t="str">
        <x:v>Computational</x:v>
      </x:c>
      <x:c r="F374" s="15" t="str">
        <x:v>OPEN</x:v>
      </x:c>
      <x:c r="G374" s="15" t="str">
        <x:v>OPEN</x:v>
      </x:c>
    </x:row>
    <x:row r="375">
      <x:c r="A375" s="14" t="str">
        <x:v>TO-371</x:v>
      </x:c>
      <x:c r="B375" s="14" t="str">
        <x:v>RC-62</x:v>
      </x:c>
      <x:c r="C375" s="14" t="str">
        <x:v>ER-07</x:v>
      </x:c>
      <x:c r="D375" s="14" t="str">
        <x:v>DIV</x:v>
      </x:c>
      <x:c r="E375" s="14" t="str">
        <x:v>Uncertainty</x:v>
      </x:c>
      <x:c r="F375" s="14" t="str">
        <x:v>OPEN</x:v>
      </x:c>
      <x:c r="G375" s="14" t="str">
        <x:v>OPEN</x:v>
      </x:c>
    </x:row>
    <x:row r="376">
      <x:c r="A376" s="15" t="str">
        <x:v>TO-372</x:v>
      </x:c>
      <x:c r="B376" s="15" t="str">
        <x:v>RC-62</x:v>
      </x:c>
      <x:c r="C376" s="15" t="str">
        <x:v>ER-07</x:v>
      </x:c>
      <x:c r="D376" s="15" t="str">
        <x:v>DIV</x:v>
      </x:c>
      <x:c r="E376" s="15" t="str">
        <x:v>Authority</x:v>
      </x:c>
      <x:c r="F376" s="15" t="str">
        <x:v>OPEN</x:v>
      </x:c>
      <x:c r="G376" s="15" t="str">
        <x:v>OPEN</x:v>
      </x:c>
    </x:row>
    <x:row r="377">
      <x:c r="A377" s="14" t="str">
        <x:v>TO-373</x:v>
      </x:c>
      <x:c r="B377" s="14" t="str">
        <x:v>RC-63</x:v>
      </x:c>
      <x:c r="C377" s="14" t="str">
        <x:v>ER-07</x:v>
      </x:c>
      <x:c r="D377" s="14" t="str">
        <x:v>PUB</x:v>
      </x:c>
      <x:c r="E377" s="14" t="str">
        <x:v>Semantic</x:v>
      </x:c>
      <x:c r="F377" s="14" t="str">
        <x:v>OPEN</x:v>
      </x:c>
      <x:c r="G377" s="14" t="str">
        <x:v>OPEN</x:v>
      </x:c>
    </x:row>
    <x:row r="378">
      <x:c r="A378" s="15" t="str">
        <x:v>TO-374</x:v>
      </x:c>
      <x:c r="B378" s="15" t="str">
        <x:v>RC-63</x:v>
      </x:c>
      <x:c r="C378" s="15" t="str">
        <x:v>ER-07</x:v>
      </x:c>
      <x:c r="D378" s="15" t="str">
        <x:v>PUB</x:v>
      </x:c>
      <x:c r="E378" s="15" t="str">
        <x:v>Physical</x:v>
      </x:c>
      <x:c r="F378" s="15" t="str">
        <x:v>OPEN</x:v>
      </x:c>
      <x:c r="G378" s="15" t="str">
        <x:v>OPEN</x:v>
      </x:c>
    </x:row>
    <x:row r="379">
      <x:c r="A379" s="14" t="str">
        <x:v>TO-375</x:v>
      </x:c>
      <x:c r="B379" s="14" t="str">
        <x:v>RC-63</x:v>
      </x:c>
      <x:c r="C379" s="14" t="str">
        <x:v>ER-07</x:v>
      </x:c>
      <x:c r="D379" s="14" t="str">
        <x:v>PUB</x:v>
      </x:c>
      <x:c r="E379" s="14" t="str">
        <x:v>Metrological</x:v>
      </x:c>
      <x:c r="F379" s="14" t="str">
        <x:v>OPEN</x:v>
      </x:c>
      <x:c r="G379" s="14" t="str">
        <x:v>OPEN</x:v>
      </x:c>
    </x:row>
    <x:row r="380">
      <x:c r="A380" s="15" t="str">
        <x:v>TO-376</x:v>
      </x:c>
      <x:c r="B380" s="15" t="str">
        <x:v>RC-63</x:v>
      </x:c>
      <x:c r="C380" s="15" t="str">
        <x:v>ER-07</x:v>
      </x:c>
      <x:c r="D380" s="15" t="str">
        <x:v>PUB</x:v>
      </x:c>
      <x:c r="E380" s="15" t="str">
        <x:v>Computational</x:v>
      </x:c>
      <x:c r="F380" s="15" t="str">
        <x:v>OPEN</x:v>
      </x:c>
      <x:c r="G380" s="15" t="str">
        <x:v>OPEN</x:v>
      </x:c>
    </x:row>
    <x:row r="381">
      <x:c r="A381" s="14" t="str">
        <x:v>TO-377</x:v>
      </x:c>
      <x:c r="B381" s="14" t="str">
        <x:v>RC-63</x:v>
      </x:c>
      <x:c r="C381" s="14" t="str">
        <x:v>ER-07</x:v>
      </x:c>
      <x:c r="D381" s="14" t="str">
        <x:v>PUB</x:v>
      </x:c>
      <x:c r="E381" s="14" t="str">
        <x:v>Uncertainty</x:v>
      </x:c>
      <x:c r="F381" s="14" t="str">
        <x:v>OPEN</x:v>
      </x:c>
      <x:c r="G381" s="14" t="str">
        <x:v>OPEN</x:v>
      </x:c>
    </x:row>
    <x:row r="382">
      <x:c r="A382" s="15" t="str">
        <x:v>TO-378</x:v>
      </x:c>
      <x:c r="B382" s="15" t="str">
        <x:v>RC-63</x:v>
      </x:c>
      <x:c r="C382" s="15" t="str">
        <x:v>ER-07</x:v>
      </x:c>
      <x:c r="D382" s="15" t="str">
        <x:v>PUB</x:v>
      </x:c>
      <x:c r="E382" s="15" t="str">
        <x:v>Authority</x:v>
      </x:c>
      <x:c r="F382" s="15" t="str">
        <x:v>OPEN</x:v>
      </x:c>
      <x:c r="G382" s="15" t="str">
        <x:v>OPEN</x:v>
      </x:c>
    </x:row>
    <x:row r="383">
      <x:c r="A383" s="14" t="str">
        <x:v>TO-379</x:v>
      </x:c>
      <x:c r="B383" s="14" t="str">
        <x:v>RC-64</x:v>
      </x:c>
      <x:c r="C383" s="14" t="str">
        <x:v>ER-08</x:v>
      </x:c>
      <x:c r="D383" s="14" t="str">
        <x:v>PHO</x:v>
      </x:c>
      <x:c r="E383" s="14" t="str">
        <x:v>Semantic</x:v>
      </x:c>
      <x:c r="F383" s="14" t="str">
        <x:v>OPEN</x:v>
      </x:c>
      <x:c r="G383" s="14" t="str">
        <x:v>OPEN</x:v>
      </x:c>
    </x:row>
    <x:row r="384">
      <x:c r="A384" s="15" t="str">
        <x:v>TO-380</x:v>
      </x:c>
      <x:c r="B384" s="15" t="str">
        <x:v>RC-64</x:v>
      </x:c>
      <x:c r="C384" s="15" t="str">
        <x:v>ER-08</x:v>
      </x:c>
      <x:c r="D384" s="15" t="str">
        <x:v>PHO</x:v>
      </x:c>
      <x:c r="E384" s="15" t="str">
        <x:v>Physical</x:v>
      </x:c>
      <x:c r="F384" s="15" t="str">
        <x:v>OPEN</x:v>
      </x:c>
      <x:c r="G384" s="15" t="str">
        <x:v>OPEN</x:v>
      </x:c>
    </x:row>
    <x:row r="385">
      <x:c r="A385" s="14" t="str">
        <x:v>TO-381</x:v>
      </x:c>
      <x:c r="B385" s="14" t="str">
        <x:v>RC-64</x:v>
      </x:c>
      <x:c r="C385" s="14" t="str">
        <x:v>ER-08</x:v>
      </x:c>
      <x:c r="D385" s="14" t="str">
        <x:v>PHO</x:v>
      </x:c>
      <x:c r="E385" s="14" t="str">
        <x:v>Metrological</x:v>
      </x:c>
      <x:c r="F385" s="14" t="str">
        <x:v>OPEN</x:v>
      </x:c>
      <x:c r="G385" s="14" t="str">
        <x:v>OPEN</x:v>
      </x:c>
    </x:row>
    <x:row r="386">
      <x:c r="A386" s="15" t="str">
        <x:v>TO-382</x:v>
      </x:c>
      <x:c r="B386" s="15" t="str">
        <x:v>RC-64</x:v>
      </x:c>
      <x:c r="C386" s="15" t="str">
        <x:v>ER-08</x:v>
      </x:c>
      <x:c r="D386" s="15" t="str">
        <x:v>PHO</x:v>
      </x:c>
      <x:c r="E386" s="15" t="str">
        <x:v>Computational</x:v>
      </x:c>
      <x:c r="F386" s="15" t="str">
        <x:v>OPEN</x:v>
      </x:c>
      <x:c r="G386" s="15" t="str">
        <x:v>OPEN</x:v>
      </x:c>
    </x:row>
    <x:row r="387">
      <x:c r="A387" s="14" t="str">
        <x:v>TO-383</x:v>
      </x:c>
      <x:c r="B387" s="14" t="str">
        <x:v>RC-64</x:v>
      </x:c>
      <x:c r="C387" s="14" t="str">
        <x:v>ER-08</x:v>
      </x:c>
      <x:c r="D387" s="14" t="str">
        <x:v>PHO</x:v>
      </x:c>
      <x:c r="E387" s="14" t="str">
        <x:v>Uncertainty</x:v>
      </x:c>
      <x:c r="F387" s="14" t="str">
        <x:v>OPEN</x:v>
      </x:c>
      <x:c r="G387" s="14" t="str">
        <x:v>OPEN</x:v>
      </x:c>
    </x:row>
    <x:row r="388">
      <x:c r="A388" s="15" t="str">
        <x:v>TO-384</x:v>
      </x:c>
      <x:c r="B388" s="15" t="str">
        <x:v>RC-64</x:v>
      </x:c>
      <x:c r="C388" s="15" t="str">
        <x:v>ER-08</x:v>
      </x:c>
      <x:c r="D388" s="15" t="str">
        <x:v>PHO</x:v>
      </x:c>
      <x:c r="E388" s="15" t="str">
        <x:v>Authority</x:v>
      </x:c>
      <x:c r="F388" s="15" t="str">
        <x:v>OPEN</x:v>
      </x:c>
      <x:c r="G388" s="15" t="str">
        <x:v>OPEN</x:v>
      </x:c>
    </x:row>
    <x:row r="389">
      <x:c r="A389" s="14" t="str">
        <x:v>TO-385</x:v>
      </x:c>
      <x:c r="B389" s="14" t="str">
        <x:v>RC-65</x:v>
      </x:c>
      <x:c r="C389" s="14" t="str">
        <x:v>ER-08</x:v>
      </x:c>
      <x:c r="D389" s="14" t="str">
        <x:v>ION</x:v>
      </x:c>
      <x:c r="E389" s="14" t="str">
        <x:v>Semantic</x:v>
      </x:c>
      <x:c r="F389" s="14" t="str">
        <x:v>OPEN</x:v>
      </x:c>
      <x:c r="G389" s="14" t="str">
        <x:v>OPEN</x:v>
      </x:c>
    </x:row>
    <x:row r="390">
      <x:c r="A390" s="15" t="str">
        <x:v>TO-386</x:v>
      </x:c>
      <x:c r="B390" s="15" t="str">
        <x:v>RC-65</x:v>
      </x:c>
      <x:c r="C390" s="15" t="str">
        <x:v>ER-08</x:v>
      </x:c>
      <x:c r="D390" s="15" t="str">
        <x:v>ION</x:v>
      </x:c>
      <x:c r="E390" s="15" t="str">
        <x:v>Physical</x:v>
      </x:c>
      <x:c r="F390" s="15" t="str">
        <x:v>OPEN</x:v>
      </x:c>
      <x:c r="G390" s="15" t="str">
        <x:v>OPEN</x:v>
      </x:c>
    </x:row>
    <x:row r="391">
      <x:c r="A391" s="14" t="str">
        <x:v>TO-387</x:v>
      </x:c>
      <x:c r="B391" s="14" t="str">
        <x:v>RC-65</x:v>
      </x:c>
      <x:c r="C391" s="14" t="str">
        <x:v>ER-08</x:v>
      </x:c>
      <x:c r="D391" s="14" t="str">
        <x:v>ION</x:v>
      </x:c>
      <x:c r="E391" s="14" t="str">
        <x:v>Metrological</x:v>
      </x:c>
      <x:c r="F391" s="14" t="str">
        <x:v>OPEN</x:v>
      </x:c>
      <x:c r="G391" s="14" t="str">
        <x:v>OPEN</x:v>
      </x:c>
    </x:row>
    <x:row r="392">
      <x:c r="A392" s="15" t="str">
        <x:v>TO-388</x:v>
      </x:c>
      <x:c r="B392" s="15" t="str">
        <x:v>RC-65</x:v>
      </x:c>
      <x:c r="C392" s="15" t="str">
        <x:v>ER-08</x:v>
      </x:c>
      <x:c r="D392" s="15" t="str">
        <x:v>ION</x:v>
      </x:c>
      <x:c r="E392" s="15" t="str">
        <x:v>Computational</x:v>
      </x:c>
      <x:c r="F392" s="15" t="str">
        <x:v>OPEN</x:v>
      </x:c>
      <x:c r="G392" s="15" t="str">
        <x:v>OPEN</x:v>
      </x:c>
    </x:row>
    <x:row r="393">
      <x:c r="A393" s="14" t="str">
        <x:v>TO-389</x:v>
      </x:c>
      <x:c r="B393" s="14" t="str">
        <x:v>RC-65</x:v>
      </x:c>
      <x:c r="C393" s="14" t="str">
        <x:v>ER-08</x:v>
      </x:c>
      <x:c r="D393" s="14" t="str">
        <x:v>ION</x:v>
      </x:c>
      <x:c r="E393" s="14" t="str">
        <x:v>Uncertainty</x:v>
      </x:c>
      <x:c r="F393" s="14" t="str">
        <x:v>OPEN</x:v>
      </x:c>
      <x:c r="G393" s="14" t="str">
        <x:v>OPEN</x:v>
      </x:c>
    </x:row>
    <x:row r="394">
      <x:c r="A394" s="15" t="str">
        <x:v>TO-390</x:v>
      </x:c>
      <x:c r="B394" s="15" t="str">
        <x:v>RC-65</x:v>
      </x:c>
      <x:c r="C394" s="15" t="str">
        <x:v>ER-08</x:v>
      </x:c>
      <x:c r="D394" s="15" t="str">
        <x:v>ION</x:v>
      </x:c>
      <x:c r="E394" s="15" t="str">
        <x:v>Authority</x:v>
      </x:c>
      <x:c r="F394" s="15" t="str">
        <x:v>OPEN</x:v>
      </x:c>
      <x:c r="G394" s="15" t="str">
        <x:v>OPEN</x:v>
      </x:c>
    </x:row>
    <x:row r="395">
      <x:c r="A395" s="14" t="str">
        <x:v>TO-391</x:v>
      </x:c>
      <x:c r="B395" s="14" t="str">
        <x:v>RC-66</x:v>
      </x:c>
      <x:c r="C395" s="14" t="str">
        <x:v>ER-08</x:v>
      </x:c>
      <x:c r="D395" s="14" t="str">
        <x:v>TOP</x:v>
      </x:c>
      <x:c r="E395" s="14" t="str">
        <x:v>Semantic</x:v>
      </x:c>
      <x:c r="F395" s="14" t="str">
        <x:v>OPEN</x:v>
      </x:c>
      <x:c r="G395" s="14" t="str">
        <x:v>OPEN</x:v>
      </x:c>
    </x:row>
    <x:row r="396">
      <x:c r="A396" s="15" t="str">
        <x:v>TO-392</x:v>
      </x:c>
      <x:c r="B396" s="15" t="str">
        <x:v>RC-66</x:v>
      </x:c>
      <x:c r="C396" s="15" t="str">
        <x:v>ER-08</x:v>
      </x:c>
      <x:c r="D396" s="15" t="str">
        <x:v>TOP</x:v>
      </x:c>
      <x:c r="E396" s="15" t="str">
        <x:v>Physical</x:v>
      </x:c>
      <x:c r="F396" s="15" t="str">
        <x:v>OPEN</x:v>
      </x:c>
      <x:c r="G396" s="15" t="str">
        <x:v>OPEN</x:v>
      </x:c>
    </x:row>
    <x:row r="397">
      <x:c r="A397" s="14" t="str">
        <x:v>TO-393</x:v>
      </x:c>
      <x:c r="B397" s="14" t="str">
        <x:v>RC-66</x:v>
      </x:c>
      <x:c r="C397" s="14" t="str">
        <x:v>ER-08</x:v>
      </x:c>
      <x:c r="D397" s="14" t="str">
        <x:v>TOP</x:v>
      </x:c>
      <x:c r="E397" s="14" t="str">
        <x:v>Metrological</x:v>
      </x:c>
      <x:c r="F397" s="14" t="str">
        <x:v>OPEN</x:v>
      </x:c>
      <x:c r="G397" s="14" t="str">
        <x:v>OPEN</x:v>
      </x:c>
    </x:row>
    <x:row r="398">
      <x:c r="A398" s="15" t="str">
        <x:v>TO-394</x:v>
      </x:c>
      <x:c r="B398" s="15" t="str">
        <x:v>RC-66</x:v>
      </x:c>
      <x:c r="C398" s="15" t="str">
        <x:v>ER-08</x:v>
      </x:c>
      <x:c r="D398" s="15" t="str">
        <x:v>TOP</x:v>
      </x:c>
      <x:c r="E398" s="15" t="str">
        <x:v>Computational</x:v>
      </x:c>
      <x:c r="F398" s="15" t="str">
        <x:v>OPEN</x:v>
      </x:c>
      <x:c r="G398" s="15" t="str">
        <x:v>OPEN</x:v>
      </x:c>
    </x:row>
    <x:row r="399">
      <x:c r="A399" s="14" t="str">
        <x:v>TO-395</x:v>
      </x:c>
      <x:c r="B399" s="14" t="str">
        <x:v>RC-66</x:v>
      </x:c>
      <x:c r="C399" s="14" t="str">
        <x:v>ER-08</x:v>
      </x:c>
      <x:c r="D399" s="14" t="str">
        <x:v>TOP</x:v>
      </x:c>
      <x:c r="E399" s="14" t="str">
        <x:v>Uncertainty</x:v>
      </x:c>
      <x:c r="F399" s="14" t="str">
        <x:v>OPEN</x:v>
      </x:c>
      <x:c r="G399" s="14" t="str">
        <x:v>OPEN</x:v>
      </x:c>
    </x:row>
    <x:row r="400">
      <x:c r="A400" s="15" t="str">
        <x:v>TO-396</x:v>
      </x:c>
      <x:c r="B400" s="15" t="str">
        <x:v>RC-66</x:v>
      </x:c>
      <x:c r="C400" s="15" t="str">
        <x:v>ER-08</x:v>
      </x:c>
      <x:c r="D400" s="15" t="str">
        <x:v>TOP</x:v>
      </x:c>
      <x:c r="E400" s="15" t="str">
        <x:v>Authority</x:v>
      </x:c>
      <x:c r="F400" s="15" t="str">
        <x:v>OPEN</x:v>
      </x:c>
      <x:c r="G400" s="15" t="str">
        <x:v>OPEN</x:v>
      </x:c>
    </x:row>
    <x:row r="401">
      <x:c r="A401" s="14" t="str">
        <x:v>TO-397</x:v>
      </x:c>
      <x:c r="B401" s="14" t="str">
        <x:v>RC-67</x:v>
      </x:c>
      <x:c r="C401" s="14" t="str">
        <x:v>ER-08</x:v>
      </x:c>
      <x:c r="D401" s="14" t="str">
        <x:v>MOL</x:v>
      </x:c>
      <x:c r="E401" s="14" t="str">
        <x:v>Semantic</x:v>
      </x:c>
      <x:c r="F401" s="14" t="str">
        <x:v>OPEN</x:v>
      </x:c>
      <x:c r="G401" s="14" t="str">
        <x:v>OPEN</x:v>
      </x:c>
    </x:row>
    <x:row r="402">
      <x:c r="A402" s="15" t="str">
        <x:v>TO-398</x:v>
      </x:c>
      <x:c r="B402" s="15" t="str">
        <x:v>RC-67</x:v>
      </x:c>
      <x:c r="C402" s="15" t="str">
        <x:v>ER-08</x:v>
      </x:c>
      <x:c r="D402" s="15" t="str">
        <x:v>MOL</x:v>
      </x:c>
      <x:c r="E402" s="15" t="str">
        <x:v>Physical</x:v>
      </x:c>
      <x:c r="F402" s="15" t="str">
        <x:v>OPEN</x:v>
      </x:c>
      <x:c r="G402" s="15" t="str">
        <x:v>OPEN</x:v>
      </x:c>
    </x:row>
    <x:row r="403">
      <x:c r="A403" s="14" t="str">
        <x:v>TO-399</x:v>
      </x:c>
      <x:c r="B403" s="14" t="str">
        <x:v>RC-67</x:v>
      </x:c>
      <x:c r="C403" s="14" t="str">
        <x:v>ER-08</x:v>
      </x:c>
      <x:c r="D403" s="14" t="str">
        <x:v>MOL</x:v>
      </x:c>
      <x:c r="E403" s="14" t="str">
        <x:v>Metrological</x:v>
      </x:c>
      <x:c r="F403" s="14" t="str">
        <x:v>OPEN</x:v>
      </x:c>
      <x:c r="G403" s="14" t="str">
        <x:v>OPEN</x:v>
      </x:c>
    </x:row>
    <x:row r="404">
      <x:c r="A404" s="15" t="str">
        <x:v>TO-400</x:v>
      </x:c>
      <x:c r="B404" s="15" t="str">
        <x:v>RC-67</x:v>
      </x:c>
      <x:c r="C404" s="15" t="str">
        <x:v>ER-08</x:v>
      </x:c>
      <x:c r="D404" s="15" t="str">
        <x:v>MOL</x:v>
      </x:c>
      <x:c r="E404" s="15" t="str">
        <x:v>Computational</x:v>
      </x:c>
      <x:c r="F404" s="15" t="str">
        <x:v>OPEN</x:v>
      </x:c>
      <x:c r="G404" s="15" t="str">
        <x:v>OPEN</x:v>
      </x:c>
    </x:row>
    <x:row r="405">
      <x:c r="A405" s="14" t="str">
        <x:v>TO-401</x:v>
      </x:c>
      <x:c r="B405" s="14" t="str">
        <x:v>RC-67</x:v>
      </x:c>
      <x:c r="C405" s="14" t="str">
        <x:v>ER-08</x:v>
      </x:c>
      <x:c r="D405" s="14" t="str">
        <x:v>MOL</x:v>
      </x:c>
      <x:c r="E405" s="14" t="str">
        <x:v>Uncertainty</x:v>
      </x:c>
      <x:c r="F405" s="14" t="str">
        <x:v>OPEN</x:v>
      </x:c>
      <x:c r="G405" s="14" t="str">
        <x:v>OPEN</x:v>
      </x:c>
    </x:row>
    <x:row r="406">
      <x:c r="A406" s="15" t="str">
        <x:v>TO-402</x:v>
      </x:c>
      <x:c r="B406" s="15" t="str">
        <x:v>RC-67</x:v>
      </x:c>
      <x:c r="C406" s="15" t="str">
        <x:v>ER-08</x:v>
      </x:c>
      <x:c r="D406" s="15" t="str">
        <x:v>MOL</x:v>
      </x:c>
      <x:c r="E406" s="15" t="str">
        <x:v>Authority</x:v>
      </x:c>
      <x:c r="F406" s="15" t="str">
        <x:v>OPEN</x:v>
      </x:c>
      <x:c r="G406" s="15" t="str">
        <x:v>OPEN</x:v>
      </x:c>
    </x:row>
    <x:row r="407">
      <x:c r="A407" s="14" t="str">
        <x:v>TO-403</x:v>
      </x:c>
      <x:c r="B407" s="14" t="str">
        <x:v>RC-68</x:v>
      </x:c>
      <x:c r="C407" s="14" t="str">
        <x:v>ER-08</x:v>
      </x:c>
      <x:c r="D407" s="14" t="str">
        <x:v>CAL</x:v>
      </x:c>
      <x:c r="E407" s="14" t="str">
        <x:v>Semantic</x:v>
      </x:c>
      <x:c r="F407" s="14" t="str">
        <x:v>OPEN</x:v>
      </x:c>
      <x:c r="G407" s="14" t="str">
        <x:v>OPEN</x:v>
      </x:c>
    </x:row>
    <x:row r="408">
      <x:c r="A408" s="15" t="str">
        <x:v>TO-404</x:v>
      </x:c>
      <x:c r="B408" s="15" t="str">
        <x:v>RC-68</x:v>
      </x:c>
      <x:c r="C408" s="15" t="str">
        <x:v>ER-08</x:v>
      </x:c>
      <x:c r="D408" s="15" t="str">
        <x:v>CAL</x:v>
      </x:c>
      <x:c r="E408" s="15" t="str">
        <x:v>Physical</x:v>
      </x:c>
      <x:c r="F408" s="15" t="str">
        <x:v>OPEN</x:v>
      </x:c>
      <x:c r="G408" s="15" t="str">
        <x:v>OPEN</x:v>
      </x:c>
    </x:row>
    <x:row r="409">
      <x:c r="A409" s="14" t="str">
        <x:v>TO-405</x:v>
      </x:c>
      <x:c r="B409" s="14" t="str">
        <x:v>RC-68</x:v>
      </x:c>
      <x:c r="C409" s="14" t="str">
        <x:v>ER-08</x:v>
      </x:c>
      <x:c r="D409" s="14" t="str">
        <x:v>CAL</x:v>
      </x:c>
      <x:c r="E409" s="14" t="str">
        <x:v>Metrological</x:v>
      </x:c>
      <x:c r="F409" s="14" t="str">
        <x:v>OPEN</x:v>
      </x:c>
      <x:c r="G409" s="14" t="str">
        <x:v>OPEN</x:v>
      </x:c>
    </x:row>
    <x:row r="410">
      <x:c r="A410" s="15" t="str">
        <x:v>TO-406</x:v>
      </x:c>
      <x:c r="B410" s="15" t="str">
        <x:v>RC-68</x:v>
      </x:c>
      <x:c r="C410" s="15" t="str">
        <x:v>ER-08</x:v>
      </x:c>
      <x:c r="D410" s="15" t="str">
        <x:v>CAL</x:v>
      </x:c>
      <x:c r="E410" s="15" t="str">
        <x:v>Computational</x:v>
      </x:c>
      <x:c r="F410" s="15" t="str">
        <x:v>OPEN</x:v>
      </x:c>
      <x:c r="G410" s="15" t="str">
        <x:v>OPEN</x:v>
      </x:c>
    </x:row>
    <x:row r="411">
      <x:c r="A411" s="14" t="str">
        <x:v>TO-407</x:v>
      </x:c>
      <x:c r="B411" s="14" t="str">
        <x:v>RC-68</x:v>
      </x:c>
      <x:c r="C411" s="14" t="str">
        <x:v>ER-08</x:v>
      </x:c>
      <x:c r="D411" s="14" t="str">
        <x:v>CAL</x:v>
      </x:c>
      <x:c r="E411" s="14" t="str">
        <x:v>Uncertainty</x:v>
      </x:c>
      <x:c r="F411" s="14" t="str">
        <x:v>OPEN</x:v>
      </x:c>
      <x:c r="G411" s="14" t="str">
        <x:v>OPEN</x:v>
      </x:c>
    </x:row>
    <x:row r="412">
      <x:c r="A412" s="15" t="str">
        <x:v>TO-408</x:v>
      </x:c>
      <x:c r="B412" s="15" t="str">
        <x:v>RC-68</x:v>
      </x:c>
      <x:c r="C412" s="15" t="str">
        <x:v>ER-08</x:v>
      </x:c>
      <x:c r="D412" s="15" t="str">
        <x:v>CAL</x:v>
      </x:c>
      <x:c r="E412" s="15" t="str">
        <x:v>Authority</x:v>
      </x:c>
      <x:c r="F412" s="15" t="str">
        <x:v>OPEN</x:v>
      </x:c>
      <x:c r="G412" s="15" t="str">
        <x:v>OPEN</x:v>
      </x:c>
    </x:row>
    <x:row r="413">
      <x:c r="A413" s="14" t="str">
        <x:v>TO-409</x:v>
      </x:c>
      <x:c r="B413" s="14" t="str">
        <x:v>RC-69</x:v>
      </x:c>
      <x:c r="C413" s="14" t="str">
        <x:v>ER-08</x:v>
      </x:c>
      <x:c r="D413" s="14" t="str">
        <x:v>AQU</x:v>
      </x:c>
      <x:c r="E413" s="14" t="str">
        <x:v>Semantic</x:v>
      </x:c>
      <x:c r="F413" s="14" t="str">
        <x:v>OPEN</x:v>
      </x:c>
      <x:c r="G413" s="14" t="str">
        <x:v>OPEN</x:v>
      </x:c>
    </x:row>
    <x:row r="414">
      <x:c r="A414" s="15" t="str">
        <x:v>TO-410</x:v>
      </x:c>
      <x:c r="B414" s="15" t="str">
        <x:v>RC-69</x:v>
      </x:c>
      <x:c r="C414" s="15" t="str">
        <x:v>ER-08</x:v>
      </x:c>
      <x:c r="D414" s="15" t="str">
        <x:v>AQU</x:v>
      </x:c>
      <x:c r="E414" s="15" t="str">
        <x:v>Physical</x:v>
      </x:c>
      <x:c r="F414" s="15" t="str">
        <x:v>OPEN</x:v>
      </x:c>
      <x:c r="G414" s="15" t="str">
        <x:v>OPEN</x:v>
      </x:c>
    </x:row>
    <x:row r="415">
      <x:c r="A415" s="14" t="str">
        <x:v>TO-411</x:v>
      </x:c>
      <x:c r="B415" s="14" t="str">
        <x:v>RC-69</x:v>
      </x:c>
      <x:c r="C415" s="14" t="str">
        <x:v>ER-08</x:v>
      </x:c>
      <x:c r="D415" s="14" t="str">
        <x:v>AQU</x:v>
      </x:c>
      <x:c r="E415" s="14" t="str">
        <x:v>Metrological</x:v>
      </x:c>
      <x:c r="F415" s="14" t="str">
        <x:v>OPEN</x:v>
      </x:c>
      <x:c r="G415" s="14" t="str">
        <x:v>OPEN</x:v>
      </x:c>
    </x:row>
    <x:row r="416">
      <x:c r="A416" s="15" t="str">
        <x:v>TO-412</x:v>
      </x:c>
      <x:c r="B416" s="15" t="str">
        <x:v>RC-69</x:v>
      </x:c>
      <x:c r="C416" s="15" t="str">
        <x:v>ER-08</x:v>
      </x:c>
      <x:c r="D416" s="15" t="str">
        <x:v>AQU</x:v>
      </x:c>
      <x:c r="E416" s="15" t="str">
        <x:v>Computational</x:v>
      </x:c>
      <x:c r="F416" s="15" t="str">
        <x:v>OPEN</x:v>
      </x:c>
      <x:c r="G416" s="15" t="str">
        <x:v>OPEN</x:v>
      </x:c>
    </x:row>
    <x:row r="417">
      <x:c r="A417" s="14" t="str">
        <x:v>TO-413</x:v>
      </x:c>
      <x:c r="B417" s="14" t="str">
        <x:v>RC-69</x:v>
      </x:c>
      <x:c r="C417" s="14" t="str">
        <x:v>ER-08</x:v>
      </x:c>
      <x:c r="D417" s="14" t="str">
        <x:v>AQU</x:v>
      </x:c>
      <x:c r="E417" s="14" t="str">
        <x:v>Uncertainty</x:v>
      </x:c>
      <x:c r="F417" s="14" t="str">
        <x:v>OPEN</x:v>
      </x:c>
      <x:c r="G417" s="14" t="str">
        <x:v>OPEN</x:v>
      </x:c>
    </x:row>
    <x:row r="418">
      <x:c r="A418" s="15" t="str">
        <x:v>TO-414</x:v>
      </x:c>
      <x:c r="B418" s="15" t="str">
        <x:v>RC-69</x:v>
      </x:c>
      <x:c r="C418" s="15" t="str">
        <x:v>ER-08</x:v>
      </x:c>
      <x:c r="D418" s="15" t="str">
        <x:v>AQU</x:v>
      </x:c>
      <x:c r="E418" s="15" t="str">
        <x:v>Authority</x:v>
      </x:c>
      <x:c r="F418" s="15" t="str">
        <x:v>OPEN</x:v>
      </x:c>
      <x:c r="G418" s="15" t="str">
        <x:v>OPEN</x:v>
      </x:c>
    </x:row>
    <x:row r="419">
      <x:c r="A419" s="14" t="str">
        <x:v>TO-415</x:v>
      </x:c>
      <x:c r="B419" s="14" t="str">
        <x:v>RC-70</x:v>
      </x:c>
      <x:c r="C419" s="14" t="str">
        <x:v>ER-08</x:v>
      </x:c>
      <x:c r="D419" s="14" t="str">
        <x:v>COU</x:v>
      </x:c>
      <x:c r="E419" s="14" t="str">
        <x:v>Semantic</x:v>
      </x:c>
      <x:c r="F419" s="14" t="str">
        <x:v>OPEN</x:v>
      </x:c>
      <x:c r="G419" s="14" t="str">
        <x:v>OPEN</x:v>
      </x:c>
    </x:row>
    <x:row r="420">
      <x:c r="A420" s="15" t="str">
        <x:v>TO-416</x:v>
      </x:c>
      <x:c r="B420" s="15" t="str">
        <x:v>RC-70</x:v>
      </x:c>
      <x:c r="C420" s="15" t="str">
        <x:v>ER-08</x:v>
      </x:c>
      <x:c r="D420" s="15" t="str">
        <x:v>COU</x:v>
      </x:c>
      <x:c r="E420" s="15" t="str">
        <x:v>Physical</x:v>
      </x:c>
      <x:c r="F420" s="15" t="str">
        <x:v>OPEN</x:v>
      </x:c>
      <x:c r="G420" s="15" t="str">
        <x:v>OPEN</x:v>
      </x:c>
    </x:row>
    <x:row r="421">
      <x:c r="A421" s="14" t="str">
        <x:v>TO-417</x:v>
      </x:c>
      <x:c r="B421" s="14" t="str">
        <x:v>RC-70</x:v>
      </x:c>
      <x:c r="C421" s="14" t="str">
        <x:v>ER-08</x:v>
      </x:c>
      <x:c r="D421" s="14" t="str">
        <x:v>COU</x:v>
      </x:c>
      <x:c r="E421" s="14" t="str">
        <x:v>Metrological</x:v>
      </x:c>
      <x:c r="F421" s="14" t="str">
        <x:v>OPEN</x:v>
      </x:c>
      <x:c r="G421" s="14" t="str">
        <x:v>OPEN</x:v>
      </x:c>
    </x:row>
    <x:row r="422">
      <x:c r="A422" s="15" t="str">
        <x:v>TO-418</x:v>
      </x:c>
      <x:c r="B422" s="15" t="str">
        <x:v>RC-70</x:v>
      </x:c>
      <x:c r="C422" s="15" t="str">
        <x:v>ER-08</x:v>
      </x:c>
      <x:c r="D422" s="15" t="str">
        <x:v>COU</x:v>
      </x:c>
      <x:c r="E422" s="15" t="str">
        <x:v>Computational</x:v>
      </x:c>
      <x:c r="F422" s="15" t="str">
        <x:v>OPEN</x:v>
      </x:c>
      <x:c r="G422" s="15" t="str">
        <x:v>OPEN</x:v>
      </x:c>
    </x:row>
    <x:row r="423">
      <x:c r="A423" s="14" t="str">
        <x:v>TO-419</x:v>
      </x:c>
      <x:c r="B423" s="14" t="str">
        <x:v>RC-70</x:v>
      </x:c>
      <x:c r="C423" s="14" t="str">
        <x:v>ER-08</x:v>
      </x:c>
      <x:c r="D423" s="14" t="str">
        <x:v>COU</x:v>
      </x:c>
      <x:c r="E423" s="14" t="str">
        <x:v>Uncertainty</x:v>
      </x:c>
      <x:c r="F423" s="14" t="str">
        <x:v>OPEN</x:v>
      </x:c>
      <x:c r="G423" s="14" t="str">
        <x:v>OPEN</x:v>
      </x:c>
    </x:row>
    <x:row r="424">
      <x:c r="A424" s="15" t="str">
        <x:v>TO-420</x:v>
      </x:c>
      <x:c r="B424" s="15" t="str">
        <x:v>RC-70</x:v>
      </x:c>
      <x:c r="C424" s="15" t="str">
        <x:v>ER-08</x:v>
      </x:c>
      <x:c r="D424" s="15" t="str">
        <x:v>COU</x:v>
      </x:c>
      <x:c r="E424" s="15" t="str">
        <x:v>Authority</x:v>
      </x:c>
      <x:c r="F424" s="15" t="str">
        <x:v>OPEN</x:v>
      </x:c>
      <x:c r="G424" s="15" t="str">
        <x:v>OPEN</x:v>
      </x:c>
    </x:row>
    <x:row r="425">
      <x:c r="A425" s="14" t="str">
        <x:v>TO-421</x:v>
      </x:c>
      <x:c r="B425" s="14" t="str">
        <x:v>RC-71</x:v>
      </x:c>
      <x:c r="C425" s="14" t="str">
        <x:v>ER-08</x:v>
      </x:c>
      <x:c r="D425" s="14" t="str">
        <x:v>DIV</x:v>
      </x:c>
      <x:c r="E425" s="14" t="str">
        <x:v>Semantic</x:v>
      </x:c>
      <x:c r="F425" s="14" t="str">
        <x:v>OPEN</x:v>
      </x:c>
      <x:c r="G425" s="14" t="str">
        <x:v>OPEN</x:v>
      </x:c>
    </x:row>
    <x:row r="426">
      <x:c r="A426" s="15" t="str">
        <x:v>TO-422</x:v>
      </x:c>
      <x:c r="B426" s="15" t="str">
        <x:v>RC-71</x:v>
      </x:c>
      <x:c r="C426" s="15" t="str">
        <x:v>ER-08</x:v>
      </x:c>
      <x:c r="D426" s="15" t="str">
        <x:v>DIV</x:v>
      </x:c>
      <x:c r="E426" s="15" t="str">
        <x:v>Physical</x:v>
      </x:c>
      <x:c r="F426" s="15" t="str">
        <x:v>OPEN</x:v>
      </x:c>
      <x:c r="G426" s="15" t="str">
        <x:v>OPEN</x:v>
      </x:c>
    </x:row>
    <x:row r="427">
      <x:c r="A427" s="14" t="str">
        <x:v>TO-423</x:v>
      </x:c>
      <x:c r="B427" s="14" t="str">
        <x:v>RC-71</x:v>
      </x:c>
      <x:c r="C427" s="14" t="str">
        <x:v>ER-08</x:v>
      </x:c>
      <x:c r="D427" s="14" t="str">
        <x:v>DIV</x:v>
      </x:c>
      <x:c r="E427" s="14" t="str">
        <x:v>Metrological</x:v>
      </x:c>
      <x:c r="F427" s="14" t="str">
        <x:v>OPEN</x:v>
      </x:c>
      <x:c r="G427" s="14" t="str">
        <x:v>OPEN</x:v>
      </x:c>
    </x:row>
    <x:row r="428">
      <x:c r="A428" s="15" t="str">
        <x:v>TO-424</x:v>
      </x:c>
      <x:c r="B428" s="15" t="str">
        <x:v>RC-71</x:v>
      </x:c>
      <x:c r="C428" s="15" t="str">
        <x:v>ER-08</x:v>
      </x:c>
      <x:c r="D428" s="15" t="str">
        <x:v>DIV</x:v>
      </x:c>
      <x:c r="E428" s="15" t="str">
        <x:v>Computational</x:v>
      </x:c>
      <x:c r="F428" s="15" t="str">
        <x:v>OPEN</x:v>
      </x:c>
      <x:c r="G428" s="15" t="str">
        <x:v>OPEN</x:v>
      </x:c>
    </x:row>
    <x:row r="429">
      <x:c r="A429" s="14" t="str">
        <x:v>TO-425</x:v>
      </x:c>
      <x:c r="B429" s="14" t="str">
        <x:v>RC-71</x:v>
      </x:c>
      <x:c r="C429" s="14" t="str">
        <x:v>ER-08</x:v>
      </x:c>
      <x:c r="D429" s="14" t="str">
        <x:v>DIV</x:v>
      </x:c>
      <x:c r="E429" s="14" t="str">
        <x:v>Uncertainty</x:v>
      </x:c>
      <x:c r="F429" s="14" t="str">
        <x:v>OPEN</x:v>
      </x:c>
      <x:c r="G429" s="14" t="str">
        <x:v>OPEN</x:v>
      </x:c>
    </x:row>
    <x:row r="430">
      <x:c r="A430" s="15" t="str">
        <x:v>TO-426</x:v>
      </x:c>
      <x:c r="B430" s="15" t="str">
        <x:v>RC-71</x:v>
      </x:c>
      <x:c r="C430" s="15" t="str">
        <x:v>ER-08</x:v>
      </x:c>
      <x:c r="D430" s="15" t="str">
        <x:v>DIV</x:v>
      </x:c>
      <x:c r="E430" s="15" t="str">
        <x:v>Authority</x:v>
      </x:c>
      <x:c r="F430" s="15" t="str">
        <x:v>OPEN</x:v>
      </x:c>
      <x:c r="G430" s="15" t="str">
        <x:v>OPEN</x:v>
      </x:c>
    </x:row>
    <x:row r="431">
      <x:c r="A431" s="14" t="str">
        <x:v>TO-427</x:v>
      </x:c>
      <x:c r="B431" s="14" t="str">
        <x:v>RC-72</x:v>
      </x:c>
      <x:c r="C431" s="14" t="str">
        <x:v>ER-08</x:v>
      </x:c>
      <x:c r="D431" s="14" t="str">
        <x:v>PUB</x:v>
      </x:c>
      <x:c r="E431" s="14" t="str">
        <x:v>Semantic</x:v>
      </x:c>
      <x:c r="F431" s="14" t="str">
        <x:v>OPEN</x:v>
      </x:c>
      <x:c r="G431" s="14" t="str">
        <x:v>OPEN</x:v>
      </x:c>
    </x:row>
    <x:row r="432">
      <x:c r="A432" s="15" t="str">
        <x:v>TO-428</x:v>
      </x:c>
      <x:c r="B432" s="15" t="str">
        <x:v>RC-72</x:v>
      </x:c>
      <x:c r="C432" s="15" t="str">
        <x:v>ER-08</x:v>
      </x:c>
      <x:c r="D432" s="15" t="str">
        <x:v>PUB</x:v>
      </x:c>
      <x:c r="E432" s="15" t="str">
        <x:v>Physical</x:v>
      </x:c>
      <x:c r="F432" s="15" t="str">
        <x:v>OPEN</x:v>
      </x:c>
      <x:c r="G432" s="15" t="str">
        <x:v>OPEN</x:v>
      </x:c>
    </x:row>
    <x:row r="433">
      <x:c r="A433" s="14" t="str">
        <x:v>TO-429</x:v>
      </x:c>
      <x:c r="B433" s="14" t="str">
        <x:v>RC-72</x:v>
      </x:c>
      <x:c r="C433" s="14" t="str">
        <x:v>ER-08</x:v>
      </x:c>
      <x:c r="D433" s="14" t="str">
        <x:v>PUB</x:v>
      </x:c>
      <x:c r="E433" s="14" t="str">
        <x:v>Metrological</x:v>
      </x:c>
      <x:c r="F433" s="14" t="str">
        <x:v>OPEN</x:v>
      </x:c>
      <x:c r="G433" s="14" t="str">
        <x:v>OPEN</x:v>
      </x:c>
    </x:row>
    <x:row r="434">
      <x:c r="A434" s="15" t="str">
        <x:v>TO-430</x:v>
      </x:c>
      <x:c r="B434" s="15" t="str">
        <x:v>RC-72</x:v>
      </x:c>
      <x:c r="C434" s="15" t="str">
        <x:v>ER-08</x:v>
      </x:c>
      <x:c r="D434" s="15" t="str">
        <x:v>PUB</x:v>
      </x:c>
      <x:c r="E434" s="15" t="str">
        <x:v>Computational</x:v>
      </x:c>
      <x:c r="F434" s="15" t="str">
        <x:v>OPEN</x:v>
      </x:c>
      <x:c r="G434" s="15" t="str">
        <x:v>OPEN</x:v>
      </x:c>
    </x:row>
    <x:row r="435">
      <x:c r="A435" s="14" t="str">
        <x:v>TO-431</x:v>
      </x:c>
      <x:c r="B435" s="14" t="str">
        <x:v>RC-72</x:v>
      </x:c>
      <x:c r="C435" s="14" t="str">
        <x:v>ER-08</x:v>
      </x:c>
      <x:c r="D435" s="14" t="str">
        <x:v>PUB</x:v>
      </x:c>
      <x:c r="E435" s="14" t="str">
        <x:v>Uncertainty</x:v>
      </x:c>
      <x:c r="F435" s="14" t="str">
        <x:v>OPEN</x:v>
      </x:c>
      <x:c r="G435" s="14" t="str">
        <x:v>OPEN</x:v>
      </x:c>
    </x:row>
    <x:row r="436">
      <x:c r="A436" s="15" t="str">
        <x:v>TO-432</x:v>
      </x:c>
      <x:c r="B436" s="15" t="str">
        <x:v>RC-72</x:v>
      </x:c>
      <x:c r="C436" s="15" t="str">
        <x:v>ER-08</x:v>
      </x:c>
      <x:c r="D436" s="15" t="str">
        <x:v>PUB</x:v>
      </x:c>
      <x:c r="E436" s="15" t="str">
        <x:v>Authority</x:v>
      </x:c>
      <x:c r="F436" s="15" t="str">
        <x:v>OPEN</x:v>
      </x:c>
      <x:c r="G436" s="15" t="str">
        <x:v>OPEN</x:v>
      </x:c>
    </x:row>
    <x:row r="437">
      <x:c r="A437" s="14" t="str">
        <x:v>TO-433</x:v>
      </x:c>
      <x:c r="B437" s="14" t="str">
        <x:v>RC-73</x:v>
      </x:c>
      <x:c r="C437" s="14" t="str">
        <x:v>ER-09</x:v>
      </x:c>
      <x:c r="D437" s="14" t="str">
        <x:v>PHO</x:v>
      </x:c>
      <x:c r="E437" s="14" t="str">
        <x:v>Semantic</x:v>
      </x:c>
      <x:c r="F437" s="14" t="str">
        <x:v>OPEN</x:v>
      </x:c>
      <x:c r="G437" s="14" t="str">
        <x:v>OPEN</x:v>
      </x:c>
    </x:row>
    <x:row r="438">
      <x:c r="A438" s="15" t="str">
        <x:v>TO-434</x:v>
      </x:c>
      <x:c r="B438" s="15" t="str">
        <x:v>RC-73</x:v>
      </x:c>
      <x:c r="C438" s="15" t="str">
        <x:v>ER-09</x:v>
      </x:c>
      <x:c r="D438" s="15" t="str">
        <x:v>PHO</x:v>
      </x:c>
      <x:c r="E438" s="15" t="str">
        <x:v>Physical</x:v>
      </x:c>
      <x:c r="F438" s="15" t="str">
        <x:v>OPEN</x:v>
      </x:c>
      <x:c r="G438" s="15" t="str">
        <x:v>OPEN</x:v>
      </x:c>
    </x:row>
    <x:row r="439">
      <x:c r="A439" s="14" t="str">
        <x:v>TO-435</x:v>
      </x:c>
      <x:c r="B439" s="14" t="str">
        <x:v>RC-73</x:v>
      </x:c>
      <x:c r="C439" s="14" t="str">
        <x:v>ER-09</x:v>
      </x:c>
      <x:c r="D439" s="14" t="str">
        <x:v>PHO</x:v>
      </x:c>
      <x:c r="E439" s="14" t="str">
        <x:v>Metrological</x:v>
      </x:c>
      <x:c r="F439" s="14" t="str">
        <x:v>OPEN</x:v>
      </x:c>
      <x:c r="G439" s="14" t="str">
        <x:v>OPEN</x:v>
      </x:c>
    </x:row>
    <x:row r="440">
      <x:c r="A440" s="15" t="str">
        <x:v>TO-436</x:v>
      </x:c>
      <x:c r="B440" s="15" t="str">
        <x:v>RC-73</x:v>
      </x:c>
      <x:c r="C440" s="15" t="str">
        <x:v>ER-09</x:v>
      </x:c>
      <x:c r="D440" s="15" t="str">
        <x:v>PHO</x:v>
      </x:c>
      <x:c r="E440" s="15" t="str">
        <x:v>Computational</x:v>
      </x:c>
      <x:c r="F440" s="15" t="str">
        <x:v>OPEN</x:v>
      </x:c>
      <x:c r="G440" s="15" t="str">
        <x:v>OPEN</x:v>
      </x:c>
    </x:row>
    <x:row r="441">
      <x:c r="A441" s="14" t="str">
        <x:v>TO-437</x:v>
      </x:c>
      <x:c r="B441" s="14" t="str">
        <x:v>RC-73</x:v>
      </x:c>
      <x:c r="C441" s="14" t="str">
        <x:v>ER-09</x:v>
      </x:c>
      <x:c r="D441" s="14" t="str">
        <x:v>PHO</x:v>
      </x:c>
      <x:c r="E441" s="14" t="str">
        <x:v>Uncertainty</x:v>
      </x:c>
      <x:c r="F441" s="14" t="str">
        <x:v>OPEN</x:v>
      </x:c>
      <x:c r="G441" s="14" t="str">
        <x:v>OPEN</x:v>
      </x:c>
    </x:row>
    <x:row r="442">
      <x:c r="A442" s="15" t="str">
        <x:v>TO-438</x:v>
      </x:c>
      <x:c r="B442" s="15" t="str">
        <x:v>RC-73</x:v>
      </x:c>
      <x:c r="C442" s="15" t="str">
        <x:v>ER-09</x:v>
      </x:c>
      <x:c r="D442" s="15" t="str">
        <x:v>PHO</x:v>
      </x:c>
      <x:c r="E442" s="15" t="str">
        <x:v>Authority</x:v>
      </x:c>
      <x:c r="F442" s="15" t="str">
        <x:v>OPEN</x:v>
      </x:c>
      <x:c r="G442" s="15" t="str">
        <x:v>OPEN</x:v>
      </x:c>
    </x:row>
    <x:row r="443">
      <x:c r="A443" s="14" t="str">
        <x:v>TO-439</x:v>
      </x:c>
      <x:c r="B443" s="14" t="str">
        <x:v>RC-74</x:v>
      </x:c>
      <x:c r="C443" s="14" t="str">
        <x:v>ER-09</x:v>
      </x:c>
      <x:c r="D443" s="14" t="str">
        <x:v>ION</x:v>
      </x:c>
      <x:c r="E443" s="14" t="str">
        <x:v>Semantic</x:v>
      </x:c>
      <x:c r="F443" s="14" t="str">
        <x:v>OPEN</x:v>
      </x:c>
      <x:c r="G443" s="14" t="str">
        <x:v>OPEN</x:v>
      </x:c>
    </x:row>
    <x:row r="444">
      <x:c r="A444" s="15" t="str">
        <x:v>TO-440</x:v>
      </x:c>
      <x:c r="B444" s="15" t="str">
        <x:v>RC-74</x:v>
      </x:c>
      <x:c r="C444" s="15" t="str">
        <x:v>ER-09</x:v>
      </x:c>
      <x:c r="D444" s="15" t="str">
        <x:v>ION</x:v>
      </x:c>
      <x:c r="E444" s="15" t="str">
        <x:v>Physical</x:v>
      </x:c>
      <x:c r="F444" s="15" t="str">
        <x:v>OPEN</x:v>
      </x:c>
      <x:c r="G444" s="15" t="str">
        <x:v>OPEN</x:v>
      </x:c>
    </x:row>
    <x:row r="445">
      <x:c r="A445" s="14" t="str">
        <x:v>TO-441</x:v>
      </x:c>
      <x:c r="B445" s="14" t="str">
        <x:v>RC-74</x:v>
      </x:c>
      <x:c r="C445" s="14" t="str">
        <x:v>ER-09</x:v>
      </x:c>
      <x:c r="D445" s="14" t="str">
        <x:v>ION</x:v>
      </x:c>
      <x:c r="E445" s="14" t="str">
        <x:v>Metrological</x:v>
      </x:c>
      <x:c r="F445" s="14" t="str">
        <x:v>OPEN</x:v>
      </x:c>
      <x:c r="G445" s="14" t="str">
        <x:v>OPEN</x:v>
      </x:c>
    </x:row>
    <x:row r="446">
      <x:c r="A446" s="15" t="str">
        <x:v>TO-442</x:v>
      </x:c>
      <x:c r="B446" s="15" t="str">
        <x:v>RC-74</x:v>
      </x:c>
      <x:c r="C446" s="15" t="str">
        <x:v>ER-09</x:v>
      </x:c>
      <x:c r="D446" s="15" t="str">
        <x:v>ION</x:v>
      </x:c>
      <x:c r="E446" s="15" t="str">
        <x:v>Computational</x:v>
      </x:c>
      <x:c r="F446" s="15" t="str">
        <x:v>OPEN</x:v>
      </x:c>
      <x:c r="G446" s="15" t="str">
        <x:v>OPEN</x:v>
      </x:c>
    </x:row>
    <x:row r="447">
      <x:c r="A447" s="14" t="str">
        <x:v>TO-443</x:v>
      </x:c>
      <x:c r="B447" s="14" t="str">
        <x:v>RC-74</x:v>
      </x:c>
      <x:c r="C447" s="14" t="str">
        <x:v>ER-09</x:v>
      </x:c>
      <x:c r="D447" s="14" t="str">
        <x:v>ION</x:v>
      </x:c>
      <x:c r="E447" s="14" t="str">
        <x:v>Uncertainty</x:v>
      </x:c>
      <x:c r="F447" s="14" t="str">
        <x:v>OPEN</x:v>
      </x:c>
      <x:c r="G447" s="14" t="str">
        <x:v>OPEN</x:v>
      </x:c>
    </x:row>
    <x:row r="448">
      <x:c r="A448" s="15" t="str">
        <x:v>TO-444</x:v>
      </x:c>
      <x:c r="B448" s="15" t="str">
        <x:v>RC-74</x:v>
      </x:c>
      <x:c r="C448" s="15" t="str">
        <x:v>ER-09</x:v>
      </x:c>
      <x:c r="D448" s="15" t="str">
        <x:v>ION</x:v>
      </x:c>
      <x:c r="E448" s="15" t="str">
        <x:v>Authority</x:v>
      </x:c>
      <x:c r="F448" s="15" t="str">
        <x:v>OPEN</x:v>
      </x:c>
      <x:c r="G448" s="15" t="str">
        <x:v>OPEN</x:v>
      </x:c>
    </x:row>
    <x:row r="449">
      <x:c r="A449" s="14" t="str">
        <x:v>TO-445</x:v>
      </x:c>
      <x:c r="B449" s="14" t="str">
        <x:v>RC-75</x:v>
      </x:c>
      <x:c r="C449" s="14" t="str">
        <x:v>ER-09</x:v>
      </x:c>
      <x:c r="D449" s="14" t="str">
        <x:v>TOP</x:v>
      </x:c>
      <x:c r="E449" s="14" t="str">
        <x:v>Semantic</x:v>
      </x:c>
      <x:c r="F449" s="14" t="str">
        <x:v>OPEN</x:v>
      </x:c>
      <x:c r="G449" s="14" t="str">
        <x:v>OPEN</x:v>
      </x:c>
    </x:row>
    <x:row r="450">
      <x:c r="A450" s="15" t="str">
        <x:v>TO-446</x:v>
      </x:c>
      <x:c r="B450" s="15" t="str">
        <x:v>RC-75</x:v>
      </x:c>
      <x:c r="C450" s="15" t="str">
        <x:v>ER-09</x:v>
      </x:c>
      <x:c r="D450" s="15" t="str">
        <x:v>TOP</x:v>
      </x:c>
      <x:c r="E450" s="15" t="str">
        <x:v>Physical</x:v>
      </x:c>
      <x:c r="F450" s="15" t="str">
        <x:v>OPEN</x:v>
      </x:c>
      <x:c r="G450" s="15" t="str">
        <x:v>OPEN</x:v>
      </x:c>
    </x:row>
    <x:row r="451">
      <x:c r="A451" s="14" t="str">
        <x:v>TO-447</x:v>
      </x:c>
      <x:c r="B451" s="14" t="str">
        <x:v>RC-75</x:v>
      </x:c>
      <x:c r="C451" s="14" t="str">
        <x:v>ER-09</x:v>
      </x:c>
      <x:c r="D451" s="14" t="str">
        <x:v>TOP</x:v>
      </x:c>
      <x:c r="E451" s="14" t="str">
        <x:v>Metrological</x:v>
      </x:c>
      <x:c r="F451" s="14" t="str">
        <x:v>OPEN</x:v>
      </x:c>
      <x:c r="G451" s="14" t="str">
        <x:v>OPEN</x:v>
      </x:c>
    </x:row>
    <x:row r="452">
      <x:c r="A452" s="15" t="str">
        <x:v>TO-448</x:v>
      </x:c>
      <x:c r="B452" s="15" t="str">
        <x:v>RC-75</x:v>
      </x:c>
      <x:c r="C452" s="15" t="str">
        <x:v>ER-09</x:v>
      </x:c>
      <x:c r="D452" s="15" t="str">
        <x:v>TOP</x:v>
      </x:c>
      <x:c r="E452" s="15" t="str">
        <x:v>Computational</x:v>
      </x:c>
      <x:c r="F452" s="15" t="str">
        <x:v>OPEN</x:v>
      </x:c>
      <x:c r="G452" s="15" t="str">
        <x:v>OPEN</x:v>
      </x:c>
    </x:row>
    <x:row r="453">
      <x:c r="A453" s="14" t="str">
        <x:v>TO-449</x:v>
      </x:c>
      <x:c r="B453" s="14" t="str">
        <x:v>RC-75</x:v>
      </x:c>
      <x:c r="C453" s="14" t="str">
        <x:v>ER-09</x:v>
      </x:c>
      <x:c r="D453" s="14" t="str">
        <x:v>TOP</x:v>
      </x:c>
      <x:c r="E453" s="14" t="str">
        <x:v>Uncertainty</x:v>
      </x:c>
      <x:c r="F453" s="14" t="str">
        <x:v>OPEN</x:v>
      </x:c>
      <x:c r="G453" s="14" t="str">
        <x:v>OPEN</x:v>
      </x:c>
    </x:row>
    <x:row r="454">
      <x:c r="A454" s="15" t="str">
        <x:v>TO-450</x:v>
      </x:c>
      <x:c r="B454" s="15" t="str">
        <x:v>RC-75</x:v>
      </x:c>
      <x:c r="C454" s="15" t="str">
        <x:v>ER-09</x:v>
      </x:c>
      <x:c r="D454" s="15" t="str">
        <x:v>TOP</x:v>
      </x:c>
      <x:c r="E454" s="15" t="str">
        <x:v>Authority</x:v>
      </x:c>
      <x:c r="F454" s="15" t="str">
        <x:v>OPEN</x:v>
      </x:c>
      <x:c r="G454" s="15" t="str">
        <x:v>OPEN</x:v>
      </x:c>
    </x:row>
    <x:row r="455">
      <x:c r="A455" s="14" t="str">
        <x:v>TO-451</x:v>
      </x:c>
      <x:c r="B455" s="14" t="str">
        <x:v>RC-76</x:v>
      </x:c>
      <x:c r="C455" s="14" t="str">
        <x:v>ER-09</x:v>
      </x:c>
      <x:c r="D455" s="14" t="str">
        <x:v>MOL</x:v>
      </x:c>
      <x:c r="E455" s="14" t="str">
        <x:v>Semantic</x:v>
      </x:c>
      <x:c r="F455" s="14" t="str">
        <x:v>OPEN</x:v>
      </x:c>
      <x:c r="G455" s="14" t="str">
        <x:v>OPEN</x:v>
      </x:c>
    </x:row>
    <x:row r="456">
      <x:c r="A456" s="15" t="str">
        <x:v>TO-452</x:v>
      </x:c>
      <x:c r="B456" s="15" t="str">
        <x:v>RC-76</x:v>
      </x:c>
      <x:c r="C456" s="15" t="str">
        <x:v>ER-09</x:v>
      </x:c>
      <x:c r="D456" s="15" t="str">
        <x:v>MOL</x:v>
      </x:c>
      <x:c r="E456" s="15" t="str">
        <x:v>Physical</x:v>
      </x:c>
      <x:c r="F456" s="15" t="str">
        <x:v>OPEN</x:v>
      </x:c>
      <x:c r="G456" s="15" t="str">
        <x:v>OPEN</x:v>
      </x:c>
    </x:row>
    <x:row r="457">
      <x:c r="A457" s="14" t="str">
        <x:v>TO-453</x:v>
      </x:c>
      <x:c r="B457" s="14" t="str">
        <x:v>RC-76</x:v>
      </x:c>
      <x:c r="C457" s="14" t="str">
        <x:v>ER-09</x:v>
      </x:c>
      <x:c r="D457" s="14" t="str">
        <x:v>MOL</x:v>
      </x:c>
      <x:c r="E457" s="14" t="str">
        <x:v>Metrological</x:v>
      </x:c>
      <x:c r="F457" s="14" t="str">
        <x:v>OPEN</x:v>
      </x:c>
      <x:c r="G457" s="14" t="str">
        <x:v>OPEN</x:v>
      </x:c>
    </x:row>
    <x:row r="458">
      <x:c r="A458" s="15" t="str">
        <x:v>TO-454</x:v>
      </x:c>
      <x:c r="B458" s="15" t="str">
        <x:v>RC-76</x:v>
      </x:c>
      <x:c r="C458" s="15" t="str">
        <x:v>ER-09</x:v>
      </x:c>
      <x:c r="D458" s="15" t="str">
        <x:v>MOL</x:v>
      </x:c>
      <x:c r="E458" s="15" t="str">
        <x:v>Computational</x:v>
      </x:c>
      <x:c r="F458" s="15" t="str">
        <x:v>OPEN</x:v>
      </x:c>
      <x:c r="G458" s="15" t="str">
        <x:v>OPEN</x:v>
      </x:c>
    </x:row>
    <x:row r="459">
      <x:c r="A459" s="14" t="str">
        <x:v>TO-455</x:v>
      </x:c>
      <x:c r="B459" s="14" t="str">
        <x:v>RC-76</x:v>
      </x:c>
      <x:c r="C459" s="14" t="str">
        <x:v>ER-09</x:v>
      </x:c>
      <x:c r="D459" s="14" t="str">
        <x:v>MOL</x:v>
      </x:c>
      <x:c r="E459" s="14" t="str">
        <x:v>Uncertainty</x:v>
      </x:c>
      <x:c r="F459" s="14" t="str">
        <x:v>OPEN</x:v>
      </x:c>
      <x:c r="G459" s="14" t="str">
        <x:v>OPEN</x:v>
      </x:c>
    </x:row>
    <x:row r="460">
      <x:c r="A460" s="15" t="str">
        <x:v>TO-456</x:v>
      </x:c>
      <x:c r="B460" s="15" t="str">
        <x:v>RC-76</x:v>
      </x:c>
      <x:c r="C460" s="15" t="str">
        <x:v>ER-09</x:v>
      </x:c>
      <x:c r="D460" s="15" t="str">
        <x:v>MOL</x:v>
      </x:c>
      <x:c r="E460" s="15" t="str">
        <x:v>Authority</x:v>
      </x:c>
      <x:c r="F460" s="15" t="str">
        <x:v>OPEN</x:v>
      </x:c>
      <x:c r="G460" s="15" t="str">
        <x:v>OPEN</x:v>
      </x:c>
    </x:row>
    <x:row r="461">
      <x:c r="A461" s="14" t="str">
        <x:v>TO-457</x:v>
      </x:c>
      <x:c r="B461" s="14" t="str">
        <x:v>RC-77</x:v>
      </x:c>
      <x:c r="C461" s="14" t="str">
        <x:v>ER-09</x:v>
      </x:c>
      <x:c r="D461" s="14" t="str">
        <x:v>CAL</x:v>
      </x:c>
      <x:c r="E461" s="14" t="str">
        <x:v>Semantic</x:v>
      </x:c>
      <x:c r="F461" s="14" t="str">
        <x:v>OPEN</x:v>
      </x:c>
      <x:c r="G461" s="14" t="str">
        <x:v>OPEN</x:v>
      </x:c>
    </x:row>
    <x:row r="462">
      <x:c r="A462" s="15" t="str">
        <x:v>TO-458</x:v>
      </x:c>
      <x:c r="B462" s="15" t="str">
        <x:v>RC-77</x:v>
      </x:c>
      <x:c r="C462" s="15" t="str">
        <x:v>ER-09</x:v>
      </x:c>
      <x:c r="D462" s="15" t="str">
        <x:v>CAL</x:v>
      </x:c>
      <x:c r="E462" s="15" t="str">
        <x:v>Physical</x:v>
      </x:c>
      <x:c r="F462" s="15" t="str">
        <x:v>OPEN</x:v>
      </x:c>
      <x:c r="G462" s="15" t="str">
        <x:v>OPEN</x:v>
      </x:c>
    </x:row>
    <x:row r="463">
      <x:c r="A463" s="14" t="str">
        <x:v>TO-459</x:v>
      </x:c>
      <x:c r="B463" s="14" t="str">
        <x:v>RC-77</x:v>
      </x:c>
      <x:c r="C463" s="14" t="str">
        <x:v>ER-09</x:v>
      </x:c>
      <x:c r="D463" s="14" t="str">
        <x:v>CAL</x:v>
      </x:c>
      <x:c r="E463" s="14" t="str">
        <x:v>Metrological</x:v>
      </x:c>
      <x:c r="F463" s="14" t="str">
        <x:v>OPEN</x:v>
      </x:c>
      <x:c r="G463" s="14" t="str">
        <x:v>OPEN</x:v>
      </x:c>
    </x:row>
    <x:row r="464">
      <x:c r="A464" s="15" t="str">
        <x:v>TO-460</x:v>
      </x:c>
      <x:c r="B464" s="15" t="str">
        <x:v>RC-77</x:v>
      </x:c>
      <x:c r="C464" s="15" t="str">
        <x:v>ER-09</x:v>
      </x:c>
      <x:c r="D464" s="15" t="str">
        <x:v>CAL</x:v>
      </x:c>
      <x:c r="E464" s="15" t="str">
        <x:v>Computational</x:v>
      </x:c>
      <x:c r="F464" s="15" t="str">
        <x:v>OPEN</x:v>
      </x:c>
      <x:c r="G464" s="15" t="str">
        <x:v>OPEN</x:v>
      </x:c>
    </x:row>
    <x:row r="465">
      <x:c r="A465" s="14" t="str">
        <x:v>TO-461</x:v>
      </x:c>
      <x:c r="B465" s="14" t="str">
        <x:v>RC-77</x:v>
      </x:c>
      <x:c r="C465" s="14" t="str">
        <x:v>ER-09</x:v>
      </x:c>
      <x:c r="D465" s="14" t="str">
        <x:v>CAL</x:v>
      </x:c>
      <x:c r="E465" s="14" t="str">
        <x:v>Uncertainty</x:v>
      </x:c>
      <x:c r="F465" s="14" t="str">
        <x:v>OPEN</x:v>
      </x:c>
      <x:c r="G465" s="14" t="str">
        <x:v>OPEN</x:v>
      </x:c>
    </x:row>
    <x:row r="466">
      <x:c r="A466" s="15" t="str">
        <x:v>TO-462</x:v>
      </x:c>
      <x:c r="B466" s="15" t="str">
        <x:v>RC-77</x:v>
      </x:c>
      <x:c r="C466" s="15" t="str">
        <x:v>ER-09</x:v>
      </x:c>
      <x:c r="D466" s="15" t="str">
        <x:v>CAL</x:v>
      </x:c>
      <x:c r="E466" s="15" t="str">
        <x:v>Authority</x:v>
      </x:c>
      <x:c r="F466" s="15" t="str">
        <x:v>OPEN</x:v>
      </x:c>
      <x:c r="G466" s="15" t="str">
        <x:v>OPEN</x:v>
      </x:c>
    </x:row>
    <x:row r="467">
      <x:c r="A467" s="14" t="str">
        <x:v>TO-463</x:v>
      </x:c>
      <x:c r="B467" s="14" t="str">
        <x:v>RC-78</x:v>
      </x:c>
      <x:c r="C467" s="14" t="str">
        <x:v>ER-09</x:v>
      </x:c>
      <x:c r="D467" s="14" t="str">
        <x:v>AQU</x:v>
      </x:c>
      <x:c r="E467" s="14" t="str">
        <x:v>Semantic</x:v>
      </x:c>
      <x:c r="F467" s="14" t="str">
        <x:v>OPEN</x:v>
      </x:c>
      <x:c r="G467" s="14" t="str">
        <x:v>OPEN</x:v>
      </x:c>
    </x:row>
    <x:row r="468">
      <x:c r="A468" s="15" t="str">
        <x:v>TO-464</x:v>
      </x:c>
      <x:c r="B468" s="15" t="str">
        <x:v>RC-78</x:v>
      </x:c>
      <x:c r="C468" s="15" t="str">
        <x:v>ER-09</x:v>
      </x:c>
      <x:c r="D468" s="15" t="str">
        <x:v>AQU</x:v>
      </x:c>
      <x:c r="E468" s="15" t="str">
        <x:v>Physical</x:v>
      </x:c>
      <x:c r="F468" s="15" t="str">
        <x:v>OPEN</x:v>
      </x:c>
      <x:c r="G468" s="15" t="str">
        <x:v>OPEN</x:v>
      </x:c>
    </x:row>
    <x:row r="469">
      <x:c r="A469" s="14" t="str">
        <x:v>TO-465</x:v>
      </x:c>
      <x:c r="B469" s="14" t="str">
        <x:v>RC-78</x:v>
      </x:c>
      <x:c r="C469" s="14" t="str">
        <x:v>ER-09</x:v>
      </x:c>
      <x:c r="D469" s="14" t="str">
        <x:v>AQU</x:v>
      </x:c>
      <x:c r="E469" s="14" t="str">
        <x:v>Metrological</x:v>
      </x:c>
      <x:c r="F469" s="14" t="str">
        <x:v>OPEN</x:v>
      </x:c>
      <x:c r="G469" s="14" t="str">
        <x:v>OPEN</x:v>
      </x:c>
    </x:row>
    <x:row r="470">
      <x:c r="A470" s="15" t="str">
        <x:v>TO-466</x:v>
      </x:c>
      <x:c r="B470" s="15" t="str">
        <x:v>RC-78</x:v>
      </x:c>
      <x:c r="C470" s="15" t="str">
        <x:v>ER-09</x:v>
      </x:c>
      <x:c r="D470" s="15" t="str">
        <x:v>AQU</x:v>
      </x:c>
      <x:c r="E470" s="15" t="str">
        <x:v>Computational</x:v>
      </x:c>
      <x:c r="F470" s="15" t="str">
        <x:v>OPEN</x:v>
      </x:c>
      <x:c r="G470" s="15" t="str">
        <x:v>OPEN</x:v>
      </x:c>
    </x:row>
    <x:row r="471">
      <x:c r="A471" s="14" t="str">
        <x:v>TO-467</x:v>
      </x:c>
      <x:c r="B471" s="14" t="str">
        <x:v>RC-78</x:v>
      </x:c>
      <x:c r="C471" s="14" t="str">
        <x:v>ER-09</x:v>
      </x:c>
      <x:c r="D471" s="14" t="str">
        <x:v>AQU</x:v>
      </x:c>
      <x:c r="E471" s="14" t="str">
        <x:v>Uncertainty</x:v>
      </x:c>
      <x:c r="F471" s="14" t="str">
        <x:v>OPEN</x:v>
      </x:c>
      <x:c r="G471" s="14" t="str">
        <x:v>OPEN</x:v>
      </x:c>
    </x:row>
    <x:row r="472">
      <x:c r="A472" s="15" t="str">
        <x:v>TO-468</x:v>
      </x:c>
      <x:c r="B472" s="15" t="str">
        <x:v>RC-78</x:v>
      </x:c>
      <x:c r="C472" s="15" t="str">
        <x:v>ER-09</x:v>
      </x:c>
      <x:c r="D472" s="15" t="str">
        <x:v>AQU</x:v>
      </x:c>
      <x:c r="E472" s="15" t="str">
        <x:v>Authority</x:v>
      </x:c>
      <x:c r="F472" s="15" t="str">
        <x:v>OPEN</x:v>
      </x:c>
      <x:c r="G472" s="15" t="str">
        <x:v>OPEN</x:v>
      </x:c>
    </x:row>
    <x:row r="473">
      <x:c r="A473" s="14" t="str">
        <x:v>TO-469</x:v>
      </x:c>
      <x:c r="B473" s="14" t="str">
        <x:v>RC-79</x:v>
      </x:c>
      <x:c r="C473" s="14" t="str">
        <x:v>ER-09</x:v>
      </x:c>
      <x:c r="D473" s="14" t="str">
        <x:v>COU</x:v>
      </x:c>
      <x:c r="E473" s="14" t="str">
        <x:v>Semantic</x:v>
      </x:c>
      <x:c r="F473" s="14" t="str">
        <x:v>OPEN</x:v>
      </x:c>
      <x:c r="G473" s="14" t="str">
        <x:v>OPEN</x:v>
      </x:c>
    </x:row>
    <x:row r="474">
      <x:c r="A474" s="15" t="str">
        <x:v>TO-470</x:v>
      </x:c>
      <x:c r="B474" s="15" t="str">
        <x:v>RC-79</x:v>
      </x:c>
      <x:c r="C474" s="15" t="str">
        <x:v>ER-09</x:v>
      </x:c>
      <x:c r="D474" s="15" t="str">
        <x:v>COU</x:v>
      </x:c>
      <x:c r="E474" s="15" t="str">
        <x:v>Physical</x:v>
      </x:c>
      <x:c r="F474" s="15" t="str">
        <x:v>OPEN</x:v>
      </x:c>
      <x:c r="G474" s="15" t="str">
        <x:v>OPEN</x:v>
      </x:c>
    </x:row>
    <x:row r="475">
      <x:c r="A475" s="14" t="str">
        <x:v>TO-471</x:v>
      </x:c>
      <x:c r="B475" s="14" t="str">
        <x:v>RC-79</x:v>
      </x:c>
      <x:c r="C475" s="14" t="str">
        <x:v>ER-09</x:v>
      </x:c>
      <x:c r="D475" s="14" t="str">
        <x:v>COU</x:v>
      </x:c>
      <x:c r="E475" s="14" t="str">
        <x:v>Metrological</x:v>
      </x:c>
      <x:c r="F475" s="14" t="str">
        <x:v>OPEN</x:v>
      </x:c>
      <x:c r="G475" s="14" t="str">
        <x:v>OPEN</x:v>
      </x:c>
    </x:row>
    <x:row r="476">
      <x:c r="A476" s="15" t="str">
        <x:v>TO-472</x:v>
      </x:c>
      <x:c r="B476" s="15" t="str">
        <x:v>RC-79</x:v>
      </x:c>
      <x:c r="C476" s="15" t="str">
        <x:v>ER-09</x:v>
      </x:c>
      <x:c r="D476" s="15" t="str">
        <x:v>COU</x:v>
      </x:c>
      <x:c r="E476" s="15" t="str">
        <x:v>Computational</x:v>
      </x:c>
      <x:c r="F476" s="15" t="str">
        <x:v>OPEN</x:v>
      </x:c>
      <x:c r="G476" s="15" t="str">
        <x:v>OPEN</x:v>
      </x:c>
    </x:row>
    <x:row r="477">
      <x:c r="A477" s="14" t="str">
        <x:v>TO-473</x:v>
      </x:c>
      <x:c r="B477" s="14" t="str">
        <x:v>RC-79</x:v>
      </x:c>
      <x:c r="C477" s="14" t="str">
        <x:v>ER-09</x:v>
      </x:c>
      <x:c r="D477" s="14" t="str">
        <x:v>COU</x:v>
      </x:c>
      <x:c r="E477" s="14" t="str">
        <x:v>Uncertainty</x:v>
      </x:c>
      <x:c r="F477" s="14" t="str">
        <x:v>OPEN</x:v>
      </x:c>
      <x:c r="G477" s="14" t="str">
        <x:v>OPEN</x:v>
      </x:c>
    </x:row>
    <x:row r="478">
      <x:c r="A478" s="15" t="str">
        <x:v>TO-474</x:v>
      </x:c>
      <x:c r="B478" s="15" t="str">
        <x:v>RC-79</x:v>
      </x:c>
      <x:c r="C478" s="15" t="str">
        <x:v>ER-09</x:v>
      </x:c>
      <x:c r="D478" s="15" t="str">
        <x:v>COU</x:v>
      </x:c>
      <x:c r="E478" s="15" t="str">
        <x:v>Authority</x:v>
      </x:c>
      <x:c r="F478" s="15" t="str">
        <x:v>OPEN</x:v>
      </x:c>
      <x:c r="G478" s="15" t="str">
        <x:v>OPEN</x:v>
      </x:c>
    </x:row>
    <x:row r="479">
      <x:c r="A479" s="14" t="str">
        <x:v>TO-475</x:v>
      </x:c>
      <x:c r="B479" s="14" t="str">
        <x:v>RC-80</x:v>
      </x:c>
      <x:c r="C479" s="14" t="str">
        <x:v>ER-09</x:v>
      </x:c>
      <x:c r="D479" s="14" t="str">
        <x:v>DIV</x:v>
      </x:c>
      <x:c r="E479" s="14" t="str">
        <x:v>Semantic</x:v>
      </x:c>
      <x:c r="F479" s="14" t="str">
        <x:v>OPEN</x:v>
      </x:c>
      <x:c r="G479" s="14" t="str">
        <x:v>OPEN</x:v>
      </x:c>
    </x:row>
    <x:row r="480">
      <x:c r="A480" s="15" t="str">
        <x:v>TO-476</x:v>
      </x:c>
      <x:c r="B480" s="15" t="str">
        <x:v>RC-80</x:v>
      </x:c>
      <x:c r="C480" s="15" t="str">
        <x:v>ER-09</x:v>
      </x:c>
      <x:c r="D480" s="15" t="str">
        <x:v>DIV</x:v>
      </x:c>
      <x:c r="E480" s="15" t="str">
        <x:v>Physical</x:v>
      </x:c>
      <x:c r="F480" s="15" t="str">
        <x:v>OPEN</x:v>
      </x:c>
      <x:c r="G480" s="15" t="str">
        <x:v>OPEN</x:v>
      </x:c>
    </x:row>
    <x:row r="481">
      <x:c r="A481" s="14" t="str">
        <x:v>TO-477</x:v>
      </x:c>
      <x:c r="B481" s="14" t="str">
        <x:v>RC-80</x:v>
      </x:c>
      <x:c r="C481" s="14" t="str">
        <x:v>ER-09</x:v>
      </x:c>
      <x:c r="D481" s="14" t="str">
        <x:v>DIV</x:v>
      </x:c>
      <x:c r="E481" s="14" t="str">
        <x:v>Metrological</x:v>
      </x:c>
      <x:c r="F481" s="14" t="str">
        <x:v>OPEN</x:v>
      </x:c>
      <x:c r="G481" s="14" t="str">
        <x:v>OPEN</x:v>
      </x:c>
    </x:row>
    <x:row r="482">
      <x:c r="A482" s="15" t="str">
        <x:v>TO-478</x:v>
      </x:c>
      <x:c r="B482" s="15" t="str">
        <x:v>RC-80</x:v>
      </x:c>
      <x:c r="C482" s="15" t="str">
        <x:v>ER-09</x:v>
      </x:c>
      <x:c r="D482" s="15" t="str">
        <x:v>DIV</x:v>
      </x:c>
      <x:c r="E482" s="15" t="str">
        <x:v>Computational</x:v>
      </x:c>
      <x:c r="F482" s="15" t="str">
        <x:v>OPEN</x:v>
      </x:c>
      <x:c r="G482" s="15" t="str">
        <x:v>OPEN</x:v>
      </x:c>
    </x:row>
    <x:row r="483">
      <x:c r="A483" s="14" t="str">
        <x:v>TO-479</x:v>
      </x:c>
      <x:c r="B483" s="14" t="str">
        <x:v>RC-80</x:v>
      </x:c>
      <x:c r="C483" s="14" t="str">
        <x:v>ER-09</x:v>
      </x:c>
      <x:c r="D483" s="14" t="str">
        <x:v>DIV</x:v>
      </x:c>
      <x:c r="E483" s="14" t="str">
        <x:v>Uncertainty</x:v>
      </x:c>
      <x:c r="F483" s="14" t="str">
        <x:v>OPEN</x:v>
      </x:c>
      <x:c r="G483" s="14" t="str">
        <x:v>OPEN</x:v>
      </x:c>
    </x:row>
    <x:row r="484">
      <x:c r="A484" s="15" t="str">
        <x:v>TO-480</x:v>
      </x:c>
      <x:c r="B484" s="15" t="str">
        <x:v>RC-80</x:v>
      </x:c>
      <x:c r="C484" s="15" t="str">
        <x:v>ER-09</x:v>
      </x:c>
      <x:c r="D484" s="15" t="str">
        <x:v>DIV</x:v>
      </x:c>
      <x:c r="E484" s="15" t="str">
        <x:v>Authority</x:v>
      </x:c>
      <x:c r="F484" s="15" t="str">
        <x:v>OPEN</x:v>
      </x:c>
      <x:c r="G484" s="15" t="str">
        <x:v>OPEN</x:v>
      </x:c>
    </x:row>
    <x:row r="485">
      <x:c r="A485" s="14" t="str">
        <x:v>TO-481</x:v>
      </x:c>
      <x:c r="B485" s="14" t="str">
        <x:v>RC-81</x:v>
      </x:c>
      <x:c r="C485" s="14" t="str">
        <x:v>ER-09</x:v>
      </x:c>
      <x:c r="D485" s="14" t="str">
        <x:v>PUB</x:v>
      </x:c>
      <x:c r="E485" s="14" t="str">
        <x:v>Semantic</x:v>
      </x:c>
      <x:c r="F485" s="14" t="str">
        <x:v>OPEN</x:v>
      </x:c>
      <x:c r="G485" s="14" t="str">
        <x:v>OPEN</x:v>
      </x:c>
    </x:row>
    <x:row r="486">
      <x:c r="A486" s="15" t="str">
        <x:v>TO-482</x:v>
      </x:c>
      <x:c r="B486" s="15" t="str">
        <x:v>RC-81</x:v>
      </x:c>
      <x:c r="C486" s="15" t="str">
        <x:v>ER-09</x:v>
      </x:c>
      <x:c r="D486" s="15" t="str">
        <x:v>PUB</x:v>
      </x:c>
      <x:c r="E486" s="15" t="str">
        <x:v>Physical</x:v>
      </x:c>
      <x:c r="F486" s="15" t="str">
        <x:v>OPEN</x:v>
      </x:c>
      <x:c r="G486" s="15" t="str">
        <x:v>OPEN</x:v>
      </x:c>
    </x:row>
    <x:row r="487">
      <x:c r="A487" s="14" t="str">
        <x:v>TO-483</x:v>
      </x:c>
      <x:c r="B487" s="14" t="str">
        <x:v>RC-81</x:v>
      </x:c>
      <x:c r="C487" s="14" t="str">
        <x:v>ER-09</x:v>
      </x:c>
      <x:c r="D487" s="14" t="str">
        <x:v>PUB</x:v>
      </x:c>
      <x:c r="E487" s="14" t="str">
        <x:v>Metrological</x:v>
      </x:c>
      <x:c r="F487" s="14" t="str">
        <x:v>OPEN</x:v>
      </x:c>
      <x:c r="G487" s="14" t="str">
        <x:v>OPEN</x:v>
      </x:c>
    </x:row>
    <x:row r="488">
      <x:c r="A488" s="15" t="str">
        <x:v>TO-484</x:v>
      </x:c>
      <x:c r="B488" s="15" t="str">
        <x:v>RC-81</x:v>
      </x:c>
      <x:c r="C488" s="15" t="str">
        <x:v>ER-09</x:v>
      </x:c>
      <x:c r="D488" s="15" t="str">
        <x:v>PUB</x:v>
      </x:c>
      <x:c r="E488" s="15" t="str">
        <x:v>Computational</x:v>
      </x:c>
      <x:c r="F488" s="15" t="str">
        <x:v>OPEN</x:v>
      </x:c>
      <x:c r="G488" s="15" t="str">
        <x:v>OPEN</x:v>
      </x:c>
    </x:row>
    <x:row r="489">
      <x:c r="A489" s="14" t="str">
        <x:v>TO-485</x:v>
      </x:c>
      <x:c r="B489" s="14" t="str">
        <x:v>RC-81</x:v>
      </x:c>
      <x:c r="C489" s="14" t="str">
        <x:v>ER-09</x:v>
      </x:c>
      <x:c r="D489" s="14" t="str">
        <x:v>PUB</x:v>
      </x:c>
      <x:c r="E489" s="14" t="str">
        <x:v>Uncertainty</x:v>
      </x:c>
      <x:c r="F489" s="14" t="str">
        <x:v>OPEN</x:v>
      </x:c>
      <x:c r="G489" s="14" t="str">
        <x:v>OPEN</x:v>
      </x:c>
    </x:row>
    <x:row r="490">
      <x:c r="A490" s="15" t="str">
        <x:v>TO-486</x:v>
      </x:c>
      <x:c r="B490" s="15" t="str">
        <x:v>RC-81</x:v>
      </x:c>
      <x:c r="C490" s="15" t="str">
        <x:v>ER-09</x:v>
      </x:c>
      <x:c r="D490" s="15" t="str">
        <x:v>PUB</x:v>
      </x:c>
      <x:c r="E490" s="15" t="str">
        <x:v>Authority</x:v>
      </x:c>
      <x:c r="F490" s="15" t="str">
        <x:v>OPEN</x:v>
      </x:c>
      <x:c r="G490" s="15" t="str">
        <x:v>OPEN</x:v>
      </x:c>
    </x:row>
    <x:row r="491">
      <x:c r="A491" s="14" t="str">
        <x:v>TO-487</x:v>
      </x:c>
      <x:c r="B491" s="14" t="str">
        <x:v>RC-82</x:v>
      </x:c>
      <x:c r="C491" s="14" t="str">
        <x:v>ER-10</x:v>
      </x:c>
      <x:c r="D491" s="14" t="str">
        <x:v>PHO</x:v>
      </x:c>
      <x:c r="E491" s="14" t="str">
        <x:v>Semantic</x:v>
      </x:c>
      <x:c r="F491" s="14" t="str">
        <x:v>OPEN</x:v>
      </x:c>
      <x:c r="G491" s="14" t="str">
        <x:v>OPEN</x:v>
      </x:c>
    </x:row>
    <x:row r="492">
      <x:c r="A492" s="15" t="str">
        <x:v>TO-488</x:v>
      </x:c>
      <x:c r="B492" s="15" t="str">
        <x:v>RC-82</x:v>
      </x:c>
      <x:c r="C492" s="15" t="str">
        <x:v>ER-10</x:v>
      </x:c>
      <x:c r="D492" s="15" t="str">
        <x:v>PHO</x:v>
      </x:c>
      <x:c r="E492" s="15" t="str">
        <x:v>Physical</x:v>
      </x:c>
      <x:c r="F492" s="15" t="str">
        <x:v>OPEN</x:v>
      </x:c>
      <x:c r="G492" s="15" t="str">
        <x:v>OPEN</x:v>
      </x:c>
    </x:row>
    <x:row r="493">
      <x:c r="A493" s="14" t="str">
        <x:v>TO-489</x:v>
      </x:c>
      <x:c r="B493" s="14" t="str">
        <x:v>RC-82</x:v>
      </x:c>
      <x:c r="C493" s="14" t="str">
        <x:v>ER-10</x:v>
      </x:c>
      <x:c r="D493" s="14" t="str">
        <x:v>PHO</x:v>
      </x:c>
      <x:c r="E493" s="14" t="str">
        <x:v>Metrological</x:v>
      </x:c>
      <x:c r="F493" s="14" t="str">
        <x:v>OPEN</x:v>
      </x:c>
      <x:c r="G493" s="14" t="str">
        <x:v>OPEN</x:v>
      </x:c>
    </x:row>
    <x:row r="494">
      <x:c r="A494" s="15" t="str">
        <x:v>TO-490</x:v>
      </x:c>
      <x:c r="B494" s="15" t="str">
        <x:v>RC-82</x:v>
      </x:c>
      <x:c r="C494" s="15" t="str">
        <x:v>ER-10</x:v>
      </x:c>
      <x:c r="D494" s="15" t="str">
        <x:v>PHO</x:v>
      </x:c>
      <x:c r="E494" s="15" t="str">
        <x:v>Computational</x:v>
      </x:c>
      <x:c r="F494" s="15" t="str">
        <x:v>OPEN</x:v>
      </x:c>
      <x:c r="G494" s="15" t="str">
        <x:v>OPEN</x:v>
      </x:c>
    </x:row>
    <x:row r="495">
      <x:c r="A495" s="14" t="str">
        <x:v>TO-491</x:v>
      </x:c>
      <x:c r="B495" s="14" t="str">
        <x:v>RC-82</x:v>
      </x:c>
      <x:c r="C495" s="14" t="str">
        <x:v>ER-10</x:v>
      </x:c>
      <x:c r="D495" s="14" t="str">
        <x:v>PHO</x:v>
      </x:c>
      <x:c r="E495" s="14" t="str">
        <x:v>Uncertainty</x:v>
      </x:c>
      <x:c r="F495" s="14" t="str">
        <x:v>OPEN</x:v>
      </x:c>
      <x:c r="G495" s="14" t="str">
        <x:v>OPEN</x:v>
      </x:c>
    </x:row>
    <x:row r="496">
      <x:c r="A496" s="15" t="str">
        <x:v>TO-492</x:v>
      </x:c>
      <x:c r="B496" s="15" t="str">
        <x:v>RC-82</x:v>
      </x:c>
      <x:c r="C496" s="15" t="str">
        <x:v>ER-10</x:v>
      </x:c>
      <x:c r="D496" s="15" t="str">
        <x:v>PHO</x:v>
      </x:c>
      <x:c r="E496" s="15" t="str">
        <x:v>Authority</x:v>
      </x:c>
      <x:c r="F496" s="15" t="str">
        <x:v>OPEN</x:v>
      </x:c>
      <x:c r="G496" s="15" t="str">
        <x:v>OPEN</x:v>
      </x:c>
    </x:row>
    <x:row r="497">
      <x:c r="A497" s="14" t="str">
        <x:v>TO-493</x:v>
      </x:c>
      <x:c r="B497" s="14" t="str">
        <x:v>RC-83</x:v>
      </x:c>
      <x:c r="C497" s="14" t="str">
        <x:v>ER-10</x:v>
      </x:c>
      <x:c r="D497" s="14" t="str">
        <x:v>ION</x:v>
      </x:c>
      <x:c r="E497" s="14" t="str">
        <x:v>Semantic</x:v>
      </x:c>
      <x:c r="F497" s="14" t="str">
        <x:v>OPEN</x:v>
      </x:c>
      <x:c r="G497" s="14" t="str">
        <x:v>OPEN</x:v>
      </x:c>
    </x:row>
    <x:row r="498">
      <x:c r="A498" s="15" t="str">
        <x:v>TO-494</x:v>
      </x:c>
      <x:c r="B498" s="15" t="str">
        <x:v>RC-83</x:v>
      </x:c>
      <x:c r="C498" s="15" t="str">
        <x:v>ER-10</x:v>
      </x:c>
      <x:c r="D498" s="15" t="str">
        <x:v>ION</x:v>
      </x:c>
      <x:c r="E498" s="15" t="str">
        <x:v>Physical</x:v>
      </x:c>
      <x:c r="F498" s="15" t="str">
        <x:v>OPEN</x:v>
      </x:c>
      <x:c r="G498" s="15" t="str">
        <x:v>OPEN</x:v>
      </x:c>
    </x:row>
    <x:row r="499">
      <x:c r="A499" s="14" t="str">
        <x:v>TO-495</x:v>
      </x:c>
      <x:c r="B499" s="14" t="str">
        <x:v>RC-83</x:v>
      </x:c>
      <x:c r="C499" s="14" t="str">
        <x:v>ER-10</x:v>
      </x:c>
      <x:c r="D499" s="14" t="str">
        <x:v>ION</x:v>
      </x:c>
      <x:c r="E499" s="14" t="str">
        <x:v>Metrological</x:v>
      </x:c>
      <x:c r="F499" s="14" t="str">
        <x:v>OPEN</x:v>
      </x:c>
      <x:c r="G499" s="14" t="str">
        <x:v>OPEN</x:v>
      </x:c>
    </x:row>
    <x:row r="500">
      <x:c r="A500" s="15" t="str">
        <x:v>TO-496</x:v>
      </x:c>
      <x:c r="B500" s="15" t="str">
        <x:v>RC-83</x:v>
      </x:c>
      <x:c r="C500" s="15" t="str">
        <x:v>ER-10</x:v>
      </x:c>
      <x:c r="D500" s="15" t="str">
        <x:v>ION</x:v>
      </x:c>
      <x:c r="E500" s="15" t="str">
        <x:v>Computational</x:v>
      </x:c>
      <x:c r="F500" s="15" t="str">
        <x:v>OPEN</x:v>
      </x:c>
      <x:c r="G500" s="15" t="str">
        <x:v>OPEN</x:v>
      </x:c>
    </x:row>
    <x:row r="501">
      <x:c r="A501" s="14" t="str">
        <x:v>TO-497</x:v>
      </x:c>
      <x:c r="B501" s="14" t="str">
        <x:v>RC-83</x:v>
      </x:c>
      <x:c r="C501" s="14" t="str">
        <x:v>ER-10</x:v>
      </x:c>
      <x:c r="D501" s="14" t="str">
        <x:v>ION</x:v>
      </x:c>
      <x:c r="E501" s="14" t="str">
        <x:v>Uncertainty</x:v>
      </x:c>
      <x:c r="F501" s="14" t="str">
        <x:v>OPEN</x:v>
      </x:c>
      <x:c r="G501" s="14" t="str">
        <x:v>OPEN</x:v>
      </x:c>
    </x:row>
    <x:row r="502">
      <x:c r="A502" s="15" t="str">
        <x:v>TO-498</x:v>
      </x:c>
      <x:c r="B502" s="15" t="str">
        <x:v>RC-83</x:v>
      </x:c>
      <x:c r="C502" s="15" t="str">
        <x:v>ER-10</x:v>
      </x:c>
      <x:c r="D502" s="15" t="str">
        <x:v>ION</x:v>
      </x:c>
      <x:c r="E502" s="15" t="str">
        <x:v>Authority</x:v>
      </x:c>
      <x:c r="F502" s="15" t="str">
        <x:v>OPEN</x:v>
      </x:c>
      <x:c r="G502" s="15" t="str">
        <x:v>OPEN</x:v>
      </x:c>
    </x:row>
    <x:row r="503">
      <x:c r="A503" s="14" t="str">
        <x:v>TO-499</x:v>
      </x:c>
      <x:c r="B503" s="14" t="str">
        <x:v>RC-84</x:v>
      </x:c>
      <x:c r="C503" s="14" t="str">
        <x:v>ER-10</x:v>
      </x:c>
      <x:c r="D503" s="14" t="str">
        <x:v>TOP</x:v>
      </x:c>
      <x:c r="E503" s="14" t="str">
        <x:v>Semantic</x:v>
      </x:c>
      <x:c r="F503" s="14" t="str">
        <x:v>OPEN</x:v>
      </x:c>
      <x:c r="G503" s="14" t="str">
        <x:v>OPEN</x:v>
      </x:c>
    </x:row>
    <x:row r="504">
      <x:c r="A504" s="15" t="str">
        <x:v>TO-500</x:v>
      </x:c>
      <x:c r="B504" s="15" t="str">
        <x:v>RC-84</x:v>
      </x:c>
      <x:c r="C504" s="15" t="str">
        <x:v>ER-10</x:v>
      </x:c>
      <x:c r="D504" s="15" t="str">
        <x:v>TOP</x:v>
      </x:c>
      <x:c r="E504" s="15" t="str">
        <x:v>Physical</x:v>
      </x:c>
      <x:c r="F504" s="15" t="str">
        <x:v>OPEN</x:v>
      </x:c>
      <x:c r="G504" s="15" t="str">
        <x:v>OPEN</x:v>
      </x:c>
    </x:row>
    <x:row r="505">
      <x:c r="A505" s="14" t="str">
        <x:v>TO-501</x:v>
      </x:c>
      <x:c r="B505" s="14" t="str">
        <x:v>RC-84</x:v>
      </x:c>
      <x:c r="C505" s="14" t="str">
        <x:v>ER-10</x:v>
      </x:c>
      <x:c r="D505" s="14" t="str">
        <x:v>TOP</x:v>
      </x:c>
      <x:c r="E505" s="14" t="str">
        <x:v>Metrological</x:v>
      </x:c>
      <x:c r="F505" s="14" t="str">
        <x:v>OPEN</x:v>
      </x:c>
      <x:c r="G505" s="14" t="str">
        <x:v>OPEN</x:v>
      </x:c>
    </x:row>
    <x:row r="506">
      <x:c r="A506" s="15" t="str">
        <x:v>TO-502</x:v>
      </x:c>
      <x:c r="B506" s="15" t="str">
        <x:v>RC-84</x:v>
      </x:c>
      <x:c r="C506" s="15" t="str">
        <x:v>ER-10</x:v>
      </x:c>
      <x:c r="D506" s="15" t="str">
        <x:v>TOP</x:v>
      </x:c>
      <x:c r="E506" s="15" t="str">
        <x:v>Computational</x:v>
      </x:c>
      <x:c r="F506" s="15" t="str">
        <x:v>OPEN</x:v>
      </x:c>
      <x:c r="G506" s="15" t="str">
        <x:v>OPEN</x:v>
      </x:c>
    </x:row>
    <x:row r="507">
      <x:c r="A507" s="14" t="str">
        <x:v>TO-503</x:v>
      </x:c>
      <x:c r="B507" s="14" t="str">
        <x:v>RC-84</x:v>
      </x:c>
      <x:c r="C507" s="14" t="str">
        <x:v>ER-10</x:v>
      </x:c>
      <x:c r="D507" s="14" t="str">
        <x:v>TOP</x:v>
      </x:c>
      <x:c r="E507" s="14" t="str">
        <x:v>Uncertainty</x:v>
      </x:c>
      <x:c r="F507" s="14" t="str">
        <x:v>OPEN</x:v>
      </x:c>
      <x:c r="G507" s="14" t="str">
        <x:v>OPEN</x:v>
      </x:c>
    </x:row>
    <x:row r="508">
      <x:c r="A508" s="15" t="str">
        <x:v>TO-504</x:v>
      </x:c>
      <x:c r="B508" s="15" t="str">
        <x:v>RC-84</x:v>
      </x:c>
      <x:c r="C508" s="15" t="str">
        <x:v>ER-10</x:v>
      </x:c>
      <x:c r="D508" s="15" t="str">
        <x:v>TOP</x:v>
      </x:c>
      <x:c r="E508" s="15" t="str">
        <x:v>Authority</x:v>
      </x:c>
      <x:c r="F508" s="15" t="str">
        <x:v>OPEN</x:v>
      </x:c>
      <x:c r="G508" s="15" t="str">
        <x:v>OPEN</x:v>
      </x:c>
    </x:row>
    <x:row r="509">
      <x:c r="A509" s="14" t="str">
        <x:v>TO-505</x:v>
      </x:c>
      <x:c r="B509" s="14" t="str">
        <x:v>RC-85</x:v>
      </x:c>
      <x:c r="C509" s="14" t="str">
        <x:v>ER-10</x:v>
      </x:c>
      <x:c r="D509" s="14" t="str">
        <x:v>MOL</x:v>
      </x:c>
      <x:c r="E509" s="14" t="str">
        <x:v>Semantic</x:v>
      </x:c>
      <x:c r="F509" s="14" t="str">
        <x:v>OPEN</x:v>
      </x:c>
      <x:c r="G509" s="14" t="str">
        <x:v>OPEN</x:v>
      </x:c>
    </x:row>
    <x:row r="510">
      <x:c r="A510" s="15" t="str">
        <x:v>TO-506</x:v>
      </x:c>
      <x:c r="B510" s="15" t="str">
        <x:v>RC-85</x:v>
      </x:c>
      <x:c r="C510" s="15" t="str">
        <x:v>ER-10</x:v>
      </x:c>
      <x:c r="D510" s="15" t="str">
        <x:v>MOL</x:v>
      </x:c>
      <x:c r="E510" s="15" t="str">
        <x:v>Physical</x:v>
      </x:c>
      <x:c r="F510" s="15" t="str">
        <x:v>OPEN</x:v>
      </x:c>
      <x:c r="G510" s="15" t="str">
        <x:v>OPEN</x:v>
      </x:c>
    </x:row>
    <x:row r="511">
      <x:c r="A511" s="14" t="str">
        <x:v>TO-507</x:v>
      </x:c>
      <x:c r="B511" s="14" t="str">
        <x:v>RC-85</x:v>
      </x:c>
      <x:c r="C511" s="14" t="str">
        <x:v>ER-10</x:v>
      </x:c>
      <x:c r="D511" s="14" t="str">
        <x:v>MOL</x:v>
      </x:c>
      <x:c r="E511" s="14" t="str">
        <x:v>Metrological</x:v>
      </x:c>
      <x:c r="F511" s="14" t="str">
        <x:v>OPEN</x:v>
      </x:c>
      <x:c r="G511" s="14" t="str">
        <x:v>OPEN</x:v>
      </x:c>
    </x:row>
    <x:row r="512">
      <x:c r="A512" s="15" t="str">
        <x:v>TO-508</x:v>
      </x:c>
      <x:c r="B512" s="15" t="str">
        <x:v>RC-85</x:v>
      </x:c>
      <x:c r="C512" s="15" t="str">
        <x:v>ER-10</x:v>
      </x:c>
      <x:c r="D512" s="15" t="str">
        <x:v>MOL</x:v>
      </x:c>
      <x:c r="E512" s="15" t="str">
        <x:v>Computational</x:v>
      </x:c>
      <x:c r="F512" s="15" t="str">
        <x:v>OPEN</x:v>
      </x:c>
      <x:c r="G512" s="15" t="str">
        <x:v>OPEN</x:v>
      </x:c>
    </x:row>
    <x:row r="513">
      <x:c r="A513" s="14" t="str">
        <x:v>TO-509</x:v>
      </x:c>
      <x:c r="B513" s="14" t="str">
        <x:v>RC-85</x:v>
      </x:c>
      <x:c r="C513" s="14" t="str">
        <x:v>ER-10</x:v>
      </x:c>
      <x:c r="D513" s="14" t="str">
        <x:v>MOL</x:v>
      </x:c>
      <x:c r="E513" s="14" t="str">
        <x:v>Uncertainty</x:v>
      </x:c>
      <x:c r="F513" s="14" t="str">
        <x:v>OPEN</x:v>
      </x:c>
      <x:c r="G513" s="14" t="str">
        <x:v>OPEN</x:v>
      </x:c>
    </x:row>
    <x:row r="514">
      <x:c r="A514" s="15" t="str">
        <x:v>TO-510</x:v>
      </x:c>
      <x:c r="B514" s="15" t="str">
        <x:v>RC-85</x:v>
      </x:c>
      <x:c r="C514" s="15" t="str">
        <x:v>ER-10</x:v>
      </x:c>
      <x:c r="D514" s="15" t="str">
        <x:v>MOL</x:v>
      </x:c>
      <x:c r="E514" s="15" t="str">
        <x:v>Authority</x:v>
      </x:c>
      <x:c r="F514" s="15" t="str">
        <x:v>OPEN</x:v>
      </x:c>
      <x:c r="G514" s="15" t="str">
        <x:v>OPEN</x:v>
      </x:c>
    </x:row>
    <x:row r="515">
      <x:c r="A515" s="14" t="str">
        <x:v>TO-511</x:v>
      </x:c>
      <x:c r="B515" s="14" t="str">
        <x:v>RC-86</x:v>
      </x:c>
      <x:c r="C515" s="14" t="str">
        <x:v>ER-10</x:v>
      </x:c>
      <x:c r="D515" s="14" t="str">
        <x:v>CAL</x:v>
      </x:c>
      <x:c r="E515" s="14" t="str">
        <x:v>Semantic</x:v>
      </x:c>
      <x:c r="F515" s="14" t="str">
        <x:v>OPEN</x:v>
      </x:c>
      <x:c r="G515" s="14" t="str">
        <x:v>OPEN</x:v>
      </x:c>
    </x:row>
    <x:row r="516">
      <x:c r="A516" s="15" t="str">
        <x:v>TO-512</x:v>
      </x:c>
      <x:c r="B516" s="15" t="str">
        <x:v>RC-86</x:v>
      </x:c>
      <x:c r="C516" s="15" t="str">
        <x:v>ER-10</x:v>
      </x:c>
      <x:c r="D516" s="15" t="str">
        <x:v>CAL</x:v>
      </x:c>
      <x:c r="E516" s="15" t="str">
        <x:v>Physical</x:v>
      </x:c>
      <x:c r="F516" s="15" t="str">
        <x:v>OPEN</x:v>
      </x:c>
      <x:c r="G516" s="15" t="str">
        <x:v>OPEN</x:v>
      </x:c>
    </x:row>
    <x:row r="517">
      <x:c r="A517" s="14" t="str">
        <x:v>TO-513</x:v>
      </x:c>
      <x:c r="B517" s="14" t="str">
        <x:v>RC-86</x:v>
      </x:c>
      <x:c r="C517" s="14" t="str">
        <x:v>ER-10</x:v>
      </x:c>
      <x:c r="D517" s="14" t="str">
        <x:v>CAL</x:v>
      </x:c>
      <x:c r="E517" s="14" t="str">
        <x:v>Metrological</x:v>
      </x:c>
      <x:c r="F517" s="14" t="str">
        <x:v>OPEN</x:v>
      </x:c>
      <x:c r="G517" s="14" t="str">
        <x:v>OPEN</x:v>
      </x:c>
    </x:row>
    <x:row r="518">
      <x:c r="A518" s="15" t="str">
        <x:v>TO-514</x:v>
      </x:c>
      <x:c r="B518" s="15" t="str">
        <x:v>RC-86</x:v>
      </x:c>
      <x:c r="C518" s="15" t="str">
        <x:v>ER-10</x:v>
      </x:c>
      <x:c r="D518" s="15" t="str">
        <x:v>CAL</x:v>
      </x:c>
      <x:c r="E518" s="15" t="str">
        <x:v>Computational</x:v>
      </x:c>
      <x:c r="F518" s="15" t="str">
        <x:v>OPEN</x:v>
      </x:c>
      <x:c r="G518" s="15" t="str">
        <x:v>OPEN</x:v>
      </x:c>
    </x:row>
    <x:row r="519">
      <x:c r="A519" s="14" t="str">
        <x:v>TO-515</x:v>
      </x:c>
      <x:c r="B519" s="14" t="str">
        <x:v>RC-86</x:v>
      </x:c>
      <x:c r="C519" s="14" t="str">
        <x:v>ER-10</x:v>
      </x:c>
      <x:c r="D519" s="14" t="str">
        <x:v>CAL</x:v>
      </x:c>
      <x:c r="E519" s="14" t="str">
        <x:v>Uncertainty</x:v>
      </x:c>
      <x:c r="F519" s="14" t="str">
        <x:v>OPEN</x:v>
      </x:c>
      <x:c r="G519" s="14" t="str">
        <x:v>OPEN</x:v>
      </x:c>
    </x:row>
    <x:row r="520">
      <x:c r="A520" s="15" t="str">
        <x:v>TO-516</x:v>
      </x:c>
      <x:c r="B520" s="15" t="str">
        <x:v>RC-86</x:v>
      </x:c>
      <x:c r="C520" s="15" t="str">
        <x:v>ER-10</x:v>
      </x:c>
      <x:c r="D520" s="15" t="str">
        <x:v>CAL</x:v>
      </x:c>
      <x:c r="E520" s="15" t="str">
        <x:v>Authority</x:v>
      </x:c>
      <x:c r="F520" s="15" t="str">
        <x:v>OPEN</x:v>
      </x:c>
      <x:c r="G520" s="15" t="str">
        <x:v>OPEN</x:v>
      </x:c>
    </x:row>
    <x:row r="521">
      <x:c r="A521" s="14" t="str">
        <x:v>TO-517</x:v>
      </x:c>
      <x:c r="B521" s="14" t="str">
        <x:v>RC-87</x:v>
      </x:c>
      <x:c r="C521" s="14" t="str">
        <x:v>ER-10</x:v>
      </x:c>
      <x:c r="D521" s="14" t="str">
        <x:v>AQU</x:v>
      </x:c>
      <x:c r="E521" s="14" t="str">
        <x:v>Semantic</x:v>
      </x:c>
      <x:c r="F521" s="14" t="str">
        <x:v>OPEN</x:v>
      </x:c>
      <x:c r="G521" s="14" t="str">
        <x:v>OPEN</x:v>
      </x:c>
    </x:row>
    <x:row r="522">
      <x:c r="A522" s="15" t="str">
        <x:v>TO-518</x:v>
      </x:c>
      <x:c r="B522" s="15" t="str">
        <x:v>RC-87</x:v>
      </x:c>
      <x:c r="C522" s="15" t="str">
        <x:v>ER-10</x:v>
      </x:c>
      <x:c r="D522" s="15" t="str">
        <x:v>AQU</x:v>
      </x:c>
      <x:c r="E522" s="15" t="str">
        <x:v>Physical</x:v>
      </x:c>
      <x:c r="F522" s="15" t="str">
        <x:v>OPEN</x:v>
      </x:c>
      <x:c r="G522" s="15" t="str">
        <x:v>OPEN</x:v>
      </x:c>
    </x:row>
    <x:row r="523">
      <x:c r="A523" s="14" t="str">
        <x:v>TO-519</x:v>
      </x:c>
      <x:c r="B523" s="14" t="str">
        <x:v>RC-87</x:v>
      </x:c>
      <x:c r="C523" s="14" t="str">
        <x:v>ER-10</x:v>
      </x:c>
      <x:c r="D523" s="14" t="str">
        <x:v>AQU</x:v>
      </x:c>
      <x:c r="E523" s="14" t="str">
        <x:v>Metrological</x:v>
      </x:c>
      <x:c r="F523" s="14" t="str">
        <x:v>OPEN</x:v>
      </x:c>
      <x:c r="G523" s="14" t="str">
        <x:v>OPEN</x:v>
      </x:c>
    </x:row>
    <x:row r="524">
      <x:c r="A524" s="15" t="str">
        <x:v>TO-520</x:v>
      </x:c>
      <x:c r="B524" s="15" t="str">
        <x:v>RC-87</x:v>
      </x:c>
      <x:c r="C524" s="15" t="str">
        <x:v>ER-10</x:v>
      </x:c>
      <x:c r="D524" s="15" t="str">
        <x:v>AQU</x:v>
      </x:c>
      <x:c r="E524" s="15" t="str">
        <x:v>Computational</x:v>
      </x:c>
      <x:c r="F524" s="15" t="str">
        <x:v>OPEN</x:v>
      </x:c>
      <x:c r="G524" s="15" t="str">
        <x:v>OPEN</x:v>
      </x:c>
    </x:row>
    <x:row r="525">
      <x:c r="A525" s="14" t="str">
        <x:v>TO-521</x:v>
      </x:c>
      <x:c r="B525" s="14" t="str">
        <x:v>RC-87</x:v>
      </x:c>
      <x:c r="C525" s="14" t="str">
        <x:v>ER-10</x:v>
      </x:c>
      <x:c r="D525" s="14" t="str">
        <x:v>AQU</x:v>
      </x:c>
      <x:c r="E525" s="14" t="str">
        <x:v>Uncertainty</x:v>
      </x:c>
      <x:c r="F525" s="14" t="str">
        <x:v>OPEN</x:v>
      </x:c>
      <x:c r="G525" s="14" t="str">
        <x:v>OPEN</x:v>
      </x:c>
    </x:row>
    <x:row r="526">
      <x:c r="A526" s="15" t="str">
        <x:v>TO-522</x:v>
      </x:c>
      <x:c r="B526" s="15" t="str">
        <x:v>RC-87</x:v>
      </x:c>
      <x:c r="C526" s="15" t="str">
        <x:v>ER-10</x:v>
      </x:c>
      <x:c r="D526" s="15" t="str">
        <x:v>AQU</x:v>
      </x:c>
      <x:c r="E526" s="15" t="str">
        <x:v>Authority</x:v>
      </x:c>
      <x:c r="F526" s="15" t="str">
        <x:v>OPEN</x:v>
      </x:c>
      <x:c r="G526" s="15" t="str">
        <x:v>OPEN</x:v>
      </x:c>
    </x:row>
    <x:row r="527">
      <x:c r="A527" s="14" t="str">
        <x:v>TO-523</x:v>
      </x:c>
      <x:c r="B527" s="14" t="str">
        <x:v>RC-88</x:v>
      </x:c>
      <x:c r="C527" s="14" t="str">
        <x:v>ER-10</x:v>
      </x:c>
      <x:c r="D527" s="14" t="str">
        <x:v>COU</x:v>
      </x:c>
      <x:c r="E527" s="14" t="str">
        <x:v>Semantic</x:v>
      </x:c>
      <x:c r="F527" s="14" t="str">
        <x:v>OPEN</x:v>
      </x:c>
      <x:c r="G527" s="14" t="str">
        <x:v>OPEN</x:v>
      </x:c>
    </x:row>
    <x:row r="528">
      <x:c r="A528" s="15" t="str">
        <x:v>TO-524</x:v>
      </x:c>
      <x:c r="B528" s="15" t="str">
        <x:v>RC-88</x:v>
      </x:c>
      <x:c r="C528" s="15" t="str">
        <x:v>ER-10</x:v>
      </x:c>
      <x:c r="D528" s="15" t="str">
        <x:v>COU</x:v>
      </x:c>
      <x:c r="E528" s="15" t="str">
        <x:v>Physical</x:v>
      </x:c>
      <x:c r="F528" s="15" t="str">
        <x:v>OPEN</x:v>
      </x:c>
      <x:c r="G528" s="15" t="str">
        <x:v>OPEN</x:v>
      </x:c>
    </x:row>
    <x:row r="529">
      <x:c r="A529" s="14" t="str">
        <x:v>TO-525</x:v>
      </x:c>
      <x:c r="B529" s="14" t="str">
        <x:v>RC-88</x:v>
      </x:c>
      <x:c r="C529" s="14" t="str">
        <x:v>ER-10</x:v>
      </x:c>
      <x:c r="D529" s="14" t="str">
        <x:v>COU</x:v>
      </x:c>
      <x:c r="E529" s="14" t="str">
        <x:v>Metrological</x:v>
      </x:c>
      <x:c r="F529" s="14" t="str">
        <x:v>OPEN</x:v>
      </x:c>
      <x:c r="G529" s="14" t="str">
        <x:v>OPEN</x:v>
      </x:c>
    </x:row>
    <x:row r="530">
      <x:c r="A530" s="15" t="str">
        <x:v>TO-526</x:v>
      </x:c>
      <x:c r="B530" s="15" t="str">
        <x:v>RC-88</x:v>
      </x:c>
      <x:c r="C530" s="15" t="str">
        <x:v>ER-10</x:v>
      </x:c>
      <x:c r="D530" s="15" t="str">
        <x:v>COU</x:v>
      </x:c>
      <x:c r="E530" s="15" t="str">
        <x:v>Computational</x:v>
      </x:c>
      <x:c r="F530" s="15" t="str">
        <x:v>OPEN</x:v>
      </x:c>
      <x:c r="G530" s="15" t="str">
        <x:v>OPEN</x:v>
      </x:c>
    </x:row>
    <x:row r="531">
      <x:c r="A531" s="14" t="str">
        <x:v>TO-527</x:v>
      </x:c>
      <x:c r="B531" s="14" t="str">
        <x:v>RC-88</x:v>
      </x:c>
      <x:c r="C531" s="14" t="str">
        <x:v>ER-10</x:v>
      </x:c>
      <x:c r="D531" s="14" t="str">
        <x:v>COU</x:v>
      </x:c>
      <x:c r="E531" s="14" t="str">
        <x:v>Uncertainty</x:v>
      </x:c>
      <x:c r="F531" s="14" t="str">
        <x:v>OPEN</x:v>
      </x:c>
      <x:c r="G531" s="14" t="str">
        <x:v>OPEN</x:v>
      </x:c>
    </x:row>
    <x:row r="532">
      <x:c r="A532" s="15" t="str">
        <x:v>TO-528</x:v>
      </x:c>
      <x:c r="B532" s="15" t="str">
        <x:v>RC-88</x:v>
      </x:c>
      <x:c r="C532" s="15" t="str">
        <x:v>ER-10</x:v>
      </x:c>
      <x:c r="D532" s="15" t="str">
        <x:v>COU</x:v>
      </x:c>
      <x:c r="E532" s="15" t="str">
        <x:v>Authority</x:v>
      </x:c>
      <x:c r="F532" s="15" t="str">
        <x:v>OPEN</x:v>
      </x:c>
      <x:c r="G532" s="15" t="str">
        <x:v>OPEN</x:v>
      </x:c>
    </x:row>
    <x:row r="533">
      <x:c r="A533" s="14" t="str">
        <x:v>TO-529</x:v>
      </x:c>
      <x:c r="B533" s="14" t="str">
        <x:v>RC-89</x:v>
      </x:c>
      <x:c r="C533" s="14" t="str">
        <x:v>ER-10</x:v>
      </x:c>
      <x:c r="D533" s="14" t="str">
        <x:v>DIV</x:v>
      </x:c>
      <x:c r="E533" s="14" t="str">
        <x:v>Semantic</x:v>
      </x:c>
      <x:c r="F533" s="14" t="str">
        <x:v>OPEN</x:v>
      </x:c>
      <x:c r="G533" s="14" t="str">
        <x:v>OPEN</x:v>
      </x:c>
    </x:row>
    <x:row r="534">
      <x:c r="A534" s="15" t="str">
        <x:v>TO-530</x:v>
      </x:c>
      <x:c r="B534" s="15" t="str">
        <x:v>RC-89</x:v>
      </x:c>
      <x:c r="C534" s="15" t="str">
        <x:v>ER-10</x:v>
      </x:c>
      <x:c r="D534" s="15" t="str">
        <x:v>DIV</x:v>
      </x:c>
      <x:c r="E534" s="15" t="str">
        <x:v>Physical</x:v>
      </x:c>
      <x:c r="F534" s="15" t="str">
        <x:v>OPEN</x:v>
      </x:c>
      <x:c r="G534" s="15" t="str">
        <x:v>OPEN</x:v>
      </x:c>
    </x:row>
    <x:row r="535">
      <x:c r="A535" s="14" t="str">
        <x:v>TO-531</x:v>
      </x:c>
      <x:c r="B535" s="14" t="str">
        <x:v>RC-89</x:v>
      </x:c>
      <x:c r="C535" s="14" t="str">
        <x:v>ER-10</x:v>
      </x:c>
      <x:c r="D535" s="14" t="str">
        <x:v>DIV</x:v>
      </x:c>
      <x:c r="E535" s="14" t="str">
        <x:v>Metrological</x:v>
      </x:c>
      <x:c r="F535" s="14" t="str">
        <x:v>OPEN</x:v>
      </x:c>
      <x:c r="G535" s="14" t="str">
        <x:v>OPEN</x:v>
      </x:c>
    </x:row>
    <x:row r="536">
      <x:c r="A536" s="15" t="str">
        <x:v>TO-532</x:v>
      </x:c>
      <x:c r="B536" s="15" t="str">
        <x:v>RC-89</x:v>
      </x:c>
      <x:c r="C536" s="15" t="str">
        <x:v>ER-10</x:v>
      </x:c>
      <x:c r="D536" s="15" t="str">
        <x:v>DIV</x:v>
      </x:c>
      <x:c r="E536" s="15" t="str">
        <x:v>Computational</x:v>
      </x:c>
      <x:c r="F536" s="15" t="str">
        <x:v>OPEN</x:v>
      </x:c>
      <x:c r="G536" s="15" t="str">
        <x:v>OPEN</x:v>
      </x:c>
    </x:row>
    <x:row r="537">
      <x:c r="A537" s="14" t="str">
        <x:v>TO-533</x:v>
      </x:c>
      <x:c r="B537" s="14" t="str">
        <x:v>RC-89</x:v>
      </x:c>
      <x:c r="C537" s="14" t="str">
        <x:v>ER-10</x:v>
      </x:c>
      <x:c r="D537" s="14" t="str">
        <x:v>DIV</x:v>
      </x:c>
      <x:c r="E537" s="14" t="str">
        <x:v>Uncertainty</x:v>
      </x:c>
      <x:c r="F537" s="14" t="str">
        <x:v>OPEN</x:v>
      </x:c>
      <x:c r="G537" s="14" t="str">
        <x:v>OPEN</x:v>
      </x:c>
    </x:row>
    <x:row r="538">
      <x:c r="A538" s="15" t="str">
        <x:v>TO-534</x:v>
      </x:c>
      <x:c r="B538" s="15" t="str">
        <x:v>RC-89</x:v>
      </x:c>
      <x:c r="C538" s="15" t="str">
        <x:v>ER-10</x:v>
      </x:c>
      <x:c r="D538" s="15" t="str">
        <x:v>DIV</x:v>
      </x:c>
      <x:c r="E538" s="15" t="str">
        <x:v>Authority</x:v>
      </x:c>
      <x:c r="F538" s="15" t="str">
        <x:v>OPEN</x:v>
      </x:c>
      <x:c r="G538" s="15" t="str">
        <x:v>OPEN</x:v>
      </x:c>
    </x:row>
    <x:row r="539">
      <x:c r="A539" s="14" t="str">
        <x:v>TO-535</x:v>
      </x:c>
      <x:c r="B539" s="14" t="str">
        <x:v>RC-90</x:v>
      </x:c>
      <x:c r="C539" s="14" t="str">
        <x:v>ER-10</x:v>
      </x:c>
      <x:c r="D539" s="14" t="str">
        <x:v>PUB</x:v>
      </x:c>
      <x:c r="E539" s="14" t="str">
        <x:v>Semantic</x:v>
      </x:c>
      <x:c r="F539" s="14" t="str">
        <x:v>OPEN</x:v>
      </x:c>
      <x:c r="G539" s="14" t="str">
        <x:v>OPEN</x:v>
      </x:c>
    </x:row>
    <x:row r="540">
      <x:c r="A540" s="15" t="str">
        <x:v>TO-536</x:v>
      </x:c>
      <x:c r="B540" s="15" t="str">
        <x:v>RC-90</x:v>
      </x:c>
      <x:c r="C540" s="15" t="str">
        <x:v>ER-10</x:v>
      </x:c>
      <x:c r="D540" s="15" t="str">
        <x:v>PUB</x:v>
      </x:c>
      <x:c r="E540" s="15" t="str">
        <x:v>Physical</x:v>
      </x:c>
      <x:c r="F540" s="15" t="str">
        <x:v>OPEN</x:v>
      </x:c>
      <x:c r="G540" s="15" t="str">
        <x:v>OPEN</x:v>
      </x:c>
    </x:row>
    <x:row r="541">
      <x:c r="A541" s="14" t="str">
        <x:v>TO-537</x:v>
      </x:c>
      <x:c r="B541" s="14" t="str">
        <x:v>RC-90</x:v>
      </x:c>
      <x:c r="C541" s="14" t="str">
        <x:v>ER-10</x:v>
      </x:c>
      <x:c r="D541" s="14" t="str">
        <x:v>PUB</x:v>
      </x:c>
      <x:c r="E541" s="14" t="str">
        <x:v>Metrological</x:v>
      </x:c>
      <x:c r="F541" s="14" t="str">
        <x:v>OPEN</x:v>
      </x:c>
      <x:c r="G541" s="14" t="str">
        <x:v>OPEN</x:v>
      </x:c>
    </x:row>
    <x:row r="542">
      <x:c r="A542" s="15" t="str">
        <x:v>TO-538</x:v>
      </x:c>
      <x:c r="B542" s="15" t="str">
        <x:v>RC-90</x:v>
      </x:c>
      <x:c r="C542" s="15" t="str">
        <x:v>ER-10</x:v>
      </x:c>
      <x:c r="D542" s="15" t="str">
        <x:v>PUB</x:v>
      </x:c>
      <x:c r="E542" s="15" t="str">
        <x:v>Computational</x:v>
      </x:c>
      <x:c r="F542" s="15" t="str">
        <x:v>OPEN</x:v>
      </x:c>
      <x:c r="G542" s="15" t="str">
        <x:v>OPEN</x:v>
      </x:c>
    </x:row>
    <x:row r="543">
      <x:c r="A543" s="14" t="str">
        <x:v>TO-539</x:v>
      </x:c>
      <x:c r="B543" s="14" t="str">
        <x:v>RC-90</x:v>
      </x:c>
      <x:c r="C543" s="14" t="str">
        <x:v>ER-10</x:v>
      </x:c>
      <x:c r="D543" s="14" t="str">
        <x:v>PUB</x:v>
      </x:c>
      <x:c r="E543" s="14" t="str">
        <x:v>Uncertainty</x:v>
      </x:c>
      <x:c r="F543" s="14" t="str">
        <x:v>OPEN</x:v>
      </x:c>
      <x:c r="G543" s="14" t="str">
        <x:v>OPEN</x:v>
      </x:c>
    </x:row>
    <x:row r="544">
      <x:c r="A544" s="15" t="str">
        <x:v>TO-540</x:v>
      </x:c>
      <x:c r="B544" s="15" t="str">
        <x:v>RC-90</x:v>
      </x:c>
      <x:c r="C544" s="15" t="str">
        <x:v>ER-10</x:v>
      </x:c>
      <x:c r="D544" s="15" t="str">
        <x:v>PUB</x:v>
      </x:c>
      <x:c r="E544" s="15" t="str">
        <x:v>Authority</x:v>
      </x:c>
      <x:c r="F544" s="15" t="str">
        <x:v>OPEN</x:v>
      </x:c>
      <x:c r="G544" s="15" t="str">
        <x:v>OPEN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52" hidden="0" customWidth="1"/>
    <x:col min="5" max="5" width="18" hidden="0" customWidth="1"/>
    <x:col min="6" max="6" width="18" hidden="0" customWidth="1"/>
    <x:col min="7" max="7" width="24" hidden="0" customWidth="1"/>
    <x:col min="8" max="8" width="14" hidden="0" customWidth="1"/>
  </x:cols>
  <x:sheetData>
    <x:row r="1" ht="27" customHeight="1">
      <x:c r="A1" s="3" t="str">
        <x:v>Nine directed rung edges</x:v>
      </x:c>
    </x:row>
    <x:row r="2" ht="32" customHeight="1">
      <x:c r="A2" s="7" t="str">
        <x:v>Allowed treatments are IDENTICAL, FORWARD_ONLY, BACKWARD_TRANSLATED, REOPENED and SUPERSEDED_LOCAL.</x:v>
      </x:c>
    </x:row>
    <x:row r="4" ht="28" customHeight="1">
      <x:c r="A4" s="11" t="str">
        <x:v>Edge</x:v>
      </x:c>
      <x:c r="B4" s="11" t="str">
        <x:v>From</x:v>
      </x:c>
      <x:c r="C4" s="11" t="str">
        <x:v>To</x:v>
      </x:c>
      <x:c r="D4" s="11" t="str">
        <x:v>Question</x:v>
      </x:c>
      <x:c r="E4" s="11" t="str">
        <x:v>Source kg/cycle</x:v>
      </x:c>
      <x:c r="F4" s="11" t="str">
        <x:v>Water m3/cycle</x:v>
      </x:c>
      <x:c r="G4" s="11" t="str">
        <x:v>Treatment</x:v>
      </x:c>
      <x:c r="H4" s="11" t="str">
        <x:v>State</x:v>
      </x:c>
    </x:row>
    <x:row r="5">
      <x:c r="A5" s="14" t="str">
        <x:v>E01-02</x:v>
      </x:c>
      <x:c r="B5" s="14" t="str">
        <x:v>ER-01</x:v>
      </x:c>
      <x:c r="C5" s="14" t="str">
        <x:v>ER-02</x:v>
      </x:c>
      <x:c r="D5" s="14" t="str">
        <x:v>Ignition state through hydraulic integration</x:v>
      </x:c>
      <x:c r="E5" s="14" t="n">
        <x:v>0</x:v>
      </x:c>
      <x:c r="F5" s="14" t="n">
        <x:v>24</x:v>
      </x:c>
      <x:c r="G5" s="14" t="str">
        <x:v>OPEN</x:v>
      </x:c>
      <x:c r="H5" s="14" t="str">
        <x:v>OPEN</x:v>
      </x:c>
    </x:row>
    <x:row r="6">
      <x:c r="A6" s="15" t="str">
        <x:v>E02-03</x:v>
      </x:c>
      <x:c r="B6" s="15" t="str">
        <x:v>ER-02</x:v>
      </x:c>
      <x:c r="C6" s="15" t="str">
        <x:v>ER-03</x:v>
      </x:c>
      <x:c r="D6" s="15" t="str">
        <x:v>Clean water to dual ancestry</x:v>
      </x:c>
      <x:c r="E6" s="15" t="n">
        <x:v>5</x:v>
      </x:c>
      <x:c r="F6" s="15" t="n">
        <x:v>0.24</x:v>
      </x:c>
      <x:c r="G6" s="15" t="str">
        <x:v>OPEN</x:v>
      </x:c>
      <x:c r="H6" s="15" t="str">
        <x:v>OPEN</x:v>
      </x:c>
    </x:row>
    <x:row r="7">
      <x:c r="A7" s="14" t="str">
        <x:v>E03-04</x:v>
      </x:c>
      <x:c r="B7" s="14" t="str">
        <x:v>ER-03</x:v>
      </x:c>
      <x:c r="C7" s="14" t="str">
        <x:v>ER-04</x:v>
      </x:c>
      <x:c r="D7" s="14" t="str">
        <x:v>Ancestry and zero water through energetic entry</x:v>
      </x:c>
      <x:c r="E7" s="14" t="n">
        <x:v>100</x:v>
      </x:c>
      <x:c r="F7" s="14" t="n">
        <x:v>0</x:v>
      </x:c>
      <x:c r="G7" s="14" t="str">
        <x:v>OPEN</x:v>
      </x:c>
      <x:c r="H7" s="14" t="str">
        <x:v>OPEN</x:v>
      </x:c>
    </x:row>
    <x:row r="8">
      <x:c r="A8" s="15" t="str">
        <x:v>E04-05</x:v>
      </x:c>
      <x:c r="B8" s="15" t="str">
        <x:v>ER-04</x:v>
      </x:c>
      <x:c r="C8" s="15" t="str">
        <x:v>ER-05</x:v>
      </x:c>
      <x:c r="D8" s="15" t="str">
        <x:v>Dry roots into wet coupling</x:v>
      </x:c>
      <x:c r="E8" s="15" t="n">
        <x:v>100</x:v>
      </x:c>
      <x:c r="F8" s="15" t="n">
        <x:v>4.8</x:v>
      </x:c>
      <x:c r="G8" s="15" t="str">
        <x:v>OPEN</x:v>
      </x:c>
      <x:c r="H8" s="15" t="str">
        <x:v>OPEN</x:v>
      </x:c>
    </x:row>
    <x:row r="9">
      <x:c r="A9" s="14" t="str">
        <x:v>E05-06</x:v>
      </x:c>
      <x:c r="B9" s="14" t="str">
        <x:v>ER-05</x:v>
      </x:c>
      <x:c r="C9" s="14" t="str">
        <x:v>ER-06</x:v>
      </x:c>
      <x:c r="D9" s="14" t="str">
        <x:v>Low-source coupling to new dry geometry</x:v>
      </x:c>
      <x:c r="E9" s="14" t="n">
        <x:v>250</x:v>
      </x:c>
      <x:c r="F9" s="14" t="n">
        <x:v>0</x:v>
      </x:c>
      <x:c r="G9" s="14" t="str">
        <x:v>OPEN</x:v>
      </x:c>
      <x:c r="H9" s="14" t="str">
        <x:v>OPEN</x:v>
      </x:c>
    </x:row>
    <x:row r="10">
      <x:c r="A10" s="15" t="str">
        <x:v>E06-07</x:v>
      </x:c>
      <x:c r="B10" s="15" t="str">
        <x:v>ER-06</x:v>
      </x:c>
      <x:c r="C10" s="15" t="str">
        <x:v>ER-07</x:v>
      </x:c>
      <x:c r="D10" s="15" t="str">
        <x:v>Dry field into 250 kg wet state</x:v>
      </x:c>
      <x:c r="E10" s="15" t="n">
        <x:v>250</x:v>
      </x:c>
      <x:c r="F10" s="15" t="n">
        <x:v>12</x:v>
      </x:c>
      <x:c r="G10" s="15" t="str">
        <x:v>OPEN</x:v>
      </x:c>
      <x:c r="H10" s="15" t="str">
        <x:v>OPEN</x:v>
      </x:c>
    </x:row>
    <x:row r="11">
      <x:c r="A11" s="14" t="str">
        <x:v>E07-08</x:v>
      </x:c>
      <x:c r="B11" s="14" t="str">
        <x:v>ER-07</x:v>
      </x:c>
      <x:c r="C11" s="14" t="str">
        <x:v>ER-08</x:v>
      </x:c>
      <x:c r="D11" s="14" t="str">
        <x:v>Wet history to 500 kg dry topology</x:v>
      </x:c>
      <x:c r="E11" s="14" t="n">
        <x:v>500</x:v>
      </x:c>
      <x:c r="F11" s="14" t="n">
        <x:v>0</x:v>
      </x:c>
      <x:c r="G11" s="14" t="str">
        <x:v>OPEN</x:v>
      </x:c>
      <x:c r="H11" s="14" t="str">
        <x:v>OPEN</x:v>
      </x:c>
    </x:row>
    <x:row r="12">
      <x:c r="A12" s="15" t="str">
        <x:v>E08-09</x:v>
      </x:c>
      <x:c r="B12" s="15" t="str">
        <x:v>ER-08</x:v>
      </x:c>
      <x:c r="C12" s="15" t="str">
        <x:v>ER-09</x:v>
      </x:c>
      <x:c r="D12" s="15" t="str">
        <x:v>Dry topology into nominal coupling</x:v>
      </x:c>
      <x:c r="E12" s="15" t="n">
        <x:v>500</x:v>
      </x:c>
      <x:c r="F12" s="15" t="n">
        <x:v>24</x:v>
      </x:c>
      <x:c r="G12" s="15" t="str">
        <x:v>OPEN</x:v>
      </x:c>
      <x:c r="H12" s="15" t="str">
        <x:v>OPEN</x:v>
      </x:c>
    </x:row>
    <x:row r="13">
      <x:c r="A13" s="14" t="str">
        <x:v>E09-10</x:v>
      </x:c>
      <x:c r="B13" s="14" t="str">
        <x:v>ER-09</x:v>
      </x:c>
      <x:c r="C13" s="14" t="str">
        <x:v>ER-10</x:v>
      </x:c>
      <x:c r="D13" s="14" t="str">
        <x:v>Nominal coupling into casualty state</x:v>
      </x:c>
      <x:c r="E13" s="14" t="n">
        <x:v>500</x:v>
      </x:c>
      <x:c r="F13" s="14" t="n">
        <x:v>48</x:v>
      </x:c>
      <x:c r="G13" s="14" t="str">
        <x:v>OPEN</x:v>
      </x:c>
      <x:c r="H13" s="14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7" customHeight="1">
      <x:c r="A1" s="3" t="str">
        <x:v>Eighteen translation carriers</x:v>
      </x:c>
    </x:row>
    <x:row r="2" ht="32" customHeight="1">
      <x:c r="A2" s="7" t="str">
        <x:v>Two independent carrier lineages host both endpoint root versions.</x:v>
      </x:c>
    </x:row>
    <x:row r="4" ht="28" customHeight="1">
      <x:c r="A4" s="11" t="str">
        <x:v>Carrier</x:v>
      </x:c>
      <x:c r="B4" s="11" t="str">
        <x:v>Edge</x:v>
      </x:c>
      <x:c r="C4" s="11" t="str">
        <x:v>Lineage</x:v>
      </x:c>
      <x:c r="D4" s="11" t="str">
        <x:v>Build campus</x:v>
      </x:c>
      <x:c r="E4" s="11" t="str">
        <x:v>State</x:v>
      </x:c>
      <x:c r="F4" s="11" t="str">
        <x:v>Acceptance</x:v>
      </x:c>
    </x:row>
    <x:row r="5">
      <x:c r="A5" s="14" t="str">
        <x:v>TRC-01</x:v>
      </x:c>
      <x:c r="B5" s="14" t="str">
        <x:v>E01-02</x:v>
      </x:c>
      <x:c r="C5" s="14" t="str">
        <x:v>L1</x:v>
      </x:c>
      <x:c r="D5" s="14" t="str">
        <x:v>NRC-A</x:v>
      </x:c>
      <x:c r="E5" s="14" t="str">
        <x:v>PLANNED</x:v>
      </x:c>
      <x:c r="F5" s="14" t="str">
        <x:v>OPEN</x:v>
      </x:c>
    </x:row>
    <x:row r="6">
      <x:c r="A6" s="15" t="str">
        <x:v>TRC-02</x:v>
      </x:c>
      <x:c r="B6" s="15" t="str">
        <x:v>E01-02</x:v>
      </x:c>
      <x:c r="C6" s="15" t="str">
        <x:v>L2</x:v>
      </x:c>
      <x:c r="D6" s="15" t="str">
        <x:v>NRC-B</x:v>
      </x:c>
      <x:c r="E6" s="15" t="str">
        <x:v>PLANNED</x:v>
      </x:c>
      <x:c r="F6" s="15" t="str">
        <x:v>OPEN</x:v>
      </x:c>
    </x:row>
    <x:row r="7">
      <x:c r="A7" s="14" t="str">
        <x:v>TRC-03</x:v>
      </x:c>
      <x:c r="B7" s="14" t="str">
        <x:v>E02-03</x:v>
      </x:c>
      <x:c r="C7" s="14" t="str">
        <x:v>L1</x:v>
      </x:c>
      <x:c r="D7" s="14" t="str">
        <x:v>NRC-A</x:v>
      </x:c>
      <x:c r="E7" s="14" t="str">
        <x:v>PLANNED</x:v>
      </x:c>
      <x:c r="F7" s="14" t="str">
        <x:v>OPEN</x:v>
      </x:c>
    </x:row>
    <x:row r="8">
      <x:c r="A8" s="15" t="str">
        <x:v>TRC-04</x:v>
      </x:c>
      <x:c r="B8" s="15" t="str">
        <x:v>E02-03</x:v>
      </x:c>
      <x:c r="C8" s="15" t="str">
        <x:v>L2</x:v>
      </x:c>
      <x:c r="D8" s="15" t="str">
        <x:v>NRC-B</x:v>
      </x:c>
      <x:c r="E8" s="15" t="str">
        <x:v>PLANNED</x:v>
      </x:c>
      <x:c r="F8" s="15" t="str">
        <x:v>OPEN</x:v>
      </x:c>
    </x:row>
    <x:row r="9">
      <x:c r="A9" s="14" t="str">
        <x:v>TRC-05</x:v>
      </x:c>
      <x:c r="B9" s="14" t="str">
        <x:v>E03-04</x:v>
      </x:c>
      <x:c r="C9" s="14" t="str">
        <x:v>L1</x:v>
      </x:c>
      <x:c r="D9" s="14" t="str">
        <x:v>NRC-A</x:v>
      </x:c>
      <x:c r="E9" s="14" t="str">
        <x:v>PLANNED</x:v>
      </x:c>
      <x:c r="F9" s="14" t="str">
        <x:v>OPEN</x:v>
      </x:c>
    </x:row>
    <x:row r="10">
      <x:c r="A10" s="15" t="str">
        <x:v>TRC-06</x:v>
      </x:c>
      <x:c r="B10" s="15" t="str">
        <x:v>E03-04</x:v>
      </x:c>
      <x:c r="C10" s="15" t="str">
        <x:v>L2</x:v>
      </x:c>
      <x:c r="D10" s="15" t="str">
        <x:v>NRC-B</x:v>
      </x:c>
      <x:c r="E10" s="15" t="str">
        <x:v>PLANNED</x:v>
      </x:c>
      <x:c r="F10" s="15" t="str">
        <x:v>OPEN</x:v>
      </x:c>
    </x:row>
    <x:row r="11">
      <x:c r="A11" s="14" t="str">
        <x:v>TRC-07</x:v>
      </x:c>
      <x:c r="B11" s="14" t="str">
        <x:v>E04-05</x:v>
      </x:c>
      <x:c r="C11" s="14" t="str">
        <x:v>L1</x:v>
      </x:c>
      <x:c r="D11" s="14" t="str">
        <x:v>NRC-A</x:v>
      </x:c>
      <x:c r="E11" s="14" t="str">
        <x:v>PLANNED</x:v>
      </x:c>
      <x:c r="F11" s="14" t="str">
        <x:v>OPEN</x:v>
      </x:c>
    </x:row>
    <x:row r="12">
      <x:c r="A12" s="15" t="str">
        <x:v>TRC-08</x:v>
      </x:c>
      <x:c r="B12" s="15" t="str">
        <x:v>E04-05</x:v>
      </x:c>
      <x:c r="C12" s="15" t="str">
        <x:v>L2</x:v>
      </x:c>
      <x:c r="D12" s="15" t="str">
        <x:v>NRC-B</x:v>
      </x:c>
      <x:c r="E12" s="15" t="str">
        <x:v>PLANNED</x:v>
      </x:c>
      <x:c r="F12" s="15" t="str">
        <x:v>OPEN</x:v>
      </x:c>
    </x:row>
    <x:row r="13">
      <x:c r="A13" s="14" t="str">
        <x:v>TRC-09</x:v>
      </x:c>
      <x:c r="B13" s="14" t="str">
        <x:v>E05-06</x:v>
      </x:c>
      <x:c r="C13" s="14" t="str">
        <x:v>L1</x:v>
      </x:c>
      <x:c r="D13" s="14" t="str">
        <x:v>NRC-A</x:v>
      </x:c>
      <x:c r="E13" s="14" t="str">
        <x:v>PLANNED</x:v>
      </x:c>
      <x:c r="F13" s="14" t="str">
        <x:v>OPEN</x:v>
      </x:c>
    </x:row>
    <x:row r="14">
      <x:c r="A14" s="15" t="str">
        <x:v>TRC-10</x:v>
      </x:c>
      <x:c r="B14" s="15" t="str">
        <x:v>E05-06</x:v>
      </x:c>
      <x:c r="C14" s="15" t="str">
        <x:v>L2</x:v>
      </x:c>
      <x:c r="D14" s="15" t="str">
        <x:v>NRC-B</x:v>
      </x:c>
      <x:c r="E14" s="15" t="str">
        <x:v>PLANNED</x:v>
      </x:c>
      <x:c r="F14" s="15" t="str">
        <x:v>OPEN</x:v>
      </x:c>
    </x:row>
    <x:row r="15">
      <x:c r="A15" s="14" t="str">
        <x:v>TRC-11</x:v>
      </x:c>
      <x:c r="B15" s="14" t="str">
        <x:v>E06-07</x:v>
      </x:c>
      <x:c r="C15" s="14" t="str">
        <x:v>L1</x:v>
      </x:c>
      <x:c r="D15" s="14" t="str">
        <x:v>NRC-A</x:v>
      </x:c>
      <x:c r="E15" s="14" t="str">
        <x:v>PLANNED</x:v>
      </x:c>
      <x:c r="F15" s="14" t="str">
        <x:v>OPEN</x:v>
      </x:c>
    </x:row>
    <x:row r="16">
      <x:c r="A16" s="15" t="str">
        <x:v>TRC-12</x:v>
      </x:c>
      <x:c r="B16" s="15" t="str">
        <x:v>E06-07</x:v>
      </x:c>
      <x:c r="C16" s="15" t="str">
        <x:v>L2</x:v>
      </x:c>
      <x:c r="D16" s="15" t="str">
        <x:v>NRC-B</x:v>
      </x:c>
      <x:c r="E16" s="15" t="str">
        <x:v>PLANNED</x:v>
      </x:c>
      <x:c r="F16" s="15" t="str">
        <x:v>OPEN</x:v>
      </x:c>
    </x:row>
    <x:row r="17">
      <x:c r="A17" s="14" t="str">
        <x:v>TRC-13</x:v>
      </x:c>
      <x:c r="B17" s="14" t="str">
        <x:v>E07-08</x:v>
      </x:c>
      <x:c r="C17" s="14" t="str">
        <x:v>L1</x:v>
      </x:c>
      <x:c r="D17" s="14" t="str">
        <x:v>NRC-A</x:v>
      </x:c>
      <x:c r="E17" s="14" t="str">
        <x:v>PLANNED</x:v>
      </x:c>
      <x:c r="F17" s="14" t="str">
        <x:v>OPEN</x:v>
      </x:c>
    </x:row>
    <x:row r="18">
      <x:c r="A18" s="15" t="str">
        <x:v>TRC-14</x:v>
      </x:c>
      <x:c r="B18" s="15" t="str">
        <x:v>E07-08</x:v>
      </x:c>
      <x:c r="C18" s="15" t="str">
        <x:v>L2</x:v>
      </x:c>
      <x:c r="D18" s="15" t="str">
        <x:v>NRC-B</x:v>
      </x:c>
      <x:c r="E18" s="15" t="str">
        <x:v>PLANNED</x:v>
      </x:c>
      <x:c r="F18" s="15" t="str">
        <x:v>OPEN</x:v>
      </x:c>
    </x:row>
    <x:row r="19">
      <x:c r="A19" s="14" t="str">
        <x:v>TRC-15</x:v>
      </x:c>
      <x:c r="B19" s="14" t="str">
        <x:v>E08-09</x:v>
      </x:c>
      <x:c r="C19" s="14" t="str">
        <x:v>L1</x:v>
      </x:c>
      <x:c r="D19" s="14" t="str">
        <x:v>NRC-A</x:v>
      </x:c>
      <x:c r="E19" s="14" t="str">
        <x:v>PLANNED</x:v>
      </x:c>
      <x:c r="F19" s="14" t="str">
        <x:v>OPEN</x:v>
      </x:c>
    </x:row>
    <x:row r="20">
      <x:c r="A20" s="15" t="str">
        <x:v>TRC-16</x:v>
      </x:c>
      <x:c r="B20" s="15" t="str">
        <x:v>E08-09</x:v>
      </x:c>
      <x:c r="C20" s="15" t="str">
        <x:v>L2</x:v>
      </x:c>
      <x:c r="D20" s="15" t="str">
        <x:v>NRC-B</x:v>
      </x:c>
      <x:c r="E20" s="15" t="str">
        <x:v>PLANNED</x:v>
      </x:c>
      <x:c r="F20" s="15" t="str">
        <x:v>OPEN</x:v>
      </x:c>
    </x:row>
    <x:row r="21">
      <x:c r="A21" s="14" t="str">
        <x:v>TRC-17</x:v>
      </x:c>
      <x:c r="B21" s="14" t="str">
        <x:v>E09-10</x:v>
      </x:c>
      <x:c r="C21" s="14" t="str">
        <x:v>L1</x:v>
      </x:c>
      <x:c r="D21" s="14" t="str">
        <x:v>NRC-A</x:v>
      </x:c>
      <x:c r="E21" s="14" t="str">
        <x:v>PLANNED</x:v>
      </x:c>
      <x:c r="F21" s="14" t="str">
        <x:v>OPEN</x:v>
      </x:c>
    </x:row>
    <x:row r="22">
      <x:c r="A22" s="15" t="str">
        <x:v>TRC-18</x:v>
      </x:c>
      <x:c r="B22" s="15" t="str">
        <x:v>E09-10</x:v>
      </x:c>
      <x:c r="C22" s="15" t="str">
        <x:v>L2</x:v>
      </x:c>
      <x:c r="D22" s="15" t="str">
        <x:v>NRC-B</x:v>
      </x:c>
      <x:c r="E22" s="15" t="str">
        <x:v>PLANNED</x:v>
      </x:c>
      <x:c r="F22" s="15" t="str">
        <x:v>OPEN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</x:cols>
  <x:sheetData>
    <x:row r="1" ht="27" customHeight="1">
      <x:c r="A1" s="3" t="str">
        <x:v>Seventy-two physical translation cycles</x:v>
      </x:c>
    </x:row>
    <x:row r="2" ht="32" customHeight="1">
      <x:c r="A2" s="7" t="str">
        <x:v>Each carrier executes two receiving campuses by two repetitions.</x:v>
      </x:c>
    </x:row>
    <x:row r="4" ht="28" customHeight="1">
      <x:c r="A4" s="11" t="str">
        <x:v>Cycle</x:v>
      </x:c>
      <x:c r="B4" s="11" t="str">
        <x:v>Edge</x:v>
      </x:c>
      <x:c r="C4" s="11" t="str">
        <x:v>Carrier lineage</x:v>
      </x:c>
      <x:c r="D4" s="11" t="str">
        <x:v>Receiving campus</x:v>
      </x:c>
      <x:c r="E4" s="11" t="str">
        <x:v>Rep</x:v>
      </x:c>
      <x:c r="F4" s="11" t="str">
        <x:v>Source kg</x:v>
      </x:c>
      <x:c r="G4" s="11" t="str">
        <x:v>Water m3</x:v>
      </x:c>
      <x:c r="H4" s="11" t="str">
        <x:v>Return</x:v>
      </x:c>
      <x:c r="I4" s="11" t="str">
        <x:v>Disposition</x:v>
      </x:c>
    </x:row>
    <x:row r="5">
      <x:c r="A5" s="14" t="str">
        <x:v>TC-01</x:v>
      </x:c>
      <x:c r="B5" s="14" t="str">
        <x:v>E01-02</x:v>
      </x:c>
      <x:c r="C5" s="14" t="str">
        <x:v>L1</x:v>
      </x:c>
      <x:c r="D5" s="14" t="str">
        <x:v>NRC-B</x:v>
      </x:c>
      <x:c r="E5" s="14" t="n">
        <x:v>1</x:v>
      </x:c>
      <x:c r="F5" s="14" t="n">
        <x:v>0</x:v>
      </x:c>
      <x:c r="G5" s="14" t="n">
        <x:v>24</x:v>
      </x:c>
      <x:c r="H5" s="14" t="str">
        <x:v>OPEN</x:v>
      </x:c>
      <x:c r="I5" s="14" t="str">
        <x:v>OPEN</x:v>
      </x:c>
    </x:row>
    <x:row r="6">
      <x:c r="A6" s="15" t="str">
        <x:v>TC-02</x:v>
      </x:c>
      <x:c r="B6" s="15" t="str">
        <x:v>E01-02</x:v>
      </x:c>
      <x:c r="C6" s="15" t="str">
        <x:v>L1</x:v>
      </x:c>
      <x:c r="D6" s="15" t="str">
        <x:v>NRC-B</x:v>
      </x:c>
      <x:c r="E6" s="15" t="n">
        <x:v>2</x:v>
      </x:c>
      <x:c r="F6" s="15" t="n">
        <x:v>0</x:v>
      </x:c>
      <x:c r="G6" s="15" t="n">
        <x:v>24</x:v>
      </x:c>
      <x:c r="H6" s="15" t="str">
        <x:v>OPEN</x:v>
      </x:c>
      <x:c r="I6" s="15" t="str">
        <x:v>OPEN</x:v>
      </x:c>
    </x:row>
    <x:row r="7">
      <x:c r="A7" s="14" t="str">
        <x:v>TC-03</x:v>
      </x:c>
      <x:c r="B7" s="14" t="str">
        <x:v>E01-02</x:v>
      </x:c>
      <x:c r="C7" s="14" t="str">
        <x:v>L1</x:v>
      </x:c>
      <x:c r="D7" s="14" t="str">
        <x:v>NRC-C</x:v>
      </x:c>
      <x:c r="E7" s="14" t="n">
        <x:v>1</x:v>
      </x:c>
      <x:c r="F7" s="14" t="n">
        <x:v>0</x:v>
      </x:c>
      <x:c r="G7" s="14" t="n">
        <x:v>24</x:v>
      </x:c>
      <x:c r="H7" s="14" t="str">
        <x:v>OPEN</x:v>
      </x:c>
      <x:c r="I7" s="14" t="str">
        <x:v>OPEN</x:v>
      </x:c>
    </x:row>
    <x:row r="8">
      <x:c r="A8" s="15" t="str">
        <x:v>TC-04</x:v>
      </x:c>
      <x:c r="B8" s="15" t="str">
        <x:v>E01-02</x:v>
      </x:c>
      <x:c r="C8" s="15" t="str">
        <x:v>L1</x:v>
      </x:c>
      <x:c r="D8" s="15" t="str">
        <x:v>NRC-C</x:v>
      </x:c>
      <x:c r="E8" s="15" t="n">
        <x:v>2</x:v>
      </x:c>
      <x:c r="F8" s="15" t="n">
        <x:v>0</x:v>
      </x:c>
      <x:c r="G8" s="15" t="n">
        <x:v>24</x:v>
      </x:c>
      <x:c r="H8" s="15" t="str">
        <x:v>OPEN</x:v>
      </x:c>
      <x:c r="I8" s="15" t="str">
        <x:v>OPEN</x:v>
      </x:c>
    </x:row>
    <x:row r="9">
      <x:c r="A9" s="14" t="str">
        <x:v>TC-05</x:v>
      </x:c>
      <x:c r="B9" s="14" t="str">
        <x:v>E01-02</x:v>
      </x:c>
      <x:c r="C9" s="14" t="str">
        <x:v>L2</x:v>
      </x:c>
      <x:c r="D9" s="14" t="str">
        <x:v>NRC-B</x:v>
      </x:c>
      <x:c r="E9" s="14" t="n">
        <x:v>1</x:v>
      </x:c>
      <x:c r="F9" s="14" t="n">
        <x:v>0</x:v>
      </x:c>
      <x:c r="G9" s="14" t="n">
        <x:v>24</x:v>
      </x:c>
      <x:c r="H9" s="14" t="str">
        <x:v>OPEN</x:v>
      </x:c>
      <x:c r="I9" s="14" t="str">
        <x:v>OPEN</x:v>
      </x:c>
    </x:row>
    <x:row r="10">
      <x:c r="A10" s="15" t="str">
        <x:v>TC-06</x:v>
      </x:c>
      <x:c r="B10" s="15" t="str">
        <x:v>E01-02</x:v>
      </x:c>
      <x:c r="C10" s="15" t="str">
        <x:v>L2</x:v>
      </x:c>
      <x:c r="D10" s="15" t="str">
        <x:v>NRC-B</x:v>
      </x:c>
      <x:c r="E10" s="15" t="n">
        <x:v>2</x:v>
      </x:c>
      <x:c r="F10" s="15" t="n">
        <x:v>0</x:v>
      </x:c>
      <x:c r="G10" s="15" t="n">
        <x:v>24</x:v>
      </x:c>
      <x:c r="H10" s="15" t="str">
        <x:v>OPEN</x:v>
      </x:c>
      <x:c r="I10" s="15" t="str">
        <x:v>OPEN</x:v>
      </x:c>
    </x:row>
    <x:row r="11">
      <x:c r="A11" s="14" t="str">
        <x:v>TC-07</x:v>
      </x:c>
      <x:c r="B11" s="14" t="str">
        <x:v>E01-02</x:v>
      </x:c>
      <x:c r="C11" s="14" t="str">
        <x:v>L2</x:v>
      </x:c>
      <x:c r="D11" s="14" t="str">
        <x:v>NRC-C</x:v>
      </x:c>
      <x:c r="E11" s="14" t="n">
        <x:v>1</x:v>
      </x:c>
      <x:c r="F11" s="14" t="n">
        <x:v>0</x:v>
      </x:c>
      <x:c r="G11" s="14" t="n">
        <x:v>24</x:v>
      </x:c>
      <x:c r="H11" s="14" t="str">
        <x:v>OPEN</x:v>
      </x:c>
      <x:c r="I11" s="14" t="str">
        <x:v>OPEN</x:v>
      </x:c>
    </x:row>
    <x:row r="12">
      <x:c r="A12" s="15" t="str">
        <x:v>TC-08</x:v>
      </x:c>
      <x:c r="B12" s="15" t="str">
        <x:v>E01-02</x:v>
      </x:c>
      <x:c r="C12" s="15" t="str">
        <x:v>L2</x:v>
      </x:c>
      <x:c r="D12" s="15" t="str">
        <x:v>NRC-C</x:v>
      </x:c>
      <x:c r="E12" s="15" t="n">
        <x:v>2</x:v>
      </x:c>
      <x:c r="F12" s="15" t="n">
        <x:v>0</x:v>
      </x:c>
      <x:c r="G12" s="15" t="n">
        <x:v>24</x:v>
      </x:c>
      <x:c r="H12" s="15" t="str">
        <x:v>OPEN</x:v>
      </x:c>
      <x:c r="I12" s="15" t="str">
        <x:v>OPEN</x:v>
      </x:c>
    </x:row>
    <x:row r="13">
      <x:c r="A13" s="14" t="str">
        <x:v>TC-09</x:v>
      </x:c>
      <x:c r="B13" s="14" t="str">
        <x:v>E02-03</x:v>
      </x:c>
      <x:c r="C13" s="14" t="str">
        <x:v>L1</x:v>
      </x:c>
      <x:c r="D13" s="14" t="str">
        <x:v>NRC-B</x:v>
      </x:c>
      <x:c r="E13" s="14" t="n">
        <x:v>1</x:v>
      </x:c>
      <x:c r="F13" s="14" t="n">
        <x:v>5</x:v>
      </x:c>
      <x:c r="G13" s="14" t="n">
        <x:v>0.24</x:v>
      </x:c>
      <x:c r="H13" s="14" t="str">
        <x:v>OPEN</x:v>
      </x:c>
      <x:c r="I13" s="14" t="str">
        <x:v>OPEN</x:v>
      </x:c>
    </x:row>
    <x:row r="14">
      <x:c r="A14" s="15" t="str">
        <x:v>TC-10</x:v>
      </x:c>
      <x:c r="B14" s="15" t="str">
        <x:v>E02-03</x:v>
      </x:c>
      <x:c r="C14" s="15" t="str">
        <x:v>L1</x:v>
      </x:c>
      <x:c r="D14" s="15" t="str">
        <x:v>NRC-B</x:v>
      </x:c>
      <x:c r="E14" s="15" t="n">
        <x:v>2</x:v>
      </x:c>
      <x:c r="F14" s="15" t="n">
        <x:v>5</x:v>
      </x:c>
      <x:c r="G14" s="15" t="n">
        <x:v>0.24</x:v>
      </x:c>
      <x:c r="H14" s="15" t="str">
        <x:v>OPEN</x:v>
      </x:c>
      <x:c r="I14" s="15" t="str">
        <x:v>OPEN</x:v>
      </x:c>
    </x:row>
    <x:row r="15">
      <x:c r="A15" s="14" t="str">
        <x:v>TC-11</x:v>
      </x:c>
      <x:c r="B15" s="14" t="str">
        <x:v>E02-03</x:v>
      </x:c>
      <x:c r="C15" s="14" t="str">
        <x:v>L1</x:v>
      </x:c>
      <x:c r="D15" s="14" t="str">
        <x:v>NRC-C</x:v>
      </x:c>
      <x:c r="E15" s="14" t="n">
        <x:v>1</x:v>
      </x:c>
      <x:c r="F15" s="14" t="n">
        <x:v>5</x:v>
      </x:c>
      <x:c r="G15" s="14" t="n">
        <x:v>0.24</x:v>
      </x:c>
      <x:c r="H15" s="14" t="str">
        <x:v>OPEN</x:v>
      </x:c>
      <x:c r="I15" s="14" t="str">
        <x:v>OPEN</x:v>
      </x:c>
    </x:row>
    <x:row r="16">
      <x:c r="A16" s="15" t="str">
        <x:v>TC-12</x:v>
      </x:c>
      <x:c r="B16" s="15" t="str">
        <x:v>E02-03</x:v>
      </x:c>
      <x:c r="C16" s="15" t="str">
        <x:v>L1</x:v>
      </x:c>
      <x:c r="D16" s="15" t="str">
        <x:v>NRC-C</x:v>
      </x:c>
      <x:c r="E16" s="15" t="n">
        <x:v>2</x:v>
      </x:c>
      <x:c r="F16" s="15" t="n">
        <x:v>5</x:v>
      </x:c>
      <x:c r="G16" s="15" t="n">
        <x:v>0.24</x:v>
      </x:c>
      <x:c r="H16" s="15" t="str">
        <x:v>OPEN</x:v>
      </x:c>
      <x:c r="I16" s="15" t="str">
        <x:v>OPEN</x:v>
      </x:c>
    </x:row>
    <x:row r="17">
      <x:c r="A17" s="14" t="str">
        <x:v>TC-13</x:v>
      </x:c>
      <x:c r="B17" s="14" t="str">
        <x:v>E02-03</x:v>
      </x:c>
      <x:c r="C17" s="14" t="str">
        <x:v>L2</x:v>
      </x:c>
      <x:c r="D17" s="14" t="str">
        <x:v>NRC-B</x:v>
      </x:c>
      <x:c r="E17" s="14" t="n">
        <x:v>1</x:v>
      </x:c>
      <x:c r="F17" s="14" t="n">
        <x:v>5</x:v>
      </x:c>
      <x:c r="G17" s="14" t="n">
        <x:v>0.24</x:v>
      </x:c>
      <x:c r="H17" s="14" t="str">
        <x:v>OPEN</x:v>
      </x:c>
      <x:c r="I17" s="14" t="str">
        <x:v>OPEN</x:v>
      </x:c>
    </x:row>
    <x:row r="18">
      <x:c r="A18" s="15" t="str">
        <x:v>TC-14</x:v>
      </x:c>
      <x:c r="B18" s="15" t="str">
        <x:v>E02-03</x:v>
      </x:c>
      <x:c r="C18" s="15" t="str">
        <x:v>L2</x:v>
      </x:c>
      <x:c r="D18" s="15" t="str">
        <x:v>NRC-B</x:v>
      </x:c>
      <x:c r="E18" s="15" t="n">
        <x:v>2</x:v>
      </x:c>
      <x:c r="F18" s="15" t="n">
        <x:v>5</x:v>
      </x:c>
      <x:c r="G18" s="15" t="n">
        <x:v>0.24</x:v>
      </x:c>
      <x:c r="H18" s="15" t="str">
        <x:v>OPEN</x:v>
      </x:c>
      <x:c r="I18" s="15" t="str">
        <x:v>OPEN</x:v>
      </x:c>
    </x:row>
    <x:row r="19">
      <x:c r="A19" s="14" t="str">
        <x:v>TC-15</x:v>
      </x:c>
      <x:c r="B19" s="14" t="str">
        <x:v>E02-03</x:v>
      </x:c>
      <x:c r="C19" s="14" t="str">
        <x:v>L2</x:v>
      </x:c>
      <x:c r="D19" s="14" t="str">
        <x:v>NRC-C</x:v>
      </x:c>
      <x:c r="E19" s="14" t="n">
        <x:v>1</x:v>
      </x:c>
      <x:c r="F19" s="14" t="n">
        <x:v>5</x:v>
      </x:c>
      <x:c r="G19" s="14" t="n">
        <x:v>0.24</x:v>
      </x:c>
      <x:c r="H19" s="14" t="str">
        <x:v>OPEN</x:v>
      </x:c>
      <x:c r="I19" s="14" t="str">
        <x:v>OPEN</x:v>
      </x:c>
    </x:row>
    <x:row r="20">
      <x:c r="A20" s="15" t="str">
        <x:v>TC-16</x:v>
      </x:c>
      <x:c r="B20" s="15" t="str">
        <x:v>E02-03</x:v>
      </x:c>
      <x:c r="C20" s="15" t="str">
        <x:v>L2</x:v>
      </x:c>
      <x:c r="D20" s="15" t="str">
        <x:v>NRC-C</x:v>
      </x:c>
      <x:c r="E20" s="15" t="n">
        <x:v>2</x:v>
      </x:c>
      <x:c r="F20" s="15" t="n">
        <x:v>5</x:v>
      </x:c>
      <x:c r="G20" s="15" t="n">
        <x:v>0.24</x:v>
      </x:c>
      <x:c r="H20" s="15" t="str">
        <x:v>OPEN</x:v>
      </x:c>
      <x:c r="I20" s="15" t="str">
        <x:v>OPEN</x:v>
      </x:c>
    </x:row>
    <x:row r="21">
      <x:c r="A21" s="14" t="str">
        <x:v>TC-17</x:v>
      </x:c>
      <x:c r="B21" s="14" t="str">
        <x:v>E03-04</x:v>
      </x:c>
      <x:c r="C21" s="14" t="str">
        <x:v>L1</x:v>
      </x:c>
      <x:c r="D21" s="14" t="str">
        <x:v>NRC-B</x:v>
      </x:c>
      <x:c r="E21" s="14" t="n">
        <x:v>1</x:v>
      </x:c>
      <x:c r="F21" s="14" t="n">
        <x:v>100</x:v>
      </x:c>
      <x:c r="G21" s="14" t="n">
        <x:v>0</x:v>
      </x:c>
      <x:c r="H21" s="14" t="str">
        <x:v>OPEN</x:v>
      </x:c>
      <x:c r="I21" s="14" t="str">
        <x:v>OPEN</x:v>
      </x:c>
    </x:row>
    <x:row r="22">
      <x:c r="A22" s="15" t="str">
        <x:v>TC-18</x:v>
      </x:c>
      <x:c r="B22" s="15" t="str">
        <x:v>E03-04</x:v>
      </x:c>
      <x:c r="C22" s="15" t="str">
        <x:v>L1</x:v>
      </x:c>
      <x:c r="D22" s="15" t="str">
        <x:v>NRC-B</x:v>
      </x:c>
      <x:c r="E22" s="15" t="n">
        <x:v>2</x:v>
      </x:c>
      <x:c r="F22" s="15" t="n">
        <x:v>100</x:v>
      </x:c>
      <x:c r="G22" s="15" t="n">
        <x:v>0</x:v>
      </x:c>
      <x:c r="H22" s="15" t="str">
        <x:v>OPEN</x:v>
      </x:c>
      <x:c r="I22" s="15" t="str">
        <x:v>OPEN</x:v>
      </x:c>
    </x:row>
    <x:row r="23">
      <x:c r="A23" s="14" t="str">
        <x:v>TC-19</x:v>
      </x:c>
      <x:c r="B23" s="14" t="str">
        <x:v>E03-04</x:v>
      </x:c>
      <x:c r="C23" s="14" t="str">
        <x:v>L1</x:v>
      </x:c>
      <x:c r="D23" s="14" t="str">
        <x:v>NRC-C</x:v>
      </x:c>
      <x:c r="E23" s="14" t="n">
        <x:v>1</x:v>
      </x:c>
      <x:c r="F23" s="14" t="n">
        <x:v>100</x:v>
      </x:c>
      <x:c r="G23" s="14" t="n">
        <x:v>0</x:v>
      </x:c>
      <x:c r="H23" s="14" t="str">
        <x:v>OPEN</x:v>
      </x:c>
      <x:c r="I23" s="14" t="str">
        <x:v>OPEN</x:v>
      </x:c>
    </x:row>
    <x:row r="24">
      <x:c r="A24" s="15" t="str">
        <x:v>TC-20</x:v>
      </x:c>
      <x:c r="B24" s="15" t="str">
        <x:v>E03-04</x:v>
      </x:c>
      <x:c r="C24" s="15" t="str">
        <x:v>L1</x:v>
      </x:c>
      <x:c r="D24" s="15" t="str">
        <x:v>NRC-C</x:v>
      </x:c>
      <x:c r="E24" s="15" t="n">
        <x:v>2</x:v>
      </x:c>
      <x:c r="F24" s="15" t="n">
        <x:v>100</x:v>
      </x:c>
      <x:c r="G24" s="15" t="n">
        <x:v>0</x:v>
      </x:c>
      <x:c r="H24" s="15" t="str">
        <x:v>OPEN</x:v>
      </x:c>
      <x:c r="I24" s="15" t="str">
        <x:v>OPEN</x:v>
      </x:c>
    </x:row>
    <x:row r="25">
      <x:c r="A25" s="14" t="str">
        <x:v>TC-21</x:v>
      </x:c>
      <x:c r="B25" s="14" t="str">
        <x:v>E03-04</x:v>
      </x:c>
      <x:c r="C25" s="14" t="str">
        <x:v>L2</x:v>
      </x:c>
      <x:c r="D25" s="14" t="str">
        <x:v>NRC-B</x:v>
      </x:c>
      <x:c r="E25" s="14" t="n">
        <x:v>1</x:v>
      </x:c>
      <x:c r="F25" s="14" t="n">
        <x:v>100</x:v>
      </x:c>
      <x:c r="G25" s="14" t="n">
        <x:v>0</x:v>
      </x:c>
      <x:c r="H25" s="14" t="str">
        <x:v>OPEN</x:v>
      </x:c>
      <x:c r="I25" s="14" t="str">
        <x:v>OPEN</x:v>
      </x:c>
    </x:row>
    <x:row r="26">
      <x:c r="A26" s="15" t="str">
        <x:v>TC-22</x:v>
      </x:c>
      <x:c r="B26" s="15" t="str">
        <x:v>E03-04</x:v>
      </x:c>
      <x:c r="C26" s="15" t="str">
        <x:v>L2</x:v>
      </x:c>
      <x:c r="D26" s="15" t="str">
        <x:v>NRC-B</x:v>
      </x:c>
      <x:c r="E26" s="15" t="n">
        <x:v>2</x:v>
      </x:c>
      <x:c r="F26" s="15" t="n">
        <x:v>100</x:v>
      </x:c>
      <x:c r="G26" s="15" t="n">
        <x:v>0</x:v>
      </x:c>
      <x:c r="H26" s="15" t="str">
        <x:v>OPEN</x:v>
      </x:c>
      <x:c r="I26" s="15" t="str">
        <x:v>OPEN</x:v>
      </x:c>
    </x:row>
    <x:row r="27">
      <x:c r="A27" s="14" t="str">
        <x:v>TC-23</x:v>
      </x:c>
      <x:c r="B27" s="14" t="str">
        <x:v>E03-04</x:v>
      </x:c>
      <x:c r="C27" s="14" t="str">
        <x:v>L2</x:v>
      </x:c>
      <x:c r="D27" s="14" t="str">
        <x:v>NRC-C</x:v>
      </x:c>
      <x:c r="E27" s="14" t="n">
        <x:v>1</x:v>
      </x:c>
      <x:c r="F27" s="14" t="n">
        <x:v>100</x:v>
      </x:c>
      <x:c r="G27" s="14" t="n">
        <x:v>0</x:v>
      </x:c>
      <x:c r="H27" s="14" t="str">
        <x:v>OPEN</x:v>
      </x:c>
      <x:c r="I27" s="14" t="str">
        <x:v>OPEN</x:v>
      </x:c>
    </x:row>
    <x:row r="28">
      <x:c r="A28" s="15" t="str">
        <x:v>TC-24</x:v>
      </x:c>
      <x:c r="B28" s="15" t="str">
        <x:v>E03-04</x:v>
      </x:c>
      <x:c r="C28" s="15" t="str">
        <x:v>L2</x:v>
      </x:c>
      <x:c r="D28" s="15" t="str">
        <x:v>NRC-C</x:v>
      </x:c>
      <x:c r="E28" s="15" t="n">
        <x:v>2</x:v>
      </x:c>
      <x:c r="F28" s="15" t="n">
        <x:v>100</x:v>
      </x:c>
      <x:c r="G28" s="15" t="n">
        <x:v>0</x:v>
      </x:c>
      <x:c r="H28" s="15" t="str">
        <x:v>OPEN</x:v>
      </x:c>
      <x:c r="I28" s="15" t="str">
        <x:v>OPEN</x:v>
      </x:c>
    </x:row>
    <x:row r="29">
      <x:c r="A29" s="14" t="str">
        <x:v>TC-25</x:v>
      </x:c>
      <x:c r="B29" s="14" t="str">
        <x:v>E04-05</x:v>
      </x:c>
      <x:c r="C29" s="14" t="str">
        <x:v>L1</x:v>
      </x:c>
      <x:c r="D29" s="14" t="str">
        <x:v>NRC-B</x:v>
      </x:c>
      <x:c r="E29" s="14" t="n">
        <x:v>1</x:v>
      </x:c>
      <x:c r="F29" s="14" t="n">
        <x:v>100</x:v>
      </x:c>
      <x:c r="G29" s="14" t="n">
        <x:v>4.8</x:v>
      </x:c>
      <x:c r="H29" s="14" t="str">
        <x:v>OPEN</x:v>
      </x:c>
      <x:c r="I29" s="14" t="str">
        <x:v>OPEN</x:v>
      </x:c>
    </x:row>
    <x:row r="30">
      <x:c r="A30" s="15" t="str">
        <x:v>TC-26</x:v>
      </x:c>
      <x:c r="B30" s="15" t="str">
        <x:v>E04-05</x:v>
      </x:c>
      <x:c r="C30" s="15" t="str">
        <x:v>L1</x:v>
      </x:c>
      <x:c r="D30" s="15" t="str">
        <x:v>NRC-B</x:v>
      </x:c>
      <x:c r="E30" s="15" t="n">
        <x:v>2</x:v>
      </x:c>
      <x:c r="F30" s="15" t="n">
        <x:v>100</x:v>
      </x:c>
      <x:c r="G30" s="15" t="n">
        <x:v>4.8</x:v>
      </x:c>
      <x:c r="H30" s="15" t="str">
        <x:v>OPEN</x:v>
      </x:c>
      <x:c r="I30" s="15" t="str">
        <x:v>OPEN</x:v>
      </x:c>
    </x:row>
    <x:row r="31">
      <x:c r="A31" s="14" t="str">
        <x:v>TC-27</x:v>
      </x:c>
      <x:c r="B31" s="14" t="str">
        <x:v>E04-05</x:v>
      </x:c>
      <x:c r="C31" s="14" t="str">
        <x:v>L1</x:v>
      </x:c>
      <x:c r="D31" s="14" t="str">
        <x:v>NRC-C</x:v>
      </x:c>
      <x:c r="E31" s="14" t="n">
        <x:v>1</x:v>
      </x:c>
      <x:c r="F31" s="14" t="n">
        <x:v>100</x:v>
      </x:c>
      <x:c r="G31" s="14" t="n">
        <x:v>4.8</x:v>
      </x:c>
      <x:c r="H31" s="14" t="str">
        <x:v>OPEN</x:v>
      </x:c>
      <x:c r="I31" s="14" t="str">
        <x:v>OPEN</x:v>
      </x:c>
    </x:row>
    <x:row r="32">
      <x:c r="A32" s="15" t="str">
        <x:v>TC-28</x:v>
      </x:c>
      <x:c r="B32" s="15" t="str">
        <x:v>E04-05</x:v>
      </x:c>
      <x:c r="C32" s="15" t="str">
        <x:v>L1</x:v>
      </x:c>
      <x:c r="D32" s="15" t="str">
        <x:v>NRC-C</x:v>
      </x:c>
      <x:c r="E32" s="15" t="n">
        <x:v>2</x:v>
      </x:c>
      <x:c r="F32" s="15" t="n">
        <x:v>100</x:v>
      </x:c>
      <x:c r="G32" s="15" t="n">
        <x:v>4.8</x:v>
      </x:c>
      <x:c r="H32" s="15" t="str">
        <x:v>OPEN</x:v>
      </x:c>
      <x:c r="I32" s="15" t="str">
        <x:v>OPEN</x:v>
      </x:c>
    </x:row>
    <x:row r="33">
      <x:c r="A33" s="14" t="str">
        <x:v>TC-29</x:v>
      </x:c>
      <x:c r="B33" s="14" t="str">
        <x:v>E04-05</x:v>
      </x:c>
      <x:c r="C33" s="14" t="str">
        <x:v>L2</x:v>
      </x:c>
      <x:c r="D33" s="14" t="str">
        <x:v>NRC-B</x:v>
      </x:c>
      <x:c r="E33" s="14" t="n">
        <x:v>1</x:v>
      </x:c>
      <x:c r="F33" s="14" t="n">
        <x:v>100</x:v>
      </x:c>
      <x:c r="G33" s="14" t="n">
        <x:v>4.8</x:v>
      </x:c>
      <x:c r="H33" s="14" t="str">
        <x:v>OPEN</x:v>
      </x:c>
      <x:c r="I33" s="14" t="str">
        <x:v>OPEN</x:v>
      </x:c>
    </x:row>
    <x:row r="34">
      <x:c r="A34" s="15" t="str">
        <x:v>TC-30</x:v>
      </x:c>
      <x:c r="B34" s="15" t="str">
        <x:v>E04-05</x:v>
      </x:c>
      <x:c r="C34" s="15" t="str">
        <x:v>L2</x:v>
      </x:c>
      <x:c r="D34" s="15" t="str">
        <x:v>NRC-B</x:v>
      </x:c>
      <x:c r="E34" s="15" t="n">
        <x:v>2</x:v>
      </x:c>
      <x:c r="F34" s="15" t="n">
        <x:v>100</x:v>
      </x:c>
      <x:c r="G34" s="15" t="n">
        <x:v>4.8</x:v>
      </x:c>
      <x:c r="H34" s="15" t="str">
        <x:v>OPEN</x:v>
      </x:c>
      <x:c r="I34" s="15" t="str">
        <x:v>OPEN</x:v>
      </x:c>
    </x:row>
    <x:row r="35">
      <x:c r="A35" s="14" t="str">
        <x:v>TC-31</x:v>
      </x:c>
      <x:c r="B35" s="14" t="str">
        <x:v>E04-05</x:v>
      </x:c>
      <x:c r="C35" s="14" t="str">
        <x:v>L2</x:v>
      </x:c>
      <x:c r="D35" s="14" t="str">
        <x:v>NRC-C</x:v>
      </x:c>
      <x:c r="E35" s="14" t="n">
        <x:v>1</x:v>
      </x:c>
      <x:c r="F35" s="14" t="n">
        <x:v>100</x:v>
      </x:c>
      <x:c r="G35" s="14" t="n">
        <x:v>4.8</x:v>
      </x:c>
      <x:c r="H35" s="14" t="str">
        <x:v>OPEN</x:v>
      </x:c>
      <x:c r="I35" s="14" t="str">
        <x:v>OPEN</x:v>
      </x:c>
    </x:row>
    <x:row r="36">
      <x:c r="A36" s="15" t="str">
        <x:v>TC-32</x:v>
      </x:c>
      <x:c r="B36" s="15" t="str">
        <x:v>E04-05</x:v>
      </x:c>
      <x:c r="C36" s="15" t="str">
        <x:v>L2</x:v>
      </x:c>
      <x:c r="D36" s="15" t="str">
        <x:v>NRC-C</x:v>
      </x:c>
      <x:c r="E36" s="15" t="n">
        <x:v>2</x:v>
      </x:c>
      <x:c r="F36" s="15" t="n">
        <x:v>100</x:v>
      </x:c>
      <x:c r="G36" s="15" t="n">
        <x:v>4.8</x:v>
      </x:c>
      <x:c r="H36" s="15" t="str">
        <x:v>OPEN</x:v>
      </x:c>
      <x:c r="I36" s="15" t="str">
        <x:v>OPEN</x:v>
      </x:c>
    </x:row>
    <x:row r="37">
      <x:c r="A37" s="14" t="str">
        <x:v>TC-33</x:v>
      </x:c>
      <x:c r="B37" s="14" t="str">
        <x:v>E05-06</x:v>
      </x:c>
      <x:c r="C37" s="14" t="str">
        <x:v>L1</x:v>
      </x:c>
      <x:c r="D37" s="14" t="str">
        <x:v>NRC-B</x:v>
      </x:c>
      <x:c r="E37" s="14" t="n">
        <x:v>1</x:v>
      </x:c>
      <x:c r="F37" s="14" t="n">
        <x:v>250</x:v>
      </x:c>
      <x:c r="G37" s="14" t="n">
        <x:v>0</x:v>
      </x:c>
      <x:c r="H37" s="14" t="str">
        <x:v>OPEN</x:v>
      </x:c>
      <x:c r="I37" s="14" t="str">
        <x:v>OPEN</x:v>
      </x:c>
    </x:row>
    <x:row r="38">
      <x:c r="A38" s="15" t="str">
        <x:v>TC-34</x:v>
      </x:c>
      <x:c r="B38" s="15" t="str">
        <x:v>E05-06</x:v>
      </x:c>
      <x:c r="C38" s="15" t="str">
        <x:v>L1</x:v>
      </x:c>
      <x:c r="D38" s="15" t="str">
        <x:v>NRC-B</x:v>
      </x:c>
      <x:c r="E38" s="15" t="n">
        <x:v>2</x:v>
      </x:c>
      <x:c r="F38" s="15" t="n">
        <x:v>250</x:v>
      </x:c>
      <x:c r="G38" s="15" t="n">
        <x:v>0</x:v>
      </x:c>
      <x:c r="H38" s="15" t="str">
        <x:v>OPEN</x:v>
      </x:c>
      <x:c r="I38" s="15" t="str">
        <x:v>OPEN</x:v>
      </x:c>
    </x:row>
    <x:row r="39">
      <x:c r="A39" s="14" t="str">
        <x:v>TC-35</x:v>
      </x:c>
      <x:c r="B39" s="14" t="str">
        <x:v>E05-06</x:v>
      </x:c>
      <x:c r="C39" s="14" t="str">
        <x:v>L1</x:v>
      </x:c>
      <x:c r="D39" s="14" t="str">
        <x:v>NRC-C</x:v>
      </x:c>
      <x:c r="E39" s="14" t="n">
        <x:v>1</x:v>
      </x:c>
      <x:c r="F39" s="14" t="n">
        <x:v>250</x:v>
      </x:c>
      <x:c r="G39" s="14" t="n">
        <x:v>0</x:v>
      </x:c>
      <x:c r="H39" s="14" t="str">
        <x:v>OPEN</x:v>
      </x:c>
      <x:c r="I39" s="14" t="str">
        <x:v>OPEN</x:v>
      </x:c>
    </x:row>
    <x:row r="40">
      <x:c r="A40" s="15" t="str">
        <x:v>TC-36</x:v>
      </x:c>
      <x:c r="B40" s="15" t="str">
        <x:v>E05-06</x:v>
      </x:c>
      <x:c r="C40" s="15" t="str">
        <x:v>L1</x:v>
      </x:c>
      <x:c r="D40" s="15" t="str">
        <x:v>NRC-C</x:v>
      </x:c>
      <x:c r="E40" s="15" t="n">
        <x:v>2</x:v>
      </x:c>
      <x:c r="F40" s="15" t="n">
        <x:v>250</x:v>
      </x:c>
      <x:c r="G40" s="15" t="n">
        <x:v>0</x:v>
      </x:c>
      <x:c r="H40" s="15" t="str">
        <x:v>OPEN</x:v>
      </x:c>
      <x:c r="I40" s="15" t="str">
        <x:v>OPEN</x:v>
      </x:c>
    </x:row>
    <x:row r="41">
      <x:c r="A41" s="14" t="str">
        <x:v>TC-37</x:v>
      </x:c>
      <x:c r="B41" s="14" t="str">
        <x:v>E05-06</x:v>
      </x:c>
      <x:c r="C41" s="14" t="str">
        <x:v>L2</x:v>
      </x:c>
      <x:c r="D41" s="14" t="str">
        <x:v>NRC-B</x:v>
      </x:c>
      <x:c r="E41" s="14" t="n">
        <x:v>1</x:v>
      </x:c>
      <x:c r="F41" s="14" t="n">
        <x:v>250</x:v>
      </x:c>
      <x:c r="G41" s="14" t="n">
        <x:v>0</x:v>
      </x:c>
      <x:c r="H41" s="14" t="str">
        <x:v>OPEN</x:v>
      </x:c>
      <x:c r="I41" s="14" t="str">
        <x:v>OPEN</x:v>
      </x:c>
    </x:row>
    <x:row r="42">
      <x:c r="A42" s="15" t="str">
        <x:v>TC-38</x:v>
      </x:c>
      <x:c r="B42" s="15" t="str">
        <x:v>E05-06</x:v>
      </x:c>
      <x:c r="C42" s="15" t="str">
        <x:v>L2</x:v>
      </x:c>
      <x:c r="D42" s="15" t="str">
        <x:v>NRC-B</x:v>
      </x:c>
      <x:c r="E42" s="15" t="n">
        <x:v>2</x:v>
      </x:c>
      <x:c r="F42" s="15" t="n">
        <x:v>250</x:v>
      </x:c>
      <x:c r="G42" s="15" t="n">
        <x:v>0</x:v>
      </x:c>
      <x:c r="H42" s="15" t="str">
        <x:v>OPEN</x:v>
      </x:c>
      <x:c r="I42" s="15" t="str">
        <x:v>OPEN</x:v>
      </x:c>
    </x:row>
    <x:row r="43">
      <x:c r="A43" s="14" t="str">
        <x:v>TC-39</x:v>
      </x:c>
      <x:c r="B43" s="14" t="str">
        <x:v>E05-06</x:v>
      </x:c>
      <x:c r="C43" s="14" t="str">
        <x:v>L2</x:v>
      </x:c>
      <x:c r="D43" s="14" t="str">
        <x:v>NRC-C</x:v>
      </x:c>
      <x:c r="E43" s="14" t="n">
        <x:v>1</x:v>
      </x:c>
      <x:c r="F43" s="14" t="n">
        <x:v>250</x:v>
      </x:c>
      <x:c r="G43" s="14" t="n">
        <x:v>0</x:v>
      </x:c>
      <x:c r="H43" s="14" t="str">
        <x:v>OPEN</x:v>
      </x:c>
      <x:c r="I43" s="14" t="str">
        <x:v>OPEN</x:v>
      </x:c>
    </x:row>
    <x:row r="44">
      <x:c r="A44" s="15" t="str">
        <x:v>TC-40</x:v>
      </x:c>
      <x:c r="B44" s="15" t="str">
        <x:v>E05-06</x:v>
      </x:c>
      <x:c r="C44" s="15" t="str">
        <x:v>L2</x:v>
      </x:c>
      <x:c r="D44" s="15" t="str">
        <x:v>NRC-C</x:v>
      </x:c>
      <x:c r="E44" s="15" t="n">
        <x:v>2</x:v>
      </x:c>
      <x:c r="F44" s="15" t="n">
        <x:v>250</x:v>
      </x:c>
      <x:c r="G44" s="15" t="n">
        <x:v>0</x:v>
      </x:c>
      <x:c r="H44" s="15" t="str">
        <x:v>OPEN</x:v>
      </x:c>
      <x:c r="I44" s="15" t="str">
        <x:v>OPEN</x:v>
      </x:c>
    </x:row>
    <x:row r="45">
      <x:c r="A45" s="14" t="str">
        <x:v>TC-41</x:v>
      </x:c>
      <x:c r="B45" s="14" t="str">
        <x:v>E06-07</x:v>
      </x:c>
      <x:c r="C45" s="14" t="str">
        <x:v>L1</x:v>
      </x:c>
      <x:c r="D45" s="14" t="str">
        <x:v>NRC-B</x:v>
      </x:c>
      <x:c r="E45" s="14" t="n">
        <x:v>1</x:v>
      </x:c>
      <x:c r="F45" s="14" t="n">
        <x:v>250</x:v>
      </x:c>
      <x:c r="G45" s="14" t="n">
        <x:v>12</x:v>
      </x:c>
      <x:c r="H45" s="14" t="str">
        <x:v>OPEN</x:v>
      </x:c>
      <x:c r="I45" s="14" t="str">
        <x:v>OPEN</x:v>
      </x:c>
    </x:row>
    <x:row r="46">
      <x:c r="A46" s="15" t="str">
        <x:v>TC-42</x:v>
      </x:c>
      <x:c r="B46" s="15" t="str">
        <x:v>E06-07</x:v>
      </x:c>
      <x:c r="C46" s="15" t="str">
        <x:v>L1</x:v>
      </x:c>
      <x:c r="D46" s="15" t="str">
        <x:v>NRC-B</x:v>
      </x:c>
      <x:c r="E46" s="15" t="n">
        <x:v>2</x:v>
      </x:c>
      <x:c r="F46" s="15" t="n">
        <x:v>250</x:v>
      </x:c>
      <x:c r="G46" s="15" t="n">
        <x:v>12</x:v>
      </x:c>
      <x:c r="H46" s="15" t="str">
        <x:v>OPEN</x:v>
      </x:c>
      <x:c r="I46" s="15" t="str">
        <x:v>OPEN</x:v>
      </x:c>
    </x:row>
    <x:row r="47">
      <x:c r="A47" s="14" t="str">
        <x:v>TC-43</x:v>
      </x:c>
      <x:c r="B47" s="14" t="str">
        <x:v>E06-07</x:v>
      </x:c>
      <x:c r="C47" s="14" t="str">
        <x:v>L1</x:v>
      </x:c>
      <x:c r="D47" s="14" t="str">
        <x:v>NRC-C</x:v>
      </x:c>
      <x:c r="E47" s="14" t="n">
        <x:v>1</x:v>
      </x:c>
      <x:c r="F47" s="14" t="n">
        <x:v>250</x:v>
      </x:c>
      <x:c r="G47" s="14" t="n">
        <x:v>12</x:v>
      </x:c>
      <x:c r="H47" s="14" t="str">
        <x:v>OPEN</x:v>
      </x:c>
      <x:c r="I47" s="14" t="str">
        <x:v>OPEN</x:v>
      </x:c>
    </x:row>
    <x:row r="48">
      <x:c r="A48" s="15" t="str">
        <x:v>TC-44</x:v>
      </x:c>
      <x:c r="B48" s="15" t="str">
        <x:v>E06-07</x:v>
      </x:c>
      <x:c r="C48" s="15" t="str">
        <x:v>L1</x:v>
      </x:c>
      <x:c r="D48" s="15" t="str">
        <x:v>NRC-C</x:v>
      </x:c>
      <x:c r="E48" s="15" t="n">
        <x:v>2</x:v>
      </x:c>
      <x:c r="F48" s="15" t="n">
        <x:v>250</x:v>
      </x:c>
      <x:c r="G48" s="15" t="n">
        <x:v>12</x:v>
      </x:c>
      <x:c r="H48" s="15" t="str">
        <x:v>OPEN</x:v>
      </x:c>
      <x:c r="I48" s="15" t="str">
        <x:v>OPEN</x:v>
      </x:c>
    </x:row>
    <x:row r="49">
      <x:c r="A49" s="14" t="str">
        <x:v>TC-45</x:v>
      </x:c>
      <x:c r="B49" s="14" t="str">
        <x:v>E06-07</x:v>
      </x:c>
      <x:c r="C49" s="14" t="str">
        <x:v>L2</x:v>
      </x:c>
      <x:c r="D49" s="14" t="str">
        <x:v>NRC-B</x:v>
      </x:c>
      <x:c r="E49" s="14" t="n">
        <x:v>1</x:v>
      </x:c>
      <x:c r="F49" s="14" t="n">
        <x:v>250</x:v>
      </x:c>
      <x:c r="G49" s="14" t="n">
        <x:v>12</x:v>
      </x:c>
      <x:c r="H49" s="14" t="str">
        <x:v>OPEN</x:v>
      </x:c>
      <x:c r="I49" s="14" t="str">
        <x:v>OPEN</x:v>
      </x:c>
    </x:row>
    <x:row r="50">
      <x:c r="A50" s="15" t="str">
        <x:v>TC-46</x:v>
      </x:c>
      <x:c r="B50" s="15" t="str">
        <x:v>E06-07</x:v>
      </x:c>
      <x:c r="C50" s="15" t="str">
        <x:v>L2</x:v>
      </x:c>
      <x:c r="D50" s="15" t="str">
        <x:v>NRC-B</x:v>
      </x:c>
      <x:c r="E50" s="15" t="n">
        <x:v>2</x:v>
      </x:c>
      <x:c r="F50" s="15" t="n">
        <x:v>250</x:v>
      </x:c>
      <x:c r="G50" s="15" t="n">
        <x:v>12</x:v>
      </x:c>
      <x:c r="H50" s="15" t="str">
        <x:v>OPEN</x:v>
      </x:c>
      <x:c r="I50" s="15" t="str">
        <x:v>OPEN</x:v>
      </x:c>
    </x:row>
    <x:row r="51">
      <x:c r="A51" s="14" t="str">
        <x:v>TC-47</x:v>
      </x:c>
      <x:c r="B51" s="14" t="str">
        <x:v>E06-07</x:v>
      </x:c>
      <x:c r="C51" s="14" t="str">
        <x:v>L2</x:v>
      </x:c>
      <x:c r="D51" s="14" t="str">
        <x:v>NRC-C</x:v>
      </x:c>
      <x:c r="E51" s="14" t="n">
        <x:v>1</x:v>
      </x:c>
      <x:c r="F51" s="14" t="n">
        <x:v>250</x:v>
      </x:c>
      <x:c r="G51" s="14" t="n">
        <x:v>12</x:v>
      </x:c>
      <x:c r="H51" s="14" t="str">
        <x:v>OPEN</x:v>
      </x:c>
      <x:c r="I51" s="14" t="str">
        <x:v>OPEN</x:v>
      </x:c>
    </x:row>
    <x:row r="52">
      <x:c r="A52" s="15" t="str">
        <x:v>TC-48</x:v>
      </x:c>
      <x:c r="B52" s="15" t="str">
        <x:v>E06-07</x:v>
      </x:c>
      <x:c r="C52" s="15" t="str">
        <x:v>L2</x:v>
      </x:c>
      <x:c r="D52" s="15" t="str">
        <x:v>NRC-C</x:v>
      </x:c>
      <x:c r="E52" s="15" t="n">
        <x:v>2</x:v>
      </x:c>
      <x:c r="F52" s="15" t="n">
        <x:v>250</x:v>
      </x:c>
      <x:c r="G52" s="15" t="n">
        <x:v>12</x:v>
      </x:c>
      <x:c r="H52" s="15" t="str">
        <x:v>OPEN</x:v>
      </x:c>
      <x:c r="I52" s="15" t="str">
        <x:v>OPEN</x:v>
      </x:c>
    </x:row>
    <x:row r="53">
      <x:c r="A53" s="14" t="str">
        <x:v>TC-49</x:v>
      </x:c>
      <x:c r="B53" s="14" t="str">
        <x:v>E07-08</x:v>
      </x:c>
      <x:c r="C53" s="14" t="str">
        <x:v>L1</x:v>
      </x:c>
      <x:c r="D53" s="14" t="str">
        <x:v>NRC-B</x:v>
      </x:c>
      <x:c r="E53" s="14" t="n">
        <x:v>1</x:v>
      </x:c>
      <x:c r="F53" s="14" t="n">
        <x:v>500</x:v>
      </x:c>
      <x:c r="G53" s="14" t="n">
        <x:v>0</x:v>
      </x:c>
      <x:c r="H53" s="14" t="str">
        <x:v>OPEN</x:v>
      </x:c>
      <x:c r="I53" s="14" t="str">
        <x:v>OPEN</x:v>
      </x:c>
    </x:row>
    <x:row r="54">
      <x:c r="A54" s="15" t="str">
        <x:v>TC-50</x:v>
      </x:c>
      <x:c r="B54" s="15" t="str">
        <x:v>E07-08</x:v>
      </x:c>
      <x:c r="C54" s="15" t="str">
        <x:v>L1</x:v>
      </x:c>
      <x:c r="D54" s="15" t="str">
        <x:v>NRC-B</x:v>
      </x:c>
      <x:c r="E54" s="15" t="n">
        <x:v>2</x:v>
      </x:c>
      <x:c r="F54" s="15" t="n">
        <x:v>500</x:v>
      </x:c>
      <x:c r="G54" s="15" t="n">
        <x:v>0</x:v>
      </x:c>
      <x:c r="H54" s="15" t="str">
        <x:v>OPEN</x:v>
      </x:c>
      <x:c r="I54" s="15" t="str">
        <x:v>OPEN</x:v>
      </x:c>
    </x:row>
    <x:row r="55">
      <x:c r="A55" s="14" t="str">
        <x:v>TC-51</x:v>
      </x:c>
      <x:c r="B55" s="14" t="str">
        <x:v>E07-08</x:v>
      </x:c>
      <x:c r="C55" s="14" t="str">
        <x:v>L1</x:v>
      </x:c>
      <x:c r="D55" s="14" t="str">
        <x:v>NRC-C</x:v>
      </x:c>
      <x:c r="E55" s="14" t="n">
        <x:v>1</x:v>
      </x:c>
      <x:c r="F55" s="14" t="n">
        <x:v>500</x:v>
      </x:c>
      <x:c r="G55" s="14" t="n">
        <x:v>0</x:v>
      </x:c>
      <x:c r="H55" s="14" t="str">
        <x:v>OPEN</x:v>
      </x:c>
      <x:c r="I55" s="14" t="str">
        <x:v>OPEN</x:v>
      </x:c>
    </x:row>
    <x:row r="56">
      <x:c r="A56" s="15" t="str">
        <x:v>TC-52</x:v>
      </x:c>
      <x:c r="B56" s="15" t="str">
        <x:v>E07-08</x:v>
      </x:c>
      <x:c r="C56" s="15" t="str">
        <x:v>L1</x:v>
      </x:c>
      <x:c r="D56" s="15" t="str">
        <x:v>NRC-C</x:v>
      </x:c>
      <x:c r="E56" s="15" t="n">
        <x:v>2</x:v>
      </x:c>
      <x:c r="F56" s="15" t="n">
        <x:v>500</x:v>
      </x:c>
      <x:c r="G56" s="15" t="n">
        <x:v>0</x:v>
      </x:c>
      <x:c r="H56" s="15" t="str">
        <x:v>OPEN</x:v>
      </x:c>
      <x:c r="I56" s="15" t="str">
        <x:v>OPEN</x:v>
      </x:c>
    </x:row>
    <x:row r="57">
      <x:c r="A57" s="14" t="str">
        <x:v>TC-53</x:v>
      </x:c>
      <x:c r="B57" s="14" t="str">
        <x:v>E07-08</x:v>
      </x:c>
      <x:c r="C57" s="14" t="str">
        <x:v>L2</x:v>
      </x:c>
      <x:c r="D57" s="14" t="str">
        <x:v>NRC-B</x:v>
      </x:c>
      <x:c r="E57" s="14" t="n">
        <x:v>1</x:v>
      </x:c>
      <x:c r="F57" s="14" t="n">
        <x:v>500</x:v>
      </x:c>
      <x:c r="G57" s="14" t="n">
        <x:v>0</x:v>
      </x:c>
      <x:c r="H57" s="14" t="str">
        <x:v>OPEN</x:v>
      </x:c>
      <x:c r="I57" s="14" t="str">
        <x:v>OPEN</x:v>
      </x:c>
    </x:row>
    <x:row r="58">
      <x:c r="A58" s="15" t="str">
        <x:v>TC-54</x:v>
      </x:c>
      <x:c r="B58" s="15" t="str">
        <x:v>E07-08</x:v>
      </x:c>
      <x:c r="C58" s="15" t="str">
        <x:v>L2</x:v>
      </x:c>
      <x:c r="D58" s="15" t="str">
        <x:v>NRC-B</x:v>
      </x:c>
      <x:c r="E58" s="15" t="n">
        <x:v>2</x:v>
      </x:c>
      <x:c r="F58" s="15" t="n">
        <x:v>500</x:v>
      </x:c>
      <x:c r="G58" s="15" t="n">
        <x:v>0</x:v>
      </x:c>
      <x:c r="H58" s="15" t="str">
        <x:v>OPEN</x:v>
      </x:c>
      <x:c r="I58" s="15" t="str">
        <x:v>OPEN</x:v>
      </x:c>
    </x:row>
    <x:row r="59">
      <x:c r="A59" s="14" t="str">
        <x:v>TC-55</x:v>
      </x:c>
      <x:c r="B59" s="14" t="str">
        <x:v>E07-08</x:v>
      </x:c>
      <x:c r="C59" s="14" t="str">
        <x:v>L2</x:v>
      </x:c>
      <x:c r="D59" s="14" t="str">
        <x:v>NRC-C</x:v>
      </x:c>
      <x:c r="E59" s="14" t="n">
        <x:v>1</x:v>
      </x:c>
      <x:c r="F59" s="14" t="n">
        <x:v>500</x:v>
      </x:c>
      <x:c r="G59" s="14" t="n">
        <x:v>0</x:v>
      </x:c>
      <x:c r="H59" s="14" t="str">
        <x:v>OPEN</x:v>
      </x:c>
      <x:c r="I59" s="14" t="str">
        <x:v>OPEN</x:v>
      </x:c>
    </x:row>
    <x:row r="60">
      <x:c r="A60" s="15" t="str">
        <x:v>TC-56</x:v>
      </x:c>
      <x:c r="B60" s="15" t="str">
        <x:v>E07-08</x:v>
      </x:c>
      <x:c r="C60" s="15" t="str">
        <x:v>L2</x:v>
      </x:c>
      <x:c r="D60" s="15" t="str">
        <x:v>NRC-C</x:v>
      </x:c>
      <x:c r="E60" s="15" t="n">
        <x:v>2</x:v>
      </x:c>
      <x:c r="F60" s="15" t="n">
        <x:v>500</x:v>
      </x:c>
      <x:c r="G60" s="15" t="n">
        <x:v>0</x:v>
      </x:c>
      <x:c r="H60" s="15" t="str">
        <x:v>OPEN</x:v>
      </x:c>
      <x:c r="I60" s="15" t="str">
        <x:v>OPEN</x:v>
      </x:c>
    </x:row>
    <x:row r="61">
      <x:c r="A61" s="14" t="str">
        <x:v>TC-57</x:v>
      </x:c>
      <x:c r="B61" s="14" t="str">
        <x:v>E08-09</x:v>
      </x:c>
      <x:c r="C61" s="14" t="str">
        <x:v>L1</x:v>
      </x:c>
      <x:c r="D61" s="14" t="str">
        <x:v>NRC-B</x:v>
      </x:c>
      <x:c r="E61" s="14" t="n">
        <x:v>1</x:v>
      </x:c>
      <x:c r="F61" s="14" t="n">
        <x:v>500</x:v>
      </x:c>
      <x:c r="G61" s="14" t="n">
        <x:v>24</x:v>
      </x:c>
      <x:c r="H61" s="14" t="str">
        <x:v>OPEN</x:v>
      </x:c>
      <x:c r="I61" s="14" t="str">
        <x:v>OPEN</x:v>
      </x:c>
    </x:row>
    <x:row r="62">
      <x:c r="A62" s="15" t="str">
        <x:v>TC-58</x:v>
      </x:c>
      <x:c r="B62" s="15" t="str">
        <x:v>E08-09</x:v>
      </x:c>
      <x:c r="C62" s="15" t="str">
        <x:v>L1</x:v>
      </x:c>
      <x:c r="D62" s="15" t="str">
        <x:v>NRC-B</x:v>
      </x:c>
      <x:c r="E62" s="15" t="n">
        <x:v>2</x:v>
      </x:c>
      <x:c r="F62" s="15" t="n">
        <x:v>500</x:v>
      </x:c>
      <x:c r="G62" s="15" t="n">
        <x:v>24</x:v>
      </x:c>
      <x:c r="H62" s="15" t="str">
        <x:v>OPEN</x:v>
      </x:c>
      <x:c r="I62" s="15" t="str">
        <x:v>OPEN</x:v>
      </x:c>
    </x:row>
    <x:row r="63">
      <x:c r="A63" s="14" t="str">
        <x:v>TC-59</x:v>
      </x:c>
      <x:c r="B63" s="14" t="str">
        <x:v>E08-09</x:v>
      </x:c>
      <x:c r="C63" s="14" t="str">
        <x:v>L1</x:v>
      </x:c>
      <x:c r="D63" s="14" t="str">
        <x:v>NRC-C</x:v>
      </x:c>
      <x:c r="E63" s="14" t="n">
        <x:v>1</x:v>
      </x:c>
      <x:c r="F63" s="14" t="n">
        <x:v>500</x:v>
      </x:c>
      <x:c r="G63" s="14" t="n">
        <x:v>24</x:v>
      </x:c>
      <x:c r="H63" s="14" t="str">
        <x:v>OPEN</x:v>
      </x:c>
      <x:c r="I63" s="14" t="str">
        <x:v>OPEN</x:v>
      </x:c>
    </x:row>
    <x:row r="64">
      <x:c r="A64" s="15" t="str">
        <x:v>TC-60</x:v>
      </x:c>
      <x:c r="B64" s="15" t="str">
        <x:v>E08-09</x:v>
      </x:c>
      <x:c r="C64" s="15" t="str">
        <x:v>L1</x:v>
      </x:c>
      <x:c r="D64" s="15" t="str">
        <x:v>NRC-C</x:v>
      </x:c>
      <x:c r="E64" s="15" t="n">
        <x:v>2</x:v>
      </x:c>
      <x:c r="F64" s="15" t="n">
        <x:v>500</x:v>
      </x:c>
      <x:c r="G64" s="15" t="n">
        <x:v>24</x:v>
      </x:c>
      <x:c r="H64" s="15" t="str">
        <x:v>OPEN</x:v>
      </x:c>
      <x:c r="I64" s="15" t="str">
        <x:v>OPEN</x:v>
      </x:c>
    </x:row>
    <x:row r="65">
      <x:c r="A65" s="14" t="str">
        <x:v>TC-61</x:v>
      </x:c>
      <x:c r="B65" s="14" t="str">
        <x:v>E08-09</x:v>
      </x:c>
      <x:c r="C65" s="14" t="str">
        <x:v>L2</x:v>
      </x:c>
      <x:c r="D65" s="14" t="str">
        <x:v>NRC-B</x:v>
      </x:c>
      <x:c r="E65" s="14" t="n">
        <x:v>1</x:v>
      </x:c>
      <x:c r="F65" s="14" t="n">
        <x:v>500</x:v>
      </x:c>
      <x:c r="G65" s="14" t="n">
        <x:v>24</x:v>
      </x:c>
      <x:c r="H65" s="14" t="str">
        <x:v>OPEN</x:v>
      </x:c>
      <x:c r="I65" s="14" t="str">
        <x:v>OPEN</x:v>
      </x:c>
    </x:row>
    <x:row r="66">
      <x:c r="A66" s="15" t="str">
        <x:v>TC-62</x:v>
      </x:c>
      <x:c r="B66" s="15" t="str">
        <x:v>E08-09</x:v>
      </x:c>
      <x:c r="C66" s="15" t="str">
        <x:v>L2</x:v>
      </x:c>
      <x:c r="D66" s="15" t="str">
        <x:v>NRC-B</x:v>
      </x:c>
      <x:c r="E66" s="15" t="n">
        <x:v>2</x:v>
      </x:c>
      <x:c r="F66" s="15" t="n">
        <x:v>500</x:v>
      </x:c>
      <x:c r="G66" s="15" t="n">
        <x:v>24</x:v>
      </x:c>
      <x:c r="H66" s="15" t="str">
        <x:v>OPEN</x:v>
      </x:c>
      <x:c r="I66" s="15" t="str">
        <x:v>OPEN</x:v>
      </x:c>
    </x:row>
    <x:row r="67">
      <x:c r="A67" s="14" t="str">
        <x:v>TC-63</x:v>
      </x:c>
      <x:c r="B67" s="14" t="str">
        <x:v>E08-09</x:v>
      </x:c>
      <x:c r="C67" s="14" t="str">
        <x:v>L2</x:v>
      </x:c>
      <x:c r="D67" s="14" t="str">
        <x:v>NRC-C</x:v>
      </x:c>
      <x:c r="E67" s="14" t="n">
        <x:v>1</x:v>
      </x:c>
      <x:c r="F67" s="14" t="n">
        <x:v>500</x:v>
      </x:c>
      <x:c r="G67" s="14" t="n">
        <x:v>24</x:v>
      </x:c>
      <x:c r="H67" s="14" t="str">
        <x:v>OPEN</x:v>
      </x:c>
      <x:c r="I67" s="14" t="str">
        <x:v>OPEN</x:v>
      </x:c>
    </x:row>
    <x:row r="68">
      <x:c r="A68" s="15" t="str">
        <x:v>TC-64</x:v>
      </x:c>
      <x:c r="B68" s="15" t="str">
        <x:v>E08-09</x:v>
      </x:c>
      <x:c r="C68" s="15" t="str">
        <x:v>L2</x:v>
      </x:c>
      <x:c r="D68" s="15" t="str">
        <x:v>NRC-C</x:v>
      </x:c>
      <x:c r="E68" s="15" t="n">
        <x:v>2</x:v>
      </x:c>
      <x:c r="F68" s="15" t="n">
        <x:v>500</x:v>
      </x:c>
      <x:c r="G68" s="15" t="n">
        <x:v>24</x:v>
      </x:c>
      <x:c r="H68" s="15" t="str">
        <x:v>OPEN</x:v>
      </x:c>
      <x:c r="I68" s="15" t="str">
        <x:v>OPEN</x:v>
      </x:c>
    </x:row>
    <x:row r="69">
      <x:c r="A69" s="14" t="str">
        <x:v>TC-65</x:v>
      </x:c>
      <x:c r="B69" s="14" t="str">
        <x:v>E09-10</x:v>
      </x:c>
      <x:c r="C69" s="14" t="str">
        <x:v>L1</x:v>
      </x:c>
      <x:c r="D69" s="14" t="str">
        <x:v>NRC-B</x:v>
      </x:c>
      <x:c r="E69" s="14" t="n">
        <x:v>1</x:v>
      </x:c>
      <x:c r="F69" s="14" t="n">
        <x:v>500</x:v>
      </x:c>
      <x:c r="G69" s="14" t="n">
        <x:v>48</x:v>
      </x:c>
      <x:c r="H69" s="14" t="str">
        <x:v>OPEN</x:v>
      </x:c>
      <x:c r="I69" s="14" t="str">
        <x:v>OPEN</x:v>
      </x:c>
    </x:row>
    <x:row r="70">
      <x:c r="A70" s="15" t="str">
        <x:v>TC-66</x:v>
      </x:c>
      <x:c r="B70" s="15" t="str">
        <x:v>E09-10</x:v>
      </x:c>
      <x:c r="C70" s="15" t="str">
        <x:v>L1</x:v>
      </x:c>
      <x:c r="D70" s="15" t="str">
        <x:v>NRC-B</x:v>
      </x:c>
      <x:c r="E70" s="15" t="n">
        <x:v>2</x:v>
      </x:c>
      <x:c r="F70" s="15" t="n">
        <x:v>500</x:v>
      </x:c>
      <x:c r="G70" s="15" t="n">
        <x:v>48</x:v>
      </x:c>
      <x:c r="H70" s="15" t="str">
        <x:v>OPEN</x:v>
      </x:c>
      <x:c r="I70" s="15" t="str">
        <x:v>OPEN</x:v>
      </x:c>
    </x:row>
    <x:row r="71">
      <x:c r="A71" s="14" t="str">
        <x:v>TC-67</x:v>
      </x:c>
      <x:c r="B71" s="14" t="str">
        <x:v>E09-10</x:v>
      </x:c>
      <x:c r="C71" s="14" t="str">
        <x:v>L1</x:v>
      </x:c>
      <x:c r="D71" s="14" t="str">
        <x:v>NRC-C</x:v>
      </x:c>
      <x:c r="E71" s="14" t="n">
        <x:v>1</x:v>
      </x:c>
      <x:c r="F71" s="14" t="n">
        <x:v>500</x:v>
      </x:c>
      <x:c r="G71" s="14" t="n">
        <x:v>48</x:v>
      </x:c>
      <x:c r="H71" s="14" t="str">
        <x:v>OPEN</x:v>
      </x:c>
      <x:c r="I71" s="14" t="str">
        <x:v>OPEN</x:v>
      </x:c>
    </x:row>
    <x:row r="72">
      <x:c r="A72" s="15" t="str">
        <x:v>TC-68</x:v>
      </x:c>
      <x:c r="B72" s="15" t="str">
        <x:v>E09-10</x:v>
      </x:c>
      <x:c r="C72" s="15" t="str">
        <x:v>L1</x:v>
      </x:c>
      <x:c r="D72" s="15" t="str">
        <x:v>NRC-C</x:v>
      </x:c>
      <x:c r="E72" s="15" t="n">
        <x:v>2</x:v>
      </x:c>
      <x:c r="F72" s="15" t="n">
        <x:v>500</x:v>
      </x:c>
      <x:c r="G72" s="15" t="n">
        <x:v>48</x:v>
      </x:c>
      <x:c r="H72" s="15" t="str">
        <x:v>OPEN</x:v>
      </x:c>
      <x:c r="I72" s="15" t="str">
        <x:v>OPEN</x:v>
      </x:c>
    </x:row>
    <x:row r="73">
      <x:c r="A73" s="14" t="str">
        <x:v>TC-69</x:v>
      </x:c>
      <x:c r="B73" s="14" t="str">
        <x:v>E09-10</x:v>
      </x:c>
      <x:c r="C73" s="14" t="str">
        <x:v>L2</x:v>
      </x:c>
      <x:c r="D73" s="14" t="str">
        <x:v>NRC-B</x:v>
      </x:c>
      <x:c r="E73" s="14" t="n">
        <x:v>1</x:v>
      </x:c>
      <x:c r="F73" s="14" t="n">
        <x:v>500</x:v>
      </x:c>
      <x:c r="G73" s="14" t="n">
        <x:v>48</x:v>
      </x:c>
      <x:c r="H73" s="14" t="str">
        <x:v>OPEN</x:v>
      </x:c>
      <x:c r="I73" s="14" t="str">
        <x:v>OPEN</x:v>
      </x:c>
    </x:row>
    <x:row r="74">
      <x:c r="A74" s="15" t="str">
        <x:v>TC-70</x:v>
      </x:c>
      <x:c r="B74" s="15" t="str">
        <x:v>E09-10</x:v>
      </x:c>
      <x:c r="C74" s="15" t="str">
        <x:v>L2</x:v>
      </x:c>
      <x:c r="D74" s="15" t="str">
        <x:v>NRC-B</x:v>
      </x:c>
      <x:c r="E74" s="15" t="n">
        <x:v>2</x:v>
      </x:c>
      <x:c r="F74" s="15" t="n">
        <x:v>500</x:v>
      </x:c>
      <x:c r="G74" s="15" t="n">
        <x:v>48</x:v>
      </x:c>
      <x:c r="H74" s="15" t="str">
        <x:v>OPEN</x:v>
      </x:c>
      <x:c r="I74" s="15" t="str">
        <x:v>OPEN</x:v>
      </x:c>
    </x:row>
    <x:row r="75">
      <x:c r="A75" s="14" t="str">
        <x:v>TC-71</x:v>
      </x:c>
      <x:c r="B75" s="14" t="str">
        <x:v>E09-10</x:v>
      </x:c>
      <x:c r="C75" s="14" t="str">
        <x:v>L2</x:v>
      </x:c>
      <x:c r="D75" s="14" t="str">
        <x:v>NRC-C</x:v>
      </x:c>
      <x:c r="E75" s="14" t="n">
        <x:v>1</x:v>
      </x:c>
      <x:c r="F75" s="14" t="n">
        <x:v>500</x:v>
      </x:c>
      <x:c r="G75" s="14" t="n">
        <x:v>48</x:v>
      </x:c>
      <x:c r="H75" s="14" t="str">
        <x:v>OPEN</x:v>
      </x:c>
      <x:c r="I75" s="14" t="str">
        <x:v>OPEN</x:v>
      </x:c>
    </x:row>
    <x:row r="76">
      <x:c r="A76" s="15" t="str">
        <x:v>TC-72</x:v>
      </x:c>
      <x:c r="B76" s="15" t="str">
        <x:v>E09-10</x:v>
      </x:c>
      <x:c r="C76" s="15" t="str">
        <x:v>L2</x:v>
      </x:c>
      <x:c r="D76" s="15" t="str">
        <x:v>NRC-C</x:v>
      </x:c>
      <x:c r="E76" s="15" t="n">
        <x:v>2</x:v>
      </x:c>
      <x:c r="F76" s="15" t="n">
        <x:v>500</x:v>
      </x:c>
      <x:c r="G76" s="15" t="n">
        <x:v>48</x:v>
      </x:c>
      <x:c r="H76" s="15" t="str">
        <x:v>OPEN</x:v>
      </x:c>
      <x:c r="I76" s="15" t="str">
        <x:v>OPEN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16" hidden="0" customWidth="1"/>
    <x:col min="5" max="5" width="14" hidden="0" customWidth="1"/>
  </x:cols>
  <x:sheetData>
    <x:row r="1" ht="27" customHeight="1">
      <x:c r="A1" s="3" t="str">
        <x:v>Translation material totals</x:v>
      </x:c>
    </x:row>
    <x:row r="2" ht="32" customHeight="1">
      <x:c r="A2" s="7" t="str">
        <x:v>Formula totals read all seventy-two registered cycles.</x:v>
      </x:c>
    </x:row>
    <x:row r="4" ht="28" customHeight="1">
      <x:c r="A4" s="11" t="str">
        <x:v>Metric</x:v>
      </x:c>
      <x:c r="B4" s="11" t="str">
        <x:v>Calculated</x:v>
      </x:c>
      <x:c r="C4" s="11" t="str">
        <x:v>Expected</x:v>
      </x:c>
      <x:c r="D4" s="11" t="str">
        <x:v>Unit</x:v>
      </x:c>
      <x:c r="E4" s="11" t="str">
        <x:v>State</x:v>
      </x:c>
    </x:row>
    <x:row r="5">
      <x:c r="A5" s="14" t="str">
        <x:v>Cycles</x:v>
      </x:c>
      <x:c r="B5" s="16" t="n">
        <x:f>COUNTA('Translation Cycles'!A5:A100)</x:f>
        <x:v>72</x:v>
      </x:c>
      <x:c r="C5" s="16" t="n">
        <x:v>72</x:v>
      </x:c>
      <x:c r="D5" s="14" t="str">
        <x:v>count</x:v>
      </x:c>
      <x:c r="E5" s="20" t="str">
        <x:f>IF(B5=C5,"PASS","CHECK")</x:f>
        <x:v>PASS</x:v>
      </x:c>
    </x:row>
    <x:row r="6">
      <x:c r="A6" s="15" t="str">
        <x:v>Source or simulant</x:v>
      </x:c>
      <x:c r="B6" s="17" t="n">
        <x:f>SUM('Translation Cycles'!F5:F100)</x:f>
        <x:v>17640</x:v>
      </x:c>
      <x:c r="C6" s="17" t="n">
        <x:v>17640</x:v>
      </x:c>
      <x:c r="D6" s="15" t="str">
        <x:v>kg</x:v>
      </x:c>
      <x:c r="E6" s="20" t="str">
        <x:f>IF(B6=C6,"PASS","CHECK")</x:f>
        <x:v>PASS</x:v>
      </x:c>
    </x:row>
    <x:row r="7">
      <x:c r="A7" s="14" t="str">
        <x:v>Water</x:v>
      </x:c>
      <x:c r="B7" s="16" t="n">
        <x:f>SUM('Translation Cycles'!G5:G100)</x:f>
        <x:v>904.3200000000002</x:v>
      </x:c>
      <x:c r="C7" s="16" t="n">
        <x:v>904.32</x:v>
      </x:c>
      <x:c r="D7" s="14" t="str">
        <x:v>m3</x:v>
      </x:c>
      <x:c r="E7" s="20" t="str">
        <x:f>IF(B7=C7,"PASS","CHECK")</x:f>
        <x:v>PASS</x:v>
      </x:c>
    </x:row>
    <x:row r="8">
      <x:c r="A8" s="15" t="str">
        <x:v>Carriers</x:v>
      </x:c>
      <x:c r="B8" s="17" t="n">
        <x:f>COUNTA('Translation Carriers'!A5:A40)</x:f>
        <x:v>18</x:v>
      </x:c>
      <x:c r="C8" s="17" t="n">
        <x:v>18</x:v>
      </x:c>
      <x:c r="D8" s="15" t="str">
        <x:v>count</x:v>
      </x:c>
      <x:c r="E8" s="20" t="str">
        <x:f>IF(B8=C8,"PASS","CHECK")</x:f>
        <x:v>PASS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7" customHeight="1">
      <x:c r="A1" s="3" t="str">
        <x:v>Three hundred sixty closure reconstructions</x:v>
      </x:c>
    </x:row>
    <x:row r="2" ht="32" customHeight="1">
      <x:c r="A2" s="7" t="str">
        <x:v>Each required exact-cell packet receives three origin-independent decisions.</x:v>
      </x:c>
    </x:row>
    <x:row r="4" ht="28" customHeight="1">
      <x:c r="A4" s="11" t="str">
        <x:v>Decision</x:v>
      </x:c>
      <x:c r="B4" s="11" t="str">
        <x:v>Rung</x:v>
      </x:c>
      <x:c r="C4" s="11" t="str">
        <x:v>Cell</x:v>
      </x:c>
      <x:c r="D4" s="11" t="str">
        <x:v>Authority</x:v>
      </x:c>
      <x:c r="E4" s="11" t="str">
        <x:v>Packet</x:v>
      </x:c>
      <x:c r="F4" s="11" t="str">
        <x:v>Root graph</x:v>
      </x:c>
      <x:c r="G4" s="11" t="str">
        <x:v>Disposition</x:v>
      </x:c>
    </x:row>
    <x:row r="5">
      <x:c r="A5" s="14" t="str">
        <x:v>XR-001</x:v>
      </x:c>
      <x:c r="B5" s="14" t="str">
        <x:v>ER-01</x:v>
      </x:c>
      <x:c r="C5" s="14" t="str">
        <x:v>CELL-01</x:v>
      </x:c>
      <x:c r="D5" s="14" t="str">
        <x:v>REMOTE</x:v>
      </x:c>
      <x:c r="E5" s="14" t="str">
        <x:v>NOT ISSUED</x:v>
      </x:c>
      <x:c r="F5" s="14" t="str">
        <x:v>OPEN</x:v>
      </x:c>
      <x:c r="G5" s="14" t="str">
        <x:v>OPEN</x:v>
      </x:c>
    </x:row>
    <x:row r="6">
      <x:c r="A6" s="15" t="str">
        <x:v>XR-002</x:v>
      </x:c>
      <x:c r="B6" s="15" t="str">
        <x:v>ER-01</x:v>
      </x:c>
      <x:c r="C6" s="15" t="str">
        <x:v>CELL-01</x:v>
      </x:c>
      <x:c r="D6" s="15" t="str">
        <x:v>ROOT TEAM</x:v>
      </x:c>
      <x:c r="E6" s="15" t="str">
        <x:v>NOT ISSUED</x:v>
      </x:c>
      <x:c r="F6" s="15" t="str">
        <x:v>OPEN</x:v>
      </x:c>
      <x:c r="G6" s="15" t="str">
        <x:v>OPEN</x:v>
      </x:c>
    </x:row>
    <x:row r="7">
      <x:c r="A7" s="14" t="str">
        <x:v>XR-003</x:v>
      </x:c>
      <x:c r="B7" s="14" t="str">
        <x:v>ER-01</x:v>
      </x:c>
      <x:c r="C7" s="14" t="str">
        <x:v>CELL-01</x:v>
      </x:c>
      <x:c r="D7" s="14" t="str">
        <x:v>DEPLOYABLE</x:v>
      </x:c>
      <x:c r="E7" s="14" t="str">
        <x:v>NOT ISSUED</x:v>
      </x:c>
      <x:c r="F7" s="14" t="str">
        <x:v>OPEN</x:v>
      </x:c>
      <x:c r="G7" s="14" t="str">
        <x:v>OPEN</x:v>
      </x:c>
    </x:row>
    <x:row r="8">
      <x:c r="A8" s="15" t="str">
        <x:v>XR-004</x:v>
      </x:c>
      <x:c r="B8" s="15" t="str">
        <x:v>ER-01</x:v>
      </x:c>
      <x:c r="C8" s="15" t="str">
        <x:v>CELL-02</x:v>
      </x:c>
      <x:c r="D8" s="15" t="str">
        <x:v>REMOTE</x:v>
      </x:c>
      <x:c r="E8" s="15" t="str">
        <x:v>NOT ISSUED</x:v>
      </x:c>
      <x:c r="F8" s="15" t="str">
        <x:v>OPEN</x:v>
      </x:c>
      <x:c r="G8" s="15" t="str">
        <x:v>OPEN</x:v>
      </x:c>
    </x:row>
    <x:row r="9">
      <x:c r="A9" s="14" t="str">
        <x:v>XR-005</x:v>
      </x:c>
      <x:c r="B9" s="14" t="str">
        <x:v>ER-01</x:v>
      </x:c>
      <x:c r="C9" s="14" t="str">
        <x:v>CELL-02</x:v>
      </x:c>
      <x:c r="D9" s="14" t="str">
        <x:v>ROOT TEAM</x:v>
      </x:c>
      <x:c r="E9" s="14" t="str">
        <x:v>NOT ISSUED</x:v>
      </x:c>
      <x:c r="F9" s="14" t="str">
        <x:v>OPEN</x:v>
      </x:c>
      <x:c r="G9" s="14" t="str">
        <x:v>OPEN</x:v>
      </x:c>
    </x:row>
    <x:row r="10">
      <x:c r="A10" s="15" t="str">
        <x:v>XR-006</x:v>
      </x:c>
      <x:c r="B10" s="15" t="str">
        <x:v>ER-01</x:v>
      </x:c>
      <x:c r="C10" s="15" t="str">
        <x:v>CELL-02</x:v>
      </x:c>
      <x:c r="D10" s="15" t="str">
        <x:v>DEPLOYABLE</x:v>
      </x:c>
      <x:c r="E10" s="15" t="str">
        <x:v>NOT ISSUED</x:v>
      </x:c>
      <x:c r="F10" s="15" t="str">
        <x:v>OPEN</x:v>
      </x:c>
      <x:c r="G10" s="15" t="str">
        <x:v>OPEN</x:v>
      </x:c>
    </x:row>
    <x:row r="11">
      <x:c r="A11" s="14" t="str">
        <x:v>XR-007</x:v>
      </x:c>
      <x:c r="B11" s="14" t="str">
        <x:v>ER-01</x:v>
      </x:c>
      <x:c r="C11" s="14" t="str">
        <x:v>CELL-03</x:v>
      </x:c>
      <x:c r="D11" s="14" t="str">
        <x:v>REMOTE</x:v>
      </x:c>
      <x:c r="E11" s="14" t="str">
        <x:v>NOT ISSUED</x:v>
      </x:c>
      <x:c r="F11" s="14" t="str">
        <x:v>OPEN</x:v>
      </x:c>
      <x:c r="G11" s="14" t="str">
        <x:v>OPEN</x:v>
      </x:c>
    </x:row>
    <x:row r="12">
      <x:c r="A12" s="15" t="str">
        <x:v>XR-008</x:v>
      </x:c>
      <x:c r="B12" s="15" t="str">
        <x:v>ER-01</x:v>
      </x:c>
      <x:c r="C12" s="15" t="str">
        <x:v>CELL-03</x:v>
      </x:c>
      <x:c r="D12" s="15" t="str">
        <x:v>ROOT TEAM</x:v>
      </x:c>
      <x:c r="E12" s="15" t="str">
        <x:v>NOT ISSUED</x:v>
      </x:c>
      <x:c r="F12" s="15" t="str">
        <x:v>OPEN</x:v>
      </x:c>
      <x:c r="G12" s="15" t="str">
        <x:v>OPEN</x:v>
      </x:c>
    </x:row>
    <x:row r="13">
      <x:c r="A13" s="14" t="str">
        <x:v>XR-009</x:v>
      </x:c>
      <x:c r="B13" s="14" t="str">
        <x:v>ER-01</x:v>
      </x:c>
      <x:c r="C13" s="14" t="str">
        <x:v>CELL-03</x:v>
      </x:c>
      <x:c r="D13" s="14" t="str">
        <x:v>DEPLOYABLE</x:v>
      </x:c>
      <x:c r="E13" s="14" t="str">
        <x:v>NOT ISSUED</x:v>
      </x:c>
      <x:c r="F13" s="14" t="str">
        <x:v>OPEN</x:v>
      </x:c>
      <x:c r="G13" s="14" t="str">
        <x:v>OPEN</x:v>
      </x:c>
    </x:row>
    <x:row r="14">
      <x:c r="A14" s="15" t="str">
        <x:v>XR-010</x:v>
      </x:c>
      <x:c r="B14" s="15" t="str">
        <x:v>ER-01</x:v>
      </x:c>
      <x:c r="C14" s="15" t="str">
        <x:v>CELL-04</x:v>
      </x:c>
      <x:c r="D14" s="15" t="str">
        <x:v>REMOTE</x:v>
      </x:c>
      <x:c r="E14" s="15" t="str">
        <x:v>NOT ISSUED</x:v>
      </x:c>
      <x:c r="F14" s="15" t="str">
        <x:v>OPEN</x:v>
      </x:c>
      <x:c r="G14" s="15" t="str">
        <x:v>OPEN</x:v>
      </x:c>
    </x:row>
    <x:row r="15">
      <x:c r="A15" s="14" t="str">
        <x:v>XR-011</x:v>
      </x:c>
      <x:c r="B15" s="14" t="str">
        <x:v>ER-01</x:v>
      </x:c>
      <x:c r="C15" s="14" t="str">
        <x:v>CELL-04</x:v>
      </x:c>
      <x:c r="D15" s="14" t="str">
        <x:v>ROOT TEAM</x:v>
      </x:c>
      <x:c r="E15" s="14" t="str">
        <x:v>NOT ISSUED</x:v>
      </x:c>
      <x:c r="F15" s="14" t="str">
        <x:v>OPEN</x:v>
      </x:c>
      <x:c r="G15" s="14" t="str">
        <x:v>OPEN</x:v>
      </x:c>
    </x:row>
    <x:row r="16">
      <x:c r="A16" s="15" t="str">
        <x:v>XR-012</x:v>
      </x:c>
      <x:c r="B16" s="15" t="str">
        <x:v>ER-01</x:v>
      </x:c>
      <x:c r="C16" s="15" t="str">
        <x:v>CELL-04</x:v>
      </x:c>
      <x:c r="D16" s="15" t="str">
        <x:v>DEPLOYABLE</x:v>
      </x:c>
      <x:c r="E16" s="15" t="str">
        <x:v>NOT ISSUED</x:v>
      </x:c>
      <x:c r="F16" s="15" t="str">
        <x:v>OPEN</x:v>
      </x:c>
      <x:c r="G16" s="15" t="str">
        <x:v>OPEN</x:v>
      </x:c>
    </x:row>
    <x:row r="17">
      <x:c r="A17" s="14" t="str">
        <x:v>XR-013</x:v>
      </x:c>
      <x:c r="B17" s="14" t="str">
        <x:v>ER-01</x:v>
      </x:c>
      <x:c r="C17" s="14" t="str">
        <x:v>CELL-05</x:v>
      </x:c>
      <x:c r="D17" s="14" t="str">
        <x:v>REMOTE</x:v>
      </x:c>
      <x:c r="E17" s="14" t="str">
        <x:v>NOT ISSUED</x:v>
      </x:c>
      <x:c r="F17" s="14" t="str">
        <x:v>OPEN</x:v>
      </x:c>
      <x:c r="G17" s="14" t="str">
        <x:v>OPEN</x:v>
      </x:c>
    </x:row>
    <x:row r="18">
      <x:c r="A18" s="15" t="str">
        <x:v>XR-014</x:v>
      </x:c>
      <x:c r="B18" s="15" t="str">
        <x:v>ER-01</x:v>
      </x:c>
      <x:c r="C18" s="15" t="str">
        <x:v>CELL-05</x:v>
      </x:c>
      <x:c r="D18" s="15" t="str">
        <x:v>ROOT TEAM</x:v>
      </x:c>
      <x:c r="E18" s="15" t="str">
        <x:v>NOT ISSUED</x:v>
      </x:c>
      <x:c r="F18" s="15" t="str">
        <x:v>OPEN</x:v>
      </x:c>
      <x:c r="G18" s="15" t="str">
        <x:v>OPEN</x:v>
      </x:c>
    </x:row>
    <x:row r="19">
      <x:c r="A19" s="14" t="str">
        <x:v>XR-015</x:v>
      </x:c>
      <x:c r="B19" s="14" t="str">
        <x:v>ER-01</x:v>
      </x:c>
      <x:c r="C19" s="14" t="str">
        <x:v>CELL-05</x:v>
      </x:c>
      <x:c r="D19" s="14" t="str">
        <x:v>DEPLOYABLE</x:v>
      </x:c>
      <x:c r="E19" s="14" t="str">
        <x:v>NOT ISSUED</x:v>
      </x:c>
      <x:c r="F19" s="14" t="str">
        <x:v>OPEN</x:v>
      </x:c>
      <x:c r="G19" s="14" t="str">
        <x:v>OPEN</x:v>
      </x:c>
    </x:row>
    <x:row r="20">
      <x:c r="A20" s="15" t="str">
        <x:v>XR-016</x:v>
      </x:c>
      <x:c r="B20" s="15" t="str">
        <x:v>ER-01</x:v>
      </x:c>
      <x:c r="C20" s="15" t="str">
        <x:v>CELL-06</x:v>
      </x:c>
      <x:c r="D20" s="15" t="str">
        <x:v>REMOTE</x:v>
      </x:c>
      <x:c r="E20" s="15" t="str">
        <x:v>NOT ISSUED</x:v>
      </x:c>
      <x:c r="F20" s="15" t="str">
        <x:v>OPEN</x:v>
      </x:c>
      <x:c r="G20" s="15" t="str">
        <x:v>OPEN</x:v>
      </x:c>
    </x:row>
    <x:row r="21">
      <x:c r="A21" s="14" t="str">
        <x:v>XR-017</x:v>
      </x:c>
      <x:c r="B21" s="14" t="str">
        <x:v>ER-01</x:v>
      </x:c>
      <x:c r="C21" s="14" t="str">
        <x:v>CELL-06</x:v>
      </x:c>
      <x:c r="D21" s="14" t="str">
        <x:v>ROOT TEAM</x:v>
      </x:c>
      <x:c r="E21" s="14" t="str">
        <x:v>NOT ISSUED</x:v>
      </x:c>
      <x:c r="F21" s="14" t="str">
        <x:v>OPEN</x:v>
      </x:c>
      <x:c r="G21" s="14" t="str">
        <x:v>OPEN</x:v>
      </x:c>
    </x:row>
    <x:row r="22">
      <x:c r="A22" s="15" t="str">
        <x:v>XR-018</x:v>
      </x:c>
      <x:c r="B22" s="15" t="str">
        <x:v>ER-01</x:v>
      </x:c>
      <x:c r="C22" s="15" t="str">
        <x:v>CELL-06</x:v>
      </x:c>
      <x:c r="D22" s="15" t="str">
        <x:v>DEPLOYABLE</x:v>
      </x:c>
      <x:c r="E22" s="15" t="str">
        <x:v>NOT ISSUED</x:v>
      </x:c>
      <x:c r="F22" s="15" t="str">
        <x:v>OPEN</x:v>
      </x:c>
      <x:c r="G22" s="15" t="str">
        <x:v>OPEN</x:v>
      </x:c>
    </x:row>
    <x:row r="23">
      <x:c r="A23" s="14" t="str">
        <x:v>XR-019</x:v>
      </x:c>
      <x:c r="B23" s="14" t="str">
        <x:v>ER-01</x:v>
      </x:c>
      <x:c r="C23" s="14" t="str">
        <x:v>CELL-07</x:v>
      </x:c>
      <x:c r="D23" s="14" t="str">
        <x:v>REMOTE</x:v>
      </x:c>
      <x:c r="E23" s="14" t="str">
        <x:v>NOT ISSUED</x:v>
      </x:c>
      <x:c r="F23" s="14" t="str">
        <x:v>OPEN</x:v>
      </x:c>
      <x:c r="G23" s="14" t="str">
        <x:v>OPEN</x:v>
      </x:c>
    </x:row>
    <x:row r="24">
      <x:c r="A24" s="15" t="str">
        <x:v>XR-020</x:v>
      </x:c>
      <x:c r="B24" s="15" t="str">
        <x:v>ER-01</x:v>
      </x:c>
      <x:c r="C24" s="15" t="str">
        <x:v>CELL-07</x:v>
      </x:c>
      <x:c r="D24" s="15" t="str">
        <x:v>ROOT TEAM</x:v>
      </x:c>
      <x:c r="E24" s="15" t="str">
        <x:v>NOT ISSUED</x:v>
      </x:c>
      <x:c r="F24" s="15" t="str">
        <x:v>OPEN</x:v>
      </x:c>
      <x:c r="G24" s="15" t="str">
        <x:v>OPEN</x:v>
      </x:c>
    </x:row>
    <x:row r="25">
      <x:c r="A25" s="14" t="str">
        <x:v>XR-021</x:v>
      </x:c>
      <x:c r="B25" s="14" t="str">
        <x:v>ER-01</x:v>
      </x:c>
      <x:c r="C25" s="14" t="str">
        <x:v>CELL-07</x:v>
      </x:c>
      <x:c r="D25" s="14" t="str">
        <x:v>DEPLOYABLE</x:v>
      </x:c>
      <x:c r="E25" s="14" t="str">
        <x:v>NOT ISSUED</x:v>
      </x:c>
      <x:c r="F25" s="14" t="str">
        <x:v>OPEN</x:v>
      </x:c>
      <x:c r="G25" s="14" t="str">
        <x:v>OPEN</x:v>
      </x:c>
    </x:row>
    <x:row r="26">
      <x:c r="A26" s="15" t="str">
        <x:v>XR-022</x:v>
      </x:c>
      <x:c r="B26" s="15" t="str">
        <x:v>ER-01</x:v>
      </x:c>
      <x:c r="C26" s="15" t="str">
        <x:v>CELL-08</x:v>
      </x:c>
      <x:c r="D26" s="15" t="str">
        <x:v>REMOTE</x:v>
      </x:c>
      <x:c r="E26" s="15" t="str">
        <x:v>NOT ISSUED</x:v>
      </x:c>
      <x:c r="F26" s="15" t="str">
        <x:v>OPEN</x:v>
      </x:c>
      <x:c r="G26" s="15" t="str">
        <x:v>OPEN</x:v>
      </x:c>
    </x:row>
    <x:row r="27">
      <x:c r="A27" s="14" t="str">
        <x:v>XR-023</x:v>
      </x:c>
      <x:c r="B27" s="14" t="str">
        <x:v>ER-01</x:v>
      </x:c>
      <x:c r="C27" s="14" t="str">
        <x:v>CELL-08</x:v>
      </x:c>
      <x:c r="D27" s="14" t="str">
        <x:v>ROOT TEAM</x:v>
      </x:c>
      <x:c r="E27" s="14" t="str">
        <x:v>NOT ISSUED</x:v>
      </x:c>
      <x:c r="F27" s="14" t="str">
        <x:v>OPEN</x:v>
      </x:c>
      <x:c r="G27" s="14" t="str">
        <x:v>OPEN</x:v>
      </x:c>
    </x:row>
    <x:row r="28">
      <x:c r="A28" s="15" t="str">
        <x:v>XR-024</x:v>
      </x:c>
      <x:c r="B28" s="15" t="str">
        <x:v>ER-01</x:v>
      </x:c>
      <x:c r="C28" s="15" t="str">
        <x:v>CELL-08</x:v>
      </x:c>
      <x:c r="D28" s="15" t="str">
        <x:v>DEPLOYABLE</x:v>
      </x:c>
      <x:c r="E28" s="15" t="str">
        <x:v>NOT ISSUED</x:v>
      </x:c>
      <x:c r="F28" s="15" t="str">
        <x:v>OPEN</x:v>
      </x:c>
      <x:c r="G28" s="15" t="str">
        <x:v>OPEN</x:v>
      </x:c>
    </x:row>
    <x:row r="29">
      <x:c r="A29" s="14" t="str">
        <x:v>XR-025</x:v>
      </x:c>
      <x:c r="B29" s="14" t="str">
        <x:v>ER-01</x:v>
      </x:c>
      <x:c r="C29" s="14" t="str">
        <x:v>CELL-09</x:v>
      </x:c>
      <x:c r="D29" s="14" t="str">
        <x:v>REMOTE</x:v>
      </x:c>
      <x:c r="E29" s="14" t="str">
        <x:v>NOT ISSUED</x:v>
      </x:c>
      <x:c r="F29" s="14" t="str">
        <x:v>OPEN</x:v>
      </x:c>
      <x:c r="G29" s="14" t="str">
        <x:v>OPEN</x:v>
      </x:c>
    </x:row>
    <x:row r="30">
      <x:c r="A30" s="15" t="str">
        <x:v>XR-026</x:v>
      </x:c>
      <x:c r="B30" s="15" t="str">
        <x:v>ER-01</x:v>
      </x:c>
      <x:c r="C30" s="15" t="str">
        <x:v>CELL-09</x:v>
      </x:c>
      <x:c r="D30" s="15" t="str">
        <x:v>ROOT TEAM</x:v>
      </x:c>
      <x:c r="E30" s="15" t="str">
        <x:v>NOT ISSUED</x:v>
      </x:c>
      <x:c r="F30" s="15" t="str">
        <x:v>OPEN</x:v>
      </x:c>
      <x:c r="G30" s="15" t="str">
        <x:v>OPEN</x:v>
      </x:c>
    </x:row>
    <x:row r="31">
      <x:c r="A31" s="14" t="str">
        <x:v>XR-027</x:v>
      </x:c>
      <x:c r="B31" s="14" t="str">
        <x:v>ER-01</x:v>
      </x:c>
      <x:c r="C31" s="14" t="str">
        <x:v>CELL-09</x:v>
      </x:c>
      <x:c r="D31" s="14" t="str">
        <x:v>DEPLOYABLE</x:v>
      </x:c>
      <x:c r="E31" s="14" t="str">
        <x:v>NOT ISSUED</x:v>
      </x:c>
      <x:c r="F31" s="14" t="str">
        <x:v>OPEN</x:v>
      </x:c>
      <x:c r="G31" s="14" t="str">
        <x:v>OPEN</x:v>
      </x:c>
    </x:row>
    <x:row r="32">
      <x:c r="A32" s="15" t="str">
        <x:v>XR-028</x:v>
      </x:c>
      <x:c r="B32" s="15" t="str">
        <x:v>ER-01</x:v>
      </x:c>
      <x:c r="C32" s="15" t="str">
        <x:v>CELL-10</x:v>
      </x:c>
      <x:c r="D32" s="15" t="str">
        <x:v>REMOTE</x:v>
      </x:c>
      <x:c r="E32" s="15" t="str">
        <x:v>NOT ISSUED</x:v>
      </x:c>
      <x:c r="F32" s="15" t="str">
        <x:v>OPEN</x:v>
      </x:c>
      <x:c r="G32" s="15" t="str">
        <x:v>OPEN</x:v>
      </x:c>
    </x:row>
    <x:row r="33">
      <x:c r="A33" s="14" t="str">
        <x:v>XR-029</x:v>
      </x:c>
      <x:c r="B33" s="14" t="str">
        <x:v>ER-01</x:v>
      </x:c>
      <x:c r="C33" s="14" t="str">
        <x:v>CELL-10</x:v>
      </x:c>
      <x:c r="D33" s="14" t="str">
        <x:v>ROOT TEAM</x:v>
      </x:c>
      <x:c r="E33" s="14" t="str">
        <x:v>NOT ISSUED</x:v>
      </x:c>
      <x:c r="F33" s="14" t="str">
        <x:v>OPEN</x:v>
      </x:c>
      <x:c r="G33" s="14" t="str">
        <x:v>OPEN</x:v>
      </x:c>
    </x:row>
    <x:row r="34">
      <x:c r="A34" s="15" t="str">
        <x:v>XR-030</x:v>
      </x:c>
      <x:c r="B34" s="15" t="str">
        <x:v>ER-01</x:v>
      </x:c>
      <x:c r="C34" s="15" t="str">
        <x:v>CELL-10</x:v>
      </x:c>
      <x:c r="D34" s="15" t="str">
        <x:v>DEPLOYABLE</x:v>
      </x:c>
      <x:c r="E34" s="15" t="str">
        <x:v>NOT ISSUED</x:v>
      </x:c>
      <x:c r="F34" s="15" t="str">
        <x:v>OPEN</x:v>
      </x:c>
      <x:c r="G34" s="15" t="str">
        <x:v>OPEN</x:v>
      </x:c>
    </x:row>
    <x:row r="35">
      <x:c r="A35" s="14" t="str">
        <x:v>XR-031</x:v>
      </x:c>
      <x:c r="B35" s="14" t="str">
        <x:v>ER-01</x:v>
      </x:c>
      <x:c r="C35" s="14" t="str">
        <x:v>CELL-11</x:v>
      </x:c>
      <x:c r="D35" s="14" t="str">
        <x:v>REMOTE</x:v>
      </x:c>
      <x:c r="E35" s="14" t="str">
        <x:v>NOT ISSUED</x:v>
      </x:c>
      <x:c r="F35" s="14" t="str">
        <x:v>OPEN</x:v>
      </x:c>
      <x:c r="G35" s="14" t="str">
        <x:v>OPEN</x:v>
      </x:c>
    </x:row>
    <x:row r="36">
      <x:c r="A36" s="15" t="str">
        <x:v>XR-032</x:v>
      </x:c>
      <x:c r="B36" s="15" t="str">
        <x:v>ER-01</x:v>
      </x:c>
      <x:c r="C36" s="15" t="str">
        <x:v>CELL-11</x:v>
      </x:c>
      <x:c r="D36" s="15" t="str">
        <x:v>ROOT TEAM</x:v>
      </x:c>
      <x:c r="E36" s="15" t="str">
        <x:v>NOT ISSUED</x:v>
      </x:c>
      <x:c r="F36" s="15" t="str">
        <x:v>OPEN</x:v>
      </x:c>
      <x:c r="G36" s="15" t="str">
        <x:v>OPEN</x:v>
      </x:c>
    </x:row>
    <x:row r="37">
      <x:c r="A37" s="14" t="str">
        <x:v>XR-033</x:v>
      </x:c>
      <x:c r="B37" s="14" t="str">
        <x:v>ER-01</x:v>
      </x:c>
      <x:c r="C37" s="14" t="str">
        <x:v>CELL-11</x:v>
      </x:c>
      <x:c r="D37" s="14" t="str">
        <x:v>DEPLOYABLE</x:v>
      </x:c>
      <x:c r="E37" s="14" t="str">
        <x:v>NOT ISSUED</x:v>
      </x:c>
      <x:c r="F37" s="14" t="str">
        <x:v>OPEN</x:v>
      </x:c>
      <x:c r="G37" s="14" t="str">
        <x:v>OPEN</x:v>
      </x:c>
    </x:row>
    <x:row r="38">
      <x:c r="A38" s="15" t="str">
        <x:v>XR-034</x:v>
      </x:c>
      <x:c r="B38" s="15" t="str">
        <x:v>ER-01</x:v>
      </x:c>
      <x:c r="C38" s="15" t="str">
        <x:v>CELL-12</x:v>
      </x:c>
      <x:c r="D38" s="15" t="str">
        <x:v>REMOTE</x:v>
      </x:c>
      <x:c r="E38" s="15" t="str">
        <x:v>NOT ISSUED</x:v>
      </x:c>
      <x:c r="F38" s="15" t="str">
        <x:v>OPEN</x:v>
      </x:c>
      <x:c r="G38" s="15" t="str">
        <x:v>OPEN</x:v>
      </x:c>
    </x:row>
    <x:row r="39">
      <x:c r="A39" s="14" t="str">
        <x:v>XR-035</x:v>
      </x:c>
      <x:c r="B39" s="14" t="str">
        <x:v>ER-01</x:v>
      </x:c>
      <x:c r="C39" s="14" t="str">
        <x:v>CELL-12</x:v>
      </x:c>
      <x:c r="D39" s="14" t="str">
        <x:v>ROOT TEAM</x:v>
      </x:c>
      <x:c r="E39" s="14" t="str">
        <x:v>NOT ISSUED</x:v>
      </x:c>
      <x:c r="F39" s="14" t="str">
        <x:v>OPEN</x:v>
      </x:c>
      <x:c r="G39" s="14" t="str">
        <x:v>OPEN</x:v>
      </x:c>
    </x:row>
    <x:row r="40">
      <x:c r="A40" s="15" t="str">
        <x:v>XR-036</x:v>
      </x:c>
      <x:c r="B40" s="15" t="str">
        <x:v>ER-01</x:v>
      </x:c>
      <x:c r="C40" s="15" t="str">
        <x:v>CELL-12</x:v>
      </x:c>
      <x:c r="D40" s="15" t="str">
        <x:v>DEPLOYABLE</x:v>
      </x:c>
      <x:c r="E40" s="15" t="str">
        <x:v>NOT ISSUED</x:v>
      </x:c>
      <x:c r="F40" s="15" t="str">
        <x:v>OPEN</x:v>
      </x:c>
      <x:c r="G40" s="15" t="str">
        <x:v>OPEN</x:v>
      </x:c>
    </x:row>
    <x:row r="41">
      <x:c r="A41" s="14" t="str">
        <x:v>XR-037</x:v>
      </x:c>
      <x:c r="B41" s="14" t="str">
        <x:v>ER-02</x:v>
      </x:c>
      <x:c r="C41" s="14" t="str">
        <x:v>CELL-01</x:v>
      </x:c>
      <x:c r="D41" s="14" t="str">
        <x:v>REMOTE</x:v>
      </x:c>
      <x:c r="E41" s="14" t="str">
        <x:v>NOT ISSUED</x:v>
      </x:c>
      <x:c r="F41" s="14" t="str">
        <x:v>OPEN</x:v>
      </x:c>
      <x:c r="G41" s="14" t="str">
        <x:v>OPEN</x:v>
      </x:c>
    </x:row>
    <x:row r="42">
      <x:c r="A42" s="15" t="str">
        <x:v>XR-038</x:v>
      </x:c>
      <x:c r="B42" s="15" t="str">
        <x:v>ER-02</x:v>
      </x:c>
      <x:c r="C42" s="15" t="str">
        <x:v>CELL-01</x:v>
      </x:c>
      <x:c r="D42" s="15" t="str">
        <x:v>ROOT TEAM</x:v>
      </x:c>
      <x:c r="E42" s="15" t="str">
        <x:v>NOT ISSUED</x:v>
      </x:c>
      <x:c r="F42" s="15" t="str">
        <x:v>OPEN</x:v>
      </x:c>
      <x:c r="G42" s="15" t="str">
        <x:v>OPEN</x:v>
      </x:c>
    </x:row>
    <x:row r="43">
      <x:c r="A43" s="14" t="str">
        <x:v>XR-039</x:v>
      </x:c>
      <x:c r="B43" s="14" t="str">
        <x:v>ER-02</x:v>
      </x:c>
      <x:c r="C43" s="14" t="str">
        <x:v>CELL-01</x:v>
      </x:c>
      <x:c r="D43" s="14" t="str">
        <x:v>DEPLOYABLE</x:v>
      </x:c>
      <x:c r="E43" s="14" t="str">
        <x:v>NOT ISSUED</x:v>
      </x:c>
      <x:c r="F43" s="14" t="str">
        <x:v>OPEN</x:v>
      </x:c>
      <x:c r="G43" s="14" t="str">
        <x:v>OPEN</x:v>
      </x:c>
    </x:row>
    <x:row r="44">
      <x:c r="A44" s="15" t="str">
        <x:v>XR-040</x:v>
      </x:c>
      <x:c r="B44" s="15" t="str">
        <x:v>ER-02</x:v>
      </x:c>
      <x:c r="C44" s="15" t="str">
        <x:v>CELL-02</x:v>
      </x:c>
      <x:c r="D44" s="15" t="str">
        <x:v>REMOTE</x:v>
      </x:c>
      <x:c r="E44" s="15" t="str">
        <x:v>NOT ISSUED</x:v>
      </x:c>
      <x:c r="F44" s="15" t="str">
        <x:v>OPEN</x:v>
      </x:c>
      <x:c r="G44" s="15" t="str">
        <x:v>OPEN</x:v>
      </x:c>
    </x:row>
    <x:row r="45">
      <x:c r="A45" s="14" t="str">
        <x:v>XR-041</x:v>
      </x:c>
      <x:c r="B45" s="14" t="str">
        <x:v>ER-02</x:v>
      </x:c>
      <x:c r="C45" s="14" t="str">
        <x:v>CELL-02</x:v>
      </x:c>
      <x:c r="D45" s="14" t="str">
        <x:v>ROOT TEAM</x:v>
      </x:c>
      <x:c r="E45" s="14" t="str">
        <x:v>NOT ISSUED</x:v>
      </x:c>
      <x:c r="F45" s="14" t="str">
        <x:v>OPEN</x:v>
      </x:c>
      <x:c r="G45" s="14" t="str">
        <x:v>OPEN</x:v>
      </x:c>
    </x:row>
    <x:row r="46">
      <x:c r="A46" s="15" t="str">
        <x:v>XR-042</x:v>
      </x:c>
      <x:c r="B46" s="15" t="str">
        <x:v>ER-02</x:v>
      </x:c>
      <x:c r="C46" s="15" t="str">
        <x:v>CELL-02</x:v>
      </x:c>
      <x:c r="D46" s="15" t="str">
        <x:v>DEPLOYABLE</x:v>
      </x:c>
      <x:c r="E46" s="15" t="str">
        <x:v>NOT ISSUED</x:v>
      </x:c>
      <x:c r="F46" s="15" t="str">
        <x:v>OPEN</x:v>
      </x:c>
      <x:c r="G46" s="15" t="str">
        <x:v>OPEN</x:v>
      </x:c>
    </x:row>
    <x:row r="47">
      <x:c r="A47" s="14" t="str">
        <x:v>XR-043</x:v>
      </x:c>
      <x:c r="B47" s="14" t="str">
        <x:v>ER-02</x:v>
      </x:c>
      <x:c r="C47" s="14" t="str">
        <x:v>CELL-03</x:v>
      </x:c>
      <x:c r="D47" s="14" t="str">
        <x:v>REMOTE</x:v>
      </x:c>
      <x:c r="E47" s="14" t="str">
        <x:v>NOT ISSUED</x:v>
      </x:c>
      <x:c r="F47" s="14" t="str">
        <x:v>OPEN</x:v>
      </x:c>
      <x:c r="G47" s="14" t="str">
        <x:v>OPEN</x:v>
      </x:c>
    </x:row>
    <x:row r="48">
      <x:c r="A48" s="15" t="str">
        <x:v>XR-044</x:v>
      </x:c>
      <x:c r="B48" s="15" t="str">
        <x:v>ER-02</x:v>
      </x:c>
      <x:c r="C48" s="15" t="str">
        <x:v>CELL-03</x:v>
      </x:c>
      <x:c r="D48" s="15" t="str">
        <x:v>ROOT TEAM</x:v>
      </x:c>
      <x:c r="E48" s="15" t="str">
        <x:v>NOT ISSUED</x:v>
      </x:c>
      <x:c r="F48" s="15" t="str">
        <x:v>OPEN</x:v>
      </x:c>
      <x:c r="G48" s="15" t="str">
        <x:v>OPEN</x:v>
      </x:c>
    </x:row>
    <x:row r="49">
      <x:c r="A49" s="14" t="str">
        <x:v>XR-045</x:v>
      </x:c>
      <x:c r="B49" s="14" t="str">
        <x:v>ER-02</x:v>
      </x:c>
      <x:c r="C49" s="14" t="str">
        <x:v>CELL-03</x:v>
      </x:c>
      <x:c r="D49" s="14" t="str">
        <x:v>DEPLOYABLE</x:v>
      </x:c>
      <x:c r="E49" s="14" t="str">
        <x:v>NOT ISSUED</x:v>
      </x:c>
      <x:c r="F49" s="14" t="str">
        <x:v>OPEN</x:v>
      </x:c>
      <x:c r="G49" s="14" t="str">
        <x:v>OPEN</x:v>
      </x:c>
    </x:row>
    <x:row r="50">
      <x:c r="A50" s="15" t="str">
        <x:v>XR-046</x:v>
      </x:c>
      <x:c r="B50" s="15" t="str">
        <x:v>ER-02</x:v>
      </x:c>
      <x:c r="C50" s="15" t="str">
        <x:v>CELL-04</x:v>
      </x:c>
      <x:c r="D50" s="15" t="str">
        <x:v>REMOTE</x:v>
      </x:c>
      <x:c r="E50" s="15" t="str">
        <x:v>NOT ISSUED</x:v>
      </x:c>
      <x:c r="F50" s="15" t="str">
        <x:v>OPEN</x:v>
      </x:c>
      <x:c r="G50" s="15" t="str">
        <x:v>OPEN</x:v>
      </x:c>
    </x:row>
    <x:row r="51">
      <x:c r="A51" s="14" t="str">
        <x:v>XR-047</x:v>
      </x:c>
      <x:c r="B51" s="14" t="str">
        <x:v>ER-02</x:v>
      </x:c>
      <x:c r="C51" s="14" t="str">
        <x:v>CELL-04</x:v>
      </x:c>
      <x:c r="D51" s="14" t="str">
        <x:v>ROOT TEAM</x:v>
      </x:c>
      <x:c r="E51" s="14" t="str">
        <x:v>NOT ISSUED</x:v>
      </x:c>
      <x:c r="F51" s="14" t="str">
        <x:v>OPEN</x:v>
      </x:c>
      <x:c r="G51" s="14" t="str">
        <x:v>OPEN</x:v>
      </x:c>
    </x:row>
    <x:row r="52">
      <x:c r="A52" s="15" t="str">
        <x:v>XR-048</x:v>
      </x:c>
      <x:c r="B52" s="15" t="str">
        <x:v>ER-02</x:v>
      </x:c>
      <x:c r="C52" s="15" t="str">
        <x:v>CELL-04</x:v>
      </x:c>
      <x:c r="D52" s="15" t="str">
        <x:v>DEPLOYABLE</x:v>
      </x:c>
      <x:c r="E52" s="15" t="str">
        <x:v>NOT ISSUED</x:v>
      </x:c>
      <x:c r="F52" s="15" t="str">
        <x:v>OPEN</x:v>
      </x:c>
      <x:c r="G52" s="15" t="str">
        <x:v>OPEN</x:v>
      </x:c>
    </x:row>
    <x:row r="53">
      <x:c r="A53" s="14" t="str">
        <x:v>XR-049</x:v>
      </x:c>
      <x:c r="B53" s="14" t="str">
        <x:v>ER-02</x:v>
      </x:c>
      <x:c r="C53" s="14" t="str">
        <x:v>CELL-05</x:v>
      </x:c>
      <x:c r="D53" s="14" t="str">
        <x:v>REMOTE</x:v>
      </x:c>
      <x:c r="E53" s="14" t="str">
        <x:v>NOT ISSUED</x:v>
      </x:c>
      <x:c r="F53" s="14" t="str">
        <x:v>OPEN</x:v>
      </x:c>
      <x:c r="G53" s="14" t="str">
        <x:v>OPEN</x:v>
      </x:c>
    </x:row>
    <x:row r="54">
      <x:c r="A54" s="15" t="str">
        <x:v>XR-050</x:v>
      </x:c>
      <x:c r="B54" s="15" t="str">
        <x:v>ER-02</x:v>
      </x:c>
      <x:c r="C54" s="15" t="str">
        <x:v>CELL-05</x:v>
      </x:c>
      <x:c r="D54" s="15" t="str">
        <x:v>ROOT TEAM</x:v>
      </x:c>
      <x:c r="E54" s="15" t="str">
        <x:v>NOT ISSUED</x:v>
      </x:c>
      <x:c r="F54" s="15" t="str">
        <x:v>OPEN</x:v>
      </x:c>
      <x:c r="G54" s="15" t="str">
        <x:v>OPEN</x:v>
      </x:c>
    </x:row>
    <x:row r="55">
      <x:c r="A55" s="14" t="str">
        <x:v>XR-051</x:v>
      </x:c>
      <x:c r="B55" s="14" t="str">
        <x:v>ER-02</x:v>
      </x:c>
      <x:c r="C55" s="14" t="str">
        <x:v>CELL-05</x:v>
      </x:c>
      <x:c r="D55" s="14" t="str">
        <x:v>DEPLOYABLE</x:v>
      </x:c>
      <x:c r="E55" s="14" t="str">
        <x:v>NOT ISSUED</x:v>
      </x:c>
      <x:c r="F55" s="14" t="str">
        <x:v>OPEN</x:v>
      </x:c>
      <x:c r="G55" s="14" t="str">
        <x:v>OPEN</x:v>
      </x:c>
    </x:row>
    <x:row r="56">
      <x:c r="A56" s="15" t="str">
        <x:v>XR-052</x:v>
      </x:c>
      <x:c r="B56" s="15" t="str">
        <x:v>ER-02</x:v>
      </x:c>
      <x:c r="C56" s="15" t="str">
        <x:v>CELL-06</x:v>
      </x:c>
      <x:c r="D56" s="15" t="str">
        <x:v>REMOTE</x:v>
      </x:c>
      <x:c r="E56" s="15" t="str">
        <x:v>NOT ISSUED</x:v>
      </x:c>
      <x:c r="F56" s="15" t="str">
        <x:v>OPEN</x:v>
      </x:c>
      <x:c r="G56" s="15" t="str">
        <x:v>OPEN</x:v>
      </x:c>
    </x:row>
    <x:row r="57">
      <x:c r="A57" s="14" t="str">
        <x:v>XR-053</x:v>
      </x:c>
      <x:c r="B57" s="14" t="str">
        <x:v>ER-02</x:v>
      </x:c>
      <x:c r="C57" s="14" t="str">
        <x:v>CELL-06</x:v>
      </x:c>
      <x:c r="D57" s="14" t="str">
        <x:v>ROOT TEAM</x:v>
      </x:c>
      <x:c r="E57" s="14" t="str">
        <x:v>NOT ISSUED</x:v>
      </x:c>
      <x:c r="F57" s="14" t="str">
        <x:v>OPEN</x:v>
      </x:c>
      <x:c r="G57" s="14" t="str">
        <x:v>OPEN</x:v>
      </x:c>
    </x:row>
    <x:row r="58">
      <x:c r="A58" s="15" t="str">
        <x:v>XR-054</x:v>
      </x:c>
      <x:c r="B58" s="15" t="str">
        <x:v>ER-02</x:v>
      </x:c>
      <x:c r="C58" s="15" t="str">
        <x:v>CELL-06</x:v>
      </x:c>
      <x:c r="D58" s="15" t="str">
        <x:v>DEPLOYABLE</x:v>
      </x:c>
      <x:c r="E58" s="15" t="str">
        <x:v>NOT ISSUED</x:v>
      </x:c>
      <x:c r="F58" s="15" t="str">
        <x:v>OPEN</x:v>
      </x:c>
      <x:c r="G58" s="15" t="str">
        <x:v>OPEN</x:v>
      </x:c>
    </x:row>
    <x:row r="59">
      <x:c r="A59" s="14" t="str">
        <x:v>XR-055</x:v>
      </x:c>
      <x:c r="B59" s="14" t="str">
        <x:v>ER-02</x:v>
      </x:c>
      <x:c r="C59" s="14" t="str">
        <x:v>CELL-07</x:v>
      </x:c>
      <x:c r="D59" s="14" t="str">
        <x:v>REMOTE</x:v>
      </x:c>
      <x:c r="E59" s="14" t="str">
        <x:v>NOT ISSUED</x:v>
      </x:c>
      <x:c r="F59" s="14" t="str">
        <x:v>OPEN</x:v>
      </x:c>
      <x:c r="G59" s="14" t="str">
        <x:v>OPEN</x:v>
      </x:c>
    </x:row>
    <x:row r="60">
      <x:c r="A60" s="15" t="str">
        <x:v>XR-056</x:v>
      </x:c>
      <x:c r="B60" s="15" t="str">
        <x:v>ER-02</x:v>
      </x:c>
      <x:c r="C60" s="15" t="str">
        <x:v>CELL-07</x:v>
      </x:c>
      <x:c r="D60" s="15" t="str">
        <x:v>ROOT TEAM</x:v>
      </x:c>
      <x:c r="E60" s="15" t="str">
        <x:v>NOT ISSUED</x:v>
      </x:c>
      <x:c r="F60" s="15" t="str">
        <x:v>OPEN</x:v>
      </x:c>
      <x:c r="G60" s="15" t="str">
        <x:v>OPEN</x:v>
      </x:c>
    </x:row>
    <x:row r="61">
      <x:c r="A61" s="14" t="str">
        <x:v>XR-057</x:v>
      </x:c>
      <x:c r="B61" s="14" t="str">
        <x:v>ER-02</x:v>
      </x:c>
      <x:c r="C61" s="14" t="str">
        <x:v>CELL-07</x:v>
      </x:c>
      <x:c r="D61" s="14" t="str">
        <x:v>DEPLOYABLE</x:v>
      </x:c>
      <x:c r="E61" s="14" t="str">
        <x:v>NOT ISSUED</x:v>
      </x:c>
      <x:c r="F61" s="14" t="str">
        <x:v>OPEN</x:v>
      </x:c>
      <x:c r="G61" s="14" t="str">
        <x:v>OPEN</x:v>
      </x:c>
    </x:row>
    <x:row r="62">
      <x:c r="A62" s="15" t="str">
        <x:v>XR-058</x:v>
      </x:c>
      <x:c r="B62" s="15" t="str">
        <x:v>ER-02</x:v>
      </x:c>
      <x:c r="C62" s="15" t="str">
        <x:v>CELL-08</x:v>
      </x:c>
      <x:c r="D62" s="15" t="str">
        <x:v>REMOTE</x:v>
      </x:c>
      <x:c r="E62" s="15" t="str">
        <x:v>NOT ISSUED</x:v>
      </x:c>
      <x:c r="F62" s="15" t="str">
        <x:v>OPEN</x:v>
      </x:c>
      <x:c r="G62" s="15" t="str">
        <x:v>OPEN</x:v>
      </x:c>
    </x:row>
    <x:row r="63">
      <x:c r="A63" s="14" t="str">
        <x:v>XR-059</x:v>
      </x:c>
      <x:c r="B63" s="14" t="str">
        <x:v>ER-02</x:v>
      </x:c>
      <x:c r="C63" s="14" t="str">
        <x:v>CELL-08</x:v>
      </x:c>
      <x:c r="D63" s="14" t="str">
        <x:v>ROOT TEAM</x:v>
      </x:c>
      <x:c r="E63" s="14" t="str">
        <x:v>NOT ISSUED</x:v>
      </x:c>
      <x:c r="F63" s="14" t="str">
        <x:v>OPEN</x:v>
      </x:c>
      <x:c r="G63" s="14" t="str">
        <x:v>OPEN</x:v>
      </x:c>
    </x:row>
    <x:row r="64">
      <x:c r="A64" s="15" t="str">
        <x:v>XR-060</x:v>
      </x:c>
      <x:c r="B64" s="15" t="str">
        <x:v>ER-02</x:v>
      </x:c>
      <x:c r="C64" s="15" t="str">
        <x:v>CELL-08</x:v>
      </x:c>
      <x:c r="D64" s="15" t="str">
        <x:v>DEPLOYABLE</x:v>
      </x:c>
      <x:c r="E64" s="15" t="str">
        <x:v>NOT ISSUED</x:v>
      </x:c>
      <x:c r="F64" s="15" t="str">
        <x:v>OPEN</x:v>
      </x:c>
      <x:c r="G64" s="15" t="str">
        <x:v>OPEN</x:v>
      </x:c>
    </x:row>
    <x:row r="65">
      <x:c r="A65" s="14" t="str">
        <x:v>XR-061</x:v>
      </x:c>
      <x:c r="B65" s="14" t="str">
        <x:v>ER-02</x:v>
      </x:c>
      <x:c r="C65" s="14" t="str">
        <x:v>CELL-09</x:v>
      </x:c>
      <x:c r="D65" s="14" t="str">
        <x:v>REMOTE</x:v>
      </x:c>
      <x:c r="E65" s="14" t="str">
        <x:v>NOT ISSUED</x:v>
      </x:c>
      <x:c r="F65" s="14" t="str">
        <x:v>OPEN</x:v>
      </x:c>
      <x:c r="G65" s="14" t="str">
        <x:v>OPEN</x:v>
      </x:c>
    </x:row>
    <x:row r="66">
      <x:c r="A66" s="15" t="str">
        <x:v>XR-062</x:v>
      </x:c>
      <x:c r="B66" s="15" t="str">
        <x:v>ER-02</x:v>
      </x:c>
      <x:c r="C66" s="15" t="str">
        <x:v>CELL-09</x:v>
      </x:c>
      <x:c r="D66" s="15" t="str">
        <x:v>ROOT TEAM</x:v>
      </x:c>
      <x:c r="E66" s="15" t="str">
        <x:v>NOT ISSUED</x:v>
      </x:c>
      <x:c r="F66" s="15" t="str">
        <x:v>OPEN</x:v>
      </x:c>
      <x:c r="G66" s="15" t="str">
        <x:v>OPEN</x:v>
      </x:c>
    </x:row>
    <x:row r="67">
      <x:c r="A67" s="14" t="str">
        <x:v>XR-063</x:v>
      </x:c>
      <x:c r="B67" s="14" t="str">
        <x:v>ER-02</x:v>
      </x:c>
      <x:c r="C67" s="14" t="str">
        <x:v>CELL-09</x:v>
      </x:c>
      <x:c r="D67" s="14" t="str">
        <x:v>DEPLOYABLE</x:v>
      </x:c>
      <x:c r="E67" s="14" t="str">
        <x:v>NOT ISSUED</x:v>
      </x:c>
      <x:c r="F67" s="14" t="str">
        <x:v>OPEN</x:v>
      </x:c>
      <x:c r="G67" s="14" t="str">
        <x:v>OPEN</x:v>
      </x:c>
    </x:row>
    <x:row r="68">
      <x:c r="A68" s="15" t="str">
        <x:v>XR-064</x:v>
      </x:c>
      <x:c r="B68" s="15" t="str">
        <x:v>ER-02</x:v>
      </x:c>
      <x:c r="C68" s="15" t="str">
        <x:v>CELL-10</x:v>
      </x:c>
      <x:c r="D68" s="15" t="str">
        <x:v>REMOTE</x:v>
      </x:c>
      <x:c r="E68" s="15" t="str">
        <x:v>NOT ISSUED</x:v>
      </x:c>
      <x:c r="F68" s="15" t="str">
        <x:v>OPEN</x:v>
      </x:c>
      <x:c r="G68" s="15" t="str">
        <x:v>OPEN</x:v>
      </x:c>
    </x:row>
    <x:row r="69">
      <x:c r="A69" s="14" t="str">
        <x:v>XR-065</x:v>
      </x:c>
      <x:c r="B69" s="14" t="str">
        <x:v>ER-02</x:v>
      </x:c>
      <x:c r="C69" s="14" t="str">
        <x:v>CELL-10</x:v>
      </x:c>
      <x:c r="D69" s="14" t="str">
        <x:v>ROOT TEAM</x:v>
      </x:c>
      <x:c r="E69" s="14" t="str">
        <x:v>NOT ISSUED</x:v>
      </x:c>
      <x:c r="F69" s="14" t="str">
        <x:v>OPEN</x:v>
      </x:c>
      <x:c r="G69" s="14" t="str">
        <x:v>OPEN</x:v>
      </x:c>
    </x:row>
    <x:row r="70">
      <x:c r="A70" s="15" t="str">
        <x:v>XR-066</x:v>
      </x:c>
      <x:c r="B70" s="15" t="str">
        <x:v>ER-02</x:v>
      </x:c>
      <x:c r="C70" s="15" t="str">
        <x:v>CELL-10</x:v>
      </x:c>
      <x:c r="D70" s="15" t="str">
        <x:v>DEPLOYABLE</x:v>
      </x:c>
      <x:c r="E70" s="15" t="str">
        <x:v>NOT ISSUED</x:v>
      </x:c>
      <x:c r="F70" s="15" t="str">
        <x:v>OPEN</x:v>
      </x:c>
      <x:c r="G70" s="15" t="str">
        <x:v>OPEN</x:v>
      </x:c>
    </x:row>
    <x:row r="71">
      <x:c r="A71" s="14" t="str">
        <x:v>XR-067</x:v>
      </x:c>
      <x:c r="B71" s="14" t="str">
        <x:v>ER-02</x:v>
      </x:c>
      <x:c r="C71" s="14" t="str">
        <x:v>CELL-11</x:v>
      </x:c>
      <x:c r="D71" s="14" t="str">
        <x:v>REMOTE</x:v>
      </x:c>
      <x:c r="E71" s="14" t="str">
        <x:v>NOT ISSUED</x:v>
      </x:c>
      <x:c r="F71" s="14" t="str">
        <x:v>OPEN</x:v>
      </x:c>
      <x:c r="G71" s="14" t="str">
        <x:v>OPEN</x:v>
      </x:c>
    </x:row>
    <x:row r="72">
      <x:c r="A72" s="15" t="str">
        <x:v>XR-068</x:v>
      </x:c>
      <x:c r="B72" s="15" t="str">
        <x:v>ER-02</x:v>
      </x:c>
      <x:c r="C72" s="15" t="str">
        <x:v>CELL-11</x:v>
      </x:c>
      <x:c r="D72" s="15" t="str">
        <x:v>ROOT TEAM</x:v>
      </x:c>
      <x:c r="E72" s="15" t="str">
        <x:v>NOT ISSUED</x:v>
      </x:c>
      <x:c r="F72" s="15" t="str">
        <x:v>OPEN</x:v>
      </x:c>
      <x:c r="G72" s="15" t="str">
        <x:v>OPEN</x:v>
      </x:c>
    </x:row>
    <x:row r="73">
      <x:c r="A73" s="14" t="str">
        <x:v>XR-069</x:v>
      </x:c>
      <x:c r="B73" s="14" t="str">
        <x:v>ER-02</x:v>
      </x:c>
      <x:c r="C73" s="14" t="str">
        <x:v>CELL-11</x:v>
      </x:c>
      <x:c r="D73" s="14" t="str">
        <x:v>DEPLOYABLE</x:v>
      </x:c>
      <x:c r="E73" s="14" t="str">
        <x:v>NOT ISSUED</x:v>
      </x:c>
      <x:c r="F73" s="14" t="str">
        <x:v>OPEN</x:v>
      </x:c>
      <x:c r="G73" s="14" t="str">
        <x:v>OPEN</x:v>
      </x:c>
    </x:row>
    <x:row r="74">
      <x:c r="A74" s="15" t="str">
        <x:v>XR-070</x:v>
      </x:c>
      <x:c r="B74" s="15" t="str">
        <x:v>ER-02</x:v>
      </x:c>
      <x:c r="C74" s="15" t="str">
        <x:v>CELL-12</x:v>
      </x:c>
      <x:c r="D74" s="15" t="str">
        <x:v>REMOTE</x:v>
      </x:c>
      <x:c r="E74" s="15" t="str">
        <x:v>NOT ISSUED</x:v>
      </x:c>
      <x:c r="F74" s="15" t="str">
        <x:v>OPEN</x:v>
      </x:c>
      <x:c r="G74" s="15" t="str">
        <x:v>OPEN</x:v>
      </x:c>
    </x:row>
    <x:row r="75">
      <x:c r="A75" s="14" t="str">
        <x:v>XR-071</x:v>
      </x:c>
      <x:c r="B75" s="14" t="str">
        <x:v>ER-02</x:v>
      </x:c>
      <x:c r="C75" s="14" t="str">
        <x:v>CELL-12</x:v>
      </x:c>
      <x:c r="D75" s="14" t="str">
        <x:v>ROOT TEAM</x:v>
      </x:c>
      <x:c r="E75" s="14" t="str">
        <x:v>NOT ISSUED</x:v>
      </x:c>
      <x:c r="F75" s="14" t="str">
        <x:v>OPEN</x:v>
      </x:c>
      <x:c r="G75" s="14" t="str">
        <x:v>OPEN</x:v>
      </x:c>
    </x:row>
    <x:row r="76">
      <x:c r="A76" s="15" t="str">
        <x:v>XR-072</x:v>
      </x:c>
      <x:c r="B76" s="15" t="str">
        <x:v>ER-02</x:v>
      </x:c>
      <x:c r="C76" s="15" t="str">
        <x:v>CELL-12</x:v>
      </x:c>
      <x:c r="D76" s="15" t="str">
        <x:v>DEPLOYABLE</x:v>
      </x:c>
      <x:c r="E76" s="15" t="str">
        <x:v>NOT ISSUED</x:v>
      </x:c>
      <x:c r="F76" s="15" t="str">
        <x:v>OPEN</x:v>
      </x:c>
      <x:c r="G76" s="15" t="str">
        <x:v>OPEN</x:v>
      </x:c>
    </x:row>
    <x:row r="77">
      <x:c r="A77" s="14" t="str">
        <x:v>XR-073</x:v>
      </x:c>
      <x:c r="B77" s="14" t="str">
        <x:v>ER-03</x:v>
      </x:c>
      <x:c r="C77" s="14" t="str">
        <x:v>CELL-01</x:v>
      </x:c>
      <x:c r="D77" s="14" t="str">
        <x:v>REMOTE</x:v>
      </x:c>
      <x:c r="E77" s="14" t="str">
        <x:v>NOT ISSUED</x:v>
      </x:c>
      <x:c r="F77" s="14" t="str">
        <x:v>OPEN</x:v>
      </x:c>
      <x:c r="G77" s="14" t="str">
        <x:v>OPEN</x:v>
      </x:c>
    </x:row>
    <x:row r="78">
      <x:c r="A78" s="15" t="str">
        <x:v>XR-074</x:v>
      </x:c>
      <x:c r="B78" s="15" t="str">
        <x:v>ER-03</x:v>
      </x:c>
      <x:c r="C78" s="15" t="str">
        <x:v>CELL-01</x:v>
      </x:c>
      <x:c r="D78" s="15" t="str">
        <x:v>ROOT TEAM</x:v>
      </x:c>
      <x:c r="E78" s="15" t="str">
        <x:v>NOT ISSUED</x:v>
      </x:c>
      <x:c r="F78" s="15" t="str">
        <x:v>OPEN</x:v>
      </x:c>
      <x:c r="G78" s="15" t="str">
        <x:v>OPEN</x:v>
      </x:c>
    </x:row>
    <x:row r="79">
      <x:c r="A79" s="14" t="str">
        <x:v>XR-075</x:v>
      </x:c>
      <x:c r="B79" s="14" t="str">
        <x:v>ER-03</x:v>
      </x:c>
      <x:c r="C79" s="14" t="str">
        <x:v>CELL-01</x:v>
      </x:c>
      <x:c r="D79" s="14" t="str">
        <x:v>DEPLOYABLE</x:v>
      </x:c>
      <x:c r="E79" s="14" t="str">
        <x:v>NOT ISSUED</x:v>
      </x:c>
      <x:c r="F79" s="14" t="str">
        <x:v>OPEN</x:v>
      </x:c>
      <x:c r="G79" s="14" t="str">
        <x:v>OPEN</x:v>
      </x:c>
    </x:row>
    <x:row r="80">
      <x:c r="A80" s="15" t="str">
        <x:v>XR-076</x:v>
      </x:c>
      <x:c r="B80" s="15" t="str">
        <x:v>ER-03</x:v>
      </x:c>
      <x:c r="C80" s="15" t="str">
        <x:v>CELL-02</x:v>
      </x:c>
      <x:c r="D80" s="15" t="str">
        <x:v>REMOTE</x:v>
      </x:c>
      <x:c r="E80" s="15" t="str">
        <x:v>NOT ISSUED</x:v>
      </x:c>
      <x:c r="F80" s="15" t="str">
        <x:v>OPEN</x:v>
      </x:c>
      <x:c r="G80" s="15" t="str">
        <x:v>OPEN</x:v>
      </x:c>
    </x:row>
    <x:row r="81">
      <x:c r="A81" s="14" t="str">
        <x:v>XR-077</x:v>
      </x:c>
      <x:c r="B81" s="14" t="str">
        <x:v>ER-03</x:v>
      </x:c>
      <x:c r="C81" s="14" t="str">
        <x:v>CELL-02</x:v>
      </x:c>
      <x:c r="D81" s="14" t="str">
        <x:v>ROOT TEAM</x:v>
      </x:c>
      <x:c r="E81" s="14" t="str">
        <x:v>NOT ISSUED</x:v>
      </x:c>
      <x:c r="F81" s="14" t="str">
        <x:v>OPEN</x:v>
      </x:c>
      <x:c r="G81" s="14" t="str">
        <x:v>OPEN</x:v>
      </x:c>
    </x:row>
    <x:row r="82">
      <x:c r="A82" s="15" t="str">
        <x:v>XR-078</x:v>
      </x:c>
      <x:c r="B82" s="15" t="str">
        <x:v>ER-03</x:v>
      </x:c>
      <x:c r="C82" s="15" t="str">
        <x:v>CELL-02</x:v>
      </x:c>
      <x:c r="D82" s="15" t="str">
        <x:v>DEPLOYABLE</x:v>
      </x:c>
      <x:c r="E82" s="15" t="str">
        <x:v>NOT ISSUED</x:v>
      </x:c>
      <x:c r="F82" s="15" t="str">
        <x:v>OPEN</x:v>
      </x:c>
      <x:c r="G82" s="15" t="str">
        <x:v>OPEN</x:v>
      </x:c>
    </x:row>
    <x:row r="83">
      <x:c r="A83" s="14" t="str">
        <x:v>XR-079</x:v>
      </x:c>
      <x:c r="B83" s="14" t="str">
        <x:v>ER-03</x:v>
      </x:c>
      <x:c r="C83" s="14" t="str">
        <x:v>CELL-03</x:v>
      </x:c>
      <x:c r="D83" s="14" t="str">
        <x:v>REMOTE</x:v>
      </x:c>
      <x:c r="E83" s="14" t="str">
        <x:v>NOT ISSUED</x:v>
      </x:c>
      <x:c r="F83" s="14" t="str">
        <x:v>OPEN</x:v>
      </x:c>
      <x:c r="G83" s="14" t="str">
        <x:v>OPEN</x:v>
      </x:c>
    </x:row>
    <x:row r="84">
      <x:c r="A84" s="15" t="str">
        <x:v>XR-080</x:v>
      </x:c>
      <x:c r="B84" s="15" t="str">
        <x:v>ER-03</x:v>
      </x:c>
      <x:c r="C84" s="15" t="str">
        <x:v>CELL-03</x:v>
      </x:c>
      <x:c r="D84" s="15" t="str">
        <x:v>ROOT TEAM</x:v>
      </x:c>
      <x:c r="E84" s="15" t="str">
        <x:v>NOT ISSUED</x:v>
      </x:c>
      <x:c r="F84" s="15" t="str">
        <x:v>OPEN</x:v>
      </x:c>
      <x:c r="G84" s="15" t="str">
        <x:v>OPEN</x:v>
      </x:c>
    </x:row>
    <x:row r="85">
      <x:c r="A85" s="14" t="str">
        <x:v>XR-081</x:v>
      </x:c>
      <x:c r="B85" s="14" t="str">
        <x:v>ER-03</x:v>
      </x:c>
      <x:c r="C85" s="14" t="str">
        <x:v>CELL-03</x:v>
      </x:c>
      <x:c r="D85" s="14" t="str">
        <x:v>DEPLOYABLE</x:v>
      </x:c>
      <x:c r="E85" s="14" t="str">
        <x:v>NOT ISSUED</x:v>
      </x:c>
      <x:c r="F85" s="14" t="str">
        <x:v>OPEN</x:v>
      </x:c>
      <x:c r="G85" s="14" t="str">
        <x:v>OPEN</x:v>
      </x:c>
    </x:row>
    <x:row r="86">
      <x:c r="A86" s="15" t="str">
        <x:v>XR-082</x:v>
      </x:c>
      <x:c r="B86" s="15" t="str">
        <x:v>ER-03</x:v>
      </x:c>
      <x:c r="C86" s="15" t="str">
        <x:v>CELL-04</x:v>
      </x:c>
      <x:c r="D86" s="15" t="str">
        <x:v>REMOTE</x:v>
      </x:c>
      <x:c r="E86" s="15" t="str">
        <x:v>NOT ISSUED</x:v>
      </x:c>
      <x:c r="F86" s="15" t="str">
        <x:v>OPEN</x:v>
      </x:c>
      <x:c r="G86" s="15" t="str">
        <x:v>OPEN</x:v>
      </x:c>
    </x:row>
    <x:row r="87">
      <x:c r="A87" s="14" t="str">
        <x:v>XR-083</x:v>
      </x:c>
      <x:c r="B87" s="14" t="str">
        <x:v>ER-03</x:v>
      </x:c>
      <x:c r="C87" s="14" t="str">
        <x:v>CELL-04</x:v>
      </x:c>
      <x:c r="D87" s="14" t="str">
        <x:v>ROOT TEAM</x:v>
      </x:c>
      <x:c r="E87" s="14" t="str">
        <x:v>NOT ISSUED</x:v>
      </x:c>
      <x:c r="F87" s="14" t="str">
        <x:v>OPEN</x:v>
      </x:c>
      <x:c r="G87" s="14" t="str">
        <x:v>OPEN</x:v>
      </x:c>
    </x:row>
    <x:row r="88">
      <x:c r="A88" s="15" t="str">
        <x:v>XR-084</x:v>
      </x:c>
      <x:c r="B88" s="15" t="str">
        <x:v>ER-03</x:v>
      </x:c>
      <x:c r="C88" s="15" t="str">
        <x:v>CELL-04</x:v>
      </x:c>
      <x:c r="D88" s="15" t="str">
        <x:v>DEPLOYABLE</x:v>
      </x:c>
      <x:c r="E88" s="15" t="str">
        <x:v>NOT ISSUED</x:v>
      </x:c>
      <x:c r="F88" s="15" t="str">
        <x:v>OPEN</x:v>
      </x:c>
      <x:c r="G88" s="15" t="str">
        <x:v>OPEN</x:v>
      </x:c>
    </x:row>
    <x:row r="89">
      <x:c r="A89" s="14" t="str">
        <x:v>XR-085</x:v>
      </x:c>
      <x:c r="B89" s="14" t="str">
        <x:v>ER-03</x:v>
      </x:c>
      <x:c r="C89" s="14" t="str">
        <x:v>CELL-05</x:v>
      </x:c>
      <x:c r="D89" s="14" t="str">
        <x:v>REMOTE</x:v>
      </x:c>
      <x:c r="E89" s="14" t="str">
        <x:v>NOT ISSUED</x:v>
      </x:c>
      <x:c r="F89" s="14" t="str">
        <x:v>OPEN</x:v>
      </x:c>
      <x:c r="G89" s="14" t="str">
        <x:v>OPEN</x:v>
      </x:c>
    </x:row>
    <x:row r="90">
      <x:c r="A90" s="15" t="str">
        <x:v>XR-086</x:v>
      </x:c>
      <x:c r="B90" s="15" t="str">
        <x:v>ER-03</x:v>
      </x:c>
      <x:c r="C90" s="15" t="str">
        <x:v>CELL-05</x:v>
      </x:c>
      <x:c r="D90" s="15" t="str">
        <x:v>ROOT TEAM</x:v>
      </x:c>
      <x:c r="E90" s="15" t="str">
        <x:v>NOT ISSUED</x:v>
      </x:c>
      <x:c r="F90" s="15" t="str">
        <x:v>OPEN</x:v>
      </x:c>
      <x:c r="G90" s="15" t="str">
        <x:v>OPEN</x:v>
      </x:c>
    </x:row>
    <x:row r="91">
      <x:c r="A91" s="14" t="str">
        <x:v>XR-087</x:v>
      </x:c>
      <x:c r="B91" s="14" t="str">
        <x:v>ER-03</x:v>
      </x:c>
      <x:c r="C91" s="14" t="str">
        <x:v>CELL-05</x:v>
      </x:c>
      <x:c r="D91" s="14" t="str">
        <x:v>DEPLOYABLE</x:v>
      </x:c>
      <x:c r="E91" s="14" t="str">
        <x:v>NOT ISSUED</x:v>
      </x:c>
      <x:c r="F91" s="14" t="str">
        <x:v>OPEN</x:v>
      </x:c>
      <x:c r="G91" s="14" t="str">
        <x:v>OPEN</x:v>
      </x:c>
    </x:row>
    <x:row r="92">
      <x:c r="A92" s="15" t="str">
        <x:v>XR-088</x:v>
      </x:c>
      <x:c r="B92" s="15" t="str">
        <x:v>ER-03</x:v>
      </x:c>
      <x:c r="C92" s="15" t="str">
        <x:v>CELL-06</x:v>
      </x:c>
      <x:c r="D92" s="15" t="str">
        <x:v>REMOTE</x:v>
      </x:c>
      <x:c r="E92" s="15" t="str">
        <x:v>NOT ISSUED</x:v>
      </x:c>
      <x:c r="F92" s="15" t="str">
        <x:v>OPEN</x:v>
      </x:c>
      <x:c r="G92" s="15" t="str">
        <x:v>OPEN</x:v>
      </x:c>
    </x:row>
    <x:row r="93">
      <x:c r="A93" s="14" t="str">
        <x:v>XR-089</x:v>
      </x:c>
      <x:c r="B93" s="14" t="str">
        <x:v>ER-03</x:v>
      </x:c>
      <x:c r="C93" s="14" t="str">
        <x:v>CELL-06</x:v>
      </x:c>
      <x:c r="D93" s="14" t="str">
        <x:v>ROOT TEAM</x:v>
      </x:c>
      <x:c r="E93" s="14" t="str">
        <x:v>NOT ISSUED</x:v>
      </x:c>
      <x:c r="F93" s="14" t="str">
        <x:v>OPEN</x:v>
      </x:c>
      <x:c r="G93" s="14" t="str">
        <x:v>OPEN</x:v>
      </x:c>
    </x:row>
    <x:row r="94">
      <x:c r="A94" s="15" t="str">
        <x:v>XR-090</x:v>
      </x:c>
      <x:c r="B94" s="15" t="str">
        <x:v>ER-03</x:v>
      </x:c>
      <x:c r="C94" s="15" t="str">
        <x:v>CELL-06</x:v>
      </x:c>
      <x:c r="D94" s="15" t="str">
        <x:v>DEPLOYABLE</x:v>
      </x:c>
      <x:c r="E94" s="15" t="str">
        <x:v>NOT ISSUED</x:v>
      </x:c>
      <x:c r="F94" s="15" t="str">
        <x:v>OPEN</x:v>
      </x:c>
      <x:c r="G94" s="15" t="str">
        <x:v>OPEN</x:v>
      </x:c>
    </x:row>
    <x:row r="95">
      <x:c r="A95" s="14" t="str">
        <x:v>XR-091</x:v>
      </x:c>
      <x:c r="B95" s="14" t="str">
        <x:v>ER-03</x:v>
      </x:c>
      <x:c r="C95" s="14" t="str">
        <x:v>CELL-07</x:v>
      </x:c>
      <x:c r="D95" s="14" t="str">
        <x:v>REMOTE</x:v>
      </x:c>
      <x:c r="E95" s="14" t="str">
        <x:v>NOT ISSUED</x:v>
      </x:c>
      <x:c r="F95" s="14" t="str">
        <x:v>OPEN</x:v>
      </x:c>
      <x:c r="G95" s="14" t="str">
        <x:v>OPEN</x:v>
      </x:c>
    </x:row>
    <x:row r="96">
      <x:c r="A96" s="15" t="str">
        <x:v>XR-092</x:v>
      </x:c>
      <x:c r="B96" s="15" t="str">
        <x:v>ER-03</x:v>
      </x:c>
      <x:c r="C96" s="15" t="str">
        <x:v>CELL-07</x:v>
      </x:c>
      <x:c r="D96" s="15" t="str">
        <x:v>ROOT TEAM</x:v>
      </x:c>
      <x:c r="E96" s="15" t="str">
        <x:v>NOT ISSUED</x:v>
      </x:c>
      <x:c r="F96" s="15" t="str">
        <x:v>OPEN</x:v>
      </x:c>
      <x:c r="G96" s="15" t="str">
        <x:v>OPEN</x:v>
      </x:c>
    </x:row>
    <x:row r="97">
      <x:c r="A97" s="14" t="str">
        <x:v>XR-093</x:v>
      </x:c>
      <x:c r="B97" s="14" t="str">
        <x:v>ER-03</x:v>
      </x:c>
      <x:c r="C97" s="14" t="str">
        <x:v>CELL-07</x:v>
      </x:c>
      <x:c r="D97" s="14" t="str">
        <x:v>DEPLOYABLE</x:v>
      </x:c>
      <x:c r="E97" s="14" t="str">
        <x:v>NOT ISSUED</x:v>
      </x:c>
      <x:c r="F97" s="14" t="str">
        <x:v>OPEN</x:v>
      </x:c>
      <x:c r="G97" s="14" t="str">
        <x:v>OPEN</x:v>
      </x:c>
    </x:row>
    <x:row r="98">
      <x:c r="A98" s="15" t="str">
        <x:v>XR-094</x:v>
      </x:c>
      <x:c r="B98" s="15" t="str">
        <x:v>ER-03</x:v>
      </x:c>
      <x:c r="C98" s="15" t="str">
        <x:v>CELL-08</x:v>
      </x:c>
      <x:c r="D98" s="15" t="str">
        <x:v>REMOTE</x:v>
      </x:c>
      <x:c r="E98" s="15" t="str">
        <x:v>NOT ISSUED</x:v>
      </x:c>
      <x:c r="F98" s="15" t="str">
        <x:v>OPEN</x:v>
      </x:c>
      <x:c r="G98" s="15" t="str">
        <x:v>OPEN</x:v>
      </x:c>
    </x:row>
    <x:row r="99">
      <x:c r="A99" s="14" t="str">
        <x:v>XR-095</x:v>
      </x:c>
      <x:c r="B99" s="14" t="str">
        <x:v>ER-03</x:v>
      </x:c>
      <x:c r="C99" s="14" t="str">
        <x:v>CELL-08</x:v>
      </x:c>
      <x:c r="D99" s="14" t="str">
        <x:v>ROOT TEAM</x:v>
      </x:c>
      <x:c r="E99" s="14" t="str">
        <x:v>NOT ISSUED</x:v>
      </x:c>
      <x:c r="F99" s="14" t="str">
        <x:v>OPEN</x:v>
      </x:c>
      <x:c r="G99" s="14" t="str">
        <x:v>OPEN</x:v>
      </x:c>
    </x:row>
    <x:row r="100">
      <x:c r="A100" s="15" t="str">
        <x:v>XR-096</x:v>
      </x:c>
      <x:c r="B100" s="15" t="str">
        <x:v>ER-03</x:v>
      </x:c>
      <x:c r="C100" s="15" t="str">
        <x:v>CELL-08</x:v>
      </x:c>
      <x:c r="D100" s="15" t="str">
        <x:v>DEPLOYABLE</x:v>
      </x:c>
      <x:c r="E100" s="15" t="str">
        <x:v>NOT ISSUED</x:v>
      </x:c>
      <x:c r="F100" s="15" t="str">
        <x:v>OPEN</x:v>
      </x:c>
      <x:c r="G100" s="15" t="str">
        <x:v>OPEN</x:v>
      </x:c>
    </x:row>
    <x:row r="101">
      <x:c r="A101" s="14" t="str">
        <x:v>XR-097</x:v>
      </x:c>
      <x:c r="B101" s="14" t="str">
        <x:v>ER-03</x:v>
      </x:c>
      <x:c r="C101" s="14" t="str">
        <x:v>CELL-09</x:v>
      </x:c>
      <x:c r="D101" s="14" t="str">
        <x:v>REMOTE</x:v>
      </x:c>
      <x:c r="E101" s="14" t="str">
        <x:v>NOT ISSUED</x:v>
      </x:c>
      <x:c r="F101" s="14" t="str">
        <x:v>OPEN</x:v>
      </x:c>
      <x:c r="G101" s="14" t="str">
        <x:v>OPEN</x:v>
      </x:c>
    </x:row>
    <x:row r="102">
      <x:c r="A102" s="15" t="str">
        <x:v>XR-098</x:v>
      </x:c>
      <x:c r="B102" s="15" t="str">
        <x:v>ER-03</x:v>
      </x:c>
      <x:c r="C102" s="15" t="str">
        <x:v>CELL-09</x:v>
      </x:c>
      <x:c r="D102" s="15" t="str">
        <x:v>ROOT TEAM</x:v>
      </x:c>
      <x:c r="E102" s="15" t="str">
        <x:v>NOT ISSUED</x:v>
      </x:c>
      <x:c r="F102" s="15" t="str">
        <x:v>OPEN</x:v>
      </x:c>
      <x:c r="G102" s="15" t="str">
        <x:v>OPEN</x:v>
      </x:c>
    </x:row>
    <x:row r="103">
      <x:c r="A103" s="14" t="str">
        <x:v>XR-099</x:v>
      </x:c>
      <x:c r="B103" s="14" t="str">
        <x:v>ER-03</x:v>
      </x:c>
      <x:c r="C103" s="14" t="str">
        <x:v>CELL-09</x:v>
      </x:c>
      <x:c r="D103" s="14" t="str">
        <x:v>DEPLOYABLE</x:v>
      </x:c>
      <x:c r="E103" s="14" t="str">
        <x:v>NOT ISSUED</x:v>
      </x:c>
      <x:c r="F103" s="14" t="str">
        <x:v>OPEN</x:v>
      </x:c>
      <x:c r="G103" s="14" t="str">
        <x:v>OPEN</x:v>
      </x:c>
    </x:row>
    <x:row r="104">
      <x:c r="A104" s="15" t="str">
        <x:v>XR-100</x:v>
      </x:c>
      <x:c r="B104" s="15" t="str">
        <x:v>ER-03</x:v>
      </x:c>
      <x:c r="C104" s="15" t="str">
        <x:v>CELL-10</x:v>
      </x:c>
      <x:c r="D104" s="15" t="str">
        <x:v>REMOTE</x:v>
      </x:c>
      <x:c r="E104" s="15" t="str">
        <x:v>NOT ISSUED</x:v>
      </x:c>
      <x:c r="F104" s="15" t="str">
        <x:v>OPEN</x:v>
      </x:c>
      <x:c r="G104" s="15" t="str">
        <x:v>OPEN</x:v>
      </x:c>
    </x:row>
    <x:row r="105">
      <x:c r="A105" s="14" t="str">
        <x:v>XR-101</x:v>
      </x:c>
      <x:c r="B105" s="14" t="str">
        <x:v>ER-03</x:v>
      </x:c>
      <x:c r="C105" s="14" t="str">
        <x:v>CELL-10</x:v>
      </x:c>
      <x:c r="D105" s="14" t="str">
        <x:v>ROOT TEAM</x:v>
      </x:c>
      <x:c r="E105" s="14" t="str">
        <x:v>NOT ISSUED</x:v>
      </x:c>
      <x:c r="F105" s="14" t="str">
        <x:v>OPEN</x:v>
      </x:c>
      <x:c r="G105" s="14" t="str">
        <x:v>OPEN</x:v>
      </x:c>
    </x:row>
    <x:row r="106">
      <x:c r="A106" s="15" t="str">
        <x:v>XR-102</x:v>
      </x:c>
      <x:c r="B106" s="15" t="str">
        <x:v>ER-03</x:v>
      </x:c>
      <x:c r="C106" s="15" t="str">
        <x:v>CELL-10</x:v>
      </x:c>
      <x:c r="D106" s="15" t="str">
        <x:v>DEPLOYABLE</x:v>
      </x:c>
      <x:c r="E106" s="15" t="str">
        <x:v>NOT ISSUED</x:v>
      </x:c>
      <x:c r="F106" s="15" t="str">
        <x:v>OPEN</x:v>
      </x:c>
      <x:c r="G106" s="15" t="str">
        <x:v>OPEN</x:v>
      </x:c>
    </x:row>
    <x:row r="107">
      <x:c r="A107" s="14" t="str">
        <x:v>XR-103</x:v>
      </x:c>
      <x:c r="B107" s="14" t="str">
        <x:v>ER-03</x:v>
      </x:c>
      <x:c r="C107" s="14" t="str">
        <x:v>CELL-11</x:v>
      </x:c>
      <x:c r="D107" s="14" t="str">
        <x:v>REMOTE</x:v>
      </x:c>
      <x:c r="E107" s="14" t="str">
        <x:v>NOT ISSUED</x:v>
      </x:c>
      <x:c r="F107" s="14" t="str">
        <x:v>OPEN</x:v>
      </x:c>
      <x:c r="G107" s="14" t="str">
        <x:v>OPEN</x:v>
      </x:c>
    </x:row>
    <x:row r="108">
      <x:c r="A108" s="15" t="str">
        <x:v>XR-104</x:v>
      </x:c>
      <x:c r="B108" s="15" t="str">
        <x:v>ER-03</x:v>
      </x:c>
      <x:c r="C108" s="15" t="str">
        <x:v>CELL-11</x:v>
      </x:c>
      <x:c r="D108" s="15" t="str">
        <x:v>ROOT TEAM</x:v>
      </x:c>
      <x:c r="E108" s="15" t="str">
        <x:v>NOT ISSUED</x:v>
      </x:c>
      <x:c r="F108" s="15" t="str">
        <x:v>OPEN</x:v>
      </x:c>
      <x:c r="G108" s="15" t="str">
        <x:v>OPEN</x:v>
      </x:c>
    </x:row>
    <x:row r="109">
      <x:c r="A109" s="14" t="str">
        <x:v>XR-105</x:v>
      </x:c>
      <x:c r="B109" s="14" t="str">
        <x:v>ER-03</x:v>
      </x:c>
      <x:c r="C109" s="14" t="str">
        <x:v>CELL-11</x:v>
      </x:c>
      <x:c r="D109" s="14" t="str">
        <x:v>DEPLOYABLE</x:v>
      </x:c>
      <x:c r="E109" s="14" t="str">
        <x:v>NOT ISSUED</x:v>
      </x:c>
      <x:c r="F109" s="14" t="str">
        <x:v>OPEN</x:v>
      </x:c>
      <x:c r="G109" s="14" t="str">
        <x:v>OPEN</x:v>
      </x:c>
    </x:row>
    <x:row r="110">
      <x:c r="A110" s="15" t="str">
        <x:v>XR-106</x:v>
      </x:c>
      <x:c r="B110" s="15" t="str">
        <x:v>ER-03</x:v>
      </x:c>
      <x:c r="C110" s="15" t="str">
        <x:v>CELL-12</x:v>
      </x:c>
      <x:c r="D110" s="15" t="str">
        <x:v>REMOTE</x:v>
      </x:c>
      <x:c r="E110" s="15" t="str">
        <x:v>NOT ISSUED</x:v>
      </x:c>
      <x:c r="F110" s="15" t="str">
        <x:v>OPEN</x:v>
      </x:c>
      <x:c r="G110" s="15" t="str">
        <x:v>OPEN</x:v>
      </x:c>
    </x:row>
    <x:row r="111">
      <x:c r="A111" s="14" t="str">
        <x:v>XR-107</x:v>
      </x:c>
      <x:c r="B111" s="14" t="str">
        <x:v>ER-03</x:v>
      </x:c>
      <x:c r="C111" s="14" t="str">
        <x:v>CELL-12</x:v>
      </x:c>
      <x:c r="D111" s="14" t="str">
        <x:v>ROOT TEAM</x:v>
      </x:c>
      <x:c r="E111" s="14" t="str">
        <x:v>NOT ISSUED</x:v>
      </x:c>
      <x:c r="F111" s="14" t="str">
        <x:v>OPEN</x:v>
      </x:c>
      <x:c r="G111" s="14" t="str">
        <x:v>OPEN</x:v>
      </x:c>
    </x:row>
    <x:row r="112">
      <x:c r="A112" s="15" t="str">
        <x:v>XR-108</x:v>
      </x:c>
      <x:c r="B112" s="15" t="str">
        <x:v>ER-03</x:v>
      </x:c>
      <x:c r="C112" s="15" t="str">
        <x:v>CELL-12</x:v>
      </x:c>
      <x:c r="D112" s="15" t="str">
        <x:v>DEPLOYABLE</x:v>
      </x:c>
      <x:c r="E112" s="15" t="str">
        <x:v>NOT ISSUED</x:v>
      </x:c>
      <x:c r="F112" s="15" t="str">
        <x:v>OPEN</x:v>
      </x:c>
      <x:c r="G112" s="15" t="str">
        <x:v>OPEN</x:v>
      </x:c>
    </x:row>
    <x:row r="113">
      <x:c r="A113" s="14" t="str">
        <x:v>XR-109</x:v>
      </x:c>
      <x:c r="B113" s="14" t="str">
        <x:v>ER-04</x:v>
      </x:c>
      <x:c r="C113" s="14" t="str">
        <x:v>CELL-01</x:v>
      </x:c>
      <x:c r="D113" s="14" t="str">
        <x:v>REMOTE</x:v>
      </x:c>
      <x:c r="E113" s="14" t="str">
        <x:v>NOT ISSUED</x:v>
      </x:c>
      <x:c r="F113" s="14" t="str">
        <x:v>OPEN</x:v>
      </x:c>
      <x:c r="G113" s="14" t="str">
        <x:v>OPEN</x:v>
      </x:c>
    </x:row>
    <x:row r="114">
      <x:c r="A114" s="15" t="str">
        <x:v>XR-110</x:v>
      </x:c>
      <x:c r="B114" s="15" t="str">
        <x:v>ER-04</x:v>
      </x:c>
      <x:c r="C114" s="15" t="str">
        <x:v>CELL-01</x:v>
      </x:c>
      <x:c r="D114" s="15" t="str">
        <x:v>ROOT TEAM</x:v>
      </x:c>
      <x:c r="E114" s="15" t="str">
        <x:v>NOT ISSUED</x:v>
      </x:c>
      <x:c r="F114" s="15" t="str">
        <x:v>OPEN</x:v>
      </x:c>
      <x:c r="G114" s="15" t="str">
        <x:v>OPEN</x:v>
      </x:c>
    </x:row>
    <x:row r="115">
      <x:c r="A115" s="14" t="str">
        <x:v>XR-111</x:v>
      </x:c>
      <x:c r="B115" s="14" t="str">
        <x:v>ER-04</x:v>
      </x:c>
      <x:c r="C115" s="14" t="str">
        <x:v>CELL-01</x:v>
      </x:c>
      <x:c r="D115" s="14" t="str">
        <x:v>DEPLOYABLE</x:v>
      </x:c>
      <x:c r="E115" s="14" t="str">
        <x:v>NOT ISSUED</x:v>
      </x:c>
      <x:c r="F115" s="14" t="str">
        <x:v>OPEN</x:v>
      </x:c>
      <x:c r="G115" s="14" t="str">
        <x:v>OPEN</x:v>
      </x:c>
    </x:row>
    <x:row r="116">
      <x:c r="A116" s="15" t="str">
        <x:v>XR-112</x:v>
      </x:c>
      <x:c r="B116" s="15" t="str">
        <x:v>ER-04</x:v>
      </x:c>
      <x:c r="C116" s="15" t="str">
        <x:v>CELL-02</x:v>
      </x:c>
      <x:c r="D116" s="15" t="str">
        <x:v>REMOTE</x:v>
      </x:c>
      <x:c r="E116" s="15" t="str">
        <x:v>NOT ISSUED</x:v>
      </x:c>
      <x:c r="F116" s="15" t="str">
        <x:v>OPEN</x:v>
      </x:c>
      <x:c r="G116" s="15" t="str">
        <x:v>OPEN</x:v>
      </x:c>
    </x:row>
    <x:row r="117">
      <x:c r="A117" s="14" t="str">
        <x:v>XR-113</x:v>
      </x:c>
      <x:c r="B117" s="14" t="str">
        <x:v>ER-04</x:v>
      </x:c>
      <x:c r="C117" s="14" t="str">
        <x:v>CELL-02</x:v>
      </x:c>
      <x:c r="D117" s="14" t="str">
        <x:v>ROOT TEAM</x:v>
      </x:c>
      <x:c r="E117" s="14" t="str">
        <x:v>NOT ISSUED</x:v>
      </x:c>
      <x:c r="F117" s="14" t="str">
        <x:v>OPEN</x:v>
      </x:c>
      <x:c r="G117" s="14" t="str">
        <x:v>OPEN</x:v>
      </x:c>
    </x:row>
    <x:row r="118">
      <x:c r="A118" s="15" t="str">
        <x:v>XR-114</x:v>
      </x:c>
      <x:c r="B118" s="15" t="str">
        <x:v>ER-04</x:v>
      </x:c>
      <x:c r="C118" s="15" t="str">
        <x:v>CELL-02</x:v>
      </x:c>
      <x:c r="D118" s="15" t="str">
        <x:v>DEPLOYABLE</x:v>
      </x:c>
      <x:c r="E118" s="15" t="str">
        <x:v>NOT ISSUED</x:v>
      </x:c>
      <x:c r="F118" s="15" t="str">
        <x:v>OPEN</x:v>
      </x:c>
      <x:c r="G118" s="15" t="str">
        <x:v>OPEN</x:v>
      </x:c>
    </x:row>
    <x:row r="119">
      <x:c r="A119" s="14" t="str">
        <x:v>XR-115</x:v>
      </x:c>
      <x:c r="B119" s="14" t="str">
        <x:v>ER-04</x:v>
      </x:c>
      <x:c r="C119" s="14" t="str">
        <x:v>CELL-03</x:v>
      </x:c>
      <x:c r="D119" s="14" t="str">
        <x:v>REMOTE</x:v>
      </x:c>
      <x:c r="E119" s="14" t="str">
        <x:v>NOT ISSUED</x:v>
      </x:c>
      <x:c r="F119" s="14" t="str">
        <x:v>OPEN</x:v>
      </x:c>
      <x:c r="G119" s="14" t="str">
        <x:v>OPEN</x:v>
      </x:c>
    </x:row>
    <x:row r="120">
      <x:c r="A120" s="15" t="str">
        <x:v>XR-116</x:v>
      </x:c>
      <x:c r="B120" s="15" t="str">
        <x:v>ER-04</x:v>
      </x:c>
      <x:c r="C120" s="15" t="str">
        <x:v>CELL-03</x:v>
      </x:c>
      <x:c r="D120" s="15" t="str">
        <x:v>ROOT TEAM</x:v>
      </x:c>
      <x:c r="E120" s="15" t="str">
        <x:v>NOT ISSUED</x:v>
      </x:c>
      <x:c r="F120" s="15" t="str">
        <x:v>OPEN</x:v>
      </x:c>
      <x:c r="G120" s="15" t="str">
        <x:v>OPEN</x:v>
      </x:c>
    </x:row>
    <x:row r="121">
      <x:c r="A121" s="14" t="str">
        <x:v>XR-117</x:v>
      </x:c>
      <x:c r="B121" s="14" t="str">
        <x:v>ER-04</x:v>
      </x:c>
      <x:c r="C121" s="14" t="str">
        <x:v>CELL-03</x:v>
      </x:c>
      <x:c r="D121" s="14" t="str">
        <x:v>DEPLOYABLE</x:v>
      </x:c>
      <x:c r="E121" s="14" t="str">
        <x:v>NOT ISSUED</x:v>
      </x:c>
      <x:c r="F121" s="14" t="str">
        <x:v>OPEN</x:v>
      </x:c>
      <x:c r="G121" s="14" t="str">
        <x:v>OPEN</x:v>
      </x:c>
    </x:row>
    <x:row r="122">
      <x:c r="A122" s="15" t="str">
        <x:v>XR-118</x:v>
      </x:c>
      <x:c r="B122" s="15" t="str">
        <x:v>ER-04</x:v>
      </x:c>
      <x:c r="C122" s="15" t="str">
        <x:v>CELL-04</x:v>
      </x:c>
      <x:c r="D122" s="15" t="str">
        <x:v>REMOTE</x:v>
      </x:c>
      <x:c r="E122" s="15" t="str">
        <x:v>NOT ISSUED</x:v>
      </x:c>
      <x:c r="F122" s="15" t="str">
        <x:v>OPEN</x:v>
      </x:c>
      <x:c r="G122" s="15" t="str">
        <x:v>OPEN</x:v>
      </x:c>
    </x:row>
    <x:row r="123">
      <x:c r="A123" s="14" t="str">
        <x:v>XR-119</x:v>
      </x:c>
      <x:c r="B123" s="14" t="str">
        <x:v>ER-04</x:v>
      </x:c>
      <x:c r="C123" s="14" t="str">
        <x:v>CELL-04</x:v>
      </x:c>
      <x:c r="D123" s="14" t="str">
        <x:v>ROOT TEAM</x:v>
      </x:c>
      <x:c r="E123" s="14" t="str">
        <x:v>NOT ISSUED</x:v>
      </x:c>
      <x:c r="F123" s="14" t="str">
        <x:v>OPEN</x:v>
      </x:c>
      <x:c r="G123" s="14" t="str">
        <x:v>OPEN</x:v>
      </x:c>
    </x:row>
    <x:row r="124">
      <x:c r="A124" s="15" t="str">
        <x:v>XR-120</x:v>
      </x:c>
      <x:c r="B124" s="15" t="str">
        <x:v>ER-04</x:v>
      </x:c>
      <x:c r="C124" s="15" t="str">
        <x:v>CELL-04</x:v>
      </x:c>
      <x:c r="D124" s="15" t="str">
        <x:v>DEPLOYABLE</x:v>
      </x:c>
      <x:c r="E124" s="15" t="str">
        <x:v>NOT ISSUED</x:v>
      </x:c>
      <x:c r="F124" s="15" t="str">
        <x:v>OPEN</x:v>
      </x:c>
      <x:c r="G124" s="15" t="str">
        <x:v>OPEN</x:v>
      </x:c>
    </x:row>
    <x:row r="125">
      <x:c r="A125" s="14" t="str">
        <x:v>XR-121</x:v>
      </x:c>
      <x:c r="B125" s="14" t="str">
        <x:v>ER-04</x:v>
      </x:c>
      <x:c r="C125" s="14" t="str">
        <x:v>CELL-05</x:v>
      </x:c>
      <x:c r="D125" s="14" t="str">
        <x:v>REMOTE</x:v>
      </x:c>
      <x:c r="E125" s="14" t="str">
        <x:v>NOT ISSUED</x:v>
      </x:c>
      <x:c r="F125" s="14" t="str">
        <x:v>OPEN</x:v>
      </x:c>
      <x:c r="G125" s="14" t="str">
        <x:v>OPEN</x:v>
      </x:c>
    </x:row>
    <x:row r="126">
      <x:c r="A126" s="15" t="str">
        <x:v>XR-122</x:v>
      </x:c>
      <x:c r="B126" s="15" t="str">
        <x:v>ER-04</x:v>
      </x:c>
      <x:c r="C126" s="15" t="str">
        <x:v>CELL-05</x:v>
      </x:c>
      <x:c r="D126" s="15" t="str">
        <x:v>ROOT TEAM</x:v>
      </x:c>
      <x:c r="E126" s="15" t="str">
        <x:v>NOT ISSUED</x:v>
      </x:c>
      <x:c r="F126" s="15" t="str">
        <x:v>OPEN</x:v>
      </x:c>
      <x:c r="G126" s="15" t="str">
        <x:v>OPEN</x:v>
      </x:c>
    </x:row>
    <x:row r="127">
      <x:c r="A127" s="14" t="str">
        <x:v>XR-123</x:v>
      </x:c>
      <x:c r="B127" s="14" t="str">
        <x:v>ER-04</x:v>
      </x:c>
      <x:c r="C127" s="14" t="str">
        <x:v>CELL-05</x:v>
      </x:c>
      <x:c r="D127" s="14" t="str">
        <x:v>DEPLOYABLE</x:v>
      </x:c>
      <x:c r="E127" s="14" t="str">
        <x:v>NOT ISSUED</x:v>
      </x:c>
      <x:c r="F127" s="14" t="str">
        <x:v>OPEN</x:v>
      </x:c>
      <x:c r="G127" s="14" t="str">
        <x:v>OPEN</x:v>
      </x:c>
    </x:row>
    <x:row r="128">
      <x:c r="A128" s="15" t="str">
        <x:v>XR-124</x:v>
      </x:c>
      <x:c r="B128" s="15" t="str">
        <x:v>ER-04</x:v>
      </x:c>
      <x:c r="C128" s="15" t="str">
        <x:v>CELL-06</x:v>
      </x:c>
      <x:c r="D128" s="15" t="str">
        <x:v>REMOTE</x:v>
      </x:c>
      <x:c r="E128" s="15" t="str">
        <x:v>NOT ISSUED</x:v>
      </x:c>
      <x:c r="F128" s="15" t="str">
        <x:v>OPEN</x:v>
      </x:c>
      <x:c r="G128" s="15" t="str">
        <x:v>OPEN</x:v>
      </x:c>
    </x:row>
    <x:row r="129">
      <x:c r="A129" s="14" t="str">
        <x:v>XR-125</x:v>
      </x:c>
      <x:c r="B129" s="14" t="str">
        <x:v>ER-04</x:v>
      </x:c>
      <x:c r="C129" s="14" t="str">
        <x:v>CELL-06</x:v>
      </x:c>
      <x:c r="D129" s="14" t="str">
        <x:v>ROOT TEAM</x:v>
      </x:c>
      <x:c r="E129" s="14" t="str">
        <x:v>NOT ISSUED</x:v>
      </x:c>
      <x:c r="F129" s="14" t="str">
        <x:v>OPEN</x:v>
      </x:c>
      <x:c r="G129" s="14" t="str">
        <x:v>OPEN</x:v>
      </x:c>
    </x:row>
    <x:row r="130">
      <x:c r="A130" s="15" t="str">
        <x:v>XR-126</x:v>
      </x:c>
      <x:c r="B130" s="15" t="str">
        <x:v>ER-04</x:v>
      </x:c>
      <x:c r="C130" s="15" t="str">
        <x:v>CELL-06</x:v>
      </x:c>
      <x:c r="D130" s="15" t="str">
        <x:v>DEPLOYABLE</x:v>
      </x:c>
      <x:c r="E130" s="15" t="str">
        <x:v>NOT ISSUED</x:v>
      </x:c>
      <x:c r="F130" s="15" t="str">
        <x:v>OPEN</x:v>
      </x:c>
      <x:c r="G130" s="15" t="str">
        <x:v>OPEN</x:v>
      </x:c>
    </x:row>
    <x:row r="131">
      <x:c r="A131" s="14" t="str">
        <x:v>XR-127</x:v>
      </x:c>
      <x:c r="B131" s="14" t="str">
        <x:v>ER-04</x:v>
      </x:c>
      <x:c r="C131" s="14" t="str">
        <x:v>CELL-07</x:v>
      </x:c>
      <x:c r="D131" s="14" t="str">
        <x:v>REMOTE</x:v>
      </x:c>
      <x:c r="E131" s="14" t="str">
        <x:v>NOT ISSUED</x:v>
      </x:c>
      <x:c r="F131" s="14" t="str">
        <x:v>OPEN</x:v>
      </x:c>
      <x:c r="G131" s="14" t="str">
        <x:v>OPEN</x:v>
      </x:c>
    </x:row>
    <x:row r="132">
      <x:c r="A132" s="15" t="str">
        <x:v>XR-128</x:v>
      </x:c>
      <x:c r="B132" s="15" t="str">
        <x:v>ER-04</x:v>
      </x:c>
      <x:c r="C132" s="15" t="str">
        <x:v>CELL-07</x:v>
      </x:c>
      <x:c r="D132" s="15" t="str">
        <x:v>ROOT TEAM</x:v>
      </x:c>
      <x:c r="E132" s="15" t="str">
        <x:v>NOT ISSUED</x:v>
      </x:c>
      <x:c r="F132" s="15" t="str">
        <x:v>OPEN</x:v>
      </x:c>
      <x:c r="G132" s="15" t="str">
        <x:v>OPEN</x:v>
      </x:c>
    </x:row>
    <x:row r="133">
      <x:c r="A133" s="14" t="str">
        <x:v>XR-129</x:v>
      </x:c>
      <x:c r="B133" s="14" t="str">
        <x:v>ER-04</x:v>
      </x:c>
      <x:c r="C133" s="14" t="str">
        <x:v>CELL-07</x:v>
      </x:c>
      <x:c r="D133" s="14" t="str">
        <x:v>DEPLOYABLE</x:v>
      </x:c>
      <x:c r="E133" s="14" t="str">
        <x:v>NOT ISSUED</x:v>
      </x:c>
      <x:c r="F133" s="14" t="str">
        <x:v>OPEN</x:v>
      </x:c>
      <x:c r="G133" s="14" t="str">
        <x:v>OPEN</x:v>
      </x:c>
    </x:row>
    <x:row r="134">
      <x:c r="A134" s="15" t="str">
        <x:v>XR-130</x:v>
      </x:c>
      <x:c r="B134" s="15" t="str">
        <x:v>ER-04</x:v>
      </x:c>
      <x:c r="C134" s="15" t="str">
        <x:v>CELL-08</x:v>
      </x:c>
      <x:c r="D134" s="15" t="str">
        <x:v>REMOTE</x:v>
      </x:c>
      <x:c r="E134" s="15" t="str">
        <x:v>NOT ISSUED</x:v>
      </x:c>
      <x:c r="F134" s="15" t="str">
        <x:v>OPEN</x:v>
      </x:c>
      <x:c r="G134" s="15" t="str">
        <x:v>OPEN</x:v>
      </x:c>
    </x:row>
    <x:row r="135">
      <x:c r="A135" s="14" t="str">
        <x:v>XR-131</x:v>
      </x:c>
      <x:c r="B135" s="14" t="str">
        <x:v>ER-04</x:v>
      </x:c>
      <x:c r="C135" s="14" t="str">
        <x:v>CELL-08</x:v>
      </x:c>
      <x:c r="D135" s="14" t="str">
        <x:v>ROOT TEAM</x:v>
      </x:c>
      <x:c r="E135" s="14" t="str">
        <x:v>NOT ISSUED</x:v>
      </x:c>
      <x:c r="F135" s="14" t="str">
        <x:v>OPEN</x:v>
      </x:c>
      <x:c r="G135" s="14" t="str">
        <x:v>OPEN</x:v>
      </x:c>
    </x:row>
    <x:row r="136">
      <x:c r="A136" s="15" t="str">
        <x:v>XR-132</x:v>
      </x:c>
      <x:c r="B136" s="15" t="str">
        <x:v>ER-04</x:v>
      </x:c>
      <x:c r="C136" s="15" t="str">
        <x:v>CELL-08</x:v>
      </x:c>
      <x:c r="D136" s="15" t="str">
        <x:v>DEPLOYABLE</x:v>
      </x:c>
      <x:c r="E136" s="15" t="str">
        <x:v>NOT ISSUED</x:v>
      </x:c>
      <x:c r="F136" s="15" t="str">
        <x:v>OPEN</x:v>
      </x:c>
      <x:c r="G136" s="15" t="str">
        <x:v>OPEN</x:v>
      </x:c>
    </x:row>
    <x:row r="137">
      <x:c r="A137" s="14" t="str">
        <x:v>XR-133</x:v>
      </x:c>
      <x:c r="B137" s="14" t="str">
        <x:v>ER-04</x:v>
      </x:c>
      <x:c r="C137" s="14" t="str">
        <x:v>CELL-09</x:v>
      </x:c>
      <x:c r="D137" s="14" t="str">
        <x:v>REMOTE</x:v>
      </x:c>
      <x:c r="E137" s="14" t="str">
        <x:v>NOT ISSUED</x:v>
      </x:c>
      <x:c r="F137" s="14" t="str">
        <x:v>OPEN</x:v>
      </x:c>
      <x:c r="G137" s="14" t="str">
        <x:v>OPEN</x:v>
      </x:c>
    </x:row>
    <x:row r="138">
      <x:c r="A138" s="15" t="str">
        <x:v>XR-134</x:v>
      </x:c>
      <x:c r="B138" s="15" t="str">
        <x:v>ER-04</x:v>
      </x:c>
      <x:c r="C138" s="15" t="str">
        <x:v>CELL-09</x:v>
      </x:c>
      <x:c r="D138" s="15" t="str">
        <x:v>ROOT TEAM</x:v>
      </x:c>
      <x:c r="E138" s="15" t="str">
        <x:v>NOT ISSUED</x:v>
      </x:c>
      <x:c r="F138" s="15" t="str">
        <x:v>OPEN</x:v>
      </x:c>
      <x:c r="G138" s="15" t="str">
        <x:v>OPEN</x:v>
      </x:c>
    </x:row>
    <x:row r="139">
      <x:c r="A139" s="14" t="str">
        <x:v>XR-135</x:v>
      </x:c>
      <x:c r="B139" s="14" t="str">
        <x:v>ER-04</x:v>
      </x:c>
      <x:c r="C139" s="14" t="str">
        <x:v>CELL-09</x:v>
      </x:c>
      <x:c r="D139" s="14" t="str">
        <x:v>DEPLOYABLE</x:v>
      </x:c>
      <x:c r="E139" s="14" t="str">
        <x:v>NOT ISSUED</x:v>
      </x:c>
      <x:c r="F139" s="14" t="str">
        <x:v>OPEN</x:v>
      </x:c>
      <x:c r="G139" s="14" t="str">
        <x:v>OPEN</x:v>
      </x:c>
    </x:row>
    <x:row r="140">
      <x:c r="A140" s="15" t="str">
        <x:v>XR-136</x:v>
      </x:c>
      <x:c r="B140" s="15" t="str">
        <x:v>ER-04</x:v>
      </x:c>
      <x:c r="C140" s="15" t="str">
        <x:v>CELL-10</x:v>
      </x:c>
      <x:c r="D140" s="15" t="str">
        <x:v>REMOTE</x:v>
      </x:c>
      <x:c r="E140" s="15" t="str">
        <x:v>NOT ISSUED</x:v>
      </x:c>
      <x:c r="F140" s="15" t="str">
        <x:v>OPEN</x:v>
      </x:c>
      <x:c r="G140" s="15" t="str">
        <x:v>OPEN</x:v>
      </x:c>
    </x:row>
    <x:row r="141">
      <x:c r="A141" s="14" t="str">
        <x:v>XR-137</x:v>
      </x:c>
      <x:c r="B141" s="14" t="str">
        <x:v>ER-04</x:v>
      </x:c>
      <x:c r="C141" s="14" t="str">
        <x:v>CELL-10</x:v>
      </x:c>
      <x:c r="D141" s="14" t="str">
        <x:v>ROOT TEAM</x:v>
      </x:c>
      <x:c r="E141" s="14" t="str">
        <x:v>NOT ISSUED</x:v>
      </x:c>
      <x:c r="F141" s="14" t="str">
        <x:v>OPEN</x:v>
      </x:c>
      <x:c r="G141" s="14" t="str">
        <x:v>OPEN</x:v>
      </x:c>
    </x:row>
    <x:row r="142">
      <x:c r="A142" s="15" t="str">
        <x:v>XR-138</x:v>
      </x:c>
      <x:c r="B142" s="15" t="str">
        <x:v>ER-04</x:v>
      </x:c>
      <x:c r="C142" s="15" t="str">
        <x:v>CELL-10</x:v>
      </x:c>
      <x:c r="D142" s="15" t="str">
        <x:v>DEPLOYABLE</x:v>
      </x:c>
      <x:c r="E142" s="15" t="str">
        <x:v>NOT ISSUED</x:v>
      </x:c>
      <x:c r="F142" s="15" t="str">
        <x:v>OPEN</x:v>
      </x:c>
      <x:c r="G142" s="15" t="str">
        <x:v>OPEN</x:v>
      </x:c>
    </x:row>
    <x:row r="143">
      <x:c r="A143" s="14" t="str">
        <x:v>XR-139</x:v>
      </x:c>
      <x:c r="B143" s="14" t="str">
        <x:v>ER-04</x:v>
      </x:c>
      <x:c r="C143" s="14" t="str">
        <x:v>CELL-11</x:v>
      </x:c>
      <x:c r="D143" s="14" t="str">
        <x:v>REMOTE</x:v>
      </x:c>
      <x:c r="E143" s="14" t="str">
        <x:v>NOT ISSUED</x:v>
      </x:c>
      <x:c r="F143" s="14" t="str">
        <x:v>OPEN</x:v>
      </x:c>
      <x:c r="G143" s="14" t="str">
        <x:v>OPEN</x:v>
      </x:c>
    </x:row>
    <x:row r="144">
      <x:c r="A144" s="15" t="str">
        <x:v>XR-140</x:v>
      </x:c>
      <x:c r="B144" s="15" t="str">
        <x:v>ER-04</x:v>
      </x:c>
      <x:c r="C144" s="15" t="str">
        <x:v>CELL-11</x:v>
      </x:c>
      <x:c r="D144" s="15" t="str">
        <x:v>ROOT TEAM</x:v>
      </x:c>
      <x:c r="E144" s="15" t="str">
        <x:v>NOT ISSUED</x:v>
      </x:c>
      <x:c r="F144" s="15" t="str">
        <x:v>OPEN</x:v>
      </x:c>
      <x:c r="G144" s="15" t="str">
        <x:v>OPEN</x:v>
      </x:c>
    </x:row>
    <x:row r="145">
      <x:c r="A145" s="14" t="str">
        <x:v>XR-141</x:v>
      </x:c>
      <x:c r="B145" s="14" t="str">
        <x:v>ER-04</x:v>
      </x:c>
      <x:c r="C145" s="14" t="str">
        <x:v>CELL-11</x:v>
      </x:c>
      <x:c r="D145" s="14" t="str">
        <x:v>DEPLOYABLE</x:v>
      </x:c>
      <x:c r="E145" s="14" t="str">
        <x:v>NOT ISSUED</x:v>
      </x:c>
      <x:c r="F145" s="14" t="str">
        <x:v>OPEN</x:v>
      </x:c>
      <x:c r="G145" s="14" t="str">
        <x:v>OPEN</x:v>
      </x:c>
    </x:row>
    <x:row r="146">
      <x:c r="A146" s="15" t="str">
        <x:v>XR-142</x:v>
      </x:c>
      <x:c r="B146" s="15" t="str">
        <x:v>ER-04</x:v>
      </x:c>
      <x:c r="C146" s="15" t="str">
        <x:v>CELL-12</x:v>
      </x:c>
      <x:c r="D146" s="15" t="str">
        <x:v>REMOTE</x:v>
      </x:c>
      <x:c r="E146" s="15" t="str">
        <x:v>NOT ISSUED</x:v>
      </x:c>
      <x:c r="F146" s="15" t="str">
        <x:v>OPEN</x:v>
      </x:c>
      <x:c r="G146" s="15" t="str">
        <x:v>OPEN</x:v>
      </x:c>
    </x:row>
    <x:row r="147">
      <x:c r="A147" s="14" t="str">
        <x:v>XR-143</x:v>
      </x:c>
      <x:c r="B147" s="14" t="str">
        <x:v>ER-04</x:v>
      </x:c>
      <x:c r="C147" s="14" t="str">
        <x:v>CELL-12</x:v>
      </x:c>
      <x:c r="D147" s="14" t="str">
        <x:v>ROOT TEAM</x:v>
      </x:c>
      <x:c r="E147" s="14" t="str">
        <x:v>NOT ISSUED</x:v>
      </x:c>
      <x:c r="F147" s="14" t="str">
        <x:v>OPEN</x:v>
      </x:c>
      <x:c r="G147" s="14" t="str">
        <x:v>OPEN</x:v>
      </x:c>
    </x:row>
    <x:row r="148">
      <x:c r="A148" s="15" t="str">
        <x:v>XR-144</x:v>
      </x:c>
      <x:c r="B148" s="15" t="str">
        <x:v>ER-04</x:v>
      </x:c>
      <x:c r="C148" s="15" t="str">
        <x:v>CELL-12</x:v>
      </x:c>
      <x:c r="D148" s="15" t="str">
        <x:v>DEPLOYABLE</x:v>
      </x:c>
      <x:c r="E148" s="15" t="str">
        <x:v>NOT ISSUED</x:v>
      </x:c>
      <x:c r="F148" s="15" t="str">
        <x:v>OPEN</x:v>
      </x:c>
      <x:c r="G148" s="15" t="str">
        <x:v>OPEN</x:v>
      </x:c>
    </x:row>
    <x:row r="149">
      <x:c r="A149" s="14" t="str">
        <x:v>XR-145</x:v>
      </x:c>
      <x:c r="B149" s="14" t="str">
        <x:v>ER-05</x:v>
      </x:c>
      <x:c r="C149" s="14" t="str">
        <x:v>CELL-01</x:v>
      </x:c>
      <x:c r="D149" s="14" t="str">
        <x:v>REMOTE</x:v>
      </x:c>
      <x:c r="E149" s="14" t="str">
        <x:v>NOT ISSUED</x:v>
      </x:c>
      <x:c r="F149" s="14" t="str">
        <x:v>OPEN</x:v>
      </x:c>
      <x:c r="G149" s="14" t="str">
        <x:v>OPEN</x:v>
      </x:c>
    </x:row>
    <x:row r="150">
      <x:c r="A150" s="15" t="str">
        <x:v>XR-146</x:v>
      </x:c>
      <x:c r="B150" s="15" t="str">
        <x:v>ER-05</x:v>
      </x:c>
      <x:c r="C150" s="15" t="str">
        <x:v>CELL-01</x:v>
      </x:c>
      <x:c r="D150" s="15" t="str">
        <x:v>ROOT TEAM</x:v>
      </x:c>
      <x:c r="E150" s="15" t="str">
        <x:v>NOT ISSUED</x:v>
      </x:c>
      <x:c r="F150" s="15" t="str">
        <x:v>OPEN</x:v>
      </x:c>
      <x:c r="G150" s="15" t="str">
        <x:v>OPEN</x:v>
      </x:c>
    </x:row>
    <x:row r="151">
      <x:c r="A151" s="14" t="str">
        <x:v>XR-147</x:v>
      </x:c>
      <x:c r="B151" s="14" t="str">
        <x:v>ER-05</x:v>
      </x:c>
      <x:c r="C151" s="14" t="str">
        <x:v>CELL-01</x:v>
      </x:c>
      <x:c r="D151" s="14" t="str">
        <x:v>DEPLOYABLE</x:v>
      </x:c>
      <x:c r="E151" s="14" t="str">
        <x:v>NOT ISSUED</x:v>
      </x:c>
      <x:c r="F151" s="14" t="str">
        <x:v>OPEN</x:v>
      </x:c>
      <x:c r="G151" s="14" t="str">
        <x:v>OPEN</x:v>
      </x:c>
    </x:row>
    <x:row r="152">
      <x:c r="A152" s="15" t="str">
        <x:v>XR-148</x:v>
      </x:c>
      <x:c r="B152" s="15" t="str">
        <x:v>ER-05</x:v>
      </x:c>
      <x:c r="C152" s="15" t="str">
        <x:v>CELL-02</x:v>
      </x:c>
      <x:c r="D152" s="15" t="str">
        <x:v>REMOTE</x:v>
      </x:c>
      <x:c r="E152" s="15" t="str">
        <x:v>NOT ISSUED</x:v>
      </x:c>
      <x:c r="F152" s="15" t="str">
        <x:v>OPEN</x:v>
      </x:c>
      <x:c r="G152" s="15" t="str">
        <x:v>OPEN</x:v>
      </x:c>
    </x:row>
    <x:row r="153">
      <x:c r="A153" s="14" t="str">
        <x:v>XR-149</x:v>
      </x:c>
      <x:c r="B153" s="14" t="str">
        <x:v>ER-05</x:v>
      </x:c>
      <x:c r="C153" s="14" t="str">
        <x:v>CELL-02</x:v>
      </x:c>
      <x:c r="D153" s="14" t="str">
        <x:v>ROOT TEAM</x:v>
      </x:c>
      <x:c r="E153" s="14" t="str">
        <x:v>NOT ISSUED</x:v>
      </x:c>
      <x:c r="F153" s="14" t="str">
        <x:v>OPEN</x:v>
      </x:c>
      <x:c r="G153" s="14" t="str">
        <x:v>OPEN</x:v>
      </x:c>
    </x:row>
    <x:row r="154">
      <x:c r="A154" s="15" t="str">
        <x:v>XR-150</x:v>
      </x:c>
      <x:c r="B154" s="15" t="str">
        <x:v>ER-05</x:v>
      </x:c>
      <x:c r="C154" s="15" t="str">
        <x:v>CELL-02</x:v>
      </x:c>
      <x:c r="D154" s="15" t="str">
        <x:v>DEPLOYABLE</x:v>
      </x:c>
      <x:c r="E154" s="15" t="str">
        <x:v>NOT ISSUED</x:v>
      </x:c>
      <x:c r="F154" s="15" t="str">
        <x:v>OPEN</x:v>
      </x:c>
      <x:c r="G154" s="15" t="str">
        <x:v>OPEN</x:v>
      </x:c>
    </x:row>
    <x:row r="155">
      <x:c r="A155" s="14" t="str">
        <x:v>XR-151</x:v>
      </x:c>
      <x:c r="B155" s="14" t="str">
        <x:v>ER-05</x:v>
      </x:c>
      <x:c r="C155" s="14" t="str">
        <x:v>CELL-03</x:v>
      </x:c>
      <x:c r="D155" s="14" t="str">
        <x:v>REMOTE</x:v>
      </x:c>
      <x:c r="E155" s="14" t="str">
        <x:v>NOT ISSUED</x:v>
      </x:c>
      <x:c r="F155" s="14" t="str">
        <x:v>OPEN</x:v>
      </x:c>
      <x:c r="G155" s="14" t="str">
        <x:v>OPEN</x:v>
      </x:c>
    </x:row>
    <x:row r="156">
      <x:c r="A156" s="15" t="str">
        <x:v>XR-152</x:v>
      </x:c>
      <x:c r="B156" s="15" t="str">
        <x:v>ER-05</x:v>
      </x:c>
      <x:c r="C156" s="15" t="str">
        <x:v>CELL-03</x:v>
      </x:c>
      <x:c r="D156" s="15" t="str">
        <x:v>ROOT TEAM</x:v>
      </x:c>
      <x:c r="E156" s="15" t="str">
        <x:v>NOT ISSUED</x:v>
      </x:c>
      <x:c r="F156" s="15" t="str">
        <x:v>OPEN</x:v>
      </x:c>
      <x:c r="G156" s="15" t="str">
        <x:v>OPEN</x:v>
      </x:c>
    </x:row>
    <x:row r="157">
      <x:c r="A157" s="14" t="str">
        <x:v>XR-153</x:v>
      </x:c>
      <x:c r="B157" s="14" t="str">
        <x:v>ER-05</x:v>
      </x:c>
      <x:c r="C157" s="14" t="str">
        <x:v>CELL-03</x:v>
      </x:c>
      <x:c r="D157" s="14" t="str">
        <x:v>DEPLOYABLE</x:v>
      </x:c>
      <x:c r="E157" s="14" t="str">
        <x:v>NOT ISSUED</x:v>
      </x:c>
      <x:c r="F157" s="14" t="str">
        <x:v>OPEN</x:v>
      </x:c>
      <x:c r="G157" s="14" t="str">
        <x:v>OPEN</x:v>
      </x:c>
    </x:row>
    <x:row r="158">
      <x:c r="A158" s="15" t="str">
        <x:v>XR-154</x:v>
      </x:c>
      <x:c r="B158" s="15" t="str">
        <x:v>ER-05</x:v>
      </x:c>
      <x:c r="C158" s="15" t="str">
        <x:v>CELL-04</x:v>
      </x:c>
      <x:c r="D158" s="15" t="str">
        <x:v>REMOTE</x:v>
      </x:c>
      <x:c r="E158" s="15" t="str">
        <x:v>NOT ISSUED</x:v>
      </x:c>
      <x:c r="F158" s="15" t="str">
        <x:v>OPEN</x:v>
      </x:c>
      <x:c r="G158" s="15" t="str">
        <x:v>OPEN</x:v>
      </x:c>
    </x:row>
    <x:row r="159">
      <x:c r="A159" s="14" t="str">
        <x:v>XR-155</x:v>
      </x:c>
      <x:c r="B159" s="14" t="str">
        <x:v>ER-05</x:v>
      </x:c>
      <x:c r="C159" s="14" t="str">
        <x:v>CELL-04</x:v>
      </x:c>
      <x:c r="D159" s="14" t="str">
        <x:v>ROOT TEAM</x:v>
      </x:c>
      <x:c r="E159" s="14" t="str">
        <x:v>NOT ISSUED</x:v>
      </x:c>
      <x:c r="F159" s="14" t="str">
        <x:v>OPEN</x:v>
      </x:c>
      <x:c r="G159" s="14" t="str">
        <x:v>OPEN</x:v>
      </x:c>
    </x:row>
    <x:row r="160">
      <x:c r="A160" s="15" t="str">
        <x:v>XR-156</x:v>
      </x:c>
      <x:c r="B160" s="15" t="str">
        <x:v>ER-05</x:v>
      </x:c>
      <x:c r="C160" s="15" t="str">
        <x:v>CELL-04</x:v>
      </x:c>
      <x:c r="D160" s="15" t="str">
        <x:v>DEPLOYABLE</x:v>
      </x:c>
      <x:c r="E160" s="15" t="str">
        <x:v>NOT ISSUED</x:v>
      </x:c>
      <x:c r="F160" s="15" t="str">
        <x:v>OPEN</x:v>
      </x:c>
      <x:c r="G160" s="15" t="str">
        <x:v>OPEN</x:v>
      </x:c>
    </x:row>
    <x:row r="161">
      <x:c r="A161" s="14" t="str">
        <x:v>XR-157</x:v>
      </x:c>
      <x:c r="B161" s="14" t="str">
        <x:v>ER-05</x:v>
      </x:c>
      <x:c r="C161" s="14" t="str">
        <x:v>CELL-05</x:v>
      </x:c>
      <x:c r="D161" s="14" t="str">
        <x:v>REMOTE</x:v>
      </x:c>
      <x:c r="E161" s="14" t="str">
        <x:v>NOT ISSUED</x:v>
      </x:c>
      <x:c r="F161" s="14" t="str">
        <x:v>OPEN</x:v>
      </x:c>
      <x:c r="G161" s="14" t="str">
        <x:v>OPEN</x:v>
      </x:c>
    </x:row>
    <x:row r="162">
      <x:c r="A162" s="15" t="str">
        <x:v>XR-158</x:v>
      </x:c>
      <x:c r="B162" s="15" t="str">
        <x:v>ER-05</x:v>
      </x:c>
      <x:c r="C162" s="15" t="str">
        <x:v>CELL-05</x:v>
      </x:c>
      <x:c r="D162" s="15" t="str">
        <x:v>ROOT TEAM</x:v>
      </x:c>
      <x:c r="E162" s="15" t="str">
        <x:v>NOT ISSUED</x:v>
      </x:c>
      <x:c r="F162" s="15" t="str">
        <x:v>OPEN</x:v>
      </x:c>
      <x:c r="G162" s="15" t="str">
        <x:v>OPEN</x:v>
      </x:c>
    </x:row>
    <x:row r="163">
      <x:c r="A163" s="14" t="str">
        <x:v>XR-159</x:v>
      </x:c>
      <x:c r="B163" s="14" t="str">
        <x:v>ER-05</x:v>
      </x:c>
      <x:c r="C163" s="14" t="str">
        <x:v>CELL-05</x:v>
      </x:c>
      <x:c r="D163" s="14" t="str">
        <x:v>DEPLOYABLE</x:v>
      </x:c>
      <x:c r="E163" s="14" t="str">
        <x:v>NOT ISSUED</x:v>
      </x:c>
      <x:c r="F163" s="14" t="str">
        <x:v>OPEN</x:v>
      </x:c>
      <x:c r="G163" s="14" t="str">
        <x:v>OPEN</x:v>
      </x:c>
    </x:row>
    <x:row r="164">
      <x:c r="A164" s="15" t="str">
        <x:v>XR-160</x:v>
      </x:c>
      <x:c r="B164" s="15" t="str">
        <x:v>ER-05</x:v>
      </x:c>
      <x:c r="C164" s="15" t="str">
        <x:v>CELL-06</x:v>
      </x:c>
      <x:c r="D164" s="15" t="str">
        <x:v>REMOTE</x:v>
      </x:c>
      <x:c r="E164" s="15" t="str">
        <x:v>NOT ISSUED</x:v>
      </x:c>
      <x:c r="F164" s="15" t="str">
        <x:v>OPEN</x:v>
      </x:c>
      <x:c r="G164" s="15" t="str">
        <x:v>OPEN</x:v>
      </x:c>
    </x:row>
    <x:row r="165">
      <x:c r="A165" s="14" t="str">
        <x:v>XR-161</x:v>
      </x:c>
      <x:c r="B165" s="14" t="str">
        <x:v>ER-05</x:v>
      </x:c>
      <x:c r="C165" s="14" t="str">
        <x:v>CELL-06</x:v>
      </x:c>
      <x:c r="D165" s="14" t="str">
        <x:v>ROOT TEAM</x:v>
      </x:c>
      <x:c r="E165" s="14" t="str">
        <x:v>NOT ISSUED</x:v>
      </x:c>
      <x:c r="F165" s="14" t="str">
        <x:v>OPEN</x:v>
      </x:c>
      <x:c r="G165" s="14" t="str">
        <x:v>OPEN</x:v>
      </x:c>
    </x:row>
    <x:row r="166">
      <x:c r="A166" s="15" t="str">
        <x:v>XR-162</x:v>
      </x:c>
      <x:c r="B166" s="15" t="str">
        <x:v>ER-05</x:v>
      </x:c>
      <x:c r="C166" s="15" t="str">
        <x:v>CELL-06</x:v>
      </x:c>
      <x:c r="D166" s="15" t="str">
        <x:v>DEPLOYABLE</x:v>
      </x:c>
      <x:c r="E166" s="15" t="str">
        <x:v>NOT ISSUED</x:v>
      </x:c>
      <x:c r="F166" s="15" t="str">
        <x:v>OPEN</x:v>
      </x:c>
      <x:c r="G166" s="15" t="str">
        <x:v>OPEN</x:v>
      </x:c>
    </x:row>
    <x:row r="167">
      <x:c r="A167" s="14" t="str">
        <x:v>XR-163</x:v>
      </x:c>
      <x:c r="B167" s="14" t="str">
        <x:v>ER-05</x:v>
      </x:c>
      <x:c r="C167" s="14" t="str">
        <x:v>CELL-07</x:v>
      </x:c>
      <x:c r="D167" s="14" t="str">
        <x:v>REMOTE</x:v>
      </x:c>
      <x:c r="E167" s="14" t="str">
        <x:v>NOT ISSUED</x:v>
      </x:c>
      <x:c r="F167" s="14" t="str">
        <x:v>OPEN</x:v>
      </x:c>
      <x:c r="G167" s="14" t="str">
        <x:v>OPEN</x:v>
      </x:c>
    </x:row>
    <x:row r="168">
      <x:c r="A168" s="15" t="str">
        <x:v>XR-164</x:v>
      </x:c>
      <x:c r="B168" s="15" t="str">
        <x:v>ER-05</x:v>
      </x:c>
      <x:c r="C168" s="15" t="str">
        <x:v>CELL-07</x:v>
      </x:c>
      <x:c r="D168" s="15" t="str">
        <x:v>ROOT TEAM</x:v>
      </x:c>
      <x:c r="E168" s="15" t="str">
        <x:v>NOT ISSUED</x:v>
      </x:c>
      <x:c r="F168" s="15" t="str">
        <x:v>OPEN</x:v>
      </x:c>
      <x:c r="G168" s="15" t="str">
        <x:v>OPEN</x:v>
      </x:c>
    </x:row>
    <x:row r="169">
      <x:c r="A169" s="14" t="str">
        <x:v>XR-165</x:v>
      </x:c>
      <x:c r="B169" s="14" t="str">
        <x:v>ER-05</x:v>
      </x:c>
      <x:c r="C169" s="14" t="str">
        <x:v>CELL-07</x:v>
      </x:c>
      <x:c r="D169" s="14" t="str">
        <x:v>DEPLOYABLE</x:v>
      </x:c>
      <x:c r="E169" s="14" t="str">
        <x:v>NOT ISSUED</x:v>
      </x:c>
      <x:c r="F169" s="14" t="str">
        <x:v>OPEN</x:v>
      </x:c>
      <x:c r="G169" s="14" t="str">
        <x:v>OPEN</x:v>
      </x:c>
    </x:row>
    <x:row r="170">
      <x:c r="A170" s="15" t="str">
        <x:v>XR-166</x:v>
      </x:c>
      <x:c r="B170" s="15" t="str">
        <x:v>ER-05</x:v>
      </x:c>
      <x:c r="C170" s="15" t="str">
        <x:v>CELL-08</x:v>
      </x:c>
      <x:c r="D170" s="15" t="str">
        <x:v>REMOTE</x:v>
      </x:c>
      <x:c r="E170" s="15" t="str">
        <x:v>NOT ISSUED</x:v>
      </x:c>
      <x:c r="F170" s="15" t="str">
        <x:v>OPEN</x:v>
      </x:c>
      <x:c r="G170" s="15" t="str">
        <x:v>OPEN</x:v>
      </x:c>
    </x:row>
    <x:row r="171">
      <x:c r="A171" s="14" t="str">
        <x:v>XR-167</x:v>
      </x:c>
      <x:c r="B171" s="14" t="str">
        <x:v>ER-05</x:v>
      </x:c>
      <x:c r="C171" s="14" t="str">
        <x:v>CELL-08</x:v>
      </x:c>
      <x:c r="D171" s="14" t="str">
        <x:v>ROOT TEAM</x:v>
      </x:c>
      <x:c r="E171" s="14" t="str">
        <x:v>NOT ISSUED</x:v>
      </x:c>
      <x:c r="F171" s="14" t="str">
        <x:v>OPEN</x:v>
      </x:c>
      <x:c r="G171" s="14" t="str">
        <x:v>OPEN</x:v>
      </x:c>
    </x:row>
    <x:row r="172">
      <x:c r="A172" s="15" t="str">
        <x:v>XR-168</x:v>
      </x:c>
      <x:c r="B172" s="15" t="str">
        <x:v>ER-05</x:v>
      </x:c>
      <x:c r="C172" s="15" t="str">
        <x:v>CELL-08</x:v>
      </x:c>
      <x:c r="D172" s="15" t="str">
        <x:v>DEPLOYABLE</x:v>
      </x:c>
      <x:c r="E172" s="15" t="str">
        <x:v>NOT ISSUED</x:v>
      </x:c>
      <x:c r="F172" s="15" t="str">
        <x:v>OPEN</x:v>
      </x:c>
      <x:c r="G172" s="15" t="str">
        <x:v>OPEN</x:v>
      </x:c>
    </x:row>
    <x:row r="173">
      <x:c r="A173" s="14" t="str">
        <x:v>XR-169</x:v>
      </x:c>
      <x:c r="B173" s="14" t="str">
        <x:v>ER-05</x:v>
      </x:c>
      <x:c r="C173" s="14" t="str">
        <x:v>CELL-09</x:v>
      </x:c>
      <x:c r="D173" s="14" t="str">
        <x:v>REMOTE</x:v>
      </x:c>
      <x:c r="E173" s="14" t="str">
        <x:v>NOT ISSUED</x:v>
      </x:c>
      <x:c r="F173" s="14" t="str">
        <x:v>OPEN</x:v>
      </x:c>
      <x:c r="G173" s="14" t="str">
        <x:v>OPEN</x:v>
      </x:c>
    </x:row>
    <x:row r="174">
      <x:c r="A174" s="15" t="str">
        <x:v>XR-170</x:v>
      </x:c>
      <x:c r="B174" s="15" t="str">
        <x:v>ER-05</x:v>
      </x:c>
      <x:c r="C174" s="15" t="str">
        <x:v>CELL-09</x:v>
      </x:c>
      <x:c r="D174" s="15" t="str">
        <x:v>ROOT TEAM</x:v>
      </x:c>
      <x:c r="E174" s="15" t="str">
        <x:v>NOT ISSUED</x:v>
      </x:c>
      <x:c r="F174" s="15" t="str">
        <x:v>OPEN</x:v>
      </x:c>
      <x:c r="G174" s="15" t="str">
        <x:v>OPEN</x:v>
      </x:c>
    </x:row>
    <x:row r="175">
      <x:c r="A175" s="14" t="str">
        <x:v>XR-171</x:v>
      </x:c>
      <x:c r="B175" s="14" t="str">
        <x:v>ER-05</x:v>
      </x:c>
      <x:c r="C175" s="14" t="str">
        <x:v>CELL-09</x:v>
      </x:c>
      <x:c r="D175" s="14" t="str">
        <x:v>DEPLOYABLE</x:v>
      </x:c>
      <x:c r="E175" s="14" t="str">
        <x:v>NOT ISSUED</x:v>
      </x:c>
      <x:c r="F175" s="14" t="str">
        <x:v>OPEN</x:v>
      </x:c>
      <x:c r="G175" s="14" t="str">
        <x:v>OPEN</x:v>
      </x:c>
    </x:row>
    <x:row r="176">
      <x:c r="A176" s="15" t="str">
        <x:v>XR-172</x:v>
      </x:c>
      <x:c r="B176" s="15" t="str">
        <x:v>ER-05</x:v>
      </x:c>
      <x:c r="C176" s="15" t="str">
        <x:v>CELL-10</x:v>
      </x:c>
      <x:c r="D176" s="15" t="str">
        <x:v>REMOTE</x:v>
      </x:c>
      <x:c r="E176" s="15" t="str">
        <x:v>NOT ISSUED</x:v>
      </x:c>
      <x:c r="F176" s="15" t="str">
        <x:v>OPEN</x:v>
      </x:c>
      <x:c r="G176" s="15" t="str">
        <x:v>OPEN</x:v>
      </x:c>
    </x:row>
    <x:row r="177">
      <x:c r="A177" s="14" t="str">
        <x:v>XR-173</x:v>
      </x:c>
      <x:c r="B177" s="14" t="str">
        <x:v>ER-05</x:v>
      </x:c>
      <x:c r="C177" s="14" t="str">
        <x:v>CELL-10</x:v>
      </x:c>
      <x:c r="D177" s="14" t="str">
        <x:v>ROOT TEAM</x:v>
      </x:c>
      <x:c r="E177" s="14" t="str">
        <x:v>NOT ISSUED</x:v>
      </x:c>
      <x:c r="F177" s="14" t="str">
        <x:v>OPEN</x:v>
      </x:c>
      <x:c r="G177" s="14" t="str">
        <x:v>OPEN</x:v>
      </x:c>
    </x:row>
    <x:row r="178">
      <x:c r="A178" s="15" t="str">
        <x:v>XR-174</x:v>
      </x:c>
      <x:c r="B178" s="15" t="str">
        <x:v>ER-05</x:v>
      </x:c>
      <x:c r="C178" s="15" t="str">
        <x:v>CELL-10</x:v>
      </x:c>
      <x:c r="D178" s="15" t="str">
        <x:v>DEPLOYABLE</x:v>
      </x:c>
      <x:c r="E178" s="15" t="str">
        <x:v>NOT ISSUED</x:v>
      </x:c>
      <x:c r="F178" s="15" t="str">
        <x:v>OPEN</x:v>
      </x:c>
      <x:c r="G178" s="15" t="str">
        <x:v>OPEN</x:v>
      </x:c>
    </x:row>
    <x:row r="179">
      <x:c r="A179" s="14" t="str">
        <x:v>XR-175</x:v>
      </x:c>
      <x:c r="B179" s="14" t="str">
        <x:v>ER-05</x:v>
      </x:c>
      <x:c r="C179" s="14" t="str">
        <x:v>CELL-11</x:v>
      </x:c>
      <x:c r="D179" s="14" t="str">
        <x:v>REMOTE</x:v>
      </x:c>
      <x:c r="E179" s="14" t="str">
        <x:v>NOT ISSUED</x:v>
      </x:c>
      <x:c r="F179" s="14" t="str">
        <x:v>OPEN</x:v>
      </x:c>
      <x:c r="G179" s="14" t="str">
        <x:v>OPEN</x:v>
      </x:c>
    </x:row>
    <x:row r="180">
      <x:c r="A180" s="15" t="str">
        <x:v>XR-176</x:v>
      </x:c>
      <x:c r="B180" s="15" t="str">
        <x:v>ER-05</x:v>
      </x:c>
      <x:c r="C180" s="15" t="str">
        <x:v>CELL-11</x:v>
      </x:c>
      <x:c r="D180" s="15" t="str">
        <x:v>ROOT TEAM</x:v>
      </x:c>
      <x:c r="E180" s="15" t="str">
        <x:v>NOT ISSUED</x:v>
      </x:c>
      <x:c r="F180" s="15" t="str">
        <x:v>OPEN</x:v>
      </x:c>
      <x:c r="G180" s="15" t="str">
        <x:v>OPEN</x:v>
      </x:c>
    </x:row>
    <x:row r="181">
      <x:c r="A181" s="14" t="str">
        <x:v>XR-177</x:v>
      </x:c>
      <x:c r="B181" s="14" t="str">
        <x:v>ER-05</x:v>
      </x:c>
      <x:c r="C181" s="14" t="str">
        <x:v>CELL-11</x:v>
      </x:c>
      <x:c r="D181" s="14" t="str">
        <x:v>DEPLOYABLE</x:v>
      </x:c>
      <x:c r="E181" s="14" t="str">
        <x:v>NOT ISSUED</x:v>
      </x:c>
      <x:c r="F181" s="14" t="str">
        <x:v>OPEN</x:v>
      </x:c>
      <x:c r="G181" s="14" t="str">
        <x:v>OPEN</x:v>
      </x:c>
    </x:row>
    <x:row r="182">
      <x:c r="A182" s="15" t="str">
        <x:v>XR-178</x:v>
      </x:c>
      <x:c r="B182" s="15" t="str">
        <x:v>ER-05</x:v>
      </x:c>
      <x:c r="C182" s="15" t="str">
        <x:v>CELL-12</x:v>
      </x:c>
      <x:c r="D182" s="15" t="str">
        <x:v>REMOTE</x:v>
      </x:c>
      <x:c r="E182" s="15" t="str">
        <x:v>NOT ISSUED</x:v>
      </x:c>
      <x:c r="F182" s="15" t="str">
        <x:v>OPEN</x:v>
      </x:c>
      <x:c r="G182" s="15" t="str">
        <x:v>OPEN</x:v>
      </x:c>
    </x:row>
    <x:row r="183">
      <x:c r="A183" s="14" t="str">
        <x:v>XR-179</x:v>
      </x:c>
      <x:c r="B183" s="14" t="str">
        <x:v>ER-05</x:v>
      </x:c>
      <x:c r="C183" s="14" t="str">
        <x:v>CELL-12</x:v>
      </x:c>
      <x:c r="D183" s="14" t="str">
        <x:v>ROOT TEAM</x:v>
      </x:c>
      <x:c r="E183" s="14" t="str">
        <x:v>NOT ISSUED</x:v>
      </x:c>
      <x:c r="F183" s="14" t="str">
        <x:v>OPEN</x:v>
      </x:c>
      <x:c r="G183" s="14" t="str">
        <x:v>OPEN</x:v>
      </x:c>
    </x:row>
    <x:row r="184">
      <x:c r="A184" s="15" t="str">
        <x:v>XR-180</x:v>
      </x:c>
      <x:c r="B184" s="15" t="str">
        <x:v>ER-05</x:v>
      </x:c>
      <x:c r="C184" s="15" t="str">
        <x:v>CELL-12</x:v>
      </x:c>
      <x:c r="D184" s="15" t="str">
        <x:v>DEPLOYABLE</x:v>
      </x:c>
      <x:c r="E184" s="15" t="str">
        <x:v>NOT ISSUED</x:v>
      </x:c>
      <x:c r="F184" s="15" t="str">
        <x:v>OPEN</x:v>
      </x:c>
      <x:c r="G184" s="15" t="str">
        <x:v>OPEN</x:v>
      </x:c>
    </x:row>
    <x:row r="185">
      <x:c r="A185" s="14" t="str">
        <x:v>XR-181</x:v>
      </x:c>
      <x:c r="B185" s="14" t="str">
        <x:v>ER-06</x:v>
      </x:c>
      <x:c r="C185" s="14" t="str">
        <x:v>CELL-01</x:v>
      </x:c>
      <x:c r="D185" s="14" t="str">
        <x:v>REMOTE</x:v>
      </x:c>
      <x:c r="E185" s="14" t="str">
        <x:v>NOT ISSUED</x:v>
      </x:c>
      <x:c r="F185" s="14" t="str">
        <x:v>OPEN</x:v>
      </x:c>
      <x:c r="G185" s="14" t="str">
        <x:v>OPEN</x:v>
      </x:c>
    </x:row>
    <x:row r="186">
      <x:c r="A186" s="15" t="str">
        <x:v>XR-182</x:v>
      </x:c>
      <x:c r="B186" s="15" t="str">
        <x:v>ER-06</x:v>
      </x:c>
      <x:c r="C186" s="15" t="str">
        <x:v>CELL-01</x:v>
      </x:c>
      <x:c r="D186" s="15" t="str">
        <x:v>ROOT TEAM</x:v>
      </x:c>
      <x:c r="E186" s="15" t="str">
        <x:v>NOT ISSUED</x:v>
      </x:c>
      <x:c r="F186" s="15" t="str">
        <x:v>OPEN</x:v>
      </x:c>
      <x:c r="G186" s="15" t="str">
        <x:v>OPEN</x:v>
      </x:c>
    </x:row>
    <x:row r="187">
      <x:c r="A187" s="14" t="str">
        <x:v>XR-183</x:v>
      </x:c>
      <x:c r="B187" s="14" t="str">
        <x:v>ER-06</x:v>
      </x:c>
      <x:c r="C187" s="14" t="str">
        <x:v>CELL-01</x:v>
      </x:c>
      <x:c r="D187" s="14" t="str">
        <x:v>DEPLOYABLE</x:v>
      </x:c>
      <x:c r="E187" s="14" t="str">
        <x:v>NOT ISSUED</x:v>
      </x:c>
      <x:c r="F187" s="14" t="str">
        <x:v>OPEN</x:v>
      </x:c>
      <x:c r="G187" s="14" t="str">
        <x:v>OPEN</x:v>
      </x:c>
    </x:row>
    <x:row r="188">
      <x:c r="A188" s="15" t="str">
        <x:v>XR-184</x:v>
      </x:c>
      <x:c r="B188" s="15" t="str">
        <x:v>ER-06</x:v>
      </x:c>
      <x:c r="C188" s="15" t="str">
        <x:v>CELL-02</x:v>
      </x:c>
      <x:c r="D188" s="15" t="str">
        <x:v>REMOTE</x:v>
      </x:c>
      <x:c r="E188" s="15" t="str">
        <x:v>NOT ISSUED</x:v>
      </x:c>
      <x:c r="F188" s="15" t="str">
        <x:v>OPEN</x:v>
      </x:c>
      <x:c r="G188" s="15" t="str">
        <x:v>OPEN</x:v>
      </x:c>
    </x:row>
    <x:row r="189">
      <x:c r="A189" s="14" t="str">
        <x:v>XR-185</x:v>
      </x:c>
      <x:c r="B189" s="14" t="str">
        <x:v>ER-06</x:v>
      </x:c>
      <x:c r="C189" s="14" t="str">
        <x:v>CELL-02</x:v>
      </x:c>
      <x:c r="D189" s="14" t="str">
        <x:v>ROOT TEAM</x:v>
      </x:c>
      <x:c r="E189" s="14" t="str">
        <x:v>NOT ISSUED</x:v>
      </x:c>
      <x:c r="F189" s="14" t="str">
        <x:v>OPEN</x:v>
      </x:c>
      <x:c r="G189" s="14" t="str">
        <x:v>OPEN</x:v>
      </x:c>
    </x:row>
    <x:row r="190">
      <x:c r="A190" s="15" t="str">
        <x:v>XR-186</x:v>
      </x:c>
      <x:c r="B190" s="15" t="str">
        <x:v>ER-06</x:v>
      </x:c>
      <x:c r="C190" s="15" t="str">
        <x:v>CELL-02</x:v>
      </x:c>
      <x:c r="D190" s="15" t="str">
        <x:v>DEPLOYABLE</x:v>
      </x:c>
      <x:c r="E190" s="15" t="str">
        <x:v>NOT ISSUED</x:v>
      </x:c>
      <x:c r="F190" s="15" t="str">
        <x:v>OPEN</x:v>
      </x:c>
      <x:c r="G190" s="15" t="str">
        <x:v>OPEN</x:v>
      </x:c>
    </x:row>
    <x:row r="191">
      <x:c r="A191" s="14" t="str">
        <x:v>XR-187</x:v>
      </x:c>
      <x:c r="B191" s="14" t="str">
        <x:v>ER-06</x:v>
      </x:c>
      <x:c r="C191" s="14" t="str">
        <x:v>CELL-03</x:v>
      </x:c>
      <x:c r="D191" s="14" t="str">
        <x:v>REMOTE</x:v>
      </x:c>
      <x:c r="E191" s="14" t="str">
        <x:v>NOT ISSUED</x:v>
      </x:c>
      <x:c r="F191" s="14" t="str">
        <x:v>OPEN</x:v>
      </x:c>
      <x:c r="G191" s="14" t="str">
        <x:v>OPEN</x:v>
      </x:c>
    </x:row>
    <x:row r="192">
      <x:c r="A192" s="15" t="str">
        <x:v>XR-188</x:v>
      </x:c>
      <x:c r="B192" s="15" t="str">
        <x:v>ER-06</x:v>
      </x:c>
      <x:c r="C192" s="15" t="str">
        <x:v>CELL-03</x:v>
      </x:c>
      <x:c r="D192" s="15" t="str">
        <x:v>ROOT TEAM</x:v>
      </x:c>
      <x:c r="E192" s="15" t="str">
        <x:v>NOT ISSUED</x:v>
      </x:c>
      <x:c r="F192" s="15" t="str">
        <x:v>OPEN</x:v>
      </x:c>
      <x:c r="G192" s="15" t="str">
        <x:v>OPEN</x:v>
      </x:c>
    </x:row>
    <x:row r="193">
      <x:c r="A193" s="14" t="str">
        <x:v>XR-189</x:v>
      </x:c>
      <x:c r="B193" s="14" t="str">
        <x:v>ER-06</x:v>
      </x:c>
      <x:c r="C193" s="14" t="str">
        <x:v>CELL-03</x:v>
      </x:c>
      <x:c r="D193" s="14" t="str">
        <x:v>DEPLOYABLE</x:v>
      </x:c>
      <x:c r="E193" s="14" t="str">
        <x:v>NOT ISSUED</x:v>
      </x:c>
      <x:c r="F193" s="14" t="str">
        <x:v>OPEN</x:v>
      </x:c>
      <x:c r="G193" s="14" t="str">
        <x:v>OPEN</x:v>
      </x:c>
    </x:row>
    <x:row r="194">
      <x:c r="A194" s="15" t="str">
        <x:v>XR-190</x:v>
      </x:c>
      <x:c r="B194" s="15" t="str">
        <x:v>ER-06</x:v>
      </x:c>
      <x:c r="C194" s="15" t="str">
        <x:v>CELL-04</x:v>
      </x:c>
      <x:c r="D194" s="15" t="str">
        <x:v>REMOTE</x:v>
      </x:c>
      <x:c r="E194" s="15" t="str">
        <x:v>NOT ISSUED</x:v>
      </x:c>
      <x:c r="F194" s="15" t="str">
        <x:v>OPEN</x:v>
      </x:c>
      <x:c r="G194" s="15" t="str">
        <x:v>OPEN</x:v>
      </x:c>
    </x:row>
    <x:row r="195">
      <x:c r="A195" s="14" t="str">
        <x:v>XR-191</x:v>
      </x:c>
      <x:c r="B195" s="14" t="str">
        <x:v>ER-06</x:v>
      </x:c>
      <x:c r="C195" s="14" t="str">
        <x:v>CELL-04</x:v>
      </x:c>
      <x:c r="D195" s="14" t="str">
        <x:v>ROOT TEAM</x:v>
      </x:c>
      <x:c r="E195" s="14" t="str">
        <x:v>NOT ISSUED</x:v>
      </x:c>
      <x:c r="F195" s="14" t="str">
        <x:v>OPEN</x:v>
      </x:c>
      <x:c r="G195" s="14" t="str">
        <x:v>OPEN</x:v>
      </x:c>
    </x:row>
    <x:row r="196">
      <x:c r="A196" s="15" t="str">
        <x:v>XR-192</x:v>
      </x:c>
      <x:c r="B196" s="15" t="str">
        <x:v>ER-06</x:v>
      </x:c>
      <x:c r="C196" s="15" t="str">
        <x:v>CELL-04</x:v>
      </x:c>
      <x:c r="D196" s="15" t="str">
        <x:v>DEPLOYABLE</x:v>
      </x:c>
      <x:c r="E196" s="15" t="str">
        <x:v>NOT ISSUED</x:v>
      </x:c>
      <x:c r="F196" s="15" t="str">
        <x:v>OPEN</x:v>
      </x:c>
      <x:c r="G196" s="15" t="str">
        <x:v>OPEN</x:v>
      </x:c>
    </x:row>
    <x:row r="197">
      <x:c r="A197" s="14" t="str">
        <x:v>XR-193</x:v>
      </x:c>
      <x:c r="B197" s="14" t="str">
        <x:v>ER-06</x:v>
      </x:c>
      <x:c r="C197" s="14" t="str">
        <x:v>CELL-05</x:v>
      </x:c>
      <x:c r="D197" s="14" t="str">
        <x:v>REMOTE</x:v>
      </x:c>
      <x:c r="E197" s="14" t="str">
        <x:v>NOT ISSUED</x:v>
      </x:c>
      <x:c r="F197" s="14" t="str">
        <x:v>OPEN</x:v>
      </x:c>
      <x:c r="G197" s="14" t="str">
        <x:v>OPEN</x:v>
      </x:c>
    </x:row>
    <x:row r="198">
      <x:c r="A198" s="15" t="str">
        <x:v>XR-194</x:v>
      </x:c>
      <x:c r="B198" s="15" t="str">
        <x:v>ER-06</x:v>
      </x:c>
      <x:c r="C198" s="15" t="str">
        <x:v>CELL-05</x:v>
      </x:c>
      <x:c r="D198" s="15" t="str">
        <x:v>ROOT TEAM</x:v>
      </x:c>
      <x:c r="E198" s="15" t="str">
        <x:v>NOT ISSUED</x:v>
      </x:c>
      <x:c r="F198" s="15" t="str">
        <x:v>OPEN</x:v>
      </x:c>
      <x:c r="G198" s="15" t="str">
        <x:v>OPEN</x:v>
      </x:c>
    </x:row>
    <x:row r="199">
      <x:c r="A199" s="14" t="str">
        <x:v>XR-195</x:v>
      </x:c>
      <x:c r="B199" s="14" t="str">
        <x:v>ER-06</x:v>
      </x:c>
      <x:c r="C199" s="14" t="str">
        <x:v>CELL-05</x:v>
      </x:c>
      <x:c r="D199" s="14" t="str">
        <x:v>DEPLOYABLE</x:v>
      </x:c>
      <x:c r="E199" s="14" t="str">
        <x:v>NOT ISSUED</x:v>
      </x:c>
      <x:c r="F199" s="14" t="str">
        <x:v>OPEN</x:v>
      </x:c>
      <x:c r="G199" s="14" t="str">
        <x:v>OPEN</x:v>
      </x:c>
    </x:row>
    <x:row r="200">
      <x:c r="A200" s="15" t="str">
        <x:v>XR-196</x:v>
      </x:c>
      <x:c r="B200" s="15" t="str">
        <x:v>ER-06</x:v>
      </x:c>
      <x:c r="C200" s="15" t="str">
        <x:v>CELL-06</x:v>
      </x:c>
      <x:c r="D200" s="15" t="str">
        <x:v>REMOTE</x:v>
      </x:c>
      <x:c r="E200" s="15" t="str">
        <x:v>NOT ISSUED</x:v>
      </x:c>
      <x:c r="F200" s="15" t="str">
        <x:v>OPEN</x:v>
      </x:c>
      <x:c r="G200" s="15" t="str">
        <x:v>OPEN</x:v>
      </x:c>
    </x:row>
    <x:row r="201">
      <x:c r="A201" s="14" t="str">
        <x:v>XR-197</x:v>
      </x:c>
      <x:c r="B201" s="14" t="str">
        <x:v>ER-06</x:v>
      </x:c>
      <x:c r="C201" s="14" t="str">
        <x:v>CELL-06</x:v>
      </x:c>
      <x:c r="D201" s="14" t="str">
        <x:v>ROOT TEAM</x:v>
      </x:c>
      <x:c r="E201" s="14" t="str">
        <x:v>NOT ISSUED</x:v>
      </x:c>
      <x:c r="F201" s="14" t="str">
        <x:v>OPEN</x:v>
      </x:c>
      <x:c r="G201" s="14" t="str">
        <x:v>OPEN</x:v>
      </x:c>
    </x:row>
    <x:row r="202">
      <x:c r="A202" s="15" t="str">
        <x:v>XR-198</x:v>
      </x:c>
      <x:c r="B202" s="15" t="str">
        <x:v>ER-06</x:v>
      </x:c>
      <x:c r="C202" s="15" t="str">
        <x:v>CELL-06</x:v>
      </x:c>
      <x:c r="D202" s="15" t="str">
        <x:v>DEPLOYABLE</x:v>
      </x:c>
      <x:c r="E202" s="15" t="str">
        <x:v>NOT ISSUED</x:v>
      </x:c>
      <x:c r="F202" s="15" t="str">
        <x:v>OPEN</x:v>
      </x:c>
      <x:c r="G202" s="15" t="str">
        <x:v>OPEN</x:v>
      </x:c>
    </x:row>
    <x:row r="203">
      <x:c r="A203" s="14" t="str">
        <x:v>XR-199</x:v>
      </x:c>
      <x:c r="B203" s="14" t="str">
        <x:v>ER-06</x:v>
      </x:c>
      <x:c r="C203" s="14" t="str">
        <x:v>CELL-07</x:v>
      </x:c>
      <x:c r="D203" s="14" t="str">
        <x:v>REMOTE</x:v>
      </x:c>
      <x:c r="E203" s="14" t="str">
        <x:v>NOT ISSUED</x:v>
      </x:c>
      <x:c r="F203" s="14" t="str">
        <x:v>OPEN</x:v>
      </x:c>
      <x:c r="G203" s="14" t="str">
        <x:v>OPEN</x:v>
      </x:c>
    </x:row>
    <x:row r="204">
      <x:c r="A204" s="15" t="str">
        <x:v>XR-200</x:v>
      </x:c>
      <x:c r="B204" s="15" t="str">
        <x:v>ER-06</x:v>
      </x:c>
      <x:c r="C204" s="15" t="str">
        <x:v>CELL-07</x:v>
      </x:c>
      <x:c r="D204" s="15" t="str">
        <x:v>ROOT TEAM</x:v>
      </x:c>
      <x:c r="E204" s="15" t="str">
        <x:v>NOT ISSUED</x:v>
      </x:c>
      <x:c r="F204" s="15" t="str">
        <x:v>OPEN</x:v>
      </x:c>
      <x:c r="G204" s="15" t="str">
        <x:v>OPEN</x:v>
      </x:c>
    </x:row>
    <x:row r="205">
      <x:c r="A205" s="14" t="str">
        <x:v>XR-201</x:v>
      </x:c>
      <x:c r="B205" s="14" t="str">
        <x:v>ER-06</x:v>
      </x:c>
      <x:c r="C205" s="14" t="str">
        <x:v>CELL-07</x:v>
      </x:c>
      <x:c r="D205" s="14" t="str">
        <x:v>DEPLOYABLE</x:v>
      </x:c>
      <x:c r="E205" s="14" t="str">
        <x:v>NOT ISSUED</x:v>
      </x:c>
      <x:c r="F205" s="14" t="str">
        <x:v>OPEN</x:v>
      </x:c>
      <x:c r="G205" s="14" t="str">
        <x:v>OPEN</x:v>
      </x:c>
    </x:row>
    <x:row r="206">
      <x:c r="A206" s="15" t="str">
        <x:v>XR-202</x:v>
      </x:c>
      <x:c r="B206" s="15" t="str">
        <x:v>ER-06</x:v>
      </x:c>
      <x:c r="C206" s="15" t="str">
        <x:v>CELL-08</x:v>
      </x:c>
      <x:c r="D206" s="15" t="str">
        <x:v>REMOTE</x:v>
      </x:c>
      <x:c r="E206" s="15" t="str">
        <x:v>NOT ISSUED</x:v>
      </x:c>
      <x:c r="F206" s="15" t="str">
        <x:v>OPEN</x:v>
      </x:c>
      <x:c r="G206" s="15" t="str">
        <x:v>OPEN</x:v>
      </x:c>
    </x:row>
    <x:row r="207">
      <x:c r="A207" s="14" t="str">
        <x:v>XR-203</x:v>
      </x:c>
      <x:c r="B207" s="14" t="str">
        <x:v>ER-06</x:v>
      </x:c>
      <x:c r="C207" s="14" t="str">
        <x:v>CELL-08</x:v>
      </x:c>
      <x:c r="D207" s="14" t="str">
        <x:v>ROOT TEAM</x:v>
      </x:c>
      <x:c r="E207" s="14" t="str">
        <x:v>NOT ISSUED</x:v>
      </x:c>
      <x:c r="F207" s="14" t="str">
        <x:v>OPEN</x:v>
      </x:c>
      <x:c r="G207" s="14" t="str">
        <x:v>OPEN</x:v>
      </x:c>
    </x:row>
    <x:row r="208">
      <x:c r="A208" s="15" t="str">
        <x:v>XR-204</x:v>
      </x:c>
      <x:c r="B208" s="15" t="str">
        <x:v>ER-06</x:v>
      </x:c>
      <x:c r="C208" s="15" t="str">
        <x:v>CELL-08</x:v>
      </x:c>
      <x:c r="D208" s="15" t="str">
        <x:v>DEPLOYABLE</x:v>
      </x:c>
      <x:c r="E208" s="15" t="str">
        <x:v>NOT ISSUED</x:v>
      </x:c>
      <x:c r="F208" s="15" t="str">
        <x:v>OPEN</x:v>
      </x:c>
      <x:c r="G208" s="15" t="str">
        <x:v>OPEN</x:v>
      </x:c>
    </x:row>
    <x:row r="209">
      <x:c r="A209" s="14" t="str">
        <x:v>XR-205</x:v>
      </x:c>
      <x:c r="B209" s="14" t="str">
        <x:v>ER-06</x:v>
      </x:c>
      <x:c r="C209" s="14" t="str">
        <x:v>CELL-09</x:v>
      </x:c>
      <x:c r="D209" s="14" t="str">
        <x:v>REMOTE</x:v>
      </x:c>
      <x:c r="E209" s="14" t="str">
        <x:v>NOT ISSUED</x:v>
      </x:c>
      <x:c r="F209" s="14" t="str">
        <x:v>OPEN</x:v>
      </x:c>
      <x:c r="G209" s="14" t="str">
        <x:v>OPEN</x:v>
      </x:c>
    </x:row>
    <x:row r="210">
      <x:c r="A210" s="15" t="str">
        <x:v>XR-206</x:v>
      </x:c>
      <x:c r="B210" s="15" t="str">
        <x:v>ER-06</x:v>
      </x:c>
      <x:c r="C210" s="15" t="str">
        <x:v>CELL-09</x:v>
      </x:c>
      <x:c r="D210" s="15" t="str">
        <x:v>ROOT TEAM</x:v>
      </x:c>
      <x:c r="E210" s="15" t="str">
        <x:v>NOT ISSUED</x:v>
      </x:c>
      <x:c r="F210" s="15" t="str">
        <x:v>OPEN</x:v>
      </x:c>
      <x:c r="G210" s="15" t="str">
        <x:v>OPEN</x:v>
      </x:c>
    </x:row>
    <x:row r="211">
      <x:c r="A211" s="14" t="str">
        <x:v>XR-207</x:v>
      </x:c>
      <x:c r="B211" s="14" t="str">
        <x:v>ER-06</x:v>
      </x:c>
      <x:c r="C211" s="14" t="str">
        <x:v>CELL-09</x:v>
      </x:c>
      <x:c r="D211" s="14" t="str">
        <x:v>DEPLOYABLE</x:v>
      </x:c>
      <x:c r="E211" s="14" t="str">
        <x:v>NOT ISSUED</x:v>
      </x:c>
      <x:c r="F211" s="14" t="str">
        <x:v>OPEN</x:v>
      </x:c>
      <x:c r="G211" s="14" t="str">
        <x:v>OPEN</x:v>
      </x:c>
    </x:row>
    <x:row r="212">
      <x:c r="A212" s="15" t="str">
        <x:v>XR-208</x:v>
      </x:c>
      <x:c r="B212" s="15" t="str">
        <x:v>ER-06</x:v>
      </x:c>
      <x:c r="C212" s="15" t="str">
        <x:v>CELL-10</x:v>
      </x:c>
      <x:c r="D212" s="15" t="str">
        <x:v>REMOTE</x:v>
      </x:c>
      <x:c r="E212" s="15" t="str">
        <x:v>NOT ISSUED</x:v>
      </x:c>
      <x:c r="F212" s="15" t="str">
        <x:v>OPEN</x:v>
      </x:c>
      <x:c r="G212" s="15" t="str">
        <x:v>OPEN</x:v>
      </x:c>
    </x:row>
    <x:row r="213">
      <x:c r="A213" s="14" t="str">
        <x:v>XR-209</x:v>
      </x:c>
      <x:c r="B213" s="14" t="str">
        <x:v>ER-06</x:v>
      </x:c>
      <x:c r="C213" s="14" t="str">
        <x:v>CELL-10</x:v>
      </x:c>
      <x:c r="D213" s="14" t="str">
        <x:v>ROOT TEAM</x:v>
      </x:c>
      <x:c r="E213" s="14" t="str">
        <x:v>NOT ISSUED</x:v>
      </x:c>
      <x:c r="F213" s="14" t="str">
        <x:v>OPEN</x:v>
      </x:c>
      <x:c r="G213" s="14" t="str">
        <x:v>OPEN</x:v>
      </x:c>
    </x:row>
    <x:row r="214">
      <x:c r="A214" s="15" t="str">
        <x:v>XR-210</x:v>
      </x:c>
      <x:c r="B214" s="15" t="str">
        <x:v>ER-06</x:v>
      </x:c>
      <x:c r="C214" s="15" t="str">
        <x:v>CELL-10</x:v>
      </x:c>
      <x:c r="D214" s="15" t="str">
        <x:v>DEPLOYABLE</x:v>
      </x:c>
      <x:c r="E214" s="15" t="str">
        <x:v>NOT ISSUED</x:v>
      </x:c>
      <x:c r="F214" s="15" t="str">
        <x:v>OPEN</x:v>
      </x:c>
      <x:c r="G214" s="15" t="str">
        <x:v>OPEN</x:v>
      </x:c>
    </x:row>
    <x:row r="215">
      <x:c r="A215" s="14" t="str">
        <x:v>XR-211</x:v>
      </x:c>
      <x:c r="B215" s="14" t="str">
        <x:v>ER-06</x:v>
      </x:c>
      <x:c r="C215" s="14" t="str">
        <x:v>CELL-11</x:v>
      </x:c>
      <x:c r="D215" s="14" t="str">
        <x:v>REMOTE</x:v>
      </x:c>
      <x:c r="E215" s="14" t="str">
        <x:v>NOT ISSUED</x:v>
      </x:c>
      <x:c r="F215" s="14" t="str">
        <x:v>OPEN</x:v>
      </x:c>
      <x:c r="G215" s="14" t="str">
        <x:v>OPEN</x:v>
      </x:c>
    </x:row>
    <x:row r="216">
      <x:c r="A216" s="15" t="str">
        <x:v>XR-212</x:v>
      </x:c>
      <x:c r="B216" s="15" t="str">
        <x:v>ER-06</x:v>
      </x:c>
      <x:c r="C216" s="15" t="str">
        <x:v>CELL-11</x:v>
      </x:c>
      <x:c r="D216" s="15" t="str">
        <x:v>ROOT TEAM</x:v>
      </x:c>
      <x:c r="E216" s="15" t="str">
        <x:v>NOT ISSUED</x:v>
      </x:c>
      <x:c r="F216" s="15" t="str">
        <x:v>OPEN</x:v>
      </x:c>
      <x:c r="G216" s="15" t="str">
        <x:v>OPEN</x:v>
      </x:c>
    </x:row>
    <x:row r="217">
      <x:c r="A217" s="14" t="str">
        <x:v>XR-213</x:v>
      </x:c>
      <x:c r="B217" s="14" t="str">
        <x:v>ER-06</x:v>
      </x:c>
      <x:c r="C217" s="14" t="str">
        <x:v>CELL-11</x:v>
      </x:c>
      <x:c r="D217" s="14" t="str">
        <x:v>DEPLOYABLE</x:v>
      </x:c>
      <x:c r="E217" s="14" t="str">
        <x:v>NOT ISSUED</x:v>
      </x:c>
      <x:c r="F217" s="14" t="str">
        <x:v>OPEN</x:v>
      </x:c>
      <x:c r="G217" s="14" t="str">
        <x:v>OPEN</x:v>
      </x:c>
    </x:row>
    <x:row r="218">
      <x:c r="A218" s="15" t="str">
        <x:v>XR-214</x:v>
      </x:c>
      <x:c r="B218" s="15" t="str">
        <x:v>ER-06</x:v>
      </x:c>
      <x:c r="C218" s="15" t="str">
        <x:v>CELL-12</x:v>
      </x:c>
      <x:c r="D218" s="15" t="str">
        <x:v>REMOTE</x:v>
      </x:c>
      <x:c r="E218" s="15" t="str">
        <x:v>NOT ISSUED</x:v>
      </x:c>
      <x:c r="F218" s="15" t="str">
        <x:v>OPEN</x:v>
      </x:c>
      <x:c r="G218" s="15" t="str">
        <x:v>OPEN</x:v>
      </x:c>
    </x:row>
    <x:row r="219">
      <x:c r="A219" s="14" t="str">
        <x:v>XR-215</x:v>
      </x:c>
      <x:c r="B219" s="14" t="str">
        <x:v>ER-06</x:v>
      </x:c>
      <x:c r="C219" s="14" t="str">
        <x:v>CELL-12</x:v>
      </x:c>
      <x:c r="D219" s="14" t="str">
        <x:v>ROOT TEAM</x:v>
      </x:c>
      <x:c r="E219" s="14" t="str">
        <x:v>NOT ISSUED</x:v>
      </x:c>
      <x:c r="F219" s="14" t="str">
        <x:v>OPEN</x:v>
      </x:c>
      <x:c r="G219" s="14" t="str">
        <x:v>OPEN</x:v>
      </x:c>
    </x:row>
    <x:row r="220">
      <x:c r="A220" s="15" t="str">
        <x:v>XR-216</x:v>
      </x:c>
      <x:c r="B220" s="15" t="str">
        <x:v>ER-06</x:v>
      </x:c>
      <x:c r="C220" s="15" t="str">
        <x:v>CELL-12</x:v>
      </x:c>
      <x:c r="D220" s="15" t="str">
        <x:v>DEPLOYABLE</x:v>
      </x:c>
      <x:c r="E220" s="15" t="str">
        <x:v>NOT ISSUED</x:v>
      </x:c>
      <x:c r="F220" s="15" t="str">
        <x:v>OPEN</x:v>
      </x:c>
      <x:c r="G220" s="15" t="str">
        <x:v>OPEN</x:v>
      </x:c>
    </x:row>
    <x:row r="221">
      <x:c r="A221" s="14" t="str">
        <x:v>XR-217</x:v>
      </x:c>
      <x:c r="B221" s="14" t="str">
        <x:v>ER-07</x:v>
      </x:c>
      <x:c r="C221" s="14" t="str">
        <x:v>CELL-01</x:v>
      </x:c>
      <x:c r="D221" s="14" t="str">
        <x:v>REMOTE</x:v>
      </x:c>
      <x:c r="E221" s="14" t="str">
        <x:v>NOT ISSUED</x:v>
      </x:c>
      <x:c r="F221" s="14" t="str">
        <x:v>OPEN</x:v>
      </x:c>
      <x:c r="G221" s="14" t="str">
        <x:v>OPEN</x:v>
      </x:c>
    </x:row>
    <x:row r="222">
      <x:c r="A222" s="15" t="str">
        <x:v>XR-218</x:v>
      </x:c>
      <x:c r="B222" s="15" t="str">
        <x:v>ER-07</x:v>
      </x:c>
      <x:c r="C222" s="15" t="str">
        <x:v>CELL-01</x:v>
      </x:c>
      <x:c r="D222" s="15" t="str">
        <x:v>ROOT TEAM</x:v>
      </x:c>
      <x:c r="E222" s="15" t="str">
        <x:v>NOT ISSUED</x:v>
      </x:c>
      <x:c r="F222" s="15" t="str">
        <x:v>OPEN</x:v>
      </x:c>
      <x:c r="G222" s="15" t="str">
        <x:v>OPEN</x:v>
      </x:c>
    </x:row>
    <x:row r="223">
      <x:c r="A223" s="14" t="str">
        <x:v>XR-219</x:v>
      </x:c>
      <x:c r="B223" s="14" t="str">
        <x:v>ER-07</x:v>
      </x:c>
      <x:c r="C223" s="14" t="str">
        <x:v>CELL-01</x:v>
      </x:c>
      <x:c r="D223" s="14" t="str">
        <x:v>DEPLOYABLE</x:v>
      </x:c>
      <x:c r="E223" s="14" t="str">
        <x:v>NOT ISSUED</x:v>
      </x:c>
      <x:c r="F223" s="14" t="str">
        <x:v>OPEN</x:v>
      </x:c>
      <x:c r="G223" s="14" t="str">
        <x:v>OPEN</x:v>
      </x:c>
    </x:row>
    <x:row r="224">
      <x:c r="A224" s="15" t="str">
        <x:v>XR-220</x:v>
      </x:c>
      <x:c r="B224" s="15" t="str">
        <x:v>ER-07</x:v>
      </x:c>
      <x:c r="C224" s="15" t="str">
        <x:v>CELL-02</x:v>
      </x:c>
      <x:c r="D224" s="15" t="str">
        <x:v>REMOTE</x:v>
      </x:c>
      <x:c r="E224" s="15" t="str">
        <x:v>NOT ISSUED</x:v>
      </x:c>
      <x:c r="F224" s="15" t="str">
        <x:v>OPEN</x:v>
      </x:c>
      <x:c r="G224" s="15" t="str">
        <x:v>OPEN</x:v>
      </x:c>
    </x:row>
    <x:row r="225">
      <x:c r="A225" s="14" t="str">
        <x:v>XR-221</x:v>
      </x:c>
      <x:c r="B225" s="14" t="str">
        <x:v>ER-07</x:v>
      </x:c>
      <x:c r="C225" s="14" t="str">
        <x:v>CELL-02</x:v>
      </x:c>
      <x:c r="D225" s="14" t="str">
        <x:v>ROOT TEAM</x:v>
      </x:c>
      <x:c r="E225" s="14" t="str">
        <x:v>NOT ISSUED</x:v>
      </x:c>
      <x:c r="F225" s="14" t="str">
        <x:v>OPEN</x:v>
      </x:c>
      <x:c r="G225" s="14" t="str">
        <x:v>OPEN</x:v>
      </x:c>
    </x:row>
    <x:row r="226">
      <x:c r="A226" s="15" t="str">
        <x:v>XR-222</x:v>
      </x:c>
      <x:c r="B226" s="15" t="str">
        <x:v>ER-07</x:v>
      </x:c>
      <x:c r="C226" s="15" t="str">
        <x:v>CELL-02</x:v>
      </x:c>
      <x:c r="D226" s="15" t="str">
        <x:v>DEPLOYABLE</x:v>
      </x:c>
      <x:c r="E226" s="15" t="str">
        <x:v>NOT ISSUED</x:v>
      </x:c>
      <x:c r="F226" s="15" t="str">
        <x:v>OPEN</x:v>
      </x:c>
      <x:c r="G226" s="15" t="str">
        <x:v>OPEN</x:v>
      </x:c>
    </x:row>
    <x:row r="227">
      <x:c r="A227" s="14" t="str">
        <x:v>XR-223</x:v>
      </x:c>
      <x:c r="B227" s="14" t="str">
        <x:v>ER-07</x:v>
      </x:c>
      <x:c r="C227" s="14" t="str">
        <x:v>CELL-03</x:v>
      </x:c>
      <x:c r="D227" s="14" t="str">
        <x:v>REMOTE</x:v>
      </x:c>
      <x:c r="E227" s="14" t="str">
        <x:v>NOT ISSUED</x:v>
      </x:c>
      <x:c r="F227" s="14" t="str">
        <x:v>OPEN</x:v>
      </x:c>
      <x:c r="G227" s="14" t="str">
        <x:v>OPEN</x:v>
      </x:c>
    </x:row>
    <x:row r="228">
      <x:c r="A228" s="15" t="str">
        <x:v>XR-224</x:v>
      </x:c>
      <x:c r="B228" s="15" t="str">
        <x:v>ER-07</x:v>
      </x:c>
      <x:c r="C228" s="15" t="str">
        <x:v>CELL-03</x:v>
      </x:c>
      <x:c r="D228" s="15" t="str">
        <x:v>ROOT TEAM</x:v>
      </x:c>
      <x:c r="E228" s="15" t="str">
        <x:v>NOT ISSUED</x:v>
      </x:c>
      <x:c r="F228" s="15" t="str">
        <x:v>OPEN</x:v>
      </x:c>
      <x:c r="G228" s="15" t="str">
        <x:v>OPEN</x:v>
      </x:c>
    </x:row>
    <x:row r="229">
      <x:c r="A229" s="14" t="str">
        <x:v>XR-225</x:v>
      </x:c>
      <x:c r="B229" s="14" t="str">
        <x:v>ER-07</x:v>
      </x:c>
      <x:c r="C229" s="14" t="str">
        <x:v>CELL-03</x:v>
      </x:c>
      <x:c r="D229" s="14" t="str">
        <x:v>DEPLOYABLE</x:v>
      </x:c>
      <x:c r="E229" s="14" t="str">
        <x:v>NOT ISSUED</x:v>
      </x:c>
      <x:c r="F229" s="14" t="str">
        <x:v>OPEN</x:v>
      </x:c>
      <x:c r="G229" s="14" t="str">
        <x:v>OPEN</x:v>
      </x:c>
    </x:row>
    <x:row r="230">
      <x:c r="A230" s="15" t="str">
        <x:v>XR-226</x:v>
      </x:c>
      <x:c r="B230" s="15" t="str">
        <x:v>ER-07</x:v>
      </x:c>
      <x:c r="C230" s="15" t="str">
        <x:v>CELL-04</x:v>
      </x:c>
      <x:c r="D230" s="15" t="str">
        <x:v>REMOTE</x:v>
      </x:c>
      <x:c r="E230" s="15" t="str">
        <x:v>NOT ISSUED</x:v>
      </x:c>
      <x:c r="F230" s="15" t="str">
        <x:v>OPEN</x:v>
      </x:c>
      <x:c r="G230" s="15" t="str">
        <x:v>OPEN</x:v>
      </x:c>
    </x:row>
    <x:row r="231">
      <x:c r="A231" s="14" t="str">
        <x:v>XR-227</x:v>
      </x:c>
      <x:c r="B231" s="14" t="str">
        <x:v>ER-07</x:v>
      </x:c>
      <x:c r="C231" s="14" t="str">
        <x:v>CELL-04</x:v>
      </x:c>
      <x:c r="D231" s="14" t="str">
        <x:v>ROOT TEAM</x:v>
      </x:c>
      <x:c r="E231" s="14" t="str">
        <x:v>NOT ISSUED</x:v>
      </x:c>
      <x:c r="F231" s="14" t="str">
        <x:v>OPEN</x:v>
      </x:c>
      <x:c r="G231" s="14" t="str">
        <x:v>OPEN</x:v>
      </x:c>
    </x:row>
    <x:row r="232">
      <x:c r="A232" s="15" t="str">
        <x:v>XR-228</x:v>
      </x:c>
      <x:c r="B232" s="15" t="str">
        <x:v>ER-07</x:v>
      </x:c>
      <x:c r="C232" s="15" t="str">
        <x:v>CELL-04</x:v>
      </x:c>
      <x:c r="D232" s="15" t="str">
        <x:v>DEPLOYABLE</x:v>
      </x:c>
      <x:c r="E232" s="15" t="str">
        <x:v>NOT ISSUED</x:v>
      </x:c>
      <x:c r="F232" s="15" t="str">
        <x:v>OPEN</x:v>
      </x:c>
      <x:c r="G232" s="15" t="str">
        <x:v>OPEN</x:v>
      </x:c>
    </x:row>
    <x:row r="233">
      <x:c r="A233" s="14" t="str">
        <x:v>XR-229</x:v>
      </x:c>
      <x:c r="B233" s="14" t="str">
        <x:v>ER-07</x:v>
      </x:c>
      <x:c r="C233" s="14" t="str">
        <x:v>CELL-05</x:v>
      </x:c>
      <x:c r="D233" s="14" t="str">
        <x:v>REMOTE</x:v>
      </x:c>
      <x:c r="E233" s="14" t="str">
        <x:v>NOT ISSUED</x:v>
      </x:c>
      <x:c r="F233" s="14" t="str">
        <x:v>OPEN</x:v>
      </x:c>
      <x:c r="G233" s="14" t="str">
        <x:v>OPEN</x:v>
      </x:c>
    </x:row>
    <x:row r="234">
      <x:c r="A234" s="15" t="str">
        <x:v>XR-230</x:v>
      </x:c>
      <x:c r="B234" s="15" t="str">
        <x:v>ER-07</x:v>
      </x:c>
      <x:c r="C234" s="15" t="str">
        <x:v>CELL-05</x:v>
      </x:c>
      <x:c r="D234" s="15" t="str">
        <x:v>ROOT TEAM</x:v>
      </x:c>
      <x:c r="E234" s="15" t="str">
        <x:v>NOT ISSUED</x:v>
      </x:c>
      <x:c r="F234" s="15" t="str">
        <x:v>OPEN</x:v>
      </x:c>
      <x:c r="G234" s="15" t="str">
        <x:v>OPEN</x:v>
      </x:c>
    </x:row>
    <x:row r="235">
      <x:c r="A235" s="14" t="str">
        <x:v>XR-231</x:v>
      </x:c>
      <x:c r="B235" s="14" t="str">
        <x:v>ER-07</x:v>
      </x:c>
      <x:c r="C235" s="14" t="str">
        <x:v>CELL-05</x:v>
      </x:c>
      <x:c r="D235" s="14" t="str">
        <x:v>DEPLOYABLE</x:v>
      </x:c>
      <x:c r="E235" s="14" t="str">
        <x:v>NOT ISSUED</x:v>
      </x:c>
      <x:c r="F235" s="14" t="str">
        <x:v>OPEN</x:v>
      </x:c>
      <x:c r="G235" s="14" t="str">
        <x:v>OPEN</x:v>
      </x:c>
    </x:row>
    <x:row r="236">
      <x:c r="A236" s="15" t="str">
        <x:v>XR-232</x:v>
      </x:c>
      <x:c r="B236" s="15" t="str">
        <x:v>ER-07</x:v>
      </x:c>
      <x:c r="C236" s="15" t="str">
        <x:v>CELL-06</x:v>
      </x:c>
      <x:c r="D236" s="15" t="str">
        <x:v>REMOTE</x:v>
      </x:c>
      <x:c r="E236" s="15" t="str">
        <x:v>NOT ISSUED</x:v>
      </x:c>
      <x:c r="F236" s="15" t="str">
        <x:v>OPEN</x:v>
      </x:c>
      <x:c r="G236" s="15" t="str">
        <x:v>OPEN</x:v>
      </x:c>
    </x:row>
    <x:row r="237">
      <x:c r="A237" s="14" t="str">
        <x:v>XR-233</x:v>
      </x:c>
      <x:c r="B237" s="14" t="str">
        <x:v>ER-07</x:v>
      </x:c>
      <x:c r="C237" s="14" t="str">
        <x:v>CELL-06</x:v>
      </x:c>
      <x:c r="D237" s="14" t="str">
        <x:v>ROOT TEAM</x:v>
      </x:c>
      <x:c r="E237" s="14" t="str">
        <x:v>NOT ISSUED</x:v>
      </x:c>
      <x:c r="F237" s="14" t="str">
        <x:v>OPEN</x:v>
      </x:c>
      <x:c r="G237" s="14" t="str">
        <x:v>OPEN</x:v>
      </x:c>
    </x:row>
    <x:row r="238">
      <x:c r="A238" s="15" t="str">
        <x:v>XR-234</x:v>
      </x:c>
      <x:c r="B238" s="15" t="str">
        <x:v>ER-07</x:v>
      </x:c>
      <x:c r="C238" s="15" t="str">
        <x:v>CELL-06</x:v>
      </x:c>
      <x:c r="D238" s="15" t="str">
        <x:v>DEPLOYABLE</x:v>
      </x:c>
      <x:c r="E238" s="15" t="str">
        <x:v>NOT ISSUED</x:v>
      </x:c>
      <x:c r="F238" s="15" t="str">
        <x:v>OPEN</x:v>
      </x:c>
      <x:c r="G238" s="15" t="str">
        <x:v>OPEN</x:v>
      </x:c>
    </x:row>
    <x:row r="239">
      <x:c r="A239" s="14" t="str">
        <x:v>XR-235</x:v>
      </x:c>
      <x:c r="B239" s="14" t="str">
        <x:v>ER-07</x:v>
      </x:c>
      <x:c r="C239" s="14" t="str">
        <x:v>CELL-07</x:v>
      </x:c>
      <x:c r="D239" s="14" t="str">
        <x:v>REMOTE</x:v>
      </x:c>
      <x:c r="E239" s="14" t="str">
        <x:v>NOT ISSUED</x:v>
      </x:c>
      <x:c r="F239" s="14" t="str">
        <x:v>OPEN</x:v>
      </x:c>
      <x:c r="G239" s="14" t="str">
        <x:v>OPEN</x:v>
      </x:c>
    </x:row>
    <x:row r="240">
      <x:c r="A240" s="15" t="str">
        <x:v>XR-236</x:v>
      </x:c>
      <x:c r="B240" s="15" t="str">
        <x:v>ER-07</x:v>
      </x:c>
      <x:c r="C240" s="15" t="str">
        <x:v>CELL-07</x:v>
      </x:c>
      <x:c r="D240" s="15" t="str">
        <x:v>ROOT TEAM</x:v>
      </x:c>
      <x:c r="E240" s="15" t="str">
        <x:v>NOT ISSUED</x:v>
      </x:c>
      <x:c r="F240" s="15" t="str">
        <x:v>OPEN</x:v>
      </x:c>
      <x:c r="G240" s="15" t="str">
        <x:v>OPEN</x:v>
      </x:c>
    </x:row>
    <x:row r="241">
      <x:c r="A241" s="14" t="str">
        <x:v>XR-237</x:v>
      </x:c>
      <x:c r="B241" s="14" t="str">
        <x:v>ER-07</x:v>
      </x:c>
      <x:c r="C241" s="14" t="str">
        <x:v>CELL-07</x:v>
      </x:c>
      <x:c r="D241" s="14" t="str">
        <x:v>DEPLOYABLE</x:v>
      </x:c>
      <x:c r="E241" s="14" t="str">
        <x:v>NOT ISSUED</x:v>
      </x:c>
      <x:c r="F241" s="14" t="str">
        <x:v>OPEN</x:v>
      </x:c>
      <x:c r="G241" s="14" t="str">
        <x:v>OPEN</x:v>
      </x:c>
    </x:row>
    <x:row r="242">
      <x:c r="A242" s="15" t="str">
        <x:v>XR-238</x:v>
      </x:c>
      <x:c r="B242" s="15" t="str">
        <x:v>ER-07</x:v>
      </x:c>
      <x:c r="C242" s="15" t="str">
        <x:v>CELL-08</x:v>
      </x:c>
      <x:c r="D242" s="15" t="str">
        <x:v>REMOTE</x:v>
      </x:c>
      <x:c r="E242" s="15" t="str">
        <x:v>NOT ISSUED</x:v>
      </x:c>
      <x:c r="F242" s="15" t="str">
        <x:v>OPEN</x:v>
      </x:c>
      <x:c r="G242" s="15" t="str">
        <x:v>OPEN</x:v>
      </x:c>
    </x:row>
    <x:row r="243">
      <x:c r="A243" s="14" t="str">
        <x:v>XR-239</x:v>
      </x:c>
      <x:c r="B243" s="14" t="str">
        <x:v>ER-07</x:v>
      </x:c>
      <x:c r="C243" s="14" t="str">
        <x:v>CELL-08</x:v>
      </x:c>
      <x:c r="D243" s="14" t="str">
        <x:v>ROOT TEAM</x:v>
      </x:c>
      <x:c r="E243" s="14" t="str">
        <x:v>NOT ISSUED</x:v>
      </x:c>
      <x:c r="F243" s="14" t="str">
        <x:v>OPEN</x:v>
      </x:c>
      <x:c r="G243" s="14" t="str">
        <x:v>OPEN</x:v>
      </x:c>
    </x:row>
    <x:row r="244">
      <x:c r="A244" s="15" t="str">
        <x:v>XR-240</x:v>
      </x:c>
      <x:c r="B244" s="15" t="str">
        <x:v>ER-07</x:v>
      </x:c>
      <x:c r="C244" s="15" t="str">
        <x:v>CELL-08</x:v>
      </x:c>
      <x:c r="D244" s="15" t="str">
        <x:v>DEPLOYABLE</x:v>
      </x:c>
      <x:c r="E244" s="15" t="str">
        <x:v>NOT ISSUED</x:v>
      </x:c>
      <x:c r="F244" s="15" t="str">
        <x:v>OPEN</x:v>
      </x:c>
      <x:c r="G244" s="15" t="str">
        <x:v>OPEN</x:v>
      </x:c>
    </x:row>
    <x:row r="245">
      <x:c r="A245" s="14" t="str">
        <x:v>XR-241</x:v>
      </x:c>
      <x:c r="B245" s="14" t="str">
        <x:v>ER-07</x:v>
      </x:c>
      <x:c r="C245" s="14" t="str">
        <x:v>CELL-09</x:v>
      </x:c>
      <x:c r="D245" s="14" t="str">
        <x:v>REMOTE</x:v>
      </x:c>
      <x:c r="E245" s="14" t="str">
        <x:v>NOT ISSUED</x:v>
      </x:c>
      <x:c r="F245" s="14" t="str">
        <x:v>OPEN</x:v>
      </x:c>
      <x:c r="G245" s="14" t="str">
        <x:v>OPEN</x:v>
      </x:c>
    </x:row>
    <x:row r="246">
      <x:c r="A246" s="15" t="str">
        <x:v>XR-242</x:v>
      </x:c>
      <x:c r="B246" s="15" t="str">
        <x:v>ER-07</x:v>
      </x:c>
      <x:c r="C246" s="15" t="str">
        <x:v>CELL-09</x:v>
      </x:c>
      <x:c r="D246" s="15" t="str">
        <x:v>ROOT TEAM</x:v>
      </x:c>
      <x:c r="E246" s="15" t="str">
        <x:v>NOT ISSUED</x:v>
      </x:c>
      <x:c r="F246" s="15" t="str">
        <x:v>OPEN</x:v>
      </x:c>
      <x:c r="G246" s="15" t="str">
        <x:v>OPEN</x:v>
      </x:c>
    </x:row>
    <x:row r="247">
      <x:c r="A247" s="14" t="str">
        <x:v>XR-243</x:v>
      </x:c>
      <x:c r="B247" s="14" t="str">
        <x:v>ER-07</x:v>
      </x:c>
      <x:c r="C247" s="14" t="str">
        <x:v>CELL-09</x:v>
      </x:c>
      <x:c r="D247" s="14" t="str">
        <x:v>DEPLOYABLE</x:v>
      </x:c>
      <x:c r="E247" s="14" t="str">
        <x:v>NOT ISSUED</x:v>
      </x:c>
      <x:c r="F247" s="14" t="str">
        <x:v>OPEN</x:v>
      </x:c>
      <x:c r="G247" s="14" t="str">
        <x:v>OPEN</x:v>
      </x:c>
    </x:row>
    <x:row r="248">
      <x:c r="A248" s="15" t="str">
        <x:v>XR-244</x:v>
      </x:c>
      <x:c r="B248" s="15" t="str">
        <x:v>ER-07</x:v>
      </x:c>
      <x:c r="C248" s="15" t="str">
        <x:v>CELL-10</x:v>
      </x:c>
      <x:c r="D248" s="15" t="str">
        <x:v>REMOTE</x:v>
      </x:c>
      <x:c r="E248" s="15" t="str">
        <x:v>NOT ISSUED</x:v>
      </x:c>
      <x:c r="F248" s="15" t="str">
        <x:v>OPEN</x:v>
      </x:c>
      <x:c r="G248" s="15" t="str">
        <x:v>OPEN</x:v>
      </x:c>
    </x:row>
    <x:row r="249">
      <x:c r="A249" s="14" t="str">
        <x:v>XR-245</x:v>
      </x:c>
      <x:c r="B249" s="14" t="str">
        <x:v>ER-07</x:v>
      </x:c>
      <x:c r="C249" s="14" t="str">
        <x:v>CELL-10</x:v>
      </x:c>
      <x:c r="D249" s="14" t="str">
        <x:v>ROOT TEAM</x:v>
      </x:c>
      <x:c r="E249" s="14" t="str">
        <x:v>NOT ISSUED</x:v>
      </x:c>
      <x:c r="F249" s="14" t="str">
        <x:v>OPEN</x:v>
      </x:c>
      <x:c r="G249" s="14" t="str">
        <x:v>OPEN</x:v>
      </x:c>
    </x:row>
    <x:row r="250">
      <x:c r="A250" s="15" t="str">
        <x:v>XR-246</x:v>
      </x:c>
      <x:c r="B250" s="15" t="str">
        <x:v>ER-07</x:v>
      </x:c>
      <x:c r="C250" s="15" t="str">
        <x:v>CELL-10</x:v>
      </x:c>
      <x:c r="D250" s="15" t="str">
        <x:v>DEPLOYABLE</x:v>
      </x:c>
      <x:c r="E250" s="15" t="str">
        <x:v>NOT ISSUED</x:v>
      </x:c>
      <x:c r="F250" s="15" t="str">
        <x:v>OPEN</x:v>
      </x:c>
      <x:c r="G250" s="15" t="str">
        <x:v>OPEN</x:v>
      </x:c>
    </x:row>
    <x:row r="251">
      <x:c r="A251" s="14" t="str">
        <x:v>XR-247</x:v>
      </x:c>
      <x:c r="B251" s="14" t="str">
        <x:v>ER-07</x:v>
      </x:c>
      <x:c r="C251" s="14" t="str">
        <x:v>CELL-11</x:v>
      </x:c>
      <x:c r="D251" s="14" t="str">
        <x:v>REMOTE</x:v>
      </x:c>
      <x:c r="E251" s="14" t="str">
        <x:v>NOT ISSUED</x:v>
      </x:c>
      <x:c r="F251" s="14" t="str">
        <x:v>OPEN</x:v>
      </x:c>
      <x:c r="G251" s="14" t="str">
        <x:v>OPEN</x:v>
      </x:c>
    </x:row>
    <x:row r="252">
      <x:c r="A252" s="15" t="str">
        <x:v>XR-248</x:v>
      </x:c>
      <x:c r="B252" s="15" t="str">
        <x:v>ER-07</x:v>
      </x:c>
      <x:c r="C252" s="15" t="str">
        <x:v>CELL-11</x:v>
      </x:c>
      <x:c r="D252" s="15" t="str">
        <x:v>ROOT TEAM</x:v>
      </x:c>
      <x:c r="E252" s="15" t="str">
        <x:v>NOT ISSUED</x:v>
      </x:c>
      <x:c r="F252" s="15" t="str">
        <x:v>OPEN</x:v>
      </x:c>
      <x:c r="G252" s="15" t="str">
        <x:v>OPEN</x:v>
      </x:c>
    </x:row>
    <x:row r="253">
      <x:c r="A253" s="14" t="str">
        <x:v>XR-249</x:v>
      </x:c>
      <x:c r="B253" s="14" t="str">
        <x:v>ER-07</x:v>
      </x:c>
      <x:c r="C253" s="14" t="str">
        <x:v>CELL-11</x:v>
      </x:c>
      <x:c r="D253" s="14" t="str">
        <x:v>DEPLOYABLE</x:v>
      </x:c>
      <x:c r="E253" s="14" t="str">
        <x:v>NOT ISSUED</x:v>
      </x:c>
      <x:c r="F253" s="14" t="str">
        <x:v>OPEN</x:v>
      </x:c>
      <x:c r="G253" s="14" t="str">
        <x:v>OPEN</x:v>
      </x:c>
    </x:row>
    <x:row r="254">
      <x:c r="A254" s="15" t="str">
        <x:v>XR-250</x:v>
      </x:c>
      <x:c r="B254" s="15" t="str">
        <x:v>ER-07</x:v>
      </x:c>
      <x:c r="C254" s="15" t="str">
        <x:v>CELL-12</x:v>
      </x:c>
      <x:c r="D254" s="15" t="str">
        <x:v>REMOTE</x:v>
      </x:c>
      <x:c r="E254" s="15" t="str">
        <x:v>NOT ISSUED</x:v>
      </x:c>
      <x:c r="F254" s="15" t="str">
        <x:v>OPEN</x:v>
      </x:c>
      <x:c r="G254" s="15" t="str">
        <x:v>OPEN</x:v>
      </x:c>
    </x:row>
    <x:row r="255">
      <x:c r="A255" s="14" t="str">
        <x:v>XR-251</x:v>
      </x:c>
      <x:c r="B255" s="14" t="str">
        <x:v>ER-07</x:v>
      </x:c>
      <x:c r="C255" s="14" t="str">
        <x:v>CELL-12</x:v>
      </x:c>
      <x:c r="D255" s="14" t="str">
        <x:v>ROOT TEAM</x:v>
      </x:c>
      <x:c r="E255" s="14" t="str">
        <x:v>NOT ISSUED</x:v>
      </x:c>
      <x:c r="F255" s="14" t="str">
        <x:v>OPEN</x:v>
      </x:c>
      <x:c r="G255" s="14" t="str">
        <x:v>OPEN</x:v>
      </x:c>
    </x:row>
    <x:row r="256">
      <x:c r="A256" s="15" t="str">
        <x:v>XR-252</x:v>
      </x:c>
      <x:c r="B256" s="15" t="str">
        <x:v>ER-07</x:v>
      </x:c>
      <x:c r="C256" s="15" t="str">
        <x:v>CELL-12</x:v>
      </x:c>
      <x:c r="D256" s="15" t="str">
        <x:v>DEPLOYABLE</x:v>
      </x:c>
      <x:c r="E256" s="15" t="str">
        <x:v>NOT ISSUED</x:v>
      </x:c>
      <x:c r="F256" s="15" t="str">
        <x:v>OPEN</x:v>
      </x:c>
      <x:c r="G256" s="15" t="str">
        <x:v>OPEN</x:v>
      </x:c>
    </x:row>
    <x:row r="257">
      <x:c r="A257" s="14" t="str">
        <x:v>XR-253</x:v>
      </x:c>
      <x:c r="B257" s="14" t="str">
        <x:v>ER-08</x:v>
      </x:c>
      <x:c r="C257" s="14" t="str">
        <x:v>CELL-01</x:v>
      </x:c>
      <x:c r="D257" s="14" t="str">
        <x:v>REMOTE</x:v>
      </x:c>
      <x:c r="E257" s="14" t="str">
        <x:v>NOT ISSUED</x:v>
      </x:c>
      <x:c r="F257" s="14" t="str">
        <x:v>OPEN</x:v>
      </x:c>
      <x:c r="G257" s="14" t="str">
        <x:v>OPEN</x:v>
      </x:c>
    </x:row>
    <x:row r="258">
      <x:c r="A258" s="15" t="str">
        <x:v>XR-254</x:v>
      </x:c>
      <x:c r="B258" s="15" t="str">
        <x:v>ER-08</x:v>
      </x:c>
      <x:c r="C258" s="15" t="str">
        <x:v>CELL-01</x:v>
      </x:c>
      <x:c r="D258" s="15" t="str">
        <x:v>ROOT TEAM</x:v>
      </x:c>
      <x:c r="E258" s="15" t="str">
        <x:v>NOT ISSUED</x:v>
      </x:c>
      <x:c r="F258" s="15" t="str">
        <x:v>OPEN</x:v>
      </x:c>
      <x:c r="G258" s="15" t="str">
        <x:v>OPEN</x:v>
      </x:c>
    </x:row>
    <x:row r="259">
      <x:c r="A259" s="14" t="str">
        <x:v>XR-255</x:v>
      </x:c>
      <x:c r="B259" s="14" t="str">
        <x:v>ER-08</x:v>
      </x:c>
      <x:c r="C259" s="14" t="str">
        <x:v>CELL-01</x:v>
      </x:c>
      <x:c r="D259" s="14" t="str">
        <x:v>DEPLOYABLE</x:v>
      </x:c>
      <x:c r="E259" s="14" t="str">
        <x:v>NOT ISSUED</x:v>
      </x:c>
      <x:c r="F259" s="14" t="str">
        <x:v>OPEN</x:v>
      </x:c>
      <x:c r="G259" s="14" t="str">
        <x:v>OPEN</x:v>
      </x:c>
    </x:row>
    <x:row r="260">
      <x:c r="A260" s="15" t="str">
        <x:v>XR-256</x:v>
      </x:c>
      <x:c r="B260" s="15" t="str">
        <x:v>ER-08</x:v>
      </x:c>
      <x:c r="C260" s="15" t="str">
        <x:v>CELL-02</x:v>
      </x:c>
      <x:c r="D260" s="15" t="str">
        <x:v>REMOTE</x:v>
      </x:c>
      <x:c r="E260" s="15" t="str">
        <x:v>NOT ISSUED</x:v>
      </x:c>
      <x:c r="F260" s="15" t="str">
        <x:v>OPEN</x:v>
      </x:c>
      <x:c r="G260" s="15" t="str">
        <x:v>OPEN</x:v>
      </x:c>
    </x:row>
    <x:row r="261">
      <x:c r="A261" s="14" t="str">
        <x:v>XR-257</x:v>
      </x:c>
      <x:c r="B261" s="14" t="str">
        <x:v>ER-08</x:v>
      </x:c>
      <x:c r="C261" s="14" t="str">
        <x:v>CELL-02</x:v>
      </x:c>
      <x:c r="D261" s="14" t="str">
        <x:v>ROOT TEAM</x:v>
      </x:c>
      <x:c r="E261" s="14" t="str">
        <x:v>NOT ISSUED</x:v>
      </x:c>
      <x:c r="F261" s="14" t="str">
        <x:v>OPEN</x:v>
      </x:c>
      <x:c r="G261" s="14" t="str">
        <x:v>OPEN</x:v>
      </x:c>
    </x:row>
    <x:row r="262">
      <x:c r="A262" s="15" t="str">
        <x:v>XR-258</x:v>
      </x:c>
      <x:c r="B262" s="15" t="str">
        <x:v>ER-08</x:v>
      </x:c>
      <x:c r="C262" s="15" t="str">
        <x:v>CELL-02</x:v>
      </x:c>
      <x:c r="D262" s="15" t="str">
        <x:v>DEPLOYABLE</x:v>
      </x:c>
      <x:c r="E262" s="15" t="str">
        <x:v>NOT ISSUED</x:v>
      </x:c>
      <x:c r="F262" s="15" t="str">
        <x:v>OPEN</x:v>
      </x:c>
      <x:c r="G262" s="15" t="str">
        <x:v>OPEN</x:v>
      </x:c>
    </x:row>
    <x:row r="263">
      <x:c r="A263" s="14" t="str">
        <x:v>XR-259</x:v>
      </x:c>
      <x:c r="B263" s="14" t="str">
        <x:v>ER-08</x:v>
      </x:c>
      <x:c r="C263" s="14" t="str">
        <x:v>CELL-03</x:v>
      </x:c>
      <x:c r="D263" s="14" t="str">
        <x:v>REMOTE</x:v>
      </x:c>
      <x:c r="E263" s="14" t="str">
        <x:v>NOT ISSUED</x:v>
      </x:c>
      <x:c r="F263" s="14" t="str">
        <x:v>OPEN</x:v>
      </x:c>
      <x:c r="G263" s="14" t="str">
        <x:v>OPEN</x:v>
      </x:c>
    </x:row>
    <x:row r="264">
      <x:c r="A264" s="15" t="str">
        <x:v>XR-260</x:v>
      </x:c>
      <x:c r="B264" s="15" t="str">
        <x:v>ER-08</x:v>
      </x:c>
      <x:c r="C264" s="15" t="str">
        <x:v>CELL-03</x:v>
      </x:c>
      <x:c r="D264" s="15" t="str">
        <x:v>ROOT TEAM</x:v>
      </x:c>
      <x:c r="E264" s="15" t="str">
        <x:v>NOT ISSUED</x:v>
      </x:c>
      <x:c r="F264" s="15" t="str">
        <x:v>OPEN</x:v>
      </x:c>
      <x:c r="G264" s="15" t="str">
        <x:v>OPEN</x:v>
      </x:c>
    </x:row>
    <x:row r="265">
      <x:c r="A265" s="14" t="str">
        <x:v>XR-261</x:v>
      </x:c>
      <x:c r="B265" s="14" t="str">
        <x:v>ER-08</x:v>
      </x:c>
      <x:c r="C265" s="14" t="str">
        <x:v>CELL-03</x:v>
      </x:c>
      <x:c r="D265" s="14" t="str">
        <x:v>DEPLOYABLE</x:v>
      </x:c>
      <x:c r="E265" s="14" t="str">
        <x:v>NOT ISSUED</x:v>
      </x:c>
      <x:c r="F265" s="14" t="str">
        <x:v>OPEN</x:v>
      </x:c>
      <x:c r="G265" s="14" t="str">
        <x:v>OPEN</x:v>
      </x:c>
    </x:row>
    <x:row r="266">
      <x:c r="A266" s="15" t="str">
        <x:v>XR-262</x:v>
      </x:c>
      <x:c r="B266" s="15" t="str">
        <x:v>ER-08</x:v>
      </x:c>
      <x:c r="C266" s="15" t="str">
        <x:v>CELL-04</x:v>
      </x:c>
      <x:c r="D266" s="15" t="str">
        <x:v>REMOTE</x:v>
      </x:c>
      <x:c r="E266" s="15" t="str">
        <x:v>NOT ISSUED</x:v>
      </x:c>
      <x:c r="F266" s="15" t="str">
        <x:v>OPEN</x:v>
      </x:c>
      <x:c r="G266" s="15" t="str">
        <x:v>OPEN</x:v>
      </x:c>
    </x:row>
    <x:row r="267">
      <x:c r="A267" s="14" t="str">
        <x:v>XR-263</x:v>
      </x:c>
      <x:c r="B267" s="14" t="str">
        <x:v>ER-08</x:v>
      </x:c>
      <x:c r="C267" s="14" t="str">
        <x:v>CELL-04</x:v>
      </x:c>
      <x:c r="D267" s="14" t="str">
        <x:v>ROOT TEAM</x:v>
      </x:c>
      <x:c r="E267" s="14" t="str">
        <x:v>NOT ISSUED</x:v>
      </x:c>
      <x:c r="F267" s="14" t="str">
        <x:v>OPEN</x:v>
      </x:c>
      <x:c r="G267" s="14" t="str">
        <x:v>OPEN</x:v>
      </x:c>
    </x:row>
    <x:row r="268">
      <x:c r="A268" s="15" t="str">
        <x:v>XR-264</x:v>
      </x:c>
      <x:c r="B268" s="15" t="str">
        <x:v>ER-08</x:v>
      </x:c>
      <x:c r="C268" s="15" t="str">
        <x:v>CELL-04</x:v>
      </x:c>
      <x:c r="D268" s="15" t="str">
        <x:v>DEPLOYABLE</x:v>
      </x:c>
      <x:c r="E268" s="15" t="str">
        <x:v>NOT ISSUED</x:v>
      </x:c>
      <x:c r="F268" s="15" t="str">
        <x:v>OPEN</x:v>
      </x:c>
      <x:c r="G268" s="15" t="str">
        <x:v>OPEN</x:v>
      </x:c>
    </x:row>
    <x:row r="269">
      <x:c r="A269" s="14" t="str">
        <x:v>XR-265</x:v>
      </x:c>
      <x:c r="B269" s="14" t="str">
        <x:v>ER-08</x:v>
      </x:c>
      <x:c r="C269" s="14" t="str">
        <x:v>CELL-05</x:v>
      </x:c>
      <x:c r="D269" s="14" t="str">
        <x:v>REMOTE</x:v>
      </x:c>
      <x:c r="E269" s="14" t="str">
        <x:v>NOT ISSUED</x:v>
      </x:c>
      <x:c r="F269" s="14" t="str">
        <x:v>OPEN</x:v>
      </x:c>
      <x:c r="G269" s="14" t="str">
        <x:v>OPEN</x:v>
      </x:c>
    </x:row>
    <x:row r="270">
      <x:c r="A270" s="15" t="str">
        <x:v>XR-266</x:v>
      </x:c>
      <x:c r="B270" s="15" t="str">
        <x:v>ER-08</x:v>
      </x:c>
      <x:c r="C270" s="15" t="str">
        <x:v>CELL-05</x:v>
      </x:c>
      <x:c r="D270" s="15" t="str">
        <x:v>ROOT TEAM</x:v>
      </x:c>
      <x:c r="E270" s="15" t="str">
        <x:v>NOT ISSUED</x:v>
      </x:c>
      <x:c r="F270" s="15" t="str">
        <x:v>OPEN</x:v>
      </x:c>
      <x:c r="G270" s="15" t="str">
        <x:v>OPEN</x:v>
      </x:c>
    </x:row>
    <x:row r="271">
      <x:c r="A271" s="14" t="str">
        <x:v>XR-267</x:v>
      </x:c>
      <x:c r="B271" s="14" t="str">
        <x:v>ER-08</x:v>
      </x:c>
      <x:c r="C271" s="14" t="str">
        <x:v>CELL-05</x:v>
      </x:c>
      <x:c r="D271" s="14" t="str">
        <x:v>DEPLOYABLE</x:v>
      </x:c>
      <x:c r="E271" s="14" t="str">
        <x:v>NOT ISSUED</x:v>
      </x:c>
      <x:c r="F271" s="14" t="str">
        <x:v>OPEN</x:v>
      </x:c>
      <x:c r="G271" s="14" t="str">
        <x:v>OPEN</x:v>
      </x:c>
    </x:row>
    <x:row r="272">
      <x:c r="A272" s="15" t="str">
        <x:v>XR-268</x:v>
      </x:c>
      <x:c r="B272" s="15" t="str">
        <x:v>ER-08</x:v>
      </x:c>
      <x:c r="C272" s="15" t="str">
        <x:v>CELL-06</x:v>
      </x:c>
      <x:c r="D272" s="15" t="str">
        <x:v>REMOTE</x:v>
      </x:c>
      <x:c r="E272" s="15" t="str">
        <x:v>NOT ISSUED</x:v>
      </x:c>
      <x:c r="F272" s="15" t="str">
        <x:v>OPEN</x:v>
      </x:c>
      <x:c r="G272" s="15" t="str">
        <x:v>OPEN</x:v>
      </x:c>
    </x:row>
    <x:row r="273">
      <x:c r="A273" s="14" t="str">
        <x:v>XR-269</x:v>
      </x:c>
      <x:c r="B273" s="14" t="str">
        <x:v>ER-08</x:v>
      </x:c>
      <x:c r="C273" s="14" t="str">
        <x:v>CELL-06</x:v>
      </x:c>
      <x:c r="D273" s="14" t="str">
        <x:v>ROOT TEAM</x:v>
      </x:c>
      <x:c r="E273" s="14" t="str">
        <x:v>NOT ISSUED</x:v>
      </x:c>
      <x:c r="F273" s="14" t="str">
        <x:v>OPEN</x:v>
      </x:c>
      <x:c r="G273" s="14" t="str">
        <x:v>OPEN</x:v>
      </x:c>
    </x:row>
    <x:row r="274">
      <x:c r="A274" s="15" t="str">
        <x:v>XR-270</x:v>
      </x:c>
      <x:c r="B274" s="15" t="str">
        <x:v>ER-08</x:v>
      </x:c>
      <x:c r="C274" s="15" t="str">
        <x:v>CELL-06</x:v>
      </x:c>
      <x:c r="D274" s="15" t="str">
        <x:v>DEPLOYABLE</x:v>
      </x:c>
      <x:c r="E274" s="15" t="str">
        <x:v>NOT ISSUED</x:v>
      </x:c>
      <x:c r="F274" s="15" t="str">
        <x:v>OPEN</x:v>
      </x:c>
      <x:c r="G274" s="15" t="str">
        <x:v>OPEN</x:v>
      </x:c>
    </x:row>
    <x:row r="275">
      <x:c r="A275" s="14" t="str">
        <x:v>XR-271</x:v>
      </x:c>
      <x:c r="B275" s="14" t="str">
        <x:v>ER-08</x:v>
      </x:c>
      <x:c r="C275" s="14" t="str">
        <x:v>CELL-07</x:v>
      </x:c>
      <x:c r="D275" s="14" t="str">
        <x:v>REMOTE</x:v>
      </x:c>
      <x:c r="E275" s="14" t="str">
        <x:v>NOT ISSUED</x:v>
      </x:c>
      <x:c r="F275" s="14" t="str">
        <x:v>OPEN</x:v>
      </x:c>
      <x:c r="G275" s="14" t="str">
        <x:v>OPEN</x:v>
      </x:c>
    </x:row>
    <x:row r="276">
      <x:c r="A276" s="15" t="str">
        <x:v>XR-272</x:v>
      </x:c>
      <x:c r="B276" s="15" t="str">
        <x:v>ER-08</x:v>
      </x:c>
      <x:c r="C276" s="15" t="str">
        <x:v>CELL-07</x:v>
      </x:c>
      <x:c r="D276" s="15" t="str">
        <x:v>ROOT TEAM</x:v>
      </x:c>
      <x:c r="E276" s="15" t="str">
        <x:v>NOT ISSUED</x:v>
      </x:c>
      <x:c r="F276" s="15" t="str">
        <x:v>OPEN</x:v>
      </x:c>
      <x:c r="G276" s="15" t="str">
        <x:v>OPEN</x:v>
      </x:c>
    </x:row>
    <x:row r="277">
      <x:c r="A277" s="14" t="str">
        <x:v>XR-273</x:v>
      </x:c>
      <x:c r="B277" s="14" t="str">
        <x:v>ER-08</x:v>
      </x:c>
      <x:c r="C277" s="14" t="str">
        <x:v>CELL-07</x:v>
      </x:c>
      <x:c r="D277" s="14" t="str">
        <x:v>DEPLOYABLE</x:v>
      </x:c>
      <x:c r="E277" s="14" t="str">
        <x:v>NOT ISSUED</x:v>
      </x:c>
      <x:c r="F277" s="14" t="str">
        <x:v>OPEN</x:v>
      </x:c>
      <x:c r="G277" s="14" t="str">
        <x:v>OPEN</x:v>
      </x:c>
    </x:row>
    <x:row r="278">
      <x:c r="A278" s="15" t="str">
        <x:v>XR-274</x:v>
      </x:c>
      <x:c r="B278" s="15" t="str">
        <x:v>ER-08</x:v>
      </x:c>
      <x:c r="C278" s="15" t="str">
        <x:v>CELL-08</x:v>
      </x:c>
      <x:c r="D278" s="15" t="str">
        <x:v>REMOTE</x:v>
      </x:c>
      <x:c r="E278" s="15" t="str">
        <x:v>NOT ISSUED</x:v>
      </x:c>
      <x:c r="F278" s="15" t="str">
        <x:v>OPEN</x:v>
      </x:c>
      <x:c r="G278" s="15" t="str">
        <x:v>OPEN</x:v>
      </x:c>
    </x:row>
    <x:row r="279">
      <x:c r="A279" s="14" t="str">
        <x:v>XR-275</x:v>
      </x:c>
      <x:c r="B279" s="14" t="str">
        <x:v>ER-08</x:v>
      </x:c>
      <x:c r="C279" s="14" t="str">
        <x:v>CELL-08</x:v>
      </x:c>
      <x:c r="D279" s="14" t="str">
        <x:v>ROOT TEAM</x:v>
      </x:c>
      <x:c r="E279" s="14" t="str">
        <x:v>NOT ISSUED</x:v>
      </x:c>
      <x:c r="F279" s="14" t="str">
        <x:v>OPEN</x:v>
      </x:c>
      <x:c r="G279" s="14" t="str">
        <x:v>OPEN</x:v>
      </x:c>
    </x:row>
    <x:row r="280">
      <x:c r="A280" s="15" t="str">
        <x:v>XR-276</x:v>
      </x:c>
      <x:c r="B280" s="15" t="str">
        <x:v>ER-08</x:v>
      </x:c>
      <x:c r="C280" s="15" t="str">
        <x:v>CELL-08</x:v>
      </x:c>
      <x:c r="D280" s="15" t="str">
        <x:v>DEPLOYABLE</x:v>
      </x:c>
      <x:c r="E280" s="15" t="str">
        <x:v>NOT ISSUED</x:v>
      </x:c>
      <x:c r="F280" s="15" t="str">
        <x:v>OPEN</x:v>
      </x:c>
      <x:c r="G280" s="15" t="str">
        <x:v>OPEN</x:v>
      </x:c>
    </x:row>
    <x:row r="281">
      <x:c r="A281" s="14" t="str">
        <x:v>XR-277</x:v>
      </x:c>
      <x:c r="B281" s="14" t="str">
        <x:v>ER-08</x:v>
      </x:c>
      <x:c r="C281" s="14" t="str">
        <x:v>CELL-09</x:v>
      </x:c>
      <x:c r="D281" s="14" t="str">
        <x:v>REMOTE</x:v>
      </x:c>
      <x:c r="E281" s="14" t="str">
        <x:v>NOT ISSUED</x:v>
      </x:c>
      <x:c r="F281" s="14" t="str">
        <x:v>OPEN</x:v>
      </x:c>
      <x:c r="G281" s="14" t="str">
        <x:v>OPEN</x:v>
      </x:c>
    </x:row>
    <x:row r="282">
      <x:c r="A282" s="15" t="str">
        <x:v>XR-278</x:v>
      </x:c>
      <x:c r="B282" s="15" t="str">
        <x:v>ER-08</x:v>
      </x:c>
      <x:c r="C282" s="15" t="str">
        <x:v>CELL-09</x:v>
      </x:c>
      <x:c r="D282" s="15" t="str">
        <x:v>ROOT TEAM</x:v>
      </x:c>
      <x:c r="E282" s="15" t="str">
        <x:v>NOT ISSUED</x:v>
      </x:c>
      <x:c r="F282" s="15" t="str">
        <x:v>OPEN</x:v>
      </x:c>
      <x:c r="G282" s="15" t="str">
        <x:v>OPEN</x:v>
      </x:c>
    </x:row>
    <x:row r="283">
      <x:c r="A283" s="14" t="str">
        <x:v>XR-279</x:v>
      </x:c>
      <x:c r="B283" s="14" t="str">
        <x:v>ER-08</x:v>
      </x:c>
      <x:c r="C283" s="14" t="str">
        <x:v>CELL-09</x:v>
      </x:c>
      <x:c r="D283" s="14" t="str">
        <x:v>DEPLOYABLE</x:v>
      </x:c>
      <x:c r="E283" s="14" t="str">
        <x:v>NOT ISSUED</x:v>
      </x:c>
      <x:c r="F283" s="14" t="str">
        <x:v>OPEN</x:v>
      </x:c>
      <x:c r="G283" s="14" t="str">
        <x:v>OPEN</x:v>
      </x:c>
    </x:row>
    <x:row r="284">
      <x:c r="A284" s="15" t="str">
        <x:v>XR-280</x:v>
      </x:c>
      <x:c r="B284" s="15" t="str">
        <x:v>ER-08</x:v>
      </x:c>
      <x:c r="C284" s="15" t="str">
        <x:v>CELL-10</x:v>
      </x:c>
      <x:c r="D284" s="15" t="str">
        <x:v>REMOTE</x:v>
      </x:c>
      <x:c r="E284" s="15" t="str">
        <x:v>NOT ISSUED</x:v>
      </x:c>
      <x:c r="F284" s="15" t="str">
        <x:v>OPEN</x:v>
      </x:c>
      <x:c r="G284" s="15" t="str">
        <x:v>OPEN</x:v>
      </x:c>
    </x:row>
    <x:row r="285">
      <x:c r="A285" s="14" t="str">
        <x:v>XR-281</x:v>
      </x:c>
      <x:c r="B285" s="14" t="str">
        <x:v>ER-08</x:v>
      </x:c>
      <x:c r="C285" s="14" t="str">
        <x:v>CELL-10</x:v>
      </x:c>
      <x:c r="D285" s="14" t="str">
        <x:v>ROOT TEAM</x:v>
      </x:c>
      <x:c r="E285" s="14" t="str">
        <x:v>NOT ISSUED</x:v>
      </x:c>
      <x:c r="F285" s="14" t="str">
        <x:v>OPEN</x:v>
      </x:c>
      <x:c r="G285" s="14" t="str">
        <x:v>OPEN</x:v>
      </x:c>
    </x:row>
    <x:row r="286">
      <x:c r="A286" s="15" t="str">
        <x:v>XR-282</x:v>
      </x:c>
      <x:c r="B286" s="15" t="str">
        <x:v>ER-08</x:v>
      </x:c>
      <x:c r="C286" s="15" t="str">
        <x:v>CELL-10</x:v>
      </x:c>
      <x:c r="D286" s="15" t="str">
        <x:v>DEPLOYABLE</x:v>
      </x:c>
      <x:c r="E286" s="15" t="str">
        <x:v>NOT ISSUED</x:v>
      </x:c>
      <x:c r="F286" s="15" t="str">
        <x:v>OPEN</x:v>
      </x:c>
      <x:c r="G286" s="15" t="str">
        <x:v>OPEN</x:v>
      </x:c>
    </x:row>
    <x:row r="287">
      <x:c r="A287" s="14" t="str">
        <x:v>XR-283</x:v>
      </x:c>
      <x:c r="B287" s="14" t="str">
        <x:v>ER-08</x:v>
      </x:c>
      <x:c r="C287" s="14" t="str">
        <x:v>CELL-11</x:v>
      </x:c>
      <x:c r="D287" s="14" t="str">
        <x:v>REMOTE</x:v>
      </x:c>
      <x:c r="E287" s="14" t="str">
        <x:v>NOT ISSUED</x:v>
      </x:c>
      <x:c r="F287" s="14" t="str">
        <x:v>OPEN</x:v>
      </x:c>
      <x:c r="G287" s="14" t="str">
        <x:v>OPEN</x:v>
      </x:c>
    </x:row>
    <x:row r="288">
      <x:c r="A288" s="15" t="str">
        <x:v>XR-284</x:v>
      </x:c>
      <x:c r="B288" s="15" t="str">
        <x:v>ER-08</x:v>
      </x:c>
      <x:c r="C288" s="15" t="str">
        <x:v>CELL-11</x:v>
      </x:c>
      <x:c r="D288" s="15" t="str">
        <x:v>ROOT TEAM</x:v>
      </x:c>
      <x:c r="E288" s="15" t="str">
        <x:v>NOT ISSUED</x:v>
      </x:c>
      <x:c r="F288" s="15" t="str">
        <x:v>OPEN</x:v>
      </x:c>
      <x:c r="G288" s="15" t="str">
        <x:v>OPEN</x:v>
      </x:c>
    </x:row>
    <x:row r="289">
      <x:c r="A289" s="14" t="str">
        <x:v>XR-285</x:v>
      </x:c>
      <x:c r="B289" s="14" t="str">
        <x:v>ER-08</x:v>
      </x:c>
      <x:c r="C289" s="14" t="str">
        <x:v>CELL-11</x:v>
      </x:c>
      <x:c r="D289" s="14" t="str">
        <x:v>DEPLOYABLE</x:v>
      </x:c>
      <x:c r="E289" s="14" t="str">
        <x:v>NOT ISSUED</x:v>
      </x:c>
      <x:c r="F289" s="14" t="str">
        <x:v>OPEN</x:v>
      </x:c>
      <x:c r="G289" s="14" t="str">
        <x:v>OPEN</x:v>
      </x:c>
    </x:row>
    <x:row r="290">
      <x:c r="A290" s="15" t="str">
        <x:v>XR-286</x:v>
      </x:c>
      <x:c r="B290" s="15" t="str">
        <x:v>ER-08</x:v>
      </x:c>
      <x:c r="C290" s="15" t="str">
        <x:v>CELL-12</x:v>
      </x:c>
      <x:c r="D290" s="15" t="str">
        <x:v>REMOTE</x:v>
      </x:c>
      <x:c r="E290" s="15" t="str">
        <x:v>NOT ISSUED</x:v>
      </x:c>
      <x:c r="F290" s="15" t="str">
        <x:v>OPEN</x:v>
      </x:c>
      <x:c r="G290" s="15" t="str">
        <x:v>OPEN</x:v>
      </x:c>
    </x:row>
    <x:row r="291">
      <x:c r="A291" s="14" t="str">
        <x:v>XR-287</x:v>
      </x:c>
      <x:c r="B291" s="14" t="str">
        <x:v>ER-08</x:v>
      </x:c>
      <x:c r="C291" s="14" t="str">
        <x:v>CELL-12</x:v>
      </x:c>
      <x:c r="D291" s="14" t="str">
        <x:v>ROOT TEAM</x:v>
      </x:c>
      <x:c r="E291" s="14" t="str">
        <x:v>NOT ISSUED</x:v>
      </x:c>
      <x:c r="F291" s="14" t="str">
        <x:v>OPEN</x:v>
      </x:c>
      <x:c r="G291" s="14" t="str">
        <x:v>OPEN</x:v>
      </x:c>
    </x:row>
    <x:row r="292">
      <x:c r="A292" s="15" t="str">
        <x:v>XR-288</x:v>
      </x:c>
      <x:c r="B292" s="15" t="str">
        <x:v>ER-08</x:v>
      </x:c>
      <x:c r="C292" s="15" t="str">
        <x:v>CELL-12</x:v>
      </x:c>
      <x:c r="D292" s="15" t="str">
        <x:v>DEPLOYABLE</x:v>
      </x:c>
      <x:c r="E292" s="15" t="str">
        <x:v>NOT ISSUED</x:v>
      </x:c>
      <x:c r="F292" s="15" t="str">
        <x:v>OPEN</x:v>
      </x:c>
      <x:c r="G292" s="15" t="str">
        <x:v>OPEN</x:v>
      </x:c>
    </x:row>
    <x:row r="293">
      <x:c r="A293" s="14" t="str">
        <x:v>XR-289</x:v>
      </x:c>
      <x:c r="B293" s="14" t="str">
        <x:v>ER-09</x:v>
      </x:c>
      <x:c r="C293" s="14" t="str">
        <x:v>CELL-01</x:v>
      </x:c>
      <x:c r="D293" s="14" t="str">
        <x:v>REMOTE</x:v>
      </x:c>
      <x:c r="E293" s="14" t="str">
        <x:v>NOT ISSUED</x:v>
      </x:c>
      <x:c r="F293" s="14" t="str">
        <x:v>OPEN</x:v>
      </x:c>
      <x:c r="G293" s="14" t="str">
        <x:v>OPEN</x:v>
      </x:c>
    </x:row>
    <x:row r="294">
      <x:c r="A294" s="15" t="str">
        <x:v>XR-290</x:v>
      </x:c>
      <x:c r="B294" s="15" t="str">
        <x:v>ER-09</x:v>
      </x:c>
      <x:c r="C294" s="15" t="str">
        <x:v>CELL-01</x:v>
      </x:c>
      <x:c r="D294" s="15" t="str">
        <x:v>ROOT TEAM</x:v>
      </x:c>
      <x:c r="E294" s="15" t="str">
        <x:v>NOT ISSUED</x:v>
      </x:c>
      <x:c r="F294" s="15" t="str">
        <x:v>OPEN</x:v>
      </x:c>
      <x:c r="G294" s="15" t="str">
        <x:v>OPEN</x:v>
      </x:c>
    </x:row>
    <x:row r="295">
      <x:c r="A295" s="14" t="str">
        <x:v>XR-291</x:v>
      </x:c>
      <x:c r="B295" s="14" t="str">
        <x:v>ER-09</x:v>
      </x:c>
      <x:c r="C295" s="14" t="str">
        <x:v>CELL-01</x:v>
      </x:c>
      <x:c r="D295" s="14" t="str">
        <x:v>DEPLOYABLE</x:v>
      </x:c>
      <x:c r="E295" s="14" t="str">
        <x:v>NOT ISSUED</x:v>
      </x:c>
      <x:c r="F295" s="14" t="str">
        <x:v>OPEN</x:v>
      </x:c>
      <x:c r="G295" s="14" t="str">
        <x:v>OPEN</x:v>
      </x:c>
    </x:row>
    <x:row r="296">
      <x:c r="A296" s="15" t="str">
        <x:v>XR-292</x:v>
      </x:c>
      <x:c r="B296" s="15" t="str">
        <x:v>ER-09</x:v>
      </x:c>
      <x:c r="C296" s="15" t="str">
        <x:v>CELL-02</x:v>
      </x:c>
      <x:c r="D296" s="15" t="str">
        <x:v>REMOTE</x:v>
      </x:c>
      <x:c r="E296" s="15" t="str">
        <x:v>NOT ISSUED</x:v>
      </x:c>
      <x:c r="F296" s="15" t="str">
        <x:v>OPEN</x:v>
      </x:c>
      <x:c r="G296" s="15" t="str">
        <x:v>OPEN</x:v>
      </x:c>
    </x:row>
    <x:row r="297">
      <x:c r="A297" s="14" t="str">
        <x:v>XR-293</x:v>
      </x:c>
      <x:c r="B297" s="14" t="str">
        <x:v>ER-09</x:v>
      </x:c>
      <x:c r="C297" s="14" t="str">
        <x:v>CELL-02</x:v>
      </x:c>
      <x:c r="D297" s="14" t="str">
        <x:v>ROOT TEAM</x:v>
      </x:c>
      <x:c r="E297" s="14" t="str">
        <x:v>NOT ISSUED</x:v>
      </x:c>
      <x:c r="F297" s="14" t="str">
        <x:v>OPEN</x:v>
      </x:c>
      <x:c r="G297" s="14" t="str">
        <x:v>OPEN</x:v>
      </x:c>
    </x:row>
    <x:row r="298">
      <x:c r="A298" s="15" t="str">
        <x:v>XR-294</x:v>
      </x:c>
      <x:c r="B298" s="15" t="str">
        <x:v>ER-09</x:v>
      </x:c>
      <x:c r="C298" s="15" t="str">
        <x:v>CELL-02</x:v>
      </x:c>
      <x:c r="D298" s="15" t="str">
        <x:v>DEPLOYABLE</x:v>
      </x:c>
      <x:c r="E298" s="15" t="str">
        <x:v>NOT ISSUED</x:v>
      </x:c>
      <x:c r="F298" s="15" t="str">
        <x:v>OPEN</x:v>
      </x:c>
      <x:c r="G298" s="15" t="str">
        <x:v>OPEN</x:v>
      </x:c>
    </x:row>
    <x:row r="299">
      <x:c r="A299" s="14" t="str">
        <x:v>XR-295</x:v>
      </x:c>
      <x:c r="B299" s="14" t="str">
        <x:v>ER-09</x:v>
      </x:c>
      <x:c r="C299" s="14" t="str">
        <x:v>CELL-03</x:v>
      </x:c>
      <x:c r="D299" s="14" t="str">
        <x:v>REMOTE</x:v>
      </x:c>
      <x:c r="E299" s="14" t="str">
        <x:v>NOT ISSUED</x:v>
      </x:c>
      <x:c r="F299" s="14" t="str">
        <x:v>OPEN</x:v>
      </x:c>
      <x:c r="G299" s="14" t="str">
        <x:v>OPEN</x:v>
      </x:c>
    </x:row>
    <x:row r="300">
      <x:c r="A300" s="15" t="str">
        <x:v>XR-296</x:v>
      </x:c>
      <x:c r="B300" s="15" t="str">
        <x:v>ER-09</x:v>
      </x:c>
      <x:c r="C300" s="15" t="str">
        <x:v>CELL-03</x:v>
      </x:c>
      <x:c r="D300" s="15" t="str">
        <x:v>ROOT TEAM</x:v>
      </x:c>
      <x:c r="E300" s="15" t="str">
        <x:v>NOT ISSUED</x:v>
      </x:c>
      <x:c r="F300" s="15" t="str">
        <x:v>OPEN</x:v>
      </x:c>
      <x:c r="G300" s="15" t="str">
        <x:v>OPEN</x:v>
      </x:c>
    </x:row>
    <x:row r="301">
      <x:c r="A301" s="14" t="str">
        <x:v>XR-297</x:v>
      </x:c>
      <x:c r="B301" s="14" t="str">
        <x:v>ER-09</x:v>
      </x:c>
      <x:c r="C301" s="14" t="str">
        <x:v>CELL-03</x:v>
      </x:c>
      <x:c r="D301" s="14" t="str">
        <x:v>DEPLOYABLE</x:v>
      </x:c>
      <x:c r="E301" s="14" t="str">
        <x:v>NOT ISSUED</x:v>
      </x:c>
      <x:c r="F301" s="14" t="str">
        <x:v>OPEN</x:v>
      </x:c>
      <x:c r="G301" s="14" t="str">
        <x:v>OPEN</x:v>
      </x:c>
    </x:row>
    <x:row r="302">
      <x:c r="A302" s="15" t="str">
        <x:v>XR-298</x:v>
      </x:c>
      <x:c r="B302" s="15" t="str">
        <x:v>ER-09</x:v>
      </x:c>
      <x:c r="C302" s="15" t="str">
        <x:v>CELL-04</x:v>
      </x:c>
      <x:c r="D302" s="15" t="str">
        <x:v>REMOTE</x:v>
      </x:c>
      <x:c r="E302" s="15" t="str">
        <x:v>NOT ISSUED</x:v>
      </x:c>
      <x:c r="F302" s="15" t="str">
        <x:v>OPEN</x:v>
      </x:c>
      <x:c r="G302" s="15" t="str">
        <x:v>OPEN</x:v>
      </x:c>
    </x:row>
    <x:row r="303">
      <x:c r="A303" s="14" t="str">
        <x:v>XR-299</x:v>
      </x:c>
      <x:c r="B303" s="14" t="str">
        <x:v>ER-09</x:v>
      </x:c>
      <x:c r="C303" s="14" t="str">
        <x:v>CELL-04</x:v>
      </x:c>
      <x:c r="D303" s="14" t="str">
        <x:v>ROOT TEAM</x:v>
      </x:c>
      <x:c r="E303" s="14" t="str">
        <x:v>NOT ISSUED</x:v>
      </x:c>
      <x:c r="F303" s="14" t="str">
        <x:v>OPEN</x:v>
      </x:c>
      <x:c r="G303" s="14" t="str">
        <x:v>OPEN</x:v>
      </x:c>
    </x:row>
    <x:row r="304">
      <x:c r="A304" s="15" t="str">
        <x:v>XR-300</x:v>
      </x:c>
      <x:c r="B304" s="15" t="str">
        <x:v>ER-09</x:v>
      </x:c>
      <x:c r="C304" s="15" t="str">
        <x:v>CELL-04</x:v>
      </x:c>
      <x:c r="D304" s="15" t="str">
        <x:v>DEPLOYABLE</x:v>
      </x:c>
      <x:c r="E304" s="15" t="str">
        <x:v>NOT ISSUED</x:v>
      </x:c>
      <x:c r="F304" s="15" t="str">
        <x:v>OPEN</x:v>
      </x:c>
      <x:c r="G304" s="15" t="str">
        <x:v>OPEN</x:v>
      </x:c>
    </x:row>
    <x:row r="305">
      <x:c r="A305" s="14" t="str">
        <x:v>XR-301</x:v>
      </x:c>
      <x:c r="B305" s="14" t="str">
        <x:v>ER-09</x:v>
      </x:c>
      <x:c r="C305" s="14" t="str">
        <x:v>CELL-05</x:v>
      </x:c>
      <x:c r="D305" s="14" t="str">
        <x:v>REMOTE</x:v>
      </x:c>
      <x:c r="E305" s="14" t="str">
        <x:v>NOT ISSUED</x:v>
      </x:c>
      <x:c r="F305" s="14" t="str">
        <x:v>OPEN</x:v>
      </x:c>
      <x:c r="G305" s="14" t="str">
        <x:v>OPEN</x:v>
      </x:c>
    </x:row>
    <x:row r="306">
      <x:c r="A306" s="15" t="str">
        <x:v>XR-302</x:v>
      </x:c>
      <x:c r="B306" s="15" t="str">
        <x:v>ER-09</x:v>
      </x:c>
      <x:c r="C306" s="15" t="str">
        <x:v>CELL-05</x:v>
      </x:c>
      <x:c r="D306" s="15" t="str">
        <x:v>ROOT TEAM</x:v>
      </x:c>
      <x:c r="E306" s="15" t="str">
        <x:v>NOT ISSUED</x:v>
      </x:c>
      <x:c r="F306" s="15" t="str">
        <x:v>OPEN</x:v>
      </x:c>
      <x:c r="G306" s="15" t="str">
        <x:v>OPEN</x:v>
      </x:c>
    </x:row>
    <x:row r="307">
      <x:c r="A307" s="14" t="str">
        <x:v>XR-303</x:v>
      </x:c>
      <x:c r="B307" s="14" t="str">
        <x:v>ER-09</x:v>
      </x:c>
      <x:c r="C307" s="14" t="str">
        <x:v>CELL-05</x:v>
      </x:c>
      <x:c r="D307" s="14" t="str">
        <x:v>DEPLOYABLE</x:v>
      </x:c>
      <x:c r="E307" s="14" t="str">
        <x:v>NOT ISSUED</x:v>
      </x:c>
      <x:c r="F307" s="14" t="str">
        <x:v>OPEN</x:v>
      </x:c>
      <x:c r="G307" s="14" t="str">
        <x:v>OPEN</x:v>
      </x:c>
    </x:row>
    <x:row r="308">
      <x:c r="A308" s="15" t="str">
        <x:v>XR-304</x:v>
      </x:c>
      <x:c r="B308" s="15" t="str">
        <x:v>ER-09</x:v>
      </x:c>
      <x:c r="C308" s="15" t="str">
        <x:v>CELL-06</x:v>
      </x:c>
      <x:c r="D308" s="15" t="str">
        <x:v>REMOTE</x:v>
      </x:c>
      <x:c r="E308" s="15" t="str">
        <x:v>NOT ISSUED</x:v>
      </x:c>
      <x:c r="F308" s="15" t="str">
        <x:v>OPEN</x:v>
      </x:c>
      <x:c r="G308" s="15" t="str">
        <x:v>OPEN</x:v>
      </x:c>
    </x:row>
    <x:row r="309">
      <x:c r="A309" s="14" t="str">
        <x:v>XR-305</x:v>
      </x:c>
      <x:c r="B309" s="14" t="str">
        <x:v>ER-09</x:v>
      </x:c>
      <x:c r="C309" s="14" t="str">
        <x:v>CELL-06</x:v>
      </x:c>
      <x:c r="D309" s="14" t="str">
        <x:v>ROOT TEAM</x:v>
      </x:c>
      <x:c r="E309" s="14" t="str">
        <x:v>NOT ISSUED</x:v>
      </x:c>
      <x:c r="F309" s="14" t="str">
        <x:v>OPEN</x:v>
      </x:c>
      <x:c r="G309" s="14" t="str">
        <x:v>OPEN</x:v>
      </x:c>
    </x:row>
    <x:row r="310">
      <x:c r="A310" s="15" t="str">
        <x:v>XR-306</x:v>
      </x:c>
      <x:c r="B310" s="15" t="str">
        <x:v>ER-09</x:v>
      </x:c>
      <x:c r="C310" s="15" t="str">
        <x:v>CELL-06</x:v>
      </x:c>
      <x:c r="D310" s="15" t="str">
        <x:v>DEPLOYABLE</x:v>
      </x:c>
      <x:c r="E310" s="15" t="str">
        <x:v>NOT ISSUED</x:v>
      </x:c>
      <x:c r="F310" s="15" t="str">
        <x:v>OPEN</x:v>
      </x:c>
      <x:c r="G310" s="15" t="str">
        <x:v>OPEN</x:v>
      </x:c>
    </x:row>
    <x:row r="311">
      <x:c r="A311" s="14" t="str">
        <x:v>XR-307</x:v>
      </x:c>
      <x:c r="B311" s="14" t="str">
        <x:v>ER-09</x:v>
      </x:c>
      <x:c r="C311" s="14" t="str">
        <x:v>CELL-07</x:v>
      </x:c>
      <x:c r="D311" s="14" t="str">
        <x:v>REMOTE</x:v>
      </x:c>
      <x:c r="E311" s="14" t="str">
        <x:v>NOT ISSUED</x:v>
      </x:c>
      <x:c r="F311" s="14" t="str">
        <x:v>OPEN</x:v>
      </x:c>
      <x:c r="G311" s="14" t="str">
        <x:v>OPEN</x:v>
      </x:c>
    </x:row>
    <x:row r="312">
      <x:c r="A312" s="15" t="str">
        <x:v>XR-308</x:v>
      </x:c>
      <x:c r="B312" s="15" t="str">
        <x:v>ER-09</x:v>
      </x:c>
      <x:c r="C312" s="15" t="str">
        <x:v>CELL-07</x:v>
      </x:c>
      <x:c r="D312" s="15" t="str">
        <x:v>ROOT TEAM</x:v>
      </x:c>
      <x:c r="E312" s="15" t="str">
        <x:v>NOT ISSUED</x:v>
      </x:c>
      <x:c r="F312" s="15" t="str">
        <x:v>OPEN</x:v>
      </x:c>
      <x:c r="G312" s="15" t="str">
        <x:v>OPEN</x:v>
      </x:c>
    </x:row>
    <x:row r="313">
      <x:c r="A313" s="14" t="str">
        <x:v>XR-309</x:v>
      </x:c>
      <x:c r="B313" s="14" t="str">
        <x:v>ER-09</x:v>
      </x:c>
      <x:c r="C313" s="14" t="str">
        <x:v>CELL-07</x:v>
      </x:c>
      <x:c r="D313" s="14" t="str">
        <x:v>DEPLOYABLE</x:v>
      </x:c>
      <x:c r="E313" s="14" t="str">
        <x:v>NOT ISSUED</x:v>
      </x:c>
      <x:c r="F313" s="14" t="str">
        <x:v>OPEN</x:v>
      </x:c>
      <x:c r="G313" s="14" t="str">
        <x:v>OPEN</x:v>
      </x:c>
    </x:row>
    <x:row r="314">
      <x:c r="A314" s="15" t="str">
        <x:v>XR-310</x:v>
      </x:c>
      <x:c r="B314" s="15" t="str">
        <x:v>ER-09</x:v>
      </x:c>
      <x:c r="C314" s="15" t="str">
        <x:v>CELL-08</x:v>
      </x:c>
      <x:c r="D314" s="15" t="str">
        <x:v>REMOTE</x:v>
      </x:c>
      <x:c r="E314" s="15" t="str">
        <x:v>NOT ISSUED</x:v>
      </x:c>
      <x:c r="F314" s="15" t="str">
        <x:v>OPEN</x:v>
      </x:c>
      <x:c r="G314" s="15" t="str">
        <x:v>OPEN</x:v>
      </x:c>
    </x:row>
    <x:row r="315">
      <x:c r="A315" s="14" t="str">
        <x:v>XR-311</x:v>
      </x:c>
      <x:c r="B315" s="14" t="str">
        <x:v>ER-09</x:v>
      </x:c>
      <x:c r="C315" s="14" t="str">
        <x:v>CELL-08</x:v>
      </x:c>
      <x:c r="D315" s="14" t="str">
        <x:v>ROOT TEAM</x:v>
      </x:c>
      <x:c r="E315" s="14" t="str">
        <x:v>NOT ISSUED</x:v>
      </x:c>
      <x:c r="F315" s="14" t="str">
        <x:v>OPEN</x:v>
      </x:c>
      <x:c r="G315" s="14" t="str">
        <x:v>OPEN</x:v>
      </x:c>
    </x:row>
    <x:row r="316">
      <x:c r="A316" s="15" t="str">
        <x:v>XR-312</x:v>
      </x:c>
      <x:c r="B316" s="15" t="str">
        <x:v>ER-09</x:v>
      </x:c>
      <x:c r="C316" s="15" t="str">
        <x:v>CELL-08</x:v>
      </x:c>
      <x:c r="D316" s="15" t="str">
        <x:v>DEPLOYABLE</x:v>
      </x:c>
      <x:c r="E316" s="15" t="str">
        <x:v>NOT ISSUED</x:v>
      </x:c>
      <x:c r="F316" s="15" t="str">
        <x:v>OPEN</x:v>
      </x:c>
      <x:c r="G316" s="15" t="str">
        <x:v>OPEN</x:v>
      </x:c>
    </x:row>
    <x:row r="317">
      <x:c r="A317" s="14" t="str">
        <x:v>XR-313</x:v>
      </x:c>
      <x:c r="B317" s="14" t="str">
        <x:v>ER-09</x:v>
      </x:c>
      <x:c r="C317" s="14" t="str">
        <x:v>CELL-09</x:v>
      </x:c>
      <x:c r="D317" s="14" t="str">
        <x:v>REMOTE</x:v>
      </x:c>
      <x:c r="E317" s="14" t="str">
        <x:v>NOT ISSUED</x:v>
      </x:c>
      <x:c r="F317" s="14" t="str">
        <x:v>OPEN</x:v>
      </x:c>
      <x:c r="G317" s="14" t="str">
        <x:v>OPEN</x:v>
      </x:c>
    </x:row>
    <x:row r="318">
      <x:c r="A318" s="15" t="str">
        <x:v>XR-314</x:v>
      </x:c>
      <x:c r="B318" s="15" t="str">
        <x:v>ER-09</x:v>
      </x:c>
      <x:c r="C318" s="15" t="str">
        <x:v>CELL-09</x:v>
      </x:c>
      <x:c r="D318" s="15" t="str">
        <x:v>ROOT TEAM</x:v>
      </x:c>
      <x:c r="E318" s="15" t="str">
        <x:v>NOT ISSUED</x:v>
      </x:c>
      <x:c r="F318" s="15" t="str">
        <x:v>OPEN</x:v>
      </x:c>
      <x:c r="G318" s="15" t="str">
        <x:v>OPEN</x:v>
      </x:c>
    </x:row>
    <x:row r="319">
      <x:c r="A319" s="14" t="str">
        <x:v>XR-315</x:v>
      </x:c>
      <x:c r="B319" s="14" t="str">
        <x:v>ER-09</x:v>
      </x:c>
      <x:c r="C319" s="14" t="str">
        <x:v>CELL-09</x:v>
      </x:c>
      <x:c r="D319" s="14" t="str">
        <x:v>DEPLOYABLE</x:v>
      </x:c>
      <x:c r="E319" s="14" t="str">
        <x:v>NOT ISSUED</x:v>
      </x:c>
      <x:c r="F319" s="14" t="str">
        <x:v>OPEN</x:v>
      </x:c>
      <x:c r="G319" s="14" t="str">
        <x:v>OPEN</x:v>
      </x:c>
    </x:row>
    <x:row r="320">
      <x:c r="A320" s="15" t="str">
        <x:v>XR-316</x:v>
      </x:c>
      <x:c r="B320" s="15" t="str">
        <x:v>ER-09</x:v>
      </x:c>
      <x:c r="C320" s="15" t="str">
        <x:v>CELL-10</x:v>
      </x:c>
      <x:c r="D320" s="15" t="str">
        <x:v>REMOTE</x:v>
      </x:c>
      <x:c r="E320" s="15" t="str">
        <x:v>NOT ISSUED</x:v>
      </x:c>
      <x:c r="F320" s="15" t="str">
        <x:v>OPEN</x:v>
      </x:c>
      <x:c r="G320" s="15" t="str">
        <x:v>OPEN</x:v>
      </x:c>
    </x:row>
    <x:row r="321">
      <x:c r="A321" s="14" t="str">
        <x:v>XR-317</x:v>
      </x:c>
      <x:c r="B321" s="14" t="str">
        <x:v>ER-09</x:v>
      </x:c>
      <x:c r="C321" s="14" t="str">
        <x:v>CELL-10</x:v>
      </x:c>
      <x:c r="D321" s="14" t="str">
        <x:v>ROOT TEAM</x:v>
      </x:c>
      <x:c r="E321" s="14" t="str">
        <x:v>NOT ISSUED</x:v>
      </x:c>
      <x:c r="F321" s="14" t="str">
        <x:v>OPEN</x:v>
      </x:c>
      <x:c r="G321" s="14" t="str">
        <x:v>OPEN</x:v>
      </x:c>
    </x:row>
    <x:row r="322">
      <x:c r="A322" s="15" t="str">
        <x:v>XR-318</x:v>
      </x:c>
      <x:c r="B322" s="15" t="str">
        <x:v>ER-09</x:v>
      </x:c>
      <x:c r="C322" s="15" t="str">
        <x:v>CELL-10</x:v>
      </x:c>
      <x:c r="D322" s="15" t="str">
        <x:v>DEPLOYABLE</x:v>
      </x:c>
      <x:c r="E322" s="15" t="str">
        <x:v>NOT ISSUED</x:v>
      </x:c>
      <x:c r="F322" s="15" t="str">
        <x:v>OPEN</x:v>
      </x:c>
      <x:c r="G322" s="15" t="str">
        <x:v>OPEN</x:v>
      </x:c>
    </x:row>
    <x:row r="323">
      <x:c r="A323" s="14" t="str">
        <x:v>XR-319</x:v>
      </x:c>
      <x:c r="B323" s="14" t="str">
        <x:v>ER-09</x:v>
      </x:c>
      <x:c r="C323" s="14" t="str">
        <x:v>CELL-11</x:v>
      </x:c>
      <x:c r="D323" s="14" t="str">
        <x:v>REMOTE</x:v>
      </x:c>
      <x:c r="E323" s="14" t="str">
        <x:v>NOT ISSUED</x:v>
      </x:c>
      <x:c r="F323" s="14" t="str">
        <x:v>OPEN</x:v>
      </x:c>
      <x:c r="G323" s="14" t="str">
        <x:v>OPEN</x:v>
      </x:c>
    </x:row>
    <x:row r="324">
      <x:c r="A324" s="15" t="str">
        <x:v>XR-320</x:v>
      </x:c>
      <x:c r="B324" s="15" t="str">
        <x:v>ER-09</x:v>
      </x:c>
      <x:c r="C324" s="15" t="str">
        <x:v>CELL-11</x:v>
      </x:c>
      <x:c r="D324" s="15" t="str">
        <x:v>ROOT TEAM</x:v>
      </x:c>
      <x:c r="E324" s="15" t="str">
        <x:v>NOT ISSUED</x:v>
      </x:c>
      <x:c r="F324" s="15" t="str">
        <x:v>OPEN</x:v>
      </x:c>
      <x:c r="G324" s="15" t="str">
        <x:v>OPEN</x:v>
      </x:c>
    </x:row>
    <x:row r="325">
      <x:c r="A325" s="14" t="str">
        <x:v>XR-321</x:v>
      </x:c>
      <x:c r="B325" s="14" t="str">
        <x:v>ER-09</x:v>
      </x:c>
      <x:c r="C325" s="14" t="str">
        <x:v>CELL-11</x:v>
      </x:c>
      <x:c r="D325" s="14" t="str">
        <x:v>DEPLOYABLE</x:v>
      </x:c>
      <x:c r="E325" s="14" t="str">
        <x:v>NOT ISSUED</x:v>
      </x:c>
      <x:c r="F325" s="14" t="str">
        <x:v>OPEN</x:v>
      </x:c>
      <x:c r="G325" s="14" t="str">
        <x:v>OPEN</x:v>
      </x:c>
    </x:row>
    <x:row r="326">
      <x:c r="A326" s="15" t="str">
        <x:v>XR-322</x:v>
      </x:c>
      <x:c r="B326" s="15" t="str">
        <x:v>ER-09</x:v>
      </x:c>
      <x:c r="C326" s="15" t="str">
        <x:v>CELL-12</x:v>
      </x:c>
      <x:c r="D326" s="15" t="str">
        <x:v>REMOTE</x:v>
      </x:c>
      <x:c r="E326" s="15" t="str">
        <x:v>NOT ISSUED</x:v>
      </x:c>
      <x:c r="F326" s="15" t="str">
        <x:v>OPEN</x:v>
      </x:c>
      <x:c r="G326" s="15" t="str">
        <x:v>OPEN</x:v>
      </x:c>
    </x:row>
    <x:row r="327">
      <x:c r="A327" s="14" t="str">
        <x:v>XR-323</x:v>
      </x:c>
      <x:c r="B327" s="14" t="str">
        <x:v>ER-09</x:v>
      </x:c>
      <x:c r="C327" s="14" t="str">
        <x:v>CELL-12</x:v>
      </x:c>
      <x:c r="D327" s="14" t="str">
        <x:v>ROOT TEAM</x:v>
      </x:c>
      <x:c r="E327" s="14" t="str">
        <x:v>NOT ISSUED</x:v>
      </x:c>
      <x:c r="F327" s="14" t="str">
        <x:v>OPEN</x:v>
      </x:c>
      <x:c r="G327" s="14" t="str">
        <x:v>OPEN</x:v>
      </x:c>
    </x:row>
    <x:row r="328">
      <x:c r="A328" s="15" t="str">
        <x:v>XR-324</x:v>
      </x:c>
      <x:c r="B328" s="15" t="str">
        <x:v>ER-09</x:v>
      </x:c>
      <x:c r="C328" s="15" t="str">
        <x:v>CELL-12</x:v>
      </x:c>
      <x:c r="D328" s="15" t="str">
        <x:v>DEPLOYABLE</x:v>
      </x:c>
      <x:c r="E328" s="15" t="str">
        <x:v>NOT ISSUED</x:v>
      </x:c>
      <x:c r="F328" s="15" t="str">
        <x:v>OPEN</x:v>
      </x:c>
      <x:c r="G328" s="15" t="str">
        <x:v>OPEN</x:v>
      </x:c>
    </x:row>
    <x:row r="329">
      <x:c r="A329" s="14" t="str">
        <x:v>XR-325</x:v>
      </x:c>
      <x:c r="B329" s="14" t="str">
        <x:v>ER-10</x:v>
      </x:c>
      <x:c r="C329" s="14" t="str">
        <x:v>CELL-01</x:v>
      </x:c>
      <x:c r="D329" s="14" t="str">
        <x:v>REMOTE</x:v>
      </x:c>
      <x:c r="E329" s="14" t="str">
        <x:v>NOT ISSUED</x:v>
      </x:c>
      <x:c r="F329" s="14" t="str">
        <x:v>OPEN</x:v>
      </x:c>
      <x:c r="G329" s="14" t="str">
        <x:v>OPEN</x:v>
      </x:c>
    </x:row>
    <x:row r="330">
      <x:c r="A330" s="15" t="str">
        <x:v>XR-326</x:v>
      </x:c>
      <x:c r="B330" s="15" t="str">
        <x:v>ER-10</x:v>
      </x:c>
      <x:c r="C330" s="15" t="str">
        <x:v>CELL-01</x:v>
      </x:c>
      <x:c r="D330" s="15" t="str">
        <x:v>ROOT TEAM</x:v>
      </x:c>
      <x:c r="E330" s="15" t="str">
        <x:v>NOT ISSUED</x:v>
      </x:c>
      <x:c r="F330" s="15" t="str">
        <x:v>OPEN</x:v>
      </x:c>
      <x:c r="G330" s="15" t="str">
        <x:v>OPEN</x:v>
      </x:c>
    </x:row>
    <x:row r="331">
      <x:c r="A331" s="14" t="str">
        <x:v>XR-327</x:v>
      </x:c>
      <x:c r="B331" s="14" t="str">
        <x:v>ER-10</x:v>
      </x:c>
      <x:c r="C331" s="14" t="str">
        <x:v>CELL-01</x:v>
      </x:c>
      <x:c r="D331" s="14" t="str">
        <x:v>DEPLOYABLE</x:v>
      </x:c>
      <x:c r="E331" s="14" t="str">
        <x:v>NOT ISSUED</x:v>
      </x:c>
      <x:c r="F331" s="14" t="str">
        <x:v>OPEN</x:v>
      </x:c>
      <x:c r="G331" s="14" t="str">
        <x:v>OPEN</x:v>
      </x:c>
    </x:row>
    <x:row r="332">
      <x:c r="A332" s="15" t="str">
        <x:v>XR-328</x:v>
      </x:c>
      <x:c r="B332" s="15" t="str">
        <x:v>ER-10</x:v>
      </x:c>
      <x:c r="C332" s="15" t="str">
        <x:v>CELL-02</x:v>
      </x:c>
      <x:c r="D332" s="15" t="str">
        <x:v>REMOTE</x:v>
      </x:c>
      <x:c r="E332" s="15" t="str">
        <x:v>NOT ISSUED</x:v>
      </x:c>
      <x:c r="F332" s="15" t="str">
        <x:v>OPEN</x:v>
      </x:c>
      <x:c r="G332" s="15" t="str">
        <x:v>OPEN</x:v>
      </x:c>
    </x:row>
    <x:row r="333">
      <x:c r="A333" s="14" t="str">
        <x:v>XR-329</x:v>
      </x:c>
      <x:c r="B333" s="14" t="str">
        <x:v>ER-10</x:v>
      </x:c>
      <x:c r="C333" s="14" t="str">
        <x:v>CELL-02</x:v>
      </x:c>
      <x:c r="D333" s="14" t="str">
        <x:v>ROOT TEAM</x:v>
      </x:c>
      <x:c r="E333" s="14" t="str">
        <x:v>NOT ISSUED</x:v>
      </x:c>
      <x:c r="F333" s="14" t="str">
        <x:v>OPEN</x:v>
      </x:c>
      <x:c r="G333" s="14" t="str">
        <x:v>OPEN</x:v>
      </x:c>
    </x:row>
    <x:row r="334">
      <x:c r="A334" s="15" t="str">
        <x:v>XR-330</x:v>
      </x:c>
      <x:c r="B334" s="15" t="str">
        <x:v>ER-10</x:v>
      </x:c>
      <x:c r="C334" s="15" t="str">
        <x:v>CELL-02</x:v>
      </x:c>
      <x:c r="D334" s="15" t="str">
        <x:v>DEPLOYABLE</x:v>
      </x:c>
      <x:c r="E334" s="15" t="str">
        <x:v>NOT ISSUED</x:v>
      </x:c>
      <x:c r="F334" s="15" t="str">
        <x:v>OPEN</x:v>
      </x:c>
      <x:c r="G334" s="15" t="str">
        <x:v>OPEN</x:v>
      </x:c>
    </x:row>
    <x:row r="335">
      <x:c r="A335" s="14" t="str">
        <x:v>XR-331</x:v>
      </x:c>
      <x:c r="B335" s="14" t="str">
        <x:v>ER-10</x:v>
      </x:c>
      <x:c r="C335" s="14" t="str">
        <x:v>CELL-03</x:v>
      </x:c>
      <x:c r="D335" s="14" t="str">
        <x:v>REMOTE</x:v>
      </x:c>
      <x:c r="E335" s="14" t="str">
        <x:v>NOT ISSUED</x:v>
      </x:c>
      <x:c r="F335" s="14" t="str">
        <x:v>OPEN</x:v>
      </x:c>
      <x:c r="G335" s="14" t="str">
        <x:v>OPEN</x:v>
      </x:c>
    </x:row>
    <x:row r="336">
      <x:c r="A336" s="15" t="str">
        <x:v>XR-332</x:v>
      </x:c>
      <x:c r="B336" s="15" t="str">
        <x:v>ER-10</x:v>
      </x:c>
      <x:c r="C336" s="15" t="str">
        <x:v>CELL-03</x:v>
      </x:c>
      <x:c r="D336" s="15" t="str">
        <x:v>ROOT TEAM</x:v>
      </x:c>
      <x:c r="E336" s="15" t="str">
        <x:v>NOT ISSUED</x:v>
      </x:c>
      <x:c r="F336" s="15" t="str">
        <x:v>OPEN</x:v>
      </x:c>
      <x:c r="G336" s="15" t="str">
        <x:v>OPEN</x:v>
      </x:c>
    </x:row>
    <x:row r="337">
      <x:c r="A337" s="14" t="str">
        <x:v>XR-333</x:v>
      </x:c>
      <x:c r="B337" s="14" t="str">
        <x:v>ER-10</x:v>
      </x:c>
      <x:c r="C337" s="14" t="str">
        <x:v>CELL-03</x:v>
      </x:c>
      <x:c r="D337" s="14" t="str">
        <x:v>DEPLOYABLE</x:v>
      </x:c>
      <x:c r="E337" s="14" t="str">
        <x:v>NOT ISSUED</x:v>
      </x:c>
      <x:c r="F337" s="14" t="str">
        <x:v>OPEN</x:v>
      </x:c>
      <x:c r="G337" s="14" t="str">
        <x:v>OPEN</x:v>
      </x:c>
    </x:row>
    <x:row r="338">
      <x:c r="A338" s="15" t="str">
        <x:v>XR-334</x:v>
      </x:c>
      <x:c r="B338" s="15" t="str">
        <x:v>ER-10</x:v>
      </x:c>
      <x:c r="C338" s="15" t="str">
        <x:v>CELL-04</x:v>
      </x:c>
      <x:c r="D338" s="15" t="str">
        <x:v>REMOTE</x:v>
      </x:c>
      <x:c r="E338" s="15" t="str">
        <x:v>NOT ISSUED</x:v>
      </x:c>
      <x:c r="F338" s="15" t="str">
        <x:v>OPEN</x:v>
      </x:c>
      <x:c r="G338" s="15" t="str">
        <x:v>OPEN</x:v>
      </x:c>
    </x:row>
    <x:row r="339">
      <x:c r="A339" s="14" t="str">
        <x:v>XR-335</x:v>
      </x:c>
      <x:c r="B339" s="14" t="str">
        <x:v>ER-10</x:v>
      </x:c>
      <x:c r="C339" s="14" t="str">
        <x:v>CELL-04</x:v>
      </x:c>
      <x:c r="D339" s="14" t="str">
        <x:v>ROOT TEAM</x:v>
      </x:c>
      <x:c r="E339" s="14" t="str">
        <x:v>NOT ISSUED</x:v>
      </x:c>
      <x:c r="F339" s="14" t="str">
        <x:v>OPEN</x:v>
      </x:c>
      <x:c r="G339" s="14" t="str">
        <x:v>OPEN</x:v>
      </x:c>
    </x:row>
    <x:row r="340">
      <x:c r="A340" s="15" t="str">
        <x:v>XR-336</x:v>
      </x:c>
      <x:c r="B340" s="15" t="str">
        <x:v>ER-10</x:v>
      </x:c>
      <x:c r="C340" s="15" t="str">
        <x:v>CELL-04</x:v>
      </x:c>
      <x:c r="D340" s="15" t="str">
        <x:v>DEPLOYABLE</x:v>
      </x:c>
      <x:c r="E340" s="15" t="str">
        <x:v>NOT ISSUED</x:v>
      </x:c>
      <x:c r="F340" s="15" t="str">
        <x:v>OPEN</x:v>
      </x:c>
      <x:c r="G340" s="15" t="str">
        <x:v>OPEN</x:v>
      </x:c>
    </x:row>
    <x:row r="341">
      <x:c r="A341" s="14" t="str">
        <x:v>XR-337</x:v>
      </x:c>
      <x:c r="B341" s="14" t="str">
        <x:v>ER-10</x:v>
      </x:c>
      <x:c r="C341" s="14" t="str">
        <x:v>CELL-05</x:v>
      </x:c>
      <x:c r="D341" s="14" t="str">
        <x:v>REMOTE</x:v>
      </x:c>
      <x:c r="E341" s="14" t="str">
        <x:v>NOT ISSUED</x:v>
      </x:c>
      <x:c r="F341" s="14" t="str">
        <x:v>OPEN</x:v>
      </x:c>
      <x:c r="G341" s="14" t="str">
        <x:v>OPEN</x:v>
      </x:c>
    </x:row>
    <x:row r="342">
      <x:c r="A342" s="15" t="str">
        <x:v>XR-338</x:v>
      </x:c>
      <x:c r="B342" s="15" t="str">
        <x:v>ER-10</x:v>
      </x:c>
      <x:c r="C342" s="15" t="str">
        <x:v>CELL-05</x:v>
      </x:c>
      <x:c r="D342" s="15" t="str">
        <x:v>ROOT TEAM</x:v>
      </x:c>
      <x:c r="E342" s="15" t="str">
        <x:v>NOT ISSUED</x:v>
      </x:c>
      <x:c r="F342" s="15" t="str">
        <x:v>OPEN</x:v>
      </x:c>
      <x:c r="G342" s="15" t="str">
        <x:v>OPEN</x:v>
      </x:c>
    </x:row>
    <x:row r="343">
      <x:c r="A343" s="14" t="str">
        <x:v>XR-339</x:v>
      </x:c>
      <x:c r="B343" s="14" t="str">
        <x:v>ER-10</x:v>
      </x:c>
      <x:c r="C343" s="14" t="str">
        <x:v>CELL-05</x:v>
      </x:c>
      <x:c r="D343" s="14" t="str">
        <x:v>DEPLOYABLE</x:v>
      </x:c>
      <x:c r="E343" s="14" t="str">
        <x:v>NOT ISSUED</x:v>
      </x:c>
      <x:c r="F343" s="14" t="str">
        <x:v>OPEN</x:v>
      </x:c>
      <x:c r="G343" s="14" t="str">
        <x:v>OPEN</x:v>
      </x:c>
    </x:row>
    <x:row r="344">
      <x:c r="A344" s="15" t="str">
        <x:v>XR-340</x:v>
      </x:c>
      <x:c r="B344" s="15" t="str">
        <x:v>ER-10</x:v>
      </x:c>
      <x:c r="C344" s="15" t="str">
        <x:v>CELL-06</x:v>
      </x:c>
      <x:c r="D344" s="15" t="str">
        <x:v>REMOTE</x:v>
      </x:c>
      <x:c r="E344" s="15" t="str">
        <x:v>NOT ISSUED</x:v>
      </x:c>
      <x:c r="F344" s="15" t="str">
        <x:v>OPEN</x:v>
      </x:c>
      <x:c r="G344" s="15" t="str">
        <x:v>OPEN</x:v>
      </x:c>
    </x:row>
    <x:row r="345">
      <x:c r="A345" s="14" t="str">
        <x:v>XR-341</x:v>
      </x:c>
      <x:c r="B345" s="14" t="str">
        <x:v>ER-10</x:v>
      </x:c>
      <x:c r="C345" s="14" t="str">
        <x:v>CELL-06</x:v>
      </x:c>
      <x:c r="D345" s="14" t="str">
        <x:v>ROOT TEAM</x:v>
      </x:c>
      <x:c r="E345" s="14" t="str">
        <x:v>NOT ISSUED</x:v>
      </x:c>
      <x:c r="F345" s="14" t="str">
        <x:v>OPEN</x:v>
      </x:c>
      <x:c r="G345" s="14" t="str">
        <x:v>OPEN</x:v>
      </x:c>
    </x:row>
    <x:row r="346">
      <x:c r="A346" s="15" t="str">
        <x:v>XR-342</x:v>
      </x:c>
      <x:c r="B346" s="15" t="str">
        <x:v>ER-10</x:v>
      </x:c>
      <x:c r="C346" s="15" t="str">
        <x:v>CELL-06</x:v>
      </x:c>
      <x:c r="D346" s="15" t="str">
        <x:v>DEPLOYABLE</x:v>
      </x:c>
      <x:c r="E346" s="15" t="str">
        <x:v>NOT ISSUED</x:v>
      </x:c>
      <x:c r="F346" s="15" t="str">
        <x:v>OPEN</x:v>
      </x:c>
      <x:c r="G346" s="15" t="str">
        <x:v>OPEN</x:v>
      </x:c>
    </x:row>
    <x:row r="347">
      <x:c r="A347" s="14" t="str">
        <x:v>XR-343</x:v>
      </x:c>
      <x:c r="B347" s="14" t="str">
        <x:v>ER-10</x:v>
      </x:c>
      <x:c r="C347" s="14" t="str">
        <x:v>CELL-07</x:v>
      </x:c>
      <x:c r="D347" s="14" t="str">
        <x:v>REMOTE</x:v>
      </x:c>
      <x:c r="E347" s="14" t="str">
        <x:v>NOT ISSUED</x:v>
      </x:c>
      <x:c r="F347" s="14" t="str">
        <x:v>OPEN</x:v>
      </x:c>
      <x:c r="G347" s="14" t="str">
        <x:v>OPEN</x:v>
      </x:c>
    </x:row>
    <x:row r="348">
      <x:c r="A348" s="15" t="str">
        <x:v>XR-344</x:v>
      </x:c>
      <x:c r="B348" s="15" t="str">
        <x:v>ER-10</x:v>
      </x:c>
      <x:c r="C348" s="15" t="str">
        <x:v>CELL-07</x:v>
      </x:c>
      <x:c r="D348" s="15" t="str">
        <x:v>ROOT TEAM</x:v>
      </x:c>
      <x:c r="E348" s="15" t="str">
        <x:v>NOT ISSUED</x:v>
      </x:c>
      <x:c r="F348" s="15" t="str">
        <x:v>OPEN</x:v>
      </x:c>
      <x:c r="G348" s="15" t="str">
        <x:v>OPEN</x:v>
      </x:c>
    </x:row>
    <x:row r="349">
      <x:c r="A349" s="14" t="str">
        <x:v>XR-345</x:v>
      </x:c>
      <x:c r="B349" s="14" t="str">
        <x:v>ER-10</x:v>
      </x:c>
      <x:c r="C349" s="14" t="str">
        <x:v>CELL-07</x:v>
      </x:c>
      <x:c r="D349" s="14" t="str">
        <x:v>DEPLOYABLE</x:v>
      </x:c>
      <x:c r="E349" s="14" t="str">
        <x:v>NOT ISSUED</x:v>
      </x:c>
      <x:c r="F349" s="14" t="str">
        <x:v>OPEN</x:v>
      </x:c>
      <x:c r="G349" s="14" t="str">
        <x:v>OPEN</x:v>
      </x:c>
    </x:row>
    <x:row r="350">
      <x:c r="A350" s="15" t="str">
        <x:v>XR-346</x:v>
      </x:c>
      <x:c r="B350" s="15" t="str">
        <x:v>ER-10</x:v>
      </x:c>
      <x:c r="C350" s="15" t="str">
        <x:v>CELL-08</x:v>
      </x:c>
      <x:c r="D350" s="15" t="str">
        <x:v>REMOTE</x:v>
      </x:c>
      <x:c r="E350" s="15" t="str">
        <x:v>NOT ISSUED</x:v>
      </x:c>
      <x:c r="F350" s="15" t="str">
        <x:v>OPEN</x:v>
      </x:c>
      <x:c r="G350" s="15" t="str">
        <x:v>OPEN</x:v>
      </x:c>
    </x:row>
    <x:row r="351">
      <x:c r="A351" s="14" t="str">
        <x:v>XR-347</x:v>
      </x:c>
      <x:c r="B351" s="14" t="str">
        <x:v>ER-10</x:v>
      </x:c>
      <x:c r="C351" s="14" t="str">
        <x:v>CELL-08</x:v>
      </x:c>
      <x:c r="D351" s="14" t="str">
        <x:v>ROOT TEAM</x:v>
      </x:c>
      <x:c r="E351" s="14" t="str">
        <x:v>NOT ISSUED</x:v>
      </x:c>
      <x:c r="F351" s="14" t="str">
        <x:v>OPEN</x:v>
      </x:c>
      <x:c r="G351" s="14" t="str">
        <x:v>OPEN</x:v>
      </x:c>
    </x:row>
    <x:row r="352">
      <x:c r="A352" s="15" t="str">
        <x:v>XR-348</x:v>
      </x:c>
      <x:c r="B352" s="15" t="str">
        <x:v>ER-10</x:v>
      </x:c>
      <x:c r="C352" s="15" t="str">
        <x:v>CELL-08</x:v>
      </x:c>
      <x:c r="D352" s="15" t="str">
        <x:v>DEPLOYABLE</x:v>
      </x:c>
      <x:c r="E352" s="15" t="str">
        <x:v>NOT ISSUED</x:v>
      </x:c>
      <x:c r="F352" s="15" t="str">
        <x:v>OPEN</x:v>
      </x:c>
      <x:c r="G352" s="15" t="str">
        <x:v>OPEN</x:v>
      </x:c>
    </x:row>
    <x:row r="353">
      <x:c r="A353" s="14" t="str">
        <x:v>XR-349</x:v>
      </x:c>
      <x:c r="B353" s="14" t="str">
        <x:v>ER-10</x:v>
      </x:c>
      <x:c r="C353" s="14" t="str">
        <x:v>CELL-09</x:v>
      </x:c>
      <x:c r="D353" s="14" t="str">
        <x:v>REMOTE</x:v>
      </x:c>
      <x:c r="E353" s="14" t="str">
        <x:v>NOT ISSUED</x:v>
      </x:c>
      <x:c r="F353" s="14" t="str">
        <x:v>OPEN</x:v>
      </x:c>
      <x:c r="G353" s="14" t="str">
        <x:v>OPEN</x:v>
      </x:c>
    </x:row>
    <x:row r="354">
      <x:c r="A354" s="15" t="str">
        <x:v>XR-350</x:v>
      </x:c>
      <x:c r="B354" s="15" t="str">
        <x:v>ER-10</x:v>
      </x:c>
      <x:c r="C354" s="15" t="str">
        <x:v>CELL-09</x:v>
      </x:c>
      <x:c r="D354" s="15" t="str">
        <x:v>ROOT TEAM</x:v>
      </x:c>
      <x:c r="E354" s="15" t="str">
        <x:v>NOT ISSUED</x:v>
      </x:c>
      <x:c r="F354" s="15" t="str">
        <x:v>OPEN</x:v>
      </x:c>
      <x:c r="G354" s="15" t="str">
        <x:v>OPEN</x:v>
      </x:c>
    </x:row>
    <x:row r="355">
      <x:c r="A355" s="14" t="str">
        <x:v>XR-351</x:v>
      </x:c>
      <x:c r="B355" s="14" t="str">
        <x:v>ER-10</x:v>
      </x:c>
      <x:c r="C355" s="14" t="str">
        <x:v>CELL-09</x:v>
      </x:c>
      <x:c r="D355" s="14" t="str">
        <x:v>DEPLOYABLE</x:v>
      </x:c>
      <x:c r="E355" s="14" t="str">
        <x:v>NOT ISSUED</x:v>
      </x:c>
      <x:c r="F355" s="14" t="str">
        <x:v>OPEN</x:v>
      </x:c>
      <x:c r="G355" s="14" t="str">
        <x:v>OPEN</x:v>
      </x:c>
    </x:row>
    <x:row r="356">
      <x:c r="A356" s="15" t="str">
        <x:v>XR-352</x:v>
      </x:c>
      <x:c r="B356" s="15" t="str">
        <x:v>ER-10</x:v>
      </x:c>
      <x:c r="C356" s="15" t="str">
        <x:v>CELL-10</x:v>
      </x:c>
      <x:c r="D356" s="15" t="str">
        <x:v>REMOTE</x:v>
      </x:c>
      <x:c r="E356" s="15" t="str">
        <x:v>NOT ISSUED</x:v>
      </x:c>
      <x:c r="F356" s="15" t="str">
        <x:v>OPEN</x:v>
      </x:c>
      <x:c r="G356" s="15" t="str">
        <x:v>OPEN</x:v>
      </x:c>
    </x:row>
    <x:row r="357">
      <x:c r="A357" s="14" t="str">
        <x:v>XR-353</x:v>
      </x:c>
      <x:c r="B357" s="14" t="str">
        <x:v>ER-10</x:v>
      </x:c>
      <x:c r="C357" s="14" t="str">
        <x:v>CELL-10</x:v>
      </x:c>
      <x:c r="D357" s="14" t="str">
        <x:v>ROOT TEAM</x:v>
      </x:c>
      <x:c r="E357" s="14" t="str">
        <x:v>NOT ISSUED</x:v>
      </x:c>
      <x:c r="F357" s="14" t="str">
        <x:v>OPEN</x:v>
      </x:c>
      <x:c r="G357" s="14" t="str">
        <x:v>OPEN</x:v>
      </x:c>
    </x:row>
    <x:row r="358">
      <x:c r="A358" s="15" t="str">
        <x:v>XR-354</x:v>
      </x:c>
      <x:c r="B358" s="15" t="str">
        <x:v>ER-10</x:v>
      </x:c>
      <x:c r="C358" s="15" t="str">
        <x:v>CELL-10</x:v>
      </x:c>
      <x:c r="D358" s="15" t="str">
        <x:v>DEPLOYABLE</x:v>
      </x:c>
      <x:c r="E358" s="15" t="str">
        <x:v>NOT ISSUED</x:v>
      </x:c>
      <x:c r="F358" s="15" t="str">
        <x:v>OPEN</x:v>
      </x:c>
      <x:c r="G358" s="15" t="str">
        <x:v>OPEN</x:v>
      </x:c>
    </x:row>
    <x:row r="359">
      <x:c r="A359" s="14" t="str">
        <x:v>XR-355</x:v>
      </x:c>
      <x:c r="B359" s="14" t="str">
        <x:v>ER-10</x:v>
      </x:c>
      <x:c r="C359" s="14" t="str">
        <x:v>CELL-11</x:v>
      </x:c>
      <x:c r="D359" s="14" t="str">
        <x:v>REMOTE</x:v>
      </x:c>
      <x:c r="E359" s="14" t="str">
        <x:v>NOT ISSUED</x:v>
      </x:c>
      <x:c r="F359" s="14" t="str">
        <x:v>OPEN</x:v>
      </x:c>
      <x:c r="G359" s="14" t="str">
        <x:v>OPEN</x:v>
      </x:c>
    </x:row>
    <x:row r="360">
      <x:c r="A360" s="15" t="str">
        <x:v>XR-356</x:v>
      </x:c>
      <x:c r="B360" s="15" t="str">
        <x:v>ER-10</x:v>
      </x:c>
      <x:c r="C360" s="15" t="str">
        <x:v>CELL-11</x:v>
      </x:c>
      <x:c r="D360" s="15" t="str">
        <x:v>ROOT TEAM</x:v>
      </x:c>
      <x:c r="E360" s="15" t="str">
        <x:v>NOT ISSUED</x:v>
      </x:c>
      <x:c r="F360" s="15" t="str">
        <x:v>OPEN</x:v>
      </x:c>
      <x:c r="G360" s="15" t="str">
        <x:v>OPEN</x:v>
      </x:c>
    </x:row>
    <x:row r="361">
      <x:c r="A361" s="14" t="str">
        <x:v>XR-357</x:v>
      </x:c>
      <x:c r="B361" s="14" t="str">
        <x:v>ER-10</x:v>
      </x:c>
      <x:c r="C361" s="14" t="str">
        <x:v>CELL-11</x:v>
      </x:c>
      <x:c r="D361" s="14" t="str">
        <x:v>DEPLOYABLE</x:v>
      </x:c>
      <x:c r="E361" s="14" t="str">
        <x:v>NOT ISSUED</x:v>
      </x:c>
      <x:c r="F361" s="14" t="str">
        <x:v>OPEN</x:v>
      </x:c>
      <x:c r="G361" s="14" t="str">
        <x:v>OPEN</x:v>
      </x:c>
    </x:row>
    <x:row r="362">
      <x:c r="A362" s="15" t="str">
        <x:v>XR-358</x:v>
      </x:c>
      <x:c r="B362" s="15" t="str">
        <x:v>ER-10</x:v>
      </x:c>
      <x:c r="C362" s="15" t="str">
        <x:v>CELL-12</x:v>
      </x:c>
      <x:c r="D362" s="15" t="str">
        <x:v>REMOTE</x:v>
      </x:c>
      <x:c r="E362" s="15" t="str">
        <x:v>NOT ISSUED</x:v>
      </x:c>
      <x:c r="F362" s="15" t="str">
        <x:v>OPEN</x:v>
      </x:c>
      <x:c r="G362" s="15" t="str">
        <x:v>OPEN</x:v>
      </x:c>
    </x:row>
    <x:row r="363">
      <x:c r="A363" s="14" t="str">
        <x:v>XR-359</x:v>
      </x:c>
      <x:c r="B363" s="14" t="str">
        <x:v>ER-10</x:v>
      </x:c>
      <x:c r="C363" s="14" t="str">
        <x:v>CELL-12</x:v>
      </x:c>
      <x:c r="D363" s="14" t="str">
        <x:v>ROOT TEAM</x:v>
      </x:c>
      <x:c r="E363" s="14" t="str">
        <x:v>NOT ISSUED</x:v>
      </x:c>
      <x:c r="F363" s="14" t="str">
        <x:v>OPEN</x:v>
      </x:c>
      <x:c r="G363" s="14" t="str">
        <x:v>OPEN</x:v>
      </x:c>
    </x:row>
    <x:row r="364">
      <x:c r="A364" s="15" t="str">
        <x:v>XR-360</x:v>
      </x:c>
      <x:c r="B364" s="15" t="str">
        <x:v>ER-10</x:v>
      </x:c>
      <x:c r="C364" s="15" t="str">
        <x:v>CELL-12</x:v>
      </x:c>
      <x:c r="D364" s="15" t="str">
        <x:v>DEPLOYABLE</x:v>
      </x:c>
      <x:c r="E364" s="15" t="str">
        <x:v>NOT ISSUED</x:v>
      </x:c>
      <x:c r="F364" s="15" t="str">
        <x:v>OPEN</x:v>
      </x:c>
      <x:c r="G364" s="15" t="str">
        <x:v>OPEN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7" customHeight="1">
      <x:c r="A1" s="3" t="str">
        <x:v>Thirty sealed contradiction cases</x:v>
      </x:c>
    </x:row>
    <x:row r="2" ht="32" customHeight="1">
      <x:c r="A2" s="7" t="str">
        <x:v>Each case carries two clean controls and one known conflict.</x:v>
      </x:c>
    </x:row>
    <x:row r="4" ht="28" customHeight="1">
      <x:c r="A4" s="11" t="str">
        <x:v>Case</x:v>
      </x:c>
      <x:c r="B4" s="11" t="str">
        <x:v>Rung</x:v>
      </x:c>
      <x:c r="C4" s="11" t="str">
        <x:v>Challenge family</x:v>
      </x:c>
      <x:c r="D4" s="11" t="str">
        <x:v>Clean controls</x:v>
      </x:c>
      <x:c r="E4" s="11" t="str">
        <x:v>Truth</x:v>
      </x:c>
      <x:c r="F4" s="11" t="str">
        <x:v>Disposition</x:v>
      </x:c>
    </x:row>
    <x:row r="5">
      <x:c r="A5" s="14" t="str">
        <x:v>CC-01</x:v>
      </x:c>
      <x:c r="B5" s="14" t="str">
        <x:v>ER-01</x:v>
      </x:c>
      <x:c r="C5" s="14" t="str">
        <x:v>Configuration ancestry</x:v>
      </x:c>
      <x:c r="D5" s="14" t="n">
        <x:v>2</x:v>
      </x:c>
      <x:c r="E5" s="14" t="str">
        <x:v>SEALED</x:v>
      </x:c>
      <x:c r="F5" s="14" t="str">
        <x:v>OPEN</x:v>
      </x:c>
    </x:row>
    <x:row r="6">
      <x:c r="A6" s="15" t="str">
        <x:v>CC-02</x:v>
      </x:c>
      <x:c r="B6" s="15" t="str">
        <x:v>ER-01</x:v>
      </x:c>
      <x:c r="C6" s="15" t="str">
        <x:v>Clock discontinuity</x:v>
      </x:c>
      <x:c r="D6" s="15" t="n">
        <x:v>2</x:v>
      </x:c>
      <x:c r="E6" s="15" t="str">
        <x:v>SEALED</x:v>
      </x:c>
      <x:c r="F6" s="15" t="str">
        <x:v>OPEN</x:v>
      </x:c>
    </x:row>
    <x:row r="7">
      <x:c r="A7" s="14" t="str">
        <x:v>CC-03</x:v>
      </x:c>
      <x:c r="B7" s="14" t="str">
        <x:v>ER-01</x:v>
      </x:c>
      <x:c r="C7" s="14" t="str">
        <x:v>Shared calibration</x:v>
      </x:c>
      <x:c r="D7" s="14" t="n">
        <x:v>2</x:v>
      </x:c>
      <x:c r="E7" s="14" t="str">
        <x:v>SEALED</x:v>
      </x:c>
      <x:c r="F7" s="14" t="str">
        <x:v>OPEN</x:v>
      </x:c>
    </x:row>
    <x:row r="8">
      <x:c r="A8" s="15" t="str">
        <x:v>CC-04</x:v>
      </x:c>
      <x:c r="B8" s="15" t="str">
        <x:v>ER-02</x:v>
      </x:c>
      <x:c r="C8" s="15" t="str">
        <x:v>Clock discontinuity</x:v>
      </x:c>
      <x:c r="D8" s="15" t="n">
        <x:v>2</x:v>
      </x:c>
      <x:c r="E8" s="15" t="str">
        <x:v>SEALED</x:v>
      </x:c>
      <x:c r="F8" s="15" t="str">
        <x:v>OPEN</x:v>
      </x:c>
    </x:row>
    <x:row r="9">
      <x:c r="A9" s="14" t="str">
        <x:v>CC-05</x:v>
      </x:c>
      <x:c r="B9" s="14" t="str">
        <x:v>ER-02</x:v>
      </x:c>
      <x:c r="C9" s="14" t="str">
        <x:v>Shared calibration</x:v>
      </x:c>
      <x:c r="D9" s="14" t="n">
        <x:v>2</x:v>
      </x:c>
      <x:c r="E9" s="14" t="str">
        <x:v>SEALED</x:v>
      </x:c>
      <x:c r="F9" s="14" t="str">
        <x:v>OPEN</x:v>
      </x:c>
    </x:row>
    <x:row r="10">
      <x:c r="A10" s="15" t="str">
        <x:v>CC-06</x:v>
      </x:c>
      <x:c r="B10" s="15" t="str">
        <x:v>ER-02</x:v>
      </x:c>
      <x:c r="C10" s="15" t="str">
        <x:v>Service-state mismatch</x:v>
      </x:c>
      <x:c r="D10" s="15" t="n">
        <x:v>2</x:v>
      </x:c>
      <x:c r="E10" s="15" t="str">
        <x:v>SEALED</x:v>
      </x:c>
      <x:c r="F10" s="15" t="str">
        <x:v>OPEN</x:v>
      </x:c>
    </x:row>
    <x:row r="11">
      <x:c r="A11" s="14" t="str">
        <x:v>CC-07</x:v>
      </x:c>
      <x:c r="B11" s="14" t="str">
        <x:v>ER-03</x:v>
      </x:c>
      <x:c r="C11" s="14" t="str">
        <x:v>Shared calibration</x:v>
      </x:c>
      <x:c r="D11" s="14" t="n">
        <x:v>2</x:v>
      </x:c>
      <x:c r="E11" s="14" t="str">
        <x:v>SEALED</x:v>
      </x:c>
      <x:c r="F11" s="14" t="str">
        <x:v>OPEN</x:v>
      </x:c>
    </x:row>
    <x:row r="12">
      <x:c r="A12" s="15" t="str">
        <x:v>CC-08</x:v>
      </x:c>
      <x:c r="B12" s="15" t="str">
        <x:v>ER-03</x:v>
      </x:c>
      <x:c r="C12" s="15" t="str">
        <x:v>Service-state mismatch</x:v>
      </x:c>
      <x:c r="D12" s="15" t="n">
        <x:v>2</x:v>
      </x:c>
      <x:c r="E12" s="15" t="str">
        <x:v>SEALED</x:v>
      </x:c>
      <x:c r="F12" s="15" t="str">
        <x:v>OPEN</x:v>
      </x:c>
    </x:row>
    <x:row r="13">
      <x:c r="A13" s="14" t="str">
        <x:v>CC-09</x:v>
      </x:c>
      <x:c r="B13" s="14" t="str">
        <x:v>ER-03</x:v>
      </x:c>
      <x:c r="C13" s="14" t="str">
        <x:v>Incomplete terminal account</x:v>
      </x:c>
      <x:c r="D13" s="14" t="n">
        <x:v>2</x:v>
      </x:c>
      <x:c r="E13" s="14" t="str">
        <x:v>SEALED</x:v>
      </x:c>
      <x:c r="F13" s="14" t="str">
        <x:v>OPEN</x:v>
      </x:c>
    </x:row>
    <x:row r="14">
      <x:c r="A14" s="15" t="str">
        <x:v>CC-10</x:v>
      </x:c>
      <x:c r="B14" s="15" t="str">
        <x:v>ER-04</x:v>
      </x:c>
      <x:c r="C14" s="15" t="str">
        <x:v>Service-state mismatch</x:v>
      </x:c>
      <x:c r="D14" s="15" t="n">
        <x:v>2</x:v>
      </x:c>
      <x:c r="E14" s="15" t="str">
        <x:v>SEALED</x:v>
      </x:c>
      <x:c r="F14" s="15" t="str">
        <x:v>OPEN</x:v>
      </x:c>
    </x:row>
    <x:row r="15">
      <x:c r="A15" s="14" t="str">
        <x:v>CC-11</x:v>
      </x:c>
      <x:c r="B15" s="14" t="str">
        <x:v>ER-04</x:v>
      </x:c>
      <x:c r="C15" s="14" t="str">
        <x:v>Incomplete terminal account</x:v>
      </x:c>
      <x:c r="D15" s="14" t="n">
        <x:v>2</x:v>
      </x:c>
      <x:c r="E15" s="14" t="str">
        <x:v>SEALED</x:v>
      </x:c>
      <x:c r="F15" s="14" t="str">
        <x:v>OPEN</x:v>
      </x:c>
    </x:row>
    <x:row r="16">
      <x:c r="A16" s="15" t="str">
        <x:v>CC-12</x:v>
      </x:c>
      <x:c r="B16" s="15" t="str">
        <x:v>ER-04</x:v>
      </x:c>
      <x:c r="C16" s="15" t="str">
        <x:v>Native evidence contradicts summary</x:v>
      </x:c>
      <x:c r="D16" s="15" t="n">
        <x:v>2</x:v>
      </x:c>
      <x:c r="E16" s="15" t="str">
        <x:v>SEALED</x:v>
      </x:c>
      <x:c r="F16" s="15" t="str">
        <x:v>OPEN</x:v>
      </x:c>
    </x:row>
    <x:row r="17">
      <x:c r="A17" s="14" t="str">
        <x:v>CC-13</x:v>
      </x:c>
      <x:c r="B17" s="14" t="str">
        <x:v>ER-05</x:v>
      </x:c>
      <x:c r="C17" s="14" t="str">
        <x:v>Incomplete terminal account</x:v>
      </x:c>
      <x:c r="D17" s="14" t="n">
        <x:v>2</x:v>
      </x:c>
      <x:c r="E17" s="14" t="str">
        <x:v>SEALED</x:v>
      </x:c>
      <x:c r="F17" s="14" t="str">
        <x:v>OPEN</x:v>
      </x:c>
    </x:row>
    <x:row r="18">
      <x:c r="A18" s="15" t="str">
        <x:v>CC-14</x:v>
      </x:c>
      <x:c r="B18" s="15" t="str">
        <x:v>ER-05</x:v>
      </x:c>
      <x:c r="C18" s="15" t="str">
        <x:v>Native evidence contradicts summary</x:v>
      </x:c>
      <x:c r="D18" s="15" t="n">
        <x:v>2</x:v>
      </x:c>
      <x:c r="E18" s="15" t="str">
        <x:v>SEALED</x:v>
      </x:c>
      <x:c r="F18" s="15" t="str">
        <x:v>OPEN</x:v>
      </x:c>
    </x:row>
    <x:row r="19">
      <x:c r="A19" s="14" t="str">
        <x:v>CC-15</x:v>
      </x:c>
      <x:c r="B19" s="14" t="str">
        <x:v>ER-05</x:v>
      </x:c>
      <x:c r="C19" s="14" t="str">
        <x:v>Configuration ancestry</x:v>
      </x:c>
      <x:c r="D19" s="14" t="n">
        <x:v>2</x:v>
      </x:c>
      <x:c r="E19" s="14" t="str">
        <x:v>SEALED</x:v>
      </x:c>
      <x:c r="F19" s="14" t="str">
        <x:v>OPEN</x:v>
      </x:c>
    </x:row>
    <x:row r="20">
      <x:c r="A20" s="15" t="str">
        <x:v>CC-16</x:v>
      </x:c>
      <x:c r="B20" s="15" t="str">
        <x:v>ER-06</x:v>
      </x:c>
      <x:c r="C20" s="15" t="str">
        <x:v>Native evidence contradicts summary</x:v>
      </x:c>
      <x:c r="D20" s="15" t="n">
        <x:v>2</x:v>
      </x:c>
      <x:c r="E20" s="15" t="str">
        <x:v>SEALED</x:v>
      </x:c>
      <x:c r="F20" s="15" t="str">
        <x:v>OPEN</x:v>
      </x:c>
    </x:row>
    <x:row r="21">
      <x:c r="A21" s="14" t="str">
        <x:v>CC-17</x:v>
      </x:c>
      <x:c r="B21" s="14" t="str">
        <x:v>ER-06</x:v>
      </x:c>
      <x:c r="C21" s="14" t="str">
        <x:v>Configuration ancestry</x:v>
      </x:c>
      <x:c r="D21" s="14" t="n">
        <x:v>2</x:v>
      </x:c>
      <x:c r="E21" s="14" t="str">
        <x:v>SEALED</x:v>
      </x:c>
      <x:c r="F21" s="14" t="str">
        <x:v>OPEN</x:v>
      </x:c>
    </x:row>
    <x:row r="22">
      <x:c r="A22" s="15" t="str">
        <x:v>CC-18</x:v>
      </x:c>
      <x:c r="B22" s="15" t="str">
        <x:v>ER-06</x:v>
      </x:c>
      <x:c r="C22" s="15" t="str">
        <x:v>Clock discontinuity</x:v>
      </x:c>
      <x:c r="D22" s="15" t="n">
        <x:v>2</x:v>
      </x:c>
      <x:c r="E22" s="15" t="str">
        <x:v>SEALED</x:v>
      </x:c>
      <x:c r="F22" s="15" t="str">
        <x:v>OPEN</x:v>
      </x:c>
    </x:row>
    <x:row r="23">
      <x:c r="A23" s="14" t="str">
        <x:v>CC-19</x:v>
      </x:c>
      <x:c r="B23" s="14" t="str">
        <x:v>ER-07</x:v>
      </x:c>
      <x:c r="C23" s="14" t="str">
        <x:v>Configuration ancestry</x:v>
      </x:c>
      <x:c r="D23" s="14" t="n">
        <x:v>2</x:v>
      </x:c>
      <x:c r="E23" s="14" t="str">
        <x:v>SEALED</x:v>
      </x:c>
      <x:c r="F23" s="14" t="str">
        <x:v>OPEN</x:v>
      </x:c>
    </x:row>
    <x:row r="24">
      <x:c r="A24" s="15" t="str">
        <x:v>CC-20</x:v>
      </x:c>
      <x:c r="B24" s="15" t="str">
        <x:v>ER-07</x:v>
      </x:c>
      <x:c r="C24" s="15" t="str">
        <x:v>Clock discontinuity</x:v>
      </x:c>
      <x:c r="D24" s="15" t="n">
        <x:v>2</x:v>
      </x:c>
      <x:c r="E24" s="15" t="str">
        <x:v>SEALED</x:v>
      </x:c>
      <x:c r="F24" s="15" t="str">
        <x:v>OPEN</x:v>
      </x:c>
    </x:row>
    <x:row r="25">
      <x:c r="A25" s="14" t="str">
        <x:v>CC-21</x:v>
      </x:c>
      <x:c r="B25" s="14" t="str">
        <x:v>ER-07</x:v>
      </x:c>
      <x:c r="C25" s="14" t="str">
        <x:v>Shared calibration</x:v>
      </x:c>
      <x:c r="D25" s="14" t="n">
        <x:v>2</x:v>
      </x:c>
      <x:c r="E25" s="14" t="str">
        <x:v>SEALED</x:v>
      </x:c>
      <x:c r="F25" s="14" t="str">
        <x:v>OPEN</x:v>
      </x:c>
    </x:row>
    <x:row r="26">
      <x:c r="A26" s="15" t="str">
        <x:v>CC-22</x:v>
      </x:c>
      <x:c r="B26" s="15" t="str">
        <x:v>ER-08</x:v>
      </x:c>
      <x:c r="C26" s="15" t="str">
        <x:v>Clock discontinuity</x:v>
      </x:c>
      <x:c r="D26" s="15" t="n">
        <x:v>2</x:v>
      </x:c>
      <x:c r="E26" s="15" t="str">
        <x:v>SEALED</x:v>
      </x:c>
      <x:c r="F26" s="15" t="str">
        <x:v>OPEN</x:v>
      </x:c>
    </x:row>
    <x:row r="27">
      <x:c r="A27" s="14" t="str">
        <x:v>CC-23</x:v>
      </x:c>
      <x:c r="B27" s="14" t="str">
        <x:v>ER-08</x:v>
      </x:c>
      <x:c r="C27" s="14" t="str">
        <x:v>Shared calibration</x:v>
      </x:c>
      <x:c r="D27" s="14" t="n">
        <x:v>2</x:v>
      </x:c>
      <x:c r="E27" s="14" t="str">
        <x:v>SEALED</x:v>
      </x:c>
      <x:c r="F27" s="14" t="str">
        <x:v>OPEN</x:v>
      </x:c>
    </x:row>
    <x:row r="28">
      <x:c r="A28" s="15" t="str">
        <x:v>CC-24</x:v>
      </x:c>
      <x:c r="B28" s="15" t="str">
        <x:v>ER-08</x:v>
      </x:c>
      <x:c r="C28" s="15" t="str">
        <x:v>Service-state mismatch</x:v>
      </x:c>
      <x:c r="D28" s="15" t="n">
        <x:v>2</x:v>
      </x:c>
      <x:c r="E28" s="15" t="str">
        <x:v>SEALED</x:v>
      </x:c>
      <x:c r="F28" s="15" t="str">
        <x:v>OPEN</x:v>
      </x:c>
    </x:row>
    <x:row r="29">
      <x:c r="A29" s="14" t="str">
        <x:v>CC-25</x:v>
      </x:c>
      <x:c r="B29" s="14" t="str">
        <x:v>ER-09</x:v>
      </x:c>
      <x:c r="C29" s="14" t="str">
        <x:v>Shared calibration</x:v>
      </x:c>
      <x:c r="D29" s="14" t="n">
        <x:v>2</x:v>
      </x:c>
      <x:c r="E29" s="14" t="str">
        <x:v>SEALED</x:v>
      </x:c>
      <x:c r="F29" s="14" t="str">
        <x:v>OPEN</x:v>
      </x:c>
    </x:row>
    <x:row r="30">
      <x:c r="A30" s="15" t="str">
        <x:v>CC-26</x:v>
      </x:c>
      <x:c r="B30" s="15" t="str">
        <x:v>ER-09</x:v>
      </x:c>
      <x:c r="C30" s="15" t="str">
        <x:v>Service-state mismatch</x:v>
      </x:c>
      <x:c r="D30" s="15" t="n">
        <x:v>2</x:v>
      </x:c>
      <x:c r="E30" s="15" t="str">
        <x:v>SEALED</x:v>
      </x:c>
      <x:c r="F30" s="15" t="str">
        <x:v>OPEN</x:v>
      </x:c>
    </x:row>
    <x:row r="31">
      <x:c r="A31" s="14" t="str">
        <x:v>CC-27</x:v>
      </x:c>
      <x:c r="B31" s="14" t="str">
        <x:v>ER-09</x:v>
      </x:c>
      <x:c r="C31" s="14" t="str">
        <x:v>Incomplete terminal account</x:v>
      </x:c>
      <x:c r="D31" s="14" t="n">
        <x:v>2</x:v>
      </x:c>
      <x:c r="E31" s="14" t="str">
        <x:v>SEALED</x:v>
      </x:c>
      <x:c r="F31" s="14" t="str">
        <x:v>OPEN</x:v>
      </x:c>
    </x:row>
    <x:row r="32">
      <x:c r="A32" s="15" t="str">
        <x:v>CC-28</x:v>
      </x:c>
      <x:c r="B32" s="15" t="str">
        <x:v>ER-10</x:v>
      </x:c>
      <x:c r="C32" s="15" t="str">
        <x:v>Service-state mismatch</x:v>
      </x:c>
      <x:c r="D32" s="15" t="n">
        <x:v>2</x:v>
      </x:c>
      <x:c r="E32" s="15" t="str">
        <x:v>SEALED</x:v>
      </x:c>
      <x:c r="F32" s="15" t="str">
        <x:v>OPEN</x:v>
      </x:c>
    </x:row>
    <x:row r="33">
      <x:c r="A33" s="14" t="str">
        <x:v>CC-29</x:v>
      </x:c>
      <x:c r="B33" s="14" t="str">
        <x:v>ER-10</x:v>
      </x:c>
      <x:c r="C33" s="14" t="str">
        <x:v>Incomplete terminal account</x:v>
      </x:c>
      <x:c r="D33" s="14" t="n">
        <x:v>2</x:v>
      </x:c>
      <x:c r="E33" s="14" t="str">
        <x:v>SEALED</x:v>
      </x:c>
      <x:c r="F33" s="14" t="str">
        <x:v>OPEN</x:v>
      </x:c>
    </x:row>
    <x:row r="34">
      <x:c r="A34" s="15" t="str">
        <x:v>CC-30</x:v>
      </x:c>
      <x:c r="B34" s="15" t="str">
        <x:v>ER-10</x:v>
      </x:c>
      <x:c r="C34" s="15" t="str">
        <x:v>Native evidence contradicts summary</x:v>
      </x:c>
      <x:c r="D34" s="15" t="n">
        <x:v>2</x:v>
      </x:c>
      <x:c r="E34" s="15" t="str">
        <x:v>SEALED</x:v>
      </x:c>
      <x:c r="F34" s="15" t="str">
        <x:v>OPEN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14" hidden="0" customWidth="1"/>
  </x:cols>
  <x:sheetData>
    <x:row r="1" ht="27" customHeight="1">
      <x:c r="A1" s="3" t="str">
        <x:v>Valid adverse and indeterminate result ledger</x:v>
      </x:c>
    </x:row>
    <x:row r="2" ht="32" customHeight="1">
      <x:c r="A2" s="7" t="str">
        <x:v>A valid adverse result remains in its exact cell and cannot activate a reserve.</x:v>
      </x:c>
    </x:row>
    <x:row r="4" ht="28" customHeight="1">
      <x:c r="A4" s="11" t="str">
        <x:v>Record</x:v>
      </x:c>
      <x:c r="B4" s="11" t="str">
        <x:v>Rung</x:v>
      </x:c>
      <x:c r="C4" s="11" t="str">
        <x:v>Cell</x:v>
      </x:c>
      <x:c r="D4" s="11" t="str">
        <x:v>Disposition</x:v>
      </x:c>
      <x:c r="E4" s="11" t="str">
        <x:v>Native packet</x:v>
      </x:c>
      <x:c r="F4" s="11" t="str">
        <x:v>Transfer effect</x:v>
      </x:c>
      <x:c r="G4" s="11" t="str">
        <x:v>State</x:v>
      </x:c>
    </x:row>
    <x:row r="5">
      <x:c r="A5" s="14" t="str">
        <x:v>ADV-01</x:v>
      </x:c>
      <x:c r="B5" s="14" t="str"/>
      <x:c r="C5" s="14" t="str"/>
      <x:c r="D5" s="14" t="str">
        <x:v>OPEN</x:v>
      </x:c>
      <x:c r="E5" s="14" t="str">
        <x:v>NOT ISSUED</x:v>
      </x:c>
      <x:c r="F5" s="14" t="str">
        <x:v>OPEN</x:v>
      </x:c>
      <x:c r="G5" s="14" t="str">
        <x:v>OPEN</x:v>
      </x:c>
    </x:row>
    <x:row r="6">
      <x:c r="A6" s="15" t="str">
        <x:v>ADV-02</x:v>
      </x:c>
      <x:c r="B6" s="15" t="str"/>
      <x:c r="C6" s="15" t="str"/>
      <x:c r="D6" s="15" t="str">
        <x:v>OPEN</x:v>
      </x:c>
      <x:c r="E6" s="15" t="str">
        <x:v>NOT ISSUED</x:v>
      </x:c>
      <x:c r="F6" s="15" t="str">
        <x:v>OPEN</x:v>
      </x:c>
      <x:c r="G6" s="15" t="str">
        <x:v>OPEN</x:v>
      </x:c>
    </x:row>
    <x:row r="7">
      <x:c r="A7" s="14" t="str">
        <x:v>ADV-03</x:v>
      </x:c>
      <x:c r="B7" s="14" t="str"/>
      <x:c r="C7" s="14" t="str"/>
      <x:c r="D7" s="14" t="str">
        <x:v>OPEN</x:v>
      </x:c>
      <x:c r="E7" s="14" t="str">
        <x:v>NOT ISSUED</x:v>
      </x:c>
      <x:c r="F7" s="14" t="str">
        <x:v>OPEN</x:v>
      </x:c>
      <x:c r="G7" s="14" t="str">
        <x:v>OPEN</x:v>
      </x:c>
    </x:row>
    <x:row r="8">
      <x:c r="A8" s="15" t="str">
        <x:v>ADV-04</x:v>
      </x:c>
      <x:c r="B8" s="15" t="str"/>
      <x:c r="C8" s="15" t="str"/>
      <x:c r="D8" s="15" t="str">
        <x:v>OPEN</x:v>
      </x:c>
      <x:c r="E8" s="15" t="str">
        <x:v>NOT ISSUED</x:v>
      </x:c>
      <x:c r="F8" s="15" t="str">
        <x:v>OPEN</x:v>
      </x:c>
      <x:c r="G8" s="15" t="str">
        <x:v>OPEN</x:v>
      </x:c>
    </x:row>
    <x:row r="9">
      <x:c r="A9" s="14" t="str">
        <x:v>ADV-05</x:v>
      </x:c>
      <x:c r="B9" s="14" t="str"/>
      <x:c r="C9" s="14" t="str"/>
      <x:c r="D9" s="14" t="str">
        <x:v>OPEN</x:v>
      </x:c>
      <x:c r="E9" s="14" t="str">
        <x:v>NOT ISSUED</x:v>
      </x:c>
      <x:c r="F9" s="14" t="str">
        <x:v>OPEN</x:v>
      </x:c>
      <x:c r="G9" s="14" t="str">
        <x:v>OPEN</x:v>
      </x:c>
    </x:row>
    <x:row r="10">
      <x:c r="A10" s="15" t="str">
        <x:v>ADV-06</x:v>
      </x:c>
      <x:c r="B10" s="15" t="str"/>
      <x:c r="C10" s="15" t="str"/>
      <x:c r="D10" s="15" t="str">
        <x:v>OPEN</x:v>
      </x:c>
      <x:c r="E10" s="15" t="str">
        <x:v>NOT ISSUED</x:v>
      </x:c>
      <x:c r="F10" s="15" t="str">
        <x:v>OPEN</x:v>
      </x:c>
      <x:c r="G10" s="15" t="str">
        <x:v>OPEN</x:v>
      </x:c>
    </x:row>
    <x:row r="11">
      <x:c r="A11" s="14" t="str">
        <x:v>ADV-07</x:v>
      </x:c>
      <x:c r="B11" s="14" t="str"/>
      <x:c r="C11" s="14" t="str"/>
      <x:c r="D11" s="14" t="str">
        <x:v>OPEN</x:v>
      </x:c>
      <x:c r="E11" s="14" t="str">
        <x:v>NOT ISSUED</x:v>
      </x:c>
      <x:c r="F11" s="14" t="str">
        <x:v>OPEN</x:v>
      </x:c>
      <x:c r="G11" s="14" t="str">
        <x:v>OPEN</x:v>
      </x:c>
    </x:row>
    <x:row r="12">
      <x:c r="A12" s="15" t="str">
        <x:v>ADV-08</x:v>
      </x:c>
      <x:c r="B12" s="15" t="str"/>
      <x:c r="C12" s="15" t="str"/>
      <x:c r="D12" s="15" t="str">
        <x:v>OPEN</x:v>
      </x:c>
      <x:c r="E12" s="15" t="str">
        <x:v>NOT ISSUED</x:v>
      </x:c>
      <x:c r="F12" s="15" t="str">
        <x:v>OPEN</x:v>
      </x:c>
      <x:c r="G12" s="15" t="str">
        <x:v>OPEN</x:v>
      </x:c>
    </x:row>
    <x:row r="13">
      <x:c r="A13" s="14" t="str">
        <x:v>ADV-09</x:v>
      </x:c>
      <x:c r="B13" s="14" t="str"/>
      <x:c r="C13" s="14" t="str"/>
      <x:c r="D13" s="14" t="str">
        <x:v>OPEN</x:v>
      </x:c>
      <x:c r="E13" s="14" t="str">
        <x:v>NOT ISSUED</x:v>
      </x:c>
      <x:c r="F13" s="14" t="str">
        <x:v>OPEN</x:v>
      </x:c>
      <x:c r="G13" s="14" t="str">
        <x:v>OPEN</x:v>
      </x:c>
    </x:row>
    <x:row r="14">
      <x:c r="A14" s="15" t="str">
        <x:v>ADV-10</x:v>
      </x:c>
      <x:c r="B14" s="15" t="str"/>
      <x:c r="C14" s="15" t="str"/>
      <x:c r="D14" s="15" t="str">
        <x:v>OPEN</x:v>
      </x:c>
      <x:c r="E14" s="15" t="str">
        <x:v>NOT ISSUED</x:v>
      </x:c>
      <x:c r="F14" s="15" t="str">
        <x:v>OPEN</x:v>
      </x:c>
      <x:c r="G14" s="15" t="str">
        <x:v>OPEN</x:v>
      </x:c>
    </x:row>
    <x:row r="15">
      <x:c r="A15" s="14" t="str">
        <x:v>ADV-11</x:v>
      </x:c>
      <x:c r="B15" s="14" t="str"/>
      <x:c r="C15" s="14" t="str"/>
      <x:c r="D15" s="14" t="str">
        <x:v>OPEN</x:v>
      </x:c>
      <x:c r="E15" s="14" t="str">
        <x:v>NOT ISSUED</x:v>
      </x:c>
      <x:c r="F15" s="14" t="str">
        <x:v>OPEN</x:v>
      </x:c>
      <x:c r="G15" s="14" t="str">
        <x:v>OPEN</x:v>
      </x:c>
    </x:row>
    <x:row r="16">
      <x:c r="A16" s="15" t="str">
        <x:v>ADV-12</x:v>
      </x:c>
      <x:c r="B16" s="15" t="str"/>
      <x:c r="C16" s="15" t="str"/>
      <x:c r="D16" s="15" t="str">
        <x:v>OPEN</x:v>
      </x:c>
      <x:c r="E16" s="15" t="str">
        <x:v>NOT ISSUED</x:v>
      </x:c>
      <x:c r="F16" s="15" t="str">
        <x:v>OPEN</x:v>
      </x:c>
      <x:c r="G16" s="15" t="str">
        <x:v>OPEN</x:v>
      </x:c>
    </x:row>
    <x:row r="17">
      <x:c r="A17" s="14" t="str">
        <x:v>ADV-13</x:v>
      </x:c>
      <x:c r="B17" s="14" t="str"/>
      <x:c r="C17" s="14" t="str"/>
      <x:c r="D17" s="14" t="str">
        <x:v>OPEN</x:v>
      </x:c>
      <x:c r="E17" s="14" t="str">
        <x:v>NOT ISSUED</x:v>
      </x:c>
      <x:c r="F17" s="14" t="str">
        <x:v>OPEN</x:v>
      </x:c>
      <x:c r="G17" s="14" t="str">
        <x:v>OPEN</x:v>
      </x:c>
    </x:row>
    <x:row r="18">
      <x:c r="A18" s="15" t="str">
        <x:v>ADV-14</x:v>
      </x:c>
      <x:c r="B18" s="15" t="str"/>
      <x:c r="C18" s="15" t="str"/>
      <x:c r="D18" s="15" t="str">
        <x:v>OPEN</x:v>
      </x:c>
      <x:c r="E18" s="15" t="str">
        <x:v>NOT ISSUED</x:v>
      </x:c>
      <x:c r="F18" s="15" t="str">
        <x:v>OPEN</x:v>
      </x:c>
      <x:c r="G18" s="15" t="str">
        <x:v>OPEN</x:v>
      </x:c>
    </x:row>
    <x:row r="19">
      <x:c r="A19" s="14" t="str">
        <x:v>ADV-15</x:v>
      </x:c>
      <x:c r="B19" s="14" t="str"/>
      <x:c r="C19" s="14" t="str"/>
      <x:c r="D19" s="14" t="str">
        <x:v>OPEN</x:v>
      </x:c>
      <x:c r="E19" s="14" t="str">
        <x:v>NOT ISSUED</x:v>
      </x:c>
      <x:c r="F19" s="14" t="str">
        <x:v>OPEN</x:v>
      </x:c>
      <x:c r="G19" s="14" t="str">
        <x:v>OPEN</x:v>
      </x:c>
    </x:row>
    <x:row r="20">
      <x:c r="A20" s="15" t="str">
        <x:v>ADV-16</x:v>
      </x:c>
      <x:c r="B20" s="15" t="str"/>
      <x:c r="C20" s="15" t="str"/>
      <x:c r="D20" s="15" t="str">
        <x:v>OPEN</x:v>
      </x:c>
      <x:c r="E20" s="15" t="str">
        <x:v>NOT ISSUED</x:v>
      </x:c>
      <x:c r="F20" s="15" t="str">
        <x:v>OPEN</x:v>
      </x:c>
      <x:c r="G20" s="15" t="str">
        <x:v>OPEN</x:v>
      </x:c>
    </x:row>
    <x:row r="21">
      <x:c r="A21" s="14" t="str">
        <x:v>ADV-17</x:v>
      </x:c>
      <x:c r="B21" s="14" t="str"/>
      <x:c r="C21" s="14" t="str"/>
      <x:c r="D21" s="14" t="str">
        <x:v>OPEN</x:v>
      </x:c>
      <x:c r="E21" s="14" t="str">
        <x:v>NOT ISSUED</x:v>
      </x:c>
      <x:c r="F21" s="14" t="str">
        <x:v>OPEN</x:v>
      </x:c>
      <x:c r="G21" s="14" t="str">
        <x:v>OPEN</x:v>
      </x:c>
    </x:row>
    <x:row r="22">
      <x:c r="A22" s="15" t="str">
        <x:v>ADV-18</x:v>
      </x:c>
      <x:c r="B22" s="15" t="str"/>
      <x:c r="C22" s="15" t="str"/>
      <x:c r="D22" s="15" t="str">
        <x:v>OPEN</x:v>
      </x:c>
      <x:c r="E22" s="15" t="str">
        <x:v>NOT ISSUED</x:v>
      </x:c>
      <x:c r="F22" s="15" t="str">
        <x:v>OPEN</x:v>
      </x:c>
      <x:c r="G22" s="15" t="str">
        <x:v>OPEN</x:v>
      </x:c>
    </x:row>
    <x:row r="23">
      <x:c r="A23" s="14" t="str">
        <x:v>ADV-19</x:v>
      </x:c>
      <x:c r="B23" s="14" t="str"/>
      <x:c r="C23" s="14" t="str"/>
      <x:c r="D23" s="14" t="str">
        <x:v>OPEN</x:v>
      </x:c>
      <x:c r="E23" s="14" t="str">
        <x:v>NOT ISSUED</x:v>
      </x:c>
      <x:c r="F23" s="14" t="str">
        <x:v>OPEN</x:v>
      </x:c>
      <x:c r="G23" s="14" t="str">
        <x:v>OPEN</x:v>
      </x:c>
    </x:row>
    <x:row r="24">
      <x:c r="A24" s="15" t="str">
        <x:v>ADV-20</x:v>
      </x:c>
      <x:c r="B24" s="15" t="str"/>
      <x:c r="C24" s="15" t="str"/>
      <x:c r="D24" s="15" t="str">
        <x:v>OPEN</x:v>
      </x:c>
      <x:c r="E24" s="15" t="str">
        <x:v>NOT ISSUED</x:v>
      </x:c>
      <x:c r="F24" s="15" t="str">
        <x:v>OPEN</x:v>
      </x:c>
      <x:c r="G24" s="15" t="str">
        <x:v>OPEN</x:v>
      </x:c>
    </x:row>
    <x:row r="25">
      <x:c r="A25" s="14" t="str">
        <x:v>ADV-21</x:v>
      </x:c>
      <x:c r="B25" s="14" t="str"/>
      <x:c r="C25" s="14" t="str"/>
      <x:c r="D25" s="14" t="str">
        <x:v>OPEN</x:v>
      </x:c>
      <x:c r="E25" s="14" t="str">
        <x:v>NOT ISSUED</x:v>
      </x:c>
      <x:c r="F25" s="14" t="str">
        <x:v>OPEN</x:v>
      </x:c>
      <x:c r="G25" s="14" t="str">
        <x:v>OPEN</x:v>
      </x:c>
    </x:row>
    <x:row r="26">
      <x:c r="A26" s="15" t="str">
        <x:v>ADV-22</x:v>
      </x:c>
      <x:c r="B26" s="15" t="str"/>
      <x:c r="C26" s="15" t="str"/>
      <x:c r="D26" s="15" t="str">
        <x:v>OPEN</x:v>
      </x:c>
      <x:c r="E26" s="15" t="str">
        <x:v>NOT ISSUED</x:v>
      </x:c>
      <x:c r="F26" s="15" t="str">
        <x:v>OPEN</x:v>
      </x:c>
      <x:c r="G26" s="15" t="str">
        <x:v>OPEN</x:v>
      </x:c>
    </x:row>
    <x:row r="27">
      <x:c r="A27" s="14" t="str">
        <x:v>ADV-23</x:v>
      </x:c>
      <x:c r="B27" s="14" t="str"/>
      <x:c r="C27" s="14" t="str"/>
      <x:c r="D27" s="14" t="str">
        <x:v>OPEN</x:v>
      </x:c>
      <x:c r="E27" s="14" t="str">
        <x:v>NOT ISSUED</x:v>
      </x:c>
      <x:c r="F27" s="14" t="str">
        <x:v>OPEN</x:v>
      </x:c>
      <x:c r="G27" s="14" t="str">
        <x:v>OPEN</x:v>
      </x:c>
    </x:row>
    <x:row r="28">
      <x:c r="A28" s="15" t="str">
        <x:v>ADV-24</x:v>
      </x:c>
      <x:c r="B28" s="15" t="str"/>
      <x:c r="C28" s="15" t="str"/>
      <x:c r="D28" s="15" t="str">
        <x:v>OPEN</x:v>
      </x:c>
      <x:c r="E28" s="15" t="str">
        <x:v>NOT ISSUED</x:v>
      </x:c>
      <x:c r="F28" s="15" t="str">
        <x:v>OPEN</x:v>
      </x:c>
      <x:c r="G28" s="15" t="str">
        <x:v>OPEN</x:v>
      </x:c>
    </x:row>
    <x:row r="29">
      <x:c r="A29" s="14" t="str">
        <x:v>ADV-25</x:v>
      </x:c>
      <x:c r="B29" s="14" t="str"/>
      <x:c r="C29" s="14" t="str"/>
      <x:c r="D29" s="14" t="str">
        <x:v>OPEN</x:v>
      </x:c>
      <x:c r="E29" s="14" t="str">
        <x:v>NOT ISSUED</x:v>
      </x:c>
      <x:c r="F29" s="14" t="str">
        <x:v>OPEN</x:v>
      </x:c>
      <x:c r="G29" s="14" t="str">
        <x:v>OPEN</x:v>
      </x:c>
    </x:row>
    <x:row r="30">
      <x:c r="A30" s="15" t="str">
        <x:v>ADV-26</x:v>
      </x:c>
      <x:c r="B30" s="15" t="str"/>
      <x:c r="C30" s="15" t="str"/>
      <x:c r="D30" s="15" t="str">
        <x:v>OPEN</x:v>
      </x:c>
      <x:c r="E30" s="15" t="str">
        <x:v>NOT ISSUED</x:v>
      </x:c>
      <x:c r="F30" s="15" t="str">
        <x:v>OPEN</x:v>
      </x:c>
      <x:c r="G30" s="15" t="str">
        <x:v>OPEN</x:v>
      </x:c>
    </x:row>
    <x:row r="31">
      <x:c r="A31" s="14" t="str">
        <x:v>ADV-27</x:v>
      </x:c>
      <x:c r="B31" s="14" t="str"/>
      <x:c r="C31" s="14" t="str"/>
      <x:c r="D31" s="14" t="str">
        <x:v>OPEN</x:v>
      </x:c>
      <x:c r="E31" s="14" t="str">
        <x:v>NOT ISSUED</x:v>
      </x:c>
      <x:c r="F31" s="14" t="str">
        <x:v>OPEN</x:v>
      </x:c>
      <x:c r="G31" s="14" t="str">
        <x:v>OPEN</x:v>
      </x:c>
    </x:row>
    <x:row r="32">
      <x:c r="A32" s="15" t="str">
        <x:v>ADV-28</x:v>
      </x:c>
      <x:c r="B32" s="15" t="str"/>
      <x:c r="C32" s="15" t="str"/>
      <x:c r="D32" s="15" t="str">
        <x:v>OPEN</x:v>
      </x:c>
      <x:c r="E32" s="15" t="str">
        <x:v>NOT ISSUED</x:v>
      </x:c>
      <x:c r="F32" s="15" t="str">
        <x:v>OPEN</x:v>
      </x:c>
      <x:c r="G32" s="15" t="str">
        <x:v>OPEN</x:v>
      </x:c>
    </x:row>
    <x:row r="33">
      <x:c r="A33" s="14" t="str">
        <x:v>ADV-29</x:v>
      </x:c>
      <x:c r="B33" s="14" t="str"/>
      <x:c r="C33" s="14" t="str"/>
      <x:c r="D33" s="14" t="str">
        <x:v>OPEN</x:v>
      </x:c>
      <x:c r="E33" s="14" t="str">
        <x:v>NOT ISSUED</x:v>
      </x:c>
      <x:c r="F33" s="14" t="str">
        <x:v>OPEN</x:v>
      </x:c>
      <x:c r="G33" s="14" t="str">
        <x:v>OPEN</x:v>
      </x:c>
    </x:row>
    <x:row r="34">
      <x:c r="A34" s="15" t="str">
        <x:v>ADV-30</x:v>
      </x:c>
      <x:c r="B34" s="15" t="str"/>
      <x:c r="C34" s="15" t="str"/>
      <x:c r="D34" s="15" t="str">
        <x:v>OPEN</x:v>
      </x:c>
      <x:c r="E34" s="15" t="str">
        <x:v>NOT ISSUED</x:v>
      </x:c>
      <x:c r="F34" s="15" t="str">
        <x:v>OPEN</x:v>
      </x:c>
      <x:c r="G34" s="15" t="str">
        <x:v>OPEN</x:v>
      </x:c>
    </x:row>
    <x:row r="35">
      <x:c r="A35" s="14" t="str">
        <x:v>ADV-31</x:v>
      </x:c>
      <x:c r="B35" s="14" t="str"/>
      <x:c r="C35" s="14" t="str"/>
      <x:c r="D35" s="14" t="str">
        <x:v>OPEN</x:v>
      </x:c>
      <x:c r="E35" s="14" t="str">
        <x:v>NOT ISSUED</x:v>
      </x:c>
      <x:c r="F35" s="14" t="str">
        <x:v>OPEN</x:v>
      </x:c>
      <x:c r="G35" s="14" t="str">
        <x:v>OPEN</x:v>
      </x:c>
    </x:row>
    <x:row r="36">
      <x:c r="A36" s="15" t="str">
        <x:v>ADV-32</x:v>
      </x:c>
      <x:c r="B36" s="15" t="str"/>
      <x:c r="C36" s="15" t="str"/>
      <x:c r="D36" s="15" t="str">
        <x:v>OPEN</x:v>
      </x:c>
      <x:c r="E36" s="15" t="str">
        <x:v>NOT ISSUED</x:v>
      </x:c>
      <x:c r="F36" s="15" t="str">
        <x:v>OPEN</x:v>
      </x:c>
      <x:c r="G36" s="15" t="str">
        <x:v>OPEN</x:v>
      </x:c>
    </x:row>
    <x:row r="37">
      <x:c r="A37" s="14" t="str">
        <x:v>ADV-33</x:v>
      </x:c>
      <x:c r="B37" s="14" t="str"/>
      <x:c r="C37" s="14" t="str"/>
      <x:c r="D37" s="14" t="str">
        <x:v>OPEN</x:v>
      </x:c>
      <x:c r="E37" s="14" t="str">
        <x:v>NOT ISSUED</x:v>
      </x:c>
      <x:c r="F37" s="14" t="str">
        <x:v>OPEN</x:v>
      </x:c>
      <x:c r="G37" s="14" t="str">
        <x:v>OPEN</x:v>
      </x:c>
    </x:row>
    <x:row r="38">
      <x:c r="A38" s="15" t="str">
        <x:v>ADV-34</x:v>
      </x:c>
      <x:c r="B38" s="15" t="str"/>
      <x:c r="C38" s="15" t="str"/>
      <x:c r="D38" s="15" t="str">
        <x:v>OPEN</x:v>
      </x:c>
      <x:c r="E38" s="15" t="str">
        <x:v>NOT ISSUED</x:v>
      </x:c>
      <x:c r="F38" s="15" t="str">
        <x:v>OPEN</x:v>
      </x:c>
      <x:c r="G38" s="15" t="str">
        <x:v>OPEN</x:v>
      </x:c>
    </x:row>
    <x:row r="39">
      <x:c r="A39" s="14" t="str">
        <x:v>ADV-35</x:v>
      </x:c>
      <x:c r="B39" s="14" t="str"/>
      <x:c r="C39" s="14" t="str"/>
      <x:c r="D39" s="14" t="str">
        <x:v>OPEN</x:v>
      </x:c>
      <x:c r="E39" s="14" t="str">
        <x:v>NOT ISSUED</x:v>
      </x:c>
      <x:c r="F39" s="14" t="str">
        <x:v>OPEN</x:v>
      </x:c>
      <x:c r="G39" s="14" t="str">
        <x:v>OPEN</x:v>
      </x:c>
    </x:row>
    <x:row r="40">
      <x:c r="A40" s="15" t="str">
        <x:v>ADV-36</x:v>
      </x:c>
      <x:c r="B40" s="15" t="str"/>
      <x:c r="C40" s="15" t="str"/>
      <x:c r="D40" s="15" t="str">
        <x:v>OPEN</x:v>
      </x:c>
      <x:c r="E40" s="15" t="str">
        <x:v>NOT ISSUED</x:v>
      </x:c>
      <x:c r="F40" s="15" t="str">
        <x:v>OPEN</x:v>
      </x:c>
      <x:c r="G40" s="15" t="str">
        <x:v>OPEN</x:v>
      </x:c>
    </x:row>
    <x:row r="41">
      <x:c r="A41" s="14" t="str">
        <x:v>ADV-37</x:v>
      </x:c>
      <x:c r="B41" s="14" t="str"/>
      <x:c r="C41" s="14" t="str"/>
      <x:c r="D41" s="14" t="str">
        <x:v>OPEN</x:v>
      </x:c>
      <x:c r="E41" s="14" t="str">
        <x:v>NOT ISSUED</x:v>
      </x:c>
      <x:c r="F41" s="14" t="str">
        <x:v>OPEN</x:v>
      </x:c>
      <x:c r="G41" s="14" t="str">
        <x:v>OPEN</x:v>
      </x:c>
    </x:row>
    <x:row r="42">
      <x:c r="A42" s="15" t="str">
        <x:v>ADV-38</x:v>
      </x:c>
      <x:c r="B42" s="15" t="str"/>
      <x:c r="C42" s="15" t="str"/>
      <x:c r="D42" s="15" t="str">
        <x:v>OPEN</x:v>
      </x:c>
      <x:c r="E42" s="15" t="str">
        <x:v>NOT ISSUED</x:v>
      </x:c>
      <x:c r="F42" s="15" t="str">
        <x:v>OPEN</x:v>
      </x:c>
      <x:c r="G42" s="15" t="str">
        <x:v>OPEN</x:v>
      </x:c>
    </x:row>
    <x:row r="43">
      <x:c r="A43" s="14" t="str">
        <x:v>ADV-39</x:v>
      </x:c>
      <x:c r="B43" s="14" t="str"/>
      <x:c r="C43" s="14" t="str"/>
      <x:c r="D43" s="14" t="str">
        <x:v>OPEN</x:v>
      </x:c>
      <x:c r="E43" s="14" t="str">
        <x:v>NOT ISSUED</x:v>
      </x:c>
      <x:c r="F43" s="14" t="str">
        <x:v>OPEN</x:v>
      </x:c>
      <x:c r="G43" s="14" t="str">
        <x:v>OPEN</x:v>
      </x:c>
    </x:row>
    <x:row r="44">
      <x:c r="A44" s="15" t="str">
        <x:v>ADV-40</x:v>
      </x:c>
      <x:c r="B44" s="15" t="str"/>
      <x:c r="C44" s="15" t="str"/>
      <x:c r="D44" s="15" t="str">
        <x:v>OPEN</x:v>
      </x:c>
      <x:c r="E44" s="15" t="str">
        <x:v>NOT ISSUED</x:v>
      </x:c>
      <x:c r="F44" s="15" t="str">
        <x:v>OPEN</x:v>
      </x:c>
      <x:c r="G44" s="15" t="str">
        <x:v>OPEN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2" hidden="0" customWidth="1"/>
    <x:col min="5" max="5" width="16" hidden="0" customWidth="1"/>
    <x:col min="6" max="6" width="18" hidden="0" customWidth="1"/>
    <x:col min="7" max="7" width="14" hidden="0" customWidth="1"/>
  </x:cols>
  <x:sheetData>
    <x:row r="1" ht="27" customHeight="1">
      <x:c r="A1" s="3" t="str">
        <x:v>Forty-token reserve ledger</x:v>
      </x:c>
    </x:row>
    <x:row r="2" ht="32" customHeight="1">
      <x:c r="A2" s="7" t="str">
        <x:v>Only independently invalid attempts can activate the exact bound replacement.</x:v>
      </x:c>
    </x:row>
    <x:row r="4" ht="28" customHeight="1">
      <x:c r="A4" s="11" t="str">
        <x:v>Token</x:v>
      </x:c>
      <x:c r="B4" s="11" t="str">
        <x:v>Rung</x:v>
      </x:c>
      <x:c r="C4" s="11" t="str">
        <x:v>Index</x:v>
      </x:c>
      <x:c r="D4" s="11" t="str">
        <x:v>Family</x:v>
      </x:c>
      <x:c r="E4" s="11" t="str">
        <x:v>State</x:v>
      </x:c>
      <x:c r="F4" s="11" t="str">
        <x:v>Invalid packet</x:v>
      </x:c>
      <x:c r="G4" s="11" t="str">
        <x:v>Balance</x:v>
      </x:c>
    </x:row>
    <x:row r="5">
      <x:c r="A5" s="14" t="str">
        <x:v>RSV-01</x:v>
      </x:c>
      <x:c r="B5" s="14" t="str">
        <x:v>ER-01</x:v>
      </x:c>
      <x:c r="C5" s="14" t="n">
        <x:v>1</x:v>
      </x:c>
      <x:c r="D5" s="14" t="str">
        <x:v>F1</x:v>
      </x:c>
      <x:c r="E5" s="14" t="str">
        <x:v>UNISSUED</x:v>
      </x:c>
      <x:c r="F5" s="14" t="str"/>
      <x:c r="G5" s="14" t="str">
        <x:v>OPEN</x:v>
      </x:c>
    </x:row>
    <x:row r="6">
      <x:c r="A6" s="15" t="str">
        <x:v>RSV-02</x:v>
      </x:c>
      <x:c r="B6" s="15" t="str">
        <x:v>ER-01</x:v>
      </x:c>
      <x:c r="C6" s="15" t="n">
        <x:v>2</x:v>
      </x:c>
      <x:c r="D6" s="15" t="str">
        <x:v>F1</x:v>
      </x:c>
      <x:c r="E6" s="15" t="str">
        <x:v>UNISSUED</x:v>
      </x:c>
      <x:c r="F6" s="15" t="str"/>
      <x:c r="G6" s="15" t="str">
        <x:v>OPEN</x:v>
      </x:c>
    </x:row>
    <x:row r="7">
      <x:c r="A7" s="14" t="str">
        <x:v>RSV-03</x:v>
      </x:c>
      <x:c r="B7" s="14" t="str">
        <x:v>ER-01</x:v>
      </x:c>
      <x:c r="C7" s="14" t="n">
        <x:v>3</x:v>
      </x:c>
      <x:c r="D7" s="14" t="str">
        <x:v>F2</x:v>
      </x:c>
      <x:c r="E7" s="14" t="str">
        <x:v>UNISSUED</x:v>
      </x:c>
      <x:c r="F7" s="14" t="str"/>
      <x:c r="G7" s="14" t="str">
        <x:v>OPEN</x:v>
      </x:c>
    </x:row>
    <x:row r="8">
      <x:c r="A8" s="15" t="str">
        <x:v>RSV-04</x:v>
      </x:c>
      <x:c r="B8" s="15" t="str">
        <x:v>ER-01</x:v>
      </x:c>
      <x:c r="C8" s="15" t="n">
        <x:v>4</x:v>
      </x:c>
      <x:c r="D8" s="15" t="str">
        <x:v>F2</x:v>
      </x:c>
      <x:c r="E8" s="15" t="str">
        <x:v>UNISSUED</x:v>
      </x:c>
      <x:c r="F8" s="15" t="str"/>
      <x:c r="G8" s="15" t="str">
        <x:v>OPEN</x:v>
      </x:c>
    </x:row>
    <x:row r="9">
      <x:c r="A9" s="14" t="str">
        <x:v>RSV-05</x:v>
      </x:c>
      <x:c r="B9" s="14" t="str">
        <x:v>ER-02</x:v>
      </x:c>
      <x:c r="C9" s="14" t="n">
        <x:v>1</x:v>
      </x:c>
      <x:c r="D9" s="14" t="str">
        <x:v>F1</x:v>
      </x:c>
      <x:c r="E9" s="14" t="str">
        <x:v>UNISSUED</x:v>
      </x:c>
      <x:c r="F9" s="14" t="str"/>
      <x:c r="G9" s="14" t="str">
        <x:v>OPEN</x:v>
      </x:c>
    </x:row>
    <x:row r="10">
      <x:c r="A10" s="15" t="str">
        <x:v>RSV-06</x:v>
      </x:c>
      <x:c r="B10" s="15" t="str">
        <x:v>ER-02</x:v>
      </x:c>
      <x:c r="C10" s="15" t="n">
        <x:v>2</x:v>
      </x:c>
      <x:c r="D10" s="15" t="str">
        <x:v>F1</x:v>
      </x:c>
      <x:c r="E10" s="15" t="str">
        <x:v>UNISSUED</x:v>
      </x:c>
      <x:c r="F10" s="15" t="str"/>
      <x:c r="G10" s="15" t="str">
        <x:v>OPEN</x:v>
      </x:c>
    </x:row>
    <x:row r="11">
      <x:c r="A11" s="14" t="str">
        <x:v>RSV-07</x:v>
      </x:c>
      <x:c r="B11" s="14" t="str">
        <x:v>ER-02</x:v>
      </x:c>
      <x:c r="C11" s="14" t="n">
        <x:v>3</x:v>
      </x:c>
      <x:c r="D11" s="14" t="str">
        <x:v>F2</x:v>
      </x:c>
      <x:c r="E11" s="14" t="str">
        <x:v>UNISSUED</x:v>
      </x:c>
      <x:c r="F11" s="14" t="str"/>
      <x:c r="G11" s="14" t="str">
        <x:v>OPEN</x:v>
      </x:c>
    </x:row>
    <x:row r="12">
      <x:c r="A12" s="15" t="str">
        <x:v>RSV-08</x:v>
      </x:c>
      <x:c r="B12" s="15" t="str">
        <x:v>ER-02</x:v>
      </x:c>
      <x:c r="C12" s="15" t="n">
        <x:v>4</x:v>
      </x:c>
      <x:c r="D12" s="15" t="str">
        <x:v>F2</x:v>
      </x:c>
      <x:c r="E12" s="15" t="str">
        <x:v>UNISSUED</x:v>
      </x:c>
      <x:c r="F12" s="15" t="str"/>
      <x:c r="G12" s="15" t="str">
        <x:v>OPEN</x:v>
      </x:c>
    </x:row>
    <x:row r="13">
      <x:c r="A13" s="14" t="str">
        <x:v>RSV-09</x:v>
      </x:c>
      <x:c r="B13" s="14" t="str">
        <x:v>ER-03</x:v>
      </x:c>
      <x:c r="C13" s="14" t="n">
        <x:v>1</x:v>
      </x:c>
      <x:c r="D13" s="14" t="str">
        <x:v>F1</x:v>
      </x:c>
      <x:c r="E13" s="14" t="str">
        <x:v>UNISSUED</x:v>
      </x:c>
      <x:c r="F13" s="14" t="str"/>
      <x:c r="G13" s="14" t="str">
        <x:v>OPEN</x:v>
      </x:c>
    </x:row>
    <x:row r="14">
      <x:c r="A14" s="15" t="str">
        <x:v>RSV-10</x:v>
      </x:c>
      <x:c r="B14" s="15" t="str">
        <x:v>ER-03</x:v>
      </x:c>
      <x:c r="C14" s="15" t="n">
        <x:v>2</x:v>
      </x:c>
      <x:c r="D14" s="15" t="str">
        <x:v>F1</x:v>
      </x:c>
      <x:c r="E14" s="15" t="str">
        <x:v>UNISSUED</x:v>
      </x:c>
      <x:c r="F14" s="15" t="str"/>
      <x:c r="G14" s="15" t="str">
        <x:v>OPEN</x:v>
      </x:c>
    </x:row>
    <x:row r="15">
      <x:c r="A15" s="14" t="str">
        <x:v>RSV-11</x:v>
      </x:c>
      <x:c r="B15" s="14" t="str">
        <x:v>ER-03</x:v>
      </x:c>
      <x:c r="C15" s="14" t="n">
        <x:v>3</x:v>
      </x:c>
      <x:c r="D15" s="14" t="str">
        <x:v>F2</x:v>
      </x:c>
      <x:c r="E15" s="14" t="str">
        <x:v>UNISSUED</x:v>
      </x:c>
      <x:c r="F15" s="14" t="str"/>
      <x:c r="G15" s="14" t="str">
        <x:v>OPEN</x:v>
      </x:c>
    </x:row>
    <x:row r="16">
      <x:c r="A16" s="15" t="str">
        <x:v>RSV-12</x:v>
      </x:c>
      <x:c r="B16" s="15" t="str">
        <x:v>ER-03</x:v>
      </x:c>
      <x:c r="C16" s="15" t="n">
        <x:v>4</x:v>
      </x:c>
      <x:c r="D16" s="15" t="str">
        <x:v>F2</x:v>
      </x:c>
      <x:c r="E16" s="15" t="str">
        <x:v>UNISSUED</x:v>
      </x:c>
      <x:c r="F16" s="15" t="str"/>
      <x:c r="G16" s="15" t="str">
        <x:v>OPEN</x:v>
      </x:c>
    </x:row>
    <x:row r="17">
      <x:c r="A17" s="14" t="str">
        <x:v>RSV-13</x:v>
      </x:c>
      <x:c r="B17" s="14" t="str">
        <x:v>ER-04</x:v>
      </x:c>
      <x:c r="C17" s="14" t="n">
        <x:v>1</x:v>
      </x:c>
      <x:c r="D17" s="14" t="str">
        <x:v>F1</x:v>
      </x:c>
      <x:c r="E17" s="14" t="str">
        <x:v>UNISSUED</x:v>
      </x:c>
      <x:c r="F17" s="14" t="str"/>
      <x:c r="G17" s="14" t="str">
        <x:v>OPEN</x:v>
      </x:c>
    </x:row>
    <x:row r="18">
      <x:c r="A18" s="15" t="str">
        <x:v>RSV-14</x:v>
      </x:c>
      <x:c r="B18" s="15" t="str">
        <x:v>ER-04</x:v>
      </x:c>
      <x:c r="C18" s="15" t="n">
        <x:v>2</x:v>
      </x:c>
      <x:c r="D18" s="15" t="str">
        <x:v>F1</x:v>
      </x:c>
      <x:c r="E18" s="15" t="str">
        <x:v>UNISSUED</x:v>
      </x:c>
      <x:c r="F18" s="15" t="str"/>
      <x:c r="G18" s="15" t="str">
        <x:v>OPEN</x:v>
      </x:c>
    </x:row>
    <x:row r="19">
      <x:c r="A19" s="14" t="str">
        <x:v>RSV-15</x:v>
      </x:c>
      <x:c r="B19" s="14" t="str">
        <x:v>ER-04</x:v>
      </x:c>
      <x:c r="C19" s="14" t="n">
        <x:v>3</x:v>
      </x:c>
      <x:c r="D19" s="14" t="str">
        <x:v>F2</x:v>
      </x:c>
      <x:c r="E19" s="14" t="str">
        <x:v>UNISSUED</x:v>
      </x:c>
      <x:c r="F19" s="14" t="str"/>
      <x:c r="G19" s="14" t="str">
        <x:v>OPEN</x:v>
      </x:c>
    </x:row>
    <x:row r="20">
      <x:c r="A20" s="15" t="str">
        <x:v>RSV-16</x:v>
      </x:c>
      <x:c r="B20" s="15" t="str">
        <x:v>ER-04</x:v>
      </x:c>
      <x:c r="C20" s="15" t="n">
        <x:v>4</x:v>
      </x:c>
      <x:c r="D20" s="15" t="str">
        <x:v>F2</x:v>
      </x:c>
      <x:c r="E20" s="15" t="str">
        <x:v>UNISSUED</x:v>
      </x:c>
      <x:c r="F20" s="15" t="str"/>
      <x:c r="G20" s="15" t="str">
        <x:v>OPEN</x:v>
      </x:c>
    </x:row>
    <x:row r="21">
      <x:c r="A21" s="14" t="str">
        <x:v>RSV-17</x:v>
      </x:c>
      <x:c r="B21" s="14" t="str">
        <x:v>ER-05</x:v>
      </x:c>
      <x:c r="C21" s="14" t="n">
        <x:v>1</x:v>
      </x:c>
      <x:c r="D21" s="14" t="str">
        <x:v>F1</x:v>
      </x:c>
      <x:c r="E21" s="14" t="str">
        <x:v>UNISSUED</x:v>
      </x:c>
      <x:c r="F21" s="14" t="str"/>
      <x:c r="G21" s="14" t="str">
        <x:v>OPEN</x:v>
      </x:c>
    </x:row>
    <x:row r="22">
      <x:c r="A22" s="15" t="str">
        <x:v>RSV-18</x:v>
      </x:c>
      <x:c r="B22" s="15" t="str">
        <x:v>ER-05</x:v>
      </x:c>
      <x:c r="C22" s="15" t="n">
        <x:v>2</x:v>
      </x:c>
      <x:c r="D22" s="15" t="str">
        <x:v>F1</x:v>
      </x:c>
      <x:c r="E22" s="15" t="str">
        <x:v>UNISSUED</x:v>
      </x:c>
      <x:c r="F22" s="15" t="str"/>
      <x:c r="G22" s="15" t="str">
        <x:v>OPEN</x:v>
      </x:c>
    </x:row>
    <x:row r="23">
      <x:c r="A23" s="14" t="str">
        <x:v>RSV-19</x:v>
      </x:c>
      <x:c r="B23" s="14" t="str">
        <x:v>ER-05</x:v>
      </x:c>
      <x:c r="C23" s="14" t="n">
        <x:v>3</x:v>
      </x:c>
      <x:c r="D23" s="14" t="str">
        <x:v>F2</x:v>
      </x:c>
      <x:c r="E23" s="14" t="str">
        <x:v>UNISSUED</x:v>
      </x:c>
      <x:c r="F23" s="14" t="str"/>
      <x:c r="G23" s="14" t="str">
        <x:v>OPEN</x:v>
      </x:c>
    </x:row>
    <x:row r="24">
      <x:c r="A24" s="15" t="str">
        <x:v>RSV-20</x:v>
      </x:c>
      <x:c r="B24" s="15" t="str">
        <x:v>ER-05</x:v>
      </x:c>
      <x:c r="C24" s="15" t="n">
        <x:v>4</x:v>
      </x:c>
      <x:c r="D24" s="15" t="str">
        <x:v>F2</x:v>
      </x:c>
      <x:c r="E24" s="15" t="str">
        <x:v>UNISSUED</x:v>
      </x:c>
      <x:c r="F24" s="15" t="str"/>
      <x:c r="G24" s="15" t="str">
        <x:v>OPEN</x:v>
      </x:c>
    </x:row>
    <x:row r="25">
      <x:c r="A25" s="14" t="str">
        <x:v>RSV-21</x:v>
      </x:c>
      <x:c r="B25" s="14" t="str">
        <x:v>ER-06</x:v>
      </x:c>
      <x:c r="C25" s="14" t="n">
        <x:v>1</x:v>
      </x:c>
      <x:c r="D25" s="14" t="str">
        <x:v>F1</x:v>
      </x:c>
      <x:c r="E25" s="14" t="str">
        <x:v>UNISSUED</x:v>
      </x:c>
      <x:c r="F25" s="14" t="str"/>
      <x:c r="G25" s="14" t="str">
        <x:v>OPEN</x:v>
      </x:c>
    </x:row>
    <x:row r="26">
      <x:c r="A26" s="15" t="str">
        <x:v>RSV-22</x:v>
      </x:c>
      <x:c r="B26" s="15" t="str">
        <x:v>ER-06</x:v>
      </x:c>
      <x:c r="C26" s="15" t="n">
        <x:v>2</x:v>
      </x:c>
      <x:c r="D26" s="15" t="str">
        <x:v>F1</x:v>
      </x:c>
      <x:c r="E26" s="15" t="str">
        <x:v>UNISSUED</x:v>
      </x:c>
      <x:c r="F26" s="15" t="str"/>
      <x:c r="G26" s="15" t="str">
        <x:v>OPEN</x:v>
      </x:c>
    </x:row>
    <x:row r="27">
      <x:c r="A27" s="14" t="str">
        <x:v>RSV-23</x:v>
      </x:c>
      <x:c r="B27" s="14" t="str">
        <x:v>ER-06</x:v>
      </x:c>
      <x:c r="C27" s="14" t="n">
        <x:v>3</x:v>
      </x:c>
      <x:c r="D27" s="14" t="str">
        <x:v>F2</x:v>
      </x:c>
      <x:c r="E27" s="14" t="str">
        <x:v>UNISSUED</x:v>
      </x:c>
      <x:c r="F27" s="14" t="str"/>
      <x:c r="G27" s="14" t="str">
        <x:v>OPEN</x:v>
      </x:c>
    </x:row>
    <x:row r="28">
      <x:c r="A28" s="15" t="str">
        <x:v>RSV-24</x:v>
      </x:c>
      <x:c r="B28" s="15" t="str">
        <x:v>ER-06</x:v>
      </x:c>
      <x:c r="C28" s="15" t="n">
        <x:v>4</x:v>
      </x:c>
      <x:c r="D28" s="15" t="str">
        <x:v>F2</x:v>
      </x:c>
      <x:c r="E28" s="15" t="str">
        <x:v>UNISSUED</x:v>
      </x:c>
      <x:c r="F28" s="15" t="str"/>
      <x:c r="G28" s="15" t="str">
        <x:v>OPEN</x:v>
      </x:c>
    </x:row>
    <x:row r="29">
      <x:c r="A29" s="14" t="str">
        <x:v>RSV-25</x:v>
      </x:c>
      <x:c r="B29" s="14" t="str">
        <x:v>ER-07</x:v>
      </x:c>
      <x:c r="C29" s="14" t="n">
        <x:v>1</x:v>
      </x:c>
      <x:c r="D29" s="14" t="str">
        <x:v>F1</x:v>
      </x:c>
      <x:c r="E29" s="14" t="str">
        <x:v>UNISSUED</x:v>
      </x:c>
      <x:c r="F29" s="14" t="str"/>
      <x:c r="G29" s="14" t="str">
        <x:v>OPEN</x:v>
      </x:c>
    </x:row>
    <x:row r="30">
      <x:c r="A30" s="15" t="str">
        <x:v>RSV-26</x:v>
      </x:c>
      <x:c r="B30" s="15" t="str">
        <x:v>ER-07</x:v>
      </x:c>
      <x:c r="C30" s="15" t="n">
        <x:v>2</x:v>
      </x:c>
      <x:c r="D30" s="15" t="str">
        <x:v>F1</x:v>
      </x:c>
      <x:c r="E30" s="15" t="str">
        <x:v>UNISSUED</x:v>
      </x:c>
      <x:c r="F30" s="15" t="str"/>
      <x:c r="G30" s="15" t="str">
        <x:v>OPEN</x:v>
      </x:c>
    </x:row>
    <x:row r="31">
      <x:c r="A31" s="14" t="str">
        <x:v>RSV-27</x:v>
      </x:c>
      <x:c r="B31" s="14" t="str">
        <x:v>ER-07</x:v>
      </x:c>
      <x:c r="C31" s="14" t="n">
        <x:v>3</x:v>
      </x:c>
      <x:c r="D31" s="14" t="str">
        <x:v>F2</x:v>
      </x:c>
      <x:c r="E31" s="14" t="str">
        <x:v>UNISSUED</x:v>
      </x:c>
      <x:c r="F31" s="14" t="str"/>
      <x:c r="G31" s="14" t="str">
        <x:v>OPEN</x:v>
      </x:c>
    </x:row>
    <x:row r="32">
      <x:c r="A32" s="15" t="str">
        <x:v>RSV-28</x:v>
      </x:c>
      <x:c r="B32" s="15" t="str">
        <x:v>ER-07</x:v>
      </x:c>
      <x:c r="C32" s="15" t="n">
        <x:v>4</x:v>
      </x:c>
      <x:c r="D32" s="15" t="str">
        <x:v>F2</x:v>
      </x:c>
      <x:c r="E32" s="15" t="str">
        <x:v>UNISSUED</x:v>
      </x:c>
      <x:c r="F32" s="15" t="str"/>
      <x:c r="G32" s="15" t="str">
        <x:v>OPEN</x:v>
      </x:c>
    </x:row>
    <x:row r="33">
      <x:c r="A33" s="14" t="str">
        <x:v>RSV-29</x:v>
      </x:c>
      <x:c r="B33" s="14" t="str">
        <x:v>ER-08</x:v>
      </x:c>
      <x:c r="C33" s="14" t="n">
        <x:v>1</x:v>
      </x:c>
      <x:c r="D33" s="14" t="str">
        <x:v>F1</x:v>
      </x:c>
      <x:c r="E33" s="14" t="str">
        <x:v>UNISSUED</x:v>
      </x:c>
      <x:c r="F33" s="14" t="str"/>
      <x:c r="G33" s="14" t="str">
        <x:v>OPEN</x:v>
      </x:c>
    </x:row>
    <x:row r="34">
      <x:c r="A34" s="15" t="str">
        <x:v>RSV-30</x:v>
      </x:c>
      <x:c r="B34" s="15" t="str">
        <x:v>ER-08</x:v>
      </x:c>
      <x:c r="C34" s="15" t="n">
        <x:v>2</x:v>
      </x:c>
      <x:c r="D34" s="15" t="str">
        <x:v>F1</x:v>
      </x:c>
      <x:c r="E34" s="15" t="str">
        <x:v>UNISSUED</x:v>
      </x:c>
      <x:c r="F34" s="15" t="str"/>
      <x:c r="G34" s="15" t="str">
        <x:v>OPEN</x:v>
      </x:c>
    </x:row>
    <x:row r="35">
      <x:c r="A35" s="14" t="str">
        <x:v>RSV-31</x:v>
      </x:c>
      <x:c r="B35" s="14" t="str">
        <x:v>ER-08</x:v>
      </x:c>
      <x:c r="C35" s="14" t="n">
        <x:v>3</x:v>
      </x:c>
      <x:c r="D35" s="14" t="str">
        <x:v>F2</x:v>
      </x:c>
      <x:c r="E35" s="14" t="str">
        <x:v>UNISSUED</x:v>
      </x:c>
      <x:c r="F35" s="14" t="str"/>
      <x:c r="G35" s="14" t="str">
        <x:v>OPEN</x:v>
      </x:c>
    </x:row>
    <x:row r="36">
      <x:c r="A36" s="15" t="str">
        <x:v>RSV-32</x:v>
      </x:c>
      <x:c r="B36" s="15" t="str">
        <x:v>ER-08</x:v>
      </x:c>
      <x:c r="C36" s="15" t="n">
        <x:v>4</x:v>
      </x:c>
      <x:c r="D36" s="15" t="str">
        <x:v>F2</x:v>
      </x:c>
      <x:c r="E36" s="15" t="str">
        <x:v>UNISSUED</x:v>
      </x:c>
      <x:c r="F36" s="15" t="str"/>
      <x:c r="G36" s="15" t="str">
        <x:v>OPEN</x:v>
      </x:c>
    </x:row>
    <x:row r="37">
      <x:c r="A37" s="14" t="str">
        <x:v>RSV-33</x:v>
      </x:c>
      <x:c r="B37" s="14" t="str">
        <x:v>ER-09</x:v>
      </x:c>
      <x:c r="C37" s="14" t="n">
        <x:v>1</x:v>
      </x:c>
      <x:c r="D37" s="14" t="str">
        <x:v>F1</x:v>
      </x:c>
      <x:c r="E37" s="14" t="str">
        <x:v>UNISSUED</x:v>
      </x:c>
      <x:c r="F37" s="14" t="str"/>
      <x:c r="G37" s="14" t="str">
        <x:v>OPEN</x:v>
      </x:c>
    </x:row>
    <x:row r="38">
      <x:c r="A38" s="15" t="str">
        <x:v>RSV-34</x:v>
      </x:c>
      <x:c r="B38" s="15" t="str">
        <x:v>ER-09</x:v>
      </x:c>
      <x:c r="C38" s="15" t="n">
        <x:v>2</x:v>
      </x:c>
      <x:c r="D38" s="15" t="str">
        <x:v>F1</x:v>
      </x:c>
      <x:c r="E38" s="15" t="str">
        <x:v>UNISSUED</x:v>
      </x:c>
      <x:c r="F38" s="15" t="str"/>
      <x:c r="G38" s="15" t="str">
        <x:v>OPEN</x:v>
      </x:c>
    </x:row>
    <x:row r="39">
      <x:c r="A39" s="14" t="str">
        <x:v>RSV-35</x:v>
      </x:c>
      <x:c r="B39" s="14" t="str">
        <x:v>ER-09</x:v>
      </x:c>
      <x:c r="C39" s="14" t="n">
        <x:v>3</x:v>
      </x:c>
      <x:c r="D39" s="14" t="str">
        <x:v>F2</x:v>
      </x:c>
      <x:c r="E39" s="14" t="str">
        <x:v>UNISSUED</x:v>
      </x:c>
      <x:c r="F39" s="14" t="str"/>
      <x:c r="G39" s="14" t="str">
        <x:v>OPEN</x:v>
      </x:c>
    </x:row>
    <x:row r="40">
      <x:c r="A40" s="15" t="str">
        <x:v>RSV-36</x:v>
      </x:c>
      <x:c r="B40" s="15" t="str">
        <x:v>ER-09</x:v>
      </x:c>
      <x:c r="C40" s="15" t="n">
        <x:v>4</x:v>
      </x:c>
      <x:c r="D40" s="15" t="str">
        <x:v>F2</x:v>
      </x:c>
      <x:c r="E40" s="15" t="str">
        <x:v>UNISSUED</x:v>
      </x:c>
      <x:c r="F40" s="15" t="str"/>
      <x:c r="G40" s="15" t="str">
        <x:v>OPEN</x:v>
      </x:c>
    </x:row>
    <x:row r="41">
      <x:c r="A41" s="14" t="str">
        <x:v>RSV-37</x:v>
      </x:c>
      <x:c r="B41" s="14" t="str">
        <x:v>ER-10</x:v>
      </x:c>
      <x:c r="C41" s="14" t="n">
        <x:v>1</x:v>
      </x:c>
      <x:c r="D41" s="14" t="str">
        <x:v>F1</x:v>
      </x:c>
      <x:c r="E41" s="14" t="str">
        <x:v>UNISSUED</x:v>
      </x:c>
      <x:c r="F41" s="14" t="str"/>
      <x:c r="G41" s="14" t="str">
        <x:v>OPEN</x:v>
      </x:c>
    </x:row>
    <x:row r="42">
      <x:c r="A42" s="15" t="str">
        <x:v>RSV-38</x:v>
      </x:c>
      <x:c r="B42" s="15" t="str">
        <x:v>ER-10</x:v>
      </x:c>
      <x:c r="C42" s="15" t="n">
        <x:v>2</x:v>
      </x:c>
      <x:c r="D42" s="15" t="str">
        <x:v>F1</x:v>
      </x:c>
      <x:c r="E42" s="15" t="str">
        <x:v>UNISSUED</x:v>
      </x:c>
      <x:c r="F42" s="15" t="str"/>
      <x:c r="G42" s="15" t="str">
        <x:v>OPEN</x:v>
      </x:c>
    </x:row>
    <x:row r="43">
      <x:c r="A43" s="14" t="str">
        <x:v>RSV-39</x:v>
      </x:c>
      <x:c r="B43" s="14" t="str">
        <x:v>ER-10</x:v>
      </x:c>
      <x:c r="C43" s="14" t="n">
        <x:v>3</x:v>
      </x:c>
      <x:c r="D43" s="14" t="str">
        <x:v>F2</x:v>
      </x:c>
      <x:c r="E43" s="14" t="str">
        <x:v>UNISSUED</x:v>
      </x:c>
      <x:c r="F43" s="14" t="str"/>
      <x:c r="G43" s="14" t="str">
        <x:v>OPEN</x:v>
      </x:c>
    </x:row>
    <x:row r="44">
      <x:c r="A44" s="15" t="str">
        <x:v>RSV-40</x:v>
      </x:c>
      <x:c r="B44" s="15" t="str">
        <x:v>ER-10</x:v>
      </x:c>
      <x:c r="C44" s="15" t="n">
        <x:v>4</x:v>
      </x:c>
      <x:c r="D44" s="15" t="str">
        <x:v>F2</x:v>
      </x:c>
      <x:c r="E44" s="15" t="str">
        <x:v>UNISSUED</x:v>
      </x:c>
      <x:c r="F44" s="15" t="str"/>
      <x:c r="G44" s="15" t="str">
        <x:v>OPEN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28" hidden="0" customWidth="1"/>
    <x:col min="3" max="3" width="34" hidden="0" customWidth="1"/>
    <x:col min="4" max="4" width="16" hidden="0" customWidth="1"/>
  </x:cols>
  <x:sheetData>
    <x:row r="1" ht="27" customHeight="1">
      <x:c r="A1" s="3" t="str">
        <x:v>Bounded reference claims</x:v>
      </x:c>
    </x:row>
    <x:row r="2" ht="32" customHeight="1">
      <x:c r="A2" s="7" t="str">
        <x:v>Claims become available only after all predecessor, edge and reconstruction gates close.</x:v>
      </x:c>
    </x:row>
    <x:row r="4" ht="28" customHeight="1">
      <x:c r="A4" s="11" t="str">
        <x:v>Claim</x:v>
      </x:c>
      <x:c r="B4" s="11" t="str">
        <x:v>Required root or truth</x:v>
      </x:c>
      <x:c r="C4" s="11" t="str">
        <x:v>Envelope</x:v>
      </x:c>
      <x:c r="D4" s="11" t="str">
        <x:v>State</x:v>
      </x:c>
    </x:row>
    <x:row r="5">
      <x:c r="A5" s="14" t="str">
        <x:v>Ignition opportunity distinct from command</x:v>
      </x:c>
      <x:c r="B5" s="14" t="str">
        <x:v>Cross-root</x:v>
      </x:c>
      <x:c r="C5" s="14" t="str">
        <x:v>Registered AM-06 ladder only</x:v>
      </x:c>
      <x:c r="D5" s="14" t="str">
        <x:v>BLOCKED</x:v>
      </x:c>
    </x:row>
    <x:row r="6">
      <x:c r="A6" s="15" t="str">
        <x:v>Water amount and distribution distinct from tank depletion</x:v>
      </x:c>
      <x:c r="B6" s="15" t="str">
        <x:v>Cross-root</x:v>
      </x:c>
      <x:c r="C6" s="15" t="str">
        <x:v>Registered AM-06 ladder only</x:v>
      </x:c>
      <x:c r="D6" s="15" t="str">
        <x:v>BLOCKED</x:v>
      </x:c>
    </x:row>
    <x:row r="7">
      <x:c r="A7" s="14" t="str">
        <x:v>Dual ancestry through separation and return</x:v>
      </x:c>
      <x:c r="B7" s="14" t="str">
        <x:v>Cross-root</x:v>
      </x:c>
      <x:c r="C7" s="14" t="str">
        <x:v>Registered AM-06 ladder only</x:v>
      </x:c>
      <x:c r="D7" s="14" t="str">
        <x:v>BLOCKED</x:v>
      </x:c>
    </x:row>
    <x:row r="8">
      <x:c r="A8" s="15" t="str">
        <x:v>Photon and reaction-zone flame truth</x:v>
      </x:c>
      <x:c r="B8" s="15" t="str">
        <x:v>PHO</x:v>
      </x:c>
      <x:c r="C8" s="15" t="str">
        <x:v>Registered AM-06 ladder only</x:v>
      </x:c>
      <x:c r="D8" s="15" t="str">
        <x:v>BLOCKED</x:v>
      </x:c>
    </x:row>
    <x:row r="9">
      <x:c r="A9" s="14" t="str">
        <x:v>Transformation distinct from flame and heat</x:v>
      </x:c>
      <x:c r="B9" s="14" t="str">
        <x:v>ION</x:v>
      </x:c>
      <x:c r="C9" s="14" t="str">
        <x:v>Registered AM-06 ladder only</x:v>
      </x:c>
      <x:c r="D9" s="14" t="str">
        <x:v>BLOCKED</x:v>
      </x:c>
    </x:row>
    <x:row r="10">
      <x:c r="A10" s="15" t="str">
        <x:v>Energy destinations and residual state</x:v>
      </x:c>
      <x:c r="B10" s="15" t="str">
        <x:v>TOP</x:v>
      </x:c>
      <x:c r="C10" s="15" t="str">
        <x:v>Registered AM-06 ladder only</x:v>
      </x:c>
      <x:c r="D10" s="15" t="str">
        <x:v>BLOCKED</x:v>
      </x:c>
    </x:row>
    <x:row r="11">
      <x:c r="A11" s="14" t="str">
        <x:v>Three-dimensional source topology</x:v>
      </x:c>
      <x:c r="B11" s="14" t="str">
        <x:v>MOL</x:v>
      </x:c>
      <x:c r="C11" s="14" t="str">
        <x:v>Registered AM-06 ladder only</x:v>
      </x:c>
      <x:c r="D11" s="14" t="str">
        <x:v>BLOCKED</x:v>
      </x:c>
    </x:row>
    <x:row r="12">
      <x:c r="A12" s="15" t="str">
        <x:v>Water morphology, occupancy and kinematics</x:v>
      </x:c>
      <x:c r="B12" s="15" t="str">
        <x:v>CAL</x:v>
      </x:c>
      <x:c r="C12" s="15" t="str">
        <x:v>Registered AM-06 ladder only</x:v>
      </x:c>
      <x:c r="D12" s="15" t="str">
        <x:v>BLOCKED</x:v>
      </x:c>
    </x:row>
    <x:row r="13">
      <x:c r="A13" s="14" t="str">
        <x:v>Source-water contact and transport</x:v>
      </x:c>
      <x:c r="B13" s="14" t="str">
        <x:v>AQU</x:v>
      </x:c>
      <x:c r="C13" s="14" t="str">
        <x:v>Registered AM-06 ladder only</x:v>
      </x:c>
      <x:c r="D13" s="14" t="str">
        <x:v>BLOCKED</x:v>
      </x:c>
    </x:row>
    <x:row r="14">
      <x:c r="A14" s="15" t="str">
        <x:v>Diversion, receiver occupancy and liquid destination</x:v>
      </x:c>
      <x:c r="B14" s="15" t="str">
        <x:v>COU</x:v>
      </x:c>
      <x:c r="C14" s="15" t="str">
        <x:v>Registered AM-06 ladder only</x:v>
      </x:c>
      <x:c r="D14" s="15" t="str">
        <x:v>BLOCKED</x:v>
      </x:c>
    </x:row>
    <x:row r="15">
      <x:c r="A15" s="14" t="str">
        <x:v>Public action distinct from candidate action</x:v>
      </x:c>
      <x:c r="B15" s="14" t="str">
        <x:v>DIV</x:v>
      </x:c>
      <x:c r="C15" s="14" t="str">
        <x:v>Registered AM-06 ladder only</x:v>
      </x:c>
      <x:c r="D15" s="14" t="str">
        <x:v>BLOCKED</x:v>
      </x:c>
    </x:row>
    <x:row r="16">
      <x:c r="A16" s="15" t="str">
        <x:v>Safe end under registered service denial</x:v>
      </x:c>
      <x:c r="B16" s="15" t="str">
        <x:v>PUB</x:v>
      </x:c>
      <x:c r="C16" s="15" t="str">
        <x:v>Registered AM-06 ladder only</x:v>
      </x:c>
      <x:c r="D16" s="15" t="str">
        <x:v>BLOCKED</x:v>
      </x:c>
    </x:row>
    <x:row r="17">
      <x:c r="A17" s="14" t="str">
        <x:v>Fixed material and energy accounts</x:v>
      </x:c>
      <x:c r="B17" s="14" t="str">
        <x:v>PUB</x:v>
      </x:c>
      <x:c r="C17" s="14" t="str">
        <x:v>Registered AM-06 ladder only</x:v>
      </x:c>
      <x:c r="D17" s="14" t="str">
        <x:v>BLOCKED</x:v>
      </x:c>
    </x:row>
    <x:row r="18">
      <x:c r="A18" s="15" t="str">
        <x:v>Module and site return</x:v>
      </x:c>
      <x:c r="B18" s="15" t="str">
        <x:v>PUB</x:v>
      </x:c>
      <x:c r="C18" s="15" t="str">
        <x:v>Registered AM-06 ladder only</x:v>
      </x:c>
      <x:c r="D18" s="15" t="str">
        <x:v>BLOCKED</x:v>
      </x:c>
    </x:row>
    <x:row r="19">
      <x:c r="A19" s="14" t="str">
        <x:v>Origin-independent reconstruction</x:v>
      </x:c>
      <x:c r="B19" s="14" t="str">
        <x:v>PUB</x:v>
      </x:c>
      <x:c r="C19" s="14" t="str">
        <x:v>Registered AM-06 ladder only</x:v>
      </x:c>
      <x:c r="D19" s="14" t="str">
        <x:v>BLOCKED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54" hidden="0" customWidth="1"/>
    <x:col min="3" max="3" width="42" hidden="0" customWidth="1"/>
    <x:col min="4" max="4" width="16" hidden="0" customWidth="1"/>
  </x:cols>
  <x:sheetData>
    <x:row r="1" ht="27" customHeight="1">
      <x:c r="A1" s="3" t="str">
        <x:v>Claims outside the transfer ceiling</x:v>
      </x:c>
    </x:row>
    <x:row r="2" ht="32" customHeight="1">
      <x:c r="A2" s="7" t="str">
        <x:v>Similarity to a reference architecture supplies no operational credit.</x:v>
      </x:c>
    </x:row>
    <x:row r="4" ht="28" customHeight="1">
      <x:c r="A4" s="11" t="str">
        <x:v>Exclusion</x:v>
      </x:c>
      <x:c r="B4" s="11" t="str">
        <x:v>Reason</x:v>
      </x:c>
      <x:c r="C4" s="11" t="str">
        <x:v>Future evidence needed</x:v>
      </x:c>
      <x:c r="D4" s="11" t="str">
        <x:v>State</x:v>
      </x:c>
    </x:row>
    <x:row r="5">
      <x:c r="A5" s="14" t="str">
        <x:v>Operational extinguishment probability or time</x:v>
      </x:c>
      <x:c r="B5" s="14" t="str">
        <x:v>Not tested by the registered ladder</x:v>
      </x:c>
      <x:c r="C5" s="14" t="str">
        <x:v>Operational mission campaign</x:v>
      </x:c>
      <x:c r="D5" s="14" t="str">
        <x:v>EXCLUDED</x:v>
      </x:c>
    </x:row>
    <x:row r="6">
      <x:c r="A6" s="15" t="str">
        <x:v>Casualty reduction or clinical outcome</x:v>
      </x:c>
      <x:c r="B6" s="15" t="str">
        <x:v>Not tested by the registered ladder</x:v>
      </x:c>
      <x:c r="C6" s="15" t="str">
        <x:v>Operational mission campaign</x:v>
      </x:c>
      <x:c r="D6" s="15" t="str">
        <x:v>EXCLUDED</x:v>
      </x:c>
    </x:row>
    <x:row r="7">
      <x:c r="A7" s="14" t="str">
        <x:v>Unknown fuels, chemicals or materials</x:v>
      </x:c>
      <x:c r="B7" s="14" t="str">
        <x:v>Not tested by the registered ladder</x:v>
      </x:c>
      <x:c r="C7" s="14" t="str">
        <x:v>Operational mission campaign</x:v>
      </x:c>
      <x:c r="D7" s="14" t="str">
        <x:v>EXCLUDED</x:v>
      </x:c>
    </x:row>
    <x:row r="8">
      <x:c r="A8" s="15" t="str">
        <x:v>Continuous feed, reignition or moving front</x:v>
      </x:c>
      <x:c r="B8" s="15" t="str">
        <x:v>Not tested by the registered ladder</x:v>
      </x:c>
      <x:c r="C8" s="15" t="str">
        <x:v>Operational mission campaign</x:v>
      </x:c>
      <x:c r="D8" s="15" t="str">
        <x:v>EXCLUDED</x:v>
      </x:c>
    </x:row>
    <x:row r="9">
      <x:c r="A9" s="14" t="str">
        <x:v>Buildings, tunnels, forests, ships or neighborhoods</x:v>
      </x:c>
      <x:c r="B9" s="14" t="str">
        <x:v>Not tested by the registered ladder</x:v>
      </x:c>
      <x:c r="C9" s="14" t="str">
        <x:v>Operational mission campaign</x:v>
      </x:c>
      <x:c r="D9" s="14" t="str">
        <x:v>EXCLUDED</x:v>
      </x:c>
    </x:row>
    <x:row r="10">
      <x:c r="A10" s="15" t="str">
        <x:v>Wind, precipitation, surf or flood sediment</x:v>
      </x:c>
      <x:c r="B10" s="15" t="str">
        <x:v>Not tested by the registered ladder</x:v>
      </x:c>
      <x:c r="C10" s="15" t="str">
        <x:v>Operational mission campaign</x:v>
      </x:c>
      <x:c r="D10" s="15" t="str">
        <x:v>EXCLUDED</x:v>
      </x:c>
    </x:row>
    <x:row r="11">
      <x:c r="A11" s="14" t="str">
        <x:v>Multiple simultaneous sites and national tempo</x:v>
      </x:c>
      <x:c r="B11" s="14" t="str">
        <x:v>Not tested by the registered ladder</x:v>
      </x:c>
      <x:c r="C11" s="14" t="str">
        <x:v>Operational mission campaign</x:v>
      </x:c>
      <x:c r="D11" s="14" t="str">
        <x:v>EXCLUDED</x:v>
      </x:c>
    </x:row>
    <x:row r="12">
      <x:c r="A12" s="15" t="str">
        <x:v>Autonomous navigation in public space</x:v>
      </x:c>
      <x:c r="B12" s="15" t="str">
        <x:v>Not tested by the registered ladder</x:v>
      </x:c>
      <x:c r="C12" s="15" t="str">
        <x:v>Operational mission campaign</x:v>
      </x:c>
      <x:c r="D12" s="15" t="str">
        <x:v>EXCLUDED</x:v>
      </x:c>
    </x:row>
    <x:row r="13">
      <x:c r="A13" s="14" t="str">
        <x:v>Fleet maintenance, corrosion and training</x:v>
      </x:c>
      <x:c r="B13" s="14" t="str">
        <x:v>Not tested by the registered ladder</x:v>
      </x:c>
      <x:c r="C13" s="14" t="str">
        <x:v>Operational mission campaign</x:v>
      </x:c>
      <x:c r="D13" s="14" t="str">
        <x:v>EXCLUDED</x:v>
      </x:c>
    </x:row>
    <x:row r="14">
      <x:c r="A14" s="15" t="str">
        <x:v>Production rate and supplier capacity</x:v>
      </x:c>
      <x:c r="B14" s="15" t="str">
        <x:v>Not tested by the registered ladder</x:v>
      </x:c>
      <x:c r="C14" s="15" t="str">
        <x:v>Operational mission campaign</x:v>
      </x:c>
      <x:c r="D14" s="15" t="str">
        <x:v>EXCLUDED</x:v>
      </x:c>
    </x:row>
    <x:row r="15">
      <x:c r="A15" s="14" t="str">
        <x:v>Interoperability with local and allied systems</x:v>
      </x:c>
      <x:c r="B15" s="14" t="str">
        <x:v>Not tested by the registered ladder</x:v>
      </x:c>
      <x:c r="C15" s="14" t="str">
        <x:v>Operational mission campaign</x:v>
      </x:c>
      <x:c r="D15" s="14" t="str">
        <x:v>EXCLUDED</x:v>
      </x:c>
    </x:row>
    <x:row r="16">
      <x:c r="A16" s="15" t="str">
        <x:v>Authority outside the test constitution</x:v>
      </x:c>
      <x:c r="B16" s="15" t="str">
        <x:v>Not tested by the registered ladder</x:v>
      </x:c>
      <x:c r="C16" s="15" t="str">
        <x:v>Operational mission campaign</x:v>
      </x:c>
      <x:c r="D16" s="15" t="str">
        <x:v>EXCLUDED</x:v>
      </x:c>
    </x:row>
    <x:row r="17">
      <x:c r="A17" s="14" t="str">
        <x:v>Exterior vehicle, hull, airframe or field formation</x:v>
      </x:c>
      <x:c r="B17" s="14" t="str">
        <x:v>Not tested by the registered ladder</x:v>
      </x:c>
      <x:c r="C17" s="14" t="str">
        <x:v>Operational mission campaign</x:v>
      </x:c>
      <x:c r="D17" s="14" t="str">
        <x:v>EXCLUDED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8" hidden="0" customWidth="1"/>
    <x:col min="3" max="3" width="64" hidden="0" customWidth="1"/>
    <x:col min="4" max="4" width="16" hidden="0" customWidth="1"/>
  </x:cols>
  <x:sheetData>
    <x:row r="1" ht="27" customHeight="1">
      <x:c r="A1" s="3" t="str">
        <x:v>OCE-1 operational candidate entry dossier</x:v>
      </x:c>
    </x:row>
    <x:row r="2" ht="32" customHeight="1">
      <x:c r="A2" s="7" t="str">
        <x:v>All twelve objects are required before an operational article may be constituted.</x:v>
      </x:c>
    </x:row>
    <x:row r="4" ht="28" customHeight="1">
      <x:c r="A4" s="11" t="str">
        <x:v>No.</x:v>
      </x:c>
      <x:c r="B4" s="11" t="str">
        <x:v>Object</x:v>
      </x:c>
      <x:c r="C4" s="11" t="str">
        <x:v>Required content</x:v>
      </x:c>
      <x:c r="D4" s="11" t="str">
        <x:v>State</x:v>
      </x:c>
    </x:row>
    <x:row r="5">
      <x:c r="A5" s="14" t="n">
        <x:v>1</x:v>
      </x:c>
      <x:c r="B5" s="14" t="str">
        <x:v>Mission effect</x:v>
      </x:c>
      <x:c r="C5" s="14" t="str">
        <x:v>Registered, measurable and independently reviewable</x:v>
      </x:c>
      <x:c r="D5" s="14" t="str">
        <x:v>OPEN</x:v>
      </x:c>
    </x:row>
    <x:row r="6">
      <x:c r="A6" s="15" t="n">
        <x:v>2</x:v>
      </x:c>
      <x:c r="B6" s="15" t="str">
        <x:v>Bounded environment</x:v>
      </x:c>
      <x:c r="C6" s="15" t="str">
        <x:v>Registered, measurable and independently reviewable</x:v>
      </x:c>
      <x:c r="D6" s="15" t="str">
        <x:v>OPEN</x:v>
      </x:c>
    </x:row>
    <x:row r="7">
      <x:c r="A7" s="14" t="n">
        <x:v>3</x:v>
      </x:c>
      <x:c r="B7" s="14" t="str">
        <x:v>Source, water, energy and material contract</x:v>
      </x:c>
      <x:c r="C7" s="14" t="str">
        <x:v>Registered, measurable and independently reviewable</x:v>
      </x:c>
      <x:c r="D7" s="14" t="str">
        <x:v>OPEN</x:v>
      </x:c>
    </x:row>
    <x:row r="8">
      <x:c r="A8" s="15" t="n">
        <x:v>4</x:v>
      </x:c>
      <x:c r="B8" s="15" t="str">
        <x:v>Nine-root mechanism map</x:v>
      </x:c>
      <x:c r="C8" s="15" t="str">
        <x:v>Registered, measurable and independently reviewable</x:v>
      </x:c>
      <x:c r="D8" s="15" t="str">
        <x:v>OPEN</x:v>
      </x:c>
    </x:row>
    <x:row r="9">
      <x:c r="A9" s="14" t="n">
        <x:v>5</x:v>
      </x:c>
      <x:c r="B9" s="14" t="str">
        <x:v>Public-action and rescue separation</x:v>
      </x:c>
      <x:c r="C9" s="14" t="str">
        <x:v>Registered, measurable and independently reviewable</x:v>
      </x:c>
      <x:c r="D9" s="14" t="str">
        <x:v>OPEN</x:v>
      </x:c>
    </x:row>
    <x:row r="10">
      <x:c r="A10" s="15" t="n">
        <x:v>6</x:v>
      </x:c>
      <x:c r="B10" s="15" t="str">
        <x:v>Service-island design</x:v>
      </x:c>
      <x:c r="C10" s="15" t="str">
        <x:v>Registered, measurable and independently reviewable</x:v>
      </x:c>
      <x:c r="D10" s="15" t="str">
        <x:v>OPEN</x:v>
      </x:c>
    </x:row>
    <x:row r="11">
      <x:c r="A11" s="14" t="n">
        <x:v>7</x:v>
      </x:c>
      <x:c r="B11" s="14" t="str">
        <x:v>Safeing and human access</x:v>
      </x:c>
      <x:c r="C11" s="14" t="str">
        <x:v>Registered, measurable and independently reviewable</x:v>
      </x:c>
      <x:c r="D11" s="14" t="str">
        <x:v>OPEN</x:v>
      </x:c>
    </x:row>
    <x:row r="12">
      <x:c r="A12" s="15" t="n">
        <x:v>8</x:v>
      </x:c>
      <x:c r="B12" s="15" t="str">
        <x:v>Logistics and regeneration</x:v>
      </x:c>
      <x:c r="C12" s="15" t="str">
        <x:v>Registered, measurable and independently reviewable</x:v>
      </x:c>
      <x:c r="D12" s="15" t="str">
        <x:v>OPEN</x:v>
      </x:c>
    </x:row>
    <x:row r="13">
      <x:c r="A13" s="14" t="n">
        <x:v>9</x:v>
      </x:c>
      <x:c r="B13" s="14" t="str">
        <x:v>Native evidence and reconstruction interface</x:v>
      </x:c>
      <x:c r="C13" s="14" t="str">
        <x:v>Registered, measurable and independently reviewable</x:v>
      </x:c>
      <x:c r="D13" s="14" t="str">
        <x:v>OPEN</x:v>
      </x:c>
    </x:row>
    <x:row r="14">
      <x:c r="A14" s="15" t="n">
        <x:v>10</x:v>
      </x:c>
      <x:c r="B14" s="15" t="str">
        <x:v>Industrial lineage and public rights</x:v>
      </x:c>
      <x:c r="C14" s="15" t="str">
        <x:v>Registered, measurable and independently reviewable</x:v>
      </x:c>
      <x:c r="D14" s="15" t="str">
        <x:v>OPEN</x:v>
      </x:c>
    </x:row>
    <x:row r="15">
      <x:c r="A15" s="14" t="n">
        <x:v>11</x:v>
      </x:c>
      <x:c r="B15" s="14" t="str">
        <x:v>Cost, workforce and production hypotheses</x:v>
      </x:c>
      <x:c r="C15" s="14" t="str">
        <x:v>Registered, measurable and independently reviewable</x:v>
      </x:c>
      <x:c r="D15" s="14" t="str">
        <x:v>OPEN</x:v>
      </x:c>
    </x:row>
    <x:row r="16">
      <x:c r="A16" s="15" t="n">
        <x:v>12</x:v>
      </x:c>
      <x:c r="B16" s="15" t="str">
        <x:v>Falsification campaign</x:v>
      </x:c>
      <x:c r="C16" s="15" t="str">
        <x:v>Registered, measurable and independently reviewable</x:v>
      </x:c>
      <x:c r="D16" s="15" t="str">
        <x:v>OPEN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54" hidden="0" customWidth="1"/>
    <x:col min="3" max="3" width="34" hidden="0" customWidth="1"/>
    <x:col min="4" max="4" width="44" hidden="0" customWidth="1"/>
  </x:cols>
  <x:sheetData>
    <x:row r="1" ht="27" customHeight="1">
      <x:c r="A1" s="3" t="str">
        <x:v>Open operational candidate families</x:v>
      </x:c>
    </x:row>
    <x:row r="2" ht="32" customHeight="1">
      <x:c r="A2" s="7" t="str">
        <x:v>These are mission hypotheses, not vehicle specifications.</x:v>
      </x:c>
    </x:row>
    <x:row r="4" ht="28" customHeight="1">
      <x:c r="A4" s="11" t="str">
        <x:v>Family</x:v>
      </x:c>
      <x:c r="B4" s="11" t="str">
        <x:v>Mission hypothesis</x:v>
      </x:c>
      <x:c r="C4" s="11" t="str">
        <x:v>Reference inheritance</x:v>
      </x:c>
      <x:c r="D4" s="11" t="str">
        <x:v>New unknown</x:v>
      </x:c>
    </x:row>
    <x:row r="5">
      <x:c r="A5" s="14" t="str">
        <x:v>Fixed cellular casualty control</x:v>
      </x:c>
      <x:c r="B5" s="14" t="str">
        <x:v>Isolate, cool, capture and reconstruct a bounded field</x:v>
      </x:c>
      <x:c r="C5" s="14" t="str">
        <x:v>CSM-48 and nine roots</x:v>
      </x:c>
      <x:c r="D5" s="14" t="str">
        <x:v>Damaged-site geometry and repeated use</x:v>
      </x:c>
    </x:row>
    <x:row r="6">
      <x:c r="A6" s="15" t="str">
        <x:v>Gravity-first perimeter control</x:v>
      </x:c>
      <x:c r="B6" s="15" t="str">
        <x:v>Establish passive diversion and consequence boundary</x:v>
      </x:c>
      <x:c r="C6" s="15" t="str">
        <x:v>PGR-48 and DIV</x:v>
      </x:c>
      <x:c r="D6" s="15" t="str">
        <x:v>Terrain, blockage, setup and access</x:v>
      </x:c>
    </x:row>
    <x:row r="7">
      <x:c r="A7" s="14" t="str">
        <x:v>Separated overhead and recovery planes</x:v>
      </x:c>
      <x:c r="B7" s="14" t="str">
        <x:v>Deliver above and capture below</x:v>
      </x:c>
      <x:c r="C7" s="14" t="str">
        <x:v>SPS-48, AQU and COU</x:v>
      </x:c>
      <x:c r="D7" s="14" t="str">
        <x:v>Structure, wind and mechanical survival</x:v>
      </x:c>
    </x:row>
    <x:row r="8">
      <x:c r="A8" s="15" t="str">
        <x:v>Autonomous hydraulic formation</x:v>
      </x:c>
      <x:c r="B8" s="15" t="str">
        <x:v>Distribute independent pump-sensor-collector units</x:v>
      </x:c>
      <x:c r="C8" s="15" t="str">
        <x:v>AMR-48 and local control</x:v>
      </x:c>
      <x:c r="D8" s="15" t="str">
        <x:v>Navigation, cooperation and logistics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34" hidden="0" customWidth="1"/>
  </x:cols>
  <x:sheetData>
    <x:row r="1" ht="27" customHeight="1">
      <x:c r="A1" s="3" t="str">
        <x:v>Operational candidate entry states</x:v>
      </x:c>
    </x:row>
    <x:row r="2" ht="32" customHeight="1">
      <x:c r="A2" s="7" t="str">
        <x:v>ARTICLE-ELIGIBLE is the highest state this pass can define.</x:v>
      </x:c>
    </x:row>
    <x:row r="4" ht="28" customHeight="1">
      <x:c r="A4" s="11" t="str">
        <x:v>State</x:v>
      </x:c>
      <x:c r="B4" s="11" t="str">
        <x:v>Meaning</x:v>
      </x:c>
      <x:c r="C4" s="11" t="str">
        <x:v>Permitted successor</x:v>
      </x:c>
    </x:row>
    <x:row r="5">
      <x:c r="A5" s="14" t="str">
        <x:v>REGISTERED</x:v>
      </x:c>
      <x:c r="B5" s="14" t="str">
        <x:v>Candidate identity and owner exist</x:v>
      </x:c>
      <x:c r="C5" s="14" t="str">
        <x:v>REFERENCE-MAPPED</x:v>
      </x:c>
    </x:row>
    <x:row r="6">
      <x:c r="A6" s="15" t="str">
        <x:v>REFERENCE-MAPPED</x:v>
      </x:c>
      <x:c r="B6" s="15" t="str">
        <x:v>Mechanism mapped to roots and exclusions</x:v>
      </x:c>
      <x:c r="C6" s="15" t="str">
        <x:v>ARTICLE-ELIGIBLE</x:v>
      </x:c>
    </x:row>
    <x:row r="7">
      <x:c r="A7" s="14" t="str">
        <x:v>ARTICLE-ELIGIBLE</x:v>
      </x:c>
      <x:c r="B7" s="14" t="str">
        <x:v>Complete dossier and campaign predecessor</x:v>
      </x:c>
      <x:c r="C7" s="14" t="str">
        <x:v>RBS-1 article constitution</x:v>
      </x:c>
    </x:row>
    <x:row r="8">
      <x:c r="A8" s="15" t="str">
        <x:v>PHYSICAL-TRIAL-ELIGIBLE</x:v>
      </x:c>
      <x:c r="B8" s="15" t="str">
        <x:v>Future physical authority</x:v>
      </x:c>
      <x:c r="C8" s="15" t="str">
        <x:v>Future campaign</x:v>
      </x:c>
    </x:row>
    <x:row r="9">
      <x:c r="A9" s="14" t="str">
        <x:v>ADVERSE</x:v>
      </x:c>
      <x:c r="B9" s="14" t="str">
        <x:v>Valid evidence contradicts a claim</x:v>
      </x:c>
      <x:c r="C9" s="14" t="str">
        <x:v>Bounded redesign</x:v>
      </x:c>
    </x:row>
    <x:row r="10">
      <x:c r="A10" s="15" t="str">
        <x:v>INDETERMINATE</x:v>
      </x:c>
      <x:c r="B10" s="15" t="str">
        <x:v>Evidence cannot decide</x:v>
      </x:c>
      <x:c r="C10" s="15" t="str">
        <x:v>New method or observation</x:v>
      </x:c>
    </x:row>
    <x:row r="11">
      <x:c r="A11" s="14" t="str">
        <x:v>INVALID</x:v>
      </x:c>
      <x:c r="B11" s="14" t="str">
        <x:v>Independent invalidity cause</x:v>
      </x:c>
      <x:c r="C11" s="14" t="str">
        <x:v>Bound replacement if registered</x:v>
      </x:c>
    </x:row>
    <x:row r="12">
      <x:c r="A12" s="15" t="str">
        <x:v>WITHDRAWN</x:v>
      </x:c>
      <x:c r="B12" s="15" t="str">
        <x:v>Sponsor ends candidate</x:v>
      </x:c>
      <x:c r="C12" s="15" t="str">
        <x:v>Archive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2" hidden="0" customWidth="1"/>
  </x:cols>
  <x:sheetData>
    <x:row r="1" ht="27" customHeight="1">
      <x:c r="A1" s="3" t="str">
        <x:v>Declared child evidence boundaries</x:v>
      </x:c>
    </x:row>
    <x:row r="2" ht="32" customHeight="1">
      <x:c r="A2" s="7" t="str">
        <x:v>These are capacity screens with unlike methods and cannot be pooled statistically.</x:v>
      </x:c>
    </x:row>
    <x:row r="4" ht="28" customHeight="1">
      <x:c r="A4" s="11" t="str">
        <x:v>Rung</x:v>
      </x:c>
      <x:c r="B4" s="11" t="str">
        <x:v>Evidence TB</x:v>
      </x:c>
      <x:c r="C4" s="11" t="str">
        <x:v>Cumulative TB</x:v>
      </x:c>
    </x:row>
    <x:row r="5">
      <x:c r="A5" s="14" t="str">
        <x:v>ER-01</x:v>
      </x:c>
      <x:c r="B5" s="16" t="n">
        <x:v>23.2</x:v>
      </x:c>
      <x:c r="C5" s="16" t="n">
        <x:f>SUM($B$5:B5)</x:f>
        <x:v>23.2</x:v>
      </x:c>
    </x:row>
    <x:row r="6">
      <x:c r="A6" s="15" t="str">
        <x:v>ER-02</x:v>
      </x:c>
      <x:c r="B6" s="17" t="n">
        <x:v>30.72</x:v>
      </x:c>
      <x:c r="C6" s="17" t="n">
        <x:f>SUM($B$5:B6)</x:f>
        <x:v>53.92</x:v>
      </x:c>
    </x:row>
    <x:row r="7">
      <x:c r="A7" s="14" t="str">
        <x:v>ER-03</x:v>
      </x:c>
      <x:c r="B7" s="16" t="n">
        <x:v>162.24</x:v>
      </x:c>
      <x:c r="C7" s="16" t="n">
        <x:f>SUM($B$5:B7)</x:f>
        <x:v>216.16000000000003</x:v>
      </x:c>
    </x:row>
    <x:row r="8">
      <x:c r="A8" s="15" t="str">
        <x:v>ER-04</x:v>
      </x:c>
      <x:c r="B8" s="17" t="n">
        <x:v>33.45</x:v>
      </x:c>
      <x:c r="C8" s="17" t="n">
        <x:f>SUM($B$5:B8)</x:f>
        <x:v>249.61</x:v>
      </x:c>
    </x:row>
    <x:row r="9">
      <x:c r="A9" s="14" t="str">
        <x:v>ER-05</x:v>
      </x:c>
      <x:c r="B9" s="16" t="n">
        <x:v>50.85</x:v>
      </x:c>
      <x:c r="C9" s="16" t="n">
        <x:f>SUM($B$5:B9)</x:f>
        <x:v>300.46000000000004</x:v>
      </x:c>
    </x:row>
    <x:row r="10">
      <x:c r="A10" s="15" t="str">
        <x:v>ER-06</x:v>
      </x:c>
      <x:c r="B10" s="17" t="n">
        <x:v>80.524</x:v>
      </x:c>
      <x:c r="C10" s="17" t="n">
        <x:f>SUM($B$5:B10)</x:f>
        <x:v>380.98400000000004</x:v>
      </x:c>
    </x:row>
    <x:row r="11">
      <x:c r="A11" s="14" t="str">
        <x:v>ER-07</x:v>
      </x:c>
      <x:c r="B11" s="16" t="n">
        <x:v>176.564</x:v>
      </x:c>
      <x:c r="C11" s="16" t="n">
        <x:f>SUM($B$5:B11)</x:f>
        <x:v>557.548</x:v>
      </x:c>
    </x:row>
    <x:row r="12">
      <x:c r="A12" s="15" t="str">
        <x:v>ER-08</x:v>
      </x:c>
      <x:c r="B12" s="17" t="n">
        <x:v>262.966</x:v>
      </x:c>
      <x:c r="C12" s="17" t="n">
        <x:f>SUM($B$5:B12)</x:f>
        <x:v>820.514</x:v>
      </x:c>
    </x:row>
    <x:row r="13">
      <x:c r="A13" s="14" t="str">
        <x:v>ER-09</x:v>
      </x:c>
      <x:c r="B13" s="16" t="n">
        <x:v>407.381</x:v>
      </x:c>
      <x:c r="C13" s="16" t="n">
        <x:f>SUM($B$5:B13)</x:f>
        <x:v>1227.895</x:v>
      </x:c>
    </x:row>
    <x:row r="14">
      <x:c r="A14" s="15" t="str">
        <x:v>ER-10</x:v>
      </x:c>
      <x:c r="B14" s="17" t="n">
        <x:v>2440.268</x:v>
      </x:c>
      <x:c r="C14" s="17" t="n">
        <x:f>SUM($B$5:B14)</x:f>
        <x:v>3668.163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3" t="str">
        <x:v>Whole-ladder closure schedule</x:v>
      </x:c>
    </x:row>
    <x:row r="2" ht="32" customHeight="1">
      <x:c r="A2" s="7" t="str">
        <x:v>Gross work and only admissible overlap are separately visible.</x:v>
      </x:c>
    </x:row>
    <x:row r="4" ht="28" customHeight="1">
      <x:c r="A4" s="11" t="str">
        <x:v>Work package</x:v>
      </x:c>
      <x:c r="B4" s="11" t="str">
        <x:v>Primary work</x:v>
      </x:c>
      <x:c r="C4" s="11" t="str">
        <x:v>Maximum work</x:v>
      </x:c>
      <x:c r="D4" s="11" t="str">
        <x:v>Primary overlap</x:v>
      </x:c>
      <x:c r="E4" s="11" t="str">
        <x:v>Maximum overlap</x:v>
      </x:c>
    </x:row>
    <x:row r="5">
      <x:c r="A5" s="14" t="str">
        <x:v>Packet census</x:v>
      </x:c>
      <x:c r="B5" s="21" t="n">
        <x:v>10</x:v>
      </x:c>
      <x:c r="C5" s="21" t="n">
        <x:v>10</x:v>
      </x:c>
      <x:c r="D5" s="21" t="n">
        <x:v>0</x:v>
      </x:c>
      <x:c r="E5" s="21" t="n">
        <x:v>0</x:v>
      </x:c>
    </x:row>
    <x:row r="6">
      <x:c r="A6" s="15" t="str">
        <x:v>Root and authority graph</x:v>
      </x:c>
      <x:c r="B6" s="22" t="n">
        <x:v>8</x:v>
      </x:c>
      <x:c r="C6" s="22" t="n">
        <x:v>8</x:v>
      </x:c>
      <x:c r="D6" s="22" t="n">
        <x:v>4</x:v>
      </x:c>
      <x:c r="E6" s="22" t="n">
        <x:v>4</x:v>
      </x:c>
    </x:row>
    <x:row r="7">
      <x:c r="A7" s="14" t="str">
        <x:v>Carrier build</x:v>
      </x:c>
      <x:c r="B7" s="21" t="n">
        <x:v>16</x:v>
      </x:c>
      <x:c r="C7" s="21" t="n">
        <x:v>18</x:v>
      </x:c>
      <x:c r="D7" s="21" t="n">
        <x:v>0</x:v>
      </x:c>
      <x:c r="E7" s="21" t="n">
        <x:v>0</x:v>
      </x:c>
    </x:row>
    <x:row r="8">
      <x:c r="A8" s="15" t="str">
        <x:v>Translation cycles</x:v>
      </x:c>
      <x:c r="B8" s="22" t="n">
        <x:v>22</x:v>
      </x:c>
      <x:c r="C8" s="22" t="n">
        <x:v>24</x:v>
      </x:c>
      <x:c r="D8" s="22" t="n">
        <x:v>0</x:v>
      </x:c>
      <x:c r="E8" s="22" t="n">
        <x:v>0</x:v>
      </x:c>
    </x:row>
    <x:row r="9">
      <x:c r="A9" s="14" t="str">
        <x:v>Outside reconstructions</x:v>
      </x:c>
      <x:c r="B9" s="21" t="n">
        <x:v>14</x:v>
      </x:c>
      <x:c r="C9" s="21" t="n">
        <x:v>14</x:v>
      </x:c>
      <x:c r="D9" s="21" t="n">
        <x:v>8</x:v>
      </x:c>
      <x:c r="E9" s="21" t="n">
        <x:v>6</x:v>
      </x:c>
    </x:row>
    <x:row r="10">
      <x:c r="A10" s="15" t="str">
        <x:v>Contradiction cases</x:v>
      </x:c>
      <x:c r="B10" s="22" t="n">
        <x:v>6</x:v>
      </x:c>
      <x:c r="C10" s="22" t="n">
        <x:v>6</x:v>
      </x:c>
      <x:c r="D10" s="22" t="n">
        <x:v>0</x:v>
      </x:c>
      <x:c r="E10" s="22" t="n">
        <x:v>0</x:v>
      </x:c>
    </x:row>
    <x:row r="11">
      <x:c r="A11" s="14" t="str">
        <x:v>Fiscal and return reconciliation</x:v>
      </x:c>
      <x:c r="B11" s="21" t="n">
        <x:v>6</x:v>
      </x:c>
      <x:c r="C11" s="21" t="n">
        <x:v>6</x:v>
      </x:c>
      <x:c r="D11" s="21" t="n">
        <x:v>0</x:v>
      </x:c>
      <x:c r="E11" s="21" t="n">
        <x:v>0</x:v>
      </x:c>
    </x:row>
    <x:row r="12">
      <x:c r="A12" s="15" t="str">
        <x:v>Transfer board</x:v>
      </x:c>
      <x:c r="B12" s="22" t="n">
        <x:v>4</x:v>
      </x:c>
      <x:c r="C12" s="22" t="n">
        <x:v>4</x:v>
      </x:c>
      <x:c r="D12" s="22" t="n">
        <x:v>0</x:v>
      </x:c>
      <x:c r="E12" s="22" t="n">
        <x:v>0</x:v>
      </x:c>
    </x:row>
    <x:row r="13">
      <x:c r="A13" s="14" t="str">
        <x:v>Candidate-entry constitution</x:v>
      </x:c>
      <x:c r="B13" s="21" t="n">
        <x:v>4</x:v>
      </x:c>
      <x:c r="C13" s="21" t="n">
        <x:v>4</x:v>
      </x:c>
      <x:c r="D13" s="21" t="n">
        <x:v>0</x:v>
      </x:c>
      <x:c r="E13" s="21" t="n">
        <x:v>0</x:v>
      </x:c>
    </x:row>
    <x:row r="14">
      <x:c r="A14" s="15" t="str">
        <x:v>Gross work</x:v>
      </x:c>
      <x:c r="B14" s="22" t="n">
        <x:f>SUM(B5:B13)</x:f>
        <x:v>90</x:v>
      </x:c>
      <x:c r="C14" s="22" t="n">
        <x:f>SUM(C5:C13)</x:f>
        <x:v>94</x:v>
      </x:c>
      <x:c r="D14" s="22" t="n">
        <x:v>0</x:v>
      </x:c>
      <x:c r="E14" s="22" t="n">
        <x:v>0</x:v>
      </x:c>
    </x:row>
    <x:row r="15">
      <x:c r="A15" s="14" t="str">
        <x:v>Overlap credit</x:v>
      </x:c>
      <x:c r="B15" s="21" t="n">
        <x:v>0</x:v>
      </x:c>
      <x:c r="C15" s="21" t="n">
        <x:v>0</x:v>
      </x:c>
      <x:c r="D15" s="21" t="n">
        <x:f>SUM(D5:D13)</x:f>
        <x:v>12</x:v>
      </x:c>
      <x:c r="E15" s="21" t="n">
        <x:f>SUM(E5:E13)</x:f>
        <x:v>10</x:v>
      </x:c>
    </x:row>
    <x:row r="16">
      <x:c r="A16" s="20" t="str">
        <x:v>Release-aware total</x:v>
      </x:c>
      <x:c r="B16" s="23" t="n">
        <x:f>B14-D15</x:f>
        <x:v>78</x:v>
      </x:c>
      <x:c r="C16" s="23" t="n">
        <x:f>C14-E15</x:f>
        <x:v>84</x:v>
      </x:c>
      <x:c r="D16" s="23" t="n">
        <x:v>0</x:v>
      </x:c>
      <x:c r="E16" s="23" t="n">
        <x:v>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58" hidden="0" customWidth="1"/>
    <x:col min="5" max="5" width="18" hidden="0" customWidth="1"/>
  </x:cols>
  <x:sheetData>
    <x:row r="1" ht="27" customHeight="1">
      <x:c r="A1" s="3" t="str">
        <x:v>Admissible schedule overlap</x:v>
      </x:c>
    </x:row>
    <x:row r="2" ht="32" customHeight="1">
      <x:c r="A2" s="7" t="str">
        <x:v>Overlap cannot condition a blind assignment or use a predecessor before acceptance.</x:v>
      </x:c>
    </x:row>
    <x:row r="4" ht="28" customHeight="1">
      <x:c r="A4" s="11" t="str">
        <x:v>Work pair</x:v>
      </x:c>
      <x:c r="B4" s="11" t="str">
        <x:v>Primary weeks</x:v>
      </x:c>
      <x:c r="C4" s="11" t="str">
        <x:v>Maximum weeks</x:v>
      </x:c>
      <x:c r="D4" s="11" t="str">
        <x:v>Reason</x:v>
      </x:c>
      <x:c r="E4" s="11" t="str">
        <x:v>State</x:v>
      </x:c>
    </x:row>
    <x:row r="5">
      <x:c r="A5" s="14" t="str">
        <x:v>Root graph during packet census</x:v>
      </x:c>
      <x:c r="B5" s="14" t="n">
        <x:v>4</x:v>
      </x:c>
      <x:c r="C5" s="14" t="n">
        <x:v>4</x:v>
      </x:c>
      <x:c r="D5" s="14" t="str">
        <x:v>Uses already reconciled packets only</x:v>
      </x:c>
      <x:c r="E5" s="14" t="str">
        <x:v>ALLOWED</x:v>
      </x:c>
    </x:row>
    <x:row r="6">
      <x:c r="A6" s="15" t="str">
        <x:v>Reconstruction during translation cycles</x:v>
      </x:c>
      <x:c r="B6" s="15" t="n">
        <x:v>8</x:v>
      </x:c>
      <x:c r="C6" s="15" t="n">
        <x:v>6</x:v>
      </x:c>
      <x:c r="D6" s="15" t="str">
        <x:v>Begins only for accepted edge packets</x:v>
      </x:c>
      <x:c r="E6" s="15" t="str">
        <x:v>ALLOWED</x:v>
      </x:c>
    </x:row>
    <x:row r="7">
      <x:c r="A7" s="14" t="str">
        <x:v>Candidate entry during transfer board</x:v>
      </x:c>
      <x:c r="B7" s="14" t="n">
        <x:v>0</x:v>
      </x:c>
      <x:c r="C7" s="14" t="n">
        <x:v>0</x:v>
      </x:c>
      <x:c r="D7" s="14" t="str">
        <x:v>Transfer ceiling must be signed first</x:v>
      </x:c>
      <x:c r="E7" s="14" t="str">
        <x:v>PROHIBITED</x:v>
      </x:c>
    </x:row>
    <x:row r="8">
      <x:c r="A8" s="15" t="str">
        <x:v>Contradictions before native packet seal</x:v>
      </x:c>
      <x:c r="B8" s="15" t="n">
        <x:v>0</x:v>
      </x:c>
      <x:c r="C8" s="15" t="n">
        <x:v>0</x:v>
      </x:c>
      <x:c r="D8" s="15" t="str">
        <x:v>Would condition the challenge</x:v>
      </x:c>
      <x:c r="E8" s="15" t="str">
        <x:v>PROHIBITED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20" hidden="0" customWidth="1"/>
  </x:cols>
  <x:sheetData>
    <x:row r="1" ht="27" customHeight="1">
      <x:c r="A1" s="3" t="str">
        <x:v>Ladder Closure Directorate</x:v>
      </x:c>
    </x:row>
    <x:row r="2" ht="32" customHeight="1">
      <x:c r="A2" s="7" t="str">
        <x:v>Execution positions add to the retained ladder formation.</x:v>
      </x:c>
    </x:row>
    <x:row r="4" ht="28" customHeight="1">
      <x:c r="A4" s="11" t="str">
        <x:v>Function</x:v>
      </x:c>
      <x:c r="B4" s="11" t="str">
        <x:v>Positions</x:v>
      </x:c>
    </x:row>
    <x:row r="5">
      <x:c r="A5" s="14" t="str">
        <x:v>Root-version and method authority</x:v>
      </x:c>
      <x:c r="B5" s="21" t="n">
        <x:v>120</x:v>
      </x:c>
    </x:row>
    <x:row r="6">
      <x:c r="A6" s="15" t="str">
        <x:v>Native evidence and reconstruction</x:v>
      </x:c>
      <x:c r="B6" s="22" t="n">
        <x:v>130</x:v>
      </x:c>
    </x:row>
    <x:row r="7">
      <x:c r="A7" s="14" t="str">
        <x:v>Translation-carrier engineering</x:v>
      </x:c>
      <x:c r="B7" s="21" t="n">
        <x:v>120</x:v>
      </x:c>
    </x:row>
    <x:row r="8">
      <x:c r="A8" s="15" t="str">
        <x:v>Physical translation operations</x:v>
      </x:c>
      <x:c r="B8" s="22" t="n">
        <x:v>110</x:v>
      </x:c>
    </x:row>
    <x:row r="9">
      <x:c r="A9" s="14" t="str">
        <x:v>Uncertainty and causal analysis</x:v>
      </x:c>
      <x:c r="B9" s="21" t="n">
        <x:v>90</x:v>
      </x:c>
    </x:row>
    <x:row r="10">
      <x:c r="A10" s="15" t="str">
        <x:v>Contradiction and invalidity teams</x:v>
      </x:c>
      <x:c r="B10" s="22" t="n">
        <x:v>80</x:v>
      </x:c>
    </x:row>
    <x:row r="11">
      <x:c r="A11" s="14" t="str">
        <x:v>Configuration and ancestry</x:v>
      </x:c>
      <x:c r="B11" s="21" t="n">
        <x:v>70</x:v>
      </x:c>
    </x:row>
    <x:row r="12">
      <x:c r="A12" s="15" t="str">
        <x:v>Accounts, environment and public action</x:v>
      </x:c>
      <x:c r="B12" s="22" t="n">
        <x:v>60</x:v>
      </x:c>
    </x:row>
    <x:row r="13">
      <x:c r="A13" s="14" t="str">
        <x:v>Safety and return review</x:v>
      </x:c>
      <x:c r="B13" s="21" t="n">
        <x:v>50</x:v>
      </x:c>
    </x:row>
    <x:row r="14">
      <x:c r="A14" s="15" t="str">
        <x:v>Candidate-entry and mission analysis</x:v>
      </x:c>
      <x:c r="B14" s="22" t="n">
        <x:v>20</x:v>
      </x:c>
    </x:row>
    <x:row r="15">
      <x:c r="A15" s="20" t="str">
        <x:v>Execution total</x:v>
      </x:c>
      <x:c r="B15" s="23" t="n">
        <x:f>SUM(B5:B14)</x:f>
        <x:v>850</x:v>
      </x:c>
    </x:row>
    <x:row r="16">
      <x:c r="A16" s="15" t="str">
        <x:v>Retained formation</x:v>
      </x:c>
      <x:c r="B16" s="22" t="n">
        <x:v>6500</x:v>
      </x:c>
    </x:row>
    <x:row r="17">
      <x:c r="A17" s="24" t="str">
        <x:v>Concurrent positions</x:v>
      </x:c>
      <x:c r="B17" s="25" t="n">
        <x:f>B15+B16</x:f>
        <x:v>7350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22" hidden="0" customWidth="1"/>
  </x:cols>
  <x:sheetData>
    <x:row r="1" ht="27" customHeight="1">
      <x:c r="A1" s="3" t="str">
        <x:v>RBR-1 closure capital</x:v>
      </x:c>
    </x:row>
    <x:row r="2" ht="32" customHeight="1">
      <x:c r="A2" s="7" t="str">
        <x:v>Capital preserves physical translation, independent reconstruction and long-term reference custody.</x:v>
      </x:c>
    </x:row>
    <x:row r="4" ht="28" customHeight="1">
      <x:c r="A4" s="11" t="str">
        <x:v>Capital object</x:v>
      </x:c>
      <x:c r="B4" s="11" t="str">
        <x:v>USD M</x:v>
      </x:c>
    </x:row>
    <x:row r="5">
      <x:c r="A5" s="14" t="str">
        <x:v>Translation carriers and root kits</x:v>
      </x:c>
      <x:c r="B5" s="26" t="n">
        <x:v>420</x:v>
      </x:c>
    </x:row>
    <x:row r="6">
      <x:c r="A6" s="15" t="str">
        <x:v>Three reconstruction estates</x:v>
      </x:c>
      <x:c r="B6" s="27" t="n">
        <x:v>260</x:v>
      </x:c>
    </x:row>
    <x:row r="7">
      <x:c r="A7" s="14" t="str">
        <x:v>Native-evidence index and storage</x:v>
      </x:c>
      <x:c r="B7" s="26" t="n">
        <x:v>210</x:v>
      </x:c>
    </x:row>
    <x:row r="8">
      <x:c r="A8" s="15" t="str">
        <x:v>Calibration archive and vaults</x:v>
      </x:c>
      <x:c r="B8" s="27" t="n">
        <x:v>180</x:v>
      </x:c>
    </x:row>
    <x:row r="9">
      <x:c r="A9" s="14" t="str">
        <x:v>Contradiction articles and facility</x:v>
      </x:c>
      <x:c r="B9" s="26" t="n">
        <x:v>160</x:v>
      </x:c>
    </x:row>
    <x:row r="10">
      <x:c r="A10" s="15" t="str">
        <x:v>Accounts and uncertainty systems</x:v>
      </x:c>
      <x:c r="B10" s="27" t="n">
        <x:v>120</x:v>
      </x:c>
    </x:row>
    <x:row r="11">
      <x:c r="A11" s="14" t="str">
        <x:v>Range modifications</x:v>
      </x:c>
      <x:c r="B11" s="26" t="n">
        <x:v>160</x:v>
      </x:c>
    </x:row>
    <x:row r="12">
      <x:c r="A12" s="15" t="str">
        <x:v>Candidate-entry interfaces</x:v>
      </x:c>
      <x:c r="B12" s="27" t="n">
        <x:v>90</x:v>
      </x:c>
    </x:row>
    <x:row r="13">
      <x:c r="A13" s="14" t="str">
        <x:v>Safety, environment and return</x:v>
      </x:c>
      <x:c r="B13" s="26" t="n">
        <x:v>80</x:v>
      </x:c>
    </x:row>
    <x:row r="14">
      <x:c r="A14" s="15" t="str">
        <x:v>Controlled capital uncertainty</x:v>
      </x:c>
      <x:c r="B14" s="27" t="n">
        <x:v>120</x:v>
      </x:c>
    </x:row>
    <x:row r="15">
      <x:c r="A15" s="20" t="str">
        <x:v>Total</x:v>
      </x:c>
      <x:c r="B15" s="28" t="n">
        <x:f>SUM(B5:B14)</x:f>
        <x:v>1800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22" hidden="0" customWidth="1"/>
  </x:cols>
  <x:sheetData>
    <x:row r="1" ht="27" customHeight="1">
      <x:c r="A1" s="3" t="str">
        <x:v>RBR-1 annual support</x:v>
      </x:c>
    </x:row>
    <x:row r="2" ht="32" customHeight="1">
      <x:c r="A2" s="7" t="str">
        <x:v>Execution and retained support remain separately visible.</x:v>
      </x:c>
    </x:row>
    <x:row r="4" ht="28" customHeight="1">
      <x:c r="A4" s="11" t="str">
        <x:v>Annual object</x:v>
      </x:c>
      <x:c r="B4" s="11" t="str">
        <x:v>USD M/year</x:v>
      </x:c>
    </x:row>
    <x:row r="5">
      <x:c r="A5" s="14" t="str">
        <x:v>Personnel and benefits</x:v>
      </x:c>
      <x:c r="B5" s="26" t="n">
        <x:v>110</x:v>
      </x:c>
    </x:row>
    <x:row r="6">
      <x:c r="A6" s="15" t="str">
        <x:v>Translation-cycle operations</x:v>
      </x:c>
      <x:c r="B6" s="27" t="n">
        <x:v>28</x:v>
      </x:c>
    </x:row>
    <x:row r="7">
      <x:c r="A7" s="14" t="str">
        <x:v>Evidence and reconstruction</x:v>
      </x:c>
      <x:c r="B7" s="26" t="n">
        <x:v>24</x:v>
      </x:c>
    </x:row>
    <x:row r="8">
      <x:c r="A8" s="15" t="str">
        <x:v>Calibration archive and custody</x:v>
      </x:c>
      <x:c r="B8" s="27" t="n">
        <x:v>16</x:v>
      </x:c>
    </x:row>
    <x:row r="9">
      <x:c r="A9" s="14" t="str">
        <x:v>Carrier and range maintenance</x:v>
      </x:c>
      <x:c r="B9" s="26" t="n">
        <x:v>14</x:v>
      </x:c>
    </x:row>
    <x:row r="10">
      <x:c r="A10" s="15" t="str">
        <x:v>Safety, environment and return</x:v>
      </x:c>
      <x:c r="B10" s="27" t="n">
        <x:v>10</x:v>
      </x:c>
    </x:row>
    <x:row r="11">
      <x:c r="A11" s="14" t="str">
        <x:v>Independent boards and challenge teams</x:v>
      </x:c>
      <x:c r="B11" s="26" t="n">
        <x:v>8</x:v>
      </x:c>
    </x:row>
    <x:row r="12">
      <x:c r="A12" s="15" t="str">
        <x:v>Technology sustainment</x:v>
      </x:c>
      <x:c r="B12" s="27" t="n">
        <x:v>10</x:v>
      </x:c>
    </x:row>
    <x:row r="13">
      <x:c r="A13" s="20" t="str">
        <x:v>Execution total</x:v>
      </x:c>
      <x:c r="B13" s="28" t="n">
        <x:f>SUM(B5:B12)</x:f>
        <x:v>220</x:v>
      </x:c>
    </x:row>
    <x:row r="14">
      <x:c r="A14" s="15" t="str">
        <x:v>Retained ladder support</x:v>
      </x:c>
      <x:c r="B14" s="27" t="n">
        <x:v>1250</x:v>
      </x:c>
    </x:row>
    <x:row r="15">
      <x:c r="A15" s="24" t="str">
        <x:v>Concurrent annual support</x:v>
      </x:c>
      <x:c r="B15" s="29" t="n">
        <x:f>B13+B14</x:f>
        <x:v>1470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22" hidden="0" customWidth="1"/>
  </x:cols>
  <x:sheetData>
    <x:row r="1" ht="27" customHeight="1">
      <x:c r="A1" s="3" t="str">
        <x:v>RBR-1 technology portfolio</x:v>
      </x:c>
    </x:row>
    <x:row r="2" ht="32" customHeight="1">
      <x:c r="A2" s="7" t="str">
        <x:v>Technology preserves technical truth across changing systems and institutions.</x:v>
      </x:c>
    </x:row>
    <x:row r="4" ht="28" customHeight="1">
      <x:c r="A4" s="11" t="str">
        <x:v>Program</x:v>
      </x:c>
      <x:c r="B4" s="11" t="str">
        <x:v>USD M</x:v>
      </x:c>
    </x:row>
    <x:row r="5">
      <x:c r="A5" s="14" t="str">
        <x:v>Executable root-version graph</x:v>
      </x:c>
      <x:c r="B5" s="26" t="n">
        <x:v>120</x:v>
      </x:c>
    </x:row>
    <x:row r="6">
      <x:c r="A6" s="15" t="str">
        <x:v>Portable translation carriers</x:v>
      </x:c>
      <x:c r="B6" s="27" t="n">
        <x:v>115</x:v>
      </x:c>
    </x:row>
    <x:row r="7">
      <x:c r="A7" s="14" t="str">
        <x:v>Petabyte native-evidence index</x:v>
      </x:c>
      <x:c r="B7" s="26" t="n">
        <x:v>90</x:v>
      </x:c>
    </x:row>
    <x:row r="8">
      <x:c r="A8" s="15" t="str">
        <x:v>Offline reconstruction environment</x:v>
      </x:c>
      <x:c r="B8" s="27" t="n">
        <x:v>85</x:v>
      </x:c>
    </x:row>
    <x:row r="9">
      <x:c r="A9" s="14" t="str">
        <x:v>Uncertainty ancestry compiler</x:v>
      </x:c>
      <x:c r="B9" s="26" t="n">
        <x:v>70</x:v>
      </x:c>
    </x:row>
    <x:row r="10">
      <x:c r="A10" s="15" t="str">
        <x:v>Causal contradiction generator</x:v>
      </x:c>
      <x:c r="B10" s="27" t="n">
        <x:v>65</x:v>
      </x:c>
    </x:row>
    <x:row r="11">
      <x:c r="A11" s="14" t="str">
        <x:v>Conservation-ledger compiler</x:v>
      </x:c>
      <x:c r="B11" s="26" t="n">
        <x:v>55</x:v>
      </x:c>
    </x:row>
    <x:row r="12">
      <x:c r="A12" s="15" t="str">
        <x:v>Physical-interface ontology</x:v>
      </x:c>
      <x:c r="B12" s="27" t="n">
        <x:v>50</x:v>
      </x:c>
    </x:row>
    <x:row r="13">
      <x:c r="A13" s="14" t="str">
        <x:v>Public-action causal separation</x:v>
      </x:c>
      <x:c r="B13" s="26" t="n">
        <x:v>40</x:v>
      </x:c>
    </x:row>
    <x:row r="14">
      <x:c r="A14" s="15" t="str">
        <x:v>Long-horizon calibration archive</x:v>
      </x:c>
      <x:c r="B14" s="27" t="n">
        <x:v>35</x:v>
      </x:c>
    </x:row>
    <x:row r="15">
      <x:c r="A15" s="14" t="str">
        <x:v>Independent decision diff engine</x:v>
      </x:c>
      <x:c r="B15" s="26" t="n">
        <x:v>25</x:v>
      </x:c>
    </x:row>
    <x:row r="16">
      <x:c r="A16" s="20" t="str">
        <x:v>Total</x:v>
      </x:c>
      <x:c r="B16" s="28" t="n">
        <x:f>SUM(B5:B15)</x:f>
        <x:v>750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7" customHeight="1">
      <x:c r="A1" s="3" t="str">
        <x:v>RAS-3R8 capacity after closure</x:v>
      </x:c>
    </x:row>
    <x:row r="2" ht="32" customHeight="1">
      <x:c r="A2" s="7" t="str">
        <x:v>RBR-1 fits. Remaining concurrency cannot support a full operational candidate program.</x:v>
      </x:c>
    </x:row>
    <x:row r="4" ht="28" customHeight="1">
      <x:c r="A4" s="11" t="str">
        <x:v>Capacity</x:v>
      </x:c>
      <x:c r="B4" s="11" t="str">
        <x:v>Parent</x:v>
      </x:c>
      <x:c r="C4" s="11" t="str">
        <x:v>Primary use</x:v>
      </x:c>
      <x:c r="D4" s="11" t="str">
        <x:v>Maximum use</x:v>
      </x:c>
      <x:c r="E4" s="11" t="str">
        <x:v>Primary remainder</x:v>
      </x:c>
      <x:c r="F4" s="11" t="str">
        <x:v>Maximum remainder</x:v>
      </x:c>
      <x:c r="G4" s="11" t="str">
        <x:v>Unit</x:v>
      </x:c>
    </x:row>
    <x:row r="5">
      <x:c r="A5" s="14" t="str">
        <x:v>Calendar</x:v>
      </x:c>
      <x:c r="B5" s="16" t="n">
        <x:f>Assumptions!B23</x:f>
        <x:v>1144</x:v>
      </x:c>
      <x:c r="C5" s="16" t="n">
        <x:f>Assumptions!B28+Assumptions!B15</x:f>
        <x:v>1034</x:v>
      </x:c>
      <x:c r="D5" s="16" t="n">
        <x:f>Assumptions!B29+Assumptions!B16</x:f>
        <x:v>1074</x:v>
      </x:c>
      <x:c r="E5" s="16" t="n">
        <x:f>B5-C5</x:f>
        <x:v>110</x:v>
      </x:c>
      <x:c r="F5" s="16" t="n">
        <x:f>B5-D5</x:f>
        <x:v>70</x:v>
      </x:c>
      <x:c r="G5" s="14" t="str">
        <x:v>weeks</x:v>
      </x:c>
    </x:row>
    <x:row r="6">
      <x:c r="A6" s="15" t="str">
        <x:v>Concurrent positions</x:v>
      </x:c>
      <x:c r="B6" s="17" t="n">
        <x:f>Assumptions!B24</x:f>
        <x:v>7600</x:v>
      </x:c>
      <x:c r="C6" s="17" t="n">
        <x:f>Workforce!B17</x:f>
        <x:v>7350</x:v>
      </x:c>
      <x:c r="D6" s="17" t="n">
        <x:f>C6</x:f>
        <x:v>7350</x:v>
      </x:c>
      <x:c r="E6" s="17" t="n">
        <x:f>B6-C6</x:f>
        <x:v>250</x:v>
      </x:c>
      <x:c r="F6" s="17" t="n">
        <x:f>B6-D6</x:f>
        <x:v>250</x:v>
      </x:c>
      <x:c r="G6" s="15" t="str">
        <x:v>positions</x:v>
      </x:c>
    </x:row>
    <x:row r="7">
      <x:c r="A7" s="14" t="str">
        <x:v>Capital</x:v>
      </x:c>
      <x:c r="B7" s="16" t="n">
        <x:f>Assumptions!B25</x:f>
        <x:v>30000</x:v>
      </x:c>
      <x:c r="C7" s="16" t="n">
        <x:f>Assumptions!B30+Capital!B15</x:f>
        <x:v>20680</x:v>
      </x:c>
      <x:c r="D7" s="16" t="n">
        <x:f>C7</x:f>
        <x:v>20680</x:v>
      </x:c>
      <x:c r="E7" s="16" t="n">
        <x:f>B7-C7</x:f>
        <x:v>9320</x:v>
      </x:c>
      <x:c r="F7" s="16" t="n">
        <x:f>B7-D7</x:f>
        <x:v>9320</x:v>
      </x:c>
      <x:c r="G7" s="14" t="str">
        <x:v>USD M</x:v>
      </x:c>
    </x:row>
    <x:row r="8">
      <x:c r="A8" s="15" t="str">
        <x:v>Annual support</x:v>
      </x:c>
      <x:c r="B8" s="17" t="n">
        <x:f>Assumptions!B26</x:f>
        <x:v>1750</x:v>
      </x:c>
      <x:c r="C8" s="17" t="n">
        <x:f>'Annual Support'!B15</x:f>
        <x:v>1470</x:v>
      </x:c>
      <x:c r="D8" s="17" t="n">
        <x:f>C8</x:f>
        <x:v>1470</x:v>
      </x:c>
      <x:c r="E8" s="17" t="n">
        <x:f>B8-C8</x:f>
        <x:v>280</x:v>
      </x:c>
      <x:c r="F8" s="17" t="n">
        <x:f>B8-D8</x:f>
        <x:v>280</x:v>
      </x:c>
      <x:c r="G8" s="15" t="str">
        <x:v>USD M/year</x:v>
      </x:c>
    </x:row>
    <x:row r="9">
      <x:c r="A9" s="14" t="str">
        <x:v>Technology</x:v>
      </x:c>
      <x:c r="B9" s="16" t="n">
        <x:f>Assumptions!B27</x:f>
        <x:v>14000</x:v>
      </x:c>
      <x:c r="C9" s="16" t="n">
        <x:f>Assumptions!B31+Technology!B16</x:f>
        <x:v>8235</x:v>
      </x:c>
      <x:c r="D9" s="16" t="n">
        <x:f>C9</x:f>
        <x:v>8235</x:v>
      </x:c>
      <x:c r="E9" s="16" t="n">
        <x:f>B9-C9</x:f>
        <x:v>5765</x:v>
      </x:c>
      <x:c r="F9" s="16" t="n">
        <x:f>B9-D9</x:f>
        <x:v>5765</x:v>
      </x:c>
      <x:c r="G9" s="14" t="str">
        <x:v>USD 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</x:cols>
  <x:sheetData>
    <x:row r="1" ht="27" customHeight="1">
      <x:c r="A1" s="3" t="str">
        <x:v>Closure-population sensitivity</x:v>
      </x:c>
    </x:row>
    <x:row r="2" ht="32" customHeight="1">
      <x:c r="A2" s="7" t="str">
        <x:v>Cases vary translation cycles per edge and reconstruction authorities per cell.</x:v>
      </x:c>
    </x:row>
    <x:row r="4" ht="28" customHeight="1">
      <x:c r="A4" s="11" t="str">
        <x:v>Cycles per edge</x:v>
      </x:c>
      <x:c r="B4" s="11" t="str">
        <x:v>Authorities per cell</x:v>
      </x:c>
      <x:c r="C4" s="11" t="str">
        <x:v>Translation cycles</x:v>
      </x:c>
      <x:c r="D4" s="11" t="str">
        <x:v>Reconstructions</x:v>
      </x:c>
      <x:c r="E4" s="11" t="str">
        <x:v>Source kg</x:v>
      </x:c>
      <x:c r="F4" s="11" t="str">
        <x:v>Water m3</x:v>
      </x:c>
    </x:row>
    <x:row r="5">
      <x:c r="A5" s="16" t="n">
        <x:v>2</x:v>
      </x:c>
      <x:c r="B5" s="16" t="n">
        <x:v>2</x:v>
      </x:c>
      <x:c r="C5" s="16" t="n">
        <x:f>A5*Assumptions!B10</x:f>
        <x:v>18</x:v>
      </x:c>
      <x:c r="D5" s="16" t="n">
        <x:f>B5*Assumptions!B6*Assumptions!B5</x:f>
        <x:v>240</x:v>
      </x:c>
      <x:c r="E5" s="16" t="n">
        <x:f>A5*SUM('Version Edges'!E5:E13)</x:f>
        <x:v>4410</x:v>
      </x:c>
      <x:c r="F5" s="16" t="n">
        <x:f>A5*SUM('Version Edges'!F5:F13)</x:f>
        <x:v>226.07999999999998</x:v>
      </x:c>
    </x:row>
    <x:row r="6">
      <x:c r="A6" s="17" t="n">
        <x:v>2</x:v>
      </x:c>
      <x:c r="B6" s="17" t="n">
        <x:v>3</x:v>
      </x:c>
      <x:c r="C6" s="17" t="n">
        <x:f>A6*Assumptions!B10</x:f>
        <x:v>18</x:v>
      </x:c>
      <x:c r="D6" s="17" t="n">
        <x:f>B6*Assumptions!B6*Assumptions!B5</x:f>
        <x:v>360</x:v>
      </x:c>
      <x:c r="E6" s="17" t="n">
        <x:f>A6*SUM('Version Edges'!E5:E13)</x:f>
        <x:v>4410</x:v>
      </x:c>
      <x:c r="F6" s="17" t="n">
        <x:f>A6*SUM('Version Edges'!F5:F13)</x:f>
        <x:v>226.07999999999998</x:v>
      </x:c>
    </x:row>
    <x:row r="7">
      <x:c r="A7" s="16" t="n">
        <x:v>2</x:v>
      </x:c>
      <x:c r="B7" s="16" t="n">
        <x:v>4</x:v>
      </x:c>
      <x:c r="C7" s="16" t="n">
        <x:f>A7*Assumptions!B10</x:f>
        <x:v>18</x:v>
      </x:c>
      <x:c r="D7" s="16" t="n">
        <x:f>B7*Assumptions!B6*Assumptions!B5</x:f>
        <x:v>480</x:v>
      </x:c>
      <x:c r="E7" s="16" t="n">
        <x:f>A7*SUM('Version Edges'!E5:E13)</x:f>
        <x:v>4410</x:v>
      </x:c>
      <x:c r="F7" s="16" t="n">
        <x:f>A7*SUM('Version Edges'!F5:F13)</x:f>
        <x:v>226.07999999999998</x:v>
      </x:c>
    </x:row>
    <x:row r="8">
      <x:c r="A8" s="17" t="n">
        <x:v>4</x:v>
      </x:c>
      <x:c r="B8" s="17" t="n">
        <x:v>2</x:v>
      </x:c>
      <x:c r="C8" s="17" t="n">
        <x:f>A8*Assumptions!B10</x:f>
        <x:v>36</x:v>
      </x:c>
      <x:c r="D8" s="17" t="n">
        <x:f>B8*Assumptions!B6*Assumptions!B5</x:f>
        <x:v>240</x:v>
      </x:c>
      <x:c r="E8" s="17" t="n">
        <x:f>A8*SUM('Version Edges'!E5:E13)</x:f>
        <x:v>8820</x:v>
      </x:c>
      <x:c r="F8" s="17" t="n">
        <x:f>A8*SUM('Version Edges'!F5:F13)</x:f>
        <x:v>452.15999999999997</x:v>
      </x:c>
    </x:row>
    <x:row r="9">
      <x:c r="A9" s="16" t="n">
        <x:v>4</x:v>
      </x:c>
      <x:c r="B9" s="16" t="n">
        <x:v>3</x:v>
      </x:c>
      <x:c r="C9" s="16" t="n">
        <x:f>A9*Assumptions!B10</x:f>
        <x:v>36</x:v>
      </x:c>
      <x:c r="D9" s="16" t="n">
        <x:f>B9*Assumptions!B6*Assumptions!B5</x:f>
        <x:v>360</x:v>
      </x:c>
      <x:c r="E9" s="16" t="n">
        <x:f>A9*SUM('Version Edges'!E5:E13)</x:f>
        <x:v>8820</x:v>
      </x:c>
      <x:c r="F9" s="16" t="n">
        <x:f>A9*SUM('Version Edges'!F5:F13)</x:f>
        <x:v>452.15999999999997</x:v>
      </x:c>
    </x:row>
    <x:row r="10">
      <x:c r="A10" s="17" t="n">
        <x:v>4</x:v>
      </x:c>
      <x:c r="B10" s="17" t="n">
        <x:v>4</x:v>
      </x:c>
      <x:c r="C10" s="17" t="n">
        <x:f>A10*Assumptions!B10</x:f>
        <x:v>36</x:v>
      </x:c>
      <x:c r="D10" s="17" t="n">
        <x:f>B10*Assumptions!B6*Assumptions!B5</x:f>
        <x:v>480</x:v>
      </x:c>
      <x:c r="E10" s="17" t="n">
        <x:f>A10*SUM('Version Edges'!E5:E13)</x:f>
        <x:v>8820</x:v>
      </x:c>
      <x:c r="F10" s="17" t="n">
        <x:f>A10*SUM('Version Edges'!F5:F13)</x:f>
        <x:v>452.15999999999997</x:v>
      </x:c>
    </x:row>
    <x:row r="11">
      <x:c r="A11" s="16" t="n">
        <x:v>6</x:v>
      </x:c>
      <x:c r="B11" s="16" t="n">
        <x:v>2</x:v>
      </x:c>
      <x:c r="C11" s="16" t="n">
        <x:f>A11*Assumptions!B10</x:f>
        <x:v>54</x:v>
      </x:c>
      <x:c r="D11" s="16" t="n">
        <x:f>B11*Assumptions!B6*Assumptions!B5</x:f>
        <x:v>240</x:v>
      </x:c>
      <x:c r="E11" s="16" t="n">
        <x:f>A11*SUM('Version Edges'!E5:E13)</x:f>
        <x:v>13230</x:v>
      </x:c>
      <x:c r="F11" s="16" t="n">
        <x:f>A11*SUM('Version Edges'!F5:F13)</x:f>
        <x:v>678.24</x:v>
      </x:c>
    </x:row>
    <x:row r="12">
      <x:c r="A12" s="17" t="n">
        <x:v>6</x:v>
      </x:c>
      <x:c r="B12" s="17" t="n">
        <x:v>3</x:v>
      </x:c>
      <x:c r="C12" s="17" t="n">
        <x:f>A12*Assumptions!B10</x:f>
        <x:v>54</x:v>
      </x:c>
      <x:c r="D12" s="17" t="n">
        <x:f>B12*Assumptions!B6*Assumptions!B5</x:f>
        <x:v>360</x:v>
      </x:c>
      <x:c r="E12" s="17" t="n">
        <x:f>A12*SUM('Version Edges'!E5:E13)</x:f>
        <x:v>13230</x:v>
      </x:c>
      <x:c r="F12" s="17" t="n">
        <x:f>A12*SUM('Version Edges'!F5:F13)</x:f>
        <x:v>678.24</x:v>
      </x:c>
    </x:row>
    <x:row r="13">
      <x:c r="A13" s="16" t="n">
        <x:v>6</x:v>
      </x:c>
      <x:c r="B13" s="16" t="n">
        <x:v>4</x:v>
      </x:c>
      <x:c r="C13" s="16" t="n">
        <x:f>A13*Assumptions!B10</x:f>
        <x:v>54</x:v>
      </x:c>
      <x:c r="D13" s="16" t="n">
        <x:f>B13*Assumptions!B6*Assumptions!B5</x:f>
        <x:v>480</x:v>
      </x:c>
      <x:c r="E13" s="16" t="n">
        <x:f>A13*SUM('Version Edges'!E5:E13)</x:f>
        <x:v>13230</x:v>
      </x:c>
      <x:c r="F13" s="16" t="n">
        <x:f>A13*SUM('Version Edges'!F5:F13)</x:f>
        <x:v>678.24</x:v>
      </x:c>
    </x:row>
    <x:row r="14">
      <x:c r="A14" s="17" t="n">
        <x:v>8</x:v>
      </x:c>
      <x:c r="B14" s="17" t="n">
        <x:v>2</x:v>
      </x:c>
      <x:c r="C14" s="17" t="n">
        <x:f>A14*Assumptions!B10</x:f>
        <x:v>72</x:v>
      </x:c>
      <x:c r="D14" s="17" t="n">
        <x:f>B14*Assumptions!B6*Assumptions!B5</x:f>
        <x:v>240</x:v>
      </x:c>
      <x:c r="E14" s="17" t="n">
        <x:f>A14*SUM('Version Edges'!E5:E13)</x:f>
        <x:v>17640</x:v>
      </x:c>
      <x:c r="F14" s="17" t="n">
        <x:f>A14*SUM('Version Edges'!F5:F13)</x:f>
        <x:v>904.3199999999999</x:v>
      </x:c>
    </x:row>
    <x:row r="15">
      <x:c r="A15" s="16" t="n">
        <x:v>8</x:v>
      </x:c>
      <x:c r="B15" s="16" t="n">
        <x:v>3</x:v>
      </x:c>
      <x:c r="C15" s="16" t="n">
        <x:f>A15*Assumptions!B10</x:f>
        <x:v>72</x:v>
      </x:c>
      <x:c r="D15" s="16" t="n">
        <x:f>B15*Assumptions!B6*Assumptions!B5</x:f>
        <x:v>360</x:v>
      </x:c>
      <x:c r="E15" s="16" t="n">
        <x:f>A15*SUM('Version Edges'!E5:E13)</x:f>
        <x:v>17640</x:v>
      </x:c>
      <x:c r="F15" s="16" t="n">
        <x:f>A15*SUM('Version Edges'!F5:F13)</x:f>
        <x:v>904.3199999999999</x:v>
      </x:c>
    </x:row>
    <x:row r="16">
      <x:c r="A16" s="17" t="n">
        <x:v>8</x:v>
      </x:c>
      <x:c r="B16" s="17" t="n">
        <x:v>4</x:v>
      </x:c>
      <x:c r="C16" s="17" t="n">
        <x:f>A16*Assumptions!B10</x:f>
        <x:v>72</x:v>
      </x:c>
      <x:c r="D16" s="17" t="n">
        <x:f>B16*Assumptions!B6*Assumptions!B5</x:f>
        <x:v>480</x:v>
      </x:c>
      <x:c r="E16" s="17" t="n">
        <x:f>A16*SUM('Version Edges'!E5:E13)</x:f>
        <x:v>17640</x:v>
      </x:c>
      <x:c r="F16" s="17" t="n">
        <x:f>A16*SUM('Version Edges'!F5:F13)</x:f>
        <x:v>904.3199999999999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52" hidden="0" customWidth="1"/>
    <x:col min="3" max="3" width="44" hidden="0" customWidth="1"/>
    <x:col min="4" max="4" width="16" hidden="0" customWidth="1"/>
  </x:cols>
  <x:sheetData>
    <x:row r="1" ht="27" customHeight="1">
      <x:c r="A1" s="3" t="str">
        <x:v>Whole-ladder release gates</x:v>
      </x:c>
    </x:row>
    <x:row r="2" ht="32" customHeight="1">
      <x:c r="A2" s="7" t="str">
        <x:v>No gate can be waived by pooled success or a senior-board preference.</x:v>
      </x:c>
    </x:row>
    <x:row r="4" ht="28" customHeight="1">
      <x:c r="A4" s="11" t="str">
        <x:v>Gate</x:v>
      </x:c>
      <x:c r="B4" s="11" t="str">
        <x:v>Requirement</x:v>
      </x:c>
      <x:c r="C4" s="11" t="str">
        <x:v>Evidence</x:v>
      </x:c>
      <x:c r="D4" s="11" t="str">
        <x:v>State</x:v>
      </x:c>
    </x:row>
    <x:row r="5">
      <x:c r="A5" s="14" t="str">
        <x:v>LG-01</x:v>
      </x:c>
      <x:c r="B5" s="14" t="str">
        <x:v>Ten class packets accepted</x:v>
      </x:c>
      <x:c r="C5" s="14" t="str">
        <x:v>Closure registry</x:v>
      </x:c>
      <x:c r="D5" s="14" t="str">
        <x:v>BLOCKED</x:v>
      </x:c>
    </x:row>
    <x:row r="6">
      <x:c r="A6" s="15" t="str">
        <x:v>LG-02</x:v>
      </x:c>
      <x:c r="B6" s="15" t="str">
        <x:v>120 exact-cell packets present</x:v>
      </x:c>
      <x:c r="C6" s="15" t="str">
        <x:v>Closure registry</x:v>
      </x:c>
      <x:c r="D6" s="15" t="str">
        <x:v>BLOCKED</x:v>
      </x:c>
    </x:row>
    <x:row r="7">
      <x:c r="A7" s="14" t="str">
        <x:v>LG-03</x:v>
      </x:c>
      <x:c r="B7" s="14" t="str">
        <x:v>Forty reserves reconcile</x:v>
      </x:c>
      <x:c r="C7" s="14" t="str">
        <x:v>Closure registry</x:v>
      </x:c>
      <x:c r="D7" s="14" t="str">
        <x:v>BLOCKED</x:v>
      </x:c>
    </x:row>
    <x:row r="8">
      <x:c r="A8" s="15" t="str">
        <x:v>LG-04</x:v>
      </x:c>
      <x:c r="B8" s="15" t="str">
        <x:v>Ninety root cells disposed</x:v>
      </x:c>
      <x:c r="C8" s="15" t="str">
        <x:v>Translation and reconstruction records</x:v>
      </x:c>
      <x:c r="D8" s="15" t="str">
        <x:v>BLOCKED</x:v>
      </x:c>
    </x:row>
    <x:row r="9">
      <x:c r="A9" s="14" t="str">
        <x:v>LG-05</x:v>
      </x:c>
      <x:c r="B9" s="14" t="str">
        <x:v>540 obligations disposed</x:v>
      </x:c>
      <x:c r="C9" s="14" t="str">
        <x:v>Translation and reconstruction records</x:v>
      </x:c>
      <x:c r="D9" s="14" t="str">
        <x:v>BLOCKED</x:v>
      </x:c>
    </x:row>
    <x:row r="10">
      <x:c r="A10" s="15" t="str">
        <x:v>LG-06</x:v>
      </x:c>
      <x:c r="B10" s="15" t="str">
        <x:v>Nine edge treatments accepted</x:v>
      </x:c>
      <x:c r="C10" s="15" t="str">
        <x:v>Translation and reconstruction records</x:v>
      </x:c>
      <x:c r="D10" s="15" t="str">
        <x:v>BLOCKED</x:v>
      </x:c>
    </x:row>
    <x:row r="11">
      <x:c r="A11" s="14" t="str">
        <x:v>LG-07</x:v>
      </x:c>
      <x:c r="B11" s="14" t="str">
        <x:v>Seventy-two translations complete</x:v>
      </x:c>
      <x:c r="C11" s="14" t="str">
        <x:v>Translation and reconstruction records</x:v>
      </x:c>
      <x:c r="D11" s="14" t="str">
        <x:v>BLOCKED</x:v>
      </x:c>
    </x:row>
    <x:row r="12">
      <x:c r="A12" s="15" t="str">
        <x:v>LG-08</x:v>
      </x:c>
      <x:c r="B12" s="15" t="str">
        <x:v>360 reconstructions sealed</x:v>
      </x:c>
      <x:c r="C12" s="15" t="str">
        <x:v>Translation and reconstruction records</x:v>
      </x:c>
      <x:c r="D12" s="15" t="str">
        <x:v>BLOCKED</x:v>
      </x:c>
    </x:row>
    <x:row r="13">
      <x:c r="A13" s="14" t="str">
        <x:v>LG-09</x:v>
      </x:c>
      <x:c r="B13" s="14" t="str">
        <x:v>Thirty contradictions classified</x:v>
      </x:c>
      <x:c r="C13" s="14" t="str">
        <x:v>Translation and reconstruction records</x:v>
      </x:c>
      <x:c r="D13" s="14" t="str">
        <x:v>BLOCKED</x:v>
      </x:c>
    </x:row>
    <x:row r="14">
      <x:c r="A14" s="15" t="str">
        <x:v>LG-10</x:v>
      </x:c>
      <x:c r="B14" s="15" t="str">
        <x:v>Evidence and reference estate admitted</x:v>
      </x:c>
      <x:c r="C14" s="15" t="str">
        <x:v>Board packet</x:v>
      </x:c>
      <x:c r="D14" s="15" t="str">
        <x:v>BLOCKED</x:v>
      </x:c>
    </x:row>
    <x:row r="15">
      <x:c r="A15" s="14" t="str">
        <x:v>LG-11</x:v>
      </x:c>
      <x:c r="B15" s="14" t="str">
        <x:v>Transfer ceiling signed</x:v>
      </x:c>
      <x:c r="C15" s="14" t="str">
        <x:v>Board packet</x:v>
      </x:c>
      <x:c r="D15" s="14" t="str">
        <x:v>BLOCKED</x:v>
      </x:c>
    </x:row>
    <x:row r="16">
      <x:c r="A16" s="15" t="str">
        <x:v>LG-12</x:v>
      </x:c>
      <x:c r="B16" s="15" t="str">
        <x:v>OCE-1 accepted</x:v>
      </x:c>
      <x:c r="C16" s="15" t="str">
        <x:v>Board packet</x:v>
      </x:c>
      <x:c r="D16" s="15" t="str">
        <x:v>BLOCKED</x:v>
      </x:c>
    </x:row>
    <x:row r="17">
      <x:c r="A17" s="14" t="str">
        <x:v>LG-13</x:v>
      </x:c>
      <x:c r="B17" s="14" t="str">
        <x:v>RBS-1 authorized</x:v>
      </x:c>
      <x:c r="C17" s="14" t="str">
        <x:v>Board packet</x:v>
      </x:c>
      <x:c r="D17" s="14" t="str">
        <x:v>BLOCKED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16" hidden="0" customWidth="1"/>
  </x:cols>
  <x:sheetData>
    <x:row r="1" ht="27" customHeight="1">
      <x:c r="A1" s="3" t="str">
        <x:v>Workbook audit</x:v>
      </x:c>
    </x:row>
    <x:row r="2" ht="32" customHeight="1">
      <x:c r="A2" s="7" t="str">
        <x:v>Checks read the model. They do not drive calculations.</x:v>
      </x:c>
    </x:row>
    <x:row r="4" ht="28" customHeight="1">
      <x:c r="A4" s="11" t="str">
        <x:v>Check</x:v>
      </x:c>
      <x:c r="B4" s="11" t="str">
        <x:v>Calculated</x:v>
      </x:c>
      <x:c r="C4" s="11" t="str">
        <x:v>Expected</x:v>
      </x:c>
      <x:c r="D4" s="11" t="str">
        <x:v>Status</x:v>
      </x:c>
    </x:row>
    <x:row r="5">
      <x:c r="A5" s="14" t="str">
        <x:v>Rung count</x:v>
      </x:c>
      <x:c r="B5" s="16" t="n">
        <x:f>COUNTA('Rung Ledger'!A5:A20)</x:f>
        <x:v>10</x:v>
      </x:c>
      <x:c r="C5" s="16" t="n">
        <x:v>10</x:v>
      </x:c>
      <x:c r="D5" s="20" t="str">
        <x:f>IF(ABS(B5-C5)&lt;0.0001,"PASS","CHECK")</x:f>
        <x:v>PASS</x:v>
      </x:c>
    </x:row>
    <x:row r="6">
      <x:c r="A6" s="15" t="str">
        <x:v>Candidate trials</x:v>
      </x:c>
      <x:c r="B6" s="17" t="n">
        <x:f>'Resource Reconciliation'!B5</x:f>
        <x:v>3276</x:v>
      </x:c>
      <x:c r="C6" s="17" t="n">
        <x:v>3276</x:v>
      </x:c>
      <x:c r="D6" s="20" t="str">
        <x:f>IF(ABS(B6-C6)&lt;0.0001,"PASS","CHECK")</x:f>
        <x:v>PASS</x:v>
      </x:c>
    </x:row>
    <x:row r="7">
      <x:c r="A7" s="14" t="str">
        <x:v>Qualification cycles</x:v>
      </x:c>
      <x:c r="B7" s="16" t="n">
        <x:f>'Resource Reconciliation'!B6</x:f>
        <x:v>1012</x:v>
      </x:c>
      <x:c r="C7" s="16" t="n">
        <x:v>1012</x:v>
      </x:c>
      <x:c r="D7" s="20" t="str">
        <x:f>IF(ABS(B7-C7)&lt;0.0001,"PASS","CHECK")</x:f>
        <x:v>PASS</x:v>
      </x:c>
    </x:row>
    <x:row r="8">
      <x:c r="A8" s="15" t="str">
        <x:v>Required exact cells</x:v>
      </x:c>
      <x:c r="B8" s="17" t="n">
        <x:f>'Resource Reconciliation'!B7</x:f>
        <x:v>120</x:v>
      </x:c>
      <x:c r="C8" s="17" t="n">
        <x:v>120</x:v>
      </x:c>
      <x:c r="D8" s="20" t="str">
        <x:f>IF(ABS(B8-C8)&lt;0.0001,"PASS","CHECK")</x:f>
        <x:v>PASS</x:v>
      </x:c>
    </x:row>
    <x:row r="9">
      <x:c r="A9" s="14" t="str">
        <x:v>Maximum attempts</x:v>
      </x:c>
      <x:c r="B9" s="16" t="n">
        <x:f>'Resource Reconciliation'!B8</x:f>
        <x:v>160</x:v>
      </x:c>
      <x:c r="C9" s="16" t="n">
        <x:v>160</x:v>
      </x:c>
      <x:c r="D9" s="20" t="str">
        <x:f>IF(ABS(B9-C9)&lt;0.0001,"PASS","CHECK")</x:f>
        <x:v>PASS</x:v>
      </x:c>
    </x:row>
    <x:row r="10">
      <x:c r="A10" s="15" t="str">
        <x:v>Ladder primary weeks</x:v>
      </x:c>
      <x:c r="B10" s="17" t="n">
        <x:f>'Resource Reconciliation'!B9</x:f>
        <x:v>956</x:v>
      </x:c>
      <x:c r="C10" s="17" t="n">
        <x:v>956</x:v>
      </x:c>
      <x:c r="D10" s="20" t="str">
        <x:f>IF(ABS(B10-C10)&lt;0.0001,"PASS","CHECK")</x:f>
        <x:v>PASS</x:v>
      </x:c>
    </x:row>
    <x:row r="11">
      <x:c r="A11" s="14" t="str">
        <x:v>Ladder maximum weeks</x:v>
      </x:c>
      <x:c r="B11" s="16" t="n">
        <x:f>'Resource Reconciliation'!B10</x:f>
        <x:v>990</x:v>
      </x:c>
      <x:c r="C11" s="16" t="n">
        <x:v>990</x:v>
      </x:c>
      <x:c r="D11" s="20" t="str">
        <x:f>IF(ABS(B11-C11)&lt;0.0001,"PASS","CHECK")</x:f>
        <x:v>PASS</x:v>
      </x:c>
    </x:row>
    <x:row r="12">
      <x:c r="A12" s="15" t="str">
        <x:v>Ladder capital</x:v>
      </x:c>
      <x:c r="B12" s="17" t="n">
        <x:f>'Resource Reconciliation'!B11</x:f>
        <x:v>18880</x:v>
      </x:c>
      <x:c r="C12" s="17" t="n">
        <x:v>18880</x:v>
      </x:c>
      <x:c r="D12" s="20" t="str">
        <x:f>IF(ABS(B12-C12)&lt;0.0001,"PASS","CHECK")</x:f>
        <x:v>PASS</x:v>
      </x:c>
    </x:row>
    <x:row r="13">
      <x:c r="A13" s="14" t="str">
        <x:v>Ladder technology</x:v>
      </x:c>
      <x:c r="B13" s="16" t="n">
        <x:f>'Resource Reconciliation'!B12</x:f>
        <x:v>7485</x:v>
      </x:c>
      <x:c r="C13" s="16" t="n">
        <x:v>7485</x:v>
      </x:c>
      <x:c r="D13" s="20" t="str">
        <x:f>IF(ABS(B13-C13)&lt;0.0001,"PASS","CHECK")</x:f>
        <x:v>PASS</x:v>
      </x:c>
    </x:row>
    <x:row r="14">
      <x:c r="A14" s="15" t="str">
        <x:v>Root cells</x:v>
      </x:c>
      <x:c r="B14" s="17" t="n">
        <x:f>COUNTA('Root Matrix'!A5:A120)</x:f>
        <x:v>90</x:v>
      </x:c>
      <x:c r="C14" s="17" t="n">
        <x:v>90</x:v>
      </x:c>
      <x:c r="D14" s="20" t="str">
        <x:f>IF(ABS(B14-C14)&lt;0.0001,"PASS","CHECK")</x:f>
        <x:v>PASS</x:v>
      </x:c>
    </x:row>
    <x:row r="15">
      <x:c r="A15" s="14" t="str">
        <x:v>Transfer obligations</x:v>
      </x:c>
      <x:c r="B15" s="16" t="n">
        <x:f>COUNTA('Transfer Obligations'!A5:A600)</x:f>
        <x:v>540</x:v>
      </x:c>
      <x:c r="C15" s="16" t="n">
        <x:v>540</x:v>
      </x:c>
      <x:c r="D15" s="20" t="str">
        <x:f>IF(ABS(B15-C15)&lt;0.0001,"PASS","CHECK")</x:f>
        <x:v>PASS</x:v>
      </x:c>
    </x:row>
    <x:row r="16">
      <x:c r="A16" s="15" t="str">
        <x:v>Version edges</x:v>
      </x:c>
      <x:c r="B16" s="17" t="n">
        <x:f>COUNTA('Version Edges'!A5:A20)</x:f>
        <x:v>9</x:v>
      </x:c>
      <x:c r="C16" s="17" t="n">
        <x:v>9</x:v>
      </x:c>
      <x:c r="D16" s="20" t="str">
        <x:f>IF(ABS(B16-C16)&lt;0.0001,"PASS","CHECK")</x:f>
        <x:v>PASS</x:v>
      </x:c>
    </x:row>
    <x:row r="17">
      <x:c r="A17" s="14" t="str">
        <x:v>Carriers</x:v>
      </x:c>
      <x:c r="B17" s="16" t="n">
        <x:f>'Translation Totals'!B8</x:f>
        <x:v>18</x:v>
      </x:c>
      <x:c r="C17" s="16" t="n">
        <x:v>18</x:v>
      </x:c>
      <x:c r="D17" s="20" t="str">
        <x:f>IF(ABS(B17-C17)&lt;0.0001,"PASS","CHECK")</x:f>
        <x:v>PASS</x:v>
      </x:c>
    </x:row>
    <x:row r="18">
      <x:c r="A18" s="15" t="str">
        <x:v>Translation cycles</x:v>
      </x:c>
      <x:c r="B18" s="17" t="n">
        <x:f>'Translation Totals'!B5</x:f>
        <x:v>72</x:v>
      </x:c>
      <x:c r="C18" s="17" t="n">
        <x:v>72</x:v>
      </x:c>
      <x:c r="D18" s="20" t="str">
        <x:f>IF(ABS(B18-C18)&lt;0.0001,"PASS","CHECK")</x:f>
        <x:v>PASS</x:v>
      </x:c>
    </x:row>
    <x:row r="19">
      <x:c r="A19" s="14" t="str">
        <x:v>Translation source</x:v>
      </x:c>
      <x:c r="B19" s="16" t="n">
        <x:f>'Translation Totals'!B6</x:f>
        <x:v>17640</x:v>
      </x:c>
      <x:c r="C19" s="16" t="n">
        <x:v>17640</x:v>
      </x:c>
      <x:c r="D19" s="20" t="str">
        <x:f>IF(ABS(B19-C19)&lt;0.0001,"PASS","CHECK")</x:f>
        <x:v>PASS</x:v>
      </x:c>
    </x:row>
    <x:row r="20">
      <x:c r="A20" s="15" t="str">
        <x:v>Translation water</x:v>
      </x:c>
      <x:c r="B20" s="17" t="n">
        <x:f>'Translation Totals'!B7</x:f>
        <x:v>904.3200000000002</x:v>
      </x:c>
      <x:c r="C20" s="17" t="n">
        <x:v>904.32</x:v>
      </x:c>
      <x:c r="D20" s="20" t="str">
        <x:f>IF(ABS(B20-C20)&lt;0.0001,"PASS","CHECK")</x:f>
        <x:v>PASS</x:v>
      </x:c>
    </x:row>
    <x:row r="21">
      <x:c r="A21" s="14" t="str">
        <x:v>Reconstructions</x:v>
      </x:c>
      <x:c r="B21" s="16" t="n">
        <x:f>COUNTA('Reconstruction Decisions'!A5:A400)</x:f>
        <x:v>360</x:v>
      </x:c>
      <x:c r="C21" s="16" t="n">
        <x:v>360</x:v>
      </x:c>
      <x:c r="D21" s="20" t="str">
        <x:f>IF(ABS(B21-C21)&lt;0.0001,"PASS","CHECK")</x:f>
        <x:v>PASS</x:v>
      </x:c>
    </x:row>
    <x:row r="22">
      <x:c r="A22" s="15" t="str">
        <x:v>Contradictions</x:v>
      </x:c>
      <x:c r="B22" s="17" t="n">
        <x:f>COUNTA('Contradiction Cases'!A5:A50)</x:f>
        <x:v>30</x:v>
      </x:c>
      <x:c r="C22" s="17" t="n">
        <x:v>30</x:v>
      </x:c>
      <x:c r="D22" s="20" t="str">
        <x:f>IF(ABS(B22-C22)&lt;0.0001,"PASS","CHECK")</x:f>
        <x:v>PASS</x:v>
      </x:c>
    </x:row>
    <x:row r="23">
      <x:c r="A23" s="14" t="str">
        <x:v>Closure primary weeks</x:v>
      </x:c>
      <x:c r="B23" s="16" t="n">
        <x:f>Schedule!B16</x:f>
        <x:v>78</x:v>
      </x:c>
      <x:c r="C23" s="16" t="n">
        <x:v>78</x:v>
      </x:c>
      <x:c r="D23" s="20" t="str">
        <x:f>IF(ABS(B23-C23)&lt;0.0001,"PASS","CHECK")</x:f>
        <x:v>PASS</x:v>
      </x:c>
    </x:row>
    <x:row r="24">
      <x:c r="A24" s="15" t="str">
        <x:v>Closure maximum weeks</x:v>
      </x:c>
      <x:c r="B24" s="17" t="n">
        <x:f>Schedule!C16</x:f>
        <x:v>84</x:v>
      </x:c>
      <x:c r="C24" s="17" t="n">
        <x:v>84</x:v>
      </x:c>
      <x:c r="D24" s="20" t="str">
        <x:f>IF(ABS(B24-C24)&lt;0.0001,"PASS","CHECK")</x:f>
        <x:v>PASS</x:v>
      </x:c>
    </x:row>
    <x:row r="25">
      <x:c r="A25" s="14" t="str">
        <x:v>Execution positions</x:v>
      </x:c>
      <x:c r="B25" s="16" t="n">
        <x:f>Workforce!B15</x:f>
        <x:v>850</x:v>
      </x:c>
      <x:c r="C25" s="16" t="n">
        <x:v>850</x:v>
      </x:c>
      <x:c r="D25" s="20" t="str">
        <x:f>IF(ABS(B25-C25)&lt;0.0001,"PASS","CHECK")</x:f>
        <x:v>PASS</x:v>
      </x:c>
    </x:row>
    <x:row r="26">
      <x:c r="A26" s="15" t="str">
        <x:v>Capital</x:v>
      </x:c>
      <x:c r="B26" s="17" t="n">
        <x:f>Capital!B15</x:f>
        <x:v>1800</x:v>
      </x:c>
      <x:c r="C26" s="17" t="n">
        <x:v>1800</x:v>
      </x:c>
      <x:c r="D26" s="20" t="str">
        <x:f>IF(ABS(B26-C26)&lt;0.0001,"PASS","CHECK")</x:f>
        <x:v>PASS</x:v>
      </x:c>
    </x:row>
    <x:row r="27">
      <x:c r="A27" s="14" t="str">
        <x:v>Annual support</x:v>
      </x:c>
      <x:c r="B27" s="16" t="n">
        <x:f>'Annual Support'!B13</x:f>
        <x:v>220</x:v>
      </x:c>
      <x:c r="C27" s="16" t="n">
        <x:v>220</x:v>
      </x:c>
      <x:c r="D27" s="20" t="str">
        <x:f>IF(ABS(B27-C27)&lt;0.0001,"PASS","CHECK")</x:f>
        <x:v>PASS</x:v>
      </x:c>
    </x:row>
    <x:row r="28">
      <x:c r="A28" s="15" t="str">
        <x:v>Technology</x:v>
      </x:c>
      <x:c r="B28" s="17" t="n">
        <x:f>Technology!B16</x:f>
        <x:v>750</x:v>
      </x:c>
      <x:c r="C28" s="17" t="n">
        <x:v>750</x:v>
      </x:c>
      <x:c r="D28" s="20" t="str">
        <x:f>IF(ABS(B28-C28)&lt;0.0001,"PASS","CHECK")</x:f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  <x:col min="3" max="3" width="24" hidden="0" customWidth="1"/>
  </x:cols>
  <x:sheetData>
    <x:row r="1" ht="27" customHeight="1">
      <x:c r="A1" s="3" t="str">
        <x:v>Internal source register</x:v>
      </x:c>
    </x:row>
    <x:row r="2" ht="32" customHeight="1">
      <x:c r="A2" s="7" t="str">
        <x:v>No external site is used in this pass.</x:v>
      </x:c>
    </x:row>
    <x:row r="4" ht="28" customHeight="1">
      <x:c r="A4" s="11" t="str">
        <x:v>Source</x:v>
      </x:c>
      <x:c r="B4" s="11" t="str">
        <x:v>Use</x:v>
      </x:c>
      <x:c r="C4" s="11" t="str">
        <x:v>Class</x:v>
      </x:c>
    </x:row>
    <x:row r="5">
      <x:c r="A5" s="14" t="str">
        <x:v>RBG-1</x:v>
      </x:c>
      <x:c r="B5" s="14" t="str">
        <x:v>AM-06 ladder reset</x:v>
      </x:c>
      <x:c r="C5" s="14" t="str">
        <x:v>Internal Markdown</x:v>
      </x:c>
    </x:row>
    <x:row r="6">
      <x:c r="A6" s="15" t="str">
        <x:v>RBH-1 through RBQ-1</x:v>
      </x:c>
      <x:c r="B6" s="15" t="str">
        <x:v>Ten rung constitutions</x:v>
      </x:c>
      <x:c r="C6" s="15" t="str">
        <x:v>Internal Markdown</x:v>
      </x:c>
    </x:row>
    <x:row r="7">
      <x:c r="A7" s="14" t="str">
        <x:v>RAS-1</x:v>
      </x:c>
      <x:c r="B7" s="14" t="str">
        <x:v>Quarter-source safety case</x:v>
      </x:c>
      <x:c r="C7" s="14" t="str">
        <x:v>Internal Markdown</x:v>
      </x:c>
    </x:row>
    <x:row r="8">
      <x:c r="A8" s="15" t="str">
        <x:v>RFP-1</x:v>
      </x:c>
      <x:c r="B8" s="15" t="str">
        <x:v>Full-scale rig specification</x:v>
      </x:c>
      <x:c r="C8" s="15" t="str">
        <x:v>Internal Markdown</x:v>
      </x:c>
    </x:row>
    <x:row r="9">
      <x:c r="A9" s="14" t="str">
        <x:v>Cold reconstruction constitution</x:v>
      </x:c>
      <x:c r="B9" s="14" t="str">
        <x:v>Outside reconstruction authority</x:v>
      </x:c>
      <x:c r="C9" s="14" t="str">
        <x:v>Internal Markdown</x:v>
      </x:c>
    </x:row>
    <x:row r="10">
      <x:c r="A10" s="15" t="str">
        <x:v>RBR-1 workbook</x:v>
      </x:c>
      <x:c r="B10" s="15" t="str">
        <x:v>Closure calculations and registries</x:v>
      </x:c>
      <x:c r="C10" s="15" t="str">
        <x:v>This workbook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74" hidden="0" customWidth="1"/>
  </x:cols>
  <x:sheetData>
    <x:row r="1" ht="27" customHeight="1">
      <x:c r="A1" s="3" t="str">
        <x:v>Workbook guide</x:v>
      </x:c>
    </x:row>
    <x:row r="2" ht="32" customHeight="1">
      <x:c r="A2" s="7" t="str">
        <x:v>Use tabs as one linked closure model. Gold cells are inputs. Green rows are calculated totals.</x:v>
      </x:c>
    </x:row>
    <x:row r="4" ht="28" customHeight="1">
      <x:c r="A4" s="11" t="str">
        <x:v>Section</x:v>
      </x:c>
      <x:c r="B4" s="11" t="str">
        <x:v>Purpose</x:v>
      </x:c>
      <x:c r="C4" s="11" t="str">
        <x:v>Sheets</x:v>
      </x:c>
    </x:row>
    <x:row r="5">
      <x:c r="A5" s="14" t="str">
        <x:v>Ladder</x:v>
      </x:c>
      <x:c r="B5" s="14" t="str">
        <x:v>Reconcile the ten unlike research rungs</x:v>
      </x:c>
      <x:c r="C5" s="14" t="str">
        <x:v>Rung Ledger; Resource Reconciliation; Evidence Totals</x:v>
      </x:c>
    </x:row>
    <x:row r="6">
      <x:c r="A6" s="15" t="str">
        <x:v>Ancestry</x:v>
      </x:c>
      <x:c r="B6" s="15" t="str">
        <x:v>Trace terminal roots and version obligations</x:v>
      </x:c>
      <x:c r="C6" s="15" t="str">
        <x:v>Root Matrix; Transfer Obligations; Version Edges</x:v>
      </x:c>
    </x:row>
    <x:row r="7">
      <x:c r="A7" s="14" t="str">
        <x:v>Physical closure</x:v>
      </x:c>
      <x:c r="B7" s="14" t="str">
        <x:v>Inspect carriers, cycles and external decisions</x:v>
      </x:c>
      <x:c r="C7" s="14" t="str">
        <x:v>Translation Carriers; Translation Cycles; Reconstruction Decisions</x:v>
      </x:c>
    </x:row>
    <x:row r="8">
      <x:c r="A8" s="15" t="str">
        <x:v>Truth protection</x:v>
      </x:c>
      <x:c r="B8" s="15" t="str">
        <x:v>Preserve adverse, invalid and reserve populations</x:v>
      </x:c>
      <x:c r="C8" s="15" t="str">
        <x:v>Contradiction Cases; Adverse Ledger; Reserve Ledger</x:v>
      </x:c>
    </x:row>
    <x:row r="9">
      <x:c r="A9" s="14" t="str">
        <x:v>Transfer</x:v>
      </x:c>
      <x:c r="B9" s="14" t="str">
        <x:v>Separate reference claims from operational exclusions</x:v>
      </x:c>
      <x:c r="C9" s="14" t="str">
        <x:v>Transfer Claims; Transfer Exclusions</x:v>
      </x:c>
    </x:row>
    <x:row r="10">
      <x:c r="A10" s="15" t="str">
        <x:v>Candidate entry</x:v>
      </x:c>
      <x:c r="B10" s="15" t="str">
        <x:v>Define future entry without selecting form</x:v>
      </x:c>
      <x:c r="C10" s="15" t="str">
        <x:v>OCE Dossier; Candidate Families; Entry States</x:v>
      </x:c>
    </x:row>
    <x:row r="11">
      <x:c r="A11" s="14" t="str">
        <x:v>Resources</x:v>
      </x:c>
      <x:c r="B11" s="14" t="str">
        <x:v>Trace schedule, formation and finance</x:v>
      </x:c>
      <x:c r="C11" s="14" t="str">
        <x:v>Schedule through Parent Capacity</x:v>
      </x:c>
    </x:row>
    <x:row r="12">
      <x:c r="A12" s="15" t="str">
        <x:v>Verification</x:v>
      </x:c>
      <x:c r="B12" s="15" t="str">
        <x:v>Review cases, audits and sources</x:v>
      </x:c>
      <x:c r="C12" s="15" t="str">
        <x:v>Sensitivity; Audit; Sources</x:v>
      </x:c>
    </x:row>
  </x:sheetData>
  <x:mergeCells>
    <x:mergeCell ref="A1:C1"/>
    <x:mergeCell ref="A2:C2"/>
  </x:mergeCells>
  <x:pageMargins left="0.7" right="0.7" top="0.75" bottom="0.75" header="0.3" footer="0.3"/>
</x:worksheet>
</file>