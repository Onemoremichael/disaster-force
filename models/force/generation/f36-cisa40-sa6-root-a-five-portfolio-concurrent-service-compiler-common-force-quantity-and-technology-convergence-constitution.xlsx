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89c68bd1b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8f24c4fa085942d5"/>
    <x:sheet xmlns:r="http://schemas.openxmlformats.org/officeDocument/2006/relationships" name="01 Control" sheetId="2" r:id="R04696ca82d6a484b"/>
    <x:sheet xmlns:r="http://schemas.openxmlformats.org/officeDocument/2006/relationships" name="02 Portfolios" sheetId="3" r:id="Rcd482060adf74b6e"/>
    <x:sheet xmlns:r="http://schemas.openxmlformats.org/officeDocument/2006/relationships" name="03 Kernels" sheetId="4" r:id="Re67636c813c9428f"/>
    <x:sheet xmlns:r="http://schemas.openxmlformats.org/officeDocument/2006/relationships" name="04 Common Families" sheetId="5" r:id="Rfd1c14f140b04ce2"/>
    <x:sheet xmlns:r="http://schemas.openxmlformats.org/officeDocument/2006/relationships" name="05 Translation" sheetId="6" r:id="R59af87a720c74059"/>
    <x:sheet xmlns:r="http://schemas.openxmlformats.org/officeDocument/2006/relationships" name="06 Grade Law" sheetId="7" r:id="R4e1fd6f1131842b6"/>
    <x:sheet xmlns:r="http://schemas.openxmlformats.org/officeDocument/2006/relationships" name="07 Worlds" sheetId="8" r:id="Rbc6b0838854343e2"/>
    <x:sheet xmlns:r="http://schemas.openxmlformats.org/officeDocument/2006/relationships" name="08 World Tests" sheetId="9" r:id="Rf3da313b58904218"/>
    <x:sheet xmlns:r="http://schemas.openxmlformats.org/officeDocument/2006/relationships" name="09 Quantity Floor" sheetId="10" r:id="Rd693a25eac4649d1"/>
    <x:sheet xmlns:r="http://schemas.openxmlformats.org/officeDocument/2006/relationships" name="10 Capital Register" sheetId="11" r:id="R9529a8f0460f4e15"/>
    <x:sheet xmlns:r="http://schemas.openxmlformats.org/officeDocument/2006/relationships" name="11 Tech Portfolio" sheetId="12" r:id="Re3c197d47ee44723"/>
    <x:sheet xmlns:r="http://schemas.openxmlformats.org/officeDocument/2006/relationships" name="12 Tech Cadence" sheetId="13" r:id="R0a52e4ebb5824236"/>
    <x:sheet xmlns:r="http://schemas.openxmlformats.org/officeDocument/2006/relationships" name="13 Workforce" sheetId="14" r:id="R13b9bce707934f8e"/>
    <x:sheet xmlns:r="http://schemas.openxmlformats.org/officeDocument/2006/relationships" name="14 Water Energy" sheetId="15" r:id="R0cbd38d073f14f6a"/>
    <x:sheet xmlns:r="http://schemas.openxmlformats.org/officeDocument/2006/relationships" name="15 Corridor Physics" sheetId="16" r:id="R4e16ae19f0e54e26"/>
    <x:sheet xmlns:r="http://schemas.openxmlformats.org/officeDocument/2006/relationships" name="16 Reservation Law" sheetId="17" r:id="R74baed1921384f19"/>
    <x:sheet xmlns:r="http://schemas.openxmlformats.org/officeDocument/2006/relationships" name="17 Closure Queue" sheetId="18" r:id="R577ba4d7f7cd4115"/>
    <x:sheet xmlns:r="http://schemas.openxmlformats.org/officeDocument/2006/relationships" name="18 Admissions" sheetId="19" r:id="R400cd667c99d449c"/>
    <x:sheet xmlns:r="http://schemas.openxmlformats.org/officeDocument/2006/relationships" name="19 Sensitivity" sheetId="20" r:id="Ra40880264d9f439a"/>
    <x:sheet xmlns:r="http://schemas.openxmlformats.org/officeDocument/2006/relationships" name="20 Audits" sheetId="21" r:id="Rbacbeb9cf93646d2"/>
    <x:sheet xmlns:r="http://schemas.openxmlformats.org/officeDocument/2006/relationships" name="21 Sources" sheetId="22" r:id="R206d02df54c8460e"/>
    <x:sheet xmlns:r="http://schemas.openxmlformats.org/officeDocument/2006/relationships" name="22 Glossary" sheetId="23" r:id="R3fbf47bc8f30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"/>
    <x:numFmt numFmtId="202" formatCode="0.000"/>
    <x:numFmt numFmtId="203" formatCode="0.000000"/>
    <x:numFmt numFmtId="204" formatCode="0.0%"/>
    <x:numFmt numFmtId="205" formatCode="0.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42D"/>
      <x:name val="Carlito"/>
    </x:font>
    <x:font>
      <x:b/>
      <x:sz val="11"/>
      <x:color rgb="FFFFFFFF"/>
      <x:name val="Carlito"/>
    </x:font>
    <x:font>
      <x:sz val="10"/>
      <x:color rgb="FF17242D"/>
      <x:name val="Carlito"/>
    </x:font>
    <x:font>
      <x:b/>
      <x:sz val="11"/>
      <x:color rgb="FF17242D"/>
      <x:name val="Carlito"/>
    </x:font>
    <x:font>
      <x:b/>
      <x:sz val="11"/>
      <x:color rgb="FFA33A3A"/>
      <x:name val="Carlito"/>
    </x:font>
    <x:font>
      <x:b/>
      <x:sz val="10"/>
      <x:color rgb="FF17242D"/>
      <x:name val="Carlito"/>
    </x:font>
    <x:font>
      <x:b/>
      <x:sz val="12"/>
      <x:color rgb="FF1724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5"/>
      </x:patternFill>
    </x:fill>
    <x:fill>
      <x:patternFill patternType="solid">
        <x:fgColor rgb="FF1E5A78"/>
      </x:patternFill>
    </x:fill>
    <x:fill>
      <x:patternFill patternType="solid">
        <x:fgColor rgb="FFDDEBF7"/>
      </x:patternFill>
    </x:fill>
    <x:fill>
      <x:patternFill patternType="solid">
        <x:fgColor rgb="FFD7A83E"/>
      </x:patternFill>
    </x:fill>
    <x:fill>
      <x:patternFill patternType="solid">
        <x:fgColor rgb="FFF7E5E5"/>
      </x:patternFill>
    </x:fill>
  </x:fills>
  <x:borders count="8">
    <x:border/>
    <x:border>
      <x:left style="thin">
        <x:color rgb="FFC5D1D8"/>
      </x:left>
      <x:right style="thin">
        <x:color rgb="FFC5D1D8"/>
      </x:right>
      <x:top style="thin">
        <x:color rgb="FFC5D1D8"/>
      </x:top>
      <x:bottom style="thin">
        <x:color rgb="FFC5D1D8"/>
      </x:bottom>
    </x:border>
    <x:border>
      <x:left style="thin">
        <x:color rgb="FFDCE3E7"/>
      </x:left>
      <x:right style="thin">
        <x:color rgb="FFDCE3E7"/>
      </x:right>
      <x:top style="thin">
        <x:color rgb="FFDCE3E7"/>
      </x:top>
      <x:bottom style="thin">
        <x:color rgb="FFDCE3E7"/>
      </x:bottom>
    </x:border>
    <x:border>
      <x:left style="thin">
        <x:color rgb="FF9A782D"/>
      </x:left>
      <x:right style="thin">
        <x:color rgb="FF9A782D"/>
      </x:right>
      <x:top style="thin">
        <x:color rgb="FF9A782D"/>
      </x:top>
      <x:bottom style="thin">
        <x:color rgb="FF9A782D"/>
      </x:bottom>
    </x:border>
    <x:border>
      <x:left style="thin">
        <x:color rgb="FFCCD5DA"/>
      </x:left>
      <x:top style="thin">
        <x:color rgb="FFCCD5DA"/>
      </x:top>
      <x:bottom style="thin">
        <x:color rgb="FFCCD5DA"/>
      </x:bottom>
    </x:border>
    <x:border>
      <x:top style="thin">
        <x:color rgb="FFCCD5DA"/>
      </x:top>
      <x:bottom style="thin">
        <x:color rgb="FFCCD5DA"/>
      </x:bottom>
    </x:border>
    <x:border>
      <x:right style="thin">
        <x:color rgb="FFCCD5DA"/>
      </x:right>
      <x:top style="thin">
        <x:color rgb="FFCCD5DA"/>
      </x:top>
      <x:bottom style="thin">
        <x:color rgb="FFCCD5DA"/>
      </x:bottom>
    </x:border>
    <x:border>
      <x:left style="medium">
        <x:color rgb="FF9A782D"/>
      </x:left>
      <x:right style="medium">
        <x:color rgb="FF9A782D"/>
      </x:right>
      <x:top style="medium">
        <x:color rgb="FF9A782D"/>
      </x:top>
      <x:bottom style="medium">
        <x:color rgb="FF9A782D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2" fontId="4" fillId="0" borderId="2" xfId="0" applyNumberFormat="1" applyFont="1" applyFill="1" applyBorder="1" applyAlignment="1">
      <x:alignment vertical="top" wrapText="1"/>
    </x:xf>
    <x:xf numFmtId="202" fontId="5" fillId="6" borderId="3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7" fillId="6" borderId="7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5" fillId="6" borderId="3" xfId="0" applyNumberFormat="1" applyFont="1" applyFill="1" applyBorder="1"/>
    <x:xf numFmtId="205" fontId="4" fillId="0" borderId="2" xfId="0" applyNumberFormat="1" applyFont="1" applyFill="1" applyBorder="1" applyAlignment="1">
      <x:alignment vertical="top" wrapText="1"/>
    </x:xf>
    <x:xf numFmtId="205" fontId="5" fillId="6" borderId="3" xfId="0" applyNumberFormat="1" applyFont="1" applyFill="1" applyBorder="1"/>
    <x:xf numFmtId="204" fontId="5" fillId="6" borderId="0" xfId="0" applyNumberFormat="1" applyFont="1" applyFill="1" applyBorder="1"/>
    <x:xf numFmtId="205" fontId="5" fillId="6" borderId="0" xfId="0" applyNumberFormat="1" applyFont="1" applyFill="1" applyBorder="1"/>
    <x:xf numFmtId="204" fontId="7" fillId="6" borderId="2" xfId="0" applyNumberFormat="1" applyFont="1" applyFill="1" applyBorder="1" applyAlignment="1">
      <x:alignment vertical="top" wrapText="1"/>
    </x:xf>
    <x:xf numFmtId="204" fontId="4" fillId="5" borderId="2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/>
    </x:xf>
    <x:xf numFmtId="202" fontId="5" fillId="6" borderId="3" xfId="0" applyNumberFormat="1" applyFont="1" applyFill="1" applyBorder="1" applyAlignment="1">
      <x:alignment vertical="top"/>
    </x:xf>
    <x:xf numFmtId="205" fontId="5" fillId="6" borderId="3" xfId="0" applyNumberFormat="1" applyFont="1" applyFill="1" applyBorder="1" applyAlignment="1">
      <x:alignment vertical="top"/>
    </x:xf>
    <x:xf numFmtId="204" fontId="5" fillId="6" borderId="3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204" fontId="5" fillId="6" borderId="0" xfId="0" applyNumberFormat="1" applyFont="1" applyFill="1" applyBorder="1" applyAlignment="1">
      <x:alignment vertical="top"/>
    </x:xf>
    <x:xf numFmtId="205" fontId="5" fillId="6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26734D"/>
      </x:font>
      <x:fill>
        <x:patternFill patternType="solid">
          <x:bgColor rgb="FFD9EAD3"/>
        </x:patternFill>
      </x:fill>
    </x:dxf>
    <x:dxf>
      <x:font>
        <x:b/>
        <x:color rgb="FFA33A3A"/>
      </x:font>
      <x:fill>
        <x:patternFill patternType="solid">
          <x:bgColor rgb="FFF4CCCC"/>
        </x:patternFill>
      </x:fill>
    </x:dxf>
    <x:dxf>
      <x:font>
        <x:b/>
        <x:color rgb="FF26734D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4ce49be4242c7" /><Relationship Type="http://schemas.openxmlformats.org/officeDocument/2006/relationships/theme" Target="/xl/theme/theme1.xml" Id="R5b4a51f884534f6d" /><Relationship Type="http://schemas.openxmlformats.org/officeDocument/2006/relationships/sharedStrings" Target="/xl/sharedStrings.xml" Id="R94dfb2f6e5f6442b" /><Relationship Type="http://schemas.openxmlformats.org/officeDocument/2006/relationships/worksheet" Target="/xl/worksheets/sheet1.xml" Id="R8f24c4fa085942d5" /><Relationship Type="http://schemas.openxmlformats.org/officeDocument/2006/relationships/worksheet" Target="/xl/worksheets/sheet2.xml" Id="R04696ca82d6a484b" /><Relationship Type="http://schemas.openxmlformats.org/officeDocument/2006/relationships/worksheet" Target="/xl/worksheets/sheet3.xml" Id="Rcd482060adf74b6e" /><Relationship Type="http://schemas.openxmlformats.org/officeDocument/2006/relationships/worksheet" Target="/xl/worksheets/sheet4.xml" Id="Re67636c813c9428f" /><Relationship Type="http://schemas.openxmlformats.org/officeDocument/2006/relationships/worksheet" Target="/xl/worksheets/sheet5.xml" Id="Rfd1c14f140b04ce2" /><Relationship Type="http://schemas.openxmlformats.org/officeDocument/2006/relationships/worksheet" Target="/xl/worksheets/sheet6.xml" Id="R59af87a720c74059" /><Relationship Type="http://schemas.openxmlformats.org/officeDocument/2006/relationships/worksheet" Target="/xl/worksheets/sheet7.xml" Id="R4e1fd6f1131842b6" /><Relationship Type="http://schemas.openxmlformats.org/officeDocument/2006/relationships/worksheet" Target="/xl/worksheets/sheet8.xml" Id="Rbc6b0838854343e2" /><Relationship Type="http://schemas.openxmlformats.org/officeDocument/2006/relationships/worksheet" Target="/xl/worksheets/sheet9.xml" Id="Rf3da313b58904218" /><Relationship Type="http://schemas.openxmlformats.org/officeDocument/2006/relationships/worksheet" Target="/xl/worksheets/sheet10.xml" Id="Rd693a25eac4649d1" /><Relationship Type="http://schemas.openxmlformats.org/officeDocument/2006/relationships/worksheet" Target="/xl/worksheets/sheet11.xml" Id="R9529a8f0460f4e15" /><Relationship Type="http://schemas.openxmlformats.org/officeDocument/2006/relationships/worksheet" Target="/xl/worksheets/sheet12.xml" Id="Re3c197d47ee44723" /><Relationship Type="http://schemas.openxmlformats.org/officeDocument/2006/relationships/worksheet" Target="/xl/worksheets/sheet13.xml" Id="R0a52e4ebb5824236" /><Relationship Type="http://schemas.openxmlformats.org/officeDocument/2006/relationships/worksheet" Target="/xl/worksheets/sheet14.xml" Id="R13b9bce707934f8e" /><Relationship Type="http://schemas.openxmlformats.org/officeDocument/2006/relationships/worksheet" Target="/xl/worksheets/sheet15.xml" Id="R0cbd38d073f14f6a" /><Relationship Type="http://schemas.openxmlformats.org/officeDocument/2006/relationships/worksheet" Target="/xl/worksheets/sheet16.xml" Id="R4e16ae19f0e54e26" /><Relationship Type="http://schemas.openxmlformats.org/officeDocument/2006/relationships/worksheet" Target="/xl/worksheets/sheet17.xml" Id="R74baed1921384f19" /><Relationship Type="http://schemas.openxmlformats.org/officeDocument/2006/relationships/worksheet" Target="/xl/worksheets/sheet18.xml" Id="R577ba4d7f7cd4115" /><Relationship Type="http://schemas.openxmlformats.org/officeDocument/2006/relationships/worksheet" Target="/xl/worksheets/sheet19.xml" Id="R400cd667c99d449c" /><Relationship Type="http://schemas.openxmlformats.org/officeDocument/2006/relationships/worksheet" Target="/xl/worksheets/sheet20.xml" Id="Ra40880264d9f439a" /><Relationship Type="http://schemas.openxmlformats.org/officeDocument/2006/relationships/worksheet" Target="/xl/worksheets/sheet21.xml" Id="Rbacbeb9cf93646d2" /><Relationship Type="http://schemas.openxmlformats.org/officeDocument/2006/relationships/worksheet" Target="/xl/worksheets/sheet22.xml" Id="R206d02df54c8460e" /><Relationship Type="http://schemas.openxmlformats.org/officeDocument/2006/relationships/worksheet" Target="/xl/worksheets/sheet23.xml" Id="R3fbf47bc8f304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7A83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70" hidden="0" customWidth="1"/>
  </x:cols>
  <x:sheetData>
    <x:row r="1" ht="28" customHeight="1">
      <x:c r="A1" s="49" t="str">
        <x:v>RBX-1 | Five-Portfolio Common-Force Decision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Known floor, strict translation result, and the next physical campaign. Planning values are not procurement authority.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Decision measure</x:v>
      </x:c>
      <x:c r="B4" s="52" t="str">
        <x:v>Value</x:v>
      </x:c>
      <x:c r="C4" s="52" t="str">
        <x:v>Unit</x:v>
      </x:c>
      <x:c r="D4" s="52" t="str">
        <x:v>Interpretation</x:v>
      </x:c>
      <x:c r="E4" s="51"/>
      <x:c r="F4" s="51"/>
      <x:c r="G4" s="51"/>
      <x:c r="H4" s="51"/>
    </x:row>
    <x:row r="5">
      <x:c r="A5" s="16" t="str">
        <x:v>Effect portfolios</x:v>
      </x:c>
      <x:c r="B5" s="16" t="n">
        <x:v>5</x:v>
      </x:c>
      <x:c r="C5" s="16" t="str">
        <x:v>portfolios</x:v>
      </x:c>
      <x:c r="D5" s="16" t="str">
        <x:v>Fire, flood-water, power-thermal, medical, hard access</x:v>
      </x:c>
      <x:c r="E5" s="51"/>
      <x:c r="F5" s="51"/>
      <x:c r="G5" s="51"/>
      <x:c r="H5" s="51"/>
    </x:row>
    <x:row r="6">
      <x:c r="A6" s="16" t="str">
        <x:v>Reference kernels</x:v>
      </x:c>
      <x:c r="B6" s="16" t="n">
        <x:v>8</x:v>
      </x:c>
      <x:c r="C6" s="16" t="str">
        <x:v>kernels</x:v>
      </x:c>
      <x:c r="D6" s="16" t="str">
        <x:v>Strongest current quantitative anchors</x:v>
      </x:c>
      <x:c r="E6" s="51"/>
      <x:c r="F6" s="51"/>
      <x:c r="G6" s="51"/>
      <x:c r="H6" s="51"/>
    </x:row>
    <x:row r="7">
      <x:c r="A7" s="16" t="str">
        <x:v>Translation cells</x:v>
      </x:c>
      <x:c r="B7" s="16" t="n">
        <x:v>88</x:v>
      </x:c>
      <x:c r="C7" s="16" t="str">
        <x:v>cells</x:v>
      </x:c>
      <x:c r="D7" s="16" t="str">
        <x:v>Eight kernels by eleven families</x:v>
      </x:c>
      <x:c r="E7" s="51"/>
      <x:c r="F7" s="51"/>
      <x:c r="G7" s="51"/>
      <x:c r="H7" s="51"/>
    </x:row>
    <x:row r="8">
      <x:c r="A8" s="16" t="str">
        <x:v>Exact family-bill cells</x:v>
      </x:c>
      <x:c r="B8" s="16" t="n">
        <x:f>COUNTIF('05 Translation'!F5:F92,"G3")</x:f>
        <x:v>11</x:v>
      </x:c>
      <x:c r="C8" s="16" t="str">
        <x:v>cells</x:v>
      </x:c>
      <x:c r="D8" s="16" t="str">
        <x:v>G3 planning definition only</x:v>
      </x:c>
      <x:c r="E8" s="51"/>
      <x:c r="F8" s="51"/>
      <x:c r="G8" s="51"/>
      <x:c r="H8" s="51"/>
    </x:row>
    <x:row r="9">
      <x:c r="A9" s="16" t="str">
        <x:v>Cross-portfolio substitution cells</x:v>
      </x:c>
      <x:c r="B9" s="16" t="n">
        <x:f>COUNTIF('05 Translation'!F5:F92,"G4")</x:f>
        <x:v>0</x:v>
      </x:c>
      <x:c r="C9" s="16" t="str">
        <x:v>cells</x:v>
      </x:c>
      <x:c r="D9" s="16" t="str">
        <x:v>G4 required for quantity credit</x:v>
      </x:c>
      <x:c r="E9" s="51"/>
      <x:c r="F9" s="51"/>
      <x:c r="G9" s="51"/>
      <x:c r="H9" s="51"/>
    </x:row>
    <x:row r="10">
      <x:c r="A10" s="16" t="str">
        <x:v>Known common articles</x:v>
      </x:c>
      <x:c r="B10" s="16" t="n">
        <x:f>'04 Common Families'!D16</x:f>
        <x:v>200752</x:v>
      </x:c>
      <x:c r="C10" s="16" t="str">
        <x:v>articles</x:v>
      </x:c>
      <x:c r="D10" s="16" t="str">
        <x:v>C24-derived conserved floor</x:v>
      </x:c>
      <x:c r="E10" s="51"/>
      <x:c r="F10" s="51"/>
      <x:c r="G10" s="51"/>
      <x:c r="H10" s="51"/>
    </x:row>
    <x:row r="11">
      <x:c r="A11" s="16" t="str">
        <x:v>Known common article capital</x:v>
      </x:c>
      <x:c r="B11" s="16" t="n">
        <x:f>'04 Common Families'!F16</x:f>
        <x:v>1198.4319999999998</x:v>
      </x:c>
      <x:c r="C11" s="16" t="str">
        <x:v>USD B</x:v>
      </x:c>
      <x:c r="D11" s="16" t="str">
        <x:v>Eleven families</x:v>
      </x:c>
      <x:c r="E11" s="51"/>
      <x:c r="F11" s="51"/>
      <x:c r="G11" s="51"/>
      <x:c r="H11" s="51"/>
    </x:row>
    <x:row r="12">
      <x:c r="A12" s="16" t="str">
        <x:v>Common infrastructure and production</x:v>
      </x:c>
      <x:c r="B12" s="16" t="n">
        <x:f>'09 Quantity Floor'!D9</x:f>
        <x:v>450.835746</x:v>
      </x:c>
      <x:c r="C12" s="16" t="str">
        <x:v>USD B</x:v>
      </x:c>
      <x:c r="D12" s="16" t="str">
        <x:v>Stations, production roots, strategic interfaces</x:v>
      </x:c>
      <x:c r="E12" s="51"/>
      <x:c r="F12" s="51"/>
      <x:c r="G12" s="51"/>
      <x:c r="H12" s="51"/>
    </x:row>
    <x:row r="13">
      <x:c r="A13" s="48" t="str">
        <x:v>KNOWN NATIONAL COMMON FORCE FLOOR</x:v>
      </x:c>
      <x:c r="B13" s="48" t="n">
        <x:f>'09 Quantity Floor'!D10</x:f>
        <x:v>1649.2677459999998</x:v>
      </x:c>
      <x:c r="C13" s="48" t="str">
        <x:v>USD B</x:v>
      </x:c>
      <x:c r="D13" s="48" t="str">
        <x:v>Not a ceiling; non-fire demand remains unavailable</x:v>
      </x:c>
      <x:c r="E13" s="51"/>
      <x:c r="F13" s="51"/>
      <x:c r="G13" s="51"/>
      <x:c r="H13" s="51"/>
    </x:row>
    <x:row r="14">
      <x:c r="A14" s="16" t="str">
        <x:v>Admitted cross-portfolio reduction</x:v>
      </x:c>
      <x:c r="B14" s="16" t="n">
        <x:f>'09 Quantity Floor'!D13</x:f>
        <x:v>0</x:v>
      </x:c>
      <x:c r="C14" s="16" t="str">
        <x:v>USD B</x:v>
      </x:c>
      <x:c r="D14" s="16" t="str">
        <x:v>No G4 plus reservation closure</x:v>
      </x:c>
      <x:c r="E14" s="51"/>
      <x:c r="F14" s="51"/>
      <x:c r="G14" s="51"/>
      <x:c r="H14" s="51"/>
    </x:row>
    <x:row r="15">
      <x:c r="A15" s="16" t="str">
        <x:v>Technology-convergence envelope</x:v>
      </x:c>
      <x:c r="B15" s="16" t="n">
        <x:f>'11 Tech Portfolio'!F13</x:f>
        <x:v>1000</x:v>
      </x:c>
      <x:c r="C15" s="16" t="str">
        <x:v>USD B / 25 years</x:v>
      </x:c>
      <x:c r="D15" s="16" t="str">
        <x:v>Eight programs plus 25% failure reserve</x:v>
      </x:c>
      <x:c r="E15" s="51"/>
      <x:c r="F15" s="51"/>
      <x:c r="G15" s="51"/>
      <x:c r="H15" s="51"/>
    </x:row>
    <x:row r="16">
      <x:c r="A16" s="16" t="str">
        <x:v>Next object</x:v>
      </x:c>
      <x:c r="B16" s="16" t="str">
        <x:v>RBY-1</x:v>
      </x:c>
      <x:c r="C16" s="16" t="str">
        <x:v>research</x:v>
      </x:c>
      <x:c r="D16" s="16" t="str">
        <x:v>Power-and-distribution cross-portfolio translation</x:v>
      </x:c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  <x:row r="19" ht="36" customHeight="1">
      <x:c r="A19" s="53" t="str">
        <x:v>DECISION: conserve the floor; admit zero cross-portfolio quantity credit; authorize RBY-1 research only. Procurement, fielding, site selection, and exterior rendering remain blocked.</x:v>
      </x:c>
      <x:c r="B19" s="54"/>
      <x:c r="C19" s="54"/>
      <x:c r="D19" s="54"/>
      <x:c r="E19" s="54"/>
      <x:c r="F19" s="54"/>
      <x:c r="G19" s="54"/>
      <x:c r="H19" s="55"/>
    </x:row>
  </x:sheetData>
  <x:mergeCells>
    <x:mergeCell ref="A1:H1"/>
    <x:mergeCell ref="A2:H2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70" hidden="0" customWidth="1"/>
  </x:cols>
  <x:sheetData>
    <x:row r="1" ht="28" customHeight="1">
      <x:c r="A1" s="49" t="str">
        <x:v>Control Panel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Editable policy, finance, and physical assumptions. Blue cells are declared inputs.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Control</x:v>
      </x:c>
      <x:c r="B4" s="52" t="str">
        <x:v>Value</x:v>
      </x:c>
      <x:c r="C4" s="52" t="str">
        <x:v>Unit</x:v>
      </x:c>
      <x:c r="D4" s="52" t="str">
        <x:v>Status</x:v>
      </x:c>
      <x:c r="E4" s="52" t="str">
        <x:v>Meaning</x:v>
      </x:c>
      <x:c r="F4" s="51"/>
      <x:c r="G4" s="51"/>
      <x:c r="H4" s="51"/>
    </x:row>
    <x:row r="5">
      <x:c r="A5" s="16" t="str">
        <x:v>Technology base</x:v>
      </x:c>
      <x:c r="B5" s="17" t="n">
        <x:v>800</x:v>
      </x:c>
      <x:c r="C5" s="16" t="str">
        <x:v>USD B</x:v>
      </x:c>
      <x:c r="D5" s="16" t="str">
        <x:v>DECLARED</x:v>
      </x:c>
      <x:c r="E5" s="16" t="str">
        <x:v>Eight program allocations before reserve</x:v>
      </x:c>
      <x:c r="F5" s="51"/>
      <x:c r="G5" s="51"/>
      <x:c r="H5" s="51"/>
    </x:row>
    <x:row r="6">
      <x:c r="A6" s="16" t="str">
        <x:v>Failure reserve rate</x:v>
      </x:c>
      <x:c r="B6" s="18" t="n">
        <x:v>0.25</x:v>
      </x:c>
      <x:c r="C6" s="16" t="str">
        <x:v>share</x:v>
      </x:c>
      <x:c r="D6" s="16" t="str">
        <x:v>DECLARED</x:v>
      </x:c>
      <x:c r="E6" s="16" t="str">
        <x:v>Protected for failed architecture, recompete, or scale transition</x:v>
      </x:c>
      <x:c r="F6" s="51"/>
      <x:c r="G6" s="51"/>
      <x:c r="H6" s="51"/>
    </x:row>
    <x:row r="7">
      <x:c r="A7" s="16" t="str">
        <x:v>Reactor electrical output</x:v>
      </x:c>
      <x:c r="B7" s="19" t="n">
        <x:v>1000</x:v>
      </x:c>
      <x:c r="C7" s="16" t="str">
        <x:v>MW</x:v>
      </x:c>
      <x:c r="D7" s="16" t="str">
        <x:v>SCENARIO</x:v>
      </x:c>
      <x:c r="E7" s="16" t="str">
        <x:v>Water-energy quotient only</x:v>
      </x:c>
      <x:c r="F7" s="51"/>
      <x:c r="G7" s="51"/>
      <x:c r="H7" s="51"/>
    </x:row>
    <x:row r="8">
      <x:c r="A8" s="16" t="str">
        <x:v>Plant availability</x:v>
      </x:c>
      <x:c r="B8" s="18" t="n">
        <x:v>0.9</x:v>
      </x:c>
      <x:c r="C8" s="16" t="str">
        <x:v>share</x:v>
      </x:c>
      <x:c r="D8" s="16" t="str">
        <x:v>SCENARIO</x:v>
      </x:c>
      <x:c r="E8" s="16" t="str">
        <x:v>Illustrative steady availability</x:v>
      </x:c>
      <x:c r="F8" s="51"/>
      <x:c r="G8" s="51"/>
      <x:c r="H8" s="51"/>
    </x:row>
    <x:row r="9">
      <x:c r="A9" s="16" t="str">
        <x:v>Plant auxiliaries</x:v>
      </x:c>
      <x:c r="B9" s="18" t="n">
        <x:v>0.12</x:v>
      </x:c>
      <x:c r="C9" s="16" t="str">
        <x:v>share</x:v>
      </x:c>
      <x:c r="D9" s="16" t="str">
        <x:v>SCENARIO</x:v>
      </x:c>
      <x:c r="E9" s="16" t="str">
        <x:v>Fraction of gross output unavailable to process</x:v>
      </x:c>
      <x:c r="F9" s="51"/>
      <x:c r="G9" s="51"/>
      <x:c r="H9" s="51"/>
    </x:row>
    <x:row r="10">
      <x:c r="A10" s="16" t="str">
        <x:v>Pipeline flow velocity</x:v>
      </x:c>
      <x:c r="B10" s="20" t="n">
        <x:v>3</x:v>
      </x:c>
      <x:c r="C10" s="16" t="str">
        <x:v>m/s</x:v>
      </x:c>
      <x:c r="D10" s="16" t="str">
        <x:v>SCENARIO</x:v>
      </x:c>
      <x:c r="E10" s="16" t="str">
        <x:v>Area screen; not hydraulic design</x:v>
      </x:c>
      <x:c r="F10" s="51"/>
      <x:c r="G10" s="51"/>
      <x:c r="H10" s="51"/>
    </x:row>
    <x:row r="11">
      <x:c r="A11" s="16" t="str">
        <x:v>Steel density</x:v>
      </x:c>
      <x:c r="B11" s="20" t="n">
        <x:v>7850</x:v>
      </x:c>
      <x:c r="C11" s="16" t="str">
        <x:v>kg/m3</x:v>
      </x:c>
      <x:c r="D11" s="16" t="str">
        <x:v>PHYSICAL</x:v>
      </x:c>
      <x:c r="E11" s="16" t="str">
        <x:v>Declared material screen</x:v>
      </x:c>
      <x:c r="F11" s="51"/>
      <x:c r="G11" s="51"/>
      <x:c r="H11" s="51"/>
    </x:row>
    <x:row r="12">
      <x:c r="A12" s="16" t="str">
        <x:v>Pipe wall</x:v>
      </x:c>
      <x:c r="B12" s="20" t="n">
        <x:v>0.02</x:v>
      </x:c>
      <x:c r="C12" s="16" t="str">
        <x:v>m</x:v>
      </x:c>
      <x:c r="D12" s="16" t="str">
        <x:v>SCENARIO</x:v>
      </x:c>
      <x:c r="E12" s="16" t="str">
        <x:v>Thin-wall mass approximation</x:v>
      </x:c>
      <x:c r="F12" s="51"/>
      <x:c r="G12" s="51"/>
      <x:c r="H12" s="51"/>
    </x:row>
    <x:row r="13">
      <x:c r="A13" s="16" t="str">
        <x:v>Pipeline length</x:v>
      </x:c>
      <x:c r="B13" s="20" t="n">
        <x:v>100</x:v>
      </x:c>
      <x:c r="C13" s="16" t="str">
        <x:v>km</x:v>
      </x:c>
      <x:c r="D13" s="16" t="str">
        <x:v>SCENARIO</x:v>
      </x:c>
      <x:c r="E13" s="16" t="str">
        <x:v>Material screen</x:v>
      </x:c>
      <x:c r="F13" s="51"/>
      <x:c r="G13" s="51"/>
      <x:c r="H13" s="51"/>
    </x:row>
    <x:row r="14">
      <x:c r="A14" s="16" t="str">
        <x:v>Cross-portfolio credit allowed</x:v>
      </x:c>
      <x:c r="B14" s="17" t="n">
        <x:v>0</x:v>
      </x:c>
      <x:c r="C14" s="16" t="str">
        <x:v>binary</x:v>
      </x:c>
      <x:c r="D14" s="16" t="str">
        <x:v>CONSTITUTED</x:v>
      </x:c>
      <x:c r="E14" s="16" t="str">
        <x:v>Remains zero until G4 plus reservation closure</x:v>
      </x:c>
      <x:c r="F14" s="51"/>
      <x:c r="G14" s="51"/>
      <x:c r="H14" s="51"/>
    </x:row>
    <x:row r="15">
      <x:c r="A15" s="16" t="str">
        <x:v>Technology period</x:v>
      </x:c>
      <x:c r="B15" s="17" t="n">
        <x:v>25</x:v>
      </x:c>
      <x:c r="C15" s="16" t="str">
        <x:v>years</x:v>
      </x:c>
      <x:c r="D15" s="16" t="str">
        <x:v>DECLARED</x:v>
      </x:c>
      <x:c r="E15" s="16" t="str">
        <x:v>Research-policy envelope</x:v>
      </x:c>
      <x:c r="F15" s="51"/>
      <x:c r="G15" s="51"/>
      <x:c r="H15" s="51"/>
    </x:row>
    <x:row r="16">
      <x:c r="A16" s="16" t="str">
        <x:v>Peak technology workforce</x:v>
      </x:c>
      <x:c r="B16" s="17" t="n">
        <x:v>500000</x:v>
      </x:c>
      <x:c r="C16" s="16" t="str">
        <x:v>positions</x:v>
      </x:c>
      <x:c r="D16" s="16" t="str">
        <x:v>DECLARED</x:v>
      </x:c>
      <x:c r="E16" s="16" t="str">
        <x:v>Affiliated enterprise; not a force billet total</x:v>
      </x:c>
      <x:c r="F16" s="51"/>
      <x:c r="G16" s="51"/>
      <x:c r="H16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58" hidden="0" customWidth="1"/>
    <x:col min="4" max="4" width="42" hidden="0" customWidth="1"/>
    <x:col min="5" max="5" width="52" hidden="0" customWidth="1"/>
  </x:cols>
  <x:sheetData>
    <x:row r="1" ht="28" customHeight="1">
      <x:c r="A1" s="49" t="str">
        <x:v>Public-Service Portfolios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Five effects; common support never replaces mission authority.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ID</x:v>
      </x:c>
      <x:c r="B4" s="52" t="str">
        <x:v>Portfolio</x:v>
      </x:c>
      <x:c r="C4" s="52" t="str">
        <x:v>Public-service proposition</x:v>
      </x:c>
      <x:c r="D4" s="52" t="str">
        <x:v>Distinct authority</x:v>
      </x:c>
      <x:c r="E4" s="52" t="str">
        <x:v>Primary failure if reduced to logistics</x:v>
      </x:c>
      <x:c r="F4" s="51"/>
      <x:c r="G4" s="51"/>
      <x:c r="H4" s="51"/>
    </x:row>
    <x:row r="5">
      <x:c r="A5" s="16" t="str">
        <x:v>FIRE</x:v>
      </x:c>
      <x:c r="B5" s="16" t="str">
        <x:v>Fire control</x:v>
      </x:c>
      <x:c r="C5" s="16" t="str">
        <x:v>Hold a defined edge and preserve civilian continuity under denied infrastructure</x:v>
      </x:c>
      <x:c r="D5" s="16" t="str">
        <x:v>Fire-effect and contaminated-return release</x:v>
      </x:c>
      <x:c r="E5" s="16" t="str">
        <x:v>Water or vehicles delivered without controlled effect</x:v>
      </x:c>
      <x:c r="F5" s="51"/>
      <x:c r="G5" s="51"/>
      <x:c r="H5" s="51"/>
    </x:row>
    <x:row r="6">
      <x:c r="A6" s="16" t="str">
        <x:v>WATR</x:v>
      </x:c>
      <x:c r="B6" s="16" t="str">
        <x:v>Flood and water control</x:v>
      </x:c>
      <x:c r="C6" s="16" t="str">
        <x:v>Prevent, remove, redirect, treat, store, and lawfully discharge water</x:v>
      </x:c>
      <x:c r="D6" s="16" t="str">
        <x:v>Hydraulic, water-quality, and environmental release</x:v>
      </x:c>
      <x:c r="E6" s="16" t="str">
        <x:v>Pump nameplate without basin or receiver effect</x:v>
      </x:c>
      <x:c r="F6" s="51"/>
      <x:c r="G6" s="51"/>
      <x:c r="H6" s="51"/>
    </x:row>
    <x:row r="7">
      <x:c r="A7" s="16" t="str">
        <x:v>POWR</x:v>
      </x:c>
      <x:c r="B7" s="16" t="str">
        <x:v>Power and thermal service</x:v>
      </x:c>
      <x:c r="C7" s="16" t="str">
        <x:v>Deliver stable electricity, cooling or heat, black start, and safe connection</x:v>
      </x:c>
      <x:c r="D7" s="16" t="str">
        <x:v>Electrical and thermal technical release</x:v>
      </x:c>
      <x:c r="E7" s="16" t="str">
        <x:v>Megawatts without protected usable service</x:v>
      </x:c>
      <x:c r="F7" s="51"/>
      <x:c r="G7" s="51"/>
      <x:c r="H7" s="51"/>
    </x:row>
    <x:row r="8">
      <x:c r="A8" s="16" t="str">
        <x:v>HLTH</x:v>
      </x:c>
      <x:c r="B8" s="16" t="str">
        <x:v>Medical continuity</x:v>
      </x:c>
      <x:c r="C8" s="16" t="str">
        <x:v>Regulate, treat, move, and sustain patients through system loss</x:v>
      </x:c>
      <x:c r="D8" s="16" t="str">
        <x:v>Clinical, infection-control, referral, and discharge authority</x:v>
      </x:c>
      <x:c r="E8" s="16" t="str">
        <x:v>Beds or seats without staffed care</x:v>
      </x:c>
      <x:c r="F8" s="51"/>
      <x:c r="G8" s="51"/>
      <x:c r="H8" s="51"/>
    </x:row>
    <x:row r="9">
      <x:c r="A9" s="16" t="str">
        <x:v>ACCS</x:v>
      </x:c>
      <x:c r="B9" s="16" t="str">
        <x:v>Hard access and logistics</x:v>
      </x:c>
      <x:c r="C9" s="16" t="str">
        <x:v>Establish complete service across failed routes and receivers</x:v>
      </x:c>
      <x:c r="D9" s="16" t="str">
        <x:v>Mode safety, route, receiver, and service-entry release</x:v>
      </x:c>
      <x:c r="E9" s="16" t="str">
        <x:v>Tonnes arriving without a lawful usable interface</x:v>
      </x:c>
      <x:c r="F9" s="51"/>
      <x:c r="G9" s="51"/>
      <x:c r="H9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24" hidden="0" customWidth="1"/>
    <x:col min="8" max="8" width="20" hidden="0" customWidth="1"/>
    <x:col min="9" max="9" width="36" hidden="0" customWidth="1"/>
    <x:col min="10" max="10" width="30" hidden="0" customWidth="1"/>
  </x:cols>
  <x:sheetData>
    <x:row r="1" ht="28" customHeight="1">
      <x:c r="A1" s="49" t="str">
        <x:v>Reference Operating Kernels</x:v>
      </x:c>
      <x:c r="B1" s="49"/>
      <x:c r="C1" s="49"/>
      <x:c r="D1" s="49"/>
      <x:c r="E1" s="49"/>
      <x:c r="F1" s="49"/>
      <x:c r="G1" s="49"/>
      <x:c r="H1" s="49"/>
      <x:c r="I1" s="51"/>
      <x:c r="J1" s="51"/>
    </x:row>
    <x:row r="2" ht="32" customHeight="1">
      <x:c r="A2" s="50" t="str">
        <x:v>Eight quantitative anchors with distinct scopes and evidence maturity.</x:v>
      </x:c>
      <x:c r="B2" s="50"/>
      <x:c r="C2" s="50"/>
      <x:c r="D2" s="50"/>
      <x:c r="E2" s="50"/>
      <x:c r="F2" s="50"/>
      <x:c r="G2" s="50"/>
      <x:c r="H2" s="50"/>
      <x:c r="I2" s="51"/>
      <x:c r="J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>
      <x:c r="A4" s="52" t="str">
        <x:v>Kernel ID</x:v>
      </x:c>
      <x:c r="B4" s="52" t="str">
        <x:v>Kernel</x:v>
      </x:c>
      <x:c r="C4" s="52" t="str">
        <x:v>Portfolio</x:v>
      </x:c>
      <x:c r="D4" s="52" t="str">
        <x:v>Planning quantity</x:v>
      </x:c>
      <x:c r="E4" s="52" t="str">
        <x:v>Quantity unit</x:v>
      </x:c>
      <x:c r="F4" s="52" t="str">
        <x:v>Physical quantity</x:v>
      </x:c>
      <x:c r="G4" s="52" t="str">
        <x:v>Physical unit</x:v>
      </x:c>
      <x:c r="H4" s="52" t="str">
        <x:v>Deployed or gross people</x:v>
      </x:c>
      <x:c r="I4" s="52" t="str">
        <x:v>Principal measure</x:v>
      </x:c>
      <x:c r="J4" s="52" t="str">
        <x:v>Compiler maturity</x:v>
      </x:c>
    </x:row>
    <x:row r="5">
      <x:c r="A5" s="16" t="str">
        <x:v>K01</x:v>
      </x:c>
      <x:c r="B5" s="16" t="str">
        <x:v>C24</x:v>
      </x:c>
      <x:c r="C5" s="16" t="str">
        <x:v>FIRE</x:v>
      </x:c>
      <x:c r="D5" s="16" t="n">
        <x:v>24</x:v>
      </x:c>
      <x:c r="E5" s="16" t="str">
        <x:v>groups</x:v>
      </x:c>
      <x:c r="F5" s="16" t="n">
        <x:v>256</x:v>
      </x:c>
      <x:c r="G5" s="16" t="str">
        <x:v>system bodies</x:v>
      </x:c>
      <x:c r="H5" s="16" t="n">
        <x:v>429440</x:v>
      </x:c>
      <x:c r="I5" s="16" t="str">
        <x:v>Exact 11-family national-common bill</x:v>
      </x:c>
      <x:c r="J5" s="16" t="str">
        <x:v>G3 family definition</x:v>
      </x:c>
    </x:row>
    <x:row r="6">
      <x:c r="A6" s="16" t="str">
        <x:v>K02</x:v>
      </x:c>
      <x:c r="B6" s="16" t="str">
        <x:v>FIN</x:v>
      </x:c>
      <x:c r="C6" s="16" t="str">
        <x:v>WATR</x:v>
      </x:c>
      <x:c r="D6" s="16" t="n">
        <x:v>40</x:v>
      </x:c>
      <x:c r="E6" s="16" t="str">
        <x:v>cells</x:v>
      </x:c>
      <x:c r="F6" s="16" t="n">
        <x:v>12682</x:v>
      </x:c>
      <x:c r="G6" s="16" t="str">
        <x:v>dry t/cell</x:v>
      </x:c>
      <x:c r="H6" s="16" t="n">
        <x:v>3447</x:v>
      </x:c>
      <x:c r="I6" s="16" t="str">
        <x:v>7 m3/s nominal</x:v>
      </x:c>
      <x:c r="J6" s="16" t="str">
        <x:v>No family bill</x:v>
      </x:c>
    </x:row>
    <x:row r="7">
      <x:c r="A7" s="16" t="str">
        <x:v>K03</x:v>
      </x:c>
      <x:c r="B7" s="16" t="str">
        <x:v>Inland HCG-100</x:v>
      </x:c>
      <x:c r="C7" s="16" t="str">
        <x:v>WATR</x:v>
      </x:c>
      <x:c r="D7" s="16" t="n">
        <x:v>10</x:v>
      </x:c>
      <x:c r="E7" s="16" t="str">
        <x:v>groups</x:v>
      </x:c>
      <x:c r="F7" s="16" t="n">
        <x:v>79391</x:v>
      </x:c>
      <x:c r="G7" s="16" t="str">
        <x:v>dry t/group</x:v>
      </x:c>
      <x:c r="H7" s="16" t="n">
        <x:v>7039</x:v>
      </x:c>
      <x:c r="I7" s="16" t="str">
        <x:v>100 m3/s; 30 MW</x:v>
      </x:c>
      <x:c r="J7" s="16" t="str">
        <x:v>No family bill</x:v>
      </x:c>
    </x:row>
    <x:row r="8">
      <x:c r="A8" s="16" t="str">
        <x:v>K04</x:v>
      </x:c>
      <x:c r="B8" s="16" t="str">
        <x:v>Coastal HCG-100</x:v>
      </x:c>
      <x:c r="C8" s="16" t="str">
        <x:v>WATR</x:v>
      </x:c>
      <x:c r="D8" s="16" t="n">
        <x:v>6</x:v>
      </x:c>
      <x:c r="E8" s="16" t="str">
        <x:v>groups</x:v>
      </x:c>
      <x:c r="F8" s="16" t="n">
        <x:v>73912</x:v>
      </x:c>
      <x:c r="G8" s="16" t="str">
        <x:v>dry t/group</x:v>
      </x:c>
      <x:c r="H8" s="16" t="n">
        <x:v>7166</x:v>
      </x:c>
      <x:c r="I8" s="16" t="str">
        <x:v>104 m3/s</x:v>
      </x:c>
      <x:c r="J8" s="16" t="str">
        <x:v>No family bill</x:v>
      </x:c>
    </x:row>
    <x:row r="9">
      <x:c r="A9" s="16" t="str">
        <x:v>K05</x:v>
      </x:c>
      <x:c r="B9" s="16" t="str">
        <x:v>PRG-100</x:v>
      </x:c>
      <x:c r="C9" s="16" t="str">
        <x:v>POWR</x:v>
      </x:c>
      <x:c r="D9" s="16" t="n">
        <x:v>108</x:v>
      </x:c>
      <x:c r="E9" s="16" t="str">
        <x:v>groups</x:v>
      </x:c>
      <x:c r="F9" s="16" t="n">
        <x:v>18331.92</x:v>
      </x:c>
      <x:c r="G9" s="16" t="str">
        <x:v>dry t/group</x:v>
      </x:c>
      <x:c r="H9" s="16" t="n">
        <x:v>2796</x:v>
      </x:c>
      <x:c r="I9" s="16" t="str">
        <x:v>100 MW net; 140 MW source</x:v>
      </x:c>
      <x:c r="J9" s="16" t="str">
        <x:v>No common-family translation</x:v>
      </x:c>
    </x:row>
    <x:row r="10">
      <x:c r="A10" s="16" t="str">
        <x:v>K06</x:v>
      </x:c>
      <x:c r="B10" s="16" t="str">
        <x:v>H-THC</x:v>
      </x:c>
      <x:c r="C10" s="16" t="str">
        <x:v>HLTH</x:v>
      </x:c>
      <x:c r="D10" s="16" t="n">
        <x:v>52</x:v>
      </x:c>
      <x:c r="E10" s="16" t="str">
        <x:v>commands</x:v>
      </x:c>
      <x:c r="F10" s="16" t="n">
        <x:v>3500</x:v>
      </x:c>
      <x:c r="G10" s="16" t="str">
        <x:v>deployable t/command</x:v>
      </x:c>
      <x:c r="H10" s="16" t="n">
        <x:v>900</x:v>
      </x:c>
      <x:c r="I10" s="16" t="str">
        <x:v>Bounded medical proxy</x:v>
      </x:c>
      <x:c r="J10" s="16" t="str">
        <x:v>No family bill</x:v>
      </x:c>
    </x:row>
    <x:row r="11">
      <x:c r="A11" s="16" t="str">
        <x:v>K07</x:v>
      </x:c>
      <x:c r="B11" s="16" t="str">
        <x:v>H-PMG</x:v>
      </x:c>
      <x:c r="C11" s="16" t="str">
        <x:v>HLTH</x:v>
      </x:c>
      <x:c r="D11" s="16" t="n">
        <x:v>91</x:v>
      </x:c>
      <x:c r="E11" s="16" t="str">
        <x:v>groups</x:v>
      </x:c>
      <x:c r="F11" s="16" t="n">
        <x:v>5500</x:v>
      </x:c>
      <x:c r="G11" s="16" t="str">
        <x:v>deployable t/group</x:v>
      </x:c>
      <x:c r="H11" s="16" t="n">
        <x:v>650</x:v>
      </x:c>
      <x:c r="I11" s="16" t="str">
        <x:v>Bounded patient-mobility proxy</x:v>
      </x:c>
      <x:c r="J11" s="16" t="str">
        <x:v>No family bill</x:v>
      </x:c>
    </x:row>
    <x:row r="12">
      <x:c r="A12" s="16" t="str">
        <x:v>K08</x:v>
      </x:c>
      <x:c r="B12" s="16" t="str">
        <x:v>TAFG-1</x:v>
      </x:c>
      <x:c r="C12" s="16" t="str">
        <x:v>ACCS</x:v>
      </x:c>
      <x:c r="D12" s="16" t="n">
        <x:v>22</x:v>
      </x:c>
      <x:c r="E12" s="16" t="str">
        <x:v>assigned groups</x:v>
      </x:c>
      <x:c r="F12" s="16" t="n">
        <x:v>1670</x:v>
      </x:c>
      <x:c r="G12" s="16" t="str">
        <x:v>fielded payload t/group</x:v>
      </x:c>
      <x:c r="H12" s="16" t="n">
        <x:v>488</x:v>
      </x:c>
      <x:c r="I12" s="16" t="str">
        <x:v>2 service cells + corridor; 144 h reset</x:v>
      </x:c>
      <x:c r="J12" s="16" t="str">
        <x:v>No family translation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</x:cols>
  <x:sheetData>
    <x:row r="1" ht="28" customHeight="1">
      <x:c r="A1" s="49" t="str">
        <x:v>Initial National-Common Families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Exact C24-derived holdings and article capital; this is a known floor.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ID</x:v>
      </x:c>
      <x:c r="B4" s="52" t="str">
        <x:v>Family</x:v>
      </x:c>
      <x:c r="C4" s="52" t="str">
        <x:v>Capability</x:v>
      </x:c>
      <x:c r="D4" s="52" t="str">
        <x:v>Known quantity</x:v>
      </x:c>
      <x:c r="E4" s="52" t="str">
        <x:v>Unit capital USD M</x:v>
      </x:c>
      <x:c r="F4" s="52" t="str">
        <x:v>Article capital USD B</x:v>
      </x:c>
      <x:c r="G4" s="52" t="str">
        <x:v>Source</x:v>
      </x:c>
      <x:c r="H4" s="52" t="str">
        <x:v>Cross-credit state</x:v>
      </x:c>
    </x:row>
    <x:row r="5">
      <x:c r="A5" s="16" t="str">
        <x:v>CF01</x:v>
      </x:c>
      <x:c r="B5" s="16" t="str">
        <x:v>ENG-5/7</x:v>
      </x:c>
      <x:c r="C5" s="16" t="str">
        <x:v>Energy island</x:v>
      </x:c>
      <x:c r="D5" s="16" t="n">
        <x:v>1824</x:v>
      </x:c>
      <x:c r="E5" s="24" t="n">
        <x:v>180</x:v>
      </x:c>
      <x:c r="F5" s="24" t="n">
        <x:f>D5*E5/1000</x:f>
        <x:v>328.32</x:v>
      </x:c>
      <x:c r="G5" s="16" t="str">
        <x:v>RBW-1 C24</x:v>
      </x:c>
      <x:c r="H5" s="16" t="str">
        <x:v>NONE</x:v>
      </x:c>
    </x:row>
    <x:row r="6">
      <x:c r="A6" s="16" t="str">
        <x:v>CF02</x:v>
      </x:c>
      <x:c r="B6" s="16" t="str">
        <x:v>PWR-20</x:v>
      </x:c>
      <x:c r="C6" s="16" t="str">
        <x:v>Protected distribution</x:v>
      </x:c>
      <x:c r="D6" s="16" t="n">
        <x:v>6080</x:v>
      </x:c>
      <x:c r="E6" s="24" t="n">
        <x:v>20</x:v>
      </x:c>
      <x:c r="F6" s="24" t="n">
        <x:f>D6*E6/1000</x:f>
        <x:v>121.6</x:v>
      </x:c>
      <x:c r="G6" s="16" t="str">
        <x:v>RBW-1 C24</x:v>
      </x:c>
      <x:c r="H6" s="16" t="str">
        <x:v>NONE</x:v>
      </x:c>
    </x:row>
    <x:row r="7">
      <x:c r="A7" s="16" t="str">
        <x:v>CF03</x:v>
      </x:c>
      <x:c r="B7" s="16" t="str">
        <x:v>LCN-12</x:v>
      </x:c>
      <x:c r="C7" s="16" t="str">
        <x:v>Disconnected local command</x:v>
      </x:c>
      <x:c r="D7" s="16" t="n">
        <x:v>3648</x:v>
      </x:c>
      <x:c r="E7" s="24" t="n">
        <x:v>8</x:v>
      </x:c>
      <x:c r="F7" s="24" t="n">
        <x:f>D7*E7/1000</x:f>
        <x:v>29.184</x:v>
      </x:c>
      <x:c r="G7" s="16" t="str">
        <x:v>RBW-1 C24</x:v>
      </x:c>
      <x:c r="H7" s="16" t="str">
        <x:v>NONE</x:v>
      </x:c>
    </x:row>
    <x:row r="8">
      <x:c r="A8" s="16" t="str">
        <x:v>CF04</x:v>
      </x:c>
      <x:c r="B8" s="16" t="str">
        <x:v>SCN-2</x:v>
      </x:c>
      <x:c r="C8" s="16" t="str">
        <x:v>Multi-set coordination</x:v>
      </x:c>
      <x:c r="D8" s="16" t="n">
        <x:v>608</x:v>
      </x:c>
      <x:c r="E8" s="24" t="n">
        <x:v>60</x:v>
      </x:c>
      <x:c r="F8" s="24" t="n">
        <x:f>D8*E8/1000</x:f>
        <x:v>36.48</x:v>
      </x:c>
      <x:c r="G8" s="16" t="str">
        <x:v>RBW-1 C24</x:v>
      </x:c>
      <x:c r="H8" s="16" t="str">
        <x:v>NONE</x:v>
      </x:c>
    </x:row>
    <x:row r="9">
      <x:c r="A9" s="16" t="str">
        <x:v>CF05</x:v>
      </x:c>
      <x:c r="B9" s="16" t="str">
        <x:v>RES-6</x:v>
      </x:c>
      <x:c r="C9" s="16" t="str">
        <x:v>Rescue and stabilization</x:v>
      </x:c>
      <x:c r="D9" s="16" t="n">
        <x:v>1824</x:v>
      </x:c>
      <x:c r="E9" s="24" t="n">
        <x:v>40</x:v>
      </x:c>
      <x:c r="F9" s="24" t="n">
        <x:f>D9*E9/1000</x:f>
        <x:v>72.96</x:v>
      </x:c>
      <x:c r="G9" s="16" t="str">
        <x:v>RBW-1 C24</x:v>
      </x:c>
      <x:c r="H9" s="16" t="str">
        <x:v>NONE</x:v>
      </x:c>
    </x:row>
    <x:row r="10">
      <x:c r="A10" s="16" t="str">
        <x:v>CF06</x:v>
      </x:c>
      <x:c r="B10" s="16" t="str">
        <x:v>REP-6</x:v>
      </x:c>
      <x:c r="C10" s="16" t="str">
        <x:v>Field repair</x:v>
      </x:c>
      <x:c r="D10" s="16" t="n">
        <x:v>1680</x:v>
      </x:c>
      <x:c r="E10" s="24" t="n">
        <x:v>50</x:v>
      </x:c>
      <x:c r="F10" s="24" t="n">
        <x:f>D10*E10/1000</x:f>
        <x:v>84</x:v>
      </x:c>
      <x:c r="G10" s="16" t="str">
        <x:v>RBW-1 C24</x:v>
      </x:c>
      <x:c r="H10" s="16" t="str">
        <x:v>NONE</x:v>
      </x:c>
    </x:row>
    <x:row r="11">
      <x:c r="A11" s="16" t="str">
        <x:v>CF07</x:v>
      </x:c>
      <x:c r="B11" s="16" t="str">
        <x:v>SPR-24</x:v>
      </x:c>
      <x:c r="C11" s="16" t="str">
        <x:v>Serialized repair pack</x:v>
      </x:c>
      <x:c r="D11" s="16" t="n">
        <x:v>6144</x:v>
      </x:c>
      <x:c r="E11" s="24" t="n">
        <x:v>20</x:v>
      </x:c>
      <x:c r="F11" s="24" t="n">
        <x:f>D11*E11/1000</x:f>
        <x:v>122.88</x:v>
      </x:c>
      <x:c r="G11" s="16" t="str">
        <x:v>RBW-1 C24</x:v>
      </x:c>
      <x:c r="H11" s="16" t="str">
        <x:v>NONE</x:v>
      </x:c>
    </x:row>
    <x:row r="12">
      <x:c r="A12" s="16" t="str">
        <x:v>CF08</x:v>
      </x:c>
      <x:c r="B12" s="16" t="str">
        <x:v>HAB-24</x:v>
      </x:c>
      <x:c r="C12" s="16" t="str">
        <x:v>Crew sustainment</x:v>
      </x:c>
      <x:c r="D12" s="16" t="n">
        <x:v>6144</x:v>
      </x:c>
      <x:c r="E12" s="24" t="n">
        <x:v>12</x:v>
      </x:c>
      <x:c r="F12" s="24" t="n">
        <x:f>D12*E12/1000</x:f>
        <x:v>73.728</x:v>
      </x:c>
      <x:c r="G12" s="16" t="str">
        <x:v>RBW-1 C24</x:v>
      </x:c>
      <x:c r="H12" s="16" t="str">
        <x:v>NONE</x:v>
      </x:c>
    </x:row>
    <x:row r="13">
      <x:c r="A13" s="16" t="str">
        <x:v>CF09</x:v>
      </x:c>
      <x:c r="B13" s="16" t="str">
        <x:v>TIA-30</x:v>
      </x:c>
      <x:c r="C13" s="16" t="str">
        <x:v>Transport-interface adapter</x:v>
      </x:c>
      <x:c r="D13" s="16" t="n">
        <x:v>9120</x:v>
      </x:c>
      <x:c r="E13" s="24" t="n">
        <x:v>6</x:v>
      </x:c>
      <x:c r="F13" s="24" t="n">
        <x:f>D13*E13/1000</x:f>
        <x:v>54.72</x:v>
      </x:c>
      <x:c r="G13" s="16" t="str">
        <x:v>RBW-1 C24</x:v>
      </x:c>
      <x:c r="H13" s="16" t="str">
        <x:v>NONE</x:v>
      </x:c>
    </x:row>
    <x:row r="14">
      <x:c r="A14" s="16" t="str">
        <x:v>CF10</x:v>
      </x:c>
      <x:c r="B14" s="16" t="str">
        <x:v>PM-30</x:v>
      </x:c>
      <x:c r="C14" s="16" t="str">
        <x:v>Prime mover</x:v>
      </x:c>
      <x:c r="D14" s="16" t="n">
        <x:v>84480</x:v>
      </x:c>
      <x:c r="E14" s="24" t="n">
        <x:v>2.5</x:v>
      </x:c>
      <x:c r="F14" s="24" t="n">
        <x:f>D14*E14/1000</x:f>
        <x:v>211.2</x:v>
      </x:c>
      <x:c r="G14" s="16" t="str">
        <x:v>RBW-1 C24</x:v>
      </x:c>
      <x:c r="H14" s="16" t="str">
        <x:v>NONE</x:v>
      </x:c>
    </x:row>
    <x:row r="15">
      <x:c r="A15" s="16" t="str">
        <x:v>CF11</x:v>
      </x:c>
      <x:c r="B15" s="16" t="str">
        <x:v>LF-30</x:v>
      </x:c>
      <x:c r="C15" s="16" t="str">
        <x:v>Governed load frame</x:v>
      </x:c>
      <x:c r="D15" s="16" t="n">
        <x:v>79200</x:v>
      </x:c>
      <x:c r="E15" s="24" t="n">
        <x:v>0.8</x:v>
      </x:c>
      <x:c r="F15" s="24" t="n">
        <x:f>D15*E15/1000</x:f>
        <x:v>63.36</x:v>
      </x:c>
      <x:c r="G15" s="16" t="str">
        <x:v>RBW-1 C24</x:v>
      </x:c>
      <x:c r="H15" s="16" t="str">
        <x:v>NONE</x:v>
      </x:c>
    </x:row>
    <x:row r="16">
      <x:c r="A16" s="56" t="str">
        <x:v>TOTAL / KNOWN ARTICLE FLOOR</x:v>
      </x:c>
      <x:c r="B16" s="56"/>
      <x:c r="C16" s="56"/>
      <x:c r="D16" s="56" t="n">
        <x:f>SUM(D5:D15)</x:f>
        <x:v>200752</x:v>
      </x:c>
      <x:c r="E16" s="57"/>
      <x:c r="F16" s="57" t="n">
        <x:f>SUM(F5:F15)</x:f>
        <x:v>1198.4319999999998</x:v>
      </x:c>
      <x:c r="G16" s="56"/>
      <x:c r="H16" s="56"/>
    </x:row>
  </x:sheetData>
  <x:mergeCells>
    <x:mergeCell ref="A1:H1"/>
    <x:mergeCell ref="A2:H2"/>
    <x:mergeCell ref="A16:E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6" hidden="0" customWidth="1"/>
    <x:col min="6" max="6" width="10" hidden="0" customWidth="1"/>
    <x:col min="7" max="7" width="56" hidden="0" customWidth="1"/>
    <x:col min="8" max="8" width="16" hidden="0" customWidth="1"/>
  </x:cols>
  <x:sheetData>
    <x:row r="1" ht="28" customHeight="1">
      <x:c r="A1" s="49" t="str">
        <x:v>Kernel-to-Family Translation Register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Eighty-eight cells. Grade G4 alone can support cross-portfolio quantity credit.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Kernel ID</x:v>
      </x:c>
      <x:c r="B4" s="52" t="str">
        <x:v>Kernel</x:v>
      </x:c>
      <x:c r="C4" s="52" t="str">
        <x:v>Portfolio</x:v>
      </x:c>
      <x:c r="D4" s="52" t="str">
        <x:v>Family ID</x:v>
      </x:c>
      <x:c r="E4" s="52" t="str">
        <x:v>Family</x:v>
      </x:c>
      <x:c r="F4" s="52" t="str">
        <x:v>Grade</x:v>
      </x:c>
      <x:c r="G4" s="52" t="str">
        <x:v>Basis / missing object</x:v>
      </x:c>
      <x:c r="H4" s="52" t="str">
        <x:v>Credit eligible</x:v>
      </x:c>
    </x:row>
    <x:row r="5">
      <x:c r="A5" s="16" t="str">
        <x:v>K01</x:v>
      </x:c>
      <x:c r="B5" s="16" t="str">
        <x:v>C24</x:v>
      </x:c>
      <x:c r="C5" s="16" t="str">
        <x:v>FIRE</x:v>
      </x:c>
      <x:c r="D5" s="16" t="str">
        <x:v>CF01</x:v>
      </x:c>
      <x:c r="E5" s="16" t="str">
        <x:v>ENG-5/7</x:v>
      </x:c>
      <x:c r="F5" s="16" t="str">
        <x:v>G3</x:v>
      </x:c>
      <x:c r="G5" s="16" t="str">
        <x:v>Exact fire family bill; no cross-mission substitution</x:v>
      </x:c>
      <x:c r="H5" s="16" t="n">
        <x:f>IF(F5="G4",1,0)</x:f>
        <x:v>0</x:v>
      </x:c>
    </x:row>
    <x:row r="6">
      <x:c r="A6" s="16" t="str">
        <x:v>K01</x:v>
      </x:c>
      <x:c r="B6" s="16" t="str">
        <x:v>C24</x:v>
      </x:c>
      <x:c r="C6" s="16" t="str">
        <x:v>FIRE</x:v>
      </x:c>
      <x:c r="D6" s="16" t="str">
        <x:v>CF02</x:v>
      </x:c>
      <x:c r="E6" s="16" t="str">
        <x:v>PWR-20</x:v>
      </x:c>
      <x:c r="F6" s="16" t="str">
        <x:v>G3</x:v>
      </x:c>
      <x:c r="G6" s="16" t="str">
        <x:v>Exact fire family bill; no cross-mission substitution</x:v>
      </x:c>
      <x:c r="H6" s="16" t="n">
        <x:f>IF(F6="G5",1,0)</x:f>
        <x:v>0</x:v>
      </x:c>
    </x:row>
    <x:row r="7">
      <x:c r="A7" s="16" t="str">
        <x:v>K01</x:v>
      </x:c>
      <x:c r="B7" s="16" t="str">
        <x:v>C24</x:v>
      </x:c>
      <x:c r="C7" s="16" t="str">
        <x:v>FIRE</x:v>
      </x:c>
      <x:c r="D7" s="16" t="str">
        <x:v>CF03</x:v>
      </x:c>
      <x:c r="E7" s="16" t="str">
        <x:v>LCN-12</x:v>
      </x:c>
      <x:c r="F7" s="16" t="str">
        <x:v>G3</x:v>
      </x:c>
      <x:c r="G7" s="16" t="str">
        <x:v>Exact fire family bill; no cross-mission substitution</x:v>
      </x:c>
      <x:c r="H7" s="16" t="n">
        <x:f>IF(F7="G6",1,0)</x:f>
        <x:v>0</x:v>
      </x:c>
    </x:row>
    <x:row r="8">
      <x:c r="A8" s="16" t="str">
        <x:v>K01</x:v>
      </x:c>
      <x:c r="B8" s="16" t="str">
        <x:v>C24</x:v>
      </x:c>
      <x:c r="C8" s="16" t="str">
        <x:v>FIRE</x:v>
      </x:c>
      <x:c r="D8" s="16" t="str">
        <x:v>CF04</x:v>
      </x:c>
      <x:c r="E8" s="16" t="str">
        <x:v>SCN-2</x:v>
      </x:c>
      <x:c r="F8" s="16" t="str">
        <x:v>G3</x:v>
      </x:c>
      <x:c r="G8" s="16" t="str">
        <x:v>Exact fire family bill; no cross-mission substitution</x:v>
      </x:c>
      <x:c r="H8" s="16" t="n">
        <x:f>IF(F8="G7",1,0)</x:f>
        <x:v>0</x:v>
      </x:c>
    </x:row>
    <x:row r="9">
      <x:c r="A9" s="16" t="str">
        <x:v>K01</x:v>
      </x:c>
      <x:c r="B9" s="16" t="str">
        <x:v>C24</x:v>
      </x:c>
      <x:c r="C9" s="16" t="str">
        <x:v>FIRE</x:v>
      </x:c>
      <x:c r="D9" s="16" t="str">
        <x:v>CF05</x:v>
      </x:c>
      <x:c r="E9" s="16" t="str">
        <x:v>RES-6</x:v>
      </x:c>
      <x:c r="F9" s="16" t="str">
        <x:v>G3</x:v>
      </x:c>
      <x:c r="G9" s="16" t="str">
        <x:v>Exact fire family bill; no cross-mission substitution</x:v>
      </x:c>
      <x:c r="H9" s="16" t="n">
        <x:f>IF(F9="G8",1,0)</x:f>
        <x:v>0</x:v>
      </x:c>
    </x:row>
    <x:row r="10">
      <x:c r="A10" s="16" t="str">
        <x:v>K01</x:v>
      </x:c>
      <x:c r="B10" s="16" t="str">
        <x:v>C24</x:v>
      </x:c>
      <x:c r="C10" s="16" t="str">
        <x:v>FIRE</x:v>
      </x:c>
      <x:c r="D10" s="16" t="str">
        <x:v>CF06</x:v>
      </x:c>
      <x:c r="E10" s="16" t="str">
        <x:v>REP-6</x:v>
      </x:c>
      <x:c r="F10" s="16" t="str">
        <x:v>G3</x:v>
      </x:c>
      <x:c r="G10" s="16" t="str">
        <x:v>Exact fire family bill; no cross-mission substitution</x:v>
      </x:c>
      <x:c r="H10" s="16" t="n">
        <x:f>IF(F10="G9",1,0)</x:f>
        <x:v>0</x:v>
      </x:c>
    </x:row>
    <x:row r="11">
      <x:c r="A11" s="16" t="str">
        <x:v>K01</x:v>
      </x:c>
      <x:c r="B11" s="16" t="str">
        <x:v>C24</x:v>
      </x:c>
      <x:c r="C11" s="16" t="str">
        <x:v>FIRE</x:v>
      </x:c>
      <x:c r="D11" s="16" t="str">
        <x:v>CF07</x:v>
      </x:c>
      <x:c r="E11" s="16" t="str">
        <x:v>SPR-24</x:v>
      </x:c>
      <x:c r="F11" s="16" t="str">
        <x:v>G3</x:v>
      </x:c>
      <x:c r="G11" s="16" t="str">
        <x:v>Exact fire family bill; no cross-mission substitution</x:v>
      </x:c>
      <x:c r="H11" s="16" t="n">
        <x:f>IF(F11="G10",1,0)</x:f>
        <x:v>0</x:v>
      </x:c>
    </x:row>
    <x:row r="12">
      <x:c r="A12" s="16" t="str">
        <x:v>K01</x:v>
      </x:c>
      <x:c r="B12" s="16" t="str">
        <x:v>C24</x:v>
      </x:c>
      <x:c r="C12" s="16" t="str">
        <x:v>FIRE</x:v>
      </x:c>
      <x:c r="D12" s="16" t="str">
        <x:v>CF08</x:v>
      </x:c>
      <x:c r="E12" s="16" t="str">
        <x:v>HAB-24</x:v>
      </x:c>
      <x:c r="F12" s="16" t="str">
        <x:v>G3</x:v>
      </x:c>
      <x:c r="G12" s="16" t="str">
        <x:v>Exact fire family bill; no cross-mission substitution</x:v>
      </x:c>
      <x:c r="H12" s="16" t="n">
        <x:f>IF(F12="G11",1,0)</x:f>
        <x:v>0</x:v>
      </x:c>
    </x:row>
    <x:row r="13">
      <x:c r="A13" s="16" t="str">
        <x:v>K01</x:v>
      </x:c>
      <x:c r="B13" s="16" t="str">
        <x:v>C24</x:v>
      </x:c>
      <x:c r="C13" s="16" t="str">
        <x:v>FIRE</x:v>
      </x:c>
      <x:c r="D13" s="16" t="str">
        <x:v>CF09</x:v>
      </x:c>
      <x:c r="E13" s="16" t="str">
        <x:v>TIA-30</x:v>
      </x:c>
      <x:c r="F13" s="16" t="str">
        <x:v>G3</x:v>
      </x:c>
      <x:c r="G13" s="16" t="str">
        <x:v>Exact fire family bill; no cross-mission substitution</x:v>
      </x:c>
      <x:c r="H13" s="16" t="n">
        <x:f>IF(F13="G12",1,0)</x:f>
        <x:v>0</x:v>
      </x:c>
    </x:row>
    <x:row r="14">
      <x:c r="A14" s="16" t="str">
        <x:v>K01</x:v>
      </x:c>
      <x:c r="B14" s="16" t="str">
        <x:v>C24</x:v>
      </x:c>
      <x:c r="C14" s="16" t="str">
        <x:v>FIRE</x:v>
      </x:c>
      <x:c r="D14" s="16" t="str">
        <x:v>CF10</x:v>
      </x:c>
      <x:c r="E14" s="16" t="str">
        <x:v>PM-30</x:v>
      </x:c>
      <x:c r="F14" s="16" t="str">
        <x:v>G3</x:v>
      </x:c>
      <x:c r="G14" s="16" t="str">
        <x:v>Exact fire family bill; no cross-mission substitution</x:v>
      </x:c>
      <x:c r="H14" s="16" t="n">
        <x:f>IF(F14="G13",1,0)</x:f>
        <x:v>0</x:v>
      </x:c>
    </x:row>
    <x:row r="15">
      <x:c r="A15" s="16" t="str">
        <x:v>K01</x:v>
      </x:c>
      <x:c r="B15" s="16" t="str">
        <x:v>C24</x:v>
      </x:c>
      <x:c r="C15" s="16" t="str">
        <x:v>FIRE</x:v>
      </x:c>
      <x:c r="D15" s="16" t="str">
        <x:v>CF11</x:v>
      </x:c>
      <x:c r="E15" s="16" t="str">
        <x:v>LF-30</x:v>
      </x:c>
      <x:c r="F15" s="16" t="str">
        <x:v>G3</x:v>
      </x:c>
      <x:c r="G15" s="16" t="str">
        <x:v>Exact fire family bill; no cross-mission substitution</x:v>
      </x:c>
      <x:c r="H15" s="16" t="n">
        <x:f>IF(F15="G14",1,0)</x:f>
        <x:v>0</x:v>
      </x:c>
    </x:row>
    <x:row r="16">
      <x:c r="A16" s="16" t="str">
        <x:v>K02</x:v>
      </x:c>
      <x:c r="B16" s="16" t="str">
        <x:v>FIN</x:v>
      </x:c>
      <x:c r="C16" s="16" t="str">
        <x:v>WATR</x:v>
      </x:c>
      <x:c r="D16" s="16" t="str">
        <x:v>CF01</x:v>
      </x:c>
      <x:c r="E16" s="16" t="str">
        <x:v>ENG-5/7</x:v>
      </x:c>
      <x:c r="F16" s="16" t="str">
        <x:v>G0</x:v>
      </x:c>
      <x:c r="G16" s="16" t="str">
        <x:v>Exact common-family bill absent</x:v>
      </x:c>
      <x:c r="H16" s="16" t="n">
        <x:f>IF(F16="G15",1,0)</x:f>
        <x:v>0</x:v>
      </x:c>
    </x:row>
    <x:row r="17">
      <x:c r="A17" s="16" t="str">
        <x:v>K02</x:v>
      </x:c>
      <x:c r="B17" s="16" t="str">
        <x:v>FIN</x:v>
      </x:c>
      <x:c r="C17" s="16" t="str">
        <x:v>WATR</x:v>
      </x:c>
      <x:c r="D17" s="16" t="str">
        <x:v>CF02</x:v>
      </x:c>
      <x:c r="E17" s="16" t="str">
        <x:v>PWR-20</x:v>
      </x:c>
      <x:c r="F17" s="16" t="str">
        <x:v>G0</x:v>
      </x:c>
      <x:c r="G17" s="16" t="str">
        <x:v>Exact common-family bill absent</x:v>
      </x:c>
      <x:c r="H17" s="16" t="n">
        <x:f>IF(F17="G16",1,0)</x:f>
        <x:v>0</x:v>
      </x:c>
    </x:row>
    <x:row r="18">
      <x:c r="A18" s="16" t="str">
        <x:v>K02</x:v>
      </x:c>
      <x:c r="B18" s="16" t="str">
        <x:v>FIN</x:v>
      </x:c>
      <x:c r="C18" s="16" t="str">
        <x:v>WATR</x:v>
      </x:c>
      <x:c r="D18" s="16" t="str">
        <x:v>CF03</x:v>
      </x:c>
      <x:c r="E18" s="16" t="str">
        <x:v>LCN-12</x:v>
      </x:c>
      <x:c r="F18" s="16" t="str">
        <x:v>G0</x:v>
      </x:c>
      <x:c r="G18" s="16" t="str">
        <x:v>Exact common-family bill absent</x:v>
      </x:c>
      <x:c r="H18" s="16" t="n">
        <x:f>IF(F18="G17",1,0)</x:f>
        <x:v>0</x:v>
      </x:c>
    </x:row>
    <x:row r="19">
      <x:c r="A19" s="16" t="str">
        <x:v>K02</x:v>
      </x:c>
      <x:c r="B19" s="16" t="str">
        <x:v>FIN</x:v>
      </x:c>
      <x:c r="C19" s="16" t="str">
        <x:v>WATR</x:v>
      </x:c>
      <x:c r="D19" s="16" t="str">
        <x:v>CF04</x:v>
      </x:c>
      <x:c r="E19" s="16" t="str">
        <x:v>SCN-2</x:v>
      </x:c>
      <x:c r="F19" s="16" t="str">
        <x:v>G0</x:v>
      </x:c>
      <x:c r="G19" s="16" t="str">
        <x:v>Exact common-family bill absent</x:v>
      </x:c>
      <x:c r="H19" s="16" t="n">
        <x:f>IF(F19="G18",1,0)</x:f>
        <x:v>0</x:v>
      </x:c>
    </x:row>
    <x:row r="20">
      <x:c r="A20" s="16" t="str">
        <x:v>K02</x:v>
      </x:c>
      <x:c r="B20" s="16" t="str">
        <x:v>FIN</x:v>
      </x:c>
      <x:c r="C20" s="16" t="str">
        <x:v>WATR</x:v>
      </x:c>
      <x:c r="D20" s="16" t="str">
        <x:v>CF05</x:v>
      </x:c>
      <x:c r="E20" s="16" t="str">
        <x:v>RES-6</x:v>
      </x:c>
      <x:c r="F20" s="16" t="str">
        <x:v>G0</x:v>
      </x:c>
      <x:c r="G20" s="16" t="str">
        <x:v>Exact common-family bill absent</x:v>
      </x:c>
      <x:c r="H20" s="16" t="n">
        <x:f>IF(F20="G19",1,0)</x:f>
        <x:v>0</x:v>
      </x:c>
    </x:row>
    <x:row r="21">
      <x:c r="A21" s="16" t="str">
        <x:v>K02</x:v>
      </x:c>
      <x:c r="B21" s="16" t="str">
        <x:v>FIN</x:v>
      </x:c>
      <x:c r="C21" s="16" t="str">
        <x:v>WATR</x:v>
      </x:c>
      <x:c r="D21" s="16" t="str">
        <x:v>CF06</x:v>
      </x:c>
      <x:c r="E21" s="16" t="str">
        <x:v>REP-6</x:v>
      </x:c>
      <x:c r="F21" s="16" t="str">
        <x:v>G0</x:v>
      </x:c>
      <x:c r="G21" s="16" t="str">
        <x:v>Exact common-family bill absent</x:v>
      </x:c>
      <x:c r="H21" s="16" t="n">
        <x:f>IF(F21="G20",1,0)</x:f>
        <x:v>0</x:v>
      </x:c>
    </x:row>
    <x:row r="22">
      <x:c r="A22" s="16" t="str">
        <x:v>K02</x:v>
      </x:c>
      <x:c r="B22" s="16" t="str">
        <x:v>FIN</x:v>
      </x:c>
      <x:c r="C22" s="16" t="str">
        <x:v>WATR</x:v>
      </x:c>
      <x:c r="D22" s="16" t="str">
        <x:v>CF07</x:v>
      </x:c>
      <x:c r="E22" s="16" t="str">
        <x:v>SPR-24</x:v>
      </x:c>
      <x:c r="F22" s="16" t="str">
        <x:v>G0</x:v>
      </x:c>
      <x:c r="G22" s="16" t="str">
        <x:v>Exact common-family bill absent</x:v>
      </x:c>
      <x:c r="H22" s="16" t="n">
        <x:f>IF(F22="G21",1,0)</x:f>
        <x:v>0</x:v>
      </x:c>
    </x:row>
    <x:row r="23">
      <x:c r="A23" s="16" t="str">
        <x:v>K02</x:v>
      </x:c>
      <x:c r="B23" s="16" t="str">
        <x:v>FIN</x:v>
      </x:c>
      <x:c r="C23" s="16" t="str">
        <x:v>WATR</x:v>
      </x:c>
      <x:c r="D23" s="16" t="str">
        <x:v>CF08</x:v>
      </x:c>
      <x:c r="E23" s="16" t="str">
        <x:v>HAB-24</x:v>
      </x:c>
      <x:c r="F23" s="16" t="str">
        <x:v>G0</x:v>
      </x:c>
      <x:c r="G23" s="16" t="str">
        <x:v>Exact common-family bill absent</x:v>
      </x:c>
      <x:c r="H23" s="16" t="n">
        <x:f>IF(F23="G22",1,0)</x:f>
        <x:v>0</x:v>
      </x:c>
    </x:row>
    <x:row r="24">
      <x:c r="A24" s="16" t="str">
        <x:v>K02</x:v>
      </x:c>
      <x:c r="B24" s="16" t="str">
        <x:v>FIN</x:v>
      </x:c>
      <x:c r="C24" s="16" t="str">
        <x:v>WATR</x:v>
      </x:c>
      <x:c r="D24" s="16" t="str">
        <x:v>CF09</x:v>
      </x:c>
      <x:c r="E24" s="16" t="str">
        <x:v>TIA-30</x:v>
      </x:c>
      <x:c r="F24" s="16" t="str">
        <x:v>G0</x:v>
      </x:c>
      <x:c r="G24" s="16" t="str">
        <x:v>Exact common-family bill absent</x:v>
      </x:c>
      <x:c r="H24" s="16" t="n">
        <x:f>IF(F24="G23",1,0)</x:f>
        <x:v>0</x:v>
      </x:c>
    </x:row>
    <x:row r="25">
      <x:c r="A25" s="16" t="str">
        <x:v>K02</x:v>
      </x:c>
      <x:c r="B25" s="16" t="str">
        <x:v>FIN</x:v>
      </x:c>
      <x:c r="C25" s="16" t="str">
        <x:v>WATR</x:v>
      </x:c>
      <x:c r="D25" s="16" t="str">
        <x:v>CF10</x:v>
      </x:c>
      <x:c r="E25" s="16" t="str">
        <x:v>PM-30</x:v>
      </x:c>
      <x:c r="F25" s="16" t="str">
        <x:v>G0</x:v>
      </x:c>
      <x:c r="G25" s="16" t="str">
        <x:v>Exact common-family bill absent</x:v>
      </x:c>
      <x:c r="H25" s="16" t="n">
        <x:f>IF(F25="G24",1,0)</x:f>
        <x:v>0</x:v>
      </x:c>
    </x:row>
    <x:row r="26">
      <x:c r="A26" s="16" t="str">
        <x:v>K02</x:v>
      </x:c>
      <x:c r="B26" s="16" t="str">
        <x:v>FIN</x:v>
      </x:c>
      <x:c r="C26" s="16" t="str">
        <x:v>WATR</x:v>
      </x:c>
      <x:c r="D26" s="16" t="str">
        <x:v>CF11</x:v>
      </x:c>
      <x:c r="E26" s="16" t="str">
        <x:v>LF-30</x:v>
      </x:c>
      <x:c r="F26" s="16" t="str">
        <x:v>G0</x:v>
      </x:c>
      <x:c r="G26" s="16" t="str">
        <x:v>Exact common-family bill absent</x:v>
      </x:c>
      <x:c r="H26" s="16" t="n">
        <x:f>IF(F26="G25",1,0)</x:f>
        <x:v>0</x:v>
      </x:c>
    </x:row>
    <x:row r="27">
      <x:c r="A27" s="16" t="str">
        <x:v>K03</x:v>
      </x:c>
      <x:c r="B27" s="16" t="str">
        <x:v>Inland HCG-100</x:v>
      </x:c>
      <x:c r="C27" s="16" t="str">
        <x:v>WATR</x:v>
      </x:c>
      <x:c r="D27" s="16" t="str">
        <x:v>CF01</x:v>
      </x:c>
      <x:c r="E27" s="16" t="str">
        <x:v>ENG-5/7</x:v>
      </x:c>
      <x:c r="F27" s="16" t="str">
        <x:v>G1</x:v>
      </x:c>
      <x:c r="G27" s="16" t="str">
        <x:v>30 MW carried-power measure</x:v>
      </x:c>
      <x:c r="H27" s="16" t="n">
        <x:f>IF(F27="G26",1,0)</x:f>
        <x:v>0</x:v>
      </x:c>
    </x:row>
    <x:row r="28">
      <x:c r="A28" s="16" t="str">
        <x:v>K03</x:v>
      </x:c>
      <x:c r="B28" s="16" t="str">
        <x:v>Inland HCG-100</x:v>
      </x:c>
      <x:c r="C28" s="16" t="str">
        <x:v>WATR</x:v>
      </x:c>
      <x:c r="D28" s="16" t="str">
        <x:v>CF02</x:v>
      </x:c>
      <x:c r="E28" s="16" t="str">
        <x:v>PWR-20</x:v>
      </x:c>
      <x:c r="F28" s="16" t="str">
        <x:v>G1</x:v>
      </x:c>
      <x:c r="G28" s="16" t="str">
        <x:v>Pump distribution relation measured</x:v>
      </x:c>
      <x:c r="H28" s="16" t="n">
        <x:f>IF(F28="G27",1,0)</x:f>
        <x:v>0</x:v>
      </x:c>
    </x:row>
    <x:row r="29">
      <x:c r="A29" s="16" t="str">
        <x:v>K03</x:v>
      </x:c>
      <x:c r="B29" s="16" t="str">
        <x:v>Inland HCG-100</x:v>
      </x:c>
      <x:c r="C29" s="16" t="str">
        <x:v>WATR</x:v>
      </x:c>
      <x:c r="D29" s="16" t="str">
        <x:v>CF03</x:v>
      </x:c>
      <x:c r="E29" s="16" t="str">
        <x:v>LCN-12</x:v>
      </x:c>
      <x:c r="F29" s="16" t="str">
        <x:v>G0</x:v>
      </x:c>
      <x:c r="G29" s="16" t="str">
        <x:v>Exact common-family bill absent</x:v>
      </x:c>
      <x:c r="H29" s="16" t="n">
        <x:f>IF(F29="G28",1,0)</x:f>
        <x:v>0</x:v>
      </x:c>
    </x:row>
    <x:row r="30">
      <x:c r="A30" s="16" t="str">
        <x:v>K03</x:v>
      </x:c>
      <x:c r="B30" s="16" t="str">
        <x:v>Inland HCG-100</x:v>
      </x:c>
      <x:c r="C30" s="16" t="str">
        <x:v>WATR</x:v>
      </x:c>
      <x:c r="D30" s="16" t="str">
        <x:v>CF04</x:v>
      </x:c>
      <x:c r="E30" s="16" t="str">
        <x:v>SCN-2</x:v>
      </x:c>
      <x:c r="F30" s="16" t="str">
        <x:v>G0</x:v>
      </x:c>
      <x:c r="G30" s="16" t="str">
        <x:v>Exact common-family bill absent</x:v>
      </x:c>
      <x:c r="H30" s="16" t="n">
        <x:f>IF(F30="G29",1,0)</x:f>
        <x:v>0</x:v>
      </x:c>
    </x:row>
    <x:row r="31">
      <x:c r="A31" s="16" t="str">
        <x:v>K03</x:v>
      </x:c>
      <x:c r="B31" s="16" t="str">
        <x:v>Inland HCG-100</x:v>
      </x:c>
      <x:c r="C31" s="16" t="str">
        <x:v>WATR</x:v>
      </x:c>
      <x:c r="D31" s="16" t="str">
        <x:v>CF05</x:v>
      </x:c>
      <x:c r="E31" s="16" t="str">
        <x:v>RES-6</x:v>
      </x:c>
      <x:c r="F31" s="16" t="str">
        <x:v>G0</x:v>
      </x:c>
      <x:c r="G31" s="16" t="str">
        <x:v>Exact common-family bill absent</x:v>
      </x:c>
      <x:c r="H31" s="16" t="n">
        <x:f>IF(F31="G30",1,0)</x:f>
        <x:v>0</x:v>
      </x:c>
    </x:row>
    <x:row r="32">
      <x:c r="A32" s="16" t="str">
        <x:v>K03</x:v>
      </x:c>
      <x:c r="B32" s="16" t="str">
        <x:v>Inland HCG-100</x:v>
      </x:c>
      <x:c r="C32" s="16" t="str">
        <x:v>WATR</x:v>
      </x:c>
      <x:c r="D32" s="16" t="str">
        <x:v>CF06</x:v>
      </x:c>
      <x:c r="E32" s="16" t="str">
        <x:v>REP-6</x:v>
      </x:c>
      <x:c r="F32" s="16" t="str">
        <x:v>G0</x:v>
      </x:c>
      <x:c r="G32" s="16" t="str">
        <x:v>Exact common-family bill absent</x:v>
      </x:c>
      <x:c r="H32" s="16" t="n">
        <x:f>IF(F32="G31",1,0)</x:f>
        <x:v>0</x:v>
      </x:c>
    </x:row>
    <x:row r="33">
      <x:c r="A33" s="16" t="str">
        <x:v>K03</x:v>
      </x:c>
      <x:c r="B33" s="16" t="str">
        <x:v>Inland HCG-100</x:v>
      </x:c>
      <x:c r="C33" s="16" t="str">
        <x:v>WATR</x:v>
      </x:c>
      <x:c r="D33" s="16" t="str">
        <x:v>CF07</x:v>
      </x:c>
      <x:c r="E33" s="16" t="str">
        <x:v>SPR-24</x:v>
      </x:c>
      <x:c r="F33" s="16" t="str">
        <x:v>G0</x:v>
      </x:c>
      <x:c r="G33" s="16" t="str">
        <x:v>Exact common-family bill absent</x:v>
      </x:c>
      <x:c r="H33" s="16" t="n">
        <x:f>IF(F33="G32",1,0)</x:f>
        <x:v>0</x:v>
      </x:c>
    </x:row>
    <x:row r="34">
      <x:c r="A34" s="16" t="str">
        <x:v>K03</x:v>
      </x:c>
      <x:c r="B34" s="16" t="str">
        <x:v>Inland HCG-100</x:v>
      </x:c>
      <x:c r="C34" s="16" t="str">
        <x:v>WATR</x:v>
      </x:c>
      <x:c r="D34" s="16" t="str">
        <x:v>CF08</x:v>
      </x:c>
      <x:c r="E34" s="16" t="str">
        <x:v>HAB-24</x:v>
      </x:c>
      <x:c r="F34" s="16" t="str">
        <x:v>G0</x:v>
      </x:c>
      <x:c r="G34" s="16" t="str">
        <x:v>Exact common-family bill absent</x:v>
      </x:c>
      <x:c r="H34" s="16" t="n">
        <x:f>IF(F34="G33",1,0)</x:f>
        <x:v>0</x:v>
      </x:c>
    </x:row>
    <x:row r="35">
      <x:c r="A35" s="16" t="str">
        <x:v>K03</x:v>
      </x:c>
      <x:c r="B35" s="16" t="str">
        <x:v>Inland HCG-100</x:v>
      </x:c>
      <x:c r="C35" s="16" t="str">
        <x:v>WATR</x:v>
      </x:c>
      <x:c r="D35" s="16" t="str">
        <x:v>CF09</x:v>
      </x:c>
      <x:c r="E35" s="16" t="str">
        <x:v>TIA-30</x:v>
      </x:c>
      <x:c r="F35" s="16" t="str">
        <x:v>G0</x:v>
      </x:c>
      <x:c r="G35" s="16" t="str">
        <x:v>Exact common-family bill absent</x:v>
      </x:c>
      <x:c r="H35" s="16" t="n">
        <x:f>IF(F35="G34",1,0)</x:f>
        <x:v>0</x:v>
      </x:c>
    </x:row>
    <x:row r="36">
      <x:c r="A36" s="16" t="str">
        <x:v>K03</x:v>
      </x:c>
      <x:c r="B36" s="16" t="str">
        <x:v>Inland HCG-100</x:v>
      </x:c>
      <x:c r="C36" s="16" t="str">
        <x:v>WATR</x:v>
      </x:c>
      <x:c r="D36" s="16" t="str">
        <x:v>CF10</x:v>
      </x:c>
      <x:c r="E36" s="16" t="str">
        <x:v>PM-30</x:v>
      </x:c>
      <x:c r="F36" s="16" t="str">
        <x:v>G0</x:v>
      </x:c>
      <x:c r="G36" s="16" t="str">
        <x:v>Exact common-family bill absent</x:v>
      </x:c>
      <x:c r="H36" s="16" t="n">
        <x:f>IF(F36="G35",1,0)</x:f>
        <x:v>0</x:v>
      </x:c>
    </x:row>
    <x:row r="37">
      <x:c r="A37" s="16" t="str">
        <x:v>K03</x:v>
      </x:c>
      <x:c r="B37" s="16" t="str">
        <x:v>Inland HCG-100</x:v>
      </x:c>
      <x:c r="C37" s="16" t="str">
        <x:v>WATR</x:v>
      </x:c>
      <x:c r="D37" s="16" t="str">
        <x:v>CF11</x:v>
      </x:c>
      <x:c r="E37" s="16" t="str">
        <x:v>LF-30</x:v>
      </x:c>
      <x:c r="F37" s="16" t="str">
        <x:v>G0</x:v>
      </x:c>
      <x:c r="G37" s="16" t="str">
        <x:v>Exact common-family bill absent</x:v>
      </x:c>
      <x:c r="H37" s="16" t="n">
        <x:f>IF(F37="G36",1,0)</x:f>
        <x:v>0</x:v>
      </x:c>
    </x:row>
    <x:row r="38">
      <x:c r="A38" s="16" t="str">
        <x:v>K04</x:v>
      </x:c>
      <x:c r="B38" s="16" t="str">
        <x:v>Coastal HCG-100</x:v>
      </x:c>
      <x:c r="C38" s="16" t="str">
        <x:v>WATR</x:v>
      </x:c>
      <x:c r="D38" s="16" t="str">
        <x:v>CF01</x:v>
      </x:c>
      <x:c r="E38" s="16" t="str">
        <x:v>ENG-5/7</x:v>
      </x:c>
      <x:c r="F38" s="16" t="str">
        <x:v>G1</x:v>
      </x:c>
      <x:c r="G38" s="16" t="str">
        <x:v>Power relation reported; exact family bill absent</x:v>
      </x:c>
      <x:c r="H38" s="16" t="n">
        <x:f>IF(F38="G37",1,0)</x:f>
        <x:v>0</x:v>
      </x:c>
    </x:row>
    <x:row r="39">
      <x:c r="A39" s="16" t="str">
        <x:v>K04</x:v>
      </x:c>
      <x:c r="B39" s="16" t="str">
        <x:v>Coastal HCG-100</x:v>
      </x:c>
      <x:c r="C39" s="16" t="str">
        <x:v>WATR</x:v>
      </x:c>
      <x:c r="D39" s="16" t="str">
        <x:v>CF02</x:v>
      </x:c>
      <x:c r="E39" s="16" t="str">
        <x:v>PWR-20</x:v>
      </x:c>
      <x:c r="F39" s="16" t="str">
        <x:v>G0</x:v>
      </x:c>
      <x:c r="G39" s="16" t="str">
        <x:v>Exact common-family bill absent</x:v>
      </x:c>
      <x:c r="H39" s="16" t="n">
        <x:f>IF(F39="G38",1,0)</x:f>
        <x:v>0</x:v>
      </x:c>
    </x:row>
    <x:row r="40">
      <x:c r="A40" s="16" t="str">
        <x:v>K04</x:v>
      </x:c>
      <x:c r="B40" s="16" t="str">
        <x:v>Coastal HCG-100</x:v>
      </x:c>
      <x:c r="C40" s="16" t="str">
        <x:v>WATR</x:v>
      </x:c>
      <x:c r="D40" s="16" t="str">
        <x:v>CF03</x:v>
      </x:c>
      <x:c r="E40" s="16" t="str">
        <x:v>LCN-12</x:v>
      </x:c>
      <x:c r="F40" s="16" t="str">
        <x:v>G0</x:v>
      </x:c>
      <x:c r="G40" s="16" t="str">
        <x:v>Exact common-family bill absent</x:v>
      </x:c>
      <x:c r="H40" s="16" t="n">
        <x:f>IF(F40="G39",1,0)</x:f>
        <x:v>0</x:v>
      </x:c>
    </x:row>
    <x:row r="41">
      <x:c r="A41" s="16" t="str">
        <x:v>K04</x:v>
      </x:c>
      <x:c r="B41" s="16" t="str">
        <x:v>Coastal HCG-100</x:v>
      </x:c>
      <x:c r="C41" s="16" t="str">
        <x:v>WATR</x:v>
      </x:c>
      <x:c r="D41" s="16" t="str">
        <x:v>CF04</x:v>
      </x:c>
      <x:c r="E41" s="16" t="str">
        <x:v>SCN-2</x:v>
      </x:c>
      <x:c r="F41" s="16" t="str">
        <x:v>G0</x:v>
      </x:c>
      <x:c r="G41" s="16" t="str">
        <x:v>Exact common-family bill absent</x:v>
      </x:c>
      <x:c r="H41" s="16" t="n">
        <x:f>IF(F41="G40",1,0)</x:f>
        <x:v>0</x:v>
      </x:c>
    </x:row>
    <x:row r="42">
      <x:c r="A42" s="16" t="str">
        <x:v>K04</x:v>
      </x:c>
      <x:c r="B42" s="16" t="str">
        <x:v>Coastal HCG-100</x:v>
      </x:c>
      <x:c r="C42" s="16" t="str">
        <x:v>WATR</x:v>
      </x:c>
      <x:c r="D42" s="16" t="str">
        <x:v>CF05</x:v>
      </x:c>
      <x:c r="E42" s="16" t="str">
        <x:v>RES-6</x:v>
      </x:c>
      <x:c r="F42" s="16" t="str">
        <x:v>G0</x:v>
      </x:c>
      <x:c r="G42" s="16" t="str">
        <x:v>Exact common-family bill absent</x:v>
      </x:c>
      <x:c r="H42" s="16" t="n">
        <x:f>IF(F42="G41",1,0)</x:f>
        <x:v>0</x:v>
      </x:c>
    </x:row>
    <x:row r="43">
      <x:c r="A43" s="16" t="str">
        <x:v>K04</x:v>
      </x:c>
      <x:c r="B43" s="16" t="str">
        <x:v>Coastal HCG-100</x:v>
      </x:c>
      <x:c r="C43" s="16" t="str">
        <x:v>WATR</x:v>
      </x:c>
      <x:c r="D43" s="16" t="str">
        <x:v>CF06</x:v>
      </x:c>
      <x:c r="E43" s="16" t="str">
        <x:v>REP-6</x:v>
      </x:c>
      <x:c r="F43" s="16" t="str">
        <x:v>G0</x:v>
      </x:c>
      <x:c r="G43" s="16" t="str">
        <x:v>Exact common-family bill absent</x:v>
      </x:c>
      <x:c r="H43" s="16" t="n">
        <x:f>IF(F43="G42",1,0)</x:f>
        <x:v>0</x:v>
      </x:c>
    </x:row>
    <x:row r="44">
      <x:c r="A44" s="16" t="str">
        <x:v>K04</x:v>
      </x:c>
      <x:c r="B44" s="16" t="str">
        <x:v>Coastal HCG-100</x:v>
      </x:c>
      <x:c r="C44" s="16" t="str">
        <x:v>WATR</x:v>
      </x:c>
      <x:c r="D44" s="16" t="str">
        <x:v>CF07</x:v>
      </x:c>
      <x:c r="E44" s="16" t="str">
        <x:v>SPR-24</x:v>
      </x:c>
      <x:c r="F44" s="16" t="str">
        <x:v>G0</x:v>
      </x:c>
      <x:c r="G44" s="16" t="str">
        <x:v>Exact common-family bill absent</x:v>
      </x:c>
      <x:c r="H44" s="16" t="n">
        <x:f>IF(F44="G43",1,0)</x:f>
        <x:v>0</x:v>
      </x:c>
    </x:row>
    <x:row r="45">
      <x:c r="A45" s="16" t="str">
        <x:v>K04</x:v>
      </x:c>
      <x:c r="B45" s="16" t="str">
        <x:v>Coastal HCG-100</x:v>
      </x:c>
      <x:c r="C45" s="16" t="str">
        <x:v>WATR</x:v>
      </x:c>
      <x:c r="D45" s="16" t="str">
        <x:v>CF08</x:v>
      </x:c>
      <x:c r="E45" s="16" t="str">
        <x:v>HAB-24</x:v>
      </x:c>
      <x:c r="F45" s="16" t="str">
        <x:v>G0</x:v>
      </x:c>
      <x:c r="G45" s="16" t="str">
        <x:v>Exact common-family bill absent</x:v>
      </x:c>
      <x:c r="H45" s="16" t="n">
        <x:f>IF(F45="G44",1,0)</x:f>
        <x:v>0</x:v>
      </x:c>
    </x:row>
    <x:row r="46">
      <x:c r="A46" s="16" t="str">
        <x:v>K04</x:v>
      </x:c>
      <x:c r="B46" s="16" t="str">
        <x:v>Coastal HCG-100</x:v>
      </x:c>
      <x:c r="C46" s="16" t="str">
        <x:v>WATR</x:v>
      </x:c>
      <x:c r="D46" s="16" t="str">
        <x:v>CF09</x:v>
      </x:c>
      <x:c r="E46" s="16" t="str">
        <x:v>TIA-30</x:v>
      </x:c>
      <x:c r="F46" s="16" t="str">
        <x:v>G0</x:v>
      </x:c>
      <x:c r="G46" s="16" t="str">
        <x:v>Exact common-family bill absent</x:v>
      </x:c>
      <x:c r="H46" s="16" t="n">
        <x:f>IF(F46="G45",1,0)</x:f>
        <x:v>0</x:v>
      </x:c>
    </x:row>
    <x:row r="47">
      <x:c r="A47" s="16" t="str">
        <x:v>K04</x:v>
      </x:c>
      <x:c r="B47" s="16" t="str">
        <x:v>Coastal HCG-100</x:v>
      </x:c>
      <x:c r="C47" s="16" t="str">
        <x:v>WATR</x:v>
      </x:c>
      <x:c r="D47" s="16" t="str">
        <x:v>CF10</x:v>
      </x:c>
      <x:c r="E47" s="16" t="str">
        <x:v>PM-30</x:v>
      </x:c>
      <x:c r="F47" s="16" t="str">
        <x:v>G0</x:v>
      </x:c>
      <x:c r="G47" s="16" t="str">
        <x:v>Exact common-family bill absent</x:v>
      </x:c>
      <x:c r="H47" s="16" t="n">
        <x:f>IF(F47="G46",1,0)</x:f>
        <x:v>0</x:v>
      </x:c>
    </x:row>
    <x:row r="48">
      <x:c r="A48" s="16" t="str">
        <x:v>K04</x:v>
      </x:c>
      <x:c r="B48" s="16" t="str">
        <x:v>Coastal HCG-100</x:v>
      </x:c>
      <x:c r="C48" s="16" t="str">
        <x:v>WATR</x:v>
      </x:c>
      <x:c r="D48" s="16" t="str">
        <x:v>CF11</x:v>
      </x:c>
      <x:c r="E48" s="16" t="str">
        <x:v>LF-30</x:v>
      </x:c>
      <x:c r="F48" s="16" t="str">
        <x:v>G0</x:v>
      </x:c>
      <x:c r="G48" s="16" t="str">
        <x:v>Exact common-family bill absent</x:v>
      </x:c>
      <x:c r="H48" s="16" t="n">
        <x:f>IF(F48="G47",1,0)</x:f>
        <x:v>0</x:v>
      </x:c>
    </x:row>
    <x:row r="49">
      <x:c r="A49" s="16" t="str">
        <x:v>K05</x:v>
      </x:c>
      <x:c r="B49" s="16" t="str">
        <x:v>PRG-100</x:v>
      </x:c>
      <x:c r="C49" s="16" t="str">
        <x:v>POWR</x:v>
      </x:c>
      <x:c r="D49" s="16" t="str">
        <x:v>CF01</x:v>
      </x:c>
      <x:c r="E49" s="16" t="str">
        <x:v>ENG-5/7</x:v>
      </x:c>
      <x:c r="F49" s="16" t="str">
        <x:v>G1</x:v>
      </x:c>
      <x:c r="G49" s="16" t="str">
        <x:v>140 MW source modules</x:v>
      </x:c>
      <x:c r="H49" s="16" t="n">
        <x:f>IF(F49="G48",1,0)</x:f>
        <x:v>0</x:v>
      </x:c>
    </x:row>
    <x:row r="50">
      <x:c r="A50" s="16" t="str">
        <x:v>K05</x:v>
      </x:c>
      <x:c r="B50" s="16" t="str">
        <x:v>PRG-100</x:v>
      </x:c>
      <x:c r="C50" s="16" t="str">
        <x:v>POWR</x:v>
      </x:c>
      <x:c r="D50" s="16" t="str">
        <x:v>CF02</x:v>
      </x:c>
      <x:c r="E50" s="16" t="str">
        <x:v>PWR-20</x:v>
      </x:c>
      <x:c r="F50" s="16" t="str">
        <x:v>G1</x:v>
      </x:c>
      <x:c r="G50" s="16" t="str">
        <x:v>Five islands and ten feeders</x:v>
      </x:c>
      <x:c r="H50" s="16" t="n">
        <x:f>IF(F50="G49",1,0)</x:f>
        <x:v>0</x:v>
      </x:c>
    </x:row>
    <x:row r="51">
      <x:c r="A51" s="16" t="str">
        <x:v>K05</x:v>
      </x:c>
      <x:c r="B51" s="16" t="str">
        <x:v>PRG-100</x:v>
      </x:c>
      <x:c r="C51" s="16" t="str">
        <x:v>POWR</x:v>
      </x:c>
      <x:c r="D51" s="16" t="str">
        <x:v>CF03</x:v>
      </x:c>
      <x:c r="E51" s="16" t="str">
        <x:v>LCN-12</x:v>
      </x:c>
      <x:c r="F51" s="16" t="str">
        <x:v>G1</x:v>
      </x:c>
      <x:c r="G51" s="16" t="str">
        <x:v>Grid-forming control cells</x:v>
      </x:c>
      <x:c r="H51" s="16" t="n">
        <x:f>IF(F51="G50",1,0)</x:f>
        <x:v>0</x:v>
      </x:c>
    </x:row>
    <x:row r="52">
      <x:c r="A52" s="16" t="str">
        <x:v>K05</x:v>
      </x:c>
      <x:c r="B52" s="16" t="str">
        <x:v>PRG-100</x:v>
      </x:c>
      <x:c r="C52" s="16" t="str">
        <x:v>POWR</x:v>
      </x:c>
      <x:c r="D52" s="16" t="str">
        <x:v>CF04</x:v>
      </x:c>
      <x:c r="E52" s="16" t="str">
        <x:v>SCN-2</x:v>
      </x:c>
      <x:c r="F52" s="16" t="str">
        <x:v>G0</x:v>
      </x:c>
      <x:c r="G52" s="16" t="str">
        <x:v>Exact common-family bill absent</x:v>
      </x:c>
      <x:c r="H52" s="16" t="n">
        <x:f>IF(F52="G51",1,0)</x:f>
        <x:v>0</x:v>
      </x:c>
    </x:row>
    <x:row r="53">
      <x:c r="A53" s="16" t="str">
        <x:v>K05</x:v>
      </x:c>
      <x:c r="B53" s="16" t="str">
        <x:v>PRG-100</x:v>
      </x:c>
      <x:c r="C53" s="16" t="str">
        <x:v>POWR</x:v>
      </x:c>
      <x:c r="D53" s="16" t="str">
        <x:v>CF05</x:v>
      </x:c>
      <x:c r="E53" s="16" t="str">
        <x:v>RES-6</x:v>
      </x:c>
      <x:c r="F53" s="16" t="str">
        <x:v>G0</x:v>
      </x:c>
      <x:c r="G53" s="16" t="str">
        <x:v>Exact common-family bill absent</x:v>
      </x:c>
      <x:c r="H53" s="16" t="n">
        <x:f>IF(F53="G52",1,0)</x:f>
        <x:v>0</x:v>
      </x:c>
    </x:row>
    <x:row r="54">
      <x:c r="A54" s="16" t="str">
        <x:v>K05</x:v>
      </x:c>
      <x:c r="B54" s="16" t="str">
        <x:v>PRG-100</x:v>
      </x:c>
      <x:c r="C54" s="16" t="str">
        <x:v>POWR</x:v>
      </x:c>
      <x:c r="D54" s="16" t="str">
        <x:v>CF06</x:v>
      </x:c>
      <x:c r="E54" s="16" t="str">
        <x:v>REP-6</x:v>
      </x:c>
      <x:c r="F54" s="16" t="str">
        <x:v>G0</x:v>
      </x:c>
      <x:c r="G54" s="16" t="str">
        <x:v>Exact common-family bill absent</x:v>
      </x:c>
      <x:c r="H54" s="16" t="n">
        <x:f>IF(F54="G53",1,0)</x:f>
        <x:v>0</x:v>
      </x:c>
    </x:row>
    <x:row r="55">
      <x:c r="A55" s="16" t="str">
        <x:v>K05</x:v>
      </x:c>
      <x:c r="B55" s="16" t="str">
        <x:v>PRG-100</x:v>
      </x:c>
      <x:c r="C55" s="16" t="str">
        <x:v>POWR</x:v>
      </x:c>
      <x:c r="D55" s="16" t="str">
        <x:v>CF07</x:v>
      </x:c>
      <x:c r="E55" s="16" t="str">
        <x:v>SPR-24</x:v>
      </x:c>
      <x:c r="F55" s="16" t="str">
        <x:v>G0</x:v>
      </x:c>
      <x:c r="G55" s="16" t="str">
        <x:v>Exact common-family bill absent</x:v>
      </x:c>
      <x:c r="H55" s="16" t="n">
        <x:f>IF(F55="G54",1,0)</x:f>
        <x:v>0</x:v>
      </x:c>
    </x:row>
    <x:row r="56">
      <x:c r="A56" s="16" t="str">
        <x:v>K05</x:v>
      </x:c>
      <x:c r="B56" s="16" t="str">
        <x:v>PRG-100</x:v>
      </x:c>
      <x:c r="C56" s="16" t="str">
        <x:v>POWR</x:v>
      </x:c>
      <x:c r="D56" s="16" t="str">
        <x:v>CF08</x:v>
      </x:c>
      <x:c r="E56" s="16" t="str">
        <x:v>HAB-24</x:v>
      </x:c>
      <x:c r="F56" s="16" t="str">
        <x:v>G0</x:v>
      </x:c>
      <x:c r="G56" s="16" t="str">
        <x:v>Exact common-family bill absent</x:v>
      </x:c>
      <x:c r="H56" s="16" t="n">
        <x:f>IF(F56="G55",1,0)</x:f>
        <x:v>0</x:v>
      </x:c>
    </x:row>
    <x:row r="57">
      <x:c r="A57" s="16" t="str">
        <x:v>K05</x:v>
      </x:c>
      <x:c r="B57" s="16" t="str">
        <x:v>PRG-100</x:v>
      </x:c>
      <x:c r="C57" s="16" t="str">
        <x:v>POWR</x:v>
      </x:c>
      <x:c r="D57" s="16" t="str">
        <x:v>CF09</x:v>
      </x:c>
      <x:c r="E57" s="16" t="str">
        <x:v>TIA-30</x:v>
      </x:c>
      <x:c r="F57" s="16" t="str">
        <x:v>G0</x:v>
      </x:c>
      <x:c r="G57" s="16" t="str">
        <x:v>Exact common-family bill absent</x:v>
      </x:c>
      <x:c r="H57" s="16" t="n">
        <x:f>IF(F57="G56",1,0)</x:f>
        <x:v>0</x:v>
      </x:c>
    </x:row>
    <x:row r="58">
      <x:c r="A58" s="16" t="str">
        <x:v>K05</x:v>
      </x:c>
      <x:c r="B58" s="16" t="str">
        <x:v>PRG-100</x:v>
      </x:c>
      <x:c r="C58" s="16" t="str">
        <x:v>POWR</x:v>
      </x:c>
      <x:c r="D58" s="16" t="str">
        <x:v>CF10</x:v>
      </x:c>
      <x:c r="E58" s="16" t="str">
        <x:v>PM-30</x:v>
      </x:c>
      <x:c r="F58" s="16" t="str">
        <x:v>G0</x:v>
      </x:c>
      <x:c r="G58" s="16" t="str">
        <x:v>Exact common-family bill absent</x:v>
      </x:c>
      <x:c r="H58" s="16" t="n">
        <x:f>IF(F58="G57",1,0)</x:f>
        <x:v>0</x:v>
      </x:c>
    </x:row>
    <x:row r="59">
      <x:c r="A59" s="16" t="str">
        <x:v>K05</x:v>
      </x:c>
      <x:c r="B59" s="16" t="str">
        <x:v>PRG-100</x:v>
      </x:c>
      <x:c r="C59" s="16" t="str">
        <x:v>POWR</x:v>
      </x:c>
      <x:c r="D59" s="16" t="str">
        <x:v>CF11</x:v>
      </x:c>
      <x:c r="E59" s="16" t="str">
        <x:v>LF-30</x:v>
      </x:c>
      <x:c r="F59" s="16" t="str">
        <x:v>G0</x:v>
      </x:c>
      <x:c r="G59" s="16" t="str">
        <x:v>Exact common-family bill absent</x:v>
      </x:c>
      <x:c r="H59" s="16" t="n">
        <x:f>IF(F59="G58",1,0)</x:f>
        <x:v>0</x:v>
      </x:c>
    </x:row>
    <x:row r="60">
      <x:c r="A60" s="16" t="str">
        <x:v>K06</x:v>
      </x:c>
      <x:c r="B60" s="16" t="str">
        <x:v>H-THC</x:v>
      </x:c>
      <x:c r="C60" s="16" t="str">
        <x:v>HLTH</x:v>
      </x:c>
      <x:c r="D60" s="16" t="str">
        <x:v>CF01</x:v>
      </x:c>
      <x:c r="E60" s="16" t="str">
        <x:v>ENG-5/7</x:v>
      </x:c>
      <x:c r="F60" s="16" t="str">
        <x:v>G0</x:v>
      </x:c>
      <x:c r="G60" s="16" t="str">
        <x:v>Clinical support bill absent</x:v>
      </x:c>
      <x:c r="H60" s="16" t="n">
        <x:f>IF(F60="G59",1,0)</x:f>
        <x:v>0</x:v>
      </x:c>
    </x:row>
    <x:row r="61">
      <x:c r="A61" s="16" t="str">
        <x:v>K06</x:v>
      </x:c>
      <x:c r="B61" s="16" t="str">
        <x:v>H-THC</x:v>
      </x:c>
      <x:c r="C61" s="16" t="str">
        <x:v>HLTH</x:v>
      </x:c>
      <x:c r="D61" s="16" t="str">
        <x:v>CF02</x:v>
      </x:c>
      <x:c r="E61" s="16" t="str">
        <x:v>PWR-20</x:v>
      </x:c>
      <x:c r="F61" s="16" t="str">
        <x:v>G0</x:v>
      </x:c>
      <x:c r="G61" s="16" t="str">
        <x:v>Clinical support bill absent</x:v>
      </x:c>
      <x:c r="H61" s="16" t="n">
        <x:f>IF(F61="G60",1,0)</x:f>
        <x:v>0</x:v>
      </x:c>
    </x:row>
    <x:row r="62">
      <x:c r="A62" s="16" t="str">
        <x:v>K06</x:v>
      </x:c>
      <x:c r="B62" s="16" t="str">
        <x:v>H-THC</x:v>
      </x:c>
      <x:c r="C62" s="16" t="str">
        <x:v>HLTH</x:v>
      </x:c>
      <x:c r="D62" s="16" t="str">
        <x:v>CF03</x:v>
      </x:c>
      <x:c r="E62" s="16" t="str">
        <x:v>LCN-12</x:v>
      </x:c>
      <x:c r="F62" s="16" t="str">
        <x:v>G0</x:v>
      </x:c>
      <x:c r="G62" s="16" t="str">
        <x:v>Clinical support bill absent</x:v>
      </x:c>
      <x:c r="H62" s="16" t="n">
        <x:f>IF(F62="G61",1,0)</x:f>
        <x:v>0</x:v>
      </x:c>
    </x:row>
    <x:row r="63">
      <x:c r="A63" s="16" t="str">
        <x:v>K06</x:v>
      </x:c>
      <x:c r="B63" s="16" t="str">
        <x:v>H-THC</x:v>
      </x:c>
      <x:c r="C63" s="16" t="str">
        <x:v>HLTH</x:v>
      </x:c>
      <x:c r="D63" s="16" t="str">
        <x:v>CF04</x:v>
      </x:c>
      <x:c r="E63" s="16" t="str">
        <x:v>SCN-2</x:v>
      </x:c>
      <x:c r="F63" s="16" t="str">
        <x:v>G0</x:v>
      </x:c>
      <x:c r="G63" s="16" t="str">
        <x:v>Clinical support bill absent</x:v>
      </x:c>
      <x:c r="H63" s="16" t="n">
        <x:f>IF(F63="G62",1,0)</x:f>
        <x:v>0</x:v>
      </x:c>
    </x:row>
    <x:row r="64">
      <x:c r="A64" s="16" t="str">
        <x:v>K06</x:v>
      </x:c>
      <x:c r="B64" s="16" t="str">
        <x:v>H-THC</x:v>
      </x:c>
      <x:c r="C64" s="16" t="str">
        <x:v>HLTH</x:v>
      </x:c>
      <x:c r="D64" s="16" t="str">
        <x:v>CF05</x:v>
      </x:c>
      <x:c r="E64" s="16" t="str">
        <x:v>RES-6</x:v>
      </x:c>
      <x:c r="F64" s="16" t="str">
        <x:v>G0</x:v>
      </x:c>
      <x:c r="G64" s="16" t="str">
        <x:v>Clinical support bill absent</x:v>
      </x:c>
      <x:c r="H64" s="16" t="n">
        <x:f>IF(F64="G63",1,0)</x:f>
        <x:v>0</x:v>
      </x:c>
    </x:row>
    <x:row r="65">
      <x:c r="A65" s="16" t="str">
        <x:v>K06</x:v>
      </x:c>
      <x:c r="B65" s="16" t="str">
        <x:v>H-THC</x:v>
      </x:c>
      <x:c r="C65" s="16" t="str">
        <x:v>HLTH</x:v>
      </x:c>
      <x:c r="D65" s="16" t="str">
        <x:v>CF06</x:v>
      </x:c>
      <x:c r="E65" s="16" t="str">
        <x:v>REP-6</x:v>
      </x:c>
      <x:c r="F65" s="16" t="str">
        <x:v>G0</x:v>
      </x:c>
      <x:c r="G65" s="16" t="str">
        <x:v>Clinical support bill absent</x:v>
      </x:c>
      <x:c r="H65" s="16" t="n">
        <x:f>IF(F65="G64",1,0)</x:f>
        <x:v>0</x:v>
      </x:c>
    </x:row>
    <x:row r="66">
      <x:c r="A66" s="16" t="str">
        <x:v>K06</x:v>
      </x:c>
      <x:c r="B66" s="16" t="str">
        <x:v>H-THC</x:v>
      </x:c>
      <x:c r="C66" s="16" t="str">
        <x:v>HLTH</x:v>
      </x:c>
      <x:c r="D66" s="16" t="str">
        <x:v>CF07</x:v>
      </x:c>
      <x:c r="E66" s="16" t="str">
        <x:v>SPR-24</x:v>
      </x:c>
      <x:c r="F66" s="16" t="str">
        <x:v>G0</x:v>
      </x:c>
      <x:c r="G66" s="16" t="str">
        <x:v>Clinical support bill absent</x:v>
      </x:c>
      <x:c r="H66" s="16" t="n">
        <x:f>IF(F66="G65",1,0)</x:f>
        <x:v>0</x:v>
      </x:c>
    </x:row>
    <x:row r="67">
      <x:c r="A67" s="16" t="str">
        <x:v>K06</x:v>
      </x:c>
      <x:c r="B67" s="16" t="str">
        <x:v>H-THC</x:v>
      </x:c>
      <x:c r="C67" s="16" t="str">
        <x:v>HLTH</x:v>
      </x:c>
      <x:c r="D67" s="16" t="str">
        <x:v>CF08</x:v>
      </x:c>
      <x:c r="E67" s="16" t="str">
        <x:v>HAB-24</x:v>
      </x:c>
      <x:c r="F67" s="16" t="str">
        <x:v>G0</x:v>
      </x:c>
      <x:c r="G67" s="16" t="str">
        <x:v>Clinical support bill absent</x:v>
      </x:c>
      <x:c r="H67" s="16" t="n">
        <x:f>IF(F67="G66",1,0)</x:f>
        <x:v>0</x:v>
      </x:c>
    </x:row>
    <x:row r="68">
      <x:c r="A68" s="16" t="str">
        <x:v>K06</x:v>
      </x:c>
      <x:c r="B68" s="16" t="str">
        <x:v>H-THC</x:v>
      </x:c>
      <x:c r="C68" s="16" t="str">
        <x:v>HLTH</x:v>
      </x:c>
      <x:c r="D68" s="16" t="str">
        <x:v>CF09</x:v>
      </x:c>
      <x:c r="E68" s="16" t="str">
        <x:v>TIA-30</x:v>
      </x:c>
      <x:c r="F68" s="16" t="str">
        <x:v>G0</x:v>
      </x:c>
      <x:c r="G68" s="16" t="str">
        <x:v>Clinical support bill absent</x:v>
      </x:c>
      <x:c r="H68" s="16" t="n">
        <x:f>IF(F68="G67",1,0)</x:f>
        <x:v>0</x:v>
      </x:c>
    </x:row>
    <x:row r="69">
      <x:c r="A69" s="16" t="str">
        <x:v>K06</x:v>
      </x:c>
      <x:c r="B69" s="16" t="str">
        <x:v>H-THC</x:v>
      </x:c>
      <x:c r="C69" s="16" t="str">
        <x:v>HLTH</x:v>
      </x:c>
      <x:c r="D69" s="16" t="str">
        <x:v>CF10</x:v>
      </x:c>
      <x:c r="E69" s="16" t="str">
        <x:v>PM-30</x:v>
      </x:c>
      <x:c r="F69" s="16" t="str">
        <x:v>G0</x:v>
      </x:c>
      <x:c r="G69" s="16" t="str">
        <x:v>Clinical support bill absent</x:v>
      </x:c>
      <x:c r="H69" s="16" t="n">
        <x:f>IF(F69="G68",1,0)</x:f>
        <x:v>0</x:v>
      </x:c>
    </x:row>
    <x:row r="70">
      <x:c r="A70" s="16" t="str">
        <x:v>K06</x:v>
      </x:c>
      <x:c r="B70" s="16" t="str">
        <x:v>H-THC</x:v>
      </x:c>
      <x:c r="C70" s="16" t="str">
        <x:v>HLTH</x:v>
      </x:c>
      <x:c r="D70" s="16" t="str">
        <x:v>CF11</x:v>
      </x:c>
      <x:c r="E70" s="16" t="str">
        <x:v>LF-30</x:v>
      </x:c>
      <x:c r="F70" s="16" t="str">
        <x:v>G0</x:v>
      </x:c>
      <x:c r="G70" s="16" t="str">
        <x:v>Clinical support bill absent</x:v>
      </x:c>
      <x:c r="H70" s="16" t="n">
        <x:f>IF(F70="G69",1,0)</x:f>
        <x:v>0</x:v>
      </x:c>
    </x:row>
    <x:row r="71">
      <x:c r="A71" s="16" t="str">
        <x:v>K07</x:v>
      </x:c>
      <x:c r="B71" s="16" t="str">
        <x:v>H-PMG</x:v>
      </x:c>
      <x:c r="C71" s="16" t="str">
        <x:v>HLTH</x:v>
      </x:c>
      <x:c r="D71" s="16" t="str">
        <x:v>CF01</x:v>
      </x:c>
      <x:c r="E71" s="16" t="str">
        <x:v>ENG-5/7</x:v>
      </x:c>
      <x:c r="F71" s="16" t="str">
        <x:v>G0</x:v>
      </x:c>
      <x:c r="G71" s="16" t="str">
        <x:v>Patient-state mobility support bill absent</x:v>
      </x:c>
      <x:c r="H71" s="16" t="n">
        <x:f>IF(F71="G70",1,0)</x:f>
        <x:v>0</x:v>
      </x:c>
    </x:row>
    <x:row r="72">
      <x:c r="A72" s="16" t="str">
        <x:v>K07</x:v>
      </x:c>
      <x:c r="B72" s="16" t="str">
        <x:v>H-PMG</x:v>
      </x:c>
      <x:c r="C72" s="16" t="str">
        <x:v>HLTH</x:v>
      </x:c>
      <x:c r="D72" s="16" t="str">
        <x:v>CF02</x:v>
      </x:c>
      <x:c r="E72" s="16" t="str">
        <x:v>PWR-20</x:v>
      </x:c>
      <x:c r="F72" s="16" t="str">
        <x:v>G0</x:v>
      </x:c>
      <x:c r="G72" s="16" t="str">
        <x:v>Patient-state mobility support bill absent</x:v>
      </x:c>
      <x:c r="H72" s="16" t="n">
        <x:f>IF(F72="G71",1,0)</x:f>
        <x:v>0</x:v>
      </x:c>
    </x:row>
    <x:row r="73">
      <x:c r="A73" s="16" t="str">
        <x:v>K07</x:v>
      </x:c>
      <x:c r="B73" s="16" t="str">
        <x:v>H-PMG</x:v>
      </x:c>
      <x:c r="C73" s="16" t="str">
        <x:v>HLTH</x:v>
      </x:c>
      <x:c r="D73" s="16" t="str">
        <x:v>CF03</x:v>
      </x:c>
      <x:c r="E73" s="16" t="str">
        <x:v>LCN-12</x:v>
      </x:c>
      <x:c r="F73" s="16" t="str">
        <x:v>G0</x:v>
      </x:c>
      <x:c r="G73" s="16" t="str">
        <x:v>Patient-state mobility support bill absent</x:v>
      </x:c>
      <x:c r="H73" s="16" t="n">
        <x:f>IF(F73="G72",1,0)</x:f>
        <x:v>0</x:v>
      </x:c>
    </x:row>
    <x:row r="74">
      <x:c r="A74" s="16" t="str">
        <x:v>K07</x:v>
      </x:c>
      <x:c r="B74" s="16" t="str">
        <x:v>H-PMG</x:v>
      </x:c>
      <x:c r="C74" s="16" t="str">
        <x:v>HLTH</x:v>
      </x:c>
      <x:c r="D74" s="16" t="str">
        <x:v>CF04</x:v>
      </x:c>
      <x:c r="E74" s="16" t="str">
        <x:v>SCN-2</x:v>
      </x:c>
      <x:c r="F74" s="16" t="str">
        <x:v>G0</x:v>
      </x:c>
      <x:c r="G74" s="16" t="str">
        <x:v>Patient-state mobility support bill absent</x:v>
      </x:c>
      <x:c r="H74" s="16" t="n">
        <x:f>IF(F74="G73",1,0)</x:f>
        <x:v>0</x:v>
      </x:c>
    </x:row>
    <x:row r="75">
      <x:c r="A75" s="16" t="str">
        <x:v>K07</x:v>
      </x:c>
      <x:c r="B75" s="16" t="str">
        <x:v>H-PMG</x:v>
      </x:c>
      <x:c r="C75" s="16" t="str">
        <x:v>HLTH</x:v>
      </x:c>
      <x:c r="D75" s="16" t="str">
        <x:v>CF05</x:v>
      </x:c>
      <x:c r="E75" s="16" t="str">
        <x:v>RES-6</x:v>
      </x:c>
      <x:c r="F75" s="16" t="str">
        <x:v>G0</x:v>
      </x:c>
      <x:c r="G75" s="16" t="str">
        <x:v>Patient-state mobility support bill absent</x:v>
      </x:c>
      <x:c r="H75" s="16" t="n">
        <x:f>IF(F75="G74",1,0)</x:f>
        <x:v>0</x:v>
      </x:c>
    </x:row>
    <x:row r="76">
      <x:c r="A76" s="16" t="str">
        <x:v>K07</x:v>
      </x:c>
      <x:c r="B76" s="16" t="str">
        <x:v>H-PMG</x:v>
      </x:c>
      <x:c r="C76" s="16" t="str">
        <x:v>HLTH</x:v>
      </x:c>
      <x:c r="D76" s="16" t="str">
        <x:v>CF06</x:v>
      </x:c>
      <x:c r="E76" s="16" t="str">
        <x:v>REP-6</x:v>
      </x:c>
      <x:c r="F76" s="16" t="str">
        <x:v>G0</x:v>
      </x:c>
      <x:c r="G76" s="16" t="str">
        <x:v>Patient-state mobility support bill absent</x:v>
      </x:c>
      <x:c r="H76" s="16" t="n">
        <x:f>IF(F76="G75",1,0)</x:f>
        <x:v>0</x:v>
      </x:c>
    </x:row>
    <x:row r="77">
      <x:c r="A77" s="16" t="str">
        <x:v>K07</x:v>
      </x:c>
      <x:c r="B77" s="16" t="str">
        <x:v>H-PMG</x:v>
      </x:c>
      <x:c r="C77" s="16" t="str">
        <x:v>HLTH</x:v>
      </x:c>
      <x:c r="D77" s="16" t="str">
        <x:v>CF07</x:v>
      </x:c>
      <x:c r="E77" s="16" t="str">
        <x:v>SPR-24</x:v>
      </x:c>
      <x:c r="F77" s="16" t="str">
        <x:v>G0</x:v>
      </x:c>
      <x:c r="G77" s="16" t="str">
        <x:v>Patient-state mobility support bill absent</x:v>
      </x:c>
      <x:c r="H77" s="16" t="n">
        <x:f>IF(F77="G76",1,0)</x:f>
        <x:v>0</x:v>
      </x:c>
    </x:row>
    <x:row r="78">
      <x:c r="A78" s="16" t="str">
        <x:v>K07</x:v>
      </x:c>
      <x:c r="B78" s="16" t="str">
        <x:v>H-PMG</x:v>
      </x:c>
      <x:c r="C78" s="16" t="str">
        <x:v>HLTH</x:v>
      </x:c>
      <x:c r="D78" s="16" t="str">
        <x:v>CF08</x:v>
      </x:c>
      <x:c r="E78" s="16" t="str">
        <x:v>HAB-24</x:v>
      </x:c>
      <x:c r="F78" s="16" t="str">
        <x:v>G0</x:v>
      </x:c>
      <x:c r="G78" s="16" t="str">
        <x:v>Patient-state mobility support bill absent</x:v>
      </x:c>
      <x:c r="H78" s="16" t="n">
        <x:f>IF(F78="G77",1,0)</x:f>
        <x:v>0</x:v>
      </x:c>
    </x:row>
    <x:row r="79">
      <x:c r="A79" s="16" t="str">
        <x:v>K07</x:v>
      </x:c>
      <x:c r="B79" s="16" t="str">
        <x:v>H-PMG</x:v>
      </x:c>
      <x:c r="C79" s="16" t="str">
        <x:v>HLTH</x:v>
      </x:c>
      <x:c r="D79" s="16" t="str">
        <x:v>CF09</x:v>
      </x:c>
      <x:c r="E79" s="16" t="str">
        <x:v>TIA-30</x:v>
      </x:c>
      <x:c r="F79" s="16" t="str">
        <x:v>G0</x:v>
      </x:c>
      <x:c r="G79" s="16" t="str">
        <x:v>Patient-state mobility support bill absent</x:v>
      </x:c>
      <x:c r="H79" s="16" t="n">
        <x:f>IF(F79="G78",1,0)</x:f>
        <x:v>0</x:v>
      </x:c>
    </x:row>
    <x:row r="80">
      <x:c r="A80" s="16" t="str">
        <x:v>K07</x:v>
      </x:c>
      <x:c r="B80" s="16" t="str">
        <x:v>H-PMG</x:v>
      </x:c>
      <x:c r="C80" s="16" t="str">
        <x:v>HLTH</x:v>
      </x:c>
      <x:c r="D80" s="16" t="str">
        <x:v>CF10</x:v>
      </x:c>
      <x:c r="E80" s="16" t="str">
        <x:v>PM-30</x:v>
      </x:c>
      <x:c r="F80" s="16" t="str">
        <x:v>G0</x:v>
      </x:c>
      <x:c r="G80" s="16" t="str">
        <x:v>Patient-state mobility support bill absent</x:v>
      </x:c>
      <x:c r="H80" s="16" t="n">
        <x:f>IF(F80="G79",1,0)</x:f>
        <x:v>0</x:v>
      </x:c>
    </x:row>
    <x:row r="81">
      <x:c r="A81" s="16" t="str">
        <x:v>K07</x:v>
      </x:c>
      <x:c r="B81" s="16" t="str">
        <x:v>H-PMG</x:v>
      </x:c>
      <x:c r="C81" s="16" t="str">
        <x:v>HLTH</x:v>
      </x:c>
      <x:c r="D81" s="16" t="str">
        <x:v>CF11</x:v>
      </x:c>
      <x:c r="E81" s="16" t="str">
        <x:v>LF-30</x:v>
      </x:c>
      <x:c r="F81" s="16" t="str">
        <x:v>G0</x:v>
      </x:c>
      <x:c r="G81" s="16" t="str">
        <x:v>Patient-state mobility support bill absent</x:v>
      </x:c>
      <x:c r="H81" s="16" t="n">
        <x:f>IF(F81="G80",1,0)</x:f>
        <x:v>0</x:v>
      </x:c>
    </x:row>
    <x:row r="82">
      <x:c r="A82" s="16" t="str">
        <x:v>K08</x:v>
      </x:c>
      <x:c r="B82" s="16" t="str">
        <x:v>TAFG-1</x:v>
      </x:c>
      <x:c r="C82" s="16" t="str">
        <x:v>ACCS</x:v>
      </x:c>
      <x:c r="D82" s="16" t="str">
        <x:v>CF01</x:v>
      </x:c>
      <x:c r="E82" s="16" t="str">
        <x:v>ENG-5/7</x:v>
      </x:c>
      <x:c r="F82" s="16" t="str">
        <x:v>G0</x:v>
      </x:c>
      <x:c r="G82" s="16" t="str">
        <x:v>Exact common-family bill absent</x:v>
      </x:c>
      <x:c r="H82" s="16" t="n">
        <x:f>IF(F82="G81",1,0)</x:f>
        <x:v>0</x:v>
      </x:c>
    </x:row>
    <x:row r="83">
      <x:c r="A83" s="16" t="str">
        <x:v>K08</x:v>
      </x:c>
      <x:c r="B83" s="16" t="str">
        <x:v>TAFG-1</x:v>
      </x:c>
      <x:c r="C83" s="16" t="str">
        <x:v>ACCS</x:v>
      </x:c>
      <x:c r="D83" s="16" t="str">
        <x:v>CF02</x:v>
      </x:c>
      <x:c r="E83" s="16" t="str">
        <x:v>PWR-20</x:v>
      </x:c>
      <x:c r="F83" s="16" t="str">
        <x:v>G0</x:v>
      </x:c>
      <x:c r="G83" s="16" t="str">
        <x:v>Exact common-family bill absent</x:v>
      </x:c>
      <x:c r="H83" s="16" t="n">
        <x:f>IF(F83="G82",1,0)</x:f>
        <x:v>0</x:v>
      </x:c>
    </x:row>
    <x:row r="84">
      <x:c r="A84" s="16" t="str">
        <x:v>K08</x:v>
      </x:c>
      <x:c r="B84" s="16" t="str">
        <x:v>TAFG-1</x:v>
      </x:c>
      <x:c r="C84" s="16" t="str">
        <x:v>ACCS</x:v>
      </x:c>
      <x:c r="D84" s="16" t="str">
        <x:v>CF03</x:v>
      </x:c>
      <x:c r="E84" s="16" t="str">
        <x:v>LCN-12</x:v>
      </x:c>
      <x:c r="F84" s="16" t="str">
        <x:v>G0</x:v>
      </x:c>
      <x:c r="G84" s="16" t="str">
        <x:v>Exact common-family bill absent</x:v>
      </x:c>
      <x:c r="H84" s="16" t="n">
        <x:f>IF(F84="G83",1,0)</x:f>
        <x:v>0</x:v>
      </x:c>
    </x:row>
    <x:row r="85">
      <x:c r="A85" s="16" t="str">
        <x:v>K08</x:v>
      </x:c>
      <x:c r="B85" s="16" t="str">
        <x:v>TAFG-1</x:v>
      </x:c>
      <x:c r="C85" s="16" t="str">
        <x:v>ACCS</x:v>
      </x:c>
      <x:c r="D85" s="16" t="str">
        <x:v>CF04</x:v>
      </x:c>
      <x:c r="E85" s="16" t="str">
        <x:v>SCN-2</x:v>
      </x:c>
      <x:c r="F85" s="16" t="str">
        <x:v>G0</x:v>
      </x:c>
      <x:c r="G85" s="16" t="str">
        <x:v>Exact common-family bill absent</x:v>
      </x:c>
      <x:c r="H85" s="16" t="n">
        <x:f>IF(F85="G84",1,0)</x:f>
        <x:v>0</x:v>
      </x:c>
    </x:row>
    <x:row r="86">
      <x:c r="A86" s="16" t="str">
        <x:v>K08</x:v>
      </x:c>
      <x:c r="B86" s="16" t="str">
        <x:v>TAFG-1</x:v>
      </x:c>
      <x:c r="C86" s="16" t="str">
        <x:v>ACCS</x:v>
      </x:c>
      <x:c r="D86" s="16" t="str">
        <x:v>CF05</x:v>
      </x:c>
      <x:c r="E86" s="16" t="str">
        <x:v>RES-6</x:v>
      </x:c>
      <x:c r="F86" s="16" t="str">
        <x:v>G0</x:v>
      </x:c>
      <x:c r="G86" s="16" t="str">
        <x:v>Exact common-family bill absent</x:v>
      </x:c>
      <x:c r="H86" s="16" t="n">
        <x:f>IF(F86="G85",1,0)</x:f>
        <x:v>0</x:v>
      </x:c>
    </x:row>
    <x:row r="87">
      <x:c r="A87" s="16" t="str">
        <x:v>K08</x:v>
      </x:c>
      <x:c r="B87" s="16" t="str">
        <x:v>TAFG-1</x:v>
      </x:c>
      <x:c r="C87" s="16" t="str">
        <x:v>ACCS</x:v>
      </x:c>
      <x:c r="D87" s="16" t="str">
        <x:v>CF06</x:v>
      </x:c>
      <x:c r="E87" s="16" t="str">
        <x:v>REP-6</x:v>
      </x:c>
      <x:c r="F87" s="16" t="str">
        <x:v>G0</x:v>
      </x:c>
      <x:c r="G87" s="16" t="str">
        <x:v>Exact common-family bill absent</x:v>
      </x:c>
      <x:c r="H87" s="16" t="n">
        <x:f>IF(F87="G86",1,0)</x:f>
        <x:v>0</x:v>
      </x:c>
    </x:row>
    <x:row r="88">
      <x:c r="A88" s="16" t="str">
        <x:v>K08</x:v>
      </x:c>
      <x:c r="B88" s="16" t="str">
        <x:v>TAFG-1</x:v>
      </x:c>
      <x:c r="C88" s="16" t="str">
        <x:v>ACCS</x:v>
      </x:c>
      <x:c r="D88" s="16" t="str">
        <x:v>CF07</x:v>
      </x:c>
      <x:c r="E88" s="16" t="str">
        <x:v>SPR-24</x:v>
      </x:c>
      <x:c r="F88" s="16" t="str">
        <x:v>G0</x:v>
      </x:c>
      <x:c r="G88" s="16" t="str">
        <x:v>Exact common-family bill absent</x:v>
      </x:c>
      <x:c r="H88" s="16" t="n">
        <x:f>IF(F88="G87",1,0)</x:f>
        <x:v>0</x:v>
      </x:c>
    </x:row>
    <x:row r="89">
      <x:c r="A89" s="16" t="str">
        <x:v>K08</x:v>
      </x:c>
      <x:c r="B89" s="16" t="str">
        <x:v>TAFG-1</x:v>
      </x:c>
      <x:c r="C89" s="16" t="str">
        <x:v>ACCS</x:v>
      </x:c>
      <x:c r="D89" s="16" t="str">
        <x:v>CF08</x:v>
      </x:c>
      <x:c r="E89" s="16" t="str">
        <x:v>HAB-24</x:v>
      </x:c>
      <x:c r="F89" s="16" t="str">
        <x:v>G0</x:v>
      </x:c>
      <x:c r="G89" s="16" t="str">
        <x:v>Exact common-family bill absent</x:v>
      </x:c>
      <x:c r="H89" s="16" t="n">
        <x:f>IF(F89="G88",1,0)</x:f>
        <x:v>0</x:v>
      </x:c>
    </x:row>
    <x:row r="90">
      <x:c r="A90" s="16" t="str">
        <x:v>K08</x:v>
      </x:c>
      <x:c r="B90" s="16" t="str">
        <x:v>TAFG-1</x:v>
      </x:c>
      <x:c r="C90" s="16" t="str">
        <x:v>ACCS</x:v>
      </x:c>
      <x:c r="D90" s="16" t="str">
        <x:v>CF09</x:v>
      </x:c>
      <x:c r="E90" s="16" t="str">
        <x:v>TIA-30</x:v>
      </x:c>
      <x:c r="F90" s="16" t="str">
        <x:v>G1</x:v>
      </x:c>
      <x:c r="G90" s="16" t="str">
        <x:v>Governed position or carrier relation exists</x:v>
      </x:c>
      <x:c r="H90" s="16" t="n">
        <x:f>IF(F90="G89",1,0)</x:f>
        <x:v>0</x:v>
      </x:c>
    </x:row>
    <x:row r="91">
      <x:c r="A91" s="16" t="str">
        <x:v>K08</x:v>
      </x:c>
      <x:c r="B91" s="16" t="str">
        <x:v>TAFG-1</x:v>
      </x:c>
      <x:c r="C91" s="16" t="str">
        <x:v>ACCS</x:v>
      </x:c>
      <x:c r="D91" s="16" t="str">
        <x:v>CF10</x:v>
      </x:c>
      <x:c r="E91" s="16" t="str">
        <x:v>PM-30</x:v>
      </x:c>
      <x:c r="F91" s="16" t="str">
        <x:v>G1</x:v>
      </x:c>
      <x:c r="G91" s="16" t="str">
        <x:v>Governed position or carrier relation exists</x:v>
      </x:c>
      <x:c r="H91" s="16" t="n">
        <x:f>IF(F91="G90",1,0)</x:f>
        <x:v>0</x:v>
      </x:c>
    </x:row>
    <x:row r="92">
      <x:c r="A92" s="16" t="str">
        <x:v>K08</x:v>
      </x:c>
      <x:c r="B92" s="16" t="str">
        <x:v>TAFG-1</x:v>
      </x:c>
      <x:c r="C92" s="16" t="str">
        <x:v>ACCS</x:v>
      </x:c>
      <x:c r="D92" s="16" t="str">
        <x:v>CF11</x:v>
      </x:c>
      <x:c r="E92" s="16" t="str">
        <x:v>LF-30</x:v>
      </x:c>
      <x:c r="F92" s="16" t="str">
        <x:v>G1</x:v>
      </x:c>
      <x:c r="G92" s="16" t="str">
        <x:v>Governed position or carrier relation exists</x:v>
      </x:c>
      <x:c r="H92" s="16" t="n">
        <x:f>IF(F92="G91",1,0)</x:f>
        <x:v>0</x:v>
      </x:c>
    </x:row>
  </x:sheetData>
  <x:mergeCells>
    <x:mergeCell ref="A1:H1"/>
    <x:mergeCell ref="A2:H2"/>
  </x:mergeCells>
  <x:conditionalFormatting sqref="F5:F92">
    <x:cfRule type="containsText" dxfId="0" priority="1" operator="containsText" text="G4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46" hidden="0" customWidth="1"/>
    <x:col min="4" max="4" width="24" hidden="0" customWidth="1"/>
    <x:col min="5" max="5" width="46" hidden="0" customWidth="1"/>
  </x:cols>
  <x:sheetData>
    <x:row r="1" ht="28" customHeight="1">
      <x:c r="A1" s="49" t="str">
        <x:v>Translation and Admission Law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Comparable output, interface fit, and exact bills remain below representative substitution.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Grade</x:v>
      </x:c>
      <x:c r="B4" s="52" t="str">
        <x:v>Definition</x:v>
      </x:c>
      <x:c r="C4" s="52" t="str">
        <x:v>Evidence object</x:v>
      </x:c>
      <x:c r="D4" s="52" t="str">
        <x:v>Cross-portfolio quantity credit</x:v>
      </x:c>
      <x:c r="E4" s="52" t="str">
        <x:v>Demotion trigger</x:v>
      </x:c>
      <x:c r="F4" s="51"/>
      <x:c r="G4" s="51"/>
      <x:c r="H4" s="51"/>
    </x:row>
    <x:row r="5">
      <x:c r="A5" s="16" t="str">
        <x:v>G0</x:v>
      </x:c>
      <x:c r="B5" s="16" t="str">
        <x:v>No registered requirement or relationship</x:v>
      </x:c>
      <x:c r="C5" s="16" t="str">
        <x:v>None</x:v>
      </x:c>
      <x:c r="D5" s="16" t="n">
        <x:v>0</x:v>
      </x:c>
      <x:c r="E5" s="16" t="str">
        <x:v>Not applicable</x:v>
      </x:c>
      <x:c r="F5" s="51"/>
      <x:c r="G5" s="51"/>
      <x:c r="H5" s="51"/>
    </x:row>
    <x:row r="6">
      <x:c r="A6" s="16" t="str">
        <x:v>G1</x:v>
      </x:c>
      <x:c r="B6" s="16" t="str">
        <x:v>Capability measured in a comparable unit</x:v>
      </x:c>
      <x:c r="C6" s="16" t="str">
        <x:v>Bounded calculation or observation</x:v>
      </x:c>
      <x:c r="D6" s="16" t="n">
        <x:v>0</x:v>
      </x:c>
      <x:c r="E6" s="16" t="str">
        <x:v>Measure or service boundary changes</x:v>
      </x:c>
      <x:c r="F6" s="51"/>
      <x:c r="G6" s="51"/>
      <x:c r="H6" s="51"/>
    </x:row>
    <x:row r="7">
      <x:c r="A7" s="16" t="str">
        <x:v>G2</x:v>
      </x:c>
      <x:c r="B7" s="16" t="str">
        <x:v>Interface-compatible candidate configuration</x:v>
      </x:c>
      <x:c r="C7" s="16" t="str">
        <x:v>Representative interface test</x:v>
      </x:c>
      <x:c r="D7" s="16" t="n">
        <x:v>0</x:v>
      </x:c>
      <x:c r="E7" s="16" t="str">
        <x:v>Interface, receiver, or source changes</x:v>
      </x:c>
      <x:c r="F7" s="51"/>
      <x:c r="G7" s="51"/>
      <x:c r="H7" s="51"/>
    </x:row>
    <x:row r="8">
      <x:c r="A8" s="16" t="str">
        <x:v>G3</x:v>
      </x:c>
      <x:c r="B8" s="16" t="str">
        <x:v>Exact article bill, crew, transport, and return defined</x:v>
      </x:c>
      <x:c r="C8" s="16" t="str">
        <x:v>Configuration-controlled formation</x:v>
      </x:c>
      <x:c r="D8" s="16" t="n">
        <x:v>0</x:v>
      </x:c>
      <x:c r="E8" s="16" t="str">
        <x:v>Bill, crew, software, or return changes</x:v>
      </x:c>
      <x:c r="F8" s="51"/>
      <x:c r="G8" s="51"/>
      <x:c r="H8" s="51"/>
    </x:row>
    <x:row r="9">
      <x:c r="A9" s="16" t="str">
        <x:v>G4</x:v>
      </x:c>
      <x:c r="B9" s="16" t="str">
        <x:v>Representative substitution and loss campaign closes service</x:v>
      </x:c>
      <x:c r="C9" s="16" t="str">
        <x:v>Independent mission, reset, and reservation evidence</x:v>
      </x:c>
      <x:c r="D9" s="16" t="n">
        <x:v>1</x:v>
      </x:c>
      <x:c r="E9" s="16" t="str">
        <x:v>Any invalidating configuration or evidence change</x:v>
      </x:c>
      <x:c r="F9" s="51"/>
      <x:c r="G9" s="51"/>
      <x:c r="H9" s="51"/>
    </x:row>
    <x:row r="10">
      <x:c r="A10" s="51"/>
      <x:c r="B10" s="51"/>
      <x:c r="C10" s="51"/>
      <x:c r="D10" s="51"/>
      <x:c r="E10" s="51"/>
      <x:c r="F10" s="51"/>
      <x:c r="G10" s="51"/>
      <x:c r="H10" s="51"/>
    </x:row>
    <x:row r="11" ht="36" customHeight="1">
      <x:c r="A11" s="53" t="str">
        <x:v>G4 makes an article eligible for one bounded reservation. It does not allow the same article to support two obligations in one occupied interval.</x:v>
      </x:c>
      <x:c r="B11" s="54"/>
      <x:c r="C11" s="54"/>
      <x:c r="D11" s="54"/>
      <x:c r="E11" s="54"/>
      <x:c r="F11" s="54"/>
      <x:c r="G11" s="54"/>
      <x:c r="H11" s="55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34" hidden="0" customWidth="1"/>
  </x:cols>
  <x:sheetData>
    <x:row r="1" ht="28" customHeight="1">
      <x:c r="A1" s="49" t="str">
        <x:v>Inherited Compound-Demand Worlds</x:v>
      </x:c>
      <x:c r="B1" s="49"/>
      <x:c r="C1" s="49"/>
      <x:c r="D1" s="49"/>
      <x:c r="E1" s="49"/>
      <x:c r="F1" s="49"/>
      <x:c r="G1" s="49"/>
      <x:c r="H1" s="49"/>
      <x:c r="I1" s="51"/>
    </x:row>
    <x:row r="2" ht="32" customHeight="1">
      <x:c r="A2" s="50" t="str">
        <x:v>Canonical demand vectors used as planning stressors; predecessor and successor scopes are not merged.</x:v>
      </x:c>
      <x:c r="B2" s="50"/>
      <x:c r="C2" s="50"/>
      <x:c r="D2" s="50"/>
      <x:c r="E2" s="50"/>
      <x:c r="F2" s="50"/>
      <x:c r="G2" s="50"/>
      <x:c r="H2" s="50"/>
      <x:c r="I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</x:row>
    <x:row r="4">
      <x:c r="A4" s="52" t="str">
        <x:v>World</x:v>
      </x:c>
      <x:c r="B4" s="52" t="str">
        <x:v>Fire proxy</x:v>
      </x:c>
      <x:c r="C4" s="52" t="str">
        <x:v>Flood proxy</x:v>
      </x:c>
      <x:c r="D4" s="52" t="str">
        <x:v>PRG-100</x:v>
      </x:c>
      <x:c r="E4" s="52" t="str">
        <x:v>H-THC</x:v>
      </x:c>
      <x:c r="F4" s="52" t="str">
        <x:v>H-PMG</x:v>
      </x:c>
      <x:c r="G4" s="52" t="str">
        <x:v>Access proxy</x:v>
      </x:c>
      <x:c r="H4" s="52" t="str">
        <x:v>Active portfolios</x:v>
      </x:c>
      <x:c r="I4" s="52" t="str">
        <x:v>Scope</x:v>
      </x:c>
    </x:row>
    <x:row r="5">
      <x:c r="A5" s="16" t="str">
        <x:v>C1</x:v>
      </x:c>
      <x:c r="B5" s="16" t="n">
        <x:v>2</x:v>
      </x:c>
      <x:c r="C5" s="16" t="n">
        <x:v>1</x:v>
      </x:c>
      <x:c r="D5" s="16" t="n">
        <x:v>8</x:v>
      </x:c>
      <x:c r="E5" s="16" t="n">
        <x:v>2</x:v>
      </x:c>
      <x:c r="F5" s="16" t="n">
        <x:v>4</x:v>
      </x:c>
      <x:c r="G5" s="16" t="n">
        <x:v>4</x:v>
      </x:c>
      <x:c r="H5" s="16" t="n">
        <x:f>IF(B5&gt;0,1,0)+IF(C5&gt;0,1,0)+IF(D5&gt;0,1,0)+IF(E5+F5&gt;0,1,0)+IF(G5&gt;0,1,0)</x:f>
        <x:v>5</x:v>
      </x:c>
      <x:c r="I5" s="16" t="str">
        <x:v>Inherited planning stressor</x:v>
      </x:c>
    </x:row>
    <x:row r="6">
      <x:c r="A6" s="16" t="str">
        <x:v>C2</x:v>
      </x:c>
      <x:c r="B6" s="16" t="n">
        <x:v>3</x:v>
      </x:c>
      <x:c r="C6" s="16" t="n">
        <x:v>10</x:v>
      </x:c>
      <x:c r="D6" s="16" t="n">
        <x:v>6</x:v>
      </x:c>
      <x:c r="E6" s="16" t="n">
        <x:v>3</x:v>
      </x:c>
      <x:c r="F6" s="16" t="n">
        <x:v>5</x:v>
      </x:c>
      <x:c r="G6" s="16" t="n">
        <x:v>8</x:v>
      </x:c>
      <x:c r="H6" s="16" t="n">
        <x:f>IF(B6&gt;0,1,0)+IF(C6&gt;0,1,0)+IF(D6&gt;0,1,0)+IF(E6+F6&gt;0,1,0)+IF(G6&gt;0,1,0)</x:f>
        <x:v>5</x:v>
      </x:c>
      <x:c r="I6" s="16" t="str">
        <x:v>Inherited planning stressor</x:v>
      </x:c>
    </x:row>
    <x:row r="7">
      <x:c r="A7" s="16" t="str">
        <x:v>C3</x:v>
      </x:c>
      <x:c r="B7" s="16" t="n">
        <x:v>4</x:v>
      </x:c>
      <x:c r="C7" s="16" t="n">
        <x:v>6</x:v>
      </x:c>
      <x:c r="D7" s="16" t="n">
        <x:v>10</x:v>
      </x:c>
      <x:c r="E7" s="16" t="n">
        <x:v>4</x:v>
      </x:c>
      <x:c r="F7" s="16" t="n">
        <x:v>8</x:v>
      </x:c>
      <x:c r="G7" s="16" t="n">
        <x:v>12</x:v>
      </x:c>
      <x:c r="H7" s="16" t="n">
        <x:f>IF(B7&gt;0,1,0)+IF(C7&gt;0,1,0)+IF(D7&gt;0,1,0)+IF(E7+F7&gt;0,1,0)+IF(G7&gt;0,1,0)</x:f>
        <x:v>5</x:v>
      </x:c>
      <x:c r="I7" s="16" t="str">
        <x:v>Inherited planning stressor</x:v>
      </x:c>
    </x:row>
    <x:row r="8">
      <x:c r="A8" s="16" t="str">
        <x:v>M1</x:v>
      </x:c>
      <x:c r="B8" s="16" t="n">
        <x:v>12</x:v>
      </x:c>
      <x:c r="C8" s="16" t="n">
        <x:v>0</x:v>
      </x:c>
      <x:c r="D8" s="16" t="n">
        <x:v>3</x:v>
      </x:c>
      <x:c r="E8" s="16" t="n">
        <x:v>2</x:v>
      </x:c>
      <x:c r="F8" s="16" t="n">
        <x:v>3</x:v>
      </x:c>
      <x:c r="G8" s="16" t="n">
        <x:v>4</x:v>
      </x:c>
      <x:c r="H8" s="16" t="n">
        <x:f>IF(B8&gt;0,1,0)+IF(C8&gt;0,1,0)+IF(D8&gt;0,1,0)+IF(E8+F8&gt;0,1,0)+IF(G8&gt;0,1,0)</x:f>
        <x:v>4</x:v>
      </x:c>
      <x:c r="I8" s="16" t="str">
        <x:v>Inherited planning stressor</x:v>
      </x:c>
    </x:row>
    <x:row r="9">
      <x:c r="A9" s="16" t="str">
        <x:v>M2</x:v>
      </x:c>
      <x:c r="B9" s="16" t="n">
        <x:v>3</x:v>
      </x:c>
      <x:c r="C9" s="16" t="n">
        <x:v>0</x:v>
      </x:c>
      <x:c r="D9" s="16" t="n">
        <x:v>6</x:v>
      </x:c>
      <x:c r="E9" s="16" t="n">
        <x:v>2</x:v>
      </x:c>
      <x:c r="F9" s="16" t="n">
        <x:v>4</x:v>
      </x:c>
      <x:c r="G9" s="16" t="n">
        <x:v>2</x:v>
      </x:c>
      <x:c r="H9" s="16" t="n">
        <x:f>IF(B9&gt;0,1,0)+IF(C9&gt;0,1,0)+IF(D9&gt;0,1,0)+IF(E9+F9&gt;0,1,0)+IF(G9&gt;0,1,0)</x:f>
        <x:v>4</x:v>
      </x:c>
      <x:c r="I9" s="16" t="str">
        <x:v>Inherited planning stressor</x:v>
      </x:c>
    </x:row>
    <x:row r="10">
      <x:c r="A10" s="16" t="str">
        <x:v>M3</x:v>
      </x:c>
      <x:c r="B10" s="16" t="n">
        <x:v>1</x:v>
      </x:c>
      <x:c r="C10" s="16" t="n">
        <x:v>12</x:v>
      </x:c>
      <x:c r="D10" s="16" t="n">
        <x:v>5</x:v>
      </x:c>
      <x:c r="E10" s="16" t="n">
        <x:v>2</x:v>
      </x:c>
      <x:c r="F10" s="16" t="n">
        <x:v>3</x:v>
      </x:c>
      <x:c r="G10" s="16" t="n">
        <x:v>8</x:v>
      </x:c>
      <x:c r="H10" s="16" t="n">
        <x:f>IF(B10&gt;0,1,0)+IF(C10&gt;0,1,0)+IF(D10&gt;0,1,0)+IF(E10+F10&gt;0,1,0)+IF(G10&gt;0,1,0)</x:f>
        <x:v>5</x:v>
      </x:c>
      <x:c r="I10" s="16" t="str">
        <x:v>Inherited planning stressor</x:v>
      </x:c>
    </x:row>
    <x:row r="11">
      <x:c r="A11" s="16" t="str">
        <x:v>M4</x:v>
      </x:c>
      <x:c r="B11" s="16" t="n">
        <x:v>2</x:v>
      </x:c>
      <x:c r="C11" s="16" t="n">
        <x:v>3</x:v>
      </x:c>
      <x:c r="D11" s="16" t="n">
        <x:v>4</x:v>
      </x:c>
      <x:c r="E11" s="16" t="n">
        <x:v>3</x:v>
      </x:c>
      <x:c r="F11" s="16" t="n">
        <x:v>5</x:v>
      </x:c>
      <x:c r="G11" s="16" t="n">
        <x:v>10</x:v>
      </x:c>
      <x:c r="H11" s="16" t="n">
        <x:f>IF(B11&gt;0,1,0)+IF(C11&gt;0,1,0)+IF(D11&gt;0,1,0)+IF(E11+F11&gt;0,1,0)+IF(G11&gt;0,1,0)</x:f>
        <x:v>5</x:v>
      </x:c>
      <x:c r="I11" s="16" t="str">
        <x:v>Inherited planning stressor</x:v>
      </x:c>
    </x:row>
    <x:row r="12">
      <x:c r="A12" s="16" t="str">
        <x:v>M5</x:v>
      </x:c>
      <x:c r="B12" s="16" t="n">
        <x:v>2</x:v>
      </x:c>
      <x:c r="C12" s="16" t="n">
        <x:v>2</x:v>
      </x:c>
      <x:c r="D12" s="16" t="n">
        <x:v>6</x:v>
      </x:c>
      <x:c r="E12" s="16" t="n">
        <x:v>2</x:v>
      </x:c>
      <x:c r="F12" s="16" t="n">
        <x:v>3</x:v>
      </x:c>
      <x:c r="G12" s="16" t="n">
        <x:v>4</x:v>
      </x:c>
      <x:c r="H12" s="16" t="n">
        <x:f>IF(B12&gt;0,1,0)+IF(C12&gt;0,1,0)+IF(D12&gt;0,1,0)+IF(E12+F12&gt;0,1,0)+IF(G12&gt;0,1,0)</x:f>
        <x:v>5</x:v>
      </x:c>
      <x:c r="I12" s="16" t="str">
        <x:v>Inherited planning stressor</x:v>
      </x:c>
    </x:row>
    <x:row r="13">
      <x:c r="A13" s="16" t="str">
        <x:v>G1</x:v>
      </x:c>
      <x:c r="B13" s="16" t="n">
        <x:v>2</x:v>
      </x:c>
      <x:c r="C13" s="16" t="n">
        <x:v>4</x:v>
      </x:c>
      <x:c r="D13" s="16" t="n">
        <x:v>8</x:v>
      </x:c>
      <x:c r="E13" s="16" t="n">
        <x:v>4</x:v>
      </x:c>
      <x:c r="F13" s="16" t="n">
        <x:v>8</x:v>
      </x:c>
      <x:c r="G13" s="16" t="n">
        <x:v>10</x:v>
      </x:c>
      <x:c r="H13" s="16" t="n">
        <x:f>IF(B13&gt;0,1,0)+IF(C13&gt;0,1,0)+IF(D13&gt;0,1,0)+IF(E13+F13&gt;0,1,0)+IF(G13&gt;0,1,0)</x:f>
        <x:v>5</x:v>
      </x:c>
      <x:c r="I13" s="16" t="str">
        <x:v>Inherited planning stressor</x:v>
      </x:c>
    </x:row>
    <x:row r="14">
      <x:c r="A14" s="16" t="str">
        <x:v>G2</x:v>
      </x:c>
      <x:c r="B14" s="16" t="n">
        <x:v>2</x:v>
      </x:c>
      <x:c r="C14" s="16" t="n">
        <x:v>12</x:v>
      </x:c>
      <x:c r="D14" s="16" t="n">
        <x:v>7</x:v>
      </x:c>
      <x:c r="E14" s="16" t="n">
        <x:v>4</x:v>
      </x:c>
      <x:c r="F14" s="16" t="n">
        <x:v>6</x:v>
      </x:c>
      <x:c r="G14" s="16" t="n">
        <x:v>8</x:v>
      </x:c>
      <x:c r="H14" s="16" t="n">
        <x:f>IF(B14&gt;0,1,0)+IF(C14&gt;0,1,0)+IF(D14&gt;0,1,0)+IF(E14+F14&gt;0,1,0)+IF(G14&gt;0,1,0)</x:f>
        <x:v>5</x:v>
      </x:c>
      <x:c r="I14" s="16" t="str">
        <x:v>Inherited planning stressor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4" hidden="0" customWidth="1"/>
    <x:col min="6" max="6" width="18" hidden="0" customWidth="1"/>
    <x:col min="7" max="7" width="54" hidden="0" customWidth="1"/>
  </x:cols>
  <x:sheetData>
    <x:row r="1" ht="28" customHeight="1">
      <x:c r="A1" s="49" t="str">
        <x:v>World Compilation Tests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Concurrency is visible now; article-level closure awaits translated bills.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World</x:v>
      </x:c>
      <x:c r="B4" s="52" t="str">
        <x:v>Active portfolios</x:v>
      </x:c>
      <x:c r="C4" s="52" t="str">
        <x:v>All demand translatable</x:v>
      </x:c>
      <x:c r="D4" s="52" t="str">
        <x:v>All needed families G4</x:v>
      </x:c>
      <x:c r="E4" s="52" t="str">
        <x:v>Article schedule available</x:v>
      </x:c>
      <x:c r="F4" s="52" t="str">
        <x:v>World status</x:v>
      </x:c>
      <x:c r="G4" s="52" t="str">
        <x:v>Reason</x:v>
      </x:c>
      <x:c r="H4" s="51"/>
    </x:row>
    <x:row r="5">
      <x:c r="A5" s="16" t="str">
        <x:v>C1</x:v>
      </x:c>
      <x:c r="B5" s="16" t="n">
        <x:f>'07 Worlds'!H5</x:f>
        <x:v>5</x:v>
      </x:c>
      <x:c r="C5" s="16" t="str">
        <x:v>NO</x:v>
      </x:c>
      <x:c r="D5" s="16" t="str">
        <x:v>NO</x:v>
      </x:c>
      <x:c r="E5" s="16" t="str">
        <x:v>NO</x:v>
      </x:c>
      <x:c r="F5" s="16" t="str">
        <x:f>IF(AND(C5="YES",D5="YES",E5="YES"),"COMPILED","HELD")</x:f>
        <x:v>HELD</x:v>
      </x:c>
      <x:c r="G5" s="16" t="str">
        <x:v>Non-fire exact bills and all G4 substitutions absent</x:v>
      </x:c>
      <x:c r="H5" s="51"/>
    </x:row>
    <x:row r="6">
      <x:c r="A6" s="16" t="str">
        <x:v>C2</x:v>
      </x:c>
      <x:c r="B6" s="16" t="n">
        <x:f>'07 Worlds'!H6</x:f>
        <x:v>5</x:v>
      </x:c>
      <x:c r="C6" s="16" t="str">
        <x:v>NO</x:v>
      </x:c>
      <x:c r="D6" s="16" t="str">
        <x:v>NO</x:v>
      </x:c>
      <x:c r="E6" s="16" t="str">
        <x:v>NO</x:v>
      </x:c>
      <x:c r="F6" s="16" t="str">
        <x:f>IF(AND(C6="YES",D6="YES",E6="YES"),"COMPILED","HELD")</x:f>
        <x:v>HELD</x:v>
      </x:c>
      <x:c r="G6" s="16" t="str">
        <x:v>Non-fire exact bills and all G4 substitutions absent</x:v>
      </x:c>
      <x:c r="H6" s="51"/>
    </x:row>
    <x:row r="7">
      <x:c r="A7" s="16" t="str">
        <x:v>C3</x:v>
      </x:c>
      <x:c r="B7" s="16" t="n">
        <x:f>'07 Worlds'!H7</x:f>
        <x:v>5</x:v>
      </x:c>
      <x:c r="C7" s="16" t="str">
        <x:v>NO</x:v>
      </x:c>
      <x:c r="D7" s="16" t="str">
        <x:v>NO</x:v>
      </x:c>
      <x:c r="E7" s="16" t="str">
        <x:v>NO</x:v>
      </x:c>
      <x:c r="F7" s="16" t="str">
        <x:f>IF(AND(C7="YES",D7="YES",E7="YES"),"COMPILED","HELD")</x:f>
        <x:v>HELD</x:v>
      </x:c>
      <x:c r="G7" s="16" t="str">
        <x:v>Non-fire exact bills and all G4 substitutions absent</x:v>
      </x:c>
      <x:c r="H7" s="51"/>
    </x:row>
    <x:row r="8">
      <x:c r="A8" s="16" t="str">
        <x:v>M1</x:v>
      </x:c>
      <x:c r="B8" s="16" t="n">
        <x:f>'07 Worlds'!H8</x:f>
        <x:v>4</x:v>
      </x:c>
      <x:c r="C8" s="16" t="str">
        <x:v>NO</x:v>
      </x:c>
      <x:c r="D8" s="16" t="str">
        <x:v>NO</x:v>
      </x:c>
      <x:c r="E8" s="16" t="str">
        <x:v>NO</x:v>
      </x:c>
      <x:c r="F8" s="16" t="str">
        <x:f>IF(AND(C8="YES",D8="YES",E8="YES"),"COMPILED","HELD")</x:f>
        <x:v>HELD</x:v>
      </x:c>
      <x:c r="G8" s="16" t="str">
        <x:v>Non-fire exact bills and all G4 substitutions absent</x:v>
      </x:c>
      <x:c r="H8" s="51"/>
    </x:row>
    <x:row r="9">
      <x:c r="A9" s="16" t="str">
        <x:v>M2</x:v>
      </x:c>
      <x:c r="B9" s="16" t="n">
        <x:f>'07 Worlds'!H9</x:f>
        <x:v>4</x:v>
      </x:c>
      <x:c r="C9" s="16" t="str">
        <x:v>NO</x:v>
      </x:c>
      <x:c r="D9" s="16" t="str">
        <x:v>NO</x:v>
      </x:c>
      <x:c r="E9" s="16" t="str">
        <x:v>NO</x:v>
      </x:c>
      <x:c r="F9" s="16" t="str">
        <x:f>IF(AND(C9="YES",D9="YES",E9="YES"),"COMPILED","HELD")</x:f>
        <x:v>HELD</x:v>
      </x:c>
      <x:c r="G9" s="16" t="str">
        <x:v>Non-fire exact bills and all G4 substitutions absent</x:v>
      </x:c>
      <x:c r="H9" s="51"/>
    </x:row>
    <x:row r="10">
      <x:c r="A10" s="16" t="str">
        <x:v>M3</x:v>
      </x:c>
      <x:c r="B10" s="16" t="n">
        <x:f>'07 Worlds'!H10</x:f>
        <x:v>5</x:v>
      </x:c>
      <x:c r="C10" s="16" t="str">
        <x:v>NO</x:v>
      </x:c>
      <x:c r="D10" s="16" t="str">
        <x:v>NO</x:v>
      </x:c>
      <x:c r="E10" s="16" t="str">
        <x:v>NO</x:v>
      </x:c>
      <x:c r="F10" s="16" t="str">
        <x:f>IF(AND(C10="YES",D10="YES",E10="YES"),"COMPILED","HELD")</x:f>
        <x:v>HELD</x:v>
      </x:c>
      <x:c r="G10" s="16" t="str">
        <x:v>Non-fire exact bills and all G4 substitutions absent</x:v>
      </x:c>
      <x:c r="H10" s="51"/>
    </x:row>
    <x:row r="11">
      <x:c r="A11" s="16" t="str">
        <x:v>M4</x:v>
      </x:c>
      <x:c r="B11" s="16" t="n">
        <x:f>'07 Worlds'!H11</x:f>
        <x:v>5</x:v>
      </x:c>
      <x:c r="C11" s="16" t="str">
        <x:v>NO</x:v>
      </x:c>
      <x:c r="D11" s="16" t="str">
        <x:v>NO</x:v>
      </x:c>
      <x:c r="E11" s="16" t="str">
        <x:v>NO</x:v>
      </x:c>
      <x:c r="F11" s="16" t="str">
        <x:f>IF(AND(C11="YES",D11="YES",E11="YES"),"COMPILED","HELD")</x:f>
        <x:v>HELD</x:v>
      </x:c>
      <x:c r="G11" s="16" t="str">
        <x:v>Non-fire exact bills and all G4 substitutions absent</x:v>
      </x:c>
      <x:c r="H11" s="51"/>
    </x:row>
    <x:row r="12">
      <x:c r="A12" s="16" t="str">
        <x:v>M5</x:v>
      </x:c>
      <x:c r="B12" s="16" t="n">
        <x:f>'07 Worlds'!H12</x:f>
        <x:v>5</x:v>
      </x:c>
      <x:c r="C12" s="16" t="str">
        <x:v>NO</x:v>
      </x:c>
      <x:c r="D12" s="16" t="str">
        <x:v>NO</x:v>
      </x:c>
      <x:c r="E12" s="16" t="str">
        <x:v>NO</x:v>
      </x:c>
      <x:c r="F12" s="16" t="str">
        <x:f>IF(AND(C12="YES",D12="YES",E12="YES"),"COMPILED","HELD")</x:f>
        <x:v>HELD</x:v>
      </x:c>
      <x:c r="G12" s="16" t="str">
        <x:v>Non-fire exact bills and all G4 substitutions absent</x:v>
      </x:c>
      <x:c r="H12" s="51"/>
    </x:row>
    <x:row r="13">
      <x:c r="A13" s="16" t="str">
        <x:v>G1</x:v>
      </x:c>
      <x:c r="B13" s="16" t="n">
        <x:f>'07 Worlds'!H13</x:f>
        <x:v>5</x:v>
      </x:c>
      <x:c r="C13" s="16" t="str">
        <x:v>NO</x:v>
      </x:c>
      <x:c r="D13" s="16" t="str">
        <x:v>NO</x:v>
      </x:c>
      <x:c r="E13" s="16" t="str">
        <x:v>NO</x:v>
      </x:c>
      <x:c r="F13" s="16" t="str">
        <x:f>IF(AND(C13="YES",D13="YES",E13="YES"),"COMPILED","HELD")</x:f>
        <x:v>HELD</x:v>
      </x:c>
      <x:c r="G13" s="16" t="str">
        <x:v>Non-fire exact bills and all G4 substitutions absent</x:v>
      </x:c>
      <x:c r="H13" s="51"/>
    </x:row>
    <x:row r="14">
      <x:c r="A14" s="16" t="str">
        <x:v>G2</x:v>
      </x:c>
      <x:c r="B14" s="16" t="n">
        <x:f>'07 Worlds'!H14</x:f>
        <x:v>5</x:v>
      </x:c>
      <x:c r="C14" s="16" t="str">
        <x:v>NO</x:v>
      </x:c>
      <x:c r="D14" s="16" t="str">
        <x:v>NO</x:v>
      </x:c>
      <x:c r="E14" s="16" t="str">
        <x:v>NO</x:v>
      </x:c>
      <x:c r="F14" s="16" t="str">
        <x:f>IF(AND(C14="YES",D14="YES",E14="YES"),"COMPILED","HELD")</x:f>
        <x:v>HELD</x:v>
      </x:c>
      <x:c r="G14" s="16" t="str">
        <x:v>Non-fire exact bills and all G4 substitutions absent</x:v>
      </x:c>
      <x:c r="H14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7A83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2" hidden="0" customWidth="1"/>
    <x:col min="5" max="5" width="44" hidden="0" customWidth="1"/>
    <x:col min="6" max="6" width="24" hidden="0" customWidth="1"/>
  </x:cols>
  <x:sheetData>
    <x:row r="1" ht="28" customHeight="1">
      <x:c r="A1" s="49" t="str">
        <x:v>Known National-Common Quantity Floor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Fire-derived common articles plus common infrastructure and production capital.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Layer</x:v>
      </x:c>
      <x:c r="B4" s="52" t="str">
        <x:v>Quantity</x:v>
      </x:c>
      <x:c r="C4" s="52" t="str">
        <x:v>Unit</x:v>
      </x:c>
      <x:c r="D4" s="52" t="str">
        <x:v>Capital USD B</x:v>
      </x:c>
      <x:c r="E4" s="52" t="str">
        <x:v>Calculation</x:v>
      </x:c>
      <x:c r="F4" s="52" t="str">
        <x:v>Authority</x:v>
      </x:c>
      <x:c r="G4" s="51"/>
      <x:c r="H4" s="51"/>
    </x:row>
    <x:row r="5">
      <x:c r="A5" s="16" t="str">
        <x:v>Common articles</x:v>
      </x:c>
      <x:c r="B5" s="16" t="n">
        <x:f>'04 Common Families'!D16</x:f>
        <x:v>200752</x:v>
      </x:c>
      <x:c r="C5" s="16" t="str">
        <x:v>articles</x:v>
      </x:c>
      <x:c r="D5" s="37" t="n">
        <x:f>'04 Common Families'!F16</x:f>
        <x:v>1198.4319999999998</x:v>
      </x:c>
      <x:c r="E5" s="16" t="str">
        <x:v>Eleven C24-derived families</x:v>
      </x:c>
      <x:c r="F5" s="16" t="str">
        <x:v>Conserved floor</x:v>
      </x:c>
      <x:c r="G5" s="51"/>
      <x:c r="H5" s="51"/>
    </x:row>
    <x:row r="6">
      <x:c r="A6" s="16" t="str">
        <x:v>Launch and receiver stations</x:v>
      </x:c>
      <x:c r="B6" s="16"/>
      <x:c r="C6" s="16" t="str">
        <x:v>infrastructure</x:v>
      </x:c>
      <x:c r="D6" s="37" t="n">
        <x:v>144</x:v>
      </x:c>
      <x:c r="E6" s="16" t="str">
        <x:v>RBW-1 allocation</x:v>
      </x:c>
      <x:c r="F6" s="16" t="str">
        <x:v>Conserved floor</x:v>
      </x:c>
      <x:c r="G6" s="51"/>
      <x:c r="H6" s="51"/>
    </x:row>
    <x:row r="7">
      <x:c r="A7" s="16" t="str">
        <x:v>Production enlargement</x:v>
      </x:c>
      <x:c r="B7" s="16"/>
      <x:c r="C7" s="16" t="str">
        <x:v>industrial capacity</x:v>
      </x:c>
      <x:c r="D7" s="37" t="n">
        <x:v>126.835746</x:v>
      </x:c>
      <x:c r="E7" s="16" t="str">
        <x:v>RBW-1 common-family allocation</x:v>
      </x:c>
      <x:c r="F7" s="16" t="str">
        <x:v>Conserved floor</x:v>
      </x:c>
      <x:c r="G7" s="51"/>
      <x:c r="H7" s="51"/>
    </x:row>
    <x:row r="8">
      <x:c r="A8" s="16" t="str">
        <x:v>Strategic rail, port, air interfaces</x:v>
      </x:c>
      <x:c r="B8" s="16"/>
      <x:c r="C8" s="16" t="str">
        <x:v>infrastructure</x:v>
      </x:c>
      <x:c r="D8" s="37" t="n">
        <x:v>180</x:v>
      </x:c>
      <x:c r="E8" s="16" t="str">
        <x:v>RBW-1 allocation</x:v>
      </x:c>
      <x:c r="F8" s="16" t="str">
        <x:v>Conserved floor</x:v>
      </x:c>
      <x:c r="G8" s="51"/>
      <x:c r="H8" s="51"/>
    </x:row>
    <x:row r="9">
      <x:c r="A9" s="16" t="str">
        <x:v>Common infrastructure and production</x:v>
      </x:c>
      <x:c r="B9" s="16"/>
      <x:c r="C9" s="16" t="str">
        <x:v>USD B</x:v>
      </x:c>
      <x:c r="D9" s="37" t="n">
        <x:f>SUM(D6:D8)</x:f>
        <x:v>450.835746</x:v>
      </x:c>
      <x:c r="E9" s="16" t="str">
        <x:v>Sum of three infrastructure layers</x:v>
      </x:c>
      <x:c r="F9" s="16" t="str">
        <x:v>Conserved floor</x:v>
      </x:c>
      <x:c r="G9" s="51"/>
      <x:c r="H9" s="51"/>
    </x:row>
    <x:row r="10">
      <x:c r="A10" s="36" t="str">
        <x:v>KNOWN NATIONAL COMMON FORCE</x:v>
      </x:c>
      <x:c r="B10" s="36"/>
      <x:c r="C10" s="36" t="str">
        <x:v>USD B</x:v>
      </x:c>
      <x:c r="D10" s="38" t="n">
        <x:f>D5+D9</x:f>
        <x:v>1649.2677459999998</x:v>
      </x:c>
      <x:c r="E10" s="36" t="str">
        <x:v>Articles + infrastructure</x:v>
      </x:c>
      <x:c r="F10" s="36" t="str">
        <x:v>Planning floor</x:v>
      </x:c>
      <x:c r="G10" s="51"/>
      <x:c r="H10" s="51"/>
    </x:row>
    <x:row r="11">
      <x:c r="A11" s="16" t="str">
        <x:v>Additional non-fire demand</x:v>
      </x:c>
      <x:c r="B11" s="16"/>
      <x:c r="C11" s="16" t="str">
        <x:v>articles</x:v>
      </x:c>
      <x:c r="D11" s="37"/>
      <x:c r="E11" s="16" t="str">
        <x:v>Translation incomplete</x:v>
      </x:c>
      <x:c r="F11" s="16" t="str">
        <x:v>UNAVAILABLE</x:v>
      </x:c>
      <x:c r="G11" s="51"/>
      <x:c r="H11" s="51"/>
    </x:row>
    <x:row r="12">
      <x:c r="A12" s="16" t="str">
        <x:v>Cross-portfolio quantity credit</x:v>
      </x:c>
      <x:c r="B12" s="16" t="n">
        <x:v>0</x:v>
      </x:c>
      <x:c r="C12" s="16" t="str">
        <x:v>articles</x:v>
      </x:c>
      <x:c r="D12" s="37" t="n">
        <x:v>0</x:v>
      </x:c>
      <x:c r="E12" s="16" t="str">
        <x:v>No G4 translation</x:v>
      </x:c>
      <x:c r="F12" s="16" t="str">
        <x:v>NONE</x:v>
      </x:c>
      <x:c r="G12" s="51"/>
      <x:c r="H12" s="51"/>
    </x:row>
    <x:row r="13">
      <x:c r="A13" s="16" t="str">
        <x:v>Admitted capital reduction</x:v>
      </x:c>
      <x:c r="B13" s="16" t="n">
        <x:v>0</x:v>
      </x:c>
      <x:c r="C13" s="16" t="str">
        <x:v>USD B</x:v>
      </x:c>
      <x:c r="D13" s="37" t="n">
        <x:v>0</x:v>
      </x:c>
      <x:c r="E13" s="16" t="str">
        <x:v>No G4 plus reservation closure</x:v>
      </x:c>
      <x:c r="F13" s="16" t="str">
        <x:v>NONE</x:v>
      </x:c>
      <x:c r="G13" s="51"/>
      <x:c r="H13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36" hidden="0" customWidth="1"/>
    <x:col min="5" max="5" width="20" hidden="0" customWidth="1"/>
    <x:col min="6" max="6" width="54" hidden="0" customWidth="1"/>
  </x:cols>
  <x:sheetData>
    <x:row r="1" ht="28" customHeight="1">
      <x:c r="A1" s="49" t="str">
        <x:v>Nonadditive Financial Boundaries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Useful inherited numbers with incompatible scopes; the sheet deliberately refuses a false Department total.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Object</x:v>
      </x:c>
      <x:c r="B4" s="52" t="str">
        <x:v>Value USD B</x:v>
      </x:c>
      <x:c r="C4" s="52" t="str">
        <x:v>Time basis</x:v>
      </x:c>
      <x:c r="D4" s="52" t="str">
        <x:v>Scope</x:v>
      </x:c>
      <x:c r="E4" s="52" t="str">
        <x:v>Can be summed here?</x:v>
      </x:c>
      <x:c r="F4" s="52" t="str">
        <x:v>Reason</x:v>
      </x:c>
      <x:c r="G4" s="51"/>
      <x:c r="H4" s="51"/>
    </x:row>
    <x:row r="5">
      <x:c r="A5" s="16" t="str">
        <x:v>C24 fire service</x:v>
      </x:c>
      <x:c r="B5" s="16" t="n">
        <x:v>3641.2016</x:v>
      </x:c>
      <x:c r="C5" s="16" t="str">
        <x:v>Initial capital</x:v>
      </x:c>
      <x:c r="D5" s="16" t="str">
        <x:v>Successor national guarantee</x:v>
      </x:c>
      <x:c r="E5" s="16" t="str">
        <x:v>NO</x:v>
      </x:c>
      <x:c r="F5" s="16" t="str">
        <x:v>Contains complete fire force and common allocation</x:v>
      </x:c>
      <x:c r="G5" s="51"/>
      <x:c r="H5" s="51"/>
    </x:row>
    <x:row r="6">
      <x:c r="A6" s="16" t="str">
        <x:v>Flood-water thought experiment</x:v>
      </x:c>
      <x:c r="B6" s="16" t="n">
        <x:v>1000</x:v>
      </x:c>
      <x:c r="C6" s="16" t="str">
        <x:v>Capital and research</x:v>
      </x:c>
      <x:c r="D6" s="16" t="str">
        <x:v>Broad portfolio allocation</x:v>
      </x:c>
      <x:c r="E6" s="16" t="str">
        <x:v>NO</x:v>
      </x:c>
      <x:c r="F6" s="16" t="str">
        <x:v>Not translated into common-family or national reservation bill</x:v>
      </x:c>
      <x:c r="G6" s="51"/>
      <x:c r="H6" s="51"/>
    </x:row>
    <x:row r="7">
      <x:c r="A7" s="16" t="str">
        <x:v>108 PRG-100 canonical line</x:v>
      </x:c>
      <x:c r="B7" s="16" t="n">
        <x:v>259.2</x:v>
      </x:c>
      <x:c r="C7" s="16" t="str">
        <x:v>Initial capital incl. reserve</x:v>
      </x:c>
      <x:c r="D7" s="16" t="str">
        <x:v>Canonical line with shared credit</x:v>
      </x:c>
      <x:c r="E7" s="16" t="str">
        <x:v>NO</x:v>
      </x:c>
      <x:c r="F7" s="16" t="str">
        <x:v>Inherited credit and different maturity</x:v>
      </x:c>
      <x:c r="G7" s="51"/>
      <x:c r="H7" s="51"/>
    </x:row>
    <x:row r="8">
      <x:c r="A8" s="16" t="str">
        <x:v>H-THC + H-PMG</x:v>
      </x:c>
      <x:c r="B8" s="16" t="n">
        <x:v>202.8</x:v>
      </x:c>
      <x:c r="C8" s="16" t="str">
        <x:v>Initial capital incl. reserve</x:v>
      </x:c>
      <x:c r="D8" s="16" t="str">
        <x:v>Bounded canonical proxies</x:v>
      </x:c>
      <x:c r="E8" s="16" t="str">
        <x:v>NO</x:v>
      </x:c>
      <x:c r="F8" s="16" t="str">
        <x:v>Not a complete medical service</x:v>
      </x:c>
      <x:c r="G8" s="51"/>
      <x:c r="H8" s="51"/>
    </x:row>
    <x:row r="9">
      <x:c r="A9" s="16" t="str">
        <x:v>TAFG-1</x:v>
      </x:c>
      <x:c r="B9" s="16" t="n">
        <x:v>1231.7</x:v>
      </x:c>
      <x:c r="C9" s="16" t="str">
        <x:v>25-year lifecycle and research</x:v>
      </x:c>
      <x:c r="D9" s="16" t="str">
        <x:v>Successor access program</x:v>
      </x:c>
      <x:c r="E9" s="16" t="str">
        <x:v>NO</x:v>
      </x:c>
      <x:c r="F9" s="16" t="str">
        <x:v>Contains lifecycle, research, and predecessor replacement</x:v>
      </x:c>
      <x:c r="G9" s="51"/>
      <x:c r="H9" s="51"/>
    </x:row>
    <x:row r="10">
      <x:c r="A10" s="16" t="str">
        <x:v>Known common-force floor</x:v>
      </x:c>
      <x:c r="B10" s="16" t="n">
        <x:f>'09 Quantity Floor'!D10</x:f>
        <x:v>1649.2677459999998</x:v>
      </x:c>
      <x:c r="C10" s="16" t="str">
        <x:v>Initial capital</x:v>
      </x:c>
      <x:c r="D10" s="16" t="str">
        <x:v>C24-derived common allocation</x:v>
      </x:c>
      <x:c r="E10" s="16" t="str">
        <x:v>YES—floor only</x:v>
      </x:c>
      <x:c r="F10" s="16" t="str">
        <x:v>Not a Department total</x:v>
      </x:c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 ht="36" customHeight="1">
      <x:c r="A12" s="53" t="str">
        <x:v>The absence of a summed total is an integrity control. Initial capital, lifecycle, technology, successor replacement, and inherited credits cannot be added without a line-by-line bridge.</x:v>
      </x:c>
      <x:c r="B12" s="54"/>
      <x:c r="C12" s="54"/>
      <x:c r="D12" s="54"/>
      <x:c r="E12" s="54"/>
      <x:c r="F12" s="54"/>
      <x:c r="G12" s="54"/>
      <x:c r="H12" s="55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D7A83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2" hidden="0" customWidth="1"/>
  </x:cols>
  <x:sheetData>
    <x:row r="1" ht="28" customHeight="1">
      <x:c r="A1" s="49" t="str">
        <x:v>USD 1 Trillion Technology-Convergence Envelope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Eight rival programs plus a protected failure and recompete reserve.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Program</x:v>
      </x:c>
      <x:c r="B4" s="52" t="str">
        <x:v>Research field</x:v>
      </x:c>
      <x:c r="C4" s="52" t="str">
        <x:v>Base USD B</x:v>
      </x:c>
      <x:c r="D4" s="52" t="str">
        <x:v>Share of base</x:v>
      </x:c>
      <x:c r="E4" s="52" t="str">
        <x:v>Failure reserve USD B</x:v>
      </x:c>
      <x:c r="F4" s="52" t="str">
        <x:v>25-year program USD B</x:v>
      </x:c>
      <x:c r="G4" s="52" t="str">
        <x:v>Authority</x:v>
      </x:c>
      <x:c r="H4" s="51"/>
    </x:row>
    <x:row r="5">
      <x:c r="A5" s="16" t="str">
        <x:v>TCP-01</x:v>
      </x:c>
      <x:c r="B5" s="16" t="str">
        <x:v>Power and thermal utility cores</x:v>
      </x:c>
      <x:c r="C5" s="41" t="n">
        <x:v>110</x:v>
      </x:c>
      <x:c r="D5" s="39" t="n">
        <x:f>C5/$C$13</x:f>
        <x:v>0.1375</x:v>
      </x:c>
      <x:c r="E5" s="41" t="n">
        <x:f>C5*'01 Control'!$B$6</x:f>
        <x:v>27.5</x:v>
      </x:c>
      <x:c r="F5" s="41" t="n">
        <x:f>C5+E5</x:f>
        <x:v>137.5</x:v>
      </x:c>
      <x:c r="G5" s="16" t="str">
        <x:v>POLICY ENVELOPE</x:v>
      </x:c>
      <x:c r="H5" s="51"/>
    </x:row>
    <x:row r="6">
      <x:c r="A6" s="16" t="str">
        <x:v>TCP-02</x:v>
      </x:c>
      <x:c r="B6" s="16" t="str">
        <x:v>Water-energy carriers</x:v>
      </x:c>
      <x:c r="C6" s="41" t="n">
        <x:v>150</x:v>
      </x:c>
      <x:c r="D6" s="39" t="n">
        <x:f>C6/$C$13</x:f>
        <x:v>0.1875</x:v>
      </x:c>
      <x:c r="E6" s="41" t="n">
        <x:f>C6*'01 Control'!$B$6</x:f>
        <x:v>37.5</x:v>
      </x:c>
      <x:c r="F6" s="41" t="n">
        <x:f>C6+E6</x:f>
        <x:v>187.5</x:v>
      </x:c>
      <x:c r="G6" s="16" t="str">
        <x:v>POLICY ENVELOPE</x:v>
      </x:c>
      <x:c r="H6" s="51"/>
    </x:row>
    <x:row r="7">
      <x:c r="A7" s="16" t="str">
        <x:v>TCP-03</x:v>
      </x:c>
      <x:c r="B7" s="16" t="str">
        <x:v>Rapid linear infrastructure</x:v>
      </x:c>
      <x:c r="C7" s="41" t="n">
        <x:v>130</x:v>
      </x:c>
      <x:c r="D7" s="39" t="n">
        <x:f>C7/$C$13</x:f>
        <x:v>0.1625</x:v>
      </x:c>
      <x:c r="E7" s="41" t="n">
        <x:f>C7*'01 Control'!$B$6</x:f>
        <x:v>32.5</x:v>
      </x:c>
      <x:c r="F7" s="41" t="n">
        <x:f>C7+E7</x:f>
        <x:v>162.5</x:v>
      </x:c>
      <x:c r="G7" s="16" t="str">
        <x:v>POLICY ENVELOPE</x:v>
      </x:c>
      <x:c r="H7" s="51"/>
    </x:row>
    <x:row r="8">
      <x:c r="A8" s="16" t="str">
        <x:v>TCP-04</x:v>
      </x:c>
      <x:c r="B8" s="16" t="str">
        <x:v>Autonomous civil works</x:v>
      </x:c>
      <x:c r="C8" s="41" t="n">
        <x:v>105</x:v>
      </x:c>
      <x:c r="D8" s="39" t="n">
        <x:f>C8/$C$13</x:f>
        <x:v>0.13125</x:v>
      </x:c>
      <x:c r="E8" s="41" t="n">
        <x:f>C8*'01 Control'!$B$6</x:f>
        <x:v>26.25</x:v>
      </x:c>
      <x:c r="F8" s="41" t="n">
        <x:f>C8+E8</x:f>
        <x:v>131.25</x:v>
      </x:c>
      <x:c r="G8" s="16" t="str">
        <x:v>POLICY ENVELOPE</x:v>
      </x:c>
      <x:c r="H8" s="51"/>
    </x:row>
    <x:row r="9">
      <x:c r="A9" s="16" t="str">
        <x:v>TCP-05</x:v>
      </x:c>
      <x:c r="B9" s="16" t="str">
        <x:v>Governed mobility and load interfaces</x:v>
      </x:c>
      <x:c r="C9" s="41" t="n">
        <x:v>90</x:v>
      </x:c>
      <x:c r="D9" s="39" t="n">
        <x:f>C9/$C$13</x:f>
        <x:v>0.1125</x:v>
      </x:c>
      <x:c r="E9" s="41" t="n">
        <x:f>C9*'01 Control'!$B$6</x:f>
        <x:v>22.5</x:v>
      </x:c>
      <x:c r="F9" s="41" t="n">
        <x:f>C9+E9</x:f>
        <x:v>112.5</x:v>
      </x:c>
      <x:c r="G9" s="16" t="str">
        <x:v>POLICY ENVELOPE</x:v>
      </x:c>
      <x:c r="H9" s="51"/>
    </x:row>
    <x:row r="10">
      <x:c r="A10" s="16" t="str">
        <x:v>TCP-06</x:v>
      </x:c>
      <x:c r="B10" s="16" t="str">
        <x:v>Clinical and shelter continuity</x:v>
      </x:c>
      <x:c r="C10" s="41" t="n">
        <x:v>75</x:v>
      </x:c>
      <x:c r="D10" s="39" t="n">
        <x:f>C10/$C$13</x:f>
        <x:v>0.09375</x:v>
      </x:c>
      <x:c r="E10" s="41" t="n">
        <x:f>C10*'01 Control'!$B$6</x:f>
        <x:v>18.75</x:v>
      </x:c>
      <x:c r="F10" s="41" t="n">
        <x:f>C10+E10</x:f>
        <x:v>93.75</x:v>
      </x:c>
      <x:c r="G10" s="16" t="str">
        <x:v>POLICY ENVELOPE</x:v>
      </x:c>
      <x:c r="H10" s="51"/>
    </x:row>
    <x:row r="11">
      <x:c r="A11" s="16" t="str">
        <x:v>TCP-07</x:v>
      </x:c>
      <x:c r="B11" s="16" t="str">
        <x:v>Disconnected command and reservation</x:v>
      </x:c>
      <x:c r="C11" s="41" t="n">
        <x:v>55</x:v>
      </x:c>
      <x:c r="D11" s="39" t="n">
        <x:f>C11/$C$13</x:f>
        <x:v>0.06875</x:v>
      </x:c>
      <x:c r="E11" s="41" t="n">
        <x:f>C11*'01 Control'!$B$6</x:f>
        <x:v>13.75</x:v>
      </x:c>
      <x:c r="F11" s="41" t="n">
        <x:f>C11+E11</x:f>
        <x:v>68.75</x:v>
      </x:c>
      <x:c r="G11" s="16" t="str">
        <x:v>POLICY ENVELOPE</x:v>
      </x:c>
      <x:c r="H11" s="51"/>
    </x:row>
    <x:row r="12">
      <x:c r="A12" s="16" t="str">
        <x:v>TCP-08</x:v>
      </x:c>
      <x:c r="B12" s="16" t="str">
        <x:v>Proving, industrial roots, metrology</x:v>
      </x:c>
      <x:c r="C12" s="41" t="n">
        <x:v>85</x:v>
      </x:c>
      <x:c r="D12" s="39" t="n">
        <x:f>C12/$C$13</x:f>
        <x:v>0.10625</x:v>
      </x:c>
      <x:c r="E12" s="41" t="n">
        <x:f>C12*'01 Control'!$B$6</x:f>
        <x:v>21.25</x:v>
      </x:c>
      <x:c r="F12" s="41" t="n">
        <x:f>C12+E12</x:f>
        <x:v>106.25</x:v>
      </x:c>
      <x:c r="G12" s="16" t="str">
        <x:v>POLICY ENVELOPE</x:v>
      </x:c>
      <x:c r="H12" s="51"/>
    </x:row>
    <x:row r="13">
      <x:c r="A13" s="56" t="str">
        <x:v>TOTAL</x:v>
      </x:c>
      <x:c r="B13" s="56"/>
      <x:c r="C13" s="58" t="n">
        <x:f>SUM(C5:C12)</x:f>
        <x:v>800</x:v>
      </x:c>
      <x:c r="D13" s="59" t="n">
        <x:f>SUM(D5:D12)</x:f>
        <x:v>1</x:v>
      </x:c>
      <x:c r="E13" s="58" t="n">
        <x:f>SUM(E5:E12)</x:f>
        <x:v>200</x:v>
      </x:c>
      <x:c r="F13" s="58" t="n">
        <x:f>SUM(F5:F12)</x:f>
        <x:v>1000</x:v>
      </x:c>
      <x:c r="G13" s="56"/>
      <x:c r="H13" s="51"/>
    </x:row>
  </x:sheetData>
  <x:mergeCells>
    <x:mergeCell ref="A1:H1"/>
    <x:mergeCell ref="A2:H2"/>
    <x:mergeCell ref="A13:B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2" hidden="0" customWidth="1"/>
    <x:col min="5" max="5" width="64" hidden="0" customWidth="1"/>
  </x:cols>
  <x:sheetData>
    <x:row r="1" ht="28" customHeight="1">
      <x:c r="A1" s="49" t="str">
        <x:v>Twenty-Five-Year Technology Cadence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Five blocks defer the largest commitments until representative service chains exist.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Block</x:v>
      </x:c>
      <x:c r="B4" s="52" t="str">
        <x:v>Share</x:v>
      </x:c>
      <x:c r="C4" s="52" t="str">
        <x:v>USD B</x:v>
      </x:c>
      <x:c r="D4" s="52" t="str">
        <x:v>Cumulative USD B</x:v>
      </x:c>
      <x:c r="E4" s="52" t="str">
        <x:v>Principal work</x:v>
      </x:c>
      <x:c r="F4" s="51"/>
      <x:c r="G4" s="51"/>
      <x:c r="H4" s="51"/>
    </x:row>
    <x:row r="5">
      <x:c r="A5" s="16" t="str">
        <x:v>Years 1–5</x:v>
      </x:c>
      <x:c r="B5" s="39" t="n">
        <x:v>0.12</x:v>
      </x:c>
      <x:c r="C5" s="41" t="n">
        <x:f>B5*'11 Tech Portfolio'!$F$13</x:f>
        <x:v>120</x:v>
      </x:c>
      <x:c r="D5" s="41" t="n">
        <x:f>SUM($C$5:C5)</x:f>
        <x:v>120</x:v>
      </x:c>
      <x:c r="E5" s="16" t="str">
        <x:v>Standards, rival principles, component ranges, workforce</x:v>
      </x:c>
      <x:c r="F5" s="51"/>
      <x:c r="G5" s="51"/>
      <x:c r="H5" s="51"/>
    </x:row>
    <x:row r="6">
      <x:c r="A6" s="16" t="str">
        <x:v>Years 6–10</x:v>
      </x:c>
      <x:c r="B6" s="39" t="n">
        <x:v>0.2</x:v>
      </x:c>
      <x:c r="C6" s="41" t="n">
        <x:f>B6*'11 Tech Portfolio'!$F$13</x:f>
        <x:v>200</x:v>
      </x:c>
      <x:c r="D6" s="41" t="n">
        <x:f>SUM($C$5:C6)</x:f>
        <x:v>320</x:v>
      </x:c>
      <x:c r="E6" s="16" t="str">
        <x:v>Representative modules, destructive trials, integrated chains</x:v>
      </x:c>
      <x:c r="F6" s="51"/>
      <x:c r="G6" s="51"/>
      <x:c r="H6" s="51"/>
    </x:row>
    <x:row r="7">
      <x:c r="A7" s="16" t="str">
        <x:v>Years 11–15</x:v>
      </x:c>
      <x:c r="B7" s="39" t="n">
        <x:v>0.26</x:v>
      </x:c>
      <x:c r="C7" s="41" t="n">
        <x:f>B7*'11 Tech Portfolio'!$F$13</x:f>
        <x:v>260</x:v>
      </x:c>
      <x:c r="D7" s="41" t="n">
        <x:f>SUM($C$5:C7)</x:f>
        <x:v>580</x:v>
      </x:c>
      <x:c r="E7" s="16" t="str">
        <x:v>Pilot roots, compound missions, replacement of failed paths</x:v>
      </x:c>
      <x:c r="F7" s="51"/>
      <x:c r="G7" s="51"/>
      <x:c r="H7" s="51"/>
    </x:row>
    <x:row r="8">
      <x:c r="A8" s="16" t="str">
        <x:v>Years 16–20</x:v>
      </x:c>
      <x:c r="B8" s="39" t="n">
        <x:v>0.24</x:v>
      </x:c>
      <x:c r="C8" s="41" t="n">
        <x:f>B8*'11 Tech Portfolio'!$F$13</x:f>
        <x:v>240</x:v>
      </x:c>
      <x:c r="D8" s="41" t="n">
        <x:f>SUM($C$5:C8)</x:f>
        <x:v>820</x:v>
      </x:c>
      <x:c r="E8" s="16" t="str">
        <x:v>Multi-region systems, receivers, allied qualification</x:v>
      </x:c>
      <x:c r="F8" s="51"/>
      <x:c r="G8" s="51"/>
      <x:c r="H8" s="51"/>
    </x:row>
    <x:row r="9">
      <x:c r="A9" s="16" t="str">
        <x:v>Years 21–25</x:v>
      </x:c>
      <x:c r="B9" s="39" t="n">
        <x:v>0.18</x:v>
      </x:c>
      <x:c r="C9" s="41" t="n">
        <x:f>B9*'11 Tech Portfolio'!$F$13</x:f>
        <x:v>180</x:v>
      </x:c>
      <x:c r="D9" s="41" t="n">
        <x:f>SUM($C$5:C9)</x:f>
        <x:v>1000</x:v>
      </x:c>
      <x:c r="E9" s="16" t="str">
        <x:v>Production transition, export families, second-generation competition</x:v>
      </x:c>
      <x:c r="F9" s="51"/>
      <x:c r="G9" s="51"/>
      <x:c r="H9" s="51"/>
    </x:row>
    <x:row r="10">
      <x:c r="A10" s="60" t="str">
        <x:v>TOTAL</x:v>
      </x:c>
      <x:c r="B10" s="61" t="n">
        <x:f>SUM(B5:B9)</x:f>
        <x:v>1</x:v>
      </x:c>
      <x:c r="C10" s="62" t="n">
        <x:f>SUM(C5:C9)</x:f>
        <x:v>1000</x:v>
      </x:c>
      <x:c r="D10" s="62" t="n">
        <x:f>D9</x:f>
        <x:v>1000</x:v>
      </x:c>
      <x:c r="E10" s="60"/>
      <x:c r="F10" s="51"/>
      <x:c r="G10" s="51"/>
      <x:c r="H10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16" hidden="0" customWidth="1"/>
    <x:col min="4" max="4" width="46" hidden="0" customWidth="1"/>
    <x:col min="5" max="5" width="44" hidden="0" customWidth="1"/>
  </x:cols>
  <x:sheetData>
    <x:row r="1" ht="28" customHeight="1">
      <x:c r="A1" s="49" t="str">
        <x:v>Technology-Enterprise Workforce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Peak affiliated positions; not additive to operating-force counts without reconciliation.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Component</x:v>
      </x:c>
      <x:c r="B4" s="52" t="str">
        <x:v>Peak positions</x:v>
      </x:c>
      <x:c r="C4" s="52" t="str">
        <x:v>Share</x:v>
      </x:c>
      <x:c r="D4" s="52" t="str">
        <x:v>Primary role</x:v>
      </x:c>
      <x:c r="E4" s="52" t="str">
        <x:v>Double-counting rule</x:v>
      </x:c>
      <x:c r="F4" s="51"/>
      <x:c r="G4" s="51"/>
      <x:c r="H4" s="51"/>
    </x:row>
    <x:row r="5">
      <x:c r="A5" s="16" t="str">
        <x:v>Public labs, ranges, acquisition, standards</x:v>
      </x:c>
      <x:c r="B5" s="16" t="n">
        <x:v>120000</x:v>
      </x:c>
      <x:c r="C5" s="39" t="n">
        <x:f>B5/$B$10</x:f>
        <x:v>0.24</x:v>
      </x:c>
      <x:c r="D5" s="16" t="str">
        <x:v>Sovereign technical judgment</x:v>
      </x:c>
      <x:c r="E5" s="16" t="str">
        <x:v>Reconcile with public force billets</x:v>
      </x:c>
      <x:c r="F5" s="51"/>
      <x:c r="G5" s="51"/>
      <x:c r="H5" s="51"/>
    </x:row>
    <x:row r="6">
      <x:c r="A6" s="16" t="str">
        <x:v>Industrial design and pilot production</x:v>
      </x:c>
      <x:c r="B6" s="16" t="n">
        <x:v>210000</x:v>
      </x:c>
      <x:c r="C6" s="39" t="n">
        <x:f>B6/$B$10</x:f>
        <x:v>0.42</x:v>
      </x:c>
      <x:c r="D6" s="16" t="str">
        <x:v>Plural roots and transition to scale</x:v>
      </x:c>
      <x:c r="E6" s="16" t="str">
        <x:v>Count funded effort, not corporate headcount</x:v>
      </x:c>
      <x:c r="F6" s="51"/>
      <x:c r="G6" s="51"/>
      <x:c r="H6" s="51"/>
    </x:row>
    <x:row r="7">
      <x:c r="A7" s="16" t="str">
        <x:v>Construction, utility, clinical, operating partners</x:v>
      </x:c>
      <x:c r="B7" s="16" t="n">
        <x:v>95000</x:v>
      </x:c>
      <x:c r="C7" s="39" t="n">
        <x:f>B7/$B$10</x:f>
        <x:v>0.19</x:v>
      </x:c>
      <x:c r="D7" s="16" t="str">
        <x:v>Representative service and receivers</x:v>
      </x:c>
      <x:c r="E7" s="16" t="str">
        <x:v>Do not assume surge availability</x:v>
      </x:c>
      <x:c r="F7" s="51"/>
      <x:c r="G7" s="51"/>
      <x:c r="H7" s="51"/>
    </x:row>
    <x:row r="8">
      <x:c r="A8" s="16" t="str">
        <x:v>Universities, colleges, apprenticeships</x:v>
      </x:c>
      <x:c r="B8" s="16" t="n">
        <x:v>45000</x:v>
      </x:c>
      <x:c r="C8" s="39" t="n">
        <x:f>B8/$B$10</x:f>
        <x:v>0.09</x:v>
      </x:c>
      <x:c r="D8" s="16" t="str">
        <x:v>Disciplines and workforce formation</x:v>
      </x:c>
      <x:c r="E8" s="16" t="str">
        <x:v>Separate students from duty capacity</x:v>
      </x:c>
      <x:c r="F8" s="51"/>
      <x:c r="G8" s="51"/>
      <x:c r="H8" s="51"/>
    </x:row>
    <x:row r="9">
      <x:c r="A9" s="16" t="str">
        <x:v>Allied qualification and export standards</x:v>
      </x:c>
      <x:c r="B9" s="16" t="n">
        <x:v>30000</x:v>
      </x:c>
      <x:c r="C9" s="39" t="n">
        <x:f>B9/$B$10</x:f>
        <x:v>0.06</x:v>
      </x:c>
      <x:c r="D9" s="16" t="str">
        <x:v>Interoperable sovereign configurations</x:v>
      </x:c>
      <x:c r="E9" s="16" t="str">
        <x:v>No domestic readiness credit</x:v>
      </x:c>
      <x:c r="F9" s="51"/>
      <x:c r="G9" s="51"/>
      <x:c r="H9" s="51"/>
    </x:row>
    <x:row r="10">
      <x:c r="A10" s="35" t="str">
        <x:v>TOTAL</x:v>
      </x:c>
      <x:c r="B10" s="35" t="n">
        <x:f>SUM(B5:B9)</x:f>
        <x:v>500000</x:v>
      </x:c>
      <x:c r="C10" s="45" t="n">
        <x:f>SUM(C5:C9)</x:f>
        <x:v>0.9999999999999998</x:v>
      </x:c>
      <x:c r="D10" s="35" t="str">
        <x:v>Peak affiliated enterprise</x:v>
      </x:c>
      <x:c r="E10" s="35" t="str">
        <x:v>Not additive to operating force</x:v>
      </x:c>
      <x:c r="F10" s="51"/>
      <x:c r="G10" s="51"/>
      <x:c r="H10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</x:cols>
  <x:sheetData>
    <x:row r="1" ht="28" customHeight="1">
      <x:c r="A1" s="49" t="str">
        <x:v>Water-Energy Carrier Sensitivity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Energy quotient only; intake, residuals, conveyance, receiver, and availability remain outside the quotient.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Case</x:v>
      </x:c>
      <x:c r="B4" s="52" t="str">
        <x:v>Gross MW</x:v>
      </x:c>
      <x:c r="C4" s="52" t="str">
        <x:v>Availability</x:v>
      </x:c>
      <x:c r="D4" s="52" t="str">
        <x:v>Auxiliaries</x:v>
      </x:c>
      <x:c r="E4" s="52" t="str">
        <x:v>Net process MW</x:v>
      </x:c>
      <x:c r="F4" s="52" t="str">
        <x:v>Energy kWh/m3</x:v>
      </x:c>
      <x:c r="G4" s="52" t="str">
        <x:v>Quotient m3/day</x:v>
      </x:c>
      <x:c r="H4" s="52" t="str">
        <x:v>Status</x:v>
      </x:c>
    </x:row>
    <x:row r="5">
      <x:c r="A5" s="16" t="str">
        <x:v>Low energy</x:v>
      </x:c>
      <x:c r="B5" s="16" t="n">
        <x:v>1000</x:v>
      </x:c>
      <x:c r="C5" s="39" t="n">
        <x:v>0.9</x:v>
      </x:c>
      <x:c r="D5" s="39" t="n">
        <x:v>0.12</x:v>
      </x:c>
      <x:c r="E5" s="41" t="n">
        <x:f>B5*C5*(1-D5)</x:f>
        <x:v>792</x:v>
      </x:c>
      <x:c r="F5" s="41" t="n">
        <x:v>2.5</x:v>
      </x:c>
      <x:c r="G5" s="41" t="n">
        <x:f>E5*1000*24/F5</x:f>
        <x:v>7603200</x:v>
      </x:c>
      <x:c r="H5" s="16" t="str">
        <x:v>ENERGY QUOTIENT</x:v>
      </x:c>
    </x:row>
    <x:row r="6">
      <x:c r="A6" s="16" t="str">
        <x:v>Reference</x:v>
      </x:c>
      <x:c r="B6" s="16" t="n">
        <x:v>1000</x:v>
      </x:c>
      <x:c r="C6" s="39" t="n">
        <x:v>0.9</x:v>
      </x:c>
      <x:c r="D6" s="39" t="n">
        <x:v>0.12</x:v>
      </x:c>
      <x:c r="E6" s="41" t="n">
        <x:f>B6*C6*(1-D6)</x:f>
        <x:v>792</x:v>
      </x:c>
      <x:c r="F6" s="41" t="n">
        <x:v>3</x:v>
      </x:c>
      <x:c r="G6" s="41" t="n">
        <x:f>E6*1000*24/F6</x:f>
        <x:v>6336000</x:v>
      </x:c>
      <x:c r="H6" s="16" t="str">
        <x:v>ENERGY QUOTIENT</x:v>
      </x:c>
    </x:row>
    <x:row r="7">
      <x:c r="A7" s="16" t="str">
        <x:v>Higher energy</x:v>
      </x:c>
      <x:c r="B7" s="16" t="n">
        <x:v>1000</x:v>
      </x:c>
      <x:c r="C7" s="39" t="n">
        <x:v>0.9</x:v>
      </x:c>
      <x:c r="D7" s="39" t="n">
        <x:v>0.12</x:v>
      </x:c>
      <x:c r="E7" s="41" t="n">
        <x:f>B7*C7*(1-D7)</x:f>
        <x:v>792</x:v>
      </x:c>
      <x:c r="F7" s="41" t="n">
        <x:v>4</x:v>
      </x:c>
      <x:c r="G7" s="41" t="n">
        <x:f>E7*1000*24/F7</x:f>
        <x:v>4752000</x:v>
      </x:c>
      <x:c r="H7" s="16" t="str">
        <x:v>ENERGY QUOTIENT</x:v>
      </x:c>
    </x:row>
    <x:row r="8">
      <x:c r="A8" s="16" t="str">
        <x:v>Severe feed</x:v>
      </x:c>
      <x:c r="B8" s="16" t="n">
        <x:v>1000</x:v>
      </x:c>
      <x:c r="C8" s="39" t="n">
        <x:v>0.9</x:v>
      </x:c>
      <x:c r="D8" s="39" t="n">
        <x:v>0.12</x:v>
      </x:c>
      <x:c r="E8" s="41" t="n">
        <x:f>B8*C8*(1-D8)</x:f>
        <x:v>792</x:v>
      </x:c>
      <x:c r="F8" s="41" t="n">
        <x:v>5</x:v>
      </x:c>
      <x:c r="G8" s="41" t="n">
        <x:f>E8*1000*24/F8</x:f>
        <x:v>3801600</x:v>
      </x:c>
      <x:c r="H8" s="16" t="str">
        <x:v>ENERGY QUOTIENT</x:v>
      </x:c>
    </x:row>
    <x:row r="9">
      <x:c r="A9" s="51"/>
      <x:c r="B9" s="51"/>
      <x:c r="C9" s="51"/>
      <x:c r="D9" s="51"/>
      <x:c r="E9" s="51"/>
      <x:c r="F9" s="51"/>
      <x:c r="G9" s="51"/>
      <x:c r="H9" s="51"/>
    </x:row>
    <x:row r="10" ht="36" customHeight="1">
      <x:c r="A10" s="53" t="str">
        <x:v>Delivered water remains lower and may be zero if intake, residual custody, conveyance, receiver quality, crew, or release fails.</x:v>
      </x:c>
      <x:c r="B10" s="54"/>
      <x:c r="C10" s="54"/>
      <x:c r="D10" s="54"/>
      <x:c r="E10" s="54"/>
      <x:c r="F10" s="54"/>
      <x:c r="G10" s="54"/>
      <x:c r="H10" s="55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18" hidden="0" customWidth="1"/>
    <x:col min="11" max="11" width="46" hidden="0" customWidth="1"/>
  </x:cols>
  <x:sheetData>
    <x:row r="1" ht="28" customHeight="1">
      <x:c r="A1" s="49" t="str">
        <x:v>Rapid-Corridor Physical Screens</x:v>
      </x:c>
      <x:c r="B1" s="49"/>
      <x:c r="C1" s="49"/>
      <x:c r="D1" s="49"/>
      <x:c r="E1" s="49"/>
      <x:c r="F1" s="49"/>
      <x:c r="G1" s="49"/>
      <x:c r="H1" s="49"/>
      <x:c r="I1" s="51"/>
      <x:c r="J1" s="51"/>
      <x:c r="K1" s="51"/>
    </x:row>
    <x:row r="2" ht="32" customHeight="1">
      <x:c r="A2" s="50" t="str">
        <x:v>Pipe area and material mass make the construction burden visible before robotics claims.</x:v>
      </x:c>
      <x:c r="B2" s="50"/>
      <x:c r="C2" s="50"/>
      <x:c r="D2" s="50"/>
      <x:c r="E2" s="50"/>
      <x:c r="F2" s="50"/>
      <x:c r="G2" s="50"/>
      <x:c r="H2" s="50"/>
      <x:c r="I2" s="51"/>
      <x:c r="J2" s="51"/>
      <x:c r="K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</x:row>
    <x:row r="4">
      <x:c r="A4" s="52" t="str">
        <x:v>Case</x:v>
      </x:c>
      <x:c r="B4" s="52" t="str">
        <x:v>Flow m3/s</x:v>
      </x:c>
      <x:c r="C4" s="52" t="str">
        <x:v>Velocity m/s</x:v>
      </x:c>
      <x:c r="D4" s="52" t="str">
        <x:v>Required area m2</x:v>
      </x:c>
      <x:c r="E4" s="52" t="str">
        <x:v>Equivalent diameter m</x:v>
      </x:c>
      <x:c r="F4" s="52" t="str">
        <x:v>Pipe diameter m</x:v>
      </x:c>
      <x:c r="G4" s="52" t="str">
        <x:v>Wall m</x:v>
      </x:c>
      <x:c r="H4" s="52" t="str">
        <x:v>Steel kg/m</x:v>
      </x:c>
      <x:c r="I4" s="52" t="str">
        <x:v>Length km</x:v>
      </x:c>
      <x:c r="J4" s="52" t="str">
        <x:v>Steel mass t</x:v>
      </x:c>
      <x:c r="K4" s="52" t="str">
        <x:v>Interpretation</x:v>
      </x:c>
    </x:row>
    <x:row r="5">
      <x:c r="A5" s="16" t="str">
        <x:v>HCG nominal equivalent</x:v>
      </x:c>
      <x:c r="B5" s="24" t="n">
        <x:v>100</x:v>
      </x:c>
      <x:c r="C5" s="24" t="n">
        <x:v>3</x:v>
      </x:c>
      <x:c r="D5" s="24" t="n">
        <x:f>B5/C5</x:f>
        <x:v>33.333333333333336</x:v>
      </x:c>
      <x:c r="E5" s="24" t="n">
        <x:f>SQRT(4*D5/PI())</x:f>
        <x:v>6.514700158705599</x:v>
      </x:c>
      <x:c r="F5" s="24" t="n">
        <x:v>1</x:v>
      </x:c>
      <x:c r="G5" s="24" t="n">
        <x:v>0.02</x:v>
      </x:c>
      <x:c r="H5" s="24" t="n">
        <x:f>PI()*F5*G5*'01 Control'!$B$11</x:f>
        <x:v>493.23004661359755</x:v>
      </x:c>
      <x:c r="I5" s="24" t="n">
        <x:v>100</x:v>
      </x:c>
      <x:c r="J5" s="24" t="n">
        <x:f>H5*I5</x:f>
        <x:v>49323.00466135975</x:v>
      </x:c>
      <x:c r="K5" s="16" t="str">
        <x:v>One 1 m line cannot carry the flow at 3 m/s</x:v>
      </x:c>
    </x:row>
    <x:row r="6">
      <x:c r="A6" s="16" t="str">
        <x:v>Single 1 m reference</x:v>
      </x:c>
      <x:c r="B6" s="24" t="n">
        <x:v>2.35619449</x:v>
      </x:c>
      <x:c r="C6" s="24" t="n">
        <x:v>3</x:v>
      </x:c>
      <x:c r="D6" s="24" t="n">
        <x:f>B6/C6</x:f>
        <x:v>0.7853981633333333</x:v>
      </x:c>
      <x:c r="E6" s="24" t="n">
        <x:f>SQRT(4*D6/PI())</x:f>
        <x:v>0.9999999999591831</x:v>
      </x:c>
      <x:c r="F6" s="24" t="n">
        <x:v>1</x:v>
      </x:c>
      <x:c r="G6" s="24" t="n">
        <x:v>0.02</x:v>
      </x:c>
      <x:c r="H6" s="24" t="n">
        <x:f>PI()*F6*G6*'01 Control'!$B$11</x:f>
        <x:v>493.23004661359755</x:v>
      </x:c>
      <x:c r="I6" s="24" t="n">
        <x:v>100</x:v>
      </x:c>
      <x:c r="J6" s="24" t="n">
        <x:f>H6*I6</x:f>
        <x:v>49323.00466135975</x:v>
      </x:c>
      <x:c r="K6" s="16" t="str">
        <x:v>Mass screen for one line</x:v>
      </x:c>
    </x:row>
    <x:row r="7">
      <x:c r="A7" s="16" t="str">
        <x:v>Ten 1 m lines</x:v>
      </x:c>
      <x:c r="B7" s="24" t="n">
        <x:v>23.5619449</x:v>
      </x:c>
      <x:c r="C7" s="24" t="n">
        <x:v>3</x:v>
      </x:c>
      <x:c r="D7" s="24" t="n">
        <x:f>B7/C7</x:f>
        <x:v>7.853981633333333</x:v>
      </x:c>
      <x:c r="E7" s="24" t="n">
        <x:f>SQRT(4*D7/PI())</x:f>
        <x:v>3.162277660039305</x:v>
      </x:c>
      <x:c r="F7" s="24" t="n">
        <x:v>1</x:v>
      </x:c>
      <x:c r="G7" s="24" t="n">
        <x:v>0.02</x:v>
      </x:c>
      <x:c r="H7" s="24" t="n">
        <x:f>PI()*F7*G7*'01 Control'!$B$11</x:f>
        <x:v>493.23004661359755</x:v>
      </x:c>
      <x:c r="I7" s="24" t="n">
        <x:v>100</x:v>
      </x:c>
      <x:c r="J7" s="24" t="n">
        <x:f>H7*I7</x:f>
        <x:v>49323.00466135975</x:v>
      </x:c>
      <x:c r="K7" s="16" t="str">
        <x:v>Still below 100 m3/s</x:v>
      </x:c>
    </x:row>
    <x:row r="8">
      <x:c r="A8" s="16" t="str">
        <x:v>Composite research case</x:v>
      </x:c>
      <x:c r="B8" s="24" t="n">
        <x:v>2.35619449</x:v>
      </x:c>
      <x:c r="C8" s="24" t="n">
        <x:v>3</x:v>
      </x:c>
      <x:c r="D8" s="24" t="n">
        <x:f>B8/C8</x:f>
        <x:v>0.7853981633333333</x:v>
      </x:c>
      <x:c r="E8" s="24" t="n">
        <x:f>SQRT(4*D8/PI())</x:f>
        <x:v>0.9999999999591831</x:v>
      </x:c>
      <x:c r="F8" s="24" t="n">
        <x:v>1</x:v>
      </x:c>
      <x:c r="G8" s="24" t="n">
        <x:v>0.02</x:v>
      </x:c>
      <x:c r="H8" s="24" t="n">
        <x:v>250</x:v>
      </x:c>
      <x:c r="I8" s="24" t="n">
        <x:v>100</x:v>
      </x:c>
      <x:c r="J8" s="24" t="n">
        <x:f>H8*I8</x:f>
        <x:v>25000</x:v>
      </x:c>
      <x:c r="K8" s="16" t="str">
        <x:v>Declared 250 kg/m target; not evidence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</x:cols>
  <x:sheetData>
    <x:row r="1" ht="28" customHeight="1">
      <x:c r="A1" s="49" t="str">
        <x:v>Serialized Reservation Examples</x:v>
      </x:c>
      <x:c r="B1" s="49"/>
      <x:c r="C1" s="49"/>
      <x:c r="D1" s="49"/>
      <x:c r="E1" s="49"/>
      <x:c r="F1" s="49"/>
      <x:c r="G1" s="49"/>
      <x:c r="H1" s="49"/>
      <x:c r="I1" s="51"/>
      <x:c r="J1" s="51"/>
    </x:row>
    <x:row r="2" ht="32" customHeight="1">
      <x:c r="A2" s="50" t="str">
        <x:v>One article, one obligation, one interval; reset and travel occupy capacity.</x:v>
      </x:c>
      <x:c r="B2" s="50"/>
      <x:c r="C2" s="50"/>
      <x:c r="D2" s="50"/>
      <x:c r="E2" s="50"/>
      <x:c r="F2" s="50"/>
      <x:c r="G2" s="50"/>
      <x:c r="H2" s="50"/>
      <x:c r="I2" s="51"/>
      <x:c r="J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>
      <x:c r="A4" s="52" t="str">
        <x:v>Article</x:v>
      </x:c>
      <x:c r="B4" s="52" t="str">
        <x:v>Interval</x:v>
      </x:c>
      <x:c r="C4" s="52" t="str">
        <x:v>Fire</x:v>
      </x:c>
      <x:c r="D4" s="52" t="str">
        <x:v>Flood</x:v>
      </x:c>
      <x:c r="E4" s="52" t="str">
        <x:v>Power</x:v>
      </x:c>
      <x:c r="F4" s="52" t="str">
        <x:v>Medical</x:v>
      </x:c>
      <x:c r="G4" s="52" t="str">
        <x:v>Access</x:v>
      </x:c>
      <x:c r="H4" s="52" t="str">
        <x:v>Reset</x:v>
      </x:c>
      <x:c r="I4" s="52" t="str">
        <x:v>Sum</x:v>
      </x:c>
      <x:c r="J4" s="52" t="str">
        <x:v>Result</x:v>
      </x:c>
    </x:row>
    <x:row r="5">
      <x:c r="A5" s="16" t="str">
        <x:v>ENG-A-001</x:v>
      </x:c>
      <x:c r="B5" s="16" t="str">
        <x:v>T1</x:v>
      </x:c>
      <x:c r="C5" s="16" t="n">
        <x:v>1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f>SUM(C5:H5)</x:f>
        <x:v>1</x:v>
      </x:c>
      <x:c r="J5" s="16" t="str">
        <x:f>IF(I5&lt;=1,"PASS","FAIL")</x:f>
        <x:v>PASS</x:v>
      </x:c>
    </x:row>
    <x:row r="6">
      <x:c r="A6" s="16" t="str">
        <x:v>ENG-A-001</x:v>
      </x:c>
      <x:c r="B6" s="16" t="str">
        <x:v>T2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1</x:v>
      </x:c>
      <x:c r="I6" s="16" t="n">
        <x:f>SUM(C6:H6)</x:f>
        <x:v>1</x:v>
      </x:c>
      <x:c r="J6" s="16" t="str">
        <x:f>IF(I6&lt;=1,"PASS","FAIL")</x:f>
        <x:v>PASS</x:v>
      </x:c>
    </x:row>
    <x:row r="7">
      <x:c r="A7" s="16" t="str">
        <x:v>ENG-A-002</x:v>
      </x:c>
      <x:c r="B7" s="16" t="str">
        <x:v>T1</x:v>
      </x:c>
      <x:c r="C7" s="16" t="n">
        <x:v>0</x:v>
      </x:c>
      <x:c r="D7" s="16" t="n">
        <x:v>1</x:v>
      </x:c>
      <x:c r="E7" s="16" t="n">
        <x:v>1</x:v>
      </x:c>
      <x:c r="F7" s="16" t="n">
        <x:v>0</x:v>
      </x:c>
      <x:c r="G7" s="16" t="n">
        <x:v>0</x:v>
      </x:c>
      <x:c r="H7" s="16" t="n">
        <x:v>0</x:v>
      </x:c>
      <x:c r="I7" s="16" t="n">
        <x:f>SUM(C7:H7)</x:f>
        <x:v>2</x:v>
      </x:c>
      <x:c r="J7" s="16" t="str">
        <x:f>IF(I7&lt;=1,"PASS","FAIL")</x:f>
        <x:v>FAIL</x:v>
      </x:c>
    </x:row>
    <x:row r="8">
      <x:c r="A8" s="16" t="str">
        <x:v>LF-B-011</x:v>
      </x:c>
      <x:c r="B8" s="16" t="str">
        <x:v>T1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1</x:v>
      </x:c>
      <x:c r="H8" s="16" t="n">
        <x:v>0</x:v>
      </x:c>
      <x:c r="I8" s="16" t="n">
        <x:f>SUM(C8:H8)</x:f>
        <x:v>1</x:v>
      </x:c>
      <x:c r="J8" s="16" t="str">
        <x:f>IF(I8&lt;=1,"PASS","FAIL")</x:f>
        <x:v>PASS</x:v>
      </x:c>
    </x:row>
    <x:row r="9">
      <x:c r="A9" s="16" t="str">
        <x:v>LF-B-011</x:v>
      </x:c>
      <x:c r="B9" s="16" t="str">
        <x:v>T2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1</x:v>
      </x:c>
      <x:c r="I9" s="16" t="n">
        <x:f>SUM(C9:H9)</x:f>
        <x:v>1</x:v>
      </x:c>
      <x:c r="J9" s="16" t="str">
        <x:f>IF(I9&lt;=1,"PASS","FAIL")</x:f>
        <x:v>PASS</x:v>
      </x:c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</x:row>
    <x:row r="11" ht="36" customHeight="1">
      <x:c r="A11" s="53" t="str">
        <x:v>ENG-A-002 is deliberately invalid: the same article is promised to flood and power during T1. The audit must fail that row.</x:v>
      </x:c>
      <x:c r="B11" s="54"/>
      <x:c r="C11" s="54"/>
      <x:c r="D11" s="54"/>
      <x:c r="E11" s="54"/>
      <x:c r="F11" s="54"/>
      <x:c r="G11" s="54"/>
      <x:c r="H11" s="55"/>
      <x:c r="I11" s="51"/>
      <x:c r="J11" s="51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D7A83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58" hidden="0" customWidth="1"/>
    <x:col min="5" max="5" width="54" hidden="0" customWidth="1"/>
    <x:col min="6" max="6" width="24" hidden="0" customWidth="1"/>
  </x:cols>
  <x:sheetData>
    <x:row r="1" ht="28" customHeight="1">
      <x:c r="A1" s="49" t="str">
        <x:v>Research Closure Queue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Exact missing objects required to move from description to quantity.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Priority</x:v>
      </x:c>
      <x:c r="B4" s="52" t="str">
        <x:v>Object</x:v>
      </x:c>
      <x:c r="C4" s="52" t="str">
        <x:v>Portfolios</x:v>
      </x:c>
      <x:c r="D4" s="52" t="str">
        <x:v>Required output</x:v>
      </x:c>
      <x:c r="E4" s="52" t="str">
        <x:v>Why it can change quantity</x:v>
      </x:c>
      <x:c r="F4" s="52" t="str">
        <x:v>Current state</x:v>
      </x:c>
      <x:c r="G4" s="51"/>
      <x:c r="H4" s="51"/>
    </x:row>
    <x:row r="5">
      <x:c r="A5" s="16" t="n">
        <x:v>1</x:v>
      </x:c>
      <x:c r="B5" s="16" t="str">
        <x:v>RBY-1 power/distribution translation</x:v>
      </x:c>
      <x:c r="C5" s="16" t="str">
        <x:v>All five</x:v>
      </x:c>
      <x:c r="D5" s="16" t="str">
        <x:v>Rival source, distribution, control, crew, receiver, reset, and reservation configurations</x:v>
      </x:c>
      <x:c r="E5" s="16" t="str">
        <x:v>Strongest measured overlap; can establish first G4 cells</x:v>
      </x:c>
      <x:c r="F5" s="16" t="str">
        <x:v>AUTHORIZED FOR RESEARCH</x:v>
      </x:c>
      <x:c r="G5" s="51"/>
      <x:c r="H5" s="51"/>
    </x:row>
    <x:row r="6">
      <x:c r="A6" s="16" t="n">
        <x:v>2</x:v>
      </x:c>
      <x:c r="B6" s="16" t="str">
        <x:v>Medical service kernel</x:v>
      </x:c>
      <x:c r="C6" s="16" t="str">
        <x:v>HLTH</x:v>
      </x:c>
      <x:c r="D6" s="16" t="str">
        <x:v>Beds by acuity, clinical utilities, staff, patient regulation, referral, discharge, return</x:v>
      </x:c>
      <x:c r="E6" s="16" t="str">
        <x:v>Prevents common utility supply from being mistaken for care</x:v>
      </x:c>
      <x:c r="F6" s="16" t="str">
        <x:v>OPEN</x:v>
      </x:c>
      <x:c r="G6" s="51"/>
      <x:c r="H6" s="51"/>
    </x:row>
    <x:row r="7">
      <x:c r="A7" s="16" t="n">
        <x:v>3</x:v>
      </x:c>
      <x:c r="B7" s="16" t="str">
        <x:v>HCG family bill</x:v>
      </x:c>
      <x:c r="C7" s="16" t="str">
        <x:v>WATR</x:v>
      </x:c>
      <x:c r="D7" s="16" t="str">
        <x:v>FIN, inland, coastal exact modules, transport, crew, contamination, reset</x:v>
      </x:c>
      <x:c r="E7" s="16" t="str">
        <x:v>Exposes whether pumps, energy, command, repair, and corridors can be shared</x:v>
      </x:c>
      <x:c r="F7" s="16" t="str">
        <x:v>OPEN</x:v>
      </x:c>
      <x:c r="G7" s="51"/>
      <x:c r="H7" s="51"/>
    </x:row>
    <x:row r="8">
      <x:c r="A8" s="16" t="n">
        <x:v>4</x:v>
      </x:c>
      <x:c r="B8" s="16" t="str">
        <x:v>TAFG position translation</x:v>
      </x:c>
      <x:c r="C8" s="16" t="str">
        <x:v>ACCS</x:v>
      </x:c>
      <x:c r="D8" s="16" t="str">
        <x:v>Thirty-two service-cell positions and corridor payload mapped to common families</x:v>
      </x:c>
      <x:c r="E8" s="16" t="str">
        <x:v>Separates payload commonality from carrier diversity</x:v>
      </x:c>
      <x:c r="F8" s="16" t="str">
        <x:v>OPEN</x:v>
      </x:c>
      <x:c r="G8" s="51"/>
      <x:c r="H8" s="51"/>
    </x:row>
    <x:row r="9">
      <x:c r="A9" s="16" t="n">
        <x:v>5</x:v>
      </x:c>
      <x:c r="B9" s="16" t="str">
        <x:v>National geography compiler</x:v>
      </x:c>
      <x:c r="C9" s="16" t="str">
        <x:v>ALL</x:v>
      </x:c>
      <x:c r="D9" s="16" t="str">
        <x:v>Base, route, weather, receiver, crew, arsenal, and return network</x:v>
      </x:c>
      <x:c r="E9" s="16" t="str">
        <x:v>National totals may fail locally</x:v>
      </x:c>
      <x:c r="F9" s="16" t="str">
        <x:v>HELD</x:v>
      </x:c>
      <x:c r="G9" s="51"/>
      <x:c r="H9" s="51"/>
    </x:row>
    <x:row r="10">
      <x:c r="A10" s="16" t="n">
        <x:v>6</x:v>
      </x:c>
      <x:c r="B10" s="16" t="str">
        <x:v>Multi-root industrial scheduler</x:v>
      </x:c>
      <x:c r="C10" s="16" t="str">
        <x:v>ALL</x:v>
      </x:c>
      <x:c r="D10" s="16" t="str">
        <x:v>Production, spares, repair, recapitalization, and root-loss capacity</x:v>
      </x:c>
      <x:c r="E10" s="16" t="str">
        <x:v>Shared fleet raises root consequence</x:v>
      </x:c>
      <x:c r="F10" s="16" t="str">
        <x:v>HELD</x:v>
      </x:c>
      <x:c r="G10" s="51"/>
      <x:c r="H10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20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54" hidden="0" customWidth="1"/>
  </x:cols>
  <x:sheetData>
    <x:row r="1" ht="28" customHeight="1">
      <x:c r="A1" s="49" t="str">
        <x:v>Authority and Admission Ledger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Current authority is intentionally narrow.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Decision object</x:v>
      </x:c>
      <x:c r="B4" s="52" t="str">
        <x:v>Planning</x:v>
      </x:c>
      <x:c r="C4" s="52" t="str">
        <x:v>Physical evidence</x:v>
      </x:c>
      <x:c r="D4" s="52" t="str">
        <x:v>Quantity credit</x:v>
      </x:c>
      <x:c r="E4" s="52" t="str">
        <x:v>Procurement</x:v>
      </x:c>
      <x:c r="F4" s="52" t="str">
        <x:v>Fielding</x:v>
      </x:c>
      <x:c r="G4" s="52" t="str">
        <x:v>Exterior form</x:v>
      </x:c>
      <x:c r="H4" s="52" t="str">
        <x:v>Reason</x:v>
      </x:c>
    </x:row>
    <x:row r="5">
      <x:c r="A5" s="16" t="str">
        <x:v>Five-portfolio compiler</x:v>
      </x:c>
      <x:c r="B5" s="16" t="str">
        <x:v>YES</x:v>
      </x:c>
      <x:c r="C5" s="16" t="str">
        <x:v>NO</x:v>
      </x:c>
      <x:c r="D5" s="16" t="str">
        <x:v>NO</x:v>
      </x:c>
      <x:c r="E5" s="16" t="str">
        <x:v>NO</x:v>
      </x:c>
      <x:c r="F5" s="16" t="str">
        <x:v>NO</x:v>
      </x:c>
      <x:c r="G5" s="16" t="str">
        <x:v>NO</x:v>
      </x:c>
      <x:c r="H5" s="16" t="str">
        <x:v>Inputs and law defined; translations incomplete</x:v>
      </x:c>
    </x:row>
    <x:row r="6">
      <x:c r="A6" s="16" t="str">
        <x:v>Known common-force floor</x:v>
      </x:c>
      <x:c r="B6" s="16" t="str">
        <x:v>YES</x:v>
      </x:c>
      <x:c r="C6" s="16" t="str">
        <x:v>NO</x:v>
      </x:c>
      <x:c r="D6" s="16" t="str">
        <x:v>NO</x:v>
      </x:c>
      <x:c r="E6" s="16" t="str">
        <x:v>NO</x:v>
      </x:c>
      <x:c r="F6" s="16" t="str">
        <x:v>NO</x:v>
      </x:c>
      <x:c r="G6" s="16" t="str">
        <x:v>NO</x:v>
      </x:c>
      <x:c r="H6" s="16" t="str">
        <x:v>Conserves C24 planning requirement</x:v>
      </x:c>
    </x:row>
    <x:row r="7">
      <x:c r="A7" s="16" t="str">
        <x:v>USD 1T technology envelope</x:v>
      </x:c>
      <x:c r="B7" s="16" t="str">
        <x:v>YES</x:v>
      </x:c>
      <x:c r="C7" s="16" t="str">
        <x:v>NO</x:v>
      </x:c>
      <x:c r="D7" s="16" t="str">
        <x:v>NO</x:v>
      </x:c>
      <x:c r="E7" s="16" t="str">
        <x:v>NO</x:v>
      </x:c>
      <x:c r="F7" s="16" t="str">
        <x:v>NO</x:v>
      </x:c>
      <x:c r="G7" s="16" t="str">
        <x:v>NO</x:v>
      </x:c>
      <x:c r="H7" s="16" t="str">
        <x:v>Policy-scale research boundary only</x:v>
      </x:c>
    </x:row>
    <x:row r="8">
      <x:c r="A8" s="16" t="str">
        <x:v>RBY-1 campaign</x:v>
      </x:c>
      <x:c r="B8" s="16" t="str">
        <x:v>YES</x:v>
      </x:c>
      <x:c r="C8" s="16" t="str">
        <x:v>NO</x:v>
      </x:c>
      <x:c r="D8" s="16" t="str">
        <x:v>NO</x:v>
      </x:c>
      <x:c r="E8" s="16" t="str">
        <x:v>NO</x:v>
      </x:c>
      <x:c r="F8" s="16" t="str">
        <x:v>NO</x:v>
      </x:c>
      <x:c r="G8" s="16" t="str">
        <x:v>NO</x:v>
      </x:c>
      <x:c r="H8" s="16" t="str">
        <x:v>Authorized for research design</x:v>
      </x:c>
    </x:row>
    <x:row r="9">
      <x:c r="A9" s="16" t="str">
        <x:v>Cross-portfolio substitution</x:v>
      </x:c>
      <x:c r="B9" s="16" t="str">
        <x:v>NO</x:v>
      </x:c>
      <x:c r="C9" s="16" t="str">
        <x:v>NO</x:v>
      </x:c>
      <x:c r="D9" s="16" t="str">
        <x:v>NO</x:v>
      </x:c>
      <x:c r="E9" s="16" t="str">
        <x:v>NO</x:v>
      </x:c>
      <x:c r="F9" s="16" t="str">
        <x:v>NO</x:v>
      </x:c>
      <x:c r="G9" s="16" t="str">
        <x:v>NO</x:v>
      </x:c>
      <x:c r="H9" s="16" t="str">
        <x:v>Zero G4 cells</x:v>
      </x:c>
    </x:row>
    <x:row r="10">
      <x:c r="A10" s="16" t="str">
        <x:v>Quantity reduction</x:v>
      </x:c>
      <x:c r="B10" s="16" t="str">
        <x:v>NO</x:v>
      </x:c>
      <x:c r="C10" s="16" t="str">
        <x:v>NO</x:v>
      </x:c>
      <x:c r="D10" s="16" t="str">
        <x:v>NO</x:v>
      </x:c>
      <x:c r="E10" s="16" t="str">
        <x:v>NO</x:v>
      </x:c>
      <x:c r="F10" s="16" t="str">
        <x:v>NO</x:v>
      </x:c>
      <x:c r="G10" s="16" t="str">
        <x:v>NO</x:v>
      </x:c>
      <x:c r="H10" s="16" t="str">
        <x:v>No successor reservation closure</x:v>
      </x:c>
    </x:row>
    <x:row r="11">
      <x:c r="A11" s="16" t="str">
        <x:v>Water-energy carrier</x:v>
      </x:c>
      <x:c r="B11" s="16" t="str">
        <x:v>YES</x:v>
      </x:c>
      <x:c r="C11" s="16" t="str">
        <x:v>NO</x:v>
      </x:c>
      <x:c r="D11" s="16" t="str">
        <x:v>NO</x:v>
      </x:c>
      <x:c r="E11" s="16" t="str">
        <x:v>NO</x:v>
      </x:c>
      <x:c r="F11" s="16" t="str">
        <x:v>NO</x:v>
      </x:c>
      <x:c r="G11" s="16" t="str">
        <x:v>NO</x:v>
      </x:c>
      <x:c r="H11" s="16" t="str">
        <x:v>Whole-system technology hypothesis</x:v>
      </x:c>
    </x:row>
    <x:row r="12">
      <x:c r="A12" s="16" t="str">
        <x:v>Exterior rendering</x:v>
      </x:c>
      <x:c r="B12" s="16" t="str">
        <x:v>NO</x:v>
      </x:c>
      <x:c r="C12" s="16" t="str">
        <x:v>NO</x:v>
      </x:c>
      <x:c r="D12" s="16" t="str">
        <x:v>NO</x:v>
      </x:c>
      <x:c r="E12" s="16" t="str">
        <x:v>NO</x:v>
      </x:c>
      <x:c r="F12" s="16" t="str">
        <x:v>NO</x:v>
      </x:c>
      <x:c r="G12" s="16" t="str">
        <x:v>NO</x:v>
      </x:c>
      <x:c r="H12" s="16" t="str">
        <x:v>Needs and physical architecture remain 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F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4" hidden="0" customWidth="1"/>
    <x:col min="5" max="5" width="16" hidden="0" customWidth="1"/>
    <x:col min="6" max="6" width="18" hidden="0" customWidth="1"/>
    <x:col min="7" max="7" width="20" hidden="0" customWidth="1"/>
    <x:col min="8" max="8" width="18" hidden="0" customWidth="1"/>
    <x:col min="9" max="9" width="56" hidden="0" customWidth="1"/>
  </x:cols>
  <x:sheetData>
    <x:row r="1" ht="28" customHeight="1">
      <x:c r="A1" s="49" t="str">
        <x:v>Selected Sensitivities</x:v>
      </x:c>
      <x:c r="B1" s="49"/>
      <x:c r="C1" s="49"/>
      <x:c r="D1" s="49"/>
      <x:c r="E1" s="49"/>
      <x:c r="F1" s="49"/>
      <x:c r="G1" s="49"/>
      <x:c r="H1" s="49"/>
      <x:c r="I1" s="51"/>
    </x:row>
    <x:row r="2" ht="32" customHeight="1">
      <x:c r="A2" s="50" t="str">
        <x:v>Policy and physical inputs show where a mature common-force answer can change.</x:v>
      </x:c>
      <x:c r="B2" s="50"/>
      <x:c r="C2" s="50"/>
      <x:c r="D2" s="50"/>
      <x:c r="E2" s="50"/>
      <x:c r="F2" s="50"/>
      <x:c r="G2" s="50"/>
      <x:c r="H2" s="50"/>
      <x:c r="I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</x:row>
    <x:row r="4">
      <x:c r="A4" s="52" t="str">
        <x:v>Variable</x:v>
      </x:c>
      <x:c r="B4" s="52" t="str">
        <x:v>Low</x:v>
      </x:c>
      <x:c r="C4" s="52" t="str">
        <x:v>Reference</x:v>
      </x:c>
      <x:c r="D4" s="52" t="str">
        <x:v>High</x:v>
      </x:c>
      <x:c r="E4" s="52" t="str">
        <x:v>Unit</x:v>
      </x:c>
      <x:c r="F4" s="52" t="str">
        <x:v>Low result</x:v>
      </x:c>
      <x:c r="G4" s="52" t="str">
        <x:v>Reference result</x:v>
      </x:c>
      <x:c r="H4" s="52" t="str">
        <x:v>High result</x:v>
      </x:c>
      <x:c r="I4" s="52" t="str">
        <x:v>Interpretation</x:v>
      </x:c>
    </x:row>
    <x:row r="5">
      <x:c r="A5" s="16" t="str">
        <x:v>Technology reserve rate</x:v>
      </x:c>
      <x:c r="B5" s="46" t="n">
        <x:v>0.15</x:v>
      </x:c>
      <x:c r="C5" s="46" t="n">
        <x:v>0.25</x:v>
      </x:c>
      <x:c r="D5" s="46" t="n">
        <x:v>0.35</x:v>
      </x:c>
      <x:c r="E5" s="16" t="str">
        <x:v>share</x:v>
      </x:c>
      <x:c r="F5" s="24" t="n">
        <x:f>'01 Control'!B5*(1+B5)</x:f>
        <x:v>919.9999999999999</x:v>
      </x:c>
      <x:c r="G5" s="24" t="n">
        <x:f>'01 Control'!B5*(1+C5)</x:f>
        <x:v>1000</x:v>
      </x:c>
      <x:c r="H5" s="24" t="n">
        <x:f>'01 Control'!B5*(1+D5)</x:f>
        <x:v>1080</x:v>
      </x:c>
      <x:c r="I5" s="16" t="str">
        <x:v>Failed-path capacity changes total research envelope</x:v>
      </x:c>
    </x:row>
    <x:row r="6">
      <x:c r="A6" s="16" t="str">
        <x:v>Desal process energy</x:v>
      </x:c>
      <x:c r="B6" s="17" t="n">
        <x:v>2.5</x:v>
      </x:c>
      <x:c r="C6" s="17" t="n">
        <x:v>3</x:v>
      </x:c>
      <x:c r="D6" s="17" t="n">
        <x:v>5</x:v>
      </x:c>
      <x:c r="E6" s="16" t="str">
        <x:v>kWh/m3</x:v>
      </x:c>
      <x:c r="F6" s="24" t="n">
        <x:f>'01 Control'!B7*1000*24/B6</x:f>
        <x:v>9600000</x:v>
      </x:c>
      <x:c r="G6" s="24" t="n">
        <x:f>'01 Control'!B7*1000*24/C6</x:f>
        <x:v>8000000</x:v>
      </x:c>
      <x:c r="H6" s="24" t="n">
        <x:f>'01 Control'!B7*1000*24/D6</x:f>
        <x:v>4800000</x:v>
      </x:c>
      <x:c r="I6" s="16" t="str">
        <x:v>Higher energy lowers quotient water</x:v>
      </x:c>
    </x:row>
    <x:row r="7">
      <x:c r="A7" s="16" t="str">
        <x:v>Plant availability</x:v>
      </x:c>
      <x:c r="B7" s="46" t="n">
        <x:v>0.75</x:v>
      </x:c>
      <x:c r="C7" s="46" t="n">
        <x:v>0.9</x:v>
      </x:c>
      <x:c r="D7" s="46" t="n">
        <x:v>0.95</x:v>
      </x:c>
      <x:c r="E7" s="16" t="str">
        <x:v>share</x:v>
      </x:c>
      <x:c r="F7" s="24" t="n">
        <x:f>'01 Control'!B7*B7*(1-'01 Control'!B9)*1000*24/3</x:f>
        <x:v>5280000</x:v>
      </x:c>
      <x:c r="G7" s="24" t="n">
        <x:f>'01 Control'!B7*C7*(1-'01 Control'!B9)*1000*24/3</x:f>
        <x:v>6336000</x:v>
      </x:c>
      <x:c r="H7" s="24" t="n">
        <x:f>'01 Control'!B7*D7*(1-'01 Control'!B9)*1000*24/3</x:f>
        <x:v>6688000</x:v>
      </x:c>
      <x:c r="I7" s="16" t="str">
        <x:v>Availability scales quotient before other chain losses</x:v>
      </x:c>
    </x:row>
    <x:row r="8">
      <x:c r="A8" s="16" t="str">
        <x:v>Pipeline velocity</x:v>
      </x:c>
      <x:c r="B8" s="17" t="n">
        <x:v>2</x:v>
      </x:c>
      <x:c r="C8" s="17" t="n">
        <x:v>3</x:v>
      </x:c>
      <x:c r="D8" s="17" t="n">
        <x:v>4</x:v>
      </x:c>
      <x:c r="E8" s="16" t="str">
        <x:v>m/s</x:v>
      </x:c>
      <x:c r="F8" s="24" t="n">
        <x:f>SQRT(4*100/(PI()*B8))</x:f>
        <x:v>7.978845608028654</x:v>
      </x:c>
      <x:c r="G8" s="24" t="n">
        <x:f>SQRT(4*100/(PI()*C8))</x:f>
        <x:v>6.514700158705599</x:v>
      </x:c>
      <x:c r="H8" s="24" t="n">
        <x:f>SQRT(4*100/(PI()*D8))</x:f>
        <x:v>5.641895835477563</x:v>
      </x:c>
      <x:c r="I8" s="16" t="str">
        <x:v>Higher velocity reduces area but changes losses and transients</x:v>
      </x:c>
    </x:row>
    <x:row r="9">
      <x:c r="A9" s="16" t="str">
        <x:v>Pipe wall</x:v>
      </x:c>
      <x:c r="B9" s="17" t="n">
        <x:v>0.012</x:v>
      </x:c>
      <x:c r="C9" s="17" t="n">
        <x:v>0.02</x:v>
      </x:c>
      <x:c r="D9" s="17" t="n">
        <x:v>0.035</x:v>
      </x:c>
      <x:c r="E9" s="16" t="str">
        <x:v>m</x:v>
      </x:c>
      <x:c r="F9" s="24" t="n">
        <x:f>PI()*1*B9*'01 Control'!B11*100</x:f>
        <x:v>29593.80279681585</x:v>
      </x:c>
      <x:c r="G9" s="24" t="n">
        <x:f>PI()*1*C9*'01 Control'!B11*100</x:f>
        <x:v>49323.00466135975</x:v>
      </x:c>
      <x:c r="H9" s="24" t="n">
        <x:f>PI()*1*D9*'01 Control'!B11*100</x:f>
        <x:v>86315.25815737958</x:v>
      </x:c>
      <x:c r="I9" s="16" t="str">
        <x:v>Material mass changes before joints and installation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D7A83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6" hidden="0" customWidth="1"/>
    <x:col min="3" max="3" width="18" hidden="0" customWidth="1"/>
    <x:col min="4" max="4" width="18" hidden="0" customWidth="1"/>
  </x:cols>
  <x:sheetData>
    <x:row r="1" ht="28" customHeight="1">
      <x:c r="A1" s="49" t="str">
        <x:v>Integrity and Anti-Shortcut Audits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Formula-driven tests of totals, grades, concurrency, finance, physics, and authority.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Group</x:v>
      </x:c>
      <x:c r="B4" s="52" t="str">
        <x:v>Test</x:v>
      </x:c>
      <x:c r="C4" s="52" t="str">
        <x:v>Observed</x:v>
      </x:c>
      <x:c r="D4" s="52" t="str">
        <x:v>Expected</x:v>
      </x:c>
      <x:c r="E4" s="51"/>
      <x:c r="F4" s="51"/>
      <x:c r="G4" s="51"/>
      <x:c r="H4" s="51"/>
    </x:row>
    <x:row r="5">
      <x:c r="A5" s="16" t="str">
        <x:v>Quantity</x:v>
      </x:c>
      <x:c r="B5" s="16" t="str">
        <x:v>Known article count is 200,752</x:v>
      </x:c>
      <x:c r="C5" s="16" t="str">
        <x:f>IF('04 Common Families'!D16=200752,"PASS","FAIL")</x:f>
        <x:v>PASS</x:v>
      </x:c>
      <x:c r="D5" s="16" t="str">
        <x:v>PASS</x:v>
      </x:c>
      <x:c r="E5" s="51"/>
      <x:c r="F5" s="51"/>
      <x:c r="G5" s="51"/>
      <x:c r="H5" s="51"/>
    </x:row>
    <x:row r="6">
      <x:c r="A6" s="16" t="str">
        <x:v>Quantity</x:v>
      </x:c>
      <x:c r="B6" s="16" t="str">
        <x:v>Known article capital is USD 1,198.432B</x:v>
      </x:c>
      <x:c r="C6" s="16" t="str">
        <x:f>IF(ABS('04 Common Families'!F16-1198.432)&lt;0.000001,"PASS","FAIL")</x:f>
        <x:v>PASS</x:v>
      </x:c>
      <x:c r="D6" s="16" t="str">
        <x:v>PASS</x:v>
      </x:c>
      <x:c r="E6" s="51"/>
      <x:c r="F6" s="51"/>
      <x:c r="G6" s="51"/>
      <x:c r="H6" s="51"/>
    </x:row>
    <x:row r="7">
      <x:c r="A7" s="16" t="str">
        <x:v>Quantity</x:v>
      </x:c>
      <x:c r="B7" s="16" t="str">
        <x:v>Infrastructure and production is USD 450.835746B</x:v>
      </x:c>
      <x:c r="C7" s="16" t="str">
        <x:f>IF(ABS('09 Quantity Floor'!D9-450.835746)&lt;0.000001,"PASS","FAIL")</x:f>
        <x:v>PASS</x:v>
      </x:c>
      <x:c r="D7" s="16" t="str">
        <x:v>PASS</x:v>
      </x:c>
      <x:c r="E7" s="51"/>
      <x:c r="F7" s="51"/>
      <x:c r="G7" s="51"/>
      <x:c r="H7" s="51"/>
    </x:row>
    <x:row r="8">
      <x:c r="A8" s="16" t="str">
        <x:v>Quantity</x:v>
      </x:c>
      <x:c r="B8" s="16" t="str">
        <x:v>Known common-force floor is USD 1,649.267746B</x:v>
      </x:c>
      <x:c r="C8" s="16" t="str">
        <x:f>IF(ABS('09 Quantity Floor'!D10-1649.267746)&lt;0.000001,"PASS","FAIL")</x:f>
        <x:v>PASS</x:v>
      </x:c>
      <x:c r="D8" s="16" t="str">
        <x:v>PASS</x:v>
      </x:c>
      <x:c r="E8" s="51"/>
      <x:c r="F8" s="51"/>
      <x:c r="G8" s="51"/>
      <x:c r="H8" s="51"/>
    </x:row>
    <x:row r="9">
      <x:c r="A9" s="16" t="str">
        <x:v>Quantity</x:v>
      </x:c>
      <x:c r="B9" s="16" t="str">
        <x:v>Cross-portfolio article credit is zero</x:v>
      </x:c>
      <x:c r="C9" s="16" t="str">
        <x:f>IF('09 Quantity Floor'!B12=0,"PASS","FAIL")</x:f>
        <x:v>PASS</x:v>
      </x:c>
      <x:c r="D9" s="16" t="str">
        <x:v>PASS</x:v>
      </x:c>
      <x:c r="E9" s="51"/>
      <x:c r="F9" s="51"/>
      <x:c r="G9" s="51"/>
      <x:c r="H9" s="51"/>
    </x:row>
    <x:row r="10">
      <x:c r="A10" s="16" t="str">
        <x:v>Quantity</x:v>
      </x:c>
      <x:c r="B10" s="16" t="str">
        <x:v>Admitted capital reduction is zero</x:v>
      </x:c>
      <x:c r="C10" s="16" t="str">
        <x:f>IF('09 Quantity Floor'!D13=0,"PASS","FAIL")</x:f>
        <x:v>PASS</x:v>
      </x:c>
      <x:c r="D10" s="16" t="str">
        <x:v>PASS</x:v>
      </x:c>
      <x:c r="E10" s="51"/>
      <x:c r="F10" s="51"/>
      <x:c r="G10" s="51"/>
      <x:c r="H10" s="51"/>
    </x:row>
    <x:row r="11">
      <x:c r="A11" s="16" t="str">
        <x:v>Translation</x:v>
      </x:c>
      <x:c r="B11" s="16" t="str">
        <x:v>Translation register has 88 rows</x:v>
      </x:c>
      <x:c r="C11" s="16" t="str">
        <x:f>IF(COUNTA('05 Translation'!A5:A92)=88,"PASS","FAIL")</x:f>
        <x:v>PASS</x:v>
      </x:c>
      <x:c r="D11" s="16" t="str">
        <x:v>PASS</x:v>
      </x:c>
      <x:c r="E11" s="51"/>
      <x:c r="F11" s="51"/>
      <x:c r="G11" s="51"/>
      <x:c r="H11" s="51"/>
    </x:row>
    <x:row r="12">
      <x:c r="A12" s="16" t="str">
        <x:v>Translation</x:v>
      </x:c>
      <x:c r="B12" s="16" t="str">
        <x:v>Eleven G3 cells exist</x:v>
      </x:c>
      <x:c r="C12" s="16" t="str">
        <x:f>IF(COUNTIF('05 Translation'!F5:F92,"G3")=11,"PASS","FAIL")</x:f>
        <x:v>PASS</x:v>
      </x:c>
      <x:c r="D12" s="16" t="str">
        <x:v>PASS</x:v>
      </x:c>
      <x:c r="E12" s="51"/>
      <x:c r="F12" s="51"/>
      <x:c r="G12" s="51"/>
      <x:c r="H12" s="51"/>
    </x:row>
    <x:row r="13">
      <x:c r="A13" s="16" t="str">
        <x:v>Translation</x:v>
      </x:c>
      <x:c r="B13" s="16" t="str">
        <x:v>Zero G4 cells exist</x:v>
      </x:c>
      <x:c r="C13" s="16" t="str">
        <x:f>IF(COUNTIF('05 Translation'!F5:F92,"G4")=0,"PASS","FAIL")</x:f>
        <x:v>PASS</x:v>
      </x:c>
      <x:c r="D13" s="16" t="str">
        <x:v>PASS</x:v>
      </x:c>
      <x:c r="E13" s="51"/>
      <x:c r="F13" s="51"/>
      <x:c r="G13" s="51"/>
      <x:c r="H13" s="51"/>
    </x:row>
    <x:row r="14">
      <x:c r="A14" s="16" t="str">
        <x:v>Translation</x:v>
      </x:c>
      <x:c r="B14" s="16" t="str">
        <x:v>Credit-eligible sum is zero</x:v>
      </x:c>
      <x:c r="C14" s="16" t="str">
        <x:f>IF(SUM('05 Translation'!H5:H92)=0,"PASS","FAIL")</x:f>
        <x:v>PASS</x:v>
      </x:c>
      <x:c r="D14" s="16" t="str">
        <x:v>PASS</x:v>
      </x:c>
      <x:c r="E14" s="51"/>
      <x:c r="F14" s="51"/>
      <x:c r="G14" s="51"/>
      <x:c r="H14" s="51"/>
    </x:row>
    <x:row r="15">
      <x:c r="A15" s="16" t="str">
        <x:v>Translation</x:v>
      </x:c>
      <x:c r="B15" s="16" t="str">
        <x:v>G0 cell count is 68</x:v>
      </x:c>
      <x:c r="C15" s="16" t="str">
        <x:f>IF(COUNTIF('05 Translation'!F5:F92,"G0")=68,"PASS","FAIL")</x:f>
        <x:v>PASS</x:v>
      </x:c>
      <x:c r="D15" s="16" t="str">
        <x:v>PASS</x:v>
      </x:c>
      <x:c r="E15" s="51"/>
      <x:c r="F15" s="51"/>
      <x:c r="G15" s="51"/>
      <x:c r="H15" s="51"/>
    </x:row>
    <x:row r="16">
      <x:c r="A16" s="16" t="str">
        <x:v>Translation</x:v>
      </x:c>
      <x:c r="B16" s="16" t="str">
        <x:v>G1 cell count is 9</x:v>
      </x:c>
      <x:c r="C16" s="16" t="str">
        <x:f>IF(COUNTIF('05 Translation'!F5:F92,"G1")=9,"PASS","FAIL")</x:f>
        <x:v>PASS</x:v>
      </x:c>
      <x:c r="D16" s="16" t="str">
        <x:v>PASS</x:v>
      </x:c>
      <x:c r="E16" s="51"/>
      <x:c r="F16" s="51"/>
      <x:c r="G16" s="51"/>
      <x:c r="H16" s="51"/>
    </x:row>
    <x:row r="17">
      <x:c r="A17" s="16" t="str">
        <x:v>Translation</x:v>
      </x:c>
      <x:c r="B17" s="16" t="str">
        <x:v>G2 cell count is zero</x:v>
      </x:c>
      <x:c r="C17" s="16" t="str">
        <x:f>IF(COUNTIF('05 Translation'!F5:F92,"G2")=0,"PASS","FAIL")</x:f>
        <x:v>PASS</x:v>
      </x:c>
      <x:c r="D17" s="16" t="str">
        <x:v>PASS</x:v>
      </x:c>
      <x:c r="E17" s="51"/>
      <x:c r="F17" s="51"/>
      <x:c r="G17" s="51"/>
      <x:c r="H17" s="51"/>
    </x:row>
    <x:row r="18">
      <x:c r="A18" s="16" t="str">
        <x:v>Worlds</x:v>
      </x:c>
      <x:c r="B18" s="16" t="str">
        <x:v>C1 has at least four active portfolios</x:v>
      </x:c>
      <x:c r="C18" s="16" t="str">
        <x:f>IF('07 Worlds'!H5&gt;=4,"PASS","FAIL")</x:f>
        <x:v>PASS</x:v>
      </x:c>
      <x:c r="D18" s="16" t="str">
        <x:v>PASS</x:v>
      </x:c>
      <x:c r="E18" s="51"/>
      <x:c r="F18" s="51"/>
      <x:c r="G18" s="51"/>
      <x:c r="H18" s="51"/>
    </x:row>
    <x:row r="19">
      <x:c r="A19" s="16" t="str">
        <x:v>Worlds</x:v>
      </x:c>
      <x:c r="B19" s="16" t="str">
        <x:v>C2 has at least four active portfolios</x:v>
      </x:c>
      <x:c r="C19" s="16" t="str">
        <x:f>IF('07 Worlds'!H6&gt;=4,"PASS","FAIL")</x:f>
        <x:v>PASS</x:v>
      </x:c>
      <x:c r="D19" s="16" t="str">
        <x:v>PASS</x:v>
      </x:c>
      <x:c r="E19" s="51"/>
      <x:c r="F19" s="51"/>
      <x:c r="G19" s="51"/>
      <x:c r="H19" s="51"/>
    </x:row>
    <x:row r="20">
      <x:c r="A20" s="16" t="str">
        <x:v>Worlds</x:v>
      </x:c>
      <x:c r="B20" s="16" t="str">
        <x:v>C3 has at least four active portfolios</x:v>
      </x:c>
      <x:c r="C20" s="16" t="str">
        <x:f>IF('07 Worlds'!H7&gt;=4,"PASS","FAIL")</x:f>
        <x:v>PASS</x:v>
      </x:c>
      <x:c r="D20" s="16" t="str">
        <x:v>PASS</x:v>
      </x:c>
      <x:c r="E20" s="51"/>
      <x:c r="F20" s="51"/>
      <x:c r="G20" s="51"/>
      <x:c r="H20" s="51"/>
    </x:row>
    <x:row r="21">
      <x:c r="A21" s="16" t="str">
        <x:v>Worlds</x:v>
      </x:c>
      <x:c r="B21" s="16" t="str">
        <x:v>M1 has at least four active portfolios</x:v>
      </x:c>
      <x:c r="C21" s="16" t="str">
        <x:f>IF('07 Worlds'!H8&gt;=4,"PASS","FAIL")</x:f>
        <x:v>PASS</x:v>
      </x:c>
      <x:c r="D21" s="16" t="str">
        <x:v>PASS</x:v>
      </x:c>
      <x:c r="E21" s="51"/>
      <x:c r="F21" s="51"/>
      <x:c r="G21" s="51"/>
      <x:c r="H21" s="51"/>
    </x:row>
    <x:row r="22">
      <x:c r="A22" s="16" t="str">
        <x:v>Worlds</x:v>
      </x:c>
      <x:c r="B22" s="16" t="str">
        <x:v>M2 has at least four active portfolios</x:v>
      </x:c>
      <x:c r="C22" s="16" t="str">
        <x:f>IF('07 Worlds'!H9&gt;=4,"PASS","FAIL")</x:f>
        <x:v>PASS</x:v>
      </x:c>
      <x:c r="D22" s="16" t="str">
        <x:v>PASS</x:v>
      </x:c>
      <x:c r="E22" s="51"/>
      <x:c r="F22" s="51"/>
      <x:c r="G22" s="51"/>
      <x:c r="H22" s="51"/>
    </x:row>
    <x:row r="23">
      <x:c r="A23" s="16" t="str">
        <x:v>Worlds</x:v>
      </x:c>
      <x:c r="B23" s="16" t="str">
        <x:v>M3 has at least four active portfolios</x:v>
      </x:c>
      <x:c r="C23" s="16" t="str">
        <x:f>IF('07 Worlds'!H10&gt;=4,"PASS","FAIL")</x:f>
        <x:v>PASS</x:v>
      </x:c>
      <x:c r="D23" s="16" t="str">
        <x:v>PASS</x:v>
      </x:c>
      <x:c r="E23" s="51"/>
      <x:c r="F23" s="51"/>
      <x:c r="G23" s="51"/>
      <x:c r="H23" s="51"/>
    </x:row>
    <x:row r="24">
      <x:c r="A24" s="16" t="str">
        <x:v>Worlds</x:v>
      </x:c>
      <x:c r="B24" s="16" t="str">
        <x:v>M4 has at least four active portfolios</x:v>
      </x:c>
      <x:c r="C24" s="16" t="str">
        <x:f>IF('07 Worlds'!H11&gt;=4,"PASS","FAIL")</x:f>
        <x:v>PASS</x:v>
      </x:c>
      <x:c r="D24" s="16" t="str">
        <x:v>PASS</x:v>
      </x:c>
      <x:c r="E24" s="51"/>
      <x:c r="F24" s="51"/>
      <x:c r="G24" s="51"/>
      <x:c r="H24" s="51"/>
    </x:row>
    <x:row r="25">
      <x:c r="A25" s="16" t="str">
        <x:v>Worlds</x:v>
      </x:c>
      <x:c r="B25" s="16" t="str">
        <x:v>M5 has at least four active portfolios</x:v>
      </x:c>
      <x:c r="C25" s="16" t="str">
        <x:f>IF('07 Worlds'!H12&gt;=4,"PASS","FAIL")</x:f>
        <x:v>PASS</x:v>
      </x:c>
      <x:c r="D25" s="16" t="str">
        <x:v>PASS</x:v>
      </x:c>
      <x:c r="E25" s="51"/>
      <x:c r="F25" s="51"/>
      <x:c r="G25" s="51"/>
      <x:c r="H25" s="51"/>
    </x:row>
    <x:row r="26">
      <x:c r="A26" s="16" t="str">
        <x:v>Worlds</x:v>
      </x:c>
      <x:c r="B26" s="16" t="str">
        <x:v>G1 has at least four active portfolios</x:v>
      </x:c>
      <x:c r="C26" s="16" t="str">
        <x:f>IF('07 Worlds'!H13&gt;=4,"PASS","FAIL")</x:f>
        <x:v>PASS</x:v>
      </x:c>
      <x:c r="D26" s="16" t="str">
        <x:v>PASS</x:v>
      </x:c>
      <x:c r="E26" s="51"/>
      <x:c r="F26" s="51"/>
      <x:c r="G26" s="51"/>
      <x:c r="H26" s="51"/>
    </x:row>
    <x:row r="27">
      <x:c r="A27" s="16" t="str">
        <x:v>Worlds</x:v>
      </x:c>
      <x:c r="B27" s="16" t="str">
        <x:v>G2 has at least four active portfolios</x:v>
      </x:c>
      <x:c r="C27" s="16" t="str">
        <x:f>IF('07 Worlds'!H14&gt;=4,"PASS","FAIL")</x:f>
        <x:v>PASS</x:v>
      </x:c>
      <x:c r="D27" s="16" t="str">
        <x:v>PASS</x:v>
      </x:c>
      <x:c r="E27" s="51"/>
      <x:c r="F27" s="51"/>
      <x:c r="G27" s="51"/>
      <x:c r="H27" s="51"/>
    </x:row>
    <x:row r="28">
      <x:c r="A28" s="16" t="str">
        <x:v>Worlds</x:v>
      </x:c>
      <x:c r="B28" s="16" t="str">
        <x:v>All ten worlds are held</x:v>
      </x:c>
      <x:c r="C28" s="16" t="str">
        <x:f>IF(COUNTIF('08 World Tests'!F5:F14,"HELD")=10,"PASS","FAIL")</x:f>
        <x:v>PASS</x:v>
      </x:c>
      <x:c r="D28" s="16" t="str">
        <x:v>PASS</x:v>
      </x:c>
      <x:c r="E28" s="51"/>
      <x:c r="F28" s="51"/>
      <x:c r="G28" s="51"/>
      <x:c r="H28" s="51"/>
    </x:row>
    <x:row r="29">
      <x:c r="A29" s="16" t="str">
        <x:v>Worlds</x:v>
      </x:c>
      <x:c r="B29" s="16" t="str">
        <x:v>No world is falsely compiled</x:v>
      </x:c>
      <x:c r="C29" s="16" t="str">
        <x:f>IF(COUNTIF('08 World Tests'!F5:F14,"COMPILED")=0,"PASS","FAIL")</x:f>
        <x:v>PASS</x:v>
      </x:c>
      <x:c r="D29" s="16" t="str">
        <x:v>PASS</x:v>
      </x:c>
      <x:c r="E29" s="51"/>
      <x:c r="F29" s="51"/>
      <x:c r="G29" s="51"/>
      <x:c r="H29" s="51"/>
    </x:row>
    <x:row r="30">
      <x:c r="A30" s="16" t="str">
        <x:v>Finance</x:v>
      </x:c>
      <x:c r="B30" s="16" t="str">
        <x:v>Technology base sums to USD 800B</x:v>
      </x:c>
      <x:c r="C30" s="16" t="str">
        <x:f>IF('11 Tech Portfolio'!C13=800,"PASS","FAIL")</x:f>
        <x:v>PASS</x:v>
      </x:c>
      <x:c r="D30" s="16" t="str">
        <x:v>PASS</x:v>
      </x:c>
      <x:c r="E30" s="51"/>
      <x:c r="F30" s="51"/>
      <x:c r="G30" s="51"/>
      <x:c r="H30" s="51"/>
    </x:row>
    <x:row r="31">
      <x:c r="A31" s="16" t="str">
        <x:v>Finance</x:v>
      </x:c>
      <x:c r="B31" s="16" t="str">
        <x:v>Failure reserve is USD 200B</x:v>
      </x:c>
      <x:c r="C31" s="16" t="str">
        <x:f>IF('11 Tech Portfolio'!E13=200,"PASS","FAIL")</x:f>
        <x:v>PASS</x:v>
      </x:c>
      <x:c r="D31" s="16" t="str">
        <x:v>PASS</x:v>
      </x:c>
      <x:c r="E31" s="51"/>
      <x:c r="F31" s="51"/>
      <x:c r="G31" s="51"/>
      <x:c r="H31" s="51"/>
    </x:row>
    <x:row r="32">
      <x:c r="A32" s="16" t="str">
        <x:v>Finance</x:v>
      </x:c>
      <x:c r="B32" s="16" t="str">
        <x:v>Technology envelope is USD 1,000B</x:v>
      </x:c>
      <x:c r="C32" s="16" t="str">
        <x:f>IF('11 Tech Portfolio'!F13=1000,"PASS","FAIL")</x:f>
        <x:v>PASS</x:v>
      </x:c>
      <x:c r="D32" s="16" t="str">
        <x:v>PASS</x:v>
      </x:c>
      <x:c r="E32" s="51"/>
      <x:c r="F32" s="51"/>
      <x:c r="G32" s="51"/>
      <x:c r="H32" s="51"/>
    </x:row>
    <x:row r="33">
      <x:c r="A33" s="16" t="str">
        <x:v>Finance</x:v>
      </x:c>
      <x:c r="B33" s="16" t="str">
        <x:v>Technology shares sum to one</x:v>
      </x:c>
      <x:c r="C33" s="16" t="str">
        <x:f>IF(ABS('11 Tech Portfolio'!D13-1)&lt;0.000001,"PASS","FAIL")</x:f>
        <x:v>PASS</x:v>
      </x:c>
      <x:c r="D33" s="16" t="str">
        <x:v>PASS</x:v>
      </x:c>
      <x:c r="E33" s="51"/>
      <x:c r="F33" s="51"/>
      <x:c r="G33" s="51"/>
      <x:c r="H33" s="51"/>
    </x:row>
    <x:row r="34">
      <x:c r="A34" s="16" t="str">
        <x:v>Finance</x:v>
      </x:c>
      <x:c r="B34" s="16" t="str">
        <x:v>Cadence shares sum to one</x:v>
      </x:c>
      <x:c r="C34" s="16" t="str">
        <x:f>IF(ABS('12 Tech Cadence'!B10-1)&lt;0.000001,"PASS","FAIL")</x:f>
        <x:v>PASS</x:v>
      </x:c>
      <x:c r="D34" s="16" t="str">
        <x:v>PASS</x:v>
      </x:c>
      <x:c r="E34" s="51"/>
      <x:c r="F34" s="51"/>
      <x:c r="G34" s="51"/>
      <x:c r="H34" s="51"/>
    </x:row>
    <x:row r="35">
      <x:c r="A35" s="16" t="str">
        <x:v>Finance</x:v>
      </x:c>
      <x:c r="B35" s="16" t="str">
        <x:v>Cadence dollars equal envelope</x:v>
      </x:c>
      <x:c r="C35" s="16" t="str">
        <x:f>IF(ABS('12 Tech Cadence'!C10-'11 Tech Portfolio'!F13)&lt;0.000001,"PASS","FAIL")</x:f>
        <x:v>PASS</x:v>
      </x:c>
      <x:c r="D35" s="16" t="str">
        <x:v>PASS</x:v>
      </x:c>
      <x:c r="E35" s="51"/>
      <x:c r="F35" s="51"/>
      <x:c r="G35" s="51"/>
      <x:c r="H35" s="51"/>
    </x:row>
    <x:row r="36">
      <x:c r="A36" s="16" t="str">
        <x:v>Finance</x:v>
      </x:c>
      <x:c r="B36" s="16" t="str">
        <x:v>Final cumulative dollars equal envelope</x:v>
      </x:c>
      <x:c r="C36" s="16" t="str">
        <x:f>IF(ABS('12 Tech Cadence'!D10-'11 Tech Portfolio'!F13)&lt;0.000001,"PASS","FAIL")</x:f>
        <x:v>PASS</x:v>
      </x:c>
      <x:c r="D36" s="16" t="str">
        <x:v>PASS</x:v>
      </x:c>
      <x:c r="E36" s="51"/>
      <x:c r="F36" s="51"/>
      <x:c r="G36" s="51"/>
      <x:c r="H36" s="51"/>
    </x:row>
    <x:row r="37">
      <x:c r="A37" s="16" t="str">
        <x:v>Workforce</x:v>
      </x:c>
      <x:c r="B37" s="16" t="str">
        <x:v>Peak positions equal 500,000</x:v>
      </x:c>
      <x:c r="C37" s="16" t="str">
        <x:f>IF('13 Workforce'!B10=500000,"PASS","FAIL")</x:f>
        <x:v>PASS</x:v>
      </x:c>
      <x:c r="D37" s="16" t="str">
        <x:v>PASS</x:v>
      </x:c>
      <x:c r="E37" s="51"/>
      <x:c r="F37" s="51"/>
      <x:c r="G37" s="51"/>
      <x:c r="H37" s="51"/>
    </x:row>
    <x:row r="38">
      <x:c r="A38" s="16" t="str">
        <x:v>Workforce</x:v>
      </x:c>
      <x:c r="B38" s="16" t="str">
        <x:v>Workforce shares sum to one</x:v>
      </x:c>
      <x:c r="C38" s="16" t="str">
        <x:f>IF(ABS('13 Workforce'!C10-1)&lt;0.000001,"PASS","FAIL")</x:f>
        <x:v>PASS</x:v>
      </x:c>
      <x:c r="D38" s="16" t="str">
        <x:v>PASS</x:v>
      </x:c>
      <x:c r="E38" s="51"/>
      <x:c r="F38" s="51"/>
      <x:c r="G38" s="51"/>
      <x:c r="H38" s="51"/>
    </x:row>
    <x:row r="39">
      <x:c r="A39" s="16" t="str">
        <x:v>Water energy</x:v>
      </x:c>
      <x:c r="B39" s="16" t="str">
        <x:v>Higher process energy lowers quotient</x:v>
      </x:c>
      <x:c r="C39" s="16" t="str">
        <x:f>IF('14 Water Energy'!G5&gt;'14 Water Energy'!G6,"PASS","FAIL")</x:f>
        <x:v>PASS</x:v>
      </x:c>
      <x:c r="D39" s="16" t="str">
        <x:v>PASS</x:v>
      </x:c>
      <x:c r="E39" s="51"/>
      <x:c r="F39" s="51"/>
      <x:c r="G39" s="51"/>
      <x:c r="H39" s="51"/>
    </x:row>
    <x:row r="40">
      <x:c r="A40" s="16" t="str">
        <x:v>Water energy</x:v>
      </x:c>
      <x:c r="B40" s="16" t="str">
        <x:v>Reference exceeds severe-feed quotient</x:v>
      </x:c>
      <x:c r="C40" s="16" t="str">
        <x:f>IF('14 Water Energy'!G6&gt;'14 Water Energy'!G8,"PASS","FAIL")</x:f>
        <x:v>PASS</x:v>
      </x:c>
      <x:c r="D40" s="16" t="str">
        <x:v>PASS</x:v>
      </x:c>
      <x:c r="E40" s="51"/>
      <x:c r="F40" s="51"/>
      <x:c r="G40" s="51"/>
      <x:c r="H40" s="51"/>
    </x:row>
    <x:row r="41">
      <x:c r="A41" s="16" t="str">
        <x:v>Water energy</x:v>
      </x:c>
      <x:c r="B41" s="16" t="str">
        <x:v>Net process output is below gross output</x:v>
      </x:c>
      <x:c r="C41" s="16" t="str">
        <x:f>IF('14 Water Energy'!E6&lt;'14 Water Energy'!B6,"PASS","FAIL")</x:f>
        <x:v>PASS</x:v>
      </x:c>
      <x:c r="D41" s="16" t="str">
        <x:v>PASS</x:v>
      </x:c>
      <x:c r="E41" s="51"/>
      <x:c r="F41" s="51"/>
      <x:c r="G41" s="51"/>
      <x:c r="H41" s="51"/>
    </x:row>
    <x:row r="42">
      <x:c r="A42" s="16" t="str">
        <x:v>Corridor</x:v>
      </x:c>
      <x:c r="B42" s="16" t="str">
        <x:v>100 m3/s diameter exceeds 6 m at 3 m/s</x:v>
      </x:c>
      <x:c r="C42" s="16" t="str">
        <x:f>IF('15 Corridor Physics'!E5&gt;6,"PASS","FAIL")</x:f>
        <x:v>PASS</x:v>
      </x:c>
      <x:c r="D42" s="16" t="str">
        <x:v>PASS</x:v>
      </x:c>
      <x:c r="E42" s="51"/>
      <x:c r="F42" s="51"/>
      <x:c r="G42" s="51"/>
      <x:c r="H42" s="51"/>
    </x:row>
    <x:row r="43">
      <x:c r="A43" s="16" t="str">
        <x:v>Corridor</x:v>
      </x:c>
      <x:c r="B43" s="16" t="str">
        <x:v>One 1 m line area is below 1 m2</x:v>
      </x:c>
      <x:c r="C43" s="16" t="str">
        <x:f>IF('15 Corridor Physics'!D6&lt;1,"PASS","FAIL")</x:f>
        <x:v>PASS</x:v>
      </x:c>
      <x:c r="D43" s="16" t="str">
        <x:v>PASS</x:v>
      </x:c>
      <x:c r="E43" s="51"/>
      <x:c r="F43" s="51"/>
      <x:c r="G43" s="51"/>
      <x:c r="H43" s="51"/>
    </x:row>
    <x:row r="44">
      <x:c r="A44" s="16" t="str">
        <x:v>Corridor</x:v>
      </x:c>
      <x:c r="B44" s="16" t="str">
        <x:v>Ten 1 m lines remain below 100 m3/s</x:v>
      </x:c>
      <x:c r="C44" s="16" t="str">
        <x:f>IF('15 Corridor Physics'!B7&lt;100,"PASS","FAIL")</x:f>
        <x:v>PASS</x:v>
      </x:c>
      <x:c r="D44" s="16" t="str">
        <x:v>PASS</x:v>
      </x:c>
      <x:c r="E44" s="51"/>
      <x:c r="F44" s="51"/>
      <x:c r="G44" s="51"/>
      <x:c r="H44" s="51"/>
    </x:row>
    <x:row r="45">
      <x:c r="A45" s="16" t="str">
        <x:v>Corridor</x:v>
      </x:c>
      <x:c r="B45" s="16" t="str">
        <x:v>100 km steel line exceeds 49,000 t</x:v>
      </x:c>
      <x:c r="C45" s="16" t="str">
        <x:f>IF('15 Corridor Physics'!J6&gt;49000,"PASS","FAIL")</x:f>
        <x:v>PASS</x:v>
      </x:c>
      <x:c r="D45" s="16" t="str">
        <x:v>PASS</x:v>
      </x:c>
      <x:c r="E45" s="51"/>
      <x:c r="F45" s="51"/>
      <x:c r="G45" s="51"/>
      <x:c r="H45" s="51"/>
    </x:row>
    <x:row r="46">
      <x:c r="A46" s="16" t="str">
        <x:v>Reservation</x:v>
      </x:c>
      <x:c r="B46" s="16" t="str">
        <x:v>Valid first reservation passes</x:v>
      </x:c>
      <x:c r="C46" s="16" t="str">
        <x:f>IF('16 Reservation Law'!J5="PASS","PASS","FAIL")</x:f>
        <x:v>PASS</x:v>
      </x:c>
      <x:c r="D46" s="16" t="str">
        <x:v>PASS</x:v>
      </x:c>
      <x:c r="E46" s="51"/>
      <x:c r="F46" s="51"/>
      <x:c r="G46" s="51"/>
      <x:c r="H46" s="51"/>
    </x:row>
    <x:row r="47">
      <x:c r="A47" s="16" t="str">
        <x:v>Reservation</x:v>
      </x:c>
      <x:c r="B47" s="16" t="str">
        <x:v>Reset-only interval passes</x:v>
      </x:c>
      <x:c r="C47" s="16" t="str">
        <x:f>IF('16 Reservation Law'!J6="PASS","PASS","FAIL")</x:f>
        <x:v>PASS</x:v>
      </x:c>
      <x:c r="D47" s="16" t="str">
        <x:v>PASS</x:v>
      </x:c>
      <x:c r="E47" s="51"/>
      <x:c r="F47" s="51"/>
      <x:c r="G47" s="51"/>
      <x:c r="H47" s="51"/>
    </x:row>
    <x:row r="48">
      <x:c r="A48" s="16" t="str">
        <x:v>Reservation</x:v>
      </x:c>
      <x:c r="B48" s="16" t="str">
        <x:v>Deliberate duplicate fails</x:v>
      </x:c>
      <x:c r="C48" s="16" t="str">
        <x:f>IF('16 Reservation Law'!J7="FAIL","PASS","FAIL")</x:f>
        <x:v>PASS</x:v>
      </x:c>
      <x:c r="D48" s="16" t="str">
        <x:v>PASS</x:v>
      </x:c>
      <x:c r="E48" s="51"/>
      <x:c r="F48" s="51"/>
      <x:c r="G48" s="51"/>
      <x:c r="H48" s="51"/>
    </x:row>
    <x:row r="49">
      <x:c r="A49" s="16" t="str">
        <x:v>Reservation</x:v>
      </x:c>
      <x:c r="B49" s="16" t="str">
        <x:v>Access reservation passes</x:v>
      </x:c>
      <x:c r="C49" s="16" t="str">
        <x:f>IF('16 Reservation Law'!J8="PASS","PASS","FAIL")</x:f>
        <x:v>PASS</x:v>
      </x:c>
      <x:c r="D49" s="16" t="str">
        <x:v>PASS</x:v>
      </x:c>
      <x:c r="E49" s="51"/>
      <x:c r="F49" s="51"/>
      <x:c r="G49" s="51"/>
      <x:c r="H49" s="51"/>
    </x:row>
    <x:row r="50">
      <x:c r="A50" s="16" t="str">
        <x:v>Reservation</x:v>
      </x:c>
      <x:c r="B50" s="16" t="str">
        <x:v>Load-frame reset passes</x:v>
      </x:c>
      <x:c r="C50" s="16" t="str">
        <x:f>IF('16 Reservation Law'!J9="PASS","PASS","FAIL")</x:f>
        <x:v>PASS</x:v>
      </x:c>
      <x:c r="D50" s="16" t="str">
        <x:v>PASS</x:v>
      </x:c>
      <x:c r="E50" s="51"/>
      <x:c r="F50" s="51"/>
      <x:c r="G50" s="51"/>
      <x:c r="H50" s="51"/>
    </x:row>
    <x:row r="51">
      <x:c r="A51" s="16" t="str">
        <x:v>Authority</x:v>
      </x:c>
      <x:c r="B51" s="16" t="str">
        <x:v>No exterior rendering is authorized</x:v>
      </x:c>
      <x:c r="C51" s="16" t="str">
        <x:f>IF(COUNTIF('18 Admissions'!G5:G12,"YES")=0,"PASS","FAIL")</x:f>
        <x:v>PASS</x:v>
      </x:c>
      <x:c r="D51" s="16" t="str">
        <x:v>PASS</x:v>
      </x:c>
      <x:c r="E51" s="51"/>
      <x:c r="F51" s="51"/>
      <x:c r="G51" s="51"/>
      <x:c r="H51" s="51"/>
    </x:row>
    <x:row r="52">
      <x:c r="A52" s="16" t="str">
        <x:v>Authority</x:v>
      </x:c>
      <x:c r="B52" s="16" t="str">
        <x:v>No procurement is authorized</x:v>
      </x:c>
      <x:c r="C52" s="16" t="str">
        <x:f>IF(COUNTIF('18 Admissions'!E5:E12,"YES")=0,"PASS","FAIL")</x:f>
        <x:v>PASS</x:v>
      </x:c>
      <x:c r="D52" s="16" t="str">
        <x:v>PASS</x:v>
      </x:c>
      <x:c r="E52" s="51"/>
      <x:c r="F52" s="51"/>
      <x:c r="G52" s="51"/>
      <x:c r="H52" s="51"/>
    </x:row>
    <x:row r="53">
      <x:c r="A53" s="16" t="str">
        <x:v>Authority</x:v>
      </x:c>
      <x:c r="B53" s="16" t="str">
        <x:v>No fielding is authorized</x:v>
      </x:c>
      <x:c r="C53" s="16" t="str">
        <x:f>IF(COUNTIF('18 Admissions'!F5:F12,"YES")=0,"PASS","FAIL")</x:f>
        <x:v>PASS</x:v>
      </x:c>
      <x:c r="D53" s="16" t="str">
        <x:v>PASS</x:v>
      </x:c>
      <x:c r="E53" s="51"/>
      <x:c r="F53" s="51"/>
      <x:c r="G53" s="51"/>
      <x:c r="H53" s="51"/>
    </x:row>
    <x:row r="54">
      <x:c r="A54" s="16" t="str">
        <x:v>Authority</x:v>
      </x:c>
      <x:c r="B54" s="16" t="str">
        <x:v>No quantity credit is authorized</x:v>
      </x:c>
      <x:c r="C54" s="16" t="str">
        <x:f>IF(COUNTIF('18 Admissions'!D5:D12,"YES")=0,"PASS","FAIL")</x:f>
        <x:v>PASS</x:v>
      </x:c>
      <x:c r="D54" s="16" t="str">
        <x:v>PASS</x:v>
      </x:c>
      <x:c r="E54" s="51"/>
      <x:c r="F54" s="51"/>
      <x:c r="G54" s="51"/>
      <x:c r="H54" s="51"/>
    </x:row>
    <x:row r="55">
      <x:c r="A55" s="16" t="str">
        <x:v>Authority</x:v>
      </x:c>
      <x:c r="B55" s="16" t="str">
        <x:v>RBY-1 research is authorized</x:v>
      </x:c>
      <x:c r="C55" s="16" t="str">
        <x:f>IF('18 Admissions'!B8="YES","PASS","FAIL")</x:f>
        <x:v>PASS</x:v>
      </x:c>
      <x:c r="D55" s="16" t="str">
        <x:v>PASS</x:v>
      </x:c>
      <x:c r="E55" s="51"/>
      <x:c r="F55" s="51"/>
      <x:c r="G55" s="51"/>
      <x:c r="H55" s="51"/>
    </x:row>
    <x:row r="56">
      <x:c r="A56" s="16" t="str">
        <x:v>Scope</x:v>
      </x:c>
      <x:c r="B56" s="16" t="str">
        <x:v>Capital register has no summed Department total</x:v>
      </x:c>
      <x:c r="C56" s="16" t="str">
        <x:f>IF(COUNTIF('10 Capital Register'!E5:E10,"NO")=5,"PASS","FAIL")</x:f>
        <x:v>PASS</x:v>
      </x:c>
      <x:c r="D56" s="16" t="str">
        <x:v>PASS</x:v>
      </x:c>
      <x:c r="E56" s="51"/>
      <x:c r="F56" s="51"/>
      <x:c r="G56" s="51"/>
      <x:c r="H56" s="51"/>
    </x:row>
    <x:row r="57">
      <x:c r="A57" s="16" t="str">
        <x:v>Scope</x:v>
      </x:c>
      <x:c r="B57" s="16" t="str">
        <x:v>Five public-service portfolios are registered</x:v>
      </x:c>
      <x:c r="C57" s="16" t="str">
        <x:f>IF(COUNTA('02 Portfolios'!A5:A9)=5,"PASS","FAIL")</x:f>
        <x:v>PASS</x:v>
      </x:c>
      <x:c r="D57" s="16" t="str">
        <x:v>PASS</x:v>
      </x:c>
      <x:c r="E57" s="51"/>
      <x:c r="F57" s="51"/>
      <x:c r="G57" s="51"/>
      <x:c r="H57" s="51"/>
    </x:row>
    <x:row r="58">
      <x:c r="A58" s="16" t="str">
        <x:v>Scope</x:v>
      </x:c>
      <x:c r="B58" s="16" t="str">
        <x:v>Eight operating kernels are registered</x:v>
      </x:c>
      <x:c r="C58" s="16" t="str">
        <x:f>IF(COUNTA('03 Kernels'!A5:A12)=8,"PASS","FAIL")</x:f>
        <x:v>PASS</x:v>
      </x:c>
      <x:c r="D58" s="16" t="str">
        <x:v>PASS</x:v>
      </x:c>
      <x:c r="E58" s="51"/>
      <x:c r="F58" s="51"/>
      <x:c r="G58" s="51"/>
      <x:c r="H58" s="51"/>
    </x:row>
    <x:row r="59">
      <x:c r="A59" s="16" t="str">
        <x:v>Scope</x:v>
      </x:c>
      <x:c r="B59" s="16" t="str">
        <x:v>Eleven common families are registered</x:v>
      </x:c>
      <x:c r="C59" s="16" t="str">
        <x:f>IF(COUNTA('04 Common Families'!A5:A15)=11,"PASS","FAIL")</x:f>
        <x:v>PASS</x:v>
      </x:c>
      <x:c r="D59" s="16" t="str">
        <x:v>PASS</x:v>
      </x:c>
      <x:c r="E59" s="51"/>
      <x:c r="F59" s="51"/>
      <x:c r="G59" s="51"/>
      <x:c r="H59" s="51"/>
    </x:row>
    <x:row r="60">
      <x:c r="A60" s="16" t="str">
        <x:v>Scope</x:v>
      </x:c>
      <x:c r="B60" s="16" t="str">
        <x:v>Six closure objects are queued</x:v>
      </x:c>
      <x:c r="C60" s="16" t="str">
        <x:f>IF(COUNTA('17 Closure Queue'!A5:A10)=6,"PASS","FAIL")</x:f>
        <x:v>PASS</x:v>
      </x:c>
      <x:c r="D60" s="16" t="str">
        <x:v>PASS</x:v>
      </x:c>
      <x:c r="E60" s="51"/>
      <x:c r="F60" s="51"/>
      <x:c r="G60" s="51"/>
      <x:c r="H60" s="51"/>
    </x:row>
  </x:sheetData>
  <x:mergeCells>
    <x:mergeCell ref="A1:H1"/>
    <x:mergeCell ref="A2:H2"/>
  </x:mergeCells>
  <x:conditionalFormatting sqref="C5:C60">
    <x:cfRule type="containsText" dxfId="1" priority="1" operator="containsText" text="FAIL"/>
    <x:cfRule type="containsText" dxfId="2" priority="2" operator="containsText" text="PASS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86" hidden="0" customWidth="1"/>
    <x:col min="3" max="3" width="62" hidden="0" customWidth="1"/>
    <x:col min="4" max="4" width="36" hidden="0" customWidth="1"/>
  </x:cols>
  <x:sheetData>
    <x:row r="1" ht="28" customHeight="1">
      <x:c r="A1" s="49" t="str">
        <x:v>Internal Source and Lineage Register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Repository-native sources only; no external evidence is implied.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Source object</x:v>
      </x:c>
      <x:c r="B4" s="52" t="str">
        <x:v>Repository path</x:v>
      </x:c>
      <x:c r="C4" s="52" t="str">
        <x:v>Imported content</x:v>
      </x:c>
      <x:c r="D4" s="52" t="str">
        <x:v>Scope warning</x:v>
      </x:c>
      <x:c r="E4" s="51"/>
      <x:c r="F4" s="51"/>
      <x:c r="G4" s="51"/>
      <x:c r="H4" s="51"/>
    </x:row>
    <x:row r="5">
      <x:c r="A5" s="16" t="str">
        <x:v>RBW-1</x:v>
      </x:c>
      <x:c r="B5" s="16" t="str">
        <x:v>research/force/generation/f36-cisa40-sa6-root-a-national-common-force-decomposition-availability-contract-and-anti-double-counting-constitution.md</x:v>
      </x:c>
      <x:c r="C5" s="16" t="str">
        <x:v>Eleven common families; quantities; capital floor</x:v>
      </x:c>
      <x:c r="D5" s="16" t="str">
        <x:v>Planning constitution</x:v>
      </x:c>
      <x:c r="E5" s="51"/>
      <x:c r="F5" s="51"/>
      <x:c r="G5" s="51"/>
      <x:c r="H5" s="51"/>
    </x:row>
    <x:row r="6">
      <x:c r="A6" s="16" t="str">
        <x:v>RBV-1</x:v>
      </x:c>
      <x:c r="B6" s="16" t="str">
        <x:v>research/force/generation/f36-cisa40-sa6-root-a-national-fire-control-service-guarantee-basing-force-allocation-and-mature-economy-constitution.md</x:v>
      </x:c>
      <x:c r="C6" s="16" t="str">
        <x:v>C24 groups, bodies, people, capital</x:v>
      </x:c>
      <x:c r="D6" s="16" t="str">
        <x:v>Fire successor only</x:v>
      </x:c>
      <x:c r="E6" s="51"/>
      <x:c r="F6" s="51"/>
      <x:c r="G6" s="51"/>
      <x:c r="H6" s="51"/>
    </x:row>
    <x:row r="7">
      <x:c r="A7" s="16" t="str">
        <x:v>Flood configuration</x:v>
      </x:c>
      <x:c r="B7" s="16" t="str">
        <x:v>research/systems/flood/configuration-model.md</x:v>
      </x:c>
      <x:c r="C7" s="16" t="str">
        <x:v>FIN and HCG quantities, mass, power, readiness screen</x:v>
      </x:c>
      <x:c r="D7" s="16" t="str">
        <x:v>First-order configuration</x:v>
      </x:c>
      <x:c r="E7" s="51"/>
      <x:c r="F7" s="51"/>
      <x:c r="G7" s="51"/>
      <x:c r="H7" s="51"/>
    </x:row>
    <x:row r="8">
      <x:c r="A8" s="16" t="str">
        <x:v>Power configuration</x:v>
      </x:c>
      <x:c r="B8" s="16" t="str">
        <x:v>research/systems/power/configuration-model.md</x:v>
      </x:c>
      <x:c r="C8" s="16" t="str">
        <x:v>PRG-100 service, source, storage, mass, people</x:v>
      </x:c>
      <x:c r="D8" s="16" t="str">
        <x:v>First-order configuration</x:v>
      </x:c>
      <x:c r="E8" s="51"/>
      <x:c r="F8" s="51"/>
      <x:c r="G8" s="51"/>
      <x:c r="H8" s="51"/>
    </x:row>
    <x:row r="9">
      <x:c r="A9" s="16" t="str">
        <x:v>TAFG-1</x:v>
      </x:c>
      <x:c r="B9" s="16" t="str">
        <x:v>research/force/projection/tafg1-trivector-access-group-configuration.md</x:v>
      </x:c>
      <x:c r="C9" s="16" t="str">
        <x:v>Payload, people, reset, assigned group screen</x:v>
      </x:c>
      <x:c r="D9" s="16" t="str">
        <x:v>No physical admission</x:v>
      </x:c>
      <x:c r="E9" s="51"/>
      <x:c r="F9" s="51"/>
      <x:c r="G9" s="51"/>
      <x:c r="H9" s="51"/>
    </x:row>
    <x:row r="10">
      <x:c r="A10" s="16" t="str">
        <x:v>Canonical allocation</x:v>
      </x:c>
      <x:c r="B10" s="16" t="str">
        <x:v>research/force/generation/canonical-force-allocation-and-fiscal-reconciliation.md</x:v>
      </x:c>
      <x:c r="C10" s="16" t="str">
        <x:v>Ten worlds; PRG and medical quantities and capital</x:v>
      </x:c>
      <x:c r="D10" s="16" t="str">
        <x:v>Provisional reopening</x:v>
      </x:c>
      <x:c r="E10" s="51"/>
      <x:c r="F10" s="51"/>
      <x:c r="G10" s="51"/>
      <x:c r="H10" s="51"/>
    </x:row>
    <x:row r="11">
      <x:c r="A11" s="16" t="str">
        <x:v>RBX-1</x:v>
      </x:c>
      <x:c r="B11" s="16" t="str">
        <x:v>research/force/generation/f36-cisa40-sa6-root-a-five-portfolio-concurrent-service-compiler-common-force-quantity-and-technology-convergence-constitution.md</x:v>
      </x:c>
      <x:c r="C11" s="16" t="str">
        <x:v>Compiler law, technology portfolio, decision</x:v>
      </x:c>
      <x:c r="D11" s="16" t="str">
        <x:v>Current pass</x:v>
      </x:c>
      <x:c r="E11" s="51"/>
      <x:c r="F11" s="51"/>
      <x:c r="G11" s="51"/>
      <x:c r="H11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E5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54" hidden="0" customWidth="1"/>
  </x:cols>
  <x:sheetData>
    <x:row r="1" ht="28" customHeight="1">
      <x:c r="A1" s="49" t="str">
        <x:v>Controlled Vocabulary</x:v>
      </x:c>
      <x:c r="B1" s="49"/>
      <x:c r="C1" s="49"/>
      <x:c r="D1" s="49"/>
      <x:c r="E1" s="49"/>
      <x:c r="F1" s="49"/>
      <x:c r="G1" s="49"/>
      <x:c r="H1" s="49"/>
    </x:row>
    <x:row r="2" ht="32" customHeight="1">
      <x:c r="A2" s="50" t="str">
        <x:v>Terms that prevent ownership, availability, equivalence, and service from collapsing into one claim.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52" t="str">
        <x:v>Term</x:v>
      </x:c>
      <x:c r="B4" s="52" t="str">
        <x:v>Controlled meaning</x:v>
      </x:c>
      <x:c r="C4" s="52" t="str">
        <x:v>Forbidden shortcut</x:v>
      </x:c>
      <x:c r="D4" s="51"/>
      <x:c r="E4" s="51"/>
      <x:c r="F4" s="51"/>
      <x:c r="G4" s="51"/>
      <x:c r="H4" s="51"/>
    </x:row>
    <x:row r="5">
      <x:c r="A5" s="16" t="str">
        <x:v>Public-service obligation</x:v>
      </x:c>
      <x:c r="B5" s="16" t="str">
        <x:v>Population, service bundle, time, duration, and damage world</x:v>
      </x:c>
      <x:c r="C5" s="16" t="str">
        <x:v>Platform arrival</x:v>
      </x:c>
      <x:c r="D5" s="51"/>
      <x:c r="E5" s="51"/>
      <x:c r="F5" s="51"/>
      <x:c r="G5" s="51"/>
      <x:c r="H5" s="51"/>
    </x:row>
    <x:row r="6">
      <x:c r="A6" s="16" t="str">
        <x:v>Known floor</x:v>
      </x:c>
      <x:c r="B6" s="16" t="str">
        <x:v>Accepted planning inventory already required by a constituted promise</x:v>
      </x:c>
      <x:c r="C6" s="16" t="str">
        <x:v>Final national requirement</x:v>
      </x:c>
      <x:c r="D6" s="51"/>
      <x:c r="E6" s="51"/>
      <x:c r="F6" s="51"/>
      <x:c r="G6" s="51"/>
      <x:c r="H6" s="51"/>
    </x:row>
    <x:row r="7">
      <x:c r="A7" s="16" t="str">
        <x:v>Common family</x:v>
      </x:c>
      <x:c r="B7" s="16" t="str">
        <x:v>Configuration-governed capability with shared interface and custody law</x:v>
      </x:c>
      <x:c r="C7" s="16" t="str">
        <x:v>One universal machine</x:v>
      </x:c>
      <x:c r="D7" s="51"/>
      <x:c r="E7" s="51"/>
      <x:c r="F7" s="51"/>
      <x:c r="G7" s="51"/>
      <x:c r="H7" s="51"/>
    </x:row>
    <x:row r="8">
      <x:c r="A8" s="16" t="str">
        <x:v>Translation</x:v>
      </x:c>
      <x:c r="B8" s="16" t="str">
        <x:v>Explicit mapping from mission requirement to article, crew, transport, receiver, and reset</x:v>
      </x:c>
      <x:c r="C8" s="16" t="str">
        <x:v>Nominal-output analogy</x:v>
      </x:c>
      <x:c r="D8" s="51"/>
      <x:c r="E8" s="51"/>
      <x:c r="F8" s="51"/>
      <x:c r="G8" s="51"/>
      <x:c r="H8" s="51"/>
    </x:row>
    <x:row r="9">
      <x:c r="A9" s="16" t="str">
        <x:v>Substitution</x:v>
      </x:c>
      <x:c r="B9" s="16" t="str">
        <x:v>Representative proof that one article can replace another without breaking service</x:v>
      </x:c>
      <x:c r="C9" s="16" t="str">
        <x:v>Connector fit</x:v>
      </x:c>
      <x:c r="D9" s="51"/>
      <x:c r="E9" s="51"/>
      <x:c r="F9" s="51"/>
      <x:c r="G9" s="51"/>
      <x:c r="H9" s="51"/>
    </x:row>
    <x:row r="10">
      <x:c r="A10" s="16" t="str">
        <x:v>Reservation</x:v>
      </x:c>
      <x:c r="B10" s="16" t="str">
        <x:v>Exclusive claim on serialized capacity for an occupied interval</x:v>
      </x:c>
      <x:c r="C10" s="16" t="str">
        <x:v>Administrative priority</x:v>
      </x:c>
      <x:c r="D10" s="51"/>
      <x:c r="E10" s="51"/>
      <x:c r="F10" s="51"/>
      <x:c r="G10" s="51"/>
      <x:c r="H10" s="51"/>
    </x:row>
    <x:row r="11">
      <x:c r="A11" s="16" t="str">
        <x:v>Occupied interval</x:v>
      </x:c>
      <x:c r="B11" s="16" t="str">
        <x:v>Preparation through recertified return</x:v>
      </x:c>
      <x:c r="C11" s="16" t="str">
        <x:v>Time deployed only</x:v>
      </x:c>
      <x:c r="D11" s="51"/>
      <x:c r="E11" s="51"/>
      <x:c r="F11" s="51"/>
      <x:c r="G11" s="51"/>
      <x:c r="H11" s="51"/>
    </x:row>
    <x:row r="12">
      <x:c r="A12" s="16" t="str">
        <x:v>Industrial root</x:v>
      </x:c>
      <x:c r="B12" s="16" t="str">
        <x:v>Sources that remain independent under the named failure</x:v>
      </x:c>
      <x:c r="C12" s="16" t="str">
        <x:v>Different brand names</x:v>
      </x:c>
      <x:c r="D12" s="51"/>
      <x:c r="E12" s="51"/>
      <x:c r="F12" s="51"/>
      <x:c r="G12" s="51"/>
      <x:c r="H12" s="51"/>
    </x:row>
    <x:row r="13">
      <x:c r="A13" s="16" t="str">
        <x:v>Conditional release</x:v>
      </x:c>
      <x:c r="B13" s="16" t="str">
        <x:v>Predecessor capacity retired after successor service and reservation proof</x:v>
      </x:c>
      <x:c r="C13" s="16" t="str">
        <x:v>Assumed savings</x:v>
      </x:c>
      <x:c r="D13" s="51"/>
      <x:c r="E13" s="51"/>
      <x:c r="F13" s="51"/>
      <x:c r="G13" s="51"/>
      <x:c r="H13" s="51"/>
    </x:row>
    <x:row r="14">
      <x:c r="A14" s="16" t="str">
        <x:v>Unavailable</x:v>
      </x:c>
      <x:c r="B14" s="16" t="str">
        <x:v>Required value cannot be calculated from current evidence</x:v>
      </x:c>
      <x:c r="C14" s="16" t="str">
        <x:v>Zero</x:v>
      </x:c>
      <x:c r="D14" s="51"/>
      <x:c r="E14" s="51"/>
      <x:c r="F14" s="51"/>
      <x:c r="G14" s="51"/>
      <x:c r="H14" s="51"/>
    </x:row>
  </x:sheetData>
  <x:mergeCells>
    <x:mergeCell ref="A1:H1"/>
    <x:mergeCell ref="A2:H2"/>
  </x:mergeCells>
  <x:pageMargins left="0.7" right="0.7" top="0.75" bottom="0.75" header="0.3" footer="0.3"/>
</x:worksheet>
</file>