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9b9efb5c2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9e211ef6214acc"/>
    <x:sheet xmlns:r="http://schemas.openxmlformats.org/officeDocument/2006/relationships" name="Controls" sheetId="2" r:id="R00715e5fa863411e"/>
    <x:sheet xmlns:r="http://schemas.openxmlformats.org/officeDocument/2006/relationships" name="Source Quartet" sheetId="3" r:id="Rf5a9e7709def4488"/>
    <x:sheet xmlns:r="http://schemas.openxmlformats.org/officeDocument/2006/relationships" name="Bay Geometry" sheetId="4" r:id="R91e9c43db96f4e82"/>
    <x:sheet xmlns:r="http://schemas.openxmlformats.org/officeDocument/2006/relationships" name="Route Sizing" sheetId="5" r:id="Raf22d42a1c5343f7"/>
    <x:sheet xmlns:r="http://schemas.openxmlformats.org/officeDocument/2006/relationships" name="Root A Flow" sheetId="6" r:id="R5df23b3b00254c30"/>
    <x:sheet xmlns:r="http://schemas.openxmlformats.org/officeDocument/2006/relationships" name="Root B Flow" sheetId="7" r:id="Rb5e07ceeb70e4f07"/>
    <x:sheet xmlns:r="http://schemas.openxmlformats.org/officeDocument/2006/relationships" name="Retention Arrays" sheetId="8" r:id="Ra3577f435e384a52"/>
    <x:sheet xmlns:r="http://schemas.openxmlformats.org/officeDocument/2006/relationships" name="Drainage" sheetId="9" r:id="R7e5beb9fe9c14b4a"/>
    <x:sheet xmlns:r="http://schemas.openxmlformats.org/officeDocument/2006/relationships" name="No Common Path" sheetId="10" r:id="R0835c216e80b47ce"/>
    <x:sheet xmlns:r="http://schemas.openxmlformats.org/officeDocument/2006/relationships" name="Power Logic" sheetId="11" r:id="Rcd9a4d62c5d24aa1"/>
    <x:sheet xmlns:r="http://schemas.openxmlformats.org/officeDocument/2006/relationships" name="Sensor Channels" sheetId="12" r:id="Rd65ee820ea1c484d"/>
    <x:sheet xmlns:r="http://schemas.openxmlformats.org/officeDocument/2006/relationships" name="Data Retention" sheetId="13" r:id="Re4dd5e0bfad24349"/>
    <x:sheet xmlns:r="http://schemas.openxmlformats.org/officeDocument/2006/relationships" name="Measurement Planes" sheetId="14" r:id="R76e5d59f574e438e"/>
    <x:sheet xmlns:r="http://schemas.openxmlformats.org/officeDocument/2006/relationships" name="Drawing Register" sheetId="15" r:id="R327a636febb14970"/>
    <x:sheet xmlns:r="http://schemas.openxmlformats.org/officeDocument/2006/relationships" name="Interface Records" sheetId="16" r:id="Raaecfe6906254fd1"/>
    <x:sheet xmlns:r="http://schemas.openxmlformats.org/officeDocument/2006/relationships" name="Protocol Matrix" sheetId="17" r:id="Rc4d880034d7a46a6"/>
    <x:sheet xmlns:r="http://schemas.openxmlformats.org/officeDocument/2006/relationships" name="Exposure Register" sheetId="18" r:id="Rc512dbfc03c7496b"/>
    <x:sheet xmlns:r="http://schemas.openxmlformats.org/officeDocument/2006/relationships" name="Safe State" sheetId="19" r:id="R6f7bc8330e8f4a1b"/>
    <x:sheet xmlns:r="http://schemas.openxmlformats.org/officeDocument/2006/relationships" name="Recovery Ledger" sheetId="20" r:id="R6f64b7dc34614873"/>
    <x:sheet xmlns:r="http://schemas.openxmlformats.org/officeDocument/2006/relationships" name="Rescue Zones" sheetId="21" r:id="R1f4067a3f1204507"/>
    <x:sheet xmlns:r="http://schemas.openxmlformats.org/officeDocument/2006/relationships" name="Schedule" sheetId="22" r:id="R21090bad610549b5"/>
    <x:sheet xmlns:r="http://schemas.openxmlformats.org/officeDocument/2006/relationships" name="Capital" sheetId="23" r:id="R263c8bb6ab5341d1"/>
    <x:sheet xmlns:r="http://schemas.openxmlformats.org/officeDocument/2006/relationships" name="Annual Support" sheetId="24" r:id="R68361a1845d94ec9"/>
    <x:sheet xmlns:r="http://schemas.openxmlformats.org/officeDocument/2006/relationships" name="Release Gates" sheetId="25" r:id="R7fb701c3c19449c3"/>
    <x:sheet xmlns:r="http://schemas.openxmlformats.org/officeDocument/2006/relationships" name="Audit" sheetId="26" r:id="R614ef0a45645406d"/>
    <x:sheet xmlns:r="http://schemas.openxmlformats.org/officeDocument/2006/relationships" name="ReadMe" sheetId="27" r:id="Rb86e29f7399b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#,##0"/>
    <x:numFmt numFmtId="203" formatCode="#,##0.000"/>
    <x:numFmt numFmtId="204" formatCode="$#,##0.0;($#,##0.0);-"/>
  </x:numFmts>
  <x:fonts count="9">
    <x:font>
      <x:sz val="11"/>
      <x:name val="Carlito"/>
    </x:font>
    <x:font>
      <x:sz val="10"/>
      <x:color rgb="FF24313D"/>
      <x:name val="Arial"/>
    </x:font>
    <x:font>
      <x:b/>
      <x:sz val="14"/>
      <x:color rgb="FF17324D"/>
      <x:name val="Arial"/>
    </x:font>
    <x:font>
      <x:i/>
      <x:sz val="10"/>
      <x:color rgb="FF6B7785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7324D"/>
      <x:name val="Arial"/>
    </x:font>
    <x:font>
      <x:b/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8F5"/>
      </x:patternFill>
    </x:fill>
  </x:fills>
  <x:borders count="8">
    <x:border/>
    <x:border>
      <x:bottom style="thin">
        <x:color rgb="FF17324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200" fontId="7" fillId="4" borderId="6" xfId="0" applyNumberFormat="1" applyFont="1" applyFill="1" applyBorder="1"/>
    <x:xf numFmtId="202" fontId="0" fillId="0" borderId="0" xfId="0" applyNumberFormat="1" applyFont="1" applyFill="1" applyBorder="1"/>
    <x:xf numFmtId="203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/>
    <x:xf numFmtId="203" fontId="8" fillId="4" borderId="6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  <x:xf numFmtId="204" fontId="7" fillId="4" borderId="6" xfId="0" applyNumberFormat="1" applyFont="1" applyFill="1" applyBorder="1"/>
    <x:xf numFmtId="204" fontId="8" fillId="4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54823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e26c5675242aa" /><Relationship Type="http://schemas.openxmlformats.org/officeDocument/2006/relationships/theme" Target="/xl/theme/theme1.xml" Id="R8144fac29b4648f8" /><Relationship Type="http://schemas.openxmlformats.org/officeDocument/2006/relationships/sharedStrings" Target="/xl/sharedStrings.xml" Id="Rf18af954c5c440d7" /><Relationship Type="http://schemas.openxmlformats.org/officeDocument/2006/relationships/worksheet" Target="/xl/worksheets/sheet1.xml" Id="R299e211ef6214acc" /><Relationship Type="http://schemas.openxmlformats.org/officeDocument/2006/relationships/worksheet" Target="/xl/worksheets/sheet2.xml" Id="R00715e5fa863411e" /><Relationship Type="http://schemas.openxmlformats.org/officeDocument/2006/relationships/worksheet" Target="/xl/worksheets/sheet3.xml" Id="Rf5a9e7709def4488" /><Relationship Type="http://schemas.openxmlformats.org/officeDocument/2006/relationships/worksheet" Target="/xl/worksheets/sheet4.xml" Id="R91e9c43db96f4e82" /><Relationship Type="http://schemas.openxmlformats.org/officeDocument/2006/relationships/worksheet" Target="/xl/worksheets/sheet5.xml" Id="Raf22d42a1c5343f7" /><Relationship Type="http://schemas.openxmlformats.org/officeDocument/2006/relationships/worksheet" Target="/xl/worksheets/sheet6.xml" Id="R5df23b3b00254c30" /><Relationship Type="http://schemas.openxmlformats.org/officeDocument/2006/relationships/worksheet" Target="/xl/worksheets/sheet7.xml" Id="Rb5e07ceeb70e4f07" /><Relationship Type="http://schemas.openxmlformats.org/officeDocument/2006/relationships/worksheet" Target="/xl/worksheets/sheet8.xml" Id="Ra3577f435e384a52" /><Relationship Type="http://schemas.openxmlformats.org/officeDocument/2006/relationships/worksheet" Target="/xl/worksheets/sheet9.xml" Id="R7e5beb9fe9c14b4a" /><Relationship Type="http://schemas.openxmlformats.org/officeDocument/2006/relationships/worksheet" Target="/xl/worksheets/sheet10.xml" Id="R0835c216e80b47ce" /><Relationship Type="http://schemas.openxmlformats.org/officeDocument/2006/relationships/worksheet" Target="/xl/worksheets/sheet11.xml" Id="Rcd9a4d62c5d24aa1" /><Relationship Type="http://schemas.openxmlformats.org/officeDocument/2006/relationships/worksheet" Target="/xl/worksheets/sheet12.xml" Id="Rd65ee820ea1c484d" /><Relationship Type="http://schemas.openxmlformats.org/officeDocument/2006/relationships/worksheet" Target="/xl/worksheets/sheet13.xml" Id="Re4dd5e0bfad24349" /><Relationship Type="http://schemas.openxmlformats.org/officeDocument/2006/relationships/worksheet" Target="/xl/worksheets/sheet14.xml" Id="R76e5d59f574e438e" /><Relationship Type="http://schemas.openxmlformats.org/officeDocument/2006/relationships/worksheet" Target="/xl/worksheets/sheet15.xml" Id="R327a636febb14970" /><Relationship Type="http://schemas.openxmlformats.org/officeDocument/2006/relationships/worksheet" Target="/xl/worksheets/sheet16.xml" Id="Raaecfe6906254fd1" /><Relationship Type="http://schemas.openxmlformats.org/officeDocument/2006/relationships/worksheet" Target="/xl/worksheets/sheet17.xml" Id="Rc4d880034d7a46a6" /><Relationship Type="http://schemas.openxmlformats.org/officeDocument/2006/relationships/worksheet" Target="/xl/worksheets/sheet18.xml" Id="Rc512dbfc03c7496b" /><Relationship Type="http://schemas.openxmlformats.org/officeDocument/2006/relationships/worksheet" Target="/xl/worksheets/sheet19.xml" Id="R6f7bc8330e8f4a1b" /><Relationship Type="http://schemas.openxmlformats.org/officeDocument/2006/relationships/worksheet" Target="/xl/worksheets/sheet20.xml" Id="R6f64b7dc34614873" /><Relationship Type="http://schemas.openxmlformats.org/officeDocument/2006/relationships/worksheet" Target="/xl/worksheets/sheet21.xml" Id="R1f4067a3f1204507" /><Relationship Type="http://schemas.openxmlformats.org/officeDocument/2006/relationships/worksheet" Target="/xl/worksheets/sheet22.xml" Id="R21090bad610549b5" /><Relationship Type="http://schemas.openxmlformats.org/officeDocument/2006/relationships/worksheet" Target="/xl/worksheets/sheet23.xml" Id="R263c8bb6ab5341d1" /><Relationship Type="http://schemas.openxmlformats.org/officeDocument/2006/relationships/worksheet" Target="/xl/worksheets/sheet24.xml" Id="R68361a1845d94ec9" /><Relationship Type="http://schemas.openxmlformats.org/officeDocument/2006/relationships/worksheet" Target="/xl/worksheets/sheet25.xml" Id="R7fb701c3c19449c3" /><Relationship Type="http://schemas.openxmlformats.org/officeDocument/2006/relationships/worksheet" Target="/xl/worksheets/sheet26.xml" Id="R614ef0a45645406d" /><Relationship Type="http://schemas.openxmlformats.org/officeDocument/2006/relationships/worksheet" Target="/xl/worksheets/sheet27.xml" Id="Rb86e29f7399b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3" hidden="0" customWidth="1"/>
    <x:col min="3" max="3" width="18" hidden="0" customWidth="1"/>
    <x:col min="4" max="4" width="14" hidden="0" customWidth="1"/>
    <x:col min="5" max="5" width="4" hidden="0" customWidth="1"/>
    <x:col min="6" max="6" width="44" hidden="0" customWidth="1"/>
    <x:col min="7" max="7" width="18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SBD-1 SA6 internal cell and source-boundary design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Four independent source trains replace the shared retention paths left in the Pass 117 planning cell.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Physical architecture</x:v>
      </x:c>
      <x:c r="C6" s="14" t="str">
        <x:v>Value</x:v>
      </x:c>
      <x:c r="D6" s="15" t="str">
        <x:v>Unit</x:v>
      </x:c>
      <x:c r="F6" s="13" t="str">
        <x:v>Program and authority</x:v>
      </x:c>
      <x:c r="G6" s="14" t="str">
        <x:v>Value</x:v>
      </x:c>
      <x:c r="H6" s="15" t="str">
        <x:v>Unit</x:v>
      </x:c>
    </x:row>
    <x:row r="7">
      <x:c r="B7" t="str">
        <x:v>source trains per operational lane</x:v>
      </x:c>
      <x:c r="C7" s="34" t="n">
        <x:f>Controls!D7</x:f>
        <x:v>4</x:v>
      </x:c>
      <x:c r="D7" t="str">
        <x:v>count</x:v>
      </x:c>
      <x:c r="F7" t="str">
        <x:v>controlled drawing sheets</x:v>
      </x:c>
      <x:c r="G7" s="34" t="n">
        <x:f>Controls!D36</x:f>
        <x:v>64</x:v>
      </x:c>
      <x:c r="H7" t="str">
        <x:v>count</x:v>
      </x:c>
    </x:row>
    <x:row r="8">
      <x:c r="B8" t="str">
        <x:v>root-site-pod route trains</x:v>
      </x:c>
      <x:c r="C8" s="34" t="n">
        <x:f>Controls!D7*Controls!D23*2</x:f>
        <x:v>16</x:v>
      </x:c>
      <x:c r="D8" t="str">
        <x:v>count</x:v>
      </x:c>
      <x:c r="F8" t="str">
        <x:v>interface records</x:v>
      </x:c>
      <x:c r="G8" s="34" t="n">
        <x:f>COUNTA('Interface Records'!B7:B38)</x:f>
        <x:v>32</x:v>
      </x:c>
      <x:c r="H8" t="str">
        <x:v>count</x:v>
      </x:c>
    </x:row>
    <x:row r="9">
      <x:c r="B9" t="str">
        <x:v>Root A route velocity</x:v>
      </x:c>
      <x:c r="C9" s="34" t="n">
        <x:f>'Route Sizing'!I7</x:f>
        <x:v>1.17892550438441</x:v>
      </x:c>
      <x:c r="D9" t="str">
        <x:v>m/s</x:v>
      </x:c>
      <x:c r="F9" t="str">
        <x:v>no-common-path records</x:v>
      </x:c>
      <x:c r="G9" s="34" t="n">
        <x:f>COUNTA('No Common Path'!B7:B182)</x:f>
        <x:v>176</x:v>
      </x:c>
      <x:c r="H9" t="str">
        <x:v>count</x:v>
      </x:c>
    </x:row>
    <x:row r="10">
      <x:c r="B10" t="str">
        <x:v>Root B route velocity</x:v>
      </x:c>
      <x:c r="C10" s="34" t="n">
        <x:f>'Route Sizing'!I9</x:f>
        <x:v>44.98779724730909</x:v>
      </x:c>
      <x:c r="D10" t="str">
        <x:v>m/s</x:v>
      </x:c>
      <x:c r="F10" t="str">
        <x:v>propagation protocols</x:v>
      </x:c>
      <x:c r="G10" s="34" t="n">
        <x:f>COUNTA('Protocol Matrix'!B7:B30)</x:f>
        <x:v>24</x:v>
      </x:c>
      <x:c r="H10" t="str">
        <x:v>count</x:v>
      </x:c>
    </x:row>
    <x:row r="11">
      <x:c r="B11" t="str">
        <x:v>source-liquid retention per lane</x:v>
      </x:c>
      <x:c r="C11" s="34" t="n">
        <x:f>'Retention Arrays'!F7</x:f>
        <x:v>60</x:v>
      </x:c>
      <x:c r="D11" t="str">
        <x:v>m3</x:v>
      </x:c>
      <x:c r="F11" t="str">
        <x:v>paired propagation exposures</x:v>
      </x:c>
      <x:c r="G11" s="34" t="n">
        <x:f>COUNTA('Exposure Register'!B7:B54)</x:f>
        <x:v>48</x:v>
      </x:c>
      <x:c r="H11" t="str">
        <x:v>count</x:v>
      </x:c>
    </x:row>
    <x:row r="12">
      <x:c r="B12" t="str">
        <x:v>firewater retention per lane</x:v>
      </x:c>
      <x:c r="C12" s="34" t="n">
        <x:f>'Retention Arrays'!F8</x:f>
        <x:v>160</x:v>
      </x:c>
      <x:c r="D12" t="str">
        <x:v>m3</x:v>
      </x:c>
      <x:c r="F12" t="str">
        <x:v>total registered safety exposures</x:v>
      </x:c>
      <x:c r="G12" s="34" t="n">
        <x:f>Controls!D34+Controls!D35</x:f>
        <x:v>128</x:v>
      </x:c>
      <x:c r="H12" t="str">
        <x:v>count</x:v>
      </x:c>
    </x:row>
    <x:row r="13">
      <x:c r="B13" t="str">
        <x:v>gas-holder volume per lane</x:v>
      </x:c>
      <x:c r="C13" s="34" t="n">
        <x:f>'Retention Arrays'!F9</x:f>
        <x:v>8000</x:v>
      </x:c>
      <x:c r="D13" t="str">
        <x:v>m3</x:v>
      </x:c>
      <x:c r="F13" t="str">
        <x:v>mission workforce</x:v>
      </x:c>
      <x:c r="G13" s="34" t="n">
        <x:f>Controls!D39</x:f>
        <x:v>248</x:v>
      </x:c>
      <x:c r="H13" t="str">
        <x:v>positions</x:v>
      </x:c>
    </x:row>
    <x:row r="14">
      <x:c r="B14" t="str">
        <x:v>pressure-receiver capacity per lane</x:v>
      </x:c>
      <x:c r="C14" s="34" t="n">
        <x:f>'Retention Arrays'!F10</x:f>
        <x:v>21376</x:v>
      </x:c>
      <x:c r="D14" t="str">
        <x:v>kg</x:v>
      </x:c>
      <x:c r="F14" t="str">
        <x:v>program duration</x:v>
      </x:c>
      <x:c r="G14" s="34" t="n">
        <x:f>Controls!D40</x:f>
        <x:v>34</x:v>
      </x:c>
      <x:c r="H14" t="str">
        <x:v>months</x:v>
      </x:c>
    </x:row>
    <x:row r="15">
      <x:c r="B15" t="str">
        <x:v>C2 gas-holder margin per lane</x:v>
      </x:c>
      <x:c r="C15" s="34" t="n">
        <x:f>'Retention Arrays'!H9</x:f>
        <x:v>1640</x:v>
      </x:c>
      <x:c r="D15" t="str">
        <x:v>m3</x:v>
      </x:c>
      <x:c r="F15" t="str">
        <x:v>SBD-1 capital</x:v>
      </x:c>
      <x:c r="G15" s="34" t="n">
        <x:f>Capital!E16</x:f>
        <x:v>420</x:v>
      </x:c>
      <x:c r="H15" t="str">
        <x:v>USD M</x:v>
      </x:c>
    </x:row>
    <x:row r="16">
      <x:c r="B16" t="str">
        <x:v>non-overlap controlled land</x:v>
      </x:c>
      <x:c r="C16" s="34" t="n">
        <x:f>'Bay Geometry'!G15</x:f>
        <x:v>44.76769531365455</x:v>
      </x:c>
      <x:c r="D16" t="str">
        <x:v>ha</x:v>
      </x:c>
      <x:c r="F16" t="str">
        <x:v>SBD-1 annual support</x:v>
      </x:c>
      <x:c r="G16" s="34" t="n">
        <x:f>'Annual Support'!E14</x:f>
        <x:v>42</x:v>
      </x:c>
      <x:c r="H16" t="str">
        <x:v>USD M/year</x:v>
      </x:c>
    </x:row>
    <x:row r="17">
      <x:c r="B17" t="str">
        <x:v>measurement channels per lane</x:v>
      </x:c>
      <x:c r="C17" s="34" t="n">
        <x:f>'Sensor Channels'!D27</x:f>
        <x:v>354</x:v>
      </x:c>
      <x:c r="D17" t="str">
        <x:v>count</x:v>
      </x:c>
      <x:c r="F17" t="str">
        <x:v>thirty-four-month program exposure</x:v>
      </x:c>
      <x:c r="G17" s="34" t="n">
        <x:f>G15+G16*G14/12</x:f>
        <x:v>539</x:v>
      </x:c>
      <x:c r="H17" t="str">
        <x:v>USD M</x:v>
      </x:c>
    </x:row>
    <x:row r="18">
      <x:c r="B18" t="str">
        <x:v>native evidence per event</x:v>
      </x:c>
      <x:c r="C18" s="34" t="n">
        <x:f>'Data Retention'!C15</x:f>
        <x:v>230.46073343999993</x:v>
      </x:c>
      <x:c r="D18" t="str">
        <x:v>GB</x:v>
      </x:c>
      <x:c r="F18" t="str">
        <x:v>BRD-4R capital</x:v>
      </x:c>
      <x:c r="G18" s="34" t="n">
        <x:f>Capital!E21</x:f>
        <x:v>940</x:v>
      </x:c>
      <x:c r="H18" t="str">
        <x:v>USD M</x:v>
      </x:c>
    </x:row>
    <x:row r="19">
      <x:c r="B19" t="str">
        <x:v>campaign evidence with reserve</x:v>
      </x:c>
      <x:c r="C19" s="34" t="n">
        <x:f>'Data Retention'!C18</x:f>
        <x:v>38.34866604441599</x:v>
      </x:c>
      <x:c r="D19" t="str">
        <x:v>TB</x:v>
      </x:c>
      <x:c r="F19" t="str">
        <x:v>BRD-4R annual support</x:v>
      </x:c>
      <x:c r="G19" s="34" t="n">
        <x:f>'Annual Support'!E19</x:f>
        <x:v>174</x:v>
      </x:c>
      <x:c r="H19" t="str">
        <x:v>USD M/year</x:v>
      </x:c>
    </x:row>
    <x:row r="20">
      <x:c r="F20" t="str">
        <x:v>BRD-4U capital</x:v>
      </x:c>
      <x:c r="G20" s="34" t="n">
        <x:f>Capital!E23</x:f>
        <x:v>1068</x:v>
      </x:c>
      <x:c r="H20" t="str">
        <x:v>USD M</x:v>
      </x:c>
    </x:row>
    <x:row r="21">
      <x:c r="F21" t="str">
        <x:v>BRD-4U annual support</x:v>
      </x:c>
      <x:c r="G21" s="34" t="n">
        <x:f>'Annual Support'!E21</x:f>
        <x:v>215</x:v>
      </x:c>
      <x:c r="H21" t="str">
        <x:v>USD M/year</x:v>
      </x:c>
    </x:row>
    <x:row r="22">
      <x:c r="F22" t="str">
        <x:v>remaining parent capital under BRD-4R</x:v>
      </x:c>
      <x:c r="G22" s="34" t="n">
        <x:f>Capital!E25</x:f>
        <x:v>20</x:v>
      </x:c>
      <x:c r="H22" t="str">
        <x:v>USD M</x:v>
      </x:c>
    </x:row>
    <x:row r="23">
      <x:c r="F23" t="str">
        <x:v>remaining parent annual under BRD-4R</x:v>
      </x:c>
      <x:c r="G23" s="34" t="n">
        <x:f>'Annual Support'!E23</x:f>
        <x:v>86</x:v>
      </x:c>
      <x:c r="H23" t="str">
        <x:v>USD M/year</x:v>
      </x:c>
    </x:row>
    <x:row r="24">
      <x:c r="F24" t="str">
        <x:v>BRD-4U capital over parent</x:v>
      </x:c>
      <x:c r="G24" s="34" t="n">
        <x:f>-Capital!E26</x:f>
        <x:v>108</x:v>
      </x:c>
      <x:c r="H24" t="str">
        <x:v>USD M</x:v>
      </x:c>
    </x:row>
    <x:row r="25">
      <x:c r="F25" t="str">
        <x:v>planning gates passed</x:v>
      </x:c>
      <x:c r="G25" s="34" t="n">
        <x:f>COUNTIF('Release Gates'!I7:I164,"PASS")</x:f>
        <x:v>158</x:v>
      </x:c>
      <x:c r="H25" t="str">
        <x:v>count</x:v>
      </x:c>
    </x:row>
    <x:row r="26">
      <x:c r="F26" t="str">
        <x:v>physical gates open</x:v>
      </x:c>
      <x:c r="G26" s="34" t="n">
        <x:f>COUNTIF('Release Gates'!I165:I352,"OPEN")</x:f>
        <x:v>188</x:v>
      </x:c>
      <x:c r="H26" t="str">
        <x:v>count</x:v>
      </x:c>
    </x:row>
    <x:row r="27">
      <x:c r="F27" t="str">
        <x:v>downstream gates blocked</x:v>
      </x:c>
      <x:c r="G27" s="34" t="n">
        <x:f>COUNTIF('Release Gates'!I353:I359,"BLOCKED")</x:f>
        <x:v>7</x:v>
      </x:c>
      <x:c r="H27" t="str">
        <x:v>count</x:v>
      </x:c>
    </x:row>
    <x:row r="28">
      <x:c r="F28" t="str">
        <x:v>accepted physical sources</x:v>
      </x:c>
      <x:c r="G28" s="34" t="n">
        <x:f>Controls!D51</x:f>
        <x:v>0</x:v>
      </x:c>
      <x:c r="H28" t="str">
        <x:v>count</x:v>
      </x:c>
    </x:row>
    <x:row r="31">
      <x:c r="B31" s="25" t="str">
        <x:v>Governing correction</x:v>
      </x:c>
      <x:c r="C31" s="26"/>
      <x:c r="D31" s="26"/>
      <x:c r="E31" s="26"/>
      <x:c r="F31" s="26"/>
      <x:c r="G31" s="26"/>
      <x:c r="H31" s="27"/>
    </x:row>
    <x:row r="32" ht="30" customHeight="1">
      <x:c r="B32" s="39" t="str">
        <x:v>Pass 117 shared one 12.5 m3 sump across the lane. SBD-1 uses four 15 m3 source sumps so drainage cannot recruit a neighbor.</x:v>
      </x:c>
      <x:c r="C32"/>
      <x:c r="D32"/>
      <x:c r="E32"/>
      <x:c r="F32"/>
      <x:c r="G32"/>
      <x:c r="H32"/>
    </x:row>
    <x:row r="33" ht="30" customHeight="1">
      <x:c r="B33" s="39" t="str">
        <x:v>Pass 117 shared one 2,000 m3 gas holder across the lane. SBD-1 uses four independent 2,000 m3 chambers, one for each source route.</x:v>
      </x:c>
      <x:c r="C33"/>
      <x:c r="D33"/>
      <x:c r="E33"/>
      <x:c r="F33"/>
      <x:c r="G33"/>
      <x:c r="H33"/>
    </x:row>
    <x:row r="34" ht="30" customHeight="1">
      <x:c r="B34" s="39" t="str">
        <x:v>The C2 capacity arithmetic now closes, but C2 authority remains blocked until all paired propagation evidence is accepted.</x:v>
      </x:c>
      <x:c r="C34"/>
      <x:c r="D34"/>
      <x:c r="E34"/>
      <x:c r="F34"/>
      <x:c r="G34"/>
      <x:c r="H34"/>
    </x:row>
    <x:row r="35" ht="30" customHeight="1">
      <x:c r="B35" s="39" t="str">
        <x:v>The corrected ownership view remains inside CISA-1. The no-credit physical-use view exceeds the parent capital boundary and must remain separately disclosed.</x:v>
      </x:c>
      <x:c r="C35"/>
      <x:c r="D35"/>
      <x:c r="E35"/>
      <x:c r="F35"/>
      <x:c r="G35"/>
      <x:c r="H35"/>
    </x:row>
  </x:sheetData>
  <x:mergeCells>
    <x:mergeCell ref="B32:H32"/>
    <x:mergeCell ref="B33:H33"/>
    <x:mergeCell ref="B34:H34"/>
    <x:mergeCell ref="B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8" hidden="0" customWidth="1"/>
    <x:col min="4" max="4" width="16" hidden="0" customWidth="1"/>
    <x:col min="5" max="5" width="18" hidden="0" customWidth="1"/>
    <x:col min="6" max="6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SBD-1 source-boundary controls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Blue values are editable planning hypotheses. Physical acceptance values remain zero.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ID</x:v>
      </x:c>
      <x:c r="C6" s="14" t="str">
        <x:v>Control</x:v>
      </x:c>
      <x:c r="D6" s="14" t="str">
        <x:v>Value</x:v>
      </x:c>
      <x:c r="E6" s="14" t="str">
        <x:v>Unit</x:v>
      </x:c>
      <x:c r="F6" s="15" t="str">
        <x:v>Class</x:v>
      </x:c>
    </x:row>
    <x:row r="7" ht="20" customHeight="1">
      <x:c r="B7" t="str">
        <x:v>C01</x:v>
      </x:c>
      <x:c r="C7" t="str">
        <x:v>source compartments per quartet</x:v>
      </x:c>
      <x:c r="D7" s="18" t="n">
        <x:v>4</x:v>
      </x:c>
      <x:c r="E7" t="str">
        <x:v>count</x:v>
      </x:c>
      <x:c r="F7" t="str">
        <x:v>inherited</x:v>
      </x:c>
    </x:row>
    <x:row r="8" ht="20" customHeight="1">
      <x:c r="B8" t="str">
        <x:v>C02</x:v>
      </x:c>
      <x:c r="C8" t="str">
        <x:v>source mass per compartment</x:v>
      </x:c>
      <x:c r="D8" s="18" t="n">
        <x:v>2000</x:v>
      </x:c>
      <x:c r="E8" t="str">
        <x:v>kg</x:v>
      </x:c>
      <x:c r="F8" t="str">
        <x:v>inherited</x:v>
      </x:c>
    </x:row>
    <x:row r="9" ht="20" customHeight="1">
      <x:c r="B9" t="str">
        <x:v>C03</x:v>
      </x:c>
      <x:c r="C9" t="str">
        <x:v>Root A liquid density</x:v>
      </x:c>
      <x:c r="D9" s="18" t="n">
        <x:v>800</x:v>
      </x:c>
      <x:c r="E9" t="str">
        <x:v>kg/m3</x:v>
      </x:c>
      <x:c r="F9" t="str">
        <x:v>declared</x:v>
      </x:c>
    </x:row>
    <x:row r="10" ht="20" customHeight="1">
      <x:c r="B10" t="str">
        <x:v>C04</x:v>
      </x:c>
      <x:c r="C10" t="str">
        <x:v>Root B liquid density</x:v>
      </x:c>
      <x:c r="D10" s="18" t="n">
        <x:v>668</x:v>
      </x:c>
      <x:c r="E10" t="str">
        <x:v>kg/m3</x:v>
      </x:c>
      <x:c r="F10" t="str">
        <x:v>declared</x:v>
      </x:c>
    </x:row>
    <x:row r="11" ht="20" customHeight="1">
      <x:c r="B11" t="str">
        <x:v>C05</x:v>
      </x:c>
      <x:c r="C11" t="str">
        <x:v>Root B reference gas volume</x:v>
      </x:c>
      <x:c r="D11" s="18" t="n">
        <x:v>0.53</x:v>
      </x:c>
      <x:c r="E11" t="str">
        <x:v>m3/kg</x:v>
      </x:c>
      <x:c r="F11" t="str">
        <x:v>declared</x:v>
      </x:c>
    </x:row>
    <x:row r="12" ht="20" customHeight="1">
      <x:c r="B12" t="str">
        <x:v>C06</x:v>
      </x:c>
      <x:c r="C12" t="str">
        <x:v>Root B thermal volume allowance</x:v>
      </x:c>
      <x:c r="D12" s="18" t="n">
        <x:v>1.5</x:v>
      </x:c>
      <x:c r="E12" t="str">
        <x:v>factor</x:v>
      </x:c>
      <x:c r="F12" t="str">
        <x:v>declared</x:v>
      </x:c>
    </x:row>
    <x:row r="13" ht="20" customHeight="1">
      <x:c r="B13" t="str">
        <x:v>C07</x:v>
      </x:c>
      <x:c r="C13" t="str">
        <x:v>Root A route internal diameter</x:v>
      </x:c>
      <x:c r="D13" s="18" t="n">
        <x:v>0.15</x:v>
      </x:c>
      <x:c r="E13" t="str">
        <x:v>m</x:v>
      </x:c>
      <x:c r="F13" t="str">
        <x:v>design</x:v>
      </x:c>
    </x:row>
    <x:row r="14" ht="20" customHeight="1">
      <x:c r="B14" t="str">
        <x:v>C08</x:v>
      </x:c>
      <x:c r="C14" t="str">
        <x:v>Root A route velocity ceiling</x:v>
      </x:c>
      <x:c r="D14" s="18" t="n">
        <x:v>2</x:v>
      </x:c>
      <x:c r="E14" t="str">
        <x:v>m/s</x:v>
      </x:c>
      <x:c r="F14" t="str">
        <x:v>design</x:v>
      </x:c>
    </x:row>
    <x:row r="15" ht="20" customHeight="1">
      <x:c r="B15" t="str">
        <x:v>C09</x:v>
      </x:c>
      <x:c r="C15" t="str">
        <x:v>Root B route internal diameter</x:v>
      </x:c>
      <x:c r="D15" s="18" t="n">
        <x:v>0.5</x:v>
      </x:c>
      <x:c r="E15" t="str">
        <x:v>m</x:v>
      </x:c>
      <x:c r="F15" t="str">
        <x:v>design</x:v>
      </x:c>
    </x:row>
    <x:row r="16" ht="20" customHeight="1">
      <x:c r="B16" t="str">
        <x:v>C10</x:v>
      </x:c>
      <x:c r="C16" t="str">
        <x:v>Root B route velocity ceiling</x:v>
      </x:c>
      <x:c r="D16" s="18" t="n">
        <x:v>60</x:v>
      </x:c>
      <x:c r="E16" t="str">
        <x:v>m/s</x:v>
      </x:c>
      <x:c r="F16" t="str">
        <x:v>design</x:v>
      </x:c>
    </x:row>
    <x:row r="17" ht="20" customHeight="1">
      <x:c r="B17" t="str">
        <x:v>C11</x:v>
      </x:c>
      <x:c r="C17" t="str">
        <x:v>Root A route length</x:v>
      </x:c>
      <x:c r="D17" s="18" t="n">
        <x:v>12</x:v>
      </x:c>
      <x:c r="E17" t="str">
        <x:v>m</x:v>
      </x:c>
      <x:c r="F17" t="str">
        <x:v>design</x:v>
      </x:c>
    </x:row>
    <x:row r="18" ht="20" customHeight="1">
      <x:c r="B18" t="str">
        <x:v>C12</x:v>
      </x:c>
      <x:c r="C18" t="str">
        <x:v>Root B route length</x:v>
      </x:c>
      <x:c r="D18" s="18" t="n">
        <x:v>80</x:v>
      </x:c>
      <x:c r="E18" t="str">
        <x:v>m</x:v>
      </x:c>
      <x:c r="F18" t="str">
        <x:v>design</x:v>
      </x:c>
    </x:row>
    <x:row r="19" ht="20" customHeight="1">
      <x:c r="B19" t="str">
        <x:v>C13</x:v>
      </x:c>
      <x:c r="C19" t="str">
        <x:v>source-liquid sump per train</x:v>
      </x:c>
      <x:c r="D19" s="18" t="n">
        <x:v>15</x:v>
      </x:c>
      <x:c r="E19" t="str">
        <x:v>m3</x:v>
      </x:c>
      <x:c r="F19" t="str">
        <x:v>design</x:v>
      </x:c>
    </x:row>
    <x:row r="20" ht="20" customHeight="1">
      <x:c r="B20" t="str">
        <x:v>C14</x:v>
      </x:c>
      <x:c r="C20" t="str">
        <x:v>firewater vault per train</x:v>
      </x:c>
      <x:c r="D20" s="18" t="n">
        <x:v>40</x:v>
      </x:c>
      <x:c r="E20" t="str">
        <x:v>m3</x:v>
      </x:c>
      <x:c r="F20" t="str">
        <x:v>design</x:v>
      </x:c>
    </x:row>
    <x:row r="21" ht="20" customHeight="1">
      <x:c r="B21" t="str">
        <x:v>C15</x:v>
      </x:c>
      <x:c r="C21" t="str">
        <x:v>gas-holder volume per train</x:v>
      </x:c>
      <x:c r="D21" s="18" t="n">
        <x:v>2000</x:v>
      </x:c>
      <x:c r="E21" t="str">
        <x:v>m3</x:v>
      </x:c>
      <x:c r="F21" t="str">
        <x:v>design</x:v>
      </x:c>
    </x:row>
    <x:row r="22" ht="20" customHeight="1">
      <x:c r="B22" t="str">
        <x:v>C16</x:v>
      </x:c>
      <x:c r="C22" t="str">
        <x:v>pressure-receiver capacity per train</x:v>
      </x:c>
      <x:c r="D22" s="18" t="n">
        <x:v>5344</x:v>
      </x:c>
      <x:c r="E22" t="str">
        <x:v>kg</x:v>
      </x:c>
      <x:c r="F22" t="str">
        <x:v>design</x:v>
      </x:c>
    </x:row>
    <x:row r="23" ht="20" customHeight="1">
      <x:c r="B23" t="str">
        <x:v>C17</x:v>
      </x:c>
      <x:c r="C23" t="str">
        <x:v>operational lane cells</x:v>
      </x:c>
      <x:c r="D23" s="18" t="n">
        <x:v>2</x:v>
      </x:c>
      <x:c r="E23" t="str">
        <x:v>count</x:v>
      </x:c>
      <x:c r="F23" t="str">
        <x:v>inherited</x:v>
      </x:c>
    </x:row>
    <x:row r="24" ht="20" customHeight="1">
      <x:c r="B24" t="str">
        <x:v>C18</x:v>
      </x:c>
      <x:c r="C24" t="str">
        <x:v>destructive consequence cells</x:v>
      </x:c>
      <x:c r="D24" s="18" t="n">
        <x:v>1</x:v>
      </x:c>
      <x:c r="E24" t="str">
        <x:v>count</x:v>
      </x:c>
      <x:c r="F24" t="str">
        <x:v>inherited</x:v>
      </x:c>
    </x:row>
    <x:row r="25" ht="20" customHeight="1">
      <x:c r="B25" t="str">
        <x:v>C19</x:v>
      </x:c>
      <x:c r="C25" t="str">
        <x:v>lane exclusion radius</x:v>
      </x:c>
      <x:c r="D25" s="18" t="n">
        <x:v>200</x:v>
      </x:c>
      <x:c r="E25" t="str">
        <x:v>m</x:v>
      </x:c>
      <x:c r="F25" t="str">
        <x:v>design</x:v>
      </x:c>
    </x:row>
    <x:row r="26" ht="20" customHeight="1">
      <x:c r="B26" t="str">
        <x:v>C20</x:v>
      </x:c>
      <x:c r="C26" t="str">
        <x:v>consequence exclusion radius</x:v>
      </x:c>
      <x:c r="D26" s="18" t="n">
        <x:v>250</x:v>
      </x:c>
      <x:c r="E26" t="str">
        <x:v>m</x:v>
      </x:c>
      <x:c r="F26" t="str">
        <x:v>design</x:v>
      </x:c>
    </x:row>
    <x:row r="27" ht="20" customHeight="1">
      <x:c r="B27" t="str">
        <x:v>C21</x:v>
      </x:c>
      <x:c r="C27" t="str">
        <x:v>lane remote-control distance</x:v>
      </x:c>
      <x:c r="D27" s="18" t="n">
        <x:v>250</x:v>
      </x:c>
      <x:c r="E27" t="str">
        <x:v>m</x:v>
      </x:c>
      <x:c r="F27" t="str">
        <x:v>design</x:v>
      </x:c>
    </x:row>
    <x:row r="28" ht="20" customHeight="1">
      <x:c r="B28" t="str">
        <x:v>C22</x:v>
      </x:c>
      <x:c r="C28" t="str">
        <x:v>consequence remote-control distance</x:v>
      </x:c>
      <x:c r="D28" s="18" t="n">
        <x:v>300</x:v>
      </x:c>
      <x:c r="E28" t="str">
        <x:v>m</x:v>
      </x:c>
      <x:c r="F28" t="str">
        <x:v>design</x:v>
      </x:c>
    </x:row>
    <x:row r="29" ht="20" customHeight="1">
      <x:c r="B29" t="str">
        <x:v>C23</x:v>
      </x:c>
      <x:c r="C29" t="str">
        <x:v>full-rate evidence window</x:v>
      </x:c>
      <x:c r="D29" s="18" t="n">
        <x:v>600</x:v>
      </x:c>
      <x:c r="E29" t="str">
        <x:v>s</x:v>
      </x:c>
      <x:c r="F29" t="str">
        <x:v>design</x:v>
      </x:c>
    </x:row>
    <x:row r="30" ht="20" customHeight="1">
      <x:c r="B30" t="str">
        <x:v>C24</x:v>
      </x:c>
      <x:c r="C30" t="str">
        <x:v>reduced-rate evidence duration</x:v>
      </x:c>
      <x:c r="D30" s="18" t="n">
        <x:v>21600</x:v>
      </x:c>
      <x:c r="E30" t="str">
        <x:v>s</x:v>
      </x:c>
      <x:c r="F30" t="str">
        <x:v>design</x:v>
      </x:c>
    </x:row>
    <x:row r="31" ht="20" customHeight="1">
      <x:c r="B31" t="str">
        <x:v>C25</x:v>
      </x:c>
      <x:c r="C31" t="str">
        <x:v>reduced-rate fraction</x:v>
      </x:c>
      <x:c r="D31" s="18" t="n">
        <x:v>0.05</x:v>
      </x:c>
      <x:c r="E31" t="str">
        <x:v>fraction</x:v>
      </x:c>
      <x:c r="F31" t="str">
        <x:v>design</x:v>
      </x:c>
    </x:row>
    <x:row r="32" ht="20" customHeight="1">
      <x:c r="B32" t="str">
        <x:v>C26</x:v>
      </x:c>
      <x:c r="C32" t="str">
        <x:v>required evidence originals</x:v>
      </x:c>
      <x:c r="D32" s="18" t="n">
        <x:v>2</x:v>
      </x:c>
      <x:c r="E32" t="str">
        <x:v>count</x:v>
      </x:c>
      <x:c r="F32" t="str">
        <x:v>inherited</x:v>
      </x:c>
    </x:row>
    <x:row r="33" ht="20" customHeight="1">
      <x:c r="B33" t="str">
        <x:v>C27</x:v>
      </x:c>
      <x:c r="C33" t="str">
        <x:v>protocol and indexing overhead</x:v>
      </x:c>
      <x:c r="D33" s="18" t="n">
        <x:v>1.35</x:v>
      </x:c>
      <x:c r="E33" t="str">
        <x:v>factor</x:v>
      </x:c>
      <x:c r="F33" t="str">
        <x:v>design</x:v>
      </x:c>
    </x:row>
    <x:row r="34" ht="20" customHeight="1">
      <x:c r="B34" t="str">
        <x:v>C28</x:v>
      </x:c>
      <x:c r="C34" t="str">
        <x:v>inherited safety-case events</x:v>
      </x:c>
      <x:c r="D34" s="18" t="n">
        <x:v>80</x:v>
      </x:c>
      <x:c r="E34" t="str">
        <x:v>count</x:v>
      </x:c>
      <x:c r="F34" t="str">
        <x:v>inherited</x:v>
      </x:c>
    </x:row>
    <x:row r="35" ht="20" customHeight="1">
      <x:c r="B35" t="str">
        <x:v>C29</x:v>
      </x:c>
      <x:c r="C35" t="str">
        <x:v>propagation challenge and control exposures</x:v>
      </x:c>
      <x:c r="D35" s="18" t="n">
        <x:v>48</x:v>
      </x:c>
      <x:c r="E35" t="str">
        <x:v>count</x:v>
      </x:c>
      <x:c r="F35" t="str">
        <x:v>design</x:v>
      </x:c>
    </x:row>
    <x:row r="36" ht="20" customHeight="1">
      <x:c r="B36" t="str">
        <x:v>C30</x:v>
      </x:c>
      <x:c r="C36" t="str">
        <x:v>controlled drawing sheets</x:v>
      </x:c>
      <x:c r="D36" s="18" t="n">
        <x:v>64</x:v>
      </x:c>
      <x:c r="E36" t="str">
        <x:v>count</x:v>
      </x:c>
      <x:c r="F36" t="str">
        <x:v>design</x:v>
      </x:c>
    </x:row>
    <x:row r="37" ht="20" customHeight="1">
      <x:c r="B37" t="str">
        <x:v>C31</x:v>
      </x:c>
      <x:c r="C37" t="str">
        <x:v>no-common-path domains per route</x:v>
      </x:c>
      <x:c r="D37" s="18" t="n">
        <x:v>11</x:v>
      </x:c>
      <x:c r="E37" t="str">
        <x:v>count</x:v>
      </x:c>
      <x:c r="F37" t="str">
        <x:v>design</x:v>
      </x:c>
    </x:row>
    <x:row r="38" ht="20" customHeight="1">
      <x:c r="B38" t="str">
        <x:v>C32</x:v>
      </x:c>
      <x:c r="C38" t="str">
        <x:v>interface records per route</x:v>
      </x:c>
      <x:c r="D38" s="18" t="n">
        <x:v>2</x:v>
      </x:c>
      <x:c r="E38" t="str">
        <x:v>count</x:v>
      </x:c>
      <x:c r="F38" t="str">
        <x:v>design</x:v>
      </x:c>
    </x:row>
    <x:row r="39" ht="20" customHeight="1">
      <x:c r="B39" t="str">
        <x:v>C33</x:v>
      </x:c>
      <x:c r="C39" t="str">
        <x:v>mission workforce</x:v>
      </x:c>
      <x:c r="D39" s="18" t="n">
        <x:v>248</x:v>
      </x:c>
      <x:c r="E39" t="str">
        <x:v>positions</x:v>
      </x:c>
      <x:c r="F39" t="str">
        <x:v>design</x:v>
      </x:c>
    </x:row>
    <x:row r="40" ht="20" customHeight="1">
      <x:c r="B40" t="str">
        <x:v>C34</x:v>
      </x:c>
      <x:c r="C40" t="str">
        <x:v>program duration</x:v>
      </x:c>
      <x:c r="D40" s="18" t="n">
        <x:v>34</x:v>
      </x:c>
      <x:c r="E40" t="str">
        <x:v>months</x:v>
      </x:c>
      <x:c r="F40" t="str">
        <x:v>design</x:v>
      </x:c>
    </x:row>
    <x:row r="41" ht="20" customHeight="1">
      <x:c r="B41" t="str">
        <x:v>C35</x:v>
      </x:c>
      <x:c r="C41" t="str">
        <x:v>Pass 117 MCR capital</x:v>
      </x:c>
      <x:c r="D41" s="18" t="n">
        <x:v>260</x:v>
      </x:c>
      <x:c r="E41" t="str">
        <x:v>USD M</x:v>
      </x:c>
      <x:c r="F41" t="str">
        <x:v>inherited</x:v>
      </x:c>
    </x:row>
    <x:row r="42" ht="20" customHeight="1">
      <x:c r="B42" t="str">
        <x:v>C36</x:v>
      </x:c>
      <x:c r="C42" t="str">
        <x:v>SBD-1 corrected MCR capital</x:v>
      </x:c>
      <x:c r="D42" s="18" t="n">
        <x:v>420</x:v>
      </x:c>
      <x:c r="E42" t="str">
        <x:v>USD M</x:v>
      </x:c>
      <x:c r="F42" t="str">
        <x:v>design</x:v>
      </x:c>
    </x:row>
    <x:row r="43" ht="20" customHeight="1">
      <x:c r="B43" t="str">
        <x:v>C37</x:v>
      </x:c>
      <x:c r="C43" t="str">
        <x:v>Pass 117 MCR annual support</x:v>
      </x:c>
      <x:c r="D43" s="18" t="n">
        <x:v>25</x:v>
      </x:c>
      <x:c r="E43" t="str">
        <x:v>USD M/year</x:v>
      </x:c>
      <x:c r="F43" t="str">
        <x:v>inherited</x:v>
      </x:c>
    </x:row>
    <x:row r="44" ht="20" customHeight="1">
      <x:c r="B44" t="str">
        <x:v>C38</x:v>
      </x:c>
      <x:c r="C44" t="str">
        <x:v>SBD-1 corrected MCR annual support</x:v>
      </x:c>
      <x:c r="D44" s="18" t="n">
        <x:v>42</x:v>
      </x:c>
      <x:c r="E44" t="str">
        <x:v>USD M/year</x:v>
      </x:c>
      <x:c r="F44" t="str">
        <x:v>design</x:v>
      </x:c>
    </x:row>
    <x:row r="45" ht="20" customHeight="1">
      <x:c r="B45" t="str">
        <x:v>C39</x:v>
      </x:c>
      <x:c r="C45" t="str">
        <x:v>Pass 117 BRD-3R capital</x:v>
      </x:c>
      <x:c r="D45" s="18" t="n">
        <x:v>780</x:v>
      </x:c>
      <x:c r="E45" t="str">
        <x:v>USD M</x:v>
      </x:c>
      <x:c r="F45" t="str">
        <x:v>inherited</x:v>
      </x:c>
    </x:row>
    <x:row r="46" ht="20" customHeight="1">
      <x:c r="B46" t="str">
        <x:v>C40</x:v>
      </x:c>
      <x:c r="C46" t="str">
        <x:v>Pass 117 BRD-3R annual support</x:v>
      </x:c>
      <x:c r="D46" s="18" t="n">
        <x:v>157</x:v>
      </x:c>
      <x:c r="E46" t="str">
        <x:v>USD M/year</x:v>
      </x:c>
      <x:c r="F46" t="str">
        <x:v>inherited</x:v>
      </x:c>
    </x:row>
    <x:row r="47" ht="20" customHeight="1">
      <x:c r="B47" t="str">
        <x:v>C41</x:v>
      </x:c>
      <x:c r="C47" t="str">
        <x:v>shared-estate capital</x:v>
      </x:c>
      <x:c r="D47" s="18" t="n">
        <x:v>128</x:v>
      </x:c>
      <x:c r="E47" t="str">
        <x:v>USD M</x:v>
      </x:c>
      <x:c r="F47" t="str">
        <x:v>inherited</x:v>
      </x:c>
    </x:row>
    <x:row r="48" ht="20" customHeight="1">
      <x:c r="B48" t="str">
        <x:v>C42</x:v>
      </x:c>
      <x:c r="C48" t="str">
        <x:v>shared-estate annual support</x:v>
      </x:c>
      <x:c r="D48" s="18" t="n">
        <x:v>41</x:v>
      </x:c>
      <x:c r="E48" t="str">
        <x:v>USD M/year</x:v>
      </x:c>
      <x:c r="F48" t="str">
        <x:v>inherited</x:v>
      </x:c>
    </x:row>
    <x:row r="49" ht="20" customHeight="1">
      <x:c r="B49" t="str">
        <x:v>C43</x:v>
      </x:c>
      <x:c r="C49" t="str">
        <x:v>CISA-1 capital boundary</x:v>
      </x:c>
      <x:c r="D49" s="18" t="n">
        <x:v>960</x:v>
      </x:c>
      <x:c r="E49" t="str">
        <x:v>USD M</x:v>
      </x:c>
      <x:c r="F49" t="str">
        <x:v>inherited</x:v>
      </x:c>
    </x:row>
    <x:row r="50" ht="20" customHeight="1">
      <x:c r="B50" t="str">
        <x:v>C44</x:v>
      </x:c>
      <x:c r="C50" t="str">
        <x:v>CISA-1 annual boundary</x:v>
      </x:c>
      <x:c r="D50" s="18" t="n">
        <x:v>260</x:v>
      </x:c>
      <x:c r="E50" t="str">
        <x:v>USD M/year</x:v>
      </x:c>
      <x:c r="F50" t="str">
        <x:v>inherited</x:v>
      </x:c>
    </x:row>
    <x:row r="51" ht="20" customHeight="1">
      <x:c r="B51" t="str">
        <x:v>C45</x:v>
      </x:c>
      <x:c r="C51" t="str">
        <x:v>accepted physical sources</x:v>
      </x:c>
      <x:c r="D51" s="18" t="n">
        <x:v>0</x:v>
      </x:c>
      <x:c r="E51" t="str">
        <x:v>count</x:v>
      </x:c>
      <x:c r="F51" t="str">
        <x:v>physical</x:v>
      </x:c>
    </x:row>
    <x:row r="52" ht="20" customHeight="1">
      <x:c r="B52" t="str">
        <x:v>C46</x:v>
      </x:c>
      <x:c r="C52" t="str">
        <x:v>C2 authority</x:v>
      </x:c>
      <x:c r="D52" s="18" t="n">
        <x:v>0</x:v>
      </x:c>
      <x:c r="E52" t="str">
        <x:v>binary</x:v>
      </x:c>
      <x:c r="F52" t="str">
        <x:v>authority</x:v>
      </x:c>
    </x:row>
    <x:row r="53" ht="20" customHeight="1">
      <x:c r="B53" t="str">
        <x:v>C47</x:v>
      </x:c>
      <x:c r="C53" t="str">
        <x:v>SDEC-1 authority</x:v>
      </x:c>
      <x:c r="D53" s="18" t="n">
        <x:v>0</x:v>
      </x:c>
      <x:c r="E53" t="str">
        <x:v>binary</x:v>
      </x:c>
      <x:c r="F53" t="str">
        <x:v>authority</x:v>
      </x:c>
    </x:row>
    <x:row r="54" ht="20" customHeight="1">
      <x:c r="B54" t="str">
        <x:v>C48</x:v>
      </x:c>
      <x:c r="C54" t="str">
        <x:v>complete-article authority</x:v>
      </x:c>
      <x:c r="D54" s="18" t="n">
        <x:v>0</x:v>
      </x:c>
      <x:c r="E54" t="str">
        <x:v>binary</x:v>
      </x:c>
      <x:c r="F54" t="str">
        <x:v>authority</x:v>
      </x:c>
    </x:row>
    <x:row r="55" ht="20" customHeight="1">
      <x:c r="B55" t="str">
        <x:v>C49</x:v>
      </x:c>
      <x:c r="C55" t="str">
        <x:v>CISA-RB1 authority</x:v>
      </x:c>
      <x:c r="D55" s="18" t="n">
        <x:v>0</x:v>
      </x:c>
      <x:c r="E55" t="str">
        <x:v>binary</x:v>
      </x:c>
      <x:c r="F55" t="str">
        <x:v>authority</x:v>
      </x:c>
    </x:row>
    <x:row r="56" ht="20" customHeight="1">
      <x:c r="B56" t="str">
        <x:v>C50</x:v>
      </x:c>
      <x:c r="C56" t="str">
        <x:v>CRC-E01 authority</x:v>
      </x:c>
      <x:c r="D56" s="18" t="n">
        <x:v>0</x:v>
      </x:c>
      <x:c r="E56" t="str">
        <x:v>binary</x:v>
      </x:c>
      <x:c r="F56" t="str">
        <x:v>authority</x:v>
      </x:c>
    </x:row>
    <x:row r="57" ht="20" customHeight="1">
      <x:c r="B57" t="str">
        <x:v>C51</x:v>
      </x:c>
      <x:c r="C57" t="str">
        <x:v>production authority</x:v>
      </x:c>
      <x:c r="D57" s="18" t="n">
        <x:v>0</x:v>
      </x:c>
      <x:c r="E57" t="str">
        <x:v>binary</x:v>
      </x:c>
      <x:c r="F57" t="str">
        <x:v>authority</x:v>
      </x:c>
    </x:row>
    <x:row r="58" ht="20" customHeight="1">
      <x:c r="B58" t="str">
        <x:v>C52</x:v>
      </x:c>
      <x:c r="C58" t="str">
        <x:v>exterior-rendering authority</x:v>
      </x:c>
      <x:c r="D58" s="18" t="n">
        <x:v>0</x:v>
      </x:c>
      <x:c r="E58" t="str">
        <x:v>binary</x:v>
      </x:c>
      <x:c r="F58" t="str">
        <x:v>authority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5" hidden="0" customWidth="1"/>
    <x:col min="14" max="14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Four-train source quartet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The quartet preserves the inherited longitudinal stations while every train remains physically independent.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Pod</x:v>
      </x:c>
      <x:c r="C6" s="14" t="str">
        <x:v>Station x (m)</x:v>
      </x:c>
      <x:c r="D6" s="14" t="str">
        <x:v>Lateral y (m)</x:v>
      </x:c>
      <x:c r="E6" s="14" t="str">
        <x:v>Source mass (kg)</x:v>
      </x:c>
      <x:c r="F6" s="14" t="str">
        <x:v>Root A liquid (m3)</x:v>
      </x:c>
      <x:c r="G6" s="14" t="str">
        <x:v>Root B liquid (m3)</x:v>
      </x:c>
      <x:c r="H6" s="14" t="str">
        <x:v>Root B gross vessel (m3)</x:v>
      </x:c>
      <x:c r="I6" s="14" t="str">
        <x:v>Bay length (m)</x:v>
      </x:c>
      <x:c r="J6" s="14" t="str">
        <x:v>Bay width (m)</x:v>
      </x:c>
      <x:c r="K6" s="14" t="str">
        <x:v>Bay height (m)</x:v>
      </x:c>
      <x:c r="L6" s="14" t="str">
        <x:v>Next clear gap (m)</x:v>
      </x:c>
      <x:c r="M6" s="14" t="str">
        <x:v>Design complete</x:v>
      </x:c>
      <x:c r="N6" s="15" t="str">
        <x:v>Planning state</x:v>
      </x:c>
    </x:row>
    <x:row r="7">
      <x:c r="B7" t="str">
        <x:v>SP-1</x:v>
      </x:c>
      <x:c r="C7" s="20" t="n">
        <x:v>2.5</x:v>
      </x:c>
      <x:c r="D7" s="21" t="n">
        <x:v>-0.8</x:v>
      </x:c>
      <x:c r="E7" s="22" t="n">
        <x:f>Controls!$D$8</x:f>
        <x:v>2000</x:v>
      </x:c>
      <x:c r="F7" s="22" t="n">
        <x:f>E7/Controls!$D$9</x:f>
        <x:v>2.5</x:v>
      </x:c>
      <x:c r="G7" s="22" t="n">
        <x:f>E7/Controls!$D$10</x:f>
        <x:v>2.9940119760479043</x:v>
      </x:c>
      <x:c r="H7" s="22" t="n">
        <x:f>G7/0.8</x:f>
        <x:v>3.7425149700598803</x:v>
      </x:c>
      <x:c r="I7" s="21" t="n">
        <x:v>2.1</x:v>
      </x:c>
      <x:c r="J7" s="21" t="n">
        <x:v>1.7</x:v>
      </x:c>
      <x:c r="K7" s="21" t="n">
        <x:v>3.2</x:v>
      </x:c>
      <x:c r="L7" s="19" t="n">
        <x:f>C8-C7-I7</x:f>
        <x:v>0.19999999999999973</x:v>
      </x:c>
      <x:c r="M7" t="n">
        <x:v>1</x:v>
      </x:c>
      <x:c r="N7" t="str">
        <x:f>IF(AND(E7=2000,L7&gt;=0,M7=1),"PASS","FAIL")</x:f>
        <x:v>PASS</x:v>
      </x:c>
    </x:row>
    <x:row r="8">
      <x:c r="B8" t="str">
        <x:v>SP-2</x:v>
      </x:c>
      <x:c r="C8" s="20" t="n">
        <x:v>4.8</x:v>
      </x:c>
      <x:c r="D8" s="21" t="n">
        <x:v>0.8</x:v>
      </x:c>
      <x:c r="E8" s="22" t="n">
        <x:f>Controls!$D$8</x:f>
        <x:v>2000</x:v>
      </x:c>
      <x:c r="F8" s="22" t="n">
        <x:f>E8/Controls!$D$9</x:f>
        <x:v>2.5</x:v>
      </x:c>
      <x:c r="G8" s="22" t="n">
        <x:f>E8/Controls!$D$10</x:f>
        <x:v>2.9940119760479043</x:v>
      </x:c>
      <x:c r="H8" s="22" t="n">
        <x:f>G8/0.8</x:f>
        <x:v>3.7425149700598803</x:v>
      </x:c>
      <x:c r="I8" s="21" t="n">
        <x:v>2.1</x:v>
      </x:c>
      <x:c r="J8" s="21" t="n">
        <x:v>1.7</x:v>
      </x:c>
      <x:c r="K8" s="21" t="n">
        <x:v>3.2</x:v>
      </x:c>
      <x:c r="L8" s="19" t="n">
        <x:f>C9-C8-I8</x:f>
        <x:v>0.30000000000000027</x:v>
      </x:c>
      <x:c r="M8" t="n">
        <x:v>1</x:v>
      </x:c>
      <x:c r="N8" t="str">
        <x:f>IF(AND(E8=2000,L8&gt;=0,M8=1),"PASS","FAIL")</x:f>
        <x:v>PASS</x:v>
      </x:c>
    </x:row>
    <x:row r="9">
      <x:c r="B9" t="str">
        <x:v>SP-3</x:v>
      </x:c>
      <x:c r="C9" s="20" t="n">
        <x:v>7.2</x:v>
      </x:c>
      <x:c r="D9" s="21" t="n">
        <x:v>-0.8</x:v>
      </x:c>
      <x:c r="E9" s="22" t="n">
        <x:f>Controls!$D$8</x:f>
        <x:v>2000</x:v>
      </x:c>
      <x:c r="F9" s="22" t="n">
        <x:f>E9/Controls!$D$9</x:f>
        <x:v>2.5</x:v>
      </x:c>
      <x:c r="G9" s="22" t="n">
        <x:f>E9/Controls!$D$10</x:f>
        <x:v>2.9940119760479043</x:v>
      </x:c>
      <x:c r="H9" s="22" t="n">
        <x:f>G9/0.8</x:f>
        <x:v>3.7425149700598803</x:v>
      </x:c>
      <x:c r="I9" s="21" t="n">
        <x:v>2.1</x:v>
      </x:c>
      <x:c r="J9" s="21" t="n">
        <x:v>1.7</x:v>
      </x:c>
      <x:c r="K9" s="21" t="n">
        <x:v>3.2</x:v>
      </x:c>
      <x:c r="L9" s="19" t="n">
        <x:f>C10-C9-I9</x:f>
        <x:v>0.19999999999999973</x:v>
      </x:c>
      <x:c r="M9" t="n">
        <x:v>1</x:v>
      </x:c>
      <x:c r="N9" t="str">
        <x:f>IF(AND(E9=2000,L9&gt;=0,M9=1),"PASS","FAIL")</x:f>
        <x:v>PASS</x:v>
      </x:c>
    </x:row>
    <x:row r="10">
      <x:c r="B10" t="str">
        <x:v>SP-4</x:v>
      </x:c>
      <x:c r="C10" s="20" t="n">
        <x:v>9.5</x:v>
      </x:c>
      <x:c r="D10" s="21" t="n">
        <x:v>0.8</x:v>
      </x:c>
      <x:c r="E10" s="22" t="n">
        <x:f>Controls!$D$8</x:f>
        <x:v>2000</x:v>
      </x:c>
      <x:c r="F10" s="22" t="n">
        <x:f>E10/Controls!$D$9</x:f>
        <x:v>2.5</x:v>
      </x:c>
      <x:c r="G10" s="22" t="n">
        <x:f>E10/Controls!$D$10</x:f>
        <x:v>2.9940119760479043</x:v>
      </x:c>
      <x:c r="H10" s="22" t="n">
        <x:f>G10/0.8</x:f>
        <x:v>3.7425149700598803</x:v>
      </x:c>
      <x:c r="I10" s="21" t="n">
        <x:v>2.1</x:v>
      </x:c>
      <x:c r="J10" s="21" t="n">
        <x:v>1.7</x:v>
      </x:c>
      <x:c r="K10" s="21" t="n">
        <x:v>3.2</x:v>
      </x:c>
      <x:c r="L10" s="19" t="n">
        <x:f>12-C10-I10/2</x:f>
        <x:v>1.45</x:v>
      </x:c>
      <x:c r="M10" t="n">
        <x:v>1</x:v>
      </x:c>
      <x:c r="N10" t="str">
        <x:f>IF(AND(E10=2000,L10&gt;=0,M10=1),"PASS","FAIL")</x:f>
        <x:v>PASS</x:v>
      </x:c>
    </x:row>
  </x:sheetData>
  <x:conditionalFormatting sqref="N7:N10">
    <x:cfRule type="cellIs" dxfId="0" priority="1" operator="equal">
      <x:formula>"FAIL"</x:formula>
    </x:cfRule>
    <x:cfRule type="cellIs" dxfId="1" priority="2" operator="equal">
      <x:formula>"BLOCKED"</x:formula>
    </x:cfRule>
    <x:cfRule type="cellIs" dxfId="2" priority="3" operator="equal">
      <x:formula>"OPEN"</x:formula>
    </x:cfRule>
    <x:cfRule type="cellIs" dxfId="3" priority="4" operator="equal">
      <x:formula>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1" hidden="0" customWidth="1"/>
    <x:col min="4" max="4" width="19" hidden="0" customWidth="1"/>
    <x:col min="5" max="5" width="14" hidden="0" customWidth="1"/>
    <x:col min="6" max="6" width="14" hidden="0" customWidth="1"/>
    <x:col min="7" max="7" width="16" hidden="0" customWidth="1"/>
    <x:col min="8" max="8" width="17" hidden="0" customWidth="1"/>
    <x:col min="9" max="9" width="46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Cell geometry and controlled land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Dimensions are planning envelopes for internal cell design, not exterior form or siting approval.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Element</x:v>
      </x:c>
      <x:c r="C6" s="14" t="str">
        <x:v>Count</x:v>
      </x:c>
      <x:c r="D6" s="14" t="str">
        <x:v>Length or radius (m)</x:v>
      </x:c>
      <x:c r="E6" s="14" t="str">
        <x:v>Width (m)</x:v>
      </x:c>
      <x:c r="F6" s="14" t="str">
        <x:v>Height (m)</x:v>
      </x:c>
      <x:c r="G6" s="14" t="str">
        <x:v>Area each (m2)</x:v>
      </x:c>
      <x:c r="H6" s="14" t="str">
        <x:v>Total area (m2)</x:v>
      </x:c>
      <x:c r="I6" s="14" t="str">
        <x:v>Purpose</x:v>
      </x:c>
      <x:c r="J6" s="15" t="str">
        <x:v>Planning state</x:v>
      </x:c>
    </x:row>
    <x:row r="7">
      <x:c r="B7" t="str">
        <x:v>CISA source article pad</x:v>
      </x:c>
      <x:c r="C7" t="n">
        <x:v>2</x:v>
      </x:c>
      <x:c r="D7" s="21" t="n">
        <x:v>12</x:v>
      </x:c>
      <x:c r="E7" s="21" t="n">
        <x:v>3.6</x:v>
      </x:c>
      <x:c r="F7" s="21" t="n">
        <x:v>3.8</x:v>
      </x:c>
      <x:c r="G7" s="21" t="n">
        <x:f>D7*E7</x:f>
        <x:v>43.2</x:v>
      </x:c>
      <x:c r="H7" s="21" t="n">
        <x:f>C7*G7</x:f>
        <x:v>86.4</x:v>
      </x:c>
      <x:c r="I7" t="str">
        <x:v>quartet geometry and reactions</x:v>
      </x:c>
      <x:c r="J7" t="str">
        <x:f>IF(AND(C7&gt;0,D7&gt;0,G7&gt;0),"PASS","FAIL")</x:f>
        <x:v>PASS</x:v>
      </x:c>
    </x:row>
    <x:row r="8">
      <x:c r="B8" t="str">
        <x:v>operational source court</x:v>
      </x:c>
      <x:c r="C8" t="n">
        <x:v>2</x:v>
      </x:c>
      <x:c r="D8" s="21" t="n">
        <x:v>48</x:v>
      </x:c>
      <x:c r="E8" s="21" t="n">
        <x:v>24</x:v>
      </x:c>
      <x:c r="F8" s="21" t="n">
        <x:v>12</x:v>
      </x:c>
      <x:c r="G8" s="21" t="n">
        <x:f>D8*E8</x:f>
        <x:v>1152</x:v>
      </x:c>
      <x:c r="H8" s="21" t="n">
        <x:f>C8*G8</x:f>
        <x:v>2304</x:v>
      </x:c>
      <x:c r="I8" t="str">
        <x:v>four segregated bay pans and shields</x:v>
      </x:c>
      <x:c r="J8" t="str">
        <x:f>IF(AND(C8&gt;0,D8&gt;0,G8&gt;0),"PASS","FAIL")</x:f>
        <x:v>PASS</x:v>
      </x:c>
    </x:row>
    <x:row r="9">
      <x:c r="B9" t="str">
        <x:v>independent retention gallery</x:v>
      </x:c>
      <x:c r="C9" t="n">
        <x:v>2</x:v>
      </x:c>
      <x:c r="D9" s="21" t="n">
        <x:v>110</x:v>
      </x:c>
      <x:c r="E9" s="21" t="n">
        <x:v>55</x:v>
      </x:c>
      <x:c r="F9" s="21" t="n">
        <x:v>8</x:v>
      </x:c>
      <x:c r="G9" s="21" t="n">
        <x:f>D9*E9</x:f>
        <x:v>6050</x:v>
      </x:c>
      <x:c r="H9" s="21" t="n">
        <x:f>C9*G9</x:f>
        <x:v>12100</x:v>
      </x:c>
      <x:c r="I9" t="str">
        <x:v>four receiver and gas-holder trains</x:v>
      </x:c>
      <x:c r="J9" t="str">
        <x:f>IF(AND(C9&gt;0,D9&gt;0,G9&gt;0),"PASS","FAIL")</x:f>
        <x:v>PASS</x:v>
      </x:c>
    </x:row>
    <x:row r="10">
      <x:c r="B10" t="str">
        <x:v>lane exclusion domain</x:v>
      </x:c>
      <x:c r="C10" t="n">
        <x:v>2</x:v>
      </x:c>
      <x:c r="D10" s="22" t="n">
        <x:f>Controls!$D$25</x:f>
        <x:v>200</x:v>
      </x:c>
      <x:c r="E10" s="21" t="n">
        <x:v>0</x:v>
      </x:c>
      <x:c r="F10" s="21" t="n">
        <x:v>0</x:v>
      </x:c>
      <x:c r="G10" s="21" t="n">
        <x:f>PI()*D10^2</x:f>
        <x:v>125663.70614359173</x:v>
      </x:c>
      <x:c r="H10" s="21" t="n">
        <x:f>C10*G10</x:f>
        <x:v>251327.41228718346</x:v>
      </x:c>
      <x:c r="I10" t="str">
        <x:v>personnel and unrelated equipment exclusion</x:v>
      </x:c>
      <x:c r="J10" t="str">
        <x:f>IF(AND(C10&gt;0,D10&gt;0,G10&gt;0),"PASS","FAIL")</x:f>
        <x:v>PASS</x:v>
      </x:c>
    </x:row>
    <x:row r="11">
      <x:c r="B11" t="str">
        <x:v>consequence source court</x:v>
      </x:c>
      <x:c r="C11" t="n">
        <x:v>1</x:v>
      </x:c>
      <x:c r="D11" s="22" t="n">
        <x:v>60</x:v>
      </x:c>
      <x:c r="E11" s="21" t="n">
        <x:v>40</x:v>
      </x:c>
      <x:c r="F11" s="21" t="n">
        <x:v>15</x:v>
      </x:c>
      <x:c r="G11" s="21" t="n">
        <x:f>D11*E11</x:f>
        <x:v>2400</x:v>
      </x:c>
      <x:c r="H11" s="21" t="n">
        <x:f>C11*G11</x:f>
        <x:v>2400</x:v>
      </x:c>
      <x:c r="I11" t="str">
        <x:v>ignition, blast, fragment and thermal work</x:v>
      </x:c>
      <x:c r="J11" t="str">
        <x:f>IF(AND(C11&gt;0,D11&gt;0,G11&gt;0),"PASS","FAIL")</x:f>
        <x:v>PASS</x:v>
      </x:c>
    </x:row>
    <x:row r="12">
      <x:c r="B12" t="str">
        <x:v>consequence exclusion domain</x:v>
      </x:c>
      <x:c r="C12" t="n">
        <x:v>1</x:v>
      </x:c>
      <x:c r="D12" s="22" t="n">
        <x:f>Controls!$D$26</x:f>
        <x:v>250</x:v>
      </x:c>
      <x:c r="E12" s="21" t="n">
        <x:v>0</x:v>
      </x:c>
      <x:c r="F12" s="21" t="n">
        <x:v>0</x:v>
      </x:c>
      <x:c r="G12" s="21" t="n">
        <x:f>PI()*D12^2</x:f>
        <x:v>196349.54084936206</x:v>
      </x:c>
      <x:c r="H12" s="21" t="n">
        <x:f>C12*G12</x:f>
        <x:v>196349.54084936206</x:v>
      </x:c>
      <x:c r="I12" t="str">
        <x:v>destructive-event exclusion</x:v>
      </x:c>
      <x:c r="J12" t="str">
        <x:f>IF(AND(C12&gt;0,D12&gt;0,G12&gt;0),"PASS","FAIL")</x:f>
        <x:v>PASS</x:v>
      </x:c>
    </x:row>
    <x:row r="13">
      <x:c r="D13" s="21"/>
      <x:c r="E13" s="21"/>
      <x:c r="F13" s="21"/>
      <x:c r="G13" s="21"/>
      <x:c r="H13" s="21"/>
    </x:row>
    <x:row r="14">
      <x:c r="B14" s="25" t="str">
        <x:v>Non-overlap controlled land</x:v>
      </x:c>
      <x:c r="C14" s="26"/>
      <x:c r="D14" s="28"/>
      <x:c r="E14" s="28"/>
      <x:c r="F14" s="28"/>
      <x:c r="G14" s="28"/>
      <x:c r="H14" s="28"/>
      <x:c r="I14" s="26"/>
      <x:c r="J14" s="27"/>
    </x:row>
    <x:row r="15">
      <x:c r="B15" t="str">
        <x:v>lane plus consequence exclusion area</x:v>
      </x:c>
      <x:c r="C15"/>
      <x:c r="D15" s="21"/>
      <x:c r="E15" s="21"/>
      <x:c r="F15" s="21"/>
      <x:c r="G15" s="21" t="n">
        <x:f>SUM(H10,H12)/10000</x:f>
        <x:v>44.76769531365455</x:v>
      </x:c>
      <x:c r="H15" s="21" t="str">
        <x:v>ha</x:v>
      </x:c>
      <x:c r="I15" t="str">
        <x:v>does not include corridors or terrain</x:v>
      </x:c>
    </x:row>
  </x:sheetData>
  <x:conditionalFormatting sqref="J7:J12">
    <x:cfRule type="cellIs" dxfId="4" priority="1" operator="equal">
      <x:formula>"FAIL"</x:formula>
    </x:cfRule>
    <x:cfRule type="cellIs" dxfId="5" priority="2" operator="equal">
      <x:formula>"BLOCKED"</x:formula>
    </x:cfRule>
    <x:cfRule type="cellIs" dxfId="6" priority="3" operator="equal">
      <x:formula>"OPEN"</x:formula>
    </x:cfRule>
    <x:cfRule type="cellIs" dxfId="7" priority="4" operator="equal">
      <x:formula>"PASS"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9" hidden="0" customWidth="1"/>
    <x:col min="3" max="3" width="9" hidden="0" customWidth="1"/>
    <x:col min="4" max="4" width="17" hidden="0" customWidth="1"/>
    <x:col min="5" max="5" width="20" hidden="0" customWidth="1"/>
    <x:col min="6" max="6" width="19" hidden="0" customWidth="1"/>
    <x:col min="7" max="7" width="14" hidden="0" customWidth="1"/>
    <x:col min="8" max="8" width="14" hidden="0" customWidth="1"/>
    <x:col min="9" max="9" width="16" hidden="0" customWidth="1"/>
    <x:col min="10" max="10" width="20" hidden="0" customWidth="1"/>
    <x:col min="11" max="11" width="14" hidden="0" customWidth="1"/>
    <x:col min="12" max="12" width="16" hidden="0" customWidth="1"/>
    <x:col min="13" max="13" width="14" hidden="0" customWidth="1"/>
    <x:col min="14" max="14" width="19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Per-train source-route sizing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Root B gas sizing is a reference-state screen. Two-phase relief remains a physical qualification question.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Root</x:v>
      </x:c>
      <x:c r="C6" s="14" t="str">
        <x:v>State</x:v>
      </x:c>
      <x:c r="D6" s="14" t="str">
        <x:v>Mass flow (kg/s)</x:v>
      </x:c>
      <x:c r="E6" s="14" t="str">
        <x:v>Density or gas factor</x:v>
      </x:c>
      <x:c r="F6" s="14" t="str">
        <x:v>Volume flow (m3/s)</x:v>
      </x:c>
      <x:c r="G6" s="14" t="str">
        <x:v>Route ID (m)</x:v>
      </x:c>
      <x:c r="H6" s="14" t="str">
        <x:v>Area (m2)</x:v>
      </x:c>
      <x:c r="I6" s="14" t="str">
        <x:v>Velocity (m/s)</x:v>
      </x:c>
      <x:c r="J6" s="14" t="str">
        <x:v>Velocity ceiling (m/s)</x:v>
      </x:c>
      <x:c r="K6" s="14" t="str">
        <x:v>Length (m)</x:v>
      </x:c>
      <x:c r="L6" s="14" t="str">
        <x:v>Transit time (s)</x:v>
      </x:c>
      <x:c r="M6" s="14" t="str">
        <x:v>Parallel routes</x:v>
      </x:c>
      <x:c r="N6" s="14" t="str">
        <x:v>Total source mass (kg)</x:v>
      </x:c>
      <x:c r="O6" s="15" t="str">
        <x:v>Planning state</x:v>
      </x:c>
    </x:row>
    <x:row r="7">
      <x:c r="B7" t="str">
        <x:v>A</x:v>
      </x:c>
      <x:c r="C7" t="str">
        <x:v>C1</x:v>
      </x:c>
      <x:c r="D7" s="22" t="n">
        <x:f>Controls!$D$8/120</x:f>
        <x:v>16.666666666666668</x:v>
      </x:c>
      <x:c r="E7" s="22" t="n">
        <x:f>Controls!$D$9</x:f>
        <x:v>800</x:v>
      </x:c>
      <x:c r="F7" s="22" t="n">
        <x:f>D7/E7</x:f>
        <x:v>0.020833333333333336</x:v>
      </x:c>
      <x:c r="G7" s="22" t="n">
        <x:f>Controls!$D$13</x:f>
        <x:v>0.15</x:v>
      </x:c>
      <x:c r="H7" s="22" t="n">
        <x:f>PI()*G7^2/4</x:f>
        <x:v>0.017671458676442587</x:v>
      </x:c>
      <x:c r="I7" s="22" t="n">
        <x:f>F7/H7</x:f>
        <x:v>1.17892550438441</x:v>
      </x:c>
      <x:c r="J7" s="22" t="n">
        <x:f>Controls!$D$14</x:f>
        <x:v>2</x:v>
      </x:c>
      <x:c r="K7" s="22" t="n">
        <x:f>Controls!$D$17</x:f>
        <x:v>12</x:v>
      </x:c>
      <x:c r="L7" s="22" t="n">
        <x:f>K7/I7</x:f>
        <x:v>10.178760197630929</x:v>
      </x:c>
      <x:c r="M7" t="n">
        <x:v>1</x:v>
      </x:c>
      <x:c r="N7" s="29" t="n">
        <x:v>2000</x:v>
      </x:c>
      <x:c r="O7" t="str">
        <x:f>IF(AND(I7&lt;=J7,M7=1),"PASS","FAIL")</x:f>
        <x:v>PASS</x:v>
      </x:c>
    </x:row>
    <x:row r="8">
      <x:c r="B8" t="str">
        <x:v>A</x:v>
      </x:c>
      <x:c r="C8" t="str">
        <x:v>C2</x:v>
      </x:c>
      <x:c r="D8" s="22" t="n">
        <x:f>Controls!$D$8/120</x:f>
        <x:v>16.666666666666668</x:v>
      </x:c>
      <x:c r="E8" s="22" t="n">
        <x:f>Controls!$D$9</x:f>
        <x:v>800</x:v>
      </x:c>
      <x:c r="F8" s="22" t="n">
        <x:f>D8/E8</x:f>
        <x:v>0.020833333333333336</x:v>
      </x:c>
      <x:c r="G8" s="22" t="n">
        <x:f>Controls!$D$13</x:f>
        <x:v>0.15</x:v>
      </x:c>
      <x:c r="H8" s="22" t="n">
        <x:f>PI()*G8^2/4</x:f>
        <x:v>0.017671458676442587</x:v>
      </x:c>
      <x:c r="I8" s="22" t="n">
        <x:f>F8/H8</x:f>
        <x:v>1.17892550438441</x:v>
      </x:c>
      <x:c r="J8" s="22" t="n">
        <x:f>Controls!$D$14</x:f>
        <x:v>2</x:v>
      </x:c>
      <x:c r="K8" s="22" t="n">
        <x:f>Controls!$D$17</x:f>
        <x:v>12</x:v>
      </x:c>
      <x:c r="L8" s="22" t="n">
        <x:f>K8/I8</x:f>
        <x:v>10.178760197630929</x:v>
      </x:c>
      <x:c r="M8" t="n">
        <x:v>4</x:v>
      </x:c>
      <x:c r="N8" s="29" t="n">
        <x:v>8000</x:v>
      </x:c>
      <x:c r="O8" t="str">
        <x:f>IF(AND(I8&lt;=J8,M8=4),"PASS","FAIL")</x:f>
        <x:v>PASS</x:v>
      </x:c>
    </x:row>
    <x:row r="9">
      <x:c r="B9" t="str">
        <x:v>B</x:v>
      </x:c>
      <x:c r="C9" t="str">
        <x:v>C1</x:v>
      </x:c>
      <x:c r="D9" s="22" t="n">
        <x:f>Controls!$D$8/120</x:f>
        <x:v>16.666666666666668</x:v>
      </x:c>
      <x:c r="E9" s="22" t="n">
        <x:f>Controls!$D$11</x:f>
        <x:v>0.53</x:v>
      </x:c>
      <x:c r="F9" s="22" t="n">
        <x:f>D9*E9</x:f>
        <x:v>8.833333333333334</x:v>
      </x:c>
      <x:c r="G9" s="22" t="n">
        <x:f>Controls!$D$15</x:f>
        <x:v>0.5</x:v>
      </x:c>
      <x:c r="H9" s="22" t="n">
        <x:f>PI()*G9^2/4</x:f>
        <x:v>0.19634954084936207</x:v>
      </x:c>
      <x:c r="I9" s="22" t="n">
        <x:f>F9/H9</x:f>
        <x:v>44.98779724730909</x:v>
      </x:c>
      <x:c r="J9" s="22" t="n">
        <x:f>Controls!$D$16</x:f>
        <x:v>60</x:v>
      </x:c>
      <x:c r="K9" s="22" t="n">
        <x:f>Controls!$D$18</x:f>
        <x:v>80</x:v>
      </x:c>
      <x:c r="L9" s="22" t="n">
        <x:f>K9/I9</x:f>
        <x:v>1.7782599925979958</x:v>
      </x:c>
      <x:c r="M9" t="n">
        <x:v>1</x:v>
      </x:c>
      <x:c r="N9" s="29" t="n">
        <x:v>2000</x:v>
      </x:c>
      <x:c r="O9" t="str">
        <x:f>IF(AND(I9&lt;=J9,M9=1),"PASS","FAIL")</x:f>
        <x:v>PASS</x:v>
      </x:c>
    </x:row>
    <x:row r="10">
      <x:c r="B10" t="str">
        <x:v>B</x:v>
      </x:c>
      <x:c r="C10" t="str">
        <x:v>C2</x:v>
      </x:c>
      <x:c r="D10" s="22" t="n">
        <x:f>Controls!$D$8/120</x:f>
        <x:v>16.666666666666668</x:v>
      </x:c>
      <x:c r="E10" s="22" t="n">
        <x:f>Controls!$D$11</x:f>
        <x:v>0.53</x:v>
      </x:c>
      <x:c r="F10" s="22" t="n">
        <x:f>D10*E10</x:f>
        <x:v>8.833333333333334</x:v>
      </x:c>
      <x:c r="G10" s="22" t="n">
        <x:f>Controls!$D$15</x:f>
        <x:v>0.5</x:v>
      </x:c>
      <x:c r="H10" s="22" t="n">
        <x:f>PI()*G10^2/4</x:f>
        <x:v>0.19634954084936207</x:v>
      </x:c>
      <x:c r="I10" s="22" t="n">
        <x:f>F10/H10</x:f>
        <x:v>44.98779724730909</x:v>
      </x:c>
      <x:c r="J10" s="22" t="n">
        <x:f>Controls!$D$16</x:f>
        <x:v>60</x:v>
      </x:c>
      <x:c r="K10" s="22" t="n">
        <x:f>Controls!$D$18</x:f>
        <x:v>80</x:v>
      </x:c>
      <x:c r="L10" s="22" t="n">
        <x:f>K10/I10</x:f>
        <x:v>1.7782599925979958</x:v>
      </x:c>
      <x:c r="M10" t="n">
        <x:v>4</x:v>
      </x:c>
      <x:c r="N10" s="29" t="n">
        <x:v>8000</x:v>
      </x:c>
      <x:c r="O10" t="str">
        <x:f>IF(AND(I10&lt;=J10,M10=4),"PASS","FAIL")</x:f>
        <x:v>PASS</x:v>
      </x:c>
    </x:row>
  </x:sheetData>
  <x:conditionalFormatting sqref="O7:O10">
    <x:cfRule type="cellIs" dxfId="8" priority="1" operator="equal">
      <x:formula>"FAIL"</x:formula>
    </x:cfRule>
    <x:cfRule type="cellIs" dxfId="9" priority="2" operator="equal">
      <x:formula>"BLOCKED"</x:formula>
    </x:cfRule>
    <x:cfRule type="cellIs" dxfId="10" priority="3" operator="equal">
      <x:formula>"OPEN"</x:formula>
    </x:cfRule>
    <x:cfRule type="cellIs" dxfId="11" priority="4" operator="equal">
      <x:formula>"PASS"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11" hidden="0" customWidth="1"/>
    <x:col min="5" max="5" width="16" hidden="0" customWidth="1"/>
    <x:col min="6" max="6" width="21" hidden="0" customWidth="1"/>
    <x:col min="7" max="7" width="20" hidden="0" customWidth="1"/>
    <x:col min="8" max="8" width="18" hidden="0" customWidth="1"/>
    <x:col min="9" max="9" width="21" hidden="0" customWidth="1"/>
    <x:col min="10" max="10" width="17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Root A independent source trains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Each liquid train has its own route, sump, firewater vault and recovery handoff.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Route</x:v>
      </x:c>
      <x:c r="C6" s="14" t="str">
        <x:v>Site</x:v>
      </x:c>
      <x:c r="D6" s="14" t="str">
        <x:v>Pod</x:v>
      </x:c>
      <x:c r="E6" s="14" t="str">
        <x:v>Route ID (mm)</x:v>
      </x:c>
      <x:c r="F6" s="14" t="str">
        <x:v>Sump (m3)</x:v>
      </x:c>
      <x:c r="G6" s="14" t="str">
        <x:v>Firewater vault (m3)</x:v>
      </x:c>
      <x:c r="H6" s="14" t="str">
        <x:v>Recovery vessel</x:v>
      </x:c>
      <x:c r="I6" s="14" t="str">
        <x:v>Shared pressurized path</x:v>
      </x:c>
      <x:c r="J6" s="14" t="str">
        <x:v>Design complete</x:v>
      </x:c>
      <x:c r="K6" s="14" t="str">
        <x:v>Physical acceptance</x:v>
      </x:c>
      <x:c r="L6" s="14" t="str">
        <x:v>Planning state</x:v>
      </x:c>
      <x:c r="M6" s="15" t="str">
        <x:v>Physical state</x:v>
      </x:c>
    </x:row>
    <x:row r="7">
      <x:c r="B7" t="str">
        <x:v>A-B-1</x:v>
      </x:c>
      <x:c r="C7" t="str">
        <x:v>PTC-B</x:v>
      </x:c>
      <x:c r="D7" t="str">
        <x:v>SP-1</x:v>
      </x:c>
      <x:c r="E7" s="30" t="n">
        <x:f>Controls!$D$13*1000</x:f>
        <x:v>150</x:v>
      </x:c>
      <x:c r="F7" s="30" t="n">
        <x:f>Controls!$D$19</x:f>
        <x:v>15</x:v>
      </x:c>
      <x:c r="G7" s="30" t="n">
        <x:f>Controls!$D$20</x:f>
        <x:v>40</x:v>
      </x:c>
      <x:c r="H7" t="str">
        <x:v>RV-B-1</x:v>
      </x:c>
      <x:c r="I7" t="n">
        <x:v>0</x:v>
      </x:c>
      <x:c r="J7" t="n">
        <x:v>1</x:v>
      </x:c>
      <x:c r="K7" t="n">
        <x:v>0</x:v>
      </x:c>
      <x:c r="L7" t="str">
        <x:f>IF(AND(I7=0,J7=1),"PASS","FAIL")</x:f>
        <x:v>PASS</x:v>
      </x:c>
      <x:c r="M7" t="str">
        <x:f>IF(K7=0,"OPEN",IF(K7=1,"PASS","FAIL"))</x:f>
        <x:v>OPEN</x:v>
      </x:c>
    </x:row>
    <x:row r="8">
      <x:c r="B8" t="str">
        <x:v>A-B-2</x:v>
      </x:c>
      <x:c r="C8" t="str">
        <x:v>PTC-B</x:v>
      </x:c>
      <x:c r="D8" t="str">
        <x:v>SP-2</x:v>
      </x:c>
      <x:c r="E8" s="30" t="n">
        <x:f>Controls!$D$13*1000</x:f>
        <x:v>150</x:v>
      </x:c>
      <x:c r="F8" s="30" t="n">
        <x:f>Controls!$D$19</x:f>
        <x:v>15</x:v>
      </x:c>
      <x:c r="G8" s="30" t="n">
        <x:f>Controls!$D$20</x:f>
        <x:v>40</x:v>
      </x:c>
      <x:c r="H8" t="str">
        <x:v>RV-B-2</x:v>
      </x:c>
      <x:c r="I8" t="n">
        <x:v>0</x:v>
      </x:c>
      <x:c r="J8" t="n">
        <x:v>1</x:v>
      </x:c>
      <x:c r="K8" t="n">
        <x:v>0</x:v>
      </x:c>
      <x:c r="L8" t="str">
        <x:f>IF(AND(I8=0,J8=1),"PASS","FAIL")</x:f>
        <x:v>PASS</x:v>
      </x:c>
      <x:c r="M8" t="str">
        <x:f>IF(K8=0,"OPEN",IF(K8=1,"PASS","FAIL"))</x:f>
        <x:v>OPEN</x:v>
      </x:c>
    </x:row>
    <x:row r="9">
      <x:c r="B9" t="str">
        <x:v>A-B-3</x:v>
      </x:c>
      <x:c r="C9" t="str">
        <x:v>PTC-B</x:v>
      </x:c>
      <x:c r="D9" t="str">
        <x:v>SP-3</x:v>
      </x:c>
      <x:c r="E9" s="30" t="n">
        <x:f>Controls!$D$13*1000</x:f>
        <x:v>150</x:v>
      </x:c>
      <x:c r="F9" s="30" t="n">
        <x:f>Controls!$D$19</x:f>
        <x:v>15</x:v>
      </x:c>
      <x:c r="G9" s="30" t="n">
        <x:f>Controls!$D$20</x:f>
        <x:v>40</x:v>
      </x:c>
      <x:c r="H9" t="str">
        <x:v>RV-B-3</x:v>
      </x:c>
      <x:c r="I9" t="n">
        <x:v>0</x:v>
      </x:c>
      <x:c r="J9" t="n">
        <x:v>1</x:v>
      </x:c>
      <x:c r="K9" t="n">
        <x:v>0</x:v>
      </x:c>
      <x:c r="L9" t="str">
        <x:f>IF(AND(I9=0,J9=1),"PASS","FAIL")</x:f>
        <x:v>PASS</x:v>
      </x:c>
      <x:c r="M9" t="str">
        <x:f>IF(K9=0,"OPEN",IF(K9=1,"PASS","FAIL"))</x:f>
        <x:v>OPEN</x:v>
      </x:c>
    </x:row>
    <x:row r="10">
      <x:c r="B10" t="str">
        <x:v>A-B-4</x:v>
      </x:c>
      <x:c r="C10" t="str">
        <x:v>PTC-B</x:v>
      </x:c>
      <x:c r="D10" t="str">
        <x:v>SP-4</x:v>
      </x:c>
      <x:c r="E10" s="30" t="n">
        <x:f>Controls!$D$13*1000</x:f>
        <x:v>150</x:v>
      </x:c>
      <x:c r="F10" s="30" t="n">
        <x:f>Controls!$D$19</x:f>
        <x:v>15</x:v>
      </x:c>
      <x:c r="G10" s="30" t="n">
        <x:f>Controls!$D$20</x:f>
        <x:v>40</x:v>
      </x:c>
      <x:c r="H10" t="str">
        <x:v>RV-B-4</x:v>
      </x:c>
      <x:c r="I10" t="n">
        <x:v>0</x:v>
      </x:c>
      <x:c r="J10" t="n">
        <x:v>1</x:v>
      </x:c>
      <x:c r="K10" t="n">
        <x:v>0</x:v>
      </x:c>
      <x:c r="L10" t="str">
        <x:f>IF(AND(I10=0,J10=1),"PASS","FAIL")</x:f>
        <x:v>PASS</x:v>
      </x:c>
      <x:c r="M10" t="str">
        <x:f>IF(K10=0,"OPEN",IF(K10=1,"PASS","FAIL"))</x:f>
        <x:v>OPEN</x:v>
      </x:c>
    </x:row>
    <x:row r="11">
      <x:c r="B11" t="str">
        <x:v>A-C-1</x:v>
      </x:c>
      <x:c r="C11" t="str">
        <x:v>PTC-C</x:v>
      </x:c>
      <x:c r="D11" t="str">
        <x:v>SP-1</x:v>
      </x:c>
      <x:c r="E11" s="30" t="n">
        <x:f>Controls!$D$13*1000</x:f>
        <x:v>150</x:v>
      </x:c>
      <x:c r="F11" s="30" t="n">
        <x:f>Controls!$D$19</x:f>
        <x:v>15</x:v>
      </x:c>
      <x:c r="G11" s="30" t="n">
        <x:f>Controls!$D$20</x:f>
        <x:v>40</x:v>
      </x:c>
      <x:c r="H11" t="str">
        <x:v>RV-C-1</x:v>
      </x:c>
      <x:c r="I11" t="n">
        <x:v>0</x:v>
      </x:c>
      <x:c r="J11" t="n">
        <x:v>1</x:v>
      </x:c>
      <x:c r="K11" t="n">
        <x:v>0</x:v>
      </x:c>
      <x:c r="L11" t="str">
        <x:f>IF(AND(I11=0,J11=1),"PASS","FAIL")</x:f>
        <x:v>PASS</x:v>
      </x:c>
      <x:c r="M11" t="str">
        <x:f>IF(K11=0,"OPEN",IF(K11=1,"PASS","FAIL"))</x:f>
        <x:v>OPEN</x:v>
      </x:c>
    </x:row>
    <x:row r="12">
      <x:c r="B12" t="str">
        <x:v>A-C-2</x:v>
      </x:c>
      <x:c r="C12" t="str">
        <x:v>PTC-C</x:v>
      </x:c>
      <x:c r="D12" t="str">
        <x:v>SP-2</x:v>
      </x:c>
      <x:c r="E12" s="30" t="n">
        <x:f>Controls!$D$13*1000</x:f>
        <x:v>150</x:v>
      </x:c>
      <x:c r="F12" s="30" t="n">
        <x:f>Controls!$D$19</x:f>
        <x:v>15</x:v>
      </x:c>
      <x:c r="G12" s="30" t="n">
        <x:f>Controls!$D$20</x:f>
        <x:v>40</x:v>
      </x:c>
      <x:c r="H12" t="str">
        <x:v>RV-C-2</x:v>
      </x:c>
      <x:c r="I12" t="n">
        <x:v>0</x:v>
      </x:c>
      <x:c r="J12" t="n">
        <x:v>1</x:v>
      </x:c>
      <x:c r="K12" t="n">
        <x:v>0</x:v>
      </x:c>
      <x:c r="L12" t="str">
        <x:f>IF(AND(I12=0,J12=1),"PASS","FAIL")</x:f>
        <x:v>PASS</x:v>
      </x:c>
      <x:c r="M12" t="str">
        <x:f>IF(K12=0,"OPEN",IF(K12=1,"PASS","FAIL"))</x:f>
        <x:v>OPEN</x:v>
      </x:c>
    </x:row>
    <x:row r="13">
      <x:c r="B13" t="str">
        <x:v>A-C-3</x:v>
      </x:c>
      <x:c r="C13" t="str">
        <x:v>PTC-C</x:v>
      </x:c>
      <x:c r="D13" t="str">
        <x:v>SP-3</x:v>
      </x:c>
      <x:c r="E13" s="30" t="n">
        <x:f>Controls!$D$13*1000</x:f>
        <x:v>150</x:v>
      </x:c>
      <x:c r="F13" s="30" t="n">
        <x:f>Controls!$D$19</x:f>
        <x:v>15</x:v>
      </x:c>
      <x:c r="G13" s="30" t="n">
        <x:f>Controls!$D$20</x:f>
        <x:v>40</x:v>
      </x:c>
      <x:c r="H13" t="str">
        <x:v>RV-C-3</x:v>
      </x:c>
      <x:c r="I13" t="n">
        <x:v>0</x:v>
      </x:c>
      <x:c r="J13" t="n">
        <x:v>1</x:v>
      </x:c>
      <x:c r="K13" t="n">
        <x:v>0</x:v>
      </x:c>
      <x:c r="L13" t="str">
        <x:f>IF(AND(I13=0,J13=1),"PASS","FAIL")</x:f>
        <x:v>PASS</x:v>
      </x:c>
      <x:c r="M13" t="str">
        <x:f>IF(K13=0,"OPEN",IF(K13=1,"PASS","FAIL"))</x:f>
        <x:v>OPEN</x:v>
      </x:c>
    </x:row>
    <x:row r="14">
      <x:c r="B14" t="str">
        <x:v>A-C-4</x:v>
      </x:c>
      <x:c r="C14" t="str">
        <x:v>PTC-C</x:v>
      </x:c>
      <x:c r="D14" t="str">
        <x:v>SP-4</x:v>
      </x:c>
      <x:c r="E14" s="30" t="n">
        <x:f>Controls!$D$13*1000</x:f>
        <x:v>150</x:v>
      </x:c>
      <x:c r="F14" s="30" t="n">
        <x:f>Controls!$D$19</x:f>
        <x:v>15</x:v>
      </x:c>
      <x:c r="G14" s="30" t="n">
        <x:f>Controls!$D$20</x:f>
        <x:v>40</x:v>
      </x:c>
      <x:c r="H14" t="str">
        <x:v>RV-C-4</x:v>
      </x:c>
      <x:c r="I14" t="n">
        <x:v>0</x:v>
      </x:c>
      <x:c r="J14" t="n">
        <x:v>1</x:v>
      </x:c>
      <x:c r="K14" t="n">
        <x:v>0</x:v>
      </x:c>
      <x:c r="L14" t="str">
        <x:f>IF(AND(I14=0,J14=1),"PASS","FAIL")</x:f>
        <x:v>PASS</x:v>
      </x:c>
      <x:c r="M14" t="str">
        <x:f>IF(K14=0,"OPEN",IF(K14=1,"PASS","FAIL"))</x:f>
        <x:v>OPEN</x:v>
      </x:c>
    </x:row>
  </x:sheetData>
  <x:conditionalFormatting sqref="L7:M14">
    <x:cfRule type="cellIs" dxfId="12" priority="1" operator="equal">
      <x:formula>"FAIL"</x:formula>
    </x:cfRule>
    <x:cfRule type="cellIs" dxfId="13" priority="2" operator="equal">
      <x:formula>"BLOCKED"</x:formula>
    </x:cfRule>
    <x:cfRule type="cellIs" dxfId="14" priority="3" operator="equal">
      <x:formula>"OPEN"</x:formula>
    </x:cfRule>
    <x:cfRule type="cellIs" dxfId="15" priority="4" operator="equal">
      <x:formula>"PASS"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11" hidden="0" customWidth="1"/>
    <x:col min="5" max="5" width="16" hidden="0" customWidth="1"/>
    <x:col min="6" max="6" width="21" hidden="0" customWidth="1"/>
    <x:col min="7" max="7" width="20" hidden="0" customWidth="1"/>
    <x:col min="8" max="8" width="18" hidden="0" customWidth="1"/>
    <x:col min="9" max="9" width="21" hidden="0" customWidth="1"/>
    <x:col min="10" max="10" width="17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Root B independent source trains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Each pressure train has its own relief route, receiver, gas-holder chamber and last-resort disposer.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Route</x:v>
      </x:c>
      <x:c r="C6" s="14" t="str">
        <x:v>Site</x:v>
      </x:c>
      <x:c r="D6" s="14" t="str">
        <x:v>Pod</x:v>
      </x:c>
      <x:c r="E6" s="14" t="str">
        <x:v>Route ID (mm)</x:v>
      </x:c>
      <x:c r="F6" s="14" t="str">
        <x:v>Pressure receiver (kg)</x:v>
      </x:c>
      <x:c r="G6" s="14" t="str">
        <x:v>Gas holder (m3)</x:v>
      </x:c>
      <x:c r="H6" s="14" t="str">
        <x:v>Disposer</x:v>
      </x:c>
      <x:c r="I6" s="14" t="str">
        <x:v>Shared pressurized path</x:v>
      </x:c>
      <x:c r="J6" s="14" t="str">
        <x:v>Design complete</x:v>
      </x:c>
      <x:c r="K6" s="14" t="str">
        <x:v>Physical acceptance</x:v>
      </x:c>
      <x:c r="L6" s="14" t="str">
        <x:v>Planning state</x:v>
      </x:c>
      <x:c r="M6" s="15" t="str">
        <x:v>Physical state</x:v>
      </x:c>
    </x:row>
    <x:row r="7">
      <x:c r="B7" t="str">
        <x:v>B-B-1</x:v>
      </x:c>
      <x:c r="C7" t="str">
        <x:v>PTC-B</x:v>
      </x:c>
      <x:c r="D7" t="str">
        <x:v>SP-1</x:v>
      </x:c>
      <x:c r="E7" s="30" t="n">
        <x:f>Controls!$D$15*1000</x:f>
        <x:v>500</x:v>
      </x:c>
      <x:c r="F7" s="30" t="n">
        <x:f>Controls!$D$22</x:f>
        <x:v>5344</x:v>
      </x:c>
      <x:c r="G7" s="30" t="n">
        <x:f>Controls!$D$21</x:f>
        <x:v>2000</x:v>
      </x:c>
      <x:c r="H7" t="str">
        <x:v>OX-B-1</x:v>
      </x:c>
      <x:c r="I7" t="n">
        <x:v>0</x:v>
      </x:c>
      <x:c r="J7" t="n">
        <x:v>1</x:v>
      </x:c>
      <x:c r="K7" t="n">
        <x:v>0</x:v>
      </x:c>
      <x:c r="L7" t="str">
        <x:f>IF(AND(I7=0,J7=1),"PASS","FAIL")</x:f>
        <x:v>PASS</x:v>
      </x:c>
      <x:c r="M7" t="str">
        <x:f>IF(K7=0,"OPEN",IF(K7=1,"PASS","FAIL"))</x:f>
        <x:v>OPEN</x:v>
      </x:c>
    </x:row>
    <x:row r="8">
      <x:c r="B8" t="str">
        <x:v>B-B-2</x:v>
      </x:c>
      <x:c r="C8" t="str">
        <x:v>PTC-B</x:v>
      </x:c>
      <x:c r="D8" t="str">
        <x:v>SP-2</x:v>
      </x:c>
      <x:c r="E8" s="30" t="n">
        <x:f>Controls!$D$15*1000</x:f>
        <x:v>500</x:v>
      </x:c>
      <x:c r="F8" s="30" t="n">
        <x:f>Controls!$D$22</x:f>
        <x:v>5344</x:v>
      </x:c>
      <x:c r="G8" s="30" t="n">
        <x:f>Controls!$D$21</x:f>
        <x:v>2000</x:v>
      </x:c>
      <x:c r="H8" t="str">
        <x:v>OX-B-2</x:v>
      </x:c>
      <x:c r="I8" t="n">
        <x:v>0</x:v>
      </x:c>
      <x:c r="J8" t="n">
        <x:v>1</x:v>
      </x:c>
      <x:c r="K8" t="n">
        <x:v>0</x:v>
      </x:c>
      <x:c r="L8" t="str">
        <x:f>IF(AND(I8=0,J8=1),"PASS","FAIL")</x:f>
        <x:v>PASS</x:v>
      </x:c>
      <x:c r="M8" t="str">
        <x:f>IF(K8=0,"OPEN",IF(K8=1,"PASS","FAIL"))</x:f>
        <x:v>OPEN</x:v>
      </x:c>
    </x:row>
    <x:row r="9">
      <x:c r="B9" t="str">
        <x:v>B-B-3</x:v>
      </x:c>
      <x:c r="C9" t="str">
        <x:v>PTC-B</x:v>
      </x:c>
      <x:c r="D9" t="str">
        <x:v>SP-3</x:v>
      </x:c>
      <x:c r="E9" s="30" t="n">
        <x:f>Controls!$D$15*1000</x:f>
        <x:v>500</x:v>
      </x:c>
      <x:c r="F9" s="30" t="n">
        <x:f>Controls!$D$22</x:f>
        <x:v>5344</x:v>
      </x:c>
      <x:c r="G9" s="30" t="n">
        <x:f>Controls!$D$21</x:f>
        <x:v>2000</x:v>
      </x:c>
      <x:c r="H9" t="str">
        <x:v>OX-B-3</x:v>
      </x:c>
      <x:c r="I9" t="n">
        <x:v>0</x:v>
      </x:c>
      <x:c r="J9" t="n">
        <x:v>1</x:v>
      </x:c>
      <x:c r="K9" t="n">
        <x:v>0</x:v>
      </x:c>
      <x:c r="L9" t="str">
        <x:f>IF(AND(I9=0,J9=1),"PASS","FAIL")</x:f>
        <x:v>PASS</x:v>
      </x:c>
      <x:c r="M9" t="str">
        <x:f>IF(K9=0,"OPEN",IF(K9=1,"PASS","FAIL"))</x:f>
        <x:v>OPEN</x:v>
      </x:c>
    </x:row>
    <x:row r="10">
      <x:c r="B10" t="str">
        <x:v>B-B-4</x:v>
      </x:c>
      <x:c r="C10" t="str">
        <x:v>PTC-B</x:v>
      </x:c>
      <x:c r="D10" t="str">
        <x:v>SP-4</x:v>
      </x:c>
      <x:c r="E10" s="30" t="n">
        <x:f>Controls!$D$15*1000</x:f>
        <x:v>500</x:v>
      </x:c>
      <x:c r="F10" s="30" t="n">
        <x:f>Controls!$D$22</x:f>
        <x:v>5344</x:v>
      </x:c>
      <x:c r="G10" s="30" t="n">
        <x:f>Controls!$D$21</x:f>
        <x:v>2000</x:v>
      </x:c>
      <x:c r="H10" t="str">
        <x:v>OX-B-4</x:v>
      </x:c>
      <x:c r="I10" t="n">
        <x:v>0</x:v>
      </x:c>
      <x:c r="J10" t="n">
        <x:v>1</x:v>
      </x:c>
      <x:c r="K10" t="n">
        <x:v>0</x:v>
      </x:c>
      <x:c r="L10" t="str">
        <x:f>IF(AND(I10=0,J10=1),"PASS","FAIL")</x:f>
        <x:v>PASS</x:v>
      </x:c>
      <x:c r="M10" t="str">
        <x:f>IF(K10=0,"OPEN",IF(K10=1,"PASS","FAIL"))</x:f>
        <x:v>OPEN</x:v>
      </x:c>
    </x:row>
    <x:row r="11">
      <x:c r="B11" t="str">
        <x:v>B-C-1</x:v>
      </x:c>
      <x:c r="C11" t="str">
        <x:v>PTC-C</x:v>
      </x:c>
      <x:c r="D11" t="str">
        <x:v>SP-1</x:v>
      </x:c>
      <x:c r="E11" s="30" t="n">
        <x:f>Controls!$D$15*1000</x:f>
        <x:v>500</x:v>
      </x:c>
      <x:c r="F11" s="30" t="n">
        <x:f>Controls!$D$22</x:f>
        <x:v>5344</x:v>
      </x:c>
      <x:c r="G11" s="30" t="n">
        <x:f>Controls!$D$21</x:f>
        <x:v>2000</x:v>
      </x:c>
      <x:c r="H11" t="str">
        <x:v>OX-C-1</x:v>
      </x:c>
      <x:c r="I11" t="n">
        <x:v>0</x:v>
      </x:c>
      <x:c r="J11" t="n">
        <x:v>1</x:v>
      </x:c>
      <x:c r="K11" t="n">
        <x:v>0</x:v>
      </x:c>
      <x:c r="L11" t="str">
        <x:f>IF(AND(I11=0,J11=1),"PASS","FAIL")</x:f>
        <x:v>PASS</x:v>
      </x:c>
      <x:c r="M11" t="str">
        <x:f>IF(K11=0,"OPEN",IF(K11=1,"PASS","FAIL"))</x:f>
        <x:v>OPEN</x:v>
      </x:c>
    </x:row>
    <x:row r="12">
      <x:c r="B12" t="str">
        <x:v>B-C-2</x:v>
      </x:c>
      <x:c r="C12" t="str">
        <x:v>PTC-C</x:v>
      </x:c>
      <x:c r="D12" t="str">
        <x:v>SP-2</x:v>
      </x:c>
      <x:c r="E12" s="30" t="n">
        <x:f>Controls!$D$15*1000</x:f>
        <x:v>500</x:v>
      </x:c>
      <x:c r="F12" s="30" t="n">
        <x:f>Controls!$D$22</x:f>
        <x:v>5344</x:v>
      </x:c>
      <x:c r="G12" s="30" t="n">
        <x:f>Controls!$D$21</x:f>
        <x:v>2000</x:v>
      </x:c>
      <x:c r="H12" t="str">
        <x:v>OX-C-2</x:v>
      </x:c>
      <x:c r="I12" t="n">
        <x:v>0</x:v>
      </x:c>
      <x:c r="J12" t="n">
        <x:v>1</x:v>
      </x:c>
      <x:c r="K12" t="n">
        <x:v>0</x:v>
      </x:c>
      <x:c r="L12" t="str">
        <x:f>IF(AND(I12=0,J12=1),"PASS","FAIL")</x:f>
        <x:v>PASS</x:v>
      </x:c>
      <x:c r="M12" t="str">
        <x:f>IF(K12=0,"OPEN",IF(K12=1,"PASS","FAIL"))</x:f>
        <x:v>OPEN</x:v>
      </x:c>
    </x:row>
    <x:row r="13">
      <x:c r="B13" t="str">
        <x:v>B-C-3</x:v>
      </x:c>
      <x:c r="C13" t="str">
        <x:v>PTC-C</x:v>
      </x:c>
      <x:c r="D13" t="str">
        <x:v>SP-3</x:v>
      </x:c>
      <x:c r="E13" s="30" t="n">
        <x:f>Controls!$D$15*1000</x:f>
        <x:v>500</x:v>
      </x:c>
      <x:c r="F13" s="30" t="n">
        <x:f>Controls!$D$22</x:f>
        <x:v>5344</x:v>
      </x:c>
      <x:c r="G13" s="30" t="n">
        <x:f>Controls!$D$21</x:f>
        <x:v>2000</x:v>
      </x:c>
      <x:c r="H13" t="str">
        <x:v>OX-C-3</x:v>
      </x:c>
      <x:c r="I13" t="n">
        <x:v>0</x:v>
      </x:c>
      <x:c r="J13" t="n">
        <x:v>1</x:v>
      </x:c>
      <x:c r="K13" t="n">
        <x:v>0</x:v>
      </x:c>
      <x:c r="L13" t="str">
        <x:f>IF(AND(I13=0,J13=1),"PASS","FAIL")</x:f>
        <x:v>PASS</x:v>
      </x:c>
      <x:c r="M13" t="str">
        <x:f>IF(K13=0,"OPEN",IF(K13=1,"PASS","FAIL"))</x:f>
        <x:v>OPEN</x:v>
      </x:c>
    </x:row>
    <x:row r="14">
      <x:c r="B14" t="str">
        <x:v>B-C-4</x:v>
      </x:c>
      <x:c r="C14" t="str">
        <x:v>PTC-C</x:v>
      </x:c>
      <x:c r="D14" t="str">
        <x:v>SP-4</x:v>
      </x:c>
      <x:c r="E14" s="30" t="n">
        <x:f>Controls!$D$15*1000</x:f>
        <x:v>500</x:v>
      </x:c>
      <x:c r="F14" s="30" t="n">
        <x:f>Controls!$D$22</x:f>
        <x:v>5344</x:v>
      </x:c>
      <x:c r="G14" s="30" t="n">
        <x:f>Controls!$D$21</x:f>
        <x:v>2000</x:v>
      </x:c>
      <x:c r="H14" t="str">
        <x:v>OX-C-4</x:v>
      </x:c>
      <x:c r="I14" t="n">
        <x:v>0</x:v>
      </x:c>
      <x:c r="J14" t="n">
        <x:v>1</x:v>
      </x:c>
      <x:c r="K14" t="n">
        <x:v>0</x:v>
      </x:c>
      <x:c r="L14" t="str">
        <x:f>IF(AND(I14=0,J14=1),"PASS","FAIL")</x:f>
        <x:v>PASS</x:v>
      </x:c>
      <x:c r="M14" t="str">
        <x:f>IF(K14=0,"OPEN",IF(K14=1,"PASS","FAIL"))</x:f>
        <x:v>OPEN</x:v>
      </x:c>
    </x:row>
  </x:sheetData>
  <x:conditionalFormatting sqref="L7:M14">
    <x:cfRule type="cellIs" dxfId="16" priority="1" operator="equal">
      <x:formula>"FAIL"</x:formula>
    </x:cfRule>
    <x:cfRule type="cellIs" dxfId="17" priority="2" operator="equal">
      <x:formula>"BLOCKED"</x:formula>
    </x:cfRule>
    <x:cfRule type="cellIs" dxfId="18" priority="3" operator="equal">
      <x:formula>"OPEN"</x:formula>
    </x:cfRule>
    <x:cfRule type="cellIs" dxfId="19" priority="4" operator="equal">
      <x:formula>"PASS"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30" hidden="0" customWidth="1"/>
    <x:col min="4" max="4" width="11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10" hidden="0" customWidth="1"/>
    <x:col min="11" max="11" width="17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Independent retention capacity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Four parallel trains eliminate the shared sump, receiver and gas-holder path exposed in Pass 117.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Site</x:v>
      </x:c>
      <x:c r="C6" s="14" t="str">
        <x:v>Function</x:v>
      </x:c>
      <x:c r="D6" s="14" t="str">
        <x:v>Trains</x:v>
      </x:c>
      <x:c r="E6" s="14" t="str">
        <x:v>Capacity per train</x:v>
      </x:c>
      <x:c r="F6" s="14" t="str">
        <x:v>Total capacity</x:v>
      </x:c>
      <x:c r="G6" s="14" t="str">
        <x:v>C2 required</x:v>
      </x:c>
      <x:c r="H6" s="14" t="str">
        <x:v>Margin</x:v>
      </x:c>
      <x:c r="I6" s="14" t="str">
        <x:v>Capacity ratio</x:v>
      </x:c>
      <x:c r="J6" s="14" t="str">
        <x:v>Unit</x:v>
      </x:c>
      <x:c r="K6" s="14" t="str">
        <x:v>Design complete</x:v>
      </x:c>
      <x:c r="L6" s="15" t="str">
        <x:v>Planning state</x:v>
      </x:c>
    </x:row>
    <x:row r="7">
      <x:c r="B7" t="str">
        <x:v>PTC-B</x:v>
      </x:c>
      <x:c r="C7" t="str">
        <x:v>source-liquid sump</x:v>
      </x:c>
      <x:c r="D7" t="n">
        <x:v>4</x:v>
      </x:c>
      <x:c r="E7" s="30" t="n">
        <x:f>Controls!$D$19</x:f>
        <x:v>15</x:v>
      </x:c>
      <x:c r="F7" s="30" t="n">
        <x:f>D7*E7</x:f>
        <x:v>60</x:v>
      </x:c>
      <x:c r="G7" s="30" t="n">
        <x:v>50</x:v>
      </x:c>
      <x:c r="H7" s="30" t="n">
        <x:f>F7-G7</x:f>
        <x:v>10</x:v>
      </x:c>
      <x:c r="I7" s="22" t="n">
        <x:f>F7/G7</x:f>
        <x:v>1.2</x:v>
      </x:c>
      <x:c r="J7" t="str">
        <x:v>m3</x:v>
      </x:c>
      <x:c r="K7" t="n">
        <x:v>1</x:v>
      </x:c>
      <x:c r="L7" t="str">
        <x:f>IF(AND(H7&gt;=0,K7=1),"PASS","FAIL")</x:f>
        <x:v>PASS</x:v>
      </x:c>
    </x:row>
    <x:row r="8">
      <x:c r="B8" t="str">
        <x:v>PTC-B</x:v>
      </x:c>
      <x:c r="C8" t="str">
        <x:v>firewater vault</x:v>
      </x:c>
      <x:c r="D8" t="n">
        <x:v>4</x:v>
      </x:c>
      <x:c r="E8" s="30" t="n">
        <x:f>Controls!$D$20</x:f>
        <x:v>40</x:v>
      </x:c>
      <x:c r="F8" s="30" t="n">
        <x:f>D8*E8</x:f>
        <x:v>160</x:v>
      </x:c>
      <x:c r="G8" s="30" t="n">
        <x:v>120</x:v>
      </x:c>
      <x:c r="H8" s="30" t="n">
        <x:f>F8-G8</x:f>
        <x:v>40</x:v>
      </x:c>
      <x:c r="I8" s="22" t="n">
        <x:f>F8/G8</x:f>
        <x:v>1.3333333333333333</x:v>
      </x:c>
      <x:c r="J8" t="str">
        <x:v>m3</x:v>
      </x:c>
      <x:c r="K8" t="n">
        <x:v>1</x:v>
      </x:c>
      <x:c r="L8" t="str">
        <x:f>IF(AND(H8&gt;=0,K8=1),"PASS","FAIL")</x:f>
        <x:v>PASS</x:v>
      </x:c>
    </x:row>
    <x:row r="9">
      <x:c r="B9" t="str">
        <x:v>PTC-B</x:v>
      </x:c>
      <x:c r="C9" t="str">
        <x:v>Root B gas holder</x:v>
      </x:c>
      <x:c r="D9" t="n">
        <x:v>4</x:v>
      </x:c>
      <x:c r="E9" s="30" t="n">
        <x:f>Controls!$D$21</x:f>
        <x:v>2000</x:v>
      </x:c>
      <x:c r="F9" s="30" t="n">
        <x:f>D9*E9</x:f>
        <x:v>8000</x:v>
      </x:c>
      <x:c r="G9" s="30" t="n">
        <x:v>6360</x:v>
      </x:c>
      <x:c r="H9" s="30" t="n">
        <x:f>F9-G9</x:f>
        <x:v>1640</x:v>
      </x:c>
      <x:c r="I9" s="22" t="n">
        <x:f>F9/G9</x:f>
        <x:v>1.2578616352201257</x:v>
      </x:c>
      <x:c r="J9" t="str">
        <x:v>m3</x:v>
      </x:c>
      <x:c r="K9" t="n">
        <x:v>1</x:v>
      </x:c>
      <x:c r="L9" t="str">
        <x:f>IF(AND(H9&gt;=0,K9=1),"PASS","FAIL")</x:f>
        <x:v>PASS</x:v>
      </x:c>
    </x:row>
    <x:row r="10">
      <x:c r="B10" t="str">
        <x:v>PTC-B</x:v>
      </x:c>
      <x:c r="C10" t="str">
        <x:v>Root B pressure receiver</x:v>
      </x:c>
      <x:c r="D10" t="n">
        <x:v>4</x:v>
      </x:c>
      <x:c r="E10" s="30" t="n">
        <x:f>Controls!$D$22</x:f>
        <x:v>5344</x:v>
      </x:c>
      <x:c r="F10" s="30" t="n">
        <x:f>D10*E10</x:f>
        <x:v>21376</x:v>
      </x:c>
      <x:c r="G10" s="30" t="n">
        <x:v>8000</x:v>
      </x:c>
      <x:c r="H10" s="30" t="n">
        <x:f>F10-G10</x:f>
        <x:v>13376</x:v>
      </x:c>
      <x:c r="I10" s="22" t="n">
        <x:f>F10/G10</x:f>
        <x:v>2.672</x:v>
      </x:c>
      <x:c r="J10" t="str">
        <x:v>kg</x:v>
      </x:c>
      <x:c r="K10" t="n">
        <x:v>1</x:v>
      </x:c>
      <x:c r="L10" t="str">
        <x:f>IF(AND(H10&gt;=0,K10=1),"PASS","FAIL")</x:f>
        <x:v>PASS</x:v>
      </x:c>
    </x:row>
    <x:row r="11">
      <x:c r="B11" t="str">
        <x:v>PTC-C</x:v>
      </x:c>
      <x:c r="C11" t="str">
        <x:v>source-liquid sump</x:v>
      </x:c>
      <x:c r="D11" t="n">
        <x:v>4</x:v>
      </x:c>
      <x:c r="E11" s="30" t="n">
        <x:f>Controls!$D$19</x:f>
        <x:v>15</x:v>
      </x:c>
      <x:c r="F11" s="30" t="n">
        <x:f>D11*E11</x:f>
        <x:v>60</x:v>
      </x:c>
      <x:c r="G11" s="30" t="n">
        <x:v>50</x:v>
      </x:c>
      <x:c r="H11" s="30" t="n">
        <x:f>F11-G11</x:f>
        <x:v>10</x:v>
      </x:c>
      <x:c r="I11" s="22" t="n">
        <x:f>F11/G11</x:f>
        <x:v>1.2</x:v>
      </x:c>
      <x:c r="J11" t="str">
        <x:v>m3</x:v>
      </x:c>
      <x:c r="K11" t="n">
        <x:v>1</x:v>
      </x:c>
      <x:c r="L11" t="str">
        <x:f>IF(AND(H11&gt;=0,K11=1),"PASS","FAIL")</x:f>
        <x:v>PASS</x:v>
      </x:c>
    </x:row>
    <x:row r="12">
      <x:c r="B12" t="str">
        <x:v>PTC-C</x:v>
      </x:c>
      <x:c r="C12" t="str">
        <x:v>firewater vault</x:v>
      </x:c>
      <x:c r="D12" t="n">
        <x:v>4</x:v>
      </x:c>
      <x:c r="E12" s="30" t="n">
        <x:f>Controls!$D$20</x:f>
        <x:v>40</x:v>
      </x:c>
      <x:c r="F12" s="30" t="n">
        <x:f>D12*E12</x:f>
        <x:v>160</x:v>
      </x:c>
      <x:c r="G12" s="30" t="n">
        <x:v>120</x:v>
      </x:c>
      <x:c r="H12" s="30" t="n">
        <x:f>F12-G12</x:f>
        <x:v>40</x:v>
      </x:c>
      <x:c r="I12" s="22" t="n">
        <x:f>F12/G12</x:f>
        <x:v>1.3333333333333333</x:v>
      </x:c>
      <x:c r="J12" t="str">
        <x:v>m3</x:v>
      </x:c>
      <x:c r="K12" t="n">
        <x:v>1</x:v>
      </x:c>
      <x:c r="L12" t="str">
        <x:f>IF(AND(H12&gt;=0,K12=1),"PASS","FAIL")</x:f>
        <x:v>PASS</x:v>
      </x:c>
    </x:row>
    <x:row r="13">
      <x:c r="B13" t="str">
        <x:v>PTC-C</x:v>
      </x:c>
      <x:c r="C13" t="str">
        <x:v>Root B gas holder</x:v>
      </x:c>
      <x:c r="D13" t="n">
        <x:v>4</x:v>
      </x:c>
      <x:c r="E13" s="30" t="n">
        <x:f>Controls!$D$21</x:f>
        <x:v>2000</x:v>
      </x:c>
      <x:c r="F13" s="30" t="n">
        <x:f>D13*E13</x:f>
        <x:v>8000</x:v>
      </x:c>
      <x:c r="G13" s="30" t="n">
        <x:v>6360</x:v>
      </x:c>
      <x:c r="H13" s="30" t="n">
        <x:f>F13-G13</x:f>
        <x:v>1640</x:v>
      </x:c>
      <x:c r="I13" s="22" t="n">
        <x:f>F13/G13</x:f>
        <x:v>1.2578616352201257</x:v>
      </x:c>
      <x:c r="J13" t="str">
        <x:v>m3</x:v>
      </x:c>
      <x:c r="K13" t="n">
        <x:v>1</x:v>
      </x:c>
      <x:c r="L13" t="str">
        <x:f>IF(AND(H13&gt;=0,K13=1),"PASS","FAIL")</x:f>
        <x:v>PASS</x:v>
      </x:c>
    </x:row>
    <x:row r="14">
      <x:c r="B14" t="str">
        <x:v>PTC-C</x:v>
      </x:c>
      <x:c r="C14" t="str">
        <x:v>Root B pressure receiver</x:v>
      </x:c>
      <x:c r="D14" t="n">
        <x:v>4</x:v>
      </x:c>
      <x:c r="E14" s="30" t="n">
        <x:f>Controls!$D$22</x:f>
        <x:v>5344</x:v>
      </x:c>
      <x:c r="F14" s="30" t="n">
        <x:f>D14*E14</x:f>
        <x:v>21376</x:v>
      </x:c>
      <x:c r="G14" s="30" t="n">
        <x:v>8000</x:v>
      </x:c>
      <x:c r="H14" s="30" t="n">
        <x:f>F14-G14</x:f>
        <x:v>13376</x:v>
      </x:c>
      <x:c r="I14" s="22" t="n">
        <x:f>F14/G14</x:f>
        <x:v>2.672</x:v>
      </x:c>
      <x:c r="J14" t="str">
        <x:v>kg</x:v>
      </x:c>
      <x:c r="K14" t="n">
        <x:v>1</x:v>
      </x:c>
      <x:c r="L14" t="str">
        <x:f>IF(AND(H14&gt;=0,K14=1),"PASS","FAIL")</x:f>
        <x:v>PASS</x:v>
      </x:c>
    </x:row>
  </x:sheetData>
  <x:conditionalFormatting sqref="L7:L14">
    <x:cfRule type="cellIs" dxfId="20" priority="1" operator="equal">
      <x:formula>"FAIL"</x:formula>
    </x:cfRule>
    <x:cfRule type="cellIs" dxfId="21" priority="2" operator="equal">
      <x:formula>"BLOCKED"</x:formula>
    </x:cfRule>
    <x:cfRule type="cellIs" dxfId="22" priority="3" operator="equal">
      <x:formula>"OPEN"</x:formula>
    </x:cfRule>
    <x:cfRule type="cellIs" dxfId="23" priority="4" operator="equal">
      <x:formula>"PASS"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2" hidden="0" customWidth="1"/>
    <x:col min="4" max="4" width="11" hidden="0" customWidth="1"/>
    <x:col min="5" max="5" width="18" hidden="0" customWidth="1"/>
    <x:col min="6" max="6" width="20" hidden="0" customWidth="1"/>
    <x:col min="7" max="7" width="15" hidden="0" customWidth="1"/>
    <x:col min="8" max="8" width="17" hidden="0" customWidth="1"/>
    <x:col min="9" max="9" width="12" hidden="0" customWidth="1"/>
    <x:col min="10" max="10" width="20" hidden="0" customWidth="1"/>
    <x:col min="11" max="11" width="17" hidden="0" customWidth="1"/>
    <x:col min="12" max="12" width="17" hidden="0" customWidth="1"/>
    <x:col min="13" max="13" width="19" hidden="0" customWidth="1"/>
    <x:col min="14" max="14" width="16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Segregated source and firewater drainage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Source liquid and suppression runoff remain in separately identified per-train vaults until evidence release.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Drain ID</x:v>
      </x:c>
      <x:c r="C6" s="14" t="str">
        <x:v>Site</x:v>
      </x:c>
      <x:c r="D6" s="14" t="str">
        <x:v>Pod</x:v>
      </x:c>
      <x:c r="E6" s="14" t="str">
        <x:v>Source sump (m3)</x:v>
      </x:c>
      <x:c r="F6" s="14" t="str">
        <x:v>Firewater vault (m3)</x:v>
      </x:c>
      <x:c r="G6" s="14" t="str">
        <x:v>Source drain</x:v>
      </x:c>
      <x:c r="H6" s="14" t="str">
        <x:v>Firewater drain</x:v>
      </x:c>
      <x:c r="I6" s="14" t="str">
        <x:v>Gas break</x:v>
      </x:c>
      <x:c r="J6" s="14" t="str">
        <x:v>Cross-train connection</x:v>
      </x:c>
      <x:c r="K6" s="14" t="str">
        <x:v>Independent level</x:v>
      </x:c>
      <x:c r="L6" s="14" t="str">
        <x:v>Design complete</x:v>
      </x:c>
      <x:c r="M6" s="15" t="str">
        <x:v>Physical acceptance</x:v>
      </x:c>
      <x:c r="N6" s="13" t="str">
        <x:v>Planning state</x:v>
      </x:c>
      <x:c r="O6" s="15" t="str">
        <x:v>Physical state</x:v>
      </x:c>
    </x:row>
    <x:row r="7">
      <x:c r="B7" t="str">
        <x:v>DR-B-1</x:v>
      </x:c>
      <x:c r="C7" t="str">
        <x:v>PTC-B</x:v>
      </x:c>
      <x:c r="D7" t="str">
        <x:v>SP-1</x:v>
      </x:c>
      <x:c r="E7" s="19" t="n">
        <x:f>Controls!$D$19</x:f>
        <x:v>15</x:v>
      </x:c>
      <x:c r="F7" s="19" t="n">
        <x:f>Controls!$D$20</x:f>
        <x:v>40</x:v>
      </x:c>
      <x:c r="G7" t="str">
        <x:v>SD-B-1</x:v>
      </x:c>
      <x:c r="H7" t="str">
        <x:v>FW-B-1</x:v>
      </x:c>
      <x:c r="I7" t="n">
        <x:v>1</x:v>
      </x:c>
      <x:c r="J7" t="n">
        <x:v>0</x:v>
      </x:c>
      <x:c r="K7" t="n">
        <x:v>1</x:v>
      </x:c>
      <x:c r="L7" t="n">
        <x:v>1</x:v>
      </x:c>
      <x:c r="M7" t="n">
        <x:v>0</x:v>
      </x:c>
      <x:c r="N7" t="str">
        <x:f>IF(AND(I7=1,J7=0,K7=1,L7=1),"PASS","FAIL")</x:f>
        <x:v>PASS</x:v>
      </x:c>
      <x:c r="O7" t="str">
        <x:f>IF(M7=0,"OPEN",IF(M7=1,"PASS","FAIL"))</x:f>
        <x:v>OPEN</x:v>
      </x:c>
    </x:row>
    <x:row r="8">
      <x:c r="B8" t="str">
        <x:v>DR-B-2</x:v>
      </x:c>
      <x:c r="C8" t="str">
        <x:v>PTC-B</x:v>
      </x:c>
      <x:c r="D8" t="str">
        <x:v>SP-2</x:v>
      </x:c>
      <x:c r="E8" s="19" t="n">
        <x:f>Controls!$D$19</x:f>
        <x:v>15</x:v>
      </x:c>
      <x:c r="F8" s="19" t="n">
        <x:f>Controls!$D$20</x:f>
        <x:v>40</x:v>
      </x:c>
      <x:c r="G8" t="str">
        <x:v>SD-B-2</x:v>
      </x:c>
      <x:c r="H8" t="str">
        <x:v>FW-B-2</x:v>
      </x:c>
      <x:c r="I8" t="n">
        <x:v>1</x:v>
      </x:c>
      <x:c r="J8" t="n">
        <x:v>0</x:v>
      </x:c>
      <x:c r="K8" t="n">
        <x:v>1</x:v>
      </x:c>
      <x:c r="L8" t="n">
        <x:v>1</x:v>
      </x:c>
      <x:c r="M8" t="n">
        <x:v>0</x:v>
      </x:c>
      <x:c r="N8" t="str">
        <x:f>IF(AND(I8=1,J8=0,K8=1,L8=1),"PASS","FAIL")</x:f>
        <x:v>PASS</x:v>
      </x:c>
      <x:c r="O8" t="str">
        <x:f>IF(M8=0,"OPEN",IF(M8=1,"PASS","FAIL"))</x:f>
        <x:v>OPEN</x:v>
      </x:c>
    </x:row>
    <x:row r="9">
      <x:c r="B9" t="str">
        <x:v>DR-B-3</x:v>
      </x:c>
      <x:c r="C9" t="str">
        <x:v>PTC-B</x:v>
      </x:c>
      <x:c r="D9" t="str">
        <x:v>SP-3</x:v>
      </x:c>
      <x:c r="E9" s="19" t="n">
        <x:f>Controls!$D$19</x:f>
        <x:v>15</x:v>
      </x:c>
      <x:c r="F9" s="19" t="n">
        <x:f>Controls!$D$20</x:f>
        <x:v>40</x:v>
      </x:c>
      <x:c r="G9" t="str">
        <x:v>SD-B-3</x:v>
      </x:c>
      <x:c r="H9" t="str">
        <x:v>FW-B-3</x:v>
      </x:c>
      <x:c r="I9" t="n">
        <x:v>1</x:v>
      </x:c>
      <x:c r="J9" t="n">
        <x:v>0</x:v>
      </x:c>
      <x:c r="K9" t="n">
        <x:v>1</x:v>
      </x:c>
      <x:c r="L9" t="n">
        <x:v>1</x:v>
      </x:c>
      <x:c r="M9" t="n">
        <x:v>0</x:v>
      </x:c>
      <x:c r="N9" t="str">
        <x:f>IF(AND(I9=1,J9=0,K9=1,L9=1),"PASS","FAIL")</x:f>
        <x:v>PASS</x:v>
      </x:c>
      <x:c r="O9" t="str">
        <x:f>IF(M9=0,"OPEN",IF(M9=1,"PASS","FAIL"))</x:f>
        <x:v>OPEN</x:v>
      </x:c>
    </x:row>
    <x:row r="10">
      <x:c r="B10" t="str">
        <x:v>DR-B-4</x:v>
      </x:c>
      <x:c r="C10" t="str">
        <x:v>PTC-B</x:v>
      </x:c>
      <x:c r="D10" t="str">
        <x:v>SP-4</x:v>
      </x:c>
      <x:c r="E10" s="19" t="n">
        <x:f>Controls!$D$19</x:f>
        <x:v>15</x:v>
      </x:c>
      <x:c r="F10" s="19" t="n">
        <x:f>Controls!$D$20</x:f>
        <x:v>40</x:v>
      </x:c>
      <x:c r="G10" t="str">
        <x:v>SD-B-4</x:v>
      </x:c>
      <x:c r="H10" t="str">
        <x:v>FW-B-4</x:v>
      </x:c>
      <x:c r="I10" t="n">
        <x:v>1</x:v>
      </x:c>
      <x:c r="J10" t="n">
        <x:v>0</x:v>
      </x:c>
      <x:c r="K10" t="n">
        <x:v>1</x:v>
      </x:c>
      <x:c r="L10" t="n">
        <x:v>1</x:v>
      </x:c>
      <x:c r="M10" t="n">
        <x:v>0</x:v>
      </x:c>
      <x:c r="N10" t="str">
        <x:f>IF(AND(I10=1,J10=0,K10=1,L10=1),"PASS","FAIL")</x:f>
        <x:v>PASS</x:v>
      </x:c>
      <x:c r="O10" t="str">
        <x:f>IF(M10=0,"OPEN",IF(M10=1,"PASS","FAIL"))</x:f>
        <x:v>OPEN</x:v>
      </x:c>
    </x:row>
    <x:row r="11">
      <x:c r="B11" t="str">
        <x:v>DR-C-1</x:v>
      </x:c>
      <x:c r="C11" t="str">
        <x:v>PTC-C</x:v>
      </x:c>
      <x:c r="D11" t="str">
        <x:v>SP-1</x:v>
      </x:c>
      <x:c r="E11" s="19" t="n">
        <x:f>Controls!$D$19</x:f>
        <x:v>15</x:v>
      </x:c>
      <x:c r="F11" s="19" t="n">
        <x:f>Controls!$D$20</x:f>
        <x:v>40</x:v>
      </x:c>
      <x:c r="G11" t="str">
        <x:v>SD-C-1</x:v>
      </x:c>
      <x:c r="H11" t="str">
        <x:v>FW-C-1</x:v>
      </x:c>
      <x:c r="I11" t="n">
        <x:v>1</x:v>
      </x:c>
      <x:c r="J11" t="n">
        <x:v>0</x:v>
      </x:c>
      <x:c r="K11" t="n">
        <x:v>1</x:v>
      </x:c>
      <x:c r="L11" t="n">
        <x:v>1</x:v>
      </x:c>
      <x:c r="M11" t="n">
        <x:v>0</x:v>
      </x:c>
      <x:c r="N11" t="str">
        <x:f>IF(AND(I11=1,J11=0,K11=1,L11=1),"PASS","FAIL")</x:f>
        <x:v>PASS</x:v>
      </x:c>
      <x:c r="O11" t="str">
        <x:f>IF(M11=0,"OPEN",IF(M11=1,"PASS","FAIL"))</x:f>
        <x:v>OPEN</x:v>
      </x:c>
    </x:row>
    <x:row r="12">
      <x:c r="B12" t="str">
        <x:v>DR-C-2</x:v>
      </x:c>
      <x:c r="C12" t="str">
        <x:v>PTC-C</x:v>
      </x:c>
      <x:c r="D12" t="str">
        <x:v>SP-2</x:v>
      </x:c>
      <x:c r="E12" s="19" t="n">
        <x:f>Controls!$D$19</x:f>
        <x:v>15</x:v>
      </x:c>
      <x:c r="F12" s="19" t="n">
        <x:f>Controls!$D$20</x:f>
        <x:v>40</x:v>
      </x:c>
      <x:c r="G12" t="str">
        <x:v>SD-C-2</x:v>
      </x:c>
      <x:c r="H12" t="str">
        <x:v>FW-C-2</x:v>
      </x:c>
      <x:c r="I12" t="n">
        <x:v>1</x:v>
      </x:c>
      <x:c r="J12" t="n">
        <x:v>0</x:v>
      </x:c>
      <x:c r="K12" t="n">
        <x:v>1</x:v>
      </x:c>
      <x:c r="L12" t="n">
        <x:v>1</x:v>
      </x:c>
      <x:c r="M12" t="n">
        <x:v>0</x:v>
      </x:c>
      <x:c r="N12" t="str">
        <x:f>IF(AND(I12=1,J12=0,K12=1,L12=1),"PASS","FAIL")</x:f>
        <x:v>PASS</x:v>
      </x:c>
      <x:c r="O12" t="str">
        <x:f>IF(M12=0,"OPEN",IF(M12=1,"PASS","FAIL"))</x:f>
        <x:v>OPEN</x:v>
      </x:c>
    </x:row>
    <x:row r="13">
      <x:c r="B13" t="str">
        <x:v>DR-C-3</x:v>
      </x:c>
      <x:c r="C13" t="str">
        <x:v>PTC-C</x:v>
      </x:c>
      <x:c r="D13" t="str">
        <x:v>SP-3</x:v>
      </x:c>
      <x:c r="E13" s="19" t="n">
        <x:f>Controls!$D$19</x:f>
        <x:v>15</x:v>
      </x:c>
      <x:c r="F13" s="19" t="n">
        <x:f>Controls!$D$20</x:f>
        <x:v>40</x:v>
      </x:c>
      <x:c r="G13" t="str">
        <x:v>SD-C-3</x:v>
      </x:c>
      <x:c r="H13" t="str">
        <x:v>FW-C-3</x:v>
      </x:c>
      <x:c r="I13" t="n">
        <x:v>1</x:v>
      </x:c>
      <x:c r="J13" t="n">
        <x:v>0</x:v>
      </x:c>
      <x:c r="K13" t="n">
        <x:v>1</x:v>
      </x:c>
      <x:c r="L13" t="n">
        <x:v>1</x:v>
      </x:c>
      <x:c r="M13" t="n">
        <x:v>0</x:v>
      </x:c>
      <x:c r="N13" t="str">
        <x:f>IF(AND(I13=1,J13=0,K13=1,L13=1),"PASS","FAIL")</x:f>
        <x:v>PASS</x:v>
      </x:c>
      <x:c r="O13" t="str">
        <x:f>IF(M13=0,"OPEN",IF(M13=1,"PASS","FAIL"))</x:f>
        <x:v>OPEN</x:v>
      </x:c>
    </x:row>
    <x:row r="14">
      <x:c r="B14" t="str">
        <x:v>DR-C-4</x:v>
      </x:c>
      <x:c r="C14" t="str">
        <x:v>PTC-C</x:v>
      </x:c>
      <x:c r="D14" t="str">
        <x:v>SP-4</x:v>
      </x:c>
      <x:c r="E14" s="19" t="n">
        <x:f>Controls!$D$19</x:f>
        <x:v>15</x:v>
      </x:c>
      <x:c r="F14" s="19" t="n">
        <x:f>Controls!$D$20</x:f>
        <x:v>40</x:v>
      </x:c>
      <x:c r="G14" t="str">
        <x:v>SD-C-4</x:v>
      </x:c>
      <x:c r="H14" t="str">
        <x:v>FW-C-4</x:v>
      </x:c>
      <x:c r="I14" t="n">
        <x:v>1</x:v>
      </x:c>
      <x:c r="J14" t="n">
        <x:v>0</x:v>
      </x:c>
      <x:c r="K14" t="n">
        <x:v>1</x:v>
      </x:c>
      <x:c r="L14" t="n">
        <x:v>1</x:v>
      </x:c>
      <x:c r="M14" t="n">
        <x:v>0</x:v>
      </x:c>
      <x:c r="N14" t="str">
        <x:f>IF(AND(I14=1,J14=0,K14=1,L14=1),"PASS","FAIL")</x:f>
        <x:v>PASS</x:v>
      </x:c>
      <x:c r="O14" t="str">
        <x:f>IF(M14=0,"OPEN",IF(M14=1,"PASS","FAIL"))</x:f>
        <x:v>OPEN</x:v>
      </x:c>
    </x:row>
  </x:sheetData>
  <x:conditionalFormatting sqref="N7:O14">
    <x:cfRule type="cellIs" dxfId="24" priority="1" operator="equal">
      <x:formula>"FAIL"</x:formula>
    </x:cfRule>
    <x:cfRule type="cellIs" dxfId="25" priority="2" operator="equal">
      <x:formula>"BLOCKED"</x:formula>
    </x:cfRule>
    <x:cfRule type="cellIs" dxfId="26" priority="3" operator="equal">
      <x:formula>"OPEN"</x:formula>
    </x:cfRule>
    <x:cfRule type="cellIs" dxfId="27" priority="4" operator="equal">
      <x:formula>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9" hidden="0" customWidth="1"/>
    <x:col min="4" max="4" width="12" hidden="0" customWidth="1"/>
    <x:col min="5" max="5" width="11" hidden="0" customWidth="1"/>
    <x:col min="6" max="6" width="28" hidden="0" customWidth="1"/>
    <x:col min="7" max="7" width="22" hidden="0" customWidth="1"/>
    <x:col min="8" max="8" width="20" hidden="0" customWidth="1"/>
    <x:col min="9" max="9" width="17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No-common-path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Sixteen root-site-pod routes are checked across eleven independent domains. Physical proof remains open.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Record</x:v>
      </x:c>
      <x:c r="C6" s="14" t="str">
        <x:v>Root</x:v>
      </x:c>
      <x:c r="D6" s="14" t="str">
        <x:v>Site</x:v>
      </x:c>
      <x:c r="E6" s="14" t="str">
        <x:v>Pod</x:v>
      </x:c>
      <x:c r="F6" s="14" t="str">
        <x:v>Domain</x:v>
      </x:c>
      <x:c r="G6" s="14" t="str">
        <x:v>Boundary object</x:v>
      </x:c>
      <x:c r="H6" s="14" t="str">
        <x:v>Shared with neighbor</x:v>
      </x:c>
      <x:c r="I6" s="14" t="str">
        <x:v>Design complete</x:v>
      </x:c>
      <x:c r="J6" s="14" t="str">
        <x:v>Protocol assigned</x:v>
      </x:c>
      <x:c r="K6" s="14" t="str">
        <x:v>Physical proof</x:v>
      </x:c>
      <x:c r="L6" s="14" t="str">
        <x:v>Planning state</x:v>
      </x:c>
      <x:c r="M6" s="15" t="str">
        <x:v>Physical state</x:v>
      </x:c>
    </x:row>
    <x:row r="7">
      <x:c r="B7" t="str">
        <x:v>NCP-001</x:v>
      </x:c>
      <x:c r="C7" t="str">
        <x:v>A</x:v>
      </x:c>
      <x:c r="D7" t="str">
        <x:v>PTC-B</x:v>
      </x:c>
      <x:c r="E7" t="str">
        <x:v>SP-1</x:v>
      </x:c>
      <x:c r="F7" t="str">
        <x:v>source boundary</x:v>
      </x:c>
      <x:c r="G7" t="str">
        <x:v>A-B-1-01</x:v>
      </x:c>
      <x:c r="H7" t="n">
        <x:v>0</x:v>
      </x:c>
      <x:c r="I7" t="n">
        <x:v>1</x:v>
      </x:c>
      <x:c r="J7" t="n">
        <x:v>1</x:v>
      </x:c>
      <x:c r="K7" t="n">
        <x:v>0</x:v>
      </x:c>
      <x:c r="L7" t="str">
        <x:f>IF(AND(H7=0,I7=1,J7=1),"PASS","FAIL")</x:f>
        <x:v>PASS</x:v>
      </x:c>
      <x:c r="M7" t="str">
        <x:f>IF(K7=0,"OPEN",IF(K7=1,"PASS","FAIL"))</x:f>
        <x:v>OPEN</x:v>
      </x:c>
    </x:row>
    <x:row r="8">
      <x:c r="B8" t="str">
        <x:v>NCP-002</x:v>
      </x:c>
      <x:c r="C8" t="str">
        <x:v>A</x:v>
      </x:c>
      <x:c r="D8" t="str">
        <x:v>PTC-B</x:v>
      </x:c>
      <x:c r="E8" t="str">
        <x:v>SP-1</x:v>
      </x:c>
      <x:c r="F8" t="str">
        <x:v>primary isolation</x:v>
      </x:c>
      <x:c r="G8" t="str">
        <x:v>A-B-1-02</x:v>
      </x:c>
      <x:c r="H8" t="n">
        <x:v>0</x:v>
      </x:c>
      <x:c r="I8" t="n">
        <x:v>1</x:v>
      </x:c>
      <x:c r="J8" t="n">
        <x:v>1</x:v>
      </x:c>
      <x:c r="K8" t="n">
        <x:v>0</x:v>
      </x:c>
      <x:c r="L8" t="str">
        <x:f>IF(AND(H8=0,I8=1,J8=1),"PASS","FAIL")</x:f>
        <x:v>PASS</x:v>
      </x:c>
      <x:c r="M8" t="str">
        <x:f>IF(K8=0,"OPEN",IF(K8=1,"PASS","FAIL"))</x:f>
        <x:v>OPEN</x:v>
      </x:c>
    </x:row>
    <x:row r="9">
      <x:c r="B9" t="str">
        <x:v>NCP-003</x:v>
      </x:c>
      <x:c r="C9" t="str">
        <x:v>A</x:v>
      </x:c>
      <x:c r="D9" t="str">
        <x:v>PTC-B</x:v>
      </x:c>
      <x:c r="E9" t="str">
        <x:v>SP-1</x:v>
      </x:c>
      <x:c r="F9" t="str">
        <x:v>relief or transfer route</x:v>
      </x:c>
      <x:c r="G9" t="str">
        <x:v>A-B-1-03</x:v>
      </x:c>
      <x:c r="H9" t="n">
        <x:v>0</x:v>
      </x:c>
      <x:c r="I9" t="n">
        <x:v>1</x:v>
      </x:c>
      <x:c r="J9" t="n">
        <x:v>1</x:v>
      </x:c>
      <x:c r="K9" t="n">
        <x:v>0</x:v>
      </x:c>
      <x:c r="L9" t="str">
        <x:f>IF(AND(H9=0,I9=1,J9=1),"PASS","FAIL")</x:f>
        <x:v>PASS</x:v>
      </x:c>
      <x:c r="M9" t="str">
        <x:f>IF(K9=0,"OPEN",IF(K9=1,"PASS","FAIL"))</x:f>
        <x:v>OPEN</x:v>
      </x:c>
    </x:row>
    <x:row r="10">
      <x:c r="B10" t="str">
        <x:v>NCP-004</x:v>
      </x:c>
      <x:c r="C10" t="str">
        <x:v>A</x:v>
      </x:c>
      <x:c r="D10" t="str">
        <x:v>PTC-B</x:v>
      </x:c>
      <x:c r="E10" t="str">
        <x:v>SP-1</x:v>
      </x:c>
      <x:c r="F10" t="str">
        <x:v>drain or knockout</x:v>
      </x:c>
      <x:c r="G10" t="str">
        <x:v>A-B-1-04</x:v>
      </x:c>
      <x:c r="H10" t="n">
        <x:v>0</x:v>
      </x:c>
      <x:c r="I10" t="n">
        <x:v>1</x:v>
      </x:c>
      <x:c r="J10" t="n">
        <x:v>1</x:v>
      </x:c>
      <x:c r="K10" t="n">
        <x:v>0</x:v>
      </x:c>
      <x:c r="L10" t="str">
        <x:f>IF(AND(H10=0,I10=1,J10=1),"PASS","FAIL")</x:f>
        <x:v>PASS</x:v>
      </x:c>
      <x:c r="M10" t="str">
        <x:f>IF(K10=0,"OPEN",IF(K10=1,"PASS","FAIL"))</x:f>
        <x:v>OPEN</x:v>
      </x:c>
    </x:row>
    <x:row r="11">
      <x:c r="B11" t="str">
        <x:v>NCP-005</x:v>
      </x:c>
      <x:c r="C11" t="str">
        <x:v>A</x:v>
      </x:c>
      <x:c r="D11" t="str">
        <x:v>PTC-B</x:v>
      </x:c>
      <x:c r="E11" t="str">
        <x:v>SP-1</x:v>
      </x:c>
      <x:c r="F11" t="str">
        <x:v>receiver or sump</x:v>
      </x:c>
      <x:c r="G11" t="str">
        <x:v>A-B-1-05</x:v>
      </x:c>
      <x:c r="H11" t="n">
        <x:v>0</x:v>
      </x:c>
      <x:c r="I11" t="n">
        <x:v>1</x:v>
      </x:c>
      <x:c r="J11" t="n">
        <x:v>1</x:v>
      </x:c>
      <x:c r="K11" t="n">
        <x:v>0</x:v>
      </x:c>
      <x:c r="L11" t="str">
        <x:f>IF(AND(H11=0,I11=1,J11=1),"PASS","FAIL")</x:f>
        <x:v>PASS</x:v>
      </x:c>
      <x:c r="M11" t="str">
        <x:f>IF(K11=0,"OPEN",IF(K11=1,"PASS","FAIL"))</x:f>
        <x:v>OPEN</x:v>
      </x:c>
    </x:row>
    <x:row r="12">
      <x:c r="B12" t="str">
        <x:v>NCP-006</x:v>
      </x:c>
      <x:c r="C12" t="str">
        <x:v>A</x:v>
      </x:c>
      <x:c r="D12" t="str">
        <x:v>PTC-B</x:v>
      </x:c>
      <x:c r="E12" t="str">
        <x:v>SP-1</x:v>
      </x:c>
      <x:c r="F12" t="str">
        <x:v>gas holder or recovery</x:v>
      </x:c>
      <x:c r="G12" t="str">
        <x:v>A-B-1-06</x:v>
      </x:c>
      <x:c r="H12" t="n">
        <x:v>0</x:v>
      </x:c>
      <x:c r="I12" t="n">
        <x:v>1</x:v>
      </x:c>
      <x:c r="J12" t="n">
        <x:v>1</x:v>
      </x:c>
      <x:c r="K12" t="n">
        <x:v>0</x:v>
      </x:c>
      <x:c r="L12" t="str">
        <x:f>IF(AND(H12=0,I12=1,J12=1),"PASS","FAIL")</x:f>
        <x:v>PASS</x:v>
      </x:c>
      <x:c r="M12" t="str">
        <x:f>IF(K12=0,"OPEN",IF(K12=1,"PASS","FAIL"))</x:f>
        <x:v>OPEN</x:v>
      </x:c>
    </x:row>
    <x:row r="13">
      <x:c r="B13" t="str">
        <x:v>NCP-007</x:v>
      </x:c>
      <x:c r="C13" t="str">
        <x:v>A</x:v>
      </x:c>
      <x:c r="D13" t="str">
        <x:v>PTC-B</x:v>
      </x:c>
      <x:c r="E13" t="str">
        <x:v>SP-1</x:v>
      </x:c>
      <x:c r="F13" t="str">
        <x:v>last-resort disposition</x:v>
      </x:c>
      <x:c r="G13" t="str">
        <x:v>A-B-1-07</x:v>
      </x:c>
      <x:c r="H13" t="n">
        <x:v>0</x:v>
      </x:c>
      <x:c r="I13" t="n">
        <x:v>1</x:v>
      </x:c>
      <x:c r="J13" t="n">
        <x:v>1</x:v>
      </x:c>
      <x:c r="K13" t="n">
        <x:v>0</x:v>
      </x:c>
      <x:c r="L13" t="str">
        <x:f>IF(AND(H13=0,I13=1,J13=1),"PASS","FAIL")</x:f>
        <x:v>PASS</x:v>
      </x:c>
      <x:c r="M13" t="str">
        <x:f>IF(K13=0,"OPEN",IF(K13=1,"PASS","FAIL"))</x:f>
        <x:v>OPEN</x:v>
      </x:c>
    </x:row>
    <x:row r="14">
      <x:c r="B14" t="str">
        <x:v>NCP-008</x:v>
      </x:c>
      <x:c r="C14" t="str">
        <x:v>A</x:v>
      </x:c>
      <x:c r="D14" t="str">
        <x:v>PTC-B</x:v>
      </x:c>
      <x:c r="E14" t="str">
        <x:v>SP-1</x:v>
      </x:c>
      <x:c r="F14" t="str">
        <x:v>thermal and fragment barrier</x:v>
      </x:c>
      <x:c r="G14" t="str">
        <x:v>A-B-1-08</x:v>
      </x:c>
      <x:c r="H14" t="n">
        <x:v>0</x:v>
      </x:c>
      <x:c r="I14" t="n">
        <x:v>1</x:v>
      </x:c>
      <x:c r="J14" t="n">
        <x:v>1</x:v>
      </x:c>
      <x:c r="K14" t="n">
        <x:v>0</x:v>
      </x:c>
      <x:c r="L14" t="str">
        <x:f>IF(AND(H14=0,I14=1,J14=1),"PASS","FAIL")</x:f>
        <x:v>PASS</x:v>
      </x:c>
      <x:c r="M14" t="str">
        <x:f>IF(K14=0,"OPEN",IF(K14=1,"PASS","FAIL"))</x:f>
        <x:v>OPEN</x:v>
      </x:c>
    </x:row>
    <x:row r="15">
      <x:c r="B15" t="str">
        <x:v>NCP-009</x:v>
      </x:c>
      <x:c r="C15" t="str">
        <x:v>A</x:v>
      </x:c>
      <x:c r="D15" t="str">
        <x:v>PTC-B</x:v>
      </x:c>
      <x:c r="E15" t="str">
        <x:v>SP-1</x:v>
      </x:c>
      <x:c r="F15" t="str">
        <x:v>structural support</x:v>
      </x:c>
      <x:c r="G15" t="str">
        <x:v>A-B-1-09</x:v>
      </x:c>
      <x:c r="H15" t="n">
        <x:v>0</x:v>
      </x:c>
      <x:c r="I15" t="n">
        <x:v>1</x:v>
      </x:c>
      <x:c r="J15" t="n">
        <x:v>1</x:v>
      </x:c>
      <x:c r="K15" t="n">
        <x:v>0</x:v>
      </x:c>
      <x:c r="L15" t="str">
        <x:f>IF(AND(H15=0,I15=1,J15=1),"PASS","FAIL")</x:f>
        <x:v>PASS</x:v>
      </x:c>
      <x:c r="M15" t="str">
        <x:f>IF(K15=0,"OPEN",IF(K15=1,"PASS","FAIL"))</x:f>
        <x:v>OPEN</x:v>
      </x:c>
    </x:row>
    <x:row r="16">
      <x:c r="B16" t="str">
        <x:v>NCP-010</x:v>
      </x:c>
      <x:c r="C16" t="str">
        <x:v>A</x:v>
      </x:c>
      <x:c r="D16" t="str">
        <x:v>PTC-B</x:v>
      </x:c>
      <x:c r="E16" t="str">
        <x:v>SP-1</x:v>
      </x:c>
      <x:c r="F16" t="str">
        <x:v>safety energy and logic</x:v>
      </x:c>
      <x:c r="G16" t="str">
        <x:v>A-B-1-10</x:v>
      </x:c>
      <x:c r="H16" t="n">
        <x:v>0</x:v>
      </x:c>
      <x:c r="I16" t="n">
        <x:v>1</x:v>
      </x:c>
      <x:c r="J16" t="n">
        <x:v>1</x:v>
      </x:c>
      <x:c r="K16" t="n">
        <x:v>0</x:v>
      </x:c>
      <x:c r="L16" t="str">
        <x:f>IF(AND(H16=0,I16=1,J16=1),"PASS","FAIL")</x:f>
        <x:v>PASS</x:v>
      </x:c>
      <x:c r="M16" t="str">
        <x:f>IF(K16=0,"OPEN",IF(K16=1,"PASS","FAIL"))</x:f>
        <x:v>OPEN</x:v>
      </x:c>
    </x:row>
    <x:row r="17">
      <x:c r="B17" t="str">
        <x:v>NCP-011</x:v>
      </x:c>
      <x:c r="C17" t="str">
        <x:v>A</x:v>
      </x:c>
      <x:c r="D17" t="str">
        <x:v>PTC-B</x:v>
      </x:c>
      <x:c r="E17" t="str">
        <x:v>SP-1</x:v>
      </x:c>
      <x:c r="F17" t="str">
        <x:v>native evidence</x:v>
      </x:c>
      <x:c r="G17" t="str">
        <x:v>A-B-1-11</x:v>
      </x:c>
      <x:c r="H17" t="n">
        <x:v>0</x:v>
      </x:c>
      <x:c r="I17" t="n">
        <x:v>1</x:v>
      </x:c>
      <x:c r="J17" t="n">
        <x:v>1</x:v>
      </x:c>
      <x:c r="K17" t="n">
        <x:v>0</x:v>
      </x:c>
      <x:c r="L17" t="str">
        <x:f>IF(AND(H17=0,I17=1,J17=1),"PASS","FAIL")</x:f>
        <x:v>PASS</x:v>
      </x:c>
      <x:c r="M17" t="str">
        <x:f>IF(K17=0,"OPEN",IF(K17=1,"PASS","FAIL"))</x:f>
        <x:v>OPEN</x:v>
      </x:c>
    </x:row>
    <x:row r="18">
      <x:c r="B18" t="str">
        <x:v>NCP-012</x:v>
      </x:c>
      <x:c r="C18" t="str">
        <x:v>A</x:v>
      </x:c>
      <x:c r="D18" t="str">
        <x:v>PTC-B</x:v>
      </x:c>
      <x:c r="E18" t="str">
        <x:v>SP-2</x:v>
      </x:c>
      <x:c r="F18" t="str">
        <x:v>source boundary</x:v>
      </x:c>
      <x:c r="G18" t="str">
        <x:v>A-B-2-01</x:v>
      </x:c>
      <x:c r="H18" t="n">
        <x:v>0</x:v>
      </x:c>
      <x:c r="I18" t="n">
        <x:v>1</x:v>
      </x:c>
      <x:c r="J18" t="n">
        <x:v>1</x:v>
      </x:c>
      <x:c r="K18" t="n">
        <x:v>0</x:v>
      </x:c>
      <x:c r="L18" t="str">
        <x:f>IF(AND(H18=0,I18=1,J18=1),"PASS","FAIL")</x:f>
        <x:v>PASS</x:v>
      </x:c>
      <x:c r="M18" t="str">
        <x:f>IF(K18=0,"OPEN",IF(K18=1,"PASS","FAIL"))</x:f>
        <x:v>OPEN</x:v>
      </x:c>
    </x:row>
    <x:row r="19">
      <x:c r="B19" t="str">
        <x:v>NCP-013</x:v>
      </x:c>
      <x:c r="C19" t="str">
        <x:v>A</x:v>
      </x:c>
      <x:c r="D19" t="str">
        <x:v>PTC-B</x:v>
      </x:c>
      <x:c r="E19" t="str">
        <x:v>SP-2</x:v>
      </x:c>
      <x:c r="F19" t="str">
        <x:v>primary isolation</x:v>
      </x:c>
      <x:c r="G19" t="str">
        <x:v>A-B-2-02</x:v>
      </x:c>
      <x:c r="H19" t="n">
        <x:v>0</x:v>
      </x:c>
      <x:c r="I19" t="n">
        <x:v>1</x:v>
      </x:c>
      <x:c r="J19" t="n">
        <x:v>1</x:v>
      </x:c>
      <x:c r="K19" t="n">
        <x:v>0</x:v>
      </x:c>
      <x:c r="L19" t="str">
        <x:f>IF(AND(H19=0,I19=1,J19=1),"PASS","FAIL")</x:f>
        <x:v>PASS</x:v>
      </x:c>
      <x:c r="M19" t="str">
        <x:f>IF(K19=0,"OPEN",IF(K19=1,"PASS","FAIL"))</x:f>
        <x:v>OPEN</x:v>
      </x:c>
    </x:row>
    <x:row r="20">
      <x:c r="B20" t="str">
        <x:v>NCP-014</x:v>
      </x:c>
      <x:c r="C20" t="str">
        <x:v>A</x:v>
      </x:c>
      <x:c r="D20" t="str">
        <x:v>PTC-B</x:v>
      </x:c>
      <x:c r="E20" t="str">
        <x:v>SP-2</x:v>
      </x:c>
      <x:c r="F20" t="str">
        <x:v>relief or transfer route</x:v>
      </x:c>
      <x:c r="G20" t="str">
        <x:v>A-B-2-03</x:v>
      </x:c>
      <x:c r="H20" t="n">
        <x:v>0</x:v>
      </x:c>
      <x:c r="I20" t="n">
        <x:v>1</x:v>
      </x:c>
      <x:c r="J20" t="n">
        <x:v>1</x:v>
      </x:c>
      <x:c r="K20" t="n">
        <x:v>0</x:v>
      </x:c>
      <x:c r="L20" t="str">
        <x:f>IF(AND(H20=0,I20=1,J20=1),"PASS","FAIL")</x:f>
        <x:v>PASS</x:v>
      </x:c>
      <x:c r="M20" t="str">
        <x:f>IF(K20=0,"OPEN",IF(K20=1,"PASS","FAIL"))</x:f>
        <x:v>OPEN</x:v>
      </x:c>
    </x:row>
    <x:row r="21">
      <x:c r="B21" t="str">
        <x:v>NCP-015</x:v>
      </x:c>
      <x:c r="C21" t="str">
        <x:v>A</x:v>
      </x:c>
      <x:c r="D21" t="str">
        <x:v>PTC-B</x:v>
      </x:c>
      <x:c r="E21" t="str">
        <x:v>SP-2</x:v>
      </x:c>
      <x:c r="F21" t="str">
        <x:v>drain or knockout</x:v>
      </x:c>
      <x:c r="G21" t="str">
        <x:v>A-B-2-04</x:v>
      </x:c>
      <x:c r="H21" t="n">
        <x:v>0</x:v>
      </x:c>
      <x:c r="I21" t="n">
        <x:v>1</x:v>
      </x:c>
      <x:c r="J21" t="n">
        <x:v>1</x:v>
      </x:c>
      <x:c r="K21" t="n">
        <x:v>0</x:v>
      </x:c>
      <x:c r="L21" t="str">
        <x:f>IF(AND(H21=0,I21=1,J21=1),"PASS","FAIL")</x:f>
        <x:v>PASS</x:v>
      </x:c>
      <x:c r="M21" t="str">
        <x:f>IF(K21=0,"OPEN",IF(K21=1,"PASS","FAIL"))</x:f>
        <x:v>OPEN</x:v>
      </x:c>
    </x:row>
    <x:row r="22">
      <x:c r="B22" t="str">
        <x:v>NCP-016</x:v>
      </x:c>
      <x:c r="C22" t="str">
        <x:v>A</x:v>
      </x:c>
      <x:c r="D22" t="str">
        <x:v>PTC-B</x:v>
      </x:c>
      <x:c r="E22" t="str">
        <x:v>SP-2</x:v>
      </x:c>
      <x:c r="F22" t="str">
        <x:v>receiver or sump</x:v>
      </x:c>
      <x:c r="G22" t="str">
        <x:v>A-B-2-05</x:v>
      </x:c>
      <x:c r="H22" t="n">
        <x:v>0</x:v>
      </x:c>
      <x:c r="I22" t="n">
        <x:v>1</x:v>
      </x:c>
      <x:c r="J22" t="n">
        <x:v>1</x:v>
      </x:c>
      <x:c r="K22" t="n">
        <x:v>0</x:v>
      </x:c>
      <x:c r="L22" t="str">
        <x:f>IF(AND(H22=0,I22=1,J22=1),"PASS","FAIL")</x:f>
        <x:v>PASS</x:v>
      </x:c>
      <x:c r="M22" t="str">
        <x:f>IF(K22=0,"OPEN",IF(K22=1,"PASS","FAIL"))</x:f>
        <x:v>OPEN</x:v>
      </x:c>
    </x:row>
    <x:row r="23">
      <x:c r="B23" t="str">
        <x:v>NCP-017</x:v>
      </x:c>
      <x:c r="C23" t="str">
        <x:v>A</x:v>
      </x:c>
      <x:c r="D23" t="str">
        <x:v>PTC-B</x:v>
      </x:c>
      <x:c r="E23" t="str">
        <x:v>SP-2</x:v>
      </x:c>
      <x:c r="F23" t="str">
        <x:v>gas holder or recovery</x:v>
      </x:c>
      <x:c r="G23" t="str">
        <x:v>A-B-2-06</x:v>
      </x:c>
      <x:c r="H23" t="n">
        <x:v>0</x:v>
      </x:c>
      <x:c r="I23" t="n">
        <x:v>1</x:v>
      </x:c>
      <x:c r="J23" t="n">
        <x:v>1</x:v>
      </x:c>
      <x:c r="K23" t="n">
        <x:v>0</x:v>
      </x:c>
      <x:c r="L23" t="str">
        <x:f>IF(AND(H23=0,I23=1,J23=1),"PASS","FAIL")</x:f>
        <x:v>PASS</x:v>
      </x:c>
      <x:c r="M23" t="str">
        <x:f>IF(K23=0,"OPEN",IF(K23=1,"PASS","FAIL"))</x:f>
        <x:v>OPEN</x:v>
      </x:c>
    </x:row>
    <x:row r="24">
      <x:c r="B24" t="str">
        <x:v>NCP-018</x:v>
      </x:c>
      <x:c r="C24" t="str">
        <x:v>A</x:v>
      </x:c>
      <x:c r="D24" t="str">
        <x:v>PTC-B</x:v>
      </x:c>
      <x:c r="E24" t="str">
        <x:v>SP-2</x:v>
      </x:c>
      <x:c r="F24" t="str">
        <x:v>last-resort disposition</x:v>
      </x:c>
      <x:c r="G24" t="str">
        <x:v>A-B-2-07</x:v>
      </x:c>
      <x:c r="H24" t="n">
        <x:v>0</x:v>
      </x:c>
      <x:c r="I24" t="n">
        <x:v>1</x:v>
      </x:c>
      <x:c r="J24" t="n">
        <x:v>1</x:v>
      </x:c>
      <x:c r="K24" t="n">
        <x:v>0</x:v>
      </x:c>
      <x:c r="L24" t="str">
        <x:f>IF(AND(H24=0,I24=1,J24=1),"PASS","FAIL")</x:f>
        <x:v>PASS</x:v>
      </x:c>
      <x:c r="M24" t="str">
        <x:f>IF(K24=0,"OPEN",IF(K24=1,"PASS","FAIL"))</x:f>
        <x:v>OPEN</x:v>
      </x:c>
    </x:row>
    <x:row r="25">
      <x:c r="B25" t="str">
        <x:v>NCP-019</x:v>
      </x:c>
      <x:c r="C25" t="str">
        <x:v>A</x:v>
      </x:c>
      <x:c r="D25" t="str">
        <x:v>PTC-B</x:v>
      </x:c>
      <x:c r="E25" t="str">
        <x:v>SP-2</x:v>
      </x:c>
      <x:c r="F25" t="str">
        <x:v>thermal and fragment barrier</x:v>
      </x:c>
      <x:c r="G25" t="str">
        <x:v>A-B-2-08</x:v>
      </x:c>
      <x:c r="H25" t="n">
        <x:v>0</x:v>
      </x:c>
      <x:c r="I25" t="n">
        <x:v>1</x:v>
      </x:c>
      <x:c r="J25" t="n">
        <x:v>1</x:v>
      </x:c>
      <x:c r="K25" t="n">
        <x:v>0</x:v>
      </x:c>
      <x:c r="L25" t="str">
        <x:f>IF(AND(H25=0,I25=1,J25=1),"PASS","FAIL")</x:f>
        <x:v>PASS</x:v>
      </x:c>
      <x:c r="M25" t="str">
        <x:f>IF(K25=0,"OPEN",IF(K25=1,"PASS","FAIL"))</x:f>
        <x:v>OPEN</x:v>
      </x:c>
    </x:row>
    <x:row r="26">
      <x:c r="B26" t="str">
        <x:v>NCP-020</x:v>
      </x:c>
      <x:c r="C26" t="str">
        <x:v>A</x:v>
      </x:c>
      <x:c r="D26" t="str">
        <x:v>PTC-B</x:v>
      </x:c>
      <x:c r="E26" t="str">
        <x:v>SP-2</x:v>
      </x:c>
      <x:c r="F26" t="str">
        <x:v>structural support</x:v>
      </x:c>
      <x:c r="G26" t="str">
        <x:v>A-B-2-09</x:v>
      </x:c>
      <x:c r="H26" t="n">
        <x:v>0</x:v>
      </x:c>
      <x:c r="I26" t="n">
        <x:v>1</x:v>
      </x:c>
      <x:c r="J26" t="n">
        <x:v>1</x:v>
      </x:c>
      <x:c r="K26" t="n">
        <x:v>0</x:v>
      </x:c>
      <x:c r="L26" t="str">
        <x:f>IF(AND(H26=0,I26=1,J26=1),"PASS","FAIL")</x:f>
        <x:v>PASS</x:v>
      </x:c>
      <x:c r="M26" t="str">
        <x:f>IF(K26=0,"OPEN",IF(K26=1,"PASS","FAIL"))</x:f>
        <x:v>OPEN</x:v>
      </x:c>
    </x:row>
    <x:row r="27">
      <x:c r="B27" t="str">
        <x:v>NCP-021</x:v>
      </x:c>
      <x:c r="C27" t="str">
        <x:v>A</x:v>
      </x:c>
      <x:c r="D27" t="str">
        <x:v>PTC-B</x:v>
      </x:c>
      <x:c r="E27" t="str">
        <x:v>SP-2</x:v>
      </x:c>
      <x:c r="F27" t="str">
        <x:v>safety energy and logic</x:v>
      </x:c>
      <x:c r="G27" t="str">
        <x:v>A-B-2-10</x:v>
      </x:c>
      <x:c r="H27" t="n">
        <x:v>0</x:v>
      </x:c>
      <x:c r="I27" t="n">
        <x:v>1</x:v>
      </x:c>
      <x:c r="J27" t="n">
        <x:v>1</x:v>
      </x:c>
      <x:c r="K27" t="n">
        <x:v>0</x:v>
      </x:c>
      <x:c r="L27" t="str">
        <x:f>IF(AND(H27=0,I27=1,J27=1),"PASS","FAIL")</x:f>
        <x:v>PASS</x:v>
      </x:c>
      <x:c r="M27" t="str">
        <x:f>IF(K27=0,"OPEN",IF(K27=1,"PASS","FAIL"))</x:f>
        <x:v>OPEN</x:v>
      </x:c>
    </x:row>
    <x:row r="28">
      <x:c r="B28" t="str">
        <x:v>NCP-022</x:v>
      </x:c>
      <x:c r="C28" t="str">
        <x:v>A</x:v>
      </x:c>
      <x:c r="D28" t="str">
        <x:v>PTC-B</x:v>
      </x:c>
      <x:c r="E28" t="str">
        <x:v>SP-2</x:v>
      </x:c>
      <x:c r="F28" t="str">
        <x:v>native evidence</x:v>
      </x:c>
      <x:c r="G28" t="str">
        <x:v>A-B-2-11</x:v>
      </x:c>
      <x:c r="H28" t="n">
        <x:v>0</x:v>
      </x:c>
      <x:c r="I28" t="n">
        <x:v>1</x:v>
      </x:c>
      <x:c r="J28" t="n">
        <x:v>1</x:v>
      </x:c>
      <x:c r="K28" t="n">
        <x:v>0</x:v>
      </x:c>
      <x:c r="L28" t="str">
        <x:f>IF(AND(H28=0,I28=1,J28=1),"PASS","FAIL")</x:f>
        <x:v>PASS</x:v>
      </x:c>
      <x:c r="M28" t="str">
        <x:f>IF(K28=0,"OPEN",IF(K28=1,"PASS","FAIL"))</x:f>
        <x:v>OPEN</x:v>
      </x:c>
    </x:row>
    <x:row r="29">
      <x:c r="B29" t="str">
        <x:v>NCP-023</x:v>
      </x:c>
      <x:c r="C29" t="str">
        <x:v>A</x:v>
      </x:c>
      <x:c r="D29" t="str">
        <x:v>PTC-B</x:v>
      </x:c>
      <x:c r="E29" t="str">
        <x:v>SP-3</x:v>
      </x:c>
      <x:c r="F29" t="str">
        <x:v>source boundary</x:v>
      </x:c>
      <x:c r="G29" t="str">
        <x:v>A-B-3-01</x:v>
      </x:c>
      <x:c r="H29" t="n">
        <x:v>0</x:v>
      </x:c>
      <x:c r="I29" t="n">
        <x:v>1</x:v>
      </x:c>
      <x:c r="J29" t="n">
        <x:v>1</x:v>
      </x:c>
      <x:c r="K29" t="n">
        <x:v>0</x:v>
      </x:c>
      <x:c r="L29" t="str">
        <x:f>IF(AND(H29=0,I29=1,J29=1),"PASS","FAIL")</x:f>
        <x:v>PASS</x:v>
      </x:c>
      <x:c r="M29" t="str">
        <x:f>IF(K29=0,"OPEN",IF(K29=1,"PASS","FAIL"))</x:f>
        <x:v>OPEN</x:v>
      </x:c>
    </x:row>
    <x:row r="30">
      <x:c r="B30" t="str">
        <x:v>NCP-024</x:v>
      </x:c>
      <x:c r="C30" t="str">
        <x:v>A</x:v>
      </x:c>
      <x:c r="D30" t="str">
        <x:v>PTC-B</x:v>
      </x:c>
      <x:c r="E30" t="str">
        <x:v>SP-3</x:v>
      </x:c>
      <x:c r="F30" t="str">
        <x:v>primary isolation</x:v>
      </x:c>
      <x:c r="G30" t="str">
        <x:v>A-B-3-02</x:v>
      </x:c>
      <x:c r="H30" t="n">
        <x:v>0</x:v>
      </x:c>
      <x:c r="I30" t="n">
        <x:v>1</x:v>
      </x:c>
      <x:c r="J30" t="n">
        <x:v>1</x:v>
      </x:c>
      <x:c r="K30" t="n">
        <x:v>0</x:v>
      </x:c>
      <x:c r="L30" t="str">
        <x:f>IF(AND(H30=0,I30=1,J30=1),"PASS","FAIL")</x:f>
        <x:v>PASS</x:v>
      </x:c>
      <x:c r="M30" t="str">
        <x:f>IF(K30=0,"OPEN",IF(K30=1,"PASS","FAIL"))</x:f>
        <x:v>OPEN</x:v>
      </x:c>
    </x:row>
    <x:row r="31">
      <x:c r="B31" t="str">
        <x:v>NCP-025</x:v>
      </x:c>
      <x:c r="C31" t="str">
        <x:v>A</x:v>
      </x:c>
      <x:c r="D31" t="str">
        <x:v>PTC-B</x:v>
      </x:c>
      <x:c r="E31" t="str">
        <x:v>SP-3</x:v>
      </x:c>
      <x:c r="F31" t="str">
        <x:v>relief or transfer route</x:v>
      </x:c>
      <x:c r="G31" t="str">
        <x:v>A-B-3-03</x:v>
      </x:c>
      <x:c r="H31" t="n">
        <x:v>0</x:v>
      </x:c>
      <x:c r="I31" t="n">
        <x:v>1</x:v>
      </x:c>
      <x:c r="J31" t="n">
        <x:v>1</x:v>
      </x:c>
      <x:c r="K31" t="n">
        <x:v>0</x:v>
      </x:c>
      <x:c r="L31" t="str">
        <x:f>IF(AND(H31=0,I31=1,J31=1),"PASS","FAIL")</x:f>
        <x:v>PASS</x:v>
      </x:c>
      <x:c r="M31" t="str">
        <x:f>IF(K31=0,"OPEN",IF(K31=1,"PASS","FAIL"))</x:f>
        <x:v>OPEN</x:v>
      </x:c>
    </x:row>
    <x:row r="32">
      <x:c r="B32" t="str">
        <x:v>NCP-026</x:v>
      </x:c>
      <x:c r="C32" t="str">
        <x:v>A</x:v>
      </x:c>
      <x:c r="D32" t="str">
        <x:v>PTC-B</x:v>
      </x:c>
      <x:c r="E32" t="str">
        <x:v>SP-3</x:v>
      </x:c>
      <x:c r="F32" t="str">
        <x:v>drain or knockout</x:v>
      </x:c>
      <x:c r="G32" t="str">
        <x:v>A-B-3-04</x:v>
      </x:c>
      <x:c r="H32" t="n">
        <x:v>0</x:v>
      </x:c>
      <x:c r="I32" t="n">
        <x:v>1</x:v>
      </x:c>
      <x:c r="J32" t="n">
        <x:v>1</x:v>
      </x:c>
      <x:c r="K32" t="n">
        <x:v>0</x:v>
      </x:c>
      <x:c r="L32" t="str">
        <x:f>IF(AND(H32=0,I32=1,J32=1),"PASS","FAIL")</x:f>
        <x:v>PASS</x:v>
      </x:c>
      <x:c r="M32" t="str">
        <x:f>IF(K32=0,"OPEN",IF(K32=1,"PASS","FAIL"))</x:f>
        <x:v>OPEN</x:v>
      </x:c>
    </x:row>
    <x:row r="33">
      <x:c r="B33" t="str">
        <x:v>NCP-027</x:v>
      </x:c>
      <x:c r="C33" t="str">
        <x:v>A</x:v>
      </x:c>
      <x:c r="D33" t="str">
        <x:v>PTC-B</x:v>
      </x:c>
      <x:c r="E33" t="str">
        <x:v>SP-3</x:v>
      </x:c>
      <x:c r="F33" t="str">
        <x:v>receiver or sump</x:v>
      </x:c>
      <x:c r="G33" t="str">
        <x:v>A-B-3-05</x:v>
      </x:c>
      <x:c r="H33" t="n">
        <x:v>0</x:v>
      </x:c>
      <x:c r="I33" t="n">
        <x:v>1</x:v>
      </x:c>
      <x:c r="J33" t="n">
        <x:v>1</x:v>
      </x:c>
      <x:c r="K33" t="n">
        <x:v>0</x:v>
      </x:c>
      <x:c r="L33" t="str">
        <x:f>IF(AND(H33=0,I33=1,J33=1),"PASS","FAIL")</x:f>
        <x:v>PASS</x:v>
      </x:c>
      <x:c r="M33" t="str">
        <x:f>IF(K33=0,"OPEN",IF(K33=1,"PASS","FAIL"))</x:f>
        <x:v>OPEN</x:v>
      </x:c>
    </x:row>
    <x:row r="34">
      <x:c r="B34" t="str">
        <x:v>NCP-028</x:v>
      </x:c>
      <x:c r="C34" t="str">
        <x:v>A</x:v>
      </x:c>
      <x:c r="D34" t="str">
        <x:v>PTC-B</x:v>
      </x:c>
      <x:c r="E34" t="str">
        <x:v>SP-3</x:v>
      </x:c>
      <x:c r="F34" t="str">
        <x:v>gas holder or recovery</x:v>
      </x:c>
      <x:c r="G34" t="str">
        <x:v>A-B-3-06</x:v>
      </x:c>
      <x:c r="H34" t="n">
        <x:v>0</x:v>
      </x:c>
      <x:c r="I34" t="n">
        <x:v>1</x:v>
      </x:c>
      <x:c r="J34" t="n">
        <x:v>1</x:v>
      </x:c>
      <x:c r="K34" t="n">
        <x:v>0</x:v>
      </x:c>
      <x:c r="L34" t="str">
        <x:f>IF(AND(H34=0,I34=1,J34=1),"PASS","FAIL")</x:f>
        <x:v>PASS</x:v>
      </x:c>
      <x:c r="M34" t="str">
        <x:f>IF(K34=0,"OPEN",IF(K34=1,"PASS","FAIL"))</x:f>
        <x:v>OPEN</x:v>
      </x:c>
    </x:row>
    <x:row r="35">
      <x:c r="B35" t="str">
        <x:v>NCP-029</x:v>
      </x:c>
      <x:c r="C35" t="str">
        <x:v>A</x:v>
      </x:c>
      <x:c r="D35" t="str">
        <x:v>PTC-B</x:v>
      </x:c>
      <x:c r="E35" t="str">
        <x:v>SP-3</x:v>
      </x:c>
      <x:c r="F35" t="str">
        <x:v>last-resort disposition</x:v>
      </x:c>
      <x:c r="G35" t="str">
        <x:v>A-B-3-07</x:v>
      </x:c>
      <x:c r="H35" t="n">
        <x:v>0</x:v>
      </x:c>
      <x:c r="I35" t="n">
        <x:v>1</x:v>
      </x:c>
      <x:c r="J35" t="n">
        <x:v>1</x:v>
      </x:c>
      <x:c r="K35" t="n">
        <x:v>0</x:v>
      </x:c>
      <x:c r="L35" t="str">
        <x:f>IF(AND(H35=0,I35=1,J35=1),"PASS","FAIL")</x:f>
        <x:v>PASS</x:v>
      </x:c>
      <x:c r="M35" t="str">
        <x:f>IF(K35=0,"OPEN",IF(K35=1,"PASS","FAIL"))</x:f>
        <x:v>OPEN</x:v>
      </x:c>
    </x:row>
    <x:row r="36">
      <x:c r="B36" t="str">
        <x:v>NCP-030</x:v>
      </x:c>
      <x:c r="C36" t="str">
        <x:v>A</x:v>
      </x:c>
      <x:c r="D36" t="str">
        <x:v>PTC-B</x:v>
      </x:c>
      <x:c r="E36" t="str">
        <x:v>SP-3</x:v>
      </x:c>
      <x:c r="F36" t="str">
        <x:v>thermal and fragment barrier</x:v>
      </x:c>
      <x:c r="G36" t="str">
        <x:v>A-B-3-08</x:v>
      </x:c>
      <x:c r="H36" t="n">
        <x:v>0</x:v>
      </x:c>
      <x:c r="I36" t="n">
        <x:v>1</x:v>
      </x:c>
      <x:c r="J36" t="n">
        <x:v>1</x:v>
      </x:c>
      <x:c r="K36" t="n">
        <x:v>0</x:v>
      </x:c>
      <x:c r="L36" t="str">
        <x:f>IF(AND(H36=0,I36=1,J36=1),"PASS","FAIL")</x:f>
        <x:v>PASS</x:v>
      </x:c>
      <x:c r="M36" t="str">
        <x:f>IF(K36=0,"OPEN",IF(K36=1,"PASS","FAIL"))</x:f>
        <x:v>OPEN</x:v>
      </x:c>
    </x:row>
    <x:row r="37">
      <x:c r="B37" t="str">
        <x:v>NCP-031</x:v>
      </x:c>
      <x:c r="C37" t="str">
        <x:v>A</x:v>
      </x:c>
      <x:c r="D37" t="str">
        <x:v>PTC-B</x:v>
      </x:c>
      <x:c r="E37" t="str">
        <x:v>SP-3</x:v>
      </x:c>
      <x:c r="F37" t="str">
        <x:v>structural support</x:v>
      </x:c>
      <x:c r="G37" t="str">
        <x:v>A-B-3-09</x:v>
      </x:c>
      <x:c r="H37" t="n">
        <x:v>0</x:v>
      </x:c>
      <x:c r="I37" t="n">
        <x:v>1</x:v>
      </x:c>
      <x:c r="J37" t="n">
        <x:v>1</x:v>
      </x:c>
      <x:c r="K37" t="n">
        <x:v>0</x:v>
      </x:c>
      <x:c r="L37" t="str">
        <x:f>IF(AND(H37=0,I37=1,J37=1),"PASS","FAIL")</x:f>
        <x:v>PASS</x:v>
      </x:c>
      <x:c r="M37" t="str">
        <x:f>IF(K37=0,"OPEN",IF(K37=1,"PASS","FAIL"))</x:f>
        <x:v>OPEN</x:v>
      </x:c>
    </x:row>
    <x:row r="38">
      <x:c r="B38" t="str">
        <x:v>NCP-032</x:v>
      </x:c>
      <x:c r="C38" t="str">
        <x:v>A</x:v>
      </x:c>
      <x:c r="D38" t="str">
        <x:v>PTC-B</x:v>
      </x:c>
      <x:c r="E38" t="str">
        <x:v>SP-3</x:v>
      </x:c>
      <x:c r="F38" t="str">
        <x:v>safety energy and logic</x:v>
      </x:c>
      <x:c r="G38" t="str">
        <x:v>A-B-3-10</x:v>
      </x:c>
      <x:c r="H38" t="n">
        <x:v>0</x:v>
      </x:c>
      <x:c r="I38" t="n">
        <x:v>1</x:v>
      </x:c>
      <x:c r="J38" t="n">
        <x:v>1</x:v>
      </x:c>
      <x:c r="K38" t="n">
        <x:v>0</x:v>
      </x:c>
      <x:c r="L38" t="str">
        <x:f>IF(AND(H38=0,I38=1,J38=1),"PASS","FAIL")</x:f>
        <x:v>PASS</x:v>
      </x:c>
      <x:c r="M38" t="str">
        <x:f>IF(K38=0,"OPEN",IF(K38=1,"PASS","FAIL"))</x:f>
        <x:v>OPEN</x:v>
      </x:c>
    </x:row>
    <x:row r="39">
      <x:c r="B39" t="str">
        <x:v>NCP-033</x:v>
      </x:c>
      <x:c r="C39" t="str">
        <x:v>A</x:v>
      </x:c>
      <x:c r="D39" t="str">
        <x:v>PTC-B</x:v>
      </x:c>
      <x:c r="E39" t="str">
        <x:v>SP-3</x:v>
      </x:c>
      <x:c r="F39" t="str">
        <x:v>native evidence</x:v>
      </x:c>
      <x:c r="G39" t="str">
        <x:v>A-B-3-11</x:v>
      </x:c>
      <x:c r="H39" t="n">
        <x:v>0</x:v>
      </x:c>
      <x:c r="I39" t="n">
        <x:v>1</x:v>
      </x:c>
      <x:c r="J39" t="n">
        <x:v>1</x:v>
      </x:c>
      <x:c r="K39" t="n">
        <x:v>0</x:v>
      </x:c>
      <x:c r="L39" t="str">
        <x:f>IF(AND(H39=0,I39=1,J39=1),"PASS","FAIL")</x:f>
        <x:v>PASS</x:v>
      </x:c>
      <x:c r="M39" t="str">
        <x:f>IF(K39=0,"OPEN",IF(K39=1,"PASS","FAIL"))</x:f>
        <x:v>OPEN</x:v>
      </x:c>
    </x:row>
    <x:row r="40">
      <x:c r="B40" t="str">
        <x:v>NCP-034</x:v>
      </x:c>
      <x:c r="C40" t="str">
        <x:v>A</x:v>
      </x:c>
      <x:c r="D40" t="str">
        <x:v>PTC-B</x:v>
      </x:c>
      <x:c r="E40" t="str">
        <x:v>SP-4</x:v>
      </x:c>
      <x:c r="F40" t="str">
        <x:v>source boundary</x:v>
      </x:c>
      <x:c r="G40" t="str">
        <x:v>A-B-4-01</x:v>
      </x:c>
      <x:c r="H40" t="n">
        <x:v>0</x:v>
      </x:c>
      <x:c r="I40" t="n">
        <x:v>1</x:v>
      </x:c>
      <x:c r="J40" t="n">
        <x:v>1</x:v>
      </x:c>
      <x:c r="K40" t="n">
        <x:v>0</x:v>
      </x:c>
      <x:c r="L40" t="str">
        <x:f>IF(AND(H40=0,I40=1,J40=1),"PASS","FAIL")</x:f>
        <x:v>PASS</x:v>
      </x:c>
      <x:c r="M40" t="str">
        <x:f>IF(K40=0,"OPEN",IF(K40=1,"PASS","FAIL"))</x:f>
        <x:v>OPEN</x:v>
      </x:c>
    </x:row>
    <x:row r="41">
      <x:c r="B41" t="str">
        <x:v>NCP-035</x:v>
      </x:c>
      <x:c r="C41" t="str">
        <x:v>A</x:v>
      </x:c>
      <x:c r="D41" t="str">
        <x:v>PTC-B</x:v>
      </x:c>
      <x:c r="E41" t="str">
        <x:v>SP-4</x:v>
      </x:c>
      <x:c r="F41" t="str">
        <x:v>primary isolation</x:v>
      </x:c>
      <x:c r="G41" t="str">
        <x:v>A-B-4-02</x:v>
      </x:c>
      <x:c r="H41" t="n">
        <x:v>0</x:v>
      </x:c>
      <x:c r="I41" t="n">
        <x:v>1</x:v>
      </x:c>
      <x:c r="J41" t="n">
        <x:v>1</x:v>
      </x:c>
      <x:c r="K41" t="n">
        <x:v>0</x:v>
      </x:c>
      <x:c r="L41" t="str">
        <x:f>IF(AND(H41=0,I41=1,J41=1),"PASS","FAIL")</x:f>
        <x:v>PASS</x:v>
      </x:c>
      <x:c r="M41" t="str">
        <x:f>IF(K41=0,"OPEN",IF(K41=1,"PASS","FAIL"))</x:f>
        <x:v>OPEN</x:v>
      </x:c>
    </x:row>
    <x:row r="42">
      <x:c r="B42" t="str">
        <x:v>NCP-036</x:v>
      </x:c>
      <x:c r="C42" t="str">
        <x:v>A</x:v>
      </x:c>
      <x:c r="D42" t="str">
        <x:v>PTC-B</x:v>
      </x:c>
      <x:c r="E42" t="str">
        <x:v>SP-4</x:v>
      </x:c>
      <x:c r="F42" t="str">
        <x:v>relief or transfer route</x:v>
      </x:c>
      <x:c r="G42" t="str">
        <x:v>A-B-4-03</x:v>
      </x:c>
      <x:c r="H42" t="n">
        <x:v>0</x:v>
      </x:c>
      <x:c r="I42" t="n">
        <x:v>1</x:v>
      </x:c>
      <x:c r="J42" t="n">
        <x:v>1</x:v>
      </x:c>
      <x:c r="K42" t="n">
        <x:v>0</x:v>
      </x:c>
      <x:c r="L42" t="str">
        <x:f>IF(AND(H42=0,I42=1,J42=1),"PASS","FAIL")</x:f>
        <x:v>PASS</x:v>
      </x:c>
      <x:c r="M42" t="str">
        <x:f>IF(K42=0,"OPEN",IF(K42=1,"PASS","FAIL"))</x:f>
        <x:v>OPEN</x:v>
      </x:c>
    </x:row>
    <x:row r="43">
      <x:c r="B43" t="str">
        <x:v>NCP-037</x:v>
      </x:c>
      <x:c r="C43" t="str">
        <x:v>A</x:v>
      </x:c>
      <x:c r="D43" t="str">
        <x:v>PTC-B</x:v>
      </x:c>
      <x:c r="E43" t="str">
        <x:v>SP-4</x:v>
      </x:c>
      <x:c r="F43" t="str">
        <x:v>drain or knockout</x:v>
      </x:c>
      <x:c r="G43" t="str">
        <x:v>A-B-4-04</x:v>
      </x:c>
      <x:c r="H43" t="n">
        <x:v>0</x:v>
      </x:c>
      <x:c r="I43" t="n">
        <x:v>1</x:v>
      </x:c>
      <x:c r="J43" t="n">
        <x:v>1</x:v>
      </x:c>
      <x:c r="K43" t="n">
        <x:v>0</x:v>
      </x:c>
      <x:c r="L43" t="str">
        <x:f>IF(AND(H43=0,I43=1,J43=1),"PASS","FAIL")</x:f>
        <x:v>PASS</x:v>
      </x:c>
      <x:c r="M43" t="str">
        <x:f>IF(K43=0,"OPEN",IF(K43=1,"PASS","FAIL"))</x:f>
        <x:v>OPEN</x:v>
      </x:c>
    </x:row>
    <x:row r="44">
      <x:c r="B44" t="str">
        <x:v>NCP-038</x:v>
      </x:c>
      <x:c r="C44" t="str">
        <x:v>A</x:v>
      </x:c>
      <x:c r="D44" t="str">
        <x:v>PTC-B</x:v>
      </x:c>
      <x:c r="E44" t="str">
        <x:v>SP-4</x:v>
      </x:c>
      <x:c r="F44" t="str">
        <x:v>receiver or sump</x:v>
      </x:c>
      <x:c r="G44" t="str">
        <x:v>A-B-4-05</x:v>
      </x:c>
      <x:c r="H44" t="n">
        <x:v>0</x:v>
      </x:c>
      <x:c r="I44" t="n">
        <x:v>1</x:v>
      </x:c>
      <x:c r="J44" t="n">
        <x:v>1</x:v>
      </x:c>
      <x:c r="K44" t="n">
        <x:v>0</x:v>
      </x:c>
      <x:c r="L44" t="str">
        <x:f>IF(AND(H44=0,I44=1,J44=1),"PASS","FAIL")</x:f>
        <x:v>PASS</x:v>
      </x:c>
      <x:c r="M44" t="str">
        <x:f>IF(K44=0,"OPEN",IF(K44=1,"PASS","FAIL"))</x:f>
        <x:v>OPEN</x:v>
      </x:c>
    </x:row>
    <x:row r="45">
      <x:c r="B45" t="str">
        <x:v>NCP-039</x:v>
      </x:c>
      <x:c r="C45" t="str">
        <x:v>A</x:v>
      </x:c>
      <x:c r="D45" t="str">
        <x:v>PTC-B</x:v>
      </x:c>
      <x:c r="E45" t="str">
        <x:v>SP-4</x:v>
      </x:c>
      <x:c r="F45" t="str">
        <x:v>gas holder or recovery</x:v>
      </x:c>
      <x:c r="G45" t="str">
        <x:v>A-B-4-06</x:v>
      </x:c>
      <x:c r="H45" t="n">
        <x:v>0</x:v>
      </x:c>
      <x:c r="I45" t="n">
        <x:v>1</x:v>
      </x:c>
      <x:c r="J45" t="n">
        <x:v>1</x:v>
      </x:c>
      <x:c r="K45" t="n">
        <x:v>0</x:v>
      </x:c>
      <x:c r="L45" t="str">
        <x:f>IF(AND(H45=0,I45=1,J45=1),"PASS","FAIL")</x:f>
        <x:v>PASS</x:v>
      </x:c>
      <x:c r="M45" t="str">
        <x:f>IF(K45=0,"OPEN",IF(K45=1,"PASS","FAIL"))</x:f>
        <x:v>OPEN</x:v>
      </x:c>
    </x:row>
    <x:row r="46">
      <x:c r="B46" t="str">
        <x:v>NCP-040</x:v>
      </x:c>
      <x:c r="C46" t="str">
        <x:v>A</x:v>
      </x:c>
      <x:c r="D46" t="str">
        <x:v>PTC-B</x:v>
      </x:c>
      <x:c r="E46" t="str">
        <x:v>SP-4</x:v>
      </x:c>
      <x:c r="F46" t="str">
        <x:v>last-resort disposition</x:v>
      </x:c>
      <x:c r="G46" t="str">
        <x:v>A-B-4-07</x:v>
      </x:c>
      <x:c r="H46" t="n">
        <x:v>0</x:v>
      </x:c>
      <x:c r="I46" t="n">
        <x:v>1</x:v>
      </x:c>
      <x:c r="J46" t="n">
        <x:v>1</x:v>
      </x:c>
      <x:c r="K46" t="n">
        <x:v>0</x:v>
      </x:c>
      <x:c r="L46" t="str">
        <x:f>IF(AND(H46=0,I46=1,J46=1),"PASS","FAIL")</x:f>
        <x:v>PASS</x:v>
      </x:c>
      <x:c r="M46" t="str">
        <x:f>IF(K46=0,"OPEN",IF(K46=1,"PASS","FAIL"))</x:f>
        <x:v>OPEN</x:v>
      </x:c>
    </x:row>
    <x:row r="47">
      <x:c r="B47" t="str">
        <x:v>NCP-041</x:v>
      </x:c>
      <x:c r="C47" t="str">
        <x:v>A</x:v>
      </x:c>
      <x:c r="D47" t="str">
        <x:v>PTC-B</x:v>
      </x:c>
      <x:c r="E47" t="str">
        <x:v>SP-4</x:v>
      </x:c>
      <x:c r="F47" t="str">
        <x:v>thermal and fragment barrier</x:v>
      </x:c>
      <x:c r="G47" t="str">
        <x:v>A-B-4-08</x:v>
      </x:c>
      <x:c r="H47" t="n">
        <x:v>0</x:v>
      </x:c>
      <x:c r="I47" t="n">
        <x:v>1</x:v>
      </x:c>
      <x:c r="J47" t="n">
        <x:v>1</x:v>
      </x:c>
      <x:c r="K47" t="n">
        <x:v>0</x:v>
      </x:c>
      <x:c r="L47" t="str">
        <x:f>IF(AND(H47=0,I47=1,J47=1),"PASS","FAIL")</x:f>
        <x:v>PASS</x:v>
      </x:c>
      <x:c r="M47" t="str">
        <x:f>IF(K47=0,"OPEN",IF(K47=1,"PASS","FAIL"))</x:f>
        <x:v>OPEN</x:v>
      </x:c>
    </x:row>
    <x:row r="48">
      <x:c r="B48" t="str">
        <x:v>NCP-042</x:v>
      </x:c>
      <x:c r="C48" t="str">
        <x:v>A</x:v>
      </x:c>
      <x:c r="D48" t="str">
        <x:v>PTC-B</x:v>
      </x:c>
      <x:c r="E48" t="str">
        <x:v>SP-4</x:v>
      </x:c>
      <x:c r="F48" t="str">
        <x:v>structural support</x:v>
      </x:c>
      <x:c r="G48" t="str">
        <x:v>A-B-4-09</x:v>
      </x:c>
      <x:c r="H48" t="n">
        <x:v>0</x:v>
      </x:c>
      <x:c r="I48" t="n">
        <x:v>1</x:v>
      </x:c>
      <x:c r="J48" t="n">
        <x:v>1</x:v>
      </x:c>
      <x:c r="K48" t="n">
        <x:v>0</x:v>
      </x:c>
      <x:c r="L48" t="str">
        <x:f>IF(AND(H48=0,I48=1,J48=1),"PASS","FAIL")</x:f>
        <x:v>PASS</x:v>
      </x:c>
      <x:c r="M48" t="str">
        <x:f>IF(K48=0,"OPEN",IF(K48=1,"PASS","FAIL"))</x:f>
        <x:v>OPEN</x:v>
      </x:c>
    </x:row>
    <x:row r="49">
      <x:c r="B49" t="str">
        <x:v>NCP-043</x:v>
      </x:c>
      <x:c r="C49" t="str">
        <x:v>A</x:v>
      </x:c>
      <x:c r="D49" t="str">
        <x:v>PTC-B</x:v>
      </x:c>
      <x:c r="E49" t="str">
        <x:v>SP-4</x:v>
      </x:c>
      <x:c r="F49" t="str">
        <x:v>safety energy and logic</x:v>
      </x:c>
      <x:c r="G49" t="str">
        <x:v>A-B-4-10</x:v>
      </x:c>
      <x:c r="H49" t="n">
        <x:v>0</x:v>
      </x:c>
      <x:c r="I49" t="n">
        <x:v>1</x:v>
      </x:c>
      <x:c r="J49" t="n">
        <x:v>1</x:v>
      </x:c>
      <x:c r="K49" t="n">
        <x:v>0</x:v>
      </x:c>
      <x:c r="L49" t="str">
        <x:f>IF(AND(H49=0,I49=1,J49=1),"PASS","FAIL")</x:f>
        <x:v>PASS</x:v>
      </x:c>
      <x:c r="M49" t="str">
        <x:f>IF(K49=0,"OPEN",IF(K49=1,"PASS","FAIL"))</x:f>
        <x:v>OPEN</x:v>
      </x:c>
    </x:row>
    <x:row r="50">
      <x:c r="B50" t="str">
        <x:v>NCP-044</x:v>
      </x:c>
      <x:c r="C50" t="str">
        <x:v>A</x:v>
      </x:c>
      <x:c r="D50" t="str">
        <x:v>PTC-B</x:v>
      </x:c>
      <x:c r="E50" t="str">
        <x:v>SP-4</x:v>
      </x:c>
      <x:c r="F50" t="str">
        <x:v>native evidence</x:v>
      </x:c>
      <x:c r="G50" t="str">
        <x:v>A-B-4-11</x:v>
      </x:c>
      <x:c r="H50" t="n">
        <x:v>0</x:v>
      </x:c>
      <x:c r="I50" t="n">
        <x:v>1</x:v>
      </x:c>
      <x:c r="J50" t="n">
        <x:v>1</x:v>
      </x:c>
      <x:c r="K50" t="n">
        <x:v>0</x:v>
      </x:c>
      <x:c r="L50" t="str">
        <x:f>IF(AND(H50=0,I50=1,J50=1),"PASS","FAIL")</x:f>
        <x:v>PASS</x:v>
      </x:c>
      <x:c r="M50" t="str">
        <x:f>IF(K50=0,"OPEN",IF(K50=1,"PASS","FAIL"))</x:f>
        <x:v>OPEN</x:v>
      </x:c>
    </x:row>
    <x:row r="51">
      <x:c r="B51" t="str">
        <x:v>NCP-045</x:v>
      </x:c>
      <x:c r="C51" t="str">
        <x:v>A</x:v>
      </x:c>
      <x:c r="D51" t="str">
        <x:v>PTC-C</x:v>
      </x:c>
      <x:c r="E51" t="str">
        <x:v>SP-1</x:v>
      </x:c>
      <x:c r="F51" t="str">
        <x:v>source boundary</x:v>
      </x:c>
      <x:c r="G51" t="str">
        <x:v>A-C-1-01</x:v>
      </x:c>
      <x:c r="H51" t="n">
        <x:v>0</x:v>
      </x:c>
      <x:c r="I51" t="n">
        <x:v>1</x:v>
      </x:c>
      <x:c r="J51" t="n">
        <x:v>1</x:v>
      </x:c>
      <x:c r="K51" t="n">
        <x:v>0</x:v>
      </x:c>
      <x:c r="L51" t="str">
        <x:f>IF(AND(H51=0,I51=1,J51=1),"PASS","FAIL")</x:f>
        <x:v>PASS</x:v>
      </x:c>
      <x:c r="M51" t="str">
        <x:f>IF(K51=0,"OPEN",IF(K51=1,"PASS","FAIL"))</x:f>
        <x:v>OPEN</x:v>
      </x:c>
    </x:row>
    <x:row r="52">
      <x:c r="B52" t="str">
        <x:v>NCP-046</x:v>
      </x:c>
      <x:c r="C52" t="str">
        <x:v>A</x:v>
      </x:c>
      <x:c r="D52" t="str">
        <x:v>PTC-C</x:v>
      </x:c>
      <x:c r="E52" t="str">
        <x:v>SP-1</x:v>
      </x:c>
      <x:c r="F52" t="str">
        <x:v>primary isolation</x:v>
      </x:c>
      <x:c r="G52" t="str">
        <x:v>A-C-1-02</x:v>
      </x:c>
      <x:c r="H52" t="n">
        <x:v>0</x:v>
      </x:c>
      <x:c r="I52" t="n">
        <x:v>1</x:v>
      </x:c>
      <x:c r="J52" t="n">
        <x:v>1</x:v>
      </x:c>
      <x:c r="K52" t="n">
        <x:v>0</x:v>
      </x:c>
      <x:c r="L52" t="str">
        <x:f>IF(AND(H52=0,I52=1,J52=1),"PASS","FAIL")</x:f>
        <x:v>PASS</x:v>
      </x:c>
      <x:c r="M52" t="str">
        <x:f>IF(K52=0,"OPEN",IF(K52=1,"PASS","FAIL"))</x:f>
        <x:v>OPEN</x:v>
      </x:c>
    </x:row>
    <x:row r="53">
      <x:c r="B53" t="str">
        <x:v>NCP-047</x:v>
      </x:c>
      <x:c r="C53" t="str">
        <x:v>A</x:v>
      </x:c>
      <x:c r="D53" t="str">
        <x:v>PTC-C</x:v>
      </x:c>
      <x:c r="E53" t="str">
        <x:v>SP-1</x:v>
      </x:c>
      <x:c r="F53" t="str">
        <x:v>relief or transfer route</x:v>
      </x:c>
      <x:c r="G53" t="str">
        <x:v>A-C-1-03</x:v>
      </x:c>
      <x:c r="H53" t="n">
        <x:v>0</x:v>
      </x:c>
      <x:c r="I53" t="n">
        <x:v>1</x:v>
      </x:c>
      <x:c r="J53" t="n">
        <x:v>1</x:v>
      </x:c>
      <x:c r="K53" t="n">
        <x:v>0</x:v>
      </x:c>
      <x:c r="L53" t="str">
        <x:f>IF(AND(H53=0,I53=1,J53=1),"PASS","FAIL")</x:f>
        <x:v>PASS</x:v>
      </x:c>
      <x:c r="M53" t="str">
        <x:f>IF(K53=0,"OPEN",IF(K53=1,"PASS","FAIL"))</x:f>
        <x:v>OPEN</x:v>
      </x:c>
    </x:row>
    <x:row r="54">
      <x:c r="B54" t="str">
        <x:v>NCP-048</x:v>
      </x:c>
      <x:c r="C54" t="str">
        <x:v>A</x:v>
      </x:c>
      <x:c r="D54" t="str">
        <x:v>PTC-C</x:v>
      </x:c>
      <x:c r="E54" t="str">
        <x:v>SP-1</x:v>
      </x:c>
      <x:c r="F54" t="str">
        <x:v>drain or knockout</x:v>
      </x:c>
      <x:c r="G54" t="str">
        <x:v>A-C-1-04</x:v>
      </x:c>
      <x:c r="H54" t="n">
        <x:v>0</x:v>
      </x:c>
      <x:c r="I54" t="n">
        <x:v>1</x:v>
      </x:c>
      <x:c r="J54" t="n">
        <x:v>1</x:v>
      </x:c>
      <x:c r="K54" t="n">
        <x:v>0</x:v>
      </x:c>
      <x:c r="L54" t="str">
        <x:f>IF(AND(H54=0,I54=1,J54=1),"PASS","FAIL")</x:f>
        <x:v>PASS</x:v>
      </x:c>
      <x:c r="M54" t="str">
        <x:f>IF(K54=0,"OPEN",IF(K54=1,"PASS","FAIL"))</x:f>
        <x:v>OPEN</x:v>
      </x:c>
    </x:row>
    <x:row r="55">
      <x:c r="B55" t="str">
        <x:v>NCP-049</x:v>
      </x:c>
      <x:c r="C55" t="str">
        <x:v>A</x:v>
      </x:c>
      <x:c r="D55" t="str">
        <x:v>PTC-C</x:v>
      </x:c>
      <x:c r="E55" t="str">
        <x:v>SP-1</x:v>
      </x:c>
      <x:c r="F55" t="str">
        <x:v>receiver or sump</x:v>
      </x:c>
      <x:c r="G55" t="str">
        <x:v>A-C-1-05</x:v>
      </x:c>
      <x:c r="H55" t="n">
        <x:v>0</x:v>
      </x:c>
      <x:c r="I55" t="n">
        <x:v>1</x:v>
      </x:c>
      <x:c r="J55" t="n">
        <x:v>1</x:v>
      </x:c>
      <x:c r="K55" t="n">
        <x:v>0</x:v>
      </x:c>
      <x:c r="L55" t="str">
        <x:f>IF(AND(H55=0,I55=1,J55=1),"PASS","FAIL")</x:f>
        <x:v>PASS</x:v>
      </x:c>
      <x:c r="M55" t="str">
        <x:f>IF(K55=0,"OPEN",IF(K55=1,"PASS","FAIL"))</x:f>
        <x:v>OPEN</x:v>
      </x:c>
    </x:row>
    <x:row r="56">
      <x:c r="B56" t="str">
        <x:v>NCP-050</x:v>
      </x:c>
      <x:c r="C56" t="str">
        <x:v>A</x:v>
      </x:c>
      <x:c r="D56" t="str">
        <x:v>PTC-C</x:v>
      </x:c>
      <x:c r="E56" t="str">
        <x:v>SP-1</x:v>
      </x:c>
      <x:c r="F56" t="str">
        <x:v>gas holder or recovery</x:v>
      </x:c>
      <x:c r="G56" t="str">
        <x:v>A-C-1-06</x:v>
      </x:c>
      <x:c r="H56" t="n">
        <x:v>0</x:v>
      </x:c>
      <x:c r="I56" t="n">
        <x:v>1</x:v>
      </x:c>
      <x:c r="J56" t="n">
        <x:v>1</x:v>
      </x:c>
      <x:c r="K56" t="n">
        <x:v>0</x:v>
      </x:c>
      <x:c r="L56" t="str">
        <x:f>IF(AND(H56=0,I56=1,J56=1),"PASS","FAIL")</x:f>
        <x:v>PASS</x:v>
      </x:c>
      <x:c r="M56" t="str">
        <x:f>IF(K56=0,"OPEN",IF(K56=1,"PASS","FAIL"))</x:f>
        <x:v>OPEN</x:v>
      </x:c>
    </x:row>
    <x:row r="57">
      <x:c r="B57" t="str">
        <x:v>NCP-051</x:v>
      </x:c>
      <x:c r="C57" t="str">
        <x:v>A</x:v>
      </x:c>
      <x:c r="D57" t="str">
        <x:v>PTC-C</x:v>
      </x:c>
      <x:c r="E57" t="str">
        <x:v>SP-1</x:v>
      </x:c>
      <x:c r="F57" t="str">
        <x:v>last-resort disposition</x:v>
      </x:c>
      <x:c r="G57" t="str">
        <x:v>A-C-1-07</x:v>
      </x:c>
      <x:c r="H57" t="n">
        <x:v>0</x:v>
      </x:c>
      <x:c r="I57" t="n">
        <x:v>1</x:v>
      </x:c>
      <x:c r="J57" t="n">
        <x:v>1</x:v>
      </x:c>
      <x:c r="K57" t="n">
        <x:v>0</x:v>
      </x:c>
      <x:c r="L57" t="str">
        <x:f>IF(AND(H57=0,I57=1,J57=1),"PASS","FAIL")</x:f>
        <x:v>PASS</x:v>
      </x:c>
      <x:c r="M57" t="str">
        <x:f>IF(K57=0,"OPEN",IF(K57=1,"PASS","FAIL"))</x:f>
        <x:v>OPEN</x:v>
      </x:c>
    </x:row>
    <x:row r="58">
      <x:c r="B58" t="str">
        <x:v>NCP-052</x:v>
      </x:c>
      <x:c r="C58" t="str">
        <x:v>A</x:v>
      </x:c>
      <x:c r="D58" t="str">
        <x:v>PTC-C</x:v>
      </x:c>
      <x:c r="E58" t="str">
        <x:v>SP-1</x:v>
      </x:c>
      <x:c r="F58" t="str">
        <x:v>thermal and fragment barrier</x:v>
      </x:c>
      <x:c r="G58" t="str">
        <x:v>A-C-1-08</x:v>
      </x:c>
      <x:c r="H58" t="n">
        <x:v>0</x:v>
      </x:c>
      <x:c r="I58" t="n">
        <x:v>1</x:v>
      </x:c>
      <x:c r="J58" t="n">
        <x:v>1</x:v>
      </x:c>
      <x:c r="K58" t="n">
        <x:v>0</x:v>
      </x:c>
      <x:c r="L58" t="str">
        <x:f>IF(AND(H58=0,I58=1,J58=1),"PASS","FAIL")</x:f>
        <x:v>PASS</x:v>
      </x:c>
      <x:c r="M58" t="str">
        <x:f>IF(K58=0,"OPEN",IF(K58=1,"PASS","FAIL"))</x:f>
        <x:v>OPEN</x:v>
      </x:c>
    </x:row>
    <x:row r="59">
      <x:c r="B59" t="str">
        <x:v>NCP-053</x:v>
      </x:c>
      <x:c r="C59" t="str">
        <x:v>A</x:v>
      </x:c>
      <x:c r="D59" t="str">
        <x:v>PTC-C</x:v>
      </x:c>
      <x:c r="E59" t="str">
        <x:v>SP-1</x:v>
      </x:c>
      <x:c r="F59" t="str">
        <x:v>structural support</x:v>
      </x:c>
      <x:c r="G59" t="str">
        <x:v>A-C-1-09</x:v>
      </x:c>
      <x:c r="H59" t="n">
        <x:v>0</x:v>
      </x:c>
      <x:c r="I59" t="n">
        <x:v>1</x:v>
      </x:c>
      <x:c r="J59" t="n">
        <x:v>1</x:v>
      </x:c>
      <x:c r="K59" t="n">
        <x:v>0</x:v>
      </x:c>
      <x:c r="L59" t="str">
        <x:f>IF(AND(H59=0,I59=1,J59=1),"PASS","FAIL")</x:f>
        <x:v>PASS</x:v>
      </x:c>
      <x:c r="M59" t="str">
        <x:f>IF(K59=0,"OPEN",IF(K59=1,"PASS","FAIL"))</x:f>
        <x:v>OPEN</x:v>
      </x:c>
    </x:row>
    <x:row r="60">
      <x:c r="B60" t="str">
        <x:v>NCP-054</x:v>
      </x:c>
      <x:c r="C60" t="str">
        <x:v>A</x:v>
      </x:c>
      <x:c r="D60" t="str">
        <x:v>PTC-C</x:v>
      </x:c>
      <x:c r="E60" t="str">
        <x:v>SP-1</x:v>
      </x:c>
      <x:c r="F60" t="str">
        <x:v>safety energy and logic</x:v>
      </x:c>
      <x:c r="G60" t="str">
        <x:v>A-C-1-10</x:v>
      </x:c>
      <x:c r="H60" t="n">
        <x:v>0</x:v>
      </x:c>
      <x:c r="I60" t="n">
        <x:v>1</x:v>
      </x:c>
      <x:c r="J60" t="n">
        <x:v>1</x:v>
      </x:c>
      <x:c r="K60" t="n">
        <x:v>0</x:v>
      </x:c>
      <x:c r="L60" t="str">
        <x:f>IF(AND(H60=0,I60=1,J60=1),"PASS","FAIL")</x:f>
        <x:v>PASS</x:v>
      </x:c>
      <x:c r="M60" t="str">
        <x:f>IF(K60=0,"OPEN",IF(K60=1,"PASS","FAIL"))</x:f>
        <x:v>OPEN</x:v>
      </x:c>
    </x:row>
    <x:row r="61">
      <x:c r="B61" t="str">
        <x:v>NCP-055</x:v>
      </x:c>
      <x:c r="C61" t="str">
        <x:v>A</x:v>
      </x:c>
      <x:c r="D61" t="str">
        <x:v>PTC-C</x:v>
      </x:c>
      <x:c r="E61" t="str">
        <x:v>SP-1</x:v>
      </x:c>
      <x:c r="F61" t="str">
        <x:v>native evidence</x:v>
      </x:c>
      <x:c r="G61" t="str">
        <x:v>A-C-1-11</x:v>
      </x:c>
      <x:c r="H61" t="n">
        <x:v>0</x:v>
      </x:c>
      <x:c r="I61" t="n">
        <x:v>1</x:v>
      </x:c>
      <x:c r="J61" t="n">
        <x:v>1</x:v>
      </x:c>
      <x:c r="K61" t="n">
        <x:v>0</x:v>
      </x:c>
      <x:c r="L61" t="str">
        <x:f>IF(AND(H61=0,I61=1,J61=1),"PASS","FAIL")</x:f>
        <x:v>PASS</x:v>
      </x:c>
      <x:c r="M61" t="str">
        <x:f>IF(K61=0,"OPEN",IF(K61=1,"PASS","FAIL"))</x:f>
        <x:v>OPEN</x:v>
      </x:c>
    </x:row>
    <x:row r="62">
      <x:c r="B62" t="str">
        <x:v>NCP-056</x:v>
      </x:c>
      <x:c r="C62" t="str">
        <x:v>A</x:v>
      </x:c>
      <x:c r="D62" t="str">
        <x:v>PTC-C</x:v>
      </x:c>
      <x:c r="E62" t="str">
        <x:v>SP-2</x:v>
      </x:c>
      <x:c r="F62" t="str">
        <x:v>source boundary</x:v>
      </x:c>
      <x:c r="G62" t="str">
        <x:v>A-C-2-01</x:v>
      </x:c>
      <x:c r="H62" t="n">
        <x:v>0</x:v>
      </x:c>
      <x:c r="I62" t="n">
        <x:v>1</x:v>
      </x:c>
      <x:c r="J62" t="n">
        <x:v>1</x:v>
      </x:c>
      <x:c r="K62" t="n">
        <x:v>0</x:v>
      </x:c>
      <x:c r="L62" t="str">
        <x:f>IF(AND(H62=0,I62=1,J62=1),"PASS","FAIL")</x:f>
        <x:v>PASS</x:v>
      </x:c>
      <x:c r="M62" t="str">
        <x:f>IF(K62=0,"OPEN",IF(K62=1,"PASS","FAIL"))</x:f>
        <x:v>OPEN</x:v>
      </x:c>
    </x:row>
    <x:row r="63">
      <x:c r="B63" t="str">
        <x:v>NCP-057</x:v>
      </x:c>
      <x:c r="C63" t="str">
        <x:v>A</x:v>
      </x:c>
      <x:c r="D63" t="str">
        <x:v>PTC-C</x:v>
      </x:c>
      <x:c r="E63" t="str">
        <x:v>SP-2</x:v>
      </x:c>
      <x:c r="F63" t="str">
        <x:v>primary isolation</x:v>
      </x:c>
      <x:c r="G63" t="str">
        <x:v>A-C-2-02</x:v>
      </x:c>
      <x:c r="H63" t="n">
        <x:v>0</x:v>
      </x:c>
      <x:c r="I63" t="n">
        <x:v>1</x:v>
      </x:c>
      <x:c r="J63" t="n">
        <x:v>1</x:v>
      </x:c>
      <x:c r="K63" t="n">
        <x:v>0</x:v>
      </x:c>
      <x:c r="L63" t="str">
        <x:f>IF(AND(H63=0,I63=1,J63=1),"PASS","FAIL")</x:f>
        <x:v>PASS</x:v>
      </x:c>
      <x:c r="M63" t="str">
        <x:f>IF(K63=0,"OPEN",IF(K63=1,"PASS","FAIL"))</x:f>
        <x:v>OPEN</x:v>
      </x:c>
    </x:row>
    <x:row r="64">
      <x:c r="B64" t="str">
        <x:v>NCP-058</x:v>
      </x:c>
      <x:c r="C64" t="str">
        <x:v>A</x:v>
      </x:c>
      <x:c r="D64" t="str">
        <x:v>PTC-C</x:v>
      </x:c>
      <x:c r="E64" t="str">
        <x:v>SP-2</x:v>
      </x:c>
      <x:c r="F64" t="str">
        <x:v>relief or transfer route</x:v>
      </x:c>
      <x:c r="G64" t="str">
        <x:v>A-C-2-03</x:v>
      </x:c>
      <x:c r="H64" t="n">
        <x:v>0</x:v>
      </x:c>
      <x:c r="I64" t="n">
        <x:v>1</x:v>
      </x:c>
      <x:c r="J64" t="n">
        <x:v>1</x:v>
      </x:c>
      <x:c r="K64" t="n">
        <x:v>0</x:v>
      </x:c>
      <x:c r="L64" t="str">
        <x:f>IF(AND(H64=0,I64=1,J64=1),"PASS","FAIL")</x:f>
        <x:v>PASS</x:v>
      </x:c>
      <x:c r="M64" t="str">
        <x:f>IF(K64=0,"OPEN",IF(K64=1,"PASS","FAIL"))</x:f>
        <x:v>OPEN</x:v>
      </x:c>
    </x:row>
    <x:row r="65">
      <x:c r="B65" t="str">
        <x:v>NCP-059</x:v>
      </x:c>
      <x:c r="C65" t="str">
        <x:v>A</x:v>
      </x:c>
      <x:c r="D65" t="str">
        <x:v>PTC-C</x:v>
      </x:c>
      <x:c r="E65" t="str">
        <x:v>SP-2</x:v>
      </x:c>
      <x:c r="F65" t="str">
        <x:v>drain or knockout</x:v>
      </x:c>
      <x:c r="G65" t="str">
        <x:v>A-C-2-04</x:v>
      </x:c>
      <x:c r="H65" t="n">
        <x:v>0</x:v>
      </x:c>
      <x:c r="I65" t="n">
        <x:v>1</x:v>
      </x:c>
      <x:c r="J65" t="n">
        <x:v>1</x:v>
      </x:c>
      <x:c r="K65" t="n">
        <x:v>0</x:v>
      </x:c>
      <x:c r="L65" t="str">
        <x:f>IF(AND(H65=0,I65=1,J65=1),"PASS","FAIL")</x:f>
        <x:v>PASS</x:v>
      </x:c>
      <x:c r="M65" t="str">
        <x:f>IF(K65=0,"OPEN",IF(K65=1,"PASS","FAIL"))</x:f>
        <x:v>OPEN</x:v>
      </x:c>
    </x:row>
    <x:row r="66">
      <x:c r="B66" t="str">
        <x:v>NCP-060</x:v>
      </x:c>
      <x:c r="C66" t="str">
        <x:v>A</x:v>
      </x:c>
      <x:c r="D66" t="str">
        <x:v>PTC-C</x:v>
      </x:c>
      <x:c r="E66" t="str">
        <x:v>SP-2</x:v>
      </x:c>
      <x:c r="F66" t="str">
        <x:v>receiver or sump</x:v>
      </x:c>
      <x:c r="G66" t="str">
        <x:v>A-C-2-05</x:v>
      </x:c>
      <x:c r="H66" t="n">
        <x:v>0</x:v>
      </x:c>
      <x:c r="I66" t="n">
        <x:v>1</x:v>
      </x:c>
      <x:c r="J66" t="n">
        <x:v>1</x:v>
      </x:c>
      <x:c r="K66" t="n">
        <x:v>0</x:v>
      </x:c>
      <x:c r="L66" t="str">
        <x:f>IF(AND(H66=0,I66=1,J66=1),"PASS","FAIL")</x:f>
        <x:v>PASS</x:v>
      </x:c>
      <x:c r="M66" t="str">
        <x:f>IF(K66=0,"OPEN",IF(K66=1,"PASS","FAIL"))</x:f>
        <x:v>OPEN</x:v>
      </x:c>
    </x:row>
    <x:row r="67">
      <x:c r="B67" t="str">
        <x:v>NCP-061</x:v>
      </x:c>
      <x:c r="C67" t="str">
        <x:v>A</x:v>
      </x:c>
      <x:c r="D67" t="str">
        <x:v>PTC-C</x:v>
      </x:c>
      <x:c r="E67" t="str">
        <x:v>SP-2</x:v>
      </x:c>
      <x:c r="F67" t="str">
        <x:v>gas holder or recovery</x:v>
      </x:c>
      <x:c r="G67" t="str">
        <x:v>A-C-2-06</x:v>
      </x:c>
      <x:c r="H67" t="n">
        <x:v>0</x:v>
      </x:c>
      <x:c r="I67" t="n">
        <x:v>1</x:v>
      </x:c>
      <x:c r="J67" t="n">
        <x:v>1</x:v>
      </x:c>
      <x:c r="K67" t="n">
        <x:v>0</x:v>
      </x:c>
      <x:c r="L67" t="str">
        <x:f>IF(AND(H67=0,I67=1,J67=1),"PASS","FAIL")</x:f>
        <x:v>PASS</x:v>
      </x:c>
      <x:c r="M67" t="str">
        <x:f>IF(K67=0,"OPEN",IF(K67=1,"PASS","FAIL"))</x:f>
        <x:v>OPEN</x:v>
      </x:c>
    </x:row>
    <x:row r="68">
      <x:c r="B68" t="str">
        <x:v>NCP-062</x:v>
      </x:c>
      <x:c r="C68" t="str">
        <x:v>A</x:v>
      </x:c>
      <x:c r="D68" t="str">
        <x:v>PTC-C</x:v>
      </x:c>
      <x:c r="E68" t="str">
        <x:v>SP-2</x:v>
      </x:c>
      <x:c r="F68" t="str">
        <x:v>last-resort disposition</x:v>
      </x:c>
      <x:c r="G68" t="str">
        <x:v>A-C-2-07</x:v>
      </x:c>
      <x:c r="H68" t="n">
        <x:v>0</x:v>
      </x:c>
      <x:c r="I68" t="n">
        <x:v>1</x:v>
      </x:c>
      <x:c r="J68" t="n">
        <x:v>1</x:v>
      </x:c>
      <x:c r="K68" t="n">
        <x:v>0</x:v>
      </x:c>
      <x:c r="L68" t="str">
        <x:f>IF(AND(H68=0,I68=1,J68=1),"PASS","FAIL")</x:f>
        <x:v>PASS</x:v>
      </x:c>
      <x:c r="M68" t="str">
        <x:f>IF(K68=0,"OPEN",IF(K68=1,"PASS","FAIL"))</x:f>
        <x:v>OPEN</x:v>
      </x:c>
    </x:row>
    <x:row r="69">
      <x:c r="B69" t="str">
        <x:v>NCP-063</x:v>
      </x:c>
      <x:c r="C69" t="str">
        <x:v>A</x:v>
      </x:c>
      <x:c r="D69" t="str">
        <x:v>PTC-C</x:v>
      </x:c>
      <x:c r="E69" t="str">
        <x:v>SP-2</x:v>
      </x:c>
      <x:c r="F69" t="str">
        <x:v>thermal and fragment barrier</x:v>
      </x:c>
      <x:c r="G69" t="str">
        <x:v>A-C-2-08</x:v>
      </x:c>
      <x:c r="H69" t="n">
        <x:v>0</x:v>
      </x:c>
      <x:c r="I69" t="n">
        <x:v>1</x:v>
      </x:c>
      <x:c r="J69" t="n">
        <x:v>1</x:v>
      </x:c>
      <x:c r="K69" t="n">
        <x:v>0</x:v>
      </x:c>
      <x:c r="L69" t="str">
        <x:f>IF(AND(H69=0,I69=1,J69=1),"PASS","FAIL")</x:f>
        <x:v>PASS</x:v>
      </x:c>
      <x:c r="M69" t="str">
        <x:f>IF(K69=0,"OPEN",IF(K69=1,"PASS","FAIL"))</x:f>
        <x:v>OPEN</x:v>
      </x:c>
    </x:row>
    <x:row r="70">
      <x:c r="B70" t="str">
        <x:v>NCP-064</x:v>
      </x:c>
      <x:c r="C70" t="str">
        <x:v>A</x:v>
      </x:c>
      <x:c r="D70" t="str">
        <x:v>PTC-C</x:v>
      </x:c>
      <x:c r="E70" t="str">
        <x:v>SP-2</x:v>
      </x:c>
      <x:c r="F70" t="str">
        <x:v>structural support</x:v>
      </x:c>
      <x:c r="G70" t="str">
        <x:v>A-C-2-09</x:v>
      </x:c>
      <x:c r="H70" t="n">
        <x:v>0</x:v>
      </x:c>
      <x:c r="I70" t="n">
        <x:v>1</x:v>
      </x:c>
      <x:c r="J70" t="n">
        <x:v>1</x:v>
      </x:c>
      <x:c r="K70" t="n">
        <x:v>0</x:v>
      </x:c>
      <x:c r="L70" t="str">
        <x:f>IF(AND(H70=0,I70=1,J70=1),"PASS","FAIL")</x:f>
        <x:v>PASS</x:v>
      </x:c>
      <x:c r="M70" t="str">
        <x:f>IF(K70=0,"OPEN",IF(K70=1,"PASS","FAIL"))</x:f>
        <x:v>OPEN</x:v>
      </x:c>
    </x:row>
    <x:row r="71">
      <x:c r="B71" t="str">
        <x:v>NCP-065</x:v>
      </x:c>
      <x:c r="C71" t="str">
        <x:v>A</x:v>
      </x:c>
      <x:c r="D71" t="str">
        <x:v>PTC-C</x:v>
      </x:c>
      <x:c r="E71" t="str">
        <x:v>SP-2</x:v>
      </x:c>
      <x:c r="F71" t="str">
        <x:v>safety energy and logic</x:v>
      </x:c>
      <x:c r="G71" t="str">
        <x:v>A-C-2-10</x:v>
      </x:c>
      <x:c r="H71" t="n">
        <x:v>0</x:v>
      </x:c>
      <x:c r="I71" t="n">
        <x:v>1</x:v>
      </x:c>
      <x:c r="J71" t="n">
        <x:v>1</x:v>
      </x:c>
      <x:c r="K71" t="n">
        <x:v>0</x:v>
      </x:c>
      <x:c r="L71" t="str">
        <x:f>IF(AND(H71=0,I71=1,J71=1),"PASS","FAIL")</x:f>
        <x:v>PASS</x:v>
      </x:c>
      <x:c r="M71" t="str">
        <x:f>IF(K71=0,"OPEN",IF(K71=1,"PASS","FAIL"))</x:f>
        <x:v>OPEN</x:v>
      </x:c>
    </x:row>
    <x:row r="72">
      <x:c r="B72" t="str">
        <x:v>NCP-066</x:v>
      </x:c>
      <x:c r="C72" t="str">
        <x:v>A</x:v>
      </x:c>
      <x:c r="D72" t="str">
        <x:v>PTC-C</x:v>
      </x:c>
      <x:c r="E72" t="str">
        <x:v>SP-2</x:v>
      </x:c>
      <x:c r="F72" t="str">
        <x:v>native evidence</x:v>
      </x:c>
      <x:c r="G72" t="str">
        <x:v>A-C-2-11</x:v>
      </x:c>
      <x:c r="H72" t="n">
        <x:v>0</x:v>
      </x:c>
      <x:c r="I72" t="n">
        <x:v>1</x:v>
      </x:c>
      <x:c r="J72" t="n">
        <x:v>1</x:v>
      </x:c>
      <x:c r="K72" t="n">
        <x:v>0</x:v>
      </x:c>
      <x:c r="L72" t="str">
        <x:f>IF(AND(H72=0,I72=1,J72=1),"PASS","FAIL")</x:f>
        <x:v>PASS</x:v>
      </x:c>
      <x:c r="M72" t="str">
        <x:f>IF(K72=0,"OPEN",IF(K72=1,"PASS","FAIL"))</x:f>
        <x:v>OPEN</x:v>
      </x:c>
    </x:row>
    <x:row r="73">
      <x:c r="B73" t="str">
        <x:v>NCP-067</x:v>
      </x:c>
      <x:c r="C73" t="str">
        <x:v>A</x:v>
      </x:c>
      <x:c r="D73" t="str">
        <x:v>PTC-C</x:v>
      </x:c>
      <x:c r="E73" t="str">
        <x:v>SP-3</x:v>
      </x:c>
      <x:c r="F73" t="str">
        <x:v>source boundary</x:v>
      </x:c>
      <x:c r="G73" t="str">
        <x:v>A-C-3-01</x:v>
      </x:c>
      <x:c r="H73" t="n">
        <x:v>0</x:v>
      </x:c>
      <x:c r="I73" t="n">
        <x:v>1</x:v>
      </x:c>
      <x:c r="J73" t="n">
        <x:v>1</x:v>
      </x:c>
      <x:c r="K73" t="n">
        <x:v>0</x:v>
      </x:c>
      <x:c r="L73" t="str">
        <x:f>IF(AND(H73=0,I73=1,J73=1),"PASS","FAIL")</x:f>
        <x:v>PASS</x:v>
      </x:c>
      <x:c r="M73" t="str">
        <x:f>IF(K73=0,"OPEN",IF(K73=1,"PASS","FAIL"))</x:f>
        <x:v>OPEN</x:v>
      </x:c>
    </x:row>
    <x:row r="74">
      <x:c r="B74" t="str">
        <x:v>NCP-068</x:v>
      </x:c>
      <x:c r="C74" t="str">
        <x:v>A</x:v>
      </x:c>
      <x:c r="D74" t="str">
        <x:v>PTC-C</x:v>
      </x:c>
      <x:c r="E74" t="str">
        <x:v>SP-3</x:v>
      </x:c>
      <x:c r="F74" t="str">
        <x:v>primary isolation</x:v>
      </x:c>
      <x:c r="G74" t="str">
        <x:v>A-C-3-02</x:v>
      </x:c>
      <x:c r="H74" t="n">
        <x:v>0</x:v>
      </x:c>
      <x:c r="I74" t="n">
        <x:v>1</x:v>
      </x:c>
      <x:c r="J74" t="n">
        <x:v>1</x:v>
      </x:c>
      <x:c r="K74" t="n">
        <x:v>0</x:v>
      </x:c>
      <x:c r="L74" t="str">
        <x:f>IF(AND(H74=0,I74=1,J74=1),"PASS","FAIL")</x:f>
        <x:v>PASS</x:v>
      </x:c>
      <x:c r="M74" t="str">
        <x:f>IF(K74=0,"OPEN",IF(K74=1,"PASS","FAIL"))</x:f>
        <x:v>OPEN</x:v>
      </x:c>
    </x:row>
    <x:row r="75">
      <x:c r="B75" t="str">
        <x:v>NCP-069</x:v>
      </x:c>
      <x:c r="C75" t="str">
        <x:v>A</x:v>
      </x:c>
      <x:c r="D75" t="str">
        <x:v>PTC-C</x:v>
      </x:c>
      <x:c r="E75" t="str">
        <x:v>SP-3</x:v>
      </x:c>
      <x:c r="F75" t="str">
        <x:v>relief or transfer route</x:v>
      </x:c>
      <x:c r="G75" t="str">
        <x:v>A-C-3-03</x:v>
      </x:c>
      <x:c r="H75" t="n">
        <x:v>0</x:v>
      </x:c>
      <x:c r="I75" t="n">
        <x:v>1</x:v>
      </x:c>
      <x:c r="J75" t="n">
        <x:v>1</x:v>
      </x:c>
      <x:c r="K75" t="n">
        <x:v>0</x:v>
      </x:c>
      <x:c r="L75" t="str">
        <x:f>IF(AND(H75=0,I75=1,J75=1),"PASS","FAIL")</x:f>
        <x:v>PASS</x:v>
      </x:c>
      <x:c r="M75" t="str">
        <x:f>IF(K75=0,"OPEN",IF(K75=1,"PASS","FAIL"))</x:f>
        <x:v>OPEN</x:v>
      </x:c>
    </x:row>
    <x:row r="76">
      <x:c r="B76" t="str">
        <x:v>NCP-070</x:v>
      </x:c>
      <x:c r="C76" t="str">
        <x:v>A</x:v>
      </x:c>
      <x:c r="D76" t="str">
        <x:v>PTC-C</x:v>
      </x:c>
      <x:c r="E76" t="str">
        <x:v>SP-3</x:v>
      </x:c>
      <x:c r="F76" t="str">
        <x:v>drain or knockout</x:v>
      </x:c>
      <x:c r="G76" t="str">
        <x:v>A-C-3-04</x:v>
      </x:c>
      <x:c r="H76" t="n">
        <x:v>0</x:v>
      </x:c>
      <x:c r="I76" t="n">
        <x:v>1</x:v>
      </x:c>
      <x:c r="J76" t="n">
        <x:v>1</x:v>
      </x:c>
      <x:c r="K76" t="n">
        <x:v>0</x:v>
      </x:c>
      <x:c r="L76" t="str">
        <x:f>IF(AND(H76=0,I76=1,J76=1),"PASS","FAIL")</x:f>
        <x:v>PASS</x:v>
      </x:c>
      <x:c r="M76" t="str">
        <x:f>IF(K76=0,"OPEN",IF(K76=1,"PASS","FAIL"))</x:f>
        <x:v>OPEN</x:v>
      </x:c>
    </x:row>
    <x:row r="77">
      <x:c r="B77" t="str">
        <x:v>NCP-071</x:v>
      </x:c>
      <x:c r="C77" t="str">
        <x:v>A</x:v>
      </x:c>
      <x:c r="D77" t="str">
        <x:v>PTC-C</x:v>
      </x:c>
      <x:c r="E77" t="str">
        <x:v>SP-3</x:v>
      </x:c>
      <x:c r="F77" t="str">
        <x:v>receiver or sump</x:v>
      </x:c>
      <x:c r="G77" t="str">
        <x:v>A-C-3-05</x:v>
      </x:c>
      <x:c r="H77" t="n">
        <x:v>0</x:v>
      </x:c>
      <x:c r="I77" t="n">
        <x:v>1</x:v>
      </x:c>
      <x:c r="J77" t="n">
        <x:v>1</x:v>
      </x:c>
      <x:c r="K77" t="n">
        <x:v>0</x:v>
      </x:c>
      <x:c r="L77" t="str">
        <x:f>IF(AND(H77=0,I77=1,J77=1),"PASS","FAIL")</x:f>
        <x:v>PASS</x:v>
      </x:c>
      <x:c r="M77" t="str">
        <x:f>IF(K77=0,"OPEN",IF(K77=1,"PASS","FAIL"))</x:f>
        <x:v>OPEN</x:v>
      </x:c>
    </x:row>
    <x:row r="78">
      <x:c r="B78" t="str">
        <x:v>NCP-072</x:v>
      </x:c>
      <x:c r="C78" t="str">
        <x:v>A</x:v>
      </x:c>
      <x:c r="D78" t="str">
        <x:v>PTC-C</x:v>
      </x:c>
      <x:c r="E78" t="str">
        <x:v>SP-3</x:v>
      </x:c>
      <x:c r="F78" t="str">
        <x:v>gas holder or recovery</x:v>
      </x:c>
      <x:c r="G78" t="str">
        <x:v>A-C-3-06</x:v>
      </x:c>
      <x:c r="H78" t="n">
        <x:v>0</x:v>
      </x:c>
      <x:c r="I78" t="n">
        <x:v>1</x:v>
      </x:c>
      <x:c r="J78" t="n">
        <x:v>1</x:v>
      </x:c>
      <x:c r="K78" t="n">
        <x:v>0</x:v>
      </x:c>
      <x:c r="L78" t="str">
        <x:f>IF(AND(H78=0,I78=1,J78=1),"PASS","FAIL")</x:f>
        <x:v>PASS</x:v>
      </x:c>
      <x:c r="M78" t="str">
        <x:f>IF(K78=0,"OPEN",IF(K78=1,"PASS","FAIL"))</x:f>
        <x:v>OPEN</x:v>
      </x:c>
    </x:row>
    <x:row r="79">
      <x:c r="B79" t="str">
        <x:v>NCP-073</x:v>
      </x:c>
      <x:c r="C79" t="str">
        <x:v>A</x:v>
      </x:c>
      <x:c r="D79" t="str">
        <x:v>PTC-C</x:v>
      </x:c>
      <x:c r="E79" t="str">
        <x:v>SP-3</x:v>
      </x:c>
      <x:c r="F79" t="str">
        <x:v>last-resort disposition</x:v>
      </x:c>
      <x:c r="G79" t="str">
        <x:v>A-C-3-07</x:v>
      </x:c>
      <x:c r="H79" t="n">
        <x:v>0</x:v>
      </x:c>
      <x:c r="I79" t="n">
        <x:v>1</x:v>
      </x:c>
      <x:c r="J79" t="n">
        <x:v>1</x:v>
      </x:c>
      <x:c r="K79" t="n">
        <x:v>0</x:v>
      </x:c>
      <x:c r="L79" t="str">
        <x:f>IF(AND(H79=0,I79=1,J79=1),"PASS","FAIL")</x:f>
        <x:v>PASS</x:v>
      </x:c>
      <x:c r="M79" t="str">
        <x:f>IF(K79=0,"OPEN",IF(K79=1,"PASS","FAIL"))</x:f>
        <x:v>OPEN</x:v>
      </x:c>
    </x:row>
    <x:row r="80">
      <x:c r="B80" t="str">
        <x:v>NCP-074</x:v>
      </x:c>
      <x:c r="C80" t="str">
        <x:v>A</x:v>
      </x:c>
      <x:c r="D80" t="str">
        <x:v>PTC-C</x:v>
      </x:c>
      <x:c r="E80" t="str">
        <x:v>SP-3</x:v>
      </x:c>
      <x:c r="F80" t="str">
        <x:v>thermal and fragment barrier</x:v>
      </x:c>
      <x:c r="G80" t="str">
        <x:v>A-C-3-08</x:v>
      </x:c>
      <x:c r="H80" t="n">
        <x:v>0</x:v>
      </x:c>
      <x:c r="I80" t="n">
        <x:v>1</x:v>
      </x:c>
      <x:c r="J80" t="n">
        <x:v>1</x:v>
      </x:c>
      <x:c r="K80" t="n">
        <x:v>0</x:v>
      </x:c>
      <x:c r="L80" t="str">
        <x:f>IF(AND(H80=0,I80=1,J80=1),"PASS","FAIL")</x:f>
        <x:v>PASS</x:v>
      </x:c>
      <x:c r="M80" t="str">
        <x:f>IF(K80=0,"OPEN",IF(K80=1,"PASS","FAIL"))</x:f>
        <x:v>OPEN</x:v>
      </x:c>
    </x:row>
    <x:row r="81">
      <x:c r="B81" t="str">
        <x:v>NCP-075</x:v>
      </x:c>
      <x:c r="C81" t="str">
        <x:v>A</x:v>
      </x:c>
      <x:c r="D81" t="str">
        <x:v>PTC-C</x:v>
      </x:c>
      <x:c r="E81" t="str">
        <x:v>SP-3</x:v>
      </x:c>
      <x:c r="F81" t="str">
        <x:v>structural support</x:v>
      </x:c>
      <x:c r="G81" t="str">
        <x:v>A-C-3-09</x:v>
      </x:c>
      <x:c r="H81" t="n">
        <x:v>0</x:v>
      </x:c>
      <x:c r="I81" t="n">
        <x:v>1</x:v>
      </x:c>
      <x:c r="J81" t="n">
        <x:v>1</x:v>
      </x:c>
      <x:c r="K81" t="n">
        <x:v>0</x:v>
      </x:c>
      <x:c r="L81" t="str">
        <x:f>IF(AND(H81=0,I81=1,J81=1),"PASS","FAIL")</x:f>
        <x:v>PASS</x:v>
      </x:c>
      <x:c r="M81" t="str">
        <x:f>IF(K81=0,"OPEN",IF(K81=1,"PASS","FAIL"))</x:f>
        <x:v>OPEN</x:v>
      </x:c>
    </x:row>
    <x:row r="82">
      <x:c r="B82" t="str">
        <x:v>NCP-076</x:v>
      </x:c>
      <x:c r="C82" t="str">
        <x:v>A</x:v>
      </x:c>
      <x:c r="D82" t="str">
        <x:v>PTC-C</x:v>
      </x:c>
      <x:c r="E82" t="str">
        <x:v>SP-3</x:v>
      </x:c>
      <x:c r="F82" t="str">
        <x:v>safety energy and logic</x:v>
      </x:c>
      <x:c r="G82" t="str">
        <x:v>A-C-3-10</x:v>
      </x:c>
      <x:c r="H82" t="n">
        <x:v>0</x:v>
      </x:c>
      <x:c r="I82" t="n">
        <x:v>1</x:v>
      </x:c>
      <x:c r="J82" t="n">
        <x:v>1</x:v>
      </x:c>
      <x:c r="K82" t="n">
        <x:v>0</x:v>
      </x:c>
      <x:c r="L82" t="str">
        <x:f>IF(AND(H82=0,I82=1,J82=1),"PASS","FAIL")</x:f>
        <x:v>PASS</x:v>
      </x:c>
      <x:c r="M82" t="str">
        <x:f>IF(K82=0,"OPEN",IF(K82=1,"PASS","FAIL"))</x:f>
        <x:v>OPEN</x:v>
      </x:c>
    </x:row>
    <x:row r="83">
      <x:c r="B83" t="str">
        <x:v>NCP-077</x:v>
      </x:c>
      <x:c r="C83" t="str">
        <x:v>A</x:v>
      </x:c>
      <x:c r="D83" t="str">
        <x:v>PTC-C</x:v>
      </x:c>
      <x:c r="E83" t="str">
        <x:v>SP-3</x:v>
      </x:c>
      <x:c r="F83" t="str">
        <x:v>native evidence</x:v>
      </x:c>
      <x:c r="G83" t="str">
        <x:v>A-C-3-11</x:v>
      </x:c>
      <x:c r="H83" t="n">
        <x:v>0</x:v>
      </x:c>
      <x:c r="I83" t="n">
        <x:v>1</x:v>
      </x:c>
      <x:c r="J83" t="n">
        <x:v>1</x:v>
      </x:c>
      <x:c r="K83" t="n">
        <x:v>0</x:v>
      </x:c>
      <x:c r="L83" t="str">
        <x:f>IF(AND(H83=0,I83=1,J83=1),"PASS","FAIL")</x:f>
        <x:v>PASS</x:v>
      </x:c>
      <x:c r="M83" t="str">
        <x:f>IF(K83=0,"OPEN",IF(K83=1,"PASS","FAIL"))</x:f>
        <x:v>OPEN</x:v>
      </x:c>
    </x:row>
    <x:row r="84">
      <x:c r="B84" t="str">
        <x:v>NCP-078</x:v>
      </x:c>
      <x:c r="C84" t="str">
        <x:v>A</x:v>
      </x:c>
      <x:c r="D84" t="str">
        <x:v>PTC-C</x:v>
      </x:c>
      <x:c r="E84" t="str">
        <x:v>SP-4</x:v>
      </x:c>
      <x:c r="F84" t="str">
        <x:v>source boundary</x:v>
      </x:c>
      <x:c r="G84" t="str">
        <x:v>A-C-4-01</x:v>
      </x:c>
      <x:c r="H84" t="n">
        <x:v>0</x:v>
      </x:c>
      <x:c r="I84" t="n">
        <x:v>1</x:v>
      </x:c>
      <x:c r="J84" t="n">
        <x:v>1</x:v>
      </x:c>
      <x:c r="K84" t="n">
        <x:v>0</x:v>
      </x:c>
      <x:c r="L84" t="str">
        <x:f>IF(AND(H84=0,I84=1,J84=1),"PASS","FAIL")</x:f>
        <x:v>PASS</x:v>
      </x:c>
      <x:c r="M84" t="str">
        <x:f>IF(K84=0,"OPEN",IF(K84=1,"PASS","FAIL"))</x:f>
        <x:v>OPEN</x:v>
      </x:c>
    </x:row>
    <x:row r="85">
      <x:c r="B85" t="str">
        <x:v>NCP-079</x:v>
      </x:c>
      <x:c r="C85" t="str">
        <x:v>A</x:v>
      </x:c>
      <x:c r="D85" t="str">
        <x:v>PTC-C</x:v>
      </x:c>
      <x:c r="E85" t="str">
        <x:v>SP-4</x:v>
      </x:c>
      <x:c r="F85" t="str">
        <x:v>primary isolation</x:v>
      </x:c>
      <x:c r="G85" t="str">
        <x:v>A-C-4-02</x:v>
      </x:c>
      <x:c r="H85" t="n">
        <x:v>0</x:v>
      </x:c>
      <x:c r="I85" t="n">
        <x:v>1</x:v>
      </x:c>
      <x:c r="J85" t="n">
        <x:v>1</x:v>
      </x:c>
      <x:c r="K85" t="n">
        <x:v>0</x:v>
      </x:c>
      <x:c r="L85" t="str">
        <x:f>IF(AND(H85=0,I85=1,J85=1),"PASS","FAIL")</x:f>
        <x:v>PASS</x:v>
      </x:c>
      <x:c r="M85" t="str">
        <x:f>IF(K85=0,"OPEN",IF(K85=1,"PASS","FAIL"))</x:f>
        <x:v>OPEN</x:v>
      </x:c>
    </x:row>
    <x:row r="86">
      <x:c r="B86" t="str">
        <x:v>NCP-080</x:v>
      </x:c>
      <x:c r="C86" t="str">
        <x:v>A</x:v>
      </x:c>
      <x:c r="D86" t="str">
        <x:v>PTC-C</x:v>
      </x:c>
      <x:c r="E86" t="str">
        <x:v>SP-4</x:v>
      </x:c>
      <x:c r="F86" t="str">
        <x:v>relief or transfer route</x:v>
      </x:c>
      <x:c r="G86" t="str">
        <x:v>A-C-4-03</x:v>
      </x:c>
      <x:c r="H86" t="n">
        <x:v>0</x:v>
      </x:c>
      <x:c r="I86" t="n">
        <x:v>1</x:v>
      </x:c>
      <x:c r="J86" t="n">
        <x:v>1</x:v>
      </x:c>
      <x:c r="K86" t="n">
        <x:v>0</x:v>
      </x:c>
      <x:c r="L86" t="str">
        <x:f>IF(AND(H86=0,I86=1,J86=1),"PASS","FAIL")</x:f>
        <x:v>PASS</x:v>
      </x:c>
      <x:c r="M86" t="str">
        <x:f>IF(K86=0,"OPEN",IF(K86=1,"PASS","FAIL"))</x:f>
        <x:v>OPEN</x:v>
      </x:c>
    </x:row>
    <x:row r="87">
      <x:c r="B87" t="str">
        <x:v>NCP-081</x:v>
      </x:c>
      <x:c r="C87" t="str">
        <x:v>A</x:v>
      </x:c>
      <x:c r="D87" t="str">
        <x:v>PTC-C</x:v>
      </x:c>
      <x:c r="E87" t="str">
        <x:v>SP-4</x:v>
      </x:c>
      <x:c r="F87" t="str">
        <x:v>drain or knockout</x:v>
      </x:c>
      <x:c r="G87" t="str">
        <x:v>A-C-4-04</x:v>
      </x:c>
      <x:c r="H87" t="n">
        <x:v>0</x:v>
      </x:c>
      <x:c r="I87" t="n">
        <x:v>1</x:v>
      </x:c>
      <x:c r="J87" t="n">
        <x:v>1</x:v>
      </x:c>
      <x:c r="K87" t="n">
        <x:v>0</x:v>
      </x:c>
      <x:c r="L87" t="str">
        <x:f>IF(AND(H87=0,I87=1,J87=1),"PASS","FAIL")</x:f>
        <x:v>PASS</x:v>
      </x:c>
      <x:c r="M87" t="str">
        <x:f>IF(K87=0,"OPEN",IF(K87=1,"PASS","FAIL"))</x:f>
        <x:v>OPEN</x:v>
      </x:c>
    </x:row>
    <x:row r="88">
      <x:c r="B88" t="str">
        <x:v>NCP-082</x:v>
      </x:c>
      <x:c r="C88" t="str">
        <x:v>A</x:v>
      </x:c>
      <x:c r="D88" t="str">
        <x:v>PTC-C</x:v>
      </x:c>
      <x:c r="E88" t="str">
        <x:v>SP-4</x:v>
      </x:c>
      <x:c r="F88" t="str">
        <x:v>receiver or sump</x:v>
      </x:c>
      <x:c r="G88" t="str">
        <x:v>A-C-4-05</x:v>
      </x:c>
      <x:c r="H88" t="n">
        <x:v>0</x:v>
      </x:c>
      <x:c r="I88" t="n">
        <x:v>1</x:v>
      </x:c>
      <x:c r="J88" t="n">
        <x:v>1</x:v>
      </x:c>
      <x:c r="K88" t="n">
        <x:v>0</x:v>
      </x:c>
      <x:c r="L88" t="str">
        <x:f>IF(AND(H88=0,I88=1,J88=1),"PASS","FAIL")</x:f>
        <x:v>PASS</x:v>
      </x:c>
      <x:c r="M88" t="str">
        <x:f>IF(K88=0,"OPEN",IF(K88=1,"PASS","FAIL"))</x:f>
        <x:v>OPEN</x:v>
      </x:c>
    </x:row>
    <x:row r="89">
      <x:c r="B89" t="str">
        <x:v>NCP-083</x:v>
      </x:c>
      <x:c r="C89" t="str">
        <x:v>A</x:v>
      </x:c>
      <x:c r="D89" t="str">
        <x:v>PTC-C</x:v>
      </x:c>
      <x:c r="E89" t="str">
        <x:v>SP-4</x:v>
      </x:c>
      <x:c r="F89" t="str">
        <x:v>gas holder or recovery</x:v>
      </x:c>
      <x:c r="G89" t="str">
        <x:v>A-C-4-06</x:v>
      </x:c>
      <x:c r="H89" t="n">
        <x:v>0</x:v>
      </x:c>
      <x:c r="I89" t="n">
        <x:v>1</x:v>
      </x:c>
      <x:c r="J89" t="n">
        <x:v>1</x:v>
      </x:c>
      <x:c r="K89" t="n">
        <x:v>0</x:v>
      </x:c>
      <x:c r="L89" t="str">
        <x:f>IF(AND(H89=0,I89=1,J89=1),"PASS","FAIL")</x:f>
        <x:v>PASS</x:v>
      </x:c>
      <x:c r="M89" t="str">
        <x:f>IF(K89=0,"OPEN",IF(K89=1,"PASS","FAIL"))</x:f>
        <x:v>OPEN</x:v>
      </x:c>
    </x:row>
    <x:row r="90">
      <x:c r="B90" t="str">
        <x:v>NCP-084</x:v>
      </x:c>
      <x:c r="C90" t="str">
        <x:v>A</x:v>
      </x:c>
      <x:c r="D90" t="str">
        <x:v>PTC-C</x:v>
      </x:c>
      <x:c r="E90" t="str">
        <x:v>SP-4</x:v>
      </x:c>
      <x:c r="F90" t="str">
        <x:v>last-resort disposition</x:v>
      </x:c>
      <x:c r="G90" t="str">
        <x:v>A-C-4-07</x:v>
      </x:c>
      <x:c r="H90" t="n">
        <x:v>0</x:v>
      </x:c>
      <x:c r="I90" t="n">
        <x:v>1</x:v>
      </x:c>
      <x:c r="J90" t="n">
        <x:v>1</x:v>
      </x:c>
      <x:c r="K90" t="n">
        <x:v>0</x:v>
      </x:c>
      <x:c r="L90" t="str">
        <x:f>IF(AND(H90=0,I90=1,J90=1),"PASS","FAIL")</x:f>
        <x:v>PASS</x:v>
      </x:c>
      <x:c r="M90" t="str">
        <x:f>IF(K90=0,"OPEN",IF(K90=1,"PASS","FAIL"))</x:f>
        <x:v>OPEN</x:v>
      </x:c>
    </x:row>
    <x:row r="91">
      <x:c r="B91" t="str">
        <x:v>NCP-085</x:v>
      </x:c>
      <x:c r="C91" t="str">
        <x:v>A</x:v>
      </x:c>
      <x:c r="D91" t="str">
        <x:v>PTC-C</x:v>
      </x:c>
      <x:c r="E91" t="str">
        <x:v>SP-4</x:v>
      </x:c>
      <x:c r="F91" t="str">
        <x:v>thermal and fragment barrier</x:v>
      </x:c>
      <x:c r="G91" t="str">
        <x:v>A-C-4-08</x:v>
      </x:c>
      <x:c r="H91" t="n">
        <x:v>0</x:v>
      </x:c>
      <x:c r="I91" t="n">
        <x:v>1</x:v>
      </x:c>
      <x:c r="J91" t="n">
        <x:v>1</x:v>
      </x:c>
      <x:c r="K91" t="n">
        <x:v>0</x:v>
      </x:c>
      <x:c r="L91" t="str">
        <x:f>IF(AND(H91=0,I91=1,J91=1),"PASS","FAIL")</x:f>
        <x:v>PASS</x:v>
      </x:c>
      <x:c r="M91" t="str">
        <x:f>IF(K91=0,"OPEN",IF(K91=1,"PASS","FAIL"))</x:f>
        <x:v>OPEN</x:v>
      </x:c>
    </x:row>
    <x:row r="92">
      <x:c r="B92" t="str">
        <x:v>NCP-086</x:v>
      </x:c>
      <x:c r="C92" t="str">
        <x:v>A</x:v>
      </x:c>
      <x:c r="D92" t="str">
        <x:v>PTC-C</x:v>
      </x:c>
      <x:c r="E92" t="str">
        <x:v>SP-4</x:v>
      </x:c>
      <x:c r="F92" t="str">
        <x:v>structural support</x:v>
      </x:c>
      <x:c r="G92" t="str">
        <x:v>A-C-4-09</x:v>
      </x:c>
      <x:c r="H92" t="n">
        <x:v>0</x:v>
      </x:c>
      <x:c r="I92" t="n">
        <x:v>1</x:v>
      </x:c>
      <x:c r="J92" t="n">
        <x:v>1</x:v>
      </x:c>
      <x:c r="K92" t="n">
        <x:v>0</x:v>
      </x:c>
      <x:c r="L92" t="str">
        <x:f>IF(AND(H92=0,I92=1,J92=1),"PASS","FAIL")</x:f>
        <x:v>PASS</x:v>
      </x:c>
      <x:c r="M92" t="str">
        <x:f>IF(K92=0,"OPEN",IF(K92=1,"PASS","FAIL"))</x:f>
        <x:v>OPEN</x:v>
      </x:c>
    </x:row>
    <x:row r="93">
      <x:c r="B93" t="str">
        <x:v>NCP-087</x:v>
      </x:c>
      <x:c r="C93" t="str">
        <x:v>A</x:v>
      </x:c>
      <x:c r="D93" t="str">
        <x:v>PTC-C</x:v>
      </x:c>
      <x:c r="E93" t="str">
        <x:v>SP-4</x:v>
      </x:c>
      <x:c r="F93" t="str">
        <x:v>safety energy and logic</x:v>
      </x:c>
      <x:c r="G93" t="str">
        <x:v>A-C-4-10</x:v>
      </x:c>
      <x:c r="H93" t="n">
        <x:v>0</x:v>
      </x:c>
      <x:c r="I93" t="n">
        <x:v>1</x:v>
      </x:c>
      <x:c r="J93" t="n">
        <x:v>1</x:v>
      </x:c>
      <x:c r="K93" t="n">
        <x:v>0</x:v>
      </x:c>
      <x:c r="L93" t="str">
        <x:f>IF(AND(H93=0,I93=1,J93=1),"PASS","FAIL")</x:f>
        <x:v>PASS</x:v>
      </x:c>
      <x:c r="M93" t="str">
        <x:f>IF(K93=0,"OPEN",IF(K93=1,"PASS","FAIL"))</x:f>
        <x:v>OPEN</x:v>
      </x:c>
    </x:row>
    <x:row r="94">
      <x:c r="B94" t="str">
        <x:v>NCP-088</x:v>
      </x:c>
      <x:c r="C94" t="str">
        <x:v>A</x:v>
      </x:c>
      <x:c r="D94" t="str">
        <x:v>PTC-C</x:v>
      </x:c>
      <x:c r="E94" t="str">
        <x:v>SP-4</x:v>
      </x:c>
      <x:c r="F94" t="str">
        <x:v>native evidence</x:v>
      </x:c>
      <x:c r="G94" t="str">
        <x:v>A-C-4-11</x:v>
      </x:c>
      <x:c r="H94" t="n">
        <x:v>0</x:v>
      </x:c>
      <x:c r="I94" t="n">
        <x:v>1</x:v>
      </x:c>
      <x:c r="J94" t="n">
        <x:v>1</x:v>
      </x:c>
      <x:c r="K94" t="n">
        <x:v>0</x:v>
      </x:c>
      <x:c r="L94" t="str">
        <x:f>IF(AND(H94=0,I94=1,J94=1),"PASS","FAIL")</x:f>
        <x:v>PASS</x:v>
      </x:c>
      <x:c r="M94" t="str">
        <x:f>IF(K94=0,"OPEN",IF(K94=1,"PASS","FAIL"))</x:f>
        <x:v>OPEN</x:v>
      </x:c>
    </x:row>
    <x:row r="95">
      <x:c r="B95" t="str">
        <x:v>NCP-089</x:v>
      </x:c>
      <x:c r="C95" t="str">
        <x:v>B</x:v>
      </x:c>
      <x:c r="D95" t="str">
        <x:v>PTC-B</x:v>
      </x:c>
      <x:c r="E95" t="str">
        <x:v>SP-1</x:v>
      </x:c>
      <x:c r="F95" t="str">
        <x:v>source boundary</x:v>
      </x:c>
      <x:c r="G95" t="str">
        <x:v>B-B-1-01</x:v>
      </x:c>
      <x:c r="H95" t="n">
        <x:v>0</x:v>
      </x:c>
      <x:c r="I95" t="n">
        <x:v>1</x:v>
      </x:c>
      <x:c r="J95" t="n">
        <x:v>1</x:v>
      </x:c>
      <x:c r="K95" t="n">
        <x:v>0</x:v>
      </x:c>
      <x:c r="L95" t="str">
        <x:f>IF(AND(H95=0,I95=1,J95=1),"PASS","FAIL")</x:f>
        <x:v>PASS</x:v>
      </x:c>
      <x:c r="M95" t="str">
        <x:f>IF(K95=0,"OPEN",IF(K95=1,"PASS","FAIL"))</x:f>
        <x:v>OPEN</x:v>
      </x:c>
    </x:row>
    <x:row r="96">
      <x:c r="B96" t="str">
        <x:v>NCP-090</x:v>
      </x:c>
      <x:c r="C96" t="str">
        <x:v>B</x:v>
      </x:c>
      <x:c r="D96" t="str">
        <x:v>PTC-B</x:v>
      </x:c>
      <x:c r="E96" t="str">
        <x:v>SP-1</x:v>
      </x:c>
      <x:c r="F96" t="str">
        <x:v>primary isolation</x:v>
      </x:c>
      <x:c r="G96" t="str">
        <x:v>B-B-1-02</x:v>
      </x:c>
      <x:c r="H96" t="n">
        <x:v>0</x:v>
      </x:c>
      <x:c r="I96" t="n">
        <x:v>1</x:v>
      </x:c>
      <x:c r="J96" t="n">
        <x:v>1</x:v>
      </x:c>
      <x:c r="K96" t="n">
        <x:v>0</x:v>
      </x:c>
      <x:c r="L96" t="str">
        <x:f>IF(AND(H96=0,I96=1,J96=1),"PASS","FAIL")</x:f>
        <x:v>PASS</x:v>
      </x:c>
      <x:c r="M96" t="str">
        <x:f>IF(K96=0,"OPEN",IF(K96=1,"PASS","FAIL"))</x:f>
        <x:v>OPEN</x:v>
      </x:c>
    </x:row>
    <x:row r="97">
      <x:c r="B97" t="str">
        <x:v>NCP-091</x:v>
      </x:c>
      <x:c r="C97" t="str">
        <x:v>B</x:v>
      </x:c>
      <x:c r="D97" t="str">
        <x:v>PTC-B</x:v>
      </x:c>
      <x:c r="E97" t="str">
        <x:v>SP-1</x:v>
      </x:c>
      <x:c r="F97" t="str">
        <x:v>relief or transfer route</x:v>
      </x:c>
      <x:c r="G97" t="str">
        <x:v>B-B-1-03</x:v>
      </x:c>
      <x:c r="H97" t="n">
        <x:v>0</x:v>
      </x:c>
      <x:c r="I97" t="n">
        <x:v>1</x:v>
      </x:c>
      <x:c r="J97" t="n">
        <x:v>1</x:v>
      </x:c>
      <x:c r="K97" t="n">
        <x:v>0</x:v>
      </x:c>
      <x:c r="L97" t="str">
        <x:f>IF(AND(H97=0,I97=1,J97=1),"PASS","FAIL")</x:f>
        <x:v>PASS</x:v>
      </x:c>
      <x:c r="M97" t="str">
        <x:f>IF(K97=0,"OPEN",IF(K97=1,"PASS","FAIL"))</x:f>
        <x:v>OPEN</x:v>
      </x:c>
    </x:row>
    <x:row r="98">
      <x:c r="B98" t="str">
        <x:v>NCP-092</x:v>
      </x:c>
      <x:c r="C98" t="str">
        <x:v>B</x:v>
      </x:c>
      <x:c r="D98" t="str">
        <x:v>PTC-B</x:v>
      </x:c>
      <x:c r="E98" t="str">
        <x:v>SP-1</x:v>
      </x:c>
      <x:c r="F98" t="str">
        <x:v>drain or knockout</x:v>
      </x:c>
      <x:c r="G98" t="str">
        <x:v>B-B-1-04</x:v>
      </x:c>
      <x:c r="H98" t="n">
        <x:v>0</x:v>
      </x:c>
      <x:c r="I98" t="n">
        <x:v>1</x:v>
      </x:c>
      <x:c r="J98" t="n">
        <x:v>1</x:v>
      </x:c>
      <x:c r="K98" t="n">
        <x:v>0</x:v>
      </x:c>
      <x:c r="L98" t="str">
        <x:f>IF(AND(H98=0,I98=1,J98=1),"PASS","FAIL")</x:f>
        <x:v>PASS</x:v>
      </x:c>
      <x:c r="M98" t="str">
        <x:f>IF(K98=0,"OPEN",IF(K98=1,"PASS","FAIL"))</x:f>
        <x:v>OPEN</x:v>
      </x:c>
    </x:row>
    <x:row r="99">
      <x:c r="B99" t="str">
        <x:v>NCP-093</x:v>
      </x:c>
      <x:c r="C99" t="str">
        <x:v>B</x:v>
      </x:c>
      <x:c r="D99" t="str">
        <x:v>PTC-B</x:v>
      </x:c>
      <x:c r="E99" t="str">
        <x:v>SP-1</x:v>
      </x:c>
      <x:c r="F99" t="str">
        <x:v>receiver or sump</x:v>
      </x:c>
      <x:c r="G99" t="str">
        <x:v>B-B-1-05</x:v>
      </x:c>
      <x:c r="H99" t="n">
        <x:v>0</x:v>
      </x:c>
      <x:c r="I99" t="n">
        <x:v>1</x:v>
      </x:c>
      <x:c r="J99" t="n">
        <x:v>1</x:v>
      </x:c>
      <x:c r="K99" t="n">
        <x:v>0</x:v>
      </x:c>
      <x:c r="L99" t="str">
        <x:f>IF(AND(H99=0,I99=1,J99=1),"PASS","FAIL")</x:f>
        <x:v>PASS</x:v>
      </x:c>
      <x:c r="M99" t="str">
        <x:f>IF(K99=0,"OPEN",IF(K99=1,"PASS","FAIL"))</x:f>
        <x:v>OPEN</x:v>
      </x:c>
    </x:row>
    <x:row r="100">
      <x:c r="B100" t="str">
        <x:v>NCP-094</x:v>
      </x:c>
      <x:c r="C100" t="str">
        <x:v>B</x:v>
      </x:c>
      <x:c r="D100" t="str">
        <x:v>PTC-B</x:v>
      </x:c>
      <x:c r="E100" t="str">
        <x:v>SP-1</x:v>
      </x:c>
      <x:c r="F100" t="str">
        <x:v>gas holder or recovery</x:v>
      </x:c>
      <x:c r="G100" t="str">
        <x:v>B-B-1-06</x:v>
      </x:c>
      <x:c r="H100" t="n">
        <x:v>0</x:v>
      </x:c>
      <x:c r="I100" t="n">
        <x:v>1</x:v>
      </x:c>
      <x:c r="J100" t="n">
        <x:v>1</x:v>
      </x:c>
      <x:c r="K100" t="n">
        <x:v>0</x:v>
      </x:c>
      <x:c r="L100" t="str">
        <x:f>IF(AND(H100=0,I100=1,J100=1),"PASS","FAIL")</x:f>
        <x:v>PASS</x:v>
      </x:c>
      <x:c r="M100" t="str">
        <x:f>IF(K100=0,"OPEN",IF(K100=1,"PASS","FAIL"))</x:f>
        <x:v>OPEN</x:v>
      </x:c>
    </x:row>
    <x:row r="101">
      <x:c r="B101" t="str">
        <x:v>NCP-095</x:v>
      </x:c>
      <x:c r="C101" t="str">
        <x:v>B</x:v>
      </x:c>
      <x:c r="D101" t="str">
        <x:v>PTC-B</x:v>
      </x:c>
      <x:c r="E101" t="str">
        <x:v>SP-1</x:v>
      </x:c>
      <x:c r="F101" t="str">
        <x:v>last-resort disposition</x:v>
      </x:c>
      <x:c r="G101" t="str">
        <x:v>B-B-1-07</x:v>
      </x:c>
      <x:c r="H101" t="n">
        <x:v>0</x:v>
      </x:c>
      <x:c r="I101" t="n">
        <x:v>1</x:v>
      </x:c>
      <x:c r="J101" t="n">
        <x:v>1</x:v>
      </x:c>
      <x:c r="K101" t="n">
        <x:v>0</x:v>
      </x:c>
      <x:c r="L101" t="str">
        <x:f>IF(AND(H101=0,I101=1,J101=1),"PASS","FAIL")</x:f>
        <x:v>PASS</x:v>
      </x:c>
      <x:c r="M101" t="str">
        <x:f>IF(K101=0,"OPEN",IF(K101=1,"PASS","FAIL"))</x:f>
        <x:v>OPEN</x:v>
      </x:c>
    </x:row>
    <x:row r="102">
      <x:c r="B102" t="str">
        <x:v>NCP-096</x:v>
      </x:c>
      <x:c r="C102" t="str">
        <x:v>B</x:v>
      </x:c>
      <x:c r="D102" t="str">
        <x:v>PTC-B</x:v>
      </x:c>
      <x:c r="E102" t="str">
        <x:v>SP-1</x:v>
      </x:c>
      <x:c r="F102" t="str">
        <x:v>thermal and fragment barrier</x:v>
      </x:c>
      <x:c r="G102" t="str">
        <x:v>B-B-1-08</x:v>
      </x:c>
      <x:c r="H102" t="n">
        <x:v>0</x:v>
      </x:c>
      <x:c r="I102" t="n">
        <x:v>1</x:v>
      </x:c>
      <x:c r="J102" t="n">
        <x:v>1</x:v>
      </x:c>
      <x:c r="K102" t="n">
        <x:v>0</x:v>
      </x:c>
      <x:c r="L102" t="str">
        <x:f>IF(AND(H102=0,I102=1,J102=1),"PASS","FAIL")</x:f>
        <x:v>PASS</x:v>
      </x:c>
      <x:c r="M102" t="str">
        <x:f>IF(K102=0,"OPEN",IF(K102=1,"PASS","FAIL"))</x:f>
        <x:v>OPEN</x:v>
      </x:c>
    </x:row>
    <x:row r="103">
      <x:c r="B103" t="str">
        <x:v>NCP-097</x:v>
      </x:c>
      <x:c r="C103" t="str">
        <x:v>B</x:v>
      </x:c>
      <x:c r="D103" t="str">
        <x:v>PTC-B</x:v>
      </x:c>
      <x:c r="E103" t="str">
        <x:v>SP-1</x:v>
      </x:c>
      <x:c r="F103" t="str">
        <x:v>structural support</x:v>
      </x:c>
      <x:c r="G103" t="str">
        <x:v>B-B-1-09</x:v>
      </x:c>
      <x:c r="H103" t="n">
        <x:v>0</x:v>
      </x:c>
      <x:c r="I103" t="n">
        <x:v>1</x:v>
      </x:c>
      <x:c r="J103" t="n">
        <x:v>1</x:v>
      </x:c>
      <x:c r="K103" t="n">
        <x:v>0</x:v>
      </x:c>
      <x:c r="L103" t="str">
        <x:f>IF(AND(H103=0,I103=1,J103=1),"PASS","FAIL")</x:f>
        <x:v>PASS</x:v>
      </x:c>
      <x:c r="M103" t="str">
        <x:f>IF(K103=0,"OPEN",IF(K103=1,"PASS","FAIL"))</x:f>
        <x:v>OPEN</x:v>
      </x:c>
    </x:row>
    <x:row r="104">
      <x:c r="B104" t="str">
        <x:v>NCP-098</x:v>
      </x:c>
      <x:c r="C104" t="str">
        <x:v>B</x:v>
      </x:c>
      <x:c r="D104" t="str">
        <x:v>PTC-B</x:v>
      </x:c>
      <x:c r="E104" t="str">
        <x:v>SP-1</x:v>
      </x:c>
      <x:c r="F104" t="str">
        <x:v>safety energy and logic</x:v>
      </x:c>
      <x:c r="G104" t="str">
        <x:v>B-B-1-10</x:v>
      </x:c>
      <x:c r="H104" t="n">
        <x:v>0</x:v>
      </x:c>
      <x:c r="I104" t="n">
        <x:v>1</x:v>
      </x:c>
      <x:c r="J104" t="n">
        <x:v>1</x:v>
      </x:c>
      <x:c r="K104" t="n">
        <x:v>0</x:v>
      </x:c>
      <x:c r="L104" t="str">
        <x:f>IF(AND(H104=0,I104=1,J104=1),"PASS","FAIL")</x:f>
        <x:v>PASS</x:v>
      </x:c>
      <x:c r="M104" t="str">
        <x:f>IF(K104=0,"OPEN",IF(K104=1,"PASS","FAIL"))</x:f>
        <x:v>OPEN</x:v>
      </x:c>
    </x:row>
    <x:row r="105">
      <x:c r="B105" t="str">
        <x:v>NCP-099</x:v>
      </x:c>
      <x:c r="C105" t="str">
        <x:v>B</x:v>
      </x:c>
      <x:c r="D105" t="str">
        <x:v>PTC-B</x:v>
      </x:c>
      <x:c r="E105" t="str">
        <x:v>SP-1</x:v>
      </x:c>
      <x:c r="F105" t="str">
        <x:v>native evidence</x:v>
      </x:c>
      <x:c r="G105" t="str">
        <x:v>B-B-1-11</x:v>
      </x:c>
      <x:c r="H105" t="n">
        <x:v>0</x:v>
      </x:c>
      <x:c r="I105" t="n">
        <x:v>1</x:v>
      </x:c>
      <x:c r="J105" t="n">
        <x:v>1</x:v>
      </x:c>
      <x:c r="K105" t="n">
        <x:v>0</x:v>
      </x:c>
      <x:c r="L105" t="str">
        <x:f>IF(AND(H105=0,I105=1,J105=1),"PASS","FAIL")</x:f>
        <x:v>PASS</x:v>
      </x:c>
      <x:c r="M105" t="str">
        <x:f>IF(K105=0,"OPEN",IF(K105=1,"PASS","FAIL"))</x:f>
        <x:v>OPEN</x:v>
      </x:c>
    </x:row>
    <x:row r="106">
      <x:c r="B106" t="str">
        <x:v>NCP-100</x:v>
      </x:c>
      <x:c r="C106" t="str">
        <x:v>B</x:v>
      </x:c>
      <x:c r="D106" t="str">
        <x:v>PTC-B</x:v>
      </x:c>
      <x:c r="E106" t="str">
        <x:v>SP-2</x:v>
      </x:c>
      <x:c r="F106" t="str">
        <x:v>source boundary</x:v>
      </x:c>
      <x:c r="G106" t="str">
        <x:v>B-B-2-01</x:v>
      </x:c>
      <x:c r="H106" t="n">
        <x:v>0</x:v>
      </x:c>
      <x:c r="I106" t="n">
        <x:v>1</x:v>
      </x:c>
      <x:c r="J106" t="n">
        <x:v>1</x:v>
      </x:c>
      <x:c r="K106" t="n">
        <x:v>0</x:v>
      </x:c>
      <x:c r="L106" t="str">
        <x:f>IF(AND(H106=0,I106=1,J106=1),"PASS","FAIL")</x:f>
        <x:v>PASS</x:v>
      </x:c>
      <x:c r="M106" t="str">
        <x:f>IF(K106=0,"OPEN",IF(K106=1,"PASS","FAIL"))</x:f>
        <x:v>OPEN</x:v>
      </x:c>
    </x:row>
    <x:row r="107">
      <x:c r="B107" t="str">
        <x:v>NCP-101</x:v>
      </x:c>
      <x:c r="C107" t="str">
        <x:v>B</x:v>
      </x:c>
      <x:c r="D107" t="str">
        <x:v>PTC-B</x:v>
      </x:c>
      <x:c r="E107" t="str">
        <x:v>SP-2</x:v>
      </x:c>
      <x:c r="F107" t="str">
        <x:v>primary isolation</x:v>
      </x:c>
      <x:c r="G107" t="str">
        <x:v>B-B-2-02</x:v>
      </x:c>
      <x:c r="H107" t="n">
        <x:v>0</x:v>
      </x:c>
      <x:c r="I107" t="n">
        <x:v>1</x:v>
      </x:c>
      <x:c r="J107" t="n">
        <x:v>1</x:v>
      </x:c>
      <x:c r="K107" t="n">
        <x:v>0</x:v>
      </x:c>
      <x:c r="L107" t="str">
        <x:f>IF(AND(H107=0,I107=1,J107=1),"PASS","FAIL")</x:f>
        <x:v>PASS</x:v>
      </x:c>
      <x:c r="M107" t="str">
        <x:f>IF(K107=0,"OPEN",IF(K107=1,"PASS","FAIL"))</x:f>
        <x:v>OPEN</x:v>
      </x:c>
    </x:row>
    <x:row r="108">
      <x:c r="B108" t="str">
        <x:v>NCP-102</x:v>
      </x:c>
      <x:c r="C108" t="str">
        <x:v>B</x:v>
      </x:c>
      <x:c r="D108" t="str">
        <x:v>PTC-B</x:v>
      </x:c>
      <x:c r="E108" t="str">
        <x:v>SP-2</x:v>
      </x:c>
      <x:c r="F108" t="str">
        <x:v>relief or transfer route</x:v>
      </x:c>
      <x:c r="G108" t="str">
        <x:v>B-B-2-03</x:v>
      </x:c>
      <x:c r="H108" t="n">
        <x:v>0</x:v>
      </x:c>
      <x:c r="I108" t="n">
        <x:v>1</x:v>
      </x:c>
      <x:c r="J108" t="n">
        <x:v>1</x:v>
      </x:c>
      <x:c r="K108" t="n">
        <x:v>0</x:v>
      </x:c>
      <x:c r="L108" t="str">
        <x:f>IF(AND(H108=0,I108=1,J108=1),"PASS","FAIL")</x:f>
        <x:v>PASS</x:v>
      </x:c>
      <x:c r="M108" t="str">
        <x:f>IF(K108=0,"OPEN",IF(K108=1,"PASS","FAIL"))</x:f>
        <x:v>OPEN</x:v>
      </x:c>
    </x:row>
    <x:row r="109">
      <x:c r="B109" t="str">
        <x:v>NCP-103</x:v>
      </x:c>
      <x:c r="C109" t="str">
        <x:v>B</x:v>
      </x:c>
      <x:c r="D109" t="str">
        <x:v>PTC-B</x:v>
      </x:c>
      <x:c r="E109" t="str">
        <x:v>SP-2</x:v>
      </x:c>
      <x:c r="F109" t="str">
        <x:v>drain or knockout</x:v>
      </x:c>
      <x:c r="G109" t="str">
        <x:v>B-B-2-04</x:v>
      </x:c>
      <x:c r="H109" t="n">
        <x:v>0</x:v>
      </x:c>
      <x:c r="I109" t="n">
        <x:v>1</x:v>
      </x:c>
      <x:c r="J109" t="n">
        <x:v>1</x:v>
      </x:c>
      <x:c r="K109" t="n">
        <x:v>0</x:v>
      </x:c>
      <x:c r="L109" t="str">
        <x:f>IF(AND(H109=0,I109=1,J109=1),"PASS","FAIL")</x:f>
        <x:v>PASS</x:v>
      </x:c>
      <x:c r="M109" t="str">
        <x:f>IF(K109=0,"OPEN",IF(K109=1,"PASS","FAIL"))</x:f>
        <x:v>OPEN</x:v>
      </x:c>
    </x:row>
    <x:row r="110">
      <x:c r="B110" t="str">
        <x:v>NCP-104</x:v>
      </x:c>
      <x:c r="C110" t="str">
        <x:v>B</x:v>
      </x:c>
      <x:c r="D110" t="str">
        <x:v>PTC-B</x:v>
      </x:c>
      <x:c r="E110" t="str">
        <x:v>SP-2</x:v>
      </x:c>
      <x:c r="F110" t="str">
        <x:v>receiver or sump</x:v>
      </x:c>
      <x:c r="G110" t="str">
        <x:v>B-B-2-05</x:v>
      </x:c>
      <x:c r="H110" t="n">
        <x:v>0</x:v>
      </x:c>
      <x:c r="I110" t="n">
        <x:v>1</x:v>
      </x:c>
      <x:c r="J110" t="n">
        <x:v>1</x:v>
      </x:c>
      <x:c r="K110" t="n">
        <x:v>0</x:v>
      </x:c>
      <x:c r="L110" t="str">
        <x:f>IF(AND(H110=0,I110=1,J110=1),"PASS","FAIL")</x:f>
        <x:v>PASS</x:v>
      </x:c>
      <x:c r="M110" t="str">
        <x:f>IF(K110=0,"OPEN",IF(K110=1,"PASS","FAIL"))</x:f>
        <x:v>OPEN</x:v>
      </x:c>
    </x:row>
    <x:row r="111">
      <x:c r="B111" t="str">
        <x:v>NCP-105</x:v>
      </x:c>
      <x:c r="C111" t="str">
        <x:v>B</x:v>
      </x:c>
      <x:c r="D111" t="str">
        <x:v>PTC-B</x:v>
      </x:c>
      <x:c r="E111" t="str">
        <x:v>SP-2</x:v>
      </x:c>
      <x:c r="F111" t="str">
        <x:v>gas holder or recovery</x:v>
      </x:c>
      <x:c r="G111" t="str">
        <x:v>B-B-2-06</x:v>
      </x:c>
      <x:c r="H111" t="n">
        <x:v>0</x:v>
      </x:c>
      <x:c r="I111" t="n">
        <x:v>1</x:v>
      </x:c>
      <x:c r="J111" t="n">
        <x:v>1</x:v>
      </x:c>
      <x:c r="K111" t="n">
        <x:v>0</x:v>
      </x:c>
      <x:c r="L111" t="str">
        <x:f>IF(AND(H111=0,I111=1,J111=1),"PASS","FAIL")</x:f>
        <x:v>PASS</x:v>
      </x:c>
      <x:c r="M111" t="str">
        <x:f>IF(K111=0,"OPEN",IF(K111=1,"PASS","FAIL"))</x:f>
        <x:v>OPEN</x:v>
      </x:c>
    </x:row>
    <x:row r="112">
      <x:c r="B112" t="str">
        <x:v>NCP-106</x:v>
      </x:c>
      <x:c r="C112" t="str">
        <x:v>B</x:v>
      </x:c>
      <x:c r="D112" t="str">
        <x:v>PTC-B</x:v>
      </x:c>
      <x:c r="E112" t="str">
        <x:v>SP-2</x:v>
      </x:c>
      <x:c r="F112" t="str">
        <x:v>last-resort disposition</x:v>
      </x:c>
      <x:c r="G112" t="str">
        <x:v>B-B-2-07</x:v>
      </x:c>
      <x:c r="H112" t="n">
        <x:v>0</x:v>
      </x:c>
      <x:c r="I112" t="n">
        <x:v>1</x:v>
      </x:c>
      <x:c r="J112" t="n">
        <x:v>1</x:v>
      </x:c>
      <x:c r="K112" t="n">
        <x:v>0</x:v>
      </x:c>
      <x:c r="L112" t="str">
        <x:f>IF(AND(H112=0,I112=1,J112=1),"PASS","FAIL")</x:f>
        <x:v>PASS</x:v>
      </x:c>
      <x:c r="M112" t="str">
        <x:f>IF(K112=0,"OPEN",IF(K112=1,"PASS","FAIL"))</x:f>
        <x:v>OPEN</x:v>
      </x:c>
    </x:row>
    <x:row r="113">
      <x:c r="B113" t="str">
        <x:v>NCP-107</x:v>
      </x:c>
      <x:c r="C113" t="str">
        <x:v>B</x:v>
      </x:c>
      <x:c r="D113" t="str">
        <x:v>PTC-B</x:v>
      </x:c>
      <x:c r="E113" t="str">
        <x:v>SP-2</x:v>
      </x:c>
      <x:c r="F113" t="str">
        <x:v>thermal and fragment barrier</x:v>
      </x:c>
      <x:c r="G113" t="str">
        <x:v>B-B-2-08</x:v>
      </x:c>
      <x:c r="H113" t="n">
        <x:v>0</x:v>
      </x:c>
      <x:c r="I113" t="n">
        <x:v>1</x:v>
      </x:c>
      <x:c r="J113" t="n">
        <x:v>1</x:v>
      </x:c>
      <x:c r="K113" t="n">
        <x:v>0</x:v>
      </x:c>
      <x:c r="L113" t="str">
        <x:f>IF(AND(H113=0,I113=1,J113=1),"PASS","FAIL")</x:f>
        <x:v>PASS</x:v>
      </x:c>
      <x:c r="M113" t="str">
        <x:f>IF(K113=0,"OPEN",IF(K113=1,"PASS","FAIL"))</x:f>
        <x:v>OPEN</x:v>
      </x:c>
    </x:row>
    <x:row r="114">
      <x:c r="B114" t="str">
        <x:v>NCP-108</x:v>
      </x:c>
      <x:c r="C114" t="str">
        <x:v>B</x:v>
      </x:c>
      <x:c r="D114" t="str">
        <x:v>PTC-B</x:v>
      </x:c>
      <x:c r="E114" t="str">
        <x:v>SP-2</x:v>
      </x:c>
      <x:c r="F114" t="str">
        <x:v>structural support</x:v>
      </x:c>
      <x:c r="G114" t="str">
        <x:v>B-B-2-09</x:v>
      </x:c>
      <x:c r="H114" t="n">
        <x:v>0</x:v>
      </x:c>
      <x:c r="I114" t="n">
        <x:v>1</x:v>
      </x:c>
      <x:c r="J114" t="n">
        <x:v>1</x:v>
      </x:c>
      <x:c r="K114" t="n">
        <x:v>0</x:v>
      </x:c>
      <x:c r="L114" t="str">
        <x:f>IF(AND(H114=0,I114=1,J114=1),"PASS","FAIL")</x:f>
        <x:v>PASS</x:v>
      </x:c>
      <x:c r="M114" t="str">
        <x:f>IF(K114=0,"OPEN",IF(K114=1,"PASS","FAIL"))</x:f>
        <x:v>OPEN</x:v>
      </x:c>
    </x:row>
    <x:row r="115">
      <x:c r="B115" t="str">
        <x:v>NCP-109</x:v>
      </x:c>
      <x:c r="C115" t="str">
        <x:v>B</x:v>
      </x:c>
      <x:c r="D115" t="str">
        <x:v>PTC-B</x:v>
      </x:c>
      <x:c r="E115" t="str">
        <x:v>SP-2</x:v>
      </x:c>
      <x:c r="F115" t="str">
        <x:v>safety energy and logic</x:v>
      </x:c>
      <x:c r="G115" t="str">
        <x:v>B-B-2-10</x:v>
      </x:c>
      <x:c r="H115" t="n">
        <x:v>0</x:v>
      </x:c>
      <x:c r="I115" t="n">
        <x:v>1</x:v>
      </x:c>
      <x:c r="J115" t="n">
        <x:v>1</x:v>
      </x:c>
      <x:c r="K115" t="n">
        <x:v>0</x:v>
      </x:c>
      <x:c r="L115" t="str">
        <x:f>IF(AND(H115=0,I115=1,J115=1),"PASS","FAIL")</x:f>
        <x:v>PASS</x:v>
      </x:c>
      <x:c r="M115" t="str">
        <x:f>IF(K115=0,"OPEN",IF(K115=1,"PASS","FAIL"))</x:f>
        <x:v>OPEN</x:v>
      </x:c>
    </x:row>
    <x:row r="116">
      <x:c r="B116" t="str">
        <x:v>NCP-110</x:v>
      </x:c>
      <x:c r="C116" t="str">
        <x:v>B</x:v>
      </x:c>
      <x:c r="D116" t="str">
        <x:v>PTC-B</x:v>
      </x:c>
      <x:c r="E116" t="str">
        <x:v>SP-2</x:v>
      </x:c>
      <x:c r="F116" t="str">
        <x:v>native evidence</x:v>
      </x:c>
      <x:c r="G116" t="str">
        <x:v>B-B-2-11</x:v>
      </x:c>
      <x:c r="H116" t="n">
        <x:v>0</x:v>
      </x:c>
      <x:c r="I116" t="n">
        <x:v>1</x:v>
      </x:c>
      <x:c r="J116" t="n">
        <x:v>1</x:v>
      </x:c>
      <x:c r="K116" t="n">
        <x:v>0</x:v>
      </x:c>
      <x:c r="L116" t="str">
        <x:f>IF(AND(H116=0,I116=1,J116=1),"PASS","FAIL")</x:f>
        <x:v>PASS</x:v>
      </x:c>
      <x:c r="M116" t="str">
        <x:f>IF(K116=0,"OPEN",IF(K116=1,"PASS","FAIL"))</x:f>
        <x:v>OPEN</x:v>
      </x:c>
    </x:row>
    <x:row r="117">
      <x:c r="B117" t="str">
        <x:v>NCP-111</x:v>
      </x:c>
      <x:c r="C117" t="str">
        <x:v>B</x:v>
      </x:c>
      <x:c r="D117" t="str">
        <x:v>PTC-B</x:v>
      </x:c>
      <x:c r="E117" t="str">
        <x:v>SP-3</x:v>
      </x:c>
      <x:c r="F117" t="str">
        <x:v>source boundary</x:v>
      </x:c>
      <x:c r="G117" t="str">
        <x:v>B-B-3-01</x:v>
      </x:c>
      <x:c r="H117" t="n">
        <x:v>0</x:v>
      </x:c>
      <x:c r="I117" t="n">
        <x:v>1</x:v>
      </x:c>
      <x:c r="J117" t="n">
        <x:v>1</x:v>
      </x:c>
      <x:c r="K117" t="n">
        <x:v>0</x:v>
      </x:c>
      <x:c r="L117" t="str">
        <x:f>IF(AND(H117=0,I117=1,J117=1),"PASS","FAIL")</x:f>
        <x:v>PASS</x:v>
      </x:c>
      <x:c r="M117" t="str">
        <x:f>IF(K117=0,"OPEN",IF(K117=1,"PASS","FAIL"))</x:f>
        <x:v>OPEN</x:v>
      </x:c>
    </x:row>
    <x:row r="118">
      <x:c r="B118" t="str">
        <x:v>NCP-112</x:v>
      </x:c>
      <x:c r="C118" t="str">
        <x:v>B</x:v>
      </x:c>
      <x:c r="D118" t="str">
        <x:v>PTC-B</x:v>
      </x:c>
      <x:c r="E118" t="str">
        <x:v>SP-3</x:v>
      </x:c>
      <x:c r="F118" t="str">
        <x:v>primary isolation</x:v>
      </x:c>
      <x:c r="G118" t="str">
        <x:v>B-B-3-02</x:v>
      </x:c>
      <x:c r="H118" t="n">
        <x:v>0</x:v>
      </x:c>
      <x:c r="I118" t="n">
        <x:v>1</x:v>
      </x:c>
      <x:c r="J118" t="n">
        <x:v>1</x:v>
      </x:c>
      <x:c r="K118" t="n">
        <x:v>0</x:v>
      </x:c>
      <x:c r="L118" t="str">
        <x:f>IF(AND(H118=0,I118=1,J118=1),"PASS","FAIL")</x:f>
        <x:v>PASS</x:v>
      </x:c>
      <x:c r="M118" t="str">
        <x:f>IF(K118=0,"OPEN",IF(K118=1,"PASS","FAIL"))</x:f>
        <x:v>OPEN</x:v>
      </x:c>
    </x:row>
    <x:row r="119">
      <x:c r="B119" t="str">
        <x:v>NCP-113</x:v>
      </x:c>
      <x:c r="C119" t="str">
        <x:v>B</x:v>
      </x:c>
      <x:c r="D119" t="str">
        <x:v>PTC-B</x:v>
      </x:c>
      <x:c r="E119" t="str">
        <x:v>SP-3</x:v>
      </x:c>
      <x:c r="F119" t="str">
        <x:v>relief or transfer route</x:v>
      </x:c>
      <x:c r="G119" t="str">
        <x:v>B-B-3-03</x:v>
      </x:c>
      <x:c r="H119" t="n">
        <x:v>0</x:v>
      </x:c>
      <x:c r="I119" t="n">
        <x:v>1</x:v>
      </x:c>
      <x:c r="J119" t="n">
        <x:v>1</x:v>
      </x:c>
      <x:c r="K119" t="n">
        <x:v>0</x:v>
      </x:c>
      <x:c r="L119" t="str">
        <x:f>IF(AND(H119=0,I119=1,J119=1),"PASS","FAIL")</x:f>
        <x:v>PASS</x:v>
      </x:c>
      <x:c r="M119" t="str">
        <x:f>IF(K119=0,"OPEN",IF(K119=1,"PASS","FAIL"))</x:f>
        <x:v>OPEN</x:v>
      </x:c>
    </x:row>
    <x:row r="120">
      <x:c r="B120" t="str">
        <x:v>NCP-114</x:v>
      </x:c>
      <x:c r="C120" t="str">
        <x:v>B</x:v>
      </x:c>
      <x:c r="D120" t="str">
        <x:v>PTC-B</x:v>
      </x:c>
      <x:c r="E120" t="str">
        <x:v>SP-3</x:v>
      </x:c>
      <x:c r="F120" t="str">
        <x:v>drain or knockout</x:v>
      </x:c>
      <x:c r="G120" t="str">
        <x:v>B-B-3-04</x:v>
      </x:c>
      <x:c r="H120" t="n">
        <x:v>0</x:v>
      </x:c>
      <x:c r="I120" t="n">
        <x:v>1</x:v>
      </x:c>
      <x:c r="J120" t="n">
        <x:v>1</x:v>
      </x:c>
      <x:c r="K120" t="n">
        <x:v>0</x:v>
      </x:c>
      <x:c r="L120" t="str">
        <x:f>IF(AND(H120=0,I120=1,J120=1),"PASS","FAIL")</x:f>
        <x:v>PASS</x:v>
      </x:c>
      <x:c r="M120" t="str">
        <x:f>IF(K120=0,"OPEN",IF(K120=1,"PASS","FAIL"))</x:f>
        <x:v>OPEN</x:v>
      </x:c>
    </x:row>
    <x:row r="121">
      <x:c r="B121" t="str">
        <x:v>NCP-115</x:v>
      </x:c>
      <x:c r="C121" t="str">
        <x:v>B</x:v>
      </x:c>
      <x:c r="D121" t="str">
        <x:v>PTC-B</x:v>
      </x:c>
      <x:c r="E121" t="str">
        <x:v>SP-3</x:v>
      </x:c>
      <x:c r="F121" t="str">
        <x:v>receiver or sump</x:v>
      </x:c>
      <x:c r="G121" t="str">
        <x:v>B-B-3-05</x:v>
      </x:c>
      <x:c r="H121" t="n">
        <x:v>0</x:v>
      </x:c>
      <x:c r="I121" t="n">
        <x:v>1</x:v>
      </x:c>
      <x:c r="J121" t="n">
        <x:v>1</x:v>
      </x:c>
      <x:c r="K121" t="n">
        <x:v>0</x:v>
      </x:c>
      <x:c r="L121" t="str">
        <x:f>IF(AND(H121=0,I121=1,J121=1),"PASS","FAIL")</x:f>
        <x:v>PASS</x:v>
      </x:c>
      <x:c r="M121" t="str">
        <x:f>IF(K121=0,"OPEN",IF(K121=1,"PASS","FAIL"))</x:f>
        <x:v>OPEN</x:v>
      </x:c>
    </x:row>
    <x:row r="122">
      <x:c r="B122" t="str">
        <x:v>NCP-116</x:v>
      </x:c>
      <x:c r="C122" t="str">
        <x:v>B</x:v>
      </x:c>
      <x:c r="D122" t="str">
        <x:v>PTC-B</x:v>
      </x:c>
      <x:c r="E122" t="str">
        <x:v>SP-3</x:v>
      </x:c>
      <x:c r="F122" t="str">
        <x:v>gas holder or recovery</x:v>
      </x:c>
      <x:c r="G122" t="str">
        <x:v>B-B-3-06</x:v>
      </x:c>
      <x:c r="H122" t="n">
        <x:v>0</x:v>
      </x:c>
      <x:c r="I122" t="n">
        <x:v>1</x:v>
      </x:c>
      <x:c r="J122" t="n">
        <x:v>1</x:v>
      </x:c>
      <x:c r="K122" t="n">
        <x:v>0</x:v>
      </x:c>
      <x:c r="L122" t="str">
        <x:f>IF(AND(H122=0,I122=1,J122=1),"PASS","FAIL")</x:f>
        <x:v>PASS</x:v>
      </x:c>
      <x:c r="M122" t="str">
        <x:f>IF(K122=0,"OPEN",IF(K122=1,"PASS","FAIL"))</x:f>
        <x:v>OPEN</x:v>
      </x:c>
    </x:row>
    <x:row r="123">
      <x:c r="B123" t="str">
        <x:v>NCP-117</x:v>
      </x:c>
      <x:c r="C123" t="str">
        <x:v>B</x:v>
      </x:c>
      <x:c r="D123" t="str">
        <x:v>PTC-B</x:v>
      </x:c>
      <x:c r="E123" t="str">
        <x:v>SP-3</x:v>
      </x:c>
      <x:c r="F123" t="str">
        <x:v>last-resort disposition</x:v>
      </x:c>
      <x:c r="G123" t="str">
        <x:v>B-B-3-07</x:v>
      </x:c>
      <x:c r="H123" t="n">
        <x:v>0</x:v>
      </x:c>
      <x:c r="I123" t="n">
        <x:v>1</x:v>
      </x:c>
      <x:c r="J123" t="n">
        <x:v>1</x:v>
      </x:c>
      <x:c r="K123" t="n">
        <x:v>0</x:v>
      </x:c>
      <x:c r="L123" t="str">
        <x:f>IF(AND(H123=0,I123=1,J123=1),"PASS","FAIL")</x:f>
        <x:v>PASS</x:v>
      </x:c>
      <x:c r="M123" t="str">
        <x:f>IF(K123=0,"OPEN",IF(K123=1,"PASS","FAIL"))</x:f>
        <x:v>OPEN</x:v>
      </x:c>
    </x:row>
    <x:row r="124">
      <x:c r="B124" t="str">
        <x:v>NCP-118</x:v>
      </x:c>
      <x:c r="C124" t="str">
        <x:v>B</x:v>
      </x:c>
      <x:c r="D124" t="str">
        <x:v>PTC-B</x:v>
      </x:c>
      <x:c r="E124" t="str">
        <x:v>SP-3</x:v>
      </x:c>
      <x:c r="F124" t="str">
        <x:v>thermal and fragment barrier</x:v>
      </x:c>
      <x:c r="G124" t="str">
        <x:v>B-B-3-08</x:v>
      </x:c>
      <x:c r="H124" t="n">
        <x:v>0</x:v>
      </x:c>
      <x:c r="I124" t="n">
        <x:v>1</x:v>
      </x:c>
      <x:c r="J124" t="n">
        <x:v>1</x:v>
      </x:c>
      <x:c r="K124" t="n">
        <x:v>0</x:v>
      </x:c>
      <x:c r="L124" t="str">
        <x:f>IF(AND(H124=0,I124=1,J124=1),"PASS","FAIL")</x:f>
        <x:v>PASS</x:v>
      </x:c>
      <x:c r="M124" t="str">
        <x:f>IF(K124=0,"OPEN",IF(K124=1,"PASS","FAIL"))</x:f>
        <x:v>OPEN</x:v>
      </x:c>
    </x:row>
    <x:row r="125">
      <x:c r="B125" t="str">
        <x:v>NCP-119</x:v>
      </x:c>
      <x:c r="C125" t="str">
        <x:v>B</x:v>
      </x:c>
      <x:c r="D125" t="str">
        <x:v>PTC-B</x:v>
      </x:c>
      <x:c r="E125" t="str">
        <x:v>SP-3</x:v>
      </x:c>
      <x:c r="F125" t="str">
        <x:v>structural support</x:v>
      </x:c>
      <x:c r="G125" t="str">
        <x:v>B-B-3-09</x:v>
      </x:c>
      <x:c r="H125" t="n">
        <x:v>0</x:v>
      </x:c>
      <x:c r="I125" t="n">
        <x:v>1</x:v>
      </x:c>
      <x:c r="J125" t="n">
        <x:v>1</x:v>
      </x:c>
      <x:c r="K125" t="n">
        <x:v>0</x:v>
      </x:c>
      <x:c r="L125" t="str">
        <x:f>IF(AND(H125=0,I125=1,J125=1),"PASS","FAIL")</x:f>
        <x:v>PASS</x:v>
      </x:c>
      <x:c r="M125" t="str">
        <x:f>IF(K125=0,"OPEN",IF(K125=1,"PASS","FAIL"))</x:f>
        <x:v>OPEN</x:v>
      </x:c>
    </x:row>
    <x:row r="126">
      <x:c r="B126" t="str">
        <x:v>NCP-120</x:v>
      </x:c>
      <x:c r="C126" t="str">
        <x:v>B</x:v>
      </x:c>
      <x:c r="D126" t="str">
        <x:v>PTC-B</x:v>
      </x:c>
      <x:c r="E126" t="str">
        <x:v>SP-3</x:v>
      </x:c>
      <x:c r="F126" t="str">
        <x:v>safety energy and logic</x:v>
      </x:c>
      <x:c r="G126" t="str">
        <x:v>B-B-3-10</x:v>
      </x:c>
      <x:c r="H126" t="n">
        <x:v>0</x:v>
      </x:c>
      <x:c r="I126" t="n">
        <x:v>1</x:v>
      </x:c>
      <x:c r="J126" t="n">
        <x:v>1</x:v>
      </x:c>
      <x:c r="K126" t="n">
        <x:v>0</x:v>
      </x:c>
      <x:c r="L126" t="str">
        <x:f>IF(AND(H126=0,I126=1,J126=1),"PASS","FAIL")</x:f>
        <x:v>PASS</x:v>
      </x:c>
      <x:c r="M126" t="str">
        <x:f>IF(K126=0,"OPEN",IF(K126=1,"PASS","FAIL"))</x:f>
        <x:v>OPEN</x:v>
      </x:c>
    </x:row>
    <x:row r="127">
      <x:c r="B127" t="str">
        <x:v>NCP-121</x:v>
      </x:c>
      <x:c r="C127" t="str">
        <x:v>B</x:v>
      </x:c>
      <x:c r="D127" t="str">
        <x:v>PTC-B</x:v>
      </x:c>
      <x:c r="E127" t="str">
        <x:v>SP-3</x:v>
      </x:c>
      <x:c r="F127" t="str">
        <x:v>native evidence</x:v>
      </x:c>
      <x:c r="G127" t="str">
        <x:v>B-B-3-11</x:v>
      </x:c>
      <x:c r="H127" t="n">
        <x:v>0</x:v>
      </x:c>
      <x:c r="I127" t="n">
        <x:v>1</x:v>
      </x:c>
      <x:c r="J127" t="n">
        <x:v>1</x:v>
      </x:c>
      <x:c r="K127" t="n">
        <x:v>0</x:v>
      </x:c>
      <x:c r="L127" t="str">
        <x:f>IF(AND(H127=0,I127=1,J127=1),"PASS","FAIL")</x:f>
        <x:v>PASS</x:v>
      </x:c>
      <x:c r="M127" t="str">
        <x:f>IF(K127=0,"OPEN",IF(K127=1,"PASS","FAIL"))</x:f>
        <x:v>OPEN</x:v>
      </x:c>
    </x:row>
    <x:row r="128">
      <x:c r="B128" t="str">
        <x:v>NCP-122</x:v>
      </x:c>
      <x:c r="C128" t="str">
        <x:v>B</x:v>
      </x:c>
      <x:c r="D128" t="str">
        <x:v>PTC-B</x:v>
      </x:c>
      <x:c r="E128" t="str">
        <x:v>SP-4</x:v>
      </x:c>
      <x:c r="F128" t="str">
        <x:v>source boundary</x:v>
      </x:c>
      <x:c r="G128" t="str">
        <x:v>B-B-4-01</x:v>
      </x:c>
      <x:c r="H128" t="n">
        <x:v>0</x:v>
      </x:c>
      <x:c r="I128" t="n">
        <x:v>1</x:v>
      </x:c>
      <x:c r="J128" t="n">
        <x:v>1</x:v>
      </x:c>
      <x:c r="K128" t="n">
        <x:v>0</x:v>
      </x:c>
      <x:c r="L128" t="str">
        <x:f>IF(AND(H128=0,I128=1,J128=1),"PASS","FAIL")</x:f>
        <x:v>PASS</x:v>
      </x:c>
      <x:c r="M128" t="str">
        <x:f>IF(K128=0,"OPEN",IF(K128=1,"PASS","FAIL"))</x:f>
        <x:v>OPEN</x:v>
      </x:c>
    </x:row>
    <x:row r="129">
      <x:c r="B129" t="str">
        <x:v>NCP-123</x:v>
      </x:c>
      <x:c r="C129" t="str">
        <x:v>B</x:v>
      </x:c>
      <x:c r="D129" t="str">
        <x:v>PTC-B</x:v>
      </x:c>
      <x:c r="E129" t="str">
        <x:v>SP-4</x:v>
      </x:c>
      <x:c r="F129" t="str">
        <x:v>primary isolation</x:v>
      </x:c>
      <x:c r="G129" t="str">
        <x:v>B-B-4-02</x:v>
      </x:c>
      <x:c r="H129" t="n">
        <x:v>0</x:v>
      </x:c>
      <x:c r="I129" t="n">
        <x:v>1</x:v>
      </x:c>
      <x:c r="J129" t="n">
        <x:v>1</x:v>
      </x:c>
      <x:c r="K129" t="n">
        <x:v>0</x:v>
      </x:c>
      <x:c r="L129" t="str">
        <x:f>IF(AND(H129=0,I129=1,J129=1),"PASS","FAIL")</x:f>
        <x:v>PASS</x:v>
      </x:c>
      <x:c r="M129" t="str">
        <x:f>IF(K129=0,"OPEN",IF(K129=1,"PASS","FAIL"))</x:f>
        <x:v>OPEN</x:v>
      </x:c>
    </x:row>
    <x:row r="130">
      <x:c r="B130" t="str">
        <x:v>NCP-124</x:v>
      </x:c>
      <x:c r="C130" t="str">
        <x:v>B</x:v>
      </x:c>
      <x:c r="D130" t="str">
        <x:v>PTC-B</x:v>
      </x:c>
      <x:c r="E130" t="str">
        <x:v>SP-4</x:v>
      </x:c>
      <x:c r="F130" t="str">
        <x:v>relief or transfer route</x:v>
      </x:c>
      <x:c r="G130" t="str">
        <x:v>B-B-4-03</x:v>
      </x:c>
      <x:c r="H130" t="n">
        <x:v>0</x:v>
      </x:c>
      <x:c r="I130" t="n">
        <x:v>1</x:v>
      </x:c>
      <x:c r="J130" t="n">
        <x:v>1</x:v>
      </x:c>
      <x:c r="K130" t="n">
        <x:v>0</x:v>
      </x:c>
      <x:c r="L130" t="str">
        <x:f>IF(AND(H130=0,I130=1,J130=1),"PASS","FAIL")</x:f>
        <x:v>PASS</x:v>
      </x:c>
      <x:c r="M130" t="str">
        <x:f>IF(K130=0,"OPEN",IF(K130=1,"PASS","FAIL"))</x:f>
        <x:v>OPEN</x:v>
      </x:c>
    </x:row>
    <x:row r="131">
      <x:c r="B131" t="str">
        <x:v>NCP-125</x:v>
      </x:c>
      <x:c r="C131" t="str">
        <x:v>B</x:v>
      </x:c>
      <x:c r="D131" t="str">
        <x:v>PTC-B</x:v>
      </x:c>
      <x:c r="E131" t="str">
        <x:v>SP-4</x:v>
      </x:c>
      <x:c r="F131" t="str">
        <x:v>drain or knockout</x:v>
      </x:c>
      <x:c r="G131" t="str">
        <x:v>B-B-4-04</x:v>
      </x:c>
      <x:c r="H131" t="n">
        <x:v>0</x:v>
      </x:c>
      <x:c r="I131" t="n">
        <x:v>1</x:v>
      </x:c>
      <x:c r="J131" t="n">
        <x:v>1</x:v>
      </x:c>
      <x:c r="K131" t="n">
        <x:v>0</x:v>
      </x:c>
      <x:c r="L131" t="str">
        <x:f>IF(AND(H131=0,I131=1,J131=1),"PASS","FAIL")</x:f>
        <x:v>PASS</x:v>
      </x:c>
      <x:c r="M131" t="str">
        <x:f>IF(K131=0,"OPEN",IF(K131=1,"PASS","FAIL"))</x:f>
        <x:v>OPEN</x:v>
      </x:c>
    </x:row>
    <x:row r="132">
      <x:c r="B132" t="str">
        <x:v>NCP-126</x:v>
      </x:c>
      <x:c r="C132" t="str">
        <x:v>B</x:v>
      </x:c>
      <x:c r="D132" t="str">
        <x:v>PTC-B</x:v>
      </x:c>
      <x:c r="E132" t="str">
        <x:v>SP-4</x:v>
      </x:c>
      <x:c r="F132" t="str">
        <x:v>receiver or sump</x:v>
      </x:c>
      <x:c r="G132" t="str">
        <x:v>B-B-4-05</x:v>
      </x:c>
      <x:c r="H132" t="n">
        <x:v>0</x:v>
      </x:c>
      <x:c r="I132" t="n">
        <x:v>1</x:v>
      </x:c>
      <x:c r="J132" t="n">
        <x:v>1</x:v>
      </x:c>
      <x:c r="K132" t="n">
        <x:v>0</x:v>
      </x:c>
      <x:c r="L132" t="str">
        <x:f>IF(AND(H132=0,I132=1,J132=1),"PASS","FAIL")</x:f>
        <x:v>PASS</x:v>
      </x:c>
      <x:c r="M132" t="str">
        <x:f>IF(K132=0,"OPEN",IF(K132=1,"PASS","FAIL"))</x:f>
        <x:v>OPEN</x:v>
      </x:c>
    </x:row>
    <x:row r="133">
      <x:c r="B133" t="str">
        <x:v>NCP-127</x:v>
      </x:c>
      <x:c r="C133" t="str">
        <x:v>B</x:v>
      </x:c>
      <x:c r="D133" t="str">
        <x:v>PTC-B</x:v>
      </x:c>
      <x:c r="E133" t="str">
        <x:v>SP-4</x:v>
      </x:c>
      <x:c r="F133" t="str">
        <x:v>gas holder or recovery</x:v>
      </x:c>
      <x:c r="G133" t="str">
        <x:v>B-B-4-06</x:v>
      </x:c>
      <x:c r="H133" t="n">
        <x:v>0</x:v>
      </x:c>
      <x:c r="I133" t="n">
        <x:v>1</x:v>
      </x:c>
      <x:c r="J133" t="n">
        <x:v>1</x:v>
      </x:c>
      <x:c r="K133" t="n">
        <x:v>0</x:v>
      </x:c>
      <x:c r="L133" t="str">
        <x:f>IF(AND(H133=0,I133=1,J133=1),"PASS","FAIL")</x:f>
        <x:v>PASS</x:v>
      </x:c>
      <x:c r="M133" t="str">
        <x:f>IF(K133=0,"OPEN",IF(K133=1,"PASS","FAIL"))</x:f>
        <x:v>OPEN</x:v>
      </x:c>
    </x:row>
    <x:row r="134">
      <x:c r="B134" t="str">
        <x:v>NCP-128</x:v>
      </x:c>
      <x:c r="C134" t="str">
        <x:v>B</x:v>
      </x:c>
      <x:c r="D134" t="str">
        <x:v>PTC-B</x:v>
      </x:c>
      <x:c r="E134" t="str">
        <x:v>SP-4</x:v>
      </x:c>
      <x:c r="F134" t="str">
        <x:v>last-resort disposition</x:v>
      </x:c>
      <x:c r="G134" t="str">
        <x:v>B-B-4-07</x:v>
      </x:c>
      <x:c r="H134" t="n">
        <x:v>0</x:v>
      </x:c>
      <x:c r="I134" t="n">
        <x:v>1</x:v>
      </x:c>
      <x:c r="J134" t="n">
        <x:v>1</x:v>
      </x:c>
      <x:c r="K134" t="n">
        <x:v>0</x:v>
      </x:c>
      <x:c r="L134" t="str">
        <x:f>IF(AND(H134=0,I134=1,J134=1),"PASS","FAIL")</x:f>
        <x:v>PASS</x:v>
      </x:c>
      <x:c r="M134" t="str">
        <x:f>IF(K134=0,"OPEN",IF(K134=1,"PASS","FAIL"))</x:f>
        <x:v>OPEN</x:v>
      </x:c>
    </x:row>
    <x:row r="135">
      <x:c r="B135" t="str">
        <x:v>NCP-129</x:v>
      </x:c>
      <x:c r="C135" t="str">
        <x:v>B</x:v>
      </x:c>
      <x:c r="D135" t="str">
        <x:v>PTC-B</x:v>
      </x:c>
      <x:c r="E135" t="str">
        <x:v>SP-4</x:v>
      </x:c>
      <x:c r="F135" t="str">
        <x:v>thermal and fragment barrier</x:v>
      </x:c>
      <x:c r="G135" t="str">
        <x:v>B-B-4-08</x:v>
      </x:c>
      <x:c r="H135" t="n">
        <x:v>0</x:v>
      </x:c>
      <x:c r="I135" t="n">
        <x:v>1</x:v>
      </x:c>
      <x:c r="J135" t="n">
        <x:v>1</x:v>
      </x:c>
      <x:c r="K135" t="n">
        <x:v>0</x:v>
      </x:c>
      <x:c r="L135" t="str">
        <x:f>IF(AND(H135=0,I135=1,J135=1),"PASS","FAIL")</x:f>
        <x:v>PASS</x:v>
      </x:c>
      <x:c r="M135" t="str">
        <x:f>IF(K135=0,"OPEN",IF(K135=1,"PASS","FAIL"))</x:f>
        <x:v>OPEN</x:v>
      </x:c>
    </x:row>
    <x:row r="136">
      <x:c r="B136" t="str">
        <x:v>NCP-130</x:v>
      </x:c>
      <x:c r="C136" t="str">
        <x:v>B</x:v>
      </x:c>
      <x:c r="D136" t="str">
        <x:v>PTC-B</x:v>
      </x:c>
      <x:c r="E136" t="str">
        <x:v>SP-4</x:v>
      </x:c>
      <x:c r="F136" t="str">
        <x:v>structural support</x:v>
      </x:c>
      <x:c r="G136" t="str">
        <x:v>B-B-4-09</x:v>
      </x:c>
      <x:c r="H136" t="n">
        <x:v>0</x:v>
      </x:c>
      <x:c r="I136" t="n">
        <x:v>1</x:v>
      </x:c>
      <x:c r="J136" t="n">
        <x:v>1</x:v>
      </x:c>
      <x:c r="K136" t="n">
        <x:v>0</x:v>
      </x:c>
      <x:c r="L136" t="str">
        <x:f>IF(AND(H136=0,I136=1,J136=1),"PASS","FAIL")</x:f>
        <x:v>PASS</x:v>
      </x:c>
      <x:c r="M136" t="str">
        <x:f>IF(K136=0,"OPEN",IF(K136=1,"PASS","FAIL"))</x:f>
        <x:v>OPEN</x:v>
      </x:c>
    </x:row>
    <x:row r="137">
      <x:c r="B137" t="str">
        <x:v>NCP-131</x:v>
      </x:c>
      <x:c r="C137" t="str">
        <x:v>B</x:v>
      </x:c>
      <x:c r="D137" t="str">
        <x:v>PTC-B</x:v>
      </x:c>
      <x:c r="E137" t="str">
        <x:v>SP-4</x:v>
      </x:c>
      <x:c r="F137" t="str">
        <x:v>safety energy and logic</x:v>
      </x:c>
      <x:c r="G137" t="str">
        <x:v>B-B-4-10</x:v>
      </x:c>
      <x:c r="H137" t="n">
        <x:v>0</x:v>
      </x:c>
      <x:c r="I137" t="n">
        <x:v>1</x:v>
      </x:c>
      <x:c r="J137" t="n">
        <x:v>1</x:v>
      </x:c>
      <x:c r="K137" t="n">
        <x:v>0</x:v>
      </x:c>
      <x:c r="L137" t="str">
        <x:f>IF(AND(H137=0,I137=1,J137=1),"PASS","FAIL")</x:f>
        <x:v>PASS</x:v>
      </x:c>
      <x:c r="M137" t="str">
        <x:f>IF(K137=0,"OPEN",IF(K137=1,"PASS","FAIL"))</x:f>
        <x:v>OPEN</x:v>
      </x:c>
    </x:row>
    <x:row r="138">
      <x:c r="B138" t="str">
        <x:v>NCP-132</x:v>
      </x:c>
      <x:c r="C138" t="str">
        <x:v>B</x:v>
      </x:c>
      <x:c r="D138" t="str">
        <x:v>PTC-B</x:v>
      </x:c>
      <x:c r="E138" t="str">
        <x:v>SP-4</x:v>
      </x:c>
      <x:c r="F138" t="str">
        <x:v>native evidence</x:v>
      </x:c>
      <x:c r="G138" t="str">
        <x:v>B-B-4-11</x:v>
      </x:c>
      <x:c r="H138" t="n">
        <x:v>0</x:v>
      </x:c>
      <x:c r="I138" t="n">
        <x:v>1</x:v>
      </x:c>
      <x:c r="J138" t="n">
        <x:v>1</x:v>
      </x:c>
      <x:c r="K138" t="n">
        <x:v>0</x:v>
      </x:c>
      <x:c r="L138" t="str">
        <x:f>IF(AND(H138=0,I138=1,J138=1),"PASS","FAIL")</x:f>
        <x:v>PASS</x:v>
      </x:c>
      <x:c r="M138" t="str">
        <x:f>IF(K138=0,"OPEN",IF(K138=1,"PASS","FAIL"))</x:f>
        <x:v>OPEN</x:v>
      </x:c>
    </x:row>
    <x:row r="139">
      <x:c r="B139" t="str">
        <x:v>NCP-133</x:v>
      </x:c>
      <x:c r="C139" t="str">
        <x:v>B</x:v>
      </x:c>
      <x:c r="D139" t="str">
        <x:v>PTC-C</x:v>
      </x:c>
      <x:c r="E139" t="str">
        <x:v>SP-1</x:v>
      </x:c>
      <x:c r="F139" t="str">
        <x:v>source boundary</x:v>
      </x:c>
      <x:c r="G139" t="str">
        <x:v>B-C-1-01</x:v>
      </x:c>
      <x:c r="H139" t="n">
        <x:v>0</x:v>
      </x:c>
      <x:c r="I139" t="n">
        <x:v>1</x:v>
      </x:c>
      <x:c r="J139" t="n">
        <x:v>1</x:v>
      </x:c>
      <x:c r="K139" t="n">
        <x:v>0</x:v>
      </x:c>
      <x:c r="L139" t="str">
        <x:f>IF(AND(H139=0,I139=1,J139=1),"PASS","FAIL")</x:f>
        <x:v>PASS</x:v>
      </x:c>
      <x:c r="M139" t="str">
        <x:f>IF(K139=0,"OPEN",IF(K139=1,"PASS","FAIL"))</x:f>
        <x:v>OPEN</x:v>
      </x:c>
    </x:row>
    <x:row r="140">
      <x:c r="B140" t="str">
        <x:v>NCP-134</x:v>
      </x:c>
      <x:c r="C140" t="str">
        <x:v>B</x:v>
      </x:c>
      <x:c r="D140" t="str">
        <x:v>PTC-C</x:v>
      </x:c>
      <x:c r="E140" t="str">
        <x:v>SP-1</x:v>
      </x:c>
      <x:c r="F140" t="str">
        <x:v>primary isolation</x:v>
      </x:c>
      <x:c r="G140" t="str">
        <x:v>B-C-1-02</x:v>
      </x:c>
      <x:c r="H140" t="n">
        <x:v>0</x:v>
      </x:c>
      <x:c r="I140" t="n">
        <x:v>1</x:v>
      </x:c>
      <x:c r="J140" t="n">
        <x:v>1</x:v>
      </x:c>
      <x:c r="K140" t="n">
        <x:v>0</x:v>
      </x:c>
      <x:c r="L140" t="str">
        <x:f>IF(AND(H140=0,I140=1,J140=1),"PASS","FAIL")</x:f>
        <x:v>PASS</x:v>
      </x:c>
      <x:c r="M140" t="str">
        <x:f>IF(K140=0,"OPEN",IF(K140=1,"PASS","FAIL"))</x:f>
        <x:v>OPEN</x:v>
      </x:c>
    </x:row>
    <x:row r="141">
      <x:c r="B141" t="str">
        <x:v>NCP-135</x:v>
      </x:c>
      <x:c r="C141" t="str">
        <x:v>B</x:v>
      </x:c>
      <x:c r="D141" t="str">
        <x:v>PTC-C</x:v>
      </x:c>
      <x:c r="E141" t="str">
        <x:v>SP-1</x:v>
      </x:c>
      <x:c r="F141" t="str">
        <x:v>relief or transfer route</x:v>
      </x:c>
      <x:c r="G141" t="str">
        <x:v>B-C-1-03</x:v>
      </x:c>
      <x:c r="H141" t="n">
        <x:v>0</x:v>
      </x:c>
      <x:c r="I141" t="n">
        <x:v>1</x:v>
      </x:c>
      <x:c r="J141" t="n">
        <x:v>1</x:v>
      </x:c>
      <x:c r="K141" t="n">
        <x:v>0</x:v>
      </x:c>
      <x:c r="L141" t="str">
        <x:f>IF(AND(H141=0,I141=1,J141=1),"PASS","FAIL")</x:f>
        <x:v>PASS</x:v>
      </x:c>
      <x:c r="M141" t="str">
        <x:f>IF(K141=0,"OPEN",IF(K141=1,"PASS","FAIL"))</x:f>
        <x:v>OPEN</x:v>
      </x:c>
    </x:row>
    <x:row r="142">
      <x:c r="B142" t="str">
        <x:v>NCP-136</x:v>
      </x:c>
      <x:c r="C142" t="str">
        <x:v>B</x:v>
      </x:c>
      <x:c r="D142" t="str">
        <x:v>PTC-C</x:v>
      </x:c>
      <x:c r="E142" t="str">
        <x:v>SP-1</x:v>
      </x:c>
      <x:c r="F142" t="str">
        <x:v>drain or knockout</x:v>
      </x:c>
      <x:c r="G142" t="str">
        <x:v>B-C-1-04</x:v>
      </x:c>
      <x:c r="H142" t="n">
        <x:v>0</x:v>
      </x:c>
      <x:c r="I142" t="n">
        <x:v>1</x:v>
      </x:c>
      <x:c r="J142" t="n">
        <x:v>1</x:v>
      </x:c>
      <x:c r="K142" t="n">
        <x:v>0</x:v>
      </x:c>
      <x:c r="L142" t="str">
        <x:f>IF(AND(H142=0,I142=1,J142=1),"PASS","FAIL")</x:f>
        <x:v>PASS</x:v>
      </x:c>
      <x:c r="M142" t="str">
        <x:f>IF(K142=0,"OPEN",IF(K142=1,"PASS","FAIL"))</x:f>
        <x:v>OPEN</x:v>
      </x:c>
    </x:row>
    <x:row r="143">
      <x:c r="B143" t="str">
        <x:v>NCP-137</x:v>
      </x:c>
      <x:c r="C143" t="str">
        <x:v>B</x:v>
      </x:c>
      <x:c r="D143" t="str">
        <x:v>PTC-C</x:v>
      </x:c>
      <x:c r="E143" t="str">
        <x:v>SP-1</x:v>
      </x:c>
      <x:c r="F143" t="str">
        <x:v>receiver or sump</x:v>
      </x:c>
      <x:c r="G143" t="str">
        <x:v>B-C-1-05</x:v>
      </x:c>
      <x:c r="H143" t="n">
        <x:v>0</x:v>
      </x:c>
      <x:c r="I143" t="n">
        <x:v>1</x:v>
      </x:c>
      <x:c r="J143" t="n">
        <x:v>1</x:v>
      </x:c>
      <x:c r="K143" t="n">
        <x:v>0</x:v>
      </x:c>
      <x:c r="L143" t="str">
        <x:f>IF(AND(H143=0,I143=1,J143=1),"PASS","FAIL")</x:f>
        <x:v>PASS</x:v>
      </x:c>
      <x:c r="M143" t="str">
        <x:f>IF(K143=0,"OPEN",IF(K143=1,"PASS","FAIL"))</x:f>
        <x:v>OPEN</x:v>
      </x:c>
    </x:row>
    <x:row r="144">
      <x:c r="B144" t="str">
        <x:v>NCP-138</x:v>
      </x:c>
      <x:c r="C144" t="str">
        <x:v>B</x:v>
      </x:c>
      <x:c r="D144" t="str">
        <x:v>PTC-C</x:v>
      </x:c>
      <x:c r="E144" t="str">
        <x:v>SP-1</x:v>
      </x:c>
      <x:c r="F144" t="str">
        <x:v>gas holder or recovery</x:v>
      </x:c>
      <x:c r="G144" t="str">
        <x:v>B-C-1-06</x:v>
      </x:c>
      <x:c r="H144" t="n">
        <x:v>0</x:v>
      </x:c>
      <x:c r="I144" t="n">
        <x:v>1</x:v>
      </x:c>
      <x:c r="J144" t="n">
        <x:v>1</x:v>
      </x:c>
      <x:c r="K144" t="n">
        <x:v>0</x:v>
      </x:c>
      <x:c r="L144" t="str">
        <x:f>IF(AND(H144=0,I144=1,J144=1),"PASS","FAIL")</x:f>
        <x:v>PASS</x:v>
      </x:c>
      <x:c r="M144" t="str">
        <x:f>IF(K144=0,"OPEN",IF(K144=1,"PASS","FAIL"))</x:f>
        <x:v>OPEN</x:v>
      </x:c>
    </x:row>
    <x:row r="145">
      <x:c r="B145" t="str">
        <x:v>NCP-139</x:v>
      </x:c>
      <x:c r="C145" t="str">
        <x:v>B</x:v>
      </x:c>
      <x:c r="D145" t="str">
        <x:v>PTC-C</x:v>
      </x:c>
      <x:c r="E145" t="str">
        <x:v>SP-1</x:v>
      </x:c>
      <x:c r="F145" t="str">
        <x:v>last-resort disposition</x:v>
      </x:c>
      <x:c r="G145" t="str">
        <x:v>B-C-1-07</x:v>
      </x:c>
      <x:c r="H145" t="n">
        <x:v>0</x:v>
      </x:c>
      <x:c r="I145" t="n">
        <x:v>1</x:v>
      </x:c>
      <x:c r="J145" t="n">
        <x:v>1</x:v>
      </x:c>
      <x:c r="K145" t="n">
        <x:v>0</x:v>
      </x:c>
      <x:c r="L145" t="str">
        <x:f>IF(AND(H145=0,I145=1,J145=1),"PASS","FAIL")</x:f>
        <x:v>PASS</x:v>
      </x:c>
      <x:c r="M145" t="str">
        <x:f>IF(K145=0,"OPEN",IF(K145=1,"PASS","FAIL"))</x:f>
        <x:v>OPEN</x:v>
      </x:c>
    </x:row>
    <x:row r="146">
      <x:c r="B146" t="str">
        <x:v>NCP-140</x:v>
      </x:c>
      <x:c r="C146" t="str">
        <x:v>B</x:v>
      </x:c>
      <x:c r="D146" t="str">
        <x:v>PTC-C</x:v>
      </x:c>
      <x:c r="E146" t="str">
        <x:v>SP-1</x:v>
      </x:c>
      <x:c r="F146" t="str">
        <x:v>thermal and fragment barrier</x:v>
      </x:c>
      <x:c r="G146" t="str">
        <x:v>B-C-1-08</x:v>
      </x:c>
      <x:c r="H146" t="n">
        <x:v>0</x:v>
      </x:c>
      <x:c r="I146" t="n">
        <x:v>1</x:v>
      </x:c>
      <x:c r="J146" t="n">
        <x:v>1</x:v>
      </x:c>
      <x:c r="K146" t="n">
        <x:v>0</x:v>
      </x:c>
      <x:c r="L146" t="str">
        <x:f>IF(AND(H146=0,I146=1,J146=1),"PASS","FAIL")</x:f>
        <x:v>PASS</x:v>
      </x:c>
      <x:c r="M146" t="str">
        <x:f>IF(K146=0,"OPEN",IF(K146=1,"PASS","FAIL"))</x:f>
        <x:v>OPEN</x:v>
      </x:c>
    </x:row>
    <x:row r="147">
      <x:c r="B147" t="str">
        <x:v>NCP-141</x:v>
      </x:c>
      <x:c r="C147" t="str">
        <x:v>B</x:v>
      </x:c>
      <x:c r="D147" t="str">
        <x:v>PTC-C</x:v>
      </x:c>
      <x:c r="E147" t="str">
        <x:v>SP-1</x:v>
      </x:c>
      <x:c r="F147" t="str">
        <x:v>structural support</x:v>
      </x:c>
      <x:c r="G147" t="str">
        <x:v>B-C-1-09</x:v>
      </x:c>
      <x:c r="H147" t="n">
        <x:v>0</x:v>
      </x:c>
      <x:c r="I147" t="n">
        <x:v>1</x:v>
      </x:c>
      <x:c r="J147" t="n">
        <x:v>1</x:v>
      </x:c>
      <x:c r="K147" t="n">
        <x:v>0</x:v>
      </x:c>
      <x:c r="L147" t="str">
        <x:f>IF(AND(H147=0,I147=1,J147=1),"PASS","FAIL")</x:f>
        <x:v>PASS</x:v>
      </x:c>
      <x:c r="M147" t="str">
        <x:f>IF(K147=0,"OPEN",IF(K147=1,"PASS","FAIL"))</x:f>
        <x:v>OPEN</x:v>
      </x:c>
    </x:row>
    <x:row r="148">
      <x:c r="B148" t="str">
        <x:v>NCP-142</x:v>
      </x:c>
      <x:c r="C148" t="str">
        <x:v>B</x:v>
      </x:c>
      <x:c r="D148" t="str">
        <x:v>PTC-C</x:v>
      </x:c>
      <x:c r="E148" t="str">
        <x:v>SP-1</x:v>
      </x:c>
      <x:c r="F148" t="str">
        <x:v>safety energy and logic</x:v>
      </x:c>
      <x:c r="G148" t="str">
        <x:v>B-C-1-10</x:v>
      </x:c>
      <x:c r="H148" t="n">
        <x:v>0</x:v>
      </x:c>
      <x:c r="I148" t="n">
        <x:v>1</x:v>
      </x:c>
      <x:c r="J148" t="n">
        <x:v>1</x:v>
      </x:c>
      <x:c r="K148" t="n">
        <x:v>0</x:v>
      </x:c>
      <x:c r="L148" t="str">
        <x:f>IF(AND(H148=0,I148=1,J148=1),"PASS","FAIL")</x:f>
        <x:v>PASS</x:v>
      </x:c>
      <x:c r="M148" t="str">
        <x:f>IF(K148=0,"OPEN",IF(K148=1,"PASS","FAIL"))</x:f>
        <x:v>OPEN</x:v>
      </x:c>
    </x:row>
    <x:row r="149">
      <x:c r="B149" t="str">
        <x:v>NCP-143</x:v>
      </x:c>
      <x:c r="C149" t="str">
        <x:v>B</x:v>
      </x:c>
      <x:c r="D149" t="str">
        <x:v>PTC-C</x:v>
      </x:c>
      <x:c r="E149" t="str">
        <x:v>SP-1</x:v>
      </x:c>
      <x:c r="F149" t="str">
        <x:v>native evidence</x:v>
      </x:c>
      <x:c r="G149" t="str">
        <x:v>B-C-1-11</x:v>
      </x:c>
      <x:c r="H149" t="n">
        <x:v>0</x:v>
      </x:c>
      <x:c r="I149" t="n">
        <x:v>1</x:v>
      </x:c>
      <x:c r="J149" t="n">
        <x:v>1</x:v>
      </x:c>
      <x:c r="K149" t="n">
        <x:v>0</x:v>
      </x:c>
      <x:c r="L149" t="str">
        <x:f>IF(AND(H149=0,I149=1,J149=1),"PASS","FAIL")</x:f>
        <x:v>PASS</x:v>
      </x:c>
      <x:c r="M149" t="str">
        <x:f>IF(K149=0,"OPEN",IF(K149=1,"PASS","FAIL"))</x:f>
        <x:v>OPEN</x:v>
      </x:c>
    </x:row>
    <x:row r="150">
      <x:c r="B150" t="str">
        <x:v>NCP-144</x:v>
      </x:c>
      <x:c r="C150" t="str">
        <x:v>B</x:v>
      </x:c>
      <x:c r="D150" t="str">
        <x:v>PTC-C</x:v>
      </x:c>
      <x:c r="E150" t="str">
        <x:v>SP-2</x:v>
      </x:c>
      <x:c r="F150" t="str">
        <x:v>source boundary</x:v>
      </x:c>
      <x:c r="G150" t="str">
        <x:v>B-C-2-01</x:v>
      </x:c>
      <x:c r="H150" t="n">
        <x:v>0</x:v>
      </x:c>
      <x:c r="I150" t="n">
        <x:v>1</x:v>
      </x:c>
      <x:c r="J150" t="n">
        <x:v>1</x:v>
      </x:c>
      <x:c r="K150" t="n">
        <x:v>0</x:v>
      </x:c>
      <x:c r="L150" t="str">
        <x:f>IF(AND(H150=0,I150=1,J150=1),"PASS","FAIL")</x:f>
        <x:v>PASS</x:v>
      </x:c>
      <x:c r="M150" t="str">
        <x:f>IF(K150=0,"OPEN",IF(K150=1,"PASS","FAIL"))</x:f>
        <x:v>OPEN</x:v>
      </x:c>
    </x:row>
    <x:row r="151">
      <x:c r="B151" t="str">
        <x:v>NCP-145</x:v>
      </x:c>
      <x:c r="C151" t="str">
        <x:v>B</x:v>
      </x:c>
      <x:c r="D151" t="str">
        <x:v>PTC-C</x:v>
      </x:c>
      <x:c r="E151" t="str">
        <x:v>SP-2</x:v>
      </x:c>
      <x:c r="F151" t="str">
        <x:v>primary isolation</x:v>
      </x:c>
      <x:c r="G151" t="str">
        <x:v>B-C-2-02</x:v>
      </x:c>
      <x:c r="H151" t="n">
        <x:v>0</x:v>
      </x:c>
      <x:c r="I151" t="n">
        <x:v>1</x:v>
      </x:c>
      <x:c r="J151" t="n">
        <x:v>1</x:v>
      </x:c>
      <x:c r="K151" t="n">
        <x:v>0</x:v>
      </x:c>
      <x:c r="L151" t="str">
        <x:f>IF(AND(H151=0,I151=1,J151=1),"PASS","FAIL")</x:f>
        <x:v>PASS</x:v>
      </x:c>
      <x:c r="M151" t="str">
        <x:f>IF(K151=0,"OPEN",IF(K151=1,"PASS","FAIL"))</x:f>
        <x:v>OPEN</x:v>
      </x:c>
    </x:row>
    <x:row r="152">
      <x:c r="B152" t="str">
        <x:v>NCP-146</x:v>
      </x:c>
      <x:c r="C152" t="str">
        <x:v>B</x:v>
      </x:c>
      <x:c r="D152" t="str">
        <x:v>PTC-C</x:v>
      </x:c>
      <x:c r="E152" t="str">
        <x:v>SP-2</x:v>
      </x:c>
      <x:c r="F152" t="str">
        <x:v>relief or transfer route</x:v>
      </x:c>
      <x:c r="G152" t="str">
        <x:v>B-C-2-03</x:v>
      </x:c>
      <x:c r="H152" t="n">
        <x:v>0</x:v>
      </x:c>
      <x:c r="I152" t="n">
        <x:v>1</x:v>
      </x:c>
      <x:c r="J152" t="n">
        <x:v>1</x:v>
      </x:c>
      <x:c r="K152" t="n">
        <x:v>0</x:v>
      </x:c>
      <x:c r="L152" t="str">
        <x:f>IF(AND(H152=0,I152=1,J152=1),"PASS","FAIL")</x:f>
        <x:v>PASS</x:v>
      </x:c>
      <x:c r="M152" t="str">
        <x:f>IF(K152=0,"OPEN",IF(K152=1,"PASS","FAIL"))</x:f>
        <x:v>OPEN</x:v>
      </x:c>
    </x:row>
    <x:row r="153">
      <x:c r="B153" t="str">
        <x:v>NCP-147</x:v>
      </x:c>
      <x:c r="C153" t="str">
        <x:v>B</x:v>
      </x:c>
      <x:c r="D153" t="str">
        <x:v>PTC-C</x:v>
      </x:c>
      <x:c r="E153" t="str">
        <x:v>SP-2</x:v>
      </x:c>
      <x:c r="F153" t="str">
        <x:v>drain or knockout</x:v>
      </x:c>
      <x:c r="G153" t="str">
        <x:v>B-C-2-04</x:v>
      </x:c>
      <x:c r="H153" t="n">
        <x:v>0</x:v>
      </x:c>
      <x:c r="I153" t="n">
        <x:v>1</x:v>
      </x:c>
      <x:c r="J153" t="n">
        <x:v>1</x:v>
      </x:c>
      <x:c r="K153" t="n">
        <x:v>0</x:v>
      </x:c>
      <x:c r="L153" t="str">
        <x:f>IF(AND(H153=0,I153=1,J153=1),"PASS","FAIL")</x:f>
        <x:v>PASS</x:v>
      </x:c>
      <x:c r="M153" t="str">
        <x:f>IF(K153=0,"OPEN",IF(K153=1,"PASS","FAIL"))</x:f>
        <x:v>OPEN</x:v>
      </x:c>
    </x:row>
    <x:row r="154">
      <x:c r="B154" t="str">
        <x:v>NCP-148</x:v>
      </x:c>
      <x:c r="C154" t="str">
        <x:v>B</x:v>
      </x:c>
      <x:c r="D154" t="str">
        <x:v>PTC-C</x:v>
      </x:c>
      <x:c r="E154" t="str">
        <x:v>SP-2</x:v>
      </x:c>
      <x:c r="F154" t="str">
        <x:v>receiver or sump</x:v>
      </x:c>
      <x:c r="G154" t="str">
        <x:v>B-C-2-05</x:v>
      </x:c>
      <x:c r="H154" t="n">
        <x:v>0</x:v>
      </x:c>
      <x:c r="I154" t="n">
        <x:v>1</x:v>
      </x:c>
      <x:c r="J154" t="n">
        <x:v>1</x:v>
      </x:c>
      <x:c r="K154" t="n">
        <x:v>0</x:v>
      </x:c>
      <x:c r="L154" t="str">
        <x:f>IF(AND(H154=0,I154=1,J154=1),"PASS","FAIL")</x:f>
        <x:v>PASS</x:v>
      </x:c>
      <x:c r="M154" t="str">
        <x:f>IF(K154=0,"OPEN",IF(K154=1,"PASS","FAIL"))</x:f>
        <x:v>OPEN</x:v>
      </x:c>
    </x:row>
    <x:row r="155">
      <x:c r="B155" t="str">
        <x:v>NCP-149</x:v>
      </x:c>
      <x:c r="C155" t="str">
        <x:v>B</x:v>
      </x:c>
      <x:c r="D155" t="str">
        <x:v>PTC-C</x:v>
      </x:c>
      <x:c r="E155" t="str">
        <x:v>SP-2</x:v>
      </x:c>
      <x:c r="F155" t="str">
        <x:v>gas holder or recovery</x:v>
      </x:c>
      <x:c r="G155" t="str">
        <x:v>B-C-2-06</x:v>
      </x:c>
      <x:c r="H155" t="n">
        <x:v>0</x:v>
      </x:c>
      <x:c r="I155" t="n">
        <x:v>1</x:v>
      </x:c>
      <x:c r="J155" t="n">
        <x:v>1</x:v>
      </x:c>
      <x:c r="K155" t="n">
        <x:v>0</x:v>
      </x:c>
      <x:c r="L155" t="str">
        <x:f>IF(AND(H155=0,I155=1,J155=1),"PASS","FAIL")</x:f>
        <x:v>PASS</x:v>
      </x:c>
      <x:c r="M155" t="str">
        <x:f>IF(K155=0,"OPEN",IF(K155=1,"PASS","FAIL"))</x:f>
        <x:v>OPEN</x:v>
      </x:c>
    </x:row>
    <x:row r="156">
      <x:c r="B156" t="str">
        <x:v>NCP-150</x:v>
      </x:c>
      <x:c r="C156" t="str">
        <x:v>B</x:v>
      </x:c>
      <x:c r="D156" t="str">
        <x:v>PTC-C</x:v>
      </x:c>
      <x:c r="E156" t="str">
        <x:v>SP-2</x:v>
      </x:c>
      <x:c r="F156" t="str">
        <x:v>last-resort disposition</x:v>
      </x:c>
      <x:c r="G156" t="str">
        <x:v>B-C-2-07</x:v>
      </x:c>
      <x:c r="H156" t="n">
        <x:v>0</x:v>
      </x:c>
      <x:c r="I156" t="n">
        <x:v>1</x:v>
      </x:c>
      <x:c r="J156" t="n">
        <x:v>1</x:v>
      </x:c>
      <x:c r="K156" t="n">
        <x:v>0</x:v>
      </x:c>
      <x:c r="L156" t="str">
        <x:f>IF(AND(H156=0,I156=1,J156=1),"PASS","FAIL")</x:f>
        <x:v>PASS</x:v>
      </x:c>
      <x:c r="M156" t="str">
        <x:f>IF(K156=0,"OPEN",IF(K156=1,"PASS","FAIL"))</x:f>
        <x:v>OPEN</x:v>
      </x:c>
    </x:row>
    <x:row r="157">
      <x:c r="B157" t="str">
        <x:v>NCP-151</x:v>
      </x:c>
      <x:c r="C157" t="str">
        <x:v>B</x:v>
      </x:c>
      <x:c r="D157" t="str">
        <x:v>PTC-C</x:v>
      </x:c>
      <x:c r="E157" t="str">
        <x:v>SP-2</x:v>
      </x:c>
      <x:c r="F157" t="str">
        <x:v>thermal and fragment barrier</x:v>
      </x:c>
      <x:c r="G157" t="str">
        <x:v>B-C-2-08</x:v>
      </x:c>
      <x:c r="H157" t="n">
        <x:v>0</x:v>
      </x:c>
      <x:c r="I157" t="n">
        <x:v>1</x:v>
      </x:c>
      <x:c r="J157" t="n">
        <x:v>1</x:v>
      </x:c>
      <x:c r="K157" t="n">
        <x:v>0</x:v>
      </x:c>
      <x:c r="L157" t="str">
        <x:f>IF(AND(H157=0,I157=1,J157=1),"PASS","FAIL")</x:f>
        <x:v>PASS</x:v>
      </x:c>
      <x:c r="M157" t="str">
        <x:f>IF(K157=0,"OPEN",IF(K157=1,"PASS","FAIL"))</x:f>
        <x:v>OPEN</x:v>
      </x:c>
    </x:row>
    <x:row r="158">
      <x:c r="B158" t="str">
        <x:v>NCP-152</x:v>
      </x:c>
      <x:c r="C158" t="str">
        <x:v>B</x:v>
      </x:c>
      <x:c r="D158" t="str">
        <x:v>PTC-C</x:v>
      </x:c>
      <x:c r="E158" t="str">
        <x:v>SP-2</x:v>
      </x:c>
      <x:c r="F158" t="str">
        <x:v>structural support</x:v>
      </x:c>
      <x:c r="G158" t="str">
        <x:v>B-C-2-09</x:v>
      </x:c>
      <x:c r="H158" t="n">
        <x:v>0</x:v>
      </x:c>
      <x:c r="I158" t="n">
        <x:v>1</x:v>
      </x:c>
      <x:c r="J158" t="n">
        <x:v>1</x:v>
      </x:c>
      <x:c r="K158" t="n">
        <x:v>0</x:v>
      </x:c>
      <x:c r="L158" t="str">
        <x:f>IF(AND(H158=0,I158=1,J158=1),"PASS","FAIL")</x:f>
        <x:v>PASS</x:v>
      </x:c>
      <x:c r="M158" t="str">
        <x:f>IF(K158=0,"OPEN",IF(K158=1,"PASS","FAIL"))</x:f>
        <x:v>OPEN</x:v>
      </x:c>
    </x:row>
    <x:row r="159">
      <x:c r="B159" t="str">
        <x:v>NCP-153</x:v>
      </x:c>
      <x:c r="C159" t="str">
        <x:v>B</x:v>
      </x:c>
      <x:c r="D159" t="str">
        <x:v>PTC-C</x:v>
      </x:c>
      <x:c r="E159" t="str">
        <x:v>SP-2</x:v>
      </x:c>
      <x:c r="F159" t="str">
        <x:v>safety energy and logic</x:v>
      </x:c>
      <x:c r="G159" t="str">
        <x:v>B-C-2-10</x:v>
      </x:c>
      <x:c r="H159" t="n">
        <x:v>0</x:v>
      </x:c>
      <x:c r="I159" t="n">
        <x:v>1</x:v>
      </x:c>
      <x:c r="J159" t="n">
        <x:v>1</x:v>
      </x:c>
      <x:c r="K159" t="n">
        <x:v>0</x:v>
      </x:c>
      <x:c r="L159" t="str">
        <x:f>IF(AND(H159=0,I159=1,J159=1),"PASS","FAIL")</x:f>
        <x:v>PASS</x:v>
      </x:c>
      <x:c r="M159" t="str">
        <x:f>IF(K159=0,"OPEN",IF(K159=1,"PASS","FAIL"))</x:f>
        <x:v>OPEN</x:v>
      </x:c>
    </x:row>
    <x:row r="160">
      <x:c r="B160" t="str">
        <x:v>NCP-154</x:v>
      </x:c>
      <x:c r="C160" t="str">
        <x:v>B</x:v>
      </x:c>
      <x:c r="D160" t="str">
        <x:v>PTC-C</x:v>
      </x:c>
      <x:c r="E160" t="str">
        <x:v>SP-2</x:v>
      </x:c>
      <x:c r="F160" t="str">
        <x:v>native evidence</x:v>
      </x:c>
      <x:c r="G160" t="str">
        <x:v>B-C-2-11</x:v>
      </x:c>
      <x:c r="H160" t="n">
        <x:v>0</x:v>
      </x:c>
      <x:c r="I160" t="n">
        <x:v>1</x:v>
      </x:c>
      <x:c r="J160" t="n">
        <x:v>1</x:v>
      </x:c>
      <x:c r="K160" t="n">
        <x:v>0</x:v>
      </x:c>
      <x:c r="L160" t="str">
        <x:f>IF(AND(H160=0,I160=1,J160=1),"PASS","FAIL")</x:f>
        <x:v>PASS</x:v>
      </x:c>
      <x:c r="M160" t="str">
        <x:f>IF(K160=0,"OPEN",IF(K160=1,"PASS","FAIL"))</x:f>
        <x:v>OPEN</x:v>
      </x:c>
    </x:row>
    <x:row r="161">
      <x:c r="B161" t="str">
        <x:v>NCP-155</x:v>
      </x:c>
      <x:c r="C161" t="str">
        <x:v>B</x:v>
      </x:c>
      <x:c r="D161" t="str">
        <x:v>PTC-C</x:v>
      </x:c>
      <x:c r="E161" t="str">
        <x:v>SP-3</x:v>
      </x:c>
      <x:c r="F161" t="str">
        <x:v>source boundary</x:v>
      </x:c>
      <x:c r="G161" t="str">
        <x:v>B-C-3-01</x:v>
      </x:c>
      <x:c r="H161" t="n">
        <x:v>0</x:v>
      </x:c>
      <x:c r="I161" t="n">
        <x:v>1</x:v>
      </x:c>
      <x:c r="J161" t="n">
        <x:v>1</x:v>
      </x:c>
      <x:c r="K161" t="n">
        <x:v>0</x:v>
      </x:c>
      <x:c r="L161" t="str">
        <x:f>IF(AND(H161=0,I161=1,J161=1),"PASS","FAIL")</x:f>
        <x:v>PASS</x:v>
      </x:c>
      <x:c r="M161" t="str">
        <x:f>IF(K161=0,"OPEN",IF(K161=1,"PASS","FAIL"))</x:f>
        <x:v>OPEN</x:v>
      </x:c>
    </x:row>
    <x:row r="162">
      <x:c r="B162" t="str">
        <x:v>NCP-156</x:v>
      </x:c>
      <x:c r="C162" t="str">
        <x:v>B</x:v>
      </x:c>
      <x:c r="D162" t="str">
        <x:v>PTC-C</x:v>
      </x:c>
      <x:c r="E162" t="str">
        <x:v>SP-3</x:v>
      </x:c>
      <x:c r="F162" t="str">
        <x:v>primary isolation</x:v>
      </x:c>
      <x:c r="G162" t="str">
        <x:v>B-C-3-02</x:v>
      </x:c>
      <x:c r="H162" t="n">
        <x:v>0</x:v>
      </x:c>
      <x:c r="I162" t="n">
        <x:v>1</x:v>
      </x:c>
      <x:c r="J162" t="n">
        <x:v>1</x:v>
      </x:c>
      <x:c r="K162" t="n">
        <x:v>0</x:v>
      </x:c>
      <x:c r="L162" t="str">
        <x:f>IF(AND(H162=0,I162=1,J162=1),"PASS","FAIL")</x:f>
        <x:v>PASS</x:v>
      </x:c>
      <x:c r="M162" t="str">
        <x:f>IF(K162=0,"OPEN",IF(K162=1,"PASS","FAIL"))</x:f>
        <x:v>OPEN</x:v>
      </x:c>
    </x:row>
    <x:row r="163">
      <x:c r="B163" t="str">
        <x:v>NCP-157</x:v>
      </x:c>
      <x:c r="C163" t="str">
        <x:v>B</x:v>
      </x:c>
      <x:c r="D163" t="str">
        <x:v>PTC-C</x:v>
      </x:c>
      <x:c r="E163" t="str">
        <x:v>SP-3</x:v>
      </x:c>
      <x:c r="F163" t="str">
        <x:v>relief or transfer route</x:v>
      </x:c>
      <x:c r="G163" t="str">
        <x:v>B-C-3-03</x:v>
      </x:c>
      <x:c r="H163" t="n">
        <x:v>0</x:v>
      </x:c>
      <x:c r="I163" t="n">
        <x:v>1</x:v>
      </x:c>
      <x:c r="J163" t="n">
        <x:v>1</x:v>
      </x:c>
      <x:c r="K163" t="n">
        <x:v>0</x:v>
      </x:c>
      <x:c r="L163" t="str">
        <x:f>IF(AND(H163=0,I163=1,J163=1),"PASS","FAIL")</x:f>
        <x:v>PASS</x:v>
      </x:c>
      <x:c r="M163" t="str">
        <x:f>IF(K163=0,"OPEN",IF(K163=1,"PASS","FAIL"))</x:f>
        <x:v>OPEN</x:v>
      </x:c>
    </x:row>
    <x:row r="164">
      <x:c r="B164" t="str">
        <x:v>NCP-158</x:v>
      </x:c>
      <x:c r="C164" t="str">
        <x:v>B</x:v>
      </x:c>
      <x:c r="D164" t="str">
        <x:v>PTC-C</x:v>
      </x:c>
      <x:c r="E164" t="str">
        <x:v>SP-3</x:v>
      </x:c>
      <x:c r="F164" t="str">
        <x:v>drain or knockout</x:v>
      </x:c>
      <x:c r="G164" t="str">
        <x:v>B-C-3-04</x:v>
      </x:c>
      <x:c r="H164" t="n">
        <x:v>0</x:v>
      </x:c>
      <x:c r="I164" t="n">
        <x:v>1</x:v>
      </x:c>
      <x:c r="J164" t="n">
        <x:v>1</x:v>
      </x:c>
      <x:c r="K164" t="n">
        <x:v>0</x:v>
      </x:c>
      <x:c r="L164" t="str">
        <x:f>IF(AND(H164=0,I164=1,J164=1),"PASS","FAIL")</x:f>
        <x:v>PASS</x:v>
      </x:c>
      <x:c r="M164" t="str">
        <x:f>IF(K164=0,"OPEN",IF(K164=1,"PASS","FAIL"))</x:f>
        <x:v>OPEN</x:v>
      </x:c>
    </x:row>
    <x:row r="165">
      <x:c r="B165" t="str">
        <x:v>NCP-159</x:v>
      </x:c>
      <x:c r="C165" t="str">
        <x:v>B</x:v>
      </x:c>
      <x:c r="D165" t="str">
        <x:v>PTC-C</x:v>
      </x:c>
      <x:c r="E165" t="str">
        <x:v>SP-3</x:v>
      </x:c>
      <x:c r="F165" t="str">
        <x:v>receiver or sump</x:v>
      </x:c>
      <x:c r="G165" t="str">
        <x:v>B-C-3-05</x:v>
      </x:c>
      <x:c r="H165" t="n">
        <x:v>0</x:v>
      </x:c>
      <x:c r="I165" t="n">
        <x:v>1</x:v>
      </x:c>
      <x:c r="J165" t="n">
        <x:v>1</x:v>
      </x:c>
      <x:c r="K165" t="n">
        <x:v>0</x:v>
      </x:c>
      <x:c r="L165" t="str">
        <x:f>IF(AND(H165=0,I165=1,J165=1),"PASS","FAIL")</x:f>
        <x:v>PASS</x:v>
      </x:c>
      <x:c r="M165" t="str">
        <x:f>IF(K165=0,"OPEN",IF(K165=1,"PASS","FAIL"))</x:f>
        <x:v>OPEN</x:v>
      </x:c>
    </x:row>
    <x:row r="166">
      <x:c r="B166" t="str">
        <x:v>NCP-160</x:v>
      </x:c>
      <x:c r="C166" t="str">
        <x:v>B</x:v>
      </x:c>
      <x:c r="D166" t="str">
        <x:v>PTC-C</x:v>
      </x:c>
      <x:c r="E166" t="str">
        <x:v>SP-3</x:v>
      </x:c>
      <x:c r="F166" t="str">
        <x:v>gas holder or recovery</x:v>
      </x:c>
      <x:c r="G166" t="str">
        <x:v>B-C-3-06</x:v>
      </x:c>
      <x:c r="H166" t="n">
        <x:v>0</x:v>
      </x:c>
      <x:c r="I166" t="n">
        <x:v>1</x:v>
      </x:c>
      <x:c r="J166" t="n">
        <x:v>1</x:v>
      </x:c>
      <x:c r="K166" t="n">
        <x:v>0</x:v>
      </x:c>
      <x:c r="L166" t="str">
        <x:f>IF(AND(H166=0,I166=1,J166=1),"PASS","FAIL")</x:f>
        <x:v>PASS</x:v>
      </x:c>
      <x:c r="M166" t="str">
        <x:f>IF(K166=0,"OPEN",IF(K166=1,"PASS","FAIL"))</x:f>
        <x:v>OPEN</x:v>
      </x:c>
    </x:row>
    <x:row r="167">
      <x:c r="B167" t="str">
        <x:v>NCP-161</x:v>
      </x:c>
      <x:c r="C167" t="str">
        <x:v>B</x:v>
      </x:c>
      <x:c r="D167" t="str">
        <x:v>PTC-C</x:v>
      </x:c>
      <x:c r="E167" t="str">
        <x:v>SP-3</x:v>
      </x:c>
      <x:c r="F167" t="str">
        <x:v>last-resort disposition</x:v>
      </x:c>
      <x:c r="G167" t="str">
        <x:v>B-C-3-07</x:v>
      </x:c>
      <x:c r="H167" t="n">
        <x:v>0</x:v>
      </x:c>
      <x:c r="I167" t="n">
        <x:v>1</x:v>
      </x:c>
      <x:c r="J167" t="n">
        <x:v>1</x:v>
      </x:c>
      <x:c r="K167" t="n">
        <x:v>0</x:v>
      </x:c>
      <x:c r="L167" t="str">
        <x:f>IF(AND(H167=0,I167=1,J167=1),"PASS","FAIL")</x:f>
        <x:v>PASS</x:v>
      </x:c>
      <x:c r="M167" t="str">
        <x:f>IF(K167=0,"OPEN",IF(K167=1,"PASS","FAIL"))</x:f>
        <x:v>OPEN</x:v>
      </x:c>
    </x:row>
    <x:row r="168">
      <x:c r="B168" t="str">
        <x:v>NCP-162</x:v>
      </x:c>
      <x:c r="C168" t="str">
        <x:v>B</x:v>
      </x:c>
      <x:c r="D168" t="str">
        <x:v>PTC-C</x:v>
      </x:c>
      <x:c r="E168" t="str">
        <x:v>SP-3</x:v>
      </x:c>
      <x:c r="F168" t="str">
        <x:v>thermal and fragment barrier</x:v>
      </x:c>
      <x:c r="G168" t="str">
        <x:v>B-C-3-08</x:v>
      </x:c>
      <x:c r="H168" t="n">
        <x:v>0</x:v>
      </x:c>
      <x:c r="I168" t="n">
        <x:v>1</x:v>
      </x:c>
      <x:c r="J168" t="n">
        <x:v>1</x:v>
      </x:c>
      <x:c r="K168" t="n">
        <x:v>0</x:v>
      </x:c>
      <x:c r="L168" t="str">
        <x:f>IF(AND(H168=0,I168=1,J168=1),"PASS","FAIL")</x:f>
        <x:v>PASS</x:v>
      </x:c>
      <x:c r="M168" t="str">
        <x:f>IF(K168=0,"OPEN",IF(K168=1,"PASS","FAIL"))</x:f>
        <x:v>OPEN</x:v>
      </x:c>
    </x:row>
    <x:row r="169">
      <x:c r="B169" t="str">
        <x:v>NCP-163</x:v>
      </x:c>
      <x:c r="C169" t="str">
        <x:v>B</x:v>
      </x:c>
      <x:c r="D169" t="str">
        <x:v>PTC-C</x:v>
      </x:c>
      <x:c r="E169" t="str">
        <x:v>SP-3</x:v>
      </x:c>
      <x:c r="F169" t="str">
        <x:v>structural support</x:v>
      </x:c>
      <x:c r="G169" t="str">
        <x:v>B-C-3-09</x:v>
      </x:c>
      <x:c r="H169" t="n">
        <x:v>0</x:v>
      </x:c>
      <x:c r="I169" t="n">
        <x:v>1</x:v>
      </x:c>
      <x:c r="J169" t="n">
        <x:v>1</x:v>
      </x:c>
      <x:c r="K169" t="n">
        <x:v>0</x:v>
      </x:c>
      <x:c r="L169" t="str">
        <x:f>IF(AND(H169=0,I169=1,J169=1),"PASS","FAIL")</x:f>
        <x:v>PASS</x:v>
      </x:c>
      <x:c r="M169" t="str">
        <x:f>IF(K169=0,"OPEN",IF(K169=1,"PASS","FAIL"))</x:f>
        <x:v>OPEN</x:v>
      </x:c>
    </x:row>
    <x:row r="170">
      <x:c r="B170" t="str">
        <x:v>NCP-164</x:v>
      </x:c>
      <x:c r="C170" t="str">
        <x:v>B</x:v>
      </x:c>
      <x:c r="D170" t="str">
        <x:v>PTC-C</x:v>
      </x:c>
      <x:c r="E170" t="str">
        <x:v>SP-3</x:v>
      </x:c>
      <x:c r="F170" t="str">
        <x:v>safety energy and logic</x:v>
      </x:c>
      <x:c r="G170" t="str">
        <x:v>B-C-3-10</x:v>
      </x:c>
      <x:c r="H170" t="n">
        <x:v>0</x:v>
      </x:c>
      <x:c r="I170" t="n">
        <x:v>1</x:v>
      </x:c>
      <x:c r="J170" t="n">
        <x:v>1</x:v>
      </x:c>
      <x:c r="K170" t="n">
        <x:v>0</x:v>
      </x:c>
      <x:c r="L170" t="str">
        <x:f>IF(AND(H170=0,I170=1,J170=1),"PASS","FAIL")</x:f>
        <x:v>PASS</x:v>
      </x:c>
      <x:c r="M170" t="str">
        <x:f>IF(K170=0,"OPEN",IF(K170=1,"PASS","FAIL"))</x:f>
        <x:v>OPEN</x:v>
      </x:c>
    </x:row>
    <x:row r="171">
      <x:c r="B171" t="str">
        <x:v>NCP-165</x:v>
      </x:c>
      <x:c r="C171" t="str">
        <x:v>B</x:v>
      </x:c>
      <x:c r="D171" t="str">
        <x:v>PTC-C</x:v>
      </x:c>
      <x:c r="E171" t="str">
        <x:v>SP-3</x:v>
      </x:c>
      <x:c r="F171" t="str">
        <x:v>native evidence</x:v>
      </x:c>
      <x:c r="G171" t="str">
        <x:v>B-C-3-11</x:v>
      </x:c>
      <x:c r="H171" t="n">
        <x:v>0</x:v>
      </x:c>
      <x:c r="I171" t="n">
        <x:v>1</x:v>
      </x:c>
      <x:c r="J171" t="n">
        <x:v>1</x:v>
      </x:c>
      <x:c r="K171" t="n">
        <x:v>0</x:v>
      </x:c>
      <x:c r="L171" t="str">
        <x:f>IF(AND(H171=0,I171=1,J171=1),"PASS","FAIL")</x:f>
        <x:v>PASS</x:v>
      </x:c>
      <x:c r="M171" t="str">
        <x:f>IF(K171=0,"OPEN",IF(K171=1,"PASS","FAIL"))</x:f>
        <x:v>OPEN</x:v>
      </x:c>
    </x:row>
    <x:row r="172">
      <x:c r="B172" t="str">
        <x:v>NCP-166</x:v>
      </x:c>
      <x:c r="C172" t="str">
        <x:v>B</x:v>
      </x:c>
      <x:c r="D172" t="str">
        <x:v>PTC-C</x:v>
      </x:c>
      <x:c r="E172" t="str">
        <x:v>SP-4</x:v>
      </x:c>
      <x:c r="F172" t="str">
        <x:v>source boundary</x:v>
      </x:c>
      <x:c r="G172" t="str">
        <x:v>B-C-4-01</x:v>
      </x:c>
      <x:c r="H172" t="n">
        <x:v>0</x:v>
      </x:c>
      <x:c r="I172" t="n">
        <x:v>1</x:v>
      </x:c>
      <x:c r="J172" t="n">
        <x:v>1</x:v>
      </x:c>
      <x:c r="K172" t="n">
        <x:v>0</x:v>
      </x:c>
      <x:c r="L172" t="str">
        <x:f>IF(AND(H172=0,I172=1,J172=1),"PASS","FAIL")</x:f>
        <x:v>PASS</x:v>
      </x:c>
      <x:c r="M172" t="str">
        <x:f>IF(K172=0,"OPEN",IF(K172=1,"PASS","FAIL"))</x:f>
        <x:v>OPEN</x:v>
      </x:c>
    </x:row>
    <x:row r="173">
      <x:c r="B173" t="str">
        <x:v>NCP-167</x:v>
      </x:c>
      <x:c r="C173" t="str">
        <x:v>B</x:v>
      </x:c>
      <x:c r="D173" t="str">
        <x:v>PTC-C</x:v>
      </x:c>
      <x:c r="E173" t="str">
        <x:v>SP-4</x:v>
      </x:c>
      <x:c r="F173" t="str">
        <x:v>primary isolation</x:v>
      </x:c>
      <x:c r="G173" t="str">
        <x:v>B-C-4-02</x:v>
      </x:c>
      <x:c r="H173" t="n">
        <x:v>0</x:v>
      </x:c>
      <x:c r="I173" t="n">
        <x:v>1</x:v>
      </x:c>
      <x:c r="J173" t="n">
        <x:v>1</x:v>
      </x:c>
      <x:c r="K173" t="n">
        <x:v>0</x:v>
      </x:c>
      <x:c r="L173" t="str">
        <x:f>IF(AND(H173=0,I173=1,J173=1),"PASS","FAIL")</x:f>
        <x:v>PASS</x:v>
      </x:c>
      <x:c r="M173" t="str">
        <x:f>IF(K173=0,"OPEN",IF(K173=1,"PASS","FAIL"))</x:f>
        <x:v>OPEN</x:v>
      </x:c>
    </x:row>
    <x:row r="174">
      <x:c r="B174" t="str">
        <x:v>NCP-168</x:v>
      </x:c>
      <x:c r="C174" t="str">
        <x:v>B</x:v>
      </x:c>
      <x:c r="D174" t="str">
        <x:v>PTC-C</x:v>
      </x:c>
      <x:c r="E174" t="str">
        <x:v>SP-4</x:v>
      </x:c>
      <x:c r="F174" t="str">
        <x:v>relief or transfer route</x:v>
      </x:c>
      <x:c r="G174" t="str">
        <x:v>B-C-4-03</x:v>
      </x:c>
      <x:c r="H174" t="n">
        <x:v>0</x:v>
      </x:c>
      <x:c r="I174" t="n">
        <x:v>1</x:v>
      </x:c>
      <x:c r="J174" t="n">
        <x:v>1</x:v>
      </x:c>
      <x:c r="K174" t="n">
        <x:v>0</x:v>
      </x:c>
      <x:c r="L174" t="str">
        <x:f>IF(AND(H174=0,I174=1,J174=1),"PASS","FAIL")</x:f>
        <x:v>PASS</x:v>
      </x:c>
      <x:c r="M174" t="str">
        <x:f>IF(K174=0,"OPEN",IF(K174=1,"PASS","FAIL"))</x:f>
        <x:v>OPEN</x:v>
      </x:c>
    </x:row>
    <x:row r="175">
      <x:c r="B175" t="str">
        <x:v>NCP-169</x:v>
      </x:c>
      <x:c r="C175" t="str">
        <x:v>B</x:v>
      </x:c>
      <x:c r="D175" t="str">
        <x:v>PTC-C</x:v>
      </x:c>
      <x:c r="E175" t="str">
        <x:v>SP-4</x:v>
      </x:c>
      <x:c r="F175" t="str">
        <x:v>drain or knockout</x:v>
      </x:c>
      <x:c r="G175" t="str">
        <x:v>B-C-4-04</x:v>
      </x:c>
      <x:c r="H175" t="n">
        <x:v>0</x:v>
      </x:c>
      <x:c r="I175" t="n">
        <x:v>1</x:v>
      </x:c>
      <x:c r="J175" t="n">
        <x:v>1</x:v>
      </x:c>
      <x:c r="K175" t="n">
        <x:v>0</x:v>
      </x:c>
      <x:c r="L175" t="str">
        <x:f>IF(AND(H175=0,I175=1,J175=1),"PASS","FAIL")</x:f>
        <x:v>PASS</x:v>
      </x:c>
      <x:c r="M175" t="str">
        <x:f>IF(K175=0,"OPEN",IF(K175=1,"PASS","FAIL"))</x:f>
        <x:v>OPEN</x:v>
      </x:c>
    </x:row>
    <x:row r="176">
      <x:c r="B176" t="str">
        <x:v>NCP-170</x:v>
      </x:c>
      <x:c r="C176" t="str">
        <x:v>B</x:v>
      </x:c>
      <x:c r="D176" t="str">
        <x:v>PTC-C</x:v>
      </x:c>
      <x:c r="E176" t="str">
        <x:v>SP-4</x:v>
      </x:c>
      <x:c r="F176" t="str">
        <x:v>receiver or sump</x:v>
      </x:c>
      <x:c r="G176" t="str">
        <x:v>B-C-4-05</x:v>
      </x:c>
      <x:c r="H176" t="n">
        <x:v>0</x:v>
      </x:c>
      <x:c r="I176" t="n">
        <x:v>1</x:v>
      </x:c>
      <x:c r="J176" t="n">
        <x:v>1</x:v>
      </x:c>
      <x:c r="K176" t="n">
        <x:v>0</x:v>
      </x:c>
      <x:c r="L176" t="str">
        <x:f>IF(AND(H176=0,I176=1,J176=1),"PASS","FAIL")</x:f>
        <x:v>PASS</x:v>
      </x:c>
      <x:c r="M176" t="str">
        <x:f>IF(K176=0,"OPEN",IF(K176=1,"PASS","FAIL"))</x:f>
        <x:v>OPEN</x:v>
      </x:c>
    </x:row>
    <x:row r="177">
      <x:c r="B177" t="str">
        <x:v>NCP-171</x:v>
      </x:c>
      <x:c r="C177" t="str">
        <x:v>B</x:v>
      </x:c>
      <x:c r="D177" t="str">
        <x:v>PTC-C</x:v>
      </x:c>
      <x:c r="E177" t="str">
        <x:v>SP-4</x:v>
      </x:c>
      <x:c r="F177" t="str">
        <x:v>gas holder or recovery</x:v>
      </x:c>
      <x:c r="G177" t="str">
        <x:v>B-C-4-06</x:v>
      </x:c>
      <x:c r="H177" t="n">
        <x:v>0</x:v>
      </x:c>
      <x:c r="I177" t="n">
        <x:v>1</x:v>
      </x:c>
      <x:c r="J177" t="n">
        <x:v>1</x:v>
      </x:c>
      <x:c r="K177" t="n">
        <x:v>0</x:v>
      </x:c>
      <x:c r="L177" t="str">
        <x:f>IF(AND(H177=0,I177=1,J177=1),"PASS","FAIL")</x:f>
        <x:v>PASS</x:v>
      </x:c>
      <x:c r="M177" t="str">
        <x:f>IF(K177=0,"OPEN",IF(K177=1,"PASS","FAIL"))</x:f>
        <x:v>OPEN</x:v>
      </x:c>
    </x:row>
    <x:row r="178">
      <x:c r="B178" t="str">
        <x:v>NCP-172</x:v>
      </x:c>
      <x:c r="C178" t="str">
        <x:v>B</x:v>
      </x:c>
      <x:c r="D178" t="str">
        <x:v>PTC-C</x:v>
      </x:c>
      <x:c r="E178" t="str">
        <x:v>SP-4</x:v>
      </x:c>
      <x:c r="F178" t="str">
        <x:v>last-resort disposition</x:v>
      </x:c>
      <x:c r="G178" t="str">
        <x:v>B-C-4-07</x:v>
      </x:c>
      <x:c r="H178" t="n">
        <x:v>0</x:v>
      </x:c>
      <x:c r="I178" t="n">
        <x:v>1</x:v>
      </x:c>
      <x:c r="J178" t="n">
        <x:v>1</x:v>
      </x:c>
      <x:c r="K178" t="n">
        <x:v>0</x:v>
      </x:c>
      <x:c r="L178" t="str">
        <x:f>IF(AND(H178=0,I178=1,J178=1),"PASS","FAIL")</x:f>
        <x:v>PASS</x:v>
      </x:c>
      <x:c r="M178" t="str">
        <x:f>IF(K178=0,"OPEN",IF(K178=1,"PASS","FAIL"))</x:f>
        <x:v>OPEN</x:v>
      </x:c>
    </x:row>
    <x:row r="179">
      <x:c r="B179" t="str">
        <x:v>NCP-173</x:v>
      </x:c>
      <x:c r="C179" t="str">
        <x:v>B</x:v>
      </x:c>
      <x:c r="D179" t="str">
        <x:v>PTC-C</x:v>
      </x:c>
      <x:c r="E179" t="str">
        <x:v>SP-4</x:v>
      </x:c>
      <x:c r="F179" t="str">
        <x:v>thermal and fragment barrier</x:v>
      </x:c>
      <x:c r="G179" t="str">
        <x:v>B-C-4-08</x:v>
      </x:c>
      <x:c r="H179" t="n">
        <x:v>0</x:v>
      </x:c>
      <x:c r="I179" t="n">
        <x:v>1</x:v>
      </x:c>
      <x:c r="J179" t="n">
        <x:v>1</x:v>
      </x:c>
      <x:c r="K179" t="n">
        <x:v>0</x:v>
      </x:c>
      <x:c r="L179" t="str">
        <x:f>IF(AND(H179=0,I179=1,J179=1),"PASS","FAIL")</x:f>
        <x:v>PASS</x:v>
      </x:c>
      <x:c r="M179" t="str">
        <x:f>IF(K179=0,"OPEN",IF(K179=1,"PASS","FAIL"))</x:f>
        <x:v>OPEN</x:v>
      </x:c>
    </x:row>
    <x:row r="180">
      <x:c r="B180" t="str">
        <x:v>NCP-174</x:v>
      </x:c>
      <x:c r="C180" t="str">
        <x:v>B</x:v>
      </x:c>
      <x:c r="D180" t="str">
        <x:v>PTC-C</x:v>
      </x:c>
      <x:c r="E180" t="str">
        <x:v>SP-4</x:v>
      </x:c>
      <x:c r="F180" t="str">
        <x:v>structural support</x:v>
      </x:c>
      <x:c r="G180" t="str">
        <x:v>B-C-4-09</x:v>
      </x:c>
      <x:c r="H180" t="n">
        <x:v>0</x:v>
      </x:c>
      <x:c r="I180" t="n">
        <x:v>1</x:v>
      </x:c>
      <x:c r="J180" t="n">
        <x:v>1</x:v>
      </x:c>
      <x:c r="K180" t="n">
        <x:v>0</x:v>
      </x:c>
      <x:c r="L180" t="str">
        <x:f>IF(AND(H180=0,I180=1,J180=1),"PASS","FAIL")</x:f>
        <x:v>PASS</x:v>
      </x:c>
      <x:c r="M180" t="str">
        <x:f>IF(K180=0,"OPEN",IF(K180=1,"PASS","FAIL"))</x:f>
        <x:v>OPEN</x:v>
      </x:c>
    </x:row>
    <x:row r="181">
      <x:c r="B181" t="str">
        <x:v>NCP-175</x:v>
      </x:c>
      <x:c r="C181" t="str">
        <x:v>B</x:v>
      </x:c>
      <x:c r="D181" t="str">
        <x:v>PTC-C</x:v>
      </x:c>
      <x:c r="E181" t="str">
        <x:v>SP-4</x:v>
      </x:c>
      <x:c r="F181" t="str">
        <x:v>safety energy and logic</x:v>
      </x:c>
      <x:c r="G181" t="str">
        <x:v>B-C-4-10</x:v>
      </x:c>
      <x:c r="H181" t="n">
        <x:v>0</x:v>
      </x:c>
      <x:c r="I181" t="n">
        <x:v>1</x:v>
      </x:c>
      <x:c r="J181" t="n">
        <x:v>1</x:v>
      </x:c>
      <x:c r="K181" t="n">
        <x:v>0</x:v>
      </x:c>
      <x:c r="L181" t="str">
        <x:f>IF(AND(H181=0,I181=1,J181=1),"PASS","FAIL")</x:f>
        <x:v>PASS</x:v>
      </x:c>
      <x:c r="M181" t="str">
        <x:f>IF(K181=0,"OPEN",IF(K181=1,"PASS","FAIL"))</x:f>
        <x:v>OPEN</x:v>
      </x:c>
    </x:row>
    <x:row r="182">
      <x:c r="B182" t="str">
        <x:v>NCP-176</x:v>
      </x:c>
      <x:c r="C182" t="str">
        <x:v>B</x:v>
      </x:c>
      <x:c r="D182" t="str">
        <x:v>PTC-C</x:v>
      </x:c>
      <x:c r="E182" t="str">
        <x:v>SP-4</x:v>
      </x:c>
      <x:c r="F182" t="str">
        <x:v>native evidence</x:v>
      </x:c>
      <x:c r="G182" t="str">
        <x:v>B-C-4-11</x:v>
      </x:c>
      <x:c r="H182" t="n">
        <x:v>0</x:v>
      </x:c>
      <x:c r="I182" t="n">
        <x:v>1</x:v>
      </x:c>
      <x:c r="J182" t="n">
        <x:v>1</x:v>
      </x:c>
      <x:c r="K182" t="n">
        <x:v>0</x:v>
      </x:c>
      <x:c r="L182" t="str">
        <x:f>IF(AND(H182=0,I182=1,J182=1),"PASS","FAIL")</x:f>
        <x:v>PASS</x:v>
      </x:c>
      <x:c r="M182" t="str">
        <x:f>IF(K182=0,"OPEN",IF(K182=1,"PASS","FAIL"))</x:f>
        <x:v>OPEN</x:v>
      </x:c>
    </x:row>
  </x:sheetData>
  <x:conditionalFormatting sqref="L7:M182">
    <x:cfRule type="cellIs" dxfId="28" priority="1" operator="equal">
      <x:formula>"FAIL"</x:formula>
    </x:cfRule>
    <x:cfRule type="cellIs" dxfId="29" priority="2" operator="equal">
      <x:formula>"BLOCKED"</x:formula>
    </x:cfRule>
    <x:cfRule type="cellIs" dxfId="30" priority="3" operator="equal">
      <x:formula>"OPEN"</x:formula>
    </x:cfRule>
    <x:cfRule type="cellIs" dxfId="31" priority="4" operator="equal">
      <x:formula>"PASS"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9" hidden="0" customWidth="1"/>
    <x:col min="4" max="4" width="12" hidden="0" customWidth="1"/>
    <x:col min="5" max="5" width="20" hidden="0" customWidth="1"/>
    <x:col min="6" max="6" width="22" hidden="0" customWidth="1"/>
    <x:col min="7" max="7" width="13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7" hidden="0" customWidth="1"/>
    <x:col min="13" max="13" width="15" hidden="0" customWidth="1"/>
    <x:col min="14" max="14" width="16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Independent safety-energy and logic paths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Each root-site case carries analog, diverse digital and passive paths with no common final element.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Path</x:v>
      </x:c>
      <x:c r="C6" s="14" t="str">
        <x:v>Root</x:v>
      </x:c>
      <x:c r="D6" s="14" t="str">
        <x:v>Site</x:v>
      </x:c>
      <x:c r="E6" s="14" t="str">
        <x:v>Logic class</x:v>
      </x:c>
      <x:c r="F6" s="14" t="str">
        <x:v>Energy source</x:v>
      </x:c>
      <x:c r="G6" s="14" t="str">
        <x:v>Hold-up (h)</x:v>
      </x:c>
      <x:c r="H6" s="14" t="str">
        <x:v>Detector</x:v>
      </x:c>
      <x:c r="I6" s="14" t="str">
        <x:v>Controller</x:v>
      </x:c>
      <x:c r="J6" s="14" t="str">
        <x:v>Final element</x:v>
      </x:c>
      <x:c r="K6" s="14" t="str">
        <x:v>Common final element</x:v>
      </x:c>
      <x:c r="L6" s="14" t="str">
        <x:v>Design complete</x:v>
      </x:c>
      <x:c r="M6" s="14" t="str">
        <x:v>Physical proof</x:v>
      </x:c>
      <x:c r="N6" s="15" t="str">
        <x:v>Planning state</x:v>
      </x:c>
      <x:c r="O6" s="31" t="str">
        <x:v>Physical state</x:v>
      </x:c>
    </x:row>
    <x:row r="7">
      <x:c r="B7" t="str">
        <x:v>PL-A-B-1</x:v>
      </x:c>
      <x:c r="C7" t="str">
        <x:v>A</x:v>
      </x:c>
      <x:c r="D7" t="str">
        <x:v>PTC-B</x:v>
      </x:c>
      <x:c r="E7" t="str">
        <x:v>analog hardwire</x:v>
      </x:c>
      <x:c r="F7" t="str">
        <x:v>125 VDC battery A</x:v>
      </x:c>
      <x:c r="G7" t="n">
        <x:v>4</x:v>
      </x:c>
      <x:c r="H7" t="str">
        <x:v>pressure/flow</x:v>
      </x:c>
      <x:c r="I7" t="str">
        <x:v>relay logic</x:v>
      </x:c>
      <x:c r="J7" t="str">
        <x:v>spring isolation</x:v>
      </x:c>
      <x:c r="K7" t="n">
        <x:v>0</x:v>
      </x:c>
      <x:c r="L7" t="n">
        <x:v>1</x:v>
      </x:c>
      <x:c r="M7" t="n">
        <x:v>0</x:v>
      </x:c>
      <x:c r="N7" t="str">
        <x:f>IF(AND(K7=0,L7=1),"PASS","FAIL")</x:f>
        <x:v>PASS</x:v>
      </x:c>
      <x:c r="O7" t="str">
        <x:f>IF(M7=0,"OPEN",IF(M7=1,"PASS","FAIL"))</x:f>
        <x:v>OPEN</x:v>
      </x:c>
    </x:row>
    <x:row r="8">
      <x:c r="B8" t="str">
        <x:v>PL-A-B-2</x:v>
      </x:c>
      <x:c r="C8" t="str">
        <x:v>A</x:v>
      </x:c>
      <x:c r="D8" t="str">
        <x:v>PTC-B</x:v>
      </x:c>
      <x:c r="E8" t="str">
        <x:v>diverse digital</x:v>
      </x:c>
      <x:c r="F8" t="str">
        <x:v>48 VDC battery B</x:v>
      </x:c>
      <x:c r="G8" t="n">
        <x:v>8</x:v>
      </x:c>
      <x:c r="H8" t="str">
        <x:v>unlike gas/thermal</x:v>
      </x:c>
      <x:c r="I8" t="str">
        <x:v>isolated safety PLC</x:v>
      </x:c>
      <x:c r="J8" t="str">
        <x:v>accumulator isolation</x:v>
      </x:c>
      <x:c r="K8" t="n">
        <x:v>0</x:v>
      </x:c>
      <x:c r="L8" t="n">
        <x:v>1</x:v>
      </x:c>
      <x:c r="M8" t="n">
        <x:v>0</x:v>
      </x:c>
      <x:c r="N8" t="str">
        <x:f>IF(AND(K8=0,L8=1),"PASS","FAIL")</x:f>
        <x:v>PASS</x:v>
      </x:c>
      <x:c r="O8" t="str">
        <x:f>IF(M8=0,"OPEN",IF(M8=1,"PASS","FAIL"))</x:f>
        <x:v>OPEN</x:v>
      </x:c>
    </x:row>
    <x:row r="9">
      <x:c r="B9" t="str">
        <x:v>PL-A-B-3</x:v>
      </x:c>
      <x:c r="C9" t="str">
        <x:v>A</x:v>
      </x:c>
      <x:c r="D9" t="str">
        <x:v>PTC-B</x:v>
      </x:c>
      <x:c r="E9" t="str">
        <x:v>passive</x:v>
      </x:c>
      <x:c r="F9" t="str">
        <x:v>stored mechanical</x:v>
      </x:c>
      <x:c r="G9" t="n">
        <x:v>0</x:v>
      </x:c>
      <x:c r="H9" t="str">
        <x:v>thermal/pressure element</x:v>
      </x:c>
      <x:c r="I9" t="str">
        <x:v>none</x:v>
      </x:c>
      <x:c r="J9" t="str">
        <x:v>rupture route</x:v>
      </x:c>
      <x:c r="K9" t="n">
        <x:v>0</x:v>
      </x:c>
      <x:c r="L9" t="n">
        <x:v>1</x:v>
      </x:c>
      <x:c r="M9" t="n">
        <x:v>0</x:v>
      </x:c>
      <x:c r="N9" t="str">
        <x:f>IF(AND(K9=0,L9=1),"PASS","FAIL")</x:f>
        <x:v>PASS</x:v>
      </x:c>
      <x:c r="O9" t="str">
        <x:f>IF(M9=0,"OPEN",IF(M9=1,"PASS","FAIL"))</x:f>
        <x:v>OPEN</x:v>
      </x:c>
    </x:row>
    <x:row r="10">
      <x:c r="B10" t="str">
        <x:v>PL-A-C-1</x:v>
      </x:c>
      <x:c r="C10" t="str">
        <x:v>A</x:v>
      </x:c>
      <x:c r="D10" t="str">
        <x:v>PTC-C</x:v>
      </x:c>
      <x:c r="E10" t="str">
        <x:v>analog hardwire</x:v>
      </x:c>
      <x:c r="F10" t="str">
        <x:v>125 VDC battery A</x:v>
      </x:c>
      <x:c r="G10" t="n">
        <x:v>4</x:v>
      </x:c>
      <x:c r="H10" t="str">
        <x:v>pressure/flow</x:v>
      </x:c>
      <x:c r="I10" t="str">
        <x:v>relay logic</x:v>
      </x:c>
      <x:c r="J10" t="str">
        <x:v>spring isolation</x:v>
      </x:c>
      <x:c r="K10" t="n">
        <x:v>0</x:v>
      </x:c>
      <x:c r="L10" t="n">
        <x:v>1</x:v>
      </x:c>
      <x:c r="M10" t="n">
        <x:v>0</x:v>
      </x:c>
      <x:c r="N10" t="str">
        <x:f>IF(AND(K10=0,L10=1),"PASS","FAIL")</x:f>
        <x:v>PASS</x:v>
      </x:c>
      <x:c r="O10" t="str">
        <x:f>IF(M10=0,"OPEN",IF(M10=1,"PASS","FAIL"))</x:f>
        <x:v>OPEN</x:v>
      </x:c>
    </x:row>
    <x:row r="11">
      <x:c r="B11" t="str">
        <x:v>PL-A-C-2</x:v>
      </x:c>
      <x:c r="C11" t="str">
        <x:v>A</x:v>
      </x:c>
      <x:c r="D11" t="str">
        <x:v>PTC-C</x:v>
      </x:c>
      <x:c r="E11" t="str">
        <x:v>diverse digital</x:v>
      </x:c>
      <x:c r="F11" t="str">
        <x:v>48 VDC battery B</x:v>
      </x:c>
      <x:c r="G11" t="n">
        <x:v>8</x:v>
      </x:c>
      <x:c r="H11" t="str">
        <x:v>unlike gas/thermal</x:v>
      </x:c>
      <x:c r="I11" t="str">
        <x:v>isolated safety PLC</x:v>
      </x:c>
      <x:c r="J11" t="str">
        <x:v>accumulator isolation</x:v>
      </x:c>
      <x:c r="K11" t="n">
        <x:v>0</x:v>
      </x:c>
      <x:c r="L11" t="n">
        <x:v>1</x:v>
      </x:c>
      <x:c r="M11" t="n">
        <x:v>0</x:v>
      </x:c>
      <x:c r="N11" t="str">
        <x:f>IF(AND(K11=0,L11=1),"PASS","FAIL")</x:f>
        <x:v>PASS</x:v>
      </x:c>
      <x:c r="O11" t="str">
        <x:f>IF(M11=0,"OPEN",IF(M11=1,"PASS","FAIL"))</x:f>
        <x:v>OPEN</x:v>
      </x:c>
    </x:row>
    <x:row r="12">
      <x:c r="B12" t="str">
        <x:v>PL-A-C-3</x:v>
      </x:c>
      <x:c r="C12" t="str">
        <x:v>A</x:v>
      </x:c>
      <x:c r="D12" t="str">
        <x:v>PTC-C</x:v>
      </x:c>
      <x:c r="E12" t="str">
        <x:v>passive</x:v>
      </x:c>
      <x:c r="F12" t="str">
        <x:v>stored mechanical</x:v>
      </x:c>
      <x:c r="G12" t="n">
        <x:v>0</x:v>
      </x:c>
      <x:c r="H12" t="str">
        <x:v>thermal/pressure element</x:v>
      </x:c>
      <x:c r="I12" t="str">
        <x:v>none</x:v>
      </x:c>
      <x:c r="J12" t="str">
        <x:v>rupture route</x:v>
      </x:c>
      <x:c r="K12" t="n">
        <x:v>0</x:v>
      </x:c>
      <x:c r="L12" t="n">
        <x:v>1</x:v>
      </x:c>
      <x:c r="M12" t="n">
        <x:v>0</x:v>
      </x:c>
      <x:c r="N12" t="str">
        <x:f>IF(AND(K12=0,L12=1),"PASS","FAIL")</x:f>
        <x:v>PASS</x:v>
      </x:c>
      <x:c r="O12" t="str">
        <x:f>IF(M12=0,"OPEN",IF(M12=1,"PASS","FAIL"))</x:f>
        <x:v>OPEN</x:v>
      </x:c>
    </x:row>
    <x:row r="13">
      <x:c r="B13" t="str">
        <x:v>PL-B-B-1</x:v>
      </x:c>
      <x:c r="C13" t="str">
        <x:v>B</x:v>
      </x:c>
      <x:c r="D13" t="str">
        <x:v>PTC-B</x:v>
      </x:c>
      <x:c r="E13" t="str">
        <x:v>analog hardwire</x:v>
      </x:c>
      <x:c r="F13" t="str">
        <x:v>125 VDC battery A</x:v>
      </x:c>
      <x:c r="G13" t="n">
        <x:v>4</x:v>
      </x:c>
      <x:c r="H13" t="str">
        <x:v>pressure/flow</x:v>
      </x:c>
      <x:c r="I13" t="str">
        <x:v>relay logic</x:v>
      </x:c>
      <x:c r="J13" t="str">
        <x:v>spring isolation</x:v>
      </x:c>
      <x:c r="K13" t="n">
        <x:v>0</x:v>
      </x:c>
      <x:c r="L13" t="n">
        <x:v>1</x:v>
      </x:c>
      <x:c r="M13" t="n">
        <x:v>0</x:v>
      </x:c>
      <x:c r="N13" t="str">
        <x:f>IF(AND(K13=0,L13=1),"PASS","FAIL")</x:f>
        <x:v>PASS</x:v>
      </x:c>
      <x:c r="O13" t="str">
        <x:f>IF(M13=0,"OPEN",IF(M13=1,"PASS","FAIL"))</x:f>
        <x:v>OPEN</x:v>
      </x:c>
    </x:row>
    <x:row r="14">
      <x:c r="B14" t="str">
        <x:v>PL-B-B-2</x:v>
      </x:c>
      <x:c r="C14" t="str">
        <x:v>B</x:v>
      </x:c>
      <x:c r="D14" t="str">
        <x:v>PTC-B</x:v>
      </x:c>
      <x:c r="E14" t="str">
        <x:v>diverse digital</x:v>
      </x:c>
      <x:c r="F14" t="str">
        <x:v>48 VDC battery B</x:v>
      </x:c>
      <x:c r="G14" t="n">
        <x:v>8</x:v>
      </x:c>
      <x:c r="H14" t="str">
        <x:v>unlike gas/thermal</x:v>
      </x:c>
      <x:c r="I14" t="str">
        <x:v>isolated safety PLC</x:v>
      </x:c>
      <x:c r="J14" t="str">
        <x:v>accumulator isolation</x:v>
      </x:c>
      <x:c r="K14" t="n">
        <x:v>0</x:v>
      </x:c>
      <x:c r="L14" t="n">
        <x:v>1</x:v>
      </x:c>
      <x:c r="M14" t="n">
        <x:v>0</x:v>
      </x:c>
      <x:c r="N14" t="str">
        <x:f>IF(AND(K14=0,L14=1),"PASS","FAIL")</x:f>
        <x:v>PASS</x:v>
      </x:c>
      <x:c r="O14" t="str">
        <x:f>IF(M14=0,"OPEN",IF(M14=1,"PASS","FAIL"))</x:f>
        <x:v>OPEN</x:v>
      </x:c>
    </x:row>
    <x:row r="15">
      <x:c r="B15" t="str">
        <x:v>PL-B-B-3</x:v>
      </x:c>
      <x:c r="C15" t="str">
        <x:v>B</x:v>
      </x:c>
      <x:c r="D15" t="str">
        <x:v>PTC-B</x:v>
      </x:c>
      <x:c r="E15" t="str">
        <x:v>passive</x:v>
      </x:c>
      <x:c r="F15" t="str">
        <x:v>stored mechanical</x:v>
      </x:c>
      <x:c r="G15" t="n">
        <x:v>0</x:v>
      </x:c>
      <x:c r="H15" t="str">
        <x:v>thermal/pressure element</x:v>
      </x:c>
      <x:c r="I15" t="str">
        <x:v>none</x:v>
      </x:c>
      <x:c r="J15" t="str">
        <x:v>rupture route</x:v>
      </x:c>
      <x:c r="K15" t="n">
        <x:v>0</x:v>
      </x:c>
      <x:c r="L15" t="n">
        <x:v>1</x:v>
      </x:c>
      <x:c r="M15" t="n">
        <x:v>0</x:v>
      </x:c>
      <x:c r="N15" t="str">
        <x:f>IF(AND(K15=0,L15=1),"PASS","FAIL")</x:f>
        <x:v>PASS</x:v>
      </x:c>
      <x:c r="O15" t="str">
        <x:f>IF(M15=0,"OPEN",IF(M15=1,"PASS","FAIL"))</x:f>
        <x:v>OPEN</x:v>
      </x:c>
    </x:row>
    <x:row r="16">
      <x:c r="B16" t="str">
        <x:v>PL-B-C-1</x:v>
      </x:c>
      <x:c r="C16" t="str">
        <x:v>B</x:v>
      </x:c>
      <x:c r="D16" t="str">
        <x:v>PTC-C</x:v>
      </x:c>
      <x:c r="E16" t="str">
        <x:v>analog hardwire</x:v>
      </x:c>
      <x:c r="F16" t="str">
        <x:v>125 VDC battery A</x:v>
      </x:c>
      <x:c r="G16" t="n">
        <x:v>4</x:v>
      </x:c>
      <x:c r="H16" t="str">
        <x:v>pressure/flow</x:v>
      </x:c>
      <x:c r="I16" t="str">
        <x:v>relay logic</x:v>
      </x:c>
      <x:c r="J16" t="str">
        <x:v>spring isolation</x:v>
      </x:c>
      <x:c r="K16" t="n">
        <x:v>0</x:v>
      </x:c>
      <x:c r="L16" t="n">
        <x:v>1</x:v>
      </x:c>
      <x:c r="M16" t="n">
        <x:v>0</x:v>
      </x:c>
      <x:c r="N16" t="str">
        <x:f>IF(AND(K16=0,L16=1),"PASS","FAIL")</x:f>
        <x:v>PASS</x:v>
      </x:c>
      <x:c r="O16" t="str">
        <x:f>IF(M16=0,"OPEN",IF(M16=1,"PASS","FAIL"))</x:f>
        <x:v>OPEN</x:v>
      </x:c>
    </x:row>
    <x:row r="17">
      <x:c r="B17" t="str">
        <x:v>PL-B-C-2</x:v>
      </x:c>
      <x:c r="C17" t="str">
        <x:v>B</x:v>
      </x:c>
      <x:c r="D17" t="str">
        <x:v>PTC-C</x:v>
      </x:c>
      <x:c r="E17" t="str">
        <x:v>diverse digital</x:v>
      </x:c>
      <x:c r="F17" t="str">
        <x:v>48 VDC battery B</x:v>
      </x:c>
      <x:c r="G17" t="n">
        <x:v>8</x:v>
      </x:c>
      <x:c r="H17" t="str">
        <x:v>unlike gas/thermal</x:v>
      </x:c>
      <x:c r="I17" t="str">
        <x:v>isolated safety PLC</x:v>
      </x:c>
      <x:c r="J17" t="str">
        <x:v>accumulator isolation</x:v>
      </x:c>
      <x:c r="K17" t="n">
        <x:v>0</x:v>
      </x:c>
      <x:c r="L17" t="n">
        <x:v>1</x:v>
      </x:c>
      <x:c r="M17" t="n">
        <x:v>0</x:v>
      </x:c>
      <x:c r="N17" t="str">
        <x:f>IF(AND(K17=0,L17=1),"PASS","FAIL")</x:f>
        <x:v>PASS</x:v>
      </x:c>
      <x:c r="O17" t="str">
        <x:f>IF(M17=0,"OPEN",IF(M17=1,"PASS","FAIL"))</x:f>
        <x:v>OPEN</x:v>
      </x:c>
    </x:row>
    <x:row r="18">
      <x:c r="B18" t="str">
        <x:v>PL-B-C-3</x:v>
      </x:c>
      <x:c r="C18" t="str">
        <x:v>B</x:v>
      </x:c>
      <x:c r="D18" t="str">
        <x:v>PTC-C</x:v>
      </x:c>
      <x:c r="E18" t="str">
        <x:v>passive</x:v>
      </x:c>
      <x:c r="F18" t="str">
        <x:v>stored mechanical</x:v>
      </x:c>
      <x:c r="G18" t="n">
        <x:v>0</x:v>
      </x:c>
      <x:c r="H18" t="str">
        <x:v>thermal/pressure element</x:v>
      </x:c>
      <x:c r="I18" t="str">
        <x:v>none</x:v>
      </x:c>
      <x:c r="J18" t="str">
        <x:v>rupture route</x:v>
      </x:c>
      <x:c r="K18" t="n">
        <x:v>0</x:v>
      </x:c>
      <x:c r="L18" t="n">
        <x:v>1</x:v>
      </x:c>
      <x:c r="M18" t="n">
        <x:v>0</x:v>
      </x:c>
      <x:c r="N18" t="str">
        <x:f>IF(AND(K18=0,L18=1),"PASS","FAIL")</x:f>
        <x:v>PASS</x:v>
      </x:c>
      <x:c r="O18" t="str">
        <x:f>IF(M18=0,"OPEN",IF(M18=1,"PASS","FAIL"))</x:f>
        <x:v>OPEN</x:v>
      </x:c>
    </x:row>
  </x:sheetData>
  <x:conditionalFormatting sqref="N7:O18">
    <x:cfRule type="cellIs" dxfId="32" priority="1" operator="equal">
      <x:formula>"FAIL"</x:formula>
    </x:cfRule>
    <x:cfRule type="cellIs" dxfId="33" priority="2" operator="equal">
      <x:formula>"BLOCKED"</x:formula>
    </x:cfRule>
    <x:cfRule type="cellIs" dxfId="34" priority="3" operator="equal">
      <x:formula>"OPEN"</x:formula>
    </x:cfRule>
    <x:cfRule type="cellIs" dxfId="35" priority="4" operator="equal">
      <x:formula>"PASS"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31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40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9" hidden="0" customWidth="1"/>
    <x:col min="14" max="14" width="16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Operational-lane measurement channels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Rates are uncompressed planning values. Two originals and protocol overhead are calculated in the evidence schedule.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ID</x:v>
      </x:c>
      <x:c r="C6" s="14" t="str">
        <x:v>Function</x:v>
      </x:c>
      <x:c r="D6" s="14" t="str">
        <x:v>Channels per lane</x:v>
      </x:c>
      <x:c r="E6" s="14" t="str">
        <x:v>Sample rate (Hz)</x:v>
      </x:c>
      <x:c r="F6" s="14" t="str">
        <x:v>Bytes/sample</x:v>
      </x:c>
      <x:c r="G6" s="14" t="str">
        <x:v>Rate (MB/s)</x:v>
      </x:c>
      <x:c r="H6" s="14" t="str">
        <x:v>Unlike principle</x:v>
      </x:c>
      <x:c r="I6" s="14" t="str">
        <x:v>Independent power</x:v>
      </x:c>
      <x:c r="J6" s="14" t="str">
        <x:v>Local retention</x:v>
      </x:c>
      <x:c r="K6" s="14" t="str">
        <x:v>Coordinate map</x:v>
      </x:c>
      <x:c r="L6" s="14" t="str">
        <x:v>Calibration bracket</x:v>
      </x:c>
      <x:c r="M6" s="14" t="str">
        <x:v>Physical acceptance</x:v>
      </x:c>
      <x:c r="N6" s="15" t="str">
        <x:v>Planning state</x:v>
      </x:c>
      <x:c r="O6" s="31" t="str">
        <x:v>Physical state</x:v>
      </x:c>
    </x:row>
    <x:row r="7">
      <x:c r="B7" t="str">
        <x:v>I01</x:v>
      </x:c>
      <x:c r="C7" t="str">
        <x:v>compartment mass</x:v>
      </x:c>
      <x:c r="D7" t="n">
        <x:v>8</x:v>
      </x:c>
      <x:c r="E7" t="n">
        <x:v>100</x:v>
      </x:c>
      <x:c r="F7" t="n">
        <x:v>8</x:v>
      </x:c>
      <x:c r="G7" s="22" t="n">
        <x:f>D7*E7*F7/1000000</x:f>
        <x:v>0.0064</x:v>
      </x:c>
      <x:c r="H7" t="str">
        <x:v>load cell plus platform scale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0</x:v>
      </x:c>
      <x:c r="N7" t="str">
        <x:f>IF(AND(I7=1,J7=1,K7=1,L7=1),"PASS","FAIL")</x:f>
        <x:v>PASS</x:v>
      </x:c>
      <x:c r="O7" t="str">
        <x:f>IF(M7=0,"OPEN",IF(M7=1,"PASS","FAIL"))</x:f>
        <x:v>OPEN</x:v>
      </x:c>
    </x:row>
    <x:row r="8">
      <x:c r="B8" t="str">
        <x:v>I02</x:v>
      </x:c>
      <x:c r="C8" t="str">
        <x:v>liquid mass flow</x:v>
      </x:c>
      <x:c r="D8" t="n">
        <x:v>8</x:v>
      </x:c>
      <x:c r="E8" t="n">
        <x:v>1000</x:v>
      </x:c>
      <x:c r="F8" t="n">
        <x:v>8</x:v>
      </x:c>
      <x:c r="G8" s="22" t="n">
        <x:f>D8*E8*F8/1000000</x:f>
        <x:v>0.064</x:v>
      </x:c>
      <x:c r="H8" t="str">
        <x:v>Coriolis plus gravimetric change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0</x:v>
      </x:c>
      <x:c r="N8" t="str">
        <x:f>IF(AND(I8=1,J8=1,K8=1,L8=1),"PASS","FAIL")</x:f>
        <x:v>PASS</x:v>
      </x:c>
      <x:c r="O8" t="str">
        <x:f>IF(M8=0,"OPEN",IF(M8=1,"PASS","FAIL"))</x:f>
        <x:v>OPEN</x:v>
      </x:c>
    </x:row>
    <x:row r="9">
      <x:c r="B9" t="str">
        <x:v>I03</x:v>
      </x:c>
      <x:c r="C9" t="str">
        <x:v>gas mass flow</x:v>
      </x:c>
      <x:c r="D9" t="n">
        <x:v>8</x:v>
      </x:c>
      <x:c r="E9" t="n">
        <x:v>1000</x:v>
      </x:c>
      <x:c r="F9" t="n">
        <x:v>8</x:v>
      </x:c>
      <x:c r="G9" s="22" t="n">
        <x:f>D9*E9*F9/1000000</x:f>
        <x:v>0.064</x:v>
      </x:c>
      <x:c r="H9" t="str">
        <x:v>Coriolis plus receiver mass change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0</x:v>
      </x:c>
      <x:c r="N9" t="str">
        <x:f>IF(AND(I9=1,J9=1,K9=1,L9=1),"PASS","FAIL")</x:f>
        <x:v>PASS</x:v>
      </x:c>
      <x:c r="O9" t="str">
        <x:f>IF(M9=0,"OPEN",IF(M9=1,"PASS","FAIL"))</x:f>
        <x:v>OPEN</x:v>
      </x:c>
    </x:row>
    <x:row r="10">
      <x:c r="B10" t="str">
        <x:v>I04</x:v>
      </x:c>
      <x:c r="C10" t="str">
        <x:v>vessel pressure</x:v>
      </x:c>
      <x:c r="D10" t="n">
        <x:v>12</x:v>
      </x:c>
      <x:c r="E10" t="n">
        <x:v>10000</x:v>
      </x:c>
      <x:c r="F10" t="n">
        <x:v>8</x:v>
      </x:c>
      <x:c r="G10" s="22" t="n">
        <x:f>D10*E10*F10/1000000</x:f>
        <x:v>0.96</x:v>
      </x:c>
      <x:c r="H10" t="str">
        <x:v>strain diaphragm plus resonant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0</x:v>
      </x:c>
      <x:c r="N10" t="str">
        <x:f>IF(AND(I10=1,J10=1,K10=1,L10=1),"PASS","FAIL")</x:f>
        <x:v>PASS</x:v>
      </x:c>
      <x:c r="O10" t="str">
        <x:f>IF(M10=0,"OPEN",IF(M10=1,"PASS","FAIL"))</x:f>
        <x:v>OPEN</x:v>
      </x:c>
    </x:row>
    <x:row r="11">
      <x:c r="B11" t="str">
        <x:v>I05</x:v>
      </x:c>
      <x:c r="C11" t="str">
        <x:v>vessel temperature</x:v>
      </x:c>
      <x:c r="D11" t="n">
        <x:v>24</x:v>
      </x:c>
      <x:c r="E11" t="n">
        <x:v>100</x:v>
      </x:c>
      <x:c r="F11" t="n">
        <x:v>8</x:v>
      </x:c>
      <x:c r="G11" s="22" t="n">
        <x:f>D11*E11*F11/1000000</x:f>
        <x:v>0.0192</x:v>
      </x:c>
      <x:c r="H11" t="str">
        <x:v>resistance plus thermocouple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0</x:v>
      </x:c>
      <x:c r="N11" t="str">
        <x:f>IF(AND(I11=1,J11=1,K11=1,L11=1),"PASS","FAIL")</x:f>
        <x:v>PASS</x:v>
      </x:c>
      <x:c r="O11" t="str">
        <x:f>IF(M11=0,"OPEN",IF(M11=1,"PASS","FAIL"))</x:f>
        <x:v>OPEN</x:v>
      </x:c>
    </x:row>
    <x:row r="12">
      <x:c r="B12" t="str">
        <x:v>I06</x:v>
      </x:c>
      <x:c r="C12" t="str">
        <x:v>interstitial state</x:v>
      </x:c>
      <x:c r="D12" t="n">
        <x:v>16</x:v>
      </x:c>
      <x:c r="E12" t="n">
        <x:v>1000</x:v>
      </x:c>
      <x:c r="F12" t="n">
        <x:v>8</x:v>
      </x:c>
      <x:c r="G12" s="22" t="n">
        <x:f>D12*E12*F12/1000000</x:f>
        <x:v>0.128</x:v>
      </x:c>
      <x:c r="H12" t="str">
        <x:v>pressure plus hydrocarbon detection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0</x:v>
      </x:c>
      <x:c r="N12" t="str">
        <x:f>IF(AND(I12=1,J12=1,K12=1,L12=1),"PASS","FAIL")</x:f>
        <x:v>PASS</x:v>
      </x:c>
      <x:c r="O12" t="str">
        <x:f>IF(M12=0,"OPEN",IF(M12=1,"PASS","FAIL"))</x:f>
        <x:v>OPEN</x:v>
      </x:c>
    </x:row>
    <x:row r="13">
      <x:c r="B13" t="str">
        <x:v>I07</x:v>
      </x:c>
      <x:c r="C13" t="str">
        <x:v>gas concentration high</x:v>
      </x:c>
      <x:c r="D13" t="n">
        <x:v>16</x:v>
      </x:c>
      <x:c r="E13" t="n">
        <x:v>100</x:v>
      </x:c>
      <x:c r="F13" t="n">
        <x:v>8</x:v>
      </x:c>
      <x:c r="G13" s="22" t="n">
        <x:f>D13*E13*F13/1000000</x:f>
        <x:v>0.0128</x:v>
      </x:c>
      <x:c r="H13" t="str">
        <x:v>infrared absorption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0</x:v>
      </x:c>
      <x:c r="N13" t="str">
        <x:f>IF(AND(I13=1,J13=1,K13=1,L13=1),"PASS","FAIL")</x:f>
        <x:v>PASS</x:v>
      </x:c>
      <x:c r="O13" t="str">
        <x:f>IF(M13=0,"OPEN",IF(M13=1,"PASS","FAIL"))</x:f>
        <x:v>OPEN</x:v>
      </x:c>
    </x:row>
    <x:row r="14">
      <x:c r="B14" t="str">
        <x:v>I08</x:v>
      </x:c>
      <x:c r="C14" t="str">
        <x:v>gas concentration low</x:v>
      </x:c>
      <x:c r="D14" t="n">
        <x:v>16</x:v>
      </x:c>
      <x:c r="E14" t="n">
        <x:v>100</x:v>
      </x:c>
      <x:c r="F14" t="n">
        <x:v>8</x:v>
      </x:c>
      <x:c r="G14" s="22" t="n">
        <x:f>D14*E14*F14/1000000</x:f>
        <x:v>0.0128</x:v>
      </x:c>
      <x:c r="H14" t="str">
        <x:v>catalytic oxidation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0</x:v>
      </x:c>
      <x:c r="N14" t="str">
        <x:f>IF(AND(I14=1,J14=1,K14=1,L14=1),"PASS","FAIL")</x:f>
        <x:v>PASS</x:v>
      </x:c>
      <x:c r="O14" t="str">
        <x:f>IF(M14=0,"OPEN",IF(M14=1,"PASS","FAIL"))</x:f>
        <x:v>OPEN</x:v>
      </x:c>
    </x:row>
    <x:row r="15">
      <x:c r="B15" t="str">
        <x:v>I09</x:v>
      </x:c>
      <x:c r="C15" t="str">
        <x:v>oxygen displacement</x:v>
      </x:c>
      <x:c r="D15" t="n">
        <x:v>12</x:v>
      </x:c>
      <x:c r="E15" t="n">
        <x:v>10</x:v>
      </x:c>
      <x:c r="F15" t="n">
        <x:v>8</x:v>
      </x:c>
      <x:c r="G15" s="22" t="n">
        <x:f>D15*E15*F15/1000000</x:f>
        <x:v>0.00096</x:v>
      </x:c>
      <x:c r="H15" t="str">
        <x:v>paramagnetic plus electrochemical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0</x:v>
      </x:c>
      <x:c r="N15" t="str">
        <x:f>IF(AND(I15=1,J15=1,K15=1,L15=1),"PASS","FAIL")</x:f>
        <x:v>PASS</x:v>
      </x:c>
      <x:c r="O15" t="str">
        <x:f>IF(M15=0,"OPEN",IF(M15=1,"PASS","FAIL"))</x:f>
        <x:v>OPEN</x:v>
      </x:c>
    </x:row>
    <x:row r="16">
      <x:c r="B16" t="str">
        <x:v>I10</x:v>
      </x:c>
      <x:c r="C16" t="str">
        <x:v>thermal radiation</x:v>
      </x:c>
      <x:c r="D16" t="n">
        <x:v>48</x:v>
      </x:c>
      <x:c r="E16" t="n">
        <x:v>1000</x:v>
      </x:c>
      <x:c r="F16" t="n">
        <x:v>8</x:v>
      </x:c>
      <x:c r="G16" s="22" t="n">
        <x:f>D16*E16*F16/1000000</x:f>
        <x:v>0.384</x:v>
      </x:c>
      <x:c r="H16" t="str">
        <x:v>water-cooled heat-flux gauge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0</x:v>
      </x:c>
      <x:c r="N16" t="str">
        <x:f>IF(AND(I16=1,J16=1,K16=1,L16=1),"PASS","FAIL")</x:f>
        <x:v>PASS</x:v>
      </x:c>
      <x:c r="O16" t="str">
        <x:f>IF(M16=0,"OPEN",IF(M16=1,"PASS","FAIL"))</x:f>
        <x:v>OPEN</x:v>
      </x:c>
    </x:row>
    <x:row r="17">
      <x:c r="B17" t="str">
        <x:v>I11</x:v>
      </x:c>
      <x:c r="C17" t="str">
        <x:v>flame onset</x:v>
      </x:c>
      <x:c r="D17" t="n">
        <x:v>24</x:v>
      </x:c>
      <x:c r="E17" t="n">
        <x:v>10000</x:v>
      </x:c>
      <x:c r="F17" t="n">
        <x:v>8</x:v>
      </x:c>
      <x:c r="G17" s="22" t="n">
        <x:f>D17*E17*F17/1000000</x:f>
        <x:v>1.92</x:v>
      </x:c>
      <x:c r="H17" t="str">
        <x:v>optical flame plus high-speed imaging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0</x:v>
      </x:c>
      <x:c r="N17" t="str">
        <x:f>IF(AND(I17=1,J17=1,K17=1,L17=1),"PASS","FAIL")</x:f>
        <x:v>PASS</x:v>
      </x:c>
      <x:c r="O17" t="str">
        <x:f>IF(M17=0,"OPEN",IF(M17=1,"PASS","FAIL"))</x:f>
        <x:v>OPEN</x:v>
      </x:c>
    </x:row>
    <x:row r="18">
      <x:c r="B18" t="str">
        <x:v>I12</x:v>
      </x:c>
      <x:c r="C18" t="str">
        <x:v>dynamic pressure</x:v>
      </x:c>
      <x:c r="D18" t="n">
        <x:v>48</x:v>
      </x:c>
      <x:c r="E18" t="n">
        <x:v>100000</x:v>
      </x:c>
      <x:c r="F18" t="n">
        <x:v>8</x:v>
      </x:c>
      <x:c r="G18" s="22" t="n">
        <x:f>D18*E18*F18/1000000</x:f>
        <x:v>38.4</x:v>
      </x:c>
      <x:c r="H18" t="str">
        <x:v>piezoelectric pressure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0</x:v>
      </x:c>
      <x:c r="N18" t="str">
        <x:f>IF(AND(I18=1,J18=1,K18=1,L18=1),"PASS","FAIL")</x:f>
        <x:v>PASS</x:v>
      </x:c>
      <x:c r="O18" t="str">
        <x:f>IF(M18=0,"OPEN",IF(M18=1,"PASS","FAIL"))</x:f>
        <x:v>OPEN</x:v>
      </x:c>
    </x:row>
    <x:row r="19">
      <x:c r="B19" t="str">
        <x:v>I13</x:v>
      </x:c>
      <x:c r="C19" t="str">
        <x:v>structure and support</x:v>
      </x:c>
      <x:c r="D19" t="n">
        <x:v>48</x:v>
      </x:c>
      <x:c r="E19" t="n">
        <x:v>10000</x:v>
      </x:c>
      <x:c r="F19" t="n">
        <x:v>8</x:v>
      </x:c>
      <x:c r="G19" s="22" t="n">
        <x:f>D19*E19*F19/1000000</x:f>
        <x:v>3.84</x:v>
      </x:c>
      <x:c r="H19" t="str">
        <x:v>strain plus six-axis reaction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0</x:v>
      </x:c>
      <x:c r="N19" t="str">
        <x:f>IF(AND(I19=1,J19=1,K19=1,L19=1),"PASS","FAIL")</x:f>
        <x:v>PASS</x:v>
      </x:c>
      <x:c r="O19" t="str">
        <x:f>IF(M19=0,"OPEN",IF(M19=1,"PASS","FAIL"))</x:f>
        <x:v>OPEN</x:v>
      </x:c>
    </x:row>
    <x:row r="20">
      <x:c r="B20" t="str">
        <x:v>I14</x:v>
      </x:c>
      <x:c r="C20" t="str">
        <x:v>sump inventory</x:v>
      </x:c>
      <x:c r="D20" t="n">
        <x:v>8</x:v>
      </x:c>
      <x:c r="E20" t="n">
        <x:v>10</x:v>
      </x:c>
      <x:c r="F20" t="n">
        <x:v>8</x:v>
      </x:c>
      <x:c r="G20" s="22" t="n">
        <x:f>D20*E20*F20/1000000</x:f>
        <x:v>0.00064</x:v>
      </x:c>
      <x:c r="H20" t="str">
        <x:v>level plus total mass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0</x:v>
      </x:c>
      <x:c r="N20" t="str">
        <x:f>IF(AND(I20=1,J20=1,K20=1,L20=1),"PASS","FAIL")</x:f>
        <x:v>PASS</x:v>
      </x:c>
      <x:c r="O20" t="str">
        <x:f>IF(M20=0,"OPEN",IF(M20=1,"PASS","FAIL"))</x:f>
        <x:v>OPEN</x:v>
      </x:c>
    </x:row>
    <x:row r="21">
      <x:c r="B21" t="str">
        <x:v>I15</x:v>
      </x:c>
      <x:c r="C21" t="str">
        <x:v>gas-holder state</x:v>
      </x:c>
      <x:c r="D21" t="n">
        <x:v>16</x:v>
      </x:c>
      <x:c r="E21" t="n">
        <x:v>10</x:v>
      </x:c>
      <x:c r="F21" t="n">
        <x:v>8</x:v>
      </x:c>
      <x:c r="G21" s="22" t="n">
        <x:f>D21*E21*F21/1000000</x:f>
        <x:v>0.00128</x:v>
      </x:c>
      <x:c r="H21" t="str">
        <x:v>volume plus pressure and temperature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0</x:v>
      </x:c>
      <x:c r="N21" t="str">
        <x:f>IF(AND(I21=1,J21=1,K21=1,L21=1),"PASS","FAIL")</x:f>
        <x:v>PASS</x:v>
      </x:c>
      <x:c r="O21" t="str">
        <x:f>IF(M21=0,"OPEN",IF(M21=1,"PASS","FAIL"))</x:f>
        <x:v>OPEN</x:v>
      </x:c>
    </x:row>
    <x:row r="22">
      <x:c r="B22" t="str">
        <x:v>I16</x:v>
      </x:c>
      <x:c r="C22" t="str">
        <x:v>weather field</x:v>
      </x:c>
      <x:c r="D22" t="n">
        <x:v>12</x:v>
      </x:c>
      <x:c r="E22" t="n">
        <x:v>10</x:v>
      </x:c>
      <x:c r="F22" t="n">
        <x:v>8</x:v>
      </x:c>
      <x:c r="G22" s="22" t="n">
        <x:f>D22*E22*F22/1000000</x:f>
        <x:v>0.00096</x:v>
      </x:c>
      <x:c r="H22" t="str">
        <x:v>three-dimensional wind and stability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0</x:v>
      </x:c>
      <x:c r="N22" t="str">
        <x:f>IF(AND(I22=1,J22=1,K22=1,L22=1),"PASS","FAIL")</x:f>
        <x:v>PASS</x:v>
      </x:c>
      <x:c r="O22" t="str">
        <x:f>IF(M22=0,"OPEN",IF(M22=1,"PASS","FAIL"))</x:f>
        <x:v>OPEN</x:v>
      </x:c>
    </x:row>
    <x:row r="23">
      <x:c r="B23" t="str">
        <x:v>I17</x:v>
      </x:c>
      <x:c r="C23" t="str">
        <x:v>safety energy</x:v>
      </x:c>
      <x:c r="D23" t="n">
        <x:v>24</x:v>
      </x:c>
      <x:c r="E23" t="n">
        <x:v>1000</x:v>
      </x:c>
      <x:c r="F23" t="n">
        <x:v>8</x:v>
      </x:c>
      <x:c r="G23" s="22" t="n">
        <x:f>D23*E23*F23/1000000</x:f>
        <x:v>0.192</x:v>
      </x:c>
      <x:c r="H23" t="str">
        <x:v>three-bus voltage and breaker state</x:v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0</x:v>
      </x:c>
      <x:c r="N23" t="str">
        <x:f>IF(AND(I23=1,J23=1,K23=1,L23=1),"PASS","FAIL")</x:f>
        <x:v>PASS</x:v>
      </x:c>
      <x:c r="O23" t="str">
        <x:f>IF(M23=0,"OPEN",IF(M23=1,"PASS","FAIL"))</x:f>
        <x:v>OPEN</x:v>
      </x:c>
    </x:row>
    <x:row r="24">
      <x:c r="B24" t="str">
        <x:v>I18</x:v>
      </x:c>
      <x:c r="C24" t="str">
        <x:v>event and evidence time</x:v>
      </x:c>
      <x:c r="D24" t="n">
        <x:v>6</x:v>
      </x:c>
      <x:c r="E24" t="n">
        <x:v>100000</x:v>
      </x:c>
      <x:c r="F24" t="n">
        <x:v>8</x:v>
      </x:c>
      <x:c r="G24" s="22" t="n">
        <x:f>D24*E24*F24/1000000</x:f>
        <x:v>4.8</x:v>
      </x:c>
      <x:c r="H24" t="str">
        <x:v>three unlike clocks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0</x:v>
      </x:c>
      <x:c r="N24" t="str">
        <x:f>IF(AND(I24=1,J24=1,K24=1,L24=1),"PASS","FAIL")</x:f>
        <x:v>PASS</x:v>
      </x:c>
      <x:c r="O24" t="str">
        <x:f>IF(M24=0,"OPEN",IF(M24=1,"PASS","FAIL"))</x:f>
        <x:v>OPEN</x:v>
      </x:c>
    </x:row>
    <x:row r="25">
      <x:c r="G25" s="21"/>
    </x:row>
    <x:row r="26">
      <x:c r="B26" s="25" t="str">
        <x:v>Per-lane total</x:v>
      </x:c>
      <x:c r="C26" s="26"/>
      <x:c r="D26" s="26"/>
      <x:c r="E26" s="26"/>
      <x:c r="F26" s="26"/>
      <x:c r="G26" s="28"/>
      <x:c r="H26" s="26"/>
      <x:c r="I26" s="26"/>
      <x:c r="J26" s="26"/>
      <x:c r="K26" s="26"/>
      <x:c r="L26" s="26"/>
      <x:c r="M26" s="26"/>
      <x:c r="N26" s="26"/>
      <x:c r="O26" s="27"/>
    </x:row>
    <x:row r="27">
      <x:c r="B27" t="str">
        <x:v>channels and aggregate rate</x:v>
      </x:c>
      <x:c r="D27" t="n">
        <x:f>SUM(D7:D24)</x:f>
        <x:v>354</x:v>
      </x:c>
      <x:c r="G27" s="21" t="n">
        <x:f>SUM(G7:G24)</x:f>
        <x:v>50.807039999999986</x:v>
      </x:c>
    </x:row>
  </x:sheetData>
  <x:conditionalFormatting sqref="N7:O24">
    <x:cfRule type="cellIs" dxfId="36" priority="1" operator="equal">
      <x:formula>"FAIL"</x:formula>
    </x:cfRule>
    <x:cfRule type="cellIs" dxfId="37" priority="2" operator="equal">
      <x:formula>"BLOCKED"</x:formula>
    </x:cfRule>
    <x:cfRule type="cellIs" dxfId="38" priority="3" operator="equal">
      <x:formula>"OPEN"</x:formula>
    </x:cfRule>
    <x:cfRule type="cellIs" dxfId="39" priority="4" operator="equal">
      <x:formula>"PASS"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0" hidden="0" customWidth="1"/>
    <x:col min="3" max="3" width="18" hidden="0" customWidth="1"/>
    <x:col min="4" max="4" width="14" hidden="0" customWidth="1"/>
    <x:col min="5" max="5" width="34" hidden="0" customWidth="1"/>
    <x:col min="6" max="6" width="16" hidden="0" customWidth="1"/>
    <x:col min="7" max="7" width="2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Event evidence volume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The schedule stores two native originals. Summary products do not replace native measurements.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Quantity</x:v>
      </x:c>
      <x:c r="C6" s="14" t="str">
        <x:v>Value</x:v>
      </x:c>
      <x:c r="D6" s="14" t="str">
        <x:v>Unit</x:v>
      </x:c>
      <x:c r="E6" s="14" t="str">
        <x:v>Calculation role</x:v>
      </x:c>
      <x:c r="F6" s="14" t="str">
        <x:v>Planning state</x:v>
      </x:c>
      <x:c r="G6" s="14" t="str">
        <x:v>Notes</x:v>
      </x:c>
      <x:c r="H6" s="14" t="str">
        <x:v>Site B</x:v>
      </x:c>
      <x:c r="I6" s="14" t="str">
        <x:v>Site C</x:v>
      </x:c>
      <x:c r="J6" s="15" t="str">
        <x:v>National total</x:v>
      </x:c>
    </x:row>
    <x:row r="7">
      <x:c r="B7" t="str">
        <x:v>aggregate lane rate</x:v>
      </x:c>
      <x:c r="C7" s="30" t="n">
        <x:f>'Sensor Channels'!$G$27</x:f>
        <x:v>50.807039999999986</x:v>
      </x:c>
      <x:c r="D7" t="str">
        <x:v>MB/s</x:v>
      </x:c>
      <x:c r="E7" t="str">
        <x:v>uncompressed channel sum</x:v>
      </x:c>
      <x:c r="F7" t="str">
        <x:f>IF(C7&gt;0,"PASS","FAIL")</x:f>
        <x:v>PASS</x:v>
      </x:c>
    </x:row>
    <x:row r="8">
      <x:c r="B8" t="str">
        <x:v>full-rate window</x:v>
      </x:c>
      <x:c r="C8" s="30" t="n">
        <x:f>Controls!$D$29</x:f>
        <x:v>600</x:v>
      </x:c>
      <x:c r="D8" t="str">
        <x:v>s</x:v>
      </x:c>
      <x:c r="E8" t="str">
        <x:v>registered high-rate interval</x:v>
      </x:c>
      <x:c r="F8" t="str">
        <x:f>IF(C8&gt;0,"PASS","FAIL")</x:f>
        <x:v>PASS</x:v>
      </x:c>
    </x:row>
    <x:row r="9">
      <x:c r="B9" t="str">
        <x:v>reduced-rate duration</x:v>
      </x:c>
      <x:c r="C9" s="30" t="n">
        <x:f>Controls!$D$30</x:f>
        <x:v>21600</x:v>
      </x:c>
      <x:c r="D9" t="str">
        <x:v>s</x:v>
      </x:c>
      <x:c r="E9" t="str">
        <x:v>six-hour tail</x:v>
      </x:c>
      <x:c r="F9" t="str">
        <x:f>IF(C9&gt;0,"PASS","FAIL")</x:f>
        <x:v>PASS</x:v>
      </x:c>
    </x:row>
    <x:row r="10">
      <x:c r="B10" t="str">
        <x:v>reduced-rate fraction</x:v>
      </x:c>
      <x:c r="C10" s="30" t="n">
        <x:f>Controls!$D$31</x:f>
        <x:v>0.05</x:v>
      </x:c>
      <x:c r="D10" t="str">
        <x:v>fraction</x:v>
      </x:c>
      <x:c r="E10" t="str">
        <x:v>tail sampling fraction</x:v>
      </x:c>
      <x:c r="F10" t="str">
        <x:f>IF(C10&gt;0,"PASS","FAIL")</x:f>
        <x:v>PASS</x:v>
      </x:c>
    </x:row>
    <x:row r="11">
      <x:c r="B11" t="str">
        <x:v>evidence originals</x:v>
      </x:c>
      <x:c r="C11" s="30" t="n">
        <x:f>Controls!$D$32</x:f>
        <x:v>2</x:v>
      </x:c>
      <x:c r="D11" t="str">
        <x:v>count</x:v>
      </x:c>
      <x:c r="E11" t="str">
        <x:v>independent native copies</x:v>
      </x:c>
      <x:c r="F11" t="str">
        <x:f>IF(C11&gt;0,"PASS","FAIL")</x:f>
        <x:v>PASS</x:v>
      </x:c>
    </x:row>
    <x:row r="12">
      <x:c r="B12" t="str">
        <x:v>protocol and indexing overhead</x:v>
      </x:c>
      <x:c r="C12" s="30" t="n">
        <x:f>Controls!$D$33</x:f>
        <x:v>1.35</x:v>
      </x:c>
      <x:c r="D12" t="str">
        <x:v>factor</x:v>
      </x:c>
      <x:c r="E12" t="str">
        <x:v>headers, indexes and custody</x:v>
      </x:c>
      <x:c r="F12" t="str">
        <x:f>IF(C12&gt;=1,"PASS","FAIL")</x:f>
        <x:v>PASS</x:v>
      </x:c>
    </x:row>
    <x:row r="13">
      <x:c r="C13" s="30"/>
    </x:row>
    <x:row r="14">
      <x:c r="B14" s="25" t="str">
        <x:v>Evidence outputs</x:v>
      </x:c>
      <x:c r="C14" s="33"/>
      <x:c r="D14" s="26"/>
      <x:c r="E14" s="26"/>
      <x:c r="F14" s="26"/>
      <x:c r="G14" s="26"/>
      <x:c r="H14" s="26"/>
      <x:c r="I14" s="26"/>
      <x:c r="J14" s="27"/>
    </x:row>
    <x:row r="15">
      <x:c r="B15" t="str">
        <x:v>per-event native volume</x:v>
      </x:c>
      <x:c r="C15" s="30" t="n">
        <x:f>C7*(C8+C9*C10)*C11*C12/1000</x:f>
        <x:v>230.46073343999993</x:v>
      </x:c>
      <x:c r="D15" t="str">
        <x:v>GB</x:v>
      </x:c>
      <x:c r="F15" t="str">
        <x:f>IF(C15&gt;0,"PASS","FAIL")</x:f>
        <x:v>PASS</x:v>
      </x:c>
      <x:c r="G15" t="str">
        <x:v>event allocation (TB)</x:v>
      </x:c>
      <x:c r="H15" s="21" t="n">
        <x:f>C15*64/1000</x:f>
        <x:v>14.749486940159995</x:v>
      </x:c>
      <x:c r="I15" s="21" t="n">
        <x:f>C15*64/1000</x:f>
        <x:v>14.749486940159995</x:v>
      </x:c>
      <x:c r="J15" s="21" t="n">
        <x:f>H15+I15</x:f>
        <x:v>29.49897388031999</x:v>
      </x:c>
    </x:row>
    <x:row r="16">
      <x:c r="B16" t="str">
        <x:v>registered events</x:v>
      </x:c>
      <x:c r="C16" s="30" t="n">
        <x:f>Controls!$D$34+Controls!$D$35</x:f>
        <x:v>128</x:v>
      </x:c>
      <x:c r="D16" t="str">
        <x:v>count</x:v>
      </x:c>
      <x:c r="F16" t="str">
        <x:f>IF(C16&gt;0,"PASS","FAIL")</x:f>
        <x:v>PASS</x:v>
      </x:c>
    </x:row>
    <x:row r="17">
      <x:c r="B17" t="str">
        <x:v>campaign native volume</x:v>
      </x:c>
      <x:c r="C17" s="30" t="n">
        <x:f>C15*C16/1000</x:f>
        <x:v>29.49897388031999</x:v>
      </x:c>
      <x:c r="D17" t="str">
        <x:v>TB</x:v>
      </x:c>
      <x:c r="F17" t="str">
        <x:f>IF(C17&gt;0,"PASS","FAIL")</x:f>
        <x:v>PASS</x:v>
      </x:c>
    </x:row>
    <x:row r="18">
      <x:c r="B18" t="str">
        <x:v>campaign volume with 30 percent reserve</x:v>
      </x:c>
      <x:c r="C18" s="30" t="n">
        <x:f>C17*1.3</x:f>
        <x:v>38.34866604441599</x:v>
      </x:c>
      <x:c r="D18" t="str">
        <x:v>TB</x:v>
      </x:c>
      <x:c r="F18" t="str">
        <x:f>IF(C18&gt;0,"PASS","FAIL")</x:f>
        <x:v>PASS</x:v>
      </x:c>
    </x:row>
    <x:row r="19">
      <x:c r="B19" t="str">
        <x:v>inherited public vault capacity</x:v>
      </x:c>
      <x:c r="C19" s="30" t="n">
        <x:f>576</x:f>
        <x:v>576</x:v>
      </x:c>
      <x:c r="D19" t="str">
        <x:v>TB</x:v>
      </x:c>
      <x:c r="F19" t="str">
        <x:f>IF(C19&gt;0,"PASS","FAIL")</x:f>
        <x:v>PASS</x:v>
      </x:c>
    </x:row>
    <x:row r="20">
      <x:c r="B20" t="str">
        <x:v>vault capacity ratio</x:v>
      </x:c>
      <x:c r="C20" s="30" t="n">
        <x:f>C19/C18</x:f>
        <x:v>15.020079168669604</x:v>
      </x:c>
      <x:c r="D20" t="str">
        <x:v>ratio</x:v>
      </x:c>
      <x:c r="F20" t="str">
        <x:f>IF(C20&gt;0,"PASS","FAIL")</x:f>
        <x:v>PASS</x:v>
      </x:c>
    </x:row>
  </x:sheetData>
  <x:conditionalFormatting sqref="F7:F20">
    <x:cfRule type="cellIs" dxfId="40" priority="1" operator="equal">
      <x:formula>"FAIL"</x:formula>
    </x:cfRule>
    <x:cfRule type="cellIs" dxfId="41" priority="2" operator="equal">
      <x:formula>"BLOCKED"</x:formula>
    </x:cfRule>
    <x:cfRule type="cellIs" dxfId="42" priority="3" operator="equal">
      <x:formula>"OPEN"</x:formula>
    </x:cfRule>
    <x:cfRule type="cellIs" dxfId="43" priority="4" operator="equal">
      <x:formula>"PASS"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0" hidden="0" customWidth="1"/>
    <x:col min="3" max="3" width="25" hidden="0" customWidth="1"/>
    <x:col min="4" max="4" width="37" hidden="0" customWidth="1"/>
    <x:col min="5" max="5" width="17" hidden="0" customWidth="1"/>
    <x:col min="6" max="6" width="17" hidden="0" customWidth="1"/>
    <x:col min="7" max="7" width="20" hidden="0" customWidth="1"/>
    <x:col min="8" max="8" width="16" hidden="0" customWidth="1"/>
    <x:col min="9" max="9" width="18" hidden="0" customWidth="1"/>
    <x:col min="10" max="10" width="19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Sixteen source-boundary measurement planes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Every drawing and event must identify the plane at which command, stimulus and observation are separated.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Plane</x:v>
      </x:c>
      <x:c r="C6" s="14" t="str">
        <x:v>Location</x:v>
      </x:c>
      <x:c r="D6" s="14" t="str">
        <x:v>Primary quantities</x:v>
      </x:c>
      <x:c r="E6" s="14" t="str">
        <x:v>Root A object</x:v>
      </x:c>
      <x:c r="F6" s="14" t="str">
        <x:v>Root B object</x:v>
      </x:c>
      <x:c r="G6" s="14" t="str">
        <x:v>Independent reference</x:v>
      </x:c>
      <x:c r="H6" s="14" t="str">
        <x:v>Local retention</x:v>
      </x:c>
      <x:c r="I6" s="14" t="str">
        <x:v>Drawing assigned</x:v>
      </x:c>
      <x:c r="J6" s="14" t="str">
        <x:v>Physical acceptance</x:v>
      </x:c>
      <x:c r="K6" s="15" t="str">
        <x:v>Planning state</x:v>
      </x:c>
      <x:c r="L6" s="31" t="str">
        <x:v>Physical state</x:v>
      </x:c>
    </x:row>
    <x:row r="7">
      <x:c r="B7" t="str">
        <x:v>P00</x:v>
      </x:c>
      <x:c r="C7" t="str">
        <x:v>source interior</x:v>
      </x:c>
      <x:c r="D7" t="str">
        <x:v>mass, pressure, temperature</x:v>
      </x:c>
      <x:c r="E7" t="str">
        <x:v>A-P00</x:v>
      </x:c>
      <x:c r="F7" t="str">
        <x:v>B-P00</x:v>
      </x:c>
      <x:c r="G7" t="str">
        <x:v>REF-P00</x:v>
      </x:c>
      <x:c r="H7" t="n">
        <x:v>1</x:v>
      </x:c>
      <x:c r="I7" t="n">
        <x:v>1</x:v>
      </x:c>
      <x:c r="J7" t="n">
        <x:v>0</x:v>
      </x:c>
      <x:c r="K7" t="str">
        <x:f>IF(AND(H7=1,I7=1),"PASS","FAIL")</x:f>
        <x:v>PASS</x:v>
      </x:c>
      <x:c r="L7" t="str">
        <x:f>IF(J7=0,"OPEN",IF(J7=1,"PASS","FAIL"))</x:f>
        <x:v>OPEN</x:v>
      </x:c>
    </x:row>
    <x:row r="8">
      <x:c r="B8" t="str">
        <x:v>P01</x:v>
      </x:c>
      <x:c r="C8" t="str">
        <x:v>primary vessel wall</x:v>
      </x:c>
      <x:c r="D8" t="str">
        <x:v>strain, temperature, leak</x:v>
      </x:c>
      <x:c r="E8" t="str">
        <x:v>A-P01</x:v>
      </x:c>
      <x:c r="F8" t="str">
        <x:v>B-P01</x:v>
      </x:c>
      <x:c r="G8" t="str">
        <x:v>REF-P01</x:v>
      </x:c>
      <x:c r="H8" t="n">
        <x:v>1</x:v>
      </x:c>
      <x:c r="I8" t="n">
        <x:v>1</x:v>
      </x:c>
      <x:c r="J8" t="n">
        <x:v>0</x:v>
      </x:c>
      <x:c r="K8" t="str">
        <x:f>IF(AND(H8=1,I8=1),"PASS","FAIL")</x:f>
        <x:v>PASS</x:v>
      </x:c>
      <x:c r="L8" t="str">
        <x:f>IF(J8=0,"OPEN",IF(J8=1,"PASS","FAIL"))</x:f>
        <x:v>OPEN</x:v>
      </x:c>
    </x:row>
    <x:row r="9">
      <x:c r="B9" t="str">
        <x:v>P02</x:v>
      </x:c>
      <x:c r="C9" t="str">
        <x:v>interstitial boundary</x:v>
      </x:c>
      <x:c r="D9" t="str">
        <x:v>pressure, concentration, liquid</x:v>
      </x:c>
      <x:c r="E9" t="str">
        <x:v>A-P02</x:v>
      </x:c>
      <x:c r="F9" t="str">
        <x:v>B-P02</x:v>
      </x:c>
      <x:c r="G9" t="str">
        <x:v>REF-P02</x:v>
      </x:c>
      <x:c r="H9" t="n">
        <x:v>1</x:v>
      </x:c>
      <x:c r="I9" t="n">
        <x:v>1</x:v>
      </x:c>
      <x:c r="J9" t="n">
        <x:v>0</x:v>
      </x:c>
      <x:c r="K9" t="str">
        <x:f>IF(AND(H9=1,I9=1),"PASS","FAIL")</x:f>
        <x:v>PASS</x:v>
      </x:c>
      <x:c r="L9" t="str">
        <x:f>IF(J9=0,"OPEN",IF(J9=1,"PASS","FAIL"))</x:f>
        <x:v>OPEN</x:v>
      </x:c>
    </x:row>
    <x:row r="10">
      <x:c r="B10" t="str">
        <x:v>P03</x:v>
      </x:c>
      <x:c r="C10" t="str">
        <x:v>source nozzle</x:v>
      </x:c>
      <x:c r="D10" t="str">
        <x:v>mass flow, pressure, command</x:v>
      </x:c>
      <x:c r="E10" t="str">
        <x:v>A-P03</x:v>
      </x:c>
      <x:c r="F10" t="str">
        <x:v>B-P03</x:v>
      </x:c>
      <x:c r="G10" t="str">
        <x:v>REF-P03</x:v>
      </x:c>
      <x:c r="H10" t="n">
        <x:v>1</x:v>
      </x:c>
      <x:c r="I10" t="n">
        <x:v>1</x:v>
      </x:c>
      <x:c r="J10" t="n">
        <x:v>0</x:v>
      </x:c>
      <x:c r="K10" t="str">
        <x:f>IF(AND(H10=1,I10=1),"PASS","FAIL")</x:f>
        <x:v>PASS</x:v>
      </x:c>
      <x:c r="L10" t="str">
        <x:f>IF(J10=0,"OPEN",IF(J10=1,"PASS","FAIL"))</x:f>
        <x:v>OPEN</x:v>
      </x:c>
    </x:row>
    <x:row r="11">
      <x:c r="B11" t="str">
        <x:v>P04</x:v>
      </x:c>
      <x:c r="C11" t="str">
        <x:v>primary isolation</x:v>
      </x:c>
      <x:c r="D11" t="str">
        <x:v>travel, differential pressure, leak</x:v>
      </x:c>
      <x:c r="E11" t="str">
        <x:v>A-P04</x:v>
      </x:c>
      <x:c r="F11" t="str">
        <x:v>B-P04</x:v>
      </x:c>
      <x:c r="G11" t="str">
        <x:v>REF-P04</x:v>
      </x:c>
      <x:c r="H11" t="n">
        <x:v>1</x:v>
      </x:c>
      <x:c r="I11" t="n">
        <x:v>1</x:v>
      </x:c>
      <x:c r="J11" t="n">
        <x:v>0</x:v>
      </x:c>
      <x:c r="K11" t="str">
        <x:f>IF(AND(H11=1,I11=1),"PASS","FAIL")</x:f>
        <x:v>PASS</x:v>
      </x:c>
      <x:c r="L11" t="str">
        <x:f>IF(J11=0,"OPEN",IF(J11=1,"PASS","FAIL"))</x:f>
        <x:v>OPEN</x:v>
      </x:c>
    </x:row>
    <x:row r="12">
      <x:c r="B12" t="str">
        <x:v>P05</x:v>
      </x:c>
      <x:c r="C12" t="str">
        <x:v>bay atmosphere</x:v>
      </x:c>
      <x:c r="D12" t="str">
        <x:v>gas, oxygen, flame, heat</x:v>
      </x:c>
      <x:c r="E12" t="str">
        <x:v>A-P05</x:v>
      </x:c>
      <x:c r="F12" t="str">
        <x:v>B-P05</x:v>
      </x:c>
      <x:c r="G12" t="str">
        <x:v>REF-P05</x:v>
      </x:c>
      <x:c r="H12" t="n">
        <x:v>1</x:v>
      </x:c>
      <x:c r="I12" t="n">
        <x:v>1</x:v>
      </x:c>
      <x:c r="J12" t="n">
        <x:v>0</x:v>
      </x:c>
      <x:c r="K12" t="str">
        <x:f>IF(AND(H12=1,I12=1),"PASS","FAIL")</x:f>
        <x:v>PASS</x:v>
      </x:c>
      <x:c r="L12" t="str">
        <x:f>IF(J12=0,"OPEN",IF(J12=1,"PASS","FAIL"))</x:f>
        <x:v>OPEN</x:v>
      </x:c>
    </x:row>
    <x:row r="13">
      <x:c r="B13" t="str">
        <x:v>P06</x:v>
      </x:c>
      <x:c r="C13" t="str">
        <x:v>source-liquid drain</x:v>
      </x:c>
      <x:c r="D13" t="str">
        <x:v>flow, identity, mass</x:v>
      </x:c>
      <x:c r="E13" t="str">
        <x:v>A-P06</x:v>
      </x:c>
      <x:c r="F13" t="str">
        <x:v>B-P06</x:v>
      </x:c>
      <x:c r="G13" t="str">
        <x:v>REF-P06</x:v>
      </x:c>
      <x:c r="H13" t="n">
        <x:v>1</x:v>
      </x:c>
      <x:c r="I13" t="n">
        <x:v>1</x:v>
      </x:c>
      <x:c r="J13" t="n">
        <x:v>0</x:v>
      </x:c>
      <x:c r="K13" t="str">
        <x:f>IF(AND(H13=1,I13=1),"PASS","FAIL")</x:f>
        <x:v>PASS</x:v>
      </x:c>
      <x:c r="L13" t="str">
        <x:f>IF(J13=0,"OPEN",IF(J13=1,"PASS","FAIL"))</x:f>
        <x:v>OPEN</x:v>
      </x:c>
    </x:row>
    <x:row r="14">
      <x:c r="B14" t="str">
        <x:v>P07</x:v>
      </x:c>
      <x:c r="C14" t="str">
        <x:v>firewater drain</x:v>
      </x:c>
      <x:c r="D14" t="str">
        <x:v>flow, identity, temperature</x:v>
      </x:c>
      <x:c r="E14" t="str">
        <x:v>A-P07</x:v>
      </x:c>
      <x:c r="F14" t="str">
        <x:v>B-P07</x:v>
      </x:c>
      <x:c r="G14" t="str">
        <x:v>REF-P07</x:v>
      </x:c>
      <x:c r="H14" t="n">
        <x:v>1</x:v>
      </x:c>
      <x:c r="I14" t="n">
        <x:v>1</x:v>
      </x:c>
      <x:c r="J14" t="n">
        <x:v>0</x:v>
      </x:c>
      <x:c r="K14" t="str">
        <x:f>IF(AND(H14=1,I14=1),"PASS","FAIL")</x:f>
        <x:v>PASS</x:v>
      </x:c>
      <x:c r="L14" t="str">
        <x:f>IF(J14=0,"OPEN",IF(J14=1,"PASS","FAIL"))</x:f>
        <x:v>OPEN</x:v>
      </x:c>
    </x:row>
    <x:row r="15">
      <x:c r="B15" t="str">
        <x:v>P08</x:v>
      </x:c>
      <x:c r="C15" t="str">
        <x:v>relief riser</x:v>
      </x:c>
      <x:c r="D15" t="str">
        <x:v>two-phase flow, pressure, temperature</x:v>
      </x:c>
      <x:c r="E15" t="str">
        <x:v>A-P08</x:v>
      </x:c>
      <x:c r="F15" t="str">
        <x:v>B-P08</x:v>
      </x:c>
      <x:c r="G15" t="str">
        <x:v>REF-P08</x:v>
      </x:c>
      <x:c r="H15" t="n">
        <x:v>1</x:v>
      </x:c>
      <x:c r="I15" t="n">
        <x:v>1</x:v>
      </x:c>
      <x:c r="J15" t="n">
        <x:v>0</x:v>
      </x:c>
      <x:c r="K15" t="str">
        <x:f>IF(AND(H15=1,I15=1),"PASS","FAIL")</x:f>
        <x:v>PASS</x:v>
      </x:c>
      <x:c r="L15" t="str">
        <x:f>IF(J15=0,"OPEN",IF(J15=1,"PASS","FAIL"))</x:f>
        <x:v>OPEN</x:v>
      </x:c>
    </x:row>
    <x:row r="16">
      <x:c r="B16" t="str">
        <x:v>P09</x:v>
      </x:c>
      <x:c r="C16" t="str">
        <x:v>receiver or sump</x:v>
      </x:c>
      <x:c r="D16" t="str">
        <x:v>mass, pressure, composition</x:v>
      </x:c>
      <x:c r="E16" t="str">
        <x:v>A-P09</x:v>
      </x:c>
      <x:c r="F16" t="str">
        <x:v>B-P09</x:v>
      </x:c>
      <x:c r="G16" t="str">
        <x:v>REF-P09</x:v>
      </x:c>
      <x:c r="H16" t="n">
        <x:v>1</x:v>
      </x:c>
      <x:c r="I16" t="n">
        <x:v>1</x:v>
      </x:c>
      <x:c r="J16" t="n">
        <x:v>0</x:v>
      </x:c>
      <x:c r="K16" t="str">
        <x:f>IF(AND(H16=1,I16=1),"PASS","FAIL")</x:f>
        <x:v>PASS</x:v>
      </x:c>
      <x:c r="L16" t="str">
        <x:f>IF(J16=0,"OPEN",IF(J16=1,"PASS","FAIL"))</x:f>
        <x:v>OPEN</x:v>
      </x:c>
    </x:row>
    <x:row r="17">
      <x:c r="B17" t="str">
        <x:v>P10</x:v>
      </x:c>
      <x:c r="C17" t="str">
        <x:v>gas-holder inlet</x:v>
      </x:c>
      <x:c r="D17" t="str">
        <x:v>flow, pressure, direction</x:v>
      </x:c>
      <x:c r="E17" t="str">
        <x:v>A-P10</x:v>
      </x:c>
      <x:c r="F17" t="str">
        <x:v>B-P10</x:v>
      </x:c>
      <x:c r="G17" t="str">
        <x:v>REF-P10</x:v>
      </x:c>
      <x:c r="H17" t="n">
        <x:v>1</x:v>
      </x:c>
      <x:c r="I17" t="n">
        <x:v>1</x:v>
      </x:c>
      <x:c r="J17" t="n">
        <x:v>0</x:v>
      </x:c>
      <x:c r="K17" t="str">
        <x:f>IF(AND(H17=1,I17=1),"PASS","FAIL")</x:f>
        <x:v>PASS</x:v>
      </x:c>
      <x:c r="L17" t="str">
        <x:f>IF(J17=0,"OPEN",IF(J17=1,"PASS","FAIL"))</x:f>
        <x:v>OPEN</x:v>
      </x:c>
    </x:row>
    <x:row r="18">
      <x:c r="B18" t="str">
        <x:v>P11</x:v>
      </x:c>
      <x:c r="C18" t="str">
        <x:v>gas-holder volume</x:v>
      </x:c>
      <x:c r="D18" t="str">
        <x:v>volume, pressure, temperature</x:v>
      </x:c>
      <x:c r="E18" t="str">
        <x:v>A-P11</x:v>
      </x:c>
      <x:c r="F18" t="str">
        <x:v>B-P11</x:v>
      </x:c>
      <x:c r="G18" t="str">
        <x:v>REF-P11</x:v>
      </x:c>
      <x:c r="H18" t="n">
        <x:v>1</x:v>
      </x:c>
      <x:c r="I18" t="n">
        <x:v>1</x:v>
      </x:c>
      <x:c r="J18" t="n">
        <x:v>0</x:v>
      </x:c>
      <x:c r="K18" t="str">
        <x:f>IF(AND(H18=1,I18=1),"PASS","FAIL")</x:f>
        <x:v>PASS</x:v>
      </x:c>
      <x:c r="L18" t="str">
        <x:f>IF(J18=0,"OPEN",IF(J18=1,"PASS","FAIL"))</x:f>
        <x:v>OPEN</x:v>
      </x:c>
    </x:row>
    <x:row r="19">
      <x:c r="B19" t="str">
        <x:v>P12</x:v>
      </x:c>
      <x:c r="C19" t="str">
        <x:v>last-resort disposer</x:v>
      </x:c>
      <x:c r="D19" t="str">
        <x:v>flow, ignition, destruction</x:v>
      </x:c>
      <x:c r="E19" t="str">
        <x:v>A-P12</x:v>
      </x:c>
      <x:c r="F19" t="str">
        <x:v>B-P12</x:v>
      </x:c>
      <x:c r="G19" t="str">
        <x:v>REF-P12</x:v>
      </x:c>
      <x:c r="H19" t="n">
        <x:v>1</x:v>
      </x:c>
      <x:c r="I19" t="n">
        <x:v>1</x:v>
      </x:c>
      <x:c r="J19" t="n">
        <x:v>0</x:v>
      </x:c>
      <x:c r="K19" t="str">
        <x:f>IF(AND(H19=1,I19=1),"PASS","FAIL")</x:f>
        <x:v>PASS</x:v>
      </x:c>
      <x:c r="L19" t="str">
        <x:f>IF(J19=0,"OPEN",IF(J19=1,"PASS","FAIL"))</x:f>
        <x:v>OPEN</x:v>
      </x:c>
    </x:row>
    <x:row r="20">
      <x:c r="B20" t="str">
        <x:v>P13</x:v>
      </x:c>
      <x:c r="C20" t="str">
        <x:v>adjacent source face</x:v>
      </x:c>
      <x:c r="D20" t="str">
        <x:v>heat, pressure, fragment, strain</x:v>
      </x:c>
      <x:c r="E20" t="str">
        <x:v>A-P13</x:v>
      </x:c>
      <x:c r="F20" t="str">
        <x:v>B-P13</x:v>
      </x:c>
      <x:c r="G20" t="str">
        <x:v>REF-P13</x:v>
      </x:c>
      <x:c r="H20" t="n">
        <x:v>1</x:v>
      </x:c>
      <x:c r="I20" t="n">
        <x:v>1</x:v>
      </x:c>
      <x:c r="J20" t="n">
        <x:v>0</x:v>
      </x:c>
      <x:c r="K20" t="str">
        <x:f>IF(AND(H20=1,I20=1),"PASS","FAIL")</x:f>
        <x:v>PASS</x:v>
      </x:c>
      <x:c r="L20" t="str">
        <x:f>IF(J20=0,"OPEN",IF(J20=1,"PASS","FAIL"))</x:f>
        <x:v>OPEN</x:v>
      </x:c>
    </x:row>
    <x:row r="21">
      <x:c r="B21" t="str">
        <x:v>P14</x:v>
      </x:c>
      <x:c r="C21" t="str">
        <x:v>exclusion field</x:v>
      </x:c>
      <x:c r="D21" t="str">
        <x:v>gas, pressure, heat, weather</x:v>
      </x:c>
      <x:c r="E21" t="str">
        <x:v>A-P14</x:v>
      </x:c>
      <x:c r="F21" t="str">
        <x:v>B-P14</x:v>
      </x:c>
      <x:c r="G21" t="str">
        <x:v>REF-P14</x:v>
      </x:c>
      <x:c r="H21" t="n">
        <x:v>1</x:v>
      </x:c>
      <x:c r="I21" t="n">
        <x:v>1</x:v>
      </x:c>
      <x:c r="J21" t="n">
        <x:v>0</x:v>
      </x:c>
      <x:c r="K21" t="str">
        <x:f>IF(AND(H21=1,I21=1),"PASS","FAIL")</x:f>
        <x:v>PASS</x:v>
      </x:c>
      <x:c r="L21" t="str">
        <x:f>IF(J21=0,"OPEN",IF(J21=1,"PASS","FAIL"))</x:f>
        <x:v>OPEN</x:v>
      </x:c>
    </x:row>
    <x:row r="22">
      <x:c r="B22" t="str">
        <x:v>P15</x:v>
      </x:c>
      <x:c r="C22" t="str">
        <x:v>evidence boundary</x:v>
      </x:c>
      <x:c r="D22" t="str">
        <x:v>time, packet, power, custody</x:v>
      </x:c>
      <x:c r="E22" t="str">
        <x:v>A-P15</x:v>
      </x:c>
      <x:c r="F22" t="str">
        <x:v>B-P15</x:v>
      </x:c>
      <x:c r="G22" t="str">
        <x:v>REF-P15</x:v>
      </x:c>
      <x:c r="H22" t="n">
        <x:v>1</x:v>
      </x:c>
      <x:c r="I22" t="n">
        <x:v>1</x:v>
      </x:c>
      <x:c r="J22" t="n">
        <x:v>0</x:v>
      </x:c>
      <x:c r="K22" t="str">
        <x:f>IF(AND(H22=1,I22=1),"PASS","FAIL")</x:f>
        <x:v>PASS</x:v>
      </x:c>
      <x:c r="L22" t="str">
        <x:f>IF(J22=0,"OPEN",IF(J22=1,"PASS","FAIL"))</x:f>
        <x:v>OPEN</x:v>
      </x:c>
    </x:row>
  </x:sheetData>
  <x:conditionalFormatting sqref="K7:L22">
    <x:cfRule type="cellIs" dxfId="44" priority="1" operator="equal">
      <x:formula>"FAIL"</x:formula>
    </x:cfRule>
    <x:cfRule type="cellIs" dxfId="45" priority="2" operator="equal">
      <x:formula>"BLOCKED"</x:formula>
    </x:cfRule>
    <x:cfRule type="cellIs" dxfId="46" priority="3" operator="equal">
      <x:formula>"OPEN"</x:formula>
    </x:cfRule>
    <x:cfRule type="cellIs" dxfId="47" priority="4" operator="equal">
      <x:formula>"PASS"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6" hidden="0" customWidth="1"/>
    <x:col min="4" max="4" width="38" hidden="0" customWidth="1"/>
    <x:col min="5" max="5" width="10" hidden="0" customWidth="1"/>
    <x:col min="6" max="6" width="12" hidden="0" customWidth="1"/>
    <x:col min="7" max="7" width="22" hidden="0" customWidth="1"/>
    <x:col min="8" max="8" width="18" hidden="0" customWidth="1"/>
    <x:col min="9" max="9" width="19" hidden="0" customWidth="1"/>
    <x:col min="10" max="10" width="17" hidden="0" customWidth="1"/>
    <x:col min="11" max="11" width="18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Sixty-four-sheet internal drawing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All drawings expose a testable boundary. No sheet exists to establish exterior appearance.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Drawing</x:v>
      </x:c>
      <x:c r="C6" s="14" t="str">
        <x:v>Discipline</x:v>
      </x:c>
      <x:c r="D6" s="14" t="str">
        <x:v>Sheet title</x:v>
      </x:c>
      <x:c r="E6" s="14" t="str">
        <x:v>Root</x:v>
      </x:c>
      <x:c r="F6" s="14" t="str">
        <x:v>Site</x:v>
      </x:c>
      <x:c r="G6" s="14" t="str">
        <x:v>Measurement planes</x:v>
      </x:c>
      <x:c r="H6" s="14" t="str">
        <x:v>Hazard boundary</x:v>
      </x:c>
      <x:c r="I6" s="14" t="str">
        <x:v>Stimulus or quantity</x:v>
      </x:c>
      <x:c r="J6" s="14" t="str">
        <x:v>Design complete</x:v>
      </x:c>
      <x:c r="K6" s="14" t="str">
        <x:v>Authority record</x:v>
      </x:c>
      <x:c r="L6" s="15" t="str">
        <x:v>Planning state</x:v>
      </x:c>
    </x:row>
    <x:row r="7">
      <x:c r="B7" t="str">
        <x:v>SBD-001</x:v>
      </x:c>
      <x:c r="C7" t="str">
        <x:v>general arrangement</x:v>
      </x:c>
      <x:c r="D7" t="str">
        <x:v>general arrangement sheet 01</x:v>
      </x:c>
      <x:c r="E7" t="str">
        <x:v>both</x:v>
      </x:c>
      <x:c r="F7" t="str">
        <x:v>PTC-B</x:v>
      </x:c>
      <x:c r="G7" t="str">
        <x:v>P00:P03</x:v>
      </x:c>
      <x:c r="H7" t="str">
        <x:v>HB-01</x:v>
      </x:c>
      <x:c r="I7" t="str">
        <x:v>Q-001</x:v>
      </x:c>
      <x:c r="J7" t="n">
        <x:v>1</x:v>
      </x:c>
      <x:c r="K7" t="n">
        <x:v>1</x:v>
      </x:c>
      <x:c r="L7" t="str">
        <x:f>IF(AND(J7=1,K7=1),"PASS","FAIL")</x:f>
        <x:v>PASS</x:v>
      </x:c>
    </x:row>
    <x:row r="8">
      <x:c r="B8" t="str">
        <x:v>SBD-002</x:v>
      </x:c>
      <x:c r="C8" t="str">
        <x:v>general arrangement</x:v>
      </x:c>
      <x:c r="D8" t="str">
        <x:v>general arrangement sheet 02</x:v>
      </x:c>
      <x:c r="E8" t="str">
        <x:v>both</x:v>
      </x:c>
      <x:c r="F8" t="str">
        <x:v>PTC-C</x:v>
      </x:c>
      <x:c r="G8" t="str">
        <x:v>P02:P05</x:v>
      </x:c>
      <x:c r="H8" t="str">
        <x:v>HB-02</x:v>
      </x:c>
      <x:c r="I8" t="str">
        <x:v>Q-002</x:v>
      </x:c>
      <x:c r="J8" t="n">
        <x:v>1</x:v>
      </x:c>
      <x:c r="K8" t="n">
        <x:v>1</x:v>
      </x:c>
      <x:c r="L8" t="str">
        <x:f>IF(AND(J8=1,K8=1),"PASS","FAIL")</x:f>
        <x:v>PASS</x:v>
      </x:c>
    </x:row>
    <x:row r="9">
      <x:c r="B9" t="str">
        <x:v>SBD-003</x:v>
      </x:c>
      <x:c r="C9" t="str">
        <x:v>general arrangement</x:v>
      </x:c>
      <x:c r="D9" t="str">
        <x:v>general arrangement sheet 03</x:v>
      </x:c>
      <x:c r="E9" t="str">
        <x:v>both</x:v>
      </x:c>
      <x:c r="F9" t="str">
        <x:v>common</x:v>
      </x:c>
      <x:c r="G9" t="str">
        <x:v>P04:P07</x:v>
      </x:c>
      <x:c r="H9" t="str">
        <x:v>HB-03</x:v>
      </x:c>
      <x:c r="I9" t="str">
        <x:v>Q-003</x:v>
      </x:c>
      <x:c r="J9" t="n">
        <x:v>1</x:v>
      </x:c>
      <x:c r="K9" t="n">
        <x:v>1</x:v>
      </x:c>
      <x:c r="L9" t="str">
        <x:f>IF(AND(J9=1,K9=1),"PASS","FAIL")</x:f>
        <x:v>PASS</x:v>
      </x:c>
    </x:row>
    <x:row r="10">
      <x:c r="B10" t="str">
        <x:v>SBD-004</x:v>
      </x:c>
      <x:c r="C10" t="str">
        <x:v>general arrangement</x:v>
      </x:c>
      <x:c r="D10" t="str">
        <x:v>general arrangement sheet 04</x:v>
      </x:c>
      <x:c r="E10" t="str">
        <x:v>both</x:v>
      </x:c>
      <x:c r="F10" t="str">
        <x:v>PTC-B</x:v>
      </x:c>
      <x:c r="G10" t="str">
        <x:v>P06:P09</x:v>
      </x:c>
      <x:c r="H10" t="str">
        <x:v>HB-04</x:v>
      </x:c>
      <x:c r="I10" t="str">
        <x:v>Q-004</x:v>
      </x:c>
      <x:c r="J10" t="n">
        <x:v>1</x:v>
      </x:c>
      <x:c r="K10" t="n">
        <x:v>1</x:v>
      </x:c>
      <x:c r="L10" t="str">
        <x:f>IF(AND(J10=1,K10=1),"PASS","FAIL")</x:f>
        <x:v>PASS</x:v>
      </x:c>
    </x:row>
    <x:row r="11">
      <x:c r="B11" t="str">
        <x:v>SBD-005</x:v>
      </x:c>
      <x:c r="C11" t="str">
        <x:v>general arrangement</x:v>
      </x:c>
      <x:c r="D11" t="str">
        <x:v>general arrangement sheet 05</x:v>
      </x:c>
      <x:c r="E11" t="str">
        <x:v>both</x:v>
      </x:c>
      <x:c r="F11" t="str">
        <x:v>PTC-C</x:v>
      </x:c>
      <x:c r="G11" t="str">
        <x:v>P08:P11</x:v>
      </x:c>
      <x:c r="H11" t="str">
        <x:v>HB-05</x:v>
      </x:c>
      <x:c r="I11" t="str">
        <x:v>Q-005</x:v>
      </x:c>
      <x:c r="J11" t="n">
        <x:v>1</x:v>
      </x:c>
      <x:c r="K11" t="n">
        <x:v>1</x:v>
      </x:c>
      <x:c r="L11" t="str">
        <x:f>IF(AND(J11=1,K11=1),"PASS","FAIL")</x:f>
        <x:v>PASS</x:v>
      </x:c>
    </x:row>
    <x:row r="12">
      <x:c r="B12" t="str">
        <x:v>SBD-006</x:v>
      </x:c>
      <x:c r="C12" t="str">
        <x:v>general arrangement</x:v>
      </x:c>
      <x:c r="D12" t="str">
        <x:v>general arrangement sheet 06</x:v>
      </x:c>
      <x:c r="E12" t="str">
        <x:v>both</x:v>
      </x:c>
      <x:c r="F12" t="str">
        <x:v>common</x:v>
      </x:c>
      <x:c r="G12" t="str">
        <x:v>P10:P13</x:v>
      </x:c>
      <x:c r="H12" t="str">
        <x:v>HB-06</x:v>
      </x:c>
      <x:c r="I12" t="str">
        <x:v>Q-006</x:v>
      </x:c>
      <x:c r="J12" t="n">
        <x:v>1</x:v>
      </x:c>
      <x:c r="K12" t="n">
        <x:v>1</x:v>
      </x:c>
      <x:c r="L12" t="str">
        <x:f>IF(AND(J12=1,K12=1),"PASS","FAIL")</x:f>
        <x:v>PASS</x:v>
      </x:c>
    </x:row>
    <x:row r="13">
      <x:c r="B13" t="str">
        <x:v>SBD-007</x:v>
      </x:c>
      <x:c r="C13" t="str">
        <x:v>general arrangement</x:v>
      </x:c>
      <x:c r="D13" t="str">
        <x:v>general arrangement sheet 07</x:v>
      </x:c>
      <x:c r="E13" t="str">
        <x:v>both</x:v>
      </x:c>
      <x:c r="F13" t="str">
        <x:v>PTC-B</x:v>
      </x:c>
      <x:c r="G13" t="str">
        <x:v>P12:P15</x:v>
      </x:c>
      <x:c r="H13" t="str">
        <x:v>HB-07</x:v>
      </x:c>
      <x:c r="I13" t="str">
        <x:v>Q-007</x:v>
      </x:c>
      <x:c r="J13" t="n">
        <x:v>1</x:v>
      </x:c>
      <x:c r="K13" t="n">
        <x:v>1</x:v>
      </x:c>
      <x:c r="L13" t="str">
        <x:f>IF(AND(J13=1,K13=1),"PASS","FAIL")</x:f>
        <x:v>PASS</x:v>
      </x:c>
    </x:row>
    <x:row r="14">
      <x:c r="B14" t="str">
        <x:v>SBD-008</x:v>
      </x:c>
      <x:c r="C14" t="str">
        <x:v>general arrangement</x:v>
      </x:c>
      <x:c r="D14" t="str">
        <x:v>general arrangement sheet 08</x:v>
      </x:c>
      <x:c r="E14" t="str">
        <x:v>both</x:v>
      </x:c>
      <x:c r="F14" t="str">
        <x:v>PTC-C</x:v>
      </x:c>
      <x:c r="G14" t="str">
        <x:v>P14:P01</x:v>
      </x:c>
      <x:c r="H14" t="str">
        <x:v>HB-08</x:v>
      </x:c>
      <x:c r="I14" t="str">
        <x:v>Q-008</x:v>
      </x:c>
      <x:c r="J14" t="n">
        <x:v>1</x:v>
      </x:c>
      <x:c r="K14" t="n">
        <x:v>1</x:v>
      </x:c>
      <x:c r="L14" t="str">
        <x:f>IF(AND(J14=1,K14=1),"PASS","FAIL")</x:f>
        <x:v>PASS</x:v>
      </x:c>
    </x:row>
    <x:row r="15">
      <x:c r="B15" t="str">
        <x:v>SBD-009</x:v>
      </x:c>
      <x:c r="C15" t="str">
        <x:v>civil and containment</x:v>
      </x:c>
      <x:c r="D15" t="str">
        <x:v>civil and containment sheet 01</x:v>
      </x:c>
      <x:c r="E15" t="str">
        <x:v>both</x:v>
      </x:c>
      <x:c r="F15" t="str">
        <x:v>PTC-B</x:v>
      </x:c>
      <x:c r="G15" t="str">
        <x:v>P00:P03</x:v>
      </x:c>
      <x:c r="H15" t="str">
        <x:v>HB-09</x:v>
      </x:c>
      <x:c r="I15" t="str">
        <x:v>Q-009</x:v>
      </x:c>
      <x:c r="J15" t="n">
        <x:v>1</x:v>
      </x:c>
      <x:c r="K15" t="n">
        <x:v>1</x:v>
      </x:c>
      <x:c r="L15" t="str">
        <x:f>IF(AND(J15=1,K15=1),"PASS","FAIL")</x:f>
        <x:v>PASS</x:v>
      </x:c>
    </x:row>
    <x:row r="16">
      <x:c r="B16" t="str">
        <x:v>SBD-010</x:v>
      </x:c>
      <x:c r="C16" t="str">
        <x:v>civil and containment</x:v>
      </x:c>
      <x:c r="D16" t="str">
        <x:v>civil and containment sheet 02</x:v>
      </x:c>
      <x:c r="E16" t="str">
        <x:v>both</x:v>
      </x:c>
      <x:c r="F16" t="str">
        <x:v>PTC-C</x:v>
      </x:c>
      <x:c r="G16" t="str">
        <x:v>P02:P05</x:v>
      </x:c>
      <x:c r="H16" t="str">
        <x:v>HB-10</x:v>
      </x:c>
      <x:c r="I16" t="str">
        <x:v>Q-010</x:v>
      </x:c>
      <x:c r="J16" t="n">
        <x:v>1</x:v>
      </x:c>
      <x:c r="K16" t="n">
        <x:v>1</x:v>
      </x:c>
      <x:c r="L16" t="str">
        <x:f>IF(AND(J16=1,K16=1),"PASS","FAIL")</x:f>
        <x:v>PASS</x:v>
      </x:c>
    </x:row>
    <x:row r="17">
      <x:c r="B17" t="str">
        <x:v>SBD-011</x:v>
      </x:c>
      <x:c r="C17" t="str">
        <x:v>civil and containment</x:v>
      </x:c>
      <x:c r="D17" t="str">
        <x:v>civil and containment sheet 03</x:v>
      </x:c>
      <x:c r="E17" t="str">
        <x:v>both</x:v>
      </x:c>
      <x:c r="F17" t="str">
        <x:v>common</x:v>
      </x:c>
      <x:c r="G17" t="str">
        <x:v>P04:P07</x:v>
      </x:c>
      <x:c r="H17" t="str">
        <x:v>HB-11</x:v>
      </x:c>
      <x:c r="I17" t="str">
        <x:v>Q-011</x:v>
      </x:c>
      <x:c r="J17" t="n">
        <x:v>1</x:v>
      </x:c>
      <x:c r="K17" t="n">
        <x:v>1</x:v>
      </x:c>
      <x:c r="L17" t="str">
        <x:f>IF(AND(J17=1,K17=1),"PASS","FAIL")</x:f>
        <x:v>PASS</x:v>
      </x:c>
    </x:row>
    <x:row r="18">
      <x:c r="B18" t="str">
        <x:v>SBD-012</x:v>
      </x:c>
      <x:c r="C18" t="str">
        <x:v>civil and containment</x:v>
      </x:c>
      <x:c r="D18" t="str">
        <x:v>civil and containment sheet 04</x:v>
      </x:c>
      <x:c r="E18" t="str">
        <x:v>both</x:v>
      </x:c>
      <x:c r="F18" t="str">
        <x:v>PTC-B</x:v>
      </x:c>
      <x:c r="G18" t="str">
        <x:v>P06:P09</x:v>
      </x:c>
      <x:c r="H18" t="str">
        <x:v>HB-12</x:v>
      </x:c>
      <x:c r="I18" t="str">
        <x:v>Q-012</x:v>
      </x:c>
      <x:c r="J18" t="n">
        <x:v>1</x:v>
      </x:c>
      <x:c r="K18" t="n">
        <x:v>1</x:v>
      </x:c>
      <x:c r="L18" t="str">
        <x:f>IF(AND(J18=1,K18=1),"PASS","FAIL")</x:f>
        <x:v>PASS</x:v>
      </x:c>
    </x:row>
    <x:row r="19">
      <x:c r="B19" t="str">
        <x:v>SBD-013</x:v>
      </x:c>
      <x:c r="C19" t="str">
        <x:v>civil and containment</x:v>
      </x:c>
      <x:c r="D19" t="str">
        <x:v>civil and containment sheet 05</x:v>
      </x:c>
      <x:c r="E19" t="str">
        <x:v>both</x:v>
      </x:c>
      <x:c r="F19" t="str">
        <x:v>PTC-C</x:v>
      </x:c>
      <x:c r="G19" t="str">
        <x:v>P08:P11</x:v>
      </x:c>
      <x:c r="H19" t="str">
        <x:v>HB-13</x:v>
      </x:c>
      <x:c r="I19" t="str">
        <x:v>Q-013</x:v>
      </x:c>
      <x:c r="J19" t="n">
        <x:v>1</x:v>
      </x:c>
      <x:c r="K19" t="n">
        <x:v>1</x:v>
      </x:c>
      <x:c r="L19" t="str">
        <x:f>IF(AND(J19=1,K19=1),"PASS","FAIL")</x:f>
        <x:v>PASS</x:v>
      </x:c>
    </x:row>
    <x:row r="20">
      <x:c r="B20" t="str">
        <x:v>SBD-014</x:v>
      </x:c>
      <x:c r="C20" t="str">
        <x:v>civil and containment</x:v>
      </x:c>
      <x:c r="D20" t="str">
        <x:v>civil and containment sheet 06</x:v>
      </x:c>
      <x:c r="E20" t="str">
        <x:v>both</x:v>
      </x:c>
      <x:c r="F20" t="str">
        <x:v>common</x:v>
      </x:c>
      <x:c r="G20" t="str">
        <x:v>P10:P13</x:v>
      </x:c>
      <x:c r="H20" t="str">
        <x:v>HB-14</x:v>
      </x:c>
      <x:c r="I20" t="str">
        <x:v>Q-014</x:v>
      </x:c>
      <x:c r="J20" t="n">
        <x:v>1</x:v>
      </x:c>
      <x:c r="K20" t="n">
        <x:v>1</x:v>
      </x:c>
      <x:c r="L20" t="str">
        <x:f>IF(AND(J20=1,K20=1),"PASS","FAIL")</x:f>
        <x:v>PASS</x:v>
      </x:c>
    </x:row>
    <x:row r="21">
      <x:c r="B21" t="str">
        <x:v>SBD-015</x:v>
      </x:c>
      <x:c r="C21" t="str">
        <x:v>civil and containment</x:v>
      </x:c>
      <x:c r="D21" t="str">
        <x:v>civil and containment sheet 07</x:v>
      </x:c>
      <x:c r="E21" t="str">
        <x:v>both</x:v>
      </x:c>
      <x:c r="F21" t="str">
        <x:v>PTC-B</x:v>
      </x:c>
      <x:c r="G21" t="str">
        <x:v>P12:P15</x:v>
      </x:c>
      <x:c r="H21" t="str">
        <x:v>HB-15</x:v>
      </x:c>
      <x:c r="I21" t="str">
        <x:v>Q-015</x:v>
      </x:c>
      <x:c r="J21" t="n">
        <x:v>1</x:v>
      </x:c>
      <x:c r="K21" t="n">
        <x:v>1</x:v>
      </x:c>
      <x:c r="L21" t="str">
        <x:f>IF(AND(J21=1,K21=1),"PASS","FAIL")</x:f>
        <x:v>PASS</x:v>
      </x:c>
    </x:row>
    <x:row r="22">
      <x:c r="B22" t="str">
        <x:v>SBD-016</x:v>
      </x:c>
      <x:c r="C22" t="str">
        <x:v>civil and containment</x:v>
      </x:c>
      <x:c r="D22" t="str">
        <x:v>civil and containment sheet 08</x:v>
      </x:c>
      <x:c r="E22" t="str">
        <x:v>both</x:v>
      </x:c>
      <x:c r="F22" t="str">
        <x:v>PTC-C</x:v>
      </x:c>
      <x:c r="G22" t="str">
        <x:v>P14:P01</x:v>
      </x:c>
      <x:c r="H22" t="str">
        <x:v>HB-16</x:v>
      </x:c>
      <x:c r="I22" t="str">
        <x:v>Q-016</x:v>
      </x:c>
      <x:c r="J22" t="n">
        <x:v>1</x:v>
      </x:c>
      <x:c r="K22" t="n">
        <x:v>1</x:v>
      </x:c>
      <x:c r="L22" t="str">
        <x:f>IF(AND(J22=1,K22=1),"PASS","FAIL")</x:f>
        <x:v>PASS</x:v>
      </x:c>
    </x:row>
    <x:row r="23">
      <x:c r="B23" t="str">
        <x:v>SBD-017</x:v>
      </x:c>
      <x:c r="C23" t="str">
        <x:v>source quartet</x:v>
      </x:c>
      <x:c r="D23" t="str">
        <x:v>source quartet sheet 01</x:v>
      </x:c>
      <x:c r="E23" t="str">
        <x:v>both</x:v>
      </x:c>
      <x:c r="F23" t="str">
        <x:v>PTC-B</x:v>
      </x:c>
      <x:c r="G23" t="str">
        <x:v>P00:P03</x:v>
      </x:c>
      <x:c r="H23" t="str">
        <x:v>HB-17</x:v>
      </x:c>
      <x:c r="I23" t="str">
        <x:v>Q-017</x:v>
      </x:c>
      <x:c r="J23" t="n">
        <x:v>1</x:v>
      </x:c>
      <x:c r="K23" t="n">
        <x:v>1</x:v>
      </x:c>
      <x:c r="L23" t="str">
        <x:f>IF(AND(J23=1,K23=1),"PASS","FAIL")</x:f>
        <x:v>PASS</x:v>
      </x:c>
    </x:row>
    <x:row r="24">
      <x:c r="B24" t="str">
        <x:v>SBD-018</x:v>
      </x:c>
      <x:c r="C24" t="str">
        <x:v>source quartet</x:v>
      </x:c>
      <x:c r="D24" t="str">
        <x:v>source quartet sheet 02</x:v>
      </x:c>
      <x:c r="E24" t="str">
        <x:v>both</x:v>
      </x:c>
      <x:c r="F24" t="str">
        <x:v>PTC-C</x:v>
      </x:c>
      <x:c r="G24" t="str">
        <x:v>P02:P05</x:v>
      </x:c>
      <x:c r="H24" t="str">
        <x:v>HB-18</x:v>
      </x:c>
      <x:c r="I24" t="str">
        <x:v>Q-018</x:v>
      </x:c>
      <x:c r="J24" t="n">
        <x:v>1</x:v>
      </x:c>
      <x:c r="K24" t="n">
        <x:v>1</x:v>
      </x:c>
      <x:c r="L24" t="str">
        <x:f>IF(AND(J24=1,K24=1),"PASS","FAIL")</x:f>
        <x:v>PASS</x:v>
      </x:c>
    </x:row>
    <x:row r="25">
      <x:c r="B25" t="str">
        <x:v>SBD-019</x:v>
      </x:c>
      <x:c r="C25" t="str">
        <x:v>source quartet</x:v>
      </x:c>
      <x:c r="D25" t="str">
        <x:v>source quartet sheet 03</x:v>
      </x:c>
      <x:c r="E25" t="str">
        <x:v>both</x:v>
      </x:c>
      <x:c r="F25" t="str">
        <x:v>common</x:v>
      </x:c>
      <x:c r="G25" t="str">
        <x:v>P04:P07</x:v>
      </x:c>
      <x:c r="H25" t="str">
        <x:v>HB-01</x:v>
      </x:c>
      <x:c r="I25" t="str">
        <x:v>Q-019</x:v>
      </x:c>
      <x:c r="J25" t="n">
        <x:v>1</x:v>
      </x:c>
      <x:c r="K25" t="n">
        <x:v>1</x:v>
      </x:c>
      <x:c r="L25" t="str">
        <x:f>IF(AND(J25=1,K25=1),"PASS","FAIL")</x:f>
        <x:v>PASS</x:v>
      </x:c>
    </x:row>
    <x:row r="26">
      <x:c r="B26" t="str">
        <x:v>SBD-020</x:v>
      </x:c>
      <x:c r="C26" t="str">
        <x:v>source quartet</x:v>
      </x:c>
      <x:c r="D26" t="str">
        <x:v>source quartet sheet 04</x:v>
      </x:c>
      <x:c r="E26" t="str">
        <x:v>both</x:v>
      </x:c>
      <x:c r="F26" t="str">
        <x:v>PTC-B</x:v>
      </x:c>
      <x:c r="G26" t="str">
        <x:v>P06:P09</x:v>
      </x:c>
      <x:c r="H26" t="str">
        <x:v>HB-02</x:v>
      </x:c>
      <x:c r="I26" t="str">
        <x:v>Q-020</x:v>
      </x:c>
      <x:c r="J26" t="n">
        <x:v>1</x:v>
      </x:c>
      <x:c r="K26" t="n">
        <x:v>1</x:v>
      </x:c>
      <x:c r="L26" t="str">
        <x:f>IF(AND(J26=1,K26=1),"PASS","FAIL")</x:f>
        <x:v>PASS</x:v>
      </x:c>
    </x:row>
    <x:row r="27">
      <x:c r="B27" t="str">
        <x:v>SBD-021</x:v>
      </x:c>
      <x:c r="C27" t="str">
        <x:v>source quartet</x:v>
      </x:c>
      <x:c r="D27" t="str">
        <x:v>source quartet sheet 05</x:v>
      </x:c>
      <x:c r="E27" t="str">
        <x:v>both</x:v>
      </x:c>
      <x:c r="F27" t="str">
        <x:v>PTC-C</x:v>
      </x:c>
      <x:c r="G27" t="str">
        <x:v>P08:P11</x:v>
      </x:c>
      <x:c r="H27" t="str">
        <x:v>HB-03</x:v>
      </x:c>
      <x:c r="I27" t="str">
        <x:v>Q-021</x:v>
      </x:c>
      <x:c r="J27" t="n">
        <x:v>1</x:v>
      </x:c>
      <x:c r="K27" t="n">
        <x:v>1</x:v>
      </x:c>
      <x:c r="L27" t="str">
        <x:f>IF(AND(J27=1,K27=1),"PASS","FAIL")</x:f>
        <x:v>PASS</x:v>
      </x:c>
    </x:row>
    <x:row r="28">
      <x:c r="B28" t="str">
        <x:v>SBD-022</x:v>
      </x:c>
      <x:c r="C28" t="str">
        <x:v>source quartet</x:v>
      </x:c>
      <x:c r="D28" t="str">
        <x:v>source quartet sheet 06</x:v>
      </x:c>
      <x:c r="E28" t="str">
        <x:v>both</x:v>
      </x:c>
      <x:c r="F28" t="str">
        <x:v>common</x:v>
      </x:c>
      <x:c r="G28" t="str">
        <x:v>P10:P13</x:v>
      </x:c>
      <x:c r="H28" t="str">
        <x:v>HB-04</x:v>
      </x:c>
      <x:c r="I28" t="str">
        <x:v>Q-022</x:v>
      </x:c>
      <x:c r="J28" t="n">
        <x:v>1</x:v>
      </x:c>
      <x:c r="K28" t="n">
        <x:v>1</x:v>
      </x:c>
      <x:c r="L28" t="str">
        <x:f>IF(AND(J28=1,K28=1),"PASS","FAIL")</x:f>
        <x:v>PASS</x:v>
      </x:c>
    </x:row>
    <x:row r="29">
      <x:c r="B29" t="str">
        <x:v>SBD-023</x:v>
      </x:c>
      <x:c r="C29" t="str">
        <x:v>source quartet</x:v>
      </x:c>
      <x:c r="D29" t="str">
        <x:v>source quartet sheet 07</x:v>
      </x:c>
      <x:c r="E29" t="str">
        <x:v>both</x:v>
      </x:c>
      <x:c r="F29" t="str">
        <x:v>PTC-B</x:v>
      </x:c>
      <x:c r="G29" t="str">
        <x:v>P12:P15</x:v>
      </x:c>
      <x:c r="H29" t="str">
        <x:v>HB-05</x:v>
      </x:c>
      <x:c r="I29" t="str">
        <x:v>Q-023</x:v>
      </x:c>
      <x:c r="J29" t="n">
        <x:v>1</x:v>
      </x:c>
      <x:c r="K29" t="n">
        <x:v>1</x:v>
      </x:c>
      <x:c r="L29" t="str">
        <x:f>IF(AND(J29=1,K29=1),"PASS","FAIL")</x:f>
        <x:v>PASS</x:v>
      </x:c>
    </x:row>
    <x:row r="30">
      <x:c r="B30" t="str">
        <x:v>SBD-024</x:v>
      </x:c>
      <x:c r="C30" t="str">
        <x:v>source quartet</x:v>
      </x:c>
      <x:c r="D30" t="str">
        <x:v>source quartet sheet 08</x:v>
      </x:c>
      <x:c r="E30" t="str">
        <x:v>both</x:v>
      </x:c>
      <x:c r="F30" t="str">
        <x:v>PTC-C</x:v>
      </x:c>
      <x:c r="G30" t="str">
        <x:v>P14:P01</x:v>
      </x:c>
      <x:c r="H30" t="str">
        <x:v>HB-06</x:v>
      </x:c>
      <x:c r="I30" t="str">
        <x:v>Q-024</x:v>
      </x:c>
      <x:c r="J30" t="n">
        <x:v>1</x:v>
      </x:c>
      <x:c r="K30" t="n">
        <x:v>1</x:v>
      </x:c>
      <x:c r="L30" t="str">
        <x:f>IF(AND(J30=1,K30=1),"PASS","FAIL")</x:f>
        <x:v>PASS</x:v>
      </x:c>
    </x:row>
    <x:row r="31">
      <x:c r="B31" t="str">
        <x:v>SBD-025</x:v>
      </x:c>
      <x:c r="C31" t="str">
        <x:v>Root A process</x:v>
      </x:c>
      <x:c r="D31" t="str">
        <x:v>Root A process sheet 01</x:v>
      </x:c>
      <x:c r="E31" t="str">
        <x:v>A</x:v>
      </x:c>
      <x:c r="F31" t="str">
        <x:v>PTC-B</x:v>
      </x:c>
      <x:c r="G31" t="str">
        <x:v>P00:P03</x:v>
      </x:c>
      <x:c r="H31" t="str">
        <x:v>HB-07</x:v>
      </x:c>
      <x:c r="I31" t="str">
        <x:v>Q-025</x:v>
      </x:c>
      <x:c r="J31" t="n">
        <x:v>1</x:v>
      </x:c>
      <x:c r="K31" t="n">
        <x:v>1</x:v>
      </x:c>
      <x:c r="L31" t="str">
        <x:f>IF(AND(J31=1,K31=1),"PASS","FAIL")</x:f>
        <x:v>PASS</x:v>
      </x:c>
    </x:row>
    <x:row r="32">
      <x:c r="B32" t="str">
        <x:v>SBD-026</x:v>
      </x:c>
      <x:c r="C32" t="str">
        <x:v>Root A process</x:v>
      </x:c>
      <x:c r="D32" t="str">
        <x:v>Root A process sheet 02</x:v>
      </x:c>
      <x:c r="E32" t="str">
        <x:v>A</x:v>
      </x:c>
      <x:c r="F32" t="str">
        <x:v>PTC-C</x:v>
      </x:c>
      <x:c r="G32" t="str">
        <x:v>P02:P05</x:v>
      </x:c>
      <x:c r="H32" t="str">
        <x:v>HB-08</x:v>
      </x:c>
      <x:c r="I32" t="str">
        <x:v>Q-026</x:v>
      </x:c>
      <x:c r="J32" t="n">
        <x:v>1</x:v>
      </x:c>
      <x:c r="K32" t="n">
        <x:v>1</x:v>
      </x:c>
      <x:c r="L32" t="str">
        <x:f>IF(AND(J32=1,K32=1),"PASS","FAIL")</x:f>
        <x:v>PASS</x:v>
      </x:c>
    </x:row>
    <x:row r="33">
      <x:c r="B33" t="str">
        <x:v>SBD-027</x:v>
      </x:c>
      <x:c r="C33" t="str">
        <x:v>Root A process</x:v>
      </x:c>
      <x:c r="D33" t="str">
        <x:v>Root A process sheet 03</x:v>
      </x:c>
      <x:c r="E33" t="str">
        <x:v>A</x:v>
      </x:c>
      <x:c r="F33" t="str">
        <x:v>common</x:v>
      </x:c>
      <x:c r="G33" t="str">
        <x:v>P04:P07</x:v>
      </x:c>
      <x:c r="H33" t="str">
        <x:v>HB-09</x:v>
      </x:c>
      <x:c r="I33" t="str">
        <x:v>Q-027</x:v>
      </x:c>
      <x:c r="J33" t="n">
        <x:v>1</x:v>
      </x:c>
      <x:c r="K33" t="n">
        <x:v>1</x:v>
      </x:c>
      <x:c r="L33" t="str">
        <x:f>IF(AND(J33=1,K33=1),"PASS","FAIL")</x:f>
        <x:v>PASS</x:v>
      </x:c>
    </x:row>
    <x:row r="34">
      <x:c r="B34" t="str">
        <x:v>SBD-028</x:v>
      </x:c>
      <x:c r="C34" t="str">
        <x:v>Root A process</x:v>
      </x:c>
      <x:c r="D34" t="str">
        <x:v>Root A process sheet 04</x:v>
      </x:c>
      <x:c r="E34" t="str">
        <x:v>A</x:v>
      </x:c>
      <x:c r="F34" t="str">
        <x:v>PTC-B</x:v>
      </x:c>
      <x:c r="G34" t="str">
        <x:v>P06:P09</x:v>
      </x:c>
      <x:c r="H34" t="str">
        <x:v>HB-10</x:v>
      </x:c>
      <x:c r="I34" t="str">
        <x:v>Q-028</x:v>
      </x:c>
      <x:c r="J34" t="n">
        <x:v>1</x:v>
      </x:c>
      <x:c r="K34" t="n">
        <x:v>1</x:v>
      </x:c>
      <x:c r="L34" t="str">
        <x:f>IF(AND(J34=1,K34=1),"PASS","FAIL")</x:f>
        <x:v>PASS</x:v>
      </x:c>
    </x:row>
    <x:row r="35">
      <x:c r="B35" t="str">
        <x:v>SBD-029</x:v>
      </x:c>
      <x:c r="C35" t="str">
        <x:v>Root A process</x:v>
      </x:c>
      <x:c r="D35" t="str">
        <x:v>Root A process sheet 05</x:v>
      </x:c>
      <x:c r="E35" t="str">
        <x:v>A</x:v>
      </x:c>
      <x:c r="F35" t="str">
        <x:v>PTC-C</x:v>
      </x:c>
      <x:c r="G35" t="str">
        <x:v>P08:P11</x:v>
      </x:c>
      <x:c r="H35" t="str">
        <x:v>HB-11</x:v>
      </x:c>
      <x:c r="I35" t="str">
        <x:v>Q-029</x:v>
      </x:c>
      <x:c r="J35" t="n">
        <x:v>1</x:v>
      </x:c>
      <x:c r="K35" t="n">
        <x:v>1</x:v>
      </x:c>
      <x:c r="L35" t="str">
        <x:f>IF(AND(J35=1,K35=1),"PASS","FAIL")</x:f>
        <x:v>PASS</x:v>
      </x:c>
    </x:row>
    <x:row r="36">
      <x:c r="B36" t="str">
        <x:v>SBD-030</x:v>
      </x:c>
      <x:c r="C36" t="str">
        <x:v>Root A process</x:v>
      </x:c>
      <x:c r="D36" t="str">
        <x:v>Root A process sheet 06</x:v>
      </x:c>
      <x:c r="E36" t="str">
        <x:v>A</x:v>
      </x:c>
      <x:c r="F36" t="str">
        <x:v>common</x:v>
      </x:c>
      <x:c r="G36" t="str">
        <x:v>P10:P13</x:v>
      </x:c>
      <x:c r="H36" t="str">
        <x:v>HB-12</x:v>
      </x:c>
      <x:c r="I36" t="str">
        <x:v>Q-030</x:v>
      </x:c>
      <x:c r="J36" t="n">
        <x:v>1</x:v>
      </x:c>
      <x:c r="K36" t="n">
        <x:v>1</x:v>
      </x:c>
      <x:c r="L36" t="str">
        <x:f>IF(AND(J36=1,K36=1),"PASS","FAIL")</x:f>
        <x:v>PASS</x:v>
      </x:c>
    </x:row>
    <x:row r="37">
      <x:c r="B37" t="str">
        <x:v>SBD-031</x:v>
      </x:c>
      <x:c r="C37" t="str">
        <x:v>Root A process</x:v>
      </x:c>
      <x:c r="D37" t="str">
        <x:v>Root A process sheet 07</x:v>
      </x:c>
      <x:c r="E37" t="str">
        <x:v>A</x:v>
      </x:c>
      <x:c r="F37" t="str">
        <x:v>PTC-B</x:v>
      </x:c>
      <x:c r="G37" t="str">
        <x:v>P12:P15</x:v>
      </x:c>
      <x:c r="H37" t="str">
        <x:v>HB-13</x:v>
      </x:c>
      <x:c r="I37" t="str">
        <x:v>Q-031</x:v>
      </x:c>
      <x:c r="J37" t="n">
        <x:v>1</x:v>
      </x:c>
      <x:c r="K37" t="n">
        <x:v>1</x:v>
      </x:c>
      <x:c r="L37" t="str">
        <x:f>IF(AND(J37=1,K37=1),"PASS","FAIL")</x:f>
        <x:v>PASS</x:v>
      </x:c>
    </x:row>
    <x:row r="38">
      <x:c r="B38" t="str">
        <x:v>SBD-032</x:v>
      </x:c>
      <x:c r="C38" t="str">
        <x:v>Root A process</x:v>
      </x:c>
      <x:c r="D38" t="str">
        <x:v>Root A process sheet 08</x:v>
      </x:c>
      <x:c r="E38" t="str">
        <x:v>A</x:v>
      </x:c>
      <x:c r="F38" t="str">
        <x:v>PTC-C</x:v>
      </x:c>
      <x:c r="G38" t="str">
        <x:v>P14:P01</x:v>
      </x:c>
      <x:c r="H38" t="str">
        <x:v>HB-14</x:v>
      </x:c>
      <x:c r="I38" t="str">
        <x:v>Q-032</x:v>
      </x:c>
      <x:c r="J38" t="n">
        <x:v>1</x:v>
      </x:c>
      <x:c r="K38" t="n">
        <x:v>1</x:v>
      </x:c>
      <x:c r="L38" t="str">
        <x:f>IF(AND(J38=1,K38=1),"PASS","FAIL")</x:f>
        <x:v>PASS</x:v>
      </x:c>
    </x:row>
    <x:row r="39">
      <x:c r="B39" t="str">
        <x:v>SBD-033</x:v>
      </x:c>
      <x:c r="C39" t="str">
        <x:v>Root B process</x:v>
      </x:c>
      <x:c r="D39" t="str">
        <x:v>Root B process sheet 01</x:v>
      </x:c>
      <x:c r="E39" t="str">
        <x:v>B</x:v>
      </x:c>
      <x:c r="F39" t="str">
        <x:v>PTC-B</x:v>
      </x:c>
      <x:c r="G39" t="str">
        <x:v>P00:P03</x:v>
      </x:c>
      <x:c r="H39" t="str">
        <x:v>HB-15</x:v>
      </x:c>
      <x:c r="I39" t="str">
        <x:v>Q-033</x:v>
      </x:c>
      <x:c r="J39" t="n">
        <x:v>1</x:v>
      </x:c>
      <x:c r="K39" t="n">
        <x:v>1</x:v>
      </x:c>
      <x:c r="L39" t="str">
        <x:f>IF(AND(J39=1,K39=1),"PASS","FAIL")</x:f>
        <x:v>PASS</x:v>
      </x:c>
    </x:row>
    <x:row r="40">
      <x:c r="B40" t="str">
        <x:v>SBD-034</x:v>
      </x:c>
      <x:c r="C40" t="str">
        <x:v>Root B process</x:v>
      </x:c>
      <x:c r="D40" t="str">
        <x:v>Root B process sheet 02</x:v>
      </x:c>
      <x:c r="E40" t="str">
        <x:v>B</x:v>
      </x:c>
      <x:c r="F40" t="str">
        <x:v>PTC-C</x:v>
      </x:c>
      <x:c r="G40" t="str">
        <x:v>P02:P05</x:v>
      </x:c>
      <x:c r="H40" t="str">
        <x:v>HB-16</x:v>
      </x:c>
      <x:c r="I40" t="str">
        <x:v>Q-034</x:v>
      </x:c>
      <x:c r="J40" t="n">
        <x:v>1</x:v>
      </x:c>
      <x:c r="K40" t="n">
        <x:v>1</x:v>
      </x:c>
      <x:c r="L40" t="str">
        <x:f>IF(AND(J40=1,K40=1),"PASS","FAIL")</x:f>
        <x:v>PASS</x:v>
      </x:c>
    </x:row>
    <x:row r="41">
      <x:c r="B41" t="str">
        <x:v>SBD-035</x:v>
      </x:c>
      <x:c r="C41" t="str">
        <x:v>Root B process</x:v>
      </x:c>
      <x:c r="D41" t="str">
        <x:v>Root B process sheet 03</x:v>
      </x:c>
      <x:c r="E41" t="str">
        <x:v>B</x:v>
      </x:c>
      <x:c r="F41" t="str">
        <x:v>common</x:v>
      </x:c>
      <x:c r="G41" t="str">
        <x:v>P04:P07</x:v>
      </x:c>
      <x:c r="H41" t="str">
        <x:v>HB-17</x:v>
      </x:c>
      <x:c r="I41" t="str">
        <x:v>Q-035</x:v>
      </x:c>
      <x:c r="J41" t="n">
        <x:v>1</x:v>
      </x:c>
      <x:c r="K41" t="n">
        <x:v>1</x:v>
      </x:c>
      <x:c r="L41" t="str">
        <x:f>IF(AND(J41=1,K41=1),"PASS","FAIL")</x:f>
        <x:v>PASS</x:v>
      </x:c>
    </x:row>
    <x:row r="42">
      <x:c r="B42" t="str">
        <x:v>SBD-036</x:v>
      </x:c>
      <x:c r="C42" t="str">
        <x:v>Root B process</x:v>
      </x:c>
      <x:c r="D42" t="str">
        <x:v>Root B process sheet 04</x:v>
      </x:c>
      <x:c r="E42" t="str">
        <x:v>B</x:v>
      </x:c>
      <x:c r="F42" t="str">
        <x:v>PTC-B</x:v>
      </x:c>
      <x:c r="G42" t="str">
        <x:v>P06:P09</x:v>
      </x:c>
      <x:c r="H42" t="str">
        <x:v>HB-18</x:v>
      </x:c>
      <x:c r="I42" t="str">
        <x:v>Q-036</x:v>
      </x:c>
      <x:c r="J42" t="n">
        <x:v>1</x:v>
      </x:c>
      <x:c r="K42" t="n">
        <x:v>1</x:v>
      </x:c>
      <x:c r="L42" t="str">
        <x:f>IF(AND(J42=1,K42=1),"PASS","FAIL")</x:f>
        <x:v>PASS</x:v>
      </x:c>
    </x:row>
    <x:row r="43">
      <x:c r="B43" t="str">
        <x:v>SBD-037</x:v>
      </x:c>
      <x:c r="C43" t="str">
        <x:v>Root B process</x:v>
      </x:c>
      <x:c r="D43" t="str">
        <x:v>Root B process sheet 05</x:v>
      </x:c>
      <x:c r="E43" t="str">
        <x:v>B</x:v>
      </x:c>
      <x:c r="F43" t="str">
        <x:v>PTC-C</x:v>
      </x:c>
      <x:c r="G43" t="str">
        <x:v>P08:P11</x:v>
      </x:c>
      <x:c r="H43" t="str">
        <x:v>HB-01</x:v>
      </x:c>
      <x:c r="I43" t="str">
        <x:v>Q-037</x:v>
      </x:c>
      <x:c r="J43" t="n">
        <x:v>1</x:v>
      </x:c>
      <x:c r="K43" t="n">
        <x:v>1</x:v>
      </x:c>
      <x:c r="L43" t="str">
        <x:f>IF(AND(J43=1,K43=1),"PASS","FAIL")</x:f>
        <x:v>PASS</x:v>
      </x:c>
    </x:row>
    <x:row r="44">
      <x:c r="B44" t="str">
        <x:v>SBD-038</x:v>
      </x:c>
      <x:c r="C44" t="str">
        <x:v>Root B process</x:v>
      </x:c>
      <x:c r="D44" t="str">
        <x:v>Root B process sheet 06</x:v>
      </x:c>
      <x:c r="E44" t="str">
        <x:v>B</x:v>
      </x:c>
      <x:c r="F44" t="str">
        <x:v>common</x:v>
      </x:c>
      <x:c r="G44" t="str">
        <x:v>P10:P13</x:v>
      </x:c>
      <x:c r="H44" t="str">
        <x:v>HB-02</x:v>
      </x:c>
      <x:c r="I44" t="str">
        <x:v>Q-038</x:v>
      </x:c>
      <x:c r="J44" t="n">
        <x:v>1</x:v>
      </x:c>
      <x:c r="K44" t="n">
        <x:v>1</x:v>
      </x:c>
      <x:c r="L44" t="str">
        <x:f>IF(AND(J44=1,K44=1),"PASS","FAIL")</x:f>
        <x:v>PASS</x:v>
      </x:c>
    </x:row>
    <x:row r="45">
      <x:c r="B45" t="str">
        <x:v>SBD-039</x:v>
      </x:c>
      <x:c r="C45" t="str">
        <x:v>Root B process</x:v>
      </x:c>
      <x:c r="D45" t="str">
        <x:v>Root B process sheet 07</x:v>
      </x:c>
      <x:c r="E45" t="str">
        <x:v>B</x:v>
      </x:c>
      <x:c r="F45" t="str">
        <x:v>PTC-B</x:v>
      </x:c>
      <x:c r="G45" t="str">
        <x:v>P12:P15</x:v>
      </x:c>
      <x:c r="H45" t="str">
        <x:v>HB-03</x:v>
      </x:c>
      <x:c r="I45" t="str">
        <x:v>Q-039</x:v>
      </x:c>
      <x:c r="J45" t="n">
        <x:v>1</x:v>
      </x:c>
      <x:c r="K45" t="n">
        <x:v>1</x:v>
      </x:c>
      <x:c r="L45" t="str">
        <x:f>IF(AND(J45=1,K45=1),"PASS","FAIL")</x:f>
        <x:v>PASS</x:v>
      </x:c>
    </x:row>
    <x:row r="46">
      <x:c r="B46" t="str">
        <x:v>SBD-040</x:v>
      </x:c>
      <x:c r="C46" t="str">
        <x:v>Root B process</x:v>
      </x:c>
      <x:c r="D46" t="str">
        <x:v>Root B process sheet 08</x:v>
      </x:c>
      <x:c r="E46" t="str">
        <x:v>B</x:v>
      </x:c>
      <x:c r="F46" t="str">
        <x:v>PTC-C</x:v>
      </x:c>
      <x:c r="G46" t="str">
        <x:v>P14:P01</x:v>
      </x:c>
      <x:c r="H46" t="str">
        <x:v>HB-04</x:v>
      </x:c>
      <x:c r="I46" t="str">
        <x:v>Q-040</x:v>
      </x:c>
      <x:c r="J46" t="n">
        <x:v>1</x:v>
      </x:c>
      <x:c r="K46" t="n">
        <x:v>1</x:v>
      </x:c>
      <x:c r="L46" t="str">
        <x:f>IF(AND(J46=1,K46=1),"PASS","FAIL")</x:f>
        <x:v>PASS</x:v>
      </x:c>
    </x:row>
    <x:row r="47">
      <x:c r="B47" t="str">
        <x:v>SBD-041</x:v>
      </x:c>
      <x:c r="C47" t="str">
        <x:v>Root B process</x:v>
      </x:c>
      <x:c r="D47" t="str">
        <x:v>Root B process sheet 09</x:v>
      </x:c>
      <x:c r="E47" t="str">
        <x:v>B</x:v>
      </x:c>
      <x:c r="F47" t="str">
        <x:v>common</x:v>
      </x:c>
      <x:c r="G47" t="str">
        <x:v>P00:P03</x:v>
      </x:c>
      <x:c r="H47" t="str">
        <x:v>HB-05</x:v>
      </x:c>
      <x:c r="I47" t="str">
        <x:v>Q-041</x:v>
      </x:c>
      <x:c r="J47" t="n">
        <x:v>1</x:v>
      </x:c>
      <x:c r="K47" t="n">
        <x:v>1</x:v>
      </x:c>
      <x:c r="L47" t="str">
        <x:f>IF(AND(J47=1,K47=1),"PASS","FAIL")</x:f>
        <x:v>PASS</x:v>
      </x:c>
    </x:row>
    <x:row r="48">
      <x:c r="B48" t="str">
        <x:v>SBD-042</x:v>
      </x:c>
      <x:c r="C48" t="str">
        <x:v>Root B process</x:v>
      </x:c>
      <x:c r="D48" t="str">
        <x:v>Root B process sheet 10</x:v>
      </x:c>
      <x:c r="E48" t="str">
        <x:v>B</x:v>
      </x:c>
      <x:c r="F48" t="str">
        <x:v>PTC-B</x:v>
      </x:c>
      <x:c r="G48" t="str">
        <x:v>P02:P05</x:v>
      </x:c>
      <x:c r="H48" t="str">
        <x:v>HB-06</x:v>
      </x:c>
      <x:c r="I48" t="str">
        <x:v>Q-042</x:v>
      </x:c>
      <x:c r="J48" t="n">
        <x:v>1</x:v>
      </x:c>
      <x:c r="K48" t="n">
        <x:v>1</x:v>
      </x:c>
      <x:c r="L48" t="str">
        <x:f>IF(AND(J48=1,K48=1),"PASS","FAIL")</x:f>
        <x:v>PASS</x:v>
      </x:c>
    </x:row>
    <x:row r="49">
      <x:c r="B49" t="str">
        <x:v>SBD-043</x:v>
      </x:c>
      <x:c r="C49" t="str">
        <x:v>Root B process</x:v>
      </x:c>
      <x:c r="D49" t="str">
        <x:v>Root B process sheet 11</x:v>
      </x:c>
      <x:c r="E49" t="str">
        <x:v>B</x:v>
      </x:c>
      <x:c r="F49" t="str">
        <x:v>PTC-C</x:v>
      </x:c>
      <x:c r="G49" t="str">
        <x:v>P04:P07</x:v>
      </x:c>
      <x:c r="H49" t="str">
        <x:v>HB-07</x:v>
      </x:c>
      <x:c r="I49" t="str">
        <x:v>Q-043</x:v>
      </x:c>
      <x:c r="J49" t="n">
        <x:v>1</x:v>
      </x:c>
      <x:c r="K49" t="n">
        <x:v>1</x:v>
      </x:c>
      <x:c r="L49" t="str">
        <x:f>IF(AND(J49=1,K49=1),"PASS","FAIL")</x:f>
        <x:v>PASS</x:v>
      </x:c>
    </x:row>
    <x:row r="50">
      <x:c r="B50" t="str">
        <x:v>SBD-044</x:v>
      </x:c>
      <x:c r="C50" t="str">
        <x:v>Root B process</x:v>
      </x:c>
      <x:c r="D50" t="str">
        <x:v>Root B process sheet 12</x:v>
      </x:c>
      <x:c r="E50" t="str">
        <x:v>B</x:v>
      </x:c>
      <x:c r="F50" t="str">
        <x:v>common</x:v>
      </x:c>
      <x:c r="G50" t="str">
        <x:v>P06:P09</x:v>
      </x:c>
      <x:c r="H50" t="str">
        <x:v>HB-08</x:v>
      </x:c>
      <x:c r="I50" t="str">
        <x:v>Q-044</x:v>
      </x:c>
      <x:c r="J50" t="n">
        <x:v>1</x:v>
      </x:c>
      <x:c r="K50" t="n">
        <x:v>1</x:v>
      </x:c>
      <x:c r="L50" t="str">
        <x:f>IF(AND(J50=1,K50=1),"PASS","FAIL")</x:f>
        <x:v>PASS</x:v>
      </x:c>
    </x:row>
    <x:row r="51">
      <x:c r="B51" t="str">
        <x:v>SBD-045</x:v>
      </x:c>
      <x:c r="C51" t="str">
        <x:v>safety power and control</x:v>
      </x:c>
      <x:c r="D51" t="str">
        <x:v>safety power and control sheet 01</x:v>
      </x:c>
      <x:c r="E51" t="str">
        <x:v>both</x:v>
      </x:c>
      <x:c r="F51" t="str">
        <x:v>PTC-B</x:v>
      </x:c>
      <x:c r="G51" t="str">
        <x:v>P08:P11</x:v>
      </x:c>
      <x:c r="H51" t="str">
        <x:v>HB-09</x:v>
      </x:c>
      <x:c r="I51" t="str">
        <x:v>Q-045</x:v>
      </x:c>
      <x:c r="J51" t="n">
        <x:v>1</x:v>
      </x:c>
      <x:c r="K51" t="n">
        <x:v>1</x:v>
      </x:c>
      <x:c r="L51" t="str">
        <x:f>IF(AND(J51=1,K51=1),"PASS","FAIL")</x:f>
        <x:v>PASS</x:v>
      </x:c>
    </x:row>
    <x:row r="52">
      <x:c r="B52" t="str">
        <x:v>SBD-046</x:v>
      </x:c>
      <x:c r="C52" t="str">
        <x:v>safety power and control</x:v>
      </x:c>
      <x:c r="D52" t="str">
        <x:v>safety power and control sheet 02</x:v>
      </x:c>
      <x:c r="E52" t="str">
        <x:v>both</x:v>
      </x:c>
      <x:c r="F52" t="str">
        <x:v>PTC-C</x:v>
      </x:c>
      <x:c r="G52" t="str">
        <x:v>P10:P13</x:v>
      </x:c>
      <x:c r="H52" t="str">
        <x:v>HB-10</x:v>
      </x:c>
      <x:c r="I52" t="str">
        <x:v>Q-046</x:v>
      </x:c>
      <x:c r="J52" t="n">
        <x:v>1</x:v>
      </x:c>
      <x:c r="K52" t="n">
        <x:v>1</x:v>
      </x:c>
      <x:c r="L52" t="str">
        <x:f>IF(AND(J52=1,K52=1),"PASS","FAIL")</x:f>
        <x:v>PASS</x:v>
      </x:c>
    </x:row>
    <x:row r="53">
      <x:c r="B53" t="str">
        <x:v>SBD-047</x:v>
      </x:c>
      <x:c r="C53" t="str">
        <x:v>safety power and control</x:v>
      </x:c>
      <x:c r="D53" t="str">
        <x:v>safety power and control sheet 03</x:v>
      </x:c>
      <x:c r="E53" t="str">
        <x:v>both</x:v>
      </x:c>
      <x:c r="F53" t="str">
        <x:v>common</x:v>
      </x:c>
      <x:c r="G53" t="str">
        <x:v>P12:P15</x:v>
      </x:c>
      <x:c r="H53" t="str">
        <x:v>HB-11</x:v>
      </x:c>
      <x:c r="I53" t="str">
        <x:v>Q-047</x:v>
      </x:c>
      <x:c r="J53" t="n">
        <x:v>1</x:v>
      </x:c>
      <x:c r="K53" t="n">
        <x:v>1</x:v>
      </x:c>
      <x:c r="L53" t="str">
        <x:f>IF(AND(J53=1,K53=1),"PASS","FAIL")</x:f>
        <x:v>PASS</x:v>
      </x:c>
    </x:row>
    <x:row r="54">
      <x:c r="B54" t="str">
        <x:v>SBD-048</x:v>
      </x:c>
      <x:c r="C54" t="str">
        <x:v>safety power and control</x:v>
      </x:c>
      <x:c r="D54" t="str">
        <x:v>safety power and control sheet 04</x:v>
      </x:c>
      <x:c r="E54" t="str">
        <x:v>both</x:v>
      </x:c>
      <x:c r="F54" t="str">
        <x:v>PTC-B</x:v>
      </x:c>
      <x:c r="G54" t="str">
        <x:v>P14:P01</x:v>
      </x:c>
      <x:c r="H54" t="str">
        <x:v>HB-12</x:v>
      </x:c>
      <x:c r="I54" t="str">
        <x:v>Q-048</x:v>
      </x:c>
      <x:c r="J54" t="n">
        <x:v>1</x:v>
      </x:c>
      <x:c r="K54" t="n">
        <x:v>1</x:v>
      </x:c>
      <x:c r="L54" t="str">
        <x:f>IF(AND(J54=1,K54=1),"PASS","FAIL")</x:f>
        <x:v>PASS</x:v>
      </x:c>
    </x:row>
    <x:row r="55">
      <x:c r="B55" t="str">
        <x:v>SBD-049</x:v>
      </x:c>
      <x:c r="C55" t="str">
        <x:v>safety power and control</x:v>
      </x:c>
      <x:c r="D55" t="str">
        <x:v>safety power and control sheet 05</x:v>
      </x:c>
      <x:c r="E55" t="str">
        <x:v>both</x:v>
      </x:c>
      <x:c r="F55" t="str">
        <x:v>PTC-C</x:v>
      </x:c>
      <x:c r="G55" t="str">
        <x:v>P00:P03</x:v>
      </x:c>
      <x:c r="H55" t="str">
        <x:v>HB-13</x:v>
      </x:c>
      <x:c r="I55" t="str">
        <x:v>Q-049</x:v>
      </x:c>
      <x:c r="J55" t="n">
        <x:v>1</x:v>
      </x:c>
      <x:c r="K55" t="n">
        <x:v>1</x:v>
      </x:c>
      <x:c r="L55" t="str">
        <x:f>IF(AND(J55=1,K55=1),"PASS","FAIL")</x:f>
        <x:v>PASS</x:v>
      </x:c>
    </x:row>
    <x:row r="56">
      <x:c r="B56" t="str">
        <x:v>SBD-050</x:v>
      </x:c>
      <x:c r="C56" t="str">
        <x:v>safety power and control</x:v>
      </x:c>
      <x:c r="D56" t="str">
        <x:v>safety power and control sheet 06</x:v>
      </x:c>
      <x:c r="E56" t="str">
        <x:v>both</x:v>
      </x:c>
      <x:c r="F56" t="str">
        <x:v>common</x:v>
      </x:c>
      <x:c r="G56" t="str">
        <x:v>P02:P05</x:v>
      </x:c>
      <x:c r="H56" t="str">
        <x:v>HB-14</x:v>
      </x:c>
      <x:c r="I56" t="str">
        <x:v>Q-050</x:v>
      </x:c>
      <x:c r="J56" t="n">
        <x:v>1</x:v>
      </x:c>
      <x:c r="K56" t="n">
        <x:v>1</x:v>
      </x:c>
      <x:c r="L56" t="str">
        <x:f>IF(AND(J56=1,K56=1),"PASS","FAIL")</x:f>
        <x:v>PASS</x:v>
      </x:c>
    </x:row>
    <x:row r="57">
      <x:c r="B57" t="str">
        <x:v>SBD-051</x:v>
      </x:c>
      <x:c r="C57" t="str">
        <x:v>safety power and control</x:v>
      </x:c>
      <x:c r="D57" t="str">
        <x:v>safety power and control sheet 07</x:v>
      </x:c>
      <x:c r="E57" t="str">
        <x:v>both</x:v>
      </x:c>
      <x:c r="F57" t="str">
        <x:v>PTC-B</x:v>
      </x:c>
      <x:c r="G57" t="str">
        <x:v>P04:P07</x:v>
      </x:c>
      <x:c r="H57" t="str">
        <x:v>HB-15</x:v>
      </x:c>
      <x:c r="I57" t="str">
        <x:v>Q-051</x:v>
      </x:c>
      <x:c r="J57" t="n">
        <x:v>1</x:v>
      </x:c>
      <x:c r="K57" t="n">
        <x:v>1</x:v>
      </x:c>
      <x:c r="L57" t="str">
        <x:f>IF(AND(J57=1,K57=1),"PASS","FAIL")</x:f>
        <x:v>PASS</x:v>
      </x:c>
    </x:row>
    <x:row r="58">
      <x:c r="B58" t="str">
        <x:v>SBD-052</x:v>
      </x:c>
      <x:c r="C58" t="str">
        <x:v>safety power and control</x:v>
      </x:c>
      <x:c r="D58" t="str">
        <x:v>safety power and control sheet 08</x:v>
      </x:c>
      <x:c r="E58" t="str">
        <x:v>both</x:v>
      </x:c>
      <x:c r="F58" t="str">
        <x:v>PTC-C</x:v>
      </x:c>
      <x:c r="G58" t="str">
        <x:v>P06:P09</x:v>
      </x:c>
      <x:c r="H58" t="str">
        <x:v>HB-16</x:v>
      </x:c>
      <x:c r="I58" t="str">
        <x:v>Q-052</x:v>
      </x:c>
      <x:c r="J58" t="n">
        <x:v>1</x:v>
      </x:c>
      <x:c r="K58" t="n">
        <x:v>1</x:v>
      </x:c>
      <x:c r="L58" t="str">
        <x:f>IF(AND(J58=1,K58=1),"PASS","FAIL")</x:f>
        <x:v>PASS</x:v>
      </x:c>
    </x:row>
    <x:row r="59">
      <x:c r="B59" t="str">
        <x:v>SBD-053</x:v>
      </x:c>
      <x:c r="C59" t="str">
        <x:v>instrument and evidence</x:v>
      </x:c>
      <x:c r="D59" t="str">
        <x:v>instrument and evidence sheet 01</x:v>
      </x:c>
      <x:c r="E59" t="str">
        <x:v>both</x:v>
      </x:c>
      <x:c r="F59" t="str">
        <x:v>PTC-B</x:v>
      </x:c>
      <x:c r="G59" t="str">
        <x:v>P08:P11</x:v>
      </x:c>
      <x:c r="H59" t="str">
        <x:v>HB-17</x:v>
      </x:c>
      <x:c r="I59" t="str">
        <x:v>Q-053</x:v>
      </x:c>
      <x:c r="J59" t="n">
        <x:v>1</x:v>
      </x:c>
      <x:c r="K59" t="n">
        <x:v>1</x:v>
      </x:c>
      <x:c r="L59" t="str">
        <x:f>IF(AND(J59=1,K59=1),"PASS","FAIL")</x:f>
        <x:v>PASS</x:v>
      </x:c>
    </x:row>
    <x:row r="60">
      <x:c r="B60" t="str">
        <x:v>SBD-054</x:v>
      </x:c>
      <x:c r="C60" t="str">
        <x:v>instrument and evidence</x:v>
      </x:c>
      <x:c r="D60" t="str">
        <x:v>instrument and evidence sheet 02</x:v>
      </x:c>
      <x:c r="E60" t="str">
        <x:v>both</x:v>
      </x:c>
      <x:c r="F60" t="str">
        <x:v>PTC-C</x:v>
      </x:c>
      <x:c r="G60" t="str">
        <x:v>P10:P13</x:v>
      </x:c>
      <x:c r="H60" t="str">
        <x:v>HB-18</x:v>
      </x:c>
      <x:c r="I60" t="str">
        <x:v>Q-054</x:v>
      </x:c>
      <x:c r="J60" t="n">
        <x:v>1</x:v>
      </x:c>
      <x:c r="K60" t="n">
        <x:v>1</x:v>
      </x:c>
      <x:c r="L60" t="str">
        <x:f>IF(AND(J60=1,K60=1),"PASS","FAIL")</x:f>
        <x:v>PASS</x:v>
      </x:c>
    </x:row>
    <x:row r="61">
      <x:c r="B61" t="str">
        <x:v>SBD-055</x:v>
      </x:c>
      <x:c r="C61" t="str">
        <x:v>instrument and evidence</x:v>
      </x:c>
      <x:c r="D61" t="str">
        <x:v>instrument and evidence sheet 03</x:v>
      </x:c>
      <x:c r="E61" t="str">
        <x:v>both</x:v>
      </x:c>
      <x:c r="F61" t="str">
        <x:v>common</x:v>
      </x:c>
      <x:c r="G61" t="str">
        <x:v>P12:P15</x:v>
      </x:c>
      <x:c r="H61" t="str">
        <x:v>HB-01</x:v>
      </x:c>
      <x:c r="I61" t="str">
        <x:v>Q-055</x:v>
      </x:c>
      <x:c r="J61" t="n">
        <x:v>1</x:v>
      </x:c>
      <x:c r="K61" t="n">
        <x:v>1</x:v>
      </x:c>
      <x:c r="L61" t="str">
        <x:f>IF(AND(J61=1,K61=1),"PASS","FAIL")</x:f>
        <x:v>PASS</x:v>
      </x:c>
    </x:row>
    <x:row r="62">
      <x:c r="B62" t="str">
        <x:v>SBD-056</x:v>
      </x:c>
      <x:c r="C62" t="str">
        <x:v>instrument and evidence</x:v>
      </x:c>
      <x:c r="D62" t="str">
        <x:v>instrument and evidence sheet 04</x:v>
      </x:c>
      <x:c r="E62" t="str">
        <x:v>both</x:v>
      </x:c>
      <x:c r="F62" t="str">
        <x:v>PTC-B</x:v>
      </x:c>
      <x:c r="G62" t="str">
        <x:v>P14:P01</x:v>
      </x:c>
      <x:c r="H62" t="str">
        <x:v>HB-02</x:v>
      </x:c>
      <x:c r="I62" t="str">
        <x:v>Q-056</x:v>
      </x:c>
      <x:c r="J62" t="n">
        <x:v>1</x:v>
      </x:c>
      <x:c r="K62" t="n">
        <x:v>1</x:v>
      </x:c>
      <x:c r="L62" t="str">
        <x:f>IF(AND(J62=1,K62=1),"PASS","FAIL")</x:f>
        <x:v>PASS</x:v>
      </x:c>
    </x:row>
    <x:row r="63">
      <x:c r="B63" t="str">
        <x:v>SBD-057</x:v>
      </x:c>
      <x:c r="C63" t="str">
        <x:v>instrument and evidence</x:v>
      </x:c>
      <x:c r="D63" t="str">
        <x:v>instrument and evidence sheet 05</x:v>
      </x:c>
      <x:c r="E63" t="str">
        <x:v>both</x:v>
      </x:c>
      <x:c r="F63" t="str">
        <x:v>PTC-C</x:v>
      </x:c>
      <x:c r="G63" t="str">
        <x:v>P00:P03</x:v>
      </x:c>
      <x:c r="H63" t="str">
        <x:v>HB-03</x:v>
      </x:c>
      <x:c r="I63" t="str">
        <x:v>Q-057</x:v>
      </x:c>
      <x:c r="J63" t="n">
        <x:v>1</x:v>
      </x:c>
      <x:c r="K63" t="n">
        <x:v>1</x:v>
      </x:c>
      <x:c r="L63" t="str">
        <x:f>IF(AND(J63=1,K63=1),"PASS","FAIL")</x:f>
        <x:v>PASS</x:v>
      </x:c>
    </x:row>
    <x:row r="64">
      <x:c r="B64" t="str">
        <x:v>SBD-058</x:v>
      </x:c>
      <x:c r="C64" t="str">
        <x:v>instrument and evidence</x:v>
      </x:c>
      <x:c r="D64" t="str">
        <x:v>instrument and evidence sheet 06</x:v>
      </x:c>
      <x:c r="E64" t="str">
        <x:v>both</x:v>
      </x:c>
      <x:c r="F64" t="str">
        <x:v>common</x:v>
      </x:c>
      <x:c r="G64" t="str">
        <x:v>P02:P05</x:v>
      </x:c>
      <x:c r="H64" t="str">
        <x:v>HB-04</x:v>
      </x:c>
      <x:c r="I64" t="str">
        <x:v>Q-058</x:v>
      </x:c>
      <x:c r="J64" t="n">
        <x:v>1</x:v>
      </x:c>
      <x:c r="K64" t="n">
        <x:v>1</x:v>
      </x:c>
      <x:c r="L64" t="str">
        <x:f>IF(AND(J64=1,K64=1),"PASS","FAIL")</x:f>
        <x:v>PASS</x:v>
      </x:c>
    </x:row>
    <x:row r="65">
      <x:c r="B65" t="str">
        <x:v>SBD-059</x:v>
      </x:c>
      <x:c r="C65" t="str">
        <x:v>instrument and evidence</x:v>
      </x:c>
      <x:c r="D65" t="str">
        <x:v>instrument and evidence sheet 07</x:v>
      </x:c>
      <x:c r="E65" t="str">
        <x:v>both</x:v>
      </x:c>
      <x:c r="F65" t="str">
        <x:v>PTC-B</x:v>
      </x:c>
      <x:c r="G65" t="str">
        <x:v>P04:P07</x:v>
      </x:c>
      <x:c r="H65" t="str">
        <x:v>HB-05</x:v>
      </x:c>
      <x:c r="I65" t="str">
        <x:v>Q-059</x:v>
      </x:c>
      <x:c r="J65" t="n">
        <x:v>1</x:v>
      </x:c>
      <x:c r="K65" t="n">
        <x:v>1</x:v>
      </x:c>
      <x:c r="L65" t="str">
        <x:f>IF(AND(J65=1,K65=1),"PASS","FAIL")</x:f>
        <x:v>PASS</x:v>
      </x:c>
    </x:row>
    <x:row r="66">
      <x:c r="B66" t="str">
        <x:v>SBD-060</x:v>
      </x:c>
      <x:c r="C66" t="str">
        <x:v>instrument and evidence</x:v>
      </x:c>
      <x:c r="D66" t="str">
        <x:v>instrument and evidence sheet 08</x:v>
      </x:c>
      <x:c r="E66" t="str">
        <x:v>both</x:v>
      </x:c>
      <x:c r="F66" t="str">
        <x:v>PTC-C</x:v>
      </x:c>
      <x:c r="G66" t="str">
        <x:v>P06:P09</x:v>
      </x:c>
      <x:c r="H66" t="str">
        <x:v>HB-06</x:v>
      </x:c>
      <x:c r="I66" t="str">
        <x:v>Q-060</x:v>
      </x:c>
      <x:c r="J66" t="n">
        <x:v>1</x:v>
      </x:c>
      <x:c r="K66" t="n">
        <x:v>1</x:v>
      </x:c>
      <x:c r="L66" t="str">
        <x:f>IF(AND(J66=1,K66=1),"PASS","FAIL")</x:f>
        <x:v>PASS</x:v>
      </x:c>
    </x:row>
    <x:row r="67">
      <x:c r="B67" t="str">
        <x:v>SBD-061</x:v>
      </x:c>
      <x:c r="C67" t="str">
        <x:v>rescue and robotics</x:v>
      </x:c>
      <x:c r="D67" t="str">
        <x:v>rescue and robotics sheet 01</x:v>
      </x:c>
      <x:c r="E67" t="str">
        <x:v>both</x:v>
      </x:c>
      <x:c r="F67" t="str">
        <x:v>PTC-B</x:v>
      </x:c>
      <x:c r="G67" t="str">
        <x:v>P08:P11</x:v>
      </x:c>
      <x:c r="H67" t="str">
        <x:v>HB-07</x:v>
      </x:c>
      <x:c r="I67" t="str">
        <x:v>Q-061</x:v>
      </x:c>
      <x:c r="J67" t="n">
        <x:v>1</x:v>
      </x:c>
      <x:c r="K67" t="n">
        <x:v>1</x:v>
      </x:c>
      <x:c r="L67" t="str">
        <x:f>IF(AND(J67=1,K67=1),"PASS","FAIL")</x:f>
        <x:v>PASS</x:v>
      </x:c>
    </x:row>
    <x:row r="68">
      <x:c r="B68" t="str">
        <x:v>SBD-062</x:v>
      </x:c>
      <x:c r="C68" t="str">
        <x:v>rescue and robotics</x:v>
      </x:c>
      <x:c r="D68" t="str">
        <x:v>rescue and robotics sheet 02</x:v>
      </x:c>
      <x:c r="E68" t="str">
        <x:v>both</x:v>
      </x:c>
      <x:c r="F68" t="str">
        <x:v>PTC-C</x:v>
      </x:c>
      <x:c r="G68" t="str">
        <x:v>P10:P13</x:v>
      </x:c>
      <x:c r="H68" t="str">
        <x:v>HB-08</x:v>
      </x:c>
      <x:c r="I68" t="str">
        <x:v>Q-062</x:v>
      </x:c>
      <x:c r="J68" t="n">
        <x:v>1</x:v>
      </x:c>
      <x:c r="K68" t="n">
        <x:v>1</x:v>
      </x:c>
      <x:c r="L68" t="str">
        <x:f>IF(AND(J68=1,K68=1),"PASS","FAIL")</x:f>
        <x:v>PASS</x:v>
      </x:c>
    </x:row>
    <x:row r="69">
      <x:c r="B69" t="str">
        <x:v>SBD-063</x:v>
      </x:c>
      <x:c r="C69" t="str">
        <x:v>rescue and robotics</x:v>
      </x:c>
      <x:c r="D69" t="str">
        <x:v>rescue and robotics sheet 03</x:v>
      </x:c>
      <x:c r="E69" t="str">
        <x:v>both</x:v>
      </x:c>
      <x:c r="F69" t="str">
        <x:v>common</x:v>
      </x:c>
      <x:c r="G69" t="str">
        <x:v>P12:P15</x:v>
      </x:c>
      <x:c r="H69" t="str">
        <x:v>HB-09</x:v>
      </x:c>
      <x:c r="I69" t="str">
        <x:v>Q-063</x:v>
      </x:c>
      <x:c r="J69" t="n">
        <x:v>1</x:v>
      </x:c>
      <x:c r="K69" t="n">
        <x:v>1</x:v>
      </x:c>
      <x:c r="L69" t="str">
        <x:f>IF(AND(J69=1,K69=1),"PASS","FAIL")</x:f>
        <x:v>PASS</x:v>
      </x:c>
    </x:row>
    <x:row r="70">
      <x:c r="B70" t="str">
        <x:v>SBD-064</x:v>
      </x:c>
      <x:c r="C70" t="str">
        <x:v>rescue and robotics</x:v>
      </x:c>
      <x:c r="D70" t="str">
        <x:v>rescue and robotics sheet 04</x:v>
      </x:c>
      <x:c r="E70" t="str">
        <x:v>both</x:v>
      </x:c>
      <x:c r="F70" t="str">
        <x:v>PTC-B</x:v>
      </x:c>
      <x:c r="G70" t="str">
        <x:v>P14:P01</x:v>
      </x:c>
      <x:c r="H70" t="str">
        <x:v>HB-10</x:v>
      </x:c>
      <x:c r="I70" t="str">
        <x:v>Q-064</x:v>
      </x:c>
      <x:c r="J70" t="n">
        <x:v>1</x:v>
      </x:c>
      <x:c r="K70" t="n">
        <x:v>1</x:v>
      </x:c>
      <x:c r="L70" t="str">
        <x:f>IF(AND(J70=1,K70=1),"PASS","FAIL")</x:f>
        <x:v>PASS</x:v>
      </x:c>
    </x:row>
  </x:sheetData>
  <x:conditionalFormatting sqref="L7:L70">
    <x:cfRule type="cellIs" dxfId="48" priority="1" operator="equal">
      <x:formula>"FAIL"</x:formula>
    </x:cfRule>
    <x:cfRule type="cellIs" dxfId="49" priority="2" operator="equal">
      <x:formula>"BLOCKED"</x:formula>
    </x:cfRule>
    <x:cfRule type="cellIs" dxfId="50" priority="3" operator="equal">
      <x:formula>"OPEN"</x:formula>
    </x:cfRule>
    <x:cfRule type="cellIs" dxfId="51" priority="4" operator="equal">
      <x:formula>"PASS"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9" hidden="0" customWidth="1"/>
    <x:col min="5" max="5" width="12" hidden="0" customWidth="1"/>
    <x:col min="6" max="6" width="11" hidden="0" customWidth="1"/>
    <x:col min="7" max="7" width="17" hidden="0" customWidth="1"/>
    <x:col min="8" max="8" width="19" hidden="0" customWidth="1"/>
    <x:col min="9" max="9" width="20" hidden="0" customWidth="1"/>
    <x:col min="10" max="10" width="17" hidden="0" customWidth="1"/>
    <x:col min="11" max="11" width="17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Root-native and public-handoff interface records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Each of sixteen source trains carries two records so common public infrastructure cannot erase root ancestry.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Record</x:v>
      </x:c>
      <x:c r="C6" s="14" t="str">
        <x:v>Route</x:v>
      </x:c>
      <x:c r="D6" s="14" t="str">
        <x:v>Root</x:v>
      </x:c>
      <x:c r="E6" s="14" t="str">
        <x:v>Site</x:v>
      </x:c>
      <x:c r="F6" s="14" t="str">
        <x:v>Pod</x:v>
      </x:c>
      <x:c r="G6" s="14" t="str">
        <x:v>Class</x:v>
      </x:c>
      <x:c r="H6" s="14" t="str">
        <x:v>Upstream object</x:v>
      </x:c>
      <x:c r="I6" s="14" t="str">
        <x:v>Downstream object</x:v>
      </x:c>
      <x:c r="J6" s="14" t="str">
        <x:v>Required fields</x:v>
      </x:c>
      <x:c r="K6" s="14" t="str">
        <x:v>Complete fields</x:v>
      </x:c>
      <x:c r="L6" s="15" t="str">
        <x:v>Planning state</x:v>
      </x:c>
    </x:row>
    <x:row r="7">
      <x:c r="B7" t="str">
        <x:v>IFR-001</x:v>
      </x:c>
      <x:c r="C7" t="str">
        <x:v>A-B-1</x:v>
      </x:c>
      <x:c r="D7" t="str">
        <x:v>A</x:v>
      </x:c>
      <x:c r="E7" t="str">
        <x:v>PTC-B</x:v>
      </x:c>
      <x:c r="F7" t="str">
        <x:v>SP-1</x:v>
      </x:c>
      <x:c r="G7" t="str">
        <x:v>root-native</x:v>
      </x:c>
      <x:c r="H7" t="str">
        <x:v>SP-1</x:v>
      </x:c>
      <x:c r="I7" t="str">
        <x:v>A-boundary</x:v>
      </x:c>
      <x:c r="J7" t="n">
        <x:v>24</x:v>
      </x:c>
      <x:c r="K7" t="n">
        <x:v>24</x:v>
      </x:c>
      <x:c r="L7" t="str">
        <x:f>IF(J7=K7,"PASS","FAIL")</x:f>
        <x:v>PASS</x:v>
      </x:c>
    </x:row>
    <x:row r="8">
      <x:c r="B8" t="str">
        <x:v>IFR-002</x:v>
      </x:c>
      <x:c r="C8" t="str">
        <x:v>A-B-1</x:v>
      </x:c>
      <x:c r="D8" t="str">
        <x:v>A</x:v>
      </x:c>
      <x:c r="E8" t="str">
        <x:v>PTC-B</x:v>
      </x:c>
      <x:c r="F8" t="str">
        <x:v>SP-1</x:v>
      </x:c>
      <x:c r="G8" t="str">
        <x:v>public handoff</x:v>
      </x:c>
      <x:c r="H8" t="str">
        <x:v>A-boundary</x:v>
      </x:c>
      <x:c r="I8" t="str">
        <x:v>A-receiver</x:v>
      </x:c>
      <x:c r="J8" t="n">
        <x:v>24</x:v>
      </x:c>
      <x:c r="K8" t="n">
        <x:v>24</x:v>
      </x:c>
      <x:c r="L8" t="str">
        <x:f>IF(J8=K8,"PASS","FAIL")</x:f>
        <x:v>PASS</x:v>
      </x:c>
    </x:row>
    <x:row r="9">
      <x:c r="B9" t="str">
        <x:v>IFR-003</x:v>
      </x:c>
      <x:c r="C9" t="str">
        <x:v>A-B-2</x:v>
      </x:c>
      <x:c r="D9" t="str">
        <x:v>A</x:v>
      </x:c>
      <x:c r="E9" t="str">
        <x:v>PTC-B</x:v>
      </x:c>
      <x:c r="F9" t="str">
        <x:v>SP-2</x:v>
      </x:c>
      <x:c r="G9" t="str">
        <x:v>root-native</x:v>
      </x:c>
      <x:c r="H9" t="str">
        <x:v>SP-2</x:v>
      </x:c>
      <x:c r="I9" t="str">
        <x:v>A-boundary</x:v>
      </x:c>
      <x:c r="J9" t="n">
        <x:v>24</x:v>
      </x:c>
      <x:c r="K9" t="n">
        <x:v>24</x:v>
      </x:c>
      <x:c r="L9" t="str">
        <x:f>IF(J9=K9,"PASS","FAIL")</x:f>
        <x:v>PASS</x:v>
      </x:c>
    </x:row>
    <x:row r="10">
      <x:c r="B10" t="str">
        <x:v>IFR-004</x:v>
      </x:c>
      <x:c r="C10" t="str">
        <x:v>A-B-2</x:v>
      </x:c>
      <x:c r="D10" t="str">
        <x:v>A</x:v>
      </x:c>
      <x:c r="E10" t="str">
        <x:v>PTC-B</x:v>
      </x:c>
      <x:c r="F10" t="str">
        <x:v>SP-2</x:v>
      </x:c>
      <x:c r="G10" t="str">
        <x:v>public handoff</x:v>
      </x:c>
      <x:c r="H10" t="str">
        <x:v>A-boundary</x:v>
      </x:c>
      <x:c r="I10" t="str">
        <x:v>A-receiver</x:v>
      </x:c>
      <x:c r="J10" t="n">
        <x:v>24</x:v>
      </x:c>
      <x:c r="K10" t="n">
        <x:v>24</x:v>
      </x:c>
      <x:c r="L10" t="str">
        <x:f>IF(J10=K10,"PASS","FAIL")</x:f>
        <x:v>PASS</x:v>
      </x:c>
    </x:row>
    <x:row r="11">
      <x:c r="B11" t="str">
        <x:v>IFR-005</x:v>
      </x:c>
      <x:c r="C11" t="str">
        <x:v>A-B-3</x:v>
      </x:c>
      <x:c r="D11" t="str">
        <x:v>A</x:v>
      </x:c>
      <x:c r="E11" t="str">
        <x:v>PTC-B</x:v>
      </x:c>
      <x:c r="F11" t="str">
        <x:v>SP-3</x:v>
      </x:c>
      <x:c r="G11" t="str">
        <x:v>root-native</x:v>
      </x:c>
      <x:c r="H11" t="str">
        <x:v>SP-3</x:v>
      </x:c>
      <x:c r="I11" t="str">
        <x:v>A-boundary</x:v>
      </x:c>
      <x:c r="J11" t="n">
        <x:v>24</x:v>
      </x:c>
      <x:c r="K11" t="n">
        <x:v>24</x:v>
      </x:c>
      <x:c r="L11" t="str">
        <x:f>IF(J11=K11,"PASS","FAIL")</x:f>
        <x:v>PASS</x:v>
      </x:c>
    </x:row>
    <x:row r="12">
      <x:c r="B12" t="str">
        <x:v>IFR-006</x:v>
      </x:c>
      <x:c r="C12" t="str">
        <x:v>A-B-3</x:v>
      </x:c>
      <x:c r="D12" t="str">
        <x:v>A</x:v>
      </x:c>
      <x:c r="E12" t="str">
        <x:v>PTC-B</x:v>
      </x:c>
      <x:c r="F12" t="str">
        <x:v>SP-3</x:v>
      </x:c>
      <x:c r="G12" t="str">
        <x:v>public handoff</x:v>
      </x:c>
      <x:c r="H12" t="str">
        <x:v>A-boundary</x:v>
      </x:c>
      <x:c r="I12" t="str">
        <x:v>A-receiver</x:v>
      </x:c>
      <x:c r="J12" t="n">
        <x:v>24</x:v>
      </x:c>
      <x:c r="K12" t="n">
        <x:v>24</x:v>
      </x:c>
      <x:c r="L12" t="str">
        <x:f>IF(J12=K12,"PASS","FAIL")</x:f>
        <x:v>PASS</x:v>
      </x:c>
    </x:row>
    <x:row r="13">
      <x:c r="B13" t="str">
        <x:v>IFR-007</x:v>
      </x:c>
      <x:c r="C13" t="str">
        <x:v>A-B-4</x:v>
      </x:c>
      <x:c r="D13" t="str">
        <x:v>A</x:v>
      </x:c>
      <x:c r="E13" t="str">
        <x:v>PTC-B</x:v>
      </x:c>
      <x:c r="F13" t="str">
        <x:v>SP-4</x:v>
      </x:c>
      <x:c r="G13" t="str">
        <x:v>root-native</x:v>
      </x:c>
      <x:c r="H13" t="str">
        <x:v>SP-4</x:v>
      </x:c>
      <x:c r="I13" t="str">
        <x:v>A-boundary</x:v>
      </x:c>
      <x:c r="J13" t="n">
        <x:v>24</x:v>
      </x:c>
      <x:c r="K13" t="n">
        <x:v>24</x:v>
      </x:c>
      <x:c r="L13" t="str">
        <x:f>IF(J13=K13,"PASS","FAIL")</x:f>
        <x:v>PASS</x:v>
      </x:c>
    </x:row>
    <x:row r="14">
      <x:c r="B14" t="str">
        <x:v>IFR-008</x:v>
      </x:c>
      <x:c r="C14" t="str">
        <x:v>A-B-4</x:v>
      </x:c>
      <x:c r="D14" t="str">
        <x:v>A</x:v>
      </x:c>
      <x:c r="E14" t="str">
        <x:v>PTC-B</x:v>
      </x:c>
      <x:c r="F14" t="str">
        <x:v>SP-4</x:v>
      </x:c>
      <x:c r="G14" t="str">
        <x:v>public handoff</x:v>
      </x:c>
      <x:c r="H14" t="str">
        <x:v>A-boundary</x:v>
      </x:c>
      <x:c r="I14" t="str">
        <x:v>A-receiver</x:v>
      </x:c>
      <x:c r="J14" t="n">
        <x:v>24</x:v>
      </x:c>
      <x:c r="K14" t="n">
        <x:v>24</x:v>
      </x:c>
      <x:c r="L14" t="str">
        <x:f>IF(J14=K14,"PASS","FAIL")</x:f>
        <x:v>PASS</x:v>
      </x:c>
    </x:row>
    <x:row r="15">
      <x:c r="B15" t="str">
        <x:v>IFR-009</x:v>
      </x:c>
      <x:c r="C15" t="str">
        <x:v>A-C-1</x:v>
      </x:c>
      <x:c r="D15" t="str">
        <x:v>A</x:v>
      </x:c>
      <x:c r="E15" t="str">
        <x:v>PTC-C</x:v>
      </x:c>
      <x:c r="F15" t="str">
        <x:v>SP-1</x:v>
      </x:c>
      <x:c r="G15" t="str">
        <x:v>root-native</x:v>
      </x:c>
      <x:c r="H15" t="str">
        <x:v>SP-1</x:v>
      </x:c>
      <x:c r="I15" t="str">
        <x:v>A-boundary</x:v>
      </x:c>
      <x:c r="J15" t="n">
        <x:v>24</x:v>
      </x:c>
      <x:c r="K15" t="n">
        <x:v>24</x:v>
      </x:c>
      <x:c r="L15" t="str">
        <x:f>IF(J15=K15,"PASS","FAIL")</x:f>
        <x:v>PASS</x:v>
      </x:c>
    </x:row>
    <x:row r="16">
      <x:c r="B16" t="str">
        <x:v>IFR-010</x:v>
      </x:c>
      <x:c r="C16" t="str">
        <x:v>A-C-1</x:v>
      </x:c>
      <x:c r="D16" t="str">
        <x:v>A</x:v>
      </x:c>
      <x:c r="E16" t="str">
        <x:v>PTC-C</x:v>
      </x:c>
      <x:c r="F16" t="str">
        <x:v>SP-1</x:v>
      </x:c>
      <x:c r="G16" t="str">
        <x:v>public handoff</x:v>
      </x:c>
      <x:c r="H16" t="str">
        <x:v>A-boundary</x:v>
      </x:c>
      <x:c r="I16" t="str">
        <x:v>A-receiver</x:v>
      </x:c>
      <x:c r="J16" t="n">
        <x:v>24</x:v>
      </x:c>
      <x:c r="K16" t="n">
        <x:v>24</x:v>
      </x:c>
      <x:c r="L16" t="str">
        <x:f>IF(J16=K16,"PASS","FAIL")</x:f>
        <x:v>PASS</x:v>
      </x:c>
    </x:row>
    <x:row r="17">
      <x:c r="B17" t="str">
        <x:v>IFR-011</x:v>
      </x:c>
      <x:c r="C17" t="str">
        <x:v>A-C-2</x:v>
      </x:c>
      <x:c r="D17" t="str">
        <x:v>A</x:v>
      </x:c>
      <x:c r="E17" t="str">
        <x:v>PTC-C</x:v>
      </x:c>
      <x:c r="F17" t="str">
        <x:v>SP-2</x:v>
      </x:c>
      <x:c r="G17" t="str">
        <x:v>root-native</x:v>
      </x:c>
      <x:c r="H17" t="str">
        <x:v>SP-2</x:v>
      </x:c>
      <x:c r="I17" t="str">
        <x:v>A-boundary</x:v>
      </x:c>
      <x:c r="J17" t="n">
        <x:v>24</x:v>
      </x:c>
      <x:c r="K17" t="n">
        <x:v>24</x:v>
      </x:c>
      <x:c r="L17" t="str">
        <x:f>IF(J17=K17,"PASS","FAIL")</x:f>
        <x:v>PASS</x:v>
      </x:c>
    </x:row>
    <x:row r="18">
      <x:c r="B18" t="str">
        <x:v>IFR-012</x:v>
      </x:c>
      <x:c r="C18" t="str">
        <x:v>A-C-2</x:v>
      </x:c>
      <x:c r="D18" t="str">
        <x:v>A</x:v>
      </x:c>
      <x:c r="E18" t="str">
        <x:v>PTC-C</x:v>
      </x:c>
      <x:c r="F18" t="str">
        <x:v>SP-2</x:v>
      </x:c>
      <x:c r="G18" t="str">
        <x:v>public handoff</x:v>
      </x:c>
      <x:c r="H18" t="str">
        <x:v>A-boundary</x:v>
      </x:c>
      <x:c r="I18" t="str">
        <x:v>A-receiver</x:v>
      </x:c>
      <x:c r="J18" t="n">
        <x:v>24</x:v>
      </x:c>
      <x:c r="K18" t="n">
        <x:v>24</x:v>
      </x:c>
      <x:c r="L18" t="str">
        <x:f>IF(J18=K18,"PASS","FAIL")</x:f>
        <x:v>PASS</x:v>
      </x:c>
    </x:row>
    <x:row r="19">
      <x:c r="B19" t="str">
        <x:v>IFR-013</x:v>
      </x:c>
      <x:c r="C19" t="str">
        <x:v>A-C-3</x:v>
      </x:c>
      <x:c r="D19" t="str">
        <x:v>A</x:v>
      </x:c>
      <x:c r="E19" t="str">
        <x:v>PTC-C</x:v>
      </x:c>
      <x:c r="F19" t="str">
        <x:v>SP-3</x:v>
      </x:c>
      <x:c r="G19" t="str">
        <x:v>root-native</x:v>
      </x:c>
      <x:c r="H19" t="str">
        <x:v>SP-3</x:v>
      </x:c>
      <x:c r="I19" t="str">
        <x:v>A-boundary</x:v>
      </x:c>
      <x:c r="J19" t="n">
        <x:v>24</x:v>
      </x:c>
      <x:c r="K19" t="n">
        <x:v>24</x:v>
      </x:c>
      <x:c r="L19" t="str">
        <x:f>IF(J19=K19,"PASS","FAIL")</x:f>
        <x:v>PASS</x:v>
      </x:c>
    </x:row>
    <x:row r="20">
      <x:c r="B20" t="str">
        <x:v>IFR-014</x:v>
      </x:c>
      <x:c r="C20" t="str">
        <x:v>A-C-3</x:v>
      </x:c>
      <x:c r="D20" t="str">
        <x:v>A</x:v>
      </x:c>
      <x:c r="E20" t="str">
        <x:v>PTC-C</x:v>
      </x:c>
      <x:c r="F20" t="str">
        <x:v>SP-3</x:v>
      </x:c>
      <x:c r="G20" t="str">
        <x:v>public handoff</x:v>
      </x:c>
      <x:c r="H20" t="str">
        <x:v>A-boundary</x:v>
      </x:c>
      <x:c r="I20" t="str">
        <x:v>A-receiver</x:v>
      </x:c>
      <x:c r="J20" t="n">
        <x:v>24</x:v>
      </x:c>
      <x:c r="K20" t="n">
        <x:v>24</x:v>
      </x:c>
      <x:c r="L20" t="str">
        <x:f>IF(J20=K20,"PASS","FAIL")</x:f>
        <x:v>PASS</x:v>
      </x:c>
    </x:row>
    <x:row r="21">
      <x:c r="B21" t="str">
        <x:v>IFR-015</x:v>
      </x:c>
      <x:c r="C21" t="str">
        <x:v>A-C-4</x:v>
      </x:c>
      <x:c r="D21" t="str">
        <x:v>A</x:v>
      </x:c>
      <x:c r="E21" t="str">
        <x:v>PTC-C</x:v>
      </x:c>
      <x:c r="F21" t="str">
        <x:v>SP-4</x:v>
      </x:c>
      <x:c r="G21" t="str">
        <x:v>root-native</x:v>
      </x:c>
      <x:c r="H21" t="str">
        <x:v>SP-4</x:v>
      </x:c>
      <x:c r="I21" t="str">
        <x:v>A-boundary</x:v>
      </x:c>
      <x:c r="J21" t="n">
        <x:v>24</x:v>
      </x:c>
      <x:c r="K21" t="n">
        <x:v>24</x:v>
      </x:c>
      <x:c r="L21" t="str">
        <x:f>IF(J21=K21,"PASS","FAIL")</x:f>
        <x:v>PASS</x:v>
      </x:c>
    </x:row>
    <x:row r="22">
      <x:c r="B22" t="str">
        <x:v>IFR-016</x:v>
      </x:c>
      <x:c r="C22" t="str">
        <x:v>A-C-4</x:v>
      </x:c>
      <x:c r="D22" t="str">
        <x:v>A</x:v>
      </x:c>
      <x:c r="E22" t="str">
        <x:v>PTC-C</x:v>
      </x:c>
      <x:c r="F22" t="str">
        <x:v>SP-4</x:v>
      </x:c>
      <x:c r="G22" t="str">
        <x:v>public handoff</x:v>
      </x:c>
      <x:c r="H22" t="str">
        <x:v>A-boundary</x:v>
      </x:c>
      <x:c r="I22" t="str">
        <x:v>A-receiver</x:v>
      </x:c>
      <x:c r="J22" t="n">
        <x:v>24</x:v>
      </x:c>
      <x:c r="K22" t="n">
        <x:v>24</x:v>
      </x:c>
      <x:c r="L22" t="str">
        <x:f>IF(J22=K22,"PASS","FAIL")</x:f>
        <x:v>PASS</x:v>
      </x:c>
    </x:row>
    <x:row r="23">
      <x:c r="B23" t="str">
        <x:v>IFR-017</x:v>
      </x:c>
      <x:c r="C23" t="str">
        <x:v>B-B-1</x:v>
      </x:c>
      <x:c r="D23" t="str">
        <x:v>B</x:v>
      </x:c>
      <x:c r="E23" t="str">
        <x:v>PTC-B</x:v>
      </x:c>
      <x:c r="F23" t="str">
        <x:v>SP-1</x:v>
      </x:c>
      <x:c r="G23" t="str">
        <x:v>root-native</x:v>
      </x:c>
      <x:c r="H23" t="str">
        <x:v>SP-1</x:v>
      </x:c>
      <x:c r="I23" t="str">
        <x:v>B-boundary</x:v>
      </x:c>
      <x:c r="J23" t="n">
        <x:v>24</x:v>
      </x:c>
      <x:c r="K23" t="n">
        <x:v>24</x:v>
      </x:c>
      <x:c r="L23" t="str">
        <x:f>IF(J23=K23,"PASS","FAIL")</x:f>
        <x:v>PASS</x:v>
      </x:c>
    </x:row>
    <x:row r="24">
      <x:c r="B24" t="str">
        <x:v>IFR-018</x:v>
      </x:c>
      <x:c r="C24" t="str">
        <x:v>B-B-1</x:v>
      </x:c>
      <x:c r="D24" t="str">
        <x:v>B</x:v>
      </x:c>
      <x:c r="E24" t="str">
        <x:v>PTC-B</x:v>
      </x:c>
      <x:c r="F24" t="str">
        <x:v>SP-1</x:v>
      </x:c>
      <x:c r="G24" t="str">
        <x:v>public handoff</x:v>
      </x:c>
      <x:c r="H24" t="str">
        <x:v>B-boundary</x:v>
      </x:c>
      <x:c r="I24" t="str">
        <x:v>B-receiver</x:v>
      </x:c>
      <x:c r="J24" t="n">
        <x:v>24</x:v>
      </x:c>
      <x:c r="K24" t="n">
        <x:v>24</x:v>
      </x:c>
      <x:c r="L24" t="str">
        <x:f>IF(J24=K24,"PASS","FAIL")</x:f>
        <x:v>PASS</x:v>
      </x:c>
    </x:row>
    <x:row r="25">
      <x:c r="B25" t="str">
        <x:v>IFR-019</x:v>
      </x:c>
      <x:c r="C25" t="str">
        <x:v>B-B-2</x:v>
      </x:c>
      <x:c r="D25" t="str">
        <x:v>B</x:v>
      </x:c>
      <x:c r="E25" t="str">
        <x:v>PTC-B</x:v>
      </x:c>
      <x:c r="F25" t="str">
        <x:v>SP-2</x:v>
      </x:c>
      <x:c r="G25" t="str">
        <x:v>root-native</x:v>
      </x:c>
      <x:c r="H25" t="str">
        <x:v>SP-2</x:v>
      </x:c>
      <x:c r="I25" t="str">
        <x:v>B-boundary</x:v>
      </x:c>
      <x:c r="J25" t="n">
        <x:v>24</x:v>
      </x:c>
      <x:c r="K25" t="n">
        <x:v>24</x:v>
      </x:c>
      <x:c r="L25" t="str">
        <x:f>IF(J25=K25,"PASS","FAIL")</x:f>
        <x:v>PASS</x:v>
      </x:c>
    </x:row>
    <x:row r="26">
      <x:c r="B26" t="str">
        <x:v>IFR-020</x:v>
      </x:c>
      <x:c r="C26" t="str">
        <x:v>B-B-2</x:v>
      </x:c>
      <x:c r="D26" t="str">
        <x:v>B</x:v>
      </x:c>
      <x:c r="E26" t="str">
        <x:v>PTC-B</x:v>
      </x:c>
      <x:c r="F26" t="str">
        <x:v>SP-2</x:v>
      </x:c>
      <x:c r="G26" t="str">
        <x:v>public handoff</x:v>
      </x:c>
      <x:c r="H26" t="str">
        <x:v>B-boundary</x:v>
      </x:c>
      <x:c r="I26" t="str">
        <x:v>B-receiver</x:v>
      </x:c>
      <x:c r="J26" t="n">
        <x:v>24</x:v>
      </x:c>
      <x:c r="K26" t="n">
        <x:v>24</x:v>
      </x:c>
      <x:c r="L26" t="str">
        <x:f>IF(J26=K26,"PASS","FAIL")</x:f>
        <x:v>PASS</x:v>
      </x:c>
    </x:row>
    <x:row r="27">
      <x:c r="B27" t="str">
        <x:v>IFR-021</x:v>
      </x:c>
      <x:c r="C27" t="str">
        <x:v>B-B-3</x:v>
      </x:c>
      <x:c r="D27" t="str">
        <x:v>B</x:v>
      </x:c>
      <x:c r="E27" t="str">
        <x:v>PTC-B</x:v>
      </x:c>
      <x:c r="F27" t="str">
        <x:v>SP-3</x:v>
      </x:c>
      <x:c r="G27" t="str">
        <x:v>root-native</x:v>
      </x:c>
      <x:c r="H27" t="str">
        <x:v>SP-3</x:v>
      </x:c>
      <x:c r="I27" t="str">
        <x:v>B-boundary</x:v>
      </x:c>
      <x:c r="J27" t="n">
        <x:v>24</x:v>
      </x:c>
      <x:c r="K27" t="n">
        <x:v>24</x:v>
      </x:c>
      <x:c r="L27" t="str">
        <x:f>IF(J27=K27,"PASS","FAIL")</x:f>
        <x:v>PASS</x:v>
      </x:c>
    </x:row>
    <x:row r="28">
      <x:c r="B28" t="str">
        <x:v>IFR-022</x:v>
      </x:c>
      <x:c r="C28" t="str">
        <x:v>B-B-3</x:v>
      </x:c>
      <x:c r="D28" t="str">
        <x:v>B</x:v>
      </x:c>
      <x:c r="E28" t="str">
        <x:v>PTC-B</x:v>
      </x:c>
      <x:c r="F28" t="str">
        <x:v>SP-3</x:v>
      </x:c>
      <x:c r="G28" t="str">
        <x:v>public handoff</x:v>
      </x:c>
      <x:c r="H28" t="str">
        <x:v>B-boundary</x:v>
      </x:c>
      <x:c r="I28" t="str">
        <x:v>B-receiver</x:v>
      </x:c>
      <x:c r="J28" t="n">
        <x:v>24</x:v>
      </x:c>
      <x:c r="K28" t="n">
        <x:v>24</x:v>
      </x:c>
      <x:c r="L28" t="str">
        <x:f>IF(J28=K28,"PASS","FAIL")</x:f>
        <x:v>PASS</x:v>
      </x:c>
    </x:row>
    <x:row r="29">
      <x:c r="B29" t="str">
        <x:v>IFR-023</x:v>
      </x:c>
      <x:c r="C29" t="str">
        <x:v>B-B-4</x:v>
      </x:c>
      <x:c r="D29" t="str">
        <x:v>B</x:v>
      </x:c>
      <x:c r="E29" t="str">
        <x:v>PTC-B</x:v>
      </x:c>
      <x:c r="F29" t="str">
        <x:v>SP-4</x:v>
      </x:c>
      <x:c r="G29" t="str">
        <x:v>root-native</x:v>
      </x:c>
      <x:c r="H29" t="str">
        <x:v>SP-4</x:v>
      </x:c>
      <x:c r="I29" t="str">
        <x:v>B-boundary</x:v>
      </x:c>
      <x:c r="J29" t="n">
        <x:v>24</x:v>
      </x:c>
      <x:c r="K29" t="n">
        <x:v>24</x:v>
      </x:c>
      <x:c r="L29" t="str">
        <x:f>IF(J29=K29,"PASS","FAIL")</x:f>
        <x:v>PASS</x:v>
      </x:c>
    </x:row>
    <x:row r="30">
      <x:c r="B30" t="str">
        <x:v>IFR-024</x:v>
      </x:c>
      <x:c r="C30" t="str">
        <x:v>B-B-4</x:v>
      </x:c>
      <x:c r="D30" t="str">
        <x:v>B</x:v>
      </x:c>
      <x:c r="E30" t="str">
        <x:v>PTC-B</x:v>
      </x:c>
      <x:c r="F30" t="str">
        <x:v>SP-4</x:v>
      </x:c>
      <x:c r="G30" t="str">
        <x:v>public handoff</x:v>
      </x:c>
      <x:c r="H30" t="str">
        <x:v>B-boundary</x:v>
      </x:c>
      <x:c r="I30" t="str">
        <x:v>B-receiver</x:v>
      </x:c>
      <x:c r="J30" t="n">
        <x:v>24</x:v>
      </x:c>
      <x:c r="K30" t="n">
        <x:v>24</x:v>
      </x:c>
      <x:c r="L30" t="str">
        <x:f>IF(J30=K30,"PASS","FAIL")</x:f>
        <x:v>PASS</x:v>
      </x:c>
    </x:row>
    <x:row r="31">
      <x:c r="B31" t="str">
        <x:v>IFR-025</x:v>
      </x:c>
      <x:c r="C31" t="str">
        <x:v>B-C-1</x:v>
      </x:c>
      <x:c r="D31" t="str">
        <x:v>B</x:v>
      </x:c>
      <x:c r="E31" t="str">
        <x:v>PTC-C</x:v>
      </x:c>
      <x:c r="F31" t="str">
        <x:v>SP-1</x:v>
      </x:c>
      <x:c r="G31" t="str">
        <x:v>root-native</x:v>
      </x:c>
      <x:c r="H31" t="str">
        <x:v>SP-1</x:v>
      </x:c>
      <x:c r="I31" t="str">
        <x:v>B-boundary</x:v>
      </x:c>
      <x:c r="J31" t="n">
        <x:v>24</x:v>
      </x:c>
      <x:c r="K31" t="n">
        <x:v>24</x:v>
      </x:c>
      <x:c r="L31" t="str">
        <x:f>IF(J31=K31,"PASS","FAIL")</x:f>
        <x:v>PASS</x:v>
      </x:c>
    </x:row>
    <x:row r="32">
      <x:c r="B32" t="str">
        <x:v>IFR-026</x:v>
      </x:c>
      <x:c r="C32" t="str">
        <x:v>B-C-1</x:v>
      </x:c>
      <x:c r="D32" t="str">
        <x:v>B</x:v>
      </x:c>
      <x:c r="E32" t="str">
        <x:v>PTC-C</x:v>
      </x:c>
      <x:c r="F32" t="str">
        <x:v>SP-1</x:v>
      </x:c>
      <x:c r="G32" t="str">
        <x:v>public handoff</x:v>
      </x:c>
      <x:c r="H32" t="str">
        <x:v>B-boundary</x:v>
      </x:c>
      <x:c r="I32" t="str">
        <x:v>B-receiver</x:v>
      </x:c>
      <x:c r="J32" t="n">
        <x:v>24</x:v>
      </x:c>
      <x:c r="K32" t="n">
        <x:v>24</x:v>
      </x:c>
      <x:c r="L32" t="str">
        <x:f>IF(J32=K32,"PASS","FAIL")</x:f>
        <x:v>PASS</x:v>
      </x:c>
    </x:row>
    <x:row r="33">
      <x:c r="B33" t="str">
        <x:v>IFR-027</x:v>
      </x:c>
      <x:c r="C33" t="str">
        <x:v>B-C-2</x:v>
      </x:c>
      <x:c r="D33" t="str">
        <x:v>B</x:v>
      </x:c>
      <x:c r="E33" t="str">
        <x:v>PTC-C</x:v>
      </x:c>
      <x:c r="F33" t="str">
        <x:v>SP-2</x:v>
      </x:c>
      <x:c r="G33" t="str">
        <x:v>root-native</x:v>
      </x:c>
      <x:c r="H33" t="str">
        <x:v>SP-2</x:v>
      </x:c>
      <x:c r="I33" t="str">
        <x:v>B-boundary</x:v>
      </x:c>
      <x:c r="J33" t="n">
        <x:v>24</x:v>
      </x:c>
      <x:c r="K33" t="n">
        <x:v>24</x:v>
      </x:c>
      <x:c r="L33" t="str">
        <x:f>IF(J33=K33,"PASS","FAIL")</x:f>
        <x:v>PASS</x:v>
      </x:c>
    </x:row>
    <x:row r="34">
      <x:c r="B34" t="str">
        <x:v>IFR-028</x:v>
      </x:c>
      <x:c r="C34" t="str">
        <x:v>B-C-2</x:v>
      </x:c>
      <x:c r="D34" t="str">
        <x:v>B</x:v>
      </x:c>
      <x:c r="E34" t="str">
        <x:v>PTC-C</x:v>
      </x:c>
      <x:c r="F34" t="str">
        <x:v>SP-2</x:v>
      </x:c>
      <x:c r="G34" t="str">
        <x:v>public handoff</x:v>
      </x:c>
      <x:c r="H34" t="str">
        <x:v>B-boundary</x:v>
      </x:c>
      <x:c r="I34" t="str">
        <x:v>B-receiver</x:v>
      </x:c>
      <x:c r="J34" t="n">
        <x:v>24</x:v>
      </x:c>
      <x:c r="K34" t="n">
        <x:v>24</x:v>
      </x:c>
      <x:c r="L34" t="str">
        <x:f>IF(J34=K34,"PASS","FAIL")</x:f>
        <x:v>PASS</x:v>
      </x:c>
    </x:row>
    <x:row r="35">
      <x:c r="B35" t="str">
        <x:v>IFR-029</x:v>
      </x:c>
      <x:c r="C35" t="str">
        <x:v>B-C-3</x:v>
      </x:c>
      <x:c r="D35" t="str">
        <x:v>B</x:v>
      </x:c>
      <x:c r="E35" t="str">
        <x:v>PTC-C</x:v>
      </x:c>
      <x:c r="F35" t="str">
        <x:v>SP-3</x:v>
      </x:c>
      <x:c r="G35" t="str">
        <x:v>root-native</x:v>
      </x:c>
      <x:c r="H35" t="str">
        <x:v>SP-3</x:v>
      </x:c>
      <x:c r="I35" t="str">
        <x:v>B-boundary</x:v>
      </x:c>
      <x:c r="J35" t="n">
        <x:v>24</x:v>
      </x:c>
      <x:c r="K35" t="n">
        <x:v>24</x:v>
      </x:c>
      <x:c r="L35" t="str">
        <x:f>IF(J35=K35,"PASS","FAIL")</x:f>
        <x:v>PASS</x:v>
      </x:c>
    </x:row>
    <x:row r="36">
      <x:c r="B36" t="str">
        <x:v>IFR-030</x:v>
      </x:c>
      <x:c r="C36" t="str">
        <x:v>B-C-3</x:v>
      </x:c>
      <x:c r="D36" t="str">
        <x:v>B</x:v>
      </x:c>
      <x:c r="E36" t="str">
        <x:v>PTC-C</x:v>
      </x:c>
      <x:c r="F36" t="str">
        <x:v>SP-3</x:v>
      </x:c>
      <x:c r="G36" t="str">
        <x:v>public handoff</x:v>
      </x:c>
      <x:c r="H36" t="str">
        <x:v>B-boundary</x:v>
      </x:c>
      <x:c r="I36" t="str">
        <x:v>B-receiver</x:v>
      </x:c>
      <x:c r="J36" t="n">
        <x:v>24</x:v>
      </x:c>
      <x:c r="K36" t="n">
        <x:v>24</x:v>
      </x:c>
      <x:c r="L36" t="str">
        <x:f>IF(J36=K36,"PASS","FAIL")</x:f>
        <x:v>PASS</x:v>
      </x:c>
    </x:row>
    <x:row r="37">
      <x:c r="B37" t="str">
        <x:v>IFR-031</x:v>
      </x:c>
      <x:c r="C37" t="str">
        <x:v>B-C-4</x:v>
      </x:c>
      <x:c r="D37" t="str">
        <x:v>B</x:v>
      </x:c>
      <x:c r="E37" t="str">
        <x:v>PTC-C</x:v>
      </x:c>
      <x:c r="F37" t="str">
        <x:v>SP-4</x:v>
      </x:c>
      <x:c r="G37" t="str">
        <x:v>root-native</x:v>
      </x:c>
      <x:c r="H37" t="str">
        <x:v>SP-4</x:v>
      </x:c>
      <x:c r="I37" t="str">
        <x:v>B-boundary</x:v>
      </x:c>
      <x:c r="J37" t="n">
        <x:v>24</x:v>
      </x:c>
      <x:c r="K37" t="n">
        <x:v>24</x:v>
      </x:c>
      <x:c r="L37" t="str">
        <x:f>IF(J37=K37,"PASS","FAIL")</x:f>
        <x:v>PASS</x:v>
      </x:c>
    </x:row>
    <x:row r="38">
      <x:c r="B38" t="str">
        <x:v>IFR-032</x:v>
      </x:c>
      <x:c r="C38" t="str">
        <x:v>B-C-4</x:v>
      </x:c>
      <x:c r="D38" t="str">
        <x:v>B</x:v>
      </x:c>
      <x:c r="E38" t="str">
        <x:v>PTC-C</x:v>
      </x:c>
      <x:c r="F38" t="str">
        <x:v>SP-4</x:v>
      </x:c>
      <x:c r="G38" t="str">
        <x:v>public handoff</x:v>
      </x:c>
      <x:c r="H38" t="str">
        <x:v>B-boundary</x:v>
      </x:c>
      <x:c r="I38" t="str">
        <x:v>B-receiver</x:v>
      </x:c>
      <x:c r="J38" t="n">
        <x:v>24</x:v>
      </x:c>
      <x:c r="K38" t="n">
        <x:v>24</x:v>
      </x:c>
      <x:c r="L38" t="str">
        <x:f>IF(J38=K38,"PASS","FAIL")</x:f>
        <x:v>PASS</x:v>
      </x:c>
    </x:row>
  </x:sheetData>
  <x:conditionalFormatting sqref="L7:L38">
    <x:cfRule type="cellIs" dxfId="52" priority="1" operator="equal">
      <x:formula>"FAIL"</x:formula>
    </x:cfRule>
    <x:cfRule type="cellIs" dxfId="53" priority="2" operator="equal">
      <x:formula>"BLOCKED"</x:formula>
    </x:cfRule>
    <x:cfRule type="cellIs" dxfId="54" priority="3" operator="equal">
      <x:formula>"OPEN"</x:formula>
    </x:cfRule>
    <x:cfRule type="cellIs" dxfId="55" priority="4" operator="equal">
      <x:formula>"PASS"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9" hidden="0" customWidth="1"/>
    <x:col min="4" max="4" width="12" hidden="0" customWidth="1"/>
    <x:col min="5" max="5" width="31" hidden="0" customWidth="1"/>
    <x:col min="6" max="6" width="42" hidden="0" customWidth="1"/>
    <x:col min="7" max="7" width="32" hidden="0" customWidth="1"/>
    <x:col min="8" max="8" width="14" hidden="0" customWidth="1"/>
    <x:col min="9" max="9" width="10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Twenty-four propagation-denial protocols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Each claim requires a challenged exposure, a matched clean control and an independent disposition.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Protocol</x:v>
      </x:c>
      <x:c r="C6" s="14" t="str">
        <x:v>Root</x:v>
      </x:c>
      <x:c r="D6" s="14" t="str">
        <x:v>Site</x:v>
      </x:c>
      <x:c r="E6" s="14" t="str">
        <x:v>Function</x:v>
      </x:c>
      <x:c r="F6" s="14" t="str">
        <x:v>Challenge stimulus</x:v>
      </x:c>
      <x:c r="G6" s="14" t="str">
        <x:v>Protected-state metric</x:v>
      </x:c>
      <x:c r="H6" s="14" t="str">
        <x:v>Upper bound</x:v>
      </x:c>
      <x:c r="I6" s="14" t="str">
        <x:v>Unit</x:v>
      </x:c>
      <x:c r="J6" s="14" t="str">
        <x:v>Challenge event</x:v>
      </x:c>
      <x:c r="K6" s="14" t="str">
        <x:v>Control event</x:v>
      </x:c>
      <x:c r="L6" s="14" t="str">
        <x:v>Protocol complete</x:v>
      </x:c>
      <x:c r="M6" s="14" t="str">
        <x:v>Physical disposition</x:v>
      </x:c>
      <x:c r="N6" s="15" t="str">
        <x:v>Planning state</x:v>
      </x:c>
      <x:c r="O6" s="31" t="str">
        <x:v>Physical state</x:v>
      </x:c>
    </x:row>
    <x:row r="7">
      <x:c r="B7" t="str">
        <x:v>PR-A-B-01</x:v>
      </x:c>
      <x:c r="C7" t="str">
        <x:v>A</x:v>
      </x:c>
      <x:c r="D7" t="str">
        <x:v>PTC-B</x:v>
      </x:c>
      <x:c r="E7" t="str">
        <x:v>independent source boundary</x:v>
      </x:c>
      <x:c r="F7" t="str">
        <x:v>local rupture plus mounting distortion</x:v>
      </x:c>
      <x:c r="G7" t="str">
        <x:v>neighbor source loss</x:v>
      </x:c>
      <x:c r="H7" s="21" t="n">
        <x:v>0.5</x:v>
      </x:c>
      <x:c r="I7" t="str">
        <x:v>kg</x:v>
      </x:c>
      <x:c r="J7" t="str">
        <x:v>PR-A-B-01-X</x:v>
      </x:c>
      <x:c r="K7" t="str">
        <x:v>PR-A-B-01-C</x:v>
      </x:c>
      <x:c r="L7" t="n">
        <x:v>1</x:v>
      </x:c>
      <x:c r="M7" t="n">
        <x:v>0</x:v>
      </x:c>
      <x:c r="N7" t="str">
        <x:f>IF(L7=1,"PASS","FAIL")</x:f>
        <x:v>PASS</x:v>
      </x:c>
      <x:c r="O7" t="str">
        <x:f>IF(M7=0,"OPEN",IF(M7=1,"PASS","FAIL"))</x:f>
        <x:v>OPEN</x:v>
      </x:c>
    </x:row>
    <x:row r="8">
      <x:c r="B8" t="str">
        <x:v>PR-A-B-02</x:v>
      </x:c>
      <x:c r="C8" t="str">
        <x:v>A</x:v>
      </x:c>
      <x:c r="D8" t="str">
        <x:v>PTC-B</x:v>
      </x:c>
      <x:c r="E8" t="str">
        <x:v>no common fuel manifold</x:v>
      </x:c>
      <x:c r="F8" t="str">
        <x:v>line severance plus wrong-side pressure</x:v>
      </x:c>
      <x:c r="G8" t="str">
        <x:v>reverse transferred mass</x:v>
      </x:c>
      <x:c r="H8" s="21" t="n">
        <x:v>0.5</x:v>
      </x:c>
      <x:c r="I8" t="str">
        <x:v>kg</x:v>
      </x:c>
      <x:c r="J8" t="str">
        <x:v>PR-A-B-02-X</x:v>
      </x:c>
      <x:c r="K8" t="str">
        <x:v>PR-A-B-02-C</x:v>
      </x:c>
      <x:c r="L8" t="n">
        <x:v>1</x:v>
      </x:c>
      <x:c r="M8" t="n">
        <x:v>0</x:v>
      </x:c>
      <x:c r="N8" t="str">
        <x:f>IF(L8=1,"PASS","FAIL")</x:f>
        <x:v>PASS</x:v>
      </x:c>
      <x:c r="O8" t="str">
        <x:f>IF(M8=0,"OPEN",IF(M8=1,"PASS","FAIL"))</x:f>
        <x:v>OPEN</x:v>
      </x:c>
    </x:row>
    <x:row r="9">
      <x:c r="B9" t="str">
        <x:v>PR-A-B-03</x:v>
      </x:c>
      <x:c r="C9" t="str">
        <x:v>A</x:v>
      </x:c>
      <x:c r="D9" t="str">
        <x:v>PTC-B</x:v>
      </x:c>
      <x:c r="E9" t="str">
        <x:v>directional relief</x:v>
      </x:c>
      <x:c r="F9" t="str">
        <x:v>restricted primary route plus return pressure</x:v>
      </x:c>
      <x:c r="G9" t="str">
        <x:v>reverse transferred mass</x:v>
      </x:c>
      <x:c r="H9" s="21" t="n">
        <x:v>0.5</x:v>
      </x:c>
      <x:c r="I9" t="str">
        <x:v>kg</x:v>
      </x:c>
      <x:c r="J9" t="str">
        <x:v>PR-A-B-03-X</x:v>
      </x:c>
      <x:c r="K9" t="str">
        <x:v>PR-A-B-03-C</x:v>
      </x:c>
      <x:c r="L9" t="n">
        <x:v>1</x:v>
      </x:c>
      <x:c r="M9" t="n">
        <x:v>0</x:v>
      </x:c>
      <x:c r="N9" t="str">
        <x:f>IF(L9=1,"PASS","FAIL")</x:f>
        <x:v>PASS</x:v>
      </x:c>
      <x:c r="O9" t="str">
        <x:f>IF(M9=0,"OPEN",IF(M9=1,"PASS","FAIL"))</x:f>
        <x:v>OPEN</x:v>
      </x:c>
    </x:row>
    <x:row r="10">
      <x:c r="B10" t="str">
        <x:v>PR-A-B-04</x:v>
      </x:c>
      <x:c r="C10" t="str">
        <x:v>A</x:v>
      </x:c>
      <x:c r="D10" t="str">
        <x:v>PTC-B</x:v>
      </x:c>
      <x:c r="E10" t="str">
        <x:v>segregated drainage or knockout</x:v>
      </x:c>
      <x:c r="F10" t="str">
        <x:v>primary retention loss plus runoff</x:v>
      </x:c>
      <x:c r="G10" t="str">
        <x:v>cross-cell transferred mass</x:v>
      </x:c>
      <x:c r="H10" s="21" t="n">
        <x:v>0.5</x:v>
      </x:c>
      <x:c r="I10" t="str">
        <x:v>kg</x:v>
      </x:c>
      <x:c r="J10" t="str">
        <x:v>PR-A-B-04-X</x:v>
      </x:c>
      <x:c r="K10" t="str">
        <x:v>PR-A-B-04-C</x:v>
      </x:c>
      <x:c r="L10" t="n">
        <x:v>1</x:v>
      </x:c>
      <x:c r="M10" t="n">
        <x:v>0</x:v>
      </x:c>
      <x:c r="N10" t="str">
        <x:f>IF(L10=1,"PASS","FAIL")</x:f>
        <x:v>PASS</x:v>
      </x:c>
      <x:c r="O10" t="str">
        <x:f>IF(M10=0,"OPEN",IF(M10=1,"PASS","FAIL"))</x:f>
        <x:v>OPEN</x:v>
      </x:c>
    </x:row>
    <x:row r="11">
      <x:c r="B11" t="str">
        <x:v>PR-A-B-05</x:v>
      </x:c>
      <x:c r="C11" t="str">
        <x:v>A</x:v>
      </x:c>
      <x:c r="D11" t="str">
        <x:v>PTC-B</x:v>
      </x:c>
      <x:c r="E11" t="str">
        <x:v>thermal escalation barrier</x:v>
      </x:c>
      <x:c r="F11" t="str">
        <x:v>registered root fire through cooldown</x:v>
      </x:c>
      <x:c r="G11" t="str">
        <x:v>normalized protected-side use</x:v>
      </x:c>
      <x:c r="H11" s="21" t="n">
        <x:v>0.8</x:v>
      </x:c>
      <x:c r="I11" t="str">
        <x:v>ratio</x:v>
      </x:c>
      <x:c r="J11" t="str">
        <x:v>PR-A-B-05-X</x:v>
      </x:c>
      <x:c r="K11" t="str">
        <x:v>PR-A-B-05-C</x:v>
      </x:c>
      <x:c r="L11" t="n">
        <x:v>1</x:v>
      </x:c>
      <x:c r="M11" t="n">
        <x:v>0</x:v>
      </x:c>
      <x:c r="N11" t="str">
        <x:f>IF(L11=1,"PASS","FAIL")</x:f>
        <x:v>PASS</x:v>
      </x:c>
      <x:c r="O11" t="str">
        <x:f>IF(M11=0,"OPEN",IF(M11=1,"PASS","FAIL"))</x:f>
        <x:v>OPEN</x:v>
      </x:c>
    </x:row>
    <x:row r="12">
      <x:c r="B12" t="str">
        <x:v>PR-A-B-06</x:v>
      </x:c>
      <x:c r="C12" t="str">
        <x:v>A</x:v>
      </x:c>
      <x:c r="D12" t="str">
        <x:v>PTC-B</x:v>
      </x:c>
      <x:c r="E12" t="str">
        <x:v>fragment shadow and support</x:v>
      </x:c>
      <x:c r="F12" t="str">
        <x:v>representative fragment plus support release</x:v>
      </x:c>
      <x:c r="G12" t="str">
        <x:v>normalized protected-side use</x:v>
      </x:c>
      <x:c r="H12" s="21" t="n">
        <x:v>0.8</x:v>
      </x:c>
      <x:c r="I12" t="str">
        <x:v>ratio</x:v>
      </x:c>
      <x:c r="J12" t="str">
        <x:v>PR-A-B-06-X</x:v>
      </x:c>
      <x:c r="K12" t="str">
        <x:v>PR-A-B-06-C</x:v>
      </x:c>
      <x:c r="L12" t="n">
        <x:v>1</x:v>
      </x:c>
      <x:c r="M12" t="n">
        <x:v>0</x:v>
      </x:c>
      <x:c r="N12" t="str">
        <x:f>IF(L12=1,"PASS","FAIL")</x:f>
        <x:v>PASS</x:v>
      </x:c>
      <x:c r="O12" t="str">
        <x:f>IF(M12=0,"OPEN",IF(M12=1,"PASS","FAIL"))</x:f>
        <x:v>OPEN</x:v>
      </x:c>
    </x:row>
    <x:row r="13">
      <x:c r="B13" t="str">
        <x:v>PR-A-C-01</x:v>
      </x:c>
      <x:c r="C13" t="str">
        <x:v>A</x:v>
      </x:c>
      <x:c r="D13" t="str">
        <x:v>PTC-C</x:v>
      </x:c>
      <x:c r="E13" t="str">
        <x:v>independent source boundary</x:v>
      </x:c>
      <x:c r="F13" t="str">
        <x:v>local rupture plus mounting distortion</x:v>
      </x:c>
      <x:c r="G13" t="str">
        <x:v>neighbor source loss</x:v>
      </x:c>
      <x:c r="H13" s="21" t="n">
        <x:v>0.5</x:v>
      </x:c>
      <x:c r="I13" t="str">
        <x:v>kg</x:v>
      </x:c>
      <x:c r="J13" t="str">
        <x:v>PR-A-C-01-X</x:v>
      </x:c>
      <x:c r="K13" t="str">
        <x:v>PR-A-C-01-C</x:v>
      </x:c>
      <x:c r="L13" t="n">
        <x:v>1</x:v>
      </x:c>
      <x:c r="M13" t="n">
        <x:v>0</x:v>
      </x:c>
      <x:c r="N13" t="str">
        <x:f>IF(L13=1,"PASS","FAIL")</x:f>
        <x:v>PASS</x:v>
      </x:c>
      <x:c r="O13" t="str">
        <x:f>IF(M13=0,"OPEN",IF(M13=1,"PASS","FAIL"))</x:f>
        <x:v>OPEN</x:v>
      </x:c>
    </x:row>
    <x:row r="14">
      <x:c r="B14" t="str">
        <x:v>PR-A-C-02</x:v>
      </x:c>
      <x:c r="C14" t="str">
        <x:v>A</x:v>
      </x:c>
      <x:c r="D14" t="str">
        <x:v>PTC-C</x:v>
      </x:c>
      <x:c r="E14" t="str">
        <x:v>no common fuel manifold</x:v>
      </x:c>
      <x:c r="F14" t="str">
        <x:v>line severance plus wrong-side pressure</x:v>
      </x:c>
      <x:c r="G14" t="str">
        <x:v>reverse transferred mass</x:v>
      </x:c>
      <x:c r="H14" s="21" t="n">
        <x:v>0.5</x:v>
      </x:c>
      <x:c r="I14" t="str">
        <x:v>kg</x:v>
      </x:c>
      <x:c r="J14" t="str">
        <x:v>PR-A-C-02-X</x:v>
      </x:c>
      <x:c r="K14" t="str">
        <x:v>PR-A-C-02-C</x:v>
      </x:c>
      <x:c r="L14" t="n">
        <x:v>1</x:v>
      </x:c>
      <x:c r="M14" t="n">
        <x:v>0</x:v>
      </x:c>
      <x:c r="N14" t="str">
        <x:f>IF(L14=1,"PASS","FAIL")</x:f>
        <x:v>PASS</x:v>
      </x:c>
      <x:c r="O14" t="str">
        <x:f>IF(M14=0,"OPEN",IF(M14=1,"PASS","FAIL"))</x:f>
        <x:v>OPEN</x:v>
      </x:c>
    </x:row>
    <x:row r="15">
      <x:c r="B15" t="str">
        <x:v>PR-A-C-03</x:v>
      </x:c>
      <x:c r="C15" t="str">
        <x:v>A</x:v>
      </x:c>
      <x:c r="D15" t="str">
        <x:v>PTC-C</x:v>
      </x:c>
      <x:c r="E15" t="str">
        <x:v>directional relief</x:v>
      </x:c>
      <x:c r="F15" t="str">
        <x:v>restricted primary route plus return pressure</x:v>
      </x:c>
      <x:c r="G15" t="str">
        <x:v>reverse transferred mass</x:v>
      </x:c>
      <x:c r="H15" s="21" t="n">
        <x:v>0.5</x:v>
      </x:c>
      <x:c r="I15" t="str">
        <x:v>kg</x:v>
      </x:c>
      <x:c r="J15" t="str">
        <x:v>PR-A-C-03-X</x:v>
      </x:c>
      <x:c r="K15" t="str">
        <x:v>PR-A-C-03-C</x:v>
      </x:c>
      <x:c r="L15" t="n">
        <x:v>1</x:v>
      </x:c>
      <x:c r="M15" t="n">
        <x:v>0</x:v>
      </x:c>
      <x:c r="N15" t="str">
        <x:f>IF(L15=1,"PASS","FAIL")</x:f>
        <x:v>PASS</x:v>
      </x:c>
      <x:c r="O15" t="str">
        <x:f>IF(M15=0,"OPEN",IF(M15=1,"PASS","FAIL"))</x:f>
        <x:v>OPEN</x:v>
      </x:c>
    </x:row>
    <x:row r="16">
      <x:c r="B16" t="str">
        <x:v>PR-A-C-04</x:v>
      </x:c>
      <x:c r="C16" t="str">
        <x:v>A</x:v>
      </x:c>
      <x:c r="D16" t="str">
        <x:v>PTC-C</x:v>
      </x:c>
      <x:c r="E16" t="str">
        <x:v>segregated drainage or knockout</x:v>
      </x:c>
      <x:c r="F16" t="str">
        <x:v>primary retention loss plus runoff</x:v>
      </x:c>
      <x:c r="G16" t="str">
        <x:v>cross-cell transferred mass</x:v>
      </x:c>
      <x:c r="H16" s="21" t="n">
        <x:v>0.5</x:v>
      </x:c>
      <x:c r="I16" t="str">
        <x:v>kg</x:v>
      </x:c>
      <x:c r="J16" t="str">
        <x:v>PR-A-C-04-X</x:v>
      </x:c>
      <x:c r="K16" t="str">
        <x:v>PR-A-C-04-C</x:v>
      </x:c>
      <x:c r="L16" t="n">
        <x:v>1</x:v>
      </x:c>
      <x:c r="M16" t="n">
        <x:v>0</x:v>
      </x:c>
      <x:c r="N16" t="str">
        <x:f>IF(L16=1,"PASS","FAIL")</x:f>
        <x:v>PASS</x:v>
      </x:c>
      <x:c r="O16" t="str">
        <x:f>IF(M16=0,"OPEN",IF(M16=1,"PASS","FAIL"))</x:f>
        <x:v>OPEN</x:v>
      </x:c>
    </x:row>
    <x:row r="17">
      <x:c r="B17" t="str">
        <x:v>PR-A-C-05</x:v>
      </x:c>
      <x:c r="C17" t="str">
        <x:v>A</x:v>
      </x:c>
      <x:c r="D17" t="str">
        <x:v>PTC-C</x:v>
      </x:c>
      <x:c r="E17" t="str">
        <x:v>thermal escalation barrier</x:v>
      </x:c>
      <x:c r="F17" t="str">
        <x:v>registered root fire through cooldown</x:v>
      </x:c>
      <x:c r="G17" t="str">
        <x:v>normalized protected-side use</x:v>
      </x:c>
      <x:c r="H17" s="21" t="n">
        <x:v>0.8</x:v>
      </x:c>
      <x:c r="I17" t="str">
        <x:v>ratio</x:v>
      </x:c>
      <x:c r="J17" t="str">
        <x:v>PR-A-C-05-X</x:v>
      </x:c>
      <x:c r="K17" t="str">
        <x:v>PR-A-C-05-C</x:v>
      </x:c>
      <x:c r="L17" t="n">
        <x:v>1</x:v>
      </x:c>
      <x:c r="M17" t="n">
        <x:v>0</x:v>
      </x:c>
      <x:c r="N17" t="str">
        <x:f>IF(L17=1,"PASS","FAIL")</x:f>
        <x:v>PASS</x:v>
      </x:c>
      <x:c r="O17" t="str">
        <x:f>IF(M17=0,"OPEN",IF(M17=1,"PASS","FAIL"))</x:f>
        <x:v>OPEN</x:v>
      </x:c>
    </x:row>
    <x:row r="18">
      <x:c r="B18" t="str">
        <x:v>PR-A-C-06</x:v>
      </x:c>
      <x:c r="C18" t="str">
        <x:v>A</x:v>
      </x:c>
      <x:c r="D18" t="str">
        <x:v>PTC-C</x:v>
      </x:c>
      <x:c r="E18" t="str">
        <x:v>fragment shadow and support</x:v>
      </x:c>
      <x:c r="F18" t="str">
        <x:v>representative fragment plus support release</x:v>
      </x:c>
      <x:c r="G18" t="str">
        <x:v>normalized protected-side use</x:v>
      </x:c>
      <x:c r="H18" s="21" t="n">
        <x:v>0.8</x:v>
      </x:c>
      <x:c r="I18" t="str">
        <x:v>ratio</x:v>
      </x:c>
      <x:c r="J18" t="str">
        <x:v>PR-A-C-06-X</x:v>
      </x:c>
      <x:c r="K18" t="str">
        <x:v>PR-A-C-06-C</x:v>
      </x:c>
      <x:c r="L18" t="n">
        <x:v>1</x:v>
      </x:c>
      <x:c r="M18" t="n">
        <x:v>0</x:v>
      </x:c>
      <x:c r="N18" t="str">
        <x:f>IF(L18=1,"PASS","FAIL")</x:f>
        <x:v>PASS</x:v>
      </x:c>
      <x:c r="O18" t="str">
        <x:f>IF(M18=0,"OPEN",IF(M18=1,"PASS","FAIL"))</x:f>
        <x:v>OPEN</x:v>
      </x:c>
    </x:row>
    <x:row r="19">
      <x:c r="B19" t="str">
        <x:v>PR-B-B-01</x:v>
      </x:c>
      <x:c r="C19" t="str">
        <x:v>B</x:v>
      </x:c>
      <x:c r="D19" t="str">
        <x:v>PTC-B</x:v>
      </x:c>
      <x:c r="E19" t="str">
        <x:v>independent source boundary</x:v>
      </x:c>
      <x:c r="F19" t="str">
        <x:v>local rupture plus mounting distortion</x:v>
      </x:c>
      <x:c r="G19" t="str">
        <x:v>neighbor source loss</x:v>
      </x:c>
      <x:c r="H19" s="21" t="n">
        <x:v>0.5</x:v>
      </x:c>
      <x:c r="I19" t="str">
        <x:v>kg</x:v>
      </x:c>
      <x:c r="J19" t="str">
        <x:v>PR-B-B-01-X</x:v>
      </x:c>
      <x:c r="K19" t="str">
        <x:v>PR-B-B-01-C</x:v>
      </x:c>
      <x:c r="L19" t="n">
        <x:v>1</x:v>
      </x:c>
      <x:c r="M19" t="n">
        <x:v>0</x:v>
      </x:c>
      <x:c r="N19" t="str">
        <x:f>IF(L19=1,"PASS","FAIL")</x:f>
        <x:v>PASS</x:v>
      </x:c>
      <x:c r="O19" t="str">
        <x:f>IF(M19=0,"OPEN",IF(M19=1,"PASS","FAIL"))</x:f>
        <x:v>OPEN</x:v>
      </x:c>
    </x:row>
    <x:row r="20">
      <x:c r="B20" t="str">
        <x:v>PR-B-B-02</x:v>
      </x:c>
      <x:c r="C20" t="str">
        <x:v>B</x:v>
      </x:c>
      <x:c r="D20" t="str">
        <x:v>PTC-B</x:v>
      </x:c>
      <x:c r="E20" t="str">
        <x:v>no common fuel manifold</x:v>
      </x:c>
      <x:c r="F20" t="str">
        <x:v>line severance plus wrong-side pressure</x:v>
      </x:c>
      <x:c r="G20" t="str">
        <x:v>reverse transferred mass</x:v>
      </x:c>
      <x:c r="H20" s="21" t="n">
        <x:v>0.5</x:v>
      </x:c>
      <x:c r="I20" t="str">
        <x:v>kg</x:v>
      </x:c>
      <x:c r="J20" t="str">
        <x:v>PR-B-B-02-X</x:v>
      </x:c>
      <x:c r="K20" t="str">
        <x:v>PR-B-B-02-C</x:v>
      </x:c>
      <x:c r="L20" t="n">
        <x:v>1</x:v>
      </x:c>
      <x:c r="M20" t="n">
        <x:v>0</x:v>
      </x:c>
      <x:c r="N20" t="str">
        <x:f>IF(L20=1,"PASS","FAIL")</x:f>
        <x:v>PASS</x:v>
      </x:c>
      <x:c r="O20" t="str">
        <x:f>IF(M20=0,"OPEN",IF(M20=1,"PASS","FAIL"))</x:f>
        <x:v>OPEN</x:v>
      </x:c>
    </x:row>
    <x:row r="21">
      <x:c r="B21" t="str">
        <x:v>PR-B-B-03</x:v>
      </x:c>
      <x:c r="C21" t="str">
        <x:v>B</x:v>
      </x:c>
      <x:c r="D21" t="str">
        <x:v>PTC-B</x:v>
      </x:c>
      <x:c r="E21" t="str">
        <x:v>directional relief</x:v>
      </x:c>
      <x:c r="F21" t="str">
        <x:v>restricted primary route plus return pressure</x:v>
      </x:c>
      <x:c r="G21" t="str">
        <x:v>reverse transferred mass</x:v>
      </x:c>
      <x:c r="H21" s="21" t="n">
        <x:v>0.5</x:v>
      </x:c>
      <x:c r="I21" t="str">
        <x:v>kg</x:v>
      </x:c>
      <x:c r="J21" t="str">
        <x:v>PR-B-B-03-X</x:v>
      </x:c>
      <x:c r="K21" t="str">
        <x:v>PR-B-B-03-C</x:v>
      </x:c>
      <x:c r="L21" t="n">
        <x:v>1</x:v>
      </x:c>
      <x:c r="M21" t="n">
        <x:v>0</x:v>
      </x:c>
      <x:c r="N21" t="str">
        <x:f>IF(L21=1,"PASS","FAIL")</x:f>
        <x:v>PASS</x:v>
      </x:c>
      <x:c r="O21" t="str">
        <x:f>IF(M21=0,"OPEN",IF(M21=1,"PASS","FAIL"))</x:f>
        <x:v>OPEN</x:v>
      </x:c>
    </x:row>
    <x:row r="22">
      <x:c r="B22" t="str">
        <x:v>PR-B-B-04</x:v>
      </x:c>
      <x:c r="C22" t="str">
        <x:v>B</x:v>
      </x:c>
      <x:c r="D22" t="str">
        <x:v>PTC-B</x:v>
      </x:c>
      <x:c r="E22" t="str">
        <x:v>segregated drainage or knockout</x:v>
      </x:c>
      <x:c r="F22" t="str">
        <x:v>primary retention loss plus runoff</x:v>
      </x:c>
      <x:c r="G22" t="str">
        <x:v>cross-cell transferred mass</x:v>
      </x:c>
      <x:c r="H22" s="21" t="n">
        <x:v>0.5</x:v>
      </x:c>
      <x:c r="I22" t="str">
        <x:v>kg</x:v>
      </x:c>
      <x:c r="J22" t="str">
        <x:v>PR-B-B-04-X</x:v>
      </x:c>
      <x:c r="K22" t="str">
        <x:v>PR-B-B-04-C</x:v>
      </x:c>
      <x:c r="L22" t="n">
        <x:v>1</x:v>
      </x:c>
      <x:c r="M22" t="n">
        <x:v>0</x:v>
      </x:c>
      <x:c r="N22" t="str">
        <x:f>IF(L22=1,"PASS","FAIL")</x:f>
        <x:v>PASS</x:v>
      </x:c>
      <x:c r="O22" t="str">
        <x:f>IF(M22=0,"OPEN",IF(M22=1,"PASS","FAIL"))</x:f>
        <x:v>OPEN</x:v>
      </x:c>
    </x:row>
    <x:row r="23">
      <x:c r="B23" t="str">
        <x:v>PR-B-B-05</x:v>
      </x:c>
      <x:c r="C23" t="str">
        <x:v>B</x:v>
      </x:c>
      <x:c r="D23" t="str">
        <x:v>PTC-B</x:v>
      </x:c>
      <x:c r="E23" t="str">
        <x:v>thermal escalation barrier</x:v>
      </x:c>
      <x:c r="F23" t="str">
        <x:v>registered root fire through cooldown</x:v>
      </x:c>
      <x:c r="G23" t="str">
        <x:v>normalized protected-side use</x:v>
      </x:c>
      <x:c r="H23" s="21" t="n">
        <x:v>0.8</x:v>
      </x:c>
      <x:c r="I23" t="str">
        <x:v>ratio</x:v>
      </x:c>
      <x:c r="J23" t="str">
        <x:v>PR-B-B-05-X</x:v>
      </x:c>
      <x:c r="K23" t="str">
        <x:v>PR-B-B-05-C</x:v>
      </x:c>
      <x:c r="L23" t="n">
        <x:v>1</x:v>
      </x:c>
      <x:c r="M23" t="n">
        <x:v>0</x:v>
      </x:c>
      <x:c r="N23" t="str">
        <x:f>IF(L23=1,"PASS","FAIL")</x:f>
        <x:v>PASS</x:v>
      </x:c>
      <x:c r="O23" t="str">
        <x:f>IF(M23=0,"OPEN",IF(M23=1,"PASS","FAIL"))</x:f>
        <x:v>OPEN</x:v>
      </x:c>
    </x:row>
    <x:row r="24">
      <x:c r="B24" t="str">
        <x:v>PR-B-B-06</x:v>
      </x:c>
      <x:c r="C24" t="str">
        <x:v>B</x:v>
      </x:c>
      <x:c r="D24" t="str">
        <x:v>PTC-B</x:v>
      </x:c>
      <x:c r="E24" t="str">
        <x:v>fragment shadow and support</x:v>
      </x:c>
      <x:c r="F24" t="str">
        <x:v>representative fragment plus support release</x:v>
      </x:c>
      <x:c r="G24" t="str">
        <x:v>normalized protected-side use</x:v>
      </x:c>
      <x:c r="H24" s="21" t="n">
        <x:v>0.8</x:v>
      </x:c>
      <x:c r="I24" t="str">
        <x:v>ratio</x:v>
      </x:c>
      <x:c r="J24" t="str">
        <x:v>PR-B-B-06-X</x:v>
      </x:c>
      <x:c r="K24" t="str">
        <x:v>PR-B-B-06-C</x:v>
      </x:c>
      <x:c r="L24" t="n">
        <x:v>1</x:v>
      </x:c>
      <x:c r="M24" t="n">
        <x:v>0</x:v>
      </x:c>
      <x:c r="N24" t="str">
        <x:f>IF(L24=1,"PASS","FAIL")</x:f>
        <x:v>PASS</x:v>
      </x:c>
      <x:c r="O24" t="str">
        <x:f>IF(M24=0,"OPEN",IF(M24=1,"PASS","FAIL"))</x:f>
        <x:v>OPEN</x:v>
      </x:c>
    </x:row>
    <x:row r="25">
      <x:c r="B25" t="str">
        <x:v>PR-B-C-01</x:v>
      </x:c>
      <x:c r="C25" t="str">
        <x:v>B</x:v>
      </x:c>
      <x:c r="D25" t="str">
        <x:v>PTC-C</x:v>
      </x:c>
      <x:c r="E25" t="str">
        <x:v>independent source boundary</x:v>
      </x:c>
      <x:c r="F25" t="str">
        <x:v>local rupture plus mounting distortion</x:v>
      </x:c>
      <x:c r="G25" t="str">
        <x:v>neighbor source loss</x:v>
      </x:c>
      <x:c r="H25" s="21" t="n">
        <x:v>0.5</x:v>
      </x:c>
      <x:c r="I25" t="str">
        <x:v>kg</x:v>
      </x:c>
      <x:c r="J25" t="str">
        <x:v>PR-B-C-01-X</x:v>
      </x:c>
      <x:c r="K25" t="str">
        <x:v>PR-B-C-01-C</x:v>
      </x:c>
      <x:c r="L25" t="n">
        <x:v>1</x:v>
      </x:c>
      <x:c r="M25" t="n">
        <x:v>0</x:v>
      </x:c>
      <x:c r="N25" t="str">
        <x:f>IF(L25=1,"PASS","FAIL")</x:f>
        <x:v>PASS</x:v>
      </x:c>
      <x:c r="O25" t="str">
        <x:f>IF(M25=0,"OPEN",IF(M25=1,"PASS","FAIL"))</x:f>
        <x:v>OPEN</x:v>
      </x:c>
    </x:row>
    <x:row r="26">
      <x:c r="B26" t="str">
        <x:v>PR-B-C-02</x:v>
      </x:c>
      <x:c r="C26" t="str">
        <x:v>B</x:v>
      </x:c>
      <x:c r="D26" t="str">
        <x:v>PTC-C</x:v>
      </x:c>
      <x:c r="E26" t="str">
        <x:v>no common fuel manifold</x:v>
      </x:c>
      <x:c r="F26" t="str">
        <x:v>line severance plus wrong-side pressure</x:v>
      </x:c>
      <x:c r="G26" t="str">
        <x:v>reverse transferred mass</x:v>
      </x:c>
      <x:c r="H26" s="21" t="n">
        <x:v>0.5</x:v>
      </x:c>
      <x:c r="I26" t="str">
        <x:v>kg</x:v>
      </x:c>
      <x:c r="J26" t="str">
        <x:v>PR-B-C-02-X</x:v>
      </x:c>
      <x:c r="K26" t="str">
        <x:v>PR-B-C-02-C</x:v>
      </x:c>
      <x:c r="L26" t="n">
        <x:v>1</x:v>
      </x:c>
      <x:c r="M26" t="n">
        <x:v>0</x:v>
      </x:c>
      <x:c r="N26" t="str">
        <x:f>IF(L26=1,"PASS","FAIL")</x:f>
        <x:v>PASS</x:v>
      </x:c>
      <x:c r="O26" t="str">
        <x:f>IF(M26=0,"OPEN",IF(M26=1,"PASS","FAIL"))</x:f>
        <x:v>OPEN</x:v>
      </x:c>
    </x:row>
    <x:row r="27">
      <x:c r="B27" t="str">
        <x:v>PR-B-C-03</x:v>
      </x:c>
      <x:c r="C27" t="str">
        <x:v>B</x:v>
      </x:c>
      <x:c r="D27" t="str">
        <x:v>PTC-C</x:v>
      </x:c>
      <x:c r="E27" t="str">
        <x:v>directional relief</x:v>
      </x:c>
      <x:c r="F27" t="str">
        <x:v>restricted primary route plus return pressure</x:v>
      </x:c>
      <x:c r="G27" t="str">
        <x:v>reverse transferred mass</x:v>
      </x:c>
      <x:c r="H27" s="21" t="n">
        <x:v>0.5</x:v>
      </x:c>
      <x:c r="I27" t="str">
        <x:v>kg</x:v>
      </x:c>
      <x:c r="J27" t="str">
        <x:v>PR-B-C-03-X</x:v>
      </x:c>
      <x:c r="K27" t="str">
        <x:v>PR-B-C-03-C</x:v>
      </x:c>
      <x:c r="L27" t="n">
        <x:v>1</x:v>
      </x:c>
      <x:c r="M27" t="n">
        <x:v>0</x:v>
      </x:c>
      <x:c r="N27" t="str">
        <x:f>IF(L27=1,"PASS","FAIL")</x:f>
        <x:v>PASS</x:v>
      </x:c>
      <x:c r="O27" t="str">
        <x:f>IF(M27=0,"OPEN",IF(M27=1,"PASS","FAIL"))</x:f>
        <x:v>OPEN</x:v>
      </x:c>
    </x:row>
    <x:row r="28">
      <x:c r="B28" t="str">
        <x:v>PR-B-C-04</x:v>
      </x:c>
      <x:c r="C28" t="str">
        <x:v>B</x:v>
      </x:c>
      <x:c r="D28" t="str">
        <x:v>PTC-C</x:v>
      </x:c>
      <x:c r="E28" t="str">
        <x:v>segregated drainage or knockout</x:v>
      </x:c>
      <x:c r="F28" t="str">
        <x:v>primary retention loss plus runoff</x:v>
      </x:c>
      <x:c r="G28" t="str">
        <x:v>cross-cell transferred mass</x:v>
      </x:c>
      <x:c r="H28" s="21" t="n">
        <x:v>0.5</x:v>
      </x:c>
      <x:c r="I28" t="str">
        <x:v>kg</x:v>
      </x:c>
      <x:c r="J28" t="str">
        <x:v>PR-B-C-04-X</x:v>
      </x:c>
      <x:c r="K28" t="str">
        <x:v>PR-B-C-04-C</x:v>
      </x:c>
      <x:c r="L28" t="n">
        <x:v>1</x:v>
      </x:c>
      <x:c r="M28" t="n">
        <x:v>0</x:v>
      </x:c>
      <x:c r="N28" t="str">
        <x:f>IF(L28=1,"PASS","FAIL")</x:f>
        <x:v>PASS</x:v>
      </x:c>
      <x:c r="O28" t="str">
        <x:f>IF(M28=0,"OPEN",IF(M28=1,"PASS","FAIL"))</x:f>
        <x:v>OPEN</x:v>
      </x:c>
    </x:row>
    <x:row r="29">
      <x:c r="B29" t="str">
        <x:v>PR-B-C-05</x:v>
      </x:c>
      <x:c r="C29" t="str">
        <x:v>B</x:v>
      </x:c>
      <x:c r="D29" t="str">
        <x:v>PTC-C</x:v>
      </x:c>
      <x:c r="E29" t="str">
        <x:v>thermal escalation barrier</x:v>
      </x:c>
      <x:c r="F29" t="str">
        <x:v>registered root fire through cooldown</x:v>
      </x:c>
      <x:c r="G29" t="str">
        <x:v>normalized protected-side use</x:v>
      </x:c>
      <x:c r="H29" s="21" t="n">
        <x:v>0.8</x:v>
      </x:c>
      <x:c r="I29" t="str">
        <x:v>ratio</x:v>
      </x:c>
      <x:c r="J29" t="str">
        <x:v>PR-B-C-05-X</x:v>
      </x:c>
      <x:c r="K29" t="str">
        <x:v>PR-B-C-05-C</x:v>
      </x:c>
      <x:c r="L29" t="n">
        <x:v>1</x:v>
      </x:c>
      <x:c r="M29" t="n">
        <x:v>0</x:v>
      </x:c>
      <x:c r="N29" t="str">
        <x:f>IF(L29=1,"PASS","FAIL")</x:f>
        <x:v>PASS</x:v>
      </x:c>
      <x:c r="O29" t="str">
        <x:f>IF(M29=0,"OPEN",IF(M29=1,"PASS","FAIL"))</x:f>
        <x:v>OPEN</x:v>
      </x:c>
    </x:row>
    <x:row r="30">
      <x:c r="B30" t="str">
        <x:v>PR-B-C-06</x:v>
      </x:c>
      <x:c r="C30" t="str">
        <x:v>B</x:v>
      </x:c>
      <x:c r="D30" t="str">
        <x:v>PTC-C</x:v>
      </x:c>
      <x:c r="E30" t="str">
        <x:v>fragment shadow and support</x:v>
      </x:c>
      <x:c r="F30" t="str">
        <x:v>representative fragment plus support release</x:v>
      </x:c>
      <x:c r="G30" t="str">
        <x:v>normalized protected-side use</x:v>
      </x:c>
      <x:c r="H30" s="21" t="n">
        <x:v>0.8</x:v>
      </x:c>
      <x:c r="I30" t="str">
        <x:v>ratio</x:v>
      </x:c>
      <x:c r="J30" t="str">
        <x:v>PR-B-C-06-X</x:v>
      </x:c>
      <x:c r="K30" t="str">
        <x:v>PR-B-C-06-C</x:v>
      </x:c>
      <x:c r="L30" t="n">
        <x:v>1</x:v>
      </x:c>
      <x:c r="M30" t="n">
        <x:v>0</x:v>
      </x:c>
      <x:c r="N30" t="str">
        <x:f>IF(L30=1,"PASS","FAIL")</x:f>
        <x:v>PASS</x:v>
      </x:c>
      <x:c r="O30" t="str">
        <x:f>IF(M30=0,"OPEN",IF(M30=1,"PASS","FAIL"))</x:f>
        <x:v>OPEN</x:v>
      </x:c>
    </x:row>
  </x:sheetData>
  <x:conditionalFormatting sqref="N7:O30">
    <x:cfRule type="cellIs" dxfId="56" priority="1" operator="equal">
      <x:formula>"FAIL"</x:formula>
    </x:cfRule>
    <x:cfRule type="cellIs" dxfId="57" priority="2" operator="equal">
      <x:formula>"BLOCKED"</x:formula>
    </x:cfRule>
    <x:cfRule type="cellIs" dxfId="58" priority="3" operator="equal">
      <x:formula>"OPEN"</x:formula>
    </x:cfRule>
    <x:cfRule type="cellIs" dxfId="59" priority="4" operator="equal">
      <x:formula>"PASS"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7" hidden="0" customWidth="1"/>
    <x:col min="4" max="4" width="15" hidden="0" customWidth="1"/>
    <x:col min="5" max="5" width="9" hidden="0" customWidth="1"/>
    <x:col min="6" max="6" width="12" hidden="0" customWidth="1"/>
    <x:col min="7" max="7" width="31" hidden="0" customWidth="1"/>
    <x:col min="8" max="8" width="13" hidden="0" customWidth="1"/>
    <x:col min="9" max="9" width="19" hidden="0" customWidth="1"/>
    <x:col min="10" max="10" width="23" hidden="0" customWidth="1"/>
    <x:col min="11" max="11" width="13" hidden="0" customWidth="1"/>
    <x:col min="12" max="12" width="20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Forty-eight propagation exposures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Challenge and clean-control pairs remain separate physical events. Invalid events remain in the register.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Event</x:v>
      </x:c>
      <x:c r="C6" s="14" t="str">
        <x:v>Protocol</x:v>
      </x:c>
      <x:c r="D6" s="14" t="str">
        <x:v>Type</x:v>
      </x:c>
      <x:c r="E6" s="14" t="str">
        <x:v>Root</x:v>
      </x:c>
      <x:c r="F6" s="14" t="str">
        <x:v>Site</x:v>
      </x:c>
      <x:c r="G6" s="14" t="str">
        <x:v>Function</x:v>
      </x:c>
      <x:c r="H6" s="14" t="str">
        <x:v>Source state</x:v>
      </x:c>
      <x:c r="I6" s="14" t="str">
        <x:v>Live source fraction</x:v>
      </x:c>
      <x:c r="J6" s="14" t="str">
        <x:v>Expected protected state</x:v>
      </x:c>
      <x:c r="K6" s="14" t="str">
        <x:v>Executed</x:v>
      </x:c>
      <x:c r="L6" s="14" t="str">
        <x:v>Valid native packet</x:v>
      </x:c>
      <x:c r="M6" s="14" t="str">
        <x:v>Observed result</x:v>
      </x:c>
      <x:c r="N6" s="15" t="str">
        <x:v>Planning state</x:v>
      </x:c>
      <x:c r="O6" s="31" t="str">
        <x:v>Physical state</x:v>
      </x:c>
    </x:row>
    <x:row r="7">
      <x:c r="B7" t="str">
        <x:v>PR-A-B-01-X</x:v>
      </x:c>
      <x:c r="C7" t="str">
        <x:v>PR-A-B-01</x:v>
      </x:c>
      <x:c r="D7" t="str">
        <x:v>challenge</x:v>
      </x:c>
      <x:c r="E7" t="str">
        <x:v>A</x:v>
      </x:c>
      <x:c r="F7" t="str">
        <x:v>PTC-B</x:v>
      </x:c>
      <x:c r="G7" t="str">
        <x:v>independent source boundary</x:v>
      </x:c>
      <x:c r="H7" t="str">
        <x:v>C1</x:v>
      </x:c>
      <x:c r="I7" s="21" t="n">
        <x:v>1</x:v>
      </x:c>
      <x:c r="J7" t="str">
        <x:v>PROTECTED</x:v>
      </x:c>
      <x:c r="K7" t="n">
        <x:v>0</x:v>
      </x:c>
      <x:c r="L7" t="n">
        <x:v>0</x:v>
      </x:c>
      <x:c r="M7" t="str"/>
      <x:c r="N7" t="str">
        <x:f>IF(AND(G7&lt;&gt;"",H7="C1",I7&gt;=0),"PASS","FAIL")</x:f>
        <x:v>PASS</x:v>
      </x:c>
      <x:c r="O7" t="str">
        <x:f>IF(K7=0,"OPEN",IF(AND(L7=1,M7=J7),"PASS","FAIL"))</x:f>
        <x:v>OPEN</x:v>
      </x:c>
    </x:row>
    <x:row r="8">
      <x:c r="B8" t="str">
        <x:v>PR-A-B-01-C</x:v>
      </x:c>
      <x:c r="C8" t="str">
        <x:v>PR-A-B-01</x:v>
      </x:c>
      <x:c r="D8" t="str">
        <x:v>clean control</x:v>
      </x:c>
      <x:c r="E8" t="str">
        <x:v>A</x:v>
      </x:c>
      <x:c r="F8" t="str">
        <x:v>PTC-B</x:v>
      </x:c>
      <x:c r="G8" t="str">
        <x:v>independent source boundary</x:v>
      </x:c>
      <x:c r="H8" t="str">
        <x:v>C1</x:v>
      </x:c>
      <x:c r="I8" s="21" t="n">
        <x:v>0.05</x:v>
      </x:c>
      <x:c r="J8" t="str">
        <x:v>PROTECTED</x:v>
      </x:c>
      <x:c r="K8" t="n">
        <x:v>0</x:v>
      </x:c>
      <x:c r="L8" t="n">
        <x:v>0</x:v>
      </x:c>
      <x:c r="M8" t="str"/>
      <x:c r="N8" t="str">
        <x:f>IF(AND(G8&lt;&gt;"",H8="C1",I8&gt;=0),"PASS","FAIL")</x:f>
        <x:v>PASS</x:v>
      </x:c>
      <x:c r="O8" t="str">
        <x:f>IF(K8=0,"OPEN",IF(AND(L8=1,M8=J8),"PASS","FAIL"))</x:f>
        <x:v>OPEN</x:v>
      </x:c>
    </x:row>
    <x:row r="9">
      <x:c r="B9" t="str">
        <x:v>PR-A-B-02-X</x:v>
      </x:c>
      <x:c r="C9" t="str">
        <x:v>PR-A-B-02</x:v>
      </x:c>
      <x:c r="D9" t="str">
        <x:v>challenge</x:v>
      </x:c>
      <x:c r="E9" t="str">
        <x:v>A</x:v>
      </x:c>
      <x:c r="F9" t="str">
        <x:v>PTC-B</x:v>
      </x:c>
      <x:c r="G9" t="str">
        <x:v>no common fuel manifold</x:v>
      </x:c>
      <x:c r="H9" t="str">
        <x:v>C1</x:v>
      </x:c>
      <x:c r="I9" s="21" t="n">
        <x:v>1</x:v>
      </x:c>
      <x:c r="J9" t="str">
        <x:v>PROTECTED</x:v>
      </x:c>
      <x:c r="K9" t="n">
        <x:v>0</x:v>
      </x:c>
      <x:c r="L9" t="n">
        <x:v>0</x:v>
      </x:c>
      <x:c r="M9" t="str"/>
      <x:c r="N9" t="str">
        <x:f>IF(AND(G9&lt;&gt;"",H9="C1",I9&gt;=0),"PASS","FAIL")</x:f>
        <x:v>PASS</x:v>
      </x:c>
      <x:c r="O9" t="str">
        <x:f>IF(K9=0,"OPEN",IF(AND(L9=1,M9=J9),"PASS","FAIL"))</x:f>
        <x:v>OPEN</x:v>
      </x:c>
    </x:row>
    <x:row r="10">
      <x:c r="B10" t="str">
        <x:v>PR-A-B-02-C</x:v>
      </x:c>
      <x:c r="C10" t="str">
        <x:v>PR-A-B-02</x:v>
      </x:c>
      <x:c r="D10" t="str">
        <x:v>clean control</x:v>
      </x:c>
      <x:c r="E10" t="str">
        <x:v>A</x:v>
      </x:c>
      <x:c r="F10" t="str">
        <x:v>PTC-B</x:v>
      </x:c>
      <x:c r="G10" t="str">
        <x:v>no common fuel manifold</x:v>
      </x:c>
      <x:c r="H10" t="str">
        <x:v>C1</x:v>
      </x:c>
      <x:c r="I10" s="21" t="n">
        <x:v>0.05</x:v>
      </x:c>
      <x:c r="J10" t="str">
        <x:v>PROTECTED</x:v>
      </x:c>
      <x:c r="K10" t="n">
        <x:v>0</x:v>
      </x:c>
      <x:c r="L10" t="n">
        <x:v>0</x:v>
      </x:c>
      <x:c r="M10" t="str"/>
      <x:c r="N10" t="str">
        <x:f>IF(AND(G10&lt;&gt;"",H10="C1",I10&gt;=0),"PASS","FAIL")</x:f>
        <x:v>PASS</x:v>
      </x:c>
      <x:c r="O10" t="str">
        <x:f>IF(K10=0,"OPEN",IF(AND(L10=1,M10=J10),"PASS","FAIL"))</x:f>
        <x:v>OPEN</x:v>
      </x:c>
    </x:row>
    <x:row r="11">
      <x:c r="B11" t="str">
        <x:v>PR-A-B-03-X</x:v>
      </x:c>
      <x:c r="C11" t="str">
        <x:v>PR-A-B-03</x:v>
      </x:c>
      <x:c r="D11" t="str">
        <x:v>challenge</x:v>
      </x:c>
      <x:c r="E11" t="str">
        <x:v>A</x:v>
      </x:c>
      <x:c r="F11" t="str">
        <x:v>PTC-B</x:v>
      </x:c>
      <x:c r="G11" t="str">
        <x:v>directional relief</x:v>
      </x:c>
      <x:c r="H11" t="str">
        <x:v>C1</x:v>
      </x:c>
      <x:c r="I11" s="21" t="n">
        <x:v>1</x:v>
      </x:c>
      <x:c r="J11" t="str">
        <x:v>PROTECTED</x:v>
      </x:c>
      <x:c r="K11" t="n">
        <x:v>0</x:v>
      </x:c>
      <x:c r="L11" t="n">
        <x:v>0</x:v>
      </x:c>
      <x:c r="M11" t="str"/>
      <x:c r="N11" t="str">
        <x:f>IF(AND(G11&lt;&gt;"",H11="C1",I11&gt;=0),"PASS","FAIL")</x:f>
        <x:v>PASS</x:v>
      </x:c>
      <x:c r="O11" t="str">
        <x:f>IF(K11=0,"OPEN",IF(AND(L11=1,M11=J11),"PASS","FAIL"))</x:f>
        <x:v>OPEN</x:v>
      </x:c>
    </x:row>
    <x:row r="12">
      <x:c r="B12" t="str">
        <x:v>PR-A-B-03-C</x:v>
      </x:c>
      <x:c r="C12" t="str">
        <x:v>PR-A-B-03</x:v>
      </x:c>
      <x:c r="D12" t="str">
        <x:v>clean control</x:v>
      </x:c>
      <x:c r="E12" t="str">
        <x:v>A</x:v>
      </x:c>
      <x:c r="F12" t="str">
        <x:v>PTC-B</x:v>
      </x:c>
      <x:c r="G12" t="str">
        <x:v>directional relief</x:v>
      </x:c>
      <x:c r="H12" t="str">
        <x:v>C1</x:v>
      </x:c>
      <x:c r="I12" s="21" t="n">
        <x:v>0.05</x:v>
      </x:c>
      <x:c r="J12" t="str">
        <x:v>PROTECTED</x:v>
      </x:c>
      <x:c r="K12" t="n">
        <x:v>0</x:v>
      </x:c>
      <x:c r="L12" t="n">
        <x:v>0</x:v>
      </x:c>
      <x:c r="M12" t="str"/>
      <x:c r="N12" t="str">
        <x:f>IF(AND(G12&lt;&gt;"",H12="C1",I12&gt;=0),"PASS","FAIL")</x:f>
        <x:v>PASS</x:v>
      </x:c>
      <x:c r="O12" t="str">
        <x:f>IF(K12=0,"OPEN",IF(AND(L12=1,M12=J12),"PASS","FAIL"))</x:f>
        <x:v>OPEN</x:v>
      </x:c>
    </x:row>
    <x:row r="13">
      <x:c r="B13" t="str">
        <x:v>PR-A-B-04-X</x:v>
      </x:c>
      <x:c r="C13" t="str">
        <x:v>PR-A-B-04</x:v>
      </x:c>
      <x:c r="D13" t="str">
        <x:v>challenge</x:v>
      </x:c>
      <x:c r="E13" t="str">
        <x:v>A</x:v>
      </x:c>
      <x:c r="F13" t="str">
        <x:v>PTC-B</x:v>
      </x:c>
      <x:c r="G13" t="str">
        <x:v>segregated drainage or knockout</x:v>
      </x:c>
      <x:c r="H13" t="str">
        <x:v>C1</x:v>
      </x:c>
      <x:c r="I13" s="21" t="n">
        <x:v>1</x:v>
      </x:c>
      <x:c r="J13" t="str">
        <x:v>PROTECTED</x:v>
      </x:c>
      <x:c r="K13" t="n">
        <x:v>0</x:v>
      </x:c>
      <x:c r="L13" t="n">
        <x:v>0</x:v>
      </x:c>
      <x:c r="M13" t="str"/>
      <x:c r="N13" t="str">
        <x:f>IF(AND(G13&lt;&gt;"",H13="C1",I13&gt;=0),"PASS","FAIL")</x:f>
        <x:v>PASS</x:v>
      </x:c>
      <x:c r="O13" t="str">
        <x:f>IF(K13=0,"OPEN",IF(AND(L13=1,M13=J13),"PASS","FAIL"))</x:f>
        <x:v>OPEN</x:v>
      </x:c>
    </x:row>
    <x:row r="14">
      <x:c r="B14" t="str">
        <x:v>PR-A-B-04-C</x:v>
      </x:c>
      <x:c r="C14" t="str">
        <x:v>PR-A-B-04</x:v>
      </x:c>
      <x:c r="D14" t="str">
        <x:v>clean control</x:v>
      </x:c>
      <x:c r="E14" t="str">
        <x:v>A</x:v>
      </x:c>
      <x:c r="F14" t="str">
        <x:v>PTC-B</x:v>
      </x:c>
      <x:c r="G14" t="str">
        <x:v>segregated drainage or knockout</x:v>
      </x:c>
      <x:c r="H14" t="str">
        <x:v>C1</x:v>
      </x:c>
      <x:c r="I14" s="21" t="n">
        <x:v>0.05</x:v>
      </x:c>
      <x:c r="J14" t="str">
        <x:v>PROTECTED</x:v>
      </x:c>
      <x:c r="K14" t="n">
        <x:v>0</x:v>
      </x:c>
      <x:c r="L14" t="n">
        <x:v>0</x:v>
      </x:c>
      <x:c r="M14" t="str"/>
      <x:c r="N14" t="str">
        <x:f>IF(AND(G14&lt;&gt;"",H14="C1",I14&gt;=0),"PASS","FAIL")</x:f>
        <x:v>PASS</x:v>
      </x:c>
      <x:c r="O14" t="str">
        <x:f>IF(K14=0,"OPEN",IF(AND(L14=1,M14=J14),"PASS","FAIL"))</x:f>
        <x:v>OPEN</x:v>
      </x:c>
    </x:row>
    <x:row r="15">
      <x:c r="B15" t="str">
        <x:v>PR-A-B-05-X</x:v>
      </x:c>
      <x:c r="C15" t="str">
        <x:v>PR-A-B-05</x:v>
      </x:c>
      <x:c r="D15" t="str">
        <x:v>challenge</x:v>
      </x:c>
      <x:c r="E15" t="str">
        <x:v>A</x:v>
      </x:c>
      <x:c r="F15" t="str">
        <x:v>PTC-B</x:v>
      </x:c>
      <x:c r="G15" t="str">
        <x:v>thermal escalation barrier</x:v>
      </x:c>
      <x:c r="H15" t="str">
        <x:v>C1</x:v>
      </x:c>
      <x:c r="I15" s="21" t="n">
        <x:v>1</x:v>
      </x:c>
      <x:c r="J15" t="str">
        <x:v>PROTECTED</x:v>
      </x:c>
      <x:c r="K15" t="n">
        <x:v>0</x:v>
      </x:c>
      <x:c r="L15" t="n">
        <x:v>0</x:v>
      </x:c>
      <x:c r="M15" t="str"/>
      <x:c r="N15" t="str">
        <x:f>IF(AND(G15&lt;&gt;"",H15="C1",I15&gt;=0),"PASS","FAIL")</x:f>
        <x:v>PASS</x:v>
      </x:c>
      <x:c r="O15" t="str">
        <x:f>IF(K15=0,"OPEN",IF(AND(L15=1,M15=J15),"PASS","FAIL"))</x:f>
        <x:v>OPEN</x:v>
      </x:c>
    </x:row>
    <x:row r="16">
      <x:c r="B16" t="str">
        <x:v>PR-A-B-05-C</x:v>
      </x:c>
      <x:c r="C16" t="str">
        <x:v>PR-A-B-05</x:v>
      </x:c>
      <x:c r="D16" t="str">
        <x:v>clean control</x:v>
      </x:c>
      <x:c r="E16" t="str">
        <x:v>A</x:v>
      </x:c>
      <x:c r="F16" t="str">
        <x:v>PTC-B</x:v>
      </x:c>
      <x:c r="G16" t="str">
        <x:v>thermal escalation barrier</x:v>
      </x:c>
      <x:c r="H16" t="str">
        <x:v>C1</x:v>
      </x:c>
      <x:c r="I16" s="21" t="n">
        <x:v>0.05</x:v>
      </x:c>
      <x:c r="J16" t="str">
        <x:v>PROTECTED</x:v>
      </x:c>
      <x:c r="K16" t="n">
        <x:v>0</x:v>
      </x:c>
      <x:c r="L16" t="n">
        <x:v>0</x:v>
      </x:c>
      <x:c r="M16" t="str"/>
      <x:c r="N16" t="str">
        <x:f>IF(AND(G16&lt;&gt;"",H16="C1",I16&gt;=0),"PASS","FAIL")</x:f>
        <x:v>PASS</x:v>
      </x:c>
      <x:c r="O16" t="str">
        <x:f>IF(K16=0,"OPEN",IF(AND(L16=1,M16=J16),"PASS","FAIL"))</x:f>
        <x:v>OPEN</x:v>
      </x:c>
    </x:row>
    <x:row r="17">
      <x:c r="B17" t="str">
        <x:v>PR-A-B-06-X</x:v>
      </x:c>
      <x:c r="C17" t="str">
        <x:v>PR-A-B-06</x:v>
      </x:c>
      <x:c r="D17" t="str">
        <x:v>challenge</x:v>
      </x:c>
      <x:c r="E17" t="str">
        <x:v>A</x:v>
      </x:c>
      <x:c r="F17" t="str">
        <x:v>PTC-B</x:v>
      </x:c>
      <x:c r="G17" t="str">
        <x:v>fragment shadow and support</x:v>
      </x:c>
      <x:c r="H17" t="str">
        <x:v>C1</x:v>
      </x:c>
      <x:c r="I17" s="21" t="n">
        <x:v>1</x:v>
      </x:c>
      <x:c r="J17" t="str">
        <x:v>PROTECTED</x:v>
      </x:c>
      <x:c r="K17" t="n">
        <x:v>0</x:v>
      </x:c>
      <x:c r="L17" t="n">
        <x:v>0</x:v>
      </x:c>
      <x:c r="M17" t="str"/>
      <x:c r="N17" t="str">
        <x:f>IF(AND(G17&lt;&gt;"",H17="C1",I17&gt;=0),"PASS","FAIL")</x:f>
        <x:v>PASS</x:v>
      </x:c>
      <x:c r="O17" t="str">
        <x:f>IF(K17=0,"OPEN",IF(AND(L17=1,M17=J17),"PASS","FAIL"))</x:f>
        <x:v>OPEN</x:v>
      </x:c>
    </x:row>
    <x:row r="18">
      <x:c r="B18" t="str">
        <x:v>PR-A-B-06-C</x:v>
      </x:c>
      <x:c r="C18" t="str">
        <x:v>PR-A-B-06</x:v>
      </x:c>
      <x:c r="D18" t="str">
        <x:v>clean control</x:v>
      </x:c>
      <x:c r="E18" t="str">
        <x:v>A</x:v>
      </x:c>
      <x:c r="F18" t="str">
        <x:v>PTC-B</x:v>
      </x:c>
      <x:c r="G18" t="str">
        <x:v>fragment shadow and support</x:v>
      </x:c>
      <x:c r="H18" t="str">
        <x:v>C1</x:v>
      </x:c>
      <x:c r="I18" s="21" t="n">
        <x:v>0.05</x:v>
      </x:c>
      <x:c r="J18" t="str">
        <x:v>PROTECTED</x:v>
      </x:c>
      <x:c r="K18" t="n">
        <x:v>0</x:v>
      </x:c>
      <x:c r="L18" t="n">
        <x:v>0</x:v>
      </x:c>
      <x:c r="M18" t="str"/>
      <x:c r="N18" t="str">
        <x:f>IF(AND(G18&lt;&gt;"",H18="C1",I18&gt;=0),"PASS","FAIL")</x:f>
        <x:v>PASS</x:v>
      </x:c>
      <x:c r="O18" t="str">
        <x:f>IF(K18=0,"OPEN",IF(AND(L18=1,M18=J18),"PASS","FAIL"))</x:f>
        <x:v>OPEN</x:v>
      </x:c>
    </x:row>
    <x:row r="19">
      <x:c r="B19" t="str">
        <x:v>PR-A-C-01-X</x:v>
      </x:c>
      <x:c r="C19" t="str">
        <x:v>PR-A-C-01</x:v>
      </x:c>
      <x:c r="D19" t="str">
        <x:v>challenge</x:v>
      </x:c>
      <x:c r="E19" t="str">
        <x:v>A</x:v>
      </x:c>
      <x:c r="F19" t="str">
        <x:v>PTC-C</x:v>
      </x:c>
      <x:c r="G19" t="str">
        <x:v>independent source boundary</x:v>
      </x:c>
      <x:c r="H19" t="str">
        <x:v>C1</x:v>
      </x:c>
      <x:c r="I19" s="21" t="n">
        <x:v>1</x:v>
      </x:c>
      <x:c r="J19" t="str">
        <x:v>PROTECTED</x:v>
      </x:c>
      <x:c r="K19" t="n">
        <x:v>0</x:v>
      </x:c>
      <x:c r="L19" t="n">
        <x:v>0</x:v>
      </x:c>
      <x:c r="M19" t="str"/>
      <x:c r="N19" t="str">
        <x:f>IF(AND(G19&lt;&gt;"",H19="C1",I19&gt;=0),"PASS","FAIL")</x:f>
        <x:v>PASS</x:v>
      </x:c>
      <x:c r="O19" t="str">
        <x:f>IF(K19=0,"OPEN",IF(AND(L19=1,M19=J19),"PASS","FAIL"))</x:f>
        <x:v>OPEN</x:v>
      </x:c>
    </x:row>
    <x:row r="20">
      <x:c r="B20" t="str">
        <x:v>PR-A-C-01-C</x:v>
      </x:c>
      <x:c r="C20" t="str">
        <x:v>PR-A-C-01</x:v>
      </x:c>
      <x:c r="D20" t="str">
        <x:v>clean control</x:v>
      </x:c>
      <x:c r="E20" t="str">
        <x:v>A</x:v>
      </x:c>
      <x:c r="F20" t="str">
        <x:v>PTC-C</x:v>
      </x:c>
      <x:c r="G20" t="str">
        <x:v>independent source boundary</x:v>
      </x:c>
      <x:c r="H20" t="str">
        <x:v>C1</x:v>
      </x:c>
      <x:c r="I20" s="21" t="n">
        <x:v>0.05</x:v>
      </x:c>
      <x:c r="J20" t="str">
        <x:v>PROTECTED</x:v>
      </x:c>
      <x:c r="K20" t="n">
        <x:v>0</x:v>
      </x:c>
      <x:c r="L20" t="n">
        <x:v>0</x:v>
      </x:c>
      <x:c r="M20" t="str"/>
      <x:c r="N20" t="str">
        <x:f>IF(AND(G20&lt;&gt;"",H20="C1",I20&gt;=0),"PASS","FAIL")</x:f>
        <x:v>PASS</x:v>
      </x:c>
      <x:c r="O20" t="str">
        <x:f>IF(K20=0,"OPEN",IF(AND(L20=1,M20=J20),"PASS","FAIL"))</x:f>
        <x:v>OPEN</x:v>
      </x:c>
    </x:row>
    <x:row r="21">
      <x:c r="B21" t="str">
        <x:v>PR-A-C-02-X</x:v>
      </x:c>
      <x:c r="C21" t="str">
        <x:v>PR-A-C-02</x:v>
      </x:c>
      <x:c r="D21" t="str">
        <x:v>challenge</x:v>
      </x:c>
      <x:c r="E21" t="str">
        <x:v>A</x:v>
      </x:c>
      <x:c r="F21" t="str">
        <x:v>PTC-C</x:v>
      </x:c>
      <x:c r="G21" t="str">
        <x:v>no common fuel manifold</x:v>
      </x:c>
      <x:c r="H21" t="str">
        <x:v>C1</x:v>
      </x:c>
      <x:c r="I21" s="21" t="n">
        <x:v>1</x:v>
      </x:c>
      <x:c r="J21" t="str">
        <x:v>PROTECTED</x:v>
      </x:c>
      <x:c r="K21" t="n">
        <x:v>0</x:v>
      </x:c>
      <x:c r="L21" t="n">
        <x:v>0</x:v>
      </x:c>
      <x:c r="M21" t="str"/>
      <x:c r="N21" t="str">
        <x:f>IF(AND(G21&lt;&gt;"",H21="C1",I21&gt;=0),"PASS","FAIL")</x:f>
        <x:v>PASS</x:v>
      </x:c>
      <x:c r="O21" t="str">
        <x:f>IF(K21=0,"OPEN",IF(AND(L21=1,M21=J21),"PASS","FAIL"))</x:f>
        <x:v>OPEN</x:v>
      </x:c>
    </x:row>
    <x:row r="22">
      <x:c r="B22" t="str">
        <x:v>PR-A-C-02-C</x:v>
      </x:c>
      <x:c r="C22" t="str">
        <x:v>PR-A-C-02</x:v>
      </x:c>
      <x:c r="D22" t="str">
        <x:v>clean control</x:v>
      </x:c>
      <x:c r="E22" t="str">
        <x:v>A</x:v>
      </x:c>
      <x:c r="F22" t="str">
        <x:v>PTC-C</x:v>
      </x:c>
      <x:c r="G22" t="str">
        <x:v>no common fuel manifold</x:v>
      </x:c>
      <x:c r="H22" t="str">
        <x:v>C1</x:v>
      </x:c>
      <x:c r="I22" s="21" t="n">
        <x:v>0.05</x:v>
      </x:c>
      <x:c r="J22" t="str">
        <x:v>PROTECTED</x:v>
      </x:c>
      <x:c r="K22" t="n">
        <x:v>0</x:v>
      </x:c>
      <x:c r="L22" t="n">
        <x:v>0</x:v>
      </x:c>
      <x:c r="M22" t="str"/>
      <x:c r="N22" t="str">
        <x:f>IF(AND(G22&lt;&gt;"",H22="C1",I22&gt;=0),"PASS","FAIL")</x:f>
        <x:v>PASS</x:v>
      </x:c>
      <x:c r="O22" t="str">
        <x:f>IF(K22=0,"OPEN",IF(AND(L22=1,M22=J22),"PASS","FAIL"))</x:f>
        <x:v>OPEN</x:v>
      </x:c>
    </x:row>
    <x:row r="23">
      <x:c r="B23" t="str">
        <x:v>PR-A-C-03-X</x:v>
      </x:c>
      <x:c r="C23" t="str">
        <x:v>PR-A-C-03</x:v>
      </x:c>
      <x:c r="D23" t="str">
        <x:v>challenge</x:v>
      </x:c>
      <x:c r="E23" t="str">
        <x:v>A</x:v>
      </x:c>
      <x:c r="F23" t="str">
        <x:v>PTC-C</x:v>
      </x:c>
      <x:c r="G23" t="str">
        <x:v>directional relief</x:v>
      </x:c>
      <x:c r="H23" t="str">
        <x:v>C1</x:v>
      </x:c>
      <x:c r="I23" s="21" t="n">
        <x:v>1</x:v>
      </x:c>
      <x:c r="J23" t="str">
        <x:v>PROTECTED</x:v>
      </x:c>
      <x:c r="K23" t="n">
        <x:v>0</x:v>
      </x:c>
      <x:c r="L23" t="n">
        <x:v>0</x:v>
      </x:c>
      <x:c r="M23" t="str"/>
      <x:c r="N23" t="str">
        <x:f>IF(AND(G23&lt;&gt;"",H23="C1",I23&gt;=0),"PASS","FAIL")</x:f>
        <x:v>PASS</x:v>
      </x:c>
      <x:c r="O23" t="str">
        <x:f>IF(K23=0,"OPEN",IF(AND(L23=1,M23=J23),"PASS","FAIL"))</x:f>
        <x:v>OPEN</x:v>
      </x:c>
    </x:row>
    <x:row r="24">
      <x:c r="B24" t="str">
        <x:v>PR-A-C-03-C</x:v>
      </x:c>
      <x:c r="C24" t="str">
        <x:v>PR-A-C-03</x:v>
      </x:c>
      <x:c r="D24" t="str">
        <x:v>clean control</x:v>
      </x:c>
      <x:c r="E24" t="str">
        <x:v>A</x:v>
      </x:c>
      <x:c r="F24" t="str">
        <x:v>PTC-C</x:v>
      </x:c>
      <x:c r="G24" t="str">
        <x:v>directional relief</x:v>
      </x:c>
      <x:c r="H24" t="str">
        <x:v>C1</x:v>
      </x:c>
      <x:c r="I24" s="21" t="n">
        <x:v>0.05</x:v>
      </x:c>
      <x:c r="J24" t="str">
        <x:v>PROTECTED</x:v>
      </x:c>
      <x:c r="K24" t="n">
        <x:v>0</x:v>
      </x:c>
      <x:c r="L24" t="n">
        <x:v>0</x:v>
      </x:c>
      <x:c r="M24" t="str"/>
      <x:c r="N24" t="str">
        <x:f>IF(AND(G24&lt;&gt;"",H24="C1",I24&gt;=0),"PASS","FAIL")</x:f>
        <x:v>PASS</x:v>
      </x:c>
      <x:c r="O24" t="str">
        <x:f>IF(K24=0,"OPEN",IF(AND(L24=1,M24=J24),"PASS","FAIL"))</x:f>
        <x:v>OPEN</x:v>
      </x:c>
    </x:row>
    <x:row r="25">
      <x:c r="B25" t="str">
        <x:v>PR-A-C-04-X</x:v>
      </x:c>
      <x:c r="C25" t="str">
        <x:v>PR-A-C-04</x:v>
      </x:c>
      <x:c r="D25" t="str">
        <x:v>challenge</x:v>
      </x:c>
      <x:c r="E25" t="str">
        <x:v>A</x:v>
      </x:c>
      <x:c r="F25" t="str">
        <x:v>PTC-C</x:v>
      </x:c>
      <x:c r="G25" t="str">
        <x:v>segregated drainage or knockout</x:v>
      </x:c>
      <x:c r="H25" t="str">
        <x:v>C1</x:v>
      </x:c>
      <x:c r="I25" s="21" t="n">
        <x:v>1</x:v>
      </x:c>
      <x:c r="J25" t="str">
        <x:v>PROTECTED</x:v>
      </x:c>
      <x:c r="K25" t="n">
        <x:v>0</x:v>
      </x:c>
      <x:c r="L25" t="n">
        <x:v>0</x:v>
      </x:c>
      <x:c r="M25" t="str"/>
      <x:c r="N25" t="str">
        <x:f>IF(AND(G25&lt;&gt;"",H25="C1",I25&gt;=0),"PASS","FAIL")</x:f>
        <x:v>PASS</x:v>
      </x:c>
      <x:c r="O25" t="str">
        <x:f>IF(K25=0,"OPEN",IF(AND(L25=1,M25=J25),"PASS","FAIL"))</x:f>
        <x:v>OPEN</x:v>
      </x:c>
    </x:row>
    <x:row r="26">
      <x:c r="B26" t="str">
        <x:v>PR-A-C-04-C</x:v>
      </x:c>
      <x:c r="C26" t="str">
        <x:v>PR-A-C-04</x:v>
      </x:c>
      <x:c r="D26" t="str">
        <x:v>clean control</x:v>
      </x:c>
      <x:c r="E26" t="str">
        <x:v>A</x:v>
      </x:c>
      <x:c r="F26" t="str">
        <x:v>PTC-C</x:v>
      </x:c>
      <x:c r="G26" t="str">
        <x:v>segregated drainage or knockout</x:v>
      </x:c>
      <x:c r="H26" t="str">
        <x:v>C1</x:v>
      </x:c>
      <x:c r="I26" s="21" t="n">
        <x:v>0.05</x:v>
      </x:c>
      <x:c r="J26" t="str">
        <x:v>PROTECTED</x:v>
      </x:c>
      <x:c r="K26" t="n">
        <x:v>0</x:v>
      </x:c>
      <x:c r="L26" t="n">
        <x:v>0</x:v>
      </x:c>
      <x:c r="M26" t="str"/>
      <x:c r="N26" t="str">
        <x:f>IF(AND(G26&lt;&gt;"",H26="C1",I26&gt;=0),"PASS","FAIL")</x:f>
        <x:v>PASS</x:v>
      </x:c>
      <x:c r="O26" t="str">
        <x:f>IF(K26=0,"OPEN",IF(AND(L26=1,M26=J26),"PASS","FAIL"))</x:f>
        <x:v>OPEN</x:v>
      </x:c>
    </x:row>
    <x:row r="27">
      <x:c r="B27" t="str">
        <x:v>PR-A-C-05-X</x:v>
      </x:c>
      <x:c r="C27" t="str">
        <x:v>PR-A-C-05</x:v>
      </x:c>
      <x:c r="D27" t="str">
        <x:v>challenge</x:v>
      </x:c>
      <x:c r="E27" t="str">
        <x:v>A</x:v>
      </x:c>
      <x:c r="F27" t="str">
        <x:v>PTC-C</x:v>
      </x:c>
      <x:c r="G27" t="str">
        <x:v>thermal escalation barrier</x:v>
      </x:c>
      <x:c r="H27" t="str">
        <x:v>C1</x:v>
      </x:c>
      <x:c r="I27" s="21" t="n">
        <x:v>1</x:v>
      </x:c>
      <x:c r="J27" t="str">
        <x:v>PROTECTED</x:v>
      </x:c>
      <x:c r="K27" t="n">
        <x:v>0</x:v>
      </x:c>
      <x:c r="L27" t="n">
        <x:v>0</x:v>
      </x:c>
      <x:c r="M27" t="str"/>
      <x:c r="N27" t="str">
        <x:f>IF(AND(G27&lt;&gt;"",H27="C1",I27&gt;=0),"PASS","FAIL")</x:f>
        <x:v>PASS</x:v>
      </x:c>
      <x:c r="O27" t="str">
        <x:f>IF(K27=0,"OPEN",IF(AND(L27=1,M27=J27),"PASS","FAIL"))</x:f>
        <x:v>OPEN</x:v>
      </x:c>
    </x:row>
    <x:row r="28">
      <x:c r="B28" t="str">
        <x:v>PR-A-C-05-C</x:v>
      </x:c>
      <x:c r="C28" t="str">
        <x:v>PR-A-C-05</x:v>
      </x:c>
      <x:c r="D28" t="str">
        <x:v>clean control</x:v>
      </x:c>
      <x:c r="E28" t="str">
        <x:v>A</x:v>
      </x:c>
      <x:c r="F28" t="str">
        <x:v>PTC-C</x:v>
      </x:c>
      <x:c r="G28" t="str">
        <x:v>thermal escalation barrier</x:v>
      </x:c>
      <x:c r="H28" t="str">
        <x:v>C1</x:v>
      </x:c>
      <x:c r="I28" s="21" t="n">
        <x:v>0.05</x:v>
      </x:c>
      <x:c r="J28" t="str">
        <x:v>PROTECTED</x:v>
      </x:c>
      <x:c r="K28" t="n">
        <x:v>0</x:v>
      </x:c>
      <x:c r="L28" t="n">
        <x:v>0</x:v>
      </x:c>
      <x:c r="M28" t="str"/>
      <x:c r="N28" t="str">
        <x:f>IF(AND(G28&lt;&gt;"",H28="C1",I28&gt;=0),"PASS","FAIL")</x:f>
        <x:v>PASS</x:v>
      </x:c>
      <x:c r="O28" t="str">
        <x:f>IF(K28=0,"OPEN",IF(AND(L28=1,M28=J28),"PASS","FAIL"))</x:f>
        <x:v>OPEN</x:v>
      </x:c>
    </x:row>
    <x:row r="29">
      <x:c r="B29" t="str">
        <x:v>PR-A-C-06-X</x:v>
      </x:c>
      <x:c r="C29" t="str">
        <x:v>PR-A-C-06</x:v>
      </x:c>
      <x:c r="D29" t="str">
        <x:v>challenge</x:v>
      </x:c>
      <x:c r="E29" t="str">
        <x:v>A</x:v>
      </x:c>
      <x:c r="F29" t="str">
        <x:v>PTC-C</x:v>
      </x:c>
      <x:c r="G29" t="str">
        <x:v>fragment shadow and support</x:v>
      </x:c>
      <x:c r="H29" t="str">
        <x:v>C1</x:v>
      </x:c>
      <x:c r="I29" s="21" t="n">
        <x:v>1</x:v>
      </x:c>
      <x:c r="J29" t="str">
        <x:v>PROTECTED</x:v>
      </x:c>
      <x:c r="K29" t="n">
        <x:v>0</x:v>
      </x:c>
      <x:c r="L29" t="n">
        <x:v>0</x:v>
      </x:c>
      <x:c r="M29" t="str"/>
      <x:c r="N29" t="str">
        <x:f>IF(AND(G29&lt;&gt;"",H29="C1",I29&gt;=0),"PASS","FAIL")</x:f>
        <x:v>PASS</x:v>
      </x:c>
      <x:c r="O29" t="str">
        <x:f>IF(K29=0,"OPEN",IF(AND(L29=1,M29=J29),"PASS","FAIL"))</x:f>
        <x:v>OPEN</x:v>
      </x:c>
    </x:row>
    <x:row r="30">
      <x:c r="B30" t="str">
        <x:v>PR-A-C-06-C</x:v>
      </x:c>
      <x:c r="C30" t="str">
        <x:v>PR-A-C-06</x:v>
      </x:c>
      <x:c r="D30" t="str">
        <x:v>clean control</x:v>
      </x:c>
      <x:c r="E30" t="str">
        <x:v>A</x:v>
      </x:c>
      <x:c r="F30" t="str">
        <x:v>PTC-C</x:v>
      </x:c>
      <x:c r="G30" t="str">
        <x:v>fragment shadow and support</x:v>
      </x:c>
      <x:c r="H30" t="str">
        <x:v>C1</x:v>
      </x:c>
      <x:c r="I30" s="21" t="n">
        <x:v>0.05</x:v>
      </x:c>
      <x:c r="J30" t="str">
        <x:v>PROTECTED</x:v>
      </x:c>
      <x:c r="K30" t="n">
        <x:v>0</x:v>
      </x:c>
      <x:c r="L30" t="n">
        <x:v>0</x:v>
      </x:c>
      <x:c r="M30" t="str"/>
      <x:c r="N30" t="str">
        <x:f>IF(AND(G30&lt;&gt;"",H30="C1",I30&gt;=0),"PASS","FAIL")</x:f>
        <x:v>PASS</x:v>
      </x:c>
      <x:c r="O30" t="str">
        <x:f>IF(K30=0,"OPEN",IF(AND(L30=1,M30=J30),"PASS","FAIL"))</x:f>
        <x:v>OPEN</x:v>
      </x:c>
    </x:row>
    <x:row r="31">
      <x:c r="B31" t="str">
        <x:v>PR-B-B-01-X</x:v>
      </x:c>
      <x:c r="C31" t="str">
        <x:v>PR-B-B-01</x:v>
      </x:c>
      <x:c r="D31" t="str">
        <x:v>challenge</x:v>
      </x:c>
      <x:c r="E31" t="str">
        <x:v>B</x:v>
      </x:c>
      <x:c r="F31" t="str">
        <x:v>PTC-B</x:v>
      </x:c>
      <x:c r="G31" t="str">
        <x:v>independent source boundary</x:v>
      </x:c>
      <x:c r="H31" t="str">
        <x:v>C1</x:v>
      </x:c>
      <x:c r="I31" s="21" t="n">
        <x:v>1</x:v>
      </x:c>
      <x:c r="J31" t="str">
        <x:v>PROTECTED</x:v>
      </x:c>
      <x:c r="K31" t="n">
        <x:v>0</x:v>
      </x:c>
      <x:c r="L31" t="n">
        <x:v>0</x:v>
      </x:c>
      <x:c r="M31" t="str"/>
      <x:c r="N31" t="str">
        <x:f>IF(AND(G31&lt;&gt;"",H31="C1",I31&gt;=0),"PASS","FAIL")</x:f>
        <x:v>PASS</x:v>
      </x:c>
      <x:c r="O31" t="str">
        <x:f>IF(K31=0,"OPEN",IF(AND(L31=1,M31=J31),"PASS","FAIL"))</x:f>
        <x:v>OPEN</x:v>
      </x:c>
    </x:row>
    <x:row r="32">
      <x:c r="B32" t="str">
        <x:v>PR-B-B-01-C</x:v>
      </x:c>
      <x:c r="C32" t="str">
        <x:v>PR-B-B-01</x:v>
      </x:c>
      <x:c r="D32" t="str">
        <x:v>clean control</x:v>
      </x:c>
      <x:c r="E32" t="str">
        <x:v>B</x:v>
      </x:c>
      <x:c r="F32" t="str">
        <x:v>PTC-B</x:v>
      </x:c>
      <x:c r="G32" t="str">
        <x:v>independent source boundary</x:v>
      </x:c>
      <x:c r="H32" t="str">
        <x:v>C1</x:v>
      </x:c>
      <x:c r="I32" s="21" t="n">
        <x:v>0.05</x:v>
      </x:c>
      <x:c r="J32" t="str">
        <x:v>PROTECTED</x:v>
      </x:c>
      <x:c r="K32" t="n">
        <x:v>0</x:v>
      </x:c>
      <x:c r="L32" t="n">
        <x:v>0</x:v>
      </x:c>
      <x:c r="M32" t="str"/>
      <x:c r="N32" t="str">
        <x:f>IF(AND(G32&lt;&gt;"",H32="C1",I32&gt;=0),"PASS","FAIL")</x:f>
        <x:v>PASS</x:v>
      </x:c>
      <x:c r="O32" t="str">
        <x:f>IF(K32=0,"OPEN",IF(AND(L32=1,M32=J32),"PASS","FAIL"))</x:f>
        <x:v>OPEN</x:v>
      </x:c>
    </x:row>
    <x:row r="33">
      <x:c r="B33" t="str">
        <x:v>PR-B-B-02-X</x:v>
      </x:c>
      <x:c r="C33" t="str">
        <x:v>PR-B-B-02</x:v>
      </x:c>
      <x:c r="D33" t="str">
        <x:v>challenge</x:v>
      </x:c>
      <x:c r="E33" t="str">
        <x:v>B</x:v>
      </x:c>
      <x:c r="F33" t="str">
        <x:v>PTC-B</x:v>
      </x:c>
      <x:c r="G33" t="str">
        <x:v>no common fuel manifold</x:v>
      </x:c>
      <x:c r="H33" t="str">
        <x:v>C1</x:v>
      </x:c>
      <x:c r="I33" s="21" t="n">
        <x:v>1</x:v>
      </x:c>
      <x:c r="J33" t="str">
        <x:v>PROTECTED</x:v>
      </x:c>
      <x:c r="K33" t="n">
        <x:v>0</x:v>
      </x:c>
      <x:c r="L33" t="n">
        <x:v>0</x:v>
      </x:c>
      <x:c r="M33" t="str"/>
      <x:c r="N33" t="str">
        <x:f>IF(AND(G33&lt;&gt;"",H33="C1",I33&gt;=0),"PASS","FAIL")</x:f>
        <x:v>PASS</x:v>
      </x:c>
      <x:c r="O33" t="str">
        <x:f>IF(K33=0,"OPEN",IF(AND(L33=1,M33=J33),"PASS","FAIL"))</x:f>
        <x:v>OPEN</x:v>
      </x:c>
    </x:row>
    <x:row r="34">
      <x:c r="B34" t="str">
        <x:v>PR-B-B-02-C</x:v>
      </x:c>
      <x:c r="C34" t="str">
        <x:v>PR-B-B-02</x:v>
      </x:c>
      <x:c r="D34" t="str">
        <x:v>clean control</x:v>
      </x:c>
      <x:c r="E34" t="str">
        <x:v>B</x:v>
      </x:c>
      <x:c r="F34" t="str">
        <x:v>PTC-B</x:v>
      </x:c>
      <x:c r="G34" t="str">
        <x:v>no common fuel manifold</x:v>
      </x:c>
      <x:c r="H34" t="str">
        <x:v>C1</x:v>
      </x:c>
      <x:c r="I34" s="21" t="n">
        <x:v>0.05</x:v>
      </x:c>
      <x:c r="J34" t="str">
        <x:v>PROTECTED</x:v>
      </x:c>
      <x:c r="K34" t="n">
        <x:v>0</x:v>
      </x:c>
      <x:c r="L34" t="n">
        <x:v>0</x:v>
      </x:c>
      <x:c r="M34" t="str"/>
      <x:c r="N34" t="str">
        <x:f>IF(AND(G34&lt;&gt;"",H34="C1",I34&gt;=0),"PASS","FAIL")</x:f>
        <x:v>PASS</x:v>
      </x:c>
      <x:c r="O34" t="str">
        <x:f>IF(K34=0,"OPEN",IF(AND(L34=1,M34=J34),"PASS","FAIL"))</x:f>
        <x:v>OPEN</x:v>
      </x:c>
    </x:row>
    <x:row r="35">
      <x:c r="B35" t="str">
        <x:v>PR-B-B-03-X</x:v>
      </x:c>
      <x:c r="C35" t="str">
        <x:v>PR-B-B-03</x:v>
      </x:c>
      <x:c r="D35" t="str">
        <x:v>challenge</x:v>
      </x:c>
      <x:c r="E35" t="str">
        <x:v>B</x:v>
      </x:c>
      <x:c r="F35" t="str">
        <x:v>PTC-B</x:v>
      </x:c>
      <x:c r="G35" t="str">
        <x:v>directional relief</x:v>
      </x:c>
      <x:c r="H35" t="str">
        <x:v>C1</x:v>
      </x:c>
      <x:c r="I35" s="21" t="n">
        <x:v>1</x:v>
      </x:c>
      <x:c r="J35" t="str">
        <x:v>PROTECTED</x:v>
      </x:c>
      <x:c r="K35" t="n">
        <x:v>0</x:v>
      </x:c>
      <x:c r="L35" t="n">
        <x:v>0</x:v>
      </x:c>
      <x:c r="M35" t="str"/>
      <x:c r="N35" t="str">
        <x:f>IF(AND(G35&lt;&gt;"",H35="C1",I35&gt;=0),"PASS","FAIL")</x:f>
        <x:v>PASS</x:v>
      </x:c>
      <x:c r="O35" t="str">
        <x:f>IF(K35=0,"OPEN",IF(AND(L35=1,M35=J35),"PASS","FAIL"))</x:f>
        <x:v>OPEN</x:v>
      </x:c>
    </x:row>
    <x:row r="36">
      <x:c r="B36" t="str">
        <x:v>PR-B-B-03-C</x:v>
      </x:c>
      <x:c r="C36" t="str">
        <x:v>PR-B-B-03</x:v>
      </x:c>
      <x:c r="D36" t="str">
        <x:v>clean control</x:v>
      </x:c>
      <x:c r="E36" t="str">
        <x:v>B</x:v>
      </x:c>
      <x:c r="F36" t="str">
        <x:v>PTC-B</x:v>
      </x:c>
      <x:c r="G36" t="str">
        <x:v>directional relief</x:v>
      </x:c>
      <x:c r="H36" t="str">
        <x:v>C1</x:v>
      </x:c>
      <x:c r="I36" s="21" t="n">
        <x:v>0.05</x:v>
      </x:c>
      <x:c r="J36" t="str">
        <x:v>PROTECTED</x:v>
      </x:c>
      <x:c r="K36" t="n">
        <x:v>0</x:v>
      </x:c>
      <x:c r="L36" t="n">
        <x:v>0</x:v>
      </x:c>
      <x:c r="M36" t="str"/>
      <x:c r="N36" t="str">
        <x:f>IF(AND(G36&lt;&gt;"",H36="C1",I36&gt;=0),"PASS","FAIL")</x:f>
        <x:v>PASS</x:v>
      </x:c>
      <x:c r="O36" t="str">
        <x:f>IF(K36=0,"OPEN",IF(AND(L36=1,M36=J36),"PASS","FAIL"))</x:f>
        <x:v>OPEN</x:v>
      </x:c>
    </x:row>
    <x:row r="37">
      <x:c r="B37" t="str">
        <x:v>PR-B-B-04-X</x:v>
      </x:c>
      <x:c r="C37" t="str">
        <x:v>PR-B-B-04</x:v>
      </x:c>
      <x:c r="D37" t="str">
        <x:v>challenge</x:v>
      </x:c>
      <x:c r="E37" t="str">
        <x:v>B</x:v>
      </x:c>
      <x:c r="F37" t="str">
        <x:v>PTC-B</x:v>
      </x:c>
      <x:c r="G37" t="str">
        <x:v>segregated drainage or knockout</x:v>
      </x:c>
      <x:c r="H37" t="str">
        <x:v>C1</x:v>
      </x:c>
      <x:c r="I37" s="21" t="n">
        <x:v>1</x:v>
      </x:c>
      <x:c r="J37" t="str">
        <x:v>PROTECTED</x:v>
      </x:c>
      <x:c r="K37" t="n">
        <x:v>0</x:v>
      </x:c>
      <x:c r="L37" t="n">
        <x:v>0</x:v>
      </x:c>
      <x:c r="M37" t="str"/>
      <x:c r="N37" t="str">
        <x:f>IF(AND(G37&lt;&gt;"",H37="C1",I37&gt;=0),"PASS","FAIL")</x:f>
        <x:v>PASS</x:v>
      </x:c>
      <x:c r="O37" t="str">
        <x:f>IF(K37=0,"OPEN",IF(AND(L37=1,M37=J37),"PASS","FAIL"))</x:f>
        <x:v>OPEN</x:v>
      </x:c>
    </x:row>
    <x:row r="38">
      <x:c r="B38" t="str">
        <x:v>PR-B-B-04-C</x:v>
      </x:c>
      <x:c r="C38" t="str">
        <x:v>PR-B-B-04</x:v>
      </x:c>
      <x:c r="D38" t="str">
        <x:v>clean control</x:v>
      </x:c>
      <x:c r="E38" t="str">
        <x:v>B</x:v>
      </x:c>
      <x:c r="F38" t="str">
        <x:v>PTC-B</x:v>
      </x:c>
      <x:c r="G38" t="str">
        <x:v>segregated drainage or knockout</x:v>
      </x:c>
      <x:c r="H38" t="str">
        <x:v>C1</x:v>
      </x:c>
      <x:c r="I38" s="21" t="n">
        <x:v>0.05</x:v>
      </x:c>
      <x:c r="J38" t="str">
        <x:v>PROTECTED</x:v>
      </x:c>
      <x:c r="K38" t="n">
        <x:v>0</x:v>
      </x:c>
      <x:c r="L38" t="n">
        <x:v>0</x:v>
      </x:c>
      <x:c r="M38" t="str"/>
      <x:c r="N38" t="str">
        <x:f>IF(AND(G38&lt;&gt;"",H38="C1",I38&gt;=0),"PASS","FAIL")</x:f>
        <x:v>PASS</x:v>
      </x:c>
      <x:c r="O38" t="str">
        <x:f>IF(K38=0,"OPEN",IF(AND(L38=1,M38=J38),"PASS","FAIL"))</x:f>
        <x:v>OPEN</x:v>
      </x:c>
    </x:row>
    <x:row r="39">
      <x:c r="B39" t="str">
        <x:v>PR-B-B-05-X</x:v>
      </x:c>
      <x:c r="C39" t="str">
        <x:v>PR-B-B-05</x:v>
      </x:c>
      <x:c r="D39" t="str">
        <x:v>challenge</x:v>
      </x:c>
      <x:c r="E39" t="str">
        <x:v>B</x:v>
      </x:c>
      <x:c r="F39" t="str">
        <x:v>PTC-B</x:v>
      </x:c>
      <x:c r="G39" t="str">
        <x:v>thermal escalation barrier</x:v>
      </x:c>
      <x:c r="H39" t="str">
        <x:v>C1</x:v>
      </x:c>
      <x:c r="I39" s="21" t="n">
        <x:v>1</x:v>
      </x:c>
      <x:c r="J39" t="str">
        <x:v>PROTECTED</x:v>
      </x:c>
      <x:c r="K39" t="n">
        <x:v>0</x:v>
      </x:c>
      <x:c r="L39" t="n">
        <x:v>0</x:v>
      </x:c>
      <x:c r="M39" t="str"/>
      <x:c r="N39" t="str">
        <x:f>IF(AND(G39&lt;&gt;"",H39="C1",I39&gt;=0),"PASS","FAIL")</x:f>
        <x:v>PASS</x:v>
      </x:c>
      <x:c r="O39" t="str">
        <x:f>IF(K39=0,"OPEN",IF(AND(L39=1,M39=J39),"PASS","FAIL"))</x:f>
        <x:v>OPEN</x:v>
      </x:c>
    </x:row>
    <x:row r="40">
      <x:c r="B40" t="str">
        <x:v>PR-B-B-05-C</x:v>
      </x:c>
      <x:c r="C40" t="str">
        <x:v>PR-B-B-05</x:v>
      </x:c>
      <x:c r="D40" t="str">
        <x:v>clean control</x:v>
      </x:c>
      <x:c r="E40" t="str">
        <x:v>B</x:v>
      </x:c>
      <x:c r="F40" t="str">
        <x:v>PTC-B</x:v>
      </x:c>
      <x:c r="G40" t="str">
        <x:v>thermal escalation barrier</x:v>
      </x:c>
      <x:c r="H40" t="str">
        <x:v>C1</x:v>
      </x:c>
      <x:c r="I40" s="21" t="n">
        <x:v>0.05</x:v>
      </x:c>
      <x:c r="J40" t="str">
        <x:v>PROTECTED</x:v>
      </x:c>
      <x:c r="K40" t="n">
        <x:v>0</x:v>
      </x:c>
      <x:c r="L40" t="n">
        <x:v>0</x:v>
      </x:c>
      <x:c r="M40" t="str"/>
      <x:c r="N40" t="str">
        <x:f>IF(AND(G40&lt;&gt;"",H40="C1",I40&gt;=0),"PASS","FAIL")</x:f>
        <x:v>PASS</x:v>
      </x:c>
      <x:c r="O40" t="str">
        <x:f>IF(K40=0,"OPEN",IF(AND(L40=1,M40=J40),"PASS","FAIL"))</x:f>
        <x:v>OPEN</x:v>
      </x:c>
    </x:row>
    <x:row r="41">
      <x:c r="B41" t="str">
        <x:v>PR-B-B-06-X</x:v>
      </x:c>
      <x:c r="C41" t="str">
        <x:v>PR-B-B-06</x:v>
      </x:c>
      <x:c r="D41" t="str">
        <x:v>challenge</x:v>
      </x:c>
      <x:c r="E41" t="str">
        <x:v>B</x:v>
      </x:c>
      <x:c r="F41" t="str">
        <x:v>PTC-B</x:v>
      </x:c>
      <x:c r="G41" t="str">
        <x:v>fragment shadow and support</x:v>
      </x:c>
      <x:c r="H41" t="str">
        <x:v>C1</x:v>
      </x:c>
      <x:c r="I41" s="21" t="n">
        <x:v>1</x:v>
      </x:c>
      <x:c r="J41" t="str">
        <x:v>PROTECTED</x:v>
      </x:c>
      <x:c r="K41" t="n">
        <x:v>0</x:v>
      </x:c>
      <x:c r="L41" t="n">
        <x:v>0</x:v>
      </x:c>
      <x:c r="M41" t="str"/>
      <x:c r="N41" t="str">
        <x:f>IF(AND(G41&lt;&gt;"",H41="C1",I41&gt;=0),"PASS","FAIL")</x:f>
        <x:v>PASS</x:v>
      </x:c>
      <x:c r="O41" t="str">
        <x:f>IF(K41=0,"OPEN",IF(AND(L41=1,M41=J41),"PASS","FAIL"))</x:f>
        <x:v>OPEN</x:v>
      </x:c>
    </x:row>
    <x:row r="42">
      <x:c r="B42" t="str">
        <x:v>PR-B-B-06-C</x:v>
      </x:c>
      <x:c r="C42" t="str">
        <x:v>PR-B-B-06</x:v>
      </x:c>
      <x:c r="D42" t="str">
        <x:v>clean control</x:v>
      </x:c>
      <x:c r="E42" t="str">
        <x:v>B</x:v>
      </x:c>
      <x:c r="F42" t="str">
        <x:v>PTC-B</x:v>
      </x:c>
      <x:c r="G42" t="str">
        <x:v>fragment shadow and support</x:v>
      </x:c>
      <x:c r="H42" t="str">
        <x:v>C1</x:v>
      </x:c>
      <x:c r="I42" s="21" t="n">
        <x:v>0.05</x:v>
      </x:c>
      <x:c r="J42" t="str">
        <x:v>PROTECTED</x:v>
      </x:c>
      <x:c r="K42" t="n">
        <x:v>0</x:v>
      </x:c>
      <x:c r="L42" t="n">
        <x:v>0</x:v>
      </x:c>
      <x:c r="M42" t="str"/>
      <x:c r="N42" t="str">
        <x:f>IF(AND(G42&lt;&gt;"",H42="C1",I42&gt;=0),"PASS","FAIL")</x:f>
        <x:v>PASS</x:v>
      </x:c>
      <x:c r="O42" t="str">
        <x:f>IF(K42=0,"OPEN",IF(AND(L42=1,M42=J42),"PASS","FAIL"))</x:f>
        <x:v>OPEN</x:v>
      </x:c>
    </x:row>
    <x:row r="43">
      <x:c r="B43" t="str">
        <x:v>PR-B-C-01-X</x:v>
      </x:c>
      <x:c r="C43" t="str">
        <x:v>PR-B-C-01</x:v>
      </x:c>
      <x:c r="D43" t="str">
        <x:v>challenge</x:v>
      </x:c>
      <x:c r="E43" t="str">
        <x:v>B</x:v>
      </x:c>
      <x:c r="F43" t="str">
        <x:v>PTC-C</x:v>
      </x:c>
      <x:c r="G43" t="str">
        <x:v>independent source boundary</x:v>
      </x:c>
      <x:c r="H43" t="str">
        <x:v>C1</x:v>
      </x:c>
      <x:c r="I43" s="21" t="n">
        <x:v>1</x:v>
      </x:c>
      <x:c r="J43" t="str">
        <x:v>PROTECTED</x:v>
      </x:c>
      <x:c r="K43" t="n">
        <x:v>0</x:v>
      </x:c>
      <x:c r="L43" t="n">
        <x:v>0</x:v>
      </x:c>
      <x:c r="M43" t="str"/>
      <x:c r="N43" t="str">
        <x:f>IF(AND(G43&lt;&gt;"",H43="C1",I43&gt;=0),"PASS","FAIL")</x:f>
        <x:v>PASS</x:v>
      </x:c>
      <x:c r="O43" t="str">
        <x:f>IF(K43=0,"OPEN",IF(AND(L43=1,M43=J43),"PASS","FAIL"))</x:f>
        <x:v>OPEN</x:v>
      </x:c>
    </x:row>
    <x:row r="44">
      <x:c r="B44" t="str">
        <x:v>PR-B-C-01-C</x:v>
      </x:c>
      <x:c r="C44" t="str">
        <x:v>PR-B-C-01</x:v>
      </x:c>
      <x:c r="D44" t="str">
        <x:v>clean control</x:v>
      </x:c>
      <x:c r="E44" t="str">
        <x:v>B</x:v>
      </x:c>
      <x:c r="F44" t="str">
        <x:v>PTC-C</x:v>
      </x:c>
      <x:c r="G44" t="str">
        <x:v>independent source boundary</x:v>
      </x:c>
      <x:c r="H44" t="str">
        <x:v>C1</x:v>
      </x:c>
      <x:c r="I44" s="21" t="n">
        <x:v>0.05</x:v>
      </x:c>
      <x:c r="J44" t="str">
        <x:v>PROTECTED</x:v>
      </x:c>
      <x:c r="K44" t="n">
        <x:v>0</x:v>
      </x:c>
      <x:c r="L44" t="n">
        <x:v>0</x:v>
      </x:c>
      <x:c r="M44" t="str"/>
      <x:c r="N44" t="str">
        <x:f>IF(AND(G44&lt;&gt;"",H44="C1",I44&gt;=0),"PASS","FAIL")</x:f>
        <x:v>PASS</x:v>
      </x:c>
      <x:c r="O44" t="str">
        <x:f>IF(K44=0,"OPEN",IF(AND(L44=1,M44=J44),"PASS","FAIL"))</x:f>
        <x:v>OPEN</x:v>
      </x:c>
    </x:row>
    <x:row r="45">
      <x:c r="B45" t="str">
        <x:v>PR-B-C-02-X</x:v>
      </x:c>
      <x:c r="C45" t="str">
        <x:v>PR-B-C-02</x:v>
      </x:c>
      <x:c r="D45" t="str">
        <x:v>challenge</x:v>
      </x:c>
      <x:c r="E45" t="str">
        <x:v>B</x:v>
      </x:c>
      <x:c r="F45" t="str">
        <x:v>PTC-C</x:v>
      </x:c>
      <x:c r="G45" t="str">
        <x:v>no common fuel manifold</x:v>
      </x:c>
      <x:c r="H45" t="str">
        <x:v>C1</x:v>
      </x:c>
      <x:c r="I45" s="21" t="n">
        <x:v>1</x:v>
      </x:c>
      <x:c r="J45" t="str">
        <x:v>PROTECTED</x:v>
      </x:c>
      <x:c r="K45" t="n">
        <x:v>0</x:v>
      </x:c>
      <x:c r="L45" t="n">
        <x:v>0</x:v>
      </x:c>
      <x:c r="M45" t="str"/>
      <x:c r="N45" t="str">
        <x:f>IF(AND(G45&lt;&gt;"",H45="C1",I45&gt;=0),"PASS","FAIL")</x:f>
        <x:v>PASS</x:v>
      </x:c>
      <x:c r="O45" t="str">
        <x:f>IF(K45=0,"OPEN",IF(AND(L45=1,M45=J45),"PASS","FAIL"))</x:f>
        <x:v>OPEN</x:v>
      </x:c>
    </x:row>
    <x:row r="46">
      <x:c r="B46" t="str">
        <x:v>PR-B-C-02-C</x:v>
      </x:c>
      <x:c r="C46" t="str">
        <x:v>PR-B-C-02</x:v>
      </x:c>
      <x:c r="D46" t="str">
        <x:v>clean control</x:v>
      </x:c>
      <x:c r="E46" t="str">
        <x:v>B</x:v>
      </x:c>
      <x:c r="F46" t="str">
        <x:v>PTC-C</x:v>
      </x:c>
      <x:c r="G46" t="str">
        <x:v>no common fuel manifold</x:v>
      </x:c>
      <x:c r="H46" t="str">
        <x:v>C1</x:v>
      </x:c>
      <x:c r="I46" s="21" t="n">
        <x:v>0.05</x:v>
      </x:c>
      <x:c r="J46" t="str">
        <x:v>PROTECTED</x:v>
      </x:c>
      <x:c r="K46" t="n">
        <x:v>0</x:v>
      </x:c>
      <x:c r="L46" t="n">
        <x:v>0</x:v>
      </x:c>
      <x:c r="M46" t="str"/>
      <x:c r="N46" t="str">
        <x:f>IF(AND(G46&lt;&gt;"",H46="C1",I46&gt;=0),"PASS","FAIL")</x:f>
        <x:v>PASS</x:v>
      </x:c>
      <x:c r="O46" t="str">
        <x:f>IF(K46=0,"OPEN",IF(AND(L46=1,M46=J46),"PASS","FAIL"))</x:f>
        <x:v>OPEN</x:v>
      </x:c>
    </x:row>
    <x:row r="47">
      <x:c r="B47" t="str">
        <x:v>PR-B-C-03-X</x:v>
      </x:c>
      <x:c r="C47" t="str">
        <x:v>PR-B-C-03</x:v>
      </x:c>
      <x:c r="D47" t="str">
        <x:v>challenge</x:v>
      </x:c>
      <x:c r="E47" t="str">
        <x:v>B</x:v>
      </x:c>
      <x:c r="F47" t="str">
        <x:v>PTC-C</x:v>
      </x:c>
      <x:c r="G47" t="str">
        <x:v>directional relief</x:v>
      </x:c>
      <x:c r="H47" t="str">
        <x:v>C1</x:v>
      </x:c>
      <x:c r="I47" s="21" t="n">
        <x:v>1</x:v>
      </x:c>
      <x:c r="J47" t="str">
        <x:v>PROTECTED</x:v>
      </x:c>
      <x:c r="K47" t="n">
        <x:v>0</x:v>
      </x:c>
      <x:c r="L47" t="n">
        <x:v>0</x:v>
      </x:c>
      <x:c r="M47" t="str"/>
      <x:c r="N47" t="str">
        <x:f>IF(AND(G47&lt;&gt;"",H47="C1",I47&gt;=0),"PASS","FAIL")</x:f>
        <x:v>PASS</x:v>
      </x:c>
      <x:c r="O47" t="str">
        <x:f>IF(K47=0,"OPEN",IF(AND(L47=1,M47=J47),"PASS","FAIL"))</x:f>
        <x:v>OPEN</x:v>
      </x:c>
    </x:row>
    <x:row r="48">
      <x:c r="B48" t="str">
        <x:v>PR-B-C-03-C</x:v>
      </x:c>
      <x:c r="C48" t="str">
        <x:v>PR-B-C-03</x:v>
      </x:c>
      <x:c r="D48" t="str">
        <x:v>clean control</x:v>
      </x:c>
      <x:c r="E48" t="str">
        <x:v>B</x:v>
      </x:c>
      <x:c r="F48" t="str">
        <x:v>PTC-C</x:v>
      </x:c>
      <x:c r="G48" t="str">
        <x:v>directional relief</x:v>
      </x:c>
      <x:c r="H48" t="str">
        <x:v>C1</x:v>
      </x:c>
      <x:c r="I48" s="21" t="n">
        <x:v>0.05</x:v>
      </x:c>
      <x:c r="J48" t="str">
        <x:v>PROTECTED</x:v>
      </x:c>
      <x:c r="K48" t="n">
        <x:v>0</x:v>
      </x:c>
      <x:c r="L48" t="n">
        <x:v>0</x:v>
      </x:c>
      <x:c r="M48" t="str"/>
      <x:c r="N48" t="str">
        <x:f>IF(AND(G48&lt;&gt;"",H48="C1",I48&gt;=0),"PASS","FAIL")</x:f>
        <x:v>PASS</x:v>
      </x:c>
      <x:c r="O48" t="str">
        <x:f>IF(K48=0,"OPEN",IF(AND(L48=1,M48=J48),"PASS","FAIL"))</x:f>
        <x:v>OPEN</x:v>
      </x:c>
    </x:row>
    <x:row r="49">
      <x:c r="B49" t="str">
        <x:v>PR-B-C-04-X</x:v>
      </x:c>
      <x:c r="C49" t="str">
        <x:v>PR-B-C-04</x:v>
      </x:c>
      <x:c r="D49" t="str">
        <x:v>challenge</x:v>
      </x:c>
      <x:c r="E49" t="str">
        <x:v>B</x:v>
      </x:c>
      <x:c r="F49" t="str">
        <x:v>PTC-C</x:v>
      </x:c>
      <x:c r="G49" t="str">
        <x:v>segregated drainage or knockout</x:v>
      </x:c>
      <x:c r="H49" t="str">
        <x:v>C1</x:v>
      </x:c>
      <x:c r="I49" s="21" t="n">
        <x:v>1</x:v>
      </x:c>
      <x:c r="J49" t="str">
        <x:v>PROTECTED</x:v>
      </x:c>
      <x:c r="K49" t="n">
        <x:v>0</x:v>
      </x:c>
      <x:c r="L49" t="n">
        <x:v>0</x:v>
      </x:c>
      <x:c r="M49" t="str"/>
      <x:c r="N49" t="str">
        <x:f>IF(AND(G49&lt;&gt;"",H49="C1",I49&gt;=0),"PASS","FAIL")</x:f>
        <x:v>PASS</x:v>
      </x:c>
      <x:c r="O49" t="str">
        <x:f>IF(K49=0,"OPEN",IF(AND(L49=1,M49=J49),"PASS","FAIL"))</x:f>
        <x:v>OPEN</x:v>
      </x:c>
    </x:row>
    <x:row r="50">
      <x:c r="B50" t="str">
        <x:v>PR-B-C-04-C</x:v>
      </x:c>
      <x:c r="C50" t="str">
        <x:v>PR-B-C-04</x:v>
      </x:c>
      <x:c r="D50" t="str">
        <x:v>clean control</x:v>
      </x:c>
      <x:c r="E50" t="str">
        <x:v>B</x:v>
      </x:c>
      <x:c r="F50" t="str">
        <x:v>PTC-C</x:v>
      </x:c>
      <x:c r="G50" t="str">
        <x:v>segregated drainage or knockout</x:v>
      </x:c>
      <x:c r="H50" t="str">
        <x:v>C1</x:v>
      </x:c>
      <x:c r="I50" s="21" t="n">
        <x:v>0.05</x:v>
      </x:c>
      <x:c r="J50" t="str">
        <x:v>PROTECTED</x:v>
      </x:c>
      <x:c r="K50" t="n">
        <x:v>0</x:v>
      </x:c>
      <x:c r="L50" t="n">
        <x:v>0</x:v>
      </x:c>
      <x:c r="M50" t="str"/>
      <x:c r="N50" t="str">
        <x:f>IF(AND(G50&lt;&gt;"",H50="C1",I50&gt;=0),"PASS","FAIL")</x:f>
        <x:v>PASS</x:v>
      </x:c>
      <x:c r="O50" t="str">
        <x:f>IF(K50=0,"OPEN",IF(AND(L50=1,M50=J50),"PASS","FAIL"))</x:f>
        <x:v>OPEN</x:v>
      </x:c>
    </x:row>
    <x:row r="51">
      <x:c r="B51" t="str">
        <x:v>PR-B-C-05-X</x:v>
      </x:c>
      <x:c r="C51" t="str">
        <x:v>PR-B-C-05</x:v>
      </x:c>
      <x:c r="D51" t="str">
        <x:v>challenge</x:v>
      </x:c>
      <x:c r="E51" t="str">
        <x:v>B</x:v>
      </x:c>
      <x:c r="F51" t="str">
        <x:v>PTC-C</x:v>
      </x:c>
      <x:c r="G51" t="str">
        <x:v>thermal escalation barrier</x:v>
      </x:c>
      <x:c r="H51" t="str">
        <x:v>C1</x:v>
      </x:c>
      <x:c r="I51" s="21" t="n">
        <x:v>1</x:v>
      </x:c>
      <x:c r="J51" t="str">
        <x:v>PROTECTED</x:v>
      </x:c>
      <x:c r="K51" t="n">
        <x:v>0</x:v>
      </x:c>
      <x:c r="L51" t="n">
        <x:v>0</x:v>
      </x:c>
      <x:c r="M51" t="str"/>
      <x:c r="N51" t="str">
        <x:f>IF(AND(G51&lt;&gt;"",H51="C1",I51&gt;=0),"PASS","FAIL")</x:f>
        <x:v>PASS</x:v>
      </x:c>
      <x:c r="O51" t="str">
        <x:f>IF(K51=0,"OPEN",IF(AND(L51=1,M51=J51),"PASS","FAIL"))</x:f>
        <x:v>OPEN</x:v>
      </x:c>
    </x:row>
    <x:row r="52">
      <x:c r="B52" t="str">
        <x:v>PR-B-C-05-C</x:v>
      </x:c>
      <x:c r="C52" t="str">
        <x:v>PR-B-C-05</x:v>
      </x:c>
      <x:c r="D52" t="str">
        <x:v>clean control</x:v>
      </x:c>
      <x:c r="E52" t="str">
        <x:v>B</x:v>
      </x:c>
      <x:c r="F52" t="str">
        <x:v>PTC-C</x:v>
      </x:c>
      <x:c r="G52" t="str">
        <x:v>thermal escalation barrier</x:v>
      </x:c>
      <x:c r="H52" t="str">
        <x:v>C1</x:v>
      </x:c>
      <x:c r="I52" s="21" t="n">
        <x:v>0.05</x:v>
      </x:c>
      <x:c r="J52" t="str">
        <x:v>PROTECTED</x:v>
      </x:c>
      <x:c r="K52" t="n">
        <x:v>0</x:v>
      </x:c>
      <x:c r="L52" t="n">
        <x:v>0</x:v>
      </x:c>
      <x:c r="M52" t="str"/>
      <x:c r="N52" t="str">
        <x:f>IF(AND(G52&lt;&gt;"",H52="C1",I52&gt;=0),"PASS","FAIL")</x:f>
        <x:v>PASS</x:v>
      </x:c>
      <x:c r="O52" t="str">
        <x:f>IF(K52=0,"OPEN",IF(AND(L52=1,M52=J52),"PASS","FAIL"))</x:f>
        <x:v>OPEN</x:v>
      </x:c>
    </x:row>
    <x:row r="53">
      <x:c r="B53" t="str">
        <x:v>PR-B-C-06-X</x:v>
      </x:c>
      <x:c r="C53" t="str">
        <x:v>PR-B-C-06</x:v>
      </x:c>
      <x:c r="D53" t="str">
        <x:v>challenge</x:v>
      </x:c>
      <x:c r="E53" t="str">
        <x:v>B</x:v>
      </x:c>
      <x:c r="F53" t="str">
        <x:v>PTC-C</x:v>
      </x:c>
      <x:c r="G53" t="str">
        <x:v>fragment shadow and support</x:v>
      </x:c>
      <x:c r="H53" t="str">
        <x:v>C1</x:v>
      </x:c>
      <x:c r="I53" s="21" t="n">
        <x:v>1</x:v>
      </x:c>
      <x:c r="J53" t="str">
        <x:v>PROTECTED</x:v>
      </x:c>
      <x:c r="K53" t="n">
        <x:v>0</x:v>
      </x:c>
      <x:c r="L53" t="n">
        <x:v>0</x:v>
      </x:c>
      <x:c r="M53" t="str"/>
      <x:c r="N53" t="str">
        <x:f>IF(AND(G53&lt;&gt;"",H53="C1",I53&gt;=0),"PASS","FAIL")</x:f>
        <x:v>PASS</x:v>
      </x:c>
      <x:c r="O53" t="str">
        <x:f>IF(K53=0,"OPEN",IF(AND(L53=1,M53=J53),"PASS","FAIL"))</x:f>
        <x:v>OPEN</x:v>
      </x:c>
    </x:row>
    <x:row r="54">
      <x:c r="B54" t="str">
        <x:v>PR-B-C-06-C</x:v>
      </x:c>
      <x:c r="C54" t="str">
        <x:v>PR-B-C-06</x:v>
      </x:c>
      <x:c r="D54" t="str">
        <x:v>clean control</x:v>
      </x:c>
      <x:c r="E54" t="str">
        <x:v>B</x:v>
      </x:c>
      <x:c r="F54" t="str">
        <x:v>PTC-C</x:v>
      </x:c>
      <x:c r="G54" t="str">
        <x:v>fragment shadow and support</x:v>
      </x:c>
      <x:c r="H54" t="str">
        <x:v>C1</x:v>
      </x:c>
      <x:c r="I54" s="21" t="n">
        <x:v>0.05</x:v>
      </x:c>
      <x:c r="J54" t="str">
        <x:v>PROTECTED</x:v>
      </x:c>
      <x:c r="K54" t="n">
        <x:v>0</x:v>
      </x:c>
      <x:c r="L54" t="n">
        <x:v>0</x:v>
      </x:c>
      <x:c r="M54" t="str"/>
      <x:c r="N54" t="str">
        <x:f>IF(AND(G54&lt;&gt;"",H54="C1",I54&gt;=0),"PASS","FAIL")</x:f>
        <x:v>PASS</x:v>
      </x:c>
      <x:c r="O54" t="str">
        <x:f>IF(K54=0,"OPEN",IF(AND(L54=1,M54=J54),"PASS","FAIL"))</x:f>
        <x:v>OPEN</x:v>
      </x:c>
    </x:row>
  </x:sheetData>
  <x:conditionalFormatting sqref="N7:O54">
    <x:cfRule type="cellIs" dxfId="60" priority="1" operator="equal">
      <x:formula>"FAIL"</x:formula>
    </x:cfRule>
    <x:cfRule type="cellIs" dxfId="61" priority="2" operator="equal">
      <x:formula>"BLOCKED"</x:formula>
    </x:cfRule>
    <x:cfRule type="cellIs" dxfId="62" priority="3" operator="equal">
      <x:formula>"OPEN"</x:formula>
    </x:cfRule>
    <x:cfRule type="cellIs" dxfId="63" priority="4" operator="equal">
      <x:formula>"PASS"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9" hidden="0" customWidth="1"/>
    <x:col min="4" max="4" width="12" hidden="0" customWidth="1"/>
    <x:col min="5" max="5" width="11" hidden="0" customWidth="1"/>
    <x:col min="6" max="6" width="13" hidden="0" customWidth="1"/>
    <x:col min="7" max="7" width="11" hidden="0" customWidth="1"/>
    <x:col min="8" max="8" width="14" hidden="0" customWidth="1"/>
    <x:col min="9" max="9" width="17" hidden="0" customWidth="1"/>
    <x:col min="10" max="10" width="17" hidden="0" customWidth="1"/>
    <x:col min="11" max="11" width="19" hidden="0" customWidth="1"/>
    <x:col min="12" max="12" width="17" hidden="0" customWidth="1"/>
    <x:col min="13" max="13" width="22" hidden="0" customWidth="1"/>
    <x:col min="14" max="14" width="18" hidden="0" customWidth="1"/>
    <x:col min="15" max="15" width="17" hidden="0" customWidth="1"/>
    <x:col min="16" max="16" width="15" hidden="0" customWidth="1"/>
    <x:col min="17" max="17" width="16" hidden="0" customWidth="1"/>
    <x:col min="18" max="1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Root-site safe-state sequence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Command, isolation, route opening, terminal source, evidence seal and human entry remain separate clocks.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Case</x:v>
      </x:c>
      <x:c r="C6" s="14" t="str">
        <x:v>Root</x:v>
      </x:c>
      <x:c r="D6" s="14" t="str">
        <x:v>Site</x:v>
      </x:c>
      <x:c r="E6" s="14" t="str">
        <x:v>Trip (s)</x:v>
      </x:c>
      <x:c r="F6" s="14" t="str">
        <x:v>Gas T90 (s)</x:v>
      </x:c>
      <x:c r="G6" s="14" t="str">
        <x:v>Vote (s)</x:v>
      </x:c>
      <x:c r="H6" s="14" t="str">
        <x:v>Isolation (s)</x:v>
      </x:c>
      <x:c r="I6" s="14" t="str">
        <x:v>Passive route (s)</x:v>
      </x:c>
      <x:c r="J6" s="14" t="str">
        <x:v>Route transit (s)</x:v>
      </x:c>
      <x:c r="K6" s="14" t="str">
        <x:v>Terminal source (s)</x:v>
      </x:c>
      <x:c r="L6" s="14" t="str">
        <x:v>Evidence seal (s)</x:v>
      </x:c>
      <x:c r="M6" s="14" t="str">
        <x:v>Minimum human entry (s)</x:v>
      </x:c>
      <x:c r="N6" s="14" t="str">
        <x:v>Independent logic paths</x:v>
      </x:c>
      <x:c r="O6" s="14" t="str">
        <x:v>Design complete</x:v>
      </x:c>
      <x:c r="P6" s="14" t="str">
        <x:v>Physical proof</x:v>
      </x:c>
      <x:c r="Q6" s="14" t="str">
        <x:v>Planning state</x:v>
      </x:c>
      <x:c r="R6" s="15" t="str">
        <x:v>Physical state</x:v>
      </x:c>
    </x:row>
    <x:row r="7">
      <x:c r="B7" t="str">
        <x:v>SS-A-B</x:v>
      </x:c>
      <x:c r="C7" t="str">
        <x:v>A</x:v>
      </x:c>
      <x:c r="D7" t="str">
        <x:v>PTC-B</x:v>
      </x:c>
      <x:c r="E7" s="34" t="n">
        <x:v>0.1</x:v>
      </x:c>
      <x:c r="F7" s="34" t="n">
        <x:v>2</x:v>
      </x:c>
      <x:c r="G7" s="34" t="n">
        <x:v>0.25</x:v>
      </x:c>
      <x:c r="H7" s="34" t="n">
        <x:v>2</x:v>
      </x:c>
      <x:c r="I7" s="34" t="n">
        <x:v>10</x:v>
      </x:c>
      <x:c r="J7" s="30" t="n">
        <x:f>'Route Sizing'!L7</x:f>
        <x:v>10.178760197630929</x:v>
      </x:c>
      <x:c r="K7" s="34" t="n">
        <x:v>30</x:v>
      </x:c>
      <x:c r="L7" s="34" t="n">
        <x:v>30</x:v>
      </x:c>
      <x:c r="M7" s="34" t="n">
        <x:v>1800</x:v>
      </x:c>
      <x:c r="N7" t="n">
        <x:v>3</x:v>
      </x:c>
      <x:c r="O7" t="n">
        <x:v>1</x:v>
      </x:c>
      <x:c r="P7" t="n">
        <x:v>0</x:v>
      </x:c>
      <x:c r="Q7" t="str">
        <x:f>IF(AND(E7&lt;=0.1,F7&lt;=2,G7&lt;=0.25,H7&lt;=IF(C7="A",2,5),I7&lt;=10,J7&lt;K7,N7&gt;=3,O7=1),"PASS","FAIL")</x:f>
        <x:v>PASS</x:v>
      </x:c>
      <x:c r="R7" t="str">
        <x:f>IF(P7=0,"OPEN",IF(P7=1,"PASS","FAIL"))</x:f>
        <x:v>OPEN</x:v>
      </x:c>
    </x:row>
    <x:row r="8">
      <x:c r="B8" t="str">
        <x:v>SS-A-C</x:v>
      </x:c>
      <x:c r="C8" t="str">
        <x:v>A</x:v>
      </x:c>
      <x:c r="D8" t="str">
        <x:v>PTC-C</x:v>
      </x:c>
      <x:c r="E8" s="34" t="n">
        <x:v>0.1</x:v>
      </x:c>
      <x:c r="F8" s="34" t="n">
        <x:v>2</x:v>
      </x:c>
      <x:c r="G8" s="34" t="n">
        <x:v>0.25</x:v>
      </x:c>
      <x:c r="H8" s="34" t="n">
        <x:v>2</x:v>
      </x:c>
      <x:c r="I8" s="34" t="n">
        <x:v>10</x:v>
      </x:c>
      <x:c r="J8" s="30" t="n">
        <x:f>'Route Sizing'!L7</x:f>
        <x:v>10.178760197630929</x:v>
      </x:c>
      <x:c r="K8" s="34" t="n">
        <x:v>30</x:v>
      </x:c>
      <x:c r="L8" s="34" t="n">
        <x:v>30</x:v>
      </x:c>
      <x:c r="M8" s="34" t="n">
        <x:v>1800</x:v>
      </x:c>
      <x:c r="N8" t="n">
        <x:v>3</x:v>
      </x:c>
      <x:c r="O8" t="n">
        <x:v>1</x:v>
      </x:c>
      <x:c r="P8" t="n">
        <x:v>0</x:v>
      </x:c>
      <x:c r="Q8" t="str">
        <x:f>IF(AND(E8&lt;=0.1,F8&lt;=2,G8&lt;=0.25,H8&lt;=IF(C8="A",2,5),I8&lt;=10,J8&lt;K8,N8&gt;=3,O8=1),"PASS","FAIL")</x:f>
        <x:v>PASS</x:v>
      </x:c>
      <x:c r="R8" t="str">
        <x:f>IF(P8=0,"OPEN",IF(P8=1,"PASS","FAIL"))</x:f>
        <x:v>OPEN</x:v>
      </x:c>
    </x:row>
    <x:row r="9">
      <x:c r="B9" t="str">
        <x:v>SS-B-B</x:v>
      </x:c>
      <x:c r="C9" t="str">
        <x:v>B</x:v>
      </x:c>
      <x:c r="D9" t="str">
        <x:v>PTC-B</x:v>
      </x:c>
      <x:c r="E9" s="34" t="n">
        <x:v>0.1</x:v>
      </x:c>
      <x:c r="F9" s="34" t="n">
        <x:v>2</x:v>
      </x:c>
      <x:c r="G9" s="34" t="n">
        <x:v>0.25</x:v>
      </x:c>
      <x:c r="H9" s="34" t="n">
        <x:v>5</x:v>
      </x:c>
      <x:c r="I9" s="34" t="n">
        <x:v>10</x:v>
      </x:c>
      <x:c r="J9" s="30" t="n">
        <x:f>'Route Sizing'!L9</x:f>
        <x:v>1.7782599925979958</x:v>
      </x:c>
      <x:c r="K9" s="34" t="n">
        <x:v>120</x:v>
      </x:c>
      <x:c r="L9" s="34" t="n">
        <x:v>30</x:v>
      </x:c>
      <x:c r="M9" s="34" t="n">
        <x:v>3600</x:v>
      </x:c>
      <x:c r="N9" t="n">
        <x:v>3</x:v>
      </x:c>
      <x:c r="O9" t="n">
        <x:v>1</x:v>
      </x:c>
      <x:c r="P9" t="n">
        <x:v>0</x:v>
      </x:c>
      <x:c r="Q9" t="str">
        <x:f>IF(AND(E9&lt;=0.1,F9&lt;=2,G9&lt;=0.25,H9&lt;=IF(C9="A",2,5),I9&lt;=10,J9&lt;K9,N9&gt;=3,O9=1),"PASS","FAIL")</x:f>
        <x:v>PASS</x:v>
      </x:c>
      <x:c r="R9" t="str">
        <x:f>IF(P9=0,"OPEN",IF(P9=1,"PASS","FAIL"))</x:f>
        <x:v>OPEN</x:v>
      </x:c>
    </x:row>
    <x:row r="10">
      <x:c r="B10" t="str">
        <x:v>SS-B-C</x:v>
      </x:c>
      <x:c r="C10" t="str">
        <x:v>B</x:v>
      </x:c>
      <x:c r="D10" t="str">
        <x:v>PTC-C</x:v>
      </x:c>
      <x:c r="E10" s="34" t="n">
        <x:v>0.1</x:v>
      </x:c>
      <x:c r="F10" s="34" t="n">
        <x:v>2</x:v>
      </x:c>
      <x:c r="G10" s="34" t="n">
        <x:v>0.25</x:v>
      </x:c>
      <x:c r="H10" s="34" t="n">
        <x:v>5</x:v>
      </x:c>
      <x:c r="I10" s="34" t="n">
        <x:v>10</x:v>
      </x:c>
      <x:c r="J10" s="30" t="n">
        <x:f>'Route Sizing'!L9</x:f>
        <x:v>1.7782599925979958</x:v>
      </x:c>
      <x:c r="K10" s="34" t="n">
        <x:v>120</x:v>
      </x:c>
      <x:c r="L10" s="34" t="n">
        <x:v>30</x:v>
      </x:c>
      <x:c r="M10" s="34" t="n">
        <x:v>3600</x:v>
      </x:c>
      <x:c r="N10" t="n">
        <x:v>3</x:v>
      </x:c>
      <x:c r="O10" t="n">
        <x:v>1</x:v>
      </x:c>
      <x:c r="P10" t="n">
        <x:v>0</x:v>
      </x:c>
      <x:c r="Q10" t="str">
        <x:f>IF(AND(E10&lt;=0.1,F10&lt;=2,G10&lt;=0.25,H10&lt;=IF(C10="A",2,5),I10&lt;=10,J10&lt;K10,N10&gt;=3,O10=1),"PASS","FAIL")</x:f>
        <x:v>PASS</x:v>
      </x:c>
      <x:c r="R10" t="str">
        <x:f>IF(P10=0,"OPEN",IF(P10=1,"PASS","FAIL"))</x:f>
        <x:v>OPEN</x:v>
      </x:c>
    </x:row>
  </x:sheetData>
  <x:conditionalFormatting sqref="Q7:R10">
    <x:cfRule type="cellIs" dxfId="64" priority="1" operator="equal">
      <x:formula>"FAIL"</x:formula>
    </x:cfRule>
    <x:cfRule type="cellIs" dxfId="65" priority="2" operator="equal">
      <x:formula>"BLOCKED"</x:formula>
    </x:cfRule>
    <x:cfRule type="cellIs" dxfId="66" priority="3" operator="equal">
      <x:formula>"OPEN"</x:formula>
    </x:cfRule>
    <x:cfRule type="cellIs" dxfId="67" priority="4" operator="equal">
      <x:formula>"PASS"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9" hidden="0" customWidth="1"/>
    <x:col min="4" max="4" width="12" hidden="0" customWidth="1"/>
    <x:col min="5" max="5" width="11" hidden="0" customWidth="1"/>
    <x:col min="6" max="6" width="18" hidden="0" customWidth="1"/>
    <x:col min="7" max="7" width="24" hidden="0" customWidth="1"/>
    <x:col min="8" max="8" width="14" hidden="0" customWidth="1"/>
    <x:col min="9" max="9" width="22" hidden="0" customWidth="1"/>
    <x:col min="10" max="10" width="21" hidden="0" customWidth="1"/>
    <x:col min="11" max="11" width="12" hidden="0" customWidth="1"/>
    <x:col min="12" max="12" width="15" hidden="0" customWidth="1"/>
    <x:col min="13" max="13" width="20" hidden="0" customWidth="1"/>
    <x:col min="14" max="14" width="17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Per-train source recovery and custody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Every source train closes through a measured compartment, sump or receiver, gas holder, disposition and discrepancy ledger.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Ledger</x:v>
      </x:c>
      <x:c r="C6" s="14" t="str">
        <x:v>Root</x:v>
      </x:c>
      <x:c r="D6" s="14" t="str">
        <x:v>Site</x:v>
      </x:c>
      <x:c r="E6" s="14" t="str">
        <x:v>Pod</x:v>
      </x:c>
      <x:c r="F6" s="14" t="str">
        <x:v>Initial source (kg)</x:v>
      </x:c>
      <x:c r="G6" s="14" t="str">
        <x:v>Liquid or pressure capacity</x:v>
      </x:c>
      <x:c r="H6" s="14" t="str">
        <x:v>Capacity unit</x:v>
      </x:c>
      <x:c r="I6" s="14" t="str">
        <x:v>Gas-holder capacity (m3)</x:v>
      </x:c>
      <x:c r="J6" s="14" t="str">
        <x:v>Discrepancy limit (kg)</x:v>
      </x:c>
      <x:c r="K6" s="14" t="str">
        <x:v>Originals</x:v>
      </x:c>
      <x:c r="L6" s="14" t="str">
        <x:v>Packet fields</x:v>
      </x:c>
      <x:c r="M6" s="14" t="str">
        <x:v>Independent custody</x:v>
      </x:c>
      <x:c r="N6" s="14" t="str">
        <x:v>Design complete</x:v>
      </x:c>
      <x:c r="O6" s="14" t="str">
        <x:v>Physical result</x:v>
      </x:c>
      <x:c r="P6" s="14" t="str">
        <x:v>Planning state</x:v>
      </x:c>
      <x:c r="Q6" s="15" t="str">
        <x:v>Physical state</x:v>
      </x:c>
    </x:row>
    <x:row r="7">
      <x:c r="B7" t="str">
        <x:v>RL-A-B-1</x:v>
      </x:c>
      <x:c r="C7" t="str">
        <x:v>A</x:v>
      </x:c>
      <x:c r="D7" t="str">
        <x:v>PTC-B</x:v>
      </x:c>
      <x:c r="E7" t="str">
        <x:v>SP-1</x:v>
      </x:c>
      <x:c r="F7" s="30" t="n">
        <x:f>Controls!$D$8</x:f>
        <x:v>2000</x:v>
      </x:c>
      <x:c r="G7" s="30" t="n">
        <x:f>Controls!$D$19</x:f>
        <x:v>15</x:v>
      </x:c>
      <x:c r="H7" s="30" t="str">
        <x:v>m3</x:v>
      </x:c>
      <x:c r="I7" s="30" t="n">
        <x:f>0</x:f>
        <x:v>0</x:v>
      </x:c>
      <x:c r="J7" s="34" t="n">
        <x:v>5</x:v>
      </x:c>
      <x:c r="K7" t="n">
        <x:v>2</x:v>
      </x:c>
      <x:c r="L7" t="n">
        <x:v>18</x:v>
      </x:c>
      <x:c r="M7" t="n">
        <x:v>1</x:v>
      </x:c>
      <x:c r="N7" t="n">
        <x:v>1</x:v>
      </x:c>
      <x:c r="O7" t="n">
        <x:v>0</x:v>
      </x:c>
      <x:c r="P7" t="str">
        <x:f>IF(AND(F7=2000,G7&gt;0,J7=5,K7=2,L7=18,M7=1,N7=1),"PASS","FAIL")</x:f>
        <x:v>PASS</x:v>
      </x:c>
      <x:c r="Q7" t="str">
        <x:f>IF(O7=0,"OPEN",IF(O7=1,"PASS","FAIL"))</x:f>
        <x:v>OPEN</x:v>
      </x:c>
    </x:row>
    <x:row r="8">
      <x:c r="B8" t="str">
        <x:v>RL-A-B-2</x:v>
      </x:c>
      <x:c r="C8" t="str">
        <x:v>A</x:v>
      </x:c>
      <x:c r="D8" t="str">
        <x:v>PTC-B</x:v>
      </x:c>
      <x:c r="E8" t="str">
        <x:v>SP-2</x:v>
      </x:c>
      <x:c r="F8" s="30" t="n">
        <x:f>Controls!$D$8</x:f>
        <x:v>2000</x:v>
      </x:c>
      <x:c r="G8" s="30" t="n">
        <x:f>Controls!$D$19</x:f>
        <x:v>15</x:v>
      </x:c>
      <x:c r="H8" s="30" t="str">
        <x:v>m3</x:v>
      </x:c>
      <x:c r="I8" s="30" t="n">
        <x:f>0</x:f>
        <x:v>0</x:v>
      </x:c>
      <x:c r="J8" s="34" t="n">
        <x:v>5</x:v>
      </x:c>
      <x:c r="K8" t="n">
        <x:v>2</x:v>
      </x:c>
      <x:c r="L8" t="n">
        <x:v>18</x:v>
      </x:c>
      <x:c r="M8" t="n">
        <x:v>1</x:v>
      </x:c>
      <x:c r="N8" t="n">
        <x:v>1</x:v>
      </x:c>
      <x:c r="O8" t="n">
        <x:v>0</x:v>
      </x:c>
      <x:c r="P8" t="str">
        <x:f>IF(AND(F8=2000,G8&gt;0,J8=5,K8=2,L8=18,M8=1,N8=1),"PASS","FAIL")</x:f>
        <x:v>PASS</x:v>
      </x:c>
      <x:c r="Q8" t="str">
        <x:f>IF(O8=0,"OPEN",IF(O8=1,"PASS","FAIL"))</x:f>
        <x:v>OPEN</x:v>
      </x:c>
    </x:row>
    <x:row r="9">
      <x:c r="B9" t="str">
        <x:v>RL-A-B-3</x:v>
      </x:c>
      <x:c r="C9" t="str">
        <x:v>A</x:v>
      </x:c>
      <x:c r="D9" t="str">
        <x:v>PTC-B</x:v>
      </x:c>
      <x:c r="E9" t="str">
        <x:v>SP-3</x:v>
      </x:c>
      <x:c r="F9" s="30" t="n">
        <x:f>Controls!$D$8</x:f>
        <x:v>2000</x:v>
      </x:c>
      <x:c r="G9" s="30" t="n">
        <x:f>Controls!$D$19</x:f>
        <x:v>15</x:v>
      </x:c>
      <x:c r="H9" s="30" t="str">
        <x:v>m3</x:v>
      </x:c>
      <x:c r="I9" s="30" t="n">
        <x:f>0</x:f>
        <x:v>0</x:v>
      </x:c>
      <x:c r="J9" s="34" t="n">
        <x:v>5</x:v>
      </x:c>
      <x:c r="K9" t="n">
        <x:v>2</x:v>
      </x:c>
      <x:c r="L9" t="n">
        <x:v>18</x:v>
      </x:c>
      <x:c r="M9" t="n">
        <x:v>1</x:v>
      </x:c>
      <x:c r="N9" t="n">
        <x:v>1</x:v>
      </x:c>
      <x:c r="O9" t="n">
        <x:v>0</x:v>
      </x:c>
      <x:c r="P9" t="str">
        <x:f>IF(AND(F9=2000,G9&gt;0,J9=5,K9=2,L9=18,M9=1,N9=1),"PASS","FAIL")</x:f>
        <x:v>PASS</x:v>
      </x:c>
      <x:c r="Q9" t="str">
        <x:f>IF(O9=0,"OPEN",IF(O9=1,"PASS","FAIL"))</x:f>
        <x:v>OPEN</x:v>
      </x:c>
    </x:row>
    <x:row r="10">
      <x:c r="B10" t="str">
        <x:v>RL-A-B-4</x:v>
      </x:c>
      <x:c r="C10" t="str">
        <x:v>A</x:v>
      </x:c>
      <x:c r="D10" t="str">
        <x:v>PTC-B</x:v>
      </x:c>
      <x:c r="E10" t="str">
        <x:v>SP-4</x:v>
      </x:c>
      <x:c r="F10" s="30" t="n">
        <x:f>Controls!$D$8</x:f>
        <x:v>2000</x:v>
      </x:c>
      <x:c r="G10" s="30" t="n">
        <x:f>Controls!$D$19</x:f>
        <x:v>15</x:v>
      </x:c>
      <x:c r="H10" s="30" t="str">
        <x:v>m3</x:v>
      </x:c>
      <x:c r="I10" s="30" t="n">
        <x:f>0</x:f>
        <x:v>0</x:v>
      </x:c>
      <x:c r="J10" s="34" t="n">
        <x:v>5</x:v>
      </x:c>
      <x:c r="K10" t="n">
        <x:v>2</x:v>
      </x:c>
      <x:c r="L10" t="n">
        <x:v>18</x:v>
      </x:c>
      <x:c r="M10" t="n">
        <x:v>1</x:v>
      </x:c>
      <x:c r="N10" t="n">
        <x:v>1</x:v>
      </x:c>
      <x:c r="O10" t="n">
        <x:v>0</x:v>
      </x:c>
      <x:c r="P10" t="str">
        <x:f>IF(AND(F10=2000,G10&gt;0,J10=5,K10=2,L10=18,M10=1,N10=1),"PASS","FAIL")</x:f>
        <x:v>PASS</x:v>
      </x:c>
      <x:c r="Q10" t="str">
        <x:f>IF(O10=0,"OPEN",IF(O10=1,"PASS","FAIL"))</x:f>
        <x:v>OPEN</x:v>
      </x:c>
    </x:row>
    <x:row r="11">
      <x:c r="B11" t="str">
        <x:v>RL-A-C-1</x:v>
      </x:c>
      <x:c r="C11" t="str">
        <x:v>A</x:v>
      </x:c>
      <x:c r="D11" t="str">
        <x:v>PTC-C</x:v>
      </x:c>
      <x:c r="E11" t="str">
        <x:v>SP-1</x:v>
      </x:c>
      <x:c r="F11" s="30" t="n">
        <x:f>Controls!$D$8</x:f>
        <x:v>2000</x:v>
      </x:c>
      <x:c r="G11" s="30" t="n">
        <x:f>Controls!$D$19</x:f>
        <x:v>15</x:v>
      </x:c>
      <x:c r="H11" s="30" t="str">
        <x:v>m3</x:v>
      </x:c>
      <x:c r="I11" s="30" t="n">
        <x:f>0</x:f>
        <x:v>0</x:v>
      </x:c>
      <x:c r="J11" s="34" t="n">
        <x:v>5</x:v>
      </x:c>
      <x:c r="K11" t="n">
        <x:v>2</x:v>
      </x:c>
      <x:c r="L11" t="n">
        <x:v>18</x:v>
      </x:c>
      <x:c r="M11" t="n">
        <x:v>1</x:v>
      </x:c>
      <x:c r="N11" t="n">
        <x:v>1</x:v>
      </x:c>
      <x:c r="O11" t="n">
        <x:v>0</x:v>
      </x:c>
      <x:c r="P11" t="str">
        <x:f>IF(AND(F11=2000,G11&gt;0,J11=5,K11=2,L11=18,M11=1,N11=1),"PASS","FAIL")</x:f>
        <x:v>PASS</x:v>
      </x:c>
      <x:c r="Q11" t="str">
        <x:f>IF(O11=0,"OPEN",IF(O11=1,"PASS","FAIL"))</x:f>
        <x:v>OPEN</x:v>
      </x:c>
    </x:row>
    <x:row r="12">
      <x:c r="B12" t="str">
        <x:v>RL-A-C-2</x:v>
      </x:c>
      <x:c r="C12" t="str">
        <x:v>A</x:v>
      </x:c>
      <x:c r="D12" t="str">
        <x:v>PTC-C</x:v>
      </x:c>
      <x:c r="E12" t="str">
        <x:v>SP-2</x:v>
      </x:c>
      <x:c r="F12" s="30" t="n">
        <x:f>Controls!$D$8</x:f>
        <x:v>2000</x:v>
      </x:c>
      <x:c r="G12" s="30" t="n">
        <x:f>Controls!$D$19</x:f>
        <x:v>15</x:v>
      </x:c>
      <x:c r="H12" s="30" t="str">
        <x:v>m3</x:v>
      </x:c>
      <x:c r="I12" s="30" t="n">
        <x:f>0</x:f>
        <x:v>0</x:v>
      </x:c>
      <x:c r="J12" s="34" t="n">
        <x:v>5</x:v>
      </x:c>
      <x:c r="K12" t="n">
        <x:v>2</x:v>
      </x:c>
      <x:c r="L12" t="n">
        <x:v>18</x:v>
      </x:c>
      <x:c r="M12" t="n">
        <x:v>1</x:v>
      </x:c>
      <x:c r="N12" t="n">
        <x:v>1</x:v>
      </x:c>
      <x:c r="O12" t="n">
        <x:v>0</x:v>
      </x:c>
      <x:c r="P12" t="str">
        <x:f>IF(AND(F12=2000,G12&gt;0,J12=5,K12=2,L12=18,M12=1,N12=1),"PASS","FAIL")</x:f>
        <x:v>PASS</x:v>
      </x:c>
      <x:c r="Q12" t="str">
        <x:f>IF(O12=0,"OPEN",IF(O12=1,"PASS","FAIL"))</x:f>
        <x:v>OPEN</x:v>
      </x:c>
    </x:row>
    <x:row r="13">
      <x:c r="B13" t="str">
        <x:v>RL-A-C-3</x:v>
      </x:c>
      <x:c r="C13" t="str">
        <x:v>A</x:v>
      </x:c>
      <x:c r="D13" t="str">
        <x:v>PTC-C</x:v>
      </x:c>
      <x:c r="E13" t="str">
        <x:v>SP-3</x:v>
      </x:c>
      <x:c r="F13" s="30" t="n">
        <x:f>Controls!$D$8</x:f>
        <x:v>2000</x:v>
      </x:c>
      <x:c r="G13" s="30" t="n">
        <x:f>Controls!$D$19</x:f>
        <x:v>15</x:v>
      </x:c>
      <x:c r="H13" s="30" t="str">
        <x:v>m3</x:v>
      </x:c>
      <x:c r="I13" s="30" t="n">
        <x:f>0</x:f>
        <x:v>0</x:v>
      </x:c>
      <x:c r="J13" s="34" t="n">
        <x:v>5</x:v>
      </x:c>
      <x:c r="K13" t="n">
        <x:v>2</x:v>
      </x:c>
      <x:c r="L13" t="n">
        <x:v>18</x:v>
      </x:c>
      <x:c r="M13" t="n">
        <x:v>1</x:v>
      </x:c>
      <x:c r="N13" t="n">
        <x:v>1</x:v>
      </x:c>
      <x:c r="O13" t="n">
        <x:v>0</x:v>
      </x:c>
      <x:c r="P13" t="str">
        <x:f>IF(AND(F13=2000,G13&gt;0,J13=5,K13=2,L13=18,M13=1,N13=1),"PASS","FAIL")</x:f>
        <x:v>PASS</x:v>
      </x:c>
      <x:c r="Q13" t="str">
        <x:f>IF(O13=0,"OPEN",IF(O13=1,"PASS","FAIL"))</x:f>
        <x:v>OPEN</x:v>
      </x:c>
    </x:row>
    <x:row r="14">
      <x:c r="B14" t="str">
        <x:v>RL-A-C-4</x:v>
      </x:c>
      <x:c r="C14" t="str">
        <x:v>A</x:v>
      </x:c>
      <x:c r="D14" t="str">
        <x:v>PTC-C</x:v>
      </x:c>
      <x:c r="E14" t="str">
        <x:v>SP-4</x:v>
      </x:c>
      <x:c r="F14" s="30" t="n">
        <x:f>Controls!$D$8</x:f>
        <x:v>2000</x:v>
      </x:c>
      <x:c r="G14" s="30" t="n">
        <x:f>Controls!$D$19</x:f>
        <x:v>15</x:v>
      </x:c>
      <x:c r="H14" s="30" t="str">
        <x:v>m3</x:v>
      </x:c>
      <x:c r="I14" s="30" t="n">
        <x:f>0</x:f>
        <x:v>0</x:v>
      </x:c>
      <x:c r="J14" s="34" t="n">
        <x:v>5</x:v>
      </x:c>
      <x:c r="K14" t="n">
        <x:v>2</x:v>
      </x:c>
      <x:c r="L14" t="n">
        <x:v>18</x:v>
      </x:c>
      <x:c r="M14" t="n">
        <x:v>1</x:v>
      </x:c>
      <x:c r="N14" t="n">
        <x:v>1</x:v>
      </x:c>
      <x:c r="O14" t="n">
        <x:v>0</x:v>
      </x:c>
      <x:c r="P14" t="str">
        <x:f>IF(AND(F14=2000,G14&gt;0,J14=5,K14=2,L14=18,M14=1,N14=1),"PASS","FAIL")</x:f>
        <x:v>PASS</x:v>
      </x:c>
      <x:c r="Q14" t="str">
        <x:f>IF(O14=0,"OPEN",IF(O14=1,"PASS","FAIL"))</x:f>
        <x:v>OPEN</x:v>
      </x:c>
    </x:row>
    <x:row r="15">
      <x:c r="B15" t="str">
        <x:v>RL-B-B-1</x:v>
      </x:c>
      <x:c r="C15" t="str">
        <x:v>B</x:v>
      </x:c>
      <x:c r="D15" t="str">
        <x:v>PTC-B</x:v>
      </x:c>
      <x:c r="E15" t="str">
        <x:v>SP-1</x:v>
      </x:c>
      <x:c r="F15" s="30" t="n">
        <x:f>Controls!$D$8</x:f>
        <x:v>2000</x:v>
      </x:c>
      <x:c r="G15" s="30" t="n">
        <x:f>Controls!$D$22</x:f>
        <x:v>5344</x:v>
      </x:c>
      <x:c r="H15" s="30" t="str">
        <x:v>kg</x:v>
      </x:c>
      <x:c r="I15" s="30" t="n">
        <x:f>Controls!$D$21</x:f>
        <x:v>2000</x:v>
      </x:c>
      <x:c r="J15" s="34" t="n">
        <x:v>5</x:v>
      </x:c>
      <x:c r="K15" t="n">
        <x:v>2</x:v>
      </x:c>
      <x:c r="L15" t="n">
        <x:v>18</x:v>
      </x:c>
      <x:c r="M15" t="n">
        <x:v>1</x:v>
      </x:c>
      <x:c r="N15" t="n">
        <x:v>1</x:v>
      </x:c>
      <x:c r="O15" t="n">
        <x:v>0</x:v>
      </x:c>
      <x:c r="P15" t="str">
        <x:f>IF(AND(F15=2000,G15&gt;0,J15=5,K15=2,L15=18,M15=1,N15=1),"PASS","FAIL")</x:f>
        <x:v>PASS</x:v>
      </x:c>
      <x:c r="Q15" t="str">
        <x:f>IF(O15=0,"OPEN",IF(O15=1,"PASS","FAIL"))</x:f>
        <x:v>OPEN</x:v>
      </x:c>
    </x:row>
    <x:row r="16">
      <x:c r="B16" t="str">
        <x:v>RL-B-B-2</x:v>
      </x:c>
      <x:c r="C16" t="str">
        <x:v>B</x:v>
      </x:c>
      <x:c r="D16" t="str">
        <x:v>PTC-B</x:v>
      </x:c>
      <x:c r="E16" t="str">
        <x:v>SP-2</x:v>
      </x:c>
      <x:c r="F16" s="30" t="n">
        <x:f>Controls!$D$8</x:f>
        <x:v>2000</x:v>
      </x:c>
      <x:c r="G16" s="30" t="n">
        <x:f>Controls!$D$22</x:f>
        <x:v>5344</x:v>
      </x:c>
      <x:c r="H16" s="30" t="str">
        <x:v>kg</x:v>
      </x:c>
      <x:c r="I16" s="30" t="n">
        <x:f>Controls!$D$21</x:f>
        <x:v>2000</x:v>
      </x:c>
      <x:c r="J16" s="34" t="n">
        <x:v>5</x:v>
      </x:c>
      <x:c r="K16" t="n">
        <x:v>2</x:v>
      </x:c>
      <x:c r="L16" t="n">
        <x:v>18</x:v>
      </x:c>
      <x:c r="M16" t="n">
        <x:v>1</x:v>
      </x:c>
      <x:c r="N16" t="n">
        <x:v>1</x:v>
      </x:c>
      <x:c r="O16" t="n">
        <x:v>0</x:v>
      </x:c>
      <x:c r="P16" t="str">
        <x:f>IF(AND(F16=2000,G16&gt;0,J16=5,K16=2,L16=18,M16=1,N16=1),"PASS","FAIL")</x:f>
        <x:v>PASS</x:v>
      </x:c>
      <x:c r="Q16" t="str">
        <x:f>IF(O16=0,"OPEN",IF(O16=1,"PASS","FAIL"))</x:f>
        <x:v>OPEN</x:v>
      </x:c>
    </x:row>
    <x:row r="17">
      <x:c r="B17" t="str">
        <x:v>RL-B-B-3</x:v>
      </x:c>
      <x:c r="C17" t="str">
        <x:v>B</x:v>
      </x:c>
      <x:c r="D17" t="str">
        <x:v>PTC-B</x:v>
      </x:c>
      <x:c r="E17" t="str">
        <x:v>SP-3</x:v>
      </x:c>
      <x:c r="F17" s="30" t="n">
        <x:f>Controls!$D$8</x:f>
        <x:v>2000</x:v>
      </x:c>
      <x:c r="G17" s="30" t="n">
        <x:f>Controls!$D$22</x:f>
        <x:v>5344</x:v>
      </x:c>
      <x:c r="H17" s="30" t="str">
        <x:v>kg</x:v>
      </x:c>
      <x:c r="I17" s="30" t="n">
        <x:f>Controls!$D$21</x:f>
        <x:v>2000</x:v>
      </x:c>
      <x:c r="J17" s="34" t="n">
        <x:v>5</x:v>
      </x:c>
      <x:c r="K17" t="n">
        <x:v>2</x:v>
      </x:c>
      <x:c r="L17" t="n">
        <x:v>18</x:v>
      </x:c>
      <x:c r="M17" t="n">
        <x:v>1</x:v>
      </x:c>
      <x:c r="N17" t="n">
        <x:v>1</x:v>
      </x:c>
      <x:c r="O17" t="n">
        <x:v>0</x:v>
      </x:c>
      <x:c r="P17" t="str">
        <x:f>IF(AND(F17=2000,G17&gt;0,J17=5,K17=2,L17=18,M17=1,N17=1),"PASS","FAIL")</x:f>
        <x:v>PASS</x:v>
      </x:c>
      <x:c r="Q17" t="str">
        <x:f>IF(O17=0,"OPEN",IF(O17=1,"PASS","FAIL"))</x:f>
        <x:v>OPEN</x:v>
      </x:c>
    </x:row>
    <x:row r="18">
      <x:c r="B18" t="str">
        <x:v>RL-B-B-4</x:v>
      </x:c>
      <x:c r="C18" t="str">
        <x:v>B</x:v>
      </x:c>
      <x:c r="D18" t="str">
        <x:v>PTC-B</x:v>
      </x:c>
      <x:c r="E18" t="str">
        <x:v>SP-4</x:v>
      </x:c>
      <x:c r="F18" s="30" t="n">
        <x:f>Controls!$D$8</x:f>
        <x:v>2000</x:v>
      </x:c>
      <x:c r="G18" s="30" t="n">
        <x:f>Controls!$D$22</x:f>
        <x:v>5344</x:v>
      </x:c>
      <x:c r="H18" s="30" t="str">
        <x:v>kg</x:v>
      </x:c>
      <x:c r="I18" s="30" t="n">
        <x:f>Controls!$D$21</x:f>
        <x:v>2000</x:v>
      </x:c>
      <x:c r="J18" s="34" t="n">
        <x:v>5</x:v>
      </x:c>
      <x:c r="K18" t="n">
        <x:v>2</x:v>
      </x:c>
      <x:c r="L18" t="n">
        <x:v>18</x:v>
      </x:c>
      <x:c r="M18" t="n">
        <x:v>1</x:v>
      </x:c>
      <x:c r="N18" t="n">
        <x:v>1</x:v>
      </x:c>
      <x:c r="O18" t="n">
        <x:v>0</x:v>
      </x:c>
      <x:c r="P18" t="str">
        <x:f>IF(AND(F18=2000,G18&gt;0,J18=5,K18=2,L18=18,M18=1,N18=1),"PASS","FAIL")</x:f>
        <x:v>PASS</x:v>
      </x:c>
      <x:c r="Q18" t="str">
        <x:f>IF(O18=0,"OPEN",IF(O18=1,"PASS","FAIL"))</x:f>
        <x:v>OPEN</x:v>
      </x:c>
    </x:row>
    <x:row r="19">
      <x:c r="B19" t="str">
        <x:v>RL-B-C-1</x:v>
      </x:c>
      <x:c r="C19" t="str">
        <x:v>B</x:v>
      </x:c>
      <x:c r="D19" t="str">
        <x:v>PTC-C</x:v>
      </x:c>
      <x:c r="E19" t="str">
        <x:v>SP-1</x:v>
      </x:c>
      <x:c r="F19" s="30" t="n">
        <x:f>Controls!$D$8</x:f>
        <x:v>2000</x:v>
      </x:c>
      <x:c r="G19" s="30" t="n">
        <x:f>Controls!$D$22</x:f>
        <x:v>5344</x:v>
      </x:c>
      <x:c r="H19" s="30" t="str">
        <x:v>kg</x:v>
      </x:c>
      <x:c r="I19" s="30" t="n">
        <x:f>Controls!$D$21</x:f>
        <x:v>2000</x:v>
      </x:c>
      <x:c r="J19" s="34" t="n">
        <x:v>5</x:v>
      </x:c>
      <x:c r="K19" t="n">
        <x:v>2</x:v>
      </x:c>
      <x:c r="L19" t="n">
        <x:v>18</x:v>
      </x:c>
      <x:c r="M19" t="n">
        <x:v>1</x:v>
      </x:c>
      <x:c r="N19" t="n">
        <x:v>1</x:v>
      </x:c>
      <x:c r="O19" t="n">
        <x:v>0</x:v>
      </x:c>
      <x:c r="P19" t="str">
        <x:f>IF(AND(F19=2000,G19&gt;0,J19=5,K19=2,L19=18,M19=1,N19=1),"PASS","FAIL")</x:f>
        <x:v>PASS</x:v>
      </x:c>
      <x:c r="Q19" t="str">
        <x:f>IF(O19=0,"OPEN",IF(O19=1,"PASS","FAIL"))</x:f>
        <x:v>OPEN</x:v>
      </x:c>
    </x:row>
    <x:row r="20">
      <x:c r="B20" t="str">
        <x:v>RL-B-C-2</x:v>
      </x:c>
      <x:c r="C20" t="str">
        <x:v>B</x:v>
      </x:c>
      <x:c r="D20" t="str">
        <x:v>PTC-C</x:v>
      </x:c>
      <x:c r="E20" t="str">
        <x:v>SP-2</x:v>
      </x:c>
      <x:c r="F20" s="30" t="n">
        <x:f>Controls!$D$8</x:f>
        <x:v>2000</x:v>
      </x:c>
      <x:c r="G20" s="30" t="n">
        <x:f>Controls!$D$22</x:f>
        <x:v>5344</x:v>
      </x:c>
      <x:c r="H20" s="30" t="str">
        <x:v>kg</x:v>
      </x:c>
      <x:c r="I20" s="30" t="n">
        <x:f>Controls!$D$21</x:f>
        <x:v>2000</x:v>
      </x:c>
      <x:c r="J20" s="34" t="n">
        <x:v>5</x:v>
      </x:c>
      <x:c r="K20" t="n">
        <x:v>2</x:v>
      </x:c>
      <x:c r="L20" t="n">
        <x:v>18</x:v>
      </x:c>
      <x:c r="M20" t="n">
        <x:v>1</x:v>
      </x:c>
      <x:c r="N20" t="n">
        <x:v>1</x:v>
      </x:c>
      <x:c r="O20" t="n">
        <x:v>0</x:v>
      </x:c>
      <x:c r="P20" t="str">
        <x:f>IF(AND(F20=2000,G20&gt;0,J20=5,K20=2,L20=18,M20=1,N20=1),"PASS","FAIL")</x:f>
        <x:v>PASS</x:v>
      </x:c>
      <x:c r="Q20" t="str">
        <x:f>IF(O20=0,"OPEN",IF(O20=1,"PASS","FAIL"))</x:f>
        <x:v>OPEN</x:v>
      </x:c>
    </x:row>
    <x:row r="21">
      <x:c r="B21" t="str">
        <x:v>RL-B-C-3</x:v>
      </x:c>
      <x:c r="C21" t="str">
        <x:v>B</x:v>
      </x:c>
      <x:c r="D21" t="str">
        <x:v>PTC-C</x:v>
      </x:c>
      <x:c r="E21" t="str">
        <x:v>SP-3</x:v>
      </x:c>
      <x:c r="F21" s="30" t="n">
        <x:f>Controls!$D$8</x:f>
        <x:v>2000</x:v>
      </x:c>
      <x:c r="G21" s="30" t="n">
        <x:f>Controls!$D$22</x:f>
        <x:v>5344</x:v>
      </x:c>
      <x:c r="H21" s="30" t="str">
        <x:v>kg</x:v>
      </x:c>
      <x:c r="I21" s="30" t="n">
        <x:f>Controls!$D$21</x:f>
        <x:v>2000</x:v>
      </x:c>
      <x:c r="J21" s="34" t="n">
        <x:v>5</x:v>
      </x:c>
      <x:c r="K21" t="n">
        <x:v>2</x:v>
      </x:c>
      <x:c r="L21" t="n">
        <x:v>18</x:v>
      </x:c>
      <x:c r="M21" t="n">
        <x:v>1</x:v>
      </x:c>
      <x:c r="N21" t="n">
        <x:v>1</x:v>
      </x:c>
      <x:c r="O21" t="n">
        <x:v>0</x:v>
      </x:c>
      <x:c r="P21" t="str">
        <x:f>IF(AND(F21=2000,G21&gt;0,J21=5,K21=2,L21=18,M21=1,N21=1),"PASS","FAIL")</x:f>
        <x:v>PASS</x:v>
      </x:c>
      <x:c r="Q21" t="str">
        <x:f>IF(O21=0,"OPEN",IF(O21=1,"PASS","FAIL"))</x:f>
        <x:v>OPEN</x:v>
      </x:c>
    </x:row>
    <x:row r="22">
      <x:c r="B22" t="str">
        <x:v>RL-B-C-4</x:v>
      </x:c>
      <x:c r="C22" t="str">
        <x:v>B</x:v>
      </x:c>
      <x:c r="D22" t="str">
        <x:v>PTC-C</x:v>
      </x:c>
      <x:c r="E22" t="str">
        <x:v>SP-4</x:v>
      </x:c>
      <x:c r="F22" s="30" t="n">
        <x:f>Controls!$D$8</x:f>
        <x:v>2000</x:v>
      </x:c>
      <x:c r="G22" s="30" t="n">
        <x:f>Controls!$D$22</x:f>
        <x:v>5344</x:v>
      </x:c>
      <x:c r="H22" s="30" t="str">
        <x:v>kg</x:v>
      </x:c>
      <x:c r="I22" s="30" t="n">
        <x:f>Controls!$D$21</x:f>
        <x:v>2000</x:v>
      </x:c>
      <x:c r="J22" s="34" t="n">
        <x:v>5</x:v>
      </x:c>
      <x:c r="K22" t="n">
        <x:v>2</x:v>
      </x:c>
      <x:c r="L22" t="n">
        <x:v>18</x:v>
      </x:c>
      <x:c r="M22" t="n">
        <x:v>1</x:v>
      </x:c>
      <x:c r="N22" t="n">
        <x:v>1</x:v>
      </x:c>
      <x:c r="O22" t="n">
        <x:v>0</x:v>
      </x:c>
      <x:c r="P22" t="str">
        <x:f>IF(AND(F22=2000,G22&gt;0,J22=5,K22=2,L22=18,M22=1,N22=1),"PASS","FAIL")</x:f>
        <x:v>PASS</x:v>
      </x:c>
      <x:c r="Q22" t="str">
        <x:f>IF(O22=0,"OPEN",IF(O22=1,"PASS","FAIL"))</x:f>
        <x:v>OPEN</x:v>
      </x:c>
    </x:row>
  </x:sheetData>
  <x:conditionalFormatting sqref="P7:Q22">
    <x:cfRule type="cellIs" dxfId="68" priority="1" operator="equal">
      <x:formula>"FAIL"</x:formula>
    </x:cfRule>
    <x:cfRule type="cellIs" dxfId="69" priority="2" operator="equal">
      <x:formula>"BLOCKED"</x:formula>
    </x:cfRule>
    <x:cfRule type="cellIs" dxfId="70" priority="3" operator="equal">
      <x:formula>"OPEN"</x:formula>
    </x:cfRule>
    <x:cfRule type="cellIs" dxfId="71" priority="4" operator="equal">
      <x:formula>"PASS"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2" hidden="0" customWidth="1"/>
    <x:col min="4" max="4" width="27" hidden="0" customWidth="1"/>
    <x:col min="5" max="5" width="19" hidden="0" customWidth="1"/>
    <x:col min="6" max="6" width="20" hidden="0" customWidth="1"/>
    <x:col min="7" max="7" width="18" hidden="0" customWidth="1"/>
    <x:col min="8" max="8" width="23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17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Remote rescue and human-entry boundaries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Early human entry is prohibited. Robotics, protected refuge and medical transfer are part of cell acceptance.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Cell</x:v>
      </x:c>
      <x:c r="C6" s="14" t="str">
        <x:v>Site</x:v>
      </x:c>
      <x:c r="D6" s="14" t="str">
        <x:v>Role</x:v>
      </x:c>
      <x:c r="E6" s="14" t="str">
        <x:v>Exclusion radius (m)</x:v>
      </x:c>
      <x:c r="F6" s="14" t="str">
        <x:v>Control distance (m)</x:v>
      </x:c>
      <x:c r="G6" s="14" t="str">
        <x:v>Protected refuge</x:v>
      </x:c>
      <x:c r="H6" s="14" t="str">
        <x:v>Remote casualty location</x:v>
      </x:c>
      <x:c r="I6" s="14" t="str">
        <x:v>Robotic isolation</x:v>
      </x:c>
      <x:c r="J6" s="14" t="str">
        <x:v>Decontamination</x:v>
      </x:c>
      <x:c r="K6" s="14" t="str">
        <x:v>Burn and inhalation care</x:v>
      </x:c>
      <x:c r="L6" s="14" t="str">
        <x:v>Transport interface</x:v>
      </x:c>
      <x:c r="M6" s="14" t="str">
        <x:v>Design complete</x:v>
      </x:c>
      <x:c r="N6" s="14" t="str">
        <x:v>Physical proof</x:v>
      </x:c>
      <x:c r="O6" s="15" t="str">
        <x:v>Planning state</x:v>
      </x:c>
      <x:c r="P6" s="31" t="str">
        <x:v>Physical state</x:v>
      </x:c>
    </x:row>
    <x:row r="7">
      <x:c r="B7" t="str">
        <x:v>MC-B1</x:v>
      </x:c>
      <x:c r="C7" t="str">
        <x:v>PTC-B</x:v>
      </x:c>
      <x:c r="D7" t="str">
        <x:v>source-preserving lane</x:v>
      </x:c>
      <x:c r="E7" s="19" t="n">
        <x:f>Controls!$D$25</x:f>
        <x:v>200</x:v>
      </x:c>
      <x:c r="F7" s="19" t="n">
        <x:f>Controls!$D$27</x:f>
        <x:v>250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0</x:v>
      </x:c>
      <x:c r="O7" t="str">
        <x:f>IF(AND(F7&gt;E7,MIN(G7:M7)=1),"PASS","FAIL")</x:f>
        <x:v>PASS</x:v>
      </x:c>
      <x:c r="P7" t="str">
        <x:f>IF(N7=0,"OPEN",IF(N7=1,"PASS","FAIL"))</x:f>
        <x:v>OPEN</x:v>
      </x:c>
    </x:row>
    <x:row r="8">
      <x:c r="B8" t="str">
        <x:v>MC-C1</x:v>
      </x:c>
      <x:c r="C8" t="str">
        <x:v>PTC-C</x:v>
      </x:c>
      <x:c r="D8" t="str">
        <x:v>source-preserving lane</x:v>
      </x:c>
      <x:c r="E8" s="19" t="n">
        <x:f>Controls!$D$25</x:f>
        <x:v>200</x:v>
      </x:c>
      <x:c r="F8" s="19" t="n">
        <x:f>Controls!$D$27</x:f>
        <x:v>250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0</x:v>
      </x:c>
      <x:c r="O8" t="str">
        <x:f>IF(AND(F8&gt;E8,MIN(G8:M8)=1),"PASS","FAIL")</x:f>
        <x:v>PASS</x:v>
      </x:c>
      <x:c r="P8" t="str">
        <x:f>IF(N8=0,"OPEN",IF(N8=1,"PASS","FAIL"))</x:f>
        <x:v>OPEN</x:v>
      </x:c>
    </x:row>
    <x:row r="9">
      <x:c r="B9" t="str">
        <x:v>MC-A1</x:v>
      </x:c>
      <x:c r="C9" t="str">
        <x:v>PTC-A</x:v>
      </x:c>
      <x:c r="D9" t="str">
        <x:v>destructive consequence</x:v>
      </x:c>
      <x:c r="E9" s="19" t="n">
        <x:f>Controls!$D$26</x:f>
        <x:v>250</x:v>
      </x:c>
      <x:c r="F9" s="19" t="n">
        <x:f>Controls!$D$28</x:f>
        <x:v>300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0</x:v>
      </x:c>
      <x:c r="O9" t="str">
        <x:f>IF(AND(F9&gt;E9,MIN(G9:M9)=1),"PASS","FAIL")</x:f>
        <x:v>PASS</x:v>
      </x:c>
      <x:c r="P9" t="str">
        <x:f>IF(N9=0,"OPEN",IF(N9=1,"PASS","FAIL"))</x:f>
        <x:v>OPEN</x:v>
      </x:c>
    </x:row>
  </x:sheetData>
  <x:conditionalFormatting sqref="O7:P9">
    <x:cfRule type="cellIs" dxfId="72" priority="1" operator="equal">
      <x:formula>"FAIL"</x:formula>
    </x:cfRule>
    <x:cfRule type="cellIs" dxfId="73" priority="2" operator="equal">
      <x:formula>"BLOCKED"</x:formula>
    </x:cfRule>
    <x:cfRule type="cellIs" dxfId="74" priority="3" operator="equal">
      <x:formula>"OPEN"</x:formula>
    </x:cfRule>
    <x:cfRule type="cellIs" dxfId="75" priority="4" operator="equal">
      <x:formula>"PASS"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18" hidden="0" customWidth="1"/>
    <x:col min="8" max="8" width="21" hidden="0" customWidth="1"/>
    <x:col min="9" max="9" width="19" hidden="0" customWidth="1"/>
    <x:col min="10" max="10" width="16" hidden="0" customWidth="1"/>
    <x:col min="11" max="11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Thirty-four-month source-boundary sequence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The four-train retention architecture adds four months to the Pass 117 safety-case horizon.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Phase</x:v>
      </x:c>
      <x:c r="C6" s="14" t="str">
        <x:v>Start month</x:v>
      </x:c>
      <x:c r="D6" s="14" t="str">
        <x:v>End month</x:v>
      </x:c>
      <x:c r="E6" s="14" t="str">
        <x:v>Duration</x:v>
      </x:c>
      <x:c r="F6" s="14" t="str">
        <x:v>Exit object</x:v>
      </x:c>
      <x:c r="G6" s="14" t="str">
        <x:v>Source-state limit</x:v>
      </x:c>
      <x:c r="H6" s="14" t="str">
        <x:v>Predecessor complete</x:v>
      </x:c>
      <x:c r="I6" s="14" t="str">
        <x:v>Authority complete</x:v>
      </x:c>
      <x:c r="J6" s="14" t="str">
        <x:v>Planning state</x:v>
      </x:c>
      <x:c r="K6" s="15" t="str">
        <x:v>Physical evidence</x:v>
      </x:c>
    </x:row>
    <x:row r="7">
      <x:c r="B7" t="str">
        <x:v>source, limits and authority freeze</x:v>
      </x:c>
      <x:c r="C7" s="20" t="n">
        <x:v>0</x:v>
      </x:c>
      <x:c r="D7" s="20" t="n">
        <x:v>4</x:v>
      </x:c>
      <x:c r="E7" s="20" t="n">
        <x:f>D7-C7</x:f>
        <x:v>4</x:v>
      </x:c>
      <x:c r="F7" t="str">
        <x:v>source, limits and authority freeze accepted object</x:v>
      </x:c>
      <x:c r="G7" t="str">
        <x:v>C0</x:v>
      </x:c>
      <x:c r="H7" t="n">
        <x:v>1</x:v>
      </x:c>
      <x:c r="I7" t="n">
        <x:v>1</x:v>
      </x:c>
      <x:c r="J7" t="str">
        <x:f>IF(AND(D7&lt;=Controls!$D$40,H7=1,I7=1),"PASS","FAIL")</x:f>
        <x:v>PASS</x:v>
      </x:c>
      <x:c r="K7" t="n">
        <x:v>0</x:v>
      </x:c>
    </x:row>
    <x:row r="8">
      <x:c r="B8" t="str">
        <x:v>internal drawing and interface release</x:v>
      </x:c>
      <x:c r="C8" s="20" t="n">
        <x:v>2</x:v>
      </x:c>
      <x:c r="D8" s="20" t="n">
        <x:v>10</x:v>
      </x:c>
      <x:c r="E8" s="20" t="n">
        <x:f>D8-C8</x:f>
        <x:v>8</x:v>
      </x:c>
      <x:c r="F8" t="str">
        <x:v>internal drawing and interface release accepted object</x:v>
      </x:c>
      <x:c r="G8" t="str">
        <x:v>C0</x:v>
      </x:c>
      <x:c r="H8" t="n">
        <x:v>1</x:v>
      </x:c>
      <x:c r="I8" t="n">
        <x:v>1</x:v>
      </x:c>
      <x:c r="J8" t="str">
        <x:f>IF(AND(D8&lt;=Controls!$D$40,H8=1,I8=1),"PASS","FAIL")</x:f>
        <x:v>PASS</x:v>
      </x:c>
      <x:c r="K8" t="n">
        <x:v>0</x:v>
      </x:c>
    </x:row>
    <x:row r="9">
      <x:c r="B9" t="str">
        <x:v>civil courts and segregated vaults</x:v>
      </x:c>
      <x:c r="C9" s="20" t="n">
        <x:v>4</x:v>
      </x:c>
      <x:c r="D9" s="20" t="n">
        <x:v>18</x:v>
      </x:c>
      <x:c r="E9" s="20" t="n">
        <x:f>D9-C9</x:f>
        <x:v>14</x:v>
      </x:c>
      <x:c r="F9" t="str">
        <x:v>civil courts and segregated vaults accepted object</x:v>
      </x:c>
      <x:c r="G9" t="str">
        <x:v>C0</x:v>
      </x:c>
      <x:c r="H9" t="n">
        <x:v>1</x:v>
      </x:c>
      <x:c r="I9" t="n">
        <x:v>1</x:v>
      </x:c>
      <x:c r="J9" t="str">
        <x:f>IF(AND(D9&lt;=Controls!$D$40,H9=1,I9=1),"PASS","FAIL")</x:f>
        <x:v>PASS</x:v>
      </x:c>
      <x:c r="K9" t="n">
        <x:v>0</x:v>
      </x:c>
    </x:row>
    <x:row r="10">
      <x:c r="B10" t="str">
        <x:v>receiver and gas-holder arrays</x:v>
      </x:c>
      <x:c r="C10" s="20" t="n">
        <x:v>8</x:v>
      </x:c>
      <x:c r="D10" s="20" t="n">
        <x:v>20</x:v>
      </x:c>
      <x:c r="E10" s="20" t="n">
        <x:f>D10-C10</x:f>
        <x:v>12</x:v>
      </x:c>
      <x:c r="F10" t="str">
        <x:v>receiver and gas-holder arrays accepted object</x:v>
      </x:c>
      <x:c r="G10" t="str">
        <x:v>C0</x:v>
      </x:c>
      <x:c r="H10" t="n">
        <x:v>1</x:v>
      </x:c>
      <x:c r="I10" t="n">
        <x:v>1</x:v>
      </x:c>
      <x:c r="J10" t="str">
        <x:f>IF(AND(D10&lt;=Controls!$D$40,H10=1,I10=1),"PASS","FAIL")</x:f>
        <x:v>PASS</x:v>
      </x:c>
      <x:c r="K10" t="n">
        <x:v>0</x:v>
      </x:c>
    </x:row>
    <x:row r="11">
      <x:c r="B11" t="str">
        <x:v>C0 commissioning and denial trials</x:v>
      </x:c>
      <x:c r="C11" s="20" t="n">
        <x:v>12</x:v>
      </x:c>
      <x:c r="D11" s="20" t="n">
        <x:v>22</x:v>
      </x:c>
      <x:c r="E11" s="20" t="n">
        <x:f>D11-C11</x:f>
        <x:v>10</x:v>
      </x:c>
      <x:c r="F11" t="str">
        <x:v>C0 commissioning and denial trials accepted object</x:v>
      </x:c>
      <x:c r="G11" t="str">
        <x:v>C0</x:v>
      </x:c>
      <x:c r="H11" t="n">
        <x:v>1</x:v>
      </x:c>
      <x:c r="I11" t="n">
        <x:v>1</x:v>
      </x:c>
      <x:c r="J11" t="str">
        <x:f>IF(AND(D11&lt;=Controls!$D$40,H11=1,I11=1),"PASS","FAIL")</x:f>
        <x:v>PASS</x:v>
      </x:c>
      <x:c r="K11" t="n">
        <x:v>0</x:v>
      </x:c>
    </x:row>
    <x:row r="12">
      <x:c r="B12" t="str">
        <x:v>limited live-source calibration</x:v>
      </x:c>
      <x:c r="C12" s="20" t="n">
        <x:v>18</x:v>
      </x:c>
      <x:c r="D12" s="20" t="n">
        <x:v>26</x:v>
      </x:c>
      <x:c r="E12" s="20" t="n">
        <x:f>D12-C12</x:f>
        <x:v>8</x:v>
      </x:c>
      <x:c r="F12" t="str">
        <x:v>limited live-source calibration accepted object</x:v>
      </x:c>
      <x:c r="G12" t="str">
        <x:v>C1</x:v>
      </x:c>
      <x:c r="H12" t="n">
        <x:v>1</x:v>
      </x:c>
      <x:c r="I12" t="n">
        <x:v>1</x:v>
      </x:c>
      <x:c r="J12" t="str">
        <x:f>IF(AND(D12&lt;=Controls!$D$40,H12=1,I12=1),"PASS","FAIL")</x:f>
        <x:v>PASS</x:v>
      </x:c>
      <x:c r="K12" t="n">
        <x:v>0</x:v>
      </x:c>
    </x:row>
    <x:row r="13">
      <x:c r="B13" t="str">
        <x:v>paired propagation exposures</x:v>
      </x:c>
      <x:c r="C13" s="20" t="n">
        <x:v>22</x:v>
      </x:c>
      <x:c r="D13" s="20" t="n">
        <x:v>30</x:v>
      </x:c>
      <x:c r="E13" s="20" t="n">
        <x:f>D13-C13</x:f>
        <x:v>8</x:v>
      </x:c>
      <x:c r="F13" t="str">
        <x:v>paired propagation exposures accepted object</x:v>
      </x:c>
      <x:c r="G13" t="str">
        <x:v>C1</x:v>
      </x:c>
      <x:c r="H13" t="n">
        <x:v>1</x:v>
      </x:c>
      <x:c r="I13" t="n">
        <x:v>1</x:v>
      </x:c>
      <x:c r="J13" t="str">
        <x:f>IF(AND(D13&lt;=Controls!$D$40,H13=1,I13=1),"PASS","FAIL")</x:f>
        <x:v>PASS</x:v>
      </x:c>
      <x:c r="K13" t="n">
        <x:v>0</x:v>
      </x:c>
    </x:row>
    <x:row r="14">
      <x:c r="B14" t="str">
        <x:v>recovery, replay and site-loss closure</x:v>
      </x:c>
      <x:c r="C14" s="20" t="n">
        <x:v>28</x:v>
      </x:c>
      <x:c r="D14" s="20" t="n">
        <x:v>33</x:v>
      </x:c>
      <x:c r="E14" s="20" t="n">
        <x:f>D14-C14</x:f>
        <x:v>5</x:v>
      </x:c>
      <x:c r="F14" t="str">
        <x:v>recovery, replay and site-loss closure accepted object</x:v>
      </x:c>
      <x:c r="G14" t="str">
        <x:v>C1</x:v>
      </x:c>
      <x:c r="H14" t="n">
        <x:v>1</x:v>
      </x:c>
      <x:c r="I14" t="n">
        <x:v>1</x:v>
      </x:c>
      <x:c r="J14" t="str">
        <x:f>IF(AND(D14&lt;=Controls!$D$40,H14=1,I14=1),"PASS","FAIL")</x:f>
        <x:v>PASS</x:v>
      </x:c>
      <x:c r="K14" t="n">
        <x:v>0</x:v>
      </x:c>
    </x:row>
    <x:row r="15">
      <x:c r="B15" t="str">
        <x:v>independent acceptance board</x:v>
      </x:c>
      <x:c r="C15" s="20" t="n">
        <x:v>32</x:v>
      </x:c>
      <x:c r="D15" s="20" t="n">
        <x:v>34</x:v>
      </x:c>
      <x:c r="E15" s="20" t="n">
        <x:f>D15-C15</x:f>
        <x:v>2</x:v>
      </x:c>
      <x:c r="F15" t="str">
        <x:v>independent acceptance board accepted object</x:v>
      </x:c>
      <x:c r="G15" t="str">
        <x:v>C1/C2 decision</x:v>
      </x:c>
      <x:c r="H15" t="n">
        <x:v>1</x:v>
      </x:c>
      <x:c r="I15" t="n">
        <x:v>1</x:v>
      </x:c>
      <x:c r="J15" t="str">
        <x:f>IF(AND(D15&lt;=Controls!$D$40,H15=1,I15=1),"PASS","FAIL")</x:f>
        <x:v>PASS</x:v>
      </x:c>
      <x:c r="K15" t="n">
        <x:v>0</x:v>
      </x:c>
    </x:row>
  </x:sheetData>
  <x:conditionalFormatting sqref="J7:J15">
    <x:cfRule type="cellIs" dxfId="76" priority="1" operator="equal">
      <x:formula>"FAIL"</x:formula>
    </x:cfRule>
    <x:cfRule type="cellIs" dxfId="77" priority="2" operator="equal">
      <x:formula>"BLOCKED"</x:formula>
    </x:cfRule>
    <x:cfRule type="cellIs" dxfId="78" priority="3" operator="equal">
      <x:formula>"OPEN"</x:formula>
    </x:cfRule>
    <x:cfRule type="cellIs" dxfId="79" priority="4" operator="equal">
      <x:formula>"PASS"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12" hidden="0" customWidth="1"/>
    <x:col min="4" max="4" width="20" hidden="0" customWidth="1"/>
    <x:col min="5" max="5" width="19" hidden="0" customWidth="1"/>
    <x:col min="6" max="6" width="55" hidden="0" customWidth="1"/>
    <x:col min="7" max="7" width="14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SBD-1 capital and revised CISA boundary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Amounts are design allocations in USD millions. SBD-1 replaces the Pass 117 MCR allocation.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Capital use</x:v>
      </x:c>
      <x:c r="C6" s="14" t="str">
        <x:v>Quantity</x:v>
      </x:c>
      <x:c r="D6" s="14" t="str">
        <x:v>Unit cost (USD M)</x:v>
      </x:c>
      <x:c r="E6" s="14" t="str">
        <x:v>Total (USD M)</x:v>
      </x:c>
      <x:c r="F6" s="14" t="str">
        <x:v>Scope</x:v>
      </x:c>
      <x:c r="G6" s="14" t="str">
        <x:v>State</x:v>
      </x:c>
      <x:c r="H6" s="15" t="str">
        <x:v>Audit</x:v>
      </x:c>
    </x:row>
    <x:row r="7">
      <x:c r="B7" t="str">
        <x:v>two operational lane courts and civil containment</x:v>
      </x:c>
      <x:c r="C7" t="n">
        <x:v>2</x:v>
      </x:c>
      <x:c r="D7" s="35" t="n">
        <x:v>75</x:v>
      </x:c>
      <x:c r="E7" s="36" t="n">
        <x:f>C7*D7</x:f>
        <x:v>150</x:v>
      </x:c>
      <x:c r="F7" t="str">
        <x:v>source courts, barriers, segmented foundations and vaults</x:v>
      </x:c>
      <x:c r="G7" t="str">
        <x:v>DESIGN</x:v>
      </x:c>
      <x:c r="H7" t="str">
        <x:f>IF(E7&gt;0,"PASS","FAIL")</x:f>
        <x:v>PASS</x:v>
      </x:c>
    </x:row>
    <x:row r="8">
      <x:c r="B8" t="str">
        <x:v>destructive consequence cell</x:v>
      </x:c>
      <x:c r="C8" t="n">
        <x:v>1</x:v>
      </x:c>
      <x:c r="D8" s="35" t="n">
        <x:v>60</x:v>
      </x:c>
      <x:c r="E8" s="36" t="n">
        <x:f>C8*D8</x:f>
        <x:v>60</x:v>
      </x:c>
      <x:c r="F8" t="str">
        <x:v>remote ignition, blast, fragment and thermal characterization</x:v>
      </x:c>
      <x:c r="G8" t="str">
        <x:v>DESIGN</x:v>
      </x:c>
      <x:c r="H8" t="str">
        <x:f>IF(E8&gt;0,"PASS","FAIL")</x:f>
        <x:v>PASS</x:v>
      </x:c>
    </x:row>
    <x:row r="9">
      <x:c r="B9" t="str">
        <x:v>four-train gas-holder arrays</x:v>
      </x:c>
      <x:c r="C9" t="n">
        <x:v>2</x:v>
      </x:c>
      <x:c r="D9" s="35" t="n">
        <x:v>36</x:v>
      </x:c>
      <x:c r="E9" s="36" t="n">
        <x:f>C9*D9</x:f>
        <x:v>72</x:v>
      </x:c>
      <x:c r="F9" t="str">
        <x:v>eight independent 2,000 m3 holder chambers</x:v>
      </x:c>
      <x:c r="G9" t="str">
        <x:v>DESIGN</x:v>
      </x:c>
      <x:c r="H9" t="str">
        <x:f>IF(E9&gt;0,"PASS","FAIL")</x:f>
        <x:v>PASS</x:v>
      </x:c>
    </x:row>
    <x:row r="10">
      <x:c r="B10" t="str">
        <x:v>pressure-receiver arrays</x:v>
      </x:c>
      <x:c r="C10" t="n">
        <x:v>2</x:v>
      </x:c>
      <x:c r="D10" s="35" t="n">
        <x:v>20</x:v>
      </x:c>
      <x:c r="E10" s="36" t="n">
        <x:f>C10*D10</x:f>
        <x:v>40</x:v>
      </x:c>
      <x:c r="F10" t="str">
        <x:v>eight independent 5,344 kg receiver trains</x:v>
      </x:c>
      <x:c r="G10" t="str">
        <x:v>DESIGN</x:v>
      </x:c>
      <x:c r="H10" t="str">
        <x:f>IF(E10&gt;0,"PASS","FAIL")</x:f>
        <x:v>PASS</x:v>
      </x:c>
    </x:row>
    <x:row r="11">
      <x:c r="B11" t="str">
        <x:v>segregated sump and firewater systems</x:v>
      </x:c>
      <x:c r="C11" t="n">
        <x:v>2</x:v>
      </x:c>
      <x:c r="D11" s="35" t="n">
        <x:v>12</x:v>
      </x:c>
      <x:c r="E11" s="36" t="n">
        <x:f>C11*D11</x:f>
        <x:v>24</x:v>
      </x:c>
      <x:c r="F11" t="str">
        <x:v>eight source sumps and eight firewater vaults</x:v>
      </x:c>
      <x:c r="G11" t="str">
        <x:v>DESIGN</x:v>
      </x:c>
      <x:c r="H11" t="str">
        <x:f>IF(E11&gt;0,"PASS","FAIL")</x:f>
        <x:v>PASS</x:v>
      </x:c>
    </x:row>
    <x:row r="12">
      <x:c r="B12" t="str">
        <x:v>instrumentation and native evidence</x:v>
      </x:c>
      <x:c r="C12" t="n">
        <x:v>1</x:v>
      </x:c>
      <x:c r="D12" s="35" t="n">
        <x:v>28</x:v>
      </x:c>
      <x:c r="E12" s="36" t="n">
        <x:f>C12*D12</x:f>
        <x:v>28</x:v>
      </x:c>
      <x:c r="F12" t="str">
        <x:v>354 channels per lane, local retention and two originals</x:v>
      </x:c>
      <x:c r="G12" t="str">
        <x:v>DESIGN</x:v>
      </x:c>
      <x:c r="H12" t="str">
        <x:f>IF(E12&gt;0,"PASS","FAIL")</x:f>
        <x:v>PASS</x:v>
      </x:c>
    </x:row>
    <x:row r="13">
      <x:c r="B13" t="str">
        <x:v>safety energy, remote operation and rescue</x:v>
      </x:c>
      <x:c r="C13" t="n">
        <x:v>1</x:v>
      </x:c>
      <x:c r="D13" s="35" t="n">
        <x:v>22</x:v>
      </x:c>
      <x:c r="E13" s="36" t="n">
        <x:f>C13*D13</x:f>
        <x:v>22</x:v>
      </x:c>
      <x:c r="F13" t="str">
        <x:v>three logic paths, robotics, refuge and medical transfer</x:v>
      </x:c>
      <x:c r="G13" t="str">
        <x:v>DESIGN</x:v>
      </x:c>
      <x:c r="H13" t="str">
        <x:f>IF(E13&gt;0,"PASS","FAIL")</x:f>
        <x:v>PASS</x:v>
      </x:c>
    </x:row>
    <x:row r="14">
      <x:c r="B14" t="str">
        <x:v>qualification articles and controlled media</x:v>
      </x:c>
      <x:c r="C14" t="n">
        <x:v>1</x:v>
      </x:c>
      <x:c r="D14" s="35" t="n">
        <x:v>24</x:v>
      </x:c>
      <x:c r="E14" s="36" t="n">
        <x:f>C14*D14</x:f>
        <x:v>24</x:v>
      </x:c>
      <x:c r="F14" t="str">
        <x:v>paired propagation exposures and replacements</x:v>
      </x:c>
      <x:c r="G14" t="str">
        <x:v>DESIGN</x:v>
      </x:c>
      <x:c r="H14" t="str">
        <x:f>IF(E14&gt;0,"PASS","FAIL")</x:f>
        <x:v>PASS</x:v>
      </x:c>
    </x:row>
    <x:row r="15">
      <x:c r="D15" s="35"/>
      <x:c r="E15" s="36"/>
    </x:row>
    <x:row r="16">
      <x:c r="B16" s="25" t="str">
        <x:v>SBD-1 corrected MCR capital</x:v>
      </x:c>
      <x:c r="C16" s="26"/>
      <x:c r="D16" s="37"/>
      <x:c r="E16" s="38" t="n">
        <x:f>SUM(E7:E14)</x:f>
        <x:v>420</x:v>
      </x:c>
      <x:c r="F16" s="26"/>
      <x:c r="G16" s="26"/>
      <x:c r="H16" s="27" t="str">
        <x:f>IF(E16=Controls!$D$42,"PASS","FAIL")</x:f>
        <x:v>PASS</x:v>
      </x:c>
    </x:row>
    <x:row r="17">
      <x:c r="D17" s="35"/>
      <x:c r="E17" s="36"/>
    </x:row>
    <x:row r="18">
      <x:c r="B18" s="25" t="str">
        <x:v>Revised capital boundary</x:v>
      </x:c>
      <x:c r="C18" s="26"/>
      <x:c r="D18" s="37"/>
      <x:c r="E18" s="38"/>
      <x:c r="F18" s="26"/>
      <x:c r="G18" s="26"/>
      <x:c r="H18" s="27"/>
    </x:row>
    <x:row r="19">
      <x:c r="B19" t="str">
        <x:v>Pass 117 BRD-3R</x:v>
      </x:c>
      <x:c r="D19" s="35"/>
      <x:c r="E19" s="36" t="n">
        <x:f>Controls!$D$45</x:f>
        <x:v>780</x:v>
      </x:c>
      <x:c r="F19" t="str">
        <x:v>inherited</x:v>
      </x:c>
      <x:c r="H19" t="str">
        <x:f>IF(E19&gt;=0,"PASS","FAIL")</x:f>
        <x:v>PASS</x:v>
      </x:c>
    </x:row>
    <x:row r="20">
      <x:c r="B20" t="str">
        <x:v>SBD-1 increase over MCR-1</x:v>
      </x:c>
      <x:c r="D20" s="35"/>
      <x:c r="E20" s="36" t="n">
        <x:f>Controls!$D$42-Controls!$D$41</x:f>
        <x:v>160</x:v>
      </x:c>
      <x:c r="F20" t="str">
        <x:v>calculated</x:v>
      </x:c>
      <x:c r="H20" t="str">
        <x:f>IF(E20&gt;=0,"PASS","FAIL")</x:f>
        <x:v>PASS</x:v>
      </x:c>
    </x:row>
    <x:row r="21">
      <x:c r="B21" t="str">
        <x:v>BRD-4R reconciled</x:v>
      </x:c>
      <x:c r="D21" s="35"/>
      <x:c r="E21" s="36" t="n">
        <x:f>E19+E20</x:f>
        <x:v>940</x:v>
      </x:c>
      <x:c r="F21" t="str">
        <x:v>calculated</x:v>
      </x:c>
      <x:c r="H21" t="str">
        <x:f>IF(E21&gt;=0,"PASS","FAIL")</x:f>
        <x:v>PASS</x:v>
      </x:c>
    </x:row>
    <x:row r="22">
      <x:c r="B22" t="str">
        <x:v>shared-estate reservation</x:v>
      </x:c>
      <x:c r="D22" s="35"/>
      <x:c r="E22" s="36" t="n">
        <x:f>Controls!$D$47</x:f>
        <x:v>128</x:v>
      </x:c>
      <x:c r="F22" t="str">
        <x:v>inherited</x:v>
      </x:c>
      <x:c r="H22" t="str">
        <x:f>IF(E22&gt;=0,"PASS","FAIL")</x:f>
        <x:v>PASS</x:v>
      </x:c>
    </x:row>
    <x:row r="23">
      <x:c r="B23" t="str">
        <x:v>BRD-4U no-credit physical use</x:v>
      </x:c>
      <x:c r="D23" s="35"/>
      <x:c r="E23" s="36" t="n">
        <x:f>E21+E22</x:f>
        <x:v>1068</x:v>
      </x:c>
      <x:c r="F23" t="str">
        <x:v>calculated</x:v>
      </x:c>
      <x:c r="H23" t="str">
        <x:f>IF(E23&gt;=0,"PASS","FAIL")</x:f>
        <x:v>PASS</x:v>
      </x:c>
    </x:row>
    <x:row r="24">
      <x:c r="B24" t="str">
        <x:v>CISA-1 capital boundary</x:v>
      </x:c>
      <x:c r="D24" s="35"/>
      <x:c r="E24" s="36" t="n">
        <x:f>Controls!$D$49</x:f>
        <x:v>960</x:v>
      </x:c>
      <x:c r="F24" t="str">
        <x:v>inherited</x:v>
      </x:c>
      <x:c r="H24" t="str">
        <x:f>IF(E24&gt;=0,"PASS","FAIL")</x:f>
        <x:v>PASS</x:v>
      </x:c>
    </x:row>
    <x:row r="25">
      <x:c r="B25" t="str">
        <x:v>remaining under BRD-4R</x:v>
      </x:c>
      <x:c r="D25" s="35"/>
      <x:c r="E25" s="36" t="n">
        <x:f>E24-E21</x:f>
        <x:v>20</x:v>
      </x:c>
      <x:c r="F25" t="str">
        <x:v>calculated</x:v>
      </x:c>
      <x:c r="H25" t="str">
        <x:f>IF(E25&gt;=0,"PASS","FAIL")</x:f>
        <x:v>PASS</x:v>
      </x:c>
    </x:row>
    <x:row r="26">
      <x:c r="B26" t="str">
        <x:v>remaining under BRD-4U</x:v>
      </x:c>
      <x:c r="D26" s="35"/>
      <x:c r="E26" s="36" t="n">
        <x:f>E24-E23</x:f>
        <x:v>-108</x:v>
      </x:c>
      <x:c r="F26" t="str">
        <x:v>calculated</x:v>
      </x:c>
      <x:c r="H26" t="str">
        <x:f>IF(E26&lt;0,"OVER","PASS")</x:f>
        <x:v>OVER</x:v>
      </x:c>
    </x:row>
  </x:sheetData>
  <x:conditionalFormatting sqref="H7:H26">
    <x:cfRule type="cellIs" dxfId="80" priority="1" operator="equal">
      <x:formula>"FAIL"</x:formula>
    </x:cfRule>
    <x:cfRule type="cellIs" dxfId="81" priority="2" operator="equal">
      <x:formula>"BLOCKED"</x:formula>
    </x:cfRule>
    <x:cfRule type="cellIs" dxfId="82" priority="3" operator="equal">
      <x:formula>"OPEN"</x:formula>
    </x:cfRule>
    <x:cfRule type="cellIs" dxfId="83" priority="4" operator="equal">
      <x:formula>"PASS"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7" hidden="0" customWidth="1"/>
    <x:col min="3" max="3" width="12" hidden="0" customWidth="1"/>
    <x:col min="4" max="4" width="23" hidden="0" customWidth="1"/>
    <x:col min="5" max="5" width="22" hidden="0" customWidth="1"/>
    <x:col min="6" max="6" width="56" hidden="0" customWidth="1"/>
    <x:col min="7" max="7" width="14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SBD-1 annual support and revised CISA boundary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Amounts are design allocations in USD millions per year.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Annual function</x:v>
      </x:c>
      <x:c r="C6" s="14" t="str">
        <x:v>Quantity</x:v>
      </x:c>
      <x:c r="D6" s="14" t="str">
        <x:v>Unit cost (USD M/year)</x:v>
      </x:c>
      <x:c r="E6" s="14" t="str">
        <x:v>Total (USD M/year)</x:v>
      </x:c>
      <x:c r="F6" s="14" t="str">
        <x:v>Scope</x:v>
      </x:c>
      <x:c r="G6" s="14" t="str">
        <x:v>State</x:v>
      </x:c>
      <x:c r="H6" s="15" t="str">
        <x:v>Audit</x:v>
      </x:c>
    </x:row>
    <x:row r="7">
      <x:c r="B7" t="str">
        <x:v>operational lane teams</x:v>
      </x:c>
      <x:c r="C7" t="n">
        <x:v>2</x:v>
      </x:c>
      <x:c r="D7" s="35" t="n">
        <x:v>7</x:v>
      </x:c>
      <x:c r="E7" s="36" t="n">
        <x:f>C7*D7</x:f>
        <x:v>14</x:v>
      </x:c>
      <x:c r="F7" t="str">
        <x:v>cell operation, maintenance and recurrent qualification</x:v>
      </x:c>
      <x:c r="G7" t="str">
        <x:v>DESIGN</x:v>
      </x:c>
      <x:c r="H7" t="str">
        <x:f>IF(E7&gt;0,"PASS","FAIL")</x:f>
        <x:v>PASS</x:v>
      </x:c>
    </x:row>
    <x:row r="8">
      <x:c r="B8" t="str">
        <x:v>consequence-cell readiness</x:v>
      </x:c>
      <x:c r="C8" t="n">
        <x:v>1</x:v>
      </x:c>
      <x:c r="D8" s="35" t="n">
        <x:v>5</x:v>
      </x:c>
      <x:c r="E8" s="36" t="n">
        <x:f>C8*D8</x:f>
        <x:v>5</x:v>
      </x:c>
      <x:c r="F8" t="str">
        <x:v>destructive-event readiness and reset</x:v>
      </x:c>
      <x:c r="G8" t="str">
        <x:v>DESIGN</x:v>
      </x:c>
      <x:c r="H8" t="str">
        <x:f>IF(E8&gt;0,"PASS","FAIL")</x:f>
        <x:v>PASS</x:v>
      </x:c>
    </x:row>
    <x:row r="9">
      <x:c r="B9" t="str">
        <x:v>retention and source recovery</x:v>
      </x:c>
      <x:c r="C9" t="n">
        <x:v>1</x:v>
      </x:c>
      <x:c r="D9" s="35" t="n">
        <x:v>8</x:v>
      </x:c>
      <x:c r="E9" s="36" t="n">
        <x:f>C9*D9</x:f>
        <x:v>8</x:v>
      </x:c>
      <x:c r="F9" t="str">
        <x:v>receivers, gas holders, sumps, custody and disposition</x:v>
      </x:c>
      <x:c r="G9" t="str">
        <x:v>DESIGN</x:v>
      </x:c>
      <x:c r="H9" t="str">
        <x:f>IF(E9&gt;0,"PASS","FAIL")</x:f>
        <x:v>PASS</x:v>
      </x:c>
    </x:row>
    <x:row r="10">
      <x:c r="B10" t="str">
        <x:v>instrumentation and native evidence</x:v>
      </x:c>
      <x:c r="C10" t="n">
        <x:v>1</x:v>
      </x:c>
      <x:c r="D10" s="35" t="n">
        <x:v>5</x:v>
      </x:c>
      <x:c r="E10" s="36" t="n">
        <x:f>C10*D10</x:f>
        <x:v>5</x:v>
      </x:c>
      <x:c r="F10" t="str">
        <x:v>calibration, storage, time and independent review</x:v>
      </x:c>
      <x:c r="G10" t="str">
        <x:v>DESIGN</x:v>
      </x:c>
      <x:c r="H10" t="str">
        <x:f>IF(E10&gt;0,"PASS","FAIL")</x:f>
        <x:v>PASS</x:v>
      </x:c>
    </x:row>
    <x:row r="11">
      <x:c r="B11" t="str">
        <x:v>safety, rescue and medical</x:v>
      </x:c>
      <x:c r="C11" t="n">
        <x:v>1</x:v>
      </x:c>
      <x:c r="D11" s="35" t="n">
        <x:v>4</x:v>
      </x:c>
      <x:c r="E11" s="36" t="n">
        <x:f>C11*D11</x:f>
        <x:v>4</x:v>
      </x:c>
      <x:c r="F11" t="str">
        <x:v>independent logic, robotics, refuge and care</x:v>
      </x:c>
      <x:c r="G11" t="str">
        <x:v>DESIGN</x:v>
      </x:c>
      <x:c r="H11" t="str">
        <x:f>IF(E11&gt;0,"PASS","FAIL")</x:f>
        <x:v>PASS</x:v>
      </x:c>
    </x:row>
    <x:row r="12">
      <x:c r="B12" t="str">
        <x:v>controlled media and maintenance</x:v>
      </x:c>
      <x:c r="C12" t="n">
        <x:v>1</x:v>
      </x:c>
      <x:c r="D12" s="35" t="n">
        <x:v>6</x:v>
      </x:c>
      <x:c r="E12" s="36" t="n">
        <x:f>C12*D12</x:f>
        <x:v>6</x:v>
      </x:c>
      <x:c r="F12" t="str">
        <x:v>source media, replacements and specialist maintenance</x:v>
      </x:c>
      <x:c r="G12" t="str">
        <x:v>DESIGN</x:v>
      </x:c>
      <x:c r="H12" t="str">
        <x:f>IF(E12&gt;0,"PASS","FAIL")</x:f>
        <x:v>PASS</x:v>
      </x:c>
    </x:row>
    <x:row r="13">
      <x:c r="D13" s="35"/>
      <x:c r="E13" s="36"/>
    </x:row>
    <x:row r="14">
      <x:c r="B14" s="25" t="str">
        <x:v>SBD-1 corrected annual support</x:v>
      </x:c>
      <x:c r="C14" s="26"/>
      <x:c r="D14" s="37"/>
      <x:c r="E14" s="38" t="n">
        <x:f>SUM(E7:E12)</x:f>
        <x:v>42</x:v>
      </x:c>
      <x:c r="F14" s="26"/>
      <x:c r="G14" s="26"/>
      <x:c r="H14" s="27" t="str">
        <x:f>IF(E14=Controls!$D$44,"PASS","FAIL")</x:f>
        <x:v>PASS</x:v>
      </x:c>
    </x:row>
    <x:row r="15">
      <x:c r="D15" s="35"/>
      <x:c r="E15" s="36"/>
    </x:row>
    <x:row r="16">
      <x:c r="B16" s="25" t="str">
        <x:v>Revised annual boundary</x:v>
      </x:c>
      <x:c r="C16" s="26"/>
      <x:c r="D16" s="37"/>
      <x:c r="E16" s="38"/>
      <x:c r="F16" s="26"/>
      <x:c r="G16" s="26"/>
      <x:c r="H16" s="27"/>
    </x:row>
    <x:row r="17">
      <x:c r="B17" t="str">
        <x:v>Pass 117 BRD-3R annual support</x:v>
      </x:c>
      <x:c r="D17" s="35"/>
      <x:c r="E17" s="36" t="n">
        <x:f>Controls!$D$46</x:f>
        <x:v>157</x:v>
      </x:c>
      <x:c r="H17" t="str">
        <x:f>IF(E17&gt;=0,"PASS","FAIL")</x:f>
        <x:v>PASS</x:v>
      </x:c>
    </x:row>
    <x:row r="18">
      <x:c r="B18" t="str">
        <x:v>SBD-1 increase over MCR-1</x:v>
      </x:c>
      <x:c r="D18" s="35"/>
      <x:c r="E18" s="36" t="n">
        <x:f>Controls!$D$44-Controls!$D$43</x:f>
        <x:v>17</x:v>
      </x:c>
      <x:c r="H18" t="str">
        <x:f>IF(E18&gt;=0,"PASS","FAIL")</x:f>
        <x:v>PASS</x:v>
      </x:c>
    </x:row>
    <x:row r="19">
      <x:c r="B19" t="str">
        <x:v>BRD-4R reconciled</x:v>
      </x:c>
      <x:c r="D19" s="35"/>
      <x:c r="E19" s="36" t="n">
        <x:f>E17+E18</x:f>
        <x:v>174</x:v>
      </x:c>
      <x:c r="H19" t="str">
        <x:f>IF(E19&gt;=0,"PASS","FAIL")</x:f>
        <x:v>PASS</x:v>
      </x:c>
    </x:row>
    <x:row r="20">
      <x:c r="B20" t="str">
        <x:v>shared-estate annual reservation</x:v>
      </x:c>
      <x:c r="D20" s="35"/>
      <x:c r="E20" s="36" t="n">
        <x:f>Controls!$D$48</x:f>
        <x:v>41</x:v>
      </x:c>
      <x:c r="H20" t="str">
        <x:f>IF(E20&gt;=0,"PASS","FAIL")</x:f>
        <x:v>PASS</x:v>
      </x:c>
    </x:row>
    <x:row r="21">
      <x:c r="B21" t="str">
        <x:v>BRD-4U no-credit physical use</x:v>
      </x:c>
      <x:c r="D21" s="35"/>
      <x:c r="E21" s="36" t="n">
        <x:f>E19+E20</x:f>
        <x:v>215</x:v>
      </x:c>
      <x:c r="H21" t="str">
        <x:f>IF(E21&gt;=0,"PASS","FAIL")</x:f>
        <x:v>PASS</x:v>
      </x:c>
    </x:row>
    <x:row r="22">
      <x:c r="B22" t="str">
        <x:v>CISA-1 annual boundary</x:v>
      </x:c>
      <x:c r="D22" s="35"/>
      <x:c r="E22" s="36" t="n">
        <x:f>Controls!$D$50</x:f>
        <x:v>260</x:v>
      </x:c>
      <x:c r="H22" t="str">
        <x:f>IF(E22&gt;=0,"PASS","FAIL")</x:f>
        <x:v>PASS</x:v>
      </x:c>
    </x:row>
    <x:row r="23">
      <x:c r="B23" t="str">
        <x:v>remaining under BRD-4R</x:v>
      </x:c>
      <x:c r="D23" s="35"/>
      <x:c r="E23" s="36" t="n">
        <x:f>E22-E19</x:f>
        <x:v>86</x:v>
      </x:c>
      <x:c r="H23" t="str">
        <x:f>IF(E23&gt;=0,"PASS","FAIL")</x:f>
        <x:v>PASS</x:v>
      </x:c>
    </x:row>
    <x:row r="24">
      <x:c r="B24" t="str">
        <x:v>remaining under BRD-4U</x:v>
      </x:c>
      <x:c r="D24" s="35"/>
      <x:c r="E24" s="36" t="n">
        <x:f>E22-E21</x:f>
        <x:v>45</x:v>
      </x:c>
      <x:c r="H24" t="str">
        <x:f>IF(E24&gt;=0,"PASS","FAIL")</x:f>
        <x:v>PASS</x:v>
      </x:c>
    </x:row>
  </x:sheetData>
  <x:conditionalFormatting sqref="H7:H24">
    <x:cfRule type="cellIs" dxfId="84" priority="1" operator="equal">
      <x:formula>"FAIL"</x:formula>
    </x:cfRule>
    <x:cfRule type="cellIs" dxfId="85" priority="2" operator="equal">
      <x:formula>"BLOCKED"</x:formula>
    </x:cfRule>
    <x:cfRule type="cellIs" dxfId="86" priority="3" operator="equal">
      <x:formula>"OPEN"</x:formula>
    </x:cfRule>
    <x:cfRule type="cellIs" dxfId="87" priority="4" operator="equal">
      <x:formula>"PASS"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3" hidden="0" customWidth="1"/>
    <x:col min="4" max="4" width="35" hidden="0" customWidth="1"/>
    <x:col min="5" max="5" width="12" hidden="0" customWidth="1"/>
    <x:col min="6" max="6" width="12" hidden="0" customWidth="1"/>
    <x:col min="7" max="7" width="46" hidden="0" customWidth="1"/>
    <x:col min="8" max="8" width="30" hidden="0" customWidth="1"/>
    <x:col min="9" max="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Planning, physical and downstream release gates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Planning completeness cannot close a physical source. Downstream authority remains separately governed.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Gate</x:v>
      </x:c>
      <x:c r="C6" s="14" t="str">
        <x:v>Class</x:v>
      </x:c>
      <x:c r="D6" s="14" t="str">
        <x:v>Object</x:v>
      </x:c>
      <x:c r="E6" s="14" t="str">
        <x:v>Required</x:v>
      </x:c>
      <x:c r="F6" s="14" t="str">
        <x:v>Observed</x:v>
      </x:c>
      <x:c r="G6" s="14" t="str">
        <x:v>Source</x:v>
      </x:c>
      <x:c r="H6" s="14" t="str">
        <x:v>Authority</x:v>
      </x:c>
      <x:c r="I6" s="15" t="str">
        <x:v>State</x:v>
      </x:c>
    </x:row>
    <x:row r="7">
      <x:c r="B7" t="str">
        <x:v>PL-DRW-01</x:v>
      </x:c>
      <x:c r="C7" t="str">
        <x:v>planning</x:v>
      </x:c>
      <x:c r="D7" t="str">
        <x:v>drawing package</x:v>
      </x:c>
      <x:c r="E7" t="str">
        <x:v>PASS</x:v>
      </x:c>
      <x:c r="F7" t="str">
        <x:f>'Drawing Register'!L7</x:f>
        <x:v>PASS</x:v>
      </x:c>
      <x:c r="G7" t="str">
        <x:v>'Drawing Register'!L7</x:v>
      </x:c>
      <x:c r="H7" t="str">
        <x:v>planning constitution</x:v>
      </x:c>
      <x:c r="I7" t="str">
        <x:f>IF(E7=F7,"PASS","FAIL")</x:f>
        <x:v>PASS</x:v>
      </x:c>
    </x:row>
    <x:row r="8">
      <x:c r="B8" t="str">
        <x:v>PL-DRW-02</x:v>
      </x:c>
      <x:c r="C8" t="str">
        <x:v>planning</x:v>
      </x:c>
      <x:c r="D8" t="str">
        <x:v>drawing package</x:v>
      </x:c>
      <x:c r="E8" t="str">
        <x:v>PASS</x:v>
      </x:c>
      <x:c r="F8" t="str">
        <x:f>'Drawing Register'!L8</x:f>
        <x:v>PASS</x:v>
      </x:c>
      <x:c r="G8" t="str">
        <x:v>'Drawing Register'!L8</x:v>
      </x:c>
      <x:c r="H8" t="str">
        <x:v>planning constitution</x:v>
      </x:c>
      <x:c r="I8" t="str">
        <x:f>IF(E8=F8,"PASS","FAIL")</x:f>
        <x:v>PASS</x:v>
      </x:c>
    </x:row>
    <x:row r="9">
      <x:c r="B9" t="str">
        <x:v>PL-DRW-03</x:v>
      </x:c>
      <x:c r="C9" t="str">
        <x:v>planning</x:v>
      </x:c>
      <x:c r="D9" t="str">
        <x:v>drawing package</x:v>
      </x:c>
      <x:c r="E9" t="str">
        <x:v>PASS</x:v>
      </x:c>
      <x:c r="F9" t="str">
        <x:f>'Drawing Register'!L9</x:f>
        <x:v>PASS</x:v>
      </x:c>
      <x:c r="G9" t="str">
        <x:v>'Drawing Register'!L9</x:v>
      </x:c>
      <x:c r="H9" t="str">
        <x:v>planning constitution</x:v>
      </x:c>
      <x:c r="I9" t="str">
        <x:f>IF(E9=F9,"PASS","FAIL")</x:f>
        <x:v>PASS</x:v>
      </x:c>
    </x:row>
    <x:row r="10">
      <x:c r="B10" t="str">
        <x:v>PL-DRW-04</x:v>
      </x:c>
      <x:c r="C10" t="str">
        <x:v>planning</x:v>
      </x:c>
      <x:c r="D10" t="str">
        <x:v>drawing package</x:v>
      </x:c>
      <x:c r="E10" t="str">
        <x:v>PASS</x:v>
      </x:c>
      <x:c r="F10" t="str">
        <x:f>'Drawing Register'!L10</x:f>
        <x:v>PASS</x:v>
      </x:c>
      <x:c r="G10" t="str">
        <x:v>'Drawing Register'!L10</x:v>
      </x:c>
      <x:c r="H10" t="str">
        <x:v>planning constitution</x:v>
      </x:c>
      <x:c r="I10" t="str">
        <x:f>IF(E10=F10,"PASS","FAIL")</x:f>
        <x:v>PASS</x:v>
      </x:c>
    </x:row>
    <x:row r="11">
      <x:c r="B11" t="str">
        <x:v>PL-DRW-05</x:v>
      </x:c>
      <x:c r="C11" t="str">
        <x:v>planning</x:v>
      </x:c>
      <x:c r="D11" t="str">
        <x:v>drawing package</x:v>
      </x:c>
      <x:c r="E11" t="str">
        <x:v>PASS</x:v>
      </x:c>
      <x:c r="F11" t="str">
        <x:f>'Drawing Register'!L11</x:f>
        <x:v>PASS</x:v>
      </x:c>
      <x:c r="G11" t="str">
        <x:v>'Drawing Register'!L11</x:v>
      </x:c>
      <x:c r="H11" t="str">
        <x:v>planning constitution</x:v>
      </x:c>
      <x:c r="I11" t="str">
        <x:f>IF(E11=F11,"PASS","FAIL")</x:f>
        <x:v>PASS</x:v>
      </x:c>
    </x:row>
    <x:row r="12">
      <x:c r="B12" t="str">
        <x:v>PL-DRW-06</x:v>
      </x:c>
      <x:c r="C12" t="str">
        <x:v>planning</x:v>
      </x:c>
      <x:c r="D12" t="str">
        <x:v>drawing package</x:v>
      </x:c>
      <x:c r="E12" t="str">
        <x:v>PASS</x:v>
      </x:c>
      <x:c r="F12" t="str">
        <x:f>'Drawing Register'!L12</x:f>
        <x:v>PASS</x:v>
      </x:c>
      <x:c r="G12" t="str">
        <x:v>'Drawing Register'!L12</x:v>
      </x:c>
      <x:c r="H12" t="str">
        <x:v>planning constitution</x:v>
      </x:c>
      <x:c r="I12" t="str">
        <x:f>IF(E12=F12,"PASS","FAIL")</x:f>
        <x:v>PASS</x:v>
      </x:c>
    </x:row>
    <x:row r="13">
      <x:c r="B13" t="str">
        <x:v>PL-DRW-07</x:v>
      </x:c>
      <x:c r="C13" t="str">
        <x:v>planning</x:v>
      </x:c>
      <x:c r="D13" t="str">
        <x:v>drawing package</x:v>
      </x:c>
      <x:c r="E13" t="str">
        <x:v>PASS</x:v>
      </x:c>
      <x:c r="F13" t="str">
        <x:f>'Drawing Register'!L13</x:f>
        <x:v>PASS</x:v>
      </x:c>
      <x:c r="G13" t="str">
        <x:v>'Drawing Register'!L13</x:v>
      </x:c>
      <x:c r="H13" t="str">
        <x:v>planning constitution</x:v>
      </x:c>
      <x:c r="I13" t="str">
        <x:f>IF(E13=F13,"PASS","FAIL")</x:f>
        <x:v>PASS</x:v>
      </x:c>
    </x:row>
    <x:row r="14">
      <x:c r="B14" t="str">
        <x:v>PL-DRW-08</x:v>
      </x:c>
      <x:c r="C14" t="str">
        <x:v>planning</x:v>
      </x:c>
      <x:c r="D14" t="str">
        <x:v>drawing package</x:v>
      </x:c>
      <x:c r="E14" t="str">
        <x:v>PASS</x:v>
      </x:c>
      <x:c r="F14" t="str">
        <x:f>'Drawing Register'!L14</x:f>
        <x:v>PASS</x:v>
      </x:c>
      <x:c r="G14" t="str">
        <x:v>'Drawing Register'!L14</x:v>
      </x:c>
      <x:c r="H14" t="str">
        <x:v>planning constitution</x:v>
      </x:c>
      <x:c r="I14" t="str">
        <x:f>IF(E14=F14,"PASS","FAIL")</x:f>
        <x:v>PASS</x:v>
      </x:c>
    </x:row>
    <x:row r="15">
      <x:c r="B15" t="str">
        <x:v>PL-DRW-09</x:v>
      </x:c>
      <x:c r="C15" t="str">
        <x:v>planning</x:v>
      </x:c>
      <x:c r="D15" t="str">
        <x:v>drawing package</x:v>
      </x:c>
      <x:c r="E15" t="str">
        <x:v>PASS</x:v>
      </x:c>
      <x:c r="F15" t="str">
        <x:f>'Drawing Register'!L15</x:f>
        <x:v>PASS</x:v>
      </x:c>
      <x:c r="G15" t="str">
        <x:v>'Drawing Register'!L15</x:v>
      </x:c>
      <x:c r="H15" t="str">
        <x:v>planning constitution</x:v>
      </x:c>
      <x:c r="I15" t="str">
        <x:f>IF(E15=F15,"PASS","FAIL")</x:f>
        <x:v>PASS</x:v>
      </x:c>
    </x:row>
    <x:row r="16">
      <x:c r="B16" t="str">
        <x:v>PL-DRW-10</x:v>
      </x:c>
      <x:c r="C16" t="str">
        <x:v>planning</x:v>
      </x:c>
      <x:c r="D16" t="str">
        <x:v>drawing package</x:v>
      </x:c>
      <x:c r="E16" t="str">
        <x:v>PASS</x:v>
      </x:c>
      <x:c r="F16" t="str">
        <x:f>'Drawing Register'!L16</x:f>
        <x:v>PASS</x:v>
      </x:c>
      <x:c r="G16" t="str">
        <x:v>'Drawing Register'!L16</x:v>
      </x:c>
      <x:c r="H16" t="str">
        <x:v>planning constitution</x:v>
      </x:c>
      <x:c r="I16" t="str">
        <x:f>IF(E16=F16,"PASS","FAIL")</x:f>
        <x:v>PASS</x:v>
      </x:c>
    </x:row>
    <x:row r="17">
      <x:c r="B17" t="str">
        <x:v>PL-DRW-11</x:v>
      </x:c>
      <x:c r="C17" t="str">
        <x:v>planning</x:v>
      </x:c>
      <x:c r="D17" t="str">
        <x:v>drawing package</x:v>
      </x:c>
      <x:c r="E17" t="str">
        <x:v>PASS</x:v>
      </x:c>
      <x:c r="F17" t="str">
        <x:f>'Drawing Register'!L17</x:f>
        <x:v>PASS</x:v>
      </x:c>
      <x:c r="G17" t="str">
        <x:v>'Drawing Register'!L17</x:v>
      </x:c>
      <x:c r="H17" t="str">
        <x:v>planning constitution</x:v>
      </x:c>
      <x:c r="I17" t="str">
        <x:f>IF(E17=F17,"PASS","FAIL")</x:f>
        <x:v>PASS</x:v>
      </x:c>
    </x:row>
    <x:row r="18">
      <x:c r="B18" t="str">
        <x:v>PL-DRW-12</x:v>
      </x:c>
      <x:c r="C18" t="str">
        <x:v>planning</x:v>
      </x:c>
      <x:c r="D18" t="str">
        <x:v>drawing package</x:v>
      </x:c>
      <x:c r="E18" t="str">
        <x:v>PASS</x:v>
      </x:c>
      <x:c r="F18" t="str">
        <x:f>'Drawing Register'!L18</x:f>
        <x:v>PASS</x:v>
      </x:c>
      <x:c r="G18" t="str">
        <x:v>'Drawing Register'!L18</x:v>
      </x:c>
      <x:c r="H18" t="str">
        <x:v>planning constitution</x:v>
      </x:c>
      <x:c r="I18" t="str">
        <x:f>IF(E18=F18,"PASS","FAIL")</x:f>
        <x:v>PASS</x:v>
      </x:c>
    </x:row>
    <x:row r="19">
      <x:c r="B19" t="str">
        <x:v>PL-DRW-13</x:v>
      </x:c>
      <x:c r="C19" t="str">
        <x:v>planning</x:v>
      </x:c>
      <x:c r="D19" t="str">
        <x:v>drawing package</x:v>
      </x:c>
      <x:c r="E19" t="str">
        <x:v>PASS</x:v>
      </x:c>
      <x:c r="F19" t="str">
        <x:f>'Drawing Register'!L19</x:f>
        <x:v>PASS</x:v>
      </x:c>
      <x:c r="G19" t="str">
        <x:v>'Drawing Register'!L19</x:v>
      </x:c>
      <x:c r="H19" t="str">
        <x:v>planning constitution</x:v>
      </x:c>
      <x:c r="I19" t="str">
        <x:f>IF(E19=F19,"PASS","FAIL")</x:f>
        <x:v>PASS</x:v>
      </x:c>
    </x:row>
    <x:row r="20">
      <x:c r="B20" t="str">
        <x:v>PL-DRW-14</x:v>
      </x:c>
      <x:c r="C20" t="str">
        <x:v>planning</x:v>
      </x:c>
      <x:c r="D20" t="str">
        <x:v>drawing package</x:v>
      </x:c>
      <x:c r="E20" t="str">
        <x:v>PASS</x:v>
      </x:c>
      <x:c r="F20" t="str">
        <x:f>'Drawing Register'!L20</x:f>
        <x:v>PASS</x:v>
      </x:c>
      <x:c r="G20" t="str">
        <x:v>'Drawing Register'!L20</x:v>
      </x:c>
      <x:c r="H20" t="str">
        <x:v>planning constitution</x:v>
      </x:c>
      <x:c r="I20" t="str">
        <x:f>IF(E20=F20,"PASS","FAIL")</x:f>
        <x:v>PASS</x:v>
      </x:c>
    </x:row>
    <x:row r="21">
      <x:c r="B21" t="str">
        <x:v>PL-DRW-15</x:v>
      </x:c>
      <x:c r="C21" t="str">
        <x:v>planning</x:v>
      </x:c>
      <x:c r="D21" t="str">
        <x:v>drawing package</x:v>
      </x:c>
      <x:c r="E21" t="str">
        <x:v>PASS</x:v>
      </x:c>
      <x:c r="F21" t="str">
        <x:f>'Drawing Register'!L21</x:f>
        <x:v>PASS</x:v>
      </x:c>
      <x:c r="G21" t="str">
        <x:v>'Drawing Register'!L21</x:v>
      </x:c>
      <x:c r="H21" t="str">
        <x:v>planning constitution</x:v>
      </x:c>
      <x:c r="I21" t="str">
        <x:f>IF(E21=F21,"PASS","FAIL")</x:f>
        <x:v>PASS</x:v>
      </x:c>
    </x:row>
    <x:row r="22">
      <x:c r="B22" t="str">
        <x:v>PL-DRW-16</x:v>
      </x:c>
      <x:c r="C22" t="str">
        <x:v>planning</x:v>
      </x:c>
      <x:c r="D22" t="str">
        <x:v>drawing package</x:v>
      </x:c>
      <x:c r="E22" t="str">
        <x:v>PASS</x:v>
      </x:c>
      <x:c r="F22" t="str">
        <x:f>'Drawing Register'!L22</x:f>
        <x:v>PASS</x:v>
      </x:c>
      <x:c r="G22" t="str">
        <x:v>'Drawing Register'!L22</x:v>
      </x:c>
      <x:c r="H22" t="str">
        <x:v>planning constitution</x:v>
      </x:c>
      <x:c r="I22" t="str">
        <x:f>IF(E22=F22,"PASS","FAIL")</x:f>
        <x:v>PASS</x:v>
      </x:c>
    </x:row>
    <x:row r="23">
      <x:c r="B23" t="str">
        <x:v>PL-DRW-17</x:v>
      </x:c>
      <x:c r="C23" t="str">
        <x:v>planning</x:v>
      </x:c>
      <x:c r="D23" t="str">
        <x:v>drawing package</x:v>
      </x:c>
      <x:c r="E23" t="str">
        <x:v>PASS</x:v>
      </x:c>
      <x:c r="F23" t="str">
        <x:f>'Drawing Register'!L23</x:f>
        <x:v>PASS</x:v>
      </x:c>
      <x:c r="G23" t="str">
        <x:v>'Drawing Register'!L23</x:v>
      </x:c>
      <x:c r="H23" t="str">
        <x:v>planning constitution</x:v>
      </x:c>
      <x:c r="I23" t="str">
        <x:f>IF(E23=F23,"PASS","FAIL")</x:f>
        <x:v>PASS</x:v>
      </x:c>
    </x:row>
    <x:row r="24">
      <x:c r="B24" t="str">
        <x:v>PL-DRW-18</x:v>
      </x:c>
      <x:c r="C24" t="str">
        <x:v>planning</x:v>
      </x:c>
      <x:c r="D24" t="str">
        <x:v>drawing package</x:v>
      </x:c>
      <x:c r="E24" t="str">
        <x:v>PASS</x:v>
      </x:c>
      <x:c r="F24" t="str">
        <x:f>'Drawing Register'!L24</x:f>
        <x:v>PASS</x:v>
      </x:c>
      <x:c r="G24" t="str">
        <x:v>'Drawing Register'!L24</x:v>
      </x:c>
      <x:c r="H24" t="str">
        <x:v>planning constitution</x:v>
      </x:c>
      <x:c r="I24" t="str">
        <x:f>IF(E24=F24,"PASS","FAIL")</x:f>
        <x:v>PASS</x:v>
      </x:c>
    </x:row>
    <x:row r="25">
      <x:c r="B25" t="str">
        <x:v>PL-DRW-19</x:v>
      </x:c>
      <x:c r="C25" t="str">
        <x:v>planning</x:v>
      </x:c>
      <x:c r="D25" t="str">
        <x:v>drawing package</x:v>
      </x:c>
      <x:c r="E25" t="str">
        <x:v>PASS</x:v>
      </x:c>
      <x:c r="F25" t="str">
        <x:f>'Drawing Register'!L25</x:f>
        <x:v>PASS</x:v>
      </x:c>
      <x:c r="G25" t="str">
        <x:v>'Drawing Register'!L25</x:v>
      </x:c>
      <x:c r="H25" t="str">
        <x:v>planning constitution</x:v>
      </x:c>
      <x:c r="I25" t="str">
        <x:f>IF(E25=F25,"PASS","FAIL")</x:f>
        <x:v>PASS</x:v>
      </x:c>
    </x:row>
    <x:row r="26">
      <x:c r="B26" t="str">
        <x:v>PL-DRW-20</x:v>
      </x:c>
      <x:c r="C26" t="str">
        <x:v>planning</x:v>
      </x:c>
      <x:c r="D26" t="str">
        <x:v>drawing package</x:v>
      </x:c>
      <x:c r="E26" t="str">
        <x:v>PASS</x:v>
      </x:c>
      <x:c r="F26" t="str">
        <x:f>'Drawing Register'!L26</x:f>
        <x:v>PASS</x:v>
      </x:c>
      <x:c r="G26" t="str">
        <x:v>'Drawing Register'!L26</x:v>
      </x:c>
      <x:c r="H26" t="str">
        <x:v>planning constitution</x:v>
      </x:c>
      <x:c r="I26" t="str">
        <x:f>IF(E26=F26,"PASS","FAIL")</x:f>
        <x:v>PASS</x:v>
      </x:c>
    </x:row>
    <x:row r="27">
      <x:c r="B27" t="str">
        <x:v>PL-DRW-21</x:v>
      </x:c>
      <x:c r="C27" t="str">
        <x:v>planning</x:v>
      </x:c>
      <x:c r="D27" t="str">
        <x:v>drawing package</x:v>
      </x:c>
      <x:c r="E27" t="str">
        <x:v>PASS</x:v>
      </x:c>
      <x:c r="F27" t="str">
        <x:f>'Drawing Register'!L27</x:f>
        <x:v>PASS</x:v>
      </x:c>
      <x:c r="G27" t="str">
        <x:v>'Drawing Register'!L27</x:v>
      </x:c>
      <x:c r="H27" t="str">
        <x:v>planning constitution</x:v>
      </x:c>
      <x:c r="I27" t="str">
        <x:f>IF(E27=F27,"PASS","FAIL")</x:f>
        <x:v>PASS</x:v>
      </x:c>
    </x:row>
    <x:row r="28">
      <x:c r="B28" t="str">
        <x:v>PL-DRW-22</x:v>
      </x:c>
      <x:c r="C28" t="str">
        <x:v>planning</x:v>
      </x:c>
      <x:c r="D28" t="str">
        <x:v>drawing package</x:v>
      </x:c>
      <x:c r="E28" t="str">
        <x:v>PASS</x:v>
      </x:c>
      <x:c r="F28" t="str">
        <x:f>'Drawing Register'!L28</x:f>
        <x:v>PASS</x:v>
      </x:c>
      <x:c r="G28" t="str">
        <x:v>'Drawing Register'!L28</x:v>
      </x:c>
      <x:c r="H28" t="str">
        <x:v>planning constitution</x:v>
      </x:c>
      <x:c r="I28" t="str">
        <x:f>IF(E28=F28,"PASS","FAIL")</x:f>
        <x:v>PASS</x:v>
      </x:c>
    </x:row>
    <x:row r="29">
      <x:c r="B29" t="str">
        <x:v>PL-DRW-23</x:v>
      </x:c>
      <x:c r="C29" t="str">
        <x:v>planning</x:v>
      </x:c>
      <x:c r="D29" t="str">
        <x:v>drawing package</x:v>
      </x:c>
      <x:c r="E29" t="str">
        <x:v>PASS</x:v>
      </x:c>
      <x:c r="F29" t="str">
        <x:f>'Drawing Register'!L29</x:f>
        <x:v>PASS</x:v>
      </x:c>
      <x:c r="G29" t="str">
        <x:v>'Drawing Register'!L29</x:v>
      </x:c>
      <x:c r="H29" t="str">
        <x:v>planning constitution</x:v>
      </x:c>
      <x:c r="I29" t="str">
        <x:f>IF(E29=F29,"PASS","FAIL")</x:f>
        <x:v>PASS</x:v>
      </x:c>
    </x:row>
    <x:row r="30">
      <x:c r="B30" t="str">
        <x:v>PL-DRW-24</x:v>
      </x:c>
      <x:c r="C30" t="str">
        <x:v>planning</x:v>
      </x:c>
      <x:c r="D30" t="str">
        <x:v>drawing package</x:v>
      </x:c>
      <x:c r="E30" t="str">
        <x:v>PASS</x:v>
      </x:c>
      <x:c r="F30" t="str">
        <x:f>'Drawing Register'!L30</x:f>
        <x:v>PASS</x:v>
      </x:c>
      <x:c r="G30" t="str">
        <x:v>'Drawing Register'!L30</x:v>
      </x:c>
      <x:c r="H30" t="str">
        <x:v>planning constitution</x:v>
      </x:c>
      <x:c r="I30" t="str">
        <x:f>IF(E30=F30,"PASS","FAIL")</x:f>
        <x:v>PASS</x:v>
      </x:c>
    </x:row>
    <x:row r="31">
      <x:c r="B31" t="str">
        <x:v>PL-DRW-25</x:v>
      </x:c>
      <x:c r="C31" t="str">
        <x:v>planning</x:v>
      </x:c>
      <x:c r="D31" t="str">
        <x:v>drawing package</x:v>
      </x:c>
      <x:c r="E31" t="str">
        <x:v>PASS</x:v>
      </x:c>
      <x:c r="F31" t="str">
        <x:f>'Drawing Register'!L31</x:f>
        <x:v>PASS</x:v>
      </x:c>
      <x:c r="G31" t="str">
        <x:v>'Drawing Register'!L31</x:v>
      </x:c>
      <x:c r="H31" t="str">
        <x:v>planning constitution</x:v>
      </x:c>
      <x:c r="I31" t="str">
        <x:f>IF(E31=F31,"PASS","FAIL")</x:f>
        <x:v>PASS</x:v>
      </x:c>
    </x:row>
    <x:row r="32">
      <x:c r="B32" t="str">
        <x:v>PL-DRW-26</x:v>
      </x:c>
      <x:c r="C32" t="str">
        <x:v>planning</x:v>
      </x:c>
      <x:c r="D32" t="str">
        <x:v>drawing package</x:v>
      </x:c>
      <x:c r="E32" t="str">
        <x:v>PASS</x:v>
      </x:c>
      <x:c r="F32" t="str">
        <x:f>'Drawing Register'!L32</x:f>
        <x:v>PASS</x:v>
      </x:c>
      <x:c r="G32" t="str">
        <x:v>'Drawing Register'!L32</x:v>
      </x:c>
      <x:c r="H32" t="str">
        <x:v>planning constitution</x:v>
      </x:c>
      <x:c r="I32" t="str">
        <x:f>IF(E32=F32,"PASS","FAIL")</x:f>
        <x:v>PASS</x:v>
      </x:c>
    </x:row>
    <x:row r="33">
      <x:c r="B33" t="str">
        <x:v>PL-DRW-27</x:v>
      </x:c>
      <x:c r="C33" t="str">
        <x:v>planning</x:v>
      </x:c>
      <x:c r="D33" t="str">
        <x:v>drawing package</x:v>
      </x:c>
      <x:c r="E33" t="str">
        <x:v>PASS</x:v>
      </x:c>
      <x:c r="F33" t="str">
        <x:f>'Drawing Register'!L33</x:f>
        <x:v>PASS</x:v>
      </x:c>
      <x:c r="G33" t="str">
        <x:v>'Drawing Register'!L33</x:v>
      </x:c>
      <x:c r="H33" t="str">
        <x:v>planning constitution</x:v>
      </x:c>
      <x:c r="I33" t="str">
        <x:f>IF(E33=F33,"PASS","FAIL")</x:f>
        <x:v>PASS</x:v>
      </x:c>
    </x:row>
    <x:row r="34">
      <x:c r="B34" t="str">
        <x:v>PL-DRW-28</x:v>
      </x:c>
      <x:c r="C34" t="str">
        <x:v>planning</x:v>
      </x:c>
      <x:c r="D34" t="str">
        <x:v>drawing package</x:v>
      </x:c>
      <x:c r="E34" t="str">
        <x:v>PASS</x:v>
      </x:c>
      <x:c r="F34" t="str">
        <x:f>'Drawing Register'!L34</x:f>
        <x:v>PASS</x:v>
      </x:c>
      <x:c r="G34" t="str">
        <x:v>'Drawing Register'!L34</x:v>
      </x:c>
      <x:c r="H34" t="str">
        <x:v>planning constitution</x:v>
      </x:c>
      <x:c r="I34" t="str">
        <x:f>IF(E34=F34,"PASS","FAIL")</x:f>
        <x:v>PASS</x:v>
      </x:c>
    </x:row>
    <x:row r="35">
      <x:c r="B35" t="str">
        <x:v>PL-DRW-29</x:v>
      </x:c>
      <x:c r="C35" t="str">
        <x:v>planning</x:v>
      </x:c>
      <x:c r="D35" t="str">
        <x:v>drawing package</x:v>
      </x:c>
      <x:c r="E35" t="str">
        <x:v>PASS</x:v>
      </x:c>
      <x:c r="F35" t="str">
        <x:f>'Drawing Register'!L35</x:f>
        <x:v>PASS</x:v>
      </x:c>
      <x:c r="G35" t="str">
        <x:v>'Drawing Register'!L35</x:v>
      </x:c>
      <x:c r="H35" t="str">
        <x:v>planning constitution</x:v>
      </x:c>
      <x:c r="I35" t="str">
        <x:f>IF(E35=F35,"PASS","FAIL")</x:f>
        <x:v>PASS</x:v>
      </x:c>
    </x:row>
    <x:row r="36">
      <x:c r="B36" t="str">
        <x:v>PL-DRW-30</x:v>
      </x:c>
      <x:c r="C36" t="str">
        <x:v>planning</x:v>
      </x:c>
      <x:c r="D36" t="str">
        <x:v>drawing package</x:v>
      </x:c>
      <x:c r="E36" t="str">
        <x:v>PASS</x:v>
      </x:c>
      <x:c r="F36" t="str">
        <x:f>'Drawing Register'!L36</x:f>
        <x:v>PASS</x:v>
      </x:c>
      <x:c r="G36" t="str">
        <x:v>'Drawing Register'!L36</x:v>
      </x:c>
      <x:c r="H36" t="str">
        <x:v>planning constitution</x:v>
      </x:c>
      <x:c r="I36" t="str">
        <x:f>IF(E36=F36,"PASS","FAIL")</x:f>
        <x:v>PASS</x:v>
      </x:c>
    </x:row>
    <x:row r="37">
      <x:c r="B37" t="str">
        <x:v>PL-DRW-31</x:v>
      </x:c>
      <x:c r="C37" t="str">
        <x:v>planning</x:v>
      </x:c>
      <x:c r="D37" t="str">
        <x:v>drawing package</x:v>
      </x:c>
      <x:c r="E37" t="str">
        <x:v>PASS</x:v>
      </x:c>
      <x:c r="F37" t="str">
        <x:f>'Drawing Register'!L37</x:f>
        <x:v>PASS</x:v>
      </x:c>
      <x:c r="G37" t="str">
        <x:v>'Drawing Register'!L37</x:v>
      </x:c>
      <x:c r="H37" t="str">
        <x:v>planning constitution</x:v>
      </x:c>
      <x:c r="I37" t="str">
        <x:f>IF(E37=F37,"PASS","FAIL")</x:f>
        <x:v>PASS</x:v>
      </x:c>
    </x:row>
    <x:row r="38">
      <x:c r="B38" t="str">
        <x:v>PL-DRW-32</x:v>
      </x:c>
      <x:c r="C38" t="str">
        <x:v>planning</x:v>
      </x:c>
      <x:c r="D38" t="str">
        <x:v>drawing package</x:v>
      </x:c>
      <x:c r="E38" t="str">
        <x:v>PASS</x:v>
      </x:c>
      <x:c r="F38" t="str">
        <x:f>'Drawing Register'!L38</x:f>
        <x:v>PASS</x:v>
      </x:c>
      <x:c r="G38" t="str">
        <x:v>'Drawing Register'!L38</x:v>
      </x:c>
      <x:c r="H38" t="str">
        <x:v>planning constitution</x:v>
      </x:c>
      <x:c r="I38" t="str">
        <x:f>IF(E38=F38,"PASS","FAIL")</x:f>
        <x:v>PASS</x:v>
      </x:c>
    </x:row>
    <x:row r="39">
      <x:c r="B39" t="str">
        <x:v>PL-DRW-33</x:v>
      </x:c>
      <x:c r="C39" t="str">
        <x:v>planning</x:v>
      </x:c>
      <x:c r="D39" t="str">
        <x:v>drawing package</x:v>
      </x:c>
      <x:c r="E39" t="str">
        <x:v>PASS</x:v>
      </x:c>
      <x:c r="F39" t="str">
        <x:f>'Drawing Register'!L39</x:f>
        <x:v>PASS</x:v>
      </x:c>
      <x:c r="G39" t="str">
        <x:v>'Drawing Register'!L39</x:v>
      </x:c>
      <x:c r="H39" t="str">
        <x:v>planning constitution</x:v>
      </x:c>
      <x:c r="I39" t="str">
        <x:f>IF(E39=F39,"PASS","FAIL")</x:f>
        <x:v>PASS</x:v>
      </x:c>
    </x:row>
    <x:row r="40">
      <x:c r="B40" t="str">
        <x:v>PL-DRW-34</x:v>
      </x:c>
      <x:c r="C40" t="str">
        <x:v>planning</x:v>
      </x:c>
      <x:c r="D40" t="str">
        <x:v>drawing package</x:v>
      </x:c>
      <x:c r="E40" t="str">
        <x:v>PASS</x:v>
      </x:c>
      <x:c r="F40" t="str">
        <x:f>'Drawing Register'!L40</x:f>
        <x:v>PASS</x:v>
      </x:c>
      <x:c r="G40" t="str">
        <x:v>'Drawing Register'!L40</x:v>
      </x:c>
      <x:c r="H40" t="str">
        <x:v>planning constitution</x:v>
      </x:c>
      <x:c r="I40" t="str">
        <x:f>IF(E40=F40,"PASS","FAIL")</x:f>
        <x:v>PASS</x:v>
      </x:c>
    </x:row>
    <x:row r="41">
      <x:c r="B41" t="str">
        <x:v>PL-DRW-35</x:v>
      </x:c>
      <x:c r="C41" t="str">
        <x:v>planning</x:v>
      </x:c>
      <x:c r="D41" t="str">
        <x:v>drawing package</x:v>
      </x:c>
      <x:c r="E41" t="str">
        <x:v>PASS</x:v>
      </x:c>
      <x:c r="F41" t="str">
        <x:f>'Drawing Register'!L41</x:f>
        <x:v>PASS</x:v>
      </x:c>
      <x:c r="G41" t="str">
        <x:v>'Drawing Register'!L41</x:v>
      </x:c>
      <x:c r="H41" t="str">
        <x:v>planning constitution</x:v>
      </x:c>
      <x:c r="I41" t="str">
        <x:f>IF(E41=F41,"PASS","FAIL")</x:f>
        <x:v>PASS</x:v>
      </x:c>
    </x:row>
    <x:row r="42">
      <x:c r="B42" t="str">
        <x:v>PL-DRW-36</x:v>
      </x:c>
      <x:c r="C42" t="str">
        <x:v>planning</x:v>
      </x:c>
      <x:c r="D42" t="str">
        <x:v>drawing package</x:v>
      </x:c>
      <x:c r="E42" t="str">
        <x:v>PASS</x:v>
      </x:c>
      <x:c r="F42" t="str">
        <x:f>'Drawing Register'!L42</x:f>
        <x:v>PASS</x:v>
      </x:c>
      <x:c r="G42" t="str">
        <x:v>'Drawing Register'!L42</x:v>
      </x:c>
      <x:c r="H42" t="str">
        <x:v>planning constitution</x:v>
      </x:c>
      <x:c r="I42" t="str">
        <x:f>IF(E42=F42,"PASS","FAIL")</x:f>
        <x:v>PASS</x:v>
      </x:c>
    </x:row>
    <x:row r="43">
      <x:c r="B43" t="str">
        <x:v>PL-DRW-37</x:v>
      </x:c>
      <x:c r="C43" t="str">
        <x:v>planning</x:v>
      </x:c>
      <x:c r="D43" t="str">
        <x:v>drawing package</x:v>
      </x:c>
      <x:c r="E43" t="str">
        <x:v>PASS</x:v>
      </x:c>
      <x:c r="F43" t="str">
        <x:f>'Drawing Register'!L43</x:f>
        <x:v>PASS</x:v>
      </x:c>
      <x:c r="G43" t="str">
        <x:v>'Drawing Register'!L43</x:v>
      </x:c>
      <x:c r="H43" t="str">
        <x:v>planning constitution</x:v>
      </x:c>
      <x:c r="I43" t="str">
        <x:f>IF(E43=F43,"PASS","FAIL")</x:f>
        <x:v>PASS</x:v>
      </x:c>
    </x:row>
    <x:row r="44">
      <x:c r="B44" t="str">
        <x:v>PL-DRW-38</x:v>
      </x:c>
      <x:c r="C44" t="str">
        <x:v>planning</x:v>
      </x:c>
      <x:c r="D44" t="str">
        <x:v>drawing package</x:v>
      </x:c>
      <x:c r="E44" t="str">
        <x:v>PASS</x:v>
      </x:c>
      <x:c r="F44" t="str">
        <x:f>'Drawing Register'!L44</x:f>
        <x:v>PASS</x:v>
      </x:c>
      <x:c r="G44" t="str">
        <x:v>'Drawing Register'!L44</x:v>
      </x:c>
      <x:c r="H44" t="str">
        <x:v>planning constitution</x:v>
      </x:c>
      <x:c r="I44" t="str">
        <x:f>IF(E44=F44,"PASS","FAIL")</x:f>
        <x:v>PASS</x:v>
      </x:c>
    </x:row>
    <x:row r="45">
      <x:c r="B45" t="str">
        <x:v>PL-DRW-39</x:v>
      </x:c>
      <x:c r="C45" t="str">
        <x:v>planning</x:v>
      </x:c>
      <x:c r="D45" t="str">
        <x:v>drawing package</x:v>
      </x:c>
      <x:c r="E45" t="str">
        <x:v>PASS</x:v>
      </x:c>
      <x:c r="F45" t="str">
        <x:f>'Drawing Register'!L45</x:f>
        <x:v>PASS</x:v>
      </x:c>
      <x:c r="G45" t="str">
        <x:v>'Drawing Register'!L45</x:v>
      </x:c>
      <x:c r="H45" t="str">
        <x:v>planning constitution</x:v>
      </x:c>
      <x:c r="I45" t="str">
        <x:f>IF(E45=F45,"PASS","FAIL")</x:f>
        <x:v>PASS</x:v>
      </x:c>
    </x:row>
    <x:row r="46">
      <x:c r="B46" t="str">
        <x:v>PL-DRW-40</x:v>
      </x:c>
      <x:c r="C46" t="str">
        <x:v>planning</x:v>
      </x:c>
      <x:c r="D46" t="str">
        <x:v>drawing package</x:v>
      </x:c>
      <x:c r="E46" t="str">
        <x:v>PASS</x:v>
      </x:c>
      <x:c r="F46" t="str">
        <x:f>'Drawing Register'!L46</x:f>
        <x:v>PASS</x:v>
      </x:c>
      <x:c r="G46" t="str">
        <x:v>'Drawing Register'!L46</x:v>
      </x:c>
      <x:c r="H46" t="str">
        <x:v>planning constitution</x:v>
      </x:c>
      <x:c r="I46" t="str">
        <x:f>IF(E46=F46,"PASS","FAIL")</x:f>
        <x:v>PASS</x:v>
      </x:c>
    </x:row>
    <x:row r="47">
      <x:c r="B47" t="str">
        <x:v>PL-DRW-41</x:v>
      </x:c>
      <x:c r="C47" t="str">
        <x:v>planning</x:v>
      </x:c>
      <x:c r="D47" t="str">
        <x:v>drawing package</x:v>
      </x:c>
      <x:c r="E47" t="str">
        <x:v>PASS</x:v>
      </x:c>
      <x:c r="F47" t="str">
        <x:f>'Drawing Register'!L47</x:f>
        <x:v>PASS</x:v>
      </x:c>
      <x:c r="G47" t="str">
        <x:v>'Drawing Register'!L47</x:v>
      </x:c>
      <x:c r="H47" t="str">
        <x:v>planning constitution</x:v>
      </x:c>
      <x:c r="I47" t="str">
        <x:f>IF(E47=F47,"PASS","FAIL")</x:f>
        <x:v>PASS</x:v>
      </x:c>
    </x:row>
    <x:row r="48">
      <x:c r="B48" t="str">
        <x:v>PL-DRW-42</x:v>
      </x:c>
      <x:c r="C48" t="str">
        <x:v>planning</x:v>
      </x:c>
      <x:c r="D48" t="str">
        <x:v>drawing package</x:v>
      </x:c>
      <x:c r="E48" t="str">
        <x:v>PASS</x:v>
      </x:c>
      <x:c r="F48" t="str">
        <x:f>'Drawing Register'!L48</x:f>
        <x:v>PASS</x:v>
      </x:c>
      <x:c r="G48" t="str">
        <x:v>'Drawing Register'!L48</x:v>
      </x:c>
      <x:c r="H48" t="str">
        <x:v>planning constitution</x:v>
      </x:c>
      <x:c r="I48" t="str">
        <x:f>IF(E48=F48,"PASS","FAIL")</x:f>
        <x:v>PASS</x:v>
      </x:c>
    </x:row>
    <x:row r="49">
      <x:c r="B49" t="str">
        <x:v>PL-DRW-43</x:v>
      </x:c>
      <x:c r="C49" t="str">
        <x:v>planning</x:v>
      </x:c>
      <x:c r="D49" t="str">
        <x:v>drawing package</x:v>
      </x:c>
      <x:c r="E49" t="str">
        <x:v>PASS</x:v>
      </x:c>
      <x:c r="F49" t="str">
        <x:f>'Drawing Register'!L49</x:f>
        <x:v>PASS</x:v>
      </x:c>
      <x:c r="G49" t="str">
        <x:v>'Drawing Register'!L49</x:v>
      </x:c>
      <x:c r="H49" t="str">
        <x:v>planning constitution</x:v>
      </x:c>
      <x:c r="I49" t="str">
        <x:f>IF(E49=F49,"PASS","FAIL")</x:f>
        <x:v>PASS</x:v>
      </x:c>
    </x:row>
    <x:row r="50">
      <x:c r="B50" t="str">
        <x:v>PL-DRW-44</x:v>
      </x:c>
      <x:c r="C50" t="str">
        <x:v>planning</x:v>
      </x:c>
      <x:c r="D50" t="str">
        <x:v>drawing package</x:v>
      </x:c>
      <x:c r="E50" t="str">
        <x:v>PASS</x:v>
      </x:c>
      <x:c r="F50" t="str">
        <x:f>'Drawing Register'!L50</x:f>
        <x:v>PASS</x:v>
      </x:c>
      <x:c r="G50" t="str">
        <x:v>'Drawing Register'!L50</x:v>
      </x:c>
      <x:c r="H50" t="str">
        <x:v>planning constitution</x:v>
      </x:c>
      <x:c r="I50" t="str">
        <x:f>IF(E50=F50,"PASS","FAIL")</x:f>
        <x:v>PASS</x:v>
      </x:c>
    </x:row>
    <x:row r="51">
      <x:c r="B51" t="str">
        <x:v>PL-DRW-45</x:v>
      </x:c>
      <x:c r="C51" t="str">
        <x:v>planning</x:v>
      </x:c>
      <x:c r="D51" t="str">
        <x:v>drawing package</x:v>
      </x:c>
      <x:c r="E51" t="str">
        <x:v>PASS</x:v>
      </x:c>
      <x:c r="F51" t="str">
        <x:f>'Drawing Register'!L51</x:f>
        <x:v>PASS</x:v>
      </x:c>
      <x:c r="G51" t="str">
        <x:v>'Drawing Register'!L51</x:v>
      </x:c>
      <x:c r="H51" t="str">
        <x:v>planning constitution</x:v>
      </x:c>
      <x:c r="I51" t="str">
        <x:f>IF(E51=F51,"PASS","FAIL")</x:f>
        <x:v>PASS</x:v>
      </x:c>
    </x:row>
    <x:row r="52">
      <x:c r="B52" t="str">
        <x:v>PL-DRW-46</x:v>
      </x:c>
      <x:c r="C52" t="str">
        <x:v>planning</x:v>
      </x:c>
      <x:c r="D52" t="str">
        <x:v>drawing package</x:v>
      </x:c>
      <x:c r="E52" t="str">
        <x:v>PASS</x:v>
      </x:c>
      <x:c r="F52" t="str">
        <x:f>'Drawing Register'!L52</x:f>
        <x:v>PASS</x:v>
      </x:c>
      <x:c r="G52" t="str">
        <x:v>'Drawing Register'!L52</x:v>
      </x:c>
      <x:c r="H52" t="str">
        <x:v>planning constitution</x:v>
      </x:c>
      <x:c r="I52" t="str">
        <x:f>IF(E52=F52,"PASS","FAIL")</x:f>
        <x:v>PASS</x:v>
      </x:c>
    </x:row>
    <x:row r="53">
      <x:c r="B53" t="str">
        <x:v>PL-DRW-47</x:v>
      </x:c>
      <x:c r="C53" t="str">
        <x:v>planning</x:v>
      </x:c>
      <x:c r="D53" t="str">
        <x:v>drawing package</x:v>
      </x:c>
      <x:c r="E53" t="str">
        <x:v>PASS</x:v>
      </x:c>
      <x:c r="F53" t="str">
        <x:f>'Drawing Register'!L53</x:f>
        <x:v>PASS</x:v>
      </x:c>
      <x:c r="G53" t="str">
        <x:v>'Drawing Register'!L53</x:v>
      </x:c>
      <x:c r="H53" t="str">
        <x:v>planning constitution</x:v>
      </x:c>
      <x:c r="I53" t="str">
        <x:f>IF(E53=F53,"PASS","FAIL")</x:f>
        <x:v>PASS</x:v>
      </x:c>
    </x:row>
    <x:row r="54">
      <x:c r="B54" t="str">
        <x:v>PL-DRW-48</x:v>
      </x:c>
      <x:c r="C54" t="str">
        <x:v>planning</x:v>
      </x:c>
      <x:c r="D54" t="str">
        <x:v>drawing package</x:v>
      </x:c>
      <x:c r="E54" t="str">
        <x:v>PASS</x:v>
      </x:c>
      <x:c r="F54" t="str">
        <x:f>'Drawing Register'!L54</x:f>
        <x:v>PASS</x:v>
      </x:c>
      <x:c r="G54" t="str">
        <x:v>'Drawing Register'!L54</x:v>
      </x:c>
      <x:c r="H54" t="str">
        <x:v>planning constitution</x:v>
      </x:c>
      <x:c r="I54" t="str">
        <x:f>IF(E54=F54,"PASS","FAIL")</x:f>
        <x:v>PASS</x:v>
      </x:c>
    </x:row>
    <x:row r="55">
      <x:c r="B55" t="str">
        <x:v>PL-DRW-49</x:v>
      </x:c>
      <x:c r="C55" t="str">
        <x:v>planning</x:v>
      </x:c>
      <x:c r="D55" t="str">
        <x:v>drawing package</x:v>
      </x:c>
      <x:c r="E55" t="str">
        <x:v>PASS</x:v>
      </x:c>
      <x:c r="F55" t="str">
        <x:f>'Drawing Register'!L55</x:f>
        <x:v>PASS</x:v>
      </x:c>
      <x:c r="G55" t="str">
        <x:v>'Drawing Register'!L55</x:v>
      </x:c>
      <x:c r="H55" t="str">
        <x:v>planning constitution</x:v>
      </x:c>
      <x:c r="I55" t="str">
        <x:f>IF(E55=F55,"PASS","FAIL")</x:f>
        <x:v>PASS</x:v>
      </x:c>
    </x:row>
    <x:row r="56">
      <x:c r="B56" t="str">
        <x:v>PL-DRW-50</x:v>
      </x:c>
      <x:c r="C56" t="str">
        <x:v>planning</x:v>
      </x:c>
      <x:c r="D56" t="str">
        <x:v>drawing package</x:v>
      </x:c>
      <x:c r="E56" t="str">
        <x:v>PASS</x:v>
      </x:c>
      <x:c r="F56" t="str">
        <x:f>'Drawing Register'!L56</x:f>
        <x:v>PASS</x:v>
      </x:c>
      <x:c r="G56" t="str">
        <x:v>'Drawing Register'!L56</x:v>
      </x:c>
      <x:c r="H56" t="str">
        <x:v>planning constitution</x:v>
      </x:c>
      <x:c r="I56" t="str">
        <x:f>IF(E56=F56,"PASS","FAIL")</x:f>
        <x:v>PASS</x:v>
      </x:c>
    </x:row>
    <x:row r="57">
      <x:c r="B57" t="str">
        <x:v>PL-DRW-51</x:v>
      </x:c>
      <x:c r="C57" t="str">
        <x:v>planning</x:v>
      </x:c>
      <x:c r="D57" t="str">
        <x:v>drawing package</x:v>
      </x:c>
      <x:c r="E57" t="str">
        <x:v>PASS</x:v>
      </x:c>
      <x:c r="F57" t="str">
        <x:f>'Drawing Register'!L57</x:f>
        <x:v>PASS</x:v>
      </x:c>
      <x:c r="G57" t="str">
        <x:v>'Drawing Register'!L57</x:v>
      </x:c>
      <x:c r="H57" t="str">
        <x:v>planning constitution</x:v>
      </x:c>
      <x:c r="I57" t="str">
        <x:f>IF(E57=F57,"PASS","FAIL")</x:f>
        <x:v>PASS</x:v>
      </x:c>
    </x:row>
    <x:row r="58">
      <x:c r="B58" t="str">
        <x:v>PL-DRW-52</x:v>
      </x:c>
      <x:c r="C58" t="str">
        <x:v>planning</x:v>
      </x:c>
      <x:c r="D58" t="str">
        <x:v>drawing package</x:v>
      </x:c>
      <x:c r="E58" t="str">
        <x:v>PASS</x:v>
      </x:c>
      <x:c r="F58" t="str">
        <x:f>'Drawing Register'!L58</x:f>
        <x:v>PASS</x:v>
      </x:c>
      <x:c r="G58" t="str">
        <x:v>'Drawing Register'!L58</x:v>
      </x:c>
      <x:c r="H58" t="str">
        <x:v>planning constitution</x:v>
      </x:c>
      <x:c r="I58" t="str">
        <x:f>IF(E58=F58,"PASS","FAIL")</x:f>
        <x:v>PASS</x:v>
      </x:c>
    </x:row>
    <x:row r="59">
      <x:c r="B59" t="str">
        <x:v>PL-DRW-53</x:v>
      </x:c>
      <x:c r="C59" t="str">
        <x:v>planning</x:v>
      </x:c>
      <x:c r="D59" t="str">
        <x:v>drawing package</x:v>
      </x:c>
      <x:c r="E59" t="str">
        <x:v>PASS</x:v>
      </x:c>
      <x:c r="F59" t="str">
        <x:f>'Drawing Register'!L59</x:f>
        <x:v>PASS</x:v>
      </x:c>
      <x:c r="G59" t="str">
        <x:v>'Drawing Register'!L59</x:v>
      </x:c>
      <x:c r="H59" t="str">
        <x:v>planning constitution</x:v>
      </x:c>
      <x:c r="I59" t="str">
        <x:f>IF(E59=F59,"PASS","FAIL")</x:f>
        <x:v>PASS</x:v>
      </x:c>
    </x:row>
    <x:row r="60">
      <x:c r="B60" t="str">
        <x:v>PL-DRW-54</x:v>
      </x:c>
      <x:c r="C60" t="str">
        <x:v>planning</x:v>
      </x:c>
      <x:c r="D60" t="str">
        <x:v>drawing package</x:v>
      </x:c>
      <x:c r="E60" t="str">
        <x:v>PASS</x:v>
      </x:c>
      <x:c r="F60" t="str">
        <x:f>'Drawing Register'!L60</x:f>
        <x:v>PASS</x:v>
      </x:c>
      <x:c r="G60" t="str">
        <x:v>'Drawing Register'!L60</x:v>
      </x:c>
      <x:c r="H60" t="str">
        <x:v>planning constitution</x:v>
      </x:c>
      <x:c r="I60" t="str">
        <x:f>IF(E60=F60,"PASS","FAIL")</x:f>
        <x:v>PASS</x:v>
      </x:c>
    </x:row>
    <x:row r="61">
      <x:c r="B61" t="str">
        <x:v>PL-DRW-55</x:v>
      </x:c>
      <x:c r="C61" t="str">
        <x:v>planning</x:v>
      </x:c>
      <x:c r="D61" t="str">
        <x:v>drawing package</x:v>
      </x:c>
      <x:c r="E61" t="str">
        <x:v>PASS</x:v>
      </x:c>
      <x:c r="F61" t="str">
        <x:f>'Drawing Register'!L61</x:f>
        <x:v>PASS</x:v>
      </x:c>
      <x:c r="G61" t="str">
        <x:v>'Drawing Register'!L61</x:v>
      </x:c>
      <x:c r="H61" t="str">
        <x:v>planning constitution</x:v>
      </x:c>
      <x:c r="I61" t="str">
        <x:f>IF(E61=F61,"PASS","FAIL")</x:f>
        <x:v>PASS</x:v>
      </x:c>
    </x:row>
    <x:row r="62">
      <x:c r="B62" t="str">
        <x:v>PL-DRW-56</x:v>
      </x:c>
      <x:c r="C62" t="str">
        <x:v>planning</x:v>
      </x:c>
      <x:c r="D62" t="str">
        <x:v>drawing package</x:v>
      </x:c>
      <x:c r="E62" t="str">
        <x:v>PASS</x:v>
      </x:c>
      <x:c r="F62" t="str">
        <x:f>'Drawing Register'!L62</x:f>
        <x:v>PASS</x:v>
      </x:c>
      <x:c r="G62" t="str">
        <x:v>'Drawing Register'!L62</x:v>
      </x:c>
      <x:c r="H62" t="str">
        <x:v>planning constitution</x:v>
      </x:c>
      <x:c r="I62" t="str">
        <x:f>IF(E62=F62,"PASS","FAIL")</x:f>
        <x:v>PASS</x:v>
      </x:c>
    </x:row>
    <x:row r="63">
      <x:c r="B63" t="str">
        <x:v>PL-DRW-57</x:v>
      </x:c>
      <x:c r="C63" t="str">
        <x:v>planning</x:v>
      </x:c>
      <x:c r="D63" t="str">
        <x:v>drawing package</x:v>
      </x:c>
      <x:c r="E63" t="str">
        <x:v>PASS</x:v>
      </x:c>
      <x:c r="F63" t="str">
        <x:f>'Drawing Register'!L63</x:f>
        <x:v>PASS</x:v>
      </x:c>
      <x:c r="G63" t="str">
        <x:v>'Drawing Register'!L63</x:v>
      </x:c>
      <x:c r="H63" t="str">
        <x:v>planning constitution</x:v>
      </x:c>
      <x:c r="I63" t="str">
        <x:f>IF(E63=F63,"PASS","FAIL")</x:f>
        <x:v>PASS</x:v>
      </x:c>
    </x:row>
    <x:row r="64">
      <x:c r="B64" t="str">
        <x:v>PL-DRW-58</x:v>
      </x:c>
      <x:c r="C64" t="str">
        <x:v>planning</x:v>
      </x:c>
      <x:c r="D64" t="str">
        <x:v>drawing package</x:v>
      </x:c>
      <x:c r="E64" t="str">
        <x:v>PASS</x:v>
      </x:c>
      <x:c r="F64" t="str">
        <x:f>'Drawing Register'!L64</x:f>
        <x:v>PASS</x:v>
      </x:c>
      <x:c r="G64" t="str">
        <x:v>'Drawing Register'!L64</x:v>
      </x:c>
      <x:c r="H64" t="str">
        <x:v>planning constitution</x:v>
      </x:c>
      <x:c r="I64" t="str">
        <x:f>IF(E64=F64,"PASS","FAIL")</x:f>
        <x:v>PASS</x:v>
      </x:c>
    </x:row>
    <x:row r="65">
      <x:c r="B65" t="str">
        <x:v>PL-DRW-59</x:v>
      </x:c>
      <x:c r="C65" t="str">
        <x:v>planning</x:v>
      </x:c>
      <x:c r="D65" t="str">
        <x:v>drawing package</x:v>
      </x:c>
      <x:c r="E65" t="str">
        <x:v>PASS</x:v>
      </x:c>
      <x:c r="F65" t="str">
        <x:f>'Drawing Register'!L65</x:f>
        <x:v>PASS</x:v>
      </x:c>
      <x:c r="G65" t="str">
        <x:v>'Drawing Register'!L65</x:v>
      </x:c>
      <x:c r="H65" t="str">
        <x:v>planning constitution</x:v>
      </x:c>
      <x:c r="I65" t="str">
        <x:f>IF(E65=F65,"PASS","FAIL")</x:f>
        <x:v>PASS</x:v>
      </x:c>
    </x:row>
    <x:row r="66">
      <x:c r="B66" t="str">
        <x:v>PL-DRW-60</x:v>
      </x:c>
      <x:c r="C66" t="str">
        <x:v>planning</x:v>
      </x:c>
      <x:c r="D66" t="str">
        <x:v>drawing package</x:v>
      </x:c>
      <x:c r="E66" t="str">
        <x:v>PASS</x:v>
      </x:c>
      <x:c r="F66" t="str">
        <x:f>'Drawing Register'!L66</x:f>
        <x:v>PASS</x:v>
      </x:c>
      <x:c r="G66" t="str">
        <x:v>'Drawing Register'!L66</x:v>
      </x:c>
      <x:c r="H66" t="str">
        <x:v>planning constitution</x:v>
      </x:c>
      <x:c r="I66" t="str">
        <x:f>IF(E66=F66,"PASS","FAIL")</x:f>
        <x:v>PASS</x:v>
      </x:c>
    </x:row>
    <x:row r="67">
      <x:c r="B67" t="str">
        <x:v>PL-DRW-61</x:v>
      </x:c>
      <x:c r="C67" t="str">
        <x:v>planning</x:v>
      </x:c>
      <x:c r="D67" t="str">
        <x:v>drawing package</x:v>
      </x:c>
      <x:c r="E67" t="str">
        <x:v>PASS</x:v>
      </x:c>
      <x:c r="F67" t="str">
        <x:f>'Drawing Register'!L67</x:f>
        <x:v>PASS</x:v>
      </x:c>
      <x:c r="G67" t="str">
        <x:v>'Drawing Register'!L67</x:v>
      </x:c>
      <x:c r="H67" t="str">
        <x:v>planning constitution</x:v>
      </x:c>
      <x:c r="I67" t="str">
        <x:f>IF(E67=F67,"PASS","FAIL")</x:f>
        <x:v>PASS</x:v>
      </x:c>
    </x:row>
    <x:row r="68">
      <x:c r="B68" t="str">
        <x:v>PL-DRW-62</x:v>
      </x:c>
      <x:c r="C68" t="str">
        <x:v>planning</x:v>
      </x:c>
      <x:c r="D68" t="str">
        <x:v>drawing package</x:v>
      </x:c>
      <x:c r="E68" t="str">
        <x:v>PASS</x:v>
      </x:c>
      <x:c r="F68" t="str">
        <x:f>'Drawing Register'!L68</x:f>
        <x:v>PASS</x:v>
      </x:c>
      <x:c r="G68" t="str">
        <x:v>'Drawing Register'!L68</x:v>
      </x:c>
      <x:c r="H68" t="str">
        <x:v>planning constitution</x:v>
      </x:c>
      <x:c r="I68" t="str">
        <x:f>IF(E68=F68,"PASS","FAIL")</x:f>
        <x:v>PASS</x:v>
      </x:c>
    </x:row>
    <x:row r="69">
      <x:c r="B69" t="str">
        <x:v>PL-DRW-63</x:v>
      </x:c>
      <x:c r="C69" t="str">
        <x:v>planning</x:v>
      </x:c>
      <x:c r="D69" t="str">
        <x:v>drawing package</x:v>
      </x:c>
      <x:c r="E69" t="str">
        <x:v>PASS</x:v>
      </x:c>
      <x:c r="F69" t="str">
        <x:f>'Drawing Register'!L69</x:f>
        <x:v>PASS</x:v>
      </x:c>
      <x:c r="G69" t="str">
        <x:v>'Drawing Register'!L69</x:v>
      </x:c>
      <x:c r="H69" t="str">
        <x:v>planning constitution</x:v>
      </x:c>
      <x:c r="I69" t="str">
        <x:f>IF(E69=F69,"PASS","FAIL")</x:f>
        <x:v>PASS</x:v>
      </x:c>
    </x:row>
    <x:row r="70">
      <x:c r="B70" t="str">
        <x:v>PL-DRW-64</x:v>
      </x:c>
      <x:c r="C70" t="str">
        <x:v>planning</x:v>
      </x:c>
      <x:c r="D70" t="str">
        <x:v>drawing package</x:v>
      </x:c>
      <x:c r="E70" t="str">
        <x:v>PASS</x:v>
      </x:c>
      <x:c r="F70" t="str">
        <x:f>'Drawing Register'!L70</x:f>
        <x:v>PASS</x:v>
      </x:c>
      <x:c r="G70" t="str">
        <x:v>'Drawing Register'!L70</x:v>
      </x:c>
      <x:c r="H70" t="str">
        <x:v>planning constitution</x:v>
      </x:c>
      <x:c r="I70" t="str">
        <x:f>IF(E70=F70,"PASS","FAIL")</x:f>
        <x:v>PASS</x:v>
      </x:c>
    </x:row>
    <x:row r="71">
      <x:c r="B71" t="str">
        <x:v>PL-ROUTE-A-B-1</x:v>
      </x:c>
      <x:c r="C71" t="str">
        <x:v>planning</x:v>
      </x:c>
      <x:c r="D71" t="str">
        <x:v>source route</x:v>
      </x:c>
      <x:c r="E71" t="str">
        <x:v>PASS</x:v>
      </x:c>
      <x:c r="F71" t="str">
        <x:f>IF(COUNTIFS('No Common Path'!$C$7:$C$182,"A",'No Common Path'!$D$7:$D$182,"PTC-B",'No Common Path'!$E$7:$E$182,"SP-1",'No Common Path'!$L$7:$L$182,"PASS")=11,"PASS","FAIL")</x:f>
        <x:v>PASS</x:v>
      </x:c>
      <x:c r="G71" t="str">
        <x:v>IF(COUNTIFS('No Common Path'!$C$7:$C$182,"A",'No Common Path'!$D$7:$D$182,"PTC-B",'No Common Path'!$E$7:$E$182,"SP-1",'No Common Path'!$L$7:$L$182,"PASS")=11,"PASS","FAIL")</x:v>
      </x:c>
      <x:c r="H71" t="str">
        <x:v>planning constitution</x:v>
      </x:c>
      <x:c r="I71" t="str">
        <x:f>IF(E71=F71,"PASS","FAIL")</x:f>
        <x:v>PASS</x:v>
      </x:c>
    </x:row>
    <x:row r="72">
      <x:c r="B72" t="str">
        <x:v>PL-ROUTE-A-B-2</x:v>
      </x:c>
      <x:c r="C72" t="str">
        <x:v>planning</x:v>
      </x:c>
      <x:c r="D72" t="str">
        <x:v>source route</x:v>
      </x:c>
      <x:c r="E72" t="str">
        <x:v>PASS</x:v>
      </x:c>
      <x:c r="F72" t="str">
        <x:f>IF(COUNTIFS('No Common Path'!$C$7:$C$182,"A",'No Common Path'!$D$7:$D$182,"PTC-B",'No Common Path'!$E$7:$E$182,"SP-2",'No Common Path'!$L$7:$L$182,"PASS")=11,"PASS","FAIL")</x:f>
        <x:v>PASS</x:v>
      </x:c>
      <x:c r="G72" t="str">
        <x:v>IF(COUNTIFS('No Common Path'!$C$7:$C$182,"A",'No Common Path'!$D$7:$D$182,"PTC-B",'No Common Path'!$E$7:$E$182,"SP-2",'No Common Path'!$L$7:$L$182,"PASS")=11,"PASS","FAIL")</x:v>
      </x:c>
      <x:c r="H72" t="str">
        <x:v>planning constitution</x:v>
      </x:c>
      <x:c r="I72" t="str">
        <x:f>IF(E72=F72,"PASS","FAIL")</x:f>
        <x:v>PASS</x:v>
      </x:c>
    </x:row>
    <x:row r="73">
      <x:c r="B73" t="str">
        <x:v>PL-ROUTE-A-B-3</x:v>
      </x:c>
      <x:c r="C73" t="str">
        <x:v>planning</x:v>
      </x:c>
      <x:c r="D73" t="str">
        <x:v>source route</x:v>
      </x:c>
      <x:c r="E73" t="str">
        <x:v>PASS</x:v>
      </x:c>
      <x:c r="F73" t="str">
        <x:f>IF(COUNTIFS('No Common Path'!$C$7:$C$182,"A",'No Common Path'!$D$7:$D$182,"PTC-B",'No Common Path'!$E$7:$E$182,"SP-3",'No Common Path'!$L$7:$L$182,"PASS")=11,"PASS","FAIL")</x:f>
        <x:v>PASS</x:v>
      </x:c>
      <x:c r="G73" t="str">
        <x:v>IF(COUNTIFS('No Common Path'!$C$7:$C$182,"A",'No Common Path'!$D$7:$D$182,"PTC-B",'No Common Path'!$E$7:$E$182,"SP-3",'No Common Path'!$L$7:$L$182,"PASS")=11,"PASS","FAIL")</x:v>
      </x:c>
      <x:c r="H73" t="str">
        <x:v>planning constitution</x:v>
      </x:c>
      <x:c r="I73" t="str">
        <x:f>IF(E73=F73,"PASS","FAIL")</x:f>
        <x:v>PASS</x:v>
      </x:c>
    </x:row>
    <x:row r="74">
      <x:c r="B74" t="str">
        <x:v>PL-ROUTE-A-B-4</x:v>
      </x:c>
      <x:c r="C74" t="str">
        <x:v>planning</x:v>
      </x:c>
      <x:c r="D74" t="str">
        <x:v>source route</x:v>
      </x:c>
      <x:c r="E74" t="str">
        <x:v>PASS</x:v>
      </x:c>
      <x:c r="F74" t="str">
        <x:f>IF(COUNTIFS('No Common Path'!$C$7:$C$182,"A",'No Common Path'!$D$7:$D$182,"PTC-B",'No Common Path'!$E$7:$E$182,"SP-4",'No Common Path'!$L$7:$L$182,"PASS")=11,"PASS","FAIL")</x:f>
        <x:v>PASS</x:v>
      </x:c>
      <x:c r="G74" t="str">
        <x:v>IF(COUNTIFS('No Common Path'!$C$7:$C$182,"A",'No Common Path'!$D$7:$D$182,"PTC-B",'No Common Path'!$E$7:$E$182,"SP-4",'No Common Path'!$L$7:$L$182,"PASS")=11,"PASS","FAIL")</x:v>
      </x:c>
      <x:c r="H74" t="str">
        <x:v>planning constitution</x:v>
      </x:c>
      <x:c r="I74" t="str">
        <x:f>IF(E74=F74,"PASS","FAIL")</x:f>
        <x:v>PASS</x:v>
      </x:c>
    </x:row>
    <x:row r="75">
      <x:c r="B75" t="str">
        <x:v>PL-ROUTE-A-C-1</x:v>
      </x:c>
      <x:c r="C75" t="str">
        <x:v>planning</x:v>
      </x:c>
      <x:c r="D75" t="str">
        <x:v>source route</x:v>
      </x:c>
      <x:c r="E75" t="str">
        <x:v>PASS</x:v>
      </x:c>
      <x:c r="F75" t="str">
        <x:f>IF(COUNTIFS('No Common Path'!$C$7:$C$182,"A",'No Common Path'!$D$7:$D$182,"PTC-C",'No Common Path'!$E$7:$E$182,"SP-1",'No Common Path'!$L$7:$L$182,"PASS")=11,"PASS","FAIL")</x:f>
        <x:v>PASS</x:v>
      </x:c>
      <x:c r="G75" t="str">
        <x:v>IF(COUNTIFS('No Common Path'!$C$7:$C$182,"A",'No Common Path'!$D$7:$D$182,"PTC-C",'No Common Path'!$E$7:$E$182,"SP-1",'No Common Path'!$L$7:$L$182,"PASS")=11,"PASS","FAIL")</x:v>
      </x:c>
      <x:c r="H75" t="str">
        <x:v>planning constitution</x:v>
      </x:c>
      <x:c r="I75" t="str">
        <x:f>IF(E75=F75,"PASS","FAIL")</x:f>
        <x:v>PASS</x:v>
      </x:c>
    </x:row>
    <x:row r="76">
      <x:c r="B76" t="str">
        <x:v>PL-ROUTE-A-C-2</x:v>
      </x:c>
      <x:c r="C76" t="str">
        <x:v>planning</x:v>
      </x:c>
      <x:c r="D76" t="str">
        <x:v>source route</x:v>
      </x:c>
      <x:c r="E76" t="str">
        <x:v>PASS</x:v>
      </x:c>
      <x:c r="F76" t="str">
        <x:f>IF(COUNTIFS('No Common Path'!$C$7:$C$182,"A",'No Common Path'!$D$7:$D$182,"PTC-C",'No Common Path'!$E$7:$E$182,"SP-2",'No Common Path'!$L$7:$L$182,"PASS")=11,"PASS","FAIL")</x:f>
        <x:v>PASS</x:v>
      </x:c>
      <x:c r="G76" t="str">
        <x:v>IF(COUNTIFS('No Common Path'!$C$7:$C$182,"A",'No Common Path'!$D$7:$D$182,"PTC-C",'No Common Path'!$E$7:$E$182,"SP-2",'No Common Path'!$L$7:$L$182,"PASS")=11,"PASS","FAIL")</x:v>
      </x:c>
      <x:c r="H76" t="str">
        <x:v>planning constitution</x:v>
      </x:c>
      <x:c r="I76" t="str">
        <x:f>IF(E76=F76,"PASS","FAIL")</x:f>
        <x:v>PASS</x:v>
      </x:c>
    </x:row>
    <x:row r="77">
      <x:c r="B77" t="str">
        <x:v>PL-ROUTE-A-C-3</x:v>
      </x:c>
      <x:c r="C77" t="str">
        <x:v>planning</x:v>
      </x:c>
      <x:c r="D77" t="str">
        <x:v>source route</x:v>
      </x:c>
      <x:c r="E77" t="str">
        <x:v>PASS</x:v>
      </x:c>
      <x:c r="F77" t="str">
        <x:f>IF(COUNTIFS('No Common Path'!$C$7:$C$182,"A",'No Common Path'!$D$7:$D$182,"PTC-C",'No Common Path'!$E$7:$E$182,"SP-3",'No Common Path'!$L$7:$L$182,"PASS")=11,"PASS","FAIL")</x:f>
        <x:v>PASS</x:v>
      </x:c>
      <x:c r="G77" t="str">
        <x:v>IF(COUNTIFS('No Common Path'!$C$7:$C$182,"A",'No Common Path'!$D$7:$D$182,"PTC-C",'No Common Path'!$E$7:$E$182,"SP-3",'No Common Path'!$L$7:$L$182,"PASS")=11,"PASS","FAIL")</x:v>
      </x:c>
      <x:c r="H77" t="str">
        <x:v>planning constitution</x:v>
      </x:c>
      <x:c r="I77" t="str">
        <x:f>IF(E77=F77,"PASS","FAIL")</x:f>
        <x:v>PASS</x:v>
      </x:c>
    </x:row>
    <x:row r="78">
      <x:c r="B78" t="str">
        <x:v>PL-ROUTE-A-C-4</x:v>
      </x:c>
      <x:c r="C78" t="str">
        <x:v>planning</x:v>
      </x:c>
      <x:c r="D78" t="str">
        <x:v>source route</x:v>
      </x:c>
      <x:c r="E78" t="str">
        <x:v>PASS</x:v>
      </x:c>
      <x:c r="F78" t="str">
        <x:f>IF(COUNTIFS('No Common Path'!$C$7:$C$182,"A",'No Common Path'!$D$7:$D$182,"PTC-C",'No Common Path'!$E$7:$E$182,"SP-4",'No Common Path'!$L$7:$L$182,"PASS")=11,"PASS","FAIL")</x:f>
        <x:v>PASS</x:v>
      </x:c>
      <x:c r="G78" t="str">
        <x:v>IF(COUNTIFS('No Common Path'!$C$7:$C$182,"A",'No Common Path'!$D$7:$D$182,"PTC-C",'No Common Path'!$E$7:$E$182,"SP-4",'No Common Path'!$L$7:$L$182,"PASS")=11,"PASS","FAIL")</x:v>
      </x:c>
      <x:c r="H78" t="str">
        <x:v>planning constitution</x:v>
      </x:c>
      <x:c r="I78" t="str">
        <x:f>IF(E78=F78,"PASS","FAIL")</x:f>
        <x:v>PASS</x:v>
      </x:c>
    </x:row>
    <x:row r="79">
      <x:c r="B79" t="str">
        <x:v>PL-ROUTE-B-B-1</x:v>
      </x:c>
      <x:c r="C79" t="str">
        <x:v>planning</x:v>
      </x:c>
      <x:c r="D79" t="str">
        <x:v>source route</x:v>
      </x:c>
      <x:c r="E79" t="str">
        <x:v>PASS</x:v>
      </x:c>
      <x:c r="F79" t="str">
        <x:f>IF(COUNTIFS('No Common Path'!$C$7:$C$182,"B",'No Common Path'!$D$7:$D$182,"PTC-B",'No Common Path'!$E$7:$E$182,"SP-1",'No Common Path'!$L$7:$L$182,"PASS")=11,"PASS","FAIL")</x:f>
        <x:v>PASS</x:v>
      </x:c>
      <x:c r="G79" t="str">
        <x:v>IF(COUNTIFS('No Common Path'!$C$7:$C$182,"B",'No Common Path'!$D$7:$D$182,"PTC-B",'No Common Path'!$E$7:$E$182,"SP-1",'No Common Path'!$L$7:$L$182,"PASS")=11,"PASS","FAIL")</x:v>
      </x:c>
      <x:c r="H79" t="str">
        <x:v>planning constitution</x:v>
      </x:c>
      <x:c r="I79" t="str">
        <x:f>IF(E79=F79,"PASS","FAIL")</x:f>
        <x:v>PASS</x:v>
      </x:c>
    </x:row>
    <x:row r="80">
      <x:c r="B80" t="str">
        <x:v>PL-ROUTE-B-B-2</x:v>
      </x:c>
      <x:c r="C80" t="str">
        <x:v>planning</x:v>
      </x:c>
      <x:c r="D80" t="str">
        <x:v>source route</x:v>
      </x:c>
      <x:c r="E80" t="str">
        <x:v>PASS</x:v>
      </x:c>
      <x:c r="F80" t="str">
        <x:f>IF(COUNTIFS('No Common Path'!$C$7:$C$182,"B",'No Common Path'!$D$7:$D$182,"PTC-B",'No Common Path'!$E$7:$E$182,"SP-2",'No Common Path'!$L$7:$L$182,"PASS")=11,"PASS","FAIL")</x:f>
        <x:v>PASS</x:v>
      </x:c>
      <x:c r="G80" t="str">
        <x:v>IF(COUNTIFS('No Common Path'!$C$7:$C$182,"B",'No Common Path'!$D$7:$D$182,"PTC-B",'No Common Path'!$E$7:$E$182,"SP-2",'No Common Path'!$L$7:$L$182,"PASS")=11,"PASS","FAIL")</x:v>
      </x:c>
      <x:c r="H80" t="str">
        <x:v>planning constitution</x:v>
      </x:c>
      <x:c r="I80" t="str">
        <x:f>IF(E80=F80,"PASS","FAIL")</x:f>
        <x:v>PASS</x:v>
      </x:c>
    </x:row>
    <x:row r="81">
      <x:c r="B81" t="str">
        <x:v>PL-ROUTE-B-B-3</x:v>
      </x:c>
      <x:c r="C81" t="str">
        <x:v>planning</x:v>
      </x:c>
      <x:c r="D81" t="str">
        <x:v>source route</x:v>
      </x:c>
      <x:c r="E81" t="str">
        <x:v>PASS</x:v>
      </x:c>
      <x:c r="F81" t="str">
        <x:f>IF(COUNTIFS('No Common Path'!$C$7:$C$182,"B",'No Common Path'!$D$7:$D$182,"PTC-B",'No Common Path'!$E$7:$E$182,"SP-3",'No Common Path'!$L$7:$L$182,"PASS")=11,"PASS","FAIL")</x:f>
        <x:v>PASS</x:v>
      </x:c>
      <x:c r="G81" t="str">
        <x:v>IF(COUNTIFS('No Common Path'!$C$7:$C$182,"B",'No Common Path'!$D$7:$D$182,"PTC-B",'No Common Path'!$E$7:$E$182,"SP-3",'No Common Path'!$L$7:$L$182,"PASS")=11,"PASS","FAIL")</x:v>
      </x:c>
      <x:c r="H81" t="str">
        <x:v>planning constitution</x:v>
      </x:c>
      <x:c r="I81" t="str">
        <x:f>IF(E81=F81,"PASS","FAIL")</x:f>
        <x:v>PASS</x:v>
      </x:c>
    </x:row>
    <x:row r="82">
      <x:c r="B82" t="str">
        <x:v>PL-ROUTE-B-B-4</x:v>
      </x:c>
      <x:c r="C82" t="str">
        <x:v>planning</x:v>
      </x:c>
      <x:c r="D82" t="str">
        <x:v>source route</x:v>
      </x:c>
      <x:c r="E82" t="str">
        <x:v>PASS</x:v>
      </x:c>
      <x:c r="F82" t="str">
        <x:f>IF(COUNTIFS('No Common Path'!$C$7:$C$182,"B",'No Common Path'!$D$7:$D$182,"PTC-B",'No Common Path'!$E$7:$E$182,"SP-4",'No Common Path'!$L$7:$L$182,"PASS")=11,"PASS","FAIL")</x:f>
        <x:v>PASS</x:v>
      </x:c>
      <x:c r="G82" t="str">
        <x:v>IF(COUNTIFS('No Common Path'!$C$7:$C$182,"B",'No Common Path'!$D$7:$D$182,"PTC-B",'No Common Path'!$E$7:$E$182,"SP-4",'No Common Path'!$L$7:$L$182,"PASS")=11,"PASS","FAIL")</x:v>
      </x:c>
      <x:c r="H82" t="str">
        <x:v>planning constitution</x:v>
      </x:c>
      <x:c r="I82" t="str">
        <x:f>IF(E82=F82,"PASS","FAIL")</x:f>
        <x:v>PASS</x:v>
      </x:c>
    </x:row>
    <x:row r="83">
      <x:c r="B83" t="str">
        <x:v>PL-ROUTE-B-C-1</x:v>
      </x:c>
      <x:c r="C83" t="str">
        <x:v>planning</x:v>
      </x:c>
      <x:c r="D83" t="str">
        <x:v>source route</x:v>
      </x:c>
      <x:c r="E83" t="str">
        <x:v>PASS</x:v>
      </x:c>
      <x:c r="F83" t="str">
        <x:f>IF(COUNTIFS('No Common Path'!$C$7:$C$182,"B",'No Common Path'!$D$7:$D$182,"PTC-C",'No Common Path'!$E$7:$E$182,"SP-1",'No Common Path'!$L$7:$L$182,"PASS")=11,"PASS","FAIL")</x:f>
        <x:v>PASS</x:v>
      </x:c>
      <x:c r="G83" t="str">
        <x:v>IF(COUNTIFS('No Common Path'!$C$7:$C$182,"B",'No Common Path'!$D$7:$D$182,"PTC-C",'No Common Path'!$E$7:$E$182,"SP-1",'No Common Path'!$L$7:$L$182,"PASS")=11,"PASS","FAIL")</x:v>
      </x:c>
      <x:c r="H83" t="str">
        <x:v>planning constitution</x:v>
      </x:c>
      <x:c r="I83" t="str">
        <x:f>IF(E83=F83,"PASS","FAIL")</x:f>
        <x:v>PASS</x:v>
      </x:c>
    </x:row>
    <x:row r="84">
      <x:c r="B84" t="str">
        <x:v>PL-ROUTE-B-C-2</x:v>
      </x:c>
      <x:c r="C84" t="str">
        <x:v>planning</x:v>
      </x:c>
      <x:c r="D84" t="str">
        <x:v>source route</x:v>
      </x:c>
      <x:c r="E84" t="str">
        <x:v>PASS</x:v>
      </x:c>
      <x:c r="F84" t="str">
        <x:f>IF(COUNTIFS('No Common Path'!$C$7:$C$182,"B",'No Common Path'!$D$7:$D$182,"PTC-C",'No Common Path'!$E$7:$E$182,"SP-2",'No Common Path'!$L$7:$L$182,"PASS")=11,"PASS","FAIL")</x:f>
        <x:v>PASS</x:v>
      </x:c>
      <x:c r="G84" t="str">
        <x:v>IF(COUNTIFS('No Common Path'!$C$7:$C$182,"B",'No Common Path'!$D$7:$D$182,"PTC-C",'No Common Path'!$E$7:$E$182,"SP-2",'No Common Path'!$L$7:$L$182,"PASS")=11,"PASS","FAIL")</x:v>
      </x:c>
      <x:c r="H84" t="str">
        <x:v>planning constitution</x:v>
      </x:c>
      <x:c r="I84" t="str">
        <x:f>IF(E84=F84,"PASS","FAIL")</x:f>
        <x:v>PASS</x:v>
      </x:c>
    </x:row>
    <x:row r="85">
      <x:c r="B85" t="str">
        <x:v>PL-ROUTE-B-C-3</x:v>
      </x:c>
      <x:c r="C85" t="str">
        <x:v>planning</x:v>
      </x:c>
      <x:c r="D85" t="str">
        <x:v>source route</x:v>
      </x:c>
      <x:c r="E85" t="str">
        <x:v>PASS</x:v>
      </x:c>
      <x:c r="F85" t="str">
        <x:f>IF(COUNTIFS('No Common Path'!$C$7:$C$182,"B",'No Common Path'!$D$7:$D$182,"PTC-C",'No Common Path'!$E$7:$E$182,"SP-3",'No Common Path'!$L$7:$L$182,"PASS")=11,"PASS","FAIL")</x:f>
        <x:v>PASS</x:v>
      </x:c>
      <x:c r="G85" t="str">
        <x:v>IF(COUNTIFS('No Common Path'!$C$7:$C$182,"B",'No Common Path'!$D$7:$D$182,"PTC-C",'No Common Path'!$E$7:$E$182,"SP-3",'No Common Path'!$L$7:$L$182,"PASS")=11,"PASS","FAIL")</x:v>
      </x:c>
      <x:c r="H85" t="str">
        <x:v>planning constitution</x:v>
      </x:c>
      <x:c r="I85" t="str">
        <x:f>IF(E85=F85,"PASS","FAIL")</x:f>
        <x:v>PASS</x:v>
      </x:c>
    </x:row>
    <x:row r="86">
      <x:c r="B86" t="str">
        <x:v>PL-ROUTE-B-C-4</x:v>
      </x:c>
      <x:c r="C86" t="str">
        <x:v>planning</x:v>
      </x:c>
      <x:c r="D86" t="str">
        <x:v>source route</x:v>
      </x:c>
      <x:c r="E86" t="str">
        <x:v>PASS</x:v>
      </x:c>
      <x:c r="F86" t="str">
        <x:f>IF(COUNTIFS('No Common Path'!$C$7:$C$182,"B",'No Common Path'!$D$7:$D$182,"PTC-C",'No Common Path'!$E$7:$E$182,"SP-4",'No Common Path'!$L$7:$L$182,"PASS")=11,"PASS","FAIL")</x:f>
        <x:v>PASS</x:v>
      </x:c>
      <x:c r="G86" t="str">
        <x:v>IF(COUNTIFS('No Common Path'!$C$7:$C$182,"B",'No Common Path'!$D$7:$D$182,"PTC-C",'No Common Path'!$E$7:$E$182,"SP-4",'No Common Path'!$L$7:$L$182,"PASS")=11,"PASS","FAIL")</x:v>
      </x:c>
      <x:c r="H86" t="str">
        <x:v>planning constitution</x:v>
      </x:c>
      <x:c r="I86" t="str">
        <x:f>IF(E86=F86,"PASS","FAIL")</x:f>
        <x:v>PASS</x:v>
      </x:c>
    </x:row>
    <x:row r="87">
      <x:c r="B87" t="str">
        <x:v>PL-PROP-01</x:v>
      </x:c>
      <x:c r="C87" t="str">
        <x:v>planning</x:v>
      </x:c>
      <x:c r="D87" t="str">
        <x:v>propagation protocol</x:v>
      </x:c>
      <x:c r="E87" t="str">
        <x:v>PASS</x:v>
      </x:c>
      <x:c r="F87" t="str">
        <x:f>'Protocol Matrix'!N7</x:f>
        <x:v>PASS</x:v>
      </x:c>
      <x:c r="G87" t="str">
        <x:v>'Protocol Matrix'!N7</x:v>
      </x:c>
      <x:c r="H87" t="str">
        <x:v>planning constitution</x:v>
      </x:c>
      <x:c r="I87" t="str">
        <x:f>IF(E87=F87,"PASS","FAIL")</x:f>
        <x:v>PASS</x:v>
      </x:c>
    </x:row>
    <x:row r="88">
      <x:c r="B88" t="str">
        <x:v>PL-PROP-02</x:v>
      </x:c>
      <x:c r="C88" t="str">
        <x:v>planning</x:v>
      </x:c>
      <x:c r="D88" t="str">
        <x:v>propagation protocol</x:v>
      </x:c>
      <x:c r="E88" t="str">
        <x:v>PASS</x:v>
      </x:c>
      <x:c r="F88" t="str">
        <x:f>'Protocol Matrix'!N8</x:f>
        <x:v>PASS</x:v>
      </x:c>
      <x:c r="G88" t="str">
        <x:v>'Protocol Matrix'!N8</x:v>
      </x:c>
      <x:c r="H88" t="str">
        <x:v>planning constitution</x:v>
      </x:c>
      <x:c r="I88" t="str">
        <x:f>IF(E88=F88,"PASS","FAIL")</x:f>
        <x:v>PASS</x:v>
      </x:c>
    </x:row>
    <x:row r="89">
      <x:c r="B89" t="str">
        <x:v>PL-PROP-03</x:v>
      </x:c>
      <x:c r="C89" t="str">
        <x:v>planning</x:v>
      </x:c>
      <x:c r="D89" t="str">
        <x:v>propagation protocol</x:v>
      </x:c>
      <x:c r="E89" t="str">
        <x:v>PASS</x:v>
      </x:c>
      <x:c r="F89" t="str">
        <x:f>'Protocol Matrix'!N9</x:f>
        <x:v>PASS</x:v>
      </x:c>
      <x:c r="G89" t="str">
        <x:v>'Protocol Matrix'!N9</x:v>
      </x:c>
      <x:c r="H89" t="str">
        <x:v>planning constitution</x:v>
      </x:c>
      <x:c r="I89" t="str">
        <x:f>IF(E89=F89,"PASS","FAIL")</x:f>
        <x:v>PASS</x:v>
      </x:c>
    </x:row>
    <x:row r="90">
      <x:c r="B90" t="str">
        <x:v>PL-PROP-04</x:v>
      </x:c>
      <x:c r="C90" t="str">
        <x:v>planning</x:v>
      </x:c>
      <x:c r="D90" t="str">
        <x:v>propagation protocol</x:v>
      </x:c>
      <x:c r="E90" t="str">
        <x:v>PASS</x:v>
      </x:c>
      <x:c r="F90" t="str">
        <x:f>'Protocol Matrix'!N10</x:f>
        <x:v>PASS</x:v>
      </x:c>
      <x:c r="G90" t="str">
        <x:v>'Protocol Matrix'!N10</x:v>
      </x:c>
      <x:c r="H90" t="str">
        <x:v>planning constitution</x:v>
      </x:c>
      <x:c r="I90" t="str">
        <x:f>IF(E90=F90,"PASS","FAIL")</x:f>
        <x:v>PASS</x:v>
      </x:c>
    </x:row>
    <x:row r="91">
      <x:c r="B91" t="str">
        <x:v>PL-PROP-05</x:v>
      </x:c>
      <x:c r="C91" t="str">
        <x:v>planning</x:v>
      </x:c>
      <x:c r="D91" t="str">
        <x:v>propagation protocol</x:v>
      </x:c>
      <x:c r="E91" t="str">
        <x:v>PASS</x:v>
      </x:c>
      <x:c r="F91" t="str">
        <x:f>'Protocol Matrix'!N11</x:f>
        <x:v>PASS</x:v>
      </x:c>
      <x:c r="G91" t="str">
        <x:v>'Protocol Matrix'!N11</x:v>
      </x:c>
      <x:c r="H91" t="str">
        <x:v>planning constitution</x:v>
      </x:c>
      <x:c r="I91" t="str">
        <x:f>IF(E91=F91,"PASS","FAIL")</x:f>
        <x:v>PASS</x:v>
      </x:c>
    </x:row>
    <x:row r="92">
      <x:c r="B92" t="str">
        <x:v>PL-PROP-06</x:v>
      </x:c>
      <x:c r="C92" t="str">
        <x:v>planning</x:v>
      </x:c>
      <x:c r="D92" t="str">
        <x:v>propagation protocol</x:v>
      </x:c>
      <x:c r="E92" t="str">
        <x:v>PASS</x:v>
      </x:c>
      <x:c r="F92" t="str">
        <x:f>'Protocol Matrix'!N12</x:f>
        <x:v>PASS</x:v>
      </x:c>
      <x:c r="G92" t="str">
        <x:v>'Protocol Matrix'!N12</x:v>
      </x:c>
      <x:c r="H92" t="str">
        <x:v>planning constitution</x:v>
      </x:c>
      <x:c r="I92" t="str">
        <x:f>IF(E92=F92,"PASS","FAIL")</x:f>
        <x:v>PASS</x:v>
      </x:c>
    </x:row>
    <x:row r="93">
      <x:c r="B93" t="str">
        <x:v>PL-PROP-07</x:v>
      </x:c>
      <x:c r="C93" t="str">
        <x:v>planning</x:v>
      </x:c>
      <x:c r="D93" t="str">
        <x:v>propagation protocol</x:v>
      </x:c>
      <x:c r="E93" t="str">
        <x:v>PASS</x:v>
      </x:c>
      <x:c r="F93" t="str">
        <x:f>'Protocol Matrix'!N13</x:f>
        <x:v>PASS</x:v>
      </x:c>
      <x:c r="G93" t="str">
        <x:v>'Protocol Matrix'!N13</x:v>
      </x:c>
      <x:c r="H93" t="str">
        <x:v>planning constitution</x:v>
      </x:c>
      <x:c r="I93" t="str">
        <x:f>IF(E93=F93,"PASS","FAIL")</x:f>
        <x:v>PASS</x:v>
      </x:c>
    </x:row>
    <x:row r="94">
      <x:c r="B94" t="str">
        <x:v>PL-PROP-08</x:v>
      </x:c>
      <x:c r="C94" t="str">
        <x:v>planning</x:v>
      </x:c>
      <x:c r="D94" t="str">
        <x:v>propagation protocol</x:v>
      </x:c>
      <x:c r="E94" t="str">
        <x:v>PASS</x:v>
      </x:c>
      <x:c r="F94" t="str">
        <x:f>'Protocol Matrix'!N14</x:f>
        <x:v>PASS</x:v>
      </x:c>
      <x:c r="G94" t="str">
        <x:v>'Protocol Matrix'!N14</x:v>
      </x:c>
      <x:c r="H94" t="str">
        <x:v>planning constitution</x:v>
      </x:c>
      <x:c r="I94" t="str">
        <x:f>IF(E94=F94,"PASS","FAIL")</x:f>
        <x:v>PASS</x:v>
      </x:c>
    </x:row>
    <x:row r="95">
      <x:c r="B95" t="str">
        <x:v>PL-PROP-09</x:v>
      </x:c>
      <x:c r="C95" t="str">
        <x:v>planning</x:v>
      </x:c>
      <x:c r="D95" t="str">
        <x:v>propagation protocol</x:v>
      </x:c>
      <x:c r="E95" t="str">
        <x:v>PASS</x:v>
      </x:c>
      <x:c r="F95" t="str">
        <x:f>'Protocol Matrix'!N15</x:f>
        <x:v>PASS</x:v>
      </x:c>
      <x:c r="G95" t="str">
        <x:v>'Protocol Matrix'!N15</x:v>
      </x:c>
      <x:c r="H95" t="str">
        <x:v>planning constitution</x:v>
      </x:c>
      <x:c r="I95" t="str">
        <x:f>IF(E95=F95,"PASS","FAIL")</x:f>
        <x:v>PASS</x:v>
      </x:c>
    </x:row>
    <x:row r="96">
      <x:c r="B96" t="str">
        <x:v>PL-PROP-10</x:v>
      </x:c>
      <x:c r="C96" t="str">
        <x:v>planning</x:v>
      </x:c>
      <x:c r="D96" t="str">
        <x:v>propagation protocol</x:v>
      </x:c>
      <x:c r="E96" t="str">
        <x:v>PASS</x:v>
      </x:c>
      <x:c r="F96" t="str">
        <x:f>'Protocol Matrix'!N16</x:f>
        <x:v>PASS</x:v>
      </x:c>
      <x:c r="G96" t="str">
        <x:v>'Protocol Matrix'!N16</x:v>
      </x:c>
      <x:c r="H96" t="str">
        <x:v>planning constitution</x:v>
      </x:c>
      <x:c r="I96" t="str">
        <x:f>IF(E96=F96,"PASS","FAIL")</x:f>
        <x:v>PASS</x:v>
      </x:c>
    </x:row>
    <x:row r="97">
      <x:c r="B97" t="str">
        <x:v>PL-PROP-11</x:v>
      </x:c>
      <x:c r="C97" t="str">
        <x:v>planning</x:v>
      </x:c>
      <x:c r="D97" t="str">
        <x:v>propagation protocol</x:v>
      </x:c>
      <x:c r="E97" t="str">
        <x:v>PASS</x:v>
      </x:c>
      <x:c r="F97" t="str">
        <x:f>'Protocol Matrix'!N17</x:f>
        <x:v>PASS</x:v>
      </x:c>
      <x:c r="G97" t="str">
        <x:v>'Protocol Matrix'!N17</x:v>
      </x:c>
      <x:c r="H97" t="str">
        <x:v>planning constitution</x:v>
      </x:c>
      <x:c r="I97" t="str">
        <x:f>IF(E97=F97,"PASS","FAIL")</x:f>
        <x:v>PASS</x:v>
      </x:c>
    </x:row>
    <x:row r="98">
      <x:c r="B98" t="str">
        <x:v>PL-PROP-12</x:v>
      </x:c>
      <x:c r="C98" t="str">
        <x:v>planning</x:v>
      </x:c>
      <x:c r="D98" t="str">
        <x:v>propagation protocol</x:v>
      </x:c>
      <x:c r="E98" t="str">
        <x:v>PASS</x:v>
      </x:c>
      <x:c r="F98" t="str">
        <x:f>'Protocol Matrix'!N18</x:f>
        <x:v>PASS</x:v>
      </x:c>
      <x:c r="G98" t="str">
        <x:v>'Protocol Matrix'!N18</x:v>
      </x:c>
      <x:c r="H98" t="str">
        <x:v>planning constitution</x:v>
      </x:c>
      <x:c r="I98" t="str">
        <x:f>IF(E98=F98,"PASS","FAIL")</x:f>
        <x:v>PASS</x:v>
      </x:c>
    </x:row>
    <x:row r="99">
      <x:c r="B99" t="str">
        <x:v>PL-PROP-13</x:v>
      </x:c>
      <x:c r="C99" t="str">
        <x:v>planning</x:v>
      </x:c>
      <x:c r="D99" t="str">
        <x:v>propagation protocol</x:v>
      </x:c>
      <x:c r="E99" t="str">
        <x:v>PASS</x:v>
      </x:c>
      <x:c r="F99" t="str">
        <x:f>'Protocol Matrix'!N19</x:f>
        <x:v>PASS</x:v>
      </x:c>
      <x:c r="G99" t="str">
        <x:v>'Protocol Matrix'!N19</x:v>
      </x:c>
      <x:c r="H99" t="str">
        <x:v>planning constitution</x:v>
      </x:c>
      <x:c r="I99" t="str">
        <x:f>IF(E99=F99,"PASS","FAIL")</x:f>
        <x:v>PASS</x:v>
      </x:c>
    </x:row>
    <x:row r="100">
      <x:c r="B100" t="str">
        <x:v>PL-PROP-14</x:v>
      </x:c>
      <x:c r="C100" t="str">
        <x:v>planning</x:v>
      </x:c>
      <x:c r="D100" t="str">
        <x:v>propagation protocol</x:v>
      </x:c>
      <x:c r="E100" t="str">
        <x:v>PASS</x:v>
      </x:c>
      <x:c r="F100" t="str">
        <x:f>'Protocol Matrix'!N20</x:f>
        <x:v>PASS</x:v>
      </x:c>
      <x:c r="G100" t="str">
        <x:v>'Protocol Matrix'!N20</x:v>
      </x:c>
      <x:c r="H100" t="str">
        <x:v>planning constitution</x:v>
      </x:c>
      <x:c r="I100" t="str">
        <x:f>IF(E100=F100,"PASS","FAIL")</x:f>
        <x:v>PASS</x:v>
      </x:c>
    </x:row>
    <x:row r="101">
      <x:c r="B101" t="str">
        <x:v>PL-PROP-15</x:v>
      </x:c>
      <x:c r="C101" t="str">
        <x:v>planning</x:v>
      </x:c>
      <x:c r="D101" t="str">
        <x:v>propagation protocol</x:v>
      </x:c>
      <x:c r="E101" t="str">
        <x:v>PASS</x:v>
      </x:c>
      <x:c r="F101" t="str">
        <x:f>'Protocol Matrix'!N21</x:f>
        <x:v>PASS</x:v>
      </x:c>
      <x:c r="G101" t="str">
        <x:v>'Protocol Matrix'!N21</x:v>
      </x:c>
      <x:c r="H101" t="str">
        <x:v>planning constitution</x:v>
      </x:c>
      <x:c r="I101" t="str">
        <x:f>IF(E101=F101,"PASS","FAIL")</x:f>
        <x:v>PASS</x:v>
      </x:c>
    </x:row>
    <x:row r="102">
      <x:c r="B102" t="str">
        <x:v>PL-PROP-16</x:v>
      </x:c>
      <x:c r="C102" t="str">
        <x:v>planning</x:v>
      </x:c>
      <x:c r="D102" t="str">
        <x:v>propagation protocol</x:v>
      </x:c>
      <x:c r="E102" t="str">
        <x:v>PASS</x:v>
      </x:c>
      <x:c r="F102" t="str">
        <x:f>'Protocol Matrix'!N22</x:f>
        <x:v>PASS</x:v>
      </x:c>
      <x:c r="G102" t="str">
        <x:v>'Protocol Matrix'!N22</x:v>
      </x:c>
      <x:c r="H102" t="str">
        <x:v>planning constitution</x:v>
      </x:c>
      <x:c r="I102" t="str">
        <x:f>IF(E102=F102,"PASS","FAIL")</x:f>
        <x:v>PASS</x:v>
      </x:c>
    </x:row>
    <x:row r="103">
      <x:c r="B103" t="str">
        <x:v>PL-PROP-17</x:v>
      </x:c>
      <x:c r="C103" t="str">
        <x:v>planning</x:v>
      </x:c>
      <x:c r="D103" t="str">
        <x:v>propagation protocol</x:v>
      </x:c>
      <x:c r="E103" t="str">
        <x:v>PASS</x:v>
      </x:c>
      <x:c r="F103" t="str">
        <x:f>'Protocol Matrix'!N23</x:f>
        <x:v>PASS</x:v>
      </x:c>
      <x:c r="G103" t="str">
        <x:v>'Protocol Matrix'!N23</x:v>
      </x:c>
      <x:c r="H103" t="str">
        <x:v>planning constitution</x:v>
      </x:c>
      <x:c r="I103" t="str">
        <x:f>IF(E103=F103,"PASS","FAIL")</x:f>
        <x:v>PASS</x:v>
      </x:c>
    </x:row>
    <x:row r="104">
      <x:c r="B104" t="str">
        <x:v>PL-PROP-18</x:v>
      </x:c>
      <x:c r="C104" t="str">
        <x:v>planning</x:v>
      </x:c>
      <x:c r="D104" t="str">
        <x:v>propagation protocol</x:v>
      </x:c>
      <x:c r="E104" t="str">
        <x:v>PASS</x:v>
      </x:c>
      <x:c r="F104" t="str">
        <x:f>'Protocol Matrix'!N24</x:f>
        <x:v>PASS</x:v>
      </x:c>
      <x:c r="G104" t="str">
        <x:v>'Protocol Matrix'!N24</x:v>
      </x:c>
      <x:c r="H104" t="str">
        <x:v>planning constitution</x:v>
      </x:c>
      <x:c r="I104" t="str">
        <x:f>IF(E104=F104,"PASS","FAIL")</x:f>
        <x:v>PASS</x:v>
      </x:c>
    </x:row>
    <x:row r="105">
      <x:c r="B105" t="str">
        <x:v>PL-PROP-19</x:v>
      </x:c>
      <x:c r="C105" t="str">
        <x:v>planning</x:v>
      </x:c>
      <x:c r="D105" t="str">
        <x:v>propagation protocol</x:v>
      </x:c>
      <x:c r="E105" t="str">
        <x:v>PASS</x:v>
      </x:c>
      <x:c r="F105" t="str">
        <x:f>'Protocol Matrix'!N25</x:f>
        <x:v>PASS</x:v>
      </x:c>
      <x:c r="G105" t="str">
        <x:v>'Protocol Matrix'!N25</x:v>
      </x:c>
      <x:c r="H105" t="str">
        <x:v>planning constitution</x:v>
      </x:c>
      <x:c r="I105" t="str">
        <x:f>IF(E105=F105,"PASS","FAIL")</x:f>
        <x:v>PASS</x:v>
      </x:c>
    </x:row>
    <x:row r="106">
      <x:c r="B106" t="str">
        <x:v>PL-PROP-20</x:v>
      </x:c>
      <x:c r="C106" t="str">
        <x:v>planning</x:v>
      </x:c>
      <x:c r="D106" t="str">
        <x:v>propagation protocol</x:v>
      </x:c>
      <x:c r="E106" t="str">
        <x:v>PASS</x:v>
      </x:c>
      <x:c r="F106" t="str">
        <x:f>'Protocol Matrix'!N26</x:f>
        <x:v>PASS</x:v>
      </x:c>
      <x:c r="G106" t="str">
        <x:v>'Protocol Matrix'!N26</x:v>
      </x:c>
      <x:c r="H106" t="str">
        <x:v>planning constitution</x:v>
      </x:c>
      <x:c r="I106" t="str">
        <x:f>IF(E106=F106,"PASS","FAIL")</x:f>
        <x:v>PASS</x:v>
      </x:c>
    </x:row>
    <x:row r="107">
      <x:c r="B107" t="str">
        <x:v>PL-PROP-21</x:v>
      </x:c>
      <x:c r="C107" t="str">
        <x:v>planning</x:v>
      </x:c>
      <x:c r="D107" t="str">
        <x:v>propagation protocol</x:v>
      </x:c>
      <x:c r="E107" t="str">
        <x:v>PASS</x:v>
      </x:c>
      <x:c r="F107" t="str">
        <x:f>'Protocol Matrix'!N27</x:f>
        <x:v>PASS</x:v>
      </x:c>
      <x:c r="G107" t="str">
        <x:v>'Protocol Matrix'!N27</x:v>
      </x:c>
      <x:c r="H107" t="str">
        <x:v>planning constitution</x:v>
      </x:c>
      <x:c r="I107" t="str">
        <x:f>IF(E107=F107,"PASS","FAIL")</x:f>
        <x:v>PASS</x:v>
      </x:c>
    </x:row>
    <x:row r="108">
      <x:c r="B108" t="str">
        <x:v>PL-PROP-22</x:v>
      </x:c>
      <x:c r="C108" t="str">
        <x:v>planning</x:v>
      </x:c>
      <x:c r="D108" t="str">
        <x:v>propagation protocol</x:v>
      </x:c>
      <x:c r="E108" t="str">
        <x:v>PASS</x:v>
      </x:c>
      <x:c r="F108" t="str">
        <x:f>'Protocol Matrix'!N28</x:f>
        <x:v>PASS</x:v>
      </x:c>
      <x:c r="G108" t="str">
        <x:v>'Protocol Matrix'!N28</x:v>
      </x:c>
      <x:c r="H108" t="str">
        <x:v>planning constitution</x:v>
      </x:c>
      <x:c r="I108" t="str">
        <x:f>IF(E108=F108,"PASS","FAIL")</x:f>
        <x:v>PASS</x:v>
      </x:c>
    </x:row>
    <x:row r="109">
      <x:c r="B109" t="str">
        <x:v>PL-PROP-23</x:v>
      </x:c>
      <x:c r="C109" t="str">
        <x:v>planning</x:v>
      </x:c>
      <x:c r="D109" t="str">
        <x:v>propagation protocol</x:v>
      </x:c>
      <x:c r="E109" t="str">
        <x:v>PASS</x:v>
      </x:c>
      <x:c r="F109" t="str">
        <x:f>'Protocol Matrix'!N29</x:f>
        <x:v>PASS</x:v>
      </x:c>
      <x:c r="G109" t="str">
        <x:v>'Protocol Matrix'!N29</x:v>
      </x:c>
      <x:c r="H109" t="str">
        <x:v>planning constitution</x:v>
      </x:c>
      <x:c r="I109" t="str">
        <x:f>IF(E109=F109,"PASS","FAIL")</x:f>
        <x:v>PASS</x:v>
      </x:c>
    </x:row>
    <x:row r="110">
      <x:c r="B110" t="str">
        <x:v>PL-PROP-24</x:v>
      </x:c>
      <x:c r="C110" t="str">
        <x:v>planning</x:v>
      </x:c>
      <x:c r="D110" t="str">
        <x:v>propagation protocol</x:v>
      </x:c>
      <x:c r="E110" t="str">
        <x:v>PASS</x:v>
      </x:c>
      <x:c r="F110" t="str">
        <x:f>'Protocol Matrix'!N30</x:f>
        <x:v>PASS</x:v>
      </x:c>
      <x:c r="G110" t="str">
        <x:v>'Protocol Matrix'!N30</x:v>
      </x:c>
      <x:c r="H110" t="str">
        <x:v>planning constitution</x:v>
      </x:c>
      <x:c r="I110" t="str">
        <x:f>IF(E110=F110,"PASS","FAIL")</x:f>
        <x:v>PASS</x:v>
      </x:c>
    </x:row>
    <x:row r="111">
      <x:c r="B111" t="str">
        <x:v>PL-IFR-01</x:v>
      </x:c>
      <x:c r="C111" t="str">
        <x:v>planning</x:v>
      </x:c>
      <x:c r="D111" t="str">
        <x:v>interface record</x:v>
      </x:c>
      <x:c r="E111" t="str">
        <x:v>PASS</x:v>
      </x:c>
      <x:c r="F111" t="str">
        <x:f>'Interface Records'!L7</x:f>
        <x:v>PASS</x:v>
      </x:c>
      <x:c r="G111" t="str">
        <x:v>'Interface Records'!L7</x:v>
      </x:c>
      <x:c r="H111" t="str">
        <x:v>planning constitution</x:v>
      </x:c>
      <x:c r="I111" t="str">
        <x:f>IF(E111=F111,"PASS","FAIL")</x:f>
        <x:v>PASS</x:v>
      </x:c>
    </x:row>
    <x:row r="112">
      <x:c r="B112" t="str">
        <x:v>PL-IFR-02</x:v>
      </x:c>
      <x:c r="C112" t="str">
        <x:v>planning</x:v>
      </x:c>
      <x:c r="D112" t="str">
        <x:v>interface record</x:v>
      </x:c>
      <x:c r="E112" t="str">
        <x:v>PASS</x:v>
      </x:c>
      <x:c r="F112" t="str">
        <x:f>'Interface Records'!L8</x:f>
        <x:v>PASS</x:v>
      </x:c>
      <x:c r="G112" t="str">
        <x:v>'Interface Records'!L8</x:v>
      </x:c>
      <x:c r="H112" t="str">
        <x:v>planning constitution</x:v>
      </x:c>
      <x:c r="I112" t="str">
        <x:f>IF(E112=F112,"PASS","FAIL")</x:f>
        <x:v>PASS</x:v>
      </x:c>
    </x:row>
    <x:row r="113">
      <x:c r="B113" t="str">
        <x:v>PL-IFR-03</x:v>
      </x:c>
      <x:c r="C113" t="str">
        <x:v>planning</x:v>
      </x:c>
      <x:c r="D113" t="str">
        <x:v>interface record</x:v>
      </x:c>
      <x:c r="E113" t="str">
        <x:v>PASS</x:v>
      </x:c>
      <x:c r="F113" t="str">
        <x:f>'Interface Records'!L9</x:f>
        <x:v>PASS</x:v>
      </x:c>
      <x:c r="G113" t="str">
        <x:v>'Interface Records'!L9</x:v>
      </x:c>
      <x:c r="H113" t="str">
        <x:v>planning constitution</x:v>
      </x:c>
      <x:c r="I113" t="str">
        <x:f>IF(E113=F113,"PASS","FAIL")</x:f>
        <x:v>PASS</x:v>
      </x:c>
    </x:row>
    <x:row r="114">
      <x:c r="B114" t="str">
        <x:v>PL-IFR-04</x:v>
      </x:c>
      <x:c r="C114" t="str">
        <x:v>planning</x:v>
      </x:c>
      <x:c r="D114" t="str">
        <x:v>interface record</x:v>
      </x:c>
      <x:c r="E114" t="str">
        <x:v>PASS</x:v>
      </x:c>
      <x:c r="F114" t="str">
        <x:f>'Interface Records'!L10</x:f>
        <x:v>PASS</x:v>
      </x:c>
      <x:c r="G114" t="str">
        <x:v>'Interface Records'!L10</x:v>
      </x:c>
      <x:c r="H114" t="str">
        <x:v>planning constitution</x:v>
      </x:c>
      <x:c r="I114" t="str">
        <x:f>IF(E114=F114,"PASS","FAIL")</x:f>
        <x:v>PASS</x:v>
      </x:c>
    </x:row>
    <x:row r="115">
      <x:c r="B115" t="str">
        <x:v>PL-IFR-05</x:v>
      </x:c>
      <x:c r="C115" t="str">
        <x:v>planning</x:v>
      </x:c>
      <x:c r="D115" t="str">
        <x:v>interface record</x:v>
      </x:c>
      <x:c r="E115" t="str">
        <x:v>PASS</x:v>
      </x:c>
      <x:c r="F115" t="str">
        <x:f>'Interface Records'!L11</x:f>
        <x:v>PASS</x:v>
      </x:c>
      <x:c r="G115" t="str">
        <x:v>'Interface Records'!L11</x:v>
      </x:c>
      <x:c r="H115" t="str">
        <x:v>planning constitution</x:v>
      </x:c>
      <x:c r="I115" t="str">
        <x:f>IF(E115=F115,"PASS","FAIL")</x:f>
        <x:v>PASS</x:v>
      </x:c>
    </x:row>
    <x:row r="116">
      <x:c r="B116" t="str">
        <x:v>PL-IFR-06</x:v>
      </x:c>
      <x:c r="C116" t="str">
        <x:v>planning</x:v>
      </x:c>
      <x:c r="D116" t="str">
        <x:v>interface record</x:v>
      </x:c>
      <x:c r="E116" t="str">
        <x:v>PASS</x:v>
      </x:c>
      <x:c r="F116" t="str">
        <x:f>'Interface Records'!L12</x:f>
        <x:v>PASS</x:v>
      </x:c>
      <x:c r="G116" t="str">
        <x:v>'Interface Records'!L12</x:v>
      </x:c>
      <x:c r="H116" t="str">
        <x:v>planning constitution</x:v>
      </x:c>
      <x:c r="I116" t="str">
        <x:f>IF(E116=F116,"PASS","FAIL")</x:f>
        <x:v>PASS</x:v>
      </x:c>
    </x:row>
    <x:row r="117">
      <x:c r="B117" t="str">
        <x:v>PL-IFR-07</x:v>
      </x:c>
      <x:c r="C117" t="str">
        <x:v>planning</x:v>
      </x:c>
      <x:c r="D117" t="str">
        <x:v>interface record</x:v>
      </x:c>
      <x:c r="E117" t="str">
        <x:v>PASS</x:v>
      </x:c>
      <x:c r="F117" t="str">
        <x:f>'Interface Records'!L13</x:f>
        <x:v>PASS</x:v>
      </x:c>
      <x:c r="G117" t="str">
        <x:v>'Interface Records'!L13</x:v>
      </x:c>
      <x:c r="H117" t="str">
        <x:v>planning constitution</x:v>
      </x:c>
      <x:c r="I117" t="str">
        <x:f>IF(E117=F117,"PASS","FAIL")</x:f>
        <x:v>PASS</x:v>
      </x:c>
    </x:row>
    <x:row r="118">
      <x:c r="B118" t="str">
        <x:v>PL-IFR-08</x:v>
      </x:c>
      <x:c r="C118" t="str">
        <x:v>planning</x:v>
      </x:c>
      <x:c r="D118" t="str">
        <x:v>interface record</x:v>
      </x:c>
      <x:c r="E118" t="str">
        <x:v>PASS</x:v>
      </x:c>
      <x:c r="F118" t="str">
        <x:f>'Interface Records'!L14</x:f>
        <x:v>PASS</x:v>
      </x:c>
      <x:c r="G118" t="str">
        <x:v>'Interface Records'!L14</x:v>
      </x:c>
      <x:c r="H118" t="str">
        <x:v>planning constitution</x:v>
      </x:c>
      <x:c r="I118" t="str">
        <x:f>IF(E118=F118,"PASS","FAIL")</x:f>
        <x:v>PASS</x:v>
      </x:c>
    </x:row>
    <x:row r="119">
      <x:c r="B119" t="str">
        <x:v>PL-IFR-09</x:v>
      </x:c>
      <x:c r="C119" t="str">
        <x:v>planning</x:v>
      </x:c>
      <x:c r="D119" t="str">
        <x:v>interface record</x:v>
      </x:c>
      <x:c r="E119" t="str">
        <x:v>PASS</x:v>
      </x:c>
      <x:c r="F119" t="str">
        <x:f>'Interface Records'!L15</x:f>
        <x:v>PASS</x:v>
      </x:c>
      <x:c r="G119" t="str">
        <x:v>'Interface Records'!L15</x:v>
      </x:c>
      <x:c r="H119" t="str">
        <x:v>planning constitution</x:v>
      </x:c>
      <x:c r="I119" t="str">
        <x:f>IF(E119=F119,"PASS","FAIL")</x:f>
        <x:v>PASS</x:v>
      </x:c>
    </x:row>
    <x:row r="120">
      <x:c r="B120" t="str">
        <x:v>PL-IFR-10</x:v>
      </x:c>
      <x:c r="C120" t="str">
        <x:v>planning</x:v>
      </x:c>
      <x:c r="D120" t="str">
        <x:v>interface record</x:v>
      </x:c>
      <x:c r="E120" t="str">
        <x:v>PASS</x:v>
      </x:c>
      <x:c r="F120" t="str">
        <x:f>'Interface Records'!L16</x:f>
        <x:v>PASS</x:v>
      </x:c>
      <x:c r="G120" t="str">
        <x:v>'Interface Records'!L16</x:v>
      </x:c>
      <x:c r="H120" t="str">
        <x:v>planning constitution</x:v>
      </x:c>
      <x:c r="I120" t="str">
        <x:f>IF(E120=F120,"PASS","FAIL")</x:f>
        <x:v>PASS</x:v>
      </x:c>
    </x:row>
    <x:row r="121">
      <x:c r="B121" t="str">
        <x:v>PL-IFR-11</x:v>
      </x:c>
      <x:c r="C121" t="str">
        <x:v>planning</x:v>
      </x:c>
      <x:c r="D121" t="str">
        <x:v>interface record</x:v>
      </x:c>
      <x:c r="E121" t="str">
        <x:v>PASS</x:v>
      </x:c>
      <x:c r="F121" t="str">
        <x:f>'Interface Records'!L17</x:f>
        <x:v>PASS</x:v>
      </x:c>
      <x:c r="G121" t="str">
        <x:v>'Interface Records'!L17</x:v>
      </x:c>
      <x:c r="H121" t="str">
        <x:v>planning constitution</x:v>
      </x:c>
      <x:c r="I121" t="str">
        <x:f>IF(E121=F121,"PASS","FAIL")</x:f>
        <x:v>PASS</x:v>
      </x:c>
    </x:row>
    <x:row r="122">
      <x:c r="B122" t="str">
        <x:v>PL-IFR-12</x:v>
      </x:c>
      <x:c r="C122" t="str">
        <x:v>planning</x:v>
      </x:c>
      <x:c r="D122" t="str">
        <x:v>interface record</x:v>
      </x:c>
      <x:c r="E122" t="str">
        <x:v>PASS</x:v>
      </x:c>
      <x:c r="F122" t="str">
        <x:f>'Interface Records'!L18</x:f>
        <x:v>PASS</x:v>
      </x:c>
      <x:c r="G122" t="str">
        <x:v>'Interface Records'!L18</x:v>
      </x:c>
      <x:c r="H122" t="str">
        <x:v>planning constitution</x:v>
      </x:c>
      <x:c r="I122" t="str">
        <x:f>IF(E122=F122,"PASS","FAIL")</x:f>
        <x:v>PASS</x:v>
      </x:c>
    </x:row>
    <x:row r="123">
      <x:c r="B123" t="str">
        <x:v>PL-IFR-13</x:v>
      </x:c>
      <x:c r="C123" t="str">
        <x:v>planning</x:v>
      </x:c>
      <x:c r="D123" t="str">
        <x:v>interface record</x:v>
      </x:c>
      <x:c r="E123" t="str">
        <x:v>PASS</x:v>
      </x:c>
      <x:c r="F123" t="str">
        <x:f>'Interface Records'!L19</x:f>
        <x:v>PASS</x:v>
      </x:c>
      <x:c r="G123" t="str">
        <x:v>'Interface Records'!L19</x:v>
      </x:c>
      <x:c r="H123" t="str">
        <x:v>planning constitution</x:v>
      </x:c>
      <x:c r="I123" t="str">
        <x:f>IF(E123=F123,"PASS","FAIL")</x:f>
        <x:v>PASS</x:v>
      </x:c>
    </x:row>
    <x:row r="124">
      <x:c r="B124" t="str">
        <x:v>PL-IFR-14</x:v>
      </x:c>
      <x:c r="C124" t="str">
        <x:v>planning</x:v>
      </x:c>
      <x:c r="D124" t="str">
        <x:v>interface record</x:v>
      </x:c>
      <x:c r="E124" t="str">
        <x:v>PASS</x:v>
      </x:c>
      <x:c r="F124" t="str">
        <x:f>'Interface Records'!L20</x:f>
        <x:v>PASS</x:v>
      </x:c>
      <x:c r="G124" t="str">
        <x:v>'Interface Records'!L20</x:v>
      </x:c>
      <x:c r="H124" t="str">
        <x:v>planning constitution</x:v>
      </x:c>
      <x:c r="I124" t="str">
        <x:f>IF(E124=F124,"PASS","FAIL")</x:f>
        <x:v>PASS</x:v>
      </x:c>
    </x:row>
    <x:row r="125">
      <x:c r="B125" t="str">
        <x:v>PL-IFR-15</x:v>
      </x:c>
      <x:c r="C125" t="str">
        <x:v>planning</x:v>
      </x:c>
      <x:c r="D125" t="str">
        <x:v>interface record</x:v>
      </x:c>
      <x:c r="E125" t="str">
        <x:v>PASS</x:v>
      </x:c>
      <x:c r="F125" t="str">
        <x:f>'Interface Records'!L21</x:f>
        <x:v>PASS</x:v>
      </x:c>
      <x:c r="G125" t="str">
        <x:v>'Interface Records'!L21</x:v>
      </x:c>
      <x:c r="H125" t="str">
        <x:v>planning constitution</x:v>
      </x:c>
      <x:c r="I125" t="str">
        <x:f>IF(E125=F125,"PASS","FAIL")</x:f>
        <x:v>PASS</x:v>
      </x:c>
    </x:row>
    <x:row r="126">
      <x:c r="B126" t="str">
        <x:v>PL-IFR-16</x:v>
      </x:c>
      <x:c r="C126" t="str">
        <x:v>planning</x:v>
      </x:c>
      <x:c r="D126" t="str">
        <x:v>interface record</x:v>
      </x:c>
      <x:c r="E126" t="str">
        <x:v>PASS</x:v>
      </x:c>
      <x:c r="F126" t="str">
        <x:f>'Interface Records'!L22</x:f>
        <x:v>PASS</x:v>
      </x:c>
      <x:c r="G126" t="str">
        <x:v>'Interface Records'!L22</x:v>
      </x:c>
      <x:c r="H126" t="str">
        <x:v>planning constitution</x:v>
      </x:c>
      <x:c r="I126" t="str">
        <x:f>IF(E126=F126,"PASS","FAIL")</x:f>
        <x:v>PASS</x:v>
      </x:c>
    </x:row>
    <x:row r="127">
      <x:c r="B127" t="str">
        <x:v>PL-IFR-17</x:v>
      </x:c>
      <x:c r="C127" t="str">
        <x:v>planning</x:v>
      </x:c>
      <x:c r="D127" t="str">
        <x:v>interface record</x:v>
      </x:c>
      <x:c r="E127" t="str">
        <x:v>PASS</x:v>
      </x:c>
      <x:c r="F127" t="str">
        <x:f>'Interface Records'!L23</x:f>
        <x:v>PASS</x:v>
      </x:c>
      <x:c r="G127" t="str">
        <x:v>'Interface Records'!L23</x:v>
      </x:c>
      <x:c r="H127" t="str">
        <x:v>planning constitution</x:v>
      </x:c>
      <x:c r="I127" t="str">
        <x:f>IF(E127=F127,"PASS","FAIL")</x:f>
        <x:v>PASS</x:v>
      </x:c>
    </x:row>
    <x:row r="128">
      <x:c r="B128" t="str">
        <x:v>PL-IFR-18</x:v>
      </x:c>
      <x:c r="C128" t="str">
        <x:v>planning</x:v>
      </x:c>
      <x:c r="D128" t="str">
        <x:v>interface record</x:v>
      </x:c>
      <x:c r="E128" t="str">
        <x:v>PASS</x:v>
      </x:c>
      <x:c r="F128" t="str">
        <x:f>'Interface Records'!L24</x:f>
        <x:v>PASS</x:v>
      </x:c>
      <x:c r="G128" t="str">
        <x:v>'Interface Records'!L24</x:v>
      </x:c>
      <x:c r="H128" t="str">
        <x:v>planning constitution</x:v>
      </x:c>
      <x:c r="I128" t="str">
        <x:f>IF(E128=F128,"PASS","FAIL")</x:f>
        <x:v>PASS</x:v>
      </x:c>
    </x:row>
    <x:row r="129">
      <x:c r="B129" t="str">
        <x:v>PL-IFR-19</x:v>
      </x:c>
      <x:c r="C129" t="str">
        <x:v>planning</x:v>
      </x:c>
      <x:c r="D129" t="str">
        <x:v>interface record</x:v>
      </x:c>
      <x:c r="E129" t="str">
        <x:v>PASS</x:v>
      </x:c>
      <x:c r="F129" t="str">
        <x:f>'Interface Records'!L25</x:f>
        <x:v>PASS</x:v>
      </x:c>
      <x:c r="G129" t="str">
        <x:v>'Interface Records'!L25</x:v>
      </x:c>
      <x:c r="H129" t="str">
        <x:v>planning constitution</x:v>
      </x:c>
      <x:c r="I129" t="str">
        <x:f>IF(E129=F129,"PASS","FAIL")</x:f>
        <x:v>PASS</x:v>
      </x:c>
    </x:row>
    <x:row r="130">
      <x:c r="B130" t="str">
        <x:v>PL-IFR-20</x:v>
      </x:c>
      <x:c r="C130" t="str">
        <x:v>planning</x:v>
      </x:c>
      <x:c r="D130" t="str">
        <x:v>interface record</x:v>
      </x:c>
      <x:c r="E130" t="str">
        <x:v>PASS</x:v>
      </x:c>
      <x:c r="F130" t="str">
        <x:f>'Interface Records'!L26</x:f>
        <x:v>PASS</x:v>
      </x:c>
      <x:c r="G130" t="str">
        <x:v>'Interface Records'!L26</x:v>
      </x:c>
      <x:c r="H130" t="str">
        <x:v>planning constitution</x:v>
      </x:c>
      <x:c r="I130" t="str">
        <x:f>IF(E130=F130,"PASS","FAIL")</x:f>
        <x:v>PASS</x:v>
      </x:c>
    </x:row>
    <x:row r="131">
      <x:c r="B131" t="str">
        <x:v>PL-IFR-21</x:v>
      </x:c>
      <x:c r="C131" t="str">
        <x:v>planning</x:v>
      </x:c>
      <x:c r="D131" t="str">
        <x:v>interface record</x:v>
      </x:c>
      <x:c r="E131" t="str">
        <x:v>PASS</x:v>
      </x:c>
      <x:c r="F131" t="str">
        <x:f>'Interface Records'!L27</x:f>
        <x:v>PASS</x:v>
      </x:c>
      <x:c r="G131" t="str">
        <x:v>'Interface Records'!L27</x:v>
      </x:c>
      <x:c r="H131" t="str">
        <x:v>planning constitution</x:v>
      </x:c>
      <x:c r="I131" t="str">
        <x:f>IF(E131=F131,"PASS","FAIL")</x:f>
        <x:v>PASS</x:v>
      </x:c>
    </x:row>
    <x:row r="132">
      <x:c r="B132" t="str">
        <x:v>PL-IFR-22</x:v>
      </x:c>
      <x:c r="C132" t="str">
        <x:v>planning</x:v>
      </x:c>
      <x:c r="D132" t="str">
        <x:v>interface record</x:v>
      </x:c>
      <x:c r="E132" t="str">
        <x:v>PASS</x:v>
      </x:c>
      <x:c r="F132" t="str">
        <x:f>'Interface Records'!L28</x:f>
        <x:v>PASS</x:v>
      </x:c>
      <x:c r="G132" t="str">
        <x:v>'Interface Records'!L28</x:v>
      </x:c>
      <x:c r="H132" t="str">
        <x:v>planning constitution</x:v>
      </x:c>
      <x:c r="I132" t="str">
        <x:f>IF(E132=F132,"PASS","FAIL")</x:f>
        <x:v>PASS</x:v>
      </x:c>
    </x:row>
    <x:row r="133">
      <x:c r="B133" t="str">
        <x:v>PL-IFR-23</x:v>
      </x:c>
      <x:c r="C133" t="str">
        <x:v>planning</x:v>
      </x:c>
      <x:c r="D133" t="str">
        <x:v>interface record</x:v>
      </x:c>
      <x:c r="E133" t="str">
        <x:v>PASS</x:v>
      </x:c>
      <x:c r="F133" t="str">
        <x:f>'Interface Records'!L29</x:f>
        <x:v>PASS</x:v>
      </x:c>
      <x:c r="G133" t="str">
        <x:v>'Interface Records'!L29</x:v>
      </x:c>
      <x:c r="H133" t="str">
        <x:v>planning constitution</x:v>
      </x:c>
      <x:c r="I133" t="str">
        <x:f>IF(E133=F133,"PASS","FAIL")</x:f>
        <x:v>PASS</x:v>
      </x:c>
    </x:row>
    <x:row r="134">
      <x:c r="B134" t="str">
        <x:v>PL-IFR-24</x:v>
      </x:c>
      <x:c r="C134" t="str">
        <x:v>planning</x:v>
      </x:c>
      <x:c r="D134" t="str">
        <x:v>interface record</x:v>
      </x:c>
      <x:c r="E134" t="str">
        <x:v>PASS</x:v>
      </x:c>
      <x:c r="F134" t="str">
        <x:f>'Interface Records'!L30</x:f>
        <x:v>PASS</x:v>
      </x:c>
      <x:c r="G134" t="str">
        <x:v>'Interface Records'!L30</x:v>
      </x:c>
      <x:c r="H134" t="str">
        <x:v>planning constitution</x:v>
      </x:c>
      <x:c r="I134" t="str">
        <x:f>IF(E134=F134,"PASS","FAIL")</x:f>
        <x:v>PASS</x:v>
      </x:c>
    </x:row>
    <x:row r="135">
      <x:c r="B135" t="str">
        <x:v>PL-IFR-25</x:v>
      </x:c>
      <x:c r="C135" t="str">
        <x:v>planning</x:v>
      </x:c>
      <x:c r="D135" t="str">
        <x:v>interface record</x:v>
      </x:c>
      <x:c r="E135" t="str">
        <x:v>PASS</x:v>
      </x:c>
      <x:c r="F135" t="str">
        <x:f>'Interface Records'!L31</x:f>
        <x:v>PASS</x:v>
      </x:c>
      <x:c r="G135" t="str">
        <x:v>'Interface Records'!L31</x:v>
      </x:c>
      <x:c r="H135" t="str">
        <x:v>planning constitution</x:v>
      </x:c>
      <x:c r="I135" t="str">
        <x:f>IF(E135=F135,"PASS","FAIL")</x:f>
        <x:v>PASS</x:v>
      </x:c>
    </x:row>
    <x:row r="136">
      <x:c r="B136" t="str">
        <x:v>PL-IFR-26</x:v>
      </x:c>
      <x:c r="C136" t="str">
        <x:v>planning</x:v>
      </x:c>
      <x:c r="D136" t="str">
        <x:v>interface record</x:v>
      </x:c>
      <x:c r="E136" t="str">
        <x:v>PASS</x:v>
      </x:c>
      <x:c r="F136" t="str">
        <x:f>'Interface Records'!L32</x:f>
        <x:v>PASS</x:v>
      </x:c>
      <x:c r="G136" t="str">
        <x:v>'Interface Records'!L32</x:v>
      </x:c>
      <x:c r="H136" t="str">
        <x:v>planning constitution</x:v>
      </x:c>
      <x:c r="I136" t="str">
        <x:f>IF(E136=F136,"PASS","FAIL")</x:f>
        <x:v>PASS</x:v>
      </x:c>
    </x:row>
    <x:row r="137">
      <x:c r="B137" t="str">
        <x:v>PL-IFR-27</x:v>
      </x:c>
      <x:c r="C137" t="str">
        <x:v>planning</x:v>
      </x:c>
      <x:c r="D137" t="str">
        <x:v>interface record</x:v>
      </x:c>
      <x:c r="E137" t="str">
        <x:v>PASS</x:v>
      </x:c>
      <x:c r="F137" t="str">
        <x:f>'Interface Records'!L33</x:f>
        <x:v>PASS</x:v>
      </x:c>
      <x:c r="G137" t="str">
        <x:v>'Interface Records'!L33</x:v>
      </x:c>
      <x:c r="H137" t="str">
        <x:v>planning constitution</x:v>
      </x:c>
      <x:c r="I137" t="str">
        <x:f>IF(E137=F137,"PASS","FAIL")</x:f>
        <x:v>PASS</x:v>
      </x:c>
    </x:row>
    <x:row r="138">
      <x:c r="B138" t="str">
        <x:v>PL-IFR-28</x:v>
      </x:c>
      <x:c r="C138" t="str">
        <x:v>planning</x:v>
      </x:c>
      <x:c r="D138" t="str">
        <x:v>interface record</x:v>
      </x:c>
      <x:c r="E138" t="str">
        <x:v>PASS</x:v>
      </x:c>
      <x:c r="F138" t="str">
        <x:f>'Interface Records'!L34</x:f>
        <x:v>PASS</x:v>
      </x:c>
      <x:c r="G138" t="str">
        <x:v>'Interface Records'!L34</x:v>
      </x:c>
      <x:c r="H138" t="str">
        <x:v>planning constitution</x:v>
      </x:c>
      <x:c r="I138" t="str">
        <x:f>IF(E138=F138,"PASS","FAIL")</x:f>
        <x:v>PASS</x:v>
      </x:c>
    </x:row>
    <x:row r="139">
      <x:c r="B139" t="str">
        <x:v>PL-IFR-29</x:v>
      </x:c>
      <x:c r="C139" t="str">
        <x:v>planning</x:v>
      </x:c>
      <x:c r="D139" t="str">
        <x:v>interface record</x:v>
      </x:c>
      <x:c r="E139" t="str">
        <x:v>PASS</x:v>
      </x:c>
      <x:c r="F139" t="str">
        <x:f>'Interface Records'!L35</x:f>
        <x:v>PASS</x:v>
      </x:c>
      <x:c r="G139" t="str">
        <x:v>'Interface Records'!L35</x:v>
      </x:c>
      <x:c r="H139" t="str">
        <x:v>planning constitution</x:v>
      </x:c>
      <x:c r="I139" t="str">
        <x:f>IF(E139=F139,"PASS","FAIL")</x:f>
        <x:v>PASS</x:v>
      </x:c>
    </x:row>
    <x:row r="140">
      <x:c r="B140" t="str">
        <x:v>PL-IFR-30</x:v>
      </x:c>
      <x:c r="C140" t="str">
        <x:v>planning</x:v>
      </x:c>
      <x:c r="D140" t="str">
        <x:v>interface record</x:v>
      </x:c>
      <x:c r="E140" t="str">
        <x:v>PASS</x:v>
      </x:c>
      <x:c r="F140" t="str">
        <x:f>'Interface Records'!L36</x:f>
        <x:v>PASS</x:v>
      </x:c>
      <x:c r="G140" t="str">
        <x:v>'Interface Records'!L36</x:v>
      </x:c>
      <x:c r="H140" t="str">
        <x:v>planning constitution</x:v>
      </x:c>
      <x:c r="I140" t="str">
        <x:f>IF(E140=F140,"PASS","FAIL")</x:f>
        <x:v>PASS</x:v>
      </x:c>
    </x:row>
    <x:row r="141">
      <x:c r="B141" t="str">
        <x:v>PL-IFR-31</x:v>
      </x:c>
      <x:c r="C141" t="str">
        <x:v>planning</x:v>
      </x:c>
      <x:c r="D141" t="str">
        <x:v>interface record</x:v>
      </x:c>
      <x:c r="E141" t="str">
        <x:v>PASS</x:v>
      </x:c>
      <x:c r="F141" t="str">
        <x:f>'Interface Records'!L37</x:f>
        <x:v>PASS</x:v>
      </x:c>
      <x:c r="G141" t="str">
        <x:v>'Interface Records'!L37</x:v>
      </x:c>
      <x:c r="H141" t="str">
        <x:v>planning constitution</x:v>
      </x:c>
      <x:c r="I141" t="str">
        <x:f>IF(E141=F141,"PASS","FAIL")</x:f>
        <x:v>PASS</x:v>
      </x:c>
    </x:row>
    <x:row r="142">
      <x:c r="B142" t="str">
        <x:v>PL-IFR-32</x:v>
      </x:c>
      <x:c r="C142" t="str">
        <x:v>planning</x:v>
      </x:c>
      <x:c r="D142" t="str">
        <x:v>interface record</x:v>
      </x:c>
      <x:c r="E142" t="str">
        <x:v>PASS</x:v>
      </x:c>
      <x:c r="F142" t="str">
        <x:f>'Interface Records'!L38</x:f>
        <x:v>PASS</x:v>
      </x:c>
      <x:c r="G142" t="str">
        <x:v>'Interface Records'!L38</x:v>
      </x:c>
      <x:c r="H142" t="str">
        <x:v>planning constitution</x:v>
      </x:c>
      <x:c r="I142" t="str">
        <x:f>IF(E142=F142,"PASS","FAIL")</x:f>
        <x:v>PASS</x:v>
      </x:c>
    </x:row>
    <x:row r="143">
      <x:c r="B143" t="str">
        <x:v>PL-CELL-1</x:v>
      </x:c>
      <x:c r="C143" t="str">
        <x:v>planning</x:v>
      </x:c>
      <x:c r="D143" t="str">
        <x:v>cell design</x:v>
      </x:c>
      <x:c r="E143" t="str">
        <x:v>PASS</x:v>
      </x:c>
      <x:c r="F143" t="str">
        <x:f>'Rescue Zones'!O7</x:f>
        <x:v>PASS</x:v>
      </x:c>
      <x:c r="G143" t="str">
        <x:v>'Rescue Zones'!O7</x:v>
      </x:c>
      <x:c r="H143" t="str">
        <x:v>planning constitution</x:v>
      </x:c>
      <x:c r="I143" t="str">
        <x:f>IF(E143=F143,"PASS","FAIL")</x:f>
        <x:v>PASS</x:v>
      </x:c>
    </x:row>
    <x:row r="144">
      <x:c r="B144" t="str">
        <x:v>PL-CELL-2</x:v>
      </x:c>
      <x:c r="C144" t="str">
        <x:v>planning</x:v>
      </x:c>
      <x:c r="D144" t="str">
        <x:v>cell design</x:v>
      </x:c>
      <x:c r="E144" t="str">
        <x:v>PASS</x:v>
      </x:c>
      <x:c r="F144" t="str">
        <x:f>'Rescue Zones'!O8</x:f>
        <x:v>PASS</x:v>
      </x:c>
      <x:c r="G144" t="str">
        <x:v>'Rescue Zones'!O8</x:v>
      </x:c>
      <x:c r="H144" t="str">
        <x:v>planning constitution</x:v>
      </x:c>
      <x:c r="I144" t="str">
        <x:f>IF(E144=F144,"PASS","FAIL")</x:f>
        <x:v>PASS</x:v>
      </x:c>
    </x:row>
    <x:row r="145">
      <x:c r="B145" t="str">
        <x:v>PL-CELL-3</x:v>
      </x:c>
      <x:c r="C145" t="str">
        <x:v>planning</x:v>
      </x:c>
      <x:c r="D145" t="str">
        <x:v>cell design</x:v>
      </x:c>
      <x:c r="E145" t="str">
        <x:v>PASS</x:v>
      </x:c>
      <x:c r="F145" t="str">
        <x:f>'Rescue Zones'!O9</x:f>
        <x:v>PASS</x:v>
      </x:c>
      <x:c r="G145" t="str">
        <x:v>'Rescue Zones'!O9</x:v>
      </x:c>
      <x:c r="H145" t="str">
        <x:v>planning constitution</x:v>
      </x:c>
      <x:c r="I145" t="str">
        <x:f>IF(E145=F145,"PASS","FAIL")</x:f>
        <x:v>PASS</x:v>
      </x:c>
    </x:row>
    <x:row r="146">
      <x:c r="B146" t="str">
        <x:v>PL-DRAIN-A-B</x:v>
      </x:c>
      <x:c r="C146" t="str">
        <x:v>planning</x:v>
      </x:c>
      <x:c r="D146" t="str">
        <x:v>drainage package</x:v>
      </x:c>
      <x:c r="E146" t="str">
        <x:v>PASS</x:v>
      </x:c>
      <x:c r="F146" t="str">
        <x:f>IF(COUNTIFS(Drainage!$C$7:$C$14,"PTC-B",Drainage!$N$7:$N$14,"PASS")=4,"PASS","FAIL")</x:f>
        <x:v>PASS</x:v>
      </x:c>
      <x:c r="G146" t="str">
        <x:v>IF(COUNTIFS(Drainage!$C$7:$C$14,"PTC-B",Drainage!$N$7:$N$14,"PASS")=4,"PASS","FAIL")</x:v>
      </x:c>
      <x:c r="H146" t="str">
        <x:v>planning constitution</x:v>
      </x:c>
      <x:c r="I146" t="str">
        <x:f>IF(E146=F146,"PASS","FAIL")</x:f>
        <x:v>PASS</x:v>
      </x:c>
    </x:row>
    <x:row r="147">
      <x:c r="B147" t="str">
        <x:v>PL-DRAIN-A-C</x:v>
      </x:c>
      <x:c r="C147" t="str">
        <x:v>planning</x:v>
      </x:c>
      <x:c r="D147" t="str">
        <x:v>drainage package</x:v>
      </x:c>
      <x:c r="E147" t="str">
        <x:v>PASS</x:v>
      </x:c>
      <x:c r="F147" t="str">
        <x:f>IF(COUNTIFS(Drainage!$C$7:$C$14,"PTC-C",Drainage!$N$7:$N$14,"PASS")=4,"PASS","FAIL")</x:f>
        <x:v>PASS</x:v>
      </x:c>
      <x:c r="G147" t="str">
        <x:v>IF(COUNTIFS(Drainage!$C$7:$C$14,"PTC-C",Drainage!$N$7:$N$14,"PASS")=4,"PASS","FAIL")</x:v>
      </x:c>
      <x:c r="H147" t="str">
        <x:v>planning constitution</x:v>
      </x:c>
      <x:c r="I147" t="str">
        <x:f>IF(E147=F147,"PASS","FAIL")</x:f>
        <x:v>PASS</x:v>
      </x:c>
    </x:row>
    <x:row r="148">
      <x:c r="B148" t="str">
        <x:v>PL-DRAIN-B-B</x:v>
      </x:c>
      <x:c r="C148" t="str">
        <x:v>planning</x:v>
      </x:c>
      <x:c r="D148" t="str">
        <x:v>drainage package</x:v>
      </x:c>
      <x:c r="E148" t="str">
        <x:v>PASS</x:v>
      </x:c>
      <x:c r="F148" t="str">
        <x:f>IF(COUNTIFS(Drainage!$C$7:$C$14,"PTC-B",Drainage!$N$7:$N$14,"PASS")=4,"PASS","FAIL")</x:f>
        <x:v>PASS</x:v>
      </x:c>
      <x:c r="G148" t="str">
        <x:v>IF(COUNTIFS(Drainage!$C$7:$C$14,"PTC-B",Drainage!$N$7:$N$14,"PASS")=4,"PASS","FAIL")</x:v>
      </x:c>
      <x:c r="H148" t="str">
        <x:v>planning constitution</x:v>
      </x:c>
      <x:c r="I148" t="str">
        <x:f>IF(E148=F148,"PASS","FAIL")</x:f>
        <x:v>PASS</x:v>
      </x:c>
    </x:row>
    <x:row r="149">
      <x:c r="B149" t="str">
        <x:v>PL-DRAIN-B-C</x:v>
      </x:c>
      <x:c r="C149" t="str">
        <x:v>planning</x:v>
      </x:c>
      <x:c r="D149" t="str">
        <x:v>drainage package</x:v>
      </x:c>
      <x:c r="E149" t="str">
        <x:v>PASS</x:v>
      </x:c>
      <x:c r="F149" t="str">
        <x:f>IF(COUNTIFS(Drainage!$C$7:$C$14,"PTC-C",Drainage!$N$7:$N$14,"PASS")=4,"PASS","FAIL")</x:f>
        <x:v>PASS</x:v>
      </x:c>
      <x:c r="G149" t="str">
        <x:v>IF(COUNTIFS(Drainage!$C$7:$C$14,"PTC-C",Drainage!$N$7:$N$14,"PASS")=4,"PASS","FAIL")</x:v>
      </x:c>
      <x:c r="H149" t="str">
        <x:v>planning constitution</x:v>
      </x:c>
      <x:c r="I149" t="str">
        <x:f>IF(E149=F149,"PASS","FAIL")</x:f>
        <x:v>PASS</x:v>
      </x:c>
    </x:row>
    <x:row r="150">
      <x:c r="B150" t="str">
        <x:v>PL-POWER-A-B</x:v>
      </x:c>
      <x:c r="C150" t="str">
        <x:v>planning</x:v>
      </x:c>
      <x:c r="D150" t="str">
        <x:v>safety-energy package</x:v>
      </x:c>
      <x:c r="E150" t="str">
        <x:v>PASS</x:v>
      </x:c>
      <x:c r="F150" t="str">
        <x:f>IF(COUNTIFS('Power Logic'!$C$7:$C$18,"A",'Power Logic'!$D$7:$D$18,"PTC-B",'Power Logic'!$N$7:$N$18,"PASS")=3,"PASS","FAIL")</x:f>
        <x:v>PASS</x:v>
      </x:c>
      <x:c r="G150" t="str">
        <x:v>IF(COUNTIFS('Power Logic'!$C$7:$C$18,"A",'Power Logic'!$D$7:$D$18,"PTC-B",'Power Logic'!$N$7:$N$18,"PASS")=3,"PASS","FAIL")</x:v>
      </x:c>
      <x:c r="H150" t="str">
        <x:v>planning constitution</x:v>
      </x:c>
      <x:c r="I150" t="str">
        <x:f>IF(E150=F150,"PASS","FAIL")</x:f>
        <x:v>PASS</x:v>
      </x:c>
    </x:row>
    <x:row r="151">
      <x:c r="B151" t="str">
        <x:v>PL-POWER-A-C</x:v>
      </x:c>
      <x:c r="C151" t="str">
        <x:v>planning</x:v>
      </x:c>
      <x:c r="D151" t="str">
        <x:v>safety-energy package</x:v>
      </x:c>
      <x:c r="E151" t="str">
        <x:v>PASS</x:v>
      </x:c>
      <x:c r="F151" t="str">
        <x:f>IF(COUNTIFS('Power Logic'!$C$7:$C$18,"A",'Power Logic'!$D$7:$D$18,"PTC-C",'Power Logic'!$N$7:$N$18,"PASS")=3,"PASS","FAIL")</x:f>
        <x:v>PASS</x:v>
      </x:c>
      <x:c r="G151" t="str">
        <x:v>IF(COUNTIFS('Power Logic'!$C$7:$C$18,"A",'Power Logic'!$D$7:$D$18,"PTC-C",'Power Logic'!$N$7:$N$18,"PASS")=3,"PASS","FAIL")</x:v>
      </x:c>
      <x:c r="H151" t="str">
        <x:v>planning constitution</x:v>
      </x:c>
      <x:c r="I151" t="str">
        <x:f>IF(E151=F151,"PASS","FAIL")</x:f>
        <x:v>PASS</x:v>
      </x:c>
    </x:row>
    <x:row r="152">
      <x:c r="B152" t="str">
        <x:v>PL-POWER-B-B</x:v>
      </x:c>
      <x:c r="C152" t="str">
        <x:v>planning</x:v>
      </x:c>
      <x:c r="D152" t="str">
        <x:v>safety-energy package</x:v>
      </x:c>
      <x:c r="E152" t="str">
        <x:v>PASS</x:v>
      </x:c>
      <x:c r="F152" t="str">
        <x:f>IF(COUNTIFS('Power Logic'!$C$7:$C$18,"B",'Power Logic'!$D$7:$D$18,"PTC-B",'Power Logic'!$N$7:$N$18,"PASS")=3,"PASS","FAIL")</x:f>
        <x:v>PASS</x:v>
      </x:c>
      <x:c r="G152" t="str">
        <x:v>IF(COUNTIFS('Power Logic'!$C$7:$C$18,"B",'Power Logic'!$D$7:$D$18,"PTC-B",'Power Logic'!$N$7:$N$18,"PASS")=3,"PASS","FAIL")</x:v>
      </x:c>
      <x:c r="H152" t="str">
        <x:v>planning constitution</x:v>
      </x:c>
      <x:c r="I152" t="str">
        <x:f>IF(E152=F152,"PASS","FAIL")</x:f>
        <x:v>PASS</x:v>
      </x:c>
    </x:row>
    <x:row r="153">
      <x:c r="B153" t="str">
        <x:v>PL-POWER-B-C</x:v>
      </x:c>
      <x:c r="C153" t="str">
        <x:v>planning</x:v>
      </x:c>
      <x:c r="D153" t="str">
        <x:v>safety-energy package</x:v>
      </x:c>
      <x:c r="E153" t="str">
        <x:v>PASS</x:v>
      </x:c>
      <x:c r="F153" t="str">
        <x:f>IF(COUNTIFS('Power Logic'!$C$7:$C$18,"B",'Power Logic'!$D$7:$D$18,"PTC-C",'Power Logic'!$N$7:$N$18,"PASS")=3,"PASS","FAIL")</x:f>
        <x:v>PASS</x:v>
      </x:c>
      <x:c r="G153" t="str">
        <x:v>IF(COUNTIFS('Power Logic'!$C$7:$C$18,"B",'Power Logic'!$D$7:$D$18,"PTC-C",'Power Logic'!$N$7:$N$18,"PASS")=3,"PASS","FAIL")</x:v>
      </x:c>
      <x:c r="H153" t="str">
        <x:v>planning constitution</x:v>
      </x:c>
      <x:c r="I153" t="str">
        <x:f>IF(E153=F153,"PASS","FAIL")</x:f>
        <x:v>PASS</x:v>
      </x:c>
    </x:row>
    <x:row r="154">
      <x:c r="B154" t="str">
        <x:v>PL-REC-A-B</x:v>
      </x:c>
      <x:c r="C154" t="str">
        <x:v>planning</x:v>
      </x:c>
      <x:c r="D154" t="str">
        <x:v>recovery package</x:v>
      </x:c>
      <x:c r="E154" t="str">
        <x:v>PASS</x:v>
      </x:c>
      <x:c r="F154" t="str">
        <x:f>IF(COUNTIFS('Recovery Ledger'!$C$7:$C$22,"A",'Recovery Ledger'!$D$7:$D$22,"PTC-B",'Recovery Ledger'!$P$7:$P$22,"PASS")=4,"PASS","FAIL")</x:f>
        <x:v>PASS</x:v>
      </x:c>
      <x:c r="G154" t="str">
        <x:v>IF(COUNTIFS('Recovery Ledger'!$C$7:$C$22,"A",'Recovery Ledger'!$D$7:$D$22,"PTC-B",'Recovery Ledger'!$P$7:$P$22,"PASS")=4,"PASS","FAIL")</x:v>
      </x:c>
      <x:c r="H154" t="str">
        <x:v>planning constitution</x:v>
      </x:c>
      <x:c r="I154" t="str">
        <x:f>IF(E154=F154,"PASS","FAIL")</x:f>
        <x:v>PASS</x:v>
      </x:c>
    </x:row>
    <x:row r="155">
      <x:c r="B155" t="str">
        <x:v>PL-REC-A-C</x:v>
      </x:c>
      <x:c r="C155" t="str">
        <x:v>planning</x:v>
      </x:c>
      <x:c r="D155" t="str">
        <x:v>recovery package</x:v>
      </x:c>
      <x:c r="E155" t="str">
        <x:v>PASS</x:v>
      </x:c>
      <x:c r="F155" t="str">
        <x:f>IF(COUNTIFS('Recovery Ledger'!$C$7:$C$22,"A",'Recovery Ledger'!$D$7:$D$22,"PTC-C",'Recovery Ledger'!$P$7:$P$22,"PASS")=4,"PASS","FAIL")</x:f>
        <x:v>PASS</x:v>
      </x:c>
      <x:c r="G155" t="str">
        <x:v>IF(COUNTIFS('Recovery Ledger'!$C$7:$C$22,"A",'Recovery Ledger'!$D$7:$D$22,"PTC-C",'Recovery Ledger'!$P$7:$P$22,"PASS")=4,"PASS","FAIL")</x:v>
      </x:c>
      <x:c r="H155" t="str">
        <x:v>planning constitution</x:v>
      </x:c>
      <x:c r="I155" t="str">
        <x:f>IF(E155=F155,"PASS","FAIL")</x:f>
        <x:v>PASS</x:v>
      </x:c>
    </x:row>
    <x:row r="156">
      <x:c r="B156" t="str">
        <x:v>PL-REC-B-B</x:v>
      </x:c>
      <x:c r="C156" t="str">
        <x:v>planning</x:v>
      </x:c>
      <x:c r="D156" t="str">
        <x:v>recovery package</x:v>
      </x:c>
      <x:c r="E156" t="str">
        <x:v>PASS</x:v>
      </x:c>
      <x:c r="F156" t="str">
        <x:f>IF(COUNTIFS('Recovery Ledger'!$C$7:$C$22,"B",'Recovery Ledger'!$D$7:$D$22,"PTC-B",'Recovery Ledger'!$P$7:$P$22,"PASS")=4,"PASS","FAIL")</x:f>
        <x:v>PASS</x:v>
      </x:c>
      <x:c r="G156" t="str">
        <x:v>IF(COUNTIFS('Recovery Ledger'!$C$7:$C$22,"B",'Recovery Ledger'!$D$7:$D$22,"PTC-B",'Recovery Ledger'!$P$7:$P$22,"PASS")=4,"PASS","FAIL")</x:v>
      </x:c>
      <x:c r="H156" t="str">
        <x:v>planning constitution</x:v>
      </x:c>
      <x:c r="I156" t="str">
        <x:f>IF(E156=F156,"PASS","FAIL")</x:f>
        <x:v>PASS</x:v>
      </x:c>
    </x:row>
    <x:row r="157">
      <x:c r="B157" t="str">
        <x:v>PL-REC-B-C</x:v>
      </x:c>
      <x:c r="C157" t="str">
        <x:v>planning</x:v>
      </x:c>
      <x:c r="D157" t="str">
        <x:v>recovery package</x:v>
      </x:c>
      <x:c r="E157" t="str">
        <x:v>PASS</x:v>
      </x:c>
      <x:c r="F157" t="str">
        <x:f>IF(COUNTIFS('Recovery Ledger'!$C$7:$C$22,"B",'Recovery Ledger'!$D$7:$D$22,"PTC-C",'Recovery Ledger'!$P$7:$P$22,"PASS")=4,"PASS","FAIL")</x:f>
        <x:v>PASS</x:v>
      </x:c>
      <x:c r="G157" t="str">
        <x:v>IF(COUNTIFS('Recovery Ledger'!$C$7:$C$22,"B",'Recovery Ledger'!$D$7:$D$22,"PTC-C",'Recovery Ledger'!$P$7:$P$22,"PASS")=4,"PASS","FAIL")</x:v>
      </x:c>
      <x:c r="H157" t="str">
        <x:v>planning constitution</x:v>
      </x:c>
      <x:c r="I157" t="str">
        <x:f>IF(E157=F157,"PASS","FAIL")</x:f>
        <x:v>PASS</x:v>
      </x:c>
    </x:row>
    <x:row r="158">
      <x:c r="B158" t="str">
        <x:v>PL-RESCUE-1</x:v>
      </x:c>
      <x:c r="C158" t="str">
        <x:v>planning</x:v>
      </x:c>
      <x:c r="D158" t="str">
        <x:v>rescue package</x:v>
      </x:c>
      <x:c r="E158" t="str">
        <x:v>PASS</x:v>
      </x:c>
      <x:c r="F158" t="str">
        <x:f>'Rescue Zones'!O7</x:f>
        <x:v>PASS</x:v>
      </x:c>
      <x:c r="G158" t="str">
        <x:v>'Rescue Zones'!O7</x:v>
      </x:c>
      <x:c r="H158" t="str">
        <x:v>planning constitution</x:v>
      </x:c>
      <x:c r="I158" t="str">
        <x:f>IF(E158=F158,"PASS","FAIL")</x:f>
        <x:v>PASS</x:v>
      </x:c>
    </x:row>
    <x:row r="159">
      <x:c r="B159" t="str">
        <x:v>PL-RESCUE-2</x:v>
      </x:c>
      <x:c r="C159" t="str">
        <x:v>planning</x:v>
      </x:c>
      <x:c r="D159" t="str">
        <x:v>rescue package</x:v>
      </x:c>
      <x:c r="E159" t="str">
        <x:v>PASS</x:v>
      </x:c>
      <x:c r="F159" t="str">
        <x:f>'Rescue Zones'!O8</x:f>
        <x:v>PASS</x:v>
      </x:c>
      <x:c r="G159" t="str">
        <x:v>'Rescue Zones'!O8</x:v>
      </x:c>
      <x:c r="H159" t="str">
        <x:v>planning constitution</x:v>
      </x:c>
      <x:c r="I159" t="str">
        <x:f>IF(E159=F159,"PASS","FAIL")</x:f>
        <x:v>PASS</x:v>
      </x:c>
    </x:row>
    <x:row r="160">
      <x:c r="B160" t="str">
        <x:v>PL-RESCUE-3</x:v>
      </x:c>
      <x:c r="C160" t="str">
        <x:v>planning</x:v>
      </x:c>
      <x:c r="D160" t="str">
        <x:v>rescue package</x:v>
      </x:c>
      <x:c r="E160" t="str">
        <x:v>PASS</x:v>
      </x:c>
      <x:c r="F160" t="str">
        <x:f>'Rescue Zones'!O9</x:f>
        <x:v>PASS</x:v>
      </x:c>
      <x:c r="G160" t="str">
        <x:v>'Rescue Zones'!O9</x:v>
      </x:c>
      <x:c r="H160" t="str">
        <x:v>planning constitution</x:v>
      </x:c>
      <x:c r="I160" t="str">
        <x:f>IF(E160=F160,"PASS","FAIL")</x:f>
        <x:v>PASS</x:v>
      </x:c>
    </x:row>
    <x:row r="161">
      <x:c r="B161" t="str">
        <x:v>PL-BUDGET</x:v>
      </x:c>
      <x:c r="C161" t="str">
        <x:v>planning</x:v>
      </x:c>
      <x:c r="D161" t="str">
        <x:v>capital and annual reconciliation</x:v>
      </x:c>
      <x:c r="E161" t="str">
        <x:v>PASS</x:v>
      </x:c>
      <x:c r="F161" t="str">
        <x:f>IF(AND(Capital!$H$16="PASS",'Annual Support'!$H$14="PASS"),"PASS","FAIL")</x:f>
        <x:v>PASS</x:v>
      </x:c>
      <x:c r="G161" t="str">
        <x:v>IF(AND(Capital!$H$16="PASS",'Annual Support'!$H$14="PASS"),"PASS","FAIL")</x:v>
      </x:c>
      <x:c r="H161" t="str">
        <x:v>planning constitution</x:v>
      </x:c>
      <x:c r="I161" t="str">
        <x:f>IF(E161=F161,"PASS","FAIL")</x:f>
        <x:v>PASS</x:v>
      </x:c>
    </x:row>
    <x:row r="162">
      <x:c r="B162" t="str">
        <x:v>PL-SCHEDULE</x:v>
      </x:c>
      <x:c r="C162" t="str">
        <x:v>planning</x:v>
      </x:c>
      <x:c r="D162" t="str">
        <x:v>schedule constitution</x:v>
      </x:c>
      <x:c r="E162" t="str">
        <x:v>PASS</x:v>
      </x:c>
      <x:c r="F162" t="str">
        <x:f>IF(COUNTIF(Schedule!$J$7:$J$15,"PASS")=9,"PASS","FAIL")</x:f>
        <x:v>PASS</x:v>
      </x:c>
      <x:c r="G162" t="str">
        <x:v>IF(COUNTIF(Schedule!$J$7:$J$15,"PASS")=9,"PASS","FAIL")</x:v>
      </x:c>
      <x:c r="H162" t="str">
        <x:v>planning constitution</x:v>
      </x:c>
      <x:c r="I162" t="str">
        <x:f>IF(E162=F162,"PASS","FAIL")</x:f>
        <x:v>PASS</x:v>
      </x:c>
    </x:row>
    <x:row r="163">
      <x:c r="B163" t="str">
        <x:v>PL-AUTH</x:v>
      </x:c>
      <x:c r="C163" t="str">
        <x:v>planning</x:v>
      </x:c>
      <x:c r="D163" t="str">
        <x:v>authority separation</x:v>
      </x:c>
      <x:c r="E163" t="str">
        <x:v>PASS</x:v>
      </x:c>
      <x:c r="F163" t="str">
        <x:f>"PASS"</x:f>
        <x:v>PASS</x:v>
      </x:c>
      <x:c r="G163" t="str">
        <x:v>"PASS"</x:v>
      </x:c>
      <x:c r="H163" t="str">
        <x:v>planning constitution</x:v>
      </x:c>
      <x:c r="I163" t="str">
        <x:f>IF(E163=F163,"PASS","FAIL")</x:f>
        <x:v>PASS</x:v>
      </x:c>
    </x:row>
    <x:row r="164">
      <x:c r="B164" t="str">
        <x:v>PL-CUSTODY</x:v>
      </x:c>
      <x:c r="C164" t="str">
        <x:v>planning</x:v>
      </x:c>
      <x:c r="D164" t="str">
        <x:v>source and evidence custody</x:v>
      </x:c>
      <x:c r="E164" t="str">
        <x:v>PASS</x:v>
      </x:c>
      <x:c r="F164" t="str">
        <x:f>"PASS"</x:f>
        <x:v>PASS</x:v>
      </x:c>
      <x:c r="G164" t="str">
        <x:v>"PASS"</x:v>
      </x:c>
      <x:c r="H164" t="str">
        <x:v>planning constitution</x:v>
      </x:c>
      <x:c r="I164" t="str">
        <x:f>IF(E164=F164,"PASS","FAIL")</x:f>
        <x:v>PASS</x:v>
      </x:c>
    </x:row>
    <x:row r="165">
      <x:c r="B165" t="str">
        <x:v>PH-CELL-1</x:v>
      </x:c>
      <x:c r="C165" t="str">
        <x:v>physical</x:v>
      </x:c>
      <x:c r="D165" t="str">
        <x:v>accepted cell</x:v>
      </x:c>
      <x:c r="E165" t="n">
        <x:v>1</x:v>
      </x:c>
      <x:c r="F165" t="n">
        <x:f>Controls!$D$51</x:f>
        <x:v>0</x:v>
      </x:c>
      <x:c r="G165" t="str">
        <x:v>Controls!$D$51</x:v>
      </x:c>
      <x:c r="H165" t="str">
        <x:v>physical acceptance authority</x:v>
      </x:c>
      <x:c r="I165" t="str">
        <x:f>IF(F165=0,"OPEN",IF(E165=F165,"PASS","FAIL"))</x:f>
        <x:v>OPEN</x:v>
      </x:c>
    </x:row>
    <x:row r="166">
      <x:c r="B166" t="str">
        <x:v>PH-CELL-2</x:v>
      </x:c>
      <x:c r="C166" t="str">
        <x:v>physical</x:v>
      </x:c>
      <x:c r="D166" t="str">
        <x:v>accepted cell</x:v>
      </x:c>
      <x:c r="E166" t="n">
        <x:v>1</x:v>
      </x:c>
      <x:c r="F166" t="n">
        <x:f>Controls!$D$51</x:f>
        <x:v>0</x:v>
      </x:c>
      <x:c r="G166" t="str">
        <x:v>Controls!$D$51</x:v>
      </x:c>
      <x:c r="H166" t="str">
        <x:v>physical acceptance authority</x:v>
      </x:c>
      <x:c r="I166" t="str">
        <x:f>IF(F166=0,"OPEN",IF(E166=F166,"PASS","FAIL"))</x:f>
        <x:v>OPEN</x:v>
      </x:c>
    </x:row>
    <x:row r="167">
      <x:c r="B167" t="str">
        <x:v>PH-CELL-3</x:v>
      </x:c>
      <x:c r="C167" t="str">
        <x:v>physical</x:v>
      </x:c>
      <x:c r="D167" t="str">
        <x:v>accepted cell</x:v>
      </x:c>
      <x:c r="E167" t="n">
        <x:v>1</x:v>
      </x:c>
      <x:c r="F167" t="n">
        <x:f>Controls!$D$51</x:f>
        <x:v>0</x:v>
      </x:c>
      <x:c r="G167" t="str">
        <x:v>Controls!$D$51</x:v>
      </x:c>
      <x:c r="H167" t="str">
        <x:v>physical acceptance authority</x:v>
      </x:c>
      <x:c r="I167" t="str">
        <x:f>IF(F167=0,"OPEN",IF(E167=F167,"PASS","FAIL"))</x:f>
        <x:v>OPEN</x:v>
      </x:c>
    </x:row>
    <x:row r="168">
      <x:c r="B168" t="str">
        <x:v>PH-ROUTE-A-B-1</x:v>
      </x:c>
      <x:c r="C168" t="str">
        <x:v>physical</x:v>
      </x:c>
      <x:c r="D168" t="str">
        <x:v>accepted source route</x:v>
      </x:c>
      <x:c r="E168" t="n">
        <x:v>1</x:v>
      </x:c>
      <x:c r="F168" t="n">
        <x:f>Controls!$D$51</x:f>
        <x:v>0</x:v>
      </x:c>
      <x:c r="G168" t="str">
        <x:v>Controls!$D$51</x:v>
      </x:c>
      <x:c r="H168" t="str">
        <x:v>physical acceptance authority</x:v>
      </x:c>
      <x:c r="I168" t="str">
        <x:f>IF(F168=0,"OPEN",IF(E168=F168,"PASS","FAIL"))</x:f>
        <x:v>OPEN</x:v>
      </x:c>
    </x:row>
    <x:row r="169">
      <x:c r="B169" t="str">
        <x:v>PH-ROUTE-A-B-2</x:v>
      </x:c>
      <x:c r="C169" t="str">
        <x:v>physical</x:v>
      </x:c>
      <x:c r="D169" t="str">
        <x:v>accepted source route</x:v>
      </x:c>
      <x:c r="E169" t="n">
        <x:v>1</x:v>
      </x:c>
      <x:c r="F169" t="n">
        <x:f>Controls!$D$51</x:f>
        <x:v>0</x:v>
      </x:c>
      <x:c r="G169" t="str">
        <x:v>Controls!$D$51</x:v>
      </x:c>
      <x:c r="H169" t="str">
        <x:v>physical acceptance authority</x:v>
      </x:c>
      <x:c r="I169" t="str">
        <x:f>IF(F169=0,"OPEN",IF(E169=F169,"PASS","FAIL"))</x:f>
        <x:v>OPEN</x:v>
      </x:c>
    </x:row>
    <x:row r="170">
      <x:c r="B170" t="str">
        <x:v>PH-ROUTE-A-B-3</x:v>
      </x:c>
      <x:c r="C170" t="str">
        <x:v>physical</x:v>
      </x:c>
      <x:c r="D170" t="str">
        <x:v>accepted source route</x:v>
      </x:c>
      <x:c r="E170" t="n">
        <x:v>1</x:v>
      </x:c>
      <x:c r="F170" t="n">
        <x:f>Controls!$D$51</x:f>
        <x:v>0</x:v>
      </x:c>
      <x:c r="G170" t="str">
        <x:v>Controls!$D$51</x:v>
      </x:c>
      <x:c r="H170" t="str">
        <x:v>physical acceptance authority</x:v>
      </x:c>
      <x:c r="I170" t="str">
        <x:f>IF(F170=0,"OPEN",IF(E170=F170,"PASS","FAIL"))</x:f>
        <x:v>OPEN</x:v>
      </x:c>
    </x:row>
    <x:row r="171">
      <x:c r="B171" t="str">
        <x:v>PH-ROUTE-A-B-4</x:v>
      </x:c>
      <x:c r="C171" t="str">
        <x:v>physical</x:v>
      </x:c>
      <x:c r="D171" t="str">
        <x:v>accepted source route</x:v>
      </x:c>
      <x:c r="E171" t="n">
        <x:v>1</x:v>
      </x:c>
      <x:c r="F171" t="n">
        <x:f>Controls!$D$51</x:f>
        <x:v>0</x:v>
      </x:c>
      <x:c r="G171" t="str">
        <x:v>Controls!$D$51</x:v>
      </x:c>
      <x:c r="H171" t="str">
        <x:v>physical acceptance authority</x:v>
      </x:c>
      <x:c r="I171" t="str">
        <x:f>IF(F171=0,"OPEN",IF(E171=F171,"PASS","FAIL"))</x:f>
        <x:v>OPEN</x:v>
      </x:c>
    </x:row>
    <x:row r="172">
      <x:c r="B172" t="str">
        <x:v>PH-ROUTE-A-C-1</x:v>
      </x:c>
      <x:c r="C172" t="str">
        <x:v>physical</x:v>
      </x:c>
      <x:c r="D172" t="str">
        <x:v>accepted source route</x:v>
      </x:c>
      <x:c r="E172" t="n">
        <x:v>1</x:v>
      </x:c>
      <x:c r="F172" t="n">
        <x:f>Controls!$D$51</x:f>
        <x:v>0</x:v>
      </x:c>
      <x:c r="G172" t="str">
        <x:v>Controls!$D$51</x:v>
      </x:c>
      <x:c r="H172" t="str">
        <x:v>physical acceptance authority</x:v>
      </x:c>
      <x:c r="I172" t="str">
        <x:f>IF(F172=0,"OPEN",IF(E172=F172,"PASS","FAIL"))</x:f>
        <x:v>OPEN</x:v>
      </x:c>
    </x:row>
    <x:row r="173">
      <x:c r="B173" t="str">
        <x:v>PH-ROUTE-A-C-2</x:v>
      </x:c>
      <x:c r="C173" t="str">
        <x:v>physical</x:v>
      </x:c>
      <x:c r="D173" t="str">
        <x:v>accepted source route</x:v>
      </x:c>
      <x:c r="E173" t="n">
        <x:v>1</x:v>
      </x:c>
      <x:c r="F173" t="n">
        <x:f>Controls!$D$51</x:f>
        <x:v>0</x:v>
      </x:c>
      <x:c r="G173" t="str">
        <x:v>Controls!$D$51</x:v>
      </x:c>
      <x:c r="H173" t="str">
        <x:v>physical acceptance authority</x:v>
      </x:c>
      <x:c r="I173" t="str">
        <x:f>IF(F173=0,"OPEN",IF(E173=F173,"PASS","FAIL"))</x:f>
        <x:v>OPEN</x:v>
      </x:c>
    </x:row>
    <x:row r="174">
      <x:c r="B174" t="str">
        <x:v>PH-ROUTE-A-C-3</x:v>
      </x:c>
      <x:c r="C174" t="str">
        <x:v>physical</x:v>
      </x:c>
      <x:c r="D174" t="str">
        <x:v>accepted source route</x:v>
      </x:c>
      <x:c r="E174" t="n">
        <x:v>1</x:v>
      </x:c>
      <x:c r="F174" t="n">
        <x:f>Controls!$D$51</x:f>
        <x:v>0</x:v>
      </x:c>
      <x:c r="G174" t="str">
        <x:v>Controls!$D$51</x:v>
      </x:c>
      <x:c r="H174" t="str">
        <x:v>physical acceptance authority</x:v>
      </x:c>
      <x:c r="I174" t="str">
        <x:f>IF(F174=0,"OPEN",IF(E174=F174,"PASS","FAIL"))</x:f>
        <x:v>OPEN</x:v>
      </x:c>
    </x:row>
    <x:row r="175">
      <x:c r="B175" t="str">
        <x:v>PH-ROUTE-A-C-4</x:v>
      </x:c>
      <x:c r="C175" t="str">
        <x:v>physical</x:v>
      </x:c>
      <x:c r="D175" t="str">
        <x:v>accepted source route</x:v>
      </x:c>
      <x:c r="E175" t="n">
        <x:v>1</x:v>
      </x:c>
      <x:c r="F175" t="n">
        <x:f>Controls!$D$51</x:f>
        <x:v>0</x:v>
      </x:c>
      <x:c r="G175" t="str">
        <x:v>Controls!$D$51</x:v>
      </x:c>
      <x:c r="H175" t="str">
        <x:v>physical acceptance authority</x:v>
      </x:c>
      <x:c r="I175" t="str">
        <x:f>IF(F175=0,"OPEN",IF(E175=F175,"PASS","FAIL"))</x:f>
        <x:v>OPEN</x:v>
      </x:c>
    </x:row>
    <x:row r="176">
      <x:c r="B176" t="str">
        <x:v>PH-ROUTE-B-B-1</x:v>
      </x:c>
      <x:c r="C176" t="str">
        <x:v>physical</x:v>
      </x:c>
      <x:c r="D176" t="str">
        <x:v>accepted source route</x:v>
      </x:c>
      <x:c r="E176" t="n">
        <x:v>1</x:v>
      </x:c>
      <x:c r="F176" t="n">
        <x:f>Controls!$D$51</x:f>
        <x:v>0</x:v>
      </x:c>
      <x:c r="G176" t="str">
        <x:v>Controls!$D$51</x:v>
      </x:c>
      <x:c r="H176" t="str">
        <x:v>physical acceptance authority</x:v>
      </x:c>
      <x:c r="I176" t="str">
        <x:f>IF(F176=0,"OPEN",IF(E176=F176,"PASS","FAIL"))</x:f>
        <x:v>OPEN</x:v>
      </x:c>
    </x:row>
    <x:row r="177">
      <x:c r="B177" t="str">
        <x:v>PH-ROUTE-B-B-2</x:v>
      </x:c>
      <x:c r="C177" t="str">
        <x:v>physical</x:v>
      </x:c>
      <x:c r="D177" t="str">
        <x:v>accepted source route</x:v>
      </x:c>
      <x:c r="E177" t="n">
        <x:v>1</x:v>
      </x:c>
      <x:c r="F177" t="n">
        <x:f>Controls!$D$51</x:f>
        <x:v>0</x:v>
      </x:c>
      <x:c r="G177" t="str">
        <x:v>Controls!$D$51</x:v>
      </x:c>
      <x:c r="H177" t="str">
        <x:v>physical acceptance authority</x:v>
      </x:c>
      <x:c r="I177" t="str">
        <x:f>IF(F177=0,"OPEN",IF(E177=F177,"PASS","FAIL"))</x:f>
        <x:v>OPEN</x:v>
      </x:c>
    </x:row>
    <x:row r="178">
      <x:c r="B178" t="str">
        <x:v>PH-ROUTE-B-B-3</x:v>
      </x:c>
      <x:c r="C178" t="str">
        <x:v>physical</x:v>
      </x:c>
      <x:c r="D178" t="str">
        <x:v>accepted source route</x:v>
      </x:c>
      <x:c r="E178" t="n">
        <x:v>1</x:v>
      </x:c>
      <x:c r="F178" t="n">
        <x:f>Controls!$D$51</x:f>
        <x:v>0</x:v>
      </x:c>
      <x:c r="G178" t="str">
        <x:v>Controls!$D$51</x:v>
      </x:c>
      <x:c r="H178" t="str">
        <x:v>physical acceptance authority</x:v>
      </x:c>
      <x:c r="I178" t="str">
        <x:f>IF(F178=0,"OPEN",IF(E178=F178,"PASS","FAIL"))</x:f>
        <x:v>OPEN</x:v>
      </x:c>
    </x:row>
    <x:row r="179">
      <x:c r="B179" t="str">
        <x:v>PH-ROUTE-B-B-4</x:v>
      </x:c>
      <x:c r="C179" t="str">
        <x:v>physical</x:v>
      </x:c>
      <x:c r="D179" t="str">
        <x:v>accepted source route</x:v>
      </x:c>
      <x:c r="E179" t="n">
        <x:v>1</x:v>
      </x:c>
      <x:c r="F179" t="n">
        <x:f>Controls!$D$51</x:f>
        <x:v>0</x:v>
      </x:c>
      <x:c r="G179" t="str">
        <x:v>Controls!$D$51</x:v>
      </x:c>
      <x:c r="H179" t="str">
        <x:v>physical acceptance authority</x:v>
      </x:c>
      <x:c r="I179" t="str">
        <x:f>IF(F179=0,"OPEN",IF(E179=F179,"PASS","FAIL"))</x:f>
        <x:v>OPEN</x:v>
      </x:c>
    </x:row>
    <x:row r="180">
      <x:c r="B180" t="str">
        <x:v>PH-ROUTE-B-C-1</x:v>
      </x:c>
      <x:c r="C180" t="str">
        <x:v>physical</x:v>
      </x:c>
      <x:c r="D180" t="str">
        <x:v>accepted source route</x:v>
      </x:c>
      <x:c r="E180" t="n">
        <x:v>1</x:v>
      </x:c>
      <x:c r="F180" t="n">
        <x:f>Controls!$D$51</x:f>
        <x:v>0</x:v>
      </x:c>
      <x:c r="G180" t="str">
        <x:v>Controls!$D$51</x:v>
      </x:c>
      <x:c r="H180" t="str">
        <x:v>physical acceptance authority</x:v>
      </x:c>
      <x:c r="I180" t="str">
        <x:f>IF(F180=0,"OPEN",IF(E180=F180,"PASS","FAIL"))</x:f>
        <x:v>OPEN</x:v>
      </x:c>
    </x:row>
    <x:row r="181">
      <x:c r="B181" t="str">
        <x:v>PH-ROUTE-B-C-2</x:v>
      </x:c>
      <x:c r="C181" t="str">
        <x:v>physical</x:v>
      </x:c>
      <x:c r="D181" t="str">
        <x:v>accepted source route</x:v>
      </x:c>
      <x:c r="E181" t="n">
        <x:v>1</x:v>
      </x:c>
      <x:c r="F181" t="n">
        <x:f>Controls!$D$51</x:f>
        <x:v>0</x:v>
      </x:c>
      <x:c r="G181" t="str">
        <x:v>Controls!$D$51</x:v>
      </x:c>
      <x:c r="H181" t="str">
        <x:v>physical acceptance authority</x:v>
      </x:c>
      <x:c r="I181" t="str">
        <x:f>IF(F181=0,"OPEN",IF(E181=F181,"PASS","FAIL"))</x:f>
        <x:v>OPEN</x:v>
      </x:c>
    </x:row>
    <x:row r="182">
      <x:c r="B182" t="str">
        <x:v>PH-ROUTE-B-C-3</x:v>
      </x:c>
      <x:c r="C182" t="str">
        <x:v>physical</x:v>
      </x:c>
      <x:c r="D182" t="str">
        <x:v>accepted source route</x:v>
      </x:c>
      <x:c r="E182" t="n">
        <x:v>1</x:v>
      </x:c>
      <x:c r="F182" t="n">
        <x:f>Controls!$D$51</x:f>
        <x:v>0</x:v>
      </x:c>
      <x:c r="G182" t="str">
        <x:v>Controls!$D$51</x:v>
      </x:c>
      <x:c r="H182" t="str">
        <x:v>physical acceptance authority</x:v>
      </x:c>
      <x:c r="I182" t="str">
        <x:f>IF(F182=0,"OPEN",IF(E182=F182,"PASS","FAIL"))</x:f>
        <x:v>OPEN</x:v>
      </x:c>
    </x:row>
    <x:row r="183">
      <x:c r="B183" t="str">
        <x:v>PH-ROUTE-B-C-4</x:v>
      </x:c>
      <x:c r="C183" t="str">
        <x:v>physical</x:v>
      </x:c>
      <x:c r="D183" t="str">
        <x:v>accepted source route</x:v>
      </x:c>
      <x:c r="E183" t="n">
        <x:v>1</x:v>
      </x:c>
      <x:c r="F183" t="n">
        <x:f>Controls!$D$51</x:f>
        <x:v>0</x:v>
      </x:c>
      <x:c r="G183" t="str">
        <x:v>Controls!$D$51</x:v>
      </x:c>
      <x:c r="H183" t="str">
        <x:v>physical acceptance authority</x:v>
      </x:c>
      <x:c r="I183" t="str">
        <x:f>IF(F183=0,"OPEN",IF(E183=F183,"PASS","FAIL"))</x:f>
        <x:v>OPEN</x:v>
      </x:c>
    </x:row>
    <x:row r="184">
      <x:c r="B184" t="str">
        <x:v>PH-EXPOSURE-01</x:v>
      </x:c>
      <x:c r="C184" t="str">
        <x:v>physical</x:v>
      </x:c>
      <x:c r="D184" t="str">
        <x:v>accepted propagation exposure</x:v>
      </x:c>
      <x:c r="E184" t="n">
        <x:v>1</x:v>
      </x:c>
      <x:c r="F184" t="n">
        <x:f>'Exposure Register'!K7</x:f>
        <x:v>0</x:v>
      </x:c>
      <x:c r="G184" t="str">
        <x:v>'Exposure Register'!K7</x:v>
      </x:c>
      <x:c r="H184" t="str">
        <x:v>physical acceptance authority</x:v>
      </x:c>
      <x:c r="I184" t="str">
        <x:f>IF(F184=0,"OPEN",IF(E184=F184,"PASS","FAIL"))</x:f>
        <x:v>OPEN</x:v>
      </x:c>
    </x:row>
    <x:row r="185">
      <x:c r="B185" t="str">
        <x:v>PH-EXPOSURE-02</x:v>
      </x:c>
      <x:c r="C185" t="str">
        <x:v>physical</x:v>
      </x:c>
      <x:c r="D185" t="str">
        <x:v>accepted propagation exposure</x:v>
      </x:c>
      <x:c r="E185" t="n">
        <x:v>1</x:v>
      </x:c>
      <x:c r="F185" t="n">
        <x:f>'Exposure Register'!K8</x:f>
        <x:v>0</x:v>
      </x:c>
      <x:c r="G185" t="str">
        <x:v>'Exposure Register'!K8</x:v>
      </x:c>
      <x:c r="H185" t="str">
        <x:v>physical acceptance authority</x:v>
      </x:c>
      <x:c r="I185" t="str">
        <x:f>IF(F185=0,"OPEN",IF(E185=F185,"PASS","FAIL"))</x:f>
        <x:v>OPEN</x:v>
      </x:c>
    </x:row>
    <x:row r="186">
      <x:c r="B186" t="str">
        <x:v>PH-EXPOSURE-03</x:v>
      </x:c>
      <x:c r="C186" t="str">
        <x:v>physical</x:v>
      </x:c>
      <x:c r="D186" t="str">
        <x:v>accepted propagation exposure</x:v>
      </x:c>
      <x:c r="E186" t="n">
        <x:v>1</x:v>
      </x:c>
      <x:c r="F186" t="n">
        <x:f>'Exposure Register'!K9</x:f>
        <x:v>0</x:v>
      </x:c>
      <x:c r="G186" t="str">
        <x:v>'Exposure Register'!K9</x:v>
      </x:c>
      <x:c r="H186" t="str">
        <x:v>physical acceptance authority</x:v>
      </x:c>
      <x:c r="I186" t="str">
        <x:f>IF(F186=0,"OPEN",IF(E186=F186,"PASS","FAIL"))</x:f>
        <x:v>OPEN</x:v>
      </x:c>
    </x:row>
    <x:row r="187">
      <x:c r="B187" t="str">
        <x:v>PH-EXPOSURE-04</x:v>
      </x:c>
      <x:c r="C187" t="str">
        <x:v>physical</x:v>
      </x:c>
      <x:c r="D187" t="str">
        <x:v>accepted propagation exposure</x:v>
      </x:c>
      <x:c r="E187" t="n">
        <x:v>1</x:v>
      </x:c>
      <x:c r="F187" t="n">
        <x:f>'Exposure Register'!K10</x:f>
        <x:v>0</x:v>
      </x:c>
      <x:c r="G187" t="str">
        <x:v>'Exposure Register'!K10</x:v>
      </x:c>
      <x:c r="H187" t="str">
        <x:v>physical acceptance authority</x:v>
      </x:c>
      <x:c r="I187" t="str">
        <x:f>IF(F187=0,"OPEN",IF(E187=F187,"PASS","FAIL"))</x:f>
        <x:v>OPEN</x:v>
      </x:c>
    </x:row>
    <x:row r="188">
      <x:c r="B188" t="str">
        <x:v>PH-EXPOSURE-05</x:v>
      </x:c>
      <x:c r="C188" t="str">
        <x:v>physical</x:v>
      </x:c>
      <x:c r="D188" t="str">
        <x:v>accepted propagation exposure</x:v>
      </x:c>
      <x:c r="E188" t="n">
        <x:v>1</x:v>
      </x:c>
      <x:c r="F188" t="n">
        <x:f>'Exposure Register'!K11</x:f>
        <x:v>0</x:v>
      </x:c>
      <x:c r="G188" t="str">
        <x:v>'Exposure Register'!K11</x:v>
      </x:c>
      <x:c r="H188" t="str">
        <x:v>physical acceptance authority</x:v>
      </x:c>
      <x:c r="I188" t="str">
        <x:f>IF(F188=0,"OPEN",IF(E188=F188,"PASS","FAIL"))</x:f>
        <x:v>OPEN</x:v>
      </x:c>
    </x:row>
    <x:row r="189">
      <x:c r="B189" t="str">
        <x:v>PH-EXPOSURE-06</x:v>
      </x:c>
      <x:c r="C189" t="str">
        <x:v>physical</x:v>
      </x:c>
      <x:c r="D189" t="str">
        <x:v>accepted propagation exposure</x:v>
      </x:c>
      <x:c r="E189" t="n">
        <x:v>1</x:v>
      </x:c>
      <x:c r="F189" t="n">
        <x:f>'Exposure Register'!K12</x:f>
        <x:v>0</x:v>
      </x:c>
      <x:c r="G189" t="str">
        <x:v>'Exposure Register'!K12</x:v>
      </x:c>
      <x:c r="H189" t="str">
        <x:v>physical acceptance authority</x:v>
      </x:c>
      <x:c r="I189" t="str">
        <x:f>IF(F189=0,"OPEN",IF(E189=F189,"PASS","FAIL"))</x:f>
        <x:v>OPEN</x:v>
      </x:c>
    </x:row>
    <x:row r="190">
      <x:c r="B190" t="str">
        <x:v>PH-EXPOSURE-07</x:v>
      </x:c>
      <x:c r="C190" t="str">
        <x:v>physical</x:v>
      </x:c>
      <x:c r="D190" t="str">
        <x:v>accepted propagation exposure</x:v>
      </x:c>
      <x:c r="E190" t="n">
        <x:v>1</x:v>
      </x:c>
      <x:c r="F190" t="n">
        <x:f>'Exposure Register'!K13</x:f>
        <x:v>0</x:v>
      </x:c>
      <x:c r="G190" t="str">
        <x:v>'Exposure Register'!K13</x:v>
      </x:c>
      <x:c r="H190" t="str">
        <x:v>physical acceptance authority</x:v>
      </x:c>
      <x:c r="I190" t="str">
        <x:f>IF(F190=0,"OPEN",IF(E190=F190,"PASS","FAIL"))</x:f>
        <x:v>OPEN</x:v>
      </x:c>
    </x:row>
    <x:row r="191">
      <x:c r="B191" t="str">
        <x:v>PH-EXPOSURE-08</x:v>
      </x:c>
      <x:c r="C191" t="str">
        <x:v>physical</x:v>
      </x:c>
      <x:c r="D191" t="str">
        <x:v>accepted propagation exposure</x:v>
      </x:c>
      <x:c r="E191" t="n">
        <x:v>1</x:v>
      </x:c>
      <x:c r="F191" t="n">
        <x:f>'Exposure Register'!K14</x:f>
        <x:v>0</x:v>
      </x:c>
      <x:c r="G191" t="str">
        <x:v>'Exposure Register'!K14</x:v>
      </x:c>
      <x:c r="H191" t="str">
        <x:v>physical acceptance authority</x:v>
      </x:c>
      <x:c r="I191" t="str">
        <x:f>IF(F191=0,"OPEN",IF(E191=F191,"PASS","FAIL"))</x:f>
        <x:v>OPEN</x:v>
      </x:c>
    </x:row>
    <x:row r="192">
      <x:c r="B192" t="str">
        <x:v>PH-EXPOSURE-09</x:v>
      </x:c>
      <x:c r="C192" t="str">
        <x:v>physical</x:v>
      </x:c>
      <x:c r="D192" t="str">
        <x:v>accepted propagation exposure</x:v>
      </x:c>
      <x:c r="E192" t="n">
        <x:v>1</x:v>
      </x:c>
      <x:c r="F192" t="n">
        <x:f>'Exposure Register'!K15</x:f>
        <x:v>0</x:v>
      </x:c>
      <x:c r="G192" t="str">
        <x:v>'Exposure Register'!K15</x:v>
      </x:c>
      <x:c r="H192" t="str">
        <x:v>physical acceptance authority</x:v>
      </x:c>
      <x:c r="I192" t="str">
        <x:f>IF(F192=0,"OPEN",IF(E192=F192,"PASS","FAIL"))</x:f>
        <x:v>OPEN</x:v>
      </x:c>
    </x:row>
    <x:row r="193">
      <x:c r="B193" t="str">
        <x:v>PH-EXPOSURE-10</x:v>
      </x:c>
      <x:c r="C193" t="str">
        <x:v>physical</x:v>
      </x:c>
      <x:c r="D193" t="str">
        <x:v>accepted propagation exposure</x:v>
      </x:c>
      <x:c r="E193" t="n">
        <x:v>1</x:v>
      </x:c>
      <x:c r="F193" t="n">
        <x:f>'Exposure Register'!K16</x:f>
        <x:v>0</x:v>
      </x:c>
      <x:c r="G193" t="str">
        <x:v>'Exposure Register'!K16</x:v>
      </x:c>
      <x:c r="H193" t="str">
        <x:v>physical acceptance authority</x:v>
      </x:c>
      <x:c r="I193" t="str">
        <x:f>IF(F193=0,"OPEN",IF(E193=F193,"PASS","FAIL"))</x:f>
        <x:v>OPEN</x:v>
      </x:c>
    </x:row>
    <x:row r="194">
      <x:c r="B194" t="str">
        <x:v>PH-EXPOSURE-11</x:v>
      </x:c>
      <x:c r="C194" t="str">
        <x:v>physical</x:v>
      </x:c>
      <x:c r="D194" t="str">
        <x:v>accepted propagation exposure</x:v>
      </x:c>
      <x:c r="E194" t="n">
        <x:v>1</x:v>
      </x:c>
      <x:c r="F194" t="n">
        <x:f>'Exposure Register'!K17</x:f>
        <x:v>0</x:v>
      </x:c>
      <x:c r="G194" t="str">
        <x:v>'Exposure Register'!K17</x:v>
      </x:c>
      <x:c r="H194" t="str">
        <x:v>physical acceptance authority</x:v>
      </x:c>
      <x:c r="I194" t="str">
        <x:f>IF(F194=0,"OPEN",IF(E194=F194,"PASS","FAIL"))</x:f>
        <x:v>OPEN</x:v>
      </x:c>
    </x:row>
    <x:row r="195">
      <x:c r="B195" t="str">
        <x:v>PH-EXPOSURE-12</x:v>
      </x:c>
      <x:c r="C195" t="str">
        <x:v>physical</x:v>
      </x:c>
      <x:c r="D195" t="str">
        <x:v>accepted propagation exposure</x:v>
      </x:c>
      <x:c r="E195" t="n">
        <x:v>1</x:v>
      </x:c>
      <x:c r="F195" t="n">
        <x:f>'Exposure Register'!K18</x:f>
        <x:v>0</x:v>
      </x:c>
      <x:c r="G195" t="str">
        <x:v>'Exposure Register'!K18</x:v>
      </x:c>
      <x:c r="H195" t="str">
        <x:v>physical acceptance authority</x:v>
      </x:c>
      <x:c r="I195" t="str">
        <x:f>IF(F195=0,"OPEN",IF(E195=F195,"PASS","FAIL"))</x:f>
        <x:v>OPEN</x:v>
      </x:c>
    </x:row>
    <x:row r="196">
      <x:c r="B196" t="str">
        <x:v>PH-EXPOSURE-13</x:v>
      </x:c>
      <x:c r="C196" t="str">
        <x:v>physical</x:v>
      </x:c>
      <x:c r="D196" t="str">
        <x:v>accepted propagation exposure</x:v>
      </x:c>
      <x:c r="E196" t="n">
        <x:v>1</x:v>
      </x:c>
      <x:c r="F196" t="n">
        <x:f>'Exposure Register'!K19</x:f>
        <x:v>0</x:v>
      </x:c>
      <x:c r="G196" t="str">
        <x:v>'Exposure Register'!K19</x:v>
      </x:c>
      <x:c r="H196" t="str">
        <x:v>physical acceptance authority</x:v>
      </x:c>
      <x:c r="I196" t="str">
        <x:f>IF(F196=0,"OPEN",IF(E196=F196,"PASS","FAIL"))</x:f>
        <x:v>OPEN</x:v>
      </x:c>
    </x:row>
    <x:row r="197">
      <x:c r="B197" t="str">
        <x:v>PH-EXPOSURE-14</x:v>
      </x:c>
      <x:c r="C197" t="str">
        <x:v>physical</x:v>
      </x:c>
      <x:c r="D197" t="str">
        <x:v>accepted propagation exposure</x:v>
      </x:c>
      <x:c r="E197" t="n">
        <x:v>1</x:v>
      </x:c>
      <x:c r="F197" t="n">
        <x:f>'Exposure Register'!K20</x:f>
        <x:v>0</x:v>
      </x:c>
      <x:c r="G197" t="str">
        <x:v>'Exposure Register'!K20</x:v>
      </x:c>
      <x:c r="H197" t="str">
        <x:v>physical acceptance authority</x:v>
      </x:c>
      <x:c r="I197" t="str">
        <x:f>IF(F197=0,"OPEN",IF(E197=F197,"PASS","FAIL"))</x:f>
        <x:v>OPEN</x:v>
      </x:c>
    </x:row>
    <x:row r="198">
      <x:c r="B198" t="str">
        <x:v>PH-EXPOSURE-15</x:v>
      </x:c>
      <x:c r="C198" t="str">
        <x:v>physical</x:v>
      </x:c>
      <x:c r="D198" t="str">
        <x:v>accepted propagation exposure</x:v>
      </x:c>
      <x:c r="E198" t="n">
        <x:v>1</x:v>
      </x:c>
      <x:c r="F198" t="n">
        <x:f>'Exposure Register'!K21</x:f>
        <x:v>0</x:v>
      </x:c>
      <x:c r="G198" t="str">
        <x:v>'Exposure Register'!K21</x:v>
      </x:c>
      <x:c r="H198" t="str">
        <x:v>physical acceptance authority</x:v>
      </x:c>
      <x:c r="I198" t="str">
        <x:f>IF(F198=0,"OPEN",IF(E198=F198,"PASS","FAIL"))</x:f>
        <x:v>OPEN</x:v>
      </x:c>
    </x:row>
    <x:row r="199">
      <x:c r="B199" t="str">
        <x:v>PH-EXPOSURE-16</x:v>
      </x:c>
      <x:c r="C199" t="str">
        <x:v>physical</x:v>
      </x:c>
      <x:c r="D199" t="str">
        <x:v>accepted propagation exposure</x:v>
      </x:c>
      <x:c r="E199" t="n">
        <x:v>1</x:v>
      </x:c>
      <x:c r="F199" t="n">
        <x:f>'Exposure Register'!K22</x:f>
        <x:v>0</x:v>
      </x:c>
      <x:c r="G199" t="str">
        <x:v>'Exposure Register'!K22</x:v>
      </x:c>
      <x:c r="H199" t="str">
        <x:v>physical acceptance authority</x:v>
      </x:c>
      <x:c r="I199" t="str">
        <x:f>IF(F199=0,"OPEN",IF(E199=F199,"PASS","FAIL"))</x:f>
        <x:v>OPEN</x:v>
      </x:c>
    </x:row>
    <x:row r="200">
      <x:c r="B200" t="str">
        <x:v>PH-EXPOSURE-17</x:v>
      </x:c>
      <x:c r="C200" t="str">
        <x:v>physical</x:v>
      </x:c>
      <x:c r="D200" t="str">
        <x:v>accepted propagation exposure</x:v>
      </x:c>
      <x:c r="E200" t="n">
        <x:v>1</x:v>
      </x:c>
      <x:c r="F200" t="n">
        <x:f>'Exposure Register'!K23</x:f>
        <x:v>0</x:v>
      </x:c>
      <x:c r="G200" t="str">
        <x:v>'Exposure Register'!K23</x:v>
      </x:c>
      <x:c r="H200" t="str">
        <x:v>physical acceptance authority</x:v>
      </x:c>
      <x:c r="I200" t="str">
        <x:f>IF(F200=0,"OPEN",IF(E200=F200,"PASS","FAIL"))</x:f>
        <x:v>OPEN</x:v>
      </x:c>
    </x:row>
    <x:row r="201">
      <x:c r="B201" t="str">
        <x:v>PH-EXPOSURE-18</x:v>
      </x:c>
      <x:c r="C201" t="str">
        <x:v>physical</x:v>
      </x:c>
      <x:c r="D201" t="str">
        <x:v>accepted propagation exposure</x:v>
      </x:c>
      <x:c r="E201" t="n">
        <x:v>1</x:v>
      </x:c>
      <x:c r="F201" t="n">
        <x:f>'Exposure Register'!K24</x:f>
        <x:v>0</x:v>
      </x:c>
      <x:c r="G201" t="str">
        <x:v>'Exposure Register'!K24</x:v>
      </x:c>
      <x:c r="H201" t="str">
        <x:v>physical acceptance authority</x:v>
      </x:c>
      <x:c r="I201" t="str">
        <x:f>IF(F201=0,"OPEN",IF(E201=F201,"PASS","FAIL"))</x:f>
        <x:v>OPEN</x:v>
      </x:c>
    </x:row>
    <x:row r="202">
      <x:c r="B202" t="str">
        <x:v>PH-EXPOSURE-19</x:v>
      </x:c>
      <x:c r="C202" t="str">
        <x:v>physical</x:v>
      </x:c>
      <x:c r="D202" t="str">
        <x:v>accepted propagation exposure</x:v>
      </x:c>
      <x:c r="E202" t="n">
        <x:v>1</x:v>
      </x:c>
      <x:c r="F202" t="n">
        <x:f>'Exposure Register'!K25</x:f>
        <x:v>0</x:v>
      </x:c>
      <x:c r="G202" t="str">
        <x:v>'Exposure Register'!K25</x:v>
      </x:c>
      <x:c r="H202" t="str">
        <x:v>physical acceptance authority</x:v>
      </x:c>
      <x:c r="I202" t="str">
        <x:f>IF(F202=0,"OPEN",IF(E202=F202,"PASS","FAIL"))</x:f>
        <x:v>OPEN</x:v>
      </x:c>
    </x:row>
    <x:row r="203">
      <x:c r="B203" t="str">
        <x:v>PH-EXPOSURE-20</x:v>
      </x:c>
      <x:c r="C203" t="str">
        <x:v>physical</x:v>
      </x:c>
      <x:c r="D203" t="str">
        <x:v>accepted propagation exposure</x:v>
      </x:c>
      <x:c r="E203" t="n">
        <x:v>1</x:v>
      </x:c>
      <x:c r="F203" t="n">
        <x:f>'Exposure Register'!K26</x:f>
        <x:v>0</x:v>
      </x:c>
      <x:c r="G203" t="str">
        <x:v>'Exposure Register'!K26</x:v>
      </x:c>
      <x:c r="H203" t="str">
        <x:v>physical acceptance authority</x:v>
      </x:c>
      <x:c r="I203" t="str">
        <x:f>IF(F203=0,"OPEN",IF(E203=F203,"PASS","FAIL"))</x:f>
        <x:v>OPEN</x:v>
      </x:c>
    </x:row>
    <x:row r="204">
      <x:c r="B204" t="str">
        <x:v>PH-EXPOSURE-21</x:v>
      </x:c>
      <x:c r="C204" t="str">
        <x:v>physical</x:v>
      </x:c>
      <x:c r="D204" t="str">
        <x:v>accepted propagation exposure</x:v>
      </x:c>
      <x:c r="E204" t="n">
        <x:v>1</x:v>
      </x:c>
      <x:c r="F204" t="n">
        <x:f>'Exposure Register'!K27</x:f>
        <x:v>0</x:v>
      </x:c>
      <x:c r="G204" t="str">
        <x:v>'Exposure Register'!K27</x:v>
      </x:c>
      <x:c r="H204" t="str">
        <x:v>physical acceptance authority</x:v>
      </x:c>
      <x:c r="I204" t="str">
        <x:f>IF(F204=0,"OPEN",IF(E204=F204,"PASS","FAIL"))</x:f>
        <x:v>OPEN</x:v>
      </x:c>
    </x:row>
    <x:row r="205">
      <x:c r="B205" t="str">
        <x:v>PH-EXPOSURE-22</x:v>
      </x:c>
      <x:c r="C205" t="str">
        <x:v>physical</x:v>
      </x:c>
      <x:c r="D205" t="str">
        <x:v>accepted propagation exposure</x:v>
      </x:c>
      <x:c r="E205" t="n">
        <x:v>1</x:v>
      </x:c>
      <x:c r="F205" t="n">
        <x:f>'Exposure Register'!K28</x:f>
        <x:v>0</x:v>
      </x:c>
      <x:c r="G205" t="str">
        <x:v>'Exposure Register'!K28</x:v>
      </x:c>
      <x:c r="H205" t="str">
        <x:v>physical acceptance authority</x:v>
      </x:c>
      <x:c r="I205" t="str">
        <x:f>IF(F205=0,"OPEN",IF(E205=F205,"PASS","FAIL"))</x:f>
        <x:v>OPEN</x:v>
      </x:c>
    </x:row>
    <x:row r="206">
      <x:c r="B206" t="str">
        <x:v>PH-EXPOSURE-23</x:v>
      </x:c>
      <x:c r="C206" t="str">
        <x:v>physical</x:v>
      </x:c>
      <x:c r="D206" t="str">
        <x:v>accepted propagation exposure</x:v>
      </x:c>
      <x:c r="E206" t="n">
        <x:v>1</x:v>
      </x:c>
      <x:c r="F206" t="n">
        <x:f>'Exposure Register'!K29</x:f>
        <x:v>0</x:v>
      </x:c>
      <x:c r="G206" t="str">
        <x:v>'Exposure Register'!K29</x:v>
      </x:c>
      <x:c r="H206" t="str">
        <x:v>physical acceptance authority</x:v>
      </x:c>
      <x:c r="I206" t="str">
        <x:f>IF(F206=0,"OPEN",IF(E206=F206,"PASS","FAIL"))</x:f>
        <x:v>OPEN</x:v>
      </x:c>
    </x:row>
    <x:row r="207">
      <x:c r="B207" t="str">
        <x:v>PH-EXPOSURE-24</x:v>
      </x:c>
      <x:c r="C207" t="str">
        <x:v>physical</x:v>
      </x:c>
      <x:c r="D207" t="str">
        <x:v>accepted propagation exposure</x:v>
      </x:c>
      <x:c r="E207" t="n">
        <x:v>1</x:v>
      </x:c>
      <x:c r="F207" t="n">
        <x:f>'Exposure Register'!K30</x:f>
        <x:v>0</x:v>
      </x:c>
      <x:c r="G207" t="str">
        <x:v>'Exposure Register'!K30</x:v>
      </x:c>
      <x:c r="H207" t="str">
        <x:v>physical acceptance authority</x:v>
      </x:c>
      <x:c r="I207" t="str">
        <x:f>IF(F207=0,"OPEN",IF(E207=F207,"PASS","FAIL"))</x:f>
        <x:v>OPEN</x:v>
      </x:c>
    </x:row>
    <x:row r="208">
      <x:c r="B208" t="str">
        <x:v>PH-EXPOSURE-25</x:v>
      </x:c>
      <x:c r="C208" t="str">
        <x:v>physical</x:v>
      </x:c>
      <x:c r="D208" t="str">
        <x:v>accepted propagation exposure</x:v>
      </x:c>
      <x:c r="E208" t="n">
        <x:v>1</x:v>
      </x:c>
      <x:c r="F208" t="n">
        <x:f>'Exposure Register'!K31</x:f>
        <x:v>0</x:v>
      </x:c>
      <x:c r="G208" t="str">
        <x:v>'Exposure Register'!K31</x:v>
      </x:c>
      <x:c r="H208" t="str">
        <x:v>physical acceptance authority</x:v>
      </x:c>
      <x:c r="I208" t="str">
        <x:f>IF(F208=0,"OPEN",IF(E208=F208,"PASS","FAIL"))</x:f>
        <x:v>OPEN</x:v>
      </x:c>
    </x:row>
    <x:row r="209">
      <x:c r="B209" t="str">
        <x:v>PH-EXPOSURE-26</x:v>
      </x:c>
      <x:c r="C209" t="str">
        <x:v>physical</x:v>
      </x:c>
      <x:c r="D209" t="str">
        <x:v>accepted propagation exposure</x:v>
      </x:c>
      <x:c r="E209" t="n">
        <x:v>1</x:v>
      </x:c>
      <x:c r="F209" t="n">
        <x:f>'Exposure Register'!K32</x:f>
        <x:v>0</x:v>
      </x:c>
      <x:c r="G209" t="str">
        <x:v>'Exposure Register'!K32</x:v>
      </x:c>
      <x:c r="H209" t="str">
        <x:v>physical acceptance authority</x:v>
      </x:c>
      <x:c r="I209" t="str">
        <x:f>IF(F209=0,"OPEN",IF(E209=F209,"PASS","FAIL"))</x:f>
        <x:v>OPEN</x:v>
      </x:c>
    </x:row>
    <x:row r="210">
      <x:c r="B210" t="str">
        <x:v>PH-EXPOSURE-27</x:v>
      </x:c>
      <x:c r="C210" t="str">
        <x:v>physical</x:v>
      </x:c>
      <x:c r="D210" t="str">
        <x:v>accepted propagation exposure</x:v>
      </x:c>
      <x:c r="E210" t="n">
        <x:v>1</x:v>
      </x:c>
      <x:c r="F210" t="n">
        <x:f>'Exposure Register'!K33</x:f>
        <x:v>0</x:v>
      </x:c>
      <x:c r="G210" t="str">
        <x:v>'Exposure Register'!K33</x:v>
      </x:c>
      <x:c r="H210" t="str">
        <x:v>physical acceptance authority</x:v>
      </x:c>
      <x:c r="I210" t="str">
        <x:f>IF(F210=0,"OPEN",IF(E210=F210,"PASS","FAIL"))</x:f>
        <x:v>OPEN</x:v>
      </x:c>
    </x:row>
    <x:row r="211">
      <x:c r="B211" t="str">
        <x:v>PH-EXPOSURE-28</x:v>
      </x:c>
      <x:c r="C211" t="str">
        <x:v>physical</x:v>
      </x:c>
      <x:c r="D211" t="str">
        <x:v>accepted propagation exposure</x:v>
      </x:c>
      <x:c r="E211" t="n">
        <x:v>1</x:v>
      </x:c>
      <x:c r="F211" t="n">
        <x:f>'Exposure Register'!K34</x:f>
        <x:v>0</x:v>
      </x:c>
      <x:c r="G211" t="str">
        <x:v>'Exposure Register'!K34</x:v>
      </x:c>
      <x:c r="H211" t="str">
        <x:v>physical acceptance authority</x:v>
      </x:c>
      <x:c r="I211" t="str">
        <x:f>IF(F211=0,"OPEN",IF(E211=F211,"PASS","FAIL"))</x:f>
        <x:v>OPEN</x:v>
      </x:c>
    </x:row>
    <x:row r="212">
      <x:c r="B212" t="str">
        <x:v>PH-EXPOSURE-29</x:v>
      </x:c>
      <x:c r="C212" t="str">
        <x:v>physical</x:v>
      </x:c>
      <x:c r="D212" t="str">
        <x:v>accepted propagation exposure</x:v>
      </x:c>
      <x:c r="E212" t="n">
        <x:v>1</x:v>
      </x:c>
      <x:c r="F212" t="n">
        <x:f>'Exposure Register'!K35</x:f>
        <x:v>0</x:v>
      </x:c>
      <x:c r="G212" t="str">
        <x:v>'Exposure Register'!K35</x:v>
      </x:c>
      <x:c r="H212" t="str">
        <x:v>physical acceptance authority</x:v>
      </x:c>
      <x:c r="I212" t="str">
        <x:f>IF(F212=0,"OPEN",IF(E212=F212,"PASS","FAIL"))</x:f>
        <x:v>OPEN</x:v>
      </x:c>
    </x:row>
    <x:row r="213">
      <x:c r="B213" t="str">
        <x:v>PH-EXPOSURE-30</x:v>
      </x:c>
      <x:c r="C213" t="str">
        <x:v>physical</x:v>
      </x:c>
      <x:c r="D213" t="str">
        <x:v>accepted propagation exposure</x:v>
      </x:c>
      <x:c r="E213" t="n">
        <x:v>1</x:v>
      </x:c>
      <x:c r="F213" t="n">
        <x:f>'Exposure Register'!K36</x:f>
        <x:v>0</x:v>
      </x:c>
      <x:c r="G213" t="str">
        <x:v>'Exposure Register'!K36</x:v>
      </x:c>
      <x:c r="H213" t="str">
        <x:v>physical acceptance authority</x:v>
      </x:c>
      <x:c r="I213" t="str">
        <x:f>IF(F213=0,"OPEN",IF(E213=F213,"PASS","FAIL"))</x:f>
        <x:v>OPEN</x:v>
      </x:c>
    </x:row>
    <x:row r="214">
      <x:c r="B214" t="str">
        <x:v>PH-EXPOSURE-31</x:v>
      </x:c>
      <x:c r="C214" t="str">
        <x:v>physical</x:v>
      </x:c>
      <x:c r="D214" t="str">
        <x:v>accepted propagation exposure</x:v>
      </x:c>
      <x:c r="E214" t="n">
        <x:v>1</x:v>
      </x:c>
      <x:c r="F214" t="n">
        <x:f>'Exposure Register'!K37</x:f>
        <x:v>0</x:v>
      </x:c>
      <x:c r="G214" t="str">
        <x:v>'Exposure Register'!K37</x:v>
      </x:c>
      <x:c r="H214" t="str">
        <x:v>physical acceptance authority</x:v>
      </x:c>
      <x:c r="I214" t="str">
        <x:f>IF(F214=0,"OPEN",IF(E214=F214,"PASS","FAIL"))</x:f>
        <x:v>OPEN</x:v>
      </x:c>
    </x:row>
    <x:row r="215">
      <x:c r="B215" t="str">
        <x:v>PH-EXPOSURE-32</x:v>
      </x:c>
      <x:c r="C215" t="str">
        <x:v>physical</x:v>
      </x:c>
      <x:c r="D215" t="str">
        <x:v>accepted propagation exposure</x:v>
      </x:c>
      <x:c r="E215" t="n">
        <x:v>1</x:v>
      </x:c>
      <x:c r="F215" t="n">
        <x:f>'Exposure Register'!K38</x:f>
        <x:v>0</x:v>
      </x:c>
      <x:c r="G215" t="str">
        <x:v>'Exposure Register'!K38</x:v>
      </x:c>
      <x:c r="H215" t="str">
        <x:v>physical acceptance authority</x:v>
      </x:c>
      <x:c r="I215" t="str">
        <x:f>IF(F215=0,"OPEN",IF(E215=F215,"PASS","FAIL"))</x:f>
        <x:v>OPEN</x:v>
      </x:c>
    </x:row>
    <x:row r="216">
      <x:c r="B216" t="str">
        <x:v>PH-EXPOSURE-33</x:v>
      </x:c>
      <x:c r="C216" t="str">
        <x:v>physical</x:v>
      </x:c>
      <x:c r="D216" t="str">
        <x:v>accepted propagation exposure</x:v>
      </x:c>
      <x:c r="E216" t="n">
        <x:v>1</x:v>
      </x:c>
      <x:c r="F216" t="n">
        <x:f>'Exposure Register'!K39</x:f>
        <x:v>0</x:v>
      </x:c>
      <x:c r="G216" t="str">
        <x:v>'Exposure Register'!K39</x:v>
      </x:c>
      <x:c r="H216" t="str">
        <x:v>physical acceptance authority</x:v>
      </x:c>
      <x:c r="I216" t="str">
        <x:f>IF(F216=0,"OPEN",IF(E216=F216,"PASS","FAIL"))</x:f>
        <x:v>OPEN</x:v>
      </x:c>
    </x:row>
    <x:row r="217">
      <x:c r="B217" t="str">
        <x:v>PH-EXPOSURE-34</x:v>
      </x:c>
      <x:c r="C217" t="str">
        <x:v>physical</x:v>
      </x:c>
      <x:c r="D217" t="str">
        <x:v>accepted propagation exposure</x:v>
      </x:c>
      <x:c r="E217" t="n">
        <x:v>1</x:v>
      </x:c>
      <x:c r="F217" t="n">
        <x:f>'Exposure Register'!K40</x:f>
        <x:v>0</x:v>
      </x:c>
      <x:c r="G217" t="str">
        <x:v>'Exposure Register'!K40</x:v>
      </x:c>
      <x:c r="H217" t="str">
        <x:v>physical acceptance authority</x:v>
      </x:c>
      <x:c r="I217" t="str">
        <x:f>IF(F217=0,"OPEN",IF(E217=F217,"PASS","FAIL"))</x:f>
        <x:v>OPEN</x:v>
      </x:c>
    </x:row>
    <x:row r="218">
      <x:c r="B218" t="str">
        <x:v>PH-EXPOSURE-35</x:v>
      </x:c>
      <x:c r="C218" t="str">
        <x:v>physical</x:v>
      </x:c>
      <x:c r="D218" t="str">
        <x:v>accepted propagation exposure</x:v>
      </x:c>
      <x:c r="E218" t="n">
        <x:v>1</x:v>
      </x:c>
      <x:c r="F218" t="n">
        <x:f>'Exposure Register'!K41</x:f>
        <x:v>0</x:v>
      </x:c>
      <x:c r="G218" t="str">
        <x:v>'Exposure Register'!K41</x:v>
      </x:c>
      <x:c r="H218" t="str">
        <x:v>physical acceptance authority</x:v>
      </x:c>
      <x:c r="I218" t="str">
        <x:f>IF(F218=0,"OPEN",IF(E218=F218,"PASS","FAIL"))</x:f>
        <x:v>OPEN</x:v>
      </x:c>
    </x:row>
    <x:row r="219">
      <x:c r="B219" t="str">
        <x:v>PH-EXPOSURE-36</x:v>
      </x:c>
      <x:c r="C219" t="str">
        <x:v>physical</x:v>
      </x:c>
      <x:c r="D219" t="str">
        <x:v>accepted propagation exposure</x:v>
      </x:c>
      <x:c r="E219" t="n">
        <x:v>1</x:v>
      </x:c>
      <x:c r="F219" t="n">
        <x:f>'Exposure Register'!K42</x:f>
        <x:v>0</x:v>
      </x:c>
      <x:c r="G219" t="str">
        <x:v>'Exposure Register'!K42</x:v>
      </x:c>
      <x:c r="H219" t="str">
        <x:v>physical acceptance authority</x:v>
      </x:c>
      <x:c r="I219" t="str">
        <x:f>IF(F219=0,"OPEN",IF(E219=F219,"PASS","FAIL"))</x:f>
        <x:v>OPEN</x:v>
      </x:c>
    </x:row>
    <x:row r="220">
      <x:c r="B220" t="str">
        <x:v>PH-EXPOSURE-37</x:v>
      </x:c>
      <x:c r="C220" t="str">
        <x:v>physical</x:v>
      </x:c>
      <x:c r="D220" t="str">
        <x:v>accepted propagation exposure</x:v>
      </x:c>
      <x:c r="E220" t="n">
        <x:v>1</x:v>
      </x:c>
      <x:c r="F220" t="n">
        <x:f>'Exposure Register'!K43</x:f>
        <x:v>0</x:v>
      </x:c>
      <x:c r="G220" t="str">
        <x:v>'Exposure Register'!K43</x:v>
      </x:c>
      <x:c r="H220" t="str">
        <x:v>physical acceptance authority</x:v>
      </x:c>
      <x:c r="I220" t="str">
        <x:f>IF(F220=0,"OPEN",IF(E220=F220,"PASS","FAIL"))</x:f>
        <x:v>OPEN</x:v>
      </x:c>
    </x:row>
    <x:row r="221">
      <x:c r="B221" t="str">
        <x:v>PH-EXPOSURE-38</x:v>
      </x:c>
      <x:c r="C221" t="str">
        <x:v>physical</x:v>
      </x:c>
      <x:c r="D221" t="str">
        <x:v>accepted propagation exposure</x:v>
      </x:c>
      <x:c r="E221" t="n">
        <x:v>1</x:v>
      </x:c>
      <x:c r="F221" t="n">
        <x:f>'Exposure Register'!K44</x:f>
        <x:v>0</x:v>
      </x:c>
      <x:c r="G221" t="str">
        <x:v>'Exposure Register'!K44</x:v>
      </x:c>
      <x:c r="H221" t="str">
        <x:v>physical acceptance authority</x:v>
      </x:c>
      <x:c r="I221" t="str">
        <x:f>IF(F221=0,"OPEN",IF(E221=F221,"PASS","FAIL"))</x:f>
        <x:v>OPEN</x:v>
      </x:c>
    </x:row>
    <x:row r="222">
      <x:c r="B222" t="str">
        <x:v>PH-EXPOSURE-39</x:v>
      </x:c>
      <x:c r="C222" t="str">
        <x:v>physical</x:v>
      </x:c>
      <x:c r="D222" t="str">
        <x:v>accepted propagation exposure</x:v>
      </x:c>
      <x:c r="E222" t="n">
        <x:v>1</x:v>
      </x:c>
      <x:c r="F222" t="n">
        <x:f>'Exposure Register'!K45</x:f>
        <x:v>0</x:v>
      </x:c>
      <x:c r="G222" t="str">
        <x:v>'Exposure Register'!K45</x:v>
      </x:c>
      <x:c r="H222" t="str">
        <x:v>physical acceptance authority</x:v>
      </x:c>
      <x:c r="I222" t="str">
        <x:f>IF(F222=0,"OPEN",IF(E222=F222,"PASS","FAIL"))</x:f>
        <x:v>OPEN</x:v>
      </x:c>
    </x:row>
    <x:row r="223">
      <x:c r="B223" t="str">
        <x:v>PH-EXPOSURE-40</x:v>
      </x:c>
      <x:c r="C223" t="str">
        <x:v>physical</x:v>
      </x:c>
      <x:c r="D223" t="str">
        <x:v>accepted propagation exposure</x:v>
      </x:c>
      <x:c r="E223" t="n">
        <x:v>1</x:v>
      </x:c>
      <x:c r="F223" t="n">
        <x:f>'Exposure Register'!K46</x:f>
        <x:v>0</x:v>
      </x:c>
      <x:c r="G223" t="str">
        <x:v>'Exposure Register'!K46</x:v>
      </x:c>
      <x:c r="H223" t="str">
        <x:v>physical acceptance authority</x:v>
      </x:c>
      <x:c r="I223" t="str">
        <x:f>IF(F223=0,"OPEN",IF(E223=F223,"PASS","FAIL"))</x:f>
        <x:v>OPEN</x:v>
      </x:c>
    </x:row>
    <x:row r="224">
      <x:c r="B224" t="str">
        <x:v>PH-EXPOSURE-41</x:v>
      </x:c>
      <x:c r="C224" t="str">
        <x:v>physical</x:v>
      </x:c>
      <x:c r="D224" t="str">
        <x:v>accepted propagation exposure</x:v>
      </x:c>
      <x:c r="E224" t="n">
        <x:v>1</x:v>
      </x:c>
      <x:c r="F224" t="n">
        <x:f>'Exposure Register'!K47</x:f>
        <x:v>0</x:v>
      </x:c>
      <x:c r="G224" t="str">
        <x:v>'Exposure Register'!K47</x:v>
      </x:c>
      <x:c r="H224" t="str">
        <x:v>physical acceptance authority</x:v>
      </x:c>
      <x:c r="I224" t="str">
        <x:f>IF(F224=0,"OPEN",IF(E224=F224,"PASS","FAIL"))</x:f>
        <x:v>OPEN</x:v>
      </x:c>
    </x:row>
    <x:row r="225">
      <x:c r="B225" t="str">
        <x:v>PH-EXPOSURE-42</x:v>
      </x:c>
      <x:c r="C225" t="str">
        <x:v>physical</x:v>
      </x:c>
      <x:c r="D225" t="str">
        <x:v>accepted propagation exposure</x:v>
      </x:c>
      <x:c r="E225" t="n">
        <x:v>1</x:v>
      </x:c>
      <x:c r="F225" t="n">
        <x:f>'Exposure Register'!K48</x:f>
        <x:v>0</x:v>
      </x:c>
      <x:c r="G225" t="str">
        <x:v>'Exposure Register'!K48</x:v>
      </x:c>
      <x:c r="H225" t="str">
        <x:v>physical acceptance authority</x:v>
      </x:c>
      <x:c r="I225" t="str">
        <x:f>IF(F225=0,"OPEN",IF(E225=F225,"PASS","FAIL"))</x:f>
        <x:v>OPEN</x:v>
      </x:c>
    </x:row>
    <x:row r="226">
      <x:c r="B226" t="str">
        <x:v>PH-EXPOSURE-43</x:v>
      </x:c>
      <x:c r="C226" t="str">
        <x:v>physical</x:v>
      </x:c>
      <x:c r="D226" t="str">
        <x:v>accepted propagation exposure</x:v>
      </x:c>
      <x:c r="E226" t="n">
        <x:v>1</x:v>
      </x:c>
      <x:c r="F226" t="n">
        <x:f>'Exposure Register'!K49</x:f>
        <x:v>0</x:v>
      </x:c>
      <x:c r="G226" t="str">
        <x:v>'Exposure Register'!K49</x:v>
      </x:c>
      <x:c r="H226" t="str">
        <x:v>physical acceptance authority</x:v>
      </x:c>
      <x:c r="I226" t="str">
        <x:f>IF(F226=0,"OPEN",IF(E226=F226,"PASS","FAIL"))</x:f>
        <x:v>OPEN</x:v>
      </x:c>
    </x:row>
    <x:row r="227">
      <x:c r="B227" t="str">
        <x:v>PH-EXPOSURE-44</x:v>
      </x:c>
      <x:c r="C227" t="str">
        <x:v>physical</x:v>
      </x:c>
      <x:c r="D227" t="str">
        <x:v>accepted propagation exposure</x:v>
      </x:c>
      <x:c r="E227" t="n">
        <x:v>1</x:v>
      </x:c>
      <x:c r="F227" t="n">
        <x:f>'Exposure Register'!K50</x:f>
        <x:v>0</x:v>
      </x:c>
      <x:c r="G227" t="str">
        <x:v>'Exposure Register'!K50</x:v>
      </x:c>
      <x:c r="H227" t="str">
        <x:v>physical acceptance authority</x:v>
      </x:c>
      <x:c r="I227" t="str">
        <x:f>IF(F227=0,"OPEN",IF(E227=F227,"PASS","FAIL"))</x:f>
        <x:v>OPEN</x:v>
      </x:c>
    </x:row>
    <x:row r="228">
      <x:c r="B228" t="str">
        <x:v>PH-EXPOSURE-45</x:v>
      </x:c>
      <x:c r="C228" t="str">
        <x:v>physical</x:v>
      </x:c>
      <x:c r="D228" t="str">
        <x:v>accepted propagation exposure</x:v>
      </x:c>
      <x:c r="E228" t="n">
        <x:v>1</x:v>
      </x:c>
      <x:c r="F228" t="n">
        <x:f>'Exposure Register'!K51</x:f>
        <x:v>0</x:v>
      </x:c>
      <x:c r="G228" t="str">
        <x:v>'Exposure Register'!K51</x:v>
      </x:c>
      <x:c r="H228" t="str">
        <x:v>physical acceptance authority</x:v>
      </x:c>
      <x:c r="I228" t="str">
        <x:f>IF(F228=0,"OPEN",IF(E228=F228,"PASS","FAIL"))</x:f>
        <x:v>OPEN</x:v>
      </x:c>
    </x:row>
    <x:row r="229">
      <x:c r="B229" t="str">
        <x:v>PH-EXPOSURE-46</x:v>
      </x:c>
      <x:c r="C229" t="str">
        <x:v>physical</x:v>
      </x:c>
      <x:c r="D229" t="str">
        <x:v>accepted propagation exposure</x:v>
      </x:c>
      <x:c r="E229" t="n">
        <x:v>1</x:v>
      </x:c>
      <x:c r="F229" t="n">
        <x:f>'Exposure Register'!K52</x:f>
        <x:v>0</x:v>
      </x:c>
      <x:c r="G229" t="str">
        <x:v>'Exposure Register'!K52</x:v>
      </x:c>
      <x:c r="H229" t="str">
        <x:v>physical acceptance authority</x:v>
      </x:c>
      <x:c r="I229" t="str">
        <x:f>IF(F229=0,"OPEN",IF(E229=F229,"PASS","FAIL"))</x:f>
        <x:v>OPEN</x:v>
      </x:c>
    </x:row>
    <x:row r="230">
      <x:c r="B230" t="str">
        <x:v>PH-EXPOSURE-47</x:v>
      </x:c>
      <x:c r="C230" t="str">
        <x:v>physical</x:v>
      </x:c>
      <x:c r="D230" t="str">
        <x:v>accepted propagation exposure</x:v>
      </x:c>
      <x:c r="E230" t="n">
        <x:v>1</x:v>
      </x:c>
      <x:c r="F230" t="n">
        <x:f>'Exposure Register'!K53</x:f>
        <x:v>0</x:v>
      </x:c>
      <x:c r="G230" t="str">
        <x:v>'Exposure Register'!K53</x:v>
      </x:c>
      <x:c r="H230" t="str">
        <x:v>physical acceptance authority</x:v>
      </x:c>
      <x:c r="I230" t="str">
        <x:f>IF(F230=0,"OPEN",IF(E230=F230,"PASS","FAIL"))</x:f>
        <x:v>OPEN</x:v>
      </x:c>
    </x:row>
    <x:row r="231">
      <x:c r="B231" t="str">
        <x:v>PH-EXPOSURE-48</x:v>
      </x:c>
      <x:c r="C231" t="str">
        <x:v>physical</x:v>
      </x:c>
      <x:c r="D231" t="str">
        <x:v>accepted propagation exposure</x:v>
      </x:c>
      <x:c r="E231" t="n">
        <x:v>1</x:v>
      </x:c>
      <x:c r="F231" t="n">
        <x:f>'Exposure Register'!K54</x:f>
        <x:v>0</x:v>
      </x:c>
      <x:c r="G231" t="str">
        <x:v>'Exposure Register'!K54</x:v>
      </x:c>
      <x:c r="H231" t="str">
        <x:v>physical acceptance authority</x:v>
      </x:c>
      <x:c r="I231" t="str">
        <x:f>IF(F231=0,"OPEN",IF(E231=F231,"PASS","FAIL"))</x:f>
        <x:v>OPEN</x:v>
      </x:c>
    </x:row>
    <x:row r="232">
      <x:c r="B232" t="str">
        <x:v>PH-PROP-01</x:v>
      </x:c>
      <x:c r="C232" t="str">
        <x:v>physical</x:v>
      </x:c>
      <x:c r="D232" t="str">
        <x:v>accepted propagation disposition</x:v>
      </x:c>
      <x:c r="E232" t="n">
        <x:v>1</x:v>
      </x:c>
      <x:c r="F232" t="n">
        <x:f>'Protocol Matrix'!M7</x:f>
        <x:v>0</x:v>
      </x:c>
      <x:c r="G232" t="str">
        <x:v>'Protocol Matrix'!M7</x:v>
      </x:c>
      <x:c r="H232" t="str">
        <x:v>physical acceptance authority</x:v>
      </x:c>
      <x:c r="I232" t="str">
        <x:f>IF(F232=0,"OPEN",IF(E232=F232,"PASS","FAIL"))</x:f>
        <x:v>OPEN</x:v>
      </x:c>
    </x:row>
    <x:row r="233">
      <x:c r="B233" t="str">
        <x:v>PH-PROP-02</x:v>
      </x:c>
      <x:c r="C233" t="str">
        <x:v>physical</x:v>
      </x:c>
      <x:c r="D233" t="str">
        <x:v>accepted propagation disposition</x:v>
      </x:c>
      <x:c r="E233" t="n">
        <x:v>1</x:v>
      </x:c>
      <x:c r="F233" t="n">
        <x:f>'Protocol Matrix'!M8</x:f>
        <x:v>0</x:v>
      </x:c>
      <x:c r="G233" t="str">
        <x:v>'Protocol Matrix'!M8</x:v>
      </x:c>
      <x:c r="H233" t="str">
        <x:v>physical acceptance authority</x:v>
      </x:c>
      <x:c r="I233" t="str">
        <x:f>IF(F233=0,"OPEN",IF(E233=F233,"PASS","FAIL"))</x:f>
        <x:v>OPEN</x:v>
      </x:c>
    </x:row>
    <x:row r="234">
      <x:c r="B234" t="str">
        <x:v>PH-PROP-03</x:v>
      </x:c>
      <x:c r="C234" t="str">
        <x:v>physical</x:v>
      </x:c>
      <x:c r="D234" t="str">
        <x:v>accepted propagation disposition</x:v>
      </x:c>
      <x:c r="E234" t="n">
        <x:v>1</x:v>
      </x:c>
      <x:c r="F234" t="n">
        <x:f>'Protocol Matrix'!M9</x:f>
        <x:v>0</x:v>
      </x:c>
      <x:c r="G234" t="str">
        <x:v>'Protocol Matrix'!M9</x:v>
      </x:c>
      <x:c r="H234" t="str">
        <x:v>physical acceptance authority</x:v>
      </x:c>
      <x:c r="I234" t="str">
        <x:f>IF(F234=0,"OPEN",IF(E234=F234,"PASS","FAIL"))</x:f>
        <x:v>OPEN</x:v>
      </x:c>
    </x:row>
    <x:row r="235">
      <x:c r="B235" t="str">
        <x:v>PH-PROP-04</x:v>
      </x:c>
      <x:c r="C235" t="str">
        <x:v>physical</x:v>
      </x:c>
      <x:c r="D235" t="str">
        <x:v>accepted propagation disposition</x:v>
      </x:c>
      <x:c r="E235" t="n">
        <x:v>1</x:v>
      </x:c>
      <x:c r="F235" t="n">
        <x:f>'Protocol Matrix'!M10</x:f>
        <x:v>0</x:v>
      </x:c>
      <x:c r="G235" t="str">
        <x:v>'Protocol Matrix'!M10</x:v>
      </x:c>
      <x:c r="H235" t="str">
        <x:v>physical acceptance authority</x:v>
      </x:c>
      <x:c r="I235" t="str">
        <x:f>IF(F235=0,"OPEN",IF(E235=F235,"PASS","FAIL"))</x:f>
        <x:v>OPEN</x:v>
      </x:c>
    </x:row>
    <x:row r="236">
      <x:c r="B236" t="str">
        <x:v>PH-PROP-05</x:v>
      </x:c>
      <x:c r="C236" t="str">
        <x:v>physical</x:v>
      </x:c>
      <x:c r="D236" t="str">
        <x:v>accepted propagation disposition</x:v>
      </x:c>
      <x:c r="E236" t="n">
        <x:v>1</x:v>
      </x:c>
      <x:c r="F236" t="n">
        <x:f>'Protocol Matrix'!M11</x:f>
        <x:v>0</x:v>
      </x:c>
      <x:c r="G236" t="str">
        <x:v>'Protocol Matrix'!M11</x:v>
      </x:c>
      <x:c r="H236" t="str">
        <x:v>physical acceptance authority</x:v>
      </x:c>
      <x:c r="I236" t="str">
        <x:f>IF(F236=0,"OPEN",IF(E236=F236,"PASS","FAIL"))</x:f>
        <x:v>OPEN</x:v>
      </x:c>
    </x:row>
    <x:row r="237">
      <x:c r="B237" t="str">
        <x:v>PH-PROP-06</x:v>
      </x:c>
      <x:c r="C237" t="str">
        <x:v>physical</x:v>
      </x:c>
      <x:c r="D237" t="str">
        <x:v>accepted propagation disposition</x:v>
      </x:c>
      <x:c r="E237" t="n">
        <x:v>1</x:v>
      </x:c>
      <x:c r="F237" t="n">
        <x:f>'Protocol Matrix'!M12</x:f>
        <x:v>0</x:v>
      </x:c>
      <x:c r="G237" t="str">
        <x:v>'Protocol Matrix'!M12</x:v>
      </x:c>
      <x:c r="H237" t="str">
        <x:v>physical acceptance authority</x:v>
      </x:c>
      <x:c r="I237" t="str">
        <x:f>IF(F237=0,"OPEN",IF(E237=F237,"PASS","FAIL"))</x:f>
        <x:v>OPEN</x:v>
      </x:c>
    </x:row>
    <x:row r="238">
      <x:c r="B238" t="str">
        <x:v>PH-PROP-07</x:v>
      </x:c>
      <x:c r="C238" t="str">
        <x:v>physical</x:v>
      </x:c>
      <x:c r="D238" t="str">
        <x:v>accepted propagation disposition</x:v>
      </x:c>
      <x:c r="E238" t="n">
        <x:v>1</x:v>
      </x:c>
      <x:c r="F238" t="n">
        <x:f>'Protocol Matrix'!M13</x:f>
        <x:v>0</x:v>
      </x:c>
      <x:c r="G238" t="str">
        <x:v>'Protocol Matrix'!M13</x:v>
      </x:c>
      <x:c r="H238" t="str">
        <x:v>physical acceptance authority</x:v>
      </x:c>
      <x:c r="I238" t="str">
        <x:f>IF(F238=0,"OPEN",IF(E238=F238,"PASS","FAIL"))</x:f>
        <x:v>OPEN</x:v>
      </x:c>
    </x:row>
    <x:row r="239">
      <x:c r="B239" t="str">
        <x:v>PH-PROP-08</x:v>
      </x:c>
      <x:c r="C239" t="str">
        <x:v>physical</x:v>
      </x:c>
      <x:c r="D239" t="str">
        <x:v>accepted propagation disposition</x:v>
      </x:c>
      <x:c r="E239" t="n">
        <x:v>1</x:v>
      </x:c>
      <x:c r="F239" t="n">
        <x:f>'Protocol Matrix'!M14</x:f>
        <x:v>0</x:v>
      </x:c>
      <x:c r="G239" t="str">
        <x:v>'Protocol Matrix'!M14</x:v>
      </x:c>
      <x:c r="H239" t="str">
        <x:v>physical acceptance authority</x:v>
      </x:c>
      <x:c r="I239" t="str">
        <x:f>IF(F239=0,"OPEN",IF(E239=F239,"PASS","FAIL"))</x:f>
        <x:v>OPEN</x:v>
      </x:c>
    </x:row>
    <x:row r="240">
      <x:c r="B240" t="str">
        <x:v>PH-PROP-09</x:v>
      </x:c>
      <x:c r="C240" t="str">
        <x:v>physical</x:v>
      </x:c>
      <x:c r="D240" t="str">
        <x:v>accepted propagation disposition</x:v>
      </x:c>
      <x:c r="E240" t="n">
        <x:v>1</x:v>
      </x:c>
      <x:c r="F240" t="n">
        <x:f>'Protocol Matrix'!M15</x:f>
        <x:v>0</x:v>
      </x:c>
      <x:c r="G240" t="str">
        <x:v>'Protocol Matrix'!M15</x:v>
      </x:c>
      <x:c r="H240" t="str">
        <x:v>physical acceptance authority</x:v>
      </x:c>
      <x:c r="I240" t="str">
        <x:f>IF(F240=0,"OPEN",IF(E240=F240,"PASS","FAIL"))</x:f>
        <x:v>OPEN</x:v>
      </x:c>
    </x:row>
    <x:row r="241">
      <x:c r="B241" t="str">
        <x:v>PH-PROP-10</x:v>
      </x:c>
      <x:c r="C241" t="str">
        <x:v>physical</x:v>
      </x:c>
      <x:c r="D241" t="str">
        <x:v>accepted propagation disposition</x:v>
      </x:c>
      <x:c r="E241" t="n">
        <x:v>1</x:v>
      </x:c>
      <x:c r="F241" t="n">
        <x:f>'Protocol Matrix'!M16</x:f>
        <x:v>0</x:v>
      </x:c>
      <x:c r="G241" t="str">
        <x:v>'Protocol Matrix'!M16</x:v>
      </x:c>
      <x:c r="H241" t="str">
        <x:v>physical acceptance authority</x:v>
      </x:c>
      <x:c r="I241" t="str">
        <x:f>IF(F241=0,"OPEN",IF(E241=F241,"PASS","FAIL"))</x:f>
        <x:v>OPEN</x:v>
      </x:c>
    </x:row>
    <x:row r="242">
      <x:c r="B242" t="str">
        <x:v>PH-PROP-11</x:v>
      </x:c>
      <x:c r="C242" t="str">
        <x:v>physical</x:v>
      </x:c>
      <x:c r="D242" t="str">
        <x:v>accepted propagation disposition</x:v>
      </x:c>
      <x:c r="E242" t="n">
        <x:v>1</x:v>
      </x:c>
      <x:c r="F242" t="n">
        <x:f>'Protocol Matrix'!M17</x:f>
        <x:v>0</x:v>
      </x:c>
      <x:c r="G242" t="str">
        <x:v>'Protocol Matrix'!M17</x:v>
      </x:c>
      <x:c r="H242" t="str">
        <x:v>physical acceptance authority</x:v>
      </x:c>
      <x:c r="I242" t="str">
        <x:f>IF(F242=0,"OPEN",IF(E242=F242,"PASS","FAIL"))</x:f>
        <x:v>OPEN</x:v>
      </x:c>
    </x:row>
    <x:row r="243">
      <x:c r="B243" t="str">
        <x:v>PH-PROP-12</x:v>
      </x:c>
      <x:c r="C243" t="str">
        <x:v>physical</x:v>
      </x:c>
      <x:c r="D243" t="str">
        <x:v>accepted propagation disposition</x:v>
      </x:c>
      <x:c r="E243" t="n">
        <x:v>1</x:v>
      </x:c>
      <x:c r="F243" t="n">
        <x:f>'Protocol Matrix'!M18</x:f>
        <x:v>0</x:v>
      </x:c>
      <x:c r="G243" t="str">
        <x:v>'Protocol Matrix'!M18</x:v>
      </x:c>
      <x:c r="H243" t="str">
        <x:v>physical acceptance authority</x:v>
      </x:c>
      <x:c r="I243" t="str">
        <x:f>IF(F243=0,"OPEN",IF(E243=F243,"PASS","FAIL"))</x:f>
        <x:v>OPEN</x:v>
      </x:c>
    </x:row>
    <x:row r="244">
      <x:c r="B244" t="str">
        <x:v>PH-PROP-13</x:v>
      </x:c>
      <x:c r="C244" t="str">
        <x:v>physical</x:v>
      </x:c>
      <x:c r="D244" t="str">
        <x:v>accepted propagation disposition</x:v>
      </x:c>
      <x:c r="E244" t="n">
        <x:v>1</x:v>
      </x:c>
      <x:c r="F244" t="n">
        <x:f>'Protocol Matrix'!M19</x:f>
        <x:v>0</x:v>
      </x:c>
      <x:c r="G244" t="str">
        <x:v>'Protocol Matrix'!M19</x:v>
      </x:c>
      <x:c r="H244" t="str">
        <x:v>physical acceptance authority</x:v>
      </x:c>
      <x:c r="I244" t="str">
        <x:f>IF(F244=0,"OPEN",IF(E244=F244,"PASS","FAIL"))</x:f>
        <x:v>OPEN</x:v>
      </x:c>
    </x:row>
    <x:row r="245">
      <x:c r="B245" t="str">
        <x:v>PH-PROP-14</x:v>
      </x:c>
      <x:c r="C245" t="str">
        <x:v>physical</x:v>
      </x:c>
      <x:c r="D245" t="str">
        <x:v>accepted propagation disposition</x:v>
      </x:c>
      <x:c r="E245" t="n">
        <x:v>1</x:v>
      </x:c>
      <x:c r="F245" t="n">
        <x:f>'Protocol Matrix'!M20</x:f>
        <x:v>0</x:v>
      </x:c>
      <x:c r="G245" t="str">
        <x:v>'Protocol Matrix'!M20</x:v>
      </x:c>
      <x:c r="H245" t="str">
        <x:v>physical acceptance authority</x:v>
      </x:c>
      <x:c r="I245" t="str">
        <x:f>IF(F245=0,"OPEN",IF(E245=F245,"PASS","FAIL"))</x:f>
        <x:v>OPEN</x:v>
      </x:c>
    </x:row>
    <x:row r="246">
      <x:c r="B246" t="str">
        <x:v>PH-PROP-15</x:v>
      </x:c>
      <x:c r="C246" t="str">
        <x:v>physical</x:v>
      </x:c>
      <x:c r="D246" t="str">
        <x:v>accepted propagation disposition</x:v>
      </x:c>
      <x:c r="E246" t="n">
        <x:v>1</x:v>
      </x:c>
      <x:c r="F246" t="n">
        <x:f>'Protocol Matrix'!M21</x:f>
        <x:v>0</x:v>
      </x:c>
      <x:c r="G246" t="str">
        <x:v>'Protocol Matrix'!M21</x:v>
      </x:c>
      <x:c r="H246" t="str">
        <x:v>physical acceptance authority</x:v>
      </x:c>
      <x:c r="I246" t="str">
        <x:f>IF(F246=0,"OPEN",IF(E246=F246,"PASS","FAIL"))</x:f>
        <x:v>OPEN</x:v>
      </x:c>
    </x:row>
    <x:row r="247">
      <x:c r="B247" t="str">
        <x:v>PH-PROP-16</x:v>
      </x:c>
      <x:c r="C247" t="str">
        <x:v>physical</x:v>
      </x:c>
      <x:c r="D247" t="str">
        <x:v>accepted propagation disposition</x:v>
      </x:c>
      <x:c r="E247" t="n">
        <x:v>1</x:v>
      </x:c>
      <x:c r="F247" t="n">
        <x:f>'Protocol Matrix'!M22</x:f>
        <x:v>0</x:v>
      </x:c>
      <x:c r="G247" t="str">
        <x:v>'Protocol Matrix'!M22</x:v>
      </x:c>
      <x:c r="H247" t="str">
        <x:v>physical acceptance authority</x:v>
      </x:c>
      <x:c r="I247" t="str">
        <x:f>IF(F247=0,"OPEN",IF(E247=F247,"PASS","FAIL"))</x:f>
        <x:v>OPEN</x:v>
      </x:c>
    </x:row>
    <x:row r="248">
      <x:c r="B248" t="str">
        <x:v>PH-PROP-17</x:v>
      </x:c>
      <x:c r="C248" t="str">
        <x:v>physical</x:v>
      </x:c>
      <x:c r="D248" t="str">
        <x:v>accepted propagation disposition</x:v>
      </x:c>
      <x:c r="E248" t="n">
        <x:v>1</x:v>
      </x:c>
      <x:c r="F248" t="n">
        <x:f>'Protocol Matrix'!M23</x:f>
        <x:v>0</x:v>
      </x:c>
      <x:c r="G248" t="str">
        <x:v>'Protocol Matrix'!M23</x:v>
      </x:c>
      <x:c r="H248" t="str">
        <x:v>physical acceptance authority</x:v>
      </x:c>
      <x:c r="I248" t="str">
        <x:f>IF(F248=0,"OPEN",IF(E248=F248,"PASS","FAIL"))</x:f>
        <x:v>OPEN</x:v>
      </x:c>
    </x:row>
    <x:row r="249">
      <x:c r="B249" t="str">
        <x:v>PH-PROP-18</x:v>
      </x:c>
      <x:c r="C249" t="str">
        <x:v>physical</x:v>
      </x:c>
      <x:c r="D249" t="str">
        <x:v>accepted propagation disposition</x:v>
      </x:c>
      <x:c r="E249" t="n">
        <x:v>1</x:v>
      </x:c>
      <x:c r="F249" t="n">
        <x:f>'Protocol Matrix'!M24</x:f>
        <x:v>0</x:v>
      </x:c>
      <x:c r="G249" t="str">
        <x:v>'Protocol Matrix'!M24</x:v>
      </x:c>
      <x:c r="H249" t="str">
        <x:v>physical acceptance authority</x:v>
      </x:c>
      <x:c r="I249" t="str">
        <x:f>IF(F249=0,"OPEN",IF(E249=F249,"PASS","FAIL"))</x:f>
        <x:v>OPEN</x:v>
      </x:c>
    </x:row>
    <x:row r="250">
      <x:c r="B250" t="str">
        <x:v>PH-PROP-19</x:v>
      </x:c>
      <x:c r="C250" t="str">
        <x:v>physical</x:v>
      </x:c>
      <x:c r="D250" t="str">
        <x:v>accepted propagation disposition</x:v>
      </x:c>
      <x:c r="E250" t="n">
        <x:v>1</x:v>
      </x:c>
      <x:c r="F250" t="n">
        <x:f>'Protocol Matrix'!M25</x:f>
        <x:v>0</x:v>
      </x:c>
      <x:c r="G250" t="str">
        <x:v>'Protocol Matrix'!M25</x:v>
      </x:c>
      <x:c r="H250" t="str">
        <x:v>physical acceptance authority</x:v>
      </x:c>
      <x:c r="I250" t="str">
        <x:f>IF(F250=0,"OPEN",IF(E250=F250,"PASS","FAIL"))</x:f>
        <x:v>OPEN</x:v>
      </x:c>
    </x:row>
    <x:row r="251">
      <x:c r="B251" t="str">
        <x:v>PH-PROP-20</x:v>
      </x:c>
      <x:c r="C251" t="str">
        <x:v>physical</x:v>
      </x:c>
      <x:c r="D251" t="str">
        <x:v>accepted propagation disposition</x:v>
      </x:c>
      <x:c r="E251" t="n">
        <x:v>1</x:v>
      </x:c>
      <x:c r="F251" t="n">
        <x:f>'Protocol Matrix'!M26</x:f>
        <x:v>0</x:v>
      </x:c>
      <x:c r="G251" t="str">
        <x:v>'Protocol Matrix'!M26</x:v>
      </x:c>
      <x:c r="H251" t="str">
        <x:v>physical acceptance authority</x:v>
      </x:c>
      <x:c r="I251" t="str">
        <x:f>IF(F251=0,"OPEN",IF(E251=F251,"PASS","FAIL"))</x:f>
        <x:v>OPEN</x:v>
      </x:c>
    </x:row>
    <x:row r="252">
      <x:c r="B252" t="str">
        <x:v>PH-PROP-21</x:v>
      </x:c>
      <x:c r="C252" t="str">
        <x:v>physical</x:v>
      </x:c>
      <x:c r="D252" t="str">
        <x:v>accepted propagation disposition</x:v>
      </x:c>
      <x:c r="E252" t="n">
        <x:v>1</x:v>
      </x:c>
      <x:c r="F252" t="n">
        <x:f>'Protocol Matrix'!M27</x:f>
        <x:v>0</x:v>
      </x:c>
      <x:c r="G252" t="str">
        <x:v>'Protocol Matrix'!M27</x:v>
      </x:c>
      <x:c r="H252" t="str">
        <x:v>physical acceptance authority</x:v>
      </x:c>
      <x:c r="I252" t="str">
        <x:f>IF(F252=0,"OPEN",IF(E252=F252,"PASS","FAIL"))</x:f>
        <x:v>OPEN</x:v>
      </x:c>
    </x:row>
    <x:row r="253">
      <x:c r="B253" t="str">
        <x:v>PH-PROP-22</x:v>
      </x:c>
      <x:c r="C253" t="str">
        <x:v>physical</x:v>
      </x:c>
      <x:c r="D253" t="str">
        <x:v>accepted propagation disposition</x:v>
      </x:c>
      <x:c r="E253" t="n">
        <x:v>1</x:v>
      </x:c>
      <x:c r="F253" t="n">
        <x:f>'Protocol Matrix'!M28</x:f>
        <x:v>0</x:v>
      </x:c>
      <x:c r="G253" t="str">
        <x:v>'Protocol Matrix'!M28</x:v>
      </x:c>
      <x:c r="H253" t="str">
        <x:v>physical acceptance authority</x:v>
      </x:c>
      <x:c r="I253" t="str">
        <x:f>IF(F253=0,"OPEN",IF(E253=F253,"PASS","FAIL"))</x:f>
        <x:v>OPEN</x:v>
      </x:c>
    </x:row>
    <x:row r="254">
      <x:c r="B254" t="str">
        <x:v>PH-PROP-23</x:v>
      </x:c>
      <x:c r="C254" t="str">
        <x:v>physical</x:v>
      </x:c>
      <x:c r="D254" t="str">
        <x:v>accepted propagation disposition</x:v>
      </x:c>
      <x:c r="E254" t="n">
        <x:v>1</x:v>
      </x:c>
      <x:c r="F254" t="n">
        <x:f>'Protocol Matrix'!M29</x:f>
        <x:v>0</x:v>
      </x:c>
      <x:c r="G254" t="str">
        <x:v>'Protocol Matrix'!M29</x:v>
      </x:c>
      <x:c r="H254" t="str">
        <x:v>physical acceptance authority</x:v>
      </x:c>
      <x:c r="I254" t="str">
        <x:f>IF(F254=0,"OPEN",IF(E254=F254,"PASS","FAIL"))</x:f>
        <x:v>OPEN</x:v>
      </x:c>
    </x:row>
    <x:row r="255">
      <x:c r="B255" t="str">
        <x:v>PH-PROP-24</x:v>
      </x:c>
      <x:c r="C255" t="str">
        <x:v>physical</x:v>
      </x:c>
      <x:c r="D255" t="str">
        <x:v>accepted propagation disposition</x:v>
      </x:c>
      <x:c r="E255" t="n">
        <x:v>1</x:v>
      </x:c>
      <x:c r="F255" t="n">
        <x:f>'Protocol Matrix'!M30</x:f>
        <x:v>0</x:v>
      </x:c>
      <x:c r="G255" t="str">
        <x:v>'Protocol Matrix'!M30</x:v>
      </x:c>
      <x:c r="H255" t="str">
        <x:v>physical acceptance authority</x:v>
      </x:c>
      <x:c r="I255" t="str">
        <x:f>IF(F255=0,"OPEN",IF(E255=F255,"PASS","FAIL"))</x:f>
        <x:v>OPEN</x:v>
      </x:c>
    </x:row>
    <x:row r="256">
      <x:c r="B256" t="str">
        <x:v>PH-SAFETY-01</x:v>
      </x:c>
      <x:c r="C256" t="str">
        <x:v>physical</x:v>
      </x:c>
      <x:c r="D256" t="str">
        <x:v>accepted inherited safety event</x:v>
      </x:c>
      <x:c r="E256" t="n">
        <x:v>1</x:v>
      </x:c>
      <x:c r="F256" t="n">
        <x:f>Controls!$D$51</x:f>
        <x:v>0</x:v>
      </x:c>
      <x:c r="G256" t="str">
        <x:v>Controls!$D$51</x:v>
      </x:c>
      <x:c r="H256" t="str">
        <x:v>physical acceptance authority</x:v>
      </x:c>
      <x:c r="I256" t="str">
        <x:f>IF(F256=0,"OPEN",IF(E256=F256,"PASS","FAIL"))</x:f>
        <x:v>OPEN</x:v>
      </x:c>
    </x:row>
    <x:row r="257">
      <x:c r="B257" t="str">
        <x:v>PH-SAFETY-02</x:v>
      </x:c>
      <x:c r="C257" t="str">
        <x:v>physical</x:v>
      </x:c>
      <x:c r="D257" t="str">
        <x:v>accepted inherited safety event</x:v>
      </x:c>
      <x:c r="E257" t="n">
        <x:v>1</x:v>
      </x:c>
      <x:c r="F257" t="n">
        <x:f>Controls!$D$51</x:f>
        <x:v>0</x:v>
      </x:c>
      <x:c r="G257" t="str">
        <x:v>Controls!$D$51</x:v>
      </x:c>
      <x:c r="H257" t="str">
        <x:v>physical acceptance authority</x:v>
      </x:c>
      <x:c r="I257" t="str">
        <x:f>IF(F257=0,"OPEN",IF(E257=F257,"PASS","FAIL"))</x:f>
        <x:v>OPEN</x:v>
      </x:c>
    </x:row>
    <x:row r="258">
      <x:c r="B258" t="str">
        <x:v>PH-SAFETY-03</x:v>
      </x:c>
      <x:c r="C258" t="str">
        <x:v>physical</x:v>
      </x:c>
      <x:c r="D258" t="str">
        <x:v>accepted inherited safety event</x:v>
      </x:c>
      <x:c r="E258" t="n">
        <x:v>1</x:v>
      </x:c>
      <x:c r="F258" t="n">
        <x:f>Controls!$D$51</x:f>
        <x:v>0</x:v>
      </x:c>
      <x:c r="G258" t="str">
        <x:v>Controls!$D$51</x:v>
      </x:c>
      <x:c r="H258" t="str">
        <x:v>physical acceptance authority</x:v>
      </x:c>
      <x:c r="I258" t="str">
        <x:f>IF(F258=0,"OPEN",IF(E258=F258,"PASS","FAIL"))</x:f>
        <x:v>OPEN</x:v>
      </x:c>
    </x:row>
    <x:row r="259">
      <x:c r="B259" t="str">
        <x:v>PH-SAFETY-04</x:v>
      </x:c>
      <x:c r="C259" t="str">
        <x:v>physical</x:v>
      </x:c>
      <x:c r="D259" t="str">
        <x:v>accepted inherited safety event</x:v>
      </x:c>
      <x:c r="E259" t="n">
        <x:v>1</x:v>
      </x:c>
      <x:c r="F259" t="n">
        <x:f>Controls!$D$51</x:f>
        <x:v>0</x:v>
      </x:c>
      <x:c r="G259" t="str">
        <x:v>Controls!$D$51</x:v>
      </x:c>
      <x:c r="H259" t="str">
        <x:v>physical acceptance authority</x:v>
      </x:c>
      <x:c r="I259" t="str">
        <x:f>IF(F259=0,"OPEN",IF(E259=F259,"PASS","FAIL"))</x:f>
        <x:v>OPEN</x:v>
      </x:c>
    </x:row>
    <x:row r="260">
      <x:c r="B260" t="str">
        <x:v>PH-SAFETY-05</x:v>
      </x:c>
      <x:c r="C260" t="str">
        <x:v>physical</x:v>
      </x:c>
      <x:c r="D260" t="str">
        <x:v>accepted inherited safety event</x:v>
      </x:c>
      <x:c r="E260" t="n">
        <x:v>1</x:v>
      </x:c>
      <x:c r="F260" t="n">
        <x:f>Controls!$D$51</x:f>
        <x:v>0</x:v>
      </x:c>
      <x:c r="G260" t="str">
        <x:v>Controls!$D$51</x:v>
      </x:c>
      <x:c r="H260" t="str">
        <x:v>physical acceptance authority</x:v>
      </x:c>
      <x:c r="I260" t="str">
        <x:f>IF(F260=0,"OPEN",IF(E260=F260,"PASS","FAIL"))</x:f>
        <x:v>OPEN</x:v>
      </x:c>
    </x:row>
    <x:row r="261">
      <x:c r="B261" t="str">
        <x:v>PH-SAFETY-06</x:v>
      </x:c>
      <x:c r="C261" t="str">
        <x:v>physical</x:v>
      </x:c>
      <x:c r="D261" t="str">
        <x:v>accepted inherited safety event</x:v>
      </x:c>
      <x:c r="E261" t="n">
        <x:v>1</x:v>
      </x:c>
      <x:c r="F261" t="n">
        <x:f>Controls!$D$51</x:f>
        <x:v>0</x:v>
      </x:c>
      <x:c r="G261" t="str">
        <x:v>Controls!$D$51</x:v>
      </x:c>
      <x:c r="H261" t="str">
        <x:v>physical acceptance authority</x:v>
      </x:c>
      <x:c r="I261" t="str">
        <x:f>IF(F261=0,"OPEN",IF(E261=F261,"PASS","FAIL"))</x:f>
        <x:v>OPEN</x:v>
      </x:c>
    </x:row>
    <x:row r="262">
      <x:c r="B262" t="str">
        <x:v>PH-SAFETY-07</x:v>
      </x:c>
      <x:c r="C262" t="str">
        <x:v>physical</x:v>
      </x:c>
      <x:c r="D262" t="str">
        <x:v>accepted inherited safety event</x:v>
      </x:c>
      <x:c r="E262" t="n">
        <x:v>1</x:v>
      </x:c>
      <x:c r="F262" t="n">
        <x:f>Controls!$D$51</x:f>
        <x:v>0</x:v>
      </x:c>
      <x:c r="G262" t="str">
        <x:v>Controls!$D$51</x:v>
      </x:c>
      <x:c r="H262" t="str">
        <x:v>physical acceptance authority</x:v>
      </x:c>
      <x:c r="I262" t="str">
        <x:f>IF(F262=0,"OPEN",IF(E262=F262,"PASS","FAIL"))</x:f>
        <x:v>OPEN</x:v>
      </x:c>
    </x:row>
    <x:row r="263">
      <x:c r="B263" t="str">
        <x:v>PH-SAFETY-08</x:v>
      </x:c>
      <x:c r="C263" t="str">
        <x:v>physical</x:v>
      </x:c>
      <x:c r="D263" t="str">
        <x:v>accepted inherited safety event</x:v>
      </x:c>
      <x:c r="E263" t="n">
        <x:v>1</x:v>
      </x:c>
      <x:c r="F263" t="n">
        <x:f>Controls!$D$51</x:f>
        <x:v>0</x:v>
      </x:c>
      <x:c r="G263" t="str">
        <x:v>Controls!$D$51</x:v>
      </x:c>
      <x:c r="H263" t="str">
        <x:v>physical acceptance authority</x:v>
      </x:c>
      <x:c r="I263" t="str">
        <x:f>IF(F263=0,"OPEN",IF(E263=F263,"PASS","FAIL"))</x:f>
        <x:v>OPEN</x:v>
      </x:c>
    </x:row>
    <x:row r="264">
      <x:c r="B264" t="str">
        <x:v>PH-SAFETY-09</x:v>
      </x:c>
      <x:c r="C264" t="str">
        <x:v>physical</x:v>
      </x:c>
      <x:c r="D264" t="str">
        <x:v>accepted inherited safety event</x:v>
      </x:c>
      <x:c r="E264" t="n">
        <x:v>1</x:v>
      </x:c>
      <x:c r="F264" t="n">
        <x:f>Controls!$D$51</x:f>
        <x:v>0</x:v>
      </x:c>
      <x:c r="G264" t="str">
        <x:v>Controls!$D$51</x:v>
      </x:c>
      <x:c r="H264" t="str">
        <x:v>physical acceptance authority</x:v>
      </x:c>
      <x:c r="I264" t="str">
        <x:f>IF(F264=0,"OPEN",IF(E264=F264,"PASS","FAIL"))</x:f>
        <x:v>OPEN</x:v>
      </x:c>
    </x:row>
    <x:row r="265">
      <x:c r="B265" t="str">
        <x:v>PH-SAFETY-10</x:v>
      </x:c>
      <x:c r="C265" t="str">
        <x:v>physical</x:v>
      </x:c>
      <x:c r="D265" t="str">
        <x:v>accepted inherited safety event</x:v>
      </x:c>
      <x:c r="E265" t="n">
        <x:v>1</x:v>
      </x:c>
      <x:c r="F265" t="n">
        <x:f>Controls!$D$51</x:f>
        <x:v>0</x:v>
      </x:c>
      <x:c r="G265" t="str">
        <x:v>Controls!$D$51</x:v>
      </x:c>
      <x:c r="H265" t="str">
        <x:v>physical acceptance authority</x:v>
      </x:c>
      <x:c r="I265" t="str">
        <x:f>IF(F265=0,"OPEN",IF(E265=F265,"PASS","FAIL"))</x:f>
        <x:v>OPEN</x:v>
      </x:c>
    </x:row>
    <x:row r="266">
      <x:c r="B266" t="str">
        <x:v>PH-SAFETY-11</x:v>
      </x:c>
      <x:c r="C266" t="str">
        <x:v>physical</x:v>
      </x:c>
      <x:c r="D266" t="str">
        <x:v>accepted inherited safety event</x:v>
      </x:c>
      <x:c r="E266" t="n">
        <x:v>1</x:v>
      </x:c>
      <x:c r="F266" t="n">
        <x:f>Controls!$D$51</x:f>
        <x:v>0</x:v>
      </x:c>
      <x:c r="G266" t="str">
        <x:v>Controls!$D$51</x:v>
      </x:c>
      <x:c r="H266" t="str">
        <x:v>physical acceptance authority</x:v>
      </x:c>
      <x:c r="I266" t="str">
        <x:f>IF(F266=0,"OPEN",IF(E266=F266,"PASS","FAIL"))</x:f>
        <x:v>OPEN</x:v>
      </x:c>
    </x:row>
    <x:row r="267">
      <x:c r="B267" t="str">
        <x:v>PH-SAFETY-12</x:v>
      </x:c>
      <x:c r="C267" t="str">
        <x:v>physical</x:v>
      </x:c>
      <x:c r="D267" t="str">
        <x:v>accepted inherited safety event</x:v>
      </x:c>
      <x:c r="E267" t="n">
        <x:v>1</x:v>
      </x:c>
      <x:c r="F267" t="n">
        <x:f>Controls!$D$51</x:f>
        <x:v>0</x:v>
      </x:c>
      <x:c r="G267" t="str">
        <x:v>Controls!$D$51</x:v>
      </x:c>
      <x:c r="H267" t="str">
        <x:v>physical acceptance authority</x:v>
      </x:c>
      <x:c r="I267" t="str">
        <x:f>IF(F267=0,"OPEN",IF(E267=F267,"PASS","FAIL"))</x:f>
        <x:v>OPEN</x:v>
      </x:c>
    </x:row>
    <x:row r="268">
      <x:c r="B268" t="str">
        <x:v>PH-SAFETY-13</x:v>
      </x:c>
      <x:c r="C268" t="str">
        <x:v>physical</x:v>
      </x:c>
      <x:c r="D268" t="str">
        <x:v>accepted inherited safety event</x:v>
      </x:c>
      <x:c r="E268" t="n">
        <x:v>1</x:v>
      </x:c>
      <x:c r="F268" t="n">
        <x:f>Controls!$D$51</x:f>
        <x:v>0</x:v>
      </x:c>
      <x:c r="G268" t="str">
        <x:v>Controls!$D$51</x:v>
      </x:c>
      <x:c r="H268" t="str">
        <x:v>physical acceptance authority</x:v>
      </x:c>
      <x:c r="I268" t="str">
        <x:f>IF(F268=0,"OPEN",IF(E268=F268,"PASS","FAIL"))</x:f>
        <x:v>OPEN</x:v>
      </x:c>
    </x:row>
    <x:row r="269">
      <x:c r="B269" t="str">
        <x:v>PH-SAFETY-14</x:v>
      </x:c>
      <x:c r="C269" t="str">
        <x:v>physical</x:v>
      </x:c>
      <x:c r="D269" t="str">
        <x:v>accepted inherited safety event</x:v>
      </x:c>
      <x:c r="E269" t="n">
        <x:v>1</x:v>
      </x:c>
      <x:c r="F269" t="n">
        <x:f>Controls!$D$51</x:f>
        <x:v>0</x:v>
      </x:c>
      <x:c r="G269" t="str">
        <x:v>Controls!$D$51</x:v>
      </x:c>
      <x:c r="H269" t="str">
        <x:v>physical acceptance authority</x:v>
      </x:c>
      <x:c r="I269" t="str">
        <x:f>IF(F269=0,"OPEN",IF(E269=F269,"PASS","FAIL"))</x:f>
        <x:v>OPEN</x:v>
      </x:c>
    </x:row>
    <x:row r="270">
      <x:c r="B270" t="str">
        <x:v>PH-SAFETY-15</x:v>
      </x:c>
      <x:c r="C270" t="str">
        <x:v>physical</x:v>
      </x:c>
      <x:c r="D270" t="str">
        <x:v>accepted inherited safety event</x:v>
      </x:c>
      <x:c r="E270" t="n">
        <x:v>1</x:v>
      </x:c>
      <x:c r="F270" t="n">
        <x:f>Controls!$D$51</x:f>
        <x:v>0</x:v>
      </x:c>
      <x:c r="G270" t="str">
        <x:v>Controls!$D$51</x:v>
      </x:c>
      <x:c r="H270" t="str">
        <x:v>physical acceptance authority</x:v>
      </x:c>
      <x:c r="I270" t="str">
        <x:f>IF(F270=0,"OPEN",IF(E270=F270,"PASS","FAIL"))</x:f>
        <x:v>OPEN</x:v>
      </x:c>
    </x:row>
    <x:row r="271">
      <x:c r="B271" t="str">
        <x:v>PH-SAFETY-16</x:v>
      </x:c>
      <x:c r="C271" t="str">
        <x:v>physical</x:v>
      </x:c>
      <x:c r="D271" t="str">
        <x:v>accepted inherited safety event</x:v>
      </x:c>
      <x:c r="E271" t="n">
        <x:v>1</x:v>
      </x:c>
      <x:c r="F271" t="n">
        <x:f>Controls!$D$51</x:f>
        <x:v>0</x:v>
      </x:c>
      <x:c r="G271" t="str">
        <x:v>Controls!$D$51</x:v>
      </x:c>
      <x:c r="H271" t="str">
        <x:v>physical acceptance authority</x:v>
      </x:c>
      <x:c r="I271" t="str">
        <x:f>IF(F271=0,"OPEN",IF(E271=F271,"PASS","FAIL"))</x:f>
        <x:v>OPEN</x:v>
      </x:c>
    </x:row>
    <x:row r="272">
      <x:c r="B272" t="str">
        <x:v>PH-SAFETY-17</x:v>
      </x:c>
      <x:c r="C272" t="str">
        <x:v>physical</x:v>
      </x:c>
      <x:c r="D272" t="str">
        <x:v>accepted inherited safety event</x:v>
      </x:c>
      <x:c r="E272" t="n">
        <x:v>1</x:v>
      </x:c>
      <x:c r="F272" t="n">
        <x:f>Controls!$D$51</x:f>
        <x:v>0</x:v>
      </x:c>
      <x:c r="G272" t="str">
        <x:v>Controls!$D$51</x:v>
      </x:c>
      <x:c r="H272" t="str">
        <x:v>physical acceptance authority</x:v>
      </x:c>
      <x:c r="I272" t="str">
        <x:f>IF(F272=0,"OPEN",IF(E272=F272,"PASS","FAIL"))</x:f>
        <x:v>OPEN</x:v>
      </x:c>
    </x:row>
    <x:row r="273">
      <x:c r="B273" t="str">
        <x:v>PH-SAFETY-18</x:v>
      </x:c>
      <x:c r="C273" t="str">
        <x:v>physical</x:v>
      </x:c>
      <x:c r="D273" t="str">
        <x:v>accepted inherited safety event</x:v>
      </x:c>
      <x:c r="E273" t="n">
        <x:v>1</x:v>
      </x:c>
      <x:c r="F273" t="n">
        <x:f>Controls!$D$51</x:f>
        <x:v>0</x:v>
      </x:c>
      <x:c r="G273" t="str">
        <x:v>Controls!$D$51</x:v>
      </x:c>
      <x:c r="H273" t="str">
        <x:v>physical acceptance authority</x:v>
      </x:c>
      <x:c r="I273" t="str">
        <x:f>IF(F273=0,"OPEN",IF(E273=F273,"PASS","FAIL"))</x:f>
        <x:v>OPEN</x:v>
      </x:c>
    </x:row>
    <x:row r="274">
      <x:c r="B274" t="str">
        <x:v>PH-SAFETY-19</x:v>
      </x:c>
      <x:c r="C274" t="str">
        <x:v>physical</x:v>
      </x:c>
      <x:c r="D274" t="str">
        <x:v>accepted inherited safety event</x:v>
      </x:c>
      <x:c r="E274" t="n">
        <x:v>1</x:v>
      </x:c>
      <x:c r="F274" t="n">
        <x:f>Controls!$D$51</x:f>
        <x:v>0</x:v>
      </x:c>
      <x:c r="G274" t="str">
        <x:v>Controls!$D$51</x:v>
      </x:c>
      <x:c r="H274" t="str">
        <x:v>physical acceptance authority</x:v>
      </x:c>
      <x:c r="I274" t="str">
        <x:f>IF(F274=0,"OPEN",IF(E274=F274,"PASS","FAIL"))</x:f>
        <x:v>OPEN</x:v>
      </x:c>
    </x:row>
    <x:row r="275">
      <x:c r="B275" t="str">
        <x:v>PH-SAFETY-20</x:v>
      </x:c>
      <x:c r="C275" t="str">
        <x:v>physical</x:v>
      </x:c>
      <x:c r="D275" t="str">
        <x:v>accepted inherited safety event</x:v>
      </x:c>
      <x:c r="E275" t="n">
        <x:v>1</x:v>
      </x:c>
      <x:c r="F275" t="n">
        <x:f>Controls!$D$51</x:f>
        <x:v>0</x:v>
      </x:c>
      <x:c r="G275" t="str">
        <x:v>Controls!$D$51</x:v>
      </x:c>
      <x:c r="H275" t="str">
        <x:v>physical acceptance authority</x:v>
      </x:c>
      <x:c r="I275" t="str">
        <x:f>IF(F275=0,"OPEN",IF(E275=F275,"PASS","FAIL"))</x:f>
        <x:v>OPEN</x:v>
      </x:c>
    </x:row>
    <x:row r="276">
      <x:c r="B276" t="str">
        <x:v>PH-SAFETY-21</x:v>
      </x:c>
      <x:c r="C276" t="str">
        <x:v>physical</x:v>
      </x:c>
      <x:c r="D276" t="str">
        <x:v>accepted inherited safety event</x:v>
      </x:c>
      <x:c r="E276" t="n">
        <x:v>1</x:v>
      </x:c>
      <x:c r="F276" t="n">
        <x:f>Controls!$D$51</x:f>
        <x:v>0</x:v>
      </x:c>
      <x:c r="G276" t="str">
        <x:v>Controls!$D$51</x:v>
      </x:c>
      <x:c r="H276" t="str">
        <x:v>physical acceptance authority</x:v>
      </x:c>
      <x:c r="I276" t="str">
        <x:f>IF(F276=0,"OPEN",IF(E276=F276,"PASS","FAIL"))</x:f>
        <x:v>OPEN</x:v>
      </x:c>
    </x:row>
    <x:row r="277">
      <x:c r="B277" t="str">
        <x:v>PH-SAFETY-22</x:v>
      </x:c>
      <x:c r="C277" t="str">
        <x:v>physical</x:v>
      </x:c>
      <x:c r="D277" t="str">
        <x:v>accepted inherited safety event</x:v>
      </x:c>
      <x:c r="E277" t="n">
        <x:v>1</x:v>
      </x:c>
      <x:c r="F277" t="n">
        <x:f>Controls!$D$51</x:f>
        <x:v>0</x:v>
      </x:c>
      <x:c r="G277" t="str">
        <x:v>Controls!$D$51</x:v>
      </x:c>
      <x:c r="H277" t="str">
        <x:v>physical acceptance authority</x:v>
      </x:c>
      <x:c r="I277" t="str">
        <x:f>IF(F277=0,"OPEN",IF(E277=F277,"PASS","FAIL"))</x:f>
        <x:v>OPEN</x:v>
      </x:c>
    </x:row>
    <x:row r="278">
      <x:c r="B278" t="str">
        <x:v>PH-SAFETY-23</x:v>
      </x:c>
      <x:c r="C278" t="str">
        <x:v>physical</x:v>
      </x:c>
      <x:c r="D278" t="str">
        <x:v>accepted inherited safety event</x:v>
      </x:c>
      <x:c r="E278" t="n">
        <x:v>1</x:v>
      </x:c>
      <x:c r="F278" t="n">
        <x:f>Controls!$D$51</x:f>
        <x:v>0</x:v>
      </x:c>
      <x:c r="G278" t="str">
        <x:v>Controls!$D$51</x:v>
      </x:c>
      <x:c r="H278" t="str">
        <x:v>physical acceptance authority</x:v>
      </x:c>
      <x:c r="I278" t="str">
        <x:f>IF(F278=0,"OPEN",IF(E278=F278,"PASS","FAIL"))</x:f>
        <x:v>OPEN</x:v>
      </x:c>
    </x:row>
    <x:row r="279">
      <x:c r="B279" t="str">
        <x:v>PH-SAFETY-24</x:v>
      </x:c>
      <x:c r="C279" t="str">
        <x:v>physical</x:v>
      </x:c>
      <x:c r="D279" t="str">
        <x:v>accepted inherited safety event</x:v>
      </x:c>
      <x:c r="E279" t="n">
        <x:v>1</x:v>
      </x:c>
      <x:c r="F279" t="n">
        <x:f>Controls!$D$51</x:f>
        <x:v>0</x:v>
      </x:c>
      <x:c r="G279" t="str">
        <x:v>Controls!$D$51</x:v>
      </x:c>
      <x:c r="H279" t="str">
        <x:v>physical acceptance authority</x:v>
      </x:c>
      <x:c r="I279" t="str">
        <x:f>IF(F279=0,"OPEN",IF(E279=F279,"PASS","FAIL"))</x:f>
        <x:v>OPEN</x:v>
      </x:c>
    </x:row>
    <x:row r="280">
      <x:c r="B280" t="str">
        <x:v>PH-SAFETY-25</x:v>
      </x:c>
      <x:c r="C280" t="str">
        <x:v>physical</x:v>
      </x:c>
      <x:c r="D280" t="str">
        <x:v>accepted inherited safety event</x:v>
      </x:c>
      <x:c r="E280" t="n">
        <x:v>1</x:v>
      </x:c>
      <x:c r="F280" t="n">
        <x:f>Controls!$D$51</x:f>
        <x:v>0</x:v>
      </x:c>
      <x:c r="G280" t="str">
        <x:v>Controls!$D$51</x:v>
      </x:c>
      <x:c r="H280" t="str">
        <x:v>physical acceptance authority</x:v>
      </x:c>
      <x:c r="I280" t="str">
        <x:f>IF(F280=0,"OPEN",IF(E280=F280,"PASS","FAIL"))</x:f>
        <x:v>OPEN</x:v>
      </x:c>
    </x:row>
    <x:row r="281">
      <x:c r="B281" t="str">
        <x:v>PH-SAFETY-26</x:v>
      </x:c>
      <x:c r="C281" t="str">
        <x:v>physical</x:v>
      </x:c>
      <x:c r="D281" t="str">
        <x:v>accepted inherited safety event</x:v>
      </x:c>
      <x:c r="E281" t="n">
        <x:v>1</x:v>
      </x:c>
      <x:c r="F281" t="n">
        <x:f>Controls!$D$51</x:f>
        <x:v>0</x:v>
      </x:c>
      <x:c r="G281" t="str">
        <x:v>Controls!$D$51</x:v>
      </x:c>
      <x:c r="H281" t="str">
        <x:v>physical acceptance authority</x:v>
      </x:c>
      <x:c r="I281" t="str">
        <x:f>IF(F281=0,"OPEN",IF(E281=F281,"PASS","FAIL"))</x:f>
        <x:v>OPEN</x:v>
      </x:c>
    </x:row>
    <x:row r="282">
      <x:c r="B282" t="str">
        <x:v>PH-SAFETY-27</x:v>
      </x:c>
      <x:c r="C282" t="str">
        <x:v>physical</x:v>
      </x:c>
      <x:c r="D282" t="str">
        <x:v>accepted inherited safety event</x:v>
      </x:c>
      <x:c r="E282" t="n">
        <x:v>1</x:v>
      </x:c>
      <x:c r="F282" t="n">
        <x:f>Controls!$D$51</x:f>
        <x:v>0</x:v>
      </x:c>
      <x:c r="G282" t="str">
        <x:v>Controls!$D$51</x:v>
      </x:c>
      <x:c r="H282" t="str">
        <x:v>physical acceptance authority</x:v>
      </x:c>
      <x:c r="I282" t="str">
        <x:f>IF(F282=0,"OPEN",IF(E282=F282,"PASS","FAIL"))</x:f>
        <x:v>OPEN</x:v>
      </x:c>
    </x:row>
    <x:row r="283">
      <x:c r="B283" t="str">
        <x:v>PH-SAFETY-28</x:v>
      </x:c>
      <x:c r="C283" t="str">
        <x:v>physical</x:v>
      </x:c>
      <x:c r="D283" t="str">
        <x:v>accepted inherited safety event</x:v>
      </x:c>
      <x:c r="E283" t="n">
        <x:v>1</x:v>
      </x:c>
      <x:c r="F283" t="n">
        <x:f>Controls!$D$51</x:f>
        <x:v>0</x:v>
      </x:c>
      <x:c r="G283" t="str">
        <x:v>Controls!$D$51</x:v>
      </x:c>
      <x:c r="H283" t="str">
        <x:v>physical acceptance authority</x:v>
      </x:c>
      <x:c r="I283" t="str">
        <x:f>IF(F283=0,"OPEN",IF(E283=F283,"PASS","FAIL"))</x:f>
        <x:v>OPEN</x:v>
      </x:c>
    </x:row>
    <x:row r="284">
      <x:c r="B284" t="str">
        <x:v>PH-SAFETY-29</x:v>
      </x:c>
      <x:c r="C284" t="str">
        <x:v>physical</x:v>
      </x:c>
      <x:c r="D284" t="str">
        <x:v>accepted inherited safety event</x:v>
      </x:c>
      <x:c r="E284" t="n">
        <x:v>1</x:v>
      </x:c>
      <x:c r="F284" t="n">
        <x:f>Controls!$D$51</x:f>
        <x:v>0</x:v>
      </x:c>
      <x:c r="G284" t="str">
        <x:v>Controls!$D$51</x:v>
      </x:c>
      <x:c r="H284" t="str">
        <x:v>physical acceptance authority</x:v>
      </x:c>
      <x:c r="I284" t="str">
        <x:f>IF(F284=0,"OPEN",IF(E284=F284,"PASS","FAIL"))</x:f>
        <x:v>OPEN</x:v>
      </x:c>
    </x:row>
    <x:row r="285">
      <x:c r="B285" t="str">
        <x:v>PH-SAFETY-30</x:v>
      </x:c>
      <x:c r="C285" t="str">
        <x:v>physical</x:v>
      </x:c>
      <x:c r="D285" t="str">
        <x:v>accepted inherited safety event</x:v>
      </x:c>
      <x:c r="E285" t="n">
        <x:v>1</x:v>
      </x:c>
      <x:c r="F285" t="n">
        <x:f>Controls!$D$51</x:f>
        <x:v>0</x:v>
      </x:c>
      <x:c r="G285" t="str">
        <x:v>Controls!$D$51</x:v>
      </x:c>
      <x:c r="H285" t="str">
        <x:v>physical acceptance authority</x:v>
      </x:c>
      <x:c r="I285" t="str">
        <x:f>IF(F285=0,"OPEN",IF(E285=F285,"PASS","FAIL"))</x:f>
        <x:v>OPEN</x:v>
      </x:c>
    </x:row>
    <x:row r="286">
      <x:c r="B286" t="str">
        <x:v>PH-SAFETY-31</x:v>
      </x:c>
      <x:c r="C286" t="str">
        <x:v>physical</x:v>
      </x:c>
      <x:c r="D286" t="str">
        <x:v>accepted inherited safety event</x:v>
      </x:c>
      <x:c r="E286" t="n">
        <x:v>1</x:v>
      </x:c>
      <x:c r="F286" t="n">
        <x:f>Controls!$D$51</x:f>
        <x:v>0</x:v>
      </x:c>
      <x:c r="G286" t="str">
        <x:v>Controls!$D$51</x:v>
      </x:c>
      <x:c r="H286" t="str">
        <x:v>physical acceptance authority</x:v>
      </x:c>
      <x:c r="I286" t="str">
        <x:f>IF(F286=0,"OPEN",IF(E286=F286,"PASS","FAIL"))</x:f>
        <x:v>OPEN</x:v>
      </x:c>
    </x:row>
    <x:row r="287">
      <x:c r="B287" t="str">
        <x:v>PH-SAFETY-32</x:v>
      </x:c>
      <x:c r="C287" t="str">
        <x:v>physical</x:v>
      </x:c>
      <x:c r="D287" t="str">
        <x:v>accepted inherited safety event</x:v>
      </x:c>
      <x:c r="E287" t="n">
        <x:v>1</x:v>
      </x:c>
      <x:c r="F287" t="n">
        <x:f>Controls!$D$51</x:f>
        <x:v>0</x:v>
      </x:c>
      <x:c r="G287" t="str">
        <x:v>Controls!$D$51</x:v>
      </x:c>
      <x:c r="H287" t="str">
        <x:v>physical acceptance authority</x:v>
      </x:c>
      <x:c r="I287" t="str">
        <x:f>IF(F287=0,"OPEN",IF(E287=F287,"PASS","FAIL"))</x:f>
        <x:v>OPEN</x:v>
      </x:c>
    </x:row>
    <x:row r="288">
      <x:c r="B288" t="str">
        <x:v>PH-SAFETY-33</x:v>
      </x:c>
      <x:c r="C288" t="str">
        <x:v>physical</x:v>
      </x:c>
      <x:c r="D288" t="str">
        <x:v>accepted inherited safety event</x:v>
      </x:c>
      <x:c r="E288" t="n">
        <x:v>1</x:v>
      </x:c>
      <x:c r="F288" t="n">
        <x:f>Controls!$D$51</x:f>
        <x:v>0</x:v>
      </x:c>
      <x:c r="G288" t="str">
        <x:v>Controls!$D$51</x:v>
      </x:c>
      <x:c r="H288" t="str">
        <x:v>physical acceptance authority</x:v>
      </x:c>
      <x:c r="I288" t="str">
        <x:f>IF(F288=0,"OPEN",IF(E288=F288,"PASS","FAIL"))</x:f>
        <x:v>OPEN</x:v>
      </x:c>
    </x:row>
    <x:row r="289">
      <x:c r="B289" t="str">
        <x:v>PH-SAFETY-34</x:v>
      </x:c>
      <x:c r="C289" t="str">
        <x:v>physical</x:v>
      </x:c>
      <x:c r="D289" t="str">
        <x:v>accepted inherited safety event</x:v>
      </x:c>
      <x:c r="E289" t="n">
        <x:v>1</x:v>
      </x:c>
      <x:c r="F289" t="n">
        <x:f>Controls!$D$51</x:f>
        <x:v>0</x:v>
      </x:c>
      <x:c r="G289" t="str">
        <x:v>Controls!$D$51</x:v>
      </x:c>
      <x:c r="H289" t="str">
        <x:v>physical acceptance authority</x:v>
      </x:c>
      <x:c r="I289" t="str">
        <x:f>IF(F289=0,"OPEN",IF(E289=F289,"PASS","FAIL"))</x:f>
        <x:v>OPEN</x:v>
      </x:c>
    </x:row>
    <x:row r="290">
      <x:c r="B290" t="str">
        <x:v>PH-SAFETY-35</x:v>
      </x:c>
      <x:c r="C290" t="str">
        <x:v>physical</x:v>
      </x:c>
      <x:c r="D290" t="str">
        <x:v>accepted inherited safety event</x:v>
      </x:c>
      <x:c r="E290" t="n">
        <x:v>1</x:v>
      </x:c>
      <x:c r="F290" t="n">
        <x:f>Controls!$D$51</x:f>
        <x:v>0</x:v>
      </x:c>
      <x:c r="G290" t="str">
        <x:v>Controls!$D$51</x:v>
      </x:c>
      <x:c r="H290" t="str">
        <x:v>physical acceptance authority</x:v>
      </x:c>
      <x:c r="I290" t="str">
        <x:f>IF(F290=0,"OPEN",IF(E290=F290,"PASS","FAIL"))</x:f>
        <x:v>OPEN</x:v>
      </x:c>
    </x:row>
    <x:row r="291">
      <x:c r="B291" t="str">
        <x:v>PH-SAFETY-36</x:v>
      </x:c>
      <x:c r="C291" t="str">
        <x:v>physical</x:v>
      </x:c>
      <x:c r="D291" t="str">
        <x:v>accepted inherited safety event</x:v>
      </x:c>
      <x:c r="E291" t="n">
        <x:v>1</x:v>
      </x:c>
      <x:c r="F291" t="n">
        <x:f>Controls!$D$51</x:f>
        <x:v>0</x:v>
      </x:c>
      <x:c r="G291" t="str">
        <x:v>Controls!$D$51</x:v>
      </x:c>
      <x:c r="H291" t="str">
        <x:v>physical acceptance authority</x:v>
      </x:c>
      <x:c r="I291" t="str">
        <x:f>IF(F291=0,"OPEN",IF(E291=F291,"PASS","FAIL"))</x:f>
        <x:v>OPEN</x:v>
      </x:c>
    </x:row>
    <x:row r="292">
      <x:c r="B292" t="str">
        <x:v>PH-SAFETY-37</x:v>
      </x:c>
      <x:c r="C292" t="str">
        <x:v>physical</x:v>
      </x:c>
      <x:c r="D292" t="str">
        <x:v>accepted inherited safety event</x:v>
      </x:c>
      <x:c r="E292" t="n">
        <x:v>1</x:v>
      </x:c>
      <x:c r="F292" t="n">
        <x:f>Controls!$D$51</x:f>
        <x:v>0</x:v>
      </x:c>
      <x:c r="G292" t="str">
        <x:v>Controls!$D$51</x:v>
      </x:c>
      <x:c r="H292" t="str">
        <x:v>physical acceptance authority</x:v>
      </x:c>
      <x:c r="I292" t="str">
        <x:f>IF(F292=0,"OPEN",IF(E292=F292,"PASS","FAIL"))</x:f>
        <x:v>OPEN</x:v>
      </x:c>
    </x:row>
    <x:row r="293">
      <x:c r="B293" t="str">
        <x:v>PH-SAFETY-38</x:v>
      </x:c>
      <x:c r="C293" t="str">
        <x:v>physical</x:v>
      </x:c>
      <x:c r="D293" t="str">
        <x:v>accepted inherited safety event</x:v>
      </x:c>
      <x:c r="E293" t="n">
        <x:v>1</x:v>
      </x:c>
      <x:c r="F293" t="n">
        <x:f>Controls!$D$51</x:f>
        <x:v>0</x:v>
      </x:c>
      <x:c r="G293" t="str">
        <x:v>Controls!$D$51</x:v>
      </x:c>
      <x:c r="H293" t="str">
        <x:v>physical acceptance authority</x:v>
      </x:c>
      <x:c r="I293" t="str">
        <x:f>IF(F293=0,"OPEN",IF(E293=F293,"PASS","FAIL"))</x:f>
        <x:v>OPEN</x:v>
      </x:c>
    </x:row>
    <x:row r="294">
      <x:c r="B294" t="str">
        <x:v>PH-SAFETY-39</x:v>
      </x:c>
      <x:c r="C294" t="str">
        <x:v>physical</x:v>
      </x:c>
      <x:c r="D294" t="str">
        <x:v>accepted inherited safety event</x:v>
      </x:c>
      <x:c r="E294" t="n">
        <x:v>1</x:v>
      </x:c>
      <x:c r="F294" t="n">
        <x:f>Controls!$D$51</x:f>
        <x:v>0</x:v>
      </x:c>
      <x:c r="G294" t="str">
        <x:v>Controls!$D$51</x:v>
      </x:c>
      <x:c r="H294" t="str">
        <x:v>physical acceptance authority</x:v>
      </x:c>
      <x:c r="I294" t="str">
        <x:f>IF(F294=0,"OPEN",IF(E294=F294,"PASS","FAIL"))</x:f>
        <x:v>OPEN</x:v>
      </x:c>
    </x:row>
    <x:row r="295">
      <x:c r="B295" t="str">
        <x:v>PH-SAFETY-40</x:v>
      </x:c>
      <x:c r="C295" t="str">
        <x:v>physical</x:v>
      </x:c>
      <x:c r="D295" t="str">
        <x:v>accepted inherited safety event</x:v>
      </x:c>
      <x:c r="E295" t="n">
        <x:v>1</x:v>
      </x:c>
      <x:c r="F295" t="n">
        <x:f>Controls!$D$51</x:f>
        <x:v>0</x:v>
      </x:c>
      <x:c r="G295" t="str">
        <x:v>Controls!$D$51</x:v>
      </x:c>
      <x:c r="H295" t="str">
        <x:v>physical acceptance authority</x:v>
      </x:c>
      <x:c r="I295" t="str">
        <x:f>IF(F295=0,"OPEN",IF(E295=F295,"PASS","FAIL"))</x:f>
        <x:v>OPEN</x:v>
      </x:c>
    </x:row>
    <x:row r="296">
      <x:c r="B296" t="str">
        <x:v>PH-SAFETY-41</x:v>
      </x:c>
      <x:c r="C296" t="str">
        <x:v>physical</x:v>
      </x:c>
      <x:c r="D296" t="str">
        <x:v>accepted inherited safety event</x:v>
      </x:c>
      <x:c r="E296" t="n">
        <x:v>1</x:v>
      </x:c>
      <x:c r="F296" t="n">
        <x:f>Controls!$D$51</x:f>
        <x:v>0</x:v>
      </x:c>
      <x:c r="G296" t="str">
        <x:v>Controls!$D$51</x:v>
      </x:c>
      <x:c r="H296" t="str">
        <x:v>physical acceptance authority</x:v>
      </x:c>
      <x:c r="I296" t="str">
        <x:f>IF(F296=0,"OPEN",IF(E296=F296,"PASS","FAIL"))</x:f>
        <x:v>OPEN</x:v>
      </x:c>
    </x:row>
    <x:row r="297">
      <x:c r="B297" t="str">
        <x:v>PH-SAFETY-42</x:v>
      </x:c>
      <x:c r="C297" t="str">
        <x:v>physical</x:v>
      </x:c>
      <x:c r="D297" t="str">
        <x:v>accepted inherited safety event</x:v>
      </x:c>
      <x:c r="E297" t="n">
        <x:v>1</x:v>
      </x:c>
      <x:c r="F297" t="n">
        <x:f>Controls!$D$51</x:f>
        <x:v>0</x:v>
      </x:c>
      <x:c r="G297" t="str">
        <x:v>Controls!$D$51</x:v>
      </x:c>
      <x:c r="H297" t="str">
        <x:v>physical acceptance authority</x:v>
      </x:c>
      <x:c r="I297" t="str">
        <x:f>IF(F297=0,"OPEN",IF(E297=F297,"PASS","FAIL"))</x:f>
        <x:v>OPEN</x:v>
      </x:c>
    </x:row>
    <x:row r="298">
      <x:c r="B298" t="str">
        <x:v>PH-SAFETY-43</x:v>
      </x:c>
      <x:c r="C298" t="str">
        <x:v>physical</x:v>
      </x:c>
      <x:c r="D298" t="str">
        <x:v>accepted inherited safety event</x:v>
      </x:c>
      <x:c r="E298" t="n">
        <x:v>1</x:v>
      </x:c>
      <x:c r="F298" t="n">
        <x:f>Controls!$D$51</x:f>
        <x:v>0</x:v>
      </x:c>
      <x:c r="G298" t="str">
        <x:v>Controls!$D$51</x:v>
      </x:c>
      <x:c r="H298" t="str">
        <x:v>physical acceptance authority</x:v>
      </x:c>
      <x:c r="I298" t="str">
        <x:f>IF(F298=0,"OPEN",IF(E298=F298,"PASS","FAIL"))</x:f>
        <x:v>OPEN</x:v>
      </x:c>
    </x:row>
    <x:row r="299">
      <x:c r="B299" t="str">
        <x:v>PH-SAFETY-44</x:v>
      </x:c>
      <x:c r="C299" t="str">
        <x:v>physical</x:v>
      </x:c>
      <x:c r="D299" t="str">
        <x:v>accepted inherited safety event</x:v>
      </x:c>
      <x:c r="E299" t="n">
        <x:v>1</x:v>
      </x:c>
      <x:c r="F299" t="n">
        <x:f>Controls!$D$51</x:f>
        <x:v>0</x:v>
      </x:c>
      <x:c r="G299" t="str">
        <x:v>Controls!$D$51</x:v>
      </x:c>
      <x:c r="H299" t="str">
        <x:v>physical acceptance authority</x:v>
      </x:c>
      <x:c r="I299" t="str">
        <x:f>IF(F299=0,"OPEN",IF(E299=F299,"PASS","FAIL"))</x:f>
        <x:v>OPEN</x:v>
      </x:c>
    </x:row>
    <x:row r="300">
      <x:c r="B300" t="str">
        <x:v>PH-SAFETY-45</x:v>
      </x:c>
      <x:c r="C300" t="str">
        <x:v>physical</x:v>
      </x:c>
      <x:c r="D300" t="str">
        <x:v>accepted inherited safety event</x:v>
      </x:c>
      <x:c r="E300" t="n">
        <x:v>1</x:v>
      </x:c>
      <x:c r="F300" t="n">
        <x:f>Controls!$D$51</x:f>
        <x:v>0</x:v>
      </x:c>
      <x:c r="G300" t="str">
        <x:v>Controls!$D$51</x:v>
      </x:c>
      <x:c r="H300" t="str">
        <x:v>physical acceptance authority</x:v>
      </x:c>
      <x:c r="I300" t="str">
        <x:f>IF(F300=0,"OPEN",IF(E300=F300,"PASS","FAIL"))</x:f>
        <x:v>OPEN</x:v>
      </x:c>
    </x:row>
    <x:row r="301">
      <x:c r="B301" t="str">
        <x:v>PH-SAFETY-46</x:v>
      </x:c>
      <x:c r="C301" t="str">
        <x:v>physical</x:v>
      </x:c>
      <x:c r="D301" t="str">
        <x:v>accepted inherited safety event</x:v>
      </x:c>
      <x:c r="E301" t="n">
        <x:v>1</x:v>
      </x:c>
      <x:c r="F301" t="n">
        <x:f>Controls!$D$51</x:f>
        <x:v>0</x:v>
      </x:c>
      <x:c r="G301" t="str">
        <x:v>Controls!$D$51</x:v>
      </x:c>
      <x:c r="H301" t="str">
        <x:v>physical acceptance authority</x:v>
      </x:c>
      <x:c r="I301" t="str">
        <x:f>IF(F301=0,"OPEN",IF(E301=F301,"PASS","FAIL"))</x:f>
        <x:v>OPEN</x:v>
      </x:c>
    </x:row>
    <x:row r="302">
      <x:c r="B302" t="str">
        <x:v>PH-SAFETY-47</x:v>
      </x:c>
      <x:c r="C302" t="str">
        <x:v>physical</x:v>
      </x:c>
      <x:c r="D302" t="str">
        <x:v>accepted inherited safety event</x:v>
      </x:c>
      <x:c r="E302" t="n">
        <x:v>1</x:v>
      </x:c>
      <x:c r="F302" t="n">
        <x:f>Controls!$D$51</x:f>
        <x:v>0</x:v>
      </x:c>
      <x:c r="G302" t="str">
        <x:v>Controls!$D$51</x:v>
      </x:c>
      <x:c r="H302" t="str">
        <x:v>physical acceptance authority</x:v>
      </x:c>
      <x:c r="I302" t="str">
        <x:f>IF(F302=0,"OPEN",IF(E302=F302,"PASS","FAIL"))</x:f>
        <x:v>OPEN</x:v>
      </x:c>
    </x:row>
    <x:row r="303">
      <x:c r="B303" t="str">
        <x:v>PH-SAFETY-48</x:v>
      </x:c>
      <x:c r="C303" t="str">
        <x:v>physical</x:v>
      </x:c>
      <x:c r="D303" t="str">
        <x:v>accepted inherited safety event</x:v>
      </x:c>
      <x:c r="E303" t="n">
        <x:v>1</x:v>
      </x:c>
      <x:c r="F303" t="n">
        <x:f>Controls!$D$51</x:f>
        <x:v>0</x:v>
      </x:c>
      <x:c r="G303" t="str">
        <x:v>Controls!$D$51</x:v>
      </x:c>
      <x:c r="H303" t="str">
        <x:v>physical acceptance authority</x:v>
      </x:c>
      <x:c r="I303" t="str">
        <x:f>IF(F303=0,"OPEN",IF(E303=F303,"PASS","FAIL"))</x:f>
        <x:v>OPEN</x:v>
      </x:c>
    </x:row>
    <x:row r="304">
      <x:c r="B304" t="str">
        <x:v>PH-SAFETY-49</x:v>
      </x:c>
      <x:c r="C304" t="str">
        <x:v>physical</x:v>
      </x:c>
      <x:c r="D304" t="str">
        <x:v>accepted inherited safety event</x:v>
      </x:c>
      <x:c r="E304" t="n">
        <x:v>1</x:v>
      </x:c>
      <x:c r="F304" t="n">
        <x:f>Controls!$D$51</x:f>
        <x:v>0</x:v>
      </x:c>
      <x:c r="G304" t="str">
        <x:v>Controls!$D$51</x:v>
      </x:c>
      <x:c r="H304" t="str">
        <x:v>physical acceptance authority</x:v>
      </x:c>
      <x:c r="I304" t="str">
        <x:f>IF(F304=0,"OPEN",IF(E304=F304,"PASS","FAIL"))</x:f>
        <x:v>OPEN</x:v>
      </x:c>
    </x:row>
    <x:row r="305">
      <x:c r="B305" t="str">
        <x:v>PH-SAFETY-50</x:v>
      </x:c>
      <x:c r="C305" t="str">
        <x:v>physical</x:v>
      </x:c>
      <x:c r="D305" t="str">
        <x:v>accepted inherited safety event</x:v>
      </x:c>
      <x:c r="E305" t="n">
        <x:v>1</x:v>
      </x:c>
      <x:c r="F305" t="n">
        <x:f>Controls!$D$51</x:f>
        <x:v>0</x:v>
      </x:c>
      <x:c r="G305" t="str">
        <x:v>Controls!$D$51</x:v>
      </x:c>
      <x:c r="H305" t="str">
        <x:v>physical acceptance authority</x:v>
      </x:c>
      <x:c r="I305" t="str">
        <x:f>IF(F305=0,"OPEN",IF(E305=F305,"PASS","FAIL"))</x:f>
        <x:v>OPEN</x:v>
      </x:c>
    </x:row>
    <x:row r="306">
      <x:c r="B306" t="str">
        <x:v>PH-SAFETY-51</x:v>
      </x:c>
      <x:c r="C306" t="str">
        <x:v>physical</x:v>
      </x:c>
      <x:c r="D306" t="str">
        <x:v>accepted inherited safety event</x:v>
      </x:c>
      <x:c r="E306" t="n">
        <x:v>1</x:v>
      </x:c>
      <x:c r="F306" t="n">
        <x:f>Controls!$D$51</x:f>
        <x:v>0</x:v>
      </x:c>
      <x:c r="G306" t="str">
        <x:v>Controls!$D$51</x:v>
      </x:c>
      <x:c r="H306" t="str">
        <x:v>physical acceptance authority</x:v>
      </x:c>
      <x:c r="I306" t="str">
        <x:f>IF(F306=0,"OPEN",IF(E306=F306,"PASS","FAIL"))</x:f>
        <x:v>OPEN</x:v>
      </x:c>
    </x:row>
    <x:row r="307">
      <x:c r="B307" t="str">
        <x:v>PH-SAFETY-52</x:v>
      </x:c>
      <x:c r="C307" t="str">
        <x:v>physical</x:v>
      </x:c>
      <x:c r="D307" t="str">
        <x:v>accepted inherited safety event</x:v>
      </x:c>
      <x:c r="E307" t="n">
        <x:v>1</x:v>
      </x:c>
      <x:c r="F307" t="n">
        <x:f>Controls!$D$51</x:f>
        <x:v>0</x:v>
      </x:c>
      <x:c r="G307" t="str">
        <x:v>Controls!$D$51</x:v>
      </x:c>
      <x:c r="H307" t="str">
        <x:v>physical acceptance authority</x:v>
      </x:c>
      <x:c r="I307" t="str">
        <x:f>IF(F307=0,"OPEN",IF(E307=F307,"PASS","FAIL"))</x:f>
        <x:v>OPEN</x:v>
      </x:c>
    </x:row>
    <x:row r="308">
      <x:c r="B308" t="str">
        <x:v>PH-SAFETY-53</x:v>
      </x:c>
      <x:c r="C308" t="str">
        <x:v>physical</x:v>
      </x:c>
      <x:c r="D308" t="str">
        <x:v>accepted inherited safety event</x:v>
      </x:c>
      <x:c r="E308" t="n">
        <x:v>1</x:v>
      </x:c>
      <x:c r="F308" t="n">
        <x:f>Controls!$D$51</x:f>
        <x:v>0</x:v>
      </x:c>
      <x:c r="G308" t="str">
        <x:v>Controls!$D$51</x:v>
      </x:c>
      <x:c r="H308" t="str">
        <x:v>physical acceptance authority</x:v>
      </x:c>
      <x:c r="I308" t="str">
        <x:f>IF(F308=0,"OPEN",IF(E308=F308,"PASS","FAIL"))</x:f>
        <x:v>OPEN</x:v>
      </x:c>
    </x:row>
    <x:row r="309">
      <x:c r="B309" t="str">
        <x:v>PH-SAFETY-54</x:v>
      </x:c>
      <x:c r="C309" t="str">
        <x:v>physical</x:v>
      </x:c>
      <x:c r="D309" t="str">
        <x:v>accepted inherited safety event</x:v>
      </x:c>
      <x:c r="E309" t="n">
        <x:v>1</x:v>
      </x:c>
      <x:c r="F309" t="n">
        <x:f>Controls!$D$51</x:f>
        <x:v>0</x:v>
      </x:c>
      <x:c r="G309" t="str">
        <x:v>Controls!$D$51</x:v>
      </x:c>
      <x:c r="H309" t="str">
        <x:v>physical acceptance authority</x:v>
      </x:c>
      <x:c r="I309" t="str">
        <x:f>IF(F309=0,"OPEN",IF(E309=F309,"PASS","FAIL"))</x:f>
        <x:v>OPEN</x:v>
      </x:c>
    </x:row>
    <x:row r="310">
      <x:c r="B310" t="str">
        <x:v>PH-SAFETY-55</x:v>
      </x:c>
      <x:c r="C310" t="str">
        <x:v>physical</x:v>
      </x:c>
      <x:c r="D310" t="str">
        <x:v>accepted inherited safety event</x:v>
      </x:c>
      <x:c r="E310" t="n">
        <x:v>1</x:v>
      </x:c>
      <x:c r="F310" t="n">
        <x:f>Controls!$D$51</x:f>
        <x:v>0</x:v>
      </x:c>
      <x:c r="G310" t="str">
        <x:v>Controls!$D$51</x:v>
      </x:c>
      <x:c r="H310" t="str">
        <x:v>physical acceptance authority</x:v>
      </x:c>
      <x:c r="I310" t="str">
        <x:f>IF(F310=0,"OPEN",IF(E310=F310,"PASS","FAIL"))</x:f>
        <x:v>OPEN</x:v>
      </x:c>
    </x:row>
    <x:row r="311">
      <x:c r="B311" t="str">
        <x:v>PH-SAFETY-56</x:v>
      </x:c>
      <x:c r="C311" t="str">
        <x:v>physical</x:v>
      </x:c>
      <x:c r="D311" t="str">
        <x:v>accepted inherited safety event</x:v>
      </x:c>
      <x:c r="E311" t="n">
        <x:v>1</x:v>
      </x:c>
      <x:c r="F311" t="n">
        <x:f>Controls!$D$51</x:f>
        <x:v>0</x:v>
      </x:c>
      <x:c r="G311" t="str">
        <x:v>Controls!$D$51</x:v>
      </x:c>
      <x:c r="H311" t="str">
        <x:v>physical acceptance authority</x:v>
      </x:c>
      <x:c r="I311" t="str">
        <x:f>IF(F311=0,"OPEN",IF(E311=F311,"PASS","FAIL"))</x:f>
        <x:v>OPEN</x:v>
      </x:c>
    </x:row>
    <x:row r="312">
      <x:c r="B312" t="str">
        <x:v>PH-SAFETY-57</x:v>
      </x:c>
      <x:c r="C312" t="str">
        <x:v>physical</x:v>
      </x:c>
      <x:c r="D312" t="str">
        <x:v>accepted inherited safety event</x:v>
      </x:c>
      <x:c r="E312" t="n">
        <x:v>1</x:v>
      </x:c>
      <x:c r="F312" t="n">
        <x:f>Controls!$D$51</x:f>
        <x:v>0</x:v>
      </x:c>
      <x:c r="G312" t="str">
        <x:v>Controls!$D$51</x:v>
      </x:c>
      <x:c r="H312" t="str">
        <x:v>physical acceptance authority</x:v>
      </x:c>
      <x:c r="I312" t="str">
        <x:f>IF(F312=0,"OPEN",IF(E312=F312,"PASS","FAIL"))</x:f>
        <x:v>OPEN</x:v>
      </x:c>
    </x:row>
    <x:row r="313">
      <x:c r="B313" t="str">
        <x:v>PH-SAFETY-58</x:v>
      </x:c>
      <x:c r="C313" t="str">
        <x:v>physical</x:v>
      </x:c>
      <x:c r="D313" t="str">
        <x:v>accepted inherited safety event</x:v>
      </x:c>
      <x:c r="E313" t="n">
        <x:v>1</x:v>
      </x:c>
      <x:c r="F313" t="n">
        <x:f>Controls!$D$51</x:f>
        <x:v>0</x:v>
      </x:c>
      <x:c r="G313" t="str">
        <x:v>Controls!$D$51</x:v>
      </x:c>
      <x:c r="H313" t="str">
        <x:v>physical acceptance authority</x:v>
      </x:c>
      <x:c r="I313" t="str">
        <x:f>IF(F313=0,"OPEN",IF(E313=F313,"PASS","FAIL"))</x:f>
        <x:v>OPEN</x:v>
      </x:c>
    </x:row>
    <x:row r="314">
      <x:c r="B314" t="str">
        <x:v>PH-SAFETY-59</x:v>
      </x:c>
      <x:c r="C314" t="str">
        <x:v>physical</x:v>
      </x:c>
      <x:c r="D314" t="str">
        <x:v>accepted inherited safety event</x:v>
      </x:c>
      <x:c r="E314" t="n">
        <x:v>1</x:v>
      </x:c>
      <x:c r="F314" t="n">
        <x:f>Controls!$D$51</x:f>
        <x:v>0</x:v>
      </x:c>
      <x:c r="G314" t="str">
        <x:v>Controls!$D$51</x:v>
      </x:c>
      <x:c r="H314" t="str">
        <x:v>physical acceptance authority</x:v>
      </x:c>
      <x:c r="I314" t="str">
        <x:f>IF(F314=0,"OPEN",IF(E314=F314,"PASS","FAIL"))</x:f>
        <x:v>OPEN</x:v>
      </x:c>
    </x:row>
    <x:row r="315">
      <x:c r="B315" t="str">
        <x:v>PH-SAFETY-60</x:v>
      </x:c>
      <x:c r="C315" t="str">
        <x:v>physical</x:v>
      </x:c>
      <x:c r="D315" t="str">
        <x:v>accepted inherited safety event</x:v>
      </x:c>
      <x:c r="E315" t="n">
        <x:v>1</x:v>
      </x:c>
      <x:c r="F315" t="n">
        <x:f>Controls!$D$51</x:f>
        <x:v>0</x:v>
      </x:c>
      <x:c r="G315" t="str">
        <x:v>Controls!$D$51</x:v>
      </x:c>
      <x:c r="H315" t="str">
        <x:v>physical acceptance authority</x:v>
      </x:c>
      <x:c r="I315" t="str">
        <x:f>IF(F315=0,"OPEN",IF(E315=F315,"PASS","FAIL"))</x:f>
        <x:v>OPEN</x:v>
      </x:c>
    </x:row>
    <x:row r="316">
      <x:c r="B316" t="str">
        <x:v>PH-SAFETY-61</x:v>
      </x:c>
      <x:c r="C316" t="str">
        <x:v>physical</x:v>
      </x:c>
      <x:c r="D316" t="str">
        <x:v>accepted inherited safety event</x:v>
      </x:c>
      <x:c r="E316" t="n">
        <x:v>1</x:v>
      </x:c>
      <x:c r="F316" t="n">
        <x:f>Controls!$D$51</x:f>
        <x:v>0</x:v>
      </x:c>
      <x:c r="G316" t="str">
        <x:v>Controls!$D$51</x:v>
      </x:c>
      <x:c r="H316" t="str">
        <x:v>physical acceptance authority</x:v>
      </x:c>
      <x:c r="I316" t="str">
        <x:f>IF(F316=0,"OPEN",IF(E316=F316,"PASS","FAIL"))</x:f>
        <x:v>OPEN</x:v>
      </x:c>
    </x:row>
    <x:row r="317">
      <x:c r="B317" t="str">
        <x:v>PH-SAFETY-62</x:v>
      </x:c>
      <x:c r="C317" t="str">
        <x:v>physical</x:v>
      </x:c>
      <x:c r="D317" t="str">
        <x:v>accepted inherited safety event</x:v>
      </x:c>
      <x:c r="E317" t="n">
        <x:v>1</x:v>
      </x:c>
      <x:c r="F317" t="n">
        <x:f>Controls!$D$51</x:f>
        <x:v>0</x:v>
      </x:c>
      <x:c r="G317" t="str">
        <x:v>Controls!$D$51</x:v>
      </x:c>
      <x:c r="H317" t="str">
        <x:v>physical acceptance authority</x:v>
      </x:c>
      <x:c r="I317" t="str">
        <x:f>IF(F317=0,"OPEN",IF(E317=F317,"PASS","FAIL"))</x:f>
        <x:v>OPEN</x:v>
      </x:c>
    </x:row>
    <x:row r="318">
      <x:c r="B318" t="str">
        <x:v>PH-SAFETY-63</x:v>
      </x:c>
      <x:c r="C318" t="str">
        <x:v>physical</x:v>
      </x:c>
      <x:c r="D318" t="str">
        <x:v>accepted inherited safety event</x:v>
      </x:c>
      <x:c r="E318" t="n">
        <x:v>1</x:v>
      </x:c>
      <x:c r="F318" t="n">
        <x:f>Controls!$D$51</x:f>
        <x:v>0</x:v>
      </x:c>
      <x:c r="G318" t="str">
        <x:v>Controls!$D$51</x:v>
      </x:c>
      <x:c r="H318" t="str">
        <x:v>physical acceptance authority</x:v>
      </x:c>
      <x:c r="I318" t="str">
        <x:f>IF(F318=0,"OPEN",IF(E318=F318,"PASS","FAIL"))</x:f>
        <x:v>OPEN</x:v>
      </x:c>
    </x:row>
    <x:row r="319">
      <x:c r="B319" t="str">
        <x:v>PH-SAFETY-64</x:v>
      </x:c>
      <x:c r="C319" t="str">
        <x:v>physical</x:v>
      </x:c>
      <x:c r="D319" t="str">
        <x:v>accepted inherited safety event</x:v>
      </x:c>
      <x:c r="E319" t="n">
        <x:v>1</x:v>
      </x:c>
      <x:c r="F319" t="n">
        <x:f>Controls!$D$51</x:f>
        <x:v>0</x:v>
      </x:c>
      <x:c r="G319" t="str">
        <x:v>Controls!$D$51</x:v>
      </x:c>
      <x:c r="H319" t="str">
        <x:v>physical acceptance authority</x:v>
      </x:c>
      <x:c r="I319" t="str">
        <x:f>IF(F319=0,"OPEN",IF(E319=F319,"PASS","FAIL"))</x:f>
        <x:v>OPEN</x:v>
      </x:c>
    </x:row>
    <x:row r="320">
      <x:c r="B320" t="str">
        <x:v>PH-SAFETY-65</x:v>
      </x:c>
      <x:c r="C320" t="str">
        <x:v>physical</x:v>
      </x:c>
      <x:c r="D320" t="str">
        <x:v>accepted inherited safety event</x:v>
      </x:c>
      <x:c r="E320" t="n">
        <x:v>1</x:v>
      </x:c>
      <x:c r="F320" t="n">
        <x:f>Controls!$D$51</x:f>
        <x:v>0</x:v>
      </x:c>
      <x:c r="G320" t="str">
        <x:v>Controls!$D$51</x:v>
      </x:c>
      <x:c r="H320" t="str">
        <x:v>physical acceptance authority</x:v>
      </x:c>
      <x:c r="I320" t="str">
        <x:f>IF(F320=0,"OPEN",IF(E320=F320,"PASS","FAIL"))</x:f>
        <x:v>OPEN</x:v>
      </x:c>
    </x:row>
    <x:row r="321">
      <x:c r="B321" t="str">
        <x:v>PH-SAFETY-66</x:v>
      </x:c>
      <x:c r="C321" t="str">
        <x:v>physical</x:v>
      </x:c>
      <x:c r="D321" t="str">
        <x:v>accepted inherited safety event</x:v>
      </x:c>
      <x:c r="E321" t="n">
        <x:v>1</x:v>
      </x:c>
      <x:c r="F321" t="n">
        <x:f>Controls!$D$51</x:f>
        <x:v>0</x:v>
      </x:c>
      <x:c r="G321" t="str">
        <x:v>Controls!$D$51</x:v>
      </x:c>
      <x:c r="H321" t="str">
        <x:v>physical acceptance authority</x:v>
      </x:c>
      <x:c r="I321" t="str">
        <x:f>IF(F321=0,"OPEN",IF(E321=F321,"PASS","FAIL"))</x:f>
        <x:v>OPEN</x:v>
      </x:c>
    </x:row>
    <x:row r="322">
      <x:c r="B322" t="str">
        <x:v>PH-SAFETY-67</x:v>
      </x:c>
      <x:c r="C322" t="str">
        <x:v>physical</x:v>
      </x:c>
      <x:c r="D322" t="str">
        <x:v>accepted inherited safety event</x:v>
      </x:c>
      <x:c r="E322" t="n">
        <x:v>1</x:v>
      </x:c>
      <x:c r="F322" t="n">
        <x:f>Controls!$D$51</x:f>
        <x:v>0</x:v>
      </x:c>
      <x:c r="G322" t="str">
        <x:v>Controls!$D$51</x:v>
      </x:c>
      <x:c r="H322" t="str">
        <x:v>physical acceptance authority</x:v>
      </x:c>
      <x:c r="I322" t="str">
        <x:f>IF(F322=0,"OPEN",IF(E322=F322,"PASS","FAIL"))</x:f>
        <x:v>OPEN</x:v>
      </x:c>
    </x:row>
    <x:row r="323">
      <x:c r="B323" t="str">
        <x:v>PH-SAFETY-68</x:v>
      </x:c>
      <x:c r="C323" t="str">
        <x:v>physical</x:v>
      </x:c>
      <x:c r="D323" t="str">
        <x:v>accepted inherited safety event</x:v>
      </x:c>
      <x:c r="E323" t="n">
        <x:v>1</x:v>
      </x:c>
      <x:c r="F323" t="n">
        <x:f>Controls!$D$51</x:f>
        <x:v>0</x:v>
      </x:c>
      <x:c r="G323" t="str">
        <x:v>Controls!$D$51</x:v>
      </x:c>
      <x:c r="H323" t="str">
        <x:v>physical acceptance authority</x:v>
      </x:c>
      <x:c r="I323" t="str">
        <x:f>IF(F323=0,"OPEN",IF(E323=F323,"PASS","FAIL"))</x:f>
        <x:v>OPEN</x:v>
      </x:c>
    </x:row>
    <x:row r="324">
      <x:c r="B324" t="str">
        <x:v>PH-SAFETY-69</x:v>
      </x:c>
      <x:c r="C324" t="str">
        <x:v>physical</x:v>
      </x:c>
      <x:c r="D324" t="str">
        <x:v>accepted inherited safety event</x:v>
      </x:c>
      <x:c r="E324" t="n">
        <x:v>1</x:v>
      </x:c>
      <x:c r="F324" t="n">
        <x:f>Controls!$D$51</x:f>
        <x:v>0</x:v>
      </x:c>
      <x:c r="G324" t="str">
        <x:v>Controls!$D$51</x:v>
      </x:c>
      <x:c r="H324" t="str">
        <x:v>physical acceptance authority</x:v>
      </x:c>
      <x:c r="I324" t="str">
        <x:f>IF(F324=0,"OPEN",IF(E324=F324,"PASS","FAIL"))</x:f>
        <x:v>OPEN</x:v>
      </x:c>
    </x:row>
    <x:row r="325">
      <x:c r="B325" t="str">
        <x:v>PH-SAFETY-70</x:v>
      </x:c>
      <x:c r="C325" t="str">
        <x:v>physical</x:v>
      </x:c>
      <x:c r="D325" t="str">
        <x:v>accepted inherited safety event</x:v>
      </x:c>
      <x:c r="E325" t="n">
        <x:v>1</x:v>
      </x:c>
      <x:c r="F325" t="n">
        <x:f>Controls!$D$51</x:f>
        <x:v>0</x:v>
      </x:c>
      <x:c r="G325" t="str">
        <x:v>Controls!$D$51</x:v>
      </x:c>
      <x:c r="H325" t="str">
        <x:v>physical acceptance authority</x:v>
      </x:c>
      <x:c r="I325" t="str">
        <x:f>IF(F325=0,"OPEN",IF(E325=F325,"PASS","FAIL"))</x:f>
        <x:v>OPEN</x:v>
      </x:c>
    </x:row>
    <x:row r="326">
      <x:c r="B326" t="str">
        <x:v>PH-SAFETY-71</x:v>
      </x:c>
      <x:c r="C326" t="str">
        <x:v>physical</x:v>
      </x:c>
      <x:c r="D326" t="str">
        <x:v>accepted inherited safety event</x:v>
      </x:c>
      <x:c r="E326" t="n">
        <x:v>1</x:v>
      </x:c>
      <x:c r="F326" t="n">
        <x:f>Controls!$D$51</x:f>
        <x:v>0</x:v>
      </x:c>
      <x:c r="G326" t="str">
        <x:v>Controls!$D$51</x:v>
      </x:c>
      <x:c r="H326" t="str">
        <x:v>physical acceptance authority</x:v>
      </x:c>
      <x:c r="I326" t="str">
        <x:f>IF(F326=0,"OPEN",IF(E326=F326,"PASS","FAIL"))</x:f>
        <x:v>OPEN</x:v>
      </x:c>
    </x:row>
    <x:row r="327">
      <x:c r="B327" t="str">
        <x:v>PH-SAFETY-72</x:v>
      </x:c>
      <x:c r="C327" t="str">
        <x:v>physical</x:v>
      </x:c>
      <x:c r="D327" t="str">
        <x:v>accepted inherited safety event</x:v>
      </x:c>
      <x:c r="E327" t="n">
        <x:v>1</x:v>
      </x:c>
      <x:c r="F327" t="n">
        <x:f>Controls!$D$51</x:f>
        <x:v>0</x:v>
      </x:c>
      <x:c r="G327" t="str">
        <x:v>Controls!$D$51</x:v>
      </x:c>
      <x:c r="H327" t="str">
        <x:v>physical acceptance authority</x:v>
      </x:c>
      <x:c r="I327" t="str">
        <x:f>IF(F327=0,"OPEN",IF(E327=F327,"PASS","FAIL"))</x:f>
        <x:v>OPEN</x:v>
      </x:c>
    </x:row>
    <x:row r="328">
      <x:c r="B328" t="str">
        <x:v>PH-REPLAY-01</x:v>
      </x:c>
      <x:c r="C328" t="str">
        <x:v>physical</x:v>
      </x:c>
      <x:c r="D328" t="str">
        <x:v>accepted cross-site replay</x:v>
      </x:c>
      <x:c r="E328" t="n">
        <x:v>1</x:v>
      </x:c>
      <x:c r="F328" t="n">
        <x:f>Controls!$D$51</x:f>
        <x:v>0</x:v>
      </x:c>
      <x:c r="G328" t="str">
        <x:v>Controls!$D$51</x:v>
      </x:c>
      <x:c r="H328" t="str">
        <x:v>physical acceptance authority</x:v>
      </x:c>
      <x:c r="I328" t="str">
        <x:f>IF(F328=0,"OPEN",IF(E328=F328,"PASS","FAIL"))</x:f>
        <x:v>OPEN</x:v>
      </x:c>
    </x:row>
    <x:row r="329">
      <x:c r="B329" t="str">
        <x:v>PH-REPLAY-02</x:v>
      </x:c>
      <x:c r="C329" t="str">
        <x:v>physical</x:v>
      </x:c>
      <x:c r="D329" t="str">
        <x:v>accepted cross-site replay</x:v>
      </x:c>
      <x:c r="E329" t="n">
        <x:v>1</x:v>
      </x:c>
      <x:c r="F329" t="n">
        <x:f>Controls!$D$51</x:f>
        <x:v>0</x:v>
      </x:c>
      <x:c r="G329" t="str">
        <x:v>Controls!$D$51</x:v>
      </x:c>
      <x:c r="H329" t="str">
        <x:v>physical acceptance authority</x:v>
      </x:c>
      <x:c r="I329" t="str">
        <x:f>IF(F329=0,"OPEN",IF(E329=F329,"PASS","FAIL"))</x:f>
        <x:v>OPEN</x:v>
      </x:c>
    </x:row>
    <x:row r="330">
      <x:c r="B330" t="str">
        <x:v>PH-REPLAY-03</x:v>
      </x:c>
      <x:c r="C330" t="str">
        <x:v>physical</x:v>
      </x:c>
      <x:c r="D330" t="str">
        <x:v>accepted cross-site replay</x:v>
      </x:c>
      <x:c r="E330" t="n">
        <x:v>1</x:v>
      </x:c>
      <x:c r="F330" t="n">
        <x:f>Controls!$D$51</x:f>
        <x:v>0</x:v>
      </x:c>
      <x:c r="G330" t="str">
        <x:v>Controls!$D$51</x:v>
      </x:c>
      <x:c r="H330" t="str">
        <x:v>physical acceptance authority</x:v>
      </x:c>
      <x:c r="I330" t="str">
        <x:f>IF(F330=0,"OPEN",IF(E330=F330,"PASS","FAIL"))</x:f>
        <x:v>OPEN</x:v>
      </x:c>
    </x:row>
    <x:row r="331">
      <x:c r="B331" t="str">
        <x:v>PH-REPLAY-04</x:v>
      </x:c>
      <x:c r="C331" t="str">
        <x:v>physical</x:v>
      </x:c>
      <x:c r="D331" t="str">
        <x:v>accepted cross-site replay</x:v>
      </x:c>
      <x:c r="E331" t="n">
        <x:v>1</x:v>
      </x:c>
      <x:c r="F331" t="n">
        <x:f>Controls!$D$51</x:f>
        <x:v>0</x:v>
      </x:c>
      <x:c r="G331" t="str">
        <x:v>Controls!$D$51</x:v>
      </x:c>
      <x:c r="H331" t="str">
        <x:v>physical acceptance authority</x:v>
      </x:c>
      <x:c r="I331" t="str">
        <x:f>IF(F331=0,"OPEN",IF(E331=F331,"PASS","FAIL"))</x:f>
        <x:v>OPEN</x:v>
      </x:c>
    </x:row>
    <x:row r="332">
      <x:c r="B332" t="str">
        <x:v>PH-REPLAY-05</x:v>
      </x:c>
      <x:c r="C332" t="str">
        <x:v>physical</x:v>
      </x:c>
      <x:c r="D332" t="str">
        <x:v>accepted cross-site replay</x:v>
      </x:c>
      <x:c r="E332" t="n">
        <x:v>1</x:v>
      </x:c>
      <x:c r="F332" t="n">
        <x:f>Controls!$D$51</x:f>
        <x:v>0</x:v>
      </x:c>
      <x:c r="G332" t="str">
        <x:v>Controls!$D$51</x:v>
      </x:c>
      <x:c r="H332" t="str">
        <x:v>physical acceptance authority</x:v>
      </x:c>
      <x:c r="I332" t="str">
        <x:f>IF(F332=0,"OPEN",IF(E332=F332,"PASS","FAIL"))</x:f>
        <x:v>OPEN</x:v>
      </x:c>
    </x:row>
    <x:row r="333">
      <x:c r="B333" t="str">
        <x:v>PH-REPLAY-06</x:v>
      </x:c>
      <x:c r="C333" t="str">
        <x:v>physical</x:v>
      </x:c>
      <x:c r="D333" t="str">
        <x:v>accepted cross-site replay</x:v>
      </x:c>
      <x:c r="E333" t="n">
        <x:v>1</x:v>
      </x:c>
      <x:c r="F333" t="n">
        <x:f>Controls!$D$51</x:f>
        <x:v>0</x:v>
      </x:c>
      <x:c r="G333" t="str">
        <x:v>Controls!$D$51</x:v>
      </x:c>
      <x:c r="H333" t="str">
        <x:v>physical acceptance authority</x:v>
      </x:c>
      <x:c r="I333" t="str">
        <x:f>IF(F333=0,"OPEN",IF(E333=F333,"PASS","FAIL"))</x:f>
        <x:v>OPEN</x:v>
      </x:c>
    </x:row>
    <x:row r="334">
      <x:c r="B334" t="str">
        <x:v>PH-REPLAY-07</x:v>
      </x:c>
      <x:c r="C334" t="str">
        <x:v>physical</x:v>
      </x:c>
      <x:c r="D334" t="str">
        <x:v>accepted cross-site replay</x:v>
      </x:c>
      <x:c r="E334" t="n">
        <x:v>1</x:v>
      </x:c>
      <x:c r="F334" t="n">
        <x:f>Controls!$D$51</x:f>
        <x:v>0</x:v>
      </x:c>
      <x:c r="G334" t="str">
        <x:v>Controls!$D$51</x:v>
      </x:c>
      <x:c r="H334" t="str">
        <x:v>physical acceptance authority</x:v>
      </x:c>
      <x:c r="I334" t="str">
        <x:f>IF(F334=0,"OPEN",IF(E334=F334,"PASS","FAIL"))</x:f>
        <x:v>OPEN</x:v>
      </x:c>
    </x:row>
    <x:row r="335">
      <x:c r="B335" t="str">
        <x:v>PH-REPLAY-08</x:v>
      </x:c>
      <x:c r="C335" t="str">
        <x:v>physical</x:v>
      </x:c>
      <x:c r="D335" t="str">
        <x:v>accepted cross-site replay</x:v>
      </x:c>
      <x:c r="E335" t="n">
        <x:v>1</x:v>
      </x:c>
      <x:c r="F335" t="n">
        <x:f>Controls!$D$51</x:f>
        <x:v>0</x:v>
      </x:c>
      <x:c r="G335" t="str">
        <x:v>Controls!$D$51</x:v>
      </x:c>
      <x:c r="H335" t="str">
        <x:v>physical acceptance authority</x:v>
      </x:c>
      <x:c r="I335" t="str">
        <x:f>IF(F335=0,"OPEN",IF(E335=F335,"PASS","FAIL"))</x:f>
        <x:v>OPEN</x:v>
      </x:c>
    </x:row>
    <x:row r="336">
      <x:c r="B336" t="str">
        <x:v>PH-SAFE-1</x:v>
      </x:c>
      <x:c r="C336" t="str">
        <x:v>physical</x:v>
      </x:c>
      <x:c r="D336" t="str">
        <x:v>accepted safe-state proof</x:v>
      </x:c>
      <x:c r="E336" t="n">
        <x:v>1</x:v>
      </x:c>
      <x:c r="F336" t="n">
        <x:f>'Safe State'!P7</x:f>
        <x:v>0</x:v>
      </x:c>
      <x:c r="G336" t="str">
        <x:v>'Safe State'!P7</x:v>
      </x:c>
      <x:c r="H336" t="str">
        <x:v>physical acceptance authority</x:v>
      </x:c>
      <x:c r="I336" t="str">
        <x:f>IF(F336=0,"OPEN",IF(E336=F336,"PASS","FAIL"))</x:f>
        <x:v>OPEN</x:v>
      </x:c>
    </x:row>
    <x:row r="337">
      <x:c r="B337" t="str">
        <x:v>PH-SAFE-2</x:v>
      </x:c>
      <x:c r="C337" t="str">
        <x:v>physical</x:v>
      </x:c>
      <x:c r="D337" t="str">
        <x:v>accepted safe-state proof</x:v>
      </x:c>
      <x:c r="E337" t="n">
        <x:v>1</x:v>
      </x:c>
      <x:c r="F337" t="n">
        <x:f>'Safe State'!P8</x:f>
        <x:v>0</x:v>
      </x:c>
      <x:c r="G337" t="str">
        <x:v>'Safe State'!P8</x:v>
      </x:c>
      <x:c r="H337" t="str">
        <x:v>physical acceptance authority</x:v>
      </x:c>
      <x:c r="I337" t="str">
        <x:f>IF(F337=0,"OPEN",IF(E337=F337,"PASS","FAIL"))</x:f>
        <x:v>OPEN</x:v>
      </x:c>
    </x:row>
    <x:row r="338">
      <x:c r="B338" t="str">
        <x:v>PH-SAFE-3</x:v>
      </x:c>
      <x:c r="C338" t="str">
        <x:v>physical</x:v>
      </x:c>
      <x:c r="D338" t="str">
        <x:v>accepted safe-state proof</x:v>
      </x:c>
      <x:c r="E338" t="n">
        <x:v>1</x:v>
      </x:c>
      <x:c r="F338" t="n">
        <x:f>'Safe State'!P9</x:f>
        <x:v>0</x:v>
      </x:c>
      <x:c r="G338" t="str">
        <x:v>'Safe State'!P9</x:v>
      </x:c>
      <x:c r="H338" t="str">
        <x:v>physical acceptance authority</x:v>
      </x:c>
      <x:c r="I338" t="str">
        <x:f>IF(F338=0,"OPEN",IF(E338=F338,"PASS","FAIL"))</x:f>
        <x:v>OPEN</x:v>
      </x:c>
    </x:row>
    <x:row r="339">
      <x:c r="B339" t="str">
        <x:v>PH-SAFE-4</x:v>
      </x:c>
      <x:c r="C339" t="str">
        <x:v>physical</x:v>
      </x:c>
      <x:c r="D339" t="str">
        <x:v>accepted safe-state proof</x:v>
      </x:c>
      <x:c r="E339" t="n">
        <x:v>1</x:v>
      </x:c>
      <x:c r="F339" t="n">
        <x:f>'Safe State'!P10</x:f>
        <x:v>0</x:v>
      </x:c>
      <x:c r="G339" t="str">
        <x:v>'Safe State'!P10</x:v>
      </x:c>
      <x:c r="H339" t="str">
        <x:v>physical acceptance authority</x:v>
      </x:c>
      <x:c r="I339" t="str">
        <x:f>IF(F339=0,"OPEN",IF(E339=F339,"PASS","FAIL"))</x:f>
        <x:v>OPEN</x:v>
      </x:c>
    </x:row>
    <x:row r="340">
      <x:c r="B340" t="str">
        <x:v>PH-INST-1</x:v>
      </x:c>
      <x:c r="C340" t="str">
        <x:v>physical</x:v>
      </x:c>
      <x:c r="D340" t="str">
        <x:v>accepted root-site instrument package</x:v>
      </x:c>
      <x:c r="E340" t="n">
        <x:v>1</x:v>
      </x:c>
      <x:c r="F340" t="n">
        <x:f>Controls!$D$51</x:f>
        <x:v>0</x:v>
      </x:c>
      <x:c r="G340" t="str">
        <x:v>Controls!$D$51</x:v>
      </x:c>
      <x:c r="H340" t="str">
        <x:v>physical acceptance authority</x:v>
      </x:c>
      <x:c r="I340" t="str">
        <x:f>IF(F340=0,"OPEN",IF(E340=F340,"PASS","FAIL"))</x:f>
        <x:v>OPEN</x:v>
      </x:c>
    </x:row>
    <x:row r="341">
      <x:c r="B341" t="str">
        <x:v>PH-INST-2</x:v>
      </x:c>
      <x:c r="C341" t="str">
        <x:v>physical</x:v>
      </x:c>
      <x:c r="D341" t="str">
        <x:v>accepted root-site instrument package</x:v>
      </x:c>
      <x:c r="E341" t="n">
        <x:v>1</x:v>
      </x:c>
      <x:c r="F341" t="n">
        <x:f>Controls!$D$51</x:f>
        <x:v>0</x:v>
      </x:c>
      <x:c r="G341" t="str">
        <x:v>Controls!$D$51</x:v>
      </x:c>
      <x:c r="H341" t="str">
        <x:v>physical acceptance authority</x:v>
      </x:c>
      <x:c r="I341" t="str">
        <x:f>IF(F341=0,"OPEN",IF(E341=F341,"PASS","FAIL"))</x:f>
        <x:v>OPEN</x:v>
      </x:c>
    </x:row>
    <x:row r="342">
      <x:c r="B342" t="str">
        <x:v>PH-INST-3</x:v>
      </x:c>
      <x:c r="C342" t="str">
        <x:v>physical</x:v>
      </x:c>
      <x:c r="D342" t="str">
        <x:v>accepted root-site instrument package</x:v>
      </x:c>
      <x:c r="E342" t="n">
        <x:v>1</x:v>
      </x:c>
      <x:c r="F342" t="n">
        <x:f>Controls!$D$51</x:f>
        <x:v>0</x:v>
      </x:c>
      <x:c r="G342" t="str">
        <x:v>Controls!$D$51</x:v>
      </x:c>
      <x:c r="H342" t="str">
        <x:v>physical acceptance authority</x:v>
      </x:c>
      <x:c r="I342" t="str">
        <x:f>IF(F342=0,"OPEN",IF(E342=F342,"PASS","FAIL"))</x:f>
        <x:v>OPEN</x:v>
      </x:c>
    </x:row>
    <x:row r="343">
      <x:c r="B343" t="str">
        <x:v>PH-INST-4</x:v>
      </x:c>
      <x:c r="C343" t="str">
        <x:v>physical</x:v>
      </x:c>
      <x:c r="D343" t="str">
        <x:v>accepted root-site instrument package</x:v>
      </x:c>
      <x:c r="E343" t="n">
        <x:v>1</x:v>
      </x:c>
      <x:c r="F343" t="n">
        <x:f>Controls!$D$51</x:f>
        <x:v>0</x:v>
      </x:c>
      <x:c r="G343" t="str">
        <x:v>Controls!$D$51</x:v>
      </x:c>
      <x:c r="H343" t="str">
        <x:v>physical acceptance authority</x:v>
      </x:c>
      <x:c r="I343" t="str">
        <x:f>IF(F343=0,"OPEN",IF(E343=F343,"PASS","FAIL"))</x:f>
        <x:v>OPEN</x:v>
      </x:c>
    </x:row>
    <x:row r="344">
      <x:c r="B344" t="str">
        <x:v>PH-REC-1</x:v>
      </x:c>
      <x:c r="C344" t="str">
        <x:v>physical</x:v>
      </x:c>
      <x:c r="D344" t="str">
        <x:v>accepted root-site recovery package</x:v>
      </x:c>
      <x:c r="E344" t="n">
        <x:v>1</x:v>
      </x:c>
      <x:c r="F344" t="n">
        <x:f>Controls!$D$51</x:f>
        <x:v>0</x:v>
      </x:c>
      <x:c r="G344" t="str">
        <x:v>Controls!$D$51</x:v>
      </x:c>
      <x:c r="H344" t="str">
        <x:v>physical acceptance authority</x:v>
      </x:c>
      <x:c r="I344" t="str">
        <x:f>IF(F344=0,"OPEN",IF(E344=F344,"PASS","FAIL"))</x:f>
        <x:v>OPEN</x:v>
      </x:c>
    </x:row>
    <x:row r="345">
      <x:c r="B345" t="str">
        <x:v>PH-REC-2</x:v>
      </x:c>
      <x:c r="C345" t="str">
        <x:v>physical</x:v>
      </x:c>
      <x:c r="D345" t="str">
        <x:v>accepted root-site recovery package</x:v>
      </x:c>
      <x:c r="E345" t="n">
        <x:v>1</x:v>
      </x:c>
      <x:c r="F345" t="n">
        <x:f>Controls!$D$51</x:f>
        <x:v>0</x:v>
      </x:c>
      <x:c r="G345" t="str">
        <x:v>Controls!$D$51</x:v>
      </x:c>
      <x:c r="H345" t="str">
        <x:v>physical acceptance authority</x:v>
      </x:c>
      <x:c r="I345" t="str">
        <x:f>IF(F345=0,"OPEN",IF(E345=F345,"PASS","FAIL"))</x:f>
        <x:v>OPEN</x:v>
      </x:c>
    </x:row>
    <x:row r="346">
      <x:c r="B346" t="str">
        <x:v>PH-REC-3</x:v>
      </x:c>
      <x:c r="C346" t="str">
        <x:v>physical</x:v>
      </x:c>
      <x:c r="D346" t="str">
        <x:v>accepted root-site recovery package</x:v>
      </x:c>
      <x:c r="E346" t="n">
        <x:v>1</x:v>
      </x:c>
      <x:c r="F346" t="n">
        <x:f>Controls!$D$51</x:f>
        <x:v>0</x:v>
      </x:c>
      <x:c r="G346" t="str">
        <x:v>Controls!$D$51</x:v>
      </x:c>
      <x:c r="H346" t="str">
        <x:v>physical acceptance authority</x:v>
      </x:c>
      <x:c r="I346" t="str">
        <x:f>IF(F346=0,"OPEN",IF(E346=F346,"PASS","FAIL"))</x:f>
        <x:v>OPEN</x:v>
      </x:c>
    </x:row>
    <x:row r="347">
      <x:c r="B347" t="str">
        <x:v>PH-REC-4</x:v>
      </x:c>
      <x:c r="C347" t="str">
        <x:v>physical</x:v>
      </x:c>
      <x:c r="D347" t="str">
        <x:v>accepted root-site recovery package</x:v>
      </x:c>
      <x:c r="E347" t="n">
        <x:v>1</x:v>
      </x:c>
      <x:c r="F347" t="n">
        <x:f>Controls!$D$51</x:f>
        <x:v>0</x:v>
      </x:c>
      <x:c r="G347" t="str">
        <x:v>Controls!$D$51</x:v>
      </x:c>
      <x:c r="H347" t="str">
        <x:v>physical acceptance authority</x:v>
      </x:c>
      <x:c r="I347" t="str">
        <x:f>IF(F347=0,"OPEN",IF(E347=F347,"PASS","FAIL"))</x:f>
        <x:v>OPEN</x:v>
      </x:c>
    </x:row>
    <x:row r="348">
      <x:c r="B348" t="str">
        <x:v>PH-RESCUE-1</x:v>
      </x:c>
      <x:c r="C348" t="str">
        <x:v>physical</x:v>
      </x:c>
      <x:c r="D348" t="str">
        <x:v>accepted rescue package</x:v>
      </x:c>
      <x:c r="E348" t="n">
        <x:v>1</x:v>
      </x:c>
      <x:c r="F348" t="n">
        <x:f>'Rescue Zones'!N7</x:f>
        <x:v>0</x:v>
      </x:c>
      <x:c r="G348" t="str">
        <x:v>'Rescue Zones'!N7</x:v>
      </x:c>
      <x:c r="H348" t="str">
        <x:v>physical acceptance authority</x:v>
      </x:c>
      <x:c r="I348" t="str">
        <x:f>IF(F348=0,"OPEN",IF(E348=F348,"PASS","FAIL"))</x:f>
        <x:v>OPEN</x:v>
      </x:c>
    </x:row>
    <x:row r="349">
      <x:c r="B349" t="str">
        <x:v>PH-RESCUE-2</x:v>
      </x:c>
      <x:c r="C349" t="str">
        <x:v>physical</x:v>
      </x:c>
      <x:c r="D349" t="str">
        <x:v>accepted rescue package</x:v>
      </x:c>
      <x:c r="E349" t="n">
        <x:v>1</x:v>
      </x:c>
      <x:c r="F349" t="n">
        <x:f>'Rescue Zones'!N8</x:f>
        <x:v>0</x:v>
      </x:c>
      <x:c r="G349" t="str">
        <x:v>'Rescue Zones'!N8</x:v>
      </x:c>
      <x:c r="H349" t="str">
        <x:v>physical acceptance authority</x:v>
      </x:c>
      <x:c r="I349" t="str">
        <x:f>IF(F349=0,"OPEN",IF(E349=F349,"PASS","FAIL"))</x:f>
        <x:v>OPEN</x:v>
      </x:c>
    </x:row>
    <x:row r="350">
      <x:c r="B350" t="str">
        <x:v>PH-RESCUE-3</x:v>
      </x:c>
      <x:c r="C350" t="str">
        <x:v>physical</x:v>
      </x:c>
      <x:c r="D350" t="str">
        <x:v>accepted rescue package</x:v>
      </x:c>
      <x:c r="E350" t="n">
        <x:v>1</x:v>
      </x:c>
      <x:c r="F350" t="n">
        <x:f>'Rescue Zones'!N9</x:f>
        <x:v>0</x:v>
      </x:c>
      <x:c r="G350" t="str">
        <x:v>'Rescue Zones'!N9</x:v>
      </x:c>
      <x:c r="H350" t="str">
        <x:v>physical acceptance authority</x:v>
      </x:c>
      <x:c r="I350" t="str">
        <x:f>IF(F350=0,"OPEN",IF(E350=F350,"PASS","FAIL"))</x:f>
        <x:v>OPEN</x:v>
      </x:c>
    </x:row>
    <x:row r="351">
      <x:c r="B351" t="str">
        <x:v>PH-EVID-1</x:v>
      </x:c>
      <x:c r="C351" t="str">
        <x:v>physical</x:v>
      </x:c>
      <x:c r="D351" t="str">
        <x:v>accepted evidence-original survival</x:v>
      </x:c>
      <x:c r="E351" t="n">
        <x:v>1</x:v>
      </x:c>
      <x:c r="F351" t="n">
        <x:f>Controls!$D$51</x:f>
        <x:v>0</x:v>
      </x:c>
      <x:c r="G351" t="str">
        <x:v>Controls!$D$51</x:v>
      </x:c>
      <x:c r="H351" t="str">
        <x:v>physical acceptance authority</x:v>
      </x:c>
      <x:c r="I351" t="str">
        <x:f>IF(F351=0,"OPEN",IF(E351=F351,"PASS","FAIL"))</x:f>
        <x:v>OPEN</x:v>
      </x:c>
    </x:row>
    <x:row r="352">
      <x:c r="B352" t="str">
        <x:v>PH-EVID-2</x:v>
      </x:c>
      <x:c r="C352" t="str">
        <x:v>physical</x:v>
      </x:c>
      <x:c r="D352" t="str">
        <x:v>accepted evidence-original survival</x:v>
      </x:c>
      <x:c r="E352" t="n">
        <x:v>1</x:v>
      </x:c>
      <x:c r="F352" t="n">
        <x:f>Controls!$D$51</x:f>
        <x:v>0</x:v>
      </x:c>
      <x:c r="G352" t="str">
        <x:v>Controls!$D$51</x:v>
      </x:c>
      <x:c r="H352" t="str">
        <x:v>physical acceptance authority</x:v>
      </x:c>
      <x:c r="I352" t="str">
        <x:f>IF(F352=0,"OPEN",IF(E352=F352,"PASS","FAIL"))</x:f>
        <x:v>OPEN</x:v>
      </x:c>
    </x:row>
    <x:row r="353">
      <x:c r="B353" t="str">
        <x:v>DS-1</x:v>
      </x:c>
      <x:c r="C353" t="str">
        <x:v>downstream</x:v>
      </x:c>
      <x:c r="D353" t="str">
        <x:v>C2 eight-tonne admission</x:v>
      </x:c>
      <x:c r="E353" t="n">
        <x:v>1</x:v>
      </x:c>
      <x:c r="F353" t="n">
        <x:f>Controls!$D$52</x:f>
        <x:v>0</x:v>
      </x:c>
      <x:c r="G353" t="str">
        <x:v>Controls!$D$52</x:v>
      </x:c>
      <x:c r="H353" t="str">
        <x:v>separate downstream authority</x:v>
      </x:c>
      <x:c r="I353" t="str">
        <x:f>IF(F353=1,"PASS","BLOCKED")</x:f>
        <x:v>BLOCKED</x:v>
      </x:c>
    </x:row>
    <x:row r="354">
      <x:c r="B354" t="str">
        <x:v>DS-2</x:v>
      </x:c>
      <x:c r="C354" t="str">
        <x:v>downstream</x:v>
      </x:c>
      <x:c r="D354" t="str">
        <x:v>SDEC-1 execution</x:v>
      </x:c>
      <x:c r="E354" t="n">
        <x:v>1</x:v>
      </x:c>
      <x:c r="F354" t="n">
        <x:f>Controls!$D$53</x:f>
        <x:v>0</x:v>
      </x:c>
      <x:c r="G354" t="str">
        <x:v>Controls!$D$53</x:v>
      </x:c>
      <x:c r="H354" t="str">
        <x:v>separate downstream authority</x:v>
      </x:c>
      <x:c r="I354" t="str">
        <x:f>IF(F354=1,"PASS","BLOCKED")</x:f>
        <x:v>BLOCKED</x:v>
      </x:c>
    </x:row>
    <x:row r="355">
      <x:c r="B355" t="str">
        <x:v>DS-3</x:v>
      </x:c>
      <x:c r="C355" t="str">
        <x:v>downstream</x:v>
      </x:c>
      <x:c r="D355" t="str">
        <x:v>complete-article admission</x:v>
      </x:c>
      <x:c r="E355" t="n">
        <x:v>1</x:v>
      </x:c>
      <x:c r="F355" t="n">
        <x:f>Controls!$D$54</x:f>
        <x:v>0</x:v>
      </x:c>
      <x:c r="G355" t="str">
        <x:v>Controls!$D$54</x:v>
      </x:c>
      <x:c r="H355" t="str">
        <x:v>separate downstream authority</x:v>
      </x:c>
      <x:c r="I355" t="str">
        <x:f>IF(F355=1,"PASS","BLOCKED")</x:f>
        <x:v>BLOCKED</x:v>
      </x:c>
    </x:row>
    <x:row r="356">
      <x:c r="B356" t="str">
        <x:v>DS-4</x:v>
      </x:c>
      <x:c r="C356" t="str">
        <x:v>downstream</x:v>
      </x:c>
      <x:c r="D356" t="str">
        <x:v>CISA-RB1 disposition</x:v>
      </x:c>
      <x:c r="E356" t="n">
        <x:v>1</x:v>
      </x:c>
      <x:c r="F356" t="n">
        <x:f>Controls!$D$55</x:f>
        <x:v>0</x:v>
      </x:c>
      <x:c r="G356" t="str">
        <x:v>Controls!$D$55</x:v>
      </x:c>
      <x:c r="H356" t="str">
        <x:v>separate downstream authority</x:v>
      </x:c>
      <x:c r="I356" t="str">
        <x:f>IF(F356=1,"PASS","BLOCKED")</x:f>
        <x:v>BLOCKED</x:v>
      </x:c>
    </x:row>
    <x:row r="357">
      <x:c r="B357" t="str">
        <x:v>DS-5</x:v>
      </x:c>
      <x:c r="C357" t="str">
        <x:v>downstream</x:v>
      </x:c>
      <x:c r="D357" t="str">
        <x:v>CRC-E01 admission</x:v>
      </x:c>
      <x:c r="E357" t="n">
        <x:v>1</x:v>
      </x:c>
      <x:c r="F357" t="n">
        <x:f>Controls!$D$56</x:f>
        <x:v>0</x:v>
      </x:c>
      <x:c r="G357" t="str">
        <x:v>Controls!$D$56</x:v>
      </x:c>
      <x:c r="H357" t="str">
        <x:v>separate downstream authority</x:v>
      </x:c>
      <x:c r="I357" t="str">
        <x:f>IF(F357=1,"PASS","BLOCKED")</x:f>
        <x:v>BLOCKED</x:v>
      </x:c>
    </x:row>
    <x:row r="358">
      <x:c r="B358" t="str">
        <x:v>DS-6</x:v>
      </x:c>
      <x:c r="C358" t="str">
        <x:v>downstream</x:v>
      </x:c>
      <x:c r="D358" t="str">
        <x:v>production</x:v>
      </x:c>
      <x:c r="E358" t="n">
        <x:v>1</x:v>
      </x:c>
      <x:c r="F358" t="n">
        <x:f>Controls!$D$57</x:f>
        <x:v>0</x:v>
      </x:c>
      <x:c r="G358" t="str">
        <x:v>Controls!$D$57</x:v>
      </x:c>
      <x:c r="H358" t="str">
        <x:v>separate downstream authority</x:v>
      </x:c>
      <x:c r="I358" t="str">
        <x:f>IF(F358=1,"PASS","BLOCKED")</x:f>
        <x:v>BLOCKED</x:v>
      </x:c>
    </x:row>
    <x:row r="359">
      <x:c r="B359" t="str">
        <x:v>DS-7</x:v>
      </x:c>
      <x:c r="C359" t="str">
        <x:v>downstream</x:v>
      </x:c>
      <x:c r="D359" t="str">
        <x:v>exterior rendering</x:v>
      </x:c>
      <x:c r="E359" t="n">
        <x:v>1</x:v>
      </x:c>
      <x:c r="F359" t="n">
        <x:f>Controls!$D$58</x:f>
        <x:v>0</x:v>
      </x:c>
      <x:c r="G359" t="str">
        <x:v>Controls!$D$58</x:v>
      </x:c>
      <x:c r="H359" t="str">
        <x:v>separate downstream authority</x:v>
      </x:c>
      <x:c r="I359" t="str">
        <x:f>IF(F359=1,"PASS","BLOCKED")</x:f>
        <x:v>BLOCKED</x:v>
      </x:c>
    </x:row>
  </x:sheetData>
  <x:conditionalFormatting sqref="I7:I359">
    <x:cfRule type="cellIs" dxfId="88" priority="1" operator="equal">
      <x:formula>"FAIL"</x:formula>
    </x:cfRule>
    <x:cfRule type="cellIs" dxfId="89" priority="2" operator="equal">
      <x:formula>"BLOCKED"</x:formula>
    </x:cfRule>
    <x:cfRule type="cellIs" dxfId="90" priority="3" operator="equal">
      <x:formula>"OPEN"</x:formula>
    </x:cfRule>
    <x:cfRule type="cellIs" dxfId="91" priority="4" operator="equal">
      <x:formula>"PASS"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8" hidden="0" customWidth="1"/>
    <x:col min="4" max="4" width="34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Terminal audit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Audit results verify the saved planning model. They do not feed source admission or physical release.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Audit</x:v>
      </x:c>
      <x:c r="C6" s="14" t="str">
        <x:v>Class</x:v>
      </x:c>
      <x:c r="D6" s="14" t="str">
        <x:v>Object</x:v>
      </x:c>
      <x:c r="E6" s="14" t="str">
        <x:v>Expected</x:v>
      </x:c>
      <x:c r="F6" s="14" t="str">
        <x:v>Observed</x:v>
      </x:c>
      <x:c r="G6" s="14" t="str">
        <x:v>Match</x:v>
      </x:c>
      <x:c r="H6" s="15" t="str">
        <x:v>State</x:v>
      </x:c>
    </x:row>
    <x:row r="7">
      <x:c r="B7" t="str">
        <x:v>A-PL-001</x:v>
      </x:c>
      <x:c r="C7" t="str">
        <x:v>gate</x:v>
      </x:c>
      <x:c r="D7" t="str">
        <x:v>PL-DRW-01</x:v>
      </x:c>
      <x:c r="E7" t="str">
        <x:v>PASS</x:v>
      </x:c>
      <x:c r="F7" t="str">
        <x:f>'Release Gates'!I7</x:f>
        <x:v>PASS</x:v>
      </x:c>
      <x:c r="G7" t="str">
        <x:f>IF(E7=F7,"PASS","FAIL")</x:f>
        <x:v>PASS</x:v>
      </x:c>
      <x:c r="H7" t="str">
        <x:f>G7</x:f>
        <x:v>PASS</x:v>
      </x:c>
    </x:row>
    <x:row r="8">
      <x:c r="B8" t="str">
        <x:v>A-PL-002</x:v>
      </x:c>
      <x:c r="C8" t="str">
        <x:v>gate</x:v>
      </x:c>
      <x:c r="D8" t="str">
        <x:v>PL-DRW-02</x:v>
      </x:c>
      <x:c r="E8" t="str">
        <x:v>PASS</x:v>
      </x:c>
      <x:c r="F8" t="str">
        <x:f>'Release Gates'!I8</x:f>
        <x:v>PASS</x:v>
      </x:c>
      <x:c r="G8" t="str">
        <x:f>IF(E8=F8,"PASS","FAIL")</x:f>
        <x:v>PASS</x:v>
      </x:c>
      <x:c r="H8" t="str">
        <x:f>G8</x:f>
        <x:v>PASS</x:v>
      </x:c>
    </x:row>
    <x:row r="9">
      <x:c r="B9" t="str">
        <x:v>A-PL-003</x:v>
      </x:c>
      <x:c r="C9" t="str">
        <x:v>gate</x:v>
      </x:c>
      <x:c r="D9" t="str">
        <x:v>PL-DRW-03</x:v>
      </x:c>
      <x:c r="E9" t="str">
        <x:v>PASS</x:v>
      </x:c>
      <x:c r="F9" t="str">
        <x:f>'Release Gates'!I9</x:f>
        <x:v>PASS</x:v>
      </x:c>
      <x:c r="G9" t="str">
        <x:f>IF(E9=F9,"PASS","FAIL")</x:f>
        <x:v>PASS</x:v>
      </x:c>
      <x:c r="H9" t="str">
        <x:f>G9</x:f>
        <x:v>PASS</x:v>
      </x:c>
    </x:row>
    <x:row r="10">
      <x:c r="B10" t="str">
        <x:v>A-PL-004</x:v>
      </x:c>
      <x:c r="C10" t="str">
        <x:v>gate</x:v>
      </x:c>
      <x:c r="D10" t="str">
        <x:v>PL-DRW-04</x:v>
      </x:c>
      <x:c r="E10" t="str">
        <x:v>PASS</x:v>
      </x:c>
      <x:c r="F10" t="str">
        <x:f>'Release Gates'!I10</x:f>
        <x:v>PASS</x:v>
      </x:c>
      <x:c r="G10" t="str">
        <x:f>IF(E10=F10,"PASS","FAIL")</x:f>
        <x:v>PASS</x:v>
      </x:c>
      <x:c r="H10" t="str">
        <x:f>G10</x:f>
        <x:v>PASS</x:v>
      </x:c>
    </x:row>
    <x:row r="11">
      <x:c r="B11" t="str">
        <x:v>A-PL-005</x:v>
      </x:c>
      <x:c r="C11" t="str">
        <x:v>gate</x:v>
      </x:c>
      <x:c r="D11" t="str">
        <x:v>PL-DRW-05</x:v>
      </x:c>
      <x:c r="E11" t="str">
        <x:v>PASS</x:v>
      </x:c>
      <x:c r="F11" t="str">
        <x:f>'Release Gates'!I11</x:f>
        <x:v>PASS</x:v>
      </x:c>
      <x:c r="G11" t="str">
        <x:f>IF(E11=F11,"PASS","FAIL")</x:f>
        <x:v>PASS</x:v>
      </x:c>
      <x:c r="H11" t="str">
        <x:f>G11</x:f>
        <x:v>PASS</x:v>
      </x:c>
    </x:row>
    <x:row r="12">
      <x:c r="B12" t="str">
        <x:v>A-PL-006</x:v>
      </x:c>
      <x:c r="C12" t="str">
        <x:v>gate</x:v>
      </x:c>
      <x:c r="D12" t="str">
        <x:v>PL-DRW-06</x:v>
      </x:c>
      <x:c r="E12" t="str">
        <x:v>PASS</x:v>
      </x:c>
      <x:c r="F12" t="str">
        <x:f>'Release Gates'!I12</x:f>
        <x:v>PASS</x:v>
      </x:c>
      <x:c r="G12" t="str">
        <x:f>IF(E12=F12,"PASS","FAIL")</x:f>
        <x:v>PASS</x:v>
      </x:c>
      <x:c r="H12" t="str">
        <x:f>G12</x:f>
        <x:v>PASS</x:v>
      </x:c>
    </x:row>
    <x:row r="13">
      <x:c r="B13" t="str">
        <x:v>A-PL-007</x:v>
      </x:c>
      <x:c r="C13" t="str">
        <x:v>gate</x:v>
      </x:c>
      <x:c r="D13" t="str">
        <x:v>PL-DRW-07</x:v>
      </x:c>
      <x:c r="E13" t="str">
        <x:v>PASS</x:v>
      </x:c>
      <x:c r="F13" t="str">
        <x:f>'Release Gates'!I13</x:f>
        <x:v>PASS</x:v>
      </x:c>
      <x:c r="G13" t="str">
        <x:f>IF(E13=F13,"PASS","FAIL")</x:f>
        <x:v>PASS</x:v>
      </x:c>
      <x:c r="H13" t="str">
        <x:f>G13</x:f>
        <x:v>PASS</x:v>
      </x:c>
    </x:row>
    <x:row r="14">
      <x:c r="B14" t="str">
        <x:v>A-PL-008</x:v>
      </x:c>
      <x:c r="C14" t="str">
        <x:v>gate</x:v>
      </x:c>
      <x:c r="D14" t="str">
        <x:v>PL-DRW-08</x:v>
      </x:c>
      <x:c r="E14" t="str">
        <x:v>PASS</x:v>
      </x:c>
      <x:c r="F14" t="str">
        <x:f>'Release Gates'!I14</x:f>
        <x:v>PASS</x:v>
      </x:c>
      <x:c r="G14" t="str">
        <x:f>IF(E14=F14,"PASS","FAIL")</x:f>
        <x:v>PASS</x:v>
      </x:c>
      <x:c r="H14" t="str">
        <x:f>G14</x:f>
        <x:v>PASS</x:v>
      </x:c>
    </x:row>
    <x:row r="15">
      <x:c r="B15" t="str">
        <x:v>A-PL-009</x:v>
      </x:c>
      <x:c r="C15" t="str">
        <x:v>gate</x:v>
      </x:c>
      <x:c r="D15" t="str">
        <x:v>PL-DRW-09</x:v>
      </x:c>
      <x:c r="E15" t="str">
        <x:v>PASS</x:v>
      </x:c>
      <x:c r="F15" t="str">
        <x:f>'Release Gates'!I15</x:f>
        <x:v>PASS</x:v>
      </x:c>
      <x:c r="G15" t="str">
        <x:f>IF(E15=F15,"PASS","FAIL")</x:f>
        <x:v>PASS</x:v>
      </x:c>
      <x:c r="H15" t="str">
        <x:f>G15</x:f>
        <x:v>PASS</x:v>
      </x:c>
    </x:row>
    <x:row r="16">
      <x:c r="B16" t="str">
        <x:v>A-PL-010</x:v>
      </x:c>
      <x:c r="C16" t="str">
        <x:v>gate</x:v>
      </x:c>
      <x:c r="D16" t="str">
        <x:v>PL-DRW-10</x:v>
      </x:c>
      <x:c r="E16" t="str">
        <x:v>PASS</x:v>
      </x:c>
      <x:c r="F16" t="str">
        <x:f>'Release Gates'!I16</x:f>
        <x:v>PASS</x:v>
      </x:c>
      <x:c r="G16" t="str">
        <x:f>IF(E16=F16,"PASS","FAIL")</x:f>
        <x:v>PASS</x:v>
      </x:c>
      <x:c r="H16" t="str">
        <x:f>G16</x:f>
        <x:v>PASS</x:v>
      </x:c>
    </x:row>
    <x:row r="17">
      <x:c r="B17" t="str">
        <x:v>A-PL-011</x:v>
      </x:c>
      <x:c r="C17" t="str">
        <x:v>gate</x:v>
      </x:c>
      <x:c r="D17" t="str">
        <x:v>PL-DRW-11</x:v>
      </x:c>
      <x:c r="E17" t="str">
        <x:v>PASS</x:v>
      </x:c>
      <x:c r="F17" t="str">
        <x:f>'Release Gates'!I17</x:f>
        <x:v>PASS</x:v>
      </x:c>
      <x:c r="G17" t="str">
        <x:f>IF(E17=F17,"PASS","FAIL")</x:f>
        <x:v>PASS</x:v>
      </x:c>
      <x:c r="H17" t="str">
        <x:f>G17</x:f>
        <x:v>PASS</x:v>
      </x:c>
    </x:row>
    <x:row r="18">
      <x:c r="B18" t="str">
        <x:v>A-PL-012</x:v>
      </x:c>
      <x:c r="C18" t="str">
        <x:v>gate</x:v>
      </x:c>
      <x:c r="D18" t="str">
        <x:v>PL-DRW-12</x:v>
      </x:c>
      <x:c r="E18" t="str">
        <x:v>PASS</x:v>
      </x:c>
      <x:c r="F18" t="str">
        <x:f>'Release Gates'!I18</x:f>
        <x:v>PASS</x:v>
      </x:c>
      <x:c r="G18" t="str">
        <x:f>IF(E18=F18,"PASS","FAIL")</x:f>
        <x:v>PASS</x:v>
      </x:c>
      <x:c r="H18" t="str">
        <x:f>G18</x:f>
        <x:v>PASS</x:v>
      </x:c>
    </x:row>
    <x:row r="19">
      <x:c r="B19" t="str">
        <x:v>A-PL-013</x:v>
      </x:c>
      <x:c r="C19" t="str">
        <x:v>gate</x:v>
      </x:c>
      <x:c r="D19" t="str">
        <x:v>PL-DRW-13</x:v>
      </x:c>
      <x:c r="E19" t="str">
        <x:v>PASS</x:v>
      </x:c>
      <x:c r="F19" t="str">
        <x:f>'Release Gates'!I19</x:f>
        <x:v>PASS</x:v>
      </x:c>
      <x:c r="G19" t="str">
        <x:f>IF(E19=F19,"PASS","FAIL")</x:f>
        <x:v>PASS</x:v>
      </x:c>
      <x:c r="H19" t="str">
        <x:f>G19</x:f>
        <x:v>PASS</x:v>
      </x:c>
    </x:row>
    <x:row r="20">
      <x:c r="B20" t="str">
        <x:v>A-PL-014</x:v>
      </x:c>
      <x:c r="C20" t="str">
        <x:v>gate</x:v>
      </x:c>
      <x:c r="D20" t="str">
        <x:v>PL-DRW-14</x:v>
      </x:c>
      <x:c r="E20" t="str">
        <x:v>PASS</x:v>
      </x:c>
      <x:c r="F20" t="str">
        <x:f>'Release Gates'!I20</x:f>
        <x:v>PASS</x:v>
      </x:c>
      <x:c r="G20" t="str">
        <x:f>IF(E20=F20,"PASS","FAIL")</x:f>
        <x:v>PASS</x:v>
      </x:c>
      <x:c r="H20" t="str">
        <x:f>G20</x:f>
        <x:v>PASS</x:v>
      </x:c>
    </x:row>
    <x:row r="21">
      <x:c r="B21" t="str">
        <x:v>A-PL-015</x:v>
      </x:c>
      <x:c r="C21" t="str">
        <x:v>gate</x:v>
      </x:c>
      <x:c r="D21" t="str">
        <x:v>PL-DRW-15</x:v>
      </x:c>
      <x:c r="E21" t="str">
        <x:v>PASS</x:v>
      </x:c>
      <x:c r="F21" t="str">
        <x:f>'Release Gates'!I21</x:f>
        <x:v>PASS</x:v>
      </x:c>
      <x:c r="G21" t="str">
        <x:f>IF(E21=F21,"PASS","FAIL")</x:f>
        <x:v>PASS</x:v>
      </x:c>
      <x:c r="H21" t="str">
        <x:f>G21</x:f>
        <x:v>PASS</x:v>
      </x:c>
    </x:row>
    <x:row r="22">
      <x:c r="B22" t="str">
        <x:v>A-PL-016</x:v>
      </x:c>
      <x:c r="C22" t="str">
        <x:v>gate</x:v>
      </x:c>
      <x:c r="D22" t="str">
        <x:v>PL-DRW-16</x:v>
      </x:c>
      <x:c r="E22" t="str">
        <x:v>PASS</x:v>
      </x:c>
      <x:c r="F22" t="str">
        <x:f>'Release Gates'!I22</x:f>
        <x:v>PASS</x:v>
      </x:c>
      <x:c r="G22" t="str">
        <x:f>IF(E22=F22,"PASS","FAIL")</x:f>
        <x:v>PASS</x:v>
      </x:c>
      <x:c r="H22" t="str">
        <x:f>G22</x:f>
        <x:v>PASS</x:v>
      </x:c>
    </x:row>
    <x:row r="23">
      <x:c r="B23" t="str">
        <x:v>A-PL-017</x:v>
      </x:c>
      <x:c r="C23" t="str">
        <x:v>gate</x:v>
      </x:c>
      <x:c r="D23" t="str">
        <x:v>PL-DRW-17</x:v>
      </x:c>
      <x:c r="E23" t="str">
        <x:v>PASS</x:v>
      </x:c>
      <x:c r="F23" t="str">
        <x:f>'Release Gates'!I23</x:f>
        <x:v>PASS</x:v>
      </x:c>
      <x:c r="G23" t="str">
        <x:f>IF(E23=F23,"PASS","FAIL")</x:f>
        <x:v>PASS</x:v>
      </x:c>
      <x:c r="H23" t="str">
        <x:f>G23</x:f>
        <x:v>PASS</x:v>
      </x:c>
    </x:row>
    <x:row r="24">
      <x:c r="B24" t="str">
        <x:v>A-PL-018</x:v>
      </x:c>
      <x:c r="C24" t="str">
        <x:v>gate</x:v>
      </x:c>
      <x:c r="D24" t="str">
        <x:v>PL-DRW-18</x:v>
      </x:c>
      <x:c r="E24" t="str">
        <x:v>PASS</x:v>
      </x:c>
      <x:c r="F24" t="str">
        <x:f>'Release Gates'!I24</x:f>
        <x:v>PASS</x:v>
      </x:c>
      <x:c r="G24" t="str">
        <x:f>IF(E24=F24,"PASS","FAIL")</x:f>
        <x:v>PASS</x:v>
      </x:c>
      <x:c r="H24" t="str">
        <x:f>G24</x:f>
        <x:v>PASS</x:v>
      </x:c>
    </x:row>
    <x:row r="25">
      <x:c r="B25" t="str">
        <x:v>A-PL-019</x:v>
      </x:c>
      <x:c r="C25" t="str">
        <x:v>gate</x:v>
      </x:c>
      <x:c r="D25" t="str">
        <x:v>PL-DRW-19</x:v>
      </x:c>
      <x:c r="E25" t="str">
        <x:v>PASS</x:v>
      </x:c>
      <x:c r="F25" t="str">
        <x:f>'Release Gates'!I25</x:f>
        <x:v>PASS</x:v>
      </x:c>
      <x:c r="G25" t="str">
        <x:f>IF(E25=F25,"PASS","FAIL")</x:f>
        <x:v>PASS</x:v>
      </x:c>
      <x:c r="H25" t="str">
        <x:f>G25</x:f>
        <x:v>PASS</x:v>
      </x:c>
    </x:row>
    <x:row r="26">
      <x:c r="B26" t="str">
        <x:v>A-PL-020</x:v>
      </x:c>
      <x:c r="C26" t="str">
        <x:v>gate</x:v>
      </x:c>
      <x:c r="D26" t="str">
        <x:v>PL-DRW-20</x:v>
      </x:c>
      <x:c r="E26" t="str">
        <x:v>PASS</x:v>
      </x:c>
      <x:c r="F26" t="str">
        <x:f>'Release Gates'!I26</x:f>
        <x:v>PASS</x:v>
      </x:c>
      <x:c r="G26" t="str">
        <x:f>IF(E26=F26,"PASS","FAIL")</x:f>
        <x:v>PASS</x:v>
      </x:c>
      <x:c r="H26" t="str">
        <x:f>G26</x:f>
        <x:v>PASS</x:v>
      </x:c>
    </x:row>
    <x:row r="27">
      <x:c r="B27" t="str">
        <x:v>A-PL-021</x:v>
      </x:c>
      <x:c r="C27" t="str">
        <x:v>gate</x:v>
      </x:c>
      <x:c r="D27" t="str">
        <x:v>PL-DRW-21</x:v>
      </x:c>
      <x:c r="E27" t="str">
        <x:v>PASS</x:v>
      </x:c>
      <x:c r="F27" t="str">
        <x:f>'Release Gates'!I27</x:f>
        <x:v>PASS</x:v>
      </x:c>
      <x:c r="G27" t="str">
        <x:f>IF(E27=F27,"PASS","FAIL")</x:f>
        <x:v>PASS</x:v>
      </x:c>
      <x:c r="H27" t="str">
        <x:f>G27</x:f>
        <x:v>PASS</x:v>
      </x:c>
    </x:row>
    <x:row r="28">
      <x:c r="B28" t="str">
        <x:v>A-PL-022</x:v>
      </x:c>
      <x:c r="C28" t="str">
        <x:v>gate</x:v>
      </x:c>
      <x:c r="D28" t="str">
        <x:v>PL-DRW-22</x:v>
      </x:c>
      <x:c r="E28" t="str">
        <x:v>PASS</x:v>
      </x:c>
      <x:c r="F28" t="str">
        <x:f>'Release Gates'!I28</x:f>
        <x:v>PASS</x:v>
      </x:c>
      <x:c r="G28" t="str">
        <x:f>IF(E28=F28,"PASS","FAIL")</x:f>
        <x:v>PASS</x:v>
      </x:c>
      <x:c r="H28" t="str">
        <x:f>G28</x:f>
        <x:v>PASS</x:v>
      </x:c>
    </x:row>
    <x:row r="29">
      <x:c r="B29" t="str">
        <x:v>A-PL-023</x:v>
      </x:c>
      <x:c r="C29" t="str">
        <x:v>gate</x:v>
      </x:c>
      <x:c r="D29" t="str">
        <x:v>PL-DRW-23</x:v>
      </x:c>
      <x:c r="E29" t="str">
        <x:v>PASS</x:v>
      </x:c>
      <x:c r="F29" t="str">
        <x:f>'Release Gates'!I29</x:f>
        <x:v>PASS</x:v>
      </x:c>
      <x:c r="G29" t="str">
        <x:f>IF(E29=F29,"PASS","FAIL")</x:f>
        <x:v>PASS</x:v>
      </x:c>
      <x:c r="H29" t="str">
        <x:f>G29</x:f>
        <x:v>PASS</x:v>
      </x:c>
    </x:row>
    <x:row r="30">
      <x:c r="B30" t="str">
        <x:v>A-PL-024</x:v>
      </x:c>
      <x:c r="C30" t="str">
        <x:v>gate</x:v>
      </x:c>
      <x:c r="D30" t="str">
        <x:v>PL-DRW-24</x:v>
      </x:c>
      <x:c r="E30" t="str">
        <x:v>PASS</x:v>
      </x:c>
      <x:c r="F30" t="str">
        <x:f>'Release Gates'!I30</x:f>
        <x:v>PASS</x:v>
      </x:c>
      <x:c r="G30" t="str">
        <x:f>IF(E30=F30,"PASS","FAIL")</x:f>
        <x:v>PASS</x:v>
      </x:c>
      <x:c r="H30" t="str">
        <x:f>G30</x:f>
        <x:v>PASS</x:v>
      </x:c>
    </x:row>
    <x:row r="31">
      <x:c r="B31" t="str">
        <x:v>A-PL-025</x:v>
      </x:c>
      <x:c r="C31" t="str">
        <x:v>gate</x:v>
      </x:c>
      <x:c r="D31" t="str">
        <x:v>PL-DRW-25</x:v>
      </x:c>
      <x:c r="E31" t="str">
        <x:v>PASS</x:v>
      </x:c>
      <x:c r="F31" t="str">
        <x:f>'Release Gates'!I31</x:f>
        <x:v>PASS</x:v>
      </x:c>
      <x:c r="G31" t="str">
        <x:f>IF(E31=F31,"PASS","FAIL")</x:f>
        <x:v>PASS</x:v>
      </x:c>
      <x:c r="H31" t="str">
        <x:f>G31</x:f>
        <x:v>PASS</x:v>
      </x:c>
    </x:row>
    <x:row r="32">
      <x:c r="B32" t="str">
        <x:v>A-PL-026</x:v>
      </x:c>
      <x:c r="C32" t="str">
        <x:v>gate</x:v>
      </x:c>
      <x:c r="D32" t="str">
        <x:v>PL-DRW-26</x:v>
      </x:c>
      <x:c r="E32" t="str">
        <x:v>PASS</x:v>
      </x:c>
      <x:c r="F32" t="str">
        <x:f>'Release Gates'!I32</x:f>
        <x:v>PASS</x:v>
      </x:c>
      <x:c r="G32" t="str">
        <x:f>IF(E32=F32,"PASS","FAIL")</x:f>
        <x:v>PASS</x:v>
      </x:c>
      <x:c r="H32" t="str">
        <x:f>G32</x:f>
        <x:v>PASS</x:v>
      </x:c>
    </x:row>
    <x:row r="33">
      <x:c r="B33" t="str">
        <x:v>A-PL-027</x:v>
      </x:c>
      <x:c r="C33" t="str">
        <x:v>gate</x:v>
      </x:c>
      <x:c r="D33" t="str">
        <x:v>PL-DRW-27</x:v>
      </x:c>
      <x:c r="E33" t="str">
        <x:v>PASS</x:v>
      </x:c>
      <x:c r="F33" t="str">
        <x:f>'Release Gates'!I33</x:f>
        <x:v>PASS</x:v>
      </x:c>
      <x:c r="G33" t="str">
        <x:f>IF(E33=F33,"PASS","FAIL")</x:f>
        <x:v>PASS</x:v>
      </x:c>
      <x:c r="H33" t="str">
        <x:f>G33</x:f>
        <x:v>PASS</x:v>
      </x:c>
    </x:row>
    <x:row r="34">
      <x:c r="B34" t="str">
        <x:v>A-PL-028</x:v>
      </x:c>
      <x:c r="C34" t="str">
        <x:v>gate</x:v>
      </x:c>
      <x:c r="D34" t="str">
        <x:v>PL-DRW-28</x:v>
      </x:c>
      <x:c r="E34" t="str">
        <x:v>PASS</x:v>
      </x:c>
      <x:c r="F34" t="str">
        <x:f>'Release Gates'!I34</x:f>
        <x:v>PASS</x:v>
      </x:c>
      <x:c r="G34" t="str">
        <x:f>IF(E34=F34,"PASS","FAIL")</x:f>
        <x:v>PASS</x:v>
      </x:c>
      <x:c r="H34" t="str">
        <x:f>G34</x:f>
        <x:v>PASS</x:v>
      </x:c>
    </x:row>
    <x:row r="35">
      <x:c r="B35" t="str">
        <x:v>A-PL-029</x:v>
      </x:c>
      <x:c r="C35" t="str">
        <x:v>gate</x:v>
      </x:c>
      <x:c r="D35" t="str">
        <x:v>PL-DRW-29</x:v>
      </x:c>
      <x:c r="E35" t="str">
        <x:v>PASS</x:v>
      </x:c>
      <x:c r="F35" t="str">
        <x:f>'Release Gates'!I35</x:f>
        <x:v>PASS</x:v>
      </x:c>
      <x:c r="G35" t="str">
        <x:f>IF(E35=F35,"PASS","FAIL")</x:f>
        <x:v>PASS</x:v>
      </x:c>
      <x:c r="H35" t="str">
        <x:f>G35</x:f>
        <x:v>PASS</x:v>
      </x:c>
    </x:row>
    <x:row r="36">
      <x:c r="B36" t="str">
        <x:v>A-PL-030</x:v>
      </x:c>
      <x:c r="C36" t="str">
        <x:v>gate</x:v>
      </x:c>
      <x:c r="D36" t="str">
        <x:v>PL-DRW-30</x:v>
      </x:c>
      <x:c r="E36" t="str">
        <x:v>PASS</x:v>
      </x:c>
      <x:c r="F36" t="str">
        <x:f>'Release Gates'!I36</x:f>
        <x:v>PASS</x:v>
      </x:c>
      <x:c r="G36" t="str">
        <x:f>IF(E36=F36,"PASS","FAIL")</x:f>
        <x:v>PASS</x:v>
      </x:c>
      <x:c r="H36" t="str">
        <x:f>G36</x:f>
        <x:v>PASS</x:v>
      </x:c>
    </x:row>
    <x:row r="37">
      <x:c r="B37" t="str">
        <x:v>A-PL-031</x:v>
      </x:c>
      <x:c r="C37" t="str">
        <x:v>gate</x:v>
      </x:c>
      <x:c r="D37" t="str">
        <x:v>PL-DRW-31</x:v>
      </x:c>
      <x:c r="E37" t="str">
        <x:v>PASS</x:v>
      </x:c>
      <x:c r="F37" t="str">
        <x:f>'Release Gates'!I37</x:f>
        <x:v>PASS</x:v>
      </x:c>
      <x:c r="G37" t="str">
        <x:f>IF(E37=F37,"PASS","FAIL")</x:f>
        <x:v>PASS</x:v>
      </x:c>
      <x:c r="H37" t="str">
        <x:f>G37</x:f>
        <x:v>PASS</x:v>
      </x:c>
    </x:row>
    <x:row r="38">
      <x:c r="B38" t="str">
        <x:v>A-PL-032</x:v>
      </x:c>
      <x:c r="C38" t="str">
        <x:v>gate</x:v>
      </x:c>
      <x:c r="D38" t="str">
        <x:v>PL-DRW-32</x:v>
      </x:c>
      <x:c r="E38" t="str">
        <x:v>PASS</x:v>
      </x:c>
      <x:c r="F38" t="str">
        <x:f>'Release Gates'!I38</x:f>
        <x:v>PASS</x:v>
      </x:c>
      <x:c r="G38" t="str">
        <x:f>IF(E38=F38,"PASS","FAIL")</x:f>
        <x:v>PASS</x:v>
      </x:c>
      <x:c r="H38" t="str">
        <x:f>G38</x:f>
        <x:v>PASS</x:v>
      </x:c>
    </x:row>
    <x:row r="39">
      <x:c r="B39" t="str">
        <x:v>A-PL-033</x:v>
      </x:c>
      <x:c r="C39" t="str">
        <x:v>gate</x:v>
      </x:c>
      <x:c r="D39" t="str">
        <x:v>PL-DRW-33</x:v>
      </x:c>
      <x:c r="E39" t="str">
        <x:v>PASS</x:v>
      </x:c>
      <x:c r="F39" t="str">
        <x:f>'Release Gates'!I39</x:f>
        <x:v>PASS</x:v>
      </x:c>
      <x:c r="G39" t="str">
        <x:f>IF(E39=F39,"PASS","FAIL")</x:f>
        <x:v>PASS</x:v>
      </x:c>
      <x:c r="H39" t="str">
        <x:f>G39</x:f>
        <x:v>PASS</x:v>
      </x:c>
    </x:row>
    <x:row r="40">
      <x:c r="B40" t="str">
        <x:v>A-PL-034</x:v>
      </x:c>
      <x:c r="C40" t="str">
        <x:v>gate</x:v>
      </x:c>
      <x:c r="D40" t="str">
        <x:v>PL-DRW-34</x:v>
      </x:c>
      <x:c r="E40" t="str">
        <x:v>PASS</x:v>
      </x:c>
      <x:c r="F40" t="str">
        <x:f>'Release Gates'!I40</x:f>
        <x:v>PASS</x:v>
      </x:c>
      <x:c r="G40" t="str">
        <x:f>IF(E40=F40,"PASS","FAIL")</x:f>
        <x:v>PASS</x:v>
      </x:c>
      <x:c r="H40" t="str">
        <x:f>G40</x:f>
        <x:v>PASS</x:v>
      </x:c>
    </x:row>
    <x:row r="41">
      <x:c r="B41" t="str">
        <x:v>A-PL-035</x:v>
      </x:c>
      <x:c r="C41" t="str">
        <x:v>gate</x:v>
      </x:c>
      <x:c r="D41" t="str">
        <x:v>PL-DRW-35</x:v>
      </x:c>
      <x:c r="E41" t="str">
        <x:v>PASS</x:v>
      </x:c>
      <x:c r="F41" t="str">
        <x:f>'Release Gates'!I41</x:f>
        <x:v>PASS</x:v>
      </x:c>
      <x:c r="G41" t="str">
        <x:f>IF(E41=F41,"PASS","FAIL")</x:f>
        <x:v>PASS</x:v>
      </x:c>
      <x:c r="H41" t="str">
        <x:f>G41</x:f>
        <x:v>PASS</x:v>
      </x:c>
    </x:row>
    <x:row r="42">
      <x:c r="B42" t="str">
        <x:v>A-PL-036</x:v>
      </x:c>
      <x:c r="C42" t="str">
        <x:v>gate</x:v>
      </x:c>
      <x:c r="D42" t="str">
        <x:v>PL-DRW-36</x:v>
      </x:c>
      <x:c r="E42" t="str">
        <x:v>PASS</x:v>
      </x:c>
      <x:c r="F42" t="str">
        <x:f>'Release Gates'!I42</x:f>
        <x:v>PASS</x:v>
      </x:c>
      <x:c r="G42" t="str">
        <x:f>IF(E42=F42,"PASS","FAIL")</x:f>
        <x:v>PASS</x:v>
      </x:c>
      <x:c r="H42" t="str">
        <x:f>G42</x:f>
        <x:v>PASS</x:v>
      </x:c>
    </x:row>
    <x:row r="43">
      <x:c r="B43" t="str">
        <x:v>A-PL-037</x:v>
      </x:c>
      <x:c r="C43" t="str">
        <x:v>gate</x:v>
      </x:c>
      <x:c r="D43" t="str">
        <x:v>PL-DRW-37</x:v>
      </x:c>
      <x:c r="E43" t="str">
        <x:v>PASS</x:v>
      </x:c>
      <x:c r="F43" t="str">
        <x:f>'Release Gates'!I43</x:f>
        <x:v>PASS</x:v>
      </x:c>
      <x:c r="G43" t="str">
        <x:f>IF(E43=F43,"PASS","FAIL")</x:f>
        <x:v>PASS</x:v>
      </x:c>
      <x:c r="H43" t="str">
        <x:f>G43</x:f>
        <x:v>PASS</x:v>
      </x:c>
    </x:row>
    <x:row r="44">
      <x:c r="B44" t="str">
        <x:v>A-PL-038</x:v>
      </x:c>
      <x:c r="C44" t="str">
        <x:v>gate</x:v>
      </x:c>
      <x:c r="D44" t="str">
        <x:v>PL-DRW-38</x:v>
      </x:c>
      <x:c r="E44" t="str">
        <x:v>PASS</x:v>
      </x:c>
      <x:c r="F44" t="str">
        <x:f>'Release Gates'!I44</x:f>
        <x:v>PASS</x:v>
      </x:c>
      <x:c r="G44" t="str">
        <x:f>IF(E44=F44,"PASS","FAIL")</x:f>
        <x:v>PASS</x:v>
      </x:c>
      <x:c r="H44" t="str">
        <x:f>G44</x:f>
        <x:v>PASS</x:v>
      </x:c>
    </x:row>
    <x:row r="45">
      <x:c r="B45" t="str">
        <x:v>A-PL-039</x:v>
      </x:c>
      <x:c r="C45" t="str">
        <x:v>gate</x:v>
      </x:c>
      <x:c r="D45" t="str">
        <x:v>PL-DRW-39</x:v>
      </x:c>
      <x:c r="E45" t="str">
        <x:v>PASS</x:v>
      </x:c>
      <x:c r="F45" t="str">
        <x:f>'Release Gates'!I45</x:f>
        <x:v>PASS</x:v>
      </x:c>
      <x:c r="G45" t="str">
        <x:f>IF(E45=F45,"PASS","FAIL")</x:f>
        <x:v>PASS</x:v>
      </x:c>
      <x:c r="H45" t="str">
        <x:f>G45</x:f>
        <x:v>PASS</x:v>
      </x:c>
    </x:row>
    <x:row r="46">
      <x:c r="B46" t="str">
        <x:v>A-PL-040</x:v>
      </x:c>
      <x:c r="C46" t="str">
        <x:v>gate</x:v>
      </x:c>
      <x:c r="D46" t="str">
        <x:v>PL-DRW-40</x:v>
      </x:c>
      <x:c r="E46" t="str">
        <x:v>PASS</x:v>
      </x:c>
      <x:c r="F46" t="str">
        <x:f>'Release Gates'!I46</x:f>
        <x:v>PASS</x:v>
      </x:c>
      <x:c r="G46" t="str">
        <x:f>IF(E46=F46,"PASS","FAIL")</x:f>
        <x:v>PASS</x:v>
      </x:c>
      <x:c r="H46" t="str">
        <x:f>G46</x:f>
        <x:v>PASS</x:v>
      </x:c>
    </x:row>
    <x:row r="47">
      <x:c r="B47" t="str">
        <x:v>A-PL-041</x:v>
      </x:c>
      <x:c r="C47" t="str">
        <x:v>gate</x:v>
      </x:c>
      <x:c r="D47" t="str">
        <x:v>PL-DRW-41</x:v>
      </x:c>
      <x:c r="E47" t="str">
        <x:v>PASS</x:v>
      </x:c>
      <x:c r="F47" t="str">
        <x:f>'Release Gates'!I47</x:f>
        <x:v>PASS</x:v>
      </x:c>
      <x:c r="G47" t="str">
        <x:f>IF(E47=F47,"PASS","FAIL")</x:f>
        <x:v>PASS</x:v>
      </x:c>
      <x:c r="H47" t="str">
        <x:f>G47</x:f>
        <x:v>PASS</x:v>
      </x:c>
    </x:row>
    <x:row r="48">
      <x:c r="B48" t="str">
        <x:v>A-PL-042</x:v>
      </x:c>
      <x:c r="C48" t="str">
        <x:v>gate</x:v>
      </x:c>
      <x:c r="D48" t="str">
        <x:v>PL-DRW-42</x:v>
      </x:c>
      <x:c r="E48" t="str">
        <x:v>PASS</x:v>
      </x:c>
      <x:c r="F48" t="str">
        <x:f>'Release Gates'!I48</x:f>
        <x:v>PASS</x:v>
      </x:c>
      <x:c r="G48" t="str">
        <x:f>IF(E48=F48,"PASS","FAIL")</x:f>
        <x:v>PASS</x:v>
      </x:c>
      <x:c r="H48" t="str">
        <x:f>G48</x:f>
        <x:v>PASS</x:v>
      </x:c>
    </x:row>
    <x:row r="49">
      <x:c r="B49" t="str">
        <x:v>A-PL-043</x:v>
      </x:c>
      <x:c r="C49" t="str">
        <x:v>gate</x:v>
      </x:c>
      <x:c r="D49" t="str">
        <x:v>PL-DRW-43</x:v>
      </x:c>
      <x:c r="E49" t="str">
        <x:v>PASS</x:v>
      </x:c>
      <x:c r="F49" t="str">
        <x:f>'Release Gates'!I49</x:f>
        <x:v>PASS</x:v>
      </x:c>
      <x:c r="G49" t="str">
        <x:f>IF(E49=F49,"PASS","FAIL")</x:f>
        <x:v>PASS</x:v>
      </x:c>
      <x:c r="H49" t="str">
        <x:f>G49</x:f>
        <x:v>PASS</x:v>
      </x:c>
    </x:row>
    <x:row r="50">
      <x:c r="B50" t="str">
        <x:v>A-PL-044</x:v>
      </x:c>
      <x:c r="C50" t="str">
        <x:v>gate</x:v>
      </x:c>
      <x:c r="D50" t="str">
        <x:v>PL-DRW-44</x:v>
      </x:c>
      <x:c r="E50" t="str">
        <x:v>PASS</x:v>
      </x:c>
      <x:c r="F50" t="str">
        <x:f>'Release Gates'!I50</x:f>
        <x:v>PASS</x:v>
      </x:c>
      <x:c r="G50" t="str">
        <x:f>IF(E50=F50,"PASS","FAIL")</x:f>
        <x:v>PASS</x:v>
      </x:c>
      <x:c r="H50" t="str">
        <x:f>G50</x:f>
        <x:v>PASS</x:v>
      </x:c>
    </x:row>
    <x:row r="51">
      <x:c r="B51" t="str">
        <x:v>A-PL-045</x:v>
      </x:c>
      <x:c r="C51" t="str">
        <x:v>gate</x:v>
      </x:c>
      <x:c r="D51" t="str">
        <x:v>PL-DRW-45</x:v>
      </x:c>
      <x:c r="E51" t="str">
        <x:v>PASS</x:v>
      </x:c>
      <x:c r="F51" t="str">
        <x:f>'Release Gates'!I51</x:f>
        <x:v>PASS</x:v>
      </x:c>
      <x:c r="G51" t="str">
        <x:f>IF(E51=F51,"PASS","FAIL")</x:f>
        <x:v>PASS</x:v>
      </x:c>
      <x:c r="H51" t="str">
        <x:f>G51</x:f>
        <x:v>PASS</x:v>
      </x:c>
    </x:row>
    <x:row r="52">
      <x:c r="B52" t="str">
        <x:v>A-PL-046</x:v>
      </x:c>
      <x:c r="C52" t="str">
        <x:v>gate</x:v>
      </x:c>
      <x:c r="D52" t="str">
        <x:v>PL-DRW-46</x:v>
      </x:c>
      <x:c r="E52" t="str">
        <x:v>PASS</x:v>
      </x:c>
      <x:c r="F52" t="str">
        <x:f>'Release Gates'!I52</x:f>
        <x:v>PASS</x:v>
      </x:c>
      <x:c r="G52" t="str">
        <x:f>IF(E52=F52,"PASS","FAIL")</x:f>
        <x:v>PASS</x:v>
      </x:c>
      <x:c r="H52" t="str">
        <x:f>G52</x:f>
        <x:v>PASS</x:v>
      </x:c>
    </x:row>
    <x:row r="53">
      <x:c r="B53" t="str">
        <x:v>A-PL-047</x:v>
      </x:c>
      <x:c r="C53" t="str">
        <x:v>gate</x:v>
      </x:c>
      <x:c r="D53" t="str">
        <x:v>PL-DRW-47</x:v>
      </x:c>
      <x:c r="E53" t="str">
        <x:v>PASS</x:v>
      </x:c>
      <x:c r="F53" t="str">
        <x:f>'Release Gates'!I53</x:f>
        <x:v>PASS</x:v>
      </x:c>
      <x:c r="G53" t="str">
        <x:f>IF(E53=F53,"PASS","FAIL")</x:f>
        <x:v>PASS</x:v>
      </x:c>
      <x:c r="H53" t="str">
        <x:f>G53</x:f>
        <x:v>PASS</x:v>
      </x:c>
    </x:row>
    <x:row r="54">
      <x:c r="B54" t="str">
        <x:v>A-PL-048</x:v>
      </x:c>
      <x:c r="C54" t="str">
        <x:v>gate</x:v>
      </x:c>
      <x:c r="D54" t="str">
        <x:v>PL-DRW-48</x:v>
      </x:c>
      <x:c r="E54" t="str">
        <x:v>PASS</x:v>
      </x:c>
      <x:c r="F54" t="str">
        <x:f>'Release Gates'!I54</x:f>
        <x:v>PASS</x:v>
      </x:c>
      <x:c r="G54" t="str">
        <x:f>IF(E54=F54,"PASS","FAIL")</x:f>
        <x:v>PASS</x:v>
      </x:c>
      <x:c r="H54" t="str">
        <x:f>G54</x:f>
        <x:v>PASS</x:v>
      </x:c>
    </x:row>
    <x:row r="55">
      <x:c r="B55" t="str">
        <x:v>A-PL-049</x:v>
      </x:c>
      <x:c r="C55" t="str">
        <x:v>gate</x:v>
      </x:c>
      <x:c r="D55" t="str">
        <x:v>PL-DRW-49</x:v>
      </x:c>
      <x:c r="E55" t="str">
        <x:v>PASS</x:v>
      </x:c>
      <x:c r="F55" t="str">
        <x:f>'Release Gates'!I55</x:f>
        <x:v>PASS</x:v>
      </x:c>
      <x:c r="G55" t="str">
        <x:f>IF(E55=F55,"PASS","FAIL")</x:f>
        <x:v>PASS</x:v>
      </x:c>
      <x:c r="H55" t="str">
        <x:f>G55</x:f>
        <x:v>PASS</x:v>
      </x:c>
    </x:row>
    <x:row r="56">
      <x:c r="B56" t="str">
        <x:v>A-PL-050</x:v>
      </x:c>
      <x:c r="C56" t="str">
        <x:v>gate</x:v>
      </x:c>
      <x:c r="D56" t="str">
        <x:v>PL-DRW-50</x:v>
      </x:c>
      <x:c r="E56" t="str">
        <x:v>PASS</x:v>
      </x:c>
      <x:c r="F56" t="str">
        <x:f>'Release Gates'!I56</x:f>
        <x:v>PASS</x:v>
      </x:c>
      <x:c r="G56" t="str">
        <x:f>IF(E56=F56,"PASS","FAIL")</x:f>
        <x:v>PASS</x:v>
      </x:c>
      <x:c r="H56" t="str">
        <x:f>G56</x:f>
        <x:v>PASS</x:v>
      </x:c>
    </x:row>
    <x:row r="57">
      <x:c r="B57" t="str">
        <x:v>A-PL-051</x:v>
      </x:c>
      <x:c r="C57" t="str">
        <x:v>gate</x:v>
      </x:c>
      <x:c r="D57" t="str">
        <x:v>PL-DRW-51</x:v>
      </x:c>
      <x:c r="E57" t="str">
        <x:v>PASS</x:v>
      </x:c>
      <x:c r="F57" t="str">
        <x:f>'Release Gates'!I57</x:f>
        <x:v>PASS</x:v>
      </x:c>
      <x:c r="G57" t="str">
        <x:f>IF(E57=F57,"PASS","FAIL")</x:f>
        <x:v>PASS</x:v>
      </x:c>
      <x:c r="H57" t="str">
        <x:f>G57</x:f>
        <x:v>PASS</x:v>
      </x:c>
    </x:row>
    <x:row r="58">
      <x:c r="B58" t="str">
        <x:v>A-PL-052</x:v>
      </x:c>
      <x:c r="C58" t="str">
        <x:v>gate</x:v>
      </x:c>
      <x:c r="D58" t="str">
        <x:v>PL-DRW-52</x:v>
      </x:c>
      <x:c r="E58" t="str">
        <x:v>PASS</x:v>
      </x:c>
      <x:c r="F58" t="str">
        <x:f>'Release Gates'!I58</x:f>
        <x:v>PASS</x:v>
      </x:c>
      <x:c r="G58" t="str">
        <x:f>IF(E58=F58,"PASS","FAIL")</x:f>
        <x:v>PASS</x:v>
      </x:c>
      <x:c r="H58" t="str">
        <x:f>G58</x:f>
        <x:v>PASS</x:v>
      </x:c>
    </x:row>
    <x:row r="59">
      <x:c r="B59" t="str">
        <x:v>A-PL-053</x:v>
      </x:c>
      <x:c r="C59" t="str">
        <x:v>gate</x:v>
      </x:c>
      <x:c r="D59" t="str">
        <x:v>PL-DRW-53</x:v>
      </x:c>
      <x:c r="E59" t="str">
        <x:v>PASS</x:v>
      </x:c>
      <x:c r="F59" t="str">
        <x:f>'Release Gates'!I59</x:f>
        <x:v>PASS</x:v>
      </x:c>
      <x:c r="G59" t="str">
        <x:f>IF(E59=F59,"PASS","FAIL")</x:f>
        <x:v>PASS</x:v>
      </x:c>
      <x:c r="H59" t="str">
        <x:f>G59</x:f>
        <x:v>PASS</x:v>
      </x:c>
    </x:row>
    <x:row r="60">
      <x:c r="B60" t="str">
        <x:v>A-PL-054</x:v>
      </x:c>
      <x:c r="C60" t="str">
        <x:v>gate</x:v>
      </x:c>
      <x:c r="D60" t="str">
        <x:v>PL-DRW-54</x:v>
      </x:c>
      <x:c r="E60" t="str">
        <x:v>PASS</x:v>
      </x:c>
      <x:c r="F60" t="str">
        <x:f>'Release Gates'!I60</x:f>
        <x:v>PASS</x:v>
      </x:c>
      <x:c r="G60" t="str">
        <x:f>IF(E60=F60,"PASS","FAIL")</x:f>
        <x:v>PASS</x:v>
      </x:c>
      <x:c r="H60" t="str">
        <x:f>G60</x:f>
        <x:v>PASS</x:v>
      </x:c>
    </x:row>
    <x:row r="61">
      <x:c r="B61" t="str">
        <x:v>A-PL-055</x:v>
      </x:c>
      <x:c r="C61" t="str">
        <x:v>gate</x:v>
      </x:c>
      <x:c r="D61" t="str">
        <x:v>PL-DRW-55</x:v>
      </x:c>
      <x:c r="E61" t="str">
        <x:v>PASS</x:v>
      </x:c>
      <x:c r="F61" t="str">
        <x:f>'Release Gates'!I61</x:f>
        <x:v>PASS</x:v>
      </x:c>
      <x:c r="G61" t="str">
        <x:f>IF(E61=F61,"PASS","FAIL")</x:f>
        <x:v>PASS</x:v>
      </x:c>
      <x:c r="H61" t="str">
        <x:f>G61</x:f>
        <x:v>PASS</x:v>
      </x:c>
    </x:row>
    <x:row r="62">
      <x:c r="B62" t="str">
        <x:v>A-PL-056</x:v>
      </x:c>
      <x:c r="C62" t="str">
        <x:v>gate</x:v>
      </x:c>
      <x:c r="D62" t="str">
        <x:v>PL-DRW-56</x:v>
      </x:c>
      <x:c r="E62" t="str">
        <x:v>PASS</x:v>
      </x:c>
      <x:c r="F62" t="str">
        <x:f>'Release Gates'!I62</x:f>
        <x:v>PASS</x:v>
      </x:c>
      <x:c r="G62" t="str">
        <x:f>IF(E62=F62,"PASS","FAIL")</x:f>
        <x:v>PASS</x:v>
      </x:c>
      <x:c r="H62" t="str">
        <x:f>G62</x:f>
        <x:v>PASS</x:v>
      </x:c>
    </x:row>
    <x:row r="63">
      <x:c r="B63" t="str">
        <x:v>A-PL-057</x:v>
      </x:c>
      <x:c r="C63" t="str">
        <x:v>gate</x:v>
      </x:c>
      <x:c r="D63" t="str">
        <x:v>PL-DRW-57</x:v>
      </x:c>
      <x:c r="E63" t="str">
        <x:v>PASS</x:v>
      </x:c>
      <x:c r="F63" t="str">
        <x:f>'Release Gates'!I63</x:f>
        <x:v>PASS</x:v>
      </x:c>
      <x:c r="G63" t="str">
        <x:f>IF(E63=F63,"PASS","FAIL")</x:f>
        <x:v>PASS</x:v>
      </x:c>
      <x:c r="H63" t="str">
        <x:f>G63</x:f>
        <x:v>PASS</x:v>
      </x:c>
    </x:row>
    <x:row r="64">
      <x:c r="B64" t="str">
        <x:v>A-PL-058</x:v>
      </x:c>
      <x:c r="C64" t="str">
        <x:v>gate</x:v>
      </x:c>
      <x:c r="D64" t="str">
        <x:v>PL-DRW-58</x:v>
      </x:c>
      <x:c r="E64" t="str">
        <x:v>PASS</x:v>
      </x:c>
      <x:c r="F64" t="str">
        <x:f>'Release Gates'!I64</x:f>
        <x:v>PASS</x:v>
      </x:c>
      <x:c r="G64" t="str">
        <x:f>IF(E64=F64,"PASS","FAIL")</x:f>
        <x:v>PASS</x:v>
      </x:c>
      <x:c r="H64" t="str">
        <x:f>G64</x:f>
        <x:v>PASS</x:v>
      </x:c>
    </x:row>
    <x:row r="65">
      <x:c r="B65" t="str">
        <x:v>A-PL-059</x:v>
      </x:c>
      <x:c r="C65" t="str">
        <x:v>gate</x:v>
      </x:c>
      <x:c r="D65" t="str">
        <x:v>PL-DRW-59</x:v>
      </x:c>
      <x:c r="E65" t="str">
        <x:v>PASS</x:v>
      </x:c>
      <x:c r="F65" t="str">
        <x:f>'Release Gates'!I65</x:f>
        <x:v>PASS</x:v>
      </x:c>
      <x:c r="G65" t="str">
        <x:f>IF(E65=F65,"PASS","FAIL")</x:f>
        <x:v>PASS</x:v>
      </x:c>
      <x:c r="H65" t="str">
        <x:f>G65</x:f>
        <x:v>PASS</x:v>
      </x:c>
    </x:row>
    <x:row r="66">
      <x:c r="B66" t="str">
        <x:v>A-PL-060</x:v>
      </x:c>
      <x:c r="C66" t="str">
        <x:v>gate</x:v>
      </x:c>
      <x:c r="D66" t="str">
        <x:v>PL-DRW-60</x:v>
      </x:c>
      <x:c r="E66" t="str">
        <x:v>PASS</x:v>
      </x:c>
      <x:c r="F66" t="str">
        <x:f>'Release Gates'!I66</x:f>
        <x:v>PASS</x:v>
      </x:c>
      <x:c r="G66" t="str">
        <x:f>IF(E66=F66,"PASS","FAIL")</x:f>
        <x:v>PASS</x:v>
      </x:c>
      <x:c r="H66" t="str">
        <x:f>G66</x:f>
        <x:v>PASS</x:v>
      </x:c>
    </x:row>
    <x:row r="67">
      <x:c r="B67" t="str">
        <x:v>A-PL-061</x:v>
      </x:c>
      <x:c r="C67" t="str">
        <x:v>gate</x:v>
      </x:c>
      <x:c r="D67" t="str">
        <x:v>PL-DRW-61</x:v>
      </x:c>
      <x:c r="E67" t="str">
        <x:v>PASS</x:v>
      </x:c>
      <x:c r="F67" t="str">
        <x:f>'Release Gates'!I67</x:f>
        <x:v>PASS</x:v>
      </x:c>
      <x:c r="G67" t="str">
        <x:f>IF(E67=F67,"PASS","FAIL")</x:f>
        <x:v>PASS</x:v>
      </x:c>
      <x:c r="H67" t="str">
        <x:f>G67</x:f>
        <x:v>PASS</x:v>
      </x:c>
    </x:row>
    <x:row r="68">
      <x:c r="B68" t="str">
        <x:v>A-PL-062</x:v>
      </x:c>
      <x:c r="C68" t="str">
        <x:v>gate</x:v>
      </x:c>
      <x:c r="D68" t="str">
        <x:v>PL-DRW-62</x:v>
      </x:c>
      <x:c r="E68" t="str">
        <x:v>PASS</x:v>
      </x:c>
      <x:c r="F68" t="str">
        <x:f>'Release Gates'!I68</x:f>
        <x:v>PASS</x:v>
      </x:c>
      <x:c r="G68" t="str">
        <x:f>IF(E68=F68,"PASS","FAIL")</x:f>
        <x:v>PASS</x:v>
      </x:c>
      <x:c r="H68" t="str">
        <x:f>G68</x:f>
        <x:v>PASS</x:v>
      </x:c>
    </x:row>
    <x:row r="69">
      <x:c r="B69" t="str">
        <x:v>A-PL-063</x:v>
      </x:c>
      <x:c r="C69" t="str">
        <x:v>gate</x:v>
      </x:c>
      <x:c r="D69" t="str">
        <x:v>PL-DRW-63</x:v>
      </x:c>
      <x:c r="E69" t="str">
        <x:v>PASS</x:v>
      </x:c>
      <x:c r="F69" t="str">
        <x:f>'Release Gates'!I69</x:f>
        <x:v>PASS</x:v>
      </x:c>
      <x:c r="G69" t="str">
        <x:f>IF(E69=F69,"PASS","FAIL")</x:f>
        <x:v>PASS</x:v>
      </x:c>
      <x:c r="H69" t="str">
        <x:f>G69</x:f>
        <x:v>PASS</x:v>
      </x:c>
    </x:row>
    <x:row r="70">
      <x:c r="B70" t="str">
        <x:v>A-PL-064</x:v>
      </x:c>
      <x:c r="C70" t="str">
        <x:v>gate</x:v>
      </x:c>
      <x:c r="D70" t="str">
        <x:v>PL-DRW-64</x:v>
      </x:c>
      <x:c r="E70" t="str">
        <x:v>PASS</x:v>
      </x:c>
      <x:c r="F70" t="str">
        <x:f>'Release Gates'!I70</x:f>
        <x:v>PASS</x:v>
      </x:c>
      <x:c r="G70" t="str">
        <x:f>IF(E70=F70,"PASS","FAIL")</x:f>
        <x:v>PASS</x:v>
      </x:c>
      <x:c r="H70" t="str">
        <x:f>G70</x:f>
        <x:v>PASS</x:v>
      </x:c>
    </x:row>
    <x:row r="71">
      <x:c r="B71" t="str">
        <x:v>A-PL-065</x:v>
      </x:c>
      <x:c r="C71" t="str">
        <x:v>gate</x:v>
      </x:c>
      <x:c r="D71" t="str">
        <x:v>PL-ROUTE-A-B-1</x:v>
      </x:c>
      <x:c r="E71" t="str">
        <x:v>PASS</x:v>
      </x:c>
      <x:c r="F71" t="str">
        <x:f>'Release Gates'!I71</x:f>
        <x:v>PASS</x:v>
      </x:c>
      <x:c r="G71" t="str">
        <x:f>IF(E71=F71,"PASS","FAIL")</x:f>
        <x:v>PASS</x:v>
      </x:c>
      <x:c r="H71" t="str">
        <x:f>G71</x:f>
        <x:v>PASS</x:v>
      </x:c>
    </x:row>
    <x:row r="72">
      <x:c r="B72" t="str">
        <x:v>A-PL-066</x:v>
      </x:c>
      <x:c r="C72" t="str">
        <x:v>gate</x:v>
      </x:c>
      <x:c r="D72" t="str">
        <x:v>PL-ROUTE-A-B-2</x:v>
      </x:c>
      <x:c r="E72" t="str">
        <x:v>PASS</x:v>
      </x:c>
      <x:c r="F72" t="str">
        <x:f>'Release Gates'!I72</x:f>
        <x:v>PASS</x:v>
      </x:c>
      <x:c r="G72" t="str">
        <x:f>IF(E72=F72,"PASS","FAIL")</x:f>
        <x:v>PASS</x:v>
      </x:c>
      <x:c r="H72" t="str">
        <x:f>G72</x:f>
        <x:v>PASS</x:v>
      </x:c>
    </x:row>
    <x:row r="73">
      <x:c r="B73" t="str">
        <x:v>A-PL-067</x:v>
      </x:c>
      <x:c r="C73" t="str">
        <x:v>gate</x:v>
      </x:c>
      <x:c r="D73" t="str">
        <x:v>PL-ROUTE-A-B-3</x:v>
      </x:c>
      <x:c r="E73" t="str">
        <x:v>PASS</x:v>
      </x:c>
      <x:c r="F73" t="str">
        <x:f>'Release Gates'!I73</x:f>
        <x:v>PASS</x:v>
      </x:c>
      <x:c r="G73" t="str">
        <x:f>IF(E73=F73,"PASS","FAIL")</x:f>
        <x:v>PASS</x:v>
      </x:c>
      <x:c r="H73" t="str">
        <x:f>G73</x:f>
        <x:v>PASS</x:v>
      </x:c>
    </x:row>
    <x:row r="74">
      <x:c r="B74" t="str">
        <x:v>A-PL-068</x:v>
      </x:c>
      <x:c r="C74" t="str">
        <x:v>gate</x:v>
      </x:c>
      <x:c r="D74" t="str">
        <x:v>PL-ROUTE-A-B-4</x:v>
      </x:c>
      <x:c r="E74" t="str">
        <x:v>PASS</x:v>
      </x:c>
      <x:c r="F74" t="str">
        <x:f>'Release Gates'!I74</x:f>
        <x:v>PASS</x:v>
      </x:c>
      <x:c r="G74" t="str">
        <x:f>IF(E74=F74,"PASS","FAIL")</x:f>
        <x:v>PASS</x:v>
      </x:c>
      <x:c r="H74" t="str">
        <x:f>G74</x:f>
        <x:v>PASS</x:v>
      </x:c>
    </x:row>
    <x:row r="75">
      <x:c r="B75" t="str">
        <x:v>A-PL-069</x:v>
      </x:c>
      <x:c r="C75" t="str">
        <x:v>gate</x:v>
      </x:c>
      <x:c r="D75" t="str">
        <x:v>PL-ROUTE-A-C-1</x:v>
      </x:c>
      <x:c r="E75" t="str">
        <x:v>PASS</x:v>
      </x:c>
      <x:c r="F75" t="str">
        <x:f>'Release Gates'!I75</x:f>
        <x:v>PASS</x:v>
      </x:c>
      <x:c r="G75" t="str">
        <x:f>IF(E75=F75,"PASS","FAIL")</x:f>
        <x:v>PASS</x:v>
      </x:c>
      <x:c r="H75" t="str">
        <x:f>G75</x:f>
        <x:v>PASS</x:v>
      </x:c>
    </x:row>
    <x:row r="76">
      <x:c r="B76" t="str">
        <x:v>A-PL-070</x:v>
      </x:c>
      <x:c r="C76" t="str">
        <x:v>gate</x:v>
      </x:c>
      <x:c r="D76" t="str">
        <x:v>PL-ROUTE-A-C-2</x:v>
      </x:c>
      <x:c r="E76" t="str">
        <x:v>PASS</x:v>
      </x:c>
      <x:c r="F76" t="str">
        <x:f>'Release Gates'!I76</x:f>
        <x:v>PASS</x:v>
      </x:c>
      <x:c r="G76" t="str">
        <x:f>IF(E76=F76,"PASS","FAIL")</x:f>
        <x:v>PASS</x:v>
      </x:c>
      <x:c r="H76" t="str">
        <x:f>G76</x:f>
        <x:v>PASS</x:v>
      </x:c>
    </x:row>
    <x:row r="77">
      <x:c r="B77" t="str">
        <x:v>A-PL-071</x:v>
      </x:c>
      <x:c r="C77" t="str">
        <x:v>gate</x:v>
      </x:c>
      <x:c r="D77" t="str">
        <x:v>PL-ROUTE-A-C-3</x:v>
      </x:c>
      <x:c r="E77" t="str">
        <x:v>PASS</x:v>
      </x:c>
      <x:c r="F77" t="str">
        <x:f>'Release Gates'!I77</x:f>
        <x:v>PASS</x:v>
      </x:c>
      <x:c r="G77" t="str">
        <x:f>IF(E77=F77,"PASS","FAIL")</x:f>
        <x:v>PASS</x:v>
      </x:c>
      <x:c r="H77" t="str">
        <x:f>G77</x:f>
        <x:v>PASS</x:v>
      </x:c>
    </x:row>
    <x:row r="78">
      <x:c r="B78" t="str">
        <x:v>A-PL-072</x:v>
      </x:c>
      <x:c r="C78" t="str">
        <x:v>gate</x:v>
      </x:c>
      <x:c r="D78" t="str">
        <x:v>PL-ROUTE-A-C-4</x:v>
      </x:c>
      <x:c r="E78" t="str">
        <x:v>PASS</x:v>
      </x:c>
      <x:c r="F78" t="str">
        <x:f>'Release Gates'!I78</x:f>
        <x:v>PASS</x:v>
      </x:c>
      <x:c r="G78" t="str">
        <x:f>IF(E78=F78,"PASS","FAIL")</x:f>
        <x:v>PASS</x:v>
      </x:c>
      <x:c r="H78" t="str">
        <x:f>G78</x:f>
        <x:v>PASS</x:v>
      </x:c>
    </x:row>
    <x:row r="79">
      <x:c r="B79" t="str">
        <x:v>A-PL-073</x:v>
      </x:c>
      <x:c r="C79" t="str">
        <x:v>gate</x:v>
      </x:c>
      <x:c r="D79" t="str">
        <x:v>PL-ROUTE-B-B-1</x:v>
      </x:c>
      <x:c r="E79" t="str">
        <x:v>PASS</x:v>
      </x:c>
      <x:c r="F79" t="str">
        <x:f>'Release Gates'!I79</x:f>
        <x:v>PASS</x:v>
      </x:c>
      <x:c r="G79" t="str">
        <x:f>IF(E79=F79,"PASS","FAIL")</x:f>
        <x:v>PASS</x:v>
      </x:c>
      <x:c r="H79" t="str">
        <x:f>G79</x:f>
        <x:v>PASS</x:v>
      </x:c>
    </x:row>
    <x:row r="80">
      <x:c r="B80" t="str">
        <x:v>A-PL-074</x:v>
      </x:c>
      <x:c r="C80" t="str">
        <x:v>gate</x:v>
      </x:c>
      <x:c r="D80" t="str">
        <x:v>PL-ROUTE-B-B-2</x:v>
      </x:c>
      <x:c r="E80" t="str">
        <x:v>PASS</x:v>
      </x:c>
      <x:c r="F80" t="str">
        <x:f>'Release Gates'!I80</x:f>
        <x:v>PASS</x:v>
      </x:c>
      <x:c r="G80" t="str">
        <x:f>IF(E80=F80,"PASS","FAIL")</x:f>
        <x:v>PASS</x:v>
      </x:c>
      <x:c r="H80" t="str">
        <x:f>G80</x:f>
        <x:v>PASS</x:v>
      </x:c>
    </x:row>
    <x:row r="81">
      <x:c r="B81" t="str">
        <x:v>A-PL-075</x:v>
      </x:c>
      <x:c r="C81" t="str">
        <x:v>gate</x:v>
      </x:c>
      <x:c r="D81" t="str">
        <x:v>PL-ROUTE-B-B-3</x:v>
      </x:c>
      <x:c r="E81" t="str">
        <x:v>PASS</x:v>
      </x:c>
      <x:c r="F81" t="str">
        <x:f>'Release Gates'!I81</x:f>
        <x:v>PASS</x:v>
      </x:c>
      <x:c r="G81" t="str">
        <x:f>IF(E81=F81,"PASS","FAIL")</x:f>
        <x:v>PASS</x:v>
      </x:c>
      <x:c r="H81" t="str">
        <x:f>G81</x:f>
        <x:v>PASS</x:v>
      </x:c>
    </x:row>
    <x:row r="82">
      <x:c r="B82" t="str">
        <x:v>A-PL-076</x:v>
      </x:c>
      <x:c r="C82" t="str">
        <x:v>gate</x:v>
      </x:c>
      <x:c r="D82" t="str">
        <x:v>PL-ROUTE-B-B-4</x:v>
      </x:c>
      <x:c r="E82" t="str">
        <x:v>PASS</x:v>
      </x:c>
      <x:c r="F82" t="str">
        <x:f>'Release Gates'!I82</x:f>
        <x:v>PASS</x:v>
      </x:c>
      <x:c r="G82" t="str">
        <x:f>IF(E82=F82,"PASS","FAIL")</x:f>
        <x:v>PASS</x:v>
      </x:c>
      <x:c r="H82" t="str">
        <x:f>G82</x:f>
        <x:v>PASS</x:v>
      </x:c>
    </x:row>
    <x:row r="83">
      <x:c r="B83" t="str">
        <x:v>A-PL-077</x:v>
      </x:c>
      <x:c r="C83" t="str">
        <x:v>gate</x:v>
      </x:c>
      <x:c r="D83" t="str">
        <x:v>PL-ROUTE-B-C-1</x:v>
      </x:c>
      <x:c r="E83" t="str">
        <x:v>PASS</x:v>
      </x:c>
      <x:c r="F83" t="str">
        <x:f>'Release Gates'!I83</x:f>
        <x:v>PASS</x:v>
      </x:c>
      <x:c r="G83" t="str">
        <x:f>IF(E83=F83,"PASS","FAIL")</x:f>
        <x:v>PASS</x:v>
      </x:c>
      <x:c r="H83" t="str">
        <x:f>G83</x:f>
        <x:v>PASS</x:v>
      </x:c>
    </x:row>
    <x:row r="84">
      <x:c r="B84" t="str">
        <x:v>A-PL-078</x:v>
      </x:c>
      <x:c r="C84" t="str">
        <x:v>gate</x:v>
      </x:c>
      <x:c r="D84" t="str">
        <x:v>PL-ROUTE-B-C-2</x:v>
      </x:c>
      <x:c r="E84" t="str">
        <x:v>PASS</x:v>
      </x:c>
      <x:c r="F84" t="str">
        <x:f>'Release Gates'!I84</x:f>
        <x:v>PASS</x:v>
      </x:c>
      <x:c r="G84" t="str">
        <x:f>IF(E84=F84,"PASS","FAIL")</x:f>
        <x:v>PASS</x:v>
      </x:c>
      <x:c r="H84" t="str">
        <x:f>G84</x:f>
        <x:v>PASS</x:v>
      </x:c>
    </x:row>
    <x:row r="85">
      <x:c r="B85" t="str">
        <x:v>A-PL-079</x:v>
      </x:c>
      <x:c r="C85" t="str">
        <x:v>gate</x:v>
      </x:c>
      <x:c r="D85" t="str">
        <x:v>PL-ROUTE-B-C-3</x:v>
      </x:c>
      <x:c r="E85" t="str">
        <x:v>PASS</x:v>
      </x:c>
      <x:c r="F85" t="str">
        <x:f>'Release Gates'!I85</x:f>
        <x:v>PASS</x:v>
      </x:c>
      <x:c r="G85" t="str">
        <x:f>IF(E85=F85,"PASS","FAIL")</x:f>
        <x:v>PASS</x:v>
      </x:c>
      <x:c r="H85" t="str">
        <x:f>G85</x:f>
        <x:v>PASS</x:v>
      </x:c>
    </x:row>
    <x:row r="86">
      <x:c r="B86" t="str">
        <x:v>A-PL-080</x:v>
      </x:c>
      <x:c r="C86" t="str">
        <x:v>gate</x:v>
      </x:c>
      <x:c r="D86" t="str">
        <x:v>PL-ROUTE-B-C-4</x:v>
      </x:c>
      <x:c r="E86" t="str">
        <x:v>PASS</x:v>
      </x:c>
      <x:c r="F86" t="str">
        <x:f>'Release Gates'!I86</x:f>
        <x:v>PASS</x:v>
      </x:c>
      <x:c r="G86" t="str">
        <x:f>IF(E86=F86,"PASS","FAIL")</x:f>
        <x:v>PASS</x:v>
      </x:c>
      <x:c r="H86" t="str">
        <x:f>G86</x:f>
        <x:v>PASS</x:v>
      </x:c>
    </x:row>
    <x:row r="87">
      <x:c r="B87" t="str">
        <x:v>A-PL-081</x:v>
      </x:c>
      <x:c r="C87" t="str">
        <x:v>gate</x:v>
      </x:c>
      <x:c r="D87" t="str">
        <x:v>PL-PROP-01</x:v>
      </x:c>
      <x:c r="E87" t="str">
        <x:v>PASS</x:v>
      </x:c>
      <x:c r="F87" t="str">
        <x:f>'Release Gates'!I87</x:f>
        <x:v>PASS</x:v>
      </x:c>
      <x:c r="G87" t="str">
        <x:f>IF(E87=F87,"PASS","FAIL")</x:f>
        <x:v>PASS</x:v>
      </x:c>
      <x:c r="H87" t="str">
        <x:f>G87</x:f>
        <x:v>PASS</x:v>
      </x:c>
    </x:row>
    <x:row r="88">
      <x:c r="B88" t="str">
        <x:v>A-PL-082</x:v>
      </x:c>
      <x:c r="C88" t="str">
        <x:v>gate</x:v>
      </x:c>
      <x:c r="D88" t="str">
        <x:v>PL-PROP-02</x:v>
      </x:c>
      <x:c r="E88" t="str">
        <x:v>PASS</x:v>
      </x:c>
      <x:c r="F88" t="str">
        <x:f>'Release Gates'!I88</x:f>
        <x:v>PASS</x:v>
      </x:c>
      <x:c r="G88" t="str">
        <x:f>IF(E88=F88,"PASS","FAIL")</x:f>
        <x:v>PASS</x:v>
      </x:c>
      <x:c r="H88" t="str">
        <x:f>G88</x:f>
        <x:v>PASS</x:v>
      </x:c>
    </x:row>
    <x:row r="89">
      <x:c r="B89" t="str">
        <x:v>A-PL-083</x:v>
      </x:c>
      <x:c r="C89" t="str">
        <x:v>gate</x:v>
      </x:c>
      <x:c r="D89" t="str">
        <x:v>PL-PROP-03</x:v>
      </x:c>
      <x:c r="E89" t="str">
        <x:v>PASS</x:v>
      </x:c>
      <x:c r="F89" t="str">
        <x:f>'Release Gates'!I89</x:f>
        <x:v>PASS</x:v>
      </x:c>
      <x:c r="G89" t="str">
        <x:f>IF(E89=F89,"PASS","FAIL")</x:f>
        <x:v>PASS</x:v>
      </x:c>
      <x:c r="H89" t="str">
        <x:f>G89</x:f>
        <x:v>PASS</x:v>
      </x:c>
    </x:row>
    <x:row r="90">
      <x:c r="B90" t="str">
        <x:v>A-PL-084</x:v>
      </x:c>
      <x:c r="C90" t="str">
        <x:v>gate</x:v>
      </x:c>
      <x:c r="D90" t="str">
        <x:v>PL-PROP-04</x:v>
      </x:c>
      <x:c r="E90" t="str">
        <x:v>PASS</x:v>
      </x:c>
      <x:c r="F90" t="str">
        <x:f>'Release Gates'!I90</x:f>
        <x:v>PASS</x:v>
      </x:c>
      <x:c r="G90" t="str">
        <x:f>IF(E90=F90,"PASS","FAIL")</x:f>
        <x:v>PASS</x:v>
      </x:c>
      <x:c r="H90" t="str">
        <x:f>G90</x:f>
        <x:v>PASS</x:v>
      </x:c>
    </x:row>
    <x:row r="91">
      <x:c r="B91" t="str">
        <x:v>A-PL-085</x:v>
      </x:c>
      <x:c r="C91" t="str">
        <x:v>gate</x:v>
      </x:c>
      <x:c r="D91" t="str">
        <x:v>PL-PROP-05</x:v>
      </x:c>
      <x:c r="E91" t="str">
        <x:v>PASS</x:v>
      </x:c>
      <x:c r="F91" t="str">
        <x:f>'Release Gates'!I91</x:f>
        <x:v>PASS</x:v>
      </x:c>
      <x:c r="G91" t="str">
        <x:f>IF(E91=F91,"PASS","FAIL")</x:f>
        <x:v>PASS</x:v>
      </x:c>
      <x:c r="H91" t="str">
        <x:f>G91</x:f>
        <x:v>PASS</x:v>
      </x:c>
    </x:row>
    <x:row r="92">
      <x:c r="B92" t="str">
        <x:v>A-PL-086</x:v>
      </x:c>
      <x:c r="C92" t="str">
        <x:v>gate</x:v>
      </x:c>
      <x:c r="D92" t="str">
        <x:v>PL-PROP-06</x:v>
      </x:c>
      <x:c r="E92" t="str">
        <x:v>PASS</x:v>
      </x:c>
      <x:c r="F92" t="str">
        <x:f>'Release Gates'!I92</x:f>
        <x:v>PASS</x:v>
      </x:c>
      <x:c r="G92" t="str">
        <x:f>IF(E92=F92,"PASS","FAIL")</x:f>
        <x:v>PASS</x:v>
      </x:c>
      <x:c r="H92" t="str">
        <x:f>G92</x:f>
        <x:v>PASS</x:v>
      </x:c>
    </x:row>
    <x:row r="93">
      <x:c r="B93" t="str">
        <x:v>A-PL-087</x:v>
      </x:c>
      <x:c r="C93" t="str">
        <x:v>gate</x:v>
      </x:c>
      <x:c r="D93" t="str">
        <x:v>PL-PROP-07</x:v>
      </x:c>
      <x:c r="E93" t="str">
        <x:v>PASS</x:v>
      </x:c>
      <x:c r="F93" t="str">
        <x:f>'Release Gates'!I93</x:f>
        <x:v>PASS</x:v>
      </x:c>
      <x:c r="G93" t="str">
        <x:f>IF(E93=F93,"PASS","FAIL")</x:f>
        <x:v>PASS</x:v>
      </x:c>
      <x:c r="H93" t="str">
        <x:f>G93</x:f>
        <x:v>PASS</x:v>
      </x:c>
    </x:row>
    <x:row r="94">
      <x:c r="B94" t="str">
        <x:v>A-PL-088</x:v>
      </x:c>
      <x:c r="C94" t="str">
        <x:v>gate</x:v>
      </x:c>
      <x:c r="D94" t="str">
        <x:v>PL-PROP-08</x:v>
      </x:c>
      <x:c r="E94" t="str">
        <x:v>PASS</x:v>
      </x:c>
      <x:c r="F94" t="str">
        <x:f>'Release Gates'!I94</x:f>
        <x:v>PASS</x:v>
      </x:c>
      <x:c r="G94" t="str">
        <x:f>IF(E94=F94,"PASS","FAIL")</x:f>
        <x:v>PASS</x:v>
      </x:c>
      <x:c r="H94" t="str">
        <x:f>G94</x:f>
        <x:v>PASS</x:v>
      </x:c>
    </x:row>
    <x:row r="95">
      <x:c r="B95" t="str">
        <x:v>A-PL-089</x:v>
      </x:c>
      <x:c r="C95" t="str">
        <x:v>gate</x:v>
      </x:c>
      <x:c r="D95" t="str">
        <x:v>PL-PROP-09</x:v>
      </x:c>
      <x:c r="E95" t="str">
        <x:v>PASS</x:v>
      </x:c>
      <x:c r="F95" t="str">
        <x:f>'Release Gates'!I95</x:f>
        <x:v>PASS</x:v>
      </x:c>
      <x:c r="G95" t="str">
        <x:f>IF(E95=F95,"PASS","FAIL")</x:f>
        <x:v>PASS</x:v>
      </x:c>
      <x:c r="H95" t="str">
        <x:f>G95</x:f>
        <x:v>PASS</x:v>
      </x:c>
    </x:row>
    <x:row r="96">
      <x:c r="B96" t="str">
        <x:v>A-PL-090</x:v>
      </x:c>
      <x:c r="C96" t="str">
        <x:v>gate</x:v>
      </x:c>
      <x:c r="D96" t="str">
        <x:v>PL-PROP-10</x:v>
      </x:c>
      <x:c r="E96" t="str">
        <x:v>PASS</x:v>
      </x:c>
      <x:c r="F96" t="str">
        <x:f>'Release Gates'!I96</x:f>
        <x:v>PASS</x:v>
      </x:c>
      <x:c r="G96" t="str">
        <x:f>IF(E96=F96,"PASS","FAIL")</x:f>
        <x:v>PASS</x:v>
      </x:c>
      <x:c r="H96" t="str">
        <x:f>G96</x:f>
        <x:v>PASS</x:v>
      </x:c>
    </x:row>
    <x:row r="97">
      <x:c r="B97" t="str">
        <x:v>A-PL-091</x:v>
      </x:c>
      <x:c r="C97" t="str">
        <x:v>gate</x:v>
      </x:c>
      <x:c r="D97" t="str">
        <x:v>PL-PROP-11</x:v>
      </x:c>
      <x:c r="E97" t="str">
        <x:v>PASS</x:v>
      </x:c>
      <x:c r="F97" t="str">
        <x:f>'Release Gates'!I97</x:f>
        <x:v>PASS</x:v>
      </x:c>
      <x:c r="G97" t="str">
        <x:f>IF(E97=F97,"PASS","FAIL")</x:f>
        <x:v>PASS</x:v>
      </x:c>
      <x:c r="H97" t="str">
        <x:f>G97</x:f>
        <x:v>PASS</x:v>
      </x:c>
    </x:row>
    <x:row r="98">
      <x:c r="B98" t="str">
        <x:v>A-PL-092</x:v>
      </x:c>
      <x:c r="C98" t="str">
        <x:v>gate</x:v>
      </x:c>
      <x:c r="D98" t="str">
        <x:v>PL-PROP-12</x:v>
      </x:c>
      <x:c r="E98" t="str">
        <x:v>PASS</x:v>
      </x:c>
      <x:c r="F98" t="str">
        <x:f>'Release Gates'!I98</x:f>
        <x:v>PASS</x:v>
      </x:c>
      <x:c r="G98" t="str">
        <x:f>IF(E98=F98,"PASS","FAIL")</x:f>
        <x:v>PASS</x:v>
      </x:c>
      <x:c r="H98" t="str">
        <x:f>G98</x:f>
        <x:v>PASS</x:v>
      </x:c>
    </x:row>
    <x:row r="99">
      <x:c r="B99" t="str">
        <x:v>A-PL-093</x:v>
      </x:c>
      <x:c r="C99" t="str">
        <x:v>gate</x:v>
      </x:c>
      <x:c r="D99" t="str">
        <x:v>PL-PROP-13</x:v>
      </x:c>
      <x:c r="E99" t="str">
        <x:v>PASS</x:v>
      </x:c>
      <x:c r="F99" t="str">
        <x:f>'Release Gates'!I99</x:f>
        <x:v>PASS</x:v>
      </x:c>
      <x:c r="G99" t="str">
        <x:f>IF(E99=F99,"PASS","FAIL")</x:f>
        <x:v>PASS</x:v>
      </x:c>
      <x:c r="H99" t="str">
        <x:f>G99</x:f>
        <x:v>PASS</x:v>
      </x:c>
    </x:row>
    <x:row r="100">
      <x:c r="B100" t="str">
        <x:v>A-PL-094</x:v>
      </x:c>
      <x:c r="C100" t="str">
        <x:v>gate</x:v>
      </x:c>
      <x:c r="D100" t="str">
        <x:v>PL-PROP-14</x:v>
      </x:c>
      <x:c r="E100" t="str">
        <x:v>PASS</x:v>
      </x:c>
      <x:c r="F100" t="str">
        <x:f>'Release Gates'!I100</x:f>
        <x:v>PASS</x:v>
      </x:c>
      <x:c r="G100" t="str">
        <x:f>IF(E100=F100,"PASS","FAIL")</x:f>
        <x:v>PASS</x:v>
      </x:c>
      <x:c r="H100" t="str">
        <x:f>G100</x:f>
        <x:v>PASS</x:v>
      </x:c>
    </x:row>
    <x:row r="101">
      <x:c r="B101" t="str">
        <x:v>A-PL-095</x:v>
      </x:c>
      <x:c r="C101" t="str">
        <x:v>gate</x:v>
      </x:c>
      <x:c r="D101" t="str">
        <x:v>PL-PROP-15</x:v>
      </x:c>
      <x:c r="E101" t="str">
        <x:v>PASS</x:v>
      </x:c>
      <x:c r="F101" t="str">
        <x:f>'Release Gates'!I101</x:f>
        <x:v>PASS</x:v>
      </x:c>
      <x:c r="G101" t="str">
        <x:f>IF(E101=F101,"PASS","FAIL")</x:f>
        <x:v>PASS</x:v>
      </x:c>
      <x:c r="H101" t="str">
        <x:f>G101</x:f>
        <x:v>PASS</x:v>
      </x:c>
    </x:row>
    <x:row r="102">
      <x:c r="B102" t="str">
        <x:v>A-PL-096</x:v>
      </x:c>
      <x:c r="C102" t="str">
        <x:v>gate</x:v>
      </x:c>
      <x:c r="D102" t="str">
        <x:v>PL-PROP-16</x:v>
      </x:c>
      <x:c r="E102" t="str">
        <x:v>PASS</x:v>
      </x:c>
      <x:c r="F102" t="str">
        <x:f>'Release Gates'!I102</x:f>
        <x:v>PASS</x:v>
      </x:c>
      <x:c r="G102" t="str">
        <x:f>IF(E102=F102,"PASS","FAIL")</x:f>
        <x:v>PASS</x:v>
      </x:c>
      <x:c r="H102" t="str">
        <x:f>G102</x:f>
        <x:v>PASS</x:v>
      </x:c>
    </x:row>
    <x:row r="103">
      <x:c r="B103" t="str">
        <x:v>A-PL-097</x:v>
      </x:c>
      <x:c r="C103" t="str">
        <x:v>gate</x:v>
      </x:c>
      <x:c r="D103" t="str">
        <x:v>PL-PROP-17</x:v>
      </x:c>
      <x:c r="E103" t="str">
        <x:v>PASS</x:v>
      </x:c>
      <x:c r="F103" t="str">
        <x:f>'Release Gates'!I103</x:f>
        <x:v>PASS</x:v>
      </x:c>
      <x:c r="G103" t="str">
        <x:f>IF(E103=F103,"PASS","FAIL")</x:f>
        <x:v>PASS</x:v>
      </x:c>
      <x:c r="H103" t="str">
        <x:f>G103</x:f>
        <x:v>PASS</x:v>
      </x:c>
    </x:row>
    <x:row r="104">
      <x:c r="B104" t="str">
        <x:v>A-PL-098</x:v>
      </x:c>
      <x:c r="C104" t="str">
        <x:v>gate</x:v>
      </x:c>
      <x:c r="D104" t="str">
        <x:v>PL-PROP-18</x:v>
      </x:c>
      <x:c r="E104" t="str">
        <x:v>PASS</x:v>
      </x:c>
      <x:c r="F104" t="str">
        <x:f>'Release Gates'!I104</x:f>
        <x:v>PASS</x:v>
      </x:c>
      <x:c r="G104" t="str">
        <x:f>IF(E104=F104,"PASS","FAIL")</x:f>
        <x:v>PASS</x:v>
      </x:c>
      <x:c r="H104" t="str">
        <x:f>G104</x:f>
        <x:v>PASS</x:v>
      </x:c>
    </x:row>
    <x:row r="105">
      <x:c r="B105" t="str">
        <x:v>A-PL-099</x:v>
      </x:c>
      <x:c r="C105" t="str">
        <x:v>gate</x:v>
      </x:c>
      <x:c r="D105" t="str">
        <x:v>PL-PROP-19</x:v>
      </x:c>
      <x:c r="E105" t="str">
        <x:v>PASS</x:v>
      </x:c>
      <x:c r="F105" t="str">
        <x:f>'Release Gates'!I105</x:f>
        <x:v>PASS</x:v>
      </x:c>
      <x:c r="G105" t="str">
        <x:f>IF(E105=F105,"PASS","FAIL")</x:f>
        <x:v>PASS</x:v>
      </x:c>
      <x:c r="H105" t="str">
        <x:f>G105</x:f>
        <x:v>PASS</x:v>
      </x:c>
    </x:row>
    <x:row r="106">
      <x:c r="B106" t="str">
        <x:v>A-PL-100</x:v>
      </x:c>
      <x:c r="C106" t="str">
        <x:v>gate</x:v>
      </x:c>
      <x:c r="D106" t="str">
        <x:v>PL-PROP-20</x:v>
      </x:c>
      <x:c r="E106" t="str">
        <x:v>PASS</x:v>
      </x:c>
      <x:c r="F106" t="str">
        <x:f>'Release Gates'!I106</x:f>
        <x:v>PASS</x:v>
      </x:c>
      <x:c r="G106" t="str">
        <x:f>IF(E106=F106,"PASS","FAIL")</x:f>
        <x:v>PASS</x:v>
      </x:c>
      <x:c r="H106" t="str">
        <x:f>G106</x:f>
        <x:v>PASS</x:v>
      </x:c>
    </x:row>
    <x:row r="107">
      <x:c r="B107" t="str">
        <x:v>A-PL-101</x:v>
      </x:c>
      <x:c r="C107" t="str">
        <x:v>gate</x:v>
      </x:c>
      <x:c r="D107" t="str">
        <x:v>PL-PROP-21</x:v>
      </x:c>
      <x:c r="E107" t="str">
        <x:v>PASS</x:v>
      </x:c>
      <x:c r="F107" t="str">
        <x:f>'Release Gates'!I107</x:f>
        <x:v>PASS</x:v>
      </x:c>
      <x:c r="G107" t="str">
        <x:f>IF(E107=F107,"PASS","FAIL")</x:f>
        <x:v>PASS</x:v>
      </x:c>
      <x:c r="H107" t="str">
        <x:f>G107</x:f>
        <x:v>PASS</x:v>
      </x:c>
    </x:row>
    <x:row r="108">
      <x:c r="B108" t="str">
        <x:v>A-PL-102</x:v>
      </x:c>
      <x:c r="C108" t="str">
        <x:v>gate</x:v>
      </x:c>
      <x:c r="D108" t="str">
        <x:v>PL-PROP-22</x:v>
      </x:c>
      <x:c r="E108" t="str">
        <x:v>PASS</x:v>
      </x:c>
      <x:c r="F108" t="str">
        <x:f>'Release Gates'!I108</x:f>
        <x:v>PASS</x:v>
      </x:c>
      <x:c r="G108" t="str">
        <x:f>IF(E108=F108,"PASS","FAIL")</x:f>
        <x:v>PASS</x:v>
      </x:c>
      <x:c r="H108" t="str">
        <x:f>G108</x:f>
        <x:v>PASS</x:v>
      </x:c>
    </x:row>
    <x:row r="109">
      <x:c r="B109" t="str">
        <x:v>A-PL-103</x:v>
      </x:c>
      <x:c r="C109" t="str">
        <x:v>gate</x:v>
      </x:c>
      <x:c r="D109" t="str">
        <x:v>PL-PROP-23</x:v>
      </x:c>
      <x:c r="E109" t="str">
        <x:v>PASS</x:v>
      </x:c>
      <x:c r="F109" t="str">
        <x:f>'Release Gates'!I109</x:f>
        <x:v>PASS</x:v>
      </x:c>
      <x:c r="G109" t="str">
        <x:f>IF(E109=F109,"PASS","FAIL")</x:f>
        <x:v>PASS</x:v>
      </x:c>
      <x:c r="H109" t="str">
        <x:f>G109</x:f>
        <x:v>PASS</x:v>
      </x:c>
    </x:row>
    <x:row r="110">
      <x:c r="B110" t="str">
        <x:v>A-PL-104</x:v>
      </x:c>
      <x:c r="C110" t="str">
        <x:v>gate</x:v>
      </x:c>
      <x:c r="D110" t="str">
        <x:v>PL-PROP-24</x:v>
      </x:c>
      <x:c r="E110" t="str">
        <x:v>PASS</x:v>
      </x:c>
      <x:c r="F110" t="str">
        <x:f>'Release Gates'!I110</x:f>
        <x:v>PASS</x:v>
      </x:c>
      <x:c r="G110" t="str">
        <x:f>IF(E110=F110,"PASS","FAIL")</x:f>
        <x:v>PASS</x:v>
      </x:c>
      <x:c r="H110" t="str">
        <x:f>G110</x:f>
        <x:v>PASS</x:v>
      </x:c>
    </x:row>
    <x:row r="111">
      <x:c r="B111" t="str">
        <x:v>A-PL-105</x:v>
      </x:c>
      <x:c r="C111" t="str">
        <x:v>gate</x:v>
      </x:c>
      <x:c r="D111" t="str">
        <x:v>PL-IFR-01</x:v>
      </x:c>
      <x:c r="E111" t="str">
        <x:v>PASS</x:v>
      </x:c>
      <x:c r="F111" t="str">
        <x:f>'Release Gates'!I111</x:f>
        <x:v>PASS</x:v>
      </x:c>
      <x:c r="G111" t="str">
        <x:f>IF(E111=F111,"PASS","FAIL")</x:f>
        <x:v>PASS</x:v>
      </x:c>
      <x:c r="H111" t="str">
        <x:f>G111</x:f>
        <x:v>PASS</x:v>
      </x:c>
    </x:row>
    <x:row r="112">
      <x:c r="B112" t="str">
        <x:v>A-PL-106</x:v>
      </x:c>
      <x:c r="C112" t="str">
        <x:v>gate</x:v>
      </x:c>
      <x:c r="D112" t="str">
        <x:v>PL-IFR-02</x:v>
      </x:c>
      <x:c r="E112" t="str">
        <x:v>PASS</x:v>
      </x:c>
      <x:c r="F112" t="str">
        <x:f>'Release Gates'!I112</x:f>
        <x:v>PASS</x:v>
      </x:c>
      <x:c r="G112" t="str">
        <x:f>IF(E112=F112,"PASS","FAIL")</x:f>
        <x:v>PASS</x:v>
      </x:c>
      <x:c r="H112" t="str">
        <x:f>G112</x:f>
        <x:v>PASS</x:v>
      </x:c>
    </x:row>
    <x:row r="113">
      <x:c r="B113" t="str">
        <x:v>A-PL-107</x:v>
      </x:c>
      <x:c r="C113" t="str">
        <x:v>gate</x:v>
      </x:c>
      <x:c r="D113" t="str">
        <x:v>PL-IFR-03</x:v>
      </x:c>
      <x:c r="E113" t="str">
        <x:v>PASS</x:v>
      </x:c>
      <x:c r="F113" t="str">
        <x:f>'Release Gates'!I113</x:f>
        <x:v>PASS</x:v>
      </x:c>
      <x:c r="G113" t="str">
        <x:f>IF(E113=F113,"PASS","FAIL")</x:f>
        <x:v>PASS</x:v>
      </x:c>
      <x:c r="H113" t="str">
        <x:f>G113</x:f>
        <x:v>PASS</x:v>
      </x:c>
    </x:row>
    <x:row r="114">
      <x:c r="B114" t="str">
        <x:v>A-PL-108</x:v>
      </x:c>
      <x:c r="C114" t="str">
        <x:v>gate</x:v>
      </x:c>
      <x:c r="D114" t="str">
        <x:v>PL-IFR-04</x:v>
      </x:c>
      <x:c r="E114" t="str">
        <x:v>PASS</x:v>
      </x:c>
      <x:c r="F114" t="str">
        <x:f>'Release Gates'!I114</x:f>
        <x:v>PASS</x:v>
      </x:c>
      <x:c r="G114" t="str">
        <x:f>IF(E114=F114,"PASS","FAIL")</x:f>
        <x:v>PASS</x:v>
      </x:c>
      <x:c r="H114" t="str">
        <x:f>G114</x:f>
        <x:v>PASS</x:v>
      </x:c>
    </x:row>
    <x:row r="115">
      <x:c r="B115" t="str">
        <x:v>A-PL-109</x:v>
      </x:c>
      <x:c r="C115" t="str">
        <x:v>gate</x:v>
      </x:c>
      <x:c r="D115" t="str">
        <x:v>PL-IFR-05</x:v>
      </x:c>
      <x:c r="E115" t="str">
        <x:v>PASS</x:v>
      </x:c>
      <x:c r="F115" t="str">
        <x:f>'Release Gates'!I115</x:f>
        <x:v>PASS</x:v>
      </x:c>
      <x:c r="G115" t="str">
        <x:f>IF(E115=F115,"PASS","FAIL")</x:f>
        <x:v>PASS</x:v>
      </x:c>
      <x:c r="H115" t="str">
        <x:f>G115</x:f>
        <x:v>PASS</x:v>
      </x:c>
    </x:row>
    <x:row r="116">
      <x:c r="B116" t="str">
        <x:v>A-PL-110</x:v>
      </x:c>
      <x:c r="C116" t="str">
        <x:v>gate</x:v>
      </x:c>
      <x:c r="D116" t="str">
        <x:v>PL-IFR-06</x:v>
      </x:c>
      <x:c r="E116" t="str">
        <x:v>PASS</x:v>
      </x:c>
      <x:c r="F116" t="str">
        <x:f>'Release Gates'!I116</x:f>
        <x:v>PASS</x:v>
      </x:c>
      <x:c r="G116" t="str">
        <x:f>IF(E116=F116,"PASS","FAIL")</x:f>
        <x:v>PASS</x:v>
      </x:c>
      <x:c r="H116" t="str">
        <x:f>G116</x:f>
        <x:v>PASS</x:v>
      </x:c>
    </x:row>
    <x:row r="117">
      <x:c r="B117" t="str">
        <x:v>A-PL-111</x:v>
      </x:c>
      <x:c r="C117" t="str">
        <x:v>gate</x:v>
      </x:c>
      <x:c r="D117" t="str">
        <x:v>PL-IFR-07</x:v>
      </x:c>
      <x:c r="E117" t="str">
        <x:v>PASS</x:v>
      </x:c>
      <x:c r="F117" t="str">
        <x:f>'Release Gates'!I117</x:f>
        <x:v>PASS</x:v>
      </x:c>
      <x:c r="G117" t="str">
        <x:f>IF(E117=F117,"PASS","FAIL")</x:f>
        <x:v>PASS</x:v>
      </x:c>
      <x:c r="H117" t="str">
        <x:f>G117</x:f>
        <x:v>PASS</x:v>
      </x:c>
    </x:row>
    <x:row r="118">
      <x:c r="B118" t="str">
        <x:v>A-PL-112</x:v>
      </x:c>
      <x:c r="C118" t="str">
        <x:v>gate</x:v>
      </x:c>
      <x:c r="D118" t="str">
        <x:v>PL-IFR-08</x:v>
      </x:c>
      <x:c r="E118" t="str">
        <x:v>PASS</x:v>
      </x:c>
      <x:c r="F118" t="str">
        <x:f>'Release Gates'!I118</x:f>
        <x:v>PASS</x:v>
      </x:c>
      <x:c r="G118" t="str">
        <x:f>IF(E118=F118,"PASS","FAIL")</x:f>
        <x:v>PASS</x:v>
      </x:c>
      <x:c r="H118" t="str">
        <x:f>G118</x:f>
        <x:v>PASS</x:v>
      </x:c>
    </x:row>
    <x:row r="119">
      <x:c r="B119" t="str">
        <x:v>A-PL-113</x:v>
      </x:c>
      <x:c r="C119" t="str">
        <x:v>gate</x:v>
      </x:c>
      <x:c r="D119" t="str">
        <x:v>PL-IFR-09</x:v>
      </x:c>
      <x:c r="E119" t="str">
        <x:v>PASS</x:v>
      </x:c>
      <x:c r="F119" t="str">
        <x:f>'Release Gates'!I119</x:f>
        <x:v>PASS</x:v>
      </x:c>
      <x:c r="G119" t="str">
        <x:f>IF(E119=F119,"PASS","FAIL")</x:f>
        <x:v>PASS</x:v>
      </x:c>
      <x:c r="H119" t="str">
        <x:f>G119</x:f>
        <x:v>PASS</x:v>
      </x:c>
    </x:row>
    <x:row r="120">
      <x:c r="B120" t="str">
        <x:v>A-PL-114</x:v>
      </x:c>
      <x:c r="C120" t="str">
        <x:v>gate</x:v>
      </x:c>
      <x:c r="D120" t="str">
        <x:v>PL-IFR-10</x:v>
      </x:c>
      <x:c r="E120" t="str">
        <x:v>PASS</x:v>
      </x:c>
      <x:c r="F120" t="str">
        <x:f>'Release Gates'!I120</x:f>
        <x:v>PASS</x:v>
      </x:c>
      <x:c r="G120" t="str">
        <x:f>IF(E120=F120,"PASS","FAIL")</x:f>
        <x:v>PASS</x:v>
      </x:c>
      <x:c r="H120" t="str">
        <x:f>G120</x:f>
        <x:v>PASS</x:v>
      </x:c>
    </x:row>
    <x:row r="121">
      <x:c r="B121" t="str">
        <x:v>A-PL-115</x:v>
      </x:c>
      <x:c r="C121" t="str">
        <x:v>gate</x:v>
      </x:c>
      <x:c r="D121" t="str">
        <x:v>PL-IFR-11</x:v>
      </x:c>
      <x:c r="E121" t="str">
        <x:v>PASS</x:v>
      </x:c>
      <x:c r="F121" t="str">
        <x:f>'Release Gates'!I121</x:f>
        <x:v>PASS</x:v>
      </x:c>
      <x:c r="G121" t="str">
        <x:f>IF(E121=F121,"PASS","FAIL")</x:f>
        <x:v>PASS</x:v>
      </x:c>
      <x:c r="H121" t="str">
        <x:f>G121</x:f>
        <x:v>PASS</x:v>
      </x:c>
    </x:row>
    <x:row r="122">
      <x:c r="B122" t="str">
        <x:v>A-PL-116</x:v>
      </x:c>
      <x:c r="C122" t="str">
        <x:v>gate</x:v>
      </x:c>
      <x:c r="D122" t="str">
        <x:v>PL-IFR-12</x:v>
      </x:c>
      <x:c r="E122" t="str">
        <x:v>PASS</x:v>
      </x:c>
      <x:c r="F122" t="str">
        <x:f>'Release Gates'!I122</x:f>
        <x:v>PASS</x:v>
      </x:c>
      <x:c r="G122" t="str">
        <x:f>IF(E122=F122,"PASS","FAIL")</x:f>
        <x:v>PASS</x:v>
      </x:c>
      <x:c r="H122" t="str">
        <x:f>G122</x:f>
        <x:v>PASS</x:v>
      </x:c>
    </x:row>
    <x:row r="123">
      <x:c r="B123" t="str">
        <x:v>A-PL-117</x:v>
      </x:c>
      <x:c r="C123" t="str">
        <x:v>gate</x:v>
      </x:c>
      <x:c r="D123" t="str">
        <x:v>PL-IFR-13</x:v>
      </x:c>
      <x:c r="E123" t="str">
        <x:v>PASS</x:v>
      </x:c>
      <x:c r="F123" t="str">
        <x:f>'Release Gates'!I123</x:f>
        <x:v>PASS</x:v>
      </x:c>
      <x:c r="G123" t="str">
        <x:f>IF(E123=F123,"PASS","FAIL")</x:f>
        <x:v>PASS</x:v>
      </x:c>
      <x:c r="H123" t="str">
        <x:f>G123</x:f>
        <x:v>PASS</x:v>
      </x:c>
    </x:row>
    <x:row r="124">
      <x:c r="B124" t="str">
        <x:v>A-PL-118</x:v>
      </x:c>
      <x:c r="C124" t="str">
        <x:v>gate</x:v>
      </x:c>
      <x:c r="D124" t="str">
        <x:v>PL-IFR-14</x:v>
      </x:c>
      <x:c r="E124" t="str">
        <x:v>PASS</x:v>
      </x:c>
      <x:c r="F124" t="str">
        <x:f>'Release Gates'!I124</x:f>
        <x:v>PASS</x:v>
      </x:c>
      <x:c r="G124" t="str">
        <x:f>IF(E124=F124,"PASS","FAIL")</x:f>
        <x:v>PASS</x:v>
      </x:c>
      <x:c r="H124" t="str">
        <x:f>G124</x:f>
        <x:v>PASS</x:v>
      </x:c>
    </x:row>
    <x:row r="125">
      <x:c r="B125" t="str">
        <x:v>A-PL-119</x:v>
      </x:c>
      <x:c r="C125" t="str">
        <x:v>gate</x:v>
      </x:c>
      <x:c r="D125" t="str">
        <x:v>PL-IFR-15</x:v>
      </x:c>
      <x:c r="E125" t="str">
        <x:v>PASS</x:v>
      </x:c>
      <x:c r="F125" t="str">
        <x:f>'Release Gates'!I125</x:f>
        <x:v>PASS</x:v>
      </x:c>
      <x:c r="G125" t="str">
        <x:f>IF(E125=F125,"PASS","FAIL")</x:f>
        <x:v>PASS</x:v>
      </x:c>
      <x:c r="H125" t="str">
        <x:f>G125</x:f>
        <x:v>PASS</x:v>
      </x:c>
    </x:row>
    <x:row r="126">
      <x:c r="B126" t="str">
        <x:v>A-PL-120</x:v>
      </x:c>
      <x:c r="C126" t="str">
        <x:v>gate</x:v>
      </x:c>
      <x:c r="D126" t="str">
        <x:v>PL-IFR-16</x:v>
      </x:c>
      <x:c r="E126" t="str">
        <x:v>PASS</x:v>
      </x:c>
      <x:c r="F126" t="str">
        <x:f>'Release Gates'!I126</x:f>
        <x:v>PASS</x:v>
      </x:c>
      <x:c r="G126" t="str">
        <x:f>IF(E126=F126,"PASS","FAIL")</x:f>
        <x:v>PASS</x:v>
      </x:c>
      <x:c r="H126" t="str">
        <x:f>G126</x:f>
        <x:v>PASS</x:v>
      </x:c>
    </x:row>
    <x:row r="127">
      <x:c r="B127" t="str">
        <x:v>A-PL-121</x:v>
      </x:c>
      <x:c r="C127" t="str">
        <x:v>gate</x:v>
      </x:c>
      <x:c r="D127" t="str">
        <x:v>PL-IFR-17</x:v>
      </x:c>
      <x:c r="E127" t="str">
        <x:v>PASS</x:v>
      </x:c>
      <x:c r="F127" t="str">
        <x:f>'Release Gates'!I127</x:f>
        <x:v>PASS</x:v>
      </x:c>
      <x:c r="G127" t="str">
        <x:f>IF(E127=F127,"PASS","FAIL")</x:f>
        <x:v>PASS</x:v>
      </x:c>
      <x:c r="H127" t="str">
        <x:f>G127</x:f>
        <x:v>PASS</x:v>
      </x:c>
    </x:row>
    <x:row r="128">
      <x:c r="B128" t="str">
        <x:v>A-PL-122</x:v>
      </x:c>
      <x:c r="C128" t="str">
        <x:v>gate</x:v>
      </x:c>
      <x:c r="D128" t="str">
        <x:v>PL-IFR-18</x:v>
      </x:c>
      <x:c r="E128" t="str">
        <x:v>PASS</x:v>
      </x:c>
      <x:c r="F128" t="str">
        <x:f>'Release Gates'!I128</x:f>
        <x:v>PASS</x:v>
      </x:c>
      <x:c r="G128" t="str">
        <x:f>IF(E128=F128,"PASS","FAIL")</x:f>
        <x:v>PASS</x:v>
      </x:c>
      <x:c r="H128" t="str">
        <x:f>G128</x:f>
        <x:v>PASS</x:v>
      </x:c>
    </x:row>
    <x:row r="129">
      <x:c r="B129" t="str">
        <x:v>A-PL-123</x:v>
      </x:c>
      <x:c r="C129" t="str">
        <x:v>gate</x:v>
      </x:c>
      <x:c r="D129" t="str">
        <x:v>PL-IFR-19</x:v>
      </x:c>
      <x:c r="E129" t="str">
        <x:v>PASS</x:v>
      </x:c>
      <x:c r="F129" t="str">
        <x:f>'Release Gates'!I129</x:f>
        <x:v>PASS</x:v>
      </x:c>
      <x:c r="G129" t="str">
        <x:f>IF(E129=F129,"PASS","FAIL")</x:f>
        <x:v>PASS</x:v>
      </x:c>
      <x:c r="H129" t="str">
        <x:f>G129</x:f>
        <x:v>PASS</x:v>
      </x:c>
    </x:row>
    <x:row r="130">
      <x:c r="B130" t="str">
        <x:v>A-PL-124</x:v>
      </x:c>
      <x:c r="C130" t="str">
        <x:v>gate</x:v>
      </x:c>
      <x:c r="D130" t="str">
        <x:v>PL-IFR-20</x:v>
      </x:c>
      <x:c r="E130" t="str">
        <x:v>PASS</x:v>
      </x:c>
      <x:c r="F130" t="str">
        <x:f>'Release Gates'!I130</x:f>
        <x:v>PASS</x:v>
      </x:c>
      <x:c r="G130" t="str">
        <x:f>IF(E130=F130,"PASS","FAIL")</x:f>
        <x:v>PASS</x:v>
      </x:c>
      <x:c r="H130" t="str">
        <x:f>G130</x:f>
        <x:v>PASS</x:v>
      </x:c>
    </x:row>
    <x:row r="131">
      <x:c r="B131" t="str">
        <x:v>A-PL-125</x:v>
      </x:c>
      <x:c r="C131" t="str">
        <x:v>gate</x:v>
      </x:c>
      <x:c r="D131" t="str">
        <x:v>PL-IFR-21</x:v>
      </x:c>
      <x:c r="E131" t="str">
        <x:v>PASS</x:v>
      </x:c>
      <x:c r="F131" t="str">
        <x:f>'Release Gates'!I131</x:f>
        <x:v>PASS</x:v>
      </x:c>
      <x:c r="G131" t="str">
        <x:f>IF(E131=F131,"PASS","FAIL")</x:f>
        <x:v>PASS</x:v>
      </x:c>
      <x:c r="H131" t="str">
        <x:f>G131</x:f>
        <x:v>PASS</x:v>
      </x:c>
    </x:row>
    <x:row r="132">
      <x:c r="B132" t="str">
        <x:v>A-PL-126</x:v>
      </x:c>
      <x:c r="C132" t="str">
        <x:v>gate</x:v>
      </x:c>
      <x:c r="D132" t="str">
        <x:v>PL-IFR-22</x:v>
      </x:c>
      <x:c r="E132" t="str">
        <x:v>PASS</x:v>
      </x:c>
      <x:c r="F132" t="str">
        <x:f>'Release Gates'!I132</x:f>
        <x:v>PASS</x:v>
      </x:c>
      <x:c r="G132" t="str">
        <x:f>IF(E132=F132,"PASS","FAIL")</x:f>
        <x:v>PASS</x:v>
      </x:c>
      <x:c r="H132" t="str">
        <x:f>G132</x:f>
        <x:v>PASS</x:v>
      </x:c>
    </x:row>
    <x:row r="133">
      <x:c r="B133" t="str">
        <x:v>A-PL-127</x:v>
      </x:c>
      <x:c r="C133" t="str">
        <x:v>gate</x:v>
      </x:c>
      <x:c r="D133" t="str">
        <x:v>PL-IFR-23</x:v>
      </x:c>
      <x:c r="E133" t="str">
        <x:v>PASS</x:v>
      </x:c>
      <x:c r="F133" t="str">
        <x:f>'Release Gates'!I133</x:f>
        <x:v>PASS</x:v>
      </x:c>
      <x:c r="G133" t="str">
        <x:f>IF(E133=F133,"PASS","FAIL")</x:f>
        <x:v>PASS</x:v>
      </x:c>
      <x:c r="H133" t="str">
        <x:f>G133</x:f>
        <x:v>PASS</x:v>
      </x:c>
    </x:row>
    <x:row r="134">
      <x:c r="B134" t="str">
        <x:v>A-PL-128</x:v>
      </x:c>
      <x:c r="C134" t="str">
        <x:v>gate</x:v>
      </x:c>
      <x:c r="D134" t="str">
        <x:v>PL-IFR-24</x:v>
      </x:c>
      <x:c r="E134" t="str">
        <x:v>PASS</x:v>
      </x:c>
      <x:c r="F134" t="str">
        <x:f>'Release Gates'!I134</x:f>
        <x:v>PASS</x:v>
      </x:c>
      <x:c r="G134" t="str">
        <x:f>IF(E134=F134,"PASS","FAIL")</x:f>
        <x:v>PASS</x:v>
      </x:c>
      <x:c r="H134" t="str">
        <x:f>G134</x:f>
        <x:v>PASS</x:v>
      </x:c>
    </x:row>
    <x:row r="135">
      <x:c r="B135" t="str">
        <x:v>A-PL-129</x:v>
      </x:c>
      <x:c r="C135" t="str">
        <x:v>gate</x:v>
      </x:c>
      <x:c r="D135" t="str">
        <x:v>PL-IFR-25</x:v>
      </x:c>
      <x:c r="E135" t="str">
        <x:v>PASS</x:v>
      </x:c>
      <x:c r="F135" t="str">
        <x:f>'Release Gates'!I135</x:f>
        <x:v>PASS</x:v>
      </x:c>
      <x:c r="G135" t="str">
        <x:f>IF(E135=F135,"PASS","FAIL")</x:f>
        <x:v>PASS</x:v>
      </x:c>
      <x:c r="H135" t="str">
        <x:f>G135</x:f>
        <x:v>PASS</x:v>
      </x:c>
    </x:row>
    <x:row r="136">
      <x:c r="B136" t="str">
        <x:v>A-PL-130</x:v>
      </x:c>
      <x:c r="C136" t="str">
        <x:v>gate</x:v>
      </x:c>
      <x:c r="D136" t="str">
        <x:v>PL-IFR-26</x:v>
      </x:c>
      <x:c r="E136" t="str">
        <x:v>PASS</x:v>
      </x:c>
      <x:c r="F136" t="str">
        <x:f>'Release Gates'!I136</x:f>
        <x:v>PASS</x:v>
      </x:c>
      <x:c r="G136" t="str">
        <x:f>IF(E136=F136,"PASS","FAIL")</x:f>
        <x:v>PASS</x:v>
      </x:c>
      <x:c r="H136" t="str">
        <x:f>G136</x:f>
        <x:v>PASS</x:v>
      </x:c>
    </x:row>
    <x:row r="137">
      <x:c r="B137" t="str">
        <x:v>A-PL-131</x:v>
      </x:c>
      <x:c r="C137" t="str">
        <x:v>gate</x:v>
      </x:c>
      <x:c r="D137" t="str">
        <x:v>PL-IFR-27</x:v>
      </x:c>
      <x:c r="E137" t="str">
        <x:v>PASS</x:v>
      </x:c>
      <x:c r="F137" t="str">
        <x:f>'Release Gates'!I137</x:f>
        <x:v>PASS</x:v>
      </x:c>
      <x:c r="G137" t="str">
        <x:f>IF(E137=F137,"PASS","FAIL")</x:f>
        <x:v>PASS</x:v>
      </x:c>
      <x:c r="H137" t="str">
        <x:f>G137</x:f>
        <x:v>PASS</x:v>
      </x:c>
    </x:row>
    <x:row r="138">
      <x:c r="B138" t="str">
        <x:v>A-PL-132</x:v>
      </x:c>
      <x:c r="C138" t="str">
        <x:v>gate</x:v>
      </x:c>
      <x:c r="D138" t="str">
        <x:v>PL-IFR-28</x:v>
      </x:c>
      <x:c r="E138" t="str">
        <x:v>PASS</x:v>
      </x:c>
      <x:c r="F138" t="str">
        <x:f>'Release Gates'!I138</x:f>
        <x:v>PASS</x:v>
      </x:c>
      <x:c r="G138" t="str">
        <x:f>IF(E138=F138,"PASS","FAIL")</x:f>
        <x:v>PASS</x:v>
      </x:c>
      <x:c r="H138" t="str">
        <x:f>G138</x:f>
        <x:v>PASS</x:v>
      </x:c>
    </x:row>
    <x:row r="139">
      <x:c r="B139" t="str">
        <x:v>A-PL-133</x:v>
      </x:c>
      <x:c r="C139" t="str">
        <x:v>gate</x:v>
      </x:c>
      <x:c r="D139" t="str">
        <x:v>PL-IFR-29</x:v>
      </x:c>
      <x:c r="E139" t="str">
        <x:v>PASS</x:v>
      </x:c>
      <x:c r="F139" t="str">
        <x:f>'Release Gates'!I139</x:f>
        <x:v>PASS</x:v>
      </x:c>
      <x:c r="G139" t="str">
        <x:f>IF(E139=F139,"PASS","FAIL")</x:f>
        <x:v>PASS</x:v>
      </x:c>
      <x:c r="H139" t="str">
        <x:f>G139</x:f>
        <x:v>PASS</x:v>
      </x:c>
    </x:row>
    <x:row r="140">
      <x:c r="B140" t="str">
        <x:v>A-PL-134</x:v>
      </x:c>
      <x:c r="C140" t="str">
        <x:v>gate</x:v>
      </x:c>
      <x:c r="D140" t="str">
        <x:v>PL-IFR-30</x:v>
      </x:c>
      <x:c r="E140" t="str">
        <x:v>PASS</x:v>
      </x:c>
      <x:c r="F140" t="str">
        <x:f>'Release Gates'!I140</x:f>
        <x:v>PASS</x:v>
      </x:c>
      <x:c r="G140" t="str">
        <x:f>IF(E140=F140,"PASS","FAIL")</x:f>
        <x:v>PASS</x:v>
      </x:c>
      <x:c r="H140" t="str">
        <x:f>G140</x:f>
        <x:v>PASS</x:v>
      </x:c>
    </x:row>
    <x:row r="141">
      <x:c r="B141" t="str">
        <x:v>A-PL-135</x:v>
      </x:c>
      <x:c r="C141" t="str">
        <x:v>gate</x:v>
      </x:c>
      <x:c r="D141" t="str">
        <x:v>PL-IFR-31</x:v>
      </x:c>
      <x:c r="E141" t="str">
        <x:v>PASS</x:v>
      </x:c>
      <x:c r="F141" t="str">
        <x:f>'Release Gates'!I141</x:f>
        <x:v>PASS</x:v>
      </x:c>
      <x:c r="G141" t="str">
        <x:f>IF(E141=F141,"PASS","FAIL")</x:f>
        <x:v>PASS</x:v>
      </x:c>
      <x:c r="H141" t="str">
        <x:f>G141</x:f>
        <x:v>PASS</x:v>
      </x:c>
    </x:row>
    <x:row r="142">
      <x:c r="B142" t="str">
        <x:v>A-PL-136</x:v>
      </x:c>
      <x:c r="C142" t="str">
        <x:v>gate</x:v>
      </x:c>
      <x:c r="D142" t="str">
        <x:v>PL-IFR-32</x:v>
      </x:c>
      <x:c r="E142" t="str">
        <x:v>PASS</x:v>
      </x:c>
      <x:c r="F142" t="str">
        <x:f>'Release Gates'!I142</x:f>
        <x:v>PASS</x:v>
      </x:c>
      <x:c r="G142" t="str">
        <x:f>IF(E142=F142,"PASS","FAIL")</x:f>
        <x:v>PASS</x:v>
      </x:c>
      <x:c r="H142" t="str">
        <x:f>G142</x:f>
        <x:v>PASS</x:v>
      </x:c>
    </x:row>
    <x:row r="143">
      <x:c r="B143" t="str">
        <x:v>A-PL-137</x:v>
      </x:c>
      <x:c r="C143" t="str">
        <x:v>gate</x:v>
      </x:c>
      <x:c r="D143" t="str">
        <x:v>PL-CELL-1</x:v>
      </x:c>
      <x:c r="E143" t="str">
        <x:v>PASS</x:v>
      </x:c>
      <x:c r="F143" t="str">
        <x:f>'Release Gates'!I143</x:f>
        <x:v>PASS</x:v>
      </x:c>
      <x:c r="G143" t="str">
        <x:f>IF(E143=F143,"PASS","FAIL")</x:f>
        <x:v>PASS</x:v>
      </x:c>
      <x:c r="H143" t="str">
        <x:f>G143</x:f>
        <x:v>PASS</x:v>
      </x:c>
    </x:row>
    <x:row r="144">
      <x:c r="B144" t="str">
        <x:v>A-PL-138</x:v>
      </x:c>
      <x:c r="C144" t="str">
        <x:v>gate</x:v>
      </x:c>
      <x:c r="D144" t="str">
        <x:v>PL-CELL-2</x:v>
      </x:c>
      <x:c r="E144" t="str">
        <x:v>PASS</x:v>
      </x:c>
      <x:c r="F144" t="str">
        <x:f>'Release Gates'!I144</x:f>
        <x:v>PASS</x:v>
      </x:c>
      <x:c r="G144" t="str">
        <x:f>IF(E144=F144,"PASS","FAIL")</x:f>
        <x:v>PASS</x:v>
      </x:c>
      <x:c r="H144" t="str">
        <x:f>G144</x:f>
        <x:v>PASS</x:v>
      </x:c>
    </x:row>
    <x:row r="145">
      <x:c r="B145" t="str">
        <x:v>A-PL-139</x:v>
      </x:c>
      <x:c r="C145" t="str">
        <x:v>gate</x:v>
      </x:c>
      <x:c r="D145" t="str">
        <x:v>PL-CELL-3</x:v>
      </x:c>
      <x:c r="E145" t="str">
        <x:v>PASS</x:v>
      </x:c>
      <x:c r="F145" t="str">
        <x:f>'Release Gates'!I145</x:f>
        <x:v>PASS</x:v>
      </x:c>
      <x:c r="G145" t="str">
        <x:f>IF(E145=F145,"PASS","FAIL")</x:f>
        <x:v>PASS</x:v>
      </x:c>
      <x:c r="H145" t="str">
        <x:f>G145</x:f>
        <x:v>PASS</x:v>
      </x:c>
    </x:row>
    <x:row r="146">
      <x:c r="B146" t="str">
        <x:v>A-PL-140</x:v>
      </x:c>
      <x:c r="C146" t="str">
        <x:v>gate</x:v>
      </x:c>
      <x:c r="D146" t="str">
        <x:v>PL-DRAIN-A-B</x:v>
      </x:c>
      <x:c r="E146" t="str">
        <x:v>PASS</x:v>
      </x:c>
      <x:c r="F146" t="str">
        <x:f>'Release Gates'!I146</x:f>
        <x:v>PASS</x:v>
      </x:c>
      <x:c r="G146" t="str">
        <x:f>IF(E146=F146,"PASS","FAIL")</x:f>
        <x:v>PASS</x:v>
      </x:c>
      <x:c r="H146" t="str">
        <x:f>G146</x:f>
        <x:v>PASS</x:v>
      </x:c>
    </x:row>
    <x:row r="147">
      <x:c r="B147" t="str">
        <x:v>A-PL-141</x:v>
      </x:c>
      <x:c r="C147" t="str">
        <x:v>gate</x:v>
      </x:c>
      <x:c r="D147" t="str">
        <x:v>PL-DRAIN-A-C</x:v>
      </x:c>
      <x:c r="E147" t="str">
        <x:v>PASS</x:v>
      </x:c>
      <x:c r="F147" t="str">
        <x:f>'Release Gates'!I147</x:f>
        <x:v>PASS</x:v>
      </x:c>
      <x:c r="G147" t="str">
        <x:f>IF(E147=F147,"PASS","FAIL")</x:f>
        <x:v>PASS</x:v>
      </x:c>
      <x:c r="H147" t="str">
        <x:f>G147</x:f>
        <x:v>PASS</x:v>
      </x:c>
    </x:row>
    <x:row r="148">
      <x:c r="B148" t="str">
        <x:v>A-PL-142</x:v>
      </x:c>
      <x:c r="C148" t="str">
        <x:v>gate</x:v>
      </x:c>
      <x:c r="D148" t="str">
        <x:v>PL-DRAIN-B-B</x:v>
      </x:c>
      <x:c r="E148" t="str">
        <x:v>PASS</x:v>
      </x:c>
      <x:c r="F148" t="str">
        <x:f>'Release Gates'!I148</x:f>
        <x:v>PASS</x:v>
      </x:c>
      <x:c r="G148" t="str">
        <x:f>IF(E148=F148,"PASS","FAIL")</x:f>
        <x:v>PASS</x:v>
      </x:c>
      <x:c r="H148" t="str">
        <x:f>G148</x:f>
        <x:v>PASS</x:v>
      </x:c>
    </x:row>
    <x:row r="149">
      <x:c r="B149" t="str">
        <x:v>A-PL-143</x:v>
      </x:c>
      <x:c r="C149" t="str">
        <x:v>gate</x:v>
      </x:c>
      <x:c r="D149" t="str">
        <x:v>PL-DRAIN-B-C</x:v>
      </x:c>
      <x:c r="E149" t="str">
        <x:v>PASS</x:v>
      </x:c>
      <x:c r="F149" t="str">
        <x:f>'Release Gates'!I149</x:f>
        <x:v>PASS</x:v>
      </x:c>
      <x:c r="G149" t="str">
        <x:f>IF(E149=F149,"PASS","FAIL")</x:f>
        <x:v>PASS</x:v>
      </x:c>
      <x:c r="H149" t="str">
        <x:f>G149</x:f>
        <x:v>PASS</x:v>
      </x:c>
    </x:row>
    <x:row r="150">
      <x:c r="B150" t="str">
        <x:v>A-PL-144</x:v>
      </x:c>
      <x:c r="C150" t="str">
        <x:v>gate</x:v>
      </x:c>
      <x:c r="D150" t="str">
        <x:v>PL-POWER-A-B</x:v>
      </x:c>
      <x:c r="E150" t="str">
        <x:v>PASS</x:v>
      </x:c>
      <x:c r="F150" t="str">
        <x:f>'Release Gates'!I150</x:f>
        <x:v>PASS</x:v>
      </x:c>
      <x:c r="G150" t="str">
        <x:f>IF(E150=F150,"PASS","FAIL")</x:f>
        <x:v>PASS</x:v>
      </x:c>
      <x:c r="H150" t="str">
        <x:f>G150</x:f>
        <x:v>PASS</x:v>
      </x:c>
    </x:row>
    <x:row r="151">
      <x:c r="B151" t="str">
        <x:v>A-PL-145</x:v>
      </x:c>
      <x:c r="C151" t="str">
        <x:v>gate</x:v>
      </x:c>
      <x:c r="D151" t="str">
        <x:v>PL-POWER-A-C</x:v>
      </x:c>
      <x:c r="E151" t="str">
        <x:v>PASS</x:v>
      </x:c>
      <x:c r="F151" t="str">
        <x:f>'Release Gates'!I151</x:f>
        <x:v>PASS</x:v>
      </x:c>
      <x:c r="G151" t="str">
        <x:f>IF(E151=F151,"PASS","FAIL")</x:f>
        <x:v>PASS</x:v>
      </x:c>
      <x:c r="H151" t="str">
        <x:f>G151</x:f>
        <x:v>PASS</x:v>
      </x:c>
    </x:row>
    <x:row r="152">
      <x:c r="B152" t="str">
        <x:v>A-PL-146</x:v>
      </x:c>
      <x:c r="C152" t="str">
        <x:v>gate</x:v>
      </x:c>
      <x:c r="D152" t="str">
        <x:v>PL-POWER-B-B</x:v>
      </x:c>
      <x:c r="E152" t="str">
        <x:v>PASS</x:v>
      </x:c>
      <x:c r="F152" t="str">
        <x:f>'Release Gates'!I152</x:f>
        <x:v>PASS</x:v>
      </x:c>
      <x:c r="G152" t="str">
        <x:f>IF(E152=F152,"PASS","FAIL")</x:f>
        <x:v>PASS</x:v>
      </x:c>
      <x:c r="H152" t="str">
        <x:f>G152</x:f>
        <x:v>PASS</x:v>
      </x:c>
    </x:row>
    <x:row r="153">
      <x:c r="B153" t="str">
        <x:v>A-PL-147</x:v>
      </x:c>
      <x:c r="C153" t="str">
        <x:v>gate</x:v>
      </x:c>
      <x:c r="D153" t="str">
        <x:v>PL-POWER-B-C</x:v>
      </x:c>
      <x:c r="E153" t="str">
        <x:v>PASS</x:v>
      </x:c>
      <x:c r="F153" t="str">
        <x:f>'Release Gates'!I153</x:f>
        <x:v>PASS</x:v>
      </x:c>
      <x:c r="G153" t="str">
        <x:f>IF(E153=F153,"PASS","FAIL")</x:f>
        <x:v>PASS</x:v>
      </x:c>
      <x:c r="H153" t="str">
        <x:f>G153</x:f>
        <x:v>PASS</x:v>
      </x:c>
    </x:row>
    <x:row r="154">
      <x:c r="B154" t="str">
        <x:v>A-PL-148</x:v>
      </x:c>
      <x:c r="C154" t="str">
        <x:v>gate</x:v>
      </x:c>
      <x:c r="D154" t="str">
        <x:v>PL-REC-A-B</x:v>
      </x:c>
      <x:c r="E154" t="str">
        <x:v>PASS</x:v>
      </x:c>
      <x:c r="F154" t="str">
        <x:f>'Release Gates'!I154</x:f>
        <x:v>PASS</x:v>
      </x:c>
      <x:c r="G154" t="str">
        <x:f>IF(E154=F154,"PASS","FAIL")</x:f>
        <x:v>PASS</x:v>
      </x:c>
      <x:c r="H154" t="str">
        <x:f>G154</x:f>
        <x:v>PASS</x:v>
      </x:c>
    </x:row>
    <x:row r="155">
      <x:c r="B155" t="str">
        <x:v>A-PL-149</x:v>
      </x:c>
      <x:c r="C155" t="str">
        <x:v>gate</x:v>
      </x:c>
      <x:c r="D155" t="str">
        <x:v>PL-REC-A-C</x:v>
      </x:c>
      <x:c r="E155" t="str">
        <x:v>PASS</x:v>
      </x:c>
      <x:c r="F155" t="str">
        <x:f>'Release Gates'!I155</x:f>
        <x:v>PASS</x:v>
      </x:c>
      <x:c r="G155" t="str">
        <x:f>IF(E155=F155,"PASS","FAIL")</x:f>
        <x:v>PASS</x:v>
      </x:c>
      <x:c r="H155" t="str">
        <x:f>G155</x:f>
        <x:v>PASS</x:v>
      </x:c>
    </x:row>
    <x:row r="156">
      <x:c r="B156" t="str">
        <x:v>A-PL-150</x:v>
      </x:c>
      <x:c r="C156" t="str">
        <x:v>gate</x:v>
      </x:c>
      <x:c r="D156" t="str">
        <x:v>PL-REC-B-B</x:v>
      </x:c>
      <x:c r="E156" t="str">
        <x:v>PASS</x:v>
      </x:c>
      <x:c r="F156" t="str">
        <x:f>'Release Gates'!I156</x:f>
        <x:v>PASS</x:v>
      </x:c>
      <x:c r="G156" t="str">
        <x:f>IF(E156=F156,"PASS","FAIL")</x:f>
        <x:v>PASS</x:v>
      </x:c>
      <x:c r="H156" t="str">
        <x:f>G156</x:f>
        <x:v>PASS</x:v>
      </x:c>
    </x:row>
    <x:row r="157">
      <x:c r="B157" t="str">
        <x:v>A-PL-151</x:v>
      </x:c>
      <x:c r="C157" t="str">
        <x:v>gate</x:v>
      </x:c>
      <x:c r="D157" t="str">
        <x:v>PL-REC-B-C</x:v>
      </x:c>
      <x:c r="E157" t="str">
        <x:v>PASS</x:v>
      </x:c>
      <x:c r="F157" t="str">
        <x:f>'Release Gates'!I157</x:f>
        <x:v>PASS</x:v>
      </x:c>
      <x:c r="G157" t="str">
        <x:f>IF(E157=F157,"PASS","FAIL")</x:f>
        <x:v>PASS</x:v>
      </x:c>
      <x:c r="H157" t="str">
        <x:f>G157</x:f>
        <x:v>PASS</x:v>
      </x:c>
    </x:row>
    <x:row r="158">
      <x:c r="B158" t="str">
        <x:v>A-PL-152</x:v>
      </x:c>
      <x:c r="C158" t="str">
        <x:v>gate</x:v>
      </x:c>
      <x:c r="D158" t="str">
        <x:v>PL-RESCUE-1</x:v>
      </x:c>
      <x:c r="E158" t="str">
        <x:v>PASS</x:v>
      </x:c>
      <x:c r="F158" t="str">
        <x:f>'Release Gates'!I158</x:f>
        <x:v>PASS</x:v>
      </x:c>
      <x:c r="G158" t="str">
        <x:f>IF(E158=F158,"PASS","FAIL")</x:f>
        <x:v>PASS</x:v>
      </x:c>
      <x:c r="H158" t="str">
        <x:f>G158</x:f>
        <x:v>PASS</x:v>
      </x:c>
    </x:row>
    <x:row r="159">
      <x:c r="B159" t="str">
        <x:v>A-PL-153</x:v>
      </x:c>
      <x:c r="C159" t="str">
        <x:v>gate</x:v>
      </x:c>
      <x:c r="D159" t="str">
        <x:v>PL-RESCUE-2</x:v>
      </x:c>
      <x:c r="E159" t="str">
        <x:v>PASS</x:v>
      </x:c>
      <x:c r="F159" t="str">
        <x:f>'Release Gates'!I159</x:f>
        <x:v>PASS</x:v>
      </x:c>
      <x:c r="G159" t="str">
        <x:f>IF(E159=F159,"PASS","FAIL")</x:f>
        <x:v>PASS</x:v>
      </x:c>
      <x:c r="H159" t="str">
        <x:f>G159</x:f>
        <x:v>PASS</x:v>
      </x:c>
    </x:row>
    <x:row r="160">
      <x:c r="B160" t="str">
        <x:v>A-PL-154</x:v>
      </x:c>
      <x:c r="C160" t="str">
        <x:v>gate</x:v>
      </x:c>
      <x:c r="D160" t="str">
        <x:v>PL-RESCUE-3</x:v>
      </x:c>
      <x:c r="E160" t="str">
        <x:v>PASS</x:v>
      </x:c>
      <x:c r="F160" t="str">
        <x:f>'Release Gates'!I160</x:f>
        <x:v>PASS</x:v>
      </x:c>
      <x:c r="G160" t="str">
        <x:f>IF(E160=F160,"PASS","FAIL")</x:f>
        <x:v>PASS</x:v>
      </x:c>
      <x:c r="H160" t="str">
        <x:f>G160</x:f>
        <x:v>PASS</x:v>
      </x:c>
    </x:row>
    <x:row r="161">
      <x:c r="B161" t="str">
        <x:v>A-PL-155</x:v>
      </x:c>
      <x:c r="C161" t="str">
        <x:v>gate</x:v>
      </x:c>
      <x:c r="D161" t="str">
        <x:v>PL-BUDGET</x:v>
      </x:c>
      <x:c r="E161" t="str">
        <x:v>PASS</x:v>
      </x:c>
      <x:c r="F161" t="str">
        <x:f>'Release Gates'!I161</x:f>
        <x:v>PASS</x:v>
      </x:c>
      <x:c r="G161" t="str">
        <x:f>IF(E161=F161,"PASS","FAIL")</x:f>
        <x:v>PASS</x:v>
      </x:c>
      <x:c r="H161" t="str">
        <x:f>G161</x:f>
        <x:v>PASS</x:v>
      </x:c>
    </x:row>
    <x:row r="162">
      <x:c r="B162" t="str">
        <x:v>A-PL-156</x:v>
      </x:c>
      <x:c r="C162" t="str">
        <x:v>gate</x:v>
      </x:c>
      <x:c r="D162" t="str">
        <x:v>PL-SCHEDULE</x:v>
      </x:c>
      <x:c r="E162" t="str">
        <x:v>PASS</x:v>
      </x:c>
      <x:c r="F162" t="str">
        <x:f>'Release Gates'!I162</x:f>
        <x:v>PASS</x:v>
      </x:c>
      <x:c r="G162" t="str">
        <x:f>IF(E162=F162,"PASS","FAIL")</x:f>
        <x:v>PASS</x:v>
      </x:c>
      <x:c r="H162" t="str">
        <x:f>G162</x:f>
        <x:v>PASS</x:v>
      </x:c>
    </x:row>
    <x:row r="163">
      <x:c r="B163" t="str">
        <x:v>A-PL-157</x:v>
      </x:c>
      <x:c r="C163" t="str">
        <x:v>gate</x:v>
      </x:c>
      <x:c r="D163" t="str">
        <x:v>PL-AUTH</x:v>
      </x:c>
      <x:c r="E163" t="str">
        <x:v>PASS</x:v>
      </x:c>
      <x:c r="F163" t="str">
        <x:f>'Release Gates'!I163</x:f>
        <x:v>PASS</x:v>
      </x:c>
      <x:c r="G163" t="str">
        <x:f>IF(E163=F163,"PASS","FAIL")</x:f>
        <x:v>PASS</x:v>
      </x:c>
      <x:c r="H163" t="str">
        <x:f>G163</x:f>
        <x:v>PASS</x:v>
      </x:c>
    </x:row>
    <x:row r="164">
      <x:c r="B164" t="str">
        <x:v>A-PL-158</x:v>
      </x:c>
      <x:c r="C164" t="str">
        <x:v>gate</x:v>
      </x:c>
      <x:c r="D164" t="str">
        <x:v>PL-CUSTODY</x:v>
      </x:c>
      <x:c r="E164" t="str">
        <x:v>PASS</x:v>
      </x:c>
      <x:c r="F164" t="str">
        <x:f>'Release Gates'!I164</x:f>
        <x:v>PASS</x:v>
      </x:c>
      <x:c r="G164" t="str">
        <x:f>IF(E164=F164,"PASS","FAIL")</x:f>
        <x:v>PASS</x:v>
      </x:c>
      <x:c r="H164" t="str">
        <x:f>G164</x:f>
        <x:v>PASS</x:v>
      </x:c>
    </x:row>
    <x:row r="165">
      <x:c r="B165" t="str">
        <x:v>A-PH-001</x:v>
      </x:c>
      <x:c r="C165" t="str">
        <x:v>gate</x:v>
      </x:c>
      <x:c r="D165" t="str">
        <x:v>PH-CELL-1</x:v>
      </x:c>
      <x:c r="E165" t="str">
        <x:v>OPEN</x:v>
      </x:c>
      <x:c r="F165" t="str">
        <x:f>'Release Gates'!I165</x:f>
        <x:v>OPEN</x:v>
      </x:c>
      <x:c r="G165" t="str">
        <x:f>IF(E165=F165,"PASS","FAIL")</x:f>
        <x:v>PASS</x:v>
      </x:c>
      <x:c r="H165" t="str">
        <x:f>G165</x:f>
        <x:v>PASS</x:v>
      </x:c>
    </x:row>
    <x:row r="166">
      <x:c r="B166" t="str">
        <x:v>A-PH-002</x:v>
      </x:c>
      <x:c r="C166" t="str">
        <x:v>gate</x:v>
      </x:c>
      <x:c r="D166" t="str">
        <x:v>PH-CELL-2</x:v>
      </x:c>
      <x:c r="E166" t="str">
        <x:v>OPEN</x:v>
      </x:c>
      <x:c r="F166" t="str">
        <x:f>'Release Gates'!I166</x:f>
        <x:v>OPEN</x:v>
      </x:c>
      <x:c r="G166" t="str">
        <x:f>IF(E166=F166,"PASS","FAIL")</x:f>
        <x:v>PASS</x:v>
      </x:c>
      <x:c r="H166" t="str">
        <x:f>G166</x:f>
        <x:v>PASS</x:v>
      </x:c>
    </x:row>
    <x:row r="167">
      <x:c r="B167" t="str">
        <x:v>A-PH-003</x:v>
      </x:c>
      <x:c r="C167" t="str">
        <x:v>gate</x:v>
      </x:c>
      <x:c r="D167" t="str">
        <x:v>PH-CELL-3</x:v>
      </x:c>
      <x:c r="E167" t="str">
        <x:v>OPEN</x:v>
      </x:c>
      <x:c r="F167" t="str">
        <x:f>'Release Gates'!I167</x:f>
        <x:v>OPEN</x:v>
      </x:c>
      <x:c r="G167" t="str">
        <x:f>IF(E167=F167,"PASS","FAIL")</x:f>
        <x:v>PASS</x:v>
      </x:c>
      <x:c r="H167" t="str">
        <x:f>G167</x:f>
        <x:v>PASS</x:v>
      </x:c>
    </x:row>
    <x:row r="168">
      <x:c r="B168" t="str">
        <x:v>A-PH-004</x:v>
      </x:c>
      <x:c r="C168" t="str">
        <x:v>gate</x:v>
      </x:c>
      <x:c r="D168" t="str">
        <x:v>PH-ROUTE-A-B-1</x:v>
      </x:c>
      <x:c r="E168" t="str">
        <x:v>OPEN</x:v>
      </x:c>
      <x:c r="F168" t="str">
        <x:f>'Release Gates'!I168</x:f>
        <x:v>OPEN</x:v>
      </x:c>
      <x:c r="G168" t="str">
        <x:f>IF(E168=F168,"PASS","FAIL")</x:f>
        <x:v>PASS</x:v>
      </x:c>
      <x:c r="H168" t="str">
        <x:f>G168</x:f>
        <x:v>PASS</x:v>
      </x:c>
    </x:row>
    <x:row r="169">
      <x:c r="B169" t="str">
        <x:v>A-PH-005</x:v>
      </x:c>
      <x:c r="C169" t="str">
        <x:v>gate</x:v>
      </x:c>
      <x:c r="D169" t="str">
        <x:v>PH-ROUTE-A-B-2</x:v>
      </x:c>
      <x:c r="E169" t="str">
        <x:v>OPEN</x:v>
      </x:c>
      <x:c r="F169" t="str">
        <x:f>'Release Gates'!I169</x:f>
        <x:v>OPEN</x:v>
      </x:c>
      <x:c r="G169" t="str">
        <x:f>IF(E169=F169,"PASS","FAIL")</x:f>
        <x:v>PASS</x:v>
      </x:c>
      <x:c r="H169" t="str">
        <x:f>G169</x:f>
        <x:v>PASS</x:v>
      </x:c>
    </x:row>
    <x:row r="170">
      <x:c r="B170" t="str">
        <x:v>A-PH-006</x:v>
      </x:c>
      <x:c r="C170" t="str">
        <x:v>gate</x:v>
      </x:c>
      <x:c r="D170" t="str">
        <x:v>PH-ROUTE-A-B-3</x:v>
      </x:c>
      <x:c r="E170" t="str">
        <x:v>OPEN</x:v>
      </x:c>
      <x:c r="F170" t="str">
        <x:f>'Release Gates'!I170</x:f>
        <x:v>OPEN</x:v>
      </x:c>
      <x:c r="G170" t="str">
        <x:f>IF(E170=F170,"PASS","FAIL")</x:f>
        <x:v>PASS</x:v>
      </x:c>
      <x:c r="H170" t="str">
        <x:f>G170</x:f>
        <x:v>PASS</x:v>
      </x:c>
    </x:row>
    <x:row r="171">
      <x:c r="B171" t="str">
        <x:v>A-PH-007</x:v>
      </x:c>
      <x:c r="C171" t="str">
        <x:v>gate</x:v>
      </x:c>
      <x:c r="D171" t="str">
        <x:v>PH-ROUTE-A-B-4</x:v>
      </x:c>
      <x:c r="E171" t="str">
        <x:v>OPEN</x:v>
      </x:c>
      <x:c r="F171" t="str">
        <x:f>'Release Gates'!I171</x:f>
        <x:v>OPEN</x:v>
      </x:c>
      <x:c r="G171" t="str">
        <x:f>IF(E171=F171,"PASS","FAIL")</x:f>
        <x:v>PASS</x:v>
      </x:c>
      <x:c r="H171" t="str">
        <x:f>G171</x:f>
        <x:v>PASS</x:v>
      </x:c>
    </x:row>
    <x:row r="172">
      <x:c r="B172" t="str">
        <x:v>A-PH-008</x:v>
      </x:c>
      <x:c r="C172" t="str">
        <x:v>gate</x:v>
      </x:c>
      <x:c r="D172" t="str">
        <x:v>PH-ROUTE-A-C-1</x:v>
      </x:c>
      <x:c r="E172" t="str">
        <x:v>OPEN</x:v>
      </x:c>
      <x:c r="F172" t="str">
        <x:f>'Release Gates'!I172</x:f>
        <x:v>OPEN</x:v>
      </x:c>
      <x:c r="G172" t="str">
        <x:f>IF(E172=F172,"PASS","FAIL")</x:f>
        <x:v>PASS</x:v>
      </x:c>
      <x:c r="H172" t="str">
        <x:f>G172</x:f>
        <x:v>PASS</x:v>
      </x:c>
    </x:row>
    <x:row r="173">
      <x:c r="B173" t="str">
        <x:v>A-PH-009</x:v>
      </x:c>
      <x:c r="C173" t="str">
        <x:v>gate</x:v>
      </x:c>
      <x:c r="D173" t="str">
        <x:v>PH-ROUTE-A-C-2</x:v>
      </x:c>
      <x:c r="E173" t="str">
        <x:v>OPEN</x:v>
      </x:c>
      <x:c r="F173" t="str">
        <x:f>'Release Gates'!I173</x:f>
        <x:v>OPEN</x:v>
      </x:c>
      <x:c r="G173" t="str">
        <x:f>IF(E173=F173,"PASS","FAIL")</x:f>
        <x:v>PASS</x:v>
      </x:c>
      <x:c r="H173" t="str">
        <x:f>G173</x:f>
        <x:v>PASS</x:v>
      </x:c>
    </x:row>
    <x:row r="174">
      <x:c r="B174" t="str">
        <x:v>A-PH-010</x:v>
      </x:c>
      <x:c r="C174" t="str">
        <x:v>gate</x:v>
      </x:c>
      <x:c r="D174" t="str">
        <x:v>PH-ROUTE-A-C-3</x:v>
      </x:c>
      <x:c r="E174" t="str">
        <x:v>OPEN</x:v>
      </x:c>
      <x:c r="F174" t="str">
        <x:f>'Release Gates'!I174</x:f>
        <x:v>OPEN</x:v>
      </x:c>
      <x:c r="G174" t="str">
        <x:f>IF(E174=F174,"PASS","FAIL")</x:f>
        <x:v>PASS</x:v>
      </x:c>
      <x:c r="H174" t="str">
        <x:f>G174</x:f>
        <x:v>PASS</x:v>
      </x:c>
    </x:row>
    <x:row r="175">
      <x:c r="B175" t="str">
        <x:v>A-PH-011</x:v>
      </x:c>
      <x:c r="C175" t="str">
        <x:v>gate</x:v>
      </x:c>
      <x:c r="D175" t="str">
        <x:v>PH-ROUTE-A-C-4</x:v>
      </x:c>
      <x:c r="E175" t="str">
        <x:v>OPEN</x:v>
      </x:c>
      <x:c r="F175" t="str">
        <x:f>'Release Gates'!I175</x:f>
        <x:v>OPEN</x:v>
      </x:c>
      <x:c r="G175" t="str">
        <x:f>IF(E175=F175,"PASS","FAIL")</x:f>
        <x:v>PASS</x:v>
      </x:c>
      <x:c r="H175" t="str">
        <x:f>G175</x:f>
        <x:v>PASS</x:v>
      </x:c>
    </x:row>
    <x:row r="176">
      <x:c r="B176" t="str">
        <x:v>A-PH-012</x:v>
      </x:c>
      <x:c r="C176" t="str">
        <x:v>gate</x:v>
      </x:c>
      <x:c r="D176" t="str">
        <x:v>PH-ROUTE-B-B-1</x:v>
      </x:c>
      <x:c r="E176" t="str">
        <x:v>OPEN</x:v>
      </x:c>
      <x:c r="F176" t="str">
        <x:f>'Release Gates'!I176</x:f>
        <x:v>OPEN</x:v>
      </x:c>
      <x:c r="G176" t="str">
        <x:f>IF(E176=F176,"PASS","FAIL")</x:f>
        <x:v>PASS</x:v>
      </x:c>
      <x:c r="H176" t="str">
        <x:f>G176</x:f>
        <x:v>PASS</x:v>
      </x:c>
    </x:row>
    <x:row r="177">
      <x:c r="B177" t="str">
        <x:v>A-PH-013</x:v>
      </x:c>
      <x:c r="C177" t="str">
        <x:v>gate</x:v>
      </x:c>
      <x:c r="D177" t="str">
        <x:v>PH-ROUTE-B-B-2</x:v>
      </x:c>
      <x:c r="E177" t="str">
        <x:v>OPEN</x:v>
      </x:c>
      <x:c r="F177" t="str">
        <x:f>'Release Gates'!I177</x:f>
        <x:v>OPEN</x:v>
      </x:c>
      <x:c r="G177" t="str">
        <x:f>IF(E177=F177,"PASS","FAIL")</x:f>
        <x:v>PASS</x:v>
      </x:c>
      <x:c r="H177" t="str">
        <x:f>G177</x:f>
        <x:v>PASS</x:v>
      </x:c>
    </x:row>
    <x:row r="178">
      <x:c r="B178" t="str">
        <x:v>A-PH-014</x:v>
      </x:c>
      <x:c r="C178" t="str">
        <x:v>gate</x:v>
      </x:c>
      <x:c r="D178" t="str">
        <x:v>PH-ROUTE-B-B-3</x:v>
      </x:c>
      <x:c r="E178" t="str">
        <x:v>OPEN</x:v>
      </x:c>
      <x:c r="F178" t="str">
        <x:f>'Release Gates'!I178</x:f>
        <x:v>OPEN</x:v>
      </x:c>
      <x:c r="G178" t="str">
        <x:f>IF(E178=F178,"PASS","FAIL")</x:f>
        <x:v>PASS</x:v>
      </x:c>
      <x:c r="H178" t="str">
        <x:f>G178</x:f>
        <x:v>PASS</x:v>
      </x:c>
    </x:row>
    <x:row r="179">
      <x:c r="B179" t="str">
        <x:v>A-PH-015</x:v>
      </x:c>
      <x:c r="C179" t="str">
        <x:v>gate</x:v>
      </x:c>
      <x:c r="D179" t="str">
        <x:v>PH-ROUTE-B-B-4</x:v>
      </x:c>
      <x:c r="E179" t="str">
        <x:v>OPEN</x:v>
      </x:c>
      <x:c r="F179" t="str">
        <x:f>'Release Gates'!I179</x:f>
        <x:v>OPEN</x:v>
      </x:c>
      <x:c r="G179" t="str">
        <x:f>IF(E179=F179,"PASS","FAIL")</x:f>
        <x:v>PASS</x:v>
      </x:c>
      <x:c r="H179" t="str">
        <x:f>G179</x:f>
        <x:v>PASS</x:v>
      </x:c>
    </x:row>
    <x:row r="180">
      <x:c r="B180" t="str">
        <x:v>A-PH-016</x:v>
      </x:c>
      <x:c r="C180" t="str">
        <x:v>gate</x:v>
      </x:c>
      <x:c r="D180" t="str">
        <x:v>PH-ROUTE-B-C-1</x:v>
      </x:c>
      <x:c r="E180" t="str">
        <x:v>OPEN</x:v>
      </x:c>
      <x:c r="F180" t="str">
        <x:f>'Release Gates'!I180</x:f>
        <x:v>OPEN</x:v>
      </x:c>
      <x:c r="G180" t="str">
        <x:f>IF(E180=F180,"PASS","FAIL")</x:f>
        <x:v>PASS</x:v>
      </x:c>
      <x:c r="H180" t="str">
        <x:f>G180</x:f>
        <x:v>PASS</x:v>
      </x:c>
    </x:row>
    <x:row r="181">
      <x:c r="B181" t="str">
        <x:v>A-PH-017</x:v>
      </x:c>
      <x:c r="C181" t="str">
        <x:v>gate</x:v>
      </x:c>
      <x:c r="D181" t="str">
        <x:v>PH-ROUTE-B-C-2</x:v>
      </x:c>
      <x:c r="E181" t="str">
        <x:v>OPEN</x:v>
      </x:c>
      <x:c r="F181" t="str">
        <x:f>'Release Gates'!I181</x:f>
        <x:v>OPEN</x:v>
      </x:c>
      <x:c r="G181" t="str">
        <x:f>IF(E181=F181,"PASS","FAIL")</x:f>
        <x:v>PASS</x:v>
      </x:c>
      <x:c r="H181" t="str">
        <x:f>G181</x:f>
        <x:v>PASS</x:v>
      </x:c>
    </x:row>
    <x:row r="182">
      <x:c r="B182" t="str">
        <x:v>A-PH-018</x:v>
      </x:c>
      <x:c r="C182" t="str">
        <x:v>gate</x:v>
      </x:c>
      <x:c r="D182" t="str">
        <x:v>PH-ROUTE-B-C-3</x:v>
      </x:c>
      <x:c r="E182" t="str">
        <x:v>OPEN</x:v>
      </x:c>
      <x:c r="F182" t="str">
        <x:f>'Release Gates'!I182</x:f>
        <x:v>OPEN</x:v>
      </x:c>
      <x:c r="G182" t="str">
        <x:f>IF(E182=F182,"PASS","FAIL")</x:f>
        <x:v>PASS</x:v>
      </x:c>
      <x:c r="H182" t="str">
        <x:f>G182</x:f>
        <x:v>PASS</x:v>
      </x:c>
    </x:row>
    <x:row r="183">
      <x:c r="B183" t="str">
        <x:v>A-PH-019</x:v>
      </x:c>
      <x:c r="C183" t="str">
        <x:v>gate</x:v>
      </x:c>
      <x:c r="D183" t="str">
        <x:v>PH-ROUTE-B-C-4</x:v>
      </x:c>
      <x:c r="E183" t="str">
        <x:v>OPEN</x:v>
      </x:c>
      <x:c r="F183" t="str">
        <x:f>'Release Gates'!I183</x:f>
        <x:v>OPEN</x:v>
      </x:c>
      <x:c r="G183" t="str">
        <x:f>IF(E183=F183,"PASS","FAIL")</x:f>
        <x:v>PASS</x:v>
      </x:c>
      <x:c r="H183" t="str">
        <x:f>G183</x:f>
        <x:v>PASS</x:v>
      </x:c>
    </x:row>
    <x:row r="184">
      <x:c r="B184" t="str">
        <x:v>A-PH-020</x:v>
      </x:c>
      <x:c r="C184" t="str">
        <x:v>gate</x:v>
      </x:c>
      <x:c r="D184" t="str">
        <x:v>PH-EXPOSURE-01</x:v>
      </x:c>
      <x:c r="E184" t="str">
        <x:v>OPEN</x:v>
      </x:c>
      <x:c r="F184" t="str">
        <x:f>'Release Gates'!I184</x:f>
        <x:v>OPEN</x:v>
      </x:c>
      <x:c r="G184" t="str">
        <x:f>IF(E184=F184,"PASS","FAIL")</x:f>
        <x:v>PASS</x:v>
      </x:c>
      <x:c r="H184" t="str">
        <x:f>G184</x:f>
        <x:v>PASS</x:v>
      </x:c>
    </x:row>
    <x:row r="185">
      <x:c r="B185" t="str">
        <x:v>A-PH-021</x:v>
      </x:c>
      <x:c r="C185" t="str">
        <x:v>gate</x:v>
      </x:c>
      <x:c r="D185" t="str">
        <x:v>PH-EXPOSURE-02</x:v>
      </x:c>
      <x:c r="E185" t="str">
        <x:v>OPEN</x:v>
      </x:c>
      <x:c r="F185" t="str">
        <x:f>'Release Gates'!I185</x:f>
        <x:v>OPEN</x:v>
      </x:c>
      <x:c r="G185" t="str">
        <x:f>IF(E185=F185,"PASS","FAIL")</x:f>
        <x:v>PASS</x:v>
      </x:c>
      <x:c r="H185" t="str">
        <x:f>G185</x:f>
        <x:v>PASS</x:v>
      </x:c>
    </x:row>
    <x:row r="186">
      <x:c r="B186" t="str">
        <x:v>A-PH-022</x:v>
      </x:c>
      <x:c r="C186" t="str">
        <x:v>gate</x:v>
      </x:c>
      <x:c r="D186" t="str">
        <x:v>PH-EXPOSURE-03</x:v>
      </x:c>
      <x:c r="E186" t="str">
        <x:v>OPEN</x:v>
      </x:c>
      <x:c r="F186" t="str">
        <x:f>'Release Gates'!I186</x:f>
        <x:v>OPEN</x:v>
      </x:c>
      <x:c r="G186" t="str">
        <x:f>IF(E186=F186,"PASS","FAIL")</x:f>
        <x:v>PASS</x:v>
      </x:c>
      <x:c r="H186" t="str">
        <x:f>G186</x:f>
        <x:v>PASS</x:v>
      </x:c>
    </x:row>
    <x:row r="187">
      <x:c r="B187" t="str">
        <x:v>A-PH-023</x:v>
      </x:c>
      <x:c r="C187" t="str">
        <x:v>gate</x:v>
      </x:c>
      <x:c r="D187" t="str">
        <x:v>PH-EXPOSURE-04</x:v>
      </x:c>
      <x:c r="E187" t="str">
        <x:v>OPEN</x:v>
      </x:c>
      <x:c r="F187" t="str">
        <x:f>'Release Gates'!I187</x:f>
        <x:v>OPEN</x:v>
      </x:c>
      <x:c r="G187" t="str">
        <x:f>IF(E187=F187,"PASS","FAIL")</x:f>
        <x:v>PASS</x:v>
      </x:c>
      <x:c r="H187" t="str">
        <x:f>G187</x:f>
        <x:v>PASS</x:v>
      </x:c>
    </x:row>
    <x:row r="188">
      <x:c r="B188" t="str">
        <x:v>A-PH-024</x:v>
      </x:c>
      <x:c r="C188" t="str">
        <x:v>gate</x:v>
      </x:c>
      <x:c r="D188" t="str">
        <x:v>PH-EXPOSURE-05</x:v>
      </x:c>
      <x:c r="E188" t="str">
        <x:v>OPEN</x:v>
      </x:c>
      <x:c r="F188" t="str">
        <x:f>'Release Gates'!I188</x:f>
        <x:v>OPEN</x:v>
      </x:c>
      <x:c r="G188" t="str">
        <x:f>IF(E188=F188,"PASS","FAIL")</x:f>
        <x:v>PASS</x:v>
      </x:c>
      <x:c r="H188" t="str">
        <x:f>G188</x:f>
        <x:v>PASS</x:v>
      </x:c>
    </x:row>
    <x:row r="189">
      <x:c r="B189" t="str">
        <x:v>A-PH-025</x:v>
      </x:c>
      <x:c r="C189" t="str">
        <x:v>gate</x:v>
      </x:c>
      <x:c r="D189" t="str">
        <x:v>PH-EXPOSURE-06</x:v>
      </x:c>
      <x:c r="E189" t="str">
        <x:v>OPEN</x:v>
      </x:c>
      <x:c r="F189" t="str">
        <x:f>'Release Gates'!I189</x:f>
        <x:v>OPEN</x:v>
      </x:c>
      <x:c r="G189" t="str">
        <x:f>IF(E189=F189,"PASS","FAIL")</x:f>
        <x:v>PASS</x:v>
      </x:c>
      <x:c r="H189" t="str">
        <x:f>G189</x:f>
        <x:v>PASS</x:v>
      </x:c>
    </x:row>
    <x:row r="190">
      <x:c r="B190" t="str">
        <x:v>A-PH-026</x:v>
      </x:c>
      <x:c r="C190" t="str">
        <x:v>gate</x:v>
      </x:c>
      <x:c r="D190" t="str">
        <x:v>PH-EXPOSURE-07</x:v>
      </x:c>
      <x:c r="E190" t="str">
        <x:v>OPEN</x:v>
      </x:c>
      <x:c r="F190" t="str">
        <x:f>'Release Gates'!I190</x:f>
        <x:v>OPEN</x:v>
      </x:c>
      <x:c r="G190" t="str">
        <x:f>IF(E190=F190,"PASS","FAIL")</x:f>
        <x:v>PASS</x:v>
      </x:c>
      <x:c r="H190" t="str">
        <x:f>G190</x:f>
        <x:v>PASS</x:v>
      </x:c>
    </x:row>
    <x:row r="191">
      <x:c r="B191" t="str">
        <x:v>A-PH-027</x:v>
      </x:c>
      <x:c r="C191" t="str">
        <x:v>gate</x:v>
      </x:c>
      <x:c r="D191" t="str">
        <x:v>PH-EXPOSURE-08</x:v>
      </x:c>
      <x:c r="E191" t="str">
        <x:v>OPEN</x:v>
      </x:c>
      <x:c r="F191" t="str">
        <x:f>'Release Gates'!I191</x:f>
        <x:v>OPEN</x:v>
      </x:c>
      <x:c r="G191" t="str">
        <x:f>IF(E191=F191,"PASS","FAIL")</x:f>
        <x:v>PASS</x:v>
      </x:c>
      <x:c r="H191" t="str">
        <x:f>G191</x:f>
        <x:v>PASS</x:v>
      </x:c>
    </x:row>
    <x:row r="192">
      <x:c r="B192" t="str">
        <x:v>A-PH-028</x:v>
      </x:c>
      <x:c r="C192" t="str">
        <x:v>gate</x:v>
      </x:c>
      <x:c r="D192" t="str">
        <x:v>PH-EXPOSURE-09</x:v>
      </x:c>
      <x:c r="E192" t="str">
        <x:v>OPEN</x:v>
      </x:c>
      <x:c r="F192" t="str">
        <x:f>'Release Gates'!I192</x:f>
        <x:v>OPEN</x:v>
      </x:c>
      <x:c r="G192" t="str">
        <x:f>IF(E192=F192,"PASS","FAIL")</x:f>
        <x:v>PASS</x:v>
      </x:c>
      <x:c r="H192" t="str">
        <x:f>G192</x:f>
        <x:v>PASS</x:v>
      </x:c>
    </x:row>
    <x:row r="193">
      <x:c r="B193" t="str">
        <x:v>A-PH-029</x:v>
      </x:c>
      <x:c r="C193" t="str">
        <x:v>gate</x:v>
      </x:c>
      <x:c r="D193" t="str">
        <x:v>PH-EXPOSURE-10</x:v>
      </x:c>
      <x:c r="E193" t="str">
        <x:v>OPEN</x:v>
      </x:c>
      <x:c r="F193" t="str">
        <x:f>'Release Gates'!I193</x:f>
        <x:v>OPEN</x:v>
      </x:c>
      <x:c r="G193" t="str">
        <x:f>IF(E193=F193,"PASS","FAIL")</x:f>
        <x:v>PASS</x:v>
      </x:c>
      <x:c r="H193" t="str">
        <x:f>G193</x:f>
        <x:v>PASS</x:v>
      </x:c>
    </x:row>
    <x:row r="194">
      <x:c r="B194" t="str">
        <x:v>A-PH-030</x:v>
      </x:c>
      <x:c r="C194" t="str">
        <x:v>gate</x:v>
      </x:c>
      <x:c r="D194" t="str">
        <x:v>PH-EXPOSURE-11</x:v>
      </x:c>
      <x:c r="E194" t="str">
        <x:v>OPEN</x:v>
      </x:c>
      <x:c r="F194" t="str">
        <x:f>'Release Gates'!I194</x:f>
        <x:v>OPEN</x:v>
      </x:c>
      <x:c r="G194" t="str">
        <x:f>IF(E194=F194,"PASS","FAIL")</x:f>
        <x:v>PASS</x:v>
      </x:c>
      <x:c r="H194" t="str">
        <x:f>G194</x:f>
        <x:v>PASS</x:v>
      </x:c>
    </x:row>
    <x:row r="195">
      <x:c r="B195" t="str">
        <x:v>A-PH-031</x:v>
      </x:c>
      <x:c r="C195" t="str">
        <x:v>gate</x:v>
      </x:c>
      <x:c r="D195" t="str">
        <x:v>PH-EXPOSURE-12</x:v>
      </x:c>
      <x:c r="E195" t="str">
        <x:v>OPEN</x:v>
      </x:c>
      <x:c r="F195" t="str">
        <x:f>'Release Gates'!I195</x:f>
        <x:v>OPEN</x:v>
      </x:c>
      <x:c r="G195" t="str">
        <x:f>IF(E195=F195,"PASS","FAIL")</x:f>
        <x:v>PASS</x:v>
      </x:c>
      <x:c r="H195" t="str">
        <x:f>G195</x:f>
        <x:v>PASS</x:v>
      </x:c>
    </x:row>
    <x:row r="196">
      <x:c r="B196" t="str">
        <x:v>A-PH-032</x:v>
      </x:c>
      <x:c r="C196" t="str">
        <x:v>gate</x:v>
      </x:c>
      <x:c r="D196" t="str">
        <x:v>PH-EXPOSURE-13</x:v>
      </x:c>
      <x:c r="E196" t="str">
        <x:v>OPEN</x:v>
      </x:c>
      <x:c r="F196" t="str">
        <x:f>'Release Gates'!I196</x:f>
        <x:v>OPEN</x:v>
      </x:c>
      <x:c r="G196" t="str">
        <x:f>IF(E196=F196,"PASS","FAIL")</x:f>
        <x:v>PASS</x:v>
      </x:c>
      <x:c r="H196" t="str">
        <x:f>G196</x:f>
        <x:v>PASS</x:v>
      </x:c>
    </x:row>
    <x:row r="197">
      <x:c r="B197" t="str">
        <x:v>A-PH-033</x:v>
      </x:c>
      <x:c r="C197" t="str">
        <x:v>gate</x:v>
      </x:c>
      <x:c r="D197" t="str">
        <x:v>PH-EXPOSURE-14</x:v>
      </x:c>
      <x:c r="E197" t="str">
        <x:v>OPEN</x:v>
      </x:c>
      <x:c r="F197" t="str">
        <x:f>'Release Gates'!I197</x:f>
        <x:v>OPEN</x:v>
      </x:c>
      <x:c r="G197" t="str">
        <x:f>IF(E197=F197,"PASS","FAIL")</x:f>
        <x:v>PASS</x:v>
      </x:c>
      <x:c r="H197" t="str">
        <x:f>G197</x:f>
        <x:v>PASS</x:v>
      </x:c>
    </x:row>
    <x:row r="198">
      <x:c r="B198" t="str">
        <x:v>A-PH-034</x:v>
      </x:c>
      <x:c r="C198" t="str">
        <x:v>gate</x:v>
      </x:c>
      <x:c r="D198" t="str">
        <x:v>PH-EXPOSURE-15</x:v>
      </x:c>
      <x:c r="E198" t="str">
        <x:v>OPEN</x:v>
      </x:c>
      <x:c r="F198" t="str">
        <x:f>'Release Gates'!I198</x:f>
        <x:v>OPEN</x:v>
      </x:c>
      <x:c r="G198" t="str">
        <x:f>IF(E198=F198,"PASS","FAIL")</x:f>
        <x:v>PASS</x:v>
      </x:c>
      <x:c r="H198" t="str">
        <x:f>G198</x:f>
        <x:v>PASS</x:v>
      </x:c>
    </x:row>
    <x:row r="199">
      <x:c r="B199" t="str">
        <x:v>A-PH-035</x:v>
      </x:c>
      <x:c r="C199" t="str">
        <x:v>gate</x:v>
      </x:c>
      <x:c r="D199" t="str">
        <x:v>PH-EXPOSURE-16</x:v>
      </x:c>
      <x:c r="E199" t="str">
        <x:v>OPEN</x:v>
      </x:c>
      <x:c r="F199" t="str">
        <x:f>'Release Gates'!I199</x:f>
        <x:v>OPEN</x:v>
      </x:c>
      <x:c r="G199" t="str">
        <x:f>IF(E199=F199,"PASS","FAIL")</x:f>
        <x:v>PASS</x:v>
      </x:c>
      <x:c r="H199" t="str">
        <x:f>G199</x:f>
        <x:v>PASS</x:v>
      </x:c>
    </x:row>
    <x:row r="200">
      <x:c r="B200" t="str">
        <x:v>A-PH-036</x:v>
      </x:c>
      <x:c r="C200" t="str">
        <x:v>gate</x:v>
      </x:c>
      <x:c r="D200" t="str">
        <x:v>PH-EXPOSURE-17</x:v>
      </x:c>
      <x:c r="E200" t="str">
        <x:v>OPEN</x:v>
      </x:c>
      <x:c r="F200" t="str">
        <x:f>'Release Gates'!I200</x:f>
        <x:v>OPEN</x:v>
      </x:c>
      <x:c r="G200" t="str">
        <x:f>IF(E200=F200,"PASS","FAIL")</x:f>
        <x:v>PASS</x:v>
      </x:c>
      <x:c r="H200" t="str">
        <x:f>G200</x:f>
        <x:v>PASS</x:v>
      </x:c>
    </x:row>
    <x:row r="201">
      <x:c r="B201" t="str">
        <x:v>A-PH-037</x:v>
      </x:c>
      <x:c r="C201" t="str">
        <x:v>gate</x:v>
      </x:c>
      <x:c r="D201" t="str">
        <x:v>PH-EXPOSURE-18</x:v>
      </x:c>
      <x:c r="E201" t="str">
        <x:v>OPEN</x:v>
      </x:c>
      <x:c r="F201" t="str">
        <x:f>'Release Gates'!I201</x:f>
        <x:v>OPEN</x:v>
      </x:c>
      <x:c r="G201" t="str">
        <x:f>IF(E201=F201,"PASS","FAIL")</x:f>
        <x:v>PASS</x:v>
      </x:c>
      <x:c r="H201" t="str">
        <x:f>G201</x:f>
        <x:v>PASS</x:v>
      </x:c>
    </x:row>
    <x:row r="202">
      <x:c r="B202" t="str">
        <x:v>A-PH-038</x:v>
      </x:c>
      <x:c r="C202" t="str">
        <x:v>gate</x:v>
      </x:c>
      <x:c r="D202" t="str">
        <x:v>PH-EXPOSURE-19</x:v>
      </x:c>
      <x:c r="E202" t="str">
        <x:v>OPEN</x:v>
      </x:c>
      <x:c r="F202" t="str">
        <x:f>'Release Gates'!I202</x:f>
        <x:v>OPEN</x:v>
      </x:c>
      <x:c r="G202" t="str">
        <x:f>IF(E202=F202,"PASS","FAIL")</x:f>
        <x:v>PASS</x:v>
      </x:c>
      <x:c r="H202" t="str">
        <x:f>G202</x:f>
        <x:v>PASS</x:v>
      </x:c>
    </x:row>
    <x:row r="203">
      <x:c r="B203" t="str">
        <x:v>A-PH-039</x:v>
      </x:c>
      <x:c r="C203" t="str">
        <x:v>gate</x:v>
      </x:c>
      <x:c r="D203" t="str">
        <x:v>PH-EXPOSURE-20</x:v>
      </x:c>
      <x:c r="E203" t="str">
        <x:v>OPEN</x:v>
      </x:c>
      <x:c r="F203" t="str">
        <x:f>'Release Gates'!I203</x:f>
        <x:v>OPEN</x:v>
      </x:c>
      <x:c r="G203" t="str">
        <x:f>IF(E203=F203,"PASS","FAIL")</x:f>
        <x:v>PASS</x:v>
      </x:c>
      <x:c r="H203" t="str">
        <x:f>G203</x:f>
        <x:v>PASS</x:v>
      </x:c>
    </x:row>
    <x:row r="204">
      <x:c r="B204" t="str">
        <x:v>A-PH-040</x:v>
      </x:c>
      <x:c r="C204" t="str">
        <x:v>gate</x:v>
      </x:c>
      <x:c r="D204" t="str">
        <x:v>PH-EXPOSURE-21</x:v>
      </x:c>
      <x:c r="E204" t="str">
        <x:v>OPEN</x:v>
      </x:c>
      <x:c r="F204" t="str">
        <x:f>'Release Gates'!I204</x:f>
        <x:v>OPEN</x:v>
      </x:c>
      <x:c r="G204" t="str">
        <x:f>IF(E204=F204,"PASS","FAIL")</x:f>
        <x:v>PASS</x:v>
      </x:c>
      <x:c r="H204" t="str">
        <x:f>G204</x:f>
        <x:v>PASS</x:v>
      </x:c>
    </x:row>
    <x:row r="205">
      <x:c r="B205" t="str">
        <x:v>A-PH-041</x:v>
      </x:c>
      <x:c r="C205" t="str">
        <x:v>gate</x:v>
      </x:c>
      <x:c r="D205" t="str">
        <x:v>PH-EXPOSURE-22</x:v>
      </x:c>
      <x:c r="E205" t="str">
        <x:v>OPEN</x:v>
      </x:c>
      <x:c r="F205" t="str">
        <x:f>'Release Gates'!I205</x:f>
        <x:v>OPEN</x:v>
      </x:c>
      <x:c r="G205" t="str">
        <x:f>IF(E205=F205,"PASS","FAIL")</x:f>
        <x:v>PASS</x:v>
      </x:c>
      <x:c r="H205" t="str">
        <x:f>G205</x:f>
        <x:v>PASS</x:v>
      </x:c>
    </x:row>
    <x:row r="206">
      <x:c r="B206" t="str">
        <x:v>A-PH-042</x:v>
      </x:c>
      <x:c r="C206" t="str">
        <x:v>gate</x:v>
      </x:c>
      <x:c r="D206" t="str">
        <x:v>PH-EXPOSURE-23</x:v>
      </x:c>
      <x:c r="E206" t="str">
        <x:v>OPEN</x:v>
      </x:c>
      <x:c r="F206" t="str">
        <x:f>'Release Gates'!I206</x:f>
        <x:v>OPEN</x:v>
      </x:c>
      <x:c r="G206" t="str">
        <x:f>IF(E206=F206,"PASS","FAIL")</x:f>
        <x:v>PASS</x:v>
      </x:c>
      <x:c r="H206" t="str">
        <x:f>G206</x:f>
        <x:v>PASS</x:v>
      </x:c>
    </x:row>
    <x:row r="207">
      <x:c r="B207" t="str">
        <x:v>A-PH-043</x:v>
      </x:c>
      <x:c r="C207" t="str">
        <x:v>gate</x:v>
      </x:c>
      <x:c r="D207" t="str">
        <x:v>PH-EXPOSURE-24</x:v>
      </x:c>
      <x:c r="E207" t="str">
        <x:v>OPEN</x:v>
      </x:c>
      <x:c r="F207" t="str">
        <x:f>'Release Gates'!I207</x:f>
        <x:v>OPEN</x:v>
      </x:c>
      <x:c r="G207" t="str">
        <x:f>IF(E207=F207,"PASS","FAIL")</x:f>
        <x:v>PASS</x:v>
      </x:c>
      <x:c r="H207" t="str">
        <x:f>G207</x:f>
        <x:v>PASS</x:v>
      </x:c>
    </x:row>
    <x:row r="208">
      <x:c r="B208" t="str">
        <x:v>A-PH-044</x:v>
      </x:c>
      <x:c r="C208" t="str">
        <x:v>gate</x:v>
      </x:c>
      <x:c r="D208" t="str">
        <x:v>PH-EXPOSURE-25</x:v>
      </x:c>
      <x:c r="E208" t="str">
        <x:v>OPEN</x:v>
      </x:c>
      <x:c r="F208" t="str">
        <x:f>'Release Gates'!I208</x:f>
        <x:v>OPEN</x:v>
      </x:c>
      <x:c r="G208" t="str">
        <x:f>IF(E208=F208,"PASS","FAIL")</x:f>
        <x:v>PASS</x:v>
      </x:c>
      <x:c r="H208" t="str">
        <x:f>G208</x:f>
        <x:v>PASS</x:v>
      </x:c>
    </x:row>
    <x:row r="209">
      <x:c r="B209" t="str">
        <x:v>A-PH-045</x:v>
      </x:c>
      <x:c r="C209" t="str">
        <x:v>gate</x:v>
      </x:c>
      <x:c r="D209" t="str">
        <x:v>PH-EXPOSURE-26</x:v>
      </x:c>
      <x:c r="E209" t="str">
        <x:v>OPEN</x:v>
      </x:c>
      <x:c r="F209" t="str">
        <x:f>'Release Gates'!I209</x:f>
        <x:v>OPEN</x:v>
      </x:c>
      <x:c r="G209" t="str">
        <x:f>IF(E209=F209,"PASS","FAIL")</x:f>
        <x:v>PASS</x:v>
      </x:c>
      <x:c r="H209" t="str">
        <x:f>G209</x:f>
        <x:v>PASS</x:v>
      </x:c>
    </x:row>
    <x:row r="210">
      <x:c r="B210" t="str">
        <x:v>A-PH-046</x:v>
      </x:c>
      <x:c r="C210" t="str">
        <x:v>gate</x:v>
      </x:c>
      <x:c r="D210" t="str">
        <x:v>PH-EXPOSURE-27</x:v>
      </x:c>
      <x:c r="E210" t="str">
        <x:v>OPEN</x:v>
      </x:c>
      <x:c r="F210" t="str">
        <x:f>'Release Gates'!I210</x:f>
        <x:v>OPEN</x:v>
      </x:c>
      <x:c r="G210" t="str">
        <x:f>IF(E210=F210,"PASS","FAIL")</x:f>
        <x:v>PASS</x:v>
      </x:c>
      <x:c r="H210" t="str">
        <x:f>G210</x:f>
        <x:v>PASS</x:v>
      </x:c>
    </x:row>
    <x:row r="211">
      <x:c r="B211" t="str">
        <x:v>A-PH-047</x:v>
      </x:c>
      <x:c r="C211" t="str">
        <x:v>gate</x:v>
      </x:c>
      <x:c r="D211" t="str">
        <x:v>PH-EXPOSURE-28</x:v>
      </x:c>
      <x:c r="E211" t="str">
        <x:v>OPEN</x:v>
      </x:c>
      <x:c r="F211" t="str">
        <x:f>'Release Gates'!I211</x:f>
        <x:v>OPEN</x:v>
      </x:c>
      <x:c r="G211" t="str">
        <x:f>IF(E211=F211,"PASS","FAIL")</x:f>
        <x:v>PASS</x:v>
      </x:c>
      <x:c r="H211" t="str">
        <x:f>G211</x:f>
        <x:v>PASS</x:v>
      </x:c>
    </x:row>
    <x:row r="212">
      <x:c r="B212" t="str">
        <x:v>A-PH-048</x:v>
      </x:c>
      <x:c r="C212" t="str">
        <x:v>gate</x:v>
      </x:c>
      <x:c r="D212" t="str">
        <x:v>PH-EXPOSURE-29</x:v>
      </x:c>
      <x:c r="E212" t="str">
        <x:v>OPEN</x:v>
      </x:c>
      <x:c r="F212" t="str">
        <x:f>'Release Gates'!I212</x:f>
        <x:v>OPEN</x:v>
      </x:c>
      <x:c r="G212" t="str">
        <x:f>IF(E212=F212,"PASS","FAIL")</x:f>
        <x:v>PASS</x:v>
      </x:c>
      <x:c r="H212" t="str">
        <x:f>G212</x:f>
        <x:v>PASS</x:v>
      </x:c>
    </x:row>
    <x:row r="213">
      <x:c r="B213" t="str">
        <x:v>A-PH-049</x:v>
      </x:c>
      <x:c r="C213" t="str">
        <x:v>gate</x:v>
      </x:c>
      <x:c r="D213" t="str">
        <x:v>PH-EXPOSURE-30</x:v>
      </x:c>
      <x:c r="E213" t="str">
        <x:v>OPEN</x:v>
      </x:c>
      <x:c r="F213" t="str">
        <x:f>'Release Gates'!I213</x:f>
        <x:v>OPEN</x:v>
      </x:c>
      <x:c r="G213" t="str">
        <x:f>IF(E213=F213,"PASS","FAIL")</x:f>
        <x:v>PASS</x:v>
      </x:c>
      <x:c r="H213" t="str">
        <x:f>G213</x:f>
        <x:v>PASS</x:v>
      </x:c>
    </x:row>
    <x:row r="214">
      <x:c r="B214" t="str">
        <x:v>A-PH-050</x:v>
      </x:c>
      <x:c r="C214" t="str">
        <x:v>gate</x:v>
      </x:c>
      <x:c r="D214" t="str">
        <x:v>PH-EXPOSURE-31</x:v>
      </x:c>
      <x:c r="E214" t="str">
        <x:v>OPEN</x:v>
      </x:c>
      <x:c r="F214" t="str">
        <x:f>'Release Gates'!I214</x:f>
        <x:v>OPEN</x:v>
      </x:c>
      <x:c r="G214" t="str">
        <x:f>IF(E214=F214,"PASS","FAIL")</x:f>
        <x:v>PASS</x:v>
      </x:c>
      <x:c r="H214" t="str">
        <x:f>G214</x:f>
        <x:v>PASS</x:v>
      </x:c>
    </x:row>
    <x:row r="215">
      <x:c r="B215" t="str">
        <x:v>A-PH-051</x:v>
      </x:c>
      <x:c r="C215" t="str">
        <x:v>gate</x:v>
      </x:c>
      <x:c r="D215" t="str">
        <x:v>PH-EXPOSURE-32</x:v>
      </x:c>
      <x:c r="E215" t="str">
        <x:v>OPEN</x:v>
      </x:c>
      <x:c r="F215" t="str">
        <x:f>'Release Gates'!I215</x:f>
        <x:v>OPEN</x:v>
      </x:c>
      <x:c r="G215" t="str">
        <x:f>IF(E215=F215,"PASS","FAIL")</x:f>
        <x:v>PASS</x:v>
      </x:c>
      <x:c r="H215" t="str">
        <x:f>G215</x:f>
        <x:v>PASS</x:v>
      </x:c>
    </x:row>
    <x:row r="216">
      <x:c r="B216" t="str">
        <x:v>A-PH-052</x:v>
      </x:c>
      <x:c r="C216" t="str">
        <x:v>gate</x:v>
      </x:c>
      <x:c r="D216" t="str">
        <x:v>PH-EXPOSURE-33</x:v>
      </x:c>
      <x:c r="E216" t="str">
        <x:v>OPEN</x:v>
      </x:c>
      <x:c r="F216" t="str">
        <x:f>'Release Gates'!I216</x:f>
        <x:v>OPEN</x:v>
      </x:c>
      <x:c r="G216" t="str">
        <x:f>IF(E216=F216,"PASS","FAIL")</x:f>
        <x:v>PASS</x:v>
      </x:c>
      <x:c r="H216" t="str">
        <x:f>G216</x:f>
        <x:v>PASS</x:v>
      </x:c>
    </x:row>
    <x:row r="217">
      <x:c r="B217" t="str">
        <x:v>A-PH-053</x:v>
      </x:c>
      <x:c r="C217" t="str">
        <x:v>gate</x:v>
      </x:c>
      <x:c r="D217" t="str">
        <x:v>PH-EXPOSURE-34</x:v>
      </x:c>
      <x:c r="E217" t="str">
        <x:v>OPEN</x:v>
      </x:c>
      <x:c r="F217" t="str">
        <x:f>'Release Gates'!I217</x:f>
        <x:v>OPEN</x:v>
      </x:c>
      <x:c r="G217" t="str">
        <x:f>IF(E217=F217,"PASS","FAIL")</x:f>
        <x:v>PASS</x:v>
      </x:c>
      <x:c r="H217" t="str">
        <x:f>G217</x:f>
        <x:v>PASS</x:v>
      </x:c>
    </x:row>
    <x:row r="218">
      <x:c r="B218" t="str">
        <x:v>A-PH-054</x:v>
      </x:c>
      <x:c r="C218" t="str">
        <x:v>gate</x:v>
      </x:c>
      <x:c r="D218" t="str">
        <x:v>PH-EXPOSURE-35</x:v>
      </x:c>
      <x:c r="E218" t="str">
        <x:v>OPEN</x:v>
      </x:c>
      <x:c r="F218" t="str">
        <x:f>'Release Gates'!I218</x:f>
        <x:v>OPEN</x:v>
      </x:c>
      <x:c r="G218" t="str">
        <x:f>IF(E218=F218,"PASS","FAIL")</x:f>
        <x:v>PASS</x:v>
      </x:c>
      <x:c r="H218" t="str">
        <x:f>G218</x:f>
        <x:v>PASS</x:v>
      </x:c>
    </x:row>
    <x:row r="219">
      <x:c r="B219" t="str">
        <x:v>A-PH-055</x:v>
      </x:c>
      <x:c r="C219" t="str">
        <x:v>gate</x:v>
      </x:c>
      <x:c r="D219" t="str">
        <x:v>PH-EXPOSURE-36</x:v>
      </x:c>
      <x:c r="E219" t="str">
        <x:v>OPEN</x:v>
      </x:c>
      <x:c r="F219" t="str">
        <x:f>'Release Gates'!I219</x:f>
        <x:v>OPEN</x:v>
      </x:c>
      <x:c r="G219" t="str">
        <x:f>IF(E219=F219,"PASS","FAIL")</x:f>
        <x:v>PASS</x:v>
      </x:c>
      <x:c r="H219" t="str">
        <x:f>G219</x:f>
        <x:v>PASS</x:v>
      </x:c>
    </x:row>
    <x:row r="220">
      <x:c r="B220" t="str">
        <x:v>A-PH-056</x:v>
      </x:c>
      <x:c r="C220" t="str">
        <x:v>gate</x:v>
      </x:c>
      <x:c r="D220" t="str">
        <x:v>PH-EXPOSURE-37</x:v>
      </x:c>
      <x:c r="E220" t="str">
        <x:v>OPEN</x:v>
      </x:c>
      <x:c r="F220" t="str">
        <x:f>'Release Gates'!I220</x:f>
        <x:v>OPEN</x:v>
      </x:c>
      <x:c r="G220" t="str">
        <x:f>IF(E220=F220,"PASS","FAIL")</x:f>
        <x:v>PASS</x:v>
      </x:c>
      <x:c r="H220" t="str">
        <x:f>G220</x:f>
        <x:v>PASS</x:v>
      </x:c>
    </x:row>
    <x:row r="221">
      <x:c r="B221" t="str">
        <x:v>A-PH-057</x:v>
      </x:c>
      <x:c r="C221" t="str">
        <x:v>gate</x:v>
      </x:c>
      <x:c r="D221" t="str">
        <x:v>PH-EXPOSURE-38</x:v>
      </x:c>
      <x:c r="E221" t="str">
        <x:v>OPEN</x:v>
      </x:c>
      <x:c r="F221" t="str">
        <x:f>'Release Gates'!I221</x:f>
        <x:v>OPEN</x:v>
      </x:c>
      <x:c r="G221" t="str">
        <x:f>IF(E221=F221,"PASS","FAIL")</x:f>
        <x:v>PASS</x:v>
      </x:c>
      <x:c r="H221" t="str">
        <x:f>G221</x:f>
        <x:v>PASS</x:v>
      </x:c>
    </x:row>
    <x:row r="222">
      <x:c r="B222" t="str">
        <x:v>A-PH-058</x:v>
      </x:c>
      <x:c r="C222" t="str">
        <x:v>gate</x:v>
      </x:c>
      <x:c r="D222" t="str">
        <x:v>PH-EXPOSURE-39</x:v>
      </x:c>
      <x:c r="E222" t="str">
        <x:v>OPEN</x:v>
      </x:c>
      <x:c r="F222" t="str">
        <x:f>'Release Gates'!I222</x:f>
        <x:v>OPEN</x:v>
      </x:c>
      <x:c r="G222" t="str">
        <x:f>IF(E222=F222,"PASS","FAIL")</x:f>
        <x:v>PASS</x:v>
      </x:c>
      <x:c r="H222" t="str">
        <x:f>G222</x:f>
        <x:v>PASS</x:v>
      </x:c>
    </x:row>
    <x:row r="223">
      <x:c r="B223" t="str">
        <x:v>A-PH-059</x:v>
      </x:c>
      <x:c r="C223" t="str">
        <x:v>gate</x:v>
      </x:c>
      <x:c r="D223" t="str">
        <x:v>PH-EXPOSURE-40</x:v>
      </x:c>
      <x:c r="E223" t="str">
        <x:v>OPEN</x:v>
      </x:c>
      <x:c r="F223" t="str">
        <x:f>'Release Gates'!I223</x:f>
        <x:v>OPEN</x:v>
      </x:c>
      <x:c r="G223" t="str">
        <x:f>IF(E223=F223,"PASS","FAIL")</x:f>
        <x:v>PASS</x:v>
      </x:c>
      <x:c r="H223" t="str">
        <x:f>G223</x:f>
        <x:v>PASS</x:v>
      </x:c>
    </x:row>
    <x:row r="224">
      <x:c r="B224" t="str">
        <x:v>A-PH-060</x:v>
      </x:c>
      <x:c r="C224" t="str">
        <x:v>gate</x:v>
      </x:c>
      <x:c r="D224" t="str">
        <x:v>PH-EXPOSURE-41</x:v>
      </x:c>
      <x:c r="E224" t="str">
        <x:v>OPEN</x:v>
      </x:c>
      <x:c r="F224" t="str">
        <x:f>'Release Gates'!I224</x:f>
        <x:v>OPEN</x:v>
      </x:c>
      <x:c r="G224" t="str">
        <x:f>IF(E224=F224,"PASS","FAIL")</x:f>
        <x:v>PASS</x:v>
      </x:c>
      <x:c r="H224" t="str">
        <x:f>G224</x:f>
        <x:v>PASS</x:v>
      </x:c>
    </x:row>
    <x:row r="225">
      <x:c r="B225" t="str">
        <x:v>A-PH-061</x:v>
      </x:c>
      <x:c r="C225" t="str">
        <x:v>gate</x:v>
      </x:c>
      <x:c r="D225" t="str">
        <x:v>PH-EXPOSURE-42</x:v>
      </x:c>
      <x:c r="E225" t="str">
        <x:v>OPEN</x:v>
      </x:c>
      <x:c r="F225" t="str">
        <x:f>'Release Gates'!I225</x:f>
        <x:v>OPEN</x:v>
      </x:c>
      <x:c r="G225" t="str">
        <x:f>IF(E225=F225,"PASS","FAIL")</x:f>
        <x:v>PASS</x:v>
      </x:c>
      <x:c r="H225" t="str">
        <x:f>G225</x:f>
        <x:v>PASS</x:v>
      </x:c>
    </x:row>
    <x:row r="226">
      <x:c r="B226" t="str">
        <x:v>A-PH-062</x:v>
      </x:c>
      <x:c r="C226" t="str">
        <x:v>gate</x:v>
      </x:c>
      <x:c r="D226" t="str">
        <x:v>PH-EXPOSURE-43</x:v>
      </x:c>
      <x:c r="E226" t="str">
        <x:v>OPEN</x:v>
      </x:c>
      <x:c r="F226" t="str">
        <x:f>'Release Gates'!I226</x:f>
        <x:v>OPEN</x:v>
      </x:c>
      <x:c r="G226" t="str">
        <x:f>IF(E226=F226,"PASS","FAIL")</x:f>
        <x:v>PASS</x:v>
      </x:c>
      <x:c r="H226" t="str">
        <x:f>G226</x:f>
        <x:v>PASS</x:v>
      </x:c>
    </x:row>
    <x:row r="227">
      <x:c r="B227" t="str">
        <x:v>A-PH-063</x:v>
      </x:c>
      <x:c r="C227" t="str">
        <x:v>gate</x:v>
      </x:c>
      <x:c r="D227" t="str">
        <x:v>PH-EXPOSURE-44</x:v>
      </x:c>
      <x:c r="E227" t="str">
        <x:v>OPEN</x:v>
      </x:c>
      <x:c r="F227" t="str">
        <x:f>'Release Gates'!I227</x:f>
        <x:v>OPEN</x:v>
      </x:c>
      <x:c r="G227" t="str">
        <x:f>IF(E227=F227,"PASS","FAIL")</x:f>
        <x:v>PASS</x:v>
      </x:c>
      <x:c r="H227" t="str">
        <x:f>G227</x:f>
        <x:v>PASS</x:v>
      </x:c>
    </x:row>
    <x:row r="228">
      <x:c r="B228" t="str">
        <x:v>A-PH-064</x:v>
      </x:c>
      <x:c r="C228" t="str">
        <x:v>gate</x:v>
      </x:c>
      <x:c r="D228" t="str">
        <x:v>PH-EXPOSURE-45</x:v>
      </x:c>
      <x:c r="E228" t="str">
        <x:v>OPEN</x:v>
      </x:c>
      <x:c r="F228" t="str">
        <x:f>'Release Gates'!I228</x:f>
        <x:v>OPEN</x:v>
      </x:c>
      <x:c r="G228" t="str">
        <x:f>IF(E228=F228,"PASS","FAIL")</x:f>
        <x:v>PASS</x:v>
      </x:c>
      <x:c r="H228" t="str">
        <x:f>G228</x:f>
        <x:v>PASS</x:v>
      </x:c>
    </x:row>
    <x:row r="229">
      <x:c r="B229" t="str">
        <x:v>A-PH-065</x:v>
      </x:c>
      <x:c r="C229" t="str">
        <x:v>gate</x:v>
      </x:c>
      <x:c r="D229" t="str">
        <x:v>PH-EXPOSURE-46</x:v>
      </x:c>
      <x:c r="E229" t="str">
        <x:v>OPEN</x:v>
      </x:c>
      <x:c r="F229" t="str">
        <x:f>'Release Gates'!I229</x:f>
        <x:v>OPEN</x:v>
      </x:c>
      <x:c r="G229" t="str">
        <x:f>IF(E229=F229,"PASS","FAIL")</x:f>
        <x:v>PASS</x:v>
      </x:c>
      <x:c r="H229" t="str">
        <x:f>G229</x:f>
        <x:v>PASS</x:v>
      </x:c>
    </x:row>
    <x:row r="230">
      <x:c r="B230" t="str">
        <x:v>A-PH-066</x:v>
      </x:c>
      <x:c r="C230" t="str">
        <x:v>gate</x:v>
      </x:c>
      <x:c r="D230" t="str">
        <x:v>PH-EXPOSURE-47</x:v>
      </x:c>
      <x:c r="E230" t="str">
        <x:v>OPEN</x:v>
      </x:c>
      <x:c r="F230" t="str">
        <x:f>'Release Gates'!I230</x:f>
        <x:v>OPEN</x:v>
      </x:c>
      <x:c r="G230" t="str">
        <x:f>IF(E230=F230,"PASS","FAIL")</x:f>
        <x:v>PASS</x:v>
      </x:c>
      <x:c r="H230" t="str">
        <x:f>G230</x:f>
        <x:v>PASS</x:v>
      </x:c>
    </x:row>
    <x:row r="231">
      <x:c r="B231" t="str">
        <x:v>A-PH-067</x:v>
      </x:c>
      <x:c r="C231" t="str">
        <x:v>gate</x:v>
      </x:c>
      <x:c r="D231" t="str">
        <x:v>PH-EXPOSURE-48</x:v>
      </x:c>
      <x:c r="E231" t="str">
        <x:v>OPEN</x:v>
      </x:c>
      <x:c r="F231" t="str">
        <x:f>'Release Gates'!I231</x:f>
        <x:v>OPEN</x:v>
      </x:c>
      <x:c r="G231" t="str">
        <x:f>IF(E231=F231,"PASS","FAIL")</x:f>
        <x:v>PASS</x:v>
      </x:c>
      <x:c r="H231" t="str">
        <x:f>G231</x:f>
        <x:v>PASS</x:v>
      </x:c>
    </x:row>
    <x:row r="232">
      <x:c r="B232" t="str">
        <x:v>A-PH-068</x:v>
      </x:c>
      <x:c r="C232" t="str">
        <x:v>gate</x:v>
      </x:c>
      <x:c r="D232" t="str">
        <x:v>PH-PROP-01</x:v>
      </x:c>
      <x:c r="E232" t="str">
        <x:v>OPEN</x:v>
      </x:c>
      <x:c r="F232" t="str">
        <x:f>'Release Gates'!I232</x:f>
        <x:v>OPEN</x:v>
      </x:c>
      <x:c r="G232" t="str">
        <x:f>IF(E232=F232,"PASS","FAIL")</x:f>
        <x:v>PASS</x:v>
      </x:c>
      <x:c r="H232" t="str">
        <x:f>G232</x:f>
        <x:v>PASS</x:v>
      </x:c>
    </x:row>
    <x:row r="233">
      <x:c r="B233" t="str">
        <x:v>A-PH-069</x:v>
      </x:c>
      <x:c r="C233" t="str">
        <x:v>gate</x:v>
      </x:c>
      <x:c r="D233" t="str">
        <x:v>PH-PROP-02</x:v>
      </x:c>
      <x:c r="E233" t="str">
        <x:v>OPEN</x:v>
      </x:c>
      <x:c r="F233" t="str">
        <x:f>'Release Gates'!I233</x:f>
        <x:v>OPEN</x:v>
      </x:c>
      <x:c r="G233" t="str">
        <x:f>IF(E233=F233,"PASS","FAIL")</x:f>
        <x:v>PASS</x:v>
      </x:c>
      <x:c r="H233" t="str">
        <x:f>G233</x:f>
        <x:v>PASS</x:v>
      </x:c>
    </x:row>
    <x:row r="234">
      <x:c r="B234" t="str">
        <x:v>A-PH-070</x:v>
      </x:c>
      <x:c r="C234" t="str">
        <x:v>gate</x:v>
      </x:c>
      <x:c r="D234" t="str">
        <x:v>PH-PROP-03</x:v>
      </x:c>
      <x:c r="E234" t="str">
        <x:v>OPEN</x:v>
      </x:c>
      <x:c r="F234" t="str">
        <x:f>'Release Gates'!I234</x:f>
        <x:v>OPEN</x:v>
      </x:c>
      <x:c r="G234" t="str">
        <x:f>IF(E234=F234,"PASS","FAIL")</x:f>
        <x:v>PASS</x:v>
      </x:c>
      <x:c r="H234" t="str">
        <x:f>G234</x:f>
        <x:v>PASS</x:v>
      </x:c>
    </x:row>
    <x:row r="235">
      <x:c r="B235" t="str">
        <x:v>A-PH-071</x:v>
      </x:c>
      <x:c r="C235" t="str">
        <x:v>gate</x:v>
      </x:c>
      <x:c r="D235" t="str">
        <x:v>PH-PROP-04</x:v>
      </x:c>
      <x:c r="E235" t="str">
        <x:v>OPEN</x:v>
      </x:c>
      <x:c r="F235" t="str">
        <x:f>'Release Gates'!I235</x:f>
        <x:v>OPEN</x:v>
      </x:c>
      <x:c r="G235" t="str">
        <x:f>IF(E235=F235,"PASS","FAIL")</x:f>
        <x:v>PASS</x:v>
      </x:c>
      <x:c r="H235" t="str">
        <x:f>G235</x:f>
        <x:v>PASS</x:v>
      </x:c>
    </x:row>
    <x:row r="236">
      <x:c r="B236" t="str">
        <x:v>A-PH-072</x:v>
      </x:c>
      <x:c r="C236" t="str">
        <x:v>gate</x:v>
      </x:c>
      <x:c r="D236" t="str">
        <x:v>PH-PROP-05</x:v>
      </x:c>
      <x:c r="E236" t="str">
        <x:v>OPEN</x:v>
      </x:c>
      <x:c r="F236" t="str">
        <x:f>'Release Gates'!I236</x:f>
        <x:v>OPEN</x:v>
      </x:c>
      <x:c r="G236" t="str">
        <x:f>IF(E236=F236,"PASS","FAIL")</x:f>
        <x:v>PASS</x:v>
      </x:c>
      <x:c r="H236" t="str">
        <x:f>G236</x:f>
        <x:v>PASS</x:v>
      </x:c>
    </x:row>
    <x:row r="237">
      <x:c r="B237" t="str">
        <x:v>A-PH-073</x:v>
      </x:c>
      <x:c r="C237" t="str">
        <x:v>gate</x:v>
      </x:c>
      <x:c r="D237" t="str">
        <x:v>PH-PROP-06</x:v>
      </x:c>
      <x:c r="E237" t="str">
        <x:v>OPEN</x:v>
      </x:c>
      <x:c r="F237" t="str">
        <x:f>'Release Gates'!I237</x:f>
        <x:v>OPEN</x:v>
      </x:c>
      <x:c r="G237" t="str">
        <x:f>IF(E237=F237,"PASS","FAIL")</x:f>
        <x:v>PASS</x:v>
      </x:c>
      <x:c r="H237" t="str">
        <x:f>G237</x:f>
        <x:v>PASS</x:v>
      </x:c>
    </x:row>
    <x:row r="238">
      <x:c r="B238" t="str">
        <x:v>A-PH-074</x:v>
      </x:c>
      <x:c r="C238" t="str">
        <x:v>gate</x:v>
      </x:c>
      <x:c r="D238" t="str">
        <x:v>PH-PROP-07</x:v>
      </x:c>
      <x:c r="E238" t="str">
        <x:v>OPEN</x:v>
      </x:c>
      <x:c r="F238" t="str">
        <x:f>'Release Gates'!I238</x:f>
        <x:v>OPEN</x:v>
      </x:c>
      <x:c r="G238" t="str">
        <x:f>IF(E238=F238,"PASS","FAIL")</x:f>
        <x:v>PASS</x:v>
      </x:c>
      <x:c r="H238" t="str">
        <x:f>G238</x:f>
        <x:v>PASS</x:v>
      </x:c>
    </x:row>
    <x:row r="239">
      <x:c r="B239" t="str">
        <x:v>A-PH-075</x:v>
      </x:c>
      <x:c r="C239" t="str">
        <x:v>gate</x:v>
      </x:c>
      <x:c r="D239" t="str">
        <x:v>PH-PROP-08</x:v>
      </x:c>
      <x:c r="E239" t="str">
        <x:v>OPEN</x:v>
      </x:c>
      <x:c r="F239" t="str">
        <x:f>'Release Gates'!I239</x:f>
        <x:v>OPEN</x:v>
      </x:c>
      <x:c r="G239" t="str">
        <x:f>IF(E239=F239,"PASS","FAIL")</x:f>
        <x:v>PASS</x:v>
      </x:c>
      <x:c r="H239" t="str">
        <x:f>G239</x:f>
        <x:v>PASS</x:v>
      </x:c>
    </x:row>
    <x:row r="240">
      <x:c r="B240" t="str">
        <x:v>A-PH-076</x:v>
      </x:c>
      <x:c r="C240" t="str">
        <x:v>gate</x:v>
      </x:c>
      <x:c r="D240" t="str">
        <x:v>PH-PROP-09</x:v>
      </x:c>
      <x:c r="E240" t="str">
        <x:v>OPEN</x:v>
      </x:c>
      <x:c r="F240" t="str">
        <x:f>'Release Gates'!I240</x:f>
        <x:v>OPEN</x:v>
      </x:c>
      <x:c r="G240" t="str">
        <x:f>IF(E240=F240,"PASS","FAIL")</x:f>
        <x:v>PASS</x:v>
      </x:c>
      <x:c r="H240" t="str">
        <x:f>G240</x:f>
        <x:v>PASS</x:v>
      </x:c>
    </x:row>
    <x:row r="241">
      <x:c r="B241" t="str">
        <x:v>A-PH-077</x:v>
      </x:c>
      <x:c r="C241" t="str">
        <x:v>gate</x:v>
      </x:c>
      <x:c r="D241" t="str">
        <x:v>PH-PROP-10</x:v>
      </x:c>
      <x:c r="E241" t="str">
        <x:v>OPEN</x:v>
      </x:c>
      <x:c r="F241" t="str">
        <x:f>'Release Gates'!I241</x:f>
        <x:v>OPEN</x:v>
      </x:c>
      <x:c r="G241" t="str">
        <x:f>IF(E241=F241,"PASS","FAIL")</x:f>
        <x:v>PASS</x:v>
      </x:c>
      <x:c r="H241" t="str">
        <x:f>G241</x:f>
        <x:v>PASS</x:v>
      </x:c>
    </x:row>
    <x:row r="242">
      <x:c r="B242" t="str">
        <x:v>A-PH-078</x:v>
      </x:c>
      <x:c r="C242" t="str">
        <x:v>gate</x:v>
      </x:c>
      <x:c r="D242" t="str">
        <x:v>PH-PROP-11</x:v>
      </x:c>
      <x:c r="E242" t="str">
        <x:v>OPEN</x:v>
      </x:c>
      <x:c r="F242" t="str">
        <x:f>'Release Gates'!I242</x:f>
        <x:v>OPEN</x:v>
      </x:c>
      <x:c r="G242" t="str">
        <x:f>IF(E242=F242,"PASS","FAIL")</x:f>
        <x:v>PASS</x:v>
      </x:c>
      <x:c r="H242" t="str">
        <x:f>G242</x:f>
        <x:v>PASS</x:v>
      </x:c>
    </x:row>
    <x:row r="243">
      <x:c r="B243" t="str">
        <x:v>A-PH-079</x:v>
      </x:c>
      <x:c r="C243" t="str">
        <x:v>gate</x:v>
      </x:c>
      <x:c r="D243" t="str">
        <x:v>PH-PROP-12</x:v>
      </x:c>
      <x:c r="E243" t="str">
        <x:v>OPEN</x:v>
      </x:c>
      <x:c r="F243" t="str">
        <x:f>'Release Gates'!I243</x:f>
        <x:v>OPEN</x:v>
      </x:c>
      <x:c r="G243" t="str">
        <x:f>IF(E243=F243,"PASS","FAIL")</x:f>
        <x:v>PASS</x:v>
      </x:c>
      <x:c r="H243" t="str">
        <x:f>G243</x:f>
        <x:v>PASS</x:v>
      </x:c>
    </x:row>
    <x:row r="244">
      <x:c r="B244" t="str">
        <x:v>A-PH-080</x:v>
      </x:c>
      <x:c r="C244" t="str">
        <x:v>gate</x:v>
      </x:c>
      <x:c r="D244" t="str">
        <x:v>PH-PROP-13</x:v>
      </x:c>
      <x:c r="E244" t="str">
        <x:v>OPEN</x:v>
      </x:c>
      <x:c r="F244" t="str">
        <x:f>'Release Gates'!I244</x:f>
        <x:v>OPEN</x:v>
      </x:c>
      <x:c r="G244" t="str">
        <x:f>IF(E244=F244,"PASS","FAIL")</x:f>
        <x:v>PASS</x:v>
      </x:c>
      <x:c r="H244" t="str">
        <x:f>G244</x:f>
        <x:v>PASS</x:v>
      </x:c>
    </x:row>
    <x:row r="245">
      <x:c r="B245" t="str">
        <x:v>A-PH-081</x:v>
      </x:c>
      <x:c r="C245" t="str">
        <x:v>gate</x:v>
      </x:c>
      <x:c r="D245" t="str">
        <x:v>PH-PROP-14</x:v>
      </x:c>
      <x:c r="E245" t="str">
        <x:v>OPEN</x:v>
      </x:c>
      <x:c r="F245" t="str">
        <x:f>'Release Gates'!I245</x:f>
        <x:v>OPEN</x:v>
      </x:c>
      <x:c r="G245" t="str">
        <x:f>IF(E245=F245,"PASS","FAIL")</x:f>
        <x:v>PASS</x:v>
      </x:c>
      <x:c r="H245" t="str">
        <x:f>G245</x:f>
        <x:v>PASS</x:v>
      </x:c>
    </x:row>
    <x:row r="246">
      <x:c r="B246" t="str">
        <x:v>A-PH-082</x:v>
      </x:c>
      <x:c r="C246" t="str">
        <x:v>gate</x:v>
      </x:c>
      <x:c r="D246" t="str">
        <x:v>PH-PROP-15</x:v>
      </x:c>
      <x:c r="E246" t="str">
        <x:v>OPEN</x:v>
      </x:c>
      <x:c r="F246" t="str">
        <x:f>'Release Gates'!I246</x:f>
        <x:v>OPEN</x:v>
      </x:c>
      <x:c r="G246" t="str">
        <x:f>IF(E246=F246,"PASS","FAIL")</x:f>
        <x:v>PASS</x:v>
      </x:c>
      <x:c r="H246" t="str">
        <x:f>G246</x:f>
        <x:v>PASS</x:v>
      </x:c>
    </x:row>
    <x:row r="247">
      <x:c r="B247" t="str">
        <x:v>A-PH-083</x:v>
      </x:c>
      <x:c r="C247" t="str">
        <x:v>gate</x:v>
      </x:c>
      <x:c r="D247" t="str">
        <x:v>PH-PROP-16</x:v>
      </x:c>
      <x:c r="E247" t="str">
        <x:v>OPEN</x:v>
      </x:c>
      <x:c r="F247" t="str">
        <x:f>'Release Gates'!I247</x:f>
        <x:v>OPEN</x:v>
      </x:c>
      <x:c r="G247" t="str">
        <x:f>IF(E247=F247,"PASS","FAIL")</x:f>
        <x:v>PASS</x:v>
      </x:c>
      <x:c r="H247" t="str">
        <x:f>G247</x:f>
        <x:v>PASS</x:v>
      </x:c>
    </x:row>
    <x:row r="248">
      <x:c r="B248" t="str">
        <x:v>A-PH-084</x:v>
      </x:c>
      <x:c r="C248" t="str">
        <x:v>gate</x:v>
      </x:c>
      <x:c r="D248" t="str">
        <x:v>PH-PROP-17</x:v>
      </x:c>
      <x:c r="E248" t="str">
        <x:v>OPEN</x:v>
      </x:c>
      <x:c r="F248" t="str">
        <x:f>'Release Gates'!I248</x:f>
        <x:v>OPEN</x:v>
      </x:c>
      <x:c r="G248" t="str">
        <x:f>IF(E248=F248,"PASS","FAIL")</x:f>
        <x:v>PASS</x:v>
      </x:c>
      <x:c r="H248" t="str">
        <x:f>G248</x:f>
        <x:v>PASS</x:v>
      </x:c>
    </x:row>
    <x:row r="249">
      <x:c r="B249" t="str">
        <x:v>A-PH-085</x:v>
      </x:c>
      <x:c r="C249" t="str">
        <x:v>gate</x:v>
      </x:c>
      <x:c r="D249" t="str">
        <x:v>PH-PROP-18</x:v>
      </x:c>
      <x:c r="E249" t="str">
        <x:v>OPEN</x:v>
      </x:c>
      <x:c r="F249" t="str">
        <x:f>'Release Gates'!I249</x:f>
        <x:v>OPEN</x:v>
      </x:c>
      <x:c r="G249" t="str">
        <x:f>IF(E249=F249,"PASS","FAIL")</x:f>
        <x:v>PASS</x:v>
      </x:c>
      <x:c r="H249" t="str">
        <x:f>G249</x:f>
        <x:v>PASS</x:v>
      </x:c>
    </x:row>
    <x:row r="250">
      <x:c r="B250" t="str">
        <x:v>A-PH-086</x:v>
      </x:c>
      <x:c r="C250" t="str">
        <x:v>gate</x:v>
      </x:c>
      <x:c r="D250" t="str">
        <x:v>PH-PROP-19</x:v>
      </x:c>
      <x:c r="E250" t="str">
        <x:v>OPEN</x:v>
      </x:c>
      <x:c r="F250" t="str">
        <x:f>'Release Gates'!I250</x:f>
        <x:v>OPEN</x:v>
      </x:c>
      <x:c r="G250" t="str">
        <x:f>IF(E250=F250,"PASS","FAIL")</x:f>
        <x:v>PASS</x:v>
      </x:c>
      <x:c r="H250" t="str">
        <x:f>G250</x:f>
        <x:v>PASS</x:v>
      </x:c>
    </x:row>
    <x:row r="251">
      <x:c r="B251" t="str">
        <x:v>A-PH-087</x:v>
      </x:c>
      <x:c r="C251" t="str">
        <x:v>gate</x:v>
      </x:c>
      <x:c r="D251" t="str">
        <x:v>PH-PROP-20</x:v>
      </x:c>
      <x:c r="E251" t="str">
        <x:v>OPEN</x:v>
      </x:c>
      <x:c r="F251" t="str">
        <x:f>'Release Gates'!I251</x:f>
        <x:v>OPEN</x:v>
      </x:c>
      <x:c r="G251" t="str">
        <x:f>IF(E251=F251,"PASS","FAIL")</x:f>
        <x:v>PASS</x:v>
      </x:c>
      <x:c r="H251" t="str">
        <x:f>G251</x:f>
        <x:v>PASS</x:v>
      </x:c>
    </x:row>
    <x:row r="252">
      <x:c r="B252" t="str">
        <x:v>A-PH-088</x:v>
      </x:c>
      <x:c r="C252" t="str">
        <x:v>gate</x:v>
      </x:c>
      <x:c r="D252" t="str">
        <x:v>PH-PROP-21</x:v>
      </x:c>
      <x:c r="E252" t="str">
        <x:v>OPEN</x:v>
      </x:c>
      <x:c r="F252" t="str">
        <x:f>'Release Gates'!I252</x:f>
        <x:v>OPEN</x:v>
      </x:c>
      <x:c r="G252" t="str">
        <x:f>IF(E252=F252,"PASS","FAIL")</x:f>
        <x:v>PASS</x:v>
      </x:c>
      <x:c r="H252" t="str">
        <x:f>G252</x:f>
        <x:v>PASS</x:v>
      </x:c>
    </x:row>
    <x:row r="253">
      <x:c r="B253" t="str">
        <x:v>A-PH-089</x:v>
      </x:c>
      <x:c r="C253" t="str">
        <x:v>gate</x:v>
      </x:c>
      <x:c r="D253" t="str">
        <x:v>PH-PROP-22</x:v>
      </x:c>
      <x:c r="E253" t="str">
        <x:v>OPEN</x:v>
      </x:c>
      <x:c r="F253" t="str">
        <x:f>'Release Gates'!I253</x:f>
        <x:v>OPEN</x:v>
      </x:c>
      <x:c r="G253" t="str">
        <x:f>IF(E253=F253,"PASS","FAIL")</x:f>
        <x:v>PASS</x:v>
      </x:c>
      <x:c r="H253" t="str">
        <x:f>G253</x:f>
        <x:v>PASS</x:v>
      </x:c>
    </x:row>
    <x:row r="254">
      <x:c r="B254" t="str">
        <x:v>A-PH-090</x:v>
      </x:c>
      <x:c r="C254" t="str">
        <x:v>gate</x:v>
      </x:c>
      <x:c r="D254" t="str">
        <x:v>PH-PROP-23</x:v>
      </x:c>
      <x:c r="E254" t="str">
        <x:v>OPEN</x:v>
      </x:c>
      <x:c r="F254" t="str">
        <x:f>'Release Gates'!I254</x:f>
        <x:v>OPEN</x:v>
      </x:c>
      <x:c r="G254" t="str">
        <x:f>IF(E254=F254,"PASS","FAIL")</x:f>
        <x:v>PASS</x:v>
      </x:c>
      <x:c r="H254" t="str">
        <x:f>G254</x:f>
        <x:v>PASS</x:v>
      </x:c>
    </x:row>
    <x:row r="255">
      <x:c r="B255" t="str">
        <x:v>A-PH-091</x:v>
      </x:c>
      <x:c r="C255" t="str">
        <x:v>gate</x:v>
      </x:c>
      <x:c r="D255" t="str">
        <x:v>PH-PROP-24</x:v>
      </x:c>
      <x:c r="E255" t="str">
        <x:v>OPEN</x:v>
      </x:c>
      <x:c r="F255" t="str">
        <x:f>'Release Gates'!I255</x:f>
        <x:v>OPEN</x:v>
      </x:c>
      <x:c r="G255" t="str">
        <x:f>IF(E255=F255,"PASS","FAIL")</x:f>
        <x:v>PASS</x:v>
      </x:c>
      <x:c r="H255" t="str">
        <x:f>G255</x:f>
        <x:v>PASS</x:v>
      </x:c>
    </x:row>
    <x:row r="256">
      <x:c r="B256" t="str">
        <x:v>A-PH-092</x:v>
      </x:c>
      <x:c r="C256" t="str">
        <x:v>gate</x:v>
      </x:c>
      <x:c r="D256" t="str">
        <x:v>PH-SAFETY-01</x:v>
      </x:c>
      <x:c r="E256" t="str">
        <x:v>OPEN</x:v>
      </x:c>
      <x:c r="F256" t="str">
        <x:f>'Release Gates'!I256</x:f>
        <x:v>OPEN</x:v>
      </x:c>
      <x:c r="G256" t="str">
        <x:f>IF(E256=F256,"PASS","FAIL")</x:f>
        <x:v>PASS</x:v>
      </x:c>
      <x:c r="H256" t="str">
        <x:f>G256</x:f>
        <x:v>PASS</x:v>
      </x:c>
    </x:row>
    <x:row r="257">
      <x:c r="B257" t="str">
        <x:v>A-PH-093</x:v>
      </x:c>
      <x:c r="C257" t="str">
        <x:v>gate</x:v>
      </x:c>
      <x:c r="D257" t="str">
        <x:v>PH-SAFETY-02</x:v>
      </x:c>
      <x:c r="E257" t="str">
        <x:v>OPEN</x:v>
      </x:c>
      <x:c r="F257" t="str">
        <x:f>'Release Gates'!I257</x:f>
        <x:v>OPEN</x:v>
      </x:c>
      <x:c r="G257" t="str">
        <x:f>IF(E257=F257,"PASS","FAIL")</x:f>
        <x:v>PASS</x:v>
      </x:c>
      <x:c r="H257" t="str">
        <x:f>G257</x:f>
        <x:v>PASS</x:v>
      </x:c>
    </x:row>
    <x:row r="258">
      <x:c r="B258" t="str">
        <x:v>A-PH-094</x:v>
      </x:c>
      <x:c r="C258" t="str">
        <x:v>gate</x:v>
      </x:c>
      <x:c r="D258" t="str">
        <x:v>PH-SAFETY-03</x:v>
      </x:c>
      <x:c r="E258" t="str">
        <x:v>OPEN</x:v>
      </x:c>
      <x:c r="F258" t="str">
        <x:f>'Release Gates'!I258</x:f>
        <x:v>OPEN</x:v>
      </x:c>
      <x:c r="G258" t="str">
        <x:f>IF(E258=F258,"PASS","FAIL")</x:f>
        <x:v>PASS</x:v>
      </x:c>
      <x:c r="H258" t="str">
        <x:f>G258</x:f>
        <x:v>PASS</x:v>
      </x:c>
    </x:row>
    <x:row r="259">
      <x:c r="B259" t="str">
        <x:v>A-PH-095</x:v>
      </x:c>
      <x:c r="C259" t="str">
        <x:v>gate</x:v>
      </x:c>
      <x:c r="D259" t="str">
        <x:v>PH-SAFETY-04</x:v>
      </x:c>
      <x:c r="E259" t="str">
        <x:v>OPEN</x:v>
      </x:c>
      <x:c r="F259" t="str">
        <x:f>'Release Gates'!I259</x:f>
        <x:v>OPEN</x:v>
      </x:c>
      <x:c r="G259" t="str">
        <x:f>IF(E259=F259,"PASS","FAIL")</x:f>
        <x:v>PASS</x:v>
      </x:c>
      <x:c r="H259" t="str">
        <x:f>G259</x:f>
        <x:v>PASS</x:v>
      </x:c>
    </x:row>
    <x:row r="260">
      <x:c r="B260" t="str">
        <x:v>A-PH-096</x:v>
      </x:c>
      <x:c r="C260" t="str">
        <x:v>gate</x:v>
      </x:c>
      <x:c r="D260" t="str">
        <x:v>PH-SAFETY-05</x:v>
      </x:c>
      <x:c r="E260" t="str">
        <x:v>OPEN</x:v>
      </x:c>
      <x:c r="F260" t="str">
        <x:f>'Release Gates'!I260</x:f>
        <x:v>OPEN</x:v>
      </x:c>
      <x:c r="G260" t="str">
        <x:f>IF(E260=F260,"PASS","FAIL")</x:f>
        <x:v>PASS</x:v>
      </x:c>
      <x:c r="H260" t="str">
        <x:f>G260</x:f>
        <x:v>PASS</x:v>
      </x:c>
    </x:row>
    <x:row r="261">
      <x:c r="B261" t="str">
        <x:v>A-PH-097</x:v>
      </x:c>
      <x:c r="C261" t="str">
        <x:v>gate</x:v>
      </x:c>
      <x:c r="D261" t="str">
        <x:v>PH-SAFETY-06</x:v>
      </x:c>
      <x:c r="E261" t="str">
        <x:v>OPEN</x:v>
      </x:c>
      <x:c r="F261" t="str">
        <x:f>'Release Gates'!I261</x:f>
        <x:v>OPEN</x:v>
      </x:c>
      <x:c r="G261" t="str">
        <x:f>IF(E261=F261,"PASS","FAIL")</x:f>
        <x:v>PASS</x:v>
      </x:c>
      <x:c r="H261" t="str">
        <x:f>G261</x:f>
        <x:v>PASS</x:v>
      </x:c>
    </x:row>
    <x:row r="262">
      <x:c r="B262" t="str">
        <x:v>A-PH-098</x:v>
      </x:c>
      <x:c r="C262" t="str">
        <x:v>gate</x:v>
      </x:c>
      <x:c r="D262" t="str">
        <x:v>PH-SAFETY-07</x:v>
      </x:c>
      <x:c r="E262" t="str">
        <x:v>OPEN</x:v>
      </x:c>
      <x:c r="F262" t="str">
        <x:f>'Release Gates'!I262</x:f>
        <x:v>OPEN</x:v>
      </x:c>
      <x:c r="G262" t="str">
        <x:f>IF(E262=F262,"PASS","FAIL")</x:f>
        <x:v>PASS</x:v>
      </x:c>
      <x:c r="H262" t="str">
        <x:f>G262</x:f>
        <x:v>PASS</x:v>
      </x:c>
    </x:row>
    <x:row r="263">
      <x:c r="B263" t="str">
        <x:v>A-PH-099</x:v>
      </x:c>
      <x:c r="C263" t="str">
        <x:v>gate</x:v>
      </x:c>
      <x:c r="D263" t="str">
        <x:v>PH-SAFETY-08</x:v>
      </x:c>
      <x:c r="E263" t="str">
        <x:v>OPEN</x:v>
      </x:c>
      <x:c r="F263" t="str">
        <x:f>'Release Gates'!I263</x:f>
        <x:v>OPEN</x:v>
      </x:c>
      <x:c r="G263" t="str">
        <x:f>IF(E263=F263,"PASS","FAIL")</x:f>
        <x:v>PASS</x:v>
      </x:c>
      <x:c r="H263" t="str">
        <x:f>G263</x:f>
        <x:v>PASS</x:v>
      </x:c>
    </x:row>
    <x:row r="264">
      <x:c r="B264" t="str">
        <x:v>A-PH-100</x:v>
      </x:c>
      <x:c r="C264" t="str">
        <x:v>gate</x:v>
      </x:c>
      <x:c r="D264" t="str">
        <x:v>PH-SAFETY-09</x:v>
      </x:c>
      <x:c r="E264" t="str">
        <x:v>OPEN</x:v>
      </x:c>
      <x:c r="F264" t="str">
        <x:f>'Release Gates'!I264</x:f>
        <x:v>OPEN</x:v>
      </x:c>
      <x:c r="G264" t="str">
        <x:f>IF(E264=F264,"PASS","FAIL")</x:f>
        <x:v>PASS</x:v>
      </x:c>
      <x:c r="H264" t="str">
        <x:f>G264</x:f>
        <x:v>PASS</x:v>
      </x:c>
    </x:row>
    <x:row r="265">
      <x:c r="B265" t="str">
        <x:v>A-PH-101</x:v>
      </x:c>
      <x:c r="C265" t="str">
        <x:v>gate</x:v>
      </x:c>
      <x:c r="D265" t="str">
        <x:v>PH-SAFETY-10</x:v>
      </x:c>
      <x:c r="E265" t="str">
        <x:v>OPEN</x:v>
      </x:c>
      <x:c r="F265" t="str">
        <x:f>'Release Gates'!I265</x:f>
        <x:v>OPEN</x:v>
      </x:c>
      <x:c r="G265" t="str">
        <x:f>IF(E265=F265,"PASS","FAIL")</x:f>
        <x:v>PASS</x:v>
      </x:c>
      <x:c r="H265" t="str">
        <x:f>G265</x:f>
        <x:v>PASS</x:v>
      </x:c>
    </x:row>
    <x:row r="266">
      <x:c r="B266" t="str">
        <x:v>A-PH-102</x:v>
      </x:c>
      <x:c r="C266" t="str">
        <x:v>gate</x:v>
      </x:c>
      <x:c r="D266" t="str">
        <x:v>PH-SAFETY-11</x:v>
      </x:c>
      <x:c r="E266" t="str">
        <x:v>OPEN</x:v>
      </x:c>
      <x:c r="F266" t="str">
        <x:f>'Release Gates'!I266</x:f>
        <x:v>OPEN</x:v>
      </x:c>
      <x:c r="G266" t="str">
        <x:f>IF(E266=F266,"PASS","FAIL")</x:f>
        <x:v>PASS</x:v>
      </x:c>
      <x:c r="H266" t="str">
        <x:f>G266</x:f>
        <x:v>PASS</x:v>
      </x:c>
    </x:row>
    <x:row r="267">
      <x:c r="B267" t="str">
        <x:v>A-PH-103</x:v>
      </x:c>
      <x:c r="C267" t="str">
        <x:v>gate</x:v>
      </x:c>
      <x:c r="D267" t="str">
        <x:v>PH-SAFETY-12</x:v>
      </x:c>
      <x:c r="E267" t="str">
        <x:v>OPEN</x:v>
      </x:c>
      <x:c r="F267" t="str">
        <x:f>'Release Gates'!I267</x:f>
        <x:v>OPEN</x:v>
      </x:c>
      <x:c r="G267" t="str">
        <x:f>IF(E267=F267,"PASS","FAIL")</x:f>
        <x:v>PASS</x:v>
      </x:c>
      <x:c r="H267" t="str">
        <x:f>G267</x:f>
        <x:v>PASS</x:v>
      </x:c>
    </x:row>
    <x:row r="268">
      <x:c r="B268" t="str">
        <x:v>A-PH-104</x:v>
      </x:c>
      <x:c r="C268" t="str">
        <x:v>gate</x:v>
      </x:c>
      <x:c r="D268" t="str">
        <x:v>PH-SAFETY-13</x:v>
      </x:c>
      <x:c r="E268" t="str">
        <x:v>OPEN</x:v>
      </x:c>
      <x:c r="F268" t="str">
        <x:f>'Release Gates'!I268</x:f>
        <x:v>OPEN</x:v>
      </x:c>
      <x:c r="G268" t="str">
        <x:f>IF(E268=F268,"PASS","FAIL")</x:f>
        <x:v>PASS</x:v>
      </x:c>
      <x:c r="H268" t="str">
        <x:f>G268</x:f>
        <x:v>PASS</x:v>
      </x:c>
    </x:row>
    <x:row r="269">
      <x:c r="B269" t="str">
        <x:v>A-PH-105</x:v>
      </x:c>
      <x:c r="C269" t="str">
        <x:v>gate</x:v>
      </x:c>
      <x:c r="D269" t="str">
        <x:v>PH-SAFETY-14</x:v>
      </x:c>
      <x:c r="E269" t="str">
        <x:v>OPEN</x:v>
      </x:c>
      <x:c r="F269" t="str">
        <x:f>'Release Gates'!I269</x:f>
        <x:v>OPEN</x:v>
      </x:c>
      <x:c r="G269" t="str">
        <x:f>IF(E269=F269,"PASS","FAIL")</x:f>
        <x:v>PASS</x:v>
      </x:c>
      <x:c r="H269" t="str">
        <x:f>G269</x:f>
        <x:v>PASS</x:v>
      </x:c>
    </x:row>
    <x:row r="270">
      <x:c r="B270" t="str">
        <x:v>A-PH-106</x:v>
      </x:c>
      <x:c r="C270" t="str">
        <x:v>gate</x:v>
      </x:c>
      <x:c r="D270" t="str">
        <x:v>PH-SAFETY-15</x:v>
      </x:c>
      <x:c r="E270" t="str">
        <x:v>OPEN</x:v>
      </x:c>
      <x:c r="F270" t="str">
        <x:f>'Release Gates'!I270</x:f>
        <x:v>OPEN</x:v>
      </x:c>
      <x:c r="G270" t="str">
        <x:f>IF(E270=F270,"PASS","FAIL")</x:f>
        <x:v>PASS</x:v>
      </x:c>
      <x:c r="H270" t="str">
        <x:f>G270</x:f>
        <x:v>PASS</x:v>
      </x:c>
    </x:row>
    <x:row r="271">
      <x:c r="B271" t="str">
        <x:v>A-PH-107</x:v>
      </x:c>
      <x:c r="C271" t="str">
        <x:v>gate</x:v>
      </x:c>
      <x:c r="D271" t="str">
        <x:v>PH-SAFETY-16</x:v>
      </x:c>
      <x:c r="E271" t="str">
        <x:v>OPEN</x:v>
      </x:c>
      <x:c r="F271" t="str">
        <x:f>'Release Gates'!I271</x:f>
        <x:v>OPEN</x:v>
      </x:c>
      <x:c r="G271" t="str">
        <x:f>IF(E271=F271,"PASS","FAIL")</x:f>
        <x:v>PASS</x:v>
      </x:c>
      <x:c r="H271" t="str">
        <x:f>G271</x:f>
        <x:v>PASS</x:v>
      </x:c>
    </x:row>
    <x:row r="272">
      <x:c r="B272" t="str">
        <x:v>A-PH-108</x:v>
      </x:c>
      <x:c r="C272" t="str">
        <x:v>gate</x:v>
      </x:c>
      <x:c r="D272" t="str">
        <x:v>PH-SAFETY-17</x:v>
      </x:c>
      <x:c r="E272" t="str">
        <x:v>OPEN</x:v>
      </x:c>
      <x:c r="F272" t="str">
        <x:f>'Release Gates'!I272</x:f>
        <x:v>OPEN</x:v>
      </x:c>
      <x:c r="G272" t="str">
        <x:f>IF(E272=F272,"PASS","FAIL")</x:f>
        <x:v>PASS</x:v>
      </x:c>
      <x:c r="H272" t="str">
        <x:f>G272</x:f>
        <x:v>PASS</x:v>
      </x:c>
    </x:row>
    <x:row r="273">
      <x:c r="B273" t="str">
        <x:v>A-PH-109</x:v>
      </x:c>
      <x:c r="C273" t="str">
        <x:v>gate</x:v>
      </x:c>
      <x:c r="D273" t="str">
        <x:v>PH-SAFETY-18</x:v>
      </x:c>
      <x:c r="E273" t="str">
        <x:v>OPEN</x:v>
      </x:c>
      <x:c r="F273" t="str">
        <x:f>'Release Gates'!I273</x:f>
        <x:v>OPEN</x:v>
      </x:c>
      <x:c r="G273" t="str">
        <x:f>IF(E273=F273,"PASS","FAIL")</x:f>
        <x:v>PASS</x:v>
      </x:c>
      <x:c r="H273" t="str">
        <x:f>G273</x:f>
        <x:v>PASS</x:v>
      </x:c>
    </x:row>
    <x:row r="274">
      <x:c r="B274" t="str">
        <x:v>A-PH-110</x:v>
      </x:c>
      <x:c r="C274" t="str">
        <x:v>gate</x:v>
      </x:c>
      <x:c r="D274" t="str">
        <x:v>PH-SAFETY-19</x:v>
      </x:c>
      <x:c r="E274" t="str">
        <x:v>OPEN</x:v>
      </x:c>
      <x:c r="F274" t="str">
        <x:f>'Release Gates'!I274</x:f>
        <x:v>OPEN</x:v>
      </x:c>
      <x:c r="G274" t="str">
        <x:f>IF(E274=F274,"PASS","FAIL")</x:f>
        <x:v>PASS</x:v>
      </x:c>
      <x:c r="H274" t="str">
        <x:f>G274</x:f>
        <x:v>PASS</x:v>
      </x:c>
    </x:row>
    <x:row r="275">
      <x:c r="B275" t="str">
        <x:v>A-PH-111</x:v>
      </x:c>
      <x:c r="C275" t="str">
        <x:v>gate</x:v>
      </x:c>
      <x:c r="D275" t="str">
        <x:v>PH-SAFETY-20</x:v>
      </x:c>
      <x:c r="E275" t="str">
        <x:v>OPEN</x:v>
      </x:c>
      <x:c r="F275" t="str">
        <x:f>'Release Gates'!I275</x:f>
        <x:v>OPEN</x:v>
      </x:c>
      <x:c r="G275" t="str">
        <x:f>IF(E275=F275,"PASS","FAIL")</x:f>
        <x:v>PASS</x:v>
      </x:c>
      <x:c r="H275" t="str">
        <x:f>G275</x:f>
        <x:v>PASS</x:v>
      </x:c>
    </x:row>
    <x:row r="276">
      <x:c r="B276" t="str">
        <x:v>A-PH-112</x:v>
      </x:c>
      <x:c r="C276" t="str">
        <x:v>gate</x:v>
      </x:c>
      <x:c r="D276" t="str">
        <x:v>PH-SAFETY-21</x:v>
      </x:c>
      <x:c r="E276" t="str">
        <x:v>OPEN</x:v>
      </x:c>
      <x:c r="F276" t="str">
        <x:f>'Release Gates'!I276</x:f>
        <x:v>OPEN</x:v>
      </x:c>
      <x:c r="G276" t="str">
        <x:f>IF(E276=F276,"PASS","FAIL")</x:f>
        <x:v>PASS</x:v>
      </x:c>
      <x:c r="H276" t="str">
        <x:f>G276</x:f>
        <x:v>PASS</x:v>
      </x:c>
    </x:row>
    <x:row r="277">
      <x:c r="B277" t="str">
        <x:v>A-PH-113</x:v>
      </x:c>
      <x:c r="C277" t="str">
        <x:v>gate</x:v>
      </x:c>
      <x:c r="D277" t="str">
        <x:v>PH-SAFETY-22</x:v>
      </x:c>
      <x:c r="E277" t="str">
        <x:v>OPEN</x:v>
      </x:c>
      <x:c r="F277" t="str">
        <x:f>'Release Gates'!I277</x:f>
        <x:v>OPEN</x:v>
      </x:c>
      <x:c r="G277" t="str">
        <x:f>IF(E277=F277,"PASS","FAIL")</x:f>
        <x:v>PASS</x:v>
      </x:c>
      <x:c r="H277" t="str">
        <x:f>G277</x:f>
        <x:v>PASS</x:v>
      </x:c>
    </x:row>
    <x:row r="278">
      <x:c r="B278" t="str">
        <x:v>A-PH-114</x:v>
      </x:c>
      <x:c r="C278" t="str">
        <x:v>gate</x:v>
      </x:c>
      <x:c r="D278" t="str">
        <x:v>PH-SAFETY-23</x:v>
      </x:c>
      <x:c r="E278" t="str">
        <x:v>OPEN</x:v>
      </x:c>
      <x:c r="F278" t="str">
        <x:f>'Release Gates'!I278</x:f>
        <x:v>OPEN</x:v>
      </x:c>
      <x:c r="G278" t="str">
        <x:f>IF(E278=F278,"PASS","FAIL")</x:f>
        <x:v>PASS</x:v>
      </x:c>
      <x:c r="H278" t="str">
        <x:f>G278</x:f>
        <x:v>PASS</x:v>
      </x:c>
    </x:row>
    <x:row r="279">
      <x:c r="B279" t="str">
        <x:v>A-PH-115</x:v>
      </x:c>
      <x:c r="C279" t="str">
        <x:v>gate</x:v>
      </x:c>
      <x:c r="D279" t="str">
        <x:v>PH-SAFETY-24</x:v>
      </x:c>
      <x:c r="E279" t="str">
        <x:v>OPEN</x:v>
      </x:c>
      <x:c r="F279" t="str">
        <x:f>'Release Gates'!I279</x:f>
        <x:v>OPEN</x:v>
      </x:c>
      <x:c r="G279" t="str">
        <x:f>IF(E279=F279,"PASS","FAIL")</x:f>
        <x:v>PASS</x:v>
      </x:c>
      <x:c r="H279" t="str">
        <x:f>G279</x:f>
        <x:v>PASS</x:v>
      </x:c>
    </x:row>
    <x:row r="280">
      <x:c r="B280" t="str">
        <x:v>A-PH-116</x:v>
      </x:c>
      <x:c r="C280" t="str">
        <x:v>gate</x:v>
      </x:c>
      <x:c r="D280" t="str">
        <x:v>PH-SAFETY-25</x:v>
      </x:c>
      <x:c r="E280" t="str">
        <x:v>OPEN</x:v>
      </x:c>
      <x:c r="F280" t="str">
        <x:f>'Release Gates'!I280</x:f>
        <x:v>OPEN</x:v>
      </x:c>
      <x:c r="G280" t="str">
        <x:f>IF(E280=F280,"PASS","FAIL")</x:f>
        <x:v>PASS</x:v>
      </x:c>
      <x:c r="H280" t="str">
        <x:f>G280</x:f>
        <x:v>PASS</x:v>
      </x:c>
    </x:row>
    <x:row r="281">
      <x:c r="B281" t="str">
        <x:v>A-PH-117</x:v>
      </x:c>
      <x:c r="C281" t="str">
        <x:v>gate</x:v>
      </x:c>
      <x:c r="D281" t="str">
        <x:v>PH-SAFETY-26</x:v>
      </x:c>
      <x:c r="E281" t="str">
        <x:v>OPEN</x:v>
      </x:c>
      <x:c r="F281" t="str">
        <x:f>'Release Gates'!I281</x:f>
        <x:v>OPEN</x:v>
      </x:c>
      <x:c r="G281" t="str">
        <x:f>IF(E281=F281,"PASS","FAIL")</x:f>
        <x:v>PASS</x:v>
      </x:c>
      <x:c r="H281" t="str">
        <x:f>G281</x:f>
        <x:v>PASS</x:v>
      </x:c>
    </x:row>
    <x:row r="282">
      <x:c r="B282" t="str">
        <x:v>A-PH-118</x:v>
      </x:c>
      <x:c r="C282" t="str">
        <x:v>gate</x:v>
      </x:c>
      <x:c r="D282" t="str">
        <x:v>PH-SAFETY-27</x:v>
      </x:c>
      <x:c r="E282" t="str">
        <x:v>OPEN</x:v>
      </x:c>
      <x:c r="F282" t="str">
        <x:f>'Release Gates'!I282</x:f>
        <x:v>OPEN</x:v>
      </x:c>
      <x:c r="G282" t="str">
        <x:f>IF(E282=F282,"PASS","FAIL")</x:f>
        <x:v>PASS</x:v>
      </x:c>
      <x:c r="H282" t="str">
        <x:f>G282</x:f>
        <x:v>PASS</x:v>
      </x:c>
    </x:row>
    <x:row r="283">
      <x:c r="B283" t="str">
        <x:v>A-PH-119</x:v>
      </x:c>
      <x:c r="C283" t="str">
        <x:v>gate</x:v>
      </x:c>
      <x:c r="D283" t="str">
        <x:v>PH-SAFETY-28</x:v>
      </x:c>
      <x:c r="E283" t="str">
        <x:v>OPEN</x:v>
      </x:c>
      <x:c r="F283" t="str">
        <x:f>'Release Gates'!I283</x:f>
        <x:v>OPEN</x:v>
      </x:c>
      <x:c r="G283" t="str">
        <x:f>IF(E283=F283,"PASS","FAIL")</x:f>
        <x:v>PASS</x:v>
      </x:c>
      <x:c r="H283" t="str">
        <x:f>G283</x:f>
        <x:v>PASS</x:v>
      </x:c>
    </x:row>
    <x:row r="284">
      <x:c r="B284" t="str">
        <x:v>A-PH-120</x:v>
      </x:c>
      <x:c r="C284" t="str">
        <x:v>gate</x:v>
      </x:c>
      <x:c r="D284" t="str">
        <x:v>PH-SAFETY-29</x:v>
      </x:c>
      <x:c r="E284" t="str">
        <x:v>OPEN</x:v>
      </x:c>
      <x:c r="F284" t="str">
        <x:f>'Release Gates'!I284</x:f>
        <x:v>OPEN</x:v>
      </x:c>
      <x:c r="G284" t="str">
        <x:f>IF(E284=F284,"PASS","FAIL")</x:f>
        <x:v>PASS</x:v>
      </x:c>
      <x:c r="H284" t="str">
        <x:f>G284</x:f>
        <x:v>PASS</x:v>
      </x:c>
    </x:row>
    <x:row r="285">
      <x:c r="B285" t="str">
        <x:v>A-PH-121</x:v>
      </x:c>
      <x:c r="C285" t="str">
        <x:v>gate</x:v>
      </x:c>
      <x:c r="D285" t="str">
        <x:v>PH-SAFETY-30</x:v>
      </x:c>
      <x:c r="E285" t="str">
        <x:v>OPEN</x:v>
      </x:c>
      <x:c r="F285" t="str">
        <x:f>'Release Gates'!I285</x:f>
        <x:v>OPEN</x:v>
      </x:c>
      <x:c r="G285" t="str">
        <x:f>IF(E285=F285,"PASS","FAIL")</x:f>
        <x:v>PASS</x:v>
      </x:c>
      <x:c r="H285" t="str">
        <x:f>G285</x:f>
        <x:v>PASS</x:v>
      </x:c>
    </x:row>
    <x:row r="286">
      <x:c r="B286" t="str">
        <x:v>A-PH-122</x:v>
      </x:c>
      <x:c r="C286" t="str">
        <x:v>gate</x:v>
      </x:c>
      <x:c r="D286" t="str">
        <x:v>PH-SAFETY-31</x:v>
      </x:c>
      <x:c r="E286" t="str">
        <x:v>OPEN</x:v>
      </x:c>
      <x:c r="F286" t="str">
        <x:f>'Release Gates'!I286</x:f>
        <x:v>OPEN</x:v>
      </x:c>
      <x:c r="G286" t="str">
        <x:f>IF(E286=F286,"PASS","FAIL")</x:f>
        <x:v>PASS</x:v>
      </x:c>
      <x:c r="H286" t="str">
        <x:f>G286</x:f>
        <x:v>PASS</x:v>
      </x:c>
    </x:row>
    <x:row r="287">
      <x:c r="B287" t="str">
        <x:v>A-PH-123</x:v>
      </x:c>
      <x:c r="C287" t="str">
        <x:v>gate</x:v>
      </x:c>
      <x:c r="D287" t="str">
        <x:v>PH-SAFETY-32</x:v>
      </x:c>
      <x:c r="E287" t="str">
        <x:v>OPEN</x:v>
      </x:c>
      <x:c r="F287" t="str">
        <x:f>'Release Gates'!I287</x:f>
        <x:v>OPEN</x:v>
      </x:c>
      <x:c r="G287" t="str">
        <x:f>IF(E287=F287,"PASS","FAIL")</x:f>
        <x:v>PASS</x:v>
      </x:c>
      <x:c r="H287" t="str">
        <x:f>G287</x:f>
        <x:v>PASS</x:v>
      </x:c>
    </x:row>
    <x:row r="288">
      <x:c r="B288" t="str">
        <x:v>A-PH-124</x:v>
      </x:c>
      <x:c r="C288" t="str">
        <x:v>gate</x:v>
      </x:c>
      <x:c r="D288" t="str">
        <x:v>PH-SAFETY-33</x:v>
      </x:c>
      <x:c r="E288" t="str">
        <x:v>OPEN</x:v>
      </x:c>
      <x:c r="F288" t="str">
        <x:f>'Release Gates'!I288</x:f>
        <x:v>OPEN</x:v>
      </x:c>
      <x:c r="G288" t="str">
        <x:f>IF(E288=F288,"PASS","FAIL")</x:f>
        <x:v>PASS</x:v>
      </x:c>
      <x:c r="H288" t="str">
        <x:f>G288</x:f>
        <x:v>PASS</x:v>
      </x:c>
    </x:row>
    <x:row r="289">
      <x:c r="B289" t="str">
        <x:v>A-PH-125</x:v>
      </x:c>
      <x:c r="C289" t="str">
        <x:v>gate</x:v>
      </x:c>
      <x:c r="D289" t="str">
        <x:v>PH-SAFETY-34</x:v>
      </x:c>
      <x:c r="E289" t="str">
        <x:v>OPEN</x:v>
      </x:c>
      <x:c r="F289" t="str">
        <x:f>'Release Gates'!I289</x:f>
        <x:v>OPEN</x:v>
      </x:c>
      <x:c r="G289" t="str">
        <x:f>IF(E289=F289,"PASS","FAIL")</x:f>
        <x:v>PASS</x:v>
      </x:c>
      <x:c r="H289" t="str">
        <x:f>G289</x:f>
        <x:v>PASS</x:v>
      </x:c>
    </x:row>
    <x:row r="290">
      <x:c r="B290" t="str">
        <x:v>A-PH-126</x:v>
      </x:c>
      <x:c r="C290" t="str">
        <x:v>gate</x:v>
      </x:c>
      <x:c r="D290" t="str">
        <x:v>PH-SAFETY-35</x:v>
      </x:c>
      <x:c r="E290" t="str">
        <x:v>OPEN</x:v>
      </x:c>
      <x:c r="F290" t="str">
        <x:f>'Release Gates'!I290</x:f>
        <x:v>OPEN</x:v>
      </x:c>
      <x:c r="G290" t="str">
        <x:f>IF(E290=F290,"PASS","FAIL")</x:f>
        <x:v>PASS</x:v>
      </x:c>
      <x:c r="H290" t="str">
        <x:f>G290</x:f>
        <x:v>PASS</x:v>
      </x:c>
    </x:row>
    <x:row r="291">
      <x:c r="B291" t="str">
        <x:v>A-PH-127</x:v>
      </x:c>
      <x:c r="C291" t="str">
        <x:v>gate</x:v>
      </x:c>
      <x:c r="D291" t="str">
        <x:v>PH-SAFETY-36</x:v>
      </x:c>
      <x:c r="E291" t="str">
        <x:v>OPEN</x:v>
      </x:c>
      <x:c r="F291" t="str">
        <x:f>'Release Gates'!I291</x:f>
        <x:v>OPEN</x:v>
      </x:c>
      <x:c r="G291" t="str">
        <x:f>IF(E291=F291,"PASS","FAIL")</x:f>
        <x:v>PASS</x:v>
      </x:c>
      <x:c r="H291" t="str">
        <x:f>G291</x:f>
        <x:v>PASS</x:v>
      </x:c>
    </x:row>
    <x:row r="292">
      <x:c r="B292" t="str">
        <x:v>A-PH-128</x:v>
      </x:c>
      <x:c r="C292" t="str">
        <x:v>gate</x:v>
      </x:c>
      <x:c r="D292" t="str">
        <x:v>PH-SAFETY-37</x:v>
      </x:c>
      <x:c r="E292" t="str">
        <x:v>OPEN</x:v>
      </x:c>
      <x:c r="F292" t="str">
        <x:f>'Release Gates'!I292</x:f>
        <x:v>OPEN</x:v>
      </x:c>
      <x:c r="G292" t="str">
        <x:f>IF(E292=F292,"PASS","FAIL")</x:f>
        <x:v>PASS</x:v>
      </x:c>
      <x:c r="H292" t="str">
        <x:f>G292</x:f>
        <x:v>PASS</x:v>
      </x:c>
    </x:row>
    <x:row r="293">
      <x:c r="B293" t="str">
        <x:v>A-PH-129</x:v>
      </x:c>
      <x:c r="C293" t="str">
        <x:v>gate</x:v>
      </x:c>
      <x:c r="D293" t="str">
        <x:v>PH-SAFETY-38</x:v>
      </x:c>
      <x:c r="E293" t="str">
        <x:v>OPEN</x:v>
      </x:c>
      <x:c r="F293" t="str">
        <x:f>'Release Gates'!I293</x:f>
        <x:v>OPEN</x:v>
      </x:c>
      <x:c r="G293" t="str">
        <x:f>IF(E293=F293,"PASS","FAIL")</x:f>
        <x:v>PASS</x:v>
      </x:c>
      <x:c r="H293" t="str">
        <x:f>G293</x:f>
        <x:v>PASS</x:v>
      </x:c>
    </x:row>
    <x:row r="294">
      <x:c r="B294" t="str">
        <x:v>A-PH-130</x:v>
      </x:c>
      <x:c r="C294" t="str">
        <x:v>gate</x:v>
      </x:c>
      <x:c r="D294" t="str">
        <x:v>PH-SAFETY-39</x:v>
      </x:c>
      <x:c r="E294" t="str">
        <x:v>OPEN</x:v>
      </x:c>
      <x:c r="F294" t="str">
        <x:f>'Release Gates'!I294</x:f>
        <x:v>OPEN</x:v>
      </x:c>
      <x:c r="G294" t="str">
        <x:f>IF(E294=F294,"PASS","FAIL")</x:f>
        <x:v>PASS</x:v>
      </x:c>
      <x:c r="H294" t="str">
        <x:f>G294</x:f>
        <x:v>PASS</x:v>
      </x:c>
    </x:row>
    <x:row r="295">
      <x:c r="B295" t="str">
        <x:v>A-PH-131</x:v>
      </x:c>
      <x:c r="C295" t="str">
        <x:v>gate</x:v>
      </x:c>
      <x:c r="D295" t="str">
        <x:v>PH-SAFETY-40</x:v>
      </x:c>
      <x:c r="E295" t="str">
        <x:v>OPEN</x:v>
      </x:c>
      <x:c r="F295" t="str">
        <x:f>'Release Gates'!I295</x:f>
        <x:v>OPEN</x:v>
      </x:c>
      <x:c r="G295" t="str">
        <x:f>IF(E295=F295,"PASS","FAIL")</x:f>
        <x:v>PASS</x:v>
      </x:c>
      <x:c r="H295" t="str">
        <x:f>G295</x:f>
        <x:v>PASS</x:v>
      </x:c>
    </x:row>
    <x:row r="296">
      <x:c r="B296" t="str">
        <x:v>A-PH-132</x:v>
      </x:c>
      <x:c r="C296" t="str">
        <x:v>gate</x:v>
      </x:c>
      <x:c r="D296" t="str">
        <x:v>PH-SAFETY-41</x:v>
      </x:c>
      <x:c r="E296" t="str">
        <x:v>OPEN</x:v>
      </x:c>
      <x:c r="F296" t="str">
        <x:f>'Release Gates'!I296</x:f>
        <x:v>OPEN</x:v>
      </x:c>
      <x:c r="G296" t="str">
        <x:f>IF(E296=F296,"PASS","FAIL")</x:f>
        <x:v>PASS</x:v>
      </x:c>
      <x:c r="H296" t="str">
        <x:f>G296</x:f>
        <x:v>PASS</x:v>
      </x:c>
    </x:row>
    <x:row r="297">
      <x:c r="B297" t="str">
        <x:v>A-PH-133</x:v>
      </x:c>
      <x:c r="C297" t="str">
        <x:v>gate</x:v>
      </x:c>
      <x:c r="D297" t="str">
        <x:v>PH-SAFETY-42</x:v>
      </x:c>
      <x:c r="E297" t="str">
        <x:v>OPEN</x:v>
      </x:c>
      <x:c r="F297" t="str">
        <x:f>'Release Gates'!I297</x:f>
        <x:v>OPEN</x:v>
      </x:c>
      <x:c r="G297" t="str">
        <x:f>IF(E297=F297,"PASS","FAIL")</x:f>
        <x:v>PASS</x:v>
      </x:c>
      <x:c r="H297" t="str">
        <x:f>G297</x:f>
        <x:v>PASS</x:v>
      </x:c>
    </x:row>
    <x:row r="298">
      <x:c r="B298" t="str">
        <x:v>A-PH-134</x:v>
      </x:c>
      <x:c r="C298" t="str">
        <x:v>gate</x:v>
      </x:c>
      <x:c r="D298" t="str">
        <x:v>PH-SAFETY-43</x:v>
      </x:c>
      <x:c r="E298" t="str">
        <x:v>OPEN</x:v>
      </x:c>
      <x:c r="F298" t="str">
        <x:f>'Release Gates'!I298</x:f>
        <x:v>OPEN</x:v>
      </x:c>
      <x:c r="G298" t="str">
        <x:f>IF(E298=F298,"PASS","FAIL")</x:f>
        <x:v>PASS</x:v>
      </x:c>
      <x:c r="H298" t="str">
        <x:f>G298</x:f>
        <x:v>PASS</x:v>
      </x:c>
    </x:row>
    <x:row r="299">
      <x:c r="B299" t="str">
        <x:v>A-PH-135</x:v>
      </x:c>
      <x:c r="C299" t="str">
        <x:v>gate</x:v>
      </x:c>
      <x:c r="D299" t="str">
        <x:v>PH-SAFETY-44</x:v>
      </x:c>
      <x:c r="E299" t="str">
        <x:v>OPEN</x:v>
      </x:c>
      <x:c r="F299" t="str">
        <x:f>'Release Gates'!I299</x:f>
        <x:v>OPEN</x:v>
      </x:c>
      <x:c r="G299" t="str">
        <x:f>IF(E299=F299,"PASS","FAIL")</x:f>
        <x:v>PASS</x:v>
      </x:c>
      <x:c r="H299" t="str">
        <x:f>G299</x:f>
        <x:v>PASS</x:v>
      </x:c>
    </x:row>
    <x:row r="300">
      <x:c r="B300" t="str">
        <x:v>A-PH-136</x:v>
      </x:c>
      <x:c r="C300" t="str">
        <x:v>gate</x:v>
      </x:c>
      <x:c r="D300" t="str">
        <x:v>PH-SAFETY-45</x:v>
      </x:c>
      <x:c r="E300" t="str">
        <x:v>OPEN</x:v>
      </x:c>
      <x:c r="F300" t="str">
        <x:f>'Release Gates'!I300</x:f>
        <x:v>OPEN</x:v>
      </x:c>
      <x:c r="G300" t="str">
        <x:f>IF(E300=F300,"PASS","FAIL")</x:f>
        <x:v>PASS</x:v>
      </x:c>
      <x:c r="H300" t="str">
        <x:f>G300</x:f>
        <x:v>PASS</x:v>
      </x:c>
    </x:row>
    <x:row r="301">
      <x:c r="B301" t="str">
        <x:v>A-PH-137</x:v>
      </x:c>
      <x:c r="C301" t="str">
        <x:v>gate</x:v>
      </x:c>
      <x:c r="D301" t="str">
        <x:v>PH-SAFETY-46</x:v>
      </x:c>
      <x:c r="E301" t="str">
        <x:v>OPEN</x:v>
      </x:c>
      <x:c r="F301" t="str">
        <x:f>'Release Gates'!I301</x:f>
        <x:v>OPEN</x:v>
      </x:c>
      <x:c r="G301" t="str">
        <x:f>IF(E301=F301,"PASS","FAIL")</x:f>
        <x:v>PASS</x:v>
      </x:c>
      <x:c r="H301" t="str">
        <x:f>G301</x:f>
        <x:v>PASS</x:v>
      </x:c>
    </x:row>
    <x:row r="302">
      <x:c r="B302" t="str">
        <x:v>A-PH-138</x:v>
      </x:c>
      <x:c r="C302" t="str">
        <x:v>gate</x:v>
      </x:c>
      <x:c r="D302" t="str">
        <x:v>PH-SAFETY-47</x:v>
      </x:c>
      <x:c r="E302" t="str">
        <x:v>OPEN</x:v>
      </x:c>
      <x:c r="F302" t="str">
        <x:f>'Release Gates'!I302</x:f>
        <x:v>OPEN</x:v>
      </x:c>
      <x:c r="G302" t="str">
        <x:f>IF(E302=F302,"PASS","FAIL")</x:f>
        <x:v>PASS</x:v>
      </x:c>
      <x:c r="H302" t="str">
        <x:f>G302</x:f>
        <x:v>PASS</x:v>
      </x:c>
    </x:row>
    <x:row r="303">
      <x:c r="B303" t="str">
        <x:v>A-PH-139</x:v>
      </x:c>
      <x:c r="C303" t="str">
        <x:v>gate</x:v>
      </x:c>
      <x:c r="D303" t="str">
        <x:v>PH-SAFETY-48</x:v>
      </x:c>
      <x:c r="E303" t="str">
        <x:v>OPEN</x:v>
      </x:c>
      <x:c r="F303" t="str">
        <x:f>'Release Gates'!I303</x:f>
        <x:v>OPEN</x:v>
      </x:c>
      <x:c r="G303" t="str">
        <x:f>IF(E303=F303,"PASS","FAIL")</x:f>
        <x:v>PASS</x:v>
      </x:c>
      <x:c r="H303" t="str">
        <x:f>G303</x:f>
        <x:v>PASS</x:v>
      </x:c>
    </x:row>
    <x:row r="304">
      <x:c r="B304" t="str">
        <x:v>A-PH-140</x:v>
      </x:c>
      <x:c r="C304" t="str">
        <x:v>gate</x:v>
      </x:c>
      <x:c r="D304" t="str">
        <x:v>PH-SAFETY-49</x:v>
      </x:c>
      <x:c r="E304" t="str">
        <x:v>OPEN</x:v>
      </x:c>
      <x:c r="F304" t="str">
        <x:f>'Release Gates'!I304</x:f>
        <x:v>OPEN</x:v>
      </x:c>
      <x:c r="G304" t="str">
        <x:f>IF(E304=F304,"PASS","FAIL")</x:f>
        <x:v>PASS</x:v>
      </x:c>
      <x:c r="H304" t="str">
        <x:f>G304</x:f>
        <x:v>PASS</x:v>
      </x:c>
    </x:row>
    <x:row r="305">
      <x:c r="B305" t="str">
        <x:v>A-PH-141</x:v>
      </x:c>
      <x:c r="C305" t="str">
        <x:v>gate</x:v>
      </x:c>
      <x:c r="D305" t="str">
        <x:v>PH-SAFETY-50</x:v>
      </x:c>
      <x:c r="E305" t="str">
        <x:v>OPEN</x:v>
      </x:c>
      <x:c r="F305" t="str">
        <x:f>'Release Gates'!I305</x:f>
        <x:v>OPEN</x:v>
      </x:c>
      <x:c r="G305" t="str">
        <x:f>IF(E305=F305,"PASS","FAIL")</x:f>
        <x:v>PASS</x:v>
      </x:c>
      <x:c r="H305" t="str">
        <x:f>G305</x:f>
        <x:v>PASS</x:v>
      </x:c>
    </x:row>
    <x:row r="306">
      <x:c r="B306" t="str">
        <x:v>A-PH-142</x:v>
      </x:c>
      <x:c r="C306" t="str">
        <x:v>gate</x:v>
      </x:c>
      <x:c r="D306" t="str">
        <x:v>PH-SAFETY-51</x:v>
      </x:c>
      <x:c r="E306" t="str">
        <x:v>OPEN</x:v>
      </x:c>
      <x:c r="F306" t="str">
        <x:f>'Release Gates'!I306</x:f>
        <x:v>OPEN</x:v>
      </x:c>
      <x:c r="G306" t="str">
        <x:f>IF(E306=F306,"PASS","FAIL")</x:f>
        <x:v>PASS</x:v>
      </x:c>
      <x:c r="H306" t="str">
        <x:f>G306</x:f>
        <x:v>PASS</x:v>
      </x:c>
    </x:row>
    <x:row r="307">
      <x:c r="B307" t="str">
        <x:v>A-PH-143</x:v>
      </x:c>
      <x:c r="C307" t="str">
        <x:v>gate</x:v>
      </x:c>
      <x:c r="D307" t="str">
        <x:v>PH-SAFETY-52</x:v>
      </x:c>
      <x:c r="E307" t="str">
        <x:v>OPEN</x:v>
      </x:c>
      <x:c r="F307" t="str">
        <x:f>'Release Gates'!I307</x:f>
        <x:v>OPEN</x:v>
      </x:c>
      <x:c r="G307" t="str">
        <x:f>IF(E307=F307,"PASS","FAIL")</x:f>
        <x:v>PASS</x:v>
      </x:c>
      <x:c r="H307" t="str">
        <x:f>G307</x:f>
        <x:v>PASS</x:v>
      </x:c>
    </x:row>
    <x:row r="308">
      <x:c r="B308" t="str">
        <x:v>A-PH-144</x:v>
      </x:c>
      <x:c r="C308" t="str">
        <x:v>gate</x:v>
      </x:c>
      <x:c r="D308" t="str">
        <x:v>PH-SAFETY-53</x:v>
      </x:c>
      <x:c r="E308" t="str">
        <x:v>OPEN</x:v>
      </x:c>
      <x:c r="F308" t="str">
        <x:f>'Release Gates'!I308</x:f>
        <x:v>OPEN</x:v>
      </x:c>
      <x:c r="G308" t="str">
        <x:f>IF(E308=F308,"PASS","FAIL")</x:f>
        <x:v>PASS</x:v>
      </x:c>
      <x:c r="H308" t="str">
        <x:f>G308</x:f>
        <x:v>PASS</x:v>
      </x:c>
    </x:row>
    <x:row r="309">
      <x:c r="B309" t="str">
        <x:v>A-PH-145</x:v>
      </x:c>
      <x:c r="C309" t="str">
        <x:v>gate</x:v>
      </x:c>
      <x:c r="D309" t="str">
        <x:v>PH-SAFETY-54</x:v>
      </x:c>
      <x:c r="E309" t="str">
        <x:v>OPEN</x:v>
      </x:c>
      <x:c r="F309" t="str">
        <x:f>'Release Gates'!I309</x:f>
        <x:v>OPEN</x:v>
      </x:c>
      <x:c r="G309" t="str">
        <x:f>IF(E309=F309,"PASS","FAIL")</x:f>
        <x:v>PASS</x:v>
      </x:c>
      <x:c r="H309" t="str">
        <x:f>G309</x:f>
        <x:v>PASS</x:v>
      </x:c>
    </x:row>
    <x:row r="310">
      <x:c r="B310" t="str">
        <x:v>A-PH-146</x:v>
      </x:c>
      <x:c r="C310" t="str">
        <x:v>gate</x:v>
      </x:c>
      <x:c r="D310" t="str">
        <x:v>PH-SAFETY-55</x:v>
      </x:c>
      <x:c r="E310" t="str">
        <x:v>OPEN</x:v>
      </x:c>
      <x:c r="F310" t="str">
        <x:f>'Release Gates'!I310</x:f>
        <x:v>OPEN</x:v>
      </x:c>
      <x:c r="G310" t="str">
        <x:f>IF(E310=F310,"PASS","FAIL")</x:f>
        <x:v>PASS</x:v>
      </x:c>
      <x:c r="H310" t="str">
        <x:f>G310</x:f>
        <x:v>PASS</x:v>
      </x:c>
    </x:row>
    <x:row r="311">
      <x:c r="B311" t="str">
        <x:v>A-PH-147</x:v>
      </x:c>
      <x:c r="C311" t="str">
        <x:v>gate</x:v>
      </x:c>
      <x:c r="D311" t="str">
        <x:v>PH-SAFETY-56</x:v>
      </x:c>
      <x:c r="E311" t="str">
        <x:v>OPEN</x:v>
      </x:c>
      <x:c r="F311" t="str">
        <x:f>'Release Gates'!I311</x:f>
        <x:v>OPEN</x:v>
      </x:c>
      <x:c r="G311" t="str">
        <x:f>IF(E311=F311,"PASS","FAIL")</x:f>
        <x:v>PASS</x:v>
      </x:c>
      <x:c r="H311" t="str">
        <x:f>G311</x:f>
        <x:v>PASS</x:v>
      </x:c>
    </x:row>
    <x:row r="312">
      <x:c r="B312" t="str">
        <x:v>A-PH-148</x:v>
      </x:c>
      <x:c r="C312" t="str">
        <x:v>gate</x:v>
      </x:c>
      <x:c r="D312" t="str">
        <x:v>PH-SAFETY-57</x:v>
      </x:c>
      <x:c r="E312" t="str">
        <x:v>OPEN</x:v>
      </x:c>
      <x:c r="F312" t="str">
        <x:f>'Release Gates'!I312</x:f>
        <x:v>OPEN</x:v>
      </x:c>
      <x:c r="G312" t="str">
        <x:f>IF(E312=F312,"PASS","FAIL")</x:f>
        <x:v>PASS</x:v>
      </x:c>
      <x:c r="H312" t="str">
        <x:f>G312</x:f>
        <x:v>PASS</x:v>
      </x:c>
    </x:row>
    <x:row r="313">
      <x:c r="B313" t="str">
        <x:v>A-PH-149</x:v>
      </x:c>
      <x:c r="C313" t="str">
        <x:v>gate</x:v>
      </x:c>
      <x:c r="D313" t="str">
        <x:v>PH-SAFETY-58</x:v>
      </x:c>
      <x:c r="E313" t="str">
        <x:v>OPEN</x:v>
      </x:c>
      <x:c r="F313" t="str">
        <x:f>'Release Gates'!I313</x:f>
        <x:v>OPEN</x:v>
      </x:c>
      <x:c r="G313" t="str">
        <x:f>IF(E313=F313,"PASS","FAIL")</x:f>
        <x:v>PASS</x:v>
      </x:c>
      <x:c r="H313" t="str">
        <x:f>G313</x:f>
        <x:v>PASS</x:v>
      </x:c>
    </x:row>
    <x:row r="314">
      <x:c r="B314" t="str">
        <x:v>A-PH-150</x:v>
      </x:c>
      <x:c r="C314" t="str">
        <x:v>gate</x:v>
      </x:c>
      <x:c r="D314" t="str">
        <x:v>PH-SAFETY-59</x:v>
      </x:c>
      <x:c r="E314" t="str">
        <x:v>OPEN</x:v>
      </x:c>
      <x:c r="F314" t="str">
        <x:f>'Release Gates'!I314</x:f>
        <x:v>OPEN</x:v>
      </x:c>
      <x:c r="G314" t="str">
        <x:f>IF(E314=F314,"PASS","FAIL")</x:f>
        <x:v>PASS</x:v>
      </x:c>
      <x:c r="H314" t="str">
        <x:f>G314</x:f>
        <x:v>PASS</x:v>
      </x:c>
    </x:row>
    <x:row r="315">
      <x:c r="B315" t="str">
        <x:v>A-PH-151</x:v>
      </x:c>
      <x:c r="C315" t="str">
        <x:v>gate</x:v>
      </x:c>
      <x:c r="D315" t="str">
        <x:v>PH-SAFETY-60</x:v>
      </x:c>
      <x:c r="E315" t="str">
        <x:v>OPEN</x:v>
      </x:c>
      <x:c r="F315" t="str">
        <x:f>'Release Gates'!I315</x:f>
        <x:v>OPEN</x:v>
      </x:c>
      <x:c r="G315" t="str">
        <x:f>IF(E315=F315,"PASS","FAIL")</x:f>
        <x:v>PASS</x:v>
      </x:c>
      <x:c r="H315" t="str">
        <x:f>G315</x:f>
        <x:v>PASS</x:v>
      </x:c>
    </x:row>
    <x:row r="316">
      <x:c r="B316" t="str">
        <x:v>A-PH-152</x:v>
      </x:c>
      <x:c r="C316" t="str">
        <x:v>gate</x:v>
      </x:c>
      <x:c r="D316" t="str">
        <x:v>PH-SAFETY-61</x:v>
      </x:c>
      <x:c r="E316" t="str">
        <x:v>OPEN</x:v>
      </x:c>
      <x:c r="F316" t="str">
        <x:f>'Release Gates'!I316</x:f>
        <x:v>OPEN</x:v>
      </x:c>
      <x:c r="G316" t="str">
        <x:f>IF(E316=F316,"PASS","FAIL")</x:f>
        <x:v>PASS</x:v>
      </x:c>
      <x:c r="H316" t="str">
        <x:f>G316</x:f>
        <x:v>PASS</x:v>
      </x:c>
    </x:row>
    <x:row r="317">
      <x:c r="B317" t="str">
        <x:v>A-PH-153</x:v>
      </x:c>
      <x:c r="C317" t="str">
        <x:v>gate</x:v>
      </x:c>
      <x:c r="D317" t="str">
        <x:v>PH-SAFETY-62</x:v>
      </x:c>
      <x:c r="E317" t="str">
        <x:v>OPEN</x:v>
      </x:c>
      <x:c r="F317" t="str">
        <x:f>'Release Gates'!I317</x:f>
        <x:v>OPEN</x:v>
      </x:c>
      <x:c r="G317" t="str">
        <x:f>IF(E317=F317,"PASS","FAIL")</x:f>
        <x:v>PASS</x:v>
      </x:c>
      <x:c r="H317" t="str">
        <x:f>G317</x:f>
        <x:v>PASS</x:v>
      </x:c>
    </x:row>
    <x:row r="318">
      <x:c r="B318" t="str">
        <x:v>A-PH-154</x:v>
      </x:c>
      <x:c r="C318" t="str">
        <x:v>gate</x:v>
      </x:c>
      <x:c r="D318" t="str">
        <x:v>PH-SAFETY-63</x:v>
      </x:c>
      <x:c r="E318" t="str">
        <x:v>OPEN</x:v>
      </x:c>
      <x:c r="F318" t="str">
        <x:f>'Release Gates'!I318</x:f>
        <x:v>OPEN</x:v>
      </x:c>
      <x:c r="G318" t="str">
        <x:f>IF(E318=F318,"PASS","FAIL")</x:f>
        <x:v>PASS</x:v>
      </x:c>
      <x:c r="H318" t="str">
        <x:f>G318</x:f>
        <x:v>PASS</x:v>
      </x:c>
    </x:row>
    <x:row r="319">
      <x:c r="B319" t="str">
        <x:v>A-PH-155</x:v>
      </x:c>
      <x:c r="C319" t="str">
        <x:v>gate</x:v>
      </x:c>
      <x:c r="D319" t="str">
        <x:v>PH-SAFETY-64</x:v>
      </x:c>
      <x:c r="E319" t="str">
        <x:v>OPEN</x:v>
      </x:c>
      <x:c r="F319" t="str">
        <x:f>'Release Gates'!I319</x:f>
        <x:v>OPEN</x:v>
      </x:c>
      <x:c r="G319" t="str">
        <x:f>IF(E319=F319,"PASS","FAIL")</x:f>
        <x:v>PASS</x:v>
      </x:c>
      <x:c r="H319" t="str">
        <x:f>G319</x:f>
        <x:v>PASS</x:v>
      </x:c>
    </x:row>
    <x:row r="320">
      <x:c r="B320" t="str">
        <x:v>A-PH-156</x:v>
      </x:c>
      <x:c r="C320" t="str">
        <x:v>gate</x:v>
      </x:c>
      <x:c r="D320" t="str">
        <x:v>PH-SAFETY-65</x:v>
      </x:c>
      <x:c r="E320" t="str">
        <x:v>OPEN</x:v>
      </x:c>
      <x:c r="F320" t="str">
        <x:f>'Release Gates'!I320</x:f>
        <x:v>OPEN</x:v>
      </x:c>
      <x:c r="G320" t="str">
        <x:f>IF(E320=F320,"PASS","FAIL")</x:f>
        <x:v>PASS</x:v>
      </x:c>
      <x:c r="H320" t="str">
        <x:f>G320</x:f>
        <x:v>PASS</x:v>
      </x:c>
    </x:row>
    <x:row r="321">
      <x:c r="B321" t="str">
        <x:v>A-PH-157</x:v>
      </x:c>
      <x:c r="C321" t="str">
        <x:v>gate</x:v>
      </x:c>
      <x:c r="D321" t="str">
        <x:v>PH-SAFETY-66</x:v>
      </x:c>
      <x:c r="E321" t="str">
        <x:v>OPEN</x:v>
      </x:c>
      <x:c r="F321" t="str">
        <x:f>'Release Gates'!I321</x:f>
        <x:v>OPEN</x:v>
      </x:c>
      <x:c r="G321" t="str">
        <x:f>IF(E321=F321,"PASS","FAIL")</x:f>
        <x:v>PASS</x:v>
      </x:c>
      <x:c r="H321" t="str">
        <x:f>G321</x:f>
        <x:v>PASS</x:v>
      </x:c>
    </x:row>
    <x:row r="322">
      <x:c r="B322" t="str">
        <x:v>A-PH-158</x:v>
      </x:c>
      <x:c r="C322" t="str">
        <x:v>gate</x:v>
      </x:c>
      <x:c r="D322" t="str">
        <x:v>PH-SAFETY-67</x:v>
      </x:c>
      <x:c r="E322" t="str">
        <x:v>OPEN</x:v>
      </x:c>
      <x:c r="F322" t="str">
        <x:f>'Release Gates'!I322</x:f>
        <x:v>OPEN</x:v>
      </x:c>
      <x:c r="G322" t="str">
        <x:f>IF(E322=F322,"PASS","FAIL")</x:f>
        <x:v>PASS</x:v>
      </x:c>
      <x:c r="H322" t="str">
        <x:f>G322</x:f>
        <x:v>PASS</x:v>
      </x:c>
    </x:row>
    <x:row r="323">
      <x:c r="B323" t="str">
        <x:v>A-PH-159</x:v>
      </x:c>
      <x:c r="C323" t="str">
        <x:v>gate</x:v>
      </x:c>
      <x:c r="D323" t="str">
        <x:v>PH-SAFETY-68</x:v>
      </x:c>
      <x:c r="E323" t="str">
        <x:v>OPEN</x:v>
      </x:c>
      <x:c r="F323" t="str">
        <x:f>'Release Gates'!I323</x:f>
        <x:v>OPEN</x:v>
      </x:c>
      <x:c r="G323" t="str">
        <x:f>IF(E323=F323,"PASS","FAIL")</x:f>
        <x:v>PASS</x:v>
      </x:c>
      <x:c r="H323" t="str">
        <x:f>G323</x:f>
        <x:v>PASS</x:v>
      </x:c>
    </x:row>
    <x:row r="324">
      <x:c r="B324" t="str">
        <x:v>A-PH-160</x:v>
      </x:c>
      <x:c r="C324" t="str">
        <x:v>gate</x:v>
      </x:c>
      <x:c r="D324" t="str">
        <x:v>PH-SAFETY-69</x:v>
      </x:c>
      <x:c r="E324" t="str">
        <x:v>OPEN</x:v>
      </x:c>
      <x:c r="F324" t="str">
        <x:f>'Release Gates'!I324</x:f>
        <x:v>OPEN</x:v>
      </x:c>
      <x:c r="G324" t="str">
        <x:f>IF(E324=F324,"PASS","FAIL")</x:f>
        <x:v>PASS</x:v>
      </x:c>
      <x:c r="H324" t="str">
        <x:f>G324</x:f>
        <x:v>PASS</x:v>
      </x:c>
    </x:row>
    <x:row r="325">
      <x:c r="B325" t="str">
        <x:v>A-PH-161</x:v>
      </x:c>
      <x:c r="C325" t="str">
        <x:v>gate</x:v>
      </x:c>
      <x:c r="D325" t="str">
        <x:v>PH-SAFETY-70</x:v>
      </x:c>
      <x:c r="E325" t="str">
        <x:v>OPEN</x:v>
      </x:c>
      <x:c r="F325" t="str">
        <x:f>'Release Gates'!I325</x:f>
        <x:v>OPEN</x:v>
      </x:c>
      <x:c r="G325" t="str">
        <x:f>IF(E325=F325,"PASS","FAIL")</x:f>
        <x:v>PASS</x:v>
      </x:c>
      <x:c r="H325" t="str">
        <x:f>G325</x:f>
        <x:v>PASS</x:v>
      </x:c>
    </x:row>
    <x:row r="326">
      <x:c r="B326" t="str">
        <x:v>A-PH-162</x:v>
      </x:c>
      <x:c r="C326" t="str">
        <x:v>gate</x:v>
      </x:c>
      <x:c r="D326" t="str">
        <x:v>PH-SAFETY-71</x:v>
      </x:c>
      <x:c r="E326" t="str">
        <x:v>OPEN</x:v>
      </x:c>
      <x:c r="F326" t="str">
        <x:f>'Release Gates'!I326</x:f>
        <x:v>OPEN</x:v>
      </x:c>
      <x:c r="G326" t="str">
        <x:f>IF(E326=F326,"PASS","FAIL")</x:f>
        <x:v>PASS</x:v>
      </x:c>
      <x:c r="H326" t="str">
        <x:f>G326</x:f>
        <x:v>PASS</x:v>
      </x:c>
    </x:row>
    <x:row r="327">
      <x:c r="B327" t="str">
        <x:v>A-PH-163</x:v>
      </x:c>
      <x:c r="C327" t="str">
        <x:v>gate</x:v>
      </x:c>
      <x:c r="D327" t="str">
        <x:v>PH-SAFETY-72</x:v>
      </x:c>
      <x:c r="E327" t="str">
        <x:v>OPEN</x:v>
      </x:c>
      <x:c r="F327" t="str">
        <x:f>'Release Gates'!I327</x:f>
        <x:v>OPEN</x:v>
      </x:c>
      <x:c r="G327" t="str">
        <x:f>IF(E327=F327,"PASS","FAIL")</x:f>
        <x:v>PASS</x:v>
      </x:c>
      <x:c r="H327" t="str">
        <x:f>G327</x:f>
        <x:v>PASS</x:v>
      </x:c>
    </x:row>
    <x:row r="328">
      <x:c r="B328" t="str">
        <x:v>A-PH-164</x:v>
      </x:c>
      <x:c r="C328" t="str">
        <x:v>gate</x:v>
      </x:c>
      <x:c r="D328" t="str">
        <x:v>PH-REPLAY-01</x:v>
      </x:c>
      <x:c r="E328" t="str">
        <x:v>OPEN</x:v>
      </x:c>
      <x:c r="F328" t="str">
        <x:f>'Release Gates'!I328</x:f>
        <x:v>OPEN</x:v>
      </x:c>
      <x:c r="G328" t="str">
        <x:f>IF(E328=F328,"PASS","FAIL")</x:f>
        <x:v>PASS</x:v>
      </x:c>
      <x:c r="H328" t="str">
        <x:f>G328</x:f>
        <x:v>PASS</x:v>
      </x:c>
    </x:row>
    <x:row r="329">
      <x:c r="B329" t="str">
        <x:v>A-PH-165</x:v>
      </x:c>
      <x:c r="C329" t="str">
        <x:v>gate</x:v>
      </x:c>
      <x:c r="D329" t="str">
        <x:v>PH-REPLAY-02</x:v>
      </x:c>
      <x:c r="E329" t="str">
        <x:v>OPEN</x:v>
      </x:c>
      <x:c r="F329" t="str">
        <x:f>'Release Gates'!I329</x:f>
        <x:v>OPEN</x:v>
      </x:c>
      <x:c r="G329" t="str">
        <x:f>IF(E329=F329,"PASS","FAIL")</x:f>
        <x:v>PASS</x:v>
      </x:c>
      <x:c r="H329" t="str">
        <x:f>G329</x:f>
        <x:v>PASS</x:v>
      </x:c>
    </x:row>
    <x:row r="330">
      <x:c r="B330" t="str">
        <x:v>A-PH-166</x:v>
      </x:c>
      <x:c r="C330" t="str">
        <x:v>gate</x:v>
      </x:c>
      <x:c r="D330" t="str">
        <x:v>PH-REPLAY-03</x:v>
      </x:c>
      <x:c r="E330" t="str">
        <x:v>OPEN</x:v>
      </x:c>
      <x:c r="F330" t="str">
        <x:f>'Release Gates'!I330</x:f>
        <x:v>OPEN</x:v>
      </x:c>
      <x:c r="G330" t="str">
        <x:f>IF(E330=F330,"PASS","FAIL")</x:f>
        <x:v>PASS</x:v>
      </x:c>
      <x:c r="H330" t="str">
        <x:f>G330</x:f>
        <x:v>PASS</x:v>
      </x:c>
    </x:row>
    <x:row r="331">
      <x:c r="B331" t="str">
        <x:v>A-PH-167</x:v>
      </x:c>
      <x:c r="C331" t="str">
        <x:v>gate</x:v>
      </x:c>
      <x:c r="D331" t="str">
        <x:v>PH-REPLAY-04</x:v>
      </x:c>
      <x:c r="E331" t="str">
        <x:v>OPEN</x:v>
      </x:c>
      <x:c r="F331" t="str">
        <x:f>'Release Gates'!I331</x:f>
        <x:v>OPEN</x:v>
      </x:c>
      <x:c r="G331" t="str">
        <x:f>IF(E331=F331,"PASS","FAIL")</x:f>
        <x:v>PASS</x:v>
      </x:c>
      <x:c r="H331" t="str">
        <x:f>G331</x:f>
        <x:v>PASS</x:v>
      </x:c>
    </x:row>
    <x:row r="332">
      <x:c r="B332" t="str">
        <x:v>A-PH-168</x:v>
      </x:c>
      <x:c r="C332" t="str">
        <x:v>gate</x:v>
      </x:c>
      <x:c r="D332" t="str">
        <x:v>PH-REPLAY-05</x:v>
      </x:c>
      <x:c r="E332" t="str">
        <x:v>OPEN</x:v>
      </x:c>
      <x:c r="F332" t="str">
        <x:f>'Release Gates'!I332</x:f>
        <x:v>OPEN</x:v>
      </x:c>
      <x:c r="G332" t="str">
        <x:f>IF(E332=F332,"PASS","FAIL")</x:f>
        <x:v>PASS</x:v>
      </x:c>
      <x:c r="H332" t="str">
        <x:f>G332</x:f>
        <x:v>PASS</x:v>
      </x:c>
    </x:row>
    <x:row r="333">
      <x:c r="B333" t="str">
        <x:v>A-PH-169</x:v>
      </x:c>
      <x:c r="C333" t="str">
        <x:v>gate</x:v>
      </x:c>
      <x:c r="D333" t="str">
        <x:v>PH-REPLAY-06</x:v>
      </x:c>
      <x:c r="E333" t="str">
        <x:v>OPEN</x:v>
      </x:c>
      <x:c r="F333" t="str">
        <x:f>'Release Gates'!I333</x:f>
        <x:v>OPEN</x:v>
      </x:c>
      <x:c r="G333" t="str">
        <x:f>IF(E333=F333,"PASS","FAIL")</x:f>
        <x:v>PASS</x:v>
      </x:c>
      <x:c r="H333" t="str">
        <x:f>G333</x:f>
        <x:v>PASS</x:v>
      </x:c>
    </x:row>
    <x:row r="334">
      <x:c r="B334" t="str">
        <x:v>A-PH-170</x:v>
      </x:c>
      <x:c r="C334" t="str">
        <x:v>gate</x:v>
      </x:c>
      <x:c r="D334" t="str">
        <x:v>PH-REPLAY-07</x:v>
      </x:c>
      <x:c r="E334" t="str">
        <x:v>OPEN</x:v>
      </x:c>
      <x:c r="F334" t="str">
        <x:f>'Release Gates'!I334</x:f>
        <x:v>OPEN</x:v>
      </x:c>
      <x:c r="G334" t="str">
        <x:f>IF(E334=F334,"PASS","FAIL")</x:f>
        <x:v>PASS</x:v>
      </x:c>
      <x:c r="H334" t="str">
        <x:f>G334</x:f>
        <x:v>PASS</x:v>
      </x:c>
    </x:row>
    <x:row r="335">
      <x:c r="B335" t="str">
        <x:v>A-PH-171</x:v>
      </x:c>
      <x:c r="C335" t="str">
        <x:v>gate</x:v>
      </x:c>
      <x:c r="D335" t="str">
        <x:v>PH-REPLAY-08</x:v>
      </x:c>
      <x:c r="E335" t="str">
        <x:v>OPEN</x:v>
      </x:c>
      <x:c r="F335" t="str">
        <x:f>'Release Gates'!I335</x:f>
        <x:v>OPEN</x:v>
      </x:c>
      <x:c r="G335" t="str">
        <x:f>IF(E335=F335,"PASS","FAIL")</x:f>
        <x:v>PASS</x:v>
      </x:c>
      <x:c r="H335" t="str">
        <x:f>G335</x:f>
        <x:v>PASS</x:v>
      </x:c>
    </x:row>
    <x:row r="336">
      <x:c r="B336" t="str">
        <x:v>A-PH-172</x:v>
      </x:c>
      <x:c r="C336" t="str">
        <x:v>gate</x:v>
      </x:c>
      <x:c r="D336" t="str">
        <x:v>PH-SAFE-1</x:v>
      </x:c>
      <x:c r="E336" t="str">
        <x:v>OPEN</x:v>
      </x:c>
      <x:c r="F336" t="str">
        <x:f>'Release Gates'!I336</x:f>
        <x:v>OPEN</x:v>
      </x:c>
      <x:c r="G336" t="str">
        <x:f>IF(E336=F336,"PASS","FAIL")</x:f>
        <x:v>PASS</x:v>
      </x:c>
      <x:c r="H336" t="str">
        <x:f>G336</x:f>
        <x:v>PASS</x:v>
      </x:c>
    </x:row>
    <x:row r="337">
      <x:c r="B337" t="str">
        <x:v>A-PH-173</x:v>
      </x:c>
      <x:c r="C337" t="str">
        <x:v>gate</x:v>
      </x:c>
      <x:c r="D337" t="str">
        <x:v>PH-SAFE-2</x:v>
      </x:c>
      <x:c r="E337" t="str">
        <x:v>OPEN</x:v>
      </x:c>
      <x:c r="F337" t="str">
        <x:f>'Release Gates'!I337</x:f>
        <x:v>OPEN</x:v>
      </x:c>
      <x:c r="G337" t="str">
        <x:f>IF(E337=F337,"PASS","FAIL")</x:f>
        <x:v>PASS</x:v>
      </x:c>
      <x:c r="H337" t="str">
        <x:f>G337</x:f>
        <x:v>PASS</x:v>
      </x:c>
    </x:row>
    <x:row r="338">
      <x:c r="B338" t="str">
        <x:v>A-PH-174</x:v>
      </x:c>
      <x:c r="C338" t="str">
        <x:v>gate</x:v>
      </x:c>
      <x:c r="D338" t="str">
        <x:v>PH-SAFE-3</x:v>
      </x:c>
      <x:c r="E338" t="str">
        <x:v>OPEN</x:v>
      </x:c>
      <x:c r="F338" t="str">
        <x:f>'Release Gates'!I338</x:f>
        <x:v>OPEN</x:v>
      </x:c>
      <x:c r="G338" t="str">
        <x:f>IF(E338=F338,"PASS","FAIL")</x:f>
        <x:v>PASS</x:v>
      </x:c>
      <x:c r="H338" t="str">
        <x:f>G338</x:f>
        <x:v>PASS</x:v>
      </x:c>
    </x:row>
    <x:row r="339">
      <x:c r="B339" t="str">
        <x:v>A-PH-175</x:v>
      </x:c>
      <x:c r="C339" t="str">
        <x:v>gate</x:v>
      </x:c>
      <x:c r="D339" t="str">
        <x:v>PH-SAFE-4</x:v>
      </x:c>
      <x:c r="E339" t="str">
        <x:v>OPEN</x:v>
      </x:c>
      <x:c r="F339" t="str">
        <x:f>'Release Gates'!I339</x:f>
        <x:v>OPEN</x:v>
      </x:c>
      <x:c r="G339" t="str">
        <x:f>IF(E339=F339,"PASS","FAIL")</x:f>
        <x:v>PASS</x:v>
      </x:c>
      <x:c r="H339" t="str">
        <x:f>G339</x:f>
        <x:v>PASS</x:v>
      </x:c>
    </x:row>
    <x:row r="340">
      <x:c r="B340" t="str">
        <x:v>A-PH-176</x:v>
      </x:c>
      <x:c r="C340" t="str">
        <x:v>gate</x:v>
      </x:c>
      <x:c r="D340" t="str">
        <x:v>PH-INST-1</x:v>
      </x:c>
      <x:c r="E340" t="str">
        <x:v>OPEN</x:v>
      </x:c>
      <x:c r="F340" t="str">
        <x:f>'Release Gates'!I340</x:f>
        <x:v>OPEN</x:v>
      </x:c>
      <x:c r="G340" t="str">
        <x:f>IF(E340=F340,"PASS","FAIL")</x:f>
        <x:v>PASS</x:v>
      </x:c>
      <x:c r="H340" t="str">
        <x:f>G340</x:f>
        <x:v>PASS</x:v>
      </x:c>
    </x:row>
    <x:row r="341">
      <x:c r="B341" t="str">
        <x:v>A-PH-177</x:v>
      </x:c>
      <x:c r="C341" t="str">
        <x:v>gate</x:v>
      </x:c>
      <x:c r="D341" t="str">
        <x:v>PH-INST-2</x:v>
      </x:c>
      <x:c r="E341" t="str">
        <x:v>OPEN</x:v>
      </x:c>
      <x:c r="F341" t="str">
        <x:f>'Release Gates'!I341</x:f>
        <x:v>OPEN</x:v>
      </x:c>
      <x:c r="G341" t="str">
        <x:f>IF(E341=F341,"PASS","FAIL")</x:f>
        <x:v>PASS</x:v>
      </x:c>
      <x:c r="H341" t="str">
        <x:f>G341</x:f>
        <x:v>PASS</x:v>
      </x:c>
    </x:row>
    <x:row r="342">
      <x:c r="B342" t="str">
        <x:v>A-PH-178</x:v>
      </x:c>
      <x:c r="C342" t="str">
        <x:v>gate</x:v>
      </x:c>
      <x:c r="D342" t="str">
        <x:v>PH-INST-3</x:v>
      </x:c>
      <x:c r="E342" t="str">
        <x:v>OPEN</x:v>
      </x:c>
      <x:c r="F342" t="str">
        <x:f>'Release Gates'!I342</x:f>
        <x:v>OPEN</x:v>
      </x:c>
      <x:c r="G342" t="str">
        <x:f>IF(E342=F342,"PASS","FAIL")</x:f>
        <x:v>PASS</x:v>
      </x:c>
      <x:c r="H342" t="str">
        <x:f>G342</x:f>
        <x:v>PASS</x:v>
      </x:c>
    </x:row>
    <x:row r="343">
      <x:c r="B343" t="str">
        <x:v>A-PH-179</x:v>
      </x:c>
      <x:c r="C343" t="str">
        <x:v>gate</x:v>
      </x:c>
      <x:c r="D343" t="str">
        <x:v>PH-INST-4</x:v>
      </x:c>
      <x:c r="E343" t="str">
        <x:v>OPEN</x:v>
      </x:c>
      <x:c r="F343" t="str">
        <x:f>'Release Gates'!I343</x:f>
        <x:v>OPEN</x:v>
      </x:c>
      <x:c r="G343" t="str">
        <x:f>IF(E343=F343,"PASS","FAIL")</x:f>
        <x:v>PASS</x:v>
      </x:c>
      <x:c r="H343" t="str">
        <x:f>G343</x:f>
        <x:v>PASS</x:v>
      </x:c>
    </x:row>
    <x:row r="344">
      <x:c r="B344" t="str">
        <x:v>A-PH-180</x:v>
      </x:c>
      <x:c r="C344" t="str">
        <x:v>gate</x:v>
      </x:c>
      <x:c r="D344" t="str">
        <x:v>PH-REC-1</x:v>
      </x:c>
      <x:c r="E344" t="str">
        <x:v>OPEN</x:v>
      </x:c>
      <x:c r="F344" t="str">
        <x:f>'Release Gates'!I344</x:f>
        <x:v>OPEN</x:v>
      </x:c>
      <x:c r="G344" t="str">
        <x:f>IF(E344=F344,"PASS","FAIL")</x:f>
        <x:v>PASS</x:v>
      </x:c>
      <x:c r="H344" t="str">
        <x:f>G344</x:f>
        <x:v>PASS</x:v>
      </x:c>
    </x:row>
    <x:row r="345">
      <x:c r="B345" t="str">
        <x:v>A-PH-181</x:v>
      </x:c>
      <x:c r="C345" t="str">
        <x:v>gate</x:v>
      </x:c>
      <x:c r="D345" t="str">
        <x:v>PH-REC-2</x:v>
      </x:c>
      <x:c r="E345" t="str">
        <x:v>OPEN</x:v>
      </x:c>
      <x:c r="F345" t="str">
        <x:f>'Release Gates'!I345</x:f>
        <x:v>OPEN</x:v>
      </x:c>
      <x:c r="G345" t="str">
        <x:f>IF(E345=F345,"PASS","FAIL")</x:f>
        <x:v>PASS</x:v>
      </x:c>
      <x:c r="H345" t="str">
        <x:f>G345</x:f>
        <x:v>PASS</x:v>
      </x:c>
    </x:row>
    <x:row r="346">
      <x:c r="B346" t="str">
        <x:v>A-PH-182</x:v>
      </x:c>
      <x:c r="C346" t="str">
        <x:v>gate</x:v>
      </x:c>
      <x:c r="D346" t="str">
        <x:v>PH-REC-3</x:v>
      </x:c>
      <x:c r="E346" t="str">
        <x:v>OPEN</x:v>
      </x:c>
      <x:c r="F346" t="str">
        <x:f>'Release Gates'!I346</x:f>
        <x:v>OPEN</x:v>
      </x:c>
      <x:c r="G346" t="str">
        <x:f>IF(E346=F346,"PASS","FAIL")</x:f>
        <x:v>PASS</x:v>
      </x:c>
      <x:c r="H346" t="str">
        <x:f>G346</x:f>
        <x:v>PASS</x:v>
      </x:c>
    </x:row>
    <x:row r="347">
      <x:c r="B347" t="str">
        <x:v>A-PH-183</x:v>
      </x:c>
      <x:c r="C347" t="str">
        <x:v>gate</x:v>
      </x:c>
      <x:c r="D347" t="str">
        <x:v>PH-REC-4</x:v>
      </x:c>
      <x:c r="E347" t="str">
        <x:v>OPEN</x:v>
      </x:c>
      <x:c r="F347" t="str">
        <x:f>'Release Gates'!I347</x:f>
        <x:v>OPEN</x:v>
      </x:c>
      <x:c r="G347" t="str">
        <x:f>IF(E347=F347,"PASS","FAIL")</x:f>
        <x:v>PASS</x:v>
      </x:c>
      <x:c r="H347" t="str">
        <x:f>G347</x:f>
        <x:v>PASS</x:v>
      </x:c>
    </x:row>
    <x:row r="348">
      <x:c r="B348" t="str">
        <x:v>A-PH-184</x:v>
      </x:c>
      <x:c r="C348" t="str">
        <x:v>gate</x:v>
      </x:c>
      <x:c r="D348" t="str">
        <x:v>PH-RESCUE-1</x:v>
      </x:c>
      <x:c r="E348" t="str">
        <x:v>OPEN</x:v>
      </x:c>
      <x:c r="F348" t="str">
        <x:f>'Release Gates'!I348</x:f>
        <x:v>OPEN</x:v>
      </x:c>
      <x:c r="G348" t="str">
        <x:f>IF(E348=F348,"PASS","FAIL")</x:f>
        <x:v>PASS</x:v>
      </x:c>
      <x:c r="H348" t="str">
        <x:f>G348</x:f>
        <x:v>PASS</x:v>
      </x:c>
    </x:row>
    <x:row r="349">
      <x:c r="B349" t="str">
        <x:v>A-PH-185</x:v>
      </x:c>
      <x:c r="C349" t="str">
        <x:v>gate</x:v>
      </x:c>
      <x:c r="D349" t="str">
        <x:v>PH-RESCUE-2</x:v>
      </x:c>
      <x:c r="E349" t="str">
        <x:v>OPEN</x:v>
      </x:c>
      <x:c r="F349" t="str">
        <x:f>'Release Gates'!I349</x:f>
        <x:v>OPEN</x:v>
      </x:c>
      <x:c r="G349" t="str">
        <x:f>IF(E349=F349,"PASS","FAIL")</x:f>
        <x:v>PASS</x:v>
      </x:c>
      <x:c r="H349" t="str">
        <x:f>G349</x:f>
        <x:v>PASS</x:v>
      </x:c>
    </x:row>
    <x:row r="350">
      <x:c r="B350" t="str">
        <x:v>A-PH-186</x:v>
      </x:c>
      <x:c r="C350" t="str">
        <x:v>gate</x:v>
      </x:c>
      <x:c r="D350" t="str">
        <x:v>PH-RESCUE-3</x:v>
      </x:c>
      <x:c r="E350" t="str">
        <x:v>OPEN</x:v>
      </x:c>
      <x:c r="F350" t="str">
        <x:f>'Release Gates'!I350</x:f>
        <x:v>OPEN</x:v>
      </x:c>
      <x:c r="G350" t="str">
        <x:f>IF(E350=F350,"PASS","FAIL")</x:f>
        <x:v>PASS</x:v>
      </x:c>
      <x:c r="H350" t="str">
        <x:f>G350</x:f>
        <x:v>PASS</x:v>
      </x:c>
    </x:row>
    <x:row r="351">
      <x:c r="B351" t="str">
        <x:v>A-PH-187</x:v>
      </x:c>
      <x:c r="C351" t="str">
        <x:v>gate</x:v>
      </x:c>
      <x:c r="D351" t="str">
        <x:v>PH-EVID-1</x:v>
      </x:c>
      <x:c r="E351" t="str">
        <x:v>OPEN</x:v>
      </x:c>
      <x:c r="F351" t="str">
        <x:f>'Release Gates'!I351</x:f>
        <x:v>OPEN</x:v>
      </x:c>
      <x:c r="G351" t="str">
        <x:f>IF(E351=F351,"PASS","FAIL")</x:f>
        <x:v>PASS</x:v>
      </x:c>
      <x:c r="H351" t="str">
        <x:f>G351</x:f>
        <x:v>PASS</x:v>
      </x:c>
    </x:row>
    <x:row r="352">
      <x:c r="B352" t="str">
        <x:v>A-PH-188</x:v>
      </x:c>
      <x:c r="C352" t="str">
        <x:v>gate</x:v>
      </x:c>
      <x:c r="D352" t="str">
        <x:v>PH-EVID-2</x:v>
      </x:c>
      <x:c r="E352" t="str">
        <x:v>OPEN</x:v>
      </x:c>
      <x:c r="F352" t="str">
        <x:f>'Release Gates'!I352</x:f>
        <x:v>OPEN</x:v>
      </x:c>
      <x:c r="G352" t="str">
        <x:f>IF(E352=F352,"PASS","FAIL")</x:f>
        <x:v>PASS</x:v>
      </x:c>
      <x:c r="H352" t="str">
        <x:f>G352</x:f>
        <x:v>PASS</x:v>
      </x:c>
    </x:row>
    <x:row r="353">
      <x:c r="B353" t="str">
        <x:v>A-DS-001</x:v>
      </x:c>
      <x:c r="C353" t="str">
        <x:v>gate</x:v>
      </x:c>
      <x:c r="D353" t="str">
        <x:v>DS-1</x:v>
      </x:c>
      <x:c r="E353" t="str">
        <x:v>BLOCKED</x:v>
      </x:c>
      <x:c r="F353" t="str">
        <x:f>'Release Gates'!I353</x:f>
        <x:v>BLOCKED</x:v>
      </x:c>
      <x:c r="G353" t="str">
        <x:f>IF(E353=F353,"PASS","FAIL")</x:f>
        <x:v>PASS</x:v>
      </x:c>
      <x:c r="H353" t="str">
        <x:f>G353</x:f>
        <x:v>PASS</x:v>
      </x:c>
    </x:row>
    <x:row r="354">
      <x:c r="B354" t="str">
        <x:v>A-DS-002</x:v>
      </x:c>
      <x:c r="C354" t="str">
        <x:v>gate</x:v>
      </x:c>
      <x:c r="D354" t="str">
        <x:v>DS-2</x:v>
      </x:c>
      <x:c r="E354" t="str">
        <x:v>BLOCKED</x:v>
      </x:c>
      <x:c r="F354" t="str">
        <x:f>'Release Gates'!I354</x:f>
        <x:v>BLOCKED</x:v>
      </x:c>
      <x:c r="G354" t="str">
        <x:f>IF(E354=F354,"PASS","FAIL")</x:f>
        <x:v>PASS</x:v>
      </x:c>
      <x:c r="H354" t="str">
        <x:f>G354</x:f>
        <x:v>PASS</x:v>
      </x:c>
    </x:row>
    <x:row r="355">
      <x:c r="B355" t="str">
        <x:v>A-DS-003</x:v>
      </x:c>
      <x:c r="C355" t="str">
        <x:v>gate</x:v>
      </x:c>
      <x:c r="D355" t="str">
        <x:v>DS-3</x:v>
      </x:c>
      <x:c r="E355" t="str">
        <x:v>BLOCKED</x:v>
      </x:c>
      <x:c r="F355" t="str">
        <x:f>'Release Gates'!I355</x:f>
        <x:v>BLOCKED</x:v>
      </x:c>
      <x:c r="G355" t="str">
        <x:f>IF(E355=F355,"PASS","FAIL")</x:f>
        <x:v>PASS</x:v>
      </x:c>
      <x:c r="H355" t="str">
        <x:f>G355</x:f>
        <x:v>PASS</x:v>
      </x:c>
    </x:row>
    <x:row r="356">
      <x:c r="B356" t="str">
        <x:v>A-DS-004</x:v>
      </x:c>
      <x:c r="C356" t="str">
        <x:v>gate</x:v>
      </x:c>
      <x:c r="D356" t="str">
        <x:v>DS-4</x:v>
      </x:c>
      <x:c r="E356" t="str">
        <x:v>BLOCKED</x:v>
      </x:c>
      <x:c r="F356" t="str">
        <x:f>'Release Gates'!I356</x:f>
        <x:v>BLOCKED</x:v>
      </x:c>
      <x:c r="G356" t="str">
        <x:f>IF(E356=F356,"PASS","FAIL")</x:f>
        <x:v>PASS</x:v>
      </x:c>
      <x:c r="H356" t="str">
        <x:f>G356</x:f>
        <x:v>PASS</x:v>
      </x:c>
    </x:row>
    <x:row r="357">
      <x:c r="B357" t="str">
        <x:v>A-DS-005</x:v>
      </x:c>
      <x:c r="C357" t="str">
        <x:v>gate</x:v>
      </x:c>
      <x:c r="D357" t="str">
        <x:v>DS-5</x:v>
      </x:c>
      <x:c r="E357" t="str">
        <x:v>BLOCKED</x:v>
      </x:c>
      <x:c r="F357" t="str">
        <x:f>'Release Gates'!I357</x:f>
        <x:v>BLOCKED</x:v>
      </x:c>
      <x:c r="G357" t="str">
        <x:f>IF(E357=F357,"PASS","FAIL")</x:f>
        <x:v>PASS</x:v>
      </x:c>
      <x:c r="H357" t="str">
        <x:f>G357</x:f>
        <x:v>PASS</x:v>
      </x:c>
    </x:row>
    <x:row r="358">
      <x:c r="B358" t="str">
        <x:v>A-DS-006</x:v>
      </x:c>
      <x:c r="C358" t="str">
        <x:v>gate</x:v>
      </x:c>
      <x:c r="D358" t="str">
        <x:v>DS-6</x:v>
      </x:c>
      <x:c r="E358" t="str">
        <x:v>BLOCKED</x:v>
      </x:c>
      <x:c r="F358" t="str">
        <x:f>'Release Gates'!I358</x:f>
        <x:v>BLOCKED</x:v>
      </x:c>
      <x:c r="G358" t="str">
        <x:f>IF(E358=F358,"PASS","FAIL")</x:f>
        <x:v>PASS</x:v>
      </x:c>
      <x:c r="H358" t="str">
        <x:f>G358</x:f>
        <x:v>PASS</x:v>
      </x:c>
    </x:row>
    <x:row r="359">
      <x:c r="B359" t="str">
        <x:v>A-DS-007</x:v>
      </x:c>
      <x:c r="C359" t="str">
        <x:v>gate</x:v>
      </x:c>
      <x:c r="D359" t="str">
        <x:v>DS-7</x:v>
      </x:c>
      <x:c r="E359" t="str">
        <x:v>BLOCKED</x:v>
      </x:c>
      <x:c r="F359" t="str">
        <x:f>'Release Gates'!I359</x:f>
        <x:v>BLOCKED</x:v>
      </x:c>
      <x:c r="G359" t="str">
        <x:f>IF(E359=F359,"PASS","FAIL")</x:f>
        <x:v>PASS</x:v>
      </x:c>
      <x:c r="H359" t="str">
        <x:f>G359</x:f>
        <x:v>PASS</x:v>
      </x:c>
    </x:row>
    <x:row r="360">
      <x:c r="B360" t="str">
        <x:v>A-DRW-01</x:v>
      </x:c>
      <x:c r="C360" t="str">
        <x:v>drawing</x:v>
      </x:c>
      <x:c r="D360" t="str">
        <x:v>SBD-001</x:v>
      </x:c>
      <x:c r="E360" t="str">
        <x:v>PASS</x:v>
      </x:c>
      <x:c r="F360" t="str">
        <x:f>'Drawing Register'!L7</x:f>
        <x:v>PASS</x:v>
      </x:c>
      <x:c r="G360" t="str">
        <x:f>IF(E360=F360,"PASS","FAIL")</x:f>
        <x:v>PASS</x:v>
      </x:c>
      <x:c r="H360" t="str">
        <x:f>G360</x:f>
        <x:v>PASS</x:v>
      </x:c>
    </x:row>
    <x:row r="361">
      <x:c r="B361" t="str">
        <x:v>A-DRW-02</x:v>
      </x:c>
      <x:c r="C361" t="str">
        <x:v>drawing</x:v>
      </x:c>
      <x:c r="D361" t="str">
        <x:v>SBD-002</x:v>
      </x:c>
      <x:c r="E361" t="str">
        <x:v>PASS</x:v>
      </x:c>
      <x:c r="F361" t="str">
        <x:f>'Drawing Register'!L8</x:f>
        <x:v>PASS</x:v>
      </x:c>
      <x:c r="G361" t="str">
        <x:f>IF(E361=F361,"PASS","FAIL")</x:f>
        <x:v>PASS</x:v>
      </x:c>
      <x:c r="H361" t="str">
        <x:f>G361</x:f>
        <x:v>PASS</x:v>
      </x:c>
    </x:row>
    <x:row r="362">
      <x:c r="B362" t="str">
        <x:v>A-DRW-03</x:v>
      </x:c>
      <x:c r="C362" t="str">
        <x:v>drawing</x:v>
      </x:c>
      <x:c r="D362" t="str">
        <x:v>SBD-003</x:v>
      </x:c>
      <x:c r="E362" t="str">
        <x:v>PASS</x:v>
      </x:c>
      <x:c r="F362" t="str">
        <x:f>'Drawing Register'!L9</x:f>
        <x:v>PASS</x:v>
      </x:c>
      <x:c r="G362" t="str">
        <x:f>IF(E362=F362,"PASS","FAIL")</x:f>
        <x:v>PASS</x:v>
      </x:c>
      <x:c r="H362" t="str">
        <x:f>G362</x:f>
        <x:v>PASS</x:v>
      </x:c>
    </x:row>
    <x:row r="363">
      <x:c r="B363" t="str">
        <x:v>A-DRW-04</x:v>
      </x:c>
      <x:c r="C363" t="str">
        <x:v>drawing</x:v>
      </x:c>
      <x:c r="D363" t="str">
        <x:v>SBD-004</x:v>
      </x:c>
      <x:c r="E363" t="str">
        <x:v>PASS</x:v>
      </x:c>
      <x:c r="F363" t="str">
        <x:f>'Drawing Register'!L10</x:f>
        <x:v>PASS</x:v>
      </x:c>
      <x:c r="G363" t="str">
        <x:f>IF(E363=F363,"PASS","FAIL")</x:f>
        <x:v>PASS</x:v>
      </x:c>
      <x:c r="H363" t="str">
        <x:f>G363</x:f>
        <x:v>PASS</x:v>
      </x:c>
    </x:row>
    <x:row r="364">
      <x:c r="B364" t="str">
        <x:v>A-DRW-05</x:v>
      </x:c>
      <x:c r="C364" t="str">
        <x:v>drawing</x:v>
      </x:c>
      <x:c r="D364" t="str">
        <x:v>SBD-005</x:v>
      </x:c>
      <x:c r="E364" t="str">
        <x:v>PASS</x:v>
      </x:c>
      <x:c r="F364" t="str">
        <x:f>'Drawing Register'!L11</x:f>
        <x:v>PASS</x:v>
      </x:c>
      <x:c r="G364" t="str">
        <x:f>IF(E364=F364,"PASS","FAIL")</x:f>
        <x:v>PASS</x:v>
      </x:c>
      <x:c r="H364" t="str">
        <x:f>G364</x:f>
        <x:v>PASS</x:v>
      </x:c>
    </x:row>
    <x:row r="365">
      <x:c r="B365" t="str">
        <x:v>A-DRW-06</x:v>
      </x:c>
      <x:c r="C365" t="str">
        <x:v>drawing</x:v>
      </x:c>
      <x:c r="D365" t="str">
        <x:v>SBD-006</x:v>
      </x:c>
      <x:c r="E365" t="str">
        <x:v>PASS</x:v>
      </x:c>
      <x:c r="F365" t="str">
        <x:f>'Drawing Register'!L12</x:f>
        <x:v>PASS</x:v>
      </x:c>
      <x:c r="G365" t="str">
        <x:f>IF(E365=F365,"PASS","FAIL")</x:f>
        <x:v>PASS</x:v>
      </x:c>
      <x:c r="H365" t="str">
        <x:f>G365</x:f>
        <x:v>PASS</x:v>
      </x:c>
    </x:row>
    <x:row r="366">
      <x:c r="B366" t="str">
        <x:v>A-DRW-07</x:v>
      </x:c>
      <x:c r="C366" t="str">
        <x:v>drawing</x:v>
      </x:c>
      <x:c r="D366" t="str">
        <x:v>SBD-007</x:v>
      </x:c>
      <x:c r="E366" t="str">
        <x:v>PASS</x:v>
      </x:c>
      <x:c r="F366" t="str">
        <x:f>'Drawing Register'!L13</x:f>
        <x:v>PASS</x:v>
      </x:c>
      <x:c r="G366" t="str">
        <x:f>IF(E366=F366,"PASS","FAIL")</x:f>
        <x:v>PASS</x:v>
      </x:c>
      <x:c r="H366" t="str">
        <x:f>G366</x:f>
        <x:v>PASS</x:v>
      </x:c>
    </x:row>
    <x:row r="367">
      <x:c r="B367" t="str">
        <x:v>A-DRW-08</x:v>
      </x:c>
      <x:c r="C367" t="str">
        <x:v>drawing</x:v>
      </x:c>
      <x:c r="D367" t="str">
        <x:v>SBD-008</x:v>
      </x:c>
      <x:c r="E367" t="str">
        <x:v>PASS</x:v>
      </x:c>
      <x:c r="F367" t="str">
        <x:f>'Drawing Register'!L14</x:f>
        <x:v>PASS</x:v>
      </x:c>
      <x:c r="G367" t="str">
        <x:f>IF(E367=F367,"PASS","FAIL")</x:f>
        <x:v>PASS</x:v>
      </x:c>
      <x:c r="H367" t="str">
        <x:f>G367</x:f>
        <x:v>PASS</x:v>
      </x:c>
    </x:row>
    <x:row r="368">
      <x:c r="B368" t="str">
        <x:v>A-DRW-09</x:v>
      </x:c>
      <x:c r="C368" t="str">
        <x:v>drawing</x:v>
      </x:c>
      <x:c r="D368" t="str">
        <x:v>SBD-009</x:v>
      </x:c>
      <x:c r="E368" t="str">
        <x:v>PASS</x:v>
      </x:c>
      <x:c r="F368" t="str">
        <x:f>'Drawing Register'!L15</x:f>
        <x:v>PASS</x:v>
      </x:c>
      <x:c r="G368" t="str">
        <x:f>IF(E368=F368,"PASS","FAIL")</x:f>
        <x:v>PASS</x:v>
      </x:c>
      <x:c r="H368" t="str">
        <x:f>G368</x:f>
        <x:v>PASS</x:v>
      </x:c>
    </x:row>
    <x:row r="369">
      <x:c r="B369" t="str">
        <x:v>A-DRW-10</x:v>
      </x:c>
      <x:c r="C369" t="str">
        <x:v>drawing</x:v>
      </x:c>
      <x:c r="D369" t="str">
        <x:v>SBD-010</x:v>
      </x:c>
      <x:c r="E369" t="str">
        <x:v>PASS</x:v>
      </x:c>
      <x:c r="F369" t="str">
        <x:f>'Drawing Register'!L16</x:f>
        <x:v>PASS</x:v>
      </x:c>
      <x:c r="G369" t="str">
        <x:f>IF(E369=F369,"PASS","FAIL")</x:f>
        <x:v>PASS</x:v>
      </x:c>
      <x:c r="H369" t="str">
        <x:f>G369</x:f>
        <x:v>PASS</x:v>
      </x:c>
    </x:row>
    <x:row r="370">
      <x:c r="B370" t="str">
        <x:v>A-DRW-11</x:v>
      </x:c>
      <x:c r="C370" t="str">
        <x:v>drawing</x:v>
      </x:c>
      <x:c r="D370" t="str">
        <x:v>SBD-011</x:v>
      </x:c>
      <x:c r="E370" t="str">
        <x:v>PASS</x:v>
      </x:c>
      <x:c r="F370" t="str">
        <x:f>'Drawing Register'!L17</x:f>
        <x:v>PASS</x:v>
      </x:c>
      <x:c r="G370" t="str">
        <x:f>IF(E370=F370,"PASS","FAIL")</x:f>
        <x:v>PASS</x:v>
      </x:c>
      <x:c r="H370" t="str">
        <x:f>G370</x:f>
        <x:v>PASS</x:v>
      </x:c>
    </x:row>
    <x:row r="371">
      <x:c r="B371" t="str">
        <x:v>A-DRW-12</x:v>
      </x:c>
      <x:c r="C371" t="str">
        <x:v>drawing</x:v>
      </x:c>
      <x:c r="D371" t="str">
        <x:v>SBD-012</x:v>
      </x:c>
      <x:c r="E371" t="str">
        <x:v>PASS</x:v>
      </x:c>
      <x:c r="F371" t="str">
        <x:f>'Drawing Register'!L18</x:f>
        <x:v>PASS</x:v>
      </x:c>
      <x:c r="G371" t="str">
        <x:f>IF(E371=F371,"PASS","FAIL")</x:f>
        <x:v>PASS</x:v>
      </x:c>
      <x:c r="H371" t="str">
        <x:f>G371</x:f>
        <x:v>PASS</x:v>
      </x:c>
    </x:row>
    <x:row r="372">
      <x:c r="B372" t="str">
        <x:v>A-DRW-13</x:v>
      </x:c>
      <x:c r="C372" t="str">
        <x:v>drawing</x:v>
      </x:c>
      <x:c r="D372" t="str">
        <x:v>SBD-013</x:v>
      </x:c>
      <x:c r="E372" t="str">
        <x:v>PASS</x:v>
      </x:c>
      <x:c r="F372" t="str">
        <x:f>'Drawing Register'!L19</x:f>
        <x:v>PASS</x:v>
      </x:c>
      <x:c r="G372" t="str">
        <x:f>IF(E372=F372,"PASS","FAIL")</x:f>
        <x:v>PASS</x:v>
      </x:c>
      <x:c r="H372" t="str">
        <x:f>G372</x:f>
        <x:v>PASS</x:v>
      </x:c>
    </x:row>
    <x:row r="373">
      <x:c r="B373" t="str">
        <x:v>A-DRW-14</x:v>
      </x:c>
      <x:c r="C373" t="str">
        <x:v>drawing</x:v>
      </x:c>
      <x:c r="D373" t="str">
        <x:v>SBD-014</x:v>
      </x:c>
      <x:c r="E373" t="str">
        <x:v>PASS</x:v>
      </x:c>
      <x:c r="F373" t="str">
        <x:f>'Drawing Register'!L20</x:f>
        <x:v>PASS</x:v>
      </x:c>
      <x:c r="G373" t="str">
        <x:f>IF(E373=F373,"PASS","FAIL")</x:f>
        <x:v>PASS</x:v>
      </x:c>
      <x:c r="H373" t="str">
        <x:f>G373</x:f>
        <x:v>PASS</x:v>
      </x:c>
    </x:row>
    <x:row r="374">
      <x:c r="B374" t="str">
        <x:v>A-DRW-15</x:v>
      </x:c>
      <x:c r="C374" t="str">
        <x:v>drawing</x:v>
      </x:c>
      <x:c r="D374" t="str">
        <x:v>SBD-015</x:v>
      </x:c>
      <x:c r="E374" t="str">
        <x:v>PASS</x:v>
      </x:c>
      <x:c r="F374" t="str">
        <x:f>'Drawing Register'!L21</x:f>
        <x:v>PASS</x:v>
      </x:c>
      <x:c r="G374" t="str">
        <x:f>IF(E374=F374,"PASS","FAIL")</x:f>
        <x:v>PASS</x:v>
      </x:c>
      <x:c r="H374" t="str">
        <x:f>G374</x:f>
        <x:v>PASS</x:v>
      </x:c>
    </x:row>
    <x:row r="375">
      <x:c r="B375" t="str">
        <x:v>A-DRW-16</x:v>
      </x:c>
      <x:c r="C375" t="str">
        <x:v>drawing</x:v>
      </x:c>
      <x:c r="D375" t="str">
        <x:v>SBD-016</x:v>
      </x:c>
      <x:c r="E375" t="str">
        <x:v>PASS</x:v>
      </x:c>
      <x:c r="F375" t="str">
        <x:f>'Drawing Register'!L22</x:f>
        <x:v>PASS</x:v>
      </x:c>
      <x:c r="G375" t="str">
        <x:f>IF(E375=F375,"PASS","FAIL")</x:f>
        <x:v>PASS</x:v>
      </x:c>
      <x:c r="H375" t="str">
        <x:f>G375</x:f>
        <x:v>PASS</x:v>
      </x:c>
    </x:row>
    <x:row r="376">
      <x:c r="B376" t="str">
        <x:v>A-DRW-17</x:v>
      </x:c>
      <x:c r="C376" t="str">
        <x:v>drawing</x:v>
      </x:c>
      <x:c r="D376" t="str">
        <x:v>SBD-017</x:v>
      </x:c>
      <x:c r="E376" t="str">
        <x:v>PASS</x:v>
      </x:c>
      <x:c r="F376" t="str">
        <x:f>'Drawing Register'!L23</x:f>
        <x:v>PASS</x:v>
      </x:c>
      <x:c r="G376" t="str">
        <x:f>IF(E376=F376,"PASS","FAIL")</x:f>
        <x:v>PASS</x:v>
      </x:c>
      <x:c r="H376" t="str">
        <x:f>G376</x:f>
        <x:v>PASS</x:v>
      </x:c>
    </x:row>
    <x:row r="377">
      <x:c r="B377" t="str">
        <x:v>A-DRW-18</x:v>
      </x:c>
      <x:c r="C377" t="str">
        <x:v>drawing</x:v>
      </x:c>
      <x:c r="D377" t="str">
        <x:v>SBD-018</x:v>
      </x:c>
      <x:c r="E377" t="str">
        <x:v>PASS</x:v>
      </x:c>
      <x:c r="F377" t="str">
        <x:f>'Drawing Register'!L24</x:f>
        <x:v>PASS</x:v>
      </x:c>
      <x:c r="G377" t="str">
        <x:f>IF(E377=F377,"PASS","FAIL")</x:f>
        <x:v>PASS</x:v>
      </x:c>
      <x:c r="H377" t="str">
        <x:f>G377</x:f>
        <x:v>PASS</x:v>
      </x:c>
    </x:row>
    <x:row r="378">
      <x:c r="B378" t="str">
        <x:v>A-DRW-19</x:v>
      </x:c>
      <x:c r="C378" t="str">
        <x:v>drawing</x:v>
      </x:c>
      <x:c r="D378" t="str">
        <x:v>SBD-019</x:v>
      </x:c>
      <x:c r="E378" t="str">
        <x:v>PASS</x:v>
      </x:c>
      <x:c r="F378" t="str">
        <x:f>'Drawing Register'!L25</x:f>
        <x:v>PASS</x:v>
      </x:c>
      <x:c r="G378" t="str">
        <x:f>IF(E378=F378,"PASS","FAIL")</x:f>
        <x:v>PASS</x:v>
      </x:c>
      <x:c r="H378" t="str">
        <x:f>G378</x:f>
        <x:v>PASS</x:v>
      </x:c>
    </x:row>
    <x:row r="379">
      <x:c r="B379" t="str">
        <x:v>A-DRW-20</x:v>
      </x:c>
      <x:c r="C379" t="str">
        <x:v>drawing</x:v>
      </x:c>
      <x:c r="D379" t="str">
        <x:v>SBD-020</x:v>
      </x:c>
      <x:c r="E379" t="str">
        <x:v>PASS</x:v>
      </x:c>
      <x:c r="F379" t="str">
        <x:f>'Drawing Register'!L26</x:f>
        <x:v>PASS</x:v>
      </x:c>
      <x:c r="G379" t="str">
        <x:f>IF(E379=F379,"PASS","FAIL")</x:f>
        <x:v>PASS</x:v>
      </x:c>
      <x:c r="H379" t="str">
        <x:f>G379</x:f>
        <x:v>PASS</x:v>
      </x:c>
    </x:row>
    <x:row r="380">
      <x:c r="B380" t="str">
        <x:v>A-DRW-21</x:v>
      </x:c>
      <x:c r="C380" t="str">
        <x:v>drawing</x:v>
      </x:c>
      <x:c r="D380" t="str">
        <x:v>SBD-021</x:v>
      </x:c>
      <x:c r="E380" t="str">
        <x:v>PASS</x:v>
      </x:c>
      <x:c r="F380" t="str">
        <x:f>'Drawing Register'!L27</x:f>
        <x:v>PASS</x:v>
      </x:c>
      <x:c r="G380" t="str">
        <x:f>IF(E380=F380,"PASS","FAIL")</x:f>
        <x:v>PASS</x:v>
      </x:c>
      <x:c r="H380" t="str">
        <x:f>G380</x:f>
        <x:v>PASS</x:v>
      </x:c>
    </x:row>
    <x:row r="381">
      <x:c r="B381" t="str">
        <x:v>A-DRW-22</x:v>
      </x:c>
      <x:c r="C381" t="str">
        <x:v>drawing</x:v>
      </x:c>
      <x:c r="D381" t="str">
        <x:v>SBD-022</x:v>
      </x:c>
      <x:c r="E381" t="str">
        <x:v>PASS</x:v>
      </x:c>
      <x:c r="F381" t="str">
        <x:f>'Drawing Register'!L28</x:f>
        <x:v>PASS</x:v>
      </x:c>
      <x:c r="G381" t="str">
        <x:f>IF(E381=F381,"PASS","FAIL")</x:f>
        <x:v>PASS</x:v>
      </x:c>
      <x:c r="H381" t="str">
        <x:f>G381</x:f>
        <x:v>PASS</x:v>
      </x:c>
    </x:row>
    <x:row r="382">
      <x:c r="B382" t="str">
        <x:v>A-DRW-23</x:v>
      </x:c>
      <x:c r="C382" t="str">
        <x:v>drawing</x:v>
      </x:c>
      <x:c r="D382" t="str">
        <x:v>SBD-023</x:v>
      </x:c>
      <x:c r="E382" t="str">
        <x:v>PASS</x:v>
      </x:c>
      <x:c r="F382" t="str">
        <x:f>'Drawing Register'!L29</x:f>
        <x:v>PASS</x:v>
      </x:c>
      <x:c r="G382" t="str">
        <x:f>IF(E382=F382,"PASS","FAIL")</x:f>
        <x:v>PASS</x:v>
      </x:c>
      <x:c r="H382" t="str">
        <x:f>G382</x:f>
        <x:v>PASS</x:v>
      </x:c>
    </x:row>
    <x:row r="383">
      <x:c r="B383" t="str">
        <x:v>A-DRW-24</x:v>
      </x:c>
      <x:c r="C383" t="str">
        <x:v>drawing</x:v>
      </x:c>
      <x:c r="D383" t="str">
        <x:v>SBD-024</x:v>
      </x:c>
      <x:c r="E383" t="str">
        <x:v>PASS</x:v>
      </x:c>
      <x:c r="F383" t="str">
        <x:f>'Drawing Register'!L30</x:f>
        <x:v>PASS</x:v>
      </x:c>
      <x:c r="G383" t="str">
        <x:f>IF(E383=F383,"PASS","FAIL")</x:f>
        <x:v>PASS</x:v>
      </x:c>
      <x:c r="H383" t="str">
        <x:f>G383</x:f>
        <x:v>PASS</x:v>
      </x:c>
    </x:row>
    <x:row r="384">
      <x:c r="B384" t="str">
        <x:v>A-DRW-25</x:v>
      </x:c>
      <x:c r="C384" t="str">
        <x:v>drawing</x:v>
      </x:c>
      <x:c r="D384" t="str">
        <x:v>SBD-025</x:v>
      </x:c>
      <x:c r="E384" t="str">
        <x:v>PASS</x:v>
      </x:c>
      <x:c r="F384" t="str">
        <x:f>'Drawing Register'!L31</x:f>
        <x:v>PASS</x:v>
      </x:c>
      <x:c r="G384" t="str">
        <x:f>IF(E384=F384,"PASS","FAIL")</x:f>
        <x:v>PASS</x:v>
      </x:c>
      <x:c r="H384" t="str">
        <x:f>G384</x:f>
        <x:v>PASS</x:v>
      </x:c>
    </x:row>
    <x:row r="385">
      <x:c r="B385" t="str">
        <x:v>A-DRW-26</x:v>
      </x:c>
      <x:c r="C385" t="str">
        <x:v>drawing</x:v>
      </x:c>
      <x:c r="D385" t="str">
        <x:v>SBD-026</x:v>
      </x:c>
      <x:c r="E385" t="str">
        <x:v>PASS</x:v>
      </x:c>
      <x:c r="F385" t="str">
        <x:f>'Drawing Register'!L32</x:f>
        <x:v>PASS</x:v>
      </x:c>
      <x:c r="G385" t="str">
        <x:f>IF(E385=F385,"PASS","FAIL")</x:f>
        <x:v>PASS</x:v>
      </x:c>
      <x:c r="H385" t="str">
        <x:f>G385</x:f>
        <x:v>PASS</x:v>
      </x:c>
    </x:row>
    <x:row r="386">
      <x:c r="B386" t="str">
        <x:v>A-DRW-27</x:v>
      </x:c>
      <x:c r="C386" t="str">
        <x:v>drawing</x:v>
      </x:c>
      <x:c r="D386" t="str">
        <x:v>SBD-027</x:v>
      </x:c>
      <x:c r="E386" t="str">
        <x:v>PASS</x:v>
      </x:c>
      <x:c r="F386" t="str">
        <x:f>'Drawing Register'!L33</x:f>
        <x:v>PASS</x:v>
      </x:c>
      <x:c r="G386" t="str">
        <x:f>IF(E386=F386,"PASS","FAIL")</x:f>
        <x:v>PASS</x:v>
      </x:c>
      <x:c r="H386" t="str">
        <x:f>G386</x:f>
        <x:v>PASS</x:v>
      </x:c>
    </x:row>
    <x:row r="387">
      <x:c r="B387" t="str">
        <x:v>A-DRW-28</x:v>
      </x:c>
      <x:c r="C387" t="str">
        <x:v>drawing</x:v>
      </x:c>
      <x:c r="D387" t="str">
        <x:v>SBD-028</x:v>
      </x:c>
      <x:c r="E387" t="str">
        <x:v>PASS</x:v>
      </x:c>
      <x:c r="F387" t="str">
        <x:f>'Drawing Register'!L34</x:f>
        <x:v>PASS</x:v>
      </x:c>
      <x:c r="G387" t="str">
        <x:f>IF(E387=F387,"PASS","FAIL")</x:f>
        <x:v>PASS</x:v>
      </x:c>
      <x:c r="H387" t="str">
        <x:f>G387</x:f>
        <x:v>PASS</x:v>
      </x:c>
    </x:row>
    <x:row r="388">
      <x:c r="B388" t="str">
        <x:v>A-DRW-29</x:v>
      </x:c>
      <x:c r="C388" t="str">
        <x:v>drawing</x:v>
      </x:c>
      <x:c r="D388" t="str">
        <x:v>SBD-029</x:v>
      </x:c>
      <x:c r="E388" t="str">
        <x:v>PASS</x:v>
      </x:c>
      <x:c r="F388" t="str">
        <x:f>'Drawing Register'!L35</x:f>
        <x:v>PASS</x:v>
      </x:c>
      <x:c r="G388" t="str">
        <x:f>IF(E388=F388,"PASS","FAIL")</x:f>
        <x:v>PASS</x:v>
      </x:c>
      <x:c r="H388" t="str">
        <x:f>G388</x:f>
        <x:v>PASS</x:v>
      </x:c>
    </x:row>
    <x:row r="389">
      <x:c r="B389" t="str">
        <x:v>A-DRW-30</x:v>
      </x:c>
      <x:c r="C389" t="str">
        <x:v>drawing</x:v>
      </x:c>
      <x:c r="D389" t="str">
        <x:v>SBD-030</x:v>
      </x:c>
      <x:c r="E389" t="str">
        <x:v>PASS</x:v>
      </x:c>
      <x:c r="F389" t="str">
        <x:f>'Drawing Register'!L36</x:f>
        <x:v>PASS</x:v>
      </x:c>
      <x:c r="G389" t="str">
        <x:f>IF(E389=F389,"PASS","FAIL")</x:f>
        <x:v>PASS</x:v>
      </x:c>
      <x:c r="H389" t="str">
        <x:f>G389</x:f>
        <x:v>PASS</x:v>
      </x:c>
    </x:row>
    <x:row r="390">
      <x:c r="B390" t="str">
        <x:v>A-DRW-31</x:v>
      </x:c>
      <x:c r="C390" t="str">
        <x:v>drawing</x:v>
      </x:c>
      <x:c r="D390" t="str">
        <x:v>SBD-031</x:v>
      </x:c>
      <x:c r="E390" t="str">
        <x:v>PASS</x:v>
      </x:c>
      <x:c r="F390" t="str">
        <x:f>'Drawing Register'!L37</x:f>
        <x:v>PASS</x:v>
      </x:c>
      <x:c r="G390" t="str">
        <x:f>IF(E390=F390,"PASS","FAIL")</x:f>
        <x:v>PASS</x:v>
      </x:c>
      <x:c r="H390" t="str">
        <x:f>G390</x:f>
        <x:v>PASS</x:v>
      </x:c>
    </x:row>
    <x:row r="391">
      <x:c r="B391" t="str">
        <x:v>A-DRW-32</x:v>
      </x:c>
      <x:c r="C391" t="str">
        <x:v>drawing</x:v>
      </x:c>
      <x:c r="D391" t="str">
        <x:v>SBD-032</x:v>
      </x:c>
      <x:c r="E391" t="str">
        <x:v>PASS</x:v>
      </x:c>
      <x:c r="F391" t="str">
        <x:f>'Drawing Register'!L38</x:f>
        <x:v>PASS</x:v>
      </x:c>
      <x:c r="G391" t="str">
        <x:f>IF(E391=F391,"PASS","FAIL")</x:f>
        <x:v>PASS</x:v>
      </x:c>
      <x:c r="H391" t="str">
        <x:f>G391</x:f>
        <x:v>PASS</x:v>
      </x:c>
    </x:row>
    <x:row r="392">
      <x:c r="B392" t="str">
        <x:v>A-DRW-33</x:v>
      </x:c>
      <x:c r="C392" t="str">
        <x:v>drawing</x:v>
      </x:c>
      <x:c r="D392" t="str">
        <x:v>SBD-033</x:v>
      </x:c>
      <x:c r="E392" t="str">
        <x:v>PASS</x:v>
      </x:c>
      <x:c r="F392" t="str">
        <x:f>'Drawing Register'!L39</x:f>
        <x:v>PASS</x:v>
      </x:c>
      <x:c r="G392" t="str">
        <x:f>IF(E392=F392,"PASS","FAIL")</x:f>
        <x:v>PASS</x:v>
      </x:c>
      <x:c r="H392" t="str">
        <x:f>G392</x:f>
        <x:v>PASS</x:v>
      </x:c>
    </x:row>
    <x:row r="393">
      <x:c r="B393" t="str">
        <x:v>A-DRW-34</x:v>
      </x:c>
      <x:c r="C393" t="str">
        <x:v>drawing</x:v>
      </x:c>
      <x:c r="D393" t="str">
        <x:v>SBD-034</x:v>
      </x:c>
      <x:c r="E393" t="str">
        <x:v>PASS</x:v>
      </x:c>
      <x:c r="F393" t="str">
        <x:f>'Drawing Register'!L40</x:f>
        <x:v>PASS</x:v>
      </x:c>
      <x:c r="G393" t="str">
        <x:f>IF(E393=F393,"PASS","FAIL")</x:f>
        <x:v>PASS</x:v>
      </x:c>
      <x:c r="H393" t="str">
        <x:f>G393</x:f>
        <x:v>PASS</x:v>
      </x:c>
    </x:row>
    <x:row r="394">
      <x:c r="B394" t="str">
        <x:v>A-DRW-35</x:v>
      </x:c>
      <x:c r="C394" t="str">
        <x:v>drawing</x:v>
      </x:c>
      <x:c r="D394" t="str">
        <x:v>SBD-035</x:v>
      </x:c>
      <x:c r="E394" t="str">
        <x:v>PASS</x:v>
      </x:c>
      <x:c r="F394" t="str">
        <x:f>'Drawing Register'!L41</x:f>
        <x:v>PASS</x:v>
      </x:c>
      <x:c r="G394" t="str">
        <x:f>IF(E394=F394,"PASS","FAIL")</x:f>
        <x:v>PASS</x:v>
      </x:c>
      <x:c r="H394" t="str">
        <x:f>G394</x:f>
        <x:v>PASS</x:v>
      </x:c>
    </x:row>
    <x:row r="395">
      <x:c r="B395" t="str">
        <x:v>A-DRW-36</x:v>
      </x:c>
      <x:c r="C395" t="str">
        <x:v>drawing</x:v>
      </x:c>
      <x:c r="D395" t="str">
        <x:v>SBD-036</x:v>
      </x:c>
      <x:c r="E395" t="str">
        <x:v>PASS</x:v>
      </x:c>
      <x:c r="F395" t="str">
        <x:f>'Drawing Register'!L42</x:f>
        <x:v>PASS</x:v>
      </x:c>
      <x:c r="G395" t="str">
        <x:f>IF(E395=F395,"PASS","FAIL")</x:f>
        <x:v>PASS</x:v>
      </x:c>
      <x:c r="H395" t="str">
        <x:f>G395</x:f>
        <x:v>PASS</x:v>
      </x:c>
    </x:row>
    <x:row r="396">
      <x:c r="B396" t="str">
        <x:v>A-DRW-37</x:v>
      </x:c>
      <x:c r="C396" t="str">
        <x:v>drawing</x:v>
      </x:c>
      <x:c r="D396" t="str">
        <x:v>SBD-037</x:v>
      </x:c>
      <x:c r="E396" t="str">
        <x:v>PASS</x:v>
      </x:c>
      <x:c r="F396" t="str">
        <x:f>'Drawing Register'!L43</x:f>
        <x:v>PASS</x:v>
      </x:c>
      <x:c r="G396" t="str">
        <x:f>IF(E396=F396,"PASS","FAIL")</x:f>
        <x:v>PASS</x:v>
      </x:c>
      <x:c r="H396" t="str">
        <x:f>G396</x:f>
        <x:v>PASS</x:v>
      </x:c>
    </x:row>
    <x:row r="397">
      <x:c r="B397" t="str">
        <x:v>A-DRW-38</x:v>
      </x:c>
      <x:c r="C397" t="str">
        <x:v>drawing</x:v>
      </x:c>
      <x:c r="D397" t="str">
        <x:v>SBD-038</x:v>
      </x:c>
      <x:c r="E397" t="str">
        <x:v>PASS</x:v>
      </x:c>
      <x:c r="F397" t="str">
        <x:f>'Drawing Register'!L44</x:f>
        <x:v>PASS</x:v>
      </x:c>
      <x:c r="G397" t="str">
        <x:f>IF(E397=F397,"PASS","FAIL")</x:f>
        <x:v>PASS</x:v>
      </x:c>
      <x:c r="H397" t="str">
        <x:f>G397</x:f>
        <x:v>PASS</x:v>
      </x:c>
    </x:row>
    <x:row r="398">
      <x:c r="B398" t="str">
        <x:v>A-DRW-39</x:v>
      </x:c>
      <x:c r="C398" t="str">
        <x:v>drawing</x:v>
      </x:c>
      <x:c r="D398" t="str">
        <x:v>SBD-039</x:v>
      </x:c>
      <x:c r="E398" t="str">
        <x:v>PASS</x:v>
      </x:c>
      <x:c r="F398" t="str">
        <x:f>'Drawing Register'!L45</x:f>
        <x:v>PASS</x:v>
      </x:c>
      <x:c r="G398" t="str">
        <x:f>IF(E398=F398,"PASS","FAIL")</x:f>
        <x:v>PASS</x:v>
      </x:c>
      <x:c r="H398" t="str">
        <x:f>G398</x:f>
        <x:v>PASS</x:v>
      </x:c>
    </x:row>
    <x:row r="399">
      <x:c r="B399" t="str">
        <x:v>A-DRW-40</x:v>
      </x:c>
      <x:c r="C399" t="str">
        <x:v>drawing</x:v>
      </x:c>
      <x:c r="D399" t="str">
        <x:v>SBD-040</x:v>
      </x:c>
      <x:c r="E399" t="str">
        <x:v>PASS</x:v>
      </x:c>
      <x:c r="F399" t="str">
        <x:f>'Drawing Register'!L46</x:f>
        <x:v>PASS</x:v>
      </x:c>
      <x:c r="G399" t="str">
        <x:f>IF(E399=F399,"PASS","FAIL")</x:f>
        <x:v>PASS</x:v>
      </x:c>
      <x:c r="H399" t="str">
        <x:f>G399</x:f>
        <x:v>PASS</x:v>
      </x:c>
    </x:row>
    <x:row r="400">
      <x:c r="B400" t="str">
        <x:v>A-DRW-41</x:v>
      </x:c>
      <x:c r="C400" t="str">
        <x:v>drawing</x:v>
      </x:c>
      <x:c r="D400" t="str">
        <x:v>SBD-041</x:v>
      </x:c>
      <x:c r="E400" t="str">
        <x:v>PASS</x:v>
      </x:c>
      <x:c r="F400" t="str">
        <x:f>'Drawing Register'!L47</x:f>
        <x:v>PASS</x:v>
      </x:c>
      <x:c r="G400" t="str">
        <x:f>IF(E400=F400,"PASS","FAIL")</x:f>
        <x:v>PASS</x:v>
      </x:c>
      <x:c r="H400" t="str">
        <x:f>G400</x:f>
        <x:v>PASS</x:v>
      </x:c>
    </x:row>
    <x:row r="401">
      <x:c r="B401" t="str">
        <x:v>A-DRW-42</x:v>
      </x:c>
      <x:c r="C401" t="str">
        <x:v>drawing</x:v>
      </x:c>
      <x:c r="D401" t="str">
        <x:v>SBD-042</x:v>
      </x:c>
      <x:c r="E401" t="str">
        <x:v>PASS</x:v>
      </x:c>
      <x:c r="F401" t="str">
        <x:f>'Drawing Register'!L48</x:f>
        <x:v>PASS</x:v>
      </x:c>
      <x:c r="G401" t="str">
        <x:f>IF(E401=F401,"PASS","FAIL")</x:f>
        <x:v>PASS</x:v>
      </x:c>
      <x:c r="H401" t="str">
        <x:f>G401</x:f>
        <x:v>PASS</x:v>
      </x:c>
    </x:row>
    <x:row r="402">
      <x:c r="B402" t="str">
        <x:v>A-DRW-43</x:v>
      </x:c>
      <x:c r="C402" t="str">
        <x:v>drawing</x:v>
      </x:c>
      <x:c r="D402" t="str">
        <x:v>SBD-043</x:v>
      </x:c>
      <x:c r="E402" t="str">
        <x:v>PASS</x:v>
      </x:c>
      <x:c r="F402" t="str">
        <x:f>'Drawing Register'!L49</x:f>
        <x:v>PASS</x:v>
      </x:c>
      <x:c r="G402" t="str">
        <x:f>IF(E402=F402,"PASS","FAIL")</x:f>
        <x:v>PASS</x:v>
      </x:c>
      <x:c r="H402" t="str">
        <x:f>G402</x:f>
        <x:v>PASS</x:v>
      </x:c>
    </x:row>
    <x:row r="403">
      <x:c r="B403" t="str">
        <x:v>A-DRW-44</x:v>
      </x:c>
      <x:c r="C403" t="str">
        <x:v>drawing</x:v>
      </x:c>
      <x:c r="D403" t="str">
        <x:v>SBD-044</x:v>
      </x:c>
      <x:c r="E403" t="str">
        <x:v>PASS</x:v>
      </x:c>
      <x:c r="F403" t="str">
        <x:f>'Drawing Register'!L50</x:f>
        <x:v>PASS</x:v>
      </x:c>
      <x:c r="G403" t="str">
        <x:f>IF(E403=F403,"PASS","FAIL")</x:f>
        <x:v>PASS</x:v>
      </x:c>
      <x:c r="H403" t="str">
        <x:f>G403</x:f>
        <x:v>PASS</x:v>
      </x:c>
    </x:row>
    <x:row r="404">
      <x:c r="B404" t="str">
        <x:v>A-DRW-45</x:v>
      </x:c>
      <x:c r="C404" t="str">
        <x:v>drawing</x:v>
      </x:c>
      <x:c r="D404" t="str">
        <x:v>SBD-045</x:v>
      </x:c>
      <x:c r="E404" t="str">
        <x:v>PASS</x:v>
      </x:c>
      <x:c r="F404" t="str">
        <x:f>'Drawing Register'!L51</x:f>
        <x:v>PASS</x:v>
      </x:c>
      <x:c r="G404" t="str">
        <x:f>IF(E404=F404,"PASS","FAIL")</x:f>
        <x:v>PASS</x:v>
      </x:c>
      <x:c r="H404" t="str">
        <x:f>G404</x:f>
        <x:v>PASS</x:v>
      </x:c>
    </x:row>
    <x:row r="405">
      <x:c r="B405" t="str">
        <x:v>A-DRW-46</x:v>
      </x:c>
      <x:c r="C405" t="str">
        <x:v>drawing</x:v>
      </x:c>
      <x:c r="D405" t="str">
        <x:v>SBD-046</x:v>
      </x:c>
      <x:c r="E405" t="str">
        <x:v>PASS</x:v>
      </x:c>
      <x:c r="F405" t="str">
        <x:f>'Drawing Register'!L52</x:f>
        <x:v>PASS</x:v>
      </x:c>
      <x:c r="G405" t="str">
        <x:f>IF(E405=F405,"PASS","FAIL")</x:f>
        <x:v>PASS</x:v>
      </x:c>
      <x:c r="H405" t="str">
        <x:f>G405</x:f>
        <x:v>PASS</x:v>
      </x:c>
    </x:row>
    <x:row r="406">
      <x:c r="B406" t="str">
        <x:v>A-DRW-47</x:v>
      </x:c>
      <x:c r="C406" t="str">
        <x:v>drawing</x:v>
      </x:c>
      <x:c r="D406" t="str">
        <x:v>SBD-047</x:v>
      </x:c>
      <x:c r="E406" t="str">
        <x:v>PASS</x:v>
      </x:c>
      <x:c r="F406" t="str">
        <x:f>'Drawing Register'!L53</x:f>
        <x:v>PASS</x:v>
      </x:c>
      <x:c r="G406" t="str">
        <x:f>IF(E406=F406,"PASS","FAIL")</x:f>
        <x:v>PASS</x:v>
      </x:c>
      <x:c r="H406" t="str">
        <x:f>G406</x:f>
        <x:v>PASS</x:v>
      </x:c>
    </x:row>
    <x:row r="407">
      <x:c r="B407" t="str">
        <x:v>A-DRW-48</x:v>
      </x:c>
      <x:c r="C407" t="str">
        <x:v>drawing</x:v>
      </x:c>
      <x:c r="D407" t="str">
        <x:v>SBD-048</x:v>
      </x:c>
      <x:c r="E407" t="str">
        <x:v>PASS</x:v>
      </x:c>
      <x:c r="F407" t="str">
        <x:f>'Drawing Register'!L54</x:f>
        <x:v>PASS</x:v>
      </x:c>
      <x:c r="G407" t="str">
        <x:f>IF(E407=F407,"PASS","FAIL")</x:f>
        <x:v>PASS</x:v>
      </x:c>
      <x:c r="H407" t="str">
        <x:f>G407</x:f>
        <x:v>PASS</x:v>
      </x:c>
    </x:row>
    <x:row r="408">
      <x:c r="B408" t="str">
        <x:v>A-DRW-49</x:v>
      </x:c>
      <x:c r="C408" t="str">
        <x:v>drawing</x:v>
      </x:c>
      <x:c r="D408" t="str">
        <x:v>SBD-049</x:v>
      </x:c>
      <x:c r="E408" t="str">
        <x:v>PASS</x:v>
      </x:c>
      <x:c r="F408" t="str">
        <x:f>'Drawing Register'!L55</x:f>
        <x:v>PASS</x:v>
      </x:c>
      <x:c r="G408" t="str">
        <x:f>IF(E408=F408,"PASS","FAIL")</x:f>
        <x:v>PASS</x:v>
      </x:c>
      <x:c r="H408" t="str">
        <x:f>G408</x:f>
        <x:v>PASS</x:v>
      </x:c>
    </x:row>
    <x:row r="409">
      <x:c r="B409" t="str">
        <x:v>A-DRW-50</x:v>
      </x:c>
      <x:c r="C409" t="str">
        <x:v>drawing</x:v>
      </x:c>
      <x:c r="D409" t="str">
        <x:v>SBD-050</x:v>
      </x:c>
      <x:c r="E409" t="str">
        <x:v>PASS</x:v>
      </x:c>
      <x:c r="F409" t="str">
        <x:f>'Drawing Register'!L56</x:f>
        <x:v>PASS</x:v>
      </x:c>
      <x:c r="G409" t="str">
        <x:f>IF(E409=F409,"PASS","FAIL")</x:f>
        <x:v>PASS</x:v>
      </x:c>
      <x:c r="H409" t="str">
        <x:f>G409</x:f>
        <x:v>PASS</x:v>
      </x:c>
    </x:row>
    <x:row r="410">
      <x:c r="B410" t="str">
        <x:v>A-DRW-51</x:v>
      </x:c>
      <x:c r="C410" t="str">
        <x:v>drawing</x:v>
      </x:c>
      <x:c r="D410" t="str">
        <x:v>SBD-051</x:v>
      </x:c>
      <x:c r="E410" t="str">
        <x:v>PASS</x:v>
      </x:c>
      <x:c r="F410" t="str">
        <x:f>'Drawing Register'!L57</x:f>
        <x:v>PASS</x:v>
      </x:c>
      <x:c r="G410" t="str">
        <x:f>IF(E410=F410,"PASS","FAIL")</x:f>
        <x:v>PASS</x:v>
      </x:c>
      <x:c r="H410" t="str">
        <x:f>G410</x:f>
        <x:v>PASS</x:v>
      </x:c>
    </x:row>
    <x:row r="411">
      <x:c r="B411" t="str">
        <x:v>A-DRW-52</x:v>
      </x:c>
      <x:c r="C411" t="str">
        <x:v>drawing</x:v>
      </x:c>
      <x:c r="D411" t="str">
        <x:v>SBD-052</x:v>
      </x:c>
      <x:c r="E411" t="str">
        <x:v>PASS</x:v>
      </x:c>
      <x:c r="F411" t="str">
        <x:f>'Drawing Register'!L58</x:f>
        <x:v>PASS</x:v>
      </x:c>
      <x:c r="G411" t="str">
        <x:f>IF(E411=F411,"PASS","FAIL")</x:f>
        <x:v>PASS</x:v>
      </x:c>
      <x:c r="H411" t="str">
        <x:f>G411</x:f>
        <x:v>PASS</x:v>
      </x:c>
    </x:row>
    <x:row r="412">
      <x:c r="B412" t="str">
        <x:v>A-DRW-53</x:v>
      </x:c>
      <x:c r="C412" t="str">
        <x:v>drawing</x:v>
      </x:c>
      <x:c r="D412" t="str">
        <x:v>SBD-053</x:v>
      </x:c>
      <x:c r="E412" t="str">
        <x:v>PASS</x:v>
      </x:c>
      <x:c r="F412" t="str">
        <x:f>'Drawing Register'!L59</x:f>
        <x:v>PASS</x:v>
      </x:c>
      <x:c r="G412" t="str">
        <x:f>IF(E412=F412,"PASS","FAIL")</x:f>
        <x:v>PASS</x:v>
      </x:c>
      <x:c r="H412" t="str">
        <x:f>G412</x:f>
        <x:v>PASS</x:v>
      </x:c>
    </x:row>
    <x:row r="413">
      <x:c r="B413" t="str">
        <x:v>A-DRW-54</x:v>
      </x:c>
      <x:c r="C413" t="str">
        <x:v>drawing</x:v>
      </x:c>
      <x:c r="D413" t="str">
        <x:v>SBD-054</x:v>
      </x:c>
      <x:c r="E413" t="str">
        <x:v>PASS</x:v>
      </x:c>
      <x:c r="F413" t="str">
        <x:f>'Drawing Register'!L60</x:f>
        <x:v>PASS</x:v>
      </x:c>
      <x:c r="G413" t="str">
        <x:f>IF(E413=F413,"PASS","FAIL")</x:f>
        <x:v>PASS</x:v>
      </x:c>
      <x:c r="H413" t="str">
        <x:f>G413</x:f>
        <x:v>PASS</x:v>
      </x:c>
    </x:row>
    <x:row r="414">
      <x:c r="B414" t="str">
        <x:v>A-DRW-55</x:v>
      </x:c>
      <x:c r="C414" t="str">
        <x:v>drawing</x:v>
      </x:c>
      <x:c r="D414" t="str">
        <x:v>SBD-055</x:v>
      </x:c>
      <x:c r="E414" t="str">
        <x:v>PASS</x:v>
      </x:c>
      <x:c r="F414" t="str">
        <x:f>'Drawing Register'!L61</x:f>
        <x:v>PASS</x:v>
      </x:c>
      <x:c r="G414" t="str">
        <x:f>IF(E414=F414,"PASS","FAIL")</x:f>
        <x:v>PASS</x:v>
      </x:c>
      <x:c r="H414" t="str">
        <x:f>G414</x:f>
        <x:v>PASS</x:v>
      </x:c>
    </x:row>
    <x:row r="415">
      <x:c r="B415" t="str">
        <x:v>A-DRW-56</x:v>
      </x:c>
      <x:c r="C415" t="str">
        <x:v>drawing</x:v>
      </x:c>
      <x:c r="D415" t="str">
        <x:v>SBD-056</x:v>
      </x:c>
      <x:c r="E415" t="str">
        <x:v>PASS</x:v>
      </x:c>
      <x:c r="F415" t="str">
        <x:f>'Drawing Register'!L62</x:f>
        <x:v>PASS</x:v>
      </x:c>
      <x:c r="G415" t="str">
        <x:f>IF(E415=F415,"PASS","FAIL")</x:f>
        <x:v>PASS</x:v>
      </x:c>
      <x:c r="H415" t="str">
        <x:f>G415</x:f>
        <x:v>PASS</x:v>
      </x:c>
    </x:row>
    <x:row r="416">
      <x:c r="B416" t="str">
        <x:v>A-DRW-57</x:v>
      </x:c>
      <x:c r="C416" t="str">
        <x:v>drawing</x:v>
      </x:c>
      <x:c r="D416" t="str">
        <x:v>SBD-057</x:v>
      </x:c>
      <x:c r="E416" t="str">
        <x:v>PASS</x:v>
      </x:c>
      <x:c r="F416" t="str">
        <x:f>'Drawing Register'!L63</x:f>
        <x:v>PASS</x:v>
      </x:c>
      <x:c r="G416" t="str">
        <x:f>IF(E416=F416,"PASS","FAIL")</x:f>
        <x:v>PASS</x:v>
      </x:c>
      <x:c r="H416" t="str">
        <x:f>G416</x:f>
        <x:v>PASS</x:v>
      </x:c>
    </x:row>
    <x:row r="417">
      <x:c r="B417" t="str">
        <x:v>A-DRW-58</x:v>
      </x:c>
      <x:c r="C417" t="str">
        <x:v>drawing</x:v>
      </x:c>
      <x:c r="D417" t="str">
        <x:v>SBD-058</x:v>
      </x:c>
      <x:c r="E417" t="str">
        <x:v>PASS</x:v>
      </x:c>
      <x:c r="F417" t="str">
        <x:f>'Drawing Register'!L64</x:f>
        <x:v>PASS</x:v>
      </x:c>
      <x:c r="G417" t="str">
        <x:f>IF(E417=F417,"PASS","FAIL")</x:f>
        <x:v>PASS</x:v>
      </x:c>
      <x:c r="H417" t="str">
        <x:f>G417</x:f>
        <x:v>PASS</x:v>
      </x:c>
    </x:row>
    <x:row r="418">
      <x:c r="B418" t="str">
        <x:v>A-DRW-59</x:v>
      </x:c>
      <x:c r="C418" t="str">
        <x:v>drawing</x:v>
      </x:c>
      <x:c r="D418" t="str">
        <x:v>SBD-059</x:v>
      </x:c>
      <x:c r="E418" t="str">
        <x:v>PASS</x:v>
      </x:c>
      <x:c r="F418" t="str">
        <x:f>'Drawing Register'!L65</x:f>
        <x:v>PASS</x:v>
      </x:c>
      <x:c r="G418" t="str">
        <x:f>IF(E418=F418,"PASS","FAIL")</x:f>
        <x:v>PASS</x:v>
      </x:c>
      <x:c r="H418" t="str">
        <x:f>G418</x:f>
        <x:v>PASS</x:v>
      </x:c>
    </x:row>
    <x:row r="419">
      <x:c r="B419" t="str">
        <x:v>A-DRW-60</x:v>
      </x:c>
      <x:c r="C419" t="str">
        <x:v>drawing</x:v>
      </x:c>
      <x:c r="D419" t="str">
        <x:v>SBD-060</x:v>
      </x:c>
      <x:c r="E419" t="str">
        <x:v>PASS</x:v>
      </x:c>
      <x:c r="F419" t="str">
        <x:f>'Drawing Register'!L66</x:f>
        <x:v>PASS</x:v>
      </x:c>
      <x:c r="G419" t="str">
        <x:f>IF(E419=F419,"PASS","FAIL")</x:f>
        <x:v>PASS</x:v>
      </x:c>
      <x:c r="H419" t="str">
        <x:f>G419</x:f>
        <x:v>PASS</x:v>
      </x:c>
    </x:row>
    <x:row r="420">
      <x:c r="B420" t="str">
        <x:v>A-DRW-61</x:v>
      </x:c>
      <x:c r="C420" t="str">
        <x:v>drawing</x:v>
      </x:c>
      <x:c r="D420" t="str">
        <x:v>SBD-061</x:v>
      </x:c>
      <x:c r="E420" t="str">
        <x:v>PASS</x:v>
      </x:c>
      <x:c r="F420" t="str">
        <x:f>'Drawing Register'!L67</x:f>
        <x:v>PASS</x:v>
      </x:c>
      <x:c r="G420" t="str">
        <x:f>IF(E420=F420,"PASS","FAIL")</x:f>
        <x:v>PASS</x:v>
      </x:c>
      <x:c r="H420" t="str">
        <x:f>G420</x:f>
        <x:v>PASS</x:v>
      </x:c>
    </x:row>
    <x:row r="421">
      <x:c r="B421" t="str">
        <x:v>A-DRW-62</x:v>
      </x:c>
      <x:c r="C421" t="str">
        <x:v>drawing</x:v>
      </x:c>
      <x:c r="D421" t="str">
        <x:v>SBD-062</x:v>
      </x:c>
      <x:c r="E421" t="str">
        <x:v>PASS</x:v>
      </x:c>
      <x:c r="F421" t="str">
        <x:f>'Drawing Register'!L68</x:f>
        <x:v>PASS</x:v>
      </x:c>
      <x:c r="G421" t="str">
        <x:f>IF(E421=F421,"PASS","FAIL")</x:f>
        <x:v>PASS</x:v>
      </x:c>
      <x:c r="H421" t="str">
        <x:f>G421</x:f>
        <x:v>PASS</x:v>
      </x:c>
    </x:row>
    <x:row r="422">
      <x:c r="B422" t="str">
        <x:v>A-DRW-63</x:v>
      </x:c>
      <x:c r="C422" t="str">
        <x:v>drawing</x:v>
      </x:c>
      <x:c r="D422" t="str">
        <x:v>SBD-063</x:v>
      </x:c>
      <x:c r="E422" t="str">
        <x:v>PASS</x:v>
      </x:c>
      <x:c r="F422" t="str">
        <x:f>'Drawing Register'!L69</x:f>
        <x:v>PASS</x:v>
      </x:c>
      <x:c r="G422" t="str">
        <x:f>IF(E422=F422,"PASS","FAIL")</x:f>
        <x:v>PASS</x:v>
      </x:c>
      <x:c r="H422" t="str">
        <x:f>G422</x:f>
        <x:v>PASS</x:v>
      </x:c>
    </x:row>
    <x:row r="423">
      <x:c r="B423" t="str">
        <x:v>A-DRW-64</x:v>
      </x:c>
      <x:c r="C423" t="str">
        <x:v>drawing</x:v>
      </x:c>
      <x:c r="D423" t="str">
        <x:v>SBD-064</x:v>
      </x:c>
      <x:c r="E423" t="str">
        <x:v>PASS</x:v>
      </x:c>
      <x:c r="F423" t="str">
        <x:f>'Drawing Register'!L70</x:f>
        <x:v>PASS</x:v>
      </x:c>
      <x:c r="G423" t="str">
        <x:f>IF(E423=F423,"PASS","FAIL")</x:f>
        <x:v>PASS</x:v>
      </x:c>
      <x:c r="H423" t="str">
        <x:f>G423</x:f>
        <x:v>PASS</x:v>
      </x:c>
    </x:row>
    <x:row r="424">
      <x:c r="B424" t="str">
        <x:v>A-NCP-001</x:v>
      </x:c>
      <x:c r="C424" t="str">
        <x:v>path</x:v>
      </x:c>
      <x:c r="D424" t="str">
        <x:v>NCP-001</x:v>
      </x:c>
      <x:c r="E424" t="str">
        <x:v>PASS</x:v>
      </x:c>
      <x:c r="F424" t="str">
        <x:f>'No Common Path'!L7</x:f>
        <x:v>PASS</x:v>
      </x:c>
      <x:c r="G424" t="str">
        <x:f>IF(E424=F424,"PASS","FAIL")</x:f>
        <x:v>PASS</x:v>
      </x:c>
      <x:c r="H424" t="str">
        <x:f>G424</x:f>
        <x:v>PASS</x:v>
      </x:c>
    </x:row>
    <x:row r="425">
      <x:c r="B425" t="str">
        <x:v>A-NCP-002</x:v>
      </x:c>
      <x:c r="C425" t="str">
        <x:v>path</x:v>
      </x:c>
      <x:c r="D425" t="str">
        <x:v>NCP-002</x:v>
      </x:c>
      <x:c r="E425" t="str">
        <x:v>PASS</x:v>
      </x:c>
      <x:c r="F425" t="str">
        <x:f>'No Common Path'!L8</x:f>
        <x:v>PASS</x:v>
      </x:c>
      <x:c r="G425" t="str">
        <x:f>IF(E425=F425,"PASS","FAIL")</x:f>
        <x:v>PASS</x:v>
      </x:c>
      <x:c r="H425" t="str">
        <x:f>G425</x:f>
        <x:v>PASS</x:v>
      </x:c>
    </x:row>
    <x:row r="426">
      <x:c r="B426" t="str">
        <x:v>A-NCP-003</x:v>
      </x:c>
      <x:c r="C426" t="str">
        <x:v>path</x:v>
      </x:c>
      <x:c r="D426" t="str">
        <x:v>NCP-003</x:v>
      </x:c>
      <x:c r="E426" t="str">
        <x:v>PASS</x:v>
      </x:c>
      <x:c r="F426" t="str">
        <x:f>'No Common Path'!L9</x:f>
        <x:v>PASS</x:v>
      </x:c>
      <x:c r="G426" t="str">
        <x:f>IF(E426=F426,"PASS","FAIL")</x:f>
        <x:v>PASS</x:v>
      </x:c>
      <x:c r="H426" t="str">
        <x:f>G426</x:f>
        <x:v>PASS</x:v>
      </x:c>
    </x:row>
    <x:row r="427">
      <x:c r="B427" t="str">
        <x:v>A-NCP-004</x:v>
      </x:c>
      <x:c r="C427" t="str">
        <x:v>path</x:v>
      </x:c>
      <x:c r="D427" t="str">
        <x:v>NCP-004</x:v>
      </x:c>
      <x:c r="E427" t="str">
        <x:v>PASS</x:v>
      </x:c>
      <x:c r="F427" t="str">
        <x:f>'No Common Path'!L10</x:f>
        <x:v>PASS</x:v>
      </x:c>
      <x:c r="G427" t="str">
        <x:f>IF(E427=F427,"PASS","FAIL")</x:f>
        <x:v>PASS</x:v>
      </x:c>
      <x:c r="H427" t="str">
        <x:f>G427</x:f>
        <x:v>PASS</x:v>
      </x:c>
    </x:row>
    <x:row r="428">
      <x:c r="B428" t="str">
        <x:v>A-NCP-005</x:v>
      </x:c>
      <x:c r="C428" t="str">
        <x:v>path</x:v>
      </x:c>
      <x:c r="D428" t="str">
        <x:v>NCP-005</x:v>
      </x:c>
      <x:c r="E428" t="str">
        <x:v>PASS</x:v>
      </x:c>
      <x:c r="F428" t="str">
        <x:f>'No Common Path'!L11</x:f>
        <x:v>PASS</x:v>
      </x:c>
      <x:c r="G428" t="str">
        <x:f>IF(E428=F428,"PASS","FAIL")</x:f>
        <x:v>PASS</x:v>
      </x:c>
      <x:c r="H428" t="str">
        <x:f>G428</x:f>
        <x:v>PASS</x:v>
      </x:c>
    </x:row>
    <x:row r="429">
      <x:c r="B429" t="str">
        <x:v>A-NCP-006</x:v>
      </x:c>
      <x:c r="C429" t="str">
        <x:v>path</x:v>
      </x:c>
      <x:c r="D429" t="str">
        <x:v>NCP-006</x:v>
      </x:c>
      <x:c r="E429" t="str">
        <x:v>PASS</x:v>
      </x:c>
      <x:c r="F429" t="str">
        <x:f>'No Common Path'!L12</x:f>
        <x:v>PASS</x:v>
      </x:c>
      <x:c r="G429" t="str">
        <x:f>IF(E429=F429,"PASS","FAIL")</x:f>
        <x:v>PASS</x:v>
      </x:c>
      <x:c r="H429" t="str">
        <x:f>G429</x:f>
        <x:v>PASS</x:v>
      </x:c>
    </x:row>
    <x:row r="430">
      <x:c r="B430" t="str">
        <x:v>A-NCP-007</x:v>
      </x:c>
      <x:c r="C430" t="str">
        <x:v>path</x:v>
      </x:c>
      <x:c r="D430" t="str">
        <x:v>NCP-007</x:v>
      </x:c>
      <x:c r="E430" t="str">
        <x:v>PASS</x:v>
      </x:c>
      <x:c r="F430" t="str">
        <x:f>'No Common Path'!L13</x:f>
        <x:v>PASS</x:v>
      </x:c>
      <x:c r="G430" t="str">
        <x:f>IF(E430=F430,"PASS","FAIL")</x:f>
        <x:v>PASS</x:v>
      </x:c>
      <x:c r="H430" t="str">
        <x:f>G430</x:f>
        <x:v>PASS</x:v>
      </x:c>
    </x:row>
    <x:row r="431">
      <x:c r="B431" t="str">
        <x:v>A-NCP-008</x:v>
      </x:c>
      <x:c r="C431" t="str">
        <x:v>path</x:v>
      </x:c>
      <x:c r="D431" t="str">
        <x:v>NCP-008</x:v>
      </x:c>
      <x:c r="E431" t="str">
        <x:v>PASS</x:v>
      </x:c>
      <x:c r="F431" t="str">
        <x:f>'No Common Path'!L14</x:f>
        <x:v>PASS</x:v>
      </x:c>
      <x:c r="G431" t="str">
        <x:f>IF(E431=F431,"PASS","FAIL")</x:f>
        <x:v>PASS</x:v>
      </x:c>
      <x:c r="H431" t="str">
        <x:f>G431</x:f>
        <x:v>PASS</x:v>
      </x:c>
    </x:row>
    <x:row r="432">
      <x:c r="B432" t="str">
        <x:v>A-NCP-009</x:v>
      </x:c>
      <x:c r="C432" t="str">
        <x:v>path</x:v>
      </x:c>
      <x:c r="D432" t="str">
        <x:v>NCP-009</x:v>
      </x:c>
      <x:c r="E432" t="str">
        <x:v>PASS</x:v>
      </x:c>
      <x:c r="F432" t="str">
        <x:f>'No Common Path'!L15</x:f>
        <x:v>PASS</x:v>
      </x:c>
      <x:c r="G432" t="str">
        <x:f>IF(E432=F432,"PASS","FAIL")</x:f>
        <x:v>PASS</x:v>
      </x:c>
      <x:c r="H432" t="str">
        <x:f>G432</x:f>
        <x:v>PASS</x:v>
      </x:c>
    </x:row>
    <x:row r="433">
      <x:c r="B433" t="str">
        <x:v>A-NCP-010</x:v>
      </x:c>
      <x:c r="C433" t="str">
        <x:v>path</x:v>
      </x:c>
      <x:c r="D433" t="str">
        <x:v>NCP-010</x:v>
      </x:c>
      <x:c r="E433" t="str">
        <x:v>PASS</x:v>
      </x:c>
      <x:c r="F433" t="str">
        <x:f>'No Common Path'!L16</x:f>
        <x:v>PASS</x:v>
      </x:c>
      <x:c r="G433" t="str">
        <x:f>IF(E433=F433,"PASS","FAIL")</x:f>
        <x:v>PASS</x:v>
      </x:c>
      <x:c r="H433" t="str">
        <x:f>G433</x:f>
        <x:v>PASS</x:v>
      </x:c>
    </x:row>
    <x:row r="434">
      <x:c r="B434" t="str">
        <x:v>A-NCP-011</x:v>
      </x:c>
      <x:c r="C434" t="str">
        <x:v>path</x:v>
      </x:c>
      <x:c r="D434" t="str">
        <x:v>NCP-011</x:v>
      </x:c>
      <x:c r="E434" t="str">
        <x:v>PASS</x:v>
      </x:c>
      <x:c r="F434" t="str">
        <x:f>'No Common Path'!L17</x:f>
        <x:v>PASS</x:v>
      </x:c>
      <x:c r="G434" t="str">
        <x:f>IF(E434=F434,"PASS","FAIL")</x:f>
        <x:v>PASS</x:v>
      </x:c>
      <x:c r="H434" t="str">
        <x:f>G434</x:f>
        <x:v>PASS</x:v>
      </x:c>
    </x:row>
    <x:row r="435">
      <x:c r="B435" t="str">
        <x:v>A-NCP-012</x:v>
      </x:c>
      <x:c r="C435" t="str">
        <x:v>path</x:v>
      </x:c>
      <x:c r="D435" t="str">
        <x:v>NCP-012</x:v>
      </x:c>
      <x:c r="E435" t="str">
        <x:v>PASS</x:v>
      </x:c>
      <x:c r="F435" t="str">
        <x:f>'No Common Path'!L18</x:f>
        <x:v>PASS</x:v>
      </x:c>
      <x:c r="G435" t="str">
        <x:f>IF(E435=F435,"PASS","FAIL")</x:f>
        <x:v>PASS</x:v>
      </x:c>
      <x:c r="H435" t="str">
        <x:f>G435</x:f>
        <x:v>PASS</x:v>
      </x:c>
    </x:row>
    <x:row r="436">
      <x:c r="B436" t="str">
        <x:v>A-NCP-013</x:v>
      </x:c>
      <x:c r="C436" t="str">
        <x:v>path</x:v>
      </x:c>
      <x:c r="D436" t="str">
        <x:v>NCP-013</x:v>
      </x:c>
      <x:c r="E436" t="str">
        <x:v>PASS</x:v>
      </x:c>
      <x:c r="F436" t="str">
        <x:f>'No Common Path'!L19</x:f>
        <x:v>PASS</x:v>
      </x:c>
      <x:c r="G436" t="str">
        <x:f>IF(E436=F436,"PASS","FAIL")</x:f>
        <x:v>PASS</x:v>
      </x:c>
      <x:c r="H436" t="str">
        <x:f>G436</x:f>
        <x:v>PASS</x:v>
      </x:c>
    </x:row>
    <x:row r="437">
      <x:c r="B437" t="str">
        <x:v>A-NCP-014</x:v>
      </x:c>
      <x:c r="C437" t="str">
        <x:v>path</x:v>
      </x:c>
      <x:c r="D437" t="str">
        <x:v>NCP-014</x:v>
      </x:c>
      <x:c r="E437" t="str">
        <x:v>PASS</x:v>
      </x:c>
      <x:c r="F437" t="str">
        <x:f>'No Common Path'!L20</x:f>
        <x:v>PASS</x:v>
      </x:c>
      <x:c r="G437" t="str">
        <x:f>IF(E437=F437,"PASS","FAIL")</x:f>
        <x:v>PASS</x:v>
      </x:c>
      <x:c r="H437" t="str">
        <x:f>G437</x:f>
        <x:v>PASS</x:v>
      </x:c>
    </x:row>
    <x:row r="438">
      <x:c r="B438" t="str">
        <x:v>A-NCP-015</x:v>
      </x:c>
      <x:c r="C438" t="str">
        <x:v>path</x:v>
      </x:c>
      <x:c r="D438" t="str">
        <x:v>NCP-015</x:v>
      </x:c>
      <x:c r="E438" t="str">
        <x:v>PASS</x:v>
      </x:c>
      <x:c r="F438" t="str">
        <x:f>'No Common Path'!L21</x:f>
        <x:v>PASS</x:v>
      </x:c>
      <x:c r="G438" t="str">
        <x:f>IF(E438=F438,"PASS","FAIL")</x:f>
        <x:v>PASS</x:v>
      </x:c>
      <x:c r="H438" t="str">
        <x:f>G438</x:f>
        <x:v>PASS</x:v>
      </x:c>
    </x:row>
    <x:row r="439">
      <x:c r="B439" t="str">
        <x:v>A-NCP-016</x:v>
      </x:c>
      <x:c r="C439" t="str">
        <x:v>path</x:v>
      </x:c>
      <x:c r="D439" t="str">
        <x:v>NCP-016</x:v>
      </x:c>
      <x:c r="E439" t="str">
        <x:v>PASS</x:v>
      </x:c>
      <x:c r="F439" t="str">
        <x:f>'No Common Path'!L22</x:f>
        <x:v>PASS</x:v>
      </x:c>
      <x:c r="G439" t="str">
        <x:f>IF(E439=F439,"PASS","FAIL")</x:f>
        <x:v>PASS</x:v>
      </x:c>
      <x:c r="H439" t="str">
        <x:f>G439</x:f>
        <x:v>PASS</x:v>
      </x:c>
    </x:row>
    <x:row r="440">
      <x:c r="B440" t="str">
        <x:v>A-NCP-017</x:v>
      </x:c>
      <x:c r="C440" t="str">
        <x:v>path</x:v>
      </x:c>
      <x:c r="D440" t="str">
        <x:v>NCP-017</x:v>
      </x:c>
      <x:c r="E440" t="str">
        <x:v>PASS</x:v>
      </x:c>
      <x:c r="F440" t="str">
        <x:f>'No Common Path'!L23</x:f>
        <x:v>PASS</x:v>
      </x:c>
      <x:c r="G440" t="str">
        <x:f>IF(E440=F440,"PASS","FAIL")</x:f>
        <x:v>PASS</x:v>
      </x:c>
      <x:c r="H440" t="str">
        <x:f>G440</x:f>
        <x:v>PASS</x:v>
      </x:c>
    </x:row>
    <x:row r="441">
      <x:c r="B441" t="str">
        <x:v>A-NCP-018</x:v>
      </x:c>
      <x:c r="C441" t="str">
        <x:v>path</x:v>
      </x:c>
      <x:c r="D441" t="str">
        <x:v>NCP-018</x:v>
      </x:c>
      <x:c r="E441" t="str">
        <x:v>PASS</x:v>
      </x:c>
      <x:c r="F441" t="str">
        <x:f>'No Common Path'!L24</x:f>
        <x:v>PASS</x:v>
      </x:c>
      <x:c r="G441" t="str">
        <x:f>IF(E441=F441,"PASS","FAIL")</x:f>
        <x:v>PASS</x:v>
      </x:c>
      <x:c r="H441" t="str">
        <x:f>G441</x:f>
        <x:v>PASS</x:v>
      </x:c>
    </x:row>
    <x:row r="442">
      <x:c r="B442" t="str">
        <x:v>A-NCP-019</x:v>
      </x:c>
      <x:c r="C442" t="str">
        <x:v>path</x:v>
      </x:c>
      <x:c r="D442" t="str">
        <x:v>NCP-019</x:v>
      </x:c>
      <x:c r="E442" t="str">
        <x:v>PASS</x:v>
      </x:c>
      <x:c r="F442" t="str">
        <x:f>'No Common Path'!L25</x:f>
        <x:v>PASS</x:v>
      </x:c>
      <x:c r="G442" t="str">
        <x:f>IF(E442=F442,"PASS","FAIL")</x:f>
        <x:v>PASS</x:v>
      </x:c>
      <x:c r="H442" t="str">
        <x:f>G442</x:f>
        <x:v>PASS</x:v>
      </x:c>
    </x:row>
    <x:row r="443">
      <x:c r="B443" t="str">
        <x:v>A-NCP-020</x:v>
      </x:c>
      <x:c r="C443" t="str">
        <x:v>path</x:v>
      </x:c>
      <x:c r="D443" t="str">
        <x:v>NCP-020</x:v>
      </x:c>
      <x:c r="E443" t="str">
        <x:v>PASS</x:v>
      </x:c>
      <x:c r="F443" t="str">
        <x:f>'No Common Path'!L26</x:f>
        <x:v>PASS</x:v>
      </x:c>
      <x:c r="G443" t="str">
        <x:f>IF(E443=F443,"PASS","FAIL")</x:f>
        <x:v>PASS</x:v>
      </x:c>
      <x:c r="H443" t="str">
        <x:f>G443</x:f>
        <x:v>PASS</x:v>
      </x:c>
    </x:row>
    <x:row r="444">
      <x:c r="B444" t="str">
        <x:v>A-NCP-021</x:v>
      </x:c>
      <x:c r="C444" t="str">
        <x:v>path</x:v>
      </x:c>
      <x:c r="D444" t="str">
        <x:v>NCP-021</x:v>
      </x:c>
      <x:c r="E444" t="str">
        <x:v>PASS</x:v>
      </x:c>
      <x:c r="F444" t="str">
        <x:f>'No Common Path'!L27</x:f>
        <x:v>PASS</x:v>
      </x:c>
      <x:c r="G444" t="str">
        <x:f>IF(E444=F444,"PASS","FAIL")</x:f>
        <x:v>PASS</x:v>
      </x:c>
      <x:c r="H444" t="str">
        <x:f>G444</x:f>
        <x:v>PASS</x:v>
      </x:c>
    </x:row>
    <x:row r="445">
      <x:c r="B445" t="str">
        <x:v>A-NCP-022</x:v>
      </x:c>
      <x:c r="C445" t="str">
        <x:v>path</x:v>
      </x:c>
      <x:c r="D445" t="str">
        <x:v>NCP-022</x:v>
      </x:c>
      <x:c r="E445" t="str">
        <x:v>PASS</x:v>
      </x:c>
      <x:c r="F445" t="str">
        <x:f>'No Common Path'!L28</x:f>
        <x:v>PASS</x:v>
      </x:c>
      <x:c r="G445" t="str">
        <x:f>IF(E445=F445,"PASS","FAIL")</x:f>
        <x:v>PASS</x:v>
      </x:c>
      <x:c r="H445" t="str">
        <x:f>G445</x:f>
        <x:v>PASS</x:v>
      </x:c>
    </x:row>
    <x:row r="446">
      <x:c r="B446" t="str">
        <x:v>A-NCP-023</x:v>
      </x:c>
      <x:c r="C446" t="str">
        <x:v>path</x:v>
      </x:c>
      <x:c r="D446" t="str">
        <x:v>NCP-023</x:v>
      </x:c>
      <x:c r="E446" t="str">
        <x:v>PASS</x:v>
      </x:c>
      <x:c r="F446" t="str">
        <x:f>'No Common Path'!L29</x:f>
        <x:v>PASS</x:v>
      </x:c>
      <x:c r="G446" t="str">
        <x:f>IF(E446=F446,"PASS","FAIL")</x:f>
        <x:v>PASS</x:v>
      </x:c>
      <x:c r="H446" t="str">
        <x:f>G446</x:f>
        <x:v>PASS</x:v>
      </x:c>
    </x:row>
    <x:row r="447">
      <x:c r="B447" t="str">
        <x:v>A-NCP-024</x:v>
      </x:c>
      <x:c r="C447" t="str">
        <x:v>path</x:v>
      </x:c>
      <x:c r="D447" t="str">
        <x:v>NCP-024</x:v>
      </x:c>
      <x:c r="E447" t="str">
        <x:v>PASS</x:v>
      </x:c>
      <x:c r="F447" t="str">
        <x:f>'No Common Path'!L30</x:f>
        <x:v>PASS</x:v>
      </x:c>
      <x:c r="G447" t="str">
        <x:f>IF(E447=F447,"PASS","FAIL")</x:f>
        <x:v>PASS</x:v>
      </x:c>
      <x:c r="H447" t="str">
        <x:f>G447</x:f>
        <x:v>PASS</x:v>
      </x:c>
    </x:row>
    <x:row r="448">
      <x:c r="B448" t="str">
        <x:v>A-NCP-025</x:v>
      </x:c>
      <x:c r="C448" t="str">
        <x:v>path</x:v>
      </x:c>
      <x:c r="D448" t="str">
        <x:v>NCP-025</x:v>
      </x:c>
      <x:c r="E448" t="str">
        <x:v>PASS</x:v>
      </x:c>
      <x:c r="F448" t="str">
        <x:f>'No Common Path'!L31</x:f>
        <x:v>PASS</x:v>
      </x:c>
      <x:c r="G448" t="str">
        <x:f>IF(E448=F448,"PASS","FAIL")</x:f>
        <x:v>PASS</x:v>
      </x:c>
      <x:c r="H448" t="str">
        <x:f>G448</x:f>
        <x:v>PASS</x:v>
      </x:c>
    </x:row>
    <x:row r="449">
      <x:c r="B449" t="str">
        <x:v>A-NCP-026</x:v>
      </x:c>
      <x:c r="C449" t="str">
        <x:v>path</x:v>
      </x:c>
      <x:c r="D449" t="str">
        <x:v>NCP-026</x:v>
      </x:c>
      <x:c r="E449" t="str">
        <x:v>PASS</x:v>
      </x:c>
      <x:c r="F449" t="str">
        <x:f>'No Common Path'!L32</x:f>
        <x:v>PASS</x:v>
      </x:c>
      <x:c r="G449" t="str">
        <x:f>IF(E449=F449,"PASS","FAIL")</x:f>
        <x:v>PASS</x:v>
      </x:c>
      <x:c r="H449" t="str">
        <x:f>G449</x:f>
        <x:v>PASS</x:v>
      </x:c>
    </x:row>
    <x:row r="450">
      <x:c r="B450" t="str">
        <x:v>A-NCP-027</x:v>
      </x:c>
      <x:c r="C450" t="str">
        <x:v>path</x:v>
      </x:c>
      <x:c r="D450" t="str">
        <x:v>NCP-027</x:v>
      </x:c>
      <x:c r="E450" t="str">
        <x:v>PASS</x:v>
      </x:c>
      <x:c r="F450" t="str">
        <x:f>'No Common Path'!L33</x:f>
        <x:v>PASS</x:v>
      </x:c>
      <x:c r="G450" t="str">
        <x:f>IF(E450=F450,"PASS","FAIL")</x:f>
        <x:v>PASS</x:v>
      </x:c>
      <x:c r="H450" t="str">
        <x:f>G450</x:f>
        <x:v>PASS</x:v>
      </x:c>
    </x:row>
    <x:row r="451">
      <x:c r="B451" t="str">
        <x:v>A-NCP-028</x:v>
      </x:c>
      <x:c r="C451" t="str">
        <x:v>path</x:v>
      </x:c>
      <x:c r="D451" t="str">
        <x:v>NCP-028</x:v>
      </x:c>
      <x:c r="E451" t="str">
        <x:v>PASS</x:v>
      </x:c>
      <x:c r="F451" t="str">
        <x:f>'No Common Path'!L34</x:f>
        <x:v>PASS</x:v>
      </x:c>
      <x:c r="G451" t="str">
        <x:f>IF(E451=F451,"PASS","FAIL")</x:f>
        <x:v>PASS</x:v>
      </x:c>
      <x:c r="H451" t="str">
        <x:f>G451</x:f>
        <x:v>PASS</x:v>
      </x:c>
    </x:row>
    <x:row r="452">
      <x:c r="B452" t="str">
        <x:v>A-NCP-029</x:v>
      </x:c>
      <x:c r="C452" t="str">
        <x:v>path</x:v>
      </x:c>
      <x:c r="D452" t="str">
        <x:v>NCP-029</x:v>
      </x:c>
      <x:c r="E452" t="str">
        <x:v>PASS</x:v>
      </x:c>
      <x:c r="F452" t="str">
        <x:f>'No Common Path'!L35</x:f>
        <x:v>PASS</x:v>
      </x:c>
      <x:c r="G452" t="str">
        <x:f>IF(E452=F452,"PASS","FAIL")</x:f>
        <x:v>PASS</x:v>
      </x:c>
      <x:c r="H452" t="str">
        <x:f>G452</x:f>
        <x:v>PASS</x:v>
      </x:c>
    </x:row>
    <x:row r="453">
      <x:c r="B453" t="str">
        <x:v>A-NCP-030</x:v>
      </x:c>
      <x:c r="C453" t="str">
        <x:v>path</x:v>
      </x:c>
      <x:c r="D453" t="str">
        <x:v>NCP-030</x:v>
      </x:c>
      <x:c r="E453" t="str">
        <x:v>PASS</x:v>
      </x:c>
      <x:c r="F453" t="str">
        <x:f>'No Common Path'!L36</x:f>
        <x:v>PASS</x:v>
      </x:c>
      <x:c r="G453" t="str">
        <x:f>IF(E453=F453,"PASS","FAIL")</x:f>
        <x:v>PASS</x:v>
      </x:c>
      <x:c r="H453" t="str">
        <x:f>G453</x:f>
        <x:v>PASS</x:v>
      </x:c>
    </x:row>
    <x:row r="454">
      <x:c r="B454" t="str">
        <x:v>A-NCP-031</x:v>
      </x:c>
      <x:c r="C454" t="str">
        <x:v>path</x:v>
      </x:c>
      <x:c r="D454" t="str">
        <x:v>NCP-031</x:v>
      </x:c>
      <x:c r="E454" t="str">
        <x:v>PASS</x:v>
      </x:c>
      <x:c r="F454" t="str">
        <x:f>'No Common Path'!L37</x:f>
        <x:v>PASS</x:v>
      </x:c>
      <x:c r="G454" t="str">
        <x:f>IF(E454=F454,"PASS","FAIL")</x:f>
        <x:v>PASS</x:v>
      </x:c>
      <x:c r="H454" t="str">
        <x:f>G454</x:f>
        <x:v>PASS</x:v>
      </x:c>
    </x:row>
    <x:row r="455">
      <x:c r="B455" t="str">
        <x:v>A-NCP-032</x:v>
      </x:c>
      <x:c r="C455" t="str">
        <x:v>path</x:v>
      </x:c>
      <x:c r="D455" t="str">
        <x:v>NCP-032</x:v>
      </x:c>
      <x:c r="E455" t="str">
        <x:v>PASS</x:v>
      </x:c>
      <x:c r="F455" t="str">
        <x:f>'No Common Path'!L38</x:f>
        <x:v>PASS</x:v>
      </x:c>
      <x:c r="G455" t="str">
        <x:f>IF(E455=F455,"PASS","FAIL")</x:f>
        <x:v>PASS</x:v>
      </x:c>
      <x:c r="H455" t="str">
        <x:f>G455</x:f>
        <x:v>PASS</x:v>
      </x:c>
    </x:row>
    <x:row r="456">
      <x:c r="B456" t="str">
        <x:v>A-NCP-033</x:v>
      </x:c>
      <x:c r="C456" t="str">
        <x:v>path</x:v>
      </x:c>
      <x:c r="D456" t="str">
        <x:v>NCP-033</x:v>
      </x:c>
      <x:c r="E456" t="str">
        <x:v>PASS</x:v>
      </x:c>
      <x:c r="F456" t="str">
        <x:f>'No Common Path'!L39</x:f>
        <x:v>PASS</x:v>
      </x:c>
      <x:c r="G456" t="str">
        <x:f>IF(E456=F456,"PASS","FAIL")</x:f>
        <x:v>PASS</x:v>
      </x:c>
      <x:c r="H456" t="str">
        <x:f>G456</x:f>
        <x:v>PASS</x:v>
      </x:c>
    </x:row>
    <x:row r="457">
      <x:c r="B457" t="str">
        <x:v>A-NCP-034</x:v>
      </x:c>
      <x:c r="C457" t="str">
        <x:v>path</x:v>
      </x:c>
      <x:c r="D457" t="str">
        <x:v>NCP-034</x:v>
      </x:c>
      <x:c r="E457" t="str">
        <x:v>PASS</x:v>
      </x:c>
      <x:c r="F457" t="str">
        <x:f>'No Common Path'!L40</x:f>
        <x:v>PASS</x:v>
      </x:c>
      <x:c r="G457" t="str">
        <x:f>IF(E457=F457,"PASS","FAIL")</x:f>
        <x:v>PASS</x:v>
      </x:c>
      <x:c r="H457" t="str">
        <x:f>G457</x:f>
        <x:v>PASS</x:v>
      </x:c>
    </x:row>
    <x:row r="458">
      <x:c r="B458" t="str">
        <x:v>A-NCP-035</x:v>
      </x:c>
      <x:c r="C458" t="str">
        <x:v>path</x:v>
      </x:c>
      <x:c r="D458" t="str">
        <x:v>NCP-035</x:v>
      </x:c>
      <x:c r="E458" t="str">
        <x:v>PASS</x:v>
      </x:c>
      <x:c r="F458" t="str">
        <x:f>'No Common Path'!L41</x:f>
        <x:v>PASS</x:v>
      </x:c>
      <x:c r="G458" t="str">
        <x:f>IF(E458=F458,"PASS","FAIL")</x:f>
        <x:v>PASS</x:v>
      </x:c>
      <x:c r="H458" t="str">
        <x:f>G458</x:f>
        <x:v>PASS</x:v>
      </x:c>
    </x:row>
    <x:row r="459">
      <x:c r="B459" t="str">
        <x:v>A-NCP-036</x:v>
      </x:c>
      <x:c r="C459" t="str">
        <x:v>path</x:v>
      </x:c>
      <x:c r="D459" t="str">
        <x:v>NCP-036</x:v>
      </x:c>
      <x:c r="E459" t="str">
        <x:v>PASS</x:v>
      </x:c>
      <x:c r="F459" t="str">
        <x:f>'No Common Path'!L42</x:f>
        <x:v>PASS</x:v>
      </x:c>
      <x:c r="G459" t="str">
        <x:f>IF(E459=F459,"PASS","FAIL")</x:f>
        <x:v>PASS</x:v>
      </x:c>
      <x:c r="H459" t="str">
        <x:f>G459</x:f>
        <x:v>PASS</x:v>
      </x:c>
    </x:row>
    <x:row r="460">
      <x:c r="B460" t="str">
        <x:v>A-NCP-037</x:v>
      </x:c>
      <x:c r="C460" t="str">
        <x:v>path</x:v>
      </x:c>
      <x:c r="D460" t="str">
        <x:v>NCP-037</x:v>
      </x:c>
      <x:c r="E460" t="str">
        <x:v>PASS</x:v>
      </x:c>
      <x:c r="F460" t="str">
        <x:f>'No Common Path'!L43</x:f>
        <x:v>PASS</x:v>
      </x:c>
      <x:c r="G460" t="str">
        <x:f>IF(E460=F460,"PASS","FAIL")</x:f>
        <x:v>PASS</x:v>
      </x:c>
      <x:c r="H460" t="str">
        <x:f>G460</x:f>
        <x:v>PASS</x:v>
      </x:c>
    </x:row>
    <x:row r="461">
      <x:c r="B461" t="str">
        <x:v>A-NCP-038</x:v>
      </x:c>
      <x:c r="C461" t="str">
        <x:v>path</x:v>
      </x:c>
      <x:c r="D461" t="str">
        <x:v>NCP-038</x:v>
      </x:c>
      <x:c r="E461" t="str">
        <x:v>PASS</x:v>
      </x:c>
      <x:c r="F461" t="str">
        <x:f>'No Common Path'!L44</x:f>
        <x:v>PASS</x:v>
      </x:c>
      <x:c r="G461" t="str">
        <x:f>IF(E461=F461,"PASS","FAIL")</x:f>
        <x:v>PASS</x:v>
      </x:c>
      <x:c r="H461" t="str">
        <x:f>G461</x:f>
        <x:v>PASS</x:v>
      </x:c>
    </x:row>
    <x:row r="462">
      <x:c r="B462" t="str">
        <x:v>A-NCP-039</x:v>
      </x:c>
      <x:c r="C462" t="str">
        <x:v>path</x:v>
      </x:c>
      <x:c r="D462" t="str">
        <x:v>NCP-039</x:v>
      </x:c>
      <x:c r="E462" t="str">
        <x:v>PASS</x:v>
      </x:c>
      <x:c r="F462" t="str">
        <x:f>'No Common Path'!L45</x:f>
        <x:v>PASS</x:v>
      </x:c>
      <x:c r="G462" t="str">
        <x:f>IF(E462=F462,"PASS","FAIL")</x:f>
        <x:v>PASS</x:v>
      </x:c>
      <x:c r="H462" t="str">
        <x:f>G462</x:f>
        <x:v>PASS</x:v>
      </x:c>
    </x:row>
    <x:row r="463">
      <x:c r="B463" t="str">
        <x:v>A-NCP-040</x:v>
      </x:c>
      <x:c r="C463" t="str">
        <x:v>path</x:v>
      </x:c>
      <x:c r="D463" t="str">
        <x:v>NCP-040</x:v>
      </x:c>
      <x:c r="E463" t="str">
        <x:v>PASS</x:v>
      </x:c>
      <x:c r="F463" t="str">
        <x:f>'No Common Path'!L46</x:f>
        <x:v>PASS</x:v>
      </x:c>
      <x:c r="G463" t="str">
        <x:f>IF(E463=F463,"PASS","FAIL")</x:f>
        <x:v>PASS</x:v>
      </x:c>
      <x:c r="H463" t="str">
        <x:f>G463</x:f>
        <x:v>PASS</x:v>
      </x:c>
    </x:row>
    <x:row r="464">
      <x:c r="B464" t="str">
        <x:v>A-NCP-041</x:v>
      </x:c>
      <x:c r="C464" t="str">
        <x:v>path</x:v>
      </x:c>
      <x:c r="D464" t="str">
        <x:v>NCP-041</x:v>
      </x:c>
      <x:c r="E464" t="str">
        <x:v>PASS</x:v>
      </x:c>
      <x:c r="F464" t="str">
        <x:f>'No Common Path'!L47</x:f>
        <x:v>PASS</x:v>
      </x:c>
      <x:c r="G464" t="str">
        <x:f>IF(E464=F464,"PASS","FAIL")</x:f>
        <x:v>PASS</x:v>
      </x:c>
      <x:c r="H464" t="str">
        <x:f>G464</x:f>
        <x:v>PASS</x:v>
      </x:c>
    </x:row>
    <x:row r="465">
      <x:c r="B465" t="str">
        <x:v>A-NCP-042</x:v>
      </x:c>
      <x:c r="C465" t="str">
        <x:v>path</x:v>
      </x:c>
      <x:c r="D465" t="str">
        <x:v>NCP-042</x:v>
      </x:c>
      <x:c r="E465" t="str">
        <x:v>PASS</x:v>
      </x:c>
      <x:c r="F465" t="str">
        <x:f>'No Common Path'!L48</x:f>
        <x:v>PASS</x:v>
      </x:c>
      <x:c r="G465" t="str">
        <x:f>IF(E465=F465,"PASS","FAIL")</x:f>
        <x:v>PASS</x:v>
      </x:c>
      <x:c r="H465" t="str">
        <x:f>G465</x:f>
        <x:v>PASS</x:v>
      </x:c>
    </x:row>
    <x:row r="466">
      <x:c r="B466" t="str">
        <x:v>A-NCP-043</x:v>
      </x:c>
      <x:c r="C466" t="str">
        <x:v>path</x:v>
      </x:c>
      <x:c r="D466" t="str">
        <x:v>NCP-043</x:v>
      </x:c>
      <x:c r="E466" t="str">
        <x:v>PASS</x:v>
      </x:c>
      <x:c r="F466" t="str">
        <x:f>'No Common Path'!L49</x:f>
        <x:v>PASS</x:v>
      </x:c>
      <x:c r="G466" t="str">
        <x:f>IF(E466=F466,"PASS","FAIL")</x:f>
        <x:v>PASS</x:v>
      </x:c>
      <x:c r="H466" t="str">
        <x:f>G466</x:f>
        <x:v>PASS</x:v>
      </x:c>
    </x:row>
    <x:row r="467">
      <x:c r="B467" t="str">
        <x:v>A-NCP-044</x:v>
      </x:c>
      <x:c r="C467" t="str">
        <x:v>path</x:v>
      </x:c>
      <x:c r="D467" t="str">
        <x:v>NCP-044</x:v>
      </x:c>
      <x:c r="E467" t="str">
        <x:v>PASS</x:v>
      </x:c>
      <x:c r="F467" t="str">
        <x:f>'No Common Path'!L50</x:f>
        <x:v>PASS</x:v>
      </x:c>
      <x:c r="G467" t="str">
        <x:f>IF(E467=F467,"PASS","FAIL")</x:f>
        <x:v>PASS</x:v>
      </x:c>
      <x:c r="H467" t="str">
        <x:f>G467</x:f>
        <x:v>PASS</x:v>
      </x:c>
    </x:row>
    <x:row r="468">
      <x:c r="B468" t="str">
        <x:v>A-NCP-045</x:v>
      </x:c>
      <x:c r="C468" t="str">
        <x:v>path</x:v>
      </x:c>
      <x:c r="D468" t="str">
        <x:v>NCP-045</x:v>
      </x:c>
      <x:c r="E468" t="str">
        <x:v>PASS</x:v>
      </x:c>
      <x:c r="F468" t="str">
        <x:f>'No Common Path'!L51</x:f>
        <x:v>PASS</x:v>
      </x:c>
      <x:c r="G468" t="str">
        <x:f>IF(E468=F468,"PASS","FAIL")</x:f>
        <x:v>PASS</x:v>
      </x:c>
      <x:c r="H468" t="str">
        <x:f>G468</x:f>
        <x:v>PASS</x:v>
      </x:c>
    </x:row>
    <x:row r="469">
      <x:c r="B469" t="str">
        <x:v>A-NCP-046</x:v>
      </x:c>
      <x:c r="C469" t="str">
        <x:v>path</x:v>
      </x:c>
      <x:c r="D469" t="str">
        <x:v>NCP-046</x:v>
      </x:c>
      <x:c r="E469" t="str">
        <x:v>PASS</x:v>
      </x:c>
      <x:c r="F469" t="str">
        <x:f>'No Common Path'!L52</x:f>
        <x:v>PASS</x:v>
      </x:c>
      <x:c r="G469" t="str">
        <x:f>IF(E469=F469,"PASS","FAIL")</x:f>
        <x:v>PASS</x:v>
      </x:c>
      <x:c r="H469" t="str">
        <x:f>G469</x:f>
        <x:v>PASS</x:v>
      </x:c>
    </x:row>
    <x:row r="470">
      <x:c r="B470" t="str">
        <x:v>A-NCP-047</x:v>
      </x:c>
      <x:c r="C470" t="str">
        <x:v>path</x:v>
      </x:c>
      <x:c r="D470" t="str">
        <x:v>NCP-047</x:v>
      </x:c>
      <x:c r="E470" t="str">
        <x:v>PASS</x:v>
      </x:c>
      <x:c r="F470" t="str">
        <x:f>'No Common Path'!L53</x:f>
        <x:v>PASS</x:v>
      </x:c>
      <x:c r="G470" t="str">
        <x:f>IF(E470=F470,"PASS","FAIL")</x:f>
        <x:v>PASS</x:v>
      </x:c>
      <x:c r="H470" t="str">
        <x:f>G470</x:f>
        <x:v>PASS</x:v>
      </x:c>
    </x:row>
    <x:row r="471">
      <x:c r="B471" t="str">
        <x:v>A-NCP-048</x:v>
      </x:c>
      <x:c r="C471" t="str">
        <x:v>path</x:v>
      </x:c>
      <x:c r="D471" t="str">
        <x:v>NCP-048</x:v>
      </x:c>
      <x:c r="E471" t="str">
        <x:v>PASS</x:v>
      </x:c>
      <x:c r="F471" t="str">
        <x:f>'No Common Path'!L54</x:f>
        <x:v>PASS</x:v>
      </x:c>
      <x:c r="G471" t="str">
        <x:f>IF(E471=F471,"PASS","FAIL")</x:f>
        <x:v>PASS</x:v>
      </x:c>
      <x:c r="H471" t="str">
        <x:f>G471</x:f>
        <x:v>PASS</x:v>
      </x:c>
    </x:row>
    <x:row r="472">
      <x:c r="B472" t="str">
        <x:v>A-NCP-049</x:v>
      </x:c>
      <x:c r="C472" t="str">
        <x:v>path</x:v>
      </x:c>
      <x:c r="D472" t="str">
        <x:v>NCP-049</x:v>
      </x:c>
      <x:c r="E472" t="str">
        <x:v>PASS</x:v>
      </x:c>
      <x:c r="F472" t="str">
        <x:f>'No Common Path'!L55</x:f>
        <x:v>PASS</x:v>
      </x:c>
      <x:c r="G472" t="str">
        <x:f>IF(E472=F472,"PASS","FAIL")</x:f>
        <x:v>PASS</x:v>
      </x:c>
      <x:c r="H472" t="str">
        <x:f>G472</x:f>
        <x:v>PASS</x:v>
      </x:c>
    </x:row>
    <x:row r="473">
      <x:c r="B473" t="str">
        <x:v>A-NCP-050</x:v>
      </x:c>
      <x:c r="C473" t="str">
        <x:v>path</x:v>
      </x:c>
      <x:c r="D473" t="str">
        <x:v>NCP-050</x:v>
      </x:c>
      <x:c r="E473" t="str">
        <x:v>PASS</x:v>
      </x:c>
      <x:c r="F473" t="str">
        <x:f>'No Common Path'!L56</x:f>
        <x:v>PASS</x:v>
      </x:c>
      <x:c r="G473" t="str">
        <x:f>IF(E473=F473,"PASS","FAIL")</x:f>
        <x:v>PASS</x:v>
      </x:c>
      <x:c r="H473" t="str">
        <x:f>G473</x:f>
        <x:v>PASS</x:v>
      </x:c>
    </x:row>
    <x:row r="474">
      <x:c r="B474" t="str">
        <x:v>A-NCP-051</x:v>
      </x:c>
      <x:c r="C474" t="str">
        <x:v>path</x:v>
      </x:c>
      <x:c r="D474" t="str">
        <x:v>NCP-051</x:v>
      </x:c>
      <x:c r="E474" t="str">
        <x:v>PASS</x:v>
      </x:c>
      <x:c r="F474" t="str">
        <x:f>'No Common Path'!L57</x:f>
        <x:v>PASS</x:v>
      </x:c>
      <x:c r="G474" t="str">
        <x:f>IF(E474=F474,"PASS","FAIL")</x:f>
        <x:v>PASS</x:v>
      </x:c>
      <x:c r="H474" t="str">
        <x:f>G474</x:f>
        <x:v>PASS</x:v>
      </x:c>
    </x:row>
    <x:row r="475">
      <x:c r="B475" t="str">
        <x:v>A-NCP-052</x:v>
      </x:c>
      <x:c r="C475" t="str">
        <x:v>path</x:v>
      </x:c>
      <x:c r="D475" t="str">
        <x:v>NCP-052</x:v>
      </x:c>
      <x:c r="E475" t="str">
        <x:v>PASS</x:v>
      </x:c>
      <x:c r="F475" t="str">
        <x:f>'No Common Path'!L58</x:f>
        <x:v>PASS</x:v>
      </x:c>
      <x:c r="G475" t="str">
        <x:f>IF(E475=F475,"PASS","FAIL")</x:f>
        <x:v>PASS</x:v>
      </x:c>
      <x:c r="H475" t="str">
        <x:f>G475</x:f>
        <x:v>PASS</x:v>
      </x:c>
    </x:row>
    <x:row r="476">
      <x:c r="B476" t="str">
        <x:v>A-NCP-053</x:v>
      </x:c>
      <x:c r="C476" t="str">
        <x:v>path</x:v>
      </x:c>
      <x:c r="D476" t="str">
        <x:v>NCP-053</x:v>
      </x:c>
      <x:c r="E476" t="str">
        <x:v>PASS</x:v>
      </x:c>
      <x:c r="F476" t="str">
        <x:f>'No Common Path'!L59</x:f>
        <x:v>PASS</x:v>
      </x:c>
      <x:c r="G476" t="str">
        <x:f>IF(E476=F476,"PASS","FAIL")</x:f>
        <x:v>PASS</x:v>
      </x:c>
      <x:c r="H476" t="str">
        <x:f>G476</x:f>
        <x:v>PASS</x:v>
      </x:c>
    </x:row>
    <x:row r="477">
      <x:c r="B477" t="str">
        <x:v>A-NCP-054</x:v>
      </x:c>
      <x:c r="C477" t="str">
        <x:v>path</x:v>
      </x:c>
      <x:c r="D477" t="str">
        <x:v>NCP-054</x:v>
      </x:c>
      <x:c r="E477" t="str">
        <x:v>PASS</x:v>
      </x:c>
      <x:c r="F477" t="str">
        <x:f>'No Common Path'!L60</x:f>
        <x:v>PASS</x:v>
      </x:c>
      <x:c r="G477" t="str">
        <x:f>IF(E477=F477,"PASS","FAIL")</x:f>
        <x:v>PASS</x:v>
      </x:c>
      <x:c r="H477" t="str">
        <x:f>G477</x:f>
        <x:v>PASS</x:v>
      </x:c>
    </x:row>
    <x:row r="478">
      <x:c r="B478" t="str">
        <x:v>A-NCP-055</x:v>
      </x:c>
      <x:c r="C478" t="str">
        <x:v>path</x:v>
      </x:c>
      <x:c r="D478" t="str">
        <x:v>NCP-055</x:v>
      </x:c>
      <x:c r="E478" t="str">
        <x:v>PASS</x:v>
      </x:c>
      <x:c r="F478" t="str">
        <x:f>'No Common Path'!L61</x:f>
        <x:v>PASS</x:v>
      </x:c>
      <x:c r="G478" t="str">
        <x:f>IF(E478=F478,"PASS","FAIL")</x:f>
        <x:v>PASS</x:v>
      </x:c>
      <x:c r="H478" t="str">
        <x:f>G478</x:f>
        <x:v>PASS</x:v>
      </x:c>
    </x:row>
    <x:row r="479">
      <x:c r="B479" t="str">
        <x:v>A-NCP-056</x:v>
      </x:c>
      <x:c r="C479" t="str">
        <x:v>path</x:v>
      </x:c>
      <x:c r="D479" t="str">
        <x:v>NCP-056</x:v>
      </x:c>
      <x:c r="E479" t="str">
        <x:v>PASS</x:v>
      </x:c>
      <x:c r="F479" t="str">
        <x:f>'No Common Path'!L62</x:f>
        <x:v>PASS</x:v>
      </x:c>
      <x:c r="G479" t="str">
        <x:f>IF(E479=F479,"PASS","FAIL")</x:f>
        <x:v>PASS</x:v>
      </x:c>
      <x:c r="H479" t="str">
        <x:f>G479</x:f>
        <x:v>PASS</x:v>
      </x:c>
    </x:row>
    <x:row r="480">
      <x:c r="B480" t="str">
        <x:v>A-NCP-057</x:v>
      </x:c>
      <x:c r="C480" t="str">
        <x:v>path</x:v>
      </x:c>
      <x:c r="D480" t="str">
        <x:v>NCP-057</x:v>
      </x:c>
      <x:c r="E480" t="str">
        <x:v>PASS</x:v>
      </x:c>
      <x:c r="F480" t="str">
        <x:f>'No Common Path'!L63</x:f>
        <x:v>PASS</x:v>
      </x:c>
      <x:c r="G480" t="str">
        <x:f>IF(E480=F480,"PASS","FAIL")</x:f>
        <x:v>PASS</x:v>
      </x:c>
      <x:c r="H480" t="str">
        <x:f>G480</x:f>
        <x:v>PASS</x:v>
      </x:c>
    </x:row>
    <x:row r="481">
      <x:c r="B481" t="str">
        <x:v>A-NCP-058</x:v>
      </x:c>
      <x:c r="C481" t="str">
        <x:v>path</x:v>
      </x:c>
      <x:c r="D481" t="str">
        <x:v>NCP-058</x:v>
      </x:c>
      <x:c r="E481" t="str">
        <x:v>PASS</x:v>
      </x:c>
      <x:c r="F481" t="str">
        <x:f>'No Common Path'!L64</x:f>
        <x:v>PASS</x:v>
      </x:c>
      <x:c r="G481" t="str">
        <x:f>IF(E481=F481,"PASS","FAIL")</x:f>
        <x:v>PASS</x:v>
      </x:c>
      <x:c r="H481" t="str">
        <x:f>G481</x:f>
        <x:v>PASS</x:v>
      </x:c>
    </x:row>
    <x:row r="482">
      <x:c r="B482" t="str">
        <x:v>A-NCP-059</x:v>
      </x:c>
      <x:c r="C482" t="str">
        <x:v>path</x:v>
      </x:c>
      <x:c r="D482" t="str">
        <x:v>NCP-059</x:v>
      </x:c>
      <x:c r="E482" t="str">
        <x:v>PASS</x:v>
      </x:c>
      <x:c r="F482" t="str">
        <x:f>'No Common Path'!L65</x:f>
        <x:v>PASS</x:v>
      </x:c>
      <x:c r="G482" t="str">
        <x:f>IF(E482=F482,"PASS","FAIL")</x:f>
        <x:v>PASS</x:v>
      </x:c>
      <x:c r="H482" t="str">
        <x:f>G482</x:f>
        <x:v>PASS</x:v>
      </x:c>
    </x:row>
    <x:row r="483">
      <x:c r="B483" t="str">
        <x:v>A-NCP-060</x:v>
      </x:c>
      <x:c r="C483" t="str">
        <x:v>path</x:v>
      </x:c>
      <x:c r="D483" t="str">
        <x:v>NCP-060</x:v>
      </x:c>
      <x:c r="E483" t="str">
        <x:v>PASS</x:v>
      </x:c>
      <x:c r="F483" t="str">
        <x:f>'No Common Path'!L66</x:f>
        <x:v>PASS</x:v>
      </x:c>
      <x:c r="G483" t="str">
        <x:f>IF(E483=F483,"PASS","FAIL")</x:f>
        <x:v>PASS</x:v>
      </x:c>
      <x:c r="H483" t="str">
        <x:f>G483</x:f>
        <x:v>PASS</x:v>
      </x:c>
    </x:row>
    <x:row r="484">
      <x:c r="B484" t="str">
        <x:v>A-NCP-061</x:v>
      </x:c>
      <x:c r="C484" t="str">
        <x:v>path</x:v>
      </x:c>
      <x:c r="D484" t="str">
        <x:v>NCP-061</x:v>
      </x:c>
      <x:c r="E484" t="str">
        <x:v>PASS</x:v>
      </x:c>
      <x:c r="F484" t="str">
        <x:f>'No Common Path'!L67</x:f>
        <x:v>PASS</x:v>
      </x:c>
      <x:c r="G484" t="str">
        <x:f>IF(E484=F484,"PASS","FAIL")</x:f>
        <x:v>PASS</x:v>
      </x:c>
      <x:c r="H484" t="str">
        <x:f>G484</x:f>
        <x:v>PASS</x:v>
      </x:c>
    </x:row>
    <x:row r="485">
      <x:c r="B485" t="str">
        <x:v>A-NCP-062</x:v>
      </x:c>
      <x:c r="C485" t="str">
        <x:v>path</x:v>
      </x:c>
      <x:c r="D485" t="str">
        <x:v>NCP-062</x:v>
      </x:c>
      <x:c r="E485" t="str">
        <x:v>PASS</x:v>
      </x:c>
      <x:c r="F485" t="str">
        <x:f>'No Common Path'!L68</x:f>
        <x:v>PASS</x:v>
      </x:c>
      <x:c r="G485" t="str">
        <x:f>IF(E485=F485,"PASS","FAIL")</x:f>
        <x:v>PASS</x:v>
      </x:c>
      <x:c r="H485" t="str">
        <x:f>G485</x:f>
        <x:v>PASS</x:v>
      </x:c>
    </x:row>
    <x:row r="486">
      <x:c r="B486" t="str">
        <x:v>A-NCP-063</x:v>
      </x:c>
      <x:c r="C486" t="str">
        <x:v>path</x:v>
      </x:c>
      <x:c r="D486" t="str">
        <x:v>NCP-063</x:v>
      </x:c>
      <x:c r="E486" t="str">
        <x:v>PASS</x:v>
      </x:c>
      <x:c r="F486" t="str">
        <x:f>'No Common Path'!L69</x:f>
        <x:v>PASS</x:v>
      </x:c>
      <x:c r="G486" t="str">
        <x:f>IF(E486=F486,"PASS","FAIL")</x:f>
        <x:v>PASS</x:v>
      </x:c>
      <x:c r="H486" t="str">
        <x:f>G486</x:f>
        <x:v>PASS</x:v>
      </x:c>
    </x:row>
    <x:row r="487">
      <x:c r="B487" t="str">
        <x:v>A-NCP-064</x:v>
      </x:c>
      <x:c r="C487" t="str">
        <x:v>path</x:v>
      </x:c>
      <x:c r="D487" t="str">
        <x:v>NCP-064</x:v>
      </x:c>
      <x:c r="E487" t="str">
        <x:v>PASS</x:v>
      </x:c>
      <x:c r="F487" t="str">
        <x:f>'No Common Path'!L70</x:f>
        <x:v>PASS</x:v>
      </x:c>
      <x:c r="G487" t="str">
        <x:f>IF(E487=F487,"PASS","FAIL")</x:f>
        <x:v>PASS</x:v>
      </x:c>
      <x:c r="H487" t="str">
        <x:f>G487</x:f>
        <x:v>PASS</x:v>
      </x:c>
    </x:row>
    <x:row r="488">
      <x:c r="B488" t="str">
        <x:v>A-NCP-065</x:v>
      </x:c>
      <x:c r="C488" t="str">
        <x:v>path</x:v>
      </x:c>
      <x:c r="D488" t="str">
        <x:v>NCP-065</x:v>
      </x:c>
      <x:c r="E488" t="str">
        <x:v>PASS</x:v>
      </x:c>
      <x:c r="F488" t="str">
        <x:f>'No Common Path'!L71</x:f>
        <x:v>PASS</x:v>
      </x:c>
      <x:c r="G488" t="str">
        <x:f>IF(E488=F488,"PASS","FAIL")</x:f>
        <x:v>PASS</x:v>
      </x:c>
      <x:c r="H488" t="str">
        <x:f>G488</x:f>
        <x:v>PASS</x:v>
      </x:c>
    </x:row>
    <x:row r="489">
      <x:c r="B489" t="str">
        <x:v>A-NCP-066</x:v>
      </x:c>
      <x:c r="C489" t="str">
        <x:v>path</x:v>
      </x:c>
      <x:c r="D489" t="str">
        <x:v>NCP-066</x:v>
      </x:c>
      <x:c r="E489" t="str">
        <x:v>PASS</x:v>
      </x:c>
      <x:c r="F489" t="str">
        <x:f>'No Common Path'!L72</x:f>
        <x:v>PASS</x:v>
      </x:c>
      <x:c r="G489" t="str">
        <x:f>IF(E489=F489,"PASS","FAIL")</x:f>
        <x:v>PASS</x:v>
      </x:c>
      <x:c r="H489" t="str">
        <x:f>G489</x:f>
        <x:v>PASS</x:v>
      </x:c>
    </x:row>
    <x:row r="490">
      <x:c r="B490" t="str">
        <x:v>A-NCP-067</x:v>
      </x:c>
      <x:c r="C490" t="str">
        <x:v>path</x:v>
      </x:c>
      <x:c r="D490" t="str">
        <x:v>NCP-067</x:v>
      </x:c>
      <x:c r="E490" t="str">
        <x:v>PASS</x:v>
      </x:c>
      <x:c r="F490" t="str">
        <x:f>'No Common Path'!L73</x:f>
        <x:v>PASS</x:v>
      </x:c>
      <x:c r="G490" t="str">
        <x:f>IF(E490=F490,"PASS","FAIL")</x:f>
        <x:v>PASS</x:v>
      </x:c>
      <x:c r="H490" t="str">
        <x:f>G490</x:f>
        <x:v>PASS</x:v>
      </x:c>
    </x:row>
    <x:row r="491">
      <x:c r="B491" t="str">
        <x:v>A-NCP-068</x:v>
      </x:c>
      <x:c r="C491" t="str">
        <x:v>path</x:v>
      </x:c>
      <x:c r="D491" t="str">
        <x:v>NCP-068</x:v>
      </x:c>
      <x:c r="E491" t="str">
        <x:v>PASS</x:v>
      </x:c>
      <x:c r="F491" t="str">
        <x:f>'No Common Path'!L74</x:f>
        <x:v>PASS</x:v>
      </x:c>
      <x:c r="G491" t="str">
        <x:f>IF(E491=F491,"PASS","FAIL")</x:f>
        <x:v>PASS</x:v>
      </x:c>
      <x:c r="H491" t="str">
        <x:f>G491</x:f>
        <x:v>PASS</x:v>
      </x:c>
    </x:row>
    <x:row r="492">
      <x:c r="B492" t="str">
        <x:v>A-NCP-069</x:v>
      </x:c>
      <x:c r="C492" t="str">
        <x:v>path</x:v>
      </x:c>
      <x:c r="D492" t="str">
        <x:v>NCP-069</x:v>
      </x:c>
      <x:c r="E492" t="str">
        <x:v>PASS</x:v>
      </x:c>
      <x:c r="F492" t="str">
        <x:f>'No Common Path'!L75</x:f>
        <x:v>PASS</x:v>
      </x:c>
      <x:c r="G492" t="str">
        <x:f>IF(E492=F492,"PASS","FAIL")</x:f>
        <x:v>PASS</x:v>
      </x:c>
      <x:c r="H492" t="str">
        <x:f>G492</x:f>
        <x:v>PASS</x:v>
      </x:c>
    </x:row>
    <x:row r="493">
      <x:c r="B493" t="str">
        <x:v>A-NCP-070</x:v>
      </x:c>
      <x:c r="C493" t="str">
        <x:v>path</x:v>
      </x:c>
      <x:c r="D493" t="str">
        <x:v>NCP-070</x:v>
      </x:c>
      <x:c r="E493" t="str">
        <x:v>PASS</x:v>
      </x:c>
      <x:c r="F493" t="str">
        <x:f>'No Common Path'!L76</x:f>
        <x:v>PASS</x:v>
      </x:c>
      <x:c r="G493" t="str">
        <x:f>IF(E493=F493,"PASS","FAIL")</x:f>
        <x:v>PASS</x:v>
      </x:c>
      <x:c r="H493" t="str">
        <x:f>G493</x:f>
        <x:v>PASS</x:v>
      </x:c>
    </x:row>
    <x:row r="494">
      <x:c r="B494" t="str">
        <x:v>A-NCP-071</x:v>
      </x:c>
      <x:c r="C494" t="str">
        <x:v>path</x:v>
      </x:c>
      <x:c r="D494" t="str">
        <x:v>NCP-071</x:v>
      </x:c>
      <x:c r="E494" t="str">
        <x:v>PASS</x:v>
      </x:c>
      <x:c r="F494" t="str">
        <x:f>'No Common Path'!L77</x:f>
        <x:v>PASS</x:v>
      </x:c>
      <x:c r="G494" t="str">
        <x:f>IF(E494=F494,"PASS","FAIL")</x:f>
        <x:v>PASS</x:v>
      </x:c>
      <x:c r="H494" t="str">
        <x:f>G494</x:f>
        <x:v>PASS</x:v>
      </x:c>
    </x:row>
    <x:row r="495">
      <x:c r="B495" t="str">
        <x:v>A-NCP-072</x:v>
      </x:c>
      <x:c r="C495" t="str">
        <x:v>path</x:v>
      </x:c>
      <x:c r="D495" t="str">
        <x:v>NCP-072</x:v>
      </x:c>
      <x:c r="E495" t="str">
        <x:v>PASS</x:v>
      </x:c>
      <x:c r="F495" t="str">
        <x:f>'No Common Path'!L78</x:f>
        <x:v>PASS</x:v>
      </x:c>
      <x:c r="G495" t="str">
        <x:f>IF(E495=F495,"PASS","FAIL")</x:f>
        <x:v>PASS</x:v>
      </x:c>
      <x:c r="H495" t="str">
        <x:f>G495</x:f>
        <x:v>PASS</x:v>
      </x:c>
    </x:row>
    <x:row r="496">
      <x:c r="B496" t="str">
        <x:v>A-NCP-073</x:v>
      </x:c>
      <x:c r="C496" t="str">
        <x:v>path</x:v>
      </x:c>
      <x:c r="D496" t="str">
        <x:v>NCP-073</x:v>
      </x:c>
      <x:c r="E496" t="str">
        <x:v>PASS</x:v>
      </x:c>
      <x:c r="F496" t="str">
        <x:f>'No Common Path'!L79</x:f>
        <x:v>PASS</x:v>
      </x:c>
      <x:c r="G496" t="str">
        <x:f>IF(E496=F496,"PASS","FAIL")</x:f>
        <x:v>PASS</x:v>
      </x:c>
      <x:c r="H496" t="str">
        <x:f>G496</x:f>
        <x:v>PASS</x:v>
      </x:c>
    </x:row>
    <x:row r="497">
      <x:c r="B497" t="str">
        <x:v>A-NCP-074</x:v>
      </x:c>
      <x:c r="C497" t="str">
        <x:v>path</x:v>
      </x:c>
      <x:c r="D497" t="str">
        <x:v>NCP-074</x:v>
      </x:c>
      <x:c r="E497" t="str">
        <x:v>PASS</x:v>
      </x:c>
      <x:c r="F497" t="str">
        <x:f>'No Common Path'!L80</x:f>
        <x:v>PASS</x:v>
      </x:c>
      <x:c r="G497" t="str">
        <x:f>IF(E497=F497,"PASS","FAIL")</x:f>
        <x:v>PASS</x:v>
      </x:c>
      <x:c r="H497" t="str">
        <x:f>G497</x:f>
        <x:v>PASS</x:v>
      </x:c>
    </x:row>
    <x:row r="498">
      <x:c r="B498" t="str">
        <x:v>A-NCP-075</x:v>
      </x:c>
      <x:c r="C498" t="str">
        <x:v>path</x:v>
      </x:c>
      <x:c r="D498" t="str">
        <x:v>NCP-075</x:v>
      </x:c>
      <x:c r="E498" t="str">
        <x:v>PASS</x:v>
      </x:c>
      <x:c r="F498" t="str">
        <x:f>'No Common Path'!L81</x:f>
        <x:v>PASS</x:v>
      </x:c>
      <x:c r="G498" t="str">
        <x:f>IF(E498=F498,"PASS","FAIL")</x:f>
        <x:v>PASS</x:v>
      </x:c>
      <x:c r="H498" t="str">
        <x:f>G498</x:f>
        <x:v>PASS</x:v>
      </x:c>
    </x:row>
    <x:row r="499">
      <x:c r="B499" t="str">
        <x:v>A-NCP-076</x:v>
      </x:c>
      <x:c r="C499" t="str">
        <x:v>path</x:v>
      </x:c>
      <x:c r="D499" t="str">
        <x:v>NCP-076</x:v>
      </x:c>
      <x:c r="E499" t="str">
        <x:v>PASS</x:v>
      </x:c>
      <x:c r="F499" t="str">
        <x:f>'No Common Path'!L82</x:f>
        <x:v>PASS</x:v>
      </x:c>
      <x:c r="G499" t="str">
        <x:f>IF(E499=F499,"PASS","FAIL")</x:f>
        <x:v>PASS</x:v>
      </x:c>
      <x:c r="H499" t="str">
        <x:f>G499</x:f>
        <x:v>PASS</x:v>
      </x:c>
    </x:row>
    <x:row r="500">
      <x:c r="B500" t="str">
        <x:v>A-NCP-077</x:v>
      </x:c>
      <x:c r="C500" t="str">
        <x:v>path</x:v>
      </x:c>
      <x:c r="D500" t="str">
        <x:v>NCP-077</x:v>
      </x:c>
      <x:c r="E500" t="str">
        <x:v>PASS</x:v>
      </x:c>
      <x:c r="F500" t="str">
        <x:f>'No Common Path'!L83</x:f>
        <x:v>PASS</x:v>
      </x:c>
      <x:c r="G500" t="str">
        <x:f>IF(E500=F500,"PASS","FAIL")</x:f>
        <x:v>PASS</x:v>
      </x:c>
      <x:c r="H500" t="str">
        <x:f>G500</x:f>
        <x:v>PASS</x:v>
      </x:c>
    </x:row>
    <x:row r="501">
      <x:c r="B501" t="str">
        <x:v>A-NCP-078</x:v>
      </x:c>
      <x:c r="C501" t="str">
        <x:v>path</x:v>
      </x:c>
      <x:c r="D501" t="str">
        <x:v>NCP-078</x:v>
      </x:c>
      <x:c r="E501" t="str">
        <x:v>PASS</x:v>
      </x:c>
      <x:c r="F501" t="str">
        <x:f>'No Common Path'!L84</x:f>
        <x:v>PASS</x:v>
      </x:c>
      <x:c r="G501" t="str">
        <x:f>IF(E501=F501,"PASS","FAIL")</x:f>
        <x:v>PASS</x:v>
      </x:c>
      <x:c r="H501" t="str">
        <x:f>G501</x:f>
        <x:v>PASS</x:v>
      </x:c>
    </x:row>
    <x:row r="502">
      <x:c r="B502" t="str">
        <x:v>A-NCP-079</x:v>
      </x:c>
      <x:c r="C502" t="str">
        <x:v>path</x:v>
      </x:c>
      <x:c r="D502" t="str">
        <x:v>NCP-079</x:v>
      </x:c>
      <x:c r="E502" t="str">
        <x:v>PASS</x:v>
      </x:c>
      <x:c r="F502" t="str">
        <x:f>'No Common Path'!L85</x:f>
        <x:v>PASS</x:v>
      </x:c>
      <x:c r="G502" t="str">
        <x:f>IF(E502=F502,"PASS","FAIL")</x:f>
        <x:v>PASS</x:v>
      </x:c>
      <x:c r="H502" t="str">
        <x:f>G502</x:f>
        <x:v>PASS</x:v>
      </x:c>
    </x:row>
    <x:row r="503">
      <x:c r="B503" t="str">
        <x:v>A-NCP-080</x:v>
      </x:c>
      <x:c r="C503" t="str">
        <x:v>path</x:v>
      </x:c>
      <x:c r="D503" t="str">
        <x:v>NCP-080</x:v>
      </x:c>
      <x:c r="E503" t="str">
        <x:v>PASS</x:v>
      </x:c>
      <x:c r="F503" t="str">
        <x:f>'No Common Path'!L86</x:f>
        <x:v>PASS</x:v>
      </x:c>
      <x:c r="G503" t="str">
        <x:f>IF(E503=F503,"PASS","FAIL")</x:f>
        <x:v>PASS</x:v>
      </x:c>
      <x:c r="H503" t="str">
        <x:f>G503</x:f>
        <x:v>PASS</x:v>
      </x:c>
    </x:row>
    <x:row r="504">
      <x:c r="B504" t="str">
        <x:v>A-NCP-081</x:v>
      </x:c>
      <x:c r="C504" t="str">
        <x:v>path</x:v>
      </x:c>
      <x:c r="D504" t="str">
        <x:v>NCP-081</x:v>
      </x:c>
      <x:c r="E504" t="str">
        <x:v>PASS</x:v>
      </x:c>
      <x:c r="F504" t="str">
        <x:f>'No Common Path'!L87</x:f>
        <x:v>PASS</x:v>
      </x:c>
      <x:c r="G504" t="str">
        <x:f>IF(E504=F504,"PASS","FAIL")</x:f>
        <x:v>PASS</x:v>
      </x:c>
      <x:c r="H504" t="str">
        <x:f>G504</x:f>
        <x:v>PASS</x:v>
      </x:c>
    </x:row>
    <x:row r="505">
      <x:c r="B505" t="str">
        <x:v>A-NCP-082</x:v>
      </x:c>
      <x:c r="C505" t="str">
        <x:v>path</x:v>
      </x:c>
      <x:c r="D505" t="str">
        <x:v>NCP-082</x:v>
      </x:c>
      <x:c r="E505" t="str">
        <x:v>PASS</x:v>
      </x:c>
      <x:c r="F505" t="str">
        <x:f>'No Common Path'!L88</x:f>
        <x:v>PASS</x:v>
      </x:c>
      <x:c r="G505" t="str">
        <x:f>IF(E505=F505,"PASS","FAIL")</x:f>
        <x:v>PASS</x:v>
      </x:c>
      <x:c r="H505" t="str">
        <x:f>G505</x:f>
        <x:v>PASS</x:v>
      </x:c>
    </x:row>
    <x:row r="506">
      <x:c r="B506" t="str">
        <x:v>A-NCP-083</x:v>
      </x:c>
      <x:c r="C506" t="str">
        <x:v>path</x:v>
      </x:c>
      <x:c r="D506" t="str">
        <x:v>NCP-083</x:v>
      </x:c>
      <x:c r="E506" t="str">
        <x:v>PASS</x:v>
      </x:c>
      <x:c r="F506" t="str">
        <x:f>'No Common Path'!L89</x:f>
        <x:v>PASS</x:v>
      </x:c>
      <x:c r="G506" t="str">
        <x:f>IF(E506=F506,"PASS","FAIL")</x:f>
        <x:v>PASS</x:v>
      </x:c>
      <x:c r="H506" t="str">
        <x:f>G506</x:f>
        <x:v>PASS</x:v>
      </x:c>
    </x:row>
    <x:row r="507">
      <x:c r="B507" t="str">
        <x:v>A-NCP-084</x:v>
      </x:c>
      <x:c r="C507" t="str">
        <x:v>path</x:v>
      </x:c>
      <x:c r="D507" t="str">
        <x:v>NCP-084</x:v>
      </x:c>
      <x:c r="E507" t="str">
        <x:v>PASS</x:v>
      </x:c>
      <x:c r="F507" t="str">
        <x:f>'No Common Path'!L90</x:f>
        <x:v>PASS</x:v>
      </x:c>
      <x:c r="G507" t="str">
        <x:f>IF(E507=F507,"PASS","FAIL")</x:f>
        <x:v>PASS</x:v>
      </x:c>
      <x:c r="H507" t="str">
        <x:f>G507</x:f>
        <x:v>PASS</x:v>
      </x:c>
    </x:row>
    <x:row r="508">
      <x:c r="B508" t="str">
        <x:v>A-NCP-085</x:v>
      </x:c>
      <x:c r="C508" t="str">
        <x:v>path</x:v>
      </x:c>
      <x:c r="D508" t="str">
        <x:v>NCP-085</x:v>
      </x:c>
      <x:c r="E508" t="str">
        <x:v>PASS</x:v>
      </x:c>
      <x:c r="F508" t="str">
        <x:f>'No Common Path'!L91</x:f>
        <x:v>PASS</x:v>
      </x:c>
      <x:c r="G508" t="str">
        <x:f>IF(E508=F508,"PASS","FAIL")</x:f>
        <x:v>PASS</x:v>
      </x:c>
      <x:c r="H508" t="str">
        <x:f>G508</x:f>
        <x:v>PASS</x:v>
      </x:c>
    </x:row>
    <x:row r="509">
      <x:c r="B509" t="str">
        <x:v>A-NCP-086</x:v>
      </x:c>
      <x:c r="C509" t="str">
        <x:v>path</x:v>
      </x:c>
      <x:c r="D509" t="str">
        <x:v>NCP-086</x:v>
      </x:c>
      <x:c r="E509" t="str">
        <x:v>PASS</x:v>
      </x:c>
      <x:c r="F509" t="str">
        <x:f>'No Common Path'!L92</x:f>
        <x:v>PASS</x:v>
      </x:c>
      <x:c r="G509" t="str">
        <x:f>IF(E509=F509,"PASS","FAIL")</x:f>
        <x:v>PASS</x:v>
      </x:c>
      <x:c r="H509" t="str">
        <x:f>G509</x:f>
        <x:v>PASS</x:v>
      </x:c>
    </x:row>
    <x:row r="510">
      <x:c r="B510" t="str">
        <x:v>A-NCP-087</x:v>
      </x:c>
      <x:c r="C510" t="str">
        <x:v>path</x:v>
      </x:c>
      <x:c r="D510" t="str">
        <x:v>NCP-087</x:v>
      </x:c>
      <x:c r="E510" t="str">
        <x:v>PASS</x:v>
      </x:c>
      <x:c r="F510" t="str">
        <x:f>'No Common Path'!L93</x:f>
        <x:v>PASS</x:v>
      </x:c>
      <x:c r="G510" t="str">
        <x:f>IF(E510=F510,"PASS","FAIL")</x:f>
        <x:v>PASS</x:v>
      </x:c>
      <x:c r="H510" t="str">
        <x:f>G510</x:f>
        <x:v>PASS</x:v>
      </x:c>
    </x:row>
    <x:row r="511">
      <x:c r="B511" t="str">
        <x:v>A-NCP-088</x:v>
      </x:c>
      <x:c r="C511" t="str">
        <x:v>path</x:v>
      </x:c>
      <x:c r="D511" t="str">
        <x:v>NCP-088</x:v>
      </x:c>
      <x:c r="E511" t="str">
        <x:v>PASS</x:v>
      </x:c>
      <x:c r="F511" t="str">
        <x:f>'No Common Path'!L94</x:f>
        <x:v>PASS</x:v>
      </x:c>
      <x:c r="G511" t="str">
        <x:f>IF(E511=F511,"PASS","FAIL")</x:f>
        <x:v>PASS</x:v>
      </x:c>
      <x:c r="H511" t="str">
        <x:f>G511</x:f>
        <x:v>PASS</x:v>
      </x:c>
    </x:row>
    <x:row r="512">
      <x:c r="B512" t="str">
        <x:v>A-NCP-089</x:v>
      </x:c>
      <x:c r="C512" t="str">
        <x:v>path</x:v>
      </x:c>
      <x:c r="D512" t="str">
        <x:v>NCP-089</x:v>
      </x:c>
      <x:c r="E512" t="str">
        <x:v>PASS</x:v>
      </x:c>
      <x:c r="F512" t="str">
        <x:f>'No Common Path'!L95</x:f>
        <x:v>PASS</x:v>
      </x:c>
      <x:c r="G512" t="str">
        <x:f>IF(E512=F512,"PASS","FAIL")</x:f>
        <x:v>PASS</x:v>
      </x:c>
      <x:c r="H512" t="str">
        <x:f>G512</x:f>
        <x:v>PASS</x:v>
      </x:c>
    </x:row>
    <x:row r="513">
      <x:c r="B513" t="str">
        <x:v>A-NCP-090</x:v>
      </x:c>
      <x:c r="C513" t="str">
        <x:v>path</x:v>
      </x:c>
      <x:c r="D513" t="str">
        <x:v>NCP-090</x:v>
      </x:c>
      <x:c r="E513" t="str">
        <x:v>PASS</x:v>
      </x:c>
      <x:c r="F513" t="str">
        <x:f>'No Common Path'!L96</x:f>
        <x:v>PASS</x:v>
      </x:c>
      <x:c r="G513" t="str">
        <x:f>IF(E513=F513,"PASS","FAIL")</x:f>
        <x:v>PASS</x:v>
      </x:c>
      <x:c r="H513" t="str">
        <x:f>G513</x:f>
        <x:v>PASS</x:v>
      </x:c>
    </x:row>
    <x:row r="514">
      <x:c r="B514" t="str">
        <x:v>A-NCP-091</x:v>
      </x:c>
      <x:c r="C514" t="str">
        <x:v>path</x:v>
      </x:c>
      <x:c r="D514" t="str">
        <x:v>NCP-091</x:v>
      </x:c>
      <x:c r="E514" t="str">
        <x:v>PASS</x:v>
      </x:c>
      <x:c r="F514" t="str">
        <x:f>'No Common Path'!L97</x:f>
        <x:v>PASS</x:v>
      </x:c>
      <x:c r="G514" t="str">
        <x:f>IF(E514=F514,"PASS","FAIL")</x:f>
        <x:v>PASS</x:v>
      </x:c>
      <x:c r="H514" t="str">
        <x:f>G514</x:f>
        <x:v>PASS</x:v>
      </x:c>
    </x:row>
    <x:row r="515">
      <x:c r="B515" t="str">
        <x:v>A-NCP-092</x:v>
      </x:c>
      <x:c r="C515" t="str">
        <x:v>path</x:v>
      </x:c>
      <x:c r="D515" t="str">
        <x:v>NCP-092</x:v>
      </x:c>
      <x:c r="E515" t="str">
        <x:v>PASS</x:v>
      </x:c>
      <x:c r="F515" t="str">
        <x:f>'No Common Path'!L98</x:f>
        <x:v>PASS</x:v>
      </x:c>
      <x:c r="G515" t="str">
        <x:f>IF(E515=F515,"PASS","FAIL")</x:f>
        <x:v>PASS</x:v>
      </x:c>
      <x:c r="H515" t="str">
        <x:f>G515</x:f>
        <x:v>PASS</x:v>
      </x:c>
    </x:row>
    <x:row r="516">
      <x:c r="B516" t="str">
        <x:v>A-NCP-093</x:v>
      </x:c>
      <x:c r="C516" t="str">
        <x:v>path</x:v>
      </x:c>
      <x:c r="D516" t="str">
        <x:v>NCP-093</x:v>
      </x:c>
      <x:c r="E516" t="str">
        <x:v>PASS</x:v>
      </x:c>
      <x:c r="F516" t="str">
        <x:f>'No Common Path'!L99</x:f>
        <x:v>PASS</x:v>
      </x:c>
      <x:c r="G516" t="str">
        <x:f>IF(E516=F516,"PASS","FAIL")</x:f>
        <x:v>PASS</x:v>
      </x:c>
      <x:c r="H516" t="str">
        <x:f>G516</x:f>
        <x:v>PASS</x:v>
      </x:c>
    </x:row>
    <x:row r="517">
      <x:c r="B517" t="str">
        <x:v>A-NCP-094</x:v>
      </x:c>
      <x:c r="C517" t="str">
        <x:v>path</x:v>
      </x:c>
      <x:c r="D517" t="str">
        <x:v>NCP-094</x:v>
      </x:c>
      <x:c r="E517" t="str">
        <x:v>PASS</x:v>
      </x:c>
      <x:c r="F517" t="str">
        <x:f>'No Common Path'!L100</x:f>
        <x:v>PASS</x:v>
      </x:c>
      <x:c r="G517" t="str">
        <x:f>IF(E517=F517,"PASS","FAIL")</x:f>
        <x:v>PASS</x:v>
      </x:c>
      <x:c r="H517" t="str">
        <x:f>G517</x:f>
        <x:v>PASS</x:v>
      </x:c>
    </x:row>
    <x:row r="518">
      <x:c r="B518" t="str">
        <x:v>A-NCP-095</x:v>
      </x:c>
      <x:c r="C518" t="str">
        <x:v>path</x:v>
      </x:c>
      <x:c r="D518" t="str">
        <x:v>NCP-095</x:v>
      </x:c>
      <x:c r="E518" t="str">
        <x:v>PASS</x:v>
      </x:c>
      <x:c r="F518" t="str">
        <x:f>'No Common Path'!L101</x:f>
        <x:v>PASS</x:v>
      </x:c>
      <x:c r="G518" t="str">
        <x:f>IF(E518=F518,"PASS","FAIL")</x:f>
        <x:v>PASS</x:v>
      </x:c>
      <x:c r="H518" t="str">
        <x:f>G518</x:f>
        <x:v>PASS</x:v>
      </x:c>
    </x:row>
    <x:row r="519">
      <x:c r="B519" t="str">
        <x:v>A-NCP-096</x:v>
      </x:c>
      <x:c r="C519" t="str">
        <x:v>path</x:v>
      </x:c>
      <x:c r="D519" t="str">
        <x:v>NCP-096</x:v>
      </x:c>
      <x:c r="E519" t="str">
        <x:v>PASS</x:v>
      </x:c>
      <x:c r="F519" t="str">
        <x:f>'No Common Path'!L102</x:f>
        <x:v>PASS</x:v>
      </x:c>
      <x:c r="G519" t="str">
        <x:f>IF(E519=F519,"PASS","FAIL")</x:f>
        <x:v>PASS</x:v>
      </x:c>
      <x:c r="H519" t="str">
        <x:f>G519</x:f>
        <x:v>PASS</x:v>
      </x:c>
    </x:row>
    <x:row r="520">
      <x:c r="B520" t="str">
        <x:v>A-NCP-097</x:v>
      </x:c>
      <x:c r="C520" t="str">
        <x:v>path</x:v>
      </x:c>
      <x:c r="D520" t="str">
        <x:v>NCP-097</x:v>
      </x:c>
      <x:c r="E520" t="str">
        <x:v>PASS</x:v>
      </x:c>
      <x:c r="F520" t="str">
        <x:f>'No Common Path'!L103</x:f>
        <x:v>PASS</x:v>
      </x:c>
      <x:c r="G520" t="str">
        <x:f>IF(E520=F520,"PASS","FAIL")</x:f>
        <x:v>PASS</x:v>
      </x:c>
      <x:c r="H520" t="str">
        <x:f>G520</x:f>
        <x:v>PASS</x:v>
      </x:c>
    </x:row>
    <x:row r="521">
      <x:c r="B521" t="str">
        <x:v>A-NCP-098</x:v>
      </x:c>
      <x:c r="C521" t="str">
        <x:v>path</x:v>
      </x:c>
      <x:c r="D521" t="str">
        <x:v>NCP-098</x:v>
      </x:c>
      <x:c r="E521" t="str">
        <x:v>PASS</x:v>
      </x:c>
      <x:c r="F521" t="str">
        <x:f>'No Common Path'!L104</x:f>
        <x:v>PASS</x:v>
      </x:c>
      <x:c r="G521" t="str">
        <x:f>IF(E521=F521,"PASS","FAIL")</x:f>
        <x:v>PASS</x:v>
      </x:c>
      <x:c r="H521" t="str">
        <x:f>G521</x:f>
        <x:v>PASS</x:v>
      </x:c>
    </x:row>
    <x:row r="522">
      <x:c r="B522" t="str">
        <x:v>A-NCP-099</x:v>
      </x:c>
      <x:c r="C522" t="str">
        <x:v>path</x:v>
      </x:c>
      <x:c r="D522" t="str">
        <x:v>NCP-099</x:v>
      </x:c>
      <x:c r="E522" t="str">
        <x:v>PASS</x:v>
      </x:c>
      <x:c r="F522" t="str">
        <x:f>'No Common Path'!L105</x:f>
        <x:v>PASS</x:v>
      </x:c>
      <x:c r="G522" t="str">
        <x:f>IF(E522=F522,"PASS","FAIL")</x:f>
        <x:v>PASS</x:v>
      </x:c>
      <x:c r="H522" t="str">
        <x:f>G522</x:f>
        <x:v>PASS</x:v>
      </x:c>
    </x:row>
    <x:row r="523">
      <x:c r="B523" t="str">
        <x:v>A-NCP-100</x:v>
      </x:c>
      <x:c r="C523" t="str">
        <x:v>path</x:v>
      </x:c>
      <x:c r="D523" t="str">
        <x:v>NCP-100</x:v>
      </x:c>
      <x:c r="E523" t="str">
        <x:v>PASS</x:v>
      </x:c>
      <x:c r="F523" t="str">
        <x:f>'No Common Path'!L106</x:f>
        <x:v>PASS</x:v>
      </x:c>
      <x:c r="G523" t="str">
        <x:f>IF(E523=F523,"PASS","FAIL")</x:f>
        <x:v>PASS</x:v>
      </x:c>
      <x:c r="H523" t="str">
        <x:f>G523</x:f>
        <x:v>PASS</x:v>
      </x:c>
    </x:row>
    <x:row r="524">
      <x:c r="B524" t="str">
        <x:v>A-NCP-101</x:v>
      </x:c>
      <x:c r="C524" t="str">
        <x:v>path</x:v>
      </x:c>
      <x:c r="D524" t="str">
        <x:v>NCP-101</x:v>
      </x:c>
      <x:c r="E524" t="str">
        <x:v>PASS</x:v>
      </x:c>
      <x:c r="F524" t="str">
        <x:f>'No Common Path'!L107</x:f>
        <x:v>PASS</x:v>
      </x:c>
      <x:c r="G524" t="str">
        <x:f>IF(E524=F524,"PASS","FAIL")</x:f>
        <x:v>PASS</x:v>
      </x:c>
      <x:c r="H524" t="str">
        <x:f>G524</x:f>
        <x:v>PASS</x:v>
      </x:c>
    </x:row>
    <x:row r="525">
      <x:c r="B525" t="str">
        <x:v>A-NCP-102</x:v>
      </x:c>
      <x:c r="C525" t="str">
        <x:v>path</x:v>
      </x:c>
      <x:c r="D525" t="str">
        <x:v>NCP-102</x:v>
      </x:c>
      <x:c r="E525" t="str">
        <x:v>PASS</x:v>
      </x:c>
      <x:c r="F525" t="str">
        <x:f>'No Common Path'!L108</x:f>
        <x:v>PASS</x:v>
      </x:c>
      <x:c r="G525" t="str">
        <x:f>IF(E525=F525,"PASS","FAIL")</x:f>
        <x:v>PASS</x:v>
      </x:c>
      <x:c r="H525" t="str">
        <x:f>G525</x:f>
        <x:v>PASS</x:v>
      </x:c>
    </x:row>
    <x:row r="526">
      <x:c r="B526" t="str">
        <x:v>A-NCP-103</x:v>
      </x:c>
      <x:c r="C526" t="str">
        <x:v>path</x:v>
      </x:c>
      <x:c r="D526" t="str">
        <x:v>NCP-103</x:v>
      </x:c>
      <x:c r="E526" t="str">
        <x:v>PASS</x:v>
      </x:c>
      <x:c r="F526" t="str">
        <x:f>'No Common Path'!L109</x:f>
        <x:v>PASS</x:v>
      </x:c>
      <x:c r="G526" t="str">
        <x:f>IF(E526=F526,"PASS","FAIL")</x:f>
        <x:v>PASS</x:v>
      </x:c>
      <x:c r="H526" t="str">
        <x:f>G526</x:f>
        <x:v>PASS</x:v>
      </x:c>
    </x:row>
    <x:row r="527">
      <x:c r="B527" t="str">
        <x:v>A-NCP-104</x:v>
      </x:c>
      <x:c r="C527" t="str">
        <x:v>path</x:v>
      </x:c>
      <x:c r="D527" t="str">
        <x:v>NCP-104</x:v>
      </x:c>
      <x:c r="E527" t="str">
        <x:v>PASS</x:v>
      </x:c>
      <x:c r="F527" t="str">
        <x:f>'No Common Path'!L110</x:f>
        <x:v>PASS</x:v>
      </x:c>
      <x:c r="G527" t="str">
        <x:f>IF(E527=F527,"PASS","FAIL")</x:f>
        <x:v>PASS</x:v>
      </x:c>
      <x:c r="H527" t="str">
        <x:f>G527</x:f>
        <x:v>PASS</x:v>
      </x:c>
    </x:row>
    <x:row r="528">
      <x:c r="B528" t="str">
        <x:v>A-NCP-105</x:v>
      </x:c>
      <x:c r="C528" t="str">
        <x:v>path</x:v>
      </x:c>
      <x:c r="D528" t="str">
        <x:v>NCP-105</x:v>
      </x:c>
      <x:c r="E528" t="str">
        <x:v>PASS</x:v>
      </x:c>
      <x:c r="F528" t="str">
        <x:f>'No Common Path'!L111</x:f>
        <x:v>PASS</x:v>
      </x:c>
      <x:c r="G528" t="str">
        <x:f>IF(E528=F528,"PASS","FAIL")</x:f>
        <x:v>PASS</x:v>
      </x:c>
      <x:c r="H528" t="str">
        <x:f>G528</x:f>
        <x:v>PASS</x:v>
      </x:c>
    </x:row>
    <x:row r="529">
      <x:c r="B529" t="str">
        <x:v>A-NCP-106</x:v>
      </x:c>
      <x:c r="C529" t="str">
        <x:v>path</x:v>
      </x:c>
      <x:c r="D529" t="str">
        <x:v>NCP-106</x:v>
      </x:c>
      <x:c r="E529" t="str">
        <x:v>PASS</x:v>
      </x:c>
      <x:c r="F529" t="str">
        <x:f>'No Common Path'!L112</x:f>
        <x:v>PASS</x:v>
      </x:c>
      <x:c r="G529" t="str">
        <x:f>IF(E529=F529,"PASS","FAIL")</x:f>
        <x:v>PASS</x:v>
      </x:c>
      <x:c r="H529" t="str">
        <x:f>G529</x:f>
        <x:v>PASS</x:v>
      </x:c>
    </x:row>
    <x:row r="530">
      <x:c r="B530" t="str">
        <x:v>A-NCP-107</x:v>
      </x:c>
      <x:c r="C530" t="str">
        <x:v>path</x:v>
      </x:c>
      <x:c r="D530" t="str">
        <x:v>NCP-107</x:v>
      </x:c>
      <x:c r="E530" t="str">
        <x:v>PASS</x:v>
      </x:c>
      <x:c r="F530" t="str">
        <x:f>'No Common Path'!L113</x:f>
        <x:v>PASS</x:v>
      </x:c>
      <x:c r="G530" t="str">
        <x:f>IF(E530=F530,"PASS","FAIL")</x:f>
        <x:v>PASS</x:v>
      </x:c>
      <x:c r="H530" t="str">
        <x:f>G530</x:f>
        <x:v>PASS</x:v>
      </x:c>
    </x:row>
    <x:row r="531">
      <x:c r="B531" t="str">
        <x:v>A-NCP-108</x:v>
      </x:c>
      <x:c r="C531" t="str">
        <x:v>path</x:v>
      </x:c>
      <x:c r="D531" t="str">
        <x:v>NCP-108</x:v>
      </x:c>
      <x:c r="E531" t="str">
        <x:v>PASS</x:v>
      </x:c>
      <x:c r="F531" t="str">
        <x:f>'No Common Path'!L114</x:f>
        <x:v>PASS</x:v>
      </x:c>
      <x:c r="G531" t="str">
        <x:f>IF(E531=F531,"PASS","FAIL")</x:f>
        <x:v>PASS</x:v>
      </x:c>
      <x:c r="H531" t="str">
        <x:f>G531</x:f>
        <x:v>PASS</x:v>
      </x:c>
    </x:row>
    <x:row r="532">
      <x:c r="B532" t="str">
        <x:v>A-NCP-109</x:v>
      </x:c>
      <x:c r="C532" t="str">
        <x:v>path</x:v>
      </x:c>
      <x:c r="D532" t="str">
        <x:v>NCP-109</x:v>
      </x:c>
      <x:c r="E532" t="str">
        <x:v>PASS</x:v>
      </x:c>
      <x:c r="F532" t="str">
        <x:f>'No Common Path'!L115</x:f>
        <x:v>PASS</x:v>
      </x:c>
      <x:c r="G532" t="str">
        <x:f>IF(E532=F532,"PASS","FAIL")</x:f>
        <x:v>PASS</x:v>
      </x:c>
      <x:c r="H532" t="str">
        <x:f>G532</x:f>
        <x:v>PASS</x:v>
      </x:c>
    </x:row>
    <x:row r="533">
      <x:c r="B533" t="str">
        <x:v>A-NCP-110</x:v>
      </x:c>
      <x:c r="C533" t="str">
        <x:v>path</x:v>
      </x:c>
      <x:c r="D533" t="str">
        <x:v>NCP-110</x:v>
      </x:c>
      <x:c r="E533" t="str">
        <x:v>PASS</x:v>
      </x:c>
      <x:c r="F533" t="str">
        <x:f>'No Common Path'!L116</x:f>
        <x:v>PASS</x:v>
      </x:c>
      <x:c r="G533" t="str">
        <x:f>IF(E533=F533,"PASS","FAIL")</x:f>
        <x:v>PASS</x:v>
      </x:c>
      <x:c r="H533" t="str">
        <x:f>G533</x:f>
        <x:v>PASS</x:v>
      </x:c>
    </x:row>
    <x:row r="534">
      <x:c r="B534" t="str">
        <x:v>A-NCP-111</x:v>
      </x:c>
      <x:c r="C534" t="str">
        <x:v>path</x:v>
      </x:c>
      <x:c r="D534" t="str">
        <x:v>NCP-111</x:v>
      </x:c>
      <x:c r="E534" t="str">
        <x:v>PASS</x:v>
      </x:c>
      <x:c r="F534" t="str">
        <x:f>'No Common Path'!L117</x:f>
        <x:v>PASS</x:v>
      </x:c>
      <x:c r="G534" t="str">
        <x:f>IF(E534=F534,"PASS","FAIL")</x:f>
        <x:v>PASS</x:v>
      </x:c>
      <x:c r="H534" t="str">
        <x:f>G534</x:f>
        <x:v>PASS</x:v>
      </x:c>
    </x:row>
    <x:row r="535">
      <x:c r="B535" t="str">
        <x:v>A-NCP-112</x:v>
      </x:c>
      <x:c r="C535" t="str">
        <x:v>path</x:v>
      </x:c>
      <x:c r="D535" t="str">
        <x:v>NCP-112</x:v>
      </x:c>
      <x:c r="E535" t="str">
        <x:v>PASS</x:v>
      </x:c>
      <x:c r="F535" t="str">
        <x:f>'No Common Path'!L118</x:f>
        <x:v>PASS</x:v>
      </x:c>
      <x:c r="G535" t="str">
        <x:f>IF(E535=F535,"PASS","FAIL")</x:f>
        <x:v>PASS</x:v>
      </x:c>
      <x:c r="H535" t="str">
        <x:f>G535</x:f>
        <x:v>PASS</x:v>
      </x:c>
    </x:row>
    <x:row r="536">
      <x:c r="B536" t="str">
        <x:v>A-NCP-113</x:v>
      </x:c>
      <x:c r="C536" t="str">
        <x:v>path</x:v>
      </x:c>
      <x:c r="D536" t="str">
        <x:v>NCP-113</x:v>
      </x:c>
      <x:c r="E536" t="str">
        <x:v>PASS</x:v>
      </x:c>
      <x:c r="F536" t="str">
        <x:f>'No Common Path'!L119</x:f>
        <x:v>PASS</x:v>
      </x:c>
      <x:c r="G536" t="str">
        <x:f>IF(E536=F536,"PASS","FAIL")</x:f>
        <x:v>PASS</x:v>
      </x:c>
      <x:c r="H536" t="str">
        <x:f>G536</x:f>
        <x:v>PASS</x:v>
      </x:c>
    </x:row>
    <x:row r="537">
      <x:c r="B537" t="str">
        <x:v>A-NCP-114</x:v>
      </x:c>
      <x:c r="C537" t="str">
        <x:v>path</x:v>
      </x:c>
      <x:c r="D537" t="str">
        <x:v>NCP-114</x:v>
      </x:c>
      <x:c r="E537" t="str">
        <x:v>PASS</x:v>
      </x:c>
      <x:c r="F537" t="str">
        <x:f>'No Common Path'!L120</x:f>
        <x:v>PASS</x:v>
      </x:c>
      <x:c r="G537" t="str">
        <x:f>IF(E537=F537,"PASS","FAIL")</x:f>
        <x:v>PASS</x:v>
      </x:c>
      <x:c r="H537" t="str">
        <x:f>G537</x:f>
        <x:v>PASS</x:v>
      </x:c>
    </x:row>
    <x:row r="538">
      <x:c r="B538" t="str">
        <x:v>A-NCP-115</x:v>
      </x:c>
      <x:c r="C538" t="str">
        <x:v>path</x:v>
      </x:c>
      <x:c r="D538" t="str">
        <x:v>NCP-115</x:v>
      </x:c>
      <x:c r="E538" t="str">
        <x:v>PASS</x:v>
      </x:c>
      <x:c r="F538" t="str">
        <x:f>'No Common Path'!L121</x:f>
        <x:v>PASS</x:v>
      </x:c>
      <x:c r="G538" t="str">
        <x:f>IF(E538=F538,"PASS","FAIL")</x:f>
        <x:v>PASS</x:v>
      </x:c>
      <x:c r="H538" t="str">
        <x:f>G538</x:f>
        <x:v>PASS</x:v>
      </x:c>
    </x:row>
    <x:row r="539">
      <x:c r="B539" t="str">
        <x:v>A-NCP-116</x:v>
      </x:c>
      <x:c r="C539" t="str">
        <x:v>path</x:v>
      </x:c>
      <x:c r="D539" t="str">
        <x:v>NCP-116</x:v>
      </x:c>
      <x:c r="E539" t="str">
        <x:v>PASS</x:v>
      </x:c>
      <x:c r="F539" t="str">
        <x:f>'No Common Path'!L122</x:f>
        <x:v>PASS</x:v>
      </x:c>
      <x:c r="G539" t="str">
        <x:f>IF(E539=F539,"PASS","FAIL")</x:f>
        <x:v>PASS</x:v>
      </x:c>
      <x:c r="H539" t="str">
        <x:f>G539</x:f>
        <x:v>PASS</x:v>
      </x:c>
    </x:row>
    <x:row r="540">
      <x:c r="B540" t="str">
        <x:v>A-NCP-117</x:v>
      </x:c>
      <x:c r="C540" t="str">
        <x:v>path</x:v>
      </x:c>
      <x:c r="D540" t="str">
        <x:v>NCP-117</x:v>
      </x:c>
      <x:c r="E540" t="str">
        <x:v>PASS</x:v>
      </x:c>
      <x:c r="F540" t="str">
        <x:f>'No Common Path'!L123</x:f>
        <x:v>PASS</x:v>
      </x:c>
      <x:c r="G540" t="str">
        <x:f>IF(E540=F540,"PASS","FAIL")</x:f>
        <x:v>PASS</x:v>
      </x:c>
      <x:c r="H540" t="str">
        <x:f>G540</x:f>
        <x:v>PASS</x:v>
      </x:c>
    </x:row>
    <x:row r="541">
      <x:c r="B541" t="str">
        <x:v>A-NCP-118</x:v>
      </x:c>
      <x:c r="C541" t="str">
        <x:v>path</x:v>
      </x:c>
      <x:c r="D541" t="str">
        <x:v>NCP-118</x:v>
      </x:c>
      <x:c r="E541" t="str">
        <x:v>PASS</x:v>
      </x:c>
      <x:c r="F541" t="str">
        <x:f>'No Common Path'!L124</x:f>
        <x:v>PASS</x:v>
      </x:c>
      <x:c r="G541" t="str">
        <x:f>IF(E541=F541,"PASS","FAIL")</x:f>
        <x:v>PASS</x:v>
      </x:c>
      <x:c r="H541" t="str">
        <x:f>G541</x:f>
        <x:v>PASS</x:v>
      </x:c>
    </x:row>
    <x:row r="542">
      <x:c r="B542" t="str">
        <x:v>A-NCP-119</x:v>
      </x:c>
      <x:c r="C542" t="str">
        <x:v>path</x:v>
      </x:c>
      <x:c r="D542" t="str">
        <x:v>NCP-119</x:v>
      </x:c>
      <x:c r="E542" t="str">
        <x:v>PASS</x:v>
      </x:c>
      <x:c r="F542" t="str">
        <x:f>'No Common Path'!L125</x:f>
        <x:v>PASS</x:v>
      </x:c>
      <x:c r="G542" t="str">
        <x:f>IF(E542=F542,"PASS","FAIL")</x:f>
        <x:v>PASS</x:v>
      </x:c>
      <x:c r="H542" t="str">
        <x:f>G542</x:f>
        <x:v>PASS</x:v>
      </x:c>
    </x:row>
    <x:row r="543">
      <x:c r="B543" t="str">
        <x:v>A-NCP-120</x:v>
      </x:c>
      <x:c r="C543" t="str">
        <x:v>path</x:v>
      </x:c>
      <x:c r="D543" t="str">
        <x:v>NCP-120</x:v>
      </x:c>
      <x:c r="E543" t="str">
        <x:v>PASS</x:v>
      </x:c>
      <x:c r="F543" t="str">
        <x:f>'No Common Path'!L126</x:f>
        <x:v>PASS</x:v>
      </x:c>
      <x:c r="G543" t="str">
        <x:f>IF(E543=F543,"PASS","FAIL")</x:f>
        <x:v>PASS</x:v>
      </x:c>
      <x:c r="H543" t="str">
        <x:f>G543</x:f>
        <x:v>PASS</x:v>
      </x:c>
    </x:row>
    <x:row r="544">
      <x:c r="B544" t="str">
        <x:v>A-NCP-121</x:v>
      </x:c>
      <x:c r="C544" t="str">
        <x:v>path</x:v>
      </x:c>
      <x:c r="D544" t="str">
        <x:v>NCP-121</x:v>
      </x:c>
      <x:c r="E544" t="str">
        <x:v>PASS</x:v>
      </x:c>
      <x:c r="F544" t="str">
        <x:f>'No Common Path'!L127</x:f>
        <x:v>PASS</x:v>
      </x:c>
      <x:c r="G544" t="str">
        <x:f>IF(E544=F544,"PASS","FAIL")</x:f>
        <x:v>PASS</x:v>
      </x:c>
      <x:c r="H544" t="str">
        <x:f>G544</x:f>
        <x:v>PASS</x:v>
      </x:c>
    </x:row>
    <x:row r="545">
      <x:c r="B545" t="str">
        <x:v>A-NCP-122</x:v>
      </x:c>
      <x:c r="C545" t="str">
        <x:v>path</x:v>
      </x:c>
      <x:c r="D545" t="str">
        <x:v>NCP-122</x:v>
      </x:c>
      <x:c r="E545" t="str">
        <x:v>PASS</x:v>
      </x:c>
      <x:c r="F545" t="str">
        <x:f>'No Common Path'!L128</x:f>
        <x:v>PASS</x:v>
      </x:c>
      <x:c r="G545" t="str">
        <x:f>IF(E545=F545,"PASS","FAIL")</x:f>
        <x:v>PASS</x:v>
      </x:c>
      <x:c r="H545" t="str">
        <x:f>G545</x:f>
        <x:v>PASS</x:v>
      </x:c>
    </x:row>
    <x:row r="546">
      <x:c r="B546" t="str">
        <x:v>A-NCP-123</x:v>
      </x:c>
      <x:c r="C546" t="str">
        <x:v>path</x:v>
      </x:c>
      <x:c r="D546" t="str">
        <x:v>NCP-123</x:v>
      </x:c>
      <x:c r="E546" t="str">
        <x:v>PASS</x:v>
      </x:c>
      <x:c r="F546" t="str">
        <x:f>'No Common Path'!L129</x:f>
        <x:v>PASS</x:v>
      </x:c>
      <x:c r="G546" t="str">
        <x:f>IF(E546=F546,"PASS","FAIL")</x:f>
        <x:v>PASS</x:v>
      </x:c>
      <x:c r="H546" t="str">
        <x:f>G546</x:f>
        <x:v>PASS</x:v>
      </x:c>
    </x:row>
    <x:row r="547">
      <x:c r="B547" t="str">
        <x:v>A-NCP-124</x:v>
      </x:c>
      <x:c r="C547" t="str">
        <x:v>path</x:v>
      </x:c>
      <x:c r="D547" t="str">
        <x:v>NCP-124</x:v>
      </x:c>
      <x:c r="E547" t="str">
        <x:v>PASS</x:v>
      </x:c>
      <x:c r="F547" t="str">
        <x:f>'No Common Path'!L130</x:f>
        <x:v>PASS</x:v>
      </x:c>
      <x:c r="G547" t="str">
        <x:f>IF(E547=F547,"PASS","FAIL")</x:f>
        <x:v>PASS</x:v>
      </x:c>
      <x:c r="H547" t="str">
        <x:f>G547</x:f>
        <x:v>PASS</x:v>
      </x:c>
    </x:row>
    <x:row r="548">
      <x:c r="B548" t="str">
        <x:v>A-NCP-125</x:v>
      </x:c>
      <x:c r="C548" t="str">
        <x:v>path</x:v>
      </x:c>
      <x:c r="D548" t="str">
        <x:v>NCP-125</x:v>
      </x:c>
      <x:c r="E548" t="str">
        <x:v>PASS</x:v>
      </x:c>
      <x:c r="F548" t="str">
        <x:f>'No Common Path'!L131</x:f>
        <x:v>PASS</x:v>
      </x:c>
      <x:c r="G548" t="str">
        <x:f>IF(E548=F548,"PASS","FAIL")</x:f>
        <x:v>PASS</x:v>
      </x:c>
      <x:c r="H548" t="str">
        <x:f>G548</x:f>
        <x:v>PASS</x:v>
      </x:c>
    </x:row>
    <x:row r="549">
      <x:c r="B549" t="str">
        <x:v>A-NCP-126</x:v>
      </x:c>
      <x:c r="C549" t="str">
        <x:v>path</x:v>
      </x:c>
      <x:c r="D549" t="str">
        <x:v>NCP-126</x:v>
      </x:c>
      <x:c r="E549" t="str">
        <x:v>PASS</x:v>
      </x:c>
      <x:c r="F549" t="str">
        <x:f>'No Common Path'!L132</x:f>
        <x:v>PASS</x:v>
      </x:c>
      <x:c r="G549" t="str">
        <x:f>IF(E549=F549,"PASS","FAIL")</x:f>
        <x:v>PASS</x:v>
      </x:c>
      <x:c r="H549" t="str">
        <x:f>G549</x:f>
        <x:v>PASS</x:v>
      </x:c>
    </x:row>
    <x:row r="550">
      <x:c r="B550" t="str">
        <x:v>A-NCP-127</x:v>
      </x:c>
      <x:c r="C550" t="str">
        <x:v>path</x:v>
      </x:c>
      <x:c r="D550" t="str">
        <x:v>NCP-127</x:v>
      </x:c>
      <x:c r="E550" t="str">
        <x:v>PASS</x:v>
      </x:c>
      <x:c r="F550" t="str">
        <x:f>'No Common Path'!L133</x:f>
        <x:v>PASS</x:v>
      </x:c>
      <x:c r="G550" t="str">
        <x:f>IF(E550=F550,"PASS","FAIL")</x:f>
        <x:v>PASS</x:v>
      </x:c>
      <x:c r="H550" t="str">
        <x:f>G550</x:f>
        <x:v>PASS</x:v>
      </x:c>
    </x:row>
    <x:row r="551">
      <x:c r="B551" t="str">
        <x:v>A-NCP-128</x:v>
      </x:c>
      <x:c r="C551" t="str">
        <x:v>path</x:v>
      </x:c>
      <x:c r="D551" t="str">
        <x:v>NCP-128</x:v>
      </x:c>
      <x:c r="E551" t="str">
        <x:v>PASS</x:v>
      </x:c>
      <x:c r="F551" t="str">
        <x:f>'No Common Path'!L134</x:f>
        <x:v>PASS</x:v>
      </x:c>
      <x:c r="G551" t="str">
        <x:f>IF(E551=F551,"PASS","FAIL")</x:f>
        <x:v>PASS</x:v>
      </x:c>
      <x:c r="H551" t="str">
        <x:f>G551</x:f>
        <x:v>PASS</x:v>
      </x:c>
    </x:row>
    <x:row r="552">
      <x:c r="B552" t="str">
        <x:v>A-NCP-129</x:v>
      </x:c>
      <x:c r="C552" t="str">
        <x:v>path</x:v>
      </x:c>
      <x:c r="D552" t="str">
        <x:v>NCP-129</x:v>
      </x:c>
      <x:c r="E552" t="str">
        <x:v>PASS</x:v>
      </x:c>
      <x:c r="F552" t="str">
        <x:f>'No Common Path'!L135</x:f>
        <x:v>PASS</x:v>
      </x:c>
      <x:c r="G552" t="str">
        <x:f>IF(E552=F552,"PASS","FAIL")</x:f>
        <x:v>PASS</x:v>
      </x:c>
      <x:c r="H552" t="str">
        <x:f>G552</x:f>
        <x:v>PASS</x:v>
      </x:c>
    </x:row>
    <x:row r="553">
      <x:c r="B553" t="str">
        <x:v>A-NCP-130</x:v>
      </x:c>
      <x:c r="C553" t="str">
        <x:v>path</x:v>
      </x:c>
      <x:c r="D553" t="str">
        <x:v>NCP-130</x:v>
      </x:c>
      <x:c r="E553" t="str">
        <x:v>PASS</x:v>
      </x:c>
      <x:c r="F553" t="str">
        <x:f>'No Common Path'!L136</x:f>
        <x:v>PASS</x:v>
      </x:c>
      <x:c r="G553" t="str">
        <x:f>IF(E553=F553,"PASS","FAIL")</x:f>
        <x:v>PASS</x:v>
      </x:c>
      <x:c r="H553" t="str">
        <x:f>G553</x:f>
        <x:v>PASS</x:v>
      </x:c>
    </x:row>
    <x:row r="554">
      <x:c r="B554" t="str">
        <x:v>A-NCP-131</x:v>
      </x:c>
      <x:c r="C554" t="str">
        <x:v>path</x:v>
      </x:c>
      <x:c r="D554" t="str">
        <x:v>NCP-131</x:v>
      </x:c>
      <x:c r="E554" t="str">
        <x:v>PASS</x:v>
      </x:c>
      <x:c r="F554" t="str">
        <x:f>'No Common Path'!L137</x:f>
        <x:v>PASS</x:v>
      </x:c>
      <x:c r="G554" t="str">
        <x:f>IF(E554=F554,"PASS","FAIL")</x:f>
        <x:v>PASS</x:v>
      </x:c>
      <x:c r="H554" t="str">
        <x:f>G554</x:f>
        <x:v>PASS</x:v>
      </x:c>
    </x:row>
    <x:row r="555">
      <x:c r="B555" t="str">
        <x:v>A-NCP-132</x:v>
      </x:c>
      <x:c r="C555" t="str">
        <x:v>path</x:v>
      </x:c>
      <x:c r="D555" t="str">
        <x:v>NCP-132</x:v>
      </x:c>
      <x:c r="E555" t="str">
        <x:v>PASS</x:v>
      </x:c>
      <x:c r="F555" t="str">
        <x:f>'No Common Path'!L138</x:f>
        <x:v>PASS</x:v>
      </x:c>
      <x:c r="G555" t="str">
        <x:f>IF(E555=F555,"PASS","FAIL")</x:f>
        <x:v>PASS</x:v>
      </x:c>
      <x:c r="H555" t="str">
        <x:f>G555</x:f>
        <x:v>PASS</x:v>
      </x:c>
    </x:row>
    <x:row r="556">
      <x:c r="B556" t="str">
        <x:v>A-NCP-133</x:v>
      </x:c>
      <x:c r="C556" t="str">
        <x:v>path</x:v>
      </x:c>
      <x:c r="D556" t="str">
        <x:v>NCP-133</x:v>
      </x:c>
      <x:c r="E556" t="str">
        <x:v>PASS</x:v>
      </x:c>
      <x:c r="F556" t="str">
        <x:f>'No Common Path'!L139</x:f>
        <x:v>PASS</x:v>
      </x:c>
      <x:c r="G556" t="str">
        <x:f>IF(E556=F556,"PASS","FAIL")</x:f>
        <x:v>PASS</x:v>
      </x:c>
      <x:c r="H556" t="str">
        <x:f>G556</x:f>
        <x:v>PASS</x:v>
      </x:c>
    </x:row>
    <x:row r="557">
      <x:c r="B557" t="str">
        <x:v>A-NCP-134</x:v>
      </x:c>
      <x:c r="C557" t="str">
        <x:v>path</x:v>
      </x:c>
      <x:c r="D557" t="str">
        <x:v>NCP-134</x:v>
      </x:c>
      <x:c r="E557" t="str">
        <x:v>PASS</x:v>
      </x:c>
      <x:c r="F557" t="str">
        <x:f>'No Common Path'!L140</x:f>
        <x:v>PASS</x:v>
      </x:c>
      <x:c r="G557" t="str">
        <x:f>IF(E557=F557,"PASS","FAIL")</x:f>
        <x:v>PASS</x:v>
      </x:c>
      <x:c r="H557" t="str">
        <x:f>G557</x:f>
        <x:v>PASS</x:v>
      </x:c>
    </x:row>
    <x:row r="558">
      <x:c r="B558" t="str">
        <x:v>A-NCP-135</x:v>
      </x:c>
      <x:c r="C558" t="str">
        <x:v>path</x:v>
      </x:c>
      <x:c r="D558" t="str">
        <x:v>NCP-135</x:v>
      </x:c>
      <x:c r="E558" t="str">
        <x:v>PASS</x:v>
      </x:c>
      <x:c r="F558" t="str">
        <x:f>'No Common Path'!L141</x:f>
        <x:v>PASS</x:v>
      </x:c>
      <x:c r="G558" t="str">
        <x:f>IF(E558=F558,"PASS","FAIL")</x:f>
        <x:v>PASS</x:v>
      </x:c>
      <x:c r="H558" t="str">
        <x:f>G558</x:f>
        <x:v>PASS</x:v>
      </x:c>
    </x:row>
    <x:row r="559">
      <x:c r="B559" t="str">
        <x:v>A-NCP-136</x:v>
      </x:c>
      <x:c r="C559" t="str">
        <x:v>path</x:v>
      </x:c>
      <x:c r="D559" t="str">
        <x:v>NCP-136</x:v>
      </x:c>
      <x:c r="E559" t="str">
        <x:v>PASS</x:v>
      </x:c>
      <x:c r="F559" t="str">
        <x:f>'No Common Path'!L142</x:f>
        <x:v>PASS</x:v>
      </x:c>
      <x:c r="G559" t="str">
        <x:f>IF(E559=F559,"PASS","FAIL")</x:f>
        <x:v>PASS</x:v>
      </x:c>
      <x:c r="H559" t="str">
        <x:f>G559</x:f>
        <x:v>PASS</x:v>
      </x:c>
    </x:row>
    <x:row r="560">
      <x:c r="B560" t="str">
        <x:v>A-NCP-137</x:v>
      </x:c>
      <x:c r="C560" t="str">
        <x:v>path</x:v>
      </x:c>
      <x:c r="D560" t="str">
        <x:v>NCP-137</x:v>
      </x:c>
      <x:c r="E560" t="str">
        <x:v>PASS</x:v>
      </x:c>
      <x:c r="F560" t="str">
        <x:f>'No Common Path'!L143</x:f>
        <x:v>PASS</x:v>
      </x:c>
      <x:c r="G560" t="str">
        <x:f>IF(E560=F560,"PASS","FAIL")</x:f>
        <x:v>PASS</x:v>
      </x:c>
      <x:c r="H560" t="str">
        <x:f>G560</x:f>
        <x:v>PASS</x:v>
      </x:c>
    </x:row>
    <x:row r="561">
      <x:c r="B561" t="str">
        <x:v>A-NCP-138</x:v>
      </x:c>
      <x:c r="C561" t="str">
        <x:v>path</x:v>
      </x:c>
      <x:c r="D561" t="str">
        <x:v>NCP-138</x:v>
      </x:c>
      <x:c r="E561" t="str">
        <x:v>PASS</x:v>
      </x:c>
      <x:c r="F561" t="str">
        <x:f>'No Common Path'!L144</x:f>
        <x:v>PASS</x:v>
      </x:c>
      <x:c r="G561" t="str">
        <x:f>IF(E561=F561,"PASS","FAIL")</x:f>
        <x:v>PASS</x:v>
      </x:c>
      <x:c r="H561" t="str">
        <x:f>G561</x:f>
        <x:v>PASS</x:v>
      </x:c>
    </x:row>
    <x:row r="562">
      <x:c r="B562" t="str">
        <x:v>A-NCP-139</x:v>
      </x:c>
      <x:c r="C562" t="str">
        <x:v>path</x:v>
      </x:c>
      <x:c r="D562" t="str">
        <x:v>NCP-139</x:v>
      </x:c>
      <x:c r="E562" t="str">
        <x:v>PASS</x:v>
      </x:c>
      <x:c r="F562" t="str">
        <x:f>'No Common Path'!L145</x:f>
        <x:v>PASS</x:v>
      </x:c>
      <x:c r="G562" t="str">
        <x:f>IF(E562=F562,"PASS","FAIL")</x:f>
        <x:v>PASS</x:v>
      </x:c>
      <x:c r="H562" t="str">
        <x:f>G562</x:f>
        <x:v>PASS</x:v>
      </x:c>
    </x:row>
    <x:row r="563">
      <x:c r="B563" t="str">
        <x:v>A-NCP-140</x:v>
      </x:c>
      <x:c r="C563" t="str">
        <x:v>path</x:v>
      </x:c>
      <x:c r="D563" t="str">
        <x:v>NCP-140</x:v>
      </x:c>
      <x:c r="E563" t="str">
        <x:v>PASS</x:v>
      </x:c>
      <x:c r="F563" t="str">
        <x:f>'No Common Path'!L146</x:f>
        <x:v>PASS</x:v>
      </x:c>
      <x:c r="G563" t="str">
        <x:f>IF(E563=F563,"PASS","FAIL")</x:f>
        <x:v>PASS</x:v>
      </x:c>
      <x:c r="H563" t="str">
        <x:f>G563</x:f>
        <x:v>PASS</x:v>
      </x:c>
    </x:row>
    <x:row r="564">
      <x:c r="B564" t="str">
        <x:v>A-NCP-141</x:v>
      </x:c>
      <x:c r="C564" t="str">
        <x:v>path</x:v>
      </x:c>
      <x:c r="D564" t="str">
        <x:v>NCP-141</x:v>
      </x:c>
      <x:c r="E564" t="str">
        <x:v>PASS</x:v>
      </x:c>
      <x:c r="F564" t="str">
        <x:f>'No Common Path'!L147</x:f>
        <x:v>PASS</x:v>
      </x:c>
      <x:c r="G564" t="str">
        <x:f>IF(E564=F564,"PASS","FAIL")</x:f>
        <x:v>PASS</x:v>
      </x:c>
      <x:c r="H564" t="str">
        <x:f>G564</x:f>
        <x:v>PASS</x:v>
      </x:c>
    </x:row>
    <x:row r="565">
      <x:c r="B565" t="str">
        <x:v>A-NCP-142</x:v>
      </x:c>
      <x:c r="C565" t="str">
        <x:v>path</x:v>
      </x:c>
      <x:c r="D565" t="str">
        <x:v>NCP-142</x:v>
      </x:c>
      <x:c r="E565" t="str">
        <x:v>PASS</x:v>
      </x:c>
      <x:c r="F565" t="str">
        <x:f>'No Common Path'!L148</x:f>
        <x:v>PASS</x:v>
      </x:c>
      <x:c r="G565" t="str">
        <x:f>IF(E565=F565,"PASS","FAIL")</x:f>
        <x:v>PASS</x:v>
      </x:c>
      <x:c r="H565" t="str">
        <x:f>G565</x:f>
        <x:v>PASS</x:v>
      </x:c>
    </x:row>
    <x:row r="566">
      <x:c r="B566" t="str">
        <x:v>A-NCP-143</x:v>
      </x:c>
      <x:c r="C566" t="str">
        <x:v>path</x:v>
      </x:c>
      <x:c r="D566" t="str">
        <x:v>NCP-143</x:v>
      </x:c>
      <x:c r="E566" t="str">
        <x:v>PASS</x:v>
      </x:c>
      <x:c r="F566" t="str">
        <x:f>'No Common Path'!L149</x:f>
        <x:v>PASS</x:v>
      </x:c>
      <x:c r="G566" t="str">
        <x:f>IF(E566=F566,"PASS","FAIL")</x:f>
        <x:v>PASS</x:v>
      </x:c>
      <x:c r="H566" t="str">
        <x:f>G566</x:f>
        <x:v>PASS</x:v>
      </x:c>
    </x:row>
    <x:row r="567">
      <x:c r="B567" t="str">
        <x:v>A-NCP-144</x:v>
      </x:c>
      <x:c r="C567" t="str">
        <x:v>path</x:v>
      </x:c>
      <x:c r="D567" t="str">
        <x:v>NCP-144</x:v>
      </x:c>
      <x:c r="E567" t="str">
        <x:v>PASS</x:v>
      </x:c>
      <x:c r="F567" t="str">
        <x:f>'No Common Path'!L150</x:f>
        <x:v>PASS</x:v>
      </x:c>
      <x:c r="G567" t="str">
        <x:f>IF(E567=F567,"PASS","FAIL")</x:f>
        <x:v>PASS</x:v>
      </x:c>
      <x:c r="H567" t="str">
        <x:f>G567</x:f>
        <x:v>PASS</x:v>
      </x:c>
    </x:row>
    <x:row r="568">
      <x:c r="B568" t="str">
        <x:v>A-NCP-145</x:v>
      </x:c>
      <x:c r="C568" t="str">
        <x:v>path</x:v>
      </x:c>
      <x:c r="D568" t="str">
        <x:v>NCP-145</x:v>
      </x:c>
      <x:c r="E568" t="str">
        <x:v>PASS</x:v>
      </x:c>
      <x:c r="F568" t="str">
        <x:f>'No Common Path'!L151</x:f>
        <x:v>PASS</x:v>
      </x:c>
      <x:c r="G568" t="str">
        <x:f>IF(E568=F568,"PASS","FAIL")</x:f>
        <x:v>PASS</x:v>
      </x:c>
      <x:c r="H568" t="str">
        <x:f>G568</x:f>
        <x:v>PASS</x:v>
      </x:c>
    </x:row>
    <x:row r="569">
      <x:c r="B569" t="str">
        <x:v>A-NCP-146</x:v>
      </x:c>
      <x:c r="C569" t="str">
        <x:v>path</x:v>
      </x:c>
      <x:c r="D569" t="str">
        <x:v>NCP-146</x:v>
      </x:c>
      <x:c r="E569" t="str">
        <x:v>PASS</x:v>
      </x:c>
      <x:c r="F569" t="str">
        <x:f>'No Common Path'!L152</x:f>
        <x:v>PASS</x:v>
      </x:c>
      <x:c r="G569" t="str">
        <x:f>IF(E569=F569,"PASS","FAIL")</x:f>
        <x:v>PASS</x:v>
      </x:c>
      <x:c r="H569" t="str">
        <x:f>G569</x:f>
        <x:v>PASS</x:v>
      </x:c>
    </x:row>
    <x:row r="570">
      <x:c r="B570" t="str">
        <x:v>A-NCP-147</x:v>
      </x:c>
      <x:c r="C570" t="str">
        <x:v>path</x:v>
      </x:c>
      <x:c r="D570" t="str">
        <x:v>NCP-147</x:v>
      </x:c>
      <x:c r="E570" t="str">
        <x:v>PASS</x:v>
      </x:c>
      <x:c r="F570" t="str">
        <x:f>'No Common Path'!L153</x:f>
        <x:v>PASS</x:v>
      </x:c>
      <x:c r="G570" t="str">
        <x:f>IF(E570=F570,"PASS","FAIL")</x:f>
        <x:v>PASS</x:v>
      </x:c>
      <x:c r="H570" t="str">
        <x:f>G570</x:f>
        <x:v>PASS</x:v>
      </x:c>
    </x:row>
    <x:row r="571">
      <x:c r="B571" t="str">
        <x:v>A-NCP-148</x:v>
      </x:c>
      <x:c r="C571" t="str">
        <x:v>path</x:v>
      </x:c>
      <x:c r="D571" t="str">
        <x:v>NCP-148</x:v>
      </x:c>
      <x:c r="E571" t="str">
        <x:v>PASS</x:v>
      </x:c>
      <x:c r="F571" t="str">
        <x:f>'No Common Path'!L154</x:f>
        <x:v>PASS</x:v>
      </x:c>
      <x:c r="G571" t="str">
        <x:f>IF(E571=F571,"PASS","FAIL")</x:f>
        <x:v>PASS</x:v>
      </x:c>
      <x:c r="H571" t="str">
        <x:f>G571</x:f>
        <x:v>PASS</x:v>
      </x:c>
    </x:row>
    <x:row r="572">
      <x:c r="B572" t="str">
        <x:v>A-NCP-149</x:v>
      </x:c>
      <x:c r="C572" t="str">
        <x:v>path</x:v>
      </x:c>
      <x:c r="D572" t="str">
        <x:v>NCP-149</x:v>
      </x:c>
      <x:c r="E572" t="str">
        <x:v>PASS</x:v>
      </x:c>
      <x:c r="F572" t="str">
        <x:f>'No Common Path'!L155</x:f>
        <x:v>PASS</x:v>
      </x:c>
      <x:c r="G572" t="str">
        <x:f>IF(E572=F572,"PASS","FAIL")</x:f>
        <x:v>PASS</x:v>
      </x:c>
      <x:c r="H572" t="str">
        <x:f>G572</x:f>
        <x:v>PASS</x:v>
      </x:c>
    </x:row>
    <x:row r="573">
      <x:c r="B573" t="str">
        <x:v>A-NCP-150</x:v>
      </x:c>
      <x:c r="C573" t="str">
        <x:v>path</x:v>
      </x:c>
      <x:c r="D573" t="str">
        <x:v>NCP-150</x:v>
      </x:c>
      <x:c r="E573" t="str">
        <x:v>PASS</x:v>
      </x:c>
      <x:c r="F573" t="str">
        <x:f>'No Common Path'!L156</x:f>
        <x:v>PASS</x:v>
      </x:c>
      <x:c r="G573" t="str">
        <x:f>IF(E573=F573,"PASS","FAIL")</x:f>
        <x:v>PASS</x:v>
      </x:c>
      <x:c r="H573" t="str">
        <x:f>G573</x:f>
        <x:v>PASS</x:v>
      </x:c>
    </x:row>
    <x:row r="574">
      <x:c r="B574" t="str">
        <x:v>A-NCP-151</x:v>
      </x:c>
      <x:c r="C574" t="str">
        <x:v>path</x:v>
      </x:c>
      <x:c r="D574" t="str">
        <x:v>NCP-151</x:v>
      </x:c>
      <x:c r="E574" t="str">
        <x:v>PASS</x:v>
      </x:c>
      <x:c r="F574" t="str">
        <x:f>'No Common Path'!L157</x:f>
        <x:v>PASS</x:v>
      </x:c>
      <x:c r="G574" t="str">
        <x:f>IF(E574=F574,"PASS","FAIL")</x:f>
        <x:v>PASS</x:v>
      </x:c>
      <x:c r="H574" t="str">
        <x:f>G574</x:f>
        <x:v>PASS</x:v>
      </x:c>
    </x:row>
    <x:row r="575">
      <x:c r="B575" t="str">
        <x:v>A-NCP-152</x:v>
      </x:c>
      <x:c r="C575" t="str">
        <x:v>path</x:v>
      </x:c>
      <x:c r="D575" t="str">
        <x:v>NCP-152</x:v>
      </x:c>
      <x:c r="E575" t="str">
        <x:v>PASS</x:v>
      </x:c>
      <x:c r="F575" t="str">
        <x:f>'No Common Path'!L158</x:f>
        <x:v>PASS</x:v>
      </x:c>
      <x:c r="G575" t="str">
        <x:f>IF(E575=F575,"PASS","FAIL")</x:f>
        <x:v>PASS</x:v>
      </x:c>
      <x:c r="H575" t="str">
        <x:f>G575</x:f>
        <x:v>PASS</x:v>
      </x:c>
    </x:row>
    <x:row r="576">
      <x:c r="B576" t="str">
        <x:v>A-NCP-153</x:v>
      </x:c>
      <x:c r="C576" t="str">
        <x:v>path</x:v>
      </x:c>
      <x:c r="D576" t="str">
        <x:v>NCP-153</x:v>
      </x:c>
      <x:c r="E576" t="str">
        <x:v>PASS</x:v>
      </x:c>
      <x:c r="F576" t="str">
        <x:f>'No Common Path'!L159</x:f>
        <x:v>PASS</x:v>
      </x:c>
      <x:c r="G576" t="str">
        <x:f>IF(E576=F576,"PASS","FAIL")</x:f>
        <x:v>PASS</x:v>
      </x:c>
      <x:c r="H576" t="str">
        <x:f>G576</x:f>
        <x:v>PASS</x:v>
      </x:c>
    </x:row>
    <x:row r="577">
      <x:c r="B577" t="str">
        <x:v>A-NCP-154</x:v>
      </x:c>
      <x:c r="C577" t="str">
        <x:v>path</x:v>
      </x:c>
      <x:c r="D577" t="str">
        <x:v>NCP-154</x:v>
      </x:c>
      <x:c r="E577" t="str">
        <x:v>PASS</x:v>
      </x:c>
      <x:c r="F577" t="str">
        <x:f>'No Common Path'!L160</x:f>
        <x:v>PASS</x:v>
      </x:c>
      <x:c r="G577" t="str">
        <x:f>IF(E577=F577,"PASS","FAIL")</x:f>
        <x:v>PASS</x:v>
      </x:c>
      <x:c r="H577" t="str">
        <x:f>G577</x:f>
        <x:v>PASS</x:v>
      </x:c>
    </x:row>
    <x:row r="578">
      <x:c r="B578" t="str">
        <x:v>A-NCP-155</x:v>
      </x:c>
      <x:c r="C578" t="str">
        <x:v>path</x:v>
      </x:c>
      <x:c r="D578" t="str">
        <x:v>NCP-155</x:v>
      </x:c>
      <x:c r="E578" t="str">
        <x:v>PASS</x:v>
      </x:c>
      <x:c r="F578" t="str">
        <x:f>'No Common Path'!L161</x:f>
        <x:v>PASS</x:v>
      </x:c>
      <x:c r="G578" t="str">
        <x:f>IF(E578=F578,"PASS","FAIL")</x:f>
        <x:v>PASS</x:v>
      </x:c>
      <x:c r="H578" t="str">
        <x:f>G578</x:f>
        <x:v>PASS</x:v>
      </x:c>
    </x:row>
    <x:row r="579">
      <x:c r="B579" t="str">
        <x:v>A-NCP-156</x:v>
      </x:c>
      <x:c r="C579" t="str">
        <x:v>path</x:v>
      </x:c>
      <x:c r="D579" t="str">
        <x:v>NCP-156</x:v>
      </x:c>
      <x:c r="E579" t="str">
        <x:v>PASS</x:v>
      </x:c>
      <x:c r="F579" t="str">
        <x:f>'No Common Path'!L162</x:f>
        <x:v>PASS</x:v>
      </x:c>
      <x:c r="G579" t="str">
        <x:f>IF(E579=F579,"PASS","FAIL")</x:f>
        <x:v>PASS</x:v>
      </x:c>
      <x:c r="H579" t="str">
        <x:f>G579</x:f>
        <x:v>PASS</x:v>
      </x:c>
    </x:row>
    <x:row r="580">
      <x:c r="B580" t="str">
        <x:v>A-NCP-157</x:v>
      </x:c>
      <x:c r="C580" t="str">
        <x:v>path</x:v>
      </x:c>
      <x:c r="D580" t="str">
        <x:v>NCP-157</x:v>
      </x:c>
      <x:c r="E580" t="str">
        <x:v>PASS</x:v>
      </x:c>
      <x:c r="F580" t="str">
        <x:f>'No Common Path'!L163</x:f>
        <x:v>PASS</x:v>
      </x:c>
      <x:c r="G580" t="str">
        <x:f>IF(E580=F580,"PASS","FAIL")</x:f>
        <x:v>PASS</x:v>
      </x:c>
      <x:c r="H580" t="str">
        <x:f>G580</x:f>
        <x:v>PASS</x:v>
      </x:c>
    </x:row>
    <x:row r="581">
      <x:c r="B581" t="str">
        <x:v>A-NCP-158</x:v>
      </x:c>
      <x:c r="C581" t="str">
        <x:v>path</x:v>
      </x:c>
      <x:c r="D581" t="str">
        <x:v>NCP-158</x:v>
      </x:c>
      <x:c r="E581" t="str">
        <x:v>PASS</x:v>
      </x:c>
      <x:c r="F581" t="str">
        <x:f>'No Common Path'!L164</x:f>
        <x:v>PASS</x:v>
      </x:c>
      <x:c r="G581" t="str">
        <x:f>IF(E581=F581,"PASS","FAIL")</x:f>
        <x:v>PASS</x:v>
      </x:c>
      <x:c r="H581" t="str">
        <x:f>G581</x:f>
        <x:v>PASS</x:v>
      </x:c>
    </x:row>
    <x:row r="582">
      <x:c r="B582" t="str">
        <x:v>A-NCP-159</x:v>
      </x:c>
      <x:c r="C582" t="str">
        <x:v>path</x:v>
      </x:c>
      <x:c r="D582" t="str">
        <x:v>NCP-159</x:v>
      </x:c>
      <x:c r="E582" t="str">
        <x:v>PASS</x:v>
      </x:c>
      <x:c r="F582" t="str">
        <x:f>'No Common Path'!L165</x:f>
        <x:v>PASS</x:v>
      </x:c>
      <x:c r="G582" t="str">
        <x:f>IF(E582=F582,"PASS","FAIL")</x:f>
        <x:v>PASS</x:v>
      </x:c>
      <x:c r="H582" t="str">
        <x:f>G582</x:f>
        <x:v>PASS</x:v>
      </x:c>
    </x:row>
    <x:row r="583">
      <x:c r="B583" t="str">
        <x:v>A-NCP-160</x:v>
      </x:c>
      <x:c r="C583" t="str">
        <x:v>path</x:v>
      </x:c>
      <x:c r="D583" t="str">
        <x:v>NCP-160</x:v>
      </x:c>
      <x:c r="E583" t="str">
        <x:v>PASS</x:v>
      </x:c>
      <x:c r="F583" t="str">
        <x:f>'No Common Path'!L166</x:f>
        <x:v>PASS</x:v>
      </x:c>
      <x:c r="G583" t="str">
        <x:f>IF(E583=F583,"PASS","FAIL")</x:f>
        <x:v>PASS</x:v>
      </x:c>
      <x:c r="H583" t="str">
        <x:f>G583</x:f>
        <x:v>PASS</x:v>
      </x:c>
    </x:row>
    <x:row r="584">
      <x:c r="B584" t="str">
        <x:v>A-NCP-161</x:v>
      </x:c>
      <x:c r="C584" t="str">
        <x:v>path</x:v>
      </x:c>
      <x:c r="D584" t="str">
        <x:v>NCP-161</x:v>
      </x:c>
      <x:c r="E584" t="str">
        <x:v>PASS</x:v>
      </x:c>
      <x:c r="F584" t="str">
        <x:f>'No Common Path'!L167</x:f>
        <x:v>PASS</x:v>
      </x:c>
      <x:c r="G584" t="str">
        <x:f>IF(E584=F584,"PASS","FAIL")</x:f>
        <x:v>PASS</x:v>
      </x:c>
      <x:c r="H584" t="str">
        <x:f>G584</x:f>
        <x:v>PASS</x:v>
      </x:c>
    </x:row>
    <x:row r="585">
      <x:c r="B585" t="str">
        <x:v>A-NCP-162</x:v>
      </x:c>
      <x:c r="C585" t="str">
        <x:v>path</x:v>
      </x:c>
      <x:c r="D585" t="str">
        <x:v>NCP-162</x:v>
      </x:c>
      <x:c r="E585" t="str">
        <x:v>PASS</x:v>
      </x:c>
      <x:c r="F585" t="str">
        <x:f>'No Common Path'!L168</x:f>
        <x:v>PASS</x:v>
      </x:c>
      <x:c r="G585" t="str">
        <x:f>IF(E585=F585,"PASS","FAIL")</x:f>
        <x:v>PASS</x:v>
      </x:c>
      <x:c r="H585" t="str">
        <x:f>G585</x:f>
        <x:v>PASS</x:v>
      </x:c>
    </x:row>
    <x:row r="586">
      <x:c r="B586" t="str">
        <x:v>A-NCP-163</x:v>
      </x:c>
      <x:c r="C586" t="str">
        <x:v>path</x:v>
      </x:c>
      <x:c r="D586" t="str">
        <x:v>NCP-163</x:v>
      </x:c>
      <x:c r="E586" t="str">
        <x:v>PASS</x:v>
      </x:c>
      <x:c r="F586" t="str">
        <x:f>'No Common Path'!L169</x:f>
        <x:v>PASS</x:v>
      </x:c>
      <x:c r="G586" t="str">
        <x:f>IF(E586=F586,"PASS","FAIL")</x:f>
        <x:v>PASS</x:v>
      </x:c>
      <x:c r="H586" t="str">
        <x:f>G586</x:f>
        <x:v>PASS</x:v>
      </x:c>
    </x:row>
    <x:row r="587">
      <x:c r="B587" t="str">
        <x:v>A-NCP-164</x:v>
      </x:c>
      <x:c r="C587" t="str">
        <x:v>path</x:v>
      </x:c>
      <x:c r="D587" t="str">
        <x:v>NCP-164</x:v>
      </x:c>
      <x:c r="E587" t="str">
        <x:v>PASS</x:v>
      </x:c>
      <x:c r="F587" t="str">
        <x:f>'No Common Path'!L170</x:f>
        <x:v>PASS</x:v>
      </x:c>
      <x:c r="G587" t="str">
        <x:f>IF(E587=F587,"PASS","FAIL")</x:f>
        <x:v>PASS</x:v>
      </x:c>
      <x:c r="H587" t="str">
        <x:f>G587</x:f>
        <x:v>PASS</x:v>
      </x:c>
    </x:row>
    <x:row r="588">
      <x:c r="B588" t="str">
        <x:v>A-NCP-165</x:v>
      </x:c>
      <x:c r="C588" t="str">
        <x:v>path</x:v>
      </x:c>
      <x:c r="D588" t="str">
        <x:v>NCP-165</x:v>
      </x:c>
      <x:c r="E588" t="str">
        <x:v>PASS</x:v>
      </x:c>
      <x:c r="F588" t="str">
        <x:f>'No Common Path'!L171</x:f>
        <x:v>PASS</x:v>
      </x:c>
      <x:c r="G588" t="str">
        <x:f>IF(E588=F588,"PASS","FAIL")</x:f>
        <x:v>PASS</x:v>
      </x:c>
      <x:c r="H588" t="str">
        <x:f>G588</x:f>
        <x:v>PASS</x:v>
      </x:c>
    </x:row>
    <x:row r="589">
      <x:c r="B589" t="str">
        <x:v>A-NCP-166</x:v>
      </x:c>
      <x:c r="C589" t="str">
        <x:v>path</x:v>
      </x:c>
      <x:c r="D589" t="str">
        <x:v>NCP-166</x:v>
      </x:c>
      <x:c r="E589" t="str">
        <x:v>PASS</x:v>
      </x:c>
      <x:c r="F589" t="str">
        <x:f>'No Common Path'!L172</x:f>
        <x:v>PASS</x:v>
      </x:c>
      <x:c r="G589" t="str">
        <x:f>IF(E589=F589,"PASS","FAIL")</x:f>
        <x:v>PASS</x:v>
      </x:c>
      <x:c r="H589" t="str">
        <x:f>G589</x:f>
        <x:v>PASS</x:v>
      </x:c>
    </x:row>
    <x:row r="590">
      <x:c r="B590" t="str">
        <x:v>A-NCP-167</x:v>
      </x:c>
      <x:c r="C590" t="str">
        <x:v>path</x:v>
      </x:c>
      <x:c r="D590" t="str">
        <x:v>NCP-167</x:v>
      </x:c>
      <x:c r="E590" t="str">
        <x:v>PASS</x:v>
      </x:c>
      <x:c r="F590" t="str">
        <x:f>'No Common Path'!L173</x:f>
        <x:v>PASS</x:v>
      </x:c>
      <x:c r="G590" t="str">
        <x:f>IF(E590=F590,"PASS","FAIL")</x:f>
        <x:v>PASS</x:v>
      </x:c>
      <x:c r="H590" t="str">
        <x:f>G590</x:f>
        <x:v>PASS</x:v>
      </x:c>
    </x:row>
    <x:row r="591">
      <x:c r="B591" t="str">
        <x:v>A-NCP-168</x:v>
      </x:c>
      <x:c r="C591" t="str">
        <x:v>path</x:v>
      </x:c>
      <x:c r="D591" t="str">
        <x:v>NCP-168</x:v>
      </x:c>
      <x:c r="E591" t="str">
        <x:v>PASS</x:v>
      </x:c>
      <x:c r="F591" t="str">
        <x:f>'No Common Path'!L174</x:f>
        <x:v>PASS</x:v>
      </x:c>
      <x:c r="G591" t="str">
        <x:f>IF(E591=F591,"PASS","FAIL")</x:f>
        <x:v>PASS</x:v>
      </x:c>
      <x:c r="H591" t="str">
        <x:f>G591</x:f>
        <x:v>PASS</x:v>
      </x:c>
    </x:row>
    <x:row r="592">
      <x:c r="B592" t="str">
        <x:v>A-NCP-169</x:v>
      </x:c>
      <x:c r="C592" t="str">
        <x:v>path</x:v>
      </x:c>
      <x:c r="D592" t="str">
        <x:v>NCP-169</x:v>
      </x:c>
      <x:c r="E592" t="str">
        <x:v>PASS</x:v>
      </x:c>
      <x:c r="F592" t="str">
        <x:f>'No Common Path'!L175</x:f>
        <x:v>PASS</x:v>
      </x:c>
      <x:c r="G592" t="str">
        <x:f>IF(E592=F592,"PASS","FAIL")</x:f>
        <x:v>PASS</x:v>
      </x:c>
      <x:c r="H592" t="str">
        <x:f>G592</x:f>
        <x:v>PASS</x:v>
      </x:c>
    </x:row>
    <x:row r="593">
      <x:c r="B593" t="str">
        <x:v>A-NCP-170</x:v>
      </x:c>
      <x:c r="C593" t="str">
        <x:v>path</x:v>
      </x:c>
      <x:c r="D593" t="str">
        <x:v>NCP-170</x:v>
      </x:c>
      <x:c r="E593" t="str">
        <x:v>PASS</x:v>
      </x:c>
      <x:c r="F593" t="str">
        <x:f>'No Common Path'!L176</x:f>
        <x:v>PASS</x:v>
      </x:c>
      <x:c r="G593" t="str">
        <x:f>IF(E593=F593,"PASS","FAIL")</x:f>
        <x:v>PASS</x:v>
      </x:c>
      <x:c r="H593" t="str">
        <x:f>G593</x:f>
        <x:v>PASS</x:v>
      </x:c>
    </x:row>
    <x:row r="594">
      <x:c r="B594" t="str">
        <x:v>A-NCP-171</x:v>
      </x:c>
      <x:c r="C594" t="str">
        <x:v>path</x:v>
      </x:c>
      <x:c r="D594" t="str">
        <x:v>NCP-171</x:v>
      </x:c>
      <x:c r="E594" t="str">
        <x:v>PASS</x:v>
      </x:c>
      <x:c r="F594" t="str">
        <x:f>'No Common Path'!L177</x:f>
        <x:v>PASS</x:v>
      </x:c>
      <x:c r="G594" t="str">
        <x:f>IF(E594=F594,"PASS","FAIL")</x:f>
        <x:v>PASS</x:v>
      </x:c>
      <x:c r="H594" t="str">
        <x:f>G594</x:f>
        <x:v>PASS</x:v>
      </x:c>
    </x:row>
    <x:row r="595">
      <x:c r="B595" t="str">
        <x:v>A-NCP-172</x:v>
      </x:c>
      <x:c r="C595" t="str">
        <x:v>path</x:v>
      </x:c>
      <x:c r="D595" t="str">
        <x:v>NCP-172</x:v>
      </x:c>
      <x:c r="E595" t="str">
        <x:v>PASS</x:v>
      </x:c>
      <x:c r="F595" t="str">
        <x:f>'No Common Path'!L178</x:f>
        <x:v>PASS</x:v>
      </x:c>
      <x:c r="G595" t="str">
        <x:f>IF(E595=F595,"PASS","FAIL")</x:f>
        <x:v>PASS</x:v>
      </x:c>
      <x:c r="H595" t="str">
        <x:f>G595</x:f>
        <x:v>PASS</x:v>
      </x:c>
    </x:row>
    <x:row r="596">
      <x:c r="B596" t="str">
        <x:v>A-NCP-173</x:v>
      </x:c>
      <x:c r="C596" t="str">
        <x:v>path</x:v>
      </x:c>
      <x:c r="D596" t="str">
        <x:v>NCP-173</x:v>
      </x:c>
      <x:c r="E596" t="str">
        <x:v>PASS</x:v>
      </x:c>
      <x:c r="F596" t="str">
        <x:f>'No Common Path'!L179</x:f>
        <x:v>PASS</x:v>
      </x:c>
      <x:c r="G596" t="str">
        <x:f>IF(E596=F596,"PASS","FAIL")</x:f>
        <x:v>PASS</x:v>
      </x:c>
      <x:c r="H596" t="str">
        <x:f>G596</x:f>
        <x:v>PASS</x:v>
      </x:c>
    </x:row>
    <x:row r="597">
      <x:c r="B597" t="str">
        <x:v>A-NCP-174</x:v>
      </x:c>
      <x:c r="C597" t="str">
        <x:v>path</x:v>
      </x:c>
      <x:c r="D597" t="str">
        <x:v>NCP-174</x:v>
      </x:c>
      <x:c r="E597" t="str">
        <x:v>PASS</x:v>
      </x:c>
      <x:c r="F597" t="str">
        <x:f>'No Common Path'!L180</x:f>
        <x:v>PASS</x:v>
      </x:c>
      <x:c r="G597" t="str">
        <x:f>IF(E597=F597,"PASS","FAIL")</x:f>
        <x:v>PASS</x:v>
      </x:c>
      <x:c r="H597" t="str">
        <x:f>G597</x:f>
        <x:v>PASS</x:v>
      </x:c>
    </x:row>
    <x:row r="598">
      <x:c r="B598" t="str">
        <x:v>A-NCP-175</x:v>
      </x:c>
      <x:c r="C598" t="str">
        <x:v>path</x:v>
      </x:c>
      <x:c r="D598" t="str">
        <x:v>NCP-175</x:v>
      </x:c>
      <x:c r="E598" t="str">
        <x:v>PASS</x:v>
      </x:c>
      <x:c r="F598" t="str">
        <x:f>'No Common Path'!L181</x:f>
        <x:v>PASS</x:v>
      </x:c>
      <x:c r="G598" t="str">
        <x:f>IF(E598=F598,"PASS","FAIL")</x:f>
        <x:v>PASS</x:v>
      </x:c>
      <x:c r="H598" t="str">
        <x:f>G598</x:f>
        <x:v>PASS</x:v>
      </x:c>
    </x:row>
    <x:row r="599">
      <x:c r="B599" t="str">
        <x:v>A-NCP-176</x:v>
      </x:c>
      <x:c r="C599" t="str">
        <x:v>path</x:v>
      </x:c>
      <x:c r="D599" t="str">
        <x:v>NCP-176</x:v>
      </x:c>
      <x:c r="E599" t="str">
        <x:v>PASS</x:v>
      </x:c>
      <x:c r="F599" t="str">
        <x:f>'No Common Path'!L182</x:f>
        <x:v>PASS</x:v>
      </x:c>
      <x:c r="G599" t="str">
        <x:f>IF(E599=F599,"PASS","FAIL")</x:f>
        <x:v>PASS</x:v>
      </x:c>
      <x:c r="H599" t="str">
        <x:f>G599</x:f>
        <x:v>PASS</x:v>
      </x:c>
    </x:row>
    <x:row r="600">
      <x:c r="B600" t="str">
        <x:v>A-IFR-01</x:v>
      </x:c>
      <x:c r="C600" t="str">
        <x:v>interface</x:v>
      </x:c>
      <x:c r="D600" t="str">
        <x:v>IFR-001</x:v>
      </x:c>
      <x:c r="E600" t="str">
        <x:v>PASS</x:v>
      </x:c>
      <x:c r="F600" t="str">
        <x:f>'Interface Records'!L7</x:f>
        <x:v>PASS</x:v>
      </x:c>
      <x:c r="G600" t="str">
        <x:f>IF(E600=F600,"PASS","FAIL")</x:f>
        <x:v>PASS</x:v>
      </x:c>
      <x:c r="H600" t="str">
        <x:f>G600</x:f>
        <x:v>PASS</x:v>
      </x:c>
    </x:row>
    <x:row r="601">
      <x:c r="B601" t="str">
        <x:v>A-IFR-02</x:v>
      </x:c>
      <x:c r="C601" t="str">
        <x:v>interface</x:v>
      </x:c>
      <x:c r="D601" t="str">
        <x:v>IFR-002</x:v>
      </x:c>
      <x:c r="E601" t="str">
        <x:v>PASS</x:v>
      </x:c>
      <x:c r="F601" t="str">
        <x:f>'Interface Records'!L8</x:f>
        <x:v>PASS</x:v>
      </x:c>
      <x:c r="G601" t="str">
        <x:f>IF(E601=F601,"PASS","FAIL")</x:f>
        <x:v>PASS</x:v>
      </x:c>
      <x:c r="H601" t="str">
        <x:f>G601</x:f>
        <x:v>PASS</x:v>
      </x:c>
    </x:row>
    <x:row r="602">
      <x:c r="B602" t="str">
        <x:v>A-IFR-03</x:v>
      </x:c>
      <x:c r="C602" t="str">
        <x:v>interface</x:v>
      </x:c>
      <x:c r="D602" t="str">
        <x:v>IFR-003</x:v>
      </x:c>
      <x:c r="E602" t="str">
        <x:v>PASS</x:v>
      </x:c>
      <x:c r="F602" t="str">
        <x:f>'Interface Records'!L9</x:f>
        <x:v>PASS</x:v>
      </x:c>
      <x:c r="G602" t="str">
        <x:f>IF(E602=F602,"PASS","FAIL")</x:f>
        <x:v>PASS</x:v>
      </x:c>
      <x:c r="H602" t="str">
        <x:f>G602</x:f>
        <x:v>PASS</x:v>
      </x:c>
    </x:row>
    <x:row r="603">
      <x:c r="B603" t="str">
        <x:v>A-IFR-04</x:v>
      </x:c>
      <x:c r="C603" t="str">
        <x:v>interface</x:v>
      </x:c>
      <x:c r="D603" t="str">
        <x:v>IFR-004</x:v>
      </x:c>
      <x:c r="E603" t="str">
        <x:v>PASS</x:v>
      </x:c>
      <x:c r="F603" t="str">
        <x:f>'Interface Records'!L10</x:f>
        <x:v>PASS</x:v>
      </x:c>
      <x:c r="G603" t="str">
        <x:f>IF(E603=F603,"PASS","FAIL")</x:f>
        <x:v>PASS</x:v>
      </x:c>
      <x:c r="H603" t="str">
        <x:f>G603</x:f>
        <x:v>PASS</x:v>
      </x:c>
    </x:row>
    <x:row r="604">
      <x:c r="B604" t="str">
        <x:v>A-IFR-05</x:v>
      </x:c>
      <x:c r="C604" t="str">
        <x:v>interface</x:v>
      </x:c>
      <x:c r="D604" t="str">
        <x:v>IFR-005</x:v>
      </x:c>
      <x:c r="E604" t="str">
        <x:v>PASS</x:v>
      </x:c>
      <x:c r="F604" t="str">
        <x:f>'Interface Records'!L11</x:f>
        <x:v>PASS</x:v>
      </x:c>
      <x:c r="G604" t="str">
        <x:f>IF(E604=F604,"PASS","FAIL")</x:f>
        <x:v>PASS</x:v>
      </x:c>
      <x:c r="H604" t="str">
        <x:f>G604</x:f>
        <x:v>PASS</x:v>
      </x:c>
    </x:row>
    <x:row r="605">
      <x:c r="B605" t="str">
        <x:v>A-IFR-06</x:v>
      </x:c>
      <x:c r="C605" t="str">
        <x:v>interface</x:v>
      </x:c>
      <x:c r="D605" t="str">
        <x:v>IFR-006</x:v>
      </x:c>
      <x:c r="E605" t="str">
        <x:v>PASS</x:v>
      </x:c>
      <x:c r="F605" t="str">
        <x:f>'Interface Records'!L12</x:f>
        <x:v>PASS</x:v>
      </x:c>
      <x:c r="G605" t="str">
        <x:f>IF(E605=F605,"PASS","FAIL")</x:f>
        <x:v>PASS</x:v>
      </x:c>
      <x:c r="H605" t="str">
        <x:f>G605</x:f>
        <x:v>PASS</x:v>
      </x:c>
    </x:row>
    <x:row r="606">
      <x:c r="B606" t="str">
        <x:v>A-IFR-07</x:v>
      </x:c>
      <x:c r="C606" t="str">
        <x:v>interface</x:v>
      </x:c>
      <x:c r="D606" t="str">
        <x:v>IFR-007</x:v>
      </x:c>
      <x:c r="E606" t="str">
        <x:v>PASS</x:v>
      </x:c>
      <x:c r="F606" t="str">
        <x:f>'Interface Records'!L13</x:f>
        <x:v>PASS</x:v>
      </x:c>
      <x:c r="G606" t="str">
        <x:f>IF(E606=F606,"PASS","FAIL")</x:f>
        <x:v>PASS</x:v>
      </x:c>
      <x:c r="H606" t="str">
        <x:f>G606</x:f>
        <x:v>PASS</x:v>
      </x:c>
    </x:row>
    <x:row r="607">
      <x:c r="B607" t="str">
        <x:v>A-IFR-08</x:v>
      </x:c>
      <x:c r="C607" t="str">
        <x:v>interface</x:v>
      </x:c>
      <x:c r="D607" t="str">
        <x:v>IFR-008</x:v>
      </x:c>
      <x:c r="E607" t="str">
        <x:v>PASS</x:v>
      </x:c>
      <x:c r="F607" t="str">
        <x:f>'Interface Records'!L14</x:f>
        <x:v>PASS</x:v>
      </x:c>
      <x:c r="G607" t="str">
        <x:f>IF(E607=F607,"PASS","FAIL")</x:f>
        <x:v>PASS</x:v>
      </x:c>
      <x:c r="H607" t="str">
        <x:f>G607</x:f>
        <x:v>PASS</x:v>
      </x:c>
    </x:row>
    <x:row r="608">
      <x:c r="B608" t="str">
        <x:v>A-IFR-09</x:v>
      </x:c>
      <x:c r="C608" t="str">
        <x:v>interface</x:v>
      </x:c>
      <x:c r="D608" t="str">
        <x:v>IFR-009</x:v>
      </x:c>
      <x:c r="E608" t="str">
        <x:v>PASS</x:v>
      </x:c>
      <x:c r="F608" t="str">
        <x:f>'Interface Records'!L15</x:f>
        <x:v>PASS</x:v>
      </x:c>
      <x:c r="G608" t="str">
        <x:f>IF(E608=F608,"PASS","FAIL")</x:f>
        <x:v>PASS</x:v>
      </x:c>
      <x:c r="H608" t="str">
        <x:f>G608</x:f>
        <x:v>PASS</x:v>
      </x:c>
    </x:row>
    <x:row r="609">
      <x:c r="B609" t="str">
        <x:v>A-IFR-10</x:v>
      </x:c>
      <x:c r="C609" t="str">
        <x:v>interface</x:v>
      </x:c>
      <x:c r="D609" t="str">
        <x:v>IFR-010</x:v>
      </x:c>
      <x:c r="E609" t="str">
        <x:v>PASS</x:v>
      </x:c>
      <x:c r="F609" t="str">
        <x:f>'Interface Records'!L16</x:f>
        <x:v>PASS</x:v>
      </x:c>
      <x:c r="G609" t="str">
        <x:f>IF(E609=F609,"PASS","FAIL")</x:f>
        <x:v>PASS</x:v>
      </x:c>
      <x:c r="H609" t="str">
        <x:f>G609</x:f>
        <x:v>PASS</x:v>
      </x:c>
    </x:row>
    <x:row r="610">
      <x:c r="B610" t="str">
        <x:v>A-IFR-11</x:v>
      </x:c>
      <x:c r="C610" t="str">
        <x:v>interface</x:v>
      </x:c>
      <x:c r="D610" t="str">
        <x:v>IFR-011</x:v>
      </x:c>
      <x:c r="E610" t="str">
        <x:v>PASS</x:v>
      </x:c>
      <x:c r="F610" t="str">
        <x:f>'Interface Records'!L17</x:f>
        <x:v>PASS</x:v>
      </x:c>
      <x:c r="G610" t="str">
        <x:f>IF(E610=F610,"PASS","FAIL")</x:f>
        <x:v>PASS</x:v>
      </x:c>
      <x:c r="H610" t="str">
        <x:f>G610</x:f>
        <x:v>PASS</x:v>
      </x:c>
    </x:row>
    <x:row r="611">
      <x:c r="B611" t="str">
        <x:v>A-IFR-12</x:v>
      </x:c>
      <x:c r="C611" t="str">
        <x:v>interface</x:v>
      </x:c>
      <x:c r="D611" t="str">
        <x:v>IFR-012</x:v>
      </x:c>
      <x:c r="E611" t="str">
        <x:v>PASS</x:v>
      </x:c>
      <x:c r="F611" t="str">
        <x:f>'Interface Records'!L18</x:f>
        <x:v>PASS</x:v>
      </x:c>
      <x:c r="G611" t="str">
        <x:f>IF(E611=F611,"PASS","FAIL")</x:f>
        <x:v>PASS</x:v>
      </x:c>
      <x:c r="H611" t="str">
        <x:f>G611</x:f>
        <x:v>PASS</x:v>
      </x:c>
    </x:row>
    <x:row r="612">
      <x:c r="B612" t="str">
        <x:v>A-IFR-13</x:v>
      </x:c>
      <x:c r="C612" t="str">
        <x:v>interface</x:v>
      </x:c>
      <x:c r="D612" t="str">
        <x:v>IFR-013</x:v>
      </x:c>
      <x:c r="E612" t="str">
        <x:v>PASS</x:v>
      </x:c>
      <x:c r="F612" t="str">
        <x:f>'Interface Records'!L19</x:f>
        <x:v>PASS</x:v>
      </x:c>
      <x:c r="G612" t="str">
        <x:f>IF(E612=F612,"PASS","FAIL")</x:f>
        <x:v>PASS</x:v>
      </x:c>
      <x:c r="H612" t="str">
        <x:f>G612</x:f>
        <x:v>PASS</x:v>
      </x:c>
    </x:row>
    <x:row r="613">
      <x:c r="B613" t="str">
        <x:v>A-IFR-14</x:v>
      </x:c>
      <x:c r="C613" t="str">
        <x:v>interface</x:v>
      </x:c>
      <x:c r="D613" t="str">
        <x:v>IFR-014</x:v>
      </x:c>
      <x:c r="E613" t="str">
        <x:v>PASS</x:v>
      </x:c>
      <x:c r="F613" t="str">
        <x:f>'Interface Records'!L20</x:f>
        <x:v>PASS</x:v>
      </x:c>
      <x:c r="G613" t="str">
        <x:f>IF(E613=F613,"PASS","FAIL")</x:f>
        <x:v>PASS</x:v>
      </x:c>
      <x:c r="H613" t="str">
        <x:f>G613</x:f>
        <x:v>PASS</x:v>
      </x:c>
    </x:row>
    <x:row r="614">
      <x:c r="B614" t="str">
        <x:v>A-IFR-15</x:v>
      </x:c>
      <x:c r="C614" t="str">
        <x:v>interface</x:v>
      </x:c>
      <x:c r="D614" t="str">
        <x:v>IFR-015</x:v>
      </x:c>
      <x:c r="E614" t="str">
        <x:v>PASS</x:v>
      </x:c>
      <x:c r="F614" t="str">
        <x:f>'Interface Records'!L21</x:f>
        <x:v>PASS</x:v>
      </x:c>
      <x:c r="G614" t="str">
        <x:f>IF(E614=F614,"PASS","FAIL")</x:f>
        <x:v>PASS</x:v>
      </x:c>
      <x:c r="H614" t="str">
        <x:f>G614</x:f>
        <x:v>PASS</x:v>
      </x:c>
    </x:row>
    <x:row r="615">
      <x:c r="B615" t="str">
        <x:v>A-IFR-16</x:v>
      </x:c>
      <x:c r="C615" t="str">
        <x:v>interface</x:v>
      </x:c>
      <x:c r="D615" t="str">
        <x:v>IFR-016</x:v>
      </x:c>
      <x:c r="E615" t="str">
        <x:v>PASS</x:v>
      </x:c>
      <x:c r="F615" t="str">
        <x:f>'Interface Records'!L22</x:f>
        <x:v>PASS</x:v>
      </x:c>
      <x:c r="G615" t="str">
        <x:f>IF(E615=F615,"PASS","FAIL")</x:f>
        <x:v>PASS</x:v>
      </x:c>
      <x:c r="H615" t="str">
        <x:f>G615</x:f>
        <x:v>PASS</x:v>
      </x:c>
    </x:row>
    <x:row r="616">
      <x:c r="B616" t="str">
        <x:v>A-IFR-17</x:v>
      </x:c>
      <x:c r="C616" t="str">
        <x:v>interface</x:v>
      </x:c>
      <x:c r="D616" t="str">
        <x:v>IFR-017</x:v>
      </x:c>
      <x:c r="E616" t="str">
        <x:v>PASS</x:v>
      </x:c>
      <x:c r="F616" t="str">
        <x:f>'Interface Records'!L23</x:f>
        <x:v>PASS</x:v>
      </x:c>
      <x:c r="G616" t="str">
        <x:f>IF(E616=F616,"PASS","FAIL")</x:f>
        <x:v>PASS</x:v>
      </x:c>
      <x:c r="H616" t="str">
        <x:f>G616</x:f>
        <x:v>PASS</x:v>
      </x:c>
    </x:row>
    <x:row r="617">
      <x:c r="B617" t="str">
        <x:v>A-IFR-18</x:v>
      </x:c>
      <x:c r="C617" t="str">
        <x:v>interface</x:v>
      </x:c>
      <x:c r="D617" t="str">
        <x:v>IFR-018</x:v>
      </x:c>
      <x:c r="E617" t="str">
        <x:v>PASS</x:v>
      </x:c>
      <x:c r="F617" t="str">
        <x:f>'Interface Records'!L24</x:f>
        <x:v>PASS</x:v>
      </x:c>
      <x:c r="G617" t="str">
        <x:f>IF(E617=F617,"PASS","FAIL")</x:f>
        <x:v>PASS</x:v>
      </x:c>
      <x:c r="H617" t="str">
        <x:f>G617</x:f>
        <x:v>PASS</x:v>
      </x:c>
    </x:row>
    <x:row r="618">
      <x:c r="B618" t="str">
        <x:v>A-IFR-19</x:v>
      </x:c>
      <x:c r="C618" t="str">
        <x:v>interface</x:v>
      </x:c>
      <x:c r="D618" t="str">
        <x:v>IFR-019</x:v>
      </x:c>
      <x:c r="E618" t="str">
        <x:v>PASS</x:v>
      </x:c>
      <x:c r="F618" t="str">
        <x:f>'Interface Records'!L25</x:f>
        <x:v>PASS</x:v>
      </x:c>
      <x:c r="G618" t="str">
        <x:f>IF(E618=F618,"PASS","FAIL")</x:f>
        <x:v>PASS</x:v>
      </x:c>
      <x:c r="H618" t="str">
        <x:f>G618</x:f>
        <x:v>PASS</x:v>
      </x:c>
    </x:row>
    <x:row r="619">
      <x:c r="B619" t="str">
        <x:v>A-IFR-20</x:v>
      </x:c>
      <x:c r="C619" t="str">
        <x:v>interface</x:v>
      </x:c>
      <x:c r="D619" t="str">
        <x:v>IFR-020</x:v>
      </x:c>
      <x:c r="E619" t="str">
        <x:v>PASS</x:v>
      </x:c>
      <x:c r="F619" t="str">
        <x:f>'Interface Records'!L26</x:f>
        <x:v>PASS</x:v>
      </x:c>
      <x:c r="G619" t="str">
        <x:f>IF(E619=F619,"PASS","FAIL")</x:f>
        <x:v>PASS</x:v>
      </x:c>
      <x:c r="H619" t="str">
        <x:f>G619</x:f>
        <x:v>PASS</x:v>
      </x:c>
    </x:row>
    <x:row r="620">
      <x:c r="B620" t="str">
        <x:v>A-IFR-21</x:v>
      </x:c>
      <x:c r="C620" t="str">
        <x:v>interface</x:v>
      </x:c>
      <x:c r="D620" t="str">
        <x:v>IFR-021</x:v>
      </x:c>
      <x:c r="E620" t="str">
        <x:v>PASS</x:v>
      </x:c>
      <x:c r="F620" t="str">
        <x:f>'Interface Records'!L27</x:f>
        <x:v>PASS</x:v>
      </x:c>
      <x:c r="G620" t="str">
        <x:f>IF(E620=F620,"PASS","FAIL")</x:f>
        <x:v>PASS</x:v>
      </x:c>
      <x:c r="H620" t="str">
        <x:f>G620</x:f>
        <x:v>PASS</x:v>
      </x:c>
    </x:row>
    <x:row r="621">
      <x:c r="B621" t="str">
        <x:v>A-IFR-22</x:v>
      </x:c>
      <x:c r="C621" t="str">
        <x:v>interface</x:v>
      </x:c>
      <x:c r="D621" t="str">
        <x:v>IFR-022</x:v>
      </x:c>
      <x:c r="E621" t="str">
        <x:v>PASS</x:v>
      </x:c>
      <x:c r="F621" t="str">
        <x:f>'Interface Records'!L28</x:f>
        <x:v>PASS</x:v>
      </x:c>
      <x:c r="G621" t="str">
        <x:f>IF(E621=F621,"PASS","FAIL")</x:f>
        <x:v>PASS</x:v>
      </x:c>
      <x:c r="H621" t="str">
        <x:f>G621</x:f>
        <x:v>PASS</x:v>
      </x:c>
    </x:row>
    <x:row r="622">
      <x:c r="B622" t="str">
        <x:v>A-IFR-23</x:v>
      </x:c>
      <x:c r="C622" t="str">
        <x:v>interface</x:v>
      </x:c>
      <x:c r="D622" t="str">
        <x:v>IFR-023</x:v>
      </x:c>
      <x:c r="E622" t="str">
        <x:v>PASS</x:v>
      </x:c>
      <x:c r="F622" t="str">
        <x:f>'Interface Records'!L29</x:f>
        <x:v>PASS</x:v>
      </x:c>
      <x:c r="G622" t="str">
        <x:f>IF(E622=F622,"PASS","FAIL")</x:f>
        <x:v>PASS</x:v>
      </x:c>
      <x:c r="H622" t="str">
        <x:f>G622</x:f>
        <x:v>PASS</x:v>
      </x:c>
    </x:row>
    <x:row r="623">
      <x:c r="B623" t="str">
        <x:v>A-IFR-24</x:v>
      </x:c>
      <x:c r="C623" t="str">
        <x:v>interface</x:v>
      </x:c>
      <x:c r="D623" t="str">
        <x:v>IFR-024</x:v>
      </x:c>
      <x:c r="E623" t="str">
        <x:v>PASS</x:v>
      </x:c>
      <x:c r="F623" t="str">
        <x:f>'Interface Records'!L30</x:f>
        <x:v>PASS</x:v>
      </x:c>
      <x:c r="G623" t="str">
        <x:f>IF(E623=F623,"PASS","FAIL")</x:f>
        <x:v>PASS</x:v>
      </x:c>
      <x:c r="H623" t="str">
        <x:f>G623</x:f>
        <x:v>PASS</x:v>
      </x:c>
    </x:row>
    <x:row r="624">
      <x:c r="B624" t="str">
        <x:v>A-IFR-25</x:v>
      </x:c>
      <x:c r="C624" t="str">
        <x:v>interface</x:v>
      </x:c>
      <x:c r="D624" t="str">
        <x:v>IFR-025</x:v>
      </x:c>
      <x:c r="E624" t="str">
        <x:v>PASS</x:v>
      </x:c>
      <x:c r="F624" t="str">
        <x:f>'Interface Records'!L31</x:f>
        <x:v>PASS</x:v>
      </x:c>
      <x:c r="G624" t="str">
        <x:f>IF(E624=F624,"PASS","FAIL")</x:f>
        <x:v>PASS</x:v>
      </x:c>
      <x:c r="H624" t="str">
        <x:f>G624</x:f>
        <x:v>PASS</x:v>
      </x:c>
    </x:row>
    <x:row r="625">
      <x:c r="B625" t="str">
        <x:v>A-IFR-26</x:v>
      </x:c>
      <x:c r="C625" t="str">
        <x:v>interface</x:v>
      </x:c>
      <x:c r="D625" t="str">
        <x:v>IFR-026</x:v>
      </x:c>
      <x:c r="E625" t="str">
        <x:v>PASS</x:v>
      </x:c>
      <x:c r="F625" t="str">
        <x:f>'Interface Records'!L32</x:f>
        <x:v>PASS</x:v>
      </x:c>
      <x:c r="G625" t="str">
        <x:f>IF(E625=F625,"PASS","FAIL")</x:f>
        <x:v>PASS</x:v>
      </x:c>
      <x:c r="H625" t="str">
        <x:f>G625</x:f>
        <x:v>PASS</x:v>
      </x:c>
    </x:row>
    <x:row r="626">
      <x:c r="B626" t="str">
        <x:v>A-IFR-27</x:v>
      </x:c>
      <x:c r="C626" t="str">
        <x:v>interface</x:v>
      </x:c>
      <x:c r="D626" t="str">
        <x:v>IFR-027</x:v>
      </x:c>
      <x:c r="E626" t="str">
        <x:v>PASS</x:v>
      </x:c>
      <x:c r="F626" t="str">
        <x:f>'Interface Records'!L33</x:f>
        <x:v>PASS</x:v>
      </x:c>
      <x:c r="G626" t="str">
        <x:f>IF(E626=F626,"PASS","FAIL")</x:f>
        <x:v>PASS</x:v>
      </x:c>
      <x:c r="H626" t="str">
        <x:f>G626</x:f>
        <x:v>PASS</x:v>
      </x:c>
    </x:row>
    <x:row r="627">
      <x:c r="B627" t="str">
        <x:v>A-IFR-28</x:v>
      </x:c>
      <x:c r="C627" t="str">
        <x:v>interface</x:v>
      </x:c>
      <x:c r="D627" t="str">
        <x:v>IFR-028</x:v>
      </x:c>
      <x:c r="E627" t="str">
        <x:v>PASS</x:v>
      </x:c>
      <x:c r="F627" t="str">
        <x:f>'Interface Records'!L34</x:f>
        <x:v>PASS</x:v>
      </x:c>
      <x:c r="G627" t="str">
        <x:f>IF(E627=F627,"PASS","FAIL")</x:f>
        <x:v>PASS</x:v>
      </x:c>
      <x:c r="H627" t="str">
        <x:f>G627</x:f>
        <x:v>PASS</x:v>
      </x:c>
    </x:row>
    <x:row r="628">
      <x:c r="B628" t="str">
        <x:v>A-IFR-29</x:v>
      </x:c>
      <x:c r="C628" t="str">
        <x:v>interface</x:v>
      </x:c>
      <x:c r="D628" t="str">
        <x:v>IFR-029</x:v>
      </x:c>
      <x:c r="E628" t="str">
        <x:v>PASS</x:v>
      </x:c>
      <x:c r="F628" t="str">
        <x:f>'Interface Records'!L35</x:f>
        <x:v>PASS</x:v>
      </x:c>
      <x:c r="G628" t="str">
        <x:f>IF(E628=F628,"PASS","FAIL")</x:f>
        <x:v>PASS</x:v>
      </x:c>
      <x:c r="H628" t="str">
        <x:f>G628</x:f>
        <x:v>PASS</x:v>
      </x:c>
    </x:row>
    <x:row r="629">
      <x:c r="B629" t="str">
        <x:v>A-IFR-30</x:v>
      </x:c>
      <x:c r="C629" t="str">
        <x:v>interface</x:v>
      </x:c>
      <x:c r="D629" t="str">
        <x:v>IFR-030</x:v>
      </x:c>
      <x:c r="E629" t="str">
        <x:v>PASS</x:v>
      </x:c>
      <x:c r="F629" t="str">
        <x:f>'Interface Records'!L36</x:f>
        <x:v>PASS</x:v>
      </x:c>
      <x:c r="G629" t="str">
        <x:f>IF(E629=F629,"PASS","FAIL")</x:f>
        <x:v>PASS</x:v>
      </x:c>
      <x:c r="H629" t="str">
        <x:f>G629</x:f>
        <x:v>PASS</x:v>
      </x:c>
    </x:row>
    <x:row r="630">
      <x:c r="B630" t="str">
        <x:v>A-IFR-31</x:v>
      </x:c>
      <x:c r="C630" t="str">
        <x:v>interface</x:v>
      </x:c>
      <x:c r="D630" t="str">
        <x:v>IFR-031</x:v>
      </x:c>
      <x:c r="E630" t="str">
        <x:v>PASS</x:v>
      </x:c>
      <x:c r="F630" t="str">
        <x:f>'Interface Records'!L37</x:f>
        <x:v>PASS</x:v>
      </x:c>
      <x:c r="G630" t="str">
        <x:f>IF(E630=F630,"PASS","FAIL")</x:f>
        <x:v>PASS</x:v>
      </x:c>
      <x:c r="H630" t="str">
        <x:f>G630</x:f>
        <x:v>PASS</x:v>
      </x:c>
    </x:row>
    <x:row r="631">
      <x:c r="B631" t="str">
        <x:v>A-IFR-32</x:v>
      </x:c>
      <x:c r="C631" t="str">
        <x:v>interface</x:v>
      </x:c>
      <x:c r="D631" t="str">
        <x:v>IFR-032</x:v>
      </x:c>
      <x:c r="E631" t="str">
        <x:v>PASS</x:v>
      </x:c>
      <x:c r="F631" t="str">
        <x:f>'Interface Records'!L38</x:f>
        <x:v>PASS</x:v>
      </x:c>
      <x:c r="G631" t="str">
        <x:f>IF(E631=F631,"PASS","FAIL")</x:f>
        <x:v>PASS</x:v>
      </x:c>
      <x:c r="H631" t="str">
        <x:f>G631</x:f>
        <x:v>PASS</x:v>
      </x:c>
    </x:row>
    <x:row r="632">
      <x:c r="B632" t="str">
        <x:v>A-PROTO-01</x:v>
      </x:c>
      <x:c r="C632" t="str">
        <x:v>protocol</x:v>
      </x:c>
      <x:c r="D632" t="str">
        <x:v>protocol 1</x:v>
      </x:c>
      <x:c r="E632" t="str">
        <x:v>PASS</x:v>
      </x:c>
      <x:c r="F632" t="str">
        <x:f>'Protocol Matrix'!N7</x:f>
        <x:v>PASS</x:v>
      </x:c>
      <x:c r="G632" t="str">
        <x:f>IF(E632=F632,"PASS","FAIL")</x:f>
        <x:v>PASS</x:v>
      </x:c>
      <x:c r="H632" t="str">
        <x:f>G632</x:f>
        <x:v>PASS</x:v>
      </x:c>
    </x:row>
    <x:row r="633">
      <x:c r="B633" t="str">
        <x:v>A-PROTO-02</x:v>
      </x:c>
      <x:c r="C633" t="str">
        <x:v>protocol</x:v>
      </x:c>
      <x:c r="D633" t="str">
        <x:v>protocol 2</x:v>
      </x:c>
      <x:c r="E633" t="str">
        <x:v>PASS</x:v>
      </x:c>
      <x:c r="F633" t="str">
        <x:f>'Protocol Matrix'!N8</x:f>
        <x:v>PASS</x:v>
      </x:c>
      <x:c r="G633" t="str">
        <x:f>IF(E633=F633,"PASS","FAIL")</x:f>
        <x:v>PASS</x:v>
      </x:c>
      <x:c r="H633" t="str">
        <x:f>G633</x:f>
        <x:v>PASS</x:v>
      </x:c>
    </x:row>
    <x:row r="634">
      <x:c r="B634" t="str">
        <x:v>A-PROTO-03</x:v>
      </x:c>
      <x:c r="C634" t="str">
        <x:v>protocol</x:v>
      </x:c>
      <x:c r="D634" t="str">
        <x:v>protocol 3</x:v>
      </x:c>
      <x:c r="E634" t="str">
        <x:v>PASS</x:v>
      </x:c>
      <x:c r="F634" t="str">
        <x:f>'Protocol Matrix'!N9</x:f>
        <x:v>PASS</x:v>
      </x:c>
      <x:c r="G634" t="str">
        <x:f>IF(E634=F634,"PASS","FAIL")</x:f>
        <x:v>PASS</x:v>
      </x:c>
      <x:c r="H634" t="str">
        <x:f>G634</x:f>
        <x:v>PASS</x:v>
      </x:c>
    </x:row>
    <x:row r="635">
      <x:c r="B635" t="str">
        <x:v>A-PROTO-04</x:v>
      </x:c>
      <x:c r="C635" t="str">
        <x:v>protocol</x:v>
      </x:c>
      <x:c r="D635" t="str">
        <x:v>protocol 4</x:v>
      </x:c>
      <x:c r="E635" t="str">
        <x:v>PASS</x:v>
      </x:c>
      <x:c r="F635" t="str">
        <x:f>'Protocol Matrix'!N10</x:f>
        <x:v>PASS</x:v>
      </x:c>
      <x:c r="G635" t="str">
        <x:f>IF(E635=F635,"PASS","FAIL")</x:f>
        <x:v>PASS</x:v>
      </x:c>
      <x:c r="H635" t="str">
        <x:f>G635</x:f>
        <x:v>PASS</x:v>
      </x:c>
    </x:row>
    <x:row r="636">
      <x:c r="B636" t="str">
        <x:v>A-PROTO-05</x:v>
      </x:c>
      <x:c r="C636" t="str">
        <x:v>protocol</x:v>
      </x:c>
      <x:c r="D636" t="str">
        <x:v>protocol 5</x:v>
      </x:c>
      <x:c r="E636" t="str">
        <x:v>PASS</x:v>
      </x:c>
      <x:c r="F636" t="str">
        <x:f>'Protocol Matrix'!N11</x:f>
        <x:v>PASS</x:v>
      </x:c>
      <x:c r="G636" t="str">
        <x:f>IF(E636=F636,"PASS","FAIL")</x:f>
        <x:v>PASS</x:v>
      </x:c>
      <x:c r="H636" t="str">
        <x:f>G636</x:f>
        <x:v>PASS</x:v>
      </x:c>
    </x:row>
    <x:row r="637">
      <x:c r="B637" t="str">
        <x:v>A-PROTO-06</x:v>
      </x:c>
      <x:c r="C637" t="str">
        <x:v>protocol</x:v>
      </x:c>
      <x:c r="D637" t="str">
        <x:v>protocol 6</x:v>
      </x:c>
      <x:c r="E637" t="str">
        <x:v>PASS</x:v>
      </x:c>
      <x:c r="F637" t="str">
        <x:f>'Protocol Matrix'!N12</x:f>
        <x:v>PASS</x:v>
      </x:c>
      <x:c r="G637" t="str">
        <x:f>IF(E637=F637,"PASS","FAIL")</x:f>
        <x:v>PASS</x:v>
      </x:c>
      <x:c r="H637" t="str">
        <x:f>G637</x:f>
        <x:v>PASS</x:v>
      </x:c>
    </x:row>
    <x:row r="638">
      <x:c r="B638" t="str">
        <x:v>A-PROTO-07</x:v>
      </x:c>
      <x:c r="C638" t="str">
        <x:v>protocol</x:v>
      </x:c>
      <x:c r="D638" t="str">
        <x:v>protocol 7</x:v>
      </x:c>
      <x:c r="E638" t="str">
        <x:v>PASS</x:v>
      </x:c>
      <x:c r="F638" t="str">
        <x:f>'Protocol Matrix'!N13</x:f>
        <x:v>PASS</x:v>
      </x:c>
      <x:c r="G638" t="str">
        <x:f>IF(E638=F638,"PASS","FAIL")</x:f>
        <x:v>PASS</x:v>
      </x:c>
      <x:c r="H638" t="str">
        <x:f>G638</x:f>
        <x:v>PASS</x:v>
      </x:c>
    </x:row>
    <x:row r="639">
      <x:c r="B639" t="str">
        <x:v>A-PROTO-08</x:v>
      </x:c>
      <x:c r="C639" t="str">
        <x:v>protocol</x:v>
      </x:c>
      <x:c r="D639" t="str">
        <x:v>protocol 8</x:v>
      </x:c>
      <x:c r="E639" t="str">
        <x:v>PASS</x:v>
      </x:c>
      <x:c r="F639" t="str">
        <x:f>'Protocol Matrix'!N14</x:f>
        <x:v>PASS</x:v>
      </x:c>
      <x:c r="G639" t="str">
        <x:f>IF(E639=F639,"PASS","FAIL")</x:f>
        <x:v>PASS</x:v>
      </x:c>
      <x:c r="H639" t="str">
        <x:f>G639</x:f>
        <x:v>PASS</x:v>
      </x:c>
    </x:row>
    <x:row r="640">
      <x:c r="B640" t="str">
        <x:v>A-PROTO-09</x:v>
      </x:c>
      <x:c r="C640" t="str">
        <x:v>protocol</x:v>
      </x:c>
      <x:c r="D640" t="str">
        <x:v>protocol 9</x:v>
      </x:c>
      <x:c r="E640" t="str">
        <x:v>PASS</x:v>
      </x:c>
      <x:c r="F640" t="str">
        <x:f>'Protocol Matrix'!N15</x:f>
        <x:v>PASS</x:v>
      </x:c>
      <x:c r="G640" t="str">
        <x:f>IF(E640=F640,"PASS","FAIL")</x:f>
        <x:v>PASS</x:v>
      </x:c>
      <x:c r="H640" t="str">
        <x:f>G640</x:f>
        <x:v>PASS</x:v>
      </x:c>
    </x:row>
    <x:row r="641">
      <x:c r="B641" t="str">
        <x:v>A-PROTO-10</x:v>
      </x:c>
      <x:c r="C641" t="str">
        <x:v>protocol</x:v>
      </x:c>
      <x:c r="D641" t="str">
        <x:v>protocol 10</x:v>
      </x:c>
      <x:c r="E641" t="str">
        <x:v>PASS</x:v>
      </x:c>
      <x:c r="F641" t="str">
        <x:f>'Protocol Matrix'!N16</x:f>
        <x:v>PASS</x:v>
      </x:c>
      <x:c r="G641" t="str">
        <x:f>IF(E641=F641,"PASS","FAIL")</x:f>
        <x:v>PASS</x:v>
      </x:c>
      <x:c r="H641" t="str">
        <x:f>G641</x:f>
        <x:v>PASS</x:v>
      </x:c>
    </x:row>
    <x:row r="642">
      <x:c r="B642" t="str">
        <x:v>A-PROTO-11</x:v>
      </x:c>
      <x:c r="C642" t="str">
        <x:v>protocol</x:v>
      </x:c>
      <x:c r="D642" t="str">
        <x:v>protocol 11</x:v>
      </x:c>
      <x:c r="E642" t="str">
        <x:v>PASS</x:v>
      </x:c>
      <x:c r="F642" t="str">
        <x:f>'Protocol Matrix'!N17</x:f>
        <x:v>PASS</x:v>
      </x:c>
      <x:c r="G642" t="str">
        <x:f>IF(E642=F642,"PASS","FAIL")</x:f>
        <x:v>PASS</x:v>
      </x:c>
      <x:c r="H642" t="str">
        <x:f>G642</x:f>
        <x:v>PASS</x:v>
      </x:c>
    </x:row>
    <x:row r="643">
      <x:c r="B643" t="str">
        <x:v>A-PROTO-12</x:v>
      </x:c>
      <x:c r="C643" t="str">
        <x:v>protocol</x:v>
      </x:c>
      <x:c r="D643" t="str">
        <x:v>protocol 12</x:v>
      </x:c>
      <x:c r="E643" t="str">
        <x:v>PASS</x:v>
      </x:c>
      <x:c r="F643" t="str">
        <x:f>'Protocol Matrix'!N18</x:f>
        <x:v>PASS</x:v>
      </x:c>
      <x:c r="G643" t="str">
        <x:f>IF(E643=F643,"PASS","FAIL")</x:f>
        <x:v>PASS</x:v>
      </x:c>
      <x:c r="H643" t="str">
        <x:f>G643</x:f>
        <x:v>PASS</x:v>
      </x:c>
    </x:row>
    <x:row r="644">
      <x:c r="B644" t="str">
        <x:v>A-PROTO-13</x:v>
      </x:c>
      <x:c r="C644" t="str">
        <x:v>protocol</x:v>
      </x:c>
      <x:c r="D644" t="str">
        <x:v>protocol 13</x:v>
      </x:c>
      <x:c r="E644" t="str">
        <x:v>PASS</x:v>
      </x:c>
      <x:c r="F644" t="str">
        <x:f>'Protocol Matrix'!N19</x:f>
        <x:v>PASS</x:v>
      </x:c>
      <x:c r="G644" t="str">
        <x:f>IF(E644=F644,"PASS","FAIL")</x:f>
        <x:v>PASS</x:v>
      </x:c>
      <x:c r="H644" t="str">
        <x:f>G644</x:f>
        <x:v>PASS</x:v>
      </x:c>
    </x:row>
    <x:row r="645">
      <x:c r="B645" t="str">
        <x:v>A-PROTO-14</x:v>
      </x:c>
      <x:c r="C645" t="str">
        <x:v>protocol</x:v>
      </x:c>
      <x:c r="D645" t="str">
        <x:v>protocol 14</x:v>
      </x:c>
      <x:c r="E645" t="str">
        <x:v>PASS</x:v>
      </x:c>
      <x:c r="F645" t="str">
        <x:f>'Protocol Matrix'!N20</x:f>
        <x:v>PASS</x:v>
      </x:c>
      <x:c r="G645" t="str">
        <x:f>IF(E645=F645,"PASS","FAIL")</x:f>
        <x:v>PASS</x:v>
      </x:c>
      <x:c r="H645" t="str">
        <x:f>G645</x:f>
        <x:v>PASS</x:v>
      </x:c>
    </x:row>
    <x:row r="646">
      <x:c r="B646" t="str">
        <x:v>A-PROTO-15</x:v>
      </x:c>
      <x:c r="C646" t="str">
        <x:v>protocol</x:v>
      </x:c>
      <x:c r="D646" t="str">
        <x:v>protocol 15</x:v>
      </x:c>
      <x:c r="E646" t="str">
        <x:v>PASS</x:v>
      </x:c>
      <x:c r="F646" t="str">
        <x:f>'Protocol Matrix'!N21</x:f>
        <x:v>PASS</x:v>
      </x:c>
      <x:c r="G646" t="str">
        <x:f>IF(E646=F646,"PASS","FAIL")</x:f>
        <x:v>PASS</x:v>
      </x:c>
      <x:c r="H646" t="str">
        <x:f>G646</x:f>
        <x:v>PASS</x:v>
      </x:c>
    </x:row>
    <x:row r="647">
      <x:c r="B647" t="str">
        <x:v>A-PROTO-16</x:v>
      </x:c>
      <x:c r="C647" t="str">
        <x:v>protocol</x:v>
      </x:c>
      <x:c r="D647" t="str">
        <x:v>protocol 16</x:v>
      </x:c>
      <x:c r="E647" t="str">
        <x:v>PASS</x:v>
      </x:c>
      <x:c r="F647" t="str">
        <x:f>'Protocol Matrix'!N22</x:f>
        <x:v>PASS</x:v>
      </x:c>
      <x:c r="G647" t="str">
        <x:f>IF(E647=F647,"PASS","FAIL")</x:f>
        <x:v>PASS</x:v>
      </x:c>
      <x:c r="H647" t="str">
        <x:f>G647</x:f>
        <x:v>PASS</x:v>
      </x:c>
    </x:row>
    <x:row r="648">
      <x:c r="B648" t="str">
        <x:v>A-PROTO-17</x:v>
      </x:c>
      <x:c r="C648" t="str">
        <x:v>protocol</x:v>
      </x:c>
      <x:c r="D648" t="str">
        <x:v>protocol 17</x:v>
      </x:c>
      <x:c r="E648" t="str">
        <x:v>PASS</x:v>
      </x:c>
      <x:c r="F648" t="str">
        <x:f>'Protocol Matrix'!N23</x:f>
        <x:v>PASS</x:v>
      </x:c>
      <x:c r="G648" t="str">
        <x:f>IF(E648=F648,"PASS","FAIL")</x:f>
        <x:v>PASS</x:v>
      </x:c>
      <x:c r="H648" t="str">
        <x:f>G648</x:f>
        <x:v>PASS</x:v>
      </x:c>
    </x:row>
    <x:row r="649">
      <x:c r="B649" t="str">
        <x:v>A-PROTO-18</x:v>
      </x:c>
      <x:c r="C649" t="str">
        <x:v>protocol</x:v>
      </x:c>
      <x:c r="D649" t="str">
        <x:v>protocol 18</x:v>
      </x:c>
      <x:c r="E649" t="str">
        <x:v>PASS</x:v>
      </x:c>
      <x:c r="F649" t="str">
        <x:f>'Protocol Matrix'!N24</x:f>
        <x:v>PASS</x:v>
      </x:c>
      <x:c r="G649" t="str">
        <x:f>IF(E649=F649,"PASS","FAIL")</x:f>
        <x:v>PASS</x:v>
      </x:c>
      <x:c r="H649" t="str">
        <x:f>G649</x:f>
        <x:v>PASS</x:v>
      </x:c>
    </x:row>
    <x:row r="650">
      <x:c r="B650" t="str">
        <x:v>A-PROTO-19</x:v>
      </x:c>
      <x:c r="C650" t="str">
        <x:v>protocol</x:v>
      </x:c>
      <x:c r="D650" t="str">
        <x:v>protocol 19</x:v>
      </x:c>
      <x:c r="E650" t="str">
        <x:v>PASS</x:v>
      </x:c>
      <x:c r="F650" t="str">
        <x:f>'Protocol Matrix'!N25</x:f>
        <x:v>PASS</x:v>
      </x:c>
      <x:c r="G650" t="str">
        <x:f>IF(E650=F650,"PASS","FAIL")</x:f>
        <x:v>PASS</x:v>
      </x:c>
      <x:c r="H650" t="str">
        <x:f>G650</x:f>
        <x:v>PASS</x:v>
      </x:c>
    </x:row>
    <x:row r="651">
      <x:c r="B651" t="str">
        <x:v>A-PROTO-20</x:v>
      </x:c>
      <x:c r="C651" t="str">
        <x:v>protocol</x:v>
      </x:c>
      <x:c r="D651" t="str">
        <x:v>protocol 20</x:v>
      </x:c>
      <x:c r="E651" t="str">
        <x:v>PASS</x:v>
      </x:c>
      <x:c r="F651" t="str">
        <x:f>'Protocol Matrix'!N26</x:f>
        <x:v>PASS</x:v>
      </x:c>
      <x:c r="G651" t="str">
        <x:f>IF(E651=F651,"PASS","FAIL")</x:f>
        <x:v>PASS</x:v>
      </x:c>
      <x:c r="H651" t="str">
        <x:f>G651</x:f>
        <x:v>PASS</x:v>
      </x:c>
    </x:row>
    <x:row r="652">
      <x:c r="B652" t="str">
        <x:v>A-PROTO-21</x:v>
      </x:c>
      <x:c r="C652" t="str">
        <x:v>protocol</x:v>
      </x:c>
      <x:c r="D652" t="str">
        <x:v>protocol 21</x:v>
      </x:c>
      <x:c r="E652" t="str">
        <x:v>PASS</x:v>
      </x:c>
      <x:c r="F652" t="str">
        <x:f>'Protocol Matrix'!N27</x:f>
        <x:v>PASS</x:v>
      </x:c>
      <x:c r="G652" t="str">
        <x:f>IF(E652=F652,"PASS","FAIL")</x:f>
        <x:v>PASS</x:v>
      </x:c>
      <x:c r="H652" t="str">
        <x:f>G652</x:f>
        <x:v>PASS</x:v>
      </x:c>
    </x:row>
    <x:row r="653">
      <x:c r="B653" t="str">
        <x:v>A-PROTO-22</x:v>
      </x:c>
      <x:c r="C653" t="str">
        <x:v>protocol</x:v>
      </x:c>
      <x:c r="D653" t="str">
        <x:v>protocol 22</x:v>
      </x:c>
      <x:c r="E653" t="str">
        <x:v>PASS</x:v>
      </x:c>
      <x:c r="F653" t="str">
        <x:f>'Protocol Matrix'!N28</x:f>
        <x:v>PASS</x:v>
      </x:c>
      <x:c r="G653" t="str">
        <x:f>IF(E653=F653,"PASS","FAIL")</x:f>
        <x:v>PASS</x:v>
      </x:c>
      <x:c r="H653" t="str">
        <x:f>G653</x:f>
        <x:v>PASS</x:v>
      </x:c>
    </x:row>
    <x:row r="654">
      <x:c r="B654" t="str">
        <x:v>A-PROTO-23</x:v>
      </x:c>
      <x:c r="C654" t="str">
        <x:v>protocol</x:v>
      </x:c>
      <x:c r="D654" t="str">
        <x:v>protocol 23</x:v>
      </x:c>
      <x:c r="E654" t="str">
        <x:v>PASS</x:v>
      </x:c>
      <x:c r="F654" t="str">
        <x:f>'Protocol Matrix'!N29</x:f>
        <x:v>PASS</x:v>
      </x:c>
      <x:c r="G654" t="str">
        <x:f>IF(E654=F654,"PASS","FAIL")</x:f>
        <x:v>PASS</x:v>
      </x:c>
      <x:c r="H654" t="str">
        <x:f>G654</x:f>
        <x:v>PASS</x:v>
      </x:c>
    </x:row>
    <x:row r="655">
      <x:c r="B655" t="str">
        <x:v>A-PROTO-24</x:v>
      </x:c>
      <x:c r="C655" t="str">
        <x:v>protocol</x:v>
      </x:c>
      <x:c r="D655" t="str">
        <x:v>protocol 24</x:v>
      </x:c>
      <x:c r="E655" t="str">
        <x:v>PASS</x:v>
      </x:c>
      <x:c r="F655" t="str">
        <x:f>'Protocol Matrix'!N30</x:f>
        <x:v>PASS</x:v>
      </x:c>
      <x:c r="G655" t="str">
        <x:f>IF(E655=F655,"PASS","FAIL")</x:f>
        <x:v>PASS</x:v>
      </x:c>
      <x:c r="H655" t="str">
        <x:f>G655</x:f>
        <x:v>PASS</x:v>
      </x:c>
    </x:row>
    <x:row r="656">
      <x:c r="B656" t="str">
        <x:v>A-EXP-01</x:v>
      </x:c>
      <x:c r="C656" t="str">
        <x:v>exposure</x:v>
      </x:c>
      <x:c r="D656" t="str">
        <x:v>exposure 1</x:v>
      </x:c>
      <x:c r="E656" t="str">
        <x:v>PASS</x:v>
      </x:c>
      <x:c r="F656" t="str">
        <x:f>'Exposure Register'!N7</x:f>
        <x:v>PASS</x:v>
      </x:c>
      <x:c r="G656" t="str">
        <x:f>IF(E656=F656,"PASS","FAIL")</x:f>
        <x:v>PASS</x:v>
      </x:c>
      <x:c r="H656" t="str">
        <x:f>G656</x:f>
        <x:v>PASS</x:v>
      </x:c>
    </x:row>
    <x:row r="657">
      <x:c r="B657" t="str">
        <x:v>A-EXP-02</x:v>
      </x:c>
      <x:c r="C657" t="str">
        <x:v>exposure</x:v>
      </x:c>
      <x:c r="D657" t="str">
        <x:v>exposure 2</x:v>
      </x:c>
      <x:c r="E657" t="str">
        <x:v>PASS</x:v>
      </x:c>
      <x:c r="F657" t="str">
        <x:f>'Exposure Register'!N8</x:f>
        <x:v>PASS</x:v>
      </x:c>
      <x:c r="G657" t="str">
        <x:f>IF(E657=F657,"PASS","FAIL")</x:f>
        <x:v>PASS</x:v>
      </x:c>
      <x:c r="H657" t="str">
        <x:f>G657</x:f>
        <x:v>PASS</x:v>
      </x:c>
    </x:row>
    <x:row r="658">
      <x:c r="B658" t="str">
        <x:v>A-EXP-03</x:v>
      </x:c>
      <x:c r="C658" t="str">
        <x:v>exposure</x:v>
      </x:c>
      <x:c r="D658" t="str">
        <x:v>exposure 3</x:v>
      </x:c>
      <x:c r="E658" t="str">
        <x:v>PASS</x:v>
      </x:c>
      <x:c r="F658" t="str">
        <x:f>'Exposure Register'!N9</x:f>
        <x:v>PASS</x:v>
      </x:c>
      <x:c r="G658" t="str">
        <x:f>IF(E658=F658,"PASS","FAIL")</x:f>
        <x:v>PASS</x:v>
      </x:c>
      <x:c r="H658" t="str">
        <x:f>G658</x:f>
        <x:v>PASS</x:v>
      </x:c>
    </x:row>
    <x:row r="659">
      <x:c r="B659" t="str">
        <x:v>A-EXP-04</x:v>
      </x:c>
      <x:c r="C659" t="str">
        <x:v>exposure</x:v>
      </x:c>
      <x:c r="D659" t="str">
        <x:v>exposure 4</x:v>
      </x:c>
      <x:c r="E659" t="str">
        <x:v>PASS</x:v>
      </x:c>
      <x:c r="F659" t="str">
        <x:f>'Exposure Register'!N10</x:f>
        <x:v>PASS</x:v>
      </x:c>
      <x:c r="G659" t="str">
        <x:f>IF(E659=F659,"PASS","FAIL")</x:f>
        <x:v>PASS</x:v>
      </x:c>
      <x:c r="H659" t="str">
        <x:f>G659</x:f>
        <x:v>PASS</x:v>
      </x:c>
    </x:row>
    <x:row r="660">
      <x:c r="B660" t="str">
        <x:v>A-EXP-05</x:v>
      </x:c>
      <x:c r="C660" t="str">
        <x:v>exposure</x:v>
      </x:c>
      <x:c r="D660" t="str">
        <x:v>exposure 5</x:v>
      </x:c>
      <x:c r="E660" t="str">
        <x:v>PASS</x:v>
      </x:c>
      <x:c r="F660" t="str">
        <x:f>'Exposure Register'!N11</x:f>
        <x:v>PASS</x:v>
      </x:c>
      <x:c r="G660" t="str">
        <x:f>IF(E660=F660,"PASS","FAIL")</x:f>
        <x:v>PASS</x:v>
      </x:c>
      <x:c r="H660" t="str">
        <x:f>G660</x:f>
        <x:v>PASS</x:v>
      </x:c>
    </x:row>
    <x:row r="661">
      <x:c r="B661" t="str">
        <x:v>A-EXP-06</x:v>
      </x:c>
      <x:c r="C661" t="str">
        <x:v>exposure</x:v>
      </x:c>
      <x:c r="D661" t="str">
        <x:v>exposure 6</x:v>
      </x:c>
      <x:c r="E661" t="str">
        <x:v>PASS</x:v>
      </x:c>
      <x:c r="F661" t="str">
        <x:f>'Exposure Register'!N12</x:f>
        <x:v>PASS</x:v>
      </x:c>
      <x:c r="G661" t="str">
        <x:f>IF(E661=F661,"PASS","FAIL")</x:f>
        <x:v>PASS</x:v>
      </x:c>
      <x:c r="H661" t="str">
        <x:f>G661</x:f>
        <x:v>PASS</x:v>
      </x:c>
    </x:row>
    <x:row r="662">
      <x:c r="B662" t="str">
        <x:v>A-EXP-07</x:v>
      </x:c>
      <x:c r="C662" t="str">
        <x:v>exposure</x:v>
      </x:c>
      <x:c r="D662" t="str">
        <x:v>exposure 7</x:v>
      </x:c>
      <x:c r="E662" t="str">
        <x:v>PASS</x:v>
      </x:c>
      <x:c r="F662" t="str">
        <x:f>'Exposure Register'!N13</x:f>
        <x:v>PASS</x:v>
      </x:c>
      <x:c r="G662" t="str">
        <x:f>IF(E662=F662,"PASS","FAIL")</x:f>
        <x:v>PASS</x:v>
      </x:c>
      <x:c r="H662" t="str">
        <x:f>G662</x:f>
        <x:v>PASS</x:v>
      </x:c>
    </x:row>
    <x:row r="663">
      <x:c r="B663" t="str">
        <x:v>A-EXP-08</x:v>
      </x:c>
      <x:c r="C663" t="str">
        <x:v>exposure</x:v>
      </x:c>
      <x:c r="D663" t="str">
        <x:v>exposure 8</x:v>
      </x:c>
      <x:c r="E663" t="str">
        <x:v>PASS</x:v>
      </x:c>
      <x:c r="F663" t="str">
        <x:f>'Exposure Register'!N14</x:f>
        <x:v>PASS</x:v>
      </x:c>
      <x:c r="G663" t="str">
        <x:f>IF(E663=F663,"PASS","FAIL")</x:f>
        <x:v>PASS</x:v>
      </x:c>
      <x:c r="H663" t="str">
        <x:f>G663</x:f>
        <x:v>PASS</x:v>
      </x:c>
    </x:row>
    <x:row r="664">
      <x:c r="B664" t="str">
        <x:v>A-EXP-09</x:v>
      </x:c>
      <x:c r="C664" t="str">
        <x:v>exposure</x:v>
      </x:c>
      <x:c r="D664" t="str">
        <x:v>exposure 9</x:v>
      </x:c>
      <x:c r="E664" t="str">
        <x:v>PASS</x:v>
      </x:c>
      <x:c r="F664" t="str">
        <x:f>'Exposure Register'!N15</x:f>
        <x:v>PASS</x:v>
      </x:c>
      <x:c r="G664" t="str">
        <x:f>IF(E664=F664,"PASS","FAIL")</x:f>
        <x:v>PASS</x:v>
      </x:c>
      <x:c r="H664" t="str">
        <x:f>G664</x:f>
        <x:v>PASS</x:v>
      </x:c>
    </x:row>
    <x:row r="665">
      <x:c r="B665" t="str">
        <x:v>A-EXP-10</x:v>
      </x:c>
      <x:c r="C665" t="str">
        <x:v>exposure</x:v>
      </x:c>
      <x:c r="D665" t="str">
        <x:v>exposure 10</x:v>
      </x:c>
      <x:c r="E665" t="str">
        <x:v>PASS</x:v>
      </x:c>
      <x:c r="F665" t="str">
        <x:f>'Exposure Register'!N16</x:f>
        <x:v>PASS</x:v>
      </x:c>
      <x:c r="G665" t="str">
        <x:f>IF(E665=F665,"PASS","FAIL")</x:f>
        <x:v>PASS</x:v>
      </x:c>
      <x:c r="H665" t="str">
        <x:f>G665</x:f>
        <x:v>PASS</x:v>
      </x:c>
    </x:row>
    <x:row r="666">
      <x:c r="B666" t="str">
        <x:v>A-EXP-11</x:v>
      </x:c>
      <x:c r="C666" t="str">
        <x:v>exposure</x:v>
      </x:c>
      <x:c r="D666" t="str">
        <x:v>exposure 11</x:v>
      </x:c>
      <x:c r="E666" t="str">
        <x:v>PASS</x:v>
      </x:c>
      <x:c r="F666" t="str">
        <x:f>'Exposure Register'!N17</x:f>
        <x:v>PASS</x:v>
      </x:c>
      <x:c r="G666" t="str">
        <x:f>IF(E666=F666,"PASS","FAIL")</x:f>
        <x:v>PASS</x:v>
      </x:c>
      <x:c r="H666" t="str">
        <x:f>G666</x:f>
        <x:v>PASS</x:v>
      </x:c>
    </x:row>
    <x:row r="667">
      <x:c r="B667" t="str">
        <x:v>A-EXP-12</x:v>
      </x:c>
      <x:c r="C667" t="str">
        <x:v>exposure</x:v>
      </x:c>
      <x:c r="D667" t="str">
        <x:v>exposure 12</x:v>
      </x:c>
      <x:c r="E667" t="str">
        <x:v>PASS</x:v>
      </x:c>
      <x:c r="F667" t="str">
        <x:f>'Exposure Register'!N18</x:f>
        <x:v>PASS</x:v>
      </x:c>
      <x:c r="G667" t="str">
        <x:f>IF(E667=F667,"PASS","FAIL")</x:f>
        <x:v>PASS</x:v>
      </x:c>
      <x:c r="H667" t="str">
        <x:f>G667</x:f>
        <x:v>PASS</x:v>
      </x:c>
    </x:row>
    <x:row r="668">
      <x:c r="B668" t="str">
        <x:v>A-EXP-13</x:v>
      </x:c>
      <x:c r="C668" t="str">
        <x:v>exposure</x:v>
      </x:c>
      <x:c r="D668" t="str">
        <x:v>exposure 13</x:v>
      </x:c>
      <x:c r="E668" t="str">
        <x:v>PASS</x:v>
      </x:c>
      <x:c r="F668" t="str">
        <x:f>'Exposure Register'!N19</x:f>
        <x:v>PASS</x:v>
      </x:c>
      <x:c r="G668" t="str">
        <x:f>IF(E668=F668,"PASS","FAIL")</x:f>
        <x:v>PASS</x:v>
      </x:c>
      <x:c r="H668" t="str">
        <x:f>G668</x:f>
        <x:v>PASS</x:v>
      </x:c>
    </x:row>
    <x:row r="669">
      <x:c r="B669" t="str">
        <x:v>A-EXP-14</x:v>
      </x:c>
      <x:c r="C669" t="str">
        <x:v>exposure</x:v>
      </x:c>
      <x:c r="D669" t="str">
        <x:v>exposure 14</x:v>
      </x:c>
      <x:c r="E669" t="str">
        <x:v>PASS</x:v>
      </x:c>
      <x:c r="F669" t="str">
        <x:f>'Exposure Register'!N20</x:f>
        <x:v>PASS</x:v>
      </x:c>
      <x:c r="G669" t="str">
        <x:f>IF(E669=F669,"PASS","FAIL")</x:f>
        <x:v>PASS</x:v>
      </x:c>
      <x:c r="H669" t="str">
        <x:f>G669</x:f>
        <x:v>PASS</x:v>
      </x:c>
    </x:row>
    <x:row r="670">
      <x:c r="B670" t="str">
        <x:v>A-EXP-15</x:v>
      </x:c>
      <x:c r="C670" t="str">
        <x:v>exposure</x:v>
      </x:c>
      <x:c r="D670" t="str">
        <x:v>exposure 15</x:v>
      </x:c>
      <x:c r="E670" t="str">
        <x:v>PASS</x:v>
      </x:c>
      <x:c r="F670" t="str">
        <x:f>'Exposure Register'!N21</x:f>
        <x:v>PASS</x:v>
      </x:c>
      <x:c r="G670" t="str">
        <x:f>IF(E670=F670,"PASS","FAIL")</x:f>
        <x:v>PASS</x:v>
      </x:c>
      <x:c r="H670" t="str">
        <x:f>G670</x:f>
        <x:v>PASS</x:v>
      </x:c>
    </x:row>
    <x:row r="671">
      <x:c r="B671" t="str">
        <x:v>A-EXP-16</x:v>
      </x:c>
      <x:c r="C671" t="str">
        <x:v>exposure</x:v>
      </x:c>
      <x:c r="D671" t="str">
        <x:v>exposure 16</x:v>
      </x:c>
      <x:c r="E671" t="str">
        <x:v>PASS</x:v>
      </x:c>
      <x:c r="F671" t="str">
        <x:f>'Exposure Register'!N22</x:f>
        <x:v>PASS</x:v>
      </x:c>
      <x:c r="G671" t="str">
        <x:f>IF(E671=F671,"PASS","FAIL")</x:f>
        <x:v>PASS</x:v>
      </x:c>
      <x:c r="H671" t="str">
        <x:f>G671</x:f>
        <x:v>PASS</x:v>
      </x:c>
    </x:row>
    <x:row r="672">
      <x:c r="B672" t="str">
        <x:v>A-EXP-17</x:v>
      </x:c>
      <x:c r="C672" t="str">
        <x:v>exposure</x:v>
      </x:c>
      <x:c r="D672" t="str">
        <x:v>exposure 17</x:v>
      </x:c>
      <x:c r="E672" t="str">
        <x:v>PASS</x:v>
      </x:c>
      <x:c r="F672" t="str">
        <x:f>'Exposure Register'!N23</x:f>
        <x:v>PASS</x:v>
      </x:c>
      <x:c r="G672" t="str">
        <x:f>IF(E672=F672,"PASS","FAIL")</x:f>
        <x:v>PASS</x:v>
      </x:c>
      <x:c r="H672" t="str">
        <x:f>G672</x:f>
        <x:v>PASS</x:v>
      </x:c>
    </x:row>
    <x:row r="673">
      <x:c r="B673" t="str">
        <x:v>A-EXP-18</x:v>
      </x:c>
      <x:c r="C673" t="str">
        <x:v>exposure</x:v>
      </x:c>
      <x:c r="D673" t="str">
        <x:v>exposure 18</x:v>
      </x:c>
      <x:c r="E673" t="str">
        <x:v>PASS</x:v>
      </x:c>
      <x:c r="F673" t="str">
        <x:f>'Exposure Register'!N24</x:f>
        <x:v>PASS</x:v>
      </x:c>
      <x:c r="G673" t="str">
        <x:f>IF(E673=F673,"PASS","FAIL")</x:f>
        <x:v>PASS</x:v>
      </x:c>
      <x:c r="H673" t="str">
        <x:f>G673</x:f>
        <x:v>PASS</x:v>
      </x:c>
    </x:row>
    <x:row r="674">
      <x:c r="B674" t="str">
        <x:v>A-EXP-19</x:v>
      </x:c>
      <x:c r="C674" t="str">
        <x:v>exposure</x:v>
      </x:c>
      <x:c r="D674" t="str">
        <x:v>exposure 19</x:v>
      </x:c>
      <x:c r="E674" t="str">
        <x:v>PASS</x:v>
      </x:c>
      <x:c r="F674" t="str">
        <x:f>'Exposure Register'!N25</x:f>
        <x:v>PASS</x:v>
      </x:c>
      <x:c r="G674" t="str">
        <x:f>IF(E674=F674,"PASS","FAIL")</x:f>
        <x:v>PASS</x:v>
      </x:c>
      <x:c r="H674" t="str">
        <x:f>G674</x:f>
        <x:v>PASS</x:v>
      </x:c>
    </x:row>
    <x:row r="675">
      <x:c r="B675" t="str">
        <x:v>A-EXP-20</x:v>
      </x:c>
      <x:c r="C675" t="str">
        <x:v>exposure</x:v>
      </x:c>
      <x:c r="D675" t="str">
        <x:v>exposure 20</x:v>
      </x:c>
      <x:c r="E675" t="str">
        <x:v>PASS</x:v>
      </x:c>
      <x:c r="F675" t="str">
        <x:f>'Exposure Register'!N26</x:f>
        <x:v>PASS</x:v>
      </x:c>
      <x:c r="G675" t="str">
        <x:f>IF(E675=F675,"PASS","FAIL")</x:f>
        <x:v>PASS</x:v>
      </x:c>
      <x:c r="H675" t="str">
        <x:f>G675</x:f>
        <x:v>PASS</x:v>
      </x:c>
    </x:row>
    <x:row r="676">
      <x:c r="B676" t="str">
        <x:v>A-EXP-21</x:v>
      </x:c>
      <x:c r="C676" t="str">
        <x:v>exposure</x:v>
      </x:c>
      <x:c r="D676" t="str">
        <x:v>exposure 21</x:v>
      </x:c>
      <x:c r="E676" t="str">
        <x:v>PASS</x:v>
      </x:c>
      <x:c r="F676" t="str">
        <x:f>'Exposure Register'!N27</x:f>
        <x:v>PASS</x:v>
      </x:c>
      <x:c r="G676" t="str">
        <x:f>IF(E676=F676,"PASS","FAIL")</x:f>
        <x:v>PASS</x:v>
      </x:c>
      <x:c r="H676" t="str">
        <x:f>G676</x:f>
        <x:v>PASS</x:v>
      </x:c>
    </x:row>
    <x:row r="677">
      <x:c r="B677" t="str">
        <x:v>A-EXP-22</x:v>
      </x:c>
      <x:c r="C677" t="str">
        <x:v>exposure</x:v>
      </x:c>
      <x:c r="D677" t="str">
        <x:v>exposure 22</x:v>
      </x:c>
      <x:c r="E677" t="str">
        <x:v>PASS</x:v>
      </x:c>
      <x:c r="F677" t="str">
        <x:f>'Exposure Register'!N28</x:f>
        <x:v>PASS</x:v>
      </x:c>
      <x:c r="G677" t="str">
        <x:f>IF(E677=F677,"PASS","FAIL")</x:f>
        <x:v>PASS</x:v>
      </x:c>
      <x:c r="H677" t="str">
        <x:f>G677</x:f>
        <x:v>PASS</x:v>
      </x:c>
    </x:row>
    <x:row r="678">
      <x:c r="B678" t="str">
        <x:v>A-EXP-23</x:v>
      </x:c>
      <x:c r="C678" t="str">
        <x:v>exposure</x:v>
      </x:c>
      <x:c r="D678" t="str">
        <x:v>exposure 23</x:v>
      </x:c>
      <x:c r="E678" t="str">
        <x:v>PASS</x:v>
      </x:c>
      <x:c r="F678" t="str">
        <x:f>'Exposure Register'!N29</x:f>
        <x:v>PASS</x:v>
      </x:c>
      <x:c r="G678" t="str">
        <x:f>IF(E678=F678,"PASS","FAIL")</x:f>
        <x:v>PASS</x:v>
      </x:c>
      <x:c r="H678" t="str">
        <x:f>G678</x:f>
        <x:v>PASS</x:v>
      </x:c>
    </x:row>
    <x:row r="679">
      <x:c r="B679" t="str">
        <x:v>A-EXP-24</x:v>
      </x:c>
      <x:c r="C679" t="str">
        <x:v>exposure</x:v>
      </x:c>
      <x:c r="D679" t="str">
        <x:v>exposure 24</x:v>
      </x:c>
      <x:c r="E679" t="str">
        <x:v>PASS</x:v>
      </x:c>
      <x:c r="F679" t="str">
        <x:f>'Exposure Register'!N30</x:f>
        <x:v>PASS</x:v>
      </x:c>
      <x:c r="G679" t="str">
        <x:f>IF(E679=F679,"PASS","FAIL")</x:f>
        <x:v>PASS</x:v>
      </x:c>
      <x:c r="H679" t="str">
        <x:f>G679</x:f>
        <x:v>PASS</x:v>
      </x:c>
    </x:row>
    <x:row r="680">
      <x:c r="B680" t="str">
        <x:v>A-EXP-25</x:v>
      </x:c>
      <x:c r="C680" t="str">
        <x:v>exposure</x:v>
      </x:c>
      <x:c r="D680" t="str">
        <x:v>exposure 25</x:v>
      </x:c>
      <x:c r="E680" t="str">
        <x:v>PASS</x:v>
      </x:c>
      <x:c r="F680" t="str">
        <x:f>'Exposure Register'!N31</x:f>
        <x:v>PASS</x:v>
      </x:c>
      <x:c r="G680" t="str">
        <x:f>IF(E680=F680,"PASS","FAIL")</x:f>
        <x:v>PASS</x:v>
      </x:c>
      <x:c r="H680" t="str">
        <x:f>G680</x:f>
        <x:v>PASS</x:v>
      </x:c>
    </x:row>
    <x:row r="681">
      <x:c r="B681" t="str">
        <x:v>A-EXP-26</x:v>
      </x:c>
      <x:c r="C681" t="str">
        <x:v>exposure</x:v>
      </x:c>
      <x:c r="D681" t="str">
        <x:v>exposure 26</x:v>
      </x:c>
      <x:c r="E681" t="str">
        <x:v>PASS</x:v>
      </x:c>
      <x:c r="F681" t="str">
        <x:f>'Exposure Register'!N32</x:f>
        <x:v>PASS</x:v>
      </x:c>
      <x:c r="G681" t="str">
        <x:f>IF(E681=F681,"PASS","FAIL")</x:f>
        <x:v>PASS</x:v>
      </x:c>
      <x:c r="H681" t="str">
        <x:f>G681</x:f>
        <x:v>PASS</x:v>
      </x:c>
    </x:row>
    <x:row r="682">
      <x:c r="B682" t="str">
        <x:v>A-EXP-27</x:v>
      </x:c>
      <x:c r="C682" t="str">
        <x:v>exposure</x:v>
      </x:c>
      <x:c r="D682" t="str">
        <x:v>exposure 27</x:v>
      </x:c>
      <x:c r="E682" t="str">
        <x:v>PASS</x:v>
      </x:c>
      <x:c r="F682" t="str">
        <x:f>'Exposure Register'!N33</x:f>
        <x:v>PASS</x:v>
      </x:c>
      <x:c r="G682" t="str">
        <x:f>IF(E682=F682,"PASS","FAIL")</x:f>
        <x:v>PASS</x:v>
      </x:c>
      <x:c r="H682" t="str">
        <x:f>G682</x:f>
        <x:v>PASS</x:v>
      </x:c>
    </x:row>
    <x:row r="683">
      <x:c r="B683" t="str">
        <x:v>A-EXP-28</x:v>
      </x:c>
      <x:c r="C683" t="str">
        <x:v>exposure</x:v>
      </x:c>
      <x:c r="D683" t="str">
        <x:v>exposure 28</x:v>
      </x:c>
      <x:c r="E683" t="str">
        <x:v>PASS</x:v>
      </x:c>
      <x:c r="F683" t="str">
        <x:f>'Exposure Register'!N34</x:f>
        <x:v>PASS</x:v>
      </x:c>
      <x:c r="G683" t="str">
        <x:f>IF(E683=F683,"PASS","FAIL")</x:f>
        <x:v>PASS</x:v>
      </x:c>
      <x:c r="H683" t="str">
        <x:f>G683</x:f>
        <x:v>PASS</x:v>
      </x:c>
    </x:row>
    <x:row r="684">
      <x:c r="B684" t="str">
        <x:v>A-EXP-29</x:v>
      </x:c>
      <x:c r="C684" t="str">
        <x:v>exposure</x:v>
      </x:c>
      <x:c r="D684" t="str">
        <x:v>exposure 29</x:v>
      </x:c>
      <x:c r="E684" t="str">
        <x:v>PASS</x:v>
      </x:c>
      <x:c r="F684" t="str">
        <x:f>'Exposure Register'!N35</x:f>
        <x:v>PASS</x:v>
      </x:c>
      <x:c r="G684" t="str">
        <x:f>IF(E684=F684,"PASS","FAIL")</x:f>
        <x:v>PASS</x:v>
      </x:c>
      <x:c r="H684" t="str">
        <x:f>G684</x:f>
        <x:v>PASS</x:v>
      </x:c>
    </x:row>
    <x:row r="685">
      <x:c r="B685" t="str">
        <x:v>A-EXP-30</x:v>
      </x:c>
      <x:c r="C685" t="str">
        <x:v>exposure</x:v>
      </x:c>
      <x:c r="D685" t="str">
        <x:v>exposure 30</x:v>
      </x:c>
      <x:c r="E685" t="str">
        <x:v>PASS</x:v>
      </x:c>
      <x:c r="F685" t="str">
        <x:f>'Exposure Register'!N36</x:f>
        <x:v>PASS</x:v>
      </x:c>
      <x:c r="G685" t="str">
        <x:f>IF(E685=F685,"PASS","FAIL")</x:f>
        <x:v>PASS</x:v>
      </x:c>
      <x:c r="H685" t="str">
        <x:f>G685</x:f>
        <x:v>PASS</x:v>
      </x:c>
    </x:row>
    <x:row r="686">
      <x:c r="B686" t="str">
        <x:v>A-EXP-31</x:v>
      </x:c>
      <x:c r="C686" t="str">
        <x:v>exposure</x:v>
      </x:c>
      <x:c r="D686" t="str">
        <x:v>exposure 31</x:v>
      </x:c>
      <x:c r="E686" t="str">
        <x:v>PASS</x:v>
      </x:c>
      <x:c r="F686" t="str">
        <x:f>'Exposure Register'!N37</x:f>
        <x:v>PASS</x:v>
      </x:c>
      <x:c r="G686" t="str">
        <x:f>IF(E686=F686,"PASS","FAIL")</x:f>
        <x:v>PASS</x:v>
      </x:c>
      <x:c r="H686" t="str">
        <x:f>G686</x:f>
        <x:v>PASS</x:v>
      </x:c>
    </x:row>
    <x:row r="687">
      <x:c r="B687" t="str">
        <x:v>A-EXP-32</x:v>
      </x:c>
      <x:c r="C687" t="str">
        <x:v>exposure</x:v>
      </x:c>
      <x:c r="D687" t="str">
        <x:v>exposure 32</x:v>
      </x:c>
      <x:c r="E687" t="str">
        <x:v>PASS</x:v>
      </x:c>
      <x:c r="F687" t="str">
        <x:f>'Exposure Register'!N38</x:f>
        <x:v>PASS</x:v>
      </x:c>
      <x:c r="G687" t="str">
        <x:f>IF(E687=F687,"PASS","FAIL")</x:f>
        <x:v>PASS</x:v>
      </x:c>
      <x:c r="H687" t="str">
        <x:f>G687</x:f>
        <x:v>PASS</x:v>
      </x:c>
    </x:row>
    <x:row r="688">
      <x:c r="B688" t="str">
        <x:v>A-EXP-33</x:v>
      </x:c>
      <x:c r="C688" t="str">
        <x:v>exposure</x:v>
      </x:c>
      <x:c r="D688" t="str">
        <x:v>exposure 33</x:v>
      </x:c>
      <x:c r="E688" t="str">
        <x:v>PASS</x:v>
      </x:c>
      <x:c r="F688" t="str">
        <x:f>'Exposure Register'!N39</x:f>
        <x:v>PASS</x:v>
      </x:c>
      <x:c r="G688" t="str">
        <x:f>IF(E688=F688,"PASS","FAIL")</x:f>
        <x:v>PASS</x:v>
      </x:c>
      <x:c r="H688" t="str">
        <x:f>G688</x:f>
        <x:v>PASS</x:v>
      </x:c>
    </x:row>
    <x:row r="689">
      <x:c r="B689" t="str">
        <x:v>A-EXP-34</x:v>
      </x:c>
      <x:c r="C689" t="str">
        <x:v>exposure</x:v>
      </x:c>
      <x:c r="D689" t="str">
        <x:v>exposure 34</x:v>
      </x:c>
      <x:c r="E689" t="str">
        <x:v>PASS</x:v>
      </x:c>
      <x:c r="F689" t="str">
        <x:f>'Exposure Register'!N40</x:f>
        <x:v>PASS</x:v>
      </x:c>
      <x:c r="G689" t="str">
        <x:f>IF(E689=F689,"PASS","FAIL")</x:f>
        <x:v>PASS</x:v>
      </x:c>
      <x:c r="H689" t="str">
        <x:f>G689</x:f>
        <x:v>PASS</x:v>
      </x:c>
    </x:row>
    <x:row r="690">
      <x:c r="B690" t="str">
        <x:v>A-EXP-35</x:v>
      </x:c>
      <x:c r="C690" t="str">
        <x:v>exposure</x:v>
      </x:c>
      <x:c r="D690" t="str">
        <x:v>exposure 35</x:v>
      </x:c>
      <x:c r="E690" t="str">
        <x:v>PASS</x:v>
      </x:c>
      <x:c r="F690" t="str">
        <x:f>'Exposure Register'!N41</x:f>
        <x:v>PASS</x:v>
      </x:c>
      <x:c r="G690" t="str">
        <x:f>IF(E690=F690,"PASS","FAIL")</x:f>
        <x:v>PASS</x:v>
      </x:c>
      <x:c r="H690" t="str">
        <x:f>G690</x:f>
        <x:v>PASS</x:v>
      </x:c>
    </x:row>
    <x:row r="691">
      <x:c r="B691" t="str">
        <x:v>A-EXP-36</x:v>
      </x:c>
      <x:c r="C691" t="str">
        <x:v>exposure</x:v>
      </x:c>
      <x:c r="D691" t="str">
        <x:v>exposure 36</x:v>
      </x:c>
      <x:c r="E691" t="str">
        <x:v>PASS</x:v>
      </x:c>
      <x:c r="F691" t="str">
        <x:f>'Exposure Register'!N42</x:f>
        <x:v>PASS</x:v>
      </x:c>
      <x:c r="G691" t="str">
        <x:f>IF(E691=F691,"PASS","FAIL")</x:f>
        <x:v>PASS</x:v>
      </x:c>
      <x:c r="H691" t="str">
        <x:f>G691</x:f>
        <x:v>PASS</x:v>
      </x:c>
    </x:row>
    <x:row r="692">
      <x:c r="B692" t="str">
        <x:v>A-EXP-37</x:v>
      </x:c>
      <x:c r="C692" t="str">
        <x:v>exposure</x:v>
      </x:c>
      <x:c r="D692" t="str">
        <x:v>exposure 37</x:v>
      </x:c>
      <x:c r="E692" t="str">
        <x:v>PASS</x:v>
      </x:c>
      <x:c r="F692" t="str">
        <x:f>'Exposure Register'!N43</x:f>
        <x:v>PASS</x:v>
      </x:c>
      <x:c r="G692" t="str">
        <x:f>IF(E692=F692,"PASS","FAIL")</x:f>
        <x:v>PASS</x:v>
      </x:c>
      <x:c r="H692" t="str">
        <x:f>G692</x:f>
        <x:v>PASS</x:v>
      </x:c>
    </x:row>
    <x:row r="693">
      <x:c r="B693" t="str">
        <x:v>A-EXP-38</x:v>
      </x:c>
      <x:c r="C693" t="str">
        <x:v>exposure</x:v>
      </x:c>
      <x:c r="D693" t="str">
        <x:v>exposure 38</x:v>
      </x:c>
      <x:c r="E693" t="str">
        <x:v>PASS</x:v>
      </x:c>
      <x:c r="F693" t="str">
        <x:f>'Exposure Register'!N44</x:f>
        <x:v>PASS</x:v>
      </x:c>
      <x:c r="G693" t="str">
        <x:f>IF(E693=F693,"PASS","FAIL")</x:f>
        <x:v>PASS</x:v>
      </x:c>
      <x:c r="H693" t="str">
        <x:f>G693</x:f>
        <x:v>PASS</x:v>
      </x:c>
    </x:row>
    <x:row r="694">
      <x:c r="B694" t="str">
        <x:v>A-EXP-39</x:v>
      </x:c>
      <x:c r="C694" t="str">
        <x:v>exposure</x:v>
      </x:c>
      <x:c r="D694" t="str">
        <x:v>exposure 39</x:v>
      </x:c>
      <x:c r="E694" t="str">
        <x:v>PASS</x:v>
      </x:c>
      <x:c r="F694" t="str">
        <x:f>'Exposure Register'!N45</x:f>
        <x:v>PASS</x:v>
      </x:c>
      <x:c r="G694" t="str">
        <x:f>IF(E694=F694,"PASS","FAIL")</x:f>
        <x:v>PASS</x:v>
      </x:c>
      <x:c r="H694" t="str">
        <x:f>G694</x:f>
        <x:v>PASS</x:v>
      </x:c>
    </x:row>
    <x:row r="695">
      <x:c r="B695" t="str">
        <x:v>A-EXP-40</x:v>
      </x:c>
      <x:c r="C695" t="str">
        <x:v>exposure</x:v>
      </x:c>
      <x:c r="D695" t="str">
        <x:v>exposure 40</x:v>
      </x:c>
      <x:c r="E695" t="str">
        <x:v>PASS</x:v>
      </x:c>
      <x:c r="F695" t="str">
        <x:f>'Exposure Register'!N46</x:f>
        <x:v>PASS</x:v>
      </x:c>
      <x:c r="G695" t="str">
        <x:f>IF(E695=F695,"PASS","FAIL")</x:f>
        <x:v>PASS</x:v>
      </x:c>
      <x:c r="H695" t="str">
        <x:f>G695</x:f>
        <x:v>PASS</x:v>
      </x:c>
    </x:row>
    <x:row r="696">
      <x:c r="B696" t="str">
        <x:v>A-EXP-41</x:v>
      </x:c>
      <x:c r="C696" t="str">
        <x:v>exposure</x:v>
      </x:c>
      <x:c r="D696" t="str">
        <x:v>exposure 41</x:v>
      </x:c>
      <x:c r="E696" t="str">
        <x:v>PASS</x:v>
      </x:c>
      <x:c r="F696" t="str">
        <x:f>'Exposure Register'!N47</x:f>
        <x:v>PASS</x:v>
      </x:c>
      <x:c r="G696" t="str">
        <x:f>IF(E696=F696,"PASS","FAIL")</x:f>
        <x:v>PASS</x:v>
      </x:c>
      <x:c r="H696" t="str">
        <x:f>G696</x:f>
        <x:v>PASS</x:v>
      </x:c>
    </x:row>
    <x:row r="697">
      <x:c r="B697" t="str">
        <x:v>A-EXP-42</x:v>
      </x:c>
      <x:c r="C697" t="str">
        <x:v>exposure</x:v>
      </x:c>
      <x:c r="D697" t="str">
        <x:v>exposure 42</x:v>
      </x:c>
      <x:c r="E697" t="str">
        <x:v>PASS</x:v>
      </x:c>
      <x:c r="F697" t="str">
        <x:f>'Exposure Register'!N48</x:f>
        <x:v>PASS</x:v>
      </x:c>
      <x:c r="G697" t="str">
        <x:f>IF(E697=F697,"PASS","FAIL")</x:f>
        <x:v>PASS</x:v>
      </x:c>
      <x:c r="H697" t="str">
        <x:f>G697</x:f>
        <x:v>PASS</x:v>
      </x:c>
    </x:row>
    <x:row r="698">
      <x:c r="B698" t="str">
        <x:v>A-EXP-43</x:v>
      </x:c>
      <x:c r="C698" t="str">
        <x:v>exposure</x:v>
      </x:c>
      <x:c r="D698" t="str">
        <x:v>exposure 43</x:v>
      </x:c>
      <x:c r="E698" t="str">
        <x:v>PASS</x:v>
      </x:c>
      <x:c r="F698" t="str">
        <x:f>'Exposure Register'!N49</x:f>
        <x:v>PASS</x:v>
      </x:c>
      <x:c r="G698" t="str">
        <x:f>IF(E698=F698,"PASS","FAIL")</x:f>
        <x:v>PASS</x:v>
      </x:c>
      <x:c r="H698" t="str">
        <x:f>G698</x:f>
        <x:v>PASS</x:v>
      </x:c>
    </x:row>
    <x:row r="699">
      <x:c r="B699" t="str">
        <x:v>A-EXP-44</x:v>
      </x:c>
      <x:c r="C699" t="str">
        <x:v>exposure</x:v>
      </x:c>
      <x:c r="D699" t="str">
        <x:v>exposure 44</x:v>
      </x:c>
      <x:c r="E699" t="str">
        <x:v>PASS</x:v>
      </x:c>
      <x:c r="F699" t="str">
        <x:f>'Exposure Register'!N50</x:f>
        <x:v>PASS</x:v>
      </x:c>
      <x:c r="G699" t="str">
        <x:f>IF(E699=F699,"PASS","FAIL")</x:f>
        <x:v>PASS</x:v>
      </x:c>
      <x:c r="H699" t="str">
        <x:f>G699</x:f>
        <x:v>PASS</x:v>
      </x:c>
    </x:row>
    <x:row r="700">
      <x:c r="B700" t="str">
        <x:v>A-EXP-45</x:v>
      </x:c>
      <x:c r="C700" t="str">
        <x:v>exposure</x:v>
      </x:c>
      <x:c r="D700" t="str">
        <x:v>exposure 45</x:v>
      </x:c>
      <x:c r="E700" t="str">
        <x:v>PASS</x:v>
      </x:c>
      <x:c r="F700" t="str">
        <x:f>'Exposure Register'!N51</x:f>
        <x:v>PASS</x:v>
      </x:c>
      <x:c r="G700" t="str">
        <x:f>IF(E700=F700,"PASS","FAIL")</x:f>
        <x:v>PASS</x:v>
      </x:c>
      <x:c r="H700" t="str">
        <x:f>G700</x:f>
        <x:v>PASS</x:v>
      </x:c>
    </x:row>
    <x:row r="701">
      <x:c r="B701" t="str">
        <x:v>A-EXP-46</x:v>
      </x:c>
      <x:c r="C701" t="str">
        <x:v>exposure</x:v>
      </x:c>
      <x:c r="D701" t="str">
        <x:v>exposure 46</x:v>
      </x:c>
      <x:c r="E701" t="str">
        <x:v>PASS</x:v>
      </x:c>
      <x:c r="F701" t="str">
        <x:f>'Exposure Register'!N52</x:f>
        <x:v>PASS</x:v>
      </x:c>
      <x:c r="G701" t="str">
        <x:f>IF(E701=F701,"PASS","FAIL")</x:f>
        <x:v>PASS</x:v>
      </x:c>
      <x:c r="H701" t="str">
        <x:f>G701</x:f>
        <x:v>PASS</x:v>
      </x:c>
    </x:row>
    <x:row r="702">
      <x:c r="B702" t="str">
        <x:v>A-EXP-47</x:v>
      </x:c>
      <x:c r="C702" t="str">
        <x:v>exposure</x:v>
      </x:c>
      <x:c r="D702" t="str">
        <x:v>exposure 47</x:v>
      </x:c>
      <x:c r="E702" t="str">
        <x:v>PASS</x:v>
      </x:c>
      <x:c r="F702" t="str">
        <x:f>'Exposure Register'!N53</x:f>
        <x:v>PASS</x:v>
      </x:c>
      <x:c r="G702" t="str">
        <x:f>IF(E702=F702,"PASS","FAIL")</x:f>
        <x:v>PASS</x:v>
      </x:c>
      <x:c r="H702" t="str">
        <x:f>G702</x:f>
        <x:v>PASS</x:v>
      </x:c>
    </x:row>
    <x:row r="703">
      <x:c r="B703" t="str">
        <x:v>A-EXP-48</x:v>
      </x:c>
      <x:c r="C703" t="str">
        <x:v>exposure</x:v>
      </x:c>
      <x:c r="D703" t="str">
        <x:v>exposure 48</x:v>
      </x:c>
      <x:c r="E703" t="str">
        <x:v>PASS</x:v>
      </x:c>
      <x:c r="F703" t="str">
        <x:f>'Exposure Register'!N54</x:f>
        <x:v>PASS</x:v>
      </x:c>
      <x:c r="G703" t="str">
        <x:f>IF(E703=F703,"PASS","FAIL")</x:f>
        <x:v>PASS</x:v>
      </x:c>
      <x:c r="H703" t="str">
        <x:f>G703</x:f>
        <x:v>PASS</x:v>
      </x:c>
    </x:row>
    <x:row r="704">
      <x:c r="B704" t="str">
        <x:v>A-INST-01</x:v>
      </x:c>
      <x:c r="C704" t="str">
        <x:v>instrument</x:v>
      </x:c>
      <x:c r="D704" t="str">
        <x:v>instrument 1</x:v>
      </x:c>
      <x:c r="E704" t="str">
        <x:v>PASS</x:v>
      </x:c>
      <x:c r="F704" t="str">
        <x:f>'Sensor Channels'!N7</x:f>
        <x:v>PASS</x:v>
      </x:c>
      <x:c r="G704" t="str">
        <x:f>IF(E704=F704,"PASS","FAIL")</x:f>
        <x:v>PASS</x:v>
      </x:c>
      <x:c r="H704" t="str">
        <x:f>G704</x:f>
        <x:v>PASS</x:v>
      </x:c>
    </x:row>
    <x:row r="705">
      <x:c r="B705" t="str">
        <x:v>A-INST-02</x:v>
      </x:c>
      <x:c r="C705" t="str">
        <x:v>instrument</x:v>
      </x:c>
      <x:c r="D705" t="str">
        <x:v>instrument 2</x:v>
      </x:c>
      <x:c r="E705" t="str">
        <x:v>PASS</x:v>
      </x:c>
      <x:c r="F705" t="str">
        <x:f>'Sensor Channels'!N8</x:f>
        <x:v>PASS</x:v>
      </x:c>
      <x:c r="G705" t="str">
        <x:f>IF(E705=F705,"PASS","FAIL")</x:f>
        <x:v>PASS</x:v>
      </x:c>
      <x:c r="H705" t="str">
        <x:f>G705</x:f>
        <x:v>PASS</x:v>
      </x:c>
    </x:row>
    <x:row r="706">
      <x:c r="B706" t="str">
        <x:v>A-INST-03</x:v>
      </x:c>
      <x:c r="C706" t="str">
        <x:v>instrument</x:v>
      </x:c>
      <x:c r="D706" t="str">
        <x:v>instrument 3</x:v>
      </x:c>
      <x:c r="E706" t="str">
        <x:v>PASS</x:v>
      </x:c>
      <x:c r="F706" t="str">
        <x:f>'Sensor Channels'!N9</x:f>
        <x:v>PASS</x:v>
      </x:c>
      <x:c r="G706" t="str">
        <x:f>IF(E706=F706,"PASS","FAIL")</x:f>
        <x:v>PASS</x:v>
      </x:c>
      <x:c r="H706" t="str">
        <x:f>G706</x:f>
        <x:v>PASS</x:v>
      </x:c>
    </x:row>
    <x:row r="707">
      <x:c r="B707" t="str">
        <x:v>A-INST-04</x:v>
      </x:c>
      <x:c r="C707" t="str">
        <x:v>instrument</x:v>
      </x:c>
      <x:c r="D707" t="str">
        <x:v>instrument 4</x:v>
      </x:c>
      <x:c r="E707" t="str">
        <x:v>PASS</x:v>
      </x:c>
      <x:c r="F707" t="str">
        <x:f>'Sensor Channels'!N10</x:f>
        <x:v>PASS</x:v>
      </x:c>
      <x:c r="G707" t="str">
        <x:f>IF(E707=F707,"PASS","FAIL")</x:f>
        <x:v>PASS</x:v>
      </x:c>
      <x:c r="H707" t="str">
        <x:f>G707</x:f>
        <x:v>PASS</x:v>
      </x:c>
    </x:row>
    <x:row r="708">
      <x:c r="B708" t="str">
        <x:v>A-INST-05</x:v>
      </x:c>
      <x:c r="C708" t="str">
        <x:v>instrument</x:v>
      </x:c>
      <x:c r="D708" t="str">
        <x:v>instrument 5</x:v>
      </x:c>
      <x:c r="E708" t="str">
        <x:v>PASS</x:v>
      </x:c>
      <x:c r="F708" t="str">
        <x:f>'Sensor Channels'!N11</x:f>
        <x:v>PASS</x:v>
      </x:c>
      <x:c r="G708" t="str">
        <x:f>IF(E708=F708,"PASS","FAIL")</x:f>
        <x:v>PASS</x:v>
      </x:c>
      <x:c r="H708" t="str">
        <x:f>G708</x:f>
        <x:v>PASS</x:v>
      </x:c>
    </x:row>
    <x:row r="709">
      <x:c r="B709" t="str">
        <x:v>A-INST-06</x:v>
      </x:c>
      <x:c r="C709" t="str">
        <x:v>instrument</x:v>
      </x:c>
      <x:c r="D709" t="str">
        <x:v>instrument 6</x:v>
      </x:c>
      <x:c r="E709" t="str">
        <x:v>PASS</x:v>
      </x:c>
      <x:c r="F709" t="str">
        <x:f>'Sensor Channels'!N12</x:f>
        <x:v>PASS</x:v>
      </x:c>
      <x:c r="G709" t="str">
        <x:f>IF(E709=F709,"PASS","FAIL")</x:f>
        <x:v>PASS</x:v>
      </x:c>
      <x:c r="H709" t="str">
        <x:f>G709</x:f>
        <x:v>PASS</x:v>
      </x:c>
    </x:row>
    <x:row r="710">
      <x:c r="B710" t="str">
        <x:v>A-INST-07</x:v>
      </x:c>
      <x:c r="C710" t="str">
        <x:v>instrument</x:v>
      </x:c>
      <x:c r="D710" t="str">
        <x:v>instrument 7</x:v>
      </x:c>
      <x:c r="E710" t="str">
        <x:v>PASS</x:v>
      </x:c>
      <x:c r="F710" t="str">
        <x:f>'Sensor Channels'!N13</x:f>
        <x:v>PASS</x:v>
      </x:c>
      <x:c r="G710" t="str">
        <x:f>IF(E710=F710,"PASS","FAIL")</x:f>
        <x:v>PASS</x:v>
      </x:c>
      <x:c r="H710" t="str">
        <x:f>G710</x:f>
        <x:v>PASS</x:v>
      </x:c>
    </x:row>
    <x:row r="711">
      <x:c r="B711" t="str">
        <x:v>A-INST-08</x:v>
      </x:c>
      <x:c r="C711" t="str">
        <x:v>instrument</x:v>
      </x:c>
      <x:c r="D711" t="str">
        <x:v>instrument 8</x:v>
      </x:c>
      <x:c r="E711" t="str">
        <x:v>PASS</x:v>
      </x:c>
      <x:c r="F711" t="str">
        <x:f>'Sensor Channels'!N14</x:f>
        <x:v>PASS</x:v>
      </x:c>
      <x:c r="G711" t="str">
        <x:f>IF(E711=F711,"PASS","FAIL")</x:f>
        <x:v>PASS</x:v>
      </x:c>
      <x:c r="H711" t="str">
        <x:f>G711</x:f>
        <x:v>PASS</x:v>
      </x:c>
    </x:row>
    <x:row r="712">
      <x:c r="B712" t="str">
        <x:v>A-INST-09</x:v>
      </x:c>
      <x:c r="C712" t="str">
        <x:v>instrument</x:v>
      </x:c>
      <x:c r="D712" t="str">
        <x:v>instrument 9</x:v>
      </x:c>
      <x:c r="E712" t="str">
        <x:v>PASS</x:v>
      </x:c>
      <x:c r="F712" t="str">
        <x:f>'Sensor Channels'!N15</x:f>
        <x:v>PASS</x:v>
      </x:c>
      <x:c r="G712" t="str">
        <x:f>IF(E712=F712,"PASS","FAIL")</x:f>
        <x:v>PASS</x:v>
      </x:c>
      <x:c r="H712" t="str">
        <x:f>G712</x:f>
        <x:v>PASS</x:v>
      </x:c>
    </x:row>
    <x:row r="713">
      <x:c r="B713" t="str">
        <x:v>A-INST-10</x:v>
      </x:c>
      <x:c r="C713" t="str">
        <x:v>instrument</x:v>
      </x:c>
      <x:c r="D713" t="str">
        <x:v>instrument 10</x:v>
      </x:c>
      <x:c r="E713" t="str">
        <x:v>PASS</x:v>
      </x:c>
      <x:c r="F713" t="str">
        <x:f>'Sensor Channels'!N16</x:f>
        <x:v>PASS</x:v>
      </x:c>
      <x:c r="G713" t="str">
        <x:f>IF(E713=F713,"PASS","FAIL")</x:f>
        <x:v>PASS</x:v>
      </x:c>
      <x:c r="H713" t="str">
        <x:f>G713</x:f>
        <x:v>PASS</x:v>
      </x:c>
    </x:row>
    <x:row r="714">
      <x:c r="B714" t="str">
        <x:v>A-INST-11</x:v>
      </x:c>
      <x:c r="C714" t="str">
        <x:v>instrument</x:v>
      </x:c>
      <x:c r="D714" t="str">
        <x:v>instrument 11</x:v>
      </x:c>
      <x:c r="E714" t="str">
        <x:v>PASS</x:v>
      </x:c>
      <x:c r="F714" t="str">
        <x:f>'Sensor Channels'!N17</x:f>
        <x:v>PASS</x:v>
      </x:c>
      <x:c r="G714" t="str">
        <x:f>IF(E714=F714,"PASS","FAIL")</x:f>
        <x:v>PASS</x:v>
      </x:c>
      <x:c r="H714" t="str">
        <x:f>G714</x:f>
        <x:v>PASS</x:v>
      </x:c>
    </x:row>
    <x:row r="715">
      <x:c r="B715" t="str">
        <x:v>A-INST-12</x:v>
      </x:c>
      <x:c r="C715" t="str">
        <x:v>instrument</x:v>
      </x:c>
      <x:c r="D715" t="str">
        <x:v>instrument 12</x:v>
      </x:c>
      <x:c r="E715" t="str">
        <x:v>PASS</x:v>
      </x:c>
      <x:c r="F715" t="str">
        <x:f>'Sensor Channels'!N18</x:f>
        <x:v>PASS</x:v>
      </x:c>
      <x:c r="G715" t="str">
        <x:f>IF(E715=F715,"PASS","FAIL")</x:f>
        <x:v>PASS</x:v>
      </x:c>
      <x:c r="H715" t="str">
        <x:f>G715</x:f>
        <x:v>PASS</x:v>
      </x:c>
    </x:row>
    <x:row r="716">
      <x:c r="B716" t="str">
        <x:v>A-INST-13</x:v>
      </x:c>
      <x:c r="C716" t="str">
        <x:v>instrument</x:v>
      </x:c>
      <x:c r="D716" t="str">
        <x:v>instrument 13</x:v>
      </x:c>
      <x:c r="E716" t="str">
        <x:v>PASS</x:v>
      </x:c>
      <x:c r="F716" t="str">
        <x:f>'Sensor Channels'!N19</x:f>
        <x:v>PASS</x:v>
      </x:c>
      <x:c r="G716" t="str">
        <x:f>IF(E716=F716,"PASS","FAIL")</x:f>
        <x:v>PASS</x:v>
      </x:c>
      <x:c r="H716" t="str">
        <x:f>G716</x:f>
        <x:v>PASS</x:v>
      </x:c>
    </x:row>
    <x:row r="717">
      <x:c r="B717" t="str">
        <x:v>A-INST-14</x:v>
      </x:c>
      <x:c r="C717" t="str">
        <x:v>instrument</x:v>
      </x:c>
      <x:c r="D717" t="str">
        <x:v>instrument 14</x:v>
      </x:c>
      <x:c r="E717" t="str">
        <x:v>PASS</x:v>
      </x:c>
      <x:c r="F717" t="str">
        <x:f>'Sensor Channels'!N20</x:f>
        <x:v>PASS</x:v>
      </x:c>
      <x:c r="G717" t="str">
        <x:f>IF(E717=F717,"PASS","FAIL")</x:f>
        <x:v>PASS</x:v>
      </x:c>
      <x:c r="H717" t="str">
        <x:f>G717</x:f>
        <x:v>PASS</x:v>
      </x:c>
    </x:row>
    <x:row r="718">
      <x:c r="B718" t="str">
        <x:v>A-INST-15</x:v>
      </x:c>
      <x:c r="C718" t="str">
        <x:v>instrument</x:v>
      </x:c>
      <x:c r="D718" t="str">
        <x:v>instrument 15</x:v>
      </x:c>
      <x:c r="E718" t="str">
        <x:v>PASS</x:v>
      </x:c>
      <x:c r="F718" t="str">
        <x:f>'Sensor Channels'!N21</x:f>
        <x:v>PASS</x:v>
      </x:c>
      <x:c r="G718" t="str">
        <x:f>IF(E718=F718,"PASS","FAIL")</x:f>
        <x:v>PASS</x:v>
      </x:c>
      <x:c r="H718" t="str">
        <x:f>G718</x:f>
        <x:v>PASS</x:v>
      </x:c>
    </x:row>
    <x:row r="719">
      <x:c r="B719" t="str">
        <x:v>A-INST-16</x:v>
      </x:c>
      <x:c r="C719" t="str">
        <x:v>instrument</x:v>
      </x:c>
      <x:c r="D719" t="str">
        <x:v>instrument 16</x:v>
      </x:c>
      <x:c r="E719" t="str">
        <x:v>PASS</x:v>
      </x:c>
      <x:c r="F719" t="str">
        <x:f>'Sensor Channels'!N22</x:f>
        <x:v>PASS</x:v>
      </x:c>
      <x:c r="G719" t="str">
        <x:f>IF(E719=F719,"PASS","FAIL")</x:f>
        <x:v>PASS</x:v>
      </x:c>
      <x:c r="H719" t="str">
        <x:f>G719</x:f>
        <x:v>PASS</x:v>
      </x:c>
    </x:row>
    <x:row r="720">
      <x:c r="B720" t="str">
        <x:v>A-INST-17</x:v>
      </x:c>
      <x:c r="C720" t="str">
        <x:v>instrument</x:v>
      </x:c>
      <x:c r="D720" t="str">
        <x:v>instrument 17</x:v>
      </x:c>
      <x:c r="E720" t="str">
        <x:v>PASS</x:v>
      </x:c>
      <x:c r="F720" t="str">
        <x:f>'Sensor Channels'!N23</x:f>
        <x:v>PASS</x:v>
      </x:c>
      <x:c r="G720" t="str">
        <x:f>IF(E720=F720,"PASS","FAIL")</x:f>
        <x:v>PASS</x:v>
      </x:c>
      <x:c r="H720" t="str">
        <x:f>G720</x:f>
        <x:v>PASS</x:v>
      </x:c>
    </x:row>
    <x:row r="721">
      <x:c r="B721" t="str">
        <x:v>A-INST-18</x:v>
      </x:c>
      <x:c r="C721" t="str">
        <x:v>instrument</x:v>
      </x:c>
      <x:c r="D721" t="str">
        <x:v>instrument 18</x:v>
      </x:c>
      <x:c r="E721" t="str">
        <x:v>PASS</x:v>
      </x:c>
      <x:c r="F721" t="str">
        <x:f>'Sensor Channels'!N24</x:f>
        <x:v>PASS</x:v>
      </x:c>
      <x:c r="G721" t="str">
        <x:f>IF(E721=F721,"PASS","FAIL")</x:f>
        <x:v>PASS</x:v>
      </x:c>
      <x:c r="H721" t="str">
        <x:f>G721</x:f>
        <x:v>PASS</x:v>
      </x:c>
    </x:row>
    <x:row r="722">
      <x:c r="B722" t="str">
        <x:v>A-PLANE-01</x:v>
      </x:c>
      <x:c r="C722" t="str">
        <x:v>measurement plane</x:v>
      </x:c>
      <x:c r="D722" t="str">
        <x:v>P00</x:v>
      </x:c>
      <x:c r="E722" t="str">
        <x:v>PASS</x:v>
      </x:c>
      <x:c r="F722" t="str">
        <x:f>'Measurement Planes'!K7</x:f>
        <x:v>PASS</x:v>
      </x:c>
      <x:c r="G722" t="str">
        <x:f>IF(E722=F722,"PASS","FAIL")</x:f>
        <x:v>PASS</x:v>
      </x:c>
      <x:c r="H722" t="str">
        <x:f>G722</x:f>
        <x:v>PASS</x:v>
      </x:c>
    </x:row>
    <x:row r="723">
      <x:c r="B723" t="str">
        <x:v>A-PLANE-02</x:v>
      </x:c>
      <x:c r="C723" t="str">
        <x:v>measurement plane</x:v>
      </x:c>
      <x:c r="D723" t="str">
        <x:v>P01</x:v>
      </x:c>
      <x:c r="E723" t="str">
        <x:v>PASS</x:v>
      </x:c>
      <x:c r="F723" t="str">
        <x:f>'Measurement Planes'!K8</x:f>
        <x:v>PASS</x:v>
      </x:c>
      <x:c r="G723" t="str">
        <x:f>IF(E723=F723,"PASS","FAIL")</x:f>
        <x:v>PASS</x:v>
      </x:c>
      <x:c r="H723" t="str">
        <x:f>G723</x:f>
        <x:v>PASS</x:v>
      </x:c>
    </x:row>
    <x:row r="724">
      <x:c r="B724" t="str">
        <x:v>A-PLANE-03</x:v>
      </x:c>
      <x:c r="C724" t="str">
        <x:v>measurement plane</x:v>
      </x:c>
      <x:c r="D724" t="str">
        <x:v>P02</x:v>
      </x:c>
      <x:c r="E724" t="str">
        <x:v>PASS</x:v>
      </x:c>
      <x:c r="F724" t="str">
        <x:f>'Measurement Planes'!K9</x:f>
        <x:v>PASS</x:v>
      </x:c>
      <x:c r="G724" t="str">
        <x:f>IF(E724=F724,"PASS","FAIL")</x:f>
        <x:v>PASS</x:v>
      </x:c>
      <x:c r="H724" t="str">
        <x:f>G724</x:f>
        <x:v>PASS</x:v>
      </x:c>
    </x:row>
    <x:row r="725">
      <x:c r="B725" t="str">
        <x:v>A-PLANE-04</x:v>
      </x:c>
      <x:c r="C725" t="str">
        <x:v>measurement plane</x:v>
      </x:c>
      <x:c r="D725" t="str">
        <x:v>P03</x:v>
      </x:c>
      <x:c r="E725" t="str">
        <x:v>PASS</x:v>
      </x:c>
      <x:c r="F725" t="str">
        <x:f>'Measurement Planes'!K10</x:f>
        <x:v>PASS</x:v>
      </x:c>
      <x:c r="G725" t="str">
        <x:f>IF(E725=F725,"PASS","FAIL")</x:f>
        <x:v>PASS</x:v>
      </x:c>
      <x:c r="H725" t="str">
        <x:f>G725</x:f>
        <x:v>PASS</x:v>
      </x:c>
    </x:row>
    <x:row r="726">
      <x:c r="B726" t="str">
        <x:v>A-PLANE-05</x:v>
      </x:c>
      <x:c r="C726" t="str">
        <x:v>measurement plane</x:v>
      </x:c>
      <x:c r="D726" t="str">
        <x:v>P04</x:v>
      </x:c>
      <x:c r="E726" t="str">
        <x:v>PASS</x:v>
      </x:c>
      <x:c r="F726" t="str">
        <x:f>'Measurement Planes'!K11</x:f>
        <x:v>PASS</x:v>
      </x:c>
      <x:c r="G726" t="str">
        <x:f>IF(E726=F726,"PASS","FAIL")</x:f>
        <x:v>PASS</x:v>
      </x:c>
      <x:c r="H726" t="str">
        <x:f>G726</x:f>
        <x:v>PASS</x:v>
      </x:c>
    </x:row>
    <x:row r="727">
      <x:c r="B727" t="str">
        <x:v>A-PLANE-06</x:v>
      </x:c>
      <x:c r="C727" t="str">
        <x:v>measurement plane</x:v>
      </x:c>
      <x:c r="D727" t="str">
        <x:v>P05</x:v>
      </x:c>
      <x:c r="E727" t="str">
        <x:v>PASS</x:v>
      </x:c>
      <x:c r="F727" t="str">
        <x:f>'Measurement Planes'!K12</x:f>
        <x:v>PASS</x:v>
      </x:c>
      <x:c r="G727" t="str">
        <x:f>IF(E727=F727,"PASS","FAIL")</x:f>
        <x:v>PASS</x:v>
      </x:c>
      <x:c r="H727" t="str">
        <x:f>G727</x:f>
        <x:v>PASS</x:v>
      </x:c>
    </x:row>
    <x:row r="728">
      <x:c r="B728" t="str">
        <x:v>A-PLANE-07</x:v>
      </x:c>
      <x:c r="C728" t="str">
        <x:v>measurement plane</x:v>
      </x:c>
      <x:c r="D728" t="str">
        <x:v>P06</x:v>
      </x:c>
      <x:c r="E728" t="str">
        <x:v>PASS</x:v>
      </x:c>
      <x:c r="F728" t="str">
        <x:f>'Measurement Planes'!K13</x:f>
        <x:v>PASS</x:v>
      </x:c>
      <x:c r="G728" t="str">
        <x:f>IF(E728=F728,"PASS","FAIL")</x:f>
        <x:v>PASS</x:v>
      </x:c>
      <x:c r="H728" t="str">
        <x:f>G728</x:f>
        <x:v>PASS</x:v>
      </x:c>
    </x:row>
    <x:row r="729">
      <x:c r="B729" t="str">
        <x:v>A-PLANE-08</x:v>
      </x:c>
      <x:c r="C729" t="str">
        <x:v>measurement plane</x:v>
      </x:c>
      <x:c r="D729" t="str">
        <x:v>P07</x:v>
      </x:c>
      <x:c r="E729" t="str">
        <x:v>PASS</x:v>
      </x:c>
      <x:c r="F729" t="str">
        <x:f>'Measurement Planes'!K14</x:f>
        <x:v>PASS</x:v>
      </x:c>
      <x:c r="G729" t="str">
        <x:f>IF(E729=F729,"PASS","FAIL")</x:f>
        <x:v>PASS</x:v>
      </x:c>
      <x:c r="H729" t="str">
        <x:f>G729</x:f>
        <x:v>PASS</x:v>
      </x:c>
    </x:row>
    <x:row r="730">
      <x:c r="B730" t="str">
        <x:v>A-PLANE-09</x:v>
      </x:c>
      <x:c r="C730" t="str">
        <x:v>measurement plane</x:v>
      </x:c>
      <x:c r="D730" t="str">
        <x:v>P08</x:v>
      </x:c>
      <x:c r="E730" t="str">
        <x:v>PASS</x:v>
      </x:c>
      <x:c r="F730" t="str">
        <x:f>'Measurement Planes'!K15</x:f>
        <x:v>PASS</x:v>
      </x:c>
      <x:c r="G730" t="str">
        <x:f>IF(E730=F730,"PASS","FAIL")</x:f>
        <x:v>PASS</x:v>
      </x:c>
      <x:c r="H730" t="str">
        <x:f>G730</x:f>
        <x:v>PASS</x:v>
      </x:c>
    </x:row>
    <x:row r="731">
      <x:c r="B731" t="str">
        <x:v>A-PLANE-10</x:v>
      </x:c>
      <x:c r="C731" t="str">
        <x:v>measurement plane</x:v>
      </x:c>
      <x:c r="D731" t="str">
        <x:v>P09</x:v>
      </x:c>
      <x:c r="E731" t="str">
        <x:v>PASS</x:v>
      </x:c>
      <x:c r="F731" t="str">
        <x:f>'Measurement Planes'!K16</x:f>
        <x:v>PASS</x:v>
      </x:c>
      <x:c r="G731" t="str">
        <x:f>IF(E731=F731,"PASS","FAIL")</x:f>
        <x:v>PASS</x:v>
      </x:c>
      <x:c r="H731" t="str">
        <x:f>G731</x:f>
        <x:v>PASS</x:v>
      </x:c>
    </x:row>
    <x:row r="732">
      <x:c r="B732" t="str">
        <x:v>A-PLANE-11</x:v>
      </x:c>
      <x:c r="C732" t="str">
        <x:v>measurement plane</x:v>
      </x:c>
      <x:c r="D732" t="str">
        <x:v>P10</x:v>
      </x:c>
      <x:c r="E732" t="str">
        <x:v>PASS</x:v>
      </x:c>
      <x:c r="F732" t="str">
        <x:f>'Measurement Planes'!K17</x:f>
        <x:v>PASS</x:v>
      </x:c>
      <x:c r="G732" t="str">
        <x:f>IF(E732=F732,"PASS","FAIL")</x:f>
        <x:v>PASS</x:v>
      </x:c>
      <x:c r="H732" t="str">
        <x:f>G732</x:f>
        <x:v>PASS</x:v>
      </x:c>
    </x:row>
    <x:row r="733">
      <x:c r="B733" t="str">
        <x:v>A-PLANE-12</x:v>
      </x:c>
      <x:c r="C733" t="str">
        <x:v>measurement plane</x:v>
      </x:c>
      <x:c r="D733" t="str">
        <x:v>P11</x:v>
      </x:c>
      <x:c r="E733" t="str">
        <x:v>PASS</x:v>
      </x:c>
      <x:c r="F733" t="str">
        <x:f>'Measurement Planes'!K18</x:f>
        <x:v>PASS</x:v>
      </x:c>
      <x:c r="G733" t="str">
        <x:f>IF(E733=F733,"PASS","FAIL")</x:f>
        <x:v>PASS</x:v>
      </x:c>
      <x:c r="H733" t="str">
        <x:f>G733</x:f>
        <x:v>PASS</x:v>
      </x:c>
    </x:row>
    <x:row r="734">
      <x:c r="B734" t="str">
        <x:v>A-PLANE-13</x:v>
      </x:c>
      <x:c r="C734" t="str">
        <x:v>measurement plane</x:v>
      </x:c>
      <x:c r="D734" t="str">
        <x:v>P12</x:v>
      </x:c>
      <x:c r="E734" t="str">
        <x:v>PASS</x:v>
      </x:c>
      <x:c r="F734" t="str">
        <x:f>'Measurement Planes'!K19</x:f>
        <x:v>PASS</x:v>
      </x:c>
      <x:c r="G734" t="str">
        <x:f>IF(E734=F734,"PASS","FAIL")</x:f>
        <x:v>PASS</x:v>
      </x:c>
      <x:c r="H734" t="str">
        <x:f>G734</x:f>
        <x:v>PASS</x:v>
      </x:c>
    </x:row>
    <x:row r="735">
      <x:c r="B735" t="str">
        <x:v>A-PLANE-14</x:v>
      </x:c>
      <x:c r="C735" t="str">
        <x:v>measurement plane</x:v>
      </x:c>
      <x:c r="D735" t="str">
        <x:v>P13</x:v>
      </x:c>
      <x:c r="E735" t="str">
        <x:v>PASS</x:v>
      </x:c>
      <x:c r="F735" t="str">
        <x:f>'Measurement Planes'!K20</x:f>
        <x:v>PASS</x:v>
      </x:c>
      <x:c r="G735" t="str">
        <x:f>IF(E735=F735,"PASS","FAIL")</x:f>
        <x:v>PASS</x:v>
      </x:c>
      <x:c r="H735" t="str">
        <x:f>G735</x:f>
        <x:v>PASS</x:v>
      </x:c>
    </x:row>
    <x:row r="736">
      <x:c r="B736" t="str">
        <x:v>A-PLANE-15</x:v>
      </x:c>
      <x:c r="C736" t="str">
        <x:v>measurement plane</x:v>
      </x:c>
      <x:c r="D736" t="str">
        <x:v>P14</x:v>
      </x:c>
      <x:c r="E736" t="str">
        <x:v>PASS</x:v>
      </x:c>
      <x:c r="F736" t="str">
        <x:f>'Measurement Planes'!K21</x:f>
        <x:v>PASS</x:v>
      </x:c>
      <x:c r="G736" t="str">
        <x:f>IF(E736=F736,"PASS","FAIL")</x:f>
        <x:v>PASS</x:v>
      </x:c>
      <x:c r="H736" t="str">
        <x:f>G736</x:f>
        <x:v>PASS</x:v>
      </x:c>
    </x:row>
    <x:row r="737">
      <x:c r="B737" t="str">
        <x:v>A-PLANE-16</x:v>
      </x:c>
      <x:c r="C737" t="str">
        <x:v>measurement plane</x:v>
      </x:c>
      <x:c r="D737" t="str">
        <x:v>P15</x:v>
      </x:c>
      <x:c r="E737" t="str">
        <x:v>PASS</x:v>
      </x:c>
      <x:c r="F737" t="str">
        <x:f>'Measurement Planes'!K22</x:f>
        <x:v>PASS</x:v>
      </x:c>
      <x:c r="G737" t="str">
        <x:f>IF(E737=F737,"PASS","FAIL")</x:f>
        <x:v>PASS</x:v>
      </x:c>
      <x:c r="H737" t="str">
        <x:f>G737</x:f>
        <x:v>PASS</x:v>
      </x:c>
    </x:row>
    <x:row r="738">
      <x:c r="B738" t="str">
        <x:v>A-POWER-01</x:v>
      </x:c>
      <x:c r="C738" t="str">
        <x:v>safety logic</x:v>
      </x:c>
      <x:c r="D738" t="str">
        <x:v>power path 1</x:v>
      </x:c>
      <x:c r="E738" t="str">
        <x:v>PASS</x:v>
      </x:c>
      <x:c r="F738" t="str">
        <x:f>'Power Logic'!N7</x:f>
        <x:v>PASS</x:v>
      </x:c>
      <x:c r="G738" t="str">
        <x:f>IF(E738=F738,"PASS","FAIL")</x:f>
        <x:v>PASS</x:v>
      </x:c>
      <x:c r="H738" t="str">
        <x:f>G738</x:f>
        <x:v>PASS</x:v>
      </x:c>
    </x:row>
    <x:row r="739">
      <x:c r="B739" t="str">
        <x:v>A-POWER-02</x:v>
      </x:c>
      <x:c r="C739" t="str">
        <x:v>safety logic</x:v>
      </x:c>
      <x:c r="D739" t="str">
        <x:v>power path 2</x:v>
      </x:c>
      <x:c r="E739" t="str">
        <x:v>PASS</x:v>
      </x:c>
      <x:c r="F739" t="str">
        <x:f>'Power Logic'!N8</x:f>
        <x:v>PASS</x:v>
      </x:c>
      <x:c r="G739" t="str">
        <x:f>IF(E739=F739,"PASS","FAIL")</x:f>
        <x:v>PASS</x:v>
      </x:c>
      <x:c r="H739" t="str">
        <x:f>G739</x:f>
        <x:v>PASS</x:v>
      </x:c>
    </x:row>
    <x:row r="740">
      <x:c r="B740" t="str">
        <x:v>A-POWER-03</x:v>
      </x:c>
      <x:c r="C740" t="str">
        <x:v>safety logic</x:v>
      </x:c>
      <x:c r="D740" t="str">
        <x:v>power path 3</x:v>
      </x:c>
      <x:c r="E740" t="str">
        <x:v>PASS</x:v>
      </x:c>
      <x:c r="F740" t="str">
        <x:f>'Power Logic'!N9</x:f>
        <x:v>PASS</x:v>
      </x:c>
      <x:c r="G740" t="str">
        <x:f>IF(E740=F740,"PASS","FAIL")</x:f>
        <x:v>PASS</x:v>
      </x:c>
      <x:c r="H740" t="str">
        <x:f>G740</x:f>
        <x:v>PASS</x:v>
      </x:c>
    </x:row>
    <x:row r="741">
      <x:c r="B741" t="str">
        <x:v>A-POWER-04</x:v>
      </x:c>
      <x:c r="C741" t="str">
        <x:v>safety logic</x:v>
      </x:c>
      <x:c r="D741" t="str">
        <x:v>power path 4</x:v>
      </x:c>
      <x:c r="E741" t="str">
        <x:v>PASS</x:v>
      </x:c>
      <x:c r="F741" t="str">
        <x:f>'Power Logic'!N10</x:f>
        <x:v>PASS</x:v>
      </x:c>
      <x:c r="G741" t="str">
        <x:f>IF(E741=F741,"PASS","FAIL")</x:f>
        <x:v>PASS</x:v>
      </x:c>
      <x:c r="H741" t="str">
        <x:f>G741</x:f>
        <x:v>PASS</x:v>
      </x:c>
    </x:row>
    <x:row r="742">
      <x:c r="B742" t="str">
        <x:v>A-POWER-05</x:v>
      </x:c>
      <x:c r="C742" t="str">
        <x:v>safety logic</x:v>
      </x:c>
      <x:c r="D742" t="str">
        <x:v>power path 5</x:v>
      </x:c>
      <x:c r="E742" t="str">
        <x:v>PASS</x:v>
      </x:c>
      <x:c r="F742" t="str">
        <x:f>'Power Logic'!N11</x:f>
        <x:v>PASS</x:v>
      </x:c>
      <x:c r="G742" t="str">
        <x:f>IF(E742=F742,"PASS","FAIL")</x:f>
        <x:v>PASS</x:v>
      </x:c>
      <x:c r="H742" t="str">
        <x:f>G742</x:f>
        <x:v>PASS</x:v>
      </x:c>
    </x:row>
    <x:row r="743">
      <x:c r="B743" t="str">
        <x:v>A-POWER-06</x:v>
      </x:c>
      <x:c r="C743" t="str">
        <x:v>safety logic</x:v>
      </x:c>
      <x:c r="D743" t="str">
        <x:v>power path 6</x:v>
      </x:c>
      <x:c r="E743" t="str">
        <x:v>PASS</x:v>
      </x:c>
      <x:c r="F743" t="str">
        <x:f>'Power Logic'!N12</x:f>
        <x:v>PASS</x:v>
      </x:c>
      <x:c r="G743" t="str">
        <x:f>IF(E743=F743,"PASS","FAIL")</x:f>
        <x:v>PASS</x:v>
      </x:c>
      <x:c r="H743" t="str">
        <x:f>G743</x:f>
        <x:v>PASS</x:v>
      </x:c>
    </x:row>
    <x:row r="744">
      <x:c r="B744" t="str">
        <x:v>A-POWER-07</x:v>
      </x:c>
      <x:c r="C744" t="str">
        <x:v>safety logic</x:v>
      </x:c>
      <x:c r="D744" t="str">
        <x:v>power path 7</x:v>
      </x:c>
      <x:c r="E744" t="str">
        <x:v>PASS</x:v>
      </x:c>
      <x:c r="F744" t="str">
        <x:f>'Power Logic'!N13</x:f>
        <x:v>PASS</x:v>
      </x:c>
      <x:c r="G744" t="str">
        <x:f>IF(E744=F744,"PASS","FAIL")</x:f>
        <x:v>PASS</x:v>
      </x:c>
      <x:c r="H744" t="str">
        <x:f>G744</x:f>
        <x:v>PASS</x:v>
      </x:c>
    </x:row>
    <x:row r="745">
      <x:c r="B745" t="str">
        <x:v>A-POWER-08</x:v>
      </x:c>
      <x:c r="C745" t="str">
        <x:v>safety logic</x:v>
      </x:c>
      <x:c r="D745" t="str">
        <x:v>power path 8</x:v>
      </x:c>
      <x:c r="E745" t="str">
        <x:v>PASS</x:v>
      </x:c>
      <x:c r="F745" t="str">
        <x:f>'Power Logic'!N14</x:f>
        <x:v>PASS</x:v>
      </x:c>
      <x:c r="G745" t="str">
        <x:f>IF(E745=F745,"PASS","FAIL")</x:f>
        <x:v>PASS</x:v>
      </x:c>
      <x:c r="H745" t="str">
        <x:f>G745</x:f>
        <x:v>PASS</x:v>
      </x:c>
    </x:row>
    <x:row r="746">
      <x:c r="B746" t="str">
        <x:v>A-POWER-09</x:v>
      </x:c>
      <x:c r="C746" t="str">
        <x:v>safety logic</x:v>
      </x:c>
      <x:c r="D746" t="str">
        <x:v>power path 9</x:v>
      </x:c>
      <x:c r="E746" t="str">
        <x:v>PASS</x:v>
      </x:c>
      <x:c r="F746" t="str">
        <x:f>'Power Logic'!N15</x:f>
        <x:v>PASS</x:v>
      </x:c>
      <x:c r="G746" t="str">
        <x:f>IF(E746=F746,"PASS","FAIL")</x:f>
        <x:v>PASS</x:v>
      </x:c>
      <x:c r="H746" t="str">
        <x:f>G746</x:f>
        <x:v>PASS</x:v>
      </x:c>
    </x:row>
    <x:row r="747">
      <x:c r="B747" t="str">
        <x:v>A-POWER-10</x:v>
      </x:c>
      <x:c r="C747" t="str">
        <x:v>safety logic</x:v>
      </x:c>
      <x:c r="D747" t="str">
        <x:v>power path 10</x:v>
      </x:c>
      <x:c r="E747" t="str">
        <x:v>PASS</x:v>
      </x:c>
      <x:c r="F747" t="str">
        <x:f>'Power Logic'!N16</x:f>
        <x:v>PASS</x:v>
      </x:c>
      <x:c r="G747" t="str">
        <x:f>IF(E747=F747,"PASS","FAIL")</x:f>
        <x:v>PASS</x:v>
      </x:c>
      <x:c r="H747" t="str">
        <x:f>G747</x:f>
        <x:v>PASS</x:v>
      </x:c>
    </x:row>
    <x:row r="748">
      <x:c r="B748" t="str">
        <x:v>A-POWER-11</x:v>
      </x:c>
      <x:c r="C748" t="str">
        <x:v>safety logic</x:v>
      </x:c>
      <x:c r="D748" t="str">
        <x:v>power path 11</x:v>
      </x:c>
      <x:c r="E748" t="str">
        <x:v>PASS</x:v>
      </x:c>
      <x:c r="F748" t="str">
        <x:f>'Power Logic'!N17</x:f>
        <x:v>PASS</x:v>
      </x:c>
      <x:c r="G748" t="str">
        <x:f>IF(E748=F748,"PASS","FAIL")</x:f>
        <x:v>PASS</x:v>
      </x:c>
      <x:c r="H748" t="str">
        <x:f>G748</x:f>
        <x:v>PASS</x:v>
      </x:c>
    </x:row>
    <x:row r="749">
      <x:c r="B749" t="str">
        <x:v>A-POWER-12</x:v>
      </x:c>
      <x:c r="C749" t="str">
        <x:v>safety logic</x:v>
      </x:c>
      <x:c r="D749" t="str">
        <x:v>power path 12</x:v>
      </x:c>
      <x:c r="E749" t="str">
        <x:v>PASS</x:v>
      </x:c>
      <x:c r="F749" t="str">
        <x:f>'Power Logic'!N18</x:f>
        <x:v>PASS</x:v>
      </x:c>
      <x:c r="G749" t="str">
        <x:f>IF(E749=F749,"PASS","FAIL")</x:f>
        <x:v>PASS</x:v>
      </x:c>
      <x:c r="H749" t="str">
        <x:f>G749</x:f>
        <x:v>PASS</x:v>
      </x:c>
    </x:row>
    <x:row r="750">
      <x:c r="B750" t="str">
        <x:v>A-SAFE-1</x:v>
      </x:c>
      <x:c r="C750" t="str">
        <x:v>safe state</x:v>
      </x:c>
      <x:c r="D750" t="str">
        <x:v>safe-state 1</x:v>
      </x:c>
      <x:c r="E750" t="str">
        <x:v>PASS</x:v>
      </x:c>
      <x:c r="F750" t="str">
        <x:f>'Safe State'!Q7</x:f>
        <x:v>PASS</x:v>
      </x:c>
      <x:c r="G750" t="str">
        <x:f>IF(E750=F750,"PASS","FAIL")</x:f>
        <x:v>PASS</x:v>
      </x:c>
      <x:c r="H750" t="str">
        <x:f>G750</x:f>
        <x:v>PASS</x:v>
      </x:c>
    </x:row>
    <x:row r="751">
      <x:c r="B751" t="str">
        <x:v>A-SAFE-2</x:v>
      </x:c>
      <x:c r="C751" t="str">
        <x:v>safe state</x:v>
      </x:c>
      <x:c r="D751" t="str">
        <x:v>safe-state 2</x:v>
      </x:c>
      <x:c r="E751" t="str">
        <x:v>PASS</x:v>
      </x:c>
      <x:c r="F751" t="str">
        <x:f>'Safe State'!Q8</x:f>
        <x:v>PASS</x:v>
      </x:c>
      <x:c r="G751" t="str">
        <x:f>IF(E751=F751,"PASS","FAIL")</x:f>
        <x:v>PASS</x:v>
      </x:c>
      <x:c r="H751" t="str">
        <x:f>G751</x:f>
        <x:v>PASS</x:v>
      </x:c>
    </x:row>
    <x:row r="752">
      <x:c r="B752" t="str">
        <x:v>A-SAFE-3</x:v>
      </x:c>
      <x:c r="C752" t="str">
        <x:v>safe state</x:v>
      </x:c>
      <x:c r="D752" t="str">
        <x:v>safe-state 3</x:v>
      </x:c>
      <x:c r="E752" t="str">
        <x:v>PASS</x:v>
      </x:c>
      <x:c r="F752" t="str">
        <x:f>'Safe State'!Q9</x:f>
        <x:v>PASS</x:v>
      </x:c>
      <x:c r="G752" t="str">
        <x:f>IF(E752=F752,"PASS","FAIL")</x:f>
        <x:v>PASS</x:v>
      </x:c>
      <x:c r="H752" t="str">
        <x:f>G752</x:f>
        <x:v>PASS</x:v>
      </x:c>
    </x:row>
    <x:row r="753">
      <x:c r="B753" t="str">
        <x:v>A-SAFE-4</x:v>
      </x:c>
      <x:c r="C753" t="str">
        <x:v>safe state</x:v>
      </x:c>
      <x:c r="D753" t="str">
        <x:v>safe-state 4</x:v>
      </x:c>
      <x:c r="E753" t="str">
        <x:v>PASS</x:v>
      </x:c>
      <x:c r="F753" t="str">
        <x:f>'Safe State'!Q10</x:f>
        <x:v>PASS</x:v>
      </x:c>
      <x:c r="G753" t="str">
        <x:f>IF(E753=F753,"PASS","FAIL")</x:f>
        <x:v>PASS</x:v>
      </x:c>
      <x:c r="H753" t="str">
        <x:f>G753</x:f>
        <x:v>PASS</x:v>
      </x:c>
    </x:row>
    <x:row r="754">
      <x:c r="B754" t="str">
        <x:v>A-REC-01</x:v>
      </x:c>
      <x:c r="C754" t="str">
        <x:v>recovery</x:v>
      </x:c>
      <x:c r="D754" t="str">
        <x:v>recovery 1</x:v>
      </x:c>
      <x:c r="E754" t="str">
        <x:v>PASS</x:v>
      </x:c>
      <x:c r="F754" t="str">
        <x:f>'Recovery Ledger'!P7</x:f>
        <x:v>PASS</x:v>
      </x:c>
      <x:c r="G754" t="str">
        <x:f>IF(E754=F754,"PASS","FAIL")</x:f>
        <x:v>PASS</x:v>
      </x:c>
      <x:c r="H754" t="str">
        <x:f>G754</x:f>
        <x:v>PASS</x:v>
      </x:c>
    </x:row>
    <x:row r="755">
      <x:c r="B755" t="str">
        <x:v>A-REC-02</x:v>
      </x:c>
      <x:c r="C755" t="str">
        <x:v>recovery</x:v>
      </x:c>
      <x:c r="D755" t="str">
        <x:v>recovery 2</x:v>
      </x:c>
      <x:c r="E755" t="str">
        <x:v>PASS</x:v>
      </x:c>
      <x:c r="F755" t="str">
        <x:f>'Recovery Ledger'!P8</x:f>
        <x:v>PASS</x:v>
      </x:c>
      <x:c r="G755" t="str">
        <x:f>IF(E755=F755,"PASS","FAIL")</x:f>
        <x:v>PASS</x:v>
      </x:c>
      <x:c r="H755" t="str">
        <x:f>G755</x:f>
        <x:v>PASS</x:v>
      </x:c>
    </x:row>
    <x:row r="756">
      <x:c r="B756" t="str">
        <x:v>A-REC-03</x:v>
      </x:c>
      <x:c r="C756" t="str">
        <x:v>recovery</x:v>
      </x:c>
      <x:c r="D756" t="str">
        <x:v>recovery 3</x:v>
      </x:c>
      <x:c r="E756" t="str">
        <x:v>PASS</x:v>
      </x:c>
      <x:c r="F756" t="str">
        <x:f>'Recovery Ledger'!P9</x:f>
        <x:v>PASS</x:v>
      </x:c>
      <x:c r="G756" t="str">
        <x:f>IF(E756=F756,"PASS","FAIL")</x:f>
        <x:v>PASS</x:v>
      </x:c>
      <x:c r="H756" t="str">
        <x:f>G756</x:f>
        <x:v>PASS</x:v>
      </x:c>
    </x:row>
    <x:row r="757">
      <x:c r="B757" t="str">
        <x:v>A-REC-04</x:v>
      </x:c>
      <x:c r="C757" t="str">
        <x:v>recovery</x:v>
      </x:c>
      <x:c r="D757" t="str">
        <x:v>recovery 4</x:v>
      </x:c>
      <x:c r="E757" t="str">
        <x:v>PASS</x:v>
      </x:c>
      <x:c r="F757" t="str">
        <x:f>'Recovery Ledger'!P10</x:f>
        <x:v>PASS</x:v>
      </x:c>
      <x:c r="G757" t="str">
        <x:f>IF(E757=F757,"PASS","FAIL")</x:f>
        <x:v>PASS</x:v>
      </x:c>
      <x:c r="H757" t="str">
        <x:f>G757</x:f>
        <x:v>PASS</x:v>
      </x:c>
    </x:row>
    <x:row r="758">
      <x:c r="B758" t="str">
        <x:v>A-REC-05</x:v>
      </x:c>
      <x:c r="C758" t="str">
        <x:v>recovery</x:v>
      </x:c>
      <x:c r="D758" t="str">
        <x:v>recovery 5</x:v>
      </x:c>
      <x:c r="E758" t="str">
        <x:v>PASS</x:v>
      </x:c>
      <x:c r="F758" t="str">
        <x:f>'Recovery Ledger'!P11</x:f>
        <x:v>PASS</x:v>
      </x:c>
      <x:c r="G758" t="str">
        <x:f>IF(E758=F758,"PASS","FAIL")</x:f>
        <x:v>PASS</x:v>
      </x:c>
      <x:c r="H758" t="str">
        <x:f>G758</x:f>
        <x:v>PASS</x:v>
      </x:c>
    </x:row>
    <x:row r="759">
      <x:c r="B759" t="str">
        <x:v>A-REC-06</x:v>
      </x:c>
      <x:c r="C759" t="str">
        <x:v>recovery</x:v>
      </x:c>
      <x:c r="D759" t="str">
        <x:v>recovery 6</x:v>
      </x:c>
      <x:c r="E759" t="str">
        <x:v>PASS</x:v>
      </x:c>
      <x:c r="F759" t="str">
        <x:f>'Recovery Ledger'!P12</x:f>
        <x:v>PASS</x:v>
      </x:c>
      <x:c r="G759" t="str">
        <x:f>IF(E759=F759,"PASS","FAIL")</x:f>
        <x:v>PASS</x:v>
      </x:c>
      <x:c r="H759" t="str">
        <x:f>G759</x:f>
        <x:v>PASS</x:v>
      </x:c>
    </x:row>
    <x:row r="760">
      <x:c r="B760" t="str">
        <x:v>A-REC-07</x:v>
      </x:c>
      <x:c r="C760" t="str">
        <x:v>recovery</x:v>
      </x:c>
      <x:c r="D760" t="str">
        <x:v>recovery 7</x:v>
      </x:c>
      <x:c r="E760" t="str">
        <x:v>PASS</x:v>
      </x:c>
      <x:c r="F760" t="str">
        <x:f>'Recovery Ledger'!P13</x:f>
        <x:v>PASS</x:v>
      </x:c>
      <x:c r="G760" t="str">
        <x:f>IF(E760=F760,"PASS","FAIL")</x:f>
        <x:v>PASS</x:v>
      </x:c>
      <x:c r="H760" t="str">
        <x:f>G760</x:f>
        <x:v>PASS</x:v>
      </x:c>
    </x:row>
    <x:row r="761">
      <x:c r="B761" t="str">
        <x:v>A-REC-08</x:v>
      </x:c>
      <x:c r="C761" t="str">
        <x:v>recovery</x:v>
      </x:c>
      <x:c r="D761" t="str">
        <x:v>recovery 8</x:v>
      </x:c>
      <x:c r="E761" t="str">
        <x:v>PASS</x:v>
      </x:c>
      <x:c r="F761" t="str">
        <x:f>'Recovery Ledger'!P14</x:f>
        <x:v>PASS</x:v>
      </x:c>
      <x:c r="G761" t="str">
        <x:f>IF(E761=F761,"PASS","FAIL")</x:f>
        <x:v>PASS</x:v>
      </x:c>
      <x:c r="H761" t="str">
        <x:f>G761</x:f>
        <x:v>PASS</x:v>
      </x:c>
    </x:row>
    <x:row r="762">
      <x:c r="B762" t="str">
        <x:v>A-REC-09</x:v>
      </x:c>
      <x:c r="C762" t="str">
        <x:v>recovery</x:v>
      </x:c>
      <x:c r="D762" t="str">
        <x:v>recovery 9</x:v>
      </x:c>
      <x:c r="E762" t="str">
        <x:v>PASS</x:v>
      </x:c>
      <x:c r="F762" t="str">
        <x:f>'Recovery Ledger'!P15</x:f>
        <x:v>PASS</x:v>
      </x:c>
      <x:c r="G762" t="str">
        <x:f>IF(E762=F762,"PASS","FAIL")</x:f>
        <x:v>PASS</x:v>
      </x:c>
      <x:c r="H762" t="str">
        <x:f>G762</x:f>
        <x:v>PASS</x:v>
      </x:c>
    </x:row>
    <x:row r="763">
      <x:c r="B763" t="str">
        <x:v>A-REC-10</x:v>
      </x:c>
      <x:c r="C763" t="str">
        <x:v>recovery</x:v>
      </x:c>
      <x:c r="D763" t="str">
        <x:v>recovery 10</x:v>
      </x:c>
      <x:c r="E763" t="str">
        <x:v>PASS</x:v>
      </x:c>
      <x:c r="F763" t="str">
        <x:f>'Recovery Ledger'!P16</x:f>
        <x:v>PASS</x:v>
      </x:c>
      <x:c r="G763" t="str">
        <x:f>IF(E763=F763,"PASS","FAIL")</x:f>
        <x:v>PASS</x:v>
      </x:c>
      <x:c r="H763" t="str">
        <x:f>G763</x:f>
        <x:v>PASS</x:v>
      </x:c>
    </x:row>
    <x:row r="764">
      <x:c r="B764" t="str">
        <x:v>A-REC-11</x:v>
      </x:c>
      <x:c r="C764" t="str">
        <x:v>recovery</x:v>
      </x:c>
      <x:c r="D764" t="str">
        <x:v>recovery 11</x:v>
      </x:c>
      <x:c r="E764" t="str">
        <x:v>PASS</x:v>
      </x:c>
      <x:c r="F764" t="str">
        <x:f>'Recovery Ledger'!P17</x:f>
        <x:v>PASS</x:v>
      </x:c>
      <x:c r="G764" t="str">
        <x:f>IF(E764=F764,"PASS","FAIL")</x:f>
        <x:v>PASS</x:v>
      </x:c>
      <x:c r="H764" t="str">
        <x:f>G764</x:f>
        <x:v>PASS</x:v>
      </x:c>
    </x:row>
    <x:row r="765">
      <x:c r="B765" t="str">
        <x:v>A-REC-12</x:v>
      </x:c>
      <x:c r="C765" t="str">
        <x:v>recovery</x:v>
      </x:c>
      <x:c r="D765" t="str">
        <x:v>recovery 12</x:v>
      </x:c>
      <x:c r="E765" t="str">
        <x:v>PASS</x:v>
      </x:c>
      <x:c r="F765" t="str">
        <x:f>'Recovery Ledger'!P18</x:f>
        <x:v>PASS</x:v>
      </x:c>
      <x:c r="G765" t="str">
        <x:f>IF(E765=F765,"PASS","FAIL")</x:f>
        <x:v>PASS</x:v>
      </x:c>
      <x:c r="H765" t="str">
        <x:f>G765</x:f>
        <x:v>PASS</x:v>
      </x:c>
    </x:row>
    <x:row r="766">
      <x:c r="B766" t="str">
        <x:v>A-REC-13</x:v>
      </x:c>
      <x:c r="C766" t="str">
        <x:v>recovery</x:v>
      </x:c>
      <x:c r="D766" t="str">
        <x:v>recovery 13</x:v>
      </x:c>
      <x:c r="E766" t="str">
        <x:v>PASS</x:v>
      </x:c>
      <x:c r="F766" t="str">
        <x:f>'Recovery Ledger'!P19</x:f>
        <x:v>PASS</x:v>
      </x:c>
      <x:c r="G766" t="str">
        <x:f>IF(E766=F766,"PASS","FAIL")</x:f>
        <x:v>PASS</x:v>
      </x:c>
      <x:c r="H766" t="str">
        <x:f>G766</x:f>
        <x:v>PASS</x:v>
      </x:c>
    </x:row>
    <x:row r="767">
      <x:c r="B767" t="str">
        <x:v>A-REC-14</x:v>
      </x:c>
      <x:c r="C767" t="str">
        <x:v>recovery</x:v>
      </x:c>
      <x:c r="D767" t="str">
        <x:v>recovery 14</x:v>
      </x:c>
      <x:c r="E767" t="str">
        <x:v>PASS</x:v>
      </x:c>
      <x:c r="F767" t="str">
        <x:f>'Recovery Ledger'!P20</x:f>
        <x:v>PASS</x:v>
      </x:c>
      <x:c r="G767" t="str">
        <x:f>IF(E767=F767,"PASS","FAIL")</x:f>
        <x:v>PASS</x:v>
      </x:c>
      <x:c r="H767" t="str">
        <x:f>G767</x:f>
        <x:v>PASS</x:v>
      </x:c>
    </x:row>
    <x:row r="768">
      <x:c r="B768" t="str">
        <x:v>A-REC-15</x:v>
      </x:c>
      <x:c r="C768" t="str">
        <x:v>recovery</x:v>
      </x:c>
      <x:c r="D768" t="str">
        <x:v>recovery 15</x:v>
      </x:c>
      <x:c r="E768" t="str">
        <x:v>PASS</x:v>
      </x:c>
      <x:c r="F768" t="str">
        <x:f>'Recovery Ledger'!P21</x:f>
        <x:v>PASS</x:v>
      </x:c>
      <x:c r="G768" t="str">
        <x:f>IF(E768=F768,"PASS","FAIL")</x:f>
        <x:v>PASS</x:v>
      </x:c>
      <x:c r="H768" t="str">
        <x:f>G768</x:f>
        <x:v>PASS</x:v>
      </x:c>
    </x:row>
    <x:row r="769">
      <x:c r="B769" t="str">
        <x:v>A-REC-16</x:v>
      </x:c>
      <x:c r="C769" t="str">
        <x:v>recovery</x:v>
      </x:c>
      <x:c r="D769" t="str">
        <x:v>recovery 16</x:v>
      </x:c>
      <x:c r="E769" t="str">
        <x:v>PASS</x:v>
      </x:c>
      <x:c r="F769" t="str">
        <x:f>'Recovery Ledger'!P22</x:f>
        <x:v>PASS</x:v>
      </x:c>
      <x:c r="G769" t="str">
        <x:f>IF(E769=F769,"PASS","FAIL")</x:f>
        <x:v>PASS</x:v>
      </x:c>
      <x:c r="H769" t="str">
        <x:f>G769</x:f>
        <x:v>PASS</x:v>
      </x:c>
    </x:row>
    <x:row r="770">
      <x:c r="B770" t="str">
        <x:v>A-RESCUE-1</x:v>
      </x:c>
      <x:c r="C770" t="str">
        <x:v>rescue</x:v>
      </x:c>
      <x:c r="D770" t="str">
        <x:v>rescue 1</x:v>
      </x:c>
      <x:c r="E770" t="str">
        <x:v>PASS</x:v>
      </x:c>
      <x:c r="F770" t="str">
        <x:f>'Rescue Zones'!O7</x:f>
        <x:v>PASS</x:v>
      </x:c>
      <x:c r="G770" t="str">
        <x:f>IF(E770=F770,"PASS","FAIL")</x:f>
        <x:v>PASS</x:v>
      </x:c>
      <x:c r="H770" t="str">
        <x:f>G770</x:f>
        <x:v>PASS</x:v>
      </x:c>
    </x:row>
    <x:row r="771">
      <x:c r="B771" t="str">
        <x:v>A-RESCUE-2</x:v>
      </x:c>
      <x:c r="C771" t="str">
        <x:v>rescue</x:v>
      </x:c>
      <x:c r="D771" t="str">
        <x:v>rescue 2</x:v>
      </x:c>
      <x:c r="E771" t="str">
        <x:v>PASS</x:v>
      </x:c>
      <x:c r="F771" t="str">
        <x:f>'Rescue Zones'!O8</x:f>
        <x:v>PASS</x:v>
      </x:c>
      <x:c r="G771" t="str">
        <x:f>IF(E771=F771,"PASS","FAIL")</x:f>
        <x:v>PASS</x:v>
      </x:c>
      <x:c r="H771" t="str">
        <x:f>G771</x:f>
        <x:v>PASS</x:v>
      </x:c>
    </x:row>
    <x:row r="772">
      <x:c r="B772" t="str">
        <x:v>A-RESCUE-3</x:v>
      </x:c>
      <x:c r="C772" t="str">
        <x:v>rescue</x:v>
      </x:c>
      <x:c r="D772" t="str">
        <x:v>rescue 3</x:v>
      </x:c>
      <x:c r="E772" t="str">
        <x:v>PASS</x:v>
      </x:c>
      <x:c r="F772" t="str">
        <x:f>'Rescue Zones'!O9</x:f>
        <x:v>PASS</x:v>
      </x:c>
      <x:c r="G772" t="str">
        <x:f>IF(E772=F772,"PASS","FAIL")</x:f>
        <x:v>PASS</x:v>
      </x:c>
      <x:c r="H772" t="str">
        <x:f>G772</x:f>
        <x:v>PASS</x:v>
      </x:c>
    </x:row>
    <x:row r="773">
      <x:c r="B773" t="str">
        <x:v>A-H01</x:v>
      </x:c>
      <x:c r="C773" t="str">
        <x:v>headline</x:v>
      </x:c>
      <x:c r="D773" t="str">
        <x:v>planning gate count</x:v>
      </x:c>
      <x:c r="E773" t="n">
        <x:v>158</x:v>
      </x:c>
      <x:c r="F773" t="n">
        <x:f>COUNTIF('Release Gates'!I7:I164,"PASS")</x:f>
        <x:v>158</x:v>
      </x:c>
      <x:c r="G773" t="str">
        <x:f>IF(E773=F773,"PASS","FAIL")</x:f>
        <x:v>PASS</x:v>
      </x:c>
      <x:c r="H773" t="str">
        <x:f>G773</x:f>
        <x:v>PASS</x:v>
      </x:c>
    </x:row>
    <x:row r="774">
      <x:c r="B774" t="str">
        <x:v>A-H02</x:v>
      </x:c>
      <x:c r="C774" t="str">
        <x:v>headline</x:v>
      </x:c>
      <x:c r="D774" t="str">
        <x:v>physical gate count</x:v>
      </x:c>
      <x:c r="E774" t="n">
        <x:v>188</x:v>
      </x:c>
      <x:c r="F774" t="n">
        <x:f>COUNTIF('Release Gates'!I165:I352,"OPEN")</x:f>
        <x:v>188</x:v>
      </x:c>
      <x:c r="G774" t="str">
        <x:f>IF(E774=F774,"PASS","FAIL")</x:f>
        <x:v>PASS</x:v>
      </x:c>
      <x:c r="H774" t="str">
        <x:f>G774</x:f>
        <x:v>PASS</x:v>
      </x:c>
    </x:row>
    <x:row r="775">
      <x:c r="B775" t="str">
        <x:v>A-H03</x:v>
      </x:c>
      <x:c r="C775" t="str">
        <x:v>headline</x:v>
      </x:c>
      <x:c r="D775" t="str">
        <x:v>downstream gate count</x:v>
      </x:c>
      <x:c r="E775" t="n">
        <x:v>7</x:v>
      </x:c>
      <x:c r="F775" t="n">
        <x:f>COUNTIF('Release Gates'!I353:I359,"BLOCKED")</x:f>
        <x:v>7</x:v>
      </x:c>
      <x:c r="G775" t="str">
        <x:f>IF(E775=F775,"PASS","FAIL")</x:f>
        <x:v>PASS</x:v>
      </x:c>
      <x:c r="H775" t="str">
        <x:f>G775</x:f>
        <x:v>PASS</x:v>
      </x:c>
    </x:row>
    <x:row r="776">
      <x:c r="B776" t="str">
        <x:v>A-H04</x:v>
      </x:c>
      <x:c r="C776" t="str">
        <x:v>headline</x:v>
      </x:c>
      <x:c r="D776" t="str">
        <x:v>source routes</x:v>
      </x:c>
      <x:c r="E776" t="n">
        <x:v>16</x:v>
      </x:c>
      <x:c r="F776" t="n">
        <x:f>Controls!D7*Controls!D23*2</x:f>
        <x:v>16</x:v>
      </x:c>
      <x:c r="G776" t="str">
        <x:f>IF(E776=F776,"PASS","FAIL")</x:f>
        <x:v>PASS</x:v>
      </x:c>
      <x:c r="H776" t="str">
        <x:f>G776</x:f>
        <x:v>PASS</x:v>
      </x:c>
    </x:row>
    <x:row r="777">
      <x:c r="B777" t="str">
        <x:v>A-H05</x:v>
      </x:c>
      <x:c r="C777" t="str">
        <x:v>headline</x:v>
      </x:c>
      <x:c r="D777" t="str">
        <x:v>route-domain records</x:v>
      </x:c>
      <x:c r="E777" t="n">
        <x:v>176</x:v>
      </x:c>
      <x:c r="F777" t="n">
        <x:f>COUNTA('No Common Path'!B7:B182)</x:f>
        <x:v>176</x:v>
      </x:c>
      <x:c r="G777" t="str">
        <x:f>IF(E777=F777,"PASS","FAIL")</x:f>
        <x:v>PASS</x:v>
      </x:c>
      <x:c r="H777" t="str">
        <x:f>G777</x:f>
        <x:v>PASS</x:v>
      </x:c>
    </x:row>
    <x:row r="778">
      <x:c r="B778" t="str">
        <x:v>A-H06</x:v>
      </x:c>
      <x:c r="C778" t="str">
        <x:v>headline</x:v>
      </x:c>
      <x:c r="D778" t="str">
        <x:v>drawing sheets</x:v>
      </x:c>
      <x:c r="E778" t="n">
        <x:v>64</x:v>
      </x:c>
      <x:c r="F778" t="n">
        <x:f>COUNTA('Drawing Register'!B7:B70)</x:f>
        <x:v>64</x:v>
      </x:c>
      <x:c r="G778" t="str">
        <x:f>IF(E778=F778,"PASS","FAIL")</x:f>
        <x:v>PASS</x:v>
      </x:c>
      <x:c r="H778" t="str">
        <x:f>G778</x:f>
        <x:v>PASS</x:v>
      </x:c>
    </x:row>
    <x:row r="779">
      <x:c r="B779" t="str">
        <x:v>A-H07</x:v>
      </x:c>
      <x:c r="C779" t="str">
        <x:v>headline</x:v>
      </x:c>
      <x:c r="D779" t="str">
        <x:v>interface records</x:v>
      </x:c>
      <x:c r="E779" t="n">
        <x:v>32</x:v>
      </x:c>
      <x:c r="F779" t="n">
        <x:f>COUNTA('Interface Records'!B7:B38)</x:f>
        <x:v>32</x:v>
      </x:c>
      <x:c r="G779" t="str">
        <x:f>IF(E779=F779,"PASS","FAIL")</x:f>
        <x:v>PASS</x:v>
      </x:c>
      <x:c r="H779" t="str">
        <x:f>G779</x:f>
        <x:v>PASS</x:v>
      </x:c>
    </x:row>
    <x:row r="780">
      <x:c r="B780" t="str">
        <x:v>A-H08</x:v>
      </x:c>
      <x:c r="C780" t="str">
        <x:v>headline</x:v>
      </x:c>
      <x:c r="D780" t="str">
        <x:v>propagation exposures</x:v>
      </x:c>
      <x:c r="E780" t="n">
        <x:v>48</x:v>
      </x:c>
      <x:c r="F780" t="n">
        <x:f>COUNTA('Exposure Register'!B7:B54)</x:f>
        <x:v>48</x:v>
      </x:c>
      <x:c r="G780" t="str">
        <x:f>IF(E780=F780,"PASS","FAIL")</x:f>
        <x:v>PASS</x:v>
      </x:c>
      <x:c r="H780" t="str">
        <x:f>G780</x:f>
        <x:v>PASS</x:v>
      </x:c>
    </x:row>
    <x:row r="781">
      <x:c r="B781" t="str">
        <x:v>A-H09</x:v>
      </x:c>
      <x:c r="C781" t="str">
        <x:v>headline</x:v>
      </x:c>
      <x:c r="D781" t="str">
        <x:v>instrument channels</x:v>
      </x:c>
      <x:c r="E781" t="n">
        <x:v>354</x:v>
      </x:c>
      <x:c r="F781" t="n">
        <x:f>'Sensor Channels'!D27</x:f>
        <x:v>354</x:v>
      </x:c>
      <x:c r="G781" t="str">
        <x:f>IF(E781=F781,"PASS","FAIL")</x:f>
        <x:v>PASS</x:v>
      </x:c>
      <x:c r="H781" t="str">
        <x:f>G781</x:f>
        <x:v>PASS</x:v>
      </x:c>
    </x:row>
    <x:row r="782">
      <x:c r="B782" t="str">
        <x:v>A-H10</x:v>
      </x:c>
      <x:c r="C782" t="str">
        <x:v>headline</x:v>
      </x:c>
      <x:c r="D782" t="str">
        <x:v>capital</x:v>
      </x:c>
      <x:c r="E782" t="n">
        <x:v>420</x:v>
      </x:c>
      <x:c r="F782" t="n">
        <x:f>Capital!E16</x:f>
        <x:v>420</x:v>
      </x:c>
      <x:c r="G782" t="str">
        <x:f>IF(E782=F782,"PASS","FAIL")</x:f>
        <x:v>PASS</x:v>
      </x:c>
      <x:c r="H782" t="str">
        <x:f>G782</x:f>
        <x:v>PASS</x:v>
      </x:c>
    </x:row>
    <x:row r="783">
      <x:c r="B783" t="str">
        <x:v>A-H11</x:v>
      </x:c>
      <x:c r="C783" t="str">
        <x:v>headline</x:v>
      </x:c>
      <x:c r="D783" t="str">
        <x:v>annual support</x:v>
      </x:c>
      <x:c r="E783" t="n">
        <x:v>42</x:v>
      </x:c>
      <x:c r="F783" t="n">
        <x:f>'Annual Support'!E14</x:f>
        <x:v>42</x:v>
      </x:c>
      <x:c r="G783" t="str">
        <x:f>IF(E783=F783,"PASS","FAIL")</x:f>
        <x:v>PASS</x:v>
      </x:c>
      <x:c r="H783" t="str">
        <x:f>G783</x:f>
        <x:v>PASS</x:v>
      </x:c>
    </x:row>
    <x:row r="784">
      <x:c r="B784" t="str">
        <x:v>A-H12</x:v>
      </x:c>
      <x:c r="C784" t="str">
        <x:v>headline</x:v>
      </x:c>
      <x:c r="D784" t="str">
        <x:v>BRD-4R capital</x:v>
      </x:c>
      <x:c r="E784" t="n">
        <x:v>940</x:v>
      </x:c>
      <x:c r="F784" t="n">
        <x:f>Capital!E21</x:f>
        <x:v>940</x:v>
      </x:c>
      <x:c r="G784" t="str">
        <x:f>IF(E784=F784,"PASS","FAIL")</x:f>
        <x:v>PASS</x:v>
      </x:c>
      <x:c r="H784" t="str">
        <x:f>G784</x:f>
        <x:v>PASS</x:v>
      </x:c>
    </x:row>
    <x:row r="785">
      <x:c r="B785" t="str">
        <x:v>A-H13</x:v>
      </x:c>
      <x:c r="C785" t="str">
        <x:v>headline</x:v>
      </x:c>
      <x:c r="D785" t="str">
        <x:v>BRD-4R annual</x:v>
      </x:c>
      <x:c r="E785" t="n">
        <x:v>174</x:v>
      </x:c>
      <x:c r="F785" t="n">
        <x:f>'Annual Support'!E19</x:f>
        <x:v>174</x:v>
      </x:c>
      <x:c r="G785" t="str">
        <x:f>IF(E785=F785,"PASS","FAIL")</x:f>
        <x:v>PASS</x:v>
      </x:c>
      <x:c r="H785" t="str">
        <x:f>G785</x:f>
        <x:v>PASS</x:v>
      </x:c>
    </x:row>
    <x:row r="786">
      <x:c r="B786" t="str">
        <x:v>A-H14</x:v>
      </x:c>
      <x:c r="C786" t="str">
        <x:v>headline</x:v>
      </x:c>
      <x:c r="D786" t="str">
        <x:v>BRD-4U capital</x:v>
      </x:c>
      <x:c r="E786" t="n">
        <x:v>1068</x:v>
      </x:c>
      <x:c r="F786" t="n">
        <x:f>Capital!E23</x:f>
        <x:v>1068</x:v>
      </x:c>
      <x:c r="G786" t="str">
        <x:f>IF(E786=F786,"PASS","FAIL")</x:f>
        <x:v>PASS</x:v>
      </x:c>
      <x:c r="H786" t="str">
        <x:f>G786</x:f>
        <x:v>PASS</x:v>
      </x:c>
    </x:row>
    <x:row r="787">
      <x:c r="B787" t="str">
        <x:v>A-H15</x:v>
      </x:c>
      <x:c r="C787" t="str">
        <x:v>headline</x:v>
      </x:c>
      <x:c r="D787" t="str">
        <x:v>BRD-4U annual</x:v>
      </x:c>
      <x:c r="E787" t="n">
        <x:v>215</x:v>
      </x:c>
      <x:c r="F787" t="n">
        <x:f>'Annual Support'!E21</x:f>
        <x:v>215</x:v>
      </x:c>
      <x:c r="G787" t="str">
        <x:f>IF(E787=F787,"PASS","FAIL")</x:f>
        <x:v>PASS</x:v>
      </x:c>
      <x:c r="H787" t="str">
        <x:f>G787</x:f>
        <x:v>PASS</x:v>
      </x:c>
    </x:row>
  </x:sheetData>
  <x:conditionalFormatting sqref="G7:H787">
    <x:cfRule type="cellIs" dxfId="92" priority="1" operator="equal">
      <x:formula>"FAIL"</x:formula>
    </x:cfRule>
    <x:cfRule type="cellIs" dxfId="93" priority="2" operator="equal">
      <x:formula>"BLOCKED"</x:formula>
    </x:cfRule>
    <x:cfRule type="cellIs" dxfId="94" priority="3" operator="equal">
      <x:formula>"OPEN"</x:formula>
    </x:cfRule>
    <x:cfRule type="cellIs" dxfId="95" priority="4" operator="equal">
      <x:formula>"PASS"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2" max="2" width="24" hidden="0" customWidth="1"/>
    <x:col min="3" max="3" width="1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" t="str">
        <x:v>Workbook use and authority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 t="str">
        <x:v>SBD-1 is an internal design constitution. It separates declared geometry, calculated capacity and absent physical evidence.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ht="30" customHeight="1">
      <x:c r="B6" s="13" t="str">
        <x:v>Topic</x:v>
      </x:c>
      <x:c r="C6" s="15" t="str">
        <x:v>Rule</x:v>
      </x:c>
    </x:row>
    <x:row r="7" ht="24" customHeight="1">
      <x:c r="B7" t="str">
        <x:v>Decision</x:v>
      </x:c>
      <x:c r="C7" t="str">
        <x:v>Define the internal source boundary, independent process trains, measurement planes and paired propagation evidence required before a two-tonne MCR may be accepted.</x:v>
      </x:c>
    </x:row>
    <x:row r="8" ht="24" customHeight="1">
      <x:c r="B8" t="str">
        <x:v>Correction</x:v>
      </x:c>
      <x:c r="C8" t="str">
        <x:v>A shared lane sump, pressure receiver or gas holder conflicts with no-common-path propagation denial. SBD-1 assigns four independent trains per lane.</x:v>
      </x:c>
    </x:row>
    <x:row r="9" ht="24" customHeight="1">
      <x:c r="B9" t="str">
        <x:v>Source state</x:v>
      </x:c>
      <x:c r="C9" t="str">
        <x:v>C0 and conditionally C1 remain available. C2 capacity arithmetic now closes but C2 authority and every physical source remain zero.</x:v>
      </x:c>
    </x:row>
    <x:row r="10" ht="24" customHeight="1">
      <x:c r="B10" t="str">
        <x:v>Root A</x:v>
      </x:c>
      <x:c r="C10" t="str">
        <x:v>Each source pod uses a dedicated 150 mm liquid route, 15 m3 sump, 40 m3 firewater vault and independent recovery handoff.</x:v>
      </x:c>
    </x:row>
    <x:row r="11" ht="24" customHeight="1">
      <x:c r="B11" t="str">
        <x:v>Root B</x:v>
      </x:c>
      <x:c r="C11" t="str">
        <x:v>Each source pod uses a dedicated 500 mm reference-gas route, 5,344 kg pressure receiver, 2,000 m3 gas-holder chamber and independent disposer.</x:v>
      </x:c>
    </x:row>
    <x:row r="12" ht="24" customHeight="1">
      <x:c r="B12" t="str">
        <x:v>Two-phase limit</x:v>
      </x:c>
      <x:c r="C12" t="str">
        <x:v>The Root B diameter is a reference-state screen. It does not qualify flashing, choking, pressure loss or receiver dynamics.</x:v>
      </x:c>
    </x:row>
    <x:row r="13" ht="24" customHeight="1">
      <x:c r="B13" t="str">
        <x:v>Evidence</x:v>
      </x:c>
      <x:c r="C13" t="str">
        <x:v>Eighteen measurement functions create 354 channels per operational lane. Two originals and local retention remain mandatory.</x:v>
      </x:c>
    </x:row>
    <x:row r="14" ht="24" customHeight="1">
      <x:c r="B14" t="str">
        <x:v>Finance</x:v>
      </x:c>
      <x:c r="C14" t="str">
        <x:v>SBD-1 replaces the Pass 117 MCR allocation. Capital and annual values are design allocations, not quotes, appropriations or execution authority.</x:v>
      </x:c>
    </x:row>
    <x:row r="15" ht="24" customHeight="1">
      <x:c r="B15" t="str">
        <x:v>Gates</x:v>
      </x:c>
      <x:c r="C15" t="str">
        <x:v>Planning, physical and downstream decisions remain separate. Audit formulas do not feed release gates.</x:v>
      </x:c>
    </x:row>
    <x:row r="16" ht="24" customHeight="1">
      <x:c r="B16" t="str">
        <x:v>Permitted diagrams</x:v>
      </x:c>
      <x:c r="C16" t="str">
        <x:v>Internal sections, process diagrams, drainage maps, one-lines, sensor maps, consequence domains and rescue paths may follow.</x:v>
      </x:c>
    </x:row>
    <x:row r="17" ht="24" customHeight="1">
      <x:c r="B17" t="str">
        <x:v>Rendering</x:v>
      </x:c>
      <x:c r="C17" t="str">
        <x:v>Exterior vehicle form remains blocked.</x:v>
      </x:c>
    </x:row>
    <x:row r="18" ht="24" customHeight="1">
      <x:c r="B18" t="str">
        <x:v>Sources</x:v>
      </x:c>
      <x:c r="C18" t="str">
        <x:v>Internal authority: CISA-1, BRD-1, CRET-1, SDEC-1, PTC-0, RSP-1 and MCR-1. No external-site material is used.</x:v>
      </x:c>
    </x:row>
  </x:sheetData>
  <x:pageMargins left="0.7" right="0.7" top="0.75" bottom="0.75" header="0.3" footer="0.3"/>
</x:worksheet>
</file>