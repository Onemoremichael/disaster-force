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d5ea440bd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ae6b062faafd4898"/>
    <x:sheet xmlns:r="http://schemas.openxmlformats.org/officeDocument/2006/relationships" name="Controls" sheetId="2" r:id="Re7b4d2045efd4155"/>
    <x:sheet xmlns:r="http://schemas.openxmlformats.org/officeDocument/2006/relationships" name="Route Exposure" sheetId="3" r:id="Rba81a3cf8bfc4ac4"/>
    <x:sheet xmlns:r="http://schemas.openxmlformats.org/officeDocument/2006/relationships" name="Candidate Map" sheetId="4" r:id="R29fe999224544637"/>
    <x:sheet xmlns:r="http://schemas.openxmlformats.org/officeDocument/2006/relationships" name="Candidate Selection" sheetId="5" r:id="R4668622709a643ab"/>
    <x:sheet xmlns:r="http://schemas.openxmlformats.org/officeDocument/2006/relationships" name="System Contract" sheetId="6" r:id="Rdf48275e5a1b4cd0"/>
    <x:sheet xmlns:r="http://schemas.openxmlformats.org/officeDocument/2006/relationships" name="Service States" sheetId="7" r:id="R386ed8c12cc744a7"/>
    <x:sheet xmlns:r="http://schemas.openxmlformats.org/officeDocument/2006/relationships" name="Function Architecture" sheetId="8" r:id="R73076fe7f7e94b88"/>
    <x:sheet xmlns:r="http://schemas.openxmlformats.org/officeDocument/2006/relationships" name="Physical Roots" sheetId="9" r:id="R2325f81609cf4963"/>
    <x:sheet xmlns:r="http://schemas.openxmlformats.org/officeDocument/2006/relationships" name="Failure Worlds" sheetId="10" r:id="R8828fdc7d80e4fb1"/>
    <x:sheet xmlns:r="http://schemas.openxmlformats.org/officeDocument/2006/relationships" name="Campaign Population" sheetId="11" r:id="Ra5700edf1b0c4d7d"/>
    <x:sheet xmlns:r="http://schemas.openxmlformats.org/officeDocument/2006/relationships" name="Technology Crosswalk" sheetId="12" r:id="Rb49488f60b2e47df"/>
    <x:sheet xmlns:r="http://schemas.openxmlformats.org/officeDocument/2006/relationships" name="25-Year Profile" sheetId="13" r:id="Red12a1c0f5f94a17"/>
    <x:sheet xmlns:r="http://schemas.openxmlformats.org/officeDocument/2006/relationships" name="Audit" sheetId="14" r:id="Rafd4b46148fa4d27"/>
    <x:sheet xmlns:r="http://schemas.openxmlformats.org/officeDocument/2006/relationships" name="Sources" sheetId="15" r:id="R929ae1cce363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&quot;$&quot;#,##0.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6365C"/>
      <x:name val="Arial"/>
    </x:font>
    <x:font>
      <x:b/>
      <x:sz val="10"/>
      <x:color rgb="FFFFFFFF"/>
      <x:name val="Arial"/>
    </x:font>
    <x:font>
      <x:b/>
      <x:sz val="10"/>
      <x:color rgb="FF16365C"/>
      <x:name val="Arial"/>
    </x:font>
    <x:font>
      <x:i/>
      <x:sz val="10"/>
      <x:color rgb="FF5B65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65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6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1F4E7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b1c0d34294c5d" /><Relationship Type="http://schemas.openxmlformats.org/officeDocument/2006/relationships/theme" Target="/xl/theme/theme1.xml" Id="Re824c569b70d4149" /><Relationship Type="http://schemas.openxmlformats.org/officeDocument/2006/relationships/sharedStrings" Target="/xl/sharedStrings.xml" Id="R954e6dc938a14542" /><Relationship Type="http://schemas.openxmlformats.org/officeDocument/2006/relationships/worksheet" Target="/xl/worksheets/sheet1.xml" Id="Rae6b062faafd4898" /><Relationship Type="http://schemas.openxmlformats.org/officeDocument/2006/relationships/worksheet" Target="/xl/worksheets/sheet2.xml" Id="Re7b4d2045efd4155" /><Relationship Type="http://schemas.openxmlformats.org/officeDocument/2006/relationships/worksheet" Target="/xl/worksheets/sheet3.xml" Id="Rba81a3cf8bfc4ac4" /><Relationship Type="http://schemas.openxmlformats.org/officeDocument/2006/relationships/worksheet" Target="/xl/worksheets/sheet4.xml" Id="R29fe999224544637" /><Relationship Type="http://schemas.openxmlformats.org/officeDocument/2006/relationships/worksheet" Target="/xl/worksheets/sheet5.xml" Id="R4668622709a643ab" /><Relationship Type="http://schemas.openxmlformats.org/officeDocument/2006/relationships/worksheet" Target="/xl/worksheets/sheet6.xml" Id="Rdf48275e5a1b4cd0" /><Relationship Type="http://schemas.openxmlformats.org/officeDocument/2006/relationships/worksheet" Target="/xl/worksheets/sheet7.xml" Id="R386ed8c12cc744a7" /><Relationship Type="http://schemas.openxmlformats.org/officeDocument/2006/relationships/worksheet" Target="/xl/worksheets/sheet8.xml" Id="R73076fe7f7e94b88" /><Relationship Type="http://schemas.openxmlformats.org/officeDocument/2006/relationships/worksheet" Target="/xl/worksheets/sheet9.xml" Id="R2325f81609cf4963" /><Relationship Type="http://schemas.openxmlformats.org/officeDocument/2006/relationships/worksheet" Target="/xl/worksheets/sheet10.xml" Id="R8828fdc7d80e4fb1" /><Relationship Type="http://schemas.openxmlformats.org/officeDocument/2006/relationships/worksheet" Target="/xl/worksheets/sheet11.xml" Id="Ra5700edf1b0c4d7d" /><Relationship Type="http://schemas.openxmlformats.org/officeDocument/2006/relationships/worksheet" Target="/xl/worksheets/sheet12.xml" Id="Rb49488f60b2e47df" /><Relationship Type="http://schemas.openxmlformats.org/officeDocument/2006/relationships/worksheet" Target="/xl/worksheets/sheet13.xml" Id="Red12a1c0f5f94a17" /><Relationship Type="http://schemas.openxmlformats.org/officeDocument/2006/relationships/worksheet" Target="/xl/worksheets/sheet14.xml" Id="Rafd4b46148fa4d27" /><Relationship Type="http://schemas.openxmlformats.org/officeDocument/2006/relationships/worksheet" Target="/xl/worksheets/sheet15.xml" Id="R929ae1cce36349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cd130783e643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b7a59fd22b44c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Portfolio exposure by candidate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Demand share</c:v>
          </c:tx>
          <c:cat>
            <c:strRef>
              <c:f>'Decision'!$H$5:$H$10</c:f>
              <c:strCache>
                <c:ptCount val="0"/>
              </c:strCache>
            </c:strRef>
          </c:cat>
          <c:val>
            <c:numRef>
              <c:f>'Decision'!$I$5:$I$10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Gap share</c:v>
          </c:tx>
          <c:cat>
            <c:strRef>
              <c:f>'Decision'!$H$5:$H$10</c:f>
              <c:strCache>
                <c:ptCount val="0"/>
              </c:strCache>
            </c:strRef>
          </c:cat>
          <c:val>
            <c:numRef>
              <c:f>'Decision'!$J$5:$J$10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 technology allocation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HCDN tranche (USD B)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'25-Year Profile'!$C$5:$C$29</c:f>
              <c:strCache>
                <c:ptCount val="0"/>
              </c:strCache>
            </c:strRef>
          </c:cat>
          <c:val>
            <c:numRef>
              <c:f>'25-Year Profile'!$H$5:$H$29</c:f>
              <c:numCache>
                <c:formatCode>"$"#,##0.0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HU-04A substrate (USD B)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'25-Year Profile'!$C$5:$C$29</c:f>
              <c:strCache>
                <c:ptCount val="0"/>
              </c:strCache>
            </c:strRef>
          </c:cat>
          <c:val>
            <c:numRef>
              <c:f>'25-Year Profile'!$I$5:$I$29</c:f>
              <c:numCache>
                <c:formatCode>"$"#,##0.0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cd130783e643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a59fd22b44c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6e4346caef48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3e63a2d62ec54b70" /></Relationships>
</file>

<file path=xl/worksheets/sheet1.xml><?xml version="1.0" encoding="utf-8"?>
<x:worksheet xmlns:x="http://schemas.openxmlformats.org/spreadsheetml/2006/main">
  <x:sheetPr>
    <x:tabColor rgb="FF16365C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92" hidden="0" customWidth="1"/>
    <x:col min="5" max="5" width="3" hidden="0" customWidth="1"/>
    <x:col min="6" max="6" width="3" hidden="0" customWidth="1"/>
    <x:col min="7" max="7" width="3" hidden="0" customWidth="1"/>
    <x:col min="8" max="8" width="40" hidden="0" customWidth="1"/>
    <x:col min="9" max="9" width="14" hidden="0" customWidth="1"/>
    <x:col min="10" max="10" width="14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First physical human-continuity system and representative campaign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Decision field</x:v>
      </x:c>
      <x:c r="D4" s="13" t="str">
        <x:v>Pass 170 result</x:v>
      </x:c>
      <x:c r="E4" s="2"/>
      <x:c r="F4" s="2"/>
      <x:c r="G4" s="2"/>
      <x:c r="H4" s="12" t="str">
        <x:v>Candidate</x:v>
      </x:c>
      <x:c r="I4" s="21" t="str">
        <x:v>Demand share</x:v>
      </x:c>
      <x:c r="J4" s="13" t="str">
        <x:v>Gap share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5" t="str">
        <x:v>Verdict</x:v>
      </x:c>
      <x:c r="D5" s="14" t="str">
        <x:v>CLOSE</x:v>
      </x:c>
      <x:c r="E5" s="2"/>
      <x:c r="F5" s="2"/>
      <x:c r="G5" s="2"/>
      <x:c r="H5" s="2" t="str">
        <x:f>'Candidate Selection'!D5</x:f>
        <x:v>Definitive-care lattice</x:v>
      </x:c>
      <x:c r="I5" s="22" t="n">
        <x:f>'Candidate Selection'!L5</x:f>
        <x:v>0.17861205915813425</x:v>
      </x:c>
      <x:c r="J5" s="22" t="n">
        <x:f>'Candidate Selection'!N5</x:f>
        <x:v>0.19934758970641536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5" t="str">
        <x:v>Research object</x:v>
      </x:c>
      <x:c r="D6" s="14" t="str">
        <x:v>PHCS-1</x:v>
      </x:c>
      <x:c r="E6" s="2"/>
      <x:c r="F6" s="2"/>
      <x:c r="G6" s="2"/>
      <x:c r="H6" s="2" t="str">
        <x:f>'Candidate Selection'!D6</x:f>
        <x:v>Continuity mobility mesh</x:v>
      </x:c>
      <x:c r="I6" s="22" t="n">
        <x:f>'Candidate Selection'!L6</x:f>
        <x:v>0.4482366325369738</x:v>
      </x:c>
      <x:c r="J6" s="22" t="n">
        <x:f>'Candidate Selection'!N6</x:f>
        <x:v>0.45016310257339615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5" t="str">
        <x:v>Selected system</x:v>
      </x:c>
      <x:c r="D7" s="14" t="str">
        <x:v>HCDN-50 dual-state human-continuity district network</x:v>
      </x:c>
      <x:c r="E7" s="2"/>
      <x:c r="F7" s="2"/>
      <x:c r="G7" s="2"/>
      <x:c r="H7" s="2" t="str">
        <x:f>'Candidate Selection'!D7</x:f>
        <x:v>Receiver-only network</x:v>
      </x:c>
      <x:c r="I7" s="22" t="n">
        <x:f>'Candidate Selection'!L7</x:f>
        <x:v>0.3572241183162685</x:v>
      </x:c>
      <x:c r="J7" s="22" t="n">
        <x:f>'Candidate Selection'!N7</x:f>
        <x:v>0.3497644073939833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5" t="str">
        <x:v>Service scale</x:v>
      </x:c>
      <x:c r="D8" s="14" t="str">
        <x:v>50,000 person-equivalents in fifty independently assignable CDE-1K districts</x:v>
      </x:c>
      <x:c r="E8" s="2"/>
      <x:c r="F8" s="2"/>
      <x:c r="G8" s="2"/>
      <x:c r="H8" s="2" t="str">
        <x:f>'Candidate Selection'!D8</x:f>
        <x:v>Local continuity district</x:v>
      </x:c>
      <x:c r="I8" s="22" t="n">
        <x:f>'Candidate Selection'!L8</x:f>
        <x:v>0.378839590443686</x:v>
      </x:c>
      <x:c r="J8" s="22" t="n">
        <x:f>'Candidate Selection'!N8</x:f>
        <x:v>0.3512142080463936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5" t="str">
        <x:v>Primary routes</x:v>
      </x:c>
      <x:c r="D9" s="14" t="str">
        <x:v>R1 local support + R4 household relocation and reception</x:v>
      </x:c>
      <x:c r="E9" s="2"/>
      <x:c r="F9" s="2"/>
      <x:c r="G9" s="2"/>
      <x:c r="H9" s="2" t="str">
        <x:f>'Candidate Selection'!D9</x:f>
        <x:v>Workforce relief system</x:v>
      </x:c>
      <x:c r="I9" s="22" t="n">
        <x:f>'Candidate Selection'!L9</x:f>
        <x:v>0.08532423208191127</x:v>
      </x:c>
      <x:c r="J9" s="22" t="n">
        <x:f>'Candidate Selection'!N9</x:f>
        <x:v>0.09967379485320768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5" t="str">
        <x:v>Concurrent demand</x:v>
      </x:c>
      <x:c r="D10" s="32" t="n">
        <x:f>'Candidate Selection'!F10</x:f>
        <x:v>647</x:v>
      </x:c>
      <x:c r="E10" s="2"/>
      <x:c r="F10" s="2"/>
      <x:c r="G10" s="2"/>
      <x:c r="H10" s="2" t="str">
        <x:f>'Candidate Selection'!D10</x:f>
        <x:v>Dual-state continuity district network</x:v>
      </x:c>
      <x:c r="I10" s="22" t="n">
        <x:f>'Candidate Selection'!L10</x:f>
        <x:v>0.7360637087599545</x:v>
      </x:c>
      <x:c r="J10" s="22" t="n">
        <x:f>'Candidate Selection'!N10</x:f>
        <x:v>0.700978615440377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5" t="str">
        <x:v>N−1 inventory</x:v>
      </x:c>
      <x:c r="D11" s="32" t="n">
        <x:f>'Candidate Selection'!G10</x:f>
        <x:v>1405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5" t="str">
        <x:v>Direct billets</x:v>
      </x:c>
      <x:c r="D12" s="32" t="n">
        <x:f>'Candidate Selection'!H10</x:f>
        <x:v>2255800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5" t="str">
        <x:v>Formation capital exposure (USD B)</x:v>
      </x:c>
      <x:c r="D13" s="33" t="n">
        <x:f>'Candidate Selection'!I10</x:f>
        <x:v>1667.1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5" t="str">
        <x:v>Weighted unclosed demand</x:v>
      </x:c>
      <x:c r="D14" s="33" t="n">
        <x:f>'Candidate Selection'!J10</x:f>
        <x:v>290.1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5" t="str">
        <x:v>Demand / capital / gap shares</x:v>
      </x:c>
      <x:c r="D15" s="14" t="str">
        <x:f>TEXT('Candidate Selection'!L10,"0.0%")&amp;" / "&amp;TEXT('Candidate Selection'!M10,"0.0%")&amp;" / "&amp;TEXT('Candidate Selection'!N10,"0.0%")</x:f>
        <x:v>73.6% / 67.1% / 70.1%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5" t="str">
        <x:v>Physical technology tranche (USD B)</x:v>
      </x:c>
      <x:c r="D16" s="33" t="n">
        <x:f>Controls!G12</x:f>
        <x:v>63.79240062072505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5" t="str">
        <x:v>Representative district articles</x:v>
      </x:c>
      <x:c r="D17" s="32" t="n">
        <x:f>Controls!G15</x:f>
        <x:v>36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5" t="str">
        <x:v>Complete missions / stage decisions</x:v>
      </x:c>
      <x:c r="D18" s="14" t="str">
        <x:f>'Campaign Population'!D8&amp;" / "&amp;'Campaign Population'!D9</x:f>
        <x:v>288 / 4032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5" t="str">
        <x:v>Quantity credit</x:v>
      </x:c>
      <x:c r="D19" s="14" t="str">
        <x:v>Zero. Selection and campaign constitution create no force, procurement or readiness credit.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6" t="str">
        <x:v>Rendering</x:v>
      </x:c>
      <x:c r="D20" s="14" t="str">
        <x:v>Blocked. No exterior or vehicle form is selected.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  <x:drawing xmlns:r="http://schemas.openxmlformats.org/officeDocument/2006/relationships" r:id="Ree6e4346caef48ac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2" hidden="0" customWidth="1"/>
    <x:col min="4" max="4" width="24" hidden="0" customWidth="1"/>
    <x:col min="5" max="5" width="3" hidden="0" customWidth="1"/>
    <x:col min="6" max="6" width="53" hidden="0" customWidth="1"/>
    <x:col min="7" max="7" width="15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Pass 170 controls and inherited boundaries</x:v>
      </x:c>
      <x:c r="D2" s="5"/>
      <x:c r="E2" s="5"/>
      <x:c r="F2" s="5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Control</x:v>
      </x:c>
      <x:c r="D4" s="13" t="str">
        <x:v>Value</x:v>
      </x:c>
      <x:c r="E4" s="2"/>
      <x:c r="F4" s="12" t="str">
        <x:v>Phase</x:v>
      </x:c>
      <x:c r="G4" s="21" t="str">
        <x:v>Start year</x:v>
      </x:c>
      <x:c r="H4" s="21" t="str">
        <x:v>End year</x:v>
      </x:c>
      <x:c r="I4" s="21" t="str">
        <x:v>Share</x:v>
      </x:c>
      <x:c r="J4" s="13" t="str">
        <x:v>Years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 t="str">
        <x:v>Research object</x:v>
      </x:c>
      <x:c r="D5" s="2" t="str">
        <x:v>PHCS-1</x:v>
      </x:c>
      <x:c r="E5" s="2"/>
      <x:c r="F5" s="2" t="str">
        <x:v>Contract, rights and enabling science</x:v>
      </x:c>
      <x:c r="G5" s="23" t="n">
        <x:v>1</x:v>
      </x:c>
      <x:c r="H5" s="23" t="n">
        <x:v>4</x:v>
      </x:c>
      <x:c r="I5" s="22" t="n">
        <x:v>0.12</x:v>
      </x:c>
      <x:c r="J5" s="23" t="n">
        <x:f>H5-G5+1</x:f>
        <x:v>4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 t="str">
        <x:v>Selected system</x:v>
      </x:c>
      <x:c r="D6" s="2" t="str">
        <x:v>HCDN-50 dual-state human-continuity district network</x:v>
      </x:c>
      <x:c r="E6" s="2"/>
      <x:c r="F6" s="2" t="str">
        <x:v>Rival roots and subsystem prototypes</x:v>
      </x:c>
      <x:c r="G6" s="23" t="n">
        <x:v>5</x:v>
      </x:c>
      <x:c r="H6" s="23" t="n">
        <x:v>9</x:v>
      </x:c>
      <x:c r="I6" s="22" t="n">
        <x:v>0.23</x:v>
      </x:c>
      <x:c r="J6" s="23" t="n">
        <x:f>H6-G6+1</x:f>
        <x:v>5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14" t="str">
        <x:v>Reference network service population</x:v>
      </x:c>
      <x:c r="D7" s="16" t="n">
        <x:v>50000</x:v>
      </x:c>
      <x:c r="E7" s="2"/>
      <x:c r="F7" s="2" t="str">
        <x:v>Complete-system prototypes</x:v>
      </x:c>
      <x:c r="G7" s="23" t="n">
        <x:v>10</x:v>
      </x:c>
      <x:c r="H7" s="23" t="n">
        <x:v>14</x:v>
      </x:c>
      <x:c r="I7" s="22" t="n">
        <x:v>0.3</x:v>
      </x:c>
      <x:c r="J7" s="23" t="n">
        <x:f>H7-G7+1</x:f>
        <x:v>5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14" t="str">
        <x:v>District elements per network</x:v>
      </x:c>
      <x:c r="D8" s="16" t="n">
        <x:v>50</x:v>
      </x:c>
      <x:c r="E8" s="2"/>
      <x:c r="F8" s="2" t="str">
        <x:v>Representative campaigns and industrial learning</x:v>
      </x:c>
      <x:c r="G8" s="23" t="n">
        <x:v>15</x:v>
      </x:c>
      <x:c r="H8" s="23" t="n">
        <x:v>19</x:v>
      </x:c>
      <x:c r="I8" s="22" t="n">
        <x:v>0.23</x:v>
      </x:c>
      <x:c r="J8" s="23" t="n">
        <x:f>H8-G8+1</x:f>
        <x:v>5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14" t="str">
        <x:v>Reference people per district element</x:v>
      </x:c>
      <x:c r="D9" s="16" t="n">
        <x:v>1000</x:v>
      </x:c>
      <x:c r="E9" s="2"/>
      <x:c r="F9" s="2" t="str">
        <x:v>Qualification, renewal and next-generation challenge</x:v>
      </x:c>
      <x:c r="G9" s="23" t="n">
        <x:v>20</x:v>
      </x:c>
      <x:c r="H9" s="23" t="n">
        <x:v>25</x:v>
      </x:c>
      <x:c r="I9" s="22" t="n">
        <x:v>0.12</x:v>
      </x:c>
      <x:c r="J9" s="23" t="n">
        <x:f>H9-G9+1</x:f>
        <x:v>6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14" t="str">
        <x:v>Mission endurance (hours)</x:v>
      </x:c>
      <x:c r="D10" s="16" t="n">
        <x:v>168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14" t="str">
        <x:v>Complete physical roots</x:v>
      </x:c>
      <x:c r="D11" s="16" t="n">
        <x:v>4</x:v>
      </x:c>
      <x:c r="E11" s="2"/>
      <x:c r="F11" s="26" t="str">
        <x:v>Derived control</x:v>
      </x:c>
      <x:c r="G11" s="26" t="str">
        <x:v>Value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14" t="str">
        <x:v>Independent campaign sites</x:v>
      </x:c>
      <x:c r="D12" s="16" t="n">
        <x:v>3</x:v>
      </x:c>
      <x:c r="E12" s="2"/>
      <x:c r="F12" s="2" t="str">
        <x:v>Selected technology envelope (USD B)</x:v>
      </x:c>
      <x:c r="G12" s="27" t="n">
        <x:f>D19*D20</x:f>
        <x:v>63.79240062072505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14" t="str">
        <x:v>Denial worlds</x:v>
      </x:c>
      <x:c r="D13" s="16" t="n">
        <x:v>12</x:v>
      </x:c>
      <x:c r="E13" s="2"/>
      <x:c r="F13" s="2" t="str">
        <x:v>Operating district articles</x:v>
      </x:c>
      <x:c r="G13" s="23" t="n">
        <x:f>D11*D12*D15</x:f>
        <x:v>24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14" t="str">
        <x:v>Role directions per world</x:v>
      </x:c>
      <x:c r="D14" s="16" t="n">
        <x:v>2</x:v>
      </x:c>
      <x:c r="E14" s="2"/>
      <x:c r="F14" s="2" t="str">
        <x:v>Protected reference articles</x:v>
      </x:c>
      <x:c r="G14" s="23" t="n">
        <x:f>D11*D12*D16</x:f>
        <x:v>12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14" t="str">
        <x:v>Operating district articles per root-site</x:v>
      </x:c>
      <x:c r="D15" s="16" t="n">
        <x:v>2</x:v>
      </x:c>
      <x:c r="E15" s="2"/>
      <x:c r="F15" s="2" t="str">
        <x:v>Total district articles</x:v>
      </x:c>
      <x:c r="G15" s="23" t="n">
        <x:f>G13+G14</x:f>
        <x:v>36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14" t="str">
        <x:v>Protected reference article per root-site</x:v>
      </x:c>
      <x:c r="D16" s="16" t="n">
        <x:v>1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14" t="str">
        <x:v>Claimed service routes</x:v>
      </x:c>
      <x:c r="D17" s="16" t="n">
        <x:v>2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14" t="str">
        <x:v>Serial service stages</x:v>
      </x:c>
      <x:c r="D18" s="16" t="n">
        <x:v>7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14" t="str">
        <x:v>Selected physical technology programs</x:v>
      </x:c>
      <x:c r="D19" s="15" t="n">
        <x:v>5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14" t="str">
        <x:v>Technology allocation per program (USD B)</x:v>
      </x:c>
      <x:c r="D20" s="18" t="n">
        <x:v>12.75848012414501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14" t="str">
        <x:v>Exterior rendering admission</x:v>
      </x:c>
      <x:c r="D21" s="15" t="n">
        <x:v>0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14" t="str">
        <x:v>Open-item running total</x:v>
      </x:c>
      <x:c r="D22" s="15" t="n">
        <x:v>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14" t="str">
        <x:v>Inherited district occupied area (m²)</x:v>
      </x:c>
      <x:c r="D23" s="16" t="n">
        <x:v>7525.143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14" t="str">
        <x:v>Inherited transform independent mass (t)</x:v>
      </x:c>
      <x:c r="D24" s="16" t="n">
        <x:v>78.707674864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14" t="str">
        <x:v>Inherited prepared import mass (t)</x:v>
      </x:c>
      <x:c r="D25" s="16" t="n">
        <x:v>15.7415349728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14" t="str">
        <x:v>Inherited weighted mobile mass (t)</x:v>
      </x:c>
      <x:c r="D26" s="16" t="n">
        <x:v>21.94142476744491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14" t="str">
        <x:v>Inherited independent install path (h)</x:v>
      </x:c>
      <x:c r="D27" s="16" t="n">
        <x:v>27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14" t="str">
        <x:v>Inherited prepared install path (h)</x:v>
      </x:c>
      <x:c r="D28" s="16" t="n">
        <x:v>18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14" t="str">
        <x:v>Inherited fixed occupied-area share</x:v>
      </x:c>
      <x:c r="D29" s="17" t="n">
        <x:v>0.7212289042287454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30" hidden="0" customWidth="1"/>
    <x:col min="5" max="5" width="78" hidden="0" customWidth="1"/>
    <x:col min="6" max="6" width="34" hidden="0" customWidth="1"/>
    <x:col min="7" max="7" width="11" hidden="0" customWidth="1"/>
    <x:col min="8" max="8" width="17" hidden="0" customWidth="1"/>
    <x:col min="9" max="9" width="16" hidden="0" customWidth="1"/>
    <x:col min="10" max="10" width="18" hidden="0" customWidth="1"/>
    <x:col min="11" max="11" width="22" hidden="0" customWidth="1"/>
    <x:col min="12" max="12" width="18" hidden="0" customWidth="1"/>
    <x:col min="13" max="13" width="20" hidden="0" customWidth="1"/>
    <x:col min="14" max="14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Inherited human-continuity route exposure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8" t="str">
        <x:v>Pass 169 values are carried without reinterpretation. Route capital is exposure to the selection, not a procurement estimate or saving.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Route</x:v>
      </x:c>
      <x:c r="D4" s="21" t="str">
        <x:v>Service route</x:v>
      </x:c>
      <x:c r="E4" s="21" t="str">
        <x:v>Completion condition</x:v>
      </x:c>
      <x:c r="F4" s="21" t="str">
        <x:v>Primary families</x:v>
      </x:c>
      <x:c r="G4" s="21" t="str">
        <x:v>Families</x:v>
      </x:c>
      <x:c r="H4" s="21" t="str">
        <x:v>Concurrent demand</x:v>
      </x:c>
      <x:c r="I4" s="21" t="str">
        <x:v>N−1 inventory</x:v>
      </x:c>
      <x:c r="J4" s="21" t="str">
        <x:v>Direct billets</x:v>
      </x:c>
      <x:c r="K4" s="21" t="str">
        <x:v>Formation capital (USD B)</x:v>
      </x:c>
      <x:c r="L4" s="21" t="str">
        <x:v>Unclosed demand</x:v>
      </x:c>
      <x:c r="M4" s="21" t="str">
        <x:v>Weighted completeness</x:v>
      </x:c>
      <x:c r="N4" s="13" t="str">
        <x:v>Campaigns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52" customHeight="1">
      <x:c r="A5" s="2"/>
      <x:c r="B5" s="2"/>
      <x:c r="C5" s="2" t="str">
        <x:v>R1</x:v>
      </x:c>
      <x:c r="D5" s="2" t="str">
        <x:v>Local support continuity</x:v>
      </x:c>
      <x:c r="E5" s="14" t="str">
        <x:v>Maintain people safely in place or at local support points with health, public-health, food, essential-goods and occupied-environment continuity.</x:v>
      </x:c>
      <x:c r="F5" s="14" t="str">
        <x:v>H-CHC,H-PHC,C-PSG,C-EGG</x:v>
      </x:c>
      <x:c r="G5" s="23" t="n">
        <x:v>4</x:v>
      </x:c>
      <x:c r="H5" s="23" t="n">
        <x:v>333</x:v>
      </x:c>
      <x:c r="I5" s="23" t="n">
        <x:v>703</x:v>
      </x:c>
      <x:c r="J5" s="23" t="n">
        <x:v>810250</x:v>
      </x:c>
      <x:c r="K5" s="27" t="n">
        <x:v>543.4</x:v>
      </x:c>
      <x:c r="L5" s="27" t="n">
        <x:v>145.35</x:v>
      </x:c>
      <x:c r="M5" s="22" t="n">
        <x:v>0.5635135135135135</x:v>
      </x:c>
      <x:c r="N5" s="2" t="n">
        <x:v>10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52" customHeight="1">
      <x:c r="A6" s="2"/>
      <x:c r="B6" s="2"/>
      <x:c r="C6" s="2" t="str">
        <x:v>R2</x:v>
      </x:c>
      <x:c r="D6" s="2" t="str">
        <x:v>Definitive clinical care</x:v>
      </x:c>
      <x:c r="E6" s="14" t="str">
        <x:v>Close acuity-specific episodes in staffed, supplied and governed care, ending in accepted transfer or supported discharge.</x:v>
      </x:c>
      <x:c r="F6" s="14" t="str">
        <x:v>H-MAC,H-THC</x:v>
      </x:c>
      <x:c r="G6" s="23" t="n">
        <x:v>2</x:v>
      </x:c>
      <x:c r="H6" s="23" t="n">
        <x:v>77</x:v>
      </x:c>
      <x:c r="I6" s="23" t="n">
        <x:v>179</x:v>
      </x:c>
      <x:c r="J6" s="23" t="n">
        <x:v>431460</x:v>
      </x:c>
      <x:c r="K6" s="27" t="n">
        <x:v>382.5</x:v>
      </x:c>
      <x:c r="L6" s="27" t="n">
        <x:v>40.95</x:v>
      </x:c>
      <x:c r="M6" s="22" t="n">
        <x:v>0.46818181818181814</x:v>
      </x:c>
      <x:c r="N6" s="2" t="n">
        <x:v>10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52" customHeight="1">
      <x:c r="A7" s="2"/>
      <x:c r="B7" s="2"/>
      <x:c r="C7" s="2" t="str">
        <x:v>R3</x:v>
      </x:c>
      <x:c r="D7" s="2" t="str">
        <x:v>Patient regulation and transfer</x:v>
      </x:c>
      <x:c r="E7" s="14" t="str">
        <x:v>Move a patient to accepted care without breaking clinical state, therapy, escort, device, record or custody continuity.</x:v>
      </x:c>
      <x:c r="F7" s="14" t="str">
        <x:v>A-AMG,H-PMG</x:v>
      </x:c>
      <x:c r="G7" s="23" t="n">
        <x:v>2</x:v>
      </x:c>
      <x:c r="H7" s="23" t="n">
        <x:v>80</x:v>
      </x:c>
      <x:c r="I7" s="23" t="n">
        <x:v>186</x:v>
      </x:c>
      <x:c r="J7" s="23" t="n">
        <x:v>239220</x:v>
      </x:c>
      <x:c r="K7" s="27" t="n">
        <x:v>294</x:v>
      </x:c>
      <x:c r="L7" s="27" t="n">
        <x:v>41.55</x:v>
      </x:c>
      <x:c r="M7" s="22" t="n">
        <x:v>0.4806250000000001</x:v>
      </x:c>
      <x:c r="N7" s="2" t="n">
        <x:v>10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52" customHeight="1">
      <x:c r="A8" s="2"/>
      <x:c r="B8" s="2"/>
      <x:c r="C8" s="2" t="str">
        <x:v>R4</x:v>
      </x:c>
      <x:c r="D8" s="2" t="str">
        <x:v>Household relocation and reception</x:v>
      </x:c>
      <x:c r="E8" s="14" t="str">
        <x:v>Move the household support bundle to an admitted receiver and preserve accessibility, caregivers, devices, entitlements and return.</x:v>
      </x:c>
      <x:c r="F8" s="14" t="str">
        <x:v>C-DTG,CM-CTN,CM-RMG,CM-RLG,CM-AMG,CM-WMG</x:v>
      </x:c>
      <x:c r="G8" s="23" t="n">
        <x:v>6</x:v>
      </x:c>
      <x:c r="H8" s="23" t="n">
        <x:v>314</x:v>
      </x:c>
      <x:c r="I8" s="23" t="n">
        <x:v>702</x:v>
      </x:c>
      <x:c r="J8" s="23" t="n">
        <x:v>1445550</x:v>
      </x:c>
      <x:c r="K8" s="27" t="n">
        <x:v>1123.7</x:v>
      </x:c>
      <x:c r="L8" s="27" t="n">
        <x:v>144.75</x:v>
      </x:c>
      <x:c r="M8" s="22" t="n">
        <x:v>0.5390127388535032</x:v>
      </x:c>
      <x:c r="N8" s="2" t="n">
        <x:v>10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52" customHeight="1">
      <x:c r="A9" s="2"/>
      <x:c r="B9" s="2"/>
      <x:c r="C9" s="2" t="str">
        <x:v>R5</x:v>
      </x:c>
      <x:c r="D9" s="2" t="str">
        <x:v>Workforce replacement</x:v>
      </x:c>
      <x:c r="E9" s="14" t="str">
        <x:v>Deliver qualified relief, transfer authority and return both incoming and relieved teams to certified readiness.</x:v>
      </x:c>
      <x:c r="F9" s="14" t="str">
        <x:v>H-HWR</x:v>
      </x:c>
      <x:c r="G9" s="23" t="n">
        <x:v>1</x:v>
      </x:c>
      <x:c r="H9" s="23" t="n">
        <x:v>75</x:v>
      </x:c>
      <x:c r="I9" s="23" t="n">
        <x:v>174</x:v>
      </x:c>
      <x:c r="J9" s="23" t="n">
        <x:v>325380</x:v>
      </x:c>
      <x:c r="K9" s="27" t="n">
        <x:v>139.20000000000002</x:v>
      </x:c>
      <x:c r="L9" s="27" t="n">
        <x:v>41.25</x:v>
      </x:c>
      <x:c r="M9" s="22" t="n">
        <x:v>0.44999999999999996</x:v>
      </x:c>
      <x:c r="N9" s="2" t="n">
        <x:v>10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6" t="str">
        <x:v>Total</x:v>
      </x:c>
      <x:c r="D10" s="26"/>
      <x:c r="E10" s="26"/>
      <x:c r="F10" s="26"/>
      <x:c r="G10" s="29" t="n">
        <x:f>SUM(G5:G9)</x:f>
        <x:v>15</x:v>
      </x:c>
      <x:c r="H10" s="29" t="n">
        <x:f>SUM(H5:H9)</x:f>
        <x:v>879</x:v>
      </x:c>
      <x:c r="I10" s="29" t="n">
        <x:f>SUM(I5:I9)</x:f>
        <x:v>1944</x:v>
      </x:c>
      <x:c r="J10" s="29" t="n">
        <x:f>SUM(J5:J9)</x:f>
        <x:v>3251860</x:v>
      </x:c>
      <x:c r="K10" s="30" t="n">
        <x:f>SUM(K5:K9)</x:f>
        <x:v>2482.8</x:v>
      </x:c>
      <x:c r="L10" s="30" t="n">
        <x:f>SUM(L5:L9)</x:f>
        <x:v>413.85</x:v>
      </x:c>
      <x:c r="M10" s="31" t="n">
        <x:f>SUMPRODUCT(G5:G9,M5:M9)/SUM(G5:G9)</x:f>
        <x:v>0.5223829415692474</x:v>
      </x:c>
      <x:c r="N10" s="26" t="n">
        <x:f>SUM(N5:N9)</x:f>
        <x:v>50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42" hidden="0" customWidth="1"/>
    <x:col min="5" max="5" width="12" hidden="0" customWidth="1"/>
    <x:col min="6" max="6" width="19" hidden="0" customWidth="1"/>
    <x:col min="7" max="7" width="17" hidden="0" customWidth="1"/>
    <x:col min="8" max="8" width="18" hidden="0" customWidth="1"/>
    <x:col min="9" max="9" width="22" hidden="0" customWidth="1"/>
    <x:col min="10" max="10" width="18" hidden="0" customWidth="1"/>
    <x:col min="11" max="11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Candidate-to-route map</x:v>
      </x:c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Candidate</x:v>
      </x:c>
      <x:c r="D4" s="21" t="str">
        <x:v>Candidate system</x:v>
      </x:c>
      <x:c r="E4" s="21" t="str">
        <x:v>Route</x:v>
      </x:c>
      <x:c r="F4" s="21" t="str">
        <x:v>Concurrent demand</x:v>
      </x:c>
      <x:c r="G4" s="21" t="str">
        <x:v>N−1 inventory</x:v>
      </x:c>
      <x:c r="H4" s="21" t="str">
        <x:v>Direct billets</x:v>
      </x:c>
      <x:c r="I4" s="21" t="str">
        <x:v>Formation capital (USD B)</x:v>
      </x:c>
      <x:c r="J4" s="21" t="str">
        <x:v>Unclosed demand</x:v>
      </x:c>
      <x:c r="K4" s="13" t="str">
        <x:v>Families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 t="str">
        <x:v>S1</x:v>
      </x:c>
      <x:c r="D5" s="2" t="str">
        <x:v>Definitive-care lattice</x:v>
      </x:c>
      <x:c r="E5" s="2" t="str">
        <x:v>R2</x:v>
      </x:c>
      <x:c r="F5" s="23" t="n">
        <x:f>INDEX('Route Exposure'!$C$5:$N$9,MATCH(E5,'Route Exposure'!$C$5:$C$9,0),6)</x:f>
        <x:v>77</x:v>
      </x:c>
      <x:c r="G5" s="23" t="n">
        <x:f>INDEX('Route Exposure'!$C$5:$N$9,MATCH(E5,'Route Exposure'!$C$5:$C$9,0),7)</x:f>
        <x:v>179</x:v>
      </x:c>
      <x:c r="H5" s="23" t="n">
        <x:f>INDEX('Route Exposure'!$C$5:$N$9,MATCH(E5,'Route Exposure'!$C$5:$C$9,0),8)</x:f>
        <x:v>431460</x:v>
      </x:c>
      <x:c r="I5" s="27" t="n">
        <x:f>INDEX('Route Exposure'!$C$5:$N$9,MATCH(E5,'Route Exposure'!$C$5:$C$9,0),9)</x:f>
        <x:v>382.5</x:v>
      </x:c>
      <x:c r="J5" s="27" t="n">
        <x:f>INDEX('Route Exposure'!$C$5:$N$9,MATCH(E5,'Route Exposure'!$C$5:$C$9,0),10)</x:f>
        <x:v>40.95</x:v>
      </x:c>
      <x:c r="K5" s="23" t="n">
        <x:f>INDEX('Route Exposure'!$C$5:$N$9,MATCH(E5,'Route Exposure'!$C$5:$C$9,0),5)</x:f>
        <x:v>2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 t="str">
        <x:v>S1</x:v>
      </x:c>
      <x:c r="D6" s="2" t="str">
        <x:v>Definitive-care lattice</x:v>
      </x:c>
      <x:c r="E6" s="2" t="str">
        <x:v>R3</x:v>
      </x:c>
      <x:c r="F6" s="23" t="n">
        <x:f>INDEX('Route Exposure'!$C$5:$N$9,MATCH(E6,'Route Exposure'!$C$5:$C$9,0),6)</x:f>
        <x:v>80</x:v>
      </x:c>
      <x:c r="G6" s="23" t="n">
        <x:f>INDEX('Route Exposure'!$C$5:$N$9,MATCH(E6,'Route Exposure'!$C$5:$C$9,0),7)</x:f>
        <x:v>186</x:v>
      </x:c>
      <x:c r="H6" s="23" t="n">
        <x:f>INDEX('Route Exposure'!$C$5:$N$9,MATCH(E6,'Route Exposure'!$C$5:$C$9,0),8)</x:f>
        <x:v>239220</x:v>
      </x:c>
      <x:c r="I6" s="27" t="n">
        <x:f>INDEX('Route Exposure'!$C$5:$N$9,MATCH(E6,'Route Exposure'!$C$5:$C$9,0),9)</x:f>
        <x:v>294</x:v>
      </x:c>
      <x:c r="J6" s="27" t="n">
        <x:f>INDEX('Route Exposure'!$C$5:$N$9,MATCH(E6,'Route Exposure'!$C$5:$C$9,0),10)</x:f>
        <x:v>41.55</x:v>
      </x:c>
      <x:c r="K6" s="23" t="n">
        <x:f>INDEX('Route Exposure'!$C$5:$N$9,MATCH(E6,'Route Exposure'!$C$5:$C$9,0),5)</x:f>
        <x:v>2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" t="str">
        <x:v>S2</x:v>
      </x:c>
      <x:c r="D7" s="2" t="str">
        <x:v>Continuity mobility mesh</x:v>
      </x:c>
      <x:c r="E7" s="2" t="str">
        <x:v>R3</x:v>
      </x:c>
      <x:c r="F7" s="23" t="n">
        <x:f>INDEX('Route Exposure'!$C$5:$N$9,MATCH(E7,'Route Exposure'!$C$5:$C$9,0),6)</x:f>
        <x:v>80</x:v>
      </x:c>
      <x:c r="G7" s="23" t="n">
        <x:f>INDEX('Route Exposure'!$C$5:$N$9,MATCH(E7,'Route Exposure'!$C$5:$C$9,0),7)</x:f>
        <x:v>186</x:v>
      </x:c>
      <x:c r="H7" s="23" t="n">
        <x:f>INDEX('Route Exposure'!$C$5:$N$9,MATCH(E7,'Route Exposure'!$C$5:$C$9,0),8)</x:f>
        <x:v>239220</x:v>
      </x:c>
      <x:c r="I7" s="27" t="n">
        <x:f>INDEX('Route Exposure'!$C$5:$N$9,MATCH(E7,'Route Exposure'!$C$5:$C$9,0),9)</x:f>
        <x:v>294</x:v>
      </x:c>
      <x:c r="J7" s="27" t="n">
        <x:f>INDEX('Route Exposure'!$C$5:$N$9,MATCH(E7,'Route Exposure'!$C$5:$C$9,0),10)</x:f>
        <x:v>41.55</x:v>
      </x:c>
      <x:c r="K7" s="23" t="n">
        <x:f>INDEX('Route Exposure'!$C$5:$N$9,MATCH(E7,'Route Exposure'!$C$5:$C$9,0),5)</x:f>
        <x:v>2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" t="str">
        <x:v>S2</x:v>
      </x:c>
      <x:c r="D8" s="2" t="str">
        <x:v>Continuity mobility mesh</x:v>
      </x:c>
      <x:c r="E8" s="2" t="str">
        <x:v>R4</x:v>
      </x:c>
      <x:c r="F8" s="23" t="n">
        <x:f>INDEX('Route Exposure'!$C$5:$N$9,MATCH(E8,'Route Exposure'!$C$5:$C$9,0),6)</x:f>
        <x:v>314</x:v>
      </x:c>
      <x:c r="G8" s="23" t="n">
        <x:f>INDEX('Route Exposure'!$C$5:$N$9,MATCH(E8,'Route Exposure'!$C$5:$C$9,0),7)</x:f>
        <x:v>702</x:v>
      </x:c>
      <x:c r="H8" s="23" t="n">
        <x:f>INDEX('Route Exposure'!$C$5:$N$9,MATCH(E8,'Route Exposure'!$C$5:$C$9,0),8)</x:f>
        <x:v>1445550</x:v>
      </x:c>
      <x:c r="I8" s="27" t="n">
        <x:f>INDEX('Route Exposure'!$C$5:$N$9,MATCH(E8,'Route Exposure'!$C$5:$C$9,0),9)</x:f>
        <x:v>1123.7</x:v>
      </x:c>
      <x:c r="J8" s="27" t="n">
        <x:f>INDEX('Route Exposure'!$C$5:$N$9,MATCH(E8,'Route Exposure'!$C$5:$C$9,0),10)</x:f>
        <x:v>144.75</x:v>
      </x:c>
      <x:c r="K8" s="23" t="n">
        <x:f>INDEX('Route Exposure'!$C$5:$N$9,MATCH(E8,'Route Exposure'!$C$5:$C$9,0),5)</x:f>
        <x:v>6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 t="str">
        <x:v>S3</x:v>
      </x:c>
      <x:c r="D9" s="2" t="str">
        <x:v>Receiver-only network</x:v>
      </x:c>
      <x:c r="E9" s="2" t="str">
        <x:v>R4</x:v>
      </x:c>
      <x:c r="F9" s="23" t="n">
        <x:f>INDEX('Route Exposure'!$C$5:$N$9,MATCH(E9,'Route Exposure'!$C$5:$C$9,0),6)</x:f>
        <x:v>314</x:v>
      </x:c>
      <x:c r="G9" s="23" t="n">
        <x:f>INDEX('Route Exposure'!$C$5:$N$9,MATCH(E9,'Route Exposure'!$C$5:$C$9,0),7)</x:f>
        <x:v>702</x:v>
      </x:c>
      <x:c r="H9" s="23" t="n">
        <x:f>INDEX('Route Exposure'!$C$5:$N$9,MATCH(E9,'Route Exposure'!$C$5:$C$9,0),8)</x:f>
        <x:v>1445550</x:v>
      </x:c>
      <x:c r="I9" s="27" t="n">
        <x:f>INDEX('Route Exposure'!$C$5:$N$9,MATCH(E9,'Route Exposure'!$C$5:$C$9,0),9)</x:f>
        <x:v>1123.7</x:v>
      </x:c>
      <x:c r="J9" s="27" t="n">
        <x:f>INDEX('Route Exposure'!$C$5:$N$9,MATCH(E9,'Route Exposure'!$C$5:$C$9,0),10)</x:f>
        <x:v>144.75</x:v>
      </x:c>
      <x:c r="K9" s="23" t="n">
        <x:f>INDEX('Route Exposure'!$C$5:$N$9,MATCH(E9,'Route Exposure'!$C$5:$C$9,0),5)</x:f>
        <x:v>6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 t="str">
        <x:v>S4</x:v>
      </x:c>
      <x:c r="D10" s="2" t="str">
        <x:v>Local continuity district</x:v>
      </x:c>
      <x:c r="E10" s="2" t="str">
        <x:v>R1</x:v>
      </x:c>
      <x:c r="F10" s="23" t="n">
        <x:f>INDEX('Route Exposure'!$C$5:$N$9,MATCH(E10,'Route Exposure'!$C$5:$C$9,0),6)</x:f>
        <x:v>333</x:v>
      </x:c>
      <x:c r="G10" s="23" t="n">
        <x:f>INDEX('Route Exposure'!$C$5:$N$9,MATCH(E10,'Route Exposure'!$C$5:$C$9,0),7)</x:f>
        <x:v>703</x:v>
      </x:c>
      <x:c r="H10" s="23" t="n">
        <x:f>INDEX('Route Exposure'!$C$5:$N$9,MATCH(E10,'Route Exposure'!$C$5:$C$9,0),8)</x:f>
        <x:v>810250</x:v>
      </x:c>
      <x:c r="I10" s="27" t="n">
        <x:f>INDEX('Route Exposure'!$C$5:$N$9,MATCH(E10,'Route Exposure'!$C$5:$C$9,0),9)</x:f>
        <x:v>543.4</x:v>
      </x:c>
      <x:c r="J10" s="27" t="n">
        <x:f>INDEX('Route Exposure'!$C$5:$N$9,MATCH(E10,'Route Exposure'!$C$5:$C$9,0),10)</x:f>
        <x:v>145.35</x:v>
      </x:c>
      <x:c r="K10" s="23" t="n">
        <x:f>INDEX('Route Exposure'!$C$5:$N$9,MATCH(E10,'Route Exposure'!$C$5:$C$9,0),5)</x:f>
        <x:v>4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 t="str">
        <x:v>S5</x:v>
      </x:c>
      <x:c r="D11" s="2" t="str">
        <x:v>Workforce relief system</x:v>
      </x:c>
      <x:c r="E11" s="2" t="str">
        <x:v>R5</x:v>
      </x:c>
      <x:c r="F11" s="23" t="n">
        <x:f>INDEX('Route Exposure'!$C$5:$N$9,MATCH(E11,'Route Exposure'!$C$5:$C$9,0),6)</x:f>
        <x:v>75</x:v>
      </x:c>
      <x:c r="G11" s="23" t="n">
        <x:f>INDEX('Route Exposure'!$C$5:$N$9,MATCH(E11,'Route Exposure'!$C$5:$C$9,0),7)</x:f>
        <x:v>174</x:v>
      </x:c>
      <x:c r="H11" s="23" t="n">
        <x:f>INDEX('Route Exposure'!$C$5:$N$9,MATCH(E11,'Route Exposure'!$C$5:$C$9,0),8)</x:f>
        <x:v>325380</x:v>
      </x:c>
      <x:c r="I11" s="27" t="n">
        <x:f>INDEX('Route Exposure'!$C$5:$N$9,MATCH(E11,'Route Exposure'!$C$5:$C$9,0),9)</x:f>
        <x:v>139.20000000000002</x:v>
      </x:c>
      <x:c r="J11" s="27" t="n">
        <x:f>INDEX('Route Exposure'!$C$5:$N$9,MATCH(E11,'Route Exposure'!$C$5:$C$9,0),10)</x:f>
        <x:v>41.25</x:v>
      </x:c>
      <x:c r="K11" s="23" t="n">
        <x:f>INDEX('Route Exposure'!$C$5:$N$9,MATCH(E11,'Route Exposure'!$C$5:$C$9,0),5)</x:f>
        <x:v>1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 t="str">
        <x:v>S6</x:v>
      </x:c>
      <x:c r="D12" s="2" t="str">
        <x:v>Dual-state continuity district network</x:v>
      </x:c>
      <x:c r="E12" s="2" t="str">
        <x:v>R1</x:v>
      </x:c>
      <x:c r="F12" s="23" t="n">
        <x:f>INDEX('Route Exposure'!$C$5:$N$9,MATCH(E12,'Route Exposure'!$C$5:$C$9,0),6)</x:f>
        <x:v>333</x:v>
      </x:c>
      <x:c r="G12" s="23" t="n">
        <x:f>INDEX('Route Exposure'!$C$5:$N$9,MATCH(E12,'Route Exposure'!$C$5:$C$9,0),7)</x:f>
        <x:v>703</x:v>
      </x:c>
      <x:c r="H12" s="23" t="n">
        <x:f>INDEX('Route Exposure'!$C$5:$N$9,MATCH(E12,'Route Exposure'!$C$5:$C$9,0),8)</x:f>
        <x:v>810250</x:v>
      </x:c>
      <x:c r="I12" s="27" t="n">
        <x:f>INDEX('Route Exposure'!$C$5:$N$9,MATCH(E12,'Route Exposure'!$C$5:$C$9,0),9)</x:f>
        <x:v>543.4</x:v>
      </x:c>
      <x:c r="J12" s="27" t="n">
        <x:f>INDEX('Route Exposure'!$C$5:$N$9,MATCH(E12,'Route Exposure'!$C$5:$C$9,0),10)</x:f>
        <x:v>145.35</x:v>
      </x:c>
      <x:c r="K12" s="23" t="n">
        <x:f>INDEX('Route Exposure'!$C$5:$N$9,MATCH(E12,'Route Exposure'!$C$5:$C$9,0),5)</x:f>
        <x:v>4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 t="str">
        <x:v>S6</x:v>
      </x:c>
      <x:c r="D13" s="2" t="str">
        <x:v>Dual-state continuity district network</x:v>
      </x:c>
      <x:c r="E13" s="2" t="str">
        <x:v>R4</x:v>
      </x:c>
      <x:c r="F13" s="23" t="n">
        <x:f>INDEX('Route Exposure'!$C$5:$N$9,MATCH(E13,'Route Exposure'!$C$5:$C$9,0),6)</x:f>
        <x:v>314</x:v>
      </x:c>
      <x:c r="G13" s="23" t="n">
        <x:f>INDEX('Route Exposure'!$C$5:$N$9,MATCH(E13,'Route Exposure'!$C$5:$C$9,0),7)</x:f>
        <x:v>702</x:v>
      </x:c>
      <x:c r="H13" s="23" t="n">
        <x:f>INDEX('Route Exposure'!$C$5:$N$9,MATCH(E13,'Route Exposure'!$C$5:$C$9,0),8)</x:f>
        <x:v>1445550</x:v>
      </x:c>
      <x:c r="I13" s="27" t="n">
        <x:f>INDEX('Route Exposure'!$C$5:$N$9,MATCH(E13,'Route Exposure'!$C$5:$C$9,0),9)</x:f>
        <x:v>1123.7</x:v>
      </x:c>
      <x:c r="J13" s="27" t="n">
        <x:f>INDEX('Route Exposure'!$C$5:$N$9,MATCH(E13,'Route Exposure'!$C$5:$C$9,0),10)</x:f>
        <x:v>144.75</x:v>
      </x:c>
      <x:c r="K13" s="23" t="n">
        <x:f>INDEX('Route Exposure'!$C$5:$N$9,MATCH(E13,'Route Exposure'!$C$5:$C$9,0),5)</x:f>
        <x:v>6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636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0" hidden="0" customWidth="1"/>
    <x:col min="5" max="5" width="15" hidden="0" customWidth="1"/>
    <x:col min="6" max="6" width="12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11" hidden="0" customWidth="1"/>
    <x:col min="12" max="12" width="14" hidden="0" customWidth="1"/>
    <x:col min="13" max="13" width="14" hidden="0" customWidth="1"/>
    <x:col min="14" max="14" width="12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14" hidden="0" customWidth="1"/>
    <x:col min="28" max="28" width="17" hidden="0" customWidth="1"/>
    <x:col min="29" max="29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First physical system selection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8" t="str">
        <x:v>Hard-gate first. Among complete candidates, select the system with strict dominance in demand, capital exposure, unclosed demand and family reach. No weighted score is used.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ID</x:v>
      </x:c>
      <x:c r="D4" s="21" t="str">
        <x:v>Candidate system</x:v>
      </x:c>
      <x:c r="E4" s="21" t="str">
        <x:v>Routes</x:v>
      </x:c>
      <x:c r="F4" s="21" t="str">
        <x:v>Demand</x:v>
      </x:c>
      <x:c r="G4" s="21" t="str">
        <x:v>N−1 inventory</x:v>
      </x:c>
      <x:c r="H4" s="21" t="str">
        <x:v>Direct billets</x:v>
      </x:c>
      <x:c r="I4" s="21" t="str">
        <x:v>Capital (USD B)</x:v>
      </x:c>
      <x:c r="J4" s="21" t="str">
        <x:v>Unclosed demand</x:v>
      </x:c>
      <x:c r="K4" s="21" t="str">
        <x:v>Families</x:v>
      </x:c>
      <x:c r="L4" s="21" t="str">
        <x:v>Demand share</x:v>
      </x:c>
      <x:c r="M4" s="21" t="str">
        <x:v>Capital share</x:v>
      </x:c>
      <x:c r="N4" s="21" t="str">
        <x:v>Gap share</x:v>
      </x:c>
      <x:c r="O4" s="21" t="str">
        <x:v>G01</x:v>
      </x:c>
      <x:c r="P4" s="21" t="str">
        <x:v>G02</x:v>
      </x:c>
      <x:c r="Q4" s="21" t="str">
        <x:v>G03</x:v>
      </x:c>
      <x:c r="R4" s="21" t="str">
        <x:v>G04</x:v>
      </x:c>
      <x:c r="S4" s="21" t="str">
        <x:v>G05</x:v>
      </x:c>
      <x:c r="T4" s="21" t="str">
        <x:v>G06</x:v>
      </x:c>
      <x:c r="U4" s="21" t="str">
        <x:v>G07</x:v>
      </x:c>
      <x:c r="V4" s="21" t="str">
        <x:v>G08</x:v>
      </x:c>
      <x:c r="W4" s="21" t="str">
        <x:v>G09</x:v>
      </x:c>
      <x:c r="X4" s="21" t="str">
        <x:v>G10</x:v>
      </x:c>
      <x:c r="Y4" s="21" t="str">
        <x:v>G11</x:v>
      </x:c>
      <x:c r="Z4" s="21" t="str">
        <x:v>G12</x:v>
      </x:c>
      <x:c r="AA4" s="21" t="str">
        <x:v>Gates passed</x:v>
      </x:c>
      <x:c r="AB4" s="21" t="str">
        <x:v>Dominance tests</x:v>
      </x:c>
      <x:c r="AC4" s="13" t="str">
        <x:v>Decision</x:v>
      </x:c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 t="str">
        <x:v>S1</x:v>
      </x:c>
      <x:c r="D5" s="2" t="str">
        <x:v>Definitive-care lattice</x:v>
      </x:c>
      <x:c r="E5" s="2" t="str">
        <x:v>R2 + R3</x:v>
      </x:c>
      <x:c r="F5" s="23" t="n">
        <x:f>SUMIFS('Candidate Map'!$F$5:$F$14,'Candidate Map'!$C$5:$C$14,$C5)</x:f>
        <x:v>157</x:v>
      </x:c>
      <x:c r="G5" s="23" t="n">
        <x:f>SUMIFS('Candidate Map'!$G$5:$G$14,'Candidate Map'!$C$5:$C$14,$C5)</x:f>
        <x:v>365</x:v>
      </x:c>
      <x:c r="H5" s="23" t="n">
        <x:f>SUMIFS('Candidate Map'!$H$5:$H$14,'Candidate Map'!$C$5:$C$14,$C5)</x:f>
        <x:v>670680</x:v>
      </x:c>
      <x:c r="I5" s="27" t="n">
        <x:f>SUMIFS('Candidate Map'!$I$5:$I$14,'Candidate Map'!$C$5:$C$14,$C5)</x:f>
        <x:v>676.5</x:v>
      </x:c>
      <x:c r="J5" s="27" t="n">
        <x:f>SUMIFS('Candidate Map'!$J$5:$J$14,'Candidate Map'!$C$5:$C$14,$C5)</x:f>
        <x:v>82.5</x:v>
      </x:c>
      <x:c r="K5" s="23" t="n">
        <x:f>SUMIFS('Candidate Map'!$K$5:$K$14,'Candidate Map'!$C$5:$C$14,$C5)</x:f>
        <x:v>4</x:v>
      </x:c>
      <x:c r="L5" s="22" t="n">
        <x:f>F5/'Route Exposure'!H10</x:f>
        <x:v>0.17861205915813425</x:v>
      </x:c>
      <x:c r="M5" s="22" t="n">
        <x:f>I5/'Route Exposure'!K10</x:f>
        <x:v>0.2724746254229096</x:v>
      </x:c>
      <x:c r="N5" s="22" t="n">
        <x:f>J5/'Route Exposure'!L10</x:f>
        <x:v>0.19934758970641536</x:v>
      </x:c>
      <x:c r="O5" s="23" t="n">
        <x:v>1</x:v>
      </x:c>
      <x:c r="P5" s="23" t="n">
        <x:v>1</x:v>
      </x:c>
      <x:c r="Q5" s="23" t="n">
        <x:v>1</x:v>
      </x:c>
      <x:c r="R5" s="23" t="n">
        <x:v>1</x:v>
      </x:c>
      <x:c r="S5" s="23" t="n">
        <x:v>1</x:v>
      </x:c>
      <x:c r="T5" s="23" t="n">
        <x:v>0</x:v>
      </x:c>
      <x:c r="U5" s="23" t="n">
        <x:v>1</x:v>
      </x:c>
      <x:c r="V5" s="23" t="n">
        <x:v>1</x:v>
      </x:c>
      <x:c r="W5" s="23" t="n">
        <x:v>1</x:v>
      </x:c>
      <x:c r="X5" s="23" t="n">
        <x:v>1</x:v>
      </x:c>
      <x:c r="Y5" s="23" t="n">
        <x:v>1</x:v>
      </x:c>
      <x:c r="Z5" s="23" t="n">
        <x:v>0</x:v>
      </x:c>
      <x:c r="AA5" s="23" t="n">
        <x:f>SUM(O5:Z5)</x:f>
        <x:v>10</x:v>
      </x:c>
      <x:c r="AB5" s="23" t="n">
        <x:f>0</x:f>
        <x:v>0</x:v>
      </x:c>
      <x:c r="AC5" s="2" t="str">
        <x:f>IF(AND(AA5=12,AB5=4),"SELECT","REJECT")</x:f>
        <x:v>REJECT</x:v>
      </x:c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 t="str">
        <x:v>S2</x:v>
      </x:c>
      <x:c r="D6" s="2" t="str">
        <x:v>Continuity mobility mesh</x:v>
      </x:c>
      <x:c r="E6" s="2" t="str">
        <x:v>R3 + R4</x:v>
      </x:c>
      <x:c r="F6" s="23" t="n">
        <x:f>SUMIFS('Candidate Map'!$F$5:$F$14,'Candidate Map'!$C$5:$C$14,$C6)</x:f>
        <x:v>394</x:v>
      </x:c>
      <x:c r="G6" s="23" t="n">
        <x:f>SUMIFS('Candidate Map'!$G$5:$G$14,'Candidate Map'!$C$5:$C$14,$C6)</x:f>
        <x:v>888</x:v>
      </x:c>
      <x:c r="H6" s="23" t="n">
        <x:f>SUMIFS('Candidate Map'!$H$5:$H$14,'Candidate Map'!$C$5:$C$14,$C6)</x:f>
        <x:v>1684770</x:v>
      </x:c>
      <x:c r="I6" s="27" t="n">
        <x:f>SUMIFS('Candidate Map'!$I$5:$I$14,'Candidate Map'!$C$5:$C$14,$C6)</x:f>
        <x:v>1417.7</x:v>
      </x:c>
      <x:c r="J6" s="27" t="n">
        <x:f>SUMIFS('Candidate Map'!$J$5:$J$14,'Candidate Map'!$C$5:$C$14,$C6)</x:f>
        <x:v>186.3</x:v>
      </x:c>
      <x:c r="K6" s="23" t="n">
        <x:f>SUMIFS('Candidate Map'!$K$5:$K$14,'Candidate Map'!$C$5:$C$14,$C6)</x:f>
        <x:v>8</x:v>
      </x:c>
      <x:c r="L6" s="22" t="n">
        <x:f>F6/'Route Exposure'!H10</x:f>
        <x:v>0.4482366325369738</x:v>
      </x:c>
      <x:c r="M6" s="22" t="n">
        <x:f>I6/'Route Exposure'!K10</x:f>
        <x:v>0.5710085387465764</x:v>
      </x:c>
      <x:c r="N6" s="22" t="n">
        <x:f>J6/'Route Exposure'!L10</x:f>
        <x:v>0.45016310257339615</x:v>
      </x:c>
      <x:c r="O6" s="23" t="n">
        <x:v>1</x:v>
      </x:c>
      <x:c r="P6" s="23" t="n">
        <x:v>1</x:v>
      </x:c>
      <x:c r="Q6" s="23" t="n">
        <x:v>0</x:v>
      </x:c>
      <x:c r="R6" s="23" t="n">
        <x:v>1</x:v>
      </x:c>
      <x:c r="S6" s="23" t="n">
        <x:v>0</x:v>
      </x:c>
      <x:c r="T6" s="23" t="n">
        <x:v>0</x:v>
      </x:c>
      <x:c r="U6" s="23" t="n">
        <x:v>1</x:v>
      </x:c>
      <x:c r="V6" s="23" t="n">
        <x:v>1</x:v>
      </x:c>
      <x:c r="W6" s="23" t="n">
        <x:v>1</x:v>
      </x:c>
      <x:c r="X6" s="23" t="n">
        <x:v>1</x:v>
      </x:c>
      <x:c r="Y6" s="23" t="n">
        <x:v>1</x:v>
      </x:c>
      <x:c r="Z6" s="23" t="n">
        <x:v>0</x:v>
      </x:c>
      <x:c r="AA6" s="23" t="n">
        <x:f>SUM(O6:Z6)</x:f>
        <x:v>8</x:v>
      </x:c>
      <x:c r="AB6" s="23" t="n">
        <x:f>0</x:f>
        <x:v>0</x:v>
      </x:c>
      <x:c r="AC6" s="2" t="str">
        <x:f>IF(AND(AA6=12,AB6=4),"SELECT","REJECT")</x:f>
        <x:v>REJECT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" t="str">
        <x:v>S3</x:v>
      </x:c>
      <x:c r="D7" s="2" t="str">
        <x:v>Receiver-only network</x:v>
      </x:c>
      <x:c r="E7" s="2" t="str">
        <x:v>R4</x:v>
      </x:c>
      <x:c r="F7" s="23" t="n">
        <x:f>SUMIFS('Candidate Map'!$F$5:$F$14,'Candidate Map'!$C$5:$C$14,$C7)</x:f>
        <x:v>314</x:v>
      </x:c>
      <x:c r="G7" s="23" t="n">
        <x:f>SUMIFS('Candidate Map'!$G$5:$G$14,'Candidate Map'!$C$5:$C$14,$C7)</x:f>
        <x:v>702</x:v>
      </x:c>
      <x:c r="H7" s="23" t="n">
        <x:f>SUMIFS('Candidate Map'!$H$5:$H$14,'Candidate Map'!$C$5:$C$14,$C7)</x:f>
        <x:v>1445550</x:v>
      </x:c>
      <x:c r="I7" s="27" t="n">
        <x:f>SUMIFS('Candidate Map'!$I$5:$I$14,'Candidate Map'!$C$5:$C$14,$C7)</x:f>
        <x:v>1123.7</x:v>
      </x:c>
      <x:c r="J7" s="27" t="n">
        <x:f>SUMIFS('Candidate Map'!$J$5:$J$14,'Candidate Map'!$C$5:$C$14,$C7)</x:f>
        <x:v>144.75</x:v>
      </x:c>
      <x:c r="K7" s="23" t="n">
        <x:f>SUMIFS('Candidate Map'!$K$5:$K$14,'Candidate Map'!$C$5:$C$14,$C7)</x:f>
        <x:v>6</x:v>
      </x:c>
      <x:c r="L7" s="22" t="n">
        <x:f>F7/'Route Exposure'!H10</x:f>
        <x:v>0.3572241183162685</x:v>
      </x:c>
      <x:c r="M7" s="22" t="n">
        <x:f>I7/'Route Exposure'!K10</x:f>
        <x:v>0.4525938456581279</x:v>
      </x:c>
      <x:c r="N7" s="22" t="n">
        <x:f>J7/'Route Exposure'!L10</x:f>
        <x:v>0.3497644073939833</x:v>
      </x:c>
      <x:c r="O7" s="23" t="n">
        <x:v>1</x:v>
      </x:c>
      <x:c r="P7" s="23" t="n">
        <x:v>1</x:v>
      </x:c>
      <x:c r="Q7" s="23" t="n">
        <x:v>0</x:v>
      </x:c>
      <x:c r="R7" s="23" t="n">
        <x:v>1</x:v>
      </x:c>
      <x:c r="S7" s="23" t="n">
        <x:v>1</x:v>
      </x:c>
      <x:c r="T7" s="23" t="n">
        <x:v>0</x:v>
      </x:c>
      <x:c r="U7" s="23" t="n">
        <x:v>1</x:v>
      </x:c>
      <x:c r="V7" s="23" t="n">
        <x:v>1</x:v>
      </x:c>
      <x:c r="W7" s="23" t="n">
        <x:v>1</x:v>
      </x:c>
      <x:c r="X7" s="23" t="n">
        <x:v>1</x:v>
      </x:c>
      <x:c r="Y7" s="23" t="n">
        <x:v>1</x:v>
      </x:c>
      <x:c r="Z7" s="23" t="n">
        <x:v>0</x:v>
      </x:c>
      <x:c r="AA7" s="23" t="n">
        <x:f>SUM(O7:Z7)</x:f>
        <x:v>9</x:v>
      </x:c>
      <x:c r="AB7" s="23" t="n">
        <x:f>0</x:f>
        <x:v>0</x:v>
      </x:c>
      <x:c r="AC7" s="2" t="str">
        <x:f>IF(AND(AA7=12,AB7=4),"SELECT","REJECT")</x:f>
        <x:v>REJECT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" t="str">
        <x:v>S4</x:v>
      </x:c>
      <x:c r="D8" s="2" t="str">
        <x:v>Local continuity district</x:v>
      </x:c>
      <x:c r="E8" s="2" t="str">
        <x:v>R1</x:v>
      </x:c>
      <x:c r="F8" s="23" t="n">
        <x:f>SUMIFS('Candidate Map'!$F$5:$F$14,'Candidate Map'!$C$5:$C$14,$C8)</x:f>
        <x:v>333</x:v>
      </x:c>
      <x:c r="G8" s="23" t="n">
        <x:f>SUMIFS('Candidate Map'!$G$5:$G$14,'Candidate Map'!$C$5:$C$14,$C8)</x:f>
        <x:v>703</x:v>
      </x:c>
      <x:c r="H8" s="23" t="n">
        <x:f>SUMIFS('Candidate Map'!$H$5:$H$14,'Candidate Map'!$C$5:$C$14,$C8)</x:f>
        <x:v>810250</x:v>
      </x:c>
      <x:c r="I8" s="27" t="n">
        <x:f>SUMIFS('Candidate Map'!$I$5:$I$14,'Candidate Map'!$C$5:$C$14,$C8)</x:f>
        <x:v>543.4</x:v>
      </x:c>
      <x:c r="J8" s="27" t="n">
        <x:f>SUMIFS('Candidate Map'!$J$5:$J$14,'Candidate Map'!$C$5:$C$14,$C8)</x:f>
        <x:v>145.35</x:v>
      </x:c>
      <x:c r="K8" s="23" t="n">
        <x:f>SUMIFS('Candidate Map'!$K$5:$K$14,'Candidate Map'!$C$5:$C$14,$C8)</x:f>
        <x:v>4</x:v>
      </x:c>
      <x:c r="L8" s="22" t="n">
        <x:f>F8/'Route Exposure'!H10</x:f>
        <x:v>0.378839590443686</x:v>
      </x:c>
      <x:c r="M8" s="22" t="n">
        <x:f>I8/'Route Exposure'!K10</x:f>
        <x:v>0.2188657966811664</x:v>
      </x:c>
      <x:c r="N8" s="22" t="n">
        <x:f>J8/'Route Exposure'!L10</x:f>
        <x:v>0.3512142080463936</x:v>
      </x:c>
      <x:c r="O8" s="23" t="n">
        <x:v>1</x:v>
      </x:c>
      <x:c r="P8" s="23" t="n">
        <x:v>1</x:v>
      </x:c>
      <x:c r="Q8" s="23" t="n">
        <x:v>1</x:v>
      </x:c>
      <x:c r="R8" s="23" t="n">
        <x:v>0</x:v>
      </x:c>
      <x:c r="S8" s="23" t="n">
        <x:v>1</x:v>
      </x:c>
      <x:c r="T8" s="23" t="n">
        <x:v>0</x:v>
      </x:c>
      <x:c r="U8" s="23" t="n">
        <x:v>1</x:v>
      </x:c>
      <x:c r="V8" s="23" t="n">
        <x:v>1</x:v>
      </x:c>
      <x:c r="W8" s="23" t="n">
        <x:v>1</x:v>
      </x:c>
      <x:c r="X8" s="23" t="n">
        <x:v>1</x:v>
      </x:c>
      <x:c r="Y8" s="23" t="n">
        <x:v>1</x:v>
      </x:c>
      <x:c r="Z8" s="23" t="n">
        <x:v>0</x:v>
      </x:c>
      <x:c r="AA8" s="23" t="n">
        <x:f>SUM(O8:Z8)</x:f>
        <x:v>9</x:v>
      </x:c>
      <x:c r="AB8" s="23" t="n">
        <x:f>0</x:f>
        <x:v>0</x:v>
      </x:c>
      <x:c r="AC8" s="2" t="str">
        <x:f>IF(AND(AA8=12,AB8=4),"SELECT","REJECT")</x:f>
        <x:v>REJECT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 t="str">
        <x:v>S5</x:v>
      </x:c>
      <x:c r="D9" s="2" t="str">
        <x:v>Workforce relief system</x:v>
      </x:c>
      <x:c r="E9" s="2" t="str">
        <x:v>R5</x:v>
      </x:c>
      <x:c r="F9" s="23" t="n">
        <x:f>SUMIFS('Candidate Map'!$F$5:$F$14,'Candidate Map'!$C$5:$C$14,$C9)</x:f>
        <x:v>75</x:v>
      </x:c>
      <x:c r="G9" s="23" t="n">
        <x:f>SUMIFS('Candidate Map'!$G$5:$G$14,'Candidate Map'!$C$5:$C$14,$C9)</x:f>
        <x:v>174</x:v>
      </x:c>
      <x:c r="H9" s="23" t="n">
        <x:f>SUMIFS('Candidate Map'!$H$5:$H$14,'Candidate Map'!$C$5:$C$14,$C9)</x:f>
        <x:v>325380</x:v>
      </x:c>
      <x:c r="I9" s="27" t="n">
        <x:f>SUMIFS('Candidate Map'!$I$5:$I$14,'Candidate Map'!$C$5:$C$14,$C9)</x:f>
        <x:v>139.20000000000002</x:v>
      </x:c>
      <x:c r="J9" s="27" t="n">
        <x:f>SUMIFS('Candidate Map'!$J$5:$J$14,'Candidate Map'!$C$5:$C$14,$C9)</x:f>
        <x:v>41.25</x:v>
      </x:c>
      <x:c r="K9" s="23" t="n">
        <x:f>SUMIFS('Candidate Map'!$K$5:$K$14,'Candidate Map'!$C$5:$C$14,$C9)</x:f>
        <x:v>1</x:v>
      </x:c>
      <x:c r="L9" s="22" t="n">
        <x:f>F9/'Route Exposure'!H10</x:f>
        <x:v>0.08532423208191127</x:v>
      </x:c>
      <x:c r="M9" s="22" t="n">
        <x:f>I9/'Route Exposure'!K10</x:f>
        <x:v>0.05606573223779604</x:v>
      </x:c>
      <x:c r="N9" s="22" t="n">
        <x:f>J9/'Route Exposure'!L10</x:f>
        <x:v>0.09967379485320768</x:v>
      </x:c>
      <x:c r="O9" s="23" t="n">
        <x:v>1</x:v>
      </x:c>
      <x:c r="P9" s="23" t="n">
        <x:v>1</x:v>
      </x:c>
      <x:c r="Q9" s="23" t="n">
        <x:v>1</x:v>
      </x:c>
      <x:c r="R9" s="23" t="n">
        <x:v>1</x:v>
      </x:c>
      <x:c r="S9" s="23" t="n">
        <x:v>0</x:v>
      </x:c>
      <x:c r="T9" s="23" t="n">
        <x:v>0</x:v>
      </x:c>
      <x:c r="U9" s="23" t="n">
        <x:v>1</x:v>
      </x:c>
      <x:c r="V9" s="23" t="n">
        <x:v>1</x:v>
      </x:c>
      <x:c r="W9" s="23" t="n">
        <x:v>1</x:v>
      </x:c>
      <x:c r="X9" s="23" t="n">
        <x:v>1</x:v>
      </x:c>
      <x:c r="Y9" s="23" t="n">
        <x:v>1</x:v>
      </x:c>
      <x:c r="Z9" s="23" t="n">
        <x:v>0</x:v>
      </x:c>
      <x:c r="AA9" s="23" t="n">
        <x:f>SUM(O9:Z9)</x:f>
        <x:v>9</x:v>
      </x:c>
      <x:c r="AB9" s="23" t="n">
        <x:f>0</x:f>
        <x:v>0</x:v>
      </x:c>
      <x:c r="AC9" s="2" t="str">
        <x:f>IF(AND(AA9=12,AB9=4),"SELECT","REJECT")</x:f>
        <x:v>REJECT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 t="str">
        <x:v>S6</x:v>
      </x:c>
      <x:c r="D10" s="2" t="str">
        <x:v>Dual-state continuity district network</x:v>
      </x:c>
      <x:c r="E10" s="2" t="str">
        <x:v>R1 + R4</x:v>
      </x:c>
      <x:c r="F10" s="23" t="n">
        <x:f>SUMIFS('Candidate Map'!$F$5:$F$14,'Candidate Map'!$C$5:$C$14,$C10)</x:f>
        <x:v>647</x:v>
      </x:c>
      <x:c r="G10" s="23" t="n">
        <x:f>SUMIFS('Candidate Map'!$G$5:$G$14,'Candidate Map'!$C$5:$C$14,$C10)</x:f>
        <x:v>1405</x:v>
      </x:c>
      <x:c r="H10" s="23" t="n">
        <x:f>SUMIFS('Candidate Map'!$H$5:$H$14,'Candidate Map'!$C$5:$C$14,$C10)</x:f>
        <x:v>2255800</x:v>
      </x:c>
      <x:c r="I10" s="27" t="n">
        <x:f>SUMIFS('Candidate Map'!$I$5:$I$14,'Candidate Map'!$C$5:$C$14,$C10)</x:f>
        <x:v>1667.1</x:v>
      </x:c>
      <x:c r="J10" s="27" t="n">
        <x:f>SUMIFS('Candidate Map'!$J$5:$J$14,'Candidate Map'!$C$5:$C$14,$C10)</x:f>
        <x:v>290.1</x:v>
      </x:c>
      <x:c r="K10" s="23" t="n">
        <x:f>SUMIFS('Candidate Map'!$K$5:$K$14,'Candidate Map'!$C$5:$C$14,$C10)</x:f>
        <x:v>10</x:v>
      </x:c>
      <x:c r="L10" s="22" t="n">
        <x:f>F10/'Route Exposure'!H10</x:f>
        <x:v>0.7360637087599545</x:v>
      </x:c>
      <x:c r="M10" s="22" t="n">
        <x:f>I10/'Route Exposure'!K10</x:f>
        <x:v>0.6714596423392942</x:v>
      </x:c>
      <x:c r="N10" s="22" t="n">
        <x:f>J10/'Route Exposure'!L10</x:f>
        <x:v>0.700978615440377</x:v>
      </x:c>
      <x:c r="O10" s="23" t="n">
        <x:v>1</x:v>
      </x:c>
      <x:c r="P10" s="23" t="n">
        <x:v>1</x:v>
      </x:c>
      <x:c r="Q10" s="23" t="n">
        <x:v>1</x:v>
      </x:c>
      <x:c r="R10" s="23" t="n">
        <x:v>1</x:v>
      </x:c>
      <x:c r="S10" s="23" t="n">
        <x:v>1</x:v>
      </x:c>
      <x:c r="T10" s="23" t="n">
        <x:v>1</x:v>
      </x:c>
      <x:c r="U10" s="23" t="n">
        <x:v>1</x:v>
      </x:c>
      <x:c r="V10" s="23" t="n">
        <x:v>1</x:v>
      </x:c>
      <x:c r="W10" s="23" t="n">
        <x:v>1</x:v>
      </x:c>
      <x:c r="X10" s="23" t="n">
        <x:v>1</x:v>
      </x:c>
      <x:c r="Y10" s="23" t="n">
        <x:v>1</x:v>
      </x:c>
      <x:c r="Z10" s="23" t="n">
        <x:v>1</x:v>
      </x:c>
      <x:c r="AA10" s="23" t="n">
        <x:f>SUM(O10:Z10)</x:f>
        <x:v>12</x:v>
      </x:c>
      <x:c r="AB10" s="23" t="n">
        <x:f>IF(AND(F10&gt;MAX(F5:F9),I10&gt;MAX(I5:I9),J10&gt;MAX(J5:J9),K10&gt;MAX(K5:K9)),4,0)</x:f>
        <x:v>4</x:v>
      </x:c>
      <x:c r="AC10" s="2" t="str">
        <x:f>IF(AND(AA10=12,AB10=4),"SELECT","REJECT")</x:f>
        <x:v>SELECT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12" t="str">
        <x:v>Gate</x:v>
      </x:c>
      <x:c r="D13" s="21" t="str">
        <x:v>Requirement</x:v>
      </x:c>
      <x:c r="E13" s="21" t="str">
        <x:v>Decision meaning</x:v>
      </x:c>
      <x:c r="F13" s="13" t="str">
        <x:v>Failure consequence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42" customHeight="1">
      <x:c r="A14" s="2"/>
      <x:c r="B14" s="2"/>
      <x:c r="C14" s="2" t="str">
        <x:v>G01</x:v>
      </x:c>
      <x:c r="D14" s="14" t="str">
        <x:v>Person–household–care bundle is the unit</x:v>
      </x:c>
      <x:c r="E14" s="14" t="str">
        <x:v>No route may reduce the object to a bed, seat or issue</x:v>
      </x:c>
      <x:c r="F14" s="14" t="str">
        <x:v>false service unit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42" customHeight="1">
      <x:c r="A15" s="2"/>
      <x:c r="B15" s="2"/>
      <x:c r="C15" s="2" t="str">
        <x:v>G02</x:v>
      </x:c>
      <x:c r="D15" s="14" t="str">
        <x:v>Claimed routes close all seven stages</x:v>
      </x:c>
      <x:c r="E15" s="14" t="str">
        <x:v>The system owns a complete claimed service path</x:v>
      </x:c>
      <x:c r="F15" s="14" t="str">
        <x:v>intermediate output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42" customHeight="1">
      <x:c r="A16" s="2"/>
      <x:c r="B16" s="2"/>
      <x:c r="C16" s="2" t="str">
        <x:v>G03</x:v>
      </x:c>
      <x:c r="D16" s="14" t="str">
        <x:v>Safe-local service precedes movement</x:v>
      </x:c>
      <x:c r="E16" s="14" t="str">
        <x:v>Movement occurs only when the complete state improves</x:v>
      </x:c>
      <x:c r="F16" s="14" t="str">
        <x:v>avoidable displacement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42" customHeight="1">
      <x:c r="A17" s="2"/>
      <x:c r="B17" s="2"/>
      <x:c r="C17" s="2" t="str">
        <x:v>G04</x:v>
      </x:c>
      <x:c r="D17" s="14" t="str">
        <x:v>Receiver accepts before dispatch</x:v>
      </x:c>
      <x:c r="E17" s="14" t="str">
        <x:v>Acceptance covers the complete bundle</x:v>
      </x:c>
      <x:c r="F17" s="14" t="str">
        <x:v>stranded arrival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42" customHeight="1">
      <x:c r="A18" s="2"/>
      <x:c r="B18" s="2"/>
      <x:c r="C18" s="2" t="str">
        <x:v>G05</x:v>
      </x:c>
      <x:c r="D18" s="14" t="str">
        <x:v>Occupied services are inside the boundary</x:v>
      </x:c>
      <x:c r="E18" s="14" t="str">
        <x:v>Habitat, lifelines, food, hygiene and accessibility are explicit</x:v>
      </x:c>
      <x:c r="F18" s="14" t="str">
        <x:v>nominal occupancy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42" customHeight="1">
      <x:c r="A19" s="2"/>
      <x:c r="B19" s="2"/>
      <x:c r="C19" s="2" t="str">
        <x:v>G06</x:v>
      </x:c>
      <x:c r="D19" s="14" t="str">
        <x:v>Origin and receiving roles are co-designed</x:v>
      </x:c>
      <x:c r="E19" s="14" t="str">
        <x:v>The same boundary handles remain, move, receive and return</x:v>
      </x:c>
      <x:c r="F19" s="14" t="str">
        <x:v>seam failure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42" customHeight="1">
      <x:c r="A20" s="2"/>
      <x:c r="B20" s="2"/>
      <x:c r="C20" s="2" t="str">
        <x:v>G07</x:v>
      </x:c>
      <x:c r="D20" s="14" t="str">
        <x:v>No cloud or intact-utility common mode</x:v>
      </x:c>
      <x:c r="E20" s="14" t="str">
        <x:v>Manual and local operation remains possible</x:v>
      </x:c>
      <x:c r="F20" s="14" t="str">
        <x:v>infrastructure dependency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42" customHeight="1">
      <x:c r="A21" s="2"/>
      <x:c r="B21" s="2"/>
      <x:c r="C21" s="2" t="str">
        <x:v>G08</x:v>
      </x:c>
      <x:c r="D21" s="14" t="str">
        <x:v>Accessibility, caregivers and devices persist</x:v>
      </x:c>
      <x:c r="E21" s="14" t="str">
        <x:v>Density cannot be bought by breaking relationships</x:v>
      </x:c>
      <x:c r="F21" s="14" t="str">
        <x:v>exclusion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42" customHeight="1">
      <x:c r="A22" s="2"/>
      <x:c r="B22" s="2"/>
      <x:c r="C22" s="2" t="str">
        <x:v>G09</x:v>
      </x:c>
      <x:c r="D22" s="14" t="str">
        <x:v>Safety and civil release stay independent</x:v>
      </x:c>
      <x:c r="E22" s="14" t="str">
        <x:v>Operators cannot certify their own output</x:v>
      </x:c>
      <x:c r="F22" s="14" t="str">
        <x:v>unsafe admission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42" customHeight="1">
      <x:c r="A23" s="2"/>
      <x:c r="B23" s="2"/>
      <x:c r="C23" s="2" t="str">
        <x:v>G10</x:v>
      </x:c>
      <x:c r="D23" s="14" t="str">
        <x:v>Transition, return and regeneration close</x:v>
      </x:c>
      <x:c r="E23" s="14" t="str">
        <x:v>Departure or occupancy is not terminal credit</x:v>
      </x:c>
      <x:c r="F23" s="14" t="str">
        <x:v>permanent displacement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42" customHeight="1">
      <x:c r="A24" s="2"/>
      <x:c r="B24" s="2"/>
      <x:c r="C24" s="2" t="str">
        <x:v>G11</x:v>
      </x:c>
      <x:c r="D24" s="14" t="str">
        <x:v>A representative physical campaign is possible</x:v>
      </x:c>
      <x:c r="E24" s="14" t="str">
        <x:v>Complete rival roots can be built and compared</x:v>
      </x:c>
      <x:c r="F24" s="14" t="str">
        <x:v>unfalsifiable concept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42" customHeight="1">
      <x:c r="A25" s="2"/>
      <x:c r="B25" s="2"/>
      <x:c r="C25" s="2" t="str">
        <x:v>G12</x:v>
      </x:c>
      <x:c r="D25" s="14" t="str">
        <x:v>At least half of demand and gap are addressed</x:v>
      </x:c>
      <x:c r="E25" s="14" t="str">
        <x:v>The first physical system changes the dominant portfolio burden</x:v>
      </x:c>
      <x:c r="F25" s="14" t="str">
        <x:v>subscale priority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conditionalFormatting sqref="AC5:AC10">
    <x:cfRule type="containsText" dxfId="0" priority="1" operator="containsText" text="SELEC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39" hidden="0" customWidth="1"/>
    <x:col min="5" max="5" width="12" hidden="0" customWidth="1"/>
    <x:col min="6" max="6" width="50" hidden="0" customWidth="1"/>
    <x:col min="7" max="7" width="15" hidden="0" customWidth="1"/>
    <x:col min="8" max="8" width="20" hidden="0" customWidth="1"/>
    <x:col min="9" max="9" width="18" hidden="0" customWidth="1"/>
    <x:col min="10" max="10" width="34" hidden="0" customWidth="1"/>
    <x:col min="11" max="11" width="35" hidden="0" customWidth="1"/>
    <x:col min="12" max="12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HCDN-50 system contract</x:v>
      </x:c>
      <x:c r="D2" s="5"/>
      <x:c r="E2" s="5"/>
      <x:c r="F2" s="5"/>
      <x:c r="G2" s="5"/>
      <x:c r="H2" s="5"/>
      <x:c r="I2" s="5"/>
      <x:c r="J2" s="5"/>
      <x:c r="K2" s="5"/>
      <x:c r="L2" s="5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8" t="str">
        <x:v>One network is fifty independently assignable CDE-1K districts. A district may hold, receive, bridge or reset, but cannot earn capacity in two states during the same interval.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ID</x:v>
      </x:c>
      <x:c r="D4" s="21" t="str">
        <x:v>Required block</x:v>
      </x:c>
      <x:c r="E4" s="21" t="str">
        <x:v>Primary route</x:v>
      </x:c>
      <x:c r="F4" s="21" t="str">
        <x:v>Physical output</x:v>
      </x:c>
      <x:c r="G4" s="21" t="str">
        <x:v>Inside boundary</x:v>
      </x:c>
      <x:c r="H4" s="21" t="str">
        <x:v>Technology owner</x:v>
      </x:c>
      <x:c r="I4" s="21" t="str">
        <x:v>External mission interface</x:v>
      </x:c>
      <x:c r="J4" s="21" t="str">
        <x:v>Completion measure</x:v>
      </x:c>
      <x:c r="K4" s="21" t="str">
        <x:v>Credit rule</x:v>
      </x:c>
      <x:c r="L4" s="13" t="str">
        <x:v>Loss consequence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58" customHeight="1">
      <x:c r="A5" s="2"/>
      <x:c r="B5" s="2"/>
      <x:c r="C5" s="2" t="str">
        <x:v>B01</x:v>
      </x:c>
      <x:c r="D5" s="14" t="str">
        <x:v>Person and household continuity state</x:v>
      </x:c>
      <x:c r="E5" s="14" t="str">
        <x:v>R1/R4</x:v>
      </x:c>
      <x:c r="F5" s="14" t="str">
        <x:v>Correctable offline service state and usable receipt</x:v>
      </x:c>
      <x:c r="G5" s="14" t="str">
        <x:v>Yes</x:v>
      </x:c>
      <x:c r="H5" s="14" t="str">
        <x:v>HU-04A</x:v>
      </x:c>
      <x:c r="I5" s="14" t="str">
        <x:v>MS-CT</x:v>
      </x:c>
      <x:c r="J5" s="14" t="str">
        <x:v>Complete routes without false served state</x:v>
      </x:c>
      <x:c r="K5" s="14" t="str">
        <x:v>No record-only service credit</x:v>
      </x:c>
      <x:c r="L5" s="14" t="str">
        <x:v>unknown people or false closure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58" customHeight="1">
      <x:c r="A6" s="2"/>
      <x:c r="B6" s="2"/>
      <x:c r="C6" s="2" t="str">
        <x:v>B02</x:v>
      </x:c>
      <x:c r="D6" s="14" t="str">
        <x:v>Occupied environmental service</x:v>
      </x:c>
      <x:c r="E6" s="14" t="str">
        <x:v>R1/R4</x:v>
      </x:c>
      <x:c r="F6" s="14" t="str">
        <x:v>Accessible thermal, clean-air, fire-safe occupied zones</x:v>
      </x:c>
      <x:c r="G6" s="14" t="str">
        <x:v>Yes</x:v>
      </x:c>
      <x:c r="H6" s="14" t="str">
        <x:v>HU-03A</x:v>
      </x:c>
      <x:c r="I6" s="14" t="str">
        <x:v>MS-LF</x:v>
      </x:c>
      <x:c r="J6" s="14" t="str">
        <x:v>Safe occupied person-hours</x:v>
      </x:c>
      <x:c r="K6" s="14" t="str">
        <x:v>No nominal floor-area credit</x:v>
      </x:c>
      <x:c r="L6" s="14" t="str">
        <x:v>unsafe occupancy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58" customHeight="1">
      <x:c r="A7" s="2"/>
      <x:c r="B7" s="2"/>
      <x:c r="C7" s="2" t="str">
        <x:v>B03</x:v>
      </x:c>
      <x:c r="D7" s="14" t="str">
        <x:v>Water, power and residual interface</x:v>
      </x:c>
      <x:c r="E7" s="14" t="str">
        <x:v>R1/R4</x:v>
      </x:c>
      <x:c r="F7" s="14" t="str">
        <x:v>Islanded service boundary with measured source and destination</x:v>
      </x:c>
      <x:c r="G7" s="14" t="str">
        <x:v>Interface</x:v>
      </x:c>
      <x:c r="H7" s="14" t="str">
        <x:v>HU-03A</x:v>
      </x:c>
      <x:c r="I7" s="14" t="str">
        <x:v>MS-LF</x:v>
      </x:c>
      <x:c r="J7" s="14" t="str">
        <x:v>Released service at point of use</x:v>
      </x:c>
      <x:c r="K7" s="14" t="str">
        <x:v>No source-only credit</x:v>
      </x:c>
      <x:c r="L7" s="14" t="str">
        <x:v>unusable production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58" customHeight="1">
      <x:c r="A8" s="2"/>
      <x:c r="B8" s="2"/>
      <x:c r="C8" s="2" t="str">
        <x:v>B04</x:v>
      </x:c>
      <x:c r="D8" s="14" t="str">
        <x:v>Food, hygiene and essential goods</x:v>
      </x:c>
      <x:c r="E8" s="14" t="str">
        <x:v>R1/R4</x:v>
      </x:c>
      <x:c r="F8" s="14" t="str">
        <x:v>Accepted nutrition, hygiene, medication and essential-property service</x:v>
      </x:c>
      <x:c r="G8" s="14" t="str">
        <x:v>Yes</x:v>
      </x:c>
      <x:c r="H8" s="14" t="str">
        <x:v>HU-03B</x:v>
      </x:c>
      <x:c r="I8" s="14" t="str">
        <x:v>MS-LF</x:v>
      </x:c>
      <x:c r="J8" s="14" t="str">
        <x:v>Accepted person-days</x:v>
      </x:c>
      <x:c r="K8" s="14" t="str">
        <x:v>No issued-tonne credit</x:v>
      </x:c>
      <x:c r="L8" s="14" t="str">
        <x:v>refusal, allergy or residual failure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58" customHeight="1">
      <x:c r="A9" s="2"/>
      <x:c r="B9" s="2"/>
      <x:c r="C9" s="2" t="str">
        <x:v>B05</x:v>
      </x:c>
      <x:c r="D9" s="14" t="str">
        <x:v>Accessible building and assistive support</x:v>
      </x:c>
      <x:c r="E9" s="14" t="str">
        <x:v>R1/R4</x:v>
      </x:c>
      <x:c r="F9" s="14" t="str">
        <x:v>Horizontal and vertical access with devices, caregivers and animals</x:v>
      </x:c>
      <x:c r="G9" s="14" t="str">
        <x:v>Yes</x:v>
      </x:c>
      <x:c r="H9" s="14" t="str">
        <x:v>HU-03C</x:v>
      </x:c>
      <x:c r="I9" s="14" t="str">
        <x:v>MS-OR</x:v>
      </x:c>
      <x:c r="J9" s="14" t="str">
        <x:v>Occupied floors safely served</x:v>
      </x:c>
      <x:c r="K9" s="14" t="str">
        <x:v>No accessible-seat proxy</x:v>
      </x:c>
      <x:c r="L9" s="14" t="str">
        <x:v>stranded household member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58" customHeight="1">
      <x:c r="A10" s="2"/>
      <x:c r="B10" s="2"/>
      <x:c r="C10" s="2" t="str">
        <x:v>B06</x:v>
      </x:c>
      <x:c r="D10" s="14" t="str">
        <x:v>Origin contact and stabilization</x:v>
      </x:c>
      <x:c r="E10" s="14" t="str">
        <x:v>R1/R4</x:v>
      </x:c>
      <x:c r="F10" s="14" t="str">
        <x:v>Household reached and safely held pending service choice</x:v>
      </x:c>
      <x:c r="G10" s="14" t="str">
        <x:v>Yes</x:v>
      </x:c>
      <x:c r="H10" s="14" t="str">
        <x:v>HU-03C</x:v>
      </x:c>
      <x:c r="I10" s="14" t="str">
        <x:v>MS-OR</x:v>
      </x:c>
      <x:c r="J10" s="14" t="str">
        <x:v>Households stabilized by deadline</x:v>
      </x:c>
      <x:c r="K10" s="14" t="str">
        <x:v>No inferred safety from aggregate flow</x:v>
      </x:c>
      <x:c r="L10" s="14" t="str">
        <x:v>avoidable harm before dispatch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58" customHeight="1">
      <x:c r="A11" s="2"/>
      <x:c r="B11" s="2"/>
      <x:c r="C11" s="2" t="str">
        <x:v>B07</x:v>
      </x:c>
      <x:c r="D11" s="14" t="str">
        <x:v>Continuity-preserving local transport</x:v>
      </x:c>
      <x:c r="E11" s="14" t="str">
        <x:v>R4</x:v>
      </x:c>
      <x:c r="F11" s="14" t="str">
        <x:v>Household bundle reaches the accepted receiver intact</x:v>
      </x:c>
      <x:c r="G11" s="14" t="str">
        <x:v>Yes</x:v>
      </x:c>
      <x:c r="H11" s="14" t="str">
        <x:v>HU-04B</x:v>
      </x:c>
      <x:c r="I11" s="14" t="str">
        <x:v>MS-ET</x:v>
      </x:c>
      <x:c r="J11" s="14" t="str">
        <x:v>Complete transfers per vehicle-hour</x:v>
      </x:c>
      <x:c r="K11" s="14" t="str">
        <x:v>No passenger-seat credit</x:v>
      </x:c>
      <x:c r="L11" s="14" t="str">
        <x:v>care, custody or device break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58" customHeight="1">
      <x:c r="A12" s="2"/>
      <x:c r="B12" s="2"/>
      <x:c r="C12" s="2" t="str">
        <x:v>B08</x:v>
      </x:c>
      <x:c r="D12" s="14" t="str">
        <x:v>Receiver admission and occupied service</x:v>
      </x:c>
      <x:c r="E12" s="14" t="str">
        <x:v>R4</x:v>
      </x:c>
      <x:c r="F12" s="14" t="str">
        <x:v>Accepted placement with verified continuing service</x:v>
      </x:c>
      <x:c r="G12" s="14" t="str">
        <x:v>Yes</x:v>
      </x:c>
      <x:c r="H12" s="14" t="str">
        <x:v>HU-04C</x:v>
      </x:c>
      <x:c r="I12" s="14" t="str">
        <x:v>MS-CT</x:v>
      </x:c>
      <x:c r="J12" s="14" t="str">
        <x:v>Accepted supported placements</x:v>
      </x:c>
      <x:c r="K12" s="14" t="str">
        <x:v>No vacancy credit</x:v>
      </x:c>
      <x:c r="L12" s="14" t="str">
        <x:v>arrival without service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58" customHeight="1">
      <x:c r="A13" s="2"/>
      <x:c r="B13" s="2"/>
      <x:c r="C13" s="2" t="str">
        <x:v>B09</x:v>
      </x:c>
      <x:c r="D13" s="14" t="str">
        <x:v>Clinical and safeguarding handoff</x:v>
      </x:c>
      <x:c r="E13" s="14" t="str">
        <x:v>R1/R4</x:v>
      </x:c>
      <x:c r="F13" s="14" t="str">
        <x:v>Acuity, therapy, protection and custody remain continuous</x:v>
      </x:c>
      <x:c r="G13" s="14" t="str">
        <x:v>Interface</x:v>
      </x:c>
      <x:c r="H13" s="14" t="str">
        <x:v>HU-04C</x:v>
      </x:c>
      <x:c r="I13" s="14" t="str">
        <x:v>MS-HU R2/R3</x:v>
      </x:c>
      <x:c r="J13" s="14" t="str">
        <x:v>Handoffs without lost obligation</x:v>
      </x:c>
      <x:c r="K13" s="14" t="str">
        <x:v>No generic referral credit</x:v>
      </x:c>
      <x:c r="L13" s="14" t="str">
        <x:v>clinical or safeguarding discontinuity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58" customHeight="1">
      <x:c r="A14" s="2"/>
      <x:c r="B14" s="2"/>
      <x:c r="C14" s="2" t="str">
        <x:v>B10</x:v>
      </x:c>
      <x:c r="D14" s="14" t="str">
        <x:v>Return, durable transition and regeneration</x:v>
      </x:c>
      <x:c r="E14" s="14" t="str">
        <x:v>R1/R4</x:v>
      </x:c>
      <x:c r="F14" s="14" t="str">
        <x:v>Funded exit, repaired origin, restored records and ready force</x:v>
      </x:c>
      <x:c r="G14" s="14" t="str">
        <x:v>Yes</x:v>
      </x:c>
      <x:c r="H14" s="14" t="str">
        <x:v>HU-04C</x:v>
      </x:c>
      <x:c r="I14" s="14" t="str">
        <x:v>MS-RT</x:v>
      </x:c>
      <x:c r="J14" s="14" t="str">
        <x:v>Closed cases and regenerated districts</x:v>
      </x:c>
      <x:c r="K14" s="14" t="str">
        <x:v>No departure or occupancy terminal credit</x:v>
      </x:c>
      <x:c r="L14" s="14" t="str">
        <x:v>permanent displacement or exhausted force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48" hidden="0" customWidth="1"/>
    <x:col min="5" max="5" width="52" hidden="0" customWidth="1"/>
    <x:col min="6" max="6" width="60" hidden="0" customWidth="1"/>
    <x:col min="7" max="7" width="48" hidden="0" customWidth="1"/>
    <x:col min="8" max="8" width="50" hidden="0" customWidth="1"/>
    <x:col min="9" max="9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District service states and capacity law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State</x:v>
      </x:c>
      <x:c r="D4" s="21" t="str">
        <x:v>Operational purpose</x:v>
      </x:c>
      <x:c r="E4" s="21" t="str">
        <x:v>Entry condition</x:v>
      </x:c>
      <x:c r="F4" s="21" t="str">
        <x:v>Required physical functions</x:v>
      </x:c>
      <x:c r="G4" s="21" t="str">
        <x:v>Exit condition</x:v>
      </x:c>
      <x:c r="H4" s="21" t="str">
        <x:v>Capacity accounting</x:v>
      </x:c>
      <x:c r="I4" s="13" t="str">
        <x:v>Failure rule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78" customHeight="1">
      <x:c r="A5" s="2"/>
      <x:c r="B5" s="2"/>
      <x:c r="C5" s="2" t="str">
        <x:v>HOLD</x:v>
      </x:c>
      <x:c r="D5" s="14" t="str">
        <x:v>Maintain households safely at origin or a nearby support point</x:v>
      </x:c>
      <x:c r="E5" s="14" t="str">
        <x:v>Origin remains safely serviceable after independent release</x:v>
      </x:c>
      <x:c r="F5" s="14" t="str">
        <x:v>state; environment; lifelines; food; hygiene; accessibility; local care</x:v>
      </x:c>
      <x:c r="G5" s="14" t="str">
        <x:v>ordinary systems restored or an accepted receiver requires movement</x:v>
      </x:c>
      <x:c r="H5" s="14" t="str">
        <x:v>Counts only against R1 demand in the assigned interval</x:v>
      </x:c>
      <x:c r="I5" s="14" t="str">
        <x:v>If the origin cannot sustain the bundle, HOLD stops visibly and transfers to BRIDGE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78" customHeight="1">
      <x:c r="A6" s="2"/>
      <x:c r="B6" s="2"/>
      <x:c r="C6" s="2" t="str">
        <x:v>RECEIVE</x:v>
      </x:c>
      <x:c r="D6" s="14" t="str">
        <x:v>Admit households from another origin and sustain the complete bundle</x:v>
      </x:c>
      <x:c r="E6" s="14" t="str">
        <x:v>Receiver has accepted capacity, authority, utilities and exit obligation</x:v>
      </x:c>
      <x:c r="F6" s="14" t="str">
        <x:v>all occupied services; admission; clinical and safeguarding handoff; transition</x:v>
      </x:c>
      <x:c r="G6" s="14" t="str">
        <x:v>supported return, durable placement or lawful onward handoff</x:v>
      </x:c>
      <x:c r="H6" s="14" t="str">
        <x:v>Counts only against R4 receiving demand in the assigned interval</x:v>
      </x:c>
      <x:c r="I6" s="14" t="str">
        <x:v>Nominal vacancies, floor area or beds without the complete bundle count zero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78" customHeight="1">
      <x:c r="A7" s="2"/>
      <x:c r="B7" s="2"/>
      <x:c r="C7" s="2" t="str">
        <x:v>BRIDGE</x:v>
      </x:c>
      <x:c r="D7" s="14" t="str">
        <x:v>Project service to the origin or move the household bundle</x:v>
      </x:c>
      <x:c r="E7" s="14" t="str">
        <x:v>Movement improves the complete service state and destination remains accepted</x:v>
      </x:c>
      <x:c r="F7" s="14" t="str">
        <x:v>origin preparation; accessible transport; therapy/device/caregiver continuity; destination handoff</x:v>
      </x:c>
      <x:c r="G7" s="14" t="str">
        <x:v>person or projected service is admitted into HOLD or RECEIVE</x:v>
      </x:c>
      <x:c r="H7" s="14" t="str">
        <x:v>Counts as R4 flow, not as occupied capacity at either endpoint</x:v>
      </x:c>
      <x:c r="I7" s="14" t="str">
        <x:v>Receiver withdrawal, missing caregiver or therapy break requires safe stop and reassignment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78" customHeight="1">
      <x:c r="A8" s="2"/>
      <x:c r="B8" s="2"/>
      <x:c r="C8" s="2" t="str">
        <x:v>RETURN / RESET</x:v>
      </x:c>
      <x:c r="D8" s="14" t="str">
        <x:v>Restore the origin, close the case and regenerate people, articles and records</x:v>
      </x:c>
      <x:c r="E8" s="14" t="str">
        <x:v>Supported destination and repair or durable transition path exist</x:v>
      </x:c>
      <x:c r="F8" s="14" t="str">
        <x:v>return transport; origin verification; claims; maintenance; replenishment; workforce relief</x:v>
      </x:c>
      <x:c r="G8" s="14" t="str">
        <x:v>household has a supported ordinary-service state and the district is recertified</x:v>
      </x:c>
      <x:c r="H8" s="14" t="str">
        <x:v>Produces no simultaneous public capacity while resetting</x:v>
      </x:c>
      <x:c r="I8" s="14" t="str">
        <x:v>An unrepaired origin or exhausted district prevents route closure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12" t="str">
        <x:v>Accounting rule</x:v>
      </x:c>
      <x:c r="D11" s="13" t="str">
        <x:v>Consequence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 t="str">
        <x:v>One element, one state, one interval</x:v>
      </x:c>
      <x:c r="D12" s="14" t="str">
        <x:v>The same CDE-1K cannot satisfy local and receiving demand simultaneously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 t="str">
        <x:v>Role reversal requires recertification</x:v>
      </x:c>
      <x:c r="D13" s="14" t="str">
        <x:v>An origin article may become a receiver only after service, authority and occupancy release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 t="str">
        <x:v>Prepared capacity is conditional</x:v>
      </x:c>
      <x:c r="D14" s="14" t="str">
        <x:v>A building or site contributes zero if any required event-state dimension fails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 t="str">
        <x:v>Mobile support is assigned</x:v>
      </x:c>
      <x:c r="D15" s="14" t="str">
        <x:v>A shared module must have an exclusive reservation and reset path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 t="str">
        <x:v>Household bundle is indivisible</x:v>
      </x:c>
      <x:c r="D16" s="14" t="str">
        <x:v>Persons, caregivers, devices, medicines, records and essential property move as one governed obligation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 t="str">
        <x:v>Exit is funded at admission</x:v>
      </x:c>
      <x:c r="D17" s="14" t="str">
        <x:v>Return or durable transition reserve exists before receiving credit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 t="str">
        <x:v>Regeneration is service debt</x:v>
      </x:c>
      <x:c r="D18" s="14" t="str">
        <x:v>A district remains unavailable until people, stocks, maintenance and evidence restore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40" hidden="0" customWidth="1"/>
    <x:col min="5" max="5" width="17" hidden="0" customWidth="1"/>
    <x:col min="6" max="6" width="22" hidden="0" customWidth="1"/>
    <x:col min="7" max="7" width="40" hidden="0" customWidth="1"/>
    <x:col min="8" max="8" width="50" hidden="0" customWidth="1"/>
    <x:col min="9" max="9" width="34" hidden="0" customWidth="1"/>
    <x:col min="10" max="10" width="35" hidden="0" customWidth="1"/>
    <x:col min="11" max="11" width="26" hidden="0" customWidth="1"/>
    <x:col min="12" max="12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Physical function architecture</x:v>
      </x:c>
      <x:c r="D2" s="5"/>
      <x:c r="E2" s="5"/>
      <x:c r="F2" s="5"/>
      <x:c r="G2" s="5"/>
      <x:c r="H2" s="5"/>
      <x:c r="I2" s="5"/>
      <x:c r="J2" s="5"/>
      <x:c r="K2" s="5"/>
      <x:c r="L2" s="5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ID</x:v>
      </x:c>
      <x:c r="D4" s="21" t="str">
        <x:v>Function</x:v>
      </x:c>
      <x:c r="E4" s="21" t="str">
        <x:v>State reach</x:v>
      </x:c>
      <x:c r="F4" s="21" t="str">
        <x:v>Primary program</x:v>
      </x:c>
      <x:c r="G4" s="21" t="str">
        <x:v>Reference quantity or rate</x:v>
      </x:c>
      <x:c r="H4" s="21" t="str">
        <x:v>Inherited state</x:v>
      </x:c>
      <x:c r="I4" s="21" t="str">
        <x:v>Required advance</x:v>
      </x:c>
      <x:c r="J4" s="21" t="str">
        <x:v>Independent release</x:v>
      </x:c>
      <x:c r="K4" s="21" t="str">
        <x:v>External dependency</x:v>
      </x:c>
      <x:c r="L4" s="13" t="str">
        <x:v>Credit boundary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58" customHeight="1">
      <x:c r="A5" s="2"/>
      <x:c r="B5" s="2"/>
      <x:c r="C5" s="2" t="str">
        <x:v>F01</x:v>
      </x:c>
      <x:c r="D5" s="14" t="str">
        <x:v>Occupied environmental zones</x:v>
      </x:c>
      <x:c r="E5" s="14" t="str">
        <x:v>HOLD/RECEIVE</x:v>
      </x:c>
      <x:c r="F5" s="14" t="str">
        <x:v>HU-03A</x:v>
      </x:c>
      <x:c r="G5" s="14" t="str">
        <x:v>7,525 m² per CDE-1K</x:v>
      </x:c>
      <x:c r="H5" s="14" t="str">
        <x:v>geometry-derived</x:v>
      </x:c>
      <x:c r="I5" s="14" t="str">
        <x:v>168-hour heat, cold, smoke and fire service</x:v>
      </x:c>
      <x:c r="J5" s="14" t="str">
        <x:v>building and environmental safety</x:v>
      </x:c>
      <x:c r="K5" s="14" t="str">
        <x:v>MS-LF thermal/electric</x:v>
      </x:c>
      <x:c r="L5" s="14" t="str">
        <x:v>safe occupied person-hours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58" customHeight="1">
      <x:c r="A6" s="2"/>
      <x:c r="B6" s="2"/>
      <x:c r="C6" s="2" t="str">
        <x:v>F02</x:v>
      </x:c>
      <x:c r="D6" s="14" t="str">
        <x:v>Adaptive structure, floor and weather boundary</x:v>
      </x:c>
      <x:c r="E6" s="14" t="str">
        <x:v>HOLD/RECEIVE</x:v>
      </x:c>
      <x:c r="F6" s="14" t="str">
        <x:v>HU-03A</x:v>
      </x:c>
      <x:c r="G6" s="14" t="str">
        <x:v>78.7 t independent or 15.7 t prepared import</x:v>
      </x:c>
      <x:c r="H6" s="14" t="str">
        <x:v>R2+ mass screens</x:v>
      </x:c>
      <x:c r="I6" s="14" t="str">
        <x:v>four unlike physical roots and repairable damage states</x:v>
      </x:c>
      <x:c r="J6" s="14" t="str">
        <x:v>structural and fire safety</x:v>
      </x:c>
      <x:c r="K6" s="14" t="str">
        <x:v>MS-OR site access</x:v>
      </x:c>
      <x:c r="L6" s="14" t="str">
        <x:v>released occupied zones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58" customHeight="1">
      <x:c r="A7" s="2"/>
      <x:c r="B7" s="2"/>
      <x:c r="C7" s="2" t="str">
        <x:v>F03</x:v>
      </x:c>
      <x:c r="D7" s="14" t="str">
        <x:v>Service spine and local metabolism</x:v>
      </x:c>
      <x:c r="E7" s="14" t="str">
        <x:v>HOLD/RECEIVE</x:v>
      </x:c>
      <x:c r="F7" s="14" t="str">
        <x:v>HU-03A</x:v>
      </x:c>
      <x:c r="G7" s="14" t="str">
        <x:v>21.9 t weighted mobile occupied-area mass</x:v>
      </x:c>
      <x:c r="H7" s="14" t="str">
        <x:v>receiver-weighted proxy</x:v>
      </x:c>
      <x:c r="I7" s="14" t="str">
        <x:v>self-routing, isolating power, water, data and residual interfaces</x:v>
      </x:c>
      <x:c r="J7" s="14" t="str">
        <x:v>utility and public-health release</x:v>
      </x:c>
      <x:c r="K7" s="14" t="str">
        <x:v>MS-LF source and destination</x:v>
      </x:c>
      <x:c r="L7" s="14" t="str">
        <x:v>point-of-use service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58" customHeight="1">
      <x:c r="A8" s="2"/>
      <x:c r="B8" s="2"/>
      <x:c r="C8" s="2" t="str">
        <x:v>F04</x:v>
      </x:c>
      <x:c r="D8" s="14" t="str">
        <x:v>Food, hygiene and essential-goods cell</x:v>
      </x:c>
      <x:c r="E8" s="14" t="str">
        <x:v>HOLD/RECEIVE</x:v>
      </x:c>
      <x:c r="F8" s="14" t="str">
        <x:v>HU-03B</x:v>
      </x:c>
      <x:c r="G8" s="14" t="str">
        <x:v>1,000 accepted person-days/day</x:v>
      </x:c>
      <x:c r="H8" s="14" t="str">
        <x:v>unconfigured at district depth</x:v>
      </x:c>
      <x:c r="I8" s="14" t="str">
        <x:v>adaptive menus, local finishing, pharmacy and waste closure</x:v>
      </x:c>
      <x:c r="J8" s="14" t="str">
        <x:v>nutrition, pharmacy and sanitation</x:v>
      </x:c>
      <x:c r="K8" s="14" t="str">
        <x:v>MS-LF replenishment</x:v>
      </x:c>
      <x:c r="L8" s="14" t="str">
        <x:v>accepted person-days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58" customHeight="1">
      <x:c r="A9" s="2"/>
      <x:c r="B9" s="2"/>
      <x:c r="C9" s="2" t="str">
        <x:v>F05</x:v>
      </x:c>
      <x:c r="D9" s="14" t="str">
        <x:v>Accessible circulation and assistive support</x:v>
      </x:c>
      <x:c r="E9" s="14" t="str">
        <x:v>ALL</x:v>
      </x:c>
      <x:c r="F9" s="14" t="str">
        <x:v>HU-03C</x:v>
      </x:c>
      <x:c r="G9" s="14" t="str">
        <x:v>all occupied floors and service points</x:v>
      </x:c>
      <x:c r="H9" s="14" t="str">
        <x:v>partial team-rate screens</x:v>
      </x:c>
      <x:c r="I9" s="14" t="str">
        <x:v>temporary vertical systems, powered assistive kits and robotic delivery</x:v>
      </x:c>
      <x:c r="J9" s="14" t="str">
        <x:v>accessibility and life safety</x:v>
      </x:c>
      <x:c r="K9" s="14" t="str">
        <x:v>MS-OR routes and structures</x:v>
      </x:c>
      <x:c r="L9" s="14" t="str">
        <x:v>served floors without stranded users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58" customHeight="1">
      <x:c r="A10" s="2"/>
      <x:c r="B10" s="2"/>
      <x:c r="C10" s="2" t="str">
        <x:v>F06</x:v>
      </x:c>
      <x:c r="D10" s="14" t="str">
        <x:v>Origin contact and building adaptation</x:v>
      </x:c>
      <x:c r="E10" s="14" t="str">
        <x:v>HOLD/BRIDGE</x:v>
      </x:c>
      <x:c r="F10" s="14" t="str">
        <x:v>HU-03C</x:v>
      </x:c>
      <x:c r="G10" s="14" t="str">
        <x:v>1,000-person service catchment</x:v>
      </x:c>
      <x:c r="H10" s="14" t="str">
        <x:v>NCAC workload lineage</x:v>
      </x:c>
      <x:c r="I10" s="14" t="str">
        <x:v>disconnected mapping, robotic access and local conversion</x:v>
      </x:c>
      <x:c r="J10" s="14" t="str">
        <x:v>civil, building and privacy</x:v>
      </x:c>
      <x:c r="K10" s="14" t="str">
        <x:v>MS-CT state substrate</x:v>
      </x:c>
      <x:c r="L10" s="14" t="str">
        <x:v>verified household disposition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58" customHeight="1">
      <x:c r="A11" s="2"/>
      <x:c r="B11" s="2"/>
      <x:c r="C11" s="2" t="str">
        <x:v>F07</x:v>
      </x:c>
      <x:c r="D11" s="14" t="str">
        <x:v>Continuity transport environment</x:v>
      </x:c>
      <x:c r="E11" s="14" t="str">
        <x:v>BRIDGE</x:v>
      </x:c>
      <x:c r="F11" s="14" t="str">
        <x:v>HU-04B</x:v>
      </x:c>
      <x:c r="G11" s="14" t="str">
        <x:v>one complete CDE-1K bundle per assigned mission</x:v>
      </x:c>
      <x:c r="H11" s="14" t="str">
        <x:v>mode concepts only</x:v>
      </x:c>
      <x:c r="I11" s="14" t="str">
        <x:v>reconfigurable accessible cabin, clinical power, sanitation and custody</x:v>
      </x:c>
      <x:c r="J11" s="14" t="str">
        <x:v>transport, clinical and accessibility</x:v>
      </x:c>
      <x:c r="K11" s="14" t="str">
        <x:v>MS-ET long-haul interface</x:v>
      </x:c>
      <x:c r="L11" s="14" t="str">
        <x:v>complete transfers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58" customHeight="1">
      <x:c r="A12" s="2"/>
      <x:c r="B12" s="2"/>
      <x:c r="C12" s="2" t="str">
        <x:v>F08</x:v>
      </x:c>
      <x:c r="D12" s="14" t="str">
        <x:v>Receiver admission and transition</x:v>
      </x:c>
      <x:c r="E12" s="14" t="str">
        <x:v>RECEIVE/RETURN</x:v>
      </x:c>
      <x:c r="F12" s="14" t="str">
        <x:v>HU-04C</x:v>
      </x:c>
      <x:c r="G12" s="14" t="str">
        <x:v>1,000 accepted placements per district assignment</x:v>
      </x:c>
      <x:c r="H12" s="14" t="str">
        <x:v>NRL capacity proxy</x:v>
      </x:c>
      <x:c r="I12" s="14" t="str">
        <x:v>federated admission, service verification, appeals and exit reserve</x:v>
      </x:c>
      <x:c r="J12" s="14" t="str">
        <x:v>civil occupancy and safeguarding</x:v>
      </x:c>
      <x:c r="K12" s="14" t="str">
        <x:v>MS-CT command</x:v>
      </x:c>
      <x:c r="L12" s="14" t="str">
        <x:v>supported placements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58" customHeight="1">
      <x:c r="A13" s="2"/>
      <x:c r="B13" s="2"/>
      <x:c r="C13" s="2" t="str">
        <x:v>F09</x:v>
      </x:c>
      <x:c r="D13" s="14" t="str">
        <x:v>Household continuity state</x:v>
      </x:c>
      <x:c r="E13" s="14" t="str">
        <x:v>ALL</x:v>
      </x:c>
      <x:c r="F13" s="14" t="str">
        <x:v>HU-04A</x:v>
      </x:c>
      <x:c r="G13" s="14" t="str">
        <x:v>twelve minimum fields</x:v>
      </x:c>
      <x:c r="H13" s="14" t="str">
        <x:v>Pass 169 constitution</x:v>
      </x:c>
      <x:c r="I13" s="14" t="str">
        <x:v>four rival substrates carried into physical operation</x:v>
      </x:c>
      <x:c r="J13" s="14" t="str">
        <x:v>privacy, civil and clinical</x:v>
      </x:c>
      <x:c r="K13" s="14" t="str">
        <x:v>none required centrally</x:v>
      </x:c>
      <x:c r="L13" s="14" t="str">
        <x:v>zero false served states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58" customHeight="1">
      <x:c r="A14" s="2"/>
      <x:c r="B14" s="2"/>
      <x:c r="C14" s="2" t="str">
        <x:v>F10</x:v>
      </x:c>
      <x:c r="D14" s="14" t="str">
        <x:v>Clinical and public-health interface</x:v>
      </x:c>
      <x:c r="E14" s="14" t="str">
        <x:v>ALL</x:v>
      </x:c>
      <x:c r="F14" s="14" t="str">
        <x:v>HU-04C</x:v>
      </x:c>
      <x:c r="G14" s="14" t="str">
        <x:v>acuity and safeguarding obligation</x:v>
      </x:c>
      <x:c r="H14" s="14" t="str">
        <x:v>separate R2/R3 routes</x:v>
      </x:c>
      <x:c r="I14" s="14" t="str">
        <x:v>accepted local care, patient transfer and protected separation</x:v>
      </x:c>
      <x:c r="J14" s="14" t="str">
        <x:v>clinical and public health</x:v>
      </x:c>
      <x:c r="K14" s="14" t="str">
        <x:v>MS-HU R2/R3</x:v>
      </x:c>
      <x:c r="L14" s="14" t="str">
        <x:v>closed handoff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58" customHeight="1">
      <x:c r="A15" s="2"/>
      <x:c r="B15" s="2"/>
      <x:c r="C15" s="2" t="str">
        <x:v>F11</x:v>
      </x:c>
      <x:c r="D15" s="14" t="str">
        <x:v>Sustainment and regeneration</x:v>
      </x:c>
      <x:c r="E15" s="14" t="str">
        <x:v>ALL</x:v>
      </x:c>
      <x:c r="F15" s="14" t="str">
        <x:v>HU-04C</x:v>
      </x:c>
      <x:c r="G15" s="14" t="str">
        <x:v>168 h plus complete reset</x:v>
      </x:c>
      <x:c r="H15" s="14" t="str">
        <x:v>not configured for HCDN</x:v>
      </x:c>
      <x:c r="I15" s="14" t="str">
        <x:v>relief labor, repair, decontamination, stocks and recertification</x:v>
      </x:c>
      <x:c r="J15" s="14" t="str">
        <x:v>technical and independent assurance</x:v>
      </x:c>
      <x:c r="K15" s="14" t="str">
        <x:v>MS-RT</x:v>
      </x:c>
      <x:c r="L15" s="14" t="str">
        <x:v>ready district returned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58" customHeight="1">
      <x:c r="A16" s="2"/>
      <x:c r="B16" s="2"/>
      <x:c r="C16" s="2" t="str">
        <x:v>F12</x:v>
      </x:c>
      <x:c r="D16" s="14" t="str">
        <x:v>Site and building conversion</x:v>
      </x:c>
      <x:c r="E16" s="14" t="str">
        <x:v>HOLD/RECEIVE</x:v>
      </x:c>
      <x:c r="F16" s="14" t="str">
        <x:v>HU-03A/HU-03C</x:v>
      </x:c>
      <x:c r="G16" s="14" t="str">
        <x:v>18–27 h inherited install paths</x:v>
      </x:c>
      <x:c r="H16" s="14" t="str">
        <x:v>unverified planning paths</x:v>
      </x:c>
      <x:c r="I16" s="14" t="str">
        <x:v>autonomous survey, drainage, preparation, adaptation and restoration</x:v>
      </x:c>
      <x:c r="J16" s="14" t="str">
        <x:v>structure, environment and occupancy</x:v>
      </x:c>
      <x:c r="K16" s="14" t="str">
        <x:v>MS-HC/MS-OR</x:v>
      </x:c>
      <x:c r="L16" s="14" t="str">
        <x:v>released service by deadline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39" hidden="0" customWidth="1"/>
    <x:col min="5" max="5" width="48" hidden="0" customWidth="1"/>
    <x:col min="6" max="6" width="36" hidden="0" customWidth="1"/>
    <x:col min="7" max="7" width="64" hidden="0" customWidth="1"/>
    <x:col min="8" max="8" width="44" hidden="0" customWidth="1"/>
    <x:col min="9" max="9" width="58" hidden="0" customWidth="1"/>
    <x:col min="10" max="1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Complete physical rival roots</x:v>
      </x:c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Root</x:v>
      </x:c>
      <x:c r="D4" s="21" t="str">
        <x:v>Complete architecture</x:v>
      </x:c>
      <x:c r="E4" s="21" t="str">
        <x:v>Decisive substrate</x:v>
      </x:c>
      <x:c r="F4" s="21" t="str">
        <x:v>Fixed/mobile wager</x:v>
      </x:c>
      <x:c r="G4" s="21" t="str">
        <x:v>Required complete boundary</x:v>
      </x:c>
      <x:c r="H4" s="21" t="str">
        <x:v>Industrial root</x:v>
      </x:c>
      <x:c r="I4" s="21" t="str">
        <x:v>Kill exposure</x:v>
      </x:c>
      <x:c r="J4" s="13" t="str">
        <x:v>Selection state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88" customHeight="1">
      <x:c r="A5" s="2"/>
      <x:c r="B5" s="2"/>
      <x:c r="C5" s="2" t="str">
        <x:v>PR-A</x:v>
      </x:c>
      <x:c r="D5" s="14" t="str">
        <x:v>Prepared-building federation</x:v>
      </x:c>
      <x:c r="E5" s="14" t="str">
        <x:v>Instrumented existing structures with protected utility and occupancy interfaces</x:v>
      </x:c>
      <x:c r="F5" s="14" t="str">
        <x:v>High fixed share; small repair and service kits move</x:v>
      </x:c>
      <x:c r="G5" s="14" t="str">
        <x:v>Every building cluster carries all twelve functions, alternate site and return path</x:v>
      </x:c>
      <x:c r="H5" s="14" t="str">
        <x:v>Building systems, utility interfaces and adaptive interiors</x:v>
      </x:c>
      <x:c r="I5" s="14" t="str">
        <x:v>Inspection delay, shared utility ancestry or unavailable owners defeats release</x:v>
      </x:c>
      <x:c r="J5" s="34" t="str">
        <x:v>ENTER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88" customHeight="1">
      <x:c r="A6" s="2"/>
      <x:c r="B6" s="2"/>
      <x:c r="C6" s="2" t="str">
        <x:v>PR-B</x:v>
      </x:c>
      <x:c r="D6" s="14" t="str">
        <x:v>Deployable occupied district</x:v>
      </x:c>
      <x:c r="E6" s="14" t="str">
        <x:v>Transported climate-safe structures and cellular service islands</x:v>
      </x:c>
      <x:c r="F6" s="14" t="str">
        <x:v>High mobile share; receiver ground and authority remain required</x:v>
      </x:c>
      <x:c r="G6" s="14" t="str">
        <x:v>Structure, floor, energy, water, sanitation, food, access, movement and reset deploy together</x:v>
      </x:c>
      <x:c r="H6" s="14" t="str">
        <x:v>Advanced textiles, cellular structures and mobile metabolism systems</x:v>
      </x:c>
      <x:c r="I6" s="14" t="str">
        <x:v>Mass, volume, installation labor, weather or residuals miss the 168-hour service</x:v>
      </x:c>
      <x:c r="J6" s="34" t="str">
        <x:v>ENTER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88" customHeight="1">
      <x:c r="A7" s="2"/>
      <x:c r="B7" s="2"/>
      <x:c r="C7" s="2" t="str">
        <x:v>PR-C</x:v>
      </x:c>
      <x:c r="D7" s="14" t="str">
        <x:v>Hybrid civic-metabolism lattice</x:v>
      </x:c>
      <x:c r="E7" s="14" t="str">
        <x:v>Prepared service spines accept interchangeable occupied and production cells</x:v>
      </x:c>
      <x:c r="F7" s="14" t="str">
        <x:v>Balanced fixed/mobile boundary with role reversal</x:v>
      </x:c>
      <x:c r="G7" s="14" t="str">
        <x:v>Each district can HOLD or RECEIVE after one cell loss without a proprietary controller</x:v>
      </x:c>
      <x:c r="H7" s="14" t="str">
        <x:v>Open service spines, local production and interchangeable cells</x:v>
      </x:c>
      <x:c r="I7" s="14" t="str">
        <x:v>Shared spine or control failure removes several districts or blocks unlike suppliers</x:v>
      </x:c>
      <x:c r="J7" s="34" t="str">
        <x:v>ENTER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88" customHeight="1">
      <x:c r="A8" s="2"/>
      <x:c r="B8" s="2"/>
      <x:c r="C8" s="2" t="str">
        <x:v>PR-D</x:v>
      </x:c>
      <x:c r="D8" s="14" t="str">
        <x:v>Robotic local-conversion network</x:v>
      </x:c>
      <x:c r="E8" s="14" t="str">
        <x:v>Survey and construction systems convert damaged ordinary buildings and parcels</x:v>
      </x:c>
      <x:c r="F8" s="14" t="str">
        <x:v>Low stored structure; high conversion and repair capacity</x:v>
      </x:c>
      <x:c r="G8" s="14" t="str">
        <x:v>Robots, materials, inspection, lifelines, accessibility, refuge and transition are one system</x:v>
      </x:c>
      <x:c r="H8" s="14" t="str">
        <x:v>Construction robotics, local manufacturing and machine-readable assurance</x:v>
      </x:c>
      <x:c r="I8" s="14" t="str">
        <x:v>Conversion rate transfers risk to workers or occupants, or an uninhabitable origin cannot be bypassed</x:v>
      </x:c>
      <x:c r="J8" s="34" t="str">
        <x:v>ENTER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2" hidden="0" customWidth="1"/>
    <x:col min="5" max="5" width="19" hidden="0" customWidth="1"/>
    <x:col min="6" max="6" width="45" hidden="0" customWidth="1"/>
    <x:col min="7" max="7" width="45" hidden="0" customWidth="1"/>
    <x:col min="8" max="8" width="50" hidden="0" customWidth="1"/>
    <x:col min="9" max="9" width="45" hidden="0" customWidth="1"/>
    <x:col min="10" max="10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Representative denial worlds</x:v>
      </x:c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World</x:v>
      </x:c>
      <x:c r="D4" s="21" t="str">
        <x:v>Denied condition</x:v>
      </x:c>
      <x:c r="E4" s="21" t="str">
        <x:v>Primary states</x:v>
      </x:c>
      <x:c r="F4" s="21" t="str">
        <x:v>Physical challenge</x:v>
      </x:c>
      <x:c r="G4" s="21" t="str">
        <x:v>Human-continuity challenge</x:v>
      </x:c>
      <x:c r="H4" s="21" t="str">
        <x:v>Required result</x:v>
      </x:c>
      <x:c r="I4" s="21" t="str">
        <x:v>Invalidity boundary</x:v>
      </x:c>
      <x:c r="J4" s="13" t="str">
        <x:v>Adverse result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62" customHeight="1">
      <x:c r="A5" s="2"/>
      <x:c r="B5" s="2"/>
      <x:c r="C5" s="2" t="str">
        <x:v>W00</x:v>
      </x:c>
      <x:c r="D5" s="14" t="str">
        <x:v>Complete reference services</x:v>
      </x:c>
      <x:c r="E5" s="14" t="str">
        <x:v>ALL</x:v>
      </x:c>
      <x:c r="F5" s="14" t="str">
        <x:v>Nominal assigned origin and receiver</x:v>
      </x:c>
      <x:c r="G5" s="14" t="str">
        <x:v>Representative household bundles</x:v>
      </x:c>
      <x:c r="H5" s="14" t="str">
        <x:v>Both routes close through reset</x:v>
      </x:c>
      <x:c r="I5" s="14" t="str">
        <x:v>Missing required measurement or release authority</x:v>
      </x:c>
      <x:c r="J5" s="14" t="str">
        <x:v>Any incomplete stage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62" customHeight="1">
      <x:c r="A6" s="2"/>
      <x:c r="B6" s="2"/>
      <x:c r="C6" s="2" t="str">
        <x:v>W01</x:v>
      </x:c>
      <x:c r="D6" s="14" t="str">
        <x:v>Grid and fuel-delivery interruption</x:v>
      </x:c>
      <x:c r="E6" s="14" t="str">
        <x:v>HOLD/RECEIVE</x:v>
      </x:c>
      <x:c r="F6" s="14" t="str">
        <x:v>168-hour black start and islanded service</x:v>
      </x:c>
      <x:c r="G6" s="14" t="str">
        <x:v>Medical devices, thermal safety and food continuity</x:v>
      </x:c>
      <x:c r="H6" s="14" t="str">
        <x:v>No false service state; safe load shedding</x:v>
      </x:c>
      <x:c r="I6" s="14" t="str">
        <x:v>Uncommanded public protective action</x:v>
      </x:c>
      <x:c r="J6" s="14" t="str">
        <x:v>Loss of a protected service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62" customHeight="1">
      <x:c r="A7" s="2"/>
      <x:c r="B7" s="2"/>
      <x:c r="C7" s="2" t="str">
        <x:v>W02</x:v>
      </x:c>
      <x:c r="D7" s="14" t="str">
        <x:v>Water and sewer unavailable</x:v>
      </x:c>
      <x:c r="E7" s="14" t="str">
        <x:v>HOLD/RECEIVE</x:v>
      </x:c>
      <x:c r="F7" s="14" t="str">
        <x:v>Local water, hygiene and residual custody</x:v>
      </x:c>
      <x:c r="G7" s="14" t="str">
        <x:v>Medication, nutrition and accessible sanitation</x:v>
      </x:c>
      <x:c r="H7" s="14" t="str">
        <x:v>Safe point-of-use service and controlled residuals</x:v>
      </x:c>
      <x:c r="I7" s="14" t="str">
        <x:v>Unmeasured imported or discharged flow</x:v>
      </x:c>
      <x:c r="J7" s="14" t="str">
        <x:v>Unsafe issue or uncontrolled residual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62" customHeight="1">
      <x:c r="A8" s="2"/>
      <x:c r="B8" s="2"/>
      <x:c r="C8" s="2" t="str">
        <x:v>W03</x:v>
      </x:c>
      <x:c r="D8" s="14" t="str">
        <x:v>Extreme heat with smoke</x:v>
      </x:c>
      <x:c r="E8" s="14" t="str">
        <x:v>HOLD/RECEIVE</x:v>
      </x:c>
      <x:c r="F8" s="14" t="str">
        <x:v>Thermal and clean-air zone loss</x:v>
      </x:c>
      <x:c r="G8" s="14" t="str">
        <x:v>High-risk occupants and worker endurance</x:v>
      </x:c>
      <x:c r="H8" s="14" t="str">
        <x:v>Priority zones remain safe and accessible</x:v>
      </x:c>
      <x:c r="I8" s="14" t="str">
        <x:v>Hazard exceeds registered boundary</x:v>
      </x:c>
      <x:c r="J8" s="14" t="str">
        <x:v>Unsafe exposure or exclusion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62" customHeight="1">
      <x:c r="A9" s="2"/>
      <x:c r="B9" s="2"/>
      <x:c r="C9" s="2" t="str">
        <x:v>W04</x:v>
      </x:c>
      <x:c r="D9" s="14" t="str">
        <x:v>Flooded approaches and standing water</x:v>
      </x:c>
      <x:c r="E9" s="14" t="str">
        <x:v>HOLD/BRIDGE</x:v>
      </x:c>
      <x:c r="F9" s="14" t="str">
        <x:v>Site drainage, access and local transport</x:v>
      </x:c>
      <x:c r="G9" s="14" t="str">
        <x:v>Wheelchairs, devices, caregivers and animals</x:v>
      </x:c>
      <x:c r="H9" s="14" t="str">
        <x:v>Safe remain or complete accessible move</x:v>
      </x:c>
      <x:c r="I9" s="14" t="str">
        <x:v>Unregistered external rescue substitutes</x:v>
      </x:c>
      <x:c r="J9" s="14" t="str">
        <x:v>Stranded or separated household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62" customHeight="1">
      <x:c r="A10" s="2"/>
      <x:c r="B10" s="2"/>
      <x:c r="C10" s="2" t="str">
        <x:v>W05</x:v>
      </x:c>
      <x:c r="D10" s="14" t="str">
        <x:v>Aftershock or structural damage</x:v>
      </x:c>
      <x:c r="E10" s="14" t="str">
        <x:v>ALL</x:v>
      </x:c>
      <x:c r="F10" s="14" t="str">
        <x:v>One occupied cell and one access path removed</x:v>
      </x:c>
      <x:c r="G10" s="14" t="str">
        <x:v>Rapid reassessment and relocation</x:v>
      </x:c>
      <x:c r="H10" s="14" t="str">
        <x:v>No unsafe occupancy; affected bundle re-homed</x:v>
      </x:c>
      <x:c r="I10" s="14" t="str">
        <x:v>Damage state cannot be independently reconstructed</x:v>
      </x:c>
      <x:c r="J10" s="14" t="str">
        <x:v>False-safe release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62" customHeight="1">
      <x:c r="A11" s="2"/>
      <x:c r="B11" s="2"/>
      <x:c r="C11" s="2" t="str">
        <x:v>W06</x:v>
      </x:c>
      <x:c r="D11" s="14" t="str">
        <x:v>No cloud, GNSS or backhaul</x:v>
      </x:c>
      <x:c r="E11" s="14" t="str">
        <x:v>ALL</x:v>
      </x:c>
      <x:c r="F11" s="14" t="str">
        <x:v>Local control, navigation and evidence</x:v>
      </x:c>
      <x:c r="G11" s="14" t="str">
        <x:v>Conflicting identity and stale receiver state</x:v>
      </x:c>
      <x:c r="H11" s="14" t="str">
        <x:v>Correctable route closure without central service</x:v>
      </x:c>
      <x:c r="I11" s="14" t="str">
        <x:v>Hidden intact network or central identity</x:v>
      </x:c>
      <x:c r="J11" s="14" t="str">
        <x:v>False match or untraceable handoff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62" customHeight="1">
      <x:c r="A12" s="2"/>
      <x:c r="B12" s="2"/>
      <x:c r="C12" s="2" t="str">
        <x:v>W07</x:v>
      </x:c>
      <x:c r="D12" s="14" t="str">
        <x:v>Caregiver, device or medicine misroute</x:v>
      </x:c>
      <x:c r="E12" s="14" t="str">
        <x:v>BRIDGE/RECEIVE</x:v>
      </x:c>
      <x:c r="F12" s="14" t="str">
        <x:v>Physical custody and retrieval challenge</x:v>
      </x:c>
      <x:c r="G12" s="14" t="str">
        <x:v>Relationship and therapy continuity</x:v>
      </x:c>
      <x:c r="H12" s="14" t="str">
        <x:v>Bundle reunified before served credit</x:v>
      </x:c>
      <x:c r="I12" s="14" t="str">
        <x:v>Seeded item was not actually controlled</x:v>
      </x:c>
      <x:c r="J12" s="14" t="str">
        <x:v>Person delivered without essential support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62" customHeight="1">
      <x:c r="A13" s="2"/>
      <x:c r="B13" s="2"/>
      <x:c r="C13" s="2" t="str">
        <x:v>W08</x:v>
      </x:c>
      <x:c r="D13" s="14" t="str">
        <x:v>Receiver withdraws acceptance</x:v>
      </x:c>
      <x:c r="E13" s="14" t="str">
        <x:v>BRIDGE</x:v>
      </x:c>
      <x:c r="F13" s="14" t="str">
        <x:v>Safe stop, reassignment and alternate service</x:v>
      </x:c>
      <x:c r="G13" s="14" t="str">
        <x:v>Consent, authority and waiting support</x:v>
      </x:c>
      <x:c r="H13" s="14" t="str">
        <x:v>No dispatch to unavailable service</x:v>
      </x:c>
      <x:c r="I13" s="14" t="str">
        <x:v>Withdrawal not issued through independent authority</x:v>
      </x:c>
      <x:c r="J13" s="14" t="str">
        <x:v>Stranded movement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62" customHeight="1">
      <x:c r="A14" s="2"/>
      <x:c r="B14" s="2"/>
      <x:c r="C14" s="2" t="str">
        <x:v>W09</x:v>
      </x:c>
      <x:c r="D14" s="14" t="str">
        <x:v>Food and hygiene supply interruption</x:v>
      </x:c>
      <x:c r="E14" s="14" t="str">
        <x:v>HOLD/RECEIVE</x:v>
      </x:c>
      <x:c r="F14" s="14" t="str">
        <x:v>Local finishing, substitution and waste closure</x:v>
      </x:c>
      <x:c r="G14" s="14" t="str">
        <x:v>Allergy, culture, nutrition and refusal</x:v>
      </x:c>
      <x:c r="H14" s="14" t="str">
        <x:v>Accepted service for 168 hours</x:v>
      </x:c>
      <x:c r="I14" s="14" t="str">
        <x:v>Unregistered resupply enters boundary</x:v>
      </x:c>
      <x:c r="J14" s="14" t="str">
        <x:v>Nominal calories with unacceptable service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62" customHeight="1">
      <x:c r="A15" s="2"/>
      <x:c r="B15" s="2"/>
      <x:c r="C15" s="2" t="str">
        <x:v>W10</x:v>
      </x:c>
      <x:c r="D15" s="14" t="str">
        <x:v>One district service cell and one workforce shift lost</x:v>
      </x:c>
      <x:c r="E15" s="14" t="str">
        <x:v>ALL</x:v>
      </x:c>
      <x:c r="F15" s="14" t="str">
        <x:v>Sectional isolation and qualified relief</x:v>
      </x:c>
      <x:c r="G15" s="14" t="str">
        <x:v>Continuity during staff transition</x:v>
      </x:c>
      <x:c r="H15" s="14" t="str">
        <x:v>Both routes remain complete</x:v>
      </x:c>
      <x:c r="I15" s="14" t="str">
        <x:v>Loss not maintained for declared interval</x:v>
      </x:c>
      <x:c r="J15" s="14" t="str">
        <x:v>Hidden reserve or fatigue failure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62" customHeight="1">
      <x:c r="A16" s="2"/>
      <x:c r="B16" s="2"/>
      <x:c r="C16" s="2" t="str">
        <x:v>W11</x:v>
      </x:c>
      <x:c r="D16" s="14" t="str">
        <x:v>Origin uninhabitable, receiver cell lost, resupply delayed</x:v>
      </x:c>
      <x:c r="E16" s="14" t="str">
        <x:v>ALL</x:v>
      </x:c>
      <x:c r="F16" s="14" t="str">
        <x:v>Compound role reversal and reduced receiving service</x:v>
      </x:c>
      <x:c r="G16" s="14" t="str">
        <x:v>Highest-burden bundles allocated first</x:v>
      </x:c>
      <x:c r="H16" s="14" t="str">
        <x:v>Complete relocation, supported stay and reset</x:v>
      </x:c>
      <x:c r="I16" s="14" t="str">
        <x:v>Scenario boundary violated or relief arrives early</x:v>
      </x:c>
      <x:c r="J16" s="14" t="str">
        <x:v>Any stage fails or burden is displaced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80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2" hidden="0" customWidth="1"/>
    <x:col min="10" max="10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Representative campaign population</x:v>
      </x:c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Campaign measure</x:v>
      </x:c>
      <x:c r="D4" s="13" t="str">
        <x:v>Result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5" t="str">
        <x:v>Roots</x:v>
      </x:c>
      <x:c r="D5" s="23" t="n">
        <x:f>Controls!D11</x:f>
        <x:v>4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5" t="str">
        <x:v>Independent sites</x:v>
      </x:c>
      <x:c r="D6" s="23" t="n">
        <x:f>Controls!D12</x:f>
        <x:v>3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5" t="str">
        <x:v>Denial worlds</x:v>
      </x:c>
      <x:c r="D7" s="23" t="n">
        <x:f>Controls!D13</x:f>
        <x:v>12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5" t="str">
        <x:v>Complete missions</x:v>
      </x:c>
      <x:c r="D8" s="23" t="n">
        <x:f>D5*D6*D7*Controls!D14</x:f>
        <x:v>288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5" t="str">
        <x:v>Route-stage decisions</x:v>
      </x:c>
      <x:c r="D9" s="23" t="n">
        <x:f>D8*Controls!D17*Controls!D18</x:f>
        <x:v>4032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5" t="str">
        <x:v>Person-mission equivalents</x:v>
      </x:c>
      <x:c r="D10" s="23" t="n">
        <x:f>D8*Controls!D9</x:f>
        <x:v>288000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5" t="str">
        <x:v>Operating district articles</x:v>
      </x:c>
      <x:c r="D11" s="23" t="n">
        <x:f>Controls!G13</x:f>
        <x:v>24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6" t="str">
        <x:v>Protected reference articles</x:v>
      </x:c>
      <x:c r="D12" s="23" t="n">
        <x:f>Controls!G14</x:f>
        <x:v>12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12" t="str">
        <x:v>Root</x:v>
      </x:c>
      <x:c r="D15" s="21" t="str">
        <x:v>Site</x:v>
      </x:c>
      <x:c r="E15" s="21" t="str">
        <x:v>Operating origin</x:v>
      </x:c>
      <x:c r="F15" s="21" t="str">
        <x:v>Operating receiver</x:v>
      </x:c>
      <x:c r="G15" s="21" t="str">
        <x:v>Protected reference</x:v>
      </x:c>
      <x:c r="H15" s="21" t="str">
        <x:v>Total articles</x:v>
      </x:c>
      <x:c r="I15" s="21" t="str">
        <x:v>Worlds</x:v>
      </x:c>
      <x:c r="J15" s="13" t="str">
        <x:v>Directions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 t="str">
        <x:v>PR-A</x:v>
      </x:c>
      <x:c r="D16" s="2" t="str">
        <x:v>SITE-1</x:v>
      </x:c>
      <x:c r="E16" s="23" t="n">
        <x:f>Controls!D15/2</x:f>
        <x:v>1</x:v>
      </x:c>
      <x:c r="F16" s="23" t="n">
        <x:f>Controls!D15/2</x:f>
        <x:v>1</x:v>
      </x:c>
      <x:c r="G16" s="23" t="n">
        <x:f>Controls!D16</x:f>
        <x:v>1</x:v>
      </x:c>
      <x:c r="H16" s="23" t="n">
        <x:f>SUM(E16:G16)</x:f>
        <x:v>3</x:v>
      </x:c>
      <x:c r="I16" s="23" t="n">
        <x:f>Controls!D13</x:f>
        <x:v>12</x:v>
      </x:c>
      <x:c r="J16" s="23" t="n">
        <x:f>Controls!D14</x:f>
        <x:v>2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 t="str">
        <x:v>PR-A</x:v>
      </x:c>
      <x:c r="D17" s="2" t="str">
        <x:v>SITE-2</x:v>
      </x:c>
      <x:c r="E17" s="23" t="n">
        <x:f>Controls!D15/2</x:f>
        <x:v>1</x:v>
      </x:c>
      <x:c r="F17" s="23" t="n">
        <x:f>Controls!D15/2</x:f>
        <x:v>1</x:v>
      </x:c>
      <x:c r="G17" s="23" t="n">
        <x:f>Controls!D16</x:f>
        <x:v>1</x:v>
      </x:c>
      <x:c r="H17" s="23" t="n">
        <x:f>SUM(E17:G17)</x:f>
        <x:v>3</x:v>
      </x:c>
      <x:c r="I17" s="23" t="n">
        <x:f>Controls!D13</x:f>
        <x:v>12</x:v>
      </x:c>
      <x:c r="J17" s="23" t="n">
        <x:f>Controls!D14</x:f>
        <x:v>2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 t="str">
        <x:v>PR-A</x:v>
      </x:c>
      <x:c r="D18" s="2" t="str">
        <x:v>SITE-3</x:v>
      </x:c>
      <x:c r="E18" s="23" t="n">
        <x:f>Controls!D15/2</x:f>
        <x:v>1</x:v>
      </x:c>
      <x:c r="F18" s="23" t="n">
        <x:f>Controls!D15/2</x:f>
        <x:v>1</x:v>
      </x:c>
      <x:c r="G18" s="23" t="n">
        <x:f>Controls!D16</x:f>
        <x:v>1</x:v>
      </x:c>
      <x:c r="H18" s="23" t="n">
        <x:f>SUM(E18:G18)</x:f>
        <x:v>3</x:v>
      </x:c>
      <x:c r="I18" s="23" t="n">
        <x:f>Controls!D13</x:f>
        <x:v>12</x:v>
      </x:c>
      <x:c r="J18" s="23" t="n">
        <x:f>Controls!D14</x:f>
        <x:v>2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 t="str">
        <x:v>PR-B</x:v>
      </x:c>
      <x:c r="D19" s="2" t="str">
        <x:v>SITE-1</x:v>
      </x:c>
      <x:c r="E19" s="23" t="n">
        <x:f>Controls!D15/2</x:f>
        <x:v>1</x:v>
      </x:c>
      <x:c r="F19" s="23" t="n">
        <x:f>Controls!D15/2</x:f>
        <x:v>1</x:v>
      </x:c>
      <x:c r="G19" s="23" t="n">
        <x:f>Controls!D16</x:f>
        <x:v>1</x:v>
      </x:c>
      <x:c r="H19" s="23" t="n">
        <x:f>SUM(E19:G19)</x:f>
        <x:v>3</x:v>
      </x:c>
      <x:c r="I19" s="23" t="n">
        <x:f>Controls!D13</x:f>
        <x:v>12</x:v>
      </x:c>
      <x:c r="J19" s="23" t="n">
        <x:f>Controls!D14</x:f>
        <x:v>2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 t="str">
        <x:v>PR-B</x:v>
      </x:c>
      <x:c r="D20" s="2" t="str">
        <x:v>SITE-2</x:v>
      </x:c>
      <x:c r="E20" s="23" t="n">
        <x:f>Controls!D15/2</x:f>
        <x:v>1</x:v>
      </x:c>
      <x:c r="F20" s="23" t="n">
        <x:f>Controls!D15/2</x:f>
        <x:v>1</x:v>
      </x:c>
      <x:c r="G20" s="23" t="n">
        <x:f>Controls!D16</x:f>
        <x:v>1</x:v>
      </x:c>
      <x:c r="H20" s="23" t="n">
        <x:f>SUM(E20:G20)</x:f>
        <x:v>3</x:v>
      </x:c>
      <x:c r="I20" s="23" t="n">
        <x:f>Controls!D13</x:f>
        <x:v>12</x:v>
      </x:c>
      <x:c r="J20" s="23" t="n">
        <x:f>Controls!D14</x:f>
        <x:v>2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 t="str">
        <x:v>PR-B</x:v>
      </x:c>
      <x:c r="D21" s="2" t="str">
        <x:v>SITE-3</x:v>
      </x:c>
      <x:c r="E21" s="23" t="n">
        <x:f>Controls!D15/2</x:f>
        <x:v>1</x:v>
      </x:c>
      <x:c r="F21" s="23" t="n">
        <x:f>Controls!D15/2</x:f>
        <x:v>1</x:v>
      </x:c>
      <x:c r="G21" s="23" t="n">
        <x:f>Controls!D16</x:f>
        <x:v>1</x:v>
      </x:c>
      <x:c r="H21" s="23" t="n">
        <x:f>SUM(E21:G21)</x:f>
        <x:v>3</x:v>
      </x:c>
      <x:c r="I21" s="23" t="n">
        <x:f>Controls!D13</x:f>
        <x:v>12</x:v>
      </x:c>
      <x:c r="J21" s="23" t="n">
        <x:f>Controls!D14</x:f>
        <x:v>2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 t="str">
        <x:v>PR-C</x:v>
      </x:c>
      <x:c r="D22" s="2" t="str">
        <x:v>SITE-1</x:v>
      </x:c>
      <x:c r="E22" s="23" t="n">
        <x:f>Controls!D15/2</x:f>
        <x:v>1</x:v>
      </x:c>
      <x:c r="F22" s="23" t="n">
        <x:f>Controls!D15/2</x:f>
        <x:v>1</x:v>
      </x:c>
      <x:c r="G22" s="23" t="n">
        <x:f>Controls!D16</x:f>
        <x:v>1</x:v>
      </x:c>
      <x:c r="H22" s="23" t="n">
        <x:f>SUM(E22:G22)</x:f>
        <x:v>3</x:v>
      </x:c>
      <x:c r="I22" s="23" t="n">
        <x:f>Controls!D13</x:f>
        <x:v>12</x:v>
      </x:c>
      <x:c r="J22" s="23" t="n">
        <x:f>Controls!D14</x:f>
        <x:v>2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 t="str">
        <x:v>PR-C</x:v>
      </x:c>
      <x:c r="D23" s="2" t="str">
        <x:v>SITE-2</x:v>
      </x:c>
      <x:c r="E23" s="23" t="n">
        <x:f>Controls!D15/2</x:f>
        <x:v>1</x:v>
      </x:c>
      <x:c r="F23" s="23" t="n">
        <x:f>Controls!D15/2</x:f>
        <x:v>1</x:v>
      </x:c>
      <x:c r="G23" s="23" t="n">
        <x:f>Controls!D16</x:f>
        <x:v>1</x:v>
      </x:c>
      <x:c r="H23" s="23" t="n">
        <x:f>SUM(E23:G23)</x:f>
        <x:v>3</x:v>
      </x:c>
      <x:c r="I23" s="23" t="n">
        <x:f>Controls!D13</x:f>
        <x:v>12</x:v>
      </x:c>
      <x:c r="J23" s="23" t="n">
        <x:f>Controls!D14</x:f>
        <x:v>2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 t="str">
        <x:v>PR-C</x:v>
      </x:c>
      <x:c r="D24" s="2" t="str">
        <x:v>SITE-3</x:v>
      </x:c>
      <x:c r="E24" s="23" t="n">
        <x:f>Controls!D15/2</x:f>
        <x:v>1</x:v>
      </x:c>
      <x:c r="F24" s="23" t="n">
        <x:f>Controls!D15/2</x:f>
        <x:v>1</x:v>
      </x:c>
      <x:c r="G24" s="23" t="n">
        <x:f>Controls!D16</x:f>
        <x:v>1</x:v>
      </x:c>
      <x:c r="H24" s="23" t="n">
        <x:f>SUM(E24:G24)</x:f>
        <x:v>3</x:v>
      </x:c>
      <x:c r="I24" s="23" t="n">
        <x:f>Controls!D13</x:f>
        <x:v>12</x:v>
      </x:c>
      <x:c r="J24" s="23" t="n">
        <x:f>Controls!D14</x:f>
        <x:v>2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 t="str">
        <x:v>PR-D</x:v>
      </x:c>
      <x:c r="D25" s="2" t="str">
        <x:v>SITE-1</x:v>
      </x:c>
      <x:c r="E25" s="23" t="n">
        <x:f>Controls!D15/2</x:f>
        <x:v>1</x:v>
      </x:c>
      <x:c r="F25" s="23" t="n">
        <x:f>Controls!D15/2</x:f>
        <x:v>1</x:v>
      </x:c>
      <x:c r="G25" s="23" t="n">
        <x:f>Controls!D16</x:f>
        <x:v>1</x:v>
      </x:c>
      <x:c r="H25" s="23" t="n">
        <x:f>SUM(E25:G25)</x:f>
        <x:v>3</x:v>
      </x:c>
      <x:c r="I25" s="23" t="n">
        <x:f>Controls!D13</x:f>
        <x:v>12</x:v>
      </x:c>
      <x:c r="J25" s="23" t="n">
        <x:f>Controls!D14</x:f>
        <x:v>2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 t="str">
        <x:v>PR-D</x:v>
      </x:c>
      <x:c r="D26" s="2" t="str">
        <x:v>SITE-2</x:v>
      </x:c>
      <x:c r="E26" s="23" t="n">
        <x:f>Controls!D15/2</x:f>
        <x:v>1</x:v>
      </x:c>
      <x:c r="F26" s="23" t="n">
        <x:f>Controls!D15/2</x:f>
        <x:v>1</x:v>
      </x:c>
      <x:c r="G26" s="23" t="n">
        <x:f>Controls!D16</x:f>
        <x:v>1</x:v>
      </x:c>
      <x:c r="H26" s="23" t="n">
        <x:f>SUM(E26:G26)</x:f>
        <x:v>3</x:v>
      </x:c>
      <x:c r="I26" s="23" t="n">
        <x:f>Controls!D13</x:f>
        <x:v>12</x:v>
      </x:c>
      <x:c r="J26" s="23" t="n">
        <x:f>Controls!D14</x:f>
        <x:v>2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 t="str">
        <x:v>PR-D</x:v>
      </x:c>
      <x:c r="D27" s="2" t="str">
        <x:v>SITE-3</x:v>
      </x:c>
      <x:c r="E27" s="23" t="n">
        <x:f>Controls!D15/2</x:f>
        <x:v>1</x:v>
      </x:c>
      <x:c r="F27" s="23" t="n">
        <x:f>Controls!D15/2</x:f>
        <x:v>1</x:v>
      </x:c>
      <x:c r="G27" s="23" t="n">
        <x:f>Controls!D16</x:f>
        <x:v>1</x:v>
      </x:c>
      <x:c r="H27" s="23" t="n">
        <x:f>SUM(E27:G27)</x:f>
        <x:v>3</x:v>
      </x:c>
      <x:c r="I27" s="23" t="n">
        <x:f>Controls!D13</x:f>
        <x:v>12</x:v>
      </x:c>
      <x:c r="J27" s="23" t="n">
        <x:f>Controls!D14</x:f>
        <x:v>2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6" t="str">
        <x:v>Total</x:v>
      </x:c>
      <x:c r="D28" s="26"/>
      <x:c r="E28" s="29" t="n">
        <x:f>SUM(E16:E27)</x:f>
        <x:v>12</x:v>
      </x:c>
      <x:c r="F28" s="29" t="n">
        <x:f>SUM(F16:F27)</x:f>
        <x:v>12</x:v>
      </x:c>
      <x:c r="G28" s="29" t="n">
        <x:f>SUM(G16:G27)</x:f>
        <x:v>12</x:v>
      </x:c>
      <x:c r="H28" s="29" t="n">
        <x:f>SUM(H16:H27)</x:f>
        <x:v>36</x:v>
      </x:c>
      <x:c r="I28" s="29"/>
      <x:c r="J28" s="2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12" t="str">
        <x:v>Rule</x:v>
      </x:c>
      <x:c r="D31" s="13" t="str">
        <x:v>Consequence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 t="str">
        <x:v>Protected references never operate missions</x:v>
      </x:c>
      <x:c r="D32" s="14" t="str">
        <x:v>They support measurement, destructive work, forensic reconstruction and invalid-attempt replacement only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 t="str">
        <x:v>Invalid attempts remain visible</x:v>
      </x:c>
      <x:c r="D33" s="14" t="str">
        <x:v>A reserve token may replace an independently invalid trial but cannot erase a valid adverse result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 t="str">
        <x:v>Occupied phases require independent release</x:v>
      </x:c>
      <x:c r="D34" s="14" t="str">
        <x:v>Hazardous stimulus uses surrogates until structure, environment, utilities and civil authority release human occupation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 t="str">
        <x:v>Role directions reverse</x:v>
      </x:c>
      <x:c r="D35" s="14" t="str">
        <x:v>Each operating pair must swap origin and receiver duties without a new system boundary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 t="str">
        <x:v>No root selection</x:v>
      </x:c>
      <x:c r="D36" s="14" t="str">
        <x:v>Campaign constitution admits four roots and zero operational capacity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4" hidden="0" customWidth="1"/>
    <x:col min="4" max="4" width="43" hidden="0" customWidth="1"/>
    <x:col min="5" max="5" width="58" hidden="0" customWidth="1"/>
    <x:col min="6" max="6" width="54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  <x:col min="11" max="11" width="18" hidden="0" customWidth="1"/>
    <x:col min="12" max="12" width="22" hidden="0" customWidth="1"/>
    <x:col min="13" max="13" width="18" hidden="0" customWidth="1"/>
    <x:col min="14" max="14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Physical technology tranche and cost-class crosswalk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8" t="str">
        <x:v>Five inherited programs fund one complete physical campaign. Cost classes are an alternative view of the same USD 63.8B, not additional money.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Program</x:v>
      </x:c>
      <x:c r="D4" s="21" t="str">
        <x:v>Problem field</x:v>
      </x:c>
      <x:c r="E4" s="21" t="str">
        <x:v>Binding coefficient</x:v>
      </x:c>
      <x:c r="F4" s="21" t="str">
        <x:v>Campaign role</x:v>
      </x:c>
      <x:c r="G4" s="21" t="str">
        <x:v>Allocation (USD B)</x:v>
      </x:c>
      <x:c r="H4" s="21" t="str">
        <x:v>Contract / rights / measurement</x:v>
      </x:c>
      <x:c r="I4" s="21" t="str">
        <x:v>Four-root science</x:v>
      </x:c>
      <x:c r="J4" s="21" t="str">
        <x:v>Full-scale articles and sites</x:v>
      </x:c>
      <x:c r="K4" s="21" t="str">
        <x:v>Denial campaign</x:v>
      </x:c>
      <x:c r="L4" s="21" t="str">
        <x:v>Industrial reproduction</x:v>
      </x:c>
      <x:c r="M4" s="21" t="str">
        <x:v>Failure reserve</x:v>
      </x:c>
      <x:c r="N4" s="13" t="str">
        <x:v>Total by cost class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56" customHeight="1">
      <x:c r="A5" s="2"/>
      <x:c r="B5" s="2"/>
      <x:c r="C5" s="2" t="str">
        <x:v>HU-03A</x:v>
      </x:c>
      <x:c r="D5" s="14" t="str">
        <x:v>Occupied-environment metabolism</x:v>
      </x:c>
      <x:c r="E5" s="14" t="str">
        <x:v>Safe person-days per tonne and worker-hour through heat, cold, smoke and utility loss</x:v>
      </x:c>
      <x:c r="F5" s="14" t="str">
        <x:v>Occupied environment, service metabolism and conversion</x:v>
      </x:c>
      <x:c r="G5" s="27" t="n">
        <x:v>12.75848012414501</x:v>
      </x:c>
      <x:c r="H5" s="27" t="n">
        <x:f>$G5*0.08</x:f>
        <x:v>1.0206784099316009</x:v>
      </x:c>
      <x:c r="I5" s="27" t="n">
        <x:f>$G5*0.2</x:f>
        <x:v>2.551696024829002</x:v>
      </x:c>
      <x:c r="J5" s="27" t="n">
        <x:f>$G5*0.3</x:f>
        <x:v>3.8275440372435026</x:v>
      </x:c>
      <x:c r="K5" s="27" t="n">
        <x:f>$G5*0.18</x:f>
        <x:v>2.2965264223461017</x:v>
      </x:c>
      <x:c r="L5" s="27" t="n">
        <x:f>$G5*0.16</x:f>
        <x:v>2.0413568198632017</x:v>
      </x:c>
      <x:c r="M5" s="27" t="n">
        <x:f>$G5*0.08</x:f>
        <x:v>1.0206784099316009</x:v>
      </x:c>
      <x:c r="N5" s="27" t="n">
        <x:f>SUM(H5:M5)</x:f>
        <x:v>12.75848012414501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56" customHeight="1">
      <x:c r="A6" s="2"/>
      <x:c r="B6" s="2"/>
      <x:c r="C6" s="2" t="str">
        <x:v>HU-03B</x:v>
      </x:c>
      <x:c r="D6" s="14" t="str">
        <x:v>Food, hygiene and essential-goods service</x:v>
      </x:c>
      <x:c r="E6" s="14" t="str">
        <x:v>Accepted person-days per logistics tonne, water unit and worker-hour</x:v>
      </x:c>
      <x:c r="F6" s="14" t="str">
        <x:v>Food, hygiene, essential goods and residual closure</x:v>
      </x:c>
      <x:c r="G6" s="27" t="n">
        <x:v>12.75848012414501</x:v>
      </x:c>
      <x:c r="H6" s="27" t="n">
        <x:f>$G6*0.08</x:f>
        <x:v>1.0206784099316009</x:v>
      </x:c>
      <x:c r="I6" s="27" t="n">
        <x:f>$G6*0.2</x:f>
        <x:v>2.551696024829002</x:v>
      </x:c>
      <x:c r="J6" s="27" t="n">
        <x:f>$G6*0.3</x:f>
        <x:v>3.8275440372435026</x:v>
      </x:c>
      <x:c r="K6" s="27" t="n">
        <x:f>$G6*0.18</x:f>
        <x:v>2.2965264223461017</x:v>
      </x:c>
      <x:c r="L6" s="27" t="n">
        <x:f>$G6*0.16</x:f>
        <x:v>2.0413568198632017</x:v>
      </x:c>
      <x:c r="M6" s="27" t="n">
        <x:f>$G6*0.08</x:f>
        <x:v>1.0206784099316009</x:v>
      </x:c>
      <x:c r="N6" s="27" t="n">
        <x:f>SUM(H6:M6)</x:f>
        <x:v>12.75848012414501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56" customHeight="1">
      <x:c r="A7" s="2"/>
      <x:c r="B7" s="2"/>
      <x:c r="C7" s="2" t="str">
        <x:v>HU-03C</x:v>
      </x:c>
      <x:c r="D7" s="14" t="str">
        <x:v>Accessible building and assistive support</x:v>
      </x:c>
      <x:c r="E7" s="14" t="str">
        <x:v>Occupied floors safely served per team-hour and carried tonne</x:v>
      </x:c>
      <x:c r="F7" s="14" t="str">
        <x:v>Accessible structure, vertical service and assistive support</x:v>
      </x:c>
      <x:c r="G7" s="27" t="n">
        <x:v>12.75848012414501</x:v>
      </x:c>
      <x:c r="H7" s="27" t="n">
        <x:f>$G7*0.08</x:f>
        <x:v>1.0206784099316009</x:v>
      </x:c>
      <x:c r="I7" s="27" t="n">
        <x:f>$G7*0.2</x:f>
        <x:v>2.551696024829002</x:v>
      </x:c>
      <x:c r="J7" s="27" t="n">
        <x:f>$G7*0.3</x:f>
        <x:v>3.8275440372435026</x:v>
      </x:c>
      <x:c r="K7" s="27" t="n">
        <x:f>$G7*0.18</x:f>
        <x:v>2.2965264223461017</x:v>
      </x:c>
      <x:c r="L7" s="27" t="n">
        <x:f>$G7*0.16</x:f>
        <x:v>2.0413568198632017</x:v>
      </x:c>
      <x:c r="M7" s="27" t="n">
        <x:f>$G7*0.08</x:f>
        <x:v>1.0206784099316009</x:v>
      </x:c>
      <x:c r="N7" s="27" t="n">
        <x:f>SUM(H7:M7)</x:f>
        <x:v>12.75848012414501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56" customHeight="1">
      <x:c r="A8" s="2"/>
      <x:c r="B8" s="2"/>
      <x:c r="C8" s="2" t="str">
        <x:v>HU-04B</x:v>
      </x:c>
      <x:c r="D8" s="14" t="str">
        <x:v>Continuity-preserving movement environment</x:v>
      </x:c>
      <x:c r="E8" s="14" t="str">
        <x:v>People and care bundles completing transfer per vehicle-hour without therapy, accessibility or custody break</x:v>
      </x:c>
      <x:c r="F8" s="14" t="str">
        <x:v>Continuity transport environment and bundle custody</x:v>
      </x:c>
      <x:c r="G8" s="27" t="n">
        <x:v>12.75848012414501</x:v>
      </x:c>
      <x:c r="H8" s="27" t="n">
        <x:f>$G8*0.08</x:f>
        <x:v>1.0206784099316009</x:v>
      </x:c>
      <x:c r="I8" s="27" t="n">
        <x:f>$G8*0.2</x:f>
        <x:v>2.551696024829002</x:v>
      </x:c>
      <x:c r="J8" s="27" t="n">
        <x:f>$G8*0.3</x:f>
        <x:v>3.8275440372435026</x:v>
      </x:c>
      <x:c r="K8" s="27" t="n">
        <x:f>$G8*0.18</x:f>
        <x:v>2.2965264223461017</x:v>
      </x:c>
      <x:c r="L8" s="27" t="n">
        <x:f>$G8*0.16</x:f>
        <x:v>2.0413568198632017</x:v>
      </x:c>
      <x:c r="M8" s="27" t="n">
        <x:f>$G8*0.08</x:f>
        <x:v>1.0206784099316009</x:v>
      </x:c>
      <x:c r="N8" s="27" t="n">
        <x:f>SUM(H8:M8)</x:f>
        <x:v>12.75848012414501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56" customHeight="1">
      <x:c r="A9" s="2"/>
      <x:c r="B9" s="2"/>
      <x:c r="C9" s="2" t="str">
        <x:v>HU-04C</x:v>
      </x:c>
      <x:c r="D9" s="14" t="str">
        <x:v>Receiver admission, return and transition</x:v>
      </x:c>
      <x:c r="E9" s="14" t="str">
        <x:v>Accepted and durably closed placements per receiver-worker-hour and occupied square metre</x:v>
      </x:c>
      <x:c r="F9" s="14" t="str">
        <x:v>Receiver admission, supported transition, return and reset</x:v>
      </x:c>
      <x:c r="G9" s="27" t="n">
        <x:v>12.75848012414501</x:v>
      </x:c>
      <x:c r="H9" s="27" t="n">
        <x:f>$G9*0.08</x:f>
        <x:v>1.0206784099316009</x:v>
      </x:c>
      <x:c r="I9" s="27" t="n">
        <x:f>$G9*0.2</x:f>
        <x:v>2.551696024829002</x:v>
      </x:c>
      <x:c r="J9" s="27" t="n">
        <x:f>$G9*0.3</x:f>
        <x:v>3.8275440372435026</x:v>
      </x:c>
      <x:c r="K9" s="27" t="n">
        <x:f>$G9*0.18</x:f>
        <x:v>2.2965264223461017</x:v>
      </x:c>
      <x:c r="L9" s="27" t="n">
        <x:f>$G9*0.16</x:f>
        <x:v>2.0413568198632017</x:v>
      </x:c>
      <x:c r="M9" s="27" t="n">
        <x:f>$G9*0.08</x:f>
        <x:v>1.0206784099316009</x:v>
      </x:c>
      <x:c r="N9" s="27" t="n">
        <x:f>SUM(H9:M9)</x:f>
        <x:v>12.75848012414501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6" t="str">
        <x:v>Total</x:v>
      </x:c>
      <x:c r="D10" s="26"/>
      <x:c r="E10" s="26"/>
      <x:c r="F10" s="26"/>
      <x:c r="G10" s="30" t="n">
        <x:f>SUM(G5:G9)</x:f>
        <x:v>63.79240062072505</x:v>
      </x:c>
      <x:c r="H10" s="30" t="n">
        <x:f>SUM(H5:H9)</x:f>
        <x:v>5.103392049658004</x:v>
      </x:c>
      <x:c r="I10" s="30" t="n">
        <x:f>SUM(I5:I9)</x:f>
        <x:v>12.758480124145011</x:v>
      </x:c>
      <x:c r="J10" s="30" t="n">
        <x:f>SUM(J5:J9)</x:f>
        <x:v>19.137720186217514</x:v>
      </x:c>
      <x:c r="K10" s="30" t="n">
        <x:f>SUM(K5:K9)</x:f>
        <x:v>11.482632111730508</x:v>
      </x:c>
      <x:c r="L10" s="30" t="n">
        <x:f>SUM(L5:L9)</x:f>
        <x:v>10.206784099316009</x:v>
      </x:c>
      <x:c r="M10" s="30" t="n">
        <x:f>SUM(M5:M9)</x:f>
        <x:v>5.103392049658004</x:v>
      </x:c>
      <x:c r="N10" s="30" t="n">
        <x:f>SUM(N5:N9)</x:f>
        <x:v>63.79240062072505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12" t="str">
        <x:v>Excluded line</x:v>
      </x:c>
      <x:c r="D13" s="21" t="str">
        <x:v>Allocation (USD B)</x:v>
      </x:c>
      <x:c r="E13" s="21" t="str">
        <x:v>Reason</x:v>
      </x:c>
      <x:c r="F13" s="13" t="str">
        <x:v>Accounting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 t="str">
        <x:v>HU-04A</x:v>
      </x:c>
      <x:c r="D14" s="27" t="n">
        <x:v>12.75848012414501</x:v>
      </x:c>
      <x:c r="E14" s="14" t="str">
        <x:v>Preceding continuity-state and admission campaign</x:v>
      </x:c>
      <x:c r="F14" s="14" t="str">
        <x:v>Separate USD 12.8B campaign; interface substrate, not part of the physical tranche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 t="str">
        <x:v>Total MS-HU technology envelope</x:v>
      </x:c>
      <x:c r="D15" s="27" t="n">
        <x:v>153.1017614897401</x:v>
      </x:c>
      <x:c r="E15" s="14" t="str">
        <x:v>Pass 169 conserved portfolio</x:v>
      </x:c>
      <x:c r="F15" s="14" t="str">
        <x:v>No change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52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Twenty-five-year physical technology learning profile</x:v>
      </x:c>
      <x:c r="D2" s="5"/>
      <x:c r="E2" s="5"/>
      <x:c r="F2" s="5"/>
      <x:c r="G2" s="5"/>
      <x:c r="H2" s="5"/>
      <x:c r="I2" s="5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8" t="str">
        <x:v>Constant 2026 USD, undiscounted. This allocates the inherited technology tranche; it is not an obligation or procurement schedule.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Year</x:v>
      </x:c>
      <x:c r="D4" s="21" t="str">
        <x:v>Phase</x:v>
      </x:c>
      <x:c r="E4" s="21" t="str">
        <x:v>Phase share</x:v>
      </x:c>
      <x:c r="F4" s="21" t="str">
        <x:v>Years in phase</x:v>
      </x:c>
      <x:c r="G4" s="21" t="str">
        <x:v>Annual share</x:v>
      </x:c>
      <x:c r="H4" s="21" t="str">
        <x:v>HCDN tranche (USD B)</x:v>
      </x:c>
      <x:c r="I4" s="13" t="str">
        <x:v>HU-04A substrate (USD B)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3" t="n">
        <x:v>1</x:v>
      </x:c>
      <x:c r="D5" s="2" t="str">
        <x:f>Controls!F5</x:f>
        <x:v>Contract, rights and enabling science</x:v>
      </x:c>
      <x:c r="E5" s="22" t="n">
        <x:f>Controls!I5</x:f>
        <x:v>0.12</x:v>
      </x:c>
      <x:c r="F5" s="2" t="n">
        <x:f>Controls!J5</x:f>
        <x:v>4</x:v>
      </x:c>
      <x:c r="G5" s="22" t="n">
        <x:f>E5/F5</x:f>
        <x:v>0.03</x:v>
      </x:c>
      <x:c r="H5" s="27" t="n">
        <x:f>Controls!$G$12*G5</x:f>
        <x:v>1.9137720186217513</x:v>
      </x:c>
      <x:c r="I5" s="27" t="n">
        <x:f>'Technology Crosswalk'!$D$14*G5</x:f>
        <x:v>0.38275440372435027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3" t="n">
        <x:v>2</x:v>
      </x:c>
      <x:c r="D6" s="2" t="str">
        <x:f>Controls!F5</x:f>
        <x:v>Contract, rights and enabling science</x:v>
      </x:c>
      <x:c r="E6" s="22" t="n">
        <x:f>Controls!I5</x:f>
        <x:v>0.12</x:v>
      </x:c>
      <x:c r="F6" s="2" t="n">
        <x:f>Controls!J5</x:f>
        <x:v>4</x:v>
      </x:c>
      <x:c r="G6" s="22" t="n">
        <x:f>E6/F6</x:f>
        <x:v>0.03</x:v>
      </x:c>
      <x:c r="H6" s="27" t="n">
        <x:f>Controls!$G$12*G6</x:f>
        <x:v>1.9137720186217513</x:v>
      </x:c>
      <x:c r="I6" s="27" t="n">
        <x:f>'Technology Crosswalk'!$D$14*G6</x:f>
        <x:v>0.38275440372435027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3" t="n">
        <x:v>3</x:v>
      </x:c>
      <x:c r="D7" s="2" t="str">
        <x:f>Controls!F5</x:f>
        <x:v>Contract, rights and enabling science</x:v>
      </x:c>
      <x:c r="E7" s="22" t="n">
        <x:f>Controls!I5</x:f>
        <x:v>0.12</x:v>
      </x:c>
      <x:c r="F7" s="2" t="n">
        <x:f>Controls!J5</x:f>
        <x:v>4</x:v>
      </x:c>
      <x:c r="G7" s="22" t="n">
        <x:f>E7/F7</x:f>
        <x:v>0.03</x:v>
      </x:c>
      <x:c r="H7" s="27" t="n">
        <x:f>Controls!$G$12*G7</x:f>
        <x:v>1.9137720186217513</x:v>
      </x:c>
      <x:c r="I7" s="27" t="n">
        <x:f>'Technology Crosswalk'!$D$14*G7</x:f>
        <x:v>0.38275440372435027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3" t="n">
        <x:v>4</x:v>
      </x:c>
      <x:c r="D8" s="2" t="str">
        <x:f>Controls!F5</x:f>
        <x:v>Contract, rights and enabling science</x:v>
      </x:c>
      <x:c r="E8" s="22" t="n">
        <x:f>Controls!I5</x:f>
        <x:v>0.12</x:v>
      </x:c>
      <x:c r="F8" s="2" t="n">
        <x:f>Controls!J5</x:f>
        <x:v>4</x:v>
      </x:c>
      <x:c r="G8" s="22" t="n">
        <x:f>E8/F8</x:f>
        <x:v>0.03</x:v>
      </x:c>
      <x:c r="H8" s="27" t="n">
        <x:f>Controls!$G$12*G8</x:f>
        <x:v>1.9137720186217513</x:v>
      </x:c>
      <x:c r="I8" s="27" t="n">
        <x:f>'Technology Crosswalk'!$D$14*G8</x:f>
        <x:v>0.38275440372435027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3" t="n">
        <x:v>5</x:v>
      </x:c>
      <x:c r="D9" s="2" t="str">
        <x:f>Controls!F6</x:f>
        <x:v>Rival roots and subsystem prototypes</x:v>
      </x:c>
      <x:c r="E9" s="22" t="n">
        <x:f>Controls!I6</x:f>
        <x:v>0.23</x:v>
      </x:c>
      <x:c r="F9" s="2" t="n">
        <x:f>Controls!J6</x:f>
        <x:v>5</x:v>
      </x:c>
      <x:c r="G9" s="22" t="n">
        <x:f>E9/F9</x:f>
        <x:v>0.046</x:v>
      </x:c>
      <x:c r="H9" s="27" t="n">
        <x:f>Controls!$G$12*G9</x:f>
        <x:v>2.934450428553352</x:v>
      </x:c>
      <x:c r="I9" s="27" t="n">
        <x:f>'Technology Crosswalk'!$D$14*G9</x:f>
        <x:v>0.5868900857106705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3" t="n">
        <x:v>6</x:v>
      </x:c>
      <x:c r="D10" s="2" t="str">
        <x:f>Controls!F6</x:f>
        <x:v>Rival roots and subsystem prototypes</x:v>
      </x:c>
      <x:c r="E10" s="22" t="n">
        <x:f>Controls!I6</x:f>
        <x:v>0.23</x:v>
      </x:c>
      <x:c r="F10" s="2" t="n">
        <x:f>Controls!J6</x:f>
        <x:v>5</x:v>
      </x:c>
      <x:c r="G10" s="22" t="n">
        <x:f>E10/F10</x:f>
        <x:v>0.046</x:v>
      </x:c>
      <x:c r="H10" s="27" t="n">
        <x:f>Controls!$G$12*G10</x:f>
        <x:v>2.934450428553352</x:v>
      </x:c>
      <x:c r="I10" s="27" t="n">
        <x:f>'Technology Crosswalk'!$D$14*G10</x:f>
        <x:v>0.5868900857106705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3" t="n">
        <x:v>7</x:v>
      </x:c>
      <x:c r="D11" s="2" t="str">
        <x:f>Controls!F6</x:f>
        <x:v>Rival roots and subsystem prototypes</x:v>
      </x:c>
      <x:c r="E11" s="22" t="n">
        <x:f>Controls!I6</x:f>
        <x:v>0.23</x:v>
      </x:c>
      <x:c r="F11" s="2" t="n">
        <x:f>Controls!J6</x:f>
        <x:v>5</x:v>
      </x:c>
      <x:c r="G11" s="22" t="n">
        <x:f>E11/F11</x:f>
        <x:v>0.046</x:v>
      </x:c>
      <x:c r="H11" s="27" t="n">
        <x:f>Controls!$G$12*G11</x:f>
        <x:v>2.934450428553352</x:v>
      </x:c>
      <x:c r="I11" s="27" t="n">
        <x:f>'Technology Crosswalk'!$D$14*G11</x:f>
        <x:v>0.5868900857106705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3" t="n">
        <x:v>8</x:v>
      </x:c>
      <x:c r="D12" s="2" t="str">
        <x:f>Controls!F6</x:f>
        <x:v>Rival roots and subsystem prototypes</x:v>
      </x:c>
      <x:c r="E12" s="22" t="n">
        <x:f>Controls!I6</x:f>
        <x:v>0.23</x:v>
      </x:c>
      <x:c r="F12" s="2" t="n">
        <x:f>Controls!J6</x:f>
        <x:v>5</x:v>
      </x:c>
      <x:c r="G12" s="22" t="n">
        <x:f>E12/F12</x:f>
        <x:v>0.046</x:v>
      </x:c>
      <x:c r="H12" s="27" t="n">
        <x:f>Controls!$G$12*G12</x:f>
        <x:v>2.934450428553352</x:v>
      </x:c>
      <x:c r="I12" s="27" t="n">
        <x:f>'Technology Crosswalk'!$D$14*G12</x:f>
        <x:v>0.5868900857106705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3" t="n">
        <x:v>9</x:v>
      </x:c>
      <x:c r="D13" s="2" t="str">
        <x:f>Controls!F6</x:f>
        <x:v>Rival roots and subsystem prototypes</x:v>
      </x:c>
      <x:c r="E13" s="22" t="n">
        <x:f>Controls!I6</x:f>
        <x:v>0.23</x:v>
      </x:c>
      <x:c r="F13" s="2" t="n">
        <x:f>Controls!J6</x:f>
        <x:v>5</x:v>
      </x:c>
      <x:c r="G13" s="22" t="n">
        <x:f>E13/F13</x:f>
        <x:v>0.046</x:v>
      </x:c>
      <x:c r="H13" s="27" t="n">
        <x:f>Controls!$G$12*G13</x:f>
        <x:v>2.934450428553352</x:v>
      </x:c>
      <x:c r="I13" s="27" t="n">
        <x:f>'Technology Crosswalk'!$D$14*G13</x:f>
        <x:v>0.5868900857106705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3" t="n">
        <x:v>10</x:v>
      </x:c>
      <x:c r="D14" s="2" t="str">
        <x:f>Controls!F7</x:f>
        <x:v>Complete-system prototypes</x:v>
      </x:c>
      <x:c r="E14" s="22" t="n">
        <x:f>Controls!I7</x:f>
        <x:v>0.3</x:v>
      </x:c>
      <x:c r="F14" s="2" t="n">
        <x:f>Controls!J7</x:f>
        <x:v>5</x:v>
      </x:c>
      <x:c r="G14" s="22" t="n">
        <x:f>E14/F14</x:f>
        <x:v>0.06</x:v>
      </x:c>
      <x:c r="H14" s="27" t="n">
        <x:f>Controls!$G$12*G14</x:f>
        <x:v>3.8275440372435026</x:v>
      </x:c>
      <x:c r="I14" s="27" t="n">
        <x:f>'Technology Crosswalk'!$D$14*G14</x:f>
        <x:v>0.7655088074487005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3" t="n">
        <x:v>11</x:v>
      </x:c>
      <x:c r="D15" s="2" t="str">
        <x:f>Controls!F7</x:f>
        <x:v>Complete-system prototypes</x:v>
      </x:c>
      <x:c r="E15" s="22" t="n">
        <x:f>Controls!I7</x:f>
        <x:v>0.3</x:v>
      </x:c>
      <x:c r="F15" s="2" t="n">
        <x:f>Controls!J7</x:f>
        <x:v>5</x:v>
      </x:c>
      <x:c r="G15" s="22" t="n">
        <x:f>E15/F15</x:f>
        <x:v>0.06</x:v>
      </x:c>
      <x:c r="H15" s="27" t="n">
        <x:f>Controls!$G$12*G15</x:f>
        <x:v>3.8275440372435026</x:v>
      </x:c>
      <x:c r="I15" s="27" t="n">
        <x:f>'Technology Crosswalk'!$D$14*G15</x:f>
        <x:v>0.7655088074487005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3" t="n">
        <x:v>12</x:v>
      </x:c>
      <x:c r="D16" s="2" t="str">
        <x:f>Controls!F7</x:f>
        <x:v>Complete-system prototypes</x:v>
      </x:c>
      <x:c r="E16" s="22" t="n">
        <x:f>Controls!I7</x:f>
        <x:v>0.3</x:v>
      </x:c>
      <x:c r="F16" s="2" t="n">
        <x:f>Controls!J7</x:f>
        <x:v>5</x:v>
      </x:c>
      <x:c r="G16" s="22" t="n">
        <x:f>E16/F16</x:f>
        <x:v>0.06</x:v>
      </x:c>
      <x:c r="H16" s="27" t="n">
        <x:f>Controls!$G$12*G16</x:f>
        <x:v>3.8275440372435026</x:v>
      </x:c>
      <x:c r="I16" s="27" t="n">
        <x:f>'Technology Crosswalk'!$D$14*G16</x:f>
        <x:v>0.7655088074487005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3" t="n">
        <x:v>13</x:v>
      </x:c>
      <x:c r="D17" s="2" t="str">
        <x:f>Controls!F7</x:f>
        <x:v>Complete-system prototypes</x:v>
      </x:c>
      <x:c r="E17" s="22" t="n">
        <x:f>Controls!I7</x:f>
        <x:v>0.3</x:v>
      </x:c>
      <x:c r="F17" s="2" t="n">
        <x:f>Controls!J7</x:f>
        <x:v>5</x:v>
      </x:c>
      <x:c r="G17" s="22" t="n">
        <x:f>E17/F17</x:f>
        <x:v>0.06</x:v>
      </x:c>
      <x:c r="H17" s="27" t="n">
        <x:f>Controls!$G$12*G17</x:f>
        <x:v>3.8275440372435026</x:v>
      </x:c>
      <x:c r="I17" s="27" t="n">
        <x:f>'Technology Crosswalk'!$D$14*G17</x:f>
        <x:v>0.7655088074487005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3" t="n">
        <x:v>14</x:v>
      </x:c>
      <x:c r="D18" s="2" t="str">
        <x:f>Controls!F7</x:f>
        <x:v>Complete-system prototypes</x:v>
      </x:c>
      <x:c r="E18" s="22" t="n">
        <x:f>Controls!I7</x:f>
        <x:v>0.3</x:v>
      </x:c>
      <x:c r="F18" s="2" t="n">
        <x:f>Controls!J7</x:f>
        <x:v>5</x:v>
      </x:c>
      <x:c r="G18" s="22" t="n">
        <x:f>E18/F18</x:f>
        <x:v>0.06</x:v>
      </x:c>
      <x:c r="H18" s="27" t="n">
        <x:f>Controls!$G$12*G18</x:f>
        <x:v>3.8275440372435026</x:v>
      </x:c>
      <x:c r="I18" s="27" t="n">
        <x:f>'Technology Crosswalk'!$D$14*G18</x:f>
        <x:v>0.7655088074487005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3" t="n">
        <x:v>15</x:v>
      </x:c>
      <x:c r="D19" s="2" t="str">
        <x:f>Controls!F8</x:f>
        <x:v>Representative campaigns and industrial learning</x:v>
      </x:c>
      <x:c r="E19" s="22" t="n">
        <x:f>Controls!I8</x:f>
        <x:v>0.23</x:v>
      </x:c>
      <x:c r="F19" s="2" t="n">
        <x:f>Controls!J8</x:f>
        <x:v>5</x:v>
      </x:c>
      <x:c r="G19" s="22" t="n">
        <x:f>E19/F19</x:f>
        <x:v>0.046</x:v>
      </x:c>
      <x:c r="H19" s="27" t="n">
        <x:f>Controls!$G$12*G19</x:f>
        <x:v>2.934450428553352</x:v>
      </x:c>
      <x:c r="I19" s="27" t="n">
        <x:f>'Technology Crosswalk'!$D$14*G19</x:f>
        <x:v>0.5868900857106705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3" t="n">
        <x:v>16</x:v>
      </x:c>
      <x:c r="D20" s="2" t="str">
        <x:f>Controls!F8</x:f>
        <x:v>Representative campaigns and industrial learning</x:v>
      </x:c>
      <x:c r="E20" s="22" t="n">
        <x:f>Controls!I8</x:f>
        <x:v>0.23</x:v>
      </x:c>
      <x:c r="F20" s="2" t="n">
        <x:f>Controls!J8</x:f>
        <x:v>5</x:v>
      </x:c>
      <x:c r="G20" s="22" t="n">
        <x:f>E20/F20</x:f>
        <x:v>0.046</x:v>
      </x:c>
      <x:c r="H20" s="27" t="n">
        <x:f>Controls!$G$12*G20</x:f>
        <x:v>2.934450428553352</x:v>
      </x:c>
      <x:c r="I20" s="27" t="n">
        <x:f>'Technology Crosswalk'!$D$14*G20</x:f>
        <x:v>0.5868900857106705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3" t="n">
        <x:v>17</x:v>
      </x:c>
      <x:c r="D21" s="2" t="str">
        <x:f>Controls!F8</x:f>
        <x:v>Representative campaigns and industrial learning</x:v>
      </x:c>
      <x:c r="E21" s="22" t="n">
        <x:f>Controls!I8</x:f>
        <x:v>0.23</x:v>
      </x:c>
      <x:c r="F21" s="2" t="n">
        <x:f>Controls!J8</x:f>
        <x:v>5</x:v>
      </x:c>
      <x:c r="G21" s="22" t="n">
        <x:f>E21/F21</x:f>
        <x:v>0.046</x:v>
      </x:c>
      <x:c r="H21" s="27" t="n">
        <x:f>Controls!$G$12*G21</x:f>
        <x:v>2.934450428553352</x:v>
      </x:c>
      <x:c r="I21" s="27" t="n">
        <x:f>'Technology Crosswalk'!$D$14*G21</x:f>
        <x:v>0.5868900857106705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3" t="n">
        <x:v>18</x:v>
      </x:c>
      <x:c r="D22" s="2" t="str">
        <x:f>Controls!F8</x:f>
        <x:v>Representative campaigns and industrial learning</x:v>
      </x:c>
      <x:c r="E22" s="22" t="n">
        <x:f>Controls!I8</x:f>
        <x:v>0.23</x:v>
      </x:c>
      <x:c r="F22" s="2" t="n">
        <x:f>Controls!J8</x:f>
        <x:v>5</x:v>
      </x:c>
      <x:c r="G22" s="22" t="n">
        <x:f>E22/F22</x:f>
        <x:v>0.046</x:v>
      </x:c>
      <x:c r="H22" s="27" t="n">
        <x:f>Controls!$G$12*G22</x:f>
        <x:v>2.934450428553352</x:v>
      </x:c>
      <x:c r="I22" s="27" t="n">
        <x:f>'Technology Crosswalk'!$D$14*G22</x:f>
        <x:v>0.5868900857106705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3" t="n">
        <x:v>19</x:v>
      </x:c>
      <x:c r="D23" s="2" t="str">
        <x:f>Controls!F8</x:f>
        <x:v>Representative campaigns and industrial learning</x:v>
      </x:c>
      <x:c r="E23" s="22" t="n">
        <x:f>Controls!I8</x:f>
        <x:v>0.23</x:v>
      </x:c>
      <x:c r="F23" s="2" t="n">
        <x:f>Controls!J8</x:f>
        <x:v>5</x:v>
      </x:c>
      <x:c r="G23" s="22" t="n">
        <x:f>E23/F23</x:f>
        <x:v>0.046</x:v>
      </x:c>
      <x:c r="H23" s="27" t="n">
        <x:f>Controls!$G$12*G23</x:f>
        <x:v>2.934450428553352</x:v>
      </x:c>
      <x:c r="I23" s="27" t="n">
        <x:f>'Technology Crosswalk'!$D$14*G23</x:f>
        <x:v>0.5868900857106705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3" t="n">
        <x:v>20</x:v>
      </x:c>
      <x:c r="D24" s="2" t="str">
        <x:f>Controls!F9</x:f>
        <x:v>Qualification, renewal and next-generation challenge</x:v>
      </x:c>
      <x:c r="E24" s="22" t="n">
        <x:f>Controls!I9</x:f>
        <x:v>0.12</x:v>
      </x:c>
      <x:c r="F24" s="2" t="n">
        <x:f>Controls!J9</x:f>
        <x:v>6</x:v>
      </x:c>
      <x:c r="G24" s="22" t="n">
        <x:f>E24/F24</x:f>
        <x:v>0.02</x:v>
      </x:c>
      <x:c r="H24" s="27" t="n">
        <x:f>Controls!$G$12*G24</x:f>
        <x:v>1.275848012414501</x:v>
      </x:c>
      <x:c r="I24" s="27" t="n">
        <x:f>'Technology Crosswalk'!$D$14*G24</x:f>
        <x:v>0.2551696024829002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3" t="n">
        <x:v>21</x:v>
      </x:c>
      <x:c r="D25" s="2" t="str">
        <x:f>Controls!F9</x:f>
        <x:v>Qualification, renewal and next-generation challenge</x:v>
      </x:c>
      <x:c r="E25" s="22" t="n">
        <x:f>Controls!I9</x:f>
        <x:v>0.12</x:v>
      </x:c>
      <x:c r="F25" s="2" t="n">
        <x:f>Controls!J9</x:f>
        <x:v>6</x:v>
      </x:c>
      <x:c r="G25" s="22" t="n">
        <x:f>E25/F25</x:f>
        <x:v>0.02</x:v>
      </x:c>
      <x:c r="H25" s="27" t="n">
        <x:f>Controls!$G$12*G25</x:f>
        <x:v>1.275848012414501</x:v>
      </x:c>
      <x:c r="I25" s="27" t="n">
        <x:f>'Technology Crosswalk'!$D$14*G25</x:f>
        <x:v>0.2551696024829002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3" t="n">
        <x:v>22</x:v>
      </x:c>
      <x:c r="D26" s="2" t="str">
        <x:f>Controls!F9</x:f>
        <x:v>Qualification, renewal and next-generation challenge</x:v>
      </x:c>
      <x:c r="E26" s="22" t="n">
        <x:f>Controls!I9</x:f>
        <x:v>0.12</x:v>
      </x:c>
      <x:c r="F26" s="2" t="n">
        <x:f>Controls!J9</x:f>
        <x:v>6</x:v>
      </x:c>
      <x:c r="G26" s="22" t="n">
        <x:f>E26/F26</x:f>
        <x:v>0.02</x:v>
      </x:c>
      <x:c r="H26" s="27" t="n">
        <x:f>Controls!$G$12*G26</x:f>
        <x:v>1.275848012414501</x:v>
      </x:c>
      <x:c r="I26" s="27" t="n">
        <x:f>'Technology Crosswalk'!$D$14*G26</x:f>
        <x:v>0.2551696024829002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3" t="n">
        <x:v>23</x:v>
      </x:c>
      <x:c r="D27" s="2" t="str">
        <x:f>Controls!F9</x:f>
        <x:v>Qualification, renewal and next-generation challenge</x:v>
      </x:c>
      <x:c r="E27" s="22" t="n">
        <x:f>Controls!I9</x:f>
        <x:v>0.12</x:v>
      </x:c>
      <x:c r="F27" s="2" t="n">
        <x:f>Controls!J9</x:f>
        <x:v>6</x:v>
      </x:c>
      <x:c r="G27" s="22" t="n">
        <x:f>E27/F27</x:f>
        <x:v>0.02</x:v>
      </x:c>
      <x:c r="H27" s="27" t="n">
        <x:f>Controls!$G$12*G27</x:f>
        <x:v>1.275848012414501</x:v>
      </x:c>
      <x:c r="I27" s="27" t="n">
        <x:f>'Technology Crosswalk'!$D$14*G27</x:f>
        <x:v>0.2551696024829002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3" t="n">
        <x:v>24</x:v>
      </x:c>
      <x:c r="D28" s="2" t="str">
        <x:f>Controls!F9</x:f>
        <x:v>Qualification, renewal and next-generation challenge</x:v>
      </x:c>
      <x:c r="E28" s="22" t="n">
        <x:f>Controls!I9</x:f>
        <x:v>0.12</x:v>
      </x:c>
      <x:c r="F28" s="2" t="n">
        <x:f>Controls!J9</x:f>
        <x:v>6</x:v>
      </x:c>
      <x:c r="G28" s="22" t="n">
        <x:f>E28/F28</x:f>
        <x:v>0.02</x:v>
      </x:c>
      <x:c r="H28" s="27" t="n">
        <x:f>Controls!$G$12*G28</x:f>
        <x:v>1.275848012414501</x:v>
      </x:c>
      <x:c r="I28" s="27" t="n">
        <x:f>'Technology Crosswalk'!$D$14*G28</x:f>
        <x:v>0.2551696024829002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3" t="n">
        <x:v>25</x:v>
      </x:c>
      <x:c r="D29" s="2" t="str">
        <x:f>Controls!F9</x:f>
        <x:v>Qualification, renewal and next-generation challenge</x:v>
      </x:c>
      <x:c r="E29" s="22" t="n">
        <x:f>Controls!I9</x:f>
        <x:v>0.12</x:v>
      </x:c>
      <x:c r="F29" s="2" t="n">
        <x:f>Controls!J9</x:f>
        <x:v>6</x:v>
      </x:c>
      <x:c r="G29" s="22" t="n">
        <x:f>E29/F29</x:f>
        <x:v>0.02</x:v>
      </x:c>
      <x:c r="H29" s="27" t="n">
        <x:f>Controls!$G$12*G29</x:f>
        <x:v>1.275848012414501</x:v>
      </x:c>
      <x:c r="I29" s="27" t="n">
        <x:f>'Technology Crosswalk'!$D$14*G29</x:f>
        <x:v>0.2551696024829002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6" t="str">
        <x:v>Total</x:v>
      </x:c>
      <x:c r="D30" s="26"/>
      <x:c r="E30" s="26"/>
      <x:c r="F30" s="26"/>
      <x:c r="G30" s="31" t="n">
        <x:f>SUM(G5:G29)</x:f>
        <x:v>1.0000000000000002</x:v>
      </x:c>
      <x:c r="H30" s="30" t="n">
        <x:f>SUM(H5:H29)</x:f>
        <x:v>63.792400620725054</x:v>
      </x:c>
      <x:c r="I30" s="30" t="n">
        <x:f>SUM(I5:I29)</x:f>
        <x:v>12.758480124145008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  <x:drawing xmlns:r="http://schemas.openxmlformats.org/officeDocument/2006/relationships" r:id="R3e63a2d62ec54b70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0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Independent selection and campaign reconciliation</x:v>
      </x:c>
      <x:c r="D2" s="5"/>
      <x:c r="E2" s="5"/>
      <x:c r="F2" s="5"/>
      <x:c r="G2" s="5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Check</x:v>
      </x:c>
      <x:c r="D4" s="21" t="str">
        <x:v>Expected</x:v>
      </x:c>
      <x:c r="E4" s="21" t="str">
        <x:v>Observed</x:v>
      </x:c>
      <x:c r="F4" s="21" t="str">
        <x:v>Tolerance</x:v>
      </x:c>
      <x:c r="G4" s="13" t="str">
        <x:v>Result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 t="str">
        <x:v>Source routes</x:v>
      </x:c>
      <x:c r="D5" s="23" t="n">
        <x:v>5</x:v>
      </x:c>
      <x:c r="E5" s="23" t="n">
        <x:f>COUNTA('Route Exposure'!C5:C9)</x:f>
        <x:v>5</x:v>
      </x:c>
      <x:c r="F5" s="23" t="n">
        <x:v>0</x:v>
      </x:c>
      <x:c r="G5" s="2" t="str">
        <x:f>IF(ABS(E5-D5)&lt;=F5,"PASS","FAIL")</x:f>
        <x:v>PASS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 t="str">
        <x:v>Candidate systems</x:v>
      </x:c>
      <x:c r="D6" s="23" t="n">
        <x:v>6</x:v>
      </x:c>
      <x:c r="E6" s="23" t="n">
        <x:f>COUNTA('Candidate Selection'!C5:C10)</x:f>
        <x:v>6</x:v>
      </x:c>
      <x:c r="F6" s="23" t="n">
        <x:v>0</x:v>
      </x:c>
      <x:c r="G6" s="2" t="str">
        <x:f>IF(ABS(E6-D6)&lt;=F6,"PASS","FAIL")</x:f>
        <x:v>PASS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" t="str">
        <x:v>Candidate-route records</x:v>
      </x:c>
      <x:c r="D7" s="23" t="n">
        <x:v>9</x:v>
      </x:c>
      <x:c r="E7" s="23" t="n">
        <x:f>COUNTA('Candidate Map'!C5:C14)</x:f>
        <x:v>9</x:v>
      </x:c>
      <x:c r="F7" s="23" t="n">
        <x:v>0</x:v>
      </x:c>
      <x:c r="G7" s="2" t="str">
        <x:f>IF(ABS(E7-D7)&lt;=F7,"PASS","FAIL")</x:f>
        <x:v>PASS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" t="str">
        <x:v>Selected candidate</x:v>
      </x:c>
      <x:c r="D8" s="23" t="n">
        <x:v>1</x:v>
      </x:c>
      <x:c r="E8" s="23" t="n">
        <x:f>COUNTIFS('Candidate Selection'!AC5:AC10,"SELECT")</x:f>
        <x:v>1</x:v>
      </x:c>
      <x:c r="F8" s="23" t="n">
        <x:v>0</x:v>
      </x:c>
      <x:c r="G8" s="2" t="str">
        <x:f>IF(ABS(E8-D8)&lt;=F8,"PASS","FAIL")</x:f>
        <x:v>PASS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 t="str">
        <x:v>Selected hard gates</x:v>
      </x:c>
      <x:c r="D9" s="23" t="n">
        <x:v>12</x:v>
      </x:c>
      <x:c r="E9" s="23" t="n">
        <x:f>'Candidate Selection'!AA10</x:f>
        <x:v>12</x:v>
      </x:c>
      <x:c r="F9" s="23" t="n">
        <x:v>0</x:v>
      </x:c>
      <x:c r="G9" s="2" t="str">
        <x:f>IF(ABS(E9-D9)&lt;=F9,"PASS","FAIL")</x:f>
        <x:v>PASS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 t="str">
        <x:v>Selected dominance tests</x:v>
      </x:c>
      <x:c r="D10" s="23" t="n">
        <x:v>4</x:v>
      </x:c>
      <x:c r="E10" s="23" t="n">
        <x:f>'Candidate Selection'!AB10</x:f>
        <x:v>4</x:v>
      </x:c>
      <x:c r="F10" s="23" t="n">
        <x:v>0</x:v>
      </x:c>
      <x:c r="G10" s="2" t="str">
        <x:f>IF(ABS(E10-D10)&lt;=F10,"PASS","FAIL")</x:f>
        <x:v>PASS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 t="str">
        <x:v>Selected route demand</x:v>
      </x:c>
      <x:c r="D11" s="23" t="n">
        <x:v>647</x:v>
      </x:c>
      <x:c r="E11" s="23" t="n">
        <x:f>'Candidate Selection'!F10</x:f>
        <x:v>647</x:v>
      </x:c>
      <x:c r="F11" s="23" t="n">
        <x:v>0</x:v>
      </x:c>
      <x:c r="G11" s="2" t="str">
        <x:f>IF(ABS(E11-D11)&lt;=F11,"PASS","FAIL")</x:f>
        <x:v>PASS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 t="str">
        <x:v>Selected N−1 inventory</x:v>
      </x:c>
      <x:c r="D12" s="23" t="n">
        <x:v>1405</x:v>
      </x:c>
      <x:c r="E12" s="23" t="n">
        <x:f>'Candidate Selection'!G10</x:f>
        <x:v>1405</x:v>
      </x:c>
      <x:c r="F12" s="23" t="n">
        <x:v>0</x:v>
      </x:c>
      <x:c r="G12" s="2" t="str">
        <x:f>IF(ABS(E12-D12)&lt;=F12,"PASS","FAIL")</x:f>
        <x:v>PASS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 t="str">
        <x:v>Selected direct billets</x:v>
      </x:c>
      <x:c r="D13" s="23" t="n">
        <x:v>2255800</x:v>
      </x:c>
      <x:c r="E13" s="23" t="n">
        <x:f>'Candidate Selection'!H10</x:f>
        <x:v>2255800</x:v>
      </x:c>
      <x:c r="F13" s="23" t="n">
        <x:v>0</x:v>
      </x:c>
      <x:c r="G13" s="2" t="str">
        <x:f>IF(ABS(E13-D13)&lt;=F13,"PASS","FAIL")</x:f>
        <x:v>PASS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 t="str">
        <x:v>Selected capital exposure</x:v>
      </x:c>
      <x:c r="D14" s="23" t="n">
        <x:v>1667.1</x:v>
      </x:c>
      <x:c r="E14" s="23" t="n">
        <x:f>'Candidate Selection'!I10</x:f>
        <x:v>1667.1</x:v>
      </x:c>
      <x:c r="F14" s="23" t="n">
        <x:v>0.001</x:v>
      </x:c>
      <x:c r="G14" s="2" t="str">
        <x:f>IF(ABS(E14-D14)&lt;=F14,"PASS","FAIL")</x:f>
        <x:v>PASS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 t="str">
        <x:v>Selected unclosed demand</x:v>
      </x:c>
      <x:c r="D15" s="23" t="n">
        <x:v>290.1</x:v>
      </x:c>
      <x:c r="E15" s="23" t="n">
        <x:f>'Candidate Selection'!J10</x:f>
        <x:v>290.1</x:v>
      </x:c>
      <x:c r="F15" s="23" t="n">
        <x:v>0.001</x:v>
      </x:c>
      <x:c r="G15" s="2" t="str">
        <x:f>IF(ABS(E15-D15)&lt;=F15,"PASS","FAIL")</x:f>
        <x:v>PASS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 t="str">
        <x:v>Selected families</x:v>
      </x:c>
      <x:c r="D16" s="23" t="n">
        <x:v>10</x:v>
      </x:c>
      <x:c r="E16" s="23" t="n">
        <x:f>'Candidate Selection'!K10</x:f>
        <x:v>10</x:v>
      </x:c>
      <x:c r="F16" s="23" t="n">
        <x:v>0</x:v>
      </x:c>
      <x:c r="G16" s="2" t="str">
        <x:f>IF(ABS(E16-D16)&lt;=F16,"PASS","FAIL")</x:f>
        <x:v>PASS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 t="str">
        <x:v>Selected demand share</x:v>
      </x:c>
      <x:c r="D17" s="22" t="n">
        <x:v>0.7360637087599545</x:v>
      </x:c>
      <x:c r="E17" s="22" t="n">
        <x:f>'Candidate Selection'!L10</x:f>
        <x:v>0.7360637087599545</x:v>
      </x:c>
      <x:c r="F17" s="23" t="n">
        <x:v>0.000001</x:v>
      </x:c>
      <x:c r="G17" s="2" t="str">
        <x:f>IF(ABS(E17-D17)&lt;=F17,"PASS","FAIL")</x:f>
        <x:v>PASS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 t="str">
        <x:v>Selected capital share</x:v>
      </x:c>
      <x:c r="D18" s="22" t="n">
        <x:v>0.6714596423392942</x:v>
      </x:c>
      <x:c r="E18" s="22" t="n">
        <x:f>'Candidate Selection'!M10</x:f>
        <x:v>0.6714596423392942</x:v>
      </x:c>
      <x:c r="F18" s="23" t="n">
        <x:v>0.000001</x:v>
      </x:c>
      <x:c r="G18" s="2" t="str">
        <x:f>IF(ABS(E18-D18)&lt;=F18,"PASS","FAIL")</x:f>
        <x:v>PASS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 t="str">
        <x:v>Selected gap share</x:v>
      </x:c>
      <x:c r="D19" s="22" t="n">
        <x:v>0.700978615440377</x:v>
      </x:c>
      <x:c r="E19" s="22" t="n">
        <x:f>'Candidate Selection'!N10</x:f>
        <x:v>0.700978615440377</x:v>
      </x:c>
      <x:c r="F19" s="23" t="n">
        <x:v>0.000001</x:v>
      </x:c>
      <x:c r="G19" s="2" t="str">
        <x:f>IF(ABS(E19-D19)&lt;=F19,"PASS","FAIL")</x:f>
        <x:v>PASS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 t="str">
        <x:v>System contract blocks</x:v>
      </x:c>
      <x:c r="D20" s="23" t="n">
        <x:v>10</x:v>
      </x:c>
      <x:c r="E20" s="23" t="n">
        <x:f>COUNTA('System Contract'!C5:C14)</x:f>
        <x:v>10</x:v>
      </x:c>
      <x:c r="F20" s="23" t="n">
        <x:v>0</x:v>
      </x:c>
      <x:c r="G20" s="2" t="str">
        <x:f>IF(ABS(E20-D20)&lt;=F20,"PASS","FAIL")</x:f>
        <x:v>PASS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 t="str">
        <x:v>Service states</x:v>
      </x:c>
      <x:c r="D21" s="23" t="n">
        <x:v>4</x:v>
      </x:c>
      <x:c r="E21" s="23" t="n">
        <x:f>COUNTA('Service States'!C5:C8)</x:f>
        <x:v>4</x:v>
      </x:c>
      <x:c r="F21" s="23" t="n">
        <x:v>0</x:v>
      </x:c>
      <x:c r="G21" s="2" t="str">
        <x:f>IF(ABS(E21-D21)&lt;=F21,"PASS","FAIL")</x:f>
        <x:v>PASS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 t="str">
        <x:v>Capacity accounting rules</x:v>
      </x:c>
      <x:c r="D22" s="23" t="n">
        <x:v>7</x:v>
      </x:c>
      <x:c r="E22" s="23" t="n">
        <x:f>COUNTA('Service States'!C12:C18)</x:f>
        <x:v>7</x:v>
      </x:c>
      <x:c r="F22" s="23" t="n">
        <x:v>0</x:v>
      </x:c>
      <x:c r="G22" s="2" t="str">
        <x:f>IF(ABS(E22-D22)&lt;=F22,"PASS","FAIL")</x:f>
        <x:v>PASS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 t="str">
        <x:v>Physical functions</x:v>
      </x:c>
      <x:c r="D23" s="23" t="n">
        <x:v>12</x:v>
      </x:c>
      <x:c r="E23" s="23" t="n">
        <x:f>COUNTA('Function Architecture'!C5:C16)</x:f>
        <x:v>12</x:v>
      </x:c>
      <x:c r="F23" s="23" t="n">
        <x:v>0</x:v>
      </x:c>
      <x:c r="G23" s="2" t="str">
        <x:f>IF(ABS(E23-D23)&lt;=F23,"PASS","FAIL")</x:f>
        <x:v>PASS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 t="str">
        <x:v>Complete physical roots</x:v>
      </x:c>
      <x:c r="D24" s="23" t="n">
        <x:v>4</x:v>
      </x:c>
      <x:c r="E24" s="23" t="n">
        <x:f>COUNTA('Physical Roots'!C5:C8)</x:f>
        <x:v>4</x:v>
      </x:c>
      <x:c r="F24" s="23" t="n">
        <x:v>0</x:v>
      </x:c>
      <x:c r="G24" s="2" t="str">
        <x:f>IF(ABS(E24-D24)&lt;=F24,"PASS","FAIL")</x:f>
        <x:v>PASS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 t="str">
        <x:v>Roots entering</x:v>
      </x:c>
      <x:c r="D25" s="23" t="n">
        <x:v>4</x:v>
      </x:c>
      <x:c r="E25" s="23" t="n">
        <x:f>COUNTIFS('Physical Roots'!J5:J8,"ENTER")</x:f>
        <x:v>4</x:v>
      </x:c>
      <x:c r="F25" s="23" t="n">
        <x:v>0</x:v>
      </x:c>
      <x:c r="G25" s="2" t="str">
        <x:f>IF(ABS(E25-D25)&lt;=F25,"PASS","FAIL")</x:f>
        <x:v>PASS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 t="str">
        <x:v>Denial worlds</x:v>
      </x:c>
      <x:c r="D26" s="23" t="n">
        <x:v>12</x:v>
      </x:c>
      <x:c r="E26" s="23" t="n">
        <x:f>COUNTA('Failure Worlds'!C5:C16)</x:f>
        <x:v>12</x:v>
      </x:c>
      <x:c r="F26" s="23" t="n">
        <x:v>0</x:v>
      </x:c>
      <x:c r="G26" s="2" t="str">
        <x:f>IF(ABS(E26-D26)&lt;=F26,"PASS","FAIL")</x:f>
        <x:v>PASS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 t="str">
        <x:v>Independent sites</x:v>
      </x:c>
      <x:c r="D27" s="23" t="n">
        <x:v>3</x:v>
      </x:c>
      <x:c r="E27" s="23" t="n">
        <x:f>'Campaign Population'!D6</x:f>
        <x:v>3</x:v>
      </x:c>
      <x:c r="F27" s="23" t="n">
        <x:v>0</x:v>
      </x:c>
      <x:c r="G27" s="2" t="str">
        <x:f>IF(ABS(E27-D27)&lt;=F27,"PASS","FAIL")</x:f>
        <x:v>PASS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 t="str">
        <x:v>Complete missions</x:v>
      </x:c>
      <x:c r="D28" s="23" t="n">
        <x:v>288</x:v>
      </x:c>
      <x:c r="E28" s="23" t="n">
        <x:f>'Campaign Population'!D8</x:f>
        <x:v>288</x:v>
      </x:c>
      <x:c r="F28" s="23" t="n">
        <x:v>0</x:v>
      </x:c>
      <x:c r="G28" s="2" t="str">
        <x:f>IF(ABS(E28-D28)&lt;=F28,"PASS","FAIL")</x:f>
        <x:v>PASS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 t="str">
        <x:v>Route-stage decisions</x:v>
      </x:c>
      <x:c r="D29" s="23" t="n">
        <x:v>4032</x:v>
      </x:c>
      <x:c r="E29" s="23" t="n">
        <x:f>'Campaign Population'!D9</x:f>
        <x:v>4032</x:v>
      </x:c>
      <x:c r="F29" s="23" t="n">
        <x:v>0</x:v>
      </x:c>
      <x:c r="G29" s="2" t="str">
        <x:f>IF(ABS(E29-D29)&lt;=F29,"PASS","FAIL")</x:f>
        <x:v>PASS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 t="str">
        <x:v>Person-mission equivalents</x:v>
      </x:c>
      <x:c r="D30" s="23" t="n">
        <x:v>288000</x:v>
      </x:c>
      <x:c r="E30" s="23" t="n">
        <x:f>'Campaign Population'!D10</x:f>
        <x:v>288000</x:v>
      </x:c>
      <x:c r="F30" s="23" t="n">
        <x:v>0</x:v>
      </x:c>
      <x:c r="G30" s="2" t="str">
        <x:f>IF(ABS(E30-D30)&lt;=F30,"PASS","FAIL")</x:f>
        <x:v>PASS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 t="str">
        <x:v>Operating district articles</x:v>
      </x:c>
      <x:c r="D31" s="23" t="n">
        <x:v>24</x:v>
      </x:c>
      <x:c r="E31" s="23" t="n">
        <x:f>'Campaign Population'!D11</x:f>
        <x:v>24</x:v>
      </x:c>
      <x:c r="F31" s="23" t="n">
        <x:v>0</x:v>
      </x:c>
      <x:c r="G31" s="2" t="str">
        <x:f>IF(ABS(E31-D31)&lt;=F31,"PASS","FAIL")</x:f>
        <x:v>PASS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 t="str">
        <x:v>Protected reference articles</x:v>
      </x:c>
      <x:c r="D32" s="23" t="n">
        <x:v>12</x:v>
      </x:c>
      <x:c r="E32" s="23" t="n">
        <x:f>'Campaign Population'!D12</x:f>
        <x:v>12</x:v>
      </x:c>
      <x:c r="F32" s="23" t="n">
        <x:v>0</x:v>
      </x:c>
      <x:c r="G32" s="2" t="str">
        <x:f>IF(ABS(E32-D32)&lt;=F32,"PASS","FAIL")</x:f>
        <x:v>PASS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 t="str">
        <x:v>Total district articles</x:v>
      </x:c>
      <x:c r="D33" s="23" t="n">
        <x:v>36</x:v>
      </x:c>
      <x:c r="E33" s="23" t="n">
        <x:f>Controls!G15</x:f>
        <x:v>36</x:v>
      </x:c>
      <x:c r="F33" s="23" t="n">
        <x:v>0</x:v>
      </x:c>
      <x:c r="G33" s="2" t="str">
        <x:f>IF(ABS(E33-D33)&lt;=F33,"PASS","FAIL")</x:f>
        <x:v>PASS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 t="str">
        <x:v>Selected physical programs</x:v>
      </x:c>
      <x:c r="D34" s="23" t="n">
        <x:v>5</x:v>
      </x:c>
      <x:c r="E34" s="23" t="n">
        <x:f>COUNTA('Technology Crosswalk'!C5:C9)</x:f>
        <x:v>5</x:v>
      </x:c>
      <x:c r="F34" s="23" t="n">
        <x:v>0</x:v>
      </x:c>
      <x:c r="G34" s="2" t="str">
        <x:f>IF(ABS(E34-D34)&lt;=F34,"PASS","FAIL")</x:f>
        <x:v>PASS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 t="str">
        <x:v>Selected technology envelope</x:v>
      </x:c>
      <x:c r="D35" s="23" t="n">
        <x:v>63.79240062072505</x:v>
      </x:c>
      <x:c r="E35" s="23" t="n">
        <x:f>'Technology Crosswalk'!G10</x:f>
        <x:v>63.79240062072505</x:v>
      </x:c>
      <x:c r="F35" s="23" t="n">
        <x:v>0.001</x:v>
      </x:c>
      <x:c r="G35" s="2" t="str">
        <x:f>IF(ABS(E35-D35)&lt;=F35,"PASS","FAIL")</x:f>
        <x:v>PASS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 t="str">
        <x:v>Cost-class allocation conserved</x:v>
      </x:c>
      <x:c r="D36" s="23" t="n">
        <x:v>63.79240062072505</x:v>
      </x:c>
      <x:c r="E36" s="23" t="n">
        <x:f>'Technology Crosswalk'!N10</x:f>
        <x:v>63.79240062072505</x:v>
      </x:c>
      <x:c r="F36" s="23" t="n">
        <x:v>0.001</x:v>
      </x:c>
      <x:c r="G36" s="2" t="str">
        <x:f>IF(ABS(E36-D36)&lt;=F36,"PASS","FAIL")</x:f>
        <x:v>PASS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 t="str">
        <x:v>Phase shares</x:v>
      </x:c>
      <x:c r="D37" s="23" t="n">
        <x:v>1</x:v>
      </x:c>
      <x:c r="E37" s="23" t="n">
        <x:f>SUM(Controls!I5:I9)</x:f>
        <x:v>0.9999999999999999</x:v>
      </x:c>
      <x:c r="F37" s="23" t="n">
        <x:v>0.000001</x:v>
      </x:c>
      <x:c r="G37" s="2" t="str">
        <x:f>IF(ABS(E37-D37)&lt;=F37,"PASS","FAIL")</x:f>
        <x:v>PASS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 t="str">
        <x:v>25-year physical profile</x:v>
      </x:c>
      <x:c r="D38" s="23" t="n">
        <x:v>63.79240062072505</x:v>
      </x:c>
      <x:c r="E38" s="23" t="n">
        <x:f>'25-Year Profile'!H30</x:f>
        <x:v>63.792400620725054</x:v>
      </x:c>
      <x:c r="F38" s="23" t="n">
        <x:v>0.001</x:v>
      </x:c>
      <x:c r="G38" s="2" t="str">
        <x:f>IF(ABS(E38-D38)&lt;=F38,"PASS","FAIL")</x:f>
        <x:v>PASS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 t="str">
        <x:v>HU-04A profile</x:v>
      </x:c>
      <x:c r="D39" s="23" t="n">
        <x:v>12.75848012414501</x:v>
      </x:c>
      <x:c r="E39" s="23" t="n">
        <x:f>'25-Year Profile'!I30</x:f>
        <x:v>12.758480124145008</x:v>
      </x:c>
      <x:c r="F39" s="23" t="n">
        <x:v>0.001</x:v>
      </x:c>
      <x:c r="G39" s="2" t="str">
        <x:f>IF(ABS(E39-D39)&lt;=F39,"PASS","FAIL")</x:f>
        <x:v>PASS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 t="str">
        <x:v>Exterior rendering admission</x:v>
      </x:c>
      <x:c r="D40" s="23" t="n">
        <x:v>0</x:v>
      </x:c>
      <x:c r="E40" s="23" t="n">
        <x:f>Controls!D21</x:f>
        <x:v>0</x:v>
      </x:c>
      <x:c r="F40" s="23" t="n">
        <x:v>0</x:v>
      </x:c>
      <x:c r="G40" s="2" t="str">
        <x:f>IF(ABS(E40-D40)&lt;=F40,"PASS","FAIL")</x:f>
        <x:v>PASS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 t="str">
        <x:v>Open-item running total</x:v>
      </x:c>
      <x:c r="D41" s="23" t="n">
        <x:v>0</x:v>
      </x:c>
      <x:c r="E41" s="23" t="n">
        <x:f>Controls!D22</x:f>
        <x:v>0</x:v>
      </x:c>
      <x:c r="F41" s="23" t="n">
        <x:v>0</x:v>
      </x:c>
      <x:c r="G41" s="2" t="str">
        <x:f>IF(ABS(E41-D41)&lt;=F41,"PASS","FAIL")</x:f>
        <x:v>PASS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conditionalFormatting sqref="G5:G41">
    <x:cfRule type="containsText" dxfId="1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04" hidden="0" customWidth="1"/>
    <x:col min="5" max="5" width="18" hidden="0" customWidth="1"/>
    <x:col min="6" max="6" width="76" hidden="0" customWidth="1"/>
    <x:col min="7" max="7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>
      <x:c r="A2" s="2"/>
      <x:c r="B2" s="2"/>
      <x:c r="C2" s="4" t="str">
        <x:v>Internal source lineage</x:v>
      </x:c>
      <x:c r="D2" s="5"/>
      <x:c r="E2" s="5"/>
      <x:c r="F2" s="5"/>
      <x:c r="G2" s="5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12" t="str">
        <x:v>Source</x:v>
      </x:c>
      <x:c r="D4" s="21" t="str">
        <x:v>Repository artifact</x:v>
      </x:c>
      <x:c r="E4" s="21" t="str">
        <x:v>State date</x:v>
      </x:c>
      <x:c r="F4" s="21" t="str">
        <x:v>Claims used</x:v>
      </x:c>
      <x:c r="G4" s="13" t="str">
        <x:v>Limit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48" customHeight="1">
      <x:c r="A5" s="2"/>
      <x:c r="B5" s="2"/>
      <x:c r="C5" s="2" t="str">
        <x:v>Pass 169 HCC-1</x:v>
      </x:c>
      <x:c r="D5" s="14" t="str">
        <x:v>research/force/generation/department-of-resilience-human-continuity-service-contract-and-first-technology-campaign-constitution.md</x:v>
      </x:c>
      <x:c r="E5" s="14" t="str">
        <x:v>2026-09-10</x:v>
      </x:c>
      <x:c r="F5" s="14" t="str">
        <x:v>Five routes, seven stages, route exposure, twelve programs and USD 153B envelope</x:v>
      </x:c>
      <x:c r="G5" s="14" t="str">
        <x:v>Planning constitution; zero force credit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48" customHeight="1">
      <x:c r="A6" s="2"/>
      <x:c r="B6" s="2"/>
      <x:c r="C6" s="2" t="str">
        <x:v>PCC-50 configuration</x:v>
      </x:c>
      <x:c r="D6" s="14" t="str">
        <x:v>research/systems/population-continuity/configuration-model.md</x:v>
      </x:c>
      <x:c r="E6" s="14" t="str">
        <x:v>2026-09-10</x:v>
      </x:c>
      <x:c r="F6" s="14" t="str">
        <x:v>50,000-person network scale, occupied area and complete service functions</x:v>
      </x:c>
      <x:c r="G6" s="14" t="str">
        <x:v>Earlier mobile-campus framing superseded by dual-state network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48" customHeight="1">
      <x:c r="A7" s="2"/>
      <x:c r="B7" s="2"/>
      <x:c r="C7" s="2" t="str">
        <x:v>PCC-D1 district</x:v>
      </x:c>
      <x:c r="D7" s="14" t="str">
        <x:v>research/systems/population-continuity/district-configuration.md</x:v>
      </x:c>
      <x:c r="E7" s="14" t="str">
        <x:v>2026-09-10</x:v>
      </x:c>
      <x:c r="F7" s="14" t="str">
        <x:v>1,000-person district, 7,525 m², mass and 18–27 h installation screens</x:v>
      </x:c>
      <x:c r="G7" s="14" t="str">
        <x:v>R2+ planning values; no physical admission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48" customHeight="1">
      <x:c r="A8" s="2"/>
      <x:c r="B8" s="2"/>
      <x:c r="C8" s="2" t="str">
        <x:v>National Receiving Lattice</x:v>
      </x:c>
      <x:c r="D8" s="14" t="str">
        <x:v>research/force/reception/national-receiving-lattice.md</x:v>
      </x:c>
      <x:c r="E8" s="14" t="str">
        <x:v>2026-09-10</x:v>
      </x:c>
      <x:c r="F8" s="14" t="str">
        <x:v>Conditional receiver capacity, 72.1% fixed share, site passports and clustered failure</x:v>
      </x:c>
      <x:c r="G8" s="14" t="str">
        <x:v>Synthetic geography and unverified readiness factors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48" customHeight="1">
      <x:c r="A9" s="2"/>
      <x:c r="B9" s="2"/>
      <x:c r="C9" s="2" t="str">
        <x:v>Neighborhood continuity cell</x:v>
      </x:c>
      <x:c r="D9" s="14" t="str">
        <x:v>research/force/mobility/neighborhood-continuity-and-access-cell.md</x:v>
      </x:c>
      <x:c r="E9" s="14" t="str">
        <x:v>2026-09-10</x:v>
      </x:c>
      <x:c r="F9" s="14" t="str">
        <x:v>Seven-day mission, origin access, offline continuity and complete movement</x:v>
      </x:c>
      <x:c r="G9" s="14" t="str">
        <x:v>One bounded demand class; rates unverified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48" customHeight="1">
      <x:c r="A10" s="2"/>
      <x:c r="B10" s="2"/>
      <x:c r="C10" s="2" t="str">
        <x:v>National civil mobility</x:v>
      </x:c>
      <x:c r="D10" s="14" t="str">
        <x:v>research/force/mobility/national-civil-mobility-and-continuity-force.md</x:v>
      </x:c>
      <x:c r="E10" s="14" t="str">
        <x:v>2026-09-10</x:v>
      </x:c>
      <x:c r="F10" s="14" t="str">
        <x:v>Origin-to-receiver continuity, accessible transport, transfer nodes and return</x:v>
      </x:c>
      <x:c r="G10" s="14" t="str">
        <x:v>Architecture screen; no platform selection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48" customHeight="1">
      <x:c r="A11" s="2"/>
      <x:c r="B11" s="2"/>
      <x:c r="C11" s="2" t="str">
        <x:v>Pass 168 MSPT-1</x:v>
      </x:c>
      <x:c r="D11" s="14" t="str">
        <x:v>research/force/generation/department-of-resilience-six-mission-system-portfolio-topology-and-technology-competition-constitution.md</x:v>
      </x:c>
      <x:c r="E11" s="14" t="str">
        <x:v>2026-09-10</x:v>
      </x:c>
      <x:c r="F11" s="14" t="str">
        <x:v>Mission-system authority and external integration boundaries</x:v>
      </x:c>
      <x:c r="G11" s="14" t="str">
        <x:v>Portfolio constitution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35" t="str">
        <x:v>Research object</x:v>
      </x:c>
      <x:c r="D15" s="2" t="str">
        <x:v>PHCS-1 — first complete physical human-continuity system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35" t="str">
        <x:v>Selected system</x:v>
      </x:c>
      <x:c r="D16" s="2" t="str">
        <x:v>HCDN-50 dual-state human-continuity district network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35" t="str">
        <x:v>Financial basis</x:v>
      </x:c>
      <x:c r="D17" s="2" t="str">
        <x:v>Constant 2026 USD; undiscounted; inherited technology allocations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35" t="str">
        <x:v>Capacity state</x:v>
      </x:c>
      <x:c r="D18" s="2" t="str">
        <x:v>Zero new people, districts, formations or readiness credit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35" t="str">
        <x:v>Campaign state</x:v>
      </x:c>
      <x:c r="D19" s="2" t="str">
        <x:v>Four complete roots enter; none selected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35" t="str">
        <x:v>Human-subject state</x:v>
      </x:c>
      <x:c r="D20" s="2" t="str">
        <x:v>Occupied phases follow independent technical and civil release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35" t="str">
        <x:v>Privacy state</x:v>
      </x:c>
      <x:c r="D21" s="2" t="str">
        <x:v>Pass 169 minimum-necessary, correctable, offline law retained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35" t="str">
        <x:v>Rendering</x:v>
      </x:c>
      <x:c r="D22" s="2" t="str">
        <x:v>No exterior form authorized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</x:sheetData>
  <x:pageMargins left="0.7" right="0.7" top="0.75" bottom="0.75" header="0.3" footer="0.3"/>
</x:worksheet>
</file>