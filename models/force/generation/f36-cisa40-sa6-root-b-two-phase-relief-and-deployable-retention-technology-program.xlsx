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7bfe3721564a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8b43f73a76b4759"/>
    <x:sheet xmlns:r="http://schemas.openxmlformats.org/officeDocument/2006/relationships" name="Controls" sheetId="2" r:id="Ra3963362bd424006"/>
    <x:sheet xmlns:r="http://schemas.openxmlformats.org/officeDocument/2006/relationships" name="Source Physics" sheetId="3" r:id="R6961548b659f44f8"/>
    <x:sheet xmlns:r="http://schemas.openxmlformats.org/officeDocument/2006/relationships" name="Architecture Build" sheetId="4" r:id="R5e839afe537e4dfa"/>
    <x:sheet xmlns:r="http://schemas.openxmlformats.org/officeDocument/2006/relationships" name="Mass Energy" sheetId="5" r:id="R381acade4d6c44f1"/>
    <x:sheet xmlns:r="http://schemas.openxmlformats.org/officeDocument/2006/relationships" name="Challenge Matrix" sheetId="6" r:id="R36d77ddd88574619"/>
    <x:sheet xmlns:r="http://schemas.openxmlformats.org/officeDocument/2006/relationships" name="Protocol Register" sheetId="7" r:id="R7a72d307cc3a4a79"/>
    <x:sheet xmlns:r="http://schemas.openxmlformats.org/officeDocument/2006/relationships" name="Event Register" sheetId="8" r:id="R73ddbd9b0dcb446b"/>
    <x:sheet xmlns:r="http://schemas.openxmlformats.org/officeDocument/2006/relationships" name="Support Events" sheetId="9" r:id="R934bc9cd566148ee"/>
    <x:sheet xmlns:r="http://schemas.openxmlformats.org/officeDocument/2006/relationships" name="Article Bank" sheetId="10" r:id="Rf0029e92796d4dda"/>
    <x:sheet xmlns:r="http://schemas.openxmlformats.org/officeDocument/2006/relationships" name="Site Allocation" sheetId="11" r:id="R588202773fd74de8"/>
    <x:sheet xmlns:r="http://schemas.openxmlformats.org/officeDocument/2006/relationships" name="Measurement Planes" sheetId="12" r:id="Rc13686939dec4787"/>
    <x:sheet xmlns:r="http://schemas.openxmlformats.org/officeDocument/2006/relationships" name="Evidence Build" sheetId="13" r:id="Rbef964b017644d30"/>
    <x:sheet xmlns:r="http://schemas.openxmlformats.org/officeDocument/2006/relationships" name="Decision Rules" sheetId="14" r:id="Rcb68de9353c64d92"/>
    <x:sheet xmlns:r="http://schemas.openxmlformats.org/officeDocument/2006/relationships" name="Schedule" sheetId="15" r:id="R6c81275458314a7e"/>
    <x:sheet xmlns:r="http://schemas.openxmlformats.org/officeDocument/2006/relationships" name="Workforce" sheetId="16" r:id="R28e9e7c5f43f4295"/>
    <x:sheet xmlns:r="http://schemas.openxmlformats.org/officeDocument/2006/relationships" name="Capital" sheetId="17" r:id="Rc3a6607c394947af"/>
    <x:sheet xmlns:r="http://schemas.openxmlformats.org/officeDocument/2006/relationships" name="Annual Support" sheetId="18" r:id="R560b1ea88fdb4583"/>
    <x:sheet xmlns:r="http://schemas.openxmlformats.org/officeDocument/2006/relationships" name="Portfolio Boundary" sheetId="19" r:id="R2eb91d5ad301443f"/>
    <x:sheet xmlns:r="http://schemas.openxmlformats.org/officeDocument/2006/relationships" name="Release Gates" sheetId="20" r:id="R5df1a63f18e44c57"/>
    <x:sheet xmlns:r="http://schemas.openxmlformats.org/officeDocument/2006/relationships" name="Audit" sheetId="21" r:id="R8675b6d8c57b4b25"/>
    <x:sheet xmlns:r="http://schemas.openxmlformats.org/officeDocument/2006/relationships" name="Authority" sheetId="22" r:id="R7553305a5c374235"/>
    <x:sheet xmlns:r="http://schemas.openxmlformats.org/officeDocument/2006/relationships" name="ReadMe" sheetId="23" r:id="R4c1cac25ff734e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0"/>
    <x:numFmt numFmtId="201" formatCode="#,##0"/>
    <x:numFmt numFmtId="202" formatCode="#,##0.0"/>
    <x:numFmt numFmtId="203" formatCode="$#,##0.0;($#,##0.0);-"/>
    <x:numFmt numFmtId="204" formatCode="#,##0.000;(#,##0.000);-"/>
  </x:numFmts>
  <x:fonts count="7">
    <x:font>
      <x:sz val="11"/>
      <x:name val="Carlito"/>
    </x:font>
    <x:font>
      <x:b/>
      <x:sz val="14"/>
      <x:color rgb="FF17324D"/>
      <x:name val="Arial"/>
    </x:font>
    <x:font>
      <x:i/>
      <x:sz val="10"/>
      <x:color rgb="FF6B7785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sz val="10"/>
      <x:color rgb="FF008000"/>
      <x:name val="Arial"/>
    </x:font>
    <x:font>
      <x:b/>
      <x:sz val="10"/>
      <x:color rgb="FF17324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D9E8F5"/>
      </x:patternFill>
    </x:fill>
  </x:fills>
  <x:borders count="8">
    <x:border/>
    <x:border>
      <x:bottom style="thin">
        <x:color rgb="FF17324D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B8C4CE"/>
      </x:left>
      <x:top style="thin">
        <x:color rgb="FFB8C4CE"/>
      </x:top>
      <x:bottom style="thin">
        <x:color rgb="FFB8C4CE"/>
      </x:bottom>
    </x:border>
    <x:border>
      <x:top style="thin">
        <x:color rgb="FFB8C4CE"/>
      </x:top>
      <x:bottom style="thin">
        <x:color rgb="FFB8C4CE"/>
      </x:bottom>
    </x:border>
    <x:border>
      <x:right style="thin">
        <x:color rgb="FFB8C4CE"/>
      </x:right>
      <x:top style="thin">
        <x:color rgb="FFB8C4CE"/>
      </x:top>
      <x:bottom style="thin">
        <x:color rgb="FFB8C4CE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5" xfId="0" applyNumberFormat="1" applyFont="1" applyFill="1" applyBorder="1"/>
    <x:xf numFmtId="0" fontId="6" fillId="4" borderId="6" xfId="0" applyNumberFormat="1" applyFont="1" applyFill="1" applyBorder="1"/>
    <x:xf numFmtId="0" fontId="6" fillId="4" borderId="7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/>
    <x:xf numFmtId="200" fontId="5" fillId="0" borderId="0" xfId="0" applyNumberFormat="1" applyFont="1" applyFill="1" applyBorder="1"/>
    <x:xf numFmtId="200" fontId="0" fillId="0" borderId="0" xfId="0" applyNumberFormat="1" applyFont="1" applyFill="1" applyBorder="1"/>
    <x:xf numFmtId="200" fontId="3" fillId="2" borderId="3" xfId="0" applyNumberFormat="1" applyFont="1" applyFill="1" applyBorder="1" applyAlignment="1">
      <x:alignment horizontal="center" vertical="center"/>
    </x:xf>
    <x:xf numFmtId="200" fontId="3" fillId="2" borderId="4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5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3" fontId="6" fillId="4" borderId="6" xfId="0" applyNumberFormat="1" applyFont="1" applyFill="1" applyBorder="1"/>
    <x:xf numFmtId="203" fontId="5" fillId="0" borderId="0" xfId="0" applyNumberFormat="1" applyFont="1" applyFill="1" applyBorder="1"/>
    <x:xf numFmtId="204" fontId="0" fillId="0" borderId="0" xfId="0" applyNumberFormat="1" applyFont="1" applyFill="1" applyBorder="1"/>
  </x:cellXfs>
  <x:cellStyles count="1">
    <x:cellStyle name="Normal" xfId="0"/>
  </x:cellStyles>
  <x:dxfs count="72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ed39d173df40a3" /><Relationship Type="http://schemas.openxmlformats.org/officeDocument/2006/relationships/theme" Target="/xl/theme/theme1.xml" Id="Rf6c2d658ec7141b0" /><Relationship Type="http://schemas.openxmlformats.org/officeDocument/2006/relationships/sharedStrings" Target="/xl/sharedStrings.xml" Id="R4a9de38d00494bdf" /><Relationship Type="http://schemas.openxmlformats.org/officeDocument/2006/relationships/worksheet" Target="/xl/worksheets/sheet1.xml" Id="Re8b43f73a76b4759" /><Relationship Type="http://schemas.openxmlformats.org/officeDocument/2006/relationships/worksheet" Target="/xl/worksheets/sheet2.xml" Id="Ra3963362bd424006" /><Relationship Type="http://schemas.openxmlformats.org/officeDocument/2006/relationships/worksheet" Target="/xl/worksheets/sheet3.xml" Id="R6961548b659f44f8" /><Relationship Type="http://schemas.openxmlformats.org/officeDocument/2006/relationships/worksheet" Target="/xl/worksheets/sheet4.xml" Id="R5e839afe537e4dfa" /><Relationship Type="http://schemas.openxmlformats.org/officeDocument/2006/relationships/worksheet" Target="/xl/worksheets/sheet5.xml" Id="R381acade4d6c44f1" /><Relationship Type="http://schemas.openxmlformats.org/officeDocument/2006/relationships/worksheet" Target="/xl/worksheets/sheet6.xml" Id="R36d77ddd88574619" /><Relationship Type="http://schemas.openxmlformats.org/officeDocument/2006/relationships/worksheet" Target="/xl/worksheets/sheet7.xml" Id="R7a72d307cc3a4a79" /><Relationship Type="http://schemas.openxmlformats.org/officeDocument/2006/relationships/worksheet" Target="/xl/worksheets/sheet8.xml" Id="R73ddbd9b0dcb446b" /><Relationship Type="http://schemas.openxmlformats.org/officeDocument/2006/relationships/worksheet" Target="/xl/worksheets/sheet9.xml" Id="R934bc9cd566148ee" /><Relationship Type="http://schemas.openxmlformats.org/officeDocument/2006/relationships/worksheet" Target="/xl/worksheets/sheet10.xml" Id="Rf0029e92796d4dda" /><Relationship Type="http://schemas.openxmlformats.org/officeDocument/2006/relationships/worksheet" Target="/xl/worksheets/sheet11.xml" Id="R588202773fd74de8" /><Relationship Type="http://schemas.openxmlformats.org/officeDocument/2006/relationships/worksheet" Target="/xl/worksheets/sheet12.xml" Id="Rc13686939dec4787" /><Relationship Type="http://schemas.openxmlformats.org/officeDocument/2006/relationships/worksheet" Target="/xl/worksheets/sheet13.xml" Id="Rbef964b017644d30" /><Relationship Type="http://schemas.openxmlformats.org/officeDocument/2006/relationships/worksheet" Target="/xl/worksheets/sheet14.xml" Id="Rcb68de9353c64d92" /><Relationship Type="http://schemas.openxmlformats.org/officeDocument/2006/relationships/worksheet" Target="/xl/worksheets/sheet15.xml" Id="R6c81275458314a7e" /><Relationship Type="http://schemas.openxmlformats.org/officeDocument/2006/relationships/worksheet" Target="/xl/worksheets/sheet16.xml" Id="R28e9e7c5f43f4295" /><Relationship Type="http://schemas.openxmlformats.org/officeDocument/2006/relationships/worksheet" Target="/xl/worksheets/sheet17.xml" Id="Rc3a6607c394947af" /><Relationship Type="http://schemas.openxmlformats.org/officeDocument/2006/relationships/worksheet" Target="/xl/worksheets/sheet18.xml" Id="R560b1ea88fdb4583" /><Relationship Type="http://schemas.openxmlformats.org/officeDocument/2006/relationships/worksheet" Target="/xl/worksheets/sheet19.xml" Id="R2eb91d5ad301443f" /><Relationship Type="http://schemas.openxmlformats.org/officeDocument/2006/relationships/worksheet" Target="/xl/worksheets/sheet20.xml" Id="R5df1a63f18e44c57" /><Relationship Type="http://schemas.openxmlformats.org/officeDocument/2006/relationships/worksheet" Target="/xl/worksheets/sheet21.xml" Id="R8675b6d8c57b4b25" /><Relationship Type="http://schemas.openxmlformats.org/officeDocument/2006/relationships/worksheet" Target="/xl/worksheets/sheet22.xml" Id="R7553305a5c374235" /><Relationship Type="http://schemas.openxmlformats.org/officeDocument/2006/relationships/worksheet" Target="/xl/worksheets/sheet23.xml" Id="R4c1cac25ff734e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45" hidden="0" customWidth="1"/>
    <x:col min="3" max="3" width="19" hidden="0" customWidth="1"/>
    <x:col min="4" max="4" width="16" hidden="0" customWidth="1"/>
    <x:col min="5" max="5" width="4" hidden="0" customWidth="1"/>
    <x:col min="6" max="6" width="43" hidden="0" customWidth="1"/>
    <x:col min="7" max="7" width="20" hidden="0" customWidth="1"/>
    <x:col min="8" max="8" width="17" hidden="0" customWidth="1"/>
  </x:cols>
  <x:sheetData>
    <x:row r="2">
      <x:c r="B2" s="1" t="str">
        <x:v>RHT-1 Root B two-phase relief and deployable retention</x:v>
      </x:c>
    </x:row>
    <x:row r="3">
      <x:c r="B3" s="2" t="str">
        <x:v>A three-way technology competition replaces a prematurely fixed 500 mm reference route. No candidate is yet physically qualified.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 ht="24" customHeight="1">
      <x:c r="B6" s="8" t="str">
        <x:v>Technology and evidence</x:v>
      </x:c>
      <x:c r="C6" s="9" t="str">
        <x:v>Value</x:v>
      </x:c>
      <x:c r="D6" s="10" t="str">
        <x:v>Unit</x:v>
      </x:c>
      <x:c r="F6" s="8" t="str">
        <x:v>Program and authority</x:v>
      </x:c>
      <x:c r="G6" s="9" t="str">
        <x:v>Value</x:v>
      </x:c>
      <x:c r="H6" s="10" t="str">
        <x:v>Unit</x:v>
      </x:c>
    </x:row>
    <x:row r="7">
      <x:c r="B7" t="str">
        <x:v>candidate architectures</x:v>
      </x:c>
      <x:c r="C7" s="23" t="n">
        <x:f>Controls!$D$29</x:f>
        <x:v>3</x:v>
      </x:c>
      <x:c r="D7" t="str">
        <x:v>count</x:v>
      </x:c>
      <x:c r="F7" t="str">
        <x:v>mission workforce</x:v>
      </x:c>
      <x:c r="G7" s="32" t="n">
        <x:f>Workforce!C17</x:f>
        <x:v>426</x:v>
      </x:c>
      <x:c r="H7" t="str">
        <x:v>positions</x:v>
      </x:c>
    </x:row>
    <x:row r="8">
      <x:c r="B8" t="str">
        <x:v>unlike builder teams</x:v>
      </x:c>
      <x:c r="C8" s="23" t="n">
        <x:f>Controls!$D$29*Controls!$D$30</x:f>
        <x:v>6</x:v>
      </x:c>
      <x:c r="D8" t="str">
        <x:v>count</x:v>
      </x:c>
      <x:c r="F8" t="str">
        <x:v>program duration</x:v>
      </x:c>
      <x:c r="G8" s="32" t="n">
        <x:f>Controls!$D$58</x:f>
        <x:v>42</x:v>
      </x:c>
      <x:c r="H8" t="str">
        <x:v>months</x:v>
      </x:c>
    </x:row>
    <x:row r="9">
      <x:c r="B9" t="str">
        <x:v>controlled technology articles</x:v>
      </x:c>
      <x:c r="C9" s="23" t="n">
        <x:f>COUNTA('Article Bank'!B7:B54)</x:f>
        <x:v>48</x:v>
      </x:c>
      <x:c r="D9" t="str">
        <x:v>count</x:v>
      </x:c>
      <x:c r="F9" t="str">
        <x:v>gross capital</x:v>
      </x:c>
      <x:c r="G9" s="32" t="n">
        <x:f>Capital!E19</x:f>
        <x:v>875</x:v>
      </x:c>
      <x:c r="H9" t="str">
        <x:v>USD M</x:v>
      </x:c>
    </x:row>
    <x:row r="10">
      <x:c r="B10" t="str">
        <x:v>paired challenge protocols</x:v>
      </x:c>
      <x:c r="C10" s="23" t="n">
        <x:f>COUNTA('Protocol Register'!B7:B30)</x:f>
        <x:v>24</x:v>
      </x:c>
      <x:c r="D10" t="str">
        <x:v>count</x:v>
      </x:c>
      <x:c r="F10" t="str">
        <x:v>gross annual support</x:v>
      </x:c>
      <x:c r="G10" s="32" t="n">
        <x:f>'Annual Support'!E14</x:f>
        <x:v>148</x:v>
      </x:c>
      <x:c r="H10" t="str">
        <x:v>USD M/year</x:v>
      </x:c>
    </x:row>
    <x:row r="11">
      <x:c r="B11" t="str">
        <x:v>paired full-scale events</x:v>
      </x:c>
      <x:c r="C11" s="23" t="n">
        <x:f>COUNTA('Event Register'!B7:B198)</x:f>
        <x:v>192</x:v>
      </x:c>
      <x:c r="D11" t="str">
        <x:v>count</x:v>
      </x:c>
      <x:c r="F11" t="str">
        <x:v>program-period exposure</x:v>
      </x:c>
      <x:c r="G11" s="32" t="n">
        <x:f>'Portfolio Boundary'!C19</x:f>
        <x:v>1393</x:v>
      </x:c>
      <x:c r="H11" t="str">
        <x:v>USD M</x:v>
      </x:c>
    </x:row>
    <x:row r="12">
      <x:c r="B12" t="str">
        <x:v>support events</x:v>
      </x:c>
      <x:c r="C12" s="23" t="n">
        <x:f>COUNTA('Support Events'!B7:B120)</x:f>
        <x:v>114</x:v>
      </x:c>
      <x:c r="D12" t="str">
        <x:v>count</x:v>
      </x:c>
      <x:c r="F12" t="str">
        <x:v>net new CISA capital</x:v>
      </x:c>
      <x:c r="G12" s="32" t="n">
        <x:f>'Portfolio Boundary'!C11</x:f>
        <x:v>358</x:v>
      </x:c>
      <x:c r="H12" t="str">
        <x:v>USD M</x:v>
      </x:c>
    </x:row>
    <x:row r="13">
      <x:c r="B13" t="str">
        <x:v>total registered events</x:v>
      </x:c>
      <x:c r="C13" s="23" t="n">
        <x:f>'Evidence Build'!C31</x:f>
        <x:v>306</x:v>
      </x:c>
      <x:c r="D13" t="str">
        <x:v>count</x:v>
      </x:c>
      <x:c r="F13" t="str">
        <x:v>net new CISA annual support</x:v>
      </x:c>
      <x:c r="G13" s="32" t="n">
        <x:f>'Portfolio Boundary'!D11</x:f>
        <x:v>72</x:v>
      </x:c>
      <x:c r="H13" t="str">
        <x:v>USD M/year</x:v>
      </x:c>
    </x:row>
    <x:row r="14">
      <x:c r="B14" t="str">
        <x:v>destructive source mass</x:v>
      </x:c>
      <x:c r="C14" s="23" t="n">
        <x:f>COUNTIFS('Support Events'!C7:C120,"destructive")*Controls!$D$38/1000</x:f>
        <x:v>48</x:v>
      </x:c>
      <x:c r="D14" t="str">
        <x:v>tonnes</x:v>
      </x:c>
      <x:c r="F14" t="str">
        <x:v>BRD-5R capital</x:v>
      </x:c>
      <x:c r="G14" s="32" t="n">
        <x:f>'Portfolio Boundary'!C13</x:f>
        <x:v>1298</x:v>
      </x:c>
      <x:c r="H14" t="str">
        <x:v>USD M</x:v>
      </x:c>
    </x:row>
    <x:row r="15">
      <x:c r="B15" t="str">
        <x:v>paired source mass</x:v>
      </x:c>
      <x:c r="C15" s="23" t="n">
        <x:f>SUM('Event Register'!K7:K198)/1000</x:f>
        <x:v>240</x:v>
      </x:c>
      <x:c r="D15" t="str">
        <x:v>tonnes</x:v>
      </x:c>
      <x:c r="F15" t="str">
        <x:v>BRD-5R annual support</x:v>
      </x:c>
      <x:c r="G15" s="32" t="n">
        <x:f>'Portfolio Boundary'!D13</x:f>
        <x:v>246</x:v>
      </x:c>
      <x:c r="H15" t="str">
        <x:v>USD M/year</x:v>
      </x:c>
    </x:row>
    <x:row r="16">
      <x:c r="B16" t="str">
        <x:v>total DME source mass</x:v>
      </x:c>
      <x:c r="C16" s="23" t="n">
        <x:f>C14+C15</x:f>
        <x:v>288</x:v>
      </x:c>
      <x:c r="D16" t="str">
        <x:v>tonnes</x:v>
      </x:c>
      <x:c r="F16" t="str">
        <x:v>BRD-5R capital remaining</x:v>
      </x:c>
      <x:c r="G16" s="32" t="n">
        <x:f>'Portfolio Boundary'!C15</x:f>
        <x:v>-338</x:v>
      </x:c>
      <x:c r="H16" t="str">
        <x:v>USD M</x:v>
      </x:c>
    </x:row>
    <x:row r="17">
      <x:c r="B17" t="str">
        <x:v>measurement functions</x:v>
      </x:c>
      <x:c r="C17" s="23" t="n">
        <x:f>COUNTA('Evidence Build'!B7:B24)</x:f>
        <x:v>18</x:v>
      </x:c>
      <x:c r="D17" t="str">
        <x:v>count</x:v>
      </x:c>
      <x:c r="F17" t="str">
        <x:v>BRD-5R annual remaining</x:v>
      </x:c>
      <x:c r="G17" s="32" t="n">
        <x:f>'Portfolio Boundary'!D15</x:f>
        <x:v>14</x:v>
      </x:c>
      <x:c r="H17" t="str">
        <x:v>USD M/year</x:v>
      </x:c>
    </x:row>
    <x:row r="18">
      <x:c r="B18" t="str">
        <x:v>measurement channels</x:v>
      </x:c>
      <x:c r="C18" s="23" t="n">
        <x:f>'Evidence Build'!C28</x:f>
        <x:v>504</x:v>
      </x:c>
      <x:c r="D18" t="str">
        <x:v>count</x:v>
      </x:c>
      <x:c r="F18" t="str">
        <x:v>BRD-5U capital</x:v>
      </x:c>
      <x:c r="G18" s="32" t="n">
        <x:f>'Portfolio Boundary'!C17</x:f>
        <x:v>1771</x:v>
      </x:c>
      <x:c r="H18" t="str">
        <x:v>USD M</x:v>
      </x:c>
    </x:row>
    <x:row r="19">
      <x:c r="B19" t="str">
        <x:v>aggregate native rate</x:v>
      </x:c>
      <x:c r="C19" s="23" t="n">
        <x:f>'Evidence Build'!C29</x:f>
        <x:v>288.736</x:v>
      </x:c>
      <x:c r="D19" t="str">
        <x:v>MB/s</x:v>
      </x:c>
      <x:c r="F19" t="str">
        <x:v>BRD-5U annual support</x:v>
      </x:c>
      <x:c r="G19" s="32" t="n">
        <x:f>'Portfolio Boundary'!D17</x:f>
        <x:v>345</x:v>
      </x:c>
      <x:c r="H19" t="str">
        <x:v>USD M/year</x:v>
      </x:c>
    </x:row>
    <x:row r="20">
      <x:c r="B20" t="str">
        <x:v>native evidence per event</x:v>
      </x:c>
      <x:c r="C20" s="23" t="n">
        <x:f>'Evidence Build'!C30</x:f>
        <x:v>402.2669952</x:v>
      </x:c>
      <x:c r="D20" t="str">
        <x:v>GB</x:v>
      </x:c>
      <x:c r="F20" t="str">
        <x:v>planning gates passed</x:v>
      </x:c>
      <x:c r="G20" s="32" t="n">
        <x:f>COUNTIF('Release Gates'!I7:I489,"PASS")</x:f>
        <x:v>483</x:v>
      </x:c>
      <x:c r="H20" t="str">
        <x:v>count</x:v>
      </x:c>
    </x:row>
    <x:row r="21">
      <x:c r="B21" t="str">
        <x:v>campaign evidence with reserve</x:v>
      </x:c>
      <x:c r="C21" s="23" t="n">
        <x:f>'Evidence Build'!C33</x:f>
        <x:v>160.02181069056002</x:v>
      </x:c>
      <x:c r="D21" t="str">
        <x:v>TB</x:v>
      </x:c>
      <x:c r="F21" t="str">
        <x:v>physical gates open</x:v>
      </x:c>
      <x:c r="G21" s="32" t="n">
        <x:f>COUNTIF('Release Gates'!I490:I887,"OPEN")</x:f>
        <x:v>398</x:v>
      </x:c>
      <x:c r="H21" t="str">
        <x:v>count</x:v>
      </x:c>
    </x:row>
    <x:row r="22">
      <x:c r="B22" t="str">
        <x:v>public-vault capacity ratio</x:v>
      </x:c>
      <x:c r="C22" s="23" t="n">
        <x:f>'Evidence Build'!C35</x:f>
        <x:v>3.5995093263494695</x:v>
      </x:c>
      <x:c r="D22" t="str">
        <x:v>ratio</x:v>
      </x:c>
      <x:c r="F22" t="str">
        <x:v>downstream gates blocked</x:v>
      </x:c>
      <x:c r="G22" s="32" t="n">
        <x:f>COUNTIF('Release Gates'!I888:I896,"BLOCKED")</x:f>
        <x:v>9</x:v>
      </x:c>
      <x:c r="H22" t="str">
        <x:v>count</x:v>
      </x:c>
    </x:row>
    <x:row r="25">
      <x:c r="B25" s="17" t="str">
        <x:v>Governing interpretation</x:v>
      </x:c>
      <x:c r="C25" s="18"/>
      <x:c r="D25" s="18"/>
      <x:c r="E25" s="18"/>
      <x:c r="F25" s="18"/>
      <x:c r="G25" s="18"/>
      <x:c r="H25" s="19"/>
    </x:row>
    <x:row r="26" ht="31" customHeight="1">
      <x:c r="B26" s="20" t="str">
        <x:v>The inherited single 500 mm route fails the cold half-area planning screen at approximately 161 seconds; it cannot remain the unexamined Root B answer.</x:v>
      </x:c>
      <x:c r="C26"/>
      <x:c r="D26"/>
      <x:c r="E26"/>
      <x:c r="F26"/>
      <x:c r="G26"/>
      <x:c r="H26"/>
    </x:row>
    <x:row r="27" ht="31" customHeight="1">
      <x:c r="B27" s="20" t="str">
        <x:v>RC-1, RC-2 and RC-3 clear the planning transfer and long-horizon holder screens through different combinations of area, receiver allocation, condensation and terminal disposition.</x:v>
      </x:c>
      <x:c r="C27"/>
      <x:c r="D27"/>
      <x:c r="E27"/>
      <x:c r="F27"/>
      <x:c r="G27"/>
      <x:c r="H27"/>
    </x:row>
    <x:row r="28" ht="31" customHeight="1">
      <x:c r="B28" s="20" t="str">
        <x:v>No candidate is selected. Twenty-four protocols, 306 registered events and 398 open physical gates define what must be learned before selection.</x:v>
      </x:c>
      <x:c r="C28"/>
      <x:c r="D28"/>
      <x:c r="E28"/>
      <x:c r="F28"/>
      <x:c r="G28"/>
      <x:c r="H28"/>
    </x:row>
    <x:row r="29" ht="31" customHeight="1">
      <x:c r="B29" s="20" t="str">
        <x:v>The corrected CISA ownership view exceeds the inherited capital boundary by USD 338 million while retaining USD 14 million per year of annual room.</x:v>
      </x:c>
      <x:c r="C29"/>
      <x:c r="D29"/>
      <x:c r="E29"/>
      <x:c r="F29"/>
      <x:c r="G29"/>
      <x:c r="H29"/>
    </x:row>
    <x:row r="30" ht="31" customHeight="1">
      <x:c r="B30" s="20" t="str">
        <x:v>Gross physical use exceeds both inherited parent boundaries. That consequence remains visible rather than being forced into an artificial fit.</x:v>
      </x:c>
      <x:c r="C30"/>
      <x:c r="D30"/>
      <x:c r="E30"/>
      <x:c r="F30"/>
      <x:c r="G30"/>
      <x:c r="H30"/>
    </x:row>
  </x:sheetData>
  <x:mergeCells>
    <x:mergeCell ref="B26:H26"/>
    <x:mergeCell ref="B27:H27"/>
    <x:mergeCell ref="B28:H28"/>
    <x:mergeCell ref="B29:H29"/>
    <x:mergeCell ref="B30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8A9D1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1" hidden="0" customWidth="1"/>
    <x:col min="3" max="3" width="43" hidden="0" customWidth="1"/>
    <x:col min="4" max="4" width="17" hidden="0" customWidth="1"/>
    <x:col min="5" max="5" width="17" hidden="0" customWidth="1"/>
    <x:col min="6" max="6" width="14" hidden="0" customWidth="1"/>
    <x:col min="7" max="7" width="22" hidden="0" customWidth="1"/>
  </x:cols>
  <x:sheetData>
    <x:row r="2">
      <x:c r="B2" s="1" t="str">
        <x:v>RHT-1 controls</x:v>
      </x:c>
    </x:row>
    <x:row r="3">
      <x:c r="B3" s="2" t="str">
        <x:v>Blue values are editable hypotheses. Physical acceptance and downstream authority remain zero.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 ht="24" customHeight="1">
      <x:c r="B6" s="8" t="str">
        <x:v>ID</x:v>
      </x:c>
      <x:c r="C6" s="9" t="str">
        <x:v>Control</x:v>
      </x:c>
      <x:c r="D6" s="9" t="str">
        <x:v>Value</x:v>
      </x:c>
      <x:c r="E6" s="9" t="str">
        <x:v>Unit</x:v>
      </x:c>
      <x:c r="F6" s="9" t="str">
        <x:v>Class</x:v>
      </x:c>
      <x:c r="G6" s="10" t="str">
        <x:v>Internal authority</x:v>
      </x:c>
    </x:row>
    <x:row r="7">
      <x:c r="B7" t="str">
        <x:v>C01</x:v>
      </x:c>
      <x:c r="C7" t="str">
        <x:v>source mass per train</x:v>
      </x:c>
      <x:c r="D7" s="13" t="n">
        <x:v>2000</x:v>
      </x:c>
      <x:c r="E7" t="str">
        <x:v>kg</x:v>
      </x:c>
      <x:c r="F7" t="str">
        <x:v>inherited</x:v>
      </x:c>
      <x:c r="G7" t="str">
        <x:v>SBD-1</x:v>
      </x:c>
    </x:row>
    <x:row r="8">
      <x:c r="B8" t="str">
        <x:v>C02</x:v>
      </x:c>
      <x:c r="C8" t="str">
        <x:v>liquid density</x:v>
      </x:c>
      <x:c r="D8" s="13" t="n">
        <x:v>668</x:v>
      </x:c>
      <x:c r="E8" t="str">
        <x:v>kg/m3</x:v>
      </x:c>
      <x:c r="F8" t="str">
        <x:v>inherited</x:v>
      </x:c>
      <x:c r="G8" t="str">
        <x:v>MCR-1</x:v>
      </x:c>
    </x:row>
    <x:row r="9">
      <x:c r="B9" t="str">
        <x:v>C03</x:v>
      </x:c>
      <x:c r="C9" t="str">
        <x:v>reference gas volume</x:v>
      </x:c>
      <x:c r="D9" s="13" t="n">
        <x:v>0.53</x:v>
      </x:c>
      <x:c r="E9" t="str">
        <x:v>m3/kg</x:v>
      </x:c>
      <x:c r="F9" t="str">
        <x:v>inherited</x:v>
      </x:c>
      <x:c r="G9" t="str">
        <x:v>MCR-1</x:v>
      </x:c>
    </x:row>
    <x:row r="10">
      <x:c r="B10" t="str">
        <x:v>C04</x:v>
      </x:c>
      <x:c r="C10" t="str">
        <x:v>lower heating value</x:v>
      </x:c>
      <x:c r="D10" s="13" t="n">
        <x:v>28.512</x:v>
      </x:c>
      <x:c r="E10" t="str">
        <x:v>MJ/kg</x:v>
      </x:c>
      <x:c r="F10" t="str">
        <x:v>inherited</x:v>
      </x:c>
      <x:c r="G10" t="str">
        <x:v>MCR-1</x:v>
      </x:c>
    </x:row>
    <x:row r="11">
      <x:c r="B11" t="str">
        <x:v>C05</x:v>
      </x:c>
      <x:c r="C11" t="str">
        <x:v>liquid heat capacity</x:v>
      </x:c>
      <x:c r="D11" s="13" t="n">
        <x:v>2.5</x:v>
      </x:c>
      <x:c r="E11" t="str">
        <x:v>kJ/kg-K</x:v>
      </x:c>
      <x:c r="F11" t="str">
        <x:v>declared</x:v>
      </x:c>
      <x:c r="G11" t="str">
        <x:v>RHT-1</x:v>
      </x:c>
    </x:row>
    <x:row r="12">
      <x:c r="B12" t="str">
        <x:v>C06</x:v>
      </x:c>
      <x:c r="C12" t="str">
        <x:v>latent heat screen</x:v>
      </x:c>
      <x:c r="D12" s="13" t="n">
        <x:v>467</x:v>
      </x:c>
      <x:c r="E12" t="str">
        <x:v>kJ/kg</x:v>
      </x:c>
      <x:c r="F12" t="str">
        <x:v>declared</x:v>
      </x:c>
      <x:c r="G12" t="str">
        <x:v>RHT-1</x:v>
      </x:c>
    </x:row>
    <x:row r="13">
      <x:c r="B13" t="str">
        <x:v>C07</x:v>
      </x:c>
      <x:c r="C13" t="str">
        <x:v>reference boiling temperature</x:v>
      </x:c>
      <x:c r="D13" s="13" t="n">
        <x:v>248</x:v>
      </x:c>
      <x:c r="E13" t="str">
        <x:v>K</x:v>
      </x:c>
      <x:c r="F13" t="str">
        <x:v>declared</x:v>
      </x:c>
      <x:c r="G13" t="str">
        <x:v>RHT-1</x:v>
      </x:c>
    </x:row>
    <x:row r="14">
      <x:c r="B14" t="str">
        <x:v>C08</x:v>
      </x:c>
      <x:c r="C14" t="str">
        <x:v>specific gas constant</x:v>
      </x:c>
      <x:c r="D14" s="13" t="n">
        <x:v>180.5</x:v>
      </x:c>
      <x:c r="E14" t="str">
        <x:v>J/kg-K</x:v>
      </x:c>
      <x:c r="F14" t="str">
        <x:v>declared</x:v>
      </x:c>
      <x:c r="G14" t="str">
        <x:v>RHT-1</x:v>
      </x:c>
    </x:row>
    <x:row r="15">
      <x:c r="B15" t="str">
        <x:v>C09</x:v>
      </x:c>
      <x:c r="C15" t="str">
        <x:v>specific heat ratio</x:v>
      </x:c>
      <x:c r="D15" s="13" t="n">
        <x:v>1.12</x:v>
      </x:c>
      <x:c r="E15" t="str">
        <x:v>ratio</x:v>
      </x:c>
      <x:c r="F15" t="str">
        <x:v>declared</x:v>
      </x:c>
      <x:c r="G15" t="str">
        <x:v>RHT-1</x:v>
      </x:c>
    </x:row>
    <x:row r="16">
      <x:c r="B16" t="str">
        <x:v>C10</x:v>
      </x:c>
      <x:c r="C16" t="str">
        <x:v>discharge coefficient</x:v>
      </x:c>
      <x:c r="D16" s="13" t="n">
        <x:v>0.82</x:v>
      </x:c>
      <x:c r="E16" t="str">
        <x:v>ratio</x:v>
      </x:c>
      <x:c r="F16" t="str">
        <x:v>declared</x:v>
      </x:c>
      <x:c r="G16" t="str">
        <x:v>RHT-1</x:v>
      </x:c>
    </x:row>
    <x:row r="17">
      <x:c r="B17" t="str">
        <x:v>C11</x:v>
      </x:c>
      <x:c r="C17" t="str">
        <x:v>source release interval</x:v>
      </x:c>
      <x:c r="D17" s="13" t="n">
        <x:v>120</x:v>
      </x:c>
      <x:c r="E17" t="str">
        <x:v>s</x:v>
      </x:c>
      <x:c r="F17" t="str">
        <x:v>inherited</x:v>
      </x:c>
      <x:c r="G17" t="str">
        <x:v>SBD-1</x:v>
      </x:c>
    </x:row>
    <x:row r="18">
      <x:c r="B18" t="str">
        <x:v>C12</x:v>
      </x:c>
      <x:c r="C18" t="str">
        <x:v>two-phase mass-flux factor</x:v>
      </x:c>
      <x:c r="D18" s="13" t="n">
        <x:v>0.15</x:v>
      </x:c>
      <x:c r="E18" t="str">
        <x:v>ratio</x:v>
      </x:c>
      <x:c r="F18" t="str">
        <x:v>declared</x:v>
      </x:c>
      <x:c r="G18" t="str">
        <x:v>RHT-1</x:v>
      </x:c>
    </x:row>
    <x:row r="19">
      <x:c r="B19" t="str">
        <x:v>C13</x:v>
      </x:c>
      <x:c r="C19" t="str">
        <x:v>thermal gas-volume allowance</x:v>
      </x:c>
      <x:c r="D19" s="13" t="n">
        <x:v>1.5</x:v>
      </x:c>
      <x:c r="E19" t="str">
        <x:v>factor</x:v>
      </x:c>
      <x:c r="F19" t="str">
        <x:v>inherited</x:v>
      </x:c>
      <x:c r="G19" t="str">
        <x:v>MCR-1</x:v>
      </x:c>
    </x:row>
    <x:row r="20">
      <x:c r="B20" t="str">
        <x:v>C14</x:v>
      </x:c>
      <x:c r="C20" t="str">
        <x:v>terminal source time</x:v>
      </x:c>
      <x:c r="D20" s="13" t="n">
        <x:v>120</x:v>
      </x:c>
      <x:c r="E20" t="str">
        <x:v>s</x:v>
      </x:c>
      <x:c r="F20" t="str">
        <x:v>inherited</x:v>
      </x:c>
      <x:c r="G20" t="str">
        <x:v>SBD-1</x:v>
      </x:c>
    </x:row>
    <x:row r="21">
      <x:c r="B21" t="str">
        <x:v>C15</x:v>
      </x:c>
      <x:c r="C21" t="str">
        <x:v>mass discrepancy limit</x:v>
      </x:c>
      <x:c r="D21" s="13" t="n">
        <x:v>5</x:v>
      </x:c>
      <x:c r="E21" t="str">
        <x:v>kg</x:v>
      </x:c>
      <x:c r="F21" t="str">
        <x:v>inherited</x:v>
      </x:c>
      <x:c r="G21" t="str">
        <x:v>SBD-1</x:v>
      </x:c>
    </x:row>
    <x:row r="22">
      <x:c r="B22" t="str">
        <x:v>C16</x:v>
      </x:c>
      <x:c r="C22" t="str">
        <x:v>full-rate evidence interval</x:v>
      </x:c>
      <x:c r="D22" s="13" t="n">
        <x:v>300</x:v>
      </x:c>
      <x:c r="E22" t="str">
        <x:v>s</x:v>
      </x:c>
      <x:c r="F22" t="str">
        <x:v>design</x:v>
      </x:c>
      <x:c r="G22" t="str">
        <x:v>RHT-1</x:v>
      </x:c>
    </x:row>
    <x:row r="23">
      <x:c r="B23" t="str">
        <x:v>C17</x:v>
      </x:c>
      <x:c r="C23" t="str">
        <x:v>reduced-rate evidence interval</x:v>
      </x:c>
      <x:c r="D23" s="13" t="n">
        <x:v>21600</x:v>
      </x:c>
      <x:c r="E23" t="str">
        <x:v>s</x:v>
      </x:c>
      <x:c r="F23" t="str">
        <x:v>design</x:v>
      </x:c>
      <x:c r="G23" t="str">
        <x:v>RHT-1</x:v>
      </x:c>
    </x:row>
    <x:row r="24">
      <x:c r="B24" t="str">
        <x:v>C18</x:v>
      </x:c>
      <x:c r="C24" t="str">
        <x:v>reduced-rate fraction</x:v>
      </x:c>
      <x:c r="D24" s="13" t="n">
        <x:v>0.01</x:v>
      </x:c>
      <x:c r="E24" t="str">
        <x:v>fraction</x:v>
      </x:c>
      <x:c r="F24" t="str">
        <x:v>design</x:v>
      </x:c>
      <x:c r="G24" t="str">
        <x:v>RHT-1</x:v>
      </x:c>
    </x:row>
    <x:row r="25">
      <x:c r="B25" t="str">
        <x:v>C19</x:v>
      </x:c>
      <x:c r="C25" t="str">
        <x:v>required evidence originals</x:v>
      </x:c>
      <x:c r="D25" s="13" t="n">
        <x:v>2</x:v>
      </x:c>
      <x:c r="E25" t="str">
        <x:v>count</x:v>
      </x:c>
      <x:c r="F25" t="str">
        <x:v>inherited</x:v>
      </x:c>
      <x:c r="G25" t="str">
        <x:v>SBD-1</x:v>
      </x:c>
    </x:row>
    <x:row r="26">
      <x:c r="B26" t="str">
        <x:v>C20</x:v>
      </x:c>
      <x:c r="C26" t="str">
        <x:v>protocol and custody overhead</x:v>
      </x:c>
      <x:c r="D26" s="13" t="n">
        <x:v>1.35</x:v>
      </x:c>
      <x:c r="E26" t="str">
        <x:v>factor</x:v>
      </x:c>
      <x:c r="F26" t="str">
        <x:v>inherited</x:v>
      </x:c>
      <x:c r="G26" t="str">
        <x:v>SBD-1</x:v>
      </x:c>
    </x:row>
    <x:row r="27">
      <x:c r="B27" t="str">
        <x:v>C21</x:v>
      </x:c>
      <x:c r="C27" t="str">
        <x:v>public evidence-vault capacity</x:v>
      </x:c>
      <x:c r="D27" s="13" t="n">
        <x:v>576</x:v>
      </x:c>
      <x:c r="E27" t="str">
        <x:v>TB</x:v>
      </x:c>
      <x:c r="F27" t="str">
        <x:v>inherited</x:v>
      </x:c>
      <x:c r="G27" t="str">
        <x:v>PTC-0</x:v>
      </x:c>
    </x:row>
    <x:row r="28">
      <x:c r="B28" t="str">
        <x:v>C22</x:v>
      </x:c>
      <x:c r="C28" t="str">
        <x:v>accepted physical sources</x:v>
      </x:c>
      <x:c r="D28" s="13" t="n">
        <x:v>0</x:v>
      </x:c>
      <x:c r="E28" t="str">
        <x:v>count</x:v>
      </x:c>
      <x:c r="F28" t="str">
        <x:v>physical</x:v>
      </x:c>
      <x:c r="G28" t="str">
        <x:v>authority</x:v>
      </x:c>
    </x:row>
    <x:row r="29">
      <x:c r="B29" t="str">
        <x:v>C23</x:v>
      </x:c>
      <x:c r="C29" t="str">
        <x:v>candidate architectures</x:v>
      </x:c>
      <x:c r="D29" s="13" t="n">
        <x:v>3</x:v>
      </x:c>
      <x:c r="E29" t="str">
        <x:v>count</x:v>
      </x:c>
      <x:c r="F29" t="str">
        <x:v>design</x:v>
      </x:c>
      <x:c r="G29" t="str">
        <x:v>RHT-1</x:v>
      </x:c>
    </x:row>
    <x:row r="30">
      <x:c r="B30" t="str">
        <x:v>C24</x:v>
      </x:c>
      <x:c r="C30" t="str">
        <x:v>unlike builders per architecture</x:v>
      </x:c>
      <x:c r="D30" s="13" t="n">
        <x:v>2</x:v>
      </x:c>
      <x:c r="E30" t="str">
        <x:v>count</x:v>
      </x:c>
      <x:c r="F30" t="str">
        <x:v>design</x:v>
      </x:c>
      <x:c r="G30" t="str">
        <x:v>RHT-1</x:v>
      </x:c>
    </x:row>
    <x:row r="31">
      <x:c r="B31" t="str">
        <x:v>C25</x:v>
      </x:c>
      <x:c r="C31" t="str">
        <x:v>operational replication sites</x:v>
      </x:c>
      <x:c r="D31" s="13" t="n">
        <x:v>2</x:v>
      </x:c>
      <x:c r="E31" t="str">
        <x:v>count</x:v>
      </x:c>
      <x:c r="F31" t="str">
        <x:v>design</x:v>
      </x:c>
      <x:c r="G31" t="str">
        <x:v>RHT-1</x:v>
      </x:c>
    </x:row>
    <x:row r="32">
      <x:c r="B32" t="str">
        <x:v>C26</x:v>
      </x:c>
      <x:c r="C32" t="str">
        <x:v>paired challenge conditions</x:v>
      </x:c>
      <x:c r="D32" s="13" t="n">
        <x:v>8</x:v>
      </x:c>
      <x:c r="E32" t="str">
        <x:v>count</x:v>
      </x:c>
      <x:c r="F32" t="str">
        <x:v>design</x:v>
      </x:c>
      <x:c r="G32" t="str">
        <x:v>RHT-1</x:v>
      </x:c>
    </x:row>
    <x:row r="33">
      <x:c r="B33" t="str">
        <x:v>C27</x:v>
      </x:c>
      <x:c r="C33" t="str">
        <x:v>event types per pair</x:v>
      </x:c>
      <x:c r="D33" s="13" t="n">
        <x:v>2</x:v>
      </x:c>
      <x:c r="E33" t="str">
        <x:v>count</x:v>
      </x:c>
      <x:c r="F33" t="str">
        <x:v>design</x:v>
      </x:c>
      <x:c r="G33" t="str">
        <x:v>RHT-1</x:v>
      </x:c>
    </x:row>
    <x:row r="34">
      <x:c r="B34" t="str">
        <x:v>C28</x:v>
      </x:c>
      <x:c r="C34" t="str">
        <x:v>development events per architecture-builder</x:v>
      </x:c>
      <x:c r="D34" s="13" t="n">
        <x:v>12</x:v>
      </x:c>
      <x:c r="E34" t="str">
        <x:v>count</x:v>
      </x:c>
      <x:c r="F34" t="str">
        <x:v>design</x:v>
      </x:c>
      <x:c r="G34" t="str">
        <x:v>RHT-1</x:v>
      </x:c>
    </x:row>
    <x:row r="35">
      <x:c r="B35" t="str">
        <x:v>C29</x:v>
      </x:c>
      <x:c r="C35" t="str">
        <x:v>destructive cases per architecture-builder</x:v>
      </x:c>
      <x:c r="D35" s="13" t="n">
        <x:v>4</x:v>
      </x:c>
      <x:c r="E35" t="str">
        <x:v>count</x:v>
      </x:c>
      <x:c r="F35" t="str">
        <x:v>design</x:v>
      </x:c>
      <x:c r="G35" t="str">
        <x:v>RHT-1</x:v>
      </x:c>
    </x:row>
    <x:row r="36">
      <x:c r="B36" t="str">
        <x:v>C30</x:v>
      </x:c>
      <x:c r="C36" t="str">
        <x:v>reset cases per architecture-builder</x:v>
      </x:c>
      <x:c r="D36" s="13" t="n">
        <x:v>3</x:v>
      </x:c>
      <x:c r="E36" t="str">
        <x:v>count</x:v>
      </x:c>
      <x:c r="F36" t="str">
        <x:v>design</x:v>
      </x:c>
      <x:c r="G36" t="str">
        <x:v>RHT-1</x:v>
      </x:c>
    </x:row>
    <x:row r="37">
      <x:c r="B37" t="str">
        <x:v>C31</x:v>
      </x:c>
      <x:c r="C37" t="str">
        <x:v>quarter-source event mass</x:v>
      </x:c>
      <x:c r="D37" s="13" t="n">
        <x:v>500</x:v>
      </x:c>
      <x:c r="E37" t="str">
        <x:v>kg</x:v>
      </x:c>
      <x:c r="F37" t="str">
        <x:v>design</x:v>
      </x:c>
      <x:c r="G37" t="str">
        <x:v>RHT-1</x:v>
      </x:c>
    </x:row>
    <x:row r="38">
      <x:c r="B38" t="str">
        <x:v>C32</x:v>
      </x:c>
      <x:c r="C38" t="str">
        <x:v>full-source event mass</x:v>
      </x:c>
      <x:c r="D38" s="13" t="n">
        <x:v>2000</x:v>
      </x:c>
      <x:c r="E38" t="str">
        <x:v>kg</x:v>
      </x:c>
      <x:c r="F38" t="str">
        <x:v>inherited</x:v>
      </x:c>
      <x:c r="G38" t="str">
        <x:v>SBD-1</x:v>
      </x:c>
    </x:row>
    <x:row r="39">
      <x:c r="B39" t="str">
        <x:v>C33</x:v>
      </x:c>
      <x:c r="C39" t="str">
        <x:v>quarter-source challenge count</x:v>
      </x:c>
      <x:c r="D39" s="13" t="n">
        <x:v>4</x:v>
      </x:c>
      <x:c r="E39" t="str">
        <x:v>count</x:v>
      </x:c>
      <x:c r="F39" t="str">
        <x:v>design</x:v>
      </x:c>
      <x:c r="G39" t="str">
        <x:v>RHT-1</x:v>
      </x:c>
    </x:row>
    <x:row r="40">
      <x:c r="B40" t="str">
        <x:v>C34</x:v>
      </x:c>
      <x:c r="C40" t="str">
        <x:v>full-source challenge count</x:v>
      </x:c>
      <x:c r="D40" s="13" t="n">
        <x:v>4</x:v>
      </x:c>
      <x:c r="E40" t="str">
        <x:v>count</x:v>
      </x:c>
      <x:c r="F40" t="str">
        <x:v>design</x:v>
      </x:c>
      <x:c r="G40" t="str">
        <x:v>RHT-1</x:v>
      </x:c>
    </x:row>
    <x:row r="41">
      <x:c r="B41" t="str">
        <x:v>C35</x:v>
      </x:c>
      <x:c r="C41" t="str">
        <x:v>architecture down-select authority</x:v>
      </x:c>
      <x:c r="D41" s="13" t="n">
        <x:v>0</x:v>
      </x:c>
      <x:c r="E41" t="str">
        <x:v>binary</x:v>
      </x:c>
      <x:c r="F41" t="str">
        <x:v>authority</x:v>
      </x:c>
      <x:c r="G41" t="str">
        <x:v>independent board</x:v>
      </x:c>
    </x:row>
    <x:row r="42">
      <x:c r="B42" t="str">
        <x:v>C36</x:v>
      </x:c>
      <x:c r="C42" t="str">
        <x:v>SBD-1 capital</x:v>
      </x:c>
      <x:c r="D42" s="13" t="n">
        <x:v>420</x:v>
      </x:c>
      <x:c r="E42" t="str">
        <x:v>USD M</x:v>
      </x:c>
      <x:c r="F42" t="str">
        <x:v>inherited</x:v>
      </x:c>
      <x:c r="G42" t="str">
        <x:v>SBD-1</x:v>
      </x:c>
    </x:row>
    <x:row r="43">
      <x:c r="B43" t="str">
        <x:v>C37</x:v>
      </x:c>
      <x:c r="C43" t="str">
        <x:v>SBD-1 annual support</x:v>
      </x:c>
      <x:c r="D43" s="13" t="n">
        <x:v>42</x:v>
      </x:c>
      <x:c r="E43" t="str">
        <x:v>USD M/year</x:v>
      </x:c>
      <x:c r="F43" t="str">
        <x:v>inherited</x:v>
      </x:c>
      <x:c r="G43" t="str">
        <x:v>SBD-1</x:v>
      </x:c>
    </x:row>
    <x:row r="44">
      <x:c r="B44" t="str">
        <x:v>C38</x:v>
      </x:c>
      <x:c r="C44" t="str">
        <x:v>SBD-1 Root B overlap capital</x:v>
      </x:c>
      <x:c r="D44" s="13" t="n">
        <x:v>172</x:v>
      </x:c>
      <x:c r="E44" t="str">
        <x:v>USD M</x:v>
      </x:c>
      <x:c r="F44" t="str">
        <x:v>design</x:v>
      </x:c>
      <x:c r="G44" t="str">
        <x:v>RHT-1</x:v>
      </x:c>
    </x:row>
    <x:row r="45">
      <x:c r="B45" t="str">
        <x:v>C39</x:v>
      </x:c>
      <x:c r="C45" t="str">
        <x:v>SBD-1 Root B overlap annual support</x:v>
      </x:c>
      <x:c r="D45" s="13" t="n">
        <x:v>18</x:v>
      </x:c>
      <x:c r="E45" t="str">
        <x:v>USD M/year</x:v>
      </x:c>
      <x:c r="F45" t="str">
        <x:v>design</x:v>
      </x:c>
      <x:c r="G45" t="str">
        <x:v>RHT-1</x:v>
      </x:c>
    </x:row>
    <x:row r="46">
      <x:c r="B46" t="str">
        <x:v>C40</x:v>
      </x:c>
      <x:c r="C46" t="str">
        <x:v>RHT-1 gross capital</x:v>
      </x:c>
      <x:c r="D46" s="13" t="n">
        <x:v>875</x:v>
      </x:c>
      <x:c r="E46" t="str">
        <x:v>USD M</x:v>
      </x:c>
      <x:c r="F46" t="str">
        <x:v>design</x:v>
      </x:c>
      <x:c r="G46" t="str">
        <x:v>RHT-1</x:v>
      </x:c>
    </x:row>
    <x:row r="47">
      <x:c r="B47" t="str">
        <x:v>C41</x:v>
      </x:c>
      <x:c r="C47" t="str">
        <x:v>RHT-1 gross annual support</x:v>
      </x:c>
      <x:c r="D47" s="13" t="n">
        <x:v>148</x:v>
      </x:c>
      <x:c r="E47" t="str">
        <x:v>USD M/year</x:v>
      </x:c>
      <x:c r="F47" t="str">
        <x:v>design</x:v>
      </x:c>
      <x:c r="G47" t="str">
        <x:v>RHT-1</x:v>
      </x:c>
    </x:row>
    <x:row r="48">
      <x:c r="B48" t="str">
        <x:v>C42</x:v>
      </x:c>
      <x:c r="C48" t="str">
        <x:v>CISA funding share of RHT-1 capital</x:v>
      </x:c>
      <x:c r="D48" s="13" t="n">
        <x:v>530</x:v>
      </x:c>
      <x:c r="E48" t="str">
        <x:v>USD M</x:v>
      </x:c>
      <x:c r="F48" t="str">
        <x:v>design</x:v>
      </x:c>
      <x:c r="G48" t="str">
        <x:v>RHT-1</x:v>
      </x:c>
    </x:row>
    <x:row r="49">
      <x:c r="B49" t="str">
        <x:v>C43</x:v>
      </x:c>
      <x:c r="C49" t="str">
        <x:v>CISA funding share of RHT-1 annual support</x:v>
      </x:c>
      <x:c r="D49" s="13" t="n">
        <x:v>90</x:v>
      </x:c>
      <x:c r="E49" t="str">
        <x:v>USD M/year</x:v>
      </x:c>
      <x:c r="F49" t="str">
        <x:v>design</x:v>
      </x:c>
      <x:c r="G49" t="str">
        <x:v>RHT-1</x:v>
      </x:c>
    </x:row>
    <x:row r="50">
      <x:c r="B50" t="str">
        <x:v>C44</x:v>
      </x:c>
      <x:c r="C50" t="str">
        <x:v>shared technology capital</x:v>
      </x:c>
      <x:c r="D50" s="13" t="n">
        <x:v>345</x:v>
      </x:c>
      <x:c r="E50" t="str">
        <x:v>USD M</x:v>
      </x:c>
      <x:c r="F50" t="str">
        <x:v>design</x:v>
      </x:c>
      <x:c r="G50" t="str">
        <x:v>RHT-1</x:v>
      </x:c>
    </x:row>
    <x:row r="51">
      <x:c r="B51" t="str">
        <x:v>C45</x:v>
      </x:c>
      <x:c r="C51" t="str">
        <x:v>shared technology annual support</x:v>
      </x:c>
      <x:c r="D51" s="13" t="n">
        <x:v>58</x:v>
      </x:c>
      <x:c r="E51" t="str">
        <x:v>USD M/year</x:v>
      </x:c>
      <x:c r="F51" t="str">
        <x:v>design</x:v>
      </x:c>
      <x:c r="G51" t="str">
        <x:v>RHT-1</x:v>
      </x:c>
    </x:row>
    <x:row r="52">
      <x:c r="B52" t="str">
        <x:v>C46</x:v>
      </x:c>
      <x:c r="C52" t="str">
        <x:v>BRD-4R capital</x:v>
      </x:c>
      <x:c r="D52" s="13" t="n">
        <x:v>940</x:v>
      </x:c>
      <x:c r="E52" t="str">
        <x:v>USD M</x:v>
      </x:c>
      <x:c r="F52" t="str">
        <x:v>inherited</x:v>
      </x:c>
      <x:c r="G52" t="str">
        <x:v>SBD-1</x:v>
      </x:c>
    </x:row>
    <x:row r="53">
      <x:c r="B53" t="str">
        <x:v>C47</x:v>
      </x:c>
      <x:c r="C53" t="str">
        <x:v>BRD-4R annual support</x:v>
      </x:c>
      <x:c r="D53" s="13" t="n">
        <x:v>174</x:v>
      </x:c>
      <x:c r="E53" t="str">
        <x:v>USD M/year</x:v>
      </x:c>
      <x:c r="F53" t="str">
        <x:v>inherited</x:v>
      </x:c>
      <x:c r="G53" t="str">
        <x:v>SBD-1</x:v>
      </x:c>
    </x:row>
    <x:row r="54">
      <x:c r="B54" t="str">
        <x:v>C48</x:v>
      </x:c>
      <x:c r="C54" t="str">
        <x:v>BRD-4U capital</x:v>
      </x:c>
      <x:c r="D54" s="13" t="n">
        <x:v>1068</x:v>
      </x:c>
      <x:c r="E54" t="str">
        <x:v>USD M</x:v>
      </x:c>
      <x:c r="F54" t="str">
        <x:v>inherited</x:v>
      </x:c>
      <x:c r="G54" t="str">
        <x:v>SBD-1</x:v>
      </x:c>
    </x:row>
    <x:row r="55">
      <x:c r="B55" t="str">
        <x:v>C49</x:v>
      </x:c>
      <x:c r="C55" t="str">
        <x:v>BRD-4U annual support</x:v>
      </x:c>
      <x:c r="D55" s="13" t="n">
        <x:v>215</x:v>
      </x:c>
      <x:c r="E55" t="str">
        <x:v>USD M/year</x:v>
      </x:c>
      <x:c r="F55" t="str">
        <x:v>inherited</x:v>
      </x:c>
      <x:c r="G55" t="str">
        <x:v>SBD-1</x:v>
      </x:c>
    </x:row>
    <x:row r="56">
      <x:c r="B56" t="str">
        <x:v>C50</x:v>
      </x:c>
      <x:c r="C56" t="str">
        <x:v>CISA-1 capital boundary</x:v>
      </x:c>
      <x:c r="D56" s="13" t="n">
        <x:v>960</x:v>
      </x:c>
      <x:c r="E56" t="str">
        <x:v>USD M</x:v>
      </x:c>
      <x:c r="F56" t="str">
        <x:v>inherited</x:v>
      </x:c>
      <x:c r="G56" t="str">
        <x:v>CISA-1</x:v>
      </x:c>
    </x:row>
    <x:row r="57">
      <x:c r="B57" t="str">
        <x:v>C51</x:v>
      </x:c>
      <x:c r="C57" t="str">
        <x:v>CISA-1 annual boundary</x:v>
      </x:c>
      <x:c r="D57" s="13" t="n">
        <x:v>260</x:v>
      </x:c>
      <x:c r="E57" t="str">
        <x:v>USD M/year</x:v>
      </x:c>
      <x:c r="F57" t="str">
        <x:v>inherited</x:v>
      </x:c>
      <x:c r="G57" t="str">
        <x:v>CISA-1</x:v>
      </x:c>
    </x:row>
    <x:row r="58">
      <x:c r="B58" t="str">
        <x:v>C52</x:v>
      </x:c>
      <x:c r="C58" t="str">
        <x:v>program duration</x:v>
      </x:c>
      <x:c r="D58" s="13" t="n">
        <x:v>42</x:v>
      </x:c>
      <x:c r="E58" t="str">
        <x:v>months</x:v>
      </x:c>
      <x:c r="F58" t="str">
        <x:v>design</x:v>
      </x:c>
      <x:c r="G58" t="str">
        <x:v>RHT-1</x:v>
      </x:c>
    </x:row>
    <x:row r="59">
      <x:c r="B59" t="str">
        <x:v>C53</x:v>
      </x:c>
      <x:c r="C59" t="str">
        <x:v>mission workforce</x:v>
      </x:c>
      <x:c r="D59" s="13" t="n">
        <x:v>426</x:v>
      </x:c>
      <x:c r="E59" t="str">
        <x:v>positions</x:v>
      </x:c>
      <x:c r="F59" t="str">
        <x:v>design</x:v>
      </x:c>
      <x:c r="G59" t="str">
        <x:v>RHT-1</x:v>
      </x:c>
    </x:row>
    <x:row r="60">
      <x:c r="B60" t="str">
        <x:v>C54</x:v>
      </x:c>
      <x:c r="C60" t="str">
        <x:v>accepted articles</x:v>
      </x:c>
      <x:c r="D60" s="13" t="n">
        <x:v>0</x:v>
      </x:c>
      <x:c r="E60" t="str">
        <x:v>count</x:v>
      </x:c>
      <x:c r="F60" t="str">
        <x:v>physical</x:v>
      </x:c>
      <x:c r="G60" t="str">
        <x:v>authority</x:v>
      </x:c>
    </x:row>
    <x:row r="61">
      <x:c r="B61" t="str">
        <x:v>C55</x:v>
      </x:c>
      <x:c r="C61" t="str">
        <x:v>executed events</x:v>
      </x:c>
      <x:c r="D61" s="13" t="n">
        <x:v>0</x:v>
      </x:c>
      <x:c r="E61" t="str">
        <x:v>count</x:v>
      </x:c>
      <x:c r="F61" t="str">
        <x:v>physical</x:v>
      </x:c>
      <x:c r="G61" t="str">
        <x:v>authority</x:v>
      </x:c>
    </x:row>
    <x:row r="62">
      <x:c r="B62" t="str">
        <x:v>C56</x:v>
      </x:c>
      <x:c r="C62" t="str">
        <x:v>accepted protocols</x:v>
      </x:c>
      <x:c r="D62" s="13" t="n">
        <x:v>0</x:v>
      </x:c>
      <x:c r="E62" t="str">
        <x:v>count</x:v>
      </x:c>
      <x:c r="F62" t="str">
        <x:v>physical</x:v>
      </x:c>
      <x:c r="G62" t="str">
        <x:v>authority</x:v>
      </x:c>
    </x:row>
    <x:row r="63">
      <x:c r="B63" t="str">
        <x:v>C57</x:v>
      </x:c>
      <x:c r="C63" t="str">
        <x:v>production authority</x:v>
      </x:c>
      <x:c r="D63" s="13" t="n">
        <x:v>0</x:v>
      </x:c>
      <x:c r="E63" t="str">
        <x:v>binary</x:v>
      </x:c>
      <x:c r="F63" t="str">
        <x:v>authority</x:v>
      </x:c>
      <x:c r="G63" t="str">
        <x:v>downstream</x:v>
      </x:c>
    </x:row>
    <x:row r="64">
      <x:c r="B64" t="str">
        <x:v>C58</x:v>
      </x:c>
      <x:c r="C64" t="str">
        <x:v>exterior-rendering authority</x:v>
      </x:c>
      <x:c r="D64" s="13" t="n">
        <x:v>0</x:v>
      </x:c>
      <x:c r="E64" t="str">
        <x:v>binary</x:v>
      </x:c>
      <x:c r="F64" t="str">
        <x:v>authority</x:v>
      </x:c>
      <x:c r="G64" t="str">
        <x:v>downstream</x:v>
      </x:c>
    </x:row>
    <x:row r="65">
      <x:c r="B65" t="str">
        <x:v>C59</x:v>
      </x:c>
      <x:c r="C65" t="str">
        <x:v>C2 authority</x:v>
      </x:c>
      <x:c r="D65" s="13" t="n">
        <x:v>0</x:v>
      </x:c>
      <x:c r="E65" t="str">
        <x:v>binary</x:v>
      </x:c>
      <x:c r="F65" t="str">
        <x:v>authority</x:v>
      </x:c>
      <x:c r="G65" t="str">
        <x:v>downstream</x:v>
      </x:c>
    </x:row>
    <x:row r="66">
      <x:c r="B66" t="str">
        <x:v>C60</x:v>
      </x:c>
      <x:c r="C66" t="str">
        <x:v>public site annexes</x:v>
      </x:c>
      <x:c r="D66" s="13" t="n">
        <x:v>3</x:v>
      </x:c>
      <x:c r="E66" t="str">
        <x:v>count</x:v>
      </x:c>
      <x:c r="F66" t="str">
        <x:v>design</x:v>
      </x:c>
      <x:c r="G66" t="str">
        <x:v>RHT-1</x:v>
      </x:c>
    </x:row>
    <x:row r="67">
      <x:c r="B67" t="str">
        <x:v>C61</x:v>
      </x:c>
      <x:c r="C67" t="str">
        <x:v>inherited SA6 establishment</x:v>
      </x:c>
      <x:c r="D67" s="13" t="n">
        <x:v>448</x:v>
      </x:c>
      <x:c r="E67" t="str">
        <x:v>positions</x:v>
      </x:c>
      <x:c r="F67" t="str">
        <x:v>inherited</x:v>
      </x:c>
      <x:c r="G67" t="str">
        <x:v>SBD-1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2" hidden="0" customWidth="1"/>
    <x:col min="3" max="3" width="16" hidden="0" customWidth="1"/>
    <x:col min="4" max="4" width="17" hidden="0" customWidth="1"/>
    <x:col min="5" max="5" width="20" hidden="0" customWidth="1"/>
    <x:col min="6" max="6" width="20" hidden="0" customWidth="1"/>
    <x:col min="7" max="7" width="18" hidden="0" customWidth="1"/>
    <x:col min="8" max="8" width="18" hidden="0" customWidth="1"/>
    <x:col min="9" max="9" width="21" hidden="0" customWidth="1"/>
    <x:col min="10" max="10" width="20" hidden="0" customWidth="1"/>
    <x:col min="11" max="11" width="22" hidden="0" customWidth="1"/>
    <x:col min="12" max="12" width="16" hidden="0" customWidth="1"/>
    <x:col min="13" max="13" width="23" hidden="0" customWidth="1"/>
    <x:col min="14" max="14" width="22" hidden="0" customWidth="1"/>
    <x:col min="15" max="15" width="21" hidden="0" customWidth="1"/>
  </x:cols>
  <x:sheetData>
    <x:row r="2">
      <x:c r="B2" s="1" t="str">
        <x:v>Root B source and first-order flow screens</x:v>
      </x:c>
    </x:row>
    <x:row r="3">
      <x:c r="B3" s="2" t="str">
        <x:v>Thermodynamic properties and source states are declared hypotheses. The equations do not qualify two-phase relief.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 ht="24" customHeight="1">
      <x:c r="B6" s="8" t="str">
        <x:v>State ID</x:v>
      </x:c>
      <x:c r="C6" s="9" t="str">
        <x:v>State</x:v>
      </x:c>
      <x:c r="D6" s="9" t="str">
        <x:v>Temperature (K)</x:v>
      </x:c>
      <x:c r="E6" s="9" t="str">
        <x:v>Pressure (MPa abs)</x:v>
      </x:c>
      <x:c r="F6" s="9" t="str">
        <x:v>External heat (MW)</x:v>
      </x:c>
      <x:c r="G6" s="9" t="str">
        <x:v>Source interval (s)</x:v>
      </x:c>
      <x:c r="H6" s="9" t="str">
        <x:v>Source mass (kg)</x:v>
      </x:c>
      <x:c r="I6" s="9" t="str">
        <x:v>Sensible energy (kJ)</x:v>
      </x:c>
      <x:c r="J6" s="9" t="str">
        <x:v>External heat (kJ)</x:v>
      </x:c>
      <x:c r="K6" s="9" t="str">
        <x:v>Screened vapor mass (kg)</x:v>
      </x:c>
      <x:c r="L6" s="9" t="str">
        <x:v>Flash fraction</x:v>
      </x:c>
      <x:c r="M6" s="9" t="str">
        <x:v>Reference gas volume (m3)</x:v>
      </x:c>
      <x:c r="N6" s="9" t="str">
        <x:v>Remaining liquid (m3)</x:v>
      </x:c>
      <x:c r="O6" s="10" t="str">
        <x:v>Chemical energy (MJ)</x:v>
      </x:c>
    </x:row>
    <x:row r="7">
      <x:c r="B7" t="str">
        <x:v>RB-S1</x:v>
      </x:c>
      <x:c r="C7" t="str">
        <x:v>cold</x:v>
      </x:c>
      <x:c r="D7" s="21" t="n">
        <x:v>258</x:v>
      </x:c>
      <x:c r="E7" s="21" t="n">
        <x:v>0.35</x:v>
      </x:c>
      <x:c r="F7" s="21" t="n">
        <x:v>0</x:v>
      </x:c>
      <x:c r="G7" s="22" t="n">
        <x:f>Controls!$D$17</x:f>
        <x:v>120</x:v>
      </x:c>
      <x:c r="H7" s="22" t="n">
        <x:f>Controls!$D$7</x:f>
        <x:v>2000</x:v>
      </x:c>
      <x:c r="I7" s="22" t="n">
        <x:f>H7*Controls!$D$11*MAX(D7-Controls!$D$13,0)</x:f>
        <x:v>50000</x:v>
      </x:c>
      <x:c r="J7" s="22" t="n">
        <x:f>F7*1000*G7</x:f>
        <x:v>0</x:v>
      </x:c>
      <x:c r="K7" s="22" t="n">
        <x:f>MIN(H7,(I7+J7)/Controls!$D$12)</x:f>
        <x:v>107.06638115631692</x:v>
      </x:c>
      <x:c r="L7" s="22" t="n">
        <x:f>K7/H7</x:f>
        <x:v>0.05353319057815846</x:v>
      </x:c>
      <x:c r="M7" s="22" t="n">
        <x:f>K7*Controls!$D$9</x:f>
        <x:v>56.74518201284797</x:v>
      </x:c>
      <x:c r="N7" s="22" t="n">
        <x:f>(H7-K7)/Controls!$D$8</x:f>
        <x:v>2.833732962340843</x:v>
      </x:c>
      <x:c r="O7" s="22" t="n">
        <x:f>H7*Controls!$D$10</x:f>
        <x:v>57024</x:v>
      </x:c>
    </x:row>
    <x:row r="8">
      <x:c r="B8" t="str">
        <x:v>RB-S2</x:v>
      </x:c>
      <x:c r="C8" t="str">
        <x:v>nominal</x:v>
      </x:c>
      <x:c r="D8" s="21" t="n">
        <x:v>293</x:v>
      </x:c>
      <x:c r="E8" s="21" t="n">
        <x:v>0.58</x:v>
      </x:c>
      <x:c r="F8" s="21" t="n">
        <x:v>0</x:v>
      </x:c>
      <x:c r="G8" s="22" t="n">
        <x:f>Controls!$D$17</x:f>
        <x:v>120</x:v>
      </x:c>
      <x:c r="H8" s="22" t="n">
        <x:f>Controls!$D$7</x:f>
        <x:v>2000</x:v>
      </x:c>
      <x:c r="I8" s="22" t="n">
        <x:f>H8*Controls!$D$11*MAX(D8-Controls!$D$13,0)</x:f>
        <x:v>225000</x:v>
      </x:c>
      <x:c r="J8" s="22" t="n">
        <x:f>F8*1000*G8</x:f>
        <x:v>0</x:v>
      </x:c>
      <x:c r="K8" s="22" t="n">
        <x:f>MIN(H8,(I8+J8)/Controls!$D$12)</x:f>
        <x:v>481.7987152034261</x:v>
      </x:c>
      <x:c r="L8" s="22" t="n">
        <x:f>K8/H8</x:f>
        <x:v>0.24089935760171308</x:v>
      </x:c>
      <x:c r="M8" s="22" t="n">
        <x:f>K8*Controls!$D$9</x:f>
        <x:v>255.35331905781587</x:v>
      </x:c>
      <x:c r="N8" s="22" t="n">
        <x:f>(H8-K8)/Controls!$D$8</x:f>
        <x:v>2.2727564143661287</x:v>
      </x:c>
      <x:c r="O8" s="22" t="n">
        <x:f>H8*Controls!$D$10</x:f>
        <x:v>57024</x:v>
      </x:c>
    </x:row>
    <x:row r="9">
      <x:c r="B9" t="str">
        <x:v>RB-S3</x:v>
      </x:c>
      <x:c r="C9" t="str">
        <x:v>hot</x:v>
      </x:c>
      <x:c r="D9" s="21" t="n">
        <x:v>323</x:v>
      </x:c>
      <x:c r="E9" s="21" t="n">
        <x:v>1.2</x:v>
      </x:c>
      <x:c r="F9" s="21" t="n">
        <x:v>2</x:v>
      </x:c>
      <x:c r="G9" s="22" t="n">
        <x:f>Controls!$D$17</x:f>
        <x:v>120</x:v>
      </x:c>
      <x:c r="H9" s="22" t="n">
        <x:f>Controls!$D$7</x:f>
        <x:v>2000</x:v>
      </x:c>
      <x:c r="I9" s="22" t="n">
        <x:f>H9*Controls!$D$11*MAX(D9-Controls!$D$13,0)</x:f>
        <x:v>375000</x:v>
      </x:c>
      <x:c r="J9" s="22" t="n">
        <x:f>F9*1000*G9</x:f>
        <x:v>240000</x:v>
      </x:c>
      <x:c r="K9" s="22" t="n">
        <x:f>MIN(H9,(I9+J9)/Controls!$D$12)</x:f>
        <x:v>1316.916488222698</x:v>
      </x:c>
      <x:c r="L9" s="22" t="n">
        <x:f>K9/H9</x:f>
        <x:v>0.658458244111349</x:v>
      </x:c>
      <x:c r="M9" s="22" t="n">
        <x:f>K9*Controls!$D$9</x:f>
        <x:v>697.9657387580299</x:v>
      </x:c>
      <x:c r="N9" s="22" t="n">
        <x:f>(H9-K9)/Controls!$D$8</x:f>
        <x:v>1.0225801074510508</x:v>
      </x:c>
      <x:c r="O9" s="22" t="n">
        <x:f>H9*Controls!$D$10</x:f>
        <x:v>57024</x:v>
      </x:c>
    </x:row>
    <x:row r="10">
      <x:c r="B10" t="str">
        <x:v>RB-S4</x:v>
      </x:c>
      <x:c r="C10" t="str">
        <x:v>fire-heated</x:v>
      </x:c>
      <x:c r="D10" s="21" t="n">
        <x:v>353</x:v>
      </x:c>
      <x:c r="E10" s="21" t="n">
        <x:v>2</x:v>
      </x:c>
      <x:c r="F10" s="21" t="n">
        <x:v>8</x:v>
      </x:c>
      <x:c r="G10" s="22" t="n">
        <x:f>Controls!$D$17</x:f>
        <x:v>120</x:v>
      </x:c>
      <x:c r="H10" s="22" t="n">
        <x:f>Controls!$D$7</x:f>
        <x:v>2000</x:v>
      </x:c>
      <x:c r="I10" s="22" t="n">
        <x:f>H10*Controls!$D$11*MAX(D10-Controls!$D$13,0)</x:f>
        <x:v>525000</x:v>
      </x:c>
      <x:c r="J10" s="22" t="n">
        <x:f>F10*1000*G10</x:f>
        <x:v>960000</x:v>
      </x:c>
      <x:c r="K10" s="22" t="n">
        <x:f>MIN(H10,(I10+J10)/Controls!$D$12)</x:f>
        <x:v>2000</x:v>
      </x:c>
      <x:c r="L10" s="22" t="n">
        <x:f>K10/H10</x:f>
        <x:v>1</x:v>
      </x:c>
      <x:c r="M10" s="22" t="n">
        <x:f>K10*Controls!$D$9</x:f>
        <x:v>1060</x:v>
      </x:c>
      <x:c r="N10" s="22" t="n">
        <x:f>(H10-K10)/Controls!$D$8</x:f>
        <x:v>0</x:v>
      </x:c>
      <x:c r="O10" s="22" t="n">
        <x:f>H10*Controls!$D$10</x:f>
        <x:v>57024</x:v>
      </x:c>
    </x:row>
    <x:row r="11"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</x:row>
    <x:row r="12"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</x:row>
    <x:row r="13" ht="24" customHeight="1">
      <x:c r="B13" s="8" t="str">
        <x:v>State ID</x:v>
      </x:c>
      <x:c r="C13" s="9" t="str">
        <x:v>State</x:v>
      </x:c>
      <x:c r="D13" s="24" t="str">
        <x:v>Pressure (Pa)</x:v>
      </x:c>
      <x:c r="E13" s="24" t="str">
        <x:v>Temperature (K)</x:v>
      </x:c>
      <x:c r="F13" s="24" t="str">
        <x:v>Ideal choked flux (kg/m2-s)</x:v>
      </x:c>
      <x:c r="G13" s="24" t="str">
        <x:v>Effective flux (kg/m2-s)</x:v>
      </x:c>
      <x:c r="H13" s="24" t="str">
        <x:v>Target flow (kg/s)</x:v>
      </x:c>
      <x:c r="I13" s="24" t="str">
        <x:v>500 mm area (m2)</x:v>
      </x:c>
      <x:c r="J13" s="24" t="str">
        <x:v>Normal capacity (kg/s)</x:v>
      </x:c>
      <x:c r="K13" s="24" t="str">
        <x:v>Normal transfer (s)</x:v>
      </x:c>
      <x:c r="L13" s="24" t="str">
        <x:v>Half-area capacity (kg/s)</x:v>
      </x:c>
      <x:c r="M13" s="24" t="str">
        <x:v>Half-area transfer (s)</x:v>
      </x:c>
      <x:c r="N13" s="25" t="str">
        <x:v>Planning result</x:v>
      </x:c>
      <x:c r="O13" s="23"/>
    </x:row>
    <x:row r="14">
      <x:c r="B14" t="str">
        <x:f>B7</x:f>
        <x:v>RB-S1</x:v>
      </x:c>
      <x:c r="C14" t="str">
        <x:f>C7</x:f>
        <x:v>cold</x:v>
      </x:c>
      <x:c r="D14" s="23" t="n">
        <x:f>E7*1000000</x:f>
        <x:v>350000</x:v>
      </x:c>
      <x:c r="E14" s="23" t="n">
        <x:f>D7</x:f>
        <x:v>258</x:v>
      </x:c>
      <x:c r="F14" s="23" t="n">
        <x:f>Controls!$D$16*D14*SQRT(Controls!$D$15/(Controls!$D$14*E14))*POWER(2/(Controls!$D$15+1),(Controls!$D$15+1)/(2*(Controls!$D$15-1)))</x:f>
        <x:v>841.2155823572986</x:v>
      </x:c>
      <x:c r="G14" s="23" t="n">
        <x:f>F14*Controls!$D$18</x:f>
        <x:v>126.18233735359478</x:v>
      </x:c>
      <x:c r="H14" s="23" t="n">
        <x:f>Controls!$D$7/Controls!$D$17</x:f>
        <x:v>16.666666666666668</x:v>
      </x:c>
      <x:c r="I14" s="23" t="n">
        <x:f>PI()*0.5^2/4</x:f>
        <x:v>0.19634954084936207</x:v>
      </x:c>
      <x:c r="J14" s="23" t="n">
        <x:f>G14*I14</x:f>
        <x:v>24.775844002677644</x:v>
      </x:c>
      <x:c r="K14" s="23" t="n">
        <x:f>Controls!$D$7/J14</x:f>
        <x:v>80.72378885594576</x:v>
      </x:c>
      <x:c r="L14" s="23" t="n">
        <x:f>J14*0.5</x:f>
        <x:v>12.387922001338822</x:v>
      </x:c>
      <x:c r="M14" s="23" t="n">
        <x:f>Controls!$D$7/L14</x:f>
        <x:v>161.4475777118915</x:v>
      </x:c>
      <x:c r="N14" s="23" t="str">
        <x:f>IF(M14&lt;=Controls!$D$20,"PASS","GAP")</x:f>
        <x:v>GAP</x:v>
      </x:c>
      <x:c r="O14" s="23"/>
    </x:row>
    <x:row r="15">
      <x:c r="B15" t="str">
        <x:f>B8</x:f>
        <x:v>RB-S2</x:v>
      </x:c>
      <x:c r="C15" t="str">
        <x:f>C8</x:f>
        <x:v>nominal</x:v>
      </x:c>
      <x:c r="D15" s="23" t="n">
        <x:f>E8*1000000</x:f>
        <x:v>580000</x:v>
      </x:c>
      <x:c r="E15" s="23" t="n">
        <x:f>D8</x:f>
        <x:v>293</x:v>
      </x:c>
      <x:c r="F15" s="23" t="n">
        <x:f>Controls!$D$16*D15*SQRT(Controls!$D$15/(Controls!$D$14*E15))*POWER(2/(Controls!$D$15+1),(Controls!$D$15+1)/(2*(Controls!$D$15-1)))</x:f>
        <x:v>1308.1070937600232</x:v>
      </x:c>
      <x:c r="G15" s="23" t="n">
        <x:f>F15*Controls!$D$18</x:f>
        <x:v>196.21606406400346</x:v>
      </x:c>
      <x:c r="H15" s="23" t="n">
        <x:f>Controls!$D$7/Controls!$D$17</x:f>
        <x:v>16.666666666666668</x:v>
      </x:c>
      <x:c r="I15" s="23" t="n">
        <x:f>PI()*0.5^2/4</x:f>
        <x:v>0.19634954084936207</x:v>
      </x:c>
      <x:c r="J15" s="23" t="n">
        <x:f>G15*I15</x:f>
        <x:v>38.52693408623609</x:v>
      </x:c>
      <x:c r="K15" s="23" t="n">
        <x:f>Controls!$D$7/J15</x:f>
        <x:v>51.91173519084947</x:v>
      </x:c>
      <x:c r="L15" s="23" t="n">
        <x:f>J15*0.5</x:f>
        <x:v>19.263467043118045</x:v>
      </x:c>
      <x:c r="M15" s="23" t="n">
        <x:f>Controls!$D$7/L15</x:f>
        <x:v>103.82347038169894</x:v>
      </x:c>
      <x:c r="N15" s="23" t="str">
        <x:f>IF(M15&lt;=Controls!$D$20,"PASS","GAP")</x:f>
        <x:v>PASS</x:v>
      </x:c>
      <x:c r="O15" s="23"/>
    </x:row>
    <x:row r="16">
      <x:c r="B16" t="str">
        <x:f>B9</x:f>
        <x:v>RB-S3</x:v>
      </x:c>
      <x:c r="C16" t="str">
        <x:f>C9</x:f>
        <x:v>hot</x:v>
      </x:c>
      <x:c r="D16" s="23" t="n">
        <x:f>E9*1000000</x:f>
        <x:v>1200000</x:v>
      </x:c>
      <x:c r="E16" s="23" t="n">
        <x:f>D9</x:f>
        <x:v>323</x:v>
      </x:c>
      <x:c r="F16" s="23" t="n">
        <x:f>Controls!$D$16*D16*SQRT(Controls!$D$15/(Controls!$D$14*E16))*POWER(2/(Controls!$D$15+1),(Controls!$D$15+1)/(2*(Controls!$D$15-1)))</x:f>
        <x:v>2577.6805959528365</x:v>
      </x:c>
      <x:c r="G16" s="23" t="n">
        <x:f>F16*Controls!$D$18</x:f>
        <x:v>386.65208939292546</x:v>
      </x:c>
      <x:c r="H16" s="23" t="n">
        <x:f>Controls!$D$7/Controls!$D$17</x:f>
        <x:v>16.666666666666668</x:v>
      </x:c>
      <x:c r="I16" s="23" t="n">
        <x:f>PI()*0.5^2/4</x:f>
        <x:v>0.19634954084936207</x:v>
      </x:c>
      <x:c r="J16" s="23" t="n">
        <x:f>G16*I16</x:f>
        <x:v>75.91896022074741</x:v>
      </x:c>
      <x:c r="K16" s="23" t="n">
        <x:f>Controls!$D$7/J16</x:f>
        <x:v>26.343880292678623</x:v>
      </x:c>
      <x:c r="L16" s="23" t="n">
        <x:f>J16*0.5</x:f>
        <x:v>37.959480110373704</x:v>
      </x:c>
      <x:c r="M16" s="23" t="n">
        <x:f>Controls!$D$7/L16</x:f>
        <x:v>52.687760585357246</x:v>
      </x:c>
      <x:c r="N16" s="23" t="str">
        <x:f>IF(M16&lt;=Controls!$D$20,"PASS","GAP")</x:f>
        <x:v>PASS</x:v>
      </x:c>
      <x:c r="O16" s="23"/>
    </x:row>
    <x:row r="17">
      <x:c r="B17" t="str">
        <x:f>B10</x:f>
        <x:v>RB-S4</x:v>
      </x:c>
      <x:c r="C17" t="str">
        <x:f>C10</x:f>
        <x:v>fire-heated</x:v>
      </x:c>
      <x:c r="D17" s="23" t="n">
        <x:f>E10*1000000</x:f>
        <x:v>2000000</x:v>
      </x:c>
      <x:c r="E17" s="23" t="n">
        <x:f>D10</x:f>
        <x:v>353</x:v>
      </x:c>
      <x:c r="F17" s="23" t="n">
        <x:f>Controls!$D$16*D17*SQRT(Controls!$D$15/(Controls!$D$14*E17))*POWER(2/(Controls!$D$15+1),(Controls!$D$15+1)/(2*(Controls!$D$15-1)))</x:f>
        <x:v>4109.526264242634</x:v>
      </x:c>
      <x:c r="G17" s="23" t="n">
        <x:f>F17*Controls!$D$18</x:f>
        <x:v>616.4289396363951</x:v>
      </x:c>
      <x:c r="H17" s="23" t="n">
        <x:f>Controls!$D$7/Controls!$D$17</x:f>
        <x:v>16.666666666666668</x:v>
      </x:c>
      <x:c r="I17" s="23" t="n">
        <x:f>PI()*0.5^2/4</x:f>
        <x:v>0.19634954084936207</x:v>
      </x:c>
      <x:c r="J17" s="23" t="n">
        <x:f>G17*I17</x:f>
        <x:v>121.0355392638653</x:v>
      </x:c>
      <x:c r="K17" s="23" t="n">
        <x:f>Controls!$D$7/J17</x:f>
        <x:v>16.52407228623876</x:v>
      </x:c>
      <x:c r="L17" s="23" t="n">
        <x:f>J17*0.5</x:f>
        <x:v>60.51776963193265</x:v>
      </x:c>
      <x:c r="M17" s="23" t="n">
        <x:f>Controls!$D$7/L17</x:f>
        <x:v>33.04814457247752</x:v>
      </x:c>
      <x:c r="N17" s="23" t="str">
        <x:f>IF(M17&lt;=Controls!$D$20,"PASS","GAP")</x:f>
        <x:v>PASS</x:v>
      </x:c>
      <x:c r="O17" s="23"/>
    </x:row>
    <x:row r="20">
      <x:c r="B20" s="17" t="str">
        <x:v>Governing screen</x:v>
      </x:c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9"/>
    </x:row>
    <x:row r="21" ht="30" customHeight="1">
      <x:c r="B21" s="20" t="str">
        <x:v>The inherited 500 mm single route misses the 120-second terminal target in the cold, half-area case. Competing architectures therefore use larger or multiple paths within each source train.</x:v>
      </x:c>
      <x:c r="C21"/>
      <x:c r="D21"/>
      <x:c r="E21"/>
      <x:c r="F21"/>
      <x:c r="G21"/>
      <x:c r="H21"/>
      <x:c r="I21"/>
      <x:c r="J21"/>
      <x:c r="K21"/>
      <x:c r="L21"/>
      <x:c r="M21"/>
      <x:c r="N21"/>
    </x:row>
  </x:sheetData>
  <x:mergeCells>
    <x:mergeCell ref="B20:N20"/>
    <x:mergeCell ref="B21:N21"/>
  </x:mergeCells>
  <x:conditionalFormatting sqref="N14:N17">
    <x:cfRule type="containsText" dxfId="0" priority="1" operator="containsText" text="FAIL"/>
    <x:cfRule type="containsText" dxfId="1" priority="2" operator="containsText" text="BLOCKED"/>
    <x:cfRule type="containsText" dxfId="2" priority="3" operator="containsText" text="OPEN"/>
    <x:cfRule type="containsText" dxfId="3" priority="4" operator="containsText" text="GAP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3" hidden="0" customWidth="1"/>
    <x:col min="3" max="3" width="39" hidden="0" customWidth="1"/>
    <x:col min="4" max="4" width="12" hidden="0" customWidth="1"/>
    <x:col min="5" max="5" width="13" hidden="0" customWidth="1"/>
    <x:col min="6" max="6" width="16" hidden="0" customWidth="1"/>
    <x:col min="7" max="7" width="20" hidden="0" customWidth="1"/>
    <x:col min="8" max="8" width="17" hidden="0" customWidth="1"/>
    <x:col min="9" max="9" width="20" hidden="0" customWidth="1"/>
    <x:col min="10" max="10" width="22" hidden="0" customWidth="1"/>
    <x:col min="11" max="11" width="21" hidden="0" customWidth="1"/>
    <x:col min="12" max="12" width="20" hidden="0" customWidth="1"/>
    <x:col min="13" max="13" width="21" hidden="0" customWidth="1"/>
    <x:col min="14" max="14" width="20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7" hidden="0" customWidth="1"/>
    <x:col min="22" max="22" width="18" hidden="0" customWidth="1"/>
    <x:col min="23" max="23" width="22" hidden="0" customWidth="1"/>
    <x:col min="24" max="24" width="15" hidden="0" customWidth="1"/>
    <x:col min="25" max="25" width="16" hidden="0" customWidth="1"/>
    <x:col min="26" max="26" width="17" hidden="0" customWidth="1"/>
    <x:col min="27" max="27" width="17" hidden="0" customWidth="1"/>
    <x:col min="28" max="28" width="54" hidden="0" customWidth="1"/>
    <x:col min="29" max="29" width="16" hidden="0" customWidth="1"/>
  </x:cols>
  <x:sheetData>
    <x:row r="2">
      <x:c r="B2" s="1" t="str">
        <x:v>Three Root B retention architectures</x:v>
      </x:c>
    </x:row>
    <x:row r="3">
      <x:c r="B3" s="2" t="str">
        <x:v>All three enter competition. Planning screens do not create a winner or physical acceptance.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 ht="24" customHeight="1">
      <x:c r="B6" s="8" t="str">
        <x:v>Architecture</x:v>
      </x:c>
      <x:c r="C6" s="9" t="str">
        <x:v>Concept</x:v>
      </x:c>
      <x:c r="D6" s="9" t="str">
        <x:v>Route paths</x:v>
      </x:c>
      <x:c r="E6" s="9" t="str">
        <x:v>Path ID (m)</x:v>
      </x:c>
      <x:c r="F6" s="9" t="str">
        <x:v>Total area (m2)</x:v>
      </x:c>
      <x:c r="G6" s="9" t="str">
        <x:v>Reference gas rate (m3/s)</x:v>
      </x:c>
      <x:c r="H6" s="9" t="str">
        <x:v>Normal velocity (m/s)</x:v>
      </x:c>
      <x:c r="I6" s="9" t="str">
        <x:v>Challenged area fraction</x:v>
      </x:c>
      <x:c r="J6" s="9" t="str">
        <x:v>Cold effective flux (kg/m2-s)</x:v>
      </x:c>
      <x:c r="K6" s="9" t="str">
        <x:v>Challenged capacity (kg/s)</x:v>
      </x:c>
      <x:c r="L6" s="9" t="str">
        <x:v>Challenged transfer (s)</x:v>
      </x:c>
      <x:c r="M6" s="9" t="str">
        <x:v>Pressure-capture fraction</x:v>
      </x:c>
      <x:c r="N6" s="9" t="str">
        <x:v>Receiver capacity (kg)</x:v>
      </x:c>
      <x:c r="O6" s="9" t="str">
        <x:v>Holder capacity (m3)</x:v>
      </x:c>
      <x:c r="P6" s="9" t="str">
        <x:v>Holder demand (m3)</x:v>
      </x:c>
      <x:c r="Q6" s="9" t="str">
        <x:v>Holder margin (m3)</x:v>
      </x:c>
      <x:c r="R6" s="9" t="str">
        <x:v>Stored heat sink (MJ)</x:v>
      </x:c>
      <x:c r="S6" s="9" t="str">
        <x:v>Condenser rate (MW)</x:v>
      </x:c>
      <x:c r="T6" s="9" t="str">
        <x:v>Oxidizer rate (kg/s)</x:v>
      </x:c>
      <x:c r="U6" s="9" t="str">
        <x:v>Destroyed fraction</x:v>
      </x:c>
      <x:c r="V6" s="9" t="str">
        <x:v>Destruction time (s)</x:v>
      </x:c>
      <x:c r="W6" s="9" t="str">
        <x:v>Maximum backpressure (MPa)</x:v>
      </x:c>
      <x:c r="X6" s="9" t="str">
        <x:v>Reset time (h)</x:v>
      </x:c>
      <x:c r="Y6" s="9" t="str">
        <x:v>Retained fraction</x:v>
      </x:c>
      <x:c r="Z6" s="9" t="str">
        <x:v>Accounted fraction</x:v>
      </x:c>
      <x:c r="AA6" s="9" t="str">
        <x:v>Footprint (m2)</x:v>
      </x:c>
      <x:c r="AB6" s="9" t="str">
        <x:v>Governing unknown</x:v>
      </x:c>
      <x:c r="AC6" s="10" t="str">
        <x:v>Planning state</x:v>
      </x:c>
    </x:row>
    <x:row r="7">
      <x:c r="B7" t="str">
        <x:v>RC-1</x:v>
      </x:c>
      <x:c r="C7" t="str">
        <x:v>direct segmented low-pressure capture</x:v>
      </x:c>
      <x:c r="D7" s="21" t="n">
        <x:v>1</x:v>
      </x:c>
      <x:c r="E7" s="21" t="n">
        <x:v>0.6</x:v>
      </x:c>
      <x:c r="F7" s="22" t="n">
        <x:f>D7*PI()*E7^2/4</x:f>
        <x:v>0.2827433388230814</x:v>
      </x:c>
      <x:c r="G7" s="22" t="n">
        <x:f>Controls!$D$7*Controls!$D$9/Controls!$D$17</x:f>
        <x:v>8.833333333333334</x:v>
      </x:c>
      <x:c r="H7" s="22" t="n">
        <x:f>G7/F7</x:f>
        <x:v>31.241525866186866</x:v>
      </x:c>
      <x:c r="I7" s="22" t="n">
        <x:v>0.5</x:v>
      </x:c>
      <x:c r="J7" s="22" t="n">
        <x:f>'Source Physics'!G14</x:f>
        <x:v>126.18233735359478</x:v>
      </x:c>
      <x:c r="K7" s="22" t="n">
        <x:f>F7*I7*J7</x:f>
        <x:v>17.838607681927904</x:v>
      </x:c>
      <x:c r="L7" s="22" t="n">
        <x:f>Controls!$D$7/K7</x:f>
        <x:v>112.11637341103577</x:v>
      </x:c>
      <x:c r="M7" s="21" t="n">
        <x:v>0.1</x:v>
      </x:c>
      <x:c r="N7" s="21" t="n">
        <x:v>2500</x:v>
      </x:c>
      <x:c r="O7" s="21" t="n">
        <x:v>2200</x:v>
      </x:c>
      <x:c r="P7" s="22" t="n">
        <x:f>(1-M7)*Controls!$D$7*Controls!$D$9*Controls!$D$19</x:f>
        <x:v>1431</x:v>
      </x:c>
      <x:c r="Q7" s="22" t="n">
        <x:f>O7-P7</x:f>
        <x:v>769</x:v>
      </x:c>
      <x:c r="R7" s="21" t="n">
        <x:v>0</x:v>
      </x:c>
      <x:c r="S7" s="21" t="n">
        <x:v>0</x:v>
      </x:c>
      <x:c r="T7" s="21" t="n">
        <x:v>0</x:v>
      </x:c>
      <x:c r="U7" s="21" t="n">
        <x:v>0</x:v>
      </x:c>
      <x:c r="V7" s="22" t="n">
        <x:f>IF(T7=0,0,Controls!$D$7*U7/T7)</x:f>
        <x:v>0</x:v>
      </x:c>
      <x:c r="W7" s="21" t="n">
        <x:v>0.15</x:v>
      </x:c>
      <x:c r="X7" s="21" t="n">
        <x:v>72</x:v>
      </x:c>
      <x:c r="Y7" s="21" t="n">
        <x:v>1</x:v>
      </x:c>
      <x:c r="Z7" s="21" t="n">
        <x:v>0.9975</x:v>
      </x:c>
      <x:c r="AA7" s="21" t="n">
        <x:v>3000</x:v>
      </x:c>
      <x:c r="AB7" s="11" t="str">
        <x:v>deployment volume, membrane compatibility and wind</x:v>
      </x:c>
      <x:c r="AC7" t="str">
        <x:f>IF(AND(L7&lt;=Controls!$D$20,Q7&gt;=0,N7&gt;=Controls!$D$7*M7,W7&lt;=0.3,X7&lt;=96,Y7&gt;=0.99,Z7&gt;=1-Controls!$D$21/Controls!$D$7),"PASS","GAP")</x:f>
        <x:v>PASS</x:v>
      </x:c>
    </x:row>
    <x:row r="8">
      <x:c r="B8" t="str">
        <x:v>RC-2</x:v>
      </x:c>
      <x:c r="C8" t="str">
        <x:v>staged receiver and condensation</x:v>
      </x:c>
      <x:c r="D8" s="21" t="n">
        <x:v>2</x:v>
      </x:c>
      <x:c r="E8" s="21" t="n">
        <x:v>0.45</x:v>
      </x:c>
      <x:c r="F8" s="22" t="n">
        <x:f>D8*PI()*E8^2/4</x:f>
        <x:v>0.3180862561759666</x:v>
      </x:c>
      <x:c r="G8" s="22" t="n">
        <x:f>Controls!$D$7*Controls!$D$9/Controls!$D$17</x:f>
        <x:v>8.833333333333334</x:v>
      </x:c>
      <x:c r="H8" s="22" t="n">
        <x:f>G8/F8</x:f>
        <x:v>27.77024521438832</x:v>
      </x:c>
      <x:c r="I8" s="22" t="n">
        <x:v>0.5</x:v>
      </x:c>
      <x:c r="J8" s="22" t="n">
        <x:f>'Source Physics'!G14</x:f>
        <x:v>126.18233735359478</x:v>
      </x:c>
      <x:c r="K8" s="22" t="n">
        <x:f>F8*I8*J8</x:f>
        <x:v>20.06843364216889</x:v>
      </x:c>
      <x:c r="L8" s="22" t="n">
        <x:f>Controls!$D$7/K8</x:f>
        <x:v>99.65899858758735</x:v>
      </x:c>
      <x:c r="M8" s="21" t="n">
        <x:v>0.65</x:v>
      </x:c>
      <x:c r="N8" s="21" t="n">
        <x:v>6500</x:v>
      </x:c>
      <x:c r="O8" s="21" t="n">
        <x:v>600</x:v>
      </x:c>
      <x:c r="P8" s="22" t="n">
        <x:f>(1-M8)*Controls!$D$7*Controls!$D$9*Controls!$D$19</x:f>
        <x:v>556.5</x:v>
      </x:c>
      <x:c r="Q8" s="22" t="n">
        <x:f>O8-P8</x:f>
        <x:v>43.5</x:v>
      </x:c>
      <x:c r="R8" s="21" t="n">
        <x:v>1200</x:v>
      </x:c>
      <x:c r="S8" s="21" t="n">
        <x:v>2.5</x:v>
      </x:c>
      <x:c r="T8" s="21" t="n">
        <x:v>0</x:v>
      </x:c>
      <x:c r="U8" s="21" t="n">
        <x:v>0</x:v>
      </x:c>
      <x:c r="V8" s="22" t="n">
        <x:f>IF(T8=0,0,Controls!$D$7*U8/T8)</x:f>
        <x:v>0</x:v>
      </x:c>
      <x:c r="W8" s="21" t="n">
        <x:v>0.28</x:v>
      </x:c>
      <x:c r="X8" s="21" t="n">
        <x:v>96</x:v>
      </x:c>
      <x:c r="Y8" s="21" t="n">
        <x:v>1</x:v>
      </x:c>
      <x:c r="Z8" s="21" t="n">
        <x:v>0.998</x:v>
      </x:c>
      <x:c r="AA8" s="21" t="n">
        <x:v>1200</x:v>
      </x:c>
      <x:c r="AB8" s="11" t="str">
        <x:v>backpressure, refrigeration and active complexity</x:v>
      </x:c>
      <x:c r="AC8" t="str">
        <x:f>IF(AND(L8&lt;=Controls!$D$20,Q8&gt;=0,N8&gt;=Controls!$D$7*M8,W8&lt;=0.3,X8&lt;=96,Y8&gt;=0.99,Z8&gt;=1-Controls!$D$21/Controls!$D$7),"PASS","GAP")</x:f>
        <x:v>PASS</x:v>
      </x:c>
    </x:row>
    <x:row r="9">
      <x:c r="B9" t="str">
        <x:v>RC-3</x:v>
      </x:c>
      <x:c r="C9" t="str">
        <x:v>hybrid recovery and measured destruction</x:v>
      </x:c>
      <x:c r="D9" s="21" t="n">
        <x:v>3</x:v>
      </x:c>
      <x:c r="E9" s="21" t="n">
        <x:v>0.35</x:v>
      </x:c>
      <x:c r="F9" s="22" t="n">
        <x:f>D9*PI()*E9^2/4</x:f>
        <x:v>0.2886338250485622</x:v>
      </x:c>
      <x:c r="G9" s="22" t="n">
        <x:f>Controls!$D$7*Controls!$D$9/Controls!$D$17</x:f>
        <x:v>8.833333333333334</x:v>
      </x:c>
      <x:c r="H9" s="22" t="n">
        <x:f>G9/F9</x:f>
        <x:v>30.60394370565244</x:v>
      </x:c>
      <x:c r="I9" s="22" t="n">
        <x:v>0.667</x:v>
      </x:c>
      <x:c r="J9" s="22" t="n">
        <x:f>'Source Physics'!G14</x:f>
        <x:v>126.18233735359478</x:v>
      </x:c>
      <x:c r="K9" s="22" t="n">
        <x:f>F9*I9*J9</x:f>
        <x:v>24.292467286185403</x:v>
      </x:c>
      <x:c r="L9" s="22" t="n">
        <x:f>Controls!$D$7/K9</x:f>
        <x:v>82.33004809426487</x:v>
      </x:c>
      <x:c r="M9" s="21" t="n">
        <x:v>0.35</x:v>
      </x:c>
      <x:c r="N9" s="21" t="n">
        <x:v>5344</x:v>
      </x:c>
      <x:c r="O9" s="21" t="n">
        <x:v>1200</x:v>
      </x:c>
      <x:c r="P9" s="22" t="n">
        <x:f>(1-M9)*Controls!$D$7*Controls!$D$9*Controls!$D$19</x:f>
        <x:v>1033.5</x:v>
      </x:c>
      <x:c r="Q9" s="22" t="n">
        <x:f>O9-P9</x:f>
        <x:v>166.5</x:v>
      </x:c>
      <x:c r="R9" s="21" t="n">
        <x:v>650</x:v>
      </x:c>
      <x:c r="S9" s="21" t="n">
        <x:v>1.5</x:v>
      </x:c>
      <x:c r="T9" s="21" t="n">
        <x:v>0.25</x:v>
      </x:c>
      <x:c r="U9" s="21" t="n">
        <x:v>0.01</x:v>
      </x:c>
      <x:c r="V9" s="22" t="n">
        <x:f>IF(T9=0,0,Controls!$D$7*U9/T9)</x:f>
        <x:v>80</x:v>
      </x:c>
      <x:c r="W9" s="21" t="n">
        <x:v>0.25</x:v>
      </x:c>
      <x:c r="X9" s="21" t="n">
        <x:v>84</x:v>
      </x:c>
      <x:c r="Y9" s="21" t="n">
        <x:v>0.99</x:v>
      </x:c>
      <x:c r="Z9" s="21" t="n">
        <x:v>0.9975</x:v>
      </x:c>
      <x:c r="AA9" s="21" t="n">
        <x:v>1800</x:v>
      </x:c>
      <x:c r="AB9" s="11" t="str">
        <x:v>ignition control, source loss and emissions accounting</x:v>
      </x:c>
      <x:c r="AC9" t="str">
        <x:f>IF(AND(L9&lt;=Controls!$D$20,Q9&gt;=0,N9&gt;=Controls!$D$7*M9,W9&lt;=0.3,X9&lt;=96,Y9&gt;=0.99,Z9&gt;=1-Controls!$D$21/Controls!$D$7),"PASS","GAP")</x:f>
        <x:v>PASS</x:v>
      </x:c>
    </x:row>
  </x:sheetData>
  <x:conditionalFormatting sqref="AC7:AC9">
    <x:cfRule type="containsText" dxfId="8" priority="1" operator="containsText" text="FAIL"/>
    <x:cfRule type="containsText" dxfId="9" priority="2" operator="containsText" text="BLOCKED"/>
    <x:cfRule type="containsText" dxfId="10" priority="3" operator="containsText" text="OPEN"/>
    <x:cfRule type="containsText" dxfId="11" priority="4" operator="containsText" text="GAP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4" hidden="0" customWidth="1"/>
    <x:col min="3" max="3" width="14" hidden="0" customWidth="1"/>
    <x:col min="4" max="4" width="17" hidden="0" customWidth="1"/>
    <x:col min="5" max="5" width="18" hidden="0" customWidth="1"/>
    <x:col min="6" max="6" width="17" hidden="0" customWidth="1"/>
    <x:col min="7" max="7" width="25" hidden="0" customWidth="1"/>
    <x:col min="8" max="8" width="22" hidden="0" customWidth="1"/>
    <x:col min="9" max="9" width="19" hidden="0" customWidth="1"/>
    <x:col min="10" max="10" width="20" hidden="0" customWidth="1"/>
    <x:col min="11" max="11" width="18" hidden="0" customWidth="1"/>
    <x:col min="12" max="12" width="21" hidden="0" customWidth="1"/>
    <x:col min="13" max="13" width="21" hidden="0" customWidth="1"/>
    <x:col min="14" max="14" width="19" hidden="0" customWidth="1"/>
    <x:col min="15" max="15" width="19" hidden="0" customWidth="1"/>
    <x:col min="16" max="16" width="18" hidden="0" customWidth="1"/>
    <x:col min="17" max="17" width="21" hidden="0" customWidth="1"/>
    <x:col min="18" max="18" width="16" hidden="0" customWidth="1"/>
  </x:cols>
  <x:sheetData>
    <x:row r="2">
      <x:c r="B2" s="1" t="str">
        <x:v>Architecture mass and energy closure</x:v>
      </x:c>
    </x:row>
    <x:row r="3">
      <x:c r="B3" s="2" t="str">
        <x:v>Long-horizon all-vapor demand is distinct from the initial flash screen. Physical closure remains open.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 ht="24" customHeight="1">
      <x:c r="B6" s="8" t="str">
        <x:v>Architecture</x:v>
      </x:c>
      <x:c r="C6" s="9" t="str">
        <x:v>Source state</x:v>
      </x:c>
      <x:c r="D6" s="9" t="str">
        <x:v>Source mass (kg)</x:v>
      </x:c>
      <x:c r="E6" s="9" t="str">
        <x:v>Initial vapor (kg)</x:v>
      </x:c>
      <x:c r="F6" s="9" t="str">
        <x:v>Initial gas (m3)</x:v>
      </x:c>
      <x:c r="G6" s="9" t="str">
        <x:v>Pressure-captured mass (kg)</x:v>
      </x:c>
      <x:c r="H6" s="9" t="str">
        <x:v>Holder source mass (kg)</x:v>
      </x:c>
      <x:c r="I6" s="9" t="str">
        <x:v>Holder demand (m3)</x:v>
      </x:c>
      <x:c r="J6" s="9" t="str">
        <x:v>Holder capacity (m3)</x:v>
      </x:c>
      <x:c r="K6" s="9" t="str">
        <x:v>Holder margin (m3)</x:v>
      </x:c>
      <x:c r="L6" s="9" t="str">
        <x:v>Condensation load (MJ)</x:v>
      </x:c>
      <x:c r="M6" s="9" t="str">
        <x:v>Stored heat sink (MJ)</x:v>
      </x:c>
      <x:c r="N6" s="9" t="str">
        <x:v>Thermal margin (MJ)</x:v>
      </x:c>
      <x:c r="O6" s="9" t="str">
        <x:v>Destroyed mass (kg)</x:v>
      </x:c>
      <x:c r="P6" s="9" t="str">
        <x:v>Retained mass (kg)</x:v>
      </x:c>
      <x:c r="Q6" s="9" t="str">
        <x:v>Allowed discrepancy (kg)</x:v>
      </x:c>
      <x:c r="R6" s="10" t="str">
        <x:v>Planning state</x:v>
      </x:c>
    </x:row>
    <x:row r="7">
      <x:c r="B7" t="str">
        <x:v>RC-1</x:v>
      </x:c>
      <x:c r="C7" t="str">
        <x:v>RB-S1</x:v>
      </x:c>
      <x:c r="D7" s="22" t="n">
        <x:f>Controls!$D$7</x:f>
        <x:v>2000</x:v>
      </x:c>
      <x:c r="E7" s="22" t="n">
        <x:f>'Source Physics'!K7</x:f>
        <x:v>107.06638115631692</x:v>
      </x:c>
      <x:c r="F7" s="22" t="n">
        <x:f>'Source Physics'!M7</x:f>
        <x:v>56.74518201284797</x:v>
      </x:c>
      <x:c r="G7" s="22" t="n">
        <x:f>D7*'Architecture Build'!M7</x:f>
        <x:v>200</x:v>
      </x:c>
      <x:c r="H7" s="22" t="n">
        <x:f>D7-G7</x:f>
        <x:v>1800</x:v>
      </x:c>
      <x:c r="I7" s="22" t="n">
        <x:f>H7*Controls!$D$9*Controls!$D$19</x:f>
        <x:v>1431</x:v>
      </x:c>
      <x:c r="J7" s="22" t="n">
        <x:f>'Architecture Build'!O7</x:f>
        <x:v>2200</x:v>
      </x:c>
      <x:c r="K7" s="22" t="n">
        <x:f>J7-I7</x:f>
        <x:v>769</x:v>
      </x:c>
      <x:c r="L7" s="22" t="n">
        <x:f>H7*Controls!$D$12/1000</x:f>
        <x:v>840.6</x:v>
      </x:c>
      <x:c r="M7" s="22" t="n">
        <x:f>'Architecture Build'!R7</x:f>
        <x:v>0</x:v>
      </x:c>
      <x:c r="N7" s="22" t="str">
        <x:f>IF('Architecture Build'!S7=0,"n.a.",M7-L7)</x:f>
        <x:v>n.a.</x:v>
      </x:c>
      <x:c r="O7" s="22" t="n">
        <x:f>D7*'Architecture Build'!U7</x:f>
        <x:v>0</x:v>
      </x:c>
      <x:c r="P7" s="22" t="n">
        <x:f>D7-O7</x:f>
        <x:v>2000</x:v>
      </x:c>
      <x:c r="Q7" s="22" t="n">
        <x:f>D7*(1-'Architecture Build'!Z7)</x:f>
        <x:v>4.999999999999893</x:v>
      </x:c>
      <x:c r="R7" t="str">
        <x:f>IF(AND(K7&gt;=0,P7/D7&gt;='Architecture Build'!Y7,Q7&lt;=Controls!$D$21,IF('Architecture Build'!S7=0,TRUE,M7&gt;=L7)),"PASS","GAP")</x:f>
        <x:v>PASS</x:v>
      </x:c>
    </x:row>
    <x:row r="8">
      <x:c r="B8" t="str">
        <x:v>RC-1</x:v>
      </x:c>
      <x:c r="C8" t="str">
        <x:v>RB-S2</x:v>
      </x:c>
      <x:c r="D8" s="22" t="n">
        <x:f>Controls!$D$7</x:f>
        <x:v>2000</x:v>
      </x:c>
      <x:c r="E8" s="22" t="n">
        <x:f>'Source Physics'!K8</x:f>
        <x:v>481.7987152034261</x:v>
      </x:c>
      <x:c r="F8" s="22" t="n">
        <x:f>'Source Physics'!M8</x:f>
        <x:v>255.35331905781587</x:v>
      </x:c>
      <x:c r="G8" s="22" t="n">
        <x:f>D8*'Architecture Build'!M7</x:f>
        <x:v>200</x:v>
      </x:c>
      <x:c r="H8" s="22" t="n">
        <x:f>D8-G8</x:f>
        <x:v>1800</x:v>
      </x:c>
      <x:c r="I8" s="22" t="n">
        <x:f>H8*Controls!$D$9*Controls!$D$19</x:f>
        <x:v>1431</x:v>
      </x:c>
      <x:c r="J8" s="22" t="n">
        <x:f>'Architecture Build'!O7</x:f>
        <x:v>2200</x:v>
      </x:c>
      <x:c r="K8" s="22" t="n">
        <x:f>J8-I8</x:f>
        <x:v>769</x:v>
      </x:c>
      <x:c r="L8" s="22" t="n">
        <x:f>H8*Controls!$D$12/1000</x:f>
        <x:v>840.6</x:v>
      </x:c>
      <x:c r="M8" s="22" t="n">
        <x:f>'Architecture Build'!R7</x:f>
        <x:v>0</x:v>
      </x:c>
      <x:c r="N8" s="22" t="str">
        <x:f>IF('Architecture Build'!S7=0,"n.a.",M8-L8)</x:f>
        <x:v>n.a.</x:v>
      </x:c>
      <x:c r="O8" s="22" t="n">
        <x:f>D8*'Architecture Build'!U7</x:f>
        <x:v>0</x:v>
      </x:c>
      <x:c r="P8" s="22" t="n">
        <x:f>D8-O8</x:f>
        <x:v>2000</x:v>
      </x:c>
      <x:c r="Q8" s="22" t="n">
        <x:f>D8*(1-'Architecture Build'!Z7)</x:f>
        <x:v>4.999999999999893</x:v>
      </x:c>
      <x:c r="R8" t="str">
        <x:f>IF(AND(K8&gt;=0,P8/D8&gt;='Architecture Build'!Y7,Q8&lt;=Controls!$D$21,IF('Architecture Build'!S7=0,TRUE,M8&gt;=L8)),"PASS","GAP")</x:f>
        <x:v>PASS</x:v>
      </x:c>
    </x:row>
    <x:row r="9">
      <x:c r="B9" t="str">
        <x:v>RC-1</x:v>
      </x:c>
      <x:c r="C9" t="str">
        <x:v>RB-S3</x:v>
      </x:c>
      <x:c r="D9" s="22" t="n">
        <x:f>Controls!$D$7</x:f>
        <x:v>2000</x:v>
      </x:c>
      <x:c r="E9" s="22" t="n">
        <x:f>'Source Physics'!K9</x:f>
        <x:v>1316.916488222698</x:v>
      </x:c>
      <x:c r="F9" s="22" t="n">
        <x:f>'Source Physics'!M9</x:f>
        <x:v>697.9657387580299</x:v>
      </x:c>
      <x:c r="G9" s="22" t="n">
        <x:f>D9*'Architecture Build'!M7</x:f>
        <x:v>200</x:v>
      </x:c>
      <x:c r="H9" s="22" t="n">
        <x:f>D9-G9</x:f>
        <x:v>1800</x:v>
      </x:c>
      <x:c r="I9" s="22" t="n">
        <x:f>H9*Controls!$D$9*Controls!$D$19</x:f>
        <x:v>1431</x:v>
      </x:c>
      <x:c r="J9" s="22" t="n">
        <x:f>'Architecture Build'!O7</x:f>
        <x:v>2200</x:v>
      </x:c>
      <x:c r="K9" s="22" t="n">
        <x:f>J9-I9</x:f>
        <x:v>769</x:v>
      </x:c>
      <x:c r="L9" s="22" t="n">
        <x:f>H9*Controls!$D$12/1000</x:f>
        <x:v>840.6</x:v>
      </x:c>
      <x:c r="M9" s="22" t="n">
        <x:f>'Architecture Build'!R7</x:f>
        <x:v>0</x:v>
      </x:c>
      <x:c r="N9" s="22" t="str">
        <x:f>IF('Architecture Build'!S7=0,"n.a.",M9-L9)</x:f>
        <x:v>n.a.</x:v>
      </x:c>
      <x:c r="O9" s="22" t="n">
        <x:f>D9*'Architecture Build'!U7</x:f>
        <x:v>0</x:v>
      </x:c>
      <x:c r="P9" s="22" t="n">
        <x:f>D9-O9</x:f>
        <x:v>2000</x:v>
      </x:c>
      <x:c r="Q9" s="22" t="n">
        <x:f>D9*(1-'Architecture Build'!Z7)</x:f>
        <x:v>4.999999999999893</x:v>
      </x:c>
      <x:c r="R9" t="str">
        <x:f>IF(AND(K9&gt;=0,P9/D9&gt;='Architecture Build'!Y7,Q9&lt;=Controls!$D$21,IF('Architecture Build'!S7=0,TRUE,M9&gt;=L9)),"PASS","GAP")</x:f>
        <x:v>PASS</x:v>
      </x:c>
    </x:row>
    <x:row r="10">
      <x:c r="B10" t="str">
        <x:v>RC-1</x:v>
      </x:c>
      <x:c r="C10" t="str">
        <x:v>RB-S4</x:v>
      </x:c>
      <x:c r="D10" s="22" t="n">
        <x:f>Controls!$D$7</x:f>
        <x:v>2000</x:v>
      </x:c>
      <x:c r="E10" s="22" t="n">
        <x:f>'Source Physics'!K10</x:f>
        <x:v>2000</x:v>
      </x:c>
      <x:c r="F10" s="22" t="n">
        <x:f>'Source Physics'!M10</x:f>
        <x:v>1060</x:v>
      </x:c>
      <x:c r="G10" s="22" t="n">
        <x:f>D10*'Architecture Build'!M7</x:f>
        <x:v>200</x:v>
      </x:c>
      <x:c r="H10" s="22" t="n">
        <x:f>D10-G10</x:f>
        <x:v>1800</x:v>
      </x:c>
      <x:c r="I10" s="22" t="n">
        <x:f>H10*Controls!$D$9*Controls!$D$19</x:f>
        <x:v>1431</x:v>
      </x:c>
      <x:c r="J10" s="22" t="n">
        <x:f>'Architecture Build'!O7</x:f>
        <x:v>2200</x:v>
      </x:c>
      <x:c r="K10" s="22" t="n">
        <x:f>J10-I10</x:f>
        <x:v>769</x:v>
      </x:c>
      <x:c r="L10" s="22" t="n">
        <x:f>H10*Controls!$D$12/1000</x:f>
        <x:v>840.6</x:v>
      </x:c>
      <x:c r="M10" s="22" t="n">
        <x:f>'Architecture Build'!R7</x:f>
        <x:v>0</x:v>
      </x:c>
      <x:c r="N10" s="22" t="str">
        <x:f>IF('Architecture Build'!S7=0,"n.a.",M10-L10)</x:f>
        <x:v>n.a.</x:v>
      </x:c>
      <x:c r="O10" s="22" t="n">
        <x:f>D10*'Architecture Build'!U7</x:f>
        <x:v>0</x:v>
      </x:c>
      <x:c r="P10" s="22" t="n">
        <x:f>D10-O10</x:f>
        <x:v>2000</x:v>
      </x:c>
      <x:c r="Q10" s="22" t="n">
        <x:f>D10*(1-'Architecture Build'!Z7)</x:f>
        <x:v>4.999999999999893</x:v>
      </x:c>
      <x:c r="R10" t="str">
        <x:f>IF(AND(K10&gt;=0,P10/D10&gt;='Architecture Build'!Y7,Q10&lt;=Controls!$D$21,IF('Architecture Build'!S7=0,TRUE,M10&gt;=L10)),"PASS","GAP")</x:f>
        <x:v>PASS</x:v>
      </x:c>
    </x:row>
    <x:row r="11">
      <x:c r="B11" t="str">
        <x:v>RC-2</x:v>
      </x:c>
      <x:c r="C11" t="str">
        <x:v>RB-S1</x:v>
      </x:c>
      <x:c r="D11" s="22" t="n">
        <x:f>Controls!$D$7</x:f>
        <x:v>2000</x:v>
      </x:c>
      <x:c r="E11" s="22" t="n">
        <x:f>'Source Physics'!K7</x:f>
        <x:v>107.06638115631692</x:v>
      </x:c>
      <x:c r="F11" s="22" t="n">
        <x:f>'Source Physics'!M7</x:f>
        <x:v>56.74518201284797</x:v>
      </x:c>
      <x:c r="G11" s="22" t="n">
        <x:f>D11*'Architecture Build'!M8</x:f>
        <x:v>1300</x:v>
      </x:c>
      <x:c r="H11" s="22" t="n">
        <x:f>D11-G11</x:f>
        <x:v>700</x:v>
      </x:c>
      <x:c r="I11" s="22" t="n">
        <x:f>H11*Controls!$D$9*Controls!$D$19</x:f>
        <x:v>556.5</x:v>
      </x:c>
      <x:c r="J11" s="22" t="n">
        <x:f>'Architecture Build'!O8</x:f>
        <x:v>600</x:v>
      </x:c>
      <x:c r="K11" s="22" t="n">
        <x:f>J11-I11</x:f>
        <x:v>43.5</x:v>
      </x:c>
      <x:c r="L11" s="22" t="n">
        <x:f>H11*Controls!$D$12/1000</x:f>
        <x:v>326.9</x:v>
      </x:c>
      <x:c r="M11" s="22" t="n">
        <x:f>'Architecture Build'!R8</x:f>
        <x:v>1200</x:v>
      </x:c>
      <x:c r="N11" s="22" t="n">
        <x:f>IF('Architecture Build'!S8=0,"n.a.",M11-L11)</x:f>
        <x:v>873.1</x:v>
      </x:c>
      <x:c r="O11" s="22" t="n">
        <x:f>D11*'Architecture Build'!U8</x:f>
        <x:v>0</x:v>
      </x:c>
      <x:c r="P11" s="22" t="n">
        <x:f>D11-O11</x:f>
        <x:v>2000</x:v>
      </x:c>
      <x:c r="Q11" s="22" t="n">
        <x:f>D11*(1-'Architecture Build'!Z8)</x:f>
        <x:v>4.0000000000000036</x:v>
      </x:c>
      <x:c r="R11" t="str">
        <x:f>IF(AND(K11&gt;=0,P11/D11&gt;='Architecture Build'!Y8,Q11&lt;=Controls!$D$21,IF('Architecture Build'!S8=0,TRUE,M11&gt;=L11)),"PASS","GAP")</x:f>
        <x:v>PASS</x:v>
      </x:c>
    </x:row>
    <x:row r="12">
      <x:c r="B12" t="str">
        <x:v>RC-2</x:v>
      </x:c>
      <x:c r="C12" t="str">
        <x:v>RB-S2</x:v>
      </x:c>
      <x:c r="D12" s="22" t="n">
        <x:f>Controls!$D$7</x:f>
        <x:v>2000</x:v>
      </x:c>
      <x:c r="E12" s="22" t="n">
        <x:f>'Source Physics'!K8</x:f>
        <x:v>481.7987152034261</x:v>
      </x:c>
      <x:c r="F12" s="22" t="n">
        <x:f>'Source Physics'!M8</x:f>
        <x:v>255.35331905781587</x:v>
      </x:c>
      <x:c r="G12" s="22" t="n">
        <x:f>D12*'Architecture Build'!M8</x:f>
        <x:v>1300</x:v>
      </x:c>
      <x:c r="H12" s="22" t="n">
        <x:f>D12-G12</x:f>
        <x:v>700</x:v>
      </x:c>
      <x:c r="I12" s="22" t="n">
        <x:f>H12*Controls!$D$9*Controls!$D$19</x:f>
        <x:v>556.5</x:v>
      </x:c>
      <x:c r="J12" s="22" t="n">
        <x:f>'Architecture Build'!O8</x:f>
        <x:v>600</x:v>
      </x:c>
      <x:c r="K12" s="22" t="n">
        <x:f>J12-I12</x:f>
        <x:v>43.5</x:v>
      </x:c>
      <x:c r="L12" s="22" t="n">
        <x:f>H12*Controls!$D$12/1000</x:f>
        <x:v>326.9</x:v>
      </x:c>
      <x:c r="M12" s="22" t="n">
        <x:f>'Architecture Build'!R8</x:f>
        <x:v>1200</x:v>
      </x:c>
      <x:c r="N12" s="22" t="n">
        <x:f>IF('Architecture Build'!S8=0,"n.a.",M12-L12)</x:f>
        <x:v>873.1</x:v>
      </x:c>
      <x:c r="O12" s="22" t="n">
        <x:f>D12*'Architecture Build'!U8</x:f>
        <x:v>0</x:v>
      </x:c>
      <x:c r="P12" s="22" t="n">
        <x:f>D12-O12</x:f>
        <x:v>2000</x:v>
      </x:c>
      <x:c r="Q12" s="22" t="n">
        <x:f>D12*(1-'Architecture Build'!Z8)</x:f>
        <x:v>4.0000000000000036</x:v>
      </x:c>
      <x:c r="R12" t="str">
        <x:f>IF(AND(K12&gt;=0,P12/D12&gt;='Architecture Build'!Y8,Q12&lt;=Controls!$D$21,IF('Architecture Build'!S8=0,TRUE,M12&gt;=L12)),"PASS","GAP")</x:f>
        <x:v>PASS</x:v>
      </x:c>
    </x:row>
    <x:row r="13">
      <x:c r="B13" t="str">
        <x:v>RC-2</x:v>
      </x:c>
      <x:c r="C13" t="str">
        <x:v>RB-S3</x:v>
      </x:c>
      <x:c r="D13" s="22" t="n">
        <x:f>Controls!$D$7</x:f>
        <x:v>2000</x:v>
      </x:c>
      <x:c r="E13" s="22" t="n">
        <x:f>'Source Physics'!K9</x:f>
        <x:v>1316.916488222698</x:v>
      </x:c>
      <x:c r="F13" s="22" t="n">
        <x:f>'Source Physics'!M9</x:f>
        <x:v>697.9657387580299</x:v>
      </x:c>
      <x:c r="G13" s="22" t="n">
        <x:f>D13*'Architecture Build'!M8</x:f>
        <x:v>1300</x:v>
      </x:c>
      <x:c r="H13" s="22" t="n">
        <x:f>D13-G13</x:f>
        <x:v>700</x:v>
      </x:c>
      <x:c r="I13" s="22" t="n">
        <x:f>H13*Controls!$D$9*Controls!$D$19</x:f>
        <x:v>556.5</x:v>
      </x:c>
      <x:c r="J13" s="22" t="n">
        <x:f>'Architecture Build'!O8</x:f>
        <x:v>600</x:v>
      </x:c>
      <x:c r="K13" s="22" t="n">
        <x:f>J13-I13</x:f>
        <x:v>43.5</x:v>
      </x:c>
      <x:c r="L13" s="22" t="n">
        <x:f>H13*Controls!$D$12/1000</x:f>
        <x:v>326.9</x:v>
      </x:c>
      <x:c r="M13" s="22" t="n">
        <x:f>'Architecture Build'!R8</x:f>
        <x:v>1200</x:v>
      </x:c>
      <x:c r="N13" s="22" t="n">
        <x:f>IF('Architecture Build'!S8=0,"n.a.",M13-L13)</x:f>
        <x:v>873.1</x:v>
      </x:c>
      <x:c r="O13" s="22" t="n">
        <x:f>D13*'Architecture Build'!U8</x:f>
        <x:v>0</x:v>
      </x:c>
      <x:c r="P13" s="22" t="n">
        <x:f>D13-O13</x:f>
        <x:v>2000</x:v>
      </x:c>
      <x:c r="Q13" s="22" t="n">
        <x:f>D13*(1-'Architecture Build'!Z8)</x:f>
        <x:v>4.0000000000000036</x:v>
      </x:c>
      <x:c r="R13" t="str">
        <x:f>IF(AND(K13&gt;=0,P13/D13&gt;='Architecture Build'!Y8,Q13&lt;=Controls!$D$21,IF('Architecture Build'!S8=0,TRUE,M13&gt;=L13)),"PASS","GAP")</x:f>
        <x:v>PASS</x:v>
      </x:c>
    </x:row>
    <x:row r="14">
      <x:c r="B14" t="str">
        <x:v>RC-2</x:v>
      </x:c>
      <x:c r="C14" t="str">
        <x:v>RB-S4</x:v>
      </x:c>
      <x:c r="D14" s="22" t="n">
        <x:f>Controls!$D$7</x:f>
        <x:v>2000</x:v>
      </x:c>
      <x:c r="E14" s="22" t="n">
        <x:f>'Source Physics'!K10</x:f>
        <x:v>2000</x:v>
      </x:c>
      <x:c r="F14" s="22" t="n">
        <x:f>'Source Physics'!M10</x:f>
        <x:v>1060</x:v>
      </x:c>
      <x:c r="G14" s="22" t="n">
        <x:f>D14*'Architecture Build'!M8</x:f>
        <x:v>1300</x:v>
      </x:c>
      <x:c r="H14" s="22" t="n">
        <x:f>D14-G14</x:f>
        <x:v>700</x:v>
      </x:c>
      <x:c r="I14" s="22" t="n">
        <x:f>H14*Controls!$D$9*Controls!$D$19</x:f>
        <x:v>556.5</x:v>
      </x:c>
      <x:c r="J14" s="22" t="n">
        <x:f>'Architecture Build'!O8</x:f>
        <x:v>600</x:v>
      </x:c>
      <x:c r="K14" s="22" t="n">
        <x:f>J14-I14</x:f>
        <x:v>43.5</x:v>
      </x:c>
      <x:c r="L14" s="22" t="n">
        <x:f>H14*Controls!$D$12/1000</x:f>
        <x:v>326.9</x:v>
      </x:c>
      <x:c r="M14" s="22" t="n">
        <x:f>'Architecture Build'!R8</x:f>
        <x:v>1200</x:v>
      </x:c>
      <x:c r="N14" s="22" t="n">
        <x:f>IF('Architecture Build'!S8=0,"n.a.",M14-L14)</x:f>
        <x:v>873.1</x:v>
      </x:c>
      <x:c r="O14" s="22" t="n">
        <x:f>D14*'Architecture Build'!U8</x:f>
        <x:v>0</x:v>
      </x:c>
      <x:c r="P14" s="22" t="n">
        <x:f>D14-O14</x:f>
        <x:v>2000</x:v>
      </x:c>
      <x:c r="Q14" s="22" t="n">
        <x:f>D14*(1-'Architecture Build'!Z8)</x:f>
        <x:v>4.0000000000000036</x:v>
      </x:c>
      <x:c r="R14" t="str">
        <x:f>IF(AND(K14&gt;=0,P14/D14&gt;='Architecture Build'!Y8,Q14&lt;=Controls!$D$21,IF('Architecture Build'!S8=0,TRUE,M14&gt;=L14)),"PASS","GAP")</x:f>
        <x:v>PASS</x:v>
      </x:c>
    </x:row>
    <x:row r="15">
      <x:c r="B15" t="str">
        <x:v>RC-3</x:v>
      </x:c>
      <x:c r="C15" t="str">
        <x:v>RB-S1</x:v>
      </x:c>
      <x:c r="D15" s="22" t="n">
        <x:f>Controls!$D$7</x:f>
        <x:v>2000</x:v>
      </x:c>
      <x:c r="E15" s="22" t="n">
        <x:f>'Source Physics'!K7</x:f>
        <x:v>107.06638115631692</x:v>
      </x:c>
      <x:c r="F15" s="22" t="n">
        <x:f>'Source Physics'!M7</x:f>
        <x:v>56.74518201284797</x:v>
      </x:c>
      <x:c r="G15" s="22" t="n">
        <x:f>D15*'Architecture Build'!M9</x:f>
        <x:v>700</x:v>
      </x:c>
      <x:c r="H15" s="22" t="n">
        <x:f>D15-G15</x:f>
        <x:v>1300</x:v>
      </x:c>
      <x:c r="I15" s="22" t="n">
        <x:f>H15*Controls!$D$9*Controls!$D$19</x:f>
        <x:v>1033.5</x:v>
      </x:c>
      <x:c r="J15" s="22" t="n">
        <x:f>'Architecture Build'!O9</x:f>
        <x:v>1200</x:v>
      </x:c>
      <x:c r="K15" s="22" t="n">
        <x:f>J15-I15</x:f>
        <x:v>166.5</x:v>
      </x:c>
      <x:c r="L15" s="22" t="n">
        <x:f>H15*Controls!$D$12/1000</x:f>
        <x:v>607.1</x:v>
      </x:c>
      <x:c r="M15" s="22" t="n">
        <x:f>'Architecture Build'!R9</x:f>
        <x:v>650</x:v>
      </x:c>
      <x:c r="N15" s="22" t="n">
        <x:f>IF('Architecture Build'!S9=0,"n.a.",M15-L15)</x:f>
        <x:v>42.89999999999998</x:v>
      </x:c>
      <x:c r="O15" s="22" t="n">
        <x:f>D15*'Architecture Build'!U9</x:f>
        <x:v>20</x:v>
      </x:c>
      <x:c r="P15" s="22" t="n">
        <x:f>D15-O15</x:f>
        <x:v>1980</x:v>
      </x:c>
      <x:c r="Q15" s="22" t="n">
        <x:f>D15*(1-'Architecture Build'!Z9)</x:f>
        <x:v>4.999999999999893</x:v>
      </x:c>
      <x:c r="R15" t="str">
        <x:f>IF(AND(K15&gt;=0,P15/D15&gt;='Architecture Build'!Y9,Q15&lt;=Controls!$D$21,IF('Architecture Build'!S9=0,TRUE,M15&gt;=L15)),"PASS","GAP")</x:f>
        <x:v>PASS</x:v>
      </x:c>
    </x:row>
    <x:row r="16">
      <x:c r="B16" t="str">
        <x:v>RC-3</x:v>
      </x:c>
      <x:c r="C16" t="str">
        <x:v>RB-S2</x:v>
      </x:c>
      <x:c r="D16" s="22" t="n">
        <x:f>Controls!$D$7</x:f>
        <x:v>2000</x:v>
      </x:c>
      <x:c r="E16" s="22" t="n">
        <x:f>'Source Physics'!K8</x:f>
        <x:v>481.7987152034261</x:v>
      </x:c>
      <x:c r="F16" s="22" t="n">
        <x:f>'Source Physics'!M8</x:f>
        <x:v>255.35331905781587</x:v>
      </x:c>
      <x:c r="G16" s="22" t="n">
        <x:f>D16*'Architecture Build'!M9</x:f>
        <x:v>700</x:v>
      </x:c>
      <x:c r="H16" s="22" t="n">
        <x:f>D16-G16</x:f>
        <x:v>1300</x:v>
      </x:c>
      <x:c r="I16" s="22" t="n">
        <x:f>H16*Controls!$D$9*Controls!$D$19</x:f>
        <x:v>1033.5</x:v>
      </x:c>
      <x:c r="J16" s="22" t="n">
        <x:f>'Architecture Build'!O9</x:f>
        <x:v>1200</x:v>
      </x:c>
      <x:c r="K16" s="22" t="n">
        <x:f>J16-I16</x:f>
        <x:v>166.5</x:v>
      </x:c>
      <x:c r="L16" s="22" t="n">
        <x:f>H16*Controls!$D$12/1000</x:f>
        <x:v>607.1</x:v>
      </x:c>
      <x:c r="M16" s="22" t="n">
        <x:f>'Architecture Build'!R9</x:f>
        <x:v>650</x:v>
      </x:c>
      <x:c r="N16" s="22" t="n">
        <x:f>IF('Architecture Build'!S9=0,"n.a.",M16-L16)</x:f>
        <x:v>42.89999999999998</x:v>
      </x:c>
      <x:c r="O16" s="22" t="n">
        <x:f>D16*'Architecture Build'!U9</x:f>
        <x:v>20</x:v>
      </x:c>
      <x:c r="P16" s="22" t="n">
        <x:f>D16-O16</x:f>
        <x:v>1980</x:v>
      </x:c>
      <x:c r="Q16" s="22" t="n">
        <x:f>D16*(1-'Architecture Build'!Z9)</x:f>
        <x:v>4.999999999999893</x:v>
      </x:c>
      <x:c r="R16" t="str">
        <x:f>IF(AND(K16&gt;=0,P16/D16&gt;='Architecture Build'!Y9,Q16&lt;=Controls!$D$21,IF('Architecture Build'!S9=0,TRUE,M16&gt;=L16)),"PASS","GAP")</x:f>
        <x:v>PASS</x:v>
      </x:c>
    </x:row>
    <x:row r="17">
      <x:c r="B17" t="str">
        <x:v>RC-3</x:v>
      </x:c>
      <x:c r="C17" t="str">
        <x:v>RB-S3</x:v>
      </x:c>
      <x:c r="D17" s="22" t="n">
        <x:f>Controls!$D$7</x:f>
        <x:v>2000</x:v>
      </x:c>
      <x:c r="E17" s="22" t="n">
        <x:f>'Source Physics'!K9</x:f>
        <x:v>1316.916488222698</x:v>
      </x:c>
      <x:c r="F17" s="22" t="n">
        <x:f>'Source Physics'!M9</x:f>
        <x:v>697.9657387580299</x:v>
      </x:c>
      <x:c r="G17" s="22" t="n">
        <x:f>D17*'Architecture Build'!M9</x:f>
        <x:v>700</x:v>
      </x:c>
      <x:c r="H17" s="22" t="n">
        <x:f>D17-G17</x:f>
        <x:v>1300</x:v>
      </x:c>
      <x:c r="I17" s="22" t="n">
        <x:f>H17*Controls!$D$9*Controls!$D$19</x:f>
        <x:v>1033.5</x:v>
      </x:c>
      <x:c r="J17" s="22" t="n">
        <x:f>'Architecture Build'!O9</x:f>
        <x:v>1200</x:v>
      </x:c>
      <x:c r="K17" s="22" t="n">
        <x:f>J17-I17</x:f>
        <x:v>166.5</x:v>
      </x:c>
      <x:c r="L17" s="22" t="n">
        <x:f>H17*Controls!$D$12/1000</x:f>
        <x:v>607.1</x:v>
      </x:c>
      <x:c r="M17" s="22" t="n">
        <x:f>'Architecture Build'!R9</x:f>
        <x:v>650</x:v>
      </x:c>
      <x:c r="N17" s="22" t="n">
        <x:f>IF('Architecture Build'!S9=0,"n.a.",M17-L17)</x:f>
        <x:v>42.89999999999998</x:v>
      </x:c>
      <x:c r="O17" s="22" t="n">
        <x:f>D17*'Architecture Build'!U9</x:f>
        <x:v>20</x:v>
      </x:c>
      <x:c r="P17" s="22" t="n">
        <x:f>D17-O17</x:f>
        <x:v>1980</x:v>
      </x:c>
      <x:c r="Q17" s="22" t="n">
        <x:f>D17*(1-'Architecture Build'!Z9)</x:f>
        <x:v>4.999999999999893</x:v>
      </x:c>
      <x:c r="R17" t="str">
        <x:f>IF(AND(K17&gt;=0,P17/D17&gt;='Architecture Build'!Y9,Q17&lt;=Controls!$D$21,IF('Architecture Build'!S9=0,TRUE,M17&gt;=L17)),"PASS","GAP")</x:f>
        <x:v>PASS</x:v>
      </x:c>
    </x:row>
    <x:row r="18">
      <x:c r="B18" t="str">
        <x:v>RC-3</x:v>
      </x:c>
      <x:c r="C18" t="str">
        <x:v>RB-S4</x:v>
      </x:c>
      <x:c r="D18" s="22" t="n">
        <x:f>Controls!$D$7</x:f>
        <x:v>2000</x:v>
      </x:c>
      <x:c r="E18" s="22" t="n">
        <x:f>'Source Physics'!K10</x:f>
        <x:v>2000</x:v>
      </x:c>
      <x:c r="F18" s="22" t="n">
        <x:f>'Source Physics'!M10</x:f>
        <x:v>1060</x:v>
      </x:c>
      <x:c r="G18" s="22" t="n">
        <x:f>D18*'Architecture Build'!M9</x:f>
        <x:v>700</x:v>
      </x:c>
      <x:c r="H18" s="22" t="n">
        <x:f>D18-G18</x:f>
        <x:v>1300</x:v>
      </x:c>
      <x:c r="I18" s="22" t="n">
        <x:f>H18*Controls!$D$9*Controls!$D$19</x:f>
        <x:v>1033.5</x:v>
      </x:c>
      <x:c r="J18" s="22" t="n">
        <x:f>'Architecture Build'!O9</x:f>
        <x:v>1200</x:v>
      </x:c>
      <x:c r="K18" s="22" t="n">
        <x:f>J18-I18</x:f>
        <x:v>166.5</x:v>
      </x:c>
      <x:c r="L18" s="22" t="n">
        <x:f>H18*Controls!$D$12/1000</x:f>
        <x:v>607.1</x:v>
      </x:c>
      <x:c r="M18" s="22" t="n">
        <x:f>'Architecture Build'!R9</x:f>
        <x:v>650</x:v>
      </x:c>
      <x:c r="N18" s="22" t="n">
        <x:f>IF('Architecture Build'!S9=0,"n.a.",M18-L18)</x:f>
        <x:v>42.89999999999998</x:v>
      </x:c>
      <x:c r="O18" s="22" t="n">
        <x:f>D18*'Architecture Build'!U9</x:f>
        <x:v>20</x:v>
      </x:c>
      <x:c r="P18" s="22" t="n">
        <x:f>D18-O18</x:f>
        <x:v>1980</x:v>
      </x:c>
      <x:c r="Q18" s="22" t="n">
        <x:f>D18*(1-'Architecture Build'!Z9)</x:f>
        <x:v>4.999999999999893</x:v>
      </x:c>
      <x:c r="R18" t="str">
        <x:f>IF(AND(K18&gt;=0,P18/D18&gt;='Architecture Build'!Y9,Q18&lt;=Controls!$D$21,IF('Architecture Build'!S9=0,TRUE,M18&gt;=L18)),"PASS","GAP")</x:f>
        <x:v>PASS</x:v>
      </x:c>
    </x:row>
  </x:sheetData>
  <x:conditionalFormatting sqref="R7:R18">
    <x:cfRule type="containsText" dxfId="4" priority="1" operator="containsText" text="FAIL"/>
    <x:cfRule type="containsText" dxfId="5" priority="2" operator="containsText" text="BLOCKED"/>
    <x:cfRule type="containsText" dxfId="6" priority="3" operator="containsText" text="OPEN"/>
    <x:cfRule type="containsText" dxfId="7" priority="4" operator="containsText" text="GAP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3" hidden="0" customWidth="1"/>
    <x:col min="3" max="3" width="29" hidden="0" customWidth="1"/>
    <x:col min="4" max="4" width="15" hidden="0" customWidth="1"/>
    <x:col min="5" max="5" width="13" hidden="0" customWidth="1"/>
    <x:col min="6" max="6" width="18" hidden="0" customWidth="1"/>
    <x:col min="7" max="7" width="22" hidden="0" customWidth="1"/>
    <x:col min="8" max="8" width="19" hidden="0" customWidth="1"/>
    <x:col min="9" max="9" width="18" hidden="0" customWidth="1"/>
    <x:col min="10" max="10" width="16" hidden="0" customWidth="1"/>
    <x:col min="11" max="11" width="18" hidden="0" customWidth="1"/>
    <x:col min="12" max="12" width="53" hidden="0" customWidth="1"/>
    <x:col min="13" max="13" width="28" hidden="0" customWidth="1"/>
    <x:col min="14" max="14" width="16" hidden="0" customWidth="1"/>
    <x:col min="15" max="15" width="12" hidden="0" customWidth="1"/>
  </x:cols>
  <x:sheetData>
    <x:row r="2">
      <x:c r="B2" s="1" t="str">
        <x:v>Eight paired full-scale challenge conditions</x:v>
      </x:c>
    </x:row>
    <x:row r="3">
      <x:c r="B3" s="2" t="str">
        <x:v>The first four use 500 kg. The final four use the full two-tonne source. Each challenge has a clean control.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 ht="24" customHeight="1">
      <x:c r="B6" s="8" t="str">
        <x:v>Challenge</x:v>
      </x:c>
      <x:c r="C6" s="9" t="str">
        <x:v>Condition</x:v>
      </x:c>
      <x:c r="D6" s="9" t="str">
        <x:v>Source state</x:v>
      </x:c>
      <x:c r="E6" s="9" t="str">
        <x:v>Source tier</x:v>
      </x:c>
      <x:c r="F6" s="9" t="str">
        <x:v>Source mass (kg)</x:v>
      </x:c>
      <x:c r="G6" s="9" t="str">
        <x:v>Route available fraction</x:v>
      </x:c>
      <x:c r="H6" s="9" t="str">
        <x:v>Receiver initial fill</x:v>
      </x:c>
      <x:c r="I6" s="9" t="str">
        <x:v>External heat (MW)</x:v>
      </x:c>
      <x:c r="J6" s="9" t="str">
        <x:v>Safety power</x:v>
      </x:c>
      <x:c r="K6" s="9" t="str">
        <x:v>Network and time</x:v>
      </x:c>
      <x:c r="L6" s="9" t="str">
        <x:v>Registered stimulus</x:v>
      </x:c>
      <x:c r="M6" s="9" t="str">
        <x:v>Protected-state metric</x:v>
      </x:c>
      <x:c r="N6" s="9" t="str">
        <x:v>Upper bound</x:v>
      </x:c>
      <x:c r="O6" s="10" t="str">
        <x:v>Unit</x:v>
      </x:c>
    </x:row>
    <x:row r="7">
      <x:c r="B7" t="str">
        <x:v>CH-01</x:v>
      </x:c>
      <x:c r="C7" t="str">
        <x:v>cold start and icing</x:v>
      </x:c>
      <x:c r="D7" t="str">
        <x:v>RB-S1</x:v>
      </x:c>
      <x:c r="E7" t="str">
        <x:v>quarter</x:v>
      </x:c>
      <x:c r="F7" s="22" t="n">
        <x:f>Controls!$D$37</x:f>
        <x:v>500</x:v>
      </x:c>
      <x:c r="G7" s="23" t="n">
        <x:v>0.667</x:v>
      </x:c>
      <x:c r="H7" s="23" t="n">
        <x:v>0</x:v>
      </x:c>
      <x:c r="I7" s="23" t="n">
        <x:v>0</x:v>
      </x:c>
      <x:c r="J7" t="str">
        <x:v>available</x:v>
      </x:c>
      <x:c r="K7" t="str">
        <x:v>available</x:v>
      </x:c>
      <x:c r="L7" t="str">
        <x:v>cold source with ice-prone route surfaces</x:v>
      </x:c>
      <x:c r="M7" t="str">
        <x:v>terminal source time</x:v>
      </x:c>
      <x:c r="N7" t="n">
        <x:v>120</x:v>
      </x:c>
      <x:c r="O7" t="str">
        <x:v>s</x:v>
      </x:c>
    </x:row>
    <x:row r="8">
      <x:c r="B8" t="str">
        <x:v>CH-02</x:v>
      </x:c>
      <x:c r="C8" t="str">
        <x:v>route-area loss</x:v>
      </x:c>
      <x:c r="D8" t="str">
        <x:v>RB-S2</x:v>
      </x:c>
      <x:c r="E8" t="str">
        <x:v>quarter</x:v>
      </x:c>
      <x:c r="F8" s="22" t="n">
        <x:f>Controls!$D$37</x:f>
        <x:v>500</x:v>
      </x:c>
      <x:c r="G8" s="23" t="n">
        <x:v>0.5</x:v>
      </x:c>
      <x:c r="H8" s="23" t="n">
        <x:v>0</x:v>
      </x:c>
      <x:c r="I8" s="23" t="n">
        <x:v>0</x:v>
      </x:c>
      <x:c r="J8" t="str">
        <x:v>available</x:v>
      </x:c>
      <x:c r="K8" t="str">
        <x:v>available</x:v>
      </x:c>
      <x:c r="L8" t="str">
        <x:v>one-half equivalent flow area unavailable</x:v>
      </x:c>
      <x:c r="M8" t="str">
        <x:v>terminal source time</x:v>
      </x:c>
      <x:c r="N8" t="n">
        <x:v>120</x:v>
      </x:c>
      <x:c r="O8" t="str">
        <x:v>s</x:v>
      </x:c>
    </x:row>
    <x:row r="9">
      <x:c r="B9" t="str">
        <x:v>CH-03</x:v>
      </x:c>
      <x:c r="C9" t="str">
        <x:v>wrong-side pressure</x:v>
      </x:c>
      <x:c r="D9" t="str">
        <x:v>RB-S2</x:v>
      </x:c>
      <x:c r="E9" t="str">
        <x:v>quarter</x:v>
      </x:c>
      <x:c r="F9" s="22" t="n">
        <x:f>Controls!$D$37</x:f>
        <x:v>500</x:v>
      </x:c>
      <x:c r="G9" s="23" t="n">
        <x:v>1</x:v>
      </x:c>
      <x:c r="H9" s="23" t="n">
        <x:v>0</x:v>
      </x:c>
      <x:c r="I9" s="23" t="n">
        <x:v>0</x:v>
      </x:c>
      <x:c r="J9" t="str">
        <x:v>available</x:v>
      </x:c>
      <x:c r="K9" t="str">
        <x:v>available</x:v>
      </x:c>
      <x:c r="L9" t="str">
        <x:v>0.20 MPa receiver-side pressure before release</x:v>
      </x:c>
      <x:c r="M9" t="str">
        <x:v>reverse transferred mass</x:v>
      </x:c>
      <x:c r="N9" t="n">
        <x:v>0.5</x:v>
      </x:c>
      <x:c r="O9" t="str">
        <x:v>kg</x:v>
      </x:c>
    </x:row>
    <x:row r="10">
      <x:c r="B10" t="str">
        <x:v>CH-04</x:v>
      </x:c>
      <x:c r="C10" t="str">
        <x:v>receiver initial fill</x:v>
      </x:c>
      <x:c r="D10" t="str">
        <x:v>RB-S2</x:v>
      </x:c>
      <x:c r="E10" t="str">
        <x:v>quarter</x:v>
      </x:c>
      <x:c r="F10" s="22" t="n">
        <x:f>Controls!$D$37</x:f>
        <x:v>500</x:v>
      </x:c>
      <x:c r="G10" s="23" t="n">
        <x:v>1</x:v>
      </x:c>
      <x:c r="H10" s="23" t="n">
        <x:v>0.5</x:v>
      </x:c>
      <x:c r="I10" s="23" t="n">
        <x:v>0</x:v>
      </x:c>
      <x:c r="J10" t="str">
        <x:v>available</x:v>
      </x:c>
      <x:c r="K10" t="str">
        <x:v>available</x:v>
      </x:c>
      <x:c r="L10" t="str">
        <x:v>receiver begins at fifty-percent credited capacity</x:v>
      </x:c>
      <x:c r="M10" t="str">
        <x:v>unretained mass</x:v>
      </x:c>
      <x:c r="N10" t="n">
        <x:v>5</x:v>
      </x:c>
      <x:c r="O10" t="str">
        <x:v>kg</x:v>
      </x:c>
    </x:row>
    <x:row r="11">
      <x:c r="B11" t="str">
        <x:v>CH-05</x:v>
      </x:c>
      <x:c r="C11" t="str">
        <x:v>hot full-source release</x:v>
      </x:c>
      <x:c r="D11" t="str">
        <x:v>RB-S3</x:v>
      </x:c>
      <x:c r="E11" t="str">
        <x:v>full</x:v>
      </x:c>
      <x:c r="F11" s="22" t="n">
        <x:f>Controls!$D$38</x:f>
        <x:v>2000</x:v>
      </x:c>
      <x:c r="G11" s="23" t="n">
        <x:v>1</x:v>
      </x:c>
      <x:c r="H11" s="23" t="n">
        <x:v>0</x:v>
      </x:c>
      <x:c r="I11" s="23" t="n">
        <x:v>2</x:v>
      </x:c>
      <x:c r="J11" t="str">
        <x:v>available</x:v>
      </x:c>
      <x:c r="K11" t="str">
        <x:v>available</x:v>
      </x:c>
      <x:c r="L11" t="str">
        <x:v>two-tonne hot source through the registered route</x:v>
      </x:c>
      <x:c r="M11" t="str">
        <x:v>terminal source time</x:v>
      </x:c>
      <x:c r="N11" t="n">
        <x:v>120</x:v>
      </x:c>
      <x:c r="O11" t="str">
        <x:v>s</x:v>
      </x:c>
    </x:row>
    <x:row r="12">
      <x:c r="B12" t="str">
        <x:v>CH-06</x:v>
      </x:c>
      <x:c r="C12" t="str">
        <x:v>external heat and safety-energy loss</x:v>
      </x:c>
      <x:c r="D12" t="str">
        <x:v>RB-S4</x:v>
      </x:c>
      <x:c r="E12" t="str">
        <x:v>full</x:v>
      </x:c>
      <x:c r="F12" s="22" t="n">
        <x:f>Controls!$D$38</x:f>
        <x:v>2000</x:v>
      </x:c>
      <x:c r="G12" s="23" t="n">
        <x:v>1</x:v>
      </x:c>
      <x:c r="H12" s="23" t="n">
        <x:v>0</x:v>
      </x:c>
      <x:c r="I12" s="23" t="n">
        <x:v>8</x:v>
      </x:c>
      <x:c r="J12" t="str">
        <x:v>denied</x:v>
      </x:c>
      <x:c r="K12" t="str">
        <x:v>available</x:v>
      </x:c>
      <x:c r="L12" t="str">
        <x:v>fire heat with both active safety paths denied</x:v>
      </x:c>
      <x:c r="M12" t="str">
        <x:v>protected-source recruitment</x:v>
      </x:c>
      <x:c r="N12" t="n">
        <x:v>0.5</x:v>
      </x:c>
      <x:c r="O12" t="str">
        <x:v>kg</x:v>
      </x:c>
    </x:row>
    <x:row r="13">
      <x:c r="B13" t="str">
        <x:v>CH-07</x:v>
      </x:c>
      <x:c r="C13" t="str">
        <x:v>partial holder and weather</x:v>
      </x:c>
      <x:c r="D13" t="str">
        <x:v>RB-S3</x:v>
      </x:c>
      <x:c r="E13" t="str">
        <x:v>full</x:v>
      </x:c>
      <x:c r="F13" s="22" t="n">
        <x:f>Controls!$D$38</x:f>
        <x:v>2000</x:v>
      </x:c>
      <x:c r="G13" s="23" t="n">
        <x:v>1</x:v>
      </x:c>
      <x:c r="H13" s="23" t="n">
        <x:v>0</x:v>
      </x:c>
      <x:c r="I13" s="23" t="n">
        <x:v>2</x:v>
      </x:c>
      <x:c r="J13" t="str">
        <x:v>available</x:v>
      </x:c>
      <x:c r="K13" t="str">
        <x:v>available</x:v>
      </x:c>
      <x:c r="L13" t="str">
        <x:v>partial holder deployment with adverse wind</x:v>
      </x:c>
      <x:c r="M13" t="str">
        <x:v>unretained mass</x:v>
      </x:c>
      <x:c r="N13" t="n">
        <x:v>5</x:v>
      </x:c>
      <x:c r="O13" t="str">
        <x:v>kg</x:v>
      </x:c>
    </x:row>
    <x:row r="14">
      <x:c r="B14" t="str">
        <x:v>CH-08</x:v>
      </x:c>
      <x:c r="C14" t="str">
        <x:v>site network and time loss</x:v>
      </x:c>
      <x:c r="D14" t="str">
        <x:v>RB-S3</x:v>
      </x:c>
      <x:c r="E14" t="str">
        <x:v>full</x:v>
      </x:c>
      <x:c r="F14" s="22" t="n">
        <x:f>Controls!$D$38</x:f>
        <x:v>2000</x:v>
      </x:c>
      <x:c r="G14" s="23" t="n">
        <x:v>1</x:v>
      </x:c>
      <x:c r="H14" s="23" t="n">
        <x:v>0</x:v>
      </x:c>
      <x:c r="I14" s="23" t="n">
        <x:v>2</x:v>
      </x:c>
      <x:c r="J14" t="str">
        <x:v>available</x:v>
      </x:c>
      <x:c r="K14" t="str">
        <x:v>denied</x:v>
      </x:c>
      <x:c r="L14" t="str">
        <x:v>site network and primary time source unavailable</x:v>
      </x:c>
      <x:c r="M14" t="str">
        <x:v>evidence-original survival</x:v>
      </x:c>
      <x:c r="N14" t="n">
        <x:v>2</x:v>
      </x:c>
      <x:c r="O14" t="str">
        <x:v>count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5" hidden="0" customWidth="1"/>
    <x:col min="3" max="3" width="14" hidden="0" customWidth="1"/>
    <x:col min="4" max="4" width="13" hidden="0" customWidth="1"/>
    <x:col min="5" max="5" width="35" hidden="0" customWidth="1"/>
    <x:col min="6" max="6" width="18" hidden="0" customWidth="1"/>
    <x:col min="7" max="7" width="16" hidden="0" customWidth="1"/>
    <x:col min="8" max="8" width="20" hidden="0" customWidth="1"/>
    <x:col min="9" max="9" width="18" hidden="0" customWidth="1"/>
    <x:col min="10" max="10" width="18" hidden="0" customWidth="1"/>
    <x:col min="11" max="11" width="20" hidden="0" customWidth="1"/>
    <x:col min="12" max="12" width="21" hidden="0" customWidth="1"/>
    <x:col min="13" max="13" width="16" hidden="0" customWidth="1"/>
  </x:cols>
  <x:sheetData>
    <x:row r="2">
      <x:c r="B2" s="1" t="str">
        <x:v>Twenty-four architecture challenge protocols</x:v>
      </x:c>
    </x:row>
    <x:row r="3">
      <x:c r="B3" s="2" t="str">
        <x:v>Each protocol crosses two unlike builders, two sites and challenge/control pairs for eight assigned events.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 ht="24" customHeight="1">
      <x:c r="B6" s="8" t="str">
        <x:v>Protocol</x:v>
      </x:c>
      <x:c r="C6" s="9" t="str">
        <x:v>Architecture</x:v>
      </x:c>
      <x:c r="D6" s="9" t="str">
        <x:v>Challenge</x:v>
      </x:c>
      <x:c r="E6" s="9" t="str">
        <x:v>Condition</x:v>
      </x:c>
      <x:c r="F6" s="9" t="str">
        <x:v>Required builders</x:v>
      </x:c>
      <x:c r="G6" s="9" t="str">
        <x:v>Required sites</x:v>
      </x:c>
      <x:c r="H6" s="9" t="str">
        <x:v>Required pair types</x:v>
      </x:c>
      <x:c r="I6" s="9" t="str">
        <x:v>Required events</x:v>
      </x:c>
      <x:c r="J6" s="9" t="str">
        <x:v>Assigned events</x:v>
      </x:c>
      <x:c r="K6" s="9" t="str">
        <x:v>Protocol complete</x:v>
      </x:c>
      <x:c r="L6" s="9" t="str">
        <x:v>Physical disposition</x:v>
      </x:c>
      <x:c r="M6" s="10" t="str">
        <x:v>Planning state</x:v>
      </x:c>
    </x:row>
    <x:row r="7">
      <x:c r="B7" t="str">
        <x:v>PR-RC-1-CH-01</x:v>
      </x:c>
      <x:c r="C7" t="str">
        <x:v>RC-1</x:v>
      </x:c>
      <x:c r="D7" t="str">
        <x:v>CH-01</x:v>
      </x:c>
      <x:c r="E7" t="str">
        <x:v>cold start and icing</x:v>
      </x:c>
      <x:c r="F7" s="27" t="n">
        <x:f>Controls!$D$30</x:f>
        <x:v>2</x:v>
      </x:c>
      <x:c r="G7" s="27" t="n">
        <x:f>Controls!$D$31</x:f>
        <x:v>2</x:v>
      </x:c>
      <x:c r="H7" s="27" t="n">
        <x:f>Controls!$D$33</x:f>
        <x:v>2</x:v>
      </x:c>
      <x:c r="I7" s="27" t="n">
        <x:f>F7*G7*H7</x:f>
        <x:v>8</x:v>
      </x:c>
      <x:c r="J7" s="27" t="n">
        <x:f>COUNTIFS('Event Register'!$C$7:$C$198,B7)</x:f>
        <x:v>8</x:v>
      </x:c>
      <x:c r="K7" t="n">
        <x:v>1</x:v>
      </x:c>
      <x:c r="L7" t="n">
        <x:v>0</x:v>
      </x:c>
      <x:c r="M7" t="str">
        <x:f>IF(AND(I7=J7,K7=1),"PASS","GAP")</x:f>
        <x:v>PASS</x:v>
      </x:c>
    </x:row>
    <x:row r="8">
      <x:c r="B8" t="str">
        <x:v>PR-RC-1-CH-02</x:v>
      </x:c>
      <x:c r="C8" t="str">
        <x:v>RC-1</x:v>
      </x:c>
      <x:c r="D8" t="str">
        <x:v>CH-02</x:v>
      </x:c>
      <x:c r="E8" t="str">
        <x:v>route-area loss</x:v>
      </x:c>
      <x:c r="F8" s="27" t="n">
        <x:f>Controls!$D$30</x:f>
        <x:v>2</x:v>
      </x:c>
      <x:c r="G8" s="27" t="n">
        <x:f>Controls!$D$31</x:f>
        <x:v>2</x:v>
      </x:c>
      <x:c r="H8" s="27" t="n">
        <x:f>Controls!$D$33</x:f>
        <x:v>2</x:v>
      </x:c>
      <x:c r="I8" s="27" t="n">
        <x:f>F8*G8*H8</x:f>
        <x:v>8</x:v>
      </x:c>
      <x:c r="J8" s="27" t="n">
        <x:f>COUNTIFS('Event Register'!$C$7:$C$198,B8)</x:f>
        <x:v>8</x:v>
      </x:c>
      <x:c r="K8" t="n">
        <x:v>1</x:v>
      </x:c>
      <x:c r="L8" t="n">
        <x:v>0</x:v>
      </x:c>
      <x:c r="M8" t="str">
        <x:f>IF(AND(I8=J8,K8=1),"PASS","GAP")</x:f>
        <x:v>PASS</x:v>
      </x:c>
    </x:row>
    <x:row r="9">
      <x:c r="B9" t="str">
        <x:v>PR-RC-1-CH-03</x:v>
      </x:c>
      <x:c r="C9" t="str">
        <x:v>RC-1</x:v>
      </x:c>
      <x:c r="D9" t="str">
        <x:v>CH-03</x:v>
      </x:c>
      <x:c r="E9" t="str">
        <x:v>wrong-side pressure</x:v>
      </x:c>
      <x:c r="F9" s="27" t="n">
        <x:f>Controls!$D$30</x:f>
        <x:v>2</x:v>
      </x:c>
      <x:c r="G9" s="27" t="n">
        <x:f>Controls!$D$31</x:f>
        <x:v>2</x:v>
      </x:c>
      <x:c r="H9" s="27" t="n">
        <x:f>Controls!$D$33</x:f>
        <x:v>2</x:v>
      </x:c>
      <x:c r="I9" s="27" t="n">
        <x:f>F9*G9*H9</x:f>
        <x:v>8</x:v>
      </x:c>
      <x:c r="J9" s="27" t="n">
        <x:f>COUNTIFS('Event Register'!$C$7:$C$198,B9)</x:f>
        <x:v>8</x:v>
      </x:c>
      <x:c r="K9" t="n">
        <x:v>1</x:v>
      </x:c>
      <x:c r="L9" t="n">
        <x:v>0</x:v>
      </x:c>
      <x:c r="M9" t="str">
        <x:f>IF(AND(I9=J9,K9=1),"PASS","GAP")</x:f>
        <x:v>PASS</x:v>
      </x:c>
    </x:row>
    <x:row r="10">
      <x:c r="B10" t="str">
        <x:v>PR-RC-1-CH-04</x:v>
      </x:c>
      <x:c r="C10" t="str">
        <x:v>RC-1</x:v>
      </x:c>
      <x:c r="D10" t="str">
        <x:v>CH-04</x:v>
      </x:c>
      <x:c r="E10" t="str">
        <x:v>receiver initial fill</x:v>
      </x:c>
      <x:c r="F10" s="27" t="n">
        <x:f>Controls!$D$30</x:f>
        <x:v>2</x:v>
      </x:c>
      <x:c r="G10" s="27" t="n">
        <x:f>Controls!$D$31</x:f>
        <x:v>2</x:v>
      </x:c>
      <x:c r="H10" s="27" t="n">
        <x:f>Controls!$D$33</x:f>
        <x:v>2</x:v>
      </x:c>
      <x:c r="I10" s="27" t="n">
        <x:f>F10*G10*H10</x:f>
        <x:v>8</x:v>
      </x:c>
      <x:c r="J10" s="27" t="n">
        <x:f>COUNTIFS('Event Register'!$C$7:$C$198,B10)</x:f>
        <x:v>8</x:v>
      </x:c>
      <x:c r="K10" t="n">
        <x:v>1</x:v>
      </x:c>
      <x:c r="L10" t="n">
        <x:v>0</x:v>
      </x:c>
      <x:c r="M10" t="str">
        <x:f>IF(AND(I10=J10,K10=1),"PASS","GAP")</x:f>
        <x:v>PASS</x:v>
      </x:c>
    </x:row>
    <x:row r="11">
      <x:c r="B11" t="str">
        <x:v>PR-RC-1-CH-05</x:v>
      </x:c>
      <x:c r="C11" t="str">
        <x:v>RC-1</x:v>
      </x:c>
      <x:c r="D11" t="str">
        <x:v>CH-05</x:v>
      </x:c>
      <x:c r="E11" t="str">
        <x:v>hot full-source release</x:v>
      </x:c>
      <x:c r="F11" s="27" t="n">
        <x:f>Controls!$D$30</x:f>
        <x:v>2</x:v>
      </x:c>
      <x:c r="G11" s="27" t="n">
        <x:f>Controls!$D$31</x:f>
        <x:v>2</x:v>
      </x:c>
      <x:c r="H11" s="27" t="n">
        <x:f>Controls!$D$33</x:f>
        <x:v>2</x:v>
      </x:c>
      <x:c r="I11" s="27" t="n">
        <x:f>F11*G11*H11</x:f>
        <x:v>8</x:v>
      </x:c>
      <x:c r="J11" s="27" t="n">
        <x:f>COUNTIFS('Event Register'!$C$7:$C$198,B11)</x:f>
        <x:v>8</x:v>
      </x:c>
      <x:c r="K11" t="n">
        <x:v>1</x:v>
      </x:c>
      <x:c r="L11" t="n">
        <x:v>0</x:v>
      </x:c>
      <x:c r="M11" t="str">
        <x:f>IF(AND(I11=J11,K11=1),"PASS","GAP")</x:f>
        <x:v>PASS</x:v>
      </x:c>
    </x:row>
    <x:row r="12">
      <x:c r="B12" t="str">
        <x:v>PR-RC-1-CH-06</x:v>
      </x:c>
      <x:c r="C12" t="str">
        <x:v>RC-1</x:v>
      </x:c>
      <x:c r="D12" t="str">
        <x:v>CH-06</x:v>
      </x:c>
      <x:c r="E12" t="str">
        <x:v>external heat and safety-energy loss</x:v>
      </x:c>
      <x:c r="F12" s="27" t="n">
        <x:f>Controls!$D$30</x:f>
        <x:v>2</x:v>
      </x:c>
      <x:c r="G12" s="27" t="n">
        <x:f>Controls!$D$31</x:f>
        <x:v>2</x:v>
      </x:c>
      <x:c r="H12" s="27" t="n">
        <x:f>Controls!$D$33</x:f>
        <x:v>2</x:v>
      </x:c>
      <x:c r="I12" s="27" t="n">
        <x:f>F12*G12*H12</x:f>
        <x:v>8</x:v>
      </x:c>
      <x:c r="J12" s="27" t="n">
        <x:f>COUNTIFS('Event Register'!$C$7:$C$198,B12)</x:f>
        <x:v>8</x:v>
      </x:c>
      <x:c r="K12" t="n">
        <x:v>1</x:v>
      </x:c>
      <x:c r="L12" t="n">
        <x:v>0</x:v>
      </x:c>
      <x:c r="M12" t="str">
        <x:f>IF(AND(I12=J12,K12=1),"PASS","GAP")</x:f>
        <x:v>PASS</x:v>
      </x:c>
    </x:row>
    <x:row r="13">
      <x:c r="B13" t="str">
        <x:v>PR-RC-1-CH-07</x:v>
      </x:c>
      <x:c r="C13" t="str">
        <x:v>RC-1</x:v>
      </x:c>
      <x:c r="D13" t="str">
        <x:v>CH-07</x:v>
      </x:c>
      <x:c r="E13" t="str">
        <x:v>partial holder and weather</x:v>
      </x:c>
      <x:c r="F13" s="27" t="n">
        <x:f>Controls!$D$30</x:f>
        <x:v>2</x:v>
      </x:c>
      <x:c r="G13" s="27" t="n">
        <x:f>Controls!$D$31</x:f>
        <x:v>2</x:v>
      </x:c>
      <x:c r="H13" s="27" t="n">
        <x:f>Controls!$D$33</x:f>
        <x:v>2</x:v>
      </x:c>
      <x:c r="I13" s="27" t="n">
        <x:f>F13*G13*H13</x:f>
        <x:v>8</x:v>
      </x:c>
      <x:c r="J13" s="27" t="n">
        <x:f>COUNTIFS('Event Register'!$C$7:$C$198,B13)</x:f>
        <x:v>8</x:v>
      </x:c>
      <x:c r="K13" t="n">
        <x:v>1</x:v>
      </x:c>
      <x:c r="L13" t="n">
        <x:v>0</x:v>
      </x:c>
      <x:c r="M13" t="str">
        <x:f>IF(AND(I13=J13,K13=1),"PASS","GAP")</x:f>
        <x:v>PASS</x:v>
      </x:c>
    </x:row>
    <x:row r="14">
      <x:c r="B14" t="str">
        <x:v>PR-RC-1-CH-08</x:v>
      </x:c>
      <x:c r="C14" t="str">
        <x:v>RC-1</x:v>
      </x:c>
      <x:c r="D14" t="str">
        <x:v>CH-08</x:v>
      </x:c>
      <x:c r="E14" t="str">
        <x:v>site network and time loss</x:v>
      </x:c>
      <x:c r="F14" s="27" t="n">
        <x:f>Controls!$D$30</x:f>
        <x:v>2</x:v>
      </x:c>
      <x:c r="G14" s="27" t="n">
        <x:f>Controls!$D$31</x:f>
        <x:v>2</x:v>
      </x:c>
      <x:c r="H14" s="27" t="n">
        <x:f>Controls!$D$33</x:f>
        <x:v>2</x:v>
      </x:c>
      <x:c r="I14" s="27" t="n">
        <x:f>F14*G14*H14</x:f>
        <x:v>8</x:v>
      </x:c>
      <x:c r="J14" s="27" t="n">
        <x:f>COUNTIFS('Event Register'!$C$7:$C$198,B14)</x:f>
        <x:v>8</x:v>
      </x:c>
      <x:c r="K14" t="n">
        <x:v>1</x:v>
      </x:c>
      <x:c r="L14" t="n">
        <x:v>0</x:v>
      </x:c>
      <x:c r="M14" t="str">
        <x:f>IF(AND(I14=J14,K14=1),"PASS","GAP")</x:f>
        <x:v>PASS</x:v>
      </x:c>
    </x:row>
    <x:row r="15">
      <x:c r="B15" t="str">
        <x:v>PR-RC-2-CH-01</x:v>
      </x:c>
      <x:c r="C15" t="str">
        <x:v>RC-2</x:v>
      </x:c>
      <x:c r="D15" t="str">
        <x:v>CH-01</x:v>
      </x:c>
      <x:c r="E15" t="str">
        <x:v>cold start and icing</x:v>
      </x:c>
      <x:c r="F15" s="27" t="n">
        <x:f>Controls!$D$30</x:f>
        <x:v>2</x:v>
      </x:c>
      <x:c r="G15" s="27" t="n">
        <x:f>Controls!$D$31</x:f>
        <x:v>2</x:v>
      </x:c>
      <x:c r="H15" s="27" t="n">
        <x:f>Controls!$D$33</x:f>
        <x:v>2</x:v>
      </x:c>
      <x:c r="I15" s="27" t="n">
        <x:f>F15*G15*H15</x:f>
        <x:v>8</x:v>
      </x:c>
      <x:c r="J15" s="27" t="n">
        <x:f>COUNTIFS('Event Register'!$C$7:$C$198,B15)</x:f>
        <x:v>8</x:v>
      </x:c>
      <x:c r="K15" t="n">
        <x:v>1</x:v>
      </x:c>
      <x:c r="L15" t="n">
        <x:v>0</x:v>
      </x:c>
      <x:c r="M15" t="str">
        <x:f>IF(AND(I15=J15,K15=1),"PASS","GAP")</x:f>
        <x:v>PASS</x:v>
      </x:c>
    </x:row>
    <x:row r="16">
      <x:c r="B16" t="str">
        <x:v>PR-RC-2-CH-02</x:v>
      </x:c>
      <x:c r="C16" t="str">
        <x:v>RC-2</x:v>
      </x:c>
      <x:c r="D16" t="str">
        <x:v>CH-02</x:v>
      </x:c>
      <x:c r="E16" t="str">
        <x:v>route-area loss</x:v>
      </x:c>
      <x:c r="F16" s="27" t="n">
        <x:f>Controls!$D$30</x:f>
        <x:v>2</x:v>
      </x:c>
      <x:c r="G16" s="27" t="n">
        <x:f>Controls!$D$31</x:f>
        <x:v>2</x:v>
      </x:c>
      <x:c r="H16" s="27" t="n">
        <x:f>Controls!$D$33</x:f>
        <x:v>2</x:v>
      </x:c>
      <x:c r="I16" s="27" t="n">
        <x:f>F16*G16*H16</x:f>
        <x:v>8</x:v>
      </x:c>
      <x:c r="J16" s="27" t="n">
        <x:f>COUNTIFS('Event Register'!$C$7:$C$198,B16)</x:f>
        <x:v>8</x:v>
      </x:c>
      <x:c r="K16" t="n">
        <x:v>1</x:v>
      </x:c>
      <x:c r="L16" t="n">
        <x:v>0</x:v>
      </x:c>
      <x:c r="M16" t="str">
        <x:f>IF(AND(I16=J16,K16=1),"PASS","GAP")</x:f>
        <x:v>PASS</x:v>
      </x:c>
    </x:row>
    <x:row r="17">
      <x:c r="B17" t="str">
        <x:v>PR-RC-2-CH-03</x:v>
      </x:c>
      <x:c r="C17" t="str">
        <x:v>RC-2</x:v>
      </x:c>
      <x:c r="D17" t="str">
        <x:v>CH-03</x:v>
      </x:c>
      <x:c r="E17" t="str">
        <x:v>wrong-side pressure</x:v>
      </x:c>
      <x:c r="F17" s="27" t="n">
        <x:f>Controls!$D$30</x:f>
        <x:v>2</x:v>
      </x:c>
      <x:c r="G17" s="27" t="n">
        <x:f>Controls!$D$31</x:f>
        <x:v>2</x:v>
      </x:c>
      <x:c r="H17" s="27" t="n">
        <x:f>Controls!$D$33</x:f>
        <x:v>2</x:v>
      </x:c>
      <x:c r="I17" s="27" t="n">
        <x:f>F17*G17*H17</x:f>
        <x:v>8</x:v>
      </x:c>
      <x:c r="J17" s="27" t="n">
        <x:f>COUNTIFS('Event Register'!$C$7:$C$198,B17)</x:f>
        <x:v>8</x:v>
      </x:c>
      <x:c r="K17" t="n">
        <x:v>1</x:v>
      </x:c>
      <x:c r="L17" t="n">
        <x:v>0</x:v>
      </x:c>
      <x:c r="M17" t="str">
        <x:f>IF(AND(I17=J17,K17=1),"PASS","GAP")</x:f>
        <x:v>PASS</x:v>
      </x:c>
    </x:row>
    <x:row r="18">
      <x:c r="B18" t="str">
        <x:v>PR-RC-2-CH-04</x:v>
      </x:c>
      <x:c r="C18" t="str">
        <x:v>RC-2</x:v>
      </x:c>
      <x:c r="D18" t="str">
        <x:v>CH-04</x:v>
      </x:c>
      <x:c r="E18" t="str">
        <x:v>receiver initial fill</x:v>
      </x:c>
      <x:c r="F18" s="27" t="n">
        <x:f>Controls!$D$30</x:f>
        <x:v>2</x:v>
      </x:c>
      <x:c r="G18" s="27" t="n">
        <x:f>Controls!$D$31</x:f>
        <x:v>2</x:v>
      </x:c>
      <x:c r="H18" s="27" t="n">
        <x:f>Controls!$D$33</x:f>
        <x:v>2</x:v>
      </x:c>
      <x:c r="I18" s="27" t="n">
        <x:f>F18*G18*H18</x:f>
        <x:v>8</x:v>
      </x:c>
      <x:c r="J18" s="27" t="n">
        <x:f>COUNTIFS('Event Register'!$C$7:$C$198,B18)</x:f>
        <x:v>8</x:v>
      </x:c>
      <x:c r="K18" t="n">
        <x:v>1</x:v>
      </x:c>
      <x:c r="L18" t="n">
        <x:v>0</x:v>
      </x:c>
      <x:c r="M18" t="str">
        <x:f>IF(AND(I18=J18,K18=1),"PASS","GAP")</x:f>
        <x:v>PASS</x:v>
      </x:c>
    </x:row>
    <x:row r="19">
      <x:c r="B19" t="str">
        <x:v>PR-RC-2-CH-05</x:v>
      </x:c>
      <x:c r="C19" t="str">
        <x:v>RC-2</x:v>
      </x:c>
      <x:c r="D19" t="str">
        <x:v>CH-05</x:v>
      </x:c>
      <x:c r="E19" t="str">
        <x:v>hot full-source release</x:v>
      </x:c>
      <x:c r="F19" s="27" t="n">
        <x:f>Controls!$D$30</x:f>
        <x:v>2</x:v>
      </x:c>
      <x:c r="G19" s="27" t="n">
        <x:f>Controls!$D$31</x:f>
        <x:v>2</x:v>
      </x:c>
      <x:c r="H19" s="27" t="n">
        <x:f>Controls!$D$33</x:f>
        <x:v>2</x:v>
      </x:c>
      <x:c r="I19" s="27" t="n">
        <x:f>F19*G19*H19</x:f>
        <x:v>8</x:v>
      </x:c>
      <x:c r="J19" s="27" t="n">
        <x:f>COUNTIFS('Event Register'!$C$7:$C$198,B19)</x:f>
        <x:v>8</x:v>
      </x:c>
      <x:c r="K19" t="n">
        <x:v>1</x:v>
      </x:c>
      <x:c r="L19" t="n">
        <x:v>0</x:v>
      </x:c>
      <x:c r="M19" t="str">
        <x:f>IF(AND(I19=J19,K19=1),"PASS","GAP")</x:f>
        <x:v>PASS</x:v>
      </x:c>
    </x:row>
    <x:row r="20">
      <x:c r="B20" t="str">
        <x:v>PR-RC-2-CH-06</x:v>
      </x:c>
      <x:c r="C20" t="str">
        <x:v>RC-2</x:v>
      </x:c>
      <x:c r="D20" t="str">
        <x:v>CH-06</x:v>
      </x:c>
      <x:c r="E20" t="str">
        <x:v>external heat and safety-energy loss</x:v>
      </x:c>
      <x:c r="F20" s="27" t="n">
        <x:f>Controls!$D$30</x:f>
        <x:v>2</x:v>
      </x:c>
      <x:c r="G20" s="27" t="n">
        <x:f>Controls!$D$31</x:f>
        <x:v>2</x:v>
      </x:c>
      <x:c r="H20" s="27" t="n">
        <x:f>Controls!$D$33</x:f>
        <x:v>2</x:v>
      </x:c>
      <x:c r="I20" s="27" t="n">
        <x:f>F20*G20*H20</x:f>
        <x:v>8</x:v>
      </x:c>
      <x:c r="J20" s="27" t="n">
        <x:f>COUNTIFS('Event Register'!$C$7:$C$198,B20)</x:f>
        <x:v>8</x:v>
      </x:c>
      <x:c r="K20" t="n">
        <x:v>1</x:v>
      </x:c>
      <x:c r="L20" t="n">
        <x:v>0</x:v>
      </x:c>
      <x:c r="M20" t="str">
        <x:f>IF(AND(I20=J20,K20=1),"PASS","GAP")</x:f>
        <x:v>PASS</x:v>
      </x:c>
    </x:row>
    <x:row r="21">
      <x:c r="B21" t="str">
        <x:v>PR-RC-2-CH-07</x:v>
      </x:c>
      <x:c r="C21" t="str">
        <x:v>RC-2</x:v>
      </x:c>
      <x:c r="D21" t="str">
        <x:v>CH-07</x:v>
      </x:c>
      <x:c r="E21" t="str">
        <x:v>partial holder and weather</x:v>
      </x:c>
      <x:c r="F21" s="27" t="n">
        <x:f>Controls!$D$30</x:f>
        <x:v>2</x:v>
      </x:c>
      <x:c r="G21" s="27" t="n">
        <x:f>Controls!$D$31</x:f>
        <x:v>2</x:v>
      </x:c>
      <x:c r="H21" s="27" t="n">
        <x:f>Controls!$D$33</x:f>
        <x:v>2</x:v>
      </x:c>
      <x:c r="I21" s="27" t="n">
        <x:f>F21*G21*H21</x:f>
        <x:v>8</x:v>
      </x:c>
      <x:c r="J21" s="27" t="n">
        <x:f>COUNTIFS('Event Register'!$C$7:$C$198,B21)</x:f>
        <x:v>8</x:v>
      </x:c>
      <x:c r="K21" t="n">
        <x:v>1</x:v>
      </x:c>
      <x:c r="L21" t="n">
        <x:v>0</x:v>
      </x:c>
      <x:c r="M21" t="str">
        <x:f>IF(AND(I21=J21,K21=1),"PASS","GAP")</x:f>
        <x:v>PASS</x:v>
      </x:c>
    </x:row>
    <x:row r="22">
      <x:c r="B22" t="str">
        <x:v>PR-RC-2-CH-08</x:v>
      </x:c>
      <x:c r="C22" t="str">
        <x:v>RC-2</x:v>
      </x:c>
      <x:c r="D22" t="str">
        <x:v>CH-08</x:v>
      </x:c>
      <x:c r="E22" t="str">
        <x:v>site network and time loss</x:v>
      </x:c>
      <x:c r="F22" s="27" t="n">
        <x:f>Controls!$D$30</x:f>
        <x:v>2</x:v>
      </x:c>
      <x:c r="G22" s="27" t="n">
        <x:f>Controls!$D$31</x:f>
        <x:v>2</x:v>
      </x:c>
      <x:c r="H22" s="27" t="n">
        <x:f>Controls!$D$33</x:f>
        <x:v>2</x:v>
      </x:c>
      <x:c r="I22" s="27" t="n">
        <x:f>F22*G22*H22</x:f>
        <x:v>8</x:v>
      </x:c>
      <x:c r="J22" s="27" t="n">
        <x:f>COUNTIFS('Event Register'!$C$7:$C$198,B22)</x:f>
        <x:v>8</x:v>
      </x:c>
      <x:c r="K22" t="n">
        <x:v>1</x:v>
      </x:c>
      <x:c r="L22" t="n">
        <x:v>0</x:v>
      </x:c>
      <x:c r="M22" t="str">
        <x:f>IF(AND(I22=J22,K22=1),"PASS","GAP")</x:f>
        <x:v>PASS</x:v>
      </x:c>
    </x:row>
    <x:row r="23">
      <x:c r="B23" t="str">
        <x:v>PR-RC-3-CH-01</x:v>
      </x:c>
      <x:c r="C23" t="str">
        <x:v>RC-3</x:v>
      </x:c>
      <x:c r="D23" t="str">
        <x:v>CH-01</x:v>
      </x:c>
      <x:c r="E23" t="str">
        <x:v>cold start and icing</x:v>
      </x:c>
      <x:c r="F23" s="27" t="n">
        <x:f>Controls!$D$30</x:f>
        <x:v>2</x:v>
      </x:c>
      <x:c r="G23" s="27" t="n">
        <x:f>Controls!$D$31</x:f>
        <x:v>2</x:v>
      </x:c>
      <x:c r="H23" s="27" t="n">
        <x:f>Controls!$D$33</x:f>
        <x:v>2</x:v>
      </x:c>
      <x:c r="I23" s="27" t="n">
        <x:f>F23*G23*H23</x:f>
        <x:v>8</x:v>
      </x:c>
      <x:c r="J23" s="27" t="n">
        <x:f>COUNTIFS('Event Register'!$C$7:$C$198,B23)</x:f>
        <x:v>8</x:v>
      </x:c>
      <x:c r="K23" t="n">
        <x:v>1</x:v>
      </x:c>
      <x:c r="L23" t="n">
        <x:v>0</x:v>
      </x:c>
      <x:c r="M23" t="str">
        <x:f>IF(AND(I23=J23,K23=1),"PASS","GAP")</x:f>
        <x:v>PASS</x:v>
      </x:c>
    </x:row>
    <x:row r="24">
      <x:c r="B24" t="str">
        <x:v>PR-RC-3-CH-02</x:v>
      </x:c>
      <x:c r="C24" t="str">
        <x:v>RC-3</x:v>
      </x:c>
      <x:c r="D24" t="str">
        <x:v>CH-02</x:v>
      </x:c>
      <x:c r="E24" t="str">
        <x:v>route-area loss</x:v>
      </x:c>
      <x:c r="F24" s="27" t="n">
        <x:f>Controls!$D$30</x:f>
        <x:v>2</x:v>
      </x:c>
      <x:c r="G24" s="27" t="n">
        <x:f>Controls!$D$31</x:f>
        <x:v>2</x:v>
      </x:c>
      <x:c r="H24" s="27" t="n">
        <x:f>Controls!$D$33</x:f>
        <x:v>2</x:v>
      </x:c>
      <x:c r="I24" s="27" t="n">
        <x:f>F24*G24*H24</x:f>
        <x:v>8</x:v>
      </x:c>
      <x:c r="J24" s="27" t="n">
        <x:f>COUNTIFS('Event Register'!$C$7:$C$198,B24)</x:f>
        <x:v>8</x:v>
      </x:c>
      <x:c r="K24" t="n">
        <x:v>1</x:v>
      </x:c>
      <x:c r="L24" t="n">
        <x:v>0</x:v>
      </x:c>
      <x:c r="M24" t="str">
        <x:f>IF(AND(I24=J24,K24=1),"PASS","GAP")</x:f>
        <x:v>PASS</x:v>
      </x:c>
    </x:row>
    <x:row r="25">
      <x:c r="B25" t="str">
        <x:v>PR-RC-3-CH-03</x:v>
      </x:c>
      <x:c r="C25" t="str">
        <x:v>RC-3</x:v>
      </x:c>
      <x:c r="D25" t="str">
        <x:v>CH-03</x:v>
      </x:c>
      <x:c r="E25" t="str">
        <x:v>wrong-side pressure</x:v>
      </x:c>
      <x:c r="F25" s="27" t="n">
        <x:f>Controls!$D$30</x:f>
        <x:v>2</x:v>
      </x:c>
      <x:c r="G25" s="27" t="n">
        <x:f>Controls!$D$31</x:f>
        <x:v>2</x:v>
      </x:c>
      <x:c r="H25" s="27" t="n">
        <x:f>Controls!$D$33</x:f>
        <x:v>2</x:v>
      </x:c>
      <x:c r="I25" s="27" t="n">
        <x:f>F25*G25*H25</x:f>
        <x:v>8</x:v>
      </x:c>
      <x:c r="J25" s="27" t="n">
        <x:f>COUNTIFS('Event Register'!$C$7:$C$198,B25)</x:f>
        <x:v>8</x:v>
      </x:c>
      <x:c r="K25" t="n">
        <x:v>1</x:v>
      </x:c>
      <x:c r="L25" t="n">
        <x:v>0</x:v>
      </x:c>
      <x:c r="M25" t="str">
        <x:f>IF(AND(I25=J25,K25=1),"PASS","GAP")</x:f>
        <x:v>PASS</x:v>
      </x:c>
    </x:row>
    <x:row r="26">
      <x:c r="B26" t="str">
        <x:v>PR-RC-3-CH-04</x:v>
      </x:c>
      <x:c r="C26" t="str">
        <x:v>RC-3</x:v>
      </x:c>
      <x:c r="D26" t="str">
        <x:v>CH-04</x:v>
      </x:c>
      <x:c r="E26" t="str">
        <x:v>receiver initial fill</x:v>
      </x:c>
      <x:c r="F26" s="27" t="n">
        <x:f>Controls!$D$30</x:f>
        <x:v>2</x:v>
      </x:c>
      <x:c r="G26" s="27" t="n">
        <x:f>Controls!$D$31</x:f>
        <x:v>2</x:v>
      </x:c>
      <x:c r="H26" s="27" t="n">
        <x:f>Controls!$D$33</x:f>
        <x:v>2</x:v>
      </x:c>
      <x:c r="I26" s="27" t="n">
        <x:f>F26*G26*H26</x:f>
        <x:v>8</x:v>
      </x:c>
      <x:c r="J26" s="27" t="n">
        <x:f>COUNTIFS('Event Register'!$C$7:$C$198,B26)</x:f>
        <x:v>8</x:v>
      </x:c>
      <x:c r="K26" t="n">
        <x:v>1</x:v>
      </x:c>
      <x:c r="L26" t="n">
        <x:v>0</x:v>
      </x:c>
      <x:c r="M26" t="str">
        <x:f>IF(AND(I26=J26,K26=1),"PASS","GAP")</x:f>
        <x:v>PASS</x:v>
      </x:c>
    </x:row>
    <x:row r="27">
      <x:c r="B27" t="str">
        <x:v>PR-RC-3-CH-05</x:v>
      </x:c>
      <x:c r="C27" t="str">
        <x:v>RC-3</x:v>
      </x:c>
      <x:c r="D27" t="str">
        <x:v>CH-05</x:v>
      </x:c>
      <x:c r="E27" t="str">
        <x:v>hot full-source release</x:v>
      </x:c>
      <x:c r="F27" s="27" t="n">
        <x:f>Controls!$D$30</x:f>
        <x:v>2</x:v>
      </x:c>
      <x:c r="G27" s="27" t="n">
        <x:f>Controls!$D$31</x:f>
        <x:v>2</x:v>
      </x:c>
      <x:c r="H27" s="27" t="n">
        <x:f>Controls!$D$33</x:f>
        <x:v>2</x:v>
      </x:c>
      <x:c r="I27" s="27" t="n">
        <x:f>F27*G27*H27</x:f>
        <x:v>8</x:v>
      </x:c>
      <x:c r="J27" s="27" t="n">
        <x:f>COUNTIFS('Event Register'!$C$7:$C$198,B27)</x:f>
        <x:v>8</x:v>
      </x:c>
      <x:c r="K27" t="n">
        <x:v>1</x:v>
      </x:c>
      <x:c r="L27" t="n">
        <x:v>0</x:v>
      </x:c>
      <x:c r="M27" t="str">
        <x:f>IF(AND(I27=J27,K27=1),"PASS","GAP")</x:f>
        <x:v>PASS</x:v>
      </x:c>
    </x:row>
    <x:row r="28">
      <x:c r="B28" t="str">
        <x:v>PR-RC-3-CH-06</x:v>
      </x:c>
      <x:c r="C28" t="str">
        <x:v>RC-3</x:v>
      </x:c>
      <x:c r="D28" t="str">
        <x:v>CH-06</x:v>
      </x:c>
      <x:c r="E28" t="str">
        <x:v>external heat and safety-energy loss</x:v>
      </x:c>
      <x:c r="F28" s="27" t="n">
        <x:f>Controls!$D$30</x:f>
        <x:v>2</x:v>
      </x:c>
      <x:c r="G28" s="27" t="n">
        <x:f>Controls!$D$31</x:f>
        <x:v>2</x:v>
      </x:c>
      <x:c r="H28" s="27" t="n">
        <x:f>Controls!$D$33</x:f>
        <x:v>2</x:v>
      </x:c>
      <x:c r="I28" s="27" t="n">
        <x:f>F28*G28*H28</x:f>
        <x:v>8</x:v>
      </x:c>
      <x:c r="J28" s="27" t="n">
        <x:f>COUNTIFS('Event Register'!$C$7:$C$198,B28)</x:f>
        <x:v>8</x:v>
      </x:c>
      <x:c r="K28" t="n">
        <x:v>1</x:v>
      </x:c>
      <x:c r="L28" t="n">
        <x:v>0</x:v>
      </x:c>
      <x:c r="M28" t="str">
        <x:f>IF(AND(I28=J28,K28=1),"PASS","GAP")</x:f>
        <x:v>PASS</x:v>
      </x:c>
    </x:row>
    <x:row r="29">
      <x:c r="B29" t="str">
        <x:v>PR-RC-3-CH-07</x:v>
      </x:c>
      <x:c r="C29" t="str">
        <x:v>RC-3</x:v>
      </x:c>
      <x:c r="D29" t="str">
        <x:v>CH-07</x:v>
      </x:c>
      <x:c r="E29" t="str">
        <x:v>partial holder and weather</x:v>
      </x:c>
      <x:c r="F29" s="27" t="n">
        <x:f>Controls!$D$30</x:f>
        <x:v>2</x:v>
      </x:c>
      <x:c r="G29" s="27" t="n">
        <x:f>Controls!$D$31</x:f>
        <x:v>2</x:v>
      </x:c>
      <x:c r="H29" s="27" t="n">
        <x:f>Controls!$D$33</x:f>
        <x:v>2</x:v>
      </x:c>
      <x:c r="I29" s="27" t="n">
        <x:f>F29*G29*H29</x:f>
        <x:v>8</x:v>
      </x:c>
      <x:c r="J29" s="27" t="n">
        <x:f>COUNTIFS('Event Register'!$C$7:$C$198,B29)</x:f>
        <x:v>8</x:v>
      </x:c>
      <x:c r="K29" t="n">
        <x:v>1</x:v>
      </x:c>
      <x:c r="L29" t="n">
        <x:v>0</x:v>
      </x:c>
      <x:c r="M29" t="str">
        <x:f>IF(AND(I29=J29,K29=1),"PASS","GAP")</x:f>
        <x:v>PASS</x:v>
      </x:c>
    </x:row>
    <x:row r="30">
      <x:c r="B30" t="str">
        <x:v>PR-RC-3-CH-08</x:v>
      </x:c>
      <x:c r="C30" t="str">
        <x:v>RC-3</x:v>
      </x:c>
      <x:c r="D30" t="str">
        <x:v>CH-08</x:v>
      </x:c>
      <x:c r="E30" t="str">
        <x:v>site network and time loss</x:v>
      </x:c>
      <x:c r="F30" s="27" t="n">
        <x:f>Controls!$D$30</x:f>
        <x:v>2</x:v>
      </x:c>
      <x:c r="G30" s="27" t="n">
        <x:f>Controls!$D$31</x:f>
        <x:v>2</x:v>
      </x:c>
      <x:c r="H30" s="27" t="n">
        <x:f>Controls!$D$33</x:f>
        <x:v>2</x:v>
      </x:c>
      <x:c r="I30" s="27" t="n">
        <x:f>F30*G30*H30</x:f>
        <x:v>8</x:v>
      </x:c>
      <x:c r="J30" s="27" t="n">
        <x:f>COUNTIFS('Event Register'!$C$7:$C$198,B30)</x:f>
        <x:v>8</x:v>
      </x:c>
      <x:c r="K30" t="n">
        <x:v>1</x:v>
      </x:c>
      <x:c r="L30" t="n">
        <x:v>0</x:v>
      </x:c>
      <x:c r="M30" t="str">
        <x:f>IF(AND(I30=J30,K30=1),"PASS","GAP")</x:f>
        <x:v>PASS</x:v>
      </x:c>
    </x:row>
  </x:sheetData>
  <x:conditionalFormatting sqref="M7:M30">
    <x:cfRule type="containsText" dxfId="12" priority="1" operator="containsText" text="FAIL"/>
    <x:cfRule type="containsText" dxfId="13" priority="2" operator="containsText" text="BLOCKED"/>
    <x:cfRule type="containsText" dxfId="14" priority="3" operator="containsText" text="OPEN"/>
    <x:cfRule type="containsText" dxfId="15" priority="4" operator="containsText" text="GAP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5" hidden="0" customWidth="1"/>
    <x:col min="3" max="3" width="25" hidden="0" customWidth="1"/>
    <x:col min="4" max="4" width="14" hidden="0" customWidth="1"/>
    <x:col min="5" max="5" width="13" hidden="0" customWidth="1"/>
    <x:col min="6" max="6" width="14" hidden="0" customWidth="1"/>
    <x:col min="7" max="7" width="12" hidden="0" customWidth="1"/>
    <x:col min="8" max="8" width="15" hidden="0" customWidth="1"/>
    <x:col min="9" max="9" width="15" hidden="0" customWidth="1"/>
    <x:col min="10" max="10" width="13" hidden="0" customWidth="1"/>
    <x:col min="11" max="11" width="18" hidden="0" customWidth="1"/>
    <x:col min="12" max="12" width="18" hidden="0" customWidth="1"/>
    <x:col min="13" max="13" width="21" hidden="0" customWidth="1"/>
    <x:col min="14" max="14" width="12" hidden="0" customWidth="1"/>
    <x:col min="15" max="15" width="15" hidden="0" customWidth="1"/>
    <x:col min="16" max="16" width="16" hidden="0" customWidth="1"/>
  </x:cols>
  <x:sheetData>
    <x:row r="2">
      <x:c r="B2" s="1" t="str">
        <x:v>One hundred ninety-two paired full-scale events</x:v>
      </x:c>
    </x:row>
    <x:row r="3">
      <x:c r="B3" s="2" t="str">
        <x:v>Assignments are fixed before physical results. Invalid events remain registered and receive new replacement identities.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 ht="24" customHeight="1">
      <x:c r="B6" s="8" t="str">
        <x:v>Event</x:v>
      </x:c>
      <x:c r="C6" s="9" t="str">
        <x:v>Protocol</x:v>
      </x:c>
      <x:c r="D6" s="9" t="str">
        <x:v>Architecture</x:v>
      </x:c>
      <x:c r="E6" s="9" t="str">
        <x:v>Challenge</x:v>
      </x:c>
      <x:c r="F6" s="9" t="str">
        <x:v>Builder</x:v>
      </x:c>
      <x:c r="G6" s="9" t="str">
        <x:v>Site</x:v>
      </x:c>
      <x:c r="H6" s="9" t="str">
        <x:v>Pair type</x:v>
      </x:c>
      <x:c r="I6" s="9" t="str">
        <x:v>Source state</x:v>
      </x:c>
      <x:c r="J6" s="9" t="str">
        <x:v>Source tier</x:v>
      </x:c>
      <x:c r="K6" s="9" t="str">
        <x:v>Source mass (kg)</x:v>
      </x:c>
      <x:c r="L6" s="9" t="str">
        <x:v>Expected state</x:v>
      </x:c>
      <x:c r="M6" s="9" t="str">
        <x:v>Assignment complete</x:v>
      </x:c>
      <x:c r="N6" s="9" t="str">
        <x:v>Executed</x:v>
      </x:c>
      <x:c r="O6" s="9" t="str">
        <x:v>Native packet</x:v>
      </x:c>
      <x:c r="P6" s="10" t="str">
        <x:v>Planning state</x:v>
      </x:c>
    </x:row>
    <x:row r="7">
      <x:c r="B7" t="str">
        <x:v>PR-RC-1-CH-01-A-B-X</x:v>
      </x:c>
      <x:c r="C7" t="str">
        <x:v>PR-RC-1-CH-01</x:v>
      </x:c>
      <x:c r="D7" t="str">
        <x:v>RC-1</x:v>
      </x:c>
      <x:c r="E7" t="str">
        <x:v>CH-01</x:v>
      </x:c>
      <x:c r="F7" t="str">
        <x:v>Builder A</x:v>
      </x:c>
      <x:c r="G7" t="str">
        <x:v>PTC-B</x:v>
      </x:c>
      <x:c r="H7" t="str">
        <x:v>challenge</x:v>
      </x:c>
      <x:c r="I7" t="str">
        <x:v>RB-S1</x:v>
      </x:c>
      <x:c r="J7" t="str">
        <x:v>quarter</x:v>
      </x:c>
      <x:c r="K7" s="27" t="n">
        <x:f>Controls!$D$37</x:f>
        <x:v>500</x:v>
      </x:c>
      <x:c r="L7" t="str">
        <x:v>CHALLENGED</x:v>
      </x:c>
      <x:c r="M7" t="n">
        <x:v>1</x:v>
      </x:c>
      <x:c r="N7" t="n">
        <x:v>0</x:v>
      </x:c>
      <x:c r="O7" t="n">
        <x:v>0</x:v>
      </x:c>
      <x:c r="P7" t="str">
        <x:f>IF(M7=1,"PASS","GAP")</x:f>
        <x:v>PASS</x:v>
      </x:c>
    </x:row>
    <x:row r="8">
      <x:c r="B8" t="str">
        <x:v>PR-RC-1-CH-01-A-B-C</x:v>
      </x:c>
      <x:c r="C8" t="str">
        <x:v>PR-RC-1-CH-01</x:v>
      </x:c>
      <x:c r="D8" t="str">
        <x:v>RC-1</x:v>
      </x:c>
      <x:c r="E8" t="str">
        <x:v>CH-01</x:v>
      </x:c>
      <x:c r="F8" t="str">
        <x:v>Builder A</x:v>
      </x:c>
      <x:c r="G8" t="str">
        <x:v>PTC-B</x:v>
      </x:c>
      <x:c r="H8" t="str">
        <x:v>clean control</x:v>
      </x:c>
      <x:c r="I8" t="str">
        <x:v>RB-S1</x:v>
      </x:c>
      <x:c r="J8" t="str">
        <x:v>quarter</x:v>
      </x:c>
      <x:c r="K8" s="27" t="n">
        <x:f>Controls!$D$37</x:f>
        <x:v>500</x:v>
      </x:c>
      <x:c r="L8" t="str">
        <x:v>CLEAN</x:v>
      </x:c>
      <x:c r="M8" t="n">
        <x:v>1</x:v>
      </x:c>
      <x:c r="N8" t="n">
        <x:v>0</x:v>
      </x:c>
      <x:c r="O8" t="n">
        <x:v>0</x:v>
      </x:c>
      <x:c r="P8" t="str">
        <x:f>IF(M8=1,"PASS","GAP")</x:f>
        <x:v>PASS</x:v>
      </x:c>
    </x:row>
    <x:row r="9">
      <x:c r="B9" t="str">
        <x:v>PR-RC-1-CH-01-A-C-X</x:v>
      </x:c>
      <x:c r="C9" t="str">
        <x:v>PR-RC-1-CH-01</x:v>
      </x:c>
      <x:c r="D9" t="str">
        <x:v>RC-1</x:v>
      </x:c>
      <x:c r="E9" t="str">
        <x:v>CH-01</x:v>
      </x:c>
      <x:c r="F9" t="str">
        <x:v>Builder A</x:v>
      </x:c>
      <x:c r="G9" t="str">
        <x:v>PTC-C</x:v>
      </x:c>
      <x:c r="H9" t="str">
        <x:v>challenge</x:v>
      </x:c>
      <x:c r="I9" t="str">
        <x:v>RB-S1</x:v>
      </x:c>
      <x:c r="J9" t="str">
        <x:v>quarter</x:v>
      </x:c>
      <x:c r="K9" s="27" t="n">
        <x:f>Controls!$D$37</x:f>
        <x:v>500</x:v>
      </x:c>
      <x:c r="L9" t="str">
        <x:v>CHALLENGED</x:v>
      </x:c>
      <x:c r="M9" t="n">
        <x:v>1</x:v>
      </x:c>
      <x:c r="N9" t="n">
        <x:v>0</x:v>
      </x:c>
      <x:c r="O9" t="n">
        <x:v>0</x:v>
      </x:c>
      <x:c r="P9" t="str">
        <x:f>IF(M9=1,"PASS","GAP")</x:f>
        <x:v>PASS</x:v>
      </x:c>
    </x:row>
    <x:row r="10">
      <x:c r="B10" t="str">
        <x:v>PR-RC-1-CH-01-A-C-C</x:v>
      </x:c>
      <x:c r="C10" t="str">
        <x:v>PR-RC-1-CH-01</x:v>
      </x:c>
      <x:c r="D10" t="str">
        <x:v>RC-1</x:v>
      </x:c>
      <x:c r="E10" t="str">
        <x:v>CH-01</x:v>
      </x:c>
      <x:c r="F10" t="str">
        <x:v>Builder A</x:v>
      </x:c>
      <x:c r="G10" t="str">
        <x:v>PTC-C</x:v>
      </x:c>
      <x:c r="H10" t="str">
        <x:v>clean control</x:v>
      </x:c>
      <x:c r="I10" t="str">
        <x:v>RB-S1</x:v>
      </x:c>
      <x:c r="J10" t="str">
        <x:v>quarter</x:v>
      </x:c>
      <x:c r="K10" s="27" t="n">
        <x:f>Controls!$D$37</x:f>
        <x:v>500</x:v>
      </x:c>
      <x:c r="L10" t="str">
        <x:v>CLEAN</x:v>
      </x:c>
      <x:c r="M10" t="n">
        <x:v>1</x:v>
      </x:c>
      <x:c r="N10" t="n">
        <x:v>0</x:v>
      </x:c>
      <x:c r="O10" t="n">
        <x:v>0</x:v>
      </x:c>
      <x:c r="P10" t="str">
        <x:f>IF(M10=1,"PASS","GAP")</x:f>
        <x:v>PASS</x:v>
      </x:c>
    </x:row>
    <x:row r="11">
      <x:c r="B11" t="str">
        <x:v>PR-RC-1-CH-01-B-B-X</x:v>
      </x:c>
      <x:c r="C11" t="str">
        <x:v>PR-RC-1-CH-01</x:v>
      </x:c>
      <x:c r="D11" t="str">
        <x:v>RC-1</x:v>
      </x:c>
      <x:c r="E11" t="str">
        <x:v>CH-01</x:v>
      </x:c>
      <x:c r="F11" t="str">
        <x:v>Builder B</x:v>
      </x:c>
      <x:c r="G11" t="str">
        <x:v>PTC-B</x:v>
      </x:c>
      <x:c r="H11" t="str">
        <x:v>challenge</x:v>
      </x:c>
      <x:c r="I11" t="str">
        <x:v>RB-S1</x:v>
      </x:c>
      <x:c r="J11" t="str">
        <x:v>quarter</x:v>
      </x:c>
      <x:c r="K11" s="27" t="n">
        <x:f>Controls!$D$37</x:f>
        <x:v>500</x:v>
      </x:c>
      <x:c r="L11" t="str">
        <x:v>CHALLENGED</x:v>
      </x:c>
      <x:c r="M11" t="n">
        <x:v>1</x:v>
      </x:c>
      <x:c r="N11" t="n">
        <x:v>0</x:v>
      </x:c>
      <x:c r="O11" t="n">
        <x:v>0</x:v>
      </x:c>
      <x:c r="P11" t="str">
        <x:f>IF(M11=1,"PASS","GAP")</x:f>
        <x:v>PASS</x:v>
      </x:c>
    </x:row>
    <x:row r="12">
      <x:c r="B12" t="str">
        <x:v>PR-RC-1-CH-01-B-B-C</x:v>
      </x:c>
      <x:c r="C12" t="str">
        <x:v>PR-RC-1-CH-01</x:v>
      </x:c>
      <x:c r="D12" t="str">
        <x:v>RC-1</x:v>
      </x:c>
      <x:c r="E12" t="str">
        <x:v>CH-01</x:v>
      </x:c>
      <x:c r="F12" t="str">
        <x:v>Builder B</x:v>
      </x:c>
      <x:c r="G12" t="str">
        <x:v>PTC-B</x:v>
      </x:c>
      <x:c r="H12" t="str">
        <x:v>clean control</x:v>
      </x:c>
      <x:c r="I12" t="str">
        <x:v>RB-S1</x:v>
      </x:c>
      <x:c r="J12" t="str">
        <x:v>quarter</x:v>
      </x:c>
      <x:c r="K12" s="27" t="n">
        <x:f>Controls!$D$37</x:f>
        <x:v>500</x:v>
      </x:c>
      <x:c r="L12" t="str">
        <x:v>CLEAN</x:v>
      </x:c>
      <x:c r="M12" t="n">
        <x:v>1</x:v>
      </x:c>
      <x:c r="N12" t="n">
        <x:v>0</x:v>
      </x:c>
      <x:c r="O12" t="n">
        <x:v>0</x:v>
      </x:c>
      <x:c r="P12" t="str">
        <x:f>IF(M12=1,"PASS","GAP")</x:f>
        <x:v>PASS</x:v>
      </x:c>
    </x:row>
    <x:row r="13">
      <x:c r="B13" t="str">
        <x:v>PR-RC-1-CH-01-B-C-X</x:v>
      </x:c>
      <x:c r="C13" t="str">
        <x:v>PR-RC-1-CH-01</x:v>
      </x:c>
      <x:c r="D13" t="str">
        <x:v>RC-1</x:v>
      </x:c>
      <x:c r="E13" t="str">
        <x:v>CH-01</x:v>
      </x:c>
      <x:c r="F13" t="str">
        <x:v>Builder B</x:v>
      </x:c>
      <x:c r="G13" t="str">
        <x:v>PTC-C</x:v>
      </x:c>
      <x:c r="H13" t="str">
        <x:v>challenge</x:v>
      </x:c>
      <x:c r="I13" t="str">
        <x:v>RB-S1</x:v>
      </x:c>
      <x:c r="J13" t="str">
        <x:v>quarter</x:v>
      </x:c>
      <x:c r="K13" s="27" t="n">
        <x:f>Controls!$D$37</x:f>
        <x:v>500</x:v>
      </x:c>
      <x:c r="L13" t="str">
        <x:v>CHALLENGED</x:v>
      </x:c>
      <x:c r="M13" t="n">
        <x:v>1</x:v>
      </x:c>
      <x:c r="N13" t="n">
        <x:v>0</x:v>
      </x:c>
      <x:c r="O13" t="n">
        <x:v>0</x:v>
      </x:c>
      <x:c r="P13" t="str">
        <x:f>IF(M13=1,"PASS","GAP")</x:f>
        <x:v>PASS</x:v>
      </x:c>
    </x:row>
    <x:row r="14">
      <x:c r="B14" t="str">
        <x:v>PR-RC-1-CH-01-B-C-C</x:v>
      </x:c>
      <x:c r="C14" t="str">
        <x:v>PR-RC-1-CH-01</x:v>
      </x:c>
      <x:c r="D14" t="str">
        <x:v>RC-1</x:v>
      </x:c>
      <x:c r="E14" t="str">
        <x:v>CH-01</x:v>
      </x:c>
      <x:c r="F14" t="str">
        <x:v>Builder B</x:v>
      </x:c>
      <x:c r="G14" t="str">
        <x:v>PTC-C</x:v>
      </x:c>
      <x:c r="H14" t="str">
        <x:v>clean control</x:v>
      </x:c>
      <x:c r="I14" t="str">
        <x:v>RB-S1</x:v>
      </x:c>
      <x:c r="J14" t="str">
        <x:v>quarter</x:v>
      </x:c>
      <x:c r="K14" s="27" t="n">
        <x:f>Controls!$D$37</x:f>
        <x:v>500</x:v>
      </x:c>
      <x:c r="L14" t="str">
        <x:v>CLEAN</x:v>
      </x:c>
      <x:c r="M14" t="n">
        <x:v>1</x:v>
      </x:c>
      <x:c r="N14" t="n">
        <x:v>0</x:v>
      </x:c>
      <x:c r="O14" t="n">
        <x:v>0</x:v>
      </x:c>
      <x:c r="P14" t="str">
        <x:f>IF(M14=1,"PASS","GAP")</x:f>
        <x:v>PASS</x:v>
      </x:c>
    </x:row>
    <x:row r="15">
      <x:c r="B15" t="str">
        <x:v>PR-RC-1-CH-02-A-B-X</x:v>
      </x:c>
      <x:c r="C15" t="str">
        <x:v>PR-RC-1-CH-02</x:v>
      </x:c>
      <x:c r="D15" t="str">
        <x:v>RC-1</x:v>
      </x:c>
      <x:c r="E15" t="str">
        <x:v>CH-02</x:v>
      </x:c>
      <x:c r="F15" t="str">
        <x:v>Builder A</x:v>
      </x:c>
      <x:c r="G15" t="str">
        <x:v>PTC-B</x:v>
      </x:c>
      <x:c r="H15" t="str">
        <x:v>challenge</x:v>
      </x:c>
      <x:c r="I15" t="str">
        <x:v>RB-S2</x:v>
      </x:c>
      <x:c r="J15" t="str">
        <x:v>quarter</x:v>
      </x:c>
      <x:c r="K15" s="27" t="n">
        <x:f>Controls!$D$37</x:f>
        <x:v>500</x:v>
      </x:c>
      <x:c r="L15" t="str">
        <x:v>CHALLENGED</x:v>
      </x:c>
      <x:c r="M15" t="n">
        <x:v>1</x:v>
      </x:c>
      <x:c r="N15" t="n">
        <x:v>0</x:v>
      </x:c>
      <x:c r="O15" t="n">
        <x:v>0</x:v>
      </x:c>
      <x:c r="P15" t="str">
        <x:f>IF(M15=1,"PASS","GAP")</x:f>
        <x:v>PASS</x:v>
      </x:c>
    </x:row>
    <x:row r="16">
      <x:c r="B16" t="str">
        <x:v>PR-RC-1-CH-02-A-B-C</x:v>
      </x:c>
      <x:c r="C16" t="str">
        <x:v>PR-RC-1-CH-02</x:v>
      </x:c>
      <x:c r="D16" t="str">
        <x:v>RC-1</x:v>
      </x:c>
      <x:c r="E16" t="str">
        <x:v>CH-02</x:v>
      </x:c>
      <x:c r="F16" t="str">
        <x:v>Builder A</x:v>
      </x:c>
      <x:c r="G16" t="str">
        <x:v>PTC-B</x:v>
      </x:c>
      <x:c r="H16" t="str">
        <x:v>clean control</x:v>
      </x:c>
      <x:c r="I16" t="str">
        <x:v>RB-S2</x:v>
      </x:c>
      <x:c r="J16" t="str">
        <x:v>quarter</x:v>
      </x:c>
      <x:c r="K16" s="27" t="n">
        <x:f>Controls!$D$37</x:f>
        <x:v>500</x:v>
      </x:c>
      <x:c r="L16" t="str">
        <x:v>CLEAN</x:v>
      </x:c>
      <x:c r="M16" t="n">
        <x:v>1</x:v>
      </x:c>
      <x:c r="N16" t="n">
        <x:v>0</x:v>
      </x:c>
      <x:c r="O16" t="n">
        <x:v>0</x:v>
      </x:c>
      <x:c r="P16" t="str">
        <x:f>IF(M16=1,"PASS","GAP")</x:f>
        <x:v>PASS</x:v>
      </x:c>
    </x:row>
    <x:row r="17">
      <x:c r="B17" t="str">
        <x:v>PR-RC-1-CH-02-A-C-X</x:v>
      </x:c>
      <x:c r="C17" t="str">
        <x:v>PR-RC-1-CH-02</x:v>
      </x:c>
      <x:c r="D17" t="str">
        <x:v>RC-1</x:v>
      </x:c>
      <x:c r="E17" t="str">
        <x:v>CH-02</x:v>
      </x:c>
      <x:c r="F17" t="str">
        <x:v>Builder A</x:v>
      </x:c>
      <x:c r="G17" t="str">
        <x:v>PTC-C</x:v>
      </x:c>
      <x:c r="H17" t="str">
        <x:v>challenge</x:v>
      </x:c>
      <x:c r="I17" t="str">
        <x:v>RB-S2</x:v>
      </x:c>
      <x:c r="J17" t="str">
        <x:v>quarter</x:v>
      </x:c>
      <x:c r="K17" s="27" t="n">
        <x:f>Controls!$D$37</x:f>
        <x:v>500</x:v>
      </x:c>
      <x:c r="L17" t="str">
        <x:v>CHALLENGED</x:v>
      </x:c>
      <x:c r="M17" t="n">
        <x:v>1</x:v>
      </x:c>
      <x:c r="N17" t="n">
        <x:v>0</x:v>
      </x:c>
      <x:c r="O17" t="n">
        <x:v>0</x:v>
      </x:c>
      <x:c r="P17" t="str">
        <x:f>IF(M17=1,"PASS","GAP")</x:f>
        <x:v>PASS</x:v>
      </x:c>
    </x:row>
    <x:row r="18">
      <x:c r="B18" t="str">
        <x:v>PR-RC-1-CH-02-A-C-C</x:v>
      </x:c>
      <x:c r="C18" t="str">
        <x:v>PR-RC-1-CH-02</x:v>
      </x:c>
      <x:c r="D18" t="str">
        <x:v>RC-1</x:v>
      </x:c>
      <x:c r="E18" t="str">
        <x:v>CH-02</x:v>
      </x:c>
      <x:c r="F18" t="str">
        <x:v>Builder A</x:v>
      </x:c>
      <x:c r="G18" t="str">
        <x:v>PTC-C</x:v>
      </x:c>
      <x:c r="H18" t="str">
        <x:v>clean control</x:v>
      </x:c>
      <x:c r="I18" t="str">
        <x:v>RB-S2</x:v>
      </x:c>
      <x:c r="J18" t="str">
        <x:v>quarter</x:v>
      </x:c>
      <x:c r="K18" s="27" t="n">
        <x:f>Controls!$D$37</x:f>
        <x:v>500</x:v>
      </x:c>
      <x:c r="L18" t="str">
        <x:v>CLEAN</x:v>
      </x:c>
      <x:c r="M18" t="n">
        <x:v>1</x:v>
      </x:c>
      <x:c r="N18" t="n">
        <x:v>0</x:v>
      </x:c>
      <x:c r="O18" t="n">
        <x:v>0</x:v>
      </x:c>
      <x:c r="P18" t="str">
        <x:f>IF(M18=1,"PASS","GAP")</x:f>
        <x:v>PASS</x:v>
      </x:c>
    </x:row>
    <x:row r="19">
      <x:c r="B19" t="str">
        <x:v>PR-RC-1-CH-02-B-B-X</x:v>
      </x:c>
      <x:c r="C19" t="str">
        <x:v>PR-RC-1-CH-02</x:v>
      </x:c>
      <x:c r="D19" t="str">
        <x:v>RC-1</x:v>
      </x:c>
      <x:c r="E19" t="str">
        <x:v>CH-02</x:v>
      </x:c>
      <x:c r="F19" t="str">
        <x:v>Builder B</x:v>
      </x:c>
      <x:c r="G19" t="str">
        <x:v>PTC-B</x:v>
      </x:c>
      <x:c r="H19" t="str">
        <x:v>challenge</x:v>
      </x:c>
      <x:c r="I19" t="str">
        <x:v>RB-S2</x:v>
      </x:c>
      <x:c r="J19" t="str">
        <x:v>quarter</x:v>
      </x:c>
      <x:c r="K19" s="27" t="n">
        <x:f>Controls!$D$37</x:f>
        <x:v>500</x:v>
      </x:c>
      <x:c r="L19" t="str">
        <x:v>CHALLENGED</x:v>
      </x:c>
      <x:c r="M19" t="n">
        <x:v>1</x:v>
      </x:c>
      <x:c r="N19" t="n">
        <x:v>0</x:v>
      </x:c>
      <x:c r="O19" t="n">
        <x:v>0</x:v>
      </x:c>
      <x:c r="P19" t="str">
        <x:f>IF(M19=1,"PASS","GAP")</x:f>
        <x:v>PASS</x:v>
      </x:c>
    </x:row>
    <x:row r="20">
      <x:c r="B20" t="str">
        <x:v>PR-RC-1-CH-02-B-B-C</x:v>
      </x:c>
      <x:c r="C20" t="str">
        <x:v>PR-RC-1-CH-02</x:v>
      </x:c>
      <x:c r="D20" t="str">
        <x:v>RC-1</x:v>
      </x:c>
      <x:c r="E20" t="str">
        <x:v>CH-02</x:v>
      </x:c>
      <x:c r="F20" t="str">
        <x:v>Builder B</x:v>
      </x:c>
      <x:c r="G20" t="str">
        <x:v>PTC-B</x:v>
      </x:c>
      <x:c r="H20" t="str">
        <x:v>clean control</x:v>
      </x:c>
      <x:c r="I20" t="str">
        <x:v>RB-S2</x:v>
      </x:c>
      <x:c r="J20" t="str">
        <x:v>quarter</x:v>
      </x:c>
      <x:c r="K20" s="27" t="n">
        <x:f>Controls!$D$37</x:f>
        <x:v>500</x:v>
      </x:c>
      <x:c r="L20" t="str">
        <x:v>CLEAN</x:v>
      </x:c>
      <x:c r="M20" t="n">
        <x:v>1</x:v>
      </x:c>
      <x:c r="N20" t="n">
        <x:v>0</x:v>
      </x:c>
      <x:c r="O20" t="n">
        <x:v>0</x:v>
      </x:c>
      <x:c r="P20" t="str">
        <x:f>IF(M20=1,"PASS","GAP")</x:f>
        <x:v>PASS</x:v>
      </x:c>
    </x:row>
    <x:row r="21">
      <x:c r="B21" t="str">
        <x:v>PR-RC-1-CH-02-B-C-X</x:v>
      </x:c>
      <x:c r="C21" t="str">
        <x:v>PR-RC-1-CH-02</x:v>
      </x:c>
      <x:c r="D21" t="str">
        <x:v>RC-1</x:v>
      </x:c>
      <x:c r="E21" t="str">
        <x:v>CH-02</x:v>
      </x:c>
      <x:c r="F21" t="str">
        <x:v>Builder B</x:v>
      </x:c>
      <x:c r="G21" t="str">
        <x:v>PTC-C</x:v>
      </x:c>
      <x:c r="H21" t="str">
        <x:v>challenge</x:v>
      </x:c>
      <x:c r="I21" t="str">
        <x:v>RB-S2</x:v>
      </x:c>
      <x:c r="J21" t="str">
        <x:v>quarter</x:v>
      </x:c>
      <x:c r="K21" s="27" t="n">
        <x:f>Controls!$D$37</x:f>
        <x:v>500</x:v>
      </x:c>
      <x:c r="L21" t="str">
        <x:v>CHALLENGED</x:v>
      </x:c>
      <x:c r="M21" t="n">
        <x:v>1</x:v>
      </x:c>
      <x:c r="N21" t="n">
        <x:v>0</x:v>
      </x:c>
      <x:c r="O21" t="n">
        <x:v>0</x:v>
      </x:c>
      <x:c r="P21" t="str">
        <x:f>IF(M21=1,"PASS","GAP")</x:f>
        <x:v>PASS</x:v>
      </x:c>
    </x:row>
    <x:row r="22">
      <x:c r="B22" t="str">
        <x:v>PR-RC-1-CH-02-B-C-C</x:v>
      </x:c>
      <x:c r="C22" t="str">
        <x:v>PR-RC-1-CH-02</x:v>
      </x:c>
      <x:c r="D22" t="str">
        <x:v>RC-1</x:v>
      </x:c>
      <x:c r="E22" t="str">
        <x:v>CH-02</x:v>
      </x:c>
      <x:c r="F22" t="str">
        <x:v>Builder B</x:v>
      </x:c>
      <x:c r="G22" t="str">
        <x:v>PTC-C</x:v>
      </x:c>
      <x:c r="H22" t="str">
        <x:v>clean control</x:v>
      </x:c>
      <x:c r="I22" t="str">
        <x:v>RB-S2</x:v>
      </x:c>
      <x:c r="J22" t="str">
        <x:v>quarter</x:v>
      </x:c>
      <x:c r="K22" s="27" t="n">
        <x:f>Controls!$D$37</x:f>
        <x:v>500</x:v>
      </x:c>
      <x:c r="L22" t="str">
        <x:v>CLEAN</x:v>
      </x:c>
      <x:c r="M22" t="n">
        <x:v>1</x:v>
      </x:c>
      <x:c r="N22" t="n">
        <x:v>0</x:v>
      </x:c>
      <x:c r="O22" t="n">
        <x:v>0</x:v>
      </x:c>
      <x:c r="P22" t="str">
        <x:f>IF(M22=1,"PASS","GAP")</x:f>
        <x:v>PASS</x:v>
      </x:c>
    </x:row>
    <x:row r="23">
      <x:c r="B23" t="str">
        <x:v>PR-RC-1-CH-03-A-B-X</x:v>
      </x:c>
      <x:c r="C23" t="str">
        <x:v>PR-RC-1-CH-03</x:v>
      </x:c>
      <x:c r="D23" t="str">
        <x:v>RC-1</x:v>
      </x:c>
      <x:c r="E23" t="str">
        <x:v>CH-03</x:v>
      </x:c>
      <x:c r="F23" t="str">
        <x:v>Builder A</x:v>
      </x:c>
      <x:c r="G23" t="str">
        <x:v>PTC-B</x:v>
      </x:c>
      <x:c r="H23" t="str">
        <x:v>challenge</x:v>
      </x:c>
      <x:c r="I23" t="str">
        <x:v>RB-S2</x:v>
      </x:c>
      <x:c r="J23" t="str">
        <x:v>quarter</x:v>
      </x:c>
      <x:c r="K23" s="27" t="n">
        <x:f>Controls!$D$37</x:f>
        <x:v>500</x:v>
      </x:c>
      <x:c r="L23" t="str">
        <x:v>CHALLENGED</x:v>
      </x:c>
      <x:c r="M23" t="n">
        <x:v>1</x:v>
      </x:c>
      <x:c r="N23" t="n">
        <x:v>0</x:v>
      </x:c>
      <x:c r="O23" t="n">
        <x:v>0</x:v>
      </x:c>
      <x:c r="P23" t="str">
        <x:f>IF(M23=1,"PASS","GAP")</x:f>
        <x:v>PASS</x:v>
      </x:c>
    </x:row>
    <x:row r="24">
      <x:c r="B24" t="str">
        <x:v>PR-RC-1-CH-03-A-B-C</x:v>
      </x:c>
      <x:c r="C24" t="str">
        <x:v>PR-RC-1-CH-03</x:v>
      </x:c>
      <x:c r="D24" t="str">
        <x:v>RC-1</x:v>
      </x:c>
      <x:c r="E24" t="str">
        <x:v>CH-03</x:v>
      </x:c>
      <x:c r="F24" t="str">
        <x:v>Builder A</x:v>
      </x:c>
      <x:c r="G24" t="str">
        <x:v>PTC-B</x:v>
      </x:c>
      <x:c r="H24" t="str">
        <x:v>clean control</x:v>
      </x:c>
      <x:c r="I24" t="str">
        <x:v>RB-S2</x:v>
      </x:c>
      <x:c r="J24" t="str">
        <x:v>quarter</x:v>
      </x:c>
      <x:c r="K24" s="27" t="n">
        <x:f>Controls!$D$37</x:f>
        <x:v>500</x:v>
      </x:c>
      <x:c r="L24" t="str">
        <x:v>CLEAN</x:v>
      </x:c>
      <x:c r="M24" t="n">
        <x:v>1</x:v>
      </x:c>
      <x:c r="N24" t="n">
        <x:v>0</x:v>
      </x:c>
      <x:c r="O24" t="n">
        <x:v>0</x:v>
      </x:c>
      <x:c r="P24" t="str">
        <x:f>IF(M24=1,"PASS","GAP")</x:f>
        <x:v>PASS</x:v>
      </x:c>
    </x:row>
    <x:row r="25">
      <x:c r="B25" t="str">
        <x:v>PR-RC-1-CH-03-A-C-X</x:v>
      </x:c>
      <x:c r="C25" t="str">
        <x:v>PR-RC-1-CH-03</x:v>
      </x:c>
      <x:c r="D25" t="str">
        <x:v>RC-1</x:v>
      </x:c>
      <x:c r="E25" t="str">
        <x:v>CH-03</x:v>
      </x:c>
      <x:c r="F25" t="str">
        <x:v>Builder A</x:v>
      </x:c>
      <x:c r="G25" t="str">
        <x:v>PTC-C</x:v>
      </x:c>
      <x:c r="H25" t="str">
        <x:v>challenge</x:v>
      </x:c>
      <x:c r="I25" t="str">
        <x:v>RB-S2</x:v>
      </x:c>
      <x:c r="J25" t="str">
        <x:v>quarter</x:v>
      </x:c>
      <x:c r="K25" s="27" t="n">
        <x:f>Controls!$D$37</x:f>
        <x:v>500</x:v>
      </x:c>
      <x:c r="L25" t="str">
        <x:v>CHALLENGED</x:v>
      </x:c>
      <x:c r="M25" t="n">
        <x:v>1</x:v>
      </x:c>
      <x:c r="N25" t="n">
        <x:v>0</x:v>
      </x:c>
      <x:c r="O25" t="n">
        <x:v>0</x:v>
      </x:c>
      <x:c r="P25" t="str">
        <x:f>IF(M25=1,"PASS","GAP")</x:f>
        <x:v>PASS</x:v>
      </x:c>
    </x:row>
    <x:row r="26">
      <x:c r="B26" t="str">
        <x:v>PR-RC-1-CH-03-A-C-C</x:v>
      </x:c>
      <x:c r="C26" t="str">
        <x:v>PR-RC-1-CH-03</x:v>
      </x:c>
      <x:c r="D26" t="str">
        <x:v>RC-1</x:v>
      </x:c>
      <x:c r="E26" t="str">
        <x:v>CH-03</x:v>
      </x:c>
      <x:c r="F26" t="str">
        <x:v>Builder A</x:v>
      </x:c>
      <x:c r="G26" t="str">
        <x:v>PTC-C</x:v>
      </x:c>
      <x:c r="H26" t="str">
        <x:v>clean control</x:v>
      </x:c>
      <x:c r="I26" t="str">
        <x:v>RB-S2</x:v>
      </x:c>
      <x:c r="J26" t="str">
        <x:v>quarter</x:v>
      </x:c>
      <x:c r="K26" s="27" t="n">
        <x:f>Controls!$D$37</x:f>
        <x:v>500</x:v>
      </x:c>
      <x:c r="L26" t="str">
        <x:v>CLEAN</x:v>
      </x:c>
      <x:c r="M26" t="n">
        <x:v>1</x:v>
      </x:c>
      <x:c r="N26" t="n">
        <x:v>0</x:v>
      </x:c>
      <x:c r="O26" t="n">
        <x:v>0</x:v>
      </x:c>
      <x:c r="P26" t="str">
        <x:f>IF(M26=1,"PASS","GAP")</x:f>
        <x:v>PASS</x:v>
      </x:c>
    </x:row>
    <x:row r="27">
      <x:c r="B27" t="str">
        <x:v>PR-RC-1-CH-03-B-B-X</x:v>
      </x:c>
      <x:c r="C27" t="str">
        <x:v>PR-RC-1-CH-03</x:v>
      </x:c>
      <x:c r="D27" t="str">
        <x:v>RC-1</x:v>
      </x:c>
      <x:c r="E27" t="str">
        <x:v>CH-03</x:v>
      </x:c>
      <x:c r="F27" t="str">
        <x:v>Builder B</x:v>
      </x:c>
      <x:c r="G27" t="str">
        <x:v>PTC-B</x:v>
      </x:c>
      <x:c r="H27" t="str">
        <x:v>challenge</x:v>
      </x:c>
      <x:c r="I27" t="str">
        <x:v>RB-S2</x:v>
      </x:c>
      <x:c r="J27" t="str">
        <x:v>quarter</x:v>
      </x:c>
      <x:c r="K27" s="27" t="n">
        <x:f>Controls!$D$37</x:f>
        <x:v>500</x:v>
      </x:c>
      <x:c r="L27" t="str">
        <x:v>CHALLENGED</x:v>
      </x:c>
      <x:c r="M27" t="n">
        <x:v>1</x:v>
      </x:c>
      <x:c r="N27" t="n">
        <x:v>0</x:v>
      </x:c>
      <x:c r="O27" t="n">
        <x:v>0</x:v>
      </x:c>
      <x:c r="P27" t="str">
        <x:f>IF(M27=1,"PASS","GAP")</x:f>
        <x:v>PASS</x:v>
      </x:c>
    </x:row>
    <x:row r="28">
      <x:c r="B28" t="str">
        <x:v>PR-RC-1-CH-03-B-B-C</x:v>
      </x:c>
      <x:c r="C28" t="str">
        <x:v>PR-RC-1-CH-03</x:v>
      </x:c>
      <x:c r="D28" t="str">
        <x:v>RC-1</x:v>
      </x:c>
      <x:c r="E28" t="str">
        <x:v>CH-03</x:v>
      </x:c>
      <x:c r="F28" t="str">
        <x:v>Builder B</x:v>
      </x:c>
      <x:c r="G28" t="str">
        <x:v>PTC-B</x:v>
      </x:c>
      <x:c r="H28" t="str">
        <x:v>clean control</x:v>
      </x:c>
      <x:c r="I28" t="str">
        <x:v>RB-S2</x:v>
      </x:c>
      <x:c r="J28" t="str">
        <x:v>quarter</x:v>
      </x:c>
      <x:c r="K28" s="27" t="n">
        <x:f>Controls!$D$37</x:f>
        <x:v>500</x:v>
      </x:c>
      <x:c r="L28" t="str">
        <x:v>CLEAN</x:v>
      </x:c>
      <x:c r="M28" t="n">
        <x:v>1</x:v>
      </x:c>
      <x:c r="N28" t="n">
        <x:v>0</x:v>
      </x:c>
      <x:c r="O28" t="n">
        <x:v>0</x:v>
      </x:c>
      <x:c r="P28" t="str">
        <x:f>IF(M28=1,"PASS","GAP")</x:f>
        <x:v>PASS</x:v>
      </x:c>
    </x:row>
    <x:row r="29">
      <x:c r="B29" t="str">
        <x:v>PR-RC-1-CH-03-B-C-X</x:v>
      </x:c>
      <x:c r="C29" t="str">
        <x:v>PR-RC-1-CH-03</x:v>
      </x:c>
      <x:c r="D29" t="str">
        <x:v>RC-1</x:v>
      </x:c>
      <x:c r="E29" t="str">
        <x:v>CH-03</x:v>
      </x:c>
      <x:c r="F29" t="str">
        <x:v>Builder B</x:v>
      </x:c>
      <x:c r="G29" t="str">
        <x:v>PTC-C</x:v>
      </x:c>
      <x:c r="H29" t="str">
        <x:v>challenge</x:v>
      </x:c>
      <x:c r="I29" t="str">
        <x:v>RB-S2</x:v>
      </x:c>
      <x:c r="J29" t="str">
        <x:v>quarter</x:v>
      </x:c>
      <x:c r="K29" s="27" t="n">
        <x:f>Controls!$D$37</x:f>
        <x:v>500</x:v>
      </x:c>
      <x:c r="L29" t="str">
        <x:v>CHALLENGED</x:v>
      </x:c>
      <x:c r="M29" t="n">
        <x:v>1</x:v>
      </x:c>
      <x:c r="N29" t="n">
        <x:v>0</x:v>
      </x:c>
      <x:c r="O29" t="n">
        <x:v>0</x:v>
      </x:c>
      <x:c r="P29" t="str">
        <x:f>IF(M29=1,"PASS","GAP")</x:f>
        <x:v>PASS</x:v>
      </x:c>
    </x:row>
    <x:row r="30">
      <x:c r="B30" t="str">
        <x:v>PR-RC-1-CH-03-B-C-C</x:v>
      </x:c>
      <x:c r="C30" t="str">
        <x:v>PR-RC-1-CH-03</x:v>
      </x:c>
      <x:c r="D30" t="str">
        <x:v>RC-1</x:v>
      </x:c>
      <x:c r="E30" t="str">
        <x:v>CH-03</x:v>
      </x:c>
      <x:c r="F30" t="str">
        <x:v>Builder B</x:v>
      </x:c>
      <x:c r="G30" t="str">
        <x:v>PTC-C</x:v>
      </x:c>
      <x:c r="H30" t="str">
        <x:v>clean control</x:v>
      </x:c>
      <x:c r="I30" t="str">
        <x:v>RB-S2</x:v>
      </x:c>
      <x:c r="J30" t="str">
        <x:v>quarter</x:v>
      </x:c>
      <x:c r="K30" s="27" t="n">
        <x:f>Controls!$D$37</x:f>
        <x:v>500</x:v>
      </x:c>
      <x:c r="L30" t="str">
        <x:v>CLEAN</x:v>
      </x:c>
      <x:c r="M30" t="n">
        <x:v>1</x:v>
      </x:c>
      <x:c r="N30" t="n">
        <x:v>0</x:v>
      </x:c>
      <x:c r="O30" t="n">
        <x:v>0</x:v>
      </x:c>
      <x:c r="P30" t="str">
        <x:f>IF(M30=1,"PASS","GAP")</x:f>
        <x:v>PASS</x:v>
      </x:c>
    </x:row>
    <x:row r="31">
      <x:c r="B31" t="str">
        <x:v>PR-RC-1-CH-04-A-B-X</x:v>
      </x:c>
      <x:c r="C31" t="str">
        <x:v>PR-RC-1-CH-04</x:v>
      </x:c>
      <x:c r="D31" t="str">
        <x:v>RC-1</x:v>
      </x:c>
      <x:c r="E31" t="str">
        <x:v>CH-04</x:v>
      </x:c>
      <x:c r="F31" t="str">
        <x:v>Builder A</x:v>
      </x:c>
      <x:c r="G31" t="str">
        <x:v>PTC-B</x:v>
      </x:c>
      <x:c r="H31" t="str">
        <x:v>challenge</x:v>
      </x:c>
      <x:c r="I31" t="str">
        <x:v>RB-S2</x:v>
      </x:c>
      <x:c r="J31" t="str">
        <x:v>quarter</x:v>
      </x:c>
      <x:c r="K31" s="27" t="n">
        <x:f>Controls!$D$37</x:f>
        <x:v>500</x:v>
      </x:c>
      <x:c r="L31" t="str">
        <x:v>CHALLENGED</x:v>
      </x:c>
      <x:c r="M31" t="n">
        <x:v>1</x:v>
      </x:c>
      <x:c r="N31" t="n">
        <x:v>0</x:v>
      </x:c>
      <x:c r="O31" t="n">
        <x:v>0</x:v>
      </x:c>
      <x:c r="P31" t="str">
        <x:f>IF(M31=1,"PASS","GAP")</x:f>
        <x:v>PASS</x:v>
      </x:c>
    </x:row>
    <x:row r="32">
      <x:c r="B32" t="str">
        <x:v>PR-RC-1-CH-04-A-B-C</x:v>
      </x:c>
      <x:c r="C32" t="str">
        <x:v>PR-RC-1-CH-04</x:v>
      </x:c>
      <x:c r="D32" t="str">
        <x:v>RC-1</x:v>
      </x:c>
      <x:c r="E32" t="str">
        <x:v>CH-04</x:v>
      </x:c>
      <x:c r="F32" t="str">
        <x:v>Builder A</x:v>
      </x:c>
      <x:c r="G32" t="str">
        <x:v>PTC-B</x:v>
      </x:c>
      <x:c r="H32" t="str">
        <x:v>clean control</x:v>
      </x:c>
      <x:c r="I32" t="str">
        <x:v>RB-S2</x:v>
      </x:c>
      <x:c r="J32" t="str">
        <x:v>quarter</x:v>
      </x:c>
      <x:c r="K32" s="27" t="n">
        <x:f>Controls!$D$37</x:f>
        <x:v>500</x:v>
      </x:c>
      <x:c r="L32" t="str">
        <x:v>CLEAN</x:v>
      </x:c>
      <x:c r="M32" t="n">
        <x:v>1</x:v>
      </x:c>
      <x:c r="N32" t="n">
        <x:v>0</x:v>
      </x:c>
      <x:c r="O32" t="n">
        <x:v>0</x:v>
      </x:c>
      <x:c r="P32" t="str">
        <x:f>IF(M32=1,"PASS","GAP")</x:f>
        <x:v>PASS</x:v>
      </x:c>
    </x:row>
    <x:row r="33">
      <x:c r="B33" t="str">
        <x:v>PR-RC-1-CH-04-A-C-X</x:v>
      </x:c>
      <x:c r="C33" t="str">
        <x:v>PR-RC-1-CH-04</x:v>
      </x:c>
      <x:c r="D33" t="str">
        <x:v>RC-1</x:v>
      </x:c>
      <x:c r="E33" t="str">
        <x:v>CH-04</x:v>
      </x:c>
      <x:c r="F33" t="str">
        <x:v>Builder A</x:v>
      </x:c>
      <x:c r="G33" t="str">
        <x:v>PTC-C</x:v>
      </x:c>
      <x:c r="H33" t="str">
        <x:v>challenge</x:v>
      </x:c>
      <x:c r="I33" t="str">
        <x:v>RB-S2</x:v>
      </x:c>
      <x:c r="J33" t="str">
        <x:v>quarter</x:v>
      </x:c>
      <x:c r="K33" s="27" t="n">
        <x:f>Controls!$D$37</x:f>
        <x:v>500</x:v>
      </x:c>
      <x:c r="L33" t="str">
        <x:v>CHALLENGED</x:v>
      </x:c>
      <x:c r="M33" t="n">
        <x:v>1</x:v>
      </x:c>
      <x:c r="N33" t="n">
        <x:v>0</x:v>
      </x:c>
      <x:c r="O33" t="n">
        <x:v>0</x:v>
      </x:c>
      <x:c r="P33" t="str">
        <x:f>IF(M33=1,"PASS","GAP")</x:f>
        <x:v>PASS</x:v>
      </x:c>
    </x:row>
    <x:row r="34">
      <x:c r="B34" t="str">
        <x:v>PR-RC-1-CH-04-A-C-C</x:v>
      </x:c>
      <x:c r="C34" t="str">
        <x:v>PR-RC-1-CH-04</x:v>
      </x:c>
      <x:c r="D34" t="str">
        <x:v>RC-1</x:v>
      </x:c>
      <x:c r="E34" t="str">
        <x:v>CH-04</x:v>
      </x:c>
      <x:c r="F34" t="str">
        <x:v>Builder A</x:v>
      </x:c>
      <x:c r="G34" t="str">
        <x:v>PTC-C</x:v>
      </x:c>
      <x:c r="H34" t="str">
        <x:v>clean control</x:v>
      </x:c>
      <x:c r="I34" t="str">
        <x:v>RB-S2</x:v>
      </x:c>
      <x:c r="J34" t="str">
        <x:v>quarter</x:v>
      </x:c>
      <x:c r="K34" s="27" t="n">
        <x:f>Controls!$D$37</x:f>
        <x:v>500</x:v>
      </x:c>
      <x:c r="L34" t="str">
        <x:v>CLEAN</x:v>
      </x:c>
      <x:c r="M34" t="n">
        <x:v>1</x:v>
      </x:c>
      <x:c r="N34" t="n">
        <x:v>0</x:v>
      </x:c>
      <x:c r="O34" t="n">
        <x:v>0</x:v>
      </x:c>
      <x:c r="P34" t="str">
        <x:f>IF(M34=1,"PASS","GAP")</x:f>
        <x:v>PASS</x:v>
      </x:c>
    </x:row>
    <x:row r="35">
      <x:c r="B35" t="str">
        <x:v>PR-RC-1-CH-04-B-B-X</x:v>
      </x:c>
      <x:c r="C35" t="str">
        <x:v>PR-RC-1-CH-04</x:v>
      </x:c>
      <x:c r="D35" t="str">
        <x:v>RC-1</x:v>
      </x:c>
      <x:c r="E35" t="str">
        <x:v>CH-04</x:v>
      </x:c>
      <x:c r="F35" t="str">
        <x:v>Builder B</x:v>
      </x:c>
      <x:c r="G35" t="str">
        <x:v>PTC-B</x:v>
      </x:c>
      <x:c r="H35" t="str">
        <x:v>challenge</x:v>
      </x:c>
      <x:c r="I35" t="str">
        <x:v>RB-S2</x:v>
      </x:c>
      <x:c r="J35" t="str">
        <x:v>quarter</x:v>
      </x:c>
      <x:c r="K35" s="27" t="n">
        <x:f>Controls!$D$37</x:f>
        <x:v>500</x:v>
      </x:c>
      <x:c r="L35" t="str">
        <x:v>CHALLENGED</x:v>
      </x:c>
      <x:c r="M35" t="n">
        <x:v>1</x:v>
      </x:c>
      <x:c r="N35" t="n">
        <x:v>0</x:v>
      </x:c>
      <x:c r="O35" t="n">
        <x:v>0</x:v>
      </x:c>
      <x:c r="P35" t="str">
        <x:f>IF(M35=1,"PASS","GAP")</x:f>
        <x:v>PASS</x:v>
      </x:c>
    </x:row>
    <x:row r="36">
      <x:c r="B36" t="str">
        <x:v>PR-RC-1-CH-04-B-B-C</x:v>
      </x:c>
      <x:c r="C36" t="str">
        <x:v>PR-RC-1-CH-04</x:v>
      </x:c>
      <x:c r="D36" t="str">
        <x:v>RC-1</x:v>
      </x:c>
      <x:c r="E36" t="str">
        <x:v>CH-04</x:v>
      </x:c>
      <x:c r="F36" t="str">
        <x:v>Builder B</x:v>
      </x:c>
      <x:c r="G36" t="str">
        <x:v>PTC-B</x:v>
      </x:c>
      <x:c r="H36" t="str">
        <x:v>clean control</x:v>
      </x:c>
      <x:c r="I36" t="str">
        <x:v>RB-S2</x:v>
      </x:c>
      <x:c r="J36" t="str">
        <x:v>quarter</x:v>
      </x:c>
      <x:c r="K36" s="27" t="n">
        <x:f>Controls!$D$37</x:f>
        <x:v>500</x:v>
      </x:c>
      <x:c r="L36" t="str">
        <x:v>CLEAN</x:v>
      </x:c>
      <x:c r="M36" t="n">
        <x:v>1</x:v>
      </x:c>
      <x:c r="N36" t="n">
        <x:v>0</x:v>
      </x:c>
      <x:c r="O36" t="n">
        <x:v>0</x:v>
      </x:c>
      <x:c r="P36" t="str">
        <x:f>IF(M36=1,"PASS","GAP")</x:f>
        <x:v>PASS</x:v>
      </x:c>
    </x:row>
    <x:row r="37">
      <x:c r="B37" t="str">
        <x:v>PR-RC-1-CH-04-B-C-X</x:v>
      </x:c>
      <x:c r="C37" t="str">
        <x:v>PR-RC-1-CH-04</x:v>
      </x:c>
      <x:c r="D37" t="str">
        <x:v>RC-1</x:v>
      </x:c>
      <x:c r="E37" t="str">
        <x:v>CH-04</x:v>
      </x:c>
      <x:c r="F37" t="str">
        <x:v>Builder B</x:v>
      </x:c>
      <x:c r="G37" t="str">
        <x:v>PTC-C</x:v>
      </x:c>
      <x:c r="H37" t="str">
        <x:v>challenge</x:v>
      </x:c>
      <x:c r="I37" t="str">
        <x:v>RB-S2</x:v>
      </x:c>
      <x:c r="J37" t="str">
        <x:v>quarter</x:v>
      </x:c>
      <x:c r="K37" s="27" t="n">
        <x:f>Controls!$D$37</x:f>
        <x:v>500</x:v>
      </x:c>
      <x:c r="L37" t="str">
        <x:v>CHALLENGED</x:v>
      </x:c>
      <x:c r="M37" t="n">
        <x:v>1</x:v>
      </x:c>
      <x:c r="N37" t="n">
        <x:v>0</x:v>
      </x:c>
      <x:c r="O37" t="n">
        <x:v>0</x:v>
      </x:c>
      <x:c r="P37" t="str">
        <x:f>IF(M37=1,"PASS","GAP")</x:f>
        <x:v>PASS</x:v>
      </x:c>
    </x:row>
    <x:row r="38">
      <x:c r="B38" t="str">
        <x:v>PR-RC-1-CH-04-B-C-C</x:v>
      </x:c>
      <x:c r="C38" t="str">
        <x:v>PR-RC-1-CH-04</x:v>
      </x:c>
      <x:c r="D38" t="str">
        <x:v>RC-1</x:v>
      </x:c>
      <x:c r="E38" t="str">
        <x:v>CH-04</x:v>
      </x:c>
      <x:c r="F38" t="str">
        <x:v>Builder B</x:v>
      </x:c>
      <x:c r="G38" t="str">
        <x:v>PTC-C</x:v>
      </x:c>
      <x:c r="H38" t="str">
        <x:v>clean control</x:v>
      </x:c>
      <x:c r="I38" t="str">
        <x:v>RB-S2</x:v>
      </x:c>
      <x:c r="J38" t="str">
        <x:v>quarter</x:v>
      </x:c>
      <x:c r="K38" s="27" t="n">
        <x:f>Controls!$D$37</x:f>
        <x:v>500</x:v>
      </x:c>
      <x:c r="L38" t="str">
        <x:v>CLEAN</x:v>
      </x:c>
      <x:c r="M38" t="n">
        <x:v>1</x:v>
      </x:c>
      <x:c r="N38" t="n">
        <x:v>0</x:v>
      </x:c>
      <x:c r="O38" t="n">
        <x:v>0</x:v>
      </x:c>
      <x:c r="P38" t="str">
        <x:f>IF(M38=1,"PASS","GAP")</x:f>
        <x:v>PASS</x:v>
      </x:c>
    </x:row>
    <x:row r="39">
      <x:c r="B39" t="str">
        <x:v>PR-RC-1-CH-05-A-B-X</x:v>
      </x:c>
      <x:c r="C39" t="str">
        <x:v>PR-RC-1-CH-05</x:v>
      </x:c>
      <x:c r="D39" t="str">
        <x:v>RC-1</x:v>
      </x:c>
      <x:c r="E39" t="str">
        <x:v>CH-05</x:v>
      </x:c>
      <x:c r="F39" t="str">
        <x:v>Builder A</x:v>
      </x:c>
      <x:c r="G39" t="str">
        <x:v>PTC-B</x:v>
      </x:c>
      <x:c r="H39" t="str">
        <x:v>challenge</x:v>
      </x:c>
      <x:c r="I39" t="str">
        <x:v>RB-S3</x:v>
      </x:c>
      <x:c r="J39" t="str">
        <x:v>full</x:v>
      </x:c>
      <x:c r="K39" s="27" t="n">
        <x:f>Controls!$D$38</x:f>
        <x:v>2000</x:v>
      </x:c>
      <x:c r="L39" t="str">
        <x:v>CHALLENGED</x:v>
      </x:c>
      <x:c r="M39" t="n">
        <x:v>1</x:v>
      </x:c>
      <x:c r="N39" t="n">
        <x:v>0</x:v>
      </x:c>
      <x:c r="O39" t="n">
        <x:v>0</x:v>
      </x:c>
      <x:c r="P39" t="str">
        <x:f>IF(M39=1,"PASS","GAP")</x:f>
        <x:v>PASS</x:v>
      </x:c>
    </x:row>
    <x:row r="40">
      <x:c r="B40" t="str">
        <x:v>PR-RC-1-CH-05-A-B-C</x:v>
      </x:c>
      <x:c r="C40" t="str">
        <x:v>PR-RC-1-CH-05</x:v>
      </x:c>
      <x:c r="D40" t="str">
        <x:v>RC-1</x:v>
      </x:c>
      <x:c r="E40" t="str">
        <x:v>CH-05</x:v>
      </x:c>
      <x:c r="F40" t="str">
        <x:v>Builder A</x:v>
      </x:c>
      <x:c r="G40" t="str">
        <x:v>PTC-B</x:v>
      </x:c>
      <x:c r="H40" t="str">
        <x:v>clean control</x:v>
      </x:c>
      <x:c r="I40" t="str">
        <x:v>RB-S3</x:v>
      </x:c>
      <x:c r="J40" t="str">
        <x:v>full</x:v>
      </x:c>
      <x:c r="K40" s="27" t="n">
        <x:f>Controls!$D$38</x:f>
        <x:v>2000</x:v>
      </x:c>
      <x:c r="L40" t="str">
        <x:v>CLEAN</x:v>
      </x:c>
      <x:c r="M40" t="n">
        <x:v>1</x:v>
      </x:c>
      <x:c r="N40" t="n">
        <x:v>0</x:v>
      </x:c>
      <x:c r="O40" t="n">
        <x:v>0</x:v>
      </x:c>
      <x:c r="P40" t="str">
        <x:f>IF(M40=1,"PASS","GAP")</x:f>
        <x:v>PASS</x:v>
      </x:c>
    </x:row>
    <x:row r="41">
      <x:c r="B41" t="str">
        <x:v>PR-RC-1-CH-05-A-C-X</x:v>
      </x:c>
      <x:c r="C41" t="str">
        <x:v>PR-RC-1-CH-05</x:v>
      </x:c>
      <x:c r="D41" t="str">
        <x:v>RC-1</x:v>
      </x:c>
      <x:c r="E41" t="str">
        <x:v>CH-05</x:v>
      </x:c>
      <x:c r="F41" t="str">
        <x:v>Builder A</x:v>
      </x:c>
      <x:c r="G41" t="str">
        <x:v>PTC-C</x:v>
      </x:c>
      <x:c r="H41" t="str">
        <x:v>challenge</x:v>
      </x:c>
      <x:c r="I41" t="str">
        <x:v>RB-S3</x:v>
      </x:c>
      <x:c r="J41" t="str">
        <x:v>full</x:v>
      </x:c>
      <x:c r="K41" s="27" t="n">
        <x:f>Controls!$D$38</x:f>
        <x:v>2000</x:v>
      </x:c>
      <x:c r="L41" t="str">
        <x:v>CHALLENGED</x:v>
      </x:c>
      <x:c r="M41" t="n">
        <x:v>1</x:v>
      </x:c>
      <x:c r="N41" t="n">
        <x:v>0</x:v>
      </x:c>
      <x:c r="O41" t="n">
        <x:v>0</x:v>
      </x:c>
      <x:c r="P41" t="str">
        <x:f>IF(M41=1,"PASS","GAP")</x:f>
        <x:v>PASS</x:v>
      </x:c>
    </x:row>
    <x:row r="42">
      <x:c r="B42" t="str">
        <x:v>PR-RC-1-CH-05-A-C-C</x:v>
      </x:c>
      <x:c r="C42" t="str">
        <x:v>PR-RC-1-CH-05</x:v>
      </x:c>
      <x:c r="D42" t="str">
        <x:v>RC-1</x:v>
      </x:c>
      <x:c r="E42" t="str">
        <x:v>CH-05</x:v>
      </x:c>
      <x:c r="F42" t="str">
        <x:v>Builder A</x:v>
      </x:c>
      <x:c r="G42" t="str">
        <x:v>PTC-C</x:v>
      </x:c>
      <x:c r="H42" t="str">
        <x:v>clean control</x:v>
      </x:c>
      <x:c r="I42" t="str">
        <x:v>RB-S3</x:v>
      </x:c>
      <x:c r="J42" t="str">
        <x:v>full</x:v>
      </x:c>
      <x:c r="K42" s="27" t="n">
        <x:f>Controls!$D$38</x:f>
        <x:v>2000</x:v>
      </x:c>
      <x:c r="L42" t="str">
        <x:v>CLEAN</x:v>
      </x:c>
      <x:c r="M42" t="n">
        <x:v>1</x:v>
      </x:c>
      <x:c r="N42" t="n">
        <x:v>0</x:v>
      </x:c>
      <x:c r="O42" t="n">
        <x:v>0</x:v>
      </x:c>
      <x:c r="P42" t="str">
        <x:f>IF(M42=1,"PASS","GAP")</x:f>
        <x:v>PASS</x:v>
      </x:c>
    </x:row>
    <x:row r="43">
      <x:c r="B43" t="str">
        <x:v>PR-RC-1-CH-05-B-B-X</x:v>
      </x:c>
      <x:c r="C43" t="str">
        <x:v>PR-RC-1-CH-05</x:v>
      </x:c>
      <x:c r="D43" t="str">
        <x:v>RC-1</x:v>
      </x:c>
      <x:c r="E43" t="str">
        <x:v>CH-05</x:v>
      </x:c>
      <x:c r="F43" t="str">
        <x:v>Builder B</x:v>
      </x:c>
      <x:c r="G43" t="str">
        <x:v>PTC-B</x:v>
      </x:c>
      <x:c r="H43" t="str">
        <x:v>challenge</x:v>
      </x:c>
      <x:c r="I43" t="str">
        <x:v>RB-S3</x:v>
      </x:c>
      <x:c r="J43" t="str">
        <x:v>full</x:v>
      </x:c>
      <x:c r="K43" s="27" t="n">
        <x:f>Controls!$D$38</x:f>
        <x:v>2000</x:v>
      </x:c>
      <x:c r="L43" t="str">
        <x:v>CHALLENGED</x:v>
      </x:c>
      <x:c r="M43" t="n">
        <x:v>1</x:v>
      </x:c>
      <x:c r="N43" t="n">
        <x:v>0</x:v>
      </x:c>
      <x:c r="O43" t="n">
        <x:v>0</x:v>
      </x:c>
      <x:c r="P43" t="str">
        <x:f>IF(M43=1,"PASS","GAP")</x:f>
        <x:v>PASS</x:v>
      </x:c>
    </x:row>
    <x:row r="44">
      <x:c r="B44" t="str">
        <x:v>PR-RC-1-CH-05-B-B-C</x:v>
      </x:c>
      <x:c r="C44" t="str">
        <x:v>PR-RC-1-CH-05</x:v>
      </x:c>
      <x:c r="D44" t="str">
        <x:v>RC-1</x:v>
      </x:c>
      <x:c r="E44" t="str">
        <x:v>CH-05</x:v>
      </x:c>
      <x:c r="F44" t="str">
        <x:v>Builder B</x:v>
      </x:c>
      <x:c r="G44" t="str">
        <x:v>PTC-B</x:v>
      </x:c>
      <x:c r="H44" t="str">
        <x:v>clean control</x:v>
      </x:c>
      <x:c r="I44" t="str">
        <x:v>RB-S3</x:v>
      </x:c>
      <x:c r="J44" t="str">
        <x:v>full</x:v>
      </x:c>
      <x:c r="K44" s="27" t="n">
        <x:f>Controls!$D$38</x:f>
        <x:v>2000</x:v>
      </x:c>
      <x:c r="L44" t="str">
        <x:v>CLEAN</x:v>
      </x:c>
      <x:c r="M44" t="n">
        <x:v>1</x:v>
      </x:c>
      <x:c r="N44" t="n">
        <x:v>0</x:v>
      </x:c>
      <x:c r="O44" t="n">
        <x:v>0</x:v>
      </x:c>
      <x:c r="P44" t="str">
        <x:f>IF(M44=1,"PASS","GAP")</x:f>
        <x:v>PASS</x:v>
      </x:c>
    </x:row>
    <x:row r="45">
      <x:c r="B45" t="str">
        <x:v>PR-RC-1-CH-05-B-C-X</x:v>
      </x:c>
      <x:c r="C45" t="str">
        <x:v>PR-RC-1-CH-05</x:v>
      </x:c>
      <x:c r="D45" t="str">
        <x:v>RC-1</x:v>
      </x:c>
      <x:c r="E45" t="str">
        <x:v>CH-05</x:v>
      </x:c>
      <x:c r="F45" t="str">
        <x:v>Builder B</x:v>
      </x:c>
      <x:c r="G45" t="str">
        <x:v>PTC-C</x:v>
      </x:c>
      <x:c r="H45" t="str">
        <x:v>challenge</x:v>
      </x:c>
      <x:c r="I45" t="str">
        <x:v>RB-S3</x:v>
      </x:c>
      <x:c r="J45" t="str">
        <x:v>full</x:v>
      </x:c>
      <x:c r="K45" s="27" t="n">
        <x:f>Controls!$D$38</x:f>
        <x:v>2000</x:v>
      </x:c>
      <x:c r="L45" t="str">
        <x:v>CHALLENGED</x:v>
      </x:c>
      <x:c r="M45" t="n">
        <x:v>1</x:v>
      </x:c>
      <x:c r="N45" t="n">
        <x:v>0</x:v>
      </x:c>
      <x:c r="O45" t="n">
        <x:v>0</x:v>
      </x:c>
      <x:c r="P45" t="str">
        <x:f>IF(M45=1,"PASS","GAP")</x:f>
        <x:v>PASS</x:v>
      </x:c>
    </x:row>
    <x:row r="46">
      <x:c r="B46" t="str">
        <x:v>PR-RC-1-CH-05-B-C-C</x:v>
      </x:c>
      <x:c r="C46" t="str">
        <x:v>PR-RC-1-CH-05</x:v>
      </x:c>
      <x:c r="D46" t="str">
        <x:v>RC-1</x:v>
      </x:c>
      <x:c r="E46" t="str">
        <x:v>CH-05</x:v>
      </x:c>
      <x:c r="F46" t="str">
        <x:v>Builder B</x:v>
      </x:c>
      <x:c r="G46" t="str">
        <x:v>PTC-C</x:v>
      </x:c>
      <x:c r="H46" t="str">
        <x:v>clean control</x:v>
      </x:c>
      <x:c r="I46" t="str">
        <x:v>RB-S3</x:v>
      </x:c>
      <x:c r="J46" t="str">
        <x:v>full</x:v>
      </x:c>
      <x:c r="K46" s="27" t="n">
        <x:f>Controls!$D$38</x:f>
        <x:v>2000</x:v>
      </x:c>
      <x:c r="L46" t="str">
        <x:v>CLEAN</x:v>
      </x:c>
      <x:c r="M46" t="n">
        <x:v>1</x:v>
      </x:c>
      <x:c r="N46" t="n">
        <x:v>0</x:v>
      </x:c>
      <x:c r="O46" t="n">
        <x:v>0</x:v>
      </x:c>
      <x:c r="P46" t="str">
        <x:f>IF(M46=1,"PASS","GAP")</x:f>
        <x:v>PASS</x:v>
      </x:c>
    </x:row>
    <x:row r="47">
      <x:c r="B47" t="str">
        <x:v>PR-RC-1-CH-06-A-B-X</x:v>
      </x:c>
      <x:c r="C47" t="str">
        <x:v>PR-RC-1-CH-06</x:v>
      </x:c>
      <x:c r="D47" t="str">
        <x:v>RC-1</x:v>
      </x:c>
      <x:c r="E47" t="str">
        <x:v>CH-06</x:v>
      </x:c>
      <x:c r="F47" t="str">
        <x:v>Builder A</x:v>
      </x:c>
      <x:c r="G47" t="str">
        <x:v>PTC-B</x:v>
      </x:c>
      <x:c r="H47" t="str">
        <x:v>challenge</x:v>
      </x:c>
      <x:c r="I47" t="str">
        <x:v>RB-S4</x:v>
      </x:c>
      <x:c r="J47" t="str">
        <x:v>full</x:v>
      </x:c>
      <x:c r="K47" s="27" t="n">
        <x:f>Controls!$D$38</x:f>
        <x:v>2000</x:v>
      </x:c>
      <x:c r="L47" t="str">
        <x:v>CHALLENGED</x:v>
      </x:c>
      <x:c r="M47" t="n">
        <x:v>1</x:v>
      </x:c>
      <x:c r="N47" t="n">
        <x:v>0</x:v>
      </x:c>
      <x:c r="O47" t="n">
        <x:v>0</x:v>
      </x:c>
      <x:c r="P47" t="str">
        <x:f>IF(M47=1,"PASS","GAP")</x:f>
        <x:v>PASS</x:v>
      </x:c>
    </x:row>
    <x:row r="48">
      <x:c r="B48" t="str">
        <x:v>PR-RC-1-CH-06-A-B-C</x:v>
      </x:c>
      <x:c r="C48" t="str">
        <x:v>PR-RC-1-CH-06</x:v>
      </x:c>
      <x:c r="D48" t="str">
        <x:v>RC-1</x:v>
      </x:c>
      <x:c r="E48" t="str">
        <x:v>CH-06</x:v>
      </x:c>
      <x:c r="F48" t="str">
        <x:v>Builder A</x:v>
      </x:c>
      <x:c r="G48" t="str">
        <x:v>PTC-B</x:v>
      </x:c>
      <x:c r="H48" t="str">
        <x:v>clean control</x:v>
      </x:c>
      <x:c r="I48" t="str">
        <x:v>RB-S4</x:v>
      </x:c>
      <x:c r="J48" t="str">
        <x:v>full</x:v>
      </x:c>
      <x:c r="K48" s="27" t="n">
        <x:f>Controls!$D$38</x:f>
        <x:v>2000</x:v>
      </x:c>
      <x:c r="L48" t="str">
        <x:v>CLEAN</x:v>
      </x:c>
      <x:c r="M48" t="n">
        <x:v>1</x:v>
      </x:c>
      <x:c r="N48" t="n">
        <x:v>0</x:v>
      </x:c>
      <x:c r="O48" t="n">
        <x:v>0</x:v>
      </x:c>
      <x:c r="P48" t="str">
        <x:f>IF(M48=1,"PASS","GAP")</x:f>
        <x:v>PASS</x:v>
      </x:c>
    </x:row>
    <x:row r="49">
      <x:c r="B49" t="str">
        <x:v>PR-RC-1-CH-06-A-C-X</x:v>
      </x:c>
      <x:c r="C49" t="str">
        <x:v>PR-RC-1-CH-06</x:v>
      </x:c>
      <x:c r="D49" t="str">
        <x:v>RC-1</x:v>
      </x:c>
      <x:c r="E49" t="str">
        <x:v>CH-06</x:v>
      </x:c>
      <x:c r="F49" t="str">
        <x:v>Builder A</x:v>
      </x:c>
      <x:c r="G49" t="str">
        <x:v>PTC-C</x:v>
      </x:c>
      <x:c r="H49" t="str">
        <x:v>challenge</x:v>
      </x:c>
      <x:c r="I49" t="str">
        <x:v>RB-S4</x:v>
      </x:c>
      <x:c r="J49" t="str">
        <x:v>full</x:v>
      </x:c>
      <x:c r="K49" s="27" t="n">
        <x:f>Controls!$D$38</x:f>
        <x:v>2000</x:v>
      </x:c>
      <x:c r="L49" t="str">
        <x:v>CHALLENGED</x:v>
      </x:c>
      <x:c r="M49" t="n">
        <x:v>1</x:v>
      </x:c>
      <x:c r="N49" t="n">
        <x:v>0</x:v>
      </x:c>
      <x:c r="O49" t="n">
        <x:v>0</x:v>
      </x:c>
      <x:c r="P49" t="str">
        <x:f>IF(M49=1,"PASS","GAP")</x:f>
        <x:v>PASS</x:v>
      </x:c>
    </x:row>
    <x:row r="50">
      <x:c r="B50" t="str">
        <x:v>PR-RC-1-CH-06-A-C-C</x:v>
      </x:c>
      <x:c r="C50" t="str">
        <x:v>PR-RC-1-CH-06</x:v>
      </x:c>
      <x:c r="D50" t="str">
        <x:v>RC-1</x:v>
      </x:c>
      <x:c r="E50" t="str">
        <x:v>CH-06</x:v>
      </x:c>
      <x:c r="F50" t="str">
        <x:v>Builder A</x:v>
      </x:c>
      <x:c r="G50" t="str">
        <x:v>PTC-C</x:v>
      </x:c>
      <x:c r="H50" t="str">
        <x:v>clean control</x:v>
      </x:c>
      <x:c r="I50" t="str">
        <x:v>RB-S4</x:v>
      </x:c>
      <x:c r="J50" t="str">
        <x:v>full</x:v>
      </x:c>
      <x:c r="K50" s="27" t="n">
        <x:f>Controls!$D$38</x:f>
        <x:v>2000</x:v>
      </x:c>
      <x:c r="L50" t="str">
        <x:v>CLEAN</x:v>
      </x:c>
      <x:c r="M50" t="n">
        <x:v>1</x:v>
      </x:c>
      <x:c r="N50" t="n">
        <x:v>0</x:v>
      </x:c>
      <x:c r="O50" t="n">
        <x:v>0</x:v>
      </x:c>
      <x:c r="P50" t="str">
        <x:f>IF(M50=1,"PASS","GAP")</x:f>
        <x:v>PASS</x:v>
      </x:c>
    </x:row>
    <x:row r="51">
      <x:c r="B51" t="str">
        <x:v>PR-RC-1-CH-06-B-B-X</x:v>
      </x:c>
      <x:c r="C51" t="str">
        <x:v>PR-RC-1-CH-06</x:v>
      </x:c>
      <x:c r="D51" t="str">
        <x:v>RC-1</x:v>
      </x:c>
      <x:c r="E51" t="str">
        <x:v>CH-06</x:v>
      </x:c>
      <x:c r="F51" t="str">
        <x:v>Builder B</x:v>
      </x:c>
      <x:c r="G51" t="str">
        <x:v>PTC-B</x:v>
      </x:c>
      <x:c r="H51" t="str">
        <x:v>challenge</x:v>
      </x:c>
      <x:c r="I51" t="str">
        <x:v>RB-S4</x:v>
      </x:c>
      <x:c r="J51" t="str">
        <x:v>full</x:v>
      </x:c>
      <x:c r="K51" s="27" t="n">
        <x:f>Controls!$D$38</x:f>
        <x:v>2000</x:v>
      </x:c>
      <x:c r="L51" t="str">
        <x:v>CHALLENGED</x:v>
      </x:c>
      <x:c r="M51" t="n">
        <x:v>1</x:v>
      </x:c>
      <x:c r="N51" t="n">
        <x:v>0</x:v>
      </x:c>
      <x:c r="O51" t="n">
        <x:v>0</x:v>
      </x:c>
      <x:c r="P51" t="str">
        <x:f>IF(M51=1,"PASS","GAP")</x:f>
        <x:v>PASS</x:v>
      </x:c>
    </x:row>
    <x:row r="52">
      <x:c r="B52" t="str">
        <x:v>PR-RC-1-CH-06-B-B-C</x:v>
      </x:c>
      <x:c r="C52" t="str">
        <x:v>PR-RC-1-CH-06</x:v>
      </x:c>
      <x:c r="D52" t="str">
        <x:v>RC-1</x:v>
      </x:c>
      <x:c r="E52" t="str">
        <x:v>CH-06</x:v>
      </x:c>
      <x:c r="F52" t="str">
        <x:v>Builder B</x:v>
      </x:c>
      <x:c r="G52" t="str">
        <x:v>PTC-B</x:v>
      </x:c>
      <x:c r="H52" t="str">
        <x:v>clean control</x:v>
      </x:c>
      <x:c r="I52" t="str">
        <x:v>RB-S4</x:v>
      </x:c>
      <x:c r="J52" t="str">
        <x:v>full</x:v>
      </x:c>
      <x:c r="K52" s="27" t="n">
        <x:f>Controls!$D$38</x:f>
        <x:v>2000</x:v>
      </x:c>
      <x:c r="L52" t="str">
        <x:v>CLEAN</x:v>
      </x:c>
      <x:c r="M52" t="n">
        <x:v>1</x:v>
      </x:c>
      <x:c r="N52" t="n">
        <x:v>0</x:v>
      </x:c>
      <x:c r="O52" t="n">
        <x:v>0</x:v>
      </x:c>
      <x:c r="P52" t="str">
        <x:f>IF(M52=1,"PASS","GAP")</x:f>
        <x:v>PASS</x:v>
      </x:c>
    </x:row>
    <x:row r="53">
      <x:c r="B53" t="str">
        <x:v>PR-RC-1-CH-06-B-C-X</x:v>
      </x:c>
      <x:c r="C53" t="str">
        <x:v>PR-RC-1-CH-06</x:v>
      </x:c>
      <x:c r="D53" t="str">
        <x:v>RC-1</x:v>
      </x:c>
      <x:c r="E53" t="str">
        <x:v>CH-06</x:v>
      </x:c>
      <x:c r="F53" t="str">
        <x:v>Builder B</x:v>
      </x:c>
      <x:c r="G53" t="str">
        <x:v>PTC-C</x:v>
      </x:c>
      <x:c r="H53" t="str">
        <x:v>challenge</x:v>
      </x:c>
      <x:c r="I53" t="str">
        <x:v>RB-S4</x:v>
      </x:c>
      <x:c r="J53" t="str">
        <x:v>full</x:v>
      </x:c>
      <x:c r="K53" s="27" t="n">
        <x:f>Controls!$D$38</x:f>
        <x:v>2000</x:v>
      </x:c>
      <x:c r="L53" t="str">
        <x:v>CHALLENGED</x:v>
      </x:c>
      <x:c r="M53" t="n">
        <x:v>1</x:v>
      </x:c>
      <x:c r="N53" t="n">
        <x:v>0</x:v>
      </x:c>
      <x:c r="O53" t="n">
        <x:v>0</x:v>
      </x:c>
      <x:c r="P53" t="str">
        <x:f>IF(M53=1,"PASS","GAP")</x:f>
        <x:v>PASS</x:v>
      </x:c>
    </x:row>
    <x:row r="54">
      <x:c r="B54" t="str">
        <x:v>PR-RC-1-CH-06-B-C-C</x:v>
      </x:c>
      <x:c r="C54" t="str">
        <x:v>PR-RC-1-CH-06</x:v>
      </x:c>
      <x:c r="D54" t="str">
        <x:v>RC-1</x:v>
      </x:c>
      <x:c r="E54" t="str">
        <x:v>CH-06</x:v>
      </x:c>
      <x:c r="F54" t="str">
        <x:v>Builder B</x:v>
      </x:c>
      <x:c r="G54" t="str">
        <x:v>PTC-C</x:v>
      </x:c>
      <x:c r="H54" t="str">
        <x:v>clean control</x:v>
      </x:c>
      <x:c r="I54" t="str">
        <x:v>RB-S4</x:v>
      </x:c>
      <x:c r="J54" t="str">
        <x:v>full</x:v>
      </x:c>
      <x:c r="K54" s="27" t="n">
        <x:f>Controls!$D$38</x:f>
        <x:v>2000</x:v>
      </x:c>
      <x:c r="L54" t="str">
        <x:v>CLEAN</x:v>
      </x:c>
      <x:c r="M54" t="n">
        <x:v>1</x:v>
      </x:c>
      <x:c r="N54" t="n">
        <x:v>0</x:v>
      </x:c>
      <x:c r="O54" t="n">
        <x:v>0</x:v>
      </x:c>
      <x:c r="P54" t="str">
        <x:f>IF(M54=1,"PASS","GAP")</x:f>
        <x:v>PASS</x:v>
      </x:c>
    </x:row>
    <x:row r="55">
      <x:c r="B55" t="str">
        <x:v>PR-RC-1-CH-07-A-B-X</x:v>
      </x:c>
      <x:c r="C55" t="str">
        <x:v>PR-RC-1-CH-07</x:v>
      </x:c>
      <x:c r="D55" t="str">
        <x:v>RC-1</x:v>
      </x:c>
      <x:c r="E55" t="str">
        <x:v>CH-07</x:v>
      </x:c>
      <x:c r="F55" t="str">
        <x:v>Builder A</x:v>
      </x:c>
      <x:c r="G55" t="str">
        <x:v>PTC-B</x:v>
      </x:c>
      <x:c r="H55" t="str">
        <x:v>challenge</x:v>
      </x:c>
      <x:c r="I55" t="str">
        <x:v>RB-S3</x:v>
      </x:c>
      <x:c r="J55" t="str">
        <x:v>full</x:v>
      </x:c>
      <x:c r="K55" s="27" t="n">
        <x:f>Controls!$D$38</x:f>
        <x:v>2000</x:v>
      </x:c>
      <x:c r="L55" t="str">
        <x:v>CHALLENGED</x:v>
      </x:c>
      <x:c r="M55" t="n">
        <x:v>1</x:v>
      </x:c>
      <x:c r="N55" t="n">
        <x:v>0</x:v>
      </x:c>
      <x:c r="O55" t="n">
        <x:v>0</x:v>
      </x:c>
      <x:c r="P55" t="str">
        <x:f>IF(M55=1,"PASS","GAP")</x:f>
        <x:v>PASS</x:v>
      </x:c>
    </x:row>
    <x:row r="56">
      <x:c r="B56" t="str">
        <x:v>PR-RC-1-CH-07-A-B-C</x:v>
      </x:c>
      <x:c r="C56" t="str">
        <x:v>PR-RC-1-CH-07</x:v>
      </x:c>
      <x:c r="D56" t="str">
        <x:v>RC-1</x:v>
      </x:c>
      <x:c r="E56" t="str">
        <x:v>CH-07</x:v>
      </x:c>
      <x:c r="F56" t="str">
        <x:v>Builder A</x:v>
      </x:c>
      <x:c r="G56" t="str">
        <x:v>PTC-B</x:v>
      </x:c>
      <x:c r="H56" t="str">
        <x:v>clean control</x:v>
      </x:c>
      <x:c r="I56" t="str">
        <x:v>RB-S3</x:v>
      </x:c>
      <x:c r="J56" t="str">
        <x:v>full</x:v>
      </x:c>
      <x:c r="K56" s="27" t="n">
        <x:f>Controls!$D$38</x:f>
        <x:v>2000</x:v>
      </x:c>
      <x:c r="L56" t="str">
        <x:v>CLEAN</x:v>
      </x:c>
      <x:c r="M56" t="n">
        <x:v>1</x:v>
      </x:c>
      <x:c r="N56" t="n">
        <x:v>0</x:v>
      </x:c>
      <x:c r="O56" t="n">
        <x:v>0</x:v>
      </x:c>
      <x:c r="P56" t="str">
        <x:f>IF(M56=1,"PASS","GAP")</x:f>
        <x:v>PASS</x:v>
      </x:c>
    </x:row>
    <x:row r="57">
      <x:c r="B57" t="str">
        <x:v>PR-RC-1-CH-07-A-C-X</x:v>
      </x:c>
      <x:c r="C57" t="str">
        <x:v>PR-RC-1-CH-07</x:v>
      </x:c>
      <x:c r="D57" t="str">
        <x:v>RC-1</x:v>
      </x:c>
      <x:c r="E57" t="str">
        <x:v>CH-07</x:v>
      </x:c>
      <x:c r="F57" t="str">
        <x:v>Builder A</x:v>
      </x:c>
      <x:c r="G57" t="str">
        <x:v>PTC-C</x:v>
      </x:c>
      <x:c r="H57" t="str">
        <x:v>challenge</x:v>
      </x:c>
      <x:c r="I57" t="str">
        <x:v>RB-S3</x:v>
      </x:c>
      <x:c r="J57" t="str">
        <x:v>full</x:v>
      </x:c>
      <x:c r="K57" s="27" t="n">
        <x:f>Controls!$D$38</x:f>
        <x:v>2000</x:v>
      </x:c>
      <x:c r="L57" t="str">
        <x:v>CHALLENGED</x:v>
      </x:c>
      <x:c r="M57" t="n">
        <x:v>1</x:v>
      </x:c>
      <x:c r="N57" t="n">
        <x:v>0</x:v>
      </x:c>
      <x:c r="O57" t="n">
        <x:v>0</x:v>
      </x:c>
      <x:c r="P57" t="str">
        <x:f>IF(M57=1,"PASS","GAP")</x:f>
        <x:v>PASS</x:v>
      </x:c>
    </x:row>
    <x:row r="58">
      <x:c r="B58" t="str">
        <x:v>PR-RC-1-CH-07-A-C-C</x:v>
      </x:c>
      <x:c r="C58" t="str">
        <x:v>PR-RC-1-CH-07</x:v>
      </x:c>
      <x:c r="D58" t="str">
        <x:v>RC-1</x:v>
      </x:c>
      <x:c r="E58" t="str">
        <x:v>CH-07</x:v>
      </x:c>
      <x:c r="F58" t="str">
        <x:v>Builder A</x:v>
      </x:c>
      <x:c r="G58" t="str">
        <x:v>PTC-C</x:v>
      </x:c>
      <x:c r="H58" t="str">
        <x:v>clean control</x:v>
      </x:c>
      <x:c r="I58" t="str">
        <x:v>RB-S3</x:v>
      </x:c>
      <x:c r="J58" t="str">
        <x:v>full</x:v>
      </x:c>
      <x:c r="K58" s="27" t="n">
        <x:f>Controls!$D$38</x:f>
        <x:v>2000</x:v>
      </x:c>
      <x:c r="L58" t="str">
        <x:v>CLEAN</x:v>
      </x:c>
      <x:c r="M58" t="n">
        <x:v>1</x:v>
      </x:c>
      <x:c r="N58" t="n">
        <x:v>0</x:v>
      </x:c>
      <x:c r="O58" t="n">
        <x:v>0</x:v>
      </x:c>
      <x:c r="P58" t="str">
        <x:f>IF(M58=1,"PASS","GAP")</x:f>
        <x:v>PASS</x:v>
      </x:c>
    </x:row>
    <x:row r="59">
      <x:c r="B59" t="str">
        <x:v>PR-RC-1-CH-07-B-B-X</x:v>
      </x:c>
      <x:c r="C59" t="str">
        <x:v>PR-RC-1-CH-07</x:v>
      </x:c>
      <x:c r="D59" t="str">
        <x:v>RC-1</x:v>
      </x:c>
      <x:c r="E59" t="str">
        <x:v>CH-07</x:v>
      </x:c>
      <x:c r="F59" t="str">
        <x:v>Builder B</x:v>
      </x:c>
      <x:c r="G59" t="str">
        <x:v>PTC-B</x:v>
      </x:c>
      <x:c r="H59" t="str">
        <x:v>challenge</x:v>
      </x:c>
      <x:c r="I59" t="str">
        <x:v>RB-S3</x:v>
      </x:c>
      <x:c r="J59" t="str">
        <x:v>full</x:v>
      </x:c>
      <x:c r="K59" s="27" t="n">
        <x:f>Controls!$D$38</x:f>
        <x:v>2000</x:v>
      </x:c>
      <x:c r="L59" t="str">
        <x:v>CHALLENGED</x:v>
      </x:c>
      <x:c r="M59" t="n">
        <x:v>1</x:v>
      </x:c>
      <x:c r="N59" t="n">
        <x:v>0</x:v>
      </x:c>
      <x:c r="O59" t="n">
        <x:v>0</x:v>
      </x:c>
      <x:c r="P59" t="str">
        <x:f>IF(M59=1,"PASS","GAP")</x:f>
        <x:v>PASS</x:v>
      </x:c>
    </x:row>
    <x:row r="60">
      <x:c r="B60" t="str">
        <x:v>PR-RC-1-CH-07-B-B-C</x:v>
      </x:c>
      <x:c r="C60" t="str">
        <x:v>PR-RC-1-CH-07</x:v>
      </x:c>
      <x:c r="D60" t="str">
        <x:v>RC-1</x:v>
      </x:c>
      <x:c r="E60" t="str">
        <x:v>CH-07</x:v>
      </x:c>
      <x:c r="F60" t="str">
        <x:v>Builder B</x:v>
      </x:c>
      <x:c r="G60" t="str">
        <x:v>PTC-B</x:v>
      </x:c>
      <x:c r="H60" t="str">
        <x:v>clean control</x:v>
      </x:c>
      <x:c r="I60" t="str">
        <x:v>RB-S3</x:v>
      </x:c>
      <x:c r="J60" t="str">
        <x:v>full</x:v>
      </x:c>
      <x:c r="K60" s="27" t="n">
        <x:f>Controls!$D$38</x:f>
        <x:v>2000</x:v>
      </x:c>
      <x:c r="L60" t="str">
        <x:v>CLEAN</x:v>
      </x:c>
      <x:c r="M60" t="n">
        <x:v>1</x:v>
      </x:c>
      <x:c r="N60" t="n">
        <x:v>0</x:v>
      </x:c>
      <x:c r="O60" t="n">
        <x:v>0</x:v>
      </x:c>
      <x:c r="P60" t="str">
        <x:f>IF(M60=1,"PASS","GAP")</x:f>
        <x:v>PASS</x:v>
      </x:c>
    </x:row>
    <x:row r="61">
      <x:c r="B61" t="str">
        <x:v>PR-RC-1-CH-07-B-C-X</x:v>
      </x:c>
      <x:c r="C61" t="str">
        <x:v>PR-RC-1-CH-07</x:v>
      </x:c>
      <x:c r="D61" t="str">
        <x:v>RC-1</x:v>
      </x:c>
      <x:c r="E61" t="str">
        <x:v>CH-07</x:v>
      </x:c>
      <x:c r="F61" t="str">
        <x:v>Builder B</x:v>
      </x:c>
      <x:c r="G61" t="str">
        <x:v>PTC-C</x:v>
      </x:c>
      <x:c r="H61" t="str">
        <x:v>challenge</x:v>
      </x:c>
      <x:c r="I61" t="str">
        <x:v>RB-S3</x:v>
      </x:c>
      <x:c r="J61" t="str">
        <x:v>full</x:v>
      </x:c>
      <x:c r="K61" s="27" t="n">
        <x:f>Controls!$D$38</x:f>
        <x:v>2000</x:v>
      </x:c>
      <x:c r="L61" t="str">
        <x:v>CHALLENGED</x:v>
      </x:c>
      <x:c r="M61" t="n">
        <x:v>1</x:v>
      </x:c>
      <x:c r="N61" t="n">
        <x:v>0</x:v>
      </x:c>
      <x:c r="O61" t="n">
        <x:v>0</x:v>
      </x:c>
      <x:c r="P61" t="str">
        <x:f>IF(M61=1,"PASS","GAP")</x:f>
        <x:v>PASS</x:v>
      </x:c>
    </x:row>
    <x:row r="62">
      <x:c r="B62" t="str">
        <x:v>PR-RC-1-CH-07-B-C-C</x:v>
      </x:c>
      <x:c r="C62" t="str">
        <x:v>PR-RC-1-CH-07</x:v>
      </x:c>
      <x:c r="D62" t="str">
        <x:v>RC-1</x:v>
      </x:c>
      <x:c r="E62" t="str">
        <x:v>CH-07</x:v>
      </x:c>
      <x:c r="F62" t="str">
        <x:v>Builder B</x:v>
      </x:c>
      <x:c r="G62" t="str">
        <x:v>PTC-C</x:v>
      </x:c>
      <x:c r="H62" t="str">
        <x:v>clean control</x:v>
      </x:c>
      <x:c r="I62" t="str">
        <x:v>RB-S3</x:v>
      </x:c>
      <x:c r="J62" t="str">
        <x:v>full</x:v>
      </x:c>
      <x:c r="K62" s="27" t="n">
        <x:f>Controls!$D$38</x:f>
        <x:v>2000</x:v>
      </x:c>
      <x:c r="L62" t="str">
        <x:v>CLEAN</x:v>
      </x:c>
      <x:c r="M62" t="n">
        <x:v>1</x:v>
      </x:c>
      <x:c r="N62" t="n">
        <x:v>0</x:v>
      </x:c>
      <x:c r="O62" t="n">
        <x:v>0</x:v>
      </x:c>
      <x:c r="P62" t="str">
        <x:f>IF(M62=1,"PASS","GAP")</x:f>
        <x:v>PASS</x:v>
      </x:c>
    </x:row>
    <x:row r="63">
      <x:c r="B63" t="str">
        <x:v>PR-RC-1-CH-08-A-B-X</x:v>
      </x:c>
      <x:c r="C63" t="str">
        <x:v>PR-RC-1-CH-08</x:v>
      </x:c>
      <x:c r="D63" t="str">
        <x:v>RC-1</x:v>
      </x:c>
      <x:c r="E63" t="str">
        <x:v>CH-08</x:v>
      </x:c>
      <x:c r="F63" t="str">
        <x:v>Builder A</x:v>
      </x:c>
      <x:c r="G63" t="str">
        <x:v>PTC-B</x:v>
      </x:c>
      <x:c r="H63" t="str">
        <x:v>challenge</x:v>
      </x:c>
      <x:c r="I63" t="str">
        <x:v>RB-S3</x:v>
      </x:c>
      <x:c r="J63" t="str">
        <x:v>full</x:v>
      </x:c>
      <x:c r="K63" s="27" t="n">
        <x:f>Controls!$D$38</x:f>
        <x:v>2000</x:v>
      </x:c>
      <x:c r="L63" t="str">
        <x:v>CHALLENGED</x:v>
      </x:c>
      <x:c r="M63" t="n">
        <x:v>1</x:v>
      </x:c>
      <x:c r="N63" t="n">
        <x:v>0</x:v>
      </x:c>
      <x:c r="O63" t="n">
        <x:v>0</x:v>
      </x:c>
      <x:c r="P63" t="str">
        <x:f>IF(M63=1,"PASS","GAP")</x:f>
        <x:v>PASS</x:v>
      </x:c>
    </x:row>
    <x:row r="64">
      <x:c r="B64" t="str">
        <x:v>PR-RC-1-CH-08-A-B-C</x:v>
      </x:c>
      <x:c r="C64" t="str">
        <x:v>PR-RC-1-CH-08</x:v>
      </x:c>
      <x:c r="D64" t="str">
        <x:v>RC-1</x:v>
      </x:c>
      <x:c r="E64" t="str">
        <x:v>CH-08</x:v>
      </x:c>
      <x:c r="F64" t="str">
        <x:v>Builder A</x:v>
      </x:c>
      <x:c r="G64" t="str">
        <x:v>PTC-B</x:v>
      </x:c>
      <x:c r="H64" t="str">
        <x:v>clean control</x:v>
      </x:c>
      <x:c r="I64" t="str">
        <x:v>RB-S3</x:v>
      </x:c>
      <x:c r="J64" t="str">
        <x:v>full</x:v>
      </x:c>
      <x:c r="K64" s="27" t="n">
        <x:f>Controls!$D$38</x:f>
        <x:v>2000</x:v>
      </x:c>
      <x:c r="L64" t="str">
        <x:v>CLEAN</x:v>
      </x:c>
      <x:c r="M64" t="n">
        <x:v>1</x:v>
      </x:c>
      <x:c r="N64" t="n">
        <x:v>0</x:v>
      </x:c>
      <x:c r="O64" t="n">
        <x:v>0</x:v>
      </x:c>
      <x:c r="P64" t="str">
        <x:f>IF(M64=1,"PASS","GAP")</x:f>
        <x:v>PASS</x:v>
      </x:c>
    </x:row>
    <x:row r="65">
      <x:c r="B65" t="str">
        <x:v>PR-RC-1-CH-08-A-C-X</x:v>
      </x:c>
      <x:c r="C65" t="str">
        <x:v>PR-RC-1-CH-08</x:v>
      </x:c>
      <x:c r="D65" t="str">
        <x:v>RC-1</x:v>
      </x:c>
      <x:c r="E65" t="str">
        <x:v>CH-08</x:v>
      </x:c>
      <x:c r="F65" t="str">
        <x:v>Builder A</x:v>
      </x:c>
      <x:c r="G65" t="str">
        <x:v>PTC-C</x:v>
      </x:c>
      <x:c r="H65" t="str">
        <x:v>challenge</x:v>
      </x:c>
      <x:c r="I65" t="str">
        <x:v>RB-S3</x:v>
      </x:c>
      <x:c r="J65" t="str">
        <x:v>full</x:v>
      </x:c>
      <x:c r="K65" s="27" t="n">
        <x:f>Controls!$D$38</x:f>
        <x:v>2000</x:v>
      </x:c>
      <x:c r="L65" t="str">
        <x:v>CHALLENGED</x:v>
      </x:c>
      <x:c r="M65" t="n">
        <x:v>1</x:v>
      </x:c>
      <x:c r="N65" t="n">
        <x:v>0</x:v>
      </x:c>
      <x:c r="O65" t="n">
        <x:v>0</x:v>
      </x:c>
      <x:c r="P65" t="str">
        <x:f>IF(M65=1,"PASS","GAP")</x:f>
        <x:v>PASS</x:v>
      </x:c>
    </x:row>
    <x:row r="66">
      <x:c r="B66" t="str">
        <x:v>PR-RC-1-CH-08-A-C-C</x:v>
      </x:c>
      <x:c r="C66" t="str">
        <x:v>PR-RC-1-CH-08</x:v>
      </x:c>
      <x:c r="D66" t="str">
        <x:v>RC-1</x:v>
      </x:c>
      <x:c r="E66" t="str">
        <x:v>CH-08</x:v>
      </x:c>
      <x:c r="F66" t="str">
        <x:v>Builder A</x:v>
      </x:c>
      <x:c r="G66" t="str">
        <x:v>PTC-C</x:v>
      </x:c>
      <x:c r="H66" t="str">
        <x:v>clean control</x:v>
      </x:c>
      <x:c r="I66" t="str">
        <x:v>RB-S3</x:v>
      </x:c>
      <x:c r="J66" t="str">
        <x:v>full</x:v>
      </x:c>
      <x:c r="K66" s="27" t="n">
        <x:f>Controls!$D$38</x:f>
        <x:v>2000</x:v>
      </x:c>
      <x:c r="L66" t="str">
        <x:v>CLEAN</x:v>
      </x:c>
      <x:c r="M66" t="n">
        <x:v>1</x:v>
      </x:c>
      <x:c r="N66" t="n">
        <x:v>0</x:v>
      </x:c>
      <x:c r="O66" t="n">
        <x:v>0</x:v>
      </x:c>
      <x:c r="P66" t="str">
        <x:f>IF(M66=1,"PASS","GAP")</x:f>
        <x:v>PASS</x:v>
      </x:c>
    </x:row>
    <x:row r="67">
      <x:c r="B67" t="str">
        <x:v>PR-RC-1-CH-08-B-B-X</x:v>
      </x:c>
      <x:c r="C67" t="str">
        <x:v>PR-RC-1-CH-08</x:v>
      </x:c>
      <x:c r="D67" t="str">
        <x:v>RC-1</x:v>
      </x:c>
      <x:c r="E67" t="str">
        <x:v>CH-08</x:v>
      </x:c>
      <x:c r="F67" t="str">
        <x:v>Builder B</x:v>
      </x:c>
      <x:c r="G67" t="str">
        <x:v>PTC-B</x:v>
      </x:c>
      <x:c r="H67" t="str">
        <x:v>challenge</x:v>
      </x:c>
      <x:c r="I67" t="str">
        <x:v>RB-S3</x:v>
      </x:c>
      <x:c r="J67" t="str">
        <x:v>full</x:v>
      </x:c>
      <x:c r="K67" s="27" t="n">
        <x:f>Controls!$D$38</x:f>
        <x:v>2000</x:v>
      </x:c>
      <x:c r="L67" t="str">
        <x:v>CHALLENGED</x:v>
      </x:c>
      <x:c r="M67" t="n">
        <x:v>1</x:v>
      </x:c>
      <x:c r="N67" t="n">
        <x:v>0</x:v>
      </x:c>
      <x:c r="O67" t="n">
        <x:v>0</x:v>
      </x:c>
      <x:c r="P67" t="str">
        <x:f>IF(M67=1,"PASS","GAP")</x:f>
        <x:v>PASS</x:v>
      </x:c>
    </x:row>
    <x:row r="68">
      <x:c r="B68" t="str">
        <x:v>PR-RC-1-CH-08-B-B-C</x:v>
      </x:c>
      <x:c r="C68" t="str">
        <x:v>PR-RC-1-CH-08</x:v>
      </x:c>
      <x:c r="D68" t="str">
        <x:v>RC-1</x:v>
      </x:c>
      <x:c r="E68" t="str">
        <x:v>CH-08</x:v>
      </x:c>
      <x:c r="F68" t="str">
        <x:v>Builder B</x:v>
      </x:c>
      <x:c r="G68" t="str">
        <x:v>PTC-B</x:v>
      </x:c>
      <x:c r="H68" t="str">
        <x:v>clean control</x:v>
      </x:c>
      <x:c r="I68" t="str">
        <x:v>RB-S3</x:v>
      </x:c>
      <x:c r="J68" t="str">
        <x:v>full</x:v>
      </x:c>
      <x:c r="K68" s="27" t="n">
        <x:f>Controls!$D$38</x:f>
        <x:v>2000</x:v>
      </x:c>
      <x:c r="L68" t="str">
        <x:v>CLEAN</x:v>
      </x:c>
      <x:c r="M68" t="n">
        <x:v>1</x:v>
      </x:c>
      <x:c r="N68" t="n">
        <x:v>0</x:v>
      </x:c>
      <x:c r="O68" t="n">
        <x:v>0</x:v>
      </x:c>
      <x:c r="P68" t="str">
        <x:f>IF(M68=1,"PASS","GAP")</x:f>
        <x:v>PASS</x:v>
      </x:c>
    </x:row>
    <x:row r="69">
      <x:c r="B69" t="str">
        <x:v>PR-RC-1-CH-08-B-C-X</x:v>
      </x:c>
      <x:c r="C69" t="str">
        <x:v>PR-RC-1-CH-08</x:v>
      </x:c>
      <x:c r="D69" t="str">
        <x:v>RC-1</x:v>
      </x:c>
      <x:c r="E69" t="str">
        <x:v>CH-08</x:v>
      </x:c>
      <x:c r="F69" t="str">
        <x:v>Builder B</x:v>
      </x:c>
      <x:c r="G69" t="str">
        <x:v>PTC-C</x:v>
      </x:c>
      <x:c r="H69" t="str">
        <x:v>challenge</x:v>
      </x:c>
      <x:c r="I69" t="str">
        <x:v>RB-S3</x:v>
      </x:c>
      <x:c r="J69" t="str">
        <x:v>full</x:v>
      </x:c>
      <x:c r="K69" s="27" t="n">
        <x:f>Controls!$D$38</x:f>
        <x:v>2000</x:v>
      </x:c>
      <x:c r="L69" t="str">
        <x:v>CHALLENGED</x:v>
      </x:c>
      <x:c r="M69" t="n">
        <x:v>1</x:v>
      </x:c>
      <x:c r="N69" t="n">
        <x:v>0</x:v>
      </x:c>
      <x:c r="O69" t="n">
        <x:v>0</x:v>
      </x:c>
      <x:c r="P69" t="str">
        <x:f>IF(M69=1,"PASS","GAP")</x:f>
        <x:v>PASS</x:v>
      </x:c>
    </x:row>
    <x:row r="70">
      <x:c r="B70" t="str">
        <x:v>PR-RC-1-CH-08-B-C-C</x:v>
      </x:c>
      <x:c r="C70" t="str">
        <x:v>PR-RC-1-CH-08</x:v>
      </x:c>
      <x:c r="D70" t="str">
        <x:v>RC-1</x:v>
      </x:c>
      <x:c r="E70" t="str">
        <x:v>CH-08</x:v>
      </x:c>
      <x:c r="F70" t="str">
        <x:v>Builder B</x:v>
      </x:c>
      <x:c r="G70" t="str">
        <x:v>PTC-C</x:v>
      </x:c>
      <x:c r="H70" t="str">
        <x:v>clean control</x:v>
      </x:c>
      <x:c r="I70" t="str">
        <x:v>RB-S3</x:v>
      </x:c>
      <x:c r="J70" t="str">
        <x:v>full</x:v>
      </x:c>
      <x:c r="K70" s="27" t="n">
        <x:f>Controls!$D$38</x:f>
        <x:v>2000</x:v>
      </x:c>
      <x:c r="L70" t="str">
        <x:v>CLEAN</x:v>
      </x:c>
      <x:c r="M70" t="n">
        <x:v>1</x:v>
      </x:c>
      <x:c r="N70" t="n">
        <x:v>0</x:v>
      </x:c>
      <x:c r="O70" t="n">
        <x:v>0</x:v>
      </x:c>
      <x:c r="P70" t="str">
        <x:f>IF(M70=1,"PASS","GAP")</x:f>
        <x:v>PASS</x:v>
      </x:c>
    </x:row>
    <x:row r="71">
      <x:c r="B71" t="str">
        <x:v>PR-RC-2-CH-01-A-B-X</x:v>
      </x:c>
      <x:c r="C71" t="str">
        <x:v>PR-RC-2-CH-01</x:v>
      </x:c>
      <x:c r="D71" t="str">
        <x:v>RC-2</x:v>
      </x:c>
      <x:c r="E71" t="str">
        <x:v>CH-01</x:v>
      </x:c>
      <x:c r="F71" t="str">
        <x:v>Builder A</x:v>
      </x:c>
      <x:c r="G71" t="str">
        <x:v>PTC-B</x:v>
      </x:c>
      <x:c r="H71" t="str">
        <x:v>challenge</x:v>
      </x:c>
      <x:c r="I71" t="str">
        <x:v>RB-S1</x:v>
      </x:c>
      <x:c r="J71" t="str">
        <x:v>quarter</x:v>
      </x:c>
      <x:c r="K71" s="27" t="n">
        <x:f>Controls!$D$37</x:f>
        <x:v>500</x:v>
      </x:c>
      <x:c r="L71" t="str">
        <x:v>CHALLENGED</x:v>
      </x:c>
      <x:c r="M71" t="n">
        <x:v>1</x:v>
      </x:c>
      <x:c r="N71" t="n">
        <x:v>0</x:v>
      </x:c>
      <x:c r="O71" t="n">
        <x:v>0</x:v>
      </x:c>
      <x:c r="P71" t="str">
        <x:f>IF(M71=1,"PASS","GAP")</x:f>
        <x:v>PASS</x:v>
      </x:c>
    </x:row>
    <x:row r="72">
      <x:c r="B72" t="str">
        <x:v>PR-RC-2-CH-01-A-B-C</x:v>
      </x:c>
      <x:c r="C72" t="str">
        <x:v>PR-RC-2-CH-01</x:v>
      </x:c>
      <x:c r="D72" t="str">
        <x:v>RC-2</x:v>
      </x:c>
      <x:c r="E72" t="str">
        <x:v>CH-01</x:v>
      </x:c>
      <x:c r="F72" t="str">
        <x:v>Builder A</x:v>
      </x:c>
      <x:c r="G72" t="str">
        <x:v>PTC-B</x:v>
      </x:c>
      <x:c r="H72" t="str">
        <x:v>clean control</x:v>
      </x:c>
      <x:c r="I72" t="str">
        <x:v>RB-S1</x:v>
      </x:c>
      <x:c r="J72" t="str">
        <x:v>quarter</x:v>
      </x:c>
      <x:c r="K72" s="27" t="n">
        <x:f>Controls!$D$37</x:f>
        <x:v>500</x:v>
      </x:c>
      <x:c r="L72" t="str">
        <x:v>CLEAN</x:v>
      </x:c>
      <x:c r="M72" t="n">
        <x:v>1</x:v>
      </x:c>
      <x:c r="N72" t="n">
        <x:v>0</x:v>
      </x:c>
      <x:c r="O72" t="n">
        <x:v>0</x:v>
      </x:c>
      <x:c r="P72" t="str">
        <x:f>IF(M72=1,"PASS","GAP")</x:f>
        <x:v>PASS</x:v>
      </x:c>
    </x:row>
    <x:row r="73">
      <x:c r="B73" t="str">
        <x:v>PR-RC-2-CH-01-A-C-X</x:v>
      </x:c>
      <x:c r="C73" t="str">
        <x:v>PR-RC-2-CH-01</x:v>
      </x:c>
      <x:c r="D73" t="str">
        <x:v>RC-2</x:v>
      </x:c>
      <x:c r="E73" t="str">
        <x:v>CH-01</x:v>
      </x:c>
      <x:c r="F73" t="str">
        <x:v>Builder A</x:v>
      </x:c>
      <x:c r="G73" t="str">
        <x:v>PTC-C</x:v>
      </x:c>
      <x:c r="H73" t="str">
        <x:v>challenge</x:v>
      </x:c>
      <x:c r="I73" t="str">
        <x:v>RB-S1</x:v>
      </x:c>
      <x:c r="J73" t="str">
        <x:v>quarter</x:v>
      </x:c>
      <x:c r="K73" s="27" t="n">
        <x:f>Controls!$D$37</x:f>
        <x:v>500</x:v>
      </x:c>
      <x:c r="L73" t="str">
        <x:v>CHALLENGED</x:v>
      </x:c>
      <x:c r="M73" t="n">
        <x:v>1</x:v>
      </x:c>
      <x:c r="N73" t="n">
        <x:v>0</x:v>
      </x:c>
      <x:c r="O73" t="n">
        <x:v>0</x:v>
      </x:c>
      <x:c r="P73" t="str">
        <x:f>IF(M73=1,"PASS","GAP")</x:f>
        <x:v>PASS</x:v>
      </x:c>
    </x:row>
    <x:row r="74">
      <x:c r="B74" t="str">
        <x:v>PR-RC-2-CH-01-A-C-C</x:v>
      </x:c>
      <x:c r="C74" t="str">
        <x:v>PR-RC-2-CH-01</x:v>
      </x:c>
      <x:c r="D74" t="str">
        <x:v>RC-2</x:v>
      </x:c>
      <x:c r="E74" t="str">
        <x:v>CH-01</x:v>
      </x:c>
      <x:c r="F74" t="str">
        <x:v>Builder A</x:v>
      </x:c>
      <x:c r="G74" t="str">
        <x:v>PTC-C</x:v>
      </x:c>
      <x:c r="H74" t="str">
        <x:v>clean control</x:v>
      </x:c>
      <x:c r="I74" t="str">
        <x:v>RB-S1</x:v>
      </x:c>
      <x:c r="J74" t="str">
        <x:v>quarter</x:v>
      </x:c>
      <x:c r="K74" s="27" t="n">
        <x:f>Controls!$D$37</x:f>
        <x:v>500</x:v>
      </x:c>
      <x:c r="L74" t="str">
        <x:v>CLEAN</x:v>
      </x:c>
      <x:c r="M74" t="n">
        <x:v>1</x:v>
      </x:c>
      <x:c r="N74" t="n">
        <x:v>0</x:v>
      </x:c>
      <x:c r="O74" t="n">
        <x:v>0</x:v>
      </x:c>
      <x:c r="P74" t="str">
        <x:f>IF(M74=1,"PASS","GAP")</x:f>
        <x:v>PASS</x:v>
      </x:c>
    </x:row>
    <x:row r="75">
      <x:c r="B75" t="str">
        <x:v>PR-RC-2-CH-01-B-B-X</x:v>
      </x:c>
      <x:c r="C75" t="str">
        <x:v>PR-RC-2-CH-01</x:v>
      </x:c>
      <x:c r="D75" t="str">
        <x:v>RC-2</x:v>
      </x:c>
      <x:c r="E75" t="str">
        <x:v>CH-01</x:v>
      </x:c>
      <x:c r="F75" t="str">
        <x:v>Builder B</x:v>
      </x:c>
      <x:c r="G75" t="str">
        <x:v>PTC-B</x:v>
      </x:c>
      <x:c r="H75" t="str">
        <x:v>challenge</x:v>
      </x:c>
      <x:c r="I75" t="str">
        <x:v>RB-S1</x:v>
      </x:c>
      <x:c r="J75" t="str">
        <x:v>quarter</x:v>
      </x:c>
      <x:c r="K75" s="27" t="n">
        <x:f>Controls!$D$37</x:f>
        <x:v>500</x:v>
      </x:c>
      <x:c r="L75" t="str">
        <x:v>CHALLENGED</x:v>
      </x:c>
      <x:c r="M75" t="n">
        <x:v>1</x:v>
      </x:c>
      <x:c r="N75" t="n">
        <x:v>0</x:v>
      </x:c>
      <x:c r="O75" t="n">
        <x:v>0</x:v>
      </x:c>
      <x:c r="P75" t="str">
        <x:f>IF(M75=1,"PASS","GAP")</x:f>
        <x:v>PASS</x:v>
      </x:c>
    </x:row>
    <x:row r="76">
      <x:c r="B76" t="str">
        <x:v>PR-RC-2-CH-01-B-B-C</x:v>
      </x:c>
      <x:c r="C76" t="str">
        <x:v>PR-RC-2-CH-01</x:v>
      </x:c>
      <x:c r="D76" t="str">
        <x:v>RC-2</x:v>
      </x:c>
      <x:c r="E76" t="str">
        <x:v>CH-01</x:v>
      </x:c>
      <x:c r="F76" t="str">
        <x:v>Builder B</x:v>
      </x:c>
      <x:c r="G76" t="str">
        <x:v>PTC-B</x:v>
      </x:c>
      <x:c r="H76" t="str">
        <x:v>clean control</x:v>
      </x:c>
      <x:c r="I76" t="str">
        <x:v>RB-S1</x:v>
      </x:c>
      <x:c r="J76" t="str">
        <x:v>quarter</x:v>
      </x:c>
      <x:c r="K76" s="27" t="n">
        <x:f>Controls!$D$37</x:f>
        <x:v>500</x:v>
      </x:c>
      <x:c r="L76" t="str">
        <x:v>CLEAN</x:v>
      </x:c>
      <x:c r="M76" t="n">
        <x:v>1</x:v>
      </x:c>
      <x:c r="N76" t="n">
        <x:v>0</x:v>
      </x:c>
      <x:c r="O76" t="n">
        <x:v>0</x:v>
      </x:c>
      <x:c r="P76" t="str">
        <x:f>IF(M76=1,"PASS","GAP")</x:f>
        <x:v>PASS</x:v>
      </x:c>
    </x:row>
    <x:row r="77">
      <x:c r="B77" t="str">
        <x:v>PR-RC-2-CH-01-B-C-X</x:v>
      </x:c>
      <x:c r="C77" t="str">
        <x:v>PR-RC-2-CH-01</x:v>
      </x:c>
      <x:c r="D77" t="str">
        <x:v>RC-2</x:v>
      </x:c>
      <x:c r="E77" t="str">
        <x:v>CH-01</x:v>
      </x:c>
      <x:c r="F77" t="str">
        <x:v>Builder B</x:v>
      </x:c>
      <x:c r="G77" t="str">
        <x:v>PTC-C</x:v>
      </x:c>
      <x:c r="H77" t="str">
        <x:v>challenge</x:v>
      </x:c>
      <x:c r="I77" t="str">
        <x:v>RB-S1</x:v>
      </x:c>
      <x:c r="J77" t="str">
        <x:v>quarter</x:v>
      </x:c>
      <x:c r="K77" s="27" t="n">
        <x:f>Controls!$D$37</x:f>
        <x:v>500</x:v>
      </x:c>
      <x:c r="L77" t="str">
        <x:v>CHALLENGED</x:v>
      </x:c>
      <x:c r="M77" t="n">
        <x:v>1</x:v>
      </x:c>
      <x:c r="N77" t="n">
        <x:v>0</x:v>
      </x:c>
      <x:c r="O77" t="n">
        <x:v>0</x:v>
      </x:c>
      <x:c r="P77" t="str">
        <x:f>IF(M77=1,"PASS","GAP")</x:f>
        <x:v>PASS</x:v>
      </x:c>
    </x:row>
    <x:row r="78">
      <x:c r="B78" t="str">
        <x:v>PR-RC-2-CH-01-B-C-C</x:v>
      </x:c>
      <x:c r="C78" t="str">
        <x:v>PR-RC-2-CH-01</x:v>
      </x:c>
      <x:c r="D78" t="str">
        <x:v>RC-2</x:v>
      </x:c>
      <x:c r="E78" t="str">
        <x:v>CH-01</x:v>
      </x:c>
      <x:c r="F78" t="str">
        <x:v>Builder B</x:v>
      </x:c>
      <x:c r="G78" t="str">
        <x:v>PTC-C</x:v>
      </x:c>
      <x:c r="H78" t="str">
        <x:v>clean control</x:v>
      </x:c>
      <x:c r="I78" t="str">
        <x:v>RB-S1</x:v>
      </x:c>
      <x:c r="J78" t="str">
        <x:v>quarter</x:v>
      </x:c>
      <x:c r="K78" s="27" t="n">
        <x:f>Controls!$D$37</x:f>
        <x:v>500</x:v>
      </x:c>
      <x:c r="L78" t="str">
        <x:v>CLEAN</x:v>
      </x:c>
      <x:c r="M78" t="n">
        <x:v>1</x:v>
      </x:c>
      <x:c r="N78" t="n">
        <x:v>0</x:v>
      </x:c>
      <x:c r="O78" t="n">
        <x:v>0</x:v>
      </x:c>
      <x:c r="P78" t="str">
        <x:f>IF(M78=1,"PASS","GAP")</x:f>
        <x:v>PASS</x:v>
      </x:c>
    </x:row>
    <x:row r="79">
      <x:c r="B79" t="str">
        <x:v>PR-RC-2-CH-02-A-B-X</x:v>
      </x:c>
      <x:c r="C79" t="str">
        <x:v>PR-RC-2-CH-02</x:v>
      </x:c>
      <x:c r="D79" t="str">
        <x:v>RC-2</x:v>
      </x:c>
      <x:c r="E79" t="str">
        <x:v>CH-02</x:v>
      </x:c>
      <x:c r="F79" t="str">
        <x:v>Builder A</x:v>
      </x:c>
      <x:c r="G79" t="str">
        <x:v>PTC-B</x:v>
      </x:c>
      <x:c r="H79" t="str">
        <x:v>challenge</x:v>
      </x:c>
      <x:c r="I79" t="str">
        <x:v>RB-S2</x:v>
      </x:c>
      <x:c r="J79" t="str">
        <x:v>quarter</x:v>
      </x:c>
      <x:c r="K79" s="27" t="n">
        <x:f>Controls!$D$37</x:f>
        <x:v>500</x:v>
      </x:c>
      <x:c r="L79" t="str">
        <x:v>CHALLENGED</x:v>
      </x:c>
      <x:c r="M79" t="n">
        <x:v>1</x:v>
      </x:c>
      <x:c r="N79" t="n">
        <x:v>0</x:v>
      </x:c>
      <x:c r="O79" t="n">
        <x:v>0</x:v>
      </x:c>
      <x:c r="P79" t="str">
        <x:f>IF(M79=1,"PASS","GAP")</x:f>
        <x:v>PASS</x:v>
      </x:c>
    </x:row>
    <x:row r="80">
      <x:c r="B80" t="str">
        <x:v>PR-RC-2-CH-02-A-B-C</x:v>
      </x:c>
      <x:c r="C80" t="str">
        <x:v>PR-RC-2-CH-02</x:v>
      </x:c>
      <x:c r="D80" t="str">
        <x:v>RC-2</x:v>
      </x:c>
      <x:c r="E80" t="str">
        <x:v>CH-02</x:v>
      </x:c>
      <x:c r="F80" t="str">
        <x:v>Builder A</x:v>
      </x:c>
      <x:c r="G80" t="str">
        <x:v>PTC-B</x:v>
      </x:c>
      <x:c r="H80" t="str">
        <x:v>clean control</x:v>
      </x:c>
      <x:c r="I80" t="str">
        <x:v>RB-S2</x:v>
      </x:c>
      <x:c r="J80" t="str">
        <x:v>quarter</x:v>
      </x:c>
      <x:c r="K80" s="27" t="n">
        <x:f>Controls!$D$37</x:f>
        <x:v>500</x:v>
      </x:c>
      <x:c r="L80" t="str">
        <x:v>CLEAN</x:v>
      </x:c>
      <x:c r="M80" t="n">
        <x:v>1</x:v>
      </x:c>
      <x:c r="N80" t="n">
        <x:v>0</x:v>
      </x:c>
      <x:c r="O80" t="n">
        <x:v>0</x:v>
      </x:c>
      <x:c r="P80" t="str">
        <x:f>IF(M80=1,"PASS","GAP")</x:f>
        <x:v>PASS</x:v>
      </x:c>
    </x:row>
    <x:row r="81">
      <x:c r="B81" t="str">
        <x:v>PR-RC-2-CH-02-A-C-X</x:v>
      </x:c>
      <x:c r="C81" t="str">
        <x:v>PR-RC-2-CH-02</x:v>
      </x:c>
      <x:c r="D81" t="str">
        <x:v>RC-2</x:v>
      </x:c>
      <x:c r="E81" t="str">
        <x:v>CH-02</x:v>
      </x:c>
      <x:c r="F81" t="str">
        <x:v>Builder A</x:v>
      </x:c>
      <x:c r="G81" t="str">
        <x:v>PTC-C</x:v>
      </x:c>
      <x:c r="H81" t="str">
        <x:v>challenge</x:v>
      </x:c>
      <x:c r="I81" t="str">
        <x:v>RB-S2</x:v>
      </x:c>
      <x:c r="J81" t="str">
        <x:v>quarter</x:v>
      </x:c>
      <x:c r="K81" s="27" t="n">
        <x:f>Controls!$D$37</x:f>
        <x:v>500</x:v>
      </x:c>
      <x:c r="L81" t="str">
        <x:v>CHALLENGED</x:v>
      </x:c>
      <x:c r="M81" t="n">
        <x:v>1</x:v>
      </x:c>
      <x:c r="N81" t="n">
        <x:v>0</x:v>
      </x:c>
      <x:c r="O81" t="n">
        <x:v>0</x:v>
      </x:c>
      <x:c r="P81" t="str">
        <x:f>IF(M81=1,"PASS","GAP")</x:f>
        <x:v>PASS</x:v>
      </x:c>
    </x:row>
    <x:row r="82">
      <x:c r="B82" t="str">
        <x:v>PR-RC-2-CH-02-A-C-C</x:v>
      </x:c>
      <x:c r="C82" t="str">
        <x:v>PR-RC-2-CH-02</x:v>
      </x:c>
      <x:c r="D82" t="str">
        <x:v>RC-2</x:v>
      </x:c>
      <x:c r="E82" t="str">
        <x:v>CH-02</x:v>
      </x:c>
      <x:c r="F82" t="str">
        <x:v>Builder A</x:v>
      </x:c>
      <x:c r="G82" t="str">
        <x:v>PTC-C</x:v>
      </x:c>
      <x:c r="H82" t="str">
        <x:v>clean control</x:v>
      </x:c>
      <x:c r="I82" t="str">
        <x:v>RB-S2</x:v>
      </x:c>
      <x:c r="J82" t="str">
        <x:v>quarter</x:v>
      </x:c>
      <x:c r="K82" s="27" t="n">
        <x:f>Controls!$D$37</x:f>
        <x:v>500</x:v>
      </x:c>
      <x:c r="L82" t="str">
        <x:v>CLEAN</x:v>
      </x:c>
      <x:c r="M82" t="n">
        <x:v>1</x:v>
      </x:c>
      <x:c r="N82" t="n">
        <x:v>0</x:v>
      </x:c>
      <x:c r="O82" t="n">
        <x:v>0</x:v>
      </x:c>
      <x:c r="P82" t="str">
        <x:f>IF(M82=1,"PASS","GAP")</x:f>
        <x:v>PASS</x:v>
      </x:c>
    </x:row>
    <x:row r="83">
      <x:c r="B83" t="str">
        <x:v>PR-RC-2-CH-02-B-B-X</x:v>
      </x:c>
      <x:c r="C83" t="str">
        <x:v>PR-RC-2-CH-02</x:v>
      </x:c>
      <x:c r="D83" t="str">
        <x:v>RC-2</x:v>
      </x:c>
      <x:c r="E83" t="str">
        <x:v>CH-02</x:v>
      </x:c>
      <x:c r="F83" t="str">
        <x:v>Builder B</x:v>
      </x:c>
      <x:c r="G83" t="str">
        <x:v>PTC-B</x:v>
      </x:c>
      <x:c r="H83" t="str">
        <x:v>challenge</x:v>
      </x:c>
      <x:c r="I83" t="str">
        <x:v>RB-S2</x:v>
      </x:c>
      <x:c r="J83" t="str">
        <x:v>quarter</x:v>
      </x:c>
      <x:c r="K83" s="27" t="n">
        <x:f>Controls!$D$37</x:f>
        <x:v>500</x:v>
      </x:c>
      <x:c r="L83" t="str">
        <x:v>CHALLENGED</x:v>
      </x:c>
      <x:c r="M83" t="n">
        <x:v>1</x:v>
      </x:c>
      <x:c r="N83" t="n">
        <x:v>0</x:v>
      </x:c>
      <x:c r="O83" t="n">
        <x:v>0</x:v>
      </x:c>
      <x:c r="P83" t="str">
        <x:f>IF(M83=1,"PASS","GAP")</x:f>
        <x:v>PASS</x:v>
      </x:c>
    </x:row>
    <x:row r="84">
      <x:c r="B84" t="str">
        <x:v>PR-RC-2-CH-02-B-B-C</x:v>
      </x:c>
      <x:c r="C84" t="str">
        <x:v>PR-RC-2-CH-02</x:v>
      </x:c>
      <x:c r="D84" t="str">
        <x:v>RC-2</x:v>
      </x:c>
      <x:c r="E84" t="str">
        <x:v>CH-02</x:v>
      </x:c>
      <x:c r="F84" t="str">
        <x:v>Builder B</x:v>
      </x:c>
      <x:c r="G84" t="str">
        <x:v>PTC-B</x:v>
      </x:c>
      <x:c r="H84" t="str">
        <x:v>clean control</x:v>
      </x:c>
      <x:c r="I84" t="str">
        <x:v>RB-S2</x:v>
      </x:c>
      <x:c r="J84" t="str">
        <x:v>quarter</x:v>
      </x:c>
      <x:c r="K84" s="27" t="n">
        <x:f>Controls!$D$37</x:f>
        <x:v>500</x:v>
      </x:c>
      <x:c r="L84" t="str">
        <x:v>CLEAN</x:v>
      </x:c>
      <x:c r="M84" t="n">
        <x:v>1</x:v>
      </x:c>
      <x:c r="N84" t="n">
        <x:v>0</x:v>
      </x:c>
      <x:c r="O84" t="n">
        <x:v>0</x:v>
      </x:c>
      <x:c r="P84" t="str">
        <x:f>IF(M84=1,"PASS","GAP")</x:f>
        <x:v>PASS</x:v>
      </x:c>
    </x:row>
    <x:row r="85">
      <x:c r="B85" t="str">
        <x:v>PR-RC-2-CH-02-B-C-X</x:v>
      </x:c>
      <x:c r="C85" t="str">
        <x:v>PR-RC-2-CH-02</x:v>
      </x:c>
      <x:c r="D85" t="str">
        <x:v>RC-2</x:v>
      </x:c>
      <x:c r="E85" t="str">
        <x:v>CH-02</x:v>
      </x:c>
      <x:c r="F85" t="str">
        <x:v>Builder B</x:v>
      </x:c>
      <x:c r="G85" t="str">
        <x:v>PTC-C</x:v>
      </x:c>
      <x:c r="H85" t="str">
        <x:v>challenge</x:v>
      </x:c>
      <x:c r="I85" t="str">
        <x:v>RB-S2</x:v>
      </x:c>
      <x:c r="J85" t="str">
        <x:v>quarter</x:v>
      </x:c>
      <x:c r="K85" s="27" t="n">
        <x:f>Controls!$D$37</x:f>
        <x:v>500</x:v>
      </x:c>
      <x:c r="L85" t="str">
        <x:v>CHALLENGED</x:v>
      </x:c>
      <x:c r="M85" t="n">
        <x:v>1</x:v>
      </x:c>
      <x:c r="N85" t="n">
        <x:v>0</x:v>
      </x:c>
      <x:c r="O85" t="n">
        <x:v>0</x:v>
      </x:c>
      <x:c r="P85" t="str">
        <x:f>IF(M85=1,"PASS","GAP")</x:f>
        <x:v>PASS</x:v>
      </x:c>
    </x:row>
    <x:row r="86">
      <x:c r="B86" t="str">
        <x:v>PR-RC-2-CH-02-B-C-C</x:v>
      </x:c>
      <x:c r="C86" t="str">
        <x:v>PR-RC-2-CH-02</x:v>
      </x:c>
      <x:c r="D86" t="str">
        <x:v>RC-2</x:v>
      </x:c>
      <x:c r="E86" t="str">
        <x:v>CH-02</x:v>
      </x:c>
      <x:c r="F86" t="str">
        <x:v>Builder B</x:v>
      </x:c>
      <x:c r="G86" t="str">
        <x:v>PTC-C</x:v>
      </x:c>
      <x:c r="H86" t="str">
        <x:v>clean control</x:v>
      </x:c>
      <x:c r="I86" t="str">
        <x:v>RB-S2</x:v>
      </x:c>
      <x:c r="J86" t="str">
        <x:v>quarter</x:v>
      </x:c>
      <x:c r="K86" s="27" t="n">
        <x:f>Controls!$D$37</x:f>
        <x:v>500</x:v>
      </x:c>
      <x:c r="L86" t="str">
        <x:v>CLEAN</x:v>
      </x:c>
      <x:c r="M86" t="n">
        <x:v>1</x:v>
      </x:c>
      <x:c r="N86" t="n">
        <x:v>0</x:v>
      </x:c>
      <x:c r="O86" t="n">
        <x:v>0</x:v>
      </x:c>
      <x:c r="P86" t="str">
        <x:f>IF(M86=1,"PASS","GAP")</x:f>
        <x:v>PASS</x:v>
      </x:c>
    </x:row>
    <x:row r="87">
      <x:c r="B87" t="str">
        <x:v>PR-RC-2-CH-03-A-B-X</x:v>
      </x:c>
      <x:c r="C87" t="str">
        <x:v>PR-RC-2-CH-03</x:v>
      </x:c>
      <x:c r="D87" t="str">
        <x:v>RC-2</x:v>
      </x:c>
      <x:c r="E87" t="str">
        <x:v>CH-03</x:v>
      </x:c>
      <x:c r="F87" t="str">
        <x:v>Builder A</x:v>
      </x:c>
      <x:c r="G87" t="str">
        <x:v>PTC-B</x:v>
      </x:c>
      <x:c r="H87" t="str">
        <x:v>challenge</x:v>
      </x:c>
      <x:c r="I87" t="str">
        <x:v>RB-S2</x:v>
      </x:c>
      <x:c r="J87" t="str">
        <x:v>quarter</x:v>
      </x:c>
      <x:c r="K87" s="27" t="n">
        <x:f>Controls!$D$37</x:f>
        <x:v>500</x:v>
      </x:c>
      <x:c r="L87" t="str">
        <x:v>CHALLENGED</x:v>
      </x:c>
      <x:c r="M87" t="n">
        <x:v>1</x:v>
      </x:c>
      <x:c r="N87" t="n">
        <x:v>0</x:v>
      </x:c>
      <x:c r="O87" t="n">
        <x:v>0</x:v>
      </x:c>
      <x:c r="P87" t="str">
        <x:f>IF(M87=1,"PASS","GAP")</x:f>
        <x:v>PASS</x:v>
      </x:c>
    </x:row>
    <x:row r="88">
      <x:c r="B88" t="str">
        <x:v>PR-RC-2-CH-03-A-B-C</x:v>
      </x:c>
      <x:c r="C88" t="str">
        <x:v>PR-RC-2-CH-03</x:v>
      </x:c>
      <x:c r="D88" t="str">
        <x:v>RC-2</x:v>
      </x:c>
      <x:c r="E88" t="str">
        <x:v>CH-03</x:v>
      </x:c>
      <x:c r="F88" t="str">
        <x:v>Builder A</x:v>
      </x:c>
      <x:c r="G88" t="str">
        <x:v>PTC-B</x:v>
      </x:c>
      <x:c r="H88" t="str">
        <x:v>clean control</x:v>
      </x:c>
      <x:c r="I88" t="str">
        <x:v>RB-S2</x:v>
      </x:c>
      <x:c r="J88" t="str">
        <x:v>quarter</x:v>
      </x:c>
      <x:c r="K88" s="27" t="n">
        <x:f>Controls!$D$37</x:f>
        <x:v>500</x:v>
      </x:c>
      <x:c r="L88" t="str">
        <x:v>CLEAN</x:v>
      </x:c>
      <x:c r="M88" t="n">
        <x:v>1</x:v>
      </x:c>
      <x:c r="N88" t="n">
        <x:v>0</x:v>
      </x:c>
      <x:c r="O88" t="n">
        <x:v>0</x:v>
      </x:c>
      <x:c r="P88" t="str">
        <x:f>IF(M88=1,"PASS","GAP")</x:f>
        <x:v>PASS</x:v>
      </x:c>
    </x:row>
    <x:row r="89">
      <x:c r="B89" t="str">
        <x:v>PR-RC-2-CH-03-A-C-X</x:v>
      </x:c>
      <x:c r="C89" t="str">
        <x:v>PR-RC-2-CH-03</x:v>
      </x:c>
      <x:c r="D89" t="str">
        <x:v>RC-2</x:v>
      </x:c>
      <x:c r="E89" t="str">
        <x:v>CH-03</x:v>
      </x:c>
      <x:c r="F89" t="str">
        <x:v>Builder A</x:v>
      </x:c>
      <x:c r="G89" t="str">
        <x:v>PTC-C</x:v>
      </x:c>
      <x:c r="H89" t="str">
        <x:v>challenge</x:v>
      </x:c>
      <x:c r="I89" t="str">
        <x:v>RB-S2</x:v>
      </x:c>
      <x:c r="J89" t="str">
        <x:v>quarter</x:v>
      </x:c>
      <x:c r="K89" s="27" t="n">
        <x:f>Controls!$D$37</x:f>
        <x:v>500</x:v>
      </x:c>
      <x:c r="L89" t="str">
        <x:v>CHALLENGED</x:v>
      </x:c>
      <x:c r="M89" t="n">
        <x:v>1</x:v>
      </x:c>
      <x:c r="N89" t="n">
        <x:v>0</x:v>
      </x:c>
      <x:c r="O89" t="n">
        <x:v>0</x:v>
      </x:c>
      <x:c r="P89" t="str">
        <x:f>IF(M89=1,"PASS","GAP")</x:f>
        <x:v>PASS</x:v>
      </x:c>
    </x:row>
    <x:row r="90">
      <x:c r="B90" t="str">
        <x:v>PR-RC-2-CH-03-A-C-C</x:v>
      </x:c>
      <x:c r="C90" t="str">
        <x:v>PR-RC-2-CH-03</x:v>
      </x:c>
      <x:c r="D90" t="str">
        <x:v>RC-2</x:v>
      </x:c>
      <x:c r="E90" t="str">
        <x:v>CH-03</x:v>
      </x:c>
      <x:c r="F90" t="str">
        <x:v>Builder A</x:v>
      </x:c>
      <x:c r="G90" t="str">
        <x:v>PTC-C</x:v>
      </x:c>
      <x:c r="H90" t="str">
        <x:v>clean control</x:v>
      </x:c>
      <x:c r="I90" t="str">
        <x:v>RB-S2</x:v>
      </x:c>
      <x:c r="J90" t="str">
        <x:v>quarter</x:v>
      </x:c>
      <x:c r="K90" s="27" t="n">
        <x:f>Controls!$D$37</x:f>
        <x:v>500</x:v>
      </x:c>
      <x:c r="L90" t="str">
        <x:v>CLEAN</x:v>
      </x:c>
      <x:c r="M90" t="n">
        <x:v>1</x:v>
      </x:c>
      <x:c r="N90" t="n">
        <x:v>0</x:v>
      </x:c>
      <x:c r="O90" t="n">
        <x:v>0</x:v>
      </x:c>
      <x:c r="P90" t="str">
        <x:f>IF(M90=1,"PASS","GAP")</x:f>
        <x:v>PASS</x:v>
      </x:c>
    </x:row>
    <x:row r="91">
      <x:c r="B91" t="str">
        <x:v>PR-RC-2-CH-03-B-B-X</x:v>
      </x:c>
      <x:c r="C91" t="str">
        <x:v>PR-RC-2-CH-03</x:v>
      </x:c>
      <x:c r="D91" t="str">
        <x:v>RC-2</x:v>
      </x:c>
      <x:c r="E91" t="str">
        <x:v>CH-03</x:v>
      </x:c>
      <x:c r="F91" t="str">
        <x:v>Builder B</x:v>
      </x:c>
      <x:c r="G91" t="str">
        <x:v>PTC-B</x:v>
      </x:c>
      <x:c r="H91" t="str">
        <x:v>challenge</x:v>
      </x:c>
      <x:c r="I91" t="str">
        <x:v>RB-S2</x:v>
      </x:c>
      <x:c r="J91" t="str">
        <x:v>quarter</x:v>
      </x:c>
      <x:c r="K91" s="27" t="n">
        <x:f>Controls!$D$37</x:f>
        <x:v>500</x:v>
      </x:c>
      <x:c r="L91" t="str">
        <x:v>CHALLENGED</x:v>
      </x:c>
      <x:c r="M91" t="n">
        <x:v>1</x:v>
      </x:c>
      <x:c r="N91" t="n">
        <x:v>0</x:v>
      </x:c>
      <x:c r="O91" t="n">
        <x:v>0</x:v>
      </x:c>
      <x:c r="P91" t="str">
        <x:f>IF(M91=1,"PASS","GAP")</x:f>
        <x:v>PASS</x:v>
      </x:c>
    </x:row>
    <x:row r="92">
      <x:c r="B92" t="str">
        <x:v>PR-RC-2-CH-03-B-B-C</x:v>
      </x:c>
      <x:c r="C92" t="str">
        <x:v>PR-RC-2-CH-03</x:v>
      </x:c>
      <x:c r="D92" t="str">
        <x:v>RC-2</x:v>
      </x:c>
      <x:c r="E92" t="str">
        <x:v>CH-03</x:v>
      </x:c>
      <x:c r="F92" t="str">
        <x:v>Builder B</x:v>
      </x:c>
      <x:c r="G92" t="str">
        <x:v>PTC-B</x:v>
      </x:c>
      <x:c r="H92" t="str">
        <x:v>clean control</x:v>
      </x:c>
      <x:c r="I92" t="str">
        <x:v>RB-S2</x:v>
      </x:c>
      <x:c r="J92" t="str">
        <x:v>quarter</x:v>
      </x:c>
      <x:c r="K92" s="27" t="n">
        <x:f>Controls!$D$37</x:f>
        <x:v>500</x:v>
      </x:c>
      <x:c r="L92" t="str">
        <x:v>CLEAN</x:v>
      </x:c>
      <x:c r="M92" t="n">
        <x:v>1</x:v>
      </x:c>
      <x:c r="N92" t="n">
        <x:v>0</x:v>
      </x:c>
      <x:c r="O92" t="n">
        <x:v>0</x:v>
      </x:c>
      <x:c r="P92" t="str">
        <x:f>IF(M92=1,"PASS","GAP")</x:f>
        <x:v>PASS</x:v>
      </x:c>
    </x:row>
    <x:row r="93">
      <x:c r="B93" t="str">
        <x:v>PR-RC-2-CH-03-B-C-X</x:v>
      </x:c>
      <x:c r="C93" t="str">
        <x:v>PR-RC-2-CH-03</x:v>
      </x:c>
      <x:c r="D93" t="str">
        <x:v>RC-2</x:v>
      </x:c>
      <x:c r="E93" t="str">
        <x:v>CH-03</x:v>
      </x:c>
      <x:c r="F93" t="str">
        <x:v>Builder B</x:v>
      </x:c>
      <x:c r="G93" t="str">
        <x:v>PTC-C</x:v>
      </x:c>
      <x:c r="H93" t="str">
        <x:v>challenge</x:v>
      </x:c>
      <x:c r="I93" t="str">
        <x:v>RB-S2</x:v>
      </x:c>
      <x:c r="J93" t="str">
        <x:v>quarter</x:v>
      </x:c>
      <x:c r="K93" s="27" t="n">
        <x:f>Controls!$D$37</x:f>
        <x:v>500</x:v>
      </x:c>
      <x:c r="L93" t="str">
        <x:v>CHALLENGED</x:v>
      </x:c>
      <x:c r="M93" t="n">
        <x:v>1</x:v>
      </x:c>
      <x:c r="N93" t="n">
        <x:v>0</x:v>
      </x:c>
      <x:c r="O93" t="n">
        <x:v>0</x:v>
      </x:c>
      <x:c r="P93" t="str">
        <x:f>IF(M93=1,"PASS","GAP")</x:f>
        <x:v>PASS</x:v>
      </x:c>
    </x:row>
    <x:row r="94">
      <x:c r="B94" t="str">
        <x:v>PR-RC-2-CH-03-B-C-C</x:v>
      </x:c>
      <x:c r="C94" t="str">
        <x:v>PR-RC-2-CH-03</x:v>
      </x:c>
      <x:c r="D94" t="str">
        <x:v>RC-2</x:v>
      </x:c>
      <x:c r="E94" t="str">
        <x:v>CH-03</x:v>
      </x:c>
      <x:c r="F94" t="str">
        <x:v>Builder B</x:v>
      </x:c>
      <x:c r="G94" t="str">
        <x:v>PTC-C</x:v>
      </x:c>
      <x:c r="H94" t="str">
        <x:v>clean control</x:v>
      </x:c>
      <x:c r="I94" t="str">
        <x:v>RB-S2</x:v>
      </x:c>
      <x:c r="J94" t="str">
        <x:v>quarter</x:v>
      </x:c>
      <x:c r="K94" s="27" t="n">
        <x:f>Controls!$D$37</x:f>
        <x:v>500</x:v>
      </x:c>
      <x:c r="L94" t="str">
        <x:v>CLEAN</x:v>
      </x:c>
      <x:c r="M94" t="n">
        <x:v>1</x:v>
      </x:c>
      <x:c r="N94" t="n">
        <x:v>0</x:v>
      </x:c>
      <x:c r="O94" t="n">
        <x:v>0</x:v>
      </x:c>
      <x:c r="P94" t="str">
        <x:f>IF(M94=1,"PASS","GAP")</x:f>
        <x:v>PASS</x:v>
      </x:c>
    </x:row>
    <x:row r="95">
      <x:c r="B95" t="str">
        <x:v>PR-RC-2-CH-04-A-B-X</x:v>
      </x:c>
      <x:c r="C95" t="str">
        <x:v>PR-RC-2-CH-04</x:v>
      </x:c>
      <x:c r="D95" t="str">
        <x:v>RC-2</x:v>
      </x:c>
      <x:c r="E95" t="str">
        <x:v>CH-04</x:v>
      </x:c>
      <x:c r="F95" t="str">
        <x:v>Builder A</x:v>
      </x:c>
      <x:c r="G95" t="str">
        <x:v>PTC-B</x:v>
      </x:c>
      <x:c r="H95" t="str">
        <x:v>challenge</x:v>
      </x:c>
      <x:c r="I95" t="str">
        <x:v>RB-S2</x:v>
      </x:c>
      <x:c r="J95" t="str">
        <x:v>quarter</x:v>
      </x:c>
      <x:c r="K95" s="27" t="n">
        <x:f>Controls!$D$37</x:f>
        <x:v>500</x:v>
      </x:c>
      <x:c r="L95" t="str">
        <x:v>CHALLENGED</x:v>
      </x:c>
      <x:c r="M95" t="n">
        <x:v>1</x:v>
      </x:c>
      <x:c r="N95" t="n">
        <x:v>0</x:v>
      </x:c>
      <x:c r="O95" t="n">
        <x:v>0</x:v>
      </x:c>
      <x:c r="P95" t="str">
        <x:f>IF(M95=1,"PASS","GAP")</x:f>
        <x:v>PASS</x:v>
      </x:c>
    </x:row>
    <x:row r="96">
      <x:c r="B96" t="str">
        <x:v>PR-RC-2-CH-04-A-B-C</x:v>
      </x:c>
      <x:c r="C96" t="str">
        <x:v>PR-RC-2-CH-04</x:v>
      </x:c>
      <x:c r="D96" t="str">
        <x:v>RC-2</x:v>
      </x:c>
      <x:c r="E96" t="str">
        <x:v>CH-04</x:v>
      </x:c>
      <x:c r="F96" t="str">
        <x:v>Builder A</x:v>
      </x:c>
      <x:c r="G96" t="str">
        <x:v>PTC-B</x:v>
      </x:c>
      <x:c r="H96" t="str">
        <x:v>clean control</x:v>
      </x:c>
      <x:c r="I96" t="str">
        <x:v>RB-S2</x:v>
      </x:c>
      <x:c r="J96" t="str">
        <x:v>quarter</x:v>
      </x:c>
      <x:c r="K96" s="27" t="n">
        <x:f>Controls!$D$37</x:f>
        <x:v>500</x:v>
      </x:c>
      <x:c r="L96" t="str">
        <x:v>CLEAN</x:v>
      </x:c>
      <x:c r="M96" t="n">
        <x:v>1</x:v>
      </x:c>
      <x:c r="N96" t="n">
        <x:v>0</x:v>
      </x:c>
      <x:c r="O96" t="n">
        <x:v>0</x:v>
      </x:c>
      <x:c r="P96" t="str">
        <x:f>IF(M96=1,"PASS","GAP")</x:f>
        <x:v>PASS</x:v>
      </x:c>
    </x:row>
    <x:row r="97">
      <x:c r="B97" t="str">
        <x:v>PR-RC-2-CH-04-A-C-X</x:v>
      </x:c>
      <x:c r="C97" t="str">
        <x:v>PR-RC-2-CH-04</x:v>
      </x:c>
      <x:c r="D97" t="str">
        <x:v>RC-2</x:v>
      </x:c>
      <x:c r="E97" t="str">
        <x:v>CH-04</x:v>
      </x:c>
      <x:c r="F97" t="str">
        <x:v>Builder A</x:v>
      </x:c>
      <x:c r="G97" t="str">
        <x:v>PTC-C</x:v>
      </x:c>
      <x:c r="H97" t="str">
        <x:v>challenge</x:v>
      </x:c>
      <x:c r="I97" t="str">
        <x:v>RB-S2</x:v>
      </x:c>
      <x:c r="J97" t="str">
        <x:v>quarter</x:v>
      </x:c>
      <x:c r="K97" s="27" t="n">
        <x:f>Controls!$D$37</x:f>
        <x:v>500</x:v>
      </x:c>
      <x:c r="L97" t="str">
        <x:v>CHALLENGED</x:v>
      </x:c>
      <x:c r="M97" t="n">
        <x:v>1</x:v>
      </x:c>
      <x:c r="N97" t="n">
        <x:v>0</x:v>
      </x:c>
      <x:c r="O97" t="n">
        <x:v>0</x:v>
      </x:c>
      <x:c r="P97" t="str">
        <x:f>IF(M97=1,"PASS","GAP")</x:f>
        <x:v>PASS</x:v>
      </x:c>
    </x:row>
    <x:row r="98">
      <x:c r="B98" t="str">
        <x:v>PR-RC-2-CH-04-A-C-C</x:v>
      </x:c>
      <x:c r="C98" t="str">
        <x:v>PR-RC-2-CH-04</x:v>
      </x:c>
      <x:c r="D98" t="str">
        <x:v>RC-2</x:v>
      </x:c>
      <x:c r="E98" t="str">
        <x:v>CH-04</x:v>
      </x:c>
      <x:c r="F98" t="str">
        <x:v>Builder A</x:v>
      </x:c>
      <x:c r="G98" t="str">
        <x:v>PTC-C</x:v>
      </x:c>
      <x:c r="H98" t="str">
        <x:v>clean control</x:v>
      </x:c>
      <x:c r="I98" t="str">
        <x:v>RB-S2</x:v>
      </x:c>
      <x:c r="J98" t="str">
        <x:v>quarter</x:v>
      </x:c>
      <x:c r="K98" s="27" t="n">
        <x:f>Controls!$D$37</x:f>
        <x:v>500</x:v>
      </x:c>
      <x:c r="L98" t="str">
        <x:v>CLEAN</x:v>
      </x:c>
      <x:c r="M98" t="n">
        <x:v>1</x:v>
      </x:c>
      <x:c r="N98" t="n">
        <x:v>0</x:v>
      </x:c>
      <x:c r="O98" t="n">
        <x:v>0</x:v>
      </x:c>
      <x:c r="P98" t="str">
        <x:f>IF(M98=1,"PASS","GAP")</x:f>
        <x:v>PASS</x:v>
      </x:c>
    </x:row>
    <x:row r="99">
      <x:c r="B99" t="str">
        <x:v>PR-RC-2-CH-04-B-B-X</x:v>
      </x:c>
      <x:c r="C99" t="str">
        <x:v>PR-RC-2-CH-04</x:v>
      </x:c>
      <x:c r="D99" t="str">
        <x:v>RC-2</x:v>
      </x:c>
      <x:c r="E99" t="str">
        <x:v>CH-04</x:v>
      </x:c>
      <x:c r="F99" t="str">
        <x:v>Builder B</x:v>
      </x:c>
      <x:c r="G99" t="str">
        <x:v>PTC-B</x:v>
      </x:c>
      <x:c r="H99" t="str">
        <x:v>challenge</x:v>
      </x:c>
      <x:c r="I99" t="str">
        <x:v>RB-S2</x:v>
      </x:c>
      <x:c r="J99" t="str">
        <x:v>quarter</x:v>
      </x:c>
      <x:c r="K99" s="27" t="n">
        <x:f>Controls!$D$37</x:f>
        <x:v>500</x:v>
      </x:c>
      <x:c r="L99" t="str">
        <x:v>CHALLENGED</x:v>
      </x:c>
      <x:c r="M99" t="n">
        <x:v>1</x:v>
      </x:c>
      <x:c r="N99" t="n">
        <x:v>0</x:v>
      </x:c>
      <x:c r="O99" t="n">
        <x:v>0</x:v>
      </x:c>
      <x:c r="P99" t="str">
        <x:f>IF(M99=1,"PASS","GAP")</x:f>
        <x:v>PASS</x:v>
      </x:c>
    </x:row>
    <x:row r="100">
      <x:c r="B100" t="str">
        <x:v>PR-RC-2-CH-04-B-B-C</x:v>
      </x:c>
      <x:c r="C100" t="str">
        <x:v>PR-RC-2-CH-04</x:v>
      </x:c>
      <x:c r="D100" t="str">
        <x:v>RC-2</x:v>
      </x:c>
      <x:c r="E100" t="str">
        <x:v>CH-04</x:v>
      </x:c>
      <x:c r="F100" t="str">
        <x:v>Builder B</x:v>
      </x:c>
      <x:c r="G100" t="str">
        <x:v>PTC-B</x:v>
      </x:c>
      <x:c r="H100" t="str">
        <x:v>clean control</x:v>
      </x:c>
      <x:c r="I100" t="str">
        <x:v>RB-S2</x:v>
      </x:c>
      <x:c r="J100" t="str">
        <x:v>quarter</x:v>
      </x:c>
      <x:c r="K100" s="27" t="n">
        <x:f>Controls!$D$37</x:f>
        <x:v>500</x:v>
      </x:c>
      <x:c r="L100" t="str">
        <x:v>CLEAN</x:v>
      </x:c>
      <x:c r="M100" t="n">
        <x:v>1</x:v>
      </x:c>
      <x:c r="N100" t="n">
        <x:v>0</x:v>
      </x:c>
      <x:c r="O100" t="n">
        <x:v>0</x:v>
      </x:c>
      <x:c r="P100" t="str">
        <x:f>IF(M100=1,"PASS","GAP")</x:f>
        <x:v>PASS</x:v>
      </x:c>
    </x:row>
    <x:row r="101">
      <x:c r="B101" t="str">
        <x:v>PR-RC-2-CH-04-B-C-X</x:v>
      </x:c>
      <x:c r="C101" t="str">
        <x:v>PR-RC-2-CH-04</x:v>
      </x:c>
      <x:c r="D101" t="str">
        <x:v>RC-2</x:v>
      </x:c>
      <x:c r="E101" t="str">
        <x:v>CH-04</x:v>
      </x:c>
      <x:c r="F101" t="str">
        <x:v>Builder B</x:v>
      </x:c>
      <x:c r="G101" t="str">
        <x:v>PTC-C</x:v>
      </x:c>
      <x:c r="H101" t="str">
        <x:v>challenge</x:v>
      </x:c>
      <x:c r="I101" t="str">
        <x:v>RB-S2</x:v>
      </x:c>
      <x:c r="J101" t="str">
        <x:v>quarter</x:v>
      </x:c>
      <x:c r="K101" s="27" t="n">
        <x:f>Controls!$D$37</x:f>
        <x:v>500</x:v>
      </x:c>
      <x:c r="L101" t="str">
        <x:v>CHALLENGED</x:v>
      </x:c>
      <x:c r="M101" t="n">
        <x:v>1</x:v>
      </x:c>
      <x:c r="N101" t="n">
        <x:v>0</x:v>
      </x:c>
      <x:c r="O101" t="n">
        <x:v>0</x:v>
      </x:c>
      <x:c r="P101" t="str">
        <x:f>IF(M101=1,"PASS","GAP")</x:f>
        <x:v>PASS</x:v>
      </x:c>
    </x:row>
    <x:row r="102">
      <x:c r="B102" t="str">
        <x:v>PR-RC-2-CH-04-B-C-C</x:v>
      </x:c>
      <x:c r="C102" t="str">
        <x:v>PR-RC-2-CH-04</x:v>
      </x:c>
      <x:c r="D102" t="str">
        <x:v>RC-2</x:v>
      </x:c>
      <x:c r="E102" t="str">
        <x:v>CH-04</x:v>
      </x:c>
      <x:c r="F102" t="str">
        <x:v>Builder B</x:v>
      </x:c>
      <x:c r="G102" t="str">
        <x:v>PTC-C</x:v>
      </x:c>
      <x:c r="H102" t="str">
        <x:v>clean control</x:v>
      </x:c>
      <x:c r="I102" t="str">
        <x:v>RB-S2</x:v>
      </x:c>
      <x:c r="J102" t="str">
        <x:v>quarter</x:v>
      </x:c>
      <x:c r="K102" s="27" t="n">
        <x:f>Controls!$D$37</x:f>
        <x:v>500</x:v>
      </x:c>
      <x:c r="L102" t="str">
        <x:v>CLEAN</x:v>
      </x:c>
      <x:c r="M102" t="n">
        <x:v>1</x:v>
      </x:c>
      <x:c r="N102" t="n">
        <x:v>0</x:v>
      </x:c>
      <x:c r="O102" t="n">
        <x:v>0</x:v>
      </x:c>
      <x:c r="P102" t="str">
        <x:f>IF(M102=1,"PASS","GAP")</x:f>
        <x:v>PASS</x:v>
      </x:c>
    </x:row>
    <x:row r="103">
      <x:c r="B103" t="str">
        <x:v>PR-RC-2-CH-05-A-B-X</x:v>
      </x:c>
      <x:c r="C103" t="str">
        <x:v>PR-RC-2-CH-05</x:v>
      </x:c>
      <x:c r="D103" t="str">
        <x:v>RC-2</x:v>
      </x:c>
      <x:c r="E103" t="str">
        <x:v>CH-05</x:v>
      </x:c>
      <x:c r="F103" t="str">
        <x:v>Builder A</x:v>
      </x:c>
      <x:c r="G103" t="str">
        <x:v>PTC-B</x:v>
      </x:c>
      <x:c r="H103" t="str">
        <x:v>challenge</x:v>
      </x:c>
      <x:c r="I103" t="str">
        <x:v>RB-S3</x:v>
      </x:c>
      <x:c r="J103" t="str">
        <x:v>full</x:v>
      </x:c>
      <x:c r="K103" s="27" t="n">
        <x:f>Controls!$D$38</x:f>
        <x:v>2000</x:v>
      </x:c>
      <x:c r="L103" t="str">
        <x:v>CHALLENGED</x:v>
      </x:c>
      <x:c r="M103" t="n">
        <x:v>1</x:v>
      </x:c>
      <x:c r="N103" t="n">
        <x:v>0</x:v>
      </x:c>
      <x:c r="O103" t="n">
        <x:v>0</x:v>
      </x:c>
      <x:c r="P103" t="str">
        <x:f>IF(M103=1,"PASS","GAP")</x:f>
        <x:v>PASS</x:v>
      </x:c>
    </x:row>
    <x:row r="104">
      <x:c r="B104" t="str">
        <x:v>PR-RC-2-CH-05-A-B-C</x:v>
      </x:c>
      <x:c r="C104" t="str">
        <x:v>PR-RC-2-CH-05</x:v>
      </x:c>
      <x:c r="D104" t="str">
        <x:v>RC-2</x:v>
      </x:c>
      <x:c r="E104" t="str">
        <x:v>CH-05</x:v>
      </x:c>
      <x:c r="F104" t="str">
        <x:v>Builder A</x:v>
      </x:c>
      <x:c r="G104" t="str">
        <x:v>PTC-B</x:v>
      </x:c>
      <x:c r="H104" t="str">
        <x:v>clean control</x:v>
      </x:c>
      <x:c r="I104" t="str">
        <x:v>RB-S3</x:v>
      </x:c>
      <x:c r="J104" t="str">
        <x:v>full</x:v>
      </x:c>
      <x:c r="K104" s="27" t="n">
        <x:f>Controls!$D$38</x:f>
        <x:v>2000</x:v>
      </x:c>
      <x:c r="L104" t="str">
        <x:v>CLEAN</x:v>
      </x:c>
      <x:c r="M104" t="n">
        <x:v>1</x:v>
      </x:c>
      <x:c r="N104" t="n">
        <x:v>0</x:v>
      </x:c>
      <x:c r="O104" t="n">
        <x:v>0</x:v>
      </x:c>
      <x:c r="P104" t="str">
        <x:f>IF(M104=1,"PASS","GAP")</x:f>
        <x:v>PASS</x:v>
      </x:c>
    </x:row>
    <x:row r="105">
      <x:c r="B105" t="str">
        <x:v>PR-RC-2-CH-05-A-C-X</x:v>
      </x:c>
      <x:c r="C105" t="str">
        <x:v>PR-RC-2-CH-05</x:v>
      </x:c>
      <x:c r="D105" t="str">
        <x:v>RC-2</x:v>
      </x:c>
      <x:c r="E105" t="str">
        <x:v>CH-05</x:v>
      </x:c>
      <x:c r="F105" t="str">
        <x:v>Builder A</x:v>
      </x:c>
      <x:c r="G105" t="str">
        <x:v>PTC-C</x:v>
      </x:c>
      <x:c r="H105" t="str">
        <x:v>challenge</x:v>
      </x:c>
      <x:c r="I105" t="str">
        <x:v>RB-S3</x:v>
      </x:c>
      <x:c r="J105" t="str">
        <x:v>full</x:v>
      </x:c>
      <x:c r="K105" s="27" t="n">
        <x:f>Controls!$D$38</x:f>
        <x:v>2000</x:v>
      </x:c>
      <x:c r="L105" t="str">
        <x:v>CHALLENGED</x:v>
      </x:c>
      <x:c r="M105" t="n">
        <x:v>1</x:v>
      </x:c>
      <x:c r="N105" t="n">
        <x:v>0</x:v>
      </x:c>
      <x:c r="O105" t="n">
        <x:v>0</x:v>
      </x:c>
      <x:c r="P105" t="str">
        <x:f>IF(M105=1,"PASS","GAP")</x:f>
        <x:v>PASS</x:v>
      </x:c>
    </x:row>
    <x:row r="106">
      <x:c r="B106" t="str">
        <x:v>PR-RC-2-CH-05-A-C-C</x:v>
      </x:c>
      <x:c r="C106" t="str">
        <x:v>PR-RC-2-CH-05</x:v>
      </x:c>
      <x:c r="D106" t="str">
        <x:v>RC-2</x:v>
      </x:c>
      <x:c r="E106" t="str">
        <x:v>CH-05</x:v>
      </x:c>
      <x:c r="F106" t="str">
        <x:v>Builder A</x:v>
      </x:c>
      <x:c r="G106" t="str">
        <x:v>PTC-C</x:v>
      </x:c>
      <x:c r="H106" t="str">
        <x:v>clean control</x:v>
      </x:c>
      <x:c r="I106" t="str">
        <x:v>RB-S3</x:v>
      </x:c>
      <x:c r="J106" t="str">
        <x:v>full</x:v>
      </x:c>
      <x:c r="K106" s="27" t="n">
        <x:f>Controls!$D$38</x:f>
        <x:v>2000</x:v>
      </x:c>
      <x:c r="L106" t="str">
        <x:v>CLEAN</x:v>
      </x:c>
      <x:c r="M106" t="n">
        <x:v>1</x:v>
      </x:c>
      <x:c r="N106" t="n">
        <x:v>0</x:v>
      </x:c>
      <x:c r="O106" t="n">
        <x:v>0</x:v>
      </x:c>
      <x:c r="P106" t="str">
        <x:f>IF(M106=1,"PASS","GAP")</x:f>
        <x:v>PASS</x:v>
      </x:c>
    </x:row>
    <x:row r="107">
      <x:c r="B107" t="str">
        <x:v>PR-RC-2-CH-05-B-B-X</x:v>
      </x:c>
      <x:c r="C107" t="str">
        <x:v>PR-RC-2-CH-05</x:v>
      </x:c>
      <x:c r="D107" t="str">
        <x:v>RC-2</x:v>
      </x:c>
      <x:c r="E107" t="str">
        <x:v>CH-05</x:v>
      </x:c>
      <x:c r="F107" t="str">
        <x:v>Builder B</x:v>
      </x:c>
      <x:c r="G107" t="str">
        <x:v>PTC-B</x:v>
      </x:c>
      <x:c r="H107" t="str">
        <x:v>challenge</x:v>
      </x:c>
      <x:c r="I107" t="str">
        <x:v>RB-S3</x:v>
      </x:c>
      <x:c r="J107" t="str">
        <x:v>full</x:v>
      </x:c>
      <x:c r="K107" s="27" t="n">
        <x:f>Controls!$D$38</x:f>
        <x:v>2000</x:v>
      </x:c>
      <x:c r="L107" t="str">
        <x:v>CHALLENGED</x:v>
      </x:c>
      <x:c r="M107" t="n">
        <x:v>1</x:v>
      </x:c>
      <x:c r="N107" t="n">
        <x:v>0</x:v>
      </x:c>
      <x:c r="O107" t="n">
        <x:v>0</x:v>
      </x:c>
      <x:c r="P107" t="str">
        <x:f>IF(M107=1,"PASS","GAP")</x:f>
        <x:v>PASS</x:v>
      </x:c>
    </x:row>
    <x:row r="108">
      <x:c r="B108" t="str">
        <x:v>PR-RC-2-CH-05-B-B-C</x:v>
      </x:c>
      <x:c r="C108" t="str">
        <x:v>PR-RC-2-CH-05</x:v>
      </x:c>
      <x:c r="D108" t="str">
        <x:v>RC-2</x:v>
      </x:c>
      <x:c r="E108" t="str">
        <x:v>CH-05</x:v>
      </x:c>
      <x:c r="F108" t="str">
        <x:v>Builder B</x:v>
      </x:c>
      <x:c r="G108" t="str">
        <x:v>PTC-B</x:v>
      </x:c>
      <x:c r="H108" t="str">
        <x:v>clean control</x:v>
      </x:c>
      <x:c r="I108" t="str">
        <x:v>RB-S3</x:v>
      </x:c>
      <x:c r="J108" t="str">
        <x:v>full</x:v>
      </x:c>
      <x:c r="K108" s="27" t="n">
        <x:f>Controls!$D$38</x:f>
        <x:v>2000</x:v>
      </x:c>
      <x:c r="L108" t="str">
        <x:v>CLEAN</x:v>
      </x:c>
      <x:c r="M108" t="n">
        <x:v>1</x:v>
      </x:c>
      <x:c r="N108" t="n">
        <x:v>0</x:v>
      </x:c>
      <x:c r="O108" t="n">
        <x:v>0</x:v>
      </x:c>
      <x:c r="P108" t="str">
        <x:f>IF(M108=1,"PASS","GAP")</x:f>
        <x:v>PASS</x:v>
      </x:c>
    </x:row>
    <x:row r="109">
      <x:c r="B109" t="str">
        <x:v>PR-RC-2-CH-05-B-C-X</x:v>
      </x:c>
      <x:c r="C109" t="str">
        <x:v>PR-RC-2-CH-05</x:v>
      </x:c>
      <x:c r="D109" t="str">
        <x:v>RC-2</x:v>
      </x:c>
      <x:c r="E109" t="str">
        <x:v>CH-05</x:v>
      </x:c>
      <x:c r="F109" t="str">
        <x:v>Builder B</x:v>
      </x:c>
      <x:c r="G109" t="str">
        <x:v>PTC-C</x:v>
      </x:c>
      <x:c r="H109" t="str">
        <x:v>challenge</x:v>
      </x:c>
      <x:c r="I109" t="str">
        <x:v>RB-S3</x:v>
      </x:c>
      <x:c r="J109" t="str">
        <x:v>full</x:v>
      </x:c>
      <x:c r="K109" s="27" t="n">
        <x:f>Controls!$D$38</x:f>
        <x:v>2000</x:v>
      </x:c>
      <x:c r="L109" t="str">
        <x:v>CHALLENGED</x:v>
      </x:c>
      <x:c r="M109" t="n">
        <x:v>1</x:v>
      </x:c>
      <x:c r="N109" t="n">
        <x:v>0</x:v>
      </x:c>
      <x:c r="O109" t="n">
        <x:v>0</x:v>
      </x:c>
      <x:c r="P109" t="str">
        <x:f>IF(M109=1,"PASS","GAP")</x:f>
        <x:v>PASS</x:v>
      </x:c>
    </x:row>
    <x:row r="110">
      <x:c r="B110" t="str">
        <x:v>PR-RC-2-CH-05-B-C-C</x:v>
      </x:c>
      <x:c r="C110" t="str">
        <x:v>PR-RC-2-CH-05</x:v>
      </x:c>
      <x:c r="D110" t="str">
        <x:v>RC-2</x:v>
      </x:c>
      <x:c r="E110" t="str">
        <x:v>CH-05</x:v>
      </x:c>
      <x:c r="F110" t="str">
        <x:v>Builder B</x:v>
      </x:c>
      <x:c r="G110" t="str">
        <x:v>PTC-C</x:v>
      </x:c>
      <x:c r="H110" t="str">
        <x:v>clean control</x:v>
      </x:c>
      <x:c r="I110" t="str">
        <x:v>RB-S3</x:v>
      </x:c>
      <x:c r="J110" t="str">
        <x:v>full</x:v>
      </x:c>
      <x:c r="K110" s="27" t="n">
        <x:f>Controls!$D$38</x:f>
        <x:v>2000</x:v>
      </x:c>
      <x:c r="L110" t="str">
        <x:v>CLEAN</x:v>
      </x:c>
      <x:c r="M110" t="n">
        <x:v>1</x:v>
      </x:c>
      <x:c r="N110" t="n">
        <x:v>0</x:v>
      </x:c>
      <x:c r="O110" t="n">
        <x:v>0</x:v>
      </x:c>
      <x:c r="P110" t="str">
        <x:f>IF(M110=1,"PASS","GAP")</x:f>
        <x:v>PASS</x:v>
      </x:c>
    </x:row>
    <x:row r="111">
      <x:c r="B111" t="str">
        <x:v>PR-RC-2-CH-06-A-B-X</x:v>
      </x:c>
      <x:c r="C111" t="str">
        <x:v>PR-RC-2-CH-06</x:v>
      </x:c>
      <x:c r="D111" t="str">
        <x:v>RC-2</x:v>
      </x:c>
      <x:c r="E111" t="str">
        <x:v>CH-06</x:v>
      </x:c>
      <x:c r="F111" t="str">
        <x:v>Builder A</x:v>
      </x:c>
      <x:c r="G111" t="str">
        <x:v>PTC-B</x:v>
      </x:c>
      <x:c r="H111" t="str">
        <x:v>challenge</x:v>
      </x:c>
      <x:c r="I111" t="str">
        <x:v>RB-S4</x:v>
      </x:c>
      <x:c r="J111" t="str">
        <x:v>full</x:v>
      </x:c>
      <x:c r="K111" s="27" t="n">
        <x:f>Controls!$D$38</x:f>
        <x:v>2000</x:v>
      </x:c>
      <x:c r="L111" t="str">
        <x:v>CHALLENGED</x:v>
      </x:c>
      <x:c r="M111" t="n">
        <x:v>1</x:v>
      </x:c>
      <x:c r="N111" t="n">
        <x:v>0</x:v>
      </x:c>
      <x:c r="O111" t="n">
        <x:v>0</x:v>
      </x:c>
      <x:c r="P111" t="str">
        <x:f>IF(M111=1,"PASS","GAP")</x:f>
        <x:v>PASS</x:v>
      </x:c>
    </x:row>
    <x:row r="112">
      <x:c r="B112" t="str">
        <x:v>PR-RC-2-CH-06-A-B-C</x:v>
      </x:c>
      <x:c r="C112" t="str">
        <x:v>PR-RC-2-CH-06</x:v>
      </x:c>
      <x:c r="D112" t="str">
        <x:v>RC-2</x:v>
      </x:c>
      <x:c r="E112" t="str">
        <x:v>CH-06</x:v>
      </x:c>
      <x:c r="F112" t="str">
        <x:v>Builder A</x:v>
      </x:c>
      <x:c r="G112" t="str">
        <x:v>PTC-B</x:v>
      </x:c>
      <x:c r="H112" t="str">
        <x:v>clean control</x:v>
      </x:c>
      <x:c r="I112" t="str">
        <x:v>RB-S4</x:v>
      </x:c>
      <x:c r="J112" t="str">
        <x:v>full</x:v>
      </x:c>
      <x:c r="K112" s="27" t="n">
        <x:f>Controls!$D$38</x:f>
        <x:v>2000</x:v>
      </x:c>
      <x:c r="L112" t="str">
        <x:v>CLEAN</x:v>
      </x:c>
      <x:c r="M112" t="n">
        <x:v>1</x:v>
      </x:c>
      <x:c r="N112" t="n">
        <x:v>0</x:v>
      </x:c>
      <x:c r="O112" t="n">
        <x:v>0</x:v>
      </x:c>
      <x:c r="P112" t="str">
        <x:f>IF(M112=1,"PASS","GAP")</x:f>
        <x:v>PASS</x:v>
      </x:c>
    </x:row>
    <x:row r="113">
      <x:c r="B113" t="str">
        <x:v>PR-RC-2-CH-06-A-C-X</x:v>
      </x:c>
      <x:c r="C113" t="str">
        <x:v>PR-RC-2-CH-06</x:v>
      </x:c>
      <x:c r="D113" t="str">
        <x:v>RC-2</x:v>
      </x:c>
      <x:c r="E113" t="str">
        <x:v>CH-06</x:v>
      </x:c>
      <x:c r="F113" t="str">
        <x:v>Builder A</x:v>
      </x:c>
      <x:c r="G113" t="str">
        <x:v>PTC-C</x:v>
      </x:c>
      <x:c r="H113" t="str">
        <x:v>challenge</x:v>
      </x:c>
      <x:c r="I113" t="str">
        <x:v>RB-S4</x:v>
      </x:c>
      <x:c r="J113" t="str">
        <x:v>full</x:v>
      </x:c>
      <x:c r="K113" s="27" t="n">
        <x:f>Controls!$D$38</x:f>
        <x:v>2000</x:v>
      </x:c>
      <x:c r="L113" t="str">
        <x:v>CHALLENGED</x:v>
      </x:c>
      <x:c r="M113" t="n">
        <x:v>1</x:v>
      </x:c>
      <x:c r="N113" t="n">
        <x:v>0</x:v>
      </x:c>
      <x:c r="O113" t="n">
        <x:v>0</x:v>
      </x:c>
      <x:c r="P113" t="str">
        <x:f>IF(M113=1,"PASS","GAP")</x:f>
        <x:v>PASS</x:v>
      </x:c>
    </x:row>
    <x:row r="114">
      <x:c r="B114" t="str">
        <x:v>PR-RC-2-CH-06-A-C-C</x:v>
      </x:c>
      <x:c r="C114" t="str">
        <x:v>PR-RC-2-CH-06</x:v>
      </x:c>
      <x:c r="D114" t="str">
        <x:v>RC-2</x:v>
      </x:c>
      <x:c r="E114" t="str">
        <x:v>CH-06</x:v>
      </x:c>
      <x:c r="F114" t="str">
        <x:v>Builder A</x:v>
      </x:c>
      <x:c r="G114" t="str">
        <x:v>PTC-C</x:v>
      </x:c>
      <x:c r="H114" t="str">
        <x:v>clean control</x:v>
      </x:c>
      <x:c r="I114" t="str">
        <x:v>RB-S4</x:v>
      </x:c>
      <x:c r="J114" t="str">
        <x:v>full</x:v>
      </x:c>
      <x:c r="K114" s="27" t="n">
        <x:f>Controls!$D$38</x:f>
        <x:v>2000</x:v>
      </x:c>
      <x:c r="L114" t="str">
        <x:v>CLEAN</x:v>
      </x:c>
      <x:c r="M114" t="n">
        <x:v>1</x:v>
      </x:c>
      <x:c r="N114" t="n">
        <x:v>0</x:v>
      </x:c>
      <x:c r="O114" t="n">
        <x:v>0</x:v>
      </x:c>
      <x:c r="P114" t="str">
        <x:f>IF(M114=1,"PASS","GAP")</x:f>
        <x:v>PASS</x:v>
      </x:c>
    </x:row>
    <x:row r="115">
      <x:c r="B115" t="str">
        <x:v>PR-RC-2-CH-06-B-B-X</x:v>
      </x:c>
      <x:c r="C115" t="str">
        <x:v>PR-RC-2-CH-06</x:v>
      </x:c>
      <x:c r="D115" t="str">
        <x:v>RC-2</x:v>
      </x:c>
      <x:c r="E115" t="str">
        <x:v>CH-06</x:v>
      </x:c>
      <x:c r="F115" t="str">
        <x:v>Builder B</x:v>
      </x:c>
      <x:c r="G115" t="str">
        <x:v>PTC-B</x:v>
      </x:c>
      <x:c r="H115" t="str">
        <x:v>challenge</x:v>
      </x:c>
      <x:c r="I115" t="str">
        <x:v>RB-S4</x:v>
      </x:c>
      <x:c r="J115" t="str">
        <x:v>full</x:v>
      </x:c>
      <x:c r="K115" s="27" t="n">
        <x:f>Controls!$D$38</x:f>
        <x:v>2000</x:v>
      </x:c>
      <x:c r="L115" t="str">
        <x:v>CHALLENGED</x:v>
      </x:c>
      <x:c r="M115" t="n">
        <x:v>1</x:v>
      </x:c>
      <x:c r="N115" t="n">
        <x:v>0</x:v>
      </x:c>
      <x:c r="O115" t="n">
        <x:v>0</x:v>
      </x:c>
      <x:c r="P115" t="str">
        <x:f>IF(M115=1,"PASS","GAP")</x:f>
        <x:v>PASS</x:v>
      </x:c>
    </x:row>
    <x:row r="116">
      <x:c r="B116" t="str">
        <x:v>PR-RC-2-CH-06-B-B-C</x:v>
      </x:c>
      <x:c r="C116" t="str">
        <x:v>PR-RC-2-CH-06</x:v>
      </x:c>
      <x:c r="D116" t="str">
        <x:v>RC-2</x:v>
      </x:c>
      <x:c r="E116" t="str">
        <x:v>CH-06</x:v>
      </x:c>
      <x:c r="F116" t="str">
        <x:v>Builder B</x:v>
      </x:c>
      <x:c r="G116" t="str">
        <x:v>PTC-B</x:v>
      </x:c>
      <x:c r="H116" t="str">
        <x:v>clean control</x:v>
      </x:c>
      <x:c r="I116" t="str">
        <x:v>RB-S4</x:v>
      </x:c>
      <x:c r="J116" t="str">
        <x:v>full</x:v>
      </x:c>
      <x:c r="K116" s="27" t="n">
        <x:f>Controls!$D$38</x:f>
        <x:v>2000</x:v>
      </x:c>
      <x:c r="L116" t="str">
        <x:v>CLEAN</x:v>
      </x:c>
      <x:c r="M116" t="n">
        <x:v>1</x:v>
      </x:c>
      <x:c r="N116" t="n">
        <x:v>0</x:v>
      </x:c>
      <x:c r="O116" t="n">
        <x:v>0</x:v>
      </x:c>
      <x:c r="P116" t="str">
        <x:f>IF(M116=1,"PASS","GAP")</x:f>
        <x:v>PASS</x:v>
      </x:c>
    </x:row>
    <x:row r="117">
      <x:c r="B117" t="str">
        <x:v>PR-RC-2-CH-06-B-C-X</x:v>
      </x:c>
      <x:c r="C117" t="str">
        <x:v>PR-RC-2-CH-06</x:v>
      </x:c>
      <x:c r="D117" t="str">
        <x:v>RC-2</x:v>
      </x:c>
      <x:c r="E117" t="str">
        <x:v>CH-06</x:v>
      </x:c>
      <x:c r="F117" t="str">
        <x:v>Builder B</x:v>
      </x:c>
      <x:c r="G117" t="str">
        <x:v>PTC-C</x:v>
      </x:c>
      <x:c r="H117" t="str">
        <x:v>challenge</x:v>
      </x:c>
      <x:c r="I117" t="str">
        <x:v>RB-S4</x:v>
      </x:c>
      <x:c r="J117" t="str">
        <x:v>full</x:v>
      </x:c>
      <x:c r="K117" s="27" t="n">
        <x:f>Controls!$D$38</x:f>
        <x:v>2000</x:v>
      </x:c>
      <x:c r="L117" t="str">
        <x:v>CHALLENGED</x:v>
      </x:c>
      <x:c r="M117" t="n">
        <x:v>1</x:v>
      </x:c>
      <x:c r="N117" t="n">
        <x:v>0</x:v>
      </x:c>
      <x:c r="O117" t="n">
        <x:v>0</x:v>
      </x:c>
      <x:c r="P117" t="str">
        <x:f>IF(M117=1,"PASS","GAP")</x:f>
        <x:v>PASS</x:v>
      </x:c>
    </x:row>
    <x:row r="118">
      <x:c r="B118" t="str">
        <x:v>PR-RC-2-CH-06-B-C-C</x:v>
      </x:c>
      <x:c r="C118" t="str">
        <x:v>PR-RC-2-CH-06</x:v>
      </x:c>
      <x:c r="D118" t="str">
        <x:v>RC-2</x:v>
      </x:c>
      <x:c r="E118" t="str">
        <x:v>CH-06</x:v>
      </x:c>
      <x:c r="F118" t="str">
        <x:v>Builder B</x:v>
      </x:c>
      <x:c r="G118" t="str">
        <x:v>PTC-C</x:v>
      </x:c>
      <x:c r="H118" t="str">
        <x:v>clean control</x:v>
      </x:c>
      <x:c r="I118" t="str">
        <x:v>RB-S4</x:v>
      </x:c>
      <x:c r="J118" t="str">
        <x:v>full</x:v>
      </x:c>
      <x:c r="K118" s="27" t="n">
        <x:f>Controls!$D$38</x:f>
        <x:v>2000</x:v>
      </x:c>
      <x:c r="L118" t="str">
        <x:v>CLEAN</x:v>
      </x:c>
      <x:c r="M118" t="n">
        <x:v>1</x:v>
      </x:c>
      <x:c r="N118" t="n">
        <x:v>0</x:v>
      </x:c>
      <x:c r="O118" t="n">
        <x:v>0</x:v>
      </x:c>
      <x:c r="P118" t="str">
        <x:f>IF(M118=1,"PASS","GAP")</x:f>
        <x:v>PASS</x:v>
      </x:c>
    </x:row>
    <x:row r="119">
      <x:c r="B119" t="str">
        <x:v>PR-RC-2-CH-07-A-B-X</x:v>
      </x:c>
      <x:c r="C119" t="str">
        <x:v>PR-RC-2-CH-07</x:v>
      </x:c>
      <x:c r="D119" t="str">
        <x:v>RC-2</x:v>
      </x:c>
      <x:c r="E119" t="str">
        <x:v>CH-07</x:v>
      </x:c>
      <x:c r="F119" t="str">
        <x:v>Builder A</x:v>
      </x:c>
      <x:c r="G119" t="str">
        <x:v>PTC-B</x:v>
      </x:c>
      <x:c r="H119" t="str">
        <x:v>challenge</x:v>
      </x:c>
      <x:c r="I119" t="str">
        <x:v>RB-S3</x:v>
      </x:c>
      <x:c r="J119" t="str">
        <x:v>full</x:v>
      </x:c>
      <x:c r="K119" s="27" t="n">
        <x:f>Controls!$D$38</x:f>
        <x:v>2000</x:v>
      </x:c>
      <x:c r="L119" t="str">
        <x:v>CHALLENGED</x:v>
      </x:c>
      <x:c r="M119" t="n">
        <x:v>1</x:v>
      </x:c>
      <x:c r="N119" t="n">
        <x:v>0</x:v>
      </x:c>
      <x:c r="O119" t="n">
        <x:v>0</x:v>
      </x:c>
      <x:c r="P119" t="str">
        <x:f>IF(M119=1,"PASS","GAP")</x:f>
        <x:v>PASS</x:v>
      </x:c>
    </x:row>
    <x:row r="120">
      <x:c r="B120" t="str">
        <x:v>PR-RC-2-CH-07-A-B-C</x:v>
      </x:c>
      <x:c r="C120" t="str">
        <x:v>PR-RC-2-CH-07</x:v>
      </x:c>
      <x:c r="D120" t="str">
        <x:v>RC-2</x:v>
      </x:c>
      <x:c r="E120" t="str">
        <x:v>CH-07</x:v>
      </x:c>
      <x:c r="F120" t="str">
        <x:v>Builder A</x:v>
      </x:c>
      <x:c r="G120" t="str">
        <x:v>PTC-B</x:v>
      </x:c>
      <x:c r="H120" t="str">
        <x:v>clean control</x:v>
      </x:c>
      <x:c r="I120" t="str">
        <x:v>RB-S3</x:v>
      </x:c>
      <x:c r="J120" t="str">
        <x:v>full</x:v>
      </x:c>
      <x:c r="K120" s="27" t="n">
        <x:f>Controls!$D$38</x:f>
        <x:v>2000</x:v>
      </x:c>
      <x:c r="L120" t="str">
        <x:v>CLEAN</x:v>
      </x:c>
      <x:c r="M120" t="n">
        <x:v>1</x:v>
      </x:c>
      <x:c r="N120" t="n">
        <x:v>0</x:v>
      </x:c>
      <x:c r="O120" t="n">
        <x:v>0</x:v>
      </x:c>
      <x:c r="P120" t="str">
        <x:f>IF(M120=1,"PASS","GAP")</x:f>
        <x:v>PASS</x:v>
      </x:c>
    </x:row>
    <x:row r="121">
      <x:c r="B121" t="str">
        <x:v>PR-RC-2-CH-07-A-C-X</x:v>
      </x:c>
      <x:c r="C121" t="str">
        <x:v>PR-RC-2-CH-07</x:v>
      </x:c>
      <x:c r="D121" t="str">
        <x:v>RC-2</x:v>
      </x:c>
      <x:c r="E121" t="str">
        <x:v>CH-07</x:v>
      </x:c>
      <x:c r="F121" t="str">
        <x:v>Builder A</x:v>
      </x:c>
      <x:c r="G121" t="str">
        <x:v>PTC-C</x:v>
      </x:c>
      <x:c r="H121" t="str">
        <x:v>challenge</x:v>
      </x:c>
      <x:c r="I121" t="str">
        <x:v>RB-S3</x:v>
      </x:c>
      <x:c r="J121" t="str">
        <x:v>full</x:v>
      </x:c>
      <x:c r="K121" s="27" t="n">
        <x:f>Controls!$D$38</x:f>
        <x:v>2000</x:v>
      </x:c>
      <x:c r="L121" t="str">
        <x:v>CHALLENGED</x:v>
      </x:c>
      <x:c r="M121" t="n">
        <x:v>1</x:v>
      </x:c>
      <x:c r="N121" t="n">
        <x:v>0</x:v>
      </x:c>
      <x:c r="O121" t="n">
        <x:v>0</x:v>
      </x:c>
      <x:c r="P121" t="str">
        <x:f>IF(M121=1,"PASS","GAP")</x:f>
        <x:v>PASS</x:v>
      </x:c>
    </x:row>
    <x:row r="122">
      <x:c r="B122" t="str">
        <x:v>PR-RC-2-CH-07-A-C-C</x:v>
      </x:c>
      <x:c r="C122" t="str">
        <x:v>PR-RC-2-CH-07</x:v>
      </x:c>
      <x:c r="D122" t="str">
        <x:v>RC-2</x:v>
      </x:c>
      <x:c r="E122" t="str">
        <x:v>CH-07</x:v>
      </x:c>
      <x:c r="F122" t="str">
        <x:v>Builder A</x:v>
      </x:c>
      <x:c r="G122" t="str">
        <x:v>PTC-C</x:v>
      </x:c>
      <x:c r="H122" t="str">
        <x:v>clean control</x:v>
      </x:c>
      <x:c r="I122" t="str">
        <x:v>RB-S3</x:v>
      </x:c>
      <x:c r="J122" t="str">
        <x:v>full</x:v>
      </x:c>
      <x:c r="K122" s="27" t="n">
        <x:f>Controls!$D$38</x:f>
        <x:v>2000</x:v>
      </x:c>
      <x:c r="L122" t="str">
        <x:v>CLEAN</x:v>
      </x:c>
      <x:c r="M122" t="n">
        <x:v>1</x:v>
      </x:c>
      <x:c r="N122" t="n">
        <x:v>0</x:v>
      </x:c>
      <x:c r="O122" t="n">
        <x:v>0</x:v>
      </x:c>
      <x:c r="P122" t="str">
        <x:f>IF(M122=1,"PASS","GAP")</x:f>
        <x:v>PASS</x:v>
      </x:c>
    </x:row>
    <x:row r="123">
      <x:c r="B123" t="str">
        <x:v>PR-RC-2-CH-07-B-B-X</x:v>
      </x:c>
      <x:c r="C123" t="str">
        <x:v>PR-RC-2-CH-07</x:v>
      </x:c>
      <x:c r="D123" t="str">
        <x:v>RC-2</x:v>
      </x:c>
      <x:c r="E123" t="str">
        <x:v>CH-07</x:v>
      </x:c>
      <x:c r="F123" t="str">
        <x:v>Builder B</x:v>
      </x:c>
      <x:c r="G123" t="str">
        <x:v>PTC-B</x:v>
      </x:c>
      <x:c r="H123" t="str">
        <x:v>challenge</x:v>
      </x:c>
      <x:c r="I123" t="str">
        <x:v>RB-S3</x:v>
      </x:c>
      <x:c r="J123" t="str">
        <x:v>full</x:v>
      </x:c>
      <x:c r="K123" s="27" t="n">
        <x:f>Controls!$D$38</x:f>
        <x:v>2000</x:v>
      </x:c>
      <x:c r="L123" t="str">
        <x:v>CHALLENGED</x:v>
      </x:c>
      <x:c r="M123" t="n">
        <x:v>1</x:v>
      </x:c>
      <x:c r="N123" t="n">
        <x:v>0</x:v>
      </x:c>
      <x:c r="O123" t="n">
        <x:v>0</x:v>
      </x:c>
      <x:c r="P123" t="str">
        <x:f>IF(M123=1,"PASS","GAP")</x:f>
        <x:v>PASS</x:v>
      </x:c>
    </x:row>
    <x:row r="124">
      <x:c r="B124" t="str">
        <x:v>PR-RC-2-CH-07-B-B-C</x:v>
      </x:c>
      <x:c r="C124" t="str">
        <x:v>PR-RC-2-CH-07</x:v>
      </x:c>
      <x:c r="D124" t="str">
        <x:v>RC-2</x:v>
      </x:c>
      <x:c r="E124" t="str">
        <x:v>CH-07</x:v>
      </x:c>
      <x:c r="F124" t="str">
        <x:v>Builder B</x:v>
      </x:c>
      <x:c r="G124" t="str">
        <x:v>PTC-B</x:v>
      </x:c>
      <x:c r="H124" t="str">
        <x:v>clean control</x:v>
      </x:c>
      <x:c r="I124" t="str">
        <x:v>RB-S3</x:v>
      </x:c>
      <x:c r="J124" t="str">
        <x:v>full</x:v>
      </x:c>
      <x:c r="K124" s="27" t="n">
        <x:f>Controls!$D$38</x:f>
        <x:v>2000</x:v>
      </x:c>
      <x:c r="L124" t="str">
        <x:v>CLEAN</x:v>
      </x:c>
      <x:c r="M124" t="n">
        <x:v>1</x:v>
      </x:c>
      <x:c r="N124" t="n">
        <x:v>0</x:v>
      </x:c>
      <x:c r="O124" t="n">
        <x:v>0</x:v>
      </x:c>
      <x:c r="P124" t="str">
        <x:f>IF(M124=1,"PASS","GAP")</x:f>
        <x:v>PASS</x:v>
      </x:c>
    </x:row>
    <x:row r="125">
      <x:c r="B125" t="str">
        <x:v>PR-RC-2-CH-07-B-C-X</x:v>
      </x:c>
      <x:c r="C125" t="str">
        <x:v>PR-RC-2-CH-07</x:v>
      </x:c>
      <x:c r="D125" t="str">
        <x:v>RC-2</x:v>
      </x:c>
      <x:c r="E125" t="str">
        <x:v>CH-07</x:v>
      </x:c>
      <x:c r="F125" t="str">
        <x:v>Builder B</x:v>
      </x:c>
      <x:c r="G125" t="str">
        <x:v>PTC-C</x:v>
      </x:c>
      <x:c r="H125" t="str">
        <x:v>challenge</x:v>
      </x:c>
      <x:c r="I125" t="str">
        <x:v>RB-S3</x:v>
      </x:c>
      <x:c r="J125" t="str">
        <x:v>full</x:v>
      </x:c>
      <x:c r="K125" s="27" t="n">
        <x:f>Controls!$D$38</x:f>
        <x:v>2000</x:v>
      </x:c>
      <x:c r="L125" t="str">
        <x:v>CHALLENGED</x:v>
      </x:c>
      <x:c r="M125" t="n">
        <x:v>1</x:v>
      </x:c>
      <x:c r="N125" t="n">
        <x:v>0</x:v>
      </x:c>
      <x:c r="O125" t="n">
        <x:v>0</x:v>
      </x:c>
      <x:c r="P125" t="str">
        <x:f>IF(M125=1,"PASS","GAP")</x:f>
        <x:v>PASS</x:v>
      </x:c>
    </x:row>
    <x:row r="126">
      <x:c r="B126" t="str">
        <x:v>PR-RC-2-CH-07-B-C-C</x:v>
      </x:c>
      <x:c r="C126" t="str">
        <x:v>PR-RC-2-CH-07</x:v>
      </x:c>
      <x:c r="D126" t="str">
        <x:v>RC-2</x:v>
      </x:c>
      <x:c r="E126" t="str">
        <x:v>CH-07</x:v>
      </x:c>
      <x:c r="F126" t="str">
        <x:v>Builder B</x:v>
      </x:c>
      <x:c r="G126" t="str">
        <x:v>PTC-C</x:v>
      </x:c>
      <x:c r="H126" t="str">
        <x:v>clean control</x:v>
      </x:c>
      <x:c r="I126" t="str">
        <x:v>RB-S3</x:v>
      </x:c>
      <x:c r="J126" t="str">
        <x:v>full</x:v>
      </x:c>
      <x:c r="K126" s="27" t="n">
        <x:f>Controls!$D$38</x:f>
        <x:v>2000</x:v>
      </x:c>
      <x:c r="L126" t="str">
        <x:v>CLEAN</x:v>
      </x:c>
      <x:c r="M126" t="n">
        <x:v>1</x:v>
      </x:c>
      <x:c r="N126" t="n">
        <x:v>0</x:v>
      </x:c>
      <x:c r="O126" t="n">
        <x:v>0</x:v>
      </x:c>
      <x:c r="P126" t="str">
        <x:f>IF(M126=1,"PASS","GAP")</x:f>
        <x:v>PASS</x:v>
      </x:c>
    </x:row>
    <x:row r="127">
      <x:c r="B127" t="str">
        <x:v>PR-RC-2-CH-08-A-B-X</x:v>
      </x:c>
      <x:c r="C127" t="str">
        <x:v>PR-RC-2-CH-08</x:v>
      </x:c>
      <x:c r="D127" t="str">
        <x:v>RC-2</x:v>
      </x:c>
      <x:c r="E127" t="str">
        <x:v>CH-08</x:v>
      </x:c>
      <x:c r="F127" t="str">
        <x:v>Builder A</x:v>
      </x:c>
      <x:c r="G127" t="str">
        <x:v>PTC-B</x:v>
      </x:c>
      <x:c r="H127" t="str">
        <x:v>challenge</x:v>
      </x:c>
      <x:c r="I127" t="str">
        <x:v>RB-S3</x:v>
      </x:c>
      <x:c r="J127" t="str">
        <x:v>full</x:v>
      </x:c>
      <x:c r="K127" s="27" t="n">
        <x:f>Controls!$D$38</x:f>
        <x:v>2000</x:v>
      </x:c>
      <x:c r="L127" t="str">
        <x:v>CHALLENGED</x:v>
      </x:c>
      <x:c r="M127" t="n">
        <x:v>1</x:v>
      </x:c>
      <x:c r="N127" t="n">
        <x:v>0</x:v>
      </x:c>
      <x:c r="O127" t="n">
        <x:v>0</x:v>
      </x:c>
      <x:c r="P127" t="str">
        <x:f>IF(M127=1,"PASS","GAP")</x:f>
        <x:v>PASS</x:v>
      </x:c>
    </x:row>
    <x:row r="128">
      <x:c r="B128" t="str">
        <x:v>PR-RC-2-CH-08-A-B-C</x:v>
      </x:c>
      <x:c r="C128" t="str">
        <x:v>PR-RC-2-CH-08</x:v>
      </x:c>
      <x:c r="D128" t="str">
        <x:v>RC-2</x:v>
      </x:c>
      <x:c r="E128" t="str">
        <x:v>CH-08</x:v>
      </x:c>
      <x:c r="F128" t="str">
        <x:v>Builder A</x:v>
      </x:c>
      <x:c r="G128" t="str">
        <x:v>PTC-B</x:v>
      </x:c>
      <x:c r="H128" t="str">
        <x:v>clean control</x:v>
      </x:c>
      <x:c r="I128" t="str">
        <x:v>RB-S3</x:v>
      </x:c>
      <x:c r="J128" t="str">
        <x:v>full</x:v>
      </x:c>
      <x:c r="K128" s="27" t="n">
        <x:f>Controls!$D$38</x:f>
        <x:v>2000</x:v>
      </x:c>
      <x:c r="L128" t="str">
        <x:v>CLEAN</x:v>
      </x:c>
      <x:c r="M128" t="n">
        <x:v>1</x:v>
      </x:c>
      <x:c r="N128" t="n">
        <x:v>0</x:v>
      </x:c>
      <x:c r="O128" t="n">
        <x:v>0</x:v>
      </x:c>
      <x:c r="P128" t="str">
        <x:f>IF(M128=1,"PASS","GAP")</x:f>
        <x:v>PASS</x:v>
      </x:c>
    </x:row>
    <x:row r="129">
      <x:c r="B129" t="str">
        <x:v>PR-RC-2-CH-08-A-C-X</x:v>
      </x:c>
      <x:c r="C129" t="str">
        <x:v>PR-RC-2-CH-08</x:v>
      </x:c>
      <x:c r="D129" t="str">
        <x:v>RC-2</x:v>
      </x:c>
      <x:c r="E129" t="str">
        <x:v>CH-08</x:v>
      </x:c>
      <x:c r="F129" t="str">
        <x:v>Builder A</x:v>
      </x:c>
      <x:c r="G129" t="str">
        <x:v>PTC-C</x:v>
      </x:c>
      <x:c r="H129" t="str">
        <x:v>challenge</x:v>
      </x:c>
      <x:c r="I129" t="str">
        <x:v>RB-S3</x:v>
      </x:c>
      <x:c r="J129" t="str">
        <x:v>full</x:v>
      </x:c>
      <x:c r="K129" s="27" t="n">
        <x:f>Controls!$D$38</x:f>
        <x:v>2000</x:v>
      </x:c>
      <x:c r="L129" t="str">
        <x:v>CHALLENGED</x:v>
      </x:c>
      <x:c r="M129" t="n">
        <x:v>1</x:v>
      </x:c>
      <x:c r="N129" t="n">
        <x:v>0</x:v>
      </x:c>
      <x:c r="O129" t="n">
        <x:v>0</x:v>
      </x:c>
      <x:c r="P129" t="str">
        <x:f>IF(M129=1,"PASS","GAP")</x:f>
        <x:v>PASS</x:v>
      </x:c>
    </x:row>
    <x:row r="130">
      <x:c r="B130" t="str">
        <x:v>PR-RC-2-CH-08-A-C-C</x:v>
      </x:c>
      <x:c r="C130" t="str">
        <x:v>PR-RC-2-CH-08</x:v>
      </x:c>
      <x:c r="D130" t="str">
        <x:v>RC-2</x:v>
      </x:c>
      <x:c r="E130" t="str">
        <x:v>CH-08</x:v>
      </x:c>
      <x:c r="F130" t="str">
        <x:v>Builder A</x:v>
      </x:c>
      <x:c r="G130" t="str">
        <x:v>PTC-C</x:v>
      </x:c>
      <x:c r="H130" t="str">
        <x:v>clean control</x:v>
      </x:c>
      <x:c r="I130" t="str">
        <x:v>RB-S3</x:v>
      </x:c>
      <x:c r="J130" t="str">
        <x:v>full</x:v>
      </x:c>
      <x:c r="K130" s="27" t="n">
        <x:f>Controls!$D$38</x:f>
        <x:v>2000</x:v>
      </x:c>
      <x:c r="L130" t="str">
        <x:v>CLEAN</x:v>
      </x:c>
      <x:c r="M130" t="n">
        <x:v>1</x:v>
      </x:c>
      <x:c r="N130" t="n">
        <x:v>0</x:v>
      </x:c>
      <x:c r="O130" t="n">
        <x:v>0</x:v>
      </x:c>
      <x:c r="P130" t="str">
        <x:f>IF(M130=1,"PASS","GAP")</x:f>
        <x:v>PASS</x:v>
      </x:c>
    </x:row>
    <x:row r="131">
      <x:c r="B131" t="str">
        <x:v>PR-RC-2-CH-08-B-B-X</x:v>
      </x:c>
      <x:c r="C131" t="str">
        <x:v>PR-RC-2-CH-08</x:v>
      </x:c>
      <x:c r="D131" t="str">
        <x:v>RC-2</x:v>
      </x:c>
      <x:c r="E131" t="str">
        <x:v>CH-08</x:v>
      </x:c>
      <x:c r="F131" t="str">
        <x:v>Builder B</x:v>
      </x:c>
      <x:c r="G131" t="str">
        <x:v>PTC-B</x:v>
      </x:c>
      <x:c r="H131" t="str">
        <x:v>challenge</x:v>
      </x:c>
      <x:c r="I131" t="str">
        <x:v>RB-S3</x:v>
      </x:c>
      <x:c r="J131" t="str">
        <x:v>full</x:v>
      </x:c>
      <x:c r="K131" s="27" t="n">
        <x:f>Controls!$D$38</x:f>
        <x:v>2000</x:v>
      </x:c>
      <x:c r="L131" t="str">
        <x:v>CHALLENGED</x:v>
      </x:c>
      <x:c r="M131" t="n">
        <x:v>1</x:v>
      </x:c>
      <x:c r="N131" t="n">
        <x:v>0</x:v>
      </x:c>
      <x:c r="O131" t="n">
        <x:v>0</x:v>
      </x:c>
      <x:c r="P131" t="str">
        <x:f>IF(M131=1,"PASS","GAP")</x:f>
        <x:v>PASS</x:v>
      </x:c>
    </x:row>
    <x:row r="132">
      <x:c r="B132" t="str">
        <x:v>PR-RC-2-CH-08-B-B-C</x:v>
      </x:c>
      <x:c r="C132" t="str">
        <x:v>PR-RC-2-CH-08</x:v>
      </x:c>
      <x:c r="D132" t="str">
        <x:v>RC-2</x:v>
      </x:c>
      <x:c r="E132" t="str">
        <x:v>CH-08</x:v>
      </x:c>
      <x:c r="F132" t="str">
        <x:v>Builder B</x:v>
      </x:c>
      <x:c r="G132" t="str">
        <x:v>PTC-B</x:v>
      </x:c>
      <x:c r="H132" t="str">
        <x:v>clean control</x:v>
      </x:c>
      <x:c r="I132" t="str">
        <x:v>RB-S3</x:v>
      </x:c>
      <x:c r="J132" t="str">
        <x:v>full</x:v>
      </x:c>
      <x:c r="K132" s="27" t="n">
        <x:f>Controls!$D$38</x:f>
        <x:v>2000</x:v>
      </x:c>
      <x:c r="L132" t="str">
        <x:v>CLEAN</x:v>
      </x:c>
      <x:c r="M132" t="n">
        <x:v>1</x:v>
      </x:c>
      <x:c r="N132" t="n">
        <x:v>0</x:v>
      </x:c>
      <x:c r="O132" t="n">
        <x:v>0</x:v>
      </x:c>
      <x:c r="P132" t="str">
        <x:f>IF(M132=1,"PASS","GAP")</x:f>
        <x:v>PASS</x:v>
      </x:c>
    </x:row>
    <x:row r="133">
      <x:c r="B133" t="str">
        <x:v>PR-RC-2-CH-08-B-C-X</x:v>
      </x:c>
      <x:c r="C133" t="str">
        <x:v>PR-RC-2-CH-08</x:v>
      </x:c>
      <x:c r="D133" t="str">
        <x:v>RC-2</x:v>
      </x:c>
      <x:c r="E133" t="str">
        <x:v>CH-08</x:v>
      </x:c>
      <x:c r="F133" t="str">
        <x:v>Builder B</x:v>
      </x:c>
      <x:c r="G133" t="str">
        <x:v>PTC-C</x:v>
      </x:c>
      <x:c r="H133" t="str">
        <x:v>challenge</x:v>
      </x:c>
      <x:c r="I133" t="str">
        <x:v>RB-S3</x:v>
      </x:c>
      <x:c r="J133" t="str">
        <x:v>full</x:v>
      </x:c>
      <x:c r="K133" s="27" t="n">
        <x:f>Controls!$D$38</x:f>
        <x:v>2000</x:v>
      </x:c>
      <x:c r="L133" t="str">
        <x:v>CHALLENGED</x:v>
      </x:c>
      <x:c r="M133" t="n">
        <x:v>1</x:v>
      </x:c>
      <x:c r="N133" t="n">
        <x:v>0</x:v>
      </x:c>
      <x:c r="O133" t="n">
        <x:v>0</x:v>
      </x:c>
      <x:c r="P133" t="str">
        <x:f>IF(M133=1,"PASS","GAP")</x:f>
        <x:v>PASS</x:v>
      </x:c>
    </x:row>
    <x:row r="134">
      <x:c r="B134" t="str">
        <x:v>PR-RC-2-CH-08-B-C-C</x:v>
      </x:c>
      <x:c r="C134" t="str">
        <x:v>PR-RC-2-CH-08</x:v>
      </x:c>
      <x:c r="D134" t="str">
        <x:v>RC-2</x:v>
      </x:c>
      <x:c r="E134" t="str">
        <x:v>CH-08</x:v>
      </x:c>
      <x:c r="F134" t="str">
        <x:v>Builder B</x:v>
      </x:c>
      <x:c r="G134" t="str">
        <x:v>PTC-C</x:v>
      </x:c>
      <x:c r="H134" t="str">
        <x:v>clean control</x:v>
      </x:c>
      <x:c r="I134" t="str">
        <x:v>RB-S3</x:v>
      </x:c>
      <x:c r="J134" t="str">
        <x:v>full</x:v>
      </x:c>
      <x:c r="K134" s="27" t="n">
        <x:f>Controls!$D$38</x:f>
        <x:v>2000</x:v>
      </x:c>
      <x:c r="L134" t="str">
        <x:v>CLEAN</x:v>
      </x:c>
      <x:c r="M134" t="n">
        <x:v>1</x:v>
      </x:c>
      <x:c r="N134" t="n">
        <x:v>0</x:v>
      </x:c>
      <x:c r="O134" t="n">
        <x:v>0</x:v>
      </x:c>
      <x:c r="P134" t="str">
        <x:f>IF(M134=1,"PASS","GAP")</x:f>
        <x:v>PASS</x:v>
      </x:c>
    </x:row>
    <x:row r="135">
      <x:c r="B135" t="str">
        <x:v>PR-RC-3-CH-01-A-B-X</x:v>
      </x:c>
      <x:c r="C135" t="str">
        <x:v>PR-RC-3-CH-01</x:v>
      </x:c>
      <x:c r="D135" t="str">
        <x:v>RC-3</x:v>
      </x:c>
      <x:c r="E135" t="str">
        <x:v>CH-01</x:v>
      </x:c>
      <x:c r="F135" t="str">
        <x:v>Builder A</x:v>
      </x:c>
      <x:c r="G135" t="str">
        <x:v>PTC-B</x:v>
      </x:c>
      <x:c r="H135" t="str">
        <x:v>challenge</x:v>
      </x:c>
      <x:c r="I135" t="str">
        <x:v>RB-S1</x:v>
      </x:c>
      <x:c r="J135" t="str">
        <x:v>quarter</x:v>
      </x:c>
      <x:c r="K135" s="27" t="n">
        <x:f>Controls!$D$37</x:f>
        <x:v>500</x:v>
      </x:c>
      <x:c r="L135" t="str">
        <x:v>CHALLENGED</x:v>
      </x:c>
      <x:c r="M135" t="n">
        <x:v>1</x:v>
      </x:c>
      <x:c r="N135" t="n">
        <x:v>0</x:v>
      </x:c>
      <x:c r="O135" t="n">
        <x:v>0</x:v>
      </x:c>
      <x:c r="P135" t="str">
        <x:f>IF(M135=1,"PASS","GAP")</x:f>
        <x:v>PASS</x:v>
      </x:c>
    </x:row>
    <x:row r="136">
      <x:c r="B136" t="str">
        <x:v>PR-RC-3-CH-01-A-B-C</x:v>
      </x:c>
      <x:c r="C136" t="str">
        <x:v>PR-RC-3-CH-01</x:v>
      </x:c>
      <x:c r="D136" t="str">
        <x:v>RC-3</x:v>
      </x:c>
      <x:c r="E136" t="str">
        <x:v>CH-01</x:v>
      </x:c>
      <x:c r="F136" t="str">
        <x:v>Builder A</x:v>
      </x:c>
      <x:c r="G136" t="str">
        <x:v>PTC-B</x:v>
      </x:c>
      <x:c r="H136" t="str">
        <x:v>clean control</x:v>
      </x:c>
      <x:c r="I136" t="str">
        <x:v>RB-S1</x:v>
      </x:c>
      <x:c r="J136" t="str">
        <x:v>quarter</x:v>
      </x:c>
      <x:c r="K136" s="27" t="n">
        <x:f>Controls!$D$37</x:f>
        <x:v>500</x:v>
      </x:c>
      <x:c r="L136" t="str">
        <x:v>CLEAN</x:v>
      </x:c>
      <x:c r="M136" t="n">
        <x:v>1</x:v>
      </x:c>
      <x:c r="N136" t="n">
        <x:v>0</x:v>
      </x:c>
      <x:c r="O136" t="n">
        <x:v>0</x:v>
      </x:c>
      <x:c r="P136" t="str">
        <x:f>IF(M136=1,"PASS","GAP")</x:f>
        <x:v>PASS</x:v>
      </x:c>
    </x:row>
    <x:row r="137">
      <x:c r="B137" t="str">
        <x:v>PR-RC-3-CH-01-A-C-X</x:v>
      </x:c>
      <x:c r="C137" t="str">
        <x:v>PR-RC-3-CH-01</x:v>
      </x:c>
      <x:c r="D137" t="str">
        <x:v>RC-3</x:v>
      </x:c>
      <x:c r="E137" t="str">
        <x:v>CH-01</x:v>
      </x:c>
      <x:c r="F137" t="str">
        <x:v>Builder A</x:v>
      </x:c>
      <x:c r="G137" t="str">
        <x:v>PTC-C</x:v>
      </x:c>
      <x:c r="H137" t="str">
        <x:v>challenge</x:v>
      </x:c>
      <x:c r="I137" t="str">
        <x:v>RB-S1</x:v>
      </x:c>
      <x:c r="J137" t="str">
        <x:v>quarter</x:v>
      </x:c>
      <x:c r="K137" s="27" t="n">
        <x:f>Controls!$D$37</x:f>
        <x:v>500</x:v>
      </x:c>
      <x:c r="L137" t="str">
        <x:v>CHALLENGED</x:v>
      </x:c>
      <x:c r="M137" t="n">
        <x:v>1</x:v>
      </x:c>
      <x:c r="N137" t="n">
        <x:v>0</x:v>
      </x:c>
      <x:c r="O137" t="n">
        <x:v>0</x:v>
      </x:c>
      <x:c r="P137" t="str">
        <x:f>IF(M137=1,"PASS","GAP")</x:f>
        <x:v>PASS</x:v>
      </x:c>
    </x:row>
    <x:row r="138">
      <x:c r="B138" t="str">
        <x:v>PR-RC-3-CH-01-A-C-C</x:v>
      </x:c>
      <x:c r="C138" t="str">
        <x:v>PR-RC-3-CH-01</x:v>
      </x:c>
      <x:c r="D138" t="str">
        <x:v>RC-3</x:v>
      </x:c>
      <x:c r="E138" t="str">
        <x:v>CH-01</x:v>
      </x:c>
      <x:c r="F138" t="str">
        <x:v>Builder A</x:v>
      </x:c>
      <x:c r="G138" t="str">
        <x:v>PTC-C</x:v>
      </x:c>
      <x:c r="H138" t="str">
        <x:v>clean control</x:v>
      </x:c>
      <x:c r="I138" t="str">
        <x:v>RB-S1</x:v>
      </x:c>
      <x:c r="J138" t="str">
        <x:v>quarter</x:v>
      </x:c>
      <x:c r="K138" s="27" t="n">
        <x:f>Controls!$D$37</x:f>
        <x:v>500</x:v>
      </x:c>
      <x:c r="L138" t="str">
        <x:v>CLEAN</x:v>
      </x:c>
      <x:c r="M138" t="n">
        <x:v>1</x:v>
      </x:c>
      <x:c r="N138" t="n">
        <x:v>0</x:v>
      </x:c>
      <x:c r="O138" t="n">
        <x:v>0</x:v>
      </x:c>
      <x:c r="P138" t="str">
        <x:f>IF(M138=1,"PASS","GAP")</x:f>
        <x:v>PASS</x:v>
      </x:c>
    </x:row>
    <x:row r="139">
      <x:c r="B139" t="str">
        <x:v>PR-RC-3-CH-01-B-B-X</x:v>
      </x:c>
      <x:c r="C139" t="str">
        <x:v>PR-RC-3-CH-01</x:v>
      </x:c>
      <x:c r="D139" t="str">
        <x:v>RC-3</x:v>
      </x:c>
      <x:c r="E139" t="str">
        <x:v>CH-01</x:v>
      </x:c>
      <x:c r="F139" t="str">
        <x:v>Builder B</x:v>
      </x:c>
      <x:c r="G139" t="str">
        <x:v>PTC-B</x:v>
      </x:c>
      <x:c r="H139" t="str">
        <x:v>challenge</x:v>
      </x:c>
      <x:c r="I139" t="str">
        <x:v>RB-S1</x:v>
      </x:c>
      <x:c r="J139" t="str">
        <x:v>quarter</x:v>
      </x:c>
      <x:c r="K139" s="27" t="n">
        <x:f>Controls!$D$37</x:f>
        <x:v>500</x:v>
      </x:c>
      <x:c r="L139" t="str">
        <x:v>CHALLENGED</x:v>
      </x:c>
      <x:c r="M139" t="n">
        <x:v>1</x:v>
      </x:c>
      <x:c r="N139" t="n">
        <x:v>0</x:v>
      </x:c>
      <x:c r="O139" t="n">
        <x:v>0</x:v>
      </x:c>
      <x:c r="P139" t="str">
        <x:f>IF(M139=1,"PASS","GAP")</x:f>
        <x:v>PASS</x:v>
      </x:c>
    </x:row>
    <x:row r="140">
      <x:c r="B140" t="str">
        <x:v>PR-RC-3-CH-01-B-B-C</x:v>
      </x:c>
      <x:c r="C140" t="str">
        <x:v>PR-RC-3-CH-01</x:v>
      </x:c>
      <x:c r="D140" t="str">
        <x:v>RC-3</x:v>
      </x:c>
      <x:c r="E140" t="str">
        <x:v>CH-01</x:v>
      </x:c>
      <x:c r="F140" t="str">
        <x:v>Builder B</x:v>
      </x:c>
      <x:c r="G140" t="str">
        <x:v>PTC-B</x:v>
      </x:c>
      <x:c r="H140" t="str">
        <x:v>clean control</x:v>
      </x:c>
      <x:c r="I140" t="str">
        <x:v>RB-S1</x:v>
      </x:c>
      <x:c r="J140" t="str">
        <x:v>quarter</x:v>
      </x:c>
      <x:c r="K140" s="27" t="n">
        <x:f>Controls!$D$37</x:f>
        <x:v>500</x:v>
      </x:c>
      <x:c r="L140" t="str">
        <x:v>CLEAN</x:v>
      </x:c>
      <x:c r="M140" t="n">
        <x:v>1</x:v>
      </x:c>
      <x:c r="N140" t="n">
        <x:v>0</x:v>
      </x:c>
      <x:c r="O140" t="n">
        <x:v>0</x:v>
      </x:c>
      <x:c r="P140" t="str">
        <x:f>IF(M140=1,"PASS","GAP")</x:f>
        <x:v>PASS</x:v>
      </x:c>
    </x:row>
    <x:row r="141">
      <x:c r="B141" t="str">
        <x:v>PR-RC-3-CH-01-B-C-X</x:v>
      </x:c>
      <x:c r="C141" t="str">
        <x:v>PR-RC-3-CH-01</x:v>
      </x:c>
      <x:c r="D141" t="str">
        <x:v>RC-3</x:v>
      </x:c>
      <x:c r="E141" t="str">
        <x:v>CH-01</x:v>
      </x:c>
      <x:c r="F141" t="str">
        <x:v>Builder B</x:v>
      </x:c>
      <x:c r="G141" t="str">
        <x:v>PTC-C</x:v>
      </x:c>
      <x:c r="H141" t="str">
        <x:v>challenge</x:v>
      </x:c>
      <x:c r="I141" t="str">
        <x:v>RB-S1</x:v>
      </x:c>
      <x:c r="J141" t="str">
        <x:v>quarter</x:v>
      </x:c>
      <x:c r="K141" s="27" t="n">
        <x:f>Controls!$D$37</x:f>
        <x:v>500</x:v>
      </x:c>
      <x:c r="L141" t="str">
        <x:v>CHALLENGED</x:v>
      </x:c>
      <x:c r="M141" t="n">
        <x:v>1</x:v>
      </x:c>
      <x:c r="N141" t="n">
        <x:v>0</x:v>
      </x:c>
      <x:c r="O141" t="n">
        <x:v>0</x:v>
      </x:c>
      <x:c r="P141" t="str">
        <x:f>IF(M141=1,"PASS","GAP")</x:f>
        <x:v>PASS</x:v>
      </x:c>
    </x:row>
    <x:row r="142">
      <x:c r="B142" t="str">
        <x:v>PR-RC-3-CH-01-B-C-C</x:v>
      </x:c>
      <x:c r="C142" t="str">
        <x:v>PR-RC-3-CH-01</x:v>
      </x:c>
      <x:c r="D142" t="str">
        <x:v>RC-3</x:v>
      </x:c>
      <x:c r="E142" t="str">
        <x:v>CH-01</x:v>
      </x:c>
      <x:c r="F142" t="str">
        <x:v>Builder B</x:v>
      </x:c>
      <x:c r="G142" t="str">
        <x:v>PTC-C</x:v>
      </x:c>
      <x:c r="H142" t="str">
        <x:v>clean control</x:v>
      </x:c>
      <x:c r="I142" t="str">
        <x:v>RB-S1</x:v>
      </x:c>
      <x:c r="J142" t="str">
        <x:v>quarter</x:v>
      </x:c>
      <x:c r="K142" s="27" t="n">
        <x:f>Controls!$D$37</x:f>
        <x:v>500</x:v>
      </x:c>
      <x:c r="L142" t="str">
        <x:v>CLEAN</x:v>
      </x:c>
      <x:c r="M142" t="n">
        <x:v>1</x:v>
      </x:c>
      <x:c r="N142" t="n">
        <x:v>0</x:v>
      </x:c>
      <x:c r="O142" t="n">
        <x:v>0</x:v>
      </x:c>
      <x:c r="P142" t="str">
        <x:f>IF(M142=1,"PASS","GAP")</x:f>
        <x:v>PASS</x:v>
      </x:c>
    </x:row>
    <x:row r="143">
      <x:c r="B143" t="str">
        <x:v>PR-RC-3-CH-02-A-B-X</x:v>
      </x:c>
      <x:c r="C143" t="str">
        <x:v>PR-RC-3-CH-02</x:v>
      </x:c>
      <x:c r="D143" t="str">
        <x:v>RC-3</x:v>
      </x:c>
      <x:c r="E143" t="str">
        <x:v>CH-02</x:v>
      </x:c>
      <x:c r="F143" t="str">
        <x:v>Builder A</x:v>
      </x:c>
      <x:c r="G143" t="str">
        <x:v>PTC-B</x:v>
      </x:c>
      <x:c r="H143" t="str">
        <x:v>challenge</x:v>
      </x:c>
      <x:c r="I143" t="str">
        <x:v>RB-S2</x:v>
      </x:c>
      <x:c r="J143" t="str">
        <x:v>quarter</x:v>
      </x:c>
      <x:c r="K143" s="27" t="n">
        <x:f>Controls!$D$37</x:f>
        <x:v>500</x:v>
      </x:c>
      <x:c r="L143" t="str">
        <x:v>CHALLENGED</x:v>
      </x:c>
      <x:c r="M143" t="n">
        <x:v>1</x:v>
      </x:c>
      <x:c r="N143" t="n">
        <x:v>0</x:v>
      </x:c>
      <x:c r="O143" t="n">
        <x:v>0</x:v>
      </x:c>
      <x:c r="P143" t="str">
        <x:f>IF(M143=1,"PASS","GAP")</x:f>
        <x:v>PASS</x:v>
      </x:c>
    </x:row>
    <x:row r="144">
      <x:c r="B144" t="str">
        <x:v>PR-RC-3-CH-02-A-B-C</x:v>
      </x:c>
      <x:c r="C144" t="str">
        <x:v>PR-RC-3-CH-02</x:v>
      </x:c>
      <x:c r="D144" t="str">
        <x:v>RC-3</x:v>
      </x:c>
      <x:c r="E144" t="str">
        <x:v>CH-02</x:v>
      </x:c>
      <x:c r="F144" t="str">
        <x:v>Builder A</x:v>
      </x:c>
      <x:c r="G144" t="str">
        <x:v>PTC-B</x:v>
      </x:c>
      <x:c r="H144" t="str">
        <x:v>clean control</x:v>
      </x:c>
      <x:c r="I144" t="str">
        <x:v>RB-S2</x:v>
      </x:c>
      <x:c r="J144" t="str">
        <x:v>quarter</x:v>
      </x:c>
      <x:c r="K144" s="27" t="n">
        <x:f>Controls!$D$37</x:f>
        <x:v>500</x:v>
      </x:c>
      <x:c r="L144" t="str">
        <x:v>CLEAN</x:v>
      </x:c>
      <x:c r="M144" t="n">
        <x:v>1</x:v>
      </x:c>
      <x:c r="N144" t="n">
        <x:v>0</x:v>
      </x:c>
      <x:c r="O144" t="n">
        <x:v>0</x:v>
      </x:c>
      <x:c r="P144" t="str">
        <x:f>IF(M144=1,"PASS","GAP")</x:f>
        <x:v>PASS</x:v>
      </x:c>
    </x:row>
    <x:row r="145">
      <x:c r="B145" t="str">
        <x:v>PR-RC-3-CH-02-A-C-X</x:v>
      </x:c>
      <x:c r="C145" t="str">
        <x:v>PR-RC-3-CH-02</x:v>
      </x:c>
      <x:c r="D145" t="str">
        <x:v>RC-3</x:v>
      </x:c>
      <x:c r="E145" t="str">
        <x:v>CH-02</x:v>
      </x:c>
      <x:c r="F145" t="str">
        <x:v>Builder A</x:v>
      </x:c>
      <x:c r="G145" t="str">
        <x:v>PTC-C</x:v>
      </x:c>
      <x:c r="H145" t="str">
        <x:v>challenge</x:v>
      </x:c>
      <x:c r="I145" t="str">
        <x:v>RB-S2</x:v>
      </x:c>
      <x:c r="J145" t="str">
        <x:v>quarter</x:v>
      </x:c>
      <x:c r="K145" s="27" t="n">
        <x:f>Controls!$D$37</x:f>
        <x:v>500</x:v>
      </x:c>
      <x:c r="L145" t="str">
        <x:v>CHALLENGED</x:v>
      </x:c>
      <x:c r="M145" t="n">
        <x:v>1</x:v>
      </x:c>
      <x:c r="N145" t="n">
        <x:v>0</x:v>
      </x:c>
      <x:c r="O145" t="n">
        <x:v>0</x:v>
      </x:c>
      <x:c r="P145" t="str">
        <x:f>IF(M145=1,"PASS","GAP")</x:f>
        <x:v>PASS</x:v>
      </x:c>
    </x:row>
    <x:row r="146">
      <x:c r="B146" t="str">
        <x:v>PR-RC-3-CH-02-A-C-C</x:v>
      </x:c>
      <x:c r="C146" t="str">
        <x:v>PR-RC-3-CH-02</x:v>
      </x:c>
      <x:c r="D146" t="str">
        <x:v>RC-3</x:v>
      </x:c>
      <x:c r="E146" t="str">
        <x:v>CH-02</x:v>
      </x:c>
      <x:c r="F146" t="str">
        <x:v>Builder A</x:v>
      </x:c>
      <x:c r="G146" t="str">
        <x:v>PTC-C</x:v>
      </x:c>
      <x:c r="H146" t="str">
        <x:v>clean control</x:v>
      </x:c>
      <x:c r="I146" t="str">
        <x:v>RB-S2</x:v>
      </x:c>
      <x:c r="J146" t="str">
        <x:v>quarter</x:v>
      </x:c>
      <x:c r="K146" s="27" t="n">
        <x:f>Controls!$D$37</x:f>
        <x:v>500</x:v>
      </x:c>
      <x:c r="L146" t="str">
        <x:v>CLEAN</x:v>
      </x:c>
      <x:c r="M146" t="n">
        <x:v>1</x:v>
      </x:c>
      <x:c r="N146" t="n">
        <x:v>0</x:v>
      </x:c>
      <x:c r="O146" t="n">
        <x:v>0</x:v>
      </x:c>
      <x:c r="P146" t="str">
        <x:f>IF(M146=1,"PASS","GAP")</x:f>
        <x:v>PASS</x:v>
      </x:c>
    </x:row>
    <x:row r="147">
      <x:c r="B147" t="str">
        <x:v>PR-RC-3-CH-02-B-B-X</x:v>
      </x:c>
      <x:c r="C147" t="str">
        <x:v>PR-RC-3-CH-02</x:v>
      </x:c>
      <x:c r="D147" t="str">
        <x:v>RC-3</x:v>
      </x:c>
      <x:c r="E147" t="str">
        <x:v>CH-02</x:v>
      </x:c>
      <x:c r="F147" t="str">
        <x:v>Builder B</x:v>
      </x:c>
      <x:c r="G147" t="str">
        <x:v>PTC-B</x:v>
      </x:c>
      <x:c r="H147" t="str">
        <x:v>challenge</x:v>
      </x:c>
      <x:c r="I147" t="str">
        <x:v>RB-S2</x:v>
      </x:c>
      <x:c r="J147" t="str">
        <x:v>quarter</x:v>
      </x:c>
      <x:c r="K147" s="27" t="n">
        <x:f>Controls!$D$37</x:f>
        <x:v>500</x:v>
      </x:c>
      <x:c r="L147" t="str">
        <x:v>CHALLENGED</x:v>
      </x:c>
      <x:c r="M147" t="n">
        <x:v>1</x:v>
      </x:c>
      <x:c r="N147" t="n">
        <x:v>0</x:v>
      </x:c>
      <x:c r="O147" t="n">
        <x:v>0</x:v>
      </x:c>
      <x:c r="P147" t="str">
        <x:f>IF(M147=1,"PASS","GAP")</x:f>
        <x:v>PASS</x:v>
      </x:c>
    </x:row>
    <x:row r="148">
      <x:c r="B148" t="str">
        <x:v>PR-RC-3-CH-02-B-B-C</x:v>
      </x:c>
      <x:c r="C148" t="str">
        <x:v>PR-RC-3-CH-02</x:v>
      </x:c>
      <x:c r="D148" t="str">
        <x:v>RC-3</x:v>
      </x:c>
      <x:c r="E148" t="str">
        <x:v>CH-02</x:v>
      </x:c>
      <x:c r="F148" t="str">
        <x:v>Builder B</x:v>
      </x:c>
      <x:c r="G148" t="str">
        <x:v>PTC-B</x:v>
      </x:c>
      <x:c r="H148" t="str">
        <x:v>clean control</x:v>
      </x:c>
      <x:c r="I148" t="str">
        <x:v>RB-S2</x:v>
      </x:c>
      <x:c r="J148" t="str">
        <x:v>quarter</x:v>
      </x:c>
      <x:c r="K148" s="27" t="n">
        <x:f>Controls!$D$37</x:f>
        <x:v>500</x:v>
      </x:c>
      <x:c r="L148" t="str">
        <x:v>CLEAN</x:v>
      </x:c>
      <x:c r="M148" t="n">
        <x:v>1</x:v>
      </x:c>
      <x:c r="N148" t="n">
        <x:v>0</x:v>
      </x:c>
      <x:c r="O148" t="n">
        <x:v>0</x:v>
      </x:c>
      <x:c r="P148" t="str">
        <x:f>IF(M148=1,"PASS","GAP")</x:f>
        <x:v>PASS</x:v>
      </x:c>
    </x:row>
    <x:row r="149">
      <x:c r="B149" t="str">
        <x:v>PR-RC-3-CH-02-B-C-X</x:v>
      </x:c>
      <x:c r="C149" t="str">
        <x:v>PR-RC-3-CH-02</x:v>
      </x:c>
      <x:c r="D149" t="str">
        <x:v>RC-3</x:v>
      </x:c>
      <x:c r="E149" t="str">
        <x:v>CH-02</x:v>
      </x:c>
      <x:c r="F149" t="str">
        <x:v>Builder B</x:v>
      </x:c>
      <x:c r="G149" t="str">
        <x:v>PTC-C</x:v>
      </x:c>
      <x:c r="H149" t="str">
        <x:v>challenge</x:v>
      </x:c>
      <x:c r="I149" t="str">
        <x:v>RB-S2</x:v>
      </x:c>
      <x:c r="J149" t="str">
        <x:v>quarter</x:v>
      </x:c>
      <x:c r="K149" s="27" t="n">
        <x:f>Controls!$D$37</x:f>
        <x:v>500</x:v>
      </x:c>
      <x:c r="L149" t="str">
        <x:v>CHALLENGED</x:v>
      </x:c>
      <x:c r="M149" t="n">
        <x:v>1</x:v>
      </x:c>
      <x:c r="N149" t="n">
        <x:v>0</x:v>
      </x:c>
      <x:c r="O149" t="n">
        <x:v>0</x:v>
      </x:c>
      <x:c r="P149" t="str">
        <x:f>IF(M149=1,"PASS","GAP")</x:f>
        <x:v>PASS</x:v>
      </x:c>
    </x:row>
    <x:row r="150">
      <x:c r="B150" t="str">
        <x:v>PR-RC-3-CH-02-B-C-C</x:v>
      </x:c>
      <x:c r="C150" t="str">
        <x:v>PR-RC-3-CH-02</x:v>
      </x:c>
      <x:c r="D150" t="str">
        <x:v>RC-3</x:v>
      </x:c>
      <x:c r="E150" t="str">
        <x:v>CH-02</x:v>
      </x:c>
      <x:c r="F150" t="str">
        <x:v>Builder B</x:v>
      </x:c>
      <x:c r="G150" t="str">
        <x:v>PTC-C</x:v>
      </x:c>
      <x:c r="H150" t="str">
        <x:v>clean control</x:v>
      </x:c>
      <x:c r="I150" t="str">
        <x:v>RB-S2</x:v>
      </x:c>
      <x:c r="J150" t="str">
        <x:v>quarter</x:v>
      </x:c>
      <x:c r="K150" s="27" t="n">
        <x:f>Controls!$D$37</x:f>
        <x:v>500</x:v>
      </x:c>
      <x:c r="L150" t="str">
        <x:v>CLEAN</x:v>
      </x:c>
      <x:c r="M150" t="n">
        <x:v>1</x:v>
      </x:c>
      <x:c r="N150" t="n">
        <x:v>0</x:v>
      </x:c>
      <x:c r="O150" t="n">
        <x:v>0</x:v>
      </x:c>
      <x:c r="P150" t="str">
        <x:f>IF(M150=1,"PASS","GAP")</x:f>
        <x:v>PASS</x:v>
      </x:c>
    </x:row>
    <x:row r="151">
      <x:c r="B151" t="str">
        <x:v>PR-RC-3-CH-03-A-B-X</x:v>
      </x:c>
      <x:c r="C151" t="str">
        <x:v>PR-RC-3-CH-03</x:v>
      </x:c>
      <x:c r="D151" t="str">
        <x:v>RC-3</x:v>
      </x:c>
      <x:c r="E151" t="str">
        <x:v>CH-03</x:v>
      </x:c>
      <x:c r="F151" t="str">
        <x:v>Builder A</x:v>
      </x:c>
      <x:c r="G151" t="str">
        <x:v>PTC-B</x:v>
      </x:c>
      <x:c r="H151" t="str">
        <x:v>challenge</x:v>
      </x:c>
      <x:c r="I151" t="str">
        <x:v>RB-S2</x:v>
      </x:c>
      <x:c r="J151" t="str">
        <x:v>quarter</x:v>
      </x:c>
      <x:c r="K151" s="27" t="n">
        <x:f>Controls!$D$37</x:f>
        <x:v>500</x:v>
      </x:c>
      <x:c r="L151" t="str">
        <x:v>CHALLENGED</x:v>
      </x:c>
      <x:c r="M151" t="n">
        <x:v>1</x:v>
      </x:c>
      <x:c r="N151" t="n">
        <x:v>0</x:v>
      </x:c>
      <x:c r="O151" t="n">
        <x:v>0</x:v>
      </x:c>
      <x:c r="P151" t="str">
        <x:f>IF(M151=1,"PASS","GAP")</x:f>
        <x:v>PASS</x:v>
      </x:c>
    </x:row>
    <x:row r="152">
      <x:c r="B152" t="str">
        <x:v>PR-RC-3-CH-03-A-B-C</x:v>
      </x:c>
      <x:c r="C152" t="str">
        <x:v>PR-RC-3-CH-03</x:v>
      </x:c>
      <x:c r="D152" t="str">
        <x:v>RC-3</x:v>
      </x:c>
      <x:c r="E152" t="str">
        <x:v>CH-03</x:v>
      </x:c>
      <x:c r="F152" t="str">
        <x:v>Builder A</x:v>
      </x:c>
      <x:c r="G152" t="str">
        <x:v>PTC-B</x:v>
      </x:c>
      <x:c r="H152" t="str">
        <x:v>clean control</x:v>
      </x:c>
      <x:c r="I152" t="str">
        <x:v>RB-S2</x:v>
      </x:c>
      <x:c r="J152" t="str">
        <x:v>quarter</x:v>
      </x:c>
      <x:c r="K152" s="27" t="n">
        <x:f>Controls!$D$37</x:f>
        <x:v>500</x:v>
      </x:c>
      <x:c r="L152" t="str">
        <x:v>CLEAN</x:v>
      </x:c>
      <x:c r="M152" t="n">
        <x:v>1</x:v>
      </x:c>
      <x:c r="N152" t="n">
        <x:v>0</x:v>
      </x:c>
      <x:c r="O152" t="n">
        <x:v>0</x:v>
      </x:c>
      <x:c r="P152" t="str">
        <x:f>IF(M152=1,"PASS","GAP")</x:f>
        <x:v>PASS</x:v>
      </x:c>
    </x:row>
    <x:row r="153">
      <x:c r="B153" t="str">
        <x:v>PR-RC-3-CH-03-A-C-X</x:v>
      </x:c>
      <x:c r="C153" t="str">
        <x:v>PR-RC-3-CH-03</x:v>
      </x:c>
      <x:c r="D153" t="str">
        <x:v>RC-3</x:v>
      </x:c>
      <x:c r="E153" t="str">
        <x:v>CH-03</x:v>
      </x:c>
      <x:c r="F153" t="str">
        <x:v>Builder A</x:v>
      </x:c>
      <x:c r="G153" t="str">
        <x:v>PTC-C</x:v>
      </x:c>
      <x:c r="H153" t="str">
        <x:v>challenge</x:v>
      </x:c>
      <x:c r="I153" t="str">
        <x:v>RB-S2</x:v>
      </x:c>
      <x:c r="J153" t="str">
        <x:v>quarter</x:v>
      </x:c>
      <x:c r="K153" s="27" t="n">
        <x:f>Controls!$D$37</x:f>
        <x:v>500</x:v>
      </x:c>
      <x:c r="L153" t="str">
        <x:v>CHALLENGED</x:v>
      </x:c>
      <x:c r="M153" t="n">
        <x:v>1</x:v>
      </x:c>
      <x:c r="N153" t="n">
        <x:v>0</x:v>
      </x:c>
      <x:c r="O153" t="n">
        <x:v>0</x:v>
      </x:c>
      <x:c r="P153" t="str">
        <x:f>IF(M153=1,"PASS","GAP")</x:f>
        <x:v>PASS</x:v>
      </x:c>
    </x:row>
    <x:row r="154">
      <x:c r="B154" t="str">
        <x:v>PR-RC-3-CH-03-A-C-C</x:v>
      </x:c>
      <x:c r="C154" t="str">
        <x:v>PR-RC-3-CH-03</x:v>
      </x:c>
      <x:c r="D154" t="str">
        <x:v>RC-3</x:v>
      </x:c>
      <x:c r="E154" t="str">
        <x:v>CH-03</x:v>
      </x:c>
      <x:c r="F154" t="str">
        <x:v>Builder A</x:v>
      </x:c>
      <x:c r="G154" t="str">
        <x:v>PTC-C</x:v>
      </x:c>
      <x:c r="H154" t="str">
        <x:v>clean control</x:v>
      </x:c>
      <x:c r="I154" t="str">
        <x:v>RB-S2</x:v>
      </x:c>
      <x:c r="J154" t="str">
        <x:v>quarter</x:v>
      </x:c>
      <x:c r="K154" s="27" t="n">
        <x:f>Controls!$D$37</x:f>
        <x:v>500</x:v>
      </x:c>
      <x:c r="L154" t="str">
        <x:v>CLEAN</x:v>
      </x:c>
      <x:c r="M154" t="n">
        <x:v>1</x:v>
      </x:c>
      <x:c r="N154" t="n">
        <x:v>0</x:v>
      </x:c>
      <x:c r="O154" t="n">
        <x:v>0</x:v>
      </x:c>
      <x:c r="P154" t="str">
        <x:f>IF(M154=1,"PASS","GAP")</x:f>
        <x:v>PASS</x:v>
      </x:c>
    </x:row>
    <x:row r="155">
      <x:c r="B155" t="str">
        <x:v>PR-RC-3-CH-03-B-B-X</x:v>
      </x:c>
      <x:c r="C155" t="str">
        <x:v>PR-RC-3-CH-03</x:v>
      </x:c>
      <x:c r="D155" t="str">
        <x:v>RC-3</x:v>
      </x:c>
      <x:c r="E155" t="str">
        <x:v>CH-03</x:v>
      </x:c>
      <x:c r="F155" t="str">
        <x:v>Builder B</x:v>
      </x:c>
      <x:c r="G155" t="str">
        <x:v>PTC-B</x:v>
      </x:c>
      <x:c r="H155" t="str">
        <x:v>challenge</x:v>
      </x:c>
      <x:c r="I155" t="str">
        <x:v>RB-S2</x:v>
      </x:c>
      <x:c r="J155" t="str">
        <x:v>quarter</x:v>
      </x:c>
      <x:c r="K155" s="27" t="n">
        <x:f>Controls!$D$37</x:f>
        <x:v>500</x:v>
      </x:c>
      <x:c r="L155" t="str">
        <x:v>CHALLENGED</x:v>
      </x:c>
      <x:c r="M155" t="n">
        <x:v>1</x:v>
      </x:c>
      <x:c r="N155" t="n">
        <x:v>0</x:v>
      </x:c>
      <x:c r="O155" t="n">
        <x:v>0</x:v>
      </x:c>
      <x:c r="P155" t="str">
        <x:f>IF(M155=1,"PASS","GAP")</x:f>
        <x:v>PASS</x:v>
      </x:c>
    </x:row>
    <x:row r="156">
      <x:c r="B156" t="str">
        <x:v>PR-RC-3-CH-03-B-B-C</x:v>
      </x:c>
      <x:c r="C156" t="str">
        <x:v>PR-RC-3-CH-03</x:v>
      </x:c>
      <x:c r="D156" t="str">
        <x:v>RC-3</x:v>
      </x:c>
      <x:c r="E156" t="str">
        <x:v>CH-03</x:v>
      </x:c>
      <x:c r="F156" t="str">
        <x:v>Builder B</x:v>
      </x:c>
      <x:c r="G156" t="str">
        <x:v>PTC-B</x:v>
      </x:c>
      <x:c r="H156" t="str">
        <x:v>clean control</x:v>
      </x:c>
      <x:c r="I156" t="str">
        <x:v>RB-S2</x:v>
      </x:c>
      <x:c r="J156" t="str">
        <x:v>quarter</x:v>
      </x:c>
      <x:c r="K156" s="27" t="n">
        <x:f>Controls!$D$37</x:f>
        <x:v>500</x:v>
      </x:c>
      <x:c r="L156" t="str">
        <x:v>CLEAN</x:v>
      </x:c>
      <x:c r="M156" t="n">
        <x:v>1</x:v>
      </x:c>
      <x:c r="N156" t="n">
        <x:v>0</x:v>
      </x:c>
      <x:c r="O156" t="n">
        <x:v>0</x:v>
      </x:c>
      <x:c r="P156" t="str">
        <x:f>IF(M156=1,"PASS","GAP")</x:f>
        <x:v>PASS</x:v>
      </x:c>
    </x:row>
    <x:row r="157">
      <x:c r="B157" t="str">
        <x:v>PR-RC-3-CH-03-B-C-X</x:v>
      </x:c>
      <x:c r="C157" t="str">
        <x:v>PR-RC-3-CH-03</x:v>
      </x:c>
      <x:c r="D157" t="str">
        <x:v>RC-3</x:v>
      </x:c>
      <x:c r="E157" t="str">
        <x:v>CH-03</x:v>
      </x:c>
      <x:c r="F157" t="str">
        <x:v>Builder B</x:v>
      </x:c>
      <x:c r="G157" t="str">
        <x:v>PTC-C</x:v>
      </x:c>
      <x:c r="H157" t="str">
        <x:v>challenge</x:v>
      </x:c>
      <x:c r="I157" t="str">
        <x:v>RB-S2</x:v>
      </x:c>
      <x:c r="J157" t="str">
        <x:v>quarter</x:v>
      </x:c>
      <x:c r="K157" s="27" t="n">
        <x:f>Controls!$D$37</x:f>
        <x:v>500</x:v>
      </x:c>
      <x:c r="L157" t="str">
        <x:v>CHALLENGED</x:v>
      </x:c>
      <x:c r="M157" t="n">
        <x:v>1</x:v>
      </x:c>
      <x:c r="N157" t="n">
        <x:v>0</x:v>
      </x:c>
      <x:c r="O157" t="n">
        <x:v>0</x:v>
      </x:c>
      <x:c r="P157" t="str">
        <x:f>IF(M157=1,"PASS","GAP")</x:f>
        <x:v>PASS</x:v>
      </x:c>
    </x:row>
    <x:row r="158">
      <x:c r="B158" t="str">
        <x:v>PR-RC-3-CH-03-B-C-C</x:v>
      </x:c>
      <x:c r="C158" t="str">
        <x:v>PR-RC-3-CH-03</x:v>
      </x:c>
      <x:c r="D158" t="str">
        <x:v>RC-3</x:v>
      </x:c>
      <x:c r="E158" t="str">
        <x:v>CH-03</x:v>
      </x:c>
      <x:c r="F158" t="str">
        <x:v>Builder B</x:v>
      </x:c>
      <x:c r="G158" t="str">
        <x:v>PTC-C</x:v>
      </x:c>
      <x:c r="H158" t="str">
        <x:v>clean control</x:v>
      </x:c>
      <x:c r="I158" t="str">
        <x:v>RB-S2</x:v>
      </x:c>
      <x:c r="J158" t="str">
        <x:v>quarter</x:v>
      </x:c>
      <x:c r="K158" s="27" t="n">
        <x:f>Controls!$D$37</x:f>
        <x:v>500</x:v>
      </x:c>
      <x:c r="L158" t="str">
        <x:v>CLEAN</x:v>
      </x:c>
      <x:c r="M158" t="n">
        <x:v>1</x:v>
      </x:c>
      <x:c r="N158" t="n">
        <x:v>0</x:v>
      </x:c>
      <x:c r="O158" t="n">
        <x:v>0</x:v>
      </x:c>
      <x:c r="P158" t="str">
        <x:f>IF(M158=1,"PASS","GAP")</x:f>
        <x:v>PASS</x:v>
      </x:c>
    </x:row>
    <x:row r="159">
      <x:c r="B159" t="str">
        <x:v>PR-RC-3-CH-04-A-B-X</x:v>
      </x:c>
      <x:c r="C159" t="str">
        <x:v>PR-RC-3-CH-04</x:v>
      </x:c>
      <x:c r="D159" t="str">
        <x:v>RC-3</x:v>
      </x:c>
      <x:c r="E159" t="str">
        <x:v>CH-04</x:v>
      </x:c>
      <x:c r="F159" t="str">
        <x:v>Builder A</x:v>
      </x:c>
      <x:c r="G159" t="str">
        <x:v>PTC-B</x:v>
      </x:c>
      <x:c r="H159" t="str">
        <x:v>challenge</x:v>
      </x:c>
      <x:c r="I159" t="str">
        <x:v>RB-S2</x:v>
      </x:c>
      <x:c r="J159" t="str">
        <x:v>quarter</x:v>
      </x:c>
      <x:c r="K159" s="27" t="n">
        <x:f>Controls!$D$37</x:f>
        <x:v>500</x:v>
      </x:c>
      <x:c r="L159" t="str">
        <x:v>CHALLENGED</x:v>
      </x:c>
      <x:c r="M159" t="n">
        <x:v>1</x:v>
      </x:c>
      <x:c r="N159" t="n">
        <x:v>0</x:v>
      </x:c>
      <x:c r="O159" t="n">
        <x:v>0</x:v>
      </x:c>
      <x:c r="P159" t="str">
        <x:f>IF(M159=1,"PASS","GAP")</x:f>
        <x:v>PASS</x:v>
      </x:c>
    </x:row>
    <x:row r="160">
      <x:c r="B160" t="str">
        <x:v>PR-RC-3-CH-04-A-B-C</x:v>
      </x:c>
      <x:c r="C160" t="str">
        <x:v>PR-RC-3-CH-04</x:v>
      </x:c>
      <x:c r="D160" t="str">
        <x:v>RC-3</x:v>
      </x:c>
      <x:c r="E160" t="str">
        <x:v>CH-04</x:v>
      </x:c>
      <x:c r="F160" t="str">
        <x:v>Builder A</x:v>
      </x:c>
      <x:c r="G160" t="str">
        <x:v>PTC-B</x:v>
      </x:c>
      <x:c r="H160" t="str">
        <x:v>clean control</x:v>
      </x:c>
      <x:c r="I160" t="str">
        <x:v>RB-S2</x:v>
      </x:c>
      <x:c r="J160" t="str">
        <x:v>quarter</x:v>
      </x:c>
      <x:c r="K160" s="27" t="n">
        <x:f>Controls!$D$37</x:f>
        <x:v>500</x:v>
      </x:c>
      <x:c r="L160" t="str">
        <x:v>CLEAN</x:v>
      </x:c>
      <x:c r="M160" t="n">
        <x:v>1</x:v>
      </x:c>
      <x:c r="N160" t="n">
        <x:v>0</x:v>
      </x:c>
      <x:c r="O160" t="n">
        <x:v>0</x:v>
      </x:c>
      <x:c r="P160" t="str">
        <x:f>IF(M160=1,"PASS","GAP")</x:f>
        <x:v>PASS</x:v>
      </x:c>
    </x:row>
    <x:row r="161">
      <x:c r="B161" t="str">
        <x:v>PR-RC-3-CH-04-A-C-X</x:v>
      </x:c>
      <x:c r="C161" t="str">
        <x:v>PR-RC-3-CH-04</x:v>
      </x:c>
      <x:c r="D161" t="str">
        <x:v>RC-3</x:v>
      </x:c>
      <x:c r="E161" t="str">
        <x:v>CH-04</x:v>
      </x:c>
      <x:c r="F161" t="str">
        <x:v>Builder A</x:v>
      </x:c>
      <x:c r="G161" t="str">
        <x:v>PTC-C</x:v>
      </x:c>
      <x:c r="H161" t="str">
        <x:v>challenge</x:v>
      </x:c>
      <x:c r="I161" t="str">
        <x:v>RB-S2</x:v>
      </x:c>
      <x:c r="J161" t="str">
        <x:v>quarter</x:v>
      </x:c>
      <x:c r="K161" s="27" t="n">
        <x:f>Controls!$D$37</x:f>
        <x:v>500</x:v>
      </x:c>
      <x:c r="L161" t="str">
        <x:v>CHALLENGED</x:v>
      </x:c>
      <x:c r="M161" t="n">
        <x:v>1</x:v>
      </x:c>
      <x:c r="N161" t="n">
        <x:v>0</x:v>
      </x:c>
      <x:c r="O161" t="n">
        <x:v>0</x:v>
      </x:c>
      <x:c r="P161" t="str">
        <x:f>IF(M161=1,"PASS","GAP")</x:f>
        <x:v>PASS</x:v>
      </x:c>
    </x:row>
    <x:row r="162">
      <x:c r="B162" t="str">
        <x:v>PR-RC-3-CH-04-A-C-C</x:v>
      </x:c>
      <x:c r="C162" t="str">
        <x:v>PR-RC-3-CH-04</x:v>
      </x:c>
      <x:c r="D162" t="str">
        <x:v>RC-3</x:v>
      </x:c>
      <x:c r="E162" t="str">
        <x:v>CH-04</x:v>
      </x:c>
      <x:c r="F162" t="str">
        <x:v>Builder A</x:v>
      </x:c>
      <x:c r="G162" t="str">
        <x:v>PTC-C</x:v>
      </x:c>
      <x:c r="H162" t="str">
        <x:v>clean control</x:v>
      </x:c>
      <x:c r="I162" t="str">
        <x:v>RB-S2</x:v>
      </x:c>
      <x:c r="J162" t="str">
        <x:v>quarter</x:v>
      </x:c>
      <x:c r="K162" s="27" t="n">
        <x:f>Controls!$D$37</x:f>
        <x:v>500</x:v>
      </x:c>
      <x:c r="L162" t="str">
        <x:v>CLEAN</x:v>
      </x:c>
      <x:c r="M162" t="n">
        <x:v>1</x:v>
      </x:c>
      <x:c r="N162" t="n">
        <x:v>0</x:v>
      </x:c>
      <x:c r="O162" t="n">
        <x:v>0</x:v>
      </x:c>
      <x:c r="P162" t="str">
        <x:f>IF(M162=1,"PASS","GAP")</x:f>
        <x:v>PASS</x:v>
      </x:c>
    </x:row>
    <x:row r="163">
      <x:c r="B163" t="str">
        <x:v>PR-RC-3-CH-04-B-B-X</x:v>
      </x:c>
      <x:c r="C163" t="str">
        <x:v>PR-RC-3-CH-04</x:v>
      </x:c>
      <x:c r="D163" t="str">
        <x:v>RC-3</x:v>
      </x:c>
      <x:c r="E163" t="str">
        <x:v>CH-04</x:v>
      </x:c>
      <x:c r="F163" t="str">
        <x:v>Builder B</x:v>
      </x:c>
      <x:c r="G163" t="str">
        <x:v>PTC-B</x:v>
      </x:c>
      <x:c r="H163" t="str">
        <x:v>challenge</x:v>
      </x:c>
      <x:c r="I163" t="str">
        <x:v>RB-S2</x:v>
      </x:c>
      <x:c r="J163" t="str">
        <x:v>quarter</x:v>
      </x:c>
      <x:c r="K163" s="27" t="n">
        <x:f>Controls!$D$37</x:f>
        <x:v>500</x:v>
      </x:c>
      <x:c r="L163" t="str">
        <x:v>CHALLENGED</x:v>
      </x:c>
      <x:c r="M163" t="n">
        <x:v>1</x:v>
      </x:c>
      <x:c r="N163" t="n">
        <x:v>0</x:v>
      </x:c>
      <x:c r="O163" t="n">
        <x:v>0</x:v>
      </x:c>
      <x:c r="P163" t="str">
        <x:f>IF(M163=1,"PASS","GAP")</x:f>
        <x:v>PASS</x:v>
      </x:c>
    </x:row>
    <x:row r="164">
      <x:c r="B164" t="str">
        <x:v>PR-RC-3-CH-04-B-B-C</x:v>
      </x:c>
      <x:c r="C164" t="str">
        <x:v>PR-RC-3-CH-04</x:v>
      </x:c>
      <x:c r="D164" t="str">
        <x:v>RC-3</x:v>
      </x:c>
      <x:c r="E164" t="str">
        <x:v>CH-04</x:v>
      </x:c>
      <x:c r="F164" t="str">
        <x:v>Builder B</x:v>
      </x:c>
      <x:c r="G164" t="str">
        <x:v>PTC-B</x:v>
      </x:c>
      <x:c r="H164" t="str">
        <x:v>clean control</x:v>
      </x:c>
      <x:c r="I164" t="str">
        <x:v>RB-S2</x:v>
      </x:c>
      <x:c r="J164" t="str">
        <x:v>quarter</x:v>
      </x:c>
      <x:c r="K164" s="27" t="n">
        <x:f>Controls!$D$37</x:f>
        <x:v>500</x:v>
      </x:c>
      <x:c r="L164" t="str">
        <x:v>CLEAN</x:v>
      </x:c>
      <x:c r="M164" t="n">
        <x:v>1</x:v>
      </x:c>
      <x:c r="N164" t="n">
        <x:v>0</x:v>
      </x:c>
      <x:c r="O164" t="n">
        <x:v>0</x:v>
      </x:c>
      <x:c r="P164" t="str">
        <x:f>IF(M164=1,"PASS","GAP")</x:f>
        <x:v>PASS</x:v>
      </x:c>
    </x:row>
    <x:row r="165">
      <x:c r="B165" t="str">
        <x:v>PR-RC-3-CH-04-B-C-X</x:v>
      </x:c>
      <x:c r="C165" t="str">
        <x:v>PR-RC-3-CH-04</x:v>
      </x:c>
      <x:c r="D165" t="str">
        <x:v>RC-3</x:v>
      </x:c>
      <x:c r="E165" t="str">
        <x:v>CH-04</x:v>
      </x:c>
      <x:c r="F165" t="str">
        <x:v>Builder B</x:v>
      </x:c>
      <x:c r="G165" t="str">
        <x:v>PTC-C</x:v>
      </x:c>
      <x:c r="H165" t="str">
        <x:v>challenge</x:v>
      </x:c>
      <x:c r="I165" t="str">
        <x:v>RB-S2</x:v>
      </x:c>
      <x:c r="J165" t="str">
        <x:v>quarter</x:v>
      </x:c>
      <x:c r="K165" s="27" t="n">
        <x:f>Controls!$D$37</x:f>
        <x:v>500</x:v>
      </x:c>
      <x:c r="L165" t="str">
        <x:v>CHALLENGED</x:v>
      </x:c>
      <x:c r="M165" t="n">
        <x:v>1</x:v>
      </x:c>
      <x:c r="N165" t="n">
        <x:v>0</x:v>
      </x:c>
      <x:c r="O165" t="n">
        <x:v>0</x:v>
      </x:c>
      <x:c r="P165" t="str">
        <x:f>IF(M165=1,"PASS","GAP")</x:f>
        <x:v>PASS</x:v>
      </x:c>
    </x:row>
    <x:row r="166">
      <x:c r="B166" t="str">
        <x:v>PR-RC-3-CH-04-B-C-C</x:v>
      </x:c>
      <x:c r="C166" t="str">
        <x:v>PR-RC-3-CH-04</x:v>
      </x:c>
      <x:c r="D166" t="str">
        <x:v>RC-3</x:v>
      </x:c>
      <x:c r="E166" t="str">
        <x:v>CH-04</x:v>
      </x:c>
      <x:c r="F166" t="str">
        <x:v>Builder B</x:v>
      </x:c>
      <x:c r="G166" t="str">
        <x:v>PTC-C</x:v>
      </x:c>
      <x:c r="H166" t="str">
        <x:v>clean control</x:v>
      </x:c>
      <x:c r="I166" t="str">
        <x:v>RB-S2</x:v>
      </x:c>
      <x:c r="J166" t="str">
        <x:v>quarter</x:v>
      </x:c>
      <x:c r="K166" s="27" t="n">
        <x:f>Controls!$D$37</x:f>
        <x:v>500</x:v>
      </x:c>
      <x:c r="L166" t="str">
        <x:v>CLEAN</x:v>
      </x:c>
      <x:c r="M166" t="n">
        <x:v>1</x:v>
      </x:c>
      <x:c r="N166" t="n">
        <x:v>0</x:v>
      </x:c>
      <x:c r="O166" t="n">
        <x:v>0</x:v>
      </x:c>
      <x:c r="P166" t="str">
        <x:f>IF(M166=1,"PASS","GAP")</x:f>
        <x:v>PASS</x:v>
      </x:c>
    </x:row>
    <x:row r="167">
      <x:c r="B167" t="str">
        <x:v>PR-RC-3-CH-05-A-B-X</x:v>
      </x:c>
      <x:c r="C167" t="str">
        <x:v>PR-RC-3-CH-05</x:v>
      </x:c>
      <x:c r="D167" t="str">
        <x:v>RC-3</x:v>
      </x:c>
      <x:c r="E167" t="str">
        <x:v>CH-05</x:v>
      </x:c>
      <x:c r="F167" t="str">
        <x:v>Builder A</x:v>
      </x:c>
      <x:c r="G167" t="str">
        <x:v>PTC-B</x:v>
      </x:c>
      <x:c r="H167" t="str">
        <x:v>challenge</x:v>
      </x:c>
      <x:c r="I167" t="str">
        <x:v>RB-S3</x:v>
      </x:c>
      <x:c r="J167" t="str">
        <x:v>full</x:v>
      </x:c>
      <x:c r="K167" s="27" t="n">
        <x:f>Controls!$D$38</x:f>
        <x:v>2000</x:v>
      </x:c>
      <x:c r="L167" t="str">
        <x:v>CHALLENGED</x:v>
      </x:c>
      <x:c r="M167" t="n">
        <x:v>1</x:v>
      </x:c>
      <x:c r="N167" t="n">
        <x:v>0</x:v>
      </x:c>
      <x:c r="O167" t="n">
        <x:v>0</x:v>
      </x:c>
      <x:c r="P167" t="str">
        <x:f>IF(M167=1,"PASS","GAP")</x:f>
        <x:v>PASS</x:v>
      </x:c>
    </x:row>
    <x:row r="168">
      <x:c r="B168" t="str">
        <x:v>PR-RC-3-CH-05-A-B-C</x:v>
      </x:c>
      <x:c r="C168" t="str">
        <x:v>PR-RC-3-CH-05</x:v>
      </x:c>
      <x:c r="D168" t="str">
        <x:v>RC-3</x:v>
      </x:c>
      <x:c r="E168" t="str">
        <x:v>CH-05</x:v>
      </x:c>
      <x:c r="F168" t="str">
        <x:v>Builder A</x:v>
      </x:c>
      <x:c r="G168" t="str">
        <x:v>PTC-B</x:v>
      </x:c>
      <x:c r="H168" t="str">
        <x:v>clean control</x:v>
      </x:c>
      <x:c r="I168" t="str">
        <x:v>RB-S3</x:v>
      </x:c>
      <x:c r="J168" t="str">
        <x:v>full</x:v>
      </x:c>
      <x:c r="K168" s="27" t="n">
        <x:f>Controls!$D$38</x:f>
        <x:v>2000</x:v>
      </x:c>
      <x:c r="L168" t="str">
        <x:v>CLEAN</x:v>
      </x:c>
      <x:c r="M168" t="n">
        <x:v>1</x:v>
      </x:c>
      <x:c r="N168" t="n">
        <x:v>0</x:v>
      </x:c>
      <x:c r="O168" t="n">
        <x:v>0</x:v>
      </x:c>
      <x:c r="P168" t="str">
        <x:f>IF(M168=1,"PASS","GAP")</x:f>
        <x:v>PASS</x:v>
      </x:c>
    </x:row>
    <x:row r="169">
      <x:c r="B169" t="str">
        <x:v>PR-RC-3-CH-05-A-C-X</x:v>
      </x:c>
      <x:c r="C169" t="str">
        <x:v>PR-RC-3-CH-05</x:v>
      </x:c>
      <x:c r="D169" t="str">
        <x:v>RC-3</x:v>
      </x:c>
      <x:c r="E169" t="str">
        <x:v>CH-05</x:v>
      </x:c>
      <x:c r="F169" t="str">
        <x:v>Builder A</x:v>
      </x:c>
      <x:c r="G169" t="str">
        <x:v>PTC-C</x:v>
      </x:c>
      <x:c r="H169" t="str">
        <x:v>challenge</x:v>
      </x:c>
      <x:c r="I169" t="str">
        <x:v>RB-S3</x:v>
      </x:c>
      <x:c r="J169" t="str">
        <x:v>full</x:v>
      </x:c>
      <x:c r="K169" s="27" t="n">
        <x:f>Controls!$D$38</x:f>
        <x:v>2000</x:v>
      </x:c>
      <x:c r="L169" t="str">
        <x:v>CHALLENGED</x:v>
      </x:c>
      <x:c r="M169" t="n">
        <x:v>1</x:v>
      </x:c>
      <x:c r="N169" t="n">
        <x:v>0</x:v>
      </x:c>
      <x:c r="O169" t="n">
        <x:v>0</x:v>
      </x:c>
      <x:c r="P169" t="str">
        <x:f>IF(M169=1,"PASS","GAP")</x:f>
        <x:v>PASS</x:v>
      </x:c>
    </x:row>
    <x:row r="170">
      <x:c r="B170" t="str">
        <x:v>PR-RC-3-CH-05-A-C-C</x:v>
      </x:c>
      <x:c r="C170" t="str">
        <x:v>PR-RC-3-CH-05</x:v>
      </x:c>
      <x:c r="D170" t="str">
        <x:v>RC-3</x:v>
      </x:c>
      <x:c r="E170" t="str">
        <x:v>CH-05</x:v>
      </x:c>
      <x:c r="F170" t="str">
        <x:v>Builder A</x:v>
      </x:c>
      <x:c r="G170" t="str">
        <x:v>PTC-C</x:v>
      </x:c>
      <x:c r="H170" t="str">
        <x:v>clean control</x:v>
      </x:c>
      <x:c r="I170" t="str">
        <x:v>RB-S3</x:v>
      </x:c>
      <x:c r="J170" t="str">
        <x:v>full</x:v>
      </x:c>
      <x:c r="K170" s="27" t="n">
        <x:f>Controls!$D$38</x:f>
        <x:v>2000</x:v>
      </x:c>
      <x:c r="L170" t="str">
        <x:v>CLEAN</x:v>
      </x:c>
      <x:c r="M170" t="n">
        <x:v>1</x:v>
      </x:c>
      <x:c r="N170" t="n">
        <x:v>0</x:v>
      </x:c>
      <x:c r="O170" t="n">
        <x:v>0</x:v>
      </x:c>
      <x:c r="P170" t="str">
        <x:f>IF(M170=1,"PASS","GAP")</x:f>
        <x:v>PASS</x:v>
      </x:c>
    </x:row>
    <x:row r="171">
      <x:c r="B171" t="str">
        <x:v>PR-RC-3-CH-05-B-B-X</x:v>
      </x:c>
      <x:c r="C171" t="str">
        <x:v>PR-RC-3-CH-05</x:v>
      </x:c>
      <x:c r="D171" t="str">
        <x:v>RC-3</x:v>
      </x:c>
      <x:c r="E171" t="str">
        <x:v>CH-05</x:v>
      </x:c>
      <x:c r="F171" t="str">
        <x:v>Builder B</x:v>
      </x:c>
      <x:c r="G171" t="str">
        <x:v>PTC-B</x:v>
      </x:c>
      <x:c r="H171" t="str">
        <x:v>challenge</x:v>
      </x:c>
      <x:c r="I171" t="str">
        <x:v>RB-S3</x:v>
      </x:c>
      <x:c r="J171" t="str">
        <x:v>full</x:v>
      </x:c>
      <x:c r="K171" s="27" t="n">
        <x:f>Controls!$D$38</x:f>
        <x:v>2000</x:v>
      </x:c>
      <x:c r="L171" t="str">
        <x:v>CHALLENGED</x:v>
      </x:c>
      <x:c r="M171" t="n">
        <x:v>1</x:v>
      </x:c>
      <x:c r="N171" t="n">
        <x:v>0</x:v>
      </x:c>
      <x:c r="O171" t="n">
        <x:v>0</x:v>
      </x:c>
      <x:c r="P171" t="str">
        <x:f>IF(M171=1,"PASS","GAP")</x:f>
        <x:v>PASS</x:v>
      </x:c>
    </x:row>
    <x:row r="172">
      <x:c r="B172" t="str">
        <x:v>PR-RC-3-CH-05-B-B-C</x:v>
      </x:c>
      <x:c r="C172" t="str">
        <x:v>PR-RC-3-CH-05</x:v>
      </x:c>
      <x:c r="D172" t="str">
        <x:v>RC-3</x:v>
      </x:c>
      <x:c r="E172" t="str">
        <x:v>CH-05</x:v>
      </x:c>
      <x:c r="F172" t="str">
        <x:v>Builder B</x:v>
      </x:c>
      <x:c r="G172" t="str">
        <x:v>PTC-B</x:v>
      </x:c>
      <x:c r="H172" t="str">
        <x:v>clean control</x:v>
      </x:c>
      <x:c r="I172" t="str">
        <x:v>RB-S3</x:v>
      </x:c>
      <x:c r="J172" t="str">
        <x:v>full</x:v>
      </x:c>
      <x:c r="K172" s="27" t="n">
        <x:f>Controls!$D$38</x:f>
        <x:v>2000</x:v>
      </x:c>
      <x:c r="L172" t="str">
        <x:v>CLEAN</x:v>
      </x:c>
      <x:c r="M172" t="n">
        <x:v>1</x:v>
      </x:c>
      <x:c r="N172" t="n">
        <x:v>0</x:v>
      </x:c>
      <x:c r="O172" t="n">
        <x:v>0</x:v>
      </x:c>
      <x:c r="P172" t="str">
        <x:f>IF(M172=1,"PASS","GAP")</x:f>
        <x:v>PASS</x:v>
      </x:c>
    </x:row>
    <x:row r="173">
      <x:c r="B173" t="str">
        <x:v>PR-RC-3-CH-05-B-C-X</x:v>
      </x:c>
      <x:c r="C173" t="str">
        <x:v>PR-RC-3-CH-05</x:v>
      </x:c>
      <x:c r="D173" t="str">
        <x:v>RC-3</x:v>
      </x:c>
      <x:c r="E173" t="str">
        <x:v>CH-05</x:v>
      </x:c>
      <x:c r="F173" t="str">
        <x:v>Builder B</x:v>
      </x:c>
      <x:c r="G173" t="str">
        <x:v>PTC-C</x:v>
      </x:c>
      <x:c r="H173" t="str">
        <x:v>challenge</x:v>
      </x:c>
      <x:c r="I173" t="str">
        <x:v>RB-S3</x:v>
      </x:c>
      <x:c r="J173" t="str">
        <x:v>full</x:v>
      </x:c>
      <x:c r="K173" s="27" t="n">
        <x:f>Controls!$D$38</x:f>
        <x:v>2000</x:v>
      </x:c>
      <x:c r="L173" t="str">
        <x:v>CHALLENGED</x:v>
      </x:c>
      <x:c r="M173" t="n">
        <x:v>1</x:v>
      </x:c>
      <x:c r="N173" t="n">
        <x:v>0</x:v>
      </x:c>
      <x:c r="O173" t="n">
        <x:v>0</x:v>
      </x:c>
      <x:c r="P173" t="str">
        <x:f>IF(M173=1,"PASS","GAP")</x:f>
        <x:v>PASS</x:v>
      </x:c>
    </x:row>
    <x:row r="174">
      <x:c r="B174" t="str">
        <x:v>PR-RC-3-CH-05-B-C-C</x:v>
      </x:c>
      <x:c r="C174" t="str">
        <x:v>PR-RC-3-CH-05</x:v>
      </x:c>
      <x:c r="D174" t="str">
        <x:v>RC-3</x:v>
      </x:c>
      <x:c r="E174" t="str">
        <x:v>CH-05</x:v>
      </x:c>
      <x:c r="F174" t="str">
        <x:v>Builder B</x:v>
      </x:c>
      <x:c r="G174" t="str">
        <x:v>PTC-C</x:v>
      </x:c>
      <x:c r="H174" t="str">
        <x:v>clean control</x:v>
      </x:c>
      <x:c r="I174" t="str">
        <x:v>RB-S3</x:v>
      </x:c>
      <x:c r="J174" t="str">
        <x:v>full</x:v>
      </x:c>
      <x:c r="K174" s="27" t="n">
        <x:f>Controls!$D$38</x:f>
        <x:v>2000</x:v>
      </x:c>
      <x:c r="L174" t="str">
        <x:v>CLEAN</x:v>
      </x:c>
      <x:c r="M174" t="n">
        <x:v>1</x:v>
      </x:c>
      <x:c r="N174" t="n">
        <x:v>0</x:v>
      </x:c>
      <x:c r="O174" t="n">
        <x:v>0</x:v>
      </x:c>
      <x:c r="P174" t="str">
        <x:f>IF(M174=1,"PASS","GAP")</x:f>
        <x:v>PASS</x:v>
      </x:c>
    </x:row>
    <x:row r="175">
      <x:c r="B175" t="str">
        <x:v>PR-RC-3-CH-06-A-B-X</x:v>
      </x:c>
      <x:c r="C175" t="str">
        <x:v>PR-RC-3-CH-06</x:v>
      </x:c>
      <x:c r="D175" t="str">
        <x:v>RC-3</x:v>
      </x:c>
      <x:c r="E175" t="str">
        <x:v>CH-06</x:v>
      </x:c>
      <x:c r="F175" t="str">
        <x:v>Builder A</x:v>
      </x:c>
      <x:c r="G175" t="str">
        <x:v>PTC-B</x:v>
      </x:c>
      <x:c r="H175" t="str">
        <x:v>challenge</x:v>
      </x:c>
      <x:c r="I175" t="str">
        <x:v>RB-S4</x:v>
      </x:c>
      <x:c r="J175" t="str">
        <x:v>full</x:v>
      </x:c>
      <x:c r="K175" s="27" t="n">
        <x:f>Controls!$D$38</x:f>
        <x:v>2000</x:v>
      </x:c>
      <x:c r="L175" t="str">
        <x:v>CHALLENGED</x:v>
      </x:c>
      <x:c r="M175" t="n">
        <x:v>1</x:v>
      </x:c>
      <x:c r="N175" t="n">
        <x:v>0</x:v>
      </x:c>
      <x:c r="O175" t="n">
        <x:v>0</x:v>
      </x:c>
      <x:c r="P175" t="str">
        <x:f>IF(M175=1,"PASS","GAP")</x:f>
        <x:v>PASS</x:v>
      </x:c>
    </x:row>
    <x:row r="176">
      <x:c r="B176" t="str">
        <x:v>PR-RC-3-CH-06-A-B-C</x:v>
      </x:c>
      <x:c r="C176" t="str">
        <x:v>PR-RC-3-CH-06</x:v>
      </x:c>
      <x:c r="D176" t="str">
        <x:v>RC-3</x:v>
      </x:c>
      <x:c r="E176" t="str">
        <x:v>CH-06</x:v>
      </x:c>
      <x:c r="F176" t="str">
        <x:v>Builder A</x:v>
      </x:c>
      <x:c r="G176" t="str">
        <x:v>PTC-B</x:v>
      </x:c>
      <x:c r="H176" t="str">
        <x:v>clean control</x:v>
      </x:c>
      <x:c r="I176" t="str">
        <x:v>RB-S4</x:v>
      </x:c>
      <x:c r="J176" t="str">
        <x:v>full</x:v>
      </x:c>
      <x:c r="K176" s="27" t="n">
        <x:f>Controls!$D$38</x:f>
        <x:v>2000</x:v>
      </x:c>
      <x:c r="L176" t="str">
        <x:v>CLEAN</x:v>
      </x:c>
      <x:c r="M176" t="n">
        <x:v>1</x:v>
      </x:c>
      <x:c r="N176" t="n">
        <x:v>0</x:v>
      </x:c>
      <x:c r="O176" t="n">
        <x:v>0</x:v>
      </x:c>
      <x:c r="P176" t="str">
        <x:f>IF(M176=1,"PASS","GAP")</x:f>
        <x:v>PASS</x:v>
      </x:c>
    </x:row>
    <x:row r="177">
      <x:c r="B177" t="str">
        <x:v>PR-RC-3-CH-06-A-C-X</x:v>
      </x:c>
      <x:c r="C177" t="str">
        <x:v>PR-RC-3-CH-06</x:v>
      </x:c>
      <x:c r="D177" t="str">
        <x:v>RC-3</x:v>
      </x:c>
      <x:c r="E177" t="str">
        <x:v>CH-06</x:v>
      </x:c>
      <x:c r="F177" t="str">
        <x:v>Builder A</x:v>
      </x:c>
      <x:c r="G177" t="str">
        <x:v>PTC-C</x:v>
      </x:c>
      <x:c r="H177" t="str">
        <x:v>challenge</x:v>
      </x:c>
      <x:c r="I177" t="str">
        <x:v>RB-S4</x:v>
      </x:c>
      <x:c r="J177" t="str">
        <x:v>full</x:v>
      </x:c>
      <x:c r="K177" s="27" t="n">
        <x:f>Controls!$D$38</x:f>
        <x:v>2000</x:v>
      </x:c>
      <x:c r="L177" t="str">
        <x:v>CHALLENGED</x:v>
      </x:c>
      <x:c r="M177" t="n">
        <x:v>1</x:v>
      </x:c>
      <x:c r="N177" t="n">
        <x:v>0</x:v>
      </x:c>
      <x:c r="O177" t="n">
        <x:v>0</x:v>
      </x:c>
      <x:c r="P177" t="str">
        <x:f>IF(M177=1,"PASS","GAP")</x:f>
        <x:v>PASS</x:v>
      </x:c>
    </x:row>
    <x:row r="178">
      <x:c r="B178" t="str">
        <x:v>PR-RC-3-CH-06-A-C-C</x:v>
      </x:c>
      <x:c r="C178" t="str">
        <x:v>PR-RC-3-CH-06</x:v>
      </x:c>
      <x:c r="D178" t="str">
        <x:v>RC-3</x:v>
      </x:c>
      <x:c r="E178" t="str">
        <x:v>CH-06</x:v>
      </x:c>
      <x:c r="F178" t="str">
        <x:v>Builder A</x:v>
      </x:c>
      <x:c r="G178" t="str">
        <x:v>PTC-C</x:v>
      </x:c>
      <x:c r="H178" t="str">
        <x:v>clean control</x:v>
      </x:c>
      <x:c r="I178" t="str">
        <x:v>RB-S4</x:v>
      </x:c>
      <x:c r="J178" t="str">
        <x:v>full</x:v>
      </x:c>
      <x:c r="K178" s="27" t="n">
        <x:f>Controls!$D$38</x:f>
        <x:v>2000</x:v>
      </x:c>
      <x:c r="L178" t="str">
        <x:v>CLEAN</x:v>
      </x:c>
      <x:c r="M178" t="n">
        <x:v>1</x:v>
      </x:c>
      <x:c r="N178" t="n">
        <x:v>0</x:v>
      </x:c>
      <x:c r="O178" t="n">
        <x:v>0</x:v>
      </x:c>
      <x:c r="P178" t="str">
        <x:f>IF(M178=1,"PASS","GAP")</x:f>
        <x:v>PASS</x:v>
      </x:c>
    </x:row>
    <x:row r="179">
      <x:c r="B179" t="str">
        <x:v>PR-RC-3-CH-06-B-B-X</x:v>
      </x:c>
      <x:c r="C179" t="str">
        <x:v>PR-RC-3-CH-06</x:v>
      </x:c>
      <x:c r="D179" t="str">
        <x:v>RC-3</x:v>
      </x:c>
      <x:c r="E179" t="str">
        <x:v>CH-06</x:v>
      </x:c>
      <x:c r="F179" t="str">
        <x:v>Builder B</x:v>
      </x:c>
      <x:c r="G179" t="str">
        <x:v>PTC-B</x:v>
      </x:c>
      <x:c r="H179" t="str">
        <x:v>challenge</x:v>
      </x:c>
      <x:c r="I179" t="str">
        <x:v>RB-S4</x:v>
      </x:c>
      <x:c r="J179" t="str">
        <x:v>full</x:v>
      </x:c>
      <x:c r="K179" s="27" t="n">
        <x:f>Controls!$D$38</x:f>
        <x:v>2000</x:v>
      </x:c>
      <x:c r="L179" t="str">
        <x:v>CHALLENGED</x:v>
      </x:c>
      <x:c r="M179" t="n">
        <x:v>1</x:v>
      </x:c>
      <x:c r="N179" t="n">
        <x:v>0</x:v>
      </x:c>
      <x:c r="O179" t="n">
        <x:v>0</x:v>
      </x:c>
      <x:c r="P179" t="str">
        <x:f>IF(M179=1,"PASS","GAP")</x:f>
        <x:v>PASS</x:v>
      </x:c>
    </x:row>
    <x:row r="180">
      <x:c r="B180" t="str">
        <x:v>PR-RC-3-CH-06-B-B-C</x:v>
      </x:c>
      <x:c r="C180" t="str">
        <x:v>PR-RC-3-CH-06</x:v>
      </x:c>
      <x:c r="D180" t="str">
        <x:v>RC-3</x:v>
      </x:c>
      <x:c r="E180" t="str">
        <x:v>CH-06</x:v>
      </x:c>
      <x:c r="F180" t="str">
        <x:v>Builder B</x:v>
      </x:c>
      <x:c r="G180" t="str">
        <x:v>PTC-B</x:v>
      </x:c>
      <x:c r="H180" t="str">
        <x:v>clean control</x:v>
      </x:c>
      <x:c r="I180" t="str">
        <x:v>RB-S4</x:v>
      </x:c>
      <x:c r="J180" t="str">
        <x:v>full</x:v>
      </x:c>
      <x:c r="K180" s="27" t="n">
        <x:f>Controls!$D$38</x:f>
        <x:v>2000</x:v>
      </x:c>
      <x:c r="L180" t="str">
        <x:v>CLEAN</x:v>
      </x:c>
      <x:c r="M180" t="n">
        <x:v>1</x:v>
      </x:c>
      <x:c r="N180" t="n">
        <x:v>0</x:v>
      </x:c>
      <x:c r="O180" t="n">
        <x:v>0</x:v>
      </x:c>
      <x:c r="P180" t="str">
        <x:f>IF(M180=1,"PASS","GAP")</x:f>
        <x:v>PASS</x:v>
      </x:c>
    </x:row>
    <x:row r="181">
      <x:c r="B181" t="str">
        <x:v>PR-RC-3-CH-06-B-C-X</x:v>
      </x:c>
      <x:c r="C181" t="str">
        <x:v>PR-RC-3-CH-06</x:v>
      </x:c>
      <x:c r="D181" t="str">
        <x:v>RC-3</x:v>
      </x:c>
      <x:c r="E181" t="str">
        <x:v>CH-06</x:v>
      </x:c>
      <x:c r="F181" t="str">
        <x:v>Builder B</x:v>
      </x:c>
      <x:c r="G181" t="str">
        <x:v>PTC-C</x:v>
      </x:c>
      <x:c r="H181" t="str">
        <x:v>challenge</x:v>
      </x:c>
      <x:c r="I181" t="str">
        <x:v>RB-S4</x:v>
      </x:c>
      <x:c r="J181" t="str">
        <x:v>full</x:v>
      </x:c>
      <x:c r="K181" s="27" t="n">
        <x:f>Controls!$D$38</x:f>
        <x:v>2000</x:v>
      </x:c>
      <x:c r="L181" t="str">
        <x:v>CHALLENGED</x:v>
      </x:c>
      <x:c r="M181" t="n">
        <x:v>1</x:v>
      </x:c>
      <x:c r="N181" t="n">
        <x:v>0</x:v>
      </x:c>
      <x:c r="O181" t="n">
        <x:v>0</x:v>
      </x:c>
      <x:c r="P181" t="str">
        <x:f>IF(M181=1,"PASS","GAP")</x:f>
        <x:v>PASS</x:v>
      </x:c>
    </x:row>
    <x:row r="182">
      <x:c r="B182" t="str">
        <x:v>PR-RC-3-CH-06-B-C-C</x:v>
      </x:c>
      <x:c r="C182" t="str">
        <x:v>PR-RC-3-CH-06</x:v>
      </x:c>
      <x:c r="D182" t="str">
        <x:v>RC-3</x:v>
      </x:c>
      <x:c r="E182" t="str">
        <x:v>CH-06</x:v>
      </x:c>
      <x:c r="F182" t="str">
        <x:v>Builder B</x:v>
      </x:c>
      <x:c r="G182" t="str">
        <x:v>PTC-C</x:v>
      </x:c>
      <x:c r="H182" t="str">
        <x:v>clean control</x:v>
      </x:c>
      <x:c r="I182" t="str">
        <x:v>RB-S4</x:v>
      </x:c>
      <x:c r="J182" t="str">
        <x:v>full</x:v>
      </x:c>
      <x:c r="K182" s="27" t="n">
        <x:f>Controls!$D$38</x:f>
        <x:v>2000</x:v>
      </x:c>
      <x:c r="L182" t="str">
        <x:v>CLEAN</x:v>
      </x:c>
      <x:c r="M182" t="n">
        <x:v>1</x:v>
      </x:c>
      <x:c r="N182" t="n">
        <x:v>0</x:v>
      </x:c>
      <x:c r="O182" t="n">
        <x:v>0</x:v>
      </x:c>
      <x:c r="P182" t="str">
        <x:f>IF(M182=1,"PASS","GAP")</x:f>
        <x:v>PASS</x:v>
      </x:c>
    </x:row>
    <x:row r="183">
      <x:c r="B183" t="str">
        <x:v>PR-RC-3-CH-07-A-B-X</x:v>
      </x:c>
      <x:c r="C183" t="str">
        <x:v>PR-RC-3-CH-07</x:v>
      </x:c>
      <x:c r="D183" t="str">
        <x:v>RC-3</x:v>
      </x:c>
      <x:c r="E183" t="str">
        <x:v>CH-07</x:v>
      </x:c>
      <x:c r="F183" t="str">
        <x:v>Builder A</x:v>
      </x:c>
      <x:c r="G183" t="str">
        <x:v>PTC-B</x:v>
      </x:c>
      <x:c r="H183" t="str">
        <x:v>challenge</x:v>
      </x:c>
      <x:c r="I183" t="str">
        <x:v>RB-S3</x:v>
      </x:c>
      <x:c r="J183" t="str">
        <x:v>full</x:v>
      </x:c>
      <x:c r="K183" s="27" t="n">
        <x:f>Controls!$D$38</x:f>
        <x:v>2000</x:v>
      </x:c>
      <x:c r="L183" t="str">
        <x:v>CHALLENGED</x:v>
      </x:c>
      <x:c r="M183" t="n">
        <x:v>1</x:v>
      </x:c>
      <x:c r="N183" t="n">
        <x:v>0</x:v>
      </x:c>
      <x:c r="O183" t="n">
        <x:v>0</x:v>
      </x:c>
      <x:c r="P183" t="str">
        <x:f>IF(M183=1,"PASS","GAP")</x:f>
        <x:v>PASS</x:v>
      </x:c>
    </x:row>
    <x:row r="184">
      <x:c r="B184" t="str">
        <x:v>PR-RC-3-CH-07-A-B-C</x:v>
      </x:c>
      <x:c r="C184" t="str">
        <x:v>PR-RC-3-CH-07</x:v>
      </x:c>
      <x:c r="D184" t="str">
        <x:v>RC-3</x:v>
      </x:c>
      <x:c r="E184" t="str">
        <x:v>CH-07</x:v>
      </x:c>
      <x:c r="F184" t="str">
        <x:v>Builder A</x:v>
      </x:c>
      <x:c r="G184" t="str">
        <x:v>PTC-B</x:v>
      </x:c>
      <x:c r="H184" t="str">
        <x:v>clean control</x:v>
      </x:c>
      <x:c r="I184" t="str">
        <x:v>RB-S3</x:v>
      </x:c>
      <x:c r="J184" t="str">
        <x:v>full</x:v>
      </x:c>
      <x:c r="K184" s="27" t="n">
        <x:f>Controls!$D$38</x:f>
        <x:v>2000</x:v>
      </x:c>
      <x:c r="L184" t="str">
        <x:v>CLEAN</x:v>
      </x:c>
      <x:c r="M184" t="n">
        <x:v>1</x:v>
      </x:c>
      <x:c r="N184" t="n">
        <x:v>0</x:v>
      </x:c>
      <x:c r="O184" t="n">
        <x:v>0</x:v>
      </x:c>
      <x:c r="P184" t="str">
        <x:f>IF(M184=1,"PASS","GAP")</x:f>
        <x:v>PASS</x:v>
      </x:c>
    </x:row>
    <x:row r="185">
      <x:c r="B185" t="str">
        <x:v>PR-RC-3-CH-07-A-C-X</x:v>
      </x:c>
      <x:c r="C185" t="str">
        <x:v>PR-RC-3-CH-07</x:v>
      </x:c>
      <x:c r="D185" t="str">
        <x:v>RC-3</x:v>
      </x:c>
      <x:c r="E185" t="str">
        <x:v>CH-07</x:v>
      </x:c>
      <x:c r="F185" t="str">
        <x:v>Builder A</x:v>
      </x:c>
      <x:c r="G185" t="str">
        <x:v>PTC-C</x:v>
      </x:c>
      <x:c r="H185" t="str">
        <x:v>challenge</x:v>
      </x:c>
      <x:c r="I185" t="str">
        <x:v>RB-S3</x:v>
      </x:c>
      <x:c r="J185" t="str">
        <x:v>full</x:v>
      </x:c>
      <x:c r="K185" s="27" t="n">
        <x:f>Controls!$D$38</x:f>
        <x:v>2000</x:v>
      </x:c>
      <x:c r="L185" t="str">
        <x:v>CHALLENGED</x:v>
      </x:c>
      <x:c r="M185" t="n">
        <x:v>1</x:v>
      </x:c>
      <x:c r="N185" t="n">
        <x:v>0</x:v>
      </x:c>
      <x:c r="O185" t="n">
        <x:v>0</x:v>
      </x:c>
      <x:c r="P185" t="str">
        <x:f>IF(M185=1,"PASS","GAP")</x:f>
        <x:v>PASS</x:v>
      </x:c>
    </x:row>
    <x:row r="186">
      <x:c r="B186" t="str">
        <x:v>PR-RC-3-CH-07-A-C-C</x:v>
      </x:c>
      <x:c r="C186" t="str">
        <x:v>PR-RC-3-CH-07</x:v>
      </x:c>
      <x:c r="D186" t="str">
        <x:v>RC-3</x:v>
      </x:c>
      <x:c r="E186" t="str">
        <x:v>CH-07</x:v>
      </x:c>
      <x:c r="F186" t="str">
        <x:v>Builder A</x:v>
      </x:c>
      <x:c r="G186" t="str">
        <x:v>PTC-C</x:v>
      </x:c>
      <x:c r="H186" t="str">
        <x:v>clean control</x:v>
      </x:c>
      <x:c r="I186" t="str">
        <x:v>RB-S3</x:v>
      </x:c>
      <x:c r="J186" t="str">
        <x:v>full</x:v>
      </x:c>
      <x:c r="K186" s="27" t="n">
        <x:f>Controls!$D$38</x:f>
        <x:v>2000</x:v>
      </x:c>
      <x:c r="L186" t="str">
        <x:v>CLEAN</x:v>
      </x:c>
      <x:c r="M186" t="n">
        <x:v>1</x:v>
      </x:c>
      <x:c r="N186" t="n">
        <x:v>0</x:v>
      </x:c>
      <x:c r="O186" t="n">
        <x:v>0</x:v>
      </x:c>
      <x:c r="P186" t="str">
        <x:f>IF(M186=1,"PASS","GAP")</x:f>
        <x:v>PASS</x:v>
      </x:c>
    </x:row>
    <x:row r="187">
      <x:c r="B187" t="str">
        <x:v>PR-RC-3-CH-07-B-B-X</x:v>
      </x:c>
      <x:c r="C187" t="str">
        <x:v>PR-RC-3-CH-07</x:v>
      </x:c>
      <x:c r="D187" t="str">
        <x:v>RC-3</x:v>
      </x:c>
      <x:c r="E187" t="str">
        <x:v>CH-07</x:v>
      </x:c>
      <x:c r="F187" t="str">
        <x:v>Builder B</x:v>
      </x:c>
      <x:c r="G187" t="str">
        <x:v>PTC-B</x:v>
      </x:c>
      <x:c r="H187" t="str">
        <x:v>challenge</x:v>
      </x:c>
      <x:c r="I187" t="str">
        <x:v>RB-S3</x:v>
      </x:c>
      <x:c r="J187" t="str">
        <x:v>full</x:v>
      </x:c>
      <x:c r="K187" s="27" t="n">
        <x:f>Controls!$D$38</x:f>
        <x:v>2000</x:v>
      </x:c>
      <x:c r="L187" t="str">
        <x:v>CHALLENGED</x:v>
      </x:c>
      <x:c r="M187" t="n">
        <x:v>1</x:v>
      </x:c>
      <x:c r="N187" t="n">
        <x:v>0</x:v>
      </x:c>
      <x:c r="O187" t="n">
        <x:v>0</x:v>
      </x:c>
      <x:c r="P187" t="str">
        <x:f>IF(M187=1,"PASS","GAP")</x:f>
        <x:v>PASS</x:v>
      </x:c>
    </x:row>
    <x:row r="188">
      <x:c r="B188" t="str">
        <x:v>PR-RC-3-CH-07-B-B-C</x:v>
      </x:c>
      <x:c r="C188" t="str">
        <x:v>PR-RC-3-CH-07</x:v>
      </x:c>
      <x:c r="D188" t="str">
        <x:v>RC-3</x:v>
      </x:c>
      <x:c r="E188" t="str">
        <x:v>CH-07</x:v>
      </x:c>
      <x:c r="F188" t="str">
        <x:v>Builder B</x:v>
      </x:c>
      <x:c r="G188" t="str">
        <x:v>PTC-B</x:v>
      </x:c>
      <x:c r="H188" t="str">
        <x:v>clean control</x:v>
      </x:c>
      <x:c r="I188" t="str">
        <x:v>RB-S3</x:v>
      </x:c>
      <x:c r="J188" t="str">
        <x:v>full</x:v>
      </x:c>
      <x:c r="K188" s="27" t="n">
        <x:f>Controls!$D$38</x:f>
        <x:v>2000</x:v>
      </x:c>
      <x:c r="L188" t="str">
        <x:v>CLEAN</x:v>
      </x:c>
      <x:c r="M188" t="n">
        <x:v>1</x:v>
      </x:c>
      <x:c r="N188" t="n">
        <x:v>0</x:v>
      </x:c>
      <x:c r="O188" t="n">
        <x:v>0</x:v>
      </x:c>
      <x:c r="P188" t="str">
        <x:f>IF(M188=1,"PASS","GAP")</x:f>
        <x:v>PASS</x:v>
      </x:c>
    </x:row>
    <x:row r="189">
      <x:c r="B189" t="str">
        <x:v>PR-RC-3-CH-07-B-C-X</x:v>
      </x:c>
      <x:c r="C189" t="str">
        <x:v>PR-RC-3-CH-07</x:v>
      </x:c>
      <x:c r="D189" t="str">
        <x:v>RC-3</x:v>
      </x:c>
      <x:c r="E189" t="str">
        <x:v>CH-07</x:v>
      </x:c>
      <x:c r="F189" t="str">
        <x:v>Builder B</x:v>
      </x:c>
      <x:c r="G189" t="str">
        <x:v>PTC-C</x:v>
      </x:c>
      <x:c r="H189" t="str">
        <x:v>challenge</x:v>
      </x:c>
      <x:c r="I189" t="str">
        <x:v>RB-S3</x:v>
      </x:c>
      <x:c r="J189" t="str">
        <x:v>full</x:v>
      </x:c>
      <x:c r="K189" s="27" t="n">
        <x:f>Controls!$D$38</x:f>
        <x:v>2000</x:v>
      </x:c>
      <x:c r="L189" t="str">
        <x:v>CHALLENGED</x:v>
      </x:c>
      <x:c r="M189" t="n">
        <x:v>1</x:v>
      </x:c>
      <x:c r="N189" t="n">
        <x:v>0</x:v>
      </x:c>
      <x:c r="O189" t="n">
        <x:v>0</x:v>
      </x:c>
      <x:c r="P189" t="str">
        <x:f>IF(M189=1,"PASS","GAP")</x:f>
        <x:v>PASS</x:v>
      </x:c>
    </x:row>
    <x:row r="190">
      <x:c r="B190" t="str">
        <x:v>PR-RC-3-CH-07-B-C-C</x:v>
      </x:c>
      <x:c r="C190" t="str">
        <x:v>PR-RC-3-CH-07</x:v>
      </x:c>
      <x:c r="D190" t="str">
        <x:v>RC-3</x:v>
      </x:c>
      <x:c r="E190" t="str">
        <x:v>CH-07</x:v>
      </x:c>
      <x:c r="F190" t="str">
        <x:v>Builder B</x:v>
      </x:c>
      <x:c r="G190" t="str">
        <x:v>PTC-C</x:v>
      </x:c>
      <x:c r="H190" t="str">
        <x:v>clean control</x:v>
      </x:c>
      <x:c r="I190" t="str">
        <x:v>RB-S3</x:v>
      </x:c>
      <x:c r="J190" t="str">
        <x:v>full</x:v>
      </x:c>
      <x:c r="K190" s="27" t="n">
        <x:f>Controls!$D$38</x:f>
        <x:v>2000</x:v>
      </x:c>
      <x:c r="L190" t="str">
        <x:v>CLEAN</x:v>
      </x:c>
      <x:c r="M190" t="n">
        <x:v>1</x:v>
      </x:c>
      <x:c r="N190" t="n">
        <x:v>0</x:v>
      </x:c>
      <x:c r="O190" t="n">
        <x:v>0</x:v>
      </x:c>
      <x:c r="P190" t="str">
        <x:f>IF(M190=1,"PASS","GAP")</x:f>
        <x:v>PASS</x:v>
      </x:c>
    </x:row>
    <x:row r="191">
      <x:c r="B191" t="str">
        <x:v>PR-RC-3-CH-08-A-B-X</x:v>
      </x:c>
      <x:c r="C191" t="str">
        <x:v>PR-RC-3-CH-08</x:v>
      </x:c>
      <x:c r="D191" t="str">
        <x:v>RC-3</x:v>
      </x:c>
      <x:c r="E191" t="str">
        <x:v>CH-08</x:v>
      </x:c>
      <x:c r="F191" t="str">
        <x:v>Builder A</x:v>
      </x:c>
      <x:c r="G191" t="str">
        <x:v>PTC-B</x:v>
      </x:c>
      <x:c r="H191" t="str">
        <x:v>challenge</x:v>
      </x:c>
      <x:c r="I191" t="str">
        <x:v>RB-S3</x:v>
      </x:c>
      <x:c r="J191" t="str">
        <x:v>full</x:v>
      </x:c>
      <x:c r="K191" s="27" t="n">
        <x:f>Controls!$D$38</x:f>
        <x:v>2000</x:v>
      </x:c>
      <x:c r="L191" t="str">
        <x:v>CHALLENGED</x:v>
      </x:c>
      <x:c r="M191" t="n">
        <x:v>1</x:v>
      </x:c>
      <x:c r="N191" t="n">
        <x:v>0</x:v>
      </x:c>
      <x:c r="O191" t="n">
        <x:v>0</x:v>
      </x:c>
      <x:c r="P191" t="str">
        <x:f>IF(M191=1,"PASS","GAP")</x:f>
        <x:v>PASS</x:v>
      </x:c>
    </x:row>
    <x:row r="192">
      <x:c r="B192" t="str">
        <x:v>PR-RC-3-CH-08-A-B-C</x:v>
      </x:c>
      <x:c r="C192" t="str">
        <x:v>PR-RC-3-CH-08</x:v>
      </x:c>
      <x:c r="D192" t="str">
        <x:v>RC-3</x:v>
      </x:c>
      <x:c r="E192" t="str">
        <x:v>CH-08</x:v>
      </x:c>
      <x:c r="F192" t="str">
        <x:v>Builder A</x:v>
      </x:c>
      <x:c r="G192" t="str">
        <x:v>PTC-B</x:v>
      </x:c>
      <x:c r="H192" t="str">
        <x:v>clean control</x:v>
      </x:c>
      <x:c r="I192" t="str">
        <x:v>RB-S3</x:v>
      </x:c>
      <x:c r="J192" t="str">
        <x:v>full</x:v>
      </x:c>
      <x:c r="K192" s="27" t="n">
        <x:f>Controls!$D$38</x:f>
        <x:v>2000</x:v>
      </x:c>
      <x:c r="L192" t="str">
        <x:v>CLEAN</x:v>
      </x:c>
      <x:c r="M192" t="n">
        <x:v>1</x:v>
      </x:c>
      <x:c r="N192" t="n">
        <x:v>0</x:v>
      </x:c>
      <x:c r="O192" t="n">
        <x:v>0</x:v>
      </x:c>
      <x:c r="P192" t="str">
        <x:f>IF(M192=1,"PASS","GAP")</x:f>
        <x:v>PASS</x:v>
      </x:c>
    </x:row>
    <x:row r="193">
      <x:c r="B193" t="str">
        <x:v>PR-RC-3-CH-08-A-C-X</x:v>
      </x:c>
      <x:c r="C193" t="str">
        <x:v>PR-RC-3-CH-08</x:v>
      </x:c>
      <x:c r="D193" t="str">
        <x:v>RC-3</x:v>
      </x:c>
      <x:c r="E193" t="str">
        <x:v>CH-08</x:v>
      </x:c>
      <x:c r="F193" t="str">
        <x:v>Builder A</x:v>
      </x:c>
      <x:c r="G193" t="str">
        <x:v>PTC-C</x:v>
      </x:c>
      <x:c r="H193" t="str">
        <x:v>challenge</x:v>
      </x:c>
      <x:c r="I193" t="str">
        <x:v>RB-S3</x:v>
      </x:c>
      <x:c r="J193" t="str">
        <x:v>full</x:v>
      </x:c>
      <x:c r="K193" s="27" t="n">
        <x:f>Controls!$D$38</x:f>
        <x:v>2000</x:v>
      </x:c>
      <x:c r="L193" t="str">
        <x:v>CHALLENGED</x:v>
      </x:c>
      <x:c r="M193" t="n">
        <x:v>1</x:v>
      </x:c>
      <x:c r="N193" t="n">
        <x:v>0</x:v>
      </x:c>
      <x:c r="O193" t="n">
        <x:v>0</x:v>
      </x:c>
      <x:c r="P193" t="str">
        <x:f>IF(M193=1,"PASS","GAP")</x:f>
        <x:v>PASS</x:v>
      </x:c>
    </x:row>
    <x:row r="194">
      <x:c r="B194" t="str">
        <x:v>PR-RC-3-CH-08-A-C-C</x:v>
      </x:c>
      <x:c r="C194" t="str">
        <x:v>PR-RC-3-CH-08</x:v>
      </x:c>
      <x:c r="D194" t="str">
        <x:v>RC-3</x:v>
      </x:c>
      <x:c r="E194" t="str">
        <x:v>CH-08</x:v>
      </x:c>
      <x:c r="F194" t="str">
        <x:v>Builder A</x:v>
      </x:c>
      <x:c r="G194" t="str">
        <x:v>PTC-C</x:v>
      </x:c>
      <x:c r="H194" t="str">
        <x:v>clean control</x:v>
      </x:c>
      <x:c r="I194" t="str">
        <x:v>RB-S3</x:v>
      </x:c>
      <x:c r="J194" t="str">
        <x:v>full</x:v>
      </x:c>
      <x:c r="K194" s="27" t="n">
        <x:f>Controls!$D$38</x:f>
        <x:v>2000</x:v>
      </x:c>
      <x:c r="L194" t="str">
        <x:v>CLEAN</x:v>
      </x:c>
      <x:c r="M194" t="n">
        <x:v>1</x:v>
      </x:c>
      <x:c r="N194" t="n">
        <x:v>0</x:v>
      </x:c>
      <x:c r="O194" t="n">
        <x:v>0</x:v>
      </x:c>
      <x:c r="P194" t="str">
        <x:f>IF(M194=1,"PASS","GAP")</x:f>
        <x:v>PASS</x:v>
      </x:c>
    </x:row>
    <x:row r="195">
      <x:c r="B195" t="str">
        <x:v>PR-RC-3-CH-08-B-B-X</x:v>
      </x:c>
      <x:c r="C195" t="str">
        <x:v>PR-RC-3-CH-08</x:v>
      </x:c>
      <x:c r="D195" t="str">
        <x:v>RC-3</x:v>
      </x:c>
      <x:c r="E195" t="str">
        <x:v>CH-08</x:v>
      </x:c>
      <x:c r="F195" t="str">
        <x:v>Builder B</x:v>
      </x:c>
      <x:c r="G195" t="str">
        <x:v>PTC-B</x:v>
      </x:c>
      <x:c r="H195" t="str">
        <x:v>challenge</x:v>
      </x:c>
      <x:c r="I195" t="str">
        <x:v>RB-S3</x:v>
      </x:c>
      <x:c r="J195" t="str">
        <x:v>full</x:v>
      </x:c>
      <x:c r="K195" s="27" t="n">
        <x:f>Controls!$D$38</x:f>
        <x:v>2000</x:v>
      </x:c>
      <x:c r="L195" t="str">
        <x:v>CHALLENGED</x:v>
      </x:c>
      <x:c r="M195" t="n">
        <x:v>1</x:v>
      </x:c>
      <x:c r="N195" t="n">
        <x:v>0</x:v>
      </x:c>
      <x:c r="O195" t="n">
        <x:v>0</x:v>
      </x:c>
      <x:c r="P195" t="str">
        <x:f>IF(M195=1,"PASS","GAP")</x:f>
        <x:v>PASS</x:v>
      </x:c>
    </x:row>
    <x:row r="196">
      <x:c r="B196" t="str">
        <x:v>PR-RC-3-CH-08-B-B-C</x:v>
      </x:c>
      <x:c r="C196" t="str">
        <x:v>PR-RC-3-CH-08</x:v>
      </x:c>
      <x:c r="D196" t="str">
        <x:v>RC-3</x:v>
      </x:c>
      <x:c r="E196" t="str">
        <x:v>CH-08</x:v>
      </x:c>
      <x:c r="F196" t="str">
        <x:v>Builder B</x:v>
      </x:c>
      <x:c r="G196" t="str">
        <x:v>PTC-B</x:v>
      </x:c>
      <x:c r="H196" t="str">
        <x:v>clean control</x:v>
      </x:c>
      <x:c r="I196" t="str">
        <x:v>RB-S3</x:v>
      </x:c>
      <x:c r="J196" t="str">
        <x:v>full</x:v>
      </x:c>
      <x:c r="K196" s="27" t="n">
        <x:f>Controls!$D$38</x:f>
        <x:v>2000</x:v>
      </x:c>
      <x:c r="L196" t="str">
        <x:v>CLEAN</x:v>
      </x:c>
      <x:c r="M196" t="n">
        <x:v>1</x:v>
      </x:c>
      <x:c r="N196" t="n">
        <x:v>0</x:v>
      </x:c>
      <x:c r="O196" t="n">
        <x:v>0</x:v>
      </x:c>
      <x:c r="P196" t="str">
        <x:f>IF(M196=1,"PASS","GAP")</x:f>
        <x:v>PASS</x:v>
      </x:c>
    </x:row>
    <x:row r="197">
      <x:c r="B197" t="str">
        <x:v>PR-RC-3-CH-08-B-C-X</x:v>
      </x:c>
      <x:c r="C197" t="str">
        <x:v>PR-RC-3-CH-08</x:v>
      </x:c>
      <x:c r="D197" t="str">
        <x:v>RC-3</x:v>
      </x:c>
      <x:c r="E197" t="str">
        <x:v>CH-08</x:v>
      </x:c>
      <x:c r="F197" t="str">
        <x:v>Builder B</x:v>
      </x:c>
      <x:c r="G197" t="str">
        <x:v>PTC-C</x:v>
      </x:c>
      <x:c r="H197" t="str">
        <x:v>challenge</x:v>
      </x:c>
      <x:c r="I197" t="str">
        <x:v>RB-S3</x:v>
      </x:c>
      <x:c r="J197" t="str">
        <x:v>full</x:v>
      </x:c>
      <x:c r="K197" s="27" t="n">
        <x:f>Controls!$D$38</x:f>
        <x:v>2000</x:v>
      </x:c>
      <x:c r="L197" t="str">
        <x:v>CHALLENGED</x:v>
      </x:c>
      <x:c r="M197" t="n">
        <x:v>1</x:v>
      </x:c>
      <x:c r="N197" t="n">
        <x:v>0</x:v>
      </x:c>
      <x:c r="O197" t="n">
        <x:v>0</x:v>
      </x:c>
      <x:c r="P197" t="str">
        <x:f>IF(M197=1,"PASS","GAP")</x:f>
        <x:v>PASS</x:v>
      </x:c>
    </x:row>
    <x:row r="198">
      <x:c r="B198" t="str">
        <x:v>PR-RC-3-CH-08-B-C-C</x:v>
      </x:c>
      <x:c r="C198" t="str">
        <x:v>PR-RC-3-CH-08</x:v>
      </x:c>
      <x:c r="D198" t="str">
        <x:v>RC-3</x:v>
      </x:c>
      <x:c r="E198" t="str">
        <x:v>CH-08</x:v>
      </x:c>
      <x:c r="F198" t="str">
        <x:v>Builder B</x:v>
      </x:c>
      <x:c r="G198" t="str">
        <x:v>PTC-C</x:v>
      </x:c>
      <x:c r="H198" t="str">
        <x:v>clean control</x:v>
      </x:c>
      <x:c r="I198" t="str">
        <x:v>RB-S3</x:v>
      </x:c>
      <x:c r="J198" t="str">
        <x:v>full</x:v>
      </x:c>
      <x:c r="K198" s="27" t="n">
        <x:f>Controls!$D$38</x:f>
        <x:v>2000</x:v>
      </x:c>
      <x:c r="L198" t="str">
        <x:v>CLEAN</x:v>
      </x:c>
      <x:c r="M198" t="n">
        <x:v>1</x:v>
      </x:c>
      <x:c r="N198" t="n">
        <x:v>0</x:v>
      </x:c>
      <x:c r="O198" t="n">
        <x:v>0</x:v>
      </x:c>
      <x:c r="P198" t="str">
        <x:f>IF(M198=1,"PASS","GAP")</x:f>
        <x:v>PASS</x:v>
      </x:c>
    </x:row>
  </x:sheetData>
  <x:conditionalFormatting sqref="P7:P198">
    <x:cfRule type="containsText" dxfId="16" priority="1" operator="containsText" text="FAIL"/>
    <x:cfRule type="containsText" dxfId="17" priority="2" operator="containsText" text="BLOCKED"/>
    <x:cfRule type="containsText" dxfId="18" priority="3" operator="containsText" text="OPEN"/>
    <x:cfRule type="containsText" dxfId="19" priority="4" operator="containsText" text="GAP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0" hidden="0" customWidth="1"/>
    <x:col min="3" max="3" width="15" hidden="0" customWidth="1"/>
    <x:col min="4" max="4" width="14" hidden="0" customWidth="1"/>
    <x:col min="5" max="5" width="14" hidden="0" customWidth="1"/>
    <x:col min="6" max="6" width="12" hidden="0" customWidth="1"/>
    <x:col min="7" max="7" width="14" hidden="0" customWidth="1"/>
    <x:col min="8" max="8" width="18" hidden="0" customWidth="1"/>
    <x:col min="9" max="9" width="43" hidden="0" customWidth="1"/>
    <x:col min="10" max="10" width="21" hidden="0" customWidth="1"/>
    <x:col min="11" max="11" width="12" hidden="0" customWidth="1"/>
    <x:col min="12" max="12" width="15" hidden="0" customWidth="1"/>
    <x:col min="13" max="13" width="16" hidden="0" customWidth="1"/>
  </x:cols>
  <x:sheetData>
    <x:row r="2">
      <x:c r="B2" s="1" t="str">
        <x:v>Development, destructive and reset events</x:v>
      </x:c>
    </x:row>
    <x:row r="3">
      <x:c r="B3" s="2" t="str">
        <x:v>Seventy-two development, twenty-four destructive and eighteen reset/site-loss events complete the 306-event register.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 ht="24" customHeight="1">
      <x:c r="B6" s="8" t="str">
        <x:v>Event</x:v>
      </x:c>
      <x:c r="C6" s="9" t="str">
        <x:v>Class</x:v>
      </x:c>
      <x:c r="D6" s="9" t="str">
        <x:v>Architecture</x:v>
      </x:c>
      <x:c r="E6" s="9" t="str">
        <x:v>Builder</x:v>
      </x:c>
      <x:c r="F6" s="9" t="str">
        <x:v>Site</x:v>
      </x:c>
      <x:c r="G6" s="9" t="str">
        <x:v>Source state</x:v>
      </x:c>
      <x:c r="H6" s="9" t="str">
        <x:v>Source mass (kg)</x:v>
      </x:c>
      <x:c r="I6" s="9" t="str">
        <x:v>Purpose</x:v>
      </x:c>
      <x:c r="J6" s="9" t="str">
        <x:v>Assignment complete</x:v>
      </x:c>
      <x:c r="K6" s="9" t="str">
        <x:v>Executed</x:v>
      </x:c>
      <x:c r="L6" s="9" t="str">
        <x:v>Native packet</x:v>
      </x:c>
      <x:c r="M6" s="10" t="str">
        <x:v>Planning state</x:v>
      </x:c>
    </x:row>
    <x:row r="7">
      <x:c r="B7" t="str">
        <x:v>EV-RC-1-A-DEV-01</x:v>
      </x:c>
      <x:c r="C7" t="str">
        <x:v>development</x:v>
      </x:c>
      <x:c r="D7" t="str">
        <x:v>RC-1</x:v>
      </x:c>
      <x:c r="E7" t="str">
        <x:v>Builder A</x:v>
      </x:c>
      <x:c r="F7" t="str">
        <x:v>PTC-B</x:v>
      </x:c>
      <x:c r="G7" t="str">
        <x:v>C0</x:v>
      </x:c>
      <x:c r="H7" s="27" t="n">
        <x:f>0</x:f>
        <x:v>0</x:v>
      </x:c>
      <x:c r="I7" t="str">
        <x:v>water route coefficient</x:v>
      </x:c>
      <x:c r="J7" t="n">
        <x:v>1</x:v>
      </x:c>
      <x:c r="K7" t="n">
        <x:v>0</x:v>
      </x:c>
      <x:c r="L7" t="n">
        <x:v>0</x:v>
      </x:c>
      <x:c r="M7" t="str">
        <x:f>IF(J7=1,"PASS","GAP")</x:f>
        <x:v>PASS</x:v>
      </x:c>
    </x:row>
    <x:row r="8">
      <x:c r="B8" t="str">
        <x:v>EV-RC-1-A-DEV-02</x:v>
      </x:c>
      <x:c r="C8" t="str">
        <x:v>development</x:v>
      </x:c>
      <x:c r="D8" t="str">
        <x:v>RC-1</x:v>
      </x:c>
      <x:c r="E8" t="str">
        <x:v>Builder A</x:v>
      </x:c>
      <x:c r="F8" t="str">
        <x:v>PTC-C</x:v>
      </x:c>
      <x:c r="G8" t="str">
        <x:v>C0</x:v>
      </x:c>
      <x:c r="H8" s="27" t="n">
        <x:f>0</x:f>
        <x:v>0</x:v>
      </x:c>
      <x:c r="I8" t="str">
        <x:v>nitrogen line coefficient</x:v>
      </x:c>
      <x:c r="J8" t="n">
        <x:v>1</x:v>
      </x:c>
      <x:c r="K8" t="n">
        <x:v>0</x:v>
      </x:c>
      <x:c r="L8" t="n">
        <x:v>0</x:v>
      </x:c>
      <x:c r="M8" t="str">
        <x:f>IF(J8=1,"PASS","GAP")</x:f>
        <x:v>PASS</x:v>
      </x:c>
    </x:row>
    <x:row r="9">
      <x:c r="B9" t="str">
        <x:v>EV-RC-1-A-DEV-03</x:v>
      </x:c>
      <x:c r="C9" t="str">
        <x:v>development</x:v>
      </x:c>
      <x:c r="D9" t="str">
        <x:v>RC-1</x:v>
      </x:c>
      <x:c r="E9" t="str">
        <x:v>Builder A</x:v>
      </x:c>
      <x:c r="F9" t="str">
        <x:v>PTC-A</x:v>
      </x:c>
      <x:c r="G9" t="str">
        <x:v>C0S</x:v>
      </x:c>
      <x:c r="H9" s="27" t="n">
        <x:f>0</x:f>
        <x:v>0</x:v>
      </x:c>
      <x:c r="I9" t="str">
        <x:v>inert two-phase surrogate</x:v>
      </x:c>
      <x:c r="J9" t="n">
        <x:v>1</x:v>
      </x:c>
      <x:c r="K9" t="n">
        <x:v>0</x:v>
      </x:c>
      <x:c r="L9" t="n">
        <x:v>0</x:v>
      </x:c>
      <x:c r="M9" t="str">
        <x:f>IF(J9=1,"PASS","GAP")</x:f>
        <x:v>PASS</x:v>
      </x:c>
    </x:row>
    <x:row r="10">
      <x:c r="B10" t="str">
        <x:v>EV-RC-1-A-DEV-04</x:v>
      </x:c>
      <x:c r="C10" t="str">
        <x:v>development</x:v>
      </x:c>
      <x:c r="D10" t="str">
        <x:v>RC-1</x:v>
      </x:c>
      <x:c r="E10" t="str">
        <x:v>Builder A</x:v>
      </x:c>
      <x:c r="F10" t="str">
        <x:v>PTC-B</x:v>
      </x:c>
      <x:c r="G10" t="str">
        <x:v>C0S</x:v>
      </x:c>
      <x:c r="H10" s="27" t="n">
        <x:f>0</x:f>
        <x:v>0</x:v>
      </x:c>
      <x:c r="I10" t="str">
        <x:v>cold-soak seal</x:v>
      </x:c>
      <x:c r="J10" t="n">
        <x:v>1</x:v>
      </x:c>
      <x:c r="K10" t="n">
        <x:v>0</x:v>
      </x:c>
      <x:c r="L10" t="n">
        <x:v>0</x:v>
      </x:c>
      <x:c r="M10" t="str">
        <x:f>IF(J10=1,"PASS","GAP")</x:f>
        <x:v>PASS</x:v>
      </x:c>
    </x:row>
    <x:row r="11">
      <x:c r="B11" t="str">
        <x:v>EV-RC-1-A-DEV-05</x:v>
      </x:c>
      <x:c r="C11" t="str">
        <x:v>development</x:v>
      </x:c>
      <x:c r="D11" t="str">
        <x:v>RC-1</x:v>
      </x:c>
      <x:c r="E11" t="str">
        <x:v>Builder A</x:v>
      </x:c>
      <x:c r="F11" t="str">
        <x:v>PTC-C</x:v>
      </x:c>
      <x:c r="G11" t="str">
        <x:v>C0S</x:v>
      </x:c>
      <x:c r="H11" s="27" t="n">
        <x:f>0</x:f>
        <x:v>0</x:v>
      </x:c>
      <x:c r="I11" t="str">
        <x:v>hot-soak seal</x:v>
      </x:c>
      <x:c r="J11" t="n">
        <x:v>1</x:v>
      </x:c>
      <x:c r="K11" t="n">
        <x:v>0</x:v>
      </x:c>
      <x:c r="L11" t="n">
        <x:v>0</x:v>
      </x:c>
      <x:c r="M11" t="str">
        <x:f>IF(J11=1,"PASS","GAP")</x:f>
        <x:v>PASS</x:v>
      </x:c>
    </x:row>
    <x:row r="12">
      <x:c r="B12" t="str">
        <x:v>EV-RC-1-A-DEV-06</x:v>
      </x:c>
      <x:c r="C12" t="str">
        <x:v>development</x:v>
      </x:c>
      <x:c r="D12" t="str">
        <x:v>RC-1</x:v>
      </x:c>
      <x:c r="E12" t="str">
        <x:v>Builder A</x:v>
      </x:c>
      <x:c r="F12" t="str">
        <x:v>PTC-A</x:v>
      </x:c>
      <x:c r="G12" t="str">
        <x:v>C0S</x:v>
      </x:c>
      <x:c r="H12" s="27" t="n">
        <x:f>0</x:f>
        <x:v>0</x:v>
      </x:c>
      <x:c r="I12" t="str">
        <x:v>obstruction truth</x:v>
      </x:c>
      <x:c r="J12" t="n">
        <x:v>1</x:v>
      </x:c>
      <x:c r="K12" t="n">
        <x:v>0</x:v>
      </x:c>
      <x:c r="L12" t="n">
        <x:v>0</x:v>
      </x:c>
      <x:c r="M12" t="str">
        <x:f>IF(J12=1,"PASS","GAP")</x:f>
        <x:v>PASS</x:v>
      </x:c>
    </x:row>
    <x:row r="13">
      <x:c r="B13" t="str">
        <x:v>EV-RC-1-A-DEV-07</x:v>
      </x:c>
      <x:c r="C13" t="str">
        <x:v>development</x:v>
      </x:c>
      <x:c r="D13" t="str">
        <x:v>RC-1</x:v>
      </x:c>
      <x:c r="E13" t="str">
        <x:v>Builder A</x:v>
      </x:c>
      <x:c r="F13" t="str">
        <x:v>PTC-B</x:v>
      </x:c>
      <x:c r="G13" t="str">
        <x:v>C0S</x:v>
      </x:c>
      <x:c r="H13" s="27" t="n">
        <x:f>0</x:f>
        <x:v>0</x:v>
      </x:c>
      <x:c r="I13" t="str">
        <x:v>reverse-load boundary</x:v>
      </x:c>
      <x:c r="J13" t="n">
        <x:v>1</x:v>
      </x:c>
      <x:c r="K13" t="n">
        <x:v>0</x:v>
      </x:c>
      <x:c r="L13" t="n">
        <x:v>0</x:v>
      </x:c>
      <x:c r="M13" t="str">
        <x:f>IF(J13=1,"PASS","GAP")</x:f>
        <x:v>PASS</x:v>
      </x:c>
    </x:row>
    <x:row r="14">
      <x:c r="B14" t="str">
        <x:v>EV-RC-1-A-DEV-08</x:v>
      </x:c>
      <x:c r="C14" t="str">
        <x:v>development</x:v>
      </x:c>
      <x:c r="D14" t="str">
        <x:v>RC-1</x:v>
      </x:c>
      <x:c r="E14" t="str">
        <x:v>Builder A</x:v>
      </x:c>
      <x:c r="F14" t="str">
        <x:v>PTC-C</x:v>
      </x:c>
      <x:c r="G14" t="str">
        <x:v>C0S</x:v>
      </x:c>
      <x:c r="H14" s="27" t="n">
        <x:f>0</x:f>
        <x:v>0</x:v>
      </x:c>
      <x:c r="I14" t="str">
        <x:v>receiver initial fill</x:v>
      </x:c>
      <x:c r="J14" t="n">
        <x:v>1</x:v>
      </x:c>
      <x:c r="K14" t="n">
        <x:v>0</x:v>
      </x:c>
      <x:c r="L14" t="n">
        <x:v>0</x:v>
      </x:c>
      <x:c r="M14" t="str">
        <x:f>IF(J14=1,"PASS","GAP")</x:f>
        <x:v>PASS</x:v>
      </x:c>
    </x:row>
    <x:row r="15">
      <x:c r="B15" t="str">
        <x:v>EV-RC-1-A-DEV-09</x:v>
      </x:c>
      <x:c r="C15" t="str">
        <x:v>development</x:v>
      </x:c>
      <x:c r="D15" t="str">
        <x:v>RC-1</x:v>
      </x:c>
      <x:c r="E15" t="str">
        <x:v>Builder A</x:v>
      </x:c>
      <x:c r="F15" t="str">
        <x:v>PTC-A</x:v>
      </x:c>
      <x:c r="G15" t="str">
        <x:v>C0</x:v>
      </x:c>
      <x:c r="H15" s="27" t="n">
        <x:f>0</x:f>
        <x:v>0</x:v>
      </x:c>
      <x:c r="I15" t="str">
        <x:v>holder deployment weather</x:v>
      </x:c>
      <x:c r="J15" t="n">
        <x:v>1</x:v>
      </x:c>
      <x:c r="K15" t="n">
        <x:v>0</x:v>
      </x:c>
      <x:c r="L15" t="n">
        <x:v>0</x:v>
      </x:c>
      <x:c r="M15" t="str">
        <x:f>IF(J15=1,"PASS","GAP")</x:f>
        <x:v>PASS</x:v>
      </x:c>
    </x:row>
    <x:row r="16">
      <x:c r="B16" t="str">
        <x:v>EV-RC-1-A-DEV-10</x:v>
      </x:c>
      <x:c r="C16" t="str">
        <x:v>development</x:v>
      </x:c>
      <x:c r="D16" t="str">
        <x:v>RC-1</x:v>
      </x:c>
      <x:c r="E16" t="str">
        <x:v>Builder A</x:v>
      </x:c>
      <x:c r="F16" t="str">
        <x:v>PTC-B</x:v>
      </x:c>
      <x:c r="G16" t="str">
        <x:v>C0</x:v>
      </x:c>
      <x:c r="H16" s="27" t="n">
        <x:f>0</x:f>
        <x:v>0</x:v>
      </x:c>
      <x:c r="I16" t="str">
        <x:v>safety-energy denial</x:v>
      </x:c>
      <x:c r="J16" t="n">
        <x:v>1</x:v>
      </x:c>
      <x:c r="K16" t="n">
        <x:v>0</x:v>
      </x:c>
      <x:c r="L16" t="n">
        <x:v>0</x:v>
      </x:c>
      <x:c r="M16" t="str">
        <x:f>IF(J16=1,"PASS","GAP")</x:f>
        <x:v>PASS</x:v>
      </x:c>
    </x:row>
    <x:row r="17">
      <x:c r="B17" t="str">
        <x:v>EV-RC-1-A-DEV-11</x:v>
      </x:c>
      <x:c r="C17" t="str">
        <x:v>development</x:v>
      </x:c>
      <x:c r="D17" t="str">
        <x:v>RC-1</x:v>
      </x:c>
      <x:c r="E17" t="str">
        <x:v>Builder A</x:v>
      </x:c>
      <x:c r="F17" t="str">
        <x:v>PTC-C</x:v>
      </x:c>
      <x:c r="G17" t="str">
        <x:v>C0</x:v>
      </x:c>
      <x:c r="H17" s="27" t="n">
        <x:f>0</x:f>
        <x:v>0</x:v>
      </x:c>
      <x:c r="I17" t="str">
        <x:v>recorder and time denial</x:v>
      </x:c>
      <x:c r="J17" t="n">
        <x:v>1</x:v>
      </x:c>
      <x:c r="K17" t="n">
        <x:v>0</x:v>
      </x:c>
      <x:c r="L17" t="n">
        <x:v>0</x:v>
      </x:c>
      <x:c r="M17" t="str">
        <x:f>IF(J17=1,"PASS","GAP")</x:f>
        <x:v>PASS</x:v>
      </x:c>
    </x:row>
    <x:row r="18">
      <x:c r="B18" t="str">
        <x:v>EV-RC-1-A-DEV-12</x:v>
      </x:c>
      <x:c r="C18" t="str">
        <x:v>development</x:v>
      </x:c>
      <x:c r="D18" t="str">
        <x:v>RC-1</x:v>
      </x:c>
      <x:c r="E18" t="str">
        <x:v>Builder A</x:v>
      </x:c>
      <x:c r="F18" t="str">
        <x:v>PTC-A</x:v>
      </x:c>
      <x:c r="G18" t="str">
        <x:v>C0</x:v>
      </x:c>
      <x:c r="H18" s="27" t="n">
        <x:f>0</x:f>
        <x:v>0</x:v>
      </x:c>
      <x:c r="I18" t="str">
        <x:v>reset and decontamination</x:v>
      </x:c>
      <x:c r="J18" t="n">
        <x:v>1</x:v>
      </x:c>
      <x:c r="K18" t="n">
        <x:v>0</x:v>
      </x:c>
      <x:c r="L18" t="n">
        <x:v>0</x:v>
      </x:c>
      <x:c r="M18" t="str">
        <x:f>IF(J18=1,"PASS","GAP")</x:f>
        <x:v>PASS</x:v>
      </x:c>
    </x:row>
    <x:row r="19">
      <x:c r="B19" t="str">
        <x:v>EV-RC-1-A-DST-01</x:v>
      </x:c>
      <x:c r="C19" t="str">
        <x:v>destructive</x:v>
      </x:c>
      <x:c r="D19" t="str">
        <x:v>RC-1</x:v>
      </x:c>
      <x:c r="E19" t="str">
        <x:v>Builder A</x:v>
      </x:c>
      <x:c r="F19" t="str">
        <x:v>PTC-A</x:v>
      </x:c>
      <x:c r="G19" t="str">
        <x:v>C1</x:v>
      </x:c>
      <x:c r="H19" s="27" t="n">
        <x:f>Controls!$D$38</x:f>
        <x:v>2000</x:v>
      </x:c>
      <x:c r="I19" t="str">
        <x:v>route fracture at full flow</x:v>
      </x:c>
      <x:c r="J19" t="n">
        <x:v>1</x:v>
      </x:c>
      <x:c r="K19" t="n">
        <x:v>0</x:v>
      </x:c>
      <x:c r="L19" t="n">
        <x:v>0</x:v>
      </x:c>
      <x:c r="M19" t="str">
        <x:f>IF(J19=1,"PASS","GAP")</x:f>
        <x:v>PASS</x:v>
      </x:c>
    </x:row>
    <x:row r="20">
      <x:c r="B20" t="str">
        <x:v>EV-RC-1-A-DST-02</x:v>
      </x:c>
      <x:c r="C20" t="str">
        <x:v>destructive</x:v>
      </x:c>
      <x:c r="D20" t="str">
        <x:v>RC-1</x:v>
      </x:c>
      <x:c r="E20" t="str">
        <x:v>Builder A</x:v>
      </x:c>
      <x:c r="F20" t="str">
        <x:v>PTC-A</x:v>
      </x:c>
      <x:c r="G20" t="str">
        <x:v>C1</x:v>
      </x:c>
      <x:c r="H20" s="27" t="n">
        <x:f>Controls!$D$38</x:f>
        <x:v>2000</x:v>
      </x:c>
      <x:c r="I20" t="str">
        <x:v>receiver support loss</x:v>
      </x:c>
      <x:c r="J20" t="n">
        <x:v>1</x:v>
      </x:c>
      <x:c r="K20" t="n">
        <x:v>0</x:v>
      </x:c>
      <x:c r="L20" t="n">
        <x:v>0</x:v>
      </x:c>
      <x:c r="M20" t="str">
        <x:f>IF(J20=1,"PASS","GAP")</x:f>
        <x:v>PASS</x:v>
      </x:c>
    </x:row>
    <x:row r="21">
      <x:c r="B21" t="str">
        <x:v>EV-RC-1-A-DST-03</x:v>
      </x:c>
      <x:c r="C21" t="str">
        <x:v>destructive</x:v>
      </x:c>
      <x:c r="D21" t="str">
        <x:v>RC-1</x:v>
      </x:c>
      <x:c r="E21" t="str">
        <x:v>Builder A</x:v>
      </x:c>
      <x:c r="F21" t="str">
        <x:v>PTC-A</x:v>
      </x:c>
      <x:c r="G21" t="str">
        <x:v>C1</x:v>
      </x:c>
      <x:c r="H21" s="27" t="n">
        <x:f>Controls!$D$38</x:f>
        <x:v>2000</x:v>
      </x:c>
      <x:c r="I21" t="str">
        <x:v>holder ignition and overpressure</x:v>
      </x:c>
      <x:c r="J21" t="n">
        <x:v>1</x:v>
      </x:c>
      <x:c r="K21" t="n">
        <x:v>0</x:v>
      </x:c>
      <x:c r="L21" t="n">
        <x:v>0</x:v>
      </x:c>
      <x:c r="M21" t="str">
        <x:f>IF(J21=1,"PASS","GAP")</x:f>
        <x:v>PASS</x:v>
      </x:c>
    </x:row>
    <x:row r="22">
      <x:c r="B22" t="str">
        <x:v>EV-RC-1-A-DST-04</x:v>
      </x:c>
      <x:c r="C22" t="str">
        <x:v>destructive</x:v>
      </x:c>
      <x:c r="D22" t="str">
        <x:v>RC-1</x:v>
      </x:c>
      <x:c r="E22" t="str">
        <x:v>Builder A</x:v>
      </x:c>
      <x:c r="F22" t="str">
        <x:v>PTC-A</x:v>
      </x:c>
      <x:c r="G22" t="str">
        <x:v>C1</x:v>
      </x:c>
      <x:c r="H22" s="27" t="n">
        <x:f>Controls!$D$38</x:f>
        <x:v>2000</x:v>
      </x:c>
      <x:c r="I22" t="str">
        <x:v>terminal disposition loss</x:v>
      </x:c>
      <x:c r="J22" t="n">
        <x:v>1</x:v>
      </x:c>
      <x:c r="K22" t="n">
        <x:v>0</x:v>
      </x:c>
      <x:c r="L22" t="n">
        <x:v>0</x:v>
      </x:c>
      <x:c r="M22" t="str">
        <x:f>IF(J22=1,"PASS","GAP")</x:f>
        <x:v>PASS</x:v>
      </x:c>
    </x:row>
    <x:row r="23">
      <x:c r="B23" t="str">
        <x:v>EV-RC-1-A-RST-01</x:v>
      </x:c>
      <x:c r="C23" t="str">
        <x:v>reset</x:v>
      </x:c>
      <x:c r="D23" t="str">
        <x:v>RC-1</x:v>
      </x:c>
      <x:c r="E23" t="str">
        <x:v>Builder A</x:v>
      </x:c>
      <x:c r="F23" t="str">
        <x:v>PTC-B</x:v>
      </x:c>
      <x:c r="G23" t="str">
        <x:v>C0</x:v>
      </x:c>
      <x:c r="H23" s="27" t="n">
        <x:f>0</x:f>
        <x:v>0</x:v>
      </x:c>
      <x:c r="I23" t="str">
        <x:v>twelve-month cold start</x:v>
      </x:c>
      <x:c r="J23" t="n">
        <x:v>1</x:v>
      </x:c>
      <x:c r="K23" t="n">
        <x:v>0</x:v>
      </x:c>
      <x:c r="L23" t="n">
        <x:v>0</x:v>
      </x:c>
      <x:c r="M23" t="str">
        <x:f>IF(J23=1,"PASS","GAP")</x:f>
        <x:v>PASS</x:v>
      </x:c>
    </x:row>
    <x:row r="24">
      <x:c r="B24" t="str">
        <x:v>EV-RC-1-A-RST-02</x:v>
      </x:c>
      <x:c r="C24" t="str">
        <x:v>reset</x:v>
      </x:c>
      <x:c r="D24" t="str">
        <x:v>RC-1</x:v>
      </x:c>
      <x:c r="E24" t="str">
        <x:v>Builder A</x:v>
      </x:c>
      <x:c r="F24" t="str">
        <x:v>PTC-C</x:v>
      </x:c>
      <x:c r="G24" t="str">
        <x:v>C0</x:v>
      </x:c>
      <x:c r="H24" s="27" t="n">
        <x:f>0</x:f>
        <x:v>0</x:v>
      </x:c>
      <x:c r="I24" t="str">
        <x:v>sibling-site denial</x:v>
      </x:c>
      <x:c r="J24" t="n">
        <x:v>1</x:v>
      </x:c>
      <x:c r="K24" t="n">
        <x:v>0</x:v>
      </x:c>
      <x:c r="L24" t="n">
        <x:v>0</x:v>
      </x:c>
      <x:c r="M24" t="str">
        <x:f>IF(J24=1,"PASS","GAP")</x:f>
        <x:v>PASS</x:v>
      </x:c>
    </x:row>
    <x:row r="25">
      <x:c r="B25" t="str">
        <x:v>EV-RC-1-A-RST-03</x:v>
      </x:c>
      <x:c r="C25" t="str">
        <x:v>reset</x:v>
      </x:c>
      <x:c r="D25" t="str">
        <x:v>RC-1</x:v>
      </x:c>
      <x:c r="E25" t="str">
        <x:v>Builder A</x:v>
      </x:c>
      <x:c r="F25" t="str">
        <x:v>PTC-A</x:v>
      </x:c>
      <x:c r="G25" t="str">
        <x:v>C0</x:v>
      </x:c>
      <x:c r="H25" s="27" t="n">
        <x:f>0</x:f>
        <x:v>0</x:v>
      </x:c>
      <x:c r="I25" t="str">
        <x:v>complete train rebuild</x:v>
      </x:c>
      <x:c r="J25" t="n">
        <x:v>1</x:v>
      </x:c>
      <x:c r="K25" t="n">
        <x:v>0</x:v>
      </x:c>
      <x:c r="L25" t="n">
        <x:v>0</x:v>
      </x:c>
      <x:c r="M25" t="str">
        <x:f>IF(J25=1,"PASS","GAP")</x:f>
        <x:v>PASS</x:v>
      </x:c>
    </x:row>
    <x:row r="26">
      <x:c r="B26" t="str">
        <x:v>EV-RC-1-B-DEV-01</x:v>
      </x:c>
      <x:c r="C26" t="str">
        <x:v>development</x:v>
      </x:c>
      <x:c r="D26" t="str">
        <x:v>RC-1</x:v>
      </x:c>
      <x:c r="E26" t="str">
        <x:v>Builder B</x:v>
      </x:c>
      <x:c r="F26" t="str">
        <x:v>PTC-B</x:v>
      </x:c>
      <x:c r="G26" t="str">
        <x:v>C0</x:v>
      </x:c>
      <x:c r="H26" s="27" t="n">
        <x:f>0</x:f>
        <x:v>0</x:v>
      </x:c>
      <x:c r="I26" t="str">
        <x:v>water route coefficient</x:v>
      </x:c>
      <x:c r="J26" t="n">
        <x:v>1</x:v>
      </x:c>
      <x:c r="K26" t="n">
        <x:v>0</x:v>
      </x:c>
      <x:c r="L26" t="n">
        <x:v>0</x:v>
      </x:c>
      <x:c r="M26" t="str">
        <x:f>IF(J26=1,"PASS","GAP")</x:f>
        <x:v>PASS</x:v>
      </x:c>
    </x:row>
    <x:row r="27">
      <x:c r="B27" t="str">
        <x:v>EV-RC-1-B-DEV-02</x:v>
      </x:c>
      <x:c r="C27" t="str">
        <x:v>development</x:v>
      </x:c>
      <x:c r="D27" t="str">
        <x:v>RC-1</x:v>
      </x:c>
      <x:c r="E27" t="str">
        <x:v>Builder B</x:v>
      </x:c>
      <x:c r="F27" t="str">
        <x:v>PTC-C</x:v>
      </x:c>
      <x:c r="G27" t="str">
        <x:v>C0</x:v>
      </x:c>
      <x:c r="H27" s="27" t="n">
        <x:f>0</x:f>
        <x:v>0</x:v>
      </x:c>
      <x:c r="I27" t="str">
        <x:v>nitrogen line coefficient</x:v>
      </x:c>
      <x:c r="J27" t="n">
        <x:v>1</x:v>
      </x:c>
      <x:c r="K27" t="n">
        <x:v>0</x:v>
      </x:c>
      <x:c r="L27" t="n">
        <x:v>0</x:v>
      </x:c>
      <x:c r="M27" t="str">
        <x:f>IF(J27=1,"PASS","GAP")</x:f>
        <x:v>PASS</x:v>
      </x:c>
    </x:row>
    <x:row r="28">
      <x:c r="B28" t="str">
        <x:v>EV-RC-1-B-DEV-03</x:v>
      </x:c>
      <x:c r="C28" t="str">
        <x:v>development</x:v>
      </x:c>
      <x:c r="D28" t="str">
        <x:v>RC-1</x:v>
      </x:c>
      <x:c r="E28" t="str">
        <x:v>Builder B</x:v>
      </x:c>
      <x:c r="F28" t="str">
        <x:v>PTC-A</x:v>
      </x:c>
      <x:c r="G28" t="str">
        <x:v>C0S</x:v>
      </x:c>
      <x:c r="H28" s="27" t="n">
        <x:f>0</x:f>
        <x:v>0</x:v>
      </x:c>
      <x:c r="I28" t="str">
        <x:v>inert two-phase surrogate</x:v>
      </x:c>
      <x:c r="J28" t="n">
        <x:v>1</x:v>
      </x:c>
      <x:c r="K28" t="n">
        <x:v>0</x:v>
      </x:c>
      <x:c r="L28" t="n">
        <x:v>0</x:v>
      </x:c>
      <x:c r="M28" t="str">
        <x:f>IF(J28=1,"PASS","GAP")</x:f>
        <x:v>PASS</x:v>
      </x:c>
    </x:row>
    <x:row r="29">
      <x:c r="B29" t="str">
        <x:v>EV-RC-1-B-DEV-04</x:v>
      </x:c>
      <x:c r="C29" t="str">
        <x:v>development</x:v>
      </x:c>
      <x:c r="D29" t="str">
        <x:v>RC-1</x:v>
      </x:c>
      <x:c r="E29" t="str">
        <x:v>Builder B</x:v>
      </x:c>
      <x:c r="F29" t="str">
        <x:v>PTC-B</x:v>
      </x:c>
      <x:c r="G29" t="str">
        <x:v>C0S</x:v>
      </x:c>
      <x:c r="H29" s="27" t="n">
        <x:f>0</x:f>
        <x:v>0</x:v>
      </x:c>
      <x:c r="I29" t="str">
        <x:v>cold-soak seal</x:v>
      </x:c>
      <x:c r="J29" t="n">
        <x:v>1</x:v>
      </x:c>
      <x:c r="K29" t="n">
        <x:v>0</x:v>
      </x:c>
      <x:c r="L29" t="n">
        <x:v>0</x:v>
      </x:c>
      <x:c r="M29" t="str">
        <x:f>IF(J29=1,"PASS","GAP")</x:f>
        <x:v>PASS</x:v>
      </x:c>
    </x:row>
    <x:row r="30">
      <x:c r="B30" t="str">
        <x:v>EV-RC-1-B-DEV-05</x:v>
      </x:c>
      <x:c r="C30" t="str">
        <x:v>development</x:v>
      </x:c>
      <x:c r="D30" t="str">
        <x:v>RC-1</x:v>
      </x:c>
      <x:c r="E30" t="str">
        <x:v>Builder B</x:v>
      </x:c>
      <x:c r="F30" t="str">
        <x:v>PTC-C</x:v>
      </x:c>
      <x:c r="G30" t="str">
        <x:v>C0S</x:v>
      </x:c>
      <x:c r="H30" s="27" t="n">
        <x:f>0</x:f>
        <x:v>0</x:v>
      </x:c>
      <x:c r="I30" t="str">
        <x:v>hot-soak seal</x:v>
      </x:c>
      <x:c r="J30" t="n">
        <x:v>1</x:v>
      </x:c>
      <x:c r="K30" t="n">
        <x:v>0</x:v>
      </x:c>
      <x:c r="L30" t="n">
        <x:v>0</x:v>
      </x:c>
      <x:c r="M30" t="str">
        <x:f>IF(J30=1,"PASS","GAP")</x:f>
        <x:v>PASS</x:v>
      </x:c>
    </x:row>
    <x:row r="31">
      <x:c r="B31" t="str">
        <x:v>EV-RC-1-B-DEV-06</x:v>
      </x:c>
      <x:c r="C31" t="str">
        <x:v>development</x:v>
      </x:c>
      <x:c r="D31" t="str">
        <x:v>RC-1</x:v>
      </x:c>
      <x:c r="E31" t="str">
        <x:v>Builder B</x:v>
      </x:c>
      <x:c r="F31" t="str">
        <x:v>PTC-A</x:v>
      </x:c>
      <x:c r="G31" t="str">
        <x:v>C0S</x:v>
      </x:c>
      <x:c r="H31" s="27" t="n">
        <x:f>0</x:f>
        <x:v>0</x:v>
      </x:c>
      <x:c r="I31" t="str">
        <x:v>obstruction truth</x:v>
      </x:c>
      <x:c r="J31" t="n">
        <x:v>1</x:v>
      </x:c>
      <x:c r="K31" t="n">
        <x:v>0</x:v>
      </x:c>
      <x:c r="L31" t="n">
        <x:v>0</x:v>
      </x:c>
      <x:c r="M31" t="str">
        <x:f>IF(J31=1,"PASS","GAP")</x:f>
        <x:v>PASS</x:v>
      </x:c>
    </x:row>
    <x:row r="32">
      <x:c r="B32" t="str">
        <x:v>EV-RC-1-B-DEV-07</x:v>
      </x:c>
      <x:c r="C32" t="str">
        <x:v>development</x:v>
      </x:c>
      <x:c r="D32" t="str">
        <x:v>RC-1</x:v>
      </x:c>
      <x:c r="E32" t="str">
        <x:v>Builder B</x:v>
      </x:c>
      <x:c r="F32" t="str">
        <x:v>PTC-B</x:v>
      </x:c>
      <x:c r="G32" t="str">
        <x:v>C0S</x:v>
      </x:c>
      <x:c r="H32" s="27" t="n">
        <x:f>0</x:f>
        <x:v>0</x:v>
      </x:c>
      <x:c r="I32" t="str">
        <x:v>reverse-load boundary</x:v>
      </x:c>
      <x:c r="J32" t="n">
        <x:v>1</x:v>
      </x:c>
      <x:c r="K32" t="n">
        <x:v>0</x:v>
      </x:c>
      <x:c r="L32" t="n">
        <x:v>0</x:v>
      </x:c>
      <x:c r="M32" t="str">
        <x:f>IF(J32=1,"PASS","GAP")</x:f>
        <x:v>PASS</x:v>
      </x:c>
    </x:row>
    <x:row r="33">
      <x:c r="B33" t="str">
        <x:v>EV-RC-1-B-DEV-08</x:v>
      </x:c>
      <x:c r="C33" t="str">
        <x:v>development</x:v>
      </x:c>
      <x:c r="D33" t="str">
        <x:v>RC-1</x:v>
      </x:c>
      <x:c r="E33" t="str">
        <x:v>Builder B</x:v>
      </x:c>
      <x:c r="F33" t="str">
        <x:v>PTC-C</x:v>
      </x:c>
      <x:c r="G33" t="str">
        <x:v>C0S</x:v>
      </x:c>
      <x:c r="H33" s="27" t="n">
        <x:f>0</x:f>
        <x:v>0</x:v>
      </x:c>
      <x:c r="I33" t="str">
        <x:v>receiver initial fill</x:v>
      </x:c>
      <x:c r="J33" t="n">
        <x:v>1</x:v>
      </x:c>
      <x:c r="K33" t="n">
        <x:v>0</x:v>
      </x:c>
      <x:c r="L33" t="n">
        <x:v>0</x:v>
      </x:c>
      <x:c r="M33" t="str">
        <x:f>IF(J33=1,"PASS","GAP")</x:f>
        <x:v>PASS</x:v>
      </x:c>
    </x:row>
    <x:row r="34">
      <x:c r="B34" t="str">
        <x:v>EV-RC-1-B-DEV-09</x:v>
      </x:c>
      <x:c r="C34" t="str">
        <x:v>development</x:v>
      </x:c>
      <x:c r="D34" t="str">
        <x:v>RC-1</x:v>
      </x:c>
      <x:c r="E34" t="str">
        <x:v>Builder B</x:v>
      </x:c>
      <x:c r="F34" t="str">
        <x:v>PTC-A</x:v>
      </x:c>
      <x:c r="G34" t="str">
        <x:v>C0</x:v>
      </x:c>
      <x:c r="H34" s="27" t="n">
        <x:f>0</x:f>
        <x:v>0</x:v>
      </x:c>
      <x:c r="I34" t="str">
        <x:v>holder deployment weather</x:v>
      </x:c>
      <x:c r="J34" t="n">
        <x:v>1</x:v>
      </x:c>
      <x:c r="K34" t="n">
        <x:v>0</x:v>
      </x:c>
      <x:c r="L34" t="n">
        <x:v>0</x:v>
      </x:c>
      <x:c r="M34" t="str">
        <x:f>IF(J34=1,"PASS","GAP")</x:f>
        <x:v>PASS</x:v>
      </x:c>
    </x:row>
    <x:row r="35">
      <x:c r="B35" t="str">
        <x:v>EV-RC-1-B-DEV-10</x:v>
      </x:c>
      <x:c r="C35" t="str">
        <x:v>development</x:v>
      </x:c>
      <x:c r="D35" t="str">
        <x:v>RC-1</x:v>
      </x:c>
      <x:c r="E35" t="str">
        <x:v>Builder B</x:v>
      </x:c>
      <x:c r="F35" t="str">
        <x:v>PTC-B</x:v>
      </x:c>
      <x:c r="G35" t="str">
        <x:v>C0</x:v>
      </x:c>
      <x:c r="H35" s="27" t="n">
        <x:f>0</x:f>
        <x:v>0</x:v>
      </x:c>
      <x:c r="I35" t="str">
        <x:v>safety-energy denial</x:v>
      </x:c>
      <x:c r="J35" t="n">
        <x:v>1</x:v>
      </x:c>
      <x:c r="K35" t="n">
        <x:v>0</x:v>
      </x:c>
      <x:c r="L35" t="n">
        <x:v>0</x:v>
      </x:c>
      <x:c r="M35" t="str">
        <x:f>IF(J35=1,"PASS","GAP")</x:f>
        <x:v>PASS</x:v>
      </x:c>
    </x:row>
    <x:row r="36">
      <x:c r="B36" t="str">
        <x:v>EV-RC-1-B-DEV-11</x:v>
      </x:c>
      <x:c r="C36" t="str">
        <x:v>development</x:v>
      </x:c>
      <x:c r="D36" t="str">
        <x:v>RC-1</x:v>
      </x:c>
      <x:c r="E36" t="str">
        <x:v>Builder B</x:v>
      </x:c>
      <x:c r="F36" t="str">
        <x:v>PTC-C</x:v>
      </x:c>
      <x:c r="G36" t="str">
        <x:v>C0</x:v>
      </x:c>
      <x:c r="H36" s="27" t="n">
        <x:f>0</x:f>
        <x:v>0</x:v>
      </x:c>
      <x:c r="I36" t="str">
        <x:v>recorder and time denial</x:v>
      </x:c>
      <x:c r="J36" t="n">
        <x:v>1</x:v>
      </x:c>
      <x:c r="K36" t="n">
        <x:v>0</x:v>
      </x:c>
      <x:c r="L36" t="n">
        <x:v>0</x:v>
      </x:c>
      <x:c r="M36" t="str">
        <x:f>IF(J36=1,"PASS","GAP")</x:f>
        <x:v>PASS</x:v>
      </x:c>
    </x:row>
    <x:row r="37">
      <x:c r="B37" t="str">
        <x:v>EV-RC-1-B-DEV-12</x:v>
      </x:c>
      <x:c r="C37" t="str">
        <x:v>development</x:v>
      </x:c>
      <x:c r="D37" t="str">
        <x:v>RC-1</x:v>
      </x:c>
      <x:c r="E37" t="str">
        <x:v>Builder B</x:v>
      </x:c>
      <x:c r="F37" t="str">
        <x:v>PTC-A</x:v>
      </x:c>
      <x:c r="G37" t="str">
        <x:v>C0</x:v>
      </x:c>
      <x:c r="H37" s="27" t="n">
        <x:f>0</x:f>
        <x:v>0</x:v>
      </x:c>
      <x:c r="I37" t="str">
        <x:v>reset and decontamination</x:v>
      </x:c>
      <x:c r="J37" t="n">
        <x:v>1</x:v>
      </x:c>
      <x:c r="K37" t="n">
        <x:v>0</x:v>
      </x:c>
      <x:c r="L37" t="n">
        <x:v>0</x:v>
      </x:c>
      <x:c r="M37" t="str">
        <x:f>IF(J37=1,"PASS","GAP")</x:f>
        <x:v>PASS</x:v>
      </x:c>
    </x:row>
    <x:row r="38">
      <x:c r="B38" t="str">
        <x:v>EV-RC-1-B-DST-01</x:v>
      </x:c>
      <x:c r="C38" t="str">
        <x:v>destructive</x:v>
      </x:c>
      <x:c r="D38" t="str">
        <x:v>RC-1</x:v>
      </x:c>
      <x:c r="E38" t="str">
        <x:v>Builder B</x:v>
      </x:c>
      <x:c r="F38" t="str">
        <x:v>PTC-A</x:v>
      </x:c>
      <x:c r="G38" t="str">
        <x:v>C1</x:v>
      </x:c>
      <x:c r="H38" s="27" t="n">
        <x:f>Controls!$D$38</x:f>
        <x:v>2000</x:v>
      </x:c>
      <x:c r="I38" t="str">
        <x:v>route fracture at full flow</x:v>
      </x:c>
      <x:c r="J38" t="n">
        <x:v>1</x:v>
      </x:c>
      <x:c r="K38" t="n">
        <x:v>0</x:v>
      </x:c>
      <x:c r="L38" t="n">
        <x:v>0</x:v>
      </x:c>
      <x:c r="M38" t="str">
        <x:f>IF(J38=1,"PASS","GAP")</x:f>
        <x:v>PASS</x:v>
      </x:c>
    </x:row>
    <x:row r="39">
      <x:c r="B39" t="str">
        <x:v>EV-RC-1-B-DST-02</x:v>
      </x:c>
      <x:c r="C39" t="str">
        <x:v>destructive</x:v>
      </x:c>
      <x:c r="D39" t="str">
        <x:v>RC-1</x:v>
      </x:c>
      <x:c r="E39" t="str">
        <x:v>Builder B</x:v>
      </x:c>
      <x:c r="F39" t="str">
        <x:v>PTC-A</x:v>
      </x:c>
      <x:c r="G39" t="str">
        <x:v>C1</x:v>
      </x:c>
      <x:c r="H39" s="27" t="n">
        <x:f>Controls!$D$38</x:f>
        <x:v>2000</x:v>
      </x:c>
      <x:c r="I39" t="str">
        <x:v>receiver support loss</x:v>
      </x:c>
      <x:c r="J39" t="n">
        <x:v>1</x:v>
      </x:c>
      <x:c r="K39" t="n">
        <x:v>0</x:v>
      </x:c>
      <x:c r="L39" t="n">
        <x:v>0</x:v>
      </x:c>
      <x:c r="M39" t="str">
        <x:f>IF(J39=1,"PASS","GAP")</x:f>
        <x:v>PASS</x:v>
      </x:c>
    </x:row>
    <x:row r="40">
      <x:c r="B40" t="str">
        <x:v>EV-RC-1-B-DST-03</x:v>
      </x:c>
      <x:c r="C40" t="str">
        <x:v>destructive</x:v>
      </x:c>
      <x:c r="D40" t="str">
        <x:v>RC-1</x:v>
      </x:c>
      <x:c r="E40" t="str">
        <x:v>Builder B</x:v>
      </x:c>
      <x:c r="F40" t="str">
        <x:v>PTC-A</x:v>
      </x:c>
      <x:c r="G40" t="str">
        <x:v>C1</x:v>
      </x:c>
      <x:c r="H40" s="27" t="n">
        <x:f>Controls!$D$38</x:f>
        <x:v>2000</x:v>
      </x:c>
      <x:c r="I40" t="str">
        <x:v>holder ignition and overpressure</x:v>
      </x:c>
      <x:c r="J40" t="n">
        <x:v>1</x:v>
      </x:c>
      <x:c r="K40" t="n">
        <x:v>0</x:v>
      </x:c>
      <x:c r="L40" t="n">
        <x:v>0</x:v>
      </x:c>
      <x:c r="M40" t="str">
        <x:f>IF(J40=1,"PASS","GAP")</x:f>
        <x:v>PASS</x:v>
      </x:c>
    </x:row>
    <x:row r="41">
      <x:c r="B41" t="str">
        <x:v>EV-RC-1-B-DST-04</x:v>
      </x:c>
      <x:c r="C41" t="str">
        <x:v>destructive</x:v>
      </x:c>
      <x:c r="D41" t="str">
        <x:v>RC-1</x:v>
      </x:c>
      <x:c r="E41" t="str">
        <x:v>Builder B</x:v>
      </x:c>
      <x:c r="F41" t="str">
        <x:v>PTC-A</x:v>
      </x:c>
      <x:c r="G41" t="str">
        <x:v>C1</x:v>
      </x:c>
      <x:c r="H41" s="27" t="n">
        <x:f>Controls!$D$38</x:f>
        <x:v>2000</x:v>
      </x:c>
      <x:c r="I41" t="str">
        <x:v>terminal disposition loss</x:v>
      </x:c>
      <x:c r="J41" t="n">
        <x:v>1</x:v>
      </x:c>
      <x:c r="K41" t="n">
        <x:v>0</x:v>
      </x:c>
      <x:c r="L41" t="n">
        <x:v>0</x:v>
      </x:c>
      <x:c r="M41" t="str">
        <x:f>IF(J41=1,"PASS","GAP")</x:f>
        <x:v>PASS</x:v>
      </x:c>
    </x:row>
    <x:row r="42">
      <x:c r="B42" t="str">
        <x:v>EV-RC-1-B-RST-01</x:v>
      </x:c>
      <x:c r="C42" t="str">
        <x:v>reset</x:v>
      </x:c>
      <x:c r="D42" t="str">
        <x:v>RC-1</x:v>
      </x:c>
      <x:c r="E42" t="str">
        <x:v>Builder B</x:v>
      </x:c>
      <x:c r="F42" t="str">
        <x:v>PTC-B</x:v>
      </x:c>
      <x:c r="G42" t="str">
        <x:v>C0</x:v>
      </x:c>
      <x:c r="H42" s="27" t="n">
        <x:f>0</x:f>
        <x:v>0</x:v>
      </x:c>
      <x:c r="I42" t="str">
        <x:v>twelve-month cold start</x:v>
      </x:c>
      <x:c r="J42" t="n">
        <x:v>1</x:v>
      </x:c>
      <x:c r="K42" t="n">
        <x:v>0</x:v>
      </x:c>
      <x:c r="L42" t="n">
        <x:v>0</x:v>
      </x:c>
      <x:c r="M42" t="str">
        <x:f>IF(J42=1,"PASS","GAP")</x:f>
        <x:v>PASS</x:v>
      </x:c>
    </x:row>
    <x:row r="43">
      <x:c r="B43" t="str">
        <x:v>EV-RC-1-B-RST-02</x:v>
      </x:c>
      <x:c r="C43" t="str">
        <x:v>reset</x:v>
      </x:c>
      <x:c r="D43" t="str">
        <x:v>RC-1</x:v>
      </x:c>
      <x:c r="E43" t="str">
        <x:v>Builder B</x:v>
      </x:c>
      <x:c r="F43" t="str">
        <x:v>PTC-C</x:v>
      </x:c>
      <x:c r="G43" t="str">
        <x:v>C0</x:v>
      </x:c>
      <x:c r="H43" s="27" t="n">
        <x:f>0</x:f>
        <x:v>0</x:v>
      </x:c>
      <x:c r="I43" t="str">
        <x:v>sibling-site denial</x:v>
      </x:c>
      <x:c r="J43" t="n">
        <x:v>1</x:v>
      </x:c>
      <x:c r="K43" t="n">
        <x:v>0</x:v>
      </x:c>
      <x:c r="L43" t="n">
        <x:v>0</x:v>
      </x:c>
      <x:c r="M43" t="str">
        <x:f>IF(J43=1,"PASS","GAP")</x:f>
        <x:v>PASS</x:v>
      </x:c>
    </x:row>
    <x:row r="44">
      <x:c r="B44" t="str">
        <x:v>EV-RC-1-B-RST-03</x:v>
      </x:c>
      <x:c r="C44" t="str">
        <x:v>reset</x:v>
      </x:c>
      <x:c r="D44" t="str">
        <x:v>RC-1</x:v>
      </x:c>
      <x:c r="E44" t="str">
        <x:v>Builder B</x:v>
      </x:c>
      <x:c r="F44" t="str">
        <x:v>PTC-A</x:v>
      </x:c>
      <x:c r="G44" t="str">
        <x:v>C0</x:v>
      </x:c>
      <x:c r="H44" s="27" t="n">
        <x:f>0</x:f>
        <x:v>0</x:v>
      </x:c>
      <x:c r="I44" t="str">
        <x:v>complete train rebuild</x:v>
      </x:c>
      <x:c r="J44" t="n">
        <x:v>1</x:v>
      </x:c>
      <x:c r="K44" t="n">
        <x:v>0</x:v>
      </x:c>
      <x:c r="L44" t="n">
        <x:v>0</x:v>
      </x:c>
      <x:c r="M44" t="str">
        <x:f>IF(J44=1,"PASS","GAP")</x:f>
        <x:v>PASS</x:v>
      </x:c>
    </x:row>
    <x:row r="45">
      <x:c r="B45" t="str">
        <x:v>EV-RC-2-A-DEV-01</x:v>
      </x:c>
      <x:c r="C45" t="str">
        <x:v>development</x:v>
      </x:c>
      <x:c r="D45" t="str">
        <x:v>RC-2</x:v>
      </x:c>
      <x:c r="E45" t="str">
        <x:v>Builder A</x:v>
      </x:c>
      <x:c r="F45" t="str">
        <x:v>PTC-B</x:v>
      </x:c>
      <x:c r="G45" t="str">
        <x:v>C0</x:v>
      </x:c>
      <x:c r="H45" s="27" t="n">
        <x:f>0</x:f>
        <x:v>0</x:v>
      </x:c>
      <x:c r="I45" t="str">
        <x:v>water route coefficient</x:v>
      </x:c>
      <x:c r="J45" t="n">
        <x:v>1</x:v>
      </x:c>
      <x:c r="K45" t="n">
        <x:v>0</x:v>
      </x:c>
      <x:c r="L45" t="n">
        <x:v>0</x:v>
      </x:c>
      <x:c r="M45" t="str">
        <x:f>IF(J45=1,"PASS","GAP")</x:f>
        <x:v>PASS</x:v>
      </x:c>
    </x:row>
    <x:row r="46">
      <x:c r="B46" t="str">
        <x:v>EV-RC-2-A-DEV-02</x:v>
      </x:c>
      <x:c r="C46" t="str">
        <x:v>development</x:v>
      </x:c>
      <x:c r="D46" t="str">
        <x:v>RC-2</x:v>
      </x:c>
      <x:c r="E46" t="str">
        <x:v>Builder A</x:v>
      </x:c>
      <x:c r="F46" t="str">
        <x:v>PTC-C</x:v>
      </x:c>
      <x:c r="G46" t="str">
        <x:v>C0</x:v>
      </x:c>
      <x:c r="H46" s="27" t="n">
        <x:f>0</x:f>
        <x:v>0</x:v>
      </x:c>
      <x:c r="I46" t="str">
        <x:v>nitrogen line coefficient</x:v>
      </x:c>
      <x:c r="J46" t="n">
        <x:v>1</x:v>
      </x:c>
      <x:c r="K46" t="n">
        <x:v>0</x:v>
      </x:c>
      <x:c r="L46" t="n">
        <x:v>0</x:v>
      </x:c>
      <x:c r="M46" t="str">
        <x:f>IF(J46=1,"PASS","GAP")</x:f>
        <x:v>PASS</x:v>
      </x:c>
    </x:row>
    <x:row r="47">
      <x:c r="B47" t="str">
        <x:v>EV-RC-2-A-DEV-03</x:v>
      </x:c>
      <x:c r="C47" t="str">
        <x:v>development</x:v>
      </x:c>
      <x:c r="D47" t="str">
        <x:v>RC-2</x:v>
      </x:c>
      <x:c r="E47" t="str">
        <x:v>Builder A</x:v>
      </x:c>
      <x:c r="F47" t="str">
        <x:v>PTC-A</x:v>
      </x:c>
      <x:c r="G47" t="str">
        <x:v>C0S</x:v>
      </x:c>
      <x:c r="H47" s="27" t="n">
        <x:f>0</x:f>
        <x:v>0</x:v>
      </x:c>
      <x:c r="I47" t="str">
        <x:v>inert two-phase surrogate</x:v>
      </x:c>
      <x:c r="J47" t="n">
        <x:v>1</x:v>
      </x:c>
      <x:c r="K47" t="n">
        <x:v>0</x:v>
      </x:c>
      <x:c r="L47" t="n">
        <x:v>0</x:v>
      </x:c>
      <x:c r="M47" t="str">
        <x:f>IF(J47=1,"PASS","GAP")</x:f>
        <x:v>PASS</x:v>
      </x:c>
    </x:row>
    <x:row r="48">
      <x:c r="B48" t="str">
        <x:v>EV-RC-2-A-DEV-04</x:v>
      </x:c>
      <x:c r="C48" t="str">
        <x:v>development</x:v>
      </x:c>
      <x:c r="D48" t="str">
        <x:v>RC-2</x:v>
      </x:c>
      <x:c r="E48" t="str">
        <x:v>Builder A</x:v>
      </x:c>
      <x:c r="F48" t="str">
        <x:v>PTC-B</x:v>
      </x:c>
      <x:c r="G48" t="str">
        <x:v>C0S</x:v>
      </x:c>
      <x:c r="H48" s="27" t="n">
        <x:f>0</x:f>
        <x:v>0</x:v>
      </x:c>
      <x:c r="I48" t="str">
        <x:v>cold-soak seal</x:v>
      </x:c>
      <x:c r="J48" t="n">
        <x:v>1</x:v>
      </x:c>
      <x:c r="K48" t="n">
        <x:v>0</x:v>
      </x:c>
      <x:c r="L48" t="n">
        <x:v>0</x:v>
      </x:c>
      <x:c r="M48" t="str">
        <x:f>IF(J48=1,"PASS","GAP")</x:f>
        <x:v>PASS</x:v>
      </x:c>
    </x:row>
    <x:row r="49">
      <x:c r="B49" t="str">
        <x:v>EV-RC-2-A-DEV-05</x:v>
      </x:c>
      <x:c r="C49" t="str">
        <x:v>development</x:v>
      </x:c>
      <x:c r="D49" t="str">
        <x:v>RC-2</x:v>
      </x:c>
      <x:c r="E49" t="str">
        <x:v>Builder A</x:v>
      </x:c>
      <x:c r="F49" t="str">
        <x:v>PTC-C</x:v>
      </x:c>
      <x:c r="G49" t="str">
        <x:v>C0S</x:v>
      </x:c>
      <x:c r="H49" s="27" t="n">
        <x:f>0</x:f>
        <x:v>0</x:v>
      </x:c>
      <x:c r="I49" t="str">
        <x:v>hot-soak seal</x:v>
      </x:c>
      <x:c r="J49" t="n">
        <x:v>1</x:v>
      </x:c>
      <x:c r="K49" t="n">
        <x:v>0</x:v>
      </x:c>
      <x:c r="L49" t="n">
        <x:v>0</x:v>
      </x:c>
      <x:c r="M49" t="str">
        <x:f>IF(J49=1,"PASS","GAP")</x:f>
        <x:v>PASS</x:v>
      </x:c>
    </x:row>
    <x:row r="50">
      <x:c r="B50" t="str">
        <x:v>EV-RC-2-A-DEV-06</x:v>
      </x:c>
      <x:c r="C50" t="str">
        <x:v>development</x:v>
      </x:c>
      <x:c r="D50" t="str">
        <x:v>RC-2</x:v>
      </x:c>
      <x:c r="E50" t="str">
        <x:v>Builder A</x:v>
      </x:c>
      <x:c r="F50" t="str">
        <x:v>PTC-A</x:v>
      </x:c>
      <x:c r="G50" t="str">
        <x:v>C0S</x:v>
      </x:c>
      <x:c r="H50" s="27" t="n">
        <x:f>0</x:f>
        <x:v>0</x:v>
      </x:c>
      <x:c r="I50" t="str">
        <x:v>obstruction truth</x:v>
      </x:c>
      <x:c r="J50" t="n">
        <x:v>1</x:v>
      </x:c>
      <x:c r="K50" t="n">
        <x:v>0</x:v>
      </x:c>
      <x:c r="L50" t="n">
        <x:v>0</x:v>
      </x:c>
      <x:c r="M50" t="str">
        <x:f>IF(J50=1,"PASS","GAP")</x:f>
        <x:v>PASS</x:v>
      </x:c>
    </x:row>
    <x:row r="51">
      <x:c r="B51" t="str">
        <x:v>EV-RC-2-A-DEV-07</x:v>
      </x:c>
      <x:c r="C51" t="str">
        <x:v>development</x:v>
      </x:c>
      <x:c r="D51" t="str">
        <x:v>RC-2</x:v>
      </x:c>
      <x:c r="E51" t="str">
        <x:v>Builder A</x:v>
      </x:c>
      <x:c r="F51" t="str">
        <x:v>PTC-B</x:v>
      </x:c>
      <x:c r="G51" t="str">
        <x:v>C0S</x:v>
      </x:c>
      <x:c r="H51" s="27" t="n">
        <x:f>0</x:f>
        <x:v>0</x:v>
      </x:c>
      <x:c r="I51" t="str">
        <x:v>reverse-load boundary</x:v>
      </x:c>
      <x:c r="J51" t="n">
        <x:v>1</x:v>
      </x:c>
      <x:c r="K51" t="n">
        <x:v>0</x:v>
      </x:c>
      <x:c r="L51" t="n">
        <x:v>0</x:v>
      </x:c>
      <x:c r="M51" t="str">
        <x:f>IF(J51=1,"PASS","GAP")</x:f>
        <x:v>PASS</x:v>
      </x:c>
    </x:row>
    <x:row r="52">
      <x:c r="B52" t="str">
        <x:v>EV-RC-2-A-DEV-08</x:v>
      </x:c>
      <x:c r="C52" t="str">
        <x:v>development</x:v>
      </x:c>
      <x:c r="D52" t="str">
        <x:v>RC-2</x:v>
      </x:c>
      <x:c r="E52" t="str">
        <x:v>Builder A</x:v>
      </x:c>
      <x:c r="F52" t="str">
        <x:v>PTC-C</x:v>
      </x:c>
      <x:c r="G52" t="str">
        <x:v>C0S</x:v>
      </x:c>
      <x:c r="H52" s="27" t="n">
        <x:f>0</x:f>
        <x:v>0</x:v>
      </x:c>
      <x:c r="I52" t="str">
        <x:v>receiver initial fill</x:v>
      </x:c>
      <x:c r="J52" t="n">
        <x:v>1</x:v>
      </x:c>
      <x:c r="K52" t="n">
        <x:v>0</x:v>
      </x:c>
      <x:c r="L52" t="n">
        <x:v>0</x:v>
      </x:c>
      <x:c r="M52" t="str">
        <x:f>IF(J52=1,"PASS","GAP")</x:f>
        <x:v>PASS</x:v>
      </x:c>
    </x:row>
    <x:row r="53">
      <x:c r="B53" t="str">
        <x:v>EV-RC-2-A-DEV-09</x:v>
      </x:c>
      <x:c r="C53" t="str">
        <x:v>development</x:v>
      </x:c>
      <x:c r="D53" t="str">
        <x:v>RC-2</x:v>
      </x:c>
      <x:c r="E53" t="str">
        <x:v>Builder A</x:v>
      </x:c>
      <x:c r="F53" t="str">
        <x:v>PTC-A</x:v>
      </x:c>
      <x:c r="G53" t="str">
        <x:v>C0</x:v>
      </x:c>
      <x:c r="H53" s="27" t="n">
        <x:f>0</x:f>
        <x:v>0</x:v>
      </x:c>
      <x:c r="I53" t="str">
        <x:v>holder deployment weather</x:v>
      </x:c>
      <x:c r="J53" t="n">
        <x:v>1</x:v>
      </x:c>
      <x:c r="K53" t="n">
        <x:v>0</x:v>
      </x:c>
      <x:c r="L53" t="n">
        <x:v>0</x:v>
      </x:c>
      <x:c r="M53" t="str">
        <x:f>IF(J53=1,"PASS","GAP")</x:f>
        <x:v>PASS</x:v>
      </x:c>
    </x:row>
    <x:row r="54">
      <x:c r="B54" t="str">
        <x:v>EV-RC-2-A-DEV-10</x:v>
      </x:c>
      <x:c r="C54" t="str">
        <x:v>development</x:v>
      </x:c>
      <x:c r="D54" t="str">
        <x:v>RC-2</x:v>
      </x:c>
      <x:c r="E54" t="str">
        <x:v>Builder A</x:v>
      </x:c>
      <x:c r="F54" t="str">
        <x:v>PTC-B</x:v>
      </x:c>
      <x:c r="G54" t="str">
        <x:v>C0</x:v>
      </x:c>
      <x:c r="H54" s="27" t="n">
        <x:f>0</x:f>
        <x:v>0</x:v>
      </x:c>
      <x:c r="I54" t="str">
        <x:v>safety-energy denial</x:v>
      </x:c>
      <x:c r="J54" t="n">
        <x:v>1</x:v>
      </x:c>
      <x:c r="K54" t="n">
        <x:v>0</x:v>
      </x:c>
      <x:c r="L54" t="n">
        <x:v>0</x:v>
      </x:c>
      <x:c r="M54" t="str">
        <x:f>IF(J54=1,"PASS","GAP")</x:f>
        <x:v>PASS</x:v>
      </x:c>
    </x:row>
    <x:row r="55">
      <x:c r="B55" t="str">
        <x:v>EV-RC-2-A-DEV-11</x:v>
      </x:c>
      <x:c r="C55" t="str">
        <x:v>development</x:v>
      </x:c>
      <x:c r="D55" t="str">
        <x:v>RC-2</x:v>
      </x:c>
      <x:c r="E55" t="str">
        <x:v>Builder A</x:v>
      </x:c>
      <x:c r="F55" t="str">
        <x:v>PTC-C</x:v>
      </x:c>
      <x:c r="G55" t="str">
        <x:v>C0</x:v>
      </x:c>
      <x:c r="H55" s="27" t="n">
        <x:f>0</x:f>
        <x:v>0</x:v>
      </x:c>
      <x:c r="I55" t="str">
        <x:v>recorder and time denial</x:v>
      </x:c>
      <x:c r="J55" t="n">
        <x:v>1</x:v>
      </x:c>
      <x:c r="K55" t="n">
        <x:v>0</x:v>
      </x:c>
      <x:c r="L55" t="n">
        <x:v>0</x:v>
      </x:c>
      <x:c r="M55" t="str">
        <x:f>IF(J55=1,"PASS","GAP")</x:f>
        <x:v>PASS</x:v>
      </x:c>
    </x:row>
    <x:row r="56">
      <x:c r="B56" t="str">
        <x:v>EV-RC-2-A-DEV-12</x:v>
      </x:c>
      <x:c r="C56" t="str">
        <x:v>development</x:v>
      </x:c>
      <x:c r="D56" t="str">
        <x:v>RC-2</x:v>
      </x:c>
      <x:c r="E56" t="str">
        <x:v>Builder A</x:v>
      </x:c>
      <x:c r="F56" t="str">
        <x:v>PTC-A</x:v>
      </x:c>
      <x:c r="G56" t="str">
        <x:v>C0</x:v>
      </x:c>
      <x:c r="H56" s="27" t="n">
        <x:f>0</x:f>
        <x:v>0</x:v>
      </x:c>
      <x:c r="I56" t="str">
        <x:v>reset and decontamination</x:v>
      </x:c>
      <x:c r="J56" t="n">
        <x:v>1</x:v>
      </x:c>
      <x:c r="K56" t="n">
        <x:v>0</x:v>
      </x:c>
      <x:c r="L56" t="n">
        <x:v>0</x:v>
      </x:c>
      <x:c r="M56" t="str">
        <x:f>IF(J56=1,"PASS","GAP")</x:f>
        <x:v>PASS</x:v>
      </x:c>
    </x:row>
    <x:row r="57">
      <x:c r="B57" t="str">
        <x:v>EV-RC-2-A-DST-01</x:v>
      </x:c>
      <x:c r="C57" t="str">
        <x:v>destructive</x:v>
      </x:c>
      <x:c r="D57" t="str">
        <x:v>RC-2</x:v>
      </x:c>
      <x:c r="E57" t="str">
        <x:v>Builder A</x:v>
      </x:c>
      <x:c r="F57" t="str">
        <x:v>PTC-A</x:v>
      </x:c>
      <x:c r="G57" t="str">
        <x:v>C1</x:v>
      </x:c>
      <x:c r="H57" s="27" t="n">
        <x:f>Controls!$D$38</x:f>
        <x:v>2000</x:v>
      </x:c>
      <x:c r="I57" t="str">
        <x:v>route fracture at full flow</x:v>
      </x:c>
      <x:c r="J57" t="n">
        <x:v>1</x:v>
      </x:c>
      <x:c r="K57" t="n">
        <x:v>0</x:v>
      </x:c>
      <x:c r="L57" t="n">
        <x:v>0</x:v>
      </x:c>
      <x:c r="M57" t="str">
        <x:f>IF(J57=1,"PASS","GAP")</x:f>
        <x:v>PASS</x:v>
      </x:c>
    </x:row>
    <x:row r="58">
      <x:c r="B58" t="str">
        <x:v>EV-RC-2-A-DST-02</x:v>
      </x:c>
      <x:c r="C58" t="str">
        <x:v>destructive</x:v>
      </x:c>
      <x:c r="D58" t="str">
        <x:v>RC-2</x:v>
      </x:c>
      <x:c r="E58" t="str">
        <x:v>Builder A</x:v>
      </x:c>
      <x:c r="F58" t="str">
        <x:v>PTC-A</x:v>
      </x:c>
      <x:c r="G58" t="str">
        <x:v>C1</x:v>
      </x:c>
      <x:c r="H58" s="27" t="n">
        <x:f>Controls!$D$38</x:f>
        <x:v>2000</x:v>
      </x:c>
      <x:c r="I58" t="str">
        <x:v>receiver support loss</x:v>
      </x:c>
      <x:c r="J58" t="n">
        <x:v>1</x:v>
      </x:c>
      <x:c r="K58" t="n">
        <x:v>0</x:v>
      </x:c>
      <x:c r="L58" t="n">
        <x:v>0</x:v>
      </x:c>
      <x:c r="M58" t="str">
        <x:f>IF(J58=1,"PASS","GAP")</x:f>
        <x:v>PASS</x:v>
      </x:c>
    </x:row>
    <x:row r="59">
      <x:c r="B59" t="str">
        <x:v>EV-RC-2-A-DST-03</x:v>
      </x:c>
      <x:c r="C59" t="str">
        <x:v>destructive</x:v>
      </x:c>
      <x:c r="D59" t="str">
        <x:v>RC-2</x:v>
      </x:c>
      <x:c r="E59" t="str">
        <x:v>Builder A</x:v>
      </x:c>
      <x:c r="F59" t="str">
        <x:v>PTC-A</x:v>
      </x:c>
      <x:c r="G59" t="str">
        <x:v>C1</x:v>
      </x:c>
      <x:c r="H59" s="27" t="n">
        <x:f>Controls!$D$38</x:f>
        <x:v>2000</x:v>
      </x:c>
      <x:c r="I59" t="str">
        <x:v>holder ignition and overpressure</x:v>
      </x:c>
      <x:c r="J59" t="n">
        <x:v>1</x:v>
      </x:c>
      <x:c r="K59" t="n">
        <x:v>0</x:v>
      </x:c>
      <x:c r="L59" t="n">
        <x:v>0</x:v>
      </x:c>
      <x:c r="M59" t="str">
        <x:f>IF(J59=1,"PASS","GAP")</x:f>
        <x:v>PASS</x:v>
      </x:c>
    </x:row>
    <x:row r="60">
      <x:c r="B60" t="str">
        <x:v>EV-RC-2-A-DST-04</x:v>
      </x:c>
      <x:c r="C60" t="str">
        <x:v>destructive</x:v>
      </x:c>
      <x:c r="D60" t="str">
        <x:v>RC-2</x:v>
      </x:c>
      <x:c r="E60" t="str">
        <x:v>Builder A</x:v>
      </x:c>
      <x:c r="F60" t="str">
        <x:v>PTC-A</x:v>
      </x:c>
      <x:c r="G60" t="str">
        <x:v>C1</x:v>
      </x:c>
      <x:c r="H60" s="27" t="n">
        <x:f>Controls!$D$38</x:f>
        <x:v>2000</x:v>
      </x:c>
      <x:c r="I60" t="str">
        <x:v>terminal disposition loss</x:v>
      </x:c>
      <x:c r="J60" t="n">
        <x:v>1</x:v>
      </x:c>
      <x:c r="K60" t="n">
        <x:v>0</x:v>
      </x:c>
      <x:c r="L60" t="n">
        <x:v>0</x:v>
      </x:c>
      <x:c r="M60" t="str">
        <x:f>IF(J60=1,"PASS","GAP")</x:f>
        <x:v>PASS</x:v>
      </x:c>
    </x:row>
    <x:row r="61">
      <x:c r="B61" t="str">
        <x:v>EV-RC-2-A-RST-01</x:v>
      </x:c>
      <x:c r="C61" t="str">
        <x:v>reset</x:v>
      </x:c>
      <x:c r="D61" t="str">
        <x:v>RC-2</x:v>
      </x:c>
      <x:c r="E61" t="str">
        <x:v>Builder A</x:v>
      </x:c>
      <x:c r="F61" t="str">
        <x:v>PTC-B</x:v>
      </x:c>
      <x:c r="G61" t="str">
        <x:v>C0</x:v>
      </x:c>
      <x:c r="H61" s="27" t="n">
        <x:f>0</x:f>
        <x:v>0</x:v>
      </x:c>
      <x:c r="I61" t="str">
        <x:v>twelve-month cold start</x:v>
      </x:c>
      <x:c r="J61" t="n">
        <x:v>1</x:v>
      </x:c>
      <x:c r="K61" t="n">
        <x:v>0</x:v>
      </x:c>
      <x:c r="L61" t="n">
        <x:v>0</x:v>
      </x:c>
      <x:c r="M61" t="str">
        <x:f>IF(J61=1,"PASS","GAP")</x:f>
        <x:v>PASS</x:v>
      </x:c>
    </x:row>
    <x:row r="62">
      <x:c r="B62" t="str">
        <x:v>EV-RC-2-A-RST-02</x:v>
      </x:c>
      <x:c r="C62" t="str">
        <x:v>reset</x:v>
      </x:c>
      <x:c r="D62" t="str">
        <x:v>RC-2</x:v>
      </x:c>
      <x:c r="E62" t="str">
        <x:v>Builder A</x:v>
      </x:c>
      <x:c r="F62" t="str">
        <x:v>PTC-C</x:v>
      </x:c>
      <x:c r="G62" t="str">
        <x:v>C0</x:v>
      </x:c>
      <x:c r="H62" s="27" t="n">
        <x:f>0</x:f>
        <x:v>0</x:v>
      </x:c>
      <x:c r="I62" t="str">
        <x:v>sibling-site denial</x:v>
      </x:c>
      <x:c r="J62" t="n">
        <x:v>1</x:v>
      </x:c>
      <x:c r="K62" t="n">
        <x:v>0</x:v>
      </x:c>
      <x:c r="L62" t="n">
        <x:v>0</x:v>
      </x:c>
      <x:c r="M62" t="str">
        <x:f>IF(J62=1,"PASS","GAP")</x:f>
        <x:v>PASS</x:v>
      </x:c>
    </x:row>
    <x:row r="63">
      <x:c r="B63" t="str">
        <x:v>EV-RC-2-A-RST-03</x:v>
      </x:c>
      <x:c r="C63" t="str">
        <x:v>reset</x:v>
      </x:c>
      <x:c r="D63" t="str">
        <x:v>RC-2</x:v>
      </x:c>
      <x:c r="E63" t="str">
        <x:v>Builder A</x:v>
      </x:c>
      <x:c r="F63" t="str">
        <x:v>PTC-A</x:v>
      </x:c>
      <x:c r="G63" t="str">
        <x:v>C0</x:v>
      </x:c>
      <x:c r="H63" s="27" t="n">
        <x:f>0</x:f>
        <x:v>0</x:v>
      </x:c>
      <x:c r="I63" t="str">
        <x:v>complete train rebuild</x:v>
      </x:c>
      <x:c r="J63" t="n">
        <x:v>1</x:v>
      </x:c>
      <x:c r="K63" t="n">
        <x:v>0</x:v>
      </x:c>
      <x:c r="L63" t="n">
        <x:v>0</x:v>
      </x:c>
      <x:c r="M63" t="str">
        <x:f>IF(J63=1,"PASS","GAP")</x:f>
        <x:v>PASS</x:v>
      </x:c>
    </x:row>
    <x:row r="64">
      <x:c r="B64" t="str">
        <x:v>EV-RC-2-B-DEV-01</x:v>
      </x:c>
      <x:c r="C64" t="str">
        <x:v>development</x:v>
      </x:c>
      <x:c r="D64" t="str">
        <x:v>RC-2</x:v>
      </x:c>
      <x:c r="E64" t="str">
        <x:v>Builder B</x:v>
      </x:c>
      <x:c r="F64" t="str">
        <x:v>PTC-B</x:v>
      </x:c>
      <x:c r="G64" t="str">
        <x:v>C0</x:v>
      </x:c>
      <x:c r="H64" s="27" t="n">
        <x:f>0</x:f>
        <x:v>0</x:v>
      </x:c>
      <x:c r="I64" t="str">
        <x:v>water route coefficient</x:v>
      </x:c>
      <x:c r="J64" t="n">
        <x:v>1</x:v>
      </x:c>
      <x:c r="K64" t="n">
        <x:v>0</x:v>
      </x:c>
      <x:c r="L64" t="n">
        <x:v>0</x:v>
      </x:c>
      <x:c r="M64" t="str">
        <x:f>IF(J64=1,"PASS","GAP")</x:f>
        <x:v>PASS</x:v>
      </x:c>
    </x:row>
    <x:row r="65">
      <x:c r="B65" t="str">
        <x:v>EV-RC-2-B-DEV-02</x:v>
      </x:c>
      <x:c r="C65" t="str">
        <x:v>development</x:v>
      </x:c>
      <x:c r="D65" t="str">
        <x:v>RC-2</x:v>
      </x:c>
      <x:c r="E65" t="str">
        <x:v>Builder B</x:v>
      </x:c>
      <x:c r="F65" t="str">
        <x:v>PTC-C</x:v>
      </x:c>
      <x:c r="G65" t="str">
        <x:v>C0</x:v>
      </x:c>
      <x:c r="H65" s="27" t="n">
        <x:f>0</x:f>
        <x:v>0</x:v>
      </x:c>
      <x:c r="I65" t="str">
        <x:v>nitrogen line coefficient</x:v>
      </x:c>
      <x:c r="J65" t="n">
        <x:v>1</x:v>
      </x:c>
      <x:c r="K65" t="n">
        <x:v>0</x:v>
      </x:c>
      <x:c r="L65" t="n">
        <x:v>0</x:v>
      </x:c>
      <x:c r="M65" t="str">
        <x:f>IF(J65=1,"PASS","GAP")</x:f>
        <x:v>PASS</x:v>
      </x:c>
    </x:row>
    <x:row r="66">
      <x:c r="B66" t="str">
        <x:v>EV-RC-2-B-DEV-03</x:v>
      </x:c>
      <x:c r="C66" t="str">
        <x:v>development</x:v>
      </x:c>
      <x:c r="D66" t="str">
        <x:v>RC-2</x:v>
      </x:c>
      <x:c r="E66" t="str">
        <x:v>Builder B</x:v>
      </x:c>
      <x:c r="F66" t="str">
        <x:v>PTC-A</x:v>
      </x:c>
      <x:c r="G66" t="str">
        <x:v>C0S</x:v>
      </x:c>
      <x:c r="H66" s="27" t="n">
        <x:f>0</x:f>
        <x:v>0</x:v>
      </x:c>
      <x:c r="I66" t="str">
        <x:v>inert two-phase surrogate</x:v>
      </x:c>
      <x:c r="J66" t="n">
        <x:v>1</x:v>
      </x:c>
      <x:c r="K66" t="n">
        <x:v>0</x:v>
      </x:c>
      <x:c r="L66" t="n">
        <x:v>0</x:v>
      </x:c>
      <x:c r="M66" t="str">
        <x:f>IF(J66=1,"PASS","GAP")</x:f>
        <x:v>PASS</x:v>
      </x:c>
    </x:row>
    <x:row r="67">
      <x:c r="B67" t="str">
        <x:v>EV-RC-2-B-DEV-04</x:v>
      </x:c>
      <x:c r="C67" t="str">
        <x:v>development</x:v>
      </x:c>
      <x:c r="D67" t="str">
        <x:v>RC-2</x:v>
      </x:c>
      <x:c r="E67" t="str">
        <x:v>Builder B</x:v>
      </x:c>
      <x:c r="F67" t="str">
        <x:v>PTC-B</x:v>
      </x:c>
      <x:c r="G67" t="str">
        <x:v>C0S</x:v>
      </x:c>
      <x:c r="H67" s="27" t="n">
        <x:f>0</x:f>
        <x:v>0</x:v>
      </x:c>
      <x:c r="I67" t="str">
        <x:v>cold-soak seal</x:v>
      </x:c>
      <x:c r="J67" t="n">
        <x:v>1</x:v>
      </x:c>
      <x:c r="K67" t="n">
        <x:v>0</x:v>
      </x:c>
      <x:c r="L67" t="n">
        <x:v>0</x:v>
      </x:c>
      <x:c r="M67" t="str">
        <x:f>IF(J67=1,"PASS","GAP")</x:f>
        <x:v>PASS</x:v>
      </x:c>
    </x:row>
    <x:row r="68">
      <x:c r="B68" t="str">
        <x:v>EV-RC-2-B-DEV-05</x:v>
      </x:c>
      <x:c r="C68" t="str">
        <x:v>development</x:v>
      </x:c>
      <x:c r="D68" t="str">
        <x:v>RC-2</x:v>
      </x:c>
      <x:c r="E68" t="str">
        <x:v>Builder B</x:v>
      </x:c>
      <x:c r="F68" t="str">
        <x:v>PTC-C</x:v>
      </x:c>
      <x:c r="G68" t="str">
        <x:v>C0S</x:v>
      </x:c>
      <x:c r="H68" s="27" t="n">
        <x:f>0</x:f>
        <x:v>0</x:v>
      </x:c>
      <x:c r="I68" t="str">
        <x:v>hot-soak seal</x:v>
      </x:c>
      <x:c r="J68" t="n">
        <x:v>1</x:v>
      </x:c>
      <x:c r="K68" t="n">
        <x:v>0</x:v>
      </x:c>
      <x:c r="L68" t="n">
        <x:v>0</x:v>
      </x:c>
      <x:c r="M68" t="str">
        <x:f>IF(J68=1,"PASS","GAP")</x:f>
        <x:v>PASS</x:v>
      </x:c>
    </x:row>
    <x:row r="69">
      <x:c r="B69" t="str">
        <x:v>EV-RC-2-B-DEV-06</x:v>
      </x:c>
      <x:c r="C69" t="str">
        <x:v>development</x:v>
      </x:c>
      <x:c r="D69" t="str">
        <x:v>RC-2</x:v>
      </x:c>
      <x:c r="E69" t="str">
        <x:v>Builder B</x:v>
      </x:c>
      <x:c r="F69" t="str">
        <x:v>PTC-A</x:v>
      </x:c>
      <x:c r="G69" t="str">
        <x:v>C0S</x:v>
      </x:c>
      <x:c r="H69" s="27" t="n">
        <x:f>0</x:f>
        <x:v>0</x:v>
      </x:c>
      <x:c r="I69" t="str">
        <x:v>obstruction truth</x:v>
      </x:c>
      <x:c r="J69" t="n">
        <x:v>1</x:v>
      </x:c>
      <x:c r="K69" t="n">
        <x:v>0</x:v>
      </x:c>
      <x:c r="L69" t="n">
        <x:v>0</x:v>
      </x:c>
      <x:c r="M69" t="str">
        <x:f>IF(J69=1,"PASS","GAP")</x:f>
        <x:v>PASS</x:v>
      </x:c>
    </x:row>
    <x:row r="70">
      <x:c r="B70" t="str">
        <x:v>EV-RC-2-B-DEV-07</x:v>
      </x:c>
      <x:c r="C70" t="str">
        <x:v>development</x:v>
      </x:c>
      <x:c r="D70" t="str">
        <x:v>RC-2</x:v>
      </x:c>
      <x:c r="E70" t="str">
        <x:v>Builder B</x:v>
      </x:c>
      <x:c r="F70" t="str">
        <x:v>PTC-B</x:v>
      </x:c>
      <x:c r="G70" t="str">
        <x:v>C0S</x:v>
      </x:c>
      <x:c r="H70" s="27" t="n">
        <x:f>0</x:f>
        <x:v>0</x:v>
      </x:c>
      <x:c r="I70" t="str">
        <x:v>reverse-load boundary</x:v>
      </x:c>
      <x:c r="J70" t="n">
        <x:v>1</x:v>
      </x:c>
      <x:c r="K70" t="n">
        <x:v>0</x:v>
      </x:c>
      <x:c r="L70" t="n">
        <x:v>0</x:v>
      </x:c>
      <x:c r="M70" t="str">
        <x:f>IF(J70=1,"PASS","GAP")</x:f>
        <x:v>PASS</x:v>
      </x:c>
    </x:row>
    <x:row r="71">
      <x:c r="B71" t="str">
        <x:v>EV-RC-2-B-DEV-08</x:v>
      </x:c>
      <x:c r="C71" t="str">
        <x:v>development</x:v>
      </x:c>
      <x:c r="D71" t="str">
        <x:v>RC-2</x:v>
      </x:c>
      <x:c r="E71" t="str">
        <x:v>Builder B</x:v>
      </x:c>
      <x:c r="F71" t="str">
        <x:v>PTC-C</x:v>
      </x:c>
      <x:c r="G71" t="str">
        <x:v>C0S</x:v>
      </x:c>
      <x:c r="H71" s="27" t="n">
        <x:f>0</x:f>
        <x:v>0</x:v>
      </x:c>
      <x:c r="I71" t="str">
        <x:v>receiver initial fill</x:v>
      </x:c>
      <x:c r="J71" t="n">
        <x:v>1</x:v>
      </x:c>
      <x:c r="K71" t="n">
        <x:v>0</x:v>
      </x:c>
      <x:c r="L71" t="n">
        <x:v>0</x:v>
      </x:c>
      <x:c r="M71" t="str">
        <x:f>IF(J71=1,"PASS","GAP")</x:f>
        <x:v>PASS</x:v>
      </x:c>
    </x:row>
    <x:row r="72">
      <x:c r="B72" t="str">
        <x:v>EV-RC-2-B-DEV-09</x:v>
      </x:c>
      <x:c r="C72" t="str">
        <x:v>development</x:v>
      </x:c>
      <x:c r="D72" t="str">
        <x:v>RC-2</x:v>
      </x:c>
      <x:c r="E72" t="str">
        <x:v>Builder B</x:v>
      </x:c>
      <x:c r="F72" t="str">
        <x:v>PTC-A</x:v>
      </x:c>
      <x:c r="G72" t="str">
        <x:v>C0</x:v>
      </x:c>
      <x:c r="H72" s="27" t="n">
        <x:f>0</x:f>
        <x:v>0</x:v>
      </x:c>
      <x:c r="I72" t="str">
        <x:v>holder deployment weather</x:v>
      </x:c>
      <x:c r="J72" t="n">
        <x:v>1</x:v>
      </x:c>
      <x:c r="K72" t="n">
        <x:v>0</x:v>
      </x:c>
      <x:c r="L72" t="n">
        <x:v>0</x:v>
      </x:c>
      <x:c r="M72" t="str">
        <x:f>IF(J72=1,"PASS","GAP")</x:f>
        <x:v>PASS</x:v>
      </x:c>
    </x:row>
    <x:row r="73">
      <x:c r="B73" t="str">
        <x:v>EV-RC-2-B-DEV-10</x:v>
      </x:c>
      <x:c r="C73" t="str">
        <x:v>development</x:v>
      </x:c>
      <x:c r="D73" t="str">
        <x:v>RC-2</x:v>
      </x:c>
      <x:c r="E73" t="str">
        <x:v>Builder B</x:v>
      </x:c>
      <x:c r="F73" t="str">
        <x:v>PTC-B</x:v>
      </x:c>
      <x:c r="G73" t="str">
        <x:v>C0</x:v>
      </x:c>
      <x:c r="H73" s="27" t="n">
        <x:f>0</x:f>
        <x:v>0</x:v>
      </x:c>
      <x:c r="I73" t="str">
        <x:v>safety-energy denial</x:v>
      </x:c>
      <x:c r="J73" t="n">
        <x:v>1</x:v>
      </x:c>
      <x:c r="K73" t="n">
        <x:v>0</x:v>
      </x:c>
      <x:c r="L73" t="n">
        <x:v>0</x:v>
      </x:c>
      <x:c r="M73" t="str">
        <x:f>IF(J73=1,"PASS","GAP")</x:f>
        <x:v>PASS</x:v>
      </x:c>
    </x:row>
    <x:row r="74">
      <x:c r="B74" t="str">
        <x:v>EV-RC-2-B-DEV-11</x:v>
      </x:c>
      <x:c r="C74" t="str">
        <x:v>development</x:v>
      </x:c>
      <x:c r="D74" t="str">
        <x:v>RC-2</x:v>
      </x:c>
      <x:c r="E74" t="str">
        <x:v>Builder B</x:v>
      </x:c>
      <x:c r="F74" t="str">
        <x:v>PTC-C</x:v>
      </x:c>
      <x:c r="G74" t="str">
        <x:v>C0</x:v>
      </x:c>
      <x:c r="H74" s="27" t="n">
        <x:f>0</x:f>
        <x:v>0</x:v>
      </x:c>
      <x:c r="I74" t="str">
        <x:v>recorder and time denial</x:v>
      </x:c>
      <x:c r="J74" t="n">
        <x:v>1</x:v>
      </x:c>
      <x:c r="K74" t="n">
        <x:v>0</x:v>
      </x:c>
      <x:c r="L74" t="n">
        <x:v>0</x:v>
      </x:c>
      <x:c r="M74" t="str">
        <x:f>IF(J74=1,"PASS","GAP")</x:f>
        <x:v>PASS</x:v>
      </x:c>
    </x:row>
    <x:row r="75">
      <x:c r="B75" t="str">
        <x:v>EV-RC-2-B-DEV-12</x:v>
      </x:c>
      <x:c r="C75" t="str">
        <x:v>development</x:v>
      </x:c>
      <x:c r="D75" t="str">
        <x:v>RC-2</x:v>
      </x:c>
      <x:c r="E75" t="str">
        <x:v>Builder B</x:v>
      </x:c>
      <x:c r="F75" t="str">
        <x:v>PTC-A</x:v>
      </x:c>
      <x:c r="G75" t="str">
        <x:v>C0</x:v>
      </x:c>
      <x:c r="H75" s="27" t="n">
        <x:f>0</x:f>
        <x:v>0</x:v>
      </x:c>
      <x:c r="I75" t="str">
        <x:v>reset and decontamination</x:v>
      </x:c>
      <x:c r="J75" t="n">
        <x:v>1</x:v>
      </x:c>
      <x:c r="K75" t="n">
        <x:v>0</x:v>
      </x:c>
      <x:c r="L75" t="n">
        <x:v>0</x:v>
      </x:c>
      <x:c r="M75" t="str">
        <x:f>IF(J75=1,"PASS","GAP")</x:f>
        <x:v>PASS</x:v>
      </x:c>
    </x:row>
    <x:row r="76">
      <x:c r="B76" t="str">
        <x:v>EV-RC-2-B-DST-01</x:v>
      </x:c>
      <x:c r="C76" t="str">
        <x:v>destructive</x:v>
      </x:c>
      <x:c r="D76" t="str">
        <x:v>RC-2</x:v>
      </x:c>
      <x:c r="E76" t="str">
        <x:v>Builder B</x:v>
      </x:c>
      <x:c r="F76" t="str">
        <x:v>PTC-A</x:v>
      </x:c>
      <x:c r="G76" t="str">
        <x:v>C1</x:v>
      </x:c>
      <x:c r="H76" s="27" t="n">
        <x:f>Controls!$D$38</x:f>
        <x:v>2000</x:v>
      </x:c>
      <x:c r="I76" t="str">
        <x:v>route fracture at full flow</x:v>
      </x:c>
      <x:c r="J76" t="n">
        <x:v>1</x:v>
      </x:c>
      <x:c r="K76" t="n">
        <x:v>0</x:v>
      </x:c>
      <x:c r="L76" t="n">
        <x:v>0</x:v>
      </x:c>
      <x:c r="M76" t="str">
        <x:f>IF(J76=1,"PASS","GAP")</x:f>
        <x:v>PASS</x:v>
      </x:c>
    </x:row>
    <x:row r="77">
      <x:c r="B77" t="str">
        <x:v>EV-RC-2-B-DST-02</x:v>
      </x:c>
      <x:c r="C77" t="str">
        <x:v>destructive</x:v>
      </x:c>
      <x:c r="D77" t="str">
        <x:v>RC-2</x:v>
      </x:c>
      <x:c r="E77" t="str">
        <x:v>Builder B</x:v>
      </x:c>
      <x:c r="F77" t="str">
        <x:v>PTC-A</x:v>
      </x:c>
      <x:c r="G77" t="str">
        <x:v>C1</x:v>
      </x:c>
      <x:c r="H77" s="27" t="n">
        <x:f>Controls!$D$38</x:f>
        <x:v>2000</x:v>
      </x:c>
      <x:c r="I77" t="str">
        <x:v>receiver support loss</x:v>
      </x:c>
      <x:c r="J77" t="n">
        <x:v>1</x:v>
      </x:c>
      <x:c r="K77" t="n">
        <x:v>0</x:v>
      </x:c>
      <x:c r="L77" t="n">
        <x:v>0</x:v>
      </x:c>
      <x:c r="M77" t="str">
        <x:f>IF(J77=1,"PASS","GAP")</x:f>
        <x:v>PASS</x:v>
      </x:c>
    </x:row>
    <x:row r="78">
      <x:c r="B78" t="str">
        <x:v>EV-RC-2-B-DST-03</x:v>
      </x:c>
      <x:c r="C78" t="str">
        <x:v>destructive</x:v>
      </x:c>
      <x:c r="D78" t="str">
        <x:v>RC-2</x:v>
      </x:c>
      <x:c r="E78" t="str">
        <x:v>Builder B</x:v>
      </x:c>
      <x:c r="F78" t="str">
        <x:v>PTC-A</x:v>
      </x:c>
      <x:c r="G78" t="str">
        <x:v>C1</x:v>
      </x:c>
      <x:c r="H78" s="27" t="n">
        <x:f>Controls!$D$38</x:f>
        <x:v>2000</x:v>
      </x:c>
      <x:c r="I78" t="str">
        <x:v>holder ignition and overpressure</x:v>
      </x:c>
      <x:c r="J78" t="n">
        <x:v>1</x:v>
      </x:c>
      <x:c r="K78" t="n">
        <x:v>0</x:v>
      </x:c>
      <x:c r="L78" t="n">
        <x:v>0</x:v>
      </x:c>
      <x:c r="M78" t="str">
        <x:f>IF(J78=1,"PASS","GAP")</x:f>
        <x:v>PASS</x:v>
      </x:c>
    </x:row>
    <x:row r="79">
      <x:c r="B79" t="str">
        <x:v>EV-RC-2-B-DST-04</x:v>
      </x:c>
      <x:c r="C79" t="str">
        <x:v>destructive</x:v>
      </x:c>
      <x:c r="D79" t="str">
        <x:v>RC-2</x:v>
      </x:c>
      <x:c r="E79" t="str">
        <x:v>Builder B</x:v>
      </x:c>
      <x:c r="F79" t="str">
        <x:v>PTC-A</x:v>
      </x:c>
      <x:c r="G79" t="str">
        <x:v>C1</x:v>
      </x:c>
      <x:c r="H79" s="27" t="n">
        <x:f>Controls!$D$38</x:f>
        <x:v>2000</x:v>
      </x:c>
      <x:c r="I79" t="str">
        <x:v>terminal disposition loss</x:v>
      </x:c>
      <x:c r="J79" t="n">
        <x:v>1</x:v>
      </x:c>
      <x:c r="K79" t="n">
        <x:v>0</x:v>
      </x:c>
      <x:c r="L79" t="n">
        <x:v>0</x:v>
      </x:c>
      <x:c r="M79" t="str">
        <x:f>IF(J79=1,"PASS","GAP")</x:f>
        <x:v>PASS</x:v>
      </x:c>
    </x:row>
    <x:row r="80">
      <x:c r="B80" t="str">
        <x:v>EV-RC-2-B-RST-01</x:v>
      </x:c>
      <x:c r="C80" t="str">
        <x:v>reset</x:v>
      </x:c>
      <x:c r="D80" t="str">
        <x:v>RC-2</x:v>
      </x:c>
      <x:c r="E80" t="str">
        <x:v>Builder B</x:v>
      </x:c>
      <x:c r="F80" t="str">
        <x:v>PTC-B</x:v>
      </x:c>
      <x:c r="G80" t="str">
        <x:v>C0</x:v>
      </x:c>
      <x:c r="H80" s="27" t="n">
        <x:f>0</x:f>
        <x:v>0</x:v>
      </x:c>
      <x:c r="I80" t="str">
        <x:v>twelve-month cold start</x:v>
      </x:c>
      <x:c r="J80" t="n">
        <x:v>1</x:v>
      </x:c>
      <x:c r="K80" t="n">
        <x:v>0</x:v>
      </x:c>
      <x:c r="L80" t="n">
        <x:v>0</x:v>
      </x:c>
      <x:c r="M80" t="str">
        <x:f>IF(J80=1,"PASS","GAP")</x:f>
        <x:v>PASS</x:v>
      </x:c>
    </x:row>
    <x:row r="81">
      <x:c r="B81" t="str">
        <x:v>EV-RC-2-B-RST-02</x:v>
      </x:c>
      <x:c r="C81" t="str">
        <x:v>reset</x:v>
      </x:c>
      <x:c r="D81" t="str">
        <x:v>RC-2</x:v>
      </x:c>
      <x:c r="E81" t="str">
        <x:v>Builder B</x:v>
      </x:c>
      <x:c r="F81" t="str">
        <x:v>PTC-C</x:v>
      </x:c>
      <x:c r="G81" t="str">
        <x:v>C0</x:v>
      </x:c>
      <x:c r="H81" s="27" t="n">
        <x:f>0</x:f>
        <x:v>0</x:v>
      </x:c>
      <x:c r="I81" t="str">
        <x:v>sibling-site denial</x:v>
      </x:c>
      <x:c r="J81" t="n">
        <x:v>1</x:v>
      </x:c>
      <x:c r="K81" t="n">
        <x:v>0</x:v>
      </x:c>
      <x:c r="L81" t="n">
        <x:v>0</x:v>
      </x:c>
      <x:c r="M81" t="str">
        <x:f>IF(J81=1,"PASS","GAP")</x:f>
        <x:v>PASS</x:v>
      </x:c>
    </x:row>
    <x:row r="82">
      <x:c r="B82" t="str">
        <x:v>EV-RC-2-B-RST-03</x:v>
      </x:c>
      <x:c r="C82" t="str">
        <x:v>reset</x:v>
      </x:c>
      <x:c r="D82" t="str">
        <x:v>RC-2</x:v>
      </x:c>
      <x:c r="E82" t="str">
        <x:v>Builder B</x:v>
      </x:c>
      <x:c r="F82" t="str">
        <x:v>PTC-A</x:v>
      </x:c>
      <x:c r="G82" t="str">
        <x:v>C0</x:v>
      </x:c>
      <x:c r="H82" s="27" t="n">
        <x:f>0</x:f>
        <x:v>0</x:v>
      </x:c>
      <x:c r="I82" t="str">
        <x:v>complete train rebuild</x:v>
      </x:c>
      <x:c r="J82" t="n">
        <x:v>1</x:v>
      </x:c>
      <x:c r="K82" t="n">
        <x:v>0</x:v>
      </x:c>
      <x:c r="L82" t="n">
        <x:v>0</x:v>
      </x:c>
      <x:c r="M82" t="str">
        <x:f>IF(J82=1,"PASS","GAP")</x:f>
        <x:v>PASS</x:v>
      </x:c>
    </x:row>
    <x:row r="83">
      <x:c r="B83" t="str">
        <x:v>EV-RC-3-A-DEV-01</x:v>
      </x:c>
      <x:c r="C83" t="str">
        <x:v>development</x:v>
      </x:c>
      <x:c r="D83" t="str">
        <x:v>RC-3</x:v>
      </x:c>
      <x:c r="E83" t="str">
        <x:v>Builder A</x:v>
      </x:c>
      <x:c r="F83" t="str">
        <x:v>PTC-B</x:v>
      </x:c>
      <x:c r="G83" t="str">
        <x:v>C0</x:v>
      </x:c>
      <x:c r="H83" s="27" t="n">
        <x:f>0</x:f>
        <x:v>0</x:v>
      </x:c>
      <x:c r="I83" t="str">
        <x:v>water route coefficient</x:v>
      </x:c>
      <x:c r="J83" t="n">
        <x:v>1</x:v>
      </x:c>
      <x:c r="K83" t="n">
        <x:v>0</x:v>
      </x:c>
      <x:c r="L83" t="n">
        <x:v>0</x:v>
      </x:c>
      <x:c r="M83" t="str">
        <x:f>IF(J83=1,"PASS","GAP")</x:f>
        <x:v>PASS</x:v>
      </x:c>
    </x:row>
    <x:row r="84">
      <x:c r="B84" t="str">
        <x:v>EV-RC-3-A-DEV-02</x:v>
      </x:c>
      <x:c r="C84" t="str">
        <x:v>development</x:v>
      </x:c>
      <x:c r="D84" t="str">
        <x:v>RC-3</x:v>
      </x:c>
      <x:c r="E84" t="str">
        <x:v>Builder A</x:v>
      </x:c>
      <x:c r="F84" t="str">
        <x:v>PTC-C</x:v>
      </x:c>
      <x:c r="G84" t="str">
        <x:v>C0</x:v>
      </x:c>
      <x:c r="H84" s="27" t="n">
        <x:f>0</x:f>
        <x:v>0</x:v>
      </x:c>
      <x:c r="I84" t="str">
        <x:v>nitrogen line coefficient</x:v>
      </x:c>
      <x:c r="J84" t="n">
        <x:v>1</x:v>
      </x:c>
      <x:c r="K84" t="n">
        <x:v>0</x:v>
      </x:c>
      <x:c r="L84" t="n">
        <x:v>0</x:v>
      </x:c>
      <x:c r="M84" t="str">
        <x:f>IF(J84=1,"PASS","GAP")</x:f>
        <x:v>PASS</x:v>
      </x:c>
    </x:row>
    <x:row r="85">
      <x:c r="B85" t="str">
        <x:v>EV-RC-3-A-DEV-03</x:v>
      </x:c>
      <x:c r="C85" t="str">
        <x:v>development</x:v>
      </x:c>
      <x:c r="D85" t="str">
        <x:v>RC-3</x:v>
      </x:c>
      <x:c r="E85" t="str">
        <x:v>Builder A</x:v>
      </x:c>
      <x:c r="F85" t="str">
        <x:v>PTC-A</x:v>
      </x:c>
      <x:c r="G85" t="str">
        <x:v>C0S</x:v>
      </x:c>
      <x:c r="H85" s="27" t="n">
        <x:f>0</x:f>
        <x:v>0</x:v>
      </x:c>
      <x:c r="I85" t="str">
        <x:v>inert two-phase surrogate</x:v>
      </x:c>
      <x:c r="J85" t="n">
        <x:v>1</x:v>
      </x:c>
      <x:c r="K85" t="n">
        <x:v>0</x:v>
      </x:c>
      <x:c r="L85" t="n">
        <x:v>0</x:v>
      </x:c>
      <x:c r="M85" t="str">
        <x:f>IF(J85=1,"PASS","GAP")</x:f>
        <x:v>PASS</x:v>
      </x:c>
    </x:row>
    <x:row r="86">
      <x:c r="B86" t="str">
        <x:v>EV-RC-3-A-DEV-04</x:v>
      </x:c>
      <x:c r="C86" t="str">
        <x:v>development</x:v>
      </x:c>
      <x:c r="D86" t="str">
        <x:v>RC-3</x:v>
      </x:c>
      <x:c r="E86" t="str">
        <x:v>Builder A</x:v>
      </x:c>
      <x:c r="F86" t="str">
        <x:v>PTC-B</x:v>
      </x:c>
      <x:c r="G86" t="str">
        <x:v>C0S</x:v>
      </x:c>
      <x:c r="H86" s="27" t="n">
        <x:f>0</x:f>
        <x:v>0</x:v>
      </x:c>
      <x:c r="I86" t="str">
        <x:v>cold-soak seal</x:v>
      </x:c>
      <x:c r="J86" t="n">
        <x:v>1</x:v>
      </x:c>
      <x:c r="K86" t="n">
        <x:v>0</x:v>
      </x:c>
      <x:c r="L86" t="n">
        <x:v>0</x:v>
      </x:c>
      <x:c r="M86" t="str">
        <x:f>IF(J86=1,"PASS","GAP")</x:f>
        <x:v>PASS</x:v>
      </x:c>
    </x:row>
    <x:row r="87">
      <x:c r="B87" t="str">
        <x:v>EV-RC-3-A-DEV-05</x:v>
      </x:c>
      <x:c r="C87" t="str">
        <x:v>development</x:v>
      </x:c>
      <x:c r="D87" t="str">
        <x:v>RC-3</x:v>
      </x:c>
      <x:c r="E87" t="str">
        <x:v>Builder A</x:v>
      </x:c>
      <x:c r="F87" t="str">
        <x:v>PTC-C</x:v>
      </x:c>
      <x:c r="G87" t="str">
        <x:v>C0S</x:v>
      </x:c>
      <x:c r="H87" s="27" t="n">
        <x:f>0</x:f>
        <x:v>0</x:v>
      </x:c>
      <x:c r="I87" t="str">
        <x:v>hot-soak seal</x:v>
      </x:c>
      <x:c r="J87" t="n">
        <x:v>1</x:v>
      </x:c>
      <x:c r="K87" t="n">
        <x:v>0</x:v>
      </x:c>
      <x:c r="L87" t="n">
        <x:v>0</x:v>
      </x:c>
      <x:c r="M87" t="str">
        <x:f>IF(J87=1,"PASS","GAP")</x:f>
        <x:v>PASS</x:v>
      </x:c>
    </x:row>
    <x:row r="88">
      <x:c r="B88" t="str">
        <x:v>EV-RC-3-A-DEV-06</x:v>
      </x:c>
      <x:c r="C88" t="str">
        <x:v>development</x:v>
      </x:c>
      <x:c r="D88" t="str">
        <x:v>RC-3</x:v>
      </x:c>
      <x:c r="E88" t="str">
        <x:v>Builder A</x:v>
      </x:c>
      <x:c r="F88" t="str">
        <x:v>PTC-A</x:v>
      </x:c>
      <x:c r="G88" t="str">
        <x:v>C0S</x:v>
      </x:c>
      <x:c r="H88" s="27" t="n">
        <x:f>0</x:f>
        <x:v>0</x:v>
      </x:c>
      <x:c r="I88" t="str">
        <x:v>obstruction truth</x:v>
      </x:c>
      <x:c r="J88" t="n">
        <x:v>1</x:v>
      </x:c>
      <x:c r="K88" t="n">
        <x:v>0</x:v>
      </x:c>
      <x:c r="L88" t="n">
        <x:v>0</x:v>
      </x:c>
      <x:c r="M88" t="str">
        <x:f>IF(J88=1,"PASS","GAP")</x:f>
        <x:v>PASS</x:v>
      </x:c>
    </x:row>
    <x:row r="89">
      <x:c r="B89" t="str">
        <x:v>EV-RC-3-A-DEV-07</x:v>
      </x:c>
      <x:c r="C89" t="str">
        <x:v>development</x:v>
      </x:c>
      <x:c r="D89" t="str">
        <x:v>RC-3</x:v>
      </x:c>
      <x:c r="E89" t="str">
        <x:v>Builder A</x:v>
      </x:c>
      <x:c r="F89" t="str">
        <x:v>PTC-B</x:v>
      </x:c>
      <x:c r="G89" t="str">
        <x:v>C0S</x:v>
      </x:c>
      <x:c r="H89" s="27" t="n">
        <x:f>0</x:f>
        <x:v>0</x:v>
      </x:c>
      <x:c r="I89" t="str">
        <x:v>reverse-load boundary</x:v>
      </x:c>
      <x:c r="J89" t="n">
        <x:v>1</x:v>
      </x:c>
      <x:c r="K89" t="n">
        <x:v>0</x:v>
      </x:c>
      <x:c r="L89" t="n">
        <x:v>0</x:v>
      </x:c>
      <x:c r="M89" t="str">
        <x:f>IF(J89=1,"PASS","GAP")</x:f>
        <x:v>PASS</x:v>
      </x:c>
    </x:row>
    <x:row r="90">
      <x:c r="B90" t="str">
        <x:v>EV-RC-3-A-DEV-08</x:v>
      </x:c>
      <x:c r="C90" t="str">
        <x:v>development</x:v>
      </x:c>
      <x:c r="D90" t="str">
        <x:v>RC-3</x:v>
      </x:c>
      <x:c r="E90" t="str">
        <x:v>Builder A</x:v>
      </x:c>
      <x:c r="F90" t="str">
        <x:v>PTC-C</x:v>
      </x:c>
      <x:c r="G90" t="str">
        <x:v>C0S</x:v>
      </x:c>
      <x:c r="H90" s="27" t="n">
        <x:f>0</x:f>
        <x:v>0</x:v>
      </x:c>
      <x:c r="I90" t="str">
        <x:v>receiver initial fill</x:v>
      </x:c>
      <x:c r="J90" t="n">
        <x:v>1</x:v>
      </x:c>
      <x:c r="K90" t="n">
        <x:v>0</x:v>
      </x:c>
      <x:c r="L90" t="n">
        <x:v>0</x:v>
      </x:c>
      <x:c r="M90" t="str">
        <x:f>IF(J90=1,"PASS","GAP")</x:f>
        <x:v>PASS</x:v>
      </x:c>
    </x:row>
    <x:row r="91">
      <x:c r="B91" t="str">
        <x:v>EV-RC-3-A-DEV-09</x:v>
      </x:c>
      <x:c r="C91" t="str">
        <x:v>development</x:v>
      </x:c>
      <x:c r="D91" t="str">
        <x:v>RC-3</x:v>
      </x:c>
      <x:c r="E91" t="str">
        <x:v>Builder A</x:v>
      </x:c>
      <x:c r="F91" t="str">
        <x:v>PTC-A</x:v>
      </x:c>
      <x:c r="G91" t="str">
        <x:v>C0</x:v>
      </x:c>
      <x:c r="H91" s="27" t="n">
        <x:f>0</x:f>
        <x:v>0</x:v>
      </x:c>
      <x:c r="I91" t="str">
        <x:v>holder deployment weather</x:v>
      </x:c>
      <x:c r="J91" t="n">
        <x:v>1</x:v>
      </x:c>
      <x:c r="K91" t="n">
        <x:v>0</x:v>
      </x:c>
      <x:c r="L91" t="n">
        <x:v>0</x:v>
      </x:c>
      <x:c r="M91" t="str">
        <x:f>IF(J91=1,"PASS","GAP")</x:f>
        <x:v>PASS</x:v>
      </x:c>
    </x:row>
    <x:row r="92">
      <x:c r="B92" t="str">
        <x:v>EV-RC-3-A-DEV-10</x:v>
      </x:c>
      <x:c r="C92" t="str">
        <x:v>development</x:v>
      </x:c>
      <x:c r="D92" t="str">
        <x:v>RC-3</x:v>
      </x:c>
      <x:c r="E92" t="str">
        <x:v>Builder A</x:v>
      </x:c>
      <x:c r="F92" t="str">
        <x:v>PTC-B</x:v>
      </x:c>
      <x:c r="G92" t="str">
        <x:v>C0</x:v>
      </x:c>
      <x:c r="H92" s="27" t="n">
        <x:f>0</x:f>
        <x:v>0</x:v>
      </x:c>
      <x:c r="I92" t="str">
        <x:v>safety-energy denial</x:v>
      </x:c>
      <x:c r="J92" t="n">
        <x:v>1</x:v>
      </x:c>
      <x:c r="K92" t="n">
        <x:v>0</x:v>
      </x:c>
      <x:c r="L92" t="n">
        <x:v>0</x:v>
      </x:c>
      <x:c r="M92" t="str">
        <x:f>IF(J92=1,"PASS","GAP")</x:f>
        <x:v>PASS</x:v>
      </x:c>
    </x:row>
    <x:row r="93">
      <x:c r="B93" t="str">
        <x:v>EV-RC-3-A-DEV-11</x:v>
      </x:c>
      <x:c r="C93" t="str">
        <x:v>development</x:v>
      </x:c>
      <x:c r="D93" t="str">
        <x:v>RC-3</x:v>
      </x:c>
      <x:c r="E93" t="str">
        <x:v>Builder A</x:v>
      </x:c>
      <x:c r="F93" t="str">
        <x:v>PTC-C</x:v>
      </x:c>
      <x:c r="G93" t="str">
        <x:v>C0</x:v>
      </x:c>
      <x:c r="H93" s="27" t="n">
        <x:f>0</x:f>
        <x:v>0</x:v>
      </x:c>
      <x:c r="I93" t="str">
        <x:v>recorder and time denial</x:v>
      </x:c>
      <x:c r="J93" t="n">
        <x:v>1</x:v>
      </x:c>
      <x:c r="K93" t="n">
        <x:v>0</x:v>
      </x:c>
      <x:c r="L93" t="n">
        <x:v>0</x:v>
      </x:c>
      <x:c r="M93" t="str">
        <x:f>IF(J93=1,"PASS","GAP")</x:f>
        <x:v>PASS</x:v>
      </x:c>
    </x:row>
    <x:row r="94">
      <x:c r="B94" t="str">
        <x:v>EV-RC-3-A-DEV-12</x:v>
      </x:c>
      <x:c r="C94" t="str">
        <x:v>development</x:v>
      </x:c>
      <x:c r="D94" t="str">
        <x:v>RC-3</x:v>
      </x:c>
      <x:c r="E94" t="str">
        <x:v>Builder A</x:v>
      </x:c>
      <x:c r="F94" t="str">
        <x:v>PTC-A</x:v>
      </x:c>
      <x:c r="G94" t="str">
        <x:v>C0</x:v>
      </x:c>
      <x:c r="H94" s="27" t="n">
        <x:f>0</x:f>
        <x:v>0</x:v>
      </x:c>
      <x:c r="I94" t="str">
        <x:v>reset and decontamination</x:v>
      </x:c>
      <x:c r="J94" t="n">
        <x:v>1</x:v>
      </x:c>
      <x:c r="K94" t="n">
        <x:v>0</x:v>
      </x:c>
      <x:c r="L94" t="n">
        <x:v>0</x:v>
      </x:c>
      <x:c r="M94" t="str">
        <x:f>IF(J94=1,"PASS","GAP")</x:f>
        <x:v>PASS</x:v>
      </x:c>
    </x:row>
    <x:row r="95">
      <x:c r="B95" t="str">
        <x:v>EV-RC-3-A-DST-01</x:v>
      </x:c>
      <x:c r="C95" t="str">
        <x:v>destructive</x:v>
      </x:c>
      <x:c r="D95" t="str">
        <x:v>RC-3</x:v>
      </x:c>
      <x:c r="E95" t="str">
        <x:v>Builder A</x:v>
      </x:c>
      <x:c r="F95" t="str">
        <x:v>PTC-A</x:v>
      </x:c>
      <x:c r="G95" t="str">
        <x:v>C1</x:v>
      </x:c>
      <x:c r="H95" s="27" t="n">
        <x:f>Controls!$D$38</x:f>
        <x:v>2000</x:v>
      </x:c>
      <x:c r="I95" t="str">
        <x:v>route fracture at full flow</x:v>
      </x:c>
      <x:c r="J95" t="n">
        <x:v>1</x:v>
      </x:c>
      <x:c r="K95" t="n">
        <x:v>0</x:v>
      </x:c>
      <x:c r="L95" t="n">
        <x:v>0</x:v>
      </x:c>
      <x:c r="M95" t="str">
        <x:f>IF(J95=1,"PASS","GAP")</x:f>
        <x:v>PASS</x:v>
      </x:c>
    </x:row>
    <x:row r="96">
      <x:c r="B96" t="str">
        <x:v>EV-RC-3-A-DST-02</x:v>
      </x:c>
      <x:c r="C96" t="str">
        <x:v>destructive</x:v>
      </x:c>
      <x:c r="D96" t="str">
        <x:v>RC-3</x:v>
      </x:c>
      <x:c r="E96" t="str">
        <x:v>Builder A</x:v>
      </x:c>
      <x:c r="F96" t="str">
        <x:v>PTC-A</x:v>
      </x:c>
      <x:c r="G96" t="str">
        <x:v>C1</x:v>
      </x:c>
      <x:c r="H96" s="27" t="n">
        <x:f>Controls!$D$38</x:f>
        <x:v>2000</x:v>
      </x:c>
      <x:c r="I96" t="str">
        <x:v>receiver support loss</x:v>
      </x:c>
      <x:c r="J96" t="n">
        <x:v>1</x:v>
      </x:c>
      <x:c r="K96" t="n">
        <x:v>0</x:v>
      </x:c>
      <x:c r="L96" t="n">
        <x:v>0</x:v>
      </x:c>
      <x:c r="M96" t="str">
        <x:f>IF(J96=1,"PASS","GAP")</x:f>
        <x:v>PASS</x:v>
      </x:c>
    </x:row>
    <x:row r="97">
      <x:c r="B97" t="str">
        <x:v>EV-RC-3-A-DST-03</x:v>
      </x:c>
      <x:c r="C97" t="str">
        <x:v>destructive</x:v>
      </x:c>
      <x:c r="D97" t="str">
        <x:v>RC-3</x:v>
      </x:c>
      <x:c r="E97" t="str">
        <x:v>Builder A</x:v>
      </x:c>
      <x:c r="F97" t="str">
        <x:v>PTC-A</x:v>
      </x:c>
      <x:c r="G97" t="str">
        <x:v>C1</x:v>
      </x:c>
      <x:c r="H97" s="27" t="n">
        <x:f>Controls!$D$38</x:f>
        <x:v>2000</x:v>
      </x:c>
      <x:c r="I97" t="str">
        <x:v>holder ignition and overpressure</x:v>
      </x:c>
      <x:c r="J97" t="n">
        <x:v>1</x:v>
      </x:c>
      <x:c r="K97" t="n">
        <x:v>0</x:v>
      </x:c>
      <x:c r="L97" t="n">
        <x:v>0</x:v>
      </x:c>
      <x:c r="M97" t="str">
        <x:f>IF(J97=1,"PASS","GAP")</x:f>
        <x:v>PASS</x:v>
      </x:c>
    </x:row>
    <x:row r="98">
      <x:c r="B98" t="str">
        <x:v>EV-RC-3-A-DST-04</x:v>
      </x:c>
      <x:c r="C98" t="str">
        <x:v>destructive</x:v>
      </x:c>
      <x:c r="D98" t="str">
        <x:v>RC-3</x:v>
      </x:c>
      <x:c r="E98" t="str">
        <x:v>Builder A</x:v>
      </x:c>
      <x:c r="F98" t="str">
        <x:v>PTC-A</x:v>
      </x:c>
      <x:c r="G98" t="str">
        <x:v>C1</x:v>
      </x:c>
      <x:c r="H98" s="27" t="n">
        <x:f>Controls!$D$38</x:f>
        <x:v>2000</x:v>
      </x:c>
      <x:c r="I98" t="str">
        <x:v>terminal disposition loss</x:v>
      </x:c>
      <x:c r="J98" t="n">
        <x:v>1</x:v>
      </x:c>
      <x:c r="K98" t="n">
        <x:v>0</x:v>
      </x:c>
      <x:c r="L98" t="n">
        <x:v>0</x:v>
      </x:c>
      <x:c r="M98" t="str">
        <x:f>IF(J98=1,"PASS","GAP")</x:f>
        <x:v>PASS</x:v>
      </x:c>
    </x:row>
    <x:row r="99">
      <x:c r="B99" t="str">
        <x:v>EV-RC-3-A-RST-01</x:v>
      </x:c>
      <x:c r="C99" t="str">
        <x:v>reset</x:v>
      </x:c>
      <x:c r="D99" t="str">
        <x:v>RC-3</x:v>
      </x:c>
      <x:c r="E99" t="str">
        <x:v>Builder A</x:v>
      </x:c>
      <x:c r="F99" t="str">
        <x:v>PTC-B</x:v>
      </x:c>
      <x:c r="G99" t="str">
        <x:v>C0</x:v>
      </x:c>
      <x:c r="H99" s="27" t="n">
        <x:f>0</x:f>
        <x:v>0</x:v>
      </x:c>
      <x:c r="I99" t="str">
        <x:v>twelve-month cold start</x:v>
      </x:c>
      <x:c r="J99" t="n">
        <x:v>1</x:v>
      </x:c>
      <x:c r="K99" t="n">
        <x:v>0</x:v>
      </x:c>
      <x:c r="L99" t="n">
        <x:v>0</x:v>
      </x:c>
      <x:c r="M99" t="str">
        <x:f>IF(J99=1,"PASS","GAP")</x:f>
        <x:v>PASS</x:v>
      </x:c>
    </x:row>
    <x:row r="100">
      <x:c r="B100" t="str">
        <x:v>EV-RC-3-A-RST-02</x:v>
      </x:c>
      <x:c r="C100" t="str">
        <x:v>reset</x:v>
      </x:c>
      <x:c r="D100" t="str">
        <x:v>RC-3</x:v>
      </x:c>
      <x:c r="E100" t="str">
        <x:v>Builder A</x:v>
      </x:c>
      <x:c r="F100" t="str">
        <x:v>PTC-C</x:v>
      </x:c>
      <x:c r="G100" t="str">
        <x:v>C0</x:v>
      </x:c>
      <x:c r="H100" s="27" t="n">
        <x:f>0</x:f>
        <x:v>0</x:v>
      </x:c>
      <x:c r="I100" t="str">
        <x:v>sibling-site denial</x:v>
      </x:c>
      <x:c r="J100" t="n">
        <x:v>1</x:v>
      </x:c>
      <x:c r="K100" t="n">
        <x:v>0</x:v>
      </x:c>
      <x:c r="L100" t="n">
        <x:v>0</x:v>
      </x:c>
      <x:c r="M100" t="str">
        <x:f>IF(J100=1,"PASS","GAP")</x:f>
        <x:v>PASS</x:v>
      </x:c>
    </x:row>
    <x:row r="101">
      <x:c r="B101" t="str">
        <x:v>EV-RC-3-A-RST-03</x:v>
      </x:c>
      <x:c r="C101" t="str">
        <x:v>reset</x:v>
      </x:c>
      <x:c r="D101" t="str">
        <x:v>RC-3</x:v>
      </x:c>
      <x:c r="E101" t="str">
        <x:v>Builder A</x:v>
      </x:c>
      <x:c r="F101" t="str">
        <x:v>PTC-A</x:v>
      </x:c>
      <x:c r="G101" t="str">
        <x:v>C0</x:v>
      </x:c>
      <x:c r="H101" s="27" t="n">
        <x:f>0</x:f>
        <x:v>0</x:v>
      </x:c>
      <x:c r="I101" t="str">
        <x:v>complete train rebuild</x:v>
      </x:c>
      <x:c r="J101" t="n">
        <x:v>1</x:v>
      </x:c>
      <x:c r="K101" t="n">
        <x:v>0</x:v>
      </x:c>
      <x:c r="L101" t="n">
        <x:v>0</x:v>
      </x:c>
      <x:c r="M101" t="str">
        <x:f>IF(J101=1,"PASS","GAP")</x:f>
        <x:v>PASS</x:v>
      </x:c>
    </x:row>
    <x:row r="102">
      <x:c r="B102" t="str">
        <x:v>EV-RC-3-B-DEV-01</x:v>
      </x:c>
      <x:c r="C102" t="str">
        <x:v>development</x:v>
      </x:c>
      <x:c r="D102" t="str">
        <x:v>RC-3</x:v>
      </x:c>
      <x:c r="E102" t="str">
        <x:v>Builder B</x:v>
      </x:c>
      <x:c r="F102" t="str">
        <x:v>PTC-B</x:v>
      </x:c>
      <x:c r="G102" t="str">
        <x:v>C0</x:v>
      </x:c>
      <x:c r="H102" s="27" t="n">
        <x:f>0</x:f>
        <x:v>0</x:v>
      </x:c>
      <x:c r="I102" t="str">
        <x:v>water route coefficient</x:v>
      </x:c>
      <x:c r="J102" t="n">
        <x:v>1</x:v>
      </x:c>
      <x:c r="K102" t="n">
        <x:v>0</x:v>
      </x:c>
      <x:c r="L102" t="n">
        <x:v>0</x:v>
      </x:c>
      <x:c r="M102" t="str">
        <x:f>IF(J102=1,"PASS","GAP")</x:f>
        <x:v>PASS</x:v>
      </x:c>
    </x:row>
    <x:row r="103">
      <x:c r="B103" t="str">
        <x:v>EV-RC-3-B-DEV-02</x:v>
      </x:c>
      <x:c r="C103" t="str">
        <x:v>development</x:v>
      </x:c>
      <x:c r="D103" t="str">
        <x:v>RC-3</x:v>
      </x:c>
      <x:c r="E103" t="str">
        <x:v>Builder B</x:v>
      </x:c>
      <x:c r="F103" t="str">
        <x:v>PTC-C</x:v>
      </x:c>
      <x:c r="G103" t="str">
        <x:v>C0</x:v>
      </x:c>
      <x:c r="H103" s="27" t="n">
        <x:f>0</x:f>
        <x:v>0</x:v>
      </x:c>
      <x:c r="I103" t="str">
        <x:v>nitrogen line coefficient</x:v>
      </x:c>
      <x:c r="J103" t="n">
        <x:v>1</x:v>
      </x:c>
      <x:c r="K103" t="n">
        <x:v>0</x:v>
      </x:c>
      <x:c r="L103" t="n">
        <x:v>0</x:v>
      </x:c>
      <x:c r="M103" t="str">
        <x:f>IF(J103=1,"PASS","GAP")</x:f>
        <x:v>PASS</x:v>
      </x:c>
    </x:row>
    <x:row r="104">
      <x:c r="B104" t="str">
        <x:v>EV-RC-3-B-DEV-03</x:v>
      </x:c>
      <x:c r="C104" t="str">
        <x:v>development</x:v>
      </x:c>
      <x:c r="D104" t="str">
        <x:v>RC-3</x:v>
      </x:c>
      <x:c r="E104" t="str">
        <x:v>Builder B</x:v>
      </x:c>
      <x:c r="F104" t="str">
        <x:v>PTC-A</x:v>
      </x:c>
      <x:c r="G104" t="str">
        <x:v>C0S</x:v>
      </x:c>
      <x:c r="H104" s="27" t="n">
        <x:f>0</x:f>
        <x:v>0</x:v>
      </x:c>
      <x:c r="I104" t="str">
        <x:v>inert two-phase surrogate</x:v>
      </x:c>
      <x:c r="J104" t="n">
        <x:v>1</x:v>
      </x:c>
      <x:c r="K104" t="n">
        <x:v>0</x:v>
      </x:c>
      <x:c r="L104" t="n">
        <x:v>0</x:v>
      </x:c>
      <x:c r="M104" t="str">
        <x:f>IF(J104=1,"PASS","GAP")</x:f>
        <x:v>PASS</x:v>
      </x:c>
    </x:row>
    <x:row r="105">
      <x:c r="B105" t="str">
        <x:v>EV-RC-3-B-DEV-04</x:v>
      </x:c>
      <x:c r="C105" t="str">
        <x:v>development</x:v>
      </x:c>
      <x:c r="D105" t="str">
        <x:v>RC-3</x:v>
      </x:c>
      <x:c r="E105" t="str">
        <x:v>Builder B</x:v>
      </x:c>
      <x:c r="F105" t="str">
        <x:v>PTC-B</x:v>
      </x:c>
      <x:c r="G105" t="str">
        <x:v>C0S</x:v>
      </x:c>
      <x:c r="H105" s="27" t="n">
        <x:f>0</x:f>
        <x:v>0</x:v>
      </x:c>
      <x:c r="I105" t="str">
        <x:v>cold-soak seal</x:v>
      </x:c>
      <x:c r="J105" t="n">
        <x:v>1</x:v>
      </x:c>
      <x:c r="K105" t="n">
        <x:v>0</x:v>
      </x:c>
      <x:c r="L105" t="n">
        <x:v>0</x:v>
      </x:c>
      <x:c r="M105" t="str">
        <x:f>IF(J105=1,"PASS","GAP")</x:f>
        <x:v>PASS</x:v>
      </x:c>
    </x:row>
    <x:row r="106">
      <x:c r="B106" t="str">
        <x:v>EV-RC-3-B-DEV-05</x:v>
      </x:c>
      <x:c r="C106" t="str">
        <x:v>development</x:v>
      </x:c>
      <x:c r="D106" t="str">
        <x:v>RC-3</x:v>
      </x:c>
      <x:c r="E106" t="str">
        <x:v>Builder B</x:v>
      </x:c>
      <x:c r="F106" t="str">
        <x:v>PTC-C</x:v>
      </x:c>
      <x:c r="G106" t="str">
        <x:v>C0S</x:v>
      </x:c>
      <x:c r="H106" s="27" t="n">
        <x:f>0</x:f>
        <x:v>0</x:v>
      </x:c>
      <x:c r="I106" t="str">
        <x:v>hot-soak seal</x:v>
      </x:c>
      <x:c r="J106" t="n">
        <x:v>1</x:v>
      </x:c>
      <x:c r="K106" t="n">
        <x:v>0</x:v>
      </x:c>
      <x:c r="L106" t="n">
        <x:v>0</x:v>
      </x:c>
      <x:c r="M106" t="str">
        <x:f>IF(J106=1,"PASS","GAP")</x:f>
        <x:v>PASS</x:v>
      </x:c>
    </x:row>
    <x:row r="107">
      <x:c r="B107" t="str">
        <x:v>EV-RC-3-B-DEV-06</x:v>
      </x:c>
      <x:c r="C107" t="str">
        <x:v>development</x:v>
      </x:c>
      <x:c r="D107" t="str">
        <x:v>RC-3</x:v>
      </x:c>
      <x:c r="E107" t="str">
        <x:v>Builder B</x:v>
      </x:c>
      <x:c r="F107" t="str">
        <x:v>PTC-A</x:v>
      </x:c>
      <x:c r="G107" t="str">
        <x:v>C0S</x:v>
      </x:c>
      <x:c r="H107" s="27" t="n">
        <x:f>0</x:f>
        <x:v>0</x:v>
      </x:c>
      <x:c r="I107" t="str">
        <x:v>obstruction truth</x:v>
      </x:c>
      <x:c r="J107" t="n">
        <x:v>1</x:v>
      </x:c>
      <x:c r="K107" t="n">
        <x:v>0</x:v>
      </x:c>
      <x:c r="L107" t="n">
        <x:v>0</x:v>
      </x:c>
      <x:c r="M107" t="str">
        <x:f>IF(J107=1,"PASS","GAP")</x:f>
        <x:v>PASS</x:v>
      </x:c>
    </x:row>
    <x:row r="108">
      <x:c r="B108" t="str">
        <x:v>EV-RC-3-B-DEV-07</x:v>
      </x:c>
      <x:c r="C108" t="str">
        <x:v>development</x:v>
      </x:c>
      <x:c r="D108" t="str">
        <x:v>RC-3</x:v>
      </x:c>
      <x:c r="E108" t="str">
        <x:v>Builder B</x:v>
      </x:c>
      <x:c r="F108" t="str">
        <x:v>PTC-B</x:v>
      </x:c>
      <x:c r="G108" t="str">
        <x:v>C0S</x:v>
      </x:c>
      <x:c r="H108" s="27" t="n">
        <x:f>0</x:f>
        <x:v>0</x:v>
      </x:c>
      <x:c r="I108" t="str">
        <x:v>reverse-load boundary</x:v>
      </x:c>
      <x:c r="J108" t="n">
        <x:v>1</x:v>
      </x:c>
      <x:c r="K108" t="n">
        <x:v>0</x:v>
      </x:c>
      <x:c r="L108" t="n">
        <x:v>0</x:v>
      </x:c>
      <x:c r="M108" t="str">
        <x:f>IF(J108=1,"PASS","GAP")</x:f>
        <x:v>PASS</x:v>
      </x:c>
    </x:row>
    <x:row r="109">
      <x:c r="B109" t="str">
        <x:v>EV-RC-3-B-DEV-08</x:v>
      </x:c>
      <x:c r="C109" t="str">
        <x:v>development</x:v>
      </x:c>
      <x:c r="D109" t="str">
        <x:v>RC-3</x:v>
      </x:c>
      <x:c r="E109" t="str">
        <x:v>Builder B</x:v>
      </x:c>
      <x:c r="F109" t="str">
        <x:v>PTC-C</x:v>
      </x:c>
      <x:c r="G109" t="str">
        <x:v>C0S</x:v>
      </x:c>
      <x:c r="H109" s="27" t="n">
        <x:f>0</x:f>
        <x:v>0</x:v>
      </x:c>
      <x:c r="I109" t="str">
        <x:v>receiver initial fill</x:v>
      </x:c>
      <x:c r="J109" t="n">
        <x:v>1</x:v>
      </x:c>
      <x:c r="K109" t="n">
        <x:v>0</x:v>
      </x:c>
      <x:c r="L109" t="n">
        <x:v>0</x:v>
      </x:c>
      <x:c r="M109" t="str">
        <x:f>IF(J109=1,"PASS","GAP")</x:f>
        <x:v>PASS</x:v>
      </x:c>
    </x:row>
    <x:row r="110">
      <x:c r="B110" t="str">
        <x:v>EV-RC-3-B-DEV-09</x:v>
      </x:c>
      <x:c r="C110" t="str">
        <x:v>development</x:v>
      </x:c>
      <x:c r="D110" t="str">
        <x:v>RC-3</x:v>
      </x:c>
      <x:c r="E110" t="str">
        <x:v>Builder B</x:v>
      </x:c>
      <x:c r="F110" t="str">
        <x:v>PTC-A</x:v>
      </x:c>
      <x:c r="G110" t="str">
        <x:v>C0</x:v>
      </x:c>
      <x:c r="H110" s="27" t="n">
        <x:f>0</x:f>
        <x:v>0</x:v>
      </x:c>
      <x:c r="I110" t="str">
        <x:v>holder deployment weather</x:v>
      </x:c>
      <x:c r="J110" t="n">
        <x:v>1</x:v>
      </x:c>
      <x:c r="K110" t="n">
        <x:v>0</x:v>
      </x:c>
      <x:c r="L110" t="n">
        <x:v>0</x:v>
      </x:c>
      <x:c r="M110" t="str">
        <x:f>IF(J110=1,"PASS","GAP")</x:f>
        <x:v>PASS</x:v>
      </x:c>
    </x:row>
    <x:row r="111">
      <x:c r="B111" t="str">
        <x:v>EV-RC-3-B-DEV-10</x:v>
      </x:c>
      <x:c r="C111" t="str">
        <x:v>development</x:v>
      </x:c>
      <x:c r="D111" t="str">
        <x:v>RC-3</x:v>
      </x:c>
      <x:c r="E111" t="str">
        <x:v>Builder B</x:v>
      </x:c>
      <x:c r="F111" t="str">
        <x:v>PTC-B</x:v>
      </x:c>
      <x:c r="G111" t="str">
        <x:v>C0</x:v>
      </x:c>
      <x:c r="H111" s="27" t="n">
        <x:f>0</x:f>
        <x:v>0</x:v>
      </x:c>
      <x:c r="I111" t="str">
        <x:v>safety-energy denial</x:v>
      </x:c>
      <x:c r="J111" t="n">
        <x:v>1</x:v>
      </x:c>
      <x:c r="K111" t="n">
        <x:v>0</x:v>
      </x:c>
      <x:c r="L111" t="n">
        <x:v>0</x:v>
      </x:c>
      <x:c r="M111" t="str">
        <x:f>IF(J111=1,"PASS","GAP")</x:f>
        <x:v>PASS</x:v>
      </x:c>
    </x:row>
    <x:row r="112">
      <x:c r="B112" t="str">
        <x:v>EV-RC-3-B-DEV-11</x:v>
      </x:c>
      <x:c r="C112" t="str">
        <x:v>development</x:v>
      </x:c>
      <x:c r="D112" t="str">
        <x:v>RC-3</x:v>
      </x:c>
      <x:c r="E112" t="str">
        <x:v>Builder B</x:v>
      </x:c>
      <x:c r="F112" t="str">
        <x:v>PTC-C</x:v>
      </x:c>
      <x:c r="G112" t="str">
        <x:v>C0</x:v>
      </x:c>
      <x:c r="H112" s="27" t="n">
        <x:f>0</x:f>
        <x:v>0</x:v>
      </x:c>
      <x:c r="I112" t="str">
        <x:v>recorder and time denial</x:v>
      </x:c>
      <x:c r="J112" t="n">
        <x:v>1</x:v>
      </x:c>
      <x:c r="K112" t="n">
        <x:v>0</x:v>
      </x:c>
      <x:c r="L112" t="n">
        <x:v>0</x:v>
      </x:c>
      <x:c r="M112" t="str">
        <x:f>IF(J112=1,"PASS","GAP")</x:f>
        <x:v>PASS</x:v>
      </x:c>
    </x:row>
    <x:row r="113">
      <x:c r="B113" t="str">
        <x:v>EV-RC-3-B-DEV-12</x:v>
      </x:c>
      <x:c r="C113" t="str">
        <x:v>development</x:v>
      </x:c>
      <x:c r="D113" t="str">
        <x:v>RC-3</x:v>
      </x:c>
      <x:c r="E113" t="str">
        <x:v>Builder B</x:v>
      </x:c>
      <x:c r="F113" t="str">
        <x:v>PTC-A</x:v>
      </x:c>
      <x:c r="G113" t="str">
        <x:v>C0</x:v>
      </x:c>
      <x:c r="H113" s="27" t="n">
        <x:f>0</x:f>
        <x:v>0</x:v>
      </x:c>
      <x:c r="I113" t="str">
        <x:v>reset and decontamination</x:v>
      </x:c>
      <x:c r="J113" t="n">
        <x:v>1</x:v>
      </x:c>
      <x:c r="K113" t="n">
        <x:v>0</x:v>
      </x:c>
      <x:c r="L113" t="n">
        <x:v>0</x:v>
      </x:c>
      <x:c r="M113" t="str">
        <x:f>IF(J113=1,"PASS","GAP")</x:f>
        <x:v>PASS</x:v>
      </x:c>
    </x:row>
    <x:row r="114">
      <x:c r="B114" t="str">
        <x:v>EV-RC-3-B-DST-01</x:v>
      </x:c>
      <x:c r="C114" t="str">
        <x:v>destructive</x:v>
      </x:c>
      <x:c r="D114" t="str">
        <x:v>RC-3</x:v>
      </x:c>
      <x:c r="E114" t="str">
        <x:v>Builder B</x:v>
      </x:c>
      <x:c r="F114" t="str">
        <x:v>PTC-A</x:v>
      </x:c>
      <x:c r="G114" t="str">
        <x:v>C1</x:v>
      </x:c>
      <x:c r="H114" s="27" t="n">
        <x:f>Controls!$D$38</x:f>
        <x:v>2000</x:v>
      </x:c>
      <x:c r="I114" t="str">
        <x:v>route fracture at full flow</x:v>
      </x:c>
      <x:c r="J114" t="n">
        <x:v>1</x:v>
      </x:c>
      <x:c r="K114" t="n">
        <x:v>0</x:v>
      </x:c>
      <x:c r="L114" t="n">
        <x:v>0</x:v>
      </x:c>
      <x:c r="M114" t="str">
        <x:f>IF(J114=1,"PASS","GAP")</x:f>
        <x:v>PASS</x:v>
      </x:c>
    </x:row>
    <x:row r="115">
      <x:c r="B115" t="str">
        <x:v>EV-RC-3-B-DST-02</x:v>
      </x:c>
      <x:c r="C115" t="str">
        <x:v>destructive</x:v>
      </x:c>
      <x:c r="D115" t="str">
        <x:v>RC-3</x:v>
      </x:c>
      <x:c r="E115" t="str">
        <x:v>Builder B</x:v>
      </x:c>
      <x:c r="F115" t="str">
        <x:v>PTC-A</x:v>
      </x:c>
      <x:c r="G115" t="str">
        <x:v>C1</x:v>
      </x:c>
      <x:c r="H115" s="27" t="n">
        <x:f>Controls!$D$38</x:f>
        <x:v>2000</x:v>
      </x:c>
      <x:c r="I115" t="str">
        <x:v>receiver support loss</x:v>
      </x:c>
      <x:c r="J115" t="n">
        <x:v>1</x:v>
      </x:c>
      <x:c r="K115" t="n">
        <x:v>0</x:v>
      </x:c>
      <x:c r="L115" t="n">
        <x:v>0</x:v>
      </x:c>
      <x:c r="M115" t="str">
        <x:f>IF(J115=1,"PASS","GAP")</x:f>
        <x:v>PASS</x:v>
      </x:c>
    </x:row>
    <x:row r="116">
      <x:c r="B116" t="str">
        <x:v>EV-RC-3-B-DST-03</x:v>
      </x:c>
      <x:c r="C116" t="str">
        <x:v>destructive</x:v>
      </x:c>
      <x:c r="D116" t="str">
        <x:v>RC-3</x:v>
      </x:c>
      <x:c r="E116" t="str">
        <x:v>Builder B</x:v>
      </x:c>
      <x:c r="F116" t="str">
        <x:v>PTC-A</x:v>
      </x:c>
      <x:c r="G116" t="str">
        <x:v>C1</x:v>
      </x:c>
      <x:c r="H116" s="27" t="n">
        <x:f>Controls!$D$38</x:f>
        <x:v>2000</x:v>
      </x:c>
      <x:c r="I116" t="str">
        <x:v>holder ignition and overpressure</x:v>
      </x:c>
      <x:c r="J116" t="n">
        <x:v>1</x:v>
      </x:c>
      <x:c r="K116" t="n">
        <x:v>0</x:v>
      </x:c>
      <x:c r="L116" t="n">
        <x:v>0</x:v>
      </x:c>
      <x:c r="M116" t="str">
        <x:f>IF(J116=1,"PASS","GAP")</x:f>
        <x:v>PASS</x:v>
      </x:c>
    </x:row>
    <x:row r="117">
      <x:c r="B117" t="str">
        <x:v>EV-RC-3-B-DST-04</x:v>
      </x:c>
      <x:c r="C117" t="str">
        <x:v>destructive</x:v>
      </x:c>
      <x:c r="D117" t="str">
        <x:v>RC-3</x:v>
      </x:c>
      <x:c r="E117" t="str">
        <x:v>Builder B</x:v>
      </x:c>
      <x:c r="F117" t="str">
        <x:v>PTC-A</x:v>
      </x:c>
      <x:c r="G117" t="str">
        <x:v>C1</x:v>
      </x:c>
      <x:c r="H117" s="27" t="n">
        <x:f>Controls!$D$38</x:f>
        <x:v>2000</x:v>
      </x:c>
      <x:c r="I117" t="str">
        <x:v>terminal disposition loss</x:v>
      </x:c>
      <x:c r="J117" t="n">
        <x:v>1</x:v>
      </x:c>
      <x:c r="K117" t="n">
        <x:v>0</x:v>
      </x:c>
      <x:c r="L117" t="n">
        <x:v>0</x:v>
      </x:c>
      <x:c r="M117" t="str">
        <x:f>IF(J117=1,"PASS","GAP")</x:f>
        <x:v>PASS</x:v>
      </x:c>
    </x:row>
    <x:row r="118">
      <x:c r="B118" t="str">
        <x:v>EV-RC-3-B-RST-01</x:v>
      </x:c>
      <x:c r="C118" t="str">
        <x:v>reset</x:v>
      </x:c>
      <x:c r="D118" t="str">
        <x:v>RC-3</x:v>
      </x:c>
      <x:c r="E118" t="str">
        <x:v>Builder B</x:v>
      </x:c>
      <x:c r="F118" t="str">
        <x:v>PTC-B</x:v>
      </x:c>
      <x:c r="G118" t="str">
        <x:v>C0</x:v>
      </x:c>
      <x:c r="H118" s="27" t="n">
        <x:f>0</x:f>
        <x:v>0</x:v>
      </x:c>
      <x:c r="I118" t="str">
        <x:v>twelve-month cold start</x:v>
      </x:c>
      <x:c r="J118" t="n">
        <x:v>1</x:v>
      </x:c>
      <x:c r="K118" t="n">
        <x:v>0</x:v>
      </x:c>
      <x:c r="L118" t="n">
        <x:v>0</x:v>
      </x:c>
      <x:c r="M118" t="str">
        <x:f>IF(J118=1,"PASS","GAP")</x:f>
        <x:v>PASS</x:v>
      </x:c>
    </x:row>
    <x:row r="119">
      <x:c r="B119" t="str">
        <x:v>EV-RC-3-B-RST-02</x:v>
      </x:c>
      <x:c r="C119" t="str">
        <x:v>reset</x:v>
      </x:c>
      <x:c r="D119" t="str">
        <x:v>RC-3</x:v>
      </x:c>
      <x:c r="E119" t="str">
        <x:v>Builder B</x:v>
      </x:c>
      <x:c r="F119" t="str">
        <x:v>PTC-C</x:v>
      </x:c>
      <x:c r="G119" t="str">
        <x:v>C0</x:v>
      </x:c>
      <x:c r="H119" s="27" t="n">
        <x:f>0</x:f>
        <x:v>0</x:v>
      </x:c>
      <x:c r="I119" t="str">
        <x:v>sibling-site denial</x:v>
      </x:c>
      <x:c r="J119" t="n">
        <x:v>1</x:v>
      </x:c>
      <x:c r="K119" t="n">
        <x:v>0</x:v>
      </x:c>
      <x:c r="L119" t="n">
        <x:v>0</x:v>
      </x:c>
      <x:c r="M119" t="str">
        <x:f>IF(J119=1,"PASS","GAP")</x:f>
        <x:v>PASS</x:v>
      </x:c>
    </x:row>
    <x:row r="120">
      <x:c r="B120" t="str">
        <x:v>EV-RC-3-B-RST-03</x:v>
      </x:c>
      <x:c r="C120" t="str">
        <x:v>reset</x:v>
      </x:c>
      <x:c r="D120" t="str">
        <x:v>RC-3</x:v>
      </x:c>
      <x:c r="E120" t="str">
        <x:v>Builder B</x:v>
      </x:c>
      <x:c r="F120" t="str">
        <x:v>PTC-A</x:v>
      </x:c>
      <x:c r="G120" t="str">
        <x:v>C0</x:v>
      </x:c>
      <x:c r="H120" s="27" t="n">
        <x:f>0</x:f>
        <x:v>0</x:v>
      </x:c>
      <x:c r="I120" t="str">
        <x:v>complete train rebuild</x:v>
      </x:c>
      <x:c r="J120" t="n">
        <x:v>1</x:v>
      </x:c>
      <x:c r="K120" t="n">
        <x:v>0</x:v>
      </x:c>
      <x:c r="L120" t="n">
        <x:v>0</x:v>
      </x:c>
      <x:c r="M120" t="str">
        <x:f>IF(J120=1,"PASS","GAP")</x:f>
        <x:v>PASS</x:v>
      </x:c>
    </x:row>
  </x:sheetData>
  <x:conditionalFormatting sqref="M7:M120">
    <x:cfRule type="containsText" dxfId="20" priority="1" operator="containsText" text="FAIL"/>
    <x:cfRule type="containsText" dxfId="21" priority="2" operator="containsText" text="BLOCKED"/>
    <x:cfRule type="containsText" dxfId="22" priority="3" operator="containsText" text="OPEN"/>
    <x:cfRule type="containsText" dxfId="23" priority="4" operator="containsText" text="GAP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3" hidden="0" customWidth="1"/>
    <x:col min="3" max="3" width="34" hidden="0" customWidth="1"/>
    <x:col min="4" max="4" width="14" hidden="0" customWidth="1"/>
    <x:col min="5" max="5" width="14" hidden="0" customWidth="1"/>
    <x:col min="6" max="6" width="20" hidden="0" customWidth="1"/>
    <x:col min="7" max="7" width="17" hidden="0" customWidth="1"/>
    <x:col min="8" max="8" width="21" hidden="0" customWidth="1"/>
    <x:col min="9" max="9" width="19" hidden="0" customWidth="1"/>
    <x:col min="10" max="10" width="24" hidden="0" customWidth="1"/>
    <x:col min="11" max="11" width="19" hidden="0" customWidth="1"/>
    <x:col min="12" max="12" width="21" hidden="0" customWidth="1"/>
    <x:col min="13" max="13" width="16" hidden="0" customWidth="1"/>
  </x:cols>
  <x:sheetData>
    <x:row r="2">
      <x:c r="B2" s="1" t="str">
        <x:v>Forty-eight controlled technology articles</x:v>
      </x:c>
    </x:row>
    <x:row r="3">
      <x:c r="B3" s="2" t="str">
        <x:v>Every architecture has two unlike builders, two site trains, destructive witnesses, a regeneration spare and a public reference.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 ht="24" customHeight="1">
      <x:c r="B6" s="8" t="str">
        <x:v>Article</x:v>
      </x:c>
      <x:c r="C6" s="9" t="str">
        <x:v>Class</x:v>
      </x:c>
      <x:c r="D6" s="9" t="str">
        <x:v>Architecture</x:v>
      </x:c>
      <x:c r="E6" s="9" t="str">
        <x:v>Builder</x:v>
      </x:c>
      <x:c r="F6" s="9" t="str">
        <x:v>Location</x:v>
      </x:c>
      <x:c r="G6" s="9" t="str">
        <x:v>Source capable</x:v>
      </x:c>
      <x:c r="H6" s="9" t="str">
        <x:v>Root-native record</x:v>
      </x:c>
      <x:c r="I6" s="9" t="str">
        <x:v>Public interface</x:v>
      </x:c>
      <x:c r="J6" s="9" t="str">
        <x:v>Technology-data rights</x:v>
      </x:c>
      <x:c r="K6" s="9" t="str">
        <x:v>Design complete</x:v>
      </x:c>
      <x:c r="L6" s="9" t="str">
        <x:v>Physical acceptance</x:v>
      </x:c>
      <x:c r="M6" s="10" t="str">
        <x:v>Planning state</x:v>
      </x:c>
    </x:row>
    <x:row r="7">
      <x:c r="B7" t="str">
        <x:v>ART-RC-1-A-01</x:v>
      </x:c>
      <x:c r="C7" t="str">
        <x:v>scaled route 1</x:v>
      </x:c>
      <x:c r="D7" t="str">
        <x:v>RC-1</x:v>
      </x:c>
      <x:c r="E7" t="str">
        <x:v>Builder A</x:v>
      </x:c>
      <x:c r="F7" t="str">
        <x:v>PTC-B</x:v>
      </x:c>
      <x:c r="G7" t="n">
        <x:v>0</x:v>
      </x:c>
      <x:c r="H7" t="n">
        <x:v>1</x:v>
      </x:c>
      <x:c r="I7" t="n">
        <x:v>1</x:v>
      </x:c>
      <x:c r="J7" t="n">
        <x:v>1</x:v>
      </x:c>
      <x:c r="K7" t="n">
        <x:v>1</x:v>
      </x:c>
      <x:c r="L7" t="n">
        <x:v>0</x:v>
      </x:c>
      <x:c r="M7" t="str">
        <x:f>IF(AND(H7=1,I7=1,J7=1,K7=1),"PASS","GAP")</x:f>
        <x:v>PASS</x:v>
      </x:c>
    </x:row>
    <x:row r="8">
      <x:c r="B8" t="str">
        <x:v>ART-RC-1-A-02</x:v>
      </x:c>
      <x:c r="C8" t="str">
        <x:v>scaled route 2</x:v>
      </x:c>
      <x:c r="D8" t="str">
        <x:v>RC-1</x:v>
      </x:c>
      <x:c r="E8" t="str">
        <x:v>Builder A</x:v>
      </x:c>
      <x:c r="F8" t="str">
        <x:v>PTC-C</x:v>
      </x:c>
      <x:c r="G8" t="n">
        <x:v>0</x:v>
      </x:c>
      <x:c r="H8" t="n">
        <x:v>1</x:v>
      </x:c>
      <x:c r="I8" t="n">
        <x:v>1</x:v>
      </x:c>
      <x:c r="J8" t="n">
        <x:v>1</x:v>
      </x:c>
      <x:c r="K8" t="n">
        <x:v>1</x:v>
      </x:c>
      <x:c r="L8" t="n">
        <x:v>0</x:v>
      </x:c>
      <x:c r="M8" t="str">
        <x:f>IF(AND(H8=1,I8=1,J8=1,K8=1),"PASS","GAP")</x:f>
        <x:v>PASS</x:v>
      </x:c>
    </x:row>
    <x:row r="9">
      <x:c r="B9" t="str">
        <x:v>ART-RC-1-A-03</x:v>
      </x:c>
      <x:c r="C9" t="str">
        <x:v>full-scale integrated train 1</x:v>
      </x:c>
      <x:c r="D9" t="str">
        <x:v>RC-1</x:v>
      </x:c>
      <x:c r="E9" t="str">
        <x:v>Builder A</x:v>
      </x:c>
      <x:c r="F9" t="str">
        <x:v>PTC-B</x:v>
      </x:c>
      <x:c r="G9" t="n">
        <x:v>1</x:v>
      </x:c>
      <x:c r="H9" t="n">
        <x:v>1</x:v>
      </x:c>
      <x:c r="I9" t="n">
        <x:v>1</x:v>
      </x:c>
      <x:c r="J9" t="n">
        <x:v>1</x:v>
      </x:c>
      <x:c r="K9" t="n">
        <x:v>1</x:v>
      </x:c>
      <x:c r="L9" t="n">
        <x:v>0</x:v>
      </x:c>
      <x:c r="M9" t="str">
        <x:f>IF(AND(H9=1,I9=1,J9=1,K9=1),"PASS","GAP")</x:f>
        <x:v>PASS</x:v>
      </x:c>
    </x:row>
    <x:row r="10">
      <x:c r="B10" t="str">
        <x:v>ART-RC-1-A-04</x:v>
      </x:c>
      <x:c r="C10" t="str">
        <x:v>full-scale integrated train 2</x:v>
      </x:c>
      <x:c r="D10" t="str">
        <x:v>RC-1</x:v>
      </x:c>
      <x:c r="E10" t="str">
        <x:v>Builder A</x:v>
      </x:c>
      <x:c r="F10" t="str">
        <x:v>PTC-C</x:v>
      </x:c>
      <x:c r="G10" t="n">
        <x:v>1</x:v>
      </x:c>
      <x:c r="H10" t="n">
        <x:v>1</x:v>
      </x:c>
      <x:c r="I10" t="n">
        <x:v>1</x:v>
      </x:c>
      <x:c r="J10" t="n">
        <x:v>1</x:v>
      </x:c>
      <x:c r="K10" t="n">
        <x:v>1</x:v>
      </x:c>
      <x:c r="L10" t="n">
        <x:v>0</x:v>
      </x:c>
      <x:c r="M10" t="str">
        <x:f>IF(AND(H10=1,I10=1,J10=1,K10=1),"PASS","GAP")</x:f>
        <x:v>PASS</x:v>
      </x:c>
    </x:row>
    <x:row r="11">
      <x:c r="B11" t="str">
        <x:v>ART-RC-1-A-05</x:v>
      </x:c>
      <x:c r="C11" t="str">
        <x:v>destructive witness 1</x:v>
      </x:c>
      <x:c r="D11" t="str">
        <x:v>RC-1</x:v>
      </x:c>
      <x:c r="E11" t="str">
        <x:v>Builder A</x:v>
      </x:c>
      <x:c r="F11" t="str">
        <x:v>PTC-A</x:v>
      </x:c>
      <x:c r="G11" t="n">
        <x:v>1</x:v>
      </x:c>
      <x:c r="H11" t="n">
        <x:v>1</x:v>
      </x:c>
      <x:c r="I11" t="n">
        <x:v>1</x:v>
      </x:c>
      <x:c r="J11" t="n">
        <x:v>1</x:v>
      </x:c>
      <x:c r="K11" t="n">
        <x:v>1</x:v>
      </x:c>
      <x:c r="L11" t="n">
        <x:v>0</x:v>
      </x:c>
      <x:c r="M11" t="str">
        <x:f>IF(AND(H11=1,I11=1,J11=1,K11=1),"PASS","GAP")</x:f>
        <x:v>PASS</x:v>
      </x:c>
    </x:row>
    <x:row r="12">
      <x:c r="B12" t="str">
        <x:v>ART-RC-1-A-06</x:v>
      </x:c>
      <x:c r="C12" t="str">
        <x:v>destructive witness 2</x:v>
      </x:c>
      <x:c r="D12" t="str">
        <x:v>RC-1</x:v>
      </x:c>
      <x:c r="E12" t="str">
        <x:v>Builder A</x:v>
      </x:c>
      <x:c r="F12" t="str">
        <x:v>PTC-A</x:v>
      </x:c>
      <x:c r="G12" t="n">
        <x:v>1</x:v>
      </x:c>
      <x:c r="H12" t="n">
        <x:v>1</x:v>
      </x:c>
      <x:c r="I12" t="n">
        <x:v>1</x:v>
      </x:c>
      <x:c r="J12" t="n">
        <x:v>1</x:v>
      </x:c>
      <x:c r="K12" t="n">
        <x:v>1</x:v>
      </x:c>
      <x:c r="L12" t="n">
        <x:v>0</x:v>
      </x:c>
      <x:c r="M12" t="str">
        <x:f>IF(AND(H12=1,I12=1,J12=1,K12=1),"PASS","GAP")</x:f>
        <x:v>PASS</x:v>
      </x:c>
    </x:row>
    <x:row r="13">
      <x:c r="B13" t="str">
        <x:v>ART-RC-1-A-07</x:v>
      </x:c>
      <x:c r="C13" t="str">
        <x:v>regeneration spare</x:v>
      </x:c>
      <x:c r="D13" t="str">
        <x:v>RC-1</x:v>
      </x:c>
      <x:c r="E13" t="str">
        <x:v>Builder A</x:v>
      </x:c>
      <x:c r="F13" t="str">
        <x:v>RHT arsenal</x:v>
      </x:c>
      <x:c r="G13" t="n">
        <x:v>0</x:v>
      </x:c>
      <x:c r="H13" t="n">
        <x:v>1</x:v>
      </x:c>
      <x:c r="I13" t="n">
        <x:v>1</x:v>
      </x:c>
      <x:c r="J13" t="n">
        <x:v>1</x:v>
      </x:c>
      <x:c r="K13" t="n">
        <x:v>1</x:v>
      </x:c>
      <x:c r="L13" t="n">
        <x:v>0</x:v>
      </x:c>
      <x:c r="M13" t="str">
        <x:f>IF(AND(H13=1,I13=1,J13=1,K13=1),"PASS","GAP")</x:f>
        <x:v>PASS</x:v>
      </x:c>
    </x:row>
    <x:row r="14">
      <x:c r="B14" t="str">
        <x:v>ART-RC-1-A-08</x:v>
      </x:c>
      <x:c r="C14" t="str">
        <x:v>calibration reference</x:v>
      </x:c>
      <x:c r="D14" t="str">
        <x:v>RC-1</x:v>
      </x:c>
      <x:c r="E14" t="str">
        <x:v>Builder A</x:v>
      </x:c>
      <x:c r="F14" t="str">
        <x:v>public metrology</x:v>
      </x:c>
      <x:c r="G14" t="n">
        <x:v>0</x:v>
      </x:c>
      <x:c r="H14" t="n">
        <x:v>1</x:v>
      </x:c>
      <x:c r="I14" t="n">
        <x:v>1</x:v>
      </x:c>
      <x:c r="J14" t="n">
        <x:v>1</x:v>
      </x:c>
      <x:c r="K14" t="n">
        <x:v>1</x:v>
      </x:c>
      <x:c r="L14" t="n">
        <x:v>0</x:v>
      </x:c>
      <x:c r="M14" t="str">
        <x:f>IF(AND(H14=1,I14=1,J14=1,K14=1),"PASS","GAP")</x:f>
        <x:v>PASS</x:v>
      </x:c>
    </x:row>
    <x:row r="15">
      <x:c r="B15" t="str">
        <x:v>ART-RC-1-B-01</x:v>
      </x:c>
      <x:c r="C15" t="str">
        <x:v>scaled route 1</x:v>
      </x:c>
      <x:c r="D15" t="str">
        <x:v>RC-1</x:v>
      </x:c>
      <x:c r="E15" t="str">
        <x:v>Builder B</x:v>
      </x:c>
      <x:c r="F15" t="str">
        <x:v>PTC-B</x:v>
      </x:c>
      <x:c r="G15" t="n">
        <x:v>0</x:v>
      </x:c>
      <x:c r="H15" t="n">
        <x:v>1</x:v>
      </x:c>
      <x:c r="I15" t="n">
        <x:v>1</x:v>
      </x:c>
      <x:c r="J15" t="n">
        <x:v>1</x:v>
      </x:c>
      <x:c r="K15" t="n">
        <x:v>1</x:v>
      </x:c>
      <x:c r="L15" t="n">
        <x:v>0</x:v>
      </x:c>
      <x:c r="M15" t="str">
        <x:f>IF(AND(H15=1,I15=1,J15=1,K15=1),"PASS","GAP")</x:f>
        <x:v>PASS</x:v>
      </x:c>
    </x:row>
    <x:row r="16">
      <x:c r="B16" t="str">
        <x:v>ART-RC-1-B-02</x:v>
      </x:c>
      <x:c r="C16" t="str">
        <x:v>scaled route 2</x:v>
      </x:c>
      <x:c r="D16" t="str">
        <x:v>RC-1</x:v>
      </x:c>
      <x:c r="E16" t="str">
        <x:v>Builder B</x:v>
      </x:c>
      <x:c r="F16" t="str">
        <x:v>PTC-C</x:v>
      </x:c>
      <x:c r="G16" t="n">
        <x:v>0</x:v>
      </x:c>
      <x:c r="H16" t="n">
        <x:v>1</x:v>
      </x:c>
      <x:c r="I16" t="n">
        <x:v>1</x:v>
      </x:c>
      <x:c r="J16" t="n">
        <x:v>1</x:v>
      </x:c>
      <x:c r="K16" t="n">
        <x:v>1</x:v>
      </x:c>
      <x:c r="L16" t="n">
        <x:v>0</x:v>
      </x:c>
      <x:c r="M16" t="str">
        <x:f>IF(AND(H16=1,I16=1,J16=1,K16=1),"PASS","GAP")</x:f>
        <x:v>PASS</x:v>
      </x:c>
    </x:row>
    <x:row r="17">
      <x:c r="B17" t="str">
        <x:v>ART-RC-1-B-03</x:v>
      </x:c>
      <x:c r="C17" t="str">
        <x:v>full-scale integrated train 1</x:v>
      </x:c>
      <x:c r="D17" t="str">
        <x:v>RC-1</x:v>
      </x:c>
      <x:c r="E17" t="str">
        <x:v>Builder B</x:v>
      </x:c>
      <x:c r="F17" t="str">
        <x:v>PTC-B</x:v>
      </x:c>
      <x:c r="G17" t="n">
        <x:v>1</x:v>
      </x:c>
      <x:c r="H17" t="n">
        <x:v>1</x:v>
      </x:c>
      <x:c r="I17" t="n">
        <x:v>1</x:v>
      </x:c>
      <x:c r="J17" t="n">
        <x:v>1</x:v>
      </x:c>
      <x:c r="K17" t="n">
        <x:v>1</x:v>
      </x:c>
      <x:c r="L17" t="n">
        <x:v>0</x:v>
      </x:c>
      <x:c r="M17" t="str">
        <x:f>IF(AND(H17=1,I17=1,J17=1,K17=1),"PASS","GAP")</x:f>
        <x:v>PASS</x:v>
      </x:c>
    </x:row>
    <x:row r="18">
      <x:c r="B18" t="str">
        <x:v>ART-RC-1-B-04</x:v>
      </x:c>
      <x:c r="C18" t="str">
        <x:v>full-scale integrated train 2</x:v>
      </x:c>
      <x:c r="D18" t="str">
        <x:v>RC-1</x:v>
      </x:c>
      <x:c r="E18" t="str">
        <x:v>Builder B</x:v>
      </x:c>
      <x:c r="F18" t="str">
        <x:v>PTC-C</x:v>
      </x:c>
      <x:c r="G18" t="n">
        <x:v>1</x:v>
      </x:c>
      <x:c r="H18" t="n">
        <x:v>1</x:v>
      </x:c>
      <x:c r="I18" t="n">
        <x:v>1</x:v>
      </x:c>
      <x:c r="J18" t="n">
        <x:v>1</x:v>
      </x:c>
      <x:c r="K18" t="n">
        <x:v>1</x:v>
      </x:c>
      <x:c r="L18" t="n">
        <x:v>0</x:v>
      </x:c>
      <x:c r="M18" t="str">
        <x:f>IF(AND(H18=1,I18=1,J18=1,K18=1),"PASS","GAP")</x:f>
        <x:v>PASS</x:v>
      </x:c>
    </x:row>
    <x:row r="19">
      <x:c r="B19" t="str">
        <x:v>ART-RC-1-B-05</x:v>
      </x:c>
      <x:c r="C19" t="str">
        <x:v>destructive witness 1</x:v>
      </x:c>
      <x:c r="D19" t="str">
        <x:v>RC-1</x:v>
      </x:c>
      <x:c r="E19" t="str">
        <x:v>Builder B</x:v>
      </x:c>
      <x:c r="F19" t="str">
        <x:v>PTC-A</x:v>
      </x:c>
      <x:c r="G19" t="n">
        <x:v>1</x:v>
      </x:c>
      <x:c r="H19" t="n">
        <x:v>1</x:v>
      </x:c>
      <x:c r="I19" t="n">
        <x:v>1</x:v>
      </x:c>
      <x:c r="J19" t="n">
        <x:v>1</x:v>
      </x:c>
      <x:c r="K19" t="n">
        <x:v>1</x:v>
      </x:c>
      <x:c r="L19" t="n">
        <x:v>0</x:v>
      </x:c>
      <x:c r="M19" t="str">
        <x:f>IF(AND(H19=1,I19=1,J19=1,K19=1),"PASS","GAP")</x:f>
        <x:v>PASS</x:v>
      </x:c>
    </x:row>
    <x:row r="20">
      <x:c r="B20" t="str">
        <x:v>ART-RC-1-B-06</x:v>
      </x:c>
      <x:c r="C20" t="str">
        <x:v>destructive witness 2</x:v>
      </x:c>
      <x:c r="D20" t="str">
        <x:v>RC-1</x:v>
      </x:c>
      <x:c r="E20" t="str">
        <x:v>Builder B</x:v>
      </x:c>
      <x:c r="F20" t="str">
        <x:v>PTC-A</x:v>
      </x:c>
      <x:c r="G20" t="n">
        <x:v>1</x:v>
      </x:c>
      <x:c r="H20" t="n">
        <x:v>1</x:v>
      </x:c>
      <x:c r="I20" t="n">
        <x:v>1</x:v>
      </x:c>
      <x:c r="J20" t="n">
        <x:v>1</x:v>
      </x:c>
      <x:c r="K20" t="n">
        <x:v>1</x:v>
      </x:c>
      <x:c r="L20" t="n">
        <x:v>0</x:v>
      </x:c>
      <x:c r="M20" t="str">
        <x:f>IF(AND(H20=1,I20=1,J20=1,K20=1),"PASS","GAP")</x:f>
        <x:v>PASS</x:v>
      </x:c>
    </x:row>
    <x:row r="21">
      <x:c r="B21" t="str">
        <x:v>ART-RC-1-B-07</x:v>
      </x:c>
      <x:c r="C21" t="str">
        <x:v>regeneration spare</x:v>
      </x:c>
      <x:c r="D21" t="str">
        <x:v>RC-1</x:v>
      </x:c>
      <x:c r="E21" t="str">
        <x:v>Builder B</x:v>
      </x:c>
      <x:c r="F21" t="str">
        <x:v>RHT arsenal</x:v>
      </x:c>
      <x:c r="G21" t="n">
        <x:v>0</x:v>
      </x:c>
      <x:c r="H21" t="n">
        <x:v>1</x:v>
      </x:c>
      <x:c r="I21" t="n">
        <x:v>1</x:v>
      </x:c>
      <x:c r="J21" t="n">
        <x:v>1</x:v>
      </x:c>
      <x:c r="K21" t="n">
        <x:v>1</x:v>
      </x:c>
      <x:c r="L21" t="n">
        <x:v>0</x:v>
      </x:c>
      <x:c r="M21" t="str">
        <x:f>IF(AND(H21=1,I21=1,J21=1,K21=1),"PASS","GAP")</x:f>
        <x:v>PASS</x:v>
      </x:c>
    </x:row>
    <x:row r="22">
      <x:c r="B22" t="str">
        <x:v>ART-RC-1-B-08</x:v>
      </x:c>
      <x:c r="C22" t="str">
        <x:v>calibration reference</x:v>
      </x:c>
      <x:c r="D22" t="str">
        <x:v>RC-1</x:v>
      </x:c>
      <x:c r="E22" t="str">
        <x:v>Builder B</x:v>
      </x:c>
      <x:c r="F22" t="str">
        <x:v>public metrology</x:v>
      </x:c>
      <x:c r="G22" t="n">
        <x:v>0</x:v>
      </x:c>
      <x:c r="H22" t="n">
        <x:v>1</x:v>
      </x:c>
      <x:c r="I22" t="n">
        <x:v>1</x:v>
      </x:c>
      <x:c r="J22" t="n">
        <x:v>1</x:v>
      </x:c>
      <x:c r="K22" t="n">
        <x:v>1</x:v>
      </x:c>
      <x:c r="L22" t="n">
        <x:v>0</x:v>
      </x:c>
      <x:c r="M22" t="str">
        <x:f>IF(AND(H22=1,I22=1,J22=1,K22=1),"PASS","GAP")</x:f>
        <x:v>PASS</x:v>
      </x:c>
    </x:row>
    <x:row r="23">
      <x:c r="B23" t="str">
        <x:v>ART-RC-2-A-01</x:v>
      </x:c>
      <x:c r="C23" t="str">
        <x:v>scaled route 1</x:v>
      </x:c>
      <x:c r="D23" t="str">
        <x:v>RC-2</x:v>
      </x:c>
      <x:c r="E23" t="str">
        <x:v>Builder A</x:v>
      </x:c>
      <x:c r="F23" t="str">
        <x:v>PTC-B</x:v>
      </x:c>
      <x:c r="G23" t="n">
        <x:v>0</x:v>
      </x:c>
      <x:c r="H23" t="n">
        <x:v>1</x:v>
      </x:c>
      <x:c r="I23" t="n">
        <x:v>1</x:v>
      </x:c>
      <x:c r="J23" t="n">
        <x:v>1</x:v>
      </x:c>
      <x:c r="K23" t="n">
        <x:v>1</x:v>
      </x:c>
      <x:c r="L23" t="n">
        <x:v>0</x:v>
      </x:c>
      <x:c r="M23" t="str">
        <x:f>IF(AND(H23=1,I23=1,J23=1,K23=1),"PASS","GAP")</x:f>
        <x:v>PASS</x:v>
      </x:c>
    </x:row>
    <x:row r="24">
      <x:c r="B24" t="str">
        <x:v>ART-RC-2-A-02</x:v>
      </x:c>
      <x:c r="C24" t="str">
        <x:v>scaled route 2</x:v>
      </x:c>
      <x:c r="D24" t="str">
        <x:v>RC-2</x:v>
      </x:c>
      <x:c r="E24" t="str">
        <x:v>Builder A</x:v>
      </x:c>
      <x:c r="F24" t="str">
        <x:v>PTC-C</x:v>
      </x:c>
      <x:c r="G24" t="n">
        <x:v>0</x:v>
      </x:c>
      <x:c r="H24" t="n">
        <x:v>1</x:v>
      </x:c>
      <x:c r="I24" t="n">
        <x:v>1</x:v>
      </x:c>
      <x:c r="J24" t="n">
        <x:v>1</x:v>
      </x:c>
      <x:c r="K24" t="n">
        <x:v>1</x:v>
      </x:c>
      <x:c r="L24" t="n">
        <x:v>0</x:v>
      </x:c>
      <x:c r="M24" t="str">
        <x:f>IF(AND(H24=1,I24=1,J24=1,K24=1),"PASS","GAP")</x:f>
        <x:v>PASS</x:v>
      </x:c>
    </x:row>
    <x:row r="25">
      <x:c r="B25" t="str">
        <x:v>ART-RC-2-A-03</x:v>
      </x:c>
      <x:c r="C25" t="str">
        <x:v>full-scale integrated train 1</x:v>
      </x:c>
      <x:c r="D25" t="str">
        <x:v>RC-2</x:v>
      </x:c>
      <x:c r="E25" t="str">
        <x:v>Builder A</x:v>
      </x:c>
      <x:c r="F25" t="str">
        <x:v>PTC-B</x:v>
      </x:c>
      <x:c r="G25" t="n">
        <x:v>1</x:v>
      </x:c>
      <x:c r="H25" t="n">
        <x:v>1</x:v>
      </x:c>
      <x:c r="I25" t="n">
        <x:v>1</x:v>
      </x:c>
      <x:c r="J25" t="n">
        <x:v>1</x:v>
      </x:c>
      <x:c r="K25" t="n">
        <x:v>1</x:v>
      </x:c>
      <x:c r="L25" t="n">
        <x:v>0</x:v>
      </x:c>
      <x:c r="M25" t="str">
        <x:f>IF(AND(H25=1,I25=1,J25=1,K25=1),"PASS","GAP")</x:f>
        <x:v>PASS</x:v>
      </x:c>
    </x:row>
    <x:row r="26">
      <x:c r="B26" t="str">
        <x:v>ART-RC-2-A-04</x:v>
      </x:c>
      <x:c r="C26" t="str">
        <x:v>full-scale integrated train 2</x:v>
      </x:c>
      <x:c r="D26" t="str">
        <x:v>RC-2</x:v>
      </x:c>
      <x:c r="E26" t="str">
        <x:v>Builder A</x:v>
      </x:c>
      <x:c r="F26" t="str">
        <x:v>PTC-C</x:v>
      </x:c>
      <x:c r="G26" t="n">
        <x:v>1</x:v>
      </x:c>
      <x:c r="H26" t="n">
        <x:v>1</x:v>
      </x:c>
      <x:c r="I26" t="n">
        <x:v>1</x:v>
      </x:c>
      <x:c r="J26" t="n">
        <x:v>1</x:v>
      </x:c>
      <x:c r="K26" t="n">
        <x:v>1</x:v>
      </x:c>
      <x:c r="L26" t="n">
        <x:v>0</x:v>
      </x:c>
      <x:c r="M26" t="str">
        <x:f>IF(AND(H26=1,I26=1,J26=1,K26=1),"PASS","GAP")</x:f>
        <x:v>PASS</x:v>
      </x:c>
    </x:row>
    <x:row r="27">
      <x:c r="B27" t="str">
        <x:v>ART-RC-2-A-05</x:v>
      </x:c>
      <x:c r="C27" t="str">
        <x:v>destructive witness 1</x:v>
      </x:c>
      <x:c r="D27" t="str">
        <x:v>RC-2</x:v>
      </x:c>
      <x:c r="E27" t="str">
        <x:v>Builder A</x:v>
      </x:c>
      <x:c r="F27" t="str">
        <x:v>PTC-A</x:v>
      </x:c>
      <x:c r="G27" t="n">
        <x:v>1</x:v>
      </x:c>
      <x:c r="H27" t="n">
        <x:v>1</x:v>
      </x:c>
      <x:c r="I27" t="n">
        <x:v>1</x:v>
      </x:c>
      <x:c r="J27" t="n">
        <x:v>1</x:v>
      </x:c>
      <x:c r="K27" t="n">
        <x:v>1</x:v>
      </x:c>
      <x:c r="L27" t="n">
        <x:v>0</x:v>
      </x:c>
      <x:c r="M27" t="str">
        <x:f>IF(AND(H27=1,I27=1,J27=1,K27=1),"PASS","GAP")</x:f>
        <x:v>PASS</x:v>
      </x:c>
    </x:row>
    <x:row r="28">
      <x:c r="B28" t="str">
        <x:v>ART-RC-2-A-06</x:v>
      </x:c>
      <x:c r="C28" t="str">
        <x:v>destructive witness 2</x:v>
      </x:c>
      <x:c r="D28" t="str">
        <x:v>RC-2</x:v>
      </x:c>
      <x:c r="E28" t="str">
        <x:v>Builder A</x:v>
      </x:c>
      <x:c r="F28" t="str">
        <x:v>PTC-A</x:v>
      </x:c>
      <x:c r="G28" t="n">
        <x:v>1</x:v>
      </x:c>
      <x:c r="H28" t="n">
        <x:v>1</x:v>
      </x:c>
      <x:c r="I28" t="n">
        <x:v>1</x:v>
      </x:c>
      <x:c r="J28" t="n">
        <x:v>1</x:v>
      </x:c>
      <x:c r="K28" t="n">
        <x:v>1</x:v>
      </x:c>
      <x:c r="L28" t="n">
        <x:v>0</x:v>
      </x:c>
      <x:c r="M28" t="str">
        <x:f>IF(AND(H28=1,I28=1,J28=1,K28=1),"PASS","GAP")</x:f>
        <x:v>PASS</x:v>
      </x:c>
    </x:row>
    <x:row r="29">
      <x:c r="B29" t="str">
        <x:v>ART-RC-2-A-07</x:v>
      </x:c>
      <x:c r="C29" t="str">
        <x:v>regeneration spare</x:v>
      </x:c>
      <x:c r="D29" t="str">
        <x:v>RC-2</x:v>
      </x:c>
      <x:c r="E29" t="str">
        <x:v>Builder A</x:v>
      </x:c>
      <x:c r="F29" t="str">
        <x:v>RHT arsenal</x:v>
      </x:c>
      <x:c r="G29" t="n">
        <x:v>0</x:v>
      </x:c>
      <x:c r="H29" t="n">
        <x:v>1</x:v>
      </x:c>
      <x:c r="I29" t="n">
        <x:v>1</x:v>
      </x:c>
      <x:c r="J29" t="n">
        <x:v>1</x:v>
      </x:c>
      <x:c r="K29" t="n">
        <x:v>1</x:v>
      </x:c>
      <x:c r="L29" t="n">
        <x:v>0</x:v>
      </x:c>
      <x:c r="M29" t="str">
        <x:f>IF(AND(H29=1,I29=1,J29=1,K29=1),"PASS","GAP")</x:f>
        <x:v>PASS</x:v>
      </x:c>
    </x:row>
    <x:row r="30">
      <x:c r="B30" t="str">
        <x:v>ART-RC-2-A-08</x:v>
      </x:c>
      <x:c r="C30" t="str">
        <x:v>calibration reference</x:v>
      </x:c>
      <x:c r="D30" t="str">
        <x:v>RC-2</x:v>
      </x:c>
      <x:c r="E30" t="str">
        <x:v>Builder A</x:v>
      </x:c>
      <x:c r="F30" t="str">
        <x:v>public metrology</x:v>
      </x:c>
      <x:c r="G30" t="n">
        <x:v>0</x:v>
      </x:c>
      <x:c r="H30" t="n">
        <x:v>1</x:v>
      </x:c>
      <x:c r="I30" t="n">
        <x:v>1</x:v>
      </x:c>
      <x:c r="J30" t="n">
        <x:v>1</x:v>
      </x:c>
      <x:c r="K30" t="n">
        <x:v>1</x:v>
      </x:c>
      <x:c r="L30" t="n">
        <x:v>0</x:v>
      </x:c>
      <x:c r="M30" t="str">
        <x:f>IF(AND(H30=1,I30=1,J30=1,K30=1),"PASS","GAP")</x:f>
        <x:v>PASS</x:v>
      </x:c>
    </x:row>
    <x:row r="31">
      <x:c r="B31" t="str">
        <x:v>ART-RC-2-B-01</x:v>
      </x:c>
      <x:c r="C31" t="str">
        <x:v>scaled route 1</x:v>
      </x:c>
      <x:c r="D31" t="str">
        <x:v>RC-2</x:v>
      </x:c>
      <x:c r="E31" t="str">
        <x:v>Builder B</x:v>
      </x:c>
      <x:c r="F31" t="str">
        <x:v>PTC-B</x:v>
      </x:c>
      <x:c r="G31" t="n">
        <x:v>0</x:v>
      </x:c>
      <x:c r="H31" t="n">
        <x:v>1</x:v>
      </x:c>
      <x:c r="I31" t="n">
        <x:v>1</x:v>
      </x:c>
      <x:c r="J31" t="n">
        <x:v>1</x:v>
      </x:c>
      <x:c r="K31" t="n">
        <x:v>1</x:v>
      </x:c>
      <x:c r="L31" t="n">
        <x:v>0</x:v>
      </x:c>
      <x:c r="M31" t="str">
        <x:f>IF(AND(H31=1,I31=1,J31=1,K31=1),"PASS","GAP")</x:f>
        <x:v>PASS</x:v>
      </x:c>
    </x:row>
    <x:row r="32">
      <x:c r="B32" t="str">
        <x:v>ART-RC-2-B-02</x:v>
      </x:c>
      <x:c r="C32" t="str">
        <x:v>scaled route 2</x:v>
      </x:c>
      <x:c r="D32" t="str">
        <x:v>RC-2</x:v>
      </x:c>
      <x:c r="E32" t="str">
        <x:v>Builder B</x:v>
      </x:c>
      <x:c r="F32" t="str">
        <x:v>PTC-C</x:v>
      </x:c>
      <x:c r="G32" t="n">
        <x:v>0</x:v>
      </x:c>
      <x:c r="H32" t="n">
        <x:v>1</x:v>
      </x:c>
      <x:c r="I32" t="n">
        <x:v>1</x:v>
      </x:c>
      <x:c r="J32" t="n">
        <x:v>1</x:v>
      </x:c>
      <x:c r="K32" t="n">
        <x:v>1</x:v>
      </x:c>
      <x:c r="L32" t="n">
        <x:v>0</x:v>
      </x:c>
      <x:c r="M32" t="str">
        <x:f>IF(AND(H32=1,I32=1,J32=1,K32=1),"PASS","GAP")</x:f>
        <x:v>PASS</x:v>
      </x:c>
    </x:row>
    <x:row r="33">
      <x:c r="B33" t="str">
        <x:v>ART-RC-2-B-03</x:v>
      </x:c>
      <x:c r="C33" t="str">
        <x:v>full-scale integrated train 1</x:v>
      </x:c>
      <x:c r="D33" t="str">
        <x:v>RC-2</x:v>
      </x:c>
      <x:c r="E33" t="str">
        <x:v>Builder B</x:v>
      </x:c>
      <x:c r="F33" t="str">
        <x:v>PTC-B</x:v>
      </x:c>
      <x:c r="G33" t="n">
        <x:v>1</x:v>
      </x:c>
      <x:c r="H33" t="n">
        <x:v>1</x:v>
      </x:c>
      <x:c r="I33" t="n">
        <x:v>1</x:v>
      </x:c>
      <x:c r="J33" t="n">
        <x:v>1</x:v>
      </x:c>
      <x:c r="K33" t="n">
        <x:v>1</x:v>
      </x:c>
      <x:c r="L33" t="n">
        <x:v>0</x:v>
      </x:c>
      <x:c r="M33" t="str">
        <x:f>IF(AND(H33=1,I33=1,J33=1,K33=1),"PASS","GAP")</x:f>
        <x:v>PASS</x:v>
      </x:c>
    </x:row>
    <x:row r="34">
      <x:c r="B34" t="str">
        <x:v>ART-RC-2-B-04</x:v>
      </x:c>
      <x:c r="C34" t="str">
        <x:v>full-scale integrated train 2</x:v>
      </x:c>
      <x:c r="D34" t="str">
        <x:v>RC-2</x:v>
      </x:c>
      <x:c r="E34" t="str">
        <x:v>Builder B</x:v>
      </x:c>
      <x:c r="F34" t="str">
        <x:v>PTC-C</x:v>
      </x:c>
      <x:c r="G34" t="n">
        <x:v>1</x:v>
      </x:c>
      <x:c r="H34" t="n">
        <x:v>1</x:v>
      </x:c>
      <x:c r="I34" t="n">
        <x:v>1</x:v>
      </x:c>
      <x:c r="J34" t="n">
        <x:v>1</x:v>
      </x:c>
      <x:c r="K34" t="n">
        <x:v>1</x:v>
      </x:c>
      <x:c r="L34" t="n">
        <x:v>0</x:v>
      </x:c>
      <x:c r="M34" t="str">
        <x:f>IF(AND(H34=1,I34=1,J34=1,K34=1),"PASS","GAP")</x:f>
        <x:v>PASS</x:v>
      </x:c>
    </x:row>
    <x:row r="35">
      <x:c r="B35" t="str">
        <x:v>ART-RC-2-B-05</x:v>
      </x:c>
      <x:c r="C35" t="str">
        <x:v>destructive witness 1</x:v>
      </x:c>
      <x:c r="D35" t="str">
        <x:v>RC-2</x:v>
      </x:c>
      <x:c r="E35" t="str">
        <x:v>Builder B</x:v>
      </x:c>
      <x:c r="F35" t="str">
        <x:v>PTC-A</x:v>
      </x:c>
      <x:c r="G35" t="n">
        <x:v>1</x:v>
      </x:c>
      <x:c r="H35" t="n">
        <x:v>1</x:v>
      </x:c>
      <x:c r="I35" t="n">
        <x:v>1</x:v>
      </x:c>
      <x:c r="J35" t="n">
        <x:v>1</x:v>
      </x:c>
      <x:c r="K35" t="n">
        <x:v>1</x:v>
      </x:c>
      <x:c r="L35" t="n">
        <x:v>0</x:v>
      </x:c>
      <x:c r="M35" t="str">
        <x:f>IF(AND(H35=1,I35=1,J35=1,K35=1),"PASS","GAP")</x:f>
        <x:v>PASS</x:v>
      </x:c>
    </x:row>
    <x:row r="36">
      <x:c r="B36" t="str">
        <x:v>ART-RC-2-B-06</x:v>
      </x:c>
      <x:c r="C36" t="str">
        <x:v>destructive witness 2</x:v>
      </x:c>
      <x:c r="D36" t="str">
        <x:v>RC-2</x:v>
      </x:c>
      <x:c r="E36" t="str">
        <x:v>Builder B</x:v>
      </x:c>
      <x:c r="F36" t="str">
        <x:v>PTC-A</x:v>
      </x:c>
      <x:c r="G36" t="n">
        <x:v>1</x:v>
      </x:c>
      <x:c r="H36" t="n">
        <x:v>1</x:v>
      </x:c>
      <x:c r="I36" t="n">
        <x:v>1</x:v>
      </x:c>
      <x:c r="J36" t="n">
        <x:v>1</x:v>
      </x:c>
      <x:c r="K36" t="n">
        <x:v>1</x:v>
      </x:c>
      <x:c r="L36" t="n">
        <x:v>0</x:v>
      </x:c>
      <x:c r="M36" t="str">
        <x:f>IF(AND(H36=1,I36=1,J36=1,K36=1),"PASS","GAP")</x:f>
        <x:v>PASS</x:v>
      </x:c>
    </x:row>
    <x:row r="37">
      <x:c r="B37" t="str">
        <x:v>ART-RC-2-B-07</x:v>
      </x:c>
      <x:c r="C37" t="str">
        <x:v>regeneration spare</x:v>
      </x:c>
      <x:c r="D37" t="str">
        <x:v>RC-2</x:v>
      </x:c>
      <x:c r="E37" t="str">
        <x:v>Builder B</x:v>
      </x:c>
      <x:c r="F37" t="str">
        <x:v>RHT arsenal</x:v>
      </x:c>
      <x:c r="G37" t="n">
        <x:v>0</x:v>
      </x:c>
      <x:c r="H37" t="n">
        <x:v>1</x:v>
      </x:c>
      <x:c r="I37" t="n">
        <x:v>1</x:v>
      </x:c>
      <x:c r="J37" t="n">
        <x:v>1</x:v>
      </x:c>
      <x:c r="K37" t="n">
        <x:v>1</x:v>
      </x:c>
      <x:c r="L37" t="n">
        <x:v>0</x:v>
      </x:c>
      <x:c r="M37" t="str">
        <x:f>IF(AND(H37=1,I37=1,J37=1,K37=1),"PASS","GAP")</x:f>
        <x:v>PASS</x:v>
      </x:c>
    </x:row>
    <x:row r="38">
      <x:c r="B38" t="str">
        <x:v>ART-RC-2-B-08</x:v>
      </x:c>
      <x:c r="C38" t="str">
        <x:v>calibration reference</x:v>
      </x:c>
      <x:c r="D38" t="str">
        <x:v>RC-2</x:v>
      </x:c>
      <x:c r="E38" t="str">
        <x:v>Builder B</x:v>
      </x:c>
      <x:c r="F38" t="str">
        <x:v>public metrology</x:v>
      </x:c>
      <x:c r="G38" t="n">
        <x:v>0</x:v>
      </x:c>
      <x:c r="H38" t="n">
        <x:v>1</x:v>
      </x:c>
      <x:c r="I38" t="n">
        <x:v>1</x:v>
      </x:c>
      <x:c r="J38" t="n">
        <x:v>1</x:v>
      </x:c>
      <x:c r="K38" t="n">
        <x:v>1</x:v>
      </x:c>
      <x:c r="L38" t="n">
        <x:v>0</x:v>
      </x:c>
      <x:c r="M38" t="str">
        <x:f>IF(AND(H38=1,I38=1,J38=1,K38=1),"PASS","GAP")</x:f>
        <x:v>PASS</x:v>
      </x:c>
    </x:row>
    <x:row r="39">
      <x:c r="B39" t="str">
        <x:v>ART-RC-3-A-01</x:v>
      </x:c>
      <x:c r="C39" t="str">
        <x:v>scaled route 1</x:v>
      </x:c>
      <x:c r="D39" t="str">
        <x:v>RC-3</x:v>
      </x:c>
      <x:c r="E39" t="str">
        <x:v>Builder A</x:v>
      </x:c>
      <x:c r="F39" t="str">
        <x:v>PTC-B</x:v>
      </x:c>
      <x:c r="G39" t="n">
        <x:v>0</x:v>
      </x:c>
      <x:c r="H39" t="n">
        <x:v>1</x:v>
      </x:c>
      <x:c r="I39" t="n">
        <x:v>1</x:v>
      </x:c>
      <x:c r="J39" t="n">
        <x:v>1</x:v>
      </x:c>
      <x:c r="K39" t="n">
        <x:v>1</x:v>
      </x:c>
      <x:c r="L39" t="n">
        <x:v>0</x:v>
      </x:c>
      <x:c r="M39" t="str">
        <x:f>IF(AND(H39=1,I39=1,J39=1,K39=1),"PASS","GAP")</x:f>
        <x:v>PASS</x:v>
      </x:c>
    </x:row>
    <x:row r="40">
      <x:c r="B40" t="str">
        <x:v>ART-RC-3-A-02</x:v>
      </x:c>
      <x:c r="C40" t="str">
        <x:v>scaled route 2</x:v>
      </x:c>
      <x:c r="D40" t="str">
        <x:v>RC-3</x:v>
      </x:c>
      <x:c r="E40" t="str">
        <x:v>Builder A</x:v>
      </x:c>
      <x:c r="F40" t="str">
        <x:v>PTC-C</x:v>
      </x:c>
      <x:c r="G40" t="n">
        <x:v>0</x:v>
      </x:c>
      <x:c r="H40" t="n">
        <x:v>1</x:v>
      </x:c>
      <x:c r="I40" t="n">
        <x:v>1</x:v>
      </x:c>
      <x:c r="J40" t="n">
        <x:v>1</x:v>
      </x:c>
      <x:c r="K40" t="n">
        <x:v>1</x:v>
      </x:c>
      <x:c r="L40" t="n">
        <x:v>0</x:v>
      </x:c>
      <x:c r="M40" t="str">
        <x:f>IF(AND(H40=1,I40=1,J40=1,K40=1),"PASS","GAP")</x:f>
        <x:v>PASS</x:v>
      </x:c>
    </x:row>
    <x:row r="41">
      <x:c r="B41" t="str">
        <x:v>ART-RC-3-A-03</x:v>
      </x:c>
      <x:c r="C41" t="str">
        <x:v>full-scale integrated train 1</x:v>
      </x:c>
      <x:c r="D41" t="str">
        <x:v>RC-3</x:v>
      </x:c>
      <x:c r="E41" t="str">
        <x:v>Builder A</x:v>
      </x:c>
      <x:c r="F41" t="str">
        <x:v>PTC-B</x:v>
      </x:c>
      <x:c r="G41" t="n">
        <x:v>1</x:v>
      </x:c>
      <x:c r="H41" t="n">
        <x:v>1</x:v>
      </x:c>
      <x:c r="I41" t="n">
        <x:v>1</x:v>
      </x:c>
      <x:c r="J41" t="n">
        <x:v>1</x:v>
      </x:c>
      <x:c r="K41" t="n">
        <x:v>1</x:v>
      </x:c>
      <x:c r="L41" t="n">
        <x:v>0</x:v>
      </x:c>
      <x:c r="M41" t="str">
        <x:f>IF(AND(H41=1,I41=1,J41=1,K41=1),"PASS","GAP")</x:f>
        <x:v>PASS</x:v>
      </x:c>
    </x:row>
    <x:row r="42">
      <x:c r="B42" t="str">
        <x:v>ART-RC-3-A-04</x:v>
      </x:c>
      <x:c r="C42" t="str">
        <x:v>full-scale integrated train 2</x:v>
      </x:c>
      <x:c r="D42" t="str">
        <x:v>RC-3</x:v>
      </x:c>
      <x:c r="E42" t="str">
        <x:v>Builder A</x:v>
      </x:c>
      <x:c r="F42" t="str">
        <x:v>PTC-C</x:v>
      </x:c>
      <x:c r="G42" t="n">
        <x:v>1</x:v>
      </x:c>
      <x:c r="H42" t="n">
        <x:v>1</x:v>
      </x:c>
      <x:c r="I42" t="n">
        <x:v>1</x:v>
      </x:c>
      <x:c r="J42" t="n">
        <x:v>1</x:v>
      </x:c>
      <x:c r="K42" t="n">
        <x:v>1</x:v>
      </x:c>
      <x:c r="L42" t="n">
        <x:v>0</x:v>
      </x:c>
      <x:c r="M42" t="str">
        <x:f>IF(AND(H42=1,I42=1,J42=1,K42=1),"PASS","GAP")</x:f>
        <x:v>PASS</x:v>
      </x:c>
    </x:row>
    <x:row r="43">
      <x:c r="B43" t="str">
        <x:v>ART-RC-3-A-05</x:v>
      </x:c>
      <x:c r="C43" t="str">
        <x:v>destructive witness 1</x:v>
      </x:c>
      <x:c r="D43" t="str">
        <x:v>RC-3</x:v>
      </x:c>
      <x:c r="E43" t="str">
        <x:v>Builder A</x:v>
      </x:c>
      <x:c r="F43" t="str">
        <x:v>PTC-A</x:v>
      </x:c>
      <x:c r="G43" t="n">
        <x:v>1</x:v>
      </x:c>
      <x:c r="H43" t="n">
        <x:v>1</x:v>
      </x:c>
      <x:c r="I43" t="n">
        <x:v>1</x:v>
      </x:c>
      <x:c r="J43" t="n">
        <x:v>1</x:v>
      </x:c>
      <x:c r="K43" t="n">
        <x:v>1</x:v>
      </x:c>
      <x:c r="L43" t="n">
        <x:v>0</x:v>
      </x:c>
      <x:c r="M43" t="str">
        <x:f>IF(AND(H43=1,I43=1,J43=1,K43=1),"PASS","GAP")</x:f>
        <x:v>PASS</x:v>
      </x:c>
    </x:row>
    <x:row r="44">
      <x:c r="B44" t="str">
        <x:v>ART-RC-3-A-06</x:v>
      </x:c>
      <x:c r="C44" t="str">
        <x:v>destructive witness 2</x:v>
      </x:c>
      <x:c r="D44" t="str">
        <x:v>RC-3</x:v>
      </x:c>
      <x:c r="E44" t="str">
        <x:v>Builder A</x:v>
      </x:c>
      <x:c r="F44" t="str">
        <x:v>PTC-A</x:v>
      </x:c>
      <x:c r="G44" t="n">
        <x:v>1</x:v>
      </x:c>
      <x:c r="H44" t="n">
        <x:v>1</x:v>
      </x:c>
      <x:c r="I44" t="n">
        <x:v>1</x:v>
      </x:c>
      <x:c r="J44" t="n">
        <x:v>1</x:v>
      </x:c>
      <x:c r="K44" t="n">
        <x:v>1</x:v>
      </x:c>
      <x:c r="L44" t="n">
        <x:v>0</x:v>
      </x:c>
      <x:c r="M44" t="str">
        <x:f>IF(AND(H44=1,I44=1,J44=1,K44=1),"PASS","GAP")</x:f>
        <x:v>PASS</x:v>
      </x:c>
    </x:row>
    <x:row r="45">
      <x:c r="B45" t="str">
        <x:v>ART-RC-3-A-07</x:v>
      </x:c>
      <x:c r="C45" t="str">
        <x:v>regeneration spare</x:v>
      </x:c>
      <x:c r="D45" t="str">
        <x:v>RC-3</x:v>
      </x:c>
      <x:c r="E45" t="str">
        <x:v>Builder A</x:v>
      </x:c>
      <x:c r="F45" t="str">
        <x:v>RHT arsenal</x:v>
      </x:c>
      <x:c r="G45" t="n">
        <x:v>0</x:v>
      </x:c>
      <x:c r="H45" t="n">
        <x:v>1</x:v>
      </x:c>
      <x:c r="I45" t="n">
        <x:v>1</x:v>
      </x:c>
      <x:c r="J45" t="n">
        <x:v>1</x:v>
      </x:c>
      <x:c r="K45" t="n">
        <x:v>1</x:v>
      </x:c>
      <x:c r="L45" t="n">
        <x:v>0</x:v>
      </x:c>
      <x:c r="M45" t="str">
        <x:f>IF(AND(H45=1,I45=1,J45=1,K45=1),"PASS","GAP")</x:f>
        <x:v>PASS</x:v>
      </x:c>
    </x:row>
    <x:row r="46">
      <x:c r="B46" t="str">
        <x:v>ART-RC-3-A-08</x:v>
      </x:c>
      <x:c r="C46" t="str">
        <x:v>calibration reference</x:v>
      </x:c>
      <x:c r="D46" t="str">
        <x:v>RC-3</x:v>
      </x:c>
      <x:c r="E46" t="str">
        <x:v>Builder A</x:v>
      </x:c>
      <x:c r="F46" t="str">
        <x:v>public metrology</x:v>
      </x:c>
      <x:c r="G46" t="n">
        <x:v>0</x:v>
      </x:c>
      <x:c r="H46" t="n">
        <x:v>1</x:v>
      </x:c>
      <x:c r="I46" t="n">
        <x:v>1</x:v>
      </x:c>
      <x:c r="J46" t="n">
        <x:v>1</x:v>
      </x:c>
      <x:c r="K46" t="n">
        <x:v>1</x:v>
      </x:c>
      <x:c r="L46" t="n">
        <x:v>0</x:v>
      </x:c>
      <x:c r="M46" t="str">
        <x:f>IF(AND(H46=1,I46=1,J46=1,K46=1),"PASS","GAP")</x:f>
        <x:v>PASS</x:v>
      </x:c>
    </x:row>
    <x:row r="47">
      <x:c r="B47" t="str">
        <x:v>ART-RC-3-B-01</x:v>
      </x:c>
      <x:c r="C47" t="str">
        <x:v>scaled route 1</x:v>
      </x:c>
      <x:c r="D47" t="str">
        <x:v>RC-3</x:v>
      </x:c>
      <x:c r="E47" t="str">
        <x:v>Builder B</x:v>
      </x:c>
      <x:c r="F47" t="str">
        <x:v>PTC-B</x:v>
      </x:c>
      <x:c r="G47" t="n">
        <x:v>0</x:v>
      </x:c>
      <x:c r="H47" t="n">
        <x:v>1</x:v>
      </x:c>
      <x:c r="I47" t="n">
        <x:v>1</x:v>
      </x:c>
      <x:c r="J47" t="n">
        <x:v>1</x:v>
      </x:c>
      <x:c r="K47" t="n">
        <x:v>1</x:v>
      </x:c>
      <x:c r="L47" t="n">
        <x:v>0</x:v>
      </x:c>
      <x:c r="M47" t="str">
        <x:f>IF(AND(H47=1,I47=1,J47=1,K47=1),"PASS","GAP")</x:f>
        <x:v>PASS</x:v>
      </x:c>
    </x:row>
    <x:row r="48">
      <x:c r="B48" t="str">
        <x:v>ART-RC-3-B-02</x:v>
      </x:c>
      <x:c r="C48" t="str">
        <x:v>scaled route 2</x:v>
      </x:c>
      <x:c r="D48" t="str">
        <x:v>RC-3</x:v>
      </x:c>
      <x:c r="E48" t="str">
        <x:v>Builder B</x:v>
      </x:c>
      <x:c r="F48" t="str">
        <x:v>PTC-C</x:v>
      </x:c>
      <x:c r="G48" t="n">
        <x:v>0</x:v>
      </x:c>
      <x:c r="H48" t="n">
        <x:v>1</x:v>
      </x:c>
      <x:c r="I48" t="n">
        <x:v>1</x:v>
      </x:c>
      <x:c r="J48" t="n">
        <x:v>1</x:v>
      </x:c>
      <x:c r="K48" t="n">
        <x:v>1</x:v>
      </x:c>
      <x:c r="L48" t="n">
        <x:v>0</x:v>
      </x:c>
      <x:c r="M48" t="str">
        <x:f>IF(AND(H48=1,I48=1,J48=1,K48=1),"PASS","GAP")</x:f>
        <x:v>PASS</x:v>
      </x:c>
    </x:row>
    <x:row r="49">
      <x:c r="B49" t="str">
        <x:v>ART-RC-3-B-03</x:v>
      </x:c>
      <x:c r="C49" t="str">
        <x:v>full-scale integrated train 1</x:v>
      </x:c>
      <x:c r="D49" t="str">
        <x:v>RC-3</x:v>
      </x:c>
      <x:c r="E49" t="str">
        <x:v>Builder B</x:v>
      </x:c>
      <x:c r="F49" t="str">
        <x:v>PTC-B</x:v>
      </x:c>
      <x:c r="G49" t="n">
        <x:v>1</x:v>
      </x:c>
      <x:c r="H49" t="n">
        <x:v>1</x:v>
      </x:c>
      <x:c r="I49" t="n">
        <x:v>1</x:v>
      </x:c>
      <x:c r="J49" t="n">
        <x:v>1</x:v>
      </x:c>
      <x:c r="K49" t="n">
        <x:v>1</x:v>
      </x:c>
      <x:c r="L49" t="n">
        <x:v>0</x:v>
      </x:c>
      <x:c r="M49" t="str">
        <x:f>IF(AND(H49=1,I49=1,J49=1,K49=1),"PASS","GAP")</x:f>
        <x:v>PASS</x:v>
      </x:c>
    </x:row>
    <x:row r="50">
      <x:c r="B50" t="str">
        <x:v>ART-RC-3-B-04</x:v>
      </x:c>
      <x:c r="C50" t="str">
        <x:v>full-scale integrated train 2</x:v>
      </x:c>
      <x:c r="D50" t="str">
        <x:v>RC-3</x:v>
      </x:c>
      <x:c r="E50" t="str">
        <x:v>Builder B</x:v>
      </x:c>
      <x:c r="F50" t="str">
        <x:v>PTC-C</x:v>
      </x:c>
      <x:c r="G50" t="n">
        <x:v>1</x:v>
      </x:c>
      <x:c r="H50" t="n">
        <x:v>1</x:v>
      </x:c>
      <x:c r="I50" t="n">
        <x:v>1</x:v>
      </x:c>
      <x:c r="J50" t="n">
        <x:v>1</x:v>
      </x:c>
      <x:c r="K50" t="n">
        <x:v>1</x:v>
      </x:c>
      <x:c r="L50" t="n">
        <x:v>0</x:v>
      </x:c>
      <x:c r="M50" t="str">
        <x:f>IF(AND(H50=1,I50=1,J50=1,K50=1),"PASS","GAP")</x:f>
        <x:v>PASS</x:v>
      </x:c>
    </x:row>
    <x:row r="51">
      <x:c r="B51" t="str">
        <x:v>ART-RC-3-B-05</x:v>
      </x:c>
      <x:c r="C51" t="str">
        <x:v>destructive witness 1</x:v>
      </x:c>
      <x:c r="D51" t="str">
        <x:v>RC-3</x:v>
      </x:c>
      <x:c r="E51" t="str">
        <x:v>Builder B</x:v>
      </x:c>
      <x:c r="F51" t="str">
        <x:v>PTC-A</x:v>
      </x:c>
      <x:c r="G51" t="n">
        <x:v>1</x:v>
      </x:c>
      <x:c r="H51" t="n">
        <x:v>1</x:v>
      </x:c>
      <x:c r="I51" t="n">
        <x:v>1</x:v>
      </x:c>
      <x:c r="J51" t="n">
        <x:v>1</x:v>
      </x:c>
      <x:c r="K51" t="n">
        <x:v>1</x:v>
      </x:c>
      <x:c r="L51" t="n">
        <x:v>0</x:v>
      </x:c>
      <x:c r="M51" t="str">
        <x:f>IF(AND(H51=1,I51=1,J51=1,K51=1),"PASS","GAP")</x:f>
        <x:v>PASS</x:v>
      </x:c>
    </x:row>
    <x:row r="52">
      <x:c r="B52" t="str">
        <x:v>ART-RC-3-B-06</x:v>
      </x:c>
      <x:c r="C52" t="str">
        <x:v>destructive witness 2</x:v>
      </x:c>
      <x:c r="D52" t="str">
        <x:v>RC-3</x:v>
      </x:c>
      <x:c r="E52" t="str">
        <x:v>Builder B</x:v>
      </x:c>
      <x:c r="F52" t="str">
        <x:v>PTC-A</x:v>
      </x:c>
      <x:c r="G52" t="n">
        <x:v>1</x:v>
      </x:c>
      <x:c r="H52" t="n">
        <x:v>1</x:v>
      </x:c>
      <x:c r="I52" t="n">
        <x:v>1</x:v>
      </x:c>
      <x:c r="J52" t="n">
        <x:v>1</x:v>
      </x:c>
      <x:c r="K52" t="n">
        <x:v>1</x:v>
      </x:c>
      <x:c r="L52" t="n">
        <x:v>0</x:v>
      </x:c>
      <x:c r="M52" t="str">
        <x:f>IF(AND(H52=1,I52=1,J52=1,K52=1),"PASS","GAP")</x:f>
        <x:v>PASS</x:v>
      </x:c>
    </x:row>
    <x:row r="53">
      <x:c r="B53" t="str">
        <x:v>ART-RC-3-B-07</x:v>
      </x:c>
      <x:c r="C53" t="str">
        <x:v>regeneration spare</x:v>
      </x:c>
      <x:c r="D53" t="str">
        <x:v>RC-3</x:v>
      </x:c>
      <x:c r="E53" t="str">
        <x:v>Builder B</x:v>
      </x:c>
      <x:c r="F53" t="str">
        <x:v>RHT arsenal</x:v>
      </x:c>
      <x:c r="G53" t="n">
        <x:v>0</x:v>
      </x:c>
      <x:c r="H53" t="n">
        <x:v>1</x:v>
      </x:c>
      <x:c r="I53" t="n">
        <x:v>1</x:v>
      </x:c>
      <x:c r="J53" t="n">
        <x:v>1</x:v>
      </x:c>
      <x:c r="K53" t="n">
        <x:v>1</x:v>
      </x:c>
      <x:c r="L53" t="n">
        <x:v>0</x:v>
      </x:c>
      <x:c r="M53" t="str">
        <x:f>IF(AND(H53=1,I53=1,J53=1,K53=1),"PASS","GAP")</x:f>
        <x:v>PASS</x:v>
      </x:c>
    </x:row>
    <x:row r="54">
      <x:c r="B54" t="str">
        <x:v>ART-RC-3-B-08</x:v>
      </x:c>
      <x:c r="C54" t="str">
        <x:v>calibration reference</x:v>
      </x:c>
      <x:c r="D54" t="str">
        <x:v>RC-3</x:v>
      </x:c>
      <x:c r="E54" t="str">
        <x:v>Builder B</x:v>
      </x:c>
      <x:c r="F54" t="str">
        <x:v>public metrology</x:v>
      </x:c>
      <x:c r="G54" t="n">
        <x:v>0</x:v>
      </x:c>
      <x:c r="H54" t="n">
        <x:v>1</x:v>
      </x:c>
      <x:c r="I54" t="n">
        <x:v>1</x:v>
      </x:c>
      <x:c r="J54" t="n">
        <x:v>1</x:v>
      </x:c>
      <x:c r="K54" t="n">
        <x:v>1</x:v>
      </x:c>
      <x:c r="L54" t="n">
        <x:v>0</x:v>
      </x:c>
      <x:c r="M54" t="str">
        <x:f>IF(AND(H54=1,I54=1,J54=1,K54=1),"PASS","GAP")</x:f>
        <x:v>PASS</x:v>
      </x:c>
    </x:row>
  </x:sheetData>
  <x:conditionalFormatting sqref="M7:M54">
    <x:cfRule type="containsText" dxfId="24" priority="1" operator="containsText" text="FAIL"/>
    <x:cfRule type="containsText" dxfId="25" priority="2" operator="containsText" text="BLOCKED"/>
    <x:cfRule type="containsText" dxfId="26" priority="3" operator="containsText" text="OPEN"/>
    <x:cfRule type="containsText" dxfId="27" priority="4" operator="containsText" text="GAP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3" hidden="0" customWidth="1"/>
    <x:col min="3" max="3" width="47" hidden="0" customWidth="1"/>
    <x:col min="4" max="4" width="27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26" hidden="0" customWidth="1"/>
    <x:col min="10" max="10" width="18" hidden="0" customWidth="1"/>
    <x:col min="11" max="11" width="21" hidden="0" customWidth="1"/>
  </x:cols>
  <x:sheetData>
    <x:row r="2">
      <x:c r="B2" s="1" t="str">
        <x:v>Three-site RHT-1 allocation</x:v>
      </x:c>
    </x:row>
    <x:row r="3">
      <x:c r="B3" s="2" t="str">
        <x:v>Sibling operational sites reproduce every architecture-builder pair. PTC-A carries destructive and consequence work.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 ht="24" customHeight="1">
      <x:c r="B6" s="8" t="str">
        <x:v>Site</x:v>
      </x:c>
      <x:c r="C6" s="9" t="str">
        <x:v>Role</x:v>
      </x:c>
      <x:c r="D6" s="9" t="str">
        <x:v>Installed candidate articles</x:v>
      </x:c>
      <x:c r="E6" s="9" t="str">
        <x:v>Paired events</x:v>
      </x:c>
      <x:c r="F6" s="9" t="str">
        <x:v>Support events</x:v>
      </x:c>
      <x:c r="G6" s="9" t="str">
        <x:v>Total events</x:v>
      </x:c>
      <x:c r="H6" s="9" t="str">
        <x:v>Evidence original</x:v>
      </x:c>
      <x:c r="I6" s="9" t="str">
        <x:v>Independent safety energy</x:v>
      </x:c>
      <x:c r="J6" s="9" t="str">
        <x:v>Rescue package</x:v>
      </x:c>
      <x:c r="K6" s="10" t="str">
        <x:v>Physical acceptance</x:v>
      </x:c>
    </x:row>
    <x:row r="7">
      <x:c r="B7" t="str">
        <x:v>PTC-B</x:v>
      </x:c>
      <x:c r="C7" t="str">
        <x:v>operational replication and cold challenge</x:v>
      </x:c>
      <x:c r="D7" s="14" t="n">
        <x:f>COUNTIFS('Article Bank'!$F$7:$F$54,B7)</x:f>
        <x:v>12</x:v>
      </x:c>
      <x:c r="E7" s="14" t="n">
        <x:f>COUNTIFS('Event Register'!$G$7:$G$198,B7)</x:f>
        <x:v>96</x:v>
      </x:c>
      <x:c r="F7" s="14" t="n">
        <x:f>COUNTIFS('Support Events'!$F$7:$F$120,B7)</x:f>
        <x:v>30</x:v>
      </x:c>
      <x:c r="G7" s="14" t="n">
        <x:f>E7+F7</x:f>
        <x:v>126</x:v>
      </x:c>
      <x:c r="H7" t="n">
        <x:v>1</x:v>
      </x:c>
      <x:c r="I7" t="n">
        <x:v>1</x:v>
      </x:c>
      <x:c r="J7" t="n">
        <x:v>1</x:v>
      </x:c>
      <x:c r="K7" t="n">
        <x:v>0</x:v>
      </x:c>
    </x:row>
    <x:row r="8">
      <x:c r="B8" t="str">
        <x:v>PTC-C</x:v>
      </x:c>
      <x:c r="C8" t="str">
        <x:v>operational replication and hot challenge</x:v>
      </x:c>
      <x:c r="D8" s="14" t="n">
        <x:f>COUNTIFS('Article Bank'!$F$7:$F$54,B8)</x:f>
        <x:v>12</x:v>
      </x:c>
      <x:c r="E8" s="14" t="n">
        <x:f>COUNTIFS('Event Register'!$G$7:$G$198,B8)</x:f>
        <x:v>96</x:v>
      </x:c>
      <x:c r="F8" s="14" t="n">
        <x:f>COUNTIFS('Support Events'!$F$7:$F$120,B8)</x:f>
        <x:v>30</x:v>
      </x:c>
      <x:c r="G8" s="14" t="n">
        <x:f>E8+F8</x:f>
        <x:v>126</x:v>
      </x:c>
      <x:c r="H8" t="n">
        <x:v>1</x:v>
      </x:c>
      <x:c r="I8" t="n">
        <x:v>1</x:v>
      </x:c>
      <x:c r="J8" t="n">
        <x:v>1</x:v>
      </x:c>
      <x:c r="K8" t="n">
        <x:v>0</x:v>
      </x:c>
    </x:row>
    <x:row r="9">
      <x:c r="B9" t="str">
        <x:v>PTC-A</x:v>
      </x:c>
      <x:c r="C9" t="str">
        <x:v>destructive boundary, recovery and rebuild</x:v>
      </x:c>
      <x:c r="D9" s="14" t="n">
        <x:f>COUNTIFS('Article Bank'!$F$7:$F$54,B9)</x:f>
        <x:v>12</x:v>
      </x:c>
      <x:c r="E9" s="14" t="n">
        <x:f>COUNTIFS('Event Register'!$G$7:$G$198,B9)</x:f>
        <x:v>0</x:v>
      </x:c>
      <x:c r="F9" s="14" t="n">
        <x:f>COUNTIFS('Support Events'!$F$7:$F$120,B9)</x:f>
        <x:v>54</x:v>
      </x:c>
      <x:c r="G9" s="14" t="n">
        <x:f>E9+F9</x:f>
        <x:v>54</x:v>
      </x:c>
      <x:c r="H9" t="n">
        <x:v>1</x:v>
      </x:c>
      <x:c r="I9" t="n">
        <x:v>1</x:v>
      </x:c>
      <x:c r="J9" t="n">
        <x:v>1</x:v>
      </x:c>
      <x:c r="K9" t="n">
        <x:v>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2" hidden="0" customWidth="1"/>
    <x:col min="3" max="3" width="27" hidden="0" customWidth="1"/>
    <x:col min="4" max="4" width="58" hidden="0" customWidth="1"/>
    <x:col min="5" max="5" width="24" hidden="0" customWidth="1"/>
    <x:col min="6" max="6" width="17" hidden="0" customWidth="1"/>
    <x:col min="7" max="7" width="18" hidden="0" customWidth="1"/>
    <x:col min="8" max="8" width="21" hidden="0" customWidth="1"/>
    <x:col min="9" max="9" width="14" hidden="0" customWidth="1"/>
  </x:cols>
  <x:sheetData>
    <x:row r="2">
      <x:c r="B2" s="1" t="str">
        <x:v>Sixteen Root B measurement planes</x:v>
      </x:c>
    </x:row>
    <x:row r="3">
      <x:c r="B3" s="2" t="str">
        <x:v>The planes conserve source ancestry from vessel interior through terminal disposition and native evidence.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 ht="24" customHeight="1">
      <x:c r="B6" s="8" t="str">
        <x:v>Plane</x:v>
      </x:c>
      <x:c r="C6" s="9" t="str">
        <x:v>Location</x:v>
      </x:c>
      <x:c r="D6" s="9" t="str">
        <x:v>Primary quantities</x:v>
      </x:c>
      <x:c r="E6" s="9" t="str">
        <x:v>Independent reference</x:v>
      </x:c>
      <x:c r="F6" s="9" t="str">
        <x:v>Local retention</x:v>
      </x:c>
      <x:c r="G6" s="9" t="str">
        <x:v>Drawing assigned</x:v>
      </x:c>
      <x:c r="H6" s="9" t="str">
        <x:v>Physical acceptance</x:v>
      </x:c>
      <x:c r="I6" s="10" t="str">
        <x:v>State</x:v>
      </x:c>
    </x:row>
    <x:row r="7">
      <x:c r="B7" t="str">
        <x:v>P00</x:v>
      </x:c>
      <x:c r="C7" t="str">
        <x:v>source interior</x:v>
      </x:c>
      <x:c r="D7" t="str">
        <x:v>mass, pressure, temperature and phase</x:v>
      </x:c>
      <x:c r="E7" t="str">
        <x:v>REF-P00</x:v>
      </x:c>
      <x:c r="F7" t="n">
        <x:v>1</x:v>
      </x:c>
      <x:c r="G7" t="n">
        <x:v>1</x:v>
      </x:c>
      <x:c r="H7" t="n">
        <x:v>0</x:v>
      </x:c>
      <x:c r="I7" t="str">
        <x:f>IF(H7=1,"PASS","OPEN")</x:f>
        <x:v>OPEN</x:v>
      </x:c>
    </x:row>
    <x:row r="8">
      <x:c r="B8" t="str">
        <x:v>P01</x:v>
      </x:c>
      <x:c r="C8" t="str">
        <x:v>primary vessel wall</x:v>
      </x:c>
      <x:c r="D8" t="str">
        <x:v>strain, heat flux and acoustic state</x:v>
      </x:c>
      <x:c r="E8" t="str">
        <x:v>REF-P01</x:v>
      </x:c>
      <x:c r="F8" t="n">
        <x:v>1</x:v>
      </x:c>
      <x:c r="G8" t="n">
        <x:v>1</x:v>
      </x:c>
      <x:c r="H8" t="n">
        <x:v>0</x:v>
      </x:c>
      <x:c r="I8" t="str">
        <x:f>IF(H8=1,"PASS","OPEN")</x:f>
        <x:v>OPEN</x:v>
      </x:c>
    </x:row>
    <x:row r="9">
      <x:c r="B9" t="str">
        <x:v>P02</x:v>
      </x:c>
      <x:c r="C9" t="str">
        <x:v>interstitial boundary</x:v>
      </x:c>
      <x:c r="D9" t="str">
        <x:v>pressure, gas, liquid and temperature</x:v>
      </x:c>
      <x:c r="E9" t="str">
        <x:v>REF-P02</x:v>
      </x:c>
      <x:c r="F9" t="n">
        <x:v>1</x:v>
      </x:c>
      <x:c r="G9" t="n">
        <x:v>1</x:v>
      </x:c>
      <x:c r="H9" t="n">
        <x:v>0</x:v>
      </x:c>
      <x:c r="I9" t="str">
        <x:f>IF(H9=1,"PASS","OPEN")</x:f>
        <x:v>OPEN</x:v>
      </x:c>
    </x:row>
    <x:row r="10">
      <x:c r="B10" t="str">
        <x:v>P03</x:v>
      </x:c>
      <x:c r="C10" t="str">
        <x:v>source nozzle</x:v>
      </x:c>
      <x:c r="D10" t="str">
        <x:v>two-phase mass flux and void fraction</x:v>
      </x:c>
      <x:c r="E10" t="str">
        <x:v>REF-P03</x:v>
      </x:c>
      <x:c r="F10" t="n">
        <x:v>1</x:v>
      </x:c>
      <x:c r="G10" t="n">
        <x:v>1</x:v>
      </x:c>
      <x:c r="H10" t="n">
        <x:v>0</x:v>
      </x:c>
      <x:c r="I10" t="str">
        <x:f>IF(H10=1,"PASS","OPEN")</x:f>
        <x:v>OPEN</x:v>
      </x:c>
    </x:row>
    <x:row r="11">
      <x:c r="B11" t="str">
        <x:v>P04</x:v>
      </x:c>
      <x:c r="C11" t="str">
        <x:v>primary isolation</x:v>
      </x:c>
      <x:c r="D11" t="str">
        <x:v>travel, differential pressure and leakage</x:v>
      </x:c>
      <x:c r="E11" t="str">
        <x:v>REF-P04</x:v>
      </x:c>
      <x:c r="F11" t="n">
        <x:v>1</x:v>
      </x:c>
      <x:c r="G11" t="n">
        <x:v>1</x:v>
      </x:c>
      <x:c r="H11" t="n">
        <x:v>0</x:v>
      </x:c>
      <x:c r="I11" t="str">
        <x:f>IF(H11=1,"PASS","OPEN")</x:f>
        <x:v>OPEN</x:v>
      </x:c>
    </x:row>
    <x:row r="12">
      <x:c r="B12" t="str">
        <x:v>P05</x:v>
      </x:c>
      <x:c r="C12" t="str">
        <x:v>route entrance</x:v>
      </x:c>
      <x:c r="D12" t="str">
        <x:v>phase velocity, pressure wave and temperature</x:v>
      </x:c>
      <x:c r="E12" t="str">
        <x:v>REF-P05</x:v>
      </x:c>
      <x:c r="F12" t="n">
        <x:v>1</x:v>
      </x:c>
      <x:c r="G12" t="n">
        <x:v>1</x:v>
      </x:c>
      <x:c r="H12" t="n">
        <x:v>0</x:v>
      </x:c>
      <x:c r="I12" t="str">
        <x:f>IF(H12=1,"PASS","OPEN")</x:f>
        <x:v>OPEN</x:v>
      </x:c>
    </x:row>
    <x:row r="13">
      <x:c r="B13" t="str">
        <x:v>P06</x:v>
      </x:c>
      <x:c r="C13" t="str">
        <x:v>route midpoint</x:v>
      </x:c>
      <x:c r="D13" t="str">
        <x:v>void fraction, acoustic state and wall strain</x:v>
      </x:c>
      <x:c r="E13" t="str">
        <x:v>REF-P06</x:v>
      </x:c>
      <x:c r="F13" t="n">
        <x:v>1</x:v>
      </x:c>
      <x:c r="G13" t="n">
        <x:v>1</x:v>
      </x:c>
      <x:c r="H13" t="n">
        <x:v>0</x:v>
      </x:c>
      <x:c r="I13" t="str">
        <x:f>IF(H13=1,"PASS","OPEN")</x:f>
        <x:v>OPEN</x:v>
      </x:c>
    </x:row>
    <x:row r="14">
      <x:c r="B14" t="str">
        <x:v>P07</x:v>
      </x:c>
      <x:c r="C14" t="str">
        <x:v>route restriction</x:v>
      </x:c>
      <x:c r="D14" t="str">
        <x:v>area, pressure loss, ice and deposition</x:v>
      </x:c>
      <x:c r="E14" t="str">
        <x:v>REF-P07</x:v>
      </x:c>
      <x:c r="F14" t="n">
        <x:v>1</x:v>
      </x:c>
      <x:c r="G14" t="n">
        <x:v>1</x:v>
      </x:c>
      <x:c r="H14" t="n">
        <x:v>0</x:v>
      </x:c>
      <x:c r="I14" t="str">
        <x:f>IF(H14=1,"PASS","OPEN")</x:f>
        <x:v>OPEN</x:v>
      </x:c>
    </x:row>
    <x:row r="15">
      <x:c r="B15" t="str">
        <x:v>P08</x:v>
      </x:c>
      <x:c r="C15" t="str">
        <x:v>receiver inlet</x:v>
      </x:c>
      <x:c r="D15" t="str">
        <x:v>mass flux, phase distribution and backpressure</x:v>
      </x:c>
      <x:c r="E15" t="str">
        <x:v>REF-P08</x:v>
      </x:c>
      <x:c r="F15" t="n">
        <x:v>1</x:v>
      </x:c>
      <x:c r="G15" t="n">
        <x:v>1</x:v>
      </x:c>
      <x:c r="H15" t="n">
        <x:v>0</x:v>
      </x:c>
      <x:c r="I15" t="str">
        <x:f>IF(H15=1,"PASS","OPEN")</x:f>
        <x:v>OPEN</x:v>
      </x:c>
    </x:row>
    <x:row r="16">
      <x:c r="B16" t="str">
        <x:v>P09</x:v>
      </x:c>
      <x:c r="C16" t="str">
        <x:v>pressure receiver</x:v>
      </x:c>
      <x:c r="D16" t="str">
        <x:v>mass, pressure, temperature and level</x:v>
      </x:c>
      <x:c r="E16" t="str">
        <x:v>REF-P09</x:v>
      </x:c>
      <x:c r="F16" t="n">
        <x:v>1</x:v>
      </x:c>
      <x:c r="G16" t="n">
        <x:v>1</x:v>
      </x:c>
      <x:c r="H16" t="n">
        <x:v>0</x:v>
      </x:c>
      <x:c r="I16" t="str">
        <x:f>IF(H16=1,"PASS","OPEN")</x:f>
        <x:v>OPEN</x:v>
      </x:c>
    </x:row>
    <x:row r="17">
      <x:c r="B17" t="str">
        <x:v>P10</x:v>
      </x:c>
      <x:c r="C17" t="str">
        <x:v>condenser or separator</x:v>
      </x:c>
      <x:c r="D17" t="str">
        <x:v>heat duty, power, phase and inventory</x:v>
      </x:c>
      <x:c r="E17" t="str">
        <x:v>REF-P10</x:v>
      </x:c>
      <x:c r="F17" t="n">
        <x:v>1</x:v>
      </x:c>
      <x:c r="G17" t="n">
        <x:v>1</x:v>
      </x:c>
      <x:c r="H17" t="n">
        <x:v>0</x:v>
      </x:c>
      <x:c r="I17" t="str">
        <x:f>IF(H17=1,"PASS","OPEN")</x:f>
        <x:v>OPEN</x:v>
      </x:c>
    </x:row>
    <x:row r="18">
      <x:c r="B18" t="str">
        <x:v>P11</x:v>
      </x:c>
      <x:c r="C18" t="str">
        <x:v>gas-holder inlet</x:v>
      </x:c>
      <x:c r="D18" t="str">
        <x:v>flow, pressure, direction and composition</x:v>
      </x:c>
      <x:c r="E18" t="str">
        <x:v>REF-P11</x:v>
      </x:c>
      <x:c r="F18" t="n">
        <x:v>1</x:v>
      </x:c>
      <x:c r="G18" t="n">
        <x:v>1</x:v>
      </x:c>
      <x:c r="H18" t="n">
        <x:v>0</x:v>
      </x:c>
      <x:c r="I18" t="str">
        <x:f>IF(H18=1,"PASS","OPEN")</x:f>
        <x:v>OPEN</x:v>
      </x:c>
    </x:row>
    <x:row r="19">
      <x:c r="B19" t="str">
        <x:v>P12</x:v>
      </x:c>
      <x:c r="C19" t="str">
        <x:v>gas-holder volume</x:v>
      </x:c>
      <x:c r="D19" t="str">
        <x:v>volume, pressure, temperature and geometry</x:v>
      </x:c>
      <x:c r="E19" t="str">
        <x:v>REF-P12</x:v>
      </x:c>
      <x:c r="F19" t="n">
        <x:v>1</x:v>
      </x:c>
      <x:c r="G19" t="n">
        <x:v>1</x:v>
      </x:c>
      <x:c r="H19" t="n">
        <x:v>0</x:v>
      </x:c>
      <x:c r="I19" t="str">
        <x:f>IF(H19=1,"PASS","OPEN")</x:f>
        <x:v>OPEN</x:v>
      </x:c>
    </x:row>
    <x:row r="20">
      <x:c r="B20" t="str">
        <x:v>P13</x:v>
      </x:c>
      <x:c r="C20" t="str">
        <x:v>last-resort disposition</x:v>
      </x:c>
      <x:c r="D20" t="str">
        <x:v>mass flow, ignition and products</x:v>
      </x:c>
      <x:c r="E20" t="str">
        <x:v>REF-P13</x:v>
      </x:c>
      <x:c r="F20" t="n">
        <x:v>1</x:v>
      </x:c>
      <x:c r="G20" t="n">
        <x:v>1</x:v>
      </x:c>
      <x:c r="H20" t="n">
        <x:v>0</x:v>
      </x:c>
      <x:c r="I20" t="str">
        <x:f>IF(H20=1,"PASS","OPEN")</x:f>
        <x:v>OPEN</x:v>
      </x:c>
    </x:row>
    <x:row r="21">
      <x:c r="B21" t="str">
        <x:v>P14</x:v>
      </x:c>
      <x:c r="C21" t="str">
        <x:v>protected source and field</x:v>
      </x:c>
      <x:c r="D21" t="str">
        <x:v>heat, pressure, gas, weather and strain</x:v>
      </x:c>
      <x:c r="E21" t="str">
        <x:v>REF-P14</x:v>
      </x:c>
      <x:c r="F21" t="n">
        <x:v>1</x:v>
      </x:c>
      <x:c r="G21" t="n">
        <x:v>1</x:v>
      </x:c>
      <x:c r="H21" t="n">
        <x:v>0</x:v>
      </x:c>
      <x:c r="I21" t="str">
        <x:f>IF(H21=1,"PASS","OPEN")</x:f>
        <x:v>OPEN</x:v>
      </x:c>
    </x:row>
    <x:row r="22">
      <x:c r="B22" t="str">
        <x:v>P15</x:v>
      </x:c>
      <x:c r="C22" t="str">
        <x:v>evidence boundary</x:v>
      </x:c>
      <x:c r="D22" t="str">
        <x:v>time, packet, power, identity and custody</x:v>
      </x:c>
      <x:c r="E22" t="str">
        <x:v>REF-P15</x:v>
      </x:c>
      <x:c r="F22" t="n">
        <x:v>1</x:v>
      </x:c>
      <x:c r="G22" t="n">
        <x:v>1</x:v>
      </x:c>
      <x:c r="H22" t="n">
        <x:v>0</x:v>
      </x:c>
      <x:c r="I22" t="str">
        <x:f>IF(H22=1,"PASS","OPEN")</x:f>
        <x:v>OPEN</x:v>
      </x:c>
    </x:row>
  </x:sheetData>
  <x:conditionalFormatting sqref="I7:I22">
    <x:cfRule type="containsText" dxfId="28" priority="1" operator="containsText" text="FAIL"/>
    <x:cfRule type="containsText" dxfId="29" priority="2" operator="containsText" text="BLOCKED"/>
    <x:cfRule type="containsText" dxfId="30" priority="3" operator="containsText" text="OPEN"/>
    <x:cfRule type="containsText" dxfId="31" priority="4" operator="containsText" text="GAP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6" hidden="0" customWidth="1"/>
    <x:col min="3" max="3" width="38" hidden="0" customWidth="1"/>
    <x:col min="4" max="4" width="15" hidden="0" customWidth="1"/>
    <x:col min="5" max="5" width="18" hidden="0" customWidth="1"/>
    <x:col min="6" max="6" width="15" hidden="0" customWidth="1"/>
    <x:col min="7" max="7" width="17" hidden="0" customWidth="1"/>
    <x:col min="8" max="8" width="16" hidden="0" customWidth="1"/>
    <x:col min="9" max="9" width="55" hidden="0" customWidth="1"/>
  </x:cols>
  <x:sheetData>
    <x:row r="2">
      <x:c r="B2" s="1" t="str">
        <x:v>RHT-1 instrumentation and evidence volume</x:v>
      </x:c>
    </x:row>
    <x:row r="3">
      <x:c r="B3" s="2" t="str">
        <x:v>High-rate native channels preserve two-phase transients. Summary products do not replace the two originals.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 ht="24" customHeight="1">
      <x:c r="B6" s="8" t="str">
        <x:v>ID</x:v>
      </x:c>
      <x:c r="C6" s="9" t="str">
        <x:v>Function</x:v>
      </x:c>
      <x:c r="D6" s="9" t="str">
        <x:v>Channels</x:v>
      </x:c>
      <x:c r="E6" s="9" t="str">
        <x:v>Sample rate (Hz)</x:v>
      </x:c>
      <x:c r="F6" s="9" t="str">
        <x:v>Bytes/sample</x:v>
      </x:c>
      <x:c r="G6" s="9" t="str">
        <x:v>Rate (MB/s)</x:v>
      </x:c>
      <x:c r="H6" s="9" t="str">
        <x:v>Planes</x:v>
      </x:c>
      <x:c r="I6" s="10" t="str">
        <x:v>Unlike principle</x:v>
      </x:c>
    </x:row>
    <x:row r="7">
      <x:c r="B7" t="str">
        <x:v>I01</x:v>
      </x:c>
      <x:c r="C7" t="str">
        <x:v>source mass</x:v>
      </x:c>
      <x:c r="D7" s="23" t="n">
        <x:v>8</x:v>
      </x:c>
      <x:c r="E7" s="23" t="n">
        <x:v>100</x:v>
      </x:c>
      <x:c r="F7" s="23" t="n">
        <x:v>8</x:v>
      </x:c>
      <x:c r="G7" s="22" t="n">
        <x:f>D7*E7*F7/1000000</x:f>
        <x:v>0.0064</x:v>
      </x:c>
      <x:c r="H7" t="str">
        <x:v>P00:P09</x:v>
      </x:c>
      <x:c r="I7" t="str">
        <x:v>load cells plus independent inventory</x:v>
      </x:c>
    </x:row>
    <x:row r="8">
      <x:c r="B8" t="str">
        <x:v>I02</x:v>
      </x:c>
      <x:c r="C8" t="str">
        <x:v>source and route pressure</x:v>
      </x:c>
      <x:c r="D8" s="23" t="n">
        <x:v>32</x:v>
      </x:c>
      <x:c r="E8" s="23" t="n">
        <x:v>100000</x:v>
      </x:c>
      <x:c r="F8" s="23" t="n">
        <x:v>8</x:v>
      </x:c>
      <x:c r="G8" s="22" t="n">
        <x:f>D8*E8*F8/1000000</x:f>
        <x:v>25.6</x:v>
      </x:c>
      <x:c r="H8" t="str">
        <x:v>P00:P09</x:v>
      </x:c>
      <x:c r="I8" t="str">
        <x:v>strain diaphragm plus resonant reference</x:v>
      </x:c>
    </x:row>
    <x:row r="9">
      <x:c r="B9" t="str">
        <x:v>I03</x:v>
      </x:c>
      <x:c r="C9" t="str">
        <x:v>source and wall temperature</x:v>
      </x:c>
      <x:c r="D9" s="23" t="n">
        <x:v>48</x:v>
      </x:c>
      <x:c r="E9" s="23" t="n">
        <x:v>10000</x:v>
      </x:c>
      <x:c r="F9" s="23" t="n">
        <x:v>8</x:v>
      </x:c>
      <x:c r="G9" s="22" t="n">
        <x:f>D9*E9*F9/1000000</x:f>
        <x:v>3.84</x:v>
      </x:c>
      <x:c r="H9" t="str">
        <x:v>P00:P12</x:v>
      </x:c>
      <x:c r="I9" t="str">
        <x:v>thermocouple plus optical reference</x:v>
      </x:c>
    </x:row>
    <x:row r="10">
      <x:c r="B10" t="str">
        <x:v>I04</x:v>
      </x:c>
      <x:c r="C10" t="str">
        <x:v>differential and wave pressure</x:v>
      </x:c>
      <x:c r="D10" s="23" t="n">
        <x:v>48</x:v>
      </x:c>
      <x:c r="E10" s="23" t="n">
        <x:v>200000</x:v>
      </x:c>
      <x:c r="F10" s="23" t="n">
        <x:v>8</x:v>
      </x:c>
      <x:c r="G10" s="22" t="n">
        <x:f>D10*E10*F10/1000000</x:f>
        <x:v>76.8</x:v>
      </x:c>
      <x:c r="H10" t="str">
        <x:v>P03:P14</x:v>
      </x:c>
      <x:c r="I10" t="str">
        <x:v>piezoelectric arrays with shielded references</x:v>
      </x:c>
    </x:row>
    <x:row r="11">
      <x:c r="B11" t="str">
        <x:v>I05</x:v>
      </x:c>
      <x:c r="C11" t="str">
        <x:v>void fraction</x:v>
      </x:c>
      <x:c r="D11" s="23" t="n">
        <x:v>24</x:v>
      </x:c>
      <x:c r="E11" s="23" t="n">
        <x:v>100000</x:v>
      </x:c>
      <x:c r="F11" s="23" t="n">
        <x:v>8</x:v>
      </x:c>
      <x:c r="G11" s="22" t="n">
        <x:f>D11*E11*F11/1000000</x:f>
        <x:v>19.2</x:v>
      </x:c>
      <x:c r="H11" t="str">
        <x:v>P03:P08</x:v>
      </x:c>
      <x:c r="I11" t="str">
        <x:v>gamma attenuation plus capacitance</x:v>
      </x:c>
    </x:row>
    <x:row r="12">
      <x:c r="B12" t="str">
        <x:v>I06</x:v>
      </x:c>
      <x:c r="C12" t="str">
        <x:v>phase velocity</x:v>
      </x:c>
      <x:c r="D12" s="23" t="n">
        <x:v>24</x:v>
      </x:c>
      <x:c r="E12" s="23" t="n">
        <x:v>50000</x:v>
      </x:c>
      <x:c r="F12" s="23" t="n">
        <x:v>8</x:v>
      </x:c>
      <x:c r="G12" s="22" t="n">
        <x:f>D12*E12*F12/1000000</x:f>
        <x:v>9.6</x:v>
      </x:c>
      <x:c r="H12" t="str">
        <x:v>P03:P08</x:v>
      </x:c>
      <x:c r="I12" t="str">
        <x:v>cross-correlation plus optical window</x:v>
      </x:c>
    </x:row>
    <x:row r="13">
      <x:c r="B13" t="str">
        <x:v>I07</x:v>
      </x:c>
      <x:c r="C13" t="str">
        <x:v>two-phase mass flow</x:v>
      </x:c>
      <x:c r="D13" s="23" t="n">
        <x:v>32</x:v>
      </x:c>
      <x:c r="E13" s="23" t="n">
        <x:v>100000</x:v>
      </x:c>
      <x:c r="F13" s="23" t="n">
        <x:v>8</x:v>
      </x:c>
      <x:c r="G13" s="22" t="n">
        <x:f>D13*E13*F13/1000000</x:f>
        <x:v>25.6</x:v>
      </x:c>
      <x:c r="H13" t="str">
        <x:v>P03:P11</x:v>
      </x:c>
      <x:c r="I13" t="str">
        <x:v>Coriolis, momentum and inventory closure</x:v>
      </x:c>
    </x:row>
    <x:row r="14">
      <x:c r="B14" t="str">
        <x:v>I08</x:v>
      </x:c>
      <x:c r="C14" t="str">
        <x:v>acoustic emission</x:v>
      </x:c>
      <x:c r="D14" s="23" t="n">
        <x:v>32</x:v>
      </x:c>
      <x:c r="E14" s="23" t="n">
        <x:v>250000</x:v>
      </x:c>
      <x:c r="F14" s="23" t="n">
        <x:v>8</x:v>
      </x:c>
      <x:c r="G14" s="22" t="n">
        <x:f>D14*E14*F14/1000000</x:f>
        <x:v>64</x:v>
      </x:c>
      <x:c r="H14" t="str">
        <x:v>P01:P09</x:v>
      </x:c>
      <x:c r="I14" t="str">
        <x:v>wide-band acoustic array</x:v>
      </x:c>
    </x:row>
    <x:row r="15">
      <x:c r="B15" t="str">
        <x:v>I09</x:v>
      </x:c>
      <x:c r="C15" t="str">
        <x:v>route and support strain</x:v>
      </x:c>
      <x:c r="D15" s="23" t="n">
        <x:v>48</x:v>
      </x:c>
      <x:c r="E15" s="23" t="n">
        <x:v>100000</x:v>
      </x:c>
      <x:c r="F15" s="23" t="n">
        <x:v>8</x:v>
      </x:c>
      <x:c r="G15" s="22" t="n">
        <x:f>D15*E15*F15/1000000</x:f>
        <x:v>38.4</x:v>
      </x:c>
      <x:c r="H15" t="str">
        <x:v>P01:P14</x:v>
      </x:c>
      <x:c r="I15" t="str">
        <x:v>fiber optic plus foil gauge</x:v>
      </x:c>
    </x:row>
    <x:row r="16">
      <x:c r="B16" t="str">
        <x:v>I10</x:v>
      </x:c>
      <x:c r="C16" t="str">
        <x:v>receiver state</x:v>
      </x:c>
      <x:c r="D16" s="23" t="n">
        <x:v>32</x:v>
      </x:c>
      <x:c r="E16" s="23" t="n">
        <x:v>10000</x:v>
      </x:c>
      <x:c r="F16" s="23" t="n">
        <x:v>8</x:v>
      </x:c>
      <x:c r="G16" s="22" t="n">
        <x:f>D16*E16*F16/1000000</x:f>
        <x:v>2.56</x:v>
      </x:c>
      <x:c r="H16" t="str">
        <x:v>P08:P10</x:v>
      </x:c>
      <x:c r="I16" t="str">
        <x:v>mass, level, pressure and temperature</x:v>
      </x:c>
    </x:row>
    <x:row r="17">
      <x:c r="B17" t="str">
        <x:v>I11</x:v>
      </x:c>
      <x:c r="C17" t="str">
        <x:v>gas-holder state</x:v>
      </x:c>
      <x:c r="D17" s="23" t="n">
        <x:v>32</x:v>
      </x:c>
      <x:c r="E17" s="23" t="n">
        <x:v>1000</x:v>
      </x:c>
      <x:c r="F17" s="23" t="n">
        <x:v>8</x:v>
      </x:c>
      <x:c r="G17" s="22" t="n">
        <x:f>D17*E17*F17/1000000</x:f>
        <x:v>0.256</x:v>
      </x:c>
      <x:c r="H17" t="str">
        <x:v>P11:P12</x:v>
      </x:c>
      <x:c r="I17" t="str">
        <x:v>volume, pressure, geometry and temperature</x:v>
      </x:c>
    </x:row>
    <x:row r="18">
      <x:c r="B18" t="str">
        <x:v>I12</x:v>
      </x:c>
      <x:c r="C18" t="str">
        <x:v>gas concentration</x:v>
      </x:c>
      <x:c r="D18" s="23" t="n">
        <x:v>32</x:v>
      </x:c>
      <x:c r="E18" s="23" t="n">
        <x:v>1000</x:v>
      </x:c>
      <x:c r="F18" s="23" t="n">
        <x:v>8</x:v>
      </x:c>
      <x:c r="G18" s="22" t="n">
        <x:f>D18*E18*F18/1000000</x:f>
        <x:v>0.256</x:v>
      </x:c>
      <x:c r="H18" t="str">
        <x:v>P02:P14</x:v>
      </x:c>
      <x:c r="I18" t="str">
        <x:v>optical plus catalytic sensing</x:v>
      </x:c>
    </x:row>
    <x:row r="19">
      <x:c r="B19" t="str">
        <x:v>I13</x:v>
      </x:c>
      <x:c r="C19" t="str">
        <x:v>flame and heat</x:v>
      </x:c>
      <x:c r="D19" s="23" t="n">
        <x:v>32</x:v>
      </x:c>
      <x:c r="E19" s="23" t="n">
        <x:v>20000</x:v>
      </x:c>
      <x:c r="F19" s="23" t="n">
        <x:v>8</x:v>
      </x:c>
      <x:c r="G19" s="22" t="n">
        <x:f>D19*E19*F19/1000000</x:f>
        <x:v>5.12</x:v>
      </x:c>
      <x:c r="H19" t="str">
        <x:v>P01:P14</x:v>
      </x:c>
      <x:c r="I19" t="str">
        <x:v>fast imaging plus cooled heat-flux gauge</x:v>
      </x:c>
    </x:row>
    <x:row r="20">
      <x:c r="B20" t="str">
        <x:v>I14</x:v>
      </x:c>
      <x:c r="C20" t="str">
        <x:v>weather field</x:v>
      </x:c>
      <x:c r="D20" s="23" t="n">
        <x:v>16</x:v>
      </x:c>
      <x:c r="E20" s="23" t="n">
        <x:v>100</x:v>
      </x:c>
      <x:c r="F20" s="23" t="n">
        <x:v>8</x:v>
      </x:c>
      <x:c r="G20" s="22" t="n">
        <x:f>D20*E20*F20/1000000</x:f>
        <x:v>0.0128</x:v>
      </x:c>
      <x:c r="H20" t="str">
        <x:v>P12:P14</x:v>
      </x:c>
      <x:c r="I20" t="str">
        <x:v>three-dimensional wind and stability</x:v>
      </x:c>
    </x:row>
    <x:row r="21">
      <x:c r="B21" t="str">
        <x:v>I15</x:v>
      </x:c>
      <x:c r="C21" t="str">
        <x:v>safety energy and final elements</x:v>
      </x:c>
      <x:c r="D21" s="23" t="n">
        <x:v>24</x:v>
      </x:c>
      <x:c r="E21" s="23" t="n">
        <x:v>1000</x:v>
      </x:c>
      <x:c r="F21" s="23" t="n">
        <x:v>8</x:v>
      </x:c>
      <x:c r="G21" s="22" t="n">
        <x:f>D21*E21*F21/1000000</x:f>
        <x:v>0.192</x:v>
      </x:c>
      <x:c r="H21" t="str">
        <x:v>P04:P13</x:v>
      </x:c>
      <x:c r="I21" t="str">
        <x:v>voltage, current, travel and stored energy</x:v>
      </x:c>
    </x:row>
    <x:row r="22">
      <x:c r="B22" t="str">
        <x:v>I16</x:v>
      </x:c>
      <x:c r="C22" t="str">
        <x:v>event and evidence time</x:v>
      </x:c>
      <x:c r="D22" s="23" t="n">
        <x:v>8</x:v>
      </x:c>
      <x:c r="E22" s="23" t="n">
        <x:v>250000</x:v>
      </x:c>
      <x:c r="F22" s="23" t="n">
        <x:v>8</x:v>
      </x:c>
      <x:c r="G22" s="22" t="n">
        <x:f>D22*E22*F22/1000000</x:f>
        <x:v>16</x:v>
      </x:c>
      <x:c r="H22" t="str">
        <x:v>P00:P15</x:v>
      </x:c>
      <x:c r="I22" t="str">
        <x:v>two independent local clocks</x:v>
      </x:c>
    </x:row>
    <x:row r="23">
      <x:c r="B23" t="str">
        <x:v>I17</x:v>
      </x:c>
      <x:c r="C23" t="str">
        <x:v>composition and products</x:v>
      </x:c>
      <x:c r="D23" s="23" t="n">
        <x:v>16</x:v>
      </x:c>
      <x:c r="E23" s="23" t="n">
        <x:v>100</x:v>
      </x:c>
      <x:c r="F23" s="23" t="n">
        <x:v>8</x:v>
      </x:c>
      <x:c r="G23" s="22" t="n">
        <x:f>D23*E23*F23/1000000</x:f>
        <x:v>0.0128</x:v>
      </x:c>
      <x:c r="H23" t="str">
        <x:v>P09:P14</x:v>
      </x:c>
      <x:c r="I23" t="str">
        <x:v>gas chromatography plus optical species</x:v>
      </x:c>
    </x:row>
    <x:row r="24">
      <x:c r="B24" t="str">
        <x:v>I18</x:v>
      </x:c>
      <x:c r="C24" t="str">
        <x:v>evidence system state</x:v>
      </x:c>
      <x:c r="D24" s="23" t="n">
        <x:v>16</x:v>
      </x:c>
      <x:c r="E24" s="23" t="n">
        <x:v>10000</x:v>
      </x:c>
      <x:c r="F24" s="23" t="n">
        <x:v>8</x:v>
      </x:c>
      <x:c r="G24" s="22" t="n">
        <x:f>D24*E24*F24/1000000</x:f>
        <x:v>1.28</x:v>
      </x:c>
      <x:c r="H24" t="str">
        <x:v>P00:P15</x:v>
      </x:c>
      <x:c r="I24" t="str">
        <x:v>packet, recorder, key and custody state</x:v>
      </x:c>
    </x:row>
    <x:row r="27">
      <x:c r="B27" s="17" t="str">
        <x:v>Evidence volume</x:v>
      </x:c>
      <x:c r="C27" s="18"/>
      <x:c r="D27" s="18"/>
      <x:c r="E27" s="18"/>
      <x:c r="F27" s="18"/>
      <x:c r="G27" s="18"/>
      <x:c r="H27" s="18"/>
      <x:c r="I27" s="19"/>
    </x:row>
    <x:row r="28">
      <x:c r="B28" t="str">
        <x:v>channels</x:v>
      </x:c>
      <x:c r="C28" s="22" t="n">
        <x:f>SUM(D7:D24)</x:f>
        <x:v>504</x:v>
      </x:c>
      <x:c r="D28" t="str">
        <x:v>count</x:v>
      </x:c>
    </x:row>
    <x:row r="29">
      <x:c r="B29" t="str">
        <x:v>aggregate rate</x:v>
      </x:c>
      <x:c r="C29" s="22" t="n">
        <x:f>SUM(G7:G24)</x:f>
        <x:v>288.736</x:v>
      </x:c>
      <x:c r="D29" t="str">
        <x:v>MB/s</x:v>
      </x:c>
    </x:row>
    <x:row r="30">
      <x:c r="B30" t="str">
        <x:v>per-event native volume</x:v>
      </x:c>
      <x:c r="C30" s="22" t="n">
        <x:f>C29*(Controls!$D$22+Controls!$D$23*Controls!$D$24)*Controls!$D$25*Controls!$D$26/1000</x:f>
        <x:v>402.2669952</x:v>
      </x:c>
      <x:c r="D30" t="str">
        <x:v>GB</x:v>
      </x:c>
    </x:row>
    <x:row r="31">
      <x:c r="B31" t="str">
        <x:v>registered events</x:v>
      </x:c>
      <x:c r="C31" s="22" t="n">
        <x:f>COUNTA('Event Register'!B7:B198)+COUNTA('Support Events'!B7:B120)</x:f>
        <x:v>306</x:v>
      </x:c>
      <x:c r="D31" t="str">
        <x:v>count</x:v>
      </x:c>
    </x:row>
    <x:row r="32">
      <x:c r="B32" t="str">
        <x:v>campaign native volume</x:v>
      </x:c>
      <x:c r="C32" s="22" t="n">
        <x:f>C30*C31/1000</x:f>
        <x:v>123.0937005312</x:v>
      </x:c>
      <x:c r="D32" t="str">
        <x:v>TB</x:v>
      </x:c>
    </x:row>
    <x:row r="33">
      <x:c r="B33" t="str">
        <x:v>campaign volume with 30 percent reserve</x:v>
      </x:c>
      <x:c r="C33" s="22" t="n">
        <x:f>C32*1.3</x:f>
        <x:v>160.02181069056002</x:v>
      </x:c>
      <x:c r="D33" t="str">
        <x:v>TB</x:v>
      </x:c>
    </x:row>
    <x:row r="34">
      <x:c r="B34" t="str">
        <x:v>public vault capacity</x:v>
      </x:c>
      <x:c r="C34" s="22" t="n">
        <x:f>Controls!$D$27</x:f>
        <x:v>576</x:v>
      </x:c>
      <x:c r="D34" t="str">
        <x:v>TB</x:v>
      </x:c>
    </x:row>
    <x:row r="35">
      <x:c r="B35" t="str">
        <x:v>vault capacity ratio</x:v>
      </x:c>
      <x:c r="C35" s="22" t="n">
        <x:f>C34/C33</x:f>
        <x:v>3.5995093263494695</x:v>
      </x:c>
      <x:c r="D35" t="str">
        <x:v>ratio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0" hidden="0" customWidth="1"/>
    <x:col min="3" max="3" width="14" hidden="0" customWidth="1"/>
    <x:col min="4" max="4" width="35" hidden="0" customWidth="1"/>
    <x:col min="5" max="5" width="12" hidden="0" customWidth="1"/>
    <x:col min="6" max="6" width="15" hidden="0" customWidth="1"/>
    <x:col min="7" max="7" width="17" hidden="0" customWidth="1"/>
    <x:col min="8" max="8" width="18" hidden="0" customWidth="1"/>
    <x:col min="9" max="9" width="16" hidden="0" customWidth="1"/>
    <x:col min="10" max="10" width="19" hidden="0" customWidth="1"/>
    <x:col min="11" max="11" width="19" hidden="0" customWidth="1"/>
    <x:col min="12" max="12" width="16" hidden="0" customWidth="1"/>
    <x:col min="13" max="13" width="34" hidden="0" customWidth="1"/>
  </x:cols>
  <x:sheetData>
    <x:row r="2">
      <x:c r="B2" s="1" t="str">
        <x:v>Conjunctive architecture decision rules</x:v>
      </x:c>
    </x:row>
    <x:row r="3">
      <x:c r="B3" s="2" t="str">
        <x:v>No weighted score can compensate for a failed life-safety, propagation, evidence or replication requirement.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 ht="24" customHeight="1">
      <x:c r="B6" s="8" t="str">
        <x:v>Rule</x:v>
      </x:c>
      <x:c r="C6" s="9" t="str">
        <x:v>Architecture</x:v>
      </x:c>
      <x:c r="D6" s="9" t="str">
        <x:v>Criterion</x:v>
      </x:c>
      <x:c r="E6" s="9" t="str">
        <x:v>Relation</x:v>
      </x:c>
      <x:c r="F6" s="9" t="str">
        <x:v>Required</x:v>
      </x:c>
      <x:c r="G6" s="9" t="str">
        <x:v>Design value</x:v>
      </x:c>
      <x:c r="H6" s="9" t="str">
        <x:v>Design complete</x:v>
      </x:c>
      <x:c r="I6" s="9" t="str">
        <x:v>Planning state</x:v>
      </x:c>
      <x:c r="J6" s="9" t="str">
        <x:v>Physical required</x:v>
      </x:c>
      <x:c r="K6" s="9" t="str">
        <x:v>Physical observed</x:v>
      </x:c>
      <x:c r="L6" s="9" t="str">
        <x:v>Physical state</x:v>
      </x:c>
      <x:c r="M6" s="10" t="str">
        <x:v>Authority</x:v>
      </x:c>
    </x:row>
    <x:row r="7">
      <x:c r="B7" t="str">
        <x:v>DR-RC-1-01</x:v>
      </x:c>
      <x:c r="C7" t="str">
        <x:v>RC-1</x:v>
      </x:c>
      <x:c r="D7" t="str">
        <x:v>cold challenged transfer</x:v>
      </x:c>
      <x:c r="E7" t="str">
        <x:v>&lt;=</x:v>
      </x:c>
      <x:c r="F7" s="23" t="n">
        <x:v>120</x:v>
      </x:c>
      <x:c r="G7" s="22" t="n">
        <x:f>'Architecture Build'!L7</x:f>
        <x:v>112.11637341103577</x:v>
      </x:c>
      <x:c r="H7" s="23" t="n">
        <x:v>1</x:v>
      </x:c>
      <x:c r="I7" s="23" t="str">
        <x:f>IF(H7&lt;&gt;1,"GAP",IF(E7="&lt;=",IF(G7&lt;=F7,"PASS","GAP"),IF(G7&gt;=F7,"PASS","GAP")))</x:f>
        <x:v>PASS</x:v>
      </x:c>
      <x:c r="J7" s="23" t="n">
        <x:v>1</x:v>
      </x:c>
      <x:c r="K7" s="23" t="n">
        <x:v>0</x:v>
      </x:c>
      <x:c r="L7" t="str">
        <x:f>IF(K7&gt;=J7,"PASS","OPEN")</x:f>
        <x:v>OPEN</x:v>
      </x:c>
      <x:c r="M7" t="str">
        <x:v>criterion-specific physical authority</x:v>
      </x:c>
    </x:row>
    <x:row r="8">
      <x:c r="B8" t="str">
        <x:v>DR-RC-1-02</x:v>
      </x:c>
      <x:c r="C8" t="str">
        <x:v>RC-1</x:v>
      </x:c>
      <x:c r="D8" t="str">
        <x:v>holder margin</x:v>
      </x:c>
      <x:c r="E8" t="str">
        <x:v>&gt;=</x:v>
      </x:c>
      <x:c r="F8" s="23" t="n">
        <x:v>0</x:v>
      </x:c>
      <x:c r="G8" s="22" t="n">
        <x:f>'Architecture Build'!Q7</x:f>
        <x:v>769</x:v>
      </x:c>
      <x:c r="H8" s="23" t="n">
        <x:v>1</x:v>
      </x:c>
      <x:c r="I8" s="23" t="str">
        <x:f>IF(H8&lt;&gt;1,"GAP",IF(E8="&lt;=",IF(G8&lt;=F8,"PASS","GAP"),IF(G8&gt;=F8,"PASS","GAP")))</x:f>
        <x:v>PASS</x:v>
      </x:c>
      <x:c r="J8" s="23" t="n">
        <x:v>1</x:v>
      </x:c>
      <x:c r="K8" s="23" t="n">
        <x:v>0</x:v>
      </x:c>
      <x:c r="L8" t="str">
        <x:f>IF(K8&gt;=J8,"PASS","OPEN")</x:f>
        <x:v>OPEN</x:v>
      </x:c>
      <x:c r="M8" t="str">
        <x:v>criterion-specific physical authority</x:v>
      </x:c>
    </x:row>
    <x:row r="9">
      <x:c r="B9" t="str">
        <x:v>DR-RC-1-03</x:v>
      </x:c>
      <x:c r="C9" t="str">
        <x:v>RC-1</x:v>
      </x:c>
      <x:c r="D9" t="str">
        <x:v>receiver allocation ratio</x:v>
      </x:c>
      <x:c r="E9" t="str">
        <x:v>&gt;=</x:v>
      </x:c>
      <x:c r="F9" s="23" t="n">
        <x:v>1</x:v>
      </x:c>
      <x:c r="G9" s="22" t="n">
        <x:f>'Architecture Build'!N7/(Controls!$D$7*'Architecture Build'!M7)</x:f>
        <x:v>12.5</x:v>
      </x:c>
      <x:c r="H9" s="23" t="n">
        <x:v>1</x:v>
      </x:c>
      <x:c r="I9" s="23" t="str">
        <x:f>IF(H9&lt;&gt;1,"GAP",IF(E9="&lt;=",IF(G9&lt;=F9,"PASS","GAP"),IF(G9&gt;=F9,"PASS","GAP")))</x:f>
        <x:v>PASS</x:v>
      </x:c>
      <x:c r="J9" s="23" t="n">
        <x:v>1</x:v>
      </x:c>
      <x:c r="K9" s="23" t="n">
        <x:v>0</x:v>
      </x:c>
      <x:c r="L9" t="str">
        <x:f>IF(K9&gt;=J9,"PASS","OPEN")</x:f>
        <x:v>OPEN</x:v>
      </x:c>
      <x:c r="M9" t="str">
        <x:v>criterion-specific physical authority</x:v>
      </x:c>
    </x:row>
    <x:row r="10">
      <x:c r="B10" t="str">
        <x:v>DR-RC-1-04</x:v>
      </x:c>
      <x:c r="C10" t="str">
        <x:v>RC-1</x:v>
      </x:c>
      <x:c r="D10" t="str">
        <x:v>no cross-source path</x:v>
      </x:c>
      <x:c r="E10" t="str">
        <x:v>&gt;=</x:v>
      </x:c>
      <x:c r="F10" s="23" t="n">
        <x:v>1</x:v>
      </x:c>
      <x:c r="G10" s="22" t="n">
        <x:v>1</x:v>
      </x:c>
      <x:c r="H10" s="23" t="n">
        <x:v>1</x:v>
      </x:c>
      <x:c r="I10" s="23" t="str">
        <x:f>IF(H10&lt;&gt;1,"GAP",IF(E10="&lt;=",IF(G10&lt;=F10,"PASS","GAP"),IF(G10&gt;=F10,"PASS","GAP")))</x:f>
        <x:v>PASS</x:v>
      </x:c>
      <x:c r="J10" s="23" t="n">
        <x:v>1</x:v>
      </x:c>
      <x:c r="K10" s="23" t="n">
        <x:v>0</x:v>
      </x:c>
      <x:c r="L10" t="str">
        <x:f>IF(K10&gt;=J10,"PASS","OPEN")</x:f>
        <x:v>OPEN</x:v>
      </x:c>
      <x:c r="M10" t="str">
        <x:v>criterion-specific physical authority</x:v>
      </x:c>
    </x:row>
    <x:row r="11">
      <x:c r="B11" t="str">
        <x:v>DR-RC-1-05</x:v>
      </x:c>
      <x:c r="C11" t="str">
        <x:v>RC-1</x:v>
      </x:c>
      <x:c r="D11" t="str">
        <x:v>passive first stage</x:v>
      </x:c>
      <x:c r="E11" t="str">
        <x:v>&gt;=</x:v>
      </x:c>
      <x:c r="F11" s="23" t="n">
        <x:v>1</x:v>
      </x:c>
      <x:c r="G11" s="22" t="n">
        <x:v>1</x:v>
      </x:c>
      <x:c r="H11" s="23" t="n">
        <x:v>1</x:v>
      </x:c>
      <x:c r="I11" s="23" t="str">
        <x:f>IF(H11&lt;&gt;1,"GAP",IF(E11="&lt;=",IF(G11&lt;=F11,"PASS","GAP"),IF(G11&gt;=F11,"PASS","GAP")))</x:f>
        <x:v>PASS</x:v>
      </x:c>
      <x:c r="J11" s="23" t="n">
        <x:v>1</x:v>
      </x:c>
      <x:c r="K11" s="23" t="n">
        <x:v>0</x:v>
      </x:c>
      <x:c r="L11" t="str">
        <x:f>IF(K11&gt;=J11,"PASS","OPEN")</x:f>
        <x:v>OPEN</x:v>
      </x:c>
      <x:c r="M11" t="str">
        <x:v>criterion-specific physical authority</x:v>
      </x:c>
    </x:row>
    <x:row r="12">
      <x:c r="B12" t="str">
        <x:v>DR-RC-1-06</x:v>
      </x:c>
      <x:c r="C12" t="str">
        <x:v>RC-1</x:v>
      </x:c>
      <x:c r="D12" t="str">
        <x:v>accounted fraction</x:v>
      </x:c>
      <x:c r="E12" t="str">
        <x:v>&gt;=</x:v>
      </x:c>
      <x:c r="F12" s="23" t="n">
        <x:v>0.9975</x:v>
      </x:c>
      <x:c r="G12" s="22" t="n">
        <x:f>'Architecture Build'!Z7</x:f>
        <x:v>0.9975</x:v>
      </x:c>
      <x:c r="H12" s="23" t="n">
        <x:v>1</x:v>
      </x:c>
      <x:c r="I12" s="23" t="str">
        <x:f>IF(H12&lt;&gt;1,"GAP",IF(E12="&lt;=",IF(G12&lt;=F12,"PASS","GAP"),IF(G12&gt;=F12,"PASS","GAP")))</x:f>
        <x:v>PASS</x:v>
      </x:c>
      <x:c r="J12" s="23" t="n">
        <x:v>1</x:v>
      </x:c>
      <x:c r="K12" s="23" t="n">
        <x:v>0</x:v>
      </x:c>
      <x:c r="L12" t="str">
        <x:f>IF(K12&gt;=J12,"PASS","OPEN")</x:f>
        <x:v>OPEN</x:v>
      </x:c>
      <x:c r="M12" t="str">
        <x:v>criterion-specific physical authority</x:v>
      </x:c>
    </x:row>
    <x:row r="13">
      <x:c r="B13" t="str">
        <x:v>DR-RC-1-07</x:v>
      </x:c>
      <x:c r="C13" t="str">
        <x:v>RC-1</x:v>
      </x:c>
      <x:c r="D13" t="str">
        <x:v>retained fraction</x:v>
      </x:c>
      <x:c r="E13" t="str">
        <x:v>&gt;=</x:v>
      </x:c>
      <x:c r="F13" s="23" t="n">
        <x:v>0.99</x:v>
      </x:c>
      <x:c r="G13" s="22" t="n">
        <x:f>'Architecture Build'!Y7</x:f>
        <x:v>1</x:v>
      </x:c>
      <x:c r="H13" s="23" t="n">
        <x:v>1</x:v>
      </x:c>
      <x:c r="I13" s="23" t="str">
        <x:f>IF(H13&lt;&gt;1,"GAP",IF(E13="&lt;=",IF(G13&lt;=F13,"PASS","GAP"),IF(G13&gt;=F13,"PASS","GAP")))</x:f>
        <x:v>PASS</x:v>
      </x:c>
      <x:c r="J13" s="23" t="n">
        <x:v>1</x:v>
      </x:c>
      <x:c r="K13" s="23" t="n">
        <x:v>0</x:v>
      </x:c>
      <x:c r="L13" t="str">
        <x:f>IF(K13&gt;=J13,"PASS","OPEN")</x:f>
        <x:v>OPEN</x:v>
      </x:c>
      <x:c r="M13" t="str">
        <x:v>criterion-specific physical authority</x:v>
      </x:c>
    </x:row>
    <x:row r="14">
      <x:c r="B14" t="str">
        <x:v>DR-RC-1-08</x:v>
      </x:c>
      <x:c r="C14" t="str">
        <x:v>RC-1</x:v>
      </x:c>
      <x:c r="D14" t="str">
        <x:v>maximum backpressure</x:v>
      </x:c>
      <x:c r="E14" t="str">
        <x:v>&lt;=</x:v>
      </x:c>
      <x:c r="F14" s="23" t="n">
        <x:v>0.3</x:v>
      </x:c>
      <x:c r="G14" s="22" t="n">
        <x:f>'Architecture Build'!W7</x:f>
        <x:v>0.15</x:v>
      </x:c>
      <x:c r="H14" s="23" t="n">
        <x:v>1</x:v>
      </x:c>
      <x:c r="I14" s="23" t="str">
        <x:f>IF(H14&lt;&gt;1,"GAP",IF(E14="&lt;=",IF(G14&lt;=F14,"PASS","GAP"),IF(G14&gt;=F14,"PASS","GAP")))</x:f>
        <x:v>PASS</x:v>
      </x:c>
      <x:c r="J14" s="23" t="n">
        <x:v>1</x:v>
      </x:c>
      <x:c r="K14" s="23" t="n">
        <x:v>0</x:v>
      </x:c>
      <x:c r="L14" t="str">
        <x:f>IF(K14&gt;=J14,"PASS","OPEN")</x:f>
        <x:v>OPEN</x:v>
      </x:c>
      <x:c r="M14" t="str">
        <x:v>criterion-specific physical authority</x:v>
      </x:c>
    </x:row>
    <x:row r="15">
      <x:c r="B15" t="str">
        <x:v>DR-RC-1-09</x:v>
      </x:c>
      <x:c r="C15" t="str">
        <x:v>RC-1</x:v>
      </x:c>
      <x:c r="D15" t="str">
        <x:v>reset time</x:v>
      </x:c>
      <x:c r="E15" t="str">
        <x:v>&lt;=</x:v>
      </x:c>
      <x:c r="F15" s="23" t="n">
        <x:v>96</x:v>
      </x:c>
      <x:c r="G15" s="22" t="n">
        <x:f>'Architecture Build'!X7</x:f>
        <x:v>72</x:v>
      </x:c>
      <x:c r="H15" s="23" t="n">
        <x:v>1</x:v>
      </x:c>
      <x:c r="I15" s="23" t="str">
        <x:f>IF(H15&lt;&gt;1,"GAP",IF(E15="&lt;=",IF(G15&lt;=F15,"PASS","GAP"),IF(G15&gt;=F15,"PASS","GAP")))</x:f>
        <x:v>PASS</x:v>
      </x:c>
      <x:c r="J15" s="23" t="n">
        <x:v>1</x:v>
      </x:c>
      <x:c r="K15" s="23" t="n">
        <x:v>0</x:v>
      </x:c>
      <x:c r="L15" t="str">
        <x:f>IF(K15&gt;=J15,"PASS","OPEN")</x:f>
        <x:v>OPEN</x:v>
      </x:c>
      <x:c r="M15" t="str">
        <x:v>criterion-specific physical authority</x:v>
      </x:c>
    </x:row>
    <x:row r="16">
      <x:c r="B16" t="str">
        <x:v>DR-RC-1-10</x:v>
      </x:c>
      <x:c r="C16" t="str">
        <x:v>RC-1</x:v>
      </x:c>
      <x:c r="D16" t="str">
        <x:v>unlike builder replication</x:v>
      </x:c>
      <x:c r="E16" t="str">
        <x:v>&gt;=</x:v>
      </x:c>
      <x:c r="F16" s="23" t="n">
        <x:v>2</x:v>
      </x:c>
      <x:c r="G16" s="22" t="n">
        <x:v>2</x:v>
      </x:c>
      <x:c r="H16" s="23" t="n">
        <x:v>1</x:v>
      </x:c>
      <x:c r="I16" s="23" t="str">
        <x:f>IF(H16&lt;&gt;1,"GAP",IF(E16="&lt;=",IF(G16&lt;=F16,"PASS","GAP"),IF(G16&gt;=F16,"PASS","GAP")))</x:f>
        <x:v>PASS</x:v>
      </x:c>
      <x:c r="J16" s="23" t="n">
        <x:v>1</x:v>
      </x:c>
      <x:c r="K16" s="23" t="n">
        <x:v>0</x:v>
      </x:c>
      <x:c r="L16" t="str">
        <x:f>IF(K16&gt;=J16,"PASS","OPEN")</x:f>
        <x:v>OPEN</x:v>
      </x:c>
      <x:c r="M16" t="str">
        <x:v>criterion-specific physical authority</x:v>
      </x:c>
    </x:row>
    <x:row r="17">
      <x:c r="B17" t="str">
        <x:v>DR-RC-1-11</x:v>
      </x:c>
      <x:c r="C17" t="str">
        <x:v>RC-1</x:v>
      </x:c>
      <x:c r="D17" t="str">
        <x:v>site replication</x:v>
      </x:c>
      <x:c r="E17" t="str">
        <x:v>&gt;=</x:v>
      </x:c>
      <x:c r="F17" s="23" t="n">
        <x:v>2</x:v>
      </x:c>
      <x:c r="G17" s="22" t="n">
        <x:v>2</x:v>
      </x:c>
      <x:c r="H17" s="23" t="n">
        <x:v>1</x:v>
      </x:c>
      <x:c r="I17" s="23" t="str">
        <x:f>IF(H17&lt;&gt;1,"GAP",IF(E17="&lt;=",IF(G17&lt;=F17,"PASS","GAP"),IF(G17&gt;=F17,"PASS","GAP")))</x:f>
        <x:v>PASS</x:v>
      </x:c>
      <x:c r="J17" s="23" t="n">
        <x:v>1</x:v>
      </x:c>
      <x:c r="K17" s="23" t="n">
        <x:v>0</x:v>
      </x:c>
      <x:c r="L17" t="str">
        <x:f>IF(K17&gt;=J17,"PASS","OPEN")</x:f>
        <x:v>OPEN</x:v>
      </x:c>
      <x:c r="M17" t="str">
        <x:v>criterion-specific physical authority</x:v>
      </x:c>
    </x:row>
    <x:row r="18">
      <x:c r="B18" t="str">
        <x:v>DR-RC-1-12</x:v>
      </x:c>
      <x:c r="C18" t="str">
        <x:v>RC-1</x:v>
      </x:c>
      <x:c r="D18" t="str">
        <x:v>accepted protocol dispositions</x:v>
      </x:c>
      <x:c r="E18" t="str">
        <x:v>&gt;=</x:v>
      </x:c>
      <x:c r="F18" s="23" t="n">
        <x:v>8</x:v>
      </x:c>
      <x:c r="G18" s="22" t="n">
        <x:f>COUNTIFS('Protocol Register'!$C$7:$C$30,C18)</x:f>
        <x:v>8</x:v>
      </x:c>
      <x:c r="H18" s="23" t="n">
        <x:v>1</x:v>
      </x:c>
      <x:c r="I18" s="23" t="str">
        <x:f>IF(H18&lt;&gt;1,"GAP",IF(E18="&lt;=",IF(G18&lt;=F18,"PASS","GAP"),IF(G18&gt;=F18,"PASS","GAP")))</x:f>
        <x:v>PASS</x:v>
      </x:c>
      <x:c r="J18" s="23" t="n">
        <x:v>8</x:v>
      </x:c>
      <x:c r="K18" s="23" t="n">
        <x:v>0</x:v>
      </x:c>
      <x:c r="L18" t="str">
        <x:f>IF(K18&gt;=J18,"PASS","OPEN")</x:f>
        <x:v>OPEN</x:v>
      </x:c>
      <x:c r="M18" t="str">
        <x:v>physical acceptance board</x:v>
      </x:c>
    </x:row>
    <x:row r="19">
      <x:c r="B19" t="str">
        <x:v>DR-RC-2-01</x:v>
      </x:c>
      <x:c r="C19" t="str">
        <x:v>RC-2</x:v>
      </x:c>
      <x:c r="D19" t="str">
        <x:v>cold challenged transfer</x:v>
      </x:c>
      <x:c r="E19" t="str">
        <x:v>&lt;=</x:v>
      </x:c>
      <x:c r="F19" s="23" t="n">
        <x:v>120</x:v>
      </x:c>
      <x:c r="G19" s="22" t="n">
        <x:f>'Architecture Build'!L8</x:f>
        <x:v>99.65899858758735</x:v>
      </x:c>
      <x:c r="H19" s="23" t="n">
        <x:v>1</x:v>
      </x:c>
      <x:c r="I19" s="23" t="str">
        <x:f>IF(H19&lt;&gt;1,"GAP",IF(E19="&lt;=",IF(G19&lt;=F19,"PASS","GAP"),IF(G19&gt;=F19,"PASS","GAP")))</x:f>
        <x:v>PASS</x:v>
      </x:c>
      <x:c r="J19" s="23" t="n">
        <x:v>1</x:v>
      </x:c>
      <x:c r="K19" s="23" t="n">
        <x:v>0</x:v>
      </x:c>
      <x:c r="L19" t="str">
        <x:f>IF(K19&gt;=J19,"PASS","OPEN")</x:f>
        <x:v>OPEN</x:v>
      </x:c>
      <x:c r="M19" t="str">
        <x:v>criterion-specific physical authority</x:v>
      </x:c>
    </x:row>
    <x:row r="20">
      <x:c r="B20" t="str">
        <x:v>DR-RC-2-02</x:v>
      </x:c>
      <x:c r="C20" t="str">
        <x:v>RC-2</x:v>
      </x:c>
      <x:c r="D20" t="str">
        <x:v>holder margin</x:v>
      </x:c>
      <x:c r="E20" t="str">
        <x:v>&gt;=</x:v>
      </x:c>
      <x:c r="F20" s="23" t="n">
        <x:v>0</x:v>
      </x:c>
      <x:c r="G20" s="22" t="n">
        <x:f>'Architecture Build'!Q8</x:f>
        <x:v>43.5</x:v>
      </x:c>
      <x:c r="H20" s="23" t="n">
        <x:v>1</x:v>
      </x:c>
      <x:c r="I20" s="23" t="str">
        <x:f>IF(H20&lt;&gt;1,"GAP",IF(E20="&lt;=",IF(G20&lt;=F20,"PASS","GAP"),IF(G20&gt;=F20,"PASS","GAP")))</x:f>
        <x:v>PASS</x:v>
      </x:c>
      <x:c r="J20" s="23" t="n">
        <x:v>1</x:v>
      </x:c>
      <x:c r="K20" s="23" t="n">
        <x:v>0</x:v>
      </x:c>
      <x:c r="L20" t="str">
        <x:f>IF(K20&gt;=J20,"PASS","OPEN")</x:f>
        <x:v>OPEN</x:v>
      </x:c>
      <x:c r="M20" t="str">
        <x:v>criterion-specific physical authority</x:v>
      </x:c>
    </x:row>
    <x:row r="21">
      <x:c r="B21" t="str">
        <x:v>DR-RC-2-03</x:v>
      </x:c>
      <x:c r="C21" t="str">
        <x:v>RC-2</x:v>
      </x:c>
      <x:c r="D21" t="str">
        <x:v>receiver allocation ratio</x:v>
      </x:c>
      <x:c r="E21" t="str">
        <x:v>&gt;=</x:v>
      </x:c>
      <x:c r="F21" s="23" t="n">
        <x:v>1</x:v>
      </x:c>
      <x:c r="G21" s="22" t="n">
        <x:f>'Architecture Build'!N8/(Controls!$D$7*'Architecture Build'!M8)</x:f>
        <x:v>5</x:v>
      </x:c>
      <x:c r="H21" s="23" t="n">
        <x:v>1</x:v>
      </x:c>
      <x:c r="I21" s="23" t="str">
        <x:f>IF(H21&lt;&gt;1,"GAP",IF(E21="&lt;=",IF(G21&lt;=F21,"PASS","GAP"),IF(G21&gt;=F21,"PASS","GAP")))</x:f>
        <x:v>PASS</x:v>
      </x:c>
      <x:c r="J21" s="23" t="n">
        <x:v>1</x:v>
      </x:c>
      <x:c r="K21" s="23" t="n">
        <x:v>0</x:v>
      </x:c>
      <x:c r="L21" t="str">
        <x:f>IF(K21&gt;=J21,"PASS","OPEN")</x:f>
        <x:v>OPEN</x:v>
      </x:c>
      <x:c r="M21" t="str">
        <x:v>criterion-specific physical authority</x:v>
      </x:c>
    </x:row>
    <x:row r="22">
      <x:c r="B22" t="str">
        <x:v>DR-RC-2-04</x:v>
      </x:c>
      <x:c r="C22" t="str">
        <x:v>RC-2</x:v>
      </x:c>
      <x:c r="D22" t="str">
        <x:v>no cross-source path</x:v>
      </x:c>
      <x:c r="E22" t="str">
        <x:v>&gt;=</x:v>
      </x:c>
      <x:c r="F22" s="23" t="n">
        <x:v>1</x:v>
      </x:c>
      <x:c r="G22" s="22" t="n">
        <x:v>1</x:v>
      </x:c>
      <x:c r="H22" s="23" t="n">
        <x:v>1</x:v>
      </x:c>
      <x:c r="I22" s="23" t="str">
        <x:f>IF(H22&lt;&gt;1,"GAP",IF(E22="&lt;=",IF(G22&lt;=F22,"PASS","GAP"),IF(G22&gt;=F22,"PASS","GAP")))</x:f>
        <x:v>PASS</x:v>
      </x:c>
      <x:c r="J22" s="23" t="n">
        <x:v>1</x:v>
      </x:c>
      <x:c r="K22" s="23" t="n">
        <x:v>0</x:v>
      </x:c>
      <x:c r="L22" t="str">
        <x:f>IF(K22&gt;=J22,"PASS","OPEN")</x:f>
        <x:v>OPEN</x:v>
      </x:c>
      <x:c r="M22" t="str">
        <x:v>criterion-specific physical authority</x:v>
      </x:c>
    </x:row>
    <x:row r="23">
      <x:c r="B23" t="str">
        <x:v>DR-RC-2-05</x:v>
      </x:c>
      <x:c r="C23" t="str">
        <x:v>RC-2</x:v>
      </x:c>
      <x:c r="D23" t="str">
        <x:v>passive first stage</x:v>
      </x:c>
      <x:c r="E23" t="str">
        <x:v>&gt;=</x:v>
      </x:c>
      <x:c r="F23" s="23" t="n">
        <x:v>1</x:v>
      </x:c>
      <x:c r="G23" s="22" t="n">
        <x:v>1</x:v>
      </x:c>
      <x:c r="H23" s="23" t="n">
        <x:v>1</x:v>
      </x:c>
      <x:c r="I23" s="23" t="str">
        <x:f>IF(H23&lt;&gt;1,"GAP",IF(E23="&lt;=",IF(G23&lt;=F23,"PASS","GAP"),IF(G23&gt;=F23,"PASS","GAP")))</x:f>
        <x:v>PASS</x:v>
      </x:c>
      <x:c r="J23" s="23" t="n">
        <x:v>1</x:v>
      </x:c>
      <x:c r="K23" s="23" t="n">
        <x:v>0</x:v>
      </x:c>
      <x:c r="L23" t="str">
        <x:f>IF(K23&gt;=J23,"PASS","OPEN")</x:f>
        <x:v>OPEN</x:v>
      </x:c>
      <x:c r="M23" t="str">
        <x:v>criterion-specific physical authority</x:v>
      </x:c>
    </x:row>
    <x:row r="24">
      <x:c r="B24" t="str">
        <x:v>DR-RC-2-06</x:v>
      </x:c>
      <x:c r="C24" t="str">
        <x:v>RC-2</x:v>
      </x:c>
      <x:c r="D24" t="str">
        <x:v>accounted fraction</x:v>
      </x:c>
      <x:c r="E24" t="str">
        <x:v>&gt;=</x:v>
      </x:c>
      <x:c r="F24" s="23" t="n">
        <x:v>0.9975</x:v>
      </x:c>
      <x:c r="G24" s="22" t="n">
        <x:f>'Architecture Build'!Z8</x:f>
        <x:v>0.998</x:v>
      </x:c>
      <x:c r="H24" s="23" t="n">
        <x:v>1</x:v>
      </x:c>
      <x:c r="I24" s="23" t="str">
        <x:f>IF(H24&lt;&gt;1,"GAP",IF(E24="&lt;=",IF(G24&lt;=F24,"PASS","GAP"),IF(G24&gt;=F24,"PASS","GAP")))</x:f>
        <x:v>PASS</x:v>
      </x:c>
      <x:c r="J24" s="23" t="n">
        <x:v>1</x:v>
      </x:c>
      <x:c r="K24" s="23" t="n">
        <x:v>0</x:v>
      </x:c>
      <x:c r="L24" t="str">
        <x:f>IF(K24&gt;=J24,"PASS","OPEN")</x:f>
        <x:v>OPEN</x:v>
      </x:c>
      <x:c r="M24" t="str">
        <x:v>criterion-specific physical authority</x:v>
      </x:c>
    </x:row>
    <x:row r="25">
      <x:c r="B25" t="str">
        <x:v>DR-RC-2-07</x:v>
      </x:c>
      <x:c r="C25" t="str">
        <x:v>RC-2</x:v>
      </x:c>
      <x:c r="D25" t="str">
        <x:v>retained fraction</x:v>
      </x:c>
      <x:c r="E25" t="str">
        <x:v>&gt;=</x:v>
      </x:c>
      <x:c r="F25" s="23" t="n">
        <x:v>0.99</x:v>
      </x:c>
      <x:c r="G25" s="22" t="n">
        <x:f>'Architecture Build'!Y8</x:f>
        <x:v>1</x:v>
      </x:c>
      <x:c r="H25" s="23" t="n">
        <x:v>1</x:v>
      </x:c>
      <x:c r="I25" s="23" t="str">
        <x:f>IF(H25&lt;&gt;1,"GAP",IF(E25="&lt;=",IF(G25&lt;=F25,"PASS","GAP"),IF(G25&gt;=F25,"PASS","GAP")))</x:f>
        <x:v>PASS</x:v>
      </x:c>
      <x:c r="J25" s="23" t="n">
        <x:v>1</x:v>
      </x:c>
      <x:c r="K25" s="23" t="n">
        <x:v>0</x:v>
      </x:c>
      <x:c r="L25" t="str">
        <x:f>IF(K25&gt;=J25,"PASS","OPEN")</x:f>
        <x:v>OPEN</x:v>
      </x:c>
      <x:c r="M25" t="str">
        <x:v>criterion-specific physical authority</x:v>
      </x:c>
    </x:row>
    <x:row r="26">
      <x:c r="B26" t="str">
        <x:v>DR-RC-2-08</x:v>
      </x:c>
      <x:c r="C26" t="str">
        <x:v>RC-2</x:v>
      </x:c>
      <x:c r="D26" t="str">
        <x:v>maximum backpressure</x:v>
      </x:c>
      <x:c r="E26" t="str">
        <x:v>&lt;=</x:v>
      </x:c>
      <x:c r="F26" s="23" t="n">
        <x:v>0.3</x:v>
      </x:c>
      <x:c r="G26" s="22" t="n">
        <x:f>'Architecture Build'!W8</x:f>
        <x:v>0.28</x:v>
      </x:c>
      <x:c r="H26" s="23" t="n">
        <x:v>1</x:v>
      </x:c>
      <x:c r="I26" s="23" t="str">
        <x:f>IF(H26&lt;&gt;1,"GAP",IF(E26="&lt;=",IF(G26&lt;=F26,"PASS","GAP"),IF(G26&gt;=F26,"PASS","GAP")))</x:f>
        <x:v>PASS</x:v>
      </x:c>
      <x:c r="J26" s="23" t="n">
        <x:v>1</x:v>
      </x:c>
      <x:c r="K26" s="23" t="n">
        <x:v>0</x:v>
      </x:c>
      <x:c r="L26" t="str">
        <x:f>IF(K26&gt;=J26,"PASS","OPEN")</x:f>
        <x:v>OPEN</x:v>
      </x:c>
      <x:c r="M26" t="str">
        <x:v>criterion-specific physical authority</x:v>
      </x:c>
    </x:row>
    <x:row r="27">
      <x:c r="B27" t="str">
        <x:v>DR-RC-2-09</x:v>
      </x:c>
      <x:c r="C27" t="str">
        <x:v>RC-2</x:v>
      </x:c>
      <x:c r="D27" t="str">
        <x:v>reset time</x:v>
      </x:c>
      <x:c r="E27" t="str">
        <x:v>&lt;=</x:v>
      </x:c>
      <x:c r="F27" s="23" t="n">
        <x:v>96</x:v>
      </x:c>
      <x:c r="G27" s="22" t="n">
        <x:f>'Architecture Build'!X8</x:f>
        <x:v>96</x:v>
      </x:c>
      <x:c r="H27" s="23" t="n">
        <x:v>1</x:v>
      </x:c>
      <x:c r="I27" s="23" t="str">
        <x:f>IF(H27&lt;&gt;1,"GAP",IF(E27="&lt;=",IF(G27&lt;=F27,"PASS","GAP"),IF(G27&gt;=F27,"PASS","GAP")))</x:f>
        <x:v>PASS</x:v>
      </x:c>
      <x:c r="J27" s="23" t="n">
        <x:v>1</x:v>
      </x:c>
      <x:c r="K27" s="23" t="n">
        <x:v>0</x:v>
      </x:c>
      <x:c r="L27" t="str">
        <x:f>IF(K27&gt;=J27,"PASS","OPEN")</x:f>
        <x:v>OPEN</x:v>
      </x:c>
      <x:c r="M27" t="str">
        <x:v>criterion-specific physical authority</x:v>
      </x:c>
    </x:row>
    <x:row r="28">
      <x:c r="B28" t="str">
        <x:v>DR-RC-2-10</x:v>
      </x:c>
      <x:c r="C28" t="str">
        <x:v>RC-2</x:v>
      </x:c>
      <x:c r="D28" t="str">
        <x:v>unlike builder replication</x:v>
      </x:c>
      <x:c r="E28" t="str">
        <x:v>&gt;=</x:v>
      </x:c>
      <x:c r="F28" s="23" t="n">
        <x:v>2</x:v>
      </x:c>
      <x:c r="G28" s="22" t="n">
        <x:v>2</x:v>
      </x:c>
      <x:c r="H28" s="23" t="n">
        <x:v>1</x:v>
      </x:c>
      <x:c r="I28" s="23" t="str">
        <x:f>IF(H28&lt;&gt;1,"GAP",IF(E28="&lt;=",IF(G28&lt;=F28,"PASS","GAP"),IF(G28&gt;=F28,"PASS","GAP")))</x:f>
        <x:v>PASS</x:v>
      </x:c>
      <x:c r="J28" s="23" t="n">
        <x:v>1</x:v>
      </x:c>
      <x:c r="K28" s="23" t="n">
        <x:v>0</x:v>
      </x:c>
      <x:c r="L28" t="str">
        <x:f>IF(K28&gt;=J28,"PASS","OPEN")</x:f>
        <x:v>OPEN</x:v>
      </x:c>
      <x:c r="M28" t="str">
        <x:v>criterion-specific physical authority</x:v>
      </x:c>
    </x:row>
    <x:row r="29">
      <x:c r="B29" t="str">
        <x:v>DR-RC-2-11</x:v>
      </x:c>
      <x:c r="C29" t="str">
        <x:v>RC-2</x:v>
      </x:c>
      <x:c r="D29" t="str">
        <x:v>site replication</x:v>
      </x:c>
      <x:c r="E29" t="str">
        <x:v>&gt;=</x:v>
      </x:c>
      <x:c r="F29" s="23" t="n">
        <x:v>2</x:v>
      </x:c>
      <x:c r="G29" s="22" t="n">
        <x:v>2</x:v>
      </x:c>
      <x:c r="H29" s="23" t="n">
        <x:v>1</x:v>
      </x:c>
      <x:c r="I29" s="23" t="str">
        <x:f>IF(H29&lt;&gt;1,"GAP",IF(E29="&lt;=",IF(G29&lt;=F29,"PASS","GAP"),IF(G29&gt;=F29,"PASS","GAP")))</x:f>
        <x:v>PASS</x:v>
      </x:c>
      <x:c r="J29" s="23" t="n">
        <x:v>1</x:v>
      </x:c>
      <x:c r="K29" s="23" t="n">
        <x:v>0</x:v>
      </x:c>
      <x:c r="L29" t="str">
        <x:f>IF(K29&gt;=J29,"PASS","OPEN")</x:f>
        <x:v>OPEN</x:v>
      </x:c>
      <x:c r="M29" t="str">
        <x:v>criterion-specific physical authority</x:v>
      </x:c>
    </x:row>
    <x:row r="30">
      <x:c r="B30" t="str">
        <x:v>DR-RC-2-12</x:v>
      </x:c>
      <x:c r="C30" t="str">
        <x:v>RC-2</x:v>
      </x:c>
      <x:c r="D30" t="str">
        <x:v>accepted protocol dispositions</x:v>
      </x:c>
      <x:c r="E30" t="str">
        <x:v>&gt;=</x:v>
      </x:c>
      <x:c r="F30" s="23" t="n">
        <x:v>8</x:v>
      </x:c>
      <x:c r="G30" s="22" t="n">
        <x:f>COUNTIFS('Protocol Register'!$C$7:$C$30,C30)</x:f>
        <x:v>8</x:v>
      </x:c>
      <x:c r="H30" s="23" t="n">
        <x:v>1</x:v>
      </x:c>
      <x:c r="I30" s="23" t="str">
        <x:f>IF(H30&lt;&gt;1,"GAP",IF(E30="&lt;=",IF(G30&lt;=F30,"PASS","GAP"),IF(G30&gt;=F30,"PASS","GAP")))</x:f>
        <x:v>PASS</x:v>
      </x:c>
      <x:c r="J30" s="23" t="n">
        <x:v>8</x:v>
      </x:c>
      <x:c r="K30" s="23" t="n">
        <x:v>0</x:v>
      </x:c>
      <x:c r="L30" t="str">
        <x:f>IF(K30&gt;=J30,"PASS","OPEN")</x:f>
        <x:v>OPEN</x:v>
      </x:c>
      <x:c r="M30" t="str">
        <x:v>physical acceptance board</x:v>
      </x:c>
    </x:row>
    <x:row r="31">
      <x:c r="B31" t="str">
        <x:v>DR-RC-3-01</x:v>
      </x:c>
      <x:c r="C31" t="str">
        <x:v>RC-3</x:v>
      </x:c>
      <x:c r="D31" t="str">
        <x:v>cold challenged transfer</x:v>
      </x:c>
      <x:c r="E31" t="str">
        <x:v>&lt;=</x:v>
      </x:c>
      <x:c r="F31" s="23" t="n">
        <x:v>120</x:v>
      </x:c>
      <x:c r="G31" s="22" t="n">
        <x:f>'Architecture Build'!L9</x:f>
        <x:v>82.33004809426487</x:v>
      </x:c>
      <x:c r="H31" s="23" t="n">
        <x:v>1</x:v>
      </x:c>
      <x:c r="I31" s="23" t="str">
        <x:f>IF(H31&lt;&gt;1,"GAP",IF(E31="&lt;=",IF(G31&lt;=F31,"PASS","GAP"),IF(G31&gt;=F31,"PASS","GAP")))</x:f>
        <x:v>PASS</x:v>
      </x:c>
      <x:c r="J31" s="23" t="n">
        <x:v>1</x:v>
      </x:c>
      <x:c r="K31" s="23" t="n">
        <x:v>0</x:v>
      </x:c>
      <x:c r="L31" t="str">
        <x:f>IF(K31&gt;=J31,"PASS","OPEN")</x:f>
        <x:v>OPEN</x:v>
      </x:c>
      <x:c r="M31" t="str">
        <x:v>criterion-specific physical authority</x:v>
      </x:c>
    </x:row>
    <x:row r="32">
      <x:c r="B32" t="str">
        <x:v>DR-RC-3-02</x:v>
      </x:c>
      <x:c r="C32" t="str">
        <x:v>RC-3</x:v>
      </x:c>
      <x:c r="D32" t="str">
        <x:v>holder margin</x:v>
      </x:c>
      <x:c r="E32" t="str">
        <x:v>&gt;=</x:v>
      </x:c>
      <x:c r="F32" s="23" t="n">
        <x:v>0</x:v>
      </x:c>
      <x:c r="G32" s="22" t="n">
        <x:f>'Architecture Build'!Q9</x:f>
        <x:v>166.5</x:v>
      </x:c>
      <x:c r="H32" s="23" t="n">
        <x:v>1</x:v>
      </x:c>
      <x:c r="I32" s="23" t="str">
        <x:f>IF(H32&lt;&gt;1,"GAP",IF(E32="&lt;=",IF(G32&lt;=F32,"PASS","GAP"),IF(G32&gt;=F32,"PASS","GAP")))</x:f>
        <x:v>PASS</x:v>
      </x:c>
      <x:c r="J32" s="23" t="n">
        <x:v>1</x:v>
      </x:c>
      <x:c r="K32" s="23" t="n">
        <x:v>0</x:v>
      </x:c>
      <x:c r="L32" t="str">
        <x:f>IF(K32&gt;=J32,"PASS","OPEN")</x:f>
        <x:v>OPEN</x:v>
      </x:c>
      <x:c r="M32" t="str">
        <x:v>criterion-specific physical authority</x:v>
      </x:c>
    </x:row>
    <x:row r="33">
      <x:c r="B33" t="str">
        <x:v>DR-RC-3-03</x:v>
      </x:c>
      <x:c r="C33" t="str">
        <x:v>RC-3</x:v>
      </x:c>
      <x:c r="D33" t="str">
        <x:v>receiver allocation ratio</x:v>
      </x:c>
      <x:c r="E33" t="str">
        <x:v>&gt;=</x:v>
      </x:c>
      <x:c r="F33" s="23" t="n">
        <x:v>1</x:v>
      </x:c>
      <x:c r="G33" s="22" t="n">
        <x:f>'Architecture Build'!N9/(Controls!$D$7*'Architecture Build'!M9)</x:f>
        <x:v>7.634285714285714</x:v>
      </x:c>
      <x:c r="H33" s="23" t="n">
        <x:v>1</x:v>
      </x:c>
      <x:c r="I33" s="23" t="str">
        <x:f>IF(H33&lt;&gt;1,"GAP",IF(E33="&lt;=",IF(G33&lt;=F33,"PASS","GAP"),IF(G33&gt;=F33,"PASS","GAP")))</x:f>
        <x:v>PASS</x:v>
      </x:c>
      <x:c r="J33" s="23" t="n">
        <x:v>1</x:v>
      </x:c>
      <x:c r="K33" s="23" t="n">
        <x:v>0</x:v>
      </x:c>
      <x:c r="L33" t="str">
        <x:f>IF(K33&gt;=J33,"PASS","OPEN")</x:f>
        <x:v>OPEN</x:v>
      </x:c>
      <x:c r="M33" t="str">
        <x:v>criterion-specific physical authority</x:v>
      </x:c>
    </x:row>
    <x:row r="34">
      <x:c r="B34" t="str">
        <x:v>DR-RC-3-04</x:v>
      </x:c>
      <x:c r="C34" t="str">
        <x:v>RC-3</x:v>
      </x:c>
      <x:c r="D34" t="str">
        <x:v>no cross-source path</x:v>
      </x:c>
      <x:c r="E34" t="str">
        <x:v>&gt;=</x:v>
      </x:c>
      <x:c r="F34" s="23" t="n">
        <x:v>1</x:v>
      </x:c>
      <x:c r="G34" s="22" t="n">
        <x:v>1</x:v>
      </x:c>
      <x:c r="H34" s="23" t="n">
        <x:v>1</x:v>
      </x:c>
      <x:c r="I34" s="23" t="str">
        <x:f>IF(H34&lt;&gt;1,"GAP",IF(E34="&lt;=",IF(G34&lt;=F34,"PASS","GAP"),IF(G34&gt;=F34,"PASS","GAP")))</x:f>
        <x:v>PASS</x:v>
      </x:c>
      <x:c r="J34" s="23" t="n">
        <x:v>1</x:v>
      </x:c>
      <x:c r="K34" s="23" t="n">
        <x:v>0</x:v>
      </x:c>
      <x:c r="L34" t="str">
        <x:f>IF(K34&gt;=J34,"PASS","OPEN")</x:f>
        <x:v>OPEN</x:v>
      </x:c>
      <x:c r="M34" t="str">
        <x:v>criterion-specific physical authority</x:v>
      </x:c>
    </x:row>
    <x:row r="35">
      <x:c r="B35" t="str">
        <x:v>DR-RC-3-05</x:v>
      </x:c>
      <x:c r="C35" t="str">
        <x:v>RC-3</x:v>
      </x:c>
      <x:c r="D35" t="str">
        <x:v>passive first stage</x:v>
      </x:c>
      <x:c r="E35" t="str">
        <x:v>&gt;=</x:v>
      </x:c>
      <x:c r="F35" s="23" t="n">
        <x:v>1</x:v>
      </x:c>
      <x:c r="G35" s="22" t="n">
        <x:v>1</x:v>
      </x:c>
      <x:c r="H35" s="23" t="n">
        <x:v>1</x:v>
      </x:c>
      <x:c r="I35" s="23" t="str">
        <x:f>IF(H35&lt;&gt;1,"GAP",IF(E35="&lt;=",IF(G35&lt;=F35,"PASS","GAP"),IF(G35&gt;=F35,"PASS","GAP")))</x:f>
        <x:v>PASS</x:v>
      </x:c>
      <x:c r="J35" s="23" t="n">
        <x:v>1</x:v>
      </x:c>
      <x:c r="K35" s="23" t="n">
        <x:v>0</x:v>
      </x:c>
      <x:c r="L35" t="str">
        <x:f>IF(K35&gt;=J35,"PASS","OPEN")</x:f>
        <x:v>OPEN</x:v>
      </x:c>
      <x:c r="M35" t="str">
        <x:v>criterion-specific physical authority</x:v>
      </x:c>
    </x:row>
    <x:row r="36">
      <x:c r="B36" t="str">
        <x:v>DR-RC-3-06</x:v>
      </x:c>
      <x:c r="C36" t="str">
        <x:v>RC-3</x:v>
      </x:c>
      <x:c r="D36" t="str">
        <x:v>accounted fraction</x:v>
      </x:c>
      <x:c r="E36" t="str">
        <x:v>&gt;=</x:v>
      </x:c>
      <x:c r="F36" s="23" t="n">
        <x:v>0.9975</x:v>
      </x:c>
      <x:c r="G36" s="22" t="n">
        <x:f>'Architecture Build'!Z9</x:f>
        <x:v>0.9975</x:v>
      </x:c>
      <x:c r="H36" s="23" t="n">
        <x:v>1</x:v>
      </x:c>
      <x:c r="I36" s="23" t="str">
        <x:f>IF(H36&lt;&gt;1,"GAP",IF(E36="&lt;=",IF(G36&lt;=F36,"PASS","GAP"),IF(G36&gt;=F36,"PASS","GAP")))</x:f>
        <x:v>PASS</x:v>
      </x:c>
      <x:c r="J36" s="23" t="n">
        <x:v>1</x:v>
      </x:c>
      <x:c r="K36" s="23" t="n">
        <x:v>0</x:v>
      </x:c>
      <x:c r="L36" t="str">
        <x:f>IF(K36&gt;=J36,"PASS","OPEN")</x:f>
        <x:v>OPEN</x:v>
      </x:c>
      <x:c r="M36" t="str">
        <x:v>criterion-specific physical authority</x:v>
      </x:c>
    </x:row>
    <x:row r="37">
      <x:c r="B37" t="str">
        <x:v>DR-RC-3-07</x:v>
      </x:c>
      <x:c r="C37" t="str">
        <x:v>RC-3</x:v>
      </x:c>
      <x:c r="D37" t="str">
        <x:v>retained fraction</x:v>
      </x:c>
      <x:c r="E37" t="str">
        <x:v>&gt;=</x:v>
      </x:c>
      <x:c r="F37" s="23" t="n">
        <x:v>0.99</x:v>
      </x:c>
      <x:c r="G37" s="22" t="n">
        <x:f>'Architecture Build'!Y9</x:f>
        <x:v>0.99</x:v>
      </x:c>
      <x:c r="H37" s="23" t="n">
        <x:v>1</x:v>
      </x:c>
      <x:c r="I37" s="23" t="str">
        <x:f>IF(H37&lt;&gt;1,"GAP",IF(E37="&lt;=",IF(G37&lt;=F37,"PASS","GAP"),IF(G37&gt;=F37,"PASS","GAP")))</x:f>
        <x:v>PASS</x:v>
      </x:c>
      <x:c r="J37" s="23" t="n">
        <x:v>1</x:v>
      </x:c>
      <x:c r="K37" s="23" t="n">
        <x:v>0</x:v>
      </x:c>
      <x:c r="L37" t="str">
        <x:f>IF(K37&gt;=J37,"PASS","OPEN")</x:f>
        <x:v>OPEN</x:v>
      </x:c>
      <x:c r="M37" t="str">
        <x:v>criterion-specific physical authority</x:v>
      </x:c>
    </x:row>
    <x:row r="38">
      <x:c r="B38" t="str">
        <x:v>DR-RC-3-08</x:v>
      </x:c>
      <x:c r="C38" t="str">
        <x:v>RC-3</x:v>
      </x:c>
      <x:c r="D38" t="str">
        <x:v>maximum backpressure</x:v>
      </x:c>
      <x:c r="E38" t="str">
        <x:v>&lt;=</x:v>
      </x:c>
      <x:c r="F38" s="23" t="n">
        <x:v>0.3</x:v>
      </x:c>
      <x:c r="G38" s="22" t="n">
        <x:f>'Architecture Build'!W9</x:f>
        <x:v>0.25</x:v>
      </x:c>
      <x:c r="H38" s="23" t="n">
        <x:v>1</x:v>
      </x:c>
      <x:c r="I38" s="23" t="str">
        <x:f>IF(H38&lt;&gt;1,"GAP",IF(E38="&lt;=",IF(G38&lt;=F38,"PASS","GAP"),IF(G38&gt;=F38,"PASS","GAP")))</x:f>
        <x:v>PASS</x:v>
      </x:c>
      <x:c r="J38" s="23" t="n">
        <x:v>1</x:v>
      </x:c>
      <x:c r="K38" s="23" t="n">
        <x:v>0</x:v>
      </x:c>
      <x:c r="L38" t="str">
        <x:f>IF(K38&gt;=J38,"PASS","OPEN")</x:f>
        <x:v>OPEN</x:v>
      </x:c>
      <x:c r="M38" t="str">
        <x:v>criterion-specific physical authority</x:v>
      </x:c>
    </x:row>
    <x:row r="39">
      <x:c r="B39" t="str">
        <x:v>DR-RC-3-09</x:v>
      </x:c>
      <x:c r="C39" t="str">
        <x:v>RC-3</x:v>
      </x:c>
      <x:c r="D39" t="str">
        <x:v>reset time</x:v>
      </x:c>
      <x:c r="E39" t="str">
        <x:v>&lt;=</x:v>
      </x:c>
      <x:c r="F39" s="23" t="n">
        <x:v>96</x:v>
      </x:c>
      <x:c r="G39" s="22" t="n">
        <x:f>'Architecture Build'!X9</x:f>
        <x:v>84</x:v>
      </x:c>
      <x:c r="H39" s="23" t="n">
        <x:v>1</x:v>
      </x:c>
      <x:c r="I39" s="23" t="str">
        <x:f>IF(H39&lt;&gt;1,"GAP",IF(E39="&lt;=",IF(G39&lt;=F39,"PASS","GAP"),IF(G39&gt;=F39,"PASS","GAP")))</x:f>
        <x:v>PASS</x:v>
      </x:c>
      <x:c r="J39" s="23" t="n">
        <x:v>1</x:v>
      </x:c>
      <x:c r="K39" s="23" t="n">
        <x:v>0</x:v>
      </x:c>
      <x:c r="L39" t="str">
        <x:f>IF(K39&gt;=J39,"PASS","OPEN")</x:f>
        <x:v>OPEN</x:v>
      </x:c>
      <x:c r="M39" t="str">
        <x:v>criterion-specific physical authority</x:v>
      </x:c>
    </x:row>
    <x:row r="40">
      <x:c r="B40" t="str">
        <x:v>DR-RC-3-10</x:v>
      </x:c>
      <x:c r="C40" t="str">
        <x:v>RC-3</x:v>
      </x:c>
      <x:c r="D40" t="str">
        <x:v>unlike builder replication</x:v>
      </x:c>
      <x:c r="E40" t="str">
        <x:v>&gt;=</x:v>
      </x:c>
      <x:c r="F40" s="23" t="n">
        <x:v>2</x:v>
      </x:c>
      <x:c r="G40" s="22" t="n">
        <x:v>2</x:v>
      </x:c>
      <x:c r="H40" s="23" t="n">
        <x:v>1</x:v>
      </x:c>
      <x:c r="I40" s="23" t="str">
        <x:f>IF(H40&lt;&gt;1,"GAP",IF(E40="&lt;=",IF(G40&lt;=F40,"PASS","GAP"),IF(G40&gt;=F40,"PASS","GAP")))</x:f>
        <x:v>PASS</x:v>
      </x:c>
      <x:c r="J40" s="23" t="n">
        <x:v>1</x:v>
      </x:c>
      <x:c r="K40" s="23" t="n">
        <x:v>0</x:v>
      </x:c>
      <x:c r="L40" t="str">
        <x:f>IF(K40&gt;=J40,"PASS","OPEN")</x:f>
        <x:v>OPEN</x:v>
      </x:c>
      <x:c r="M40" t="str">
        <x:v>criterion-specific physical authority</x:v>
      </x:c>
    </x:row>
    <x:row r="41">
      <x:c r="B41" t="str">
        <x:v>DR-RC-3-11</x:v>
      </x:c>
      <x:c r="C41" t="str">
        <x:v>RC-3</x:v>
      </x:c>
      <x:c r="D41" t="str">
        <x:v>site replication</x:v>
      </x:c>
      <x:c r="E41" t="str">
        <x:v>&gt;=</x:v>
      </x:c>
      <x:c r="F41" s="23" t="n">
        <x:v>2</x:v>
      </x:c>
      <x:c r="G41" s="22" t="n">
        <x:v>2</x:v>
      </x:c>
      <x:c r="H41" s="23" t="n">
        <x:v>1</x:v>
      </x:c>
      <x:c r="I41" s="23" t="str">
        <x:f>IF(H41&lt;&gt;1,"GAP",IF(E41="&lt;=",IF(G41&lt;=F41,"PASS","GAP"),IF(G41&gt;=F41,"PASS","GAP")))</x:f>
        <x:v>PASS</x:v>
      </x:c>
      <x:c r="J41" s="23" t="n">
        <x:v>1</x:v>
      </x:c>
      <x:c r="K41" s="23" t="n">
        <x:v>0</x:v>
      </x:c>
      <x:c r="L41" t="str">
        <x:f>IF(K41&gt;=J41,"PASS","OPEN")</x:f>
        <x:v>OPEN</x:v>
      </x:c>
      <x:c r="M41" t="str">
        <x:v>criterion-specific physical authority</x:v>
      </x:c>
    </x:row>
    <x:row r="42">
      <x:c r="B42" t="str">
        <x:v>DR-RC-3-12</x:v>
      </x:c>
      <x:c r="C42" t="str">
        <x:v>RC-3</x:v>
      </x:c>
      <x:c r="D42" t="str">
        <x:v>accepted protocol dispositions</x:v>
      </x:c>
      <x:c r="E42" t="str">
        <x:v>&gt;=</x:v>
      </x:c>
      <x:c r="F42" s="23" t="n">
        <x:v>8</x:v>
      </x:c>
      <x:c r="G42" s="22" t="n">
        <x:f>COUNTIFS('Protocol Register'!$C$7:$C$30,C42)</x:f>
        <x:v>8</x:v>
      </x:c>
      <x:c r="H42" s="23" t="n">
        <x:v>1</x:v>
      </x:c>
      <x:c r="I42" s="23" t="str">
        <x:f>IF(H42&lt;&gt;1,"GAP",IF(E42="&lt;=",IF(G42&lt;=F42,"PASS","GAP"),IF(G42&gt;=F42,"PASS","GAP")))</x:f>
        <x:v>PASS</x:v>
      </x:c>
      <x:c r="J42" s="23" t="n">
        <x:v>8</x:v>
      </x:c>
      <x:c r="K42" s="23" t="n">
        <x:v>0</x:v>
      </x:c>
      <x:c r="L42" t="str">
        <x:f>IF(K42&gt;=J42,"PASS","OPEN")</x:f>
        <x:v>OPEN</x:v>
      </x:c>
      <x:c r="M42" t="str">
        <x:v>physical acceptance board</x:v>
      </x:c>
    </x:row>
  </x:sheetData>
  <x:conditionalFormatting sqref="I7:I42">
    <x:cfRule type="containsText" dxfId="32" priority="1" operator="containsText" text="FAIL"/>
    <x:cfRule type="containsText" dxfId="33" priority="2" operator="containsText" text="BLOCKED"/>
    <x:cfRule type="containsText" dxfId="34" priority="3" operator="containsText" text="OPEN"/>
    <x:cfRule type="containsText" dxfId="35" priority="4" operator="containsText" text="GAP"/>
  </x:conditionalFormatting>
  <x:conditionalFormatting sqref="L7:L42">
    <x:cfRule type="containsText" dxfId="36" priority="5" operator="containsText" text="FAIL"/>
    <x:cfRule type="containsText" dxfId="37" priority="6" operator="containsText" text="BLOCKED"/>
    <x:cfRule type="containsText" dxfId="38" priority="7" operator="containsText" text="OPEN"/>
    <x:cfRule type="containsText" dxfId="39" priority="8" operator="containsText" text="GAP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3" hidden="0" customWidth="1"/>
    <x:col min="3" max="3" width="15" hidden="0" customWidth="1"/>
    <x:col min="4" max="4" width="15" hidden="0" customWidth="1"/>
    <x:col min="5" max="5" width="14" hidden="0" customWidth="1"/>
    <x:col min="6" max="6" width="61" hidden="0" customWidth="1"/>
    <x:col min="7" max="7" width="19" hidden="0" customWidth="1"/>
    <x:col min="8" max="8" width="24" hidden="0" customWidth="1"/>
    <x:col min="9" max="9" width="21" hidden="0" customWidth="1"/>
    <x:col min="10" max="10" width="16" hidden="0" customWidth="1"/>
  </x:cols>
  <x:sheetData>
    <x:row r="2">
      <x:c r="B2" s="1" t="str">
        <x:v>Forty-two-month RHT-1 sequence</x:v>
      </x:c>
    </x:row>
    <x:row r="3">
      <x:c r="B3" s="2" t="str">
        <x:v>Overlaps require their named physical and authority predecessors; elapsed time alone cannot release a phase.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 ht="24" customHeight="1">
      <x:c r="B6" s="8" t="str">
        <x:v>Phase</x:v>
      </x:c>
      <x:c r="C6" s="9" t="str">
        <x:v>Start month</x:v>
      </x:c>
      <x:c r="D6" s="9" t="str">
        <x:v>End month</x:v>
      </x:c>
      <x:c r="E6" s="9" t="str">
        <x:v>Duration</x:v>
      </x:c>
      <x:c r="F6" s="9" t="str">
        <x:v>Exit object</x:v>
      </x:c>
      <x:c r="G6" s="9" t="str">
        <x:v>Source-state limit</x:v>
      </x:c>
      <x:c r="H6" s="9" t="str">
        <x:v>Predecessor complete</x:v>
      </x:c>
      <x:c r="I6" s="9" t="str">
        <x:v>Authority complete</x:v>
      </x:c>
      <x:c r="J6" s="10" t="str">
        <x:v>Planning state</x:v>
      </x:c>
    </x:row>
    <x:row r="7">
      <x:c r="B7" t="str">
        <x:v>source envelope and authority freeze</x:v>
      </x:c>
      <x:c r="C7" s="28" t="n">
        <x:v>0</x:v>
      </x:c>
      <x:c r="D7" s="28" t="n">
        <x:v>4</x:v>
      </x:c>
      <x:c r="E7" s="28" t="n">
        <x:f>D7-C7</x:f>
        <x:v>4</x:v>
      </x:c>
      <x:c r="F7" t="str">
        <x:v>accepted planning source and independent authorities</x:v>
      </x:c>
      <x:c r="G7" t="str">
        <x:v>C0</x:v>
      </x:c>
      <x:c r="H7" t="n">
        <x:v>1</x:v>
      </x:c>
      <x:c r="I7" t="n">
        <x:v>1</x:v>
      </x:c>
      <x:c r="J7" t="str">
        <x:f>IF(AND(H7=1,I7=1),"PASS","GAP")</x:f>
        <x:v>PASS</x:v>
      </x:c>
    </x:row>
    <x:row r="8">
      <x:c r="B8" t="str">
        <x:v>thermodynamic model and rig release</x:v>
      </x:c>
      <x:c r="C8" s="28" t="n">
        <x:v>2</x:v>
      </x:c>
      <x:c r="D8" s="28" t="n">
        <x:v>8</x:v>
      </x:c>
      <x:c r="E8" s="28" t="n">
        <x:f>D8-C8</x:f>
        <x:v>6</x:v>
      </x:c>
      <x:c r="F8" t="str">
        <x:v>controlled equations, uncertainty and rig drawings</x:v>
      </x:c>
      <x:c r="G8" t="str">
        <x:v>C0</x:v>
      </x:c>
      <x:c r="H8" t="n">
        <x:v>1</x:v>
      </x:c>
      <x:c r="I8" t="n">
        <x:v>1</x:v>
      </x:c>
      <x:c r="J8" t="str">
        <x:f>IF(AND(H8=1,I8=1),"PASS","GAP")</x:f>
        <x:v>PASS</x:v>
      </x:c>
    </x:row>
    <x:row r="9">
      <x:c r="B9" t="str">
        <x:v>scaled phase and route articles</x:v>
      </x:c>
      <x:c r="C9" s="28" t="n">
        <x:v>4</x:v>
      </x:c>
      <x:c r="D9" s="28" t="n">
        <x:v>14</x:v>
      </x:c>
      <x:c r="E9" s="28" t="n">
        <x:f>D9-C9</x:f>
        <x:v>10</x:v>
      </x:c>
      <x:c r="F9" t="str">
        <x:v>twelve scaled articles and known-truth restrictions</x:v>
      </x:c>
      <x:c r="G9" t="str">
        <x:v>C0/C0S</x:v>
      </x:c>
      <x:c r="H9" t="n">
        <x:v>1</x:v>
      </x:c>
      <x:c r="I9" t="n">
        <x:v>1</x:v>
      </x:c>
      <x:c r="J9" t="str">
        <x:f>IF(AND(H9=1,I9=1),"PASS","GAP")</x:f>
        <x:v>PASS</x:v>
      </x:c>
    </x:row>
    <x:row r="10">
      <x:c r="B10" t="str">
        <x:v>full-scale architecture-builder trains</x:v>
      </x:c>
      <x:c r="C10" s="28" t="n">
        <x:v>8</x:v>
      </x:c>
      <x:c r="D10" s="28" t="n">
        <x:v>20</x:v>
      </x:c>
      <x:c r="E10" s="28" t="n">
        <x:f>D10-C10</x:f>
        <x:v>12</x:v>
      </x:c>
      <x:c r="F10" t="str">
        <x:v>twelve site trains and six regeneration spares</x:v>
      </x:c>
      <x:c r="G10" t="str">
        <x:v>C0</x:v>
      </x:c>
      <x:c r="H10" t="n">
        <x:v>1</x:v>
      </x:c>
      <x:c r="I10" t="n">
        <x:v>1</x:v>
      </x:c>
      <x:c r="J10" t="str">
        <x:f>IF(AND(H10=1,I10=1),"PASS","GAP")</x:f>
        <x:v>PASS</x:v>
      </x:c>
    </x:row>
    <x:row r="11">
      <x:c r="B11" t="str">
        <x:v>three public challenge annexes</x:v>
      </x:c>
      <x:c r="C11" s="28" t="n">
        <x:v>10</x:v>
      </x:c>
      <x:c r="D11" s="28" t="n">
        <x:v>22</x:v>
      </x:c>
      <x:c r="E11" s="28" t="n">
        <x:f>D11-C11</x:f>
        <x:v>12</x:v>
      </x:c>
      <x:c r="F11" t="str">
        <x:v>site utilities, holders, receivers, rescue and evidence</x:v>
      </x:c>
      <x:c r="G11" t="str">
        <x:v>C0</x:v>
      </x:c>
      <x:c r="H11" t="n">
        <x:v>1</x:v>
      </x:c>
      <x:c r="I11" t="n">
        <x:v>1</x:v>
      </x:c>
      <x:c r="J11" t="str">
        <x:f>IF(AND(H11=1,I11=1),"PASS","GAP")</x:f>
        <x:v>PASS</x:v>
      </x:c>
    </x:row>
    <x:row r="12">
      <x:c r="B12" t="str">
        <x:v>cold and inert commissioning</x:v>
      </x:c>
      <x:c r="C12" s="28" t="n">
        <x:v>16</x:v>
      </x:c>
      <x:c r="D12" s="28" t="n">
        <x:v>24</x:v>
      </x:c>
      <x:c r="E12" s="28" t="n">
        <x:f>D12-C12</x:f>
        <x:v>8</x:v>
      </x:c>
      <x:c r="F12" t="str">
        <x:v>seventy-two development dispositions</x:v>
      </x:c>
      <x:c r="G12" t="str">
        <x:v>C0/C0S</x:v>
      </x:c>
      <x:c r="H12" t="n">
        <x:v>1</x:v>
      </x:c>
      <x:c r="I12" t="n">
        <x:v>1</x:v>
      </x:c>
      <x:c r="J12" t="str">
        <x:f>IF(AND(H12=1,I12=1),"PASS","GAP")</x:f>
        <x:v>PASS</x:v>
      </x:c>
    </x:row>
    <x:row r="13">
      <x:c r="B13" t="str">
        <x:v>quarter-source paired challenges</x:v>
      </x:c>
      <x:c r="C13" s="28" t="n">
        <x:v>20</x:v>
      </x:c>
      <x:c r="D13" s="28" t="n">
        <x:v>30</x:v>
      </x:c>
      <x:c r="E13" s="28" t="n">
        <x:f>D13-C13</x:f>
        <x:v>10</x:v>
      </x:c>
      <x:c r="F13" t="str">
        <x:v>ninety-six 500 kg challenge/control events</x:v>
      </x:c>
      <x:c r="G13" t="str">
        <x:v>C1Q</x:v>
      </x:c>
      <x:c r="H13" t="n">
        <x:v>1</x:v>
      </x:c>
      <x:c r="I13" t="n">
        <x:v>1</x:v>
      </x:c>
      <x:c r="J13" t="str">
        <x:f>IF(AND(H13=1,I13=1),"PASS","GAP")</x:f>
        <x:v>PASS</x:v>
      </x:c>
    </x:row>
    <x:row r="14">
      <x:c r="B14" t="str">
        <x:v>full-source paired challenges</x:v>
      </x:c>
      <x:c r="C14" s="28" t="n">
        <x:v>26</x:v>
      </x:c>
      <x:c r="D14" s="28" t="n">
        <x:v>36</x:v>
      </x:c>
      <x:c r="E14" s="28" t="n">
        <x:f>D14-C14</x:f>
        <x:v>10</x:v>
      </x:c>
      <x:c r="F14" t="str">
        <x:v>ninety-six two-tonne challenge/control events</x:v>
      </x:c>
      <x:c r="G14" t="str">
        <x:v>C1</x:v>
      </x:c>
      <x:c r="H14" t="n">
        <x:v>1</x:v>
      </x:c>
      <x:c r="I14" t="n">
        <x:v>1</x:v>
      </x:c>
      <x:c r="J14" t="str">
        <x:f>IF(AND(H14=1,I14=1),"PASS","GAP")</x:f>
        <x:v>PASS</x:v>
      </x:c>
    </x:row>
    <x:row r="15">
      <x:c r="B15" t="str">
        <x:v>destructive, reset and site-loss closure</x:v>
      </x:c>
      <x:c r="C15" s="28" t="n">
        <x:v>30</x:v>
      </x:c>
      <x:c r="D15" s="28" t="n">
        <x:v>40</x:v>
      </x:c>
      <x:c r="E15" s="28" t="n">
        <x:f>D15-C15</x:f>
        <x:v>10</x:v>
      </x:c>
      <x:c r="F15" t="str">
        <x:v>forty-two destructive/reset dispositions</x:v>
      </x:c>
      <x:c r="G15" t="str">
        <x:v>C0/C1</x:v>
      </x:c>
      <x:c r="H15" t="n">
        <x:v>1</x:v>
      </x:c>
      <x:c r="I15" t="n">
        <x:v>1</x:v>
      </x:c>
      <x:c r="J15" t="str">
        <x:f>IF(AND(H15=1,I15=1),"PASS","GAP")</x:f>
        <x:v>PASS</x:v>
      </x:c>
    </x:row>
    <x:row r="16">
      <x:c r="B16" t="str">
        <x:v>independent architecture board</x:v>
      </x:c>
      <x:c r="C16" s="28" t="n">
        <x:v>38</x:v>
      </x:c>
      <x:c r="D16" s="28" t="n">
        <x:v>42</x:v>
      </x:c>
      <x:c r="E16" s="28" t="n">
        <x:f>D16-C16</x:f>
        <x:v>4</x:v>
      </x:c>
      <x:c r="F16" t="str">
        <x:v>select, reject or continue without averaging failures</x:v>
      </x:c>
      <x:c r="G16" t="str">
        <x:v>decision</x:v>
      </x:c>
      <x:c r="H16" t="n">
        <x:v>1</x:v>
      </x:c>
      <x:c r="I16" t="n">
        <x:v>1</x:v>
      </x:c>
      <x:c r="J16" t="str">
        <x:f>IF(AND(H16=1,I16=1),"PASS","GAP")</x:f>
        <x:v>PASS</x:v>
      </x:c>
    </x:row>
  </x:sheetData>
  <x:conditionalFormatting sqref="J7:J16">
    <x:cfRule type="containsText" dxfId="40" priority="1" operator="containsText" text="FAIL"/>
    <x:cfRule type="containsText" dxfId="41" priority="2" operator="containsText" text="BLOCKED"/>
    <x:cfRule type="containsText" dxfId="42" priority="3" operator="containsText" text="OPEN"/>
    <x:cfRule type="containsText" dxfId="43" priority="4" operator="containsText" text="GAP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3" hidden="0" customWidth="1"/>
    <x:col min="3" max="3" width="15" hidden="0" customWidth="1"/>
    <x:col min="4" max="4" width="72" hidden="0" customWidth="1"/>
    <x:col min="5" max="5" width="16" hidden="0" customWidth="1"/>
  </x:cols>
  <x:sheetData>
    <x:row r="2">
      <x:c r="B2" s="1" t="str">
        <x:v>RHT-1 mission workforce</x:v>
      </x:c>
    </x:row>
    <x:row r="3">
      <x:c r="B3" s="2" t="str">
        <x:v>The 426-position program remains inside the inherited 448-position SA6 establishment.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 ht="24" customHeight="1">
      <x:c r="B6" s="8" t="str">
        <x:v>Function</x:v>
      </x:c>
      <x:c r="C6" s="9" t="str">
        <x:v>Positions</x:v>
      </x:c>
      <x:c r="D6" s="9" t="str">
        <x:v>Role boundary</x:v>
      </x:c>
      <x:c r="E6" s="10" t="str">
        <x:v>Planning state</x:v>
      </x:c>
    </x:row>
    <x:row r="7">
      <x:c r="B7" t="str">
        <x:v>public physics and method authority</x:v>
      </x:c>
      <x:c r="C7" t="n">
        <x:v>50</x:v>
      </x:c>
      <x:c r="D7" t="str">
        <x:v>thermodynamics, multiphase flow, uncertainty and protocol</x:v>
      </x:c>
      <x:c r="E7" t="str">
        <x:f>IF(C7&gt;0,"PASS","GAP")</x:f>
        <x:v>PASS</x:v>
      </x:c>
    </x:row>
    <x:row r="8">
      <x:c r="B8" t="str">
        <x:v>site operations</x:v>
      </x:c>
      <x:c r="C8" t="n">
        <x:v>72</x:v>
      </x:c>
      <x:c r="D8" t="str">
        <x:v>three annexes, shifts, maintenance and source control</x:v>
      </x:c>
      <x:c r="E8" t="str">
        <x:f>IF(C8&gt;0,"PASS","GAP")</x:f>
        <x:v>PASS</x:v>
      </x:c>
    </x:row>
    <x:row r="9">
      <x:c r="B9" t="str">
        <x:v>instrumentation, calibration and evidence</x:v>
      </x:c>
      <x:c r="C9" t="n">
        <x:v>46</x:v>
      </x:c>
      <x:c r="D9" t="str">
        <x:v>504 channels, time, replay and custody</x:v>
      </x:c>
      <x:c r="E9" t="str">
        <x:f>IF(C9&gt;0,"PASS","GAP")</x:f>
        <x:v>PASS</x:v>
      </x:c>
    </x:row>
    <x:row r="10">
      <x:c r="B10" t="str">
        <x:v>safety, rescue and medicine</x:v>
      </x:c>
      <x:c r="C10" t="n">
        <x:v>38</x:v>
      </x:c>
      <x:c r="D10" t="str">
        <x:v>independent stop, remote rescue, decontamination and care</x:v>
      </x:c>
      <x:c r="E10" t="str">
        <x:f>IF(C10&gt;0,"PASS","GAP")</x:f>
        <x:v>PASS</x:v>
      </x:c>
    </x:row>
    <x:row r="11">
      <x:c r="B11" t="str">
        <x:v>controlled media and recovery</x:v>
      </x:c>
      <x:c r="C11" t="n">
        <x:v>36</x:v>
      </x:c>
      <x:c r="D11" t="str">
        <x:v>source receipt, inventory, recovery and disposition</x:v>
      </x:c>
      <x:c r="E11" t="str">
        <x:f>IF(C11&gt;0,"PASS","GAP")</x:f>
        <x:v>PASS</x:v>
      </x:c>
    </x:row>
    <x:row r="12">
      <x:c r="B12" t="str">
        <x:v>civil, holder and receiver engineering</x:v>
      </x:c>
      <x:c r="C12" t="n">
        <x:v>34</x:v>
      </x:c>
      <x:c r="D12" t="str">
        <x:v>structures, deployment, pressure boundaries and weather</x:v>
      </x:c>
      <x:c r="E12" t="str">
        <x:f>IF(C12&gt;0,"PASS","GAP")</x:f>
        <x:v>PASS</x:v>
      </x:c>
    </x:row>
    <x:row r="13">
      <x:c r="B13" t="str">
        <x:v>authority, technical data and rights</x:v>
      </x:c>
      <x:c r="C13" t="n">
        <x:v>24</x:v>
      </x:c>
      <x:c r="D13" t="str">
        <x:v>public configuration, licensing and acceptance records</x:v>
      </x:c>
      <x:c r="E13" t="str">
        <x:f>IF(C13&gt;0,"PASS","GAP")</x:f>
        <x:v>PASS</x:v>
      </x:c>
    </x:row>
    <x:row r="14">
      <x:c r="B14" t="str">
        <x:v>six architecture-builder teams</x:v>
      </x:c>
      <x:c r="C14" t="n">
        <x:v>90</x:v>
      </x:c>
      <x:c r="D14" t="str">
        <x:v>fifteen positions per unlike builder team</x:v>
      </x:c>
      <x:c r="E14" t="str">
        <x:f>IF(C14&gt;0,"PASS","GAP")</x:f>
        <x:v>PASS</x:v>
      </x:c>
    </x:row>
    <x:row r="15">
      <x:c r="B15" t="str">
        <x:v>independent challenge formation</x:v>
      </x:c>
      <x:c r="C15" t="n">
        <x:v>36</x:v>
      </x:c>
      <x:c r="D15" t="str">
        <x:v>fault insertion, destructive work and cold reconstruction</x:v>
      </x:c>
      <x:c r="E15" t="str">
        <x:f>IF(C15&gt;0,"PASS","GAP")</x:f>
        <x:v>PASS</x:v>
      </x:c>
    </x:row>
    <x:row r="17">
      <x:c r="B17" s="17" t="str">
        <x:v>Total</x:v>
      </x:c>
      <x:c r="C17" s="18" t="n">
        <x:f>SUM(C7:C15)</x:f>
        <x:v>426</x:v>
      </x:c>
      <x:c r="D17" s="18" t="str">
        <x:v>Inherited SA6 establishment limit</x:v>
      </x:c>
      <x:c r="E17" s="19" t="str">
        <x:f>IF(C17&lt;=Controls!$D$67 ,"PASS","GAP")</x:f>
        <x:v>PASS</x:v>
      </x:c>
    </x:row>
  </x:sheetData>
  <x:conditionalFormatting sqref="E7:E17">
    <x:cfRule type="containsText" dxfId="44" priority="1" operator="containsText" text="FAIL"/>
    <x:cfRule type="containsText" dxfId="45" priority="2" operator="containsText" text="BLOCKED"/>
    <x:cfRule type="containsText" dxfId="46" priority="3" operator="containsText" text="OPEN"/>
    <x:cfRule type="containsText" dxfId="47" priority="4" operator="containsText" text="GAP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6" hidden="0" customWidth="1"/>
    <x:col min="3" max="3" width="12" hidden="0" customWidth="1"/>
    <x:col min="4" max="4" width="16" hidden="0" customWidth="1"/>
    <x:col min="5" max="5" width="17" hidden="0" customWidth="1"/>
    <x:col min="6" max="6" width="17" hidden="0" customWidth="1"/>
    <x:col min="7" max="7" width="24" hidden="0" customWidth="1"/>
    <x:col min="8" max="8" width="72" hidden="0" customWidth="1"/>
    <x:col min="9" max="9" width="12" hidden="0" customWidth="1"/>
  </x:cols>
  <x:sheetData>
    <x:row r="2">
      <x:c r="B2" s="1" t="str">
        <x:v>RHT-1 capital and funding ownership</x:v>
      </x:c>
    </x:row>
    <x:row r="3">
      <x:c r="B3" s="2" t="str">
        <x:v>USD millions. Gross physical use is split between CISA-specific ownership and the shared technology program.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 ht="24" customHeight="1">
      <x:c r="B6" s="8" t="str">
        <x:v>Capital use</x:v>
      </x:c>
      <x:c r="C6" s="9" t="str">
        <x:v>Quantity</x:v>
      </x:c>
      <x:c r="D6" s="9" t="str">
        <x:v>Unit cost</x:v>
      </x:c>
      <x:c r="E6" s="9" t="str">
        <x:v>Gross total</x:v>
      </x:c>
      <x:c r="F6" s="9" t="str">
        <x:v>CISA share</x:v>
      </x:c>
      <x:c r="G6" s="9" t="str">
        <x:v>Shared technology share</x:v>
      </x:c>
      <x:c r="H6" s="9" t="str">
        <x:v>Scope</x:v>
      </x:c>
      <x:c r="I6" s="10" t="str">
        <x:v>Audit</x:v>
      </x:c>
    </x:row>
    <x:row r="7">
      <x:c r="B7" t="str">
        <x:v>twelve full-scale integrated trains</x:v>
      </x:c>
      <x:c r="C7" t="n">
        <x:v>12</x:v>
      </x:c>
      <x:c r="D7" s="29" t="n">
        <x:v>25</x:v>
      </x:c>
      <x:c r="E7" s="29" t="n">
        <x:f>C7*D7</x:f>
        <x:v>300</x:v>
      </x:c>
      <x:c r="F7" s="29" t="n">
        <x:v>240</x:v>
      </x:c>
      <x:c r="G7" s="29" t="n">
        <x:v>60</x:v>
      </x:c>
      <x:c r="H7" t="str">
        <x:v>two site trains for each architecture-builder pair</x:v>
      </x:c>
      <x:c r="I7" t="str">
        <x:f>IF(AND(E7=F7+G7,E7&gt;=0),"PASS","FAIL")</x:f>
        <x:v>PASS</x:v>
      </x:c>
    </x:row>
    <x:row r="8">
      <x:c r="B8" t="str">
        <x:v>twelve scaled phase and route articles</x:v>
      </x:c>
      <x:c r="C8" t="n">
        <x:v>12</x:v>
      </x:c>
      <x:c r="D8" s="29" t="n">
        <x:v>4</x:v>
      </x:c>
      <x:c r="E8" s="29" t="n">
        <x:f>C8*D8</x:f>
        <x:v>48</x:v>
      </x:c>
      <x:c r="F8" s="29" t="n">
        <x:v>24</x:v>
      </x:c>
      <x:c r="G8" s="29" t="n">
        <x:v>24</x:v>
      </x:c>
      <x:c r="H8" t="str">
        <x:v>known-truth flow, obstruction, icing and phase rigs</x:v>
      </x:c>
      <x:c r="I8" t="str">
        <x:f>IF(AND(E8=F8+G8,E8&gt;=0),"PASS","FAIL")</x:f>
        <x:v>PASS</x:v>
      </x:c>
    </x:row>
    <x:row r="9">
      <x:c r="B9" t="str">
        <x:v>twelve destructive witness assemblies</x:v>
      </x:c>
      <x:c r="C9" t="n">
        <x:v>12</x:v>
      </x:c>
      <x:c r="D9" s="29" t="n">
        <x:v>5</x:v>
      </x:c>
      <x:c r="E9" s="29" t="n">
        <x:f>C9*D9</x:f>
        <x:v>60</x:v>
      </x:c>
      <x:c r="F9" s="29" t="n">
        <x:v>35</x:v>
      </x:c>
      <x:c r="G9" s="29" t="n">
        <x:v>25</x:v>
      </x:c>
      <x:c r="H9" t="str">
        <x:v>route, receiver, holder and terminal failure witnesses</x:v>
      </x:c>
      <x:c r="I9" t="str">
        <x:f>IF(AND(E9=F9+G9,E9&gt;=0),"PASS","FAIL")</x:f>
        <x:v>PASS</x:v>
      </x:c>
    </x:row>
    <x:row r="10">
      <x:c r="B10" t="str">
        <x:v>six regeneration spares</x:v>
      </x:c>
      <x:c r="C10" t="n">
        <x:v>6</x:v>
      </x:c>
      <x:c r="D10" s="29" t="n">
        <x:v>8</x:v>
      </x:c>
      <x:c r="E10" s="29" t="n">
        <x:f>C10*D10</x:f>
        <x:v>48</x:v>
      </x:c>
      <x:c r="F10" s="29" t="n">
        <x:v>24</x:v>
      </x:c>
      <x:c r="G10" s="29" t="n">
        <x:v>24</x:v>
      </x:c>
      <x:c r="H10" t="str">
        <x:v>one complete spare for each architecture-builder pair</x:v>
      </x:c>
      <x:c r="I10" t="str">
        <x:f>IF(AND(E10=F10+G10,E10&gt;=0),"PASS","FAIL")</x:f>
        <x:v>PASS</x:v>
      </x:c>
    </x:row>
    <x:row r="11">
      <x:c r="B11" t="str">
        <x:v>six calibration and reference arrays</x:v>
      </x:c>
      <x:c r="C11" t="n">
        <x:v>6</x:v>
      </x:c>
      <x:c r="D11" s="29" t="n">
        <x:v>3</x:v>
      </x:c>
      <x:c r="E11" s="29" t="n">
        <x:f>C11*D11</x:f>
        <x:v>18</x:v>
      </x:c>
      <x:c r="F11" s="29" t="n">
        <x:v>10</x:v>
      </x:c>
      <x:c r="G11" s="29" t="n">
        <x:v>8</x:v>
      </x:c>
      <x:c r="H11" t="str">
        <x:v>public measurement references independent of builders</x:v>
      </x:c>
      <x:c r="I11" t="str">
        <x:f>IF(AND(E11=F11+G11,E11&gt;=0),"PASS","FAIL")</x:f>
        <x:v>PASS</x:v>
      </x:c>
    </x:row>
    <x:row r="12">
      <x:c r="B12" t="str">
        <x:v>three public challenge annexes</x:v>
      </x:c>
      <x:c r="C12" t="n">
        <x:v>3</x:v>
      </x:c>
      <x:c r="D12" s="29" t="n">
        <x:v>60</x:v>
      </x:c>
      <x:c r="E12" s="29" t="n">
        <x:f>C12*D12</x:f>
        <x:v>180</x:v>
      </x:c>
      <x:c r="F12" s="29" t="n">
        <x:v>120</x:v>
      </x:c>
      <x:c r="G12" s="29" t="n">
        <x:v>60</x:v>
      </x:c>
      <x:c r="H12" t="str">
        <x:v>site-specific cells, exclusion, safety energy and recovery</x:v>
      </x:c>
      <x:c r="I12" t="str">
        <x:f>IF(AND(E12=F12+G12,E12&gt;=0),"PASS","FAIL")</x:f>
        <x:v>PASS</x:v>
      </x:c>
    </x:row>
    <x:row r="13">
      <x:c r="B13" t="str">
        <x:v>phase, thermal and disposition laboratories</x:v>
      </x:c>
      <x:c r="C13" t="n">
        <x:v>1</x:v>
      </x:c>
      <x:c r="D13" s="29" t="n">
        <x:v>65</x:v>
      </x:c>
      <x:c r="E13" s="29" t="n">
        <x:f>C13*D13</x:f>
        <x:v>65</x:v>
      </x:c>
      <x:c r="F13" s="29" t="n">
        <x:v>20</x:v>
      </x:c>
      <x:c r="G13" s="29" t="n">
        <x:v>45</x:v>
      </x:c>
      <x:c r="H13" t="str">
        <x:v>flash, choke, condensation, stored cold and oxidation</x:v>
      </x:c>
      <x:c r="I13" t="str">
        <x:f>IF(AND(E13=F13+G13,E13&gt;=0),"PASS","FAIL")</x:f>
        <x:v>PASS</x:v>
      </x:c>
    </x:row>
    <x:row r="14">
      <x:c r="B14" t="str">
        <x:v>instrumentation, evidence and time</x:v>
      </x:c>
      <x:c r="C14" t="n">
        <x:v>1</x:v>
      </x:c>
      <x:c r="D14" s="29" t="n">
        <x:v>45</x:v>
      </x:c>
      <x:c r="E14" s="29" t="n">
        <x:f>C14*D14</x:f>
        <x:v>45</x:v>
      </x:c>
      <x:c r="F14" s="29" t="n">
        <x:v>22</x:v>
      </x:c>
      <x:c r="G14" s="29" t="n">
        <x:v>23</x:v>
      </x:c>
      <x:c r="H14" t="str">
        <x:v>504-channel packages, native recorders and two originals</x:v>
      </x:c>
      <x:c r="I14" t="str">
        <x:f>IF(AND(E14=F14+G14,E14&gt;=0),"PASS","FAIL")</x:f>
        <x:v>PASS</x:v>
      </x:c>
    </x:row>
    <x:row r="15">
      <x:c r="B15" t="str">
        <x:v>controlled media, recovery and rescue</x:v>
      </x:c>
      <x:c r="C15" t="n">
        <x:v>1</x:v>
      </x:c>
      <x:c r="D15" s="29" t="n">
        <x:v>41</x:v>
      </x:c>
      <x:c r="E15" s="29" t="n">
        <x:f>C15*D15</x:f>
        <x:v>41</x:v>
      </x:c>
      <x:c r="F15" s="29" t="n">
        <x:v>30</x:v>
      </x:c>
      <x:c r="G15" s="29" t="n">
        <x:v>11</x:v>
      </x:c>
      <x:c r="H15" t="str">
        <x:v>source inventory, terminal custody, robotics and medicine</x:v>
      </x:c>
      <x:c r="I15" t="str">
        <x:f>IF(AND(E15=F15+G15,E15&gt;=0),"PASS","FAIL")</x:f>
        <x:v>PASS</x:v>
      </x:c>
    </x:row>
    <x:row r="16">
      <x:c r="B16" t="str">
        <x:v>technical data, models and independent authority</x:v>
      </x:c>
      <x:c r="C16" t="n">
        <x:v>1</x:v>
      </x:c>
      <x:c r="D16" s="29" t="n">
        <x:v>25</x:v>
      </x:c>
      <x:c r="E16" s="29" t="n">
        <x:f>C16*D16</x:f>
        <x:v>25</x:v>
      </x:c>
      <x:c r="F16" s="29" t="n">
        <x:v>5</x:v>
      </x:c>
      <x:c r="G16" s="29" t="n">
        <x:v>20</x:v>
      </x:c>
      <x:c r="H16" t="str">
        <x:v>public models, rights, configuration and decision records</x:v>
      </x:c>
      <x:c r="I16" t="str">
        <x:f>IF(AND(E16=F16+G16,E16&gt;=0),"PASS","FAIL")</x:f>
        <x:v>PASS</x:v>
      </x:c>
    </x:row>
    <x:row r="17">
      <x:c r="B17" t="str">
        <x:v>design uncertainty allocation</x:v>
      </x:c>
      <x:c r="C17" t="n">
        <x:v>1</x:v>
      </x:c>
      <x:c r="D17" s="29" t="n">
        <x:v>45</x:v>
      </x:c>
      <x:c r="E17" s="29" t="n">
        <x:f>C17*D17</x:f>
        <x:v>45</x:v>
      </x:c>
      <x:c r="F17" s="29" t="n">
        <x:v>0</x:v>
      </x:c>
      <x:c r="G17" s="29" t="n">
        <x:v>45</x:v>
      </x:c>
      <x:c r="H17" t="str">
        <x:v>explicit allowance for unresolved technology-program design</x:v>
      </x:c>
      <x:c r="I17" t="str">
        <x:f>IF(AND(E17=F17+G17,E17&gt;=0),"PASS","FAIL")</x:f>
        <x:v>PASS</x:v>
      </x:c>
    </x:row>
    <x:row r="18">
      <x:c r="D18" s="29"/>
      <x:c r="E18" s="29"/>
      <x:c r="F18" s="29"/>
      <x:c r="G18" s="29"/>
    </x:row>
    <x:row r="19">
      <x:c r="B19" s="17" t="str">
        <x:v>RHT-1 total</x:v>
      </x:c>
      <x:c r="C19" s="18"/>
      <x:c r="D19" s="30"/>
      <x:c r="E19" s="30" t="n">
        <x:f>SUM(E7:E17)</x:f>
        <x:v>875</x:v>
      </x:c>
      <x:c r="F19" s="30" t="n">
        <x:f>SUM(F7:F17)</x:f>
        <x:v>530</x:v>
      </x:c>
      <x:c r="G19" s="30" t="n">
        <x:f>SUM(G7:G17)</x:f>
        <x:v>345</x:v>
      </x:c>
      <x:c r="H19" s="18"/>
      <x:c r="I19" s="19" t="str">
        <x:f>IF(AND(E19=Controls!$D$46,F19=Controls!$D$48,G19=Controls!$D$50),"PASS","FAIL")</x:f>
        <x:v>PASS</x:v>
      </x:c>
    </x:row>
  </x:sheetData>
  <x:conditionalFormatting sqref="I7:I19">
    <x:cfRule type="containsText" dxfId="48" priority="1" operator="containsText" text="FAIL"/>
    <x:cfRule type="containsText" dxfId="49" priority="2" operator="containsText" text="BLOCKED"/>
    <x:cfRule type="containsText" dxfId="50" priority="3" operator="containsText" text="OPEN"/>
    <x:cfRule type="containsText" dxfId="51" priority="4" operator="containsText" text="GAP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8" hidden="0" customWidth="1"/>
    <x:col min="3" max="3" width="12" hidden="0" customWidth="1"/>
    <x:col min="4" max="4" width="16" hidden="0" customWidth="1"/>
    <x:col min="5" max="5" width="17" hidden="0" customWidth="1"/>
    <x:col min="6" max="6" width="17" hidden="0" customWidth="1"/>
    <x:col min="7" max="7" width="24" hidden="0" customWidth="1"/>
    <x:col min="8" max="8" width="72" hidden="0" customWidth="1"/>
    <x:col min="9" max="9" width="12" hidden="0" customWidth="1"/>
  </x:cols>
  <x:sheetData>
    <x:row r="2">
      <x:c r="B2" s="1" t="str">
        <x:v>RHT-1 annual support and funding ownership</x:v>
      </x:c>
    </x:row>
    <x:row r="3">
      <x:c r="B3" s="2" t="str">
        <x:v>USD millions per year. Annual support preserves two builders and three public sites through the full campaign.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 ht="24" customHeight="1">
      <x:c r="B6" s="8" t="str">
        <x:v>Annual function</x:v>
      </x:c>
      <x:c r="C6" s="9" t="str">
        <x:v>Quantity</x:v>
      </x:c>
      <x:c r="D6" s="9" t="str">
        <x:v>Unit cost</x:v>
      </x:c>
      <x:c r="E6" s="9" t="str">
        <x:v>Gross total</x:v>
      </x:c>
      <x:c r="F6" s="9" t="str">
        <x:v>CISA share</x:v>
      </x:c>
      <x:c r="G6" s="9" t="str">
        <x:v>Shared technology share</x:v>
      </x:c>
      <x:c r="H6" s="9" t="str">
        <x:v>Scope</x:v>
      </x:c>
      <x:c r="I6" s="10" t="str">
        <x:v>Audit</x:v>
      </x:c>
    </x:row>
    <x:row r="7">
      <x:c r="B7" t="str">
        <x:v>six architecture-builder teams</x:v>
      </x:c>
      <x:c r="C7" t="n">
        <x:v>6</x:v>
      </x:c>
      <x:c r="D7" s="29" t="n">
        <x:v>12</x:v>
      </x:c>
      <x:c r="E7" s="29" t="n">
        <x:f>C7*D7</x:f>
        <x:v>72</x:v>
      </x:c>
      <x:c r="F7" s="29" t="n">
        <x:v>30</x:v>
      </x:c>
      <x:c r="G7" s="29" t="n">
        <x:v>42</x:v>
      </x:c>
      <x:c r="H7" t="str">
        <x:v>design, build, maintain and regenerate competing trains</x:v>
      </x:c>
      <x:c r="I7" t="str">
        <x:f>IF(E7=F7+G7,"PASS","FAIL")</x:f>
        <x:v>PASS</x:v>
      </x:c>
    </x:row>
    <x:row r="8">
      <x:c r="B8" t="str">
        <x:v>three public site annexes</x:v>
      </x:c>
      <x:c r="C8" t="n">
        <x:v>3</x:v>
      </x:c>
      <x:c r="D8" s="29" t="n">
        <x:v>12</x:v>
      </x:c>
      <x:c r="E8" s="29" t="n">
        <x:f>C8*D8</x:f>
        <x:v>36</x:v>
      </x:c>
      <x:c r="F8" s="29" t="n">
        <x:v>30</x:v>
      </x:c>
      <x:c r="G8" s="29" t="n">
        <x:v>6</x:v>
      </x:c>
      <x:c r="H8" t="str">
        <x:v>operations, utilities, exclusion, safety and recovery</x:v>
      </x:c>
      <x:c r="I8" t="str">
        <x:f>IF(E8=F8+G8,"PASS","FAIL")</x:f>
        <x:v>PASS</x:v>
      </x:c>
    </x:row>
    <x:row r="9">
      <x:c r="B9" t="str">
        <x:v>controlled media, recovery and disposition</x:v>
      </x:c>
      <x:c r="C9" t="n">
        <x:v>1</x:v>
      </x:c>
      <x:c r="D9" s="29" t="n">
        <x:v>18</x:v>
      </x:c>
      <x:c r="E9" s="29" t="n">
        <x:f>C9*D9</x:f>
        <x:v>18</x:v>
      </x:c>
      <x:c r="F9" s="29" t="n">
        <x:v>15</x:v>
      </x:c>
      <x:c r="G9" s="29" t="n">
        <x:v>3</x:v>
      </x:c>
      <x:c r="H9" t="str">
        <x:v>source handling, retained inventory and terminal custody</x:v>
      </x:c>
      <x:c r="I9" t="str">
        <x:f>IF(E9=F9+G9,"PASS","FAIL")</x:f>
        <x:v>PASS</x:v>
      </x:c>
    </x:row>
    <x:row r="10">
      <x:c r="B10" t="str">
        <x:v>instrumentation, calibration and evidence</x:v>
      </x:c>
      <x:c r="C10" t="n">
        <x:v>1</x:v>
      </x:c>
      <x:c r="D10" s="29" t="n">
        <x:v>9</x:v>
      </x:c>
      <x:c r="E10" s="29" t="n">
        <x:f>C10*D10</x:f>
        <x:v>9</x:v>
      </x:c>
      <x:c r="F10" s="29" t="n">
        <x:v>5</x:v>
      </x:c>
      <x:c r="G10" s="29" t="n">
        <x:v>4</x:v>
      </x:c>
      <x:c r="H10" t="str">
        <x:v>native channels, reference systems, time and replay</x:v>
      </x:c>
      <x:c r="I10" t="str">
        <x:f>IF(E10=F10+G10,"PASS","FAIL")</x:f>
        <x:v>PASS</x:v>
      </x:c>
    </x:row>
    <x:row r="11">
      <x:c r="B11" t="str">
        <x:v>rescue and medicine</x:v>
      </x:c>
      <x:c r="C11" t="n">
        <x:v>1</x:v>
      </x:c>
      <x:c r="D11" s="29" t="n">
        <x:v>7</x:v>
      </x:c>
      <x:c r="E11" s="29" t="n">
        <x:f>C11*D11</x:f>
        <x:v>7</x:v>
      </x:c>
      <x:c r="F11" s="29" t="n">
        <x:v>7</x:v>
      </x:c>
      <x:c r="G11" s="29" t="n">
        <x:v>0</x:v>
      </x:c>
      <x:c r="H11" t="str">
        <x:v>remote rescue, decontamination and clinical transfer</x:v>
      </x:c>
      <x:c r="I11" t="str">
        <x:f>IF(E11=F11+G11,"PASS","FAIL")</x:f>
        <x:v>PASS</x:v>
      </x:c>
    </x:row>
    <x:row r="12">
      <x:c r="B12" t="str">
        <x:v>independent authority and technical data</x:v>
      </x:c>
      <x:c r="C12" t="n">
        <x:v>1</x:v>
      </x:c>
      <x:c r="D12" s="29" t="n">
        <x:v>6</x:v>
      </x:c>
      <x:c r="E12" s="29" t="n">
        <x:f>C12*D12</x:f>
        <x:v>6</x:v>
      </x:c>
      <x:c r="F12" s="29" t="n">
        <x:v>3</x:v>
      </x:c>
      <x:c r="G12" s="29" t="n">
        <x:v>3</x:v>
      </x:c>
      <x:c r="H12" t="str">
        <x:v>protocol control, acceptance, rights and public models</x:v>
      </x:c>
      <x:c r="I12" t="str">
        <x:f>IF(E12=F12+G12,"PASS","FAIL")</x:f>
        <x:v>PASS</x:v>
      </x:c>
    </x:row>
    <x:row r="13">
      <x:c r="D13" s="29"/>
      <x:c r="E13" s="29"/>
      <x:c r="F13" s="29"/>
      <x:c r="G13" s="29"/>
    </x:row>
    <x:row r="14">
      <x:c r="B14" s="17" t="str">
        <x:v>RHT-1 annual total</x:v>
      </x:c>
      <x:c r="C14" s="18"/>
      <x:c r="D14" s="30"/>
      <x:c r="E14" s="30" t="n">
        <x:f>SUM(E7:E12)</x:f>
        <x:v>148</x:v>
      </x:c>
      <x:c r="F14" s="30" t="n">
        <x:f>SUM(F7:F12)</x:f>
        <x:v>90</x:v>
      </x:c>
      <x:c r="G14" s="30" t="n">
        <x:f>SUM(G7:G12)</x:f>
        <x:v>58</x:v>
      </x:c>
      <x:c r="H14" s="18"/>
      <x:c r="I14" s="19" t="str">
        <x:f>IF(AND(E14=Controls!$D$47,F14=Controls!$D$49,G14=Controls!$D$51),"PASS","FAIL")</x:f>
        <x:v>PASS</x:v>
      </x:c>
    </x:row>
  </x:sheetData>
  <x:conditionalFormatting sqref="I7:I14">
    <x:cfRule type="containsText" dxfId="52" priority="1" operator="containsText" text="FAIL"/>
    <x:cfRule type="containsText" dxfId="53" priority="2" operator="containsText" text="BLOCKED"/>
    <x:cfRule type="containsText" dxfId="54" priority="3" operator="containsText" text="OPEN"/>
    <x:cfRule type="containsText" dxfId="55" priority="4" operator="containsText" text="GAP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2" hidden="0" customWidth="1"/>
    <x:col min="3" max="3" width="21" hidden="0" customWidth="1"/>
    <x:col min="4" max="4" width="28" hidden="0" customWidth="1"/>
    <x:col min="5" max="5" width="46" hidden="0" customWidth="1"/>
    <x:col min="6" max="6" width="14" hidden="0" customWidth="1"/>
  </x:cols>
  <x:sheetData>
    <x:row r="2">
      <x:c r="B2" s="1" t="str">
        <x:v>CISA and gross physical-use reconciliation</x:v>
      </x:c>
    </x:row>
    <x:row r="3">
      <x:c r="B3" s="2" t="str">
        <x:v>Funding ownership and gross physical use answer different questions. Both remain visible.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 ht="24" customHeight="1">
      <x:c r="B6" s="8" t="str">
        <x:v>Quantity</x:v>
      </x:c>
      <x:c r="C6" s="9" t="str">
        <x:v>Capital (USD M)</x:v>
      </x:c>
      <x:c r="D6" s="9" t="str">
        <x:v>Annual support (USD M/year)</x:v>
      </x:c>
      <x:c r="E6" s="9" t="str">
        <x:v>Calculation</x:v>
      </x:c>
      <x:c r="F6" s="10" t="str">
        <x:v>State</x:v>
      </x:c>
    </x:row>
    <x:row r="7">
      <x:c r="B7" t="str">
        <x:v>RHT-1 gross program</x:v>
      </x:c>
      <x:c r="C7" s="31" t="n">
        <x:f>Capital!E19</x:f>
        <x:v>875</x:v>
      </x:c>
      <x:c r="D7" s="31" t="n">
        <x:f>'Annual Support'!E14</x:f>
        <x:v>148</x:v>
      </x:c>
      <x:c r="E7" t="str">
        <x:v>gross physical program</x:v>
      </x:c>
      <x:c r="F7" t="str">
        <x:f>IF(OR(C7&lt;0,D7&lt;0),"OVER","PASS")</x:f>
        <x:v>PASS</x:v>
      </x:c>
    </x:row>
    <x:row r="8">
      <x:c r="B8" t="str">
        <x:v>CISA funding share</x:v>
      </x:c>
      <x:c r="C8" s="31" t="n">
        <x:f>Capital!F19</x:f>
        <x:v>530</x:v>
      </x:c>
      <x:c r="D8" s="31" t="n">
        <x:f>'Annual Support'!F14</x:f>
        <x:v>90</x:v>
      </x:c>
      <x:c r="E8" t="str">
        <x:v>mission-specific ownership</x:v>
      </x:c>
      <x:c r="F8" t="str">
        <x:f>IF(OR(C8&lt;0,D8&lt;0),"OVER","PASS")</x:f>
        <x:v>PASS</x:v>
      </x:c>
    </x:row>
    <x:row r="9">
      <x:c r="B9" t="str">
        <x:v>shared technology share</x:v>
      </x:c>
      <x:c r="C9" s="31" t="n">
        <x:f>Capital!G19</x:f>
        <x:v>345</x:v>
      </x:c>
      <x:c r="D9" s="31" t="n">
        <x:f>'Annual Support'!G14</x:f>
        <x:v>58</x:v>
      </x:c>
      <x:c r="E9" t="str">
        <x:v>cross-family technology ownership</x:v>
      </x:c>
      <x:c r="F9" t="str">
        <x:f>IF(OR(C9&lt;0,D9&lt;0),"OVER","PASS")</x:f>
        <x:v>PASS</x:v>
      </x:c>
    </x:row>
    <x:row r="10">
      <x:c r="B10" t="str">
        <x:v>existing SBD-1 Root B overlap</x:v>
      </x:c>
      <x:c r="C10" s="31" t="n">
        <x:f>Controls!$D$44</x:f>
        <x:v>172</x:v>
      </x:c>
      <x:c r="D10" s="31" t="n">
        <x:f>Controls!$D$45</x:f>
        <x:v>18</x:v>
      </x:c>
      <x:c r="E10" t="str">
        <x:v>replaced rather than added</x:v>
      </x:c>
      <x:c r="F10" t="str">
        <x:f>IF(OR(C10&lt;0,D10&lt;0),"OVER","PASS")</x:f>
        <x:v>PASS</x:v>
      </x:c>
    </x:row>
    <x:row r="11">
      <x:c r="B11" t="str">
        <x:v>net new CISA increment</x:v>
      </x:c>
      <x:c r="C11" s="31" t="n">
        <x:f>C8-C10</x:f>
        <x:v>358</x:v>
      </x:c>
      <x:c r="D11" s="31" t="n">
        <x:f>D8-D10</x:f>
        <x:v>72</x:v>
      </x:c>
      <x:c r="E11" t="str">
        <x:v>CISA share less overlap</x:v>
      </x:c>
      <x:c r="F11" t="str">
        <x:f>IF(OR(C11&lt;0,D11&lt;0),"OVER","PASS")</x:f>
        <x:v>PASS</x:v>
      </x:c>
    </x:row>
    <x:row r="12">
      <x:c r="B12" t="str">
        <x:v>BRD-4R inherited</x:v>
      </x:c>
      <x:c r="C12" s="31" t="n">
        <x:f>Controls!$D$52</x:f>
        <x:v>940</x:v>
      </x:c>
      <x:c r="D12" s="31" t="n">
        <x:f>Controls!$D$53</x:f>
        <x:v>174</x:v>
      </x:c>
      <x:c r="E12" t="str">
        <x:v>Pass 118 reconciled boundary</x:v>
      </x:c>
      <x:c r="F12" t="str">
        <x:f>IF(OR(C12&lt;0,D12&lt;0),"OVER","PASS")</x:f>
        <x:v>PASS</x:v>
      </x:c>
    </x:row>
    <x:row r="13">
      <x:c r="B13" t="str">
        <x:v>BRD-5R corrected</x:v>
      </x:c>
      <x:c r="C13" s="31" t="n">
        <x:f>C12+C11</x:f>
        <x:v>1298</x:v>
      </x:c>
      <x:c r="D13" s="31" t="n">
        <x:f>D12+D11</x:f>
        <x:v>246</x:v>
      </x:c>
      <x:c r="E13" t="str">
        <x:v>funding ownership after replacement</x:v>
      </x:c>
      <x:c r="F13" t="str">
        <x:f>IF(OR(C13&lt;0,D13&lt;0),"OVER","PASS")</x:f>
        <x:v>PASS</x:v>
      </x:c>
    </x:row>
    <x:row r="14">
      <x:c r="B14" t="str">
        <x:v>CISA-1 parent boundary</x:v>
      </x:c>
      <x:c r="C14" s="31" t="n">
        <x:f>Controls!$D$56</x:f>
        <x:v>960</x:v>
      </x:c>
      <x:c r="D14" s="31" t="n">
        <x:f>Controls!$D$57</x:f>
        <x:v>260</x:v>
      </x:c>
      <x:c r="E14" t="str">
        <x:v>inherited parent</x:v>
      </x:c>
      <x:c r="F14" t="str">
        <x:f>IF(OR(C14&lt;0,D14&lt;0),"OVER","PASS")</x:f>
        <x:v>PASS</x:v>
      </x:c>
    </x:row>
    <x:row r="15">
      <x:c r="B15" t="str">
        <x:v>remaining under BRD-5R</x:v>
      </x:c>
      <x:c r="C15" s="31" t="n">
        <x:f>C14-C13</x:f>
        <x:v>-338</x:v>
      </x:c>
      <x:c r="D15" s="31" t="n">
        <x:f>D14-D13</x:f>
        <x:v>14</x:v>
      </x:c>
      <x:c r="E15" t="str">
        <x:v>negative value exceeds parent</x:v>
      </x:c>
      <x:c r="F15" t="str">
        <x:f>IF(OR(C15&lt;0,D15&lt;0),"OVER","PASS")</x:f>
        <x:v>OVER</x:v>
      </x:c>
    </x:row>
    <x:row r="16">
      <x:c r="B16" t="str">
        <x:v>BRD-4U inherited physical use</x:v>
      </x:c>
      <x:c r="C16" s="31" t="n">
        <x:f>Controls!$D$54</x:f>
        <x:v>1068</x:v>
      </x:c>
      <x:c r="D16" s="31" t="n">
        <x:f>Controls!$D$55</x:f>
        <x:v>215</x:v>
      </x:c>
      <x:c r="E16" t="str">
        <x:v>Pass 118 no-credit view</x:v>
      </x:c>
      <x:c r="F16" t="str">
        <x:f>IF(OR(C16&lt;0,D16&lt;0),"OVER","PASS")</x:f>
        <x:v>PASS</x:v>
      </x:c>
    </x:row>
    <x:row r="17">
      <x:c r="B17" t="str">
        <x:v>BRD-5U gross physical use</x:v>
      </x:c>
      <x:c r="C17" s="31" t="n">
        <x:f>C16+C7-C10</x:f>
        <x:v>1771</x:v>
      </x:c>
      <x:c r="D17" s="31" t="n">
        <x:f>D16+D7-D10</x:f>
        <x:v>345</x:v>
      </x:c>
      <x:c r="E17" t="str">
        <x:v>gross use less replaced overlap</x:v>
      </x:c>
      <x:c r="F17" t="str">
        <x:f>IF(OR(C17&lt;0,D17&lt;0),"OVER","PASS")</x:f>
        <x:v>PASS</x:v>
      </x:c>
    </x:row>
    <x:row r="18">
      <x:c r="B18" t="str">
        <x:v>remaining under BRD-5U</x:v>
      </x:c>
      <x:c r="C18" s="31" t="n">
        <x:f>C14-C17</x:f>
        <x:v>-811</x:v>
      </x:c>
      <x:c r="D18" s="31" t="n">
        <x:f>D14-D17</x:f>
        <x:v>-85</x:v>
      </x:c>
      <x:c r="E18" t="str">
        <x:v>negative value exceeds parent</x:v>
      </x:c>
      <x:c r="F18" t="str">
        <x:f>IF(OR(C18&lt;0,D18&lt;0),"OVER","PASS")</x:f>
        <x:v>OVER</x:v>
      </x:c>
    </x:row>
    <x:row r="19">
      <x:c r="B19" t="str">
        <x:v>forty-two-month RHT-1 exposure</x:v>
      </x:c>
      <x:c r="C19" s="31" t="n">
        <x:f>C7+D7*Controls!$D$58/12</x:f>
        <x:v>1393</x:v>
      </x:c>
      <x:c r="D19" s="31" t="n">
        <x:f>0</x:f>
        <x:v>0</x:v>
      </x:c>
      <x:c r="E19" t="str">
        <x:v>capital plus program-period annual support</x:v>
      </x:c>
      <x:c r="F19" t="str">
        <x:f>IF(OR(C19&lt;0,D19&lt;0),"OVER","PASS")</x:f>
        <x:v>PASS</x:v>
      </x:c>
    </x:row>
  </x:sheetData>
  <x:conditionalFormatting sqref="F7:F19">
    <x:cfRule type="containsText" dxfId="56" priority="1" operator="containsText" text="FAIL"/>
    <x:cfRule type="containsText" dxfId="57" priority="2" operator="containsText" text="BLOCKED"/>
    <x:cfRule type="containsText" dxfId="58" priority="3" operator="containsText" text="OPEN"/>
    <x:cfRule type="containsText" dxfId="59" priority="4" operator="containsText" text="GAP"/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D6B656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0" hidden="0" customWidth="1"/>
    <x:col min="3" max="3" width="13" hidden="0" customWidth="1"/>
    <x:col min="4" max="4" width="38" hidden="0" customWidth="1"/>
    <x:col min="5" max="5" width="12" hidden="0" customWidth="1"/>
    <x:col min="6" max="6" width="13" hidden="0" customWidth="1"/>
    <x:col min="7" max="7" width="48" hidden="0" customWidth="1"/>
    <x:col min="8" max="8" width="31" hidden="0" customWidth="1"/>
    <x:col min="9" max="9" width="16" hidden="0" customWidth="1"/>
  </x:cols>
  <x:sheetData>
    <x:row r="2">
      <x:c r="B2" s="1" t="str">
        <x:v>RHT-1 planning, physical and downstream release gates</x:v>
      </x:c>
    </x:row>
    <x:row r="3">
      <x:c r="B3" s="2" t="str">
        <x:v>Planning completeness cannot close a physical gate. Downstream authority is separately withheld.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 ht="24" customHeight="1">
      <x:c r="B6" s="8" t="str">
        <x:v>Gate</x:v>
      </x:c>
      <x:c r="C6" s="9" t="str">
        <x:v>Class</x:v>
      </x:c>
      <x:c r="D6" s="9" t="str">
        <x:v>Object</x:v>
      </x:c>
      <x:c r="E6" s="9" t="str">
        <x:v>Required</x:v>
      </x:c>
      <x:c r="F6" s="9" t="str">
        <x:v>Observed</x:v>
      </x:c>
      <x:c r="G6" s="9" t="str">
        <x:v>Source</x:v>
      </x:c>
      <x:c r="H6" s="9" t="str">
        <x:v>Authority</x:v>
      </x:c>
      <x:c r="I6" s="10" t="str">
        <x:v>State</x:v>
      </x:c>
    </x:row>
    <x:row r="7">
      <x:c r="B7" t="str">
        <x:v>PL-SRC-01</x:v>
      </x:c>
      <x:c r="C7" t="str">
        <x:v>planning</x:v>
      </x:c>
      <x:c r="D7" t="str">
        <x:v>declared source state</x:v>
      </x:c>
      <x:c r="E7" t="str">
        <x:v>PASS</x:v>
      </x:c>
      <x:c r="F7" t="str">
        <x:f>IF('Source Physics'!B7&lt;&gt;"","PASS","FAIL")</x:f>
        <x:v>PASS</x:v>
      </x:c>
      <x:c r="G7" t="str">
        <x:v>IF('Source Physics'!B7&lt;&gt;"","PASS","FAIL")</x:v>
      </x:c>
      <x:c r="H7" t="str">
        <x:v>planning constitution</x:v>
      </x:c>
      <x:c r="I7" t="str">
        <x:f>IF(E7=F7,"PASS","FAIL")</x:f>
        <x:v>PASS</x:v>
      </x:c>
    </x:row>
    <x:row r="8">
      <x:c r="B8" t="str">
        <x:v>PL-SRC-02</x:v>
      </x:c>
      <x:c r="C8" t="str">
        <x:v>planning</x:v>
      </x:c>
      <x:c r="D8" t="str">
        <x:v>declared source state</x:v>
      </x:c>
      <x:c r="E8" t="str">
        <x:v>PASS</x:v>
      </x:c>
      <x:c r="F8" t="str">
        <x:f>IF('Source Physics'!B8&lt;&gt;"","PASS","FAIL")</x:f>
        <x:v>PASS</x:v>
      </x:c>
      <x:c r="G8" t="str">
        <x:v>IF('Source Physics'!B8&lt;&gt;"","PASS","FAIL")</x:v>
      </x:c>
      <x:c r="H8" t="str">
        <x:v>planning constitution</x:v>
      </x:c>
      <x:c r="I8" t="str">
        <x:f>IF(E8=F8,"PASS","FAIL")</x:f>
        <x:v>PASS</x:v>
      </x:c>
    </x:row>
    <x:row r="9">
      <x:c r="B9" t="str">
        <x:v>PL-SRC-03</x:v>
      </x:c>
      <x:c r="C9" t="str">
        <x:v>planning</x:v>
      </x:c>
      <x:c r="D9" t="str">
        <x:v>declared source state</x:v>
      </x:c>
      <x:c r="E9" t="str">
        <x:v>PASS</x:v>
      </x:c>
      <x:c r="F9" t="str">
        <x:f>IF('Source Physics'!B9&lt;&gt;"","PASS","FAIL")</x:f>
        <x:v>PASS</x:v>
      </x:c>
      <x:c r="G9" t="str">
        <x:v>IF('Source Physics'!B9&lt;&gt;"","PASS","FAIL")</x:v>
      </x:c>
      <x:c r="H9" t="str">
        <x:v>planning constitution</x:v>
      </x:c>
      <x:c r="I9" t="str">
        <x:f>IF(E9=F9,"PASS","FAIL")</x:f>
        <x:v>PASS</x:v>
      </x:c>
    </x:row>
    <x:row r="10">
      <x:c r="B10" t="str">
        <x:v>PL-SRC-04</x:v>
      </x:c>
      <x:c r="C10" t="str">
        <x:v>planning</x:v>
      </x:c>
      <x:c r="D10" t="str">
        <x:v>declared source state</x:v>
      </x:c>
      <x:c r="E10" t="str">
        <x:v>PASS</x:v>
      </x:c>
      <x:c r="F10" t="str">
        <x:f>IF('Source Physics'!B10&lt;&gt;"","PASS","FAIL")</x:f>
        <x:v>PASS</x:v>
      </x:c>
      <x:c r="G10" t="str">
        <x:v>IF('Source Physics'!B10&lt;&gt;"","PASS","FAIL")</x:v>
      </x:c>
      <x:c r="H10" t="str">
        <x:v>planning constitution</x:v>
      </x:c>
      <x:c r="I10" t="str">
        <x:f>IF(E10=F10,"PASS","FAIL")</x:f>
        <x:v>PASS</x:v>
      </x:c>
    </x:row>
    <x:row r="11">
      <x:c r="B11" t="str">
        <x:v>PL-ARC-01</x:v>
      </x:c>
      <x:c r="C11" t="str">
        <x:v>planning</x:v>
      </x:c>
      <x:c r="D11" t="str">
        <x:v>candidate architecture</x:v>
      </x:c>
      <x:c r="E11" t="str">
        <x:v>PASS</x:v>
      </x:c>
      <x:c r="F11" t="str">
        <x:f>'Architecture Build'!AC7</x:f>
        <x:v>PASS</x:v>
      </x:c>
      <x:c r="G11" t="str">
        <x:v>'Architecture Build'!AC7</x:v>
      </x:c>
      <x:c r="H11" t="str">
        <x:v>planning constitution</x:v>
      </x:c>
      <x:c r="I11" t="str">
        <x:f>IF(E11=F11,"PASS","FAIL")</x:f>
        <x:v>PASS</x:v>
      </x:c>
    </x:row>
    <x:row r="12">
      <x:c r="B12" t="str">
        <x:v>PL-ARC-02</x:v>
      </x:c>
      <x:c r="C12" t="str">
        <x:v>planning</x:v>
      </x:c>
      <x:c r="D12" t="str">
        <x:v>candidate architecture</x:v>
      </x:c>
      <x:c r="E12" t="str">
        <x:v>PASS</x:v>
      </x:c>
      <x:c r="F12" t="str">
        <x:f>'Architecture Build'!AC8</x:f>
        <x:v>PASS</x:v>
      </x:c>
      <x:c r="G12" t="str">
        <x:v>'Architecture Build'!AC8</x:v>
      </x:c>
      <x:c r="H12" t="str">
        <x:v>planning constitution</x:v>
      </x:c>
      <x:c r="I12" t="str">
        <x:f>IF(E12=F12,"PASS","FAIL")</x:f>
        <x:v>PASS</x:v>
      </x:c>
    </x:row>
    <x:row r="13">
      <x:c r="B13" t="str">
        <x:v>PL-ARC-03</x:v>
      </x:c>
      <x:c r="C13" t="str">
        <x:v>planning</x:v>
      </x:c>
      <x:c r="D13" t="str">
        <x:v>candidate architecture</x:v>
      </x:c>
      <x:c r="E13" t="str">
        <x:v>PASS</x:v>
      </x:c>
      <x:c r="F13" t="str">
        <x:f>'Architecture Build'!AC9</x:f>
        <x:v>PASS</x:v>
      </x:c>
      <x:c r="G13" t="str">
        <x:v>'Architecture Build'!AC9</x:v>
      </x:c>
      <x:c r="H13" t="str">
        <x:v>planning constitution</x:v>
      </x:c>
      <x:c r="I13" t="str">
        <x:f>IF(E13=F13,"PASS","FAIL")</x:f>
        <x:v>PASS</x:v>
      </x:c>
    </x:row>
    <x:row r="14">
      <x:c r="B14" t="str">
        <x:v>PL-ART-01</x:v>
      </x:c>
      <x:c r="C14" t="str">
        <x:v>planning</x:v>
      </x:c>
      <x:c r="D14" t="str">
        <x:v>article assignment</x:v>
      </x:c>
      <x:c r="E14" t="str">
        <x:v>PASS</x:v>
      </x:c>
      <x:c r="F14" t="str">
        <x:f>'Article Bank'!M7</x:f>
        <x:v>PASS</x:v>
      </x:c>
      <x:c r="G14" t="str">
        <x:v>'Article Bank'!M7</x:v>
      </x:c>
      <x:c r="H14" t="str">
        <x:v>planning constitution</x:v>
      </x:c>
      <x:c r="I14" t="str">
        <x:f>IF(E14=F14,"PASS","FAIL")</x:f>
        <x:v>PASS</x:v>
      </x:c>
    </x:row>
    <x:row r="15">
      <x:c r="B15" t="str">
        <x:v>PL-ART-02</x:v>
      </x:c>
      <x:c r="C15" t="str">
        <x:v>planning</x:v>
      </x:c>
      <x:c r="D15" t="str">
        <x:v>article assignment</x:v>
      </x:c>
      <x:c r="E15" t="str">
        <x:v>PASS</x:v>
      </x:c>
      <x:c r="F15" t="str">
        <x:f>'Article Bank'!M8</x:f>
        <x:v>PASS</x:v>
      </x:c>
      <x:c r="G15" t="str">
        <x:v>'Article Bank'!M8</x:v>
      </x:c>
      <x:c r="H15" t="str">
        <x:v>planning constitution</x:v>
      </x:c>
      <x:c r="I15" t="str">
        <x:f>IF(E15=F15,"PASS","FAIL")</x:f>
        <x:v>PASS</x:v>
      </x:c>
    </x:row>
    <x:row r="16">
      <x:c r="B16" t="str">
        <x:v>PL-ART-03</x:v>
      </x:c>
      <x:c r="C16" t="str">
        <x:v>planning</x:v>
      </x:c>
      <x:c r="D16" t="str">
        <x:v>article assignment</x:v>
      </x:c>
      <x:c r="E16" t="str">
        <x:v>PASS</x:v>
      </x:c>
      <x:c r="F16" t="str">
        <x:f>'Article Bank'!M9</x:f>
        <x:v>PASS</x:v>
      </x:c>
      <x:c r="G16" t="str">
        <x:v>'Article Bank'!M9</x:v>
      </x:c>
      <x:c r="H16" t="str">
        <x:v>planning constitution</x:v>
      </x:c>
      <x:c r="I16" t="str">
        <x:f>IF(E16=F16,"PASS","FAIL")</x:f>
        <x:v>PASS</x:v>
      </x:c>
    </x:row>
    <x:row r="17">
      <x:c r="B17" t="str">
        <x:v>PL-ART-04</x:v>
      </x:c>
      <x:c r="C17" t="str">
        <x:v>planning</x:v>
      </x:c>
      <x:c r="D17" t="str">
        <x:v>article assignment</x:v>
      </x:c>
      <x:c r="E17" t="str">
        <x:v>PASS</x:v>
      </x:c>
      <x:c r="F17" t="str">
        <x:f>'Article Bank'!M10</x:f>
        <x:v>PASS</x:v>
      </x:c>
      <x:c r="G17" t="str">
        <x:v>'Article Bank'!M10</x:v>
      </x:c>
      <x:c r="H17" t="str">
        <x:v>planning constitution</x:v>
      </x:c>
      <x:c r="I17" t="str">
        <x:f>IF(E17=F17,"PASS","FAIL")</x:f>
        <x:v>PASS</x:v>
      </x:c>
    </x:row>
    <x:row r="18">
      <x:c r="B18" t="str">
        <x:v>PL-ART-05</x:v>
      </x:c>
      <x:c r="C18" t="str">
        <x:v>planning</x:v>
      </x:c>
      <x:c r="D18" t="str">
        <x:v>article assignment</x:v>
      </x:c>
      <x:c r="E18" t="str">
        <x:v>PASS</x:v>
      </x:c>
      <x:c r="F18" t="str">
        <x:f>'Article Bank'!M11</x:f>
        <x:v>PASS</x:v>
      </x:c>
      <x:c r="G18" t="str">
        <x:v>'Article Bank'!M11</x:v>
      </x:c>
      <x:c r="H18" t="str">
        <x:v>planning constitution</x:v>
      </x:c>
      <x:c r="I18" t="str">
        <x:f>IF(E18=F18,"PASS","FAIL")</x:f>
        <x:v>PASS</x:v>
      </x:c>
    </x:row>
    <x:row r="19">
      <x:c r="B19" t="str">
        <x:v>PL-ART-06</x:v>
      </x:c>
      <x:c r="C19" t="str">
        <x:v>planning</x:v>
      </x:c>
      <x:c r="D19" t="str">
        <x:v>article assignment</x:v>
      </x:c>
      <x:c r="E19" t="str">
        <x:v>PASS</x:v>
      </x:c>
      <x:c r="F19" t="str">
        <x:f>'Article Bank'!M12</x:f>
        <x:v>PASS</x:v>
      </x:c>
      <x:c r="G19" t="str">
        <x:v>'Article Bank'!M12</x:v>
      </x:c>
      <x:c r="H19" t="str">
        <x:v>planning constitution</x:v>
      </x:c>
      <x:c r="I19" t="str">
        <x:f>IF(E19=F19,"PASS","FAIL")</x:f>
        <x:v>PASS</x:v>
      </x:c>
    </x:row>
    <x:row r="20">
      <x:c r="B20" t="str">
        <x:v>PL-ART-07</x:v>
      </x:c>
      <x:c r="C20" t="str">
        <x:v>planning</x:v>
      </x:c>
      <x:c r="D20" t="str">
        <x:v>article assignment</x:v>
      </x:c>
      <x:c r="E20" t="str">
        <x:v>PASS</x:v>
      </x:c>
      <x:c r="F20" t="str">
        <x:f>'Article Bank'!M13</x:f>
        <x:v>PASS</x:v>
      </x:c>
      <x:c r="G20" t="str">
        <x:v>'Article Bank'!M13</x:v>
      </x:c>
      <x:c r="H20" t="str">
        <x:v>planning constitution</x:v>
      </x:c>
      <x:c r="I20" t="str">
        <x:f>IF(E20=F20,"PASS","FAIL")</x:f>
        <x:v>PASS</x:v>
      </x:c>
    </x:row>
    <x:row r="21">
      <x:c r="B21" t="str">
        <x:v>PL-ART-08</x:v>
      </x:c>
      <x:c r="C21" t="str">
        <x:v>planning</x:v>
      </x:c>
      <x:c r="D21" t="str">
        <x:v>article assignment</x:v>
      </x:c>
      <x:c r="E21" t="str">
        <x:v>PASS</x:v>
      </x:c>
      <x:c r="F21" t="str">
        <x:f>'Article Bank'!M14</x:f>
        <x:v>PASS</x:v>
      </x:c>
      <x:c r="G21" t="str">
        <x:v>'Article Bank'!M14</x:v>
      </x:c>
      <x:c r="H21" t="str">
        <x:v>planning constitution</x:v>
      </x:c>
      <x:c r="I21" t="str">
        <x:f>IF(E21=F21,"PASS","FAIL")</x:f>
        <x:v>PASS</x:v>
      </x:c>
    </x:row>
    <x:row r="22">
      <x:c r="B22" t="str">
        <x:v>PL-ART-09</x:v>
      </x:c>
      <x:c r="C22" t="str">
        <x:v>planning</x:v>
      </x:c>
      <x:c r="D22" t="str">
        <x:v>article assignment</x:v>
      </x:c>
      <x:c r="E22" t="str">
        <x:v>PASS</x:v>
      </x:c>
      <x:c r="F22" t="str">
        <x:f>'Article Bank'!M15</x:f>
        <x:v>PASS</x:v>
      </x:c>
      <x:c r="G22" t="str">
        <x:v>'Article Bank'!M15</x:v>
      </x:c>
      <x:c r="H22" t="str">
        <x:v>planning constitution</x:v>
      </x:c>
      <x:c r="I22" t="str">
        <x:f>IF(E22=F22,"PASS","FAIL")</x:f>
        <x:v>PASS</x:v>
      </x:c>
    </x:row>
    <x:row r="23">
      <x:c r="B23" t="str">
        <x:v>PL-ART-10</x:v>
      </x:c>
      <x:c r="C23" t="str">
        <x:v>planning</x:v>
      </x:c>
      <x:c r="D23" t="str">
        <x:v>article assignment</x:v>
      </x:c>
      <x:c r="E23" t="str">
        <x:v>PASS</x:v>
      </x:c>
      <x:c r="F23" t="str">
        <x:f>'Article Bank'!M16</x:f>
        <x:v>PASS</x:v>
      </x:c>
      <x:c r="G23" t="str">
        <x:v>'Article Bank'!M16</x:v>
      </x:c>
      <x:c r="H23" t="str">
        <x:v>planning constitution</x:v>
      </x:c>
      <x:c r="I23" t="str">
        <x:f>IF(E23=F23,"PASS","FAIL")</x:f>
        <x:v>PASS</x:v>
      </x:c>
    </x:row>
    <x:row r="24">
      <x:c r="B24" t="str">
        <x:v>PL-ART-11</x:v>
      </x:c>
      <x:c r="C24" t="str">
        <x:v>planning</x:v>
      </x:c>
      <x:c r="D24" t="str">
        <x:v>article assignment</x:v>
      </x:c>
      <x:c r="E24" t="str">
        <x:v>PASS</x:v>
      </x:c>
      <x:c r="F24" t="str">
        <x:f>'Article Bank'!M17</x:f>
        <x:v>PASS</x:v>
      </x:c>
      <x:c r="G24" t="str">
        <x:v>'Article Bank'!M17</x:v>
      </x:c>
      <x:c r="H24" t="str">
        <x:v>planning constitution</x:v>
      </x:c>
      <x:c r="I24" t="str">
        <x:f>IF(E24=F24,"PASS","FAIL")</x:f>
        <x:v>PASS</x:v>
      </x:c>
    </x:row>
    <x:row r="25">
      <x:c r="B25" t="str">
        <x:v>PL-ART-12</x:v>
      </x:c>
      <x:c r="C25" t="str">
        <x:v>planning</x:v>
      </x:c>
      <x:c r="D25" t="str">
        <x:v>article assignment</x:v>
      </x:c>
      <x:c r="E25" t="str">
        <x:v>PASS</x:v>
      </x:c>
      <x:c r="F25" t="str">
        <x:f>'Article Bank'!M18</x:f>
        <x:v>PASS</x:v>
      </x:c>
      <x:c r="G25" t="str">
        <x:v>'Article Bank'!M18</x:v>
      </x:c>
      <x:c r="H25" t="str">
        <x:v>planning constitution</x:v>
      </x:c>
      <x:c r="I25" t="str">
        <x:f>IF(E25=F25,"PASS","FAIL")</x:f>
        <x:v>PASS</x:v>
      </x:c>
    </x:row>
    <x:row r="26">
      <x:c r="B26" t="str">
        <x:v>PL-ART-13</x:v>
      </x:c>
      <x:c r="C26" t="str">
        <x:v>planning</x:v>
      </x:c>
      <x:c r="D26" t="str">
        <x:v>article assignment</x:v>
      </x:c>
      <x:c r="E26" t="str">
        <x:v>PASS</x:v>
      </x:c>
      <x:c r="F26" t="str">
        <x:f>'Article Bank'!M19</x:f>
        <x:v>PASS</x:v>
      </x:c>
      <x:c r="G26" t="str">
        <x:v>'Article Bank'!M19</x:v>
      </x:c>
      <x:c r="H26" t="str">
        <x:v>planning constitution</x:v>
      </x:c>
      <x:c r="I26" t="str">
        <x:f>IF(E26=F26,"PASS","FAIL")</x:f>
        <x:v>PASS</x:v>
      </x:c>
    </x:row>
    <x:row r="27">
      <x:c r="B27" t="str">
        <x:v>PL-ART-14</x:v>
      </x:c>
      <x:c r="C27" t="str">
        <x:v>planning</x:v>
      </x:c>
      <x:c r="D27" t="str">
        <x:v>article assignment</x:v>
      </x:c>
      <x:c r="E27" t="str">
        <x:v>PASS</x:v>
      </x:c>
      <x:c r="F27" t="str">
        <x:f>'Article Bank'!M20</x:f>
        <x:v>PASS</x:v>
      </x:c>
      <x:c r="G27" t="str">
        <x:v>'Article Bank'!M20</x:v>
      </x:c>
      <x:c r="H27" t="str">
        <x:v>planning constitution</x:v>
      </x:c>
      <x:c r="I27" t="str">
        <x:f>IF(E27=F27,"PASS","FAIL")</x:f>
        <x:v>PASS</x:v>
      </x:c>
    </x:row>
    <x:row r="28">
      <x:c r="B28" t="str">
        <x:v>PL-ART-15</x:v>
      </x:c>
      <x:c r="C28" t="str">
        <x:v>planning</x:v>
      </x:c>
      <x:c r="D28" t="str">
        <x:v>article assignment</x:v>
      </x:c>
      <x:c r="E28" t="str">
        <x:v>PASS</x:v>
      </x:c>
      <x:c r="F28" t="str">
        <x:f>'Article Bank'!M21</x:f>
        <x:v>PASS</x:v>
      </x:c>
      <x:c r="G28" t="str">
        <x:v>'Article Bank'!M21</x:v>
      </x:c>
      <x:c r="H28" t="str">
        <x:v>planning constitution</x:v>
      </x:c>
      <x:c r="I28" t="str">
        <x:f>IF(E28=F28,"PASS","FAIL")</x:f>
        <x:v>PASS</x:v>
      </x:c>
    </x:row>
    <x:row r="29">
      <x:c r="B29" t="str">
        <x:v>PL-ART-16</x:v>
      </x:c>
      <x:c r="C29" t="str">
        <x:v>planning</x:v>
      </x:c>
      <x:c r="D29" t="str">
        <x:v>article assignment</x:v>
      </x:c>
      <x:c r="E29" t="str">
        <x:v>PASS</x:v>
      </x:c>
      <x:c r="F29" t="str">
        <x:f>'Article Bank'!M22</x:f>
        <x:v>PASS</x:v>
      </x:c>
      <x:c r="G29" t="str">
        <x:v>'Article Bank'!M22</x:v>
      </x:c>
      <x:c r="H29" t="str">
        <x:v>planning constitution</x:v>
      </x:c>
      <x:c r="I29" t="str">
        <x:f>IF(E29=F29,"PASS","FAIL")</x:f>
        <x:v>PASS</x:v>
      </x:c>
    </x:row>
    <x:row r="30">
      <x:c r="B30" t="str">
        <x:v>PL-ART-17</x:v>
      </x:c>
      <x:c r="C30" t="str">
        <x:v>planning</x:v>
      </x:c>
      <x:c r="D30" t="str">
        <x:v>article assignment</x:v>
      </x:c>
      <x:c r="E30" t="str">
        <x:v>PASS</x:v>
      </x:c>
      <x:c r="F30" t="str">
        <x:f>'Article Bank'!M23</x:f>
        <x:v>PASS</x:v>
      </x:c>
      <x:c r="G30" t="str">
        <x:v>'Article Bank'!M23</x:v>
      </x:c>
      <x:c r="H30" t="str">
        <x:v>planning constitution</x:v>
      </x:c>
      <x:c r="I30" t="str">
        <x:f>IF(E30=F30,"PASS","FAIL")</x:f>
        <x:v>PASS</x:v>
      </x:c>
    </x:row>
    <x:row r="31">
      <x:c r="B31" t="str">
        <x:v>PL-ART-18</x:v>
      </x:c>
      <x:c r="C31" t="str">
        <x:v>planning</x:v>
      </x:c>
      <x:c r="D31" t="str">
        <x:v>article assignment</x:v>
      </x:c>
      <x:c r="E31" t="str">
        <x:v>PASS</x:v>
      </x:c>
      <x:c r="F31" t="str">
        <x:f>'Article Bank'!M24</x:f>
        <x:v>PASS</x:v>
      </x:c>
      <x:c r="G31" t="str">
        <x:v>'Article Bank'!M24</x:v>
      </x:c>
      <x:c r="H31" t="str">
        <x:v>planning constitution</x:v>
      </x:c>
      <x:c r="I31" t="str">
        <x:f>IF(E31=F31,"PASS","FAIL")</x:f>
        <x:v>PASS</x:v>
      </x:c>
    </x:row>
    <x:row r="32">
      <x:c r="B32" t="str">
        <x:v>PL-ART-19</x:v>
      </x:c>
      <x:c r="C32" t="str">
        <x:v>planning</x:v>
      </x:c>
      <x:c r="D32" t="str">
        <x:v>article assignment</x:v>
      </x:c>
      <x:c r="E32" t="str">
        <x:v>PASS</x:v>
      </x:c>
      <x:c r="F32" t="str">
        <x:f>'Article Bank'!M25</x:f>
        <x:v>PASS</x:v>
      </x:c>
      <x:c r="G32" t="str">
        <x:v>'Article Bank'!M25</x:v>
      </x:c>
      <x:c r="H32" t="str">
        <x:v>planning constitution</x:v>
      </x:c>
      <x:c r="I32" t="str">
        <x:f>IF(E32=F32,"PASS","FAIL")</x:f>
        <x:v>PASS</x:v>
      </x:c>
    </x:row>
    <x:row r="33">
      <x:c r="B33" t="str">
        <x:v>PL-ART-20</x:v>
      </x:c>
      <x:c r="C33" t="str">
        <x:v>planning</x:v>
      </x:c>
      <x:c r="D33" t="str">
        <x:v>article assignment</x:v>
      </x:c>
      <x:c r="E33" t="str">
        <x:v>PASS</x:v>
      </x:c>
      <x:c r="F33" t="str">
        <x:f>'Article Bank'!M26</x:f>
        <x:v>PASS</x:v>
      </x:c>
      <x:c r="G33" t="str">
        <x:v>'Article Bank'!M26</x:v>
      </x:c>
      <x:c r="H33" t="str">
        <x:v>planning constitution</x:v>
      </x:c>
      <x:c r="I33" t="str">
        <x:f>IF(E33=F33,"PASS","FAIL")</x:f>
        <x:v>PASS</x:v>
      </x:c>
    </x:row>
    <x:row r="34">
      <x:c r="B34" t="str">
        <x:v>PL-ART-21</x:v>
      </x:c>
      <x:c r="C34" t="str">
        <x:v>planning</x:v>
      </x:c>
      <x:c r="D34" t="str">
        <x:v>article assignment</x:v>
      </x:c>
      <x:c r="E34" t="str">
        <x:v>PASS</x:v>
      </x:c>
      <x:c r="F34" t="str">
        <x:f>'Article Bank'!M27</x:f>
        <x:v>PASS</x:v>
      </x:c>
      <x:c r="G34" t="str">
        <x:v>'Article Bank'!M27</x:v>
      </x:c>
      <x:c r="H34" t="str">
        <x:v>planning constitution</x:v>
      </x:c>
      <x:c r="I34" t="str">
        <x:f>IF(E34=F34,"PASS","FAIL")</x:f>
        <x:v>PASS</x:v>
      </x:c>
    </x:row>
    <x:row r="35">
      <x:c r="B35" t="str">
        <x:v>PL-ART-22</x:v>
      </x:c>
      <x:c r="C35" t="str">
        <x:v>planning</x:v>
      </x:c>
      <x:c r="D35" t="str">
        <x:v>article assignment</x:v>
      </x:c>
      <x:c r="E35" t="str">
        <x:v>PASS</x:v>
      </x:c>
      <x:c r="F35" t="str">
        <x:f>'Article Bank'!M28</x:f>
        <x:v>PASS</x:v>
      </x:c>
      <x:c r="G35" t="str">
        <x:v>'Article Bank'!M28</x:v>
      </x:c>
      <x:c r="H35" t="str">
        <x:v>planning constitution</x:v>
      </x:c>
      <x:c r="I35" t="str">
        <x:f>IF(E35=F35,"PASS","FAIL")</x:f>
        <x:v>PASS</x:v>
      </x:c>
    </x:row>
    <x:row r="36">
      <x:c r="B36" t="str">
        <x:v>PL-ART-23</x:v>
      </x:c>
      <x:c r="C36" t="str">
        <x:v>planning</x:v>
      </x:c>
      <x:c r="D36" t="str">
        <x:v>article assignment</x:v>
      </x:c>
      <x:c r="E36" t="str">
        <x:v>PASS</x:v>
      </x:c>
      <x:c r="F36" t="str">
        <x:f>'Article Bank'!M29</x:f>
        <x:v>PASS</x:v>
      </x:c>
      <x:c r="G36" t="str">
        <x:v>'Article Bank'!M29</x:v>
      </x:c>
      <x:c r="H36" t="str">
        <x:v>planning constitution</x:v>
      </x:c>
      <x:c r="I36" t="str">
        <x:f>IF(E36=F36,"PASS","FAIL")</x:f>
        <x:v>PASS</x:v>
      </x:c>
    </x:row>
    <x:row r="37">
      <x:c r="B37" t="str">
        <x:v>PL-ART-24</x:v>
      </x:c>
      <x:c r="C37" t="str">
        <x:v>planning</x:v>
      </x:c>
      <x:c r="D37" t="str">
        <x:v>article assignment</x:v>
      </x:c>
      <x:c r="E37" t="str">
        <x:v>PASS</x:v>
      </x:c>
      <x:c r="F37" t="str">
        <x:f>'Article Bank'!M30</x:f>
        <x:v>PASS</x:v>
      </x:c>
      <x:c r="G37" t="str">
        <x:v>'Article Bank'!M30</x:v>
      </x:c>
      <x:c r="H37" t="str">
        <x:v>planning constitution</x:v>
      </x:c>
      <x:c r="I37" t="str">
        <x:f>IF(E37=F37,"PASS","FAIL")</x:f>
        <x:v>PASS</x:v>
      </x:c>
    </x:row>
    <x:row r="38">
      <x:c r="B38" t="str">
        <x:v>PL-ART-25</x:v>
      </x:c>
      <x:c r="C38" t="str">
        <x:v>planning</x:v>
      </x:c>
      <x:c r="D38" t="str">
        <x:v>article assignment</x:v>
      </x:c>
      <x:c r="E38" t="str">
        <x:v>PASS</x:v>
      </x:c>
      <x:c r="F38" t="str">
        <x:f>'Article Bank'!M31</x:f>
        <x:v>PASS</x:v>
      </x:c>
      <x:c r="G38" t="str">
        <x:v>'Article Bank'!M31</x:v>
      </x:c>
      <x:c r="H38" t="str">
        <x:v>planning constitution</x:v>
      </x:c>
      <x:c r="I38" t="str">
        <x:f>IF(E38=F38,"PASS","FAIL")</x:f>
        <x:v>PASS</x:v>
      </x:c>
    </x:row>
    <x:row r="39">
      <x:c r="B39" t="str">
        <x:v>PL-ART-26</x:v>
      </x:c>
      <x:c r="C39" t="str">
        <x:v>planning</x:v>
      </x:c>
      <x:c r="D39" t="str">
        <x:v>article assignment</x:v>
      </x:c>
      <x:c r="E39" t="str">
        <x:v>PASS</x:v>
      </x:c>
      <x:c r="F39" t="str">
        <x:f>'Article Bank'!M32</x:f>
        <x:v>PASS</x:v>
      </x:c>
      <x:c r="G39" t="str">
        <x:v>'Article Bank'!M32</x:v>
      </x:c>
      <x:c r="H39" t="str">
        <x:v>planning constitution</x:v>
      </x:c>
      <x:c r="I39" t="str">
        <x:f>IF(E39=F39,"PASS","FAIL")</x:f>
        <x:v>PASS</x:v>
      </x:c>
    </x:row>
    <x:row r="40">
      <x:c r="B40" t="str">
        <x:v>PL-ART-27</x:v>
      </x:c>
      <x:c r="C40" t="str">
        <x:v>planning</x:v>
      </x:c>
      <x:c r="D40" t="str">
        <x:v>article assignment</x:v>
      </x:c>
      <x:c r="E40" t="str">
        <x:v>PASS</x:v>
      </x:c>
      <x:c r="F40" t="str">
        <x:f>'Article Bank'!M33</x:f>
        <x:v>PASS</x:v>
      </x:c>
      <x:c r="G40" t="str">
        <x:v>'Article Bank'!M33</x:v>
      </x:c>
      <x:c r="H40" t="str">
        <x:v>planning constitution</x:v>
      </x:c>
      <x:c r="I40" t="str">
        <x:f>IF(E40=F40,"PASS","FAIL")</x:f>
        <x:v>PASS</x:v>
      </x:c>
    </x:row>
    <x:row r="41">
      <x:c r="B41" t="str">
        <x:v>PL-ART-28</x:v>
      </x:c>
      <x:c r="C41" t="str">
        <x:v>planning</x:v>
      </x:c>
      <x:c r="D41" t="str">
        <x:v>article assignment</x:v>
      </x:c>
      <x:c r="E41" t="str">
        <x:v>PASS</x:v>
      </x:c>
      <x:c r="F41" t="str">
        <x:f>'Article Bank'!M34</x:f>
        <x:v>PASS</x:v>
      </x:c>
      <x:c r="G41" t="str">
        <x:v>'Article Bank'!M34</x:v>
      </x:c>
      <x:c r="H41" t="str">
        <x:v>planning constitution</x:v>
      </x:c>
      <x:c r="I41" t="str">
        <x:f>IF(E41=F41,"PASS","FAIL")</x:f>
        <x:v>PASS</x:v>
      </x:c>
    </x:row>
    <x:row r="42">
      <x:c r="B42" t="str">
        <x:v>PL-ART-29</x:v>
      </x:c>
      <x:c r="C42" t="str">
        <x:v>planning</x:v>
      </x:c>
      <x:c r="D42" t="str">
        <x:v>article assignment</x:v>
      </x:c>
      <x:c r="E42" t="str">
        <x:v>PASS</x:v>
      </x:c>
      <x:c r="F42" t="str">
        <x:f>'Article Bank'!M35</x:f>
        <x:v>PASS</x:v>
      </x:c>
      <x:c r="G42" t="str">
        <x:v>'Article Bank'!M35</x:v>
      </x:c>
      <x:c r="H42" t="str">
        <x:v>planning constitution</x:v>
      </x:c>
      <x:c r="I42" t="str">
        <x:f>IF(E42=F42,"PASS","FAIL")</x:f>
        <x:v>PASS</x:v>
      </x:c>
    </x:row>
    <x:row r="43">
      <x:c r="B43" t="str">
        <x:v>PL-ART-30</x:v>
      </x:c>
      <x:c r="C43" t="str">
        <x:v>planning</x:v>
      </x:c>
      <x:c r="D43" t="str">
        <x:v>article assignment</x:v>
      </x:c>
      <x:c r="E43" t="str">
        <x:v>PASS</x:v>
      </x:c>
      <x:c r="F43" t="str">
        <x:f>'Article Bank'!M36</x:f>
        <x:v>PASS</x:v>
      </x:c>
      <x:c r="G43" t="str">
        <x:v>'Article Bank'!M36</x:v>
      </x:c>
      <x:c r="H43" t="str">
        <x:v>planning constitution</x:v>
      </x:c>
      <x:c r="I43" t="str">
        <x:f>IF(E43=F43,"PASS","FAIL")</x:f>
        <x:v>PASS</x:v>
      </x:c>
    </x:row>
    <x:row r="44">
      <x:c r="B44" t="str">
        <x:v>PL-ART-31</x:v>
      </x:c>
      <x:c r="C44" t="str">
        <x:v>planning</x:v>
      </x:c>
      <x:c r="D44" t="str">
        <x:v>article assignment</x:v>
      </x:c>
      <x:c r="E44" t="str">
        <x:v>PASS</x:v>
      </x:c>
      <x:c r="F44" t="str">
        <x:f>'Article Bank'!M37</x:f>
        <x:v>PASS</x:v>
      </x:c>
      <x:c r="G44" t="str">
        <x:v>'Article Bank'!M37</x:v>
      </x:c>
      <x:c r="H44" t="str">
        <x:v>planning constitution</x:v>
      </x:c>
      <x:c r="I44" t="str">
        <x:f>IF(E44=F44,"PASS","FAIL")</x:f>
        <x:v>PASS</x:v>
      </x:c>
    </x:row>
    <x:row r="45">
      <x:c r="B45" t="str">
        <x:v>PL-ART-32</x:v>
      </x:c>
      <x:c r="C45" t="str">
        <x:v>planning</x:v>
      </x:c>
      <x:c r="D45" t="str">
        <x:v>article assignment</x:v>
      </x:c>
      <x:c r="E45" t="str">
        <x:v>PASS</x:v>
      </x:c>
      <x:c r="F45" t="str">
        <x:f>'Article Bank'!M38</x:f>
        <x:v>PASS</x:v>
      </x:c>
      <x:c r="G45" t="str">
        <x:v>'Article Bank'!M38</x:v>
      </x:c>
      <x:c r="H45" t="str">
        <x:v>planning constitution</x:v>
      </x:c>
      <x:c r="I45" t="str">
        <x:f>IF(E45=F45,"PASS","FAIL")</x:f>
        <x:v>PASS</x:v>
      </x:c>
    </x:row>
    <x:row r="46">
      <x:c r="B46" t="str">
        <x:v>PL-ART-33</x:v>
      </x:c>
      <x:c r="C46" t="str">
        <x:v>planning</x:v>
      </x:c>
      <x:c r="D46" t="str">
        <x:v>article assignment</x:v>
      </x:c>
      <x:c r="E46" t="str">
        <x:v>PASS</x:v>
      </x:c>
      <x:c r="F46" t="str">
        <x:f>'Article Bank'!M39</x:f>
        <x:v>PASS</x:v>
      </x:c>
      <x:c r="G46" t="str">
        <x:v>'Article Bank'!M39</x:v>
      </x:c>
      <x:c r="H46" t="str">
        <x:v>planning constitution</x:v>
      </x:c>
      <x:c r="I46" t="str">
        <x:f>IF(E46=F46,"PASS","FAIL")</x:f>
        <x:v>PASS</x:v>
      </x:c>
    </x:row>
    <x:row r="47">
      <x:c r="B47" t="str">
        <x:v>PL-ART-34</x:v>
      </x:c>
      <x:c r="C47" t="str">
        <x:v>planning</x:v>
      </x:c>
      <x:c r="D47" t="str">
        <x:v>article assignment</x:v>
      </x:c>
      <x:c r="E47" t="str">
        <x:v>PASS</x:v>
      </x:c>
      <x:c r="F47" t="str">
        <x:f>'Article Bank'!M40</x:f>
        <x:v>PASS</x:v>
      </x:c>
      <x:c r="G47" t="str">
        <x:v>'Article Bank'!M40</x:v>
      </x:c>
      <x:c r="H47" t="str">
        <x:v>planning constitution</x:v>
      </x:c>
      <x:c r="I47" t="str">
        <x:f>IF(E47=F47,"PASS","FAIL")</x:f>
        <x:v>PASS</x:v>
      </x:c>
    </x:row>
    <x:row r="48">
      <x:c r="B48" t="str">
        <x:v>PL-ART-35</x:v>
      </x:c>
      <x:c r="C48" t="str">
        <x:v>planning</x:v>
      </x:c>
      <x:c r="D48" t="str">
        <x:v>article assignment</x:v>
      </x:c>
      <x:c r="E48" t="str">
        <x:v>PASS</x:v>
      </x:c>
      <x:c r="F48" t="str">
        <x:f>'Article Bank'!M41</x:f>
        <x:v>PASS</x:v>
      </x:c>
      <x:c r="G48" t="str">
        <x:v>'Article Bank'!M41</x:v>
      </x:c>
      <x:c r="H48" t="str">
        <x:v>planning constitution</x:v>
      </x:c>
      <x:c r="I48" t="str">
        <x:f>IF(E48=F48,"PASS","FAIL")</x:f>
        <x:v>PASS</x:v>
      </x:c>
    </x:row>
    <x:row r="49">
      <x:c r="B49" t="str">
        <x:v>PL-ART-36</x:v>
      </x:c>
      <x:c r="C49" t="str">
        <x:v>planning</x:v>
      </x:c>
      <x:c r="D49" t="str">
        <x:v>article assignment</x:v>
      </x:c>
      <x:c r="E49" t="str">
        <x:v>PASS</x:v>
      </x:c>
      <x:c r="F49" t="str">
        <x:f>'Article Bank'!M42</x:f>
        <x:v>PASS</x:v>
      </x:c>
      <x:c r="G49" t="str">
        <x:v>'Article Bank'!M42</x:v>
      </x:c>
      <x:c r="H49" t="str">
        <x:v>planning constitution</x:v>
      </x:c>
      <x:c r="I49" t="str">
        <x:f>IF(E49=F49,"PASS","FAIL")</x:f>
        <x:v>PASS</x:v>
      </x:c>
    </x:row>
    <x:row r="50">
      <x:c r="B50" t="str">
        <x:v>PL-ART-37</x:v>
      </x:c>
      <x:c r="C50" t="str">
        <x:v>planning</x:v>
      </x:c>
      <x:c r="D50" t="str">
        <x:v>article assignment</x:v>
      </x:c>
      <x:c r="E50" t="str">
        <x:v>PASS</x:v>
      </x:c>
      <x:c r="F50" t="str">
        <x:f>'Article Bank'!M43</x:f>
        <x:v>PASS</x:v>
      </x:c>
      <x:c r="G50" t="str">
        <x:v>'Article Bank'!M43</x:v>
      </x:c>
      <x:c r="H50" t="str">
        <x:v>planning constitution</x:v>
      </x:c>
      <x:c r="I50" t="str">
        <x:f>IF(E50=F50,"PASS","FAIL")</x:f>
        <x:v>PASS</x:v>
      </x:c>
    </x:row>
    <x:row r="51">
      <x:c r="B51" t="str">
        <x:v>PL-ART-38</x:v>
      </x:c>
      <x:c r="C51" t="str">
        <x:v>planning</x:v>
      </x:c>
      <x:c r="D51" t="str">
        <x:v>article assignment</x:v>
      </x:c>
      <x:c r="E51" t="str">
        <x:v>PASS</x:v>
      </x:c>
      <x:c r="F51" t="str">
        <x:f>'Article Bank'!M44</x:f>
        <x:v>PASS</x:v>
      </x:c>
      <x:c r="G51" t="str">
        <x:v>'Article Bank'!M44</x:v>
      </x:c>
      <x:c r="H51" t="str">
        <x:v>planning constitution</x:v>
      </x:c>
      <x:c r="I51" t="str">
        <x:f>IF(E51=F51,"PASS","FAIL")</x:f>
        <x:v>PASS</x:v>
      </x:c>
    </x:row>
    <x:row r="52">
      <x:c r="B52" t="str">
        <x:v>PL-ART-39</x:v>
      </x:c>
      <x:c r="C52" t="str">
        <x:v>planning</x:v>
      </x:c>
      <x:c r="D52" t="str">
        <x:v>article assignment</x:v>
      </x:c>
      <x:c r="E52" t="str">
        <x:v>PASS</x:v>
      </x:c>
      <x:c r="F52" t="str">
        <x:f>'Article Bank'!M45</x:f>
        <x:v>PASS</x:v>
      </x:c>
      <x:c r="G52" t="str">
        <x:v>'Article Bank'!M45</x:v>
      </x:c>
      <x:c r="H52" t="str">
        <x:v>planning constitution</x:v>
      </x:c>
      <x:c r="I52" t="str">
        <x:f>IF(E52=F52,"PASS","FAIL")</x:f>
        <x:v>PASS</x:v>
      </x:c>
    </x:row>
    <x:row r="53">
      <x:c r="B53" t="str">
        <x:v>PL-ART-40</x:v>
      </x:c>
      <x:c r="C53" t="str">
        <x:v>planning</x:v>
      </x:c>
      <x:c r="D53" t="str">
        <x:v>article assignment</x:v>
      </x:c>
      <x:c r="E53" t="str">
        <x:v>PASS</x:v>
      </x:c>
      <x:c r="F53" t="str">
        <x:f>'Article Bank'!M46</x:f>
        <x:v>PASS</x:v>
      </x:c>
      <x:c r="G53" t="str">
        <x:v>'Article Bank'!M46</x:v>
      </x:c>
      <x:c r="H53" t="str">
        <x:v>planning constitution</x:v>
      </x:c>
      <x:c r="I53" t="str">
        <x:f>IF(E53=F53,"PASS","FAIL")</x:f>
        <x:v>PASS</x:v>
      </x:c>
    </x:row>
    <x:row r="54">
      <x:c r="B54" t="str">
        <x:v>PL-ART-41</x:v>
      </x:c>
      <x:c r="C54" t="str">
        <x:v>planning</x:v>
      </x:c>
      <x:c r="D54" t="str">
        <x:v>article assignment</x:v>
      </x:c>
      <x:c r="E54" t="str">
        <x:v>PASS</x:v>
      </x:c>
      <x:c r="F54" t="str">
        <x:f>'Article Bank'!M47</x:f>
        <x:v>PASS</x:v>
      </x:c>
      <x:c r="G54" t="str">
        <x:v>'Article Bank'!M47</x:v>
      </x:c>
      <x:c r="H54" t="str">
        <x:v>planning constitution</x:v>
      </x:c>
      <x:c r="I54" t="str">
        <x:f>IF(E54=F54,"PASS","FAIL")</x:f>
        <x:v>PASS</x:v>
      </x:c>
    </x:row>
    <x:row r="55">
      <x:c r="B55" t="str">
        <x:v>PL-ART-42</x:v>
      </x:c>
      <x:c r="C55" t="str">
        <x:v>planning</x:v>
      </x:c>
      <x:c r="D55" t="str">
        <x:v>article assignment</x:v>
      </x:c>
      <x:c r="E55" t="str">
        <x:v>PASS</x:v>
      </x:c>
      <x:c r="F55" t="str">
        <x:f>'Article Bank'!M48</x:f>
        <x:v>PASS</x:v>
      </x:c>
      <x:c r="G55" t="str">
        <x:v>'Article Bank'!M48</x:v>
      </x:c>
      <x:c r="H55" t="str">
        <x:v>planning constitution</x:v>
      </x:c>
      <x:c r="I55" t="str">
        <x:f>IF(E55=F55,"PASS","FAIL")</x:f>
        <x:v>PASS</x:v>
      </x:c>
    </x:row>
    <x:row r="56">
      <x:c r="B56" t="str">
        <x:v>PL-ART-43</x:v>
      </x:c>
      <x:c r="C56" t="str">
        <x:v>planning</x:v>
      </x:c>
      <x:c r="D56" t="str">
        <x:v>article assignment</x:v>
      </x:c>
      <x:c r="E56" t="str">
        <x:v>PASS</x:v>
      </x:c>
      <x:c r="F56" t="str">
        <x:f>'Article Bank'!M49</x:f>
        <x:v>PASS</x:v>
      </x:c>
      <x:c r="G56" t="str">
        <x:v>'Article Bank'!M49</x:v>
      </x:c>
      <x:c r="H56" t="str">
        <x:v>planning constitution</x:v>
      </x:c>
      <x:c r="I56" t="str">
        <x:f>IF(E56=F56,"PASS","FAIL")</x:f>
        <x:v>PASS</x:v>
      </x:c>
    </x:row>
    <x:row r="57">
      <x:c r="B57" t="str">
        <x:v>PL-ART-44</x:v>
      </x:c>
      <x:c r="C57" t="str">
        <x:v>planning</x:v>
      </x:c>
      <x:c r="D57" t="str">
        <x:v>article assignment</x:v>
      </x:c>
      <x:c r="E57" t="str">
        <x:v>PASS</x:v>
      </x:c>
      <x:c r="F57" t="str">
        <x:f>'Article Bank'!M50</x:f>
        <x:v>PASS</x:v>
      </x:c>
      <x:c r="G57" t="str">
        <x:v>'Article Bank'!M50</x:v>
      </x:c>
      <x:c r="H57" t="str">
        <x:v>planning constitution</x:v>
      </x:c>
      <x:c r="I57" t="str">
        <x:f>IF(E57=F57,"PASS","FAIL")</x:f>
        <x:v>PASS</x:v>
      </x:c>
    </x:row>
    <x:row r="58">
      <x:c r="B58" t="str">
        <x:v>PL-ART-45</x:v>
      </x:c>
      <x:c r="C58" t="str">
        <x:v>planning</x:v>
      </x:c>
      <x:c r="D58" t="str">
        <x:v>article assignment</x:v>
      </x:c>
      <x:c r="E58" t="str">
        <x:v>PASS</x:v>
      </x:c>
      <x:c r="F58" t="str">
        <x:f>'Article Bank'!M51</x:f>
        <x:v>PASS</x:v>
      </x:c>
      <x:c r="G58" t="str">
        <x:v>'Article Bank'!M51</x:v>
      </x:c>
      <x:c r="H58" t="str">
        <x:v>planning constitution</x:v>
      </x:c>
      <x:c r="I58" t="str">
        <x:f>IF(E58=F58,"PASS","FAIL")</x:f>
        <x:v>PASS</x:v>
      </x:c>
    </x:row>
    <x:row r="59">
      <x:c r="B59" t="str">
        <x:v>PL-ART-46</x:v>
      </x:c>
      <x:c r="C59" t="str">
        <x:v>planning</x:v>
      </x:c>
      <x:c r="D59" t="str">
        <x:v>article assignment</x:v>
      </x:c>
      <x:c r="E59" t="str">
        <x:v>PASS</x:v>
      </x:c>
      <x:c r="F59" t="str">
        <x:f>'Article Bank'!M52</x:f>
        <x:v>PASS</x:v>
      </x:c>
      <x:c r="G59" t="str">
        <x:v>'Article Bank'!M52</x:v>
      </x:c>
      <x:c r="H59" t="str">
        <x:v>planning constitution</x:v>
      </x:c>
      <x:c r="I59" t="str">
        <x:f>IF(E59=F59,"PASS","FAIL")</x:f>
        <x:v>PASS</x:v>
      </x:c>
    </x:row>
    <x:row r="60">
      <x:c r="B60" t="str">
        <x:v>PL-ART-47</x:v>
      </x:c>
      <x:c r="C60" t="str">
        <x:v>planning</x:v>
      </x:c>
      <x:c r="D60" t="str">
        <x:v>article assignment</x:v>
      </x:c>
      <x:c r="E60" t="str">
        <x:v>PASS</x:v>
      </x:c>
      <x:c r="F60" t="str">
        <x:f>'Article Bank'!M53</x:f>
        <x:v>PASS</x:v>
      </x:c>
      <x:c r="G60" t="str">
        <x:v>'Article Bank'!M53</x:v>
      </x:c>
      <x:c r="H60" t="str">
        <x:v>planning constitution</x:v>
      </x:c>
      <x:c r="I60" t="str">
        <x:f>IF(E60=F60,"PASS","FAIL")</x:f>
        <x:v>PASS</x:v>
      </x:c>
    </x:row>
    <x:row r="61">
      <x:c r="B61" t="str">
        <x:v>PL-ART-48</x:v>
      </x:c>
      <x:c r="C61" t="str">
        <x:v>planning</x:v>
      </x:c>
      <x:c r="D61" t="str">
        <x:v>article assignment</x:v>
      </x:c>
      <x:c r="E61" t="str">
        <x:v>PASS</x:v>
      </x:c>
      <x:c r="F61" t="str">
        <x:f>'Article Bank'!M54</x:f>
        <x:v>PASS</x:v>
      </x:c>
      <x:c r="G61" t="str">
        <x:v>'Article Bank'!M54</x:v>
      </x:c>
      <x:c r="H61" t="str">
        <x:v>planning constitution</x:v>
      </x:c>
      <x:c r="I61" t="str">
        <x:f>IF(E61=F61,"PASS","FAIL")</x:f>
        <x:v>PASS</x:v>
      </x:c>
    </x:row>
    <x:row r="62">
      <x:c r="B62" t="str">
        <x:v>PL-PRO-01</x:v>
      </x:c>
      <x:c r="C62" t="str">
        <x:v>planning</x:v>
      </x:c>
      <x:c r="D62" t="str">
        <x:v>paired protocol assignment</x:v>
      </x:c>
      <x:c r="E62" t="str">
        <x:v>PASS</x:v>
      </x:c>
      <x:c r="F62" t="str">
        <x:f>'Protocol Register'!M7</x:f>
        <x:v>PASS</x:v>
      </x:c>
      <x:c r="G62" t="str">
        <x:v>'Protocol Register'!M7</x:v>
      </x:c>
      <x:c r="H62" t="str">
        <x:v>planning constitution</x:v>
      </x:c>
      <x:c r="I62" t="str">
        <x:f>IF(E62=F62,"PASS","FAIL")</x:f>
        <x:v>PASS</x:v>
      </x:c>
    </x:row>
    <x:row r="63">
      <x:c r="B63" t="str">
        <x:v>PL-PRO-02</x:v>
      </x:c>
      <x:c r="C63" t="str">
        <x:v>planning</x:v>
      </x:c>
      <x:c r="D63" t="str">
        <x:v>paired protocol assignment</x:v>
      </x:c>
      <x:c r="E63" t="str">
        <x:v>PASS</x:v>
      </x:c>
      <x:c r="F63" t="str">
        <x:f>'Protocol Register'!M8</x:f>
        <x:v>PASS</x:v>
      </x:c>
      <x:c r="G63" t="str">
        <x:v>'Protocol Register'!M8</x:v>
      </x:c>
      <x:c r="H63" t="str">
        <x:v>planning constitution</x:v>
      </x:c>
      <x:c r="I63" t="str">
        <x:f>IF(E63=F63,"PASS","FAIL")</x:f>
        <x:v>PASS</x:v>
      </x:c>
    </x:row>
    <x:row r="64">
      <x:c r="B64" t="str">
        <x:v>PL-PRO-03</x:v>
      </x:c>
      <x:c r="C64" t="str">
        <x:v>planning</x:v>
      </x:c>
      <x:c r="D64" t="str">
        <x:v>paired protocol assignment</x:v>
      </x:c>
      <x:c r="E64" t="str">
        <x:v>PASS</x:v>
      </x:c>
      <x:c r="F64" t="str">
        <x:f>'Protocol Register'!M9</x:f>
        <x:v>PASS</x:v>
      </x:c>
      <x:c r="G64" t="str">
        <x:v>'Protocol Register'!M9</x:v>
      </x:c>
      <x:c r="H64" t="str">
        <x:v>planning constitution</x:v>
      </x:c>
      <x:c r="I64" t="str">
        <x:f>IF(E64=F64,"PASS","FAIL")</x:f>
        <x:v>PASS</x:v>
      </x:c>
    </x:row>
    <x:row r="65">
      <x:c r="B65" t="str">
        <x:v>PL-PRO-04</x:v>
      </x:c>
      <x:c r="C65" t="str">
        <x:v>planning</x:v>
      </x:c>
      <x:c r="D65" t="str">
        <x:v>paired protocol assignment</x:v>
      </x:c>
      <x:c r="E65" t="str">
        <x:v>PASS</x:v>
      </x:c>
      <x:c r="F65" t="str">
        <x:f>'Protocol Register'!M10</x:f>
        <x:v>PASS</x:v>
      </x:c>
      <x:c r="G65" t="str">
        <x:v>'Protocol Register'!M10</x:v>
      </x:c>
      <x:c r="H65" t="str">
        <x:v>planning constitution</x:v>
      </x:c>
      <x:c r="I65" t="str">
        <x:f>IF(E65=F65,"PASS","FAIL")</x:f>
        <x:v>PASS</x:v>
      </x:c>
    </x:row>
    <x:row r="66">
      <x:c r="B66" t="str">
        <x:v>PL-PRO-05</x:v>
      </x:c>
      <x:c r="C66" t="str">
        <x:v>planning</x:v>
      </x:c>
      <x:c r="D66" t="str">
        <x:v>paired protocol assignment</x:v>
      </x:c>
      <x:c r="E66" t="str">
        <x:v>PASS</x:v>
      </x:c>
      <x:c r="F66" t="str">
        <x:f>'Protocol Register'!M11</x:f>
        <x:v>PASS</x:v>
      </x:c>
      <x:c r="G66" t="str">
        <x:v>'Protocol Register'!M11</x:v>
      </x:c>
      <x:c r="H66" t="str">
        <x:v>planning constitution</x:v>
      </x:c>
      <x:c r="I66" t="str">
        <x:f>IF(E66=F66,"PASS","FAIL")</x:f>
        <x:v>PASS</x:v>
      </x:c>
    </x:row>
    <x:row r="67">
      <x:c r="B67" t="str">
        <x:v>PL-PRO-06</x:v>
      </x:c>
      <x:c r="C67" t="str">
        <x:v>planning</x:v>
      </x:c>
      <x:c r="D67" t="str">
        <x:v>paired protocol assignment</x:v>
      </x:c>
      <x:c r="E67" t="str">
        <x:v>PASS</x:v>
      </x:c>
      <x:c r="F67" t="str">
        <x:f>'Protocol Register'!M12</x:f>
        <x:v>PASS</x:v>
      </x:c>
      <x:c r="G67" t="str">
        <x:v>'Protocol Register'!M12</x:v>
      </x:c>
      <x:c r="H67" t="str">
        <x:v>planning constitution</x:v>
      </x:c>
      <x:c r="I67" t="str">
        <x:f>IF(E67=F67,"PASS","FAIL")</x:f>
        <x:v>PASS</x:v>
      </x:c>
    </x:row>
    <x:row r="68">
      <x:c r="B68" t="str">
        <x:v>PL-PRO-07</x:v>
      </x:c>
      <x:c r="C68" t="str">
        <x:v>planning</x:v>
      </x:c>
      <x:c r="D68" t="str">
        <x:v>paired protocol assignment</x:v>
      </x:c>
      <x:c r="E68" t="str">
        <x:v>PASS</x:v>
      </x:c>
      <x:c r="F68" t="str">
        <x:f>'Protocol Register'!M13</x:f>
        <x:v>PASS</x:v>
      </x:c>
      <x:c r="G68" t="str">
        <x:v>'Protocol Register'!M13</x:v>
      </x:c>
      <x:c r="H68" t="str">
        <x:v>planning constitution</x:v>
      </x:c>
      <x:c r="I68" t="str">
        <x:f>IF(E68=F68,"PASS","FAIL")</x:f>
        <x:v>PASS</x:v>
      </x:c>
    </x:row>
    <x:row r="69">
      <x:c r="B69" t="str">
        <x:v>PL-PRO-08</x:v>
      </x:c>
      <x:c r="C69" t="str">
        <x:v>planning</x:v>
      </x:c>
      <x:c r="D69" t="str">
        <x:v>paired protocol assignment</x:v>
      </x:c>
      <x:c r="E69" t="str">
        <x:v>PASS</x:v>
      </x:c>
      <x:c r="F69" t="str">
        <x:f>'Protocol Register'!M14</x:f>
        <x:v>PASS</x:v>
      </x:c>
      <x:c r="G69" t="str">
        <x:v>'Protocol Register'!M14</x:v>
      </x:c>
      <x:c r="H69" t="str">
        <x:v>planning constitution</x:v>
      </x:c>
      <x:c r="I69" t="str">
        <x:f>IF(E69=F69,"PASS","FAIL")</x:f>
        <x:v>PASS</x:v>
      </x:c>
    </x:row>
    <x:row r="70">
      <x:c r="B70" t="str">
        <x:v>PL-PRO-09</x:v>
      </x:c>
      <x:c r="C70" t="str">
        <x:v>planning</x:v>
      </x:c>
      <x:c r="D70" t="str">
        <x:v>paired protocol assignment</x:v>
      </x:c>
      <x:c r="E70" t="str">
        <x:v>PASS</x:v>
      </x:c>
      <x:c r="F70" t="str">
        <x:f>'Protocol Register'!M15</x:f>
        <x:v>PASS</x:v>
      </x:c>
      <x:c r="G70" t="str">
        <x:v>'Protocol Register'!M15</x:v>
      </x:c>
      <x:c r="H70" t="str">
        <x:v>planning constitution</x:v>
      </x:c>
      <x:c r="I70" t="str">
        <x:f>IF(E70=F70,"PASS","FAIL")</x:f>
        <x:v>PASS</x:v>
      </x:c>
    </x:row>
    <x:row r="71">
      <x:c r="B71" t="str">
        <x:v>PL-PRO-10</x:v>
      </x:c>
      <x:c r="C71" t="str">
        <x:v>planning</x:v>
      </x:c>
      <x:c r="D71" t="str">
        <x:v>paired protocol assignment</x:v>
      </x:c>
      <x:c r="E71" t="str">
        <x:v>PASS</x:v>
      </x:c>
      <x:c r="F71" t="str">
        <x:f>'Protocol Register'!M16</x:f>
        <x:v>PASS</x:v>
      </x:c>
      <x:c r="G71" t="str">
        <x:v>'Protocol Register'!M16</x:v>
      </x:c>
      <x:c r="H71" t="str">
        <x:v>planning constitution</x:v>
      </x:c>
      <x:c r="I71" t="str">
        <x:f>IF(E71=F71,"PASS","FAIL")</x:f>
        <x:v>PASS</x:v>
      </x:c>
    </x:row>
    <x:row r="72">
      <x:c r="B72" t="str">
        <x:v>PL-PRO-11</x:v>
      </x:c>
      <x:c r="C72" t="str">
        <x:v>planning</x:v>
      </x:c>
      <x:c r="D72" t="str">
        <x:v>paired protocol assignment</x:v>
      </x:c>
      <x:c r="E72" t="str">
        <x:v>PASS</x:v>
      </x:c>
      <x:c r="F72" t="str">
        <x:f>'Protocol Register'!M17</x:f>
        <x:v>PASS</x:v>
      </x:c>
      <x:c r="G72" t="str">
        <x:v>'Protocol Register'!M17</x:v>
      </x:c>
      <x:c r="H72" t="str">
        <x:v>planning constitution</x:v>
      </x:c>
      <x:c r="I72" t="str">
        <x:f>IF(E72=F72,"PASS","FAIL")</x:f>
        <x:v>PASS</x:v>
      </x:c>
    </x:row>
    <x:row r="73">
      <x:c r="B73" t="str">
        <x:v>PL-PRO-12</x:v>
      </x:c>
      <x:c r="C73" t="str">
        <x:v>planning</x:v>
      </x:c>
      <x:c r="D73" t="str">
        <x:v>paired protocol assignment</x:v>
      </x:c>
      <x:c r="E73" t="str">
        <x:v>PASS</x:v>
      </x:c>
      <x:c r="F73" t="str">
        <x:f>'Protocol Register'!M18</x:f>
        <x:v>PASS</x:v>
      </x:c>
      <x:c r="G73" t="str">
        <x:v>'Protocol Register'!M18</x:v>
      </x:c>
      <x:c r="H73" t="str">
        <x:v>planning constitution</x:v>
      </x:c>
      <x:c r="I73" t="str">
        <x:f>IF(E73=F73,"PASS","FAIL")</x:f>
        <x:v>PASS</x:v>
      </x:c>
    </x:row>
    <x:row r="74">
      <x:c r="B74" t="str">
        <x:v>PL-PRO-13</x:v>
      </x:c>
      <x:c r="C74" t="str">
        <x:v>planning</x:v>
      </x:c>
      <x:c r="D74" t="str">
        <x:v>paired protocol assignment</x:v>
      </x:c>
      <x:c r="E74" t="str">
        <x:v>PASS</x:v>
      </x:c>
      <x:c r="F74" t="str">
        <x:f>'Protocol Register'!M19</x:f>
        <x:v>PASS</x:v>
      </x:c>
      <x:c r="G74" t="str">
        <x:v>'Protocol Register'!M19</x:v>
      </x:c>
      <x:c r="H74" t="str">
        <x:v>planning constitution</x:v>
      </x:c>
      <x:c r="I74" t="str">
        <x:f>IF(E74=F74,"PASS","FAIL")</x:f>
        <x:v>PASS</x:v>
      </x:c>
    </x:row>
    <x:row r="75">
      <x:c r="B75" t="str">
        <x:v>PL-PRO-14</x:v>
      </x:c>
      <x:c r="C75" t="str">
        <x:v>planning</x:v>
      </x:c>
      <x:c r="D75" t="str">
        <x:v>paired protocol assignment</x:v>
      </x:c>
      <x:c r="E75" t="str">
        <x:v>PASS</x:v>
      </x:c>
      <x:c r="F75" t="str">
        <x:f>'Protocol Register'!M20</x:f>
        <x:v>PASS</x:v>
      </x:c>
      <x:c r="G75" t="str">
        <x:v>'Protocol Register'!M20</x:v>
      </x:c>
      <x:c r="H75" t="str">
        <x:v>planning constitution</x:v>
      </x:c>
      <x:c r="I75" t="str">
        <x:f>IF(E75=F75,"PASS","FAIL")</x:f>
        <x:v>PASS</x:v>
      </x:c>
    </x:row>
    <x:row r="76">
      <x:c r="B76" t="str">
        <x:v>PL-PRO-15</x:v>
      </x:c>
      <x:c r="C76" t="str">
        <x:v>planning</x:v>
      </x:c>
      <x:c r="D76" t="str">
        <x:v>paired protocol assignment</x:v>
      </x:c>
      <x:c r="E76" t="str">
        <x:v>PASS</x:v>
      </x:c>
      <x:c r="F76" t="str">
        <x:f>'Protocol Register'!M21</x:f>
        <x:v>PASS</x:v>
      </x:c>
      <x:c r="G76" t="str">
        <x:v>'Protocol Register'!M21</x:v>
      </x:c>
      <x:c r="H76" t="str">
        <x:v>planning constitution</x:v>
      </x:c>
      <x:c r="I76" t="str">
        <x:f>IF(E76=F76,"PASS","FAIL")</x:f>
        <x:v>PASS</x:v>
      </x:c>
    </x:row>
    <x:row r="77">
      <x:c r="B77" t="str">
        <x:v>PL-PRO-16</x:v>
      </x:c>
      <x:c r="C77" t="str">
        <x:v>planning</x:v>
      </x:c>
      <x:c r="D77" t="str">
        <x:v>paired protocol assignment</x:v>
      </x:c>
      <x:c r="E77" t="str">
        <x:v>PASS</x:v>
      </x:c>
      <x:c r="F77" t="str">
        <x:f>'Protocol Register'!M22</x:f>
        <x:v>PASS</x:v>
      </x:c>
      <x:c r="G77" t="str">
        <x:v>'Protocol Register'!M22</x:v>
      </x:c>
      <x:c r="H77" t="str">
        <x:v>planning constitution</x:v>
      </x:c>
      <x:c r="I77" t="str">
        <x:f>IF(E77=F77,"PASS","FAIL")</x:f>
        <x:v>PASS</x:v>
      </x:c>
    </x:row>
    <x:row r="78">
      <x:c r="B78" t="str">
        <x:v>PL-PRO-17</x:v>
      </x:c>
      <x:c r="C78" t="str">
        <x:v>planning</x:v>
      </x:c>
      <x:c r="D78" t="str">
        <x:v>paired protocol assignment</x:v>
      </x:c>
      <x:c r="E78" t="str">
        <x:v>PASS</x:v>
      </x:c>
      <x:c r="F78" t="str">
        <x:f>'Protocol Register'!M23</x:f>
        <x:v>PASS</x:v>
      </x:c>
      <x:c r="G78" t="str">
        <x:v>'Protocol Register'!M23</x:v>
      </x:c>
      <x:c r="H78" t="str">
        <x:v>planning constitution</x:v>
      </x:c>
      <x:c r="I78" t="str">
        <x:f>IF(E78=F78,"PASS","FAIL")</x:f>
        <x:v>PASS</x:v>
      </x:c>
    </x:row>
    <x:row r="79">
      <x:c r="B79" t="str">
        <x:v>PL-PRO-18</x:v>
      </x:c>
      <x:c r="C79" t="str">
        <x:v>planning</x:v>
      </x:c>
      <x:c r="D79" t="str">
        <x:v>paired protocol assignment</x:v>
      </x:c>
      <x:c r="E79" t="str">
        <x:v>PASS</x:v>
      </x:c>
      <x:c r="F79" t="str">
        <x:f>'Protocol Register'!M24</x:f>
        <x:v>PASS</x:v>
      </x:c>
      <x:c r="G79" t="str">
        <x:v>'Protocol Register'!M24</x:v>
      </x:c>
      <x:c r="H79" t="str">
        <x:v>planning constitution</x:v>
      </x:c>
      <x:c r="I79" t="str">
        <x:f>IF(E79=F79,"PASS","FAIL")</x:f>
        <x:v>PASS</x:v>
      </x:c>
    </x:row>
    <x:row r="80">
      <x:c r="B80" t="str">
        <x:v>PL-PRO-19</x:v>
      </x:c>
      <x:c r="C80" t="str">
        <x:v>planning</x:v>
      </x:c>
      <x:c r="D80" t="str">
        <x:v>paired protocol assignment</x:v>
      </x:c>
      <x:c r="E80" t="str">
        <x:v>PASS</x:v>
      </x:c>
      <x:c r="F80" t="str">
        <x:f>'Protocol Register'!M25</x:f>
        <x:v>PASS</x:v>
      </x:c>
      <x:c r="G80" t="str">
        <x:v>'Protocol Register'!M25</x:v>
      </x:c>
      <x:c r="H80" t="str">
        <x:v>planning constitution</x:v>
      </x:c>
      <x:c r="I80" t="str">
        <x:f>IF(E80=F80,"PASS","FAIL")</x:f>
        <x:v>PASS</x:v>
      </x:c>
    </x:row>
    <x:row r="81">
      <x:c r="B81" t="str">
        <x:v>PL-PRO-20</x:v>
      </x:c>
      <x:c r="C81" t="str">
        <x:v>planning</x:v>
      </x:c>
      <x:c r="D81" t="str">
        <x:v>paired protocol assignment</x:v>
      </x:c>
      <x:c r="E81" t="str">
        <x:v>PASS</x:v>
      </x:c>
      <x:c r="F81" t="str">
        <x:f>'Protocol Register'!M26</x:f>
        <x:v>PASS</x:v>
      </x:c>
      <x:c r="G81" t="str">
        <x:v>'Protocol Register'!M26</x:v>
      </x:c>
      <x:c r="H81" t="str">
        <x:v>planning constitution</x:v>
      </x:c>
      <x:c r="I81" t="str">
        <x:f>IF(E81=F81,"PASS","FAIL")</x:f>
        <x:v>PASS</x:v>
      </x:c>
    </x:row>
    <x:row r="82">
      <x:c r="B82" t="str">
        <x:v>PL-PRO-21</x:v>
      </x:c>
      <x:c r="C82" t="str">
        <x:v>planning</x:v>
      </x:c>
      <x:c r="D82" t="str">
        <x:v>paired protocol assignment</x:v>
      </x:c>
      <x:c r="E82" t="str">
        <x:v>PASS</x:v>
      </x:c>
      <x:c r="F82" t="str">
        <x:f>'Protocol Register'!M27</x:f>
        <x:v>PASS</x:v>
      </x:c>
      <x:c r="G82" t="str">
        <x:v>'Protocol Register'!M27</x:v>
      </x:c>
      <x:c r="H82" t="str">
        <x:v>planning constitution</x:v>
      </x:c>
      <x:c r="I82" t="str">
        <x:f>IF(E82=F82,"PASS","FAIL")</x:f>
        <x:v>PASS</x:v>
      </x:c>
    </x:row>
    <x:row r="83">
      <x:c r="B83" t="str">
        <x:v>PL-PRO-22</x:v>
      </x:c>
      <x:c r="C83" t="str">
        <x:v>planning</x:v>
      </x:c>
      <x:c r="D83" t="str">
        <x:v>paired protocol assignment</x:v>
      </x:c>
      <x:c r="E83" t="str">
        <x:v>PASS</x:v>
      </x:c>
      <x:c r="F83" t="str">
        <x:f>'Protocol Register'!M28</x:f>
        <x:v>PASS</x:v>
      </x:c>
      <x:c r="G83" t="str">
        <x:v>'Protocol Register'!M28</x:v>
      </x:c>
      <x:c r="H83" t="str">
        <x:v>planning constitution</x:v>
      </x:c>
      <x:c r="I83" t="str">
        <x:f>IF(E83=F83,"PASS","FAIL")</x:f>
        <x:v>PASS</x:v>
      </x:c>
    </x:row>
    <x:row r="84">
      <x:c r="B84" t="str">
        <x:v>PL-PRO-23</x:v>
      </x:c>
      <x:c r="C84" t="str">
        <x:v>planning</x:v>
      </x:c>
      <x:c r="D84" t="str">
        <x:v>paired protocol assignment</x:v>
      </x:c>
      <x:c r="E84" t="str">
        <x:v>PASS</x:v>
      </x:c>
      <x:c r="F84" t="str">
        <x:f>'Protocol Register'!M29</x:f>
        <x:v>PASS</x:v>
      </x:c>
      <x:c r="G84" t="str">
        <x:v>'Protocol Register'!M29</x:v>
      </x:c>
      <x:c r="H84" t="str">
        <x:v>planning constitution</x:v>
      </x:c>
      <x:c r="I84" t="str">
        <x:f>IF(E84=F84,"PASS","FAIL")</x:f>
        <x:v>PASS</x:v>
      </x:c>
    </x:row>
    <x:row r="85">
      <x:c r="B85" t="str">
        <x:v>PL-PRO-24</x:v>
      </x:c>
      <x:c r="C85" t="str">
        <x:v>planning</x:v>
      </x:c>
      <x:c r="D85" t="str">
        <x:v>paired protocol assignment</x:v>
      </x:c>
      <x:c r="E85" t="str">
        <x:v>PASS</x:v>
      </x:c>
      <x:c r="F85" t="str">
        <x:f>'Protocol Register'!M30</x:f>
        <x:v>PASS</x:v>
      </x:c>
      <x:c r="G85" t="str">
        <x:v>'Protocol Register'!M30</x:v>
      </x:c>
      <x:c r="H85" t="str">
        <x:v>planning constitution</x:v>
      </x:c>
      <x:c r="I85" t="str">
        <x:f>IF(E85=F85,"PASS","FAIL")</x:f>
        <x:v>PASS</x:v>
      </x:c>
    </x:row>
    <x:row r="86">
      <x:c r="B86" t="str">
        <x:v>PL-PEV-001</x:v>
      </x:c>
      <x:c r="C86" t="str">
        <x:v>planning</x:v>
      </x:c>
      <x:c r="D86" t="str">
        <x:v>paired event assignment</x:v>
      </x:c>
      <x:c r="E86" t="str">
        <x:v>PASS</x:v>
      </x:c>
      <x:c r="F86" t="str">
        <x:f>'Event Register'!P7</x:f>
        <x:v>PASS</x:v>
      </x:c>
      <x:c r="G86" t="str">
        <x:v>'Event Register'!P7</x:v>
      </x:c>
      <x:c r="H86" t="str">
        <x:v>planning constitution</x:v>
      </x:c>
      <x:c r="I86" t="str">
        <x:f>IF(E86=F86,"PASS","FAIL")</x:f>
        <x:v>PASS</x:v>
      </x:c>
    </x:row>
    <x:row r="87">
      <x:c r="B87" t="str">
        <x:v>PL-PEV-002</x:v>
      </x:c>
      <x:c r="C87" t="str">
        <x:v>planning</x:v>
      </x:c>
      <x:c r="D87" t="str">
        <x:v>paired event assignment</x:v>
      </x:c>
      <x:c r="E87" t="str">
        <x:v>PASS</x:v>
      </x:c>
      <x:c r="F87" t="str">
        <x:f>'Event Register'!P8</x:f>
        <x:v>PASS</x:v>
      </x:c>
      <x:c r="G87" t="str">
        <x:v>'Event Register'!P8</x:v>
      </x:c>
      <x:c r="H87" t="str">
        <x:v>planning constitution</x:v>
      </x:c>
      <x:c r="I87" t="str">
        <x:f>IF(E87=F87,"PASS","FAIL")</x:f>
        <x:v>PASS</x:v>
      </x:c>
    </x:row>
    <x:row r="88">
      <x:c r="B88" t="str">
        <x:v>PL-PEV-003</x:v>
      </x:c>
      <x:c r="C88" t="str">
        <x:v>planning</x:v>
      </x:c>
      <x:c r="D88" t="str">
        <x:v>paired event assignment</x:v>
      </x:c>
      <x:c r="E88" t="str">
        <x:v>PASS</x:v>
      </x:c>
      <x:c r="F88" t="str">
        <x:f>'Event Register'!P9</x:f>
        <x:v>PASS</x:v>
      </x:c>
      <x:c r="G88" t="str">
        <x:v>'Event Register'!P9</x:v>
      </x:c>
      <x:c r="H88" t="str">
        <x:v>planning constitution</x:v>
      </x:c>
      <x:c r="I88" t="str">
        <x:f>IF(E88=F88,"PASS","FAIL")</x:f>
        <x:v>PASS</x:v>
      </x:c>
    </x:row>
    <x:row r="89">
      <x:c r="B89" t="str">
        <x:v>PL-PEV-004</x:v>
      </x:c>
      <x:c r="C89" t="str">
        <x:v>planning</x:v>
      </x:c>
      <x:c r="D89" t="str">
        <x:v>paired event assignment</x:v>
      </x:c>
      <x:c r="E89" t="str">
        <x:v>PASS</x:v>
      </x:c>
      <x:c r="F89" t="str">
        <x:f>'Event Register'!P10</x:f>
        <x:v>PASS</x:v>
      </x:c>
      <x:c r="G89" t="str">
        <x:v>'Event Register'!P10</x:v>
      </x:c>
      <x:c r="H89" t="str">
        <x:v>planning constitution</x:v>
      </x:c>
      <x:c r="I89" t="str">
        <x:f>IF(E89=F89,"PASS","FAIL")</x:f>
        <x:v>PASS</x:v>
      </x:c>
    </x:row>
    <x:row r="90">
      <x:c r="B90" t="str">
        <x:v>PL-PEV-005</x:v>
      </x:c>
      <x:c r="C90" t="str">
        <x:v>planning</x:v>
      </x:c>
      <x:c r="D90" t="str">
        <x:v>paired event assignment</x:v>
      </x:c>
      <x:c r="E90" t="str">
        <x:v>PASS</x:v>
      </x:c>
      <x:c r="F90" t="str">
        <x:f>'Event Register'!P11</x:f>
        <x:v>PASS</x:v>
      </x:c>
      <x:c r="G90" t="str">
        <x:v>'Event Register'!P11</x:v>
      </x:c>
      <x:c r="H90" t="str">
        <x:v>planning constitution</x:v>
      </x:c>
      <x:c r="I90" t="str">
        <x:f>IF(E90=F90,"PASS","FAIL")</x:f>
        <x:v>PASS</x:v>
      </x:c>
    </x:row>
    <x:row r="91">
      <x:c r="B91" t="str">
        <x:v>PL-PEV-006</x:v>
      </x:c>
      <x:c r="C91" t="str">
        <x:v>planning</x:v>
      </x:c>
      <x:c r="D91" t="str">
        <x:v>paired event assignment</x:v>
      </x:c>
      <x:c r="E91" t="str">
        <x:v>PASS</x:v>
      </x:c>
      <x:c r="F91" t="str">
        <x:f>'Event Register'!P12</x:f>
        <x:v>PASS</x:v>
      </x:c>
      <x:c r="G91" t="str">
        <x:v>'Event Register'!P12</x:v>
      </x:c>
      <x:c r="H91" t="str">
        <x:v>planning constitution</x:v>
      </x:c>
      <x:c r="I91" t="str">
        <x:f>IF(E91=F91,"PASS","FAIL")</x:f>
        <x:v>PASS</x:v>
      </x:c>
    </x:row>
    <x:row r="92">
      <x:c r="B92" t="str">
        <x:v>PL-PEV-007</x:v>
      </x:c>
      <x:c r="C92" t="str">
        <x:v>planning</x:v>
      </x:c>
      <x:c r="D92" t="str">
        <x:v>paired event assignment</x:v>
      </x:c>
      <x:c r="E92" t="str">
        <x:v>PASS</x:v>
      </x:c>
      <x:c r="F92" t="str">
        <x:f>'Event Register'!P13</x:f>
        <x:v>PASS</x:v>
      </x:c>
      <x:c r="G92" t="str">
        <x:v>'Event Register'!P13</x:v>
      </x:c>
      <x:c r="H92" t="str">
        <x:v>planning constitution</x:v>
      </x:c>
      <x:c r="I92" t="str">
        <x:f>IF(E92=F92,"PASS","FAIL")</x:f>
        <x:v>PASS</x:v>
      </x:c>
    </x:row>
    <x:row r="93">
      <x:c r="B93" t="str">
        <x:v>PL-PEV-008</x:v>
      </x:c>
      <x:c r="C93" t="str">
        <x:v>planning</x:v>
      </x:c>
      <x:c r="D93" t="str">
        <x:v>paired event assignment</x:v>
      </x:c>
      <x:c r="E93" t="str">
        <x:v>PASS</x:v>
      </x:c>
      <x:c r="F93" t="str">
        <x:f>'Event Register'!P14</x:f>
        <x:v>PASS</x:v>
      </x:c>
      <x:c r="G93" t="str">
        <x:v>'Event Register'!P14</x:v>
      </x:c>
      <x:c r="H93" t="str">
        <x:v>planning constitution</x:v>
      </x:c>
      <x:c r="I93" t="str">
        <x:f>IF(E93=F93,"PASS","FAIL")</x:f>
        <x:v>PASS</x:v>
      </x:c>
    </x:row>
    <x:row r="94">
      <x:c r="B94" t="str">
        <x:v>PL-PEV-009</x:v>
      </x:c>
      <x:c r="C94" t="str">
        <x:v>planning</x:v>
      </x:c>
      <x:c r="D94" t="str">
        <x:v>paired event assignment</x:v>
      </x:c>
      <x:c r="E94" t="str">
        <x:v>PASS</x:v>
      </x:c>
      <x:c r="F94" t="str">
        <x:f>'Event Register'!P15</x:f>
        <x:v>PASS</x:v>
      </x:c>
      <x:c r="G94" t="str">
        <x:v>'Event Register'!P15</x:v>
      </x:c>
      <x:c r="H94" t="str">
        <x:v>planning constitution</x:v>
      </x:c>
      <x:c r="I94" t="str">
        <x:f>IF(E94=F94,"PASS","FAIL")</x:f>
        <x:v>PASS</x:v>
      </x:c>
    </x:row>
    <x:row r="95">
      <x:c r="B95" t="str">
        <x:v>PL-PEV-010</x:v>
      </x:c>
      <x:c r="C95" t="str">
        <x:v>planning</x:v>
      </x:c>
      <x:c r="D95" t="str">
        <x:v>paired event assignment</x:v>
      </x:c>
      <x:c r="E95" t="str">
        <x:v>PASS</x:v>
      </x:c>
      <x:c r="F95" t="str">
        <x:f>'Event Register'!P16</x:f>
        <x:v>PASS</x:v>
      </x:c>
      <x:c r="G95" t="str">
        <x:v>'Event Register'!P16</x:v>
      </x:c>
      <x:c r="H95" t="str">
        <x:v>planning constitution</x:v>
      </x:c>
      <x:c r="I95" t="str">
        <x:f>IF(E95=F95,"PASS","FAIL")</x:f>
        <x:v>PASS</x:v>
      </x:c>
    </x:row>
    <x:row r="96">
      <x:c r="B96" t="str">
        <x:v>PL-PEV-011</x:v>
      </x:c>
      <x:c r="C96" t="str">
        <x:v>planning</x:v>
      </x:c>
      <x:c r="D96" t="str">
        <x:v>paired event assignment</x:v>
      </x:c>
      <x:c r="E96" t="str">
        <x:v>PASS</x:v>
      </x:c>
      <x:c r="F96" t="str">
        <x:f>'Event Register'!P17</x:f>
        <x:v>PASS</x:v>
      </x:c>
      <x:c r="G96" t="str">
        <x:v>'Event Register'!P17</x:v>
      </x:c>
      <x:c r="H96" t="str">
        <x:v>planning constitution</x:v>
      </x:c>
      <x:c r="I96" t="str">
        <x:f>IF(E96=F96,"PASS","FAIL")</x:f>
        <x:v>PASS</x:v>
      </x:c>
    </x:row>
    <x:row r="97">
      <x:c r="B97" t="str">
        <x:v>PL-PEV-012</x:v>
      </x:c>
      <x:c r="C97" t="str">
        <x:v>planning</x:v>
      </x:c>
      <x:c r="D97" t="str">
        <x:v>paired event assignment</x:v>
      </x:c>
      <x:c r="E97" t="str">
        <x:v>PASS</x:v>
      </x:c>
      <x:c r="F97" t="str">
        <x:f>'Event Register'!P18</x:f>
        <x:v>PASS</x:v>
      </x:c>
      <x:c r="G97" t="str">
        <x:v>'Event Register'!P18</x:v>
      </x:c>
      <x:c r="H97" t="str">
        <x:v>planning constitution</x:v>
      </x:c>
      <x:c r="I97" t="str">
        <x:f>IF(E97=F97,"PASS","FAIL")</x:f>
        <x:v>PASS</x:v>
      </x:c>
    </x:row>
    <x:row r="98">
      <x:c r="B98" t="str">
        <x:v>PL-PEV-013</x:v>
      </x:c>
      <x:c r="C98" t="str">
        <x:v>planning</x:v>
      </x:c>
      <x:c r="D98" t="str">
        <x:v>paired event assignment</x:v>
      </x:c>
      <x:c r="E98" t="str">
        <x:v>PASS</x:v>
      </x:c>
      <x:c r="F98" t="str">
        <x:f>'Event Register'!P19</x:f>
        <x:v>PASS</x:v>
      </x:c>
      <x:c r="G98" t="str">
        <x:v>'Event Register'!P19</x:v>
      </x:c>
      <x:c r="H98" t="str">
        <x:v>planning constitution</x:v>
      </x:c>
      <x:c r="I98" t="str">
        <x:f>IF(E98=F98,"PASS","FAIL")</x:f>
        <x:v>PASS</x:v>
      </x:c>
    </x:row>
    <x:row r="99">
      <x:c r="B99" t="str">
        <x:v>PL-PEV-014</x:v>
      </x:c>
      <x:c r="C99" t="str">
        <x:v>planning</x:v>
      </x:c>
      <x:c r="D99" t="str">
        <x:v>paired event assignment</x:v>
      </x:c>
      <x:c r="E99" t="str">
        <x:v>PASS</x:v>
      </x:c>
      <x:c r="F99" t="str">
        <x:f>'Event Register'!P20</x:f>
        <x:v>PASS</x:v>
      </x:c>
      <x:c r="G99" t="str">
        <x:v>'Event Register'!P20</x:v>
      </x:c>
      <x:c r="H99" t="str">
        <x:v>planning constitution</x:v>
      </x:c>
      <x:c r="I99" t="str">
        <x:f>IF(E99=F99,"PASS","FAIL")</x:f>
        <x:v>PASS</x:v>
      </x:c>
    </x:row>
    <x:row r="100">
      <x:c r="B100" t="str">
        <x:v>PL-PEV-015</x:v>
      </x:c>
      <x:c r="C100" t="str">
        <x:v>planning</x:v>
      </x:c>
      <x:c r="D100" t="str">
        <x:v>paired event assignment</x:v>
      </x:c>
      <x:c r="E100" t="str">
        <x:v>PASS</x:v>
      </x:c>
      <x:c r="F100" t="str">
        <x:f>'Event Register'!P21</x:f>
        <x:v>PASS</x:v>
      </x:c>
      <x:c r="G100" t="str">
        <x:v>'Event Register'!P21</x:v>
      </x:c>
      <x:c r="H100" t="str">
        <x:v>planning constitution</x:v>
      </x:c>
      <x:c r="I100" t="str">
        <x:f>IF(E100=F100,"PASS","FAIL")</x:f>
        <x:v>PASS</x:v>
      </x:c>
    </x:row>
    <x:row r="101">
      <x:c r="B101" t="str">
        <x:v>PL-PEV-016</x:v>
      </x:c>
      <x:c r="C101" t="str">
        <x:v>planning</x:v>
      </x:c>
      <x:c r="D101" t="str">
        <x:v>paired event assignment</x:v>
      </x:c>
      <x:c r="E101" t="str">
        <x:v>PASS</x:v>
      </x:c>
      <x:c r="F101" t="str">
        <x:f>'Event Register'!P22</x:f>
        <x:v>PASS</x:v>
      </x:c>
      <x:c r="G101" t="str">
        <x:v>'Event Register'!P22</x:v>
      </x:c>
      <x:c r="H101" t="str">
        <x:v>planning constitution</x:v>
      </x:c>
      <x:c r="I101" t="str">
        <x:f>IF(E101=F101,"PASS","FAIL")</x:f>
        <x:v>PASS</x:v>
      </x:c>
    </x:row>
    <x:row r="102">
      <x:c r="B102" t="str">
        <x:v>PL-PEV-017</x:v>
      </x:c>
      <x:c r="C102" t="str">
        <x:v>planning</x:v>
      </x:c>
      <x:c r="D102" t="str">
        <x:v>paired event assignment</x:v>
      </x:c>
      <x:c r="E102" t="str">
        <x:v>PASS</x:v>
      </x:c>
      <x:c r="F102" t="str">
        <x:f>'Event Register'!P23</x:f>
        <x:v>PASS</x:v>
      </x:c>
      <x:c r="G102" t="str">
        <x:v>'Event Register'!P23</x:v>
      </x:c>
      <x:c r="H102" t="str">
        <x:v>planning constitution</x:v>
      </x:c>
      <x:c r="I102" t="str">
        <x:f>IF(E102=F102,"PASS","FAIL")</x:f>
        <x:v>PASS</x:v>
      </x:c>
    </x:row>
    <x:row r="103">
      <x:c r="B103" t="str">
        <x:v>PL-PEV-018</x:v>
      </x:c>
      <x:c r="C103" t="str">
        <x:v>planning</x:v>
      </x:c>
      <x:c r="D103" t="str">
        <x:v>paired event assignment</x:v>
      </x:c>
      <x:c r="E103" t="str">
        <x:v>PASS</x:v>
      </x:c>
      <x:c r="F103" t="str">
        <x:f>'Event Register'!P24</x:f>
        <x:v>PASS</x:v>
      </x:c>
      <x:c r="G103" t="str">
        <x:v>'Event Register'!P24</x:v>
      </x:c>
      <x:c r="H103" t="str">
        <x:v>planning constitution</x:v>
      </x:c>
      <x:c r="I103" t="str">
        <x:f>IF(E103=F103,"PASS","FAIL")</x:f>
        <x:v>PASS</x:v>
      </x:c>
    </x:row>
    <x:row r="104">
      <x:c r="B104" t="str">
        <x:v>PL-PEV-019</x:v>
      </x:c>
      <x:c r="C104" t="str">
        <x:v>planning</x:v>
      </x:c>
      <x:c r="D104" t="str">
        <x:v>paired event assignment</x:v>
      </x:c>
      <x:c r="E104" t="str">
        <x:v>PASS</x:v>
      </x:c>
      <x:c r="F104" t="str">
        <x:f>'Event Register'!P25</x:f>
        <x:v>PASS</x:v>
      </x:c>
      <x:c r="G104" t="str">
        <x:v>'Event Register'!P25</x:v>
      </x:c>
      <x:c r="H104" t="str">
        <x:v>planning constitution</x:v>
      </x:c>
      <x:c r="I104" t="str">
        <x:f>IF(E104=F104,"PASS","FAIL")</x:f>
        <x:v>PASS</x:v>
      </x:c>
    </x:row>
    <x:row r="105">
      <x:c r="B105" t="str">
        <x:v>PL-PEV-020</x:v>
      </x:c>
      <x:c r="C105" t="str">
        <x:v>planning</x:v>
      </x:c>
      <x:c r="D105" t="str">
        <x:v>paired event assignment</x:v>
      </x:c>
      <x:c r="E105" t="str">
        <x:v>PASS</x:v>
      </x:c>
      <x:c r="F105" t="str">
        <x:f>'Event Register'!P26</x:f>
        <x:v>PASS</x:v>
      </x:c>
      <x:c r="G105" t="str">
        <x:v>'Event Register'!P26</x:v>
      </x:c>
      <x:c r="H105" t="str">
        <x:v>planning constitution</x:v>
      </x:c>
      <x:c r="I105" t="str">
        <x:f>IF(E105=F105,"PASS","FAIL")</x:f>
        <x:v>PASS</x:v>
      </x:c>
    </x:row>
    <x:row r="106">
      <x:c r="B106" t="str">
        <x:v>PL-PEV-021</x:v>
      </x:c>
      <x:c r="C106" t="str">
        <x:v>planning</x:v>
      </x:c>
      <x:c r="D106" t="str">
        <x:v>paired event assignment</x:v>
      </x:c>
      <x:c r="E106" t="str">
        <x:v>PASS</x:v>
      </x:c>
      <x:c r="F106" t="str">
        <x:f>'Event Register'!P27</x:f>
        <x:v>PASS</x:v>
      </x:c>
      <x:c r="G106" t="str">
        <x:v>'Event Register'!P27</x:v>
      </x:c>
      <x:c r="H106" t="str">
        <x:v>planning constitution</x:v>
      </x:c>
      <x:c r="I106" t="str">
        <x:f>IF(E106=F106,"PASS","FAIL")</x:f>
        <x:v>PASS</x:v>
      </x:c>
    </x:row>
    <x:row r="107">
      <x:c r="B107" t="str">
        <x:v>PL-PEV-022</x:v>
      </x:c>
      <x:c r="C107" t="str">
        <x:v>planning</x:v>
      </x:c>
      <x:c r="D107" t="str">
        <x:v>paired event assignment</x:v>
      </x:c>
      <x:c r="E107" t="str">
        <x:v>PASS</x:v>
      </x:c>
      <x:c r="F107" t="str">
        <x:f>'Event Register'!P28</x:f>
        <x:v>PASS</x:v>
      </x:c>
      <x:c r="G107" t="str">
        <x:v>'Event Register'!P28</x:v>
      </x:c>
      <x:c r="H107" t="str">
        <x:v>planning constitution</x:v>
      </x:c>
      <x:c r="I107" t="str">
        <x:f>IF(E107=F107,"PASS","FAIL")</x:f>
        <x:v>PASS</x:v>
      </x:c>
    </x:row>
    <x:row r="108">
      <x:c r="B108" t="str">
        <x:v>PL-PEV-023</x:v>
      </x:c>
      <x:c r="C108" t="str">
        <x:v>planning</x:v>
      </x:c>
      <x:c r="D108" t="str">
        <x:v>paired event assignment</x:v>
      </x:c>
      <x:c r="E108" t="str">
        <x:v>PASS</x:v>
      </x:c>
      <x:c r="F108" t="str">
        <x:f>'Event Register'!P29</x:f>
        <x:v>PASS</x:v>
      </x:c>
      <x:c r="G108" t="str">
        <x:v>'Event Register'!P29</x:v>
      </x:c>
      <x:c r="H108" t="str">
        <x:v>planning constitution</x:v>
      </x:c>
      <x:c r="I108" t="str">
        <x:f>IF(E108=F108,"PASS","FAIL")</x:f>
        <x:v>PASS</x:v>
      </x:c>
    </x:row>
    <x:row r="109">
      <x:c r="B109" t="str">
        <x:v>PL-PEV-024</x:v>
      </x:c>
      <x:c r="C109" t="str">
        <x:v>planning</x:v>
      </x:c>
      <x:c r="D109" t="str">
        <x:v>paired event assignment</x:v>
      </x:c>
      <x:c r="E109" t="str">
        <x:v>PASS</x:v>
      </x:c>
      <x:c r="F109" t="str">
        <x:f>'Event Register'!P30</x:f>
        <x:v>PASS</x:v>
      </x:c>
      <x:c r="G109" t="str">
        <x:v>'Event Register'!P30</x:v>
      </x:c>
      <x:c r="H109" t="str">
        <x:v>planning constitution</x:v>
      </x:c>
      <x:c r="I109" t="str">
        <x:f>IF(E109=F109,"PASS","FAIL")</x:f>
        <x:v>PASS</x:v>
      </x:c>
    </x:row>
    <x:row r="110">
      <x:c r="B110" t="str">
        <x:v>PL-PEV-025</x:v>
      </x:c>
      <x:c r="C110" t="str">
        <x:v>planning</x:v>
      </x:c>
      <x:c r="D110" t="str">
        <x:v>paired event assignment</x:v>
      </x:c>
      <x:c r="E110" t="str">
        <x:v>PASS</x:v>
      </x:c>
      <x:c r="F110" t="str">
        <x:f>'Event Register'!P31</x:f>
        <x:v>PASS</x:v>
      </x:c>
      <x:c r="G110" t="str">
        <x:v>'Event Register'!P31</x:v>
      </x:c>
      <x:c r="H110" t="str">
        <x:v>planning constitution</x:v>
      </x:c>
      <x:c r="I110" t="str">
        <x:f>IF(E110=F110,"PASS","FAIL")</x:f>
        <x:v>PASS</x:v>
      </x:c>
    </x:row>
    <x:row r="111">
      <x:c r="B111" t="str">
        <x:v>PL-PEV-026</x:v>
      </x:c>
      <x:c r="C111" t="str">
        <x:v>planning</x:v>
      </x:c>
      <x:c r="D111" t="str">
        <x:v>paired event assignment</x:v>
      </x:c>
      <x:c r="E111" t="str">
        <x:v>PASS</x:v>
      </x:c>
      <x:c r="F111" t="str">
        <x:f>'Event Register'!P32</x:f>
        <x:v>PASS</x:v>
      </x:c>
      <x:c r="G111" t="str">
        <x:v>'Event Register'!P32</x:v>
      </x:c>
      <x:c r="H111" t="str">
        <x:v>planning constitution</x:v>
      </x:c>
      <x:c r="I111" t="str">
        <x:f>IF(E111=F111,"PASS","FAIL")</x:f>
        <x:v>PASS</x:v>
      </x:c>
    </x:row>
    <x:row r="112">
      <x:c r="B112" t="str">
        <x:v>PL-PEV-027</x:v>
      </x:c>
      <x:c r="C112" t="str">
        <x:v>planning</x:v>
      </x:c>
      <x:c r="D112" t="str">
        <x:v>paired event assignment</x:v>
      </x:c>
      <x:c r="E112" t="str">
        <x:v>PASS</x:v>
      </x:c>
      <x:c r="F112" t="str">
        <x:f>'Event Register'!P33</x:f>
        <x:v>PASS</x:v>
      </x:c>
      <x:c r="G112" t="str">
        <x:v>'Event Register'!P33</x:v>
      </x:c>
      <x:c r="H112" t="str">
        <x:v>planning constitution</x:v>
      </x:c>
      <x:c r="I112" t="str">
        <x:f>IF(E112=F112,"PASS","FAIL")</x:f>
        <x:v>PASS</x:v>
      </x:c>
    </x:row>
    <x:row r="113">
      <x:c r="B113" t="str">
        <x:v>PL-PEV-028</x:v>
      </x:c>
      <x:c r="C113" t="str">
        <x:v>planning</x:v>
      </x:c>
      <x:c r="D113" t="str">
        <x:v>paired event assignment</x:v>
      </x:c>
      <x:c r="E113" t="str">
        <x:v>PASS</x:v>
      </x:c>
      <x:c r="F113" t="str">
        <x:f>'Event Register'!P34</x:f>
        <x:v>PASS</x:v>
      </x:c>
      <x:c r="G113" t="str">
        <x:v>'Event Register'!P34</x:v>
      </x:c>
      <x:c r="H113" t="str">
        <x:v>planning constitution</x:v>
      </x:c>
      <x:c r="I113" t="str">
        <x:f>IF(E113=F113,"PASS","FAIL")</x:f>
        <x:v>PASS</x:v>
      </x:c>
    </x:row>
    <x:row r="114">
      <x:c r="B114" t="str">
        <x:v>PL-PEV-029</x:v>
      </x:c>
      <x:c r="C114" t="str">
        <x:v>planning</x:v>
      </x:c>
      <x:c r="D114" t="str">
        <x:v>paired event assignment</x:v>
      </x:c>
      <x:c r="E114" t="str">
        <x:v>PASS</x:v>
      </x:c>
      <x:c r="F114" t="str">
        <x:f>'Event Register'!P35</x:f>
        <x:v>PASS</x:v>
      </x:c>
      <x:c r="G114" t="str">
        <x:v>'Event Register'!P35</x:v>
      </x:c>
      <x:c r="H114" t="str">
        <x:v>planning constitution</x:v>
      </x:c>
      <x:c r="I114" t="str">
        <x:f>IF(E114=F114,"PASS","FAIL")</x:f>
        <x:v>PASS</x:v>
      </x:c>
    </x:row>
    <x:row r="115">
      <x:c r="B115" t="str">
        <x:v>PL-PEV-030</x:v>
      </x:c>
      <x:c r="C115" t="str">
        <x:v>planning</x:v>
      </x:c>
      <x:c r="D115" t="str">
        <x:v>paired event assignment</x:v>
      </x:c>
      <x:c r="E115" t="str">
        <x:v>PASS</x:v>
      </x:c>
      <x:c r="F115" t="str">
        <x:f>'Event Register'!P36</x:f>
        <x:v>PASS</x:v>
      </x:c>
      <x:c r="G115" t="str">
        <x:v>'Event Register'!P36</x:v>
      </x:c>
      <x:c r="H115" t="str">
        <x:v>planning constitution</x:v>
      </x:c>
      <x:c r="I115" t="str">
        <x:f>IF(E115=F115,"PASS","FAIL")</x:f>
        <x:v>PASS</x:v>
      </x:c>
    </x:row>
    <x:row r="116">
      <x:c r="B116" t="str">
        <x:v>PL-PEV-031</x:v>
      </x:c>
      <x:c r="C116" t="str">
        <x:v>planning</x:v>
      </x:c>
      <x:c r="D116" t="str">
        <x:v>paired event assignment</x:v>
      </x:c>
      <x:c r="E116" t="str">
        <x:v>PASS</x:v>
      </x:c>
      <x:c r="F116" t="str">
        <x:f>'Event Register'!P37</x:f>
        <x:v>PASS</x:v>
      </x:c>
      <x:c r="G116" t="str">
        <x:v>'Event Register'!P37</x:v>
      </x:c>
      <x:c r="H116" t="str">
        <x:v>planning constitution</x:v>
      </x:c>
      <x:c r="I116" t="str">
        <x:f>IF(E116=F116,"PASS","FAIL")</x:f>
        <x:v>PASS</x:v>
      </x:c>
    </x:row>
    <x:row r="117">
      <x:c r="B117" t="str">
        <x:v>PL-PEV-032</x:v>
      </x:c>
      <x:c r="C117" t="str">
        <x:v>planning</x:v>
      </x:c>
      <x:c r="D117" t="str">
        <x:v>paired event assignment</x:v>
      </x:c>
      <x:c r="E117" t="str">
        <x:v>PASS</x:v>
      </x:c>
      <x:c r="F117" t="str">
        <x:f>'Event Register'!P38</x:f>
        <x:v>PASS</x:v>
      </x:c>
      <x:c r="G117" t="str">
        <x:v>'Event Register'!P38</x:v>
      </x:c>
      <x:c r="H117" t="str">
        <x:v>planning constitution</x:v>
      </x:c>
      <x:c r="I117" t="str">
        <x:f>IF(E117=F117,"PASS","FAIL")</x:f>
        <x:v>PASS</x:v>
      </x:c>
    </x:row>
    <x:row r="118">
      <x:c r="B118" t="str">
        <x:v>PL-PEV-033</x:v>
      </x:c>
      <x:c r="C118" t="str">
        <x:v>planning</x:v>
      </x:c>
      <x:c r="D118" t="str">
        <x:v>paired event assignment</x:v>
      </x:c>
      <x:c r="E118" t="str">
        <x:v>PASS</x:v>
      </x:c>
      <x:c r="F118" t="str">
        <x:f>'Event Register'!P39</x:f>
        <x:v>PASS</x:v>
      </x:c>
      <x:c r="G118" t="str">
        <x:v>'Event Register'!P39</x:v>
      </x:c>
      <x:c r="H118" t="str">
        <x:v>planning constitution</x:v>
      </x:c>
      <x:c r="I118" t="str">
        <x:f>IF(E118=F118,"PASS","FAIL")</x:f>
        <x:v>PASS</x:v>
      </x:c>
    </x:row>
    <x:row r="119">
      <x:c r="B119" t="str">
        <x:v>PL-PEV-034</x:v>
      </x:c>
      <x:c r="C119" t="str">
        <x:v>planning</x:v>
      </x:c>
      <x:c r="D119" t="str">
        <x:v>paired event assignment</x:v>
      </x:c>
      <x:c r="E119" t="str">
        <x:v>PASS</x:v>
      </x:c>
      <x:c r="F119" t="str">
        <x:f>'Event Register'!P40</x:f>
        <x:v>PASS</x:v>
      </x:c>
      <x:c r="G119" t="str">
        <x:v>'Event Register'!P40</x:v>
      </x:c>
      <x:c r="H119" t="str">
        <x:v>planning constitution</x:v>
      </x:c>
      <x:c r="I119" t="str">
        <x:f>IF(E119=F119,"PASS","FAIL")</x:f>
        <x:v>PASS</x:v>
      </x:c>
    </x:row>
    <x:row r="120">
      <x:c r="B120" t="str">
        <x:v>PL-PEV-035</x:v>
      </x:c>
      <x:c r="C120" t="str">
        <x:v>planning</x:v>
      </x:c>
      <x:c r="D120" t="str">
        <x:v>paired event assignment</x:v>
      </x:c>
      <x:c r="E120" t="str">
        <x:v>PASS</x:v>
      </x:c>
      <x:c r="F120" t="str">
        <x:f>'Event Register'!P41</x:f>
        <x:v>PASS</x:v>
      </x:c>
      <x:c r="G120" t="str">
        <x:v>'Event Register'!P41</x:v>
      </x:c>
      <x:c r="H120" t="str">
        <x:v>planning constitution</x:v>
      </x:c>
      <x:c r="I120" t="str">
        <x:f>IF(E120=F120,"PASS","FAIL")</x:f>
        <x:v>PASS</x:v>
      </x:c>
    </x:row>
    <x:row r="121">
      <x:c r="B121" t="str">
        <x:v>PL-PEV-036</x:v>
      </x:c>
      <x:c r="C121" t="str">
        <x:v>planning</x:v>
      </x:c>
      <x:c r="D121" t="str">
        <x:v>paired event assignment</x:v>
      </x:c>
      <x:c r="E121" t="str">
        <x:v>PASS</x:v>
      </x:c>
      <x:c r="F121" t="str">
        <x:f>'Event Register'!P42</x:f>
        <x:v>PASS</x:v>
      </x:c>
      <x:c r="G121" t="str">
        <x:v>'Event Register'!P42</x:v>
      </x:c>
      <x:c r="H121" t="str">
        <x:v>planning constitution</x:v>
      </x:c>
      <x:c r="I121" t="str">
        <x:f>IF(E121=F121,"PASS","FAIL")</x:f>
        <x:v>PASS</x:v>
      </x:c>
    </x:row>
    <x:row r="122">
      <x:c r="B122" t="str">
        <x:v>PL-PEV-037</x:v>
      </x:c>
      <x:c r="C122" t="str">
        <x:v>planning</x:v>
      </x:c>
      <x:c r="D122" t="str">
        <x:v>paired event assignment</x:v>
      </x:c>
      <x:c r="E122" t="str">
        <x:v>PASS</x:v>
      </x:c>
      <x:c r="F122" t="str">
        <x:f>'Event Register'!P43</x:f>
        <x:v>PASS</x:v>
      </x:c>
      <x:c r="G122" t="str">
        <x:v>'Event Register'!P43</x:v>
      </x:c>
      <x:c r="H122" t="str">
        <x:v>planning constitution</x:v>
      </x:c>
      <x:c r="I122" t="str">
        <x:f>IF(E122=F122,"PASS","FAIL")</x:f>
        <x:v>PASS</x:v>
      </x:c>
    </x:row>
    <x:row r="123">
      <x:c r="B123" t="str">
        <x:v>PL-PEV-038</x:v>
      </x:c>
      <x:c r="C123" t="str">
        <x:v>planning</x:v>
      </x:c>
      <x:c r="D123" t="str">
        <x:v>paired event assignment</x:v>
      </x:c>
      <x:c r="E123" t="str">
        <x:v>PASS</x:v>
      </x:c>
      <x:c r="F123" t="str">
        <x:f>'Event Register'!P44</x:f>
        <x:v>PASS</x:v>
      </x:c>
      <x:c r="G123" t="str">
        <x:v>'Event Register'!P44</x:v>
      </x:c>
      <x:c r="H123" t="str">
        <x:v>planning constitution</x:v>
      </x:c>
      <x:c r="I123" t="str">
        <x:f>IF(E123=F123,"PASS","FAIL")</x:f>
        <x:v>PASS</x:v>
      </x:c>
    </x:row>
    <x:row r="124">
      <x:c r="B124" t="str">
        <x:v>PL-PEV-039</x:v>
      </x:c>
      <x:c r="C124" t="str">
        <x:v>planning</x:v>
      </x:c>
      <x:c r="D124" t="str">
        <x:v>paired event assignment</x:v>
      </x:c>
      <x:c r="E124" t="str">
        <x:v>PASS</x:v>
      </x:c>
      <x:c r="F124" t="str">
        <x:f>'Event Register'!P45</x:f>
        <x:v>PASS</x:v>
      </x:c>
      <x:c r="G124" t="str">
        <x:v>'Event Register'!P45</x:v>
      </x:c>
      <x:c r="H124" t="str">
        <x:v>planning constitution</x:v>
      </x:c>
      <x:c r="I124" t="str">
        <x:f>IF(E124=F124,"PASS","FAIL")</x:f>
        <x:v>PASS</x:v>
      </x:c>
    </x:row>
    <x:row r="125">
      <x:c r="B125" t="str">
        <x:v>PL-PEV-040</x:v>
      </x:c>
      <x:c r="C125" t="str">
        <x:v>planning</x:v>
      </x:c>
      <x:c r="D125" t="str">
        <x:v>paired event assignment</x:v>
      </x:c>
      <x:c r="E125" t="str">
        <x:v>PASS</x:v>
      </x:c>
      <x:c r="F125" t="str">
        <x:f>'Event Register'!P46</x:f>
        <x:v>PASS</x:v>
      </x:c>
      <x:c r="G125" t="str">
        <x:v>'Event Register'!P46</x:v>
      </x:c>
      <x:c r="H125" t="str">
        <x:v>planning constitution</x:v>
      </x:c>
      <x:c r="I125" t="str">
        <x:f>IF(E125=F125,"PASS","FAIL")</x:f>
        <x:v>PASS</x:v>
      </x:c>
    </x:row>
    <x:row r="126">
      <x:c r="B126" t="str">
        <x:v>PL-PEV-041</x:v>
      </x:c>
      <x:c r="C126" t="str">
        <x:v>planning</x:v>
      </x:c>
      <x:c r="D126" t="str">
        <x:v>paired event assignment</x:v>
      </x:c>
      <x:c r="E126" t="str">
        <x:v>PASS</x:v>
      </x:c>
      <x:c r="F126" t="str">
        <x:f>'Event Register'!P47</x:f>
        <x:v>PASS</x:v>
      </x:c>
      <x:c r="G126" t="str">
        <x:v>'Event Register'!P47</x:v>
      </x:c>
      <x:c r="H126" t="str">
        <x:v>planning constitution</x:v>
      </x:c>
      <x:c r="I126" t="str">
        <x:f>IF(E126=F126,"PASS","FAIL")</x:f>
        <x:v>PASS</x:v>
      </x:c>
    </x:row>
    <x:row r="127">
      <x:c r="B127" t="str">
        <x:v>PL-PEV-042</x:v>
      </x:c>
      <x:c r="C127" t="str">
        <x:v>planning</x:v>
      </x:c>
      <x:c r="D127" t="str">
        <x:v>paired event assignment</x:v>
      </x:c>
      <x:c r="E127" t="str">
        <x:v>PASS</x:v>
      </x:c>
      <x:c r="F127" t="str">
        <x:f>'Event Register'!P48</x:f>
        <x:v>PASS</x:v>
      </x:c>
      <x:c r="G127" t="str">
        <x:v>'Event Register'!P48</x:v>
      </x:c>
      <x:c r="H127" t="str">
        <x:v>planning constitution</x:v>
      </x:c>
      <x:c r="I127" t="str">
        <x:f>IF(E127=F127,"PASS","FAIL")</x:f>
        <x:v>PASS</x:v>
      </x:c>
    </x:row>
    <x:row r="128">
      <x:c r="B128" t="str">
        <x:v>PL-PEV-043</x:v>
      </x:c>
      <x:c r="C128" t="str">
        <x:v>planning</x:v>
      </x:c>
      <x:c r="D128" t="str">
        <x:v>paired event assignment</x:v>
      </x:c>
      <x:c r="E128" t="str">
        <x:v>PASS</x:v>
      </x:c>
      <x:c r="F128" t="str">
        <x:f>'Event Register'!P49</x:f>
        <x:v>PASS</x:v>
      </x:c>
      <x:c r="G128" t="str">
        <x:v>'Event Register'!P49</x:v>
      </x:c>
      <x:c r="H128" t="str">
        <x:v>planning constitution</x:v>
      </x:c>
      <x:c r="I128" t="str">
        <x:f>IF(E128=F128,"PASS","FAIL")</x:f>
        <x:v>PASS</x:v>
      </x:c>
    </x:row>
    <x:row r="129">
      <x:c r="B129" t="str">
        <x:v>PL-PEV-044</x:v>
      </x:c>
      <x:c r="C129" t="str">
        <x:v>planning</x:v>
      </x:c>
      <x:c r="D129" t="str">
        <x:v>paired event assignment</x:v>
      </x:c>
      <x:c r="E129" t="str">
        <x:v>PASS</x:v>
      </x:c>
      <x:c r="F129" t="str">
        <x:f>'Event Register'!P50</x:f>
        <x:v>PASS</x:v>
      </x:c>
      <x:c r="G129" t="str">
        <x:v>'Event Register'!P50</x:v>
      </x:c>
      <x:c r="H129" t="str">
        <x:v>planning constitution</x:v>
      </x:c>
      <x:c r="I129" t="str">
        <x:f>IF(E129=F129,"PASS","FAIL")</x:f>
        <x:v>PASS</x:v>
      </x:c>
    </x:row>
    <x:row r="130">
      <x:c r="B130" t="str">
        <x:v>PL-PEV-045</x:v>
      </x:c>
      <x:c r="C130" t="str">
        <x:v>planning</x:v>
      </x:c>
      <x:c r="D130" t="str">
        <x:v>paired event assignment</x:v>
      </x:c>
      <x:c r="E130" t="str">
        <x:v>PASS</x:v>
      </x:c>
      <x:c r="F130" t="str">
        <x:f>'Event Register'!P51</x:f>
        <x:v>PASS</x:v>
      </x:c>
      <x:c r="G130" t="str">
        <x:v>'Event Register'!P51</x:v>
      </x:c>
      <x:c r="H130" t="str">
        <x:v>planning constitution</x:v>
      </x:c>
      <x:c r="I130" t="str">
        <x:f>IF(E130=F130,"PASS","FAIL")</x:f>
        <x:v>PASS</x:v>
      </x:c>
    </x:row>
    <x:row r="131">
      <x:c r="B131" t="str">
        <x:v>PL-PEV-046</x:v>
      </x:c>
      <x:c r="C131" t="str">
        <x:v>planning</x:v>
      </x:c>
      <x:c r="D131" t="str">
        <x:v>paired event assignment</x:v>
      </x:c>
      <x:c r="E131" t="str">
        <x:v>PASS</x:v>
      </x:c>
      <x:c r="F131" t="str">
        <x:f>'Event Register'!P52</x:f>
        <x:v>PASS</x:v>
      </x:c>
      <x:c r="G131" t="str">
        <x:v>'Event Register'!P52</x:v>
      </x:c>
      <x:c r="H131" t="str">
        <x:v>planning constitution</x:v>
      </x:c>
      <x:c r="I131" t="str">
        <x:f>IF(E131=F131,"PASS","FAIL")</x:f>
        <x:v>PASS</x:v>
      </x:c>
    </x:row>
    <x:row r="132">
      <x:c r="B132" t="str">
        <x:v>PL-PEV-047</x:v>
      </x:c>
      <x:c r="C132" t="str">
        <x:v>planning</x:v>
      </x:c>
      <x:c r="D132" t="str">
        <x:v>paired event assignment</x:v>
      </x:c>
      <x:c r="E132" t="str">
        <x:v>PASS</x:v>
      </x:c>
      <x:c r="F132" t="str">
        <x:f>'Event Register'!P53</x:f>
        <x:v>PASS</x:v>
      </x:c>
      <x:c r="G132" t="str">
        <x:v>'Event Register'!P53</x:v>
      </x:c>
      <x:c r="H132" t="str">
        <x:v>planning constitution</x:v>
      </x:c>
      <x:c r="I132" t="str">
        <x:f>IF(E132=F132,"PASS","FAIL")</x:f>
        <x:v>PASS</x:v>
      </x:c>
    </x:row>
    <x:row r="133">
      <x:c r="B133" t="str">
        <x:v>PL-PEV-048</x:v>
      </x:c>
      <x:c r="C133" t="str">
        <x:v>planning</x:v>
      </x:c>
      <x:c r="D133" t="str">
        <x:v>paired event assignment</x:v>
      </x:c>
      <x:c r="E133" t="str">
        <x:v>PASS</x:v>
      </x:c>
      <x:c r="F133" t="str">
        <x:f>'Event Register'!P54</x:f>
        <x:v>PASS</x:v>
      </x:c>
      <x:c r="G133" t="str">
        <x:v>'Event Register'!P54</x:v>
      </x:c>
      <x:c r="H133" t="str">
        <x:v>planning constitution</x:v>
      </x:c>
      <x:c r="I133" t="str">
        <x:f>IF(E133=F133,"PASS","FAIL")</x:f>
        <x:v>PASS</x:v>
      </x:c>
    </x:row>
    <x:row r="134">
      <x:c r="B134" t="str">
        <x:v>PL-PEV-049</x:v>
      </x:c>
      <x:c r="C134" t="str">
        <x:v>planning</x:v>
      </x:c>
      <x:c r="D134" t="str">
        <x:v>paired event assignment</x:v>
      </x:c>
      <x:c r="E134" t="str">
        <x:v>PASS</x:v>
      </x:c>
      <x:c r="F134" t="str">
        <x:f>'Event Register'!P55</x:f>
        <x:v>PASS</x:v>
      </x:c>
      <x:c r="G134" t="str">
        <x:v>'Event Register'!P55</x:v>
      </x:c>
      <x:c r="H134" t="str">
        <x:v>planning constitution</x:v>
      </x:c>
      <x:c r="I134" t="str">
        <x:f>IF(E134=F134,"PASS","FAIL")</x:f>
        <x:v>PASS</x:v>
      </x:c>
    </x:row>
    <x:row r="135">
      <x:c r="B135" t="str">
        <x:v>PL-PEV-050</x:v>
      </x:c>
      <x:c r="C135" t="str">
        <x:v>planning</x:v>
      </x:c>
      <x:c r="D135" t="str">
        <x:v>paired event assignment</x:v>
      </x:c>
      <x:c r="E135" t="str">
        <x:v>PASS</x:v>
      </x:c>
      <x:c r="F135" t="str">
        <x:f>'Event Register'!P56</x:f>
        <x:v>PASS</x:v>
      </x:c>
      <x:c r="G135" t="str">
        <x:v>'Event Register'!P56</x:v>
      </x:c>
      <x:c r="H135" t="str">
        <x:v>planning constitution</x:v>
      </x:c>
      <x:c r="I135" t="str">
        <x:f>IF(E135=F135,"PASS","FAIL")</x:f>
        <x:v>PASS</x:v>
      </x:c>
    </x:row>
    <x:row r="136">
      <x:c r="B136" t="str">
        <x:v>PL-PEV-051</x:v>
      </x:c>
      <x:c r="C136" t="str">
        <x:v>planning</x:v>
      </x:c>
      <x:c r="D136" t="str">
        <x:v>paired event assignment</x:v>
      </x:c>
      <x:c r="E136" t="str">
        <x:v>PASS</x:v>
      </x:c>
      <x:c r="F136" t="str">
        <x:f>'Event Register'!P57</x:f>
        <x:v>PASS</x:v>
      </x:c>
      <x:c r="G136" t="str">
        <x:v>'Event Register'!P57</x:v>
      </x:c>
      <x:c r="H136" t="str">
        <x:v>planning constitution</x:v>
      </x:c>
      <x:c r="I136" t="str">
        <x:f>IF(E136=F136,"PASS","FAIL")</x:f>
        <x:v>PASS</x:v>
      </x:c>
    </x:row>
    <x:row r="137">
      <x:c r="B137" t="str">
        <x:v>PL-PEV-052</x:v>
      </x:c>
      <x:c r="C137" t="str">
        <x:v>planning</x:v>
      </x:c>
      <x:c r="D137" t="str">
        <x:v>paired event assignment</x:v>
      </x:c>
      <x:c r="E137" t="str">
        <x:v>PASS</x:v>
      </x:c>
      <x:c r="F137" t="str">
        <x:f>'Event Register'!P58</x:f>
        <x:v>PASS</x:v>
      </x:c>
      <x:c r="G137" t="str">
        <x:v>'Event Register'!P58</x:v>
      </x:c>
      <x:c r="H137" t="str">
        <x:v>planning constitution</x:v>
      </x:c>
      <x:c r="I137" t="str">
        <x:f>IF(E137=F137,"PASS","FAIL")</x:f>
        <x:v>PASS</x:v>
      </x:c>
    </x:row>
    <x:row r="138">
      <x:c r="B138" t="str">
        <x:v>PL-PEV-053</x:v>
      </x:c>
      <x:c r="C138" t="str">
        <x:v>planning</x:v>
      </x:c>
      <x:c r="D138" t="str">
        <x:v>paired event assignment</x:v>
      </x:c>
      <x:c r="E138" t="str">
        <x:v>PASS</x:v>
      </x:c>
      <x:c r="F138" t="str">
        <x:f>'Event Register'!P59</x:f>
        <x:v>PASS</x:v>
      </x:c>
      <x:c r="G138" t="str">
        <x:v>'Event Register'!P59</x:v>
      </x:c>
      <x:c r="H138" t="str">
        <x:v>planning constitution</x:v>
      </x:c>
      <x:c r="I138" t="str">
        <x:f>IF(E138=F138,"PASS","FAIL")</x:f>
        <x:v>PASS</x:v>
      </x:c>
    </x:row>
    <x:row r="139">
      <x:c r="B139" t="str">
        <x:v>PL-PEV-054</x:v>
      </x:c>
      <x:c r="C139" t="str">
        <x:v>planning</x:v>
      </x:c>
      <x:c r="D139" t="str">
        <x:v>paired event assignment</x:v>
      </x:c>
      <x:c r="E139" t="str">
        <x:v>PASS</x:v>
      </x:c>
      <x:c r="F139" t="str">
        <x:f>'Event Register'!P60</x:f>
        <x:v>PASS</x:v>
      </x:c>
      <x:c r="G139" t="str">
        <x:v>'Event Register'!P60</x:v>
      </x:c>
      <x:c r="H139" t="str">
        <x:v>planning constitution</x:v>
      </x:c>
      <x:c r="I139" t="str">
        <x:f>IF(E139=F139,"PASS","FAIL")</x:f>
        <x:v>PASS</x:v>
      </x:c>
    </x:row>
    <x:row r="140">
      <x:c r="B140" t="str">
        <x:v>PL-PEV-055</x:v>
      </x:c>
      <x:c r="C140" t="str">
        <x:v>planning</x:v>
      </x:c>
      <x:c r="D140" t="str">
        <x:v>paired event assignment</x:v>
      </x:c>
      <x:c r="E140" t="str">
        <x:v>PASS</x:v>
      </x:c>
      <x:c r="F140" t="str">
        <x:f>'Event Register'!P61</x:f>
        <x:v>PASS</x:v>
      </x:c>
      <x:c r="G140" t="str">
        <x:v>'Event Register'!P61</x:v>
      </x:c>
      <x:c r="H140" t="str">
        <x:v>planning constitution</x:v>
      </x:c>
      <x:c r="I140" t="str">
        <x:f>IF(E140=F140,"PASS","FAIL")</x:f>
        <x:v>PASS</x:v>
      </x:c>
    </x:row>
    <x:row r="141">
      <x:c r="B141" t="str">
        <x:v>PL-PEV-056</x:v>
      </x:c>
      <x:c r="C141" t="str">
        <x:v>planning</x:v>
      </x:c>
      <x:c r="D141" t="str">
        <x:v>paired event assignment</x:v>
      </x:c>
      <x:c r="E141" t="str">
        <x:v>PASS</x:v>
      </x:c>
      <x:c r="F141" t="str">
        <x:f>'Event Register'!P62</x:f>
        <x:v>PASS</x:v>
      </x:c>
      <x:c r="G141" t="str">
        <x:v>'Event Register'!P62</x:v>
      </x:c>
      <x:c r="H141" t="str">
        <x:v>planning constitution</x:v>
      </x:c>
      <x:c r="I141" t="str">
        <x:f>IF(E141=F141,"PASS","FAIL")</x:f>
        <x:v>PASS</x:v>
      </x:c>
    </x:row>
    <x:row r="142">
      <x:c r="B142" t="str">
        <x:v>PL-PEV-057</x:v>
      </x:c>
      <x:c r="C142" t="str">
        <x:v>planning</x:v>
      </x:c>
      <x:c r="D142" t="str">
        <x:v>paired event assignment</x:v>
      </x:c>
      <x:c r="E142" t="str">
        <x:v>PASS</x:v>
      </x:c>
      <x:c r="F142" t="str">
        <x:f>'Event Register'!P63</x:f>
        <x:v>PASS</x:v>
      </x:c>
      <x:c r="G142" t="str">
        <x:v>'Event Register'!P63</x:v>
      </x:c>
      <x:c r="H142" t="str">
        <x:v>planning constitution</x:v>
      </x:c>
      <x:c r="I142" t="str">
        <x:f>IF(E142=F142,"PASS","FAIL")</x:f>
        <x:v>PASS</x:v>
      </x:c>
    </x:row>
    <x:row r="143">
      <x:c r="B143" t="str">
        <x:v>PL-PEV-058</x:v>
      </x:c>
      <x:c r="C143" t="str">
        <x:v>planning</x:v>
      </x:c>
      <x:c r="D143" t="str">
        <x:v>paired event assignment</x:v>
      </x:c>
      <x:c r="E143" t="str">
        <x:v>PASS</x:v>
      </x:c>
      <x:c r="F143" t="str">
        <x:f>'Event Register'!P64</x:f>
        <x:v>PASS</x:v>
      </x:c>
      <x:c r="G143" t="str">
        <x:v>'Event Register'!P64</x:v>
      </x:c>
      <x:c r="H143" t="str">
        <x:v>planning constitution</x:v>
      </x:c>
      <x:c r="I143" t="str">
        <x:f>IF(E143=F143,"PASS","FAIL")</x:f>
        <x:v>PASS</x:v>
      </x:c>
    </x:row>
    <x:row r="144">
      <x:c r="B144" t="str">
        <x:v>PL-PEV-059</x:v>
      </x:c>
      <x:c r="C144" t="str">
        <x:v>planning</x:v>
      </x:c>
      <x:c r="D144" t="str">
        <x:v>paired event assignment</x:v>
      </x:c>
      <x:c r="E144" t="str">
        <x:v>PASS</x:v>
      </x:c>
      <x:c r="F144" t="str">
        <x:f>'Event Register'!P65</x:f>
        <x:v>PASS</x:v>
      </x:c>
      <x:c r="G144" t="str">
        <x:v>'Event Register'!P65</x:v>
      </x:c>
      <x:c r="H144" t="str">
        <x:v>planning constitution</x:v>
      </x:c>
      <x:c r="I144" t="str">
        <x:f>IF(E144=F144,"PASS","FAIL")</x:f>
        <x:v>PASS</x:v>
      </x:c>
    </x:row>
    <x:row r="145">
      <x:c r="B145" t="str">
        <x:v>PL-PEV-060</x:v>
      </x:c>
      <x:c r="C145" t="str">
        <x:v>planning</x:v>
      </x:c>
      <x:c r="D145" t="str">
        <x:v>paired event assignment</x:v>
      </x:c>
      <x:c r="E145" t="str">
        <x:v>PASS</x:v>
      </x:c>
      <x:c r="F145" t="str">
        <x:f>'Event Register'!P66</x:f>
        <x:v>PASS</x:v>
      </x:c>
      <x:c r="G145" t="str">
        <x:v>'Event Register'!P66</x:v>
      </x:c>
      <x:c r="H145" t="str">
        <x:v>planning constitution</x:v>
      </x:c>
      <x:c r="I145" t="str">
        <x:f>IF(E145=F145,"PASS","FAIL")</x:f>
        <x:v>PASS</x:v>
      </x:c>
    </x:row>
    <x:row r="146">
      <x:c r="B146" t="str">
        <x:v>PL-PEV-061</x:v>
      </x:c>
      <x:c r="C146" t="str">
        <x:v>planning</x:v>
      </x:c>
      <x:c r="D146" t="str">
        <x:v>paired event assignment</x:v>
      </x:c>
      <x:c r="E146" t="str">
        <x:v>PASS</x:v>
      </x:c>
      <x:c r="F146" t="str">
        <x:f>'Event Register'!P67</x:f>
        <x:v>PASS</x:v>
      </x:c>
      <x:c r="G146" t="str">
        <x:v>'Event Register'!P67</x:v>
      </x:c>
      <x:c r="H146" t="str">
        <x:v>planning constitution</x:v>
      </x:c>
      <x:c r="I146" t="str">
        <x:f>IF(E146=F146,"PASS","FAIL")</x:f>
        <x:v>PASS</x:v>
      </x:c>
    </x:row>
    <x:row r="147">
      <x:c r="B147" t="str">
        <x:v>PL-PEV-062</x:v>
      </x:c>
      <x:c r="C147" t="str">
        <x:v>planning</x:v>
      </x:c>
      <x:c r="D147" t="str">
        <x:v>paired event assignment</x:v>
      </x:c>
      <x:c r="E147" t="str">
        <x:v>PASS</x:v>
      </x:c>
      <x:c r="F147" t="str">
        <x:f>'Event Register'!P68</x:f>
        <x:v>PASS</x:v>
      </x:c>
      <x:c r="G147" t="str">
        <x:v>'Event Register'!P68</x:v>
      </x:c>
      <x:c r="H147" t="str">
        <x:v>planning constitution</x:v>
      </x:c>
      <x:c r="I147" t="str">
        <x:f>IF(E147=F147,"PASS","FAIL")</x:f>
        <x:v>PASS</x:v>
      </x:c>
    </x:row>
    <x:row r="148">
      <x:c r="B148" t="str">
        <x:v>PL-PEV-063</x:v>
      </x:c>
      <x:c r="C148" t="str">
        <x:v>planning</x:v>
      </x:c>
      <x:c r="D148" t="str">
        <x:v>paired event assignment</x:v>
      </x:c>
      <x:c r="E148" t="str">
        <x:v>PASS</x:v>
      </x:c>
      <x:c r="F148" t="str">
        <x:f>'Event Register'!P69</x:f>
        <x:v>PASS</x:v>
      </x:c>
      <x:c r="G148" t="str">
        <x:v>'Event Register'!P69</x:v>
      </x:c>
      <x:c r="H148" t="str">
        <x:v>planning constitution</x:v>
      </x:c>
      <x:c r="I148" t="str">
        <x:f>IF(E148=F148,"PASS","FAIL")</x:f>
        <x:v>PASS</x:v>
      </x:c>
    </x:row>
    <x:row r="149">
      <x:c r="B149" t="str">
        <x:v>PL-PEV-064</x:v>
      </x:c>
      <x:c r="C149" t="str">
        <x:v>planning</x:v>
      </x:c>
      <x:c r="D149" t="str">
        <x:v>paired event assignment</x:v>
      </x:c>
      <x:c r="E149" t="str">
        <x:v>PASS</x:v>
      </x:c>
      <x:c r="F149" t="str">
        <x:f>'Event Register'!P70</x:f>
        <x:v>PASS</x:v>
      </x:c>
      <x:c r="G149" t="str">
        <x:v>'Event Register'!P70</x:v>
      </x:c>
      <x:c r="H149" t="str">
        <x:v>planning constitution</x:v>
      </x:c>
      <x:c r="I149" t="str">
        <x:f>IF(E149=F149,"PASS","FAIL")</x:f>
        <x:v>PASS</x:v>
      </x:c>
    </x:row>
    <x:row r="150">
      <x:c r="B150" t="str">
        <x:v>PL-PEV-065</x:v>
      </x:c>
      <x:c r="C150" t="str">
        <x:v>planning</x:v>
      </x:c>
      <x:c r="D150" t="str">
        <x:v>paired event assignment</x:v>
      </x:c>
      <x:c r="E150" t="str">
        <x:v>PASS</x:v>
      </x:c>
      <x:c r="F150" t="str">
        <x:f>'Event Register'!P71</x:f>
        <x:v>PASS</x:v>
      </x:c>
      <x:c r="G150" t="str">
        <x:v>'Event Register'!P71</x:v>
      </x:c>
      <x:c r="H150" t="str">
        <x:v>planning constitution</x:v>
      </x:c>
      <x:c r="I150" t="str">
        <x:f>IF(E150=F150,"PASS","FAIL")</x:f>
        <x:v>PASS</x:v>
      </x:c>
    </x:row>
    <x:row r="151">
      <x:c r="B151" t="str">
        <x:v>PL-PEV-066</x:v>
      </x:c>
      <x:c r="C151" t="str">
        <x:v>planning</x:v>
      </x:c>
      <x:c r="D151" t="str">
        <x:v>paired event assignment</x:v>
      </x:c>
      <x:c r="E151" t="str">
        <x:v>PASS</x:v>
      </x:c>
      <x:c r="F151" t="str">
        <x:f>'Event Register'!P72</x:f>
        <x:v>PASS</x:v>
      </x:c>
      <x:c r="G151" t="str">
        <x:v>'Event Register'!P72</x:v>
      </x:c>
      <x:c r="H151" t="str">
        <x:v>planning constitution</x:v>
      </x:c>
      <x:c r="I151" t="str">
        <x:f>IF(E151=F151,"PASS","FAIL")</x:f>
        <x:v>PASS</x:v>
      </x:c>
    </x:row>
    <x:row r="152">
      <x:c r="B152" t="str">
        <x:v>PL-PEV-067</x:v>
      </x:c>
      <x:c r="C152" t="str">
        <x:v>planning</x:v>
      </x:c>
      <x:c r="D152" t="str">
        <x:v>paired event assignment</x:v>
      </x:c>
      <x:c r="E152" t="str">
        <x:v>PASS</x:v>
      </x:c>
      <x:c r="F152" t="str">
        <x:f>'Event Register'!P73</x:f>
        <x:v>PASS</x:v>
      </x:c>
      <x:c r="G152" t="str">
        <x:v>'Event Register'!P73</x:v>
      </x:c>
      <x:c r="H152" t="str">
        <x:v>planning constitution</x:v>
      </x:c>
      <x:c r="I152" t="str">
        <x:f>IF(E152=F152,"PASS","FAIL")</x:f>
        <x:v>PASS</x:v>
      </x:c>
    </x:row>
    <x:row r="153">
      <x:c r="B153" t="str">
        <x:v>PL-PEV-068</x:v>
      </x:c>
      <x:c r="C153" t="str">
        <x:v>planning</x:v>
      </x:c>
      <x:c r="D153" t="str">
        <x:v>paired event assignment</x:v>
      </x:c>
      <x:c r="E153" t="str">
        <x:v>PASS</x:v>
      </x:c>
      <x:c r="F153" t="str">
        <x:f>'Event Register'!P74</x:f>
        <x:v>PASS</x:v>
      </x:c>
      <x:c r="G153" t="str">
        <x:v>'Event Register'!P74</x:v>
      </x:c>
      <x:c r="H153" t="str">
        <x:v>planning constitution</x:v>
      </x:c>
      <x:c r="I153" t="str">
        <x:f>IF(E153=F153,"PASS","FAIL")</x:f>
        <x:v>PASS</x:v>
      </x:c>
    </x:row>
    <x:row r="154">
      <x:c r="B154" t="str">
        <x:v>PL-PEV-069</x:v>
      </x:c>
      <x:c r="C154" t="str">
        <x:v>planning</x:v>
      </x:c>
      <x:c r="D154" t="str">
        <x:v>paired event assignment</x:v>
      </x:c>
      <x:c r="E154" t="str">
        <x:v>PASS</x:v>
      </x:c>
      <x:c r="F154" t="str">
        <x:f>'Event Register'!P75</x:f>
        <x:v>PASS</x:v>
      </x:c>
      <x:c r="G154" t="str">
        <x:v>'Event Register'!P75</x:v>
      </x:c>
      <x:c r="H154" t="str">
        <x:v>planning constitution</x:v>
      </x:c>
      <x:c r="I154" t="str">
        <x:f>IF(E154=F154,"PASS","FAIL")</x:f>
        <x:v>PASS</x:v>
      </x:c>
    </x:row>
    <x:row r="155">
      <x:c r="B155" t="str">
        <x:v>PL-PEV-070</x:v>
      </x:c>
      <x:c r="C155" t="str">
        <x:v>planning</x:v>
      </x:c>
      <x:c r="D155" t="str">
        <x:v>paired event assignment</x:v>
      </x:c>
      <x:c r="E155" t="str">
        <x:v>PASS</x:v>
      </x:c>
      <x:c r="F155" t="str">
        <x:f>'Event Register'!P76</x:f>
        <x:v>PASS</x:v>
      </x:c>
      <x:c r="G155" t="str">
        <x:v>'Event Register'!P76</x:v>
      </x:c>
      <x:c r="H155" t="str">
        <x:v>planning constitution</x:v>
      </x:c>
      <x:c r="I155" t="str">
        <x:f>IF(E155=F155,"PASS","FAIL")</x:f>
        <x:v>PASS</x:v>
      </x:c>
    </x:row>
    <x:row r="156">
      <x:c r="B156" t="str">
        <x:v>PL-PEV-071</x:v>
      </x:c>
      <x:c r="C156" t="str">
        <x:v>planning</x:v>
      </x:c>
      <x:c r="D156" t="str">
        <x:v>paired event assignment</x:v>
      </x:c>
      <x:c r="E156" t="str">
        <x:v>PASS</x:v>
      </x:c>
      <x:c r="F156" t="str">
        <x:f>'Event Register'!P77</x:f>
        <x:v>PASS</x:v>
      </x:c>
      <x:c r="G156" t="str">
        <x:v>'Event Register'!P77</x:v>
      </x:c>
      <x:c r="H156" t="str">
        <x:v>planning constitution</x:v>
      </x:c>
      <x:c r="I156" t="str">
        <x:f>IF(E156=F156,"PASS","FAIL")</x:f>
        <x:v>PASS</x:v>
      </x:c>
    </x:row>
    <x:row r="157">
      <x:c r="B157" t="str">
        <x:v>PL-PEV-072</x:v>
      </x:c>
      <x:c r="C157" t="str">
        <x:v>planning</x:v>
      </x:c>
      <x:c r="D157" t="str">
        <x:v>paired event assignment</x:v>
      </x:c>
      <x:c r="E157" t="str">
        <x:v>PASS</x:v>
      </x:c>
      <x:c r="F157" t="str">
        <x:f>'Event Register'!P78</x:f>
        <x:v>PASS</x:v>
      </x:c>
      <x:c r="G157" t="str">
        <x:v>'Event Register'!P78</x:v>
      </x:c>
      <x:c r="H157" t="str">
        <x:v>planning constitution</x:v>
      </x:c>
      <x:c r="I157" t="str">
        <x:f>IF(E157=F157,"PASS","FAIL")</x:f>
        <x:v>PASS</x:v>
      </x:c>
    </x:row>
    <x:row r="158">
      <x:c r="B158" t="str">
        <x:v>PL-PEV-073</x:v>
      </x:c>
      <x:c r="C158" t="str">
        <x:v>planning</x:v>
      </x:c>
      <x:c r="D158" t="str">
        <x:v>paired event assignment</x:v>
      </x:c>
      <x:c r="E158" t="str">
        <x:v>PASS</x:v>
      </x:c>
      <x:c r="F158" t="str">
        <x:f>'Event Register'!P79</x:f>
        <x:v>PASS</x:v>
      </x:c>
      <x:c r="G158" t="str">
        <x:v>'Event Register'!P79</x:v>
      </x:c>
      <x:c r="H158" t="str">
        <x:v>planning constitution</x:v>
      </x:c>
      <x:c r="I158" t="str">
        <x:f>IF(E158=F158,"PASS","FAIL")</x:f>
        <x:v>PASS</x:v>
      </x:c>
    </x:row>
    <x:row r="159">
      <x:c r="B159" t="str">
        <x:v>PL-PEV-074</x:v>
      </x:c>
      <x:c r="C159" t="str">
        <x:v>planning</x:v>
      </x:c>
      <x:c r="D159" t="str">
        <x:v>paired event assignment</x:v>
      </x:c>
      <x:c r="E159" t="str">
        <x:v>PASS</x:v>
      </x:c>
      <x:c r="F159" t="str">
        <x:f>'Event Register'!P80</x:f>
        <x:v>PASS</x:v>
      </x:c>
      <x:c r="G159" t="str">
        <x:v>'Event Register'!P80</x:v>
      </x:c>
      <x:c r="H159" t="str">
        <x:v>planning constitution</x:v>
      </x:c>
      <x:c r="I159" t="str">
        <x:f>IF(E159=F159,"PASS","FAIL")</x:f>
        <x:v>PASS</x:v>
      </x:c>
    </x:row>
    <x:row r="160">
      <x:c r="B160" t="str">
        <x:v>PL-PEV-075</x:v>
      </x:c>
      <x:c r="C160" t="str">
        <x:v>planning</x:v>
      </x:c>
      <x:c r="D160" t="str">
        <x:v>paired event assignment</x:v>
      </x:c>
      <x:c r="E160" t="str">
        <x:v>PASS</x:v>
      </x:c>
      <x:c r="F160" t="str">
        <x:f>'Event Register'!P81</x:f>
        <x:v>PASS</x:v>
      </x:c>
      <x:c r="G160" t="str">
        <x:v>'Event Register'!P81</x:v>
      </x:c>
      <x:c r="H160" t="str">
        <x:v>planning constitution</x:v>
      </x:c>
      <x:c r="I160" t="str">
        <x:f>IF(E160=F160,"PASS","FAIL")</x:f>
        <x:v>PASS</x:v>
      </x:c>
    </x:row>
    <x:row r="161">
      <x:c r="B161" t="str">
        <x:v>PL-PEV-076</x:v>
      </x:c>
      <x:c r="C161" t="str">
        <x:v>planning</x:v>
      </x:c>
      <x:c r="D161" t="str">
        <x:v>paired event assignment</x:v>
      </x:c>
      <x:c r="E161" t="str">
        <x:v>PASS</x:v>
      </x:c>
      <x:c r="F161" t="str">
        <x:f>'Event Register'!P82</x:f>
        <x:v>PASS</x:v>
      </x:c>
      <x:c r="G161" t="str">
        <x:v>'Event Register'!P82</x:v>
      </x:c>
      <x:c r="H161" t="str">
        <x:v>planning constitution</x:v>
      </x:c>
      <x:c r="I161" t="str">
        <x:f>IF(E161=F161,"PASS","FAIL")</x:f>
        <x:v>PASS</x:v>
      </x:c>
    </x:row>
    <x:row r="162">
      <x:c r="B162" t="str">
        <x:v>PL-PEV-077</x:v>
      </x:c>
      <x:c r="C162" t="str">
        <x:v>planning</x:v>
      </x:c>
      <x:c r="D162" t="str">
        <x:v>paired event assignment</x:v>
      </x:c>
      <x:c r="E162" t="str">
        <x:v>PASS</x:v>
      </x:c>
      <x:c r="F162" t="str">
        <x:f>'Event Register'!P83</x:f>
        <x:v>PASS</x:v>
      </x:c>
      <x:c r="G162" t="str">
        <x:v>'Event Register'!P83</x:v>
      </x:c>
      <x:c r="H162" t="str">
        <x:v>planning constitution</x:v>
      </x:c>
      <x:c r="I162" t="str">
        <x:f>IF(E162=F162,"PASS","FAIL")</x:f>
        <x:v>PASS</x:v>
      </x:c>
    </x:row>
    <x:row r="163">
      <x:c r="B163" t="str">
        <x:v>PL-PEV-078</x:v>
      </x:c>
      <x:c r="C163" t="str">
        <x:v>planning</x:v>
      </x:c>
      <x:c r="D163" t="str">
        <x:v>paired event assignment</x:v>
      </x:c>
      <x:c r="E163" t="str">
        <x:v>PASS</x:v>
      </x:c>
      <x:c r="F163" t="str">
        <x:f>'Event Register'!P84</x:f>
        <x:v>PASS</x:v>
      </x:c>
      <x:c r="G163" t="str">
        <x:v>'Event Register'!P84</x:v>
      </x:c>
      <x:c r="H163" t="str">
        <x:v>planning constitution</x:v>
      </x:c>
      <x:c r="I163" t="str">
        <x:f>IF(E163=F163,"PASS","FAIL")</x:f>
        <x:v>PASS</x:v>
      </x:c>
    </x:row>
    <x:row r="164">
      <x:c r="B164" t="str">
        <x:v>PL-PEV-079</x:v>
      </x:c>
      <x:c r="C164" t="str">
        <x:v>planning</x:v>
      </x:c>
      <x:c r="D164" t="str">
        <x:v>paired event assignment</x:v>
      </x:c>
      <x:c r="E164" t="str">
        <x:v>PASS</x:v>
      </x:c>
      <x:c r="F164" t="str">
        <x:f>'Event Register'!P85</x:f>
        <x:v>PASS</x:v>
      </x:c>
      <x:c r="G164" t="str">
        <x:v>'Event Register'!P85</x:v>
      </x:c>
      <x:c r="H164" t="str">
        <x:v>planning constitution</x:v>
      </x:c>
      <x:c r="I164" t="str">
        <x:f>IF(E164=F164,"PASS","FAIL")</x:f>
        <x:v>PASS</x:v>
      </x:c>
    </x:row>
    <x:row r="165">
      <x:c r="B165" t="str">
        <x:v>PL-PEV-080</x:v>
      </x:c>
      <x:c r="C165" t="str">
        <x:v>planning</x:v>
      </x:c>
      <x:c r="D165" t="str">
        <x:v>paired event assignment</x:v>
      </x:c>
      <x:c r="E165" t="str">
        <x:v>PASS</x:v>
      </x:c>
      <x:c r="F165" t="str">
        <x:f>'Event Register'!P86</x:f>
        <x:v>PASS</x:v>
      </x:c>
      <x:c r="G165" t="str">
        <x:v>'Event Register'!P86</x:v>
      </x:c>
      <x:c r="H165" t="str">
        <x:v>planning constitution</x:v>
      </x:c>
      <x:c r="I165" t="str">
        <x:f>IF(E165=F165,"PASS","FAIL")</x:f>
        <x:v>PASS</x:v>
      </x:c>
    </x:row>
    <x:row r="166">
      <x:c r="B166" t="str">
        <x:v>PL-PEV-081</x:v>
      </x:c>
      <x:c r="C166" t="str">
        <x:v>planning</x:v>
      </x:c>
      <x:c r="D166" t="str">
        <x:v>paired event assignment</x:v>
      </x:c>
      <x:c r="E166" t="str">
        <x:v>PASS</x:v>
      </x:c>
      <x:c r="F166" t="str">
        <x:f>'Event Register'!P87</x:f>
        <x:v>PASS</x:v>
      </x:c>
      <x:c r="G166" t="str">
        <x:v>'Event Register'!P87</x:v>
      </x:c>
      <x:c r="H166" t="str">
        <x:v>planning constitution</x:v>
      </x:c>
      <x:c r="I166" t="str">
        <x:f>IF(E166=F166,"PASS","FAIL")</x:f>
        <x:v>PASS</x:v>
      </x:c>
    </x:row>
    <x:row r="167">
      <x:c r="B167" t="str">
        <x:v>PL-PEV-082</x:v>
      </x:c>
      <x:c r="C167" t="str">
        <x:v>planning</x:v>
      </x:c>
      <x:c r="D167" t="str">
        <x:v>paired event assignment</x:v>
      </x:c>
      <x:c r="E167" t="str">
        <x:v>PASS</x:v>
      </x:c>
      <x:c r="F167" t="str">
        <x:f>'Event Register'!P88</x:f>
        <x:v>PASS</x:v>
      </x:c>
      <x:c r="G167" t="str">
        <x:v>'Event Register'!P88</x:v>
      </x:c>
      <x:c r="H167" t="str">
        <x:v>planning constitution</x:v>
      </x:c>
      <x:c r="I167" t="str">
        <x:f>IF(E167=F167,"PASS","FAIL")</x:f>
        <x:v>PASS</x:v>
      </x:c>
    </x:row>
    <x:row r="168">
      <x:c r="B168" t="str">
        <x:v>PL-PEV-083</x:v>
      </x:c>
      <x:c r="C168" t="str">
        <x:v>planning</x:v>
      </x:c>
      <x:c r="D168" t="str">
        <x:v>paired event assignment</x:v>
      </x:c>
      <x:c r="E168" t="str">
        <x:v>PASS</x:v>
      </x:c>
      <x:c r="F168" t="str">
        <x:f>'Event Register'!P89</x:f>
        <x:v>PASS</x:v>
      </x:c>
      <x:c r="G168" t="str">
        <x:v>'Event Register'!P89</x:v>
      </x:c>
      <x:c r="H168" t="str">
        <x:v>planning constitution</x:v>
      </x:c>
      <x:c r="I168" t="str">
        <x:f>IF(E168=F168,"PASS","FAIL")</x:f>
        <x:v>PASS</x:v>
      </x:c>
    </x:row>
    <x:row r="169">
      <x:c r="B169" t="str">
        <x:v>PL-PEV-084</x:v>
      </x:c>
      <x:c r="C169" t="str">
        <x:v>planning</x:v>
      </x:c>
      <x:c r="D169" t="str">
        <x:v>paired event assignment</x:v>
      </x:c>
      <x:c r="E169" t="str">
        <x:v>PASS</x:v>
      </x:c>
      <x:c r="F169" t="str">
        <x:f>'Event Register'!P90</x:f>
        <x:v>PASS</x:v>
      </x:c>
      <x:c r="G169" t="str">
        <x:v>'Event Register'!P90</x:v>
      </x:c>
      <x:c r="H169" t="str">
        <x:v>planning constitution</x:v>
      </x:c>
      <x:c r="I169" t="str">
        <x:f>IF(E169=F169,"PASS","FAIL")</x:f>
        <x:v>PASS</x:v>
      </x:c>
    </x:row>
    <x:row r="170">
      <x:c r="B170" t="str">
        <x:v>PL-PEV-085</x:v>
      </x:c>
      <x:c r="C170" t="str">
        <x:v>planning</x:v>
      </x:c>
      <x:c r="D170" t="str">
        <x:v>paired event assignment</x:v>
      </x:c>
      <x:c r="E170" t="str">
        <x:v>PASS</x:v>
      </x:c>
      <x:c r="F170" t="str">
        <x:f>'Event Register'!P91</x:f>
        <x:v>PASS</x:v>
      </x:c>
      <x:c r="G170" t="str">
        <x:v>'Event Register'!P91</x:v>
      </x:c>
      <x:c r="H170" t="str">
        <x:v>planning constitution</x:v>
      </x:c>
      <x:c r="I170" t="str">
        <x:f>IF(E170=F170,"PASS","FAIL")</x:f>
        <x:v>PASS</x:v>
      </x:c>
    </x:row>
    <x:row r="171">
      <x:c r="B171" t="str">
        <x:v>PL-PEV-086</x:v>
      </x:c>
      <x:c r="C171" t="str">
        <x:v>planning</x:v>
      </x:c>
      <x:c r="D171" t="str">
        <x:v>paired event assignment</x:v>
      </x:c>
      <x:c r="E171" t="str">
        <x:v>PASS</x:v>
      </x:c>
      <x:c r="F171" t="str">
        <x:f>'Event Register'!P92</x:f>
        <x:v>PASS</x:v>
      </x:c>
      <x:c r="G171" t="str">
        <x:v>'Event Register'!P92</x:v>
      </x:c>
      <x:c r="H171" t="str">
        <x:v>planning constitution</x:v>
      </x:c>
      <x:c r="I171" t="str">
        <x:f>IF(E171=F171,"PASS","FAIL")</x:f>
        <x:v>PASS</x:v>
      </x:c>
    </x:row>
    <x:row r="172">
      <x:c r="B172" t="str">
        <x:v>PL-PEV-087</x:v>
      </x:c>
      <x:c r="C172" t="str">
        <x:v>planning</x:v>
      </x:c>
      <x:c r="D172" t="str">
        <x:v>paired event assignment</x:v>
      </x:c>
      <x:c r="E172" t="str">
        <x:v>PASS</x:v>
      </x:c>
      <x:c r="F172" t="str">
        <x:f>'Event Register'!P93</x:f>
        <x:v>PASS</x:v>
      </x:c>
      <x:c r="G172" t="str">
        <x:v>'Event Register'!P93</x:v>
      </x:c>
      <x:c r="H172" t="str">
        <x:v>planning constitution</x:v>
      </x:c>
      <x:c r="I172" t="str">
        <x:f>IF(E172=F172,"PASS","FAIL")</x:f>
        <x:v>PASS</x:v>
      </x:c>
    </x:row>
    <x:row r="173">
      <x:c r="B173" t="str">
        <x:v>PL-PEV-088</x:v>
      </x:c>
      <x:c r="C173" t="str">
        <x:v>planning</x:v>
      </x:c>
      <x:c r="D173" t="str">
        <x:v>paired event assignment</x:v>
      </x:c>
      <x:c r="E173" t="str">
        <x:v>PASS</x:v>
      </x:c>
      <x:c r="F173" t="str">
        <x:f>'Event Register'!P94</x:f>
        <x:v>PASS</x:v>
      </x:c>
      <x:c r="G173" t="str">
        <x:v>'Event Register'!P94</x:v>
      </x:c>
      <x:c r="H173" t="str">
        <x:v>planning constitution</x:v>
      </x:c>
      <x:c r="I173" t="str">
        <x:f>IF(E173=F173,"PASS","FAIL")</x:f>
        <x:v>PASS</x:v>
      </x:c>
    </x:row>
    <x:row r="174">
      <x:c r="B174" t="str">
        <x:v>PL-PEV-089</x:v>
      </x:c>
      <x:c r="C174" t="str">
        <x:v>planning</x:v>
      </x:c>
      <x:c r="D174" t="str">
        <x:v>paired event assignment</x:v>
      </x:c>
      <x:c r="E174" t="str">
        <x:v>PASS</x:v>
      </x:c>
      <x:c r="F174" t="str">
        <x:f>'Event Register'!P95</x:f>
        <x:v>PASS</x:v>
      </x:c>
      <x:c r="G174" t="str">
        <x:v>'Event Register'!P95</x:v>
      </x:c>
      <x:c r="H174" t="str">
        <x:v>planning constitution</x:v>
      </x:c>
      <x:c r="I174" t="str">
        <x:f>IF(E174=F174,"PASS","FAIL")</x:f>
        <x:v>PASS</x:v>
      </x:c>
    </x:row>
    <x:row r="175">
      <x:c r="B175" t="str">
        <x:v>PL-PEV-090</x:v>
      </x:c>
      <x:c r="C175" t="str">
        <x:v>planning</x:v>
      </x:c>
      <x:c r="D175" t="str">
        <x:v>paired event assignment</x:v>
      </x:c>
      <x:c r="E175" t="str">
        <x:v>PASS</x:v>
      </x:c>
      <x:c r="F175" t="str">
        <x:f>'Event Register'!P96</x:f>
        <x:v>PASS</x:v>
      </x:c>
      <x:c r="G175" t="str">
        <x:v>'Event Register'!P96</x:v>
      </x:c>
      <x:c r="H175" t="str">
        <x:v>planning constitution</x:v>
      </x:c>
      <x:c r="I175" t="str">
        <x:f>IF(E175=F175,"PASS","FAIL")</x:f>
        <x:v>PASS</x:v>
      </x:c>
    </x:row>
    <x:row r="176">
      <x:c r="B176" t="str">
        <x:v>PL-PEV-091</x:v>
      </x:c>
      <x:c r="C176" t="str">
        <x:v>planning</x:v>
      </x:c>
      <x:c r="D176" t="str">
        <x:v>paired event assignment</x:v>
      </x:c>
      <x:c r="E176" t="str">
        <x:v>PASS</x:v>
      </x:c>
      <x:c r="F176" t="str">
        <x:f>'Event Register'!P97</x:f>
        <x:v>PASS</x:v>
      </x:c>
      <x:c r="G176" t="str">
        <x:v>'Event Register'!P97</x:v>
      </x:c>
      <x:c r="H176" t="str">
        <x:v>planning constitution</x:v>
      </x:c>
      <x:c r="I176" t="str">
        <x:f>IF(E176=F176,"PASS","FAIL")</x:f>
        <x:v>PASS</x:v>
      </x:c>
    </x:row>
    <x:row r="177">
      <x:c r="B177" t="str">
        <x:v>PL-PEV-092</x:v>
      </x:c>
      <x:c r="C177" t="str">
        <x:v>planning</x:v>
      </x:c>
      <x:c r="D177" t="str">
        <x:v>paired event assignment</x:v>
      </x:c>
      <x:c r="E177" t="str">
        <x:v>PASS</x:v>
      </x:c>
      <x:c r="F177" t="str">
        <x:f>'Event Register'!P98</x:f>
        <x:v>PASS</x:v>
      </x:c>
      <x:c r="G177" t="str">
        <x:v>'Event Register'!P98</x:v>
      </x:c>
      <x:c r="H177" t="str">
        <x:v>planning constitution</x:v>
      </x:c>
      <x:c r="I177" t="str">
        <x:f>IF(E177=F177,"PASS","FAIL")</x:f>
        <x:v>PASS</x:v>
      </x:c>
    </x:row>
    <x:row r="178">
      <x:c r="B178" t="str">
        <x:v>PL-PEV-093</x:v>
      </x:c>
      <x:c r="C178" t="str">
        <x:v>planning</x:v>
      </x:c>
      <x:c r="D178" t="str">
        <x:v>paired event assignment</x:v>
      </x:c>
      <x:c r="E178" t="str">
        <x:v>PASS</x:v>
      </x:c>
      <x:c r="F178" t="str">
        <x:f>'Event Register'!P99</x:f>
        <x:v>PASS</x:v>
      </x:c>
      <x:c r="G178" t="str">
        <x:v>'Event Register'!P99</x:v>
      </x:c>
      <x:c r="H178" t="str">
        <x:v>planning constitution</x:v>
      </x:c>
      <x:c r="I178" t="str">
        <x:f>IF(E178=F178,"PASS","FAIL")</x:f>
        <x:v>PASS</x:v>
      </x:c>
    </x:row>
    <x:row r="179">
      <x:c r="B179" t="str">
        <x:v>PL-PEV-094</x:v>
      </x:c>
      <x:c r="C179" t="str">
        <x:v>planning</x:v>
      </x:c>
      <x:c r="D179" t="str">
        <x:v>paired event assignment</x:v>
      </x:c>
      <x:c r="E179" t="str">
        <x:v>PASS</x:v>
      </x:c>
      <x:c r="F179" t="str">
        <x:f>'Event Register'!P100</x:f>
        <x:v>PASS</x:v>
      </x:c>
      <x:c r="G179" t="str">
        <x:v>'Event Register'!P100</x:v>
      </x:c>
      <x:c r="H179" t="str">
        <x:v>planning constitution</x:v>
      </x:c>
      <x:c r="I179" t="str">
        <x:f>IF(E179=F179,"PASS","FAIL")</x:f>
        <x:v>PASS</x:v>
      </x:c>
    </x:row>
    <x:row r="180">
      <x:c r="B180" t="str">
        <x:v>PL-PEV-095</x:v>
      </x:c>
      <x:c r="C180" t="str">
        <x:v>planning</x:v>
      </x:c>
      <x:c r="D180" t="str">
        <x:v>paired event assignment</x:v>
      </x:c>
      <x:c r="E180" t="str">
        <x:v>PASS</x:v>
      </x:c>
      <x:c r="F180" t="str">
        <x:f>'Event Register'!P101</x:f>
        <x:v>PASS</x:v>
      </x:c>
      <x:c r="G180" t="str">
        <x:v>'Event Register'!P101</x:v>
      </x:c>
      <x:c r="H180" t="str">
        <x:v>planning constitution</x:v>
      </x:c>
      <x:c r="I180" t="str">
        <x:f>IF(E180=F180,"PASS","FAIL")</x:f>
        <x:v>PASS</x:v>
      </x:c>
    </x:row>
    <x:row r="181">
      <x:c r="B181" t="str">
        <x:v>PL-PEV-096</x:v>
      </x:c>
      <x:c r="C181" t="str">
        <x:v>planning</x:v>
      </x:c>
      <x:c r="D181" t="str">
        <x:v>paired event assignment</x:v>
      </x:c>
      <x:c r="E181" t="str">
        <x:v>PASS</x:v>
      </x:c>
      <x:c r="F181" t="str">
        <x:f>'Event Register'!P102</x:f>
        <x:v>PASS</x:v>
      </x:c>
      <x:c r="G181" t="str">
        <x:v>'Event Register'!P102</x:v>
      </x:c>
      <x:c r="H181" t="str">
        <x:v>planning constitution</x:v>
      </x:c>
      <x:c r="I181" t="str">
        <x:f>IF(E181=F181,"PASS","FAIL")</x:f>
        <x:v>PASS</x:v>
      </x:c>
    </x:row>
    <x:row r="182">
      <x:c r="B182" t="str">
        <x:v>PL-PEV-097</x:v>
      </x:c>
      <x:c r="C182" t="str">
        <x:v>planning</x:v>
      </x:c>
      <x:c r="D182" t="str">
        <x:v>paired event assignment</x:v>
      </x:c>
      <x:c r="E182" t="str">
        <x:v>PASS</x:v>
      </x:c>
      <x:c r="F182" t="str">
        <x:f>'Event Register'!P103</x:f>
        <x:v>PASS</x:v>
      </x:c>
      <x:c r="G182" t="str">
        <x:v>'Event Register'!P103</x:v>
      </x:c>
      <x:c r="H182" t="str">
        <x:v>planning constitution</x:v>
      </x:c>
      <x:c r="I182" t="str">
        <x:f>IF(E182=F182,"PASS","FAIL")</x:f>
        <x:v>PASS</x:v>
      </x:c>
    </x:row>
    <x:row r="183">
      <x:c r="B183" t="str">
        <x:v>PL-PEV-098</x:v>
      </x:c>
      <x:c r="C183" t="str">
        <x:v>planning</x:v>
      </x:c>
      <x:c r="D183" t="str">
        <x:v>paired event assignment</x:v>
      </x:c>
      <x:c r="E183" t="str">
        <x:v>PASS</x:v>
      </x:c>
      <x:c r="F183" t="str">
        <x:f>'Event Register'!P104</x:f>
        <x:v>PASS</x:v>
      </x:c>
      <x:c r="G183" t="str">
        <x:v>'Event Register'!P104</x:v>
      </x:c>
      <x:c r="H183" t="str">
        <x:v>planning constitution</x:v>
      </x:c>
      <x:c r="I183" t="str">
        <x:f>IF(E183=F183,"PASS","FAIL")</x:f>
        <x:v>PASS</x:v>
      </x:c>
    </x:row>
    <x:row r="184">
      <x:c r="B184" t="str">
        <x:v>PL-PEV-099</x:v>
      </x:c>
      <x:c r="C184" t="str">
        <x:v>planning</x:v>
      </x:c>
      <x:c r="D184" t="str">
        <x:v>paired event assignment</x:v>
      </x:c>
      <x:c r="E184" t="str">
        <x:v>PASS</x:v>
      </x:c>
      <x:c r="F184" t="str">
        <x:f>'Event Register'!P105</x:f>
        <x:v>PASS</x:v>
      </x:c>
      <x:c r="G184" t="str">
        <x:v>'Event Register'!P105</x:v>
      </x:c>
      <x:c r="H184" t="str">
        <x:v>planning constitution</x:v>
      </x:c>
      <x:c r="I184" t="str">
        <x:f>IF(E184=F184,"PASS","FAIL")</x:f>
        <x:v>PASS</x:v>
      </x:c>
    </x:row>
    <x:row r="185">
      <x:c r="B185" t="str">
        <x:v>PL-PEV-100</x:v>
      </x:c>
      <x:c r="C185" t="str">
        <x:v>planning</x:v>
      </x:c>
      <x:c r="D185" t="str">
        <x:v>paired event assignment</x:v>
      </x:c>
      <x:c r="E185" t="str">
        <x:v>PASS</x:v>
      </x:c>
      <x:c r="F185" t="str">
        <x:f>'Event Register'!P106</x:f>
        <x:v>PASS</x:v>
      </x:c>
      <x:c r="G185" t="str">
        <x:v>'Event Register'!P106</x:v>
      </x:c>
      <x:c r="H185" t="str">
        <x:v>planning constitution</x:v>
      </x:c>
      <x:c r="I185" t="str">
        <x:f>IF(E185=F185,"PASS","FAIL")</x:f>
        <x:v>PASS</x:v>
      </x:c>
    </x:row>
    <x:row r="186">
      <x:c r="B186" t="str">
        <x:v>PL-PEV-101</x:v>
      </x:c>
      <x:c r="C186" t="str">
        <x:v>planning</x:v>
      </x:c>
      <x:c r="D186" t="str">
        <x:v>paired event assignment</x:v>
      </x:c>
      <x:c r="E186" t="str">
        <x:v>PASS</x:v>
      </x:c>
      <x:c r="F186" t="str">
        <x:f>'Event Register'!P107</x:f>
        <x:v>PASS</x:v>
      </x:c>
      <x:c r="G186" t="str">
        <x:v>'Event Register'!P107</x:v>
      </x:c>
      <x:c r="H186" t="str">
        <x:v>planning constitution</x:v>
      </x:c>
      <x:c r="I186" t="str">
        <x:f>IF(E186=F186,"PASS","FAIL")</x:f>
        <x:v>PASS</x:v>
      </x:c>
    </x:row>
    <x:row r="187">
      <x:c r="B187" t="str">
        <x:v>PL-PEV-102</x:v>
      </x:c>
      <x:c r="C187" t="str">
        <x:v>planning</x:v>
      </x:c>
      <x:c r="D187" t="str">
        <x:v>paired event assignment</x:v>
      </x:c>
      <x:c r="E187" t="str">
        <x:v>PASS</x:v>
      </x:c>
      <x:c r="F187" t="str">
        <x:f>'Event Register'!P108</x:f>
        <x:v>PASS</x:v>
      </x:c>
      <x:c r="G187" t="str">
        <x:v>'Event Register'!P108</x:v>
      </x:c>
      <x:c r="H187" t="str">
        <x:v>planning constitution</x:v>
      </x:c>
      <x:c r="I187" t="str">
        <x:f>IF(E187=F187,"PASS","FAIL")</x:f>
        <x:v>PASS</x:v>
      </x:c>
    </x:row>
    <x:row r="188">
      <x:c r="B188" t="str">
        <x:v>PL-PEV-103</x:v>
      </x:c>
      <x:c r="C188" t="str">
        <x:v>planning</x:v>
      </x:c>
      <x:c r="D188" t="str">
        <x:v>paired event assignment</x:v>
      </x:c>
      <x:c r="E188" t="str">
        <x:v>PASS</x:v>
      </x:c>
      <x:c r="F188" t="str">
        <x:f>'Event Register'!P109</x:f>
        <x:v>PASS</x:v>
      </x:c>
      <x:c r="G188" t="str">
        <x:v>'Event Register'!P109</x:v>
      </x:c>
      <x:c r="H188" t="str">
        <x:v>planning constitution</x:v>
      </x:c>
      <x:c r="I188" t="str">
        <x:f>IF(E188=F188,"PASS","FAIL")</x:f>
        <x:v>PASS</x:v>
      </x:c>
    </x:row>
    <x:row r="189">
      <x:c r="B189" t="str">
        <x:v>PL-PEV-104</x:v>
      </x:c>
      <x:c r="C189" t="str">
        <x:v>planning</x:v>
      </x:c>
      <x:c r="D189" t="str">
        <x:v>paired event assignment</x:v>
      </x:c>
      <x:c r="E189" t="str">
        <x:v>PASS</x:v>
      </x:c>
      <x:c r="F189" t="str">
        <x:f>'Event Register'!P110</x:f>
        <x:v>PASS</x:v>
      </x:c>
      <x:c r="G189" t="str">
        <x:v>'Event Register'!P110</x:v>
      </x:c>
      <x:c r="H189" t="str">
        <x:v>planning constitution</x:v>
      </x:c>
      <x:c r="I189" t="str">
        <x:f>IF(E189=F189,"PASS","FAIL")</x:f>
        <x:v>PASS</x:v>
      </x:c>
    </x:row>
    <x:row r="190">
      <x:c r="B190" t="str">
        <x:v>PL-PEV-105</x:v>
      </x:c>
      <x:c r="C190" t="str">
        <x:v>planning</x:v>
      </x:c>
      <x:c r="D190" t="str">
        <x:v>paired event assignment</x:v>
      </x:c>
      <x:c r="E190" t="str">
        <x:v>PASS</x:v>
      </x:c>
      <x:c r="F190" t="str">
        <x:f>'Event Register'!P111</x:f>
        <x:v>PASS</x:v>
      </x:c>
      <x:c r="G190" t="str">
        <x:v>'Event Register'!P111</x:v>
      </x:c>
      <x:c r="H190" t="str">
        <x:v>planning constitution</x:v>
      </x:c>
      <x:c r="I190" t="str">
        <x:f>IF(E190=F190,"PASS","FAIL")</x:f>
        <x:v>PASS</x:v>
      </x:c>
    </x:row>
    <x:row r="191">
      <x:c r="B191" t="str">
        <x:v>PL-PEV-106</x:v>
      </x:c>
      <x:c r="C191" t="str">
        <x:v>planning</x:v>
      </x:c>
      <x:c r="D191" t="str">
        <x:v>paired event assignment</x:v>
      </x:c>
      <x:c r="E191" t="str">
        <x:v>PASS</x:v>
      </x:c>
      <x:c r="F191" t="str">
        <x:f>'Event Register'!P112</x:f>
        <x:v>PASS</x:v>
      </x:c>
      <x:c r="G191" t="str">
        <x:v>'Event Register'!P112</x:v>
      </x:c>
      <x:c r="H191" t="str">
        <x:v>planning constitution</x:v>
      </x:c>
      <x:c r="I191" t="str">
        <x:f>IF(E191=F191,"PASS","FAIL")</x:f>
        <x:v>PASS</x:v>
      </x:c>
    </x:row>
    <x:row r="192">
      <x:c r="B192" t="str">
        <x:v>PL-PEV-107</x:v>
      </x:c>
      <x:c r="C192" t="str">
        <x:v>planning</x:v>
      </x:c>
      <x:c r="D192" t="str">
        <x:v>paired event assignment</x:v>
      </x:c>
      <x:c r="E192" t="str">
        <x:v>PASS</x:v>
      </x:c>
      <x:c r="F192" t="str">
        <x:f>'Event Register'!P113</x:f>
        <x:v>PASS</x:v>
      </x:c>
      <x:c r="G192" t="str">
        <x:v>'Event Register'!P113</x:v>
      </x:c>
      <x:c r="H192" t="str">
        <x:v>planning constitution</x:v>
      </x:c>
      <x:c r="I192" t="str">
        <x:f>IF(E192=F192,"PASS","FAIL")</x:f>
        <x:v>PASS</x:v>
      </x:c>
    </x:row>
    <x:row r="193">
      <x:c r="B193" t="str">
        <x:v>PL-PEV-108</x:v>
      </x:c>
      <x:c r="C193" t="str">
        <x:v>planning</x:v>
      </x:c>
      <x:c r="D193" t="str">
        <x:v>paired event assignment</x:v>
      </x:c>
      <x:c r="E193" t="str">
        <x:v>PASS</x:v>
      </x:c>
      <x:c r="F193" t="str">
        <x:f>'Event Register'!P114</x:f>
        <x:v>PASS</x:v>
      </x:c>
      <x:c r="G193" t="str">
        <x:v>'Event Register'!P114</x:v>
      </x:c>
      <x:c r="H193" t="str">
        <x:v>planning constitution</x:v>
      </x:c>
      <x:c r="I193" t="str">
        <x:f>IF(E193=F193,"PASS","FAIL")</x:f>
        <x:v>PASS</x:v>
      </x:c>
    </x:row>
    <x:row r="194">
      <x:c r="B194" t="str">
        <x:v>PL-PEV-109</x:v>
      </x:c>
      <x:c r="C194" t="str">
        <x:v>planning</x:v>
      </x:c>
      <x:c r="D194" t="str">
        <x:v>paired event assignment</x:v>
      </x:c>
      <x:c r="E194" t="str">
        <x:v>PASS</x:v>
      </x:c>
      <x:c r="F194" t="str">
        <x:f>'Event Register'!P115</x:f>
        <x:v>PASS</x:v>
      </x:c>
      <x:c r="G194" t="str">
        <x:v>'Event Register'!P115</x:v>
      </x:c>
      <x:c r="H194" t="str">
        <x:v>planning constitution</x:v>
      </x:c>
      <x:c r="I194" t="str">
        <x:f>IF(E194=F194,"PASS","FAIL")</x:f>
        <x:v>PASS</x:v>
      </x:c>
    </x:row>
    <x:row r="195">
      <x:c r="B195" t="str">
        <x:v>PL-PEV-110</x:v>
      </x:c>
      <x:c r="C195" t="str">
        <x:v>planning</x:v>
      </x:c>
      <x:c r="D195" t="str">
        <x:v>paired event assignment</x:v>
      </x:c>
      <x:c r="E195" t="str">
        <x:v>PASS</x:v>
      </x:c>
      <x:c r="F195" t="str">
        <x:f>'Event Register'!P116</x:f>
        <x:v>PASS</x:v>
      </x:c>
      <x:c r="G195" t="str">
        <x:v>'Event Register'!P116</x:v>
      </x:c>
      <x:c r="H195" t="str">
        <x:v>planning constitution</x:v>
      </x:c>
      <x:c r="I195" t="str">
        <x:f>IF(E195=F195,"PASS","FAIL")</x:f>
        <x:v>PASS</x:v>
      </x:c>
    </x:row>
    <x:row r="196">
      <x:c r="B196" t="str">
        <x:v>PL-PEV-111</x:v>
      </x:c>
      <x:c r="C196" t="str">
        <x:v>planning</x:v>
      </x:c>
      <x:c r="D196" t="str">
        <x:v>paired event assignment</x:v>
      </x:c>
      <x:c r="E196" t="str">
        <x:v>PASS</x:v>
      </x:c>
      <x:c r="F196" t="str">
        <x:f>'Event Register'!P117</x:f>
        <x:v>PASS</x:v>
      </x:c>
      <x:c r="G196" t="str">
        <x:v>'Event Register'!P117</x:v>
      </x:c>
      <x:c r="H196" t="str">
        <x:v>planning constitution</x:v>
      </x:c>
      <x:c r="I196" t="str">
        <x:f>IF(E196=F196,"PASS","FAIL")</x:f>
        <x:v>PASS</x:v>
      </x:c>
    </x:row>
    <x:row r="197">
      <x:c r="B197" t="str">
        <x:v>PL-PEV-112</x:v>
      </x:c>
      <x:c r="C197" t="str">
        <x:v>planning</x:v>
      </x:c>
      <x:c r="D197" t="str">
        <x:v>paired event assignment</x:v>
      </x:c>
      <x:c r="E197" t="str">
        <x:v>PASS</x:v>
      </x:c>
      <x:c r="F197" t="str">
        <x:f>'Event Register'!P118</x:f>
        <x:v>PASS</x:v>
      </x:c>
      <x:c r="G197" t="str">
        <x:v>'Event Register'!P118</x:v>
      </x:c>
      <x:c r="H197" t="str">
        <x:v>planning constitution</x:v>
      </x:c>
      <x:c r="I197" t="str">
        <x:f>IF(E197=F197,"PASS","FAIL")</x:f>
        <x:v>PASS</x:v>
      </x:c>
    </x:row>
    <x:row r="198">
      <x:c r="B198" t="str">
        <x:v>PL-PEV-113</x:v>
      </x:c>
      <x:c r="C198" t="str">
        <x:v>planning</x:v>
      </x:c>
      <x:c r="D198" t="str">
        <x:v>paired event assignment</x:v>
      </x:c>
      <x:c r="E198" t="str">
        <x:v>PASS</x:v>
      </x:c>
      <x:c r="F198" t="str">
        <x:f>'Event Register'!P119</x:f>
        <x:v>PASS</x:v>
      </x:c>
      <x:c r="G198" t="str">
        <x:v>'Event Register'!P119</x:v>
      </x:c>
      <x:c r="H198" t="str">
        <x:v>planning constitution</x:v>
      </x:c>
      <x:c r="I198" t="str">
        <x:f>IF(E198=F198,"PASS","FAIL")</x:f>
        <x:v>PASS</x:v>
      </x:c>
    </x:row>
    <x:row r="199">
      <x:c r="B199" t="str">
        <x:v>PL-PEV-114</x:v>
      </x:c>
      <x:c r="C199" t="str">
        <x:v>planning</x:v>
      </x:c>
      <x:c r="D199" t="str">
        <x:v>paired event assignment</x:v>
      </x:c>
      <x:c r="E199" t="str">
        <x:v>PASS</x:v>
      </x:c>
      <x:c r="F199" t="str">
        <x:f>'Event Register'!P120</x:f>
        <x:v>PASS</x:v>
      </x:c>
      <x:c r="G199" t="str">
        <x:v>'Event Register'!P120</x:v>
      </x:c>
      <x:c r="H199" t="str">
        <x:v>planning constitution</x:v>
      </x:c>
      <x:c r="I199" t="str">
        <x:f>IF(E199=F199,"PASS","FAIL")</x:f>
        <x:v>PASS</x:v>
      </x:c>
    </x:row>
    <x:row r="200">
      <x:c r="B200" t="str">
        <x:v>PL-PEV-115</x:v>
      </x:c>
      <x:c r="C200" t="str">
        <x:v>planning</x:v>
      </x:c>
      <x:c r="D200" t="str">
        <x:v>paired event assignment</x:v>
      </x:c>
      <x:c r="E200" t="str">
        <x:v>PASS</x:v>
      </x:c>
      <x:c r="F200" t="str">
        <x:f>'Event Register'!P121</x:f>
        <x:v>PASS</x:v>
      </x:c>
      <x:c r="G200" t="str">
        <x:v>'Event Register'!P121</x:v>
      </x:c>
      <x:c r="H200" t="str">
        <x:v>planning constitution</x:v>
      </x:c>
      <x:c r="I200" t="str">
        <x:f>IF(E200=F200,"PASS","FAIL")</x:f>
        <x:v>PASS</x:v>
      </x:c>
    </x:row>
    <x:row r="201">
      <x:c r="B201" t="str">
        <x:v>PL-PEV-116</x:v>
      </x:c>
      <x:c r="C201" t="str">
        <x:v>planning</x:v>
      </x:c>
      <x:c r="D201" t="str">
        <x:v>paired event assignment</x:v>
      </x:c>
      <x:c r="E201" t="str">
        <x:v>PASS</x:v>
      </x:c>
      <x:c r="F201" t="str">
        <x:f>'Event Register'!P122</x:f>
        <x:v>PASS</x:v>
      </x:c>
      <x:c r="G201" t="str">
        <x:v>'Event Register'!P122</x:v>
      </x:c>
      <x:c r="H201" t="str">
        <x:v>planning constitution</x:v>
      </x:c>
      <x:c r="I201" t="str">
        <x:f>IF(E201=F201,"PASS","FAIL")</x:f>
        <x:v>PASS</x:v>
      </x:c>
    </x:row>
    <x:row r="202">
      <x:c r="B202" t="str">
        <x:v>PL-PEV-117</x:v>
      </x:c>
      <x:c r="C202" t="str">
        <x:v>planning</x:v>
      </x:c>
      <x:c r="D202" t="str">
        <x:v>paired event assignment</x:v>
      </x:c>
      <x:c r="E202" t="str">
        <x:v>PASS</x:v>
      </x:c>
      <x:c r="F202" t="str">
        <x:f>'Event Register'!P123</x:f>
        <x:v>PASS</x:v>
      </x:c>
      <x:c r="G202" t="str">
        <x:v>'Event Register'!P123</x:v>
      </x:c>
      <x:c r="H202" t="str">
        <x:v>planning constitution</x:v>
      </x:c>
      <x:c r="I202" t="str">
        <x:f>IF(E202=F202,"PASS","FAIL")</x:f>
        <x:v>PASS</x:v>
      </x:c>
    </x:row>
    <x:row r="203">
      <x:c r="B203" t="str">
        <x:v>PL-PEV-118</x:v>
      </x:c>
      <x:c r="C203" t="str">
        <x:v>planning</x:v>
      </x:c>
      <x:c r="D203" t="str">
        <x:v>paired event assignment</x:v>
      </x:c>
      <x:c r="E203" t="str">
        <x:v>PASS</x:v>
      </x:c>
      <x:c r="F203" t="str">
        <x:f>'Event Register'!P124</x:f>
        <x:v>PASS</x:v>
      </x:c>
      <x:c r="G203" t="str">
        <x:v>'Event Register'!P124</x:v>
      </x:c>
      <x:c r="H203" t="str">
        <x:v>planning constitution</x:v>
      </x:c>
      <x:c r="I203" t="str">
        <x:f>IF(E203=F203,"PASS","FAIL")</x:f>
        <x:v>PASS</x:v>
      </x:c>
    </x:row>
    <x:row r="204">
      <x:c r="B204" t="str">
        <x:v>PL-PEV-119</x:v>
      </x:c>
      <x:c r="C204" t="str">
        <x:v>planning</x:v>
      </x:c>
      <x:c r="D204" t="str">
        <x:v>paired event assignment</x:v>
      </x:c>
      <x:c r="E204" t="str">
        <x:v>PASS</x:v>
      </x:c>
      <x:c r="F204" t="str">
        <x:f>'Event Register'!P125</x:f>
        <x:v>PASS</x:v>
      </x:c>
      <x:c r="G204" t="str">
        <x:v>'Event Register'!P125</x:v>
      </x:c>
      <x:c r="H204" t="str">
        <x:v>planning constitution</x:v>
      </x:c>
      <x:c r="I204" t="str">
        <x:f>IF(E204=F204,"PASS","FAIL")</x:f>
        <x:v>PASS</x:v>
      </x:c>
    </x:row>
    <x:row r="205">
      <x:c r="B205" t="str">
        <x:v>PL-PEV-120</x:v>
      </x:c>
      <x:c r="C205" t="str">
        <x:v>planning</x:v>
      </x:c>
      <x:c r="D205" t="str">
        <x:v>paired event assignment</x:v>
      </x:c>
      <x:c r="E205" t="str">
        <x:v>PASS</x:v>
      </x:c>
      <x:c r="F205" t="str">
        <x:f>'Event Register'!P126</x:f>
        <x:v>PASS</x:v>
      </x:c>
      <x:c r="G205" t="str">
        <x:v>'Event Register'!P126</x:v>
      </x:c>
      <x:c r="H205" t="str">
        <x:v>planning constitution</x:v>
      </x:c>
      <x:c r="I205" t="str">
        <x:f>IF(E205=F205,"PASS","FAIL")</x:f>
        <x:v>PASS</x:v>
      </x:c>
    </x:row>
    <x:row r="206">
      <x:c r="B206" t="str">
        <x:v>PL-PEV-121</x:v>
      </x:c>
      <x:c r="C206" t="str">
        <x:v>planning</x:v>
      </x:c>
      <x:c r="D206" t="str">
        <x:v>paired event assignment</x:v>
      </x:c>
      <x:c r="E206" t="str">
        <x:v>PASS</x:v>
      </x:c>
      <x:c r="F206" t="str">
        <x:f>'Event Register'!P127</x:f>
        <x:v>PASS</x:v>
      </x:c>
      <x:c r="G206" t="str">
        <x:v>'Event Register'!P127</x:v>
      </x:c>
      <x:c r="H206" t="str">
        <x:v>planning constitution</x:v>
      </x:c>
      <x:c r="I206" t="str">
        <x:f>IF(E206=F206,"PASS","FAIL")</x:f>
        <x:v>PASS</x:v>
      </x:c>
    </x:row>
    <x:row r="207">
      <x:c r="B207" t="str">
        <x:v>PL-PEV-122</x:v>
      </x:c>
      <x:c r="C207" t="str">
        <x:v>planning</x:v>
      </x:c>
      <x:c r="D207" t="str">
        <x:v>paired event assignment</x:v>
      </x:c>
      <x:c r="E207" t="str">
        <x:v>PASS</x:v>
      </x:c>
      <x:c r="F207" t="str">
        <x:f>'Event Register'!P128</x:f>
        <x:v>PASS</x:v>
      </x:c>
      <x:c r="G207" t="str">
        <x:v>'Event Register'!P128</x:v>
      </x:c>
      <x:c r="H207" t="str">
        <x:v>planning constitution</x:v>
      </x:c>
      <x:c r="I207" t="str">
        <x:f>IF(E207=F207,"PASS","FAIL")</x:f>
        <x:v>PASS</x:v>
      </x:c>
    </x:row>
    <x:row r="208">
      <x:c r="B208" t="str">
        <x:v>PL-PEV-123</x:v>
      </x:c>
      <x:c r="C208" t="str">
        <x:v>planning</x:v>
      </x:c>
      <x:c r="D208" t="str">
        <x:v>paired event assignment</x:v>
      </x:c>
      <x:c r="E208" t="str">
        <x:v>PASS</x:v>
      </x:c>
      <x:c r="F208" t="str">
        <x:f>'Event Register'!P129</x:f>
        <x:v>PASS</x:v>
      </x:c>
      <x:c r="G208" t="str">
        <x:v>'Event Register'!P129</x:v>
      </x:c>
      <x:c r="H208" t="str">
        <x:v>planning constitution</x:v>
      </x:c>
      <x:c r="I208" t="str">
        <x:f>IF(E208=F208,"PASS","FAIL")</x:f>
        <x:v>PASS</x:v>
      </x:c>
    </x:row>
    <x:row r="209">
      <x:c r="B209" t="str">
        <x:v>PL-PEV-124</x:v>
      </x:c>
      <x:c r="C209" t="str">
        <x:v>planning</x:v>
      </x:c>
      <x:c r="D209" t="str">
        <x:v>paired event assignment</x:v>
      </x:c>
      <x:c r="E209" t="str">
        <x:v>PASS</x:v>
      </x:c>
      <x:c r="F209" t="str">
        <x:f>'Event Register'!P130</x:f>
        <x:v>PASS</x:v>
      </x:c>
      <x:c r="G209" t="str">
        <x:v>'Event Register'!P130</x:v>
      </x:c>
      <x:c r="H209" t="str">
        <x:v>planning constitution</x:v>
      </x:c>
      <x:c r="I209" t="str">
        <x:f>IF(E209=F209,"PASS","FAIL")</x:f>
        <x:v>PASS</x:v>
      </x:c>
    </x:row>
    <x:row r="210">
      <x:c r="B210" t="str">
        <x:v>PL-PEV-125</x:v>
      </x:c>
      <x:c r="C210" t="str">
        <x:v>planning</x:v>
      </x:c>
      <x:c r="D210" t="str">
        <x:v>paired event assignment</x:v>
      </x:c>
      <x:c r="E210" t="str">
        <x:v>PASS</x:v>
      </x:c>
      <x:c r="F210" t="str">
        <x:f>'Event Register'!P131</x:f>
        <x:v>PASS</x:v>
      </x:c>
      <x:c r="G210" t="str">
        <x:v>'Event Register'!P131</x:v>
      </x:c>
      <x:c r="H210" t="str">
        <x:v>planning constitution</x:v>
      </x:c>
      <x:c r="I210" t="str">
        <x:f>IF(E210=F210,"PASS","FAIL")</x:f>
        <x:v>PASS</x:v>
      </x:c>
    </x:row>
    <x:row r="211">
      <x:c r="B211" t="str">
        <x:v>PL-PEV-126</x:v>
      </x:c>
      <x:c r="C211" t="str">
        <x:v>planning</x:v>
      </x:c>
      <x:c r="D211" t="str">
        <x:v>paired event assignment</x:v>
      </x:c>
      <x:c r="E211" t="str">
        <x:v>PASS</x:v>
      </x:c>
      <x:c r="F211" t="str">
        <x:f>'Event Register'!P132</x:f>
        <x:v>PASS</x:v>
      </x:c>
      <x:c r="G211" t="str">
        <x:v>'Event Register'!P132</x:v>
      </x:c>
      <x:c r="H211" t="str">
        <x:v>planning constitution</x:v>
      </x:c>
      <x:c r="I211" t="str">
        <x:f>IF(E211=F211,"PASS","FAIL")</x:f>
        <x:v>PASS</x:v>
      </x:c>
    </x:row>
    <x:row r="212">
      <x:c r="B212" t="str">
        <x:v>PL-PEV-127</x:v>
      </x:c>
      <x:c r="C212" t="str">
        <x:v>planning</x:v>
      </x:c>
      <x:c r="D212" t="str">
        <x:v>paired event assignment</x:v>
      </x:c>
      <x:c r="E212" t="str">
        <x:v>PASS</x:v>
      </x:c>
      <x:c r="F212" t="str">
        <x:f>'Event Register'!P133</x:f>
        <x:v>PASS</x:v>
      </x:c>
      <x:c r="G212" t="str">
        <x:v>'Event Register'!P133</x:v>
      </x:c>
      <x:c r="H212" t="str">
        <x:v>planning constitution</x:v>
      </x:c>
      <x:c r="I212" t="str">
        <x:f>IF(E212=F212,"PASS","FAIL")</x:f>
        <x:v>PASS</x:v>
      </x:c>
    </x:row>
    <x:row r="213">
      <x:c r="B213" t="str">
        <x:v>PL-PEV-128</x:v>
      </x:c>
      <x:c r="C213" t="str">
        <x:v>planning</x:v>
      </x:c>
      <x:c r="D213" t="str">
        <x:v>paired event assignment</x:v>
      </x:c>
      <x:c r="E213" t="str">
        <x:v>PASS</x:v>
      </x:c>
      <x:c r="F213" t="str">
        <x:f>'Event Register'!P134</x:f>
        <x:v>PASS</x:v>
      </x:c>
      <x:c r="G213" t="str">
        <x:v>'Event Register'!P134</x:v>
      </x:c>
      <x:c r="H213" t="str">
        <x:v>planning constitution</x:v>
      </x:c>
      <x:c r="I213" t="str">
        <x:f>IF(E213=F213,"PASS","FAIL")</x:f>
        <x:v>PASS</x:v>
      </x:c>
    </x:row>
    <x:row r="214">
      <x:c r="B214" t="str">
        <x:v>PL-PEV-129</x:v>
      </x:c>
      <x:c r="C214" t="str">
        <x:v>planning</x:v>
      </x:c>
      <x:c r="D214" t="str">
        <x:v>paired event assignment</x:v>
      </x:c>
      <x:c r="E214" t="str">
        <x:v>PASS</x:v>
      </x:c>
      <x:c r="F214" t="str">
        <x:f>'Event Register'!P135</x:f>
        <x:v>PASS</x:v>
      </x:c>
      <x:c r="G214" t="str">
        <x:v>'Event Register'!P135</x:v>
      </x:c>
      <x:c r="H214" t="str">
        <x:v>planning constitution</x:v>
      </x:c>
      <x:c r="I214" t="str">
        <x:f>IF(E214=F214,"PASS","FAIL")</x:f>
        <x:v>PASS</x:v>
      </x:c>
    </x:row>
    <x:row r="215">
      <x:c r="B215" t="str">
        <x:v>PL-PEV-130</x:v>
      </x:c>
      <x:c r="C215" t="str">
        <x:v>planning</x:v>
      </x:c>
      <x:c r="D215" t="str">
        <x:v>paired event assignment</x:v>
      </x:c>
      <x:c r="E215" t="str">
        <x:v>PASS</x:v>
      </x:c>
      <x:c r="F215" t="str">
        <x:f>'Event Register'!P136</x:f>
        <x:v>PASS</x:v>
      </x:c>
      <x:c r="G215" t="str">
        <x:v>'Event Register'!P136</x:v>
      </x:c>
      <x:c r="H215" t="str">
        <x:v>planning constitution</x:v>
      </x:c>
      <x:c r="I215" t="str">
        <x:f>IF(E215=F215,"PASS","FAIL")</x:f>
        <x:v>PASS</x:v>
      </x:c>
    </x:row>
    <x:row r="216">
      <x:c r="B216" t="str">
        <x:v>PL-PEV-131</x:v>
      </x:c>
      <x:c r="C216" t="str">
        <x:v>planning</x:v>
      </x:c>
      <x:c r="D216" t="str">
        <x:v>paired event assignment</x:v>
      </x:c>
      <x:c r="E216" t="str">
        <x:v>PASS</x:v>
      </x:c>
      <x:c r="F216" t="str">
        <x:f>'Event Register'!P137</x:f>
        <x:v>PASS</x:v>
      </x:c>
      <x:c r="G216" t="str">
        <x:v>'Event Register'!P137</x:v>
      </x:c>
      <x:c r="H216" t="str">
        <x:v>planning constitution</x:v>
      </x:c>
      <x:c r="I216" t="str">
        <x:f>IF(E216=F216,"PASS","FAIL")</x:f>
        <x:v>PASS</x:v>
      </x:c>
    </x:row>
    <x:row r="217">
      <x:c r="B217" t="str">
        <x:v>PL-PEV-132</x:v>
      </x:c>
      <x:c r="C217" t="str">
        <x:v>planning</x:v>
      </x:c>
      <x:c r="D217" t="str">
        <x:v>paired event assignment</x:v>
      </x:c>
      <x:c r="E217" t="str">
        <x:v>PASS</x:v>
      </x:c>
      <x:c r="F217" t="str">
        <x:f>'Event Register'!P138</x:f>
        <x:v>PASS</x:v>
      </x:c>
      <x:c r="G217" t="str">
        <x:v>'Event Register'!P138</x:v>
      </x:c>
      <x:c r="H217" t="str">
        <x:v>planning constitution</x:v>
      </x:c>
      <x:c r="I217" t="str">
        <x:f>IF(E217=F217,"PASS","FAIL")</x:f>
        <x:v>PASS</x:v>
      </x:c>
    </x:row>
    <x:row r="218">
      <x:c r="B218" t="str">
        <x:v>PL-PEV-133</x:v>
      </x:c>
      <x:c r="C218" t="str">
        <x:v>planning</x:v>
      </x:c>
      <x:c r="D218" t="str">
        <x:v>paired event assignment</x:v>
      </x:c>
      <x:c r="E218" t="str">
        <x:v>PASS</x:v>
      </x:c>
      <x:c r="F218" t="str">
        <x:f>'Event Register'!P139</x:f>
        <x:v>PASS</x:v>
      </x:c>
      <x:c r="G218" t="str">
        <x:v>'Event Register'!P139</x:v>
      </x:c>
      <x:c r="H218" t="str">
        <x:v>planning constitution</x:v>
      </x:c>
      <x:c r="I218" t="str">
        <x:f>IF(E218=F218,"PASS","FAIL")</x:f>
        <x:v>PASS</x:v>
      </x:c>
    </x:row>
    <x:row r="219">
      <x:c r="B219" t="str">
        <x:v>PL-PEV-134</x:v>
      </x:c>
      <x:c r="C219" t="str">
        <x:v>planning</x:v>
      </x:c>
      <x:c r="D219" t="str">
        <x:v>paired event assignment</x:v>
      </x:c>
      <x:c r="E219" t="str">
        <x:v>PASS</x:v>
      </x:c>
      <x:c r="F219" t="str">
        <x:f>'Event Register'!P140</x:f>
        <x:v>PASS</x:v>
      </x:c>
      <x:c r="G219" t="str">
        <x:v>'Event Register'!P140</x:v>
      </x:c>
      <x:c r="H219" t="str">
        <x:v>planning constitution</x:v>
      </x:c>
      <x:c r="I219" t="str">
        <x:f>IF(E219=F219,"PASS","FAIL")</x:f>
        <x:v>PASS</x:v>
      </x:c>
    </x:row>
    <x:row r="220">
      <x:c r="B220" t="str">
        <x:v>PL-PEV-135</x:v>
      </x:c>
      <x:c r="C220" t="str">
        <x:v>planning</x:v>
      </x:c>
      <x:c r="D220" t="str">
        <x:v>paired event assignment</x:v>
      </x:c>
      <x:c r="E220" t="str">
        <x:v>PASS</x:v>
      </x:c>
      <x:c r="F220" t="str">
        <x:f>'Event Register'!P141</x:f>
        <x:v>PASS</x:v>
      </x:c>
      <x:c r="G220" t="str">
        <x:v>'Event Register'!P141</x:v>
      </x:c>
      <x:c r="H220" t="str">
        <x:v>planning constitution</x:v>
      </x:c>
      <x:c r="I220" t="str">
        <x:f>IF(E220=F220,"PASS","FAIL")</x:f>
        <x:v>PASS</x:v>
      </x:c>
    </x:row>
    <x:row r="221">
      <x:c r="B221" t="str">
        <x:v>PL-PEV-136</x:v>
      </x:c>
      <x:c r="C221" t="str">
        <x:v>planning</x:v>
      </x:c>
      <x:c r="D221" t="str">
        <x:v>paired event assignment</x:v>
      </x:c>
      <x:c r="E221" t="str">
        <x:v>PASS</x:v>
      </x:c>
      <x:c r="F221" t="str">
        <x:f>'Event Register'!P142</x:f>
        <x:v>PASS</x:v>
      </x:c>
      <x:c r="G221" t="str">
        <x:v>'Event Register'!P142</x:v>
      </x:c>
      <x:c r="H221" t="str">
        <x:v>planning constitution</x:v>
      </x:c>
      <x:c r="I221" t="str">
        <x:f>IF(E221=F221,"PASS","FAIL")</x:f>
        <x:v>PASS</x:v>
      </x:c>
    </x:row>
    <x:row r="222">
      <x:c r="B222" t="str">
        <x:v>PL-PEV-137</x:v>
      </x:c>
      <x:c r="C222" t="str">
        <x:v>planning</x:v>
      </x:c>
      <x:c r="D222" t="str">
        <x:v>paired event assignment</x:v>
      </x:c>
      <x:c r="E222" t="str">
        <x:v>PASS</x:v>
      </x:c>
      <x:c r="F222" t="str">
        <x:f>'Event Register'!P143</x:f>
        <x:v>PASS</x:v>
      </x:c>
      <x:c r="G222" t="str">
        <x:v>'Event Register'!P143</x:v>
      </x:c>
      <x:c r="H222" t="str">
        <x:v>planning constitution</x:v>
      </x:c>
      <x:c r="I222" t="str">
        <x:f>IF(E222=F222,"PASS","FAIL")</x:f>
        <x:v>PASS</x:v>
      </x:c>
    </x:row>
    <x:row r="223">
      <x:c r="B223" t="str">
        <x:v>PL-PEV-138</x:v>
      </x:c>
      <x:c r="C223" t="str">
        <x:v>planning</x:v>
      </x:c>
      <x:c r="D223" t="str">
        <x:v>paired event assignment</x:v>
      </x:c>
      <x:c r="E223" t="str">
        <x:v>PASS</x:v>
      </x:c>
      <x:c r="F223" t="str">
        <x:f>'Event Register'!P144</x:f>
        <x:v>PASS</x:v>
      </x:c>
      <x:c r="G223" t="str">
        <x:v>'Event Register'!P144</x:v>
      </x:c>
      <x:c r="H223" t="str">
        <x:v>planning constitution</x:v>
      </x:c>
      <x:c r="I223" t="str">
        <x:f>IF(E223=F223,"PASS","FAIL")</x:f>
        <x:v>PASS</x:v>
      </x:c>
    </x:row>
    <x:row r="224">
      <x:c r="B224" t="str">
        <x:v>PL-PEV-139</x:v>
      </x:c>
      <x:c r="C224" t="str">
        <x:v>planning</x:v>
      </x:c>
      <x:c r="D224" t="str">
        <x:v>paired event assignment</x:v>
      </x:c>
      <x:c r="E224" t="str">
        <x:v>PASS</x:v>
      </x:c>
      <x:c r="F224" t="str">
        <x:f>'Event Register'!P145</x:f>
        <x:v>PASS</x:v>
      </x:c>
      <x:c r="G224" t="str">
        <x:v>'Event Register'!P145</x:v>
      </x:c>
      <x:c r="H224" t="str">
        <x:v>planning constitution</x:v>
      </x:c>
      <x:c r="I224" t="str">
        <x:f>IF(E224=F224,"PASS","FAIL")</x:f>
        <x:v>PASS</x:v>
      </x:c>
    </x:row>
    <x:row r="225">
      <x:c r="B225" t="str">
        <x:v>PL-PEV-140</x:v>
      </x:c>
      <x:c r="C225" t="str">
        <x:v>planning</x:v>
      </x:c>
      <x:c r="D225" t="str">
        <x:v>paired event assignment</x:v>
      </x:c>
      <x:c r="E225" t="str">
        <x:v>PASS</x:v>
      </x:c>
      <x:c r="F225" t="str">
        <x:f>'Event Register'!P146</x:f>
        <x:v>PASS</x:v>
      </x:c>
      <x:c r="G225" t="str">
        <x:v>'Event Register'!P146</x:v>
      </x:c>
      <x:c r="H225" t="str">
        <x:v>planning constitution</x:v>
      </x:c>
      <x:c r="I225" t="str">
        <x:f>IF(E225=F225,"PASS","FAIL")</x:f>
        <x:v>PASS</x:v>
      </x:c>
    </x:row>
    <x:row r="226">
      <x:c r="B226" t="str">
        <x:v>PL-PEV-141</x:v>
      </x:c>
      <x:c r="C226" t="str">
        <x:v>planning</x:v>
      </x:c>
      <x:c r="D226" t="str">
        <x:v>paired event assignment</x:v>
      </x:c>
      <x:c r="E226" t="str">
        <x:v>PASS</x:v>
      </x:c>
      <x:c r="F226" t="str">
        <x:f>'Event Register'!P147</x:f>
        <x:v>PASS</x:v>
      </x:c>
      <x:c r="G226" t="str">
        <x:v>'Event Register'!P147</x:v>
      </x:c>
      <x:c r="H226" t="str">
        <x:v>planning constitution</x:v>
      </x:c>
      <x:c r="I226" t="str">
        <x:f>IF(E226=F226,"PASS","FAIL")</x:f>
        <x:v>PASS</x:v>
      </x:c>
    </x:row>
    <x:row r="227">
      <x:c r="B227" t="str">
        <x:v>PL-PEV-142</x:v>
      </x:c>
      <x:c r="C227" t="str">
        <x:v>planning</x:v>
      </x:c>
      <x:c r="D227" t="str">
        <x:v>paired event assignment</x:v>
      </x:c>
      <x:c r="E227" t="str">
        <x:v>PASS</x:v>
      </x:c>
      <x:c r="F227" t="str">
        <x:f>'Event Register'!P148</x:f>
        <x:v>PASS</x:v>
      </x:c>
      <x:c r="G227" t="str">
        <x:v>'Event Register'!P148</x:v>
      </x:c>
      <x:c r="H227" t="str">
        <x:v>planning constitution</x:v>
      </x:c>
      <x:c r="I227" t="str">
        <x:f>IF(E227=F227,"PASS","FAIL")</x:f>
        <x:v>PASS</x:v>
      </x:c>
    </x:row>
    <x:row r="228">
      <x:c r="B228" t="str">
        <x:v>PL-PEV-143</x:v>
      </x:c>
      <x:c r="C228" t="str">
        <x:v>planning</x:v>
      </x:c>
      <x:c r="D228" t="str">
        <x:v>paired event assignment</x:v>
      </x:c>
      <x:c r="E228" t="str">
        <x:v>PASS</x:v>
      </x:c>
      <x:c r="F228" t="str">
        <x:f>'Event Register'!P149</x:f>
        <x:v>PASS</x:v>
      </x:c>
      <x:c r="G228" t="str">
        <x:v>'Event Register'!P149</x:v>
      </x:c>
      <x:c r="H228" t="str">
        <x:v>planning constitution</x:v>
      </x:c>
      <x:c r="I228" t="str">
        <x:f>IF(E228=F228,"PASS","FAIL")</x:f>
        <x:v>PASS</x:v>
      </x:c>
    </x:row>
    <x:row r="229">
      <x:c r="B229" t="str">
        <x:v>PL-PEV-144</x:v>
      </x:c>
      <x:c r="C229" t="str">
        <x:v>planning</x:v>
      </x:c>
      <x:c r="D229" t="str">
        <x:v>paired event assignment</x:v>
      </x:c>
      <x:c r="E229" t="str">
        <x:v>PASS</x:v>
      </x:c>
      <x:c r="F229" t="str">
        <x:f>'Event Register'!P150</x:f>
        <x:v>PASS</x:v>
      </x:c>
      <x:c r="G229" t="str">
        <x:v>'Event Register'!P150</x:v>
      </x:c>
      <x:c r="H229" t="str">
        <x:v>planning constitution</x:v>
      </x:c>
      <x:c r="I229" t="str">
        <x:f>IF(E229=F229,"PASS","FAIL")</x:f>
        <x:v>PASS</x:v>
      </x:c>
    </x:row>
    <x:row r="230">
      <x:c r="B230" t="str">
        <x:v>PL-PEV-145</x:v>
      </x:c>
      <x:c r="C230" t="str">
        <x:v>planning</x:v>
      </x:c>
      <x:c r="D230" t="str">
        <x:v>paired event assignment</x:v>
      </x:c>
      <x:c r="E230" t="str">
        <x:v>PASS</x:v>
      </x:c>
      <x:c r="F230" t="str">
        <x:f>'Event Register'!P151</x:f>
        <x:v>PASS</x:v>
      </x:c>
      <x:c r="G230" t="str">
        <x:v>'Event Register'!P151</x:v>
      </x:c>
      <x:c r="H230" t="str">
        <x:v>planning constitution</x:v>
      </x:c>
      <x:c r="I230" t="str">
        <x:f>IF(E230=F230,"PASS","FAIL")</x:f>
        <x:v>PASS</x:v>
      </x:c>
    </x:row>
    <x:row r="231">
      <x:c r="B231" t="str">
        <x:v>PL-PEV-146</x:v>
      </x:c>
      <x:c r="C231" t="str">
        <x:v>planning</x:v>
      </x:c>
      <x:c r="D231" t="str">
        <x:v>paired event assignment</x:v>
      </x:c>
      <x:c r="E231" t="str">
        <x:v>PASS</x:v>
      </x:c>
      <x:c r="F231" t="str">
        <x:f>'Event Register'!P152</x:f>
        <x:v>PASS</x:v>
      </x:c>
      <x:c r="G231" t="str">
        <x:v>'Event Register'!P152</x:v>
      </x:c>
      <x:c r="H231" t="str">
        <x:v>planning constitution</x:v>
      </x:c>
      <x:c r="I231" t="str">
        <x:f>IF(E231=F231,"PASS","FAIL")</x:f>
        <x:v>PASS</x:v>
      </x:c>
    </x:row>
    <x:row r="232">
      <x:c r="B232" t="str">
        <x:v>PL-PEV-147</x:v>
      </x:c>
      <x:c r="C232" t="str">
        <x:v>planning</x:v>
      </x:c>
      <x:c r="D232" t="str">
        <x:v>paired event assignment</x:v>
      </x:c>
      <x:c r="E232" t="str">
        <x:v>PASS</x:v>
      </x:c>
      <x:c r="F232" t="str">
        <x:f>'Event Register'!P153</x:f>
        <x:v>PASS</x:v>
      </x:c>
      <x:c r="G232" t="str">
        <x:v>'Event Register'!P153</x:v>
      </x:c>
      <x:c r="H232" t="str">
        <x:v>planning constitution</x:v>
      </x:c>
      <x:c r="I232" t="str">
        <x:f>IF(E232=F232,"PASS","FAIL")</x:f>
        <x:v>PASS</x:v>
      </x:c>
    </x:row>
    <x:row r="233">
      <x:c r="B233" t="str">
        <x:v>PL-PEV-148</x:v>
      </x:c>
      <x:c r="C233" t="str">
        <x:v>planning</x:v>
      </x:c>
      <x:c r="D233" t="str">
        <x:v>paired event assignment</x:v>
      </x:c>
      <x:c r="E233" t="str">
        <x:v>PASS</x:v>
      </x:c>
      <x:c r="F233" t="str">
        <x:f>'Event Register'!P154</x:f>
        <x:v>PASS</x:v>
      </x:c>
      <x:c r="G233" t="str">
        <x:v>'Event Register'!P154</x:v>
      </x:c>
      <x:c r="H233" t="str">
        <x:v>planning constitution</x:v>
      </x:c>
      <x:c r="I233" t="str">
        <x:f>IF(E233=F233,"PASS","FAIL")</x:f>
        <x:v>PASS</x:v>
      </x:c>
    </x:row>
    <x:row r="234">
      <x:c r="B234" t="str">
        <x:v>PL-PEV-149</x:v>
      </x:c>
      <x:c r="C234" t="str">
        <x:v>planning</x:v>
      </x:c>
      <x:c r="D234" t="str">
        <x:v>paired event assignment</x:v>
      </x:c>
      <x:c r="E234" t="str">
        <x:v>PASS</x:v>
      </x:c>
      <x:c r="F234" t="str">
        <x:f>'Event Register'!P155</x:f>
        <x:v>PASS</x:v>
      </x:c>
      <x:c r="G234" t="str">
        <x:v>'Event Register'!P155</x:v>
      </x:c>
      <x:c r="H234" t="str">
        <x:v>planning constitution</x:v>
      </x:c>
      <x:c r="I234" t="str">
        <x:f>IF(E234=F234,"PASS","FAIL")</x:f>
        <x:v>PASS</x:v>
      </x:c>
    </x:row>
    <x:row r="235">
      <x:c r="B235" t="str">
        <x:v>PL-PEV-150</x:v>
      </x:c>
      <x:c r="C235" t="str">
        <x:v>planning</x:v>
      </x:c>
      <x:c r="D235" t="str">
        <x:v>paired event assignment</x:v>
      </x:c>
      <x:c r="E235" t="str">
        <x:v>PASS</x:v>
      </x:c>
      <x:c r="F235" t="str">
        <x:f>'Event Register'!P156</x:f>
        <x:v>PASS</x:v>
      </x:c>
      <x:c r="G235" t="str">
        <x:v>'Event Register'!P156</x:v>
      </x:c>
      <x:c r="H235" t="str">
        <x:v>planning constitution</x:v>
      </x:c>
      <x:c r="I235" t="str">
        <x:f>IF(E235=F235,"PASS","FAIL")</x:f>
        <x:v>PASS</x:v>
      </x:c>
    </x:row>
    <x:row r="236">
      <x:c r="B236" t="str">
        <x:v>PL-PEV-151</x:v>
      </x:c>
      <x:c r="C236" t="str">
        <x:v>planning</x:v>
      </x:c>
      <x:c r="D236" t="str">
        <x:v>paired event assignment</x:v>
      </x:c>
      <x:c r="E236" t="str">
        <x:v>PASS</x:v>
      </x:c>
      <x:c r="F236" t="str">
        <x:f>'Event Register'!P157</x:f>
        <x:v>PASS</x:v>
      </x:c>
      <x:c r="G236" t="str">
        <x:v>'Event Register'!P157</x:v>
      </x:c>
      <x:c r="H236" t="str">
        <x:v>planning constitution</x:v>
      </x:c>
      <x:c r="I236" t="str">
        <x:f>IF(E236=F236,"PASS","FAIL")</x:f>
        <x:v>PASS</x:v>
      </x:c>
    </x:row>
    <x:row r="237">
      <x:c r="B237" t="str">
        <x:v>PL-PEV-152</x:v>
      </x:c>
      <x:c r="C237" t="str">
        <x:v>planning</x:v>
      </x:c>
      <x:c r="D237" t="str">
        <x:v>paired event assignment</x:v>
      </x:c>
      <x:c r="E237" t="str">
        <x:v>PASS</x:v>
      </x:c>
      <x:c r="F237" t="str">
        <x:f>'Event Register'!P158</x:f>
        <x:v>PASS</x:v>
      </x:c>
      <x:c r="G237" t="str">
        <x:v>'Event Register'!P158</x:v>
      </x:c>
      <x:c r="H237" t="str">
        <x:v>planning constitution</x:v>
      </x:c>
      <x:c r="I237" t="str">
        <x:f>IF(E237=F237,"PASS","FAIL")</x:f>
        <x:v>PASS</x:v>
      </x:c>
    </x:row>
    <x:row r="238">
      <x:c r="B238" t="str">
        <x:v>PL-PEV-153</x:v>
      </x:c>
      <x:c r="C238" t="str">
        <x:v>planning</x:v>
      </x:c>
      <x:c r="D238" t="str">
        <x:v>paired event assignment</x:v>
      </x:c>
      <x:c r="E238" t="str">
        <x:v>PASS</x:v>
      </x:c>
      <x:c r="F238" t="str">
        <x:f>'Event Register'!P159</x:f>
        <x:v>PASS</x:v>
      </x:c>
      <x:c r="G238" t="str">
        <x:v>'Event Register'!P159</x:v>
      </x:c>
      <x:c r="H238" t="str">
        <x:v>planning constitution</x:v>
      </x:c>
      <x:c r="I238" t="str">
        <x:f>IF(E238=F238,"PASS","FAIL")</x:f>
        <x:v>PASS</x:v>
      </x:c>
    </x:row>
    <x:row r="239">
      <x:c r="B239" t="str">
        <x:v>PL-PEV-154</x:v>
      </x:c>
      <x:c r="C239" t="str">
        <x:v>planning</x:v>
      </x:c>
      <x:c r="D239" t="str">
        <x:v>paired event assignment</x:v>
      </x:c>
      <x:c r="E239" t="str">
        <x:v>PASS</x:v>
      </x:c>
      <x:c r="F239" t="str">
        <x:f>'Event Register'!P160</x:f>
        <x:v>PASS</x:v>
      </x:c>
      <x:c r="G239" t="str">
        <x:v>'Event Register'!P160</x:v>
      </x:c>
      <x:c r="H239" t="str">
        <x:v>planning constitution</x:v>
      </x:c>
      <x:c r="I239" t="str">
        <x:f>IF(E239=F239,"PASS","FAIL")</x:f>
        <x:v>PASS</x:v>
      </x:c>
    </x:row>
    <x:row r="240">
      <x:c r="B240" t="str">
        <x:v>PL-PEV-155</x:v>
      </x:c>
      <x:c r="C240" t="str">
        <x:v>planning</x:v>
      </x:c>
      <x:c r="D240" t="str">
        <x:v>paired event assignment</x:v>
      </x:c>
      <x:c r="E240" t="str">
        <x:v>PASS</x:v>
      </x:c>
      <x:c r="F240" t="str">
        <x:f>'Event Register'!P161</x:f>
        <x:v>PASS</x:v>
      </x:c>
      <x:c r="G240" t="str">
        <x:v>'Event Register'!P161</x:v>
      </x:c>
      <x:c r="H240" t="str">
        <x:v>planning constitution</x:v>
      </x:c>
      <x:c r="I240" t="str">
        <x:f>IF(E240=F240,"PASS","FAIL")</x:f>
        <x:v>PASS</x:v>
      </x:c>
    </x:row>
    <x:row r="241">
      <x:c r="B241" t="str">
        <x:v>PL-PEV-156</x:v>
      </x:c>
      <x:c r="C241" t="str">
        <x:v>planning</x:v>
      </x:c>
      <x:c r="D241" t="str">
        <x:v>paired event assignment</x:v>
      </x:c>
      <x:c r="E241" t="str">
        <x:v>PASS</x:v>
      </x:c>
      <x:c r="F241" t="str">
        <x:f>'Event Register'!P162</x:f>
        <x:v>PASS</x:v>
      </x:c>
      <x:c r="G241" t="str">
        <x:v>'Event Register'!P162</x:v>
      </x:c>
      <x:c r="H241" t="str">
        <x:v>planning constitution</x:v>
      </x:c>
      <x:c r="I241" t="str">
        <x:f>IF(E241=F241,"PASS","FAIL")</x:f>
        <x:v>PASS</x:v>
      </x:c>
    </x:row>
    <x:row r="242">
      <x:c r="B242" t="str">
        <x:v>PL-PEV-157</x:v>
      </x:c>
      <x:c r="C242" t="str">
        <x:v>planning</x:v>
      </x:c>
      <x:c r="D242" t="str">
        <x:v>paired event assignment</x:v>
      </x:c>
      <x:c r="E242" t="str">
        <x:v>PASS</x:v>
      </x:c>
      <x:c r="F242" t="str">
        <x:f>'Event Register'!P163</x:f>
        <x:v>PASS</x:v>
      </x:c>
      <x:c r="G242" t="str">
        <x:v>'Event Register'!P163</x:v>
      </x:c>
      <x:c r="H242" t="str">
        <x:v>planning constitution</x:v>
      </x:c>
      <x:c r="I242" t="str">
        <x:f>IF(E242=F242,"PASS","FAIL")</x:f>
        <x:v>PASS</x:v>
      </x:c>
    </x:row>
    <x:row r="243">
      <x:c r="B243" t="str">
        <x:v>PL-PEV-158</x:v>
      </x:c>
      <x:c r="C243" t="str">
        <x:v>planning</x:v>
      </x:c>
      <x:c r="D243" t="str">
        <x:v>paired event assignment</x:v>
      </x:c>
      <x:c r="E243" t="str">
        <x:v>PASS</x:v>
      </x:c>
      <x:c r="F243" t="str">
        <x:f>'Event Register'!P164</x:f>
        <x:v>PASS</x:v>
      </x:c>
      <x:c r="G243" t="str">
        <x:v>'Event Register'!P164</x:v>
      </x:c>
      <x:c r="H243" t="str">
        <x:v>planning constitution</x:v>
      </x:c>
      <x:c r="I243" t="str">
        <x:f>IF(E243=F243,"PASS","FAIL")</x:f>
        <x:v>PASS</x:v>
      </x:c>
    </x:row>
    <x:row r="244">
      <x:c r="B244" t="str">
        <x:v>PL-PEV-159</x:v>
      </x:c>
      <x:c r="C244" t="str">
        <x:v>planning</x:v>
      </x:c>
      <x:c r="D244" t="str">
        <x:v>paired event assignment</x:v>
      </x:c>
      <x:c r="E244" t="str">
        <x:v>PASS</x:v>
      </x:c>
      <x:c r="F244" t="str">
        <x:f>'Event Register'!P165</x:f>
        <x:v>PASS</x:v>
      </x:c>
      <x:c r="G244" t="str">
        <x:v>'Event Register'!P165</x:v>
      </x:c>
      <x:c r="H244" t="str">
        <x:v>planning constitution</x:v>
      </x:c>
      <x:c r="I244" t="str">
        <x:f>IF(E244=F244,"PASS","FAIL")</x:f>
        <x:v>PASS</x:v>
      </x:c>
    </x:row>
    <x:row r="245">
      <x:c r="B245" t="str">
        <x:v>PL-PEV-160</x:v>
      </x:c>
      <x:c r="C245" t="str">
        <x:v>planning</x:v>
      </x:c>
      <x:c r="D245" t="str">
        <x:v>paired event assignment</x:v>
      </x:c>
      <x:c r="E245" t="str">
        <x:v>PASS</x:v>
      </x:c>
      <x:c r="F245" t="str">
        <x:f>'Event Register'!P166</x:f>
        <x:v>PASS</x:v>
      </x:c>
      <x:c r="G245" t="str">
        <x:v>'Event Register'!P166</x:v>
      </x:c>
      <x:c r="H245" t="str">
        <x:v>planning constitution</x:v>
      </x:c>
      <x:c r="I245" t="str">
        <x:f>IF(E245=F245,"PASS","FAIL")</x:f>
        <x:v>PASS</x:v>
      </x:c>
    </x:row>
    <x:row r="246">
      <x:c r="B246" t="str">
        <x:v>PL-PEV-161</x:v>
      </x:c>
      <x:c r="C246" t="str">
        <x:v>planning</x:v>
      </x:c>
      <x:c r="D246" t="str">
        <x:v>paired event assignment</x:v>
      </x:c>
      <x:c r="E246" t="str">
        <x:v>PASS</x:v>
      </x:c>
      <x:c r="F246" t="str">
        <x:f>'Event Register'!P167</x:f>
        <x:v>PASS</x:v>
      </x:c>
      <x:c r="G246" t="str">
        <x:v>'Event Register'!P167</x:v>
      </x:c>
      <x:c r="H246" t="str">
        <x:v>planning constitution</x:v>
      </x:c>
      <x:c r="I246" t="str">
        <x:f>IF(E246=F246,"PASS","FAIL")</x:f>
        <x:v>PASS</x:v>
      </x:c>
    </x:row>
    <x:row r="247">
      <x:c r="B247" t="str">
        <x:v>PL-PEV-162</x:v>
      </x:c>
      <x:c r="C247" t="str">
        <x:v>planning</x:v>
      </x:c>
      <x:c r="D247" t="str">
        <x:v>paired event assignment</x:v>
      </x:c>
      <x:c r="E247" t="str">
        <x:v>PASS</x:v>
      </x:c>
      <x:c r="F247" t="str">
        <x:f>'Event Register'!P168</x:f>
        <x:v>PASS</x:v>
      </x:c>
      <x:c r="G247" t="str">
        <x:v>'Event Register'!P168</x:v>
      </x:c>
      <x:c r="H247" t="str">
        <x:v>planning constitution</x:v>
      </x:c>
      <x:c r="I247" t="str">
        <x:f>IF(E247=F247,"PASS","FAIL")</x:f>
        <x:v>PASS</x:v>
      </x:c>
    </x:row>
    <x:row r="248">
      <x:c r="B248" t="str">
        <x:v>PL-PEV-163</x:v>
      </x:c>
      <x:c r="C248" t="str">
        <x:v>planning</x:v>
      </x:c>
      <x:c r="D248" t="str">
        <x:v>paired event assignment</x:v>
      </x:c>
      <x:c r="E248" t="str">
        <x:v>PASS</x:v>
      </x:c>
      <x:c r="F248" t="str">
        <x:f>'Event Register'!P169</x:f>
        <x:v>PASS</x:v>
      </x:c>
      <x:c r="G248" t="str">
        <x:v>'Event Register'!P169</x:v>
      </x:c>
      <x:c r="H248" t="str">
        <x:v>planning constitution</x:v>
      </x:c>
      <x:c r="I248" t="str">
        <x:f>IF(E248=F248,"PASS","FAIL")</x:f>
        <x:v>PASS</x:v>
      </x:c>
    </x:row>
    <x:row r="249">
      <x:c r="B249" t="str">
        <x:v>PL-PEV-164</x:v>
      </x:c>
      <x:c r="C249" t="str">
        <x:v>planning</x:v>
      </x:c>
      <x:c r="D249" t="str">
        <x:v>paired event assignment</x:v>
      </x:c>
      <x:c r="E249" t="str">
        <x:v>PASS</x:v>
      </x:c>
      <x:c r="F249" t="str">
        <x:f>'Event Register'!P170</x:f>
        <x:v>PASS</x:v>
      </x:c>
      <x:c r="G249" t="str">
        <x:v>'Event Register'!P170</x:v>
      </x:c>
      <x:c r="H249" t="str">
        <x:v>planning constitution</x:v>
      </x:c>
      <x:c r="I249" t="str">
        <x:f>IF(E249=F249,"PASS","FAIL")</x:f>
        <x:v>PASS</x:v>
      </x:c>
    </x:row>
    <x:row r="250">
      <x:c r="B250" t="str">
        <x:v>PL-PEV-165</x:v>
      </x:c>
      <x:c r="C250" t="str">
        <x:v>planning</x:v>
      </x:c>
      <x:c r="D250" t="str">
        <x:v>paired event assignment</x:v>
      </x:c>
      <x:c r="E250" t="str">
        <x:v>PASS</x:v>
      </x:c>
      <x:c r="F250" t="str">
        <x:f>'Event Register'!P171</x:f>
        <x:v>PASS</x:v>
      </x:c>
      <x:c r="G250" t="str">
        <x:v>'Event Register'!P171</x:v>
      </x:c>
      <x:c r="H250" t="str">
        <x:v>planning constitution</x:v>
      </x:c>
      <x:c r="I250" t="str">
        <x:f>IF(E250=F250,"PASS","FAIL")</x:f>
        <x:v>PASS</x:v>
      </x:c>
    </x:row>
    <x:row r="251">
      <x:c r="B251" t="str">
        <x:v>PL-PEV-166</x:v>
      </x:c>
      <x:c r="C251" t="str">
        <x:v>planning</x:v>
      </x:c>
      <x:c r="D251" t="str">
        <x:v>paired event assignment</x:v>
      </x:c>
      <x:c r="E251" t="str">
        <x:v>PASS</x:v>
      </x:c>
      <x:c r="F251" t="str">
        <x:f>'Event Register'!P172</x:f>
        <x:v>PASS</x:v>
      </x:c>
      <x:c r="G251" t="str">
        <x:v>'Event Register'!P172</x:v>
      </x:c>
      <x:c r="H251" t="str">
        <x:v>planning constitution</x:v>
      </x:c>
      <x:c r="I251" t="str">
        <x:f>IF(E251=F251,"PASS","FAIL")</x:f>
        <x:v>PASS</x:v>
      </x:c>
    </x:row>
    <x:row r="252">
      <x:c r="B252" t="str">
        <x:v>PL-PEV-167</x:v>
      </x:c>
      <x:c r="C252" t="str">
        <x:v>planning</x:v>
      </x:c>
      <x:c r="D252" t="str">
        <x:v>paired event assignment</x:v>
      </x:c>
      <x:c r="E252" t="str">
        <x:v>PASS</x:v>
      </x:c>
      <x:c r="F252" t="str">
        <x:f>'Event Register'!P173</x:f>
        <x:v>PASS</x:v>
      </x:c>
      <x:c r="G252" t="str">
        <x:v>'Event Register'!P173</x:v>
      </x:c>
      <x:c r="H252" t="str">
        <x:v>planning constitution</x:v>
      </x:c>
      <x:c r="I252" t="str">
        <x:f>IF(E252=F252,"PASS","FAIL")</x:f>
        <x:v>PASS</x:v>
      </x:c>
    </x:row>
    <x:row r="253">
      <x:c r="B253" t="str">
        <x:v>PL-PEV-168</x:v>
      </x:c>
      <x:c r="C253" t="str">
        <x:v>planning</x:v>
      </x:c>
      <x:c r="D253" t="str">
        <x:v>paired event assignment</x:v>
      </x:c>
      <x:c r="E253" t="str">
        <x:v>PASS</x:v>
      </x:c>
      <x:c r="F253" t="str">
        <x:f>'Event Register'!P174</x:f>
        <x:v>PASS</x:v>
      </x:c>
      <x:c r="G253" t="str">
        <x:v>'Event Register'!P174</x:v>
      </x:c>
      <x:c r="H253" t="str">
        <x:v>planning constitution</x:v>
      </x:c>
      <x:c r="I253" t="str">
        <x:f>IF(E253=F253,"PASS","FAIL")</x:f>
        <x:v>PASS</x:v>
      </x:c>
    </x:row>
    <x:row r="254">
      <x:c r="B254" t="str">
        <x:v>PL-PEV-169</x:v>
      </x:c>
      <x:c r="C254" t="str">
        <x:v>planning</x:v>
      </x:c>
      <x:c r="D254" t="str">
        <x:v>paired event assignment</x:v>
      </x:c>
      <x:c r="E254" t="str">
        <x:v>PASS</x:v>
      </x:c>
      <x:c r="F254" t="str">
        <x:f>'Event Register'!P175</x:f>
        <x:v>PASS</x:v>
      </x:c>
      <x:c r="G254" t="str">
        <x:v>'Event Register'!P175</x:v>
      </x:c>
      <x:c r="H254" t="str">
        <x:v>planning constitution</x:v>
      </x:c>
      <x:c r="I254" t="str">
        <x:f>IF(E254=F254,"PASS","FAIL")</x:f>
        <x:v>PASS</x:v>
      </x:c>
    </x:row>
    <x:row r="255">
      <x:c r="B255" t="str">
        <x:v>PL-PEV-170</x:v>
      </x:c>
      <x:c r="C255" t="str">
        <x:v>planning</x:v>
      </x:c>
      <x:c r="D255" t="str">
        <x:v>paired event assignment</x:v>
      </x:c>
      <x:c r="E255" t="str">
        <x:v>PASS</x:v>
      </x:c>
      <x:c r="F255" t="str">
        <x:f>'Event Register'!P176</x:f>
        <x:v>PASS</x:v>
      </x:c>
      <x:c r="G255" t="str">
        <x:v>'Event Register'!P176</x:v>
      </x:c>
      <x:c r="H255" t="str">
        <x:v>planning constitution</x:v>
      </x:c>
      <x:c r="I255" t="str">
        <x:f>IF(E255=F255,"PASS","FAIL")</x:f>
        <x:v>PASS</x:v>
      </x:c>
    </x:row>
    <x:row r="256">
      <x:c r="B256" t="str">
        <x:v>PL-PEV-171</x:v>
      </x:c>
      <x:c r="C256" t="str">
        <x:v>planning</x:v>
      </x:c>
      <x:c r="D256" t="str">
        <x:v>paired event assignment</x:v>
      </x:c>
      <x:c r="E256" t="str">
        <x:v>PASS</x:v>
      </x:c>
      <x:c r="F256" t="str">
        <x:f>'Event Register'!P177</x:f>
        <x:v>PASS</x:v>
      </x:c>
      <x:c r="G256" t="str">
        <x:v>'Event Register'!P177</x:v>
      </x:c>
      <x:c r="H256" t="str">
        <x:v>planning constitution</x:v>
      </x:c>
      <x:c r="I256" t="str">
        <x:f>IF(E256=F256,"PASS","FAIL")</x:f>
        <x:v>PASS</x:v>
      </x:c>
    </x:row>
    <x:row r="257">
      <x:c r="B257" t="str">
        <x:v>PL-PEV-172</x:v>
      </x:c>
      <x:c r="C257" t="str">
        <x:v>planning</x:v>
      </x:c>
      <x:c r="D257" t="str">
        <x:v>paired event assignment</x:v>
      </x:c>
      <x:c r="E257" t="str">
        <x:v>PASS</x:v>
      </x:c>
      <x:c r="F257" t="str">
        <x:f>'Event Register'!P178</x:f>
        <x:v>PASS</x:v>
      </x:c>
      <x:c r="G257" t="str">
        <x:v>'Event Register'!P178</x:v>
      </x:c>
      <x:c r="H257" t="str">
        <x:v>planning constitution</x:v>
      </x:c>
      <x:c r="I257" t="str">
        <x:f>IF(E257=F257,"PASS","FAIL")</x:f>
        <x:v>PASS</x:v>
      </x:c>
    </x:row>
    <x:row r="258">
      <x:c r="B258" t="str">
        <x:v>PL-PEV-173</x:v>
      </x:c>
      <x:c r="C258" t="str">
        <x:v>planning</x:v>
      </x:c>
      <x:c r="D258" t="str">
        <x:v>paired event assignment</x:v>
      </x:c>
      <x:c r="E258" t="str">
        <x:v>PASS</x:v>
      </x:c>
      <x:c r="F258" t="str">
        <x:f>'Event Register'!P179</x:f>
        <x:v>PASS</x:v>
      </x:c>
      <x:c r="G258" t="str">
        <x:v>'Event Register'!P179</x:v>
      </x:c>
      <x:c r="H258" t="str">
        <x:v>planning constitution</x:v>
      </x:c>
      <x:c r="I258" t="str">
        <x:f>IF(E258=F258,"PASS","FAIL")</x:f>
        <x:v>PASS</x:v>
      </x:c>
    </x:row>
    <x:row r="259">
      <x:c r="B259" t="str">
        <x:v>PL-PEV-174</x:v>
      </x:c>
      <x:c r="C259" t="str">
        <x:v>planning</x:v>
      </x:c>
      <x:c r="D259" t="str">
        <x:v>paired event assignment</x:v>
      </x:c>
      <x:c r="E259" t="str">
        <x:v>PASS</x:v>
      </x:c>
      <x:c r="F259" t="str">
        <x:f>'Event Register'!P180</x:f>
        <x:v>PASS</x:v>
      </x:c>
      <x:c r="G259" t="str">
        <x:v>'Event Register'!P180</x:v>
      </x:c>
      <x:c r="H259" t="str">
        <x:v>planning constitution</x:v>
      </x:c>
      <x:c r="I259" t="str">
        <x:f>IF(E259=F259,"PASS","FAIL")</x:f>
        <x:v>PASS</x:v>
      </x:c>
    </x:row>
    <x:row r="260">
      <x:c r="B260" t="str">
        <x:v>PL-PEV-175</x:v>
      </x:c>
      <x:c r="C260" t="str">
        <x:v>planning</x:v>
      </x:c>
      <x:c r="D260" t="str">
        <x:v>paired event assignment</x:v>
      </x:c>
      <x:c r="E260" t="str">
        <x:v>PASS</x:v>
      </x:c>
      <x:c r="F260" t="str">
        <x:f>'Event Register'!P181</x:f>
        <x:v>PASS</x:v>
      </x:c>
      <x:c r="G260" t="str">
        <x:v>'Event Register'!P181</x:v>
      </x:c>
      <x:c r="H260" t="str">
        <x:v>planning constitution</x:v>
      </x:c>
      <x:c r="I260" t="str">
        <x:f>IF(E260=F260,"PASS","FAIL")</x:f>
        <x:v>PASS</x:v>
      </x:c>
    </x:row>
    <x:row r="261">
      <x:c r="B261" t="str">
        <x:v>PL-PEV-176</x:v>
      </x:c>
      <x:c r="C261" t="str">
        <x:v>planning</x:v>
      </x:c>
      <x:c r="D261" t="str">
        <x:v>paired event assignment</x:v>
      </x:c>
      <x:c r="E261" t="str">
        <x:v>PASS</x:v>
      </x:c>
      <x:c r="F261" t="str">
        <x:f>'Event Register'!P182</x:f>
        <x:v>PASS</x:v>
      </x:c>
      <x:c r="G261" t="str">
        <x:v>'Event Register'!P182</x:v>
      </x:c>
      <x:c r="H261" t="str">
        <x:v>planning constitution</x:v>
      </x:c>
      <x:c r="I261" t="str">
        <x:f>IF(E261=F261,"PASS","FAIL")</x:f>
        <x:v>PASS</x:v>
      </x:c>
    </x:row>
    <x:row r="262">
      <x:c r="B262" t="str">
        <x:v>PL-PEV-177</x:v>
      </x:c>
      <x:c r="C262" t="str">
        <x:v>planning</x:v>
      </x:c>
      <x:c r="D262" t="str">
        <x:v>paired event assignment</x:v>
      </x:c>
      <x:c r="E262" t="str">
        <x:v>PASS</x:v>
      </x:c>
      <x:c r="F262" t="str">
        <x:f>'Event Register'!P183</x:f>
        <x:v>PASS</x:v>
      </x:c>
      <x:c r="G262" t="str">
        <x:v>'Event Register'!P183</x:v>
      </x:c>
      <x:c r="H262" t="str">
        <x:v>planning constitution</x:v>
      </x:c>
      <x:c r="I262" t="str">
        <x:f>IF(E262=F262,"PASS","FAIL")</x:f>
        <x:v>PASS</x:v>
      </x:c>
    </x:row>
    <x:row r="263">
      <x:c r="B263" t="str">
        <x:v>PL-PEV-178</x:v>
      </x:c>
      <x:c r="C263" t="str">
        <x:v>planning</x:v>
      </x:c>
      <x:c r="D263" t="str">
        <x:v>paired event assignment</x:v>
      </x:c>
      <x:c r="E263" t="str">
        <x:v>PASS</x:v>
      </x:c>
      <x:c r="F263" t="str">
        <x:f>'Event Register'!P184</x:f>
        <x:v>PASS</x:v>
      </x:c>
      <x:c r="G263" t="str">
        <x:v>'Event Register'!P184</x:v>
      </x:c>
      <x:c r="H263" t="str">
        <x:v>planning constitution</x:v>
      </x:c>
      <x:c r="I263" t="str">
        <x:f>IF(E263=F263,"PASS","FAIL")</x:f>
        <x:v>PASS</x:v>
      </x:c>
    </x:row>
    <x:row r="264">
      <x:c r="B264" t="str">
        <x:v>PL-PEV-179</x:v>
      </x:c>
      <x:c r="C264" t="str">
        <x:v>planning</x:v>
      </x:c>
      <x:c r="D264" t="str">
        <x:v>paired event assignment</x:v>
      </x:c>
      <x:c r="E264" t="str">
        <x:v>PASS</x:v>
      </x:c>
      <x:c r="F264" t="str">
        <x:f>'Event Register'!P185</x:f>
        <x:v>PASS</x:v>
      </x:c>
      <x:c r="G264" t="str">
        <x:v>'Event Register'!P185</x:v>
      </x:c>
      <x:c r="H264" t="str">
        <x:v>planning constitution</x:v>
      </x:c>
      <x:c r="I264" t="str">
        <x:f>IF(E264=F264,"PASS","FAIL")</x:f>
        <x:v>PASS</x:v>
      </x:c>
    </x:row>
    <x:row r="265">
      <x:c r="B265" t="str">
        <x:v>PL-PEV-180</x:v>
      </x:c>
      <x:c r="C265" t="str">
        <x:v>planning</x:v>
      </x:c>
      <x:c r="D265" t="str">
        <x:v>paired event assignment</x:v>
      </x:c>
      <x:c r="E265" t="str">
        <x:v>PASS</x:v>
      </x:c>
      <x:c r="F265" t="str">
        <x:f>'Event Register'!P186</x:f>
        <x:v>PASS</x:v>
      </x:c>
      <x:c r="G265" t="str">
        <x:v>'Event Register'!P186</x:v>
      </x:c>
      <x:c r="H265" t="str">
        <x:v>planning constitution</x:v>
      </x:c>
      <x:c r="I265" t="str">
        <x:f>IF(E265=F265,"PASS","FAIL")</x:f>
        <x:v>PASS</x:v>
      </x:c>
    </x:row>
    <x:row r="266">
      <x:c r="B266" t="str">
        <x:v>PL-PEV-181</x:v>
      </x:c>
      <x:c r="C266" t="str">
        <x:v>planning</x:v>
      </x:c>
      <x:c r="D266" t="str">
        <x:v>paired event assignment</x:v>
      </x:c>
      <x:c r="E266" t="str">
        <x:v>PASS</x:v>
      </x:c>
      <x:c r="F266" t="str">
        <x:f>'Event Register'!P187</x:f>
        <x:v>PASS</x:v>
      </x:c>
      <x:c r="G266" t="str">
        <x:v>'Event Register'!P187</x:v>
      </x:c>
      <x:c r="H266" t="str">
        <x:v>planning constitution</x:v>
      </x:c>
      <x:c r="I266" t="str">
        <x:f>IF(E266=F266,"PASS","FAIL")</x:f>
        <x:v>PASS</x:v>
      </x:c>
    </x:row>
    <x:row r="267">
      <x:c r="B267" t="str">
        <x:v>PL-PEV-182</x:v>
      </x:c>
      <x:c r="C267" t="str">
        <x:v>planning</x:v>
      </x:c>
      <x:c r="D267" t="str">
        <x:v>paired event assignment</x:v>
      </x:c>
      <x:c r="E267" t="str">
        <x:v>PASS</x:v>
      </x:c>
      <x:c r="F267" t="str">
        <x:f>'Event Register'!P188</x:f>
        <x:v>PASS</x:v>
      </x:c>
      <x:c r="G267" t="str">
        <x:v>'Event Register'!P188</x:v>
      </x:c>
      <x:c r="H267" t="str">
        <x:v>planning constitution</x:v>
      </x:c>
      <x:c r="I267" t="str">
        <x:f>IF(E267=F267,"PASS","FAIL")</x:f>
        <x:v>PASS</x:v>
      </x:c>
    </x:row>
    <x:row r="268">
      <x:c r="B268" t="str">
        <x:v>PL-PEV-183</x:v>
      </x:c>
      <x:c r="C268" t="str">
        <x:v>planning</x:v>
      </x:c>
      <x:c r="D268" t="str">
        <x:v>paired event assignment</x:v>
      </x:c>
      <x:c r="E268" t="str">
        <x:v>PASS</x:v>
      </x:c>
      <x:c r="F268" t="str">
        <x:f>'Event Register'!P189</x:f>
        <x:v>PASS</x:v>
      </x:c>
      <x:c r="G268" t="str">
        <x:v>'Event Register'!P189</x:v>
      </x:c>
      <x:c r="H268" t="str">
        <x:v>planning constitution</x:v>
      </x:c>
      <x:c r="I268" t="str">
        <x:f>IF(E268=F268,"PASS","FAIL")</x:f>
        <x:v>PASS</x:v>
      </x:c>
    </x:row>
    <x:row r="269">
      <x:c r="B269" t="str">
        <x:v>PL-PEV-184</x:v>
      </x:c>
      <x:c r="C269" t="str">
        <x:v>planning</x:v>
      </x:c>
      <x:c r="D269" t="str">
        <x:v>paired event assignment</x:v>
      </x:c>
      <x:c r="E269" t="str">
        <x:v>PASS</x:v>
      </x:c>
      <x:c r="F269" t="str">
        <x:f>'Event Register'!P190</x:f>
        <x:v>PASS</x:v>
      </x:c>
      <x:c r="G269" t="str">
        <x:v>'Event Register'!P190</x:v>
      </x:c>
      <x:c r="H269" t="str">
        <x:v>planning constitution</x:v>
      </x:c>
      <x:c r="I269" t="str">
        <x:f>IF(E269=F269,"PASS","FAIL")</x:f>
        <x:v>PASS</x:v>
      </x:c>
    </x:row>
    <x:row r="270">
      <x:c r="B270" t="str">
        <x:v>PL-PEV-185</x:v>
      </x:c>
      <x:c r="C270" t="str">
        <x:v>planning</x:v>
      </x:c>
      <x:c r="D270" t="str">
        <x:v>paired event assignment</x:v>
      </x:c>
      <x:c r="E270" t="str">
        <x:v>PASS</x:v>
      </x:c>
      <x:c r="F270" t="str">
        <x:f>'Event Register'!P191</x:f>
        <x:v>PASS</x:v>
      </x:c>
      <x:c r="G270" t="str">
        <x:v>'Event Register'!P191</x:v>
      </x:c>
      <x:c r="H270" t="str">
        <x:v>planning constitution</x:v>
      </x:c>
      <x:c r="I270" t="str">
        <x:f>IF(E270=F270,"PASS","FAIL")</x:f>
        <x:v>PASS</x:v>
      </x:c>
    </x:row>
    <x:row r="271">
      <x:c r="B271" t="str">
        <x:v>PL-PEV-186</x:v>
      </x:c>
      <x:c r="C271" t="str">
        <x:v>planning</x:v>
      </x:c>
      <x:c r="D271" t="str">
        <x:v>paired event assignment</x:v>
      </x:c>
      <x:c r="E271" t="str">
        <x:v>PASS</x:v>
      </x:c>
      <x:c r="F271" t="str">
        <x:f>'Event Register'!P192</x:f>
        <x:v>PASS</x:v>
      </x:c>
      <x:c r="G271" t="str">
        <x:v>'Event Register'!P192</x:v>
      </x:c>
      <x:c r="H271" t="str">
        <x:v>planning constitution</x:v>
      </x:c>
      <x:c r="I271" t="str">
        <x:f>IF(E271=F271,"PASS","FAIL")</x:f>
        <x:v>PASS</x:v>
      </x:c>
    </x:row>
    <x:row r="272">
      <x:c r="B272" t="str">
        <x:v>PL-PEV-187</x:v>
      </x:c>
      <x:c r="C272" t="str">
        <x:v>planning</x:v>
      </x:c>
      <x:c r="D272" t="str">
        <x:v>paired event assignment</x:v>
      </x:c>
      <x:c r="E272" t="str">
        <x:v>PASS</x:v>
      </x:c>
      <x:c r="F272" t="str">
        <x:f>'Event Register'!P193</x:f>
        <x:v>PASS</x:v>
      </x:c>
      <x:c r="G272" t="str">
        <x:v>'Event Register'!P193</x:v>
      </x:c>
      <x:c r="H272" t="str">
        <x:v>planning constitution</x:v>
      </x:c>
      <x:c r="I272" t="str">
        <x:f>IF(E272=F272,"PASS","FAIL")</x:f>
        <x:v>PASS</x:v>
      </x:c>
    </x:row>
    <x:row r="273">
      <x:c r="B273" t="str">
        <x:v>PL-PEV-188</x:v>
      </x:c>
      <x:c r="C273" t="str">
        <x:v>planning</x:v>
      </x:c>
      <x:c r="D273" t="str">
        <x:v>paired event assignment</x:v>
      </x:c>
      <x:c r="E273" t="str">
        <x:v>PASS</x:v>
      </x:c>
      <x:c r="F273" t="str">
        <x:f>'Event Register'!P194</x:f>
        <x:v>PASS</x:v>
      </x:c>
      <x:c r="G273" t="str">
        <x:v>'Event Register'!P194</x:v>
      </x:c>
      <x:c r="H273" t="str">
        <x:v>planning constitution</x:v>
      </x:c>
      <x:c r="I273" t="str">
        <x:f>IF(E273=F273,"PASS","FAIL")</x:f>
        <x:v>PASS</x:v>
      </x:c>
    </x:row>
    <x:row r="274">
      <x:c r="B274" t="str">
        <x:v>PL-PEV-189</x:v>
      </x:c>
      <x:c r="C274" t="str">
        <x:v>planning</x:v>
      </x:c>
      <x:c r="D274" t="str">
        <x:v>paired event assignment</x:v>
      </x:c>
      <x:c r="E274" t="str">
        <x:v>PASS</x:v>
      </x:c>
      <x:c r="F274" t="str">
        <x:f>'Event Register'!P195</x:f>
        <x:v>PASS</x:v>
      </x:c>
      <x:c r="G274" t="str">
        <x:v>'Event Register'!P195</x:v>
      </x:c>
      <x:c r="H274" t="str">
        <x:v>planning constitution</x:v>
      </x:c>
      <x:c r="I274" t="str">
        <x:f>IF(E274=F274,"PASS","FAIL")</x:f>
        <x:v>PASS</x:v>
      </x:c>
    </x:row>
    <x:row r="275">
      <x:c r="B275" t="str">
        <x:v>PL-PEV-190</x:v>
      </x:c>
      <x:c r="C275" t="str">
        <x:v>planning</x:v>
      </x:c>
      <x:c r="D275" t="str">
        <x:v>paired event assignment</x:v>
      </x:c>
      <x:c r="E275" t="str">
        <x:v>PASS</x:v>
      </x:c>
      <x:c r="F275" t="str">
        <x:f>'Event Register'!P196</x:f>
        <x:v>PASS</x:v>
      </x:c>
      <x:c r="G275" t="str">
        <x:v>'Event Register'!P196</x:v>
      </x:c>
      <x:c r="H275" t="str">
        <x:v>planning constitution</x:v>
      </x:c>
      <x:c r="I275" t="str">
        <x:f>IF(E275=F275,"PASS","FAIL")</x:f>
        <x:v>PASS</x:v>
      </x:c>
    </x:row>
    <x:row r="276">
      <x:c r="B276" t="str">
        <x:v>PL-PEV-191</x:v>
      </x:c>
      <x:c r="C276" t="str">
        <x:v>planning</x:v>
      </x:c>
      <x:c r="D276" t="str">
        <x:v>paired event assignment</x:v>
      </x:c>
      <x:c r="E276" t="str">
        <x:v>PASS</x:v>
      </x:c>
      <x:c r="F276" t="str">
        <x:f>'Event Register'!P197</x:f>
        <x:v>PASS</x:v>
      </x:c>
      <x:c r="G276" t="str">
        <x:v>'Event Register'!P197</x:v>
      </x:c>
      <x:c r="H276" t="str">
        <x:v>planning constitution</x:v>
      </x:c>
      <x:c r="I276" t="str">
        <x:f>IF(E276=F276,"PASS","FAIL")</x:f>
        <x:v>PASS</x:v>
      </x:c>
    </x:row>
    <x:row r="277">
      <x:c r="B277" t="str">
        <x:v>PL-PEV-192</x:v>
      </x:c>
      <x:c r="C277" t="str">
        <x:v>planning</x:v>
      </x:c>
      <x:c r="D277" t="str">
        <x:v>paired event assignment</x:v>
      </x:c>
      <x:c r="E277" t="str">
        <x:v>PASS</x:v>
      </x:c>
      <x:c r="F277" t="str">
        <x:f>'Event Register'!P198</x:f>
        <x:v>PASS</x:v>
      </x:c>
      <x:c r="G277" t="str">
        <x:v>'Event Register'!P198</x:v>
      </x:c>
      <x:c r="H277" t="str">
        <x:v>planning constitution</x:v>
      </x:c>
      <x:c r="I277" t="str">
        <x:f>IF(E277=F277,"PASS","FAIL")</x:f>
        <x:v>PASS</x:v>
      </x:c>
    </x:row>
    <x:row r="278">
      <x:c r="B278" t="str">
        <x:v>PL-SEV-001</x:v>
      </x:c>
      <x:c r="C278" t="str">
        <x:v>planning</x:v>
      </x:c>
      <x:c r="D278" t="str">
        <x:v>support event assignment</x:v>
      </x:c>
      <x:c r="E278" t="str">
        <x:v>PASS</x:v>
      </x:c>
      <x:c r="F278" t="str">
        <x:f>'Support Events'!M7</x:f>
        <x:v>PASS</x:v>
      </x:c>
      <x:c r="G278" t="str">
        <x:v>'Support Events'!M7</x:v>
      </x:c>
      <x:c r="H278" t="str">
        <x:v>planning constitution</x:v>
      </x:c>
      <x:c r="I278" t="str">
        <x:f>IF(E278=F278,"PASS","FAIL")</x:f>
        <x:v>PASS</x:v>
      </x:c>
    </x:row>
    <x:row r="279">
      <x:c r="B279" t="str">
        <x:v>PL-SEV-002</x:v>
      </x:c>
      <x:c r="C279" t="str">
        <x:v>planning</x:v>
      </x:c>
      <x:c r="D279" t="str">
        <x:v>support event assignment</x:v>
      </x:c>
      <x:c r="E279" t="str">
        <x:v>PASS</x:v>
      </x:c>
      <x:c r="F279" t="str">
        <x:f>'Support Events'!M8</x:f>
        <x:v>PASS</x:v>
      </x:c>
      <x:c r="G279" t="str">
        <x:v>'Support Events'!M8</x:v>
      </x:c>
      <x:c r="H279" t="str">
        <x:v>planning constitution</x:v>
      </x:c>
      <x:c r="I279" t="str">
        <x:f>IF(E279=F279,"PASS","FAIL")</x:f>
        <x:v>PASS</x:v>
      </x:c>
    </x:row>
    <x:row r="280">
      <x:c r="B280" t="str">
        <x:v>PL-SEV-003</x:v>
      </x:c>
      <x:c r="C280" t="str">
        <x:v>planning</x:v>
      </x:c>
      <x:c r="D280" t="str">
        <x:v>support event assignment</x:v>
      </x:c>
      <x:c r="E280" t="str">
        <x:v>PASS</x:v>
      </x:c>
      <x:c r="F280" t="str">
        <x:f>'Support Events'!M9</x:f>
        <x:v>PASS</x:v>
      </x:c>
      <x:c r="G280" t="str">
        <x:v>'Support Events'!M9</x:v>
      </x:c>
      <x:c r="H280" t="str">
        <x:v>planning constitution</x:v>
      </x:c>
      <x:c r="I280" t="str">
        <x:f>IF(E280=F280,"PASS","FAIL")</x:f>
        <x:v>PASS</x:v>
      </x:c>
    </x:row>
    <x:row r="281">
      <x:c r="B281" t="str">
        <x:v>PL-SEV-004</x:v>
      </x:c>
      <x:c r="C281" t="str">
        <x:v>planning</x:v>
      </x:c>
      <x:c r="D281" t="str">
        <x:v>support event assignment</x:v>
      </x:c>
      <x:c r="E281" t="str">
        <x:v>PASS</x:v>
      </x:c>
      <x:c r="F281" t="str">
        <x:f>'Support Events'!M10</x:f>
        <x:v>PASS</x:v>
      </x:c>
      <x:c r="G281" t="str">
        <x:v>'Support Events'!M10</x:v>
      </x:c>
      <x:c r="H281" t="str">
        <x:v>planning constitution</x:v>
      </x:c>
      <x:c r="I281" t="str">
        <x:f>IF(E281=F281,"PASS","FAIL")</x:f>
        <x:v>PASS</x:v>
      </x:c>
    </x:row>
    <x:row r="282">
      <x:c r="B282" t="str">
        <x:v>PL-SEV-005</x:v>
      </x:c>
      <x:c r="C282" t="str">
        <x:v>planning</x:v>
      </x:c>
      <x:c r="D282" t="str">
        <x:v>support event assignment</x:v>
      </x:c>
      <x:c r="E282" t="str">
        <x:v>PASS</x:v>
      </x:c>
      <x:c r="F282" t="str">
        <x:f>'Support Events'!M11</x:f>
        <x:v>PASS</x:v>
      </x:c>
      <x:c r="G282" t="str">
        <x:v>'Support Events'!M11</x:v>
      </x:c>
      <x:c r="H282" t="str">
        <x:v>planning constitution</x:v>
      </x:c>
      <x:c r="I282" t="str">
        <x:f>IF(E282=F282,"PASS","FAIL")</x:f>
        <x:v>PASS</x:v>
      </x:c>
    </x:row>
    <x:row r="283">
      <x:c r="B283" t="str">
        <x:v>PL-SEV-006</x:v>
      </x:c>
      <x:c r="C283" t="str">
        <x:v>planning</x:v>
      </x:c>
      <x:c r="D283" t="str">
        <x:v>support event assignment</x:v>
      </x:c>
      <x:c r="E283" t="str">
        <x:v>PASS</x:v>
      </x:c>
      <x:c r="F283" t="str">
        <x:f>'Support Events'!M12</x:f>
        <x:v>PASS</x:v>
      </x:c>
      <x:c r="G283" t="str">
        <x:v>'Support Events'!M12</x:v>
      </x:c>
      <x:c r="H283" t="str">
        <x:v>planning constitution</x:v>
      </x:c>
      <x:c r="I283" t="str">
        <x:f>IF(E283=F283,"PASS","FAIL")</x:f>
        <x:v>PASS</x:v>
      </x:c>
    </x:row>
    <x:row r="284">
      <x:c r="B284" t="str">
        <x:v>PL-SEV-007</x:v>
      </x:c>
      <x:c r="C284" t="str">
        <x:v>planning</x:v>
      </x:c>
      <x:c r="D284" t="str">
        <x:v>support event assignment</x:v>
      </x:c>
      <x:c r="E284" t="str">
        <x:v>PASS</x:v>
      </x:c>
      <x:c r="F284" t="str">
        <x:f>'Support Events'!M13</x:f>
        <x:v>PASS</x:v>
      </x:c>
      <x:c r="G284" t="str">
        <x:v>'Support Events'!M13</x:v>
      </x:c>
      <x:c r="H284" t="str">
        <x:v>planning constitution</x:v>
      </x:c>
      <x:c r="I284" t="str">
        <x:f>IF(E284=F284,"PASS","FAIL")</x:f>
        <x:v>PASS</x:v>
      </x:c>
    </x:row>
    <x:row r="285">
      <x:c r="B285" t="str">
        <x:v>PL-SEV-008</x:v>
      </x:c>
      <x:c r="C285" t="str">
        <x:v>planning</x:v>
      </x:c>
      <x:c r="D285" t="str">
        <x:v>support event assignment</x:v>
      </x:c>
      <x:c r="E285" t="str">
        <x:v>PASS</x:v>
      </x:c>
      <x:c r="F285" t="str">
        <x:f>'Support Events'!M14</x:f>
        <x:v>PASS</x:v>
      </x:c>
      <x:c r="G285" t="str">
        <x:v>'Support Events'!M14</x:v>
      </x:c>
      <x:c r="H285" t="str">
        <x:v>planning constitution</x:v>
      </x:c>
      <x:c r="I285" t="str">
        <x:f>IF(E285=F285,"PASS","FAIL")</x:f>
        <x:v>PASS</x:v>
      </x:c>
    </x:row>
    <x:row r="286">
      <x:c r="B286" t="str">
        <x:v>PL-SEV-009</x:v>
      </x:c>
      <x:c r="C286" t="str">
        <x:v>planning</x:v>
      </x:c>
      <x:c r="D286" t="str">
        <x:v>support event assignment</x:v>
      </x:c>
      <x:c r="E286" t="str">
        <x:v>PASS</x:v>
      </x:c>
      <x:c r="F286" t="str">
        <x:f>'Support Events'!M15</x:f>
        <x:v>PASS</x:v>
      </x:c>
      <x:c r="G286" t="str">
        <x:v>'Support Events'!M15</x:v>
      </x:c>
      <x:c r="H286" t="str">
        <x:v>planning constitution</x:v>
      </x:c>
      <x:c r="I286" t="str">
        <x:f>IF(E286=F286,"PASS","FAIL")</x:f>
        <x:v>PASS</x:v>
      </x:c>
    </x:row>
    <x:row r="287">
      <x:c r="B287" t="str">
        <x:v>PL-SEV-010</x:v>
      </x:c>
      <x:c r="C287" t="str">
        <x:v>planning</x:v>
      </x:c>
      <x:c r="D287" t="str">
        <x:v>support event assignment</x:v>
      </x:c>
      <x:c r="E287" t="str">
        <x:v>PASS</x:v>
      </x:c>
      <x:c r="F287" t="str">
        <x:f>'Support Events'!M16</x:f>
        <x:v>PASS</x:v>
      </x:c>
      <x:c r="G287" t="str">
        <x:v>'Support Events'!M16</x:v>
      </x:c>
      <x:c r="H287" t="str">
        <x:v>planning constitution</x:v>
      </x:c>
      <x:c r="I287" t="str">
        <x:f>IF(E287=F287,"PASS","FAIL")</x:f>
        <x:v>PASS</x:v>
      </x:c>
    </x:row>
    <x:row r="288">
      <x:c r="B288" t="str">
        <x:v>PL-SEV-011</x:v>
      </x:c>
      <x:c r="C288" t="str">
        <x:v>planning</x:v>
      </x:c>
      <x:c r="D288" t="str">
        <x:v>support event assignment</x:v>
      </x:c>
      <x:c r="E288" t="str">
        <x:v>PASS</x:v>
      </x:c>
      <x:c r="F288" t="str">
        <x:f>'Support Events'!M17</x:f>
        <x:v>PASS</x:v>
      </x:c>
      <x:c r="G288" t="str">
        <x:v>'Support Events'!M17</x:v>
      </x:c>
      <x:c r="H288" t="str">
        <x:v>planning constitution</x:v>
      </x:c>
      <x:c r="I288" t="str">
        <x:f>IF(E288=F288,"PASS","FAIL")</x:f>
        <x:v>PASS</x:v>
      </x:c>
    </x:row>
    <x:row r="289">
      <x:c r="B289" t="str">
        <x:v>PL-SEV-012</x:v>
      </x:c>
      <x:c r="C289" t="str">
        <x:v>planning</x:v>
      </x:c>
      <x:c r="D289" t="str">
        <x:v>support event assignment</x:v>
      </x:c>
      <x:c r="E289" t="str">
        <x:v>PASS</x:v>
      </x:c>
      <x:c r="F289" t="str">
        <x:f>'Support Events'!M18</x:f>
        <x:v>PASS</x:v>
      </x:c>
      <x:c r="G289" t="str">
        <x:v>'Support Events'!M18</x:v>
      </x:c>
      <x:c r="H289" t="str">
        <x:v>planning constitution</x:v>
      </x:c>
      <x:c r="I289" t="str">
        <x:f>IF(E289=F289,"PASS","FAIL")</x:f>
        <x:v>PASS</x:v>
      </x:c>
    </x:row>
    <x:row r="290">
      <x:c r="B290" t="str">
        <x:v>PL-SEV-013</x:v>
      </x:c>
      <x:c r="C290" t="str">
        <x:v>planning</x:v>
      </x:c>
      <x:c r="D290" t="str">
        <x:v>support event assignment</x:v>
      </x:c>
      <x:c r="E290" t="str">
        <x:v>PASS</x:v>
      </x:c>
      <x:c r="F290" t="str">
        <x:f>'Support Events'!M19</x:f>
        <x:v>PASS</x:v>
      </x:c>
      <x:c r="G290" t="str">
        <x:v>'Support Events'!M19</x:v>
      </x:c>
      <x:c r="H290" t="str">
        <x:v>planning constitution</x:v>
      </x:c>
      <x:c r="I290" t="str">
        <x:f>IF(E290=F290,"PASS","FAIL")</x:f>
        <x:v>PASS</x:v>
      </x:c>
    </x:row>
    <x:row r="291">
      <x:c r="B291" t="str">
        <x:v>PL-SEV-014</x:v>
      </x:c>
      <x:c r="C291" t="str">
        <x:v>planning</x:v>
      </x:c>
      <x:c r="D291" t="str">
        <x:v>support event assignment</x:v>
      </x:c>
      <x:c r="E291" t="str">
        <x:v>PASS</x:v>
      </x:c>
      <x:c r="F291" t="str">
        <x:f>'Support Events'!M20</x:f>
        <x:v>PASS</x:v>
      </x:c>
      <x:c r="G291" t="str">
        <x:v>'Support Events'!M20</x:v>
      </x:c>
      <x:c r="H291" t="str">
        <x:v>planning constitution</x:v>
      </x:c>
      <x:c r="I291" t="str">
        <x:f>IF(E291=F291,"PASS","FAIL")</x:f>
        <x:v>PASS</x:v>
      </x:c>
    </x:row>
    <x:row r="292">
      <x:c r="B292" t="str">
        <x:v>PL-SEV-015</x:v>
      </x:c>
      <x:c r="C292" t="str">
        <x:v>planning</x:v>
      </x:c>
      <x:c r="D292" t="str">
        <x:v>support event assignment</x:v>
      </x:c>
      <x:c r="E292" t="str">
        <x:v>PASS</x:v>
      </x:c>
      <x:c r="F292" t="str">
        <x:f>'Support Events'!M21</x:f>
        <x:v>PASS</x:v>
      </x:c>
      <x:c r="G292" t="str">
        <x:v>'Support Events'!M21</x:v>
      </x:c>
      <x:c r="H292" t="str">
        <x:v>planning constitution</x:v>
      </x:c>
      <x:c r="I292" t="str">
        <x:f>IF(E292=F292,"PASS","FAIL")</x:f>
        <x:v>PASS</x:v>
      </x:c>
    </x:row>
    <x:row r="293">
      <x:c r="B293" t="str">
        <x:v>PL-SEV-016</x:v>
      </x:c>
      <x:c r="C293" t="str">
        <x:v>planning</x:v>
      </x:c>
      <x:c r="D293" t="str">
        <x:v>support event assignment</x:v>
      </x:c>
      <x:c r="E293" t="str">
        <x:v>PASS</x:v>
      </x:c>
      <x:c r="F293" t="str">
        <x:f>'Support Events'!M22</x:f>
        <x:v>PASS</x:v>
      </x:c>
      <x:c r="G293" t="str">
        <x:v>'Support Events'!M22</x:v>
      </x:c>
      <x:c r="H293" t="str">
        <x:v>planning constitution</x:v>
      </x:c>
      <x:c r="I293" t="str">
        <x:f>IF(E293=F293,"PASS","FAIL")</x:f>
        <x:v>PASS</x:v>
      </x:c>
    </x:row>
    <x:row r="294">
      <x:c r="B294" t="str">
        <x:v>PL-SEV-017</x:v>
      </x:c>
      <x:c r="C294" t="str">
        <x:v>planning</x:v>
      </x:c>
      <x:c r="D294" t="str">
        <x:v>support event assignment</x:v>
      </x:c>
      <x:c r="E294" t="str">
        <x:v>PASS</x:v>
      </x:c>
      <x:c r="F294" t="str">
        <x:f>'Support Events'!M23</x:f>
        <x:v>PASS</x:v>
      </x:c>
      <x:c r="G294" t="str">
        <x:v>'Support Events'!M23</x:v>
      </x:c>
      <x:c r="H294" t="str">
        <x:v>planning constitution</x:v>
      </x:c>
      <x:c r="I294" t="str">
        <x:f>IF(E294=F294,"PASS","FAIL")</x:f>
        <x:v>PASS</x:v>
      </x:c>
    </x:row>
    <x:row r="295">
      <x:c r="B295" t="str">
        <x:v>PL-SEV-018</x:v>
      </x:c>
      <x:c r="C295" t="str">
        <x:v>planning</x:v>
      </x:c>
      <x:c r="D295" t="str">
        <x:v>support event assignment</x:v>
      </x:c>
      <x:c r="E295" t="str">
        <x:v>PASS</x:v>
      </x:c>
      <x:c r="F295" t="str">
        <x:f>'Support Events'!M24</x:f>
        <x:v>PASS</x:v>
      </x:c>
      <x:c r="G295" t="str">
        <x:v>'Support Events'!M24</x:v>
      </x:c>
      <x:c r="H295" t="str">
        <x:v>planning constitution</x:v>
      </x:c>
      <x:c r="I295" t="str">
        <x:f>IF(E295=F295,"PASS","FAIL")</x:f>
        <x:v>PASS</x:v>
      </x:c>
    </x:row>
    <x:row r="296">
      <x:c r="B296" t="str">
        <x:v>PL-SEV-019</x:v>
      </x:c>
      <x:c r="C296" t="str">
        <x:v>planning</x:v>
      </x:c>
      <x:c r="D296" t="str">
        <x:v>support event assignment</x:v>
      </x:c>
      <x:c r="E296" t="str">
        <x:v>PASS</x:v>
      </x:c>
      <x:c r="F296" t="str">
        <x:f>'Support Events'!M25</x:f>
        <x:v>PASS</x:v>
      </x:c>
      <x:c r="G296" t="str">
        <x:v>'Support Events'!M25</x:v>
      </x:c>
      <x:c r="H296" t="str">
        <x:v>planning constitution</x:v>
      </x:c>
      <x:c r="I296" t="str">
        <x:f>IF(E296=F296,"PASS","FAIL")</x:f>
        <x:v>PASS</x:v>
      </x:c>
    </x:row>
    <x:row r="297">
      <x:c r="B297" t="str">
        <x:v>PL-SEV-020</x:v>
      </x:c>
      <x:c r="C297" t="str">
        <x:v>planning</x:v>
      </x:c>
      <x:c r="D297" t="str">
        <x:v>support event assignment</x:v>
      </x:c>
      <x:c r="E297" t="str">
        <x:v>PASS</x:v>
      </x:c>
      <x:c r="F297" t="str">
        <x:f>'Support Events'!M26</x:f>
        <x:v>PASS</x:v>
      </x:c>
      <x:c r="G297" t="str">
        <x:v>'Support Events'!M26</x:v>
      </x:c>
      <x:c r="H297" t="str">
        <x:v>planning constitution</x:v>
      </x:c>
      <x:c r="I297" t="str">
        <x:f>IF(E297=F297,"PASS","FAIL")</x:f>
        <x:v>PASS</x:v>
      </x:c>
    </x:row>
    <x:row r="298">
      <x:c r="B298" t="str">
        <x:v>PL-SEV-021</x:v>
      </x:c>
      <x:c r="C298" t="str">
        <x:v>planning</x:v>
      </x:c>
      <x:c r="D298" t="str">
        <x:v>support event assignment</x:v>
      </x:c>
      <x:c r="E298" t="str">
        <x:v>PASS</x:v>
      </x:c>
      <x:c r="F298" t="str">
        <x:f>'Support Events'!M27</x:f>
        <x:v>PASS</x:v>
      </x:c>
      <x:c r="G298" t="str">
        <x:v>'Support Events'!M27</x:v>
      </x:c>
      <x:c r="H298" t="str">
        <x:v>planning constitution</x:v>
      </x:c>
      <x:c r="I298" t="str">
        <x:f>IF(E298=F298,"PASS","FAIL")</x:f>
        <x:v>PASS</x:v>
      </x:c>
    </x:row>
    <x:row r="299">
      <x:c r="B299" t="str">
        <x:v>PL-SEV-022</x:v>
      </x:c>
      <x:c r="C299" t="str">
        <x:v>planning</x:v>
      </x:c>
      <x:c r="D299" t="str">
        <x:v>support event assignment</x:v>
      </x:c>
      <x:c r="E299" t="str">
        <x:v>PASS</x:v>
      </x:c>
      <x:c r="F299" t="str">
        <x:f>'Support Events'!M28</x:f>
        <x:v>PASS</x:v>
      </x:c>
      <x:c r="G299" t="str">
        <x:v>'Support Events'!M28</x:v>
      </x:c>
      <x:c r="H299" t="str">
        <x:v>planning constitution</x:v>
      </x:c>
      <x:c r="I299" t="str">
        <x:f>IF(E299=F299,"PASS","FAIL")</x:f>
        <x:v>PASS</x:v>
      </x:c>
    </x:row>
    <x:row r="300">
      <x:c r="B300" t="str">
        <x:v>PL-SEV-023</x:v>
      </x:c>
      <x:c r="C300" t="str">
        <x:v>planning</x:v>
      </x:c>
      <x:c r="D300" t="str">
        <x:v>support event assignment</x:v>
      </x:c>
      <x:c r="E300" t="str">
        <x:v>PASS</x:v>
      </x:c>
      <x:c r="F300" t="str">
        <x:f>'Support Events'!M29</x:f>
        <x:v>PASS</x:v>
      </x:c>
      <x:c r="G300" t="str">
        <x:v>'Support Events'!M29</x:v>
      </x:c>
      <x:c r="H300" t="str">
        <x:v>planning constitution</x:v>
      </x:c>
      <x:c r="I300" t="str">
        <x:f>IF(E300=F300,"PASS","FAIL")</x:f>
        <x:v>PASS</x:v>
      </x:c>
    </x:row>
    <x:row r="301">
      <x:c r="B301" t="str">
        <x:v>PL-SEV-024</x:v>
      </x:c>
      <x:c r="C301" t="str">
        <x:v>planning</x:v>
      </x:c>
      <x:c r="D301" t="str">
        <x:v>support event assignment</x:v>
      </x:c>
      <x:c r="E301" t="str">
        <x:v>PASS</x:v>
      </x:c>
      <x:c r="F301" t="str">
        <x:f>'Support Events'!M30</x:f>
        <x:v>PASS</x:v>
      </x:c>
      <x:c r="G301" t="str">
        <x:v>'Support Events'!M30</x:v>
      </x:c>
      <x:c r="H301" t="str">
        <x:v>planning constitution</x:v>
      </x:c>
      <x:c r="I301" t="str">
        <x:f>IF(E301=F301,"PASS","FAIL")</x:f>
        <x:v>PASS</x:v>
      </x:c>
    </x:row>
    <x:row r="302">
      <x:c r="B302" t="str">
        <x:v>PL-SEV-025</x:v>
      </x:c>
      <x:c r="C302" t="str">
        <x:v>planning</x:v>
      </x:c>
      <x:c r="D302" t="str">
        <x:v>support event assignment</x:v>
      </x:c>
      <x:c r="E302" t="str">
        <x:v>PASS</x:v>
      </x:c>
      <x:c r="F302" t="str">
        <x:f>'Support Events'!M31</x:f>
        <x:v>PASS</x:v>
      </x:c>
      <x:c r="G302" t="str">
        <x:v>'Support Events'!M31</x:v>
      </x:c>
      <x:c r="H302" t="str">
        <x:v>planning constitution</x:v>
      </x:c>
      <x:c r="I302" t="str">
        <x:f>IF(E302=F302,"PASS","FAIL")</x:f>
        <x:v>PASS</x:v>
      </x:c>
    </x:row>
    <x:row r="303">
      <x:c r="B303" t="str">
        <x:v>PL-SEV-026</x:v>
      </x:c>
      <x:c r="C303" t="str">
        <x:v>planning</x:v>
      </x:c>
      <x:c r="D303" t="str">
        <x:v>support event assignment</x:v>
      </x:c>
      <x:c r="E303" t="str">
        <x:v>PASS</x:v>
      </x:c>
      <x:c r="F303" t="str">
        <x:f>'Support Events'!M32</x:f>
        <x:v>PASS</x:v>
      </x:c>
      <x:c r="G303" t="str">
        <x:v>'Support Events'!M32</x:v>
      </x:c>
      <x:c r="H303" t="str">
        <x:v>planning constitution</x:v>
      </x:c>
      <x:c r="I303" t="str">
        <x:f>IF(E303=F303,"PASS","FAIL")</x:f>
        <x:v>PASS</x:v>
      </x:c>
    </x:row>
    <x:row r="304">
      <x:c r="B304" t="str">
        <x:v>PL-SEV-027</x:v>
      </x:c>
      <x:c r="C304" t="str">
        <x:v>planning</x:v>
      </x:c>
      <x:c r="D304" t="str">
        <x:v>support event assignment</x:v>
      </x:c>
      <x:c r="E304" t="str">
        <x:v>PASS</x:v>
      </x:c>
      <x:c r="F304" t="str">
        <x:f>'Support Events'!M33</x:f>
        <x:v>PASS</x:v>
      </x:c>
      <x:c r="G304" t="str">
        <x:v>'Support Events'!M33</x:v>
      </x:c>
      <x:c r="H304" t="str">
        <x:v>planning constitution</x:v>
      </x:c>
      <x:c r="I304" t="str">
        <x:f>IF(E304=F304,"PASS","FAIL")</x:f>
        <x:v>PASS</x:v>
      </x:c>
    </x:row>
    <x:row r="305">
      <x:c r="B305" t="str">
        <x:v>PL-SEV-028</x:v>
      </x:c>
      <x:c r="C305" t="str">
        <x:v>planning</x:v>
      </x:c>
      <x:c r="D305" t="str">
        <x:v>support event assignment</x:v>
      </x:c>
      <x:c r="E305" t="str">
        <x:v>PASS</x:v>
      </x:c>
      <x:c r="F305" t="str">
        <x:f>'Support Events'!M34</x:f>
        <x:v>PASS</x:v>
      </x:c>
      <x:c r="G305" t="str">
        <x:v>'Support Events'!M34</x:v>
      </x:c>
      <x:c r="H305" t="str">
        <x:v>planning constitution</x:v>
      </x:c>
      <x:c r="I305" t="str">
        <x:f>IF(E305=F305,"PASS","FAIL")</x:f>
        <x:v>PASS</x:v>
      </x:c>
    </x:row>
    <x:row r="306">
      <x:c r="B306" t="str">
        <x:v>PL-SEV-029</x:v>
      </x:c>
      <x:c r="C306" t="str">
        <x:v>planning</x:v>
      </x:c>
      <x:c r="D306" t="str">
        <x:v>support event assignment</x:v>
      </x:c>
      <x:c r="E306" t="str">
        <x:v>PASS</x:v>
      </x:c>
      <x:c r="F306" t="str">
        <x:f>'Support Events'!M35</x:f>
        <x:v>PASS</x:v>
      </x:c>
      <x:c r="G306" t="str">
        <x:v>'Support Events'!M35</x:v>
      </x:c>
      <x:c r="H306" t="str">
        <x:v>planning constitution</x:v>
      </x:c>
      <x:c r="I306" t="str">
        <x:f>IF(E306=F306,"PASS","FAIL")</x:f>
        <x:v>PASS</x:v>
      </x:c>
    </x:row>
    <x:row r="307">
      <x:c r="B307" t="str">
        <x:v>PL-SEV-030</x:v>
      </x:c>
      <x:c r="C307" t="str">
        <x:v>planning</x:v>
      </x:c>
      <x:c r="D307" t="str">
        <x:v>support event assignment</x:v>
      </x:c>
      <x:c r="E307" t="str">
        <x:v>PASS</x:v>
      </x:c>
      <x:c r="F307" t="str">
        <x:f>'Support Events'!M36</x:f>
        <x:v>PASS</x:v>
      </x:c>
      <x:c r="G307" t="str">
        <x:v>'Support Events'!M36</x:v>
      </x:c>
      <x:c r="H307" t="str">
        <x:v>planning constitution</x:v>
      </x:c>
      <x:c r="I307" t="str">
        <x:f>IF(E307=F307,"PASS","FAIL")</x:f>
        <x:v>PASS</x:v>
      </x:c>
    </x:row>
    <x:row r="308">
      <x:c r="B308" t="str">
        <x:v>PL-SEV-031</x:v>
      </x:c>
      <x:c r="C308" t="str">
        <x:v>planning</x:v>
      </x:c>
      <x:c r="D308" t="str">
        <x:v>support event assignment</x:v>
      </x:c>
      <x:c r="E308" t="str">
        <x:v>PASS</x:v>
      </x:c>
      <x:c r="F308" t="str">
        <x:f>'Support Events'!M37</x:f>
        <x:v>PASS</x:v>
      </x:c>
      <x:c r="G308" t="str">
        <x:v>'Support Events'!M37</x:v>
      </x:c>
      <x:c r="H308" t="str">
        <x:v>planning constitution</x:v>
      </x:c>
      <x:c r="I308" t="str">
        <x:f>IF(E308=F308,"PASS","FAIL")</x:f>
        <x:v>PASS</x:v>
      </x:c>
    </x:row>
    <x:row r="309">
      <x:c r="B309" t="str">
        <x:v>PL-SEV-032</x:v>
      </x:c>
      <x:c r="C309" t="str">
        <x:v>planning</x:v>
      </x:c>
      <x:c r="D309" t="str">
        <x:v>support event assignment</x:v>
      </x:c>
      <x:c r="E309" t="str">
        <x:v>PASS</x:v>
      </x:c>
      <x:c r="F309" t="str">
        <x:f>'Support Events'!M38</x:f>
        <x:v>PASS</x:v>
      </x:c>
      <x:c r="G309" t="str">
        <x:v>'Support Events'!M38</x:v>
      </x:c>
      <x:c r="H309" t="str">
        <x:v>planning constitution</x:v>
      </x:c>
      <x:c r="I309" t="str">
        <x:f>IF(E309=F309,"PASS","FAIL")</x:f>
        <x:v>PASS</x:v>
      </x:c>
    </x:row>
    <x:row r="310">
      <x:c r="B310" t="str">
        <x:v>PL-SEV-033</x:v>
      </x:c>
      <x:c r="C310" t="str">
        <x:v>planning</x:v>
      </x:c>
      <x:c r="D310" t="str">
        <x:v>support event assignment</x:v>
      </x:c>
      <x:c r="E310" t="str">
        <x:v>PASS</x:v>
      </x:c>
      <x:c r="F310" t="str">
        <x:f>'Support Events'!M39</x:f>
        <x:v>PASS</x:v>
      </x:c>
      <x:c r="G310" t="str">
        <x:v>'Support Events'!M39</x:v>
      </x:c>
      <x:c r="H310" t="str">
        <x:v>planning constitution</x:v>
      </x:c>
      <x:c r="I310" t="str">
        <x:f>IF(E310=F310,"PASS","FAIL")</x:f>
        <x:v>PASS</x:v>
      </x:c>
    </x:row>
    <x:row r="311">
      <x:c r="B311" t="str">
        <x:v>PL-SEV-034</x:v>
      </x:c>
      <x:c r="C311" t="str">
        <x:v>planning</x:v>
      </x:c>
      <x:c r="D311" t="str">
        <x:v>support event assignment</x:v>
      </x:c>
      <x:c r="E311" t="str">
        <x:v>PASS</x:v>
      </x:c>
      <x:c r="F311" t="str">
        <x:f>'Support Events'!M40</x:f>
        <x:v>PASS</x:v>
      </x:c>
      <x:c r="G311" t="str">
        <x:v>'Support Events'!M40</x:v>
      </x:c>
      <x:c r="H311" t="str">
        <x:v>planning constitution</x:v>
      </x:c>
      <x:c r="I311" t="str">
        <x:f>IF(E311=F311,"PASS","FAIL")</x:f>
        <x:v>PASS</x:v>
      </x:c>
    </x:row>
    <x:row r="312">
      <x:c r="B312" t="str">
        <x:v>PL-SEV-035</x:v>
      </x:c>
      <x:c r="C312" t="str">
        <x:v>planning</x:v>
      </x:c>
      <x:c r="D312" t="str">
        <x:v>support event assignment</x:v>
      </x:c>
      <x:c r="E312" t="str">
        <x:v>PASS</x:v>
      </x:c>
      <x:c r="F312" t="str">
        <x:f>'Support Events'!M41</x:f>
        <x:v>PASS</x:v>
      </x:c>
      <x:c r="G312" t="str">
        <x:v>'Support Events'!M41</x:v>
      </x:c>
      <x:c r="H312" t="str">
        <x:v>planning constitution</x:v>
      </x:c>
      <x:c r="I312" t="str">
        <x:f>IF(E312=F312,"PASS","FAIL")</x:f>
        <x:v>PASS</x:v>
      </x:c>
    </x:row>
    <x:row r="313">
      <x:c r="B313" t="str">
        <x:v>PL-SEV-036</x:v>
      </x:c>
      <x:c r="C313" t="str">
        <x:v>planning</x:v>
      </x:c>
      <x:c r="D313" t="str">
        <x:v>support event assignment</x:v>
      </x:c>
      <x:c r="E313" t="str">
        <x:v>PASS</x:v>
      </x:c>
      <x:c r="F313" t="str">
        <x:f>'Support Events'!M42</x:f>
        <x:v>PASS</x:v>
      </x:c>
      <x:c r="G313" t="str">
        <x:v>'Support Events'!M42</x:v>
      </x:c>
      <x:c r="H313" t="str">
        <x:v>planning constitution</x:v>
      </x:c>
      <x:c r="I313" t="str">
        <x:f>IF(E313=F313,"PASS","FAIL")</x:f>
        <x:v>PASS</x:v>
      </x:c>
    </x:row>
    <x:row r="314">
      <x:c r="B314" t="str">
        <x:v>PL-SEV-037</x:v>
      </x:c>
      <x:c r="C314" t="str">
        <x:v>planning</x:v>
      </x:c>
      <x:c r="D314" t="str">
        <x:v>support event assignment</x:v>
      </x:c>
      <x:c r="E314" t="str">
        <x:v>PASS</x:v>
      </x:c>
      <x:c r="F314" t="str">
        <x:f>'Support Events'!M43</x:f>
        <x:v>PASS</x:v>
      </x:c>
      <x:c r="G314" t="str">
        <x:v>'Support Events'!M43</x:v>
      </x:c>
      <x:c r="H314" t="str">
        <x:v>planning constitution</x:v>
      </x:c>
      <x:c r="I314" t="str">
        <x:f>IF(E314=F314,"PASS","FAIL")</x:f>
        <x:v>PASS</x:v>
      </x:c>
    </x:row>
    <x:row r="315">
      <x:c r="B315" t="str">
        <x:v>PL-SEV-038</x:v>
      </x:c>
      <x:c r="C315" t="str">
        <x:v>planning</x:v>
      </x:c>
      <x:c r="D315" t="str">
        <x:v>support event assignment</x:v>
      </x:c>
      <x:c r="E315" t="str">
        <x:v>PASS</x:v>
      </x:c>
      <x:c r="F315" t="str">
        <x:f>'Support Events'!M44</x:f>
        <x:v>PASS</x:v>
      </x:c>
      <x:c r="G315" t="str">
        <x:v>'Support Events'!M44</x:v>
      </x:c>
      <x:c r="H315" t="str">
        <x:v>planning constitution</x:v>
      </x:c>
      <x:c r="I315" t="str">
        <x:f>IF(E315=F315,"PASS","FAIL")</x:f>
        <x:v>PASS</x:v>
      </x:c>
    </x:row>
    <x:row r="316">
      <x:c r="B316" t="str">
        <x:v>PL-SEV-039</x:v>
      </x:c>
      <x:c r="C316" t="str">
        <x:v>planning</x:v>
      </x:c>
      <x:c r="D316" t="str">
        <x:v>support event assignment</x:v>
      </x:c>
      <x:c r="E316" t="str">
        <x:v>PASS</x:v>
      </x:c>
      <x:c r="F316" t="str">
        <x:f>'Support Events'!M45</x:f>
        <x:v>PASS</x:v>
      </x:c>
      <x:c r="G316" t="str">
        <x:v>'Support Events'!M45</x:v>
      </x:c>
      <x:c r="H316" t="str">
        <x:v>planning constitution</x:v>
      </x:c>
      <x:c r="I316" t="str">
        <x:f>IF(E316=F316,"PASS","FAIL")</x:f>
        <x:v>PASS</x:v>
      </x:c>
    </x:row>
    <x:row r="317">
      <x:c r="B317" t="str">
        <x:v>PL-SEV-040</x:v>
      </x:c>
      <x:c r="C317" t="str">
        <x:v>planning</x:v>
      </x:c>
      <x:c r="D317" t="str">
        <x:v>support event assignment</x:v>
      </x:c>
      <x:c r="E317" t="str">
        <x:v>PASS</x:v>
      </x:c>
      <x:c r="F317" t="str">
        <x:f>'Support Events'!M46</x:f>
        <x:v>PASS</x:v>
      </x:c>
      <x:c r="G317" t="str">
        <x:v>'Support Events'!M46</x:v>
      </x:c>
      <x:c r="H317" t="str">
        <x:v>planning constitution</x:v>
      </x:c>
      <x:c r="I317" t="str">
        <x:f>IF(E317=F317,"PASS","FAIL")</x:f>
        <x:v>PASS</x:v>
      </x:c>
    </x:row>
    <x:row r="318">
      <x:c r="B318" t="str">
        <x:v>PL-SEV-041</x:v>
      </x:c>
      <x:c r="C318" t="str">
        <x:v>planning</x:v>
      </x:c>
      <x:c r="D318" t="str">
        <x:v>support event assignment</x:v>
      </x:c>
      <x:c r="E318" t="str">
        <x:v>PASS</x:v>
      </x:c>
      <x:c r="F318" t="str">
        <x:f>'Support Events'!M47</x:f>
        <x:v>PASS</x:v>
      </x:c>
      <x:c r="G318" t="str">
        <x:v>'Support Events'!M47</x:v>
      </x:c>
      <x:c r="H318" t="str">
        <x:v>planning constitution</x:v>
      </x:c>
      <x:c r="I318" t="str">
        <x:f>IF(E318=F318,"PASS","FAIL")</x:f>
        <x:v>PASS</x:v>
      </x:c>
    </x:row>
    <x:row r="319">
      <x:c r="B319" t="str">
        <x:v>PL-SEV-042</x:v>
      </x:c>
      <x:c r="C319" t="str">
        <x:v>planning</x:v>
      </x:c>
      <x:c r="D319" t="str">
        <x:v>support event assignment</x:v>
      </x:c>
      <x:c r="E319" t="str">
        <x:v>PASS</x:v>
      </x:c>
      <x:c r="F319" t="str">
        <x:f>'Support Events'!M48</x:f>
        <x:v>PASS</x:v>
      </x:c>
      <x:c r="G319" t="str">
        <x:v>'Support Events'!M48</x:v>
      </x:c>
      <x:c r="H319" t="str">
        <x:v>planning constitution</x:v>
      </x:c>
      <x:c r="I319" t="str">
        <x:f>IF(E319=F319,"PASS","FAIL")</x:f>
        <x:v>PASS</x:v>
      </x:c>
    </x:row>
    <x:row r="320">
      <x:c r="B320" t="str">
        <x:v>PL-SEV-043</x:v>
      </x:c>
      <x:c r="C320" t="str">
        <x:v>planning</x:v>
      </x:c>
      <x:c r="D320" t="str">
        <x:v>support event assignment</x:v>
      </x:c>
      <x:c r="E320" t="str">
        <x:v>PASS</x:v>
      </x:c>
      <x:c r="F320" t="str">
        <x:f>'Support Events'!M49</x:f>
        <x:v>PASS</x:v>
      </x:c>
      <x:c r="G320" t="str">
        <x:v>'Support Events'!M49</x:v>
      </x:c>
      <x:c r="H320" t="str">
        <x:v>planning constitution</x:v>
      </x:c>
      <x:c r="I320" t="str">
        <x:f>IF(E320=F320,"PASS","FAIL")</x:f>
        <x:v>PASS</x:v>
      </x:c>
    </x:row>
    <x:row r="321">
      <x:c r="B321" t="str">
        <x:v>PL-SEV-044</x:v>
      </x:c>
      <x:c r="C321" t="str">
        <x:v>planning</x:v>
      </x:c>
      <x:c r="D321" t="str">
        <x:v>support event assignment</x:v>
      </x:c>
      <x:c r="E321" t="str">
        <x:v>PASS</x:v>
      </x:c>
      <x:c r="F321" t="str">
        <x:f>'Support Events'!M50</x:f>
        <x:v>PASS</x:v>
      </x:c>
      <x:c r="G321" t="str">
        <x:v>'Support Events'!M50</x:v>
      </x:c>
      <x:c r="H321" t="str">
        <x:v>planning constitution</x:v>
      </x:c>
      <x:c r="I321" t="str">
        <x:f>IF(E321=F321,"PASS","FAIL")</x:f>
        <x:v>PASS</x:v>
      </x:c>
    </x:row>
    <x:row r="322">
      <x:c r="B322" t="str">
        <x:v>PL-SEV-045</x:v>
      </x:c>
      <x:c r="C322" t="str">
        <x:v>planning</x:v>
      </x:c>
      <x:c r="D322" t="str">
        <x:v>support event assignment</x:v>
      </x:c>
      <x:c r="E322" t="str">
        <x:v>PASS</x:v>
      </x:c>
      <x:c r="F322" t="str">
        <x:f>'Support Events'!M51</x:f>
        <x:v>PASS</x:v>
      </x:c>
      <x:c r="G322" t="str">
        <x:v>'Support Events'!M51</x:v>
      </x:c>
      <x:c r="H322" t="str">
        <x:v>planning constitution</x:v>
      </x:c>
      <x:c r="I322" t="str">
        <x:f>IF(E322=F322,"PASS","FAIL")</x:f>
        <x:v>PASS</x:v>
      </x:c>
    </x:row>
    <x:row r="323">
      <x:c r="B323" t="str">
        <x:v>PL-SEV-046</x:v>
      </x:c>
      <x:c r="C323" t="str">
        <x:v>planning</x:v>
      </x:c>
      <x:c r="D323" t="str">
        <x:v>support event assignment</x:v>
      </x:c>
      <x:c r="E323" t="str">
        <x:v>PASS</x:v>
      </x:c>
      <x:c r="F323" t="str">
        <x:f>'Support Events'!M52</x:f>
        <x:v>PASS</x:v>
      </x:c>
      <x:c r="G323" t="str">
        <x:v>'Support Events'!M52</x:v>
      </x:c>
      <x:c r="H323" t="str">
        <x:v>planning constitution</x:v>
      </x:c>
      <x:c r="I323" t="str">
        <x:f>IF(E323=F323,"PASS","FAIL")</x:f>
        <x:v>PASS</x:v>
      </x:c>
    </x:row>
    <x:row r="324">
      <x:c r="B324" t="str">
        <x:v>PL-SEV-047</x:v>
      </x:c>
      <x:c r="C324" t="str">
        <x:v>planning</x:v>
      </x:c>
      <x:c r="D324" t="str">
        <x:v>support event assignment</x:v>
      </x:c>
      <x:c r="E324" t="str">
        <x:v>PASS</x:v>
      </x:c>
      <x:c r="F324" t="str">
        <x:f>'Support Events'!M53</x:f>
        <x:v>PASS</x:v>
      </x:c>
      <x:c r="G324" t="str">
        <x:v>'Support Events'!M53</x:v>
      </x:c>
      <x:c r="H324" t="str">
        <x:v>planning constitution</x:v>
      </x:c>
      <x:c r="I324" t="str">
        <x:f>IF(E324=F324,"PASS","FAIL")</x:f>
        <x:v>PASS</x:v>
      </x:c>
    </x:row>
    <x:row r="325">
      <x:c r="B325" t="str">
        <x:v>PL-SEV-048</x:v>
      </x:c>
      <x:c r="C325" t="str">
        <x:v>planning</x:v>
      </x:c>
      <x:c r="D325" t="str">
        <x:v>support event assignment</x:v>
      </x:c>
      <x:c r="E325" t="str">
        <x:v>PASS</x:v>
      </x:c>
      <x:c r="F325" t="str">
        <x:f>'Support Events'!M54</x:f>
        <x:v>PASS</x:v>
      </x:c>
      <x:c r="G325" t="str">
        <x:v>'Support Events'!M54</x:v>
      </x:c>
      <x:c r="H325" t="str">
        <x:v>planning constitution</x:v>
      </x:c>
      <x:c r="I325" t="str">
        <x:f>IF(E325=F325,"PASS","FAIL")</x:f>
        <x:v>PASS</x:v>
      </x:c>
    </x:row>
    <x:row r="326">
      <x:c r="B326" t="str">
        <x:v>PL-SEV-049</x:v>
      </x:c>
      <x:c r="C326" t="str">
        <x:v>planning</x:v>
      </x:c>
      <x:c r="D326" t="str">
        <x:v>support event assignment</x:v>
      </x:c>
      <x:c r="E326" t="str">
        <x:v>PASS</x:v>
      </x:c>
      <x:c r="F326" t="str">
        <x:f>'Support Events'!M55</x:f>
        <x:v>PASS</x:v>
      </x:c>
      <x:c r="G326" t="str">
        <x:v>'Support Events'!M55</x:v>
      </x:c>
      <x:c r="H326" t="str">
        <x:v>planning constitution</x:v>
      </x:c>
      <x:c r="I326" t="str">
        <x:f>IF(E326=F326,"PASS","FAIL")</x:f>
        <x:v>PASS</x:v>
      </x:c>
    </x:row>
    <x:row r="327">
      <x:c r="B327" t="str">
        <x:v>PL-SEV-050</x:v>
      </x:c>
      <x:c r="C327" t="str">
        <x:v>planning</x:v>
      </x:c>
      <x:c r="D327" t="str">
        <x:v>support event assignment</x:v>
      </x:c>
      <x:c r="E327" t="str">
        <x:v>PASS</x:v>
      </x:c>
      <x:c r="F327" t="str">
        <x:f>'Support Events'!M56</x:f>
        <x:v>PASS</x:v>
      </x:c>
      <x:c r="G327" t="str">
        <x:v>'Support Events'!M56</x:v>
      </x:c>
      <x:c r="H327" t="str">
        <x:v>planning constitution</x:v>
      </x:c>
      <x:c r="I327" t="str">
        <x:f>IF(E327=F327,"PASS","FAIL")</x:f>
        <x:v>PASS</x:v>
      </x:c>
    </x:row>
    <x:row r="328">
      <x:c r="B328" t="str">
        <x:v>PL-SEV-051</x:v>
      </x:c>
      <x:c r="C328" t="str">
        <x:v>planning</x:v>
      </x:c>
      <x:c r="D328" t="str">
        <x:v>support event assignment</x:v>
      </x:c>
      <x:c r="E328" t="str">
        <x:v>PASS</x:v>
      </x:c>
      <x:c r="F328" t="str">
        <x:f>'Support Events'!M57</x:f>
        <x:v>PASS</x:v>
      </x:c>
      <x:c r="G328" t="str">
        <x:v>'Support Events'!M57</x:v>
      </x:c>
      <x:c r="H328" t="str">
        <x:v>planning constitution</x:v>
      </x:c>
      <x:c r="I328" t="str">
        <x:f>IF(E328=F328,"PASS","FAIL")</x:f>
        <x:v>PASS</x:v>
      </x:c>
    </x:row>
    <x:row r="329">
      <x:c r="B329" t="str">
        <x:v>PL-SEV-052</x:v>
      </x:c>
      <x:c r="C329" t="str">
        <x:v>planning</x:v>
      </x:c>
      <x:c r="D329" t="str">
        <x:v>support event assignment</x:v>
      </x:c>
      <x:c r="E329" t="str">
        <x:v>PASS</x:v>
      </x:c>
      <x:c r="F329" t="str">
        <x:f>'Support Events'!M58</x:f>
        <x:v>PASS</x:v>
      </x:c>
      <x:c r="G329" t="str">
        <x:v>'Support Events'!M58</x:v>
      </x:c>
      <x:c r="H329" t="str">
        <x:v>planning constitution</x:v>
      </x:c>
      <x:c r="I329" t="str">
        <x:f>IF(E329=F329,"PASS","FAIL")</x:f>
        <x:v>PASS</x:v>
      </x:c>
    </x:row>
    <x:row r="330">
      <x:c r="B330" t="str">
        <x:v>PL-SEV-053</x:v>
      </x:c>
      <x:c r="C330" t="str">
        <x:v>planning</x:v>
      </x:c>
      <x:c r="D330" t="str">
        <x:v>support event assignment</x:v>
      </x:c>
      <x:c r="E330" t="str">
        <x:v>PASS</x:v>
      </x:c>
      <x:c r="F330" t="str">
        <x:f>'Support Events'!M59</x:f>
        <x:v>PASS</x:v>
      </x:c>
      <x:c r="G330" t="str">
        <x:v>'Support Events'!M59</x:v>
      </x:c>
      <x:c r="H330" t="str">
        <x:v>planning constitution</x:v>
      </x:c>
      <x:c r="I330" t="str">
        <x:f>IF(E330=F330,"PASS","FAIL")</x:f>
        <x:v>PASS</x:v>
      </x:c>
    </x:row>
    <x:row r="331">
      <x:c r="B331" t="str">
        <x:v>PL-SEV-054</x:v>
      </x:c>
      <x:c r="C331" t="str">
        <x:v>planning</x:v>
      </x:c>
      <x:c r="D331" t="str">
        <x:v>support event assignment</x:v>
      </x:c>
      <x:c r="E331" t="str">
        <x:v>PASS</x:v>
      </x:c>
      <x:c r="F331" t="str">
        <x:f>'Support Events'!M60</x:f>
        <x:v>PASS</x:v>
      </x:c>
      <x:c r="G331" t="str">
        <x:v>'Support Events'!M60</x:v>
      </x:c>
      <x:c r="H331" t="str">
        <x:v>planning constitution</x:v>
      </x:c>
      <x:c r="I331" t="str">
        <x:f>IF(E331=F331,"PASS","FAIL")</x:f>
        <x:v>PASS</x:v>
      </x:c>
    </x:row>
    <x:row r="332">
      <x:c r="B332" t="str">
        <x:v>PL-SEV-055</x:v>
      </x:c>
      <x:c r="C332" t="str">
        <x:v>planning</x:v>
      </x:c>
      <x:c r="D332" t="str">
        <x:v>support event assignment</x:v>
      </x:c>
      <x:c r="E332" t="str">
        <x:v>PASS</x:v>
      </x:c>
      <x:c r="F332" t="str">
        <x:f>'Support Events'!M61</x:f>
        <x:v>PASS</x:v>
      </x:c>
      <x:c r="G332" t="str">
        <x:v>'Support Events'!M61</x:v>
      </x:c>
      <x:c r="H332" t="str">
        <x:v>planning constitution</x:v>
      </x:c>
      <x:c r="I332" t="str">
        <x:f>IF(E332=F332,"PASS","FAIL")</x:f>
        <x:v>PASS</x:v>
      </x:c>
    </x:row>
    <x:row r="333">
      <x:c r="B333" t="str">
        <x:v>PL-SEV-056</x:v>
      </x:c>
      <x:c r="C333" t="str">
        <x:v>planning</x:v>
      </x:c>
      <x:c r="D333" t="str">
        <x:v>support event assignment</x:v>
      </x:c>
      <x:c r="E333" t="str">
        <x:v>PASS</x:v>
      </x:c>
      <x:c r="F333" t="str">
        <x:f>'Support Events'!M62</x:f>
        <x:v>PASS</x:v>
      </x:c>
      <x:c r="G333" t="str">
        <x:v>'Support Events'!M62</x:v>
      </x:c>
      <x:c r="H333" t="str">
        <x:v>planning constitution</x:v>
      </x:c>
      <x:c r="I333" t="str">
        <x:f>IF(E333=F333,"PASS","FAIL")</x:f>
        <x:v>PASS</x:v>
      </x:c>
    </x:row>
    <x:row r="334">
      <x:c r="B334" t="str">
        <x:v>PL-SEV-057</x:v>
      </x:c>
      <x:c r="C334" t="str">
        <x:v>planning</x:v>
      </x:c>
      <x:c r="D334" t="str">
        <x:v>support event assignment</x:v>
      </x:c>
      <x:c r="E334" t="str">
        <x:v>PASS</x:v>
      </x:c>
      <x:c r="F334" t="str">
        <x:f>'Support Events'!M63</x:f>
        <x:v>PASS</x:v>
      </x:c>
      <x:c r="G334" t="str">
        <x:v>'Support Events'!M63</x:v>
      </x:c>
      <x:c r="H334" t="str">
        <x:v>planning constitution</x:v>
      </x:c>
      <x:c r="I334" t="str">
        <x:f>IF(E334=F334,"PASS","FAIL")</x:f>
        <x:v>PASS</x:v>
      </x:c>
    </x:row>
    <x:row r="335">
      <x:c r="B335" t="str">
        <x:v>PL-SEV-058</x:v>
      </x:c>
      <x:c r="C335" t="str">
        <x:v>planning</x:v>
      </x:c>
      <x:c r="D335" t="str">
        <x:v>support event assignment</x:v>
      </x:c>
      <x:c r="E335" t="str">
        <x:v>PASS</x:v>
      </x:c>
      <x:c r="F335" t="str">
        <x:f>'Support Events'!M64</x:f>
        <x:v>PASS</x:v>
      </x:c>
      <x:c r="G335" t="str">
        <x:v>'Support Events'!M64</x:v>
      </x:c>
      <x:c r="H335" t="str">
        <x:v>planning constitution</x:v>
      </x:c>
      <x:c r="I335" t="str">
        <x:f>IF(E335=F335,"PASS","FAIL")</x:f>
        <x:v>PASS</x:v>
      </x:c>
    </x:row>
    <x:row r="336">
      <x:c r="B336" t="str">
        <x:v>PL-SEV-059</x:v>
      </x:c>
      <x:c r="C336" t="str">
        <x:v>planning</x:v>
      </x:c>
      <x:c r="D336" t="str">
        <x:v>support event assignment</x:v>
      </x:c>
      <x:c r="E336" t="str">
        <x:v>PASS</x:v>
      </x:c>
      <x:c r="F336" t="str">
        <x:f>'Support Events'!M65</x:f>
        <x:v>PASS</x:v>
      </x:c>
      <x:c r="G336" t="str">
        <x:v>'Support Events'!M65</x:v>
      </x:c>
      <x:c r="H336" t="str">
        <x:v>planning constitution</x:v>
      </x:c>
      <x:c r="I336" t="str">
        <x:f>IF(E336=F336,"PASS","FAIL")</x:f>
        <x:v>PASS</x:v>
      </x:c>
    </x:row>
    <x:row r="337">
      <x:c r="B337" t="str">
        <x:v>PL-SEV-060</x:v>
      </x:c>
      <x:c r="C337" t="str">
        <x:v>planning</x:v>
      </x:c>
      <x:c r="D337" t="str">
        <x:v>support event assignment</x:v>
      </x:c>
      <x:c r="E337" t="str">
        <x:v>PASS</x:v>
      </x:c>
      <x:c r="F337" t="str">
        <x:f>'Support Events'!M66</x:f>
        <x:v>PASS</x:v>
      </x:c>
      <x:c r="G337" t="str">
        <x:v>'Support Events'!M66</x:v>
      </x:c>
      <x:c r="H337" t="str">
        <x:v>planning constitution</x:v>
      </x:c>
      <x:c r="I337" t="str">
        <x:f>IF(E337=F337,"PASS","FAIL")</x:f>
        <x:v>PASS</x:v>
      </x:c>
    </x:row>
    <x:row r="338">
      <x:c r="B338" t="str">
        <x:v>PL-SEV-061</x:v>
      </x:c>
      <x:c r="C338" t="str">
        <x:v>planning</x:v>
      </x:c>
      <x:c r="D338" t="str">
        <x:v>support event assignment</x:v>
      </x:c>
      <x:c r="E338" t="str">
        <x:v>PASS</x:v>
      </x:c>
      <x:c r="F338" t="str">
        <x:f>'Support Events'!M67</x:f>
        <x:v>PASS</x:v>
      </x:c>
      <x:c r="G338" t="str">
        <x:v>'Support Events'!M67</x:v>
      </x:c>
      <x:c r="H338" t="str">
        <x:v>planning constitution</x:v>
      </x:c>
      <x:c r="I338" t="str">
        <x:f>IF(E338=F338,"PASS","FAIL")</x:f>
        <x:v>PASS</x:v>
      </x:c>
    </x:row>
    <x:row r="339">
      <x:c r="B339" t="str">
        <x:v>PL-SEV-062</x:v>
      </x:c>
      <x:c r="C339" t="str">
        <x:v>planning</x:v>
      </x:c>
      <x:c r="D339" t="str">
        <x:v>support event assignment</x:v>
      </x:c>
      <x:c r="E339" t="str">
        <x:v>PASS</x:v>
      </x:c>
      <x:c r="F339" t="str">
        <x:f>'Support Events'!M68</x:f>
        <x:v>PASS</x:v>
      </x:c>
      <x:c r="G339" t="str">
        <x:v>'Support Events'!M68</x:v>
      </x:c>
      <x:c r="H339" t="str">
        <x:v>planning constitution</x:v>
      </x:c>
      <x:c r="I339" t="str">
        <x:f>IF(E339=F339,"PASS","FAIL")</x:f>
        <x:v>PASS</x:v>
      </x:c>
    </x:row>
    <x:row r="340">
      <x:c r="B340" t="str">
        <x:v>PL-SEV-063</x:v>
      </x:c>
      <x:c r="C340" t="str">
        <x:v>planning</x:v>
      </x:c>
      <x:c r="D340" t="str">
        <x:v>support event assignment</x:v>
      </x:c>
      <x:c r="E340" t="str">
        <x:v>PASS</x:v>
      </x:c>
      <x:c r="F340" t="str">
        <x:f>'Support Events'!M69</x:f>
        <x:v>PASS</x:v>
      </x:c>
      <x:c r="G340" t="str">
        <x:v>'Support Events'!M69</x:v>
      </x:c>
      <x:c r="H340" t="str">
        <x:v>planning constitution</x:v>
      </x:c>
      <x:c r="I340" t="str">
        <x:f>IF(E340=F340,"PASS","FAIL")</x:f>
        <x:v>PASS</x:v>
      </x:c>
    </x:row>
    <x:row r="341">
      <x:c r="B341" t="str">
        <x:v>PL-SEV-064</x:v>
      </x:c>
      <x:c r="C341" t="str">
        <x:v>planning</x:v>
      </x:c>
      <x:c r="D341" t="str">
        <x:v>support event assignment</x:v>
      </x:c>
      <x:c r="E341" t="str">
        <x:v>PASS</x:v>
      </x:c>
      <x:c r="F341" t="str">
        <x:f>'Support Events'!M70</x:f>
        <x:v>PASS</x:v>
      </x:c>
      <x:c r="G341" t="str">
        <x:v>'Support Events'!M70</x:v>
      </x:c>
      <x:c r="H341" t="str">
        <x:v>planning constitution</x:v>
      </x:c>
      <x:c r="I341" t="str">
        <x:f>IF(E341=F341,"PASS","FAIL")</x:f>
        <x:v>PASS</x:v>
      </x:c>
    </x:row>
    <x:row r="342">
      <x:c r="B342" t="str">
        <x:v>PL-SEV-065</x:v>
      </x:c>
      <x:c r="C342" t="str">
        <x:v>planning</x:v>
      </x:c>
      <x:c r="D342" t="str">
        <x:v>support event assignment</x:v>
      </x:c>
      <x:c r="E342" t="str">
        <x:v>PASS</x:v>
      </x:c>
      <x:c r="F342" t="str">
        <x:f>'Support Events'!M71</x:f>
        <x:v>PASS</x:v>
      </x:c>
      <x:c r="G342" t="str">
        <x:v>'Support Events'!M71</x:v>
      </x:c>
      <x:c r="H342" t="str">
        <x:v>planning constitution</x:v>
      </x:c>
      <x:c r="I342" t="str">
        <x:f>IF(E342=F342,"PASS","FAIL")</x:f>
        <x:v>PASS</x:v>
      </x:c>
    </x:row>
    <x:row r="343">
      <x:c r="B343" t="str">
        <x:v>PL-SEV-066</x:v>
      </x:c>
      <x:c r="C343" t="str">
        <x:v>planning</x:v>
      </x:c>
      <x:c r="D343" t="str">
        <x:v>support event assignment</x:v>
      </x:c>
      <x:c r="E343" t="str">
        <x:v>PASS</x:v>
      </x:c>
      <x:c r="F343" t="str">
        <x:f>'Support Events'!M72</x:f>
        <x:v>PASS</x:v>
      </x:c>
      <x:c r="G343" t="str">
        <x:v>'Support Events'!M72</x:v>
      </x:c>
      <x:c r="H343" t="str">
        <x:v>planning constitution</x:v>
      </x:c>
      <x:c r="I343" t="str">
        <x:f>IF(E343=F343,"PASS","FAIL")</x:f>
        <x:v>PASS</x:v>
      </x:c>
    </x:row>
    <x:row r="344">
      <x:c r="B344" t="str">
        <x:v>PL-SEV-067</x:v>
      </x:c>
      <x:c r="C344" t="str">
        <x:v>planning</x:v>
      </x:c>
      <x:c r="D344" t="str">
        <x:v>support event assignment</x:v>
      </x:c>
      <x:c r="E344" t="str">
        <x:v>PASS</x:v>
      </x:c>
      <x:c r="F344" t="str">
        <x:f>'Support Events'!M73</x:f>
        <x:v>PASS</x:v>
      </x:c>
      <x:c r="G344" t="str">
        <x:v>'Support Events'!M73</x:v>
      </x:c>
      <x:c r="H344" t="str">
        <x:v>planning constitution</x:v>
      </x:c>
      <x:c r="I344" t="str">
        <x:f>IF(E344=F344,"PASS","FAIL")</x:f>
        <x:v>PASS</x:v>
      </x:c>
    </x:row>
    <x:row r="345">
      <x:c r="B345" t="str">
        <x:v>PL-SEV-068</x:v>
      </x:c>
      <x:c r="C345" t="str">
        <x:v>planning</x:v>
      </x:c>
      <x:c r="D345" t="str">
        <x:v>support event assignment</x:v>
      </x:c>
      <x:c r="E345" t="str">
        <x:v>PASS</x:v>
      </x:c>
      <x:c r="F345" t="str">
        <x:f>'Support Events'!M74</x:f>
        <x:v>PASS</x:v>
      </x:c>
      <x:c r="G345" t="str">
        <x:v>'Support Events'!M74</x:v>
      </x:c>
      <x:c r="H345" t="str">
        <x:v>planning constitution</x:v>
      </x:c>
      <x:c r="I345" t="str">
        <x:f>IF(E345=F345,"PASS","FAIL")</x:f>
        <x:v>PASS</x:v>
      </x:c>
    </x:row>
    <x:row r="346">
      <x:c r="B346" t="str">
        <x:v>PL-SEV-069</x:v>
      </x:c>
      <x:c r="C346" t="str">
        <x:v>planning</x:v>
      </x:c>
      <x:c r="D346" t="str">
        <x:v>support event assignment</x:v>
      </x:c>
      <x:c r="E346" t="str">
        <x:v>PASS</x:v>
      </x:c>
      <x:c r="F346" t="str">
        <x:f>'Support Events'!M75</x:f>
        <x:v>PASS</x:v>
      </x:c>
      <x:c r="G346" t="str">
        <x:v>'Support Events'!M75</x:v>
      </x:c>
      <x:c r="H346" t="str">
        <x:v>planning constitution</x:v>
      </x:c>
      <x:c r="I346" t="str">
        <x:f>IF(E346=F346,"PASS","FAIL")</x:f>
        <x:v>PASS</x:v>
      </x:c>
    </x:row>
    <x:row r="347">
      <x:c r="B347" t="str">
        <x:v>PL-SEV-070</x:v>
      </x:c>
      <x:c r="C347" t="str">
        <x:v>planning</x:v>
      </x:c>
      <x:c r="D347" t="str">
        <x:v>support event assignment</x:v>
      </x:c>
      <x:c r="E347" t="str">
        <x:v>PASS</x:v>
      </x:c>
      <x:c r="F347" t="str">
        <x:f>'Support Events'!M76</x:f>
        <x:v>PASS</x:v>
      </x:c>
      <x:c r="G347" t="str">
        <x:v>'Support Events'!M76</x:v>
      </x:c>
      <x:c r="H347" t="str">
        <x:v>planning constitution</x:v>
      </x:c>
      <x:c r="I347" t="str">
        <x:f>IF(E347=F347,"PASS","FAIL")</x:f>
        <x:v>PASS</x:v>
      </x:c>
    </x:row>
    <x:row r="348">
      <x:c r="B348" t="str">
        <x:v>PL-SEV-071</x:v>
      </x:c>
      <x:c r="C348" t="str">
        <x:v>planning</x:v>
      </x:c>
      <x:c r="D348" t="str">
        <x:v>support event assignment</x:v>
      </x:c>
      <x:c r="E348" t="str">
        <x:v>PASS</x:v>
      </x:c>
      <x:c r="F348" t="str">
        <x:f>'Support Events'!M77</x:f>
        <x:v>PASS</x:v>
      </x:c>
      <x:c r="G348" t="str">
        <x:v>'Support Events'!M77</x:v>
      </x:c>
      <x:c r="H348" t="str">
        <x:v>planning constitution</x:v>
      </x:c>
      <x:c r="I348" t="str">
        <x:f>IF(E348=F348,"PASS","FAIL")</x:f>
        <x:v>PASS</x:v>
      </x:c>
    </x:row>
    <x:row r="349">
      <x:c r="B349" t="str">
        <x:v>PL-SEV-072</x:v>
      </x:c>
      <x:c r="C349" t="str">
        <x:v>planning</x:v>
      </x:c>
      <x:c r="D349" t="str">
        <x:v>support event assignment</x:v>
      </x:c>
      <x:c r="E349" t="str">
        <x:v>PASS</x:v>
      </x:c>
      <x:c r="F349" t="str">
        <x:f>'Support Events'!M78</x:f>
        <x:v>PASS</x:v>
      </x:c>
      <x:c r="G349" t="str">
        <x:v>'Support Events'!M78</x:v>
      </x:c>
      <x:c r="H349" t="str">
        <x:v>planning constitution</x:v>
      </x:c>
      <x:c r="I349" t="str">
        <x:f>IF(E349=F349,"PASS","FAIL")</x:f>
        <x:v>PASS</x:v>
      </x:c>
    </x:row>
    <x:row r="350">
      <x:c r="B350" t="str">
        <x:v>PL-SEV-073</x:v>
      </x:c>
      <x:c r="C350" t="str">
        <x:v>planning</x:v>
      </x:c>
      <x:c r="D350" t="str">
        <x:v>support event assignment</x:v>
      </x:c>
      <x:c r="E350" t="str">
        <x:v>PASS</x:v>
      </x:c>
      <x:c r="F350" t="str">
        <x:f>'Support Events'!M79</x:f>
        <x:v>PASS</x:v>
      </x:c>
      <x:c r="G350" t="str">
        <x:v>'Support Events'!M79</x:v>
      </x:c>
      <x:c r="H350" t="str">
        <x:v>planning constitution</x:v>
      </x:c>
      <x:c r="I350" t="str">
        <x:f>IF(E350=F350,"PASS","FAIL")</x:f>
        <x:v>PASS</x:v>
      </x:c>
    </x:row>
    <x:row r="351">
      <x:c r="B351" t="str">
        <x:v>PL-SEV-074</x:v>
      </x:c>
      <x:c r="C351" t="str">
        <x:v>planning</x:v>
      </x:c>
      <x:c r="D351" t="str">
        <x:v>support event assignment</x:v>
      </x:c>
      <x:c r="E351" t="str">
        <x:v>PASS</x:v>
      </x:c>
      <x:c r="F351" t="str">
        <x:f>'Support Events'!M80</x:f>
        <x:v>PASS</x:v>
      </x:c>
      <x:c r="G351" t="str">
        <x:v>'Support Events'!M80</x:v>
      </x:c>
      <x:c r="H351" t="str">
        <x:v>planning constitution</x:v>
      </x:c>
      <x:c r="I351" t="str">
        <x:f>IF(E351=F351,"PASS","FAIL")</x:f>
        <x:v>PASS</x:v>
      </x:c>
    </x:row>
    <x:row r="352">
      <x:c r="B352" t="str">
        <x:v>PL-SEV-075</x:v>
      </x:c>
      <x:c r="C352" t="str">
        <x:v>planning</x:v>
      </x:c>
      <x:c r="D352" t="str">
        <x:v>support event assignment</x:v>
      </x:c>
      <x:c r="E352" t="str">
        <x:v>PASS</x:v>
      </x:c>
      <x:c r="F352" t="str">
        <x:f>'Support Events'!M81</x:f>
        <x:v>PASS</x:v>
      </x:c>
      <x:c r="G352" t="str">
        <x:v>'Support Events'!M81</x:v>
      </x:c>
      <x:c r="H352" t="str">
        <x:v>planning constitution</x:v>
      </x:c>
      <x:c r="I352" t="str">
        <x:f>IF(E352=F352,"PASS","FAIL")</x:f>
        <x:v>PASS</x:v>
      </x:c>
    </x:row>
    <x:row r="353">
      <x:c r="B353" t="str">
        <x:v>PL-SEV-076</x:v>
      </x:c>
      <x:c r="C353" t="str">
        <x:v>planning</x:v>
      </x:c>
      <x:c r="D353" t="str">
        <x:v>support event assignment</x:v>
      </x:c>
      <x:c r="E353" t="str">
        <x:v>PASS</x:v>
      </x:c>
      <x:c r="F353" t="str">
        <x:f>'Support Events'!M82</x:f>
        <x:v>PASS</x:v>
      </x:c>
      <x:c r="G353" t="str">
        <x:v>'Support Events'!M82</x:v>
      </x:c>
      <x:c r="H353" t="str">
        <x:v>planning constitution</x:v>
      </x:c>
      <x:c r="I353" t="str">
        <x:f>IF(E353=F353,"PASS","FAIL")</x:f>
        <x:v>PASS</x:v>
      </x:c>
    </x:row>
    <x:row r="354">
      <x:c r="B354" t="str">
        <x:v>PL-SEV-077</x:v>
      </x:c>
      <x:c r="C354" t="str">
        <x:v>planning</x:v>
      </x:c>
      <x:c r="D354" t="str">
        <x:v>support event assignment</x:v>
      </x:c>
      <x:c r="E354" t="str">
        <x:v>PASS</x:v>
      </x:c>
      <x:c r="F354" t="str">
        <x:f>'Support Events'!M83</x:f>
        <x:v>PASS</x:v>
      </x:c>
      <x:c r="G354" t="str">
        <x:v>'Support Events'!M83</x:v>
      </x:c>
      <x:c r="H354" t="str">
        <x:v>planning constitution</x:v>
      </x:c>
      <x:c r="I354" t="str">
        <x:f>IF(E354=F354,"PASS","FAIL")</x:f>
        <x:v>PASS</x:v>
      </x:c>
    </x:row>
    <x:row r="355">
      <x:c r="B355" t="str">
        <x:v>PL-SEV-078</x:v>
      </x:c>
      <x:c r="C355" t="str">
        <x:v>planning</x:v>
      </x:c>
      <x:c r="D355" t="str">
        <x:v>support event assignment</x:v>
      </x:c>
      <x:c r="E355" t="str">
        <x:v>PASS</x:v>
      </x:c>
      <x:c r="F355" t="str">
        <x:f>'Support Events'!M84</x:f>
        <x:v>PASS</x:v>
      </x:c>
      <x:c r="G355" t="str">
        <x:v>'Support Events'!M84</x:v>
      </x:c>
      <x:c r="H355" t="str">
        <x:v>planning constitution</x:v>
      </x:c>
      <x:c r="I355" t="str">
        <x:f>IF(E355=F355,"PASS","FAIL")</x:f>
        <x:v>PASS</x:v>
      </x:c>
    </x:row>
    <x:row r="356">
      <x:c r="B356" t="str">
        <x:v>PL-SEV-079</x:v>
      </x:c>
      <x:c r="C356" t="str">
        <x:v>planning</x:v>
      </x:c>
      <x:c r="D356" t="str">
        <x:v>support event assignment</x:v>
      </x:c>
      <x:c r="E356" t="str">
        <x:v>PASS</x:v>
      </x:c>
      <x:c r="F356" t="str">
        <x:f>'Support Events'!M85</x:f>
        <x:v>PASS</x:v>
      </x:c>
      <x:c r="G356" t="str">
        <x:v>'Support Events'!M85</x:v>
      </x:c>
      <x:c r="H356" t="str">
        <x:v>planning constitution</x:v>
      </x:c>
      <x:c r="I356" t="str">
        <x:f>IF(E356=F356,"PASS","FAIL")</x:f>
        <x:v>PASS</x:v>
      </x:c>
    </x:row>
    <x:row r="357">
      <x:c r="B357" t="str">
        <x:v>PL-SEV-080</x:v>
      </x:c>
      <x:c r="C357" t="str">
        <x:v>planning</x:v>
      </x:c>
      <x:c r="D357" t="str">
        <x:v>support event assignment</x:v>
      </x:c>
      <x:c r="E357" t="str">
        <x:v>PASS</x:v>
      </x:c>
      <x:c r="F357" t="str">
        <x:f>'Support Events'!M86</x:f>
        <x:v>PASS</x:v>
      </x:c>
      <x:c r="G357" t="str">
        <x:v>'Support Events'!M86</x:v>
      </x:c>
      <x:c r="H357" t="str">
        <x:v>planning constitution</x:v>
      </x:c>
      <x:c r="I357" t="str">
        <x:f>IF(E357=F357,"PASS","FAIL")</x:f>
        <x:v>PASS</x:v>
      </x:c>
    </x:row>
    <x:row r="358">
      <x:c r="B358" t="str">
        <x:v>PL-SEV-081</x:v>
      </x:c>
      <x:c r="C358" t="str">
        <x:v>planning</x:v>
      </x:c>
      <x:c r="D358" t="str">
        <x:v>support event assignment</x:v>
      </x:c>
      <x:c r="E358" t="str">
        <x:v>PASS</x:v>
      </x:c>
      <x:c r="F358" t="str">
        <x:f>'Support Events'!M87</x:f>
        <x:v>PASS</x:v>
      </x:c>
      <x:c r="G358" t="str">
        <x:v>'Support Events'!M87</x:v>
      </x:c>
      <x:c r="H358" t="str">
        <x:v>planning constitution</x:v>
      </x:c>
      <x:c r="I358" t="str">
        <x:f>IF(E358=F358,"PASS","FAIL")</x:f>
        <x:v>PASS</x:v>
      </x:c>
    </x:row>
    <x:row r="359">
      <x:c r="B359" t="str">
        <x:v>PL-SEV-082</x:v>
      </x:c>
      <x:c r="C359" t="str">
        <x:v>planning</x:v>
      </x:c>
      <x:c r="D359" t="str">
        <x:v>support event assignment</x:v>
      </x:c>
      <x:c r="E359" t="str">
        <x:v>PASS</x:v>
      </x:c>
      <x:c r="F359" t="str">
        <x:f>'Support Events'!M88</x:f>
        <x:v>PASS</x:v>
      </x:c>
      <x:c r="G359" t="str">
        <x:v>'Support Events'!M88</x:v>
      </x:c>
      <x:c r="H359" t="str">
        <x:v>planning constitution</x:v>
      </x:c>
      <x:c r="I359" t="str">
        <x:f>IF(E359=F359,"PASS","FAIL")</x:f>
        <x:v>PASS</x:v>
      </x:c>
    </x:row>
    <x:row r="360">
      <x:c r="B360" t="str">
        <x:v>PL-SEV-083</x:v>
      </x:c>
      <x:c r="C360" t="str">
        <x:v>planning</x:v>
      </x:c>
      <x:c r="D360" t="str">
        <x:v>support event assignment</x:v>
      </x:c>
      <x:c r="E360" t="str">
        <x:v>PASS</x:v>
      </x:c>
      <x:c r="F360" t="str">
        <x:f>'Support Events'!M89</x:f>
        <x:v>PASS</x:v>
      </x:c>
      <x:c r="G360" t="str">
        <x:v>'Support Events'!M89</x:v>
      </x:c>
      <x:c r="H360" t="str">
        <x:v>planning constitution</x:v>
      </x:c>
      <x:c r="I360" t="str">
        <x:f>IF(E360=F360,"PASS","FAIL")</x:f>
        <x:v>PASS</x:v>
      </x:c>
    </x:row>
    <x:row r="361">
      <x:c r="B361" t="str">
        <x:v>PL-SEV-084</x:v>
      </x:c>
      <x:c r="C361" t="str">
        <x:v>planning</x:v>
      </x:c>
      <x:c r="D361" t="str">
        <x:v>support event assignment</x:v>
      </x:c>
      <x:c r="E361" t="str">
        <x:v>PASS</x:v>
      </x:c>
      <x:c r="F361" t="str">
        <x:f>'Support Events'!M90</x:f>
        <x:v>PASS</x:v>
      </x:c>
      <x:c r="G361" t="str">
        <x:v>'Support Events'!M90</x:v>
      </x:c>
      <x:c r="H361" t="str">
        <x:v>planning constitution</x:v>
      </x:c>
      <x:c r="I361" t="str">
        <x:f>IF(E361=F361,"PASS","FAIL")</x:f>
        <x:v>PASS</x:v>
      </x:c>
    </x:row>
    <x:row r="362">
      <x:c r="B362" t="str">
        <x:v>PL-SEV-085</x:v>
      </x:c>
      <x:c r="C362" t="str">
        <x:v>planning</x:v>
      </x:c>
      <x:c r="D362" t="str">
        <x:v>support event assignment</x:v>
      </x:c>
      <x:c r="E362" t="str">
        <x:v>PASS</x:v>
      </x:c>
      <x:c r="F362" t="str">
        <x:f>'Support Events'!M91</x:f>
        <x:v>PASS</x:v>
      </x:c>
      <x:c r="G362" t="str">
        <x:v>'Support Events'!M91</x:v>
      </x:c>
      <x:c r="H362" t="str">
        <x:v>planning constitution</x:v>
      </x:c>
      <x:c r="I362" t="str">
        <x:f>IF(E362=F362,"PASS","FAIL")</x:f>
        <x:v>PASS</x:v>
      </x:c>
    </x:row>
    <x:row r="363">
      <x:c r="B363" t="str">
        <x:v>PL-SEV-086</x:v>
      </x:c>
      <x:c r="C363" t="str">
        <x:v>planning</x:v>
      </x:c>
      <x:c r="D363" t="str">
        <x:v>support event assignment</x:v>
      </x:c>
      <x:c r="E363" t="str">
        <x:v>PASS</x:v>
      </x:c>
      <x:c r="F363" t="str">
        <x:f>'Support Events'!M92</x:f>
        <x:v>PASS</x:v>
      </x:c>
      <x:c r="G363" t="str">
        <x:v>'Support Events'!M92</x:v>
      </x:c>
      <x:c r="H363" t="str">
        <x:v>planning constitution</x:v>
      </x:c>
      <x:c r="I363" t="str">
        <x:f>IF(E363=F363,"PASS","FAIL")</x:f>
        <x:v>PASS</x:v>
      </x:c>
    </x:row>
    <x:row r="364">
      <x:c r="B364" t="str">
        <x:v>PL-SEV-087</x:v>
      </x:c>
      <x:c r="C364" t="str">
        <x:v>planning</x:v>
      </x:c>
      <x:c r="D364" t="str">
        <x:v>support event assignment</x:v>
      </x:c>
      <x:c r="E364" t="str">
        <x:v>PASS</x:v>
      </x:c>
      <x:c r="F364" t="str">
        <x:f>'Support Events'!M93</x:f>
        <x:v>PASS</x:v>
      </x:c>
      <x:c r="G364" t="str">
        <x:v>'Support Events'!M93</x:v>
      </x:c>
      <x:c r="H364" t="str">
        <x:v>planning constitution</x:v>
      </x:c>
      <x:c r="I364" t="str">
        <x:f>IF(E364=F364,"PASS","FAIL")</x:f>
        <x:v>PASS</x:v>
      </x:c>
    </x:row>
    <x:row r="365">
      <x:c r="B365" t="str">
        <x:v>PL-SEV-088</x:v>
      </x:c>
      <x:c r="C365" t="str">
        <x:v>planning</x:v>
      </x:c>
      <x:c r="D365" t="str">
        <x:v>support event assignment</x:v>
      </x:c>
      <x:c r="E365" t="str">
        <x:v>PASS</x:v>
      </x:c>
      <x:c r="F365" t="str">
        <x:f>'Support Events'!M94</x:f>
        <x:v>PASS</x:v>
      </x:c>
      <x:c r="G365" t="str">
        <x:v>'Support Events'!M94</x:v>
      </x:c>
      <x:c r="H365" t="str">
        <x:v>planning constitution</x:v>
      </x:c>
      <x:c r="I365" t="str">
        <x:f>IF(E365=F365,"PASS","FAIL")</x:f>
        <x:v>PASS</x:v>
      </x:c>
    </x:row>
    <x:row r="366">
      <x:c r="B366" t="str">
        <x:v>PL-SEV-089</x:v>
      </x:c>
      <x:c r="C366" t="str">
        <x:v>planning</x:v>
      </x:c>
      <x:c r="D366" t="str">
        <x:v>support event assignment</x:v>
      </x:c>
      <x:c r="E366" t="str">
        <x:v>PASS</x:v>
      </x:c>
      <x:c r="F366" t="str">
        <x:f>'Support Events'!M95</x:f>
        <x:v>PASS</x:v>
      </x:c>
      <x:c r="G366" t="str">
        <x:v>'Support Events'!M95</x:v>
      </x:c>
      <x:c r="H366" t="str">
        <x:v>planning constitution</x:v>
      </x:c>
      <x:c r="I366" t="str">
        <x:f>IF(E366=F366,"PASS","FAIL")</x:f>
        <x:v>PASS</x:v>
      </x:c>
    </x:row>
    <x:row r="367">
      <x:c r="B367" t="str">
        <x:v>PL-SEV-090</x:v>
      </x:c>
      <x:c r="C367" t="str">
        <x:v>planning</x:v>
      </x:c>
      <x:c r="D367" t="str">
        <x:v>support event assignment</x:v>
      </x:c>
      <x:c r="E367" t="str">
        <x:v>PASS</x:v>
      </x:c>
      <x:c r="F367" t="str">
        <x:f>'Support Events'!M96</x:f>
        <x:v>PASS</x:v>
      </x:c>
      <x:c r="G367" t="str">
        <x:v>'Support Events'!M96</x:v>
      </x:c>
      <x:c r="H367" t="str">
        <x:v>planning constitution</x:v>
      </x:c>
      <x:c r="I367" t="str">
        <x:f>IF(E367=F367,"PASS","FAIL")</x:f>
        <x:v>PASS</x:v>
      </x:c>
    </x:row>
    <x:row r="368">
      <x:c r="B368" t="str">
        <x:v>PL-SEV-091</x:v>
      </x:c>
      <x:c r="C368" t="str">
        <x:v>planning</x:v>
      </x:c>
      <x:c r="D368" t="str">
        <x:v>support event assignment</x:v>
      </x:c>
      <x:c r="E368" t="str">
        <x:v>PASS</x:v>
      </x:c>
      <x:c r="F368" t="str">
        <x:f>'Support Events'!M97</x:f>
        <x:v>PASS</x:v>
      </x:c>
      <x:c r="G368" t="str">
        <x:v>'Support Events'!M97</x:v>
      </x:c>
      <x:c r="H368" t="str">
        <x:v>planning constitution</x:v>
      </x:c>
      <x:c r="I368" t="str">
        <x:f>IF(E368=F368,"PASS","FAIL")</x:f>
        <x:v>PASS</x:v>
      </x:c>
    </x:row>
    <x:row r="369">
      <x:c r="B369" t="str">
        <x:v>PL-SEV-092</x:v>
      </x:c>
      <x:c r="C369" t="str">
        <x:v>planning</x:v>
      </x:c>
      <x:c r="D369" t="str">
        <x:v>support event assignment</x:v>
      </x:c>
      <x:c r="E369" t="str">
        <x:v>PASS</x:v>
      </x:c>
      <x:c r="F369" t="str">
        <x:f>'Support Events'!M98</x:f>
        <x:v>PASS</x:v>
      </x:c>
      <x:c r="G369" t="str">
        <x:v>'Support Events'!M98</x:v>
      </x:c>
      <x:c r="H369" t="str">
        <x:v>planning constitution</x:v>
      </x:c>
      <x:c r="I369" t="str">
        <x:f>IF(E369=F369,"PASS","FAIL")</x:f>
        <x:v>PASS</x:v>
      </x:c>
    </x:row>
    <x:row r="370">
      <x:c r="B370" t="str">
        <x:v>PL-SEV-093</x:v>
      </x:c>
      <x:c r="C370" t="str">
        <x:v>planning</x:v>
      </x:c>
      <x:c r="D370" t="str">
        <x:v>support event assignment</x:v>
      </x:c>
      <x:c r="E370" t="str">
        <x:v>PASS</x:v>
      </x:c>
      <x:c r="F370" t="str">
        <x:f>'Support Events'!M99</x:f>
        <x:v>PASS</x:v>
      </x:c>
      <x:c r="G370" t="str">
        <x:v>'Support Events'!M99</x:v>
      </x:c>
      <x:c r="H370" t="str">
        <x:v>planning constitution</x:v>
      </x:c>
      <x:c r="I370" t="str">
        <x:f>IF(E370=F370,"PASS","FAIL")</x:f>
        <x:v>PASS</x:v>
      </x:c>
    </x:row>
    <x:row r="371">
      <x:c r="B371" t="str">
        <x:v>PL-SEV-094</x:v>
      </x:c>
      <x:c r="C371" t="str">
        <x:v>planning</x:v>
      </x:c>
      <x:c r="D371" t="str">
        <x:v>support event assignment</x:v>
      </x:c>
      <x:c r="E371" t="str">
        <x:v>PASS</x:v>
      </x:c>
      <x:c r="F371" t="str">
        <x:f>'Support Events'!M100</x:f>
        <x:v>PASS</x:v>
      </x:c>
      <x:c r="G371" t="str">
        <x:v>'Support Events'!M100</x:v>
      </x:c>
      <x:c r="H371" t="str">
        <x:v>planning constitution</x:v>
      </x:c>
      <x:c r="I371" t="str">
        <x:f>IF(E371=F371,"PASS","FAIL")</x:f>
        <x:v>PASS</x:v>
      </x:c>
    </x:row>
    <x:row r="372">
      <x:c r="B372" t="str">
        <x:v>PL-SEV-095</x:v>
      </x:c>
      <x:c r="C372" t="str">
        <x:v>planning</x:v>
      </x:c>
      <x:c r="D372" t="str">
        <x:v>support event assignment</x:v>
      </x:c>
      <x:c r="E372" t="str">
        <x:v>PASS</x:v>
      </x:c>
      <x:c r="F372" t="str">
        <x:f>'Support Events'!M101</x:f>
        <x:v>PASS</x:v>
      </x:c>
      <x:c r="G372" t="str">
        <x:v>'Support Events'!M101</x:v>
      </x:c>
      <x:c r="H372" t="str">
        <x:v>planning constitution</x:v>
      </x:c>
      <x:c r="I372" t="str">
        <x:f>IF(E372=F372,"PASS","FAIL")</x:f>
        <x:v>PASS</x:v>
      </x:c>
    </x:row>
    <x:row r="373">
      <x:c r="B373" t="str">
        <x:v>PL-SEV-096</x:v>
      </x:c>
      <x:c r="C373" t="str">
        <x:v>planning</x:v>
      </x:c>
      <x:c r="D373" t="str">
        <x:v>support event assignment</x:v>
      </x:c>
      <x:c r="E373" t="str">
        <x:v>PASS</x:v>
      </x:c>
      <x:c r="F373" t="str">
        <x:f>'Support Events'!M102</x:f>
        <x:v>PASS</x:v>
      </x:c>
      <x:c r="G373" t="str">
        <x:v>'Support Events'!M102</x:v>
      </x:c>
      <x:c r="H373" t="str">
        <x:v>planning constitution</x:v>
      </x:c>
      <x:c r="I373" t="str">
        <x:f>IF(E373=F373,"PASS","FAIL")</x:f>
        <x:v>PASS</x:v>
      </x:c>
    </x:row>
    <x:row r="374">
      <x:c r="B374" t="str">
        <x:v>PL-SEV-097</x:v>
      </x:c>
      <x:c r="C374" t="str">
        <x:v>planning</x:v>
      </x:c>
      <x:c r="D374" t="str">
        <x:v>support event assignment</x:v>
      </x:c>
      <x:c r="E374" t="str">
        <x:v>PASS</x:v>
      </x:c>
      <x:c r="F374" t="str">
        <x:f>'Support Events'!M103</x:f>
        <x:v>PASS</x:v>
      </x:c>
      <x:c r="G374" t="str">
        <x:v>'Support Events'!M103</x:v>
      </x:c>
      <x:c r="H374" t="str">
        <x:v>planning constitution</x:v>
      </x:c>
      <x:c r="I374" t="str">
        <x:f>IF(E374=F374,"PASS","FAIL")</x:f>
        <x:v>PASS</x:v>
      </x:c>
    </x:row>
    <x:row r="375">
      <x:c r="B375" t="str">
        <x:v>PL-SEV-098</x:v>
      </x:c>
      <x:c r="C375" t="str">
        <x:v>planning</x:v>
      </x:c>
      <x:c r="D375" t="str">
        <x:v>support event assignment</x:v>
      </x:c>
      <x:c r="E375" t="str">
        <x:v>PASS</x:v>
      </x:c>
      <x:c r="F375" t="str">
        <x:f>'Support Events'!M104</x:f>
        <x:v>PASS</x:v>
      </x:c>
      <x:c r="G375" t="str">
        <x:v>'Support Events'!M104</x:v>
      </x:c>
      <x:c r="H375" t="str">
        <x:v>planning constitution</x:v>
      </x:c>
      <x:c r="I375" t="str">
        <x:f>IF(E375=F375,"PASS","FAIL")</x:f>
        <x:v>PASS</x:v>
      </x:c>
    </x:row>
    <x:row r="376">
      <x:c r="B376" t="str">
        <x:v>PL-SEV-099</x:v>
      </x:c>
      <x:c r="C376" t="str">
        <x:v>planning</x:v>
      </x:c>
      <x:c r="D376" t="str">
        <x:v>support event assignment</x:v>
      </x:c>
      <x:c r="E376" t="str">
        <x:v>PASS</x:v>
      </x:c>
      <x:c r="F376" t="str">
        <x:f>'Support Events'!M105</x:f>
        <x:v>PASS</x:v>
      </x:c>
      <x:c r="G376" t="str">
        <x:v>'Support Events'!M105</x:v>
      </x:c>
      <x:c r="H376" t="str">
        <x:v>planning constitution</x:v>
      </x:c>
      <x:c r="I376" t="str">
        <x:f>IF(E376=F376,"PASS","FAIL")</x:f>
        <x:v>PASS</x:v>
      </x:c>
    </x:row>
    <x:row r="377">
      <x:c r="B377" t="str">
        <x:v>PL-SEV-100</x:v>
      </x:c>
      <x:c r="C377" t="str">
        <x:v>planning</x:v>
      </x:c>
      <x:c r="D377" t="str">
        <x:v>support event assignment</x:v>
      </x:c>
      <x:c r="E377" t="str">
        <x:v>PASS</x:v>
      </x:c>
      <x:c r="F377" t="str">
        <x:f>'Support Events'!M106</x:f>
        <x:v>PASS</x:v>
      </x:c>
      <x:c r="G377" t="str">
        <x:v>'Support Events'!M106</x:v>
      </x:c>
      <x:c r="H377" t="str">
        <x:v>planning constitution</x:v>
      </x:c>
      <x:c r="I377" t="str">
        <x:f>IF(E377=F377,"PASS","FAIL")</x:f>
        <x:v>PASS</x:v>
      </x:c>
    </x:row>
    <x:row r="378">
      <x:c r="B378" t="str">
        <x:v>PL-SEV-101</x:v>
      </x:c>
      <x:c r="C378" t="str">
        <x:v>planning</x:v>
      </x:c>
      <x:c r="D378" t="str">
        <x:v>support event assignment</x:v>
      </x:c>
      <x:c r="E378" t="str">
        <x:v>PASS</x:v>
      </x:c>
      <x:c r="F378" t="str">
        <x:f>'Support Events'!M107</x:f>
        <x:v>PASS</x:v>
      </x:c>
      <x:c r="G378" t="str">
        <x:v>'Support Events'!M107</x:v>
      </x:c>
      <x:c r="H378" t="str">
        <x:v>planning constitution</x:v>
      </x:c>
      <x:c r="I378" t="str">
        <x:f>IF(E378=F378,"PASS","FAIL")</x:f>
        <x:v>PASS</x:v>
      </x:c>
    </x:row>
    <x:row r="379">
      <x:c r="B379" t="str">
        <x:v>PL-SEV-102</x:v>
      </x:c>
      <x:c r="C379" t="str">
        <x:v>planning</x:v>
      </x:c>
      <x:c r="D379" t="str">
        <x:v>support event assignment</x:v>
      </x:c>
      <x:c r="E379" t="str">
        <x:v>PASS</x:v>
      </x:c>
      <x:c r="F379" t="str">
        <x:f>'Support Events'!M108</x:f>
        <x:v>PASS</x:v>
      </x:c>
      <x:c r="G379" t="str">
        <x:v>'Support Events'!M108</x:v>
      </x:c>
      <x:c r="H379" t="str">
        <x:v>planning constitution</x:v>
      </x:c>
      <x:c r="I379" t="str">
        <x:f>IF(E379=F379,"PASS","FAIL")</x:f>
        <x:v>PASS</x:v>
      </x:c>
    </x:row>
    <x:row r="380">
      <x:c r="B380" t="str">
        <x:v>PL-SEV-103</x:v>
      </x:c>
      <x:c r="C380" t="str">
        <x:v>planning</x:v>
      </x:c>
      <x:c r="D380" t="str">
        <x:v>support event assignment</x:v>
      </x:c>
      <x:c r="E380" t="str">
        <x:v>PASS</x:v>
      </x:c>
      <x:c r="F380" t="str">
        <x:f>'Support Events'!M109</x:f>
        <x:v>PASS</x:v>
      </x:c>
      <x:c r="G380" t="str">
        <x:v>'Support Events'!M109</x:v>
      </x:c>
      <x:c r="H380" t="str">
        <x:v>planning constitution</x:v>
      </x:c>
      <x:c r="I380" t="str">
        <x:f>IF(E380=F380,"PASS","FAIL")</x:f>
        <x:v>PASS</x:v>
      </x:c>
    </x:row>
    <x:row r="381">
      <x:c r="B381" t="str">
        <x:v>PL-SEV-104</x:v>
      </x:c>
      <x:c r="C381" t="str">
        <x:v>planning</x:v>
      </x:c>
      <x:c r="D381" t="str">
        <x:v>support event assignment</x:v>
      </x:c>
      <x:c r="E381" t="str">
        <x:v>PASS</x:v>
      </x:c>
      <x:c r="F381" t="str">
        <x:f>'Support Events'!M110</x:f>
        <x:v>PASS</x:v>
      </x:c>
      <x:c r="G381" t="str">
        <x:v>'Support Events'!M110</x:v>
      </x:c>
      <x:c r="H381" t="str">
        <x:v>planning constitution</x:v>
      </x:c>
      <x:c r="I381" t="str">
        <x:f>IF(E381=F381,"PASS","FAIL")</x:f>
        <x:v>PASS</x:v>
      </x:c>
    </x:row>
    <x:row r="382">
      <x:c r="B382" t="str">
        <x:v>PL-SEV-105</x:v>
      </x:c>
      <x:c r="C382" t="str">
        <x:v>planning</x:v>
      </x:c>
      <x:c r="D382" t="str">
        <x:v>support event assignment</x:v>
      </x:c>
      <x:c r="E382" t="str">
        <x:v>PASS</x:v>
      </x:c>
      <x:c r="F382" t="str">
        <x:f>'Support Events'!M111</x:f>
        <x:v>PASS</x:v>
      </x:c>
      <x:c r="G382" t="str">
        <x:v>'Support Events'!M111</x:v>
      </x:c>
      <x:c r="H382" t="str">
        <x:v>planning constitution</x:v>
      </x:c>
      <x:c r="I382" t="str">
        <x:f>IF(E382=F382,"PASS","FAIL")</x:f>
        <x:v>PASS</x:v>
      </x:c>
    </x:row>
    <x:row r="383">
      <x:c r="B383" t="str">
        <x:v>PL-SEV-106</x:v>
      </x:c>
      <x:c r="C383" t="str">
        <x:v>planning</x:v>
      </x:c>
      <x:c r="D383" t="str">
        <x:v>support event assignment</x:v>
      </x:c>
      <x:c r="E383" t="str">
        <x:v>PASS</x:v>
      </x:c>
      <x:c r="F383" t="str">
        <x:f>'Support Events'!M112</x:f>
        <x:v>PASS</x:v>
      </x:c>
      <x:c r="G383" t="str">
        <x:v>'Support Events'!M112</x:v>
      </x:c>
      <x:c r="H383" t="str">
        <x:v>planning constitution</x:v>
      </x:c>
      <x:c r="I383" t="str">
        <x:f>IF(E383=F383,"PASS","FAIL")</x:f>
        <x:v>PASS</x:v>
      </x:c>
    </x:row>
    <x:row r="384">
      <x:c r="B384" t="str">
        <x:v>PL-SEV-107</x:v>
      </x:c>
      <x:c r="C384" t="str">
        <x:v>planning</x:v>
      </x:c>
      <x:c r="D384" t="str">
        <x:v>support event assignment</x:v>
      </x:c>
      <x:c r="E384" t="str">
        <x:v>PASS</x:v>
      </x:c>
      <x:c r="F384" t="str">
        <x:f>'Support Events'!M113</x:f>
        <x:v>PASS</x:v>
      </x:c>
      <x:c r="G384" t="str">
        <x:v>'Support Events'!M113</x:v>
      </x:c>
      <x:c r="H384" t="str">
        <x:v>planning constitution</x:v>
      </x:c>
      <x:c r="I384" t="str">
        <x:f>IF(E384=F384,"PASS","FAIL")</x:f>
        <x:v>PASS</x:v>
      </x:c>
    </x:row>
    <x:row r="385">
      <x:c r="B385" t="str">
        <x:v>PL-SEV-108</x:v>
      </x:c>
      <x:c r="C385" t="str">
        <x:v>planning</x:v>
      </x:c>
      <x:c r="D385" t="str">
        <x:v>support event assignment</x:v>
      </x:c>
      <x:c r="E385" t="str">
        <x:v>PASS</x:v>
      </x:c>
      <x:c r="F385" t="str">
        <x:f>'Support Events'!M114</x:f>
        <x:v>PASS</x:v>
      </x:c>
      <x:c r="G385" t="str">
        <x:v>'Support Events'!M114</x:v>
      </x:c>
      <x:c r="H385" t="str">
        <x:v>planning constitution</x:v>
      </x:c>
      <x:c r="I385" t="str">
        <x:f>IF(E385=F385,"PASS","FAIL")</x:f>
        <x:v>PASS</x:v>
      </x:c>
    </x:row>
    <x:row r="386">
      <x:c r="B386" t="str">
        <x:v>PL-SEV-109</x:v>
      </x:c>
      <x:c r="C386" t="str">
        <x:v>planning</x:v>
      </x:c>
      <x:c r="D386" t="str">
        <x:v>support event assignment</x:v>
      </x:c>
      <x:c r="E386" t="str">
        <x:v>PASS</x:v>
      </x:c>
      <x:c r="F386" t="str">
        <x:f>'Support Events'!M115</x:f>
        <x:v>PASS</x:v>
      </x:c>
      <x:c r="G386" t="str">
        <x:v>'Support Events'!M115</x:v>
      </x:c>
      <x:c r="H386" t="str">
        <x:v>planning constitution</x:v>
      </x:c>
      <x:c r="I386" t="str">
        <x:f>IF(E386=F386,"PASS","FAIL")</x:f>
        <x:v>PASS</x:v>
      </x:c>
    </x:row>
    <x:row r="387">
      <x:c r="B387" t="str">
        <x:v>PL-SEV-110</x:v>
      </x:c>
      <x:c r="C387" t="str">
        <x:v>planning</x:v>
      </x:c>
      <x:c r="D387" t="str">
        <x:v>support event assignment</x:v>
      </x:c>
      <x:c r="E387" t="str">
        <x:v>PASS</x:v>
      </x:c>
      <x:c r="F387" t="str">
        <x:f>'Support Events'!M116</x:f>
        <x:v>PASS</x:v>
      </x:c>
      <x:c r="G387" t="str">
        <x:v>'Support Events'!M116</x:v>
      </x:c>
      <x:c r="H387" t="str">
        <x:v>planning constitution</x:v>
      </x:c>
      <x:c r="I387" t="str">
        <x:f>IF(E387=F387,"PASS","FAIL")</x:f>
        <x:v>PASS</x:v>
      </x:c>
    </x:row>
    <x:row r="388">
      <x:c r="B388" t="str">
        <x:v>PL-SEV-111</x:v>
      </x:c>
      <x:c r="C388" t="str">
        <x:v>planning</x:v>
      </x:c>
      <x:c r="D388" t="str">
        <x:v>support event assignment</x:v>
      </x:c>
      <x:c r="E388" t="str">
        <x:v>PASS</x:v>
      </x:c>
      <x:c r="F388" t="str">
        <x:f>'Support Events'!M117</x:f>
        <x:v>PASS</x:v>
      </x:c>
      <x:c r="G388" t="str">
        <x:v>'Support Events'!M117</x:v>
      </x:c>
      <x:c r="H388" t="str">
        <x:v>planning constitution</x:v>
      </x:c>
      <x:c r="I388" t="str">
        <x:f>IF(E388=F388,"PASS","FAIL")</x:f>
        <x:v>PASS</x:v>
      </x:c>
    </x:row>
    <x:row r="389">
      <x:c r="B389" t="str">
        <x:v>PL-SEV-112</x:v>
      </x:c>
      <x:c r="C389" t="str">
        <x:v>planning</x:v>
      </x:c>
      <x:c r="D389" t="str">
        <x:v>support event assignment</x:v>
      </x:c>
      <x:c r="E389" t="str">
        <x:v>PASS</x:v>
      </x:c>
      <x:c r="F389" t="str">
        <x:f>'Support Events'!M118</x:f>
        <x:v>PASS</x:v>
      </x:c>
      <x:c r="G389" t="str">
        <x:v>'Support Events'!M118</x:v>
      </x:c>
      <x:c r="H389" t="str">
        <x:v>planning constitution</x:v>
      </x:c>
      <x:c r="I389" t="str">
        <x:f>IF(E389=F389,"PASS","FAIL")</x:f>
        <x:v>PASS</x:v>
      </x:c>
    </x:row>
    <x:row r="390">
      <x:c r="B390" t="str">
        <x:v>PL-SEV-113</x:v>
      </x:c>
      <x:c r="C390" t="str">
        <x:v>planning</x:v>
      </x:c>
      <x:c r="D390" t="str">
        <x:v>support event assignment</x:v>
      </x:c>
      <x:c r="E390" t="str">
        <x:v>PASS</x:v>
      </x:c>
      <x:c r="F390" t="str">
        <x:f>'Support Events'!M119</x:f>
        <x:v>PASS</x:v>
      </x:c>
      <x:c r="G390" t="str">
        <x:v>'Support Events'!M119</x:v>
      </x:c>
      <x:c r="H390" t="str">
        <x:v>planning constitution</x:v>
      </x:c>
      <x:c r="I390" t="str">
        <x:f>IF(E390=F390,"PASS","FAIL")</x:f>
        <x:v>PASS</x:v>
      </x:c>
    </x:row>
    <x:row r="391">
      <x:c r="B391" t="str">
        <x:v>PL-SEV-114</x:v>
      </x:c>
      <x:c r="C391" t="str">
        <x:v>planning</x:v>
      </x:c>
      <x:c r="D391" t="str">
        <x:v>support event assignment</x:v>
      </x:c>
      <x:c r="E391" t="str">
        <x:v>PASS</x:v>
      </x:c>
      <x:c r="F391" t="str">
        <x:f>'Support Events'!M120</x:f>
        <x:v>PASS</x:v>
      </x:c>
      <x:c r="G391" t="str">
        <x:v>'Support Events'!M120</x:v>
      </x:c>
      <x:c r="H391" t="str">
        <x:v>planning constitution</x:v>
      </x:c>
      <x:c r="I391" t="str">
        <x:f>IF(E391=F391,"PASS","FAIL")</x:f>
        <x:v>PASS</x:v>
      </x:c>
    </x:row>
    <x:row r="392">
      <x:c r="B392" t="str">
        <x:v>PL-INS-01</x:v>
      </x:c>
      <x:c r="C392" t="str">
        <x:v>planning</x:v>
      </x:c>
      <x:c r="D392" t="str">
        <x:v>measurement function</x:v>
      </x:c>
      <x:c r="E392" t="str">
        <x:v>PASS</x:v>
      </x:c>
      <x:c r="F392" t="str">
        <x:f>IF('Evidence Build'!B7&lt;&gt;"","PASS","FAIL")</x:f>
        <x:v>PASS</x:v>
      </x:c>
      <x:c r="G392" t="str">
        <x:v>IF('Evidence Build'!B7&lt;&gt;"","PASS","FAIL")</x:v>
      </x:c>
      <x:c r="H392" t="str">
        <x:v>planning constitution</x:v>
      </x:c>
      <x:c r="I392" t="str">
        <x:f>IF(E392=F392,"PASS","FAIL")</x:f>
        <x:v>PASS</x:v>
      </x:c>
    </x:row>
    <x:row r="393">
      <x:c r="B393" t="str">
        <x:v>PL-INS-02</x:v>
      </x:c>
      <x:c r="C393" t="str">
        <x:v>planning</x:v>
      </x:c>
      <x:c r="D393" t="str">
        <x:v>measurement function</x:v>
      </x:c>
      <x:c r="E393" t="str">
        <x:v>PASS</x:v>
      </x:c>
      <x:c r="F393" t="str">
        <x:f>IF('Evidence Build'!B8&lt;&gt;"","PASS","FAIL")</x:f>
        <x:v>PASS</x:v>
      </x:c>
      <x:c r="G393" t="str">
        <x:v>IF('Evidence Build'!B8&lt;&gt;"","PASS","FAIL")</x:v>
      </x:c>
      <x:c r="H393" t="str">
        <x:v>planning constitution</x:v>
      </x:c>
      <x:c r="I393" t="str">
        <x:f>IF(E393=F393,"PASS","FAIL")</x:f>
        <x:v>PASS</x:v>
      </x:c>
    </x:row>
    <x:row r="394">
      <x:c r="B394" t="str">
        <x:v>PL-INS-03</x:v>
      </x:c>
      <x:c r="C394" t="str">
        <x:v>planning</x:v>
      </x:c>
      <x:c r="D394" t="str">
        <x:v>measurement function</x:v>
      </x:c>
      <x:c r="E394" t="str">
        <x:v>PASS</x:v>
      </x:c>
      <x:c r="F394" t="str">
        <x:f>IF('Evidence Build'!B9&lt;&gt;"","PASS","FAIL")</x:f>
        <x:v>PASS</x:v>
      </x:c>
      <x:c r="G394" t="str">
        <x:v>IF('Evidence Build'!B9&lt;&gt;"","PASS","FAIL")</x:v>
      </x:c>
      <x:c r="H394" t="str">
        <x:v>planning constitution</x:v>
      </x:c>
      <x:c r="I394" t="str">
        <x:f>IF(E394=F394,"PASS","FAIL")</x:f>
        <x:v>PASS</x:v>
      </x:c>
    </x:row>
    <x:row r="395">
      <x:c r="B395" t="str">
        <x:v>PL-INS-04</x:v>
      </x:c>
      <x:c r="C395" t="str">
        <x:v>planning</x:v>
      </x:c>
      <x:c r="D395" t="str">
        <x:v>measurement function</x:v>
      </x:c>
      <x:c r="E395" t="str">
        <x:v>PASS</x:v>
      </x:c>
      <x:c r="F395" t="str">
        <x:f>IF('Evidence Build'!B10&lt;&gt;"","PASS","FAIL")</x:f>
        <x:v>PASS</x:v>
      </x:c>
      <x:c r="G395" t="str">
        <x:v>IF('Evidence Build'!B10&lt;&gt;"","PASS","FAIL")</x:v>
      </x:c>
      <x:c r="H395" t="str">
        <x:v>planning constitution</x:v>
      </x:c>
      <x:c r="I395" t="str">
        <x:f>IF(E395=F395,"PASS","FAIL")</x:f>
        <x:v>PASS</x:v>
      </x:c>
    </x:row>
    <x:row r="396">
      <x:c r="B396" t="str">
        <x:v>PL-INS-05</x:v>
      </x:c>
      <x:c r="C396" t="str">
        <x:v>planning</x:v>
      </x:c>
      <x:c r="D396" t="str">
        <x:v>measurement function</x:v>
      </x:c>
      <x:c r="E396" t="str">
        <x:v>PASS</x:v>
      </x:c>
      <x:c r="F396" t="str">
        <x:f>IF('Evidence Build'!B11&lt;&gt;"","PASS","FAIL")</x:f>
        <x:v>PASS</x:v>
      </x:c>
      <x:c r="G396" t="str">
        <x:v>IF('Evidence Build'!B11&lt;&gt;"","PASS","FAIL")</x:v>
      </x:c>
      <x:c r="H396" t="str">
        <x:v>planning constitution</x:v>
      </x:c>
      <x:c r="I396" t="str">
        <x:f>IF(E396=F396,"PASS","FAIL")</x:f>
        <x:v>PASS</x:v>
      </x:c>
    </x:row>
    <x:row r="397">
      <x:c r="B397" t="str">
        <x:v>PL-INS-06</x:v>
      </x:c>
      <x:c r="C397" t="str">
        <x:v>planning</x:v>
      </x:c>
      <x:c r="D397" t="str">
        <x:v>measurement function</x:v>
      </x:c>
      <x:c r="E397" t="str">
        <x:v>PASS</x:v>
      </x:c>
      <x:c r="F397" t="str">
        <x:f>IF('Evidence Build'!B12&lt;&gt;"","PASS","FAIL")</x:f>
        <x:v>PASS</x:v>
      </x:c>
      <x:c r="G397" t="str">
        <x:v>IF('Evidence Build'!B12&lt;&gt;"","PASS","FAIL")</x:v>
      </x:c>
      <x:c r="H397" t="str">
        <x:v>planning constitution</x:v>
      </x:c>
      <x:c r="I397" t="str">
        <x:f>IF(E397=F397,"PASS","FAIL")</x:f>
        <x:v>PASS</x:v>
      </x:c>
    </x:row>
    <x:row r="398">
      <x:c r="B398" t="str">
        <x:v>PL-INS-07</x:v>
      </x:c>
      <x:c r="C398" t="str">
        <x:v>planning</x:v>
      </x:c>
      <x:c r="D398" t="str">
        <x:v>measurement function</x:v>
      </x:c>
      <x:c r="E398" t="str">
        <x:v>PASS</x:v>
      </x:c>
      <x:c r="F398" t="str">
        <x:f>IF('Evidence Build'!B13&lt;&gt;"","PASS","FAIL")</x:f>
        <x:v>PASS</x:v>
      </x:c>
      <x:c r="G398" t="str">
        <x:v>IF('Evidence Build'!B13&lt;&gt;"","PASS","FAIL")</x:v>
      </x:c>
      <x:c r="H398" t="str">
        <x:v>planning constitution</x:v>
      </x:c>
      <x:c r="I398" t="str">
        <x:f>IF(E398=F398,"PASS","FAIL")</x:f>
        <x:v>PASS</x:v>
      </x:c>
    </x:row>
    <x:row r="399">
      <x:c r="B399" t="str">
        <x:v>PL-INS-08</x:v>
      </x:c>
      <x:c r="C399" t="str">
        <x:v>planning</x:v>
      </x:c>
      <x:c r="D399" t="str">
        <x:v>measurement function</x:v>
      </x:c>
      <x:c r="E399" t="str">
        <x:v>PASS</x:v>
      </x:c>
      <x:c r="F399" t="str">
        <x:f>IF('Evidence Build'!B14&lt;&gt;"","PASS","FAIL")</x:f>
        <x:v>PASS</x:v>
      </x:c>
      <x:c r="G399" t="str">
        <x:v>IF('Evidence Build'!B14&lt;&gt;"","PASS","FAIL")</x:v>
      </x:c>
      <x:c r="H399" t="str">
        <x:v>planning constitution</x:v>
      </x:c>
      <x:c r="I399" t="str">
        <x:f>IF(E399=F399,"PASS","FAIL")</x:f>
        <x:v>PASS</x:v>
      </x:c>
    </x:row>
    <x:row r="400">
      <x:c r="B400" t="str">
        <x:v>PL-INS-09</x:v>
      </x:c>
      <x:c r="C400" t="str">
        <x:v>planning</x:v>
      </x:c>
      <x:c r="D400" t="str">
        <x:v>measurement function</x:v>
      </x:c>
      <x:c r="E400" t="str">
        <x:v>PASS</x:v>
      </x:c>
      <x:c r="F400" t="str">
        <x:f>IF('Evidence Build'!B15&lt;&gt;"","PASS","FAIL")</x:f>
        <x:v>PASS</x:v>
      </x:c>
      <x:c r="G400" t="str">
        <x:v>IF('Evidence Build'!B15&lt;&gt;"","PASS","FAIL")</x:v>
      </x:c>
      <x:c r="H400" t="str">
        <x:v>planning constitution</x:v>
      </x:c>
      <x:c r="I400" t="str">
        <x:f>IF(E400=F400,"PASS","FAIL")</x:f>
        <x:v>PASS</x:v>
      </x:c>
    </x:row>
    <x:row r="401">
      <x:c r="B401" t="str">
        <x:v>PL-INS-10</x:v>
      </x:c>
      <x:c r="C401" t="str">
        <x:v>planning</x:v>
      </x:c>
      <x:c r="D401" t="str">
        <x:v>measurement function</x:v>
      </x:c>
      <x:c r="E401" t="str">
        <x:v>PASS</x:v>
      </x:c>
      <x:c r="F401" t="str">
        <x:f>IF('Evidence Build'!B16&lt;&gt;"","PASS","FAIL")</x:f>
        <x:v>PASS</x:v>
      </x:c>
      <x:c r="G401" t="str">
        <x:v>IF('Evidence Build'!B16&lt;&gt;"","PASS","FAIL")</x:v>
      </x:c>
      <x:c r="H401" t="str">
        <x:v>planning constitution</x:v>
      </x:c>
      <x:c r="I401" t="str">
        <x:f>IF(E401=F401,"PASS","FAIL")</x:f>
        <x:v>PASS</x:v>
      </x:c>
    </x:row>
    <x:row r="402">
      <x:c r="B402" t="str">
        <x:v>PL-INS-11</x:v>
      </x:c>
      <x:c r="C402" t="str">
        <x:v>planning</x:v>
      </x:c>
      <x:c r="D402" t="str">
        <x:v>measurement function</x:v>
      </x:c>
      <x:c r="E402" t="str">
        <x:v>PASS</x:v>
      </x:c>
      <x:c r="F402" t="str">
        <x:f>IF('Evidence Build'!B17&lt;&gt;"","PASS","FAIL")</x:f>
        <x:v>PASS</x:v>
      </x:c>
      <x:c r="G402" t="str">
        <x:v>IF('Evidence Build'!B17&lt;&gt;"","PASS","FAIL")</x:v>
      </x:c>
      <x:c r="H402" t="str">
        <x:v>planning constitution</x:v>
      </x:c>
      <x:c r="I402" t="str">
        <x:f>IF(E402=F402,"PASS","FAIL")</x:f>
        <x:v>PASS</x:v>
      </x:c>
    </x:row>
    <x:row r="403">
      <x:c r="B403" t="str">
        <x:v>PL-INS-12</x:v>
      </x:c>
      <x:c r="C403" t="str">
        <x:v>planning</x:v>
      </x:c>
      <x:c r="D403" t="str">
        <x:v>measurement function</x:v>
      </x:c>
      <x:c r="E403" t="str">
        <x:v>PASS</x:v>
      </x:c>
      <x:c r="F403" t="str">
        <x:f>IF('Evidence Build'!B18&lt;&gt;"","PASS","FAIL")</x:f>
        <x:v>PASS</x:v>
      </x:c>
      <x:c r="G403" t="str">
        <x:v>IF('Evidence Build'!B18&lt;&gt;"","PASS","FAIL")</x:v>
      </x:c>
      <x:c r="H403" t="str">
        <x:v>planning constitution</x:v>
      </x:c>
      <x:c r="I403" t="str">
        <x:f>IF(E403=F403,"PASS","FAIL")</x:f>
        <x:v>PASS</x:v>
      </x:c>
    </x:row>
    <x:row r="404">
      <x:c r="B404" t="str">
        <x:v>PL-INS-13</x:v>
      </x:c>
      <x:c r="C404" t="str">
        <x:v>planning</x:v>
      </x:c>
      <x:c r="D404" t="str">
        <x:v>measurement function</x:v>
      </x:c>
      <x:c r="E404" t="str">
        <x:v>PASS</x:v>
      </x:c>
      <x:c r="F404" t="str">
        <x:f>IF('Evidence Build'!B19&lt;&gt;"","PASS","FAIL")</x:f>
        <x:v>PASS</x:v>
      </x:c>
      <x:c r="G404" t="str">
        <x:v>IF('Evidence Build'!B19&lt;&gt;"","PASS","FAIL")</x:v>
      </x:c>
      <x:c r="H404" t="str">
        <x:v>planning constitution</x:v>
      </x:c>
      <x:c r="I404" t="str">
        <x:f>IF(E404=F404,"PASS","FAIL")</x:f>
        <x:v>PASS</x:v>
      </x:c>
    </x:row>
    <x:row r="405">
      <x:c r="B405" t="str">
        <x:v>PL-INS-14</x:v>
      </x:c>
      <x:c r="C405" t="str">
        <x:v>planning</x:v>
      </x:c>
      <x:c r="D405" t="str">
        <x:v>measurement function</x:v>
      </x:c>
      <x:c r="E405" t="str">
        <x:v>PASS</x:v>
      </x:c>
      <x:c r="F405" t="str">
        <x:f>IF('Evidence Build'!B20&lt;&gt;"","PASS","FAIL")</x:f>
        <x:v>PASS</x:v>
      </x:c>
      <x:c r="G405" t="str">
        <x:v>IF('Evidence Build'!B20&lt;&gt;"","PASS","FAIL")</x:v>
      </x:c>
      <x:c r="H405" t="str">
        <x:v>planning constitution</x:v>
      </x:c>
      <x:c r="I405" t="str">
        <x:f>IF(E405=F405,"PASS","FAIL")</x:f>
        <x:v>PASS</x:v>
      </x:c>
    </x:row>
    <x:row r="406">
      <x:c r="B406" t="str">
        <x:v>PL-INS-15</x:v>
      </x:c>
      <x:c r="C406" t="str">
        <x:v>planning</x:v>
      </x:c>
      <x:c r="D406" t="str">
        <x:v>measurement function</x:v>
      </x:c>
      <x:c r="E406" t="str">
        <x:v>PASS</x:v>
      </x:c>
      <x:c r="F406" t="str">
        <x:f>IF('Evidence Build'!B21&lt;&gt;"","PASS","FAIL")</x:f>
        <x:v>PASS</x:v>
      </x:c>
      <x:c r="G406" t="str">
        <x:v>IF('Evidence Build'!B21&lt;&gt;"","PASS","FAIL")</x:v>
      </x:c>
      <x:c r="H406" t="str">
        <x:v>planning constitution</x:v>
      </x:c>
      <x:c r="I406" t="str">
        <x:f>IF(E406=F406,"PASS","FAIL")</x:f>
        <x:v>PASS</x:v>
      </x:c>
    </x:row>
    <x:row r="407">
      <x:c r="B407" t="str">
        <x:v>PL-INS-16</x:v>
      </x:c>
      <x:c r="C407" t="str">
        <x:v>planning</x:v>
      </x:c>
      <x:c r="D407" t="str">
        <x:v>measurement function</x:v>
      </x:c>
      <x:c r="E407" t="str">
        <x:v>PASS</x:v>
      </x:c>
      <x:c r="F407" t="str">
        <x:f>IF('Evidence Build'!B22&lt;&gt;"","PASS","FAIL")</x:f>
        <x:v>PASS</x:v>
      </x:c>
      <x:c r="G407" t="str">
        <x:v>IF('Evidence Build'!B22&lt;&gt;"","PASS","FAIL")</x:v>
      </x:c>
      <x:c r="H407" t="str">
        <x:v>planning constitution</x:v>
      </x:c>
      <x:c r="I407" t="str">
        <x:f>IF(E407=F407,"PASS","FAIL")</x:f>
        <x:v>PASS</x:v>
      </x:c>
    </x:row>
    <x:row r="408">
      <x:c r="B408" t="str">
        <x:v>PL-INS-17</x:v>
      </x:c>
      <x:c r="C408" t="str">
        <x:v>planning</x:v>
      </x:c>
      <x:c r="D408" t="str">
        <x:v>measurement function</x:v>
      </x:c>
      <x:c r="E408" t="str">
        <x:v>PASS</x:v>
      </x:c>
      <x:c r="F408" t="str">
        <x:f>IF('Evidence Build'!B23&lt;&gt;"","PASS","FAIL")</x:f>
        <x:v>PASS</x:v>
      </x:c>
      <x:c r="G408" t="str">
        <x:v>IF('Evidence Build'!B23&lt;&gt;"","PASS","FAIL")</x:v>
      </x:c>
      <x:c r="H408" t="str">
        <x:v>planning constitution</x:v>
      </x:c>
      <x:c r="I408" t="str">
        <x:f>IF(E408=F408,"PASS","FAIL")</x:f>
        <x:v>PASS</x:v>
      </x:c>
    </x:row>
    <x:row r="409">
      <x:c r="B409" t="str">
        <x:v>PL-INS-18</x:v>
      </x:c>
      <x:c r="C409" t="str">
        <x:v>planning</x:v>
      </x:c>
      <x:c r="D409" t="str">
        <x:v>measurement function</x:v>
      </x:c>
      <x:c r="E409" t="str">
        <x:v>PASS</x:v>
      </x:c>
      <x:c r="F409" t="str">
        <x:f>IF('Evidence Build'!B24&lt;&gt;"","PASS","FAIL")</x:f>
        <x:v>PASS</x:v>
      </x:c>
      <x:c r="G409" t="str">
        <x:v>IF('Evidence Build'!B24&lt;&gt;"","PASS","FAIL")</x:v>
      </x:c>
      <x:c r="H409" t="str">
        <x:v>planning constitution</x:v>
      </x:c>
      <x:c r="I409" t="str">
        <x:f>IF(E409=F409,"PASS","FAIL")</x:f>
        <x:v>PASS</x:v>
      </x:c>
    </x:row>
    <x:row r="410">
      <x:c r="B410" t="str">
        <x:v>PL-SITE-1</x:v>
      </x:c>
      <x:c r="C410" t="str">
        <x:v>planning</x:v>
      </x:c>
      <x:c r="D410" t="str">
        <x:v>public site allocation</x:v>
      </x:c>
      <x:c r="E410" t="str">
        <x:v>PASS</x:v>
      </x:c>
      <x:c r="F410" t="str">
        <x:f>IF('Site Allocation'!D7&gt;0,"PASS","FAIL")</x:f>
        <x:v>PASS</x:v>
      </x:c>
      <x:c r="G410" t="str">
        <x:v>IF('Site Allocation'!D7&gt;0,"PASS","FAIL")</x:v>
      </x:c>
      <x:c r="H410" t="str">
        <x:v>planning constitution</x:v>
      </x:c>
      <x:c r="I410" t="str">
        <x:f>IF(E410=F410,"PASS","FAIL")</x:f>
        <x:v>PASS</x:v>
      </x:c>
    </x:row>
    <x:row r="411">
      <x:c r="B411" t="str">
        <x:v>PL-SITE-2</x:v>
      </x:c>
      <x:c r="C411" t="str">
        <x:v>planning</x:v>
      </x:c>
      <x:c r="D411" t="str">
        <x:v>public site allocation</x:v>
      </x:c>
      <x:c r="E411" t="str">
        <x:v>PASS</x:v>
      </x:c>
      <x:c r="F411" t="str">
        <x:f>IF('Site Allocation'!D8&gt;0,"PASS","FAIL")</x:f>
        <x:v>PASS</x:v>
      </x:c>
      <x:c r="G411" t="str">
        <x:v>IF('Site Allocation'!D8&gt;0,"PASS","FAIL")</x:v>
      </x:c>
      <x:c r="H411" t="str">
        <x:v>planning constitution</x:v>
      </x:c>
      <x:c r="I411" t="str">
        <x:f>IF(E411=F411,"PASS","FAIL")</x:f>
        <x:v>PASS</x:v>
      </x:c>
    </x:row>
    <x:row r="412">
      <x:c r="B412" t="str">
        <x:v>PL-SITE-3</x:v>
      </x:c>
      <x:c r="C412" t="str">
        <x:v>planning</x:v>
      </x:c>
      <x:c r="D412" t="str">
        <x:v>public site allocation</x:v>
      </x:c>
      <x:c r="E412" t="str">
        <x:v>PASS</x:v>
      </x:c>
      <x:c r="F412" t="str">
        <x:f>IF('Site Allocation'!D9&gt;0,"PASS","FAIL")</x:f>
        <x:v>PASS</x:v>
      </x:c>
      <x:c r="G412" t="str">
        <x:v>IF('Site Allocation'!D9&gt;0,"PASS","FAIL")</x:v>
      </x:c>
      <x:c r="H412" t="str">
        <x:v>planning constitution</x:v>
      </x:c>
      <x:c r="I412" t="str">
        <x:f>IF(E412=F412,"PASS","FAIL")</x:f>
        <x:v>PASS</x:v>
      </x:c>
    </x:row>
    <x:row r="413">
      <x:c r="B413" t="str">
        <x:v>PL-DR-01</x:v>
      </x:c>
      <x:c r="C413" t="str">
        <x:v>planning</x:v>
      </x:c>
      <x:c r="D413" t="str">
        <x:v>architecture decision rule</x:v>
      </x:c>
      <x:c r="E413" t="str">
        <x:v>PASS</x:v>
      </x:c>
      <x:c r="F413" t="str">
        <x:f>'Decision Rules'!I7</x:f>
        <x:v>PASS</x:v>
      </x:c>
      <x:c r="G413" t="str">
        <x:v>'Decision Rules'!I7</x:v>
      </x:c>
      <x:c r="H413" t="str">
        <x:v>planning constitution</x:v>
      </x:c>
      <x:c r="I413" t="str">
        <x:f>IF(E413=F413,"PASS","FAIL")</x:f>
        <x:v>PASS</x:v>
      </x:c>
    </x:row>
    <x:row r="414">
      <x:c r="B414" t="str">
        <x:v>PL-DR-02</x:v>
      </x:c>
      <x:c r="C414" t="str">
        <x:v>planning</x:v>
      </x:c>
      <x:c r="D414" t="str">
        <x:v>architecture decision rule</x:v>
      </x:c>
      <x:c r="E414" t="str">
        <x:v>PASS</x:v>
      </x:c>
      <x:c r="F414" t="str">
        <x:f>'Decision Rules'!I8</x:f>
        <x:v>PASS</x:v>
      </x:c>
      <x:c r="G414" t="str">
        <x:v>'Decision Rules'!I8</x:v>
      </x:c>
      <x:c r="H414" t="str">
        <x:v>planning constitution</x:v>
      </x:c>
      <x:c r="I414" t="str">
        <x:f>IF(E414=F414,"PASS","FAIL")</x:f>
        <x:v>PASS</x:v>
      </x:c>
    </x:row>
    <x:row r="415">
      <x:c r="B415" t="str">
        <x:v>PL-DR-03</x:v>
      </x:c>
      <x:c r="C415" t="str">
        <x:v>planning</x:v>
      </x:c>
      <x:c r="D415" t="str">
        <x:v>architecture decision rule</x:v>
      </x:c>
      <x:c r="E415" t="str">
        <x:v>PASS</x:v>
      </x:c>
      <x:c r="F415" t="str">
        <x:f>'Decision Rules'!I9</x:f>
        <x:v>PASS</x:v>
      </x:c>
      <x:c r="G415" t="str">
        <x:v>'Decision Rules'!I9</x:v>
      </x:c>
      <x:c r="H415" t="str">
        <x:v>planning constitution</x:v>
      </x:c>
      <x:c r="I415" t="str">
        <x:f>IF(E415=F415,"PASS","FAIL")</x:f>
        <x:v>PASS</x:v>
      </x:c>
    </x:row>
    <x:row r="416">
      <x:c r="B416" t="str">
        <x:v>PL-DR-04</x:v>
      </x:c>
      <x:c r="C416" t="str">
        <x:v>planning</x:v>
      </x:c>
      <x:c r="D416" t="str">
        <x:v>architecture decision rule</x:v>
      </x:c>
      <x:c r="E416" t="str">
        <x:v>PASS</x:v>
      </x:c>
      <x:c r="F416" t="str">
        <x:f>'Decision Rules'!I10</x:f>
        <x:v>PASS</x:v>
      </x:c>
      <x:c r="G416" t="str">
        <x:v>'Decision Rules'!I10</x:v>
      </x:c>
      <x:c r="H416" t="str">
        <x:v>planning constitution</x:v>
      </x:c>
      <x:c r="I416" t="str">
        <x:f>IF(E416=F416,"PASS","FAIL")</x:f>
        <x:v>PASS</x:v>
      </x:c>
    </x:row>
    <x:row r="417">
      <x:c r="B417" t="str">
        <x:v>PL-DR-05</x:v>
      </x:c>
      <x:c r="C417" t="str">
        <x:v>planning</x:v>
      </x:c>
      <x:c r="D417" t="str">
        <x:v>architecture decision rule</x:v>
      </x:c>
      <x:c r="E417" t="str">
        <x:v>PASS</x:v>
      </x:c>
      <x:c r="F417" t="str">
        <x:f>'Decision Rules'!I11</x:f>
        <x:v>PASS</x:v>
      </x:c>
      <x:c r="G417" t="str">
        <x:v>'Decision Rules'!I11</x:v>
      </x:c>
      <x:c r="H417" t="str">
        <x:v>planning constitution</x:v>
      </x:c>
      <x:c r="I417" t="str">
        <x:f>IF(E417=F417,"PASS","FAIL")</x:f>
        <x:v>PASS</x:v>
      </x:c>
    </x:row>
    <x:row r="418">
      <x:c r="B418" t="str">
        <x:v>PL-DR-06</x:v>
      </x:c>
      <x:c r="C418" t="str">
        <x:v>planning</x:v>
      </x:c>
      <x:c r="D418" t="str">
        <x:v>architecture decision rule</x:v>
      </x:c>
      <x:c r="E418" t="str">
        <x:v>PASS</x:v>
      </x:c>
      <x:c r="F418" t="str">
        <x:f>'Decision Rules'!I12</x:f>
        <x:v>PASS</x:v>
      </x:c>
      <x:c r="G418" t="str">
        <x:v>'Decision Rules'!I12</x:v>
      </x:c>
      <x:c r="H418" t="str">
        <x:v>planning constitution</x:v>
      </x:c>
      <x:c r="I418" t="str">
        <x:f>IF(E418=F418,"PASS","FAIL")</x:f>
        <x:v>PASS</x:v>
      </x:c>
    </x:row>
    <x:row r="419">
      <x:c r="B419" t="str">
        <x:v>PL-DR-07</x:v>
      </x:c>
      <x:c r="C419" t="str">
        <x:v>planning</x:v>
      </x:c>
      <x:c r="D419" t="str">
        <x:v>architecture decision rule</x:v>
      </x:c>
      <x:c r="E419" t="str">
        <x:v>PASS</x:v>
      </x:c>
      <x:c r="F419" t="str">
        <x:f>'Decision Rules'!I13</x:f>
        <x:v>PASS</x:v>
      </x:c>
      <x:c r="G419" t="str">
        <x:v>'Decision Rules'!I13</x:v>
      </x:c>
      <x:c r="H419" t="str">
        <x:v>planning constitution</x:v>
      </x:c>
      <x:c r="I419" t="str">
        <x:f>IF(E419=F419,"PASS","FAIL")</x:f>
        <x:v>PASS</x:v>
      </x:c>
    </x:row>
    <x:row r="420">
      <x:c r="B420" t="str">
        <x:v>PL-DR-08</x:v>
      </x:c>
      <x:c r="C420" t="str">
        <x:v>planning</x:v>
      </x:c>
      <x:c r="D420" t="str">
        <x:v>architecture decision rule</x:v>
      </x:c>
      <x:c r="E420" t="str">
        <x:v>PASS</x:v>
      </x:c>
      <x:c r="F420" t="str">
        <x:f>'Decision Rules'!I14</x:f>
        <x:v>PASS</x:v>
      </x:c>
      <x:c r="G420" t="str">
        <x:v>'Decision Rules'!I14</x:v>
      </x:c>
      <x:c r="H420" t="str">
        <x:v>planning constitution</x:v>
      </x:c>
      <x:c r="I420" t="str">
        <x:f>IF(E420=F420,"PASS","FAIL")</x:f>
        <x:v>PASS</x:v>
      </x:c>
    </x:row>
    <x:row r="421">
      <x:c r="B421" t="str">
        <x:v>PL-DR-09</x:v>
      </x:c>
      <x:c r="C421" t="str">
        <x:v>planning</x:v>
      </x:c>
      <x:c r="D421" t="str">
        <x:v>architecture decision rule</x:v>
      </x:c>
      <x:c r="E421" t="str">
        <x:v>PASS</x:v>
      </x:c>
      <x:c r="F421" t="str">
        <x:f>'Decision Rules'!I15</x:f>
        <x:v>PASS</x:v>
      </x:c>
      <x:c r="G421" t="str">
        <x:v>'Decision Rules'!I15</x:v>
      </x:c>
      <x:c r="H421" t="str">
        <x:v>planning constitution</x:v>
      </x:c>
      <x:c r="I421" t="str">
        <x:f>IF(E421=F421,"PASS","FAIL")</x:f>
        <x:v>PASS</x:v>
      </x:c>
    </x:row>
    <x:row r="422">
      <x:c r="B422" t="str">
        <x:v>PL-DR-10</x:v>
      </x:c>
      <x:c r="C422" t="str">
        <x:v>planning</x:v>
      </x:c>
      <x:c r="D422" t="str">
        <x:v>architecture decision rule</x:v>
      </x:c>
      <x:c r="E422" t="str">
        <x:v>PASS</x:v>
      </x:c>
      <x:c r="F422" t="str">
        <x:f>'Decision Rules'!I16</x:f>
        <x:v>PASS</x:v>
      </x:c>
      <x:c r="G422" t="str">
        <x:v>'Decision Rules'!I16</x:v>
      </x:c>
      <x:c r="H422" t="str">
        <x:v>planning constitution</x:v>
      </x:c>
      <x:c r="I422" t="str">
        <x:f>IF(E422=F422,"PASS","FAIL")</x:f>
        <x:v>PASS</x:v>
      </x:c>
    </x:row>
    <x:row r="423">
      <x:c r="B423" t="str">
        <x:v>PL-DR-11</x:v>
      </x:c>
      <x:c r="C423" t="str">
        <x:v>planning</x:v>
      </x:c>
      <x:c r="D423" t="str">
        <x:v>architecture decision rule</x:v>
      </x:c>
      <x:c r="E423" t="str">
        <x:v>PASS</x:v>
      </x:c>
      <x:c r="F423" t="str">
        <x:f>'Decision Rules'!I17</x:f>
        <x:v>PASS</x:v>
      </x:c>
      <x:c r="G423" t="str">
        <x:v>'Decision Rules'!I17</x:v>
      </x:c>
      <x:c r="H423" t="str">
        <x:v>planning constitution</x:v>
      </x:c>
      <x:c r="I423" t="str">
        <x:f>IF(E423=F423,"PASS","FAIL")</x:f>
        <x:v>PASS</x:v>
      </x:c>
    </x:row>
    <x:row r="424">
      <x:c r="B424" t="str">
        <x:v>PL-DR-12</x:v>
      </x:c>
      <x:c r="C424" t="str">
        <x:v>planning</x:v>
      </x:c>
      <x:c r="D424" t="str">
        <x:v>architecture decision rule</x:v>
      </x:c>
      <x:c r="E424" t="str">
        <x:v>PASS</x:v>
      </x:c>
      <x:c r="F424" t="str">
        <x:f>'Decision Rules'!I18</x:f>
        <x:v>PASS</x:v>
      </x:c>
      <x:c r="G424" t="str">
        <x:v>'Decision Rules'!I18</x:v>
      </x:c>
      <x:c r="H424" t="str">
        <x:v>planning constitution</x:v>
      </x:c>
      <x:c r="I424" t="str">
        <x:f>IF(E424=F424,"PASS","FAIL")</x:f>
        <x:v>PASS</x:v>
      </x:c>
    </x:row>
    <x:row r="425">
      <x:c r="B425" t="str">
        <x:v>PL-DR-13</x:v>
      </x:c>
      <x:c r="C425" t="str">
        <x:v>planning</x:v>
      </x:c>
      <x:c r="D425" t="str">
        <x:v>architecture decision rule</x:v>
      </x:c>
      <x:c r="E425" t="str">
        <x:v>PASS</x:v>
      </x:c>
      <x:c r="F425" t="str">
        <x:f>'Decision Rules'!I19</x:f>
        <x:v>PASS</x:v>
      </x:c>
      <x:c r="G425" t="str">
        <x:v>'Decision Rules'!I19</x:v>
      </x:c>
      <x:c r="H425" t="str">
        <x:v>planning constitution</x:v>
      </x:c>
      <x:c r="I425" t="str">
        <x:f>IF(E425=F425,"PASS","FAIL")</x:f>
        <x:v>PASS</x:v>
      </x:c>
    </x:row>
    <x:row r="426">
      <x:c r="B426" t="str">
        <x:v>PL-DR-14</x:v>
      </x:c>
      <x:c r="C426" t="str">
        <x:v>planning</x:v>
      </x:c>
      <x:c r="D426" t="str">
        <x:v>architecture decision rule</x:v>
      </x:c>
      <x:c r="E426" t="str">
        <x:v>PASS</x:v>
      </x:c>
      <x:c r="F426" t="str">
        <x:f>'Decision Rules'!I20</x:f>
        <x:v>PASS</x:v>
      </x:c>
      <x:c r="G426" t="str">
        <x:v>'Decision Rules'!I20</x:v>
      </x:c>
      <x:c r="H426" t="str">
        <x:v>planning constitution</x:v>
      </x:c>
      <x:c r="I426" t="str">
        <x:f>IF(E426=F426,"PASS","FAIL")</x:f>
        <x:v>PASS</x:v>
      </x:c>
    </x:row>
    <x:row r="427">
      <x:c r="B427" t="str">
        <x:v>PL-DR-15</x:v>
      </x:c>
      <x:c r="C427" t="str">
        <x:v>planning</x:v>
      </x:c>
      <x:c r="D427" t="str">
        <x:v>architecture decision rule</x:v>
      </x:c>
      <x:c r="E427" t="str">
        <x:v>PASS</x:v>
      </x:c>
      <x:c r="F427" t="str">
        <x:f>'Decision Rules'!I21</x:f>
        <x:v>PASS</x:v>
      </x:c>
      <x:c r="G427" t="str">
        <x:v>'Decision Rules'!I21</x:v>
      </x:c>
      <x:c r="H427" t="str">
        <x:v>planning constitution</x:v>
      </x:c>
      <x:c r="I427" t="str">
        <x:f>IF(E427=F427,"PASS","FAIL")</x:f>
        <x:v>PASS</x:v>
      </x:c>
    </x:row>
    <x:row r="428">
      <x:c r="B428" t="str">
        <x:v>PL-DR-16</x:v>
      </x:c>
      <x:c r="C428" t="str">
        <x:v>planning</x:v>
      </x:c>
      <x:c r="D428" t="str">
        <x:v>architecture decision rule</x:v>
      </x:c>
      <x:c r="E428" t="str">
        <x:v>PASS</x:v>
      </x:c>
      <x:c r="F428" t="str">
        <x:f>'Decision Rules'!I22</x:f>
        <x:v>PASS</x:v>
      </x:c>
      <x:c r="G428" t="str">
        <x:v>'Decision Rules'!I22</x:v>
      </x:c>
      <x:c r="H428" t="str">
        <x:v>planning constitution</x:v>
      </x:c>
      <x:c r="I428" t="str">
        <x:f>IF(E428=F428,"PASS","FAIL")</x:f>
        <x:v>PASS</x:v>
      </x:c>
    </x:row>
    <x:row r="429">
      <x:c r="B429" t="str">
        <x:v>PL-DR-17</x:v>
      </x:c>
      <x:c r="C429" t="str">
        <x:v>planning</x:v>
      </x:c>
      <x:c r="D429" t="str">
        <x:v>architecture decision rule</x:v>
      </x:c>
      <x:c r="E429" t="str">
        <x:v>PASS</x:v>
      </x:c>
      <x:c r="F429" t="str">
        <x:f>'Decision Rules'!I23</x:f>
        <x:v>PASS</x:v>
      </x:c>
      <x:c r="G429" t="str">
        <x:v>'Decision Rules'!I23</x:v>
      </x:c>
      <x:c r="H429" t="str">
        <x:v>planning constitution</x:v>
      </x:c>
      <x:c r="I429" t="str">
        <x:f>IF(E429=F429,"PASS","FAIL")</x:f>
        <x:v>PASS</x:v>
      </x:c>
    </x:row>
    <x:row r="430">
      <x:c r="B430" t="str">
        <x:v>PL-DR-18</x:v>
      </x:c>
      <x:c r="C430" t="str">
        <x:v>planning</x:v>
      </x:c>
      <x:c r="D430" t="str">
        <x:v>architecture decision rule</x:v>
      </x:c>
      <x:c r="E430" t="str">
        <x:v>PASS</x:v>
      </x:c>
      <x:c r="F430" t="str">
        <x:f>'Decision Rules'!I24</x:f>
        <x:v>PASS</x:v>
      </x:c>
      <x:c r="G430" t="str">
        <x:v>'Decision Rules'!I24</x:v>
      </x:c>
      <x:c r="H430" t="str">
        <x:v>planning constitution</x:v>
      </x:c>
      <x:c r="I430" t="str">
        <x:f>IF(E430=F430,"PASS","FAIL")</x:f>
        <x:v>PASS</x:v>
      </x:c>
    </x:row>
    <x:row r="431">
      <x:c r="B431" t="str">
        <x:v>PL-DR-19</x:v>
      </x:c>
      <x:c r="C431" t="str">
        <x:v>planning</x:v>
      </x:c>
      <x:c r="D431" t="str">
        <x:v>architecture decision rule</x:v>
      </x:c>
      <x:c r="E431" t="str">
        <x:v>PASS</x:v>
      </x:c>
      <x:c r="F431" t="str">
        <x:f>'Decision Rules'!I25</x:f>
        <x:v>PASS</x:v>
      </x:c>
      <x:c r="G431" t="str">
        <x:v>'Decision Rules'!I25</x:v>
      </x:c>
      <x:c r="H431" t="str">
        <x:v>planning constitution</x:v>
      </x:c>
      <x:c r="I431" t="str">
        <x:f>IF(E431=F431,"PASS","FAIL")</x:f>
        <x:v>PASS</x:v>
      </x:c>
    </x:row>
    <x:row r="432">
      <x:c r="B432" t="str">
        <x:v>PL-DR-20</x:v>
      </x:c>
      <x:c r="C432" t="str">
        <x:v>planning</x:v>
      </x:c>
      <x:c r="D432" t="str">
        <x:v>architecture decision rule</x:v>
      </x:c>
      <x:c r="E432" t="str">
        <x:v>PASS</x:v>
      </x:c>
      <x:c r="F432" t="str">
        <x:f>'Decision Rules'!I26</x:f>
        <x:v>PASS</x:v>
      </x:c>
      <x:c r="G432" t="str">
        <x:v>'Decision Rules'!I26</x:v>
      </x:c>
      <x:c r="H432" t="str">
        <x:v>planning constitution</x:v>
      </x:c>
      <x:c r="I432" t="str">
        <x:f>IF(E432=F432,"PASS","FAIL")</x:f>
        <x:v>PASS</x:v>
      </x:c>
    </x:row>
    <x:row r="433">
      <x:c r="B433" t="str">
        <x:v>PL-DR-21</x:v>
      </x:c>
      <x:c r="C433" t="str">
        <x:v>planning</x:v>
      </x:c>
      <x:c r="D433" t="str">
        <x:v>architecture decision rule</x:v>
      </x:c>
      <x:c r="E433" t="str">
        <x:v>PASS</x:v>
      </x:c>
      <x:c r="F433" t="str">
        <x:f>'Decision Rules'!I27</x:f>
        <x:v>PASS</x:v>
      </x:c>
      <x:c r="G433" t="str">
        <x:v>'Decision Rules'!I27</x:v>
      </x:c>
      <x:c r="H433" t="str">
        <x:v>planning constitution</x:v>
      </x:c>
      <x:c r="I433" t="str">
        <x:f>IF(E433=F433,"PASS","FAIL")</x:f>
        <x:v>PASS</x:v>
      </x:c>
    </x:row>
    <x:row r="434">
      <x:c r="B434" t="str">
        <x:v>PL-DR-22</x:v>
      </x:c>
      <x:c r="C434" t="str">
        <x:v>planning</x:v>
      </x:c>
      <x:c r="D434" t="str">
        <x:v>architecture decision rule</x:v>
      </x:c>
      <x:c r="E434" t="str">
        <x:v>PASS</x:v>
      </x:c>
      <x:c r="F434" t="str">
        <x:f>'Decision Rules'!I28</x:f>
        <x:v>PASS</x:v>
      </x:c>
      <x:c r="G434" t="str">
        <x:v>'Decision Rules'!I28</x:v>
      </x:c>
      <x:c r="H434" t="str">
        <x:v>planning constitution</x:v>
      </x:c>
      <x:c r="I434" t="str">
        <x:f>IF(E434=F434,"PASS","FAIL")</x:f>
        <x:v>PASS</x:v>
      </x:c>
    </x:row>
    <x:row r="435">
      <x:c r="B435" t="str">
        <x:v>PL-DR-23</x:v>
      </x:c>
      <x:c r="C435" t="str">
        <x:v>planning</x:v>
      </x:c>
      <x:c r="D435" t="str">
        <x:v>architecture decision rule</x:v>
      </x:c>
      <x:c r="E435" t="str">
        <x:v>PASS</x:v>
      </x:c>
      <x:c r="F435" t="str">
        <x:f>'Decision Rules'!I29</x:f>
        <x:v>PASS</x:v>
      </x:c>
      <x:c r="G435" t="str">
        <x:v>'Decision Rules'!I29</x:v>
      </x:c>
      <x:c r="H435" t="str">
        <x:v>planning constitution</x:v>
      </x:c>
      <x:c r="I435" t="str">
        <x:f>IF(E435=F435,"PASS","FAIL")</x:f>
        <x:v>PASS</x:v>
      </x:c>
    </x:row>
    <x:row r="436">
      <x:c r="B436" t="str">
        <x:v>PL-DR-24</x:v>
      </x:c>
      <x:c r="C436" t="str">
        <x:v>planning</x:v>
      </x:c>
      <x:c r="D436" t="str">
        <x:v>architecture decision rule</x:v>
      </x:c>
      <x:c r="E436" t="str">
        <x:v>PASS</x:v>
      </x:c>
      <x:c r="F436" t="str">
        <x:f>'Decision Rules'!I30</x:f>
        <x:v>PASS</x:v>
      </x:c>
      <x:c r="G436" t="str">
        <x:v>'Decision Rules'!I30</x:v>
      </x:c>
      <x:c r="H436" t="str">
        <x:v>planning constitution</x:v>
      </x:c>
      <x:c r="I436" t="str">
        <x:f>IF(E436=F436,"PASS","FAIL")</x:f>
        <x:v>PASS</x:v>
      </x:c>
    </x:row>
    <x:row r="437">
      <x:c r="B437" t="str">
        <x:v>PL-DR-25</x:v>
      </x:c>
      <x:c r="C437" t="str">
        <x:v>planning</x:v>
      </x:c>
      <x:c r="D437" t="str">
        <x:v>architecture decision rule</x:v>
      </x:c>
      <x:c r="E437" t="str">
        <x:v>PASS</x:v>
      </x:c>
      <x:c r="F437" t="str">
        <x:f>'Decision Rules'!I31</x:f>
        <x:v>PASS</x:v>
      </x:c>
      <x:c r="G437" t="str">
        <x:v>'Decision Rules'!I31</x:v>
      </x:c>
      <x:c r="H437" t="str">
        <x:v>planning constitution</x:v>
      </x:c>
      <x:c r="I437" t="str">
        <x:f>IF(E437=F437,"PASS","FAIL")</x:f>
        <x:v>PASS</x:v>
      </x:c>
    </x:row>
    <x:row r="438">
      <x:c r="B438" t="str">
        <x:v>PL-DR-26</x:v>
      </x:c>
      <x:c r="C438" t="str">
        <x:v>planning</x:v>
      </x:c>
      <x:c r="D438" t="str">
        <x:v>architecture decision rule</x:v>
      </x:c>
      <x:c r="E438" t="str">
        <x:v>PASS</x:v>
      </x:c>
      <x:c r="F438" t="str">
        <x:f>'Decision Rules'!I32</x:f>
        <x:v>PASS</x:v>
      </x:c>
      <x:c r="G438" t="str">
        <x:v>'Decision Rules'!I32</x:v>
      </x:c>
      <x:c r="H438" t="str">
        <x:v>planning constitution</x:v>
      </x:c>
      <x:c r="I438" t="str">
        <x:f>IF(E438=F438,"PASS","FAIL")</x:f>
        <x:v>PASS</x:v>
      </x:c>
    </x:row>
    <x:row r="439">
      <x:c r="B439" t="str">
        <x:v>PL-DR-27</x:v>
      </x:c>
      <x:c r="C439" t="str">
        <x:v>planning</x:v>
      </x:c>
      <x:c r="D439" t="str">
        <x:v>architecture decision rule</x:v>
      </x:c>
      <x:c r="E439" t="str">
        <x:v>PASS</x:v>
      </x:c>
      <x:c r="F439" t="str">
        <x:f>'Decision Rules'!I33</x:f>
        <x:v>PASS</x:v>
      </x:c>
      <x:c r="G439" t="str">
        <x:v>'Decision Rules'!I33</x:v>
      </x:c>
      <x:c r="H439" t="str">
        <x:v>planning constitution</x:v>
      </x:c>
      <x:c r="I439" t="str">
        <x:f>IF(E439=F439,"PASS","FAIL")</x:f>
        <x:v>PASS</x:v>
      </x:c>
    </x:row>
    <x:row r="440">
      <x:c r="B440" t="str">
        <x:v>PL-DR-28</x:v>
      </x:c>
      <x:c r="C440" t="str">
        <x:v>planning</x:v>
      </x:c>
      <x:c r="D440" t="str">
        <x:v>architecture decision rule</x:v>
      </x:c>
      <x:c r="E440" t="str">
        <x:v>PASS</x:v>
      </x:c>
      <x:c r="F440" t="str">
        <x:f>'Decision Rules'!I34</x:f>
        <x:v>PASS</x:v>
      </x:c>
      <x:c r="G440" t="str">
        <x:v>'Decision Rules'!I34</x:v>
      </x:c>
      <x:c r="H440" t="str">
        <x:v>planning constitution</x:v>
      </x:c>
      <x:c r="I440" t="str">
        <x:f>IF(E440=F440,"PASS","FAIL")</x:f>
        <x:v>PASS</x:v>
      </x:c>
    </x:row>
    <x:row r="441">
      <x:c r="B441" t="str">
        <x:v>PL-DR-29</x:v>
      </x:c>
      <x:c r="C441" t="str">
        <x:v>planning</x:v>
      </x:c>
      <x:c r="D441" t="str">
        <x:v>architecture decision rule</x:v>
      </x:c>
      <x:c r="E441" t="str">
        <x:v>PASS</x:v>
      </x:c>
      <x:c r="F441" t="str">
        <x:f>'Decision Rules'!I35</x:f>
        <x:v>PASS</x:v>
      </x:c>
      <x:c r="G441" t="str">
        <x:v>'Decision Rules'!I35</x:v>
      </x:c>
      <x:c r="H441" t="str">
        <x:v>planning constitution</x:v>
      </x:c>
      <x:c r="I441" t="str">
        <x:f>IF(E441=F441,"PASS","FAIL")</x:f>
        <x:v>PASS</x:v>
      </x:c>
    </x:row>
    <x:row r="442">
      <x:c r="B442" t="str">
        <x:v>PL-DR-30</x:v>
      </x:c>
      <x:c r="C442" t="str">
        <x:v>planning</x:v>
      </x:c>
      <x:c r="D442" t="str">
        <x:v>architecture decision rule</x:v>
      </x:c>
      <x:c r="E442" t="str">
        <x:v>PASS</x:v>
      </x:c>
      <x:c r="F442" t="str">
        <x:f>'Decision Rules'!I36</x:f>
        <x:v>PASS</x:v>
      </x:c>
      <x:c r="G442" t="str">
        <x:v>'Decision Rules'!I36</x:v>
      </x:c>
      <x:c r="H442" t="str">
        <x:v>planning constitution</x:v>
      </x:c>
      <x:c r="I442" t="str">
        <x:f>IF(E442=F442,"PASS","FAIL")</x:f>
        <x:v>PASS</x:v>
      </x:c>
    </x:row>
    <x:row r="443">
      <x:c r="B443" t="str">
        <x:v>PL-DR-31</x:v>
      </x:c>
      <x:c r="C443" t="str">
        <x:v>planning</x:v>
      </x:c>
      <x:c r="D443" t="str">
        <x:v>architecture decision rule</x:v>
      </x:c>
      <x:c r="E443" t="str">
        <x:v>PASS</x:v>
      </x:c>
      <x:c r="F443" t="str">
        <x:f>'Decision Rules'!I37</x:f>
        <x:v>PASS</x:v>
      </x:c>
      <x:c r="G443" t="str">
        <x:v>'Decision Rules'!I37</x:v>
      </x:c>
      <x:c r="H443" t="str">
        <x:v>planning constitution</x:v>
      </x:c>
      <x:c r="I443" t="str">
        <x:f>IF(E443=F443,"PASS","FAIL")</x:f>
        <x:v>PASS</x:v>
      </x:c>
    </x:row>
    <x:row r="444">
      <x:c r="B444" t="str">
        <x:v>PL-DR-32</x:v>
      </x:c>
      <x:c r="C444" t="str">
        <x:v>planning</x:v>
      </x:c>
      <x:c r="D444" t="str">
        <x:v>architecture decision rule</x:v>
      </x:c>
      <x:c r="E444" t="str">
        <x:v>PASS</x:v>
      </x:c>
      <x:c r="F444" t="str">
        <x:f>'Decision Rules'!I38</x:f>
        <x:v>PASS</x:v>
      </x:c>
      <x:c r="G444" t="str">
        <x:v>'Decision Rules'!I38</x:v>
      </x:c>
      <x:c r="H444" t="str">
        <x:v>planning constitution</x:v>
      </x:c>
      <x:c r="I444" t="str">
        <x:f>IF(E444=F444,"PASS","FAIL")</x:f>
        <x:v>PASS</x:v>
      </x:c>
    </x:row>
    <x:row r="445">
      <x:c r="B445" t="str">
        <x:v>PL-DR-33</x:v>
      </x:c>
      <x:c r="C445" t="str">
        <x:v>planning</x:v>
      </x:c>
      <x:c r="D445" t="str">
        <x:v>architecture decision rule</x:v>
      </x:c>
      <x:c r="E445" t="str">
        <x:v>PASS</x:v>
      </x:c>
      <x:c r="F445" t="str">
        <x:f>'Decision Rules'!I39</x:f>
        <x:v>PASS</x:v>
      </x:c>
      <x:c r="G445" t="str">
        <x:v>'Decision Rules'!I39</x:v>
      </x:c>
      <x:c r="H445" t="str">
        <x:v>planning constitution</x:v>
      </x:c>
      <x:c r="I445" t="str">
        <x:f>IF(E445=F445,"PASS","FAIL")</x:f>
        <x:v>PASS</x:v>
      </x:c>
    </x:row>
    <x:row r="446">
      <x:c r="B446" t="str">
        <x:v>PL-DR-34</x:v>
      </x:c>
      <x:c r="C446" t="str">
        <x:v>planning</x:v>
      </x:c>
      <x:c r="D446" t="str">
        <x:v>architecture decision rule</x:v>
      </x:c>
      <x:c r="E446" t="str">
        <x:v>PASS</x:v>
      </x:c>
      <x:c r="F446" t="str">
        <x:f>'Decision Rules'!I40</x:f>
        <x:v>PASS</x:v>
      </x:c>
      <x:c r="G446" t="str">
        <x:v>'Decision Rules'!I40</x:v>
      </x:c>
      <x:c r="H446" t="str">
        <x:v>planning constitution</x:v>
      </x:c>
      <x:c r="I446" t="str">
        <x:f>IF(E446=F446,"PASS","FAIL")</x:f>
        <x:v>PASS</x:v>
      </x:c>
    </x:row>
    <x:row r="447">
      <x:c r="B447" t="str">
        <x:v>PL-DR-35</x:v>
      </x:c>
      <x:c r="C447" t="str">
        <x:v>planning</x:v>
      </x:c>
      <x:c r="D447" t="str">
        <x:v>architecture decision rule</x:v>
      </x:c>
      <x:c r="E447" t="str">
        <x:v>PASS</x:v>
      </x:c>
      <x:c r="F447" t="str">
        <x:f>'Decision Rules'!I41</x:f>
        <x:v>PASS</x:v>
      </x:c>
      <x:c r="G447" t="str">
        <x:v>'Decision Rules'!I41</x:v>
      </x:c>
      <x:c r="H447" t="str">
        <x:v>planning constitution</x:v>
      </x:c>
      <x:c r="I447" t="str">
        <x:f>IF(E447=F447,"PASS","FAIL")</x:f>
        <x:v>PASS</x:v>
      </x:c>
    </x:row>
    <x:row r="448">
      <x:c r="B448" t="str">
        <x:v>PL-DR-36</x:v>
      </x:c>
      <x:c r="C448" t="str">
        <x:v>planning</x:v>
      </x:c>
      <x:c r="D448" t="str">
        <x:v>architecture decision rule</x:v>
      </x:c>
      <x:c r="E448" t="str">
        <x:v>PASS</x:v>
      </x:c>
      <x:c r="F448" t="str">
        <x:f>'Decision Rules'!I42</x:f>
        <x:v>PASS</x:v>
      </x:c>
      <x:c r="G448" t="str">
        <x:v>'Decision Rules'!I42</x:v>
      </x:c>
      <x:c r="H448" t="str">
        <x:v>planning constitution</x:v>
      </x:c>
      <x:c r="I448" t="str">
        <x:f>IF(E448=F448,"PASS","FAIL")</x:f>
        <x:v>PASS</x:v>
      </x:c>
    </x:row>
    <x:row r="449">
      <x:c r="B449" t="str">
        <x:v>PL-SCH-01</x:v>
      </x:c>
      <x:c r="C449" t="str">
        <x:v>planning</x:v>
      </x:c>
      <x:c r="D449" t="str">
        <x:v>program phase</x:v>
      </x:c>
      <x:c r="E449" t="str">
        <x:v>PASS</x:v>
      </x:c>
      <x:c r="F449" t="str">
        <x:f>Schedule!J7</x:f>
        <x:v>PASS</x:v>
      </x:c>
      <x:c r="G449" t="str">
        <x:v>Schedule!J7</x:v>
      </x:c>
      <x:c r="H449" t="str">
        <x:v>planning constitution</x:v>
      </x:c>
      <x:c r="I449" t="str">
        <x:f>IF(E449=F449,"PASS","FAIL")</x:f>
        <x:v>PASS</x:v>
      </x:c>
    </x:row>
    <x:row r="450">
      <x:c r="B450" t="str">
        <x:v>PL-SCH-02</x:v>
      </x:c>
      <x:c r="C450" t="str">
        <x:v>planning</x:v>
      </x:c>
      <x:c r="D450" t="str">
        <x:v>program phase</x:v>
      </x:c>
      <x:c r="E450" t="str">
        <x:v>PASS</x:v>
      </x:c>
      <x:c r="F450" t="str">
        <x:f>Schedule!J8</x:f>
        <x:v>PASS</x:v>
      </x:c>
      <x:c r="G450" t="str">
        <x:v>Schedule!J8</x:v>
      </x:c>
      <x:c r="H450" t="str">
        <x:v>planning constitution</x:v>
      </x:c>
      <x:c r="I450" t="str">
        <x:f>IF(E450=F450,"PASS","FAIL")</x:f>
        <x:v>PASS</x:v>
      </x:c>
    </x:row>
    <x:row r="451">
      <x:c r="B451" t="str">
        <x:v>PL-SCH-03</x:v>
      </x:c>
      <x:c r="C451" t="str">
        <x:v>planning</x:v>
      </x:c>
      <x:c r="D451" t="str">
        <x:v>program phase</x:v>
      </x:c>
      <x:c r="E451" t="str">
        <x:v>PASS</x:v>
      </x:c>
      <x:c r="F451" t="str">
        <x:f>Schedule!J9</x:f>
        <x:v>PASS</x:v>
      </x:c>
      <x:c r="G451" t="str">
        <x:v>Schedule!J9</x:v>
      </x:c>
      <x:c r="H451" t="str">
        <x:v>planning constitution</x:v>
      </x:c>
      <x:c r="I451" t="str">
        <x:f>IF(E451=F451,"PASS","FAIL")</x:f>
        <x:v>PASS</x:v>
      </x:c>
    </x:row>
    <x:row r="452">
      <x:c r="B452" t="str">
        <x:v>PL-SCH-04</x:v>
      </x:c>
      <x:c r="C452" t="str">
        <x:v>planning</x:v>
      </x:c>
      <x:c r="D452" t="str">
        <x:v>program phase</x:v>
      </x:c>
      <x:c r="E452" t="str">
        <x:v>PASS</x:v>
      </x:c>
      <x:c r="F452" t="str">
        <x:f>Schedule!J10</x:f>
        <x:v>PASS</x:v>
      </x:c>
      <x:c r="G452" t="str">
        <x:v>Schedule!J10</x:v>
      </x:c>
      <x:c r="H452" t="str">
        <x:v>planning constitution</x:v>
      </x:c>
      <x:c r="I452" t="str">
        <x:f>IF(E452=F452,"PASS","FAIL")</x:f>
        <x:v>PASS</x:v>
      </x:c>
    </x:row>
    <x:row r="453">
      <x:c r="B453" t="str">
        <x:v>PL-SCH-05</x:v>
      </x:c>
      <x:c r="C453" t="str">
        <x:v>planning</x:v>
      </x:c>
      <x:c r="D453" t="str">
        <x:v>program phase</x:v>
      </x:c>
      <x:c r="E453" t="str">
        <x:v>PASS</x:v>
      </x:c>
      <x:c r="F453" t="str">
        <x:f>Schedule!J11</x:f>
        <x:v>PASS</x:v>
      </x:c>
      <x:c r="G453" t="str">
        <x:v>Schedule!J11</x:v>
      </x:c>
      <x:c r="H453" t="str">
        <x:v>planning constitution</x:v>
      </x:c>
      <x:c r="I453" t="str">
        <x:f>IF(E453=F453,"PASS","FAIL")</x:f>
        <x:v>PASS</x:v>
      </x:c>
    </x:row>
    <x:row r="454">
      <x:c r="B454" t="str">
        <x:v>PL-SCH-06</x:v>
      </x:c>
      <x:c r="C454" t="str">
        <x:v>planning</x:v>
      </x:c>
      <x:c r="D454" t="str">
        <x:v>program phase</x:v>
      </x:c>
      <x:c r="E454" t="str">
        <x:v>PASS</x:v>
      </x:c>
      <x:c r="F454" t="str">
        <x:f>Schedule!J12</x:f>
        <x:v>PASS</x:v>
      </x:c>
      <x:c r="G454" t="str">
        <x:v>Schedule!J12</x:v>
      </x:c>
      <x:c r="H454" t="str">
        <x:v>planning constitution</x:v>
      </x:c>
      <x:c r="I454" t="str">
        <x:f>IF(E454=F454,"PASS","FAIL")</x:f>
        <x:v>PASS</x:v>
      </x:c>
    </x:row>
    <x:row r="455">
      <x:c r="B455" t="str">
        <x:v>PL-SCH-07</x:v>
      </x:c>
      <x:c r="C455" t="str">
        <x:v>planning</x:v>
      </x:c>
      <x:c r="D455" t="str">
        <x:v>program phase</x:v>
      </x:c>
      <x:c r="E455" t="str">
        <x:v>PASS</x:v>
      </x:c>
      <x:c r="F455" t="str">
        <x:f>Schedule!J13</x:f>
        <x:v>PASS</x:v>
      </x:c>
      <x:c r="G455" t="str">
        <x:v>Schedule!J13</x:v>
      </x:c>
      <x:c r="H455" t="str">
        <x:v>planning constitution</x:v>
      </x:c>
      <x:c r="I455" t="str">
        <x:f>IF(E455=F455,"PASS","FAIL")</x:f>
        <x:v>PASS</x:v>
      </x:c>
    </x:row>
    <x:row r="456">
      <x:c r="B456" t="str">
        <x:v>PL-SCH-08</x:v>
      </x:c>
      <x:c r="C456" t="str">
        <x:v>planning</x:v>
      </x:c>
      <x:c r="D456" t="str">
        <x:v>program phase</x:v>
      </x:c>
      <x:c r="E456" t="str">
        <x:v>PASS</x:v>
      </x:c>
      <x:c r="F456" t="str">
        <x:f>Schedule!J14</x:f>
        <x:v>PASS</x:v>
      </x:c>
      <x:c r="G456" t="str">
        <x:v>Schedule!J14</x:v>
      </x:c>
      <x:c r="H456" t="str">
        <x:v>planning constitution</x:v>
      </x:c>
      <x:c r="I456" t="str">
        <x:f>IF(E456=F456,"PASS","FAIL")</x:f>
        <x:v>PASS</x:v>
      </x:c>
    </x:row>
    <x:row r="457">
      <x:c r="B457" t="str">
        <x:v>PL-SCH-09</x:v>
      </x:c>
      <x:c r="C457" t="str">
        <x:v>planning</x:v>
      </x:c>
      <x:c r="D457" t="str">
        <x:v>program phase</x:v>
      </x:c>
      <x:c r="E457" t="str">
        <x:v>PASS</x:v>
      </x:c>
      <x:c r="F457" t="str">
        <x:f>Schedule!J15</x:f>
        <x:v>PASS</x:v>
      </x:c>
      <x:c r="G457" t="str">
        <x:v>Schedule!J15</x:v>
      </x:c>
      <x:c r="H457" t="str">
        <x:v>planning constitution</x:v>
      </x:c>
      <x:c r="I457" t="str">
        <x:f>IF(E457=F457,"PASS","FAIL")</x:f>
        <x:v>PASS</x:v>
      </x:c>
    </x:row>
    <x:row r="458">
      <x:c r="B458" t="str">
        <x:v>PL-SCH-10</x:v>
      </x:c>
      <x:c r="C458" t="str">
        <x:v>planning</x:v>
      </x:c>
      <x:c r="D458" t="str">
        <x:v>program phase</x:v>
      </x:c>
      <x:c r="E458" t="str">
        <x:v>PASS</x:v>
      </x:c>
      <x:c r="F458" t="str">
        <x:f>Schedule!J16</x:f>
        <x:v>PASS</x:v>
      </x:c>
      <x:c r="G458" t="str">
        <x:v>Schedule!J16</x:v>
      </x:c>
      <x:c r="H458" t="str">
        <x:v>planning constitution</x:v>
      </x:c>
      <x:c r="I458" t="str">
        <x:f>IF(E458=F458,"PASS","FAIL")</x:f>
        <x:v>PASS</x:v>
      </x:c>
    </x:row>
    <x:row r="459">
      <x:c r="B459" t="str">
        <x:v>PL-WF-01</x:v>
      </x:c>
      <x:c r="C459" t="str">
        <x:v>planning</x:v>
      </x:c>
      <x:c r="D459" t="str">
        <x:v>mission workforce function</x:v>
      </x:c>
      <x:c r="E459" t="str">
        <x:v>PASS</x:v>
      </x:c>
      <x:c r="F459" t="str">
        <x:f>Workforce!E7</x:f>
        <x:v>PASS</x:v>
      </x:c>
      <x:c r="G459" t="str">
        <x:v>Workforce!E7</x:v>
      </x:c>
      <x:c r="H459" t="str">
        <x:v>planning constitution</x:v>
      </x:c>
      <x:c r="I459" t="str">
        <x:f>IF(E459=F459,"PASS","FAIL")</x:f>
        <x:v>PASS</x:v>
      </x:c>
    </x:row>
    <x:row r="460">
      <x:c r="B460" t="str">
        <x:v>PL-WF-02</x:v>
      </x:c>
      <x:c r="C460" t="str">
        <x:v>planning</x:v>
      </x:c>
      <x:c r="D460" t="str">
        <x:v>mission workforce function</x:v>
      </x:c>
      <x:c r="E460" t="str">
        <x:v>PASS</x:v>
      </x:c>
      <x:c r="F460" t="str">
        <x:f>Workforce!E8</x:f>
        <x:v>PASS</x:v>
      </x:c>
      <x:c r="G460" t="str">
        <x:v>Workforce!E8</x:v>
      </x:c>
      <x:c r="H460" t="str">
        <x:v>planning constitution</x:v>
      </x:c>
      <x:c r="I460" t="str">
        <x:f>IF(E460=F460,"PASS","FAIL")</x:f>
        <x:v>PASS</x:v>
      </x:c>
    </x:row>
    <x:row r="461">
      <x:c r="B461" t="str">
        <x:v>PL-WF-03</x:v>
      </x:c>
      <x:c r="C461" t="str">
        <x:v>planning</x:v>
      </x:c>
      <x:c r="D461" t="str">
        <x:v>mission workforce function</x:v>
      </x:c>
      <x:c r="E461" t="str">
        <x:v>PASS</x:v>
      </x:c>
      <x:c r="F461" t="str">
        <x:f>Workforce!E9</x:f>
        <x:v>PASS</x:v>
      </x:c>
      <x:c r="G461" t="str">
        <x:v>Workforce!E9</x:v>
      </x:c>
      <x:c r="H461" t="str">
        <x:v>planning constitution</x:v>
      </x:c>
      <x:c r="I461" t="str">
        <x:f>IF(E461=F461,"PASS","FAIL")</x:f>
        <x:v>PASS</x:v>
      </x:c>
    </x:row>
    <x:row r="462">
      <x:c r="B462" t="str">
        <x:v>PL-WF-04</x:v>
      </x:c>
      <x:c r="C462" t="str">
        <x:v>planning</x:v>
      </x:c>
      <x:c r="D462" t="str">
        <x:v>mission workforce function</x:v>
      </x:c>
      <x:c r="E462" t="str">
        <x:v>PASS</x:v>
      </x:c>
      <x:c r="F462" t="str">
        <x:f>Workforce!E10</x:f>
        <x:v>PASS</x:v>
      </x:c>
      <x:c r="G462" t="str">
        <x:v>Workforce!E10</x:v>
      </x:c>
      <x:c r="H462" t="str">
        <x:v>planning constitution</x:v>
      </x:c>
      <x:c r="I462" t="str">
        <x:f>IF(E462=F462,"PASS","FAIL")</x:f>
        <x:v>PASS</x:v>
      </x:c>
    </x:row>
    <x:row r="463">
      <x:c r="B463" t="str">
        <x:v>PL-WF-05</x:v>
      </x:c>
      <x:c r="C463" t="str">
        <x:v>planning</x:v>
      </x:c>
      <x:c r="D463" t="str">
        <x:v>mission workforce function</x:v>
      </x:c>
      <x:c r="E463" t="str">
        <x:v>PASS</x:v>
      </x:c>
      <x:c r="F463" t="str">
        <x:f>Workforce!E11</x:f>
        <x:v>PASS</x:v>
      </x:c>
      <x:c r="G463" t="str">
        <x:v>Workforce!E11</x:v>
      </x:c>
      <x:c r="H463" t="str">
        <x:v>planning constitution</x:v>
      </x:c>
      <x:c r="I463" t="str">
        <x:f>IF(E463=F463,"PASS","FAIL")</x:f>
        <x:v>PASS</x:v>
      </x:c>
    </x:row>
    <x:row r="464">
      <x:c r="B464" t="str">
        <x:v>PL-WF-06</x:v>
      </x:c>
      <x:c r="C464" t="str">
        <x:v>planning</x:v>
      </x:c>
      <x:c r="D464" t="str">
        <x:v>mission workforce function</x:v>
      </x:c>
      <x:c r="E464" t="str">
        <x:v>PASS</x:v>
      </x:c>
      <x:c r="F464" t="str">
        <x:f>Workforce!E12</x:f>
        <x:v>PASS</x:v>
      </x:c>
      <x:c r="G464" t="str">
        <x:v>Workforce!E12</x:v>
      </x:c>
      <x:c r="H464" t="str">
        <x:v>planning constitution</x:v>
      </x:c>
      <x:c r="I464" t="str">
        <x:f>IF(E464=F464,"PASS","FAIL")</x:f>
        <x:v>PASS</x:v>
      </x:c>
    </x:row>
    <x:row r="465">
      <x:c r="B465" t="str">
        <x:v>PL-WF-07</x:v>
      </x:c>
      <x:c r="C465" t="str">
        <x:v>planning</x:v>
      </x:c>
      <x:c r="D465" t="str">
        <x:v>mission workforce function</x:v>
      </x:c>
      <x:c r="E465" t="str">
        <x:v>PASS</x:v>
      </x:c>
      <x:c r="F465" t="str">
        <x:f>Workforce!E13</x:f>
        <x:v>PASS</x:v>
      </x:c>
      <x:c r="G465" t="str">
        <x:v>Workforce!E13</x:v>
      </x:c>
      <x:c r="H465" t="str">
        <x:v>planning constitution</x:v>
      </x:c>
      <x:c r="I465" t="str">
        <x:f>IF(E465=F465,"PASS","FAIL")</x:f>
        <x:v>PASS</x:v>
      </x:c>
    </x:row>
    <x:row r="466">
      <x:c r="B466" t="str">
        <x:v>PL-WF-08</x:v>
      </x:c>
      <x:c r="C466" t="str">
        <x:v>planning</x:v>
      </x:c>
      <x:c r="D466" t="str">
        <x:v>mission workforce function</x:v>
      </x:c>
      <x:c r="E466" t="str">
        <x:v>PASS</x:v>
      </x:c>
      <x:c r="F466" t="str">
        <x:f>Workforce!E14</x:f>
        <x:v>PASS</x:v>
      </x:c>
      <x:c r="G466" t="str">
        <x:v>Workforce!E14</x:v>
      </x:c>
      <x:c r="H466" t="str">
        <x:v>planning constitution</x:v>
      </x:c>
      <x:c r="I466" t="str">
        <x:f>IF(E466=F466,"PASS","FAIL")</x:f>
        <x:v>PASS</x:v>
      </x:c>
    </x:row>
    <x:row r="467">
      <x:c r="B467" t="str">
        <x:v>PL-WF-09</x:v>
      </x:c>
      <x:c r="C467" t="str">
        <x:v>planning</x:v>
      </x:c>
      <x:c r="D467" t="str">
        <x:v>mission workforce function</x:v>
      </x:c>
      <x:c r="E467" t="str">
        <x:v>PASS</x:v>
      </x:c>
      <x:c r="F467" t="str">
        <x:f>Workforce!E15</x:f>
        <x:v>PASS</x:v>
      </x:c>
      <x:c r="G467" t="str">
        <x:v>Workforce!E15</x:v>
      </x:c>
      <x:c r="H467" t="str">
        <x:v>planning constitution</x:v>
      </x:c>
      <x:c r="I467" t="str">
        <x:f>IF(E467=F467,"PASS","FAIL")</x:f>
        <x:v>PASS</x:v>
      </x:c>
    </x:row>
    <x:row r="468">
      <x:c r="B468" t="str">
        <x:v>PL-CAP-01</x:v>
      </x:c>
      <x:c r="C468" t="str">
        <x:v>planning</x:v>
      </x:c>
      <x:c r="D468" t="str">
        <x:v>capital line</x:v>
      </x:c>
      <x:c r="E468" t="str">
        <x:v>PASS</x:v>
      </x:c>
      <x:c r="F468" t="str">
        <x:f>Capital!I7</x:f>
        <x:v>PASS</x:v>
      </x:c>
      <x:c r="G468" t="str">
        <x:v>Capital!I7</x:v>
      </x:c>
      <x:c r="H468" t="str">
        <x:v>planning constitution</x:v>
      </x:c>
      <x:c r="I468" t="str">
        <x:f>IF(E468=F468,"PASS","FAIL")</x:f>
        <x:v>PASS</x:v>
      </x:c>
    </x:row>
    <x:row r="469">
      <x:c r="B469" t="str">
        <x:v>PL-CAP-02</x:v>
      </x:c>
      <x:c r="C469" t="str">
        <x:v>planning</x:v>
      </x:c>
      <x:c r="D469" t="str">
        <x:v>capital line</x:v>
      </x:c>
      <x:c r="E469" t="str">
        <x:v>PASS</x:v>
      </x:c>
      <x:c r="F469" t="str">
        <x:f>Capital!I8</x:f>
        <x:v>PASS</x:v>
      </x:c>
      <x:c r="G469" t="str">
        <x:v>Capital!I8</x:v>
      </x:c>
      <x:c r="H469" t="str">
        <x:v>planning constitution</x:v>
      </x:c>
      <x:c r="I469" t="str">
        <x:f>IF(E469=F469,"PASS","FAIL")</x:f>
        <x:v>PASS</x:v>
      </x:c>
    </x:row>
    <x:row r="470">
      <x:c r="B470" t="str">
        <x:v>PL-CAP-03</x:v>
      </x:c>
      <x:c r="C470" t="str">
        <x:v>planning</x:v>
      </x:c>
      <x:c r="D470" t="str">
        <x:v>capital line</x:v>
      </x:c>
      <x:c r="E470" t="str">
        <x:v>PASS</x:v>
      </x:c>
      <x:c r="F470" t="str">
        <x:f>Capital!I9</x:f>
        <x:v>PASS</x:v>
      </x:c>
      <x:c r="G470" t="str">
        <x:v>Capital!I9</x:v>
      </x:c>
      <x:c r="H470" t="str">
        <x:v>planning constitution</x:v>
      </x:c>
      <x:c r="I470" t="str">
        <x:f>IF(E470=F470,"PASS","FAIL")</x:f>
        <x:v>PASS</x:v>
      </x:c>
    </x:row>
    <x:row r="471">
      <x:c r="B471" t="str">
        <x:v>PL-CAP-04</x:v>
      </x:c>
      <x:c r="C471" t="str">
        <x:v>planning</x:v>
      </x:c>
      <x:c r="D471" t="str">
        <x:v>capital line</x:v>
      </x:c>
      <x:c r="E471" t="str">
        <x:v>PASS</x:v>
      </x:c>
      <x:c r="F471" t="str">
        <x:f>Capital!I10</x:f>
        <x:v>PASS</x:v>
      </x:c>
      <x:c r="G471" t="str">
        <x:v>Capital!I10</x:v>
      </x:c>
      <x:c r="H471" t="str">
        <x:v>planning constitution</x:v>
      </x:c>
      <x:c r="I471" t="str">
        <x:f>IF(E471=F471,"PASS","FAIL")</x:f>
        <x:v>PASS</x:v>
      </x:c>
    </x:row>
    <x:row r="472">
      <x:c r="B472" t="str">
        <x:v>PL-CAP-05</x:v>
      </x:c>
      <x:c r="C472" t="str">
        <x:v>planning</x:v>
      </x:c>
      <x:c r="D472" t="str">
        <x:v>capital line</x:v>
      </x:c>
      <x:c r="E472" t="str">
        <x:v>PASS</x:v>
      </x:c>
      <x:c r="F472" t="str">
        <x:f>Capital!I11</x:f>
        <x:v>PASS</x:v>
      </x:c>
      <x:c r="G472" t="str">
        <x:v>Capital!I11</x:v>
      </x:c>
      <x:c r="H472" t="str">
        <x:v>planning constitution</x:v>
      </x:c>
      <x:c r="I472" t="str">
        <x:f>IF(E472=F472,"PASS","FAIL")</x:f>
        <x:v>PASS</x:v>
      </x:c>
    </x:row>
    <x:row r="473">
      <x:c r="B473" t="str">
        <x:v>PL-CAP-06</x:v>
      </x:c>
      <x:c r="C473" t="str">
        <x:v>planning</x:v>
      </x:c>
      <x:c r="D473" t="str">
        <x:v>capital line</x:v>
      </x:c>
      <x:c r="E473" t="str">
        <x:v>PASS</x:v>
      </x:c>
      <x:c r="F473" t="str">
        <x:f>Capital!I12</x:f>
        <x:v>PASS</x:v>
      </x:c>
      <x:c r="G473" t="str">
        <x:v>Capital!I12</x:v>
      </x:c>
      <x:c r="H473" t="str">
        <x:v>planning constitution</x:v>
      </x:c>
      <x:c r="I473" t="str">
        <x:f>IF(E473=F473,"PASS","FAIL")</x:f>
        <x:v>PASS</x:v>
      </x:c>
    </x:row>
    <x:row r="474">
      <x:c r="B474" t="str">
        <x:v>PL-CAP-07</x:v>
      </x:c>
      <x:c r="C474" t="str">
        <x:v>planning</x:v>
      </x:c>
      <x:c r="D474" t="str">
        <x:v>capital line</x:v>
      </x:c>
      <x:c r="E474" t="str">
        <x:v>PASS</x:v>
      </x:c>
      <x:c r="F474" t="str">
        <x:f>Capital!I13</x:f>
        <x:v>PASS</x:v>
      </x:c>
      <x:c r="G474" t="str">
        <x:v>Capital!I13</x:v>
      </x:c>
      <x:c r="H474" t="str">
        <x:v>planning constitution</x:v>
      </x:c>
      <x:c r="I474" t="str">
        <x:f>IF(E474=F474,"PASS","FAIL")</x:f>
        <x:v>PASS</x:v>
      </x:c>
    </x:row>
    <x:row r="475">
      <x:c r="B475" t="str">
        <x:v>PL-CAP-08</x:v>
      </x:c>
      <x:c r="C475" t="str">
        <x:v>planning</x:v>
      </x:c>
      <x:c r="D475" t="str">
        <x:v>capital line</x:v>
      </x:c>
      <x:c r="E475" t="str">
        <x:v>PASS</x:v>
      </x:c>
      <x:c r="F475" t="str">
        <x:f>Capital!I14</x:f>
        <x:v>PASS</x:v>
      </x:c>
      <x:c r="G475" t="str">
        <x:v>Capital!I14</x:v>
      </x:c>
      <x:c r="H475" t="str">
        <x:v>planning constitution</x:v>
      </x:c>
      <x:c r="I475" t="str">
        <x:f>IF(E475=F475,"PASS","FAIL")</x:f>
        <x:v>PASS</x:v>
      </x:c>
    </x:row>
    <x:row r="476">
      <x:c r="B476" t="str">
        <x:v>PL-CAP-09</x:v>
      </x:c>
      <x:c r="C476" t="str">
        <x:v>planning</x:v>
      </x:c>
      <x:c r="D476" t="str">
        <x:v>capital line</x:v>
      </x:c>
      <x:c r="E476" t="str">
        <x:v>PASS</x:v>
      </x:c>
      <x:c r="F476" t="str">
        <x:f>Capital!I15</x:f>
        <x:v>PASS</x:v>
      </x:c>
      <x:c r="G476" t="str">
        <x:v>Capital!I15</x:v>
      </x:c>
      <x:c r="H476" t="str">
        <x:v>planning constitution</x:v>
      </x:c>
      <x:c r="I476" t="str">
        <x:f>IF(E476=F476,"PASS","FAIL")</x:f>
        <x:v>PASS</x:v>
      </x:c>
    </x:row>
    <x:row r="477">
      <x:c r="B477" t="str">
        <x:v>PL-CAP-10</x:v>
      </x:c>
      <x:c r="C477" t="str">
        <x:v>planning</x:v>
      </x:c>
      <x:c r="D477" t="str">
        <x:v>capital line</x:v>
      </x:c>
      <x:c r="E477" t="str">
        <x:v>PASS</x:v>
      </x:c>
      <x:c r="F477" t="str">
        <x:f>Capital!I16</x:f>
        <x:v>PASS</x:v>
      </x:c>
      <x:c r="G477" t="str">
        <x:v>Capital!I16</x:v>
      </x:c>
      <x:c r="H477" t="str">
        <x:v>planning constitution</x:v>
      </x:c>
      <x:c r="I477" t="str">
        <x:f>IF(E477=F477,"PASS","FAIL")</x:f>
        <x:v>PASS</x:v>
      </x:c>
    </x:row>
    <x:row r="478">
      <x:c r="B478" t="str">
        <x:v>PL-CAP-11</x:v>
      </x:c>
      <x:c r="C478" t="str">
        <x:v>planning</x:v>
      </x:c>
      <x:c r="D478" t="str">
        <x:v>capital line</x:v>
      </x:c>
      <x:c r="E478" t="str">
        <x:v>PASS</x:v>
      </x:c>
      <x:c r="F478" t="str">
        <x:f>Capital!I17</x:f>
        <x:v>PASS</x:v>
      </x:c>
      <x:c r="G478" t="str">
        <x:v>Capital!I17</x:v>
      </x:c>
      <x:c r="H478" t="str">
        <x:v>planning constitution</x:v>
      </x:c>
      <x:c r="I478" t="str">
        <x:f>IF(E478=F478,"PASS","FAIL")</x:f>
        <x:v>PASS</x:v>
      </x:c>
    </x:row>
    <x:row r="479">
      <x:c r="B479" t="str">
        <x:v>PL-ANN-01</x:v>
      </x:c>
      <x:c r="C479" t="str">
        <x:v>planning</x:v>
      </x:c>
      <x:c r="D479" t="str">
        <x:v>annual support line</x:v>
      </x:c>
      <x:c r="E479" t="str">
        <x:v>PASS</x:v>
      </x:c>
      <x:c r="F479" t="str">
        <x:f>'Annual Support'!I7</x:f>
        <x:v>PASS</x:v>
      </x:c>
      <x:c r="G479" t="str">
        <x:v>'Annual Support'!I7</x:v>
      </x:c>
      <x:c r="H479" t="str">
        <x:v>planning constitution</x:v>
      </x:c>
      <x:c r="I479" t="str">
        <x:f>IF(E479=F479,"PASS","FAIL")</x:f>
        <x:v>PASS</x:v>
      </x:c>
    </x:row>
    <x:row r="480">
      <x:c r="B480" t="str">
        <x:v>PL-ANN-02</x:v>
      </x:c>
      <x:c r="C480" t="str">
        <x:v>planning</x:v>
      </x:c>
      <x:c r="D480" t="str">
        <x:v>annual support line</x:v>
      </x:c>
      <x:c r="E480" t="str">
        <x:v>PASS</x:v>
      </x:c>
      <x:c r="F480" t="str">
        <x:f>'Annual Support'!I8</x:f>
        <x:v>PASS</x:v>
      </x:c>
      <x:c r="G480" t="str">
        <x:v>'Annual Support'!I8</x:v>
      </x:c>
      <x:c r="H480" t="str">
        <x:v>planning constitution</x:v>
      </x:c>
      <x:c r="I480" t="str">
        <x:f>IF(E480=F480,"PASS","FAIL")</x:f>
        <x:v>PASS</x:v>
      </x:c>
    </x:row>
    <x:row r="481">
      <x:c r="B481" t="str">
        <x:v>PL-ANN-03</x:v>
      </x:c>
      <x:c r="C481" t="str">
        <x:v>planning</x:v>
      </x:c>
      <x:c r="D481" t="str">
        <x:v>annual support line</x:v>
      </x:c>
      <x:c r="E481" t="str">
        <x:v>PASS</x:v>
      </x:c>
      <x:c r="F481" t="str">
        <x:f>'Annual Support'!I9</x:f>
        <x:v>PASS</x:v>
      </x:c>
      <x:c r="G481" t="str">
        <x:v>'Annual Support'!I9</x:v>
      </x:c>
      <x:c r="H481" t="str">
        <x:v>planning constitution</x:v>
      </x:c>
      <x:c r="I481" t="str">
        <x:f>IF(E481=F481,"PASS","FAIL")</x:f>
        <x:v>PASS</x:v>
      </x:c>
    </x:row>
    <x:row r="482">
      <x:c r="B482" t="str">
        <x:v>PL-ANN-04</x:v>
      </x:c>
      <x:c r="C482" t="str">
        <x:v>planning</x:v>
      </x:c>
      <x:c r="D482" t="str">
        <x:v>annual support line</x:v>
      </x:c>
      <x:c r="E482" t="str">
        <x:v>PASS</x:v>
      </x:c>
      <x:c r="F482" t="str">
        <x:f>'Annual Support'!I10</x:f>
        <x:v>PASS</x:v>
      </x:c>
      <x:c r="G482" t="str">
        <x:v>'Annual Support'!I10</x:v>
      </x:c>
      <x:c r="H482" t="str">
        <x:v>planning constitution</x:v>
      </x:c>
      <x:c r="I482" t="str">
        <x:f>IF(E482=F482,"PASS","FAIL")</x:f>
        <x:v>PASS</x:v>
      </x:c>
    </x:row>
    <x:row r="483">
      <x:c r="B483" t="str">
        <x:v>PL-ANN-05</x:v>
      </x:c>
      <x:c r="C483" t="str">
        <x:v>planning</x:v>
      </x:c>
      <x:c r="D483" t="str">
        <x:v>annual support line</x:v>
      </x:c>
      <x:c r="E483" t="str">
        <x:v>PASS</x:v>
      </x:c>
      <x:c r="F483" t="str">
        <x:f>'Annual Support'!I11</x:f>
        <x:v>PASS</x:v>
      </x:c>
      <x:c r="G483" t="str">
        <x:v>'Annual Support'!I11</x:v>
      </x:c>
      <x:c r="H483" t="str">
        <x:v>planning constitution</x:v>
      </x:c>
      <x:c r="I483" t="str">
        <x:f>IF(E483=F483,"PASS","FAIL")</x:f>
        <x:v>PASS</x:v>
      </x:c>
    </x:row>
    <x:row r="484">
      <x:c r="B484" t="str">
        <x:v>PL-ANN-06</x:v>
      </x:c>
      <x:c r="C484" t="str">
        <x:v>planning</x:v>
      </x:c>
      <x:c r="D484" t="str">
        <x:v>annual support line</x:v>
      </x:c>
      <x:c r="E484" t="str">
        <x:v>PASS</x:v>
      </x:c>
      <x:c r="F484" t="str">
        <x:f>'Annual Support'!I12</x:f>
        <x:v>PASS</x:v>
      </x:c>
      <x:c r="G484" t="str">
        <x:v>'Annual Support'!I12</x:v>
      </x:c>
      <x:c r="H484" t="str">
        <x:v>planning constitution</x:v>
      </x:c>
      <x:c r="I484" t="str">
        <x:f>IF(E484=F484,"PASS","FAIL")</x:f>
        <x:v>PASS</x:v>
      </x:c>
    </x:row>
    <x:row r="485">
      <x:c r="B485" t="str">
        <x:v>PL-AUTH-1</x:v>
      </x:c>
      <x:c r="C485" t="str">
        <x:v>planning</x:v>
      </x:c>
      <x:c r="D485" t="str">
        <x:v>authority constitution</x:v>
      </x:c>
      <x:c r="E485" t="str">
        <x:v>PASS</x:v>
      </x:c>
      <x:c r="F485" t="str">
        <x:f>Authority!G7</x:f>
        <x:v>PASS</x:v>
      </x:c>
      <x:c r="G485" t="str">
        <x:v>Authority!G7</x:v>
      </x:c>
      <x:c r="H485" t="str">
        <x:v>planning constitution</x:v>
      </x:c>
      <x:c r="I485" t="str">
        <x:f>IF(E485=F485,"PASS","FAIL")</x:f>
        <x:v>PASS</x:v>
      </x:c>
    </x:row>
    <x:row r="486">
      <x:c r="B486" t="str">
        <x:v>PL-AUTH-2</x:v>
      </x:c>
      <x:c r="C486" t="str">
        <x:v>planning</x:v>
      </x:c>
      <x:c r="D486" t="str">
        <x:v>authority constitution</x:v>
      </x:c>
      <x:c r="E486" t="str">
        <x:v>PASS</x:v>
      </x:c>
      <x:c r="F486" t="str">
        <x:f>Authority!G8</x:f>
        <x:v>PASS</x:v>
      </x:c>
      <x:c r="G486" t="str">
        <x:v>Authority!G8</x:v>
      </x:c>
      <x:c r="H486" t="str">
        <x:v>planning constitution</x:v>
      </x:c>
      <x:c r="I486" t="str">
        <x:f>IF(E486=F486,"PASS","FAIL")</x:f>
        <x:v>PASS</x:v>
      </x:c>
    </x:row>
    <x:row r="487">
      <x:c r="B487" t="str">
        <x:v>PL-AUTH-3</x:v>
      </x:c>
      <x:c r="C487" t="str">
        <x:v>planning</x:v>
      </x:c>
      <x:c r="D487" t="str">
        <x:v>authority constitution</x:v>
      </x:c>
      <x:c r="E487" t="str">
        <x:v>PASS</x:v>
      </x:c>
      <x:c r="F487" t="str">
        <x:f>Authority!G9</x:f>
        <x:v>PASS</x:v>
      </x:c>
      <x:c r="G487" t="str">
        <x:v>Authority!G9</x:v>
      </x:c>
      <x:c r="H487" t="str">
        <x:v>planning constitution</x:v>
      </x:c>
      <x:c r="I487" t="str">
        <x:f>IF(E487=F487,"PASS","FAIL")</x:f>
        <x:v>PASS</x:v>
      </x:c>
    </x:row>
    <x:row r="488">
      <x:c r="B488" t="str">
        <x:v>PL-AUTH-4</x:v>
      </x:c>
      <x:c r="C488" t="str">
        <x:v>planning</x:v>
      </x:c>
      <x:c r="D488" t="str">
        <x:v>authority constitution</x:v>
      </x:c>
      <x:c r="E488" t="str">
        <x:v>PASS</x:v>
      </x:c>
      <x:c r="F488" t="str">
        <x:f>Authority!G10</x:f>
        <x:v>PASS</x:v>
      </x:c>
      <x:c r="G488" t="str">
        <x:v>Authority!G10</x:v>
      </x:c>
      <x:c r="H488" t="str">
        <x:v>planning constitution</x:v>
      </x:c>
      <x:c r="I488" t="str">
        <x:f>IF(E488=F488,"PASS","FAIL")</x:f>
        <x:v>PASS</x:v>
      </x:c>
    </x:row>
    <x:row r="489">
      <x:c r="B489" t="str">
        <x:v>PL-AUTH-5</x:v>
      </x:c>
      <x:c r="C489" t="str">
        <x:v>planning</x:v>
      </x:c>
      <x:c r="D489" t="str">
        <x:v>authority constitution</x:v>
      </x:c>
      <x:c r="E489" t="str">
        <x:v>PASS</x:v>
      </x:c>
      <x:c r="F489" t="str">
        <x:f>Authority!G11</x:f>
        <x:v>PASS</x:v>
      </x:c>
      <x:c r="G489" t="str">
        <x:v>Authority!G11</x:v>
      </x:c>
      <x:c r="H489" t="str">
        <x:v>planning constitution</x:v>
      </x:c>
      <x:c r="I489" t="str">
        <x:f>IF(E489=F489,"PASS","FAIL")</x:f>
        <x:v>PASS</x:v>
      </x:c>
    </x:row>
    <x:row r="490">
      <x:c r="B490" t="str">
        <x:v>PH-ART-01</x:v>
      </x:c>
      <x:c r="C490" t="str">
        <x:v>physical</x:v>
      </x:c>
      <x:c r="D490" t="str">
        <x:v>accepted technology article</x:v>
      </x:c>
      <x:c r="E490" t="n">
        <x:v>1</x:v>
      </x:c>
      <x:c r="F490" t="n">
        <x:f>'Article Bank'!L7</x:f>
        <x:v>0</x:v>
      </x:c>
      <x:c r="G490" t="str">
        <x:v>'Article Bank'!L7</x:v>
      </x:c>
      <x:c r="H490" t="str">
        <x:v>physical acceptance authority</x:v>
      </x:c>
      <x:c r="I490" t="str">
        <x:f>IF(F490=0,"OPEN",IF(E490=F490,"PASS","FAIL"))</x:f>
        <x:v>OPEN</x:v>
      </x:c>
    </x:row>
    <x:row r="491">
      <x:c r="B491" t="str">
        <x:v>PH-ART-02</x:v>
      </x:c>
      <x:c r="C491" t="str">
        <x:v>physical</x:v>
      </x:c>
      <x:c r="D491" t="str">
        <x:v>accepted technology article</x:v>
      </x:c>
      <x:c r="E491" t="n">
        <x:v>1</x:v>
      </x:c>
      <x:c r="F491" t="n">
        <x:f>'Article Bank'!L8</x:f>
        <x:v>0</x:v>
      </x:c>
      <x:c r="G491" t="str">
        <x:v>'Article Bank'!L8</x:v>
      </x:c>
      <x:c r="H491" t="str">
        <x:v>physical acceptance authority</x:v>
      </x:c>
      <x:c r="I491" t="str">
        <x:f>IF(F491=0,"OPEN",IF(E491=F491,"PASS","FAIL"))</x:f>
        <x:v>OPEN</x:v>
      </x:c>
    </x:row>
    <x:row r="492">
      <x:c r="B492" t="str">
        <x:v>PH-ART-03</x:v>
      </x:c>
      <x:c r="C492" t="str">
        <x:v>physical</x:v>
      </x:c>
      <x:c r="D492" t="str">
        <x:v>accepted technology article</x:v>
      </x:c>
      <x:c r="E492" t="n">
        <x:v>1</x:v>
      </x:c>
      <x:c r="F492" t="n">
        <x:f>'Article Bank'!L9</x:f>
        <x:v>0</x:v>
      </x:c>
      <x:c r="G492" t="str">
        <x:v>'Article Bank'!L9</x:v>
      </x:c>
      <x:c r="H492" t="str">
        <x:v>physical acceptance authority</x:v>
      </x:c>
      <x:c r="I492" t="str">
        <x:f>IF(F492=0,"OPEN",IF(E492=F492,"PASS","FAIL"))</x:f>
        <x:v>OPEN</x:v>
      </x:c>
    </x:row>
    <x:row r="493">
      <x:c r="B493" t="str">
        <x:v>PH-ART-04</x:v>
      </x:c>
      <x:c r="C493" t="str">
        <x:v>physical</x:v>
      </x:c>
      <x:c r="D493" t="str">
        <x:v>accepted technology article</x:v>
      </x:c>
      <x:c r="E493" t="n">
        <x:v>1</x:v>
      </x:c>
      <x:c r="F493" t="n">
        <x:f>'Article Bank'!L10</x:f>
        <x:v>0</x:v>
      </x:c>
      <x:c r="G493" t="str">
        <x:v>'Article Bank'!L10</x:v>
      </x:c>
      <x:c r="H493" t="str">
        <x:v>physical acceptance authority</x:v>
      </x:c>
      <x:c r="I493" t="str">
        <x:f>IF(F493=0,"OPEN",IF(E493=F493,"PASS","FAIL"))</x:f>
        <x:v>OPEN</x:v>
      </x:c>
    </x:row>
    <x:row r="494">
      <x:c r="B494" t="str">
        <x:v>PH-ART-05</x:v>
      </x:c>
      <x:c r="C494" t="str">
        <x:v>physical</x:v>
      </x:c>
      <x:c r="D494" t="str">
        <x:v>accepted technology article</x:v>
      </x:c>
      <x:c r="E494" t="n">
        <x:v>1</x:v>
      </x:c>
      <x:c r="F494" t="n">
        <x:f>'Article Bank'!L11</x:f>
        <x:v>0</x:v>
      </x:c>
      <x:c r="G494" t="str">
        <x:v>'Article Bank'!L11</x:v>
      </x:c>
      <x:c r="H494" t="str">
        <x:v>physical acceptance authority</x:v>
      </x:c>
      <x:c r="I494" t="str">
        <x:f>IF(F494=0,"OPEN",IF(E494=F494,"PASS","FAIL"))</x:f>
        <x:v>OPEN</x:v>
      </x:c>
    </x:row>
    <x:row r="495">
      <x:c r="B495" t="str">
        <x:v>PH-ART-06</x:v>
      </x:c>
      <x:c r="C495" t="str">
        <x:v>physical</x:v>
      </x:c>
      <x:c r="D495" t="str">
        <x:v>accepted technology article</x:v>
      </x:c>
      <x:c r="E495" t="n">
        <x:v>1</x:v>
      </x:c>
      <x:c r="F495" t="n">
        <x:f>'Article Bank'!L12</x:f>
        <x:v>0</x:v>
      </x:c>
      <x:c r="G495" t="str">
        <x:v>'Article Bank'!L12</x:v>
      </x:c>
      <x:c r="H495" t="str">
        <x:v>physical acceptance authority</x:v>
      </x:c>
      <x:c r="I495" t="str">
        <x:f>IF(F495=0,"OPEN",IF(E495=F495,"PASS","FAIL"))</x:f>
        <x:v>OPEN</x:v>
      </x:c>
    </x:row>
    <x:row r="496">
      <x:c r="B496" t="str">
        <x:v>PH-ART-07</x:v>
      </x:c>
      <x:c r="C496" t="str">
        <x:v>physical</x:v>
      </x:c>
      <x:c r="D496" t="str">
        <x:v>accepted technology article</x:v>
      </x:c>
      <x:c r="E496" t="n">
        <x:v>1</x:v>
      </x:c>
      <x:c r="F496" t="n">
        <x:f>'Article Bank'!L13</x:f>
        <x:v>0</x:v>
      </x:c>
      <x:c r="G496" t="str">
        <x:v>'Article Bank'!L13</x:v>
      </x:c>
      <x:c r="H496" t="str">
        <x:v>physical acceptance authority</x:v>
      </x:c>
      <x:c r="I496" t="str">
        <x:f>IF(F496=0,"OPEN",IF(E496=F496,"PASS","FAIL"))</x:f>
        <x:v>OPEN</x:v>
      </x:c>
    </x:row>
    <x:row r="497">
      <x:c r="B497" t="str">
        <x:v>PH-ART-08</x:v>
      </x:c>
      <x:c r="C497" t="str">
        <x:v>physical</x:v>
      </x:c>
      <x:c r="D497" t="str">
        <x:v>accepted technology article</x:v>
      </x:c>
      <x:c r="E497" t="n">
        <x:v>1</x:v>
      </x:c>
      <x:c r="F497" t="n">
        <x:f>'Article Bank'!L14</x:f>
        <x:v>0</x:v>
      </x:c>
      <x:c r="G497" t="str">
        <x:v>'Article Bank'!L14</x:v>
      </x:c>
      <x:c r="H497" t="str">
        <x:v>physical acceptance authority</x:v>
      </x:c>
      <x:c r="I497" t="str">
        <x:f>IF(F497=0,"OPEN",IF(E497=F497,"PASS","FAIL"))</x:f>
        <x:v>OPEN</x:v>
      </x:c>
    </x:row>
    <x:row r="498">
      <x:c r="B498" t="str">
        <x:v>PH-ART-09</x:v>
      </x:c>
      <x:c r="C498" t="str">
        <x:v>physical</x:v>
      </x:c>
      <x:c r="D498" t="str">
        <x:v>accepted technology article</x:v>
      </x:c>
      <x:c r="E498" t="n">
        <x:v>1</x:v>
      </x:c>
      <x:c r="F498" t="n">
        <x:f>'Article Bank'!L15</x:f>
        <x:v>0</x:v>
      </x:c>
      <x:c r="G498" t="str">
        <x:v>'Article Bank'!L15</x:v>
      </x:c>
      <x:c r="H498" t="str">
        <x:v>physical acceptance authority</x:v>
      </x:c>
      <x:c r="I498" t="str">
        <x:f>IF(F498=0,"OPEN",IF(E498=F498,"PASS","FAIL"))</x:f>
        <x:v>OPEN</x:v>
      </x:c>
    </x:row>
    <x:row r="499">
      <x:c r="B499" t="str">
        <x:v>PH-ART-10</x:v>
      </x:c>
      <x:c r="C499" t="str">
        <x:v>physical</x:v>
      </x:c>
      <x:c r="D499" t="str">
        <x:v>accepted technology article</x:v>
      </x:c>
      <x:c r="E499" t="n">
        <x:v>1</x:v>
      </x:c>
      <x:c r="F499" t="n">
        <x:f>'Article Bank'!L16</x:f>
        <x:v>0</x:v>
      </x:c>
      <x:c r="G499" t="str">
        <x:v>'Article Bank'!L16</x:v>
      </x:c>
      <x:c r="H499" t="str">
        <x:v>physical acceptance authority</x:v>
      </x:c>
      <x:c r="I499" t="str">
        <x:f>IF(F499=0,"OPEN",IF(E499=F499,"PASS","FAIL"))</x:f>
        <x:v>OPEN</x:v>
      </x:c>
    </x:row>
    <x:row r="500">
      <x:c r="B500" t="str">
        <x:v>PH-ART-11</x:v>
      </x:c>
      <x:c r="C500" t="str">
        <x:v>physical</x:v>
      </x:c>
      <x:c r="D500" t="str">
        <x:v>accepted technology article</x:v>
      </x:c>
      <x:c r="E500" t="n">
        <x:v>1</x:v>
      </x:c>
      <x:c r="F500" t="n">
        <x:f>'Article Bank'!L17</x:f>
        <x:v>0</x:v>
      </x:c>
      <x:c r="G500" t="str">
        <x:v>'Article Bank'!L17</x:v>
      </x:c>
      <x:c r="H500" t="str">
        <x:v>physical acceptance authority</x:v>
      </x:c>
      <x:c r="I500" t="str">
        <x:f>IF(F500=0,"OPEN",IF(E500=F500,"PASS","FAIL"))</x:f>
        <x:v>OPEN</x:v>
      </x:c>
    </x:row>
    <x:row r="501">
      <x:c r="B501" t="str">
        <x:v>PH-ART-12</x:v>
      </x:c>
      <x:c r="C501" t="str">
        <x:v>physical</x:v>
      </x:c>
      <x:c r="D501" t="str">
        <x:v>accepted technology article</x:v>
      </x:c>
      <x:c r="E501" t="n">
        <x:v>1</x:v>
      </x:c>
      <x:c r="F501" t="n">
        <x:f>'Article Bank'!L18</x:f>
        <x:v>0</x:v>
      </x:c>
      <x:c r="G501" t="str">
        <x:v>'Article Bank'!L18</x:v>
      </x:c>
      <x:c r="H501" t="str">
        <x:v>physical acceptance authority</x:v>
      </x:c>
      <x:c r="I501" t="str">
        <x:f>IF(F501=0,"OPEN",IF(E501=F501,"PASS","FAIL"))</x:f>
        <x:v>OPEN</x:v>
      </x:c>
    </x:row>
    <x:row r="502">
      <x:c r="B502" t="str">
        <x:v>PH-ART-13</x:v>
      </x:c>
      <x:c r="C502" t="str">
        <x:v>physical</x:v>
      </x:c>
      <x:c r="D502" t="str">
        <x:v>accepted technology article</x:v>
      </x:c>
      <x:c r="E502" t="n">
        <x:v>1</x:v>
      </x:c>
      <x:c r="F502" t="n">
        <x:f>'Article Bank'!L19</x:f>
        <x:v>0</x:v>
      </x:c>
      <x:c r="G502" t="str">
        <x:v>'Article Bank'!L19</x:v>
      </x:c>
      <x:c r="H502" t="str">
        <x:v>physical acceptance authority</x:v>
      </x:c>
      <x:c r="I502" t="str">
        <x:f>IF(F502=0,"OPEN",IF(E502=F502,"PASS","FAIL"))</x:f>
        <x:v>OPEN</x:v>
      </x:c>
    </x:row>
    <x:row r="503">
      <x:c r="B503" t="str">
        <x:v>PH-ART-14</x:v>
      </x:c>
      <x:c r="C503" t="str">
        <x:v>physical</x:v>
      </x:c>
      <x:c r="D503" t="str">
        <x:v>accepted technology article</x:v>
      </x:c>
      <x:c r="E503" t="n">
        <x:v>1</x:v>
      </x:c>
      <x:c r="F503" t="n">
        <x:f>'Article Bank'!L20</x:f>
        <x:v>0</x:v>
      </x:c>
      <x:c r="G503" t="str">
        <x:v>'Article Bank'!L20</x:v>
      </x:c>
      <x:c r="H503" t="str">
        <x:v>physical acceptance authority</x:v>
      </x:c>
      <x:c r="I503" t="str">
        <x:f>IF(F503=0,"OPEN",IF(E503=F503,"PASS","FAIL"))</x:f>
        <x:v>OPEN</x:v>
      </x:c>
    </x:row>
    <x:row r="504">
      <x:c r="B504" t="str">
        <x:v>PH-ART-15</x:v>
      </x:c>
      <x:c r="C504" t="str">
        <x:v>physical</x:v>
      </x:c>
      <x:c r="D504" t="str">
        <x:v>accepted technology article</x:v>
      </x:c>
      <x:c r="E504" t="n">
        <x:v>1</x:v>
      </x:c>
      <x:c r="F504" t="n">
        <x:f>'Article Bank'!L21</x:f>
        <x:v>0</x:v>
      </x:c>
      <x:c r="G504" t="str">
        <x:v>'Article Bank'!L21</x:v>
      </x:c>
      <x:c r="H504" t="str">
        <x:v>physical acceptance authority</x:v>
      </x:c>
      <x:c r="I504" t="str">
        <x:f>IF(F504=0,"OPEN",IF(E504=F504,"PASS","FAIL"))</x:f>
        <x:v>OPEN</x:v>
      </x:c>
    </x:row>
    <x:row r="505">
      <x:c r="B505" t="str">
        <x:v>PH-ART-16</x:v>
      </x:c>
      <x:c r="C505" t="str">
        <x:v>physical</x:v>
      </x:c>
      <x:c r="D505" t="str">
        <x:v>accepted technology article</x:v>
      </x:c>
      <x:c r="E505" t="n">
        <x:v>1</x:v>
      </x:c>
      <x:c r="F505" t="n">
        <x:f>'Article Bank'!L22</x:f>
        <x:v>0</x:v>
      </x:c>
      <x:c r="G505" t="str">
        <x:v>'Article Bank'!L22</x:v>
      </x:c>
      <x:c r="H505" t="str">
        <x:v>physical acceptance authority</x:v>
      </x:c>
      <x:c r="I505" t="str">
        <x:f>IF(F505=0,"OPEN",IF(E505=F505,"PASS","FAIL"))</x:f>
        <x:v>OPEN</x:v>
      </x:c>
    </x:row>
    <x:row r="506">
      <x:c r="B506" t="str">
        <x:v>PH-ART-17</x:v>
      </x:c>
      <x:c r="C506" t="str">
        <x:v>physical</x:v>
      </x:c>
      <x:c r="D506" t="str">
        <x:v>accepted technology article</x:v>
      </x:c>
      <x:c r="E506" t="n">
        <x:v>1</x:v>
      </x:c>
      <x:c r="F506" t="n">
        <x:f>'Article Bank'!L23</x:f>
        <x:v>0</x:v>
      </x:c>
      <x:c r="G506" t="str">
        <x:v>'Article Bank'!L23</x:v>
      </x:c>
      <x:c r="H506" t="str">
        <x:v>physical acceptance authority</x:v>
      </x:c>
      <x:c r="I506" t="str">
        <x:f>IF(F506=0,"OPEN",IF(E506=F506,"PASS","FAIL"))</x:f>
        <x:v>OPEN</x:v>
      </x:c>
    </x:row>
    <x:row r="507">
      <x:c r="B507" t="str">
        <x:v>PH-ART-18</x:v>
      </x:c>
      <x:c r="C507" t="str">
        <x:v>physical</x:v>
      </x:c>
      <x:c r="D507" t="str">
        <x:v>accepted technology article</x:v>
      </x:c>
      <x:c r="E507" t="n">
        <x:v>1</x:v>
      </x:c>
      <x:c r="F507" t="n">
        <x:f>'Article Bank'!L24</x:f>
        <x:v>0</x:v>
      </x:c>
      <x:c r="G507" t="str">
        <x:v>'Article Bank'!L24</x:v>
      </x:c>
      <x:c r="H507" t="str">
        <x:v>physical acceptance authority</x:v>
      </x:c>
      <x:c r="I507" t="str">
        <x:f>IF(F507=0,"OPEN",IF(E507=F507,"PASS","FAIL"))</x:f>
        <x:v>OPEN</x:v>
      </x:c>
    </x:row>
    <x:row r="508">
      <x:c r="B508" t="str">
        <x:v>PH-ART-19</x:v>
      </x:c>
      <x:c r="C508" t="str">
        <x:v>physical</x:v>
      </x:c>
      <x:c r="D508" t="str">
        <x:v>accepted technology article</x:v>
      </x:c>
      <x:c r="E508" t="n">
        <x:v>1</x:v>
      </x:c>
      <x:c r="F508" t="n">
        <x:f>'Article Bank'!L25</x:f>
        <x:v>0</x:v>
      </x:c>
      <x:c r="G508" t="str">
        <x:v>'Article Bank'!L25</x:v>
      </x:c>
      <x:c r="H508" t="str">
        <x:v>physical acceptance authority</x:v>
      </x:c>
      <x:c r="I508" t="str">
        <x:f>IF(F508=0,"OPEN",IF(E508=F508,"PASS","FAIL"))</x:f>
        <x:v>OPEN</x:v>
      </x:c>
    </x:row>
    <x:row r="509">
      <x:c r="B509" t="str">
        <x:v>PH-ART-20</x:v>
      </x:c>
      <x:c r="C509" t="str">
        <x:v>physical</x:v>
      </x:c>
      <x:c r="D509" t="str">
        <x:v>accepted technology article</x:v>
      </x:c>
      <x:c r="E509" t="n">
        <x:v>1</x:v>
      </x:c>
      <x:c r="F509" t="n">
        <x:f>'Article Bank'!L26</x:f>
        <x:v>0</x:v>
      </x:c>
      <x:c r="G509" t="str">
        <x:v>'Article Bank'!L26</x:v>
      </x:c>
      <x:c r="H509" t="str">
        <x:v>physical acceptance authority</x:v>
      </x:c>
      <x:c r="I509" t="str">
        <x:f>IF(F509=0,"OPEN",IF(E509=F509,"PASS","FAIL"))</x:f>
        <x:v>OPEN</x:v>
      </x:c>
    </x:row>
    <x:row r="510">
      <x:c r="B510" t="str">
        <x:v>PH-ART-21</x:v>
      </x:c>
      <x:c r="C510" t="str">
        <x:v>physical</x:v>
      </x:c>
      <x:c r="D510" t="str">
        <x:v>accepted technology article</x:v>
      </x:c>
      <x:c r="E510" t="n">
        <x:v>1</x:v>
      </x:c>
      <x:c r="F510" t="n">
        <x:f>'Article Bank'!L27</x:f>
        <x:v>0</x:v>
      </x:c>
      <x:c r="G510" t="str">
        <x:v>'Article Bank'!L27</x:v>
      </x:c>
      <x:c r="H510" t="str">
        <x:v>physical acceptance authority</x:v>
      </x:c>
      <x:c r="I510" t="str">
        <x:f>IF(F510=0,"OPEN",IF(E510=F510,"PASS","FAIL"))</x:f>
        <x:v>OPEN</x:v>
      </x:c>
    </x:row>
    <x:row r="511">
      <x:c r="B511" t="str">
        <x:v>PH-ART-22</x:v>
      </x:c>
      <x:c r="C511" t="str">
        <x:v>physical</x:v>
      </x:c>
      <x:c r="D511" t="str">
        <x:v>accepted technology article</x:v>
      </x:c>
      <x:c r="E511" t="n">
        <x:v>1</x:v>
      </x:c>
      <x:c r="F511" t="n">
        <x:f>'Article Bank'!L28</x:f>
        <x:v>0</x:v>
      </x:c>
      <x:c r="G511" t="str">
        <x:v>'Article Bank'!L28</x:v>
      </x:c>
      <x:c r="H511" t="str">
        <x:v>physical acceptance authority</x:v>
      </x:c>
      <x:c r="I511" t="str">
        <x:f>IF(F511=0,"OPEN",IF(E511=F511,"PASS","FAIL"))</x:f>
        <x:v>OPEN</x:v>
      </x:c>
    </x:row>
    <x:row r="512">
      <x:c r="B512" t="str">
        <x:v>PH-ART-23</x:v>
      </x:c>
      <x:c r="C512" t="str">
        <x:v>physical</x:v>
      </x:c>
      <x:c r="D512" t="str">
        <x:v>accepted technology article</x:v>
      </x:c>
      <x:c r="E512" t="n">
        <x:v>1</x:v>
      </x:c>
      <x:c r="F512" t="n">
        <x:f>'Article Bank'!L29</x:f>
        <x:v>0</x:v>
      </x:c>
      <x:c r="G512" t="str">
        <x:v>'Article Bank'!L29</x:v>
      </x:c>
      <x:c r="H512" t="str">
        <x:v>physical acceptance authority</x:v>
      </x:c>
      <x:c r="I512" t="str">
        <x:f>IF(F512=0,"OPEN",IF(E512=F512,"PASS","FAIL"))</x:f>
        <x:v>OPEN</x:v>
      </x:c>
    </x:row>
    <x:row r="513">
      <x:c r="B513" t="str">
        <x:v>PH-ART-24</x:v>
      </x:c>
      <x:c r="C513" t="str">
        <x:v>physical</x:v>
      </x:c>
      <x:c r="D513" t="str">
        <x:v>accepted technology article</x:v>
      </x:c>
      <x:c r="E513" t="n">
        <x:v>1</x:v>
      </x:c>
      <x:c r="F513" t="n">
        <x:f>'Article Bank'!L30</x:f>
        <x:v>0</x:v>
      </x:c>
      <x:c r="G513" t="str">
        <x:v>'Article Bank'!L30</x:v>
      </x:c>
      <x:c r="H513" t="str">
        <x:v>physical acceptance authority</x:v>
      </x:c>
      <x:c r="I513" t="str">
        <x:f>IF(F513=0,"OPEN",IF(E513=F513,"PASS","FAIL"))</x:f>
        <x:v>OPEN</x:v>
      </x:c>
    </x:row>
    <x:row r="514">
      <x:c r="B514" t="str">
        <x:v>PH-ART-25</x:v>
      </x:c>
      <x:c r="C514" t="str">
        <x:v>physical</x:v>
      </x:c>
      <x:c r="D514" t="str">
        <x:v>accepted technology article</x:v>
      </x:c>
      <x:c r="E514" t="n">
        <x:v>1</x:v>
      </x:c>
      <x:c r="F514" t="n">
        <x:f>'Article Bank'!L31</x:f>
        <x:v>0</x:v>
      </x:c>
      <x:c r="G514" t="str">
        <x:v>'Article Bank'!L31</x:v>
      </x:c>
      <x:c r="H514" t="str">
        <x:v>physical acceptance authority</x:v>
      </x:c>
      <x:c r="I514" t="str">
        <x:f>IF(F514=0,"OPEN",IF(E514=F514,"PASS","FAIL"))</x:f>
        <x:v>OPEN</x:v>
      </x:c>
    </x:row>
    <x:row r="515">
      <x:c r="B515" t="str">
        <x:v>PH-ART-26</x:v>
      </x:c>
      <x:c r="C515" t="str">
        <x:v>physical</x:v>
      </x:c>
      <x:c r="D515" t="str">
        <x:v>accepted technology article</x:v>
      </x:c>
      <x:c r="E515" t="n">
        <x:v>1</x:v>
      </x:c>
      <x:c r="F515" t="n">
        <x:f>'Article Bank'!L32</x:f>
        <x:v>0</x:v>
      </x:c>
      <x:c r="G515" t="str">
        <x:v>'Article Bank'!L32</x:v>
      </x:c>
      <x:c r="H515" t="str">
        <x:v>physical acceptance authority</x:v>
      </x:c>
      <x:c r="I515" t="str">
        <x:f>IF(F515=0,"OPEN",IF(E515=F515,"PASS","FAIL"))</x:f>
        <x:v>OPEN</x:v>
      </x:c>
    </x:row>
    <x:row r="516">
      <x:c r="B516" t="str">
        <x:v>PH-ART-27</x:v>
      </x:c>
      <x:c r="C516" t="str">
        <x:v>physical</x:v>
      </x:c>
      <x:c r="D516" t="str">
        <x:v>accepted technology article</x:v>
      </x:c>
      <x:c r="E516" t="n">
        <x:v>1</x:v>
      </x:c>
      <x:c r="F516" t="n">
        <x:f>'Article Bank'!L33</x:f>
        <x:v>0</x:v>
      </x:c>
      <x:c r="G516" t="str">
        <x:v>'Article Bank'!L33</x:v>
      </x:c>
      <x:c r="H516" t="str">
        <x:v>physical acceptance authority</x:v>
      </x:c>
      <x:c r="I516" t="str">
        <x:f>IF(F516=0,"OPEN",IF(E516=F516,"PASS","FAIL"))</x:f>
        <x:v>OPEN</x:v>
      </x:c>
    </x:row>
    <x:row r="517">
      <x:c r="B517" t="str">
        <x:v>PH-ART-28</x:v>
      </x:c>
      <x:c r="C517" t="str">
        <x:v>physical</x:v>
      </x:c>
      <x:c r="D517" t="str">
        <x:v>accepted technology article</x:v>
      </x:c>
      <x:c r="E517" t="n">
        <x:v>1</x:v>
      </x:c>
      <x:c r="F517" t="n">
        <x:f>'Article Bank'!L34</x:f>
        <x:v>0</x:v>
      </x:c>
      <x:c r="G517" t="str">
        <x:v>'Article Bank'!L34</x:v>
      </x:c>
      <x:c r="H517" t="str">
        <x:v>physical acceptance authority</x:v>
      </x:c>
      <x:c r="I517" t="str">
        <x:f>IF(F517=0,"OPEN",IF(E517=F517,"PASS","FAIL"))</x:f>
        <x:v>OPEN</x:v>
      </x:c>
    </x:row>
    <x:row r="518">
      <x:c r="B518" t="str">
        <x:v>PH-ART-29</x:v>
      </x:c>
      <x:c r="C518" t="str">
        <x:v>physical</x:v>
      </x:c>
      <x:c r="D518" t="str">
        <x:v>accepted technology article</x:v>
      </x:c>
      <x:c r="E518" t="n">
        <x:v>1</x:v>
      </x:c>
      <x:c r="F518" t="n">
        <x:f>'Article Bank'!L35</x:f>
        <x:v>0</x:v>
      </x:c>
      <x:c r="G518" t="str">
        <x:v>'Article Bank'!L35</x:v>
      </x:c>
      <x:c r="H518" t="str">
        <x:v>physical acceptance authority</x:v>
      </x:c>
      <x:c r="I518" t="str">
        <x:f>IF(F518=0,"OPEN",IF(E518=F518,"PASS","FAIL"))</x:f>
        <x:v>OPEN</x:v>
      </x:c>
    </x:row>
    <x:row r="519">
      <x:c r="B519" t="str">
        <x:v>PH-ART-30</x:v>
      </x:c>
      <x:c r="C519" t="str">
        <x:v>physical</x:v>
      </x:c>
      <x:c r="D519" t="str">
        <x:v>accepted technology article</x:v>
      </x:c>
      <x:c r="E519" t="n">
        <x:v>1</x:v>
      </x:c>
      <x:c r="F519" t="n">
        <x:f>'Article Bank'!L36</x:f>
        <x:v>0</x:v>
      </x:c>
      <x:c r="G519" t="str">
        <x:v>'Article Bank'!L36</x:v>
      </x:c>
      <x:c r="H519" t="str">
        <x:v>physical acceptance authority</x:v>
      </x:c>
      <x:c r="I519" t="str">
        <x:f>IF(F519=0,"OPEN",IF(E519=F519,"PASS","FAIL"))</x:f>
        <x:v>OPEN</x:v>
      </x:c>
    </x:row>
    <x:row r="520">
      <x:c r="B520" t="str">
        <x:v>PH-ART-31</x:v>
      </x:c>
      <x:c r="C520" t="str">
        <x:v>physical</x:v>
      </x:c>
      <x:c r="D520" t="str">
        <x:v>accepted technology article</x:v>
      </x:c>
      <x:c r="E520" t="n">
        <x:v>1</x:v>
      </x:c>
      <x:c r="F520" t="n">
        <x:f>'Article Bank'!L37</x:f>
        <x:v>0</x:v>
      </x:c>
      <x:c r="G520" t="str">
        <x:v>'Article Bank'!L37</x:v>
      </x:c>
      <x:c r="H520" t="str">
        <x:v>physical acceptance authority</x:v>
      </x:c>
      <x:c r="I520" t="str">
        <x:f>IF(F520=0,"OPEN",IF(E520=F520,"PASS","FAIL"))</x:f>
        <x:v>OPEN</x:v>
      </x:c>
    </x:row>
    <x:row r="521">
      <x:c r="B521" t="str">
        <x:v>PH-ART-32</x:v>
      </x:c>
      <x:c r="C521" t="str">
        <x:v>physical</x:v>
      </x:c>
      <x:c r="D521" t="str">
        <x:v>accepted technology article</x:v>
      </x:c>
      <x:c r="E521" t="n">
        <x:v>1</x:v>
      </x:c>
      <x:c r="F521" t="n">
        <x:f>'Article Bank'!L38</x:f>
        <x:v>0</x:v>
      </x:c>
      <x:c r="G521" t="str">
        <x:v>'Article Bank'!L38</x:v>
      </x:c>
      <x:c r="H521" t="str">
        <x:v>physical acceptance authority</x:v>
      </x:c>
      <x:c r="I521" t="str">
        <x:f>IF(F521=0,"OPEN",IF(E521=F521,"PASS","FAIL"))</x:f>
        <x:v>OPEN</x:v>
      </x:c>
    </x:row>
    <x:row r="522">
      <x:c r="B522" t="str">
        <x:v>PH-ART-33</x:v>
      </x:c>
      <x:c r="C522" t="str">
        <x:v>physical</x:v>
      </x:c>
      <x:c r="D522" t="str">
        <x:v>accepted technology article</x:v>
      </x:c>
      <x:c r="E522" t="n">
        <x:v>1</x:v>
      </x:c>
      <x:c r="F522" t="n">
        <x:f>'Article Bank'!L39</x:f>
        <x:v>0</x:v>
      </x:c>
      <x:c r="G522" t="str">
        <x:v>'Article Bank'!L39</x:v>
      </x:c>
      <x:c r="H522" t="str">
        <x:v>physical acceptance authority</x:v>
      </x:c>
      <x:c r="I522" t="str">
        <x:f>IF(F522=0,"OPEN",IF(E522=F522,"PASS","FAIL"))</x:f>
        <x:v>OPEN</x:v>
      </x:c>
    </x:row>
    <x:row r="523">
      <x:c r="B523" t="str">
        <x:v>PH-ART-34</x:v>
      </x:c>
      <x:c r="C523" t="str">
        <x:v>physical</x:v>
      </x:c>
      <x:c r="D523" t="str">
        <x:v>accepted technology article</x:v>
      </x:c>
      <x:c r="E523" t="n">
        <x:v>1</x:v>
      </x:c>
      <x:c r="F523" t="n">
        <x:f>'Article Bank'!L40</x:f>
        <x:v>0</x:v>
      </x:c>
      <x:c r="G523" t="str">
        <x:v>'Article Bank'!L40</x:v>
      </x:c>
      <x:c r="H523" t="str">
        <x:v>physical acceptance authority</x:v>
      </x:c>
      <x:c r="I523" t="str">
        <x:f>IF(F523=0,"OPEN",IF(E523=F523,"PASS","FAIL"))</x:f>
        <x:v>OPEN</x:v>
      </x:c>
    </x:row>
    <x:row r="524">
      <x:c r="B524" t="str">
        <x:v>PH-ART-35</x:v>
      </x:c>
      <x:c r="C524" t="str">
        <x:v>physical</x:v>
      </x:c>
      <x:c r="D524" t="str">
        <x:v>accepted technology article</x:v>
      </x:c>
      <x:c r="E524" t="n">
        <x:v>1</x:v>
      </x:c>
      <x:c r="F524" t="n">
        <x:f>'Article Bank'!L41</x:f>
        <x:v>0</x:v>
      </x:c>
      <x:c r="G524" t="str">
        <x:v>'Article Bank'!L41</x:v>
      </x:c>
      <x:c r="H524" t="str">
        <x:v>physical acceptance authority</x:v>
      </x:c>
      <x:c r="I524" t="str">
        <x:f>IF(F524=0,"OPEN",IF(E524=F524,"PASS","FAIL"))</x:f>
        <x:v>OPEN</x:v>
      </x:c>
    </x:row>
    <x:row r="525">
      <x:c r="B525" t="str">
        <x:v>PH-ART-36</x:v>
      </x:c>
      <x:c r="C525" t="str">
        <x:v>physical</x:v>
      </x:c>
      <x:c r="D525" t="str">
        <x:v>accepted technology article</x:v>
      </x:c>
      <x:c r="E525" t="n">
        <x:v>1</x:v>
      </x:c>
      <x:c r="F525" t="n">
        <x:f>'Article Bank'!L42</x:f>
        <x:v>0</x:v>
      </x:c>
      <x:c r="G525" t="str">
        <x:v>'Article Bank'!L42</x:v>
      </x:c>
      <x:c r="H525" t="str">
        <x:v>physical acceptance authority</x:v>
      </x:c>
      <x:c r="I525" t="str">
        <x:f>IF(F525=0,"OPEN",IF(E525=F525,"PASS","FAIL"))</x:f>
        <x:v>OPEN</x:v>
      </x:c>
    </x:row>
    <x:row r="526">
      <x:c r="B526" t="str">
        <x:v>PH-ART-37</x:v>
      </x:c>
      <x:c r="C526" t="str">
        <x:v>physical</x:v>
      </x:c>
      <x:c r="D526" t="str">
        <x:v>accepted technology article</x:v>
      </x:c>
      <x:c r="E526" t="n">
        <x:v>1</x:v>
      </x:c>
      <x:c r="F526" t="n">
        <x:f>'Article Bank'!L43</x:f>
        <x:v>0</x:v>
      </x:c>
      <x:c r="G526" t="str">
        <x:v>'Article Bank'!L43</x:v>
      </x:c>
      <x:c r="H526" t="str">
        <x:v>physical acceptance authority</x:v>
      </x:c>
      <x:c r="I526" t="str">
        <x:f>IF(F526=0,"OPEN",IF(E526=F526,"PASS","FAIL"))</x:f>
        <x:v>OPEN</x:v>
      </x:c>
    </x:row>
    <x:row r="527">
      <x:c r="B527" t="str">
        <x:v>PH-ART-38</x:v>
      </x:c>
      <x:c r="C527" t="str">
        <x:v>physical</x:v>
      </x:c>
      <x:c r="D527" t="str">
        <x:v>accepted technology article</x:v>
      </x:c>
      <x:c r="E527" t="n">
        <x:v>1</x:v>
      </x:c>
      <x:c r="F527" t="n">
        <x:f>'Article Bank'!L44</x:f>
        <x:v>0</x:v>
      </x:c>
      <x:c r="G527" t="str">
        <x:v>'Article Bank'!L44</x:v>
      </x:c>
      <x:c r="H527" t="str">
        <x:v>physical acceptance authority</x:v>
      </x:c>
      <x:c r="I527" t="str">
        <x:f>IF(F527=0,"OPEN",IF(E527=F527,"PASS","FAIL"))</x:f>
        <x:v>OPEN</x:v>
      </x:c>
    </x:row>
    <x:row r="528">
      <x:c r="B528" t="str">
        <x:v>PH-ART-39</x:v>
      </x:c>
      <x:c r="C528" t="str">
        <x:v>physical</x:v>
      </x:c>
      <x:c r="D528" t="str">
        <x:v>accepted technology article</x:v>
      </x:c>
      <x:c r="E528" t="n">
        <x:v>1</x:v>
      </x:c>
      <x:c r="F528" t="n">
        <x:f>'Article Bank'!L45</x:f>
        <x:v>0</x:v>
      </x:c>
      <x:c r="G528" t="str">
        <x:v>'Article Bank'!L45</x:v>
      </x:c>
      <x:c r="H528" t="str">
        <x:v>physical acceptance authority</x:v>
      </x:c>
      <x:c r="I528" t="str">
        <x:f>IF(F528=0,"OPEN",IF(E528=F528,"PASS","FAIL"))</x:f>
        <x:v>OPEN</x:v>
      </x:c>
    </x:row>
    <x:row r="529">
      <x:c r="B529" t="str">
        <x:v>PH-ART-40</x:v>
      </x:c>
      <x:c r="C529" t="str">
        <x:v>physical</x:v>
      </x:c>
      <x:c r="D529" t="str">
        <x:v>accepted technology article</x:v>
      </x:c>
      <x:c r="E529" t="n">
        <x:v>1</x:v>
      </x:c>
      <x:c r="F529" t="n">
        <x:f>'Article Bank'!L46</x:f>
        <x:v>0</x:v>
      </x:c>
      <x:c r="G529" t="str">
        <x:v>'Article Bank'!L46</x:v>
      </x:c>
      <x:c r="H529" t="str">
        <x:v>physical acceptance authority</x:v>
      </x:c>
      <x:c r="I529" t="str">
        <x:f>IF(F529=0,"OPEN",IF(E529=F529,"PASS","FAIL"))</x:f>
        <x:v>OPEN</x:v>
      </x:c>
    </x:row>
    <x:row r="530">
      <x:c r="B530" t="str">
        <x:v>PH-ART-41</x:v>
      </x:c>
      <x:c r="C530" t="str">
        <x:v>physical</x:v>
      </x:c>
      <x:c r="D530" t="str">
        <x:v>accepted technology article</x:v>
      </x:c>
      <x:c r="E530" t="n">
        <x:v>1</x:v>
      </x:c>
      <x:c r="F530" t="n">
        <x:f>'Article Bank'!L47</x:f>
        <x:v>0</x:v>
      </x:c>
      <x:c r="G530" t="str">
        <x:v>'Article Bank'!L47</x:v>
      </x:c>
      <x:c r="H530" t="str">
        <x:v>physical acceptance authority</x:v>
      </x:c>
      <x:c r="I530" t="str">
        <x:f>IF(F530=0,"OPEN",IF(E530=F530,"PASS","FAIL"))</x:f>
        <x:v>OPEN</x:v>
      </x:c>
    </x:row>
    <x:row r="531">
      <x:c r="B531" t="str">
        <x:v>PH-ART-42</x:v>
      </x:c>
      <x:c r="C531" t="str">
        <x:v>physical</x:v>
      </x:c>
      <x:c r="D531" t="str">
        <x:v>accepted technology article</x:v>
      </x:c>
      <x:c r="E531" t="n">
        <x:v>1</x:v>
      </x:c>
      <x:c r="F531" t="n">
        <x:f>'Article Bank'!L48</x:f>
        <x:v>0</x:v>
      </x:c>
      <x:c r="G531" t="str">
        <x:v>'Article Bank'!L48</x:v>
      </x:c>
      <x:c r="H531" t="str">
        <x:v>physical acceptance authority</x:v>
      </x:c>
      <x:c r="I531" t="str">
        <x:f>IF(F531=0,"OPEN",IF(E531=F531,"PASS","FAIL"))</x:f>
        <x:v>OPEN</x:v>
      </x:c>
    </x:row>
    <x:row r="532">
      <x:c r="B532" t="str">
        <x:v>PH-ART-43</x:v>
      </x:c>
      <x:c r="C532" t="str">
        <x:v>physical</x:v>
      </x:c>
      <x:c r="D532" t="str">
        <x:v>accepted technology article</x:v>
      </x:c>
      <x:c r="E532" t="n">
        <x:v>1</x:v>
      </x:c>
      <x:c r="F532" t="n">
        <x:f>'Article Bank'!L49</x:f>
        <x:v>0</x:v>
      </x:c>
      <x:c r="G532" t="str">
        <x:v>'Article Bank'!L49</x:v>
      </x:c>
      <x:c r="H532" t="str">
        <x:v>physical acceptance authority</x:v>
      </x:c>
      <x:c r="I532" t="str">
        <x:f>IF(F532=0,"OPEN",IF(E532=F532,"PASS","FAIL"))</x:f>
        <x:v>OPEN</x:v>
      </x:c>
    </x:row>
    <x:row r="533">
      <x:c r="B533" t="str">
        <x:v>PH-ART-44</x:v>
      </x:c>
      <x:c r="C533" t="str">
        <x:v>physical</x:v>
      </x:c>
      <x:c r="D533" t="str">
        <x:v>accepted technology article</x:v>
      </x:c>
      <x:c r="E533" t="n">
        <x:v>1</x:v>
      </x:c>
      <x:c r="F533" t="n">
        <x:f>'Article Bank'!L50</x:f>
        <x:v>0</x:v>
      </x:c>
      <x:c r="G533" t="str">
        <x:v>'Article Bank'!L50</x:v>
      </x:c>
      <x:c r="H533" t="str">
        <x:v>physical acceptance authority</x:v>
      </x:c>
      <x:c r="I533" t="str">
        <x:f>IF(F533=0,"OPEN",IF(E533=F533,"PASS","FAIL"))</x:f>
        <x:v>OPEN</x:v>
      </x:c>
    </x:row>
    <x:row r="534">
      <x:c r="B534" t="str">
        <x:v>PH-ART-45</x:v>
      </x:c>
      <x:c r="C534" t="str">
        <x:v>physical</x:v>
      </x:c>
      <x:c r="D534" t="str">
        <x:v>accepted technology article</x:v>
      </x:c>
      <x:c r="E534" t="n">
        <x:v>1</x:v>
      </x:c>
      <x:c r="F534" t="n">
        <x:f>'Article Bank'!L51</x:f>
        <x:v>0</x:v>
      </x:c>
      <x:c r="G534" t="str">
        <x:v>'Article Bank'!L51</x:v>
      </x:c>
      <x:c r="H534" t="str">
        <x:v>physical acceptance authority</x:v>
      </x:c>
      <x:c r="I534" t="str">
        <x:f>IF(F534=0,"OPEN",IF(E534=F534,"PASS","FAIL"))</x:f>
        <x:v>OPEN</x:v>
      </x:c>
    </x:row>
    <x:row r="535">
      <x:c r="B535" t="str">
        <x:v>PH-ART-46</x:v>
      </x:c>
      <x:c r="C535" t="str">
        <x:v>physical</x:v>
      </x:c>
      <x:c r="D535" t="str">
        <x:v>accepted technology article</x:v>
      </x:c>
      <x:c r="E535" t="n">
        <x:v>1</x:v>
      </x:c>
      <x:c r="F535" t="n">
        <x:f>'Article Bank'!L52</x:f>
        <x:v>0</x:v>
      </x:c>
      <x:c r="G535" t="str">
        <x:v>'Article Bank'!L52</x:v>
      </x:c>
      <x:c r="H535" t="str">
        <x:v>physical acceptance authority</x:v>
      </x:c>
      <x:c r="I535" t="str">
        <x:f>IF(F535=0,"OPEN",IF(E535=F535,"PASS","FAIL"))</x:f>
        <x:v>OPEN</x:v>
      </x:c>
    </x:row>
    <x:row r="536">
      <x:c r="B536" t="str">
        <x:v>PH-ART-47</x:v>
      </x:c>
      <x:c r="C536" t="str">
        <x:v>physical</x:v>
      </x:c>
      <x:c r="D536" t="str">
        <x:v>accepted technology article</x:v>
      </x:c>
      <x:c r="E536" t="n">
        <x:v>1</x:v>
      </x:c>
      <x:c r="F536" t="n">
        <x:f>'Article Bank'!L53</x:f>
        <x:v>0</x:v>
      </x:c>
      <x:c r="G536" t="str">
        <x:v>'Article Bank'!L53</x:v>
      </x:c>
      <x:c r="H536" t="str">
        <x:v>physical acceptance authority</x:v>
      </x:c>
      <x:c r="I536" t="str">
        <x:f>IF(F536=0,"OPEN",IF(E536=F536,"PASS","FAIL"))</x:f>
        <x:v>OPEN</x:v>
      </x:c>
    </x:row>
    <x:row r="537">
      <x:c r="B537" t="str">
        <x:v>PH-ART-48</x:v>
      </x:c>
      <x:c r="C537" t="str">
        <x:v>physical</x:v>
      </x:c>
      <x:c r="D537" t="str">
        <x:v>accepted technology article</x:v>
      </x:c>
      <x:c r="E537" t="n">
        <x:v>1</x:v>
      </x:c>
      <x:c r="F537" t="n">
        <x:f>'Article Bank'!L54</x:f>
        <x:v>0</x:v>
      </x:c>
      <x:c r="G537" t="str">
        <x:v>'Article Bank'!L54</x:v>
      </x:c>
      <x:c r="H537" t="str">
        <x:v>physical acceptance authority</x:v>
      </x:c>
      <x:c r="I537" t="str">
        <x:f>IF(F537=0,"OPEN",IF(E537=F537,"PASS","FAIL"))</x:f>
        <x:v>OPEN</x:v>
      </x:c>
    </x:row>
    <x:row r="538">
      <x:c r="B538" t="str">
        <x:v>PH-PEV-001</x:v>
      </x:c>
      <x:c r="C538" t="str">
        <x:v>physical</x:v>
      </x:c>
      <x:c r="D538" t="str">
        <x:v>accepted paired event</x:v>
      </x:c>
      <x:c r="E538" t="n">
        <x:v>1</x:v>
      </x:c>
      <x:c r="F538" t="n">
        <x:f>'Event Register'!N7</x:f>
        <x:v>0</x:v>
      </x:c>
      <x:c r="G538" t="str">
        <x:v>'Event Register'!N7</x:v>
      </x:c>
      <x:c r="H538" t="str">
        <x:v>physical acceptance authority</x:v>
      </x:c>
      <x:c r="I538" t="str">
        <x:f>IF(F538=0,"OPEN",IF(E538=F538,"PASS","FAIL"))</x:f>
        <x:v>OPEN</x:v>
      </x:c>
    </x:row>
    <x:row r="539">
      <x:c r="B539" t="str">
        <x:v>PH-PEV-002</x:v>
      </x:c>
      <x:c r="C539" t="str">
        <x:v>physical</x:v>
      </x:c>
      <x:c r="D539" t="str">
        <x:v>accepted paired event</x:v>
      </x:c>
      <x:c r="E539" t="n">
        <x:v>1</x:v>
      </x:c>
      <x:c r="F539" t="n">
        <x:f>'Event Register'!N8</x:f>
        <x:v>0</x:v>
      </x:c>
      <x:c r="G539" t="str">
        <x:v>'Event Register'!N8</x:v>
      </x:c>
      <x:c r="H539" t="str">
        <x:v>physical acceptance authority</x:v>
      </x:c>
      <x:c r="I539" t="str">
        <x:f>IF(F539=0,"OPEN",IF(E539=F539,"PASS","FAIL"))</x:f>
        <x:v>OPEN</x:v>
      </x:c>
    </x:row>
    <x:row r="540">
      <x:c r="B540" t="str">
        <x:v>PH-PEV-003</x:v>
      </x:c>
      <x:c r="C540" t="str">
        <x:v>physical</x:v>
      </x:c>
      <x:c r="D540" t="str">
        <x:v>accepted paired event</x:v>
      </x:c>
      <x:c r="E540" t="n">
        <x:v>1</x:v>
      </x:c>
      <x:c r="F540" t="n">
        <x:f>'Event Register'!N9</x:f>
        <x:v>0</x:v>
      </x:c>
      <x:c r="G540" t="str">
        <x:v>'Event Register'!N9</x:v>
      </x:c>
      <x:c r="H540" t="str">
        <x:v>physical acceptance authority</x:v>
      </x:c>
      <x:c r="I540" t="str">
        <x:f>IF(F540=0,"OPEN",IF(E540=F540,"PASS","FAIL"))</x:f>
        <x:v>OPEN</x:v>
      </x:c>
    </x:row>
    <x:row r="541">
      <x:c r="B541" t="str">
        <x:v>PH-PEV-004</x:v>
      </x:c>
      <x:c r="C541" t="str">
        <x:v>physical</x:v>
      </x:c>
      <x:c r="D541" t="str">
        <x:v>accepted paired event</x:v>
      </x:c>
      <x:c r="E541" t="n">
        <x:v>1</x:v>
      </x:c>
      <x:c r="F541" t="n">
        <x:f>'Event Register'!N10</x:f>
        <x:v>0</x:v>
      </x:c>
      <x:c r="G541" t="str">
        <x:v>'Event Register'!N10</x:v>
      </x:c>
      <x:c r="H541" t="str">
        <x:v>physical acceptance authority</x:v>
      </x:c>
      <x:c r="I541" t="str">
        <x:f>IF(F541=0,"OPEN",IF(E541=F541,"PASS","FAIL"))</x:f>
        <x:v>OPEN</x:v>
      </x:c>
    </x:row>
    <x:row r="542">
      <x:c r="B542" t="str">
        <x:v>PH-PEV-005</x:v>
      </x:c>
      <x:c r="C542" t="str">
        <x:v>physical</x:v>
      </x:c>
      <x:c r="D542" t="str">
        <x:v>accepted paired event</x:v>
      </x:c>
      <x:c r="E542" t="n">
        <x:v>1</x:v>
      </x:c>
      <x:c r="F542" t="n">
        <x:f>'Event Register'!N11</x:f>
        <x:v>0</x:v>
      </x:c>
      <x:c r="G542" t="str">
        <x:v>'Event Register'!N11</x:v>
      </x:c>
      <x:c r="H542" t="str">
        <x:v>physical acceptance authority</x:v>
      </x:c>
      <x:c r="I542" t="str">
        <x:f>IF(F542=0,"OPEN",IF(E542=F542,"PASS","FAIL"))</x:f>
        <x:v>OPEN</x:v>
      </x:c>
    </x:row>
    <x:row r="543">
      <x:c r="B543" t="str">
        <x:v>PH-PEV-006</x:v>
      </x:c>
      <x:c r="C543" t="str">
        <x:v>physical</x:v>
      </x:c>
      <x:c r="D543" t="str">
        <x:v>accepted paired event</x:v>
      </x:c>
      <x:c r="E543" t="n">
        <x:v>1</x:v>
      </x:c>
      <x:c r="F543" t="n">
        <x:f>'Event Register'!N12</x:f>
        <x:v>0</x:v>
      </x:c>
      <x:c r="G543" t="str">
        <x:v>'Event Register'!N12</x:v>
      </x:c>
      <x:c r="H543" t="str">
        <x:v>physical acceptance authority</x:v>
      </x:c>
      <x:c r="I543" t="str">
        <x:f>IF(F543=0,"OPEN",IF(E543=F543,"PASS","FAIL"))</x:f>
        <x:v>OPEN</x:v>
      </x:c>
    </x:row>
    <x:row r="544">
      <x:c r="B544" t="str">
        <x:v>PH-PEV-007</x:v>
      </x:c>
      <x:c r="C544" t="str">
        <x:v>physical</x:v>
      </x:c>
      <x:c r="D544" t="str">
        <x:v>accepted paired event</x:v>
      </x:c>
      <x:c r="E544" t="n">
        <x:v>1</x:v>
      </x:c>
      <x:c r="F544" t="n">
        <x:f>'Event Register'!N13</x:f>
        <x:v>0</x:v>
      </x:c>
      <x:c r="G544" t="str">
        <x:v>'Event Register'!N13</x:v>
      </x:c>
      <x:c r="H544" t="str">
        <x:v>physical acceptance authority</x:v>
      </x:c>
      <x:c r="I544" t="str">
        <x:f>IF(F544=0,"OPEN",IF(E544=F544,"PASS","FAIL"))</x:f>
        <x:v>OPEN</x:v>
      </x:c>
    </x:row>
    <x:row r="545">
      <x:c r="B545" t="str">
        <x:v>PH-PEV-008</x:v>
      </x:c>
      <x:c r="C545" t="str">
        <x:v>physical</x:v>
      </x:c>
      <x:c r="D545" t="str">
        <x:v>accepted paired event</x:v>
      </x:c>
      <x:c r="E545" t="n">
        <x:v>1</x:v>
      </x:c>
      <x:c r="F545" t="n">
        <x:f>'Event Register'!N14</x:f>
        <x:v>0</x:v>
      </x:c>
      <x:c r="G545" t="str">
        <x:v>'Event Register'!N14</x:v>
      </x:c>
      <x:c r="H545" t="str">
        <x:v>physical acceptance authority</x:v>
      </x:c>
      <x:c r="I545" t="str">
        <x:f>IF(F545=0,"OPEN",IF(E545=F545,"PASS","FAIL"))</x:f>
        <x:v>OPEN</x:v>
      </x:c>
    </x:row>
    <x:row r="546">
      <x:c r="B546" t="str">
        <x:v>PH-PEV-009</x:v>
      </x:c>
      <x:c r="C546" t="str">
        <x:v>physical</x:v>
      </x:c>
      <x:c r="D546" t="str">
        <x:v>accepted paired event</x:v>
      </x:c>
      <x:c r="E546" t="n">
        <x:v>1</x:v>
      </x:c>
      <x:c r="F546" t="n">
        <x:f>'Event Register'!N15</x:f>
        <x:v>0</x:v>
      </x:c>
      <x:c r="G546" t="str">
        <x:v>'Event Register'!N15</x:v>
      </x:c>
      <x:c r="H546" t="str">
        <x:v>physical acceptance authority</x:v>
      </x:c>
      <x:c r="I546" t="str">
        <x:f>IF(F546=0,"OPEN",IF(E546=F546,"PASS","FAIL"))</x:f>
        <x:v>OPEN</x:v>
      </x:c>
    </x:row>
    <x:row r="547">
      <x:c r="B547" t="str">
        <x:v>PH-PEV-010</x:v>
      </x:c>
      <x:c r="C547" t="str">
        <x:v>physical</x:v>
      </x:c>
      <x:c r="D547" t="str">
        <x:v>accepted paired event</x:v>
      </x:c>
      <x:c r="E547" t="n">
        <x:v>1</x:v>
      </x:c>
      <x:c r="F547" t="n">
        <x:f>'Event Register'!N16</x:f>
        <x:v>0</x:v>
      </x:c>
      <x:c r="G547" t="str">
        <x:v>'Event Register'!N16</x:v>
      </x:c>
      <x:c r="H547" t="str">
        <x:v>physical acceptance authority</x:v>
      </x:c>
      <x:c r="I547" t="str">
        <x:f>IF(F547=0,"OPEN",IF(E547=F547,"PASS","FAIL"))</x:f>
        <x:v>OPEN</x:v>
      </x:c>
    </x:row>
    <x:row r="548">
      <x:c r="B548" t="str">
        <x:v>PH-PEV-011</x:v>
      </x:c>
      <x:c r="C548" t="str">
        <x:v>physical</x:v>
      </x:c>
      <x:c r="D548" t="str">
        <x:v>accepted paired event</x:v>
      </x:c>
      <x:c r="E548" t="n">
        <x:v>1</x:v>
      </x:c>
      <x:c r="F548" t="n">
        <x:f>'Event Register'!N17</x:f>
        <x:v>0</x:v>
      </x:c>
      <x:c r="G548" t="str">
        <x:v>'Event Register'!N17</x:v>
      </x:c>
      <x:c r="H548" t="str">
        <x:v>physical acceptance authority</x:v>
      </x:c>
      <x:c r="I548" t="str">
        <x:f>IF(F548=0,"OPEN",IF(E548=F548,"PASS","FAIL"))</x:f>
        <x:v>OPEN</x:v>
      </x:c>
    </x:row>
    <x:row r="549">
      <x:c r="B549" t="str">
        <x:v>PH-PEV-012</x:v>
      </x:c>
      <x:c r="C549" t="str">
        <x:v>physical</x:v>
      </x:c>
      <x:c r="D549" t="str">
        <x:v>accepted paired event</x:v>
      </x:c>
      <x:c r="E549" t="n">
        <x:v>1</x:v>
      </x:c>
      <x:c r="F549" t="n">
        <x:f>'Event Register'!N18</x:f>
        <x:v>0</x:v>
      </x:c>
      <x:c r="G549" t="str">
        <x:v>'Event Register'!N18</x:v>
      </x:c>
      <x:c r="H549" t="str">
        <x:v>physical acceptance authority</x:v>
      </x:c>
      <x:c r="I549" t="str">
        <x:f>IF(F549=0,"OPEN",IF(E549=F549,"PASS","FAIL"))</x:f>
        <x:v>OPEN</x:v>
      </x:c>
    </x:row>
    <x:row r="550">
      <x:c r="B550" t="str">
        <x:v>PH-PEV-013</x:v>
      </x:c>
      <x:c r="C550" t="str">
        <x:v>physical</x:v>
      </x:c>
      <x:c r="D550" t="str">
        <x:v>accepted paired event</x:v>
      </x:c>
      <x:c r="E550" t="n">
        <x:v>1</x:v>
      </x:c>
      <x:c r="F550" t="n">
        <x:f>'Event Register'!N19</x:f>
        <x:v>0</x:v>
      </x:c>
      <x:c r="G550" t="str">
        <x:v>'Event Register'!N19</x:v>
      </x:c>
      <x:c r="H550" t="str">
        <x:v>physical acceptance authority</x:v>
      </x:c>
      <x:c r="I550" t="str">
        <x:f>IF(F550=0,"OPEN",IF(E550=F550,"PASS","FAIL"))</x:f>
        <x:v>OPEN</x:v>
      </x:c>
    </x:row>
    <x:row r="551">
      <x:c r="B551" t="str">
        <x:v>PH-PEV-014</x:v>
      </x:c>
      <x:c r="C551" t="str">
        <x:v>physical</x:v>
      </x:c>
      <x:c r="D551" t="str">
        <x:v>accepted paired event</x:v>
      </x:c>
      <x:c r="E551" t="n">
        <x:v>1</x:v>
      </x:c>
      <x:c r="F551" t="n">
        <x:f>'Event Register'!N20</x:f>
        <x:v>0</x:v>
      </x:c>
      <x:c r="G551" t="str">
        <x:v>'Event Register'!N20</x:v>
      </x:c>
      <x:c r="H551" t="str">
        <x:v>physical acceptance authority</x:v>
      </x:c>
      <x:c r="I551" t="str">
        <x:f>IF(F551=0,"OPEN",IF(E551=F551,"PASS","FAIL"))</x:f>
        <x:v>OPEN</x:v>
      </x:c>
    </x:row>
    <x:row r="552">
      <x:c r="B552" t="str">
        <x:v>PH-PEV-015</x:v>
      </x:c>
      <x:c r="C552" t="str">
        <x:v>physical</x:v>
      </x:c>
      <x:c r="D552" t="str">
        <x:v>accepted paired event</x:v>
      </x:c>
      <x:c r="E552" t="n">
        <x:v>1</x:v>
      </x:c>
      <x:c r="F552" t="n">
        <x:f>'Event Register'!N21</x:f>
        <x:v>0</x:v>
      </x:c>
      <x:c r="G552" t="str">
        <x:v>'Event Register'!N21</x:v>
      </x:c>
      <x:c r="H552" t="str">
        <x:v>physical acceptance authority</x:v>
      </x:c>
      <x:c r="I552" t="str">
        <x:f>IF(F552=0,"OPEN",IF(E552=F552,"PASS","FAIL"))</x:f>
        <x:v>OPEN</x:v>
      </x:c>
    </x:row>
    <x:row r="553">
      <x:c r="B553" t="str">
        <x:v>PH-PEV-016</x:v>
      </x:c>
      <x:c r="C553" t="str">
        <x:v>physical</x:v>
      </x:c>
      <x:c r="D553" t="str">
        <x:v>accepted paired event</x:v>
      </x:c>
      <x:c r="E553" t="n">
        <x:v>1</x:v>
      </x:c>
      <x:c r="F553" t="n">
        <x:f>'Event Register'!N22</x:f>
        <x:v>0</x:v>
      </x:c>
      <x:c r="G553" t="str">
        <x:v>'Event Register'!N22</x:v>
      </x:c>
      <x:c r="H553" t="str">
        <x:v>physical acceptance authority</x:v>
      </x:c>
      <x:c r="I553" t="str">
        <x:f>IF(F553=0,"OPEN",IF(E553=F553,"PASS","FAIL"))</x:f>
        <x:v>OPEN</x:v>
      </x:c>
    </x:row>
    <x:row r="554">
      <x:c r="B554" t="str">
        <x:v>PH-PEV-017</x:v>
      </x:c>
      <x:c r="C554" t="str">
        <x:v>physical</x:v>
      </x:c>
      <x:c r="D554" t="str">
        <x:v>accepted paired event</x:v>
      </x:c>
      <x:c r="E554" t="n">
        <x:v>1</x:v>
      </x:c>
      <x:c r="F554" t="n">
        <x:f>'Event Register'!N23</x:f>
        <x:v>0</x:v>
      </x:c>
      <x:c r="G554" t="str">
        <x:v>'Event Register'!N23</x:v>
      </x:c>
      <x:c r="H554" t="str">
        <x:v>physical acceptance authority</x:v>
      </x:c>
      <x:c r="I554" t="str">
        <x:f>IF(F554=0,"OPEN",IF(E554=F554,"PASS","FAIL"))</x:f>
        <x:v>OPEN</x:v>
      </x:c>
    </x:row>
    <x:row r="555">
      <x:c r="B555" t="str">
        <x:v>PH-PEV-018</x:v>
      </x:c>
      <x:c r="C555" t="str">
        <x:v>physical</x:v>
      </x:c>
      <x:c r="D555" t="str">
        <x:v>accepted paired event</x:v>
      </x:c>
      <x:c r="E555" t="n">
        <x:v>1</x:v>
      </x:c>
      <x:c r="F555" t="n">
        <x:f>'Event Register'!N24</x:f>
        <x:v>0</x:v>
      </x:c>
      <x:c r="G555" t="str">
        <x:v>'Event Register'!N24</x:v>
      </x:c>
      <x:c r="H555" t="str">
        <x:v>physical acceptance authority</x:v>
      </x:c>
      <x:c r="I555" t="str">
        <x:f>IF(F555=0,"OPEN",IF(E555=F555,"PASS","FAIL"))</x:f>
        <x:v>OPEN</x:v>
      </x:c>
    </x:row>
    <x:row r="556">
      <x:c r="B556" t="str">
        <x:v>PH-PEV-019</x:v>
      </x:c>
      <x:c r="C556" t="str">
        <x:v>physical</x:v>
      </x:c>
      <x:c r="D556" t="str">
        <x:v>accepted paired event</x:v>
      </x:c>
      <x:c r="E556" t="n">
        <x:v>1</x:v>
      </x:c>
      <x:c r="F556" t="n">
        <x:f>'Event Register'!N25</x:f>
        <x:v>0</x:v>
      </x:c>
      <x:c r="G556" t="str">
        <x:v>'Event Register'!N25</x:v>
      </x:c>
      <x:c r="H556" t="str">
        <x:v>physical acceptance authority</x:v>
      </x:c>
      <x:c r="I556" t="str">
        <x:f>IF(F556=0,"OPEN",IF(E556=F556,"PASS","FAIL"))</x:f>
        <x:v>OPEN</x:v>
      </x:c>
    </x:row>
    <x:row r="557">
      <x:c r="B557" t="str">
        <x:v>PH-PEV-020</x:v>
      </x:c>
      <x:c r="C557" t="str">
        <x:v>physical</x:v>
      </x:c>
      <x:c r="D557" t="str">
        <x:v>accepted paired event</x:v>
      </x:c>
      <x:c r="E557" t="n">
        <x:v>1</x:v>
      </x:c>
      <x:c r="F557" t="n">
        <x:f>'Event Register'!N26</x:f>
        <x:v>0</x:v>
      </x:c>
      <x:c r="G557" t="str">
        <x:v>'Event Register'!N26</x:v>
      </x:c>
      <x:c r="H557" t="str">
        <x:v>physical acceptance authority</x:v>
      </x:c>
      <x:c r="I557" t="str">
        <x:f>IF(F557=0,"OPEN",IF(E557=F557,"PASS","FAIL"))</x:f>
        <x:v>OPEN</x:v>
      </x:c>
    </x:row>
    <x:row r="558">
      <x:c r="B558" t="str">
        <x:v>PH-PEV-021</x:v>
      </x:c>
      <x:c r="C558" t="str">
        <x:v>physical</x:v>
      </x:c>
      <x:c r="D558" t="str">
        <x:v>accepted paired event</x:v>
      </x:c>
      <x:c r="E558" t="n">
        <x:v>1</x:v>
      </x:c>
      <x:c r="F558" t="n">
        <x:f>'Event Register'!N27</x:f>
        <x:v>0</x:v>
      </x:c>
      <x:c r="G558" t="str">
        <x:v>'Event Register'!N27</x:v>
      </x:c>
      <x:c r="H558" t="str">
        <x:v>physical acceptance authority</x:v>
      </x:c>
      <x:c r="I558" t="str">
        <x:f>IF(F558=0,"OPEN",IF(E558=F558,"PASS","FAIL"))</x:f>
        <x:v>OPEN</x:v>
      </x:c>
    </x:row>
    <x:row r="559">
      <x:c r="B559" t="str">
        <x:v>PH-PEV-022</x:v>
      </x:c>
      <x:c r="C559" t="str">
        <x:v>physical</x:v>
      </x:c>
      <x:c r="D559" t="str">
        <x:v>accepted paired event</x:v>
      </x:c>
      <x:c r="E559" t="n">
        <x:v>1</x:v>
      </x:c>
      <x:c r="F559" t="n">
        <x:f>'Event Register'!N28</x:f>
        <x:v>0</x:v>
      </x:c>
      <x:c r="G559" t="str">
        <x:v>'Event Register'!N28</x:v>
      </x:c>
      <x:c r="H559" t="str">
        <x:v>physical acceptance authority</x:v>
      </x:c>
      <x:c r="I559" t="str">
        <x:f>IF(F559=0,"OPEN",IF(E559=F559,"PASS","FAIL"))</x:f>
        <x:v>OPEN</x:v>
      </x:c>
    </x:row>
    <x:row r="560">
      <x:c r="B560" t="str">
        <x:v>PH-PEV-023</x:v>
      </x:c>
      <x:c r="C560" t="str">
        <x:v>physical</x:v>
      </x:c>
      <x:c r="D560" t="str">
        <x:v>accepted paired event</x:v>
      </x:c>
      <x:c r="E560" t="n">
        <x:v>1</x:v>
      </x:c>
      <x:c r="F560" t="n">
        <x:f>'Event Register'!N29</x:f>
        <x:v>0</x:v>
      </x:c>
      <x:c r="G560" t="str">
        <x:v>'Event Register'!N29</x:v>
      </x:c>
      <x:c r="H560" t="str">
        <x:v>physical acceptance authority</x:v>
      </x:c>
      <x:c r="I560" t="str">
        <x:f>IF(F560=0,"OPEN",IF(E560=F560,"PASS","FAIL"))</x:f>
        <x:v>OPEN</x:v>
      </x:c>
    </x:row>
    <x:row r="561">
      <x:c r="B561" t="str">
        <x:v>PH-PEV-024</x:v>
      </x:c>
      <x:c r="C561" t="str">
        <x:v>physical</x:v>
      </x:c>
      <x:c r="D561" t="str">
        <x:v>accepted paired event</x:v>
      </x:c>
      <x:c r="E561" t="n">
        <x:v>1</x:v>
      </x:c>
      <x:c r="F561" t="n">
        <x:f>'Event Register'!N30</x:f>
        <x:v>0</x:v>
      </x:c>
      <x:c r="G561" t="str">
        <x:v>'Event Register'!N30</x:v>
      </x:c>
      <x:c r="H561" t="str">
        <x:v>physical acceptance authority</x:v>
      </x:c>
      <x:c r="I561" t="str">
        <x:f>IF(F561=0,"OPEN",IF(E561=F561,"PASS","FAIL"))</x:f>
        <x:v>OPEN</x:v>
      </x:c>
    </x:row>
    <x:row r="562">
      <x:c r="B562" t="str">
        <x:v>PH-PEV-025</x:v>
      </x:c>
      <x:c r="C562" t="str">
        <x:v>physical</x:v>
      </x:c>
      <x:c r="D562" t="str">
        <x:v>accepted paired event</x:v>
      </x:c>
      <x:c r="E562" t="n">
        <x:v>1</x:v>
      </x:c>
      <x:c r="F562" t="n">
        <x:f>'Event Register'!N31</x:f>
        <x:v>0</x:v>
      </x:c>
      <x:c r="G562" t="str">
        <x:v>'Event Register'!N31</x:v>
      </x:c>
      <x:c r="H562" t="str">
        <x:v>physical acceptance authority</x:v>
      </x:c>
      <x:c r="I562" t="str">
        <x:f>IF(F562=0,"OPEN",IF(E562=F562,"PASS","FAIL"))</x:f>
        <x:v>OPEN</x:v>
      </x:c>
    </x:row>
    <x:row r="563">
      <x:c r="B563" t="str">
        <x:v>PH-PEV-026</x:v>
      </x:c>
      <x:c r="C563" t="str">
        <x:v>physical</x:v>
      </x:c>
      <x:c r="D563" t="str">
        <x:v>accepted paired event</x:v>
      </x:c>
      <x:c r="E563" t="n">
        <x:v>1</x:v>
      </x:c>
      <x:c r="F563" t="n">
        <x:f>'Event Register'!N32</x:f>
        <x:v>0</x:v>
      </x:c>
      <x:c r="G563" t="str">
        <x:v>'Event Register'!N32</x:v>
      </x:c>
      <x:c r="H563" t="str">
        <x:v>physical acceptance authority</x:v>
      </x:c>
      <x:c r="I563" t="str">
        <x:f>IF(F563=0,"OPEN",IF(E563=F563,"PASS","FAIL"))</x:f>
        <x:v>OPEN</x:v>
      </x:c>
    </x:row>
    <x:row r="564">
      <x:c r="B564" t="str">
        <x:v>PH-PEV-027</x:v>
      </x:c>
      <x:c r="C564" t="str">
        <x:v>physical</x:v>
      </x:c>
      <x:c r="D564" t="str">
        <x:v>accepted paired event</x:v>
      </x:c>
      <x:c r="E564" t="n">
        <x:v>1</x:v>
      </x:c>
      <x:c r="F564" t="n">
        <x:f>'Event Register'!N33</x:f>
        <x:v>0</x:v>
      </x:c>
      <x:c r="G564" t="str">
        <x:v>'Event Register'!N33</x:v>
      </x:c>
      <x:c r="H564" t="str">
        <x:v>physical acceptance authority</x:v>
      </x:c>
      <x:c r="I564" t="str">
        <x:f>IF(F564=0,"OPEN",IF(E564=F564,"PASS","FAIL"))</x:f>
        <x:v>OPEN</x:v>
      </x:c>
    </x:row>
    <x:row r="565">
      <x:c r="B565" t="str">
        <x:v>PH-PEV-028</x:v>
      </x:c>
      <x:c r="C565" t="str">
        <x:v>physical</x:v>
      </x:c>
      <x:c r="D565" t="str">
        <x:v>accepted paired event</x:v>
      </x:c>
      <x:c r="E565" t="n">
        <x:v>1</x:v>
      </x:c>
      <x:c r="F565" t="n">
        <x:f>'Event Register'!N34</x:f>
        <x:v>0</x:v>
      </x:c>
      <x:c r="G565" t="str">
        <x:v>'Event Register'!N34</x:v>
      </x:c>
      <x:c r="H565" t="str">
        <x:v>physical acceptance authority</x:v>
      </x:c>
      <x:c r="I565" t="str">
        <x:f>IF(F565=0,"OPEN",IF(E565=F565,"PASS","FAIL"))</x:f>
        <x:v>OPEN</x:v>
      </x:c>
    </x:row>
    <x:row r="566">
      <x:c r="B566" t="str">
        <x:v>PH-PEV-029</x:v>
      </x:c>
      <x:c r="C566" t="str">
        <x:v>physical</x:v>
      </x:c>
      <x:c r="D566" t="str">
        <x:v>accepted paired event</x:v>
      </x:c>
      <x:c r="E566" t="n">
        <x:v>1</x:v>
      </x:c>
      <x:c r="F566" t="n">
        <x:f>'Event Register'!N35</x:f>
        <x:v>0</x:v>
      </x:c>
      <x:c r="G566" t="str">
        <x:v>'Event Register'!N35</x:v>
      </x:c>
      <x:c r="H566" t="str">
        <x:v>physical acceptance authority</x:v>
      </x:c>
      <x:c r="I566" t="str">
        <x:f>IF(F566=0,"OPEN",IF(E566=F566,"PASS","FAIL"))</x:f>
        <x:v>OPEN</x:v>
      </x:c>
    </x:row>
    <x:row r="567">
      <x:c r="B567" t="str">
        <x:v>PH-PEV-030</x:v>
      </x:c>
      <x:c r="C567" t="str">
        <x:v>physical</x:v>
      </x:c>
      <x:c r="D567" t="str">
        <x:v>accepted paired event</x:v>
      </x:c>
      <x:c r="E567" t="n">
        <x:v>1</x:v>
      </x:c>
      <x:c r="F567" t="n">
        <x:f>'Event Register'!N36</x:f>
        <x:v>0</x:v>
      </x:c>
      <x:c r="G567" t="str">
        <x:v>'Event Register'!N36</x:v>
      </x:c>
      <x:c r="H567" t="str">
        <x:v>physical acceptance authority</x:v>
      </x:c>
      <x:c r="I567" t="str">
        <x:f>IF(F567=0,"OPEN",IF(E567=F567,"PASS","FAIL"))</x:f>
        <x:v>OPEN</x:v>
      </x:c>
    </x:row>
    <x:row r="568">
      <x:c r="B568" t="str">
        <x:v>PH-PEV-031</x:v>
      </x:c>
      <x:c r="C568" t="str">
        <x:v>physical</x:v>
      </x:c>
      <x:c r="D568" t="str">
        <x:v>accepted paired event</x:v>
      </x:c>
      <x:c r="E568" t="n">
        <x:v>1</x:v>
      </x:c>
      <x:c r="F568" t="n">
        <x:f>'Event Register'!N37</x:f>
        <x:v>0</x:v>
      </x:c>
      <x:c r="G568" t="str">
        <x:v>'Event Register'!N37</x:v>
      </x:c>
      <x:c r="H568" t="str">
        <x:v>physical acceptance authority</x:v>
      </x:c>
      <x:c r="I568" t="str">
        <x:f>IF(F568=0,"OPEN",IF(E568=F568,"PASS","FAIL"))</x:f>
        <x:v>OPEN</x:v>
      </x:c>
    </x:row>
    <x:row r="569">
      <x:c r="B569" t="str">
        <x:v>PH-PEV-032</x:v>
      </x:c>
      <x:c r="C569" t="str">
        <x:v>physical</x:v>
      </x:c>
      <x:c r="D569" t="str">
        <x:v>accepted paired event</x:v>
      </x:c>
      <x:c r="E569" t="n">
        <x:v>1</x:v>
      </x:c>
      <x:c r="F569" t="n">
        <x:f>'Event Register'!N38</x:f>
        <x:v>0</x:v>
      </x:c>
      <x:c r="G569" t="str">
        <x:v>'Event Register'!N38</x:v>
      </x:c>
      <x:c r="H569" t="str">
        <x:v>physical acceptance authority</x:v>
      </x:c>
      <x:c r="I569" t="str">
        <x:f>IF(F569=0,"OPEN",IF(E569=F569,"PASS","FAIL"))</x:f>
        <x:v>OPEN</x:v>
      </x:c>
    </x:row>
    <x:row r="570">
      <x:c r="B570" t="str">
        <x:v>PH-PEV-033</x:v>
      </x:c>
      <x:c r="C570" t="str">
        <x:v>physical</x:v>
      </x:c>
      <x:c r="D570" t="str">
        <x:v>accepted paired event</x:v>
      </x:c>
      <x:c r="E570" t="n">
        <x:v>1</x:v>
      </x:c>
      <x:c r="F570" t="n">
        <x:f>'Event Register'!N39</x:f>
        <x:v>0</x:v>
      </x:c>
      <x:c r="G570" t="str">
        <x:v>'Event Register'!N39</x:v>
      </x:c>
      <x:c r="H570" t="str">
        <x:v>physical acceptance authority</x:v>
      </x:c>
      <x:c r="I570" t="str">
        <x:f>IF(F570=0,"OPEN",IF(E570=F570,"PASS","FAIL"))</x:f>
        <x:v>OPEN</x:v>
      </x:c>
    </x:row>
    <x:row r="571">
      <x:c r="B571" t="str">
        <x:v>PH-PEV-034</x:v>
      </x:c>
      <x:c r="C571" t="str">
        <x:v>physical</x:v>
      </x:c>
      <x:c r="D571" t="str">
        <x:v>accepted paired event</x:v>
      </x:c>
      <x:c r="E571" t="n">
        <x:v>1</x:v>
      </x:c>
      <x:c r="F571" t="n">
        <x:f>'Event Register'!N40</x:f>
        <x:v>0</x:v>
      </x:c>
      <x:c r="G571" t="str">
        <x:v>'Event Register'!N40</x:v>
      </x:c>
      <x:c r="H571" t="str">
        <x:v>physical acceptance authority</x:v>
      </x:c>
      <x:c r="I571" t="str">
        <x:f>IF(F571=0,"OPEN",IF(E571=F571,"PASS","FAIL"))</x:f>
        <x:v>OPEN</x:v>
      </x:c>
    </x:row>
    <x:row r="572">
      <x:c r="B572" t="str">
        <x:v>PH-PEV-035</x:v>
      </x:c>
      <x:c r="C572" t="str">
        <x:v>physical</x:v>
      </x:c>
      <x:c r="D572" t="str">
        <x:v>accepted paired event</x:v>
      </x:c>
      <x:c r="E572" t="n">
        <x:v>1</x:v>
      </x:c>
      <x:c r="F572" t="n">
        <x:f>'Event Register'!N41</x:f>
        <x:v>0</x:v>
      </x:c>
      <x:c r="G572" t="str">
        <x:v>'Event Register'!N41</x:v>
      </x:c>
      <x:c r="H572" t="str">
        <x:v>physical acceptance authority</x:v>
      </x:c>
      <x:c r="I572" t="str">
        <x:f>IF(F572=0,"OPEN",IF(E572=F572,"PASS","FAIL"))</x:f>
        <x:v>OPEN</x:v>
      </x:c>
    </x:row>
    <x:row r="573">
      <x:c r="B573" t="str">
        <x:v>PH-PEV-036</x:v>
      </x:c>
      <x:c r="C573" t="str">
        <x:v>physical</x:v>
      </x:c>
      <x:c r="D573" t="str">
        <x:v>accepted paired event</x:v>
      </x:c>
      <x:c r="E573" t="n">
        <x:v>1</x:v>
      </x:c>
      <x:c r="F573" t="n">
        <x:f>'Event Register'!N42</x:f>
        <x:v>0</x:v>
      </x:c>
      <x:c r="G573" t="str">
        <x:v>'Event Register'!N42</x:v>
      </x:c>
      <x:c r="H573" t="str">
        <x:v>physical acceptance authority</x:v>
      </x:c>
      <x:c r="I573" t="str">
        <x:f>IF(F573=0,"OPEN",IF(E573=F573,"PASS","FAIL"))</x:f>
        <x:v>OPEN</x:v>
      </x:c>
    </x:row>
    <x:row r="574">
      <x:c r="B574" t="str">
        <x:v>PH-PEV-037</x:v>
      </x:c>
      <x:c r="C574" t="str">
        <x:v>physical</x:v>
      </x:c>
      <x:c r="D574" t="str">
        <x:v>accepted paired event</x:v>
      </x:c>
      <x:c r="E574" t="n">
        <x:v>1</x:v>
      </x:c>
      <x:c r="F574" t="n">
        <x:f>'Event Register'!N43</x:f>
        <x:v>0</x:v>
      </x:c>
      <x:c r="G574" t="str">
        <x:v>'Event Register'!N43</x:v>
      </x:c>
      <x:c r="H574" t="str">
        <x:v>physical acceptance authority</x:v>
      </x:c>
      <x:c r="I574" t="str">
        <x:f>IF(F574=0,"OPEN",IF(E574=F574,"PASS","FAIL"))</x:f>
        <x:v>OPEN</x:v>
      </x:c>
    </x:row>
    <x:row r="575">
      <x:c r="B575" t="str">
        <x:v>PH-PEV-038</x:v>
      </x:c>
      <x:c r="C575" t="str">
        <x:v>physical</x:v>
      </x:c>
      <x:c r="D575" t="str">
        <x:v>accepted paired event</x:v>
      </x:c>
      <x:c r="E575" t="n">
        <x:v>1</x:v>
      </x:c>
      <x:c r="F575" t="n">
        <x:f>'Event Register'!N44</x:f>
        <x:v>0</x:v>
      </x:c>
      <x:c r="G575" t="str">
        <x:v>'Event Register'!N44</x:v>
      </x:c>
      <x:c r="H575" t="str">
        <x:v>physical acceptance authority</x:v>
      </x:c>
      <x:c r="I575" t="str">
        <x:f>IF(F575=0,"OPEN",IF(E575=F575,"PASS","FAIL"))</x:f>
        <x:v>OPEN</x:v>
      </x:c>
    </x:row>
    <x:row r="576">
      <x:c r="B576" t="str">
        <x:v>PH-PEV-039</x:v>
      </x:c>
      <x:c r="C576" t="str">
        <x:v>physical</x:v>
      </x:c>
      <x:c r="D576" t="str">
        <x:v>accepted paired event</x:v>
      </x:c>
      <x:c r="E576" t="n">
        <x:v>1</x:v>
      </x:c>
      <x:c r="F576" t="n">
        <x:f>'Event Register'!N45</x:f>
        <x:v>0</x:v>
      </x:c>
      <x:c r="G576" t="str">
        <x:v>'Event Register'!N45</x:v>
      </x:c>
      <x:c r="H576" t="str">
        <x:v>physical acceptance authority</x:v>
      </x:c>
      <x:c r="I576" t="str">
        <x:f>IF(F576=0,"OPEN",IF(E576=F576,"PASS","FAIL"))</x:f>
        <x:v>OPEN</x:v>
      </x:c>
    </x:row>
    <x:row r="577">
      <x:c r="B577" t="str">
        <x:v>PH-PEV-040</x:v>
      </x:c>
      <x:c r="C577" t="str">
        <x:v>physical</x:v>
      </x:c>
      <x:c r="D577" t="str">
        <x:v>accepted paired event</x:v>
      </x:c>
      <x:c r="E577" t="n">
        <x:v>1</x:v>
      </x:c>
      <x:c r="F577" t="n">
        <x:f>'Event Register'!N46</x:f>
        <x:v>0</x:v>
      </x:c>
      <x:c r="G577" t="str">
        <x:v>'Event Register'!N46</x:v>
      </x:c>
      <x:c r="H577" t="str">
        <x:v>physical acceptance authority</x:v>
      </x:c>
      <x:c r="I577" t="str">
        <x:f>IF(F577=0,"OPEN",IF(E577=F577,"PASS","FAIL"))</x:f>
        <x:v>OPEN</x:v>
      </x:c>
    </x:row>
    <x:row r="578">
      <x:c r="B578" t="str">
        <x:v>PH-PEV-041</x:v>
      </x:c>
      <x:c r="C578" t="str">
        <x:v>physical</x:v>
      </x:c>
      <x:c r="D578" t="str">
        <x:v>accepted paired event</x:v>
      </x:c>
      <x:c r="E578" t="n">
        <x:v>1</x:v>
      </x:c>
      <x:c r="F578" t="n">
        <x:f>'Event Register'!N47</x:f>
        <x:v>0</x:v>
      </x:c>
      <x:c r="G578" t="str">
        <x:v>'Event Register'!N47</x:v>
      </x:c>
      <x:c r="H578" t="str">
        <x:v>physical acceptance authority</x:v>
      </x:c>
      <x:c r="I578" t="str">
        <x:f>IF(F578=0,"OPEN",IF(E578=F578,"PASS","FAIL"))</x:f>
        <x:v>OPEN</x:v>
      </x:c>
    </x:row>
    <x:row r="579">
      <x:c r="B579" t="str">
        <x:v>PH-PEV-042</x:v>
      </x:c>
      <x:c r="C579" t="str">
        <x:v>physical</x:v>
      </x:c>
      <x:c r="D579" t="str">
        <x:v>accepted paired event</x:v>
      </x:c>
      <x:c r="E579" t="n">
        <x:v>1</x:v>
      </x:c>
      <x:c r="F579" t="n">
        <x:f>'Event Register'!N48</x:f>
        <x:v>0</x:v>
      </x:c>
      <x:c r="G579" t="str">
        <x:v>'Event Register'!N48</x:v>
      </x:c>
      <x:c r="H579" t="str">
        <x:v>physical acceptance authority</x:v>
      </x:c>
      <x:c r="I579" t="str">
        <x:f>IF(F579=0,"OPEN",IF(E579=F579,"PASS","FAIL"))</x:f>
        <x:v>OPEN</x:v>
      </x:c>
    </x:row>
    <x:row r="580">
      <x:c r="B580" t="str">
        <x:v>PH-PEV-043</x:v>
      </x:c>
      <x:c r="C580" t="str">
        <x:v>physical</x:v>
      </x:c>
      <x:c r="D580" t="str">
        <x:v>accepted paired event</x:v>
      </x:c>
      <x:c r="E580" t="n">
        <x:v>1</x:v>
      </x:c>
      <x:c r="F580" t="n">
        <x:f>'Event Register'!N49</x:f>
        <x:v>0</x:v>
      </x:c>
      <x:c r="G580" t="str">
        <x:v>'Event Register'!N49</x:v>
      </x:c>
      <x:c r="H580" t="str">
        <x:v>physical acceptance authority</x:v>
      </x:c>
      <x:c r="I580" t="str">
        <x:f>IF(F580=0,"OPEN",IF(E580=F580,"PASS","FAIL"))</x:f>
        <x:v>OPEN</x:v>
      </x:c>
    </x:row>
    <x:row r="581">
      <x:c r="B581" t="str">
        <x:v>PH-PEV-044</x:v>
      </x:c>
      <x:c r="C581" t="str">
        <x:v>physical</x:v>
      </x:c>
      <x:c r="D581" t="str">
        <x:v>accepted paired event</x:v>
      </x:c>
      <x:c r="E581" t="n">
        <x:v>1</x:v>
      </x:c>
      <x:c r="F581" t="n">
        <x:f>'Event Register'!N50</x:f>
        <x:v>0</x:v>
      </x:c>
      <x:c r="G581" t="str">
        <x:v>'Event Register'!N50</x:v>
      </x:c>
      <x:c r="H581" t="str">
        <x:v>physical acceptance authority</x:v>
      </x:c>
      <x:c r="I581" t="str">
        <x:f>IF(F581=0,"OPEN",IF(E581=F581,"PASS","FAIL"))</x:f>
        <x:v>OPEN</x:v>
      </x:c>
    </x:row>
    <x:row r="582">
      <x:c r="B582" t="str">
        <x:v>PH-PEV-045</x:v>
      </x:c>
      <x:c r="C582" t="str">
        <x:v>physical</x:v>
      </x:c>
      <x:c r="D582" t="str">
        <x:v>accepted paired event</x:v>
      </x:c>
      <x:c r="E582" t="n">
        <x:v>1</x:v>
      </x:c>
      <x:c r="F582" t="n">
        <x:f>'Event Register'!N51</x:f>
        <x:v>0</x:v>
      </x:c>
      <x:c r="G582" t="str">
        <x:v>'Event Register'!N51</x:v>
      </x:c>
      <x:c r="H582" t="str">
        <x:v>physical acceptance authority</x:v>
      </x:c>
      <x:c r="I582" t="str">
        <x:f>IF(F582=0,"OPEN",IF(E582=F582,"PASS","FAIL"))</x:f>
        <x:v>OPEN</x:v>
      </x:c>
    </x:row>
    <x:row r="583">
      <x:c r="B583" t="str">
        <x:v>PH-PEV-046</x:v>
      </x:c>
      <x:c r="C583" t="str">
        <x:v>physical</x:v>
      </x:c>
      <x:c r="D583" t="str">
        <x:v>accepted paired event</x:v>
      </x:c>
      <x:c r="E583" t="n">
        <x:v>1</x:v>
      </x:c>
      <x:c r="F583" t="n">
        <x:f>'Event Register'!N52</x:f>
        <x:v>0</x:v>
      </x:c>
      <x:c r="G583" t="str">
        <x:v>'Event Register'!N52</x:v>
      </x:c>
      <x:c r="H583" t="str">
        <x:v>physical acceptance authority</x:v>
      </x:c>
      <x:c r="I583" t="str">
        <x:f>IF(F583=0,"OPEN",IF(E583=F583,"PASS","FAIL"))</x:f>
        <x:v>OPEN</x:v>
      </x:c>
    </x:row>
    <x:row r="584">
      <x:c r="B584" t="str">
        <x:v>PH-PEV-047</x:v>
      </x:c>
      <x:c r="C584" t="str">
        <x:v>physical</x:v>
      </x:c>
      <x:c r="D584" t="str">
        <x:v>accepted paired event</x:v>
      </x:c>
      <x:c r="E584" t="n">
        <x:v>1</x:v>
      </x:c>
      <x:c r="F584" t="n">
        <x:f>'Event Register'!N53</x:f>
        <x:v>0</x:v>
      </x:c>
      <x:c r="G584" t="str">
        <x:v>'Event Register'!N53</x:v>
      </x:c>
      <x:c r="H584" t="str">
        <x:v>physical acceptance authority</x:v>
      </x:c>
      <x:c r="I584" t="str">
        <x:f>IF(F584=0,"OPEN",IF(E584=F584,"PASS","FAIL"))</x:f>
        <x:v>OPEN</x:v>
      </x:c>
    </x:row>
    <x:row r="585">
      <x:c r="B585" t="str">
        <x:v>PH-PEV-048</x:v>
      </x:c>
      <x:c r="C585" t="str">
        <x:v>physical</x:v>
      </x:c>
      <x:c r="D585" t="str">
        <x:v>accepted paired event</x:v>
      </x:c>
      <x:c r="E585" t="n">
        <x:v>1</x:v>
      </x:c>
      <x:c r="F585" t="n">
        <x:f>'Event Register'!N54</x:f>
        <x:v>0</x:v>
      </x:c>
      <x:c r="G585" t="str">
        <x:v>'Event Register'!N54</x:v>
      </x:c>
      <x:c r="H585" t="str">
        <x:v>physical acceptance authority</x:v>
      </x:c>
      <x:c r="I585" t="str">
        <x:f>IF(F585=0,"OPEN",IF(E585=F585,"PASS","FAIL"))</x:f>
        <x:v>OPEN</x:v>
      </x:c>
    </x:row>
    <x:row r="586">
      <x:c r="B586" t="str">
        <x:v>PH-PEV-049</x:v>
      </x:c>
      <x:c r="C586" t="str">
        <x:v>physical</x:v>
      </x:c>
      <x:c r="D586" t="str">
        <x:v>accepted paired event</x:v>
      </x:c>
      <x:c r="E586" t="n">
        <x:v>1</x:v>
      </x:c>
      <x:c r="F586" t="n">
        <x:f>'Event Register'!N55</x:f>
        <x:v>0</x:v>
      </x:c>
      <x:c r="G586" t="str">
        <x:v>'Event Register'!N55</x:v>
      </x:c>
      <x:c r="H586" t="str">
        <x:v>physical acceptance authority</x:v>
      </x:c>
      <x:c r="I586" t="str">
        <x:f>IF(F586=0,"OPEN",IF(E586=F586,"PASS","FAIL"))</x:f>
        <x:v>OPEN</x:v>
      </x:c>
    </x:row>
    <x:row r="587">
      <x:c r="B587" t="str">
        <x:v>PH-PEV-050</x:v>
      </x:c>
      <x:c r="C587" t="str">
        <x:v>physical</x:v>
      </x:c>
      <x:c r="D587" t="str">
        <x:v>accepted paired event</x:v>
      </x:c>
      <x:c r="E587" t="n">
        <x:v>1</x:v>
      </x:c>
      <x:c r="F587" t="n">
        <x:f>'Event Register'!N56</x:f>
        <x:v>0</x:v>
      </x:c>
      <x:c r="G587" t="str">
        <x:v>'Event Register'!N56</x:v>
      </x:c>
      <x:c r="H587" t="str">
        <x:v>physical acceptance authority</x:v>
      </x:c>
      <x:c r="I587" t="str">
        <x:f>IF(F587=0,"OPEN",IF(E587=F587,"PASS","FAIL"))</x:f>
        <x:v>OPEN</x:v>
      </x:c>
    </x:row>
    <x:row r="588">
      <x:c r="B588" t="str">
        <x:v>PH-PEV-051</x:v>
      </x:c>
      <x:c r="C588" t="str">
        <x:v>physical</x:v>
      </x:c>
      <x:c r="D588" t="str">
        <x:v>accepted paired event</x:v>
      </x:c>
      <x:c r="E588" t="n">
        <x:v>1</x:v>
      </x:c>
      <x:c r="F588" t="n">
        <x:f>'Event Register'!N57</x:f>
        <x:v>0</x:v>
      </x:c>
      <x:c r="G588" t="str">
        <x:v>'Event Register'!N57</x:v>
      </x:c>
      <x:c r="H588" t="str">
        <x:v>physical acceptance authority</x:v>
      </x:c>
      <x:c r="I588" t="str">
        <x:f>IF(F588=0,"OPEN",IF(E588=F588,"PASS","FAIL"))</x:f>
        <x:v>OPEN</x:v>
      </x:c>
    </x:row>
    <x:row r="589">
      <x:c r="B589" t="str">
        <x:v>PH-PEV-052</x:v>
      </x:c>
      <x:c r="C589" t="str">
        <x:v>physical</x:v>
      </x:c>
      <x:c r="D589" t="str">
        <x:v>accepted paired event</x:v>
      </x:c>
      <x:c r="E589" t="n">
        <x:v>1</x:v>
      </x:c>
      <x:c r="F589" t="n">
        <x:f>'Event Register'!N58</x:f>
        <x:v>0</x:v>
      </x:c>
      <x:c r="G589" t="str">
        <x:v>'Event Register'!N58</x:v>
      </x:c>
      <x:c r="H589" t="str">
        <x:v>physical acceptance authority</x:v>
      </x:c>
      <x:c r="I589" t="str">
        <x:f>IF(F589=0,"OPEN",IF(E589=F589,"PASS","FAIL"))</x:f>
        <x:v>OPEN</x:v>
      </x:c>
    </x:row>
    <x:row r="590">
      <x:c r="B590" t="str">
        <x:v>PH-PEV-053</x:v>
      </x:c>
      <x:c r="C590" t="str">
        <x:v>physical</x:v>
      </x:c>
      <x:c r="D590" t="str">
        <x:v>accepted paired event</x:v>
      </x:c>
      <x:c r="E590" t="n">
        <x:v>1</x:v>
      </x:c>
      <x:c r="F590" t="n">
        <x:f>'Event Register'!N59</x:f>
        <x:v>0</x:v>
      </x:c>
      <x:c r="G590" t="str">
        <x:v>'Event Register'!N59</x:v>
      </x:c>
      <x:c r="H590" t="str">
        <x:v>physical acceptance authority</x:v>
      </x:c>
      <x:c r="I590" t="str">
        <x:f>IF(F590=0,"OPEN",IF(E590=F590,"PASS","FAIL"))</x:f>
        <x:v>OPEN</x:v>
      </x:c>
    </x:row>
    <x:row r="591">
      <x:c r="B591" t="str">
        <x:v>PH-PEV-054</x:v>
      </x:c>
      <x:c r="C591" t="str">
        <x:v>physical</x:v>
      </x:c>
      <x:c r="D591" t="str">
        <x:v>accepted paired event</x:v>
      </x:c>
      <x:c r="E591" t="n">
        <x:v>1</x:v>
      </x:c>
      <x:c r="F591" t="n">
        <x:f>'Event Register'!N60</x:f>
        <x:v>0</x:v>
      </x:c>
      <x:c r="G591" t="str">
        <x:v>'Event Register'!N60</x:v>
      </x:c>
      <x:c r="H591" t="str">
        <x:v>physical acceptance authority</x:v>
      </x:c>
      <x:c r="I591" t="str">
        <x:f>IF(F591=0,"OPEN",IF(E591=F591,"PASS","FAIL"))</x:f>
        <x:v>OPEN</x:v>
      </x:c>
    </x:row>
    <x:row r="592">
      <x:c r="B592" t="str">
        <x:v>PH-PEV-055</x:v>
      </x:c>
      <x:c r="C592" t="str">
        <x:v>physical</x:v>
      </x:c>
      <x:c r="D592" t="str">
        <x:v>accepted paired event</x:v>
      </x:c>
      <x:c r="E592" t="n">
        <x:v>1</x:v>
      </x:c>
      <x:c r="F592" t="n">
        <x:f>'Event Register'!N61</x:f>
        <x:v>0</x:v>
      </x:c>
      <x:c r="G592" t="str">
        <x:v>'Event Register'!N61</x:v>
      </x:c>
      <x:c r="H592" t="str">
        <x:v>physical acceptance authority</x:v>
      </x:c>
      <x:c r="I592" t="str">
        <x:f>IF(F592=0,"OPEN",IF(E592=F592,"PASS","FAIL"))</x:f>
        <x:v>OPEN</x:v>
      </x:c>
    </x:row>
    <x:row r="593">
      <x:c r="B593" t="str">
        <x:v>PH-PEV-056</x:v>
      </x:c>
      <x:c r="C593" t="str">
        <x:v>physical</x:v>
      </x:c>
      <x:c r="D593" t="str">
        <x:v>accepted paired event</x:v>
      </x:c>
      <x:c r="E593" t="n">
        <x:v>1</x:v>
      </x:c>
      <x:c r="F593" t="n">
        <x:f>'Event Register'!N62</x:f>
        <x:v>0</x:v>
      </x:c>
      <x:c r="G593" t="str">
        <x:v>'Event Register'!N62</x:v>
      </x:c>
      <x:c r="H593" t="str">
        <x:v>physical acceptance authority</x:v>
      </x:c>
      <x:c r="I593" t="str">
        <x:f>IF(F593=0,"OPEN",IF(E593=F593,"PASS","FAIL"))</x:f>
        <x:v>OPEN</x:v>
      </x:c>
    </x:row>
    <x:row r="594">
      <x:c r="B594" t="str">
        <x:v>PH-PEV-057</x:v>
      </x:c>
      <x:c r="C594" t="str">
        <x:v>physical</x:v>
      </x:c>
      <x:c r="D594" t="str">
        <x:v>accepted paired event</x:v>
      </x:c>
      <x:c r="E594" t="n">
        <x:v>1</x:v>
      </x:c>
      <x:c r="F594" t="n">
        <x:f>'Event Register'!N63</x:f>
        <x:v>0</x:v>
      </x:c>
      <x:c r="G594" t="str">
        <x:v>'Event Register'!N63</x:v>
      </x:c>
      <x:c r="H594" t="str">
        <x:v>physical acceptance authority</x:v>
      </x:c>
      <x:c r="I594" t="str">
        <x:f>IF(F594=0,"OPEN",IF(E594=F594,"PASS","FAIL"))</x:f>
        <x:v>OPEN</x:v>
      </x:c>
    </x:row>
    <x:row r="595">
      <x:c r="B595" t="str">
        <x:v>PH-PEV-058</x:v>
      </x:c>
      <x:c r="C595" t="str">
        <x:v>physical</x:v>
      </x:c>
      <x:c r="D595" t="str">
        <x:v>accepted paired event</x:v>
      </x:c>
      <x:c r="E595" t="n">
        <x:v>1</x:v>
      </x:c>
      <x:c r="F595" t="n">
        <x:f>'Event Register'!N64</x:f>
        <x:v>0</x:v>
      </x:c>
      <x:c r="G595" t="str">
        <x:v>'Event Register'!N64</x:v>
      </x:c>
      <x:c r="H595" t="str">
        <x:v>physical acceptance authority</x:v>
      </x:c>
      <x:c r="I595" t="str">
        <x:f>IF(F595=0,"OPEN",IF(E595=F595,"PASS","FAIL"))</x:f>
        <x:v>OPEN</x:v>
      </x:c>
    </x:row>
    <x:row r="596">
      <x:c r="B596" t="str">
        <x:v>PH-PEV-059</x:v>
      </x:c>
      <x:c r="C596" t="str">
        <x:v>physical</x:v>
      </x:c>
      <x:c r="D596" t="str">
        <x:v>accepted paired event</x:v>
      </x:c>
      <x:c r="E596" t="n">
        <x:v>1</x:v>
      </x:c>
      <x:c r="F596" t="n">
        <x:f>'Event Register'!N65</x:f>
        <x:v>0</x:v>
      </x:c>
      <x:c r="G596" t="str">
        <x:v>'Event Register'!N65</x:v>
      </x:c>
      <x:c r="H596" t="str">
        <x:v>physical acceptance authority</x:v>
      </x:c>
      <x:c r="I596" t="str">
        <x:f>IF(F596=0,"OPEN",IF(E596=F596,"PASS","FAIL"))</x:f>
        <x:v>OPEN</x:v>
      </x:c>
    </x:row>
    <x:row r="597">
      <x:c r="B597" t="str">
        <x:v>PH-PEV-060</x:v>
      </x:c>
      <x:c r="C597" t="str">
        <x:v>physical</x:v>
      </x:c>
      <x:c r="D597" t="str">
        <x:v>accepted paired event</x:v>
      </x:c>
      <x:c r="E597" t="n">
        <x:v>1</x:v>
      </x:c>
      <x:c r="F597" t="n">
        <x:f>'Event Register'!N66</x:f>
        <x:v>0</x:v>
      </x:c>
      <x:c r="G597" t="str">
        <x:v>'Event Register'!N66</x:v>
      </x:c>
      <x:c r="H597" t="str">
        <x:v>physical acceptance authority</x:v>
      </x:c>
      <x:c r="I597" t="str">
        <x:f>IF(F597=0,"OPEN",IF(E597=F597,"PASS","FAIL"))</x:f>
        <x:v>OPEN</x:v>
      </x:c>
    </x:row>
    <x:row r="598">
      <x:c r="B598" t="str">
        <x:v>PH-PEV-061</x:v>
      </x:c>
      <x:c r="C598" t="str">
        <x:v>physical</x:v>
      </x:c>
      <x:c r="D598" t="str">
        <x:v>accepted paired event</x:v>
      </x:c>
      <x:c r="E598" t="n">
        <x:v>1</x:v>
      </x:c>
      <x:c r="F598" t="n">
        <x:f>'Event Register'!N67</x:f>
        <x:v>0</x:v>
      </x:c>
      <x:c r="G598" t="str">
        <x:v>'Event Register'!N67</x:v>
      </x:c>
      <x:c r="H598" t="str">
        <x:v>physical acceptance authority</x:v>
      </x:c>
      <x:c r="I598" t="str">
        <x:f>IF(F598=0,"OPEN",IF(E598=F598,"PASS","FAIL"))</x:f>
        <x:v>OPEN</x:v>
      </x:c>
    </x:row>
    <x:row r="599">
      <x:c r="B599" t="str">
        <x:v>PH-PEV-062</x:v>
      </x:c>
      <x:c r="C599" t="str">
        <x:v>physical</x:v>
      </x:c>
      <x:c r="D599" t="str">
        <x:v>accepted paired event</x:v>
      </x:c>
      <x:c r="E599" t="n">
        <x:v>1</x:v>
      </x:c>
      <x:c r="F599" t="n">
        <x:f>'Event Register'!N68</x:f>
        <x:v>0</x:v>
      </x:c>
      <x:c r="G599" t="str">
        <x:v>'Event Register'!N68</x:v>
      </x:c>
      <x:c r="H599" t="str">
        <x:v>physical acceptance authority</x:v>
      </x:c>
      <x:c r="I599" t="str">
        <x:f>IF(F599=0,"OPEN",IF(E599=F599,"PASS","FAIL"))</x:f>
        <x:v>OPEN</x:v>
      </x:c>
    </x:row>
    <x:row r="600">
      <x:c r="B600" t="str">
        <x:v>PH-PEV-063</x:v>
      </x:c>
      <x:c r="C600" t="str">
        <x:v>physical</x:v>
      </x:c>
      <x:c r="D600" t="str">
        <x:v>accepted paired event</x:v>
      </x:c>
      <x:c r="E600" t="n">
        <x:v>1</x:v>
      </x:c>
      <x:c r="F600" t="n">
        <x:f>'Event Register'!N69</x:f>
        <x:v>0</x:v>
      </x:c>
      <x:c r="G600" t="str">
        <x:v>'Event Register'!N69</x:v>
      </x:c>
      <x:c r="H600" t="str">
        <x:v>physical acceptance authority</x:v>
      </x:c>
      <x:c r="I600" t="str">
        <x:f>IF(F600=0,"OPEN",IF(E600=F600,"PASS","FAIL"))</x:f>
        <x:v>OPEN</x:v>
      </x:c>
    </x:row>
    <x:row r="601">
      <x:c r="B601" t="str">
        <x:v>PH-PEV-064</x:v>
      </x:c>
      <x:c r="C601" t="str">
        <x:v>physical</x:v>
      </x:c>
      <x:c r="D601" t="str">
        <x:v>accepted paired event</x:v>
      </x:c>
      <x:c r="E601" t="n">
        <x:v>1</x:v>
      </x:c>
      <x:c r="F601" t="n">
        <x:f>'Event Register'!N70</x:f>
        <x:v>0</x:v>
      </x:c>
      <x:c r="G601" t="str">
        <x:v>'Event Register'!N70</x:v>
      </x:c>
      <x:c r="H601" t="str">
        <x:v>physical acceptance authority</x:v>
      </x:c>
      <x:c r="I601" t="str">
        <x:f>IF(F601=0,"OPEN",IF(E601=F601,"PASS","FAIL"))</x:f>
        <x:v>OPEN</x:v>
      </x:c>
    </x:row>
    <x:row r="602">
      <x:c r="B602" t="str">
        <x:v>PH-PEV-065</x:v>
      </x:c>
      <x:c r="C602" t="str">
        <x:v>physical</x:v>
      </x:c>
      <x:c r="D602" t="str">
        <x:v>accepted paired event</x:v>
      </x:c>
      <x:c r="E602" t="n">
        <x:v>1</x:v>
      </x:c>
      <x:c r="F602" t="n">
        <x:f>'Event Register'!N71</x:f>
        <x:v>0</x:v>
      </x:c>
      <x:c r="G602" t="str">
        <x:v>'Event Register'!N71</x:v>
      </x:c>
      <x:c r="H602" t="str">
        <x:v>physical acceptance authority</x:v>
      </x:c>
      <x:c r="I602" t="str">
        <x:f>IF(F602=0,"OPEN",IF(E602=F602,"PASS","FAIL"))</x:f>
        <x:v>OPEN</x:v>
      </x:c>
    </x:row>
    <x:row r="603">
      <x:c r="B603" t="str">
        <x:v>PH-PEV-066</x:v>
      </x:c>
      <x:c r="C603" t="str">
        <x:v>physical</x:v>
      </x:c>
      <x:c r="D603" t="str">
        <x:v>accepted paired event</x:v>
      </x:c>
      <x:c r="E603" t="n">
        <x:v>1</x:v>
      </x:c>
      <x:c r="F603" t="n">
        <x:f>'Event Register'!N72</x:f>
        <x:v>0</x:v>
      </x:c>
      <x:c r="G603" t="str">
        <x:v>'Event Register'!N72</x:v>
      </x:c>
      <x:c r="H603" t="str">
        <x:v>physical acceptance authority</x:v>
      </x:c>
      <x:c r="I603" t="str">
        <x:f>IF(F603=0,"OPEN",IF(E603=F603,"PASS","FAIL"))</x:f>
        <x:v>OPEN</x:v>
      </x:c>
    </x:row>
    <x:row r="604">
      <x:c r="B604" t="str">
        <x:v>PH-PEV-067</x:v>
      </x:c>
      <x:c r="C604" t="str">
        <x:v>physical</x:v>
      </x:c>
      <x:c r="D604" t="str">
        <x:v>accepted paired event</x:v>
      </x:c>
      <x:c r="E604" t="n">
        <x:v>1</x:v>
      </x:c>
      <x:c r="F604" t="n">
        <x:f>'Event Register'!N73</x:f>
        <x:v>0</x:v>
      </x:c>
      <x:c r="G604" t="str">
        <x:v>'Event Register'!N73</x:v>
      </x:c>
      <x:c r="H604" t="str">
        <x:v>physical acceptance authority</x:v>
      </x:c>
      <x:c r="I604" t="str">
        <x:f>IF(F604=0,"OPEN",IF(E604=F604,"PASS","FAIL"))</x:f>
        <x:v>OPEN</x:v>
      </x:c>
    </x:row>
    <x:row r="605">
      <x:c r="B605" t="str">
        <x:v>PH-PEV-068</x:v>
      </x:c>
      <x:c r="C605" t="str">
        <x:v>physical</x:v>
      </x:c>
      <x:c r="D605" t="str">
        <x:v>accepted paired event</x:v>
      </x:c>
      <x:c r="E605" t="n">
        <x:v>1</x:v>
      </x:c>
      <x:c r="F605" t="n">
        <x:f>'Event Register'!N74</x:f>
        <x:v>0</x:v>
      </x:c>
      <x:c r="G605" t="str">
        <x:v>'Event Register'!N74</x:v>
      </x:c>
      <x:c r="H605" t="str">
        <x:v>physical acceptance authority</x:v>
      </x:c>
      <x:c r="I605" t="str">
        <x:f>IF(F605=0,"OPEN",IF(E605=F605,"PASS","FAIL"))</x:f>
        <x:v>OPEN</x:v>
      </x:c>
    </x:row>
    <x:row r="606">
      <x:c r="B606" t="str">
        <x:v>PH-PEV-069</x:v>
      </x:c>
      <x:c r="C606" t="str">
        <x:v>physical</x:v>
      </x:c>
      <x:c r="D606" t="str">
        <x:v>accepted paired event</x:v>
      </x:c>
      <x:c r="E606" t="n">
        <x:v>1</x:v>
      </x:c>
      <x:c r="F606" t="n">
        <x:f>'Event Register'!N75</x:f>
        <x:v>0</x:v>
      </x:c>
      <x:c r="G606" t="str">
        <x:v>'Event Register'!N75</x:v>
      </x:c>
      <x:c r="H606" t="str">
        <x:v>physical acceptance authority</x:v>
      </x:c>
      <x:c r="I606" t="str">
        <x:f>IF(F606=0,"OPEN",IF(E606=F606,"PASS","FAIL"))</x:f>
        <x:v>OPEN</x:v>
      </x:c>
    </x:row>
    <x:row r="607">
      <x:c r="B607" t="str">
        <x:v>PH-PEV-070</x:v>
      </x:c>
      <x:c r="C607" t="str">
        <x:v>physical</x:v>
      </x:c>
      <x:c r="D607" t="str">
        <x:v>accepted paired event</x:v>
      </x:c>
      <x:c r="E607" t="n">
        <x:v>1</x:v>
      </x:c>
      <x:c r="F607" t="n">
        <x:f>'Event Register'!N76</x:f>
        <x:v>0</x:v>
      </x:c>
      <x:c r="G607" t="str">
        <x:v>'Event Register'!N76</x:v>
      </x:c>
      <x:c r="H607" t="str">
        <x:v>physical acceptance authority</x:v>
      </x:c>
      <x:c r="I607" t="str">
        <x:f>IF(F607=0,"OPEN",IF(E607=F607,"PASS","FAIL"))</x:f>
        <x:v>OPEN</x:v>
      </x:c>
    </x:row>
    <x:row r="608">
      <x:c r="B608" t="str">
        <x:v>PH-PEV-071</x:v>
      </x:c>
      <x:c r="C608" t="str">
        <x:v>physical</x:v>
      </x:c>
      <x:c r="D608" t="str">
        <x:v>accepted paired event</x:v>
      </x:c>
      <x:c r="E608" t="n">
        <x:v>1</x:v>
      </x:c>
      <x:c r="F608" t="n">
        <x:f>'Event Register'!N77</x:f>
        <x:v>0</x:v>
      </x:c>
      <x:c r="G608" t="str">
        <x:v>'Event Register'!N77</x:v>
      </x:c>
      <x:c r="H608" t="str">
        <x:v>physical acceptance authority</x:v>
      </x:c>
      <x:c r="I608" t="str">
        <x:f>IF(F608=0,"OPEN",IF(E608=F608,"PASS","FAIL"))</x:f>
        <x:v>OPEN</x:v>
      </x:c>
    </x:row>
    <x:row r="609">
      <x:c r="B609" t="str">
        <x:v>PH-PEV-072</x:v>
      </x:c>
      <x:c r="C609" t="str">
        <x:v>physical</x:v>
      </x:c>
      <x:c r="D609" t="str">
        <x:v>accepted paired event</x:v>
      </x:c>
      <x:c r="E609" t="n">
        <x:v>1</x:v>
      </x:c>
      <x:c r="F609" t="n">
        <x:f>'Event Register'!N78</x:f>
        <x:v>0</x:v>
      </x:c>
      <x:c r="G609" t="str">
        <x:v>'Event Register'!N78</x:v>
      </x:c>
      <x:c r="H609" t="str">
        <x:v>physical acceptance authority</x:v>
      </x:c>
      <x:c r="I609" t="str">
        <x:f>IF(F609=0,"OPEN",IF(E609=F609,"PASS","FAIL"))</x:f>
        <x:v>OPEN</x:v>
      </x:c>
    </x:row>
    <x:row r="610">
      <x:c r="B610" t="str">
        <x:v>PH-PEV-073</x:v>
      </x:c>
      <x:c r="C610" t="str">
        <x:v>physical</x:v>
      </x:c>
      <x:c r="D610" t="str">
        <x:v>accepted paired event</x:v>
      </x:c>
      <x:c r="E610" t="n">
        <x:v>1</x:v>
      </x:c>
      <x:c r="F610" t="n">
        <x:f>'Event Register'!N79</x:f>
        <x:v>0</x:v>
      </x:c>
      <x:c r="G610" t="str">
        <x:v>'Event Register'!N79</x:v>
      </x:c>
      <x:c r="H610" t="str">
        <x:v>physical acceptance authority</x:v>
      </x:c>
      <x:c r="I610" t="str">
        <x:f>IF(F610=0,"OPEN",IF(E610=F610,"PASS","FAIL"))</x:f>
        <x:v>OPEN</x:v>
      </x:c>
    </x:row>
    <x:row r="611">
      <x:c r="B611" t="str">
        <x:v>PH-PEV-074</x:v>
      </x:c>
      <x:c r="C611" t="str">
        <x:v>physical</x:v>
      </x:c>
      <x:c r="D611" t="str">
        <x:v>accepted paired event</x:v>
      </x:c>
      <x:c r="E611" t="n">
        <x:v>1</x:v>
      </x:c>
      <x:c r="F611" t="n">
        <x:f>'Event Register'!N80</x:f>
        <x:v>0</x:v>
      </x:c>
      <x:c r="G611" t="str">
        <x:v>'Event Register'!N80</x:v>
      </x:c>
      <x:c r="H611" t="str">
        <x:v>physical acceptance authority</x:v>
      </x:c>
      <x:c r="I611" t="str">
        <x:f>IF(F611=0,"OPEN",IF(E611=F611,"PASS","FAIL"))</x:f>
        <x:v>OPEN</x:v>
      </x:c>
    </x:row>
    <x:row r="612">
      <x:c r="B612" t="str">
        <x:v>PH-PEV-075</x:v>
      </x:c>
      <x:c r="C612" t="str">
        <x:v>physical</x:v>
      </x:c>
      <x:c r="D612" t="str">
        <x:v>accepted paired event</x:v>
      </x:c>
      <x:c r="E612" t="n">
        <x:v>1</x:v>
      </x:c>
      <x:c r="F612" t="n">
        <x:f>'Event Register'!N81</x:f>
        <x:v>0</x:v>
      </x:c>
      <x:c r="G612" t="str">
        <x:v>'Event Register'!N81</x:v>
      </x:c>
      <x:c r="H612" t="str">
        <x:v>physical acceptance authority</x:v>
      </x:c>
      <x:c r="I612" t="str">
        <x:f>IF(F612=0,"OPEN",IF(E612=F612,"PASS","FAIL"))</x:f>
        <x:v>OPEN</x:v>
      </x:c>
    </x:row>
    <x:row r="613">
      <x:c r="B613" t="str">
        <x:v>PH-PEV-076</x:v>
      </x:c>
      <x:c r="C613" t="str">
        <x:v>physical</x:v>
      </x:c>
      <x:c r="D613" t="str">
        <x:v>accepted paired event</x:v>
      </x:c>
      <x:c r="E613" t="n">
        <x:v>1</x:v>
      </x:c>
      <x:c r="F613" t="n">
        <x:f>'Event Register'!N82</x:f>
        <x:v>0</x:v>
      </x:c>
      <x:c r="G613" t="str">
        <x:v>'Event Register'!N82</x:v>
      </x:c>
      <x:c r="H613" t="str">
        <x:v>physical acceptance authority</x:v>
      </x:c>
      <x:c r="I613" t="str">
        <x:f>IF(F613=0,"OPEN",IF(E613=F613,"PASS","FAIL"))</x:f>
        <x:v>OPEN</x:v>
      </x:c>
    </x:row>
    <x:row r="614">
      <x:c r="B614" t="str">
        <x:v>PH-PEV-077</x:v>
      </x:c>
      <x:c r="C614" t="str">
        <x:v>physical</x:v>
      </x:c>
      <x:c r="D614" t="str">
        <x:v>accepted paired event</x:v>
      </x:c>
      <x:c r="E614" t="n">
        <x:v>1</x:v>
      </x:c>
      <x:c r="F614" t="n">
        <x:f>'Event Register'!N83</x:f>
        <x:v>0</x:v>
      </x:c>
      <x:c r="G614" t="str">
        <x:v>'Event Register'!N83</x:v>
      </x:c>
      <x:c r="H614" t="str">
        <x:v>physical acceptance authority</x:v>
      </x:c>
      <x:c r="I614" t="str">
        <x:f>IF(F614=0,"OPEN",IF(E614=F614,"PASS","FAIL"))</x:f>
        <x:v>OPEN</x:v>
      </x:c>
    </x:row>
    <x:row r="615">
      <x:c r="B615" t="str">
        <x:v>PH-PEV-078</x:v>
      </x:c>
      <x:c r="C615" t="str">
        <x:v>physical</x:v>
      </x:c>
      <x:c r="D615" t="str">
        <x:v>accepted paired event</x:v>
      </x:c>
      <x:c r="E615" t="n">
        <x:v>1</x:v>
      </x:c>
      <x:c r="F615" t="n">
        <x:f>'Event Register'!N84</x:f>
        <x:v>0</x:v>
      </x:c>
      <x:c r="G615" t="str">
        <x:v>'Event Register'!N84</x:v>
      </x:c>
      <x:c r="H615" t="str">
        <x:v>physical acceptance authority</x:v>
      </x:c>
      <x:c r="I615" t="str">
        <x:f>IF(F615=0,"OPEN",IF(E615=F615,"PASS","FAIL"))</x:f>
        <x:v>OPEN</x:v>
      </x:c>
    </x:row>
    <x:row r="616">
      <x:c r="B616" t="str">
        <x:v>PH-PEV-079</x:v>
      </x:c>
      <x:c r="C616" t="str">
        <x:v>physical</x:v>
      </x:c>
      <x:c r="D616" t="str">
        <x:v>accepted paired event</x:v>
      </x:c>
      <x:c r="E616" t="n">
        <x:v>1</x:v>
      </x:c>
      <x:c r="F616" t="n">
        <x:f>'Event Register'!N85</x:f>
        <x:v>0</x:v>
      </x:c>
      <x:c r="G616" t="str">
        <x:v>'Event Register'!N85</x:v>
      </x:c>
      <x:c r="H616" t="str">
        <x:v>physical acceptance authority</x:v>
      </x:c>
      <x:c r="I616" t="str">
        <x:f>IF(F616=0,"OPEN",IF(E616=F616,"PASS","FAIL"))</x:f>
        <x:v>OPEN</x:v>
      </x:c>
    </x:row>
    <x:row r="617">
      <x:c r="B617" t="str">
        <x:v>PH-PEV-080</x:v>
      </x:c>
      <x:c r="C617" t="str">
        <x:v>physical</x:v>
      </x:c>
      <x:c r="D617" t="str">
        <x:v>accepted paired event</x:v>
      </x:c>
      <x:c r="E617" t="n">
        <x:v>1</x:v>
      </x:c>
      <x:c r="F617" t="n">
        <x:f>'Event Register'!N86</x:f>
        <x:v>0</x:v>
      </x:c>
      <x:c r="G617" t="str">
        <x:v>'Event Register'!N86</x:v>
      </x:c>
      <x:c r="H617" t="str">
        <x:v>physical acceptance authority</x:v>
      </x:c>
      <x:c r="I617" t="str">
        <x:f>IF(F617=0,"OPEN",IF(E617=F617,"PASS","FAIL"))</x:f>
        <x:v>OPEN</x:v>
      </x:c>
    </x:row>
    <x:row r="618">
      <x:c r="B618" t="str">
        <x:v>PH-PEV-081</x:v>
      </x:c>
      <x:c r="C618" t="str">
        <x:v>physical</x:v>
      </x:c>
      <x:c r="D618" t="str">
        <x:v>accepted paired event</x:v>
      </x:c>
      <x:c r="E618" t="n">
        <x:v>1</x:v>
      </x:c>
      <x:c r="F618" t="n">
        <x:f>'Event Register'!N87</x:f>
        <x:v>0</x:v>
      </x:c>
      <x:c r="G618" t="str">
        <x:v>'Event Register'!N87</x:v>
      </x:c>
      <x:c r="H618" t="str">
        <x:v>physical acceptance authority</x:v>
      </x:c>
      <x:c r="I618" t="str">
        <x:f>IF(F618=0,"OPEN",IF(E618=F618,"PASS","FAIL"))</x:f>
        <x:v>OPEN</x:v>
      </x:c>
    </x:row>
    <x:row r="619">
      <x:c r="B619" t="str">
        <x:v>PH-PEV-082</x:v>
      </x:c>
      <x:c r="C619" t="str">
        <x:v>physical</x:v>
      </x:c>
      <x:c r="D619" t="str">
        <x:v>accepted paired event</x:v>
      </x:c>
      <x:c r="E619" t="n">
        <x:v>1</x:v>
      </x:c>
      <x:c r="F619" t="n">
        <x:f>'Event Register'!N88</x:f>
        <x:v>0</x:v>
      </x:c>
      <x:c r="G619" t="str">
        <x:v>'Event Register'!N88</x:v>
      </x:c>
      <x:c r="H619" t="str">
        <x:v>physical acceptance authority</x:v>
      </x:c>
      <x:c r="I619" t="str">
        <x:f>IF(F619=0,"OPEN",IF(E619=F619,"PASS","FAIL"))</x:f>
        <x:v>OPEN</x:v>
      </x:c>
    </x:row>
    <x:row r="620">
      <x:c r="B620" t="str">
        <x:v>PH-PEV-083</x:v>
      </x:c>
      <x:c r="C620" t="str">
        <x:v>physical</x:v>
      </x:c>
      <x:c r="D620" t="str">
        <x:v>accepted paired event</x:v>
      </x:c>
      <x:c r="E620" t="n">
        <x:v>1</x:v>
      </x:c>
      <x:c r="F620" t="n">
        <x:f>'Event Register'!N89</x:f>
        <x:v>0</x:v>
      </x:c>
      <x:c r="G620" t="str">
        <x:v>'Event Register'!N89</x:v>
      </x:c>
      <x:c r="H620" t="str">
        <x:v>physical acceptance authority</x:v>
      </x:c>
      <x:c r="I620" t="str">
        <x:f>IF(F620=0,"OPEN",IF(E620=F620,"PASS","FAIL"))</x:f>
        <x:v>OPEN</x:v>
      </x:c>
    </x:row>
    <x:row r="621">
      <x:c r="B621" t="str">
        <x:v>PH-PEV-084</x:v>
      </x:c>
      <x:c r="C621" t="str">
        <x:v>physical</x:v>
      </x:c>
      <x:c r="D621" t="str">
        <x:v>accepted paired event</x:v>
      </x:c>
      <x:c r="E621" t="n">
        <x:v>1</x:v>
      </x:c>
      <x:c r="F621" t="n">
        <x:f>'Event Register'!N90</x:f>
        <x:v>0</x:v>
      </x:c>
      <x:c r="G621" t="str">
        <x:v>'Event Register'!N90</x:v>
      </x:c>
      <x:c r="H621" t="str">
        <x:v>physical acceptance authority</x:v>
      </x:c>
      <x:c r="I621" t="str">
        <x:f>IF(F621=0,"OPEN",IF(E621=F621,"PASS","FAIL"))</x:f>
        <x:v>OPEN</x:v>
      </x:c>
    </x:row>
    <x:row r="622">
      <x:c r="B622" t="str">
        <x:v>PH-PEV-085</x:v>
      </x:c>
      <x:c r="C622" t="str">
        <x:v>physical</x:v>
      </x:c>
      <x:c r="D622" t="str">
        <x:v>accepted paired event</x:v>
      </x:c>
      <x:c r="E622" t="n">
        <x:v>1</x:v>
      </x:c>
      <x:c r="F622" t="n">
        <x:f>'Event Register'!N91</x:f>
        <x:v>0</x:v>
      </x:c>
      <x:c r="G622" t="str">
        <x:v>'Event Register'!N91</x:v>
      </x:c>
      <x:c r="H622" t="str">
        <x:v>physical acceptance authority</x:v>
      </x:c>
      <x:c r="I622" t="str">
        <x:f>IF(F622=0,"OPEN",IF(E622=F622,"PASS","FAIL"))</x:f>
        <x:v>OPEN</x:v>
      </x:c>
    </x:row>
    <x:row r="623">
      <x:c r="B623" t="str">
        <x:v>PH-PEV-086</x:v>
      </x:c>
      <x:c r="C623" t="str">
        <x:v>physical</x:v>
      </x:c>
      <x:c r="D623" t="str">
        <x:v>accepted paired event</x:v>
      </x:c>
      <x:c r="E623" t="n">
        <x:v>1</x:v>
      </x:c>
      <x:c r="F623" t="n">
        <x:f>'Event Register'!N92</x:f>
        <x:v>0</x:v>
      </x:c>
      <x:c r="G623" t="str">
        <x:v>'Event Register'!N92</x:v>
      </x:c>
      <x:c r="H623" t="str">
        <x:v>physical acceptance authority</x:v>
      </x:c>
      <x:c r="I623" t="str">
        <x:f>IF(F623=0,"OPEN",IF(E623=F623,"PASS","FAIL"))</x:f>
        <x:v>OPEN</x:v>
      </x:c>
    </x:row>
    <x:row r="624">
      <x:c r="B624" t="str">
        <x:v>PH-PEV-087</x:v>
      </x:c>
      <x:c r="C624" t="str">
        <x:v>physical</x:v>
      </x:c>
      <x:c r="D624" t="str">
        <x:v>accepted paired event</x:v>
      </x:c>
      <x:c r="E624" t="n">
        <x:v>1</x:v>
      </x:c>
      <x:c r="F624" t="n">
        <x:f>'Event Register'!N93</x:f>
        <x:v>0</x:v>
      </x:c>
      <x:c r="G624" t="str">
        <x:v>'Event Register'!N93</x:v>
      </x:c>
      <x:c r="H624" t="str">
        <x:v>physical acceptance authority</x:v>
      </x:c>
      <x:c r="I624" t="str">
        <x:f>IF(F624=0,"OPEN",IF(E624=F624,"PASS","FAIL"))</x:f>
        <x:v>OPEN</x:v>
      </x:c>
    </x:row>
    <x:row r="625">
      <x:c r="B625" t="str">
        <x:v>PH-PEV-088</x:v>
      </x:c>
      <x:c r="C625" t="str">
        <x:v>physical</x:v>
      </x:c>
      <x:c r="D625" t="str">
        <x:v>accepted paired event</x:v>
      </x:c>
      <x:c r="E625" t="n">
        <x:v>1</x:v>
      </x:c>
      <x:c r="F625" t="n">
        <x:f>'Event Register'!N94</x:f>
        <x:v>0</x:v>
      </x:c>
      <x:c r="G625" t="str">
        <x:v>'Event Register'!N94</x:v>
      </x:c>
      <x:c r="H625" t="str">
        <x:v>physical acceptance authority</x:v>
      </x:c>
      <x:c r="I625" t="str">
        <x:f>IF(F625=0,"OPEN",IF(E625=F625,"PASS","FAIL"))</x:f>
        <x:v>OPEN</x:v>
      </x:c>
    </x:row>
    <x:row r="626">
      <x:c r="B626" t="str">
        <x:v>PH-PEV-089</x:v>
      </x:c>
      <x:c r="C626" t="str">
        <x:v>physical</x:v>
      </x:c>
      <x:c r="D626" t="str">
        <x:v>accepted paired event</x:v>
      </x:c>
      <x:c r="E626" t="n">
        <x:v>1</x:v>
      </x:c>
      <x:c r="F626" t="n">
        <x:f>'Event Register'!N95</x:f>
        <x:v>0</x:v>
      </x:c>
      <x:c r="G626" t="str">
        <x:v>'Event Register'!N95</x:v>
      </x:c>
      <x:c r="H626" t="str">
        <x:v>physical acceptance authority</x:v>
      </x:c>
      <x:c r="I626" t="str">
        <x:f>IF(F626=0,"OPEN",IF(E626=F626,"PASS","FAIL"))</x:f>
        <x:v>OPEN</x:v>
      </x:c>
    </x:row>
    <x:row r="627">
      <x:c r="B627" t="str">
        <x:v>PH-PEV-090</x:v>
      </x:c>
      <x:c r="C627" t="str">
        <x:v>physical</x:v>
      </x:c>
      <x:c r="D627" t="str">
        <x:v>accepted paired event</x:v>
      </x:c>
      <x:c r="E627" t="n">
        <x:v>1</x:v>
      </x:c>
      <x:c r="F627" t="n">
        <x:f>'Event Register'!N96</x:f>
        <x:v>0</x:v>
      </x:c>
      <x:c r="G627" t="str">
        <x:v>'Event Register'!N96</x:v>
      </x:c>
      <x:c r="H627" t="str">
        <x:v>physical acceptance authority</x:v>
      </x:c>
      <x:c r="I627" t="str">
        <x:f>IF(F627=0,"OPEN",IF(E627=F627,"PASS","FAIL"))</x:f>
        <x:v>OPEN</x:v>
      </x:c>
    </x:row>
    <x:row r="628">
      <x:c r="B628" t="str">
        <x:v>PH-PEV-091</x:v>
      </x:c>
      <x:c r="C628" t="str">
        <x:v>physical</x:v>
      </x:c>
      <x:c r="D628" t="str">
        <x:v>accepted paired event</x:v>
      </x:c>
      <x:c r="E628" t="n">
        <x:v>1</x:v>
      </x:c>
      <x:c r="F628" t="n">
        <x:f>'Event Register'!N97</x:f>
        <x:v>0</x:v>
      </x:c>
      <x:c r="G628" t="str">
        <x:v>'Event Register'!N97</x:v>
      </x:c>
      <x:c r="H628" t="str">
        <x:v>physical acceptance authority</x:v>
      </x:c>
      <x:c r="I628" t="str">
        <x:f>IF(F628=0,"OPEN",IF(E628=F628,"PASS","FAIL"))</x:f>
        <x:v>OPEN</x:v>
      </x:c>
    </x:row>
    <x:row r="629">
      <x:c r="B629" t="str">
        <x:v>PH-PEV-092</x:v>
      </x:c>
      <x:c r="C629" t="str">
        <x:v>physical</x:v>
      </x:c>
      <x:c r="D629" t="str">
        <x:v>accepted paired event</x:v>
      </x:c>
      <x:c r="E629" t="n">
        <x:v>1</x:v>
      </x:c>
      <x:c r="F629" t="n">
        <x:f>'Event Register'!N98</x:f>
        <x:v>0</x:v>
      </x:c>
      <x:c r="G629" t="str">
        <x:v>'Event Register'!N98</x:v>
      </x:c>
      <x:c r="H629" t="str">
        <x:v>physical acceptance authority</x:v>
      </x:c>
      <x:c r="I629" t="str">
        <x:f>IF(F629=0,"OPEN",IF(E629=F629,"PASS","FAIL"))</x:f>
        <x:v>OPEN</x:v>
      </x:c>
    </x:row>
    <x:row r="630">
      <x:c r="B630" t="str">
        <x:v>PH-PEV-093</x:v>
      </x:c>
      <x:c r="C630" t="str">
        <x:v>physical</x:v>
      </x:c>
      <x:c r="D630" t="str">
        <x:v>accepted paired event</x:v>
      </x:c>
      <x:c r="E630" t="n">
        <x:v>1</x:v>
      </x:c>
      <x:c r="F630" t="n">
        <x:f>'Event Register'!N99</x:f>
        <x:v>0</x:v>
      </x:c>
      <x:c r="G630" t="str">
        <x:v>'Event Register'!N99</x:v>
      </x:c>
      <x:c r="H630" t="str">
        <x:v>physical acceptance authority</x:v>
      </x:c>
      <x:c r="I630" t="str">
        <x:f>IF(F630=0,"OPEN",IF(E630=F630,"PASS","FAIL"))</x:f>
        <x:v>OPEN</x:v>
      </x:c>
    </x:row>
    <x:row r="631">
      <x:c r="B631" t="str">
        <x:v>PH-PEV-094</x:v>
      </x:c>
      <x:c r="C631" t="str">
        <x:v>physical</x:v>
      </x:c>
      <x:c r="D631" t="str">
        <x:v>accepted paired event</x:v>
      </x:c>
      <x:c r="E631" t="n">
        <x:v>1</x:v>
      </x:c>
      <x:c r="F631" t="n">
        <x:f>'Event Register'!N100</x:f>
        <x:v>0</x:v>
      </x:c>
      <x:c r="G631" t="str">
        <x:v>'Event Register'!N100</x:v>
      </x:c>
      <x:c r="H631" t="str">
        <x:v>physical acceptance authority</x:v>
      </x:c>
      <x:c r="I631" t="str">
        <x:f>IF(F631=0,"OPEN",IF(E631=F631,"PASS","FAIL"))</x:f>
        <x:v>OPEN</x:v>
      </x:c>
    </x:row>
    <x:row r="632">
      <x:c r="B632" t="str">
        <x:v>PH-PEV-095</x:v>
      </x:c>
      <x:c r="C632" t="str">
        <x:v>physical</x:v>
      </x:c>
      <x:c r="D632" t="str">
        <x:v>accepted paired event</x:v>
      </x:c>
      <x:c r="E632" t="n">
        <x:v>1</x:v>
      </x:c>
      <x:c r="F632" t="n">
        <x:f>'Event Register'!N101</x:f>
        <x:v>0</x:v>
      </x:c>
      <x:c r="G632" t="str">
        <x:v>'Event Register'!N101</x:v>
      </x:c>
      <x:c r="H632" t="str">
        <x:v>physical acceptance authority</x:v>
      </x:c>
      <x:c r="I632" t="str">
        <x:f>IF(F632=0,"OPEN",IF(E632=F632,"PASS","FAIL"))</x:f>
        <x:v>OPEN</x:v>
      </x:c>
    </x:row>
    <x:row r="633">
      <x:c r="B633" t="str">
        <x:v>PH-PEV-096</x:v>
      </x:c>
      <x:c r="C633" t="str">
        <x:v>physical</x:v>
      </x:c>
      <x:c r="D633" t="str">
        <x:v>accepted paired event</x:v>
      </x:c>
      <x:c r="E633" t="n">
        <x:v>1</x:v>
      </x:c>
      <x:c r="F633" t="n">
        <x:f>'Event Register'!N102</x:f>
        <x:v>0</x:v>
      </x:c>
      <x:c r="G633" t="str">
        <x:v>'Event Register'!N102</x:v>
      </x:c>
      <x:c r="H633" t="str">
        <x:v>physical acceptance authority</x:v>
      </x:c>
      <x:c r="I633" t="str">
        <x:f>IF(F633=0,"OPEN",IF(E633=F633,"PASS","FAIL"))</x:f>
        <x:v>OPEN</x:v>
      </x:c>
    </x:row>
    <x:row r="634">
      <x:c r="B634" t="str">
        <x:v>PH-PEV-097</x:v>
      </x:c>
      <x:c r="C634" t="str">
        <x:v>physical</x:v>
      </x:c>
      <x:c r="D634" t="str">
        <x:v>accepted paired event</x:v>
      </x:c>
      <x:c r="E634" t="n">
        <x:v>1</x:v>
      </x:c>
      <x:c r="F634" t="n">
        <x:f>'Event Register'!N103</x:f>
        <x:v>0</x:v>
      </x:c>
      <x:c r="G634" t="str">
        <x:v>'Event Register'!N103</x:v>
      </x:c>
      <x:c r="H634" t="str">
        <x:v>physical acceptance authority</x:v>
      </x:c>
      <x:c r="I634" t="str">
        <x:f>IF(F634=0,"OPEN",IF(E634=F634,"PASS","FAIL"))</x:f>
        <x:v>OPEN</x:v>
      </x:c>
    </x:row>
    <x:row r="635">
      <x:c r="B635" t="str">
        <x:v>PH-PEV-098</x:v>
      </x:c>
      <x:c r="C635" t="str">
        <x:v>physical</x:v>
      </x:c>
      <x:c r="D635" t="str">
        <x:v>accepted paired event</x:v>
      </x:c>
      <x:c r="E635" t="n">
        <x:v>1</x:v>
      </x:c>
      <x:c r="F635" t="n">
        <x:f>'Event Register'!N104</x:f>
        <x:v>0</x:v>
      </x:c>
      <x:c r="G635" t="str">
        <x:v>'Event Register'!N104</x:v>
      </x:c>
      <x:c r="H635" t="str">
        <x:v>physical acceptance authority</x:v>
      </x:c>
      <x:c r="I635" t="str">
        <x:f>IF(F635=0,"OPEN",IF(E635=F635,"PASS","FAIL"))</x:f>
        <x:v>OPEN</x:v>
      </x:c>
    </x:row>
    <x:row r="636">
      <x:c r="B636" t="str">
        <x:v>PH-PEV-099</x:v>
      </x:c>
      <x:c r="C636" t="str">
        <x:v>physical</x:v>
      </x:c>
      <x:c r="D636" t="str">
        <x:v>accepted paired event</x:v>
      </x:c>
      <x:c r="E636" t="n">
        <x:v>1</x:v>
      </x:c>
      <x:c r="F636" t="n">
        <x:f>'Event Register'!N105</x:f>
        <x:v>0</x:v>
      </x:c>
      <x:c r="G636" t="str">
        <x:v>'Event Register'!N105</x:v>
      </x:c>
      <x:c r="H636" t="str">
        <x:v>physical acceptance authority</x:v>
      </x:c>
      <x:c r="I636" t="str">
        <x:f>IF(F636=0,"OPEN",IF(E636=F636,"PASS","FAIL"))</x:f>
        <x:v>OPEN</x:v>
      </x:c>
    </x:row>
    <x:row r="637">
      <x:c r="B637" t="str">
        <x:v>PH-PEV-100</x:v>
      </x:c>
      <x:c r="C637" t="str">
        <x:v>physical</x:v>
      </x:c>
      <x:c r="D637" t="str">
        <x:v>accepted paired event</x:v>
      </x:c>
      <x:c r="E637" t="n">
        <x:v>1</x:v>
      </x:c>
      <x:c r="F637" t="n">
        <x:f>'Event Register'!N106</x:f>
        <x:v>0</x:v>
      </x:c>
      <x:c r="G637" t="str">
        <x:v>'Event Register'!N106</x:v>
      </x:c>
      <x:c r="H637" t="str">
        <x:v>physical acceptance authority</x:v>
      </x:c>
      <x:c r="I637" t="str">
        <x:f>IF(F637=0,"OPEN",IF(E637=F637,"PASS","FAIL"))</x:f>
        <x:v>OPEN</x:v>
      </x:c>
    </x:row>
    <x:row r="638">
      <x:c r="B638" t="str">
        <x:v>PH-PEV-101</x:v>
      </x:c>
      <x:c r="C638" t="str">
        <x:v>physical</x:v>
      </x:c>
      <x:c r="D638" t="str">
        <x:v>accepted paired event</x:v>
      </x:c>
      <x:c r="E638" t="n">
        <x:v>1</x:v>
      </x:c>
      <x:c r="F638" t="n">
        <x:f>'Event Register'!N107</x:f>
        <x:v>0</x:v>
      </x:c>
      <x:c r="G638" t="str">
        <x:v>'Event Register'!N107</x:v>
      </x:c>
      <x:c r="H638" t="str">
        <x:v>physical acceptance authority</x:v>
      </x:c>
      <x:c r="I638" t="str">
        <x:f>IF(F638=0,"OPEN",IF(E638=F638,"PASS","FAIL"))</x:f>
        <x:v>OPEN</x:v>
      </x:c>
    </x:row>
    <x:row r="639">
      <x:c r="B639" t="str">
        <x:v>PH-PEV-102</x:v>
      </x:c>
      <x:c r="C639" t="str">
        <x:v>physical</x:v>
      </x:c>
      <x:c r="D639" t="str">
        <x:v>accepted paired event</x:v>
      </x:c>
      <x:c r="E639" t="n">
        <x:v>1</x:v>
      </x:c>
      <x:c r="F639" t="n">
        <x:f>'Event Register'!N108</x:f>
        <x:v>0</x:v>
      </x:c>
      <x:c r="G639" t="str">
        <x:v>'Event Register'!N108</x:v>
      </x:c>
      <x:c r="H639" t="str">
        <x:v>physical acceptance authority</x:v>
      </x:c>
      <x:c r="I639" t="str">
        <x:f>IF(F639=0,"OPEN",IF(E639=F639,"PASS","FAIL"))</x:f>
        <x:v>OPEN</x:v>
      </x:c>
    </x:row>
    <x:row r="640">
      <x:c r="B640" t="str">
        <x:v>PH-PEV-103</x:v>
      </x:c>
      <x:c r="C640" t="str">
        <x:v>physical</x:v>
      </x:c>
      <x:c r="D640" t="str">
        <x:v>accepted paired event</x:v>
      </x:c>
      <x:c r="E640" t="n">
        <x:v>1</x:v>
      </x:c>
      <x:c r="F640" t="n">
        <x:f>'Event Register'!N109</x:f>
        <x:v>0</x:v>
      </x:c>
      <x:c r="G640" t="str">
        <x:v>'Event Register'!N109</x:v>
      </x:c>
      <x:c r="H640" t="str">
        <x:v>physical acceptance authority</x:v>
      </x:c>
      <x:c r="I640" t="str">
        <x:f>IF(F640=0,"OPEN",IF(E640=F640,"PASS","FAIL"))</x:f>
        <x:v>OPEN</x:v>
      </x:c>
    </x:row>
    <x:row r="641">
      <x:c r="B641" t="str">
        <x:v>PH-PEV-104</x:v>
      </x:c>
      <x:c r="C641" t="str">
        <x:v>physical</x:v>
      </x:c>
      <x:c r="D641" t="str">
        <x:v>accepted paired event</x:v>
      </x:c>
      <x:c r="E641" t="n">
        <x:v>1</x:v>
      </x:c>
      <x:c r="F641" t="n">
        <x:f>'Event Register'!N110</x:f>
        <x:v>0</x:v>
      </x:c>
      <x:c r="G641" t="str">
        <x:v>'Event Register'!N110</x:v>
      </x:c>
      <x:c r="H641" t="str">
        <x:v>physical acceptance authority</x:v>
      </x:c>
      <x:c r="I641" t="str">
        <x:f>IF(F641=0,"OPEN",IF(E641=F641,"PASS","FAIL"))</x:f>
        <x:v>OPEN</x:v>
      </x:c>
    </x:row>
    <x:row r="642">
      <x:c r="B642" t="str">
        <x:v>PH-PEV-105</x:v>
      </x:c>
      <x:c r="C642" t="str">
        <x:v>physical</x:v>
      </x:c>
      <x:c r="D642" t="str">
        <x:v>accepted paired event</x:v>
      </x:c>
      <x:c r="E642" t="n">
        <x:v>1</x:v>
      </x:c>
      <x:c r="F642" t="n">
        <x:f>'Event Register'!N111</x:f>
        <x:v>0</x:v>
      </x:c>
      <x:c r="G642" t="str">
        <x:v>'Event Register'!N111</x:v>
      </x:c>
      <x:c r="H642" t="str">
        <x:v>physical acceptance authority</x:v>
      </x:c>
      <x:c r="I642" t="str">
        <x:f>IF(F642=0,"OPEN",IF(E642=F642,"PASS","FAIL"))</x:f>
        <x:v>OPEN</x:v>
      </x:c>
    </x:row>
    <x:row r="643">
      <x:c r="B643" t="str">
        <x:v>PH-PEV-106</x:v>
      </x:c>
      <x:c r="C643" t="str">
        <x:v>physical</x:v>
      </x:c>
      <x:c r="D643" t="str">
        <x:v>accepted paired event</x:v>
      </x:c>
      <x:c r="E643" t="n">
        <x:v>1</x:v>
      </x:c>
      <x:c r="F643" t="n">
        <x:f>'Event Register'!N112</x:f>
        <x:v>0</x:v>
      </x:c>
      <x:c r="G643" t="str">
        <x:v>'Event Register'!N112</x:v>
      </x:c>
      <x:c r="H643" t="str">
        <x:v>physical acceptance authority</x:v>
      </x:c>
      <x:c r="I643" t="str">
        <x:f>IF(F643=0,"OPEN",IF(E643=F643,"PASS","FAIL"))</x:f>
        <x:v>OPEN</x:v>
      </x:c>
    </x:row>
    <x:row r="644">
      <x:c r="B644" t="str">
        <x:v>PH-PEV-107</x:v>
      </x:c>
      <x:c r="C644" t="str">
        <x:v>physical</x:v>
      </x:c>
      <x:c r="D644" t="str">
        <x:v>accepted paired event</x:v>
      </x:c>
      <x:c r="E644" t="n">
        <x:v>1</x:v>
      </x:c>
      <x:c r="F644" t="n">
        <x:f>'Event Register'!N113</x:f>
        <x:v>0</x:v>
      </x:c>
      <x:c r="G644" t="str">
        <x:v>'Event Register'!N113</x:v>
      </x:c>
      <x:c r="H644" t="str">
        <x:v>physical acceptance authority</x:v>
      </x:c>
      <x:c r="I644" t="str">
        <x:f>IF(F644=0,"OPEN",IF(E644=F644,"PASS","FAIL"))</x:f>
        <x:v>OPEN</x:v>
      </x:c>
    </x:row>
    <x:row r="645">
      <x:c r="B645" t="str">
        <x:v>PH-PEV-108</x:v>
      </x:c>
      <x:c r="C645" t="str">
        <x:v>physical</x:v>
      </x:c>
      <x:c r="D645" t="str">
        <x:v>accepted paired event</x:v>
      </x:c>
      <x:c r="E645" t="n">
        <x:v>1</x:v>
      </x:c>
      <x:c r="F645" t="n">
        <x:f>'Event Register'!N114</x:f>
        <x:v>0</x:v>
      </x:c>
      <x:c r="G645" t="str">
        <x:v>'Event Register'!N114</x:v>
      </x:c>
      <x:c r="H645" t="str">
        <x:v>physical acceptance authority</x:v>
      </x:c>
      <x:c r="I645" t="str">
        <x:f>IF(F645=0,"OPEN",IF(E645=F645,"PASS","FAIL"))</x:f>
        <x:v>OPEN</x:v>
      </x:c>
    </x:row>
    <x:row r="646">
      <x:c r="B646" t="str">
        <x:v>PH-PEV-109</x:v>
      </x:c>
      <x:c r="C646" t="str">
        <x:v>physical</x:v>
      </x:c>
      <x:c r="D646" t="str">
        <x:v>accepted paired event</x:v>
      </x:c>
      <x:c r="E646" t="n">
        <x:v>1</x:v>
      </x:c>
      <x:c r="F646" t="n">
        <x:f>'Event Register'!N115</x:f>
        <x:v>0</x:v>
      </x:c>
      <x:c r="G646" t="str">
        <x:v>'Event Register'!N115</x:v>
      </x:c>
      <x:c r="H646" t="str">
        <x:v>physical acceptance authority</x:v>
      </x:c>
      <x:c r="I646" t="str">
        <x:f>IF(F646=0,"OPEN",IF(E646=F646,"PASS","FAIL"))</x:f>
        <x:v>OPEN</x:v>
      </x:c>
    </x:row>
    <x:row r="647">
      <x:c r="B647" t="str">
        <x:v>PH-PEV-110</x:v>
      </x:c>
      <x:c r="C647" t="str">
        <x:v>physical</x:v>
      </x:c>
      <x:c r="D647" t="str">
        <x:v>accepted paired event</x:v>
      </x:c>
      <x:c r="E647" t="n">
        <x:v>1</x:v>
      </x:c>
      <x:c r="F647" t="n">
        <x:f>'Event Register'!N116</x:f>
        <x:v>0</x:v>
      </x:c>
      <x:c r="G647" t="str">
        <x:v>'Event Register'!N116</x:v>
      </x:c>
      <x:c r="H647" t="str">
        <x:v>physical acceptance authority</x:v>
      </x:c>
      <x:c r="I647" t="str">
        <x:f>IF(F647=0,"OPEN",IF(E647=F647,"PASS","FAIL"))</x:f>
        <x:v>OPEN</x:v>
      </x:c>
    </x:row>
    <x:row r="648">
      <x:c r="B648" t="str">
        <x:v>PH-PEV-111</x:v>
      </x:c>
      <x:c r="C648" t="str">
        <x:v>physical</x:v>
      </x:c>
      <x:c r="D648" t="str">
        <x:v>accepted paired event</x:v>
      </x:c>
      <x:c r="E648" t="n">
        <x:v>1</x:v>
      </x:c>
      <x:c r="F648" t="n">
        <x:f>'Event Register'!N117</x:f>
        <x:v>0</x:v>
      </x:c>
      <x:c r="G648" t="str">
        <x:v>'Event Register'!N117</x:v>
      </x:c>
      <x:c r="H648" t="str">
        <x:v>physical acceptance authority</x:v>
      </x:c>
      <x:c r="I648" t="str">
        <x:f>IF(F648=0,"OPEN",IF(E648=F648,"PASS","FAIL"))</x:f>
        <x:v>OPEN</x:v>
      </x:c>
    </x:row>
    <x:row r="649">
      <x:c r="B649" t="str">
        <x:v>PH-PEV-112</x:v>
      </x:c>
      <x:c r="C649" t="str">
        <x:v>physical</x:v>
      </x:c>
      <x:c r="D649" t="str">
        <x:v>accepted paired event</x:v>
      </x:c>
      <x:c r="E649" t="n">
        <x:v>1</x:v>
      </x:c>
      <x:c r="F649" t="n">
        <x:f>'Event Register'!N118</x:f>
        <x:v>0</x:v>
      </x:c>
      <x:c r="G649" t="str">
        <x:v>'Event Register'!N118</x:v>
      </x:c>
      <x:c r="H649" t="str">
        <x:v>physical acceptance authority</x:v>
      </x:c>
      <x:c r="I649" t="str">
        <x:f>IF(F649=0,"OPEN",IF(E649=F649,"PASS","FAIL"))</x:f>
        <x:v>OPEN</x:v>
      </x:c>
    </x:row>
    <x:row r="650">
      <x:c r="B650" t="str">
        <x:v>PH-PEV-113</x:v>
      </x:c>
      <x:c r="C650" t="str">
        <x:v>physical</x:v>
      </x:c>
      <x:c r="D650" t="str">
        <x:v>accepted paired event</x:v>
      </x:c>
      <x:c r="E650" t="n">
        <x:v>1</x:v>
      </x:c>
      <x:c r="F650" t="n">
        <x:f>'Event Register'!N119</x:f>
        <x:v>0</x:v>
      </x:c>
      <x:c r="G650" t="str">
        <x:v>'Event Register'!N119</x:v>
      </x:c>
      <x:c r="H650" t="str">
        <x:v>physical acceptance authority</x:v>
      </x:c>
      <x:c r="I650" t="str">
        <x:f>IF(F650=0,"OPEN",IF(E650=F650,"PASS","FAIL"))</x:f>
        <x:v>OPEN</x:v>
      </x:c>
    </x:row>
    <x:row r="651">
      <x:c r="B651" t="str">
        <x:v>PH-PEV-114</x:v>
      </x:c>
      <x:c r="C651" t="str">
        <x:v>physical</x:v>
      </x:c>
      <x:c r="D651" t="str">
        <x:v>accepted paired event</x:v>
      </x:c>
      <x:c r="E651" t="n">
        <x:v>1</x:v>
      </x:c>
      <x:c r="F651" t="n">
        <x:f>'Event Register'!N120</x:f>
        <x:v>0</x:v>
      </x:c>
      <x:c r="G651" t="str">
        <x:v>'Event Register'!N120</x:v>
      </x:c>
      <x:c r="H651" t="str">
        <x:v>physical acceptance authority</x:v>
      </x:c>
      <x:c r="I651" t="str">
        <x:f>IF(F651=0,"OPEN",IF(E651=F651,"PASS","FAIL"))</x:f>
        <x:v>OPEN</x:v>
      </x:c>
    </x:row>
    <x:row r="652">
      <x:c r="B652" t="str">
        <x:v>PH-PEV-115</x:v>
      </x:c>
      <x:c r="C652" t="str">
        <x:v>physical</x:v>
      </x:c>
      <x:c r="D652" t="str">
        <x:v>accepted paired event</x:v>
      </x:c>
      <x:c r="E652" t="n">
        <x:v>1</x:v>
      </x:c>
      <x:c r="F652" t="n">
        <x:f>'Event Register'!N121</x:f>
        <x:v>0</x:v>
      </x:c>
      <x:c r="G652" t="str">
        <x:v>'Event Register'!N121</x:v>
      </x:c>
      <x:c r="H652" t="str">
        <x:v>physical acceptance authority</x:v>
      </x:c>
      <x:c r="I652" t="str">
        <x:f>IF(F652=0,"OPEN",IF(E652=F652,"PASS","FAIL"))</x:f>
        <x:v>OPEN</x:v>
      </x:c>
    </x:row>
    <x:row r="653">
      <x:c r="B653" t="str">
        <x:v>PH-PEV-116</x:v>
      </x:c>
      <x:c r="C653" t="str">
        <x:v>physical</x:v>
      </x:c>
      <x:c r="D653" t="str">
        <x:v>accepted paired event</x:v>
      </x:c>
      <x:c r="E653" t="n">
        <x:v>1</x:v>
      </x:c>
      <x:c r="F653" t="n">
        <x:f>'Event Register'!N122</x:f>
        <x:v>0</x:v>
      </x:c>
      <x:c r="G653" t="str">
        <x:v>'Event Register'!N122</x:v>
      </x:c>
      <x:c r="H653" t="str">
        <x:v>physical acceptance authority</x:v>
      </x:c>
      <x:c r="I653" t="str">
        <x:f>IF(F653=0,"OPEN",IF(E653=F653,"PASS","FAIL"))</x:f>
        <x:v>OPEN</x:v>
      </x:c>
    </x:row>
    <x:row r="654">
      <x:c r="B654" t="str">
        <x:v>PH-PEV-117</x:v>
      </x:c>
      <x:c r="C654" t="str">
        <x:v>physical</x:v>
      </x:c>
      <x:c r="D654" t="str">
        <x:v>accepted paired event</x:v>
      </x:c>
      <x:c r="E654" t="n">
        <x:v>1</x:v>
      </x:c>
      <x:c r="F654" t="n">
        <x:f>'Event Register'!N123</x:f>
        <x:v>0</x:v>
      </x:c>
      <x:c r="G654" t="str">
        <x:v>'Event Register'!N123</x:v>
      </x:c>
      <x:c r="H654" t="str">
        <x:v>physical acceptance authority</x:v>
      </x:c>
      <x:c r="I654" t="str">
        <x:f>IF(F654=0,"OPEN",IF(E654=F654,"PASS","FAIL"))</x:f>
        <x:v>OPEN</x:v>
      </x:c>
    </x:row>
    <x:row r="655">
      <x:c r="B655" t="str">
        <x:v>PH-PEV-118</x:v>
      </x:c>
      <x:c r="C655" t="str">
        <x:v>physical</x:v>
      </x:c>
      <x:c r="D655" t="str">
        <x:v>accepted paired event</x:v>
      </x:c>
      <x:c r="E655" t="n">
        <x:v>1</x:v>
      </x:c>
      <x:c r="F655" t="n">
        <x:f>'Event Register'!N124</x:f>
        <x:v>0</x:v>
      </x:c>
      <x:c r="G655" t="str">
        <x:v>'Event Register'!N124</x:v>
      </x:c>
      <x:c r="H655" t="str">
        <x:v>physical acceptance authority</x:v>
      </x:c>
      <x:c r="I655" t="str">
        <x:f>IF(F655=0,"OPEN",IF(E655=F655,"PASS","FAIL"))</x:f>
        <x:v>OPEN</x:v>
      </x:c>
    </x:row>
    <x:row r="656">
      <x:c r="B656" t="str">
        <x:v>PH-PEV-119</x:v>
      </x:c>
      <x:c r="C656" t="str">
        <x:v>physical</x:v>
      </x:c>
      <x:c r="D656" t="str">
        <x:v>accepted paired event</x:v>
      </x:c>
      <x:c r="E656" t="n">
        <x:v>1</x:v>
      </x:c>
      <x:c r="F656" t="n">
        <x:f>'Event Register'!N125</x:f>
        <x:v>0</x:v>
      </x:c>
      <x:c r="G656" t="str">
        <x:v>'Event Register'!N125</x:v>
      </x:c>
      <x:c r="H656" t="str">
        <x:v>physical acceptance authority</x:v>
      </x:c>
      <x:c r="I656" t="str">
        <x:f>IF(F656=0,"OPEN",IF(E656=F656,"PASS","FAIL"))</x:f>
        <x:v>OPEN</x:v>
      </x:c>
    </x:row>
    <x:row r="657">
      <x:c r="B657" t="str">
        <x:v>PH-PEV-120</x:v>
      </x:c>
      <x:c r="C657" t="str">
        <x:v>physical</x:v>
      </x:c>
      <x:c r="D657" t="str">
        <x:v>accepted paired event</x:v>
      </x:c>
      <x:c r="E657" t="n">
        <x:v>1</x:v>
      </x:c>
      <x:c r="F657" t="n">
        <x:f>'Event Register'!N126</x:f>
        <x:v>0</x:v>
      </x:c>
      <x:c r="G657" t="str">
        <x:v>'Event Register'!N126</x:v>
      </x:c>
      <x:c r="H657" t="str">
        <x:v>physical acceptance authority</x:v>
      </x:c>
      <x:c r="I657" t="str">
        <x:f>IF(F657=0,"OPEN",IF(E657=F657,"PASS","FAIL"))</x:f>
        <x:v>OPEN</x:v>
      </x:c>
    </x:row>
    <x:row r="658">
      <x:c r="B658" t="str">
        <x:v>PH-PEV-121</x:v>
      </x:c>
      <x:c r="C658" t="str">
        <x:v>physical</x:v>
      </x:c>
      <x:c r="D658" t="str">
        <x:v>accepted paired event</x:v>
      </x:c>
      <x:c r="E658" t="n">
        <x:v>1</x:v>
      </x:c>
      <x:c r="F658" t="n">
        <x:f>'Event Register'!N127</x:f>
        <x:v>0</x:v>
      </x:c>
      <x:c r="G658" t="str">
        <x:v>'Event Register'!N127</x:v>
      </x:c>
      <x:c r="H658" t="str">
        <x:v>physical acceptance authority</x:v>
      </x:c>
      <x:c r="I658" t="str">
        <x:f>IF(F658=0,"OPEN",IF(E658=F658,"PASS","FAIL"))</x:f>
        <x:v>OPEN</x:v>
      </x:c>
    </x:row>
    <x:row r="659">
      <x:c r="B659" t="str">
        <x:v>PH-PEV-122</x:v>
      </x:c>
      <x:c r="C659" t="str">
        <x:v>physical</x:v>
      </x:c>
      <x:c r="D659" t="str">
        <x:v>accepted paired event</x:v>
      </x:c>
      <x:c r="E659" t="n">
        <x:v>1</x:v>
      </x:c>
      <x:c r="F659" t="n">
        <x:f>'Event Register'!N128</x:f>
        <x:v>0</x:v>
      </x:c>
      <x:c r="G659" t="str">
        <x:v>'Event Register'!N128</x:v>
      </x:c>
      <x:c r="H659" t="str">
        <x:v>physical acceptance authority</x:v>
      </x:c>
      <x:c r="I659" t="str">
        <x:f>IF(F659=0,"OPEN",IF(E659=F659,"PASS","FAIL"))</x:f>
        <x:v>OPEN</x:v>
      </x:c>
    </x:row>
    <x:row r="660">
      <x:c r="B660" t="str">
        <x:v>PH-PEV-123</x:v>
      </x:c>
      <x:c r="C660" t="str">
        <x:v>physical</x:v>
      </x:c>
      <x:c r="D660" t="str">
        <x:v>accepted paired event</x:v>
      </x:c>
      <x:c r="E660" t="n">
        <x:v>1</x:v>
      </x:c>
      <x:c r="F660" t="n">
        <x:f>'Event Register'!N129</x:f>
        <x:v>0</x:v>
      </x:c>
      <x:c r="G660" t="str">
        <x:v>'Event Register'!N129</x:v>
      </x:c>
      <x:c r="H660" t="str">
        <x:v>physical acceptance authority</x:v>
      </x:c>
      <x:c r="I660" t="str">
        <x:f>IF(F660=0,"OPEN",IF(E660=F660,"PASS","FAIL"))</x:f>
        <x:v>OPEN</x:v>
      </x:c>
    </x:row>
    <x:row r="661">
      <x:c r="B661" t="str">
        <x:v>PH-PEV-124</x:v>
      </x:c>
      <x:c r="C661" t="str">
        <x:v>physical</x:v>
      </x:c>
      <x:c r="D661" t="str">
        <x:v>accepted paired event</x:v>
      </x:c>
      <x:c r="E661" t="n">
        <x:v>1</x:v>
      </x:c>
      <x:c r="F661" t="n">
        <x:f>'Event Register'!N130</x:f>
        <x:v>0</x:v>
      </x:c>
      <x:c r="G661" t="str">
        <x:v>'Event Register'!N130</x:v>
      </x:c>
      <x:c r="H661" t="str">
        <x:v>physical acceptance authority</x:v>
      </x:c>
      <x:c r="I661" t="str">
        <x:f>IF(F661=0,"OPEN",IF(E661=F661,"PASS","FAIL"))</x:f>
        <x:v>OPEN</x:v>
      </x:c>
    </x:row>
    <x:row r="662">
      <x:c r="B662" t="str">
        <x:v>PH-PEV-125</x:v>
      </x:c>
      <x:c r="C662" t="str">
        <x:v>physical</x:v>
      </x:c>
      <x:c r="D662" t="str">
        <x:v>accepted paired event</x:v>
      </x:c>
      <x:c r="E662" t="n">
        <x:v>1</x:v>
      </x:c>
      <x:c r="F662" t="n">
        <x:f>'Event Register'!N131</x:f>
        <x:v>0</x:v>
      </x:c>
      <x:c r="G662" t="str">
        <x:v>'Event Register'!N131</x:v>
      </x:c>
      <x:c r="H662" t="str">
        <x:v>physical acceptance authority</x:v>
      </x:c>
      <x:c r="I662" t="str">
        <x:f>IF(F662=0,"OPEN",IF(E662=F662,"PASS","FAIL"))</x:f>
        <x:v>OPEN</x:v>
      </x:c>
    </x:row>
    <x:row r="663">
      <x:c r="B663" t="str">
        <x:v>PH-PEV-126</x:v>
      </x:c>
      <x:c r="C663" t="str">
        <x:v>physical</x:v>
      </x:c>
      <x:c r="D663" t="str">
        <x:v>accepted paired event</x:v>
      </x:c>
      <x:c r="E663" t="n">
        <x:v>1</x:v>
      </x:c>
      <x:c r="F663" t="n">
        <x:f>'Event Register'!N132</x:f>
        <x:v>0</x:v>
      </x:c>
      <x:c r="G663" t="str">
        <x:v>'Event Register'!N132</x:v>
      </x:c>
      <x:c r="H663" t="str">
        <x:v>physical acceptance authority</x:v>
      </x:c>
      <x:c r="I663" t="str">
        <x:f>IF(F663=0,"OPEN",IF(E663=F663,"PASS","FAIL"))</x:f>
        <x:v>OPEN</x:v>
      </x:c>
    </x:row>
    <x:row r="664">
      <x:c r="B664" t="str">
        <x:v>PH-PEV-127</x:v>
      </x:c>
      <x:c r="C664" t="str">
        <x:v>physical</x:v>
      </x:c>
      <x:c r="D664" t="str">
        <x:v>accepted paired event</x:v>
      </x:c>
      <x:c r="E664" t="n">
        <x:v>1</x:v>
      </x:c>
      <x:c r="F664" t="n">
        <x:f>'Event Register'!N133</x:f>
        <x:v>0</x:v>
      </x:c>
      <x:c r="G664" t="str">
        <x:v>'Event Register'!N133</x:v>
      </x:c>
      <x:c r="H664" t="str">
        <x:v>physical acceptance authority</x:v>
      </x:c>
      <x:c r="I664" t="str">
        <x:f>IF(F664=0,"OPEN",IF(E664=F664,"PASS","FAIL"))</x:f>
        <x:v>OPEN</x:v>
      </x:c>
    </x:row>
    <x:row r="665">
      <x:c r="B665" t="str">
        <x:v>PH-PEV-128</x:v>
      </x:c>
      <x:c r="C665" t="str">
        <x:v>physical</x:v>
      </x:c>
      <x:c r="D665" t="str">
        <x:v>accepted paired event</x:v>
      </x:c>
      <x:c r="E665" t="n">
        <x:v>1</x:v>
      </x:c>
      <x:c r="F665" t="n">
        <x:f>'Event Register'!N134</x:f>
        <x:v>0</x:v>
      </x:c>
      <x:c r="G665" t="str">
        <x:v>'Event Register'!N134</x:v>
      </x:c>
      <x:c r="H665" t="str">
        <x:v>physical acceptance authority</x:v>
      </x:c>
      <x:c r="I665" t="str">
        <x:f>IF(F665=0,"OPEN",IF(E665=F665,"PASS","FAIL"))</x:f>
        <x:v>OPEN</x:v>
      </x:c>
    </x:row>
    <x:row r="666">
      <x:c r="B666" t="str">
        <x:v>PH-PEV-129</x:v>
      </x:c>
      <x:c r="C666" t="str">
        <x:v>physical</x:v>
      </x:c>
      <x:c r="D666" t="str">
        <x:v>accepted paired event</x:v>
      </x:c>
      <x:c r="E666" t="n">
        <x:v>1</x:v>
      </x:c>
      <x:c r="F666" t="n">
        <x:f>'Event Register'!N135</x:f>
        <x:v>0</x:v>
      </x:c>
      <x:c r="G666" t="str">
        <x:v>'Event Register'!N135</x:v>
      </x:c>
      <x:c r="H666" t="str">
        <x:v>physical acceptance authority</x:v>
      </x:c>
      <x:c r="I666" t="str">
        <x:f>IF(F666=0,"OPEN",IF(E666=F666,"PASS","FAIL"))</x:f>
        <x:v>OPEN</x:v>
      </x:c>
    </x:row>
    <x:row r="667">
      <x:c r="B667" t="str">
        <x:v>PH-PEV-130</x:v>
      </x:c>
      <x:c r="C667" t="str">
        <x:v>physical</x:v>
      </x:c>
      <x:c r="D667" t="str">
        <x:v>accepted paired event</x:v>
      </x:c>
      <x:c r="E667" t="n">
        <x:v>1</x:v>
      </x:c>
      <x:c r="F667" t="n">
        <x:f>'Event Register'!N136</x:f>
        <x:v>0</x:v>
      </x:c>
      <x:c r="G667" t="str">
        <x:v>'Event Register'!N136</x:v>
      </x:c>
      <x:c r="H667" t="str">
        <x:v>physical acceptance authority</x:v>
      </x:c>
      <x:c r="I667" t="str">
        <x:f>IF(F667=0,"OPEN",IF(E667=F667,"PASS","FAIL"))</x:f>
        <x:v>OPEN</x:v>
      </x:c>
    </x:row>
    <x:row r="668">
      <x:c r="B668" t="str">
        <x:v>PH-PEV-131</x:v>
      </x:c>
      <x:c r="C668" t="str">
        <x:v>physical</x:v>
      </x:c>
      <x:c r="D668" t="str">
        <x:v>accepted paired event</x:v>
      </x:c>
      <x:c r="E668" t="n">
        <x:v>1</x:v>
      </x:c>
      <x:c r="F668" t="n">
        <x:f>'Event Register'!N137</x:f>
        <x:v>0</x:v>
      </x:c>
      <x:c r="G668" t="str">
        <x:v>'Event Register'!N137</x:v>
      </x:c>
      <x:c r="H668" t="str">
        <x:v>physical acceptance authority</x:v>
      </x:c>
      <x:c r="I668" t="str">
        <x:f>IF(F668=0,"OPEN",IF(E668=F668,"PASS","FAIL"))</x:f>
        <x:v>OPEN</x:v>
      </x:c>
    </x:row>
    <x:row r="669">
      <x:c r="B669" t="str">
        <x:v>PH-PEV-132</x:v>
      </x:c>
      <x:c r="C669" t="str">
        <x:v>physical</x:v>
      </x:c>
      <x:c r="D669" t="str">
        <x:v>accepted paired event</x:v>
      </x:c>
      <x:c r="E669" t="n">
        <x:v>1</x:v>
      </x:c>
      <x:c r="F669" t="n">
        <x:f>'Event Register'!N138</x:f>
        <x:v>0</x:v>
      </x:c>
      <x:c r="G669" t="str">
        <x:v>'Event Register'!N138</x:v>
      </x:c>
      <x:c r="H669" t="str">
        <x:v>physical acceptance authority</x:v>
      </x:c>
      <x:c r="I669" t="str">
        <x:f>IF(F669=0,"OPEN",IF(E669=F669,"PASS","FAIL"))</x:f>
        <x:v>OPEN</x:v>
      </x:c>
    </x:row>
    <x:row r="670">
      <x:c r="B670" t="str">
        <x:v>PH-PEV-133</x:v>
      </x:c>
      <x:c r="C670" t="str">
        <x:v>physical</x:v>
      </x:c>
      <x:c r="D670" t="str">
        <x:v>accepted paired event</x:v>
      </x:c>
      <x:c r="E670" t="n">
        <x:v>1</x:v>
      </x:c>
      <x:c r="F670" t="n">
        <x:f>'Event Register'!N139</x:f>
        <x:v>0</x:v>
      </x:c>
      <x:c r="G670" t="str">
        <x:v>'Event Register'!N139</x:v>
      </x:c>
      <x:c r="H670" t="str">
        <x:v>physical acceptance authority</x:v>
      </x:c>
      <x:c r="I670" t="str">
        <x:f>IF(F670=0,"OPEN",IF(E670=F670,"PASS","FAIL"))</x:f>
        <x:v>OPEN</x:v>
      </x:c>
    </x:row>
    <x:row r="671">
      <x:c r="B671" t="str">
        <x:v>PH-PEV-134</x:v>
      </x:c>
      <x:c r="C671" t="str">
        <x:v>physical</x:v>
      </x:c>
      <x:c r="D671" t="str">
        <x:v>accepted paired event</x:v>
      </x:c>
      <x:c r="E671" t="n">
        <x:v>1</x:v>
      </x:c>
      <x:c r="F671" t="n">
        <x:f>'Event Register'!N140</x:f>
        <x:v>0</x:v>
      </x:c>
      <x:c r="G671" t="str">
        <x:v>'Event Register'!N140</x:v>
      </x:c>
      <x:c r="H671" t="str">
        <x:v>physical acceptance authority</x:v>
      </x:c>
      <x:c r="I671" t="str">
        <x:f>IF(F671=0,"OPEN",IF(E671=F671,"PASS","FAIL"))</x:f>
        <x:v>OPEN</x:v>
      </x:c>
    </x:row>
    <x:row r="672">
      <x:c r="B672" t="str">
        <x:v>PH-PEV-135</x:v>
      </x:c>
      <x:c r="C672" t="str">
        <x:v>physical</x:v>
      </x:c>
      <x:c r="D672" t="str">
        <x:v>accepted paired event</x:v>
      </x:c>
      <x:c r="E672" t="n">
        <x:v>1</x:v>
      </x:c>
      <x:c r="F672" t="n">
        <x:f>'Event Register'!N141</x:f>
        <x:v>0</x:v>
      </x:c>
      <x:c r="G672" t="str">
        <x:v>'Event Register'!N141</x:v>
      </x:c>
      <x:c r="H672" t="str">
        <x:v>physical acceptance authority</x:v>
      </x:c>
      <x:c r="I672" t="str">
        <x:f>IF(F672=0,"OPEN",IF(E672=F672,"PASS","FAIL"))</x:f>
        <x:v>OPEN</x:v>
      </x:c>
    </x:row>
    <x:row r="673">
      <x:c r="B673" t="str">
        <x:v>PH-PEV-136</x:v>
      </x:c>
      <x:c r="C673" t="str">
        <x:v>physical</x:v>
      </x:c>
      <x:c r="D673" t="str">
        <x:v>accepted paired event</x:v>
      </x:c>
      <x:c r="E673" t="n">
        <x:v>1</x:v>
      </x:c>
      <x:c r="F673" t="n">
        <x:f>'Event Register'!N142</x:f>
        <x:v>0</x:v>
      </x:c>
      <x:c r="G673" t="str">
        <x:v>'Event Register'!N142</x:v>
      </x:c>
      <x:c r="H673" t="str">
        <x:v>physical acceptance authority</x:v>
      </x:c>
      <x:c r="I673" t="str">
        <x:f>IF(F673=0,"OPEN",IF(E673=F673,"PASS","FAIL"))</x:f>
        <x:v>OPEN</x:v>
      </x:c>
    </x:row>
    <x:row r="674">
      <x:c r="B674" t="str">
        <x:v>PH-PEV-137</x:v>
      </x:c>
      <x:c r="C674" t="str">
        <x:v>physical</x:v>
      </x:c>
      <x:c r="D674" t="str">
        <x:v>accepted paired event</x:v>
      </x:c>
      <x:c r="E674" t="n">
        <x:v>1</x:v>
      </x:c>
      <x:c r="F674" t="n">
        <x:f>'Event Register'!N143</x:f>
        <x:v>0</x:v>
      </x:c>
      <x:c r="G674" t="str">
        <x:v>'Event Register'!N143</x:v>
      </x:c>
      <x:c r="H674" t="str">
        <x:v>physical acceptance authority</x:v>
      </x:c>
      <x:c r="I674" t="str">
        <x:f>IF(F674=0,"OPEN",IF(E674=F674,"PASS","FAIL"))</x:f>
        <x:v>OPEN</x:v>
      </x:c>
    </x:row>
    <x:row r="675">
      <x:c r="B675" t="str">
        <x:v>PH-PEV-138</x:v>
      </x:c>
      <x:c r="C675" t="str">
        <x:v>physical</x:v>
      </x:c>
      <x:c r="D675" t="str">
        <x:v>accepted paired event</x:v>
      </x:c>
      <x:c r="E675" t="n">
        <x:v>1</x:v>
      </x:c>
      <x:c r="F675" t="n">
        <x:f>'Event Register'!N144</x:f>
        <x:v>0</x:v>
      </x:c>
      <x:c r="G675" t="str">
        <x:v>'Event Register'!N144</x:v>
      </x:c>
      <x:c r="H675" t="str">
        <x:v>physical acceptance authority</x:v>
      </x:c>
      <x:c r="I675" t="str">
        <x:f>IF(F675=0,"OPEN",IF(E675=F675,"PASS","FAIL"))</x:f>
        <x:v>OPEN</x:v>
      </x:c>
    </x:row>
    <x:row r="676">
      <x:c r="B676" t="str">
        <x:v>PH-PEV-139</x:v>
      </x:c>
      <x:c r="C676" t="str">
        <x:v>physical</x:v>
      </x:c>
      <x:c r="D676" t="str">
        <x:v>accepted paired event</x:v>
      </x:c>
      <x:c r="E676" t="n">
        <x:v>1</x:v>
      </x:c>
      <x:c r="F676" t="n">
        <x:f>'Event Register'!N145</x:f>
        <x:v>0</x:v>
      </x:c>
      <x:c r="G676" t="str">
        <x:v>'Event Register'!N145</x:v>
      </x:c>
      <x:c r="H676" t="str">
        <x:v>physical acceptance authority</x:v>
      </x:c>
      <x:c r="I676" t="str">
        <x:f>IF(F676=0,"OPEN",IF(E676=F676,"PASS","FAIL"))</x:f>
        <x:v>OPEN</x:v>
      </x:c>
    </x:row>
    <x:row r="677">
      <x:c r="B677" t="str">
        <x:v>PH-PEV-140</x:v>
      </x:c>
      <x:c r="C677" t="str">
        <x:v>physical</x:v>
      </x:c>
      <x:c r="D677" t="str">
        <x:v>accepted paired event</x:v>
      </x:c>
      <x:c r="E677" t="n">
        <x:v>1</x:v>
      </x:c>
      <x:c r="F677" t="n">
        <x:f>'Event Register'!N146</x:f>
        <x:v>0</x:v>
      </x:c>
      <x:c r="G677" t="str">
        <x:v>'Event Register'!N146</x:v>
      </x:c>
      <x:c r="H677" t="str">
        <x:v>physical acceptance authority</x:v>
      </x:c>
      <x:c r="I677" t="str">
        <x:f>IF(F677=0,"OPEN",IF(E677=F677,"PASS","FAIL"))</x:f>
        <x:v>OPEN</x:v>
      </x:c>
    </x:row>
    <x:row r="678">
      <x:c r="B678" t="str">
        <x:v>PH-PEV-141</x:v>
      </x:c>
      <x:c r="C678" t="str">
        <x:v>physical</x:v>
      </x:c>
      <x:c r="D678" t="str">
        <x:v>accepted paired event</x:v>
      </x:c>
      <x:c r="E678" t="n">
        <x:v>1</x:v>
      </x:c>
      <x:c r="F678" t="n">
        <x:f>'Event Register'!N147</x:f>
        <x:v>0</x:v>
      </x:c>
      <x:c r="G678" t="str">
        <x:v>'Event Register'!N147</x:v>
      </x:c>
      <x:c r="H678" t="str">
        <x:v>physical acceptance authority</x:v>
      </x:c>
      <x:c r="I678" t="str">
        <x:f>IF(F678=0,"OPEN",IF(E678=F678,"PASS","FAIL"))</x:f>
        <x:v>OPEN</x:v>
      </x:c>
    </x:row>
    <x:row r="679">
      <x:c r="B679" t="str">
        <x:v>PH-PEV-142</x:v>
      </x:c>
      <x:c r="C679" t="str">
        <x:v>physical</x:v>
      </x:c>
      <x:c r="D679" t="str">
        <x:v>accepted paired event</x:v>
      </x:c>
      <x:c r="E679" t="n">
        <x:v>1</x:v>
      </x:c>
      <x:c r="F679" t="n">
        <x:f>'Event Register'!N148</x:f>
        <x:v>0</x:v>
      </x:c>
      <x:c r="G679" t="str">
        <x:v>'Event Register'!N148</x:v>
      </x:c>
      <x:c r="H679" t="str">
        <x:v>physical acceptance authority</x:v>
      </x:c>
      <x:c r="I679" t="str">
        <x:f>IF(F679=0,"OPEN",IF(E679=F679,"PASS","FAIL"))</x:f>
        <x:v>OPEN</x:v>
      </x:c>
    </x:row>
    <x:row r="680">
      <x:c r="B680" t="str">
        <x:v>PH-PEV-143</x:v>
      </x:c>
      <x:c r="C680" t="str">
        <x:v>physical</x:v>
      </x:c>
      <x:c r="D680" t="str">
        <x:v>accepted paired event</x:v>
      </x:c>
      <x:c r="E680" t="n">
        <x:v>1</x:v>
      </x:c>
      <x:c r="F680" t="n">
        <x:f>'Event Register'!N149</x:f>
        <x:v>0</x:v>
      </x:c>
      <x:c r="G680" t="str">
        <x:v>'Event Register'!N149</x:v>
      </x:c>
      <x:c r="H680" t="str">
        <x:v>physical acceptance authority</x:v>
      </x:c>
      <x:c r="I680" t="str">
        <x:f>IF(F680=0,"OPEN",IF(E680=F680,"PASS","FAIL"))</x:f>
        <x:v>OPEN</x:v>
      </x:c>
    </x:row>
    <x:row r="681">
      <x:c r="B681" t="str">
        <x:v>PH-PEV-144</x:v>
      </x:c>
      <x:c r="C681" t="str">
        <x:v>physical</x:v>
      </x:c>
      <x:c r="D681" t="str">
        <x:v>accepted paired event</x:v>
      </x:c>
      <x:c r="E681" t="n">
        <x:v>1</x:v>
      </x:c>
      <x:c r="F681" t="n">
        <x:f>'Event Register'!N150</x:f>
        <x:v>0</x:v>
      </x:c>
      <x:c r="G681" t="str">
        <x:v>'Event Register'!N150</x:v>
      </x:c>
      <x:c r="H681" t="str">
        <x:v>physical acceptance authority</x:v>
      </x:c>
      <x:c r="I681" t="str">
        <x:f>IF(F681=0,"OPEN",IF(E681=F681,"PASS","FAIL"))</x:f>
        <x:v>OPEN</x:v>
      </x:c>
    </x:row>
    <x:row r="682">
      <x:c r="B682" t="str">
        <x:v>PH-PEV-145</x:v>
      </x:c>
      <x:c r="C682" t="str">
        <x:v>physical</x:v>
      </x:c>
      <x:c r="D682" t="str">
        <x:v>accepted paired event</x:v>
      </x:c>
      <x:c r="E682" t="n">
        <x:v>1</x:v>
      </x:c>
      <x:c r="F682" t="n">
        <x:f>'Event Register'!N151</x:f>
        <x:v>0</x:v>
      </x:c>
      <x:c r="G682" t="str">
        <x:v>'Event Register'!N151</x:v>
      </x:c>
      <x:c r="H682" t="str">
        <x:v>physical acceptance authority</x:v>
      </x:c>
      <x:c r="I682" t="str">
        <x:f>IF(F682=0,"OPEN",IF(E682=F682,"PASS","FAIL"))</x:f>
        <x:v>OPEN</x:v>
      </x:c>
    </x:row>
    <x:row r="683">
      <x:c r="B683" t="str">
        <x:v>PH-PEV-146</x:v>
      </x:c>
      <x:c r="C683" t="str">
        <x:v>physical</x:v>
      </x:c>
      <x:c r="D683" t="str">
        <x:v>accepted paired event</x:v>
      </x:c>
      <x:c r="E683" t="n">
        <x:v>1</x:v>
      </x:c>
      <x:c r="F683" t="n">
        <x:f>'Event Register'!N152</x:f>
        <x:v>0</x:v>
      </x:c>
      <x:c r="G683" t="str">
        <x:v>'Event Register'!N152</x:v>
      </x:c>
      <x:c r="H683" t="str">
        <x:v>physical acceptance authority</x:v>
      </x:c>
      <x:c r="I683" t="str">
        <x:f>IF(F683=0,"OPEN",IF(E683=F683,"PASS","FAIL"))</x:f>
        <x:v>OPEN</x:v>
      </x:c>
    </x:row>
    <x:row r="684">
      <x:c r="B684" t="str">
        <x:v>PH-PEV-147</x:v>
      </x:c>
      <x:c r="C684" t="str">
        <x:v>physical</x:v>
      </x:c>
      <x:c r="D684" t="str">
        <x:v>accepted paired event</x:v>
      </x:c>
      <x:c r="E684" t="n">
        <x:v>1</x:v>
      </x:c>
      <x:c r="F684" t="n">
        <x:f>'Event Register'!N153</x:f>
        <x:v>0</x:v>
      </x:c>
      <x:c r="G684" t="str">
        <x:v>'Event Register'!N153</x:v>
      </x:c>
      <x:c r="H684" t="str">
        <x:v>physical acceptance authority</x:v>
      </x:c>
      <x:c r="I684" t="str">
        <x:f>IF(F684=0,"OPEN",IF(E684=F684,"PASS","FAIL"))</x:f>
        <x:v>OPEN</x:v>
      </x:c>
    </x:row>
    <x:row r="685">
      <x:c r="B685" t="str">
        <x:v>PH-PEV-148</x:v>
      </x:c>
      <x:c r="C685" t="str">
        <x:v>physical</x:v>
      </x:c>
      <x:c r="D685" t="str">
        <x:v>accepted paired event</x:v>
      </x:c>
      <x:c r="E685" t="n">
        <x:v>1</x:v>
      </x:c>
      <x:c r="F685" t="n">
        <x:f>'Event Register'!N154</x:f>
        <x:v>0</x:v>
      </x:c>
      <x:c r="G685" t="str">
        <x:v>'Event Register'!N154</x:v>
      </x:c>
      <x:c r="H685" t="str">
        <x:v>physical acceptance authority</x:v>
      </x:c>
      <x:c r="I685" t="str">
        <x:f>IF(F685=0,"OPEN",IF(E685=F685,"PASS","FAIL"))</x:f>
        <x:v>OPEN</x:v>
      </x:c>
    </x:row>
    <x:row r="686">
      <x:c r="B686" t="str">
        <x:v>PH-PEV-149</x:v>
      </x:c>
      <x:c r="C686" t="str">
        <x:v>physical</x:v>
      </x:c>
      <x:c r="D686" t="str">
        <x:v>accepted paired event</x:v>
      </x:c>
      <x:c r="E686" t="n">
        <x:v>1</x:v>
      </x:c>
      <x:c r="F686" t="n">
        <x:f>'Event Register'!N155</x:f>
        <x:v>0</x:v>
      </x:c>
      <x:c r="G686" t="str">
        <x:v>'Event Register'!N155</x:v>
      </x:c>
      <x:c r="H686" t="str">
        <x:v>physical acceptance authority</x:v>
      </x:c>
      <x:c r="I686" t="str">
        <x:f>IF(F686=0,"OPEN",IF(E686=F686,"PASS","FAIL"))</x:f>
        <x:v>OPEN</x:v>
      </x:c>
    </x:row>
    <x:row r="687">
      <x:c r="B687" t="str">
        <x:v>PH-PEV-150</x:v>
      </x:c>
      <x:c r="C687" t="str">
        <x:v>physical</x:v>
      </x:c>
      <x:c r="D687" t="str">
        <x:v>accepted paired event</x:v>
      </x:c>
      <x:c r="E687" t="n">
        <x:v>1</x:v>
      </x:c>
      <x:c r="F687" t="n">
        <x:f>'Event Register'!N156</x:f>
        <x:v>0</x:v>
      </x:c>
      <x:c r="G687" t="str">
        <x:v>'Event Register'!N156</x:v>
      </x:c>
      <x:c r="H687" t="str">
        <x:v>physical acceptance authority</x:v>
      </x:c>
      <x:c r="I687" t="str">
        <x:f>IF(F687=0,"OPEN",IF(E687=F687,"PASS","FAIL"))</x:f>
        <x:v>OPEN</x:v>
      </x:c>
    </x:row>
    <x:row r="688">
      <x:c r="B688" t="str">
        <x:v>PH-PEV-151</x:v>
      </x:c>
      <x:c r="C688" t="str">
        <x:v>physical</x:v>
      </x:c>
      <x:c r="D688" t="str">
        <x:v>accepted paired event</x:v>
      </x:c>
      <x:c r="E688" t="n">
        <x:v>1</x:v>
      </x:c>
      <x:c r="F688" t="n">
        <x:f>'Event Register'!N157</x:f>
        <x:v>0</x:v>
      </x:c>
      <x:c r="G688" t="str">
        <x:v>'Event Register'!N157</x:v>
      </x:c>
      <x:c r="H688" t="str">
        <x:v>physical acceptance authority</x:v>
      </x:c>
      <x:c r="I688" t="str">
        <x:f>IF(F688=0,"OPEN",IF(E688=F688,"PASS","FAIL"))</x:f>
        <x:v>OPEN</x:v>
      </x:c>
    </x:row>
    <x:row r="689">
      <x:c r="B689" t="str">
        <x:v>PH-PEV-152</x:v>
      </x:c>
      <x:c r="C689" t="str">
        <x:v>physical</x:v>
      </x:c>
      <x:c r="D689" t="str">
        <x:v>accepted paired event</x:v>
      </x:c>
      <x:c r="E689" t="n">
        <x:v>1</x:v>
      </x:c>
      <x:c r="F689" t="n">
        <x:f>'Event Register'!N158</x:f>
        <x:v>0</x:v>
      </x:c>
      <x:c r="G689" t="str">
        <x:v>'Event Register'!N158</x:v>
      </x:c>
      <x:c r="H689" t="str">
        <x:v>physical acceptance authority</x:v>
      </x:c>
      <x:c r="I689" t="str">
        <x:f>IF(F689=0,"OPEN",IF(E689=F689,"PASS","FAIL"))</x:f>
        <x:v>OPEN</x:v>
      </x:c>
    </x:row>
    <x:row r="690">
      <x:c r="B690" t="str">
        <x:v>PH-PEV-153</x:v>
      </x:c>
      <x:c r="C690" t="str">
        <x:v>physical</x:v>
      </x:c>
      <x:c r="D690" t="str">
        <x:v>accepted paired event</x:v>
      </x:c>
      <x:c r="E690" t="n">
        <x:v>1</x:v>
      </x:c>
      <x:c r="F690" t="n">
        <x:f>'Event Register'!N159</x:f>
        <x:v>0</x:v>
      </x:c>
      <x:c r="G690" t="str">
        <x:v>'Event Register'!N159</x:v>
      </x:c>
      <x:c r="H690" t="str">
        <x:v>physical acceptance authority</x:v>
      </x:c>
      <x:c r="I690" t="str">
        <x:f>IF(F690=0,"OPEN",IF(E690=F690,"PASS","FAIL"))</x:f>
        <x:v>OPEN</x:v>
      </x:c>
    </x:row>
    <x:row r="691">
      <x:c r="B691" t="str">
        <x:v>PH-PEV-154</x:v>
      </x:c>
      <x:c r="C691" t="str">
        <x:v>physical</x:v>
      </x:c>
      <x:c r="D691" t="str">
        <x:v>accepted paired event</x:v>
      </x:c>
      <x:c r="E691" t="n">
        <x:v>1</x:v>
      </x:c>
      <x:c r="F691" t="n">
        <x:f>'Event Register'!N160</x:f>
        <x:v>0</x:v>
      </x:c>
      <x:c r="G691" t="str">
        <x:v>'Event Register'!N160</x:v>
      </x:c>
      <x:c r="H691" t="str">
        <x:v>physical acceptance authority</x:v>
      </x:c>
      <x:c r="I691" t="str">
        <x:f>IF(F691=0,"OPEN",IF(E691=F691,"PASS","FAIL"))</x:f>
        <x:v>OPEN</x:v>
      </x:c>
    </x:row>
    <x:row r="692">
      <x:c r="B692" t="str">
        <x:v>PH-PEV-155</x:v>
      </x:c>
      <x:c r="C692" t="str">
        <x:v>physical</x:v>
      </x:c>
      <x:c r="D692" t="str">
        <x:v>accepted paired event</x:v>
      </x:c>
      <x:c r="E692" t="n">
        <x:v>1</x:v>
      </x:c>
      <x:c r="F692" t="n">
        <x:f>'Event Register'!N161</x:f>
        <x:v>0</x:v>
      </x:c>
      <x:c r="G692" t="str">
        <x:v>'Event Register'!N161</x:v>
      </x:c>
      <x:c r="H692" t="str">
        <x:v>physical acceptance authority</x:v>
      </x:c>
      <x:c r="I692" t="str">
        <x:f>IF(F692=0,"OPEN",IF(E692=F692,"PASS","FAIL"))</x:f>
        <x:v>OPEN</x:v>
      </x:c>
    </x:row>
    <x:row r="693">
      <x:c r="B693" t="str">
        <x:v>PH-PEV-156</x:v>
      </x:c>
      <x:c r="C693" t="str">
        <x:v>physical</x:v>
      </x:c>
      <x:c r="D693" t="str">
        <x:v>accepted paired event</x:v>
      </x:c>
      <x:c r="E693" t="n">
        <x:v>1</x:v>
      </x:c>
      <x:c r="F693" t="n">
        <x:f>'Event Register'!N162</x:f>
        <x:v>0</x:v>
      </x:c>
      <x:c r="G693" t="str">
        <x:v>'Event Register'!N162</x:v>
      </x:c>
      <x:c r="H693" t="str">
        <x:v>physical acceptance authority</x:v>
      </x:c>
      <x:c r="I693" t="str">
        <x:f>IF(F693=0,"OPEN",IF(E693=F693,"PASS","FAIL"))</x:f>
        <x:v>OPEN</x:v>
      </x:c>
    </x:row>
    <x:row r="694">
      <x:c r="B694" t="str">
        <x:v>PH-PEV-157</x:v>
      </x:c>
      <x:c r="C694" t="str">
        <x:v>physical</x:v>
      </x:c>
      <x:c r="D694" t="str">
        <x:v>accepted paired event</x:v>
      </x:c>
      <x:c r="E694" t="n">
        <x:v>1</x:v>
      </x:c>
      <x:c r="F694" t="n">
        <x:f>'Event Register'!N163</x:f>
        <x:v>0</x:v>
      </x:c>
      <x:c r="G694" t="str">
        <x:v>'Event Register'!N163</x:v>
      </x:c>
      <x:c r="H694" t="str">
        <x:v>physical acceptance authority</x:v>
      </x:c>
      <x:c r="I694" t="str">
        <x:f>IF(F694=0,"OPEN",IF(E694=F694,"PASS","FAIL"))</x:f>
        <x:v>OPEN</x:v>
      </x:c>
    </x:row>
    <x:row r="695">
      <x:c r="B695" t="str">
        <x:v>PH-PEV-158</x:v>
      </x:c>
      <x:c r="C695" t="str">
        <x:v>physical</x:v>
      </x:c>
      <x:c r="D695" t="str">
        <x:v>accepted paired event</x:v>
      </x:c>
      <x:c r="E695" t="n">
        <x:v>1</x:v>
      </x:c>
      <x:c r="F695" t="n">
        <x:f>'Event Register'!N164</x:f>
        <x:v>0</x:v>
      </x:c>
      <x:c r="G695" t="str">
        <x:v>'Event Register'!N164</x:v>
      </x:c>
      <x:c r="H695" t="str">
        <x:v>physical acceptance authority</x:v>
      </x:c>
      <x:c r="I695" t="str">
        <x:f>IF(F695=0,"OPEN",IF(E695=F695,"PASS","FAIL"))</x:f>
        <x:v>OPEN</x:v>
      </x:c>
    </x:row>
    <x:row r="696">
      <x:c r="B696" t="str">
        <x:v>PH-PEV-159</x:v>
      </x:c>
      <x:c r="C696" t="str">
        <x:v>physical</x:v>
      </x:c>
      <x:c r="D696" t="str">
        <x:v>accepted paired event</x:v>
      </x:c>
      <x:c r="E696" t="n">
        <x:v>1</x:v>
      </x:c>
      <x:c r="F696" t="n">
        <x:f>'Event Register'!N165</x:f>
        <x:v>0</x:v>
      </x:c>
      <x:c r="G696" t="str">
        <x:v>'Event Register'!N165</x:v>
      </x:c>
      <x:c r="H696" t="str">
        <x:v>physical acceptance authority</x:v>
      </x:c>
      <x:c r="I696" t="str">
        <x:f>IF(F696=0,"OPEN",IF(E696=F696,"PASS","FAIL"))</x:f>
        <x:v>OPEN</x:v>
      </x:c>
    </x:row>
    <x:row r="697">
      <x:c r="B697" t="str">
        <x:v>PH-PEV-160</x:v>
      </x:c>
      <x:c r="C697" t="str">
        <x:v>physical</x:v>
      </x:c>
      <x:c r="D697" t="str">
        <x:v>accepted paired event</x:v>
      </x:c>
      <x:c r="E697" t="n">
        <x:v>1</x:v>
      </x:c>
      <x:c r="F697" t="n">
        <x:f>'Event Register'!N166</x:f>
        <x:v>0</x:v>
      </x:c>
      <x:c r="G697" t="str">
        <x:v>'Event Register'!N166</x:v>
      </x:c>
      <x:c r="H697" t="str">
        <x:v>physical acceptance authority</x:v>
      </x:c>
      <x:c r="I697" t="str">
        <x:f>IF(F697=0,"OPEN",IF(E697=F697,"PASS","FAIL"))</x:f>
        <x:v>OPEN</x:v>
      </x:c>
    </x:row>
    <x:row r="698">
      <x:c r="B698" t="str">
        <x:v>PH-PEV-161</x:v>
      </x:c>
      <x:c r="C698" t="str">
        <x:v>physical</x:v>
      </x:c>
      <x:c r="D698" t="str">
        <x:v>accepted paired event</x:v>
      </x:c>
      <x:c r="E698" t="n">
        <x:v>1</x:v>
      </x:c>
      <x:c r="F698" t="n">
        <x:f>'Event Register'!N167</x:f>
        <x:v>0</x:v>
      </x:c>
      <x:c r="G698" t="str">
        <x:v>'Event Register'!N167</x:v>
      </x:c>
      <x:c r="H698" t="str">
        <x:v>physical acceptance authority</x:v>
      </x:c>
      <x:c r="I698" t="str">
        <x:f>IF(F698=0,"OPEN",IF(E698=F698,"PASS","FAIL"))</x:f>
        <x:v>OPEN</x:v>
      </x:c>
    </x:row>
    <x:row r="699">
      <x:c r="B699" t="str">
        <x:v>PH-PEV-162</x:v>
      </x:c>
      <x:c r="C699" t="str">
        <x:v>physical</x:v>
      </x:c>
      <x:c r="D699" t="str">
        <x:v>accepted paired event</x:v>
      </x:c>
      <x:c r="E699" t="n">
        <x:v>1</x:v>
      </x:c>
      <x:c r="F699" t="n">
        <x:f>'Event Register'!N168</x:f>
        <x:v>0</x:v>
      </x:c>
      <x:c r="G699" t="str">
        <x:v>'Event Register'!N168</x:v>
      </x:c>
      <x:c r="H699" t="str">
        <x:v>physical acceptance authority</x:v>
      </x:c>
      <x:c r="I699" t="str">
        <x:f>IF(F699=0,"OPEN",IF(E699=F699,"PASS","FAIL"))</x:f>
        <x:v>OPEN</x:v>
      </x:c>
    </x:row>
    <x:row r="700">
      <x:c r="B700" t="str">
        <x:v>PH-PEV-163</x:v>
      </x:c>
      <x:c r="C700" t="str">
        <x:v>physical</x:v>
      </x:c>
      <x:c r="D700" t="str">
        <x:v>accepted paired event</x:v>
      </x:c>
      <x:c r="E700" t="n">
        <x:v>1</x:v>
      </x:c>
      <x:c r="F700" t="n">
        <x:f>'Event Register'!N169</x:f>
        <x:v>0</x:v>
      </x:c>
      <x:c r="G700" t="str">
        <x:v>'Event Register'!N169</x:v>
      </x:c>
      <x:c r="H700" t="str">
        <x:v>physical acceptance authority</x:v>
      </x:c>
      <x:c r="I700" t="str">
        <x:f>IF(F700=0,"OPEN",IF(E700=F700,"PASS","FAIL"))</x:f>
        <x:v>OPEN</x:v>
      </x:c>
    </x:row>
    <x:row r="701">
      <x:c r="B701" t="str">
        <x:v>PH-PEV-164</x:v>
      </x:c>
      <x:c r="C701" t="str">
        <x:v>physical</x:v>
      </x:c>
      <x:c r="D701" t="str">
        <x:v>accepted paired event</x:v>
      </x:c>
      <x:c r="E701" t="n">
        <x:v>1</x:v>
      </x:c>
      <x:c r="F701" t="n">
        <x:f>'Event Register'!N170</x:f>
        <x:v>0</x:v>
      </x:c>
      <x:c r="G701" t="str">
        <x:v>'Event Register'!N170</x:v>
      </x:c>
      <x:c r="H701" t="str">
        <x:v>physical acceptance authority</x:v>
      </x:c>
      <x:c r="I701" t="str">
        <x:f>IF(F701=0,"OPEN",IF(E701=F701,"PASS","FAIL"))</x:f>
        <x:v>OPEN</x:v>
      </x:c>
    </x:row>
    <x:row r="702">
      <x:c r="B702" t="str">
        <x:v>PH-PEV-165</x:v>
      </x:c>
      <x:c r="C702" t="str">
        <x:v>physical</x:v>
      </x:c>
      <x:c r="D702" t="str">
        <x:v>accepted paired event</x:v>
      </x:c>
      <x:c r="E702" t="n">
        <x:v>1</x:v>
      </x:c>
      <x:c r="F702" t="n">
        <x:f>'Event Register'!N171</x:f>
        <x:v>0</x:v>
      </x:c>
      <x:c r="G702" t="str">
        <x:v>'Event Register'!N171</x:v>
      </x:c>
      <x:c r="H702" t="str">
        <x:v>physical acceptance authority</x:v>
      </x:c>
      <x:c r="I702" t="str">
        <x:f>IF(F702=0,"OPEN",IF(E702=F702,"PASS","FAIL"))</x:f>
        <x:v>OPEN</x:v>
      </x:c>
    </x:row>
    <x:row r="703">
      <x:c r="B703" t="str">
        <x:v>PH-PEV-166</x:v>
      </x:c>
      <x:c r="C703" t="str">
        <x:v>physical</x:v>
      </x:c>
      <x:c r="D703" t="str">
        <x:v>accepted paired event</x:v>
      </x:c>
      <x:c r="E703" t="n">
        <x:v>1</x:v>
      </x:c>
      <x:c r="F703" t="n">
        <x:f>'Event Register'!N172</x:f>
        <x:v>0</x:v>
      </x:c>
      <x:c r="G703" t="str">
        <x:v>'Event Register'!N172</x:v>
      </x:c>
      <x:c r="H703" t="str">
        <x:v>physical acceptance authority</x:v>
      </x:c>
      <x:c r="I703" t="str">
        <x:f>IF(F703=0,"OPEN",IF(E703=F703,"PASS","FAIL"))</x:f>
        <x:v>OPEN</x:v>
      </x:c>
    </x:row>
    <x:row r="704">
      <x:c r="B704" t="str">
        <x:v>PH-PEV-167</x:v>
      </x:c>
      <x:c r="C704" t="str">
        <x:v>physical</x:v>
      </x:c>
      <x:c r="D704" t="str">
        <x:v>accepted paired event</x:v>
      </x:c>
      <x:c r="E704" t="n">
        <x:v>1</x:v>
      </x:c>
      <x:c r="F704" t="n">
        <x:f>'Event Register'!N173</x:f>
        <x:v>0</x:v>
      </x:c>
      <x:c r="G704" t="str">
        <x:v>'Event Register'!N173</x:v>
      </x:c>
      <x:c r="H704" t="str">
        <x:v>physical acceptance authority</x:v>
      </x:c>
      <x:c r="I704" t="str">
        <x:f>IF(F704=0,"OPEN",IF(E704=F704,"PASS","FAIL"))</x:f>
        <x:v>OPEN</x:v>
      </x:c>
    </x:row>
    <x:row r="705">
      <x:c r="B705" t="str">
        <x:v>PH-PEV-168</x:v>
      </x:c>
      <x:c r="C705" t="str">
        <x:v>physical</x:v>
      </x:c>
      <x:c r="D705" t="str">
        <x:v>accepted paired event</x:v>
      </x:c>
      <x:c r="E705" t="n">
        <x:v>1</x:v>
      </x:c>
      <x:c r="F705" t="n">
        <x:f>'Event Register'!N174</x:f>
        <x:v>0</x:v>
      </x:c>
      <x:c r="G705" t="str">
        <x:v>'Event Register'!N174</x:v>
      </x:c>
      <x:c r="H705" t="str">
        <x:v>physical acceptance authority</x:v>
      </x:c>
      <x:c r="I705" t="str">
        <x:f>IF(F705=0,"OPEN",IF(E705=F705,"PASS","FAIL"))</x:f>
        <x:v>OPEN</x:v>
      </x:c>
    </x:row>
    <x:row r="706">
      <x:c r="B706" t="str">
        <x:v>PH-PEV-169</x:v>
      </x:c>
      <x:c r="C706" t="str">
        <x:v>physical</x:v>
      </x:c>
      <x:c r="D706" t="str">
        <x:v>accepted paired event</x:v>
      </x:c>
      <x:c r="E706" t="n">
        <x:v>1</x:v>
      </x:c>
      <x:c r="F706" t="n">
        <x:f>'Event Register'!N175</x:f>
        <x:v>0</x:v>
      </x:c>
      <x:c r="G706" t="str">
        <x:v>'Event Register'!N175</x:v>
      </x:c>
      <x:c r="H706" t="str">
        <x:v>physical acceptance authority</x:v>
      </x:c>
      <x:c r="I706" t="str">
        <x:f>IF(F706=0,"OPEN",IF(E706=F706,"PASS","FAIL"))</x:f>
        <x:v>OPEN</x:v>
      </x:c>
    </x:row>
    <x:row r="707">
      <x:c r="B707" t="str">
        <x:v>PH-PEV-170</x:v>
      </x:c>
      <x:c r="C707" t="str">
        <x:v>physical</x:v>
      </x:c>
      <x:c r="D707" t="str">
        <x:v>accepted paired event</x:v>
      </x:c>
      <x:c r="E707" t="n">
        <x:v>1</x:v>
      </x:c>
      <x:c r="F707" t="n">
        <x:f>'Event Register'!N176</x:f>
        <x:v>0</x:v>
      </x:c>
      <x:c r="G707" t="str">
        <x:v>'Event Register'!N176</x:v>
      </x:c>
      <x:c r="H707" t="str">
        <x:v>physical acceptance authority</x:v>
      </x:c>
      <x:c r="I707" t="str">
        <x:f>IF(F707=0,"OPEN",IF(E707=F707,"PASS","FAIL"))</x:f>
        <x:v>OPEN</x:v>
      </x:c>
    </x:row>
    <x:row r="708">
      <x:c r="B708" t="str">
        <x:v>PH-PEV-171</x:v>
      </x:c>
      <x:c r="C708" t="str">
        <x:v>physical</x:v>
      </x:c>
      <x:c r="D708" t="str">
        <x:v>accepted paired event</x:v>
      </x:c>
      <x:c r="E708" t="n">
        <x:v>1</x:v>
      </x:c>
      <x:c r="F708" t="n">
        <x:f>'Event Register'!N177</x:f>
        <x:v>0</x:v>
      </x:c>
      <x:c r="G708" t="str">
        <x:v>'Event Register'!N177</x:v>
      </x:c>
      <x:c r="H708" t="str">
        <x:v>physical acceptance authority</x:v>
      </x:c>
      <x:c r="I708" t="str">
        <x:f>IF(F708=0,"OPEN",IF(E708=F708,"PASS","FAIL"))</x:f>
        <x:v>OPEN</x:v>
      </x:c>
    </x:row>
    <x:row r="709">
      <x:c r="B709" t="str">
        <x:v>PH-PEV-172</x:v>
      </x:c>
      <x:c r="C709" t="str">
        <x:v>physical</x:v>
      </x:c>
      <x:c r="D709" t="str">
        <x:v>accepted paired event</x:v>
      </x:c>
      <x:c r="E709" t="n">
        <x:v>1</x:v>
      </x:c>
      <x:c r="F709" t="n">
        <x:f>'Event Register'!N178</x:f>
        <x:v>0</x:v>
      </x:c>
      <x:c r="G709" t="str">
        <x:v>'Event Register'!N178</x:v>
      </x:c>
      <x:c r="H709" t="str">
        <x:v>physical acceptance authority</x:v>
      </x:c>
      <x:c r="I709" t="str">
        <x:f>IF(F709=0,"OPEN",IF(E709=F709,"PASS","FAIL"))</x:f>
        <x:v>OPEN</x:v>
      </x:c>
    </x:row>
    <x:row r="710">
      <x:c r="B710" t="str">
        <x:v>PH-PEV-173</x:v>
      </x:c>
      <x:c r="C710" t="str">
        <x:v>physical</x:v>
      </x:c>
      <x:c r="D710" t="str">
        <x:v>accepted paired event</x:v>
      </x:c>
      <x:c r="E710" t="n">
        <x:v>1</x:v>
      </x:c>
      <x:c r="F710" t="n">
        <x:f>'Event Register'!N179</x:f>
        <x:v>0</x:v>
      </x:c>
      <x:c r="G710" t="str">
        <x:v>'Event Register'!N179</x:v>
      </x:c>
      <x:c r="H710" t="str">
        <x:v>physical acceptance authority</x:v>
      </x:c>
      <x:c r="I710" t="str">
        <x:f>IF(F710=0,"OPEN",IF(E710=F710,"PASS","FAIL"))</x:f>
        <x:v>OPEN</x:v>
      </x:c>
    </x:row>
    <x:row r="711">
      <x:c r="B711" t="str">
        <x:v>PH-PEV-174</x:v>
      </x:c>
      <x:c r="C711" t="str">
        <x:v>physical</x:v>
      </x:c>
      <x:c r="D711" t="str">
        <x:v>accepted paired event</x:v>
      </x:c>
      <x:c r="E711" t="n">
        <x:v>1</x:v>
      </x:c>
      <x:c r="F711" t="n">
        <x:f>'Event Register'!N180</x:f>
        <x:v>0</x:v>
      </x:c>
      <x:c r="G711" t="str">
        <x:v>'Event Register'!N180</x:v>
      </x:c>
      <x:c r="H711" t="str">
        <x:v>physical acceptance authority</x:v>
      </x:c>
      <x:c r="I711" t="str">
        <x:f>IF(F711=0,"OPEN",IF(E711=F711,"PASS","FAIL"))</x:f>
        <x:v>OPEN</x:v>
      </x:c>
    </x:row>
    <x:row r="712">
      <x:c r="B712" t="str">
        <x:v>PH-PEV-175</x:v>
      </x:c>
      <x:c r="C712" t="str">
        <x:v>physical</x:v>
      </x:c>
      <x:c r="D712" t="str">
        <x:v>accepted paired event</x:v>
      </x:c>
      <x:c r="E712" t="n">
        <x:v>1</x:v>
      </x:c>
      <x:c r="F712" t="n">
        <x:f>'Event Register'!N181</x:f>
        <x:v>0</x:v>
      </x:c>
      <x:c r="G712" t="str">
        <x:v>'Event Register'!N181</x:v>
      </x:c>
      <x:c r="H712" t="str">
        <x:v>physical acceptance authority</x:v>
      </x:c>
      <x:c r="I712" t="str">
        <x:f>IF(F712=0,"OPEN",IF(E712=F712,"PASS","FAIL"))</x:f>
        <x:v>OPEN</x:v>
      </x:c>
    </x:row>
    <x:row r="713">
      <x:c r="B713" t="str">
        <x:v>PH-PEV-176</x:v>
      </x:c>
      <x:c r="C713" t="str">
        <x:v>physical</x:v>
      </x:c>
      <x:c r="D713" t="str">
        <x:v>accepted paired event</x:v>
      </x:c>
      <x:c r="E713" t="n">
        <x:v>1</x:v>
      </x:c>
      <x:c r="F713" t="n">
        <x:f>'Event Register'!N182</x:f>
        <x:v>0</x:v>
      </x:c>
      <x:c r="G713" t="str">
        <x:v>'Event Register'!N182</x:v>
      </x:c>
      <x:c r="H713" t="str">
        <x:v>physical acceptance authority</x:v>
      </x:c>
      <x:c r="I713" t="str">
        <x:f>IF(F713=0,"OPEN",IF(E713=F713,"PASS","FAIL"))</x:f>
        <x:v>OPEN</x:v>
      </x:c>
    </x:row>
    <x:row r="714">
      <x:c r="B714" t="str">
        <x:v>PH-PEV-177</x:v>
      </x:c>
      <x:c r="C714" t="str">
        <x:v>physical</x:v>
      </x:c>
      <x:c r="D714" t="str">
        <x:v>accepted paired event</x:v>
      </x:c>
      <x:c r="E714" t="n">
        <x:v>1</x:v>
      </x:c>
      <x:c r="F714" t="n">
        <x:f>'Event Register'!N183</x:f>
        <x:v>0</x:v>
      </x:c>
      <x:c r="G714" t="str">
        <x:v>'Event Register'!N183</x:v>
      </x:c>
      <x:c r="H714" t="str">
        <x:v>physical acceptance authority</x:v>
      </x:c>
      <x:c r="I714" t="str">
        <x:f>IF(F714=0,"OPEN",IF(E714=F714,"PASS","FAIL"))</x:f>
        <x:v>OPEN</x:v>
      </x:c>
    </x:row>
    <x:row r="715">
      <x:c r="B715" t="str">
        <x:v>PH-PEV-178</x:v>
      </x:c>
      <x:c r="C715" t="str">
        <x:v>physical</x:v>
      </x:c>
      <x:c r="D715" t="str">
        <x:v>accepted paired event</x:v>
      </x:c>
      <x:c r="E715" t="n">
        <x:v>1</x:v>
      </x:c>
      <x:c r="F715" t="n">
        <x:f>'Event Register'!N184</x:f>
        <x:v>0</x:v>
      </x:c>
      <x:c r="G715" t="str">
        <x:v>'Event Register'!N184</x:v>
      </x:c>
      <x:c r="H715" t="str">
        <x:v>physical acceptance authority</x:v>
      </x:c>
      <x:c r="I715" t="str">
        <x:f>IF(F715=0,"OPEN",IF(E715=F715,"PASS","FAIL"))</x:f>
        <x:v>OPEN</x:v>
      </x:c>
    </x:row>
    <x:row r="716">
      <x:c r="B716" t="str">
        <x:v>PH-PEV-179</x:v>
      </x:c>
      <x:c r="C716" t="str">
        <x:v>physical</x:v>
      </x:c>
      <x:c r="D716" t="str">
        <x:v>accepted paired event</x:v>
      </x:c>
      <x:c r="E716" t="n">
        <x:v>1</x:v>
      </x:c>
      <x:c r="F716" t="n">
        <x:f>'Event Register'!N185</x:f>
        <x:v>0</x:v>
      </x:c>
      <x:c r="G716" t="str">
        <x:v>'Event Register'!N185</x:v>
      </x:c>
      <x:c r="H716" t="str">
        <x:v>physical acceptance authority</x:v>
      </x:c>
      <x:c r="I716" t="str">
        <x:f>IF(F716=0,"OPEN",IF(E716=F716,"PASS","FAIL"))</x:f>
        <x:v>OPEN</x:v>
      </x:c>
    </x:row>
    <x:row r="717">
      <x:c r="B717" t="str">
        <x:v>PH-PEV-180</x:v>
      </x:c>
      <x:c r="C717" t="str">
        <x:v>physical</x:v>
      </x:c>
      <x:c r="D717" t="str">
        <x:v>accepted paired event</x:v>
      </x:c>
      <x:c r="E717" t="n">
        <x:v>1</x:v>
      </x:c>
      <x:c r="F717" t="n">
        <x:f>'Event Register'!N186</x:f>
        <x:v>0</x:v>
      </x:c>
      <x:c r="G717" t="str">
        <x:v>'Event Register'!N186</x:v>
      </x:c>
      <x:c r="H717" t="str">
        <x:v>physical acceptance authority</x:v>
      </x:c>
      <x:c r="I717" t="str">
        <x:f>IF(F717=0,"OPEN",IF(E717=F717,"PASS","FAIL"))</x:f>
        <x:v>OPEN</x:v>
      </x:c>
    </x:row>
    <x:row r="718">
      <x:c r="B718" t="str">
        <x:v>PH-PEV-181</x:v>
      </x:c>
      <x:c r="C718" t="str">
        <x:v>physical</x:v>
      </x:c>
      <x:c r="D718" t="str">
        <x:v>accepted paired event</x:v>
      </x:c>
      <x:c r="E718" t="n">
        <x:v>1</x:v>
      </x:c>
      <x:c r="F718" t="n">
        <x:f>'Event Register'!N187</x:f>
        <x:v>0</x:v>
      </x:c>
      <x:c r="G718" t="str">
        <x:v>'Event Register'!N187</x:v>
      </x:c>
      <x:c r="H718" t="str">
        <x:v>physical acceptance authority</x:v>
      </x:c>
      <x:c r="I718" t="str">
        <x:f>IF(F718=0,"OPEN",IF(E718=F718,"PASS","FAIL"))</x:f>
        <x:v>OPEN</x:v>
      </x:c>
    </x:row>
    <x:row r="719">
      <x:c r="B719" t="str">
        <x:v>PH-PEV-182</x:v>
      </x:c>
      <x:c r="C719" t="str">
        <x:v>physical</x:v>
      </x:c>
      <x:c r="D719" t="str">
        <x:v>accepted paired event</x:v>
      </x:c>
      <x:c r="E719" t="n">
        <x:v>1</x:v>
      </x:c>
      <x:c r="F719" t="n">
        <x:f>'Event Register'!N188</x:f>
        <x:v>0</x:v>
      </x:c>
      <x:c r="G719" t="str">
        <x:v>'Event Register'!N188</x:v>
      </x:c>
      <x:c r="H719" t="str">
        <x:v>physical acceptance authority</x:v>
      </x:c>
      <x:c r="I719" t="str">
        <x:f>IF(F719=0,"OPEN",IF(E719=F719,"PASS","FAIL"))</x:f>
        <x:v>OPEN</x:v>
      </x:c>
    </x:row>
    <x:row r="720">
      <x:c r="B720" t="str">
        <x:v>PH-PEV-183</x:v>
      </x:c>
      <x:c r="C720" t="str">
        <x:v>physical</x:v>
      </x:c>
      <x:c r="D720" t="str">
        <x:v>accepted paired event</x:v>
      </x:c>
      <x:c r="E720" t="n">
        <x:v>1</x:v>
      </x:c>
      <x:c r="F720" t="n">
        <x:f>'Event Register'!N189</x:f>
        <x:v>0</x:v>
      </x:c>
      <x:c r="G720" t="str">
        <x:v>'Event Register'!N189</x:v>
      </x:c>
      <x:c r="H720" t="str">
        <x:v>physical acceptance authority</x:v>
      </x:c>
      <x:c r="I720" t="str">
        <x:f>IF(F720=0,"OPEN",IF(E720=F720,"PASS","FAIL"))</x:f>
        <x:v>OPEN</x:v>
      </x:c>
    </x:row>
    <x:row r="721">
      <x:c r="B721" t="str">
        <x:v>PH-PEV-184</x:v>
      </x:c>
      <x:c r="C721" t="str">
        <x:v>physical</x:v>
      </x:c>
      <x:c r="D721" t="str">
        <x:v>accepted paired event</x:v>
      </x:c>
      <x:c r="E721" t="n">
        <x:v>1</x:v>
      </x:c>
      <x:c r="F721" t="n">
        <x:f>'Event Register'!N190</x:f>
        <x:v>0</x:v>
      </x:c>
      <x:c r="G721" t="str">
        <x:v>'Event Register'!N190</x:v>
      </x:c>
      <x:c r="H721" t="str">
        <x:v>physical acceptance authority</x:v>
      </x:c>
      <x:c r="I721" t="str">
        <x:f>IF(F721=0,"OPEN",IF(E721=F721,"PASS","FAIL"))</x:f>
        <x:v>OPEN</x:v>
      </x:c>
    </x:row>
    <x:row r="722">
      <x:c r="B722" t="str">
        <x:v>PH-PEV-185</x:v>
      </x:c>
      <x:c r="C722" t="str">
        <x:v>physical</x:v>
      </x:c>
      <x:c r="D722" t="str">
        <x:v>accepted paired event</x:v>
      </x:c>
      <x:c r="E722" t="n">
        <x:v>1</x:v>
      </x:c>
      <x:c r="F722" t="n">
        <x:f>'Event Register'!N191</x:f>
        <x:v>0</x:v>
      </x:c>
      <x:c r="G722" t="str">
        <x:v>'Event Register'!N191</x:v>
      </x:c>
      <x:c r="H722" t="str">
        <x:v>physical acceptance authority</x:v>
      </x:c>
      <x:c r="I722" t="str">
        <x:f>IF(F722=0,"OPEN",IF(E722=F722,"PASS","FAIL"))</x:f>
        <x:v>OPEN</x:v>
      </x:c>
    </x:row>
    <x:row r="723">
      <x:c r="B723" t="str">
        <x:v>PH-PEV-186</x:v>
      </x:c>
      <x:c r="C723" t="str">
        <x:v>physical</x:v>
      </x:c>
      <x:c r="D723" t="str">
        <x:v>accepted paired event</x:v>
      </x:c>
      <x:c r="E723" t="n">
        <x:v>1</x:v>
      </x:c>
      <x:c r="F723" t="n">
        <x:f>'Event Register'!N192</x:f>
        <x:v>0</x:v>
      </x:c>
      <x:c r="G723" t="str">
        <x:v>'Event Register'!N192</x:v>
      </x:c>
      <x:c r="H723" t="str">
        <x:v>physical acceptance authority</x:v>
      </x:c>
      <x:c r="I723" t="str">
        <x:f>IF(F723=0,"OPEN",IF(E723=F723,"PASS","FAIL"))</x:f>
        <x:v>OPEN</x:v>
      </x:c>
    </x:row>
    <x:row r="724">
      <x:c r="B724" t="str">
        <x:v>PH-PEV-187</x:v>
      </x:c>
      <x:c r="C724" t="str">
        <x:v>physical</x:v>
      </x:c>
      <x:c r="D724" t="str">
        <x:v>accepted paired event</x:v>
      </x:c>
      <x:c r="E724" t="n">
        <x:v>1</x:v>
      </x:c>
      <x:c r="F724" t="n">
        <x:f>'Event Register'!N193</x:f>
        <x:v>0</x:v>
      </x:c>
      <x:c r="G724" t="str">
        <x:v>'Event Register'!N193</x:v>
      </x:c>
      <x:c r="H724" t="str">
        <x:v>physical acceptance authority</x:v>
      </x:c>
      <x:c r="I724" t="str">
        <x:f>IF(F724=0,"OPEN",IF(E724=F724,"PASS","FAIL"))</x:f>
        <x:v>OPEN</x:v>
      </x:c>
    </x:row>
    <x:row r="725">
      <x:c r="B725" t="str">
        <x:v>PH-PEV-188</x:v>
      </x:c>
      <x:c r="C725" t="str">
        <x:v>physical</x:v>
      </x:c>
      <x:c r="D725" t="str">
        <x:v>accepted paired event</x:v>
      </x:c>
      <x:c r="E725" t="n">
        <x:v>1</x:v>
      </x:c>
      <x:c r="F725" t="n">
        <x:f>'Event Register'!N194</x:f>
        <x:v>0</x:v>
      </x:c>
      <x:c r="G725" t="str">
        <x:v>'Event Register'!N194</x:v>
      </x:c>
      <x:c r="H725" t="str">
        <x:v>physical acceptance authority</x:v>
      </x:c>
      <x:c r="I725" t="str">
        <x:f>IF(F725=0,"OPEN",IF(E725=F725,"PASS","FAIL"))</x:f>
        <x:v>OPEN</x:v>
      </x:c>
    </x:row>
    <x:row r="726">
      <x:c r="B726" t="str">
        <x:v>PH-PEV-189</x:v>
      </x:c>
      <x:c r="C726" t="str">
        <x:v>physical</x:v>
      </x:c>
      <x:c r="D726" t="str">
        <x:v>accepted paired event</x:v>
      </x:c>
      <x:c r="E726" t="n">
        <x:v>1</x:v>
      </x:c>
      <x:c r="F726" t="n">
        <x:f>'Event Register'!N195</x:f>
        <x:v>0</x:v>
      </x:c>
      <x:c r="G726" t="str">
        <x:v>'Event Register'!N195</x:v>
      </x:c>
      <x:c r="H726" t="str">
        <x:v>physical acceptance authority</x:v>
      </x:c>
      <x:c r="I726" t="str">
        <x:f>IF(F726=0,"OPEN",IF(E726=F726,"PASS","FAIL"))</x:f>
        <x:v>OPEN</x:v>
      </x:c>
    </x:row>
    <x:row r="727">
      <x:c r="B727" t="str">
        <x:v>PH-PEV-190</x:v>
      </x:c>
      <x:c r="C727" t="str">
        <x:v>physical</x:v>
      </x:c>
      <x:c r="D727" t="str">
        <x:v>accepted paired event</x:v>
      </x:c>
      <x:c r="E727" t="n">
        <x:v>1</x:v>
      </x:c>
      <x:c r="F727" t="n">
        <x:f>'Event Register'!N196</x:f>
        <x:v>0</x:v>
      </x:c>
      <x:c r="G727" t="str">
        <x:v>'Event Register'!N196</x:v>
      </x:c>
      <x:c r="H727" t="str">
        <x:v>physical acceptance authority</x:v>
      </x:c>
      <x:c r="I727" t="str">
        <x:f>IF(F727=0,"OPEN",IF(E727=F727,"PASS","FAIL"))</x:f>
        <x:v>OPEN</x:v>
      </x:c>
    </x:row>
    <x:row r="728">
      <x:c r="B728" t="str">
        <x:v>PH-PEV-191</x:v>
      </x:c>
      <x:c r="C728" t="str">
        <x:v>physical</x:v>
      </x:c>
      <x:c r="D728" t="str">
        <x:v>accepted paired event</x:v>
      </x:c>
      <x:c r="E728" t="n">
        <x:v>1</x:v>
      </x:c>
      <x:c r="F728" t="n">
        <x:f>'Event Register'!N197</x:f>
        <x:v>0</x:v>
      </x:c>
      <x:c r="G728" t="str">
        <x:v>'Event Register'!N197</x:v>
      </x:c>
      <x:c r="H728" t="str">
        <x:v>physical acceptance authority</x:v>
      </x:c>
      <x:c r="I728" t="str">
        <x:f>IF(F728=0,"OPEN",IF(E728=F728,"PASS","FAIL"))</x:f>
        <x:v>OPEN</x:v>
      </x:c>
    </x:row>
    <x:row r="729">
      <x:c r="B729" t="str">
        <x:v>PH-PEV-192</x:v>
      </x:c>
      <x:c r="C729" t="str">
        <x:v>physical</x:v>
      </x:c>
      <x:c r="D729" t="str">
        <x:v>accepted paired event</x:v>
      </x:c>
      <x:c r="E729" t="n">
        <x:v>1</x:v>
      </x:c>
      <x:c r="F729" t="n">
        <x:f>'Event Register'!N198</x:f>
        <x:v>0</x:v>
      </x:c>
      <x:c r="G729" t="str">
        <x:v>'Event Register'!N198</x:v>
      </x:c>
      <x:c r="H729" t="str">
        <x:v>physical acceptance authority</x:v>
      </x:c>
      <x:c r="I729" t="str">
        <x:f>IF(F729=0,"OPEN",IF(E729=F729,"PASS","FAIL"))</x:f>
        <x:v>OPEN</x:v>
      </x:c>
    </x:row>
    <x:row r="730">
      <x:c r="B730" t="str">
        <x:v>PH-SEV-001</x:v>
      </x:c>
      <x:c r="C730" t="str">
        <x:v>physical</x:v>
      </x:c>
      <x:c r="D730" t="str">
        <x:v>accepted support event</x:v>
      </x:c>
      <x:c r="E730" t="n">
        <x:v>1</x:v>
      </x:c>
      <x:c r="F730" t="n">
        <x:f>'Support Events'!K7</x:f>
        <x:v>0</x:v>
      </x:c>
      <x:c r="G730" t="str">
        <x:v>'Support Events'!K7</x:v>
      </x:c>
      <x:c r="H730" t="str">
        <x:v>physical acceptance authority</x:v>
      </x:c>
      <x:c r="I730" t="str">
        <x:f>IF(F730=0,"OPEN",IF(E730=F730,"PASS","FAIL"))</x:f>
        <x:v>OPEN</x:v>
      </x:c>
    </x:row>
    <x:row r="731">
      <x:c r="B731" t="str">
        <x:v>PH-SEV-002</x:v>
      </x:c>
      <x:c r="C731" t="str">
        <x:v>physical</x:v>
      </x:c>
      <x:c r="D731" t="str">
        <x:v>accepted support event</x:v>
      </x:c>
      <x:c r="E731" t="n">
        <x:v>1</x:v>
      </x:c>
      <x:c r="F731" t="n">
        <x:f>'Support Events'!K8</x:f>
        <x:v>0</x:v>
      </x:c>
      <x:c r="G731" t="str">
        <x:v>'Support Events'!K8</x:v>
      </x:c>
      <x:c r="H731" t="str">
        <x:v>physical acceptance authority</x:v>
      </x:c>
      <x:c r="I731" t="str">
        <x:f>IF(F731=0,"OPEN",IF(E731=F731,"PASS","FAIL"))</x:f>
        <x:v>OPEN</x:v>
      </x:c>
    </x:row>
    <x:row r="732">
      <x:c r="B732" t="str">
        <x:v>PH-SEV-003</x:v>
      </x:c>
      <x:c r="C732" t="str">
        <x:v>physical</x:v>
      </x:c>
      <x:c r="D732" t="str">
        <x:v>accepted support event</x:v>
      </x:c>
      <x:c r="E732" t="n">
        <x:v>1</x:v>
      </x:c>
      <x:c r="F732" t="n">
        <x:f>'Support Events'!K9</x:f>
        <x:v>0</x:v>
      </x:c>
      <x:c r="G732" t="str">
        <x:v>'Support Events'!K9</x:v>
      </x:c>
      <x:c r="H732" t="str">
        <x:v>physical acceptance authority</x:v>
      </x:c>
      <x:c r="I732" t="str">
        <x:f>IF(F732=0,"OPEN",IF(E732=F732,"PASS","FAIL"))</x:f>
        <x:v>OPEN</x:v>
      </x:c>
    </x:row>
    <x:row r="733">
      <x:c r="B733" t="str">
        <x:v>PH-SEV-004</x:v>
      </x:c>
      <x:c r="C733" t="str">
        <x:v>physical</x:v>
      </x:c>
      <x:c r="D733" t="str">
        <x:v>accepted support event</x:v>
      </x:c>
      <x:c r="E733" t="n">
        <x:v>1</x:v>
      </x:c>
      <x:c r="F733" t="n">
        <x:f>'Support Events'!K10</x:f>
        <x:v>0</x:v>
      </x:c>
      <x:c r="G733" t="str">
        <x:v>'Support Events'!K10</x:v>
      </x:c>
      <x:c r="H733" t="str">
        <x:v>physical acceptance authority</x:v>
      </x:c>
      <x:c r="I733" t="str">
        <x:f>IF(F733=0,"OPEN",IF(E733=F733,"PASS","FAIL"))</x:f>
        <x:v>OPEN</x:v>
      </x:c>
    </x:row>
    <x:row r="734">
      <x:c r="B734" t="str">
        <x:v>PH-SEV-005</x:v>
      </x:c>
      <x:c r="C734" t="str">
        <x:v>physical</x:v>
      </x:c>
      <x:c r="D734" t="str">
        <x:v>accepted support event</x:v>
      </x:c>
      <x:c r="E734" t="n">
        <x:v>1</x:v>
      </x:c>
      <x:c r="F734" t="n">
        <x:f>'Support Events'!K11</x:f>
        <x:v>0</x:v>
      </x:c>
      <x:c r="G734" t="str">
        <x:v>'Support Events'!K11</x:v>
      </x:c>
      <x:c r="H734" t="str">
        <x:v>physical acceptance authority</x:v>
      </x:c>
      <x:c r="I734" t="str">
        <x:f>IF(F734=0,"OPEN",IF(E734=F734,"PASS","FAIL"))</x:f>
        <x:v>OPEN</x:v>
      </x:c>
    </x:row>
    <x:row r="735">
      <x:c r="B735" t="str">
        <x:v>PH-SEV-006</x:v>
      </x:c>
      <x:c r="C735" t="str">
        <x:v>physical</x:v>
      </x:c>
      <x:c r="D735" t="str">
        <x:v>accepted support event</x:v>
      </x:c>
      <x:c r="E735" t="n">
        <x:v>1</x:v>
      </x:c>
      <x:c r="F735" t="n">
        <x:f>'Support Events'!K12</x:f>
        <x:v>0</x:v>
      </x:c>
      <x:c r="G735" t="str">
        <x:v>'Support Events'!K12</x:v>
      </x:c>
      <x:c r="H735" t="str">
        <x:v>physical acceptance authority</x:v>
      </x:c>
      <x:c r="I735" t="str">
        <x:f>IF(F735=0,"OPEN",IF(E735=F735,"PASS","FAIL"))</x:f>
        <x:v>OPEN</x:v>
      </x:c>
    </x:row>
    <x:row r="736">
      <x:c r="B736" t="str">
        <x:v>PH-SEV-007</x:v>
      </x:c>
      <x:c r="C736" t="str">
        <x:v>physical</x:v>
      </x:c>
      <x:c r="D736" t="str">
        <x:v>accepted support event</x:v>
      </x:c>
      <x:c r="E736" t="n">
        <x:v>1</x:v>
      </x:c>
      <x:c r="F736" t="n">
        <x:f>'Support Events'!K13</x:f>
        <x:v>0</x:v>
      </x:c>
      <x:c r="G736" t="str">
        <x:v>'Support Events'!K13</x:v>
      </x:c>
      <x:c r="H736" t="str">
        <x:v>physical acceptance authority</x:v>
      </x:c>
      <x:c r="I736" t="str">
        <x:f>IF(F736=0,"OPEN",IF(E736=F736,"PASS","FAIL"))</x:f>
        <x:v>OPEN</x:v>
      </x:c>
    </x:row>
    <x:row r="737">
      <x:c r="B737" t="str">
        <x:v>PH-SEV-008</x:v>
      </x:c>
      <x:c r="C737" t="str">
        <x:v>physical</x:v>
      </x:c>
      <x:c r="D737" t="str">
        <x:v>accepted support event</x:v>
      </x:c>
      <x:c r="E737" t="n">
        <x:v>1</x:v>
      </x:c>
      <x:c r="F737" t="n">
        <x:f>'Support Events'!K14</x:f>
        <x:v>0</x:v>
      </x:c>
      <x:c r="G737" t="str">
        <x:v>'Support Events'!K14</x:v>
      </x:c>
      <x:c r="H737" t="str">
        <x:v>physical acceptance authority</x:v>
      </x:c>
      <x:c r="I737" t="str">
        <x:f>IF(F737=0,"OPEN",IF(E737=F737,"PASS","FAIL"))</x:f>
        <x:v>OPEN</x:v>
      </x:c>
    </x:row>
    <x:row r="738">
      <x:c r="B738" t="str">
        <x:v>PH-SEV-009</x:v>
      </x:c>
      <x:c r="C738" t="str">
        <x:v>physical</x:v>
      </x:c>
      <x:c r="D738" t="str">
        <x:v>accepted support event</x:v>
      </x:c>
      <x:c r="E738" t="n">
        <x:v>1</x:v>
      </x:c>
      <x:c r="F738" t="n">
        <x:f>'Support Events'!K15</x:f>
        <x:v>0</x:v>
      </x:c>
      <x:c r="G738" t="str">
        <x:v>'Support Events'!K15</x:v>
      </x:c>
      <x:c r="H738" t="str">
        <x:v>physical acceptance authority</x:v>
      </x:c>
      <x:c r="I738" t="str">
        <x:f>IF(F738=0,"OPEN",IF(E738=F738,"PASS","FAIL"))</x:f>
        <x:v>OPEN</x:v>
      </x:c>
    </x:row>
    <x:row r="739">
      <x:c r="B739" t="str">
        <x:v>PH-SEV-010</x:v>
      </x:c>
      <x:c r="C739" t="str">
        <x:v>physical</x:v>
      </x:c>
      <x:c r="D739" t="str">
        <x:v>accepted support event</x:v>
      </x:c>
      <x:c r="E739" t="n">
        <x:v>1</x:v>
      </x:c>
      <x:c r="F739" t="n">
        <x:f>'Support Events'!K16</x:f>
        <x:v>0</x:v>
      </x:c>
      <x:c r="G739" t="str">
        <x:v>'Support Events'!K16</x:v>
      </x:c>
      <x:c r="H739" t="str">
        <x:v>physical acceptance authority</x:v>
      </x:c>
      <x:c r="I739" t="str">
        <x:f>IF(F739=0,"OPEN",IF(E739=F739,"PASS","FAIL"))</x:f>
        <x:v>OPEN</x:v>
      </x:c>
    </x:row>
    <x:row r="740">
      <x:c r="B740" t="str">
        <x:v>PH-SEV-011</x:v>
      </x:c>
      <x:c r="C740" t="str">
        <x:v>physical</x:v>
      </x:c>
      <x:c r="D740" t="str">
        <x:v>accepted support event</x:v>
      </x:c>
      <x:c r="E740" t="n">
        <x:v>1</x:v>
      </x:c>
      <x:c r="F740" t="n">
        <x:f>'Support Events'!K17</x:f>
        <x:v>0</x:v>
      </x:c>
      <x:c r="G740" t="str">
        <x:v>'Support Events'!K17</x:v>
      </x:c>
      <x:c r="H740" t="str">
        <x:v>physical acceptance authority</x:v>
      </x:c>
      <x:c r="I740" t="str">
        <x:f>IF(F740=0,"OPEN",IF(E740=F740,"PASS","FAIL"))</x:f>
        <x:v>OPEN</x:v>
      </x:c>
    </x:row>
    <x:row r="741">
      <x:c r="B741" t="str">
        <x:v>PH-SEV-012</x:v>
      </x:c>
      <x:c r="C741" t="str">
        <x:v>physical</x:v>
      </x:c>
      <x:c r="D741" t="str">
        <x:v>accepted support event</x:v>
      </x:c>
      <x:c r="E741" t="n">
        <x:v>1</x:v>
      </x:c>
      <x:c r="F741" t="n">
        <x:f>'Support Events'!K18</x:f>
        <x:v>0</x:v>
      </x:c>
      <x:c r="G741" t="str">
        <x:v>'Support Events'!K18</x:v>
      </x:c>
      <x:c r="H741" t="str">
        <x:v>physical acceptance authority</x:v>
      </x:c>
      <x:c r="I741" t="str">
        <x:f>IF(F741=0,"OPEN",IF(E741=F741,"PASS","FAIL"))</x:f>
        <x:v>OPEN</x:v>
      </x:c>
    </x:row>
    <x:row r="742">
      <x:c r="B742" t="str">
        <x:v>PH-SEV-013</x:v>
      </x:c>
      <x:c r="C742" t="str">
        <x:v>physical</x:v>
      </x:c>
      <x:c r="D742" t="str">
        <x:v>accepted support event</x:v>
      </x:c>
      <x:c r="E742" t="n">
        <x:v>1</x:v>
      </x:c>
      <x:c r="F742" t="n">
        <x:f>'Support Events'!K19</x:f>
        <x:v>0</x:v>
      </x:c>
      <x:c r="G742" t="str">
        <x:v>'Support Events'!K19</x:v>
      </x:c>
      <x:c r="H742" t="str">
        <x:v>physical acceptance authority</x:v>
      </x:c>
      <x:c r="I742" t="str">
        <x:f>IF(F742=0,"OPEN",IF(E742=F742,"PASS","FAIL"))</x:f>
        <x:v>OPEN</x:v>
      </x:c>
    </x:row>
    <x:row r="743">
      <x:c r="B743" t="str">
        <x:v>PH-SEV-014</x:v>
      </x:c>
      <x:c r="C743" t="str">
        <x:v>physical</x:v>
      </x:c>
      <x:c r="D743" t="str">
        <x:v>accepted support event</x:v>
      </x:c>
      <x:c r="E743" t="n">
        <x:v>1</x:v>
      </x:c>
      <x:c r="F743" t="n">
        <x:f>'Support Events'!K20</x:f>
        <x:v>0</x:v>
      </x:c>
      <x:c r="G743" t="str">
        <x:v>'Support Events'!K20</x:v>
      </x:c>
      <x:c r="H743" t="str">
        <x:v>physical acceptance authority</x:v>
      </x:c>
      <x:c r="I743" t="str">
        <x:f>IF(F743=0,"OPEN",IF(E743=F743,"PASS","FAIL"))</x:f>
        <x:v>OPEN</x:v>
      </x:c>
    </x:row>
    <x:row r="744">
      <x:c r="B744" t="str">
        <x:v>PH-SEV-015</x:v>
      </x:c>
      <x:c r="C744" t="str">
        <x:v>physical</x:v>
      </x:c>
      <x:c r="D744" t="str">
        <x:v>accepted support event</x:v>
      </x:c>
      <x:c r="E744" t="n">
        <x:v>1</x:v>
      </x:c>
      <x:c r="F744" t="n">
        <x:f>'Support Events'!K21</x:f>
        <x:v>0</x:v>
      </x:c>
      <x:c r="G744" t="str">
        <x:v>'Support Events'!K21</x:v>
      </x:c>
      <x:c r="H744" t="str">
        <x:v>physical acceptance authority</x:v>
      </x:c>
      <x:c r="I744" t="str">
        <x:f>IF(F744=0,"OPEN",IF(E744=F744,"PASS","FAIL"))</x:f>
        <x:v>OPEN</x:v>
      </x:c>
    </x:row>
    <x:row r="745">
      <x:c r="B745" t="str">
        <x:v>PH-SEV-016</x:v>
      </x:c>
      <x:c r="C745" t="str">
        <x:v>physical</x:v>
      </x:c>
      <x:c r="D745" t="str">
        <x:v>accepted support event</x:v>
      </x:c>
      <x:c r="E745" t="n">
        <x:v>1</x:v>
      </x:c>
      <x:c r="F745" t="n">
        <x:f>'Support Events'!K22</x:f>
        <x:v>0</x:v>
      </x:c>
      <x:c r="G745" t="str">
        <x:v>'Support Events'!K22</x:v>
      </x:c>
      <x:c r="H745" t="str">
        <x:v>physical acceptance authority</x:v>
      </x:c>
      <x:c r="I745" t="str">
        <x:f>IF(F745=0,"OPEN",IF(E745=F745,"PASS","FAIL"))</x:f>
        <x:v>OPEN</x:v>
      </x:c>
    </x:row>
    <x:row r="746">
      <x:c r="B746" t="str">
        <x:v>PH-SEV-017</x:v>
      </x:c>
      <x:c r="C746" t="str">
        <x:v>physical</x:v>
      </x:c>
      <x:c r="D746" t="str">
        <x:v>accepted support event</x:v>
      </x:c>
      <x:c r="E746" t="n">
        <x:v>1</x:v>
      </x:c>
      <x:c r="F746" t="n">
        <x:f>'Support Events'!K23</x:f>
        <x:v>0</x:v>
      </x:c>
      <x:c r="G746" t="str">
        <x:v>'Support Events'!K23</x:v>
      </x:c>
      <x:c r="H746" t="str">
        <x:v>physical acceptance authority</x:v>
      </x:c>
      <x:c r="I746" t="str">
        <x:f>IF(F746=0,"OPEN",IF(E746=F746,"PASS","FAIL"))</x:f>
        <x:v>OPEN</x:v>
      </x:c>
    </x:row>
    <x:row r="747">
      <x:c r="B747" t="str">
        <x:v>PH-SEV-018</x:v>
      </x:c>
      <x:c r="C747" t="str">
        <x:v>physical</x:v>
      </x:c>
      <x:c r="D747" t="str">
        <x:v>accepted support event</x:v>
      </x:c>
      <x:c r="E747" t="n">
        <x:v>1</x:v>
      </x:c>
      <x:c r="F747" t="n">
        <x:f>'Support Events'!K24</x:f>
        <x:v>0</x:v>
      </x:c>
      <x:c r="G747" t="str">
        <x:v>'Support Events'!K24</x:v>
      </x:c>
      <x:c r="H747" t="str">
        <x:v>physical acceptance authority</x:v>
      </x:c>
      <x:c r="I747" t="str">
        <x:f>IF(F747=0,"OPEN",IF(E747=F747,"PASS","FAIL"))</x:f>
        <x:v>OPEN</x:v>
      </x:c>
    </x:row>
    <x:row r="748">
      <x:c r="B748" t="str">
        <x:v>PH-SEV-019</x:v>
      </x:c>
      <x:c r="C748" t="str">
        <x:v>physical</x:v>
      </x:c>
      <x:c r="D748" t="str">
        <x:v>accepted support event</x:v>
      </x:c>
      <x:c r="E748" t="n">
        <x:v>1</x:v>
      </x:c>
      <x:c r="F748" t="n">
        <x:f>'Support Events'!K25</x:f>
        <x:v>0</x:v>
      </x:c>
      <x:c r="G748" t="str">
        <x:v>'Support Events'!K25</x:v>
      </x:c>
      <x:c r="H748" t="str">
        <x:v>physical acceptance authority</x:v>
      </x:c>
      <x:c r="I748" t="str">
        <x:f>IF(F748=0,"OPEN",IF(E748=F748,"PASS","FAIL"))</x:f>
        <x:v>OPEN</x:v>
      </x:c>
    </x:row>
    <x:row r="749">
      <x:c r="B749" t="str">
        <x:v>PH-SEV-020</x:v>
      </x:c>
      <x:c r="C749" t="str">
        <x:v>physical</x:v>
      </x:c>
      <x:c r="D749" t="str">
        <x:v>accepted support event</x:v>
      </x:c>
      <x:c r="E749" t="n">
        <x:v>1</x:v>
      </x:c>
      <x:c r="F749" t="n">
        <x:f>'Support Events'!K26</x:f>
        <x:v>0</x:v>
      </x:c>
      <x:c r="G749" t="str">
        <x:v>'Support Events'!K26</x:v>
      </x:c>
      <x:c r="H749" t="str">
        <x:v>physical acceptance authority</x:v>
      </x:c>
      <x:c r="I749" t="str">
        <x:f>IF(F749=0,"OPEN",IF(E749=F749,"PASS","FAIL"))</x:f>
        <x:v>OPEN</x:v>
      </x:c>
    </x:row>
    <x:row r="750">
      <x:c r="B750" t="str">
        <x:v>PH-SEV-021</x:v>
      </x:c>
      <x:c r="C750" t="str">
        <x:v>physical</x:v>
      </x:c>
      <x:c r="D750" t="str">
        <x:v>accepted support event</x:v>
      </x:c>
      <x:c r="E750" t="n">
        <x:v>1</x:v>
      </x:c>
      <x:c r="F750" t="n">
        <x:f>'Support Events'!K27</x:f>
        <x:v>0</x:v>
      </x:c>
      <x:c r="G750" t="str">
        <x:v>'Support Events'!K27</x:v>
      </x:c>
      <x:c r="H750" t="str">
        <x:v>physical acceptance authority</x:v>
      </x:c>
      <x:c r="I750" t="str">
        <x:f>IF(F750=0,"OPEN",IF(E750=F750,"PASS","FAIL"))</x:f>
        <x:v>OPEN</x:v>
      </x:c>
    </x:row>
    <x:row r="751">
      <x:c r="B751" t="str">
        <x:v>PH-SEV-022</x:v>
      </x:c>
      <x:c r="C751" t="str">
        <x:v>physical</x:v>
      </x:c>
      <x:c r="D751" t="str">
        <x:v>accepted support event</x:v>
      </x:c>
      <x:c r="E751" t="n">
        <x:v>1</x:v>
      </x:c>
      <x:c r="F751" t="n">
        <x:f>'Support Events'!K28</x:f>
        <x:v>0</x:v>
      </x:c>
      <x:c r="G751" t="str">
        <x:v>'Support Events'!K28</x:v>
      </x:c>
      <x:c r="H751" t="str">
        <x:v>physical acceptance authority</x:v>
      </x:c>
      <x:c r="I751" t="str">
        <x:f>IF(F751=0,"OPEN",IF(E751=F751,"PASS","FAIL"))</x:f>
        <x:v>OPEN</x:v>
      </x:c>
    </x:row>
    <x:row r="752">
      <x:c r="B752" t="str">
        <x:v>PH-SEV-023</x:v>
      </x:c>
      <x:c r="C752" t="str">
        <x:v>physical</x:v>
      </x:c>
      <x:c r="D752" t="str">
        <x:v>accepted support event</x:v>
      </x:c>
      <x:c r="E752" t="n">
        <x:v>1</x:v>
      </x:c>
      <x:c r="F752" t="n">
        <x:f>'Support Events'!K29</x:f>
        <x:v>0</x:v>
      </x:c>
      <x:c r="G752" t="str">
        <x:v>'Support Events'!K29</x:v>
      </x:c>
      <x:c r="H752" t="str">
        <x:v>physical acceptance authority</x:v>
      </x:c>
      <x:c r="I752" t="str">
        <x:f>IF(F752=0,"OPEN",IF(E752=F752,"PASS","FAIL"))</x:f>
        <x:v>OPEN</x:v>
      </x:c>
    </x:row>
    <x:row r="753">
      <x:c r="B753" t="str">
        <x:v>PH-SEV-024</x:v>
      </x:c>
      <x:c r="C753" t="str">
        <x:v>physical</x:v>
      </x:c>
      <x:c r="D753" t="str">
        <x:v>accepted support event</x:v>
      </x:c>
      <x:c r="E753" t="n">
        <x:v>1</x:v>
      </x:c>
      <x:c r="F753" t="n">
        <x:f>'Support Events'!K30</x:f>
        <x:v>0</x:v>
      </x:c>
      <x:c r="G753" t="str">
        <x:v>'Support Events'!K30</x:v>
      </x:c>
      <x:c r="H753" t="str">
        <x:v>physical acceptance authority</x:v>
      </x:c>
      <x:c r="I753" t="str">
        <x:f>IF(F753=0,"OPEN",IF(E753=F753,"PASS","FAIL"))</x:f>
        <x:v>OPEN</x:v>
      </x:c>
    </x:row>
    <x:row r="754">
      <x:c r="B754" t="str">
        <x:v>PH-SEV-025</x:v>
      </x:c>
      <x:c r="C754" t="str">
        <x:v>physical</x:v>
      </x:c>
      <x:c r="D754" t="str">
        <x:v>accepted support event</x:v>
      </x:c>
      <x:c r="E754" t="n">
        <x:v>1</x:v>
      </x:c>
      <x:c r="F754" t="n">
        <x:f>'Support Events'!K31</x:f>
        <x:v>0</x:v>
      </x:c>
      <x:c r="G754" t="str">
        <x:v>'Support Events'!K31</x:v>
      </x:c>
      <x:c r="H754" t="str">
        <x:v>physical acceptance authority</x:v>
      </x:c>
      <x:c r="I754" t="str">
        <x:f>IF(F754=0,"OPEN",IF(E754=F754,"PASS","FAIL"))</x:f>
        <x:v>OPEN</x:v>
      </x:c>
    </x:row>
    <x:row r="755">
      <x:c r="B755" t="str">
        <x:v>PH-SEV-026</x:v>
      </x:c>
      <x:c r="C755" t="str">
        <x:v>physical</x:v>
      </x:c>
      <x:c r="D755" t="str">
        <x:v>accepted support event</x:v>
      </x:c>
      <x:c r="E755" t="n">
        <x:v>1</x:v>
      </x:c>
      <x:c r="F755" t="n">
        <x:f>'Support Events'!K32</x:f>
        <x:v>0</x:v>
      </x:c>
      <x:c r="G755" t="str">
        <x:v>'Support Events'!K32</x:v>
      </x:c>
      <x:c r="H755" t="str">
        <x:v>physical acceptance authority</x:v>
      </x:c>
      <x:c r="I755" t="str">
        <x:f>IF(F755=0,"OPEN",IF(E755=F755,"PASS","FAIL"))</x:f>
        <x:v>OPEN</x:v>
      </x:c>
    </x:row>
    <x:row r="756">
      <x:c r="B756" t="str">
        <x:v>PH-SEV-027</x:v>
      </x:c>
      <x:c r="C756" t="str">
        <x:v>physical</x:v>
      </x:c>
      <x:c r="D756" t="str">
        <x:v>accepted support event</x:v>
      </x:c>
      <x:c r="E756" t="n">
        <x:v>1</x:v>
      </x:c>
      <x:c r="F756" t="n">
        <x:f>'Support Events'!K33</x:f>
        <x:v>0</x:v>
      </x:c>
      <x:c r="G756" t="str">
        <x:v>'Support Events'!K33</x:v>
      </x:c>
      <x:c r="H756" t="str">
        <x:v>physical acceptance authority</x:v>
      </x:c>
      <x:c r="I756" t="str">
        <x:f>IF(F756=0,"OPEN",IF(E756=F756,"PASS","FAIL"))</x:f>
        <x:v>OPEN</x:v>
      </x:c>
    </x:row>
    <x:row r="757">
      <x:c r="B757" t="str">
        <x:v>PH-SEV-028</x:v>
      </x:c>
      <x:c r="C757" t="str">
        <x:v>physical</x:v>
      </x:c>
      <x:c r="D757" t="str">
        <x:v>accepted support event</x:v>
      </x:c>
      <x:c r="E757" t="n">
        <x:v>1</x:v>
      </x:c>
      <x:c r="F757" t="n">
        <x:f>'Support Events'!K34</x:f>
        <x:v>0</x:v>
      </x:c>
      <x:c r="G757" t="str">
        <x:v>'Support Events'!K34</x:v>
      </x:c>
      <x:c r="H757" t="str">
        <x:v>physical acceptance authority</x:v>
      </x:c>
      <x:c r="I757" t="str">
        <x:f>IF(F757=0,"OPEN",IF(E757=F757,"PASS","FAIL"))</x:f>
        <x:v>OPEN</x:v>
      </x:c>
    </x:row>
    <x:row r="758">
      <x:c r="B758" t="str">
        <x:v>PH-SEV-029</x:v>
      </x:c>
      <x:c r="C758" t="str">
        <x:v>physical</x:v>
      </x:c>
      <x:c r="D758" t="str">
        <x:v>accepted support event</x:v>
      </x:c>
      <x:c r="E758" t="n">
        <x:v>1</x:v>
      </x:c>
      <x:c r="F758" t="n">
        <x:f>'Support Events'!K35</x:f>
        <x:v>0</x:v>
      </x:c>
      <x:c r="G758" t="str">
        <x:v>'Support Events'!K35</x:v>
      </x:c>
      <x:c r="H758" t="str">
        <x:v>physical acceptance authority</x:v>
      </x:c>
      <x:c r="I758" t="str">
        <x:f>IF(F758=0,"OPEN",IF(E758=F758,"PASS","FAIL"))</x:f>
        <x:v>OPEN</x:v>
      </x:c>
    </x:row>
    <x:row r="759">
      <x:c r="B759" t="str">
        <x:v>PH-SEV-030</x:v>
      </x:c>
      <x:c r="C759" t="str">
        <x:v>physical</x:v>
      </x:c>
      <x:c r="D759" t="str">
        <x:v>accepted support event</x:v>
      </x:c>
      <x:c r="E759" t="n">
        <x:v>1</x:v>
      </x:c>
      <x:c r="F759" t="n">
        <x:f>'Support Events'!K36</x:f>
        <x:v>0</x:v>
      </x:c>
      <x:c r="G759" t="str">
        <x:v>'Support Events'!K36</x:v>
      </x:c>
      <x:c r="H759" t="str">
        <x:v>physical acceptance authority</x:v>
      </x:c>
      <x:c r="I759" t="str">
        <x:f>IF(F759=0,"OPEN",IF(E759=F759,"PASS","FAIL"))</x:f>
        <x:v>OPEN</x:v>
      </x:c>
    </x:row>
    <x:row r="760">
      <x:c r="B760" t="str">
        <x:v>PH-SEV-031</x:v>
      </x:c>
      <x:c r="C760" t="str">
        <x:v>physical</x:v>
      </x:c>
      <x:c r="D760" t="str">
        <x:v>accepted support event</x:v>
      </x:c>
      <x:c r="E760" t="n">
        <x:v>1</x:v>
      </x:c>
      <x:c r="F760" t="n">
        <x:f>'Support Events'!K37</x:f>
        <x:v>0</x:v>
      </x:c>
      <x:c r="G760" t="str">
        <x:v>'Support Events'!K37</x:v>
      </x:c>
      <x:c r="H760" t="str">
        <x:v>physical acceptance authority</x:v>
      </x:c>
      <x:c r="I760" t="str">
        <x:f>IF(F760=0,"OPEN",IF(E760=F760,"PASS","FAIL"))</x:f>
        <x:v>OPEN</x:v>
      </x:c>
    </x:row>
    <x:row r="761">
      <x:c r="B761" t="str">
        <x:v>PH-SEV-032</x:v>
      </x:c>
      <x:c r="C761" t="str">
        <x:v>physical</x:v>
      </x:c>
      <x:c r="D761" t="str">
        <x:v>accepted support event</x:v>
      </x:c>
      <x:c r="E761" t="n">
        <x:v>1</x:v>
      </x:c>
      <x:c r="F761" t="n">
        <x:f>'Support Events'!K38</x:f>
        <x:v>0</x:v>
      </x:c>
      <x:c r="G761" t="str">
        <x:v>'Support Events'!K38</x:v>
      </x:c>
      <x:c r="H761" t="str">
        <x:v>physical acceptance authority</x:v>
      </x:c>
      <x:c r="I761" t="str">
        <x:f>IF(F761=0,"OPEN",IF(E761=F761,"PASS","FAIL"))</x:f>
        <x:v>OPEN</x:v>
      </x:c>
    </x:row>
    <x:row r="762">
      <x:c r="B762" t="str">
        <x:v>PH-SEV-033</x:v>
      </x:c>
      <x:c r="C762" t="str">
        <x:v>physical</x:v>
      </x:c>
      <x:c r="D762" t="str">
        <x:v>accepted support event</x:v>
      </x:c>
      <x:c r="E762" t="n">
        <x:v>1</x:v>
      </x:c>
      <x:c r="F762" t="n">
        <x:f>'Support Events'!K39</x:f>
        <x:v>0</x:v>
      </x:c>
      <x:c r="G762" t="str">
        <x:v>'Support Events'!K39</x:v>
      </x:c>
      <x:c r="H762" t="str">
        <x:v>physical acceptance authority</x:v>
      </x:c>
      <x:c r="I762" t="str">
        <x:f>IF(F762=0,"OPEN",IF(E762=F762,"PASS","FAIL"))</x:f>
        <x:v>OPEN</x:v>
      </x:c>
    </x:row>
    <x:row r="763">
      <x:c r="B763" t="str">
        <x:v>PH-SEV-034</x:v>
      </x:c>
      <x:c r="C763" t="str">
        <x:v>physical</x:v>
      </x:c>
      <x:c r="D763" t="str">
        <x:v>accepted support event</x:v>
      </x:c>
      <x:c r="E763" t="n">
        <x:v>1</x:v>
      </x:c>
      <x:c r="F763" t="n">
        <x:f>'Support Events'!K40</x:f>
        <x:v>0</x:v>
      </x:c>
      <x:c r="G763" t="str">
        <x:v>'Support Events'!K40</x:v>
      </x:c>
      <x:c r="H763" t="str">
        <x:v>physical acceptance authority</x:v>
      </x:c>
      <x:c r="I763" t="str">
        <x:f>IF(F763=0,"OPEN",IF(E763=F763,"PASS","FAIL"))</x:f>
        <x:v>OPEN</x:v>
      </x:c>
    </x:row>
    <x:row r="764">
      <x:c r="B764" t="str">
        <x:v>PH-SEV-035</x:v>
      </x:c>
      <x:c r="C764" t="str">
        <x:v>physical</x:v>
      </x:c>
      <x:c r="D764" t="str">
        <x:v>accepted support event</x:v>
      </x:c>
      <x:c r="E764" t="n">
        <x:v>1</x:v>
      </x:c>
      <x:c r="F764" t="n">
        <x:f>'Support Events'!K41</x:f>
        <x:v>0</x:v>
      </x:c>
      <x:c r="G764" t="str">
        <x:v>'Support Events'!K41</x:v>
      </x:c>
      <x:c r="H764" t="str">
        <x:v>physical acceptance authority</x:v>
      </x:c>
      <x:c r="I764" t="str">
        <x:f>IF(F764=0,"OPEN",IF(E764=F764,"PASS","FAIL"))</x:f>
        <x:v>OPEN</x:v>
      </x:c>
    </x:row>
    <x:row r="765">
      <x:c r="B765" t="str">
        <x:v>PH-SEV-036</x:v>
      </x:c>
      <x:c r="C765" t="str">
        <x:v>physical</x:v>
      </x:c>
      <x:c r="D765" t="str">
        <x:v>accepted support event</x:v>
      </x:c>
      <x:c r="E765" t="n">
        <x:v>1</x:v>
      </x:c>
      <x:c r="F765" t="n">
        <x:f>'Support Events'!K42</x:f>
        <x:v>0</x:v>
      </x:c>
      <x:c r="G765" t="str">
        <x:v>'Support Events'!K42</x:v>
      </x:c>
      <x:c r="H765" t="str">
        <x:v>physical acceptance authority</x:v>
      </x:c>
      <x:c r="I765" t="str">
        <x:f>IF(F765=0,"OPEN",IF(E765=F765,"PASS","FAIL"))</x:f>
        <x:v>OPEN</x:v>
      </x:c>
    </x:row>
    <x:row r="766">
      <x:c r="B766" t="str">
        <x:v>PH-SEV-037</x:v>
      </x:c>
      <x:c r="C766" t="str">
        <x:v>physical</x:v>
      </x:c>
      <x:c r="D766" t="str">
        <x:v>accepted support event</x:v>
      </x:c>
      <x:c r="E766" t="n">
        <x:v>1</x:v>
      </x:c>
      <x:c r="F766" t="n">
        <x:f>'Support Events'!K43</x:f>
        <x:v>0</x:v>
      </x:c>
      <x:c r="G766" t="str">
        <x:v>'Support Events'!K43</x:v>
      </x:c>
      <x:c r="H766" t="str">
        <x:v>physical acceptance authority</x:v>
      </x:c>
      <x:c r="I766" t="str">
        <x:f>IF(F766=0,"OPEN",IF(E766=F766,"PASS","FAIL"))</x:f>
        <x:v>OPEN</x:v>
      </x:c>
    </x:row>
    <x:row r="767">
      <x:c r="B767" t="str">
        <x:v>PH-SEV-038</x:v>
      </x:c>
      <x:c r="C767" t="str">
        <x:v>physical</x:v>
      </x:c>
      <x:c r="D767" t="str">
        <x:v>accepted support event</x:v>
      </x:c>
      <x:c r="E767" t="n">
        <x:v>1</x:v>
      </x:c>
      <x:c r="F767" t="n">
        <x:f>'Support Events'!K44</x:f>
        <x:v>0</x:v>
      </x:c>
      <x:c r="G767" t="str">
        <x:v>'Support Events'!K44</x:v>
      </x:c>
      <x:c r="H767" t="str">
        <x:v>physical acceptance authority</x:v>
      </x:c>
      <x:c r="I767" t="str">
        <x:f>IF(F767=0,"OPEN",IF(E767=F767,"PASS","FAIL"))</x:f>
        <x:v>OPEN</x:v>
      </x:c>
    </x:row>
    <x:row r="768">
      <x:c r="B768" t="str">
        <x:v>PH-SEV-039</x:v>
      </x:c>
      <x:c r="C768" t="str">
        <x:v>physical</x:v>
      </x:c>
      <x:c r="D768" t="str">
        <x:v>accepted support event</x:v>
      </x:c>
      <x:c r="E768" t="n">
        <x:v>1</x:v>
      </x:c>
      <x:c r="F768" t="n">
        <x:f>'Support Events'!K45</x:f>
        <x:v>0</x:v>
      </x:c>
      <x:c r="G768" t="str">
        <x:v>'Support Events'!K45</x:v>
      </x:c>
      <x:c r="H768" t="str">
        <x:v>physical acceptance authority</x:v>
      </x:c>
      <x:c r="I768" t="str">
        <x:f>IF(F768=0,"OPEN",IF(E768=F768,"PASS","FAIL"))</x:f>
        <x:v>OPEN</x:v>
      </x:c>
    </x:row>
    <x:row r="769">
      <x:c r="B769" t="str">
        <x:v>PH-SEV-040</x:v>
      </x:c>
      <x:c r="C769" t="str">
        <x:v>physical</x:v>
      </x:c>
      <x:c r="D769" t="str">
        <x:v>accepted support event</x:v>
      </x:c>
      <x:c r="E769" t="n">
        <x:v>1</x:v>
      </x:c>
      <x:c r="F769" t="n">
        <x:f>'Support Events'!K46</x:f>
        <x:v>0</x:v>
      </x:c>
      <x:c r="G769" t="str">
        <x:v>'Support Events'!K46</x:v>
      </x:c>
      <x:c r="H769" t="str">
        <x:v>physical acceptance authority</x:v>
      </x:c>
      <x:c r="I769" t="str">
        <x:f>IF(F769=0,"OPEN",IF(E769=F769,"PASS","FAIL"))</x:f>
        <x:v>OPEN</x:v>
      </x:c>
    </x:row>
    <x:row r="770">
      <x:c r="B770" t="str">
        <x:v>PH-SEV-041</x:v>
      </x:c>
      <x:c r="C770" t="str">
        <x:v>physical</x:v>
      </x:c>
      <x:c r="D770" t="str">
        <x:v>accepted support event</x:v>
      </x:c>
      <x:c r="E770" t="n">
        <x:v>1</x:v>
      </x:c>
      <x:c r="F770" t="n">
        <x:f>'Support Events'!K47</x:f>
        <x:v>0</x:v>
      </x:c>
      <x:c r="G770" t="str">
        <x:v>'Support Events'!K47</x:v>
      </x:c>
      <x:c r="H770" t="str">
        <x:v>physical acceptance authority</x:v>
      </x:c>
      <x:c r="I770" t="str">
        <x:f>IF(F770=0,"OPEN",IF(E770=F770,"PASS","FAIL"))</x:f>
        <x:v>OPEN</x:v>
      </x:c>
    </x:row>
    <x:row r="771">
      <x:c r="B771" t="str">
        <x:v>PH-SEV-042</x:v>
      </x:c>
      <x:c r="C771" t="str">
        <x:v>physical</x:v>
      </x:c>
      <x:c r="D771" t="str">
        <x:v>accepted support event</x:v>
      </x:c>
      <x:c r="E771" t="n">
        <x:v>1</x:v>
      </x:c>
      <x:c r="F771" t="n">
        <x:f>'Support Events'!K48</x:f>
        <x:v>0</x:v>
      </x:c>
      <x:c r="G771" t="str">
        <x:v>'Support Events'!K48</x:v>
      </x:c>
      <x:c r="H771" t="str">
        <x:v>physical acceptance authority</x:v>
      </x:c>
      <x:c r="I771" t="str">
        <x:f>IF(F771=0,"OPEN",IF(E771=F771,"PASS","FAIL"))</x:f>
        <x:v>OPEN</x:v>
      </x:c>
    </x:row>
    <x:row r="772">
      <x:c r="B772" t="str">
        <x:v>PH-SEV-043</x:v>
      </x:c>
      <x:c r="C772" t="str">
        <x:v>physical</x:v>
      </x:c>
      <x:c r="D772" t="str">
        <x:v>accepted support event</x:v>
      </x:c>
      <x:c r="E772" t="n">
        <x:v>1</x:v>
      </x:c>
      <x:c r="F772" t="n">
        <x:f>'Support Events'!K49</x:f>
        <x:v>0</x:v>
      </x:c>
      <x:c r="G772" t="str">
        <x:v>'Support Events'!K49</x:v>
      </x:c>
      <x:c r="H772" t="str">
        <x:v>physical acceptance authority</x:v>
      </x:c>
      <x:c r="I772" t="str">
        <x:f>IF(F772=0,"OPEN",IF(E772=F772,"PASS","FAIL"))</x:f>
        <x:v>OPEN</x:v>
      </x:c>
    </x:row>
    <x:row r="773">
      <x:c r="B773" t="str">
        <x:v>PH-SEV-044</x:v>
      </x:c>
      <x:c r="C773" t="str">
        <x:v>physical</x:v>
      </x:c>
      <x:c r="D773" t="str">
        <x:v>accepted support event</x:v>
      </x:c>
      <x:c r="E773" t="n">
        <x:v>1</x:v>
      </x:c>
      <x:c r="F773" t="n">
        <x:f>'Support Events'!K50</x:f>
        <x:v>0</x:v>
      </x:c>
      <x:c r="G773" t="str">
        <x:v>'Support Events'!K50</x:v>
      </x:c>
      <x:c r="H773" t="str">
        <x:v>physical acceptance authority</x:v>
      </x:c>
      <x:c r="I773" t="str">
        <x:f>IF(F773=0,"OPEN",IF(E773=F773,"PASS","FAIL"))</x:f>
        <x:v>OPEN</x:v>
      </x:c>
    </x:row>
    <x:row r="774">
      <x:c r="B774" t="str">
        <x:v>PH-SEV-045</x:v>
      </x:c>
      <x:c r="C774" t="str">
        <x:v>physical</x:v>
      </x:c>
      <x:c r="D774" t="str">
        <x:v>accepted support event</x:v>
      </x:c>
      <x:c r="E774" t="n">
        <x:v>1</x:v>
      </x:c>
      <x:c r="F774" t="n">
        <x:f>'Support Events'!K51</x:f>
        <x:v>0</x:v>
      </x:c>
      <x:c r="G774" t="str">
        <x:v>'Support Events'!K51</x:v>
      </x:c>
      <x:c r="H774" t="str">
        <x:v>physical acceptance authority</x:v>
      </x:c>
      <x:c r="I774" t="str">
        <x:f>IF(F774=0,"OPEN",IF(E774=F774,"PASS","FAIL"))</x:f>
        <x:v>OPEN</x:v>
      </x:c>
    </x:row>
    <x:row r="775">
      <x:c r="B775" t="str">
        <x:v>PH-SEV-046</x:v>
      </x:c>
      <x:c r="C775" t="str">
        <x:v>physical</x:v>
      </x:c>
      <x:c r="D775" t="str">
        <x:v>accepted support event</x:v>
      </x:c>
      <x:c r="E775" t="n">
        <x:v>1</x:v>
      </x:c>
      <x:c r="F775" t="n">
        <x:f>'Support Events'!K52</x:f>
        <x:v>0</x:v>
      </x:c>
      <x:c r="G775" t="str">
        <x:v>'Support Events'!K52</x:v>
      </x:c>
      <x:c r="H775" t="str">
        <x:v>physical acceptance authority</x:v>
      </x:c>
      <x:c r="I775" t="str">
        <x:f>IF(F775=0,"OPEN",IF(E775=F775,"PASS","FAIL"))</x:f>
        <x:v>OPEN</x:v>
      </x:c>
    </x:row>
    <x:row r="776">
      <x:c r="B776" t="str">
        <x:v>PH-SEV-047</x:v>
      </x:c>
      <x:c r="C776" t="str">
        <x:v>physical</x:v>
      </x:c>
      <x:c r="D776" t="str">
        <x:v>accepted support event</x:v>
      </x:c>
      <x:c r="E776" t="n">
        <x:v>1</x:v>
      </x:c>
      <x:c r="F776" t="n">
        <x:f>'Support Events'!K53</x:f>
        <x:v>0</x:v>
      </x:c>
      <x:c r="G776" t="str">
        <x:v>'Support Events'!K53</x:v>
      </x:c>
      <x:c r="H776" t="str">
        <x:v>physical acceptance authority</x:v>
      </x:c>
      <x:c r="I776" t="str">
        <x:f>IF(F776=0,"OPEN",IF(E776=F776,"PASS","FAIL"))</x:f>
        <x:v>OPEN</x:v>
      </x:c>
    </x:row>
    <x:row r="777">
      <x:c r="B777" t="str">
        <x:v>PH-SEV-048</x:v>
      </x:c>
      <x:c r="C777" t="str">
        <x:v>physical</x:v>
      </x:c>
      <x:c r="D777" t="str">
        <x:v>accepted support event</x:v>
      </x:c>
      <x:c r="E777" t="n">
        <x:v>1</x:v>
      </x:c>
      <x:c r="F777" t="n">
        <x:f>'Support Events'!K54</x:f>
        <x:v>0</x:v>
      </x:c>
      <x:c r="G777" t="str">
        <x:v>'Support Events'!K54</x:v>
      </x:c>
      <x:c r="H777" t="str">
        <x:v>physical acceptance authority</x:v>
      </x:c>
      <x:c r="I777" t="str">
        <x:f>IF(F777=0,"OPEN",IF(E777=F777,"PASS","FAIL"))</x:f>
        <x:v>OPEN</x:v>
      </x:c>
    </x:row>
    <x:row r="778">
      <x:c r="B778" t="str">
        <x:v>PH-SEV-049</x:v>
      </x:c>
      <x:c r="C778" t="str">
        <x:v>physical</x:v>
      </x:c>
      <x:c r="D778" t="str">
        <x:v>accepted support event</x:v>
      </x:c>
      <x:c r="E778" t="n">
        <x:v>1</x:v>
      </x:c>
      <x:c r="F778" t="n">
        <x:f>'Support Events'!K55</x:f>
        <x:v>0</x:v>
      </x:c>
      <x:c r="G778" t="str">
        <x:v>'Support Events'!K55</x:v>
      </x:c>
      <x:c r="H778" t="str">
        <x:v>physical acceptance authority</x:v>
      </x:c>
      <x:c r="I778" t="str">
        <x:f>IF(F778=0,"OPEN",IF(E778=F778,"PASS","FAIL"))</x:f>
        <x:v>OPEN</x:v>
      </x:c>
    </x:row>
    <x:row r="779">
      <x:c r="B779" t="str">
        <x:v>PH-SEV-050</x:v>
      </x:c>
      <x:c r="C779" t="str">
        <x:v>physical</x:v>
      </x:c>
      <x:c r="D779" t="str">
        <x:v>accepted support event</x:v>
      </x:c>
      <x:c r="E779" t="n">
        <x:v>1</x:v>
      </x:c>
      <x:c r="F779" t="n">
        <x:f>'Support Events'!K56</x:f>
        <x:v>0</x:v>
      </x:c>
      <x:c r="G779" t="str">
        <x:v>'Support Events'!K56</x:v>
      </x:c>
      <x:c r="H779" t="str">
        <x:v>physical acceptance authority</x:v>
      </x:c>
      <x:c r="I779" t="str">
        <x:f>IF(F779=0,"OPEN",IF(E779=F779,"PASS","FAIL"))</x:f>
        <x:v>OPEN</x:v>
      </x:c>
    </x:row>
    <x:row r="780">
      <x:c r="B780" t="str">
        <x:v>PH-SEV-051</x:v>
      </x:c>
      <x:c r="C780" t="str">
        <x:v>physical</x:v>
      </x:c>
      <x:c r="D780" t="str">
        <x:v>accepted support event</x:v>
      </x:c>
      <x:c r="E780" t="n">
        <x:v>1</x:v>
      </x:c>
      <x:c r="F780" t="n">
        <x:f>'Support Events'!K57</x:f>
        <x:v>0</x:v>
      </x:c>
      <x:c r="G780" t="str">
        <x:v>'Support Events'!K57</x:v>
      </x:c>
      <x:c r="H780" t="str">
        <x:v>physical acceptance authority</x:v>
      </x:c>
      <x:c r="I780" t="str">
        <x:f>IF(F780=0,"OPEN",IF(E780=F780,"PASS","FAIL"))</x:f>
        <x:v>OPEN</x:v>
      </x:c>
    </x:row>
    <x:row r="781">
      <x:c r="B781" t="str">
        <x:v>PH-SEV-052</x:v>
      </x:c>
      <x:c r="C781" t="str">
        <x:v>physical</x:v>
      </x:c>
      <x:c r="D781" t="str">
        <x:v>accepted support event</x:v>
      </x:c>
      <x:c r="E781" t="n">
        <x:v>1</x:v>
      </x:c>
      <x:c r="F781" t="n">
        <x:f>'Support Events'!K58</x:f>
        <x:v>0</x:v>
      </x:c>
      <x:c r="G781" t="str">
        <x:v>'Support Events'!K58</x:v>
      </x:c>
      <x:c r="H781" t="str">
        <x:v>physical acceptance authority</x:v>
      </x:c>
      <x:c r="I781" t="str">
        <x:f>IF(F781=0,"OPEN",IF(E781=F781,"PASS","FAIL"))</x:f>
        <x:v>OPEN</x:v>
      </x:c>
    </x:row>
    <x:row r="782">
      <x:c r="B782" t="str">
        <x:v>PH-SEV-053</x:v>
      </x:c>
      <x:c r="C782" t="str">
        <x:v>physical</x:v>
      </x:c>
      <x:c r="D782" t="str">
        <x:v>accepted support event</x:v>
      </x:c>
      <x:c r="E782" t="n">
        <x:v>1</x:v>
      </x:c>
      <x:c r="F782" t="n">
        <x:f>'Support Events'!K59</x:f>
        <x:v>0</x:v>
      </x:c>
      <x:c r="G782" t="str">
        <x:v>'Support Events'!K59</x:v>
      </x:c>
      <x:c r="H782" t="str">
        <x:v>physical acceptance authority</x:v>
      </x:c>
      <x:c r="I782" t="str">
        <x:f>IF(F782=0,"OPEN",IF(E782=F782,"PASS","FAIL"))</x:f>
        <x:v>OPEN</x:v>
      </x:c>
    </x:row>
    <x:row r="783">
      <x:c r="B783" t="str">
        <x:v>PH-SEV-054</x:v>
      </x:c>
      <x:c r="C783" t="str">
        <x:v>physical</x:v>
      </x:c>
      <x:c r="D783" t="str">
        <x:v>accepted support event</x:v>
      </x:c>
      <x:c r="E783" t="n">
        <x:v>1</x:v>
      </x:c>
      <x:c r="F783" t="n">
        <x:f>'Support Events'!K60</x:f>
        <x:v>0</x:v>
      </x:c>
      <x:c r="G783" t="str">
        <x:v>'Support Events'!K60</x:v>
      </x:c>
      <x:c r="H783" t="str">
        <x:v>physical acceptance authority</x:v>
      </x:c>
      <x:c r="I783" t="str">
        <x:f>IF(F783=0,"OPEN",IF(E783=F783,"PASS","FAIL"))</x:f>
        <x:v>OPEN</x:v>
      </x:c>
    </x:row>
    <x:row r="784">
      <x:c r="B784" t="str">
        <x:v>PH-SEV-055</x:v>
      </x:c>
      <x:c r="C784" t="str">
        <x:v>physical</x:v>
      </x:c>
      <x:c r="D784" t="str">
        <x:v>accepted support event</x:v>
      </x:c>
      <x:c r="E784" t="n">
        <x:v>1</x:v>
      </x:c>
      <x:c r="F784" t="n">
        <x:f>'Support Events'!K61</x:f>
        <x:v>0</x:v>
      </x:c>
      <x:c r="G784" t="str">
        <x:v>'Support Events'!K61</x:v>
      </x:c>
      <x:c r="H784" t="str">
        <x:v>physical acceptance authority</x:v>
      </x:c>
      <x:c r="I784" t="str">
        <x:f>IF(F784=0,"OPEN",IF(E784=F784,"PASS","FAIL"))</x:f>
        <x:v>OPEN</x:v>
      </x:c>
    </x:row>
    <x:row r="785">
      <x:c r="B785" t="str">
        <x:v>PH-SEV-056</x:v>
      </x:c>
      <x:c r="C785" t="str">
        <x:v>physical</x:v>
      </x:c>
      <x:c r="D785" t="str">
        <x:v>accepted support event</x:v>
      </x:c>
      <x:c r="E785" t="n">
        <x:v>1</x:v>
      </x:c>
      <x:c r="F785" t="n">
        <x:f>'Support Events'!K62</x:f>
        <x:v>0</x:v>
      </x:c>
      <x:c r="G785" t="str">
        <x:v>'Support Events'!K62</x:v>
      </x:c>
      <x:c r="H785" t="str">
        <x:v>physical acceptance authority</x:v>
      </x:c>
      <x:c r="I785" t="str">
        <x:f>IF(F785=0,"OPEN",IF(E785=F785,"PASS","FAIL"))</x:f>
        <x:v>OPEN</x:v>
      </x:c>
    </x:row>
    <x:row r="786">
      <x:c r="B786" t="str">
        <x:v>PH-SEV-057</x:v>
      </x:c>
      <x:c r="C786" t="str">
        <x:v>physical</x:v>
      </x:c>
      <x:c r="D786" t="str">
        <x:v>accepted support event</x:v>
      </x:c>
      <x:c r="E786" t="n">
        <x:v>1</x:v>
      </x:c>
      <x:c r="F786" t="n">
        <x:f>'Support Events'!K63</x:f>
        <x:v>0</x:v>
      </x:c>
      <x:c r="G786" t="str">
        <x:v>'Support Events'!K63</x:v>
      </x:c>
      <x:c r="H786" t="str">
        <x:v>physical acceptance authority</x:v>
      </x:c>
      <x:c r="I786" t="str">
        <x:f>IF(F786=0,"OPEN",IF(E786=F786,"PASS","FAIL"))</x:f>
        <x:v>OPEN</x:v>
      </x:c>
    </x:row>
    <x:row r="787">
      <x:c r="B787" t="str">
        <x:v>PH-SEV-058</x:v>
      </x:c>
      <x:c r="C787" t="str">
        <x:v>physical</x:v>
      </x:c>
      <x:c r="D787" t="str">
        <x:v>accepted support event</x:v>
      </x:c>
      <x:c r="E787" t="n">
        <x:v>1</x:v>
      </x:c>
      <x:c r="F787" t="n">
        <x:f>'Support Events'!K64</x:f>
        <x:v>0</x:v>
      </x:c>
      <x:c r="G787" t="str">
        <x:v>'Support Events'!K64</x:v>
      </x:c>
      <x:c r="H787" t="str">
        <x:v>physical acceptance authority</x:v>
      </x:c>
      <x:c r="I787" t="str">
        <x:f>IF(F787=0,"OPEN",IF(E787=F787,"PASS","FAIL"))</x:f>
        <x:v>OPEN</x:v>
      </x:c>
    </x:row>
    <x:row r="788">
      <x:c r="B788" t="str">
        <x:v>PH-SEV-059</x:v>
      </x:c>
      <x:c r="C788" t="str">
        <x:v>physical</x:v>
      </x:c>
      <x:c r="D788" t="str">
        <x:v>accepted support event</x:v>
      </x:c>
      <x:c r="E788" t="n">
        <x:v>1</x:v>
      </x:c>
      <x:c r="F788" t="n">
        <x:f>'Support Events'!K65</x:f>
        <x:v>0</x:v>
      </x:c>
      <x:c r="G788" t="str">
        <x:v>'Support Events'!K65</x:v>
      </x:c>
      <x:c r="H788" t="str">
        <x:v>physical acceptance authority</x:v>
      </x:c>
      <x:c r="I788" t="str">
        <x:f>IF(F788=0,"OPEN",IF(E788=F788,"PASS","FAIL"))</x:f>
        <x:v>OPEN</x:v>
      </x:c>
    </x:row>
    <x:row r="789">
      <x:c r="B789" t="str">
        <x:v>PH-SEV-060</x:v>
      </x:c>
      <x:c r="C789" t="str">
        <x:v>physical</x:v>
      </x:c>
      <x:c r="D789" t="str">
        <x:v>accepted support event</x:v>
      </x:c>
      <x:c r="E789" t="n">
        <x:v>1</x:v>
      </x:c>
      <x:c r="F789" t="n">
        <x:f>'Support Events'!K66</x:f>
        <x:v>0</x:v>
      </x:c>
      <x:c r="G789" t="str">
        <x:v>'Support Events'!K66</x:v>
      </x:c>
      <x:c r="H789" t="str">
        <x:v>physical acceptance authority</x:v>
      </x:c>
      <x:c r="I789" t="str">
        <x:f>IF(F789=0,"OPEN",IF(E789=F789,"PASS","FAIL"))</x:f>
        <x:v>OPEN</x:v>
      </x:c>
    </x:row>
    <x:row r="790">
      <x:c r="B790" t="str">
        <x:v>PH-SEV-061</x:v>
      </x:c>
      <x:c r="C790" t="str">
        <x:v>physical</x:v>
      </x:c>
      <x:c r="D790" t="str">
        <x:v>accepted support event</x:v>
      </x:c>
      <x:c r="E790" t="n">
        <x:v>1</x:v>
      </x:c>
      <x:c r="F790" t="n">
        <x:f>'Support Events'!K67</x:f>
        <x:v>0</x:v>
      </x:c>
      <x:c r="G790" t="str">
        <x:v>'Support Events'!K67</x:v>
      </x:c>
      <x:c r="H790" t="str">
        <x:v>physical acceptance authority</x:v>
      </x:c>
      <x:c r="I790" t="str">
        <x:f>IF(F790=0,"OPEN",IF(E790=F790,"PASS","FAIL"))</x:f>
        <x:v>OPEN</x:v>
      </x:c>
    </x:row>
    <x:row r="791">
      <x:c r="B791" t="str">
        <x:v>PH-SEV-062</x:v>
      </x:c>
      <x:c r="C791" t="str">
        <x:v>physical</x:v>
      </x:c>
      <x:c r="D791" t="str">
        <x:v>accepted support event</x:v>
      </x:c>
      <x:c r="E791" t="n">
        <x:v>1</x:v>
      </x:c>
      <x:c r="F791" t="n">
        <x:f>'Support Events'!K68</x:f>
        <x:v>0</x:v>
      </x:c>
      <x:c r="G791" t="str">
        <x:v>'Support Events'!K68</x:v>
      </x:c>
      <x:c r="H791" t="str">
        <x:v>physical acceptance authority</x:v>
      </x:c>
      <x:c r="I791" t="str">
        <x:f>IF(F791=0,"OPEN",IF(E791=F791,"PASS","FAIL"))</x:f>
        <x:v>OPEN</x:v>
      </x:c>
    </x:row>
    <x:row r="792">
      <x:c r="B792" t="str">
        <x:v>PH-SEV-063</x:v>
      </x:c>
      <x:c r="C792" t="str">
        <x:v>physical</x:v>
      </x:c>
      <x:c r="D792" t="str">
        <x:v>accepted support event</x:v>
      </x:c>
      <x:c r="E792" t="n">
        <x:v>1</x:v>
      </x:c>
      <x:c r="F792" t="n">
        <x:f>'Support Events'!K69</x:f>
        <x:v>0</x:v>
      </x:c>
      <x:c r="G792" t="str">
        <x:v>'Support Events'!K69</x:v>
      </x:c>
      <x:c r="H792" t="str">
        <x:v>physical acceptance authority</x:v>
      </x:c>
      <x:c r="I792" t="str">
        <x:f>IF(F792=0,"OPEN",IF(E792=F792,"PASS","FAIL"))</x:f>
        <x:v>OPEN</x:v>
      </x:c>
    </x:row>
    <x:row r="793">
      <x:c r="B793" t="str">
        <x:v>PH-SEV-064</x:v>
      </x:c>
      <x:c r="C793" t="str">
        <x:v>physical</x:v>
      </x:c>
      <x:c r="D793" t="str">
        <x:v>accepted support event</x:v>
      </x:c>
      <x:c r="E793" t="n">
        <x:v>1</x:v>
      </x:c>
      <x:c r="F793" t="n">
        <x:f>'Support Events'!K70</x:f>
        <x:v>0</x:v>
      </x:c>
      <x:c r="G793" t="str">
        <x:v>'Support Events'!K70</x:v>
      </x:c>
      <x:c r="H793" t="str">
        <x:v>physical acceptance authority</x:v>
      </x:c>
      <x:c r="I793" t="str">
        <x:f>IF(F793=0,"OPEN",IF(E793=F793,"PASS","FAIL"))</x:f>
        <x:v>OPEN</x:v>
      </x:c>
    </x:row>
    <x:row r="794">
      <x:c r="B794" t="str">
        <x:v>PH-SEV-065</x:v>
      </x:c>
      <x:c r="C794" t="str">
        <x:v>physical</x:v>
      </x:c>
      <x:c r="D794" t="str">
        <x:v>accepted support event</x:v>
      </x:c>
      <x:c r="E794" t="n">
        <x:v>1</x:v>
      </x:c>
      <x:c r="F794" t="n">
        <x:f>'Support Events'!K71</x:f>
        <x:v>0</x:v>
      </x:c>
      <x:c r="G794" t="str">
        <x:v>'Support Events'!K71</x:v>
      </x:c>
      <x:c r="H794" t="str">
        <x:v>physical acceptance authority</x:v>
      </x:c>
      <x:c r="I794" t="str">
        <x:f>IF(F794=0,"OPEN",IF(E794=F794,"PASS","FAIL"))</x:f>
        <x:v>OPEN</x:v>
      </x:c>
    </x:row>
    <x:row r="795">
      <x:c r="B795" t="str">
        <x:v>PH-SEV-066</x:v>
      </x:c>
      <x:c r="C795" t="str">
        <x:v>physical</x:v>
      </x:c>
      <x:c r="D795" t="str">
        <x:v>accepted support event</x:v>
      </x:c>
      <x:c r="E795" t="n">
        <x:v>1</x:v>
      </x:c>
      <x:c r="F795" t="n">
        <x:f>'Support Events'!K72</x:f>
        <x:v>0</x:v>
      </x:c>
      <x:c r="G795" t="str">
        <x:v>'Support Events'!K72</x:v>
      </x:c>
      <x:c r="H795" t="str">
        <x:v>physical acceptance authority</x:v>
      </x:c>
      <x:c r="I795" t="str">
        <x:f>IF(F795=0,"OPEN",IF(E795=F795,"PASS","FAIL"))</x:f>
        <x:v>OPEN</x:v>
      </x:c>
    </x:row>
    <x:row r="796">
      <x:c r="B796" t="str">
        <x:v>PH-SEV-067</x:v>
      </x:c>
      <x:c r="C796" t="str">
        <x:v>physical</x:v>
      </x:c>
      <x:c r="D796" t="str">
        <x:v>accepted support event</x:v>
      </x:c>
      <x:c r="E796" t="n">
        <x:v>1</x:v>
      </x:c>
      <x:c r="F796" t="n">
        <x:f>'Support Events'!K73</x:f>
        <x:v>0</x:v>
      </x:c>
      <x:c r="G796" t="str">
        <x:v>'Support Events'!K73</x:v>
      </x:c>
      <x:c r="H796" t="str">
        <x:v>physical acceptance authority</x:v>
      </x:c>
      <x:c r="I796" t="str">
        <x:f>IF(F796=0,"OPEN",IF(E796=F796,"PASS","FAIL"))</x:f>
        <x:v>OPEN</x:v>
      </x:c>
    </x:row>
    <x:row r="797">
      <x:c r="B797" t="str">
        <x:v>PH-SEV-068</x:v>
      </x:c>
      <x:c r="C797" t="str">
        <x:v>physical</x:v>
      </x:c>
      <x:c r="D797" t="str">
        <x:v>accepted support event</x:v>
      </x:c>
      <x:c r="E797" t="n">
        <x:v>1</x:v>
      </x:c>
      <x:c r="F797" t="n">
        <x:f>'Support Events'!K74</x:f>
        <x:v>0</x:v>
      </x:c>
      <x:c r="G797" t="str">
        <x:v>'Support Events'!K74</x:v>
      </x:c>
      <x:c r="H797" t="str">
        <x:v>physical acceptance authority</x:v>
      </x:c>
      <x:c r="I797" t="str">
        <x:f>IF(F797=0,"OPEN",IF(E797=F797,"PASS","FAIL"))</x:f>
        <x:v>OPEN</x:v>
      </x:c>
    </x:row>
    <x:row r="798">
      <x:c r="B798" t="str">
        <x:v>PH-SEV-069</x:v>
      </x:c>
      <x:c r="C798" t="str">
        <x:v>physical</x:v>
      </x:c>
      <x:c r="D798" t="str">
        <x:v>accepted support event</x:v>
      </x:c>
      <x:c r="E798" t="n">
        <x:v>1</x:v>
      </x:c>
      <x:c r="F798" t="n">
        <x:f>'Support Events'!K75</x:f>
        <x:v>0</x:v>
      </x:c>
      <x:c r="G798" t="str">
        <x:v>'Support Events'!K75</x:v>
      </x:c>
      <x:c r="H798" t="str">
        <x:v>physical acceptance authority</x:v>
      </x:c>
      <x:c r="I798" t="str">
        <x:f>IF(F798=0,"OPEN",IF(E798=F798,"PASS","FAIL"))</x:f>
        <x:v>OPEN</x:v>
      </x:c>
    </x:row>
    <x:row r="799">
      <x:c r="B799" t="str">
        <x:v>PH-SEV-070</x:v>
      </x:c>
      <x:c r="C799" t="str">
        <x:v>physical</x:v>
      </x:c>
      <x:c r="D799" t="str">
        <x:v>accepted support event</x:v>
      </x:c>
      <x:c r="E799" t="n">
        <x:v>1</x:v>
      </x:c>
      <x:c r="F799" t="n">
        <x:f>'Support Events'!K76</x:f>
        <x:v>0</x:v>
      </x:c>
      <x:c r="G799" t="str">
        <x:v>'Support Events'!K76</x:v>
      </x:c>
      <x:c r="H799" t="str">
        <x:v>physical acceptance authority</x:v>
      </x:c>
      <x:c r="I799" t="str">
        <x:f>IF(F799=0,"OPEN",IF(E799=F799,"PASS","FAIL"))</x:f>
        <x:v>OPEN</x:v>
      </x:c>
    </x:row>
    <x:row r="800">
      <x:c r="B800" t="str">
        <x:v>PH-SEV-071</x:v>
      </x:c>
      <x:c r="C800" t="str">
        <x:v>physical</x:v>
      </x:c>
      <x:c r="D800" t="str">
        <x:v>accepted support event</x:v>
      </x:c>
      <x:c r="E800" t="n">
        <x:v>1</x:v>
      </x:c>
      <x:c r="F800" t="n">
        <x:f>'Support Events'!K77</x:f>
        <x:v>0</x:v>
      </x:c>
      <x:c r="G800" t="str">
        <x:v>'Support Events'!K77</x:v>
      </x:c>
      <x:c r="H800" t="str">
        <x:v>physical acceptance authority</x:v>
      </x:c>
      <x:c r="I800" t="str">
        <x:f>IF(F800=0,"OPEN",IF(E800=F800,"PASS","FAIL"))</x:f>
        <x:v>OPEN</x:v>
      </x:c>
    </x:row>
    <x:row r="801">
      <x:c r="B801" t="str">
        <x:v>PH-SEV-072</x:v>
      </x:c>
      <x:c r="C801" t="str">
        <x:v>physical</x:v>
      </x:c>
      <x:c r="D801" t="str">
        <x:v>accepted support event</x:v>
      </x:c>
      <x:c r="E801" t="n">
        <x:v>1</x:v>
      </x:c>
      <x:c r="F801" t="n">
        <x:f>'Support Events'!K78</x:f>
        <x:v>0</x:v>
      </x:c>
      <x:c r="G801" t="str">
        <x:v>'Support Events'!K78</x:v>
      </x:c>
      <x:c r="H801" t="str">
        <x:v>physical acceptance authority</x:v>
      </x:c>
      <x:c r="I801" t="str">
        <x:f>IF(F801=0,"OPEN",IF(E801=F801,"PASS","FAIL"))</x:f>
        <x:v>OPEN</x:v>
      </x:c>
    </x:row>
    <x:row r="802">
      <x:c r="B802" t="str">
        <x:v>PH-SEV-073</x:v>
      </x:c>
      <x:c r="C802" t="str">
        <x:v>physical</x:v>
      </x:c>
      <x:c r="D802" t="str">
        <x:v>accepted support event</x:v>
      </x:c>
      <x:c r="E802" t="n">
        <x:v>1</x:v>
      </x:c>
      <x:c r="F802" t="n">
        <x:f>'Support Events'!K79</x:f>
        <x:v>0</x:v>
      </x:c>
      <x:c r="G802" t="str">
        <x:v>'Support Events'!K79</x:v>
      </x:c>
      <x:c r="H802" t="str">
        <x:v>physical acceptance authority</x:v>
      </x:c>
      <x:c r="I802" t="str">
        <x:f>IF(F802=0,"OPEN",IF(E802=F802,"PASS","FAIL"))</x:f>
        <x:v>OPEN</x:v>
      </x:c>
    </x:row>
    <x:row r="803">
      <x:c r="B803" t="str">
        <x:v>PH-SEV-074</x:v>
      </x:c>
      <x:c r="C803" t="str">
        <x:v>physical</x:v>
      </x:c>
      <x:c r="D803" t="str">
        <x:v>accepted support event</x:v>
      </x:c>
      <x:c r="E803" t="n">
        <x:v>1</x:v>
      </x:c>
      <x:c r="F803" t="n">
        <x:f>'Support Events'!K80</x:f>
        <x:v>0</x:v>
      </x:c>
      <x:c r="G803" t="str">
        <x:v>'Support Events'!K80</x:v>
      </x:c>
      <x:c r="H803" t="str">
        <x:v>physical acceptance authority</x:v>
      </x:c>
      <x:c r="I803" t="str">
        <x:f>IF(F803=0,"OPEN",IF(E803=F803,"PASS","FAIL"))</x:f>
        <x:v>OPEN</x:v>
      </x:c>
    </x:row>
    <x:row r="804">
      <x:c r="B804" t="str">
        <x:v>PH-SEV-075</x:v>
      </x:c>
      <x:c r="C804" t="str">
        <x:v>physical</x:v>
      </x:c>
      <x:c r="D804" t="str">
        <x:v>accepted support event</x:v>
      </x:c>
      <x:c r="E804" t="n">
        <x:v>1</x:v>
      </x:c>
      <x:c r="F804" t="n">
        <x:f>'Support Events'!K81</x:f>
        <x:v>0</x:v>
      </x:c>
      <x:c r="G804" t="str">
        <x:v>'Support Events'!K81</x:v>
      </x:c>
      <x:c r="H804" t="str">
        <x:v>physical acceptance authority</x:v>
      </x:c>
      <x:c r="I804" t="str">
        <x:f>IF(F804=0,"OPEN",IF(E804=F804,"PASS","FAIL"))</x:f>
        <x:v>OPEN</x:v>
      </x:c>
    </x:row>
    <x:row r="805">
      <x:c r="B805" t="str">
        <x:v>PH-SEV-076</x:v>
      </x:c>
      <x:c r="C805" t="str">
        <x:v>physical</x:v>
      </x:c>
      <x:c r="D805" t="str">
        <x:v>accepted support event</x:v>
      </x:c>
      <x:c r="E805" t="n">
        <x:v>1</x:v>
      </x:c>
      <x:c r="F805" t="n">
        <x:f>'Support Events'!K82</x:f>
        <x:v>0</x:v>
      </x:c>
      <x:c r="G805" t="str">
        <x:v>'Support Events'!K82</x:v>
      </x:c>
      <x:c r="H805" t="str">
        <x:v>physical acceptance authority</x:v>
      </x:c>
      <x:c r="I805" t="str">
        <x:f>IF(F805=0,"OPEN",IF(E805=F805,"PASS","FAIL"))</x:f>
        <x:v>OPEN</x:v>
      </x:c>
    </x:row>
    <x:row r="806">
      <x:c r="B806" t="str">
        <x:v>PH-SEV-077</x:v>
      </x:c>
      <x:c r="C806" t="str">
        <x:v>physical</x:v>
      </x:c>
      <x:c r="D806" t="str">
        <x:v>accepted support event</x:v>
      </x:c>
      <x:c r="E806" t="n">
        <x:v>1</x:v>
      </x:c>
      <x:c r="F806" t="n">
        <x:f>'Support Events'!K83</x:f>
        <x:v>0</x:v>
      </x:c>
      <x:c r="G806" t="str">
        <x:v>'Support Events'!K83</x:v>
      </x:c>
      <x:c r="H806" t="str">
        <x:v>physical acceptance authority</x:v>
      </x:c>
      <x:c r="I806" t="str">
        <x:f>IF(F806=0,"OPEN",IF(E806=F806,"PASS","FAIL"))</x:f>
        <x:v>OPEN</x:v>
      </x:c>
    </x:row>
    <x:row r="807">
      <x:c r="B807" t="str">
        <x:v>PH-SEV-078</x:v>
      </x:c>
      <x:c r="C807" t="str">
        <x:v>physical</x:v>
      </x:c>
      <x:c r="D807" t="str">
        <x:v>accepted support event</x:v>
      </x:c>
      <x:c r="E807" t="n">
        <x:v>1</x:v>
      </x:c>
      <x:c r="F807" t="n">
        <x:f>'Support Events'!K84</x:f>
        <x:v>0</x:v>
      </x:c>
      <x:c r="G807" t="str">
        <x:v>'Support Events'!K84</x:v>
      </x:c>
      <x:c r="H807" t="str">
        <x:v>physical acceptance authority</x:v>
      </x:c>
      <x:c r="I807" t="str">
        <x:f>IF(F807=0,"OPEN",IF(E807=F807,"PASS","FAIL"))</x:f>
        <x:v>OPEN</x:v>
      </x:c>
    </x:row>
    <x:row r="808">
      <x:c r="B808" t="str">
        <x:v>PH-SEV-079</x:v>
      </x:c>
      <x:c r="C808" t="str">
        <x:v>physical</x:v>
      </x:c>
      <x:c r="D808" t="str">
        <x:v>accepted support event</x:v>
      </x:c>
      <x:c r="E808" t="n">
        <x:v>1</x:v>
      </x:c>
      <x:c r="F808" t="n">
        <x:f>'Support Events'!K85</x:f>
        <x:v>0</x:v>
      </x:c>
      <x:c r="G808" t="str">
        <x:v>'Support Events'!K85</x:v>
      </x:c>
      <x:c r="H808" t="str">
        <x:v>physical acceptance authority</x:v>
      </x:c>
      <x:c r="I808" t="str">
        <x:f>IF(F808=0,"OPEN",IF(E808=F808,"PASS","FAIL"))</x:f>
        <x:v>OPEN</x:v>
      </x:c>
    </x:row>
    <x:row r="809">
      <x:c r="B809" t="str">
        <x:v>PH-SEV-080</x:v>
      </x:c>
      <x:c r="C809" t="str">
        <x:v>physical</x:v>
      </x:c>
      <x:c r="D809" t="str">
        <x:v>accepted support event</x:v>
      </x:c>
      <x:c r="E809" t="n">
        <x:v>1</x:v>
      </x:c>
      <x:c r="F809" t="n">
        <x:f>'Support Events'!K86</x:f>
        <x:v>0</x:v>
      </x:c>
      <x:c r="G809" t="str">
        <x:v>'Support Events'!K86</x:v>
      </x:c>
      <x:c r="H809" t="str">
        <x:v>physical acceptance authority</x:v>
      </x:c>
      <x:c r="I809" t="str">
        <x:f>IF(F809=0,"OPEN",IF(E809=F809,"PASS","FAIL"))</x:f>
        <x:v>OPEN</x:v>
      </x:c>
    </x:row>
    <x:row r="810">
      <x:c r="B810" t="str">
        <x:v>PH-SEV-081</x:v>
      </x:c>
      <x:c r="C810" t="str">
        <x:v>physical</x:v>
      </x:c>
      <x:c r="D810" t="str">
        <x:v>accepted support event</x:v>
      </x:c>
      <x:c r="E810" t="n">
        <x:v>1</x:v>
      </x:c>
      <x:c r="F810" t="n">
        <x:f>'Support Events'!K87</x:f>
        <x:v>0</x:v>
      </x:c>
      <x:c r="G810" t="str">
        <x:v>'Support Events'!K87</x:v>
      </x:c>
      <x:c r="H810" t="str">
        <x:v>physical acceptance authority</x:v>
      </x:c>
      <x:c r="I810" t="str">
        <x:f>IF(F810=0,"OPEN",IF(E810=F810,"PASS","FAIL"))</x:f>
        <x:v>OPEN</x:v>
      </x:c>
    </x:row>
    <x:row r="811">
      <x:c r="B811" t="str">
        <x:v>PH-SEV-082</x:v>
      </x:c>
      <x:c r="C811" t="str">
        <x:v>physical</x:v>
      </x:c>
      <x:c r="D811" t="str">
        <x:v>accepted support event</x:v>
      </x:c>
      <x:c r="E811" t="n">
        <x:v>1</x:v>
      </x:c>
      <x:c r="F811" t="n">
        <x:f>'Support Events'!K88</x:f>
        <x:v>0</x:v>
      </x:c>
      <x:c r="G811" t="str">
        <x:v>'Support Events'!K88</x:v>
      </x:c>
      <x:c r="H811" t="str">
        <x:v>physical acceptance authority</x:v>
      </x:c>
      <x:c r="I811" t="str">
        <x:f>IF(F811=0,"OPEN",IF(E811=F811,"PASS","FAIL"))</x:f>
        <x:v>OPEN</x:v>
      </x:c>
    </x:row>
    <x:row r="812">
      <x:c r="B812" t="str">
        <x:v>PH-SEV-083</x:v>
      </x:c>
      <x:c r="C812" t="str">
        <x:v>physical</x:v>
      </x:c>
      <x:c r="D812" t="str">
        <x:v>accepted support event</x:v>
      </x:c>
      <x:c r="E812" t="n">
        <x:v>1</x:v>
      </x:c>
      <x:c r="F812" t="n">
        <x:f>'Support Events'!K89</x:f>
        <x:v>0</x:v>
      </x:c>
      <x:c r="G812" t="str">
        <x:v>'Support Events'!K89</x:v>
      </x:c>
      <x:c r="H812" t="str">
        <x:v>physical acceptance authority</x:v>
      </x:c>
      <x:c r="I812" t="str">
        <x:f>IF(F812=0,"OPEN",IF(E812=F812,"PASS","FAIL"))</x:f>
        <x:v>OPEN</x:v>
      </x:c>
    </x:row>
    <x:row r="813">
      <x:c r="B813" t="str">
        <x:v>PH-SEV-084</x:v>
      </x:c>
      <x:c r="C813" t="str">
        <x:v>physical</x:v>
      </x:c>
      <x:c r="D813" t="str">
        <x:v>accepted support event</x:v>
      </x:c>
      <x:c r="E813" t="n">
        <x:v>1</x:v>
      </x:c>
      <x:c r="F813" t="n">
        <x:f>'Support Events'!K90</x:f>
        <x:v>0</x:v>
      </x:c>
      <x:c r="G813" t="str">
        <x:v>'Support Events'!K90</x:v>
      </x:c>
      <x:c r="H813" t="str">
        <x:v>physical acceptance authority</x:v>
      </x:c>
      <x:c r="I813" t="str">
        <x:f>IF(F813=0,"OPEN",IF(E813=F813,"PASS","FAIL"))</x:f>
        <x:v>OPEN</x:v>
      </x:c>
    </x:row>
    <x:row r="814">
      <x:c r="B814" t="str">
        <x:v>PH-SEV-085</x:v>
      </x:c>
      <x:c r="C814" t="str">
        <x:v>physical</x:v>
      </x:c>
      <x:c r="D814" t="str">
        <x:v>accepted support event</x:v>
      </x:c>
      <x:c r="E814" t="n">
        <x:v>1</x:v>
      </x:c>
      <x:c r="F814" t="n">
        <x:f>'Support Events'!K91</x:f>
        <x:v>0</x:v>
      </x:c>
      <x:c r="G814" t="str">
        <x:v>'Support Events'!K91</x:v>
      </x:c>
      <x:c r="H814" t="str">
        <x:v>physical acceptance authority</x:v>
      </x:c>
      <x:c r="I814" t="str">
        <x:f>IF(F814=0,"OPEN",IF(E814=F814,"PASS","FAIL"))</x:f>
        <x:v>OPEN</x:v>
      </x:c>
    </x:row>
    <x:row r="815">
      <x:c r="B815" t="str">
        <x:v>PH-SEV-086</x:v>
      </x:c>
      <x:c r="C815" t="str">
        <x:v>physical</x:v>
      </x:c>
      <x:c r="D815" t="str">
        <x:v>accepted support event</x:v>
      </x:c>
      <x:c r="E815" t="n">
        <x:v>1</x:v>
      </x:c>
      <x:c r="F815" t="n">
        <x:f>'Support Events'!K92</x:f>
        <x:v>0</x:v>
      </x:c>
      <x:c r="G815" t="str">
        <x:v>'Support Events'!K92</x:v>
      </x:c>
      <x:c r="H815" t="str">
        <x:v>physical acceptance authority</x:v>
      </x:c>
      <x:c r="I815" t="str">
        <x:f>IF(F815=0,"OPEN",IF(E815=F815,"PASS","FAIL"))</x:f>
        <x:v>OPEN</x:v>
      </x:c>
    </x:row>
    <x:row r="816">
      <x:c r="B816" t="str">
        <x:v>PH-SEV-087</x:v>
      </x:c>
      <x:c r="C816" t="str">
        <x:v>physical</x:v>
      </x:c>
      <x:c r="D816" t="str">
        <x:v>accepted support event</x:v>
      </x:c>
      <x:c r="E816" t="n">
        <x:v>1</x:v>
      </x:c>
      <x:c r="F816" t="n">
        <x:f>'Support Events'!K93</x:f>
        <x:v>0</x:v>
      </x:c>
      <x:c r="G816" t="str">
        <x:v>'Support Events'!K93</x:v>
      </x:c>
      <x:c r="H816" t="str">
        <x:v>physical acceptance authority</x:v>
      </x:c>
      <x:c r="I816" t="str">
        <x:f>IF(F816=0,"OPEN",IF(E816=F816,"PASS","FAIL"))</x:f>
        <x:v>OPEN</x:v>
      </x:c>
    </x:row>
    <x:row r="817">
      <x:c r="B817" t="str">
        <x:v>PH-SEV-088</x:v>
      </x:c>
      <x:c r="C817" t="str">
        <x:v>physical</x:v>
      </x:c>
      <x:c r="D817" t="str">
        <x:v>accepted support event</x:v>
      </x:c>
      <x:c r="E817" t="n">
        <x:v>1</x:v>
      </x:c>
      <x:c r="F817" t="n">
        <x:f>'Support Events'!K94</x:f>
        <x:v>0</x:v>
      </x:c>
      <x:c r="G817" t="str">
        <x:v>'Support Events'!K94</x:v>
      </x:c>
      <x:c r="H817" t="str">
        <x:v>physical acceptance authority</x:v>
      </x:c>
      <x:c r="I817" t="str">
        <x:f>IF(F817=0,"OPEN",IF(E817=F817,"PASS","FAIL"))</x:f>
        <x:v>OPEN</x:v>
      </x:c>
    </x:row>
    <x:row r="818">
      <x:c r="B818" t="str">
        <x:v>PH-SEV-089</x:v>
      </x:c>
      <x:c r="C818" t="str">
        <x:v>physical</x:v>
      </x:c>
      <x:c r="D818" t="str">
        <x:v>accepted support event</x:v>
      </x:c>
      <x:c r="E818" t="n">
        <x:v>1</x:v>
      </x:c>
      <x:c r="F818" t="n">
        <x:f>'Support Events'!K95</x:f>
        <x:v>0</x:v>
      </x:c>
      <x:c r="G818" t="str">
        <x:v>'Support Events'!K95</x:v>
      </x:c>
      <x:c r="H818" t="str">
        <x:v>physical acceptance authority</x:v>
      </x:c>
      <x:c r="I818" t="str">
        <x:f>IF(F818=0,"OPEN",IF(E818=F818,"PASS","FAIL"))</x:f>
        <x:v>OPEN</x:v>
      </x:c>
    </x:row>
    <x:row r="819">
      <x:c r="B819" t="str">
        <x:v>PH-SEV-090</x:v>
      </x:c>
      <x:c r="C819" t="str">
        <x:v>physical</x:v>
      </x:c>
      <x:c r="D819" t="str">
        <x:v>accepted support event</x:v>
      </x:c>
      <x:c r="E819" t="n">
        <x:v>1</x:v>
      </x:c>
      <x:c r="F819" t="n">
        <x:f>'Support Events'!K96</x:f>
        <x:v>0</x:v>
      </x:c>
      <x:c r="G819" t="str">
        <x:v>'Support Events'!K96</x:v>
      </x:c>
      <x:c r="H819" t="str">
        <x:v>physical acceptance authority</x:v>
      </x:c>
      <x:c r="I819" t="str">
        <x:f>IF(F819=0,"OPEN",IF(E819=F819,"PASS","FAIL"))</x:f>
        <x:v>OPEN</x:v>
      </x:c>
    </x:row>
    <x:row r="820">
      <x:c r="B820" t="str">
        <x:v>PH-SEV-091</x:v>
      </x:c>
      <x:c r="C820" t="str">
        <x:v>physical</x:v>
      </x:c>
      <x:c r="D820" t="str">
        <x:v>accepted support event</x:v>
      </x:c>
      <x:c r="E820" t="n">
        <x:v>1</x:v>
      </x:c>
      <x:c r="F820" t="n">
        <x:f>'Support Events'!K97</x:f>
        <x:v>0</x:v>
      </x:c>
      <x:c r="G820" t="str">
        <x:v>'Support Events'!K97</x:v>
      </x:c>
      <x:c r="H820" t="str">
        <x:v>physical acceptance authority</x:v>
      </x:c>
      <x:c r="I820" t="str">
        <x:f>IF(F820=0,"OPEN",IF(E820=F820,"PASS","FAIL"))</x:f>
        <x:v>OPEN</x:v>
      </x:c>
    </x:row>
    <x:row r="821">
      <x:c r="B821" t="str">
        <x:v>PH-SEV-092</x:v>
      </x:c>
      <x:c r="C821" t="str">
        <x:v>physical</x:v>
      </x:c>
      <x:c r="D821" t="str">
        <x:v>accepted support event</x:v>
      </x:c>
      <x:c r="E821" t="n">
        <x:v>1</x:v>
      </x:c>
      <x:c r="F821" t="n">
        <x:f>'Support Events'!K98</x:f>
        <x:v>0</x:v>
      </x:c>
      <x:c r="G821" t="str">
        <x:v>'Support Events'!K98</x:v>
      </x:c>
      <x:c r="H821" t="str">
        <x:v>physical acceptance authority</x:v>
      </x:c>
      <x:c r="I821" t="str">
        <x:f>IF(F821=0,"OPEN",IF(E821=F821,"PASS","FAIL"))</x:f>
        <x:v>OPEN</x:v>
      </x:c>
    </x:row>
    <x:row r="822">
      <x:c r="B822" t="str">
        <x:v>PH-SEV-093</x:v>
      </x:c>
      <x:c r="C822" t="str">
        <x:v>physical</x:v>
      </x:c>
      <x:c r="D822" t="str">
        <x:v>accepted support event</x:v>
      </x:c>
      <x:c r="E822" t="n">
        <x:v>1</x:v>
      </x:c>
      <x:c r="F822" t="n">
        <x:f>'Support Events'!K99</x:f>
        <x:v>0</x:v>
      </x:c>
      <x:c r="G822" t="str">
        <x:v>'Support Events'!K99</x:v>
      </x:c>
      <x:c r="H822" t="str">
        <x:v>physical acceptance authority</x:v>
      </x:c>
      <x:c r="I822" t="str">
        <x:f>IF(F822=0,"OPEN",IF(E822=F822,"PASS","FAIL"))</x:f>
        <x:v>OPEN</x:v>
      </x:c>
    </x:row>
    <x:row r="823">
      <x:c r="B823" t="str">
        <x:v>PH-SEV-094</x:v>
      </x:c>
      <x:c r="C823" t="str">
        <x:v>physical</x:v>
      </x:c>
      <x:c r="D823" t="str">
        <x:v>accepted support event</x:v>
      </x:c>
      <x:c r="E823" t="n">
        <x:v>1</x:v>
      </x:c>
      <x:c r="F823" t="n">
        <x:f>'Support Events'!K100</x:f>
        <x:v>0</x:v>
      </x:c>
      <x:c r="G823" t="str">
        <x:v>'Support Events'!K100</x:v>
      </x:c>
      <x:c r="H823" t="str">
        <x:v>physical acceptance authority</x:v>
      </x:c>
      <x:c r="I823" t="str">
        <x:f>IF(F823=0,"OPEN",IF(E823=F823,"PASS","FAIL"))</x:f>
        <x:v>OPEN</x:v>
      </x:c>
    </x:row>
    <x:row r="824">
      <x:c r="B824" t="str">
        <x:v>PH-SEV-095</x:v>
      </x:c>
      <x:c r="C824" t="str">
        <x:v>physical</x:v>
      </x:c>
      <x:c r="D824" t="str">
        <x:v>accepted support event</x:v>
      </x:c>
      <x:c r="E824" t="n">
        <x:v>1</x:v>
      </x:c>
      <x:c r="F824" t="n">
        <x:f>'Support Events'!K101</x:f>
        <x:v>0</x:v>
      </x:c>
      <x:c r="G824" t="str">
        <x:v>'Support Events'!K101</x:v>
      </x:c>
      <x:c r="H824" t="str">
        <x:v>physical acceptance authority</x:v>
      </x:c>
      <x:c r="I824" t="str">
        <x:f>IF(F824=0,"OPEN",IF(E824=F824,"PASS","FAIL"))</x:f>
        <x:v>OPEN</x:v>
      </x:c>
    </x:row>
    <x:row r="825">
      <x:c r="B825" t="str">
        <x:v>PH-SEV-096</x:v>
      </x:c>
      <x:c r="C825" t="str">
        <x:v>physical</x:v>
      </x:c>
      <x:c r="D825" t="str">
        <x:v>accepted support event</x:v>
      </x:c>
      <x:c r="E825" t="n">
        <x:v>1</x:v>
      </x:c>
      <x:c r="F825" t="n">
        <x:f>'Support Events'!K102</x:f>
        <x:v>0</x:v>
      </x:c>
      <x:c r="G825" t="str">
        <x:v>'Support Events'!K102</x:v>
      </x:c>
      <x:c r="H825" t="str">
        <x:v>physical acceptance authority</x:v>
      </x:c>
      <x:c r="I825" t="str">
        <x:f>IF(F825=0,"OPEN",IF(E825=F825,"PASS","FAIL"))</x:f>
        <x:v>OPEN</x:v>
      </x:c>
    </x:row>
    <x:row r="826">
      <x:c r="B826" t="str">
        <x:v>PH-SEV-097</x:v>
      </x:c>
      <x:c r="C826" t="str">
        <x:v>physical</x:v>
      </x:c>
      <x:c r="D826" t="str">
        <x:v>accepted support event</x:v>
      </x:c>
      <x:c r="E826" t="n">
        <x:v>1</x:v>
      </x:c>
      <x:c r="F826" t="n">
        <x:f>'Support Events'!K103</x:f>
        <x:v>0</x:v>
      </x:c>
      <x:c r="G826" t="str">
        <x:v>'Support Events'!K103</x:v>
      </x:c>
      <x:c r="H826" t="str">
        <x:v>physical acceptance authority</x:v>
      </x:c>
      <x:c r="I826" t="str">
        <x:f>IF(F826=0,"OPEN",IF(E826=F826,"PASS","FAIL"))</x:f>
        <x:v>OPEN</x:v>
      </x:c>
    </x:row>
    <x:row r="827">
      <x:c r="B827" t="str">
        <x:v>PH-SEV-098</x:v>
      </x:c>
      <x:c r="C827" t="str">
        <x:v>physical</x:v>
      </x:c>
      <x:c r="D827" t="str">
        <x:v>accepted support event</x:v>
      </x:c>
      <x:c r="E827" t="n">
        <x:v>1</x:v>
      </x:c>
      <x:c r="F827" t="n">
        <x:f>'Support Events'!K104</x:f>
        <x:v>0</x:v>
      </x:c>
      <x:c r="G827" t="str">
        <x:v>'Support Events'!K104</x:v>
      </x:c>
      <x:c r="H827" t="str">
        <x:v>physical acceptance authority</x:v>
      </x:c>
      <x:c r="I827" t="str">
        <x:f>IF(F827=0,"OPEN",IF(E827=F827,"PASS","FAIL"))</x:f>
        <x:v>OPEN</x:v>
      </x:c>
    </x:row>
    <x:row r="828">
      <x:c r="B828" t="str">
        <x:v>PH-SEV-099</x:v>
      </x:c>
      <x:c r="C828" t="str">
        <x:v>physical</x:v>
      </x:c>
      <x:c r="D828" t="str">
        <x:v>accepted support event</x:v>
      </x:c>
      <x:c r="E828" t="n">
        <x:v>1</x:v>
      </x:c>
      <x:c r="F828" t="n">
        <x:f>'Support Events'!K105</x:f>
        <x:v>0</x:v>
      </x:c>
      <x:c r="G828" t="str">
        <x:v>'Support Events'!K105</x:v>
      </x:c>
      <x:c r="H828" t="str">
        <x:v>physical acceptance authority</x:v>
      </x:c>
      <x:c r="I828" t="str">
        <x:f>IF(F828=0,"OPEN",IF(E828=F828,"PASS","FAIL"))</x:f>
        <x:v>OPEN</x:v>
      </x:c>
    </x:row>
    <x:row r="829">
      <x:c r="B829" t="str">
        <x:v>PH-SEV-100</x:v>
      </x:c>
      <x:c r="C829" t="str">
        <x:v>physical</x:v>
      </x:c>
      <x:c r="D829" t="str">
        <x:v>accepted support event</x:v>
      </x:c>
      <x:c r="E829" t="n">
        <x:v>1</x:v>
      </x:c>
      <x:c r="F829" t="n">
        <x:f>'Support Events'!K106</x:f>
        <x:v>0</x:v>
      </x:c>
      <x:c r="G829" t="str">
        <x:v>'Support Events'!K106</x:v>
      </x:c>
      <x:c r="H829" t="str">
        <x:v>physical acceptance authority</x:v>
      </x:c>
      <x:c r="I829" t="str">
        <x:f>IF(F829=0,"OPEN",IF(E829=F829,"PASS","FAIL"))</x:f>
        <x:v>OPEN</x:v>
      </x:c>
    </x:row>
    <x:row r="830">
      <x:c r="B830" t="str">
        <x:v>PH-SEV-101</x:v>
      </x:c>
      <x:c r="C830" t="str">
        <x:v>physical</x:v>
      </x:c>
      <x:c r="D830" t="str">
        <x:v>accepted support event</x:v>
      </x:c>
      <x:c r="E830" t="n">
        <x:v>1</x:v>
      </x:c>
      <x:c r="F830" t="n">
        <x:f>'Support Events'!K107</x:f>
        <x:v>0</x:v>
      </x:c>
      <x:c r="G830" t="str">
        <x:v>'Support Events'!K107</x:v>
      </x:c>
      <x:c r="H830" t="str">
        <x:v>physical acceptance authority</x:v>
      </x:c>
      <x:c r="I830" t="str">
        <x:f>IF(F830=0,"OPEN",IF(E830=F830,"PASS","FAIL"))</x:f>
        <x:v>OPEN</x:v>
      </x:c>
    </x:row>
    <x:row r="831">
      <x:c r="B831" t="str">
        <x:v>PH-SEV-102</x:v>
      </x:c>
      <x:c r="C831" t="str">
        <x:v>physical</x:v>
      </x:c>
      <x:c r="D831" t="str">
        <x:v>accepted support event</x:v>
      </x:c>
      <x:c r="E831" t="n">
        <x:v>1</x:v>
      </x:c>
      <x:c r="F831" t="n">
        <x:f>'Support Events'!K108</x:f>
        <x:v>0</x:v>
      </x:c>
      <x:c r="G831" t="str">
        <x:v>'Support Events'!K108</x:v>
      </x:c>
      <x:c r="H831" t="str">
        <x:v>physical acceptance authority</x:v>
      </x:c>
      <x:c r="I831" t="str">
        <x:f>IF(F831=0,"OPEN",IF(E831=F831,"PASS","FAIL"))</x:f>
        <x:v>OPEN</x:v>
      </x:c>
    </x:row>
    <x:row r="832">
      <x:c r="B832" t="str">
        <x:v>PH-SEV-103</x:v>
      </x:c>
      <x:c r="C832" t="str">
        <x:v>physical</x:v>
      </x:c>
      <x:c r="D832" t="str">
        <x:v>accepted support event</x:v>
      </x:c>
      <x:c r="E832" t="n">
        <x:v>1</x:v>
      </x:c>
      <x:c r="F832" t="n">
        <x:f>'Support Events'!K109</x:f>
        <x:v>0</x:v>
      </x:c>
      <x:c r="G832" t="str">
        <x:v>'Support Events'!K109</x:v>
      </x:c>
      <x:c r="H832" t="str">
        <x:v>physical acceptance authority</x:v>
      </x:c>
      <x:c r="I832" t="str">
        <x:f>IF(F832=0,"OPEN",IF(E832=F832,"PASS","FAIL"))</x:f>
        <x:v>OPEN</x:v>
      </x:c>
    </x:row>
    <x:row r="833">
      <x:c r="B833" t="str">
        <x:v>PH-SEV-104</x:v>
      </x:c>
      <x:c r="C833" t="str">
        <x:v>physical</x:v>
      </x:c>
      <x:c r="D833" t="str">
        <x:v>accepted support event</x:v>
      </x:c>
      <x:c r="E833" t="n">
        <x:v>1</x:v>
      </x:c>
      <x:c r="F833" t="n">
        <x:f>'Support Events'!K110</x:f>
        <x:v>0</x:v>
      </x:c>
      <x:c r="G833" t="str">
        <x:v>'Support Events'!K110</x:v>
      </x:c>
      <x:c r="H833" t="str">
        <x:v>physical acceptance authority</x:v>
      </x:c>
      <x:c r="I833" t="str">
        <x:f>IF(F833=0,"OPEN",IF(E833=F833,"PASS","FAIL"))</x:f>
        <x:v>OPEN</x:v>
      </x:c>
    </x:row>
    <x:row r="834">
      <x:c r="B834" t="str">
        <x:v>PH-SEV-105</x:v>
      </x:c>
      <x:c r="C834" t="str">
        <x:v>physical</x:v>
      </x:c>
      <x:c r="D834" t="str">
        <x:v>accepted support event</x:v>
      </x:c>
      <x:c r="E834" t="n">
        <x:v>1</x:v>
      </x:c>
      <x:c r="F834" t="n">
        <x:f>'Support Events'!K111</x:f>
        <x:v>0</x:v>
      </x:c>
      <x:c r="G834" t="str">
        <x:v>'Support Events'!K111</x:v>
      </x:c>
      <x:c r="H834" t="str">
        <x:v>physical acceptance authority</x:v>
      </x:c>
      <x:c r="I834" t="str">
        <x:f>IF(F834=0,"OPEN",IF(E834=F834,"PASS","FAIL"))</x:f>
        <x:v>OPEN</x:v>
      </x:c>
    </x:row>
    <x:row r="835">
      <x:c r="B835" t="str">
        <x:v>PH-SEV-106</x:v>
      </x:c>
      <x:c r="C835" t="str">
        <x:v>physical</x:v>
      </x:c>
      <x:c r="D835" t="str">
        <x:v>accepted support event</x:v>
      </x:c>
      <x:c r="E835" t="n">
        <x:v>1</x:v>
      </x:c>
      <x:c r="F835" t="n">
        <x:f>'Support Events'!K112</x:f>
        <x:v>0</x:v>
      </x:c>
      <x:c r="G835" t="str">
        <x:v>'Support Events'!K112</x:v>
      </x:c>
      <x:c r="H835" t="str">
        <x:v>physical acceptance authority</x:v>
      </x:c>
      <x:c r="I835" t="str">
        <x:f>IF(F835=0,"OPEN",IF(E835=F835,"PASS","FAIL"))</x:f>
        <x:v>OPEN</x:v>
      </x:c>
    </x:row>
    <x:row r="836">
      <x:c r="B836" t="str">
        <x:v>PH-SEV-107</x:v>
      </x:c>
      <x:c r="C836" t="str">
        <x:v>physical</x:v>
      </x:c>
      <x:c r="D836" t="str">
        <x:v>accepted support event</x:v>
      </x:c>
      <x:c r="E836" t="n">
        <x:v>1</x:v>
      </x:c>
      <x:c r="F836" t="n">
        <x:f>'Support Events'!K113</x:f>
        <x:v>0</x:v>
      </x:c>
      <x:c r="G836" t="str">
        <x:v>'Support Events'!K113</x:v>
      </x:c>
      <x:c r="H836" t="str">
        <x:v>physical acceptance authority</x:v>
      </x:c>
      <x:c r="I836" t="str">
        <x:f>IF(F836=0,"OPEN",IF(E836=F836,"PASS","FAIL"))</x:f>
        <x:v>OPEN</x:v>
      </x:c>
    </x:row>
    <x:row r="837">
      <x:c r="B837" t="str">
        <x:v>PH-SEV-108</x:v>
      </x:c>
      <x:c r="C837" t="str">
        <x:v>physical</x:v>
      </x:c>
      <x:c r="D837" t="str">
        <x:v>accepted support event</x:v>
      </x:c>
      <x:c r="E837" t="n">
        <x:v>1</x:v>
      </x:c>
      <x:c r="F837" t="n">
        <x:f>'Support Events'!K114</x:f>
        <x:v>0</x:v>
      </x:c>
      <x:c r="G837" t="str">
        <x:v>'Support Events'!K114</x:v>
      </x:c>
      <x:c r="H837" t="str">
        <x:v>physical acceptance authority</x:v>
      </x:c>
      <x:c r="I837" t="str">
        <x:f>IF(F837=0,"OPEN",IF(E837=F837,"PASS","FAIL"))</x:f>
        <x:v>OPEN</x:v>
      </x:c>
    </x:row>
    <x:row r="838">
      <x:c r="B838" t="str">
        <x:v>PH-SEV-109</x:v>
      </x:c>
      <x:c r="C838" t="str">
        <x:v>physical</x:v>
      </x:c>
      <x:c r="D838" t="str">
        <x:v>accepted support event</x:v>
      </x:c>
      <x:c r="E838" t="n">
        <x:v>1</x:v>
      </x:c>
      <x:c r="F838" t="n">
        <x:f>'Support Events'!K115</x:f>
        <x:v>0</x:v>
      </x:c>
      <x:c r="G838" t="str">
        <x:v>'Support Events'!K115</x:v>
      </x:c>
      <x:c r="H838" t="str">
        <x:v>physical acceptance authority</x:v>
      </x:c>
      <x:c r="I838" t="str">
        <x:f>IF(F838=0,"OPEN",IF(E838=F838,"PASS","FAIL"))</x:f>
        <x:v>OPEN</x:v>
      </x:c>
    </x:row>
    <x:row r="839">
      <x:c r="B839" t="str">
        <x:v>PH-SEV-110</x:v>
      </x:c>
      <x:c r="C839" t="str">
        <x:v>physical</x:v>
      </x:c>
      <x:c r="D839" t="str">
        <x:v>accepted support event</x:v>
      </x:c>
      <x:c r="E839" t="n">
        <x:v>1</x:v>
      </x:c>
      <x:c r="F839" t="n">
        <x:f>'Support Events'!K116</x:f>
        <x:v>0</x:v>
      </x:c>
      <x:c r="G839" t="str">
        <x:v>'Support Events'!K116</x:v>
      </x:c>
      <x:c r="H839" t="str">
        <x:v>physical acceptance authority</x:v>
      </x:c>
      <x:c r="I839" t="str">
        <x:f>IF(F839=0,"OPEN",IF(E839=F839,"PASS","FAIL"))</x:f>
        <x:v>OPEN</x:v>
      </x:c>
    </x:row>
    <x:row r="840">
      <x:c r="B840" t="str">
        <x:v>PH-SEV-111</x:v>
      </x:c>
      <x:c r="C840" t="str">
        <x:v>physical</x:v>
      </x:c>
      <x:c r="D840" t="str">
        <x:v>accepted support event</x:v>
      </x:c>
      <x:c r="E840" t="n">
        <x:v>1</x:v>
      </x:c>
      <x:c r="F840" t="n">
        <x:f>'Support Events'!K117</x:f>
        <x:v>0</x:v>
      </x:c>
      <x:c r="G840" t="str">
        <x:v>'Support Events'!K117</x:v>
      </x:c>
      <x:c r="H840" t="str">
        <x:v>physical acceptance authority</x:v>
      </x:c>
      <x:c r="I840" t="str">
        <x:f>IF(F840=0,"OPEN",IF(E840=F840,"PASS","FAIL"))</x:f>
        <x:v>OPEN</x:v>
      </x:c>
    </x:row>
    <x:row r="841">
      <x:c r="B841" t="str">
        <x:v>PH-SEV-112</x:v>
      </x:c>
      <x:c r="C841" t="str">
        <x:v>physical</x:v>
      </x:c>
      <x:c r="D841" t="str">
        <x:v>accepted support event</x:v>
      </x:c>
      <x:c r="E841" t="n">
        <x:v>1</x:v>
      </x:c>
      <x:c r="F841" t="n">
        <x:f>'Support Events'!K118</x:f>
        <x:v>0</x:v>
      </x:c>
      <x:c r="G841" t="str">
        <x:v>'Support Events'!K118</x:v>
      </x:c>
      <x:c r="H841" t="str">
        <x:v>physical acceptance authority</x:v>
      </x:c>
      <x:c r="I841" t="str">
        <x:f>IF(F841=0,"OPEN",IF(E841=F841,"PASS","FAIL"))</x:f>
        <x:v>OPEN</x:v>
      </x:c>
    </x:row>
    <x:row r="842">
      <x:c r="B842" t="str">
        <x:v>PH-SEV-113</x:v>
      </x:c>
      <x:c r="C842" t="str">
        <x:v>physical</x:v>
      </x:c>
      <x:c r="D842" t="str">
        <x:v>accepted support event</x:v>
      </x:c>
      <x:c r="E842" t="n">
        <x:v>1</x:v>
      </x:c>
      <x:c r="F842" t="n">
        <x:f>'Support Events'!K119</x:f>
        <x:v>0</x:v>
      </x:c>
      <x:c r="G842" t="str">
        <x:v>'Support Events'!K119</x:v>
      </x:c>
      <x:c r="H842" t="str">
        <x:v>physical acceptance authority</x:v>
      </x:c>
      <x:c r="I842" t="str">
        <x:f>IF(F842=0,"OPEN",IF(E842=F842,"PASS","FAIL"))</x:f>
        <x:v>OPEN</x:v>
      </x:c>
    </x:row>
    <x:row r="843">
      <x:c r="B843" t="str">
        <x:v>PH-SEV-114</x:v>
      </x:c>
      <x:c r="C843" t="str">
        <x:v>physical</x:v>
      </x:c>
      <x:c r="D843" t="str">
        <x:v>accepted support event</x:v>
      </x:c>
      <x:c r="E843" t="n">
        <x:v>1</x:v>
      </x:c>
      <x:c r="F843" t="n">
        <x:f>'Support Events'!K120</x:f>
        <x:v>0</x:v>
      </x:c>
      <x:c r="G843" t="str">
        <x:v>'Support Events'!K120</x:v>
      </x:c>
      <x:c r="H843" t="str">
        <x:v>physical acceptance authority</x:v>
      </x:c>
      <x:c r="I843" t="str">
        <x:f>IF(F843=0,"OPEN",IF(E843=F843,"PASS","FAIL"))</x:f>
        <x:v>OPEN</x:v>
      </x:c>
    </x:row>
    <x:row r="844">
      <x:c r="B844" t="str">
        <x:v>PH-PRO-01</x:v>
      </x:c>
      <x:c r="C844" t="str">
        <x:v>physical</x:v>
      </x:c>
      <x:c r="D844" t="str">
        <x:v>accepted protocol disposition</x:v>
      </x:c>
      <x:c r="E844" t="n">
        <x:v>1</x:v>
      </x:c>
      <x:c r="F844" t="n">
        <x:f>'Protocol Register'!L7</x:f>
        <x:v>0</x:v>
      </x:c>
      <x:c r="G844" t="str">
        <x:v>'Protocol Register'!L7</x:v>
      </x:c>
      <x:c r="H844" t="str">
        <x:v>physical acceptance authority</x:v>
      </x:c>
      <x:c r="I844" t="str">
        <x:f>IF(F844=0,"OPEN",IF(E844=F844,"PASS","FAIL"))</x:f>
        <x:v>OPEN</x:v>
      </x:c>
    </x:row>
    <x:row r="845">
      <x:c r="B845" t="str">
        <x:v>PH-PRO-02</x:v>
      </x:c>
      <x:c r="C845" t="str">
        <x:v>physical</x:v>
      </x:c>
      <x:c r="D845" t="str">
        <x:v>accepted protocol disposition</x:v>
      </x:c>
      <x:c r="E845" t="n">
        <x:v>1</x:v>
      </x:c>
      <x:c r="F845" t="n">
        <x:f>'Protocol Register'!L8</x:f>
        <x:v>0</x:v>
      </x:c>
      <x:c r="G845" t="str">
        <x:v>'Protocol Register'!L8</x:v>
      </x:c>
      <x:c r="H845" t="str">
        <x:v>physical acceptance authority</x:v>
      </x:c>
      <x:c r="I845" t="str">
        <x:f>IF(F845=0,"OPEN",IF(E845=F845,"PASS","FAIL"))</x:f>
        <x:v>OPEN</x:v>
      </x:c>
    </x:row>
    <x:row r="846">
      <x:c r="B846" t="str">
        <x:v>PH-PRO-03</x:v>
      </x:c>
      <x:c r="C846" t="str">
        <x:v>physical</x:v>
      </x:c>
      <x:c r="D846" t="str">
        <x:v>accepted protocol disposition</x:v>
      </x:c>
      <x:c r="E846" t="n">
        <x:v>1</x:v>
      </x:c>
      <x:c r="F846" t="n">
        <x:f>'Protocol Register'!L9</x:f>
        <x:v>0</x:v>
      </x:c>
      <x:c r="G846" t="str">
        <x:v>'Protocol Register'!L9</x:v>
      </x:c>
      <x:c r="H846" t="str">
        <x:v>physical acceptance authority</x:v>
      </x:c>
      <x:c r="I846" t="str">
        <x:f>IF(F846=0,"OPEN",IF(E846=F846,"PASS","FAIL"))</x:f>
        <x:v>OPEN</x:v>
      </x:c>
    </x:row>
    <x:row r="847">
      <x:c r="B847" t="str">
        <x:v>PH-PRO-04</x:v>
      </x:c>
      <x:c r="C847" t="str">
        <x:v>physical</x:v>
      </x:c>
      <x:c r="D847" t="str">
        <x:v>accepted protocol disposition</x:v>
      </x:c>
      <x:c r="E847" t="n">
        <x:v>1</x:v>
      </x:c>
      <x:c r="F847" t="n">
        <x:f>'Protocol Register'!L10</x:f>
        <x:v>0</x:v>
      </x:c>
      <x:c r="G847" t="str">
        <x:v>'Protocol Register'!L10</x:v>
      </x:c>
      <x:c r="H847" t="str">
        <x:v>physical acceptance authority</x:v>
      </x:c>
      <x:c r="I847" t="str">
        <x:f>IF(F847=0,"OPEN",IF(E847=F847,"PASS","FAIL"))</x:f>
        <x:v>OPEN</x:v>
      </x:c>
    </x:row>
    <x:row r="848">
      <x:c r="B848" t="str">
        <x:v>PH-PRO-05</x:v>
      </x:c>
      <x:c r="C848" t="str">
        <x:v>physical</x:v>
      </x:c>
      <x:c r="D848" t="str">
        <x:v>accepted protocol disposition</x:v>
      </x:c>
      <x:c r="E848" t="n">
        <x:v>1</x:v>
      </x:c>
      <x:c r="F848" t="n">
        <x:f>'Protocol Register'!L11</x:f>
        <x:v>0</x:v>
      </x:c>
      <x:c r="G848" t="str">
        <x:v>'Protocol Register'!L11</x:v>
      </x:c>
      <x:c r="H848" t="str">
        <x:v>physical acceptance authority</x:v>
      </x:c>
      <x:c r="I848" t="str">
        <x:f>IF(F848=0,"OPEN",IF(E848=F848,"PASS","FAIL"))</x:f>
        <x:v>OPEN</x:v>
      </x:c>
    </x:row>
    <x:row r="849">
      <x:c r="B849" t="str">
        <x:v>PH-PRO-06</x:v>
      </x:c>
      <x:c r="C849" t="str">
        <x:v>physical</x:v>
      </x:c>
      <x:c r="D849" t="str">
        <x:v>accepted protocol disposition</x:v>
      </x:c>
      <x:c r="E849" t="n">
        <x:v>1</x:v>
      </x:c>
      <x:c r="F849" t="n">
        <x:f>'Protocol Register'!L12</x:f>
        <x:v>0</x:v>
      </x:c>
      <x:c r="G849" t="str">
        <x:v>'Protocol Register'!L12</x:v>
      </x:c>
      <x:c r="H849" t="str">
        <x:v>physical acceptance authority</x:v>
      </x:c>
      <x:c r="I849" t="str">
        <x:f>IF(F849=0,"OPEN",IF(E849=F849,"PASS","FAIL"))</x:f>
        <x:v>OPEN</x:v>
      </x:c>
    </x:row>
    <x:row r="850">
      <x:c r="B850" t="str">
        <x:v>PH-PRO-07</x:v>
      </x:c>
      <x:c r="C850" t="str">
        <x:v>physical</x:v>
      </x:c>
      <x:c r="D850" t="str">
        <x:v>accepted protocol disposition</x:v>
      </x:c>
      <x:c r="E850" t="n">
        <x:v>1</x:v>
      </x:c>
      <x:c r="F850" t="n">
        <x:f>'Protocol Register'!L13</x:f>
        <x:v>0</x:v>
      </x:c>
      <x:c r="G850" t="str">
        <x:v>'Protocol Register'!L13</x:v>
      </x:c>
      <x:c r="H850" t="str">
        <x:v>physical acceptance authority</x:v>
      </x:c>
      <x:c r="I850" t="str">
        <x:f>IF(F850=0,"OPEN",IF(E850=F850,"PASS","FAIL"))</x:f>
        <x:v>OPEN</x:v>
      </x:c>
    </x:row>
    <x:row r="851">
      <x:c r="B851" t="str">
        <x:v>PH-PRO-08</x:v>
      </x:c>
      <x:c r="C851" t="str">
        <x:v>physical</x:v>
      </x:c>
      <x:c r="D851" t="str">
        <x:v>accepted protocol disposition</x:v>
      </x:c>
      <x:c r="E851" t="n">
        <x:v>1</x:v>
      </x:c>
      <x:c r="F851" t="n">
        <x:f>'Protocol Register'!L14</x:f>
        <x:v>0</x:v>
      </x:c>
      <x:c r="G851" t="str">
        <x:v>'Protocol Register'!L14</x:v>
      </x:c>
      <x:c r="H851" t="str">
        <x:v>physical acceptance authority</x:v>
      </x:c>
      <x:c r="I851" t="str">
        <x:f>IF(F851=0,"OPEN",IF(E851=F851,"PASS","FAIL"))</x:f>
        <x:v>OPEN</x:v>
      </x:c>
    </x:row>
    <x:row r="852">
      <x:c r="B852" t="str">
        <x:v>PH-PRO-09</x:v>
      </x:c>
      <x:c r="C852" t="str">
        <x:v>physical</x:v>
      </x:c>
      <x:c r="D852" t="str">
        <x:v>accepted protocol disposition</x:v>
      </x:c>
      <x:c r="E852" t="n">
        <x:v>1</x:v>
      </x:c>
      <x:c r="F852" t="n">
        <x:f>'Protocol Register'!L15</x:f>
        <x:v>0</x:v>
      </x:c>
      <x:c r="G852" t="str">
        <x:v>'Protocol Register'!L15</x:v>
      </x:c>
      <x:c r="H852" t="str">
        <x:v>physical acceptance authority</x:v>
      </x:c>
      <x:c r="I852" t="str">
        <x:f>IF(F852=0,"OPEN",IF(E852=F852,"PASS","FAIL"))</x:f>
        <x:v>OPEN</x:v>
      </x:c>
    </x:row>
    <x:row r="853">
      <x:c r="B853" t="str">
        <x:v>PH-PRO-10</x:v>
      </x:c>
      <x:c r="C853" t="str">
        <x:v>physical</x:v>
      </x:c>
      <x:c r="D853" t="str">
        <x:v>accepted protocol disposition</x:v>
      </x:c>
      <x:c r="E853" t="n">
        <x:v>1</x:v>
      </x:c>
      <x:c r="F853" t="n">
        <x:f>'Protocol Register'!L16</x:f>
        <x:v>0</x:v>
      </x:c>
      <x:c r="G853" t="str">
        <x:v>'Protocol Register'!L16</x:v>
      </x:c>
      <x:c r="H853" t="str">
        <x:v>physical acceptance authority</x:v>
      </x:c>
      <x:c r="I853" t="str">
        <x:f>IF(F853=0,"OPEN",IF(E853=F853,"PASS","FAIL"))</x:f>
        <x:v>OPEN</x:v>
      </x:c>
    </x:row>
    <x:row r="854">
      <x:c r="B854" t="str">
        <x:v>PH-PRO-11</x:v>
      </x:c>
      <x:c r="C854" t="str">
        <x:v>physical</x:v>
      </x:c>
      <x:c r="D854" t="str">
        <x:v>accepted protocol disposition</x:v>
      </x:c>
      <x:c r="E854" t="n">
        <x:v>1</x:v>
      </x:c>
      <x:c r="F854" t="n">
        <x:f>'Protocol Register'!L17</x:f>
        <x:v>0</x:v>
      </x:c>
      <x:c r="G854" t="str">
        <x:v>'Protocol Register'!L17</x:v>
      </x:c>
      <x:c r="H854" t="str">
        <x:v>physical acceptance authority</x:v>
      </x:c>
      <x:c r="I854" t="str">
        <x:f>IF(F854=0,"OPEN",IF(E854=F854,"PASS","FAIL"))</x:f>
        <x:v>OPEN</x:v>
      </x:c>
    </x:row>
    <x:row r="855">
      <x:c r="B855" t="str">
        <x:v>PH-PRO-12</x:v>
      </x:c>
      <x:c r="C855" t="str">
        <x:v>physical</x:v>
      </x:c>
      <x:c r="D855" t="str">
        <x:v>accepted protocol disposition</x:v>
      </x:c>
      <x:c r="E855" t="n">
        <x:v>1</x:v>
      </x:c>
      <x:c r="F855" t="n">
        <x:f>'Protocol Register'!L18</x:f>
        <x:v>0</x:v>
      </x:c>
      <x:c r="G855" t="str">
        <x:v>'Protocol Register'!L18</x:v>
      </x:c>
      <x:c r="H855" t="str">
        <x:v>physical acceptance authority</x:v>
      </x:c>
      <x:c r="I855" t="str">
        <x:f>IF(F855=0,"OPEN",IF(E855=F855,"PASS","FAIL"))</x:f>
        <x:v>OPEN</x:v>
      </x:c>
    </x:row>
    <x:row r="856">
      <x:c r="B856" t="str">
        <x:v>PH-PRO-13</x:v>
      </x:c>
      <x:c r="C856" t="str">
        <x:v>physical</x:v>
      </x:c>
      <x:c r="D856" t="str">
        <x:v>accepted protocol disposition</x:v>
      </x:c>
      <x:c r="E856" t="n">
        <x:v>1</x:v>
      </x:c>
      <x:c r="F856" t="n">
        <x:f>'Protocol Register'!L19</x:f>
        <x:v>0</x:v>
      </x:c>
      <x:c r="G856" t="str">
        <x:v>'Protocol Register'!L19</x:v>
      </x:c>
      <x:c r="H856" t="str">
        <x:v>physical acceptance authority</x:v>
      </x:c>
      <x:c r="I856" t="str">
        <x:f>IF(F856=0,"OPEN",IF(E856=F856,"PASS","FAIL"))</x:f>
        <x:v>OPEN</x:v>
      </x:c>
    </x:row>
    <x:row r="857">
      <x:c r="B857" t="str">
        <x:v>PH-PRO-14</x:v>
      </x:c>
      <x:c r="C857" t="str">
        <x:v>physical</x:v>
      </x:c>
      <x:c r="D857" t="str">
        <x:v>accepted protocol disposition</x:v>
      </x:c>
      <x:c r="E857" t="n">
        <x:v>1</x:v>
      </x:c>
      <x:c r="F857" t="n">
        <x:f>'Protocol Register'!L20</x:f>
        <x:v>0</x:v>
      </x:c>
      <x:c r="G857" t="str">
        <x:v>'Protocol Register'!L20</x:v>
      </x:c>
      <x:c r="H857" t="str">
        <x:v>physical acceptance authority</x:v>
      </x:c>
      <x:c r="I857" t="str">
        <x:f>IF(F857=0,"OPEN",IF(E857=F857,"PASS","FAIL"))</x:f>
        <x:v>OPEN</x:v>
      </x:c>
    </x:row>
    <x:row r="858">
      <x:c r="B858" t="str">
        <x:v>PH-PRO-15</x:v>
      </x:c>
      <x:c r="C858" t="str">
        <x:v>physical</x:v>
      </x:c>
      <x:c r="D858" t="str">
        <x:v>accepted protocol disposition</x:v>
      </x:c>
      <x:c r="E858" t="n">
        <x:v>1</x:v>
      </x:c>
      <x:c r="F858" t="n">
        <x:f>'Protocol Register'!L21</x:f>
        <x:v>0</x:v>
      </x:c>
      <x:c r="G858" t="str">
        <x:v>'Protocol Register'!L21</x:v>
      </x:c>
      <x:c r="H858" t="str">
        <x:v>physical acceptance authority</x:v>
      </x:c>
      <x:c r="I858" t="str">
        <x:f>IF(F858=0,"OPEN",IF(E858=F858,"PASS","FAIL"))</x:f>
        <x:v>OPEN</x:v>
      </x:c>
    </x:row>
    <x:row r="859">
      <x:c r="B859" t="str">
        <x:v>PH-PRO-16</x:v>
      </x:c>
      <x:c r="C859" t="str">
        <x:v>physical</x:v>
      </x:c>
      <x:c r="D859" t="str">
        <x:v>accepted protocol disposition</x:v>
      </x:c>
      <x:c r="E859" t="n">
        <x:v>1</x:v>
      </x:c>
      <x:c r="F859" t="n">
        <x:f>'Protocol Register'!L22</x:f>
        <x:v>0</x:v>
      </x:c>
      <x:c r="G859" t="str">
        <x:v>'Protocol Register'!L22</x:v>
      </x:c>
      <x:c r="H859" t="str">
        <x:v>physical acceptance authority</x:v>
      </x:c>
      <x:c r="I859" t="str">
        <x:f>IF(F859=0,"OPEN",IF(E859=F859,"PASS","FAIL"))</x:f>
        <x:v>OPEN</x:v>
      </x:c>
    </x:row>
    <x:row r="860">
      <x:c r="B860" t="str">
        <x:v>PH-PRO-17</x:v>
      </x:c>
      <x:c r="C860" t="str">
        <x:v>physical</x:v>
      </x:c>
      <x:c r="D860" t="str">
        <x:v>accepted protocol disposition</x:v>
      </x:c>
      <x:c r="E860" t="n">
        <x:v>1</x:v>
      </x:c>
      <x:c r="F860" t="n">
        <x:f>'Protocol Register'!L23</x:f>
        <x:v>0</x:v>
      </x:c>
      <x:c r="G860" t="str">
        <x:v>'Protocol Register'!L23</x:v>
      </x:c>
      <x:c r="H860" t="str">
        <x:v>physical acceptance authority</x:v>
      </x:c>
      <x:c r="I860" t="str">
        <x:f>IF(F860=0,"OPEN",IF(E860=F860,"PASS","FAIL"))</x:f>
        <x:v>OPEN</x:v>
      </x:c>
    </x:row>
    <x:row r="861">
      <x:c r="B861" t="str">
        <x:v>PH-PRO-18</x:v>
      </x:c>
      <x:c r="C861" t="str">
        <x:v>physical</x:v>
      </x:c>
      <x:c r="D861" t="str">
        <x:v>accepted protocol disposition</x:v>
      </x:c>
      <x:c r="E861" t="n">
        <x:v>1</x:v>
      </x:c>
      <x:c r="F861" t="n">
        <x:f>'Protocol Register'!L24</x:f>
        <x:v>0</x:v>
      </x:c>
      <x:c r="G861" t="str">
        <x:v>'Protocol Register'!L24</x:v>
      </x:c>
      <x:c r="H861" t="str">
        <x:v>physical acceptance authority</x:v>
      </x:c>
      <x:c r="I861" t="str">
        <x:f>IF(F861=0,"OPEN",IF(E861=F861,"PASS","FAIL"))</x:f>
        <x:v>OPEN</x:v>
      </x:c>
    </x:row>
    <x:row r="862">
      <x:c r="B862" t="str">
        <x:v>PH-PRO-19</x:v>
      </x:c>
      <x:c r="C862" t="str">
        <x:v>physical</x:v>
      </x:c>
      <x:c r="D862" t="str">
        <x:v>accepted protocol disposition</x:v>
      </x:c>
      <x:c r="E862" t="n">
        <x:v>1</x:v>
      </x:c>
      <x:c r="F862" t="n">
        <x:f>'Protocol Register'!L25</x:f>
        <x:v>0</x:v>
      </x:c>
      <x:c r="G862" t="str">
        <x:v>'Protocol Register'!L25</x:v>
      </x:c>
      <x:c r="H862" t="str">
        <x:v>physical acceptance authority</x:v>
      </x:c>
      <x:c r="I862" t="str">
        <x:f>IF(F862=0,"OPEN",IF(E862=F862,"PASS","FAIL"))</x:f>
        <x:v>OPEN</x:v>
      </x:c>
    </x:row>
    <x:row r="863">
      <x:c r="B863" t="str">
        <x:v>PH-PRO-20</x:v>
      </x:c>
      <x:c r="C863" t="str">
        <x:v>physical</x:v>
      </x:c>
      <x:c r="D863" t="str">
        <x:v>accepted protocol disposition</x:v>
      </x:c>
      <x:c r="E863" t="n">
        <x:v>1</x:v>
      </x:c>
      <x:c r="F863" t="n">
        <x:f>'Protocol Register'!L26</x:f>
        <x:v>0</x:v>
      </x:c>
      <x:c r="G863" t="str">
        <x:v>'Protocol Register'!L26</x:v>
      </x:c>
      <x:c r="H863" t="str">
        <x:v>physical acceptance authority</x:v>
      </x:c>
      <x:c r="I863" t="str">
        <x:f>IF(F863=0,"OPEN",IF(E863=F863,"PASS","FAIL"))</x:f>
        <x:v>OPEN</x:v>
      </x:c>
    </x:row>
    <x:row r="864">
      <x:c r="B864" t="str">
        <x:v>PH-PRO-21</x:v>
      </x:c>
      <x:c r="C864" t="str">
        <x:v>physical</x:v>
      </x:c>
      <x:c r="D864" t="str">
        <x:v>accepted protocol disposition</x:v>
      </x:c>
      <x:c r="E864" t="n">
        <x:v>1</x:v>
      </x:c>
      <x:c r="F864" t="n">
        <x:f>'Protocol Register'!L27</x:f>
        <x:v>0</x:v>
      </x:c>
      <x:c r="G864" t="str">
        <x:v>'Protocol Register'!L27</x:v>
      </x:c>
      <x:c r="H864" t="str">
        <x:v>physical acceptance authority</x:v>
      </x:c>
      <x:c r="I864" t="str">
        <x:f>IF(F864=0,"OPEN",IF(E864=F864,"PASS","FAIL"))</x:f>
        <x:v>OPEN</x:v>
      </x:c>
    </x:row>
    <x:row r="865">
      <x:c r="B865" t="str">
        <x:v>PH-PRO-22</x:v>
      </x:c>
      <x:c r="C865" t="str">
        <x:v>physical</x:v>
      </x:c>
      <x:c r="D865" t="str">
        <x:v>accepted protocol disposition</x:v>
      </x:c>
      <x:c r="E865" t="n">
        <x:v>1</x:v>
      </x:c>
      <x:c r="F865" t="n">
        <x:f>'Protocol Register'!L28</x:f>
        <x:v>0</x:v>
      </x:c>
      <x:c r="G865" t="str">
        <x:v>'Protocol Register'!L28</x:v>
      </x:c>
      <x:c r="H865" t="str">
        <x:v>physical acceptance authority</x:v>
      </x:c>
      <x:c r="I865" t="str">
        <x:f>IF(F865=0,"OPEN",IF(E865=F865,"PASS","FAIL"))</x:f>
        <x:v>OPEN</x:v>
      </x:c>
    </x:row>
    <x:row r="866">
      <x:c r="B866" t="str">
        <x:v>PH-PRO-23</x:v>
      </x:c>
      <x:c r="C866" t="str">
        <x:v>physical</x:v>
      </x:c>
      <x:c r="D866" t="str">
        <x:v>accepted protocol disposition</x:v>
      </x:c>
      <x:c r="E866" t="n">
        <x:v>1</x:v>
      </x:c>
      <x:c r="F866" t="n">
        <x:f>'Protocol Register'!L29</x:f>
        <x:v>0</x:v>
      </x:c>
      <x:c r="G866" t="str">
        <x:v>'Protocol Register'!L29</x:v>
      </x:c>
      <x:c r="H866" t="str">
        <x:v>physical acceptance authority</x:v>
      </x:c>
      <x:c r="I866" t="str">
        <x:f>IF(F866=0,"OPEN",IF(E866=F866,"PASS","FAIL"))</x:f>
        <x:v>OPEN</x:v>
      </x:c>
    </x:row>
    <x:row r="867">
      <x:c r="B867" t="str">
        <x:v>PH-PRO-24</x:v>
      </x:c>
      <x:c r="C867" t="str">
        <x:v>physical</x:v>
      </x:c>
      <x:c r="D867" t="str">
        <x:v>accepted protocol disposition</x:v>
      </x:c>
      <x:c r="E867" t="n">
        <x:v>1</x:v>
      </x:c>
      <x:c r="F867" t="n">
        <x:f>'Protocol Register'!L30</x:f>
        <x:v>0</x:v>
      </x:c>
      <x:c r="G867" t="str">
        <x:v>'Protocol Register'!L30</x:v>
      </x:c>
      <x:c r="H867" t="str">
        <x:v>physical acceptance authority</x:v>
      </x:c>
      <x:c r="I867" t="str">
        <x:f>IF(F867=0,"OPEN",IF(E867=F867,"PASS","FAIL"))</x:f>
        <x:v>OPEN</x:v>
      </x:c>
    </x:row>
    <x:row r="868">
      <x:c r="B868" t="str">
        <x:v>PH-BLD-1</x:v>
      </x:c>
      <x:c r="C868" t="str">
        <x:v>physical</x:v>
      </x:c>
      <x:c r="D868" t="str">
        <x:v>accepted builder package</x:v>
      </x:c>
      <x:c r="E868" t="n">
        <x:v>1</x:v>
      </x:c>
      <x:c r="F868" t="n">
        <x:f>Authority!E18</x:f>
        <x:v>0</x:v>
      </x:c>
      <x:c r="G868" t="str">
        <x:v>Authority!E18</x:v>
      </x:c>
      <x:c r="H868" t="str">
        <x:v>physical acceptance authority</x:v>
      </x:c>
      <x:c r="I868" t="str">
        <x:f>IF(F868=0,"OPEN",IF(E868=F868,"PASS","FAIL"))</x:f>
        <x:v>OPEN</x:v>
      </x:c>
    </x:row>
    <x:row r="869">
      <x:c r="B869" t="str">
        <x:v>PH-BLD-2</x:v>
      </x:c>
      <x:c r="C869" t="str">
        <x:v>physical</x:v>
      </x:c>
      <x:c r="D869" t="str">
        <x:v>accepted builder package</x:v>
      </x:c>
      <x:c r="E869" t="n">
        <x:v>1</x:v>
      </x:c>
      <x:c r="F869" t="n">
        <x:f>Authority!E19</x:f>
        <x:v>0</x:v>
      </x:c>
      <x:c r="G869" t="str">
        <x:v>Authority!E19</x:v>
      </x:c>
      <x:c r="H869" t="str">
        <x:v>physical acceptance authority</x:v>
      </x:c>
      <x:c r="I869" t="str">
        <x:f>IF(F869=0,"OPEN",IF(E869=F869,"PASS","FAIL"))</x:f>
        <x:v>OPEN</x:v>
      </x:c>
    </x:row>
    <x:row r="870">
      <x:c r="B870" t="str">
        <x:v>PH-BLD-3</x:v>
      </x:c>
      <x:c r="C870" t="str">
        <x:v>physical</x:v>
      </x:c>
      <x:c r="D870" t="str">
        <x:v>accepted builder package</x:v>
      </x:c>
      <x:c r="E870" t="n">
        <x:v>1</x:v>
      </x:c>
      <x:c r="F870" t="n">
        <x:f>Authority!E20</x:f>
        <x:v>0</x:v>
      </x:c>
      <x:c r="G870" t="str">
        <x:v>Authority!E20</x:v>
      </x:c>
      <x:c r="H870" t="str">
        <x:v>physical acceptance authority</x:v>
      </x:c>
      <x:c r="I870" t="str">
        <x:f>IF(F870=0,"OPEN",IF(E870=F870,"PASS","FAIL"))</x:f>
        <x:v>OPEN</x:v>
      </x:c>
    </x:row>
    <x:row r="871">
      <x:c r="B871" t="str">
        <x:v>PH-BLD-4</x:v>
      </x:c>
      <x:c r="C871" t="str">
        <x:v>physical</x:v>
      </x:c>
      <x:c r="D871" t="str">
        <x:v>accepted builder package</x:v>
      </x:c>
      <x:c r="E871" t="n">
        <x:v>1</x:v>
      </x:c>
      <x:c r="F871" t="n">
        <x:f>Authority!E21</x:f>
        <x:v>0</x:v>
      </x:c>
      <x:c r="G871" t="str">
        <x:v>Authority!E21</x:v>
      </x:c>
      <x:c r="H871" t="str">
        <x:v>physical acceptance authority</x:v>
      </x:c>
      <x:c r="I871" t="str">
        <x:f>IF(F871=0,"OPEN",IF(E871=F871,"PASS","FAIL"))</x:f>
        <x:v>OPEN</x:v>
      </x:c>
    </x:row>
    <x:row r="872">
      <x:c r="B872" t="str">
        <x:v>PH-BLD-5</x:v>
      </x:c>
      <x:c r="C872" t="str">
        <x:v>physical</x:v>
      </x:c>
      <x:c r="D872" t="str">
        <x:v>accepted builder package</x:v>
      </x:c>
      <x:c r="E872" t="n">
        <x:v>1</x:v>
      </x:c>
      <x:c r="F872" t="n">
        <x:f>Authority!E22</x:f>
        <x:v>0</x:v>
      </x:c>
      <x:c r="G872" t="str">
        <x:v>Authority!E22</x:v>
      </x:c>
      <x:c r="H872" t="str">
        <x:v>physical acceptance authority</x:v>
      </x:c>
      <x:c r="I872" t="str">
        <x:f>IF(F872=0,"OPEN",IF(E872=F872,"PASS","FAIL"))</x:f>
        <x:v>OPEN</x:v>
      </x:c>
    </x:row>
    <x:row r="873">
      <x:c r="B873" t="str">
        <x:v>PH-BLD-6</x:v>
      </x:c>
      <x:c r="C873" t="str">
        <x:v>physical</x:v>
      </x:c>
      <x:c r="D873" t="str">
        <x:v>accepted builder package</x:v>
      </x:c>
      <x:c r="E873" t="n">
        <x:v>1</x:v>
      </x:c>
      <x:c r="F873" t="n">
        <x:f>Authority!E23</x:f>
        <x:v>0</x:v>
      </x:c>
      <x:c r="G873" t="str">
        <x:v>Authority!E23</x:v>
      </x:c>
      <x:c r="H873" t="str">
        <x:v>physical acceptance authority</x:v>
      </x:c>
      <x:c r="I873" t="str">
        <x:f>IF(F873=0,"OPEN",IF(E873=F873,"PASS","FAIL"))</x:f>
        <x:v>OPEN</x:v>
      </x:c>
    </x:row>
    <x:row r="874">
      <x:c r="B874" t="str">
        <x:v>PH-MEC-1</x:v>
      </x:c>
      <x:c r="C874" t="str">
        <x:v>physical</x:v>
      </x:c>
      <x:c r="D874" t="str">
        <x:v>accepted mass-energy closure</x:v>
      </x:c>
      <x:c r="E874" t="n">
        <x:v>1</x:v>
      </x:c>
      <x:c r="F874" t="n">
        <x:f>Authority!E24</x:f>
        <x:v>0</x:v>
      </x:c>
      <x:c r="G874" t="str">
        <x:v>Authority!E24</x:v>
      </x:c>
      <x:c r="H874" t="str">
        <x:v>physical acceptance authority</x:v>
      </x:c>
      <x:c r="I874" t="str">
        <x:f>IF(F874=0,"OPEN",IF(E874=F874,"PASS","FAIL"))</x:f>
        <x:v>OPEN</x:v>
      </x:c>
    </x:row>
    <x:row r="875">
      <x:c r="B875" t="str">
        <x:v>PH-MEC-2</x:v>
      </x:c>
      <x:c r="C875" t="str">
        <x:v>physical</x:v>
      </x:c>
      <x:c r="D875" t="str">
        <x:v>accepted mass-energy closure</x:v>
      </x:c>
      <x:c r="E875" t="n">
        <x:v>1</x:v>
      </x:c>
      <x:c r="F875" t="n">
        <x:f>Authority!E25</x:f>
        <x:v>0</x:v>
      </x:c>
      <x:c r="G875" t="str">
        <x:v>Authority!E25</x:v>
      </x:c>
      <x:c r="H875" t="str">
        <x:v>physical acceptance authority</x:v>
      </x:c>
      <x:c r="I875" t="str">
        <x:f>IF(F875=0,"OPEN",IF(E875=F875,"PASS","FAIL"))</x:f>
        <x:v>OPEN</x:v>
      </x:c>
    </x:row>
    <x:row r="876">
      <x:c r="B876" t="str">
        <x:v>PH-MEC-3</x:v>
      </x:c>
      <x:c r="C876" t="str">
        <x:v>physical</x:v>
      </x:c>
      <x:c r="D876" t="str">
        <x:v>accepted mass-energy closure</x:v>
      </x:c>
      <x:c r="E876" t="n">
        <x:v>1</x:v>
      </x:c>
      <x:c r="F876" t="n">
        <x:f>Authority!E26</x:f>
        <x:v>0</x:v>
      </x:c>
      <x:c r="G876" t="str">
        <x:v>Authority!E26</x:v>
      </x:c>
      <x:c r="H876" t="str">
        <x:v>physical acceptance authority</x:v>
      </x:c>
      <x:c r="I876" t="str">
        <x:f>IF(F876=0,"OPEN",IF(E876=F876,"PASS","FAIL"))</x:f>
        <x:v>OPEN</x:v>
      </x:c>
    </x:row>
    <x:row r="877">
      <x:c r="B877" t="str">
        <x:v>PH-MEC-4</x:v>
      </x:c>
      <x:c r="C877" t="str">
        <x:v>physical</x:v>
      </x:c>
      <x:c r="D877" t="str">
        <x:v>accepted mass-energy closure</x:v>
      </x:c>
      <x:c r="E877" t="n">
        <x:v>1</x:v>
      </x:c>
      <x:c r="F877" t="n">
        <x:f>Authority!E27</x:f>
        <x:v>0</x:v>
      </x:c>
      <x:c r="G877" t="str">
        <x:v>Authority!E27</x:v>
      </x:c>
      <x:c r="H877" t="str">
        <x:v>physical acceptance authority</x:v>
      </x:c>
      <x:c r="I877" t="str">
        <x:f>IF(F877=0,"OPEN",IF(E877=F877,"PASS","FAIL"))</x:f>
        <x:v>OPEN</x:v>
      </x:c>
    </x:row>
    <x:row r="878">
      <x:c r="B878" t="str">
        <x:v>PH-MEC-5</x:v>
      </x:c>
      <x:c r="C878" t="str">
        <x:v>physical</x:v>
      </x:c>
      <x:c r="D878" t="str">
        <x:v>accepted mass-energy closure</x:v>
      </x:c>
      <x:c r="E878" t="n">
        <x:v>1</x:v>
      </x:c>
      <x:c r="F878" t="n">
        <x:f>Authority!E28</x:f>
        <x:v>0</x:v>
      </x:c>
      <x:c r="G878" t="str">
        <x:v>Authority!E28</x:v>
      </x:c>
      <x:c r="H878" t="str">
        <x:v>physical acceptance authority</x:v>
      </x:c>
      <x:c r="I878" t="str">
        <x:f>IF(F878=0,"OPEN",IF(E878=F878,"PASS","FAIL"))</x:f>
        <x:v>OPEN</x:v>
      </x:c>
    </x:row>
    <x:row r="879">
      <x:c r="B879" t="str">
        <x:v>PH-MEC-6</x:v>
      </x:c>
      <x:c r="C879" t="str">
        <x:v>physical</x:v>
      </x:c>
      <x:c r="D879" t="str">
        <x:v>accepted mass-energy closure</x:v>
      </x:c>
      <x:c r="E879" t="n">
        <x:v>1</x:v>
      </x:c>
      <x:c r="F879" t="n">
        <x:f>Authority!E29</x:f>
        <x:v>0</x:v>
      </x:c>
      <x:c r="G879" t="str">
        <x:v>Authority!E29</x:v>
      </x:c>
      <x:c r="H879" t="str">
        <x:v>physical acceptance authority</x:v>
      </x:c>
      <x:c r="I879" t="str">
        <x:f>IF(F879=0,"OPEN",IF(E879=F879,"PASS","FAIL"))</x:f>
        <x:v>OPEN</x:v>
      </x:c>
    </x:row>
    <x:row r="880">
      <x:c r="B880" t="str">
        <x:v>PH-BOARD-1</x:v>
      </x:c>
      <x:c r="C880" t="str">
        <x:v>physical</x:v>
      </x:c>
      <x:c r="D880" t="str">
        <x:v>architecture-board disposition</x:v>
      </x:c>
      <x:c r="E880" t="n">
        <x:v>1</x:v>
      </x:c>
      <x:c r="F880" t="n">
        <x:f>Authority!E30</x:f>
        <x:v>0</x:v>
      </x:c>
      <x:c r="G880" t="str">
        <x:v>Authority!E30</x:v>
      </x:c>
      <x:c r="H880" t="str">
        <x:v>physical acceptance authority</x:v>
      </x:c>
      <x:c r="I880" t="str">
        <x:f>IF(F880=0,"OPEN",IF(E880=F880,"PASS","FAIL"))</x:f>
        <x:v>OPEN</x:v>
      </x:c>
    </x:row>
    <x:row r="881">
      <x:c r="B881" t="str">
        <x:v>PH-BOARD-2</x:v>
      </x:c>
      <x:c r="C881" t="str">
        <x:v>physical</x:v>
      </x:c>
      <x:c r="D881" t="str">
        <x:v>architecture-board disposition</x:v>
      </x:c>
      <x:c r="E881" t="n">
        <x:v>1</x:v>
      </x:c>
      <x:c r="F881" t="n">
        <x:f>Authority!E31</x:f>
        <x:v>0</x:v>
      </x:c>
      <x:c r="G881" t="str">
        <x:v>Authority!E31</x:v>
      </x:c>
      <x:c r="H881" t="str">
        <x:v>physical acceptance authority</x:v>
      </x:c>
      <x:c r="I881" t="str">
        <x:f>IF(F881=0,"OPEN",IF(E881=F881,"PASS","FAIL"))</x:f>
        <x:v>OPEN</x:v>
      </x:c>
    </x:row>
    <x:row r="882">
      <x:c r="B882" t="str">
        <x:v>PH-BOARD-3</x:v>
      </x:c>
      <x:c r="C882" t="str">
        <x:v>physical</x:v>
      </x:c>
      <x:c r="D882" t="str">
        <x:v>architecture-board disposition</x:v>
      </x:c>
      <x:c r="E882" t="n">
        <x:v>1</x:v>
      </x:c>
      <x:c r="F882" t="n">
        <x:f>Authority!E32</x:f>
        <x:v>0</x:v>
      </x:c>
      <x:c r="G882" t="str">
        <x:v>Authority!E32</x:v>
      </x:c>
      <x:c r="H882" t="str">
        <x:v>physical acceptance authority</x:v>
      </x:c>
      <x:c r="I882" t="str">
        <x:f>IF(F882=0,"OPEN",IF(E882=F882,"PASS","FAIL"))</x:f>
        <x:v>OPEN</x:v>
      </x:c>
    </x:row>
    <x:row r="883">
      <x:c r="B883" t="str">
        <x:v>PH-RESCUE-1</x:v>
      </x:c>
      <x:c r="C883" t="str">
        <x:v>physical</x:v>
      </x:c>
      <x:c r="D883" t="str">
        <x:v>accepted rescue package</x:v>
      </x:c>
      <x:c r="E883" t="n">
        <x:v>1</x:v>
      </x:c>
      <x:c r="F883" t="n">
        <x:f>Authority!E33</x:f>
        <x:v>0</x:v>
      </x:c>
      <x:c r="G883" t="str">
        <x:v>Authority!E33</x:v>
      </x:c>
      <x:c r="H883" t="str">
        <x:v>physical acceptance authority</x:v>
      </x:c>
      <x:c r="I883" t="str">
        <x:f>IF(F883=0,"OPEN",IF(E883=F883,"PASS","FAIL"))</x:f>
        <x:v>OPEN</x:v>
      </x:c>
    </x:row>
    <x:row r="884">
      <x:c r="B884" t="str">
        <x:v>PH-RESCUE-2</x:v>
      </x:c>
      <x:c r="C884" t="str">
        <x:v>physical</x:v>
      </x:c>
      <x:c r="D884" t="str">
        <x:v>accepted rescue package</x:v>
      </x:c>
      <x:c r="E884" t="n">
        <x:v>1</x:v>
      </x:c>
      <x:c r="F884" t="n">
        <x:f>Authority!E34</x:f>
        <x:v>0</x:v>
      </x:c>
      <x:c r="G884" t="str">
        <x:v>Authority!E34</x:v>
      </x:c>
      <x:c r="H884" t="str">
        <x:v>physical acceptance authority</x:v>
      </x:c>
      <x:c r="I884" t="str">
        <x:f>IF(F884=0,"OPEN",IF(E884=F884,"PASS","FAIL"))</x:f>
        <x:v>OPEN</x:v>
      </x:c>
    </x:row>
    <x:row r="885">
      <x:c r="B885" t="str">
        <x:v>PH-RESCUE-3</x:v>
      </x:c>
      <x:c r="C885" t="str">
        <x:v>physical</x:v>
      </x:c>
      <x:c r="D885" t="str">
        <x:v>accepted rescue package</x:v>
      </x:c>
      <x:c r="E885" t="n">
        <x:v>1</x:v>
      </x:c>
      <x:c r="F885" t="n">
        <x:f>Authority!E35</x:f>
        <x:v>0</x:v>
      </x:c>
      <x:c r="G885" t="str">
        <x:v>Authority!E35</x:v>
      </x:c>
      <x:c r="H885" t="str">
        <x:v>physical acceptance authority</x:v>
      </x:c>
      <x:c r="I885" t="str">
        <x:f>IF(F885=0,"OPEN",IF(E885=F885,"PASS","FAIL"))</x:f>
        <x:v>OPEN</x:v>
      </x:c>
    </x:row>
    <x:row r="886">
      <x:c r="B886" t="str">
        <x:v>PH-EVID-1</x:v>
      </x:c>
      <x:c r="C886" t="str">
        <x:v>physical</x:v>
      </x:c>
      <x:c r="D886" t="str">
        <x:v>accepted evidence-original survival</x:v>
      </x:c>
      <x:c r="E886" t="n">
        <x:v>1</x:v>
      </x:c>
      <x:c r="F886" t="n">
        <x:f>Authority!E36</x:f>
        <x:v>0</x:v>
      </x:c>
      <x:c r="G886" t="str">
        <x:v>Authority!E36</x:v>
      </x:c>
      <x:c r="H886" t="str">
        <x:v>physical acceptance authority</x:v>
      </x:c>
      <x:c r="I886" t="str">
        <x:f>IF(F886=0,"OPEN",IF(E886=F886,"PASS","FAIL"))</x:f>
        <x:v>OPEN</x:v>
      </x:c>
    </x:row>
    <x:row r="887">
      <x:c r="B887" t="str">
        <x:v>PH-EVID-2</x:v>
      </x:c>
      <x:c r="C887" t="str">
        <x:v>physical</x:v>
      </x:c>
      <x:c r="D887" t="str">
        <x:v>accepted evidence-original survival</x:v>
      </x:c>
      <x:c r="E887" t="n">
        <x:v>1</x:v>
      </x:c>
      <x:c r="F887" t="n">
        <x:f>Authority!E37</x:f>
        <x:v>0</x:v>
      </x:c>
      <x:c r="G887" t="str">
        <x:v>Authority!E37</x:v>
      </x:c>
      <x:c r="H887" t="str">
        <x:v>physical acceptance authority</x:v>
      </x:c>
      <x:c r="I887" t="str">
        <x:f>IF(F887=0,"OPEN",IF(E887=F887,"PASS","FAIL"))</x:f>
        <x:v>OPEN</x:v>
      </x:c>
    </x:row>
    <x:row r="888">
      <x:c r="B888" t="str">
        <x:v>DS-1</x:v>
      </x:c>
      <x:c r="C888" t="str">
        <x:v>downstream</x:v>
      </x:c>
      <x:c r="D888" t="str">
        <x:v>architecture selection</x:v>
      </x:c>
      <x:c r="E888" t="n">
        <x:v>1</x:v>
      </x:c>
      <x:c r="F888" t="n">
        <x:f>Controls!$D$41</x:f>
        <x:v>0</x:v>
      </x:c>
      <x:c r="G888" t="str">
        <x:v>Controls!$D$41</x:v>
      </x:c>
      <x:c r="H888" t="str">
        <x:v>separate downstream authority</x:v>
      </x:c>
      <x:c r="I888" t="str">
        <x:f>IF(F888=1,"PASS","BLOCKED")</x:f>
        <x:v>BLOCKED</x:v>
      </x:c>
    </x:row>
    <x:row r="889">
      <x:c r="B889" t="str">
        <x:v>DS-2</x:v>
      </x:c>
      <x:c r="C889" t="str">
        <x:v>downstream</x:v>
      </x:c>
      <x:c r="D889" t="str">
        <x:v>SBD-1 Root B freeze</x:v>
      </x:c>
      <x:c r="E889" t="n">
        <x:v>1</x:v>
      </x:c>
      <x:c r="F889" t="n">
        <x:f>Controls!$D$28</x:f>
        <x:v>0</x:v>
      </x:c>
      <x:c r="G889" t="str">
        <x:v>Controls!$D$28</x:v>
      </x:c>
      <x:c r="H889" t="str">
        <x:v>separate downstream authority</x:v>
      </x:c>
      <x:c r="I889" t="str">
        <x:f>IF(F889=1,"PASS","BLOCKED")</x:f>
        <x:v>BLOCKED</x:v>
      </x:c>
    </x:row>
    <x:row r="890">
      <x:c r="B890" t="str">
        <x:v>DS-3</x:v>
      </x:c>
      <x:c r="C890" t="str">
        <x:v>downstream</x:v>
      </x:c>
      <x:c r="D890" t="str">
        <x:v>C2 source admission</x:v>
      </x:c>
      <x:c r="E890" t="n">
        <x:v>1</x:v>
      </x:c>
      <x:c r="F890" t="n">
        <x:f>Controls!$D$65</x:f>
        <x:v>0</x:v>
      </x:c>
      <x:c r="G890" t="str">
        <x:v>Controls!$D$65</x:v>
      </x:c>
      <x:c r="H890" t="str">
        <x:v>separate downstream authority</x:v>
      </x:c>
      <x:c r="I890" t="str">
        <x:f>IF(F890=1,"PASS","BLOCKED")</x:f>
        <x:v>BLOCKED</x:v>
      </x:c>
    </x:row>
    <x:row r="891">
      <x:c r="B891" t="str">
        <x:v>DS-4</x:v>
      </x:c>
      <x:c r="C891" t="str">
        <x:v>downstream</x:v>
      </x:c>
      <x:c r="D891" t="str">
        <x:v>SDEC-1 execution</x:v>
      </x:c>
      <x:c r="E891" t="n">
        <x:v>1</x:v>
      </x:c>
      <x:c r="F891" t="n">
        <x:f>Controls!$D$28</x:f>
        <x:v>0</x:v>
      </x:c>
      <x:c r="G891" t="str">
        <x:v>Controls!$D$28</x:v>
      </x:c>
      <x:c r="H891" t="str">
        <x:v>separate downstream authority</x:v>
      </x:c>
      <x:c r="I891" t="str">
        <x:f>IF(F891=1,"PASS","BLOCKED")</x:f>
        <x:v>BLOCKED</x:v>
      </x:c>
    </x:row>
    <x:row r="892">
      <x:c r="B892" t="str">
        <x:v>DS-5</x:v>
      </x:c>
      <x:c r="C892" t="str">
        <x:v>downstream</x:v>
      </x:c>
      <x:c r="D892" t="str">
        <x:v>complete-article admission</x:v>
      </x:c>
      <x:c r="E892" t="n">
        <x:v>1</x:v>
      </x:c>
      <x:c r="F892" t="n">
        <x:f>Controls!$D$60</x:f>
        <x:v>0</x:v>
      </x:c>
      <x:c r="G892" t="str">
        <x:v>Controls!$D$60</x:v>
      </x:c>
      <x:c r="H892" t="str">
        <x:v>separate downstream authority</x:v>
      </x:c>
      <x:c r="I892" t="str">
        <x:f>IF(F892=1,"PASS","BLOCKED")</x:f>
        <x:v>BLOCKED</x:v>
      </x:c>
    </x:row>
    <x:row r="893">
      <x:c r="B893" t="str">
        <x:v>DS-6</x:v>
      </x:c>
      <x:c r="C893" t="str">
        <x:v>downstream</x:v>
      </x:c>
      <x:c r="D893" t="str">
        <x:v>CISA-RB1 disposition</x:v>
      </x:c>
      <x:c r="E893" t="n">
        <x:v>1</x:v>
      </x:c>
      <x:c r="F893" t="n">
        <x:f>Controls!$D$28</x:f>
        <x:v>0</x:v>
      </x:c>
      <x:c r="G893" t="str">
        <x:v>Controls!$D$28</x:v>
      </x:c>
      <x:c r="H893" t="str">
        <x:v>separate downstream authority</x:v>
      </x:c>
      <x:c r="I893" t="str">
        <x:f>IF(F893=1,"PASS","BLOCKED")</x:f>
        <x:v>BLOCKED</x:v>
      </x:c>
    </x:row>
    <x:row r="894">
      <x:c r="B894" t="str">
        <x:v>DS-7</x:v>
      </x:c>
      <x:c r="C894" t="str">
        <x:v>downstream</x:v>
      </x:c>
      <x:c r="D894" t="str">
        <x:v>CRC-E01 admission</x:v>
      </x:c>
      <x:c r="E894" t="n">
        <x:v>1</x:v>
      </x:c>
      <x:c r="F894" t="n">
        <x:f>Controls!$D$28</x:f>
        <x:v>0</x:v>
      </x:c>
      <x:c r="G894" t="str">
        <x:v>Controls!$D$28</x:v>
      </x:c>
      <x:c r="H894" t="str">
        <x:v>separate downstream authority</x:v>
      </x:c>
      <x:c r="I894" t="str">
        <x:f>IF(F894=1,"PASS","BLOCKED")</x:f>
        <x:v>BLOCKED</x:v>
      </x:c>
    </x:row>
    <x:row r="895">
      <x:c r="B895" t="str">
        <x:v>DS-8</x:v>
      </x:c>
      <x:c r="C895" t="str">
        <x:v>downstream</x:v>
      </x:c>
      <x:c r="D895" t="str">
        <x:v>production</x:v>
      </x:c>
      <x:c r="E895" t="n">
        <x:v>1</x:v>
      </x:c>
      <x:c r="F895" t="n">
        <x:f>Controls!$D$63</x:f>
        <x:v>0</x:v>
      </x:c>
      <x:c r="G895" t="str">
        <x:v>Controls!$D$63</x:v>
      </x:c>
      <x:c r="H895" t="str">
        <x:v>separate downstream authority</x:v>
      </x:c>
      <x:c r="I895" t="str">
        <x:f>IF(F895=1,"PASS","BLOCKED")</x:f>
        <x:v>BLOCKED</x:v>
      </x:c>
    </x:row>
    <x:row r="896">
      <x:c r="B896" t="str">
        <x:v>DS-9</x:v>
      </x:c>
      <x:c r="C896" t="str">
        <x:v>downstream</x:v>
      </x:c>
      <x:c r="D896" t="str">
        <x:v>exterior rendering</x:v>
      </x:c>
      <x:c r="E896" t="n">
        <x:v>1</x:v>
      </x:c>
      <x:c r="F896" t="n">
        <x:f>Controls!$D$64</x:f>
        <x:v>0</x:v>
      </x:c>
      <x:c r="G896" t="str">
        <x:v>Controls!$D$64</x:v>
      </x:c>
      <x:c r="H896" t="str">
        <x:v>separate downstream authority</x:v>
      </x:c>
      <x:c r="I896" t="str">
        <x:f>IF(F896=1,"PASS","BLOCKED")</x:f>
        <x:v>BLOCKED</x:v>
      </x:c>
    </x:row>
  </x:sheetData>
  <x:conditionalFormatting sqref="I7:I896">
    <x:cfRule type="containsText" dxfId="60" priority="1" operator="containsText" text="FAIL"/>
    <x:cfRule type="containsText" dxfId="61" priority="2" operator="containsText" text="BLOCKED"/>
    <x:cfRule type="containsText" dxfId="62" priority="3" operator="containsText" text="OPEN"/>
    <x:cfRule type="containsText" dxfId="63" priority="4" operator="containsText" text="GAP"/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7F8C8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8" hidden="0" customWidth="1"/>
    <x:col min="3" max="3" width="16" hidden="0" customWidth="1"/>
    <x:col min="4" max="4" width="37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</x:cols>
  <x:sheetData>
    <x:row r="2">
      <x:c r="B2" s="1" t="str">
        <x:v>RHT-1 terminal audit</x:v>
      </x:c>
    </x:row>
    <x:row r="3">
      <x:c r="B3" s="2" t="str">
        <x:v>Audit equations verify the saved planning model and never feed release or acceptance.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 ht="24" customHeight="1">
      <x:c r="B6" s="8" t="str">
        <x:v>Audit</x:v>
      </x:c>
      <x:c r="C6" s="9" t="str">
        <x:v>Class</x:v>
      </x:c>
      <x:c r="D6" s="9" t="str">
        <x:v>Object</x:v>
      </x:c>
      <x:c r="E6" s="9" t="str">
        <x:v>Expected</x:v>
      </x:c>
      <x:c r="F6" s="9" t="str">
        <x:v>Observed</x:v>
      </x:c>
      <x:c r="G6" s="9" t="str">
        <x:v>Match</x:v>
      </x:c>
      <x:c r="H6" s="10" t="str">
        <x:v>State</x:v>
      </x:c>
    </x:row>
    <x:row r="7">
      <x:c r="B7" t="str">
        <x:v>A-PL-001</x:v>
      </x:c>
      <x:c r="C7" t="str">
        <x:v>gate</x:v>
      </x:c>
      <x:c r="D7" t="str">
        <x:v>PL-SRC-01</x:v>
      </x:c>
      <x:c r="E7" s="23" t="str">
        <x:v>PASS</x:v>
      </x:c>
      <x:c r="F7" s="23" t="str">
        <x:f>'Release Gates'!I7</x:f>
        <x:v>PASS</x:v>
      </x:c>
      <x:c r="G7" t="str">
        <x:f>IF(ABS(IFERROR(E7-F7,0))&lt;0.0001,IF(OR(ISTEXT(E7),ISTEXT(F7)),IF(E7=F7,"PASS","FAIL"),"PASS"),"FAIL")</x:f>
        <x:v>PASS</x:v>
      </x:c>
      <x:c r="H7" t="str">
        <x:f>G7</x:f>
        <x:v>PASS</x:v>
      </x:c>
    </x:row>
    <x:row r="8">
      <x:c r="B8" t="str">
        <x:v>A-PL-002</x:v>
      </x:c>
      <x:c r="C8" t="str">
        <x:v>gate</x:v>
      </x:c>
      <x:c r="D8" t="str">
        <x:v>PL-SRC-02</x:v>
      </x:c>
      <x:c r="E8" s="23" t="str">
        <x:v>PASS</x:v>
      </x:c>
      <x:c r="F8" s="23" t="str">
        <x:f>'Release Gates'!I8</x:f>
        <x:v>PASS</x:v>
      </x:c>
      <x:c r="G8" t="str">
        <x:f>IF(ABS(IFERROR(E8-F8,0))&lt;0.0001,IF(OR(ISTEXT(E8),ISTEXT(F8)),IF(E8=F8,"PASS","FAIL"),"PASS"),"FAIL")</x:f>
        <x:v>PASS</x:v>
      </x:c>
      <x:c r="H8" t="str">
        <x:f>G8</x:f>
        <x:v>PASS</x:v>
      </x:c>
    </x:row>
    <x:row r="9">
      <x:c r="B9" t="str">
        <x:v>A-PL-003</x:v>
      </x:c>
      <x:c r="C9" t="str">
        <x:v>gate</x:v>
      </x:c>
      <x:c r="D9" t="str">
        <x:v>PL-SRC-03</x:v>
      </x:c>
      <x:c r="E9" s="23" t="str">
        <x:v>PASS</x:v>
      </x:c>
      <x:c r="F9" s="23" t="str">
        <x:f>'Release Gates'!I9</x:f>
        <x:v>PASS</x:v>
      </x:c>
      <x:c r="G9" t="str">
        <x:f>IF(ABS(IFERROR(E9-F9,0))&lt;0.0001,IF(OR(ISTEXT(E9),ISTEXT(F9)),IF(E9=F9,"PASS","FAIL"),"PASS"),"FAIL")</x:f>
        <x:v>PASS</x:v>
      </x:c>
      <x:c r="H9" t="str">
        <x:f>G9</x:f>
        <x:v>PASS</x:v>
      </x:c>
    </x:row>
    <x:row r="10">
      <x:c r="B10" t="str">
        <x:v>A-PL-004</x:v>
      </x:c>
      <x:c r="C10" t="str">
        <x:v>gate</x:v>
      </x:c>
      <x:c r="D10" t="str">
        <x:v>PL-SRC-04</x:v>
      </x:c>
      <x:c r="E10" s="23" t="str">
        <x:v>PASS</x:v>
      </x:c>
      <x:c r="F10" s="23" t="str">
        <x:f>'Release Gates'!I10</x:f>
        <x:v>PASS</x:v>
      </x:c>
      <x:c r="G10" t="str">
        <x:f>IF(ABS(IFERROR(E10-F10,0))&lt;0.0001,IF(OR(ISTEXT(E10),ISTEXT(F10)),IF(E10=F10,"PASS","FAIL"),"PASS"),"FAIL")</x:f>
        <x:v>PASS</x:v>
      </x:c>
      <x:c r="H10" t="str">
        <x:f>G10</x:f>
        <x:v>PASS</x:v>
      </x:c>
    </x:row>
    <x:row r="11">
      <x:c r="B11" t="str">
        <x:v>A-PL-005</x:v>
      </x:c>
      <x:c r="C11" t="str">
        <x:v>gate</x:v>
      </x:c>
      <x:c r="D11" t="str">
        <x:v>PL-ARC-01</x:v>
      </x:c>
      <x:c r="E11" s="23" t="str">
        <x:v>PASS</x:v>
      </x:c>
      <x:c r="F11" s="23" t="str">
        <x:f>'Release Gates'!I11</x:f>
        <x:v>PASS</x:v>
      </x:c>
      <x:c r="G11" t="str">
        <x:f>IF(ABS(IFERROR(E11-F11,0))&lt;0.0001,IF(OR(ISTEXT(E11),ISTEXT(F11)),IF(E11=F11,"PASS","FAIL"),"PASS"),"FAIL")</x:f>
        <x:v>PASS</x:v>
      </x:c>
      <x:c r="H11" t="str">
        <x:f>G11</x:f>
        <x:v>PASS</x:v>
      </x:c>
    </x:row>
    <x:row r="12">
      <x:c r="B12" t="str">
        <x:v>A-PL-006</x:v>
      </x:c>
      <x:c r="C12" t="str">
        <x:v>gate</x:v>
      </x:c>
      <x:c r="D12" t="str">
        <x:v>PL-ARC-02</x:v>
      </x:c>
      <x:c r="E12" s="23" t="str">
        <x:v>PASS</x:v>
      </x:c>
      <x:c r="F12" s="23" t="str">
        <x:f>'Release Gates'!I12</x:f>
        <x:v>PASS</x:v>
      </x:c>
      <x:c r="G12" t="str">
        <x:f>IF(ABS(IFERROR(E12-F12,0))&lt;0.0001,IF(OR(ISTEXT(E12),ISTEXT(F12)),IF(E12=F12,"PASS","FAIL"),"PASS"),"FAIL")</x:f>
        <x:v>PASS</x:v>
      </x:c>
      <x:c r="H12" t="str">
        <x:f>G12</x:f>
        <x:v>PASS</x:v>
      </x:c>
    </x:row>
    <x:row r="13">
      <x:c r="B13" t="str">
        <x:v>A-PL-007</x:v>
      </x:c>
      <x:c r="C13" t="str">
        <x:v>gate</x:v>
      </x:c>
      <x:c r="D13" t="str">
        <x:v>PL-ARC-03</x:v>
      </x:c>
      <x:c r="E13" s="23" t="str">
        <x:v>PASS</x:v>
      </x:c>
      <x:c r="F13" s="23" t="str">
        <x:f>'Release Gates'!I13</x:f>
        <x:v>PASS</x:v>
      </x:c>
      <x:c r="G13" t="str">
        <x:f>IF(ABS(IFERROR(E13-F13,0))&lt;0.0001,IF(OR(ISTEXT(E13),ISTEXT(F13)),IF(E13=F13,"PASS","FAIL"),"PASS"),"FAIL")</x:f>
        <x:v>PASS</x:v>
      </x:c>
      <x:c r="H13" t="str">
        <x:f>G13</x:f>
        <x:v>PASS</x:v>
      </x:c>
    </x:row>
    <x:row r="14">
      <x:c r="B14" t="str">
        <x:v>A-PL-008</x:v>
      </x:c>
      <x:c r="C14" t="str">
        <x:v>gate</x:v>
      </x:c>
      <x:c r="D14" t="str">
        <x:v>PL-ART-01</x:v>
      </x:c>
      <x:c r="E14" s="23" t="str">
        <x:v>PASS</x:v>
      </x:c>
      <x:c r="F14" s="23" t="str">
        <x:f>'Release Gates'!I14</x:f>
        <x:v>PASS</x:v>
      </x:c>
      <x:c r="G14" t="str">
        <x:f>IF(ABS(IFERROR(E14-F14,0))&lt;0.0001,IF(OR(ISTEXT(E14),ISTEXT(F14)),IF(E14=F14,"PASS","FAIL"),"PASS"),"FAIL")</x:f>
        <x:v>PASS</x:v>
      </x:c>
      <x:c r="H14" t="str">
        <x:f>G14</x:f>
        <x:v>PASS</x:v>
      </x:c>
    </x:row>
    <x:row r="15">
      <x:c r="B15" t="str">
        <x:v>A-PL-009</x:v>
      </x:c>
      <x:c r="C15" t="str">
        <x:v>gate</x:v>
      </x:c>
      <x:c r="D15" t="str">
        <x:v>PL-ART-02</x:v>
      </x:c>
      <x:c r="E15" s="23" t="str">
        <x:v>PASS</x:v>
      </x:c>
      <x:c r="F15" s="23" t="str">
        <x:f>'Release Gates'!I15</x:f>
        <x:v>PASS</x:v>
      </x:c>
      <x:c r="G15" t="str">
        <x:f>IF(ABS(IFERROR(E15-F15,0))&lt;0.0001,IF(OR(ISTEXT(E15),ISTEXT(F15)),IF(E15=F15,"PASS","FAIL"),"PASS"),"FAIL")</x:f>
        <x:v>PASS</x:v>
      </x:c>
      <x:c r="H15" t="str">
        <x:f>G15</x:f>
        <x:v>PASS</x:v>
      </x:c>
    </x:row>
    <x:row r="16">
      <x:c r="B16" t="str">
        <x:v>A-PL-010</x:v>
      </x:c>
      <x:c r="C16" t="str">
        <x:v>gate</x:v>
      </x:c>
      <x:c r="D16" t="str">
        <x:v>PL-ART-03</x:v>
      </x:c>
      <x:c r="E16" s="23" t="str">
        <x:v>PASS</x:v>
      </x:c>
      <x:c r="F16" s="23" t="str">
        <x:f>'Release Gates'!I16</x:f>
        <x:v>PASS</x:v>
      </x:c>
      <x:c r="G16" t="str">
        <x:f>IF(ABS(IFERROR(E16-F16,0))&lt;0.0001,IF(OR(ISTEXT(E16),ISTEXT(F16)),IF(E16=F16,"PASS","FAIL"),"PASS"),"FAIL")</x:f>
        <x:v>PASS</x:v>
      </x:c>
      <x:c r="H16" t="str">
        <x:f>G16</x:f>
        <x:v>PASS</x:v>
      </x:c>
    </x:row>
    <x:row r="17">
      <x:c r="B17" t="str">
        <x:v>A-PL-011</x:v>
      </x:c>
      <x:c r="C17" t="str">
        <x:v>gate</x:v>
      </x:c>
      <x:c r="D17" t="str">
        <x:v>PL-ART-04</x:v>
      </x:c>
      <x:c r="E17" s="23" t="str">
        <x:v>PASS</x:v>
      </x:c>
      <x:c r="F17" s="23" t="str">
        <x:f>'Release Gates'!I17</x:f>
        <x:v>PASS</x:v>
      </x:c>
      <x:c r="G17" t="str">
        <x:f>IF(ABS(IFERROR(E17-F17,0))&lt;0.0001,IF(OR(ISTEXT(E17),ISTEXT(F17)),IF(E17=F17,"PASS","FAIL"),"PASS"),"FAIL")</x:f>
        <x:v>PASS</x:v>
      </x:c>
      <x:c r="H17" t="str">
        <x:f>G17</x:f>
        <x:v>PASS</x:v>
      </x:c>
    </x:row>
    <x:row r="18">
      <x:c r="B18" t="str">
        <x:v>A-PL-012</x:v>
      </x:c>
      <x:c r="C18" t="str">
        <x:v>gate</x:v>
      </x:c>
      <x:c r="D18" t="str">
        <x:v>PL-ART-05</x:v>
      </x:c>
      <x:c r="E18" s="23" t="str">
        <x:v>PASS</x:v>
      </x:c>
      <x:c r="F18" s="23" t="str">
        <x:f>'Release Gates'!I18</x:f>
        <x:v>PASS</x:v>
      </x:c>
      <x:c r="G18" t="str">
        <x:f>IF(ABS(IFERROR(E18-F18,0))&lt;0.0001,IF(OR(ISTEXT(E18),ISTEXT(F18)),IF(E18=F18,"PASS","FAIL"),"PASS"),"FAIL")</x:f>
        <x:v>PASS</x:v>
      </x:c>
      <x:c r="H18" t="str">
        <x:f>G18</x:f>
        <x:v>PASS</x:v>
      </x:c>
    </x:row>
    <x:row r="19">
      <x:c r="B19" t="str">
        <x:v>A-PL-013</x:v>
      </x:c>
      <x:c r="C19" t="str">
        <x:v>gate</x:v>
      </x:c>
      <x:c r="D19" t="str">
        <x:v>PL-ART-06</x:v>
      </x:c>
      <x:c r="E19" s="23" t="str">
        <x:v>PASS</x:v>
      </x:c>
      <x:c r="F19" s="23" t="str">
        <x:f>'Release Gates'!I19</x:f>
        <x:v>PASS</x:v>
      </x:c>
      <x:c r="G19" t="str">
        <x:f>IF(ABS(IFERROR(E19-F19,0))&lt;0.0001,IF(OR(ISTEXT(E19),ISTEXT(F19)),IF(E19=F19,"PASS","FAIL"),"PASS"),"FAIL")</x:f>
        <x:v>PASS</x:v>
      </x:c>
      <x:c r="H19" t="str">
        <x:f>G19</x:f>
        <x:v>PASS</x:v>
      </x:c>
    </x:row>
    <x:row r="20">
      <x:c r="B20" t="str">
        <x:v>A-PL-014</x:v>
      </x:c>
      <x:c r="C20" t="str">
        <x:v>gate</x:v>
      </x:c>
      <x:c r="D20" t="str">
        <x:v>PL-ART-07</x:v>
      </x:c>
      <x:c r="E20" s="23" t="str">
        <x:v>PASS</x:v>
      </x:c>
      <x:c r="F20" s="23" t="str">
        <x:f>'Release Gates'!I20</x:f>
        <x:v>PASS</x:v>
      </x:c>
      <x:c r="G20" t="str">
        <x:f>IF(ABS(IFERROR(E20-F20,0))&lt;0.0001,IF(OR(ISTEXT(E20),ISTEXT(F20)),IF(E20=F20,"PASS","FAIL"),"PASS"),"FAIL")</x:f>
        <x:v>PASS</x:v>
      </x:c>
      <x:c r="H20" t="str">
        <x:f>G20</x:f>
        <x:v>PASS</x:v>
      </x:c>
    </x:row>
    <x:row r="21">
      <x:c r="B21" t="str">
        <x:v>A-PL-015</x:v>
      </x:c>
      <x:c r="C21" t="str">
        <x:v>gate</x:v>
      </x:c>
      <x:c r="D21" t="str">
        <x:v>PL-ART-08</x:v>
      </x:c>
      <x:c r="E21" s="23" t="str">
        <x:v>PASS</x:v>
      </x:c>
      <x:c r="F21" s="23" t="str">
        <x:f>'Release Gates'!I21</x:f>
        <x:v>PASS</x:v>
      </x:c>
      <x:c r="G21" t="str">
        <x:f>IF(ABS(IFERROR(E21-F21,0))&lt;0.0001,IF(OR(ISTEXT(E21),ISTEXT(F21)),IF(E21=F21,"PASS","FAIL"),"PASS"),"FAIL")</x:f>
        <x:v>PASS</x:v>
      </x:c>
      <x:c r="H21" t="str">
        <x:f>G21</x:f>
        <x:v>PASS</x:v>
      </x:c>
    </x:row>
    <x:row r="22">
      <x:c r="B22" t="str">
        <x:v>A-PL-016</x:v>
      </x:c>
      <x:c r="C22" t="str">
        <x:v>gate</x:v>
      </x:c>
      <x:c r="D22" t="str">
        <x:v>PL-ART-09</x:v>
      </x:c>
      <x:c r="E22" s="23" t="str">
        <x:v>PASS</x:v>
      </x:c>
      <x:c r="F22" s="23" t="str">
        <x:f>'Release Gates'!I22</x:f>
        <x:v>PASS</x:v>
      </x:c>
      <x:c r="G22" t="str">
        <x:f>IF(ABS(IFERROR(E22-F22,0))&lt;0.0001,IF(OR(ISTEXT(E22),ISTEXT(F22)),IF(E22=F22,"PASS","FAIL"),"PASS"),"FAIL")</x:f>
        <x:v>PASS</x:v>
      </x:c>
      <x:c r="H22" t="str">
        <x:f>G22</x:f>
        <x:v>PASS</x:v>
      </x:c>
    </x:row>
    <x:row r="23">
      <x:c r="B23" t="str">
        <x:v>A-PL-017</x:v>
      </x:c>
      <x:c r="C23" t="str">
        <x:v>gate</x:v>
      </x:c>
      <x:c r="D23" t="str">
        <x:v>PL-ART-10</x:v>
      </x:c>
      <x:c r="E23" s="23" t="str">
        <x:v>PASS</x:v>
      </x:c>
      <x:c r="F23" s="23" t="str">
        <x:f>'Release Gates'!I23</x:f>
        <x:v>PASS</x:v>
      </x:c>
      <x:c r="G23" t="str">
        <x:f>IF(ABS(IFERROR(E23-F23,0))&lt;0.0001,IF(OR(ISTEXT(E23),ISTEXT(F23)),IF(E23=F23,"PASS","FAIL"),"PASS"),"FAIL")</x:f>
        <x:v>PASS</x:v>
      </x:c>
      <x:c r="H23" t="str">
        <x:f>G23</x:f>
        <x:v>PASS</x:v>
      </x:c>
    </x:row>
    <x:row r="24">
      <x:c r="B24" t="str">
        <x:v>A-PL-018</x:v>
      </x:c>
      <x:c r="C24" t="str">
        <x:v>gate</x:v>
      </x:c>
      <x:c r="D24" t="str">
        <x:v>PL-ART-11</x:v>
      </x:c>
      <x:c r="E24" s="23" t="str">
        <x:v>PASS</x:v>
      </x:c>
      <x:c r="F24" s="23" t="str">
        <x:f>'Release Gates'!I24</x:f>
        <x:v>PASS</x:v>
      </x:c>
      <x:c r="G24" t="str">
        <x:f>IF(ABS(IFERROR(E24-F24,0))&lt;0.0001,IF(OR(ISTEXT(E24),ISTEXT(F24)),IF(E24=F24,"PASS","FAIL"),"PASS"),"FAIL")</x:f>
        <x:v>PASS</x:v>
      </x:c>
      <x:c r="H24" t="str">
        <x:f>G24</x:f>
        <x:v>PASS</x:v>
      </x:c>
    </x:row>
    <x:row r="25">
      <x:c r="B25" t="str">
        <x:v>A-PL-019</x:v>
      </x:c>
      <x:c r="C25" t="str">
        <x:v>gate</x:v>
      </x:c>
      <x:c r="D25" t="str">
        <x:v>PL-ART-12</x:v>
      </x:c>
      <x:c r="E25" s="23" t="str">
        <x:v>PASS</x:v>
      </x:c>
      <x:c r="F25" s="23" t="str">
        <x:f>'Release Gates'!I25</x:f>
        <x:v>PASS</x:v>
      </x:c>
      <x:c r="G25" t="str">
        <x:f>IF(ABS(IFERROR(E25-F25,0))&lt;0.0001,IF(OR(ISTEXT(E25),ISTEXT(F25)),IF(E25=F25,"PASS","FAIL"),"PASS"),"FAIL")</x:f>
        <x:v>PASS</x:v>
      </x:c>
      <x:c r="H25" t="str">
        <x:f>G25</x:f>
        <x:v>PASS</x:v>
      </x:c>
    </x:row>
    <x:row r="26">
      <x:c r="B26" t="str">
        <x:v>A-PL-020</x:v>
      </x:c>
      <x:c r="C26" t="str">
        <x:v>gate</x:v>
      </x:c>
      <x:c r="D26" t="str">
        <x:v>PL-ART-13</x:v>
      </x:c>
      <x:c r="E26" s="23" t="str">
        <x:v>PASS</x:v>
      </x:c>
      <x:c r="F26" s="23" t="str">
        <x:f>'Release Gates'!I26</x:f>
        <x:v>PASS</x:v>
      </x:c>
      <x:c r="G26" t="str">
        <x:f>IF(ABS(IFERROR(E26-F26,0))&lt;0.0001,IF(OR(ISTEXT(E26),ISTEXT(F26)),IF(E26=F26,"PASS","FAIL"),"PASS"),"FAIL")</x:f>
        <x:v>PASS</x:v>
      </x:c>
      <x:c r="H26" t="str">
        <x:f>G26</x:f>
        <x:v>PASS</x:v>
      </x:c>
    </x:row>
    <x:row r="27">
      <x:c r="B27" t="str">
        <x:v>A-PL-021</x:v>
      </x:c>
      <x:c r="C27" t="str">
        <x:v>gate</x:v>
      </x:c>
      <x:c r="D27" t="str">
        <x:v>PL-ART-14</x:v>
      </x:c>
      <x:c r="E27" s="23" t="str">
        <x:v>PASS</x:v>
      </x:c>
      <x:c r="F27" s="23" t="str">
        <x:f>'Release Gates'!I27</x:f>
        <x:v>PASS</x:v>
      </x:c>
      <x:c r="G27" t="str">
        <x:f>IF(ABS(IFERROR(E27-F27,0))&lt;0.0001,IF(OR(ISTEXT(E27),ISTEXT(F27)),IF(E27=F27,"PASS","FAIL"),"PASS"),"FAIL")</x:f>
        <x:v>PASS</x:v>
      </x:c>
      <x:c r="H27" t="str">
        <x:f>G27</x:f>
        <x:v>PASS</x:v>
      </x:c>
    </x:row>
    <x:row r="28">
      <x:c r="B28" t="str">
        <x:v>A-PL-022</x:v>
      </x:c>
      <x:c r="C28" t="str">
        <x:v>gate</x:v>
      </x:c>
      <x:c r="D28" t="str">
        <x:v>PL-ART-15</x:v>
      </x:c>
      <x:c r="E28" s="23" t="str">
        <x:v>PASS</x:v>
      </x:c>
      <x:c r="F28" s="23" t="str">
        <x:f>'Release Gates'!I28</x:f>
        <x:v>PASS</x:v>
      </x:c>
      <x:c r="G28" t="str">
        <x:f>IF(ABS(IFERROR(E28-F28,0))&lt;0.0001,IF(OR(ISTEXT(E28),ISTEXT(F28)),IF(E28=F28,"PASS","FAIL"),"PASS"),"FAIL")</x:f>
        <x:v>PASS</x:v>
      </x:c>
      <x:c r="H28" t="str">
        <x:f>G28</x:f>
        <x:v>PASS</x:v>
      </x:c>
    </x:row>
    <x:row r="29">
      <x:c r="B29" t="str">
        <x:v>A-PL-023</x:v>
      </x:c>
      <x:c r="C29" t="str">
        <x:v>gate</x:v>
      </x:c>
      <x:c r="D29" t="str">
        <x:v>PL-ART-16</x:v>
      </x:c>
      <x:c r="E29" s="23" t="str">
        <x:v>PASS</x:v>
      </x:c>
      <x:c r="F29" s="23" t="str">
        <x:f>'Release Gates'!I29</x:f>
        <x:v>PASS</x:v>
      </x:c>
      <x:c r="G29" t="str">
        <x:f>IF(ABS(IFERROR(E29-F29,0))&lt;0.0001,IF(OR(ISTEXT(E29),ISTEXT(F29)),IF(E29=F29,"PASS","FAIL"),"PASS"),"FAIL")</x:f>
        <x:v>PASS</x:v>
      </x:c>
      <x:c r="H29" t="str">
        <x:f>G29</x:f>
        <x:v>PASS</x:v>
      </x:c>
    </x:row>
    <x:row r="30">
      <x:c r="B30" t="str">
        <x:v>A-PL-024</x:v>
      </x:c>
      <x:c r="C30" t="str">
        <x:v>gate</x:v>
      </x:c>
      <x:c r="D30" t="str">
        <x:v>PL-ART-17</x:v>
      </x:c>
      <x:c r="E30" s="23" t="str">
        <x:v>PASS</x:v>
      </x:c>
      <x:c r="F30" s="23" t="str">
        <x:f>'Release Gates'!I30</x:f>
        <x:v>PASS</x:v>
      </x:c>
      <x:c r="G30" t="str">
        <x:f>IF(ABS(IFERROR(E30-F30,0))&lt;0.0001,IF(OR(ISTEXT(E30),ISTEXT(F30)),IF(E30=F30,"PASS","FAIL"),"PASS"),"FAIL")</x:f>
        <x:v>PASS</x:v>
      </x:c>
      <x:c r="H30" t="str">
        <x:f>G30</x:f>
        <x:v>PASS</x:v>
      </x:c>
    </x:row>
    <x:row r="31">
      <x:c r="B31" t="str">
        <x:v>A-PL-025</x:v>
      </x:c>
      <x:c r="C31" t="str">
        <x:v>gate</x:v>
      </x:c>
      <x:c r="D31" t="str">
        <x:v>PL-ART-18</x:v>
      </x:c>
      <x:c r="E31" s="23" t="str">
        <x:v>PASS</x:v>
      </x:c>
      <x:c r="F31" s="23" t="str">
        <x:f>'Release Gates'!I31</x:f>
        <x:v>PASS</x:v>
      </x:c>
      <x:c r="G31" t="str">
        <x:f>IF(ABS(IFERROR(E31-F31,0))&lt;0.0001,IF(OR(ISTEXT(E31),ISTEXT(F31)),IF(E31=F31,"PASS","FAIL"),"PASS"),"FAIL")</x:f>
        <x:v>PASS</x:v>
      </x:c>
      <x:c r="H31" t="str">
        <x:f>G31</x:f>
        <x:v>PASS</x:v>
      </x:c>
    </x:row>
    <x:row r="32">
      <x:c r="B32" t="str">
        <x:v>A-PL-026</x:v>
      </x:c>
      <x:c r="C32" t="str">
        <x:v>gate</x:v>
      </x:c>
      <x:c r="D32" t="str">
        <x:v>PL-ART-19</x:v>
      </x:c>
      <x:c r="E32" s="23" t="str">
        <x:v>PASS</x:v>
      </x:c>
      <x:c r="F32" s="23" t="str">
        <x:f>'Release Gates'!I32</x:f>
        <x:v>PASS</x:v>
      </x:c>
      <x:c r="G32" t="str">
        <x:f>IF(ABS(IFERROR(E32-F32,0))&lt;0.0001,IF(OR(ISTEXT(E32),ISTEXT(F32)),IF(E32=F32,"PASS","FAIL"),"PASS"),"FAIL")</x:f>
        <x:v>PASS</x:v>
      </x:c>
      <x:c r="H32" t="str">
        <x:f>G32</x:f>
        <x:v>PASS</x:v>
      </x:c>
    </x:row>
    <x:row r="33">
      <x:c r="B33" t="str">
        <x:v>A-PL-027</x:v>
      </x:c>
      <x:c r="C33" t="str">
        <x:v>gate</x:v>
      </x:c>
      <x:c r="D33" t="str">
        <x:v>PL-ART-20</x:v>
      </x:c>
      <x:c r="E33" s="23" t="str">
        <x:v>PASS</x:v>
      </x:c>
      <x:c r="F33" s="23" t="str">
        <x:f>'Release Gates'!I33</x:f>
        <x:v>PASS</x:v>
      </x:c>
      <x:c r="G33" t="str">
        <x:f>IF(ABS(IFERROR(E33-F33,0))&lt;0.0001,IF(OR(ISTEXT(E33),ISTEXT(F33)),IF(E33=F33,"PASS","FAIL"),"PASS"),"FAIL")</x:f>
        <x:v>PASS</x:v>
      </x:c>
      <x:c r="H33" t="str">
        <x:f>G33</x:f>
        <x:v>PASS</x:v>
      </x:c>
    </x:row>
    <x:row r="34">
      <x:c r="B34" t="str">
        <x:v>A-PL-028</x:v>
      </x:c>
      <x:c r="C34" t="str">
        <x:v>gate</x:v>
      </x:c>
      <x:c r="D34" t="str">
        <x:v>PL-ART-21</x:v>
      </x:c>
      <x:c r="E34" s="23" t="str">
        <x:v>PASS</x:v>
      </x:c>
      <x:c r="F34" s="23" t="str">
        <x:f>'Release Gates'!I34</x:f>
        <x:v>PASS</x:v>
      </x:c>
      <x:c r="G34" t="str">
        <x:f>IF(ABS(IFERROR(E34-F34,0))&lt;0.0001,IF(OR(ISTEXT(E34),ISTEXT(F34)),IF(E34=F34,"PASS","FAIL"),"PASS"),"FAIL")</x:f>
        <x:v>PASS</x:v>
      </x:c>
      <x:c r="H34" t="str">
        <x:f>G34</x:f>
        <x:v>PASS</x:v>
      </x:c>
    </x:row>
    <x:row r="35">
      <x:c r="B35" t="str">
        <x:v>A-PL-029</x:v>
      </x:c>
      <x:c r="C35" t="str">
        <x:v>gate</x:v>
      </x:c>
      <x:c r="D35" t="str">
        <x:v>PL-ART-22</x:v>
      </x:c>
      <x:c r="E35" s="23" t="str">
        <x:v>PASS</x:v>
      </x:c>
      <x:c r="F35" s="23" t="str">
        <x:f>'Release Gates'!I35</x:f>
        <x:v>PASS</x:v>
      </x:c>
      <x:c r="G35" t="str">
        <x:f>IF(ABS(IFERROR(E35-F35,0))&lt;0.0001,IF(OR(ISTEXT(E35),ISTEXT(F35)),IF(E35=F35,"PASS","FAIL"),"PASS"),"FAIL")</x:f>
        <x:v>PASS</x:v>
      </x:c>
      <x:c r="H35" t="str">
        <x:f>G35</x:f>
        <x:v>PASS</x:v>
      </x:c>
    </x:row>
    <x:row r="36">
      <x:c r="B36" t="str">
        <x:v>A-PL-030</x:v>
      </x:c>
      <x:c r="C36" t="str">
        <x:v>gate</x:v>
      </x:c>
      <x:c r="D36" t="str">
        <x:v>PL-ART-23</x:v>
      </x:c>
      <x:c r="E36" s="23" t="str">
        <x:v>PASS</x:v>
      </x:c>
      <x:c r="F36" s="23" t="str">
        <x:f>'Release Gates'!I36</x:f>
        <x:v>PASS</x:v>
      </x:c>
      <x:c r="G36" t="str">
        <x:f>IF(ABS(IFERROR(E36-F36,0))&lt;0.0001,IF(OR(ISTEXT(E36),ISTEXT(F36)),IF(E36=F36,"PASS","FAIL"),"PASS"),"FAIL")</x:f>
        <x:v>PASS</x:v>
      </x:c>
      <x:c r="H36" t="str">
        <x:f>G36</x:f>
        <x:v>PASS</x:v>
      </x:c>
    </x:row>
    <x:row r="37">
      <x:c r="B37" t="str">
        <x:v>A-PL-031</x:v>
      </x:c>
      <x:c r="C37" t="str">
        <x:v>gate</x:v>
      </x:c>
      <x:c r="D37" t="str">
        <x:v>PL-ART-24</x:v>
      </x:c>
      <x:c r="E37" s="23" t="str">
        <x:v>PASS</x:v>
      </x:c>
      <x:c r="F37" s="23" t="str">
        <x:f>'Release Gates'!I37</x:f>
        <x:v>PASS</x:v>
      </x:c>
      <x:c r="G37" t="str">
        <x:f>IF(ABS(IFERROR(E37-F37,0))&lt;0.0001,IF(OR(ISTEXT(E37),ISTEXT(F37)),IF(E37=F37,"PASS","FAIL"),"PASS"),"FAIL")</x:f>
        <x:v>PASS</x:v>
      </x:c>
      <x:c r="H37" t="str">
        <x:f>G37</x:f>
        <x:v>PASS</x:v>
      </x:c>
    </x:row>
    <x:row r="38">
      <x:c r="B38" t="str">
        <x:v>A-PL-032</x:v>
      </x:c>
      <x:c r="C38" t="str">
        <x:v>gate</x:v>
      </x:c>
      <x:c r="D38" t="str">
        <x:v>PL-ART-25</x:v>
      </x:c>
      <x:c r="E38" s="23" t="str">
        <x:v>PASS</x:v>
      </x:c>
      <x:c r="F38" s="23" t="str">
        <x:f>'Release Gates'!I38</x:f>
        <x:v>PASS</x:v>
      </x:c>
      <x:c r="G38" t="str">
        <x:f>IF(ABS(IFERROR(E38-F38,0))&lt;0.0001,IF(OR(ISTEXT(E38),ISTEXT(F38)),IF(E38=F38,"PASS","FAIL"),"PASS"),"FAIL")</x:f>
        <x:v>PASS</x:v>
      </x:c>
      <x:c r="H38" t="str">
        <x:f>G38</x:f>
        <x:v>PASS</x:v>
      </x:c>
    </x:row>
    <x:row r="39">
      <x:c r="B39" t="str">
        <x:v>A-PL-033</x:v>
      </x:c>
      <x:c r="C39" t="str">
        <x:v>gate</x:v>
      </x:c>
      <x:c r="D39" t="str">
        <x:v>PL-ART-26</x:v>
      </x:c>
      <x:c r="E39" s="23" t="str">
        <x:v>PASS</x:v>
      </x:c>
      <x:c r="F39" s="23" t="str">
        <x:f>'Release Gates'!I39</x:f>
        <x:v>PASS</x:v>
      </x:c>
      <x:c r="G39" t="str">
        <x:f>IF(ABS(IFERROR(E39-F39,0))&lt;0.0001,IF(OR(ISTEXT(E39),ISTEXT(F39)),IF(E39=F39,"PASS","FAIL"),"PASS"),"FAIL")</x:f>
        <x:v>PASS</x:v>
      </x:c>
      <x:c r="H39" t="str">
        <x:f>G39</x:f>
        <x:v>PASS</x:v>
      </x:c>
    </x:row>
    <x:row r="40">
      <x:c r="B40" t="str">
        <x:v>A-PL-034</x:v>
      </x:c>
      <x:c r="C40" t="str">
        <x:v>gate</x:v>
      </x:c>
      <x:c r="D40" t="str">
        <x:v>PL-ART-27</x:v>
      </x:c>
      <x:c r="E40" s="23" t="str">
        <x:v>PASS</x:v>
      </x:c>
      <x:c r="F40" s="23" t="str">
        <x:f>'Release Gates'!I40</x:f>
        <x:v>PASS</x:v>
      </x:c>
      <x:c r="G40" t="str">
        <x:f>IF(ABS(IFERROR(E40-F40,0))&lt;0.0001,IF(OR(ISTEXT(E40),ISTEXT(F40)),IF(E40=F40,"PASS","FAIL"),"PASS"),"FAIL")</x:f>
        <x:v>PASS</x:v>
      </x:c>
      <x:c r="H40" t="str">
        <x:f>G40</x:f>
        <x:v>PASS</x:v>
      </x:c>
    </x:row>
    <x:row r="41">
      <x:c r="B41" t="str">
        <x:v>A-PL-035</x:v>
      </x:c>
      <x:c r="C41" t="str">
        <x:v>gate</x:v>
      </x:c>
      <x:c r="D41" t="str">
        <x:v>PL-ART-28</x:v>
      </x:c>
      <x:c r="E41" s="23" t="str">
        <x:v>PASS</x:v>
      </x:c>
      <x:c r="F41" s="23" t="str">
        <x:f>'Release Gates'!I41</x:f>
        <x:v>PASS</x:v>
      </x:c>
      <x:c r="G41" t="str">
        <x:f>IF(ABS(IFERROR(E41-F41,0))&lt;0.0001,IF(OR(ISTEXT(E41),ISTEXT(F41)),IF(E41=F41,"PASS","FAIL"),"PASS"),"FAIL")</x:f>
        <x:v>PASS</x:v>
      </x:c>
      <x:c r="H41" t="str">
        <x:f>G41</x:f>
        <x:v>PASS</x:v>
      </x:c>
    </x:row>
    <x:row r="42">
      <x:c r="B42" t="str">
        <x:v>A-PL-036</x:v>
      </x:c>
      <x:c r="C42" t="str">
        <x:v>gate</x:v>
      </x:c>
      <x:c r="D42" t="str">
        <x:v>PL-ART-29</x:v>
      </x:c>
      <x:c r="E42" s="23" t="str">
        <x:v>PASS</x:v>
      </x:c>
      <x:c r="F42" s="23" t="str">
        <x:f>'Release Gates'!I42</x:f>
        <x:v>PASS</x:v>
      </x:c>
      <x:c r="G42" t="str">
        <x:f>IF(ABS(IFERROR(E42-F42,0))&lt;0.0001,IF(OR(ISTEXT(E42),ISTEXT(F42)),IF(E42=F42,"PASS","FAIL"),"PASS"),"FAIL")</x:f>
        <x:v>PASS</x:v>
      </x:c>
      <x:c r="H42" t="str">
        <x:f>G42</x:f>
        <x:v>PASS</x:v>
      </x:c>
    </x:row>
    <x:row r="43">
      <x:c r="B43" t="str">
        <x:v>A-PL-037</x:v>
      </x:c>
      <x:c r="C43" t="str">
        <x:v>gate</x:v>
      </x:c>
      <x:c r="D43" t="str">
        <x:v>PL-ART-30</x:v>
      </x:c>
      <x:c r="E43" s="23" t="str">
        <x:v>PASS</x:v>
      </x:c>
      <x:c r="F43" s="23" t="str">
        <x:f>'Release Gates'!I43</x:f>
        <x:v>PASS</x:v>
      </x:c>
      <x:c r="G43" t="str">
        <x:f>IF(ABS(IFERROR(E43-F43,0))&lt;0.0001,IF(OR(ISTEXT(E43),ISTEXT(F43)),IF(E43=F43,"PASS","FAIL"),"PASS"),"FAIL")</x:f>
        <x:v>PASS</x:v>
      </x:c>
      <x:c r="H43" t="str">
        <x:f>G43</x:f>
        <x:v>PASS</x:v>
      </x:c>
    </x:row>
    <x:row r="44">
      <x:c r="B44" t="str">
        <x:v>A-PL-038</x:v>
      </x:c>
      <x:c r="C44" t="str">
        <x:v>gate</x:v>
      </x:c>
      <x:c r="D44" t="str">
        <x:v>PL-ART-31</x:v>
      </x:c>
      <x:c r="E44" s="23" t="str">
        <x:v>PASS</x:v>
      </x:c>
      <x:c r="F44" s="23" t="str">
        <x:f>'Release Gates'!I44</x:f>
        <x:v>PASS</x:v>
      </x:c>
      <x:c r="G44" t="str">
        <x:f>IF(ABS(IFERROR(E44-F44,0))&lt;0.0001,IF(OR(ISTEXT(E44),ISTEXT(F44)),IF(E44=F44,"PASS","FAIL"),"PASS"),"FAIL")</x:f>
        <x:v>PASS</x:v>
      </x:c>
      <x:c r="H44" t="str">
        <x:f>G44</x:f>
        <x:v>PASS</x:v>
      </x:c>
    </x:row>
    <x:row r="45">
      <x:c r="B45" t="str">
        <x:v>A-PL-039</x:v>
      </x:c>
      <x:c r="C45" t="str">
        <x:v>gate</x:v>
      </x:c>
      <x:c r="D45" t="str">
        <x:v>PL-ART-32</x:v>
      </x:c>
      <x:c r="E45" s="23" t="str">
        <x:v>PASS</x:v>
      </x:c>
      <x:c r="F45" s="23" t="str">
        <x:f>'Release Gates'!I45</x:f>
        <x:v>PASS</x:v>
      </x:c>
      <x:c r="G45" t="str">
        <x:f>IF(ABS(IFERROR(E45-F45,0))&lt;0.0001,IF(OR(ISTEXT(E45),ISTEXT(F45)),IF(E45=F45,"PASS","FAIL"),"PASS"),"FAIL")</x:f>
        <x:v>PASS</x:v>
      </x:c>
      <x:c r="H45" t="str">
        <x:f>G45</x:f>
        <x:v>PASS</x:v>
      </x:c>
    </x:row>
    <x:row r="46">
      <x:c r="B46" t="str">
        <x:v>A-PL-040</x:v>
      </x:c>
      <x:c r="C46" t="str">
        <x:v>gate</x:v>
      </x:c>
      <x:c r="D46" t="str">
        <x:v>PL-ART-33</x:v>
      </x:c>
      <x:c r="E46" s="23" t="str">
        <x:v>PASS</x:v>
      </x:c>
      <x:c r="F46" s="23" t="str">
        <x:f>'Release Gates'!I46</x:f>
        <x:v>PASS</x:v>
      </x:c>
      <x:c r="G46" t="str">
        <x:f>IF(ABS(IFERROR(E46-F46,0))&lt;0.0001,IF(OR(ISTEXT(E46),ISTEXT(F46)),IF(E46=F46,"PASS","FAIL"),"PASS"),"FAIL")</x:f>
        <x:v>PASS</x:v>
      </x:c>
      <x:c r="H46" t="str">
        <x:f>G46</x:f>
        <x:v>PASS</x:v>
      </x:c>
    </x:row>
    <x:row r="47">
      <x:c r="B47" t="str">
        <x:v>A-PL-041</x:v>
      </x:c>
      <x:c r="C47" t="str">
        <x:v>gate</x:v>
      </x:c>
      <x:c r="D47" t="str">
        <x:v>PL-ART-34</x:v>
      </x:c>
      <x:c r="E47" s="23" t="str">
        <x:v>PASS</x:v>
      </x:c>
      <x:c r="F47" s="23" t="str">
        <x:f>'Release Gates'!I47</x:f>
        <x:v>PASS</x:v>
      </x:c>
      <x:c r="G47" t="str">
        <x:f>IF(ABS(IFERROR(E47-F47,0))&lt;0.0001,IF(OR(ISTEXT(E47),ISTEXT(F47)),IF(E47=F47,"PASS","FAIL"),"PASS"),"FAIL")</x:f>
        <x:v>PASS</x:v>
      </x:c>
      <x:c r="H47" t="str">
        <x:f>G47</x:f>
        <x:v>PASS</x:v>
      </x:c>
    </x:row>
    <x:row r="48">
      <x:c r="B48" t="str">
        <x:v>A-PL-042</x:v>
      </x:c>
      <x:c r="C48" t="str">
        <x:v>gate</x:v>
      </x:c>
      <x:c r="D48" t="str">
        <x:v>PL-ART-35</x:v>
      </x:c>
      <x:c r="E48" s="23" t="str">
        <x:v>PASS</x:v>
      </x:c>
      <x:c r="F48" s="23" t="str">
        <x:f>'Release Gates'!I48</x:f>
        <x:v>PASS</x:v>
      </x:c>
      <x:c r="G48" t="str">
        <x:f>IF(ABS(IFERROR(E48-F48,0))&lt;0.0001,IF(OR(ISTEXT(E48),ISTEXT(F48)),IF(E48=F48,"PASS","FAIL"),"PASS"),"FAIL")</x:f>
        <x:v>PASS</x:v>
      </x:c>
      <x:c r="H48" t="str">
        <x:f>G48</x:f>
        <x:v>PASS</x:v>
      </x:c>
    </x:row>
    <x:row r="49">
      <x:c r="B49" t="str">
        <x:v>A-PL-043</x:v>
      </x:c>
      <x:c r="C49" t="str">
        <x:v>gate</x:v>
      </x:c>
      <x:c r="D49" t="str">
        <x:v>PL-ART-36</x:v>
      </x:c>
      <x:c r="E49" s="23" t="str">
        <x:v>PASS</x:v>
      </x:c>
      <x:c r="F49" s="23" t="str">
        <x:f>'Release Gates'!I49</x:f>
        <x:v>PASS</x:v>
      </x:c>
      <x:c r="G49" t="str">
        <x:f>IF(ABS(IFERROR(E49-F49,0))&lt;0.0001,IF(OR(ISTEXT(E49),ISTEXT(F49)),IF(E49=F49,"PASS","FAIL"),"PASS"),"FAIL")</x:f>
        <x:v>PASS</x:v>
      </x:c>
      <x:c r="H49" t="str">
        <x:f>G49</x:f>
        <x:v>PASS</x:v>
      </x:c>
    </x:row>
    <x:row r="50">
      <x:c r="B50" t="str">
        <x:v>A-PL-044</x:v>
      </x:c>
      <x:c r="C50" t="str">
        <x:v>gate</x:v>
      </x:c>
      <x:c r="D50" t="str">
        <x:v>PL-ART-37</x:v>
      </x:c>
      <x:c r="E50" s="23" t="str">
        <x:v>PASS</x:v>
      </x:c>
      <x:c r="F50" s="23" t="str">
        <x:f>'Release Gates'!I50</x:f>
        <x:v>PASS</x:v>
      </x:c>
      <x:c r="G50" t="str">
        <x:f>IF(ABS(IFERROR(E50-F50,0))&lt;0.0001,IF(OR(ISTEXT(E50),ISTEXT(F50)),IF(E50=F50,"PASS","FAIL"),"PASS"),"FAIL")</x:f>
        <x:v>PASS</x:v>
      </x:c>
      <x:c r="H50" t="str">
        <x:f>G50</x:f>
        <x:v>PASS</x:v>
      </x:c>
    </x:row>
    <x:row r="51">
      <x:c r="B51" t="str">
        <x:v>A-PL-045</x:v>
      </x:c>
      <x:c r="C51" t="str">
        <x:v>gate</x:v>
      </x:c>
      <x:c r="D51" t="str">
        <x:v>PL-ART-38</x:v>
      </x:c>
      <x:c r="E51" s="23" t="str">
        <x:v>PASS</x:v>
      </x:c>
      <x:c r="F51" s="23" t="str">
        <x:f>'Release Gates'!I51</x:f>
        <x:v>PASS</x:v>
      </x:c>
      <x:c r="G51" t="str">
        <x:f>IF(ABS(IFERROR(E51-F51,0))&lt;0.0001,IF(OR(ISTEXT(E51),ISTEXT(F51)),IF(E51=F51,"PASS","FAIL"),"PASS"),"FAIL")</x:f>
        <x:v>PASS</x:v>
      </x:c>
      <x:c r="H51" t="str">
        <x:f>G51</x:f>
        <x:v>PASS</x:v>
      </x:c>
    </x:row>
    <x:row r="52">
      <x:c r="B52" t="str">
        <x:v>A-PL-046</x:v>
      </x:c>
      <x:c r="C52" t="str">
        <x:v>gate</x:v>
      </x:c>
      <x:c r="D52" t="str">
        <x:v>PL-ART-39</x:v>
      </x:c>
      <x:c r="E52" s="23" t="str">
        <x:v>PASS</x:v>
      </x:c>
      <x:c r="F52" s="23" t="str">
        <x:f>'Release Gates'!I52</x:f>
        <x:v>PASS</x:v>
      </x:c>
      <x:c r="G52" t="str">
        <x:f>IF(ABS(IFERROR(E52-F52,0))&lt;0.0001,IF(OR(ISTEXT(E52),ISTEXT(F52)),IF(E52=F52,"PASS","FAIL"),"PASS"),"FAIL")</x:f>
        <x:v>PASS</x:v>
      </x:c>
      <x:c r="H52" t="str">
        <x:f>G52</x:f>
        <x:v>PASS</x:v>
      </x:c>
    </x:row>
    <x:row r="53">
      <x:c r="B53" t="str">
        <x:v>A-PL-047</x:v>
      </x:c>
      <x:c r="C53" t="str">
        <x:v>gate</x:v>
      </x:c>
      <x:c r="D53" t="str">
        <x:v>PL-ART-40</x:v>
      </x:c>
      <x:c r="E53" s="23" t="str">
        <x:v>PASS</x:v>
      </x:c>
      <x:c r="F53" s="23" t="str">
        <x:f>'Release Gates'!I53</x:f>
        <x:v>PASS</x:v>
      </x:c>
      <x:c r="G53" t="str">
        <x:f>IF(ABS(IFERROR(E53-F53,0))&lt;0.0001,IF(OR(ISTEXT(E53),ISTEXT(F53)),IF(E53=F53,"PASS","FAIL"),"PASS"),"FAIL")</x:f>
        <x:v>PASS</x:v>
      </x:c>
      <x:c r="H53" t="str">
        <x:f>G53</x:f>
        <x:v>PASS</x:v>
      </x:c>
    </x:row>
    <x:row r="54">
      <x:c r="B54" t="str">
        <x:v>A-PL-048</x:v>
      </x:c>
      <x:c r="C54" t="str">
        <x:v>gate</x:v>
      </x:c>
      <x:c r="D54" t="str">
        <x:v>PL-ART-41</x:v>
      </x:c>
      <x:c r="E54" s="23" t="str">
        <x:v>PASS</x:v>
      </x:c>
      <x:c r="F54" s="23" t="str">
        <x:f>'Release Gates'!I54</x:f>
        <x:v>PASS</x:v>
      </x:c>
      <x:c r="G54" t="str">
        <x:f>IF(ABS(IFERROR(E54-F54,0))&lt;0.0001,IF(OR(ISTEXT(E54),ISTEXT(F54)),IF(E54=F54,"PASS","FAIL"),"PASS"),"FAIL")</x:f>
        <x:v>PASS</x:v>
      </x:c>
      <x:c r="H54" t="str">
        <x:f>G54</x:f>
        <x:v>PASS</x:v>
      </x:c>
    </x:row>
    <x:row r="55">
      <x:c r="B55" t="str">
        <x:v>A-PL-049</x:v>
      </x:c>
      <x:c r="C55" t="str">
        <x:v>gate</x:v>
      </x:c>
      <x:c r="D55" t="str">
        <x:v>PL-ART-42</x:v>
      </x:c>
      <x:c r="E55" s="23" t="str">
        <x:v>PASS</x:v>
      </x:c>
      <x:c r="F55" s="23" t="str">
        <x:f>'Release Gates'!I55</x:f>
        <x:v>PASS</x:v>
      </x:c>
      <x:c r="G55" t="str">
        <x:f>IF(ABS(IFERROR(E55-F55,0))&lt;0.0001,IF(OR(ISTEXT(E55),ISTEXT(F55)),IF(E55=F55,"PASS","FAIL"),"PASS"),"FAIL")</x:f>
        <x:v>PASS</x:v>
      </x:c>
      <x:c r="H55" t="str">
        <x:f>G55</x:f>
        <x:v>PASS</x:v>
      </x:c>
    </x:row>
    <x:row r="56">
      <x:c r="B56" t="str">
        <x:v>A-PL-050</x:v>
      </x:c>
      <x:c r="C56" t="str">
        <x:v>gate</x:v>
      </x:c>
      <x:c r="D56" t="str">
        <x:v>PL-ART-43</x:v>
      </x:c>
      <x:c r="E56" s="23" t="str">
        <x:v>PASS</x:v>
      </x:c>
      <x:c r="F56" s="23" t="str">
        <x:f>'Release Gates'!I56</x:f>
        <x:v>PASS</x:v>
      </x:c>
      <x:c r="G56" t="str">
        <x:f>IF(ABS(IFERROR(E56-F56,0))&lt;0.0001,IF(OR(ISTEXT(E56),ISTEXT(F56)),IF(E56=F56,"PASS","FAIL"),"PASS"),"FAIL")</x:f>
        <x:v>PASS</x:v>
      </x:c>
      <x:c r="H56" t="str">
        <x:f>G56</x:f>
        <x:v>PASS</x:v>
      </x:c>
    </x:row>
    <x:row r="57">
      <x:c r="B57" t="str">
        <x:v>A-PL-051</x:v>
      </x:c>
      <x:c r="C57" t="str">
        <x:v>gate</x:v>
      </x:c>
      <x:c r="D57" t="str">
        <x:v>PL-ART-44</x:v>
      </x:c>
      <x:c r="E57" s="23" t="str">
        <x:v>PASS</x:v>
      </x:c>
      <x:c r="F57" s="23" t="str">
        <x:f>'Release Gates'!I57</x:f>
        <x:v>PASS</x:v>
      </x:c>
      <x:c r="G57" t="str">
        <x:f>IF(ABS(IFERROR(E57-F57,0))&lt;0.0001,IF(OR(ISTEXT(E57),ISTEXT(F57)),IF(E57=F57,"PASS","FAIL"),"PASS"),"FAIL")</x:f>
        <x:v>PASS</x:v>
      </x:c>
      <x:c r="H57" t="str">
        <x:f>G57</x:f>
        <x:v>PASS</x:v>
      </x:c>
    </x:row>
    <x:row r="58">
      <x:c r="B58" t="str">
        <x:v>A-PL-052</x:v>
      </x:c>
      <x:c r="C58" t="str">
        <x:v>gate</x:v>
      </x:c>
      <x:c r="D58" t="str">
        <x:v>PL-ART-45</x:v>
      </x:c>
      <x:c r="E58" s="23" t="str">
        <x:v>PASS</x:v>
      </x:c>
      <x:c r="F58" s="23" t="str">
        <x:f>'Release Gates'!I58</x:f>
        <x:v>PASS</x:v>
      </x:c>
      <x:c r="G58" t="str">
        <x:f>IF(ABS(IFERROR(E58-F58,0))&lt;0.0001,IF(OR(ISTEXT(E58),ISTEXT(F58)),IF(E58=F58,"PASS","FAIL"),"PASS"),"FAIL")</x:f>
        <x:v>PASS</x:v>
      </x:c>
      <x:c r="H58" t="str">
        <x:f>G58</x:f>
        <x:v>PASS</x:v>
      </x:c>
    </x:row>
    <x:row r="59">
      <x:c r="B59" t="str">
        <x:v>A-PL-053</x:v>
      </x:c>
      <x:c r="C59" t="str">
        <x:v>gate</x:v>
      </x:c>
      <x:c r="D59" t="str">
        <x:v>PL-ART-46</x:v>
      </x:c>
      <x:c r="E59" s="23" t="str">
        <x:v>PASS</x:v>
      </x:c>
      <x:c r="F59" s="23" t="str">
        <x:f>'Release Gates'!I59</x:f>
        <x:v>PASS</x:v>
      </x:c>
      <x:c r="G59" t="str">
        <x:f>IF(ABS(IFERROR(E59-F59,0))&lt;0.0001,IF(OR(ISTEXT(E59),ISTEXT(F59)),IF(E59=F59,"PASS","FAIL"),"PASS"),"FAIL")</x:f>
        <x:v>PASS</x:v>
      </x:c>
      <x:c r="H59" t="str">
        <x:f>G59</x:f>
        <x:v>PASS</x:v>
      </x:c>
    </x:row>
    <x:row r="60">
      <x:c r="B60" t="str">
        <x:v>A-PL-054</x:v>
      </x:c>
      <x:c r="C60" t="str">
        <x:v>gate</x:v>
      </x:c>
      <x:c r="D60" t="str">
        <x:v>PL-ART-47</x:v>
      </x:c>
      <x:c r="E60" s="23" t="str">
        <x:v>PASS</x:v>
      </x:c>
      <x:c r="F60" s="23" t="str">
        <x:f>'Release Gates'!I60</x:f>
        <x:v>PASS</x:v>
      </x:c>
      <x:c r="G60" t="str">
        <x:f>IF(ABS(IFERROR(E60-F60,0))&lt;0.0001,IF(OR(ISTEXT(E60),ISTEXT(F60)),IF(E60=F60,"PASS","FAIL"),"PASS"),"FAIL")</x:f>
        <x:v>PASS</x:v>
      </x:c>
      <x:c r="H60" t="str">
        <x:f>G60</x:f>
        <x:v>PASS</x:v>
      </x:c>
    </x:row>
    <x:row r="61">
      <x:c r="B61" t="str">
        <x:v>A-PL-055</x:v>
      </x:c>
      <x:c r="C61" t="str">
        <x:v>gate</x:v>
      </x:c>
      <x:c r="D61" t="str">
        <x:v>PL-ART-48</x:v>
      </x:c>
      <x:c r="E61" s="23" t="str">
        <x:v>PASS</x:v>
      </x:c>
      <x:c r="F61" s="23" t="str">
        <x:f>'Release Gates'!I61</x:f>
        <x:v>PASS</x:v>
      </x:c>
      <x:c r="G61" t="str">
        <x:f>IF(ABS(IFERROR(E61-F61,0))&lt;0.0001,IF(OR(ISTEXT(E61),ISTEXT(F61)),IF(E61=F61,"PASS","FAIL"),"PASS"),"FAIL")</x:f>
        <x:v>PASS</x:v>
      </x:c>
      <x:c r="H61" t="str">
        <x:f>G61</x:f>
        <x:v>PASS</x:v>
      </x:c>
    </x:row>
    <x:row r="62">
      <x:c r="B62" t="str">
        <x:v>A-PL-056</x:v>
      </x:c>
      <x:c r="C62" t="str">
        <x:v>gate</x:v>
      </x:c>
      <x:c r="D62" t="str">
        <x:v>PL-PRO-01</x:v>
      </x:c>
      <x:c r="E62" s="23" t="str">
        <x:v>PASS</x:v>
      </x:c>
      <x:c r="F62" s="23" t="str">
        <x:f>'Release Gates'!I62</x:f>
        <x:v>PASS</x:v>
      </x:c>
      <x:c r="G62" t="str">
        <x:f>IF(ABS(IFERROR(E62-F62,0))&lt;0.0001,IF(OR(ISTEXT(E62),ISTEXT(F62)),IF(E62=F62,"PASS","FAIL"),"PASS"),"FAIL")</x:f>
        <x:v>PASS</x:v>
      </x:c>
      <x:c r="H62" t="str">
        <x:f>G62</x:f>
        <x:v>PASS</x:v>
      </x:c>
    </x:row>
    <x:row r="63">
      <x:c r="B63" t="str">
        <x:v>A-PL-057</x:v>
      </x:c>
      <x:c r="C63" t="str">
        <x:v>gate</x:v>
      </x:c>
      <x:c r="D63" t="str">
        <x:v>PL-PRO-02</x:v>
      </x:c>
      <x:c r="E63" s="23" t="str">
        <x:v>PASS</x:v>
      </x:c>
      <x:c r="F63" s="23" t="str">
        <x:f>'Release Gates'!I63</x:f>
        <x:v>PASS</x:v>
      </x:c>
      <x:c r="G63" t="str">
        <x:f>IF(ABS(IFERROR(E63-F63,0))&lt;0.0001,IF(OR(ISTEXT(E63),ISTEXT(F63)),IF(E63=F63,"PASS","FAIL"),"PASS"),"FAIL")</x:f>
        <x:v>PASS</x:v>
      </x:c>
      <x:c r="H63" t="str">
        <x:f>G63</x:f>
        <x:v>PASS</x:v>
      </x:c>
    </x:row>
    <x:row r="64">
      <x:c r="B64" t="str">
        <x:v>A-PL-058</x:v>
      </x:c>
      <x:c r="C64" t="str">
        <x:v>gate</x:v>
      </x:c>
      <x:c r="D64" t="str">
        <x:v>PL-PRO-03</x:v>
      </x:c>
      <x:c r="E64" s="23" t="str">
        <x:v>PASS</x:v>
      </x:c>
      <x:c r="F64" s="23" t="str">
        <x:f>'Release Gates'!I64</x:f>
        <x:v>PASS</x:v>
      </x:c>
      <x:c r="G64" t="str">
        <x:f>IF(ABS(IFERROR(E64-F64,0))&lt;0.0001,IF(OR(ISTEXT(E64),ISTEXT(F64)),IF(E64=F64,"PASS","FAIL"),"PASS"),"FAIL")</x:f>
        <x:v>PASS</x:v>
      </x:c>
      <x:c r="H64" t="str">
        <x:f>G64</x:f>
        <x:v>PASS</x:v>
      </x:c>
    </x:row>
    <x:row r="65">
      <x:c r="B65" t="str">
        <x:v>A-PL-059</x:v>
      </x:c>
      <x:c r="C65" t="str">
        <x:v>gate</x:v>
      </x:c>
      <x:c r="D65" t="str">
        <x:v>PL-PRO-04</x:v>
      </x:c>
      <x:c r="E65" s="23" t="str">
        <x:v>PASS</x:v>
      </x:c>
      <x:c r="F65" s="23" t="str">
        <x:f>'Release Gates'!I65</x:f>
        <x:v>PASS</x:v>
      </x:c>
      <x:c r="G65" t="str">
        <x:f>IF(ABS(IFERROR(E65-F65,0))&lt;0.0001,IF(OR(ISTEXT(E65),ISTEXT(F65)),IF(E65=F65,"PASS","FAIL"),"PASS"),"FAIL")</x:f>
        <x:v>PASS</x:v>
      </x:c>
      <x:c r="H65" t="str">
        <x:f>G65</x:f>
        <x:v>PASS</x:v>
      </x:c>
    </x:row>
    <x:row r="66">
      <x:c r="B66" t="str">
        <x:v>A-PL-060</x:v>
      </x:c>
      <x:c r="C66" t="str">
        <x:v>gate</x:v>
      </x:c>
      <x:c r="D66" t="str">
        <x:v>PL-PRO-05</x:v>
      </x:c>
      <x:c r="E66" s="23" t="str">
        <x:v>PASS</x:v>
      </x:c>
      <x:c r="F66" s="23" t="str">
        <x:f>'Release Gates'!I66</x:f>
        <x:v>PASS</x:v>
      </x:c>
      <x:c r="G66" t="str">
        <x:f>IF(ABS(IFERROR(E66-F66,0))&lt;0.0001,IF(OR(ISTEXT(E66),ISTEXT(F66)),IF(E66=F66,"PASS","FAIL"),"PASS"),"FAIL")</x:f>
        <x:v>PASS</x:v>
      </x:c>
      <x:c r="H66" t="str">
        <x:f>G66</x:f>
        <x:v>PASS</x:v>
      </x:c>
    </x:row>
    <x:row r="67">
      <x:c r="B67" t="str">
        <x:v>A-PL-061</x:v>
      </x:c>
      <x:c r="C67" t="str">
        <x:v>gate</x:v>
      </x:c>
      <x:c r="D67" t="str">
        <x:v>PL-PRO-06</x:v>
      </x:c>
      <x:c r="E67" s="23" t="str">
        <x:v>PASS</x:v>
      </x:c>
      <x:c r="F67" s="23" t="str">
        <x:f>'Release Gates'!I67</x:f>
        <x:v>PASS</x:v>
      </x:c>
      <x:c r="G67" t="str">
        <x:f>IF(ABS(IFERROR(E67-F67,0))&lt;0.0001,IF(OR(ISTEXT(E67),ISTEXT(F67)),IF(E67=F67,"PASS","FAIL"),"PASS"),"FAIL")</x:f>
        <x:v>PASS</x:v>
      </x:c>
      <x:c r="H67" t="str">
        <x:f>G67</x:f>
        <x:v>PASS</x:v>
      </x:c>
    </x:row>
    <x:row r="68">
      <x:c r="B68" t="str">
        <x:v>A-PL-062</x:v>
      </x:c>
      <x:c r="C68" t="str">
        <x:v>gate</x:v>
      </x:c>
      <x:c r="D68" t="str">
        <x:v>PL-PRO-07</x:v>
      </x:c>
      <x:c r="E68" s="23" t="str">
        <x:v>PASS</x:v>
      </x:c>
      <x:c r="F68" s="23" t="str">
        <x:f>'Release Gates'!I68</x:f>
        <x:v>PASS</x:v>
      </x:c>
      <x:c r="G68" t="str">
        <x:f>IF(ABS(IFERROR(E68-F68,0))&lt;0.0001,IF(OR(ISTEXT(E68),ISTEXT(F68)),IF(E68=F68,"PASS","FAIL"),"PASS"),"FAIL")</x:f>
        <x:v>PASS</x:v>
      </x:c>
      <x:c r="H68" t="str">
        <x:f>G68</x:f>
        <x:v>PASS</x:v>
      </x:c>
    </x:row>
    <x:row r="69">
      <x:c r="B69" t="str">
        <x:v>A-PL-063</x:v>
      </x:c>
      <x:c r="C69" t="str">
        <x:v>gate</x:v>
      </x:c>
      <x:c r="D69" t="str">
        <x:v>PL-PRO-08</x:v>
      </x:c>
      <x:c r="E69" s="23" t="str">
        <x:v>PASS</x:v>
      </x:c>
      <x:c r="F69" s="23" t="str">
        <x:f>'Release Gates'!I69</x:f>
        <x:v>PASS</x:v>
      </x:c>
      <x:c r="G69" t="str">
        <x:f>IF(ABS(IFERROR(E69-F69,0))&lt;0.0001,IF(OR(ISTEXT(E69),ISTEXT(F69)),IF(E69=F69,"PASS","FAIL"),"PASS"),"FAIL")</x:f>
        <x:v>PASS</x:v>
      </x:c>
      <x:c r="H69" t="str">
        <x:f>G69</x:f>
        <x:v>PASS</x:v>
      </x:c>
    </x:row>
    <x:row r="70">
      <x:c r="B70" t="str">
        <x:v>A-PL-064</x:v>
      </x:c>
      <x:c r="C70" t="str">
        <x:v>gate</x:v>
      </x:c>
      <x:c r="D70" t="str">
        <x:v>PL-PRO-09</x:v>
      </x:c>
      <x:c r="E70" s="23" t="str">
        <x:v>PASS</x:v>
      </x:c>
      <x:c r="F70" s="23" t="str">
        <x:f>'Release Gates'!I70</x:f>
        <x:v>PASS</x:v>
      </x:c>
      <x:c r="G70" t="str">
        <x:f>IF(ABS(IFERROR(E70-F70,0))&lt;0.0001,IF(OR(ISTEXT(E70),ISTEXT(F70)),IF(E70=F70,"PASS","FAIL"),"PASS"),"FAIL")</x:f>
        <x:v>PASS</x:v>
      </x:c>
      <x:c r="H70" t="str">
        <x:f>G70</x:f>
        <x:v>PASS</x:v>
      </x:c>
    </x:row>
    <x:row r="71">
      <x:c r="B71" t="str">
        <x:v>A-PL-065</x:v>
      </x:c>
      <x:c r="C71" t="str">
        <x:v>gate</x:v>
      </x:c>
      <x:c r="D71" t="str">
        <x:v>PL-PRO-10</x:v>
      </x:c>
      <x:c r="E71" s="23" t="str">
        <x:v>PASS</x:v>
      </x:c>
      <x:c r="F71" s="23" t="str">
        <x:f>'Release Gates'!I71</x:f>
        <x:v>PASS</x:v>
      </x:c>
      <x:c r="G71" t="str">
        <x:f>IF(ABS(IFERROR(E71-F71,0))&lt;0.0001,IF(OR(ISTEXT(E71),ISTEXT(F71)),IF(E71=F71,"PASS","FAIL"),"PASS"),"FAIL")</x:f>
        <x:v>PASS</x:v>
      </x:c>
      <x:c r="H71" t="str">
        <x:f>G71</x:f>
        <x:v>PASS</x:v>
      </x:c>
    </x:row>
    <x:row r="72">
      <x:c r="B72" t="str">
        <x:v>A-PL-066</x:v>
      </x:c>
      <x:c r="C72" t="str">
        <x:v>gate</x:v>
      </x:c>
      <x:c r="D72" t="str">
        <x:v>PL-PRO-11</x:v>
      </x:c>
      <x:c r="E72" s="23" t="str">
        <x:v>PASS</x:v>
      </x:c>
      <x:c r="F72" s="23" t="str">
        <x:f>'Release Gates'!I72</x:f>
        <x:v>PASS</x:v>
      </x:c>
      <x:c r="G72" t="str">
        <x:f>IF(ABS(IFERROR(E72-F72,0))&lt;0.0001,IF(OR(ISTEXT(E72),ISTEXT(F72)),IF(E72=F72,"PASS","FAIL"),"PASS"),"FAIL")</x:f>
        <x:v>PASS</x:v>
      </x:c>
      <x:c r="H72" t="str">
        <x:f>G72</x:f>
        <x:v>PASS</x:v>
      </x:c>
    </x:row>
    <x:row r="73">
      <x:c r="B73" t="str">
        <x:v>A-PL-067</x:v>
      </x:c>
      <x:c r="C73" t="str">
        <x:v>gate</x:v>
      </x:c>
      <x:c r="D73" t="str">
        <x:v>PL-PRO-12</x:v>
      </x:c>
      <x:c r="E73" s="23" t="str">
        <x:v>PASS</x:v>
      </x:c>
      <x:c r="F73" s="23" t="str">
        <x:f>'Release Gates'!I73</x:f>
        <x:v>PASS</x:v>
      </x:c>
      <x:c r="G73" t="str">
        <x:f>IF(ABS(IFERROR(E73-F73,0))&lt;0.0001,IF(OR(ISTEXT(E73),ISTEXT(F73)),IF(E73=F73,"PASS","FAIL"),"PASS"),"FAIL")</x:f>
        <x:v>PASS</x:v>
      </x:c>
      <x:c r="H73" t="str">
        <x:f>G73</x:f>
        <x:v>PASS</x:v>
      </x:c>
    </x:row>
    <x:row r="74">
      <x:c r="B74" t="str">
        <x:v>A-PL-068</x:v>
      </x:c>
      <x:c r="C74" t="str">
        <x:v>gate</x:v>
      </x:c>
      <x:c r="D74" t="str">
        <x:v>PL-PRO-13</x:v>
      </x:c>
      <x:c r="E74" s="23" t="str">
        <x:v>PASS</x:v>
      </x:c>
      <x:c r="F74" s="23" t="str">
        <x:f>'Release Gates'!I74</x:f>
        <x:v>PASS</x:v>
      </x:c>
      <x:c r="G74" t="str">
        <x:f>IF(ABS(IFERROR(E74-F74,0))&lt;0.0001,IF(OR(ISTEXT(E74),ISTEXT(F74)),IF(E74=F74,"PASS","FAIL"),"PASS"),"FAIL")</x:f>
        <x:v>PASS</x:v>
      </x:c>
      <x:c r="H74" t="str">
        <x:f>G74</x:f>
        <x:v>PASS</x:v>
      </x:c>
    </x:row>
    <x:row r="75">
      <x:c r="B75" t="str">
        <x:v>A-PL-069</x:v>
      </x:c>
      <x:c r="C75" t="str">
        <x:v>gate</x:v>
      </x:c>
      <x:c r="D75" t="str">
        <x:v>PL-PRO-14</x:v>
      </x:c>
      <x:c r="E75" s="23" t="str">
        <x:v>PASS</x:v>
      </x:c>
      <x:c r="F75" s="23" t="str">
        <x:f>'Release Gates'!I75</x:f>
        <x:v>PASS</x:v>
      </x:c>
      <x:c r="G75" t="str">
        <x:f>IF(ABS(IFERROR(E75-F75,0))&lt;0.0001,IF(OR(ISTEXT(E75),ISTEXT(F75)),IF(E75=F75,"PASS","FAIL"),"PASS"),"FAIL")</x:f>
        <x:v>PASS</x:v>
      </x:c>
      <x:c r="H75" t="str">
        <x:f>G75</x:f>
        <x:v>PASS</x:v>
      </x:c>
    </x:row>
    <x:row r="76">
      <x:c r="B76" t="str">
        <x:v>A-PL-070</x:v>
      </x:c>
      <x:c r="C76" t="str">
        <x:v>gate</x:v>
      </x:c>
      <x:c r="D76" t="str">
        <x:v>PL-PRO-15</x:v>
      </x:c>
      <x:c r="E76" s="23" t="str">
        <x:v>PASS</x:v>
      </x:c>
      <x:c r="F76" s="23" t="str">
        <x:f>'Release Gates'!I76</x:f>
        <x:v>PASS</x:v>
      </x:c>
      <x:c r="G76" t="str">
        <x:f>IF(ABS(IFERROR(E76-F76,0))&lt;0.0001,IF(OR(ISTEXT(E76),ISTEXT(F76)),IF(E76=F76,"PASS","FAIL"),"PASS"),"FAIL")</x:f>
        <x:v>PASS</x:v>
      </x:c>
      <x:c r="H76" t="str">
        <x:f>G76</x:f>
        <x:v>PASS</x:v>
      </x:c>
    </x:row>
    <x:row r="77">
      <x:c r="B77" t="str">
        <x:v>A-PL-071</x:v>
      </x:c>
      <x:c r="C77" t="str">
        <x:v>gate</x:v>
      </x:c>
      <x:c r="D77" t="str">
        <x:v>PL-PRO-16</x:v>
      </x:c>
      <x:c r="E77" s="23" t="str">
        <x:v>PASS</x:v>
      </x:c>
      <x:c r="F77" s="23" t="str">
        <x:f>'Release Gates'!I77</x:f>
        <x:v>PASS</x:v>
      </x:c>
      <x:c r="G77" t="str">
        <x:f>IF(ABS(IFERROR(E77-F77,0))&lt;0.0001,IF(OR(ISTEXT(E77),ISTEXT(F77)),IF(E77=F77,"PASS","FAIL"),"PASS"),"FAIL")</x:f>
        <x:v>PASS</x:v>
      </x:c>
      <x:c r="H77" t="str">
        <x:f>G77</x:f>
        <x:v>PASS</x:v>
      </x:c>
    </x:row>
    <x:row r="78">
      <x:c r="B78" t="str">
        <x:v>A-PL-072</x:v>
      </x:c>
      <x:c r="C78" t="str">
        <x:v>gate</x:v>
      </x:c>
      <x:c r="D78" t="str">
        <x:v>PL-PRO-17</x:v>
      </x:c>
      <x:c r="E78" s="23" t="str">
        <x:v>PASS</x:v>
      </x:c>
      <x:c r="F78" s="23" t="str">
        <x:f>'Release Gates'!I78</x:f>
        <x:v>PASS</x:v>
      </x:c>
      <x:c r="G78" t="str">
        <x:f>IF(ABS(IFERROR(E78-F78,0))&lt;0.0001,IF(OR(ISTEXT(E78),ISTEXT(F78)),IF(E78=F78,"PASS","FAIL"),"PASS"),"FAIL")</x:f>
        <x:v>PASS</x:v>
      </x:c>
      <x:c r="H78" t="str">
        <x:f>G78</x:f>
        <x:v>PASS</x:v>
      </x:c>
    </x:row>
    <x:row r="79">
      <x:c r="B79" t="str">
        <x:v>A-PL-073</x:v>
      </x:c>
      <x:c r="C79" t="str">
        <x:v>gate</x:v>
      </x:c>
      <x:c r="D79" t="str">
        <x:v>PL-PRO-18</x:v>
      </x:c>
      <x:c r="E79" s="23" t="str">
        <x:v>PASS</x:v>
      </x:c>
      <x:c r="F79" s="23" t="str">
        <x:f>'Release Gates'!I79</x:f>
        <x:v>PASS</x:v>
      </x:c>
      <x:c r="G79" t="str">
        <x:f>IF(ABS(IFERROR(E79-F79,0))&lt;0.0001,IF(OR(ISTEXT(E79),ISTEXT(F79)),IF(E79=F79,"PASS","FAIL"),"PASS"),"FAIL")</x:f>
        <x:v>PASS</x:v>
      </x:c>
      <x:c r="H79" t="str">
        <x:f>G79</x:f>
        <x:v>PASS</x:v>
      </x:c>
    </x:row>
    <x:row r="80">
      <x:c r="B80" t="str">
        <x:v>A-PL-074</x:v>
      </x:c>
      <x:c r="C80" t="str">
        <x:v>gate</x:v>
      </x:c>
      <x:c r="D80" t="str">
        <x:v>PL-PRO-19</x:v>
      </x:c>
      <x:c r="E80" s="23" t="str">
        <x:v>PASS</x:v>
      </x:c>
      <x:c r="F80" s="23" t="str">
        <x:f>'Release Gates'!I80</x:f>
        <x:v>PASS</x:v>
      </x:c>
      <x:c r="G80" t="str">
        <x:f>IF(ABS(IFERROR(E80-F80,0))&lt;0.0001,IF(OR(ISTEXT(E80),ISTEXT(F80)),IF(E80=F80,"PASS","FAIL"),"PASS"),"FAIL")</x:f>
        <x:v>PASS</x:v>
      </x:c>
      <x:c r="H80" t="str">
        <x:f>G80</x:f>
        <x:v>PASS</x:v>
      </x:c>
    </x:row>
    <x:row r="81">
      <x:c r="B81" t="str">
        <x:v>A-PL-075</x:v>
      </x:c>
      <x:c r="C81" t="str">
        <x:v>gate</x:v>
      </x:c>
      <x:c r="D81" t="str">
        <x:v>PL-PRO-20</x:v>
      </x:c>
      <x:c r="E81" s="23" t="str">
        <x:v>PASS</x:v>
      </x:c>
      <x:c r="F81" s="23" t="str">
        <x:f>'Release Gates'!I81</x:f>
        <x:v>PASS</x:v>
      </x:c>
      <x:c r="G81" t="str">
        <x:f>IF(ABS(IFERROR(E81-F81,0))&lt;0.0001,IF(OR(ISTEXT(E81),ISTEXT(F81)),IF(E81=F81,"PASS","FAIL"),"PASS"),"FAIL")</x:f>
        <x:v>PASS</x:v>
      </x:c>
      <x:c r="H81" t="str">
        <x:f>G81</x:f>
        <x:v>PASS</x:v>
      </x:c>
    </x:row>
    <x:row r="82">
      <x:c r="B82" t="str">
        <x:v>A-PL-076</x:v>
      </x:c>
      <x:c r="C82" t="str">
        <x:v>gate</x:v>
      </x:c>
      <x:c r="D82" t="str">
        <x:v>PL-PRO-21</x:v>
      </x:c>
      <x:c r="E82" s="23" t="str">
        <x:v>PASS</x:v>
      </x:c>
      <x:c r="F82" s="23" t="str">
        <x:f>'Release Gates'!I82</x:f>
        <x:v>PASS</x:v>
      </x:c>
      <x:c r="G82" t="str">
        <x:f>IF(ABS(IFERROR(E82-F82,0))&lt;0.0001,IF(OR(ISTEXT(E82),ISTEXT(F82)),IF(E82=F82,"PASS","FAIL"),"PASS"),"FAIL")</x:f>
        <x:v>PASS</x:v>
      </x:c>
      <x:c r="H82" t="str">
        <x:f>G82</x:f>
        <x:v>PASS</x:v>
      </x:c>
    </x:row>
    <x:row r="83">
      <x:c r="B83" t="str">
        <x:v>A-PL-077</x:v>
      </x:c>
      <x:c r="C83" t="str">
        <x:v>gate</x:v>
      </x:c>
      <x:c r="D83" t="str">
        <x:v>PL-PRO-22</x:v>
      </x:c>
      <x:c r="E83" s="23" t="str">
        <x:v>PASS</x:v>
      </x:c>
      <x:c r="F83" s="23" t="str">
        <x:f>'Release Gates'!I83</x:f>
        <x:v>PASS</x:v>
      </x:c>
      <x:c r="G83" t="str">
        <x:f>IF(ABS(IFERROR(E83-F83,0))&lt;0.0001,IF(OR(ISTEXT(E83),ISTEXT(F83)),IF(E83=F83,"PASS","FAIL"),"PASS"),"FAIL")</x:f>
        <x:v>PASS</x:v>
      </x:c>
      <x:c r="H83" t="str">
        <x:f>G83</x:f>
        <x:v>PASS</x:v>
      </x:c>
    </x:row>
    <x:row r="84">
      <x:c r="B84" t="str">
        <x:v>A-PL-078</x:v>
      </x:c>
      <x:c r="C84" t="str">
        <x:v>gate</x:v>
      </x:c>
      <x:c r="D84" t="str">
        <x:v>PL-PRO-23</x:v>
      </x:c>
      <x:c r="E84" s="23" t="str">
        <x:v>PASS</x:v>
      </x:c>
      <x:c r="F84" s="23" t="str">
        <x:f>'Release Gates'!I84</x:f>
        <x:v>PASS</x:v>
      </x:c>
      <x:c r="G84" t="str">
        <x:f>IF(ABS(IFERROR(E84-F84,0))&lt;0.0001,IF(OR(ISTEXT(E84),ISTEXT(F84)),IF(E84=F84,"PASS","FAIL"),"PASS"),"FAIL")</x:f>
        <x:v>PASS</x:v>
      </x:c>
      <x:c r="H84" t="str">
        <x:f>G84</x:f>
        <x:v>PASS</x:v>
      </x:c>
    </x:row>
    <x:row r="85">
      <x:c r="B85" t="str">
        <x:v>A-PL-079</x:v>
      </x:c>
      <x:c r="C85" t="str">
        <x:v>gate</x:v>
      </x:c>
      <x:c r="D85" t="str">
        <x:v>PL-PRO-24</x:v>
      </x:c>
      <x:c r="E85" s="23" t="str">
        <x:v>PASS</x:v>
      </x:c>
      <x:c r="F85" s="23" t="str">
        <x:f>'Release Gates'!I85</x:f>
        <x:v>PASS</x:v>
      </x:c>
      <x:c r="G85" t="str">
        <x:f>IF(ABS(IFERROR(E85-F85,0))&lt;0.0001,IF(OR(ISTEXT(E85),ISTEXT(F85)),IF(E85=F85,"PASS","FAIL"),"PASS"),"FAIL")</x:f>
        <x:v>PASS</x:v>
      </x:c>
      <x:c r="H85" t="str">
        <x:f>G85</x:f>
        <x:v>PASS</x:v>
      </x:c>
    </x:row>
    <x:row r="86">
      <x:c r="B86" t="str">
        <x:v>A-PL-080</x:v>
      </x:c>
      <x:c r="C86" t="str">
        <x:v>gate</x:v>
      </x:c>
      <x:c r="D86" t="str">
        <x:v>PL-PEV-001</x:v>
      </x:c>
      <x:c r="E86" s="23" t="str">
        <x:v>PASS</x:v>
      </x:c>
      <x:c r="F86" s="23" t="str">
        <x:f>'Release Gates'!I86</x:f>
        <x:v>PASS</x:v>
      </x:c>
      <x:c r="G86" t="str">
        <x:f>IF(ABS(IFERROR(E86-F86,0))&lt;0.0001,IF(OR(ISTEXT(E86),ISTEXT(F86)),IF(E86=F86,"PASS","FAIL"),"PASS"),"FAIL")</x:f>
        <x:v>PASS</x:v>
      </x:c>
      <x:c r="H86" t="str">
        <x:f>G86</x:f>
        <x:v>PASS</x:v>
      </x:c>
    </x:row>
    <x:row r="87">
      <x:c r="B87" t="str">
        <x:v>A-PL-081</x:v>
      </x:c>
      <x:c r="C87" t="str">
        <x:v>gate</x:v>
      </x:c>
      <x:c r="D87" t="str">
        <x:v>PL-PEV-002</x:v>
      </x:c>
      <x:c r="E87" s="23" t="str">
        <x:v>PASS</x:v>
      </x:c>
      <x:c r="F87" s="23" t="str">
        <x:f>'Release Gates'!I87</x:f>
        <x:v>PASS</x:v>
      </x:c>
      <x:c r="G87" t="str">
        <x:f>IF(ABS(IFERROR(E87-F87,0))&lt;0.0001,IF(OR(ISTEXT(E87),ISTEXT(F87)),IF(E87=F87,"PASS","FAIL"),"PASS"),"FAIL")</x:f>
        <x:v>PASS</x:v>
      </x:c>
      <x:c r="H87" t="str">
        <x:f>G87</x:f>
        <x:v>PASS</x:v>
      </x:c>
    </x:row>
    <x:row r="88">
      <x:c r="B88" t="str">
        <x:v>A-PL-082</x:v>
      </x:c>
      <x:c r="C88" t="str">
        <x:v>gate</x:v>
      </x:c>
      <x:c r="D88" t="str">
        <x:v>PL-PEV-003</x:v>
      </x:c>
      <x:c r="E88" s="23" t="str">
        <x:v>PASS</x:v>
      </x:c>
      <x:c r="F88" s="23" t="str">
        <x:f>'Release Gates'!I88</x:f>
        <x:v>PASS</x:v>
      </x:c>
      <x:c r="G88" t="str">
        <x:f>IF(ABS(IFERROR(E88-F88,0))&lt;0.0001,IF(OR(ISTEXT(E88),ISTEXT(F88)),IF(E88=F88,"PASS","FAIL"),"PASS"),"FAIL")</x:f>
        <x:v>PASS</x:v>
      </x:c>
      <x:c r="H88" t="str">
        <x:f>G88</x:f>
        <x:v>PASS</x:v>
      </x:c>
    </x:row>
    <x:row r="89">
      <x:c r="B89" t="str">
        <x:v>A-PL-083</x:v>
      </x:c>
      <x:c r="C89" t="str">
        <x:v>gate</x:v>
      </x:c>
      <x:c r="D89" t="str">
        <x:v>PL-PEV-004</x:v>
      </x:c>
      <x:c r="E89" s="23" t="str">
        <x:v>PASS</x:v>
      </x:c>
      <x:c r="F89" s="23" t="str">
        <x:f>'Release Gates'!I89</x:f>
        <x:v>PASS</x:v>
      </x:c>
      <x:c r="G89" t="str">
        <x:f>IF(ABS(IFERROR(E89-F89,0))&lt;0.0001,IF(OR(ISTEXT(E89),ISTEXT(F89)),IF(E89=F89,"PASS","FAIL"),"PASS"),"FAIL")</x:f>
        <x:v>PASS</x:v>
      </x:c>
      <x:c r="H89" t="str">
        <x:f>G89</x:f>
        <x:v>PASS</x:v>
      </x:c>
    </x:row>
    <x:row r="90">
      <x:c r="B90" t="str">
        <x:v>A-PL-084</x:v>
      </x:c>
      <x:c r="C90" t="str">
        <x:v>gate</x:v>
      </x:c>
      <x:c r="D90" t="str">
        <x:v>PL-PEV-005</x:v>
      </x:c>
      <x:c r="E90" s="23" t="str">
        <x:v>PASS</x:v>
      </x:c>
      <x:c r="F90" s="23" t="str">
        <x:f>'Release Gates'!I90</x:f>
        <x:v>PASS</x:v>
      </x:c>
      <x:c r="G90" t="str">
        <x:f>IF(ABS(IFERROR(E90-F90,0))&lt;0.0001,IF(OR(ISTEXT(E90),ISTEXT(F90)),IF(E90=F90,"PASS","FAIL"),"PASS"),"FAIL")</x:f>
        <x:v>PASS</x:v>
      </x:c>
      <x:c r="H90" t="str">
        <x:f>G90</x:f>
        <x:v>PASS</x:v>
      </x:c>
    </x:row>
    <x:row r="91">
      <x:c r="B91" t="str">
        <x:v>A-PL-085</x:v>
      </x:c>
      <x:c r="C91" t="str">
        <x:v>gate</x:v>
      </x:c>
      <x:c r="D91" t="str">
        <x:v>PL-PEV-006</x:v>
      </x:c>
      <x:c r="E91" s="23" t="str">
        <x:v>PASS</x:v>
      </x:c>
      <x:c r="F91" s="23" t="str">
        <x:f>'Release Gates'!I91</x:f>
        <x:v>PASS</x:v>
      </x:c>
      <x:c r="G91" t="str">
        <x:f>IF(ABS(IFERROR(E91-F91,0))&lt;0.0001,IF(OR(ISTEXT(E91),ISTEXT(F91)),IF(E91=F91,"PASS","FAIL"),"PASS"),"FAIL")</x:f>
        <x:v>PASS</x:v>
      </x:c>
      <x:c r="H91" t="str">
        <x:f>G91</x:f>
        <x:v>PASS</x:v>
      </x:c>
    </x:row>
    <x:row r="92">
      <x:c r="B92" t="str">
        <x:v>A-PL-086</x:v>
      </x:c>
      <x:c r="C92" t="str">
        <x:v>gate</x:v>
      </x:c>
      <x:c r="D92" t="str">
        <x:v>PL-PEV-007</x:v>
      </x:c>
      <x:c r="E92" s="23" t="str">
        <x:v>PASS</x:v>
      </x:c>
      <x:c r="F92" s="23" t="str">
        <x:f>'Release Gates'!I92</x:f>
        <x:v>PASS</x:v>
      </x:c>
      <x:c r="G92" t="str">
        <x:f>IF(ABS(IFERROR(E92-F92,0))&lt;0.0001,IF(OR(ISTEXT(E92),ISTEXT(F92)),IF(E92=F92,"PASS","FAIL"),"PASS"),"FAIL")</x:f>
        <x:v>PASS</x:v>
      </x:c>
      <x:c r="H92" t="str">
        <x:f>G92</x:f>
        <x:v>PASS</x:v>
      </x:c>
    </x:row>
    <x:row r="93">
      <x:c r="B93" t="str">
        <x:v>A-PL-087</x:v>
      </x:c>
      <x:c r="C93" t="str">
        <x:v>gate</x:v>
      </x:c>
      <x:c r="D93" t="str">
        <x:v>PL-PEV-008</x:v>
      </x:c>
      <x:c r="E93" s="23" t="str">
        <x:v>PASS</x:v>
      </x:c>
      <x:c r="F93" s="23" t="str">
        <x:f>'Release Gates'!I93</x:f>
        <x:v>PASS</x:v>
      </x:c>
      <x:c r="G93" t="str">
        <x:f>IF(ABS(IFERROR(E93-F93,0))&lt;0.0001,IF(OR(ISTEXT(E93),ISTEXT(F93)),IF(E93=F93,"PASS","FAIL"),"PASS"),"FAIL")</x:f>
        <x:v>PASS</x:v>
      </x:c>
      <x:c r="H93" t="str">
        <x:f>G93</x:f>
        <x:v>PASS</x:v>
      </x:c>
    </x:row>
    <x:row r="94">
      <x:c r="B94" t="str">
        <x:v>A-PL-088</x:v>
      </x:c>
      <x:c r="C94" t="str">
        <x:v>gate</x:v>
      </x:c>
      <x:c r="D94" t="str">
        <x:v>PL-PEV-009</x:v>
      </x:c>
      <x:c r="E94" s="23" t="str">
        <x:v>PASS</x:v>
      </x:c>
      <x:c r="F94" s="23" t="str">
        <x:f>'Release Gates'!I94</x:f>
        <x:v>PASS</x:v>
      </x:c>
      <x:c r="G94" t="str">
        <x:f>IF(ABS(IFERROR(E94-F94,0))&lt;0.0001,IF(OR(ISTEXT(E94),ISTEXT(F94)),IF(E94=F94,"PASS","FAIL"),"PASS"),"FAIL")</x:f>
        <x:v>PASS</x:v>
      </x:c>
      <x:c r="H94" t="str">
        <x:f>G94</x:f>
        <x:v>PASS</x:v>
      </x:c>
    </x:row>
    <x:row r="95">
      <x:c r="B95" t="str">
        <x:v>A-PL-089</x:v>
      </x:c>
      <x:c r="C95" t="str">
        <x:v>gate</x:v>
      </x:c>
      <x:c r="D95" t="str">
        <x:v>PL-PEV-010</x:v>
      </x:c>
      <x:c r="E95" s="23" t="str">
        <x:v>PASS</x:v>
      </x:c>
      <x:c r="F95" s="23" t="str">
        <x:f>'Release Gates'!I95</x:f>
        <x:v>PASS</x:v>
      </x:c>
      <x:c r="G95" t="str">
        <x:f>IF(ABS(IFERROR(E95-F95,0))&lt;0.0001,IF(OR(ISTEXT(E95),ISTEXT(F95)),IF(E95=F95,"PASS","FAIL"),"PASS"),"FAIL")</x:f>
        <x:v>PASS</x:v>
      </x:c>
      <x:c r="H95" t="str">
        <x:f>G95</x:f>
        <x:v>PASS</x:v>
      </x:c>
    </x:row>
    <x:row r="96">
      <x:c r="B96" t="str">
        <x:v>A-PL-090</x:v>
      </x:c>
      <x:c r="C96" t="str">
        <x:v>gate</x:v>
      </x:c>
      <x:c r="D96" t="str">
        <x:v>PL-PEV-011</x:v>
      </x:c>
      <x:c r="E96" s="23" t="str">
        <x:v>PASS</x:v>
      </x:c>
      <x:c r="F96" s="23" t="str">
        <x:f>'Release Gates'!I96</x:f>
        <x:v>PASS</x:v>
      </x:c>
      <x:c r="G96" t="str">
        <x:f>IF(ABS(IFERROR(E96-F96,0))&lt;0.0001,IF(OR(ISTEXT(E96),ISTEXT(F96)),IF(E96=F96,"PASS","FAIL"),"PASS"),"FAIL")</x:f>
        <x:v>PASS</x:v>
      </x:c>
      <x:c r="H96" t="str">
        <x:f>G96</x:f>
        <x:v>PASS</x:v>
      </x:c>
    </x:row>
    <x:row r="97">
      <x:c r="B97" t="str">
        <x:v>A-PL-091</x:v>
      </x:c>
      <x:c r="C97" t="str">
        <x:v>gate</x:v>
      </x:c>
      <x:c r="D97" t="str">
        <x:v>PL-PEV-012</x:v>
      </x:c>
      <x:c r="E97" s="23" t="str">
        <x:v>PASS</x:v>
      </x:c>
      <x:c r="F97" s="23" t="str">
        <x:f>'Release Gates'!I97</x:f>
        <x:v>PASS</x:v>
      </x:c>
      <x:c r="G97" t="str">
        <x:f>IF(ABS(IFERROR(E97-F97,0))&lt;0.0001,IF(OR(ISTEXT(E97),ISTEXT(F97)),IF(E97=F97,"PASS","FAIL"),"PASS"),"FAIL")</x:f>
        <x:v>PASS</x:v>
      </x:c>
      <x:c r="H97" t="str">
        <x:f>G97</x:f>
        <x:v>PASS</x:v>
      </x:c>
    </x:row>
    <x:row r="98">
      <x:c r="B98" t="str">
        <x:v>A-PL-092</x:v>
      </x:c>
      <x:c r="C98" t="str">
        <x:v>gate</x:v>
      </x:c>
      <x:c r="D98" t="str">
        <x:v>PL-PEV-013</x:v>
      </x:c>
      <x:c r="E98" s="23" t="str">
        <x:v>PASS</x:v>
      </x:c>
      <x:c r="F98" s="23" t="str">
        <x:f>'Release Gates'!I98</x:f>
        <x:v>PASS</x:v>
      </x:c>
      <x:c r="G98" t="str">
        <x:f>IF(ABS(IFERROR(E98-F98,0))&lt;0.0001,IF(OR(ISTEXT(E98),ISTEXT(F98)),IF(E98=F98,"PASS","FAIL"),"PASS"),"FAIL")</x:f>
        <x:v>PASS</x:v>
      </x:c>
      <x:c r="H98" t="str">
        <x:f>G98</x:f>
        <x:v>PASS</x:v>
      </x:c>
    </x:row>
    <x:row r="99">
      <x:c r="B99" t="str">
        <x:v>A-PL-093</x:v>
      </x:c>
      <x:c r="C99" t="str">
        <x:v>gate</x:v>
      </x:c>
      <x:c r="D99" t="str">
        <x:v>PL-PEV-014</x:v>
      </x:c>
      <x:c r="E99" s="23" t="str">
        <x:v>PASS</x:v>
      </x:c>
      <x:c r="F99" s="23" t="str">
        <x:f>'Release Gates'!I99</x:f>
        <x:v>PASS</x:v>
      </x:c>
      <x:c r="G99" t="str">
        <x:f>IF(ABS(IFERROR(E99-F99,0))&lt;0.0001,IF(OR(ISTEXT(E99),ISTEXT(F99)),IF(E99=F99,"PASS","FAIL"),"PASS"),"FAIL")</x:f>
        <x:v>PASS</x:v>
      </x:c>
      <x:c r="H99" t="str">
        <x:f>G99</x:f>
        <x:v>PASS</x:v>
      </x:c>
    </x:row>
    <x:row r="100">
      <x:c r="B100" t="str">
        <x:v>A-PL-094</x:v>
      </x:c>
      <x:c r="C100" t="str">
        <x:v>gate</x:v>
      </x:c>
      <x:c r="D100" t="str">
        <x:v>PL-PEV-015</x:v>
      </x:c>
      <x:c r="E100" s="23" t="str">
        <x:v>PASS</x:v>
      </x:c>
      <x:c r="F100" s="23" t="str">
        <x:f>'Release Gates'!I100</x:f>
        <x:v>PASS</x:v>
      </x:c>
      <x:c r="G100" t="str">
        <x:f>IF(ABS(IFERROR(E100-F100,0))&lt;0.0001,IF(OR(ISTEXT(E100),ISTEXT(F100)),IF(E100=F100,"PASS","FAIL"),"PASS"),"FAIL")</x:f>
        <x:v>PASS</x:v>
      </x:c>
      <x:c r="H100" t="str">
        <x:f>G100</x:f>
        <x:v>PASS</x:v>
      </x:c>
    </x:row>
    <x:row r="101">
      <x:c r="B101" t="str">
        <x:v>A-PL-095</x:v>
      </x:c>
      <x:c r="C101" t="str">
        <x:v>gate</x:v>
      </x:c>
      <x:c r="D101" t="str">
        <x:v>PL-PEV-016</x:v>
      </x:c>
      <x:c r="E101" s="23" t="str">
        <x:v>PASS</x:v>
      </x:c>
      <x:c r="F101" s="23" t="str">
        <x:f>'Release Gates'!I101</x:f>
        <x:v>PASS</x:v>
      </x:c>
      <x:c r="G101" t="str">
        <x:f>IF(ABS(IFERROR(E101-F101,0))&lt;0.0001,IF(OR(ISTEXT(E101),ISTEXT(F101)),IF(E101=F101,"PASS","FAIL"),"PASS"),"FAIL")</x:f>
        <x:v>PASS</x:v>
      </x:c>
      <x:c r="H101" t="str">
        <x:f>G101</x:f>
        <x:v>PASS</x:v>
      </x:c>
    </x:row>
    <x:row r="102">
      <x:c r="B102" t="str">
        <x:v>A-PL-096</x:v>
      </x:c>
      <x:c r="C102" t="str">
        <x:v>gate</x:v>
      </x:c>
      <x:c r="D102" t="str">
        <x:v>PL-PEV-017</x:v>
      </x:c>
      <x:c r="E102" s="23" t="str">
        <x:v>PASS</x:v>
      </x:c>
      <x:c r="F102" s="23" t="str">
        <x:f>'Release Gates'!I102</x:f>
        <x:v>PASS</x:v>
      </x:c>
      <x:c r="G102" t="str">
        <x:f>IF(ABS(IFERROR(E102-F102,0))&lt;0.0001,IF(OR(ISTEXT(E102),ISTEXT(F102)),IF(E102=F102,"PASS","FAIL"),"PASS"),"FAIL")</x:f>
        <x:v>PASS</x:v>
      </x:c>
      <x:c r="H102" t="str">
        <x:f>G102</x:f>
        <x:v>PASS</x:v>
      </x:c>
    </x:row>
    <x:row r="103">
      <x:c r="B103" t="str">
        <x:v>A-PL-097</x:v>
      </x:c>
      <x:c r="C103" t="str">
        <x:v>gate</x:v>
      </x:c>
      <x:c r="D103" t="str">
        <x:v>PL-PEV-018</x:v>
      </x:c>
      <x:c r="E103" s="23" t="str">
        <x:v>PASS</x:v>
      </x:c>
      <x:c r="F103" s="23" t="str">
        <x:f>'Release Gates'!I103</x:f>
        <x:v>PASS</x:v>
      </x:c>
      <x:c r="G103" t="str">
        <x:f>IF(ABS(IFERROR(E103-F103,0))&lt;0.0001,IF(OR(ISTEXT(E103),ISTEXT(F103)),IF(E103=F103,"PASS","FAIL"),"PASS"),"FAIL")</x:f>
        <x:v>PASS</x:v>
      </x:c>
      <x:c r="H103" t="str">
        <x:f>G103</x:f>
        <x:v>PASS</x:v>
      </x:c>
    </x:row>
    <x:row r="104">
      <x:c r="B104" t="str">
        <x:v>A-PL-098</x:v>
      </x:c>
      <x:c r="C104" t="str">
        <x:v>gate</x:v>
      </x:c>
      <x:c r="D104" t="str">
        <x:v>PL-PEV-019</x:v>
      </x:c>
      <x:c r="E104" s="23" t="str">
        <x:v>PASS</x:v>
      </x:c>
      <x:c r="F104" s="23" t="str">
        <x:f>'Release Gates'!I104</x:f>
        <x:v>PASS</x:v>
      </x:c>
      <x:c r="G104" t="str">
        <x:f>IF(ABS(IFERROR(E104-F104,0))&lt;0.0001,IF(OR(ISTEXT(E104),ISTEXT(F104)),IF(E104=F104,"PASS","FAIL"),"PASS"),"FAIL")</x:f>
        <x:v>PASS</x:v>
      </x:c>
      <x:c r="H104" t="str">
        <x:f>G104</x:f>
        <x:v>PASS</x:v>
      </x:c>
    </x:row>
    <x:row r="105">
      <x:c r="B105" t="str">
        <x:v>A-PL-099</x:v>
      </x:c>
      <x:c r="C105" t="str">
        <x:v>gate</x:v>
      </x:c>
      <x:c r="D105" t="str">
        <x:v>PL-PEV-020</x:v>
      </x:c>
      <x:c r="E105" s="23" t="str">
        <x:v>PASS</x:v>
      </x:c>
      <x:c r="F105" s="23" t="str">
        <x:f>'Release Gates'!I105</x:f>
        <x:v>PASS</x:v>
      </x:c>
      <x:c r="G105" t="str">
        <x:f>IF(ABS(IFERROR(E105-F105,0))&lt;0.0001,IF(OR(ISTEXT(E105),ISTEXT(F105)),IF(E105=F105,"PASS","FAIL"),"PASS"),"FAIL")</x:f>
        <x:v>PASS</x:v>
      </x:c>
      <x:c r="H105" t="str">
        <x:f>G105</x:f>
        <x:v>PASS</x:v>
      </x:c>
    </x:row>
    <x:row r="106">
      <x:c r="B106" t="str">
        <x:v>A-PL-100</x:v>
      </x:c>
      <x:c r="C106" t="str">
        <x:v>gate</x:v>
      </x:c>
      <x:c r="D106" t="str">
        <x:v>PL-PEV-021</x:v>
      </x:c>
      <x:c r="E106" s="23" t="str">
        <x:v>PASS</x:v>
      </x:c>
      <x:c r="F106" s="23" t="str">
        <x:f>'Release Gates'!I106</x:f>
        <x:v>PASS</x:v>
      </x:c>
      <x:c r="G106" t="str">
        <x:f>IF(ABS(IFERROR(E106-F106,0))&lt;0.0001,IF(OR(ISTEXT(E106),ISTEXT(F106)),IF(E106=F106,"PASS","FAIL"),"PASS"),"FAIL")</x:f>
        <x:v>PASS</x:v>
      </x:c>
      <x:c r="H106" t="str">
        <x:f>G106</x:f>
        <x:v>PASS</x:v>
      </x:c>
    </x:row>
    <x:row r="107">
      <x:c r="B107" t="str">
        <x:v>A-PL-101</x:v>
      </x:c>
      <x:c r="C107" t="str">
        <x:v>gate</x:v>
      </x:c>
      <x:c r="D107" t="str">
        <x:v>PL-PEV-022</x:v>
      </x:c>
      <x:c r="E107" s="23" t="str">
        <x:v>PASS</x:v>
      </x:c>
      <x:c r="F107" s="23" t="str">
        <x:f>'Release Gates'!I107</x:f>
        <x:v>PASS</x:v>
      </x:c>
      <x:c r="G107" t="str">
        <x:f>IF(ABS(IFERROR(E107-F107,0))&lt;0.0001,IF(OR(ISTEXT(E107),ISTEXT(F107)),IF(E107=F107,"PASS","FAIL"),"PASS"),"FAIL")</x:f>
        <x:v>PASS</x:v>
      </x:c>
      <x:c r="H107" t="str">
        <x:f>G107</x:f>
        <x:v>PASS</x:v>
      </x:c>
    </x:row>
    <x:row r="108">
      <x:c r="B108" t="str">
        <x:v>A-PL-102</x:v>
      </x:c>
      <x:c r="C108" t="str">
        <x:v>gate</x:v>
      </x:c>
      <x:c r="D108" t="str">
        <x:v>PL-PEV-023</x:v>
      </x:c>
      <x:c r="E108" s="23" t="str">
        <x:v>PASS</x:v>
      </x:c>
      <x:c r="F108" s="23" t="str">
        <x:f>'Release Gates'!I108</x:f>
        <x:v>PASS</x:v>
      </x:c>
      <x:c r="G108" t="str">
        <x:f>IF(ABS(IFERROR(E108-F108,0))&lt;0.0001,IF(OR(ISTEXT(E108),ISTEXT(F108)),IF(E108=F108,"PASS","FAIL"),"PASS"),"FAIL")</x:f>
        <x:v>PASS</x:v>
      </x:c>
      <x:c r="H108" t="str">
        <x:f>G108</x:f>
        <x:v>PASS</x:v>
      </x:c>
    </x:row>
    <x:row r="109">
      <x:c r="B109" t="str">
        <x:v>A-PL-103</x:v>
      </x:c>
      <x:c r="C109" t="str">
        <x:v>gate</x:v>
      </x:c>
      <x:c r="D109" t="str">
        <x:v>PL-PEV-024</x:v>
      </x:c>
      <x:c r="E109" s="23" t="str">
        <x:v>PASS</x:v>
      </x:c>
      <x:c r="F109" s="23" t="str">
        <x:f>'Release Gates'!I109</x:f>
        <x:v>PASS</x:v>
      </x:c>
      <x:c r="G109" t="str">
        <x:f>IF(ABS(IFERROR(E109-F109,0))&lt;0.0001,IF(OR(ISTEXT(E109),ISTEXT(F109)),IF(E109=F109,"PASS","FAIL"),"PASS"),"FAIL")</x:f>
        <x:v>PASS</x:v>
      </x:c>
      <x:c r="H109" t="str">
        <x:f>G109</x:f>
        <x:v>PASS</x:v>
      </x:c>
    </x:row>
    <x:row r="110">
      <x:c r="B110" t="str">
        <x:v>A-PL-104</x:v>
      </x:c>
      <x:c r="C110" t="str">
        <x:v>gate</x:v>
      </x:c>
      <x:c r="D110" t="str">
        <x:v>PL-PEV-025</x:v>
      </x:c>
      <x:c r="E110" s="23" t="str">
        <x:v>PASS</x:v>
      </x:c>
      <x:c r="F110" s="23" t="str">
        <x:f>'Release Gates'!I110</x:f>
        <x:v>PASS</x:v>
      </x:c>
      <x:c r="G110" t="str">
        <x:f>IF(ABS(IFERROR(E110-F110,0))&lt;0.0001,IF(OR(ISTEXT(E110),ISTEXT(F110)),IF(E110=F110,"PASS","FAIL"),"PASS"),"FAIL")</x:f>
        <x:v>PASS</x:v>
      </x:c>
      <x:c r="H110" t="str">
        <x:f>G110</x:f>
        <x:v>PASS</x:v>
      </x:c>
    </x:row>
    <x:row r="111">
      <x:c r="B111" t="str">
        <x:v>A-PL-105</x:v>
      </x:c>
      <x:c r="C111" t="str">
        <x:v>gate</x:v>
      </x:c>
      <x:c r="D111" t="str">
        <x:v>PL-PEV-026</x:v>
      </x:c>
      <x:c r="E111" s="23" t="str">
        <x:v>PASS</x:v>
      </x:c>
      <x:c r="F111" s="23" t="str">
        <x:f>'Release Gates'!I111</x:f>
        <x:v>PASS</x:v>
      </x:c>
      <x:c r="G111" t="str">
        <x:f>IF(ABS(IFERROR(E111-F111,0))&lt;0.0001,IF(OR(ISTEXT(E111),ISTEXT(F111)),IF(E111=F111,"PASS","FAIL"),"PASS"),"FAIL")</x:f>
        <x:v>PASS</x:v>
      </x:c>
      <x:c r="H111" t="str">
        <x:f>G111</x:f>
        <x:v>PASS</x:v>
      </x:c>
    </x:row>
    <x:row r="112">
      <x:c r="B112" t="str">
        <x:v>A-PL-106</x:v>
      </x:c>
      <x:c r="C112" t="str">
        <x:v>gate</x:v>
      </x:c>
      <x:c r="D112" t="str">
        <x:v>PL-PEV-027</x:v>
      </x:c>
      <x:c r="E112" s="23" t="str">
        <x:v>PASS</x:v>
      </x:c>
      <x:c r="F112" s="23" t="str">
        <x:f>'Release Gates'!I112</x:f>
        <x:v>PASS</x:v>
      </x:c>
      <x:c r="G112" t="str">
        <x:f>IF(ABS(IFERROR(E112-F112,0))&lt;0.0001,IF(OR(ISTEXT(E112),ISTEXT(F112)),IF(E112=F112,"PASS","FAIL"),"PASS"),"FAIL")</x:f>
        <x:v>PASS</x:v>
      </x:c>
      <x:c r="H112" t="str">
        <x:f>G112</x:f>
        <x:v>PASS</x:v>
      </x:c>
    </x:row>
    <x:row r="113">
      <x:c r="B113" t="str">
        <x:v>A-PL-107</x:v>
      </x:c>
      <x:c r="C113" t="str">
        <x:v>gate</x:v>
      </x:c>
      <x:c r="D113" t="str">
        <x:v>PL-PEV-028</x:v>
      </x:c>
      <x:c r="E113" s="23" t="str">
        <x:v>PASS</x:v>
      </x:c>
      <x:c r="F113" s="23" t="str">
        <x:f>'Release Gates'!I113</x:f>
        <x:v>PASS</x:v>
      </x:c>
      <x:c r="G113" t="str">
        <x:f>IF(ABS(IFERROR(E113-F113,0))&lt;0.0001,IF(OR(ISTEXT(E113),ISTEXT(F113)),IF(E113=F113,"PASS","FAIL"),"PASS"),"FAIL")</x:f>
        <x:v>PASS</x:v>
      </x:c>
      <x:c r="H113" t="str">
        <x:f>G113</x:f>
        <x:v>PASS</x:v>
      </x:c>
    </x:row>
    <x:row r="114">
      <x:c r="B114" t="str">
        <x:v>A-PL-108</x:v>
      </x:c>
      <x:c r="C114" t="str">
        <x:v>gate</x:v>
      </x:c>
      <x:c r="D114" t="str">
        <x:v>PL-PEV-029</x:v>
      </x:c>
      <x:c r="E114" s="23" t="str">
        <x:v>PASS</x:v>
      </x:c>
      <x:c r="F114" s="23" t="str">
        <x:f>'Release Gates'!I114</x:f>
        <x:v>PASS</x:v>
      </x:c>
      <x:c r="G114" t="str">
        <x:f>IF(ABS(IFERROR(E114-F114,0))&lt;0.0001,IF(OR(ISTEXT(E114),ISTEXT(F114)),IF(E114=F114,"PASS","FAIL"),"PASS"),"FAIL")</x:f>
        <x:v>PASS</x:v>
      </x:c>
      <x:c r="H114" t="str">
        <x:f>G114</x:f>
        <x:v>PASS</x:v>
      </x:c>
    </x:row>
    <x:row r="115">
      <x:c r="B115" t="str">
        <x:v>A-PL-109</x:v>
      </x:c>
      <x:c r="C115" t="str">
        <x:v>gate</x:v>
      </x:c>
      <x:c r="D115" t="str">
        <x:v>PL-PEV-030</x:v>
      </x:c>
      <x:c r="E115" s="23" t="str">
        <x:v>PASS</x:v>
      </x:c>
      <x:c r="F115" s="23" t="str">
        <x:f>'Release Gates'!I115</x:f>
        <x:v>PASS</x:v>
      </x:c>
      <x:c r="G115" t="str">
        <x:f>IF(ABS(IFERROR(E115-F115,0))&lt;0.0001,IF(OR(ISTEXT(E115),ISTEXT(F115)),IF(E115=F115,"PASS","FAIL"),"PASS"),"FAIL")</x:f>
        <x:v>PASS</x:v>
      </x:c>
      <x:c r="H115" t="str">
        <x:f>G115</x:f>
        <x:v>PASS</x:v>
      </x:c>
    </x:row>
    <x:row r="116">
      <x:c r="B116" t="str">
        <x:v>A-PL-110</x:v>
      </x:c>
      <x:c r="C116" t="str">
        <x:v>gate</x:v>
      </x:c>
      <x:c r="D116" t="str">
        <x:v>PL-PEV-031</x:v>
      </x:c>
      <x:c r="E116" s="23" t="str">
        <x:v>PASS</x:v>
      </x:c>
      <x:c r="F116" s="23" t="str">
        <x:f>'Release Gates'!I116</x:f>
        <x:v>PASS</x:v>
      </x:c>
      <x:c r="G116" t="str">
        <x:f>IF(ABS(IFERROR(E116-F116,0))&lt;0.0001,IF(OR(ISTEXT(E116),ISTEXT(F116)),IF(E116=F116,"PASS","FAIL"),"PASS"),"FAIL")</x:f>
        <x:v>PASS</x:v>
      </x:c>
      <x:c r="H116" t="str">
        <x:f>G116</x:f>
        <x:v>PASS</x:v>
      </x:c>
    </x:row>
    <x:row r="117">
      <x:c r="B117" t="str">
        <x:v>A-PL-111</x:v>
      </x:c>
      <x:c r="C117" t="str">
        <x:v>gate</x:v>
      </x:c>
      <x:c r="D117" t="str">
        <x:v>PL-PEV-032</x:v>
      </x:c>
      <x:c r="E117" s="23" t="str">
        <x:v>PASS</x:v>
      </x:c>
      <x:c r="F117" s="23" t="str">
        <x:f>'Release Gates'!I117</x:f>
        <x:v>PASS</x:v>
      </x:c>
      <x:c r="G117" t="str">
        <x:f>IF(ABS(IFERROR(E117-F117,0))&lt;0.0001,IF(OR(ISTEXT(E117),ISTEXT(F117)),IF(E117=F117,"PASS","FAIL"),"PASS"),"FAIL")</x:f>
        <x:v>PASS</x:v>
      </x:c>
      <x:c r="H117" t="str">
        <x:f>G117</x:f>
        <x:v>PASS</x:v>
      </x:c>
    </x:row>
    <x:row r="118">
      <x:c r="B118" t="str">
        <x:v>A-PL-112</x:v>
      </x:c>
      <x:c r="C118" t="str">
        <x:v>gate</x:v>
      </x:c>
      <x:c r="D118" t="str">
        <x:v>PL-PEV-033</x:v>
      </x:c>
      <x:c r="E118" s="23" t="str">
        <x:v>PASS</x:v>
      </x:c>
      <x:c r="F118" s="23" t="str">
        <x:f>'Release Gates'!I118</x:f>
        <x:v>PASS</x:v>
      </x:c>
      <x:c r="G118" t="str">
        <x:f>IF(ABS(IFERROR(E118-F118,0))&lt;0.0001,IF(OR(ISTEXT(E118),ISTEXT(F118)),IF(E118=F118,"PASS","FAIL"),"PASS"),"FAIL")</x:f>
        <x:v>PASS</x:v>
      </x:c>
      <x:c r="H118" t="str">
        <x:f>G118</x:f>
        <x:v>PASS</x:v>
      </x:c>
    </x:row>
    <x:row r="119">
      <x:c r="B119" t="str">
        <x:v>A-PL-113</x:v>
      </x:c>
      <x:c r="C119" t="str">
        <x:v>gate</x:v>
      </x:c>
      <x:c r="D119" t="str">
        <x:v>PL-PEV-034</x:v>
      </x:c>
      <x:c r="E119" s="23" t="str">
        <x:v>PASS</x:v>
      </x:c>
      <x:c r="F119" s="23" t="str">
        <x:f>'Release Gates'!I119</x:f>
        <x:v>PASS</x:v>
      </x:c>
      <x:c r="G119" t="str">
        <x:f>IF(ABS(IFERROR(E119-F119,0))&lt;0.0001,IF(OR(ISTEXT(E119),ISTEXT(F119)),IF(E119=F119,"PASS","FAIL"),"PASS"),"FAIL")</x:f>
        <x:v>PASS</x:v>
      </x:c>
      <x:c r="H119" t="str">
        <x:f>G119</x:f>
        <x:v>PASS</x:v>
      </x:c>
    </x:row>
    <x:row r="120">
      <x:c r="B120" t="str">
        <x:v>A-PL-114</x:v>
      </x:c>
      <x:c r="C120" t="str">
        <x:v>gate</x:v>
      </x:c>
      <x:c r="D120" t="str">
        <x:v>PL-PEV-035</x:v>
      </x:c>
      <x:c r="E120" s="23" t="str">
        <x:v>PASS</x:v>
      </x:c>
      <x:c r="F120" s="23" t="str">
        <x:f>'Release Gates'!I120</x:f>
        <x:v>PASS</x:v>
      </x:c>
      <x:c r="G120" t="str">
        <x:f>IF(ABS(IFERROR(E120-F120,0))&lt;0.0001,IF(OR(ISTEXT(E120),ISTEXT(F120)),IF(E120=F120,"PASS","FAIL"),"PASS"),"FAIL")</x:f>
        <x:v>PASS</x:v>
      </x:c>
      <x:c r="H120" t="str">
        <x:f>G120</x:f>
        <x:v>PASS</x:v>
      </x:c>
    </x:row>
    <x:row r="121">
      <x:c r="B121" t="str">
        <x:v>A-PL-115</x:v>
      </x:c>
      <x:c r="C121" t="str">
        <x:v>gate</x:v>
      </x:c>
      <x:c r="D121" t="str">
        <x:v>PL-PEV-036</x:v>
      </x:c>
      <x:c r="E121" s="23" t="str">
        <x:v>PASS</x:v>
      </x:c>
      <x:c r="F121" s="23" t="str">
        <x:f>'Release Gates'!I121</x:f>
        <x:v>PASS</x:v>
      </x:c>
      <x:c r="G121" t="str">
        <x:f>IF(ABS(IFERROR(E121-F121,0))&lt;0.0001,IF(OR(ISTEXT(E121),ISTEXT(F121)),IF(E121=F121,"PASS","FAIL"),"PASS"),"FAIL")</x:f>
        <x:v>PASS</x:v>
      </x:c>
      <x:c r="H121" t="str">
        <x:f>G121</x:f>
        <x:v>PASS</x:v>
      </x:c>
    </x:row>
    <x:row r="122">
      <x:c r="B122" t="str">
        <x:v>A-PL-116</x:v>
      </x:c>
      <x:c r="C122" t="str">
        <x:v>gate</x:v>
      </x:c>
      <x:c r="D122" t="str">
        <x:v>PL-PEV-037</x:v>
      </x:c>
      <x:c r="E122" s="23" t="str">
        <x:v>PASS</x:v>
      </x:c>
      <x:c r="F122" s="23" t="str">
        <x:f>'Release Gates'!I122</x:f>
        <x:v>PASS</x:v>
      </x:c>
      <x:c r="G122" t="str">
        <x:f>IF(ABS(IFERROR(E122-F122,0))&lt;0.0001,IF(OR(ISTEXT(E122),ISTEXT(F122)),IF(E122=F122,"PASS","FAIL"),"PASS"),"FAIL")</x:f>
        <x:v>PASS</x:v>
      </x:c>
      <x:c r="H122" t="str">
        <x:f>G122</x:f>
        <x:v>PASS</x:v>
      </x:c>
    </x:row>
    <x:row r="123">
      <x:c r="B123" t="str">
        <x:v>A-PL-117</x:v>
      </x:c>
      <x:c r="C123" t="str">
        <x:v>gate</x:v>
      </x:c>
      <x:c r="D123" t="str">
        <x:v>PL-PEV-038</x:v>
      </x:c>
      <x:c r="E123" s="23" t="str">
        <x:v>PASS</x:v>
      </x:c>
      <x:c r="F123" s="23" t="str">
        <x:f>'Release Gates'!I123</x:f>
        <x:v>PASS</x:v>
      </x:c>
      <x:c r="G123" t="str">
        <x:f>IF(ABS(IFERROR(E123-F123,0))&lt;0.0001,IF(OR(ISTEXT(E123),ISTEXT(F123)),IF(E123=F123,"PASS","FAIL"),"PASS"),"FAIL")</x:f>
        <x:v>PASS</x:v>
      </x:c>
      <x:c r="H123" t="str">
        <x:f>G123</x:f>
        <x:v>PASS</x:v>
      </x:c>
    </x:row>
    <x:row r="124">
      <x:c r="B124" t="str">
        <x:v>A-PL-118</x:v>
      </x:c>
      <x:c r="C124" t="str">
        <x:v>gate</x:v>
      </x:c>
      <x:c r="D124" t="str">
        <x:v>PL-PEV-039</x:v>
      </x:c>
      <x:c r="E124" s="23" t="str">
        <x:v>PASS</x:v>
      </x:c>
      <x:c r="F124" s="23" t="str">
        <x:f>'Release Gates'!I124</x:f>
        <x:v>PASS</x:v>
      </x:c>
      <x:c r="G124" t="str">
        <x:f>IF(ABS(IFERROR(E124-F124,0))&lt;0.0001,IF(OR(ISTEXT(E124),ISTEXT(F124)),IF(E124=F124,"PASS","FAIL"),"PASS"),"FAIL")</x:f>
        <x:v>PASS</x:v>
      </x:c>
      <x:c r="H124" t="str">
        <x:f>G124</x:f>
        <x:v>PASS</x:v>
      </x:c>
    </x:row>
    <x:row r="125">
      <x:c r="B125" t="str">
        <x:v>A-PL-119</x:v>
      </x:c>
      <x:c r="C125" t="str">
        <x:v>gate</x:v>
      </x:c>
      <x:c r="D125" t="str">
        <x:v>PL-PEV-040</x:v>
      </x:c>
      <x:c r="E125" s="23" t="str">
        <x:v>PASS</x:v>
      </x:c>
      <x:c r="F125" s="23" t="str">
        <x:f>'Release Gates'!I125</x:f>
        <x:v>PASS</x:v>
      </x:c>
      <x:c r="G125" t="str">
        <x:f>IF(ABS(IFERROR(E125-F125,0))&lt;0.0001,IF(OR(ISTEXT(E125),ISTEXT(F125)),IF(E125=F125,"PASS","FAIL"),"PASS"),"FAIL")</x:f>
        <x:v>PASS</x:v>
      </x:c>
      <x:c r="H125" t="str">
        <x:f>G125</x:f>
        <x:v>PASS</x:v>
      </x:c>
    </x:row>
    <x:row r="126">
      <x:c r="B126" t="str">
        <x:v>A-PL-120</x:v>
      </x:c>
      <x:c r="C126" t="str">
        <x:v>gate</x:v>
      </x:c>
      <x:c r="D126" t="str">
        <x:v>PL-PEV-041</x:v>
      </x:c>
      <x:c r="E126" s="23" t="str">
        <x:v>PASS</x:v>
      </x:c>
      <x:c r="F126" s="23" t="str">
        <x:f>'Release Gates'!I126</x:f>
        <x:v>PASS</x:v>
      </x:c>
      <x:c r="G126" t="str">
        <x:f>IF(ABS(IFERROR(E126-F126,0))&lt;0.0001,IF(OR(ISTEXT(E126),ISTEXT(F126)),IF(E126=F126,"PASS","FAIL"),"PASS"),"FAIL")</x:f>
        <x:v>PASS</x:v>
      </x:c>
      <x:c r="H126" t="str">
        <x:f>G126</x:f>
        <x:v>PASS</x:v>
      </x:c>
    </x:row>
    <x:row r="127">
      <x:c r="B127" t="str">
        <x:v>A-PL-121</x:v>
      </x:c>
      <x:c r="C127" t="str">
        <x:v>gate</x:v>
      </x:c>
      <x:c r="D127" t="str">
        <x:v>PL-PEV-042</x:v>
      </x:c>
      <x:c r="E127" s="23" t="str">
        <x:v>PASS</x:v>
      </x:c>
      <x:c r="F127" s="23" t="str">
        <x:f>'Release Gates'!I127</x:f>
        <x:v>PASS</x:v>
      </x:c>
      <x:c r="G127" t="str">
        <x:f>IF(ABS(IFERROR(E127-F127,0))&lt;0.0001,IF(OR(ISTEXT(E127),ISTEXT(F127)),IF(E127=F127,"PASS","FAIL"),"PASS"),"FAIL")</x:f>
        <x:v>PASS</x:v>
      </x:c>
      <x:c r="H127" t="str">
        <x:f>G127</x:f>
        <x:v>PASS</x:v>
      </x:c>
    </x:row>
    <x:row r="128">
      <x:c r="B128" t="str">
        <x:v>A-PL-122</x:v>
      </x:c>
      <x:c r="C128" t="str">
        <x:v>gate</x:v>
      </x:c>
      <x:c r="D128" t="str">
        <x:v>PL-PEV-043</x:v>
      </x:c>
      <x:c r="E128" s="23" t="str">
        <x:v>PASS</x:v>
      </x:c>
      <x:c r="F128" s="23" t="str">
        <x:f>'Release Gates'!I128</x:f>
        <x:v>PASS</x:v>
      </x:c>
      <x:c r="G128" t="str">
        <x:f>IF(ABS(IFERROR(E128-F128,0))&lt;0.0001,IF(OR(ISTEXT(E128),ISTEXT(F128)),IF(E128=F128,"PASS","FAIL"),"PASS"),"FAIL")</x:f>
        <x:v>PASS</x:v>
      </x:c>
      <x:c r="H128" t="str">
        <x:f>G128</x:f>
        <x:v>PASS</x:v>
      </x:c>
    </x:row>
    <x:row r="129">
      <x:c r="B129" t="str">
        <x:v>A-PL-123</x:v>
      </x:c>
      <x:c r="C129" t="str">
        <x:v>gate</x:v>
      </x:c>
      <x:c r="D129" t="str">
        <x:v>PL-PEV-044</x:v>
      </x:c>
      <x:c r="E129" s="23" t="str">
        <x:v>PASS</x:v>
      </x:c>
      <x:c r="F129" s="23" t="str">
        <x:f>'Release Gates'!I129</x:f>
        <x:v>PASS</x:v>
      </x:c>
      <x:c r="G129" t="str">
        <x:f>IF(ABS(IFERROR(E129-F129,0))&lt;0.0001,IF(OR(ISTEXT(E129),ISTEXT(F129)),IF(E129=F129,"PASS","FAIL"),"PASS"),"FAIL")</x:f>
        <x:v>PASS</x:v>
      </x:c>
      <x:c r="H129" t="str">
        <x:f>G129</x:f>
        <x:v>PASS</x:v>
      </x:c>
    </x:row>
    <x:row r="130">
      <x:c r="B130" t="str">
        <x:v>A-PL-124</x:v>
      </x:c>
      <x:c r="C130" t="str">
        <x:v>gate</x:v>
      </x:c>
      <x:c r="D130" t="str">
        <x:v>PL-PEV-045</x:v>
      </x:c>
      <x:c r="E130" s="23" t="str">
        <x:v>PASS</x:v>
      </x:c>
      <x:c r="F130" s="23" t="str">
        <x:f>'Release Gates'!I130</x:f>
        <x:v>PASS</x:v>
      </x:c>
      <x:c r="G130" t="str">
        <x:f>IF(ABS(IFERROR(E130-F130,0))&lt;0.0001,IF(OR(ISTEXT(E130),ISTEXT(F130)),IF(E130=F130,"PASS","FAIL"),"PASS"),"FAIL")</x:f>
        <x:v>PASS</x:v>
      </x:c>
      <x:c r="H130" t="str">
        <x:f>G130</x:f>
        <x:v>PASS</x:v>
      </x:c>
    </x:row>
    <x:row r="131">
      <x:c r="B131" t="str">
        <x:v>A-PL-125</x:v>
      </x:c>
      <x:c r="C131" t="str">
        <x:v>gate</x:v>
      </x:c>
      <x:c r="D131" t="str">
        <x:v>PL-PEV-046</x:v>
      </x:c>
      <x:c r="E131" s="23" t="str">
        <x:v>PASS</x:v>
      </x:c>
      <x:c r="F131" s="23" t="str">
        <x:f>'Release Gates'!I131</x:f>
        <x:v>PASS</x:v>
      </x:c>
      <x:c r="G131" t="str">
        <x:f>IF(ABS(IFERROR(E131-F131,0))&lt;0.0001,IF(OR(ISTEXT(E131),ISTEXT(F131)),IF(E131=F131,"PASS","FAIL"),"PASS"),"FAIL")</x:f>
        <x:v>PASS</x:v>
      </x:c>
      <x:c r="H131" t="str">
        <x:f>G131</x:f>
        <x:v>PASS</x:v>
      </x:c>
    </x:row>
    <x:row r="132">
      <x:c r="B132" t="str">
        <x:v>A-PL-126</x:v>
      </x:c>
      <x:c r="C132" t="str">
        <x:v>gate</x:v>
      </x:c>
      <x:c r="D132" t="str">
        <x:v>PL-PEV-047</x:v>
      </x:c>
      <x:c r="E132" s="23" t="str">
        <x:v>PASS</x:v>
      </x:c>
      <x:c r="F132" s="23" t="str">
        <x:f>'Release Gates'!I132</x:f>
        <x:v>PASS</x:v>
      </x:c>
      <x:c r="G132" t="str">
        <x:f>IF(ABS(IFERROR(E132-F132,0))&lt;0.0001,IF(OR(ISTEXT(E132),ISTEXT(F132)),IF(E132=F132,"PASS","FAIL"),"PASS"),"FAIL")</x:f>
        <x:v>PASS</x:v>
      </x:c>
      <x:c r="H132" t="str">
        <x:f>G132</x:f>
        <x:v>PASS</x:v>
      </x:c>
    </x:row>
    <x:row r="133">
      <x:c r="B133" t="str">
        <x:v>A-PL-127</x:v>
      </x:c>
      <x:c r="C133" t="str">
        <x:v>gate</x:v>
      </x:c>
      <x:c r="D133" t="str">
        <x:v>PL-PEV-048</x:v>
      </x:c>
      <x:c r="E133" s="23" t="str">
        <x:v>PASS</x:v>
      </x:c>
      <x:c r="F133" s="23" t="str">
        <x:f>'Release Gates'!I133</x:f>
        <x:v>PASS</x:v>
      </x:c>
      <x:c r="G133" t="str">
        <x:f>IF(ABS(IFERROR(E133-F133,0))&lt;0.0001,IF(OR(ISTEXT(E133),ISTEXT(F133)),IF(E133=F133,"PASS","FAIL"),"PASS"),"FAIL")</x:f>
        <x:v>PASS</x:v>
      </x:c>
      <x:c r="H133" t="str">
        <x:f>G133</x:f>
        <x:v>PASS</x:v>
      </x:c>
    </x:row>
    <x:row r="134">
      <x:c r="B134" t="str">
        <x:v>A-PL-128</x:v>
      </x:c>
      <x:c r="C134" t="str">
        <x:v>gate</x:v>
      </x:c>
      <x:c r="D134" t="str">
        <x:v>PL-PEV-049</x:v>
      </x:c>
      <x:c r="E134" s="23" t="str">
        <x:v>PASS</x:v>
      </x:c>
      <x:c r="F134" s="23" t="str">
        <x:f>'Release Gates'!I134</x:f>
        <x:v>PASS</x:v>
      </x:c>
      <x:c r="G134" t="str">
        <x:f>IF(ABS(IFERROR(E134-F134,0))&lt;0.0001,IF(OR(ISTEXT(E134),ISTEXT(F134)),IF(E134=F134,"PASS","FAIL"),"PASS"),"FAIL")</x:f>
        <x:v>PASS</x:v>
      </x:c>
      <x:c r="H134" t="str">
        <x:f>G134</x:f>
        <x:v>PASS</x:v>
      </x:c>
    </x:row>
    <x:row r="135">
      <x:c r="B135" t="str">
        <x:v>A-PL-129</x:v>
      </x:c>
      <x:c r="C135" t="str">
        <x:v>gate</x:v>
      </x:c>
      <x:c r="D135" t="str">
        <x:v>PL-PEV-050</x:v>
      </x:c>
      <x:c r="E135" s="23" t="str">
        <x:v>PASS</x:v>
      </x:c>
      <x:c r="F135" s="23" t="str">
        <x:f>'Release Gates'!I135</x:f>
        <x:v>PASS</x:v>
      </x:c>
      <x:c r="G135" t="str">
        <x:f>IF(ABS(IFERROR(E135-F135,0))&lt;0.0001,IF(OR(ISTEXT(E135),ISTEXT(F135)),IF(E135=F135,"PASS","FAIL"),"PASS"),"FAIL")</x:f>
        <x:v>PASS</x:v>
      </x:c>
      <x:c r="H135" t="str">
        <x:f>G135</x:f>
        <x:v>PASS</x:v>
      </x:c>
    </x:row>
    <x:row r="136">
      <x:c r="B136" t="str">
        <x:v>A-PL-130</x:v>
      </x:c>
      <x:c r="C136" t="str">
        <x:v>gate</x:v>
      </x:c>
      <x:c r="D136" t="str">
        <x:v>PL-PEV-051</x:v>
      </x:c>
      <x:c r="E136" s="23" t="str">
        <x:v>PASS</x:v>
      </x:c>
      <x:c r="F136" s="23" t="str">
        <x:f>'Release Gates'!I136</x:f>
        <x:v>PASS</x:v>
      </x:c>
      <x:c r="G136" t="str">
        <x:f>IF(ABS(IFERROR(E136-F136,0))&lt;0.0001,IF(OR(ISTEXT(E136),ISTEXT(F136)),IF(E136=F136,"PASS","FAIL"),"PASS"),"FAIL")</x:f>
        <x:v>PASS</x:v>
      </x:c>
      <x:c r="H136" t="str">
        <x:f>G136</x:f>
        <x:v>PASS</x:v>
      </x:c>
    </x:row>
    <x:row r="137">
      <x:c r="B137" t="str">
        <x:v>A-PL-131</x:v>
      </x:c>
      <x:c r="C137" t="str">
        <x:v>gate</x:v>
      </x:c>
      <x:c r="D137" t="str">
        <x:v>PL-PEV-052</x:v>
      </x:c>
      <x:c r="E137" s="23" t="str">
        <x:v>PASS</x:v>
      </x:c>
      <x:c r="F137" s="23" t="str">
        <x:f>'Release Gates'!I137</x:f>
        <x:v>PASS</x:v>
      </x:c>
      <x:c r="G137" t="str">
        <x:f>IF(ABS(IFERROR(E137-F137,0))&lt;0.0001,IF(OR(ISTEXT(E137),ISTEXT(F137)),IF(E137=F137,"PASS","FAIL"),"PASS"),"FAIL")</x:f>
        <x:v>PASS</x:v>
      </x:c>
      <x:c r="H137" t="str">
        <x:f>G137</x:f>
        <x:v>PASS</x:v>
      </x:c>
    </x:row>
    <x:row r="138">
      <x:c r="B138" t="str">
        <x:v>A-PL-132</x:v>
      </x:c>
      <x:c r="C138" t="str">
        <x:v>gate</x:v>
      </x:c>
      <x:c r="D138" t="str">
        <x:v>PL-PEV-053</x:v>
      </x:c>
      <x:c r="E138" s="23" t="str">
        <x:v>PASS</x:v>
      </x:c>
      <x:c r="F138" s="23" t="str">
        <x:f>'Release Gates'!I138</x:f>
        <x:v>PASS</x:v>
      </x:c>
      <x:c r="G138" t="str">
        <x:f>IF(ABS(IFERROR(E138-F138,0))&lt;0.0001,IF(OR(ISTEXT(E138),ISTEXT(F138)),IF(E138=F138,"PASS","FAIL"),"PASS"),"FAIL")</x:f>
        <x:v>PASS</x:v>
      </x:c>
      <x:c r="H138" t="str">
        <x:f>G138</x:f>
        <x:v>PASS</x:v>
      </x:c>
    </x:row>
    <x:row r="139">
      <x:c r="B139" t="str">
        <x:v>A-PL-133</x:v>
      </x:c>
      <x:c r="C139" t="str">
        <x:v>gate</x:v>
      </x:c>
      <x:c r="D139" t="str">
        <x:v>PL-PEV-054</x:v>
      </x:c>
      <x:c r="E139" s="23" t="str">
        <x:v>PASS</x:v>
      </x:c>
      <x:c r="F139" s="23" t="str">
        <x:f>'Release Gates'!I139</x:f>
        <x:v>PASS</x:v>
      </x:c>
      <x:c r="G139" t="str">
        <x:f>IF(ABS(IFERROR(E139-F139,0))&lt;0.0001,IF(OR(ISTEXT(E139),ISTEXT(F139)),IF(E139=F139,"PASS","FAIL"),"PASS"),"FAIL")</x:f>
        <x:v>PASS</x:v>
      </x:c>
      <x:c r="H139" t="str">
        <x:f>G139</x:f>
        <x:v>PASS</x:v>
      </x:c>
    </x:row>
    <x:row r="140">
      <x:c r="B140" t="str">
        <x:v>A-PL-134</x:v>
      </x:c>
      <x:c r="C140" t="str">
        <x:v>gate</x:v>
      </x:c>
      <x:c r="D140" t="str">
        <x:v>PL-PEV-055</x:v>
      </x:c>
      <x:c r="E140" s="23" t="str">
        <x:v>PASS</x:v>
      </x:c>
      <x:c r="F140" s="23" t="str">
        <x:f>'Release Gates'!I140</x:f>
        <x:v>PASS</x:v>
      </x:c>
      <x:c r="G140" t="str">
        <x:f>IF(ABS(IFERROR(E140-F140,0))&lt;0.0001,IF(OR(ISTEXT(E140),ISTEXT(F140)),IF(E140=F140,"PASS","FAIL"),"PASS"),"FAIL")</x:f>
        <x:v>PASS</x:v>
      </x:c>
      <x:c r="H140" t="str">
        <x:f>G140</x:f>
        <x:v>PASS</x:v>
      </x:c>
    </x:row>
    <x:row r="141">
      <x:c r="B141" t="str">
        <x:v>A-PL-135</x:v>
      </x:c>
      <x:c r="C141" t="str">
        <x:v>gate</x:v>
      </x:c>
      <x:c r="D141" t="str">
        <x:v>PL-PEV-056</x:v>
      </x:c>
      <x:c r="E141" s="23" t="str">
        <x:v>PASS</x:v>
      </x:c>
      <x:c r="F141" s="23" t="str">
        <x:f>'Release Gates'!I141</x:f>
        <x:v>PASS</x:v>
      </x:c>
      <x:c r="G141" t="str">
        <x:f>IF(ABS(IFERROR(E141-F141,0))&lt;0.0001,IF(OR(ISTEXT(E141),ISTEXT(F141)),IF(E141=F141,"PASS","FAIL"),"PASS"),"FAIL")</x:f>
        <x:v>PASS</x:v>
      </x:c>
      <x:c r="H141" t="str">
        <x:f>G141</x:f>
        <x:v>PASS</x:v>
      </x:c>
    </x:row>
    <x:row r="142">
      <x:c r="B142" t="str">
        <x:v>A-PL-136</x:v>
      </x:c>
      <x:c r="C142" t="str">
        <x:v>gate</x:v>
      </x:c>
      <x:c r="D142" t="str">
        <x:v>PL-PEV-057</x:v>
      </x:c>
      <x:c r="E142" s="23" t="str">
        <x:v>PASS</x:v>
      </x:c>
      <x:c r="F142" s="23" t="str">
        <x:f>'Release Gates'!I142</x:f>
        <x:v>PASS</x:v>
      </x:c>
      <x:c r="G142" t="str">
        <x:f>IF(ABS(IFERROR(E142-F142,0))&lt;0.0001,IF(OR(ISTEXT(E142),ISTEXT(F142)),IF(E142=F142,"PASS","FAIL"),"PASS"),"FAIL")</x:f>
        <x:v>PASS</x:v>
      </x:c>
      <x:c r="H142" t="str">
        <x:f>G142</x:f>
        <x:v>PASS</x:v>
      </x:c>
    </x:row>
    <x:row r="143">
      <x:c r="B143" t="str">
        <x:v>A-PL-137</x:v>
      </x:c>
      <x:c r="C143" t="str">
        <x:v>gate</x:v>
      </x:c>
      <x:c r="D143" t="str">
        <x:v>PL-PEV-058</x:v>
      </x:c>
      <x:c r="E143" s="23" t="str">
        <x:v>PASS</x:v>
      </x:c>
      <x:c r="F143" s="23" t="str">
        <x:f>'Release Gates'!I143</x:f>
        <x:v>PASS</x:v>
      </x:c>
      <x:c r="G143" t="str">
        <x:f>IF(ABS(IFERROR(E143-F143,0))&lt;0.0001,IF(OR(ISTEXT(E143),ISTEXT(F143)),IF(E143=F143,"PASS","FAIL"),"PASS"),"FAIL")</x:f>
        <x:v>PASS</x:v>
      </x:c>
      <x:c r="H143" t="str">
        <x:f>G143</x:f>
        <x:v>PASS</x:v>
      </x:c>
    </x:row>
    <x:row r="144">
      <x:c r="B144" t="str">
        <x:v>A-PL-138</x:v>
      </x:c>
      <x:c r="C144" t="str">
        <x:v>gate</x:v>
      </x:c>
      <x:c r="D144" t="str">
        <x:v>PL-PEV-059</x:v>
      </x:c>
      <x:c r="E144" s="23" t="str">
        <x:v>PASS</x:v>
      </x:c>
      <x:c r="F144" s="23" t="str">
        <x:f>'Release Gates'!I144</x:f>
        <x:v>PASS</x:v>
      </x:c>
      <x:c r="G144" t="str">
        <x:f>IF(ABS(IFERROR(E144-F144,0))&lt;0.0001,IF(OR(ISTEXT(E144),ISTEXT(F144)),IF(E144=F144,"PASS","FAIL"),"PASS"),"FAIL")</x:f>
        <x:v>PASS</x:v>
      </x:c>
      <x:c r="H144" t="str">
        <x:f>G144</x:f>
        <x:v>PASS</x:v>
      </x:c>
    </x:row>
    <x:row r="145">
      <x:c r="B145" t="str">
        <x:v>A-PL-139</x:v>
      </x:c>
      <x:c r="C145" t="str">
        <x:v>gate</x:v>
      </x:c>
      <x:c r="D145" t="str">
        <x:v>PL-PEV-060</x:v>
      </x:c>
      <x:c r="E145" s="23" t="str">
        <x:v>PASS</x:v>
      </x:c>
      <x:c r="F145" s="23" t="str">
        <x:f>'Release Gates'!I145</x:f>
        <x:v>PASS</x:v>
      </x:c>
      <x:c r="G145" t="str">
        <x:f>IF(ABS(IFERROR(E145-F145,0))&lt;0.0001,IF(OR(ISTEXT(E145),ISTEXT(F145)),IF(E145=F145,"PASS","FAIL"),"PASS"),"FAIL")</x:f>
        <x:v>PASS</x:v>
      </x:c>
      <x:c r="H145" t="str">
        <x:f>G145</x:f>
        <x:v>PASS</x:v>
      </x:c>
    </x:row>
    <x:row r="146">
      <x:c r="B146" t="str">
        <x:v>A-PL-140</x:v>
      </x:c>
      <x:c r="C146" t="str">
        <x:v>gate</x:v>
      </x:c>
      <x:c r="D146" t="str">
        <x:v>PL-PEV-061</x:v>
      </x:c>
      <x:c r="E146" s="23" t="str">
        <x:v>PASS</x:v>
      </x:c>
      <x:c r="F146" s="23" t="str">
        <x:f>'Release Gates'!I146</x:f>
        <x:v>PASS</x:v>
      </x:c>
      <x:c r="G146" t="str">
        <x:f>IF(ABS(IFERROR(E146-F146,0))&lt;0.0001,IF(OR(ISTEXT(E146),ISTEXT(F146)),IF(E146=F146,"PASS","FAIL"),"PASS"),"FAIL")</x:f>
        <x:v>PASS</x:v>
      </x:c>
      <x:c r="H146" t="str">
        <x:f>G146</x:f>
        <x:v>PASS</x:v>
      </x:c>
    </x:row>
    <x:row r="147">
      <x:c r="B147" t="str">
        <x:v>A-PL-141</x:v>
      </x:c>
      <x:c r="C147" t="str">
        <x:v>gate</x:v>
      </x:c>
      <x:c r="D147" t="str">
        <x:v>PL-PEV-062</x:v>
      </x:c>
      <x:c r="E147" s="23" t="str">
        <x:v>PASS</x:v>
      </x:c>
      <x:c r="F147" s="23" t="str">
        <x:f>'Release Gates'!I147</x:f>
        <x:v>PASS</x:v>
      </x:c>
      <x:c r="G147" t="str">
        <x:f>IF(ABS(IFERROR(E147-F147,0))&lt;0.0001,IF(OR(ISTEXT(E147),ISTEXT(F147)),IF(E147=F147,"PASS","FAIL"),"PASS"),"FAIL")</x:f>
        <x:v>PASS</x:v>
      </x:c>
      <x:c r="H147" t="str">
        <x:f>G147</x:f>
        <x:v>PASS</x:v>
      </x:c>
    </x:row>
    <x:row r="148">
      <x:c r="B148" t="str">
        <x:v>A-PL-142</x:v>
      </x:c>
      <x:c r="C148" t="str">
        <x:v>gate</x:v>
      </x:c>
      <x:c r="D148" t="str">
        <x:v>PL-PEV-063</x:v>
      </x:c>
      <x:c r="E148" s="23" t="str">
        <x:v>PASS</x:v>
      </x:c>
      <x:c r="F148" s="23" t="str">
        <x:f>'Release Gates'!I148</x:f>
        <x:v>PASS</x:v>
      </x:c>
      <x:c r="G148" t="str">
        <x:f>IF(ABS(IFERROR(E148-F148,0))&lt;0.0001,IF(OR(ISTEXT(E148),ISTEXT(F148)),IF(E148=F148,"PASS","FAIL"),"PASS"),"FAIL")</x:f>
        <x:v>PASS</x:v>
      </x:c>
      <x:c r="H148" t="str">
        <x:f>G148</x:f>
        <x:v>PASS</x:v>
      </x:c>
    </x:row>
    <x:row r="149">
      <x:c r="B149" t="str">
        <x:v>A-PL-143</x:v>
      </x:c>
      <x:c r="C149" t="str">
        <x:v>gate</x:v>
      </x:c>
      <x:c r="D149" t="str">
        <x:v>PL-PEV-064</x:v>
      </x:c>
      <x:c r="E149" s="23" t="str">
        <x:v>PASS</x:v>
      </x:c>
      <x:c r="F149" s="23" t="str">
        <x:f>'Release Gates'!I149</x:f>
        <x:v>PASS</x:v>
      </x:c>
      <x:c r="G149" t="str">
        <x:f>IF(ABS(IFERROR(E149-F149,0))&lt;0.0001,IF(OR(ISTEXT(E149),ISTEXT(F149)),IF(E149=F149,"PASS","FAIL"),"PASS"),"FAIL")</x:f>
        <x:v>PASS</x:v>
      </x:c>
      <x:c r="H149" t="str">
        <x:f>G149</x:f>
        <x:v>PASS</x:v>
      </x:c>
    </x:row>
    <x:row r="150">
      <x:c r="B150" t="str">
        <x:v>A-PL-144</x:v>
      </x:c>
      <x:c r="C150" t="str">
        <x:v>gate</x:v>
      </x:c>
      <x:c r="D150" t="str">
        <x:v>PL-PEV-065</x:v>
      </x:c>
      <x:c r="E150" s="23" t="str">
        <x:v>PASS</x:v>
      </x:c>
      <x:c r="F150" s="23" t="str">
        <x:f>'Release Gates'!I150</x:f>
        <x:v>PASS</x:v>
      </x:c>
      <x:c r="G150" t="str">
        <x:f>IF(ABS(IFERROR(E150-F150,0))&lt;0.0001,IF(OR(ISTEXT(E150),ISTEXT(F150)),IF(E150=F150,"PASS","FAIL"),"PASS"),"FAIL")</x:f>
        <x:v>PASS</x:v>
      </x:c>
      <x:c r="H150" t="str">
        <x:f>G150</x:f>
        <x:v>PASS</x:v>
      </x:c>
    </x:row>
    <x:row r="151">
      <x:c r="B151" t="str">
        <x:v>A-PL-145</x:v>
      </x:c>
      <x:c r="C151" t="str">
        <x:v>gate</x:v>
      </x:c>
      <x:c r="D151" t="str">
        <x:v>PL-PEV-066</x:v>
      </x:c>
      <x:c r="E151" s="23" t="str">
        <x:v>PASS</x:v>
      </x:c>
      <x:c r="F151" s="23" t="str">
        <x:f>'Release Gates'!I151</x:f>
        <x:v>PASS</x:v>
      </x:c>
      <x:c r="G151" t="str">
        <x:f>IF(ABS(IFERROR(E151-F151,0))&lt;0.0001,IF(OR(ISTEXT(E151),ISTEXT(F151)),IF(E151=F151,"PASS","FAIL"),"PASS"),"FAIL")</x:f>
        <x:v>PASS</x:v>
      </x:c>
      <x:c r="H151" t="str">
        <x:f>G151</x:f>
        <x:v>PASS</x:v>
      </x:c>
    </x:row>
    <x:row r="152">
      <x:c r="B152" t="str">
        <x:v>A-PL-146</x:v>
      </x:c>
      <x:c r="C152" t="str">
        <x:v>gate</x:v>
      </x:c>
      <x:c r="D152" t="str">
        <x:v>PL-PEV-067</x:v>
      </x:c>
      <x:c r="E152" s="23" t="str">
        <x:v>PASS</x:v>
      </x:c>
      <x:c r="F152" s="23" t="str">
        <x:f>'Release Gates'!I152</x:f>
        <x:v>PASS</x:v>
      </x:c>
      <x:c r="G152" t="str">
        <x:f>IF(ABS(IFERROR(E152-F152,0))&lt;0.0001,IF(OR(ISTEXT(E152),ISTEXT(F152)),IF(E152=F152,"PASS","FAIL"),"PASS"),"FAIL")</x:f>
        <x:v>PASS</x:v>
      </x:c>
      <x:c r="H152" t="str">
        <x:f>G152</x:f>
        <x:v>PASS</x:v>
      </x:c>
    </x:row>
    <x:row r="153">
      <x:c r="B153" t="str">
        <x:v>A-PL-147</x:v>
      </x:c>
      <x:c r="C153" t="str">
        <x:v>gate</x:v>
      </x:c>
      <x:c r="D153" t="str">
        <x:v>PL-PEV-068</x:v>
      </x:c>
      <x:c r="E153" s="23" t="str">
        <x:v>PASS</x:v>
      </x:c>
      <x:c r="F153" s="23" t="str">
        <x:f>'Release Gates'!I153</x:f>
        <x:v>PASS</x:v>
      </x:c>
      <x:c r="G153" t="str">
        <x:f>IF(ABS(IFERROR(E153-F153,0))&lt;0.0001,IF(OR(ISTEXT(E153),ISTEXT(F153)),IF(E153=F153,"PASS","FAIL"),"PASS"),"FAIL")</x:f>
        <x:v>PASS</x:v>
      </x:c>
      <x:c r="H153" t="str">
        <x:f>G153</x:f>
        <x:v>PASS</x:v>
      </x:c>
    </x:row>
    <x:row r="154">
      <x:c r="B154" t="str">
        <x:v>A-PL-148</x:v>
      </x:c>
      <x:c r="C154" t="str">
        <x:v>gate</x:v>
      </x:c>
      <x:c r="D154" t="str">
        <x:v>PL-PEV-069</x:v>
      </x:c>
      <x:c r="E154" s="23" t="str">
        <x:v>PASS</x:v>
      </x:c>
      <x:c r="F154" s="23" t="str">
        <x:f>'Release Gates'!I154</x:f>
        <x:v>PASS</x:v>
      </x:c>
      <x:c r="G154" t="str">
        <x:f>IF(ABS(IFERROR(E154-F154,0))&lt;0.0001,IF(OR(ISTEXT(E154),ISTEXT(F154)),IF(E154=F154,"PASS","FAIL"),"PASS"),"FAIL")</x:f>
        <x:v>PASS</x:v>
      </x:c>
      <x:c r="H154" t="str">
        <x:f>G154</x:f>
        <x:v>PASS</x:v>
      </x:c>
    </x:row>
    <x:row r="155">
      <x:c r="B155" t="str">
        <x:v>A-PL-149</x:v>
      </x:c>
      <x:c r="C155" t="str">
        <x:v>gate</x:v>
      </x:c>
      <x:c r="D155" t="str">
        <x:v>PL-PEV-070</x:v>
      </x:c>
      <x:c r="E155" s="23" t="str">
        <x:v>PASS</x:v>
      </x:c>
      <x:c r="F155" s="23" t="str">
        <x:f>'Release Gates'!I155</x:f>
        <x:v>PASS</x:v>
      </x:c>
      <x:c r="G155" t="str">
        <x:f>IF(ABS(IFERROR(E155-F155,0))&lt;0.0001,IF(OR(ISTEXT(E155),ISTEXT(F155)),IF(E155=F155,"PASS","FAIL"),"PASS"),"FAIL")</x:f>
        <x:v>PASS</x:v>
      </x:c>
      <x:c r="H155" t="str">
        <x:f>G155</x:f>
        <x:v>PASS</x:v>
      </x:c>
    </x:row>
    <x:row r="156">
      <x:c r="B156" t="str">
        <x:v>A-PL-150</x:v>
      </x:c>
      <x:c r="C156" t="str">
        <x:v>gate</x:v>
      </x:c>
      <x:c r="D156" t="str">
        <x:v>PL-PEV-071</x:v>
      </x:c>
      <x:c r="E156" s="23" t="str">
        <x:v>PASS</x:v>
      </x:c>
      <x:c r="F156" s="23" t="str">
        <x:f>'Release Gates'!I156</x:f>
        <x:v>PASS</x:v>
      </x:c>
      <x:c r="G156" t="str">
        <x:f>IF(ABS(IFERROR(E156-F156,0))&lt;0.0001,IF(OR(ISTEXT(E156),ISTEXT(F156)),IF(E156=F156,"PASS","FAIL"),"PASS"),"FAIL")</x:f>
        <x:v>PASS</x:v>
      </x:c>
      <x:c r="H156" t="str">
        <x:f>G156</x:f>
        <x:v>PASS</x:v>
      </x:c>
    </x:row>
    <x:row r="157">
      <x:c r="B157" t="str">
        <x:v>A-PL-151</x:v>
      </x:c>
      <x:c r="C157" t="str">
        <x:v>gate</x:v>
      </x:c>
      <x:c r="D157" t="str">
        <x:v>PL-PEV-072</x:v>
      </x:c>
      <x:c r="E157" s="23" t="str">
        <x:v>PASS</x:v>
      </x:c>
      <x:c r="F157" s="23" t="str">
        <x:f>'Release Gates'!I157</x:f>
        <x:v>PASS</x:v>
      </x:c>
      <x:c r="G157" t="str">
        <x:f>IF(ABS(IFERROR(E157-F157,0))&lt;0.0001,IF(OR(ISTEXT(E157),ISTEXT(F157)),IF(E157=F157,"PASS","FAIL"),"PASS"),"FAIL")</x:f>
        <x:v>PASS</x:v>
      </x:c>
      <x:c r="H157" t="str">
        <x:f>G157</x:f>
        <x:v>PASS</x:v>
      </x:c>
    </x:row>
    <x:row r="158">
      <x:c r="B158" t="str">
        <x:v>A-PL-152</x:v>
      </x:c>
      <x:c r="C158" t="str">
        <x:v>gate</x:v>
      </x:c>
      <x:c r="D158" t="str">
        <x:v>PL-PEV-073</x:v>
      </x:c>
      <x:c r="E158" s="23" t="str">
        <x:v>PASS</x:v>
      </x:c>
      <x:c r="F158" s="23" t="str">
        <x:f>'Release Gates'!I158</x:f>
        <x:v>PASS</x:v>
      </x:c>
      <x:c r="G158" t="str">
        <x:f>IF(ABS(IFERROR(E158-F158,0))&lt;0.0001,IF(OR(ISTEXT(E158),ISTEXT(F158)),IF(E158=F158,"PASS","FAIL"),"PASS"),"FAIL")</x:f>
        <x:v>PASS</x:v>
      </x:c>
      <x:c r="H158" t="str">
        <x:f>G158</x:f>
        <x:v>PASS</x:v>
      </x:c>
    </x:row>
    <x:row r="159">
      <x:c r="B159" t="str">
        <x:v>A-PL-153</x:v>
      </x:c>
      <x:c r="C159" t="str">
        <x:v>gate</x:v>
      </x:c>
      <x:c r="D159" t="str">
        <x:v>PL-PEV-074</x:v>
      </x:c>
      <x:c r="E159" s="23" t="str">
        <x:v>PASS</x:v>
      </x:c>
      <x:c r="F159" s="23" t="str">
        <x:f>'Release Gates'!I159</x:f>
        <x:v>PASS</x:v>
      </x:c>
      <x:c r="G159" t="str">
        <x:f>IF(ABS(IFERROR(E159-F159,0))&lt;0.0001,IF(OR(ISTEXT(E159),ISTEXT(F159)),IF(E159=F159,"PASS","FAIL"),"PASS"),"FAIL")</x:f>
        <x:v>PASS</x:v>
      </x:c>
      <x:c r="H159" t="str">
        <x:f>G159</x:f>
        <x:v>PASS</x:v>
      </x:c>
    </x:row>
    <x:row r="160">
      <x:c r="B160" t="str">
        <x:v>A-PL-154</x:v>
      </x:c>
      <x:c r="C160" t="str">
        <x:v>gate</x:v>
      </x:c>
      <x:c r="D160" t="str">
        <x:v>PL-PEV-075</x:v>
      </x:c>
      <x:c r="E160" s="23" t="str">
        <x:v>PASS</x:v>
      </x:c>
      <x:c r="F160" s="23" t="str">
        <x:f>'Release Gates'!I160</x:f>
        <x:v>PASS</x:v>
      </x:c>
      <x:c r="G160" t="str">
        <x:f>IF(ABS(IFERROR(E160-F160,0))&lt;0.0001,IF(OR(ISTEXT(E160),ISTEXT(F160)),IF(E160=F160,"PASS","FAIL"),"PASS"),"FAIL")</x:f>
        <x:v>PASS</x:v>
      </x:c>
      <x:c r="H160" t="str">
        <x:f>G160</x:f>
        <x:v>PASS</x:v>
      </x:c>
    </x:row>
    <x:row r="161">
      <x:c r="B161" t="str">
        <x:v>A-PL-155</x:v>
      </x:c>
      <x:c r="C161" t="str">
        <x:v>gate</x:v>
      </x:c>
      <x:c r="D161" t="str">
        <x:v>PL-PEV-076</x:v>
      </x:c>
      <x:c r="E161" s="23" t="str">
        <x:v>PASS</x:v>
      </x:c>
      <x:c r="F161" s="23" t="str">
        <x:f>'Release Gates'!I161</x:f>
        <x:v>PASS</x:v>
      </x:c>
      <x:c r="G161" t="str">
        <x:f>IF(ABS(IFERROR(E161-F161,0))&lt;0.0001,IF(OR(ISTEXT(E161),ISTEXT(F161)),IF(E161=F161,"PASS","FAIL"),"PASS"),"FAIL")</x:f>
        <x:v>PASS</x:v>
      </x:c>
      <x:c r="H161" t="str">
        <x:f>G161</x:f>
        <x:v>PASS</x:v>
      </x:c>
    </x:row>
    <x:row r="162">
      <x:c r="B162" t="str">
        <x:v>A-PL-156</x:v>
      </x:c>
      <x:c r="C162" t="str">
        <x:v>gate</x:v>
      </x:c>
      <x:c r="D162" t="str">
        <x:v>PL-PEV-077</x:v>
      </x:c>
      <x:c r="E162" s="23" t="str">
        <x:v>PASS</x:v>
      </x:c>
      <x:c r="F162" s="23" t="str">
        <x:f>'Release Gates'!I162</x:f>
        <x:v>PASS</x:v>
      </x:c>
      <x:c r="G162" t="str">
        <x:f>IF(ABS(IFERROR(E162-F162,0))&lt;0.0001,IF(OR(ISTEXT(E162),ISTEXT(F162)),IF(E162=F162,"PASS","FAIL"),"PASS"),"FAIL")</x:f>
        <x:v>PASS</x:v>
      </x:c>
      <x:c r="H162" t="str">
        <x:f>G162</x:f>
        <x:v>PASS</x:v>
      </x:c>
    </x:row>
    <x:row r="163">
      <x:c r="B163" t="str">
        <x:v>A-PL-157</x:v>
      </x:c>
      <x:c r="C163" t="str">
        <x:v>gate</x:v>
      </x:c>
      <x:c r="D163" t="str">
        <x:v>PL-PEV-078</x:v>
      </x:c>
      <x:c r="E163" s="23" t="str">
        <x:v>PASS</x:v>
      </x:c>
      <x:c r="F163" s="23" t="str">
        <x:f>'Release Gates'!I163</x:f>
        <x:v>PASS</x:v>
      </x:c>
      <x:c r="G163" t="str">
        <x:f>IF(ABS(IFERROR(E163-F163,0))&lt;0.0001,IF(OR(ISTEXT(E163),ISTEXT(F163)),IF(E163=F163,"PASS","FAIL"),"PASS"),"FAIL")</x:f>
        <x:v>PASS</x:v>
      </x:c>
      <x:c r="H163" t="str">
        <x:f>G163</x:f>
        <x:v>PASS</x:v>
      </x:c>
    </x:row>
    <x:row r="164">
      <x:c r="B164" t="str">
        <x:v>A-PL-158</x:v>
      </x:c>
      <x:c r="C164" t="str">
        <x:v>gate</x:v>
      </x:c>
      <x:c r="D164" t="str">
        <x:v>PL-PEV-079</x:v>
      </x:c>
      <x:c r="E164" s="23" t="str">
        <x:v>PASS</x:v>
      </x:c>
      <x:c r="F164" s="23" t="str">
        <x:f>'Release Gates'!I164</x:f>
        <x:v>PASS</x:v>
      </x:c>
      <x:c r="G164" t="str">
        <x:f>IF(ABS(IFERROR(E164-F164,0))&lt;0.0001,IF(OR(ISTEXT(E164),ISTEXT(F164)),IF(E164=F164,"PASS","FAIL"),"PASS"),"FAIL")</x:f>
        <x:v>PASS</x:v>
      </x:c>
      <x:c r="H164" t="str">
        <x:f>G164</x:f>
        <x:v>PASS</x:v>
      </x:c>
    </x:row>
    <x:row r="165">
      <x:c r="B165" t="str">
        <x:v>A-PL-159</x:v>
      </x:c>
      <x:c r="C165" t="str">
        <x:v>gate</x:v>
      </x:c>
      <x:c r="D165" t="str">
        <x:v>PL-PEV-080</x:v>
      </x:c>
      <x:c r="E165" s="23" t="str">
        <x:v>PASS</x:v>
      </x:c>
      <x:c r="F165" s="23" t="str">
        <x:f>'Release Gates'!I165</x:f>
        <x:v>PASS</x:v>
      </x:c>
      <x:c r="G165" t="str">
        <x:f>IF(ABS(IFERROR(E165-F165,0))&lt;0.0001,IF(OR(ISTEXT(E165),ISTEXT(F165)),IF(E165=F165,"PASS","FAIL"),"PASS"),"FAIL")</x:f>
        <x:v>PASS</x:v>
      </x:c>
      <x:c r="H165" t="str">
        <x:f>G165</x:f>
        <x:v>PASS</x:v>
      </x:c>
    </x:row>
    <x:row r="166">
      <x:c r="B166" t="str">
        <x:v>A-PL-160</x:v>
      </x:c>
      <x:c r="C166" t="str">
        <x:v>gate</x:v>
      </x:c>
      <x:c r="D166" t="str">
        <x:v>PL-PEV-081</x:v>
      </x:c>
      <x:c r="E166" s="23" t="str">
        <x:v>PASS</x:v>
      </x:c>
      <x:c r="F166" s="23" t="str">
        <x:f>'Release Gates'!I166</x:f>
        <x:v>PASS</x:v>
      </x:c>
      <x:c r="G166" t="str">
        <x:f>IF(ABS(IFERROR(E166-F166,0))&lt;0.0001,IF(OR(ISTEXT(E166),ISTEXT(F166)),IF(E166=F166,"PASS","FAIL"),"PASS"),"FAIL")</x:f>
        <x:v>PASS</x:v>
      </x:c>
      <x:c r="H166" t="str">
        <x:f>G166</x:f>
        <x:v>PASS</x:v>
      </x:c>
    </x:row>
    <x:row r="167">
      <x:c r="B167" t="str">
        <x:v>A-PL-161</x:v>
      </x:c>
      <x:c r="C167" t="str">
        <x:v>gate</x:v>
      </x:c>
      <x:c r="D167" t="str">
        <x:v>PL-PEV-082</x:v>
      </x:c>
      <x:c r="E167" s="23" t="str">
        <x:v>PASS</x:v>
      </x:c>
      <x:c r="F167" s="23" t="str">
        <x:f>'Release Gates'!I167</x:f>
        <x:v>PASS</x:v>
      </x:c>
      <x:c r="G167" t="str">
        <x:f>IF(ABS(IFERROR(E167-F167,0))&lt;0.0001,IF(OR(ISTEXT(E167),ISTEXT(F167)),IF(E167=F167,"PASS","FAIL"),"PASS"),"FAIL")</x:f>
        <x:v>PASS</x:v>
      </x:c>
      <x:c r="H167" t="str">
        <x:f>G167</x:f>
        <x:v>PASS</x:v>
      </x:c>
    </x:row>
    <x:row r="168">
      <x:c r="B168" t="str">
        <x:v>A-PL-162</x:v>
      </x:c>
      <x:c r="C168" t="str">
        <x:v>gate</x:v>
      </x:c>
      <x:c r="D168" t="str">
        <x:v>PL-PEV-083</x:v>
      </x:c>
      <x:c r="E168" s="23" t="str">
        <x:v>PASS</x:v>
      </x:c>
      <x:c r="F168" s="23" t="str">
        <x:f>'Release Gates'!I168</x:f>
        <x:v>PASS</x:v>
      </x:c>
      <x:c r="G168" t="str">
        <x:f>IF(ABS(IFERROR(E168-F168,0))&lt;0.0001,IF(OR(ISTEXT(E168),ISTEXT(F168)),IF(E168=F168,"PASS","FAIL"),"PASS"),"FAIL")</x:f>
        <x:v>PASS</x:v>
      </x:c>
      <x:c r="H168" t="str">
        <x:f>G168</x:f>
        <x:v>PASS</x:v>
      </x:c>
    </x:row>
    <x:row r="169">
      <x:c r="B169" t="str">
        <x:v>A-PL-163</x:v>
      </x:c>
      <x:c r="C169" t="str">
        <x:v>gate</x:v>
      </x:c>
      <x:c r="D169" t="str">
        <x:v>PL-PEV-084</x:v>
      </x:c>
      <x:c r="E169" s="23" t="str">
        <x:v>PASS</x:v>
      </x:c>
      <x:c r="F169" s="23" t="str">
        <x:f>'Release Gates'!I169</x:f>
        <x:v>PASS</x:v>
      </x:c>
      <x:c r="G169" t="str">
        <x:f>IF(ABS(IFERROR(E169-F169,0))&lt;0.0001,IF(OR(ISTEXT(E169),ISTEXT(F169)),IF(E169=F169,"PASS","FAIL"),"PASS"),"FAIL")</x:f>
        <x:v>PASS</x:v>
      </x:c>
      <x:c r="H169" t="str">
        <x:f>G169</x:f>
        <x:v>PASS</x:v>
      </x:c>
    </x:row>
    <x:row r="170">
      <x:c r="B170" t="str">
        <x:v>A-PL-164</x:v>
      </x:c>
      <x:c r="C170" t="str">
        <x:v>gate</x:v>
      </x:c>
      <x:c r="D170" t="str">
        <x:v>PL-PEV-085</x:v>
      </x:c>
      <x:c r="E170" s="23" t="str">
        <x:v>PASS</x:v>
      </x:c>
      <x:c r="F170" s="23" t="str">
        <x:f>'Release Gates'!I170</x:f>
        <x:v>PASS</x:v>
      </x:c>
      <x:c r="G170" t="str">
        <x:f>IF(ABS(IFERROR(E170-F170,0))&lt;0.0001,IF(OR(ISTEXT(E170),ISTEXT(F170)),IF(E170=F170,"PASS","FAIL"),"PASS"),"FAIL")</x:f>
        <x:v>PASS</x:v>
      </x:c>
      <x:c r="H170" t="str">
        <x:f>G170</x:f>
        <x:v>PASS</x:v>
      </x:c>
    </x:row>
    <x:row r="171">
      <x:c r="B171" t="str">
        <x:v>A-PL-165</x:v>
      </x:c>
      <x:c r="C171" t="str">
        <x:v>gate</x:v>
      </x:c>
      <x:c r="D171" t="str">
        <x:v>PL-PEV-086</x:v>
      </x:c>
      <x:c r="E171" s="23" t="str">
        <x:v>PASS</x:v>
      </x:c>
      <x:c r="F171" s="23" t="str">
        <x:f>'Release Gates'!I171</x:f>
        <x:v>PASS</x:v>
      </x:c>
      <x:c r="G171" t="str">
        <x:f>IF(ABS(IFERROR(E171-F171,0))&lt;0.0001,IF(OR(ISTEXT(E171),ISTEXT(F171)),IF(E171=F171,"PASS","FAIL"),"PASS"),"FAIL")</x:f>
        <x:v>PASS</x:v>
      </x:c>
      <x:c r="H171" t="str">
        <x:f>G171</x:f>
        <x:v>PASS</x:v>
      </x:c>
    </x:row>
    <x:row r="172">
      <x:c r="B172" t="str">
        <x:v>A-PL-166</x:v>
      </x:c>
      <x:c r="C172" t="str">
        <x:v>gate</x:v>
      </x:c>
      <x:c r="D172" t="str">
        <x:v>PL-PEV-087</x:v>
      </x:c>
      <x:c r="E172" s="23" t="str">
        <x:v>PASS</x:v>
      </x:c>
      <x:c r="F172" s="23" t="str">
        <x:f>'Release Gates'!I172</x:f>
        <x:v>PASS</x:v>
      </x:c>
      <x:c r="G172" t="str">
        <x:f>IF(ABS(IFERROR(E172-F172,0))&lt;0.0001,IF(OR(ISTEXT(E172),ISTEXT(F172)),IF(E172=F172,"PASS","FAIL"),"PASS"),"FAIL")</x:f>
        <x:v>PASS</x:v>
      </x:c>
      <x:c r="H172" t="str">
        <x:f>G172</x:f>
        <x:v>PASS</x:v>
      </x:c>
    </x:row>
    <x:row r="173">
      <x:c r="B173" t="str">
        <x:v>A-PL-167</x:v>
      </x:c>
      <x:c r="C173" t="str">
        <x:v>gate</x:v>
      </x:c>
      <x:c r="D173" t="str">
        <x:v>PL-PEV-088</x:v>
      </x:c>
      <x:c r="E173" s="23" t="str">
        <x:v>PASS</x:v>
      </x:c>
      <x:c r="F173" s="23" t="str">
        <x:f>'Release Gates'!I173</x:f>
        <x:v>PASS</x:v>
      </x:c>
      <x:c r="G173" t="str">
        <x:f>IF(ABS(IFERROR(E173-F173,0))&lt;0.0001,IF(OR(ISTEXT(E173),ISTEXT(F173)),IF(E173=F173,"PASS","FAIL"),"PASS"),"FAIL")</x:f>
        <x:v>PASS</x:v>
      </x:c>
      <x:c r="H173" t="str">
        <x:f>G173</x:f>
        <x:v>PASS</x:v>
      </x:c>
    </x:row>
    <x:row r="174">
      <x:c r="B174" t="str">
        <x:v>A-PL-168</x:v>
      </x:c>
      <x:c r="C174" t="str">
        <x:v>gate</x:v>
      </x:c>
      <x:c r="D174" t="str">
        <x:v>PL-PEV-089</x:v>
      </x:c>
      <x:c r="E174" s="23" t="str">
        <x:v>PASS</x:v>
      </x:c>
      <x:c r="F174" s="23" t="str">
        <x:f>'Release Gates'!I174</x:f>
        <x:v>PASS</x:v>
      </x:c>
      <x:c r="G174" t="str">
        <x:f>IF(ABS(IFERROR(E174-F174,0))&lt;0.0001,IF(OR(ISTEXT(E174),ISTEXT(F174)),IF(E174=F174,"PASS","FAIL"),"PASS"),"FAIL")</x:f>
        <x:v>PASS</x:v>
      </x:c>
      <x:c r="H174" t="str">
        <x:f>G174</x:f>
        <x:v>PASS</x:v>
      </x:c>
    </x:row>
    <x:row r="175">
      <x:c r="B175" t="str">
        <x:v>A-PL-169</x:v>
      </x:c>
      <x:c r="C175" t="str">
        <x:v>gate</x:v>
      </x:c>
      <x:c r="D175" t="str">
        <x:v>PL-PEV-090</x:v>
      </x:c>
      <x:c r="E175" s="23" t="str">
        <x:v>PASS</x:v>
      </x:c>
      <x:c r="F175" s="23" t="str">
        <x:f>'Release Gates'!I175</x:f>
        <x:v>PASS</x:v>
      </x:c>
      <x:c r="G175" t="str">
        <x:f>IF(ABS(IFERROR(E175-F175,0))&lt;0.0001,IF(OR(ISTEXT(E175),ISTEXT(F175)),IF(E175=F175,"PASS","FAIL"),"PASS"),"FAIL")</x:f>
        <x:v>PASS</x:v>
      </x:c>
      <x:c r="H175" t="str">
        <x:f>G175</x:f>
        <x:v>PASS</x:v>
      </x:c>
    </x:row>
    <x:row r="176">
      <x:c r="B176" t="str">
        <x:v>A-PL-170</x:v>
      </x:c>
      <x:c r="C176" t="str">
        <x:v>gate</x:v>
      </x:c>
      <x:c r="D176" t="str">
        <x:v>PL-PEV-091</x:v>
      </x:c>
      <x:c r="E176" s="23" t="str">
        <x:v>PASS</x:v>
      </x:c>
      <x:c r="F176" s="23" t="str">
        <x:f>'Release Gates'!I176</x:f>
        <x:v>PASS</x:v>
      </x:c>
      <x:c r="G176" t="str">
        <x:f>IF(ABS(IFERROR(E176-F176,0))&lt;0.0001,IF(OR(ISTEXT(E176),ISTEXT(F176)),IF(E176=F176,"PASS","FAIL"),"PASS"),"FAIL")</x:f>
        <x:v>PASS</x:v>
      </x:c>
      <x:c r="H176" t="str">
        <x:f>G176</x:f>
        <x:v>PASS</x:v>
      </x:c>
    </x:row>
    <x:row r="177">
      <x:c r="B177" t="str">
        <x:v>A-PL-171</x:v>
      </x:c>
      <x:c r="C177" t="str">
        <x:v>gate</x:v>
      </x:c>
      <x:c r="D177" t="str">
        <x:v>PL-PEV-092</x:v>
      </x:c>
      <x:c r="E177" s="23" t="str">
        <x:v>PASS</x:v>
      </x:c>
      <x:c r="F177" s="23" t="str">
        <x:f>'Release Gates'!I177</x:f>
        <x:v>PASS</x:v>
      </x:c>
      <x:c r="G177" t="str">
        <x:f>IF(ABS(IFERROR(E177-F177,0))&lt;0.0001,IF(OR(ISTEXT(E177),ISTEXT(F177)),IF(E177=F177,"PASS","FAIL"),"PASS"),"FAIL")</x:f>
        <x:v>PASS</x:v>
      </x:c>
      <x:c r="H177" t="str">
        <x:f>G177</x:f>
        <x:v>PASS</x:v>
      </x:c>
    </x:row>
    <x:row r="178">
      <x:c r="B178" t="str">
        <x:v>A-PL-172</x:v>
      </x:c>
      <x:c r="C178" t="str">
        <x:v>gate</x:v>
      </x:c>
      <x:c r="D178" t="str">
        <x:v>PL-PEV-093</x:v>
      </x:c>
      <x:c r="E178" s="23" t="str">
        <x:v>PASS</x:v>
      </x:c>
      <x:c r="F178" s="23" t="str">
        <x:f>'Release Gates'!I178</x:f>
        <x:v>PASS</x:v>
      </x:c>
      <x:c r="G178" t="str">
        <x:f>IF(ABS(IFERROR(E178-F178,0))&lt;0.0001,IF(OR(ISTEXT(E178),ISTEXT(F178)),IF(E178=F178,"PASS","FAIL"),"PASS"),"FAIL")</x:f>
        <x:v>PASS</x:v>
      </x:c>
      <x:c r="H178" t="str">
        <x:f>G178</x:f>
        <x:v>PASS</x:v>
      </x:c>
    </x:row>
    <x:row r="179">
      <x:c r="B179" t="str">
        <x:v>A-PL-173</x:v>
      </x:c>
      <x:c r="C179" t="str">
        <x:v>gate</x:v>
      </x:c>
      <x:c r="D179" t="str">
        <x:v>PL-PEV-094</x:v>
      </x:c>
      <x:c r="E179" s="23" t="str">
        <x:v>PASS</x:v>
      </x:c>
      <x:c r="F179" s="23" t="str">
        <x:f>'Release Gates'!I179</x:f>
        <x:v>PASS</x:v>
      </x:c>
      <x:c r="G179" t="str">
        <x:f>IF(ABS(IFERROR(E179-F179,0))&lt;0.0001,IF(OR(ISTEXT(E179),ISTEXT(F179)),IF(E179=F179,"PASS","FAIL"),"PASS"),"FAIL")</x:f>
        <x:v>PASS</x:v>
      </x:c>
      <x:c r="H179" t="str">
        <x:f>G179</x:f>
        <x:v>PASS</x:v>
      </x:c>
    </x:row>
    <x:row r="180">
      <x:c r="B180" t="str">
        <x:v>A-PL-174</x:v>
      </x:c>
      <x:c r="C180" t="str">
        <x:v>gate</x:v>
      </x:c>
      <x:c r="D180" t="str">
        <x:v>PL-PEV-095</x:v>
      </x:c>
      <x:c r="E180" s="23" t="str">
        <x:v>PASS</x:v>
      </x:c>
      <x:c r="F180" s="23" t="str">
        <x:f>'Release Gates'!I180</x:f>
        <x:v>PASS</x:v>
      </x:c>
      <x:c r="G180" t="str">
        <x:f>IF(ABS(IFERROR(E180-F180,0))&lt;0.0001,IF(OR(ISTEXT(E180),ISTEXT(F180)),IF(E180=F180,"PASS","FAIL"),"PASS"),"FAIL")</x:f>
        <x:v>PASS</x:v>
      </x:c>
      <x:c r="H180" t="str">
        <x:f>G180</x:f>
        <x:v>PASS</x:v>
      </x:c>
    </x:row>
    <x:row r="181">
      <x:c r="B181" t="str">
        <x:v>A-PL-175</x:v>
      </x:c>
      <x:c r="C181" t="str">
        <x:v>gate</x:v>
      </x:c>
      <x:c r="D181" t="str">
        <x:v>PL-PEV-096</x:v>
      </x:c>
      <x:c r="E181" s="23" t="str">
        <x:v>PASS</x:v>
      </x:c>
      <x:c r="F181" s="23" t="str">
        <x:f>'Release Gates'!I181</x:f>
        <x:v>PASS</x:v>
      </x:c>
      <x:c r="G181" t="str">
        <x:f>IF(ABS(IFERROR(E181-F181,0))&lt;0.0001,IF(OR(ISTEXT(E181),ISTEXT(F181)),IF(E181=F181,"PASS","FAIL"),"PASS"),"FAIL")</x:f>
        <x:v>PASS</x:v>
      </x:c>
      <x:c r="H181" t="str">
        <x:f>G181</x:f>
        <x:v>PASS</x:v>
      </x:c>
    </x:row>
    <x:row r="182">
      <x:c r="B182" t="str">
        <x:v>A-PL-176</x:v>
      </x:c>
      <x:c r="C182" t="str">
        <x:v>gate</x:v>
      </x:c>
      <x:c r="D182" t="str">
        <x:v>PL-PEV-097</x:v>
      </x:c>
      <x:c r="E182" s="23" t="str">
        <x:v>PASS</x:v>
      </x:c>
      <x:c r="F182" s="23" t="str">
        <x:f>'Release Gates'!I182</x:f>
        <x:v>PASS</x:v>
      </x:c>
      <x:c r="G182" t="str">
        <x:f>IF(ABS(IFERROR(E182-F182,0))&lt;0.0001,IF(OR(ISTEXT(E182),ISTEXT(F182)),IF(E182=F182,"PASS","FAIL"),"PASS"),"FAIL")</x:f>
        <x:v>PASS</x:v>
      </x:c>
      <x:c r="H182" t="str">
        <x:f>G182</x:f>
        <x:v>PASS</x:v>
      </x:c>
    </x:row>
    <x:row r="183">
      <x:c r="B183" t="str">
        <x:v>A-PL-177</x:v>
      </x:c>
      <x:c r="C183" t="str">
        <x:v>gate</x:v>
      </x:c>
      <x:c r="D183" t="str">
        <x:v>PL-PEV-098</x:v>
      </x:c>
      <x:c r="E183" s="23" t="str">
        <x:v>PASS</x:v>
      </x:c>
      <x:c r="F183" s="23" t="str">
        <x:f>'Release Gates'!I183</x:f>
        <x:v>PASS</x:v>
      </x:c>
      <x:c r="G183" t="str">
        <x:f>IF(ABS(IFERROR(E183-F183,0))&lt;0.0001,IF(OR(ISTEXT(E183),ISTEXT(F183)),IF(E183=F183,"PASS","FAIL"),"PASS"),"FAIL")</x:f>
        <x:v>PASS</x:v>
      </x:c>
      <x:c r="H183" t="str">
        <x:f>G183</x:f>
        <x:v>PASS</x:v>
      </x:c>
    </x:row>
    <x:row r="184">
      <x:c r="B184" t="str">
        <x:v>A-PL-178</x:v>
      </x:c>
      <x:c r="C184" t="str">
        <x:v>gate</x:v>
      </x:c>
      <x:c r="D184" t="str">
        <x:v>PL-PEV-099</x:v>
      </x:c>
      <x:c r="E184" s="23" t="str">
        <x:v>PASS</x:v>
      </x:c>
      <x:c r="F184" s="23" t="str">
        <x:f>'Release Gates'!I184</x:f>
        <x:v>PASS</x:v>
      </x:c>
      <x:c r="G184" t="str">
        <x:f>IF(ABS(IFERROR(E184-F184,0))&lt;0.0001,IF(OR(ISTEXT(E184),ISTEXT(F184)),IF(E184=F184,"PASS","FAIL"),"PASS"),"FAIL")</x:f>
        <x:v>PASS</x:v>
      </x:c>
      <x:c r="H184" t="str">
        <x:f>G184</x:f>
        <x:v>PASS</x:v>
      </x:c>
    </x:row>
    <x:row r="185">
      <x:c r="B185" t="str">
        <x:v>A-PL-179</x:v>
      </x:c>
      <x:c r="C185" t="str">
        <x:v>gate</x:v>
      </x:c>
      <x:c r="D185" t="str">
        <x:v>PL-PEV-100</x:v>
      </x:c>
      <x:c r="E185" s="23" t="str">
        <x:v>PASS</x:v>
      </x:c>
      <x:c r="F185" s="23" t="str">
        <x:f>'Release Gates'!I185</x:f>
        <x:v>PASS</x:v>
      </x:c>
      <x:c r="G185" t="str">
        <x:f>IF(ABS(IFERROR(E185-F185,0))&lt;0.0001,IF(OR(ISTEXT(E185),ISTEXT(F185)),IF(E185=F185,"PASS","FAIL"),"PASS"),"FAIL")</x:f>
        <x:v>PASS</x:v>
      </x:c>
      <x:c r="H185" t="str">
        <x:f>G185</x:f>
        <x:v>PASS</x:v>
      </x:c>
    </x:row>
    <x:row r="186">
      <x:c r="B186" t="str">
        <x:v>A-PL-180</x:v>
      </x:c>
      <x:c r="C186" t="str">
        <x:v>gate</x:v>
      </x:c>
      <x:c r="D186" t="str">
        <x:v>PL-PEV-101</x:v>
      </x:c>
      <x:c r="E186" s="23" t="str">
        <x:v>PASS</x:v>
      </x:c>
      <x:c r="F186" s="23" t="str">
        <x:f>'Release Gates'!I186</x:f>
        <x:v>PASS</x:v>
      </x:c>
      <x:c r="G186" t="str">
        <x:f>IF(ABS(IFERROR(E186-F186,0))&lt;0.0001,IF(OR(ISTEXT(E186),ISTEXT(F186)),IF(E186=F186,"PASS","FAIL"),"PASS"),"FAIL")</x:f>
        <x:v>PASS</x:v>
      </x:c>
      <x:c r="H186" t="str">
        <x:f>G186</x:f>
        <x:v>PASS</x:v>
      </x:c>
    </x:row>
    <x:row r="187">
      <x:c r="B187" t="str">
        <x:v>A-PL-181</x:v>
      </x:c>
      <x:c r="C187" t="str">
        <x:v>gate</x:v>
      </x:c>
      <x:c r="D187" t="str">
        <x:v>PL-PEV-102</x:v>
      </x:c>
      <x:c r="E187" s="23" t="str">
        <x:v>PASS</x:v>
      </x:c>
      <x:c r="F187" s="23" t="str">
        <x:f>'Release Gates'!I187</x:f>
        <x:v>PASS</x:v>
      </x:c>
      <x:c r="G187" t="str">
        <x:f>IF(ABS(IFERROR(E187-F187,0))&lt;0.0001,IF(OR(ISTEXT(E187),ISTEXT(F187)),IF(E187=F187,"PASS","FAIL"),"PASS"),"FAIL")</x:f>
        <x:v>PASS</x:v>
      </x:c>
      <x:c r="H187" t="str">
        <x:f>G187</x:f>
        <x:v>PASS</x:v>
      </x:c>
    </x:row>
    <x:row r="188">
      <x:c r="B188" t="str">
        <x:v>A-PL-182</x:v>
      </x:c>
      <x:c r="C188" t="str">
        <x:v>gate</x:v>
      </x:c>
      <x:c r="D188" t="str">
        <x:v>PL-PEV-103</x:v>
      </x:c>
      <x:c r="E188" s="23" t="str">
        <x:v>PASS</x:v>
      </x:c>
      <x:c r="F188" s="23" t="str">
        <x:f>'Release Gates'!I188</x:f>
        <x:v>PASS</x:v>
      </x:c>
      <x:c r="G188" t="str">
        <x:f>IF(ABS(IFERROR(E188-F188,0))&lt;0.0001,IF(OR(ISTEXT(E188),ISTEXT(F188)),IF(E188=F188,"PASS","FAIL"),"PASS"),"FAIL")</x:f>
        <x:v>PASS</x:v>
      </x:c>
      <x:c r="H188" t="str">
        <x:f>G188</x:f>
        <x:v>PASS</x:v>
      </x:c>
    </x:row>
    <x:row r="189">
      <x:c r="B189" t="str">
        <x:v>A-PL-183</x:v>
      </x:c>
      <x:c r="C189" t="str">
        <x:v>gate</x:v>
      </x:c>
      <x:c r="D189" t="str">
        <x:v>PL-PEV-104</x:v>
      </x:c>
      <x:c r="E189" s="23" t="str">
        <x:v>PASS</x:v>
      </x:c>
      <x:c r="F189" s="23" t="str">
        <x:f>'Release Gates'!I189</x:f>
        <x:v>PASS</x:v>
      </x:c>
      <x:c r="G189" t="str">
        <x:f>IF(ABS(IFERROR(E189-F189,0))&lt;0.0001,IF(OR(ISTEXT(E189),ISTEXT(F189)),IF(E189=F189,"PASS","FAIL"),"PASS"),"FAIL")</x:f>
        <x:v>PASS</x:v>
      </x:c>
      <x:c r="H189" t="str">
        <x:f>G189</x:f>
        <x:v>PASS</x:v>
      </x:c>
    </x:row>
    <x:row r="190">
      <x:c r="B190" t="str">
        <x:v>A-PL-184</x:v>
      </x:c>
      <x:c r="C190" t="str">
        <x:v>gate</x:v>
      </x:c>
      <x:c r="D190" t="str">
        <x:v>PL-PEV-105</x:v>
      </x:c>
      <x:c r="E190" s="23" t="str">
        <x:v>PASS</x:v>
      </x:c>
      <x:c r="F190" s="23" t="str">
        <x:f>'Release Gates'!I190</x:f>
        <x:v>PASS</x:v>
      </x:c>
      <x:c r="G190" t="str">
        <x:f>IF(ABS(IFERROR(E190-F190,0))&lt;0.0001,IF(OR(ISTEXT(E190),ISTEXT(F190)),IF(E190=F190,"PASS","FAIL"),"PASS"),"FAIL")</x:f>
        <x:v>PASS</x:v>
      </x:c>
      <x:c r="H190" t="str">
        <x:f>G190</x:f>
        <x:v>PASS</x:v>
      </x:c>
    </x:row>
    <x:row r="191">
      <x:c r="B191" t="str">
        <x:v>A-PL-185</x:v>
      </x:c>
      <x:c r="C191" t="str">
        <x:v>gate</x:v>
      </x:c>
      <x:c r="D191" t="str">
        <x:v>PL-PEV-106</x:v>
      </x:c>
      <x:c r="E191" s="23" t="str">
        <x:v>PASS</x:v>
      </x:c>
      <x:c r="F191" s="23" t="str">
        <x:f>'Release Gates'!I191</x:f>
        <x:v>PASS</x:v>
      </x:c>
      <x:c r="G191" t="str">
        <x:f>IF(ABS(IFERROR(E191-F191,0))&lt;0.0001,IF(OR(ISTEXT(E191),ISTEXT(F191)),IF(E191=F191,"PASS","FAIL"),"PASS"),"FAIL")</x:f>
        <x:v>PASS</x:v>
      </x:c>
      <x:c r="H191" t="str">
        <x:f>G191</x:f>
        <x:v>PASS</x:v>
      </x:c>
    </x:row>
    <x:row r="192">
      <x:c r="B192" t="str">
        <x:v>A-PL-186</x:v>
      </x:c>
      <x:c r="C192" t="str">
        <x:v>gate</x:v>
      </x:c>
      <x:c r="D192" t="str">
        <x:v>PL-PEV-107</x:v>
      </x:c>
      <x:c r="E192" s="23" t="str">
        <x:v>PASS</x:v>
      </x:c>
      <x:c r="F192" s="23" t="str">
        <x:f>'Release Gates'!I192</x:f>
        <x:v>PASS</x:v>
      </x:c>
      <x:c r="G192" t="str">
        <x:f>IF(ABS(IFERROR(E192-F192,0))&lt;0.0001,IF(OR(ISTEXT(E192),ISTEXT(F192)),IF(E192=F192,"PASS","FAIL"),"PASS"),"FAIL")</x:f>
        <x:v>PASS</x:v>
      </x:c>
      <x:c r="H192" t="str">
        <x:f>G192</x:f>
        <x:v>PASS</x:v>
      </x:c>
    </x:row>
    <x:row r="193">
      <x:c r="B193" t="str">
        <x:v>A-PL-187</x:v>
      </x:c>
      <x:c r="C193" t="str">
        <x:v>gate</x:v>
      </x:c>
      <x:c r="D193" t="str">
        <x:v>PL-PEV-108</x:v>
      </x:c>
      <x:c r="E193" s="23" t="str">
        <x:v>PASS</x:v>
      </x:c>
      <x:c r="F193" s="23" t="str">
        <x:f>'Release Gates'!I193</x:f>
        <x:v>PASS</x:v>
      </x:c>
      <x:c r="G193" t="str">
        <x:f>IF(ABS(IFERROR(E193-F193,0))&lt;0.0001,IF(OR(ISTEXT(E193),ISTEXT(F193)),IF(E193=F193,"PASS","FAIL"),"PASS"),"FAIL")</x:f>
        <x:v>PASS</x:v>
      </x:c>
      <x:c r="H193" t="str">
        <x:f>G193</x:f>
        <x:v>PASS</x:v>
      </x:c>
    </x:row>
    <x:row r="194">
      <x:c r="B194" t="str">
        <x:v>A-PL-188</x:v>
      </x:c>
      <x:c r="C194" t="str">
        <x:v>gate</x:v>
      </x:c>
      <x:c r="D194" t="str">
        <x:v>PL-PEV-109</x:v>
      </x:c>
      <x:c r="E194" s="23" t="str">
        <x:v>PASS</x:v>
      </x:c>
      <x:c r="F194" s="23" t="str">
        <x:f>'Release Gates'!I194</x:f>
        <x:v>PASS</x:v>
      </x:c>
      <x:c r="G194" t="str">
        <x:f>IF(ABS(IFERROR(E194-F194,0))&lt;0.0001,IF(OR(ISTEXT(E194),ISTEXT(F194)),IF(E194=F194,"PASS","FAIL"),"PASS"),"FAIL")</x:f>
        <x:v>PASS</x:v>
      </x:c>
      <x:c r="H194" t="str">
        <x:f>G194</x:f>
        <x:v>PASS</x:v>
      </x:c>
    </x:row>
    <x:row r="195">
      <x:c r="B195" t="str">
        <x:v>A-PL-189</x:v>
      </x:c>
      <x:c r="C195" t="str">
        <x:v>gate</x:v>
      </x:c>
      <x:c r="D195" t="str">
        <x:v>PL-PEV-110</x:v>
      </x:c>
      <x:c r="E195" s="23" t="str">
        <x:v>PASS</x:v>
      </x:c>
      <x:c r="F195" s="23" t="str">
        <x:f>'Release Gates'!I195</x:f>
        <x:v>PASS</x:v>
      </x:c>
      <x:c r="G195" t="str">
        <x:f>IF(ABS(IFERROR(E195-F195,0))&lt;0.0001,IF(OR(ISTEXT(E195),ISTEXT(F195)),IF(E195=F195,"PASS","FAIL"),"PASS"),"FAIL")</x:f>
        <x:v>PASS</x:v>
      </x:c>
      <x:c r="H195" t="str">
        <x:f>G195</x:f>
        <x:v>PASS</x:v>
      </x:c>
    </x:row>
    <x:row r="196">
      <x:c r="B196" t="str">
        <x:v>A-PL-190</x:v>
      </x:c>
      <x:c r="C196" t="str">
        <x:v>gate</x:v>
      </x:c>
      <x:c r="D196" t="str">
        <x:v>PL-PEV-111</x:v>
      </x:c>
      <x:c r="E196" s="23" t="str">
        <x:v>PASS</x:v>
      </x:c>
      <x:c r="F196" s="23" t="str">
        <x:f>'Release Gates'!I196</x:f>
        <x:v>PASS</x:v>
      </x:c>
      <x:c r="G196" t="str">
        <x:f>IF(ABS(IFERROR(E196-F196,0))&lt;0.0001,IF(OR(ISTEXT(E196),ISTEXT(F196)),IF(E196=F196,"PASS","FAIL"),"PASS"),"FAIL")</x:f>
        <x:v>PASS</x:v>
      </x:c>
      <x:c r="H196" t="str">
        <x:f>G196</x:f>
        <x:v>PASS</x:v>
      </x:c>
    </x:row>
    <x:row r="197">
      <x:c r="B197" t="str">
        <x:v>A-PL-191</x:v>
      </x:c>
      <x:c r="C197" t="str">
        <x:v>gate</x:v>
      </x:c>
      <x:c r="D197" t="str">
        <x:v>PL-PEV-112</x:v>
      </x:c>
      <x:c r="E197" s="23" t="str">
        <x:v>PASS</x:v>
      </x:c>
      <x:c r="F197" s="23" t="str">
        <x:f>'Release Gates'!I197</x:f>
        <x:v>PASS</x:v>
      </x:c>
      <x:c r="G197" t="str">
        <x:f>IF(ABS(IFERROR(E197-F197,0))&lt;0.0001,IF(OR(ISTEXT(E197),ISTEXT(F197)),IF(E197=F197,"PASS","FAIL"),"PASS"),"FAIL")</x:f>
        <x:v>PASS</x:v>
      </x:c>
      <x:c r="H197" t="str">
        <x:f>G197</x:f>
        <x:v>PASS</x:v>
      </x:c>
    </x:row>
    <x:row r="198">
      <x:c r="B198" t="str">
        <x:v>A-PL-192</x:v>
      </x:c>
      <x:c r="C198" t="str">
        <x:v>gate</x:v>
      </x:c>
      <x:c r="D198" t="str">
        <x:v>PL-PEV-113</x:v>
      </x:c>
      <x:c r="E198" s="23" t="str">
        <x:v>PASS</x:v>
      </x:c>
      <x:c r="F198" s="23" t="str">
        <x:f>'Release Gates'!I198</x:f>
        <x:v>PASS</x:v>
      </x:c>
      <x:c r="G198" t="str">
        <x:f>IF(ABS(IFERROR(E198-F198,0))&lt;0.0001,IF(OR(ISTEXT(E198),ISTEXT(F198)),IF(E198=F198,"PASS","FAIL"),"PASS"),"FAIL")</x:f>
        <x:v>PASS</x:v>
      </x:c>
      <x:c r="H198" t="str">
        <x:f>G198</x:f>
        <x:v>PASS</x:v>
      </x:c>
    </x:row>
    <x:row r="199">
      <x:c r="B199" t="str">
        <x:v>A-PL-193</x:v>
      </x:c>
      <x:c r="C199" t="str">
        <x:v>gate</x:v>
      </x:c>
      <x:c r="D199" t="str">
        <x:v>PL-PEV-114</x:v>
      </x:c>
      <x:c r="E199" s="23" t="str">
        <x:v>PASS</x:v>
      </x:c>
      <x:c r="F199" s="23" t="str">
        <x:f>'Release Gates'!I199</x:f>
        <x:v>PASS</x:v>
      </x:c>
      <x:c r="G199" t="str">
        <x:f>IF(ABS(IFERROR(E199-F199,0))&lt;0.0001,IF(OR(ISTEXT(E199),ISTEXT(F199)),IF(E199=F199,"PASS","FAIL"),"PASS"),"FAIL")</x:f>
        <x:v>PASS</x:v>
      </x:c>
      <x:c r="H199" t="str">
        <x:f>G199</x:f>
        <x:v>PASS</x:v>
      </x:c>
    </x:row>
    <x:row r="200">
      <x:c r="B200" t="str">
        <x:v>A-PL-194</x:v>
      </x:c>
      <x:c r="C200" t="str">
        <x:v>gate</x:v>
      </x:c>
      <x:c r="D200" t="str">
        <x:v>PL-PEV-115</x:v>
      </x:c>
      <x:c r="E200" s="23" t="str">
        <x:v>PASS</x:v>
      </x:c>
      <x:c r="F200" s="23" t="str">
        <x:f>'Release Gates'!I200</x:f>
        <x:v>PASS</x:v>
      </x:c>
      <x:c r="G200" t="str">
        <x:f>IF(ABS(IFERROR(E200-F200,0))&lt;0.0001,IF(OR(ISTEXT(E200),ISTEXT(F200)),IF(E200=F200,"PASS","FAIL"),"PASS"),"FAIL")</x:f>
        <x:v>PASS</x:v>
      </x:c>
      <x:c r="H200" t="str">
        <x:f>G200</x:f>
        <x:v>PASS</x:v>
      </x:c>
    </x:row>
    <x:row r="201">
      <x:c r="B201" t="str">
        <x:v>A-PL-195</x:v>
      </x:c>
      <x:c r="C201" t="str">
        <x:v>gate</x:v>
      </x:c>
      <x:c r="D201" t="str">
        <x:v>PL-PEV-116</x:v>
      </x:c>
      <x:c r="E201" s="23" t="str">
        <x:v>PASS</x:v>
      </x:c>
      <x:c r="F201" s="23" t="str">
        <x:f>'Release Gates'!I201</x:f>
        <x:v>PASS</x:v>
      </x:c>
      <x:c r="G201" t="str">
        <x:f>IF(ABS(IFERROR(E201-F201,0))&lt;0.0001,IF(OR(ISTEXT(E201),ISTEXT(F201)),IF(E201=F201,"PASS","FAIL"),"PASS"),"FAIL")</x:f>
        <x:v>PASS</x:v>
      </x:c>
      <x:c r="H201" t="str">
        <x:f>G201</x:f>
        <x:v>PASS</x:v>
      </x:c>
    </x:row>
    <x:row r="202">
      <x:c r="B202" t="str">
        <x:v>A-PL-196</x:v>
      </x:c>
      <x:c r="C202" t="str">
        <x:v>gate</x:v>
      </x:c>
      <x:c r="D202" t="str">
        <x:v>PL-PEV-117</x:v>
      </x:c>
      <x:c r="E202" s="23" t="str">
        <x:v>PASS</x:v>
      </x:c>
      <x:c r="F202" s="23" t="str">
        <x:f>'Release Gates'!I202</x:f>
        <x:v>PASS</x:v>
      </x:c>
      <x:c r="G202" t="str">
        <x:f>IF(ABS(IFERROR(E202-F202,0))&lt;0.0001,IF(OR(ISTEXT(E202),ISTEXT(F202)),IF(E202=F202,"PASS","FAIL"),"PASS"),"FAIL")</x:f>
        <x:v>PASS</x:v>
      </x:c>
      <x:c r="H202" t="str">
        <x:f>G202</x:f>
        <x:v>PASS</x:v>
      </x:c>
    </x:row>
    <x:row r="203">
      <x:c r="B203" t="str">
        <x:v>A-PL-197</x:v>
      </x:c>
      <x:c r="C203" t="str">
        <x:v>gate</x:v>
      </x:c>
      <x:c r="D203" t="str">
        <x:v>PL-PEV-118</x:v>
      </x:c>
      <x:c r="E203" s="23" t="str">
        <x:v>PASS</x:v>
      </x:c>
      <x:c r="F203" s="23" t="str">
        <x:f>'Release Gates'!I203</x:f>
        <x:v>PASS</x:v>
      </x:c>
      <x:c r="G203" t="str">
        <x:f>IF(ABS(IFERROR(E203-F203,0))&lt;0.0001,IF(OR(ISTEXT(E203),ISTEXT(F203)),IF(E203=F203,"PASS","FAIL"),"PASS"),"FAIL")</x:f>
        <x:v>PASS</x:v>
      </x:c>
      <x:c r="H203" t="str">
        <x:f>G203</x:f>
        <x:v>PASS</x:v>
      </x:c>
    </x:row>
    <x:row r="204">
      <x:c r="B204" t="str">
        <x:v>A-PL-198</x:v>
      </x:c>
      <x:c r="C204" t="str">
        <x:v>gate</x:v>
      </x:c>
      <x:c r="D204" t="str">
        <x:v>PL-PEV-119</x:v>
      </x:c>
      <x:c r="E204" s="23" t="str">
        <x:v>PASS</x:v>
      </x:c>
      <x:c r="F204" s="23" t="str">
        <x:f>'Release Gates'!I204</x:f>
        <x:v>PASS</x:v>
      </x:c>
      <x:c r="G204" t="str">
        <x:f>IF(ABS(IFERROR(E204-F204,0))&lt;0.0001,IF(OR(ISTEXT(E204),ISTEXT(F204)),IF(E204=F204,"PASS","FAIL"),"PASS"),"FAIL")</x:f>
        <x:v>PASS</x:v>
      </x:c>
      <x:c r="H204" t="str">
        <x:f>G204</x:f>
        <x:v>PASS</x:v>
      </x:c>
    </x:row>
    <x:row r="205">
      <x:c r="B205" t="str">
        <x:v>A-PL-199</x:v>
      </x:c>
      <x:c r="C205" t="str">
        <x:v>gate</x:v>
      </x:c>
      <x:c r="D205" t="str">
        <x:v>PL-PEV-120</x:v>
      </x:c>
      <x:c r="E205" s="23" t="str">
        <x:v>PASS</x:v>
      </x:c>
      <x:c r="F205" s="23" t="str">
        <x:f>'Release Gates'!I205</x:f>
        <x:v>PASS</x:v>
      </x:c>
      <x:c r="G205" t="str">
        <x:f>IF(ABS(IFERROR(E205-F205,0))&lt;0.0001,IF(OR(ISTEXT(E205),ISTEXT(F205)),IF(E205=F205,"PASS","FAIL"),"PASS"),"FAIL")</x:f>
        <x:v>PASS</x:v>
      </x:c>
      <x:c r="H205" t="str">
        <x:f>G205</x:f>
        <x:v>PASS</x:v>
      </x:c>
    </x:row>
    <x:row r="206">
      <x:c r="B206" t="str">
        <x:v>A-PL-200</x:v>
      </x:c>
      <x:c r="C206" t="str">
        <x:v>gate</x:v>
      </x:c>
      <x:c r="D206" t="str">
        <x:v>PL-PEV-121</x:v>
      </x:c>
      <x:c r="E206" s="23" t="str">
        <x:v>PASS</x:v>
      </x:c>
      <x:c r="F206" s="23" t="str">
        <x:f>'Release Gates'!I206</x:f>
        <x:v>PASS</x:v>
      </x:c>
      <x:c r="G206" t="str">
        <x:f>IF(ABS(IFERROR(E206-F206,0))&lt;0.0001,IF(OR(ISTEXT(E206),ISTEXT(F206)),IF(E206=F206,"PASS","FAIL"),"PASS"),"FAIL")</x:f>
        <x:v>PASS</x:v>
      </x:c>
      <x:c r="H206" t="str">
        <x:f>G206</x:f>
        <x:v>PASS</x:v>
      </x:c>
    </x:row>
    <x:row r="207">
      <x:c r="B207" t="str">
        <x:v>A-PL-201</x:v>
      </x:c>
      <x:c r="C207" t="str">
        <x:v>gate</x:v>
      </x:c>
      <x:c r="D207" t="str">
        <x:v>PL-PEV-122</x:v>
      </x:c>
      <x:c r="E207" s="23" t="str">
        <x:v>PASS</x:v>
      </x:c>
      <x:c r="F207" s="23" t="str">
        <x:f>'Release Gates'!I207</x:f>
        <x:v>PASS</x:v>
      </x:c>
      <x:c r="G207" t="str">
        <x:f>IF(ABS(IFERROR(E207-F207,0))&lt;0.0001,IF(OR(ISTEXT(E207),ISTEXT(F207)),IF(E207=F207,"PASS","FAIL"),"PASS"),"FAIL")</x:f>
        <x:v>PASS</x:v>
      </x:c>
      <x:c r="H207" t="str">
        <x:f>G207</x:f>
        <x:v>PASS</x:v>
      </x:c>
    </x:row>
    <x:row r="208">
      <x:c r="B208" t="str">
        <x:v>A-PL-202</x:v>
      </x:c>
      <x:c r="C208" t="str">
        <x:v>gate</x:v>
      </x:c>
      <x:c r="D208" t="str">
        <x:v>PL-PEV-123</x:v>
      </x:c>
      <x:c r="E208" s="23" t="str">
        <x:v>PASS</x:v>
      </x:c>
      <x:c r="F208" s="23" t="str">
        <x:f>'Release Gates'!I208</x:f>
        <x:v>PASS</x:v>
      </x:c>
      <x:c r="G208" t="str">
        <x:f>IF(ABS(IFERROR(E208-F208,0))&lt;0.0001,IF(OR(ISTEXT(E208),ISTEXT(F208)),IF(E208=F208,"PASS","FAIL"),"PASS"),"FAIL")</x:f>
        <x:v>PASS</x:v>
      </x:c>
      <x:c r="H208" t="str">
        <x:f>G208</x:f>
        <x:v>PASS</x:v>
      </x:c>
    </x:row>
    <x:row r="209">
      <x:c r="B209" t="str">
        <x:v>A-PL-203</x:v>
      </x:c>
      <x:c r="C209" t="str">
        <x:v>gate</x:v>
      </x:c>
      <x:c r="D209" t="str">
        <x:v>PL-PEV-124</x:v>
      </x:c>
      <x:c r="E209" s="23" t="str">
        <x:v>PASS</x:v>
      </x:c>
      <x:c r="F209" s="23" t="str">
        <x:f>'Release Gates'!I209</x:f>
        <x:v>PASS</x:v>
      </x:c>
      <x:c r="G209" t="str">
        <x:f>IF(ABS(IFERROR(E209-F209,0))&lt;0.0001,IF(OR(ISTEXT(E209),ISTEXT(F209)),IF(E209=F209,"PASS","FAIL"),"PASS"),"FAIL")</x:f>
        <x:v>PASS</x:v>
      </x:c>
      <x:c r="H209" t="str">
        <x:f>G209</x:f>
        <x:v>PASS</x:v>
      </x:c>
    </x:row>
    <x:row r="210">
      <x:c r="B210" t="str">
        <x:v>A-PL-204</x:v>
      </x:c>
      <x:c r="C210" t="str">
        <x:v>gate</x:v>
      </x:c>
      <x:c r="D210" t="str">
        <x:v>PL-PEV-125</x:v>
      </x:c>
      <x:c r="E210" s="23" t="str">
        <x:v>PASS</x:v>
      </x:c>
      <x:c r="F210" s="23" t="str">
        <x:f>'Release Gates'!I210</x:f>
        <x:v>PASS</x:v>
      </x:c>
      <x:c r="G210" t="str">
        <x:f>IF(ABS(IFERROR(E210-F210,0))&lt;0.0001,IF(OR(ISTEXT(E210),ISTEXT(F210)),IF(E210=F210,"PASS","FAIL"),"PASS"),"FAIL")</x:f>
        <x:v>PASS</x:v>
      </x:c>
      <x:c r="H210" t="str">
        <x:f>G210</x:f>
        <x:v>PASS</x:v>
      </x:c>
    </x:row>
    <x:row r="211">
      <x:c r="B211" t="str">
        <x:v>A-PL-205</x:v>
      </x:c>
      <x:c r="C211" t="str">
        <x:v>gate</x:v>
      </x:c>
      <x:c r="D211" t="str">
        <x:v>PL-PEV-126</x:v>
      </x:c>
      <x:c r="E211" s="23" t="str">
        <x:v>PASS</x:v>
      </x:c>
      <x:c r="F211" s="23" t="str">
        <x:f>'Release Gates'!I211</x:f>
        <x:v>PASS</x:v>
      </x:c>
      <x:c r="G211" t="str">
        <x:f>IF(ABS(IFERROR(E211-F211,0))&lt;0.0001,IF(OR(ISTEXT(E211),ISTEXT(F211)),IF(E211=F211,"PASS","FAIL"),"PASS"),"FAIL")</x:f>
        <x:v>PASS</x:v>
      </x:c>
      <x:c r="H211" t="str">
        <x:f>G211</x:f>
        <x:v>PASS</x:v>
      </x:c>
    </x:row>
    <x:row r="212">
      <x:c r="B212" t="str">
        <x:v>A-PL-206</x:v>
      </x:c>
      <x:c r="C212" t="str">
        <x:v>gate</x:v>
      </x:c>
      <x:c r="D212" t="str">
        <x:v>PL-PEV-127</x:v>
      </x:c>
      <x:c r="E212" s="23" t="str">
        <x:v>PASS</x:v>
      </x:c>
      <x:c r="F212" s="23" t="str">
        <x:f>'Release Gates'!I212</x:f>
        <x:v>PASS</x:v>
      </x:c>
      <x:c r="G212" t="str">
        <x:f>IF(ABS(IFERROR(E212-F212,0))&lt;0.0001,IF(OR(ISTEXT(E212),ISTEXT(F212)),IF(E212=F212,"PASS","FAIL"),"PASS"),"FAIL")</x:f>
        <x:v>PASS</x:v>
      </x:c>
      <x:c r="H212" t="str">
        <x:f>G212</x:f>
        <x:v>PASS</x:v>
      </x:c>
    </x:row>
    <x:row r="213">
      <x:c r="B213" t="str">
        <x:v>A-PL-207</x:v>
      </x:c>
      <x:c r="C213" t="str">
        <x:v>gate</x:v>
      </x:c>
      <x:c r="D213" t="str">
        <x:v>PL-PEV-128</x:v>
      </x:c>
      <x:c r="E213" s="23" t="str">
        <x:v>PASS</x:v>
      </x:c>
      <x:c r="F213" s="23" t="str">
        <x:f>'Release Gates'!I213</x:f>
        <x:v>PASS</x:v>
      </x:c>
      <x:c r="G213" t="str">
        <x:f>IF(ABS(IFERROR(E213-F213,0))&lt;0.0001,IF(OR(ISTEXT(E213),ISTEXT(F213)),IF(E213=F213,"PASS","FAIL"),"PASS"),"FAIL")</x:f>
        <x:v>PASS</x:v>
      </x:c>
      <x:c r="H213" t="str">
        <x:f>G213</x:f>
        <x:v>PASS</x:v>
      </x:c>
    </x:row>
    <x:row r="214">
      <x:c r="B214" t="str">
        <x:v>A-PL-208</x:v>
      </x:c>
      <x:c r="C214" t="str">
        <x:v>gate</x:v>
      </x:c>
      <x:c r="D214" t="str">
        <x:v>PL-PEV-129</x:v>
      </x:c>
      <x:c r="E214" s="23" t="str">
        <x:v>PASS</x:v>
      </x:c>
      <x:c r="F214" s="23" t="str">
        <x:f>'Release Gates'!I214</x:f>
        <x:v>PASS</x:v>
      </x:c>
      <x:c r="G214" t="str">
        <x:f>IF(ABS(IFERROR(E214-F214,0))&lt;0.0001,IF(OR(ISTEXT(E214),ISTEXT(F214)),IF(E214=F214,"PASS","FAIL"),"PASS"),"FAIL")</x:f>
        <x:v>PASS</x:v>
      </x:c>
      <x:c r="H214" t="str">
        <x:f>G214</x:f>
        <x:v>PASS</x:v>
      </x:c>
    </x:row>
    <x:row r="215">
      <x:c r="B215" t="str">
        <x:v>A-PL-209</x:v>
      </x:c>
      <x:c r="C215" t="str">
        <x:v>gate</x:v>
      </x:c>
      <x:c r="D215" t="str">
        <x:v>PL-PEV-130</x:v>
      </x:c>
      <x:c r="E215" s="23" t="str">
        <x:v>PASS</x:v>
      </x:c>
      <x:c r="F215" s="23" t="str">
        <x:f>'Release Gates'!I215</x:f>
        <x:v>PASS</x:v>
      </x:c>
      <x:c r="G215" t="str">
        <x:f>IF(ABS(IFERROR(E215-F215,0))&lt;0.0001,IF(OR(ISTEXT(E215),ISTEXT(F215)),IF(E215=F215,"PASS","FAIL"),"PASS"),"FAIL")</x:f>
        <x:v>PASS</x:v>
      </x:c>
      <x:c r="H215" t="str">
        <x:f>G215</x:f>
        <x:v>PASS</x:v>
      </x:c>
    </x:row>
    <x:row r="216">
      <x:c r="B216" t="str">
        <x:v>A-PL-210</x:v>
      </x:c>
      <x:c r="C216" t="str">
        <x:v>gate</x:v>
      </x:c>
      <x:c r="D216" t="str">
        <x:v>PL-PEV-131</x:v>
      </x:c>
      <x:c r="E216" s="23" t="str">
        <x:v>PASS</x:v>
      </x:c>
      <x:c r="F216" s="23" t="str">
        <x:f>'Release Gates'!I216</x:f>
        <x:v>PASS</x:v>
      </x:c>
      <x:c r="G216" t="str">
        <x:f>IF(ABS(IFERROR(E216-F216,0))&lt;0.0001,IF(OR(ISTEXT(E216),ISTEXT(F216)),IF(E216=F216,"PASS","FAIL"),"PASS"),"FAIL")</x:f>
        <x:v>PASS</x:v>
      </x:c>
      <x:c r="H216" t="str">
        <x:f>G216</x:f>
        <x:v>PASS</x:v>
      </x:c>
    </x:row>
    <x:row r="217">
      <x:c r="B217" t="str">
        <x:v>A-PL-211</x:v>
      </x:c>
      <x:c r="C217" t="str">
        <x:v>gate</x:v>
      </x:c>
      <x:c r="D217" t="str">
        <x:v>PL-PEV-132</x:v>
      </x:c>
      <x:c r="E217" s="23" t="str">
        <x:v>PASS</x:v>
      </x:c>
      <x:c r="F217" s="23" t="str">
        <x:f>'Release Gates'!I217</x:f>
        <x:v>PASS</x:v>
      </x:c>
      <x:c r="G217" t="str">
        <x:f>IF(ABS(IFERROR(E217-F217,0))&lt;0.0001,IF(OR(ISTEXT(E217),ISTEXT(F217)),IF(E217=F217,"PASS","FAIL"),"PASS"),"FAIL")</x:f>
        <x:v>PASS</x:v>
      </x:c>
      <x:c r="H217" t="str">
        <x:f>G217</x:f>
        <x:v>PASS</x:v>
      </x:c>
    </x:row>
    <x:row r="218">
      <x:c r="B218" t="str">
        <x:v>A-PL-212</x:v>
      </x:c>
      <x:c r="C218" t="str">
        <x:v>gate</x:v>
      </x:c>
      <x:c r="D218" t="str">
        <x:v>PL-PEV-133</x:v>
      </x:c>
      <x:c r="E218" s="23" t="str">
        <x:v>PASS</x:v>
      </x:c>
      <x:c r="F218" s="23" t="str">
        <x:f>'Release Gates'!I218</x:f>
        <x:v>PASS</x:v>
      </x:c>
      <x:c r="G218" t="str">
        <x:f>IF(ABS(IFERROR(E218-F218,0))&lt;0.0001,IF(OR(ISTEXT(E218),ISTEXT(F218)),IF(E218=F218,"PASS","FAIL"),"PASS"),"FAIL")</x:f>
        <x:v>PASS</x:v>
      </x:c>
      <x:c r="H218" t="str">
        <x:f>G218</x:f>
        <x:v>PASS</x:v>
      </x:c>
    </x:row>
    <x:row r="219">
      <x:c r="B219" t="str">
        <x:v>A-PL-213</x:v>
      </x:c>
      <x:c r="C219" t="str">
        <x:v>gate</x:v>
      </x:c>
      <x:c r="D219" t="str">
        <x:v>PL-PEV-134</x:v>
      </x:c>
      <x:c r="E219" s="23" t="str">
        <x:v>PASS</x:v>
      </x:c>
      <x:c r="F219" s="23" t="str">
        <x:f>'Release Gates'!I219</x:f>
        <x:v>PASS</x:v>
      </x:c>
      <x:c r="G219" t="str">
        <x:f>IF(ABS(IFERROR(E219-F219,0))&lt;0.0001,IF(OR(ISTEXT(E219),ISTEXT(F219)),IF(E219=F219,"PASS","FAIL"),"PASS"),"FAIL")</x:f>
        <x:v>PASS</x:v>
      </x:c>
      <x:c r="H219" t="str">
        <x:f>G219</x:f>
        <x:v>PASS</x:v>
      </x:c>
    </x:row>
    <x:row r="220">
      <x:c r="B220" t="str">
        <x:v>A-PL-214</x:v>
      </x:c>
      <x:c r="C220" t="str">
        <x:v>gate</x:v>
      </x:c>
      <x:c r="D220" t="str">
        <x:v>PL-PEV-135</x:v>
      </x:c>
      <x:c r="E220" s="23" t="str">
        <x:v>PASS</x:v>
      </x:c>
      <x:c r="F220" s="23" t="str">
        <x:f>'Release Gates'!I220</x:f>
        <x:v>PASS</x:v>
      </x:c>
      <x:c r="G220" t="str">
        <x:f>IF(ABS(IFERROR(E220-F220,0))&lt;0.0001,IF(OR(ISTEXT(E220),ISTEXT(F220)),IF(E220=F220,"PASS","FAIL"),"PASS"),"FAIL")</x:f>
        <x:v>PASS</x:v>
      </x:c>
      <x:c r="H220" t="str">
        <x:f>G220</x:f>
        <x:v>PASS</x:v>
      </x:c>
    </x:row>
    <x:row r="221">
      <x:c r="B221" t="str">
        <x:v>A-PL-215</x:v>
      </x:c>
      <x:c r="C221" t="str">
        <x:v>gate</x:v>
      </x:c>
      <x:c r="D221" t="str">
        <x:v>PL-PEV-136</x:v>
      </x:c>
      <x:c r="E221" s="23" t="str">
        <x:v>PASS</x:v>
      </x:c>
      <x:c r="F221" s="23" t="str">
        <x:f>'Release Gates'!I221</x:f>
        <x:v>PASS</x:v>
      </x:c>
      <x:c r="G221" t="str">
        <x:f>IF(ABS(IFERROR(E221-F221,0))&lt;0.0001,IF(OR(ISTEXT(E221),ISTEXT(F221)),IF(E221=F221,"PASS","FAIL"),"PASS"),"FAIL")</x:f>
        <x:v>PASS</x:v>
      </x:c>
      <x:c r="H221" t="str">
        <x:f>G221</x:f>
        <x:v>PASS</x:v>
      </x:c>
    </x:row>
    <x:row r="222">
      <x:c r="B222" t="str">
        <x:v>A-PL-216</x:v>
      </x:c>
      <x:c r="C222" t="str">
        <x:v>gate</x:v>
      </x:c>
      <x:c r="D222" t="str">
        <x:v>PL-PEV-137</x:v>
      </x:c>
      <x:c r="E222" s="23" t="str">
        <x:v>PASS</x:v>
      </x:c>
      <x:c r="F222" s="23" t="str">
        <x:f>'Release Gates'!I222</x:f>
        <x:v>PASS</x:v>
      </x:c>
      <x:c r="G222" t="str">
        <x:f>IF(ABS(IFERROR(E222-F222,0))&lt;0.0001,IF(OR(ISTEXT(E222),ISTEXT(F222)),IF(E222=F222,"PASS","FAIL"),"PASS"),"FAIL")</x:f>
        <x:v>PASS</x:v>
      </x:c>
      <x:c r="H222" t="str">
        <x:f>G222</x:f>
        <x:v>PASS</x:v>
      </x:c>
    </x:row>
    <x:row r="223">
      <x:c r="B223" t="str">
        <x:v>A-PL-217</x:v>
      </x:c>
      <x:c r="C223" t="str">
        <x:v>gate</x:v>
      </x:c>
      <x:c r="D223" t="str">
        <x:v>PL-PEV-138</x:v>
      </x:c>
      <x:c r="E223" s="23" t="str">
        <x:v>PASS</x:v>
      </x:c>
      <x:c r="F223" s="23" t="str">
        <x:f>'Release Gates'!I223</x:f>
        <x:v>PASS</x:v>
      </x:c>
      <x:c r="G223" t="str">
        <x:f>IF(ABS(IFERROR(E223-F223,0))&lt;0.0001,IF(OR(ISTEXT(E223),ISTEXT(F223)),IF(E223=F223,"PASS","FAIL"),"PASS"),"FAIL")</x:f>
        <x:v>PASS</x:v>
      </x:c>
      <x:c r="H223" t="str">
        <x:f>G223</x:f>
        <x:v>PASS</x:v>
      </x:c>
    </x:row>
    <x:row r="224">
      <x:c r="B224" t="str">
        <x:v>A-PL-218</x:v>
      </x:c>
      <x:c r="C224" t="str">
        <x:v>gate</x:v>
      </x:c>
      <x:c r="D224" t="str">
        <x:v>PL-PEV-139</x:v>
      </x:c>
      <x:c r="E224" s="23" t="str">
        <x:v>PASS</x:v>
      </x:c>
      <x:c r="F224" s="23" t="str">
        <x:f>'Release Gates'!I224</x:f>
        <x:v>PASS</x:v>
      </x:c>
      <x:c r="G224" t="str">
        <x:f>IF(ABS(IFERROR(E224-F224,0))&lt;0.0001,IF(OR(ISTEXT(E224),ISTEXT(F224)),IF(E224=F224,"PASS","FAIL"),"PASS"),"FAIL")</x:f>
        <x:v>PASS</x:v>
      </x:c>
      <x:c r="H224" t="str">
        <x:f>G224</x:f>
        <x:v>PASS</x:v>
      </x:c>
    </x:row>
    <x:row r="225">
      <x:c r="B225" t="str">
        <x:v>A-PL-219</x:v>
      </x:c>
      <x:c r="C225" t="str">
        <x:v>gate</x:v>
      </x:c>
      <x:c r="D225" t="str">
        <x:v>PL-PEV-140</x:v>
      </x:c>
      <x:c r="E225" s="23" t="str">
        <x:v>PASS</x:v>
      </x:c>
      <x:c r="F225" s="23" t="str">
        <x:f>'Release Gates'!I225</x:f>
        <x:v>PASS</x:v>
      </x:c>
      <x:c r="G225" t="str">
        <x:f>IF(ABS(IFERROR(E225-F225,0))&lt;0.0001,IF(OR(ISTEXT(E225),ISTEXT(F225)),IF(E225=F225,"PASS","FAIL"),"PASS"),"FAIL")</x:f>
        <x:v>PASS</x:v>
      </x:c>
      <x:c r="H225" t="str">
        <x:f>G225</x:f>
        <x:v>PASS</x:v>
      </x:c>
    </x:row>
    <x:row r="226">
      <x:c r="B226" t="str">
        <x:v>A-PL-220</x:v>
      </x:c>
      <x:c r="C226" t="str">
        <x:v>gate</x:v>
      </x:c>
      <x:c r="D226" t="str">
        <x:v>PL-PEV-141</x:v>
      </x:c>
      <x:c r="E226" s="23" t="str">
        <x:v>PASS</x:v>
      </x:c>
      <x:c r="F226" s="23" t="str">
        <x:f>'Release Gates'!I226</x:f>
        <x:v>PASS</x:v>
      </x:c>
      <x:c r="G226" t="str">
        <x:f>IF(ABS(IFERROR(E226-F226,0))&lt;0.0001,IF(OR(ISTEXT(E226),ISTEXT(F226)),IF(E226=F226,"PASS","FAIL"),"PASS"),"FAIL")</x:f>
        <x:v>PASS</x:v>
      </x:c>
      <x:c r="H226" t="str">
        <x:f>G226</x:f>
        <x:v>PASS</x:v>
      </x:c>
    </x:row>
    <x:row r="227">
      <x:c r="B227" t="str">
        <x:v>A-PL-221</x:v>
      </x:c>
      <x:c r="C227" t="str">
        <x:v>gate</x:v>
      </x:c>
      <x:c r="D227" t="str">
        <x:v>PL-PEV-142</x:v>
      </x:c>
      <x:c r="E227" s="23" t="str">
        <x:v>PASS</x:v>
      </x:c>
      <x:c r="F227" s="23" t="str">
        <x:f>'Release Gates'!I227</x:f>
        <x:v>PASS</x:v>
      </x:c>
      <x:c r="G227" t="str">
        <x:f>IF(ABS(IFERROR(E227-F227,0))&lt;0.0001,IF(OR(ISTEXT(E227),ISTEXT(F227)),IF(E227=F227,"PASS","FAIL"),"PASS"),"FAIL")</x:f>
        <x:v>PASS</x:v>
      </x:c>
      <x:c r="H227" t="str">
        <x:f>G227</x:f>
        <x:v>PASS</x:v>
      </x:c>
    </x:row>
    <x:row r="228">
      <x:c r="B228" t="str">
        <x:v>A-PL-222</x:v>
      </x:c>
      <x:c r="C228" t="str">
        <x:v>gate</x:v>
      </x:c>
      <x:c r="D228" t="str">
        <x:v>PL-PEV-143</x:v>
      </x:c>
      <x:c r="E228" s="23" t="str">
        <x:v>PASS</x:v>
      </x:c>
      <x:c r="F228" s="23" t="str">
        <x:f>'Release Gates'!I228</x:f>
        <x:v>PASS</x:v>
      </x:c>
      <x:c r="G228" t="str">
        <x:f>IF(ABS(IFERROR(E228-F228,0))&lt;0.0001,IF(OR(ISTEXT(E228),ISTEXT(F228)),IF(E228=F228,"PASS","FAIL"),"PASS"),"FAIL")</x:f>
        <x:v>PASS</x:v>
      </x:c>
      <x:c r="H228" t="str">
        <x:f>G228</x:f>
        <x:v>PASS</x:v>
      </x:c>
    </x:row>
    <x:row r="229">
      <x:c r="B229" t="str">
        <x:v>A-PL-223</x:v>
      </x:c>
      <x:c r="C229" t="str">
        <x:v>gate</x:v>
      </x:c>
      <x:c r="D229" t="str">
        <x:v>PL-PEV-144</x:v>
      </x:c>
      <x:c r="E229" s="23" t="str">
        <x:v>PASS</x:v>
      </x:c>
      <x:c r="F229" s="23" t="str">
        <x:f>'Release Gates'!I229</x:f>
        <x:v>PASS</x:v>
      </x:c>
      <x:c r="G229" t="str">
        <x:f>IF(ABS(IFERROR(E229-F229,0))&lt;0.0001,IF(OR(ISTEXT(E229),ISTEXT(F229)),IF(E229=F229,"PASS","FAIL"),"PASS"),"FAIL")</x:f>
        <x:v>PASS</x:v>
      </x:c>
      <x:c r="H229" t="str">
        <x:f>G229</x:f>
        <x:v>PASS</x:v>
      </x:c>
    </x:row>
    <x:row r="230">
      <x:c r="B230" t="str">
        <x:v>A-PL-224</x:v>
      </x:c>
      <x:c r="C230" t="str">
        <x:v>gate</x:v>
      </x:c>
      <x:c r="D230" t="str">
        <x:v>PL-PEV-145</x:v>
      </x:c>
      <x:c r="E230" s="23" t="str">
        <x:v>PASS</x:v>
      </x:c>
      <x:c r="F230" s="23" t="str">
        <x:f>'Release Gates'!I230</x:f>
        <x:v>PASS</x:v>
      </x:c>
      <x:c r="G230" t="str">
        <x:f>IF(ABS(IFERROR(E230-F230,0))&lt;0.0001,IF(OR(ISTEXT(E230),ISTEXT(F230)),IF(E230=F230,"PASS","FAIL"),"PASS"),"FAIL")</x:f>
        <x:v>PASS</x:v>
      </x:c>
      <x:c r="H230" t="str">
        <x:f>G230</x:f>
        <x:v>PASS</x:v>
      </x:c>
    </x:row>
    <x:row r="231">
      <x:c r="B231" t="str">
        <x:v>A-PL-225</x:v>
      </x:c>
      <x:c r="C231" t="str">
        <x:v>gate</x:v>
      </x:c>
      <x:c r="D231" t="str">
        <x:v>PL-PEV-146</x:v>
      </x:c>
      <x:c r="E231" s="23" t="str">
        <x:v>PASS</x:v>
      </x:c>
      <x:c r="F231" s="23" t="str">
        <x:f>'Release Gates'!I231</x:f>
        <x:v>PASS</x:v>
      </x:c>
      <x:c r="G231" t="str">
        <x:f>IF(ABS(IFERROR(E231-F231,0))&lt;0.0001,IF(OR(ISTEXT(E231),ISTEXT(F231)),IF(E231=F231,"PASS","FAIL"),"PASS"),"FAIL")</x:f>
        <x:v>PASS</x:v>
      </x:c>
      <x:c r="H231" t="str">
        <x:f>G231</x:f>
        <x:v>PASS</x:v>
      </x:c>
    </x:row>
    <x:row r="232">
      <x:c r="B232" t="str">
        <x:v>A-PL-226</x:v>
      </x:c>
      <x:c r="C232" t="str">
        <x:v>gate</x:v>
      </x:c>
      <x:c r="D232" t="str">
        <x:v>PL-PEV-147</x:v>
      </x:c>
      <x:c r="E232" s="23" t="str">
        <x:v>PASS</x:v>
      </x:c>
      <x:c r="F232" s="23" t="str">
        <x:f>'Release Gates'!I232</x:f>
        <x:v>PASS</x:v>
      </x:c>
      <x:c r="G232" t="str">
        <x:f>IF(ABS(IFERROR(E232-F232,0))&lt;0.0001,IF(OR(ISTEXT(E232),ISTEXT(F232)),IF(E232=F232,"PASS","FAIL"),"PASS"),"FAIL")</x:f>
        <x:v>PASS</x:v>
      </x:c>
      <x:c r="H232" t="str">
        <x:f>G232</x:f>
        <x:v>PASS</x:v>
      </x:c>
    </x:row>
    <x:row r="233">
      <x:c r="B233" t="str">
        <x:v>A-PL-227</x:v>
      </x:c>
      <x:c r="C233" t="str">
        <x:v>gate</x:v>
      </x:c>
      <x:c r="D233" t="str">
        <x:v>PL-PEV-148</x:v>
      </x:c>
      <x:c r="E233" s="23" t="str">
        <x:v>PASS</x:v>
      </x:c>
      <x:c r="F233" s="23" t="str">
        <x:f>'Release Gates'!I233</x:f>
        <x:v>PASS</x:v>
      </x:c>
      <x:c r="G233" t="str">
        <x:f>IF(ABS(IFERROR(E233-F233,0))&lt;0.0001,IF(OR(ISTEXT(E233),ISTEXT(F233)),IF(E233=F233,"PASS","FAIL"),"PASS"),"FAIL")</x:f>
        <x:v>PASS</x:v>
      </x:c>
      <x:c r="H233" t="str">
        <x:f>G233</x:f>
        <x:v>PASS</x:v>
      </x:c>
    </x:row>
    <x:row r="234">
      <x:c r="B234" t="str">
        <x:v>A-PL-228</x:v>
      </x:c>
      <x:c r="C234" t="str">
        <x:v>gate</x:v>
      </x:c>
      <x:c r="D234" t="str">
        <x:v>PL-PEV-149</x:v>
      </x:c>
      <x:c r="E234" s="23" t="str">
        <x:v>PASS</x:v>
      </x:c>
      <x:c r="F234" s="23" t="str">
        <x:f>'Release Gates'!I234</x:f>
        <x:v>PASS</x:v>
      </x:c>
      <x:c r="G234" t="str">
        <x:f>IF(ABS(IFERROR(E234-F234,0))&lt;0.0001,IF(OR(ISTEXT(E234),ISTEXT(F234)),IF(E234=F234,"PASS","FAIL"),"PASS"),"FAIL")</x:f>
        <x:v>PASS</x:v>
      </x:c>
      <x:c r="H234" t="str">
        <x:f>G234</x:f>
        <x:v>PASS</x:v>
      </x:c>
    </x:row>
    <x:row r="235">
      <x:c r="B235" t="str">
        <x:v>A-PL-229</x:v>
      </x:c>
      <x:c r="C235" t="str">
        <x:v>gate</x:v>
      </x:c>
      <x:c r="D235" t="str">
        <x:v>PL-PEV-150</x:v>
      </x:c>
      <x:c r="E235" s="23" t="str">
        <x:v>PASS</x:v>
      </x:c>
      <x:c r="F235" s="23" t="str">
        <x:f>'Release Gates'!I235</x:f>
        <x:v>PASS</x:v>
      </x:c>
      <x:c r="G235" t="str">
        <x:f>IF(ABS(IFERROR(E235-F235,0))&lt;0.0001,IF(OR(ISTEXT(E235),ISTEXT(F235)),IF(E235=F235,"PASS","FAIL"),"PASS"),"FAIL")</x:f>
        <x:v>PASS</x:v>
      </x:c>
      <x:c r="H235" t="str">
        <x:f>G235</x:f>
        <x:v>PASS</x:v>
      </x:c>
    </x:row>
    <x:row r="236">
      <x:c r="B236" t="str">
        <x:v>A-PL-230</x:v>
      </x:c>
      <x:c r="C236" t="str">
        <x:v>gate</x:v>
      </x:c>
      <x:c r="D236" t="str">
        <x:v>PL-PEV-151</x:v>
      </x:c>
      <x:c r="E236" s="23" t="str">
        <x:v>PASS</x:v>
      </x:c>
      <x:c r="F236" s="23" t="str">
        <x:f>'Release Gates'!I236</x:f>
        <x:v>PASS</x:v>
      </x:c>
      <x:c r="G236" t="str">
        <x:f>IF(ABS(IFERROR(E236-F236,0))&lt;0.0001,IF(OR(ISTEXT(E236),ISTEXT(F236)),IF(E236=F236,"PASS","FAIL"),"PASS"),"FAIL")</x:f>
        <x:v>PASS</x:v>
      </x:c>
      <x:c r="H236" t="str">
        <x:f>G236</x:f>
        <x:v>PASS</x:v>
      </x:c>
    </x:row>
    <x:row r="237">
      <x:c r="B237" t="str">
        <x:v>A-PL-231</x:v>
      </x:c>
      <x:c r="C237" t="str">
        <x:v>gate</x:v>
      </x:c>
      <x:c r="D237" t="str">
        <x:v>PL-PEV-152</x:v>
      </x:c>
      <x:c r="E237" s="23" t="str">
        <x:v>PASS</x:v>
      </x:c>
      <x:c r="F237" s="23" t="str">
        <x:f>'Release Gates'!I237</x:f>
        <x:v>PASS</x:v>
      </x:c>
      <x:c r="G237" t="str">
        <x:f>IF(ABS(IFERROR(E237-F237,0))&lt;0.0001,IF(OR(ISTEXT(E237),ISTEXT(F237)),IF(E237=F237,"PASS","FAIL"),"PASS"),"FAIL")</x:f>
        <x:v>PASS</x:v>
      </x:c>
      <x:c r="H237" t="str">
        <x:f>G237</x:f>
        <x:v>PASS</x:v>
      </x:c>
    </x:row>
    <x:row r="238">
      <x:c r="B238" t="str">
        <x:v>A-PL-232</x:v>
      </x:c>
      <x:c r="C238" t="str">
        <x:v>gate</x:v>
      </x:c>
      <x:c r="D238" t="str">
        <x:v>PL-PEV-153</x:v>
      </x:c>
      <x:c r="E238" s="23" t="str">
        <x:v>PASS</x:v>
      </x:c>
      <x:c r="F238" s="23" t="str">
        <x:f>'Release Gates'!I238</x:f>
        <x:v>PASS</x:v>
      </x:c>
      <x:c r="G238" t="str">
        <x:f>IF(ABS(IFERROR(E238-F238,0))&lt;0.0001,IF(OR(ISTEXT(E238),ISTEXT(F238)),IF(E238=F238,"PASS","FAIL"),"PASS"),"FAIL")</x:f>
        <x:v>PASS</x:v>
      </x:c>
      <x:c r="H238" t="str">
        <x:f>G238</x:f>
        <x:v>PASS</x:v>
      </x:c>
    </x:row>
    <x:row r="239">
      <x:c r="B239" t="str">
        <x:v>A-PL-233</x:v>
      </x:c>
      <x:c r="C239" t="str">
        <x:v>gate</x:v>
      </x:c>
      <x:c r="D239" t="str">
        <x:v>PL-PEV-154</x:v>
      </x:c>
      <x:c r="E239" s="23" t="str">
        <x:v>PASS</x:v>
      </x:c>
      <x:c r="F239" s="23" t="str">
        <x:f>'Release Gates'!I239</x:f>
        <x:v>PASS</x:v>
      </x:c>
      <x:c r="G239" t="str">
        <x:f>IF(ABS(IFERROR(E239-F239,0))&lt;0.0001,IF(OR(ISTEXT(E239),ISTEXT(F239)),IF(E239=F239,"PASS","FAIL"),"PASS"),"FAIL")</x:f>
        <x:v>PASS</x:v>
      </x:c>
      <x:c r="H239" t="str">
        <x:f>G239</x:f>
        <x:v>PASS</x:v>
      </x:c>
    </x:row>
    <x:row r="240">
      <x:c r="B240" t="str">
        <x:v>A-PL-234</x:v>
      </x:c>
      <x:c r="C240" t="str">
        <x:v>gate</x:v>
      </x:c>
      <x:c r="D240" t="str">
        <x:v>PL-PEV-155</x:v>
      </x:c>
      <x:c r="E240" s="23" t="str">
        <x:v>PASS</x:v>
      </x:c>
      <x:c r="F240" s="23" t="str">
        <x:f>'Release Gates'!I240</x:f>
        <x:v>PASS</x:v>
      </x:c>
      <x:c r="G240" t="str">
        <x:f>IF(ABS(IFERROR(E240-F240,0))&lt;0.0001,IF(OR(ISTEXT(E240),ISTEXT(F240)),IF(E240=F240,"PASS","FAIL"),"PASS"),"FAIL")</x:f>
        <x:v>PASS</x:v>
      </x:c>
      <x:c r="H240" t="str">
        <x:f>G240</x:f>
        <x:v>PASS</x:v>
      </x:c>
    </x:row>
    <x:row r="241">
      <x:c r="B241" t="str">
        <x:v>A-PL-235</x:v>
      </x:c>
      <x:c r="C241" t="str">
        <x:v>gate</x:v>
      </x:c>
      <x:c r="D241" t="str">
        <x:v>PL-PEV-156</x:v>
      </x:c>
      <x:c r="E241" s="23" t="str">
        <x:v>PASS</x:v>
      </x:c>
      <x:c r="F241" s="23" t="str">
        <x:f>'Release Gates'!I241</x:f>
        <x:v>PASS</x:v>
      </x:c>
      <x:c r="G241" t="str">
        <x:f>IF(ABS(IFERROR(E241-F241,0))&lt;0.0001,IF(OR(ISTEXT(E241),ISTEXT(F241)),IF(E241=F241,"PASS","FAIL"),"PASS"),"FAIL")</x:f>
        <x:v>PASS</x:v>
      </x:c>
      <x:c r="H241" t="str">
        <x:f>G241</x:f>
        <x:v>PASS</x:v>
      </x:c>
    </x:row>
    <x:row r="242">
      <x:c r="B242" t="str">
        <x:v>A-PL-236</x:v>
      </x:c>
      <x:c r="C242" t="str">
        <x:v>gate</x:v>
      </x:c>
      <x:c r="D242" t="str">
        <x:v>PL-PEV-157</x:v>
      </x:c>
      <x:c r="E242" s="23" t="str">
        <x:v>PASS</x:v>
      </x:c>
      <x:c r="F242" s="23" t="str">
        <x:f>'Release Gates'!I242</x:f>
        <x:v>PASS</x:v>
      </x:c>
      <x:c r="G242" t="str">
        <x:f>IF(ABS(IFERROR(E242-F242,0))&lt;0.0001,IF(OR(ISTEXT(E242),ISTEXT(F242)),IF(E242=F242,"PASS","FAIL"),"PASS"),"FAIL")</x:f>
        <x:v>PASS</x:v>
      </x:c>
      <x:c r="H242" t="str">
        <x:f>G242</x:f>
        <x:v>PASS</x:v>
      </x:c>
    </x:row>
    <x:row r="243">
      <x:c r="B243" t="str">
        <x:v>A-PL-237</x:v>
      </x:c>
      <x:c r="C243" t="str">
        <x:v>gate</x:v>
      </x:c>
      <x:c r="D243" t="str">
        <x:v>PL-PEV-158</x:v>
      </x:c>
      <x:c r="E243" s="23" t="str">
        <x:v>PASS</x:v>
      </x:c>
      <x:c r="F243" s="23" t="str">
        <x:f>'Release Gates'!I243</x:f>
        <x:v>PASS</x:v>
      </x:c>
      <x:c r="G243" t="str">
        <x:f>IF(ABS(IFERROR(E243-F243,0))&lt;0.0001,IF(OR(ISTEXT(E243),ISTEXT(F243)),IF(E243=F243,"PASS","FAIL"),"PASS"),"FAIL")</x:f>
        <x:v>PASS</x:v>
      </x:c>
      <x:c r="H243" t="str">
        <x:f>G243</x:f>
        <x:v>PASS</x:v>
      </x:c>
    </x:row>
    <x:row r="244">
      <x:c r="B244" t="str">
        <x:v>A-PL-238</x:v>
      </x:c>
      <x:c r="C244" t="str">
        <x:v>gate</x:v>
      </x:c>
      <x:c r="D244" t="str">
        <x:v>PL-PEV-159</x:v>
      </x:c>
      <x:c r="E244" s="23" t="str">
        <x:v>PASS</x:v>
      </x:c>
      <x:c r="F244" s="23" t="str">
        <x:f>'Release Gates'!I244</x:f>
        <x:v>PASS</x:v>
      </x:c>
      <x:c r="G244" t="str">
        <x:f>IF(ABS(IFERROR(E244-F244,0))&lt;0.0001,IF(OR(ISTEXT(E244),ISTEXT(F244)),IF(E244=F244,"PASS","FAIL"),"PASS"),"FAIL")</x:f>
        <x:v>PASS</x:v>
      </x:c>
      <x:c r="H244" t="str">
        <x:f>G244</x:f>
        <x:v>PASS</x:v>
      </x:c>
    </x:row>
    <x:row r="245">
      <x:c r="B245" t="str">
        <x:v>A-PL-239</x:v>
      </x:c>
      <x:c r="C245" t="str">
        <x:v>gate</x:v>
      </x:c>
      <x:c r="D245" t="str">
        <x:v>PL-PEV-160</x:v>
      </x:c>
      <x:c r="E245" s="23" t="str">
        <x:v>PASS</x:v>
      </x:c>
      <x:c r="F245" s="23" t="str">
        <x:f>'Release Gates'!I245</x:f>
        <x:v>PASS</x:v>
      </x:c>
      <x:c r="G245" t="str">
        <x:f>IF(ABS(IFERROR(E245-F245,0))&lt;0.0001,IF(OR(ISTEXT(E245),ISTEXT(F245)),IF(E245=F245,"PASS","FAIL"),"PASS"),"FAIL")</x:f>
        <x:v>PASS</x:v>
      </x:c>
      <x:c r="H245" t="str">
        <x:f>G245</x:f>
        <x:v>PASS</x:v>
      </x:c>
    </x:row>
    <x:row r="246">
      <x:c r="B246" t="str">
        <x:v>A-PL-240</x:v>
      </x:c>
      <x:c r="C246" t="str">
        <x:v>gate</x:v>
      </x:c>
      <x:c r="D246" t="str">
        <x:v>PL-PEV-161</x:v>
      </x:c>
      <x:c r="E246" s="23" t="str">
        <x:v>PASS</x:v>
      </x:c>
      <x:c r="F246" s="23" t="str">
        <x:f>'Release Gates'!I246</x:f>
        <x:v>PASS</x:v>
      </x:c>
      <x:c r="G246" t="str">
        <x:f>IF(ABS(IFERROR(E246-F246,0))&lt;0.0001,IF(OR(ISTEXT(E246),ISTEXT(F246)),IF(E246=F246,"PASS","FAIL"),"PASS"),"FAIL")</x:f>
        <x:v>PASS</x:v>
      </x:c>
      <x:c r="H246" t="str">
        <x:f>G246</x:f>
        <x:v>PASS</x:v>
      </x:c>
    </x:row>
    <x:row r="247">
      <x:c r="B247" t="str">
        <x:v>A-PL-241</x:v>
      </x:c>
      <x:c r="C247" t="str">
        <x:v>gate</x:v>
      </x:c>
      <x:c r="D247" t="str">
        <x:v>PL-PEV-162</x:v>
      </x:c>
      <x:c r="E247" s="23" t="str">
        <x:v>PASS</x:v>
      </x:c>
      <x:c r="F247" s="23" t="str">
        <x:f>'Release Gates'!I247</x:f>
        <x:v>PASS</x:v>
      </x:c>
      <x:c r="G247" t="str">
        <x:f>IF(ABS(IFERROR(E247-F247,0))&lt;0.0001,IF(OR(ISTEXT(E247),ISTEXT(F247)),IF(E247=F247,"PASS","FAIL"),"PASS"),"FAIL")</x:f>
        <x:v>PASS</x:v>
      </x:c>
      <x:c r="H247" t="str">
        <x:f>G247</x:f>
        <x:v>PASS</x:v>
      </x:c>
    </x:row>
    <x:row r="248">
      <x:c r="B248" t="str">
        <x:v>A-PL-242</x:v>
      </x:c>
      <x:c r="C248" t="str">
        <x:v>gate</x:v>
      </x:c>
      <x:c r="D248" t="str">
        <x:v>PL-PEV-163</x:v>
      </x:c>
      <x:c r="E248" s="23" t="str">
        <x:v>PASS</x:v>
      </x:c>
      <x:c r="F248" s="23" t="str">
        <x:f>'Release Gates'!I248</x:f>
        <x:v>PASS</x:v>
      </x:c>
      <x:c r="G248" t="str">
        <x:f>IF(ABS(IFERROR(E248-F248,0))&lt;0.0001,IF(OR(ISTEXT(E248),ISTEXT(F248)),IF(E248=F248,"PASS","FAIL"),"PASS"),"FAIL")</x:f>
        <x:v>PASS</x:v>
      </x:c>
      <x:c r="H248" t="str">
        <x:f>G248</x:f>
        <x:v>PASS</x:v>
      </x:c>
    </x:row>
    <x:row r="249">
      <x:c r="B249" t="str">
        <x:v>A-PL-243</x:v>
      </x:c>
      <x:c r="C249" t="str">
        <x:v>gate</x:v>
      </x:c>
      <x:c r="D249" t="str">
        <x:v>PL-PEV-164</x:v>
      </x:c>
      <x:c r="E249" s="23" t="str">
        <x:v>PASS</x:v>
      </x:c>
      <x:c r="F249" s="23" t="str">
        <x:f>'Release Gates'!I249</x:f>
        <x:v>PASS</x:v>
      </x:c>
      <x:c r="G249" t="str">
        <x:f>IF(ABS(IFERROR(E249-F249,0))&lt;0.0001,IF(OR(ISTEXT(E249),ISTEXT(F249)),IF(E249=F249,"PASS","FAIL"),"PASS"),"FAIL")</x:f>
        <x:v>PASS</x:v>
      </x:c>
      <x:c r="H249" t="str">
        <x:f>G249</x:f>
        <x:v>PASS</x:v>
      </x:c>
    </x:row>
    <x:row r="250">
      <x:c r="B250" t="str">
        <x:v>A-PL-244</x:v>
      </x:c>
      <x:c r="C250" t="str">
        <x:v>gate</x:v>
      </x:c>
      <x:c r="D250" t="str">
        <x:v>PL-PEV-165</x:v>
      </x:c>
      <x:c r="E250" s="23" t="str">
        <x:v>PASS</x:v>
      </x:c>
      <x:c r="F250" s="23" t="str">
        <x:f>'Release Gates'!I250</x:f>
        <x:v>PASS</x:v>
      </x:c>
      <x:c r="G250" t="str">
        <x:f>IF(ABS(IFERROR(E250-F250,0))&lt;0.0001,IF(OR(ISTEXT(E250),ISTEXT(F250)),IF(E250=F250,"PASS","FAIL"),"PASS"),"FAIL")</x:f>
        <x:v>PASS</x:v>
      </x:c>
      <x:c r="H250" t="str">
        <x:f>G250</x:f>
        <x:v>PASS</x:v>
      </x:c>
    </x:row>
    <x:row r="251">
      <x:c r="B251" t="str">
        <x:v>A-PL-245</x:v>
      </x:c>
      <x:c r="C251" t="str">
        <x:v>gate</x:v>
      </x:c>
      <x:c r="D251" t="str">
        <x:v>PL-PEV-166</x:v>
      </x:c>
      <x:c r="E251" s="23" t="str">
        <x:v>PASS</x:v>
      </x:c>
      <x:c r="F251" s="23" t="str">
        <x:f>'Release Gates'!I251</x:f>
        <x:v>PASS</x:v>
      </x:c>
      <x:c r="G251" t="str">
        <x:f>IF(ABS(IFERROR(E251-F251,0))&lt;0.0001,IF(OR(ISTEXT(E251),ISTEXT(F251)),IF(E251=F251,"PASS","FAIL"),"PASS"),"FAIL")</x:f>
        <x:v>PASS</x:v>
      </x:c>
      <x:c r="H251" t="str">
        <x:f>G251</x:f>
        <x:v>PASS</x:v>
      </x:c>
    </x:row>
    <x:row r="252">
      <x:c r="B252" t="str">
        <x:v>A-PL-246</x:v>
      </x:c>
      <x:c r="C252" t="str">
        <x:v>gate</x:v>
      </x:c>
      <x:c r="D252" t="str">
        <x:v>PL-PEV-167</x:v>
      </x:c>
      <x:c r="E252" s="23" t="str">
        <x:v>PASS</x:v>
      </x:c>
      <x:c r="F252" s="23" t="str">
        <x:f>'Release Gates'!I252</x:f>
        <x:v>PASS</x:v>
      </x:c>
      <x:c r="G252" t="str">
        <x:f>IF(ABS(IFERROR(E252-F252,0))&lt;0.0001,IF(OR(ISTEXT(E252),ISTEXT(F252)),IF(E252=F252,"PASS","FAIL"),"PASS"),"FAIL")</x:f>
        <x:v>PASS</x:v>
      </x:c>
      <x:c r="H252" t="str">
        <x:f>G252</x:f>
        <x:v>PASS</x:v>
      </x:c>
    </x:row>
    <x:row r="253">
      <x:c r="B253" t="str">
        <x:v>A-PL-247</x:v>
      </x:c>
      <x:c r="C253" t="str">
        <x:v>gate</x:v>
      </x:c>
      <x:c r="D253" t="str">
        <x:v>PL-PEV-168</x:v>
      </x:c>
      <x:c r="E253" s="23" t="str">
        <x:v>PASS</x:v>
      </x:c>
      <x:c r="F253" s="23" t="str">
        <x:f>'Release Gates'!I253</x:f>
        <x:v>PASS</x:v>
      </x:c>
      <x:c r="G253" t="str">
        <x:f>IF(ABS(IFERROR(E253-F253,0))&lt;0.0001,IF(OR(ISTEXT(E253),ISTEXT(F253)),IF(E253=F253,"PASS","FAIL"),"PASS"),"FAIL")</x:f>
        <x:v>PASS</x:v>
      </x:c>
      <x:c r="H253" t="str">
        <x:f>G253</x:f>
        <x:v>PASS</x:v>
      </x:c>
    </x:row>
    <x:row r="254">
      <x:c r="B254" t="str">
        <x:v>A-PL-248</x:v>
      </x:c>
      <x:c r="C254" t="str">
        <x:v>gate</x:v>
      </x:c>
      <x:c r="D254" t="str">
        <x:v>PL-PEV-169</x:v>
      </x:c>
      <x:c r="E254" s="23" t="str">
        <x:v>PASS</x:v>
      </x:c>
      <x:c r="F254" s="23" t="str">
        <x:f>'Release Gates'!I254</x:f>
        <x:v>PASS</x:v>
      </x:c>
      <x:c r="G254" t="str">
        <x:f>IF(ABS(IFERROR(E254-F254,0))&lt;0.0001,IF(OR(ISTEXT(E254),ISTEXT(F254)),IF(E254=F254,"PASS","FAIL"),"PASS"),"FAIL")</x:f>
        <x:v>PASS</x:v>
      </x:c>
      <x:c r="H254" t="str">
        <x:f>G254</x:f>
        <x:v>PASS</x:v>
      </x:c>
    </x:row>
    <x:row r="255">
      <x:c r="B255" t="str">
        <x:v>A-PL-249</x:v>
      </x:c>
      <x:c r="C255" t="str">
        <x:v>gate</x:v>
      </x:c>
      <x:c r="D255" t="str">
        <x:v>PL-PEV-170</x:v>
      </x:c>
      <x:c r="E255" s="23" t="str">
        <x:v>PASS</x:v>
      </x:c>
      <x:c r="F255" s="23" t="str">
        <x:f>'Release Gates'!I255</x:f>
        <x:v>PASS</x:v>
      </x:c>
      <x:c r="G255" t="str">
        <x:f>IF(ABS(IFERROR(E255-F255,0))&lt;0.0001,IF(OR(ISTEXT(E255),ISTEXT(F255)),IF(E255=F255,"PASS","FAIL"),"PASS"),"FAIL")</x:f>
        <x:v>PASS</x:v>
      </x:c>
      <x:c r="H255" t="str">
        <x:f>G255</x:f>
        <x:v>PASS</x:v>
      </x:c>
    </x:row>
    <x:row r="256">
      <x:c r="B256" t="str">
        <x:v>A-PL-250</x:v>
      </x:c>
      <x:c r="C256" t="str">
        <x:v>gate</x:v>
      </x:c>
      <x:c r="D256" t="str">
        <x:v>PL-PEV-171</x:v>
      </x:c>
      <x:c r="E256" s="23" t="str">
        <x:v>PASS</x:v>
      </x:c>
      <x:c r="F256" s="23" t="str">
        <x:f>'Release Gates'!I256</x:f>
        <x:v>PASS</x:v>
      </x:c>
      <x:c r="G256" t="str">
        <x:f>IF(ABS(IFERROR(E256-F256,0))&lt;0.0001,IF(OR(ISTEXT(E256),ISTEXT(F256)),IF(E256=F256,"PASS","FAIL"),"PASS"),"FAIL")</x:f>
        <x:v>PASS</x:v>
      </x:c>
      <x:c r="H256" t="str">
        <x:f>G256</x:f>
        <x:v>PASS</x:v>
      </x:c>
    </x:row>
    <x:row r="257">
      <x:c r="B257" t="str">
        <x:v>A-PL-251</x:v>
      </x:c>
      <x:c r="C257" t="str">
        <x:v>gate</x:v>
      </x:c>
      <x:c r="D257" t="str">
        <x:v>PL-PEV-172</x:v>
      </x:c>
      <x:c r="E257" s="23" t="str">
        <x:v>PASS</x:v>
      </x:c>
      <x:c r="F257" s="23" t="str">
        <x:f>'Release Gates'!I257</x:f>
        <x:v>PASS</x:v>
      </x:c>
      <x:c r="G257" t="str">
        <x:f>IF(ABS(IFERROR(E257-F257,0))&lt;0.0001,IF(OR(ISTEXT(E257),ISTEXT(F257)),IF(E257=F257,"PASS","FAIL"),"PASS"),"FAIL")</x:f>
        <x:v>PASS</x:v>
      </x:c>
      <x:c r="H257" t="str">
        <x:f>G257</x:f>
        <x:v>PASS</x:v>
      </x:c>
    </x:row>
    <x:row r="258">
      <x:c r="B258" t="str">
        <x:v>A-PL-252</x:v>
      </x:c>
      <x:c r="C258" t="str">
        <x:v>gate</x:v>
      </x:c>
      <x:c r="D258" t="str">
        <x:v>PL-PEV-173</x:v>
      </x:c>
      <x:c r="E258" s="23" t="str">
        <x:v>PASS</x:v>
      </x:c>
      <x:c r="F258" s="23" t="str">
        <x:f>'Release Gates'!I258</x:f>
        <x:v>PASS</x:v>
      </x:c>
      <x:c r="G258" t="str">
        <x:f>IF(ABS(IFERROR(E258-F258,0))&lt;0.0001,IF(OR(ISTEXT(E258),ISTEXT(F258)),IF(E258=F258,"PASS","FAIL"),"PASS"),"FAIL")</x:f>
        <x:v>PASS</x:v>
      </x:c>
      <x:c r="H258" t="str">
        <x:f>G258</x:f>
        <x:v>PASS</x:v>
      </x:c>
    </x:row>
    <x:row r="259">
      <x:c r="B259" t="str">
        <x:v>A-PL-253</x:v>
      </x:c>
      <x:c r="C259" t="str">
        <x:v>gate</x:v>
      </x:c>
      <x:c r="D259" t="str">
        <x:v>PL-PEV-174</x:v>
      </x:c>
      <x:c r="E259" s="23" t="str">
        <x:v>PASS</x:v>
      </x:c>
      <x:c r="F259" s="23" t="str">
        <x:f>'Release Gates'!I259</x:f>
        <x:v>PASS</x:v>
      </x:c>
      <x:c r="G259" t="str">
        <x:f>IF(ABS(IFERROR(E259-F259,0))&lt;0.0001,IF(OR(ISTEXT(E259),ISTEXT(F259)),IF(E259=F259,"PASS","FAIL"),"PASS"),"FAIL")</x:f>
        <x:v>PASS</x:v>
      </x:c>
      <x:c r="H259" t="str">
        <x:f>G259</x:f>
        <x:v>PASS</x:v>
      </x:c>
    </x:row>
    <x:row r="260">
      <x:c r="B260" t="str">
        <x:v>A-PL-254</x:v>
      </x:c>
      <x:c r="C260" t="str">
        <x:v>gate</x:v>
      </x:c>
      <x:c r="D260" t="str">
        <x:v>PL-PEV-175</x:v>
      </x:c>
      <x:c r="E260" s="23" t="str">
        <x:v>PASS</x:v>
      </x:c>
      <x:c r="F260" s="23" t="str">
        <x:f>'Release Gates'!I260</x:f>
        <x:v>PASS</x:v>
      </x:c>
      <x:c r="G260" t="str">
        <x:f>IF(ABS(IFERROR(E260-F260,0))&lt;0.0001,IF(OR(ISTEXT(E260),ISTEXT(F260)),IF(E260=F260,"PASS","FAIL"),"PASS"),"FAIL")</x:f>
        <x:v>PASS</x:v>
      </x:c>
      <x:c r="H260" t="str">
        <x:f>G260</x:f>
        <x:v>PASS</x:v>
      </x:c>
    </x:row>
    <x:row r="261">
      <x:c r="B261" t="str">
        <x:v>A-PL-255</x:v>
      </x:c>
      <x:c r="C261" t="str">
        <x:v>gate</x:v>
      </x:c>
      <x:c r="D261" t="str">
        <x:v>PL-PEV-176</x:v>
      </x:c>
      <x:c r="E261" s="23" t="str">
        <x:v>PASS</x:v>
      </x:c>
      <x:c r="F261" s="23" t="str">
        <x:f>'Release Gates'!I261</x:f>
        <x:v>PASS</x:v>
      </x:c>
      <x:c r="G261" t="str">
        <x:f>IF(ABS(IFERROR(E261-F261,0))&lt;0.0001,IF(OR(ISTEXT(E261),ISTEXT(F261)),IF(E261=F261,"PASS","FAIL"),"PASS"),"FAIL")</x:f>
        <x:v>PASS</x:v>
      </x:c>
      <x:c r="H261" t="str">
        <x:f>G261</x:f>
        <x:v>PASS</x:v>
      </x:c>
    </x:row>
    <x:row r="262">
      <x:c r="B262" t="str">
        <x:v>A-PL-256</x:v>
      </x:c>
      <x:c r="C262" t="str">
        <x:v>gate</x:v>
      </x:c>
      <x:c r="D262" t="str">
        <x:v>PL-PEV-177</x:v>
      </x:c>
      <x:c r="E262" s="23" t="str">
        <x:v>PASS</x:v>
      </x:c>
      <x:c r="F262" s="23" t="str">
        <x:f>'Release Gates'!I262</x:f>
        <x:v>PASS</x:v>
      </x:c>
      <x:c r="G262" t="str">
        <x:f>IF(ABS(IFERROR(E262-F262,0))&lt;0.0001,IF(OR(ISTEXT(E262),ISTEXT(F262)),IF(E262=F262,"PASS","FAIL"),"PASS"),"FAIL")</x:f>
        <x:v>PASS</x:v>
      </x:c>
      <x:c r="H262" t="str">
        <x:f>G262</x:f>
        <x:v>PASS</x:v>
      </x:c>
    </x:row>
    <x:row r="263">
      <x:c r="B263" t="str">
        <x:v>A-PL-257</x:v>
      </x:c>
      <x:c r="C263" t="str">
        <x:v>gate</x:v>
      </x:c>
      <x:c r="D263" t="str">
        <x:v>PL-PEV-178</x:v>
      </x:c>
      <x:c r="E263" s="23" t="str">
        <x:v>PASS</x:v>
      </x:c>
      <x:c r="F263" s="23" t="str">
        <x:f>'Release Gates'!I263</x:f>
        <x:v>PASS</x:v>
      </x:c>
      <x:c r="G263" t="str">
        <x:f>IF(ABS(IFERROR(E263-F263,0))&lt;0.0001,IF(OR(ISTEXT(E263),ISTEXT(F263)),IF(E263=F263,"PASS","FAIL"),"PASS"),"FAIL")</x:f>
        <x:v>PASS</x:v>
      </x:c>
      <x:c r="H263" t="str">
        <x:f>G263</x:f>
        <x:v>PASS</x:v>
      </x:c>
    </x:row>
    <x:row r="264">
      <x:c r="B264" t="str">
        <x:v>A-PL-258</x:v>
      </x:c>
      <x:c r="C264" t="str">
        <x:v>gate</x:v>
      </x:c>
      <x:c r="D264" t="str">
        <x:v>PL-PEV-179</x:v>
      </x:c>
      <x:c r="E264" s="23" t="str">
        <x:v>PASS</x:v>
      </x:c>
      <x:c r="F264" s="23" t="str">
        <x:f>'Release Gates'!I264</x:f>
        <x:v>PASS</x:v>
      </x:c>
      <x:c r="G264" t="str">
        <x:f>IF(ABS(IFERROR(E264-F264,0))&lt;0.0001,IF(OR(ISTEXT(E264),ISTEXT(F264)),IF(E264=F264,"PASS","FAIL"),"PASS"),"FAIL")</x:f>
        <x:v>PASS</x:v>
      </x:c>
      <x:c r="H264" t="str">
        <x:f>G264</x:f>
        <x:v>PASS</x:v>
      </x:c>
    </x:row>
    <x:row r="265">
      <x:c r="B265" t="str">
        <x:v>A-PL-259</x:v>
      </x:c>
      <x:c r="C265" t="str">
        <x:v>gate</x:v>
      </x:c>
      <x:c r="D265" t="str">
        <x:v>PL-PEV-180</x:v>
      </x:c>
      <x:c r="E265" s="23" t="str">
        <x:v>PASS</x:v>
      </x:c>
      <x:c r="F265" s="23" t="str">
        <x:f>'Release Gates'!I265</x:f>
        <x:v>PASS</x:v>
      </x:c>
      <x:c r="G265" t="str">
        <x:f>IF(ABS(IFERROR(E265-F265,0))&lt;0.0001,IF(OR(ISTEXT(E265),ISTEXT(F265)),IF(E265=F265,"PASS","FAIL"),"PASS"),"FAIL")</x:f>
        <x:v>PASS</x:v>
      </x:c>
      <x:c r="H265" t="str">
        <x:f>G265</x:f>
        <x:v>PASS</x:v>
      </x:c>
    </x:row>
    <x:row r="266">
      <x:c r="B266" t="str">
        <x:v>A-PL-260</x:v>
      </x:c>
      <x:c r="C266" t="str">
        <x:v>gate</x:v>
      </x:c>
      <x:c r="D266" t="str">
        <x:v>PL-PEV-181</x:v>
      </x:c>
      <x:c r="E266" s="23" t="str">
        <x:v>PASS</x:v>
      </x:c>
      <x:c r="F266" s="23" t="str">
        <x:f>'Release Gates'!I266</x:f>
        <x:v>PASS</x:v>
      </x:c>
      <x:c r="G266" t="str">
        <x:f>IF(ABS(IFERROR(E266-F266,0))&lt;0.0001,IF(OR(ISTEXT(E266),ISTEXT(F266)),IF(E266=F266,"PASS","FAIL"),"PASS"),"FAIL")</x:f>
        <x:v>PASS</x:v>
      </x:c>
      <x:c r="H266" t="str">
        <x:f>G266</x:f>
        <x:v>PASS</x:v>
      </x:c>
    </x:row>
    <x:row r="267">
      <x:c r="B267" t="str">
        <x:v>A-PL-261</x:v>
      </x:c>
      <x:c r="C267" t="str">
        <x:v>gate</x:v>
      </x:c>
      <x:c r="D267" t="str">
        <x:v>PL-PEV-182</x:v>
      </x:c>
      <x:c r="E267" s="23" t="str">
        <x:v>PASS</x:v>
      </x:c>
      <x:c r="F267" s="23" t="str">
        <x:f>'Release Gates'!I267</x:f>
        <x:v>PASS</x:v>
      </x:c>
      <x:c r="G267" t="str">
        <x:f>IF(ABS(IFERROR(E267-F267,0))&lt;0.0001,IF(OR(ISTEXT(E267),ISTEXT(F267)),IF(E267=F267,"PASS","FAIL"),"PASS"),"FAIL")</x:f>
        <x:v>PASS</x:v>
      </x:c>
      <x:c r="H267" t="str">
        <x:f>G267</x:f>
        <x:v>PASS</x:v>
      </x:c>
    </x:row>
    <x:row r="268">
      <x:c r="B268" t="str">
        <x:v>A-PL-262</x:v>
      </x:c>
      <x:c r="C268" t="str">
        <x:v>gate</x:v>
      </x:c>
      <x:c r="D268" t="str">
        <x:v>PL-PEV-183</x:v>
      </x:c>
      <x:c r="E268" s="23" t="str">
        <x:v>PASS</x:v>
      </x:c>
      <x:c r="F268" s="23" t="str">
        <x:f>'Release Gates'!I268</x:f>
        <x:v>PASS</x:v>
      </x:c>
      <x:c r="G268" t="str">
        <x:f>IF(ABS(IFERROR(E268-F268,0))&lt;0.0001,IF(OR(ISTEXT(E268),ISTEXT(F268)),IF(E268=F268,"PASS","FAIL"),"PASS"),"FAIL")</x:f>
        <x:v>PASS</x:v>
      </x:c>
      <x:c r="H268" t="str">
        <x:f>G268</x:f>
        <x:v>PASS</x:v>
      </x:c>
    </x:row>
    <x:row r="269">
      <x:c r="B269" t="str">
        <x:v>A-PL-263</x:v>
      </x:c>
      <x:c r="C269" t="str">
        <x:v>gate</x:v>
      </x:c>
      <x:c r="D269" t="str">
        <x:v>PL-PEV-184</x:v>
      </x:c>
      <x:c r="E269" s="23" t="str">
        <x:v>PASS</x:v>
      </x:c>
      <x:c r="F269" s="23" t="str">
        <x:f>'Release Gates'!I269</x:f>
        <x:v>PASS</x:v>
      </x:c>
      <x:c r="G269" t="str">
        <x:f>IF(ABS(IFERROR(E269-F269,0))&lt;0.0001,IF(OR(ISTEXT(E269),ISTEXT(F269)),IF(E269=F269,"PASS","FAIL"),"PASS"),"FAIL")</x:f>
        <x:v>PASS</x:v>
      </x:c>
      <x:c r="H269" t="str">
        <x:f>G269</x:f>
        <x:v>PASS</x:v>
      </x:c>
    </x:row>
    <x:row r="270">
      <x:c r="B270" t="str">
        <x:v>A-PL-264</x:v>
      </x:c>
      <x:c r="C270" t="str">
        <x:v>gate</x:v>
      </x:c>
      <x:c r="D270" t="str">
        <x:v>PL-PEV-185</x:v>
      </x:c>
      <x:c r="E270" s="23" t="str">
        <x:v>PASS</x:v>
      </x:c>
      <x:c r="F270" s="23" t="str">
        <x:f>'Release Gates'!I270</x:f>
        <x:v>PASS</x:v>
      </x:c>
      <x:c r="G270" t="str">
        <x:f>IF(ABS(IFERROR(E270-F270,0))&lt;0.0001,IF(OR(ISTEXT(E270),ISTEXT(F270)),IF(E270=F270,"PASS","FAIL"),"PASS"),"FAIL")</x:f>
        <x:v>PASS</x:v>
      </x:c>
      <x:c r="H270" t="str">
        <x:f>G270</x:f>
        <x:v>PASS</x:v>
      </x:c>
    </x:row>
    <x:row r="271">
      <x:c r="B271" t="str">
        <x:v>A-PL-265</x:v>
      </x:c>
      <x:c r="C271" t="str">
        <x:v>gate</x:v>
      </x:c>
      <x:c r="D271" t="str">
        <x:v>PL-PEV-186</x:v>
      </x:c>
      <x:c r="E271" s="23" t="str">
        <x:v>PASS</x:v>
      </x:c>
      <x:c r="F271" s="23" t="str">
        <x:f>'Release Gates'!I271</x:f>
        <x:v>PASS</x:v>
      </x:c>
      <x:c r="G271" t="str">
        <x:f>IF(ABS(IFERROR(E271-F271,0))&lt;0.0001,IF(OR(ISTEXT(E271),ISTEXT(F271)),IF(E271=F271,"PASS","FAIL"),"PASS"),"FAIL")</x:f>
        <x:v>PASS</x:v>
      </x:c>
      <x:c r="H271" t="str">
        <x:f>G271</x:f>
        <x:v>PASS</x:v>
      </x:c>
    </x:row>
    <x:row r="272">
      <x:c r="B272" t="str">
        <x:v>A-PL-266</x:v>
      </x:c>
      <x:c r="C272" t="str">
        <x:v>gate</x:v>
      </x:c>
      <x:c r="D272" t="str">
        <x:v>PL-PEV-187</x:v>
      </x:c>
      <x:c r="E272" s="23" t="str">
        <x:v>PASS</x:v>
      </x:c>
      <x:c r="F272" s="23" t="str">
        <x:f>'Release Gates'!I272</x:f>
        <x:v>PASS</x:v>
      </x:c>
      <x:c r="G272" t="str">
        <x:f>IF(ABS(IFERROR(E272-F272,0))&lt;0.0001,IF(OR(ISTEXT(E272),ISTEXT(F272)),IF(E272=F272,"PASS","FAIL"),"PASS"),"FAIL")</x:f>
        <x:v>PASS</x:v>
      </x:c>
      <x:c r="H272" t="str">
        <x:f>G272</x:f>
        <x:v>PASS</x:v>
      </x:c>
    </x:row>
    <x:row r="273">
      <x:c r="B273" t="str">
        <x:v>A-PL-267</x:v>
      </x:c>
      <x:c r="C273" t="str">
        <x:v>gate</x:v>
      </x:c>
      <x:c r="D273" t="str">
        <x:v>PL-PEV-188</x:v>
      </x:c>
      <x:c r="E273" s="23" t="str">
        <x:v>PASS</x:v>
      </x:c>
      <x:c r="F273" s="23" t="str">
        <x:f>'Release Gates'!I273</x:f>
        <x:v>PASS</x:v>
      </x:c>
      <x:c r="G273" t="str">
        <x:f>IF(ABS(IFERROR(E273-F273,0))&lt;0.0001,IF(OR(ISTEXT(E273),ISTEXT(F273)),IF(E273=F273,"PASS","FAIL"),"PASS"),"FAIL")</x:f>
        <x:v>PASS</x:v>
      </x:c>
      <x:c r="H273" t="str">
        <x:f>G273</x:f>
        <x:v>PASS</x:v>
      </x:c>
    </x:row>
    <x:row r="274">
      <x:c r="B274" t="str">
        <x:v>A-PL-268</x:v>
      </x:c>
      <x:c r="C274" t="str">
        <x:v>gate</x:v>
      </x:c>
      <x:c r="D274" t="str">
        <x:v>PL-PEV-189</x:v>
      </x:c>
      <x:c r="E274" s="23" t="str">
        <x:v>PASS</x:v>
      </x:c>
      <x:c r="F274" s="23" t="str">
        <x:f>'Release Gates'!I274</x:f>
        <x:v>PASS</x:v>
      </x:c>
      <x:c r="G274" t="str">
        <x:f>IF(ABS(IFERROR(E274-F274,0))&lt;0.0001,IF(OR(ISTEXT(E274),ISTEXT(F274)),IF(E274=F274,"PASS","FAIL"),"PASS"),"FAIL")</x:f>
        <x:v>PASS</x:v>
      </x:c>
      <x:c r="H274" t="str">
        <x:f>G274</x:f>
        <x:v>PASS</x:v>
      </x:c>
    </x:row>
    <x:row r="275">
      <x:c r="B275" t="str">
        <x:v>A-PL-269</x:v>
      </x:c>
      <x:c r="C275" t="str">
        <x:v>gate</x:v>
      </x:c>
      <x:c r="D275" t="str">
        <x:v>PL-PEV-190</x:v>
      </x:c>
      <x:c r="E275" s="23" t="str">
        <x:v>PASS</x:v>
      </x:c>
      <x:c r="F275" s="23" t="str">
        <x:f>'Release Gates'!I275</x:f>
        <x:v>PASS</x:v>
      </x:c>
      <x:c r="G275" t="str">
        <x:f>IF(ABS(IFERROR(E275-F275,0))&lt;0.0001,IF(OR(ISTEXT(E275),ISTEXT(F275)),IF(E275=F275,"PASS","FAIL"),"PASS"),"FAIL")</x:f>
        <x:v>PASS</x:v>
      </x:c>
      <x:c r="H275" t="str">
        <x:f>G275</x:f>
        <x:v>PASS</x:v>
      </x:c>
    </x:row>
    <x:row r="276">
      <x:c r="B276" t="str">
        <x:v>A-PL-270</x:v>
      </x:c>
      <x:c r="C276" t="str">
        <x:v>gate</x:v>
      </x:c>
      <x:c r="D276" t="str">
        <x:v>PL-PEV-191</x:v>
      </x:c>
      <x:c r="E276" s="23" t="str">
        <x:v>PASS</x:v>
      </x:c>
      <x:c r="F276" s="23" t="str">
        <x:f>'Release Gates'!I276</x:f>
        <x:v>PASS</x:v>
      </x:c>
      <x:c r="G276" t="str">
        <x:f>IF(ABS(IFERROR(E276-F276,0))&lt;0.0001,IF(OR(ISTEXT(E276),ISTEXT(F276)),IF(E276=F276,"PASS","FAIL"),"PASS"),"FAIL")</x:f>
        <x:v>PASS</x:v>
      </x:c>
      <x:c r="H276" t="str">
        <x:f>G276</x:f>
        <x:v>PASS</x:v>
      </x:c>
    </x:row>
    <x:row r="277">
      <x:c r="B277" t="str">
        <x:v>A-PL-271</x:v>
      </x:c>
      <x:c r="C277" t="str">
        <x:v>gate</x:v>
      </x:c>
      <x:c r="D277" t="str">
        <x:v>PL-PEV-192</x:v>
      </x:c>
      <x:c r="E277" s="23" t="str">
        <x:v>PASS</x:v>
      </x:c>
      <x:c r="F277" s="23" t="str">
        <x:f>'Release Gates'!I277</x:f>
        <x:v>PASS</x:v>
      </x:c>
      <x:c r="G277" t="str">
        <x:f>IF(ABS(IFERROR(E277-F277,0))&lt;0.0001,IF(OR(ISTEXT(E277),ISTEXT(F277)),IF(E277=F277,"PASS","FAIL"),"PASS"),"FAIL")</x:f>
        <x:v>PASS</x:v>
      </x:c>
      <x:c r="H277" t="str">
        <x:f>G277</x:f>
        <x:v>PASS</x:v>
      </x:c>
    </x:row>
    <x:row r="278">
      <x:c r="B278" t="str">
        <x:v>A-PL-272</x:v>
      </x:c>
      <x:c r="C278" t="str">
        <x:v>gate</x:v>
      </x:c>
      <x:c r="D278" t="str">
        <x:v>PL-SEV-001</x:v>
      </x:c>
      <x:c r="E278" s="23" t="str">
        <x:v>PASS</x:v>
      </x:c>
      <x:c r="F278" s="23" t="str">
        <x:f>'Release Gates'!I278</x:f>
        <x:v>PASS</x:v>
      </x:c>
      <x:c r="G278" t="str">
        <x:f>IF(ABS(IFERROR(E278-F278,0))&lt;0.0001,IF(OR(ISTEXT(E278),ISTEXT(F278)),IF(E278=F278,"PASS","FAIL"),"PASS"),"FAIL")</x:f>
        <x:v>PASS</x:v>
      </x:c>
      <x:c r="H278" t="str">
        <x:f>G278</x:f>
        <x:v>PASS</x:v>
      </x:c>
    </x:row>
    <x:row r="279">
      <x:c r="B279" t="str">
        <x:v>A-PL-273</x:v>
      </x:c>
      <x:c r="C279" t="str">
        <x:v>gate</x:v>
      </x:c>
      <x:c r="D279" t="str">
        <x:v>PL-SEV-002</x:v>
      </x:c>
      <x:c r="E279" s="23" t="str">
        <x:v>PASS</x:v>
      </x:c>
      <x:c r="F279" s="23" t="str">
        <x:f>'Release Gates'!I279</x:f>
        <x:v>PASS</x:v>
      </x:c>
      <x:c r="G279" t="str">
        <x:f>IF(ABS(IFERROR(E279-F279,0))&lt;0.0001,IF(OR(ISTEXT(E279),ISTEXT(F279)),IF(E279=F279,"PASS","FAIL"),"PASS"),"FAIL")</x:f>
        <x:v>PASS</x:v>
      </x:c>
      <x:c r="H279" t="str">
        <x:f>G279</x:f>
        <x:v>PASS</x:v>
      </x:c>
    </x:row>
    <x:row r="280">
      <x:c r="B280" t="str">
        <x:v>A-PL-274</x:v>
      </x:c>
      <x:c r="C280" t="str">
        <x:v>gate</x:v>
      </x:c>
      <x:c r="D280" t="str">
        <x:v>PL-SEV-003</x:v>
      </x:c>
      <x:c r="E280" s="23" t="str">
        <x:v>PASS</x:v>
      </x:c>
      <x:c r="F280" s="23" t="str">
        <x:f>'Release Gates'!I280</x:f>
        <x:v>PASS</x:v>
      </x:c>
      <x:c r="G280" t="str">
        <x:f>IF(ABS(IFERROR(E280-F280,0))&lt;0.0001,IF(OR(ISTEXT(E280),ISTEXT(F280)),IF(E280=F280,"PASS","FAIL"),"PASS"),"FAIL")</x:f>
        <x:v>PASS</x:v>
      </x:c>
      <x:c r="H280" t="str">
        <x:f>G280</x:f>
        <x:v>PASS</x:v>
      </x:c>
    </x:row>
    <x:row r="281">
      <x:c r="B281" t="str">
        <x:v>A-PL-275</x:v>
      </x:c>
      <x:c r="C281" t="str">
        <x:v>gate</x:v>
      </x:c>
      <x:c r="D281" t="str">
        <x:v>PL-SEV-004</x:v>
      </x:c>
      <x:c r="E281" s="23" t="str">
        <x:v>PASS</x:v>
      </x:c>
      <x:c r="F281" s="23" t="str">
        <x:f>'Release Gates'!I281</x:f>
        <x:v>PASS</x:v>
      </x:c>
      <x:c r="G281" t="str">
        <x:f>IF(ABS(IFERROR(E281-F281,0))&lt;0.0001,IF(OR(ISTEXT(E281),ISTEXT(F281)),IF(E281=F281,"PASS","FAIL"),"PASS"),"FAIL")</x:f>
        <x:v>PASS</x:v>
      </x:c>
      <x:c r="H281" t="str">
        <x:f>G281</x:f>
        <x:v>PASS</x:v>
      </x:c>
    </x:row>
    <x:row r="282">
      <x:c r="B282" t="str">
        <x:v>A-PL-276</x:v>
      </x:c>
      <x:c r="C282" t="str">
        <x:v>gate</x:v>
      </x:c>
      <x:c r="D282" t="str">
        <x:v>PL-SEV-005</x:v>
      </x:c>
      <x:c r="E282" s="23" t="str">
        <x:v>PASS</x:v>
      </x:c>
      <x:c r="F282" s="23" t="str">
        <x:f>'Release Gates'!I282</x:f>
        <x:v>PASS</x:v>
      </x:c>
      <x:c r="G282" t="str">
        <x:f>IF(ABS(IFERROR(E282-F282,0))&lt;0.0001,IF(OR(ISTEXT(E282),ISTEXT(F282)),IF(E282=F282,"PASS","FAIL"),"PASS"),"FAIL")</x:f>
        <x:v>PASS</x:v>
      </x:c>
      <x:c r="H282" t="str">
        <x:f>G282</x:f>
        <x:v>PASS</x:v>
      </x:c>
    </x:row>
    <x:row r="283">
      <x:c r="B283" t="str">
        <x:v>A-PL-277</x:v>
      </x:c>
      <x:c r="C283" t="str">
        <x:v>gate</x:v>
      </x:c>
      <x:c r="D283" t="str">
        <x:v>PL-SEV-006</x:v>
      </x:c>
      <x:c r="E283" s="23" t="str">
        <x:v>PASS</x:v>
      </x:c>
      <x:c r="F283" s="23" t="str">
        <x:f>'Release Gates'!I283</x:f>
        <x:v>PASS</x:v>
      </x:c>
      <x:c r="G283" t="str">
        <x:f>IF(ABS(IFERROR(E283-F283,0))&lt;0.0001,IF(OR(ISTEXT(E283),ISTEXT(F283)),IF(E283=F283,"PASS","FAIL"),"PASS"),"FAIL")</x:f>
        <x:v>PASS</x:v>
      </x:c>
      <x:c r="H283" t="str">
        <x:f>G283</x:f>
        <x:v>PASS</x:v>
      </x:c>
    </x:row>
    <x:row r="284">
      <x:c r="B284" t="str">
        <x:v>A-PL-278</x:v>
      </x:c>
      <x:c r="C284" t="str">
        <x:v>gate</x:v>
      </x:c>
      <x:c r="D284" t="str">
        <x:v>PL-SEV-007</x:v>
      </x:c>
      <x:c r="E284" s="23" t="str">
        <x:v>PASS</x:v>
      </x:c>
      <x:c r="F284" s="23" t="str">
        <x:f>'Release Gates'!I284</x:f>
        <x:v>PASS</x:v>
      </x:c>
      <x:c r="G284" t="str">
        <x:f>IF(ABS(IFERROR(E284-F284,0))&lt;0.0001,IF(OR(ISTEXT(E284),ISTEXT(F284)),IF(E284=F284,"PASS","FAIL"),"PASS"),"FAIL")</x:f>
        <x:v>PASS</x:v>
      </x:c>
      <x:c r="H284" t="str">
        <x:f>G284</x:f>
        <x:v>PASS</x:v>
      </x:c>
    </x:row>
    <x:row r="285">
      <x:c r="B285" t="str">
        <x:v>A-PL-279</x:v>
      </x:c>
      <x:c r="C285" t="str">
        <x:v>gate</x:v>
      </x:c>
      <x:c r="D285" t="str">
        <x:v>PL-SEV-008</x:v>
      </x:c>
      <x:c r="E285" s="23" t="str">
        <x:v>PASS</x:v>
      </x:c>
      <x:c r="F285" s="23" t="str">
        <x:f>'Release Gates'!I285</x:f>
        <x:v>PASS</x:v>
      </x:c>
      <x:c r="G285" t="str">
        <x:f>IF(ABS(IFERROR(E285-F285,0))&lt;0.0001,IF(OR(ISTEXT(E285),ISTEXT(F285)),IF(E285=F285,"PASS","FAIL"),"PASS"),"FAIL")</x:f>
        <x:v>PASS</x:v>
      </x:c>
      <x:c r="H285" t="str">
        <x:f>G285</x:f>
        <x:v>PASS</x:v>
      </x:c>
    </x:row>
    <x:row r="286">
      <x:c r="B286" t="str">
        <x:v>A-PL-280</x:v>
      </x:c>
      <x:c r="C286" t="str">
        <x:v>gate</x:v>
      </x:c>
      <x:c r="D286" t="str">
        <x:v>PL-SEV-009</x:v>
      </x:c>
      <x:c r="E286" s="23" t="str">
        <x:v>PASS</x:v>
      </x:c>
      <x:c r="F286" s="23" t="str">
        <x:f>'Release Gates'!I286</x:f>
        <x:v>PASS</x:v>
      </x:c>
      <x:c r="G286" t="str">
        <x:f>IF(ABS(IFERROR(E286-F286,0))&lt;0.0001,IF(OR(ISTEXT(E286),ISTEXT(F286)),IF(E286=F286,"PASS","FAIL"),"PASS"),"FAIL")</x:f>
        <x:v>PASS</x:v>
      </x:c>
      <x:c r="H286" t="str">
        <x:f>G286</x:f>
        <x:v>PASS</x:v>
      </x:c>
    </x:row>
    <x:row r="287">
      <x:c r="B287" t="str">
        <x:v>A-PL-281</x:v>
      </x:c>
      <x:c r="C287" t="str">
        <x:v>gate</x:v>
      </x:c>
      <x:c r="D287" t="str">
        <x:v>PL-SEV-010</x:v>
      </x:c>
      <x:c r="E287" s="23" t="str">
        <x:v>PASS</x:v>
      </x:c>
      <x:c r="F287" s="23" t="str">
        <x:f>'Release Gates'!I287</x:f>
        <x:v>PASS</x:v>
      </x:c>
      <x:c r="G287" t="str">
        <x:f>IF(ABS(IFERROR(E287-F287,0))&lt;0.0001,IF(OR(ISTEXT(E287),ISTEXT(F287)),IF(E287=F287,"PASS","FAIL"),"PASS"),"FAIL")</x:f>
        <x:v>PASS</x:v>
      </x:c>
      <x:c r="H287" t="str">
        <x:f>G287</x:f>
        <x:v>PASS</x:v>
      </x:c>
    </x:row>
    <x:row r="288">
      <x:c r="B288" t="str">
        <x:v>A-PL-282</x:v>
      </x:c>
      <x:c r="C288" t="str">
        <x:v>gate</x:v>
      </x:c>
      <x:c r="D288" t="str">
        <x:v>PL-SEV-011</x:v>
      </x:c>
      <x:c r="E288" s="23" t="str">
        <x:v>PASS</x:v>
      </x:c>
      <x:c r="F288" s="23" t="str">
        <x:f>'Release Gates'!I288</x:f>
        <x:v>PASS</x:v>
      </x:c>
      <x:c r="G288" t="str">
        <x:f>IF(ABS(IFERROR(E288-F288,0))&lt;0.0001,IF(OR(ISTEXT(E288),ISTEXT(F288)),IF(E288=F288,"PASS","FAIL"),"PASS"),"FAIL")</x:f>
        <x:v>PASS</x:v>
      </x:c>
      <x:c r="H288" t="str">
        <x:f>G288</x:f>
        <x:v>PASS</x:v>
      </x:c>
    </x:row>
    <x:row r="289">
      <x:c r="B289" t="str">
        <x:v>A-PL-283</x:v>
      </x:c>
      <x:c r="C289" t="str">
        <x:v>gate</x:v>
      </x:c>
      <x:c r="D289" t="str">
        <x:v>PL-SEV-012</x:v>
      </x:c>
      <x:c r="E289" s="23" t="str">
        <x:v>PASS</x:v>
      </x:c>
      <x:c r="F289" s="23" t="str">
        <x:f>'Release Gates'!I289</x:f>
        <x:v>PASS</x:v>
      </x:c>
      <x:c r="G289" t="str">
        <x:f>IF(ABS(IFERROR(E289-F289,0))&lt;0.0001,IF(OR(ISTEXT(E289),ISTEXT(F289)),IF(E289=F289,"PASS","FAIL"),"PASS"),"FAIL")</x:f>
        <x:v>PASS</x:v>
      </x:c>
      <x:c r="H289" t="str">
        <x:f>G289</x:f>
        <x:v>PASS</x:v>
      </x:c>
    </x:row>
    <x:row r="290">
      <x:c r="B290" t="str">
        <x:v>A-PL-284</x:v>
      </x:c>
      <x:c r="C290" t="str">
        <x:v>gate</x:v>
      </x:c>
      <x:c r="D290" t="str">
        <x:v>PL-SEV-013</x:v>
      </x:c>
      <x:c r="E290" s="23" t="str">
        <x:v>PASS</x:v>
      </x:c>
      <x:c r="F290" s="23" t="str">
        <x:f>'Release Gates'!I290</x:f>
        <x:v>PASS</x:v>
      </x:c>
      <x:c r="G290" t="str">
        <x:f>IF(ABS(IFERROR(E290-F290,0))&lt;0.0001,IF(OR(ISTEXT(E290),ISTEXT(F290)),IF(E290=F290,"PASS","FAIL"),"PASS"),"FAIL")</x:f>
        <x:v>PASS</x:v>
      </x:c>
      <x:c r="H290" t="str">
        <x:f>G290</x:f>
        <x:v>PASS</x:v>
      </x:c>
    </x:row>
    <x:row r="291">
      <x:c r="B291" t="str">
        <x:v>A-PL-285</x:v>
      </x:c>
      <x:c r="C291" t="str">
        <x:v>gate</x:v>
      </x:c>
      <x:c r="D291" t="str">
        <x:v>PL-SEV-014</x:v>
      </x:c>
      <x:c r="E291" s="23" t="str">
        <x:v>PASS</x:v>
      </x:c>
      <x:c r="F291" s="23" t="str">
        <x:f>'Release Gates'!I291</x:f>
        <x:v>PASS</x:v>
      </x:c>
      <x:c r="G291" t="str">
        <x:f>IF(ABS(IFERROR(E291-F291,0))&lt;0.0001,IF(OR(ISTEXT(E291),ISTEXT(F291)),IF(E291=F291,"PASS","FAIL"),"PASS"),"FAIL")</x:f>
        <x:v>PASS</x:v>
      </x:c>
      <x:c r="H291" t="str">
        <x:f>G291</x:f>
        <x:v>PASS</x:v>
      </x:c>
    </x:row>
    <x:row r="292">
      <x:c r="B292" t="str">
        <x:v>A-PL-286</x:v>
      </x:c>
      <x:c r="C292" t="str">
        <x:v>gate</x:v>
      </x:c>
      <x:c r="D292" t="str">
        <x:v>PL-SEV-015</x:v>
      </x:c>
      <x:c r="E292" s="23" t="str">
        <x:v>PASS</x:v>
      </x:c>
      <x:c r="F292" s="23" t="str">
        <x:f>'Release Gates'!I292</x:f>
        <x:v>PASS</x:v>
      </x:c>
      <x:c r="G292" t="str">
        <x:f>IF(ABS(IFERROR(E292-F292,0))&lt;0.0001,IF(OR(ISTEXT(E292),ISTEXT(F292)),IF(E292=F292,"PASS","FAIL"),"PASS"),"FAIL")</x:f>
        <x:v>PASS</x:v>
      </x:c>
      <x:c r="H292" t="str">
        <x:f>G292</x:f>
        <x:v>PASS</x:v>
      </x:c>
    </x:row>
    <x:row r="293">
      <x:c r="B293" t="str">
        <x:v>A-PL-287</x:v>
      </x:c>
      <x:c r="C293" t="str">
        <x:v>gate</x:v>
      </x:c>
      <x:c r="D293" t="str">
        <x:v>PL-SEV-016</x:v>
      </x:c>
      <x:c r="E293" s="23" t="str">
        <x:v>PASS</x:v>
      </x:c>
      <x:c r="F293" s="23" t="str">
        <x:f>'Release Gates'!I293</x:f>
        <x:v>PASS</x:v>
      </x:c>
      <x:c r="G293" t="str">
        <x:f>IF(ABS(IFERROR(E293-F293,0))&lt;0.0001,IF(OR(ISTEXT(E293),ISTEXT(F293)),IF(E293=F293,"PASS","FAIL"),"PASS"),"FAIL")</x:f>
        <x:v>PASS</x:v>
      </x:c>
      <x:c r="H293" t="str">
        <x:f>G293</x:f>
        <x:v>PASS</x:v>
      </x:c>
    </x:row>
    <x:row r="294">
      <x:c r="B294" t="str">
        <x:v>A-PL-288</x:v>
      </x:c>
      <x:c r="C294" t="str">
        <x:v>gate</x:v>
      </x:c>
      <x:c r="D294" t="str">
        <x:v>PL-SEV-017</x:v>
      </x:c>
      <x:c r="E294" s="23" t="str">
        <x:v>PASS</x:v>
      </x:c>
      <x:c r="F294" s="23" t="str">
        <x:f>'Release Gates'!I294</x:f>
        <x:v>PASS</x:v>
      </x:c>
      <x:c r="G294" t="str">
        <x:f>IF(ABS(IFERROR(E294-F294,0))&lt;0.0001,IF(OR(ISTEXT(E294),ISTEXT(F294)),IF(E294=F294,"PASS","FAIL"),"PASS"),"FAIL")</x:f>
        <x:v>PASS</x:v>
      </x:c>
      <x:c r="H294" t="str">
        <x:f>G294</x:f>
        <x:v>PASS</x:v>
      </x:c>
    </x:row>
    <x:row r="295">
      <x:c r="B295" t="str">
        <x:v>A-PL-289</x:v>
      </x:c>
      <x:c r="C295" t="str">
        <x:v>gate</x:v>
      </x:c>
      <x:c r="D295" t="str">
        <x:v>PL-SEV-018</x:v>
      </x:c>
      <x:c r="E295" s="23" t="str">
        <x:v>PASS</x:v>
      </x:c>
      <x:c r="F295" s="23" t="str">
        <x:f>'Release Gates'!I295</x:f>
        <x:v>PASS</x:v>
      </x:c>
      <x:c r="G295" t="str">
        <x:f>IF(ABS(IFERROR(E295-F295,0))&lt;0.0001,IF(OR(ISTEXT(E295),ISTEXT(F295)),IF(E295=F295,"PASS","FAIL"),"PASS"),"FAIL")</x:f>
        <x:v>PASS</x:v>
      </x:c>
      <x:c r="H295" t="str">
        <x:f>G295</x:f>
        <x:v>PASS</x:v>
      </x:c>
    </x:row>
    <x:row r="296">
      <x:c r="B296" t="str">
        <x:v>A-PL-290</x:v>
      </x:c>
      <x:c r="C296" t="str">
        <x:v>gate</x:v>
      </x:c>
      <x:c r="D296" t="str">
        <x:v>PL-SEV-019</x:v>
      </x:c>
      <x:c r="E296" s="23" t="str">
        <x:v>PASS</x:v>
      </x:c>
      <x:c r="F296" s="23" t="str">
        <x:f>'Release Gates'!I296</x:f>
        <x:v>PASS</x:v>
      </x:c>
      <x:c r="G296" t="str">
        <x:f>IF(ABS(IFERROR(E296-F296,0))&lt;0.0001,IF(OR(ISTEXT(E296),ISTEXT(F296)),IF(E296=F296,"PASS","FAIL"),"PASS"),"FAIL")</x:f>
        <x:v>PASS</x:v>
      </x:c>
      <x:c r="H296" t="str">
        <x:f>G296</x:f>
        <x:v>PASS</x:v>
      </x:c>
    </x:row>
    <x:row r="297">
      <x:c r="B297" t="str">
        <x:v>A-PL-291</x:v>
      </x:c>
      <x:c r="C297" t="str">
        <x:v>gate</x:v>
      </x:c>
      <x:c r="D297" t="str">
        <x:v>PL-SEV-020</x:v>
      </x:c>
      <x:c r="E297" s="23" t="str">
        <x:v>PASS</x:v>
      </x:c>
      <x:c r="F297" s="23" t="str">
        <x:f>'Release Gates'!I297</x:f>
        <x:v>PASS</x:v>
      </x:c>
      <x:c r="G297" t="str">
        <x:f>IF(ABS(IFERROR(E297-F297,0))&lt;0.0001,IF(OR(ISTEXT(E297),ISTEXT(F297)),IF(E297=F297,"PASS","FAIL"),"PASS"),"FAIL")</x:f>
        <x:v>PASS</x:v>
      </x:c>
      <x:c r="H297" t="str">
        <x:f>G297</x:f>
        <x:v>PASS</x:v>
      </x:c>
    </x:row>
    <x:row r="298">
      <x:c r="B298" t="str">
        <x:v>A-PL-292</x:v>
      </x:c>
      <x:c r="C298" t="str">
        <x:v>gate</x:v>
      </x:c>
      <x:c r="D298" t="str">
        <x:v>PL-SEV-021</x:v>
      </x:c>
      <x:c r="E298" s="23" t="str">
        <x:v>PASS</x:v>
      </x:c>
      <x:c r="F298" s="23" t="str">
        <x:f>'Release Gates'!I298</x:f>
        <x:v>PASS</x:v>
      </x:c>
      <x:c r="G298" t="str">
        <x:f>IF(ABS(IFERROR(E298-F298,0))&lt;0.0001,IF(OR(ISTEXT(E298),ISTEXT(F298)),IF(E298=F298,"PASS","FAIL"),"PASS"),"FAIL")</x:f>
        <x:v>PASS</x:v>
      </x:c>
      <x:c r="H298" t="str">
        <x:f>G298</x:f>
        <x:v>PASS</x:v>
      </x:c>
    </x:row>
    <x:row r="299">
      <x:c r="B299" t="str">
        <x:v>A-PL-293</x:v>
      </x:c>
      <x:c r="C299" t="str">
        <x:v>gate</x:v>
      </x:c>
      <x:c r="D299" t="str">
        <x:v>PL-SEV-022</x:v>
      </x:c>
      <x:c r="E299" s="23" t="str">
        <x:v>PASS</x:v>
      </x:c>
      <x:c r="F299" s="23" t="str">
        <x:f>'Release Gates'!I299</x:f>
        <x:v>PASS</x:v>
      </x:c>
      <x:c r="G299" t="str">
        <x:f>IF(ABS(IFERROR(E299-F299,0))&lt;0.0001,IF(OR(ISTEXT(E299),ISTEXT(F299)),IF(E299=F299,"PASS","FAIL"),"PASS"),"FAIL")</x:f>
        <x:v>PASS</x:v>
      </x:c>
      <x:c r="H299" t="str">
        <x:f>G299</x:f>
        <x:v>PASS</x:v>
      </x:c>
    </x:row>
    <x:row r="300">
      <x:c r="B300" t="str">
        <x:v>A-PL-294</x:v>
      </x:c>
      <x:c r="C300" t="str">
        <x:v>gate</x:v>
      </x:c>
      <x:c r="D300" t="str">
        <x:v>PL-SEV-023</x:v>
      </x:c>
      <x:c r="E300" s="23" t="str">
        <x:v>PASS</x:v>
      </x:c>
      <x:c r="F300" s="23" t="str">
        <x:f>'Release Gates'!I300</x:f>
        <x:v>PASS</x:v>
      </x:c>
      <x:c r="G300" t="str">
        <x:f>IF(ABS(IFERROR(E300-F300,0))&lt;0.0001,IF(OR(ISTEXT(E300),ISTEXT(F300)),IF(E300=F300,"PASS","FAIL"),"PASS"),"FAIL")</x:f>
        <x:v>PASS</x:v>
      </x:c>
      <x:c r="H300" t="str">
        <x:f>G300</x:f>
        <x:v>PASS</x:v>
      </x:c>
    </x:row>
    <x:row r="301">
      <x:c r="B301" t="str">
        <x:v>A-PL-295</x:v>
      </x:c>
      <x:c r="C301" t="str">
        <x:v>gate</x:v>
      </x:c>
      <x:c r="D301" t="str">
        <x:v>PL-SEV-024</x:v>
      </x:c>
      <x:c r="E301" s="23" t="str">
        <x:v>PASS</x:v>
      </x:c>
      <x:c r="F301" s="23" t="str">
        <x:f>'Release Gates'!I301</x:f>
        <x:v>PASS</x:v>
      </x:c>
      <x:c r="G301" t="str">
        <x:f>IF(ABS(IFERROR(E301-F301,0))&lt;0.0001,IF(OR(ISTEXT(E301),ISTEXT(F301)),IF(E301=F301,"PASS","FAIL"),"PASS"),"FAIL")</x:f>
        <x:v>PASS</x:v>
      </x:c>
      <x:c r="H301" t="str">
        <x:f>G301</x:f>
        <x:v>PASS</x:v>
      </x:c>
    </x:row>
    <x:row r="302">
      <x:c r="B302" t="str">
        <x:v>A-PL-296</x:v>
      </x:c>
      <x:c r="C302" t="str">
        <x:v>gate</x:v>
      </x:c>
      <x:c r="D302" t="str">
        <x:v>PL-SEV-025</x:v>
      </x:c>
      <x:c r="E302" s="23" t="str">
        <x:v>PASS</x:v>
      </x:c>
      <x:c r="F302" s="23" t="str">
        <x:f>'Release Gates'!I302</x:f>
        <x:v>PASS</x:v>
      </x:c>
      <x:c r="G302" t="str">
        <x:f>IF(ABS(IFERROR(E302-F302,0))&lt;0.0001,IF(OR(ISTEXT(E302),ISTEXT(F302)),IF(E302=F302,"PASS","FAIL"),"PASS"),"FAIL")</x:f>
        <x:v>PASS</x:v>
      </x:c>
      <x:c r="H302" t="str">
        <x:f>G302</x:f>
        <x:v>PASS</x:v>
      </x:c>
    </x:row>
    <x:row r="303">
      <x:c r="B303" t="str">
        <x:v>A-PL-297</x:v>
      </x:c>
      <x:c r="C303" t="str">
        <x:v>gate</x:v>
      </x:c>
      <x:c r="D303" t="str">
        <x:v>PL-SEV-026</x:v>
      </x:c>
      <x:c r="E303" s="23" t="str">
        <x:v>PASS</x:v>
      </x:c>
      <x:c r="F303" s="23" t="str">
        <x:f>'Release Gates'!I303</x:f>
        <x:v>PASS</x:v>
      </x:c>
      <x:c r="G303" t="str">
        <x:f>IF(ABS(IFERROR(E303-F303,0))&lt;0.0001,IF(OR(ISTEXT(E303),ISTEXT(F303)),IF(E303=F303,"PASS","FAIL"),"PASS"),"FAIL")</x:f>
        <x:v>PASS</x:v>
      </x:c>
      <x:c r="H303" t="str">
        <x:f>G303</x:f>
        <x:v>PASS</x:v>
      </x:c>
    </x:row>
    <x:row r="304">
      <x:c r="B304" t="str">
        <x:v>A-PL-298</x:v>
      </x:c>
      <x:c r="C304" t="str">
        <x:v>gate</x:v>
      </x:c>
      <x:c r="D304" t="str">
        <x:v>PL-SEV-027</x:v>
      </x:c>
      <x:c r="E304" s="23" t="str">
        <x:v>PASS</x:v>
      </x:c>
      <x:c r="F304" s="23" t="str">
        <x:f>'Release Gates'!I304</x:f>
        <x:v>PASS</x:v>
      </x:c>
      <x:c r="G304" t="str">
        <x:f>IF(ABS(IFERROR(E304-F304,0))&lt;0.0001,IF(OR(ISTEXT(E304),ISTEXT(F304)),IF(E304=F304,"PASS","FAIL"),"PASS"),"FAIL")</x:f>
        <x:v>PASS</x:v>
      </x:c>
      <x:c r="H304" t="str">
        <x:f>G304</x:f>
        <x:v>PASS</x:v>
      </x:c>
    </x:row>
    <x:row r="305">
      <x:c r="B305" t="str">
        <x:v>A-PL-299</x:v>
      </x:c>
      <x:c r="C305" t="str">
        <x:v>gate</x:v>
      </x:c>
      <x:c r="D305" t="str">
        <x:v>PL-SEV-028</x:v>
      </x:c>
      <x:c r="E305" s="23" t="str">
        <x:v>PASS</x:v>
      </x:c>
      <x:c r="F305" s="23" t="str">
        <x:f>'Release Gates'!I305</x:f>
        <x:v>PASS</x:v>
      </x:c>
      <x:c r="G305" t="str">
        <x:f>IF(ABS(IFERROR(E305-F305,0))&lt;0.0001,IF(OR(ISTEXT(E305),ISTEXT(F305)),IF(E305=F305,"PASS","FAIL"),"PASS"),"FAIL")</x:f>
        <x:v>PASS</x:v>
      </x:c>
      <x:c r="H305" t="str">
        <x:f>G305</x:f>
        <x:v>PASS</x:v>
      </x:c>
    </x:row>
    <x:row r="306">
      <x:c r="B306" t="str">
        <x:v>A-PL-300</x:v>
      </x:c>
      <x:c r="C306" t="str">
        <x:v>gate</x:v>
      </x:c>
      <x:c r="D306" t="str">
        <x:v>PL-SEV-029</x:v>
      </x:c>
      <x:c r="E306" s="23" t="str">
        <x:v>PASS</x:v>
      </x:c>
      <x:c r="F306" s="23" t="str">
        <x:f>'Release Gates'!I306</x:f>
        <x:v>PASS</x:v>
      </x:c>
      <x:c r="G306" t="str">
        <x:f>IF(ABS(IFERROR(E306-F306,0))&lt;0.0001,IF(OR(ISTEXT(E306),ISTEXT(F306)),IF(E306=F306,"PASS","FAIL"),"PASS"),"FAIL")</x:f>
        <x:v>PASS</x:v>
      </x:c>
      <x:c r="H306" t="str">
        <x:f>G306</x:f>
        <x:v>PASS</x:v>
      </x:c>
    </x:row>
    <x:row r="307">
      <x:c r="B307" t="str">
        <x:v>A-PL-301</x:v>
      </x:c>
      <x:c r="C307" t="str">
        <x:v>gate</x:v>
      </x:c>
      <x:c r="D307" t="str">
        <x:v>PL-SEV-030</x:v>
      </x:c>
      <x:c r="E307" s="23" t="str">
        <x:v>PASS</x:v>
      </x:c>
      <x:c r="F307" s="23" t="str">
        <x:f>'Release Gates'!I307</x:f>
        <x:v>PASS</x:v>
      </x:c>
      <x:c r="G307" t="str">
        <x:f>IF(ABS(IFERROR(E307-F307,0))&lt;0.0001,IF(OR(ISTEXT(E307),ISTEXT(F307)),IF(E307=F307,"PASS","FAIL"),"PASS"),"FAIL")</x:f>
        <x:v>PASS</x:v>
      </x:c>
      <x:c r="H307" t="str">
        <x:f>G307</x:f>
        <x:v>PASS</x:v>
      </x:c>
    </x:row>
    <x:row r="308">
      <x:c r="B308" t="str">
        <x:v>A-PL-302</x:v>
      </x:c>
      <x:c r="C308" t="str">
        <x:v>gate</x:v>
      </x:c>
      <x:c r="D308" t="str">
        <x:v>PL-SEV-031</x:v>
      </x:c>
      <x:c r="E308" s="23" t="str">
        <x:v>PASS</x:v>
      </x:c>
      <x:c r="F308" s="23" t="str">
        <x:f>'Release Gates'!I308</x:f>
        <x:v>PASS</x:v>
      </x:c>
      <x:c r="G308" t="str">
        <x:f>IF(ABS(IFERROR(E308-F308,0))&lt;0.0001,IF(OR(ISTEXT(E308),ISTEXT(F308)),IF(E308=F308,"PASS","FAIL"),"PASS"),"FAIL")</x:f>
        <x:v>PASS</x:v>
      </x:c>
      <x:c r="H308" t="str">
        <x:f>G308</x:f>
        <x:v>PASS</x:v>
      </x:c>
    </x:row>
    <x:row r="309">
      <x:c r="B309" t="str">
        <x:v>A-PL-303</x:v>
      </x:c>
      <x:c r="C309" t="str">
        <x:v>gate</x:v>
      </x:c>
      <x:c r="D309" t="str">
        <x:v>PL-SEV-032</x:v>
      </x:c>
      <x:c r="E309" s="23" t="str">
        <x:v>PASS</x:v>
      </x:c>
      <x:c r="F309" s="23" t="str">
        <x:f>'Release Gates'!I309</x:f>
        <x:v>PASS</x:v>
      </x:c>
      <x:c r="G309" t="str">
        <x:f>IF(ABS(IFERROR(E309-F309,0))&lt;0.0001,IF(OR(ISTEXT(E309),ISTEXT(F309)),IF(E309=F309,"PASS","FAIL"),"PASS"),"FAIL")</x:f>
        <x:v>PASS</x:v>
      </x:c>
      <x:c r="H309" t="str">
        <x:f>G309</x:f>
        <x:v>PASS</x:v>
      </x:c>
    </x:row>
    <x:row r="310">
      <x:c r="B310" t="str">
        <x:v>A-PL-304</x:v>
      </x:c>
      <x:c r="C310" t="str">
        <x:v>gate</x:v>
      </x:c>
      <x:c r="D310" t="str">
        <x:v>PL-SEV-033</x:v>
      </x:c>
      <x:c r="E310" s="23" t="str">
        <x:v>PASS</x:v>
      </x:c>
      <x:c r="F310" s="23" t="str">
        <x:f>'Release Gates'!I310</x:f>
        <x:v>PASS</x:v>
      </x:c>
      <x:c r="G310" t="str">
        <x:f>IF(ABS(IFERROR(E310-F310,0))&lt;0.0001,IF(OR(ISTEXT(E310),ISTEXT(F310)),IF(E310=F310,"PASS","FAIL"),"PASS"),"FAIL")</x:f>
        <x:v>PASS</x:v>
      </x:c>
      <x:c r="H310" t="str">
        <x:f>G310</x:f>
        <x:v>PASS</x:v>
      </x:c>
    </x:row>
    <x:row r="311">
      <x:c r="B311" t="str">
        <x:v>A-PL-305</x:v>
      </x:c>
      <x:c r="C311" t="str">
        <x:v>gate</x:v>
      </x:c>
      <x:c r="D311" t="str">
        <x:v>PL-SEV-034</x:v>
      </x:c>
      <x:c r="E311" s="23" t="str">
        <x:v>PASS</x:v>
      </x:c>
      <x:c r="F311" s="23" t="str">
        <x:f>'Release Gates'!I311</x:f>
        <x:v>PASS</x:v>
      </x:c>
      <x:c r="G311" t="str">
        <x:f>IF(ABS(IFERROR(E311-F311,0))&lt;0.0001,IF(OR(ISTEXT(E311),ISTEXT(F311)),IF(E311=F311,"PASS","FAIL"),"PASS"),"FAIL")</x:f>
        <x:v>PASS</x:v>
      </x:c>
      <x:c r="H311" t="str">
        <x:f>G311</x:f>
        <x:v>PASS</x:v>
      </x:c>
    </x:row>
    <x:row r="312">
      <x:c r="B312" t="str">
        <x:v>A-PL-306</x:v>
      </x:c>
      <x:c r="C312" t="str">
        <x:v>gate</x:v>
      </x:c>
      <x:c r="D312" t="str">
        <x:v>PL-SEV-035</x:v>
      </x:c>
      <x:c r="E312" s="23" t="str">
        <x:v>PASS</x:v>
      </x:c>
      <x:c r="F312" s="23" t="str">
        <x:f>'Release Gates'!I312</x:f>
        <x:v>PASS</x:v>
      </x:c>
      <x:c r="G312" t="str">
        <x:f>IF(ABS(IFERROR(E312-F312,0))&lt;0.0001,IF(OR(ISTEXT(E312),ISTEXT(F312)),IF(E312=F312,"PASS","FAIL"),"PASS"),"FAIL")</x:f>
        <x:v>PASS</x:v>
      </x:c>
      <x:c r="H312" t="str">
        <x:f>G312</x:f>
        <x:v>PASS</x:v>
      </x:c>
    </x:row>
    <x:row r="313">
      <x:c r="B313" t="str">
        <x:v>A-PL-307</x:v>
      </x:c>
      <x:c r="C313" t="str">
        <x:v>gate</x:v>
      </x:c>
      <x:c r="D313" t="str">
        <x:v>PL-SEV-036</x:v>
      </x:c>
      <x:c r="E313" s="23" t="str">
        <x:v>PASS</x:v>
      </x:c>
      <x:c r="F313" s="23" t="str">
        <x:f>'Release Gates'!I313</x:f>
        <x:v>PASS</x:v>
      </x:c>
      <x:c r="G313" t="str">
        <x:f>IF(ABS(IFERROR(E313-F313,0))&lt;0.0001,IF(OR(ISTEXT(E313),ISTEXT(F313)),IF(E313=F313,"PASS","FAIL"),"PASS"),"FAIL")</x:f>
        <x:v>PASS</x:v>
      </x:c>
      <x:c r="H313" t="str">
        <x:f>G313</x:f>
        <x:v>PASS</x:v>
      </x:c>
    </x:row>
    <x:row r="314">
      <x:c r="B314" t="str">
        <x:v>A-PL-308</x:v>
      </x:c>
      <x:c r="C314" t="str">
        <x:v>gate</x:v>
      </x:c>
      <x:c r="D314" t="str">
        <x:v>PL-SEV-037</x:v>
      </x:c>
      <x:c r="E314" s="23" t="str">
        <x:v>PASS</x:v>
      </x:c>
      <x:c r="F314" s="23" t="str">
        <x:f>'Release Gates'!I314</x:f>
        <x:v>PASS</x:v>
      </x:c>
      <x:c r="G314" t="str">
        <x:f>IF(ABS(IFERROR(E314-F314,0))&lt;0.0001,IF(OR(ISTEXT(E314),ISTEXT(F314)),IF(E314=F314,"PASS","FAIL"),"PASS"),"FAIL")</x:f>
        <x:v>PASS</x:v>
      </x:c>
      <x:c r="H314" t="str">
        <x:f>G314</x:f>
        <x:v>PASS</x:v>
      </x:c>
    </x:row>
    <x:row r="315">
      <x:c r="B315" t="str">
        <x:v>A-PL-309</x:v>
      </x:c>
      <x:c r="C315" t="str">
        <x:v>gate</x:v>
      </x:c>
      <x:c r="D315" t="str">
        <x:v>PL-SEV-038</x:v>
      </x:c>
      <x:c r="E315" s="23" t="str">
        <x:v>PASS</x:v>
      </x:c>
      <x:c r="F315" s="23" t="str">
        <x:f>'Release Gates'!I315</x:f>
        <x:v>PASS</x:v>
      </x:c>
      <x:c r="G315" t="str">
        <x:f>IF(ABS(IFERROR(E315-F315,0))&lt;0.0001,IF(OR(ISTEXT(E315),ISTEXT(F315)),IF(E315=F315,"PASS","FAIL"),"PASS"),"FAIL")</x:f>
        <x:v>PASS</x:v>
      </x:c>
      <x:c r="H315" t="str">
        <x:f>G315</x:f>
        <x:v>PASS</x:v>
      </x:c>
    </x:row>
    <x:row r="316">
      <x:c r="B316" t="str">
        <x:v>A-PL-310</x:v>
      </x:c>
      <x:c r="C316" t="str">
        <x:v>gate</x:v>
      </x:c>
      <x:c r="D316" t="str">
        <x:v>PL-SEV-039</x:v>
      </x:c>
      <x:c r="E316" s="23" t="str">
        <x:v>PASS</x:v>
      </x:c>
      <x:c r="F316" s="23" t="str">
        <x:f>'Release Gates'!I316</x:f>
        <x:v>PASS</x:v>
      </x:c>
      <x:c r="G316" t="str">
        <x:f>IF(ABS(IFERROR(E316-F316,0))&lt;0.0001,IF(OR(ISTEXT(E316),ISTEXT(F316)),IF(E316=F316,"PASS","FAIL"),"PASS"),"FAIL")</x:f>
        <x:v>PASS</x:v>
      </x:c>
      <x:c r="H316" t="str">
        <x:f>G316</x:f>
        <x:v>PASS</x:v>
      </x:c>
    </x:row>
    <x:row r="317">
      <x:c r="B317" t="str">
        <x:v>A-PL-311</x:v>
      </x:c>
      <x:c r="C317" t="str">
        <x:v>gate</x:v>
      </x:c>
      <x:c r="D317" t="str">
        <x:v>PL-SEV-040</x:v>
      </x:c>
      <x:c r="E317" s="23" t="str">
        <x:v>PASS</x:v>
      </x:c>
      <x:c r="F317" s="23" t="str">
        <x:f>'Release Gates'!I317</x:f>
        <x:v>PASS</x:v>
      </x:c>
      <x:c r="G317" t="str">
        <x:f>IF(ABS(IFERROR(E317-F317,0))&lt;0.0001,IF(OR(ISTEXT(E317),ISTEXT(F317)),IF(E317=F317,"PASS","FAIL"),"PASS"),"FAIL")</x:f>
        <x:v>PASS</x:v>
      </x:c>
      <x:c r="H317" t="str">
        <x:f>G317</x:f>
        <x:v>PASS</x:v>
      </x:c>
    </x:row>
    <x:row r="318">
      <x:c r="B318" t="str">
        <x:v>A-PL-312</x:v>
      </x:c>
      <x:c r="C318" t="str">
        <x:v>gate</x:v>
      </x:c>
      <x:c r="D318" t="str">
        <x:v>PL-SEV-041</x:v>
      </x:c>
      <x:c r="E318" s="23" t="str">
        <x:v>PASS</x:v>
      </x:c>
      <x:c r="F318" s="23" t="str">
        <x:f>'Release Gates'!I318</x:f>
        <x:v>PASS</x:v>
      </x:c>
      <x:c r="G318" t="str">
        <x:f>IF(ABS(IFERROR(E318-F318,0))&lt;0.0001,IF(OR(ISTEXT(E318),ISTEXT(F318)),IF(E318=F318,"PASS","FAIL"),"PASS"),"FAIL")</x:f>
        <x:v>PASS</x:v>
      </x:c>
      <x:c r="H318" t="str">
        <x:f>G318</x:f>
        <x:v>PASS</x:v>
      </x:c>
    </x:row>
    <x:row r="319">
      <x:c r="B319" t="str">
        <x:v>A-PL-313</x:v>
      </x:c>
      <x:c r="C319" t="str">
        <x:v>gate</x:v>
      </x:c>
      <x:c r="D319" t="str">
        <x:v>PL-SEV-042</x:v>
      </x:c>
      <x:c r="E319" s="23" t="str">
        <x:v>PASS</x:v>
      </x:c>
      <x:c r="F319" s="23" t="str">
        <x:f>'Release Gates'!I319</x:f>
        <x:v>PASS</x:v>
      </x:c>
      <x:c r="G319" t="str">
        <x:f>IF(ABS(IFERROR(E319-F319,0))&lt;0.0001,IF(OR(ISTEXT(E319),ISTEXT(F319)),IF(E319=F319,"PASS","FAIL"),"PASS"),"FAIL")</x:f>
        <x:v>PASS</x:v>
      </x:c>
      <x:c r="H319" t="str">
        <x:f>G319</x:f>
        <x:v>PASS</x:v>
      </x:c>
    </x:row>
    <x:row r="320">
      <x:c r="B320" t="str">
        <x:v>A-PL-314</x:v>
      </x:c>
      <x:c r="C320" t="str">
        <x:v>gate</x:v>
      </x:c>
      <x:c r="D320" t="str">
        <x:v>PL-SEV-043</x:v>
      </x:c>
      <x:c r="E320" s="23" t="str">
        <x:v>PASS</x:v>
      </x:c>
      <x:c r="F320" s="23" t="str">
        <x:f>'Release Gates'!I320</x:f>
        <x:v>PASS</x:v>
      </x:c>
      <x:c r="G320" t="str">
        <x:f>IF(ABS(IFERROR(E320-F320,0))&lt;0.0001,IF(OR(ISTEXT(E320),ISTEXT(F320)),IF(E320=F320,"PASS","FAIL"),"PASS"),"FAIL")</x:f>
        <x:v>PASS</x:v>
      </x:c>
      <x:c r="H320" t="str">
        <x:f>G320</x:f>
        <x:v>PASS</x:v>
      </x:c>
    </x:row>
    <x:row r="321">
      <x:c r="B321" t="str">
        <x:v>A-PL-315</x:v>
      </x:c>
      <x:c r="C321" t="str">
        <x:v>gate</x:v>
      </x:c>
      <x:c r="D321" t="str">
        <x:v>PL-SEV-044</x:v>
      </x:c>
      <x:c r="E321" s="23" t="str">
        <x:v>PASS</x:v>
      </x:c>
      <x:c r="F321" s="23" t="str">
        <x:f>'Release Gates'!I321</x:f>
        <x:v>PASS</x:v>
      </x:c>
      <x:c r="G321" t="str">
        <x:f>IF(ABS(IFERROR(E321-F321,0))&lt;0.0001,IF(OR(ISTEXT(E321),ISTEXT(F321)),IF(E321=F321,"PASS","FAIL"),"PASS"),"FAIL")</x:f>
        <x:v>PASS</x:v>
      </x:c>
      <x:c r="H321" t="str">
        <x:f>G321</x:f>
        <x:v>PASS</x:v>
      </x:c>
    </x:row>
    <x:row r="322">
      <x:c r="B322" t="str">
        <x:v>A-PL-316</x:v>
      </x:c>
      <x:c r="C322" t="str">
        <x:v>gate</x:v>
      </x:c>
      <x:c r="D322" t="str">
        <x:v>PL-SEV-045</x:v>
      </x:c>
      <x:c r="E322" s="23" t="str">
        <x:v>PASS</x:v>
      </x:c>
      <x:c r="F322" s="23" t="str">
        <x:f>'Release Gates'!I322</x:f>
        <x:v>PASS</x:v>
      </x:c>
      <x:c r="G322" t="str">
        <x:f>IF(ABS(IFERROR(E322-F322,0))&lt;0.0001,IF(OR(ISTEXT(E322),ISTEXT(F322)),IF(E322=F322,"PASS","FAIL"),"PASS"),"FAIL")</x:f>
        <x:v>PASS</x:v>
      </x:c>
      <x:c r="H322" t="str">
        <x:f>G322</x:f>
        <x:v>PASS</x:v>
      </x:c>
    </x:row>
    <x:row r="323">
      <x:c r="B323" t="str">
        <x:v>A-PL-317</x:v>
      </x:c>
      <x:c r="C323" t="str">
        <x:v>gate</x:v>
      </x:c>
      <x:c r="D323" t="str">
        <x:v>PL-SEV-046</x:v>
      </x:c>
      <x:c r="E323" s="23" t="str">
        <x:v>PASS</x:v>
      </x:c>
      <x:c r="F323" s="23" t="str">
        <x:f>'Release Gates'!I323</x:f>
        <x:v>PASS</x:v>
      </x:c>
      <x:c r="G323" t="str">
        <x:f>IF(ABS(IFERROR(E323-F323,0))&lt;0.0001,IF(OR(ISTEXT(E323),ISTEXT(F323)),IF(E323=F323,"PASS","FAIL"),"PASS"),"FAIL")</x:f>
        <x:v>PASS</x:v>
      </x:c>
      <x:c r="H323" t="str">
        <x:f>G323</x:f>
        <x:v>PASS</x:v>
      </x:c>
    </x:row>
    <x:row r="324">
      <x:c r="B324" t="str">
        <x:v>A-PL-318</x:v>
      </x:c>
      <x:c r="C324" t="str">
        <x:v>gate</x:v>
      </x:c>
      <x:c r="D324" t="str">
        <x:v>PL-SEV-047</x:v>
      </x:c>
      <x:c r="E324" s="23" t="str">
        <x:v>PASS</x:v>
      </x:c>
      <x:c r="F324" s="23" t="str">
        <x:f>'Release Gates'!I324</x:f>
        <x:v>PASS</x:v>
      </x:c>
      <x:c r="G324" t="str">
        <x:f>IF(ABS(IFERROR(E324-F324,0))&lt;0.0001,IF(OR(ISTEXT(E324),ISTEXT(F324)),IF(E324=F324,"PASS","FAIL"),"PASS"),"FAIL")</x:f>
        <x:v>PASS</x:v>
      </x:c>
      <x:c r="H324" t="str">
        <x:f>G324</x:f>
        <x:v>PASS</x:v>
      </x:c>
    </x:row>
    <x:row r="325">
      <x:c r="B325" t="str">
        <x:v>A-PL-319</x:v>
      </x:c>
      <x:c r="C325" t="str">
        <x:v>gate</x:v>
      </x:c>
      <x:c r="D325" t="str">
        <x:v>PL-SEV-048</x:v>
      </x:c>
      <x:c r="E325" s="23" t="str">
        <x:v>PASS</x:v>
      </x:c>
      <x:c r="F325" s="23" t="str">
        <x:f>'Release Gates'!I325</x:f>
        <x:v>PASS</x:v>
      </x:c>
      <x:c r="G325" t="str">
        <x:f>IF(ABS(IFERROR(E325-F325,0))&lt;0.0001,IF(OR(ISTEXT(E325),ISTEXT(F325)),IF(E325=F325,"PASS","FAIL"),"PASS"),"FAIL")</x:f>
        <x:v>PASS</x:v>
      </x:c>
      <x:c r="H325" t="str">
        <x:f>G325</x:f>
        <x:v>PASS</x:v>
      </x:c>
    </x:row>
    <x:row r="326">
      <x:c r="B326" t="str">
        <x:v>A-PL-320</x:v>
      </x:c>
      <x:c r="C326" t="str">
        <x:v>gate</x:v>
      </x:c>
      <x:c r="D326" t="str">
        <x:v>PL-SEV-049</x:v>
      </x:c>
      <x:c r="E326" s="23" t="str">
        <x:v>PASS</x:v>
      </x:c>
      <x:c r="F326" s="23" t="str">
        <x:f>'Release Gates'!I326</x:f>
        <x:v>PASS</x:v>
      </x:c>
      <x:c r="G326" t="str">
        <x:f>IF(ABS(IFERROR(E326-F326,0))&lt;0.0001,IF(OR(ISTEXT(E326),ISTEXT(F326)),IF(E326=F326,"PASS","FAIL"),"PASS"),"FAIL")</x:f>
        <x:v>PASS</x:v>
      </x:c>
      <x:c r="H326" t="str">
        <x:f>G326</x:f>
        <x:v>PASS</x:v>
      </x:c>
    </x:row>
    <x:row r="327">
      <x:c r="B327" t="str">
        <x:v>A-PL-321</x:v>
      </x:c>
      <x:c r="C327" t="str">
        <x:v>gate</x:v>
      </x:c>
      <x:c r="D327" t="str">
        <x:v>PL-SEV-050</x:v>
      </x:c>
      <x:c r="E327" s="23" t="str">
        <x:v>PASS</x:v>
      </x:c>
      <x:c r="F327" s="23" t="str">
        <x:f>'Release Gates'!I327</x:f>
        <x:v>PASS</x:v>
      </x:c>
      <x:c r="G327" t="str">
        <x:f>IF(ABS(IFERROR(E327-F327,0))&lt;0.0001,IF(OR(ISTEXT(E327),ISTEXT(F327)),IF(E327=F327,"PASS","FAIL"),"PASS"),"FAIL")</x:f>
        <x:v>PASS</x:v>
      </x:c>
      <x:c r="H327" t="str">
        <x:f>G327</x:f>
        <x:v>PASS</x:v>
      </x:c>
    </x:row>
    <x:row r="328">
      <x:c r="B328" t="str">
        <x:v>A-PL-322</x:v>
      </x:c>
      <x:c r="C328" t="str">
        <x:v>gate</x:v>
      </x:c>
      <x:c r="D328" t="str">
        <x:v>PL-SEV-051</x:v>
      </x:c>
      <x:c r="E328" s="23" t="str">
        <x:v>PASS</x:v>
      </x:c>
      <x:c r="F328" s="23" t="str">
        <x:f>'Release Gates'!I328</x:f>
        <x:v>PASS</x:v>
      </x:c>
      <x:c r="G328" t="str">
        <x:f>IF(ABS(IFERROR(E328-F328,0))&lt;0.0001,IF(OR(ISTEXT(E328),ISTEXT(F328)),IF(E328=F328,"PASS","FAIL"),"PASS"),"FAIL")</x:f>
        <x:v>PASS</x:v>
      </x:c>
      <x:c r="H328" t="str">
        <x:f>G328</x:f>
        <x:v>PASS</x:v>
      </x:c>
    </x:row>
    <x:row r="329">
      <x:c r="B329" t="str">
        <x:v>A-PL-323</x:v>
      </x:c>
      <x:c r="C329" t="str">
        <x:v>gate</x:v>
      </x:c>
      <x:c r="D329" t="str">
        <x:v>PL-SEV-052</x:v>
      </x:c>
      <x:c r="E329" s="23" t="str">
        <x:v>PASS</x:v>
      </x:c>
      <x:c r="F329" s="23" t="str">
        <x:f>'Release Gates'!I329</x:f>
        <x:v>PASS</x:v>
      </x:c>
      <x:c r="G329" t="str">
        <x:f>IF(ABS(IFERROR(E329-F329,0))&lt;0.0001,IF(OR(ISTEXT(E329),ISTEXT(F329)),IF(E329=F329,"PASS","FAIL"),"PASS"),"FAIL")</x:f>
        <x:v>PASS</x:v>
      </x:c>
      <x:c r="H329" t="str">
        <x:f>G329</x:f>
        <x:v>PASS</x:v>
      </x:c>
    </x:row>
    <x:row r="330">
      <x:c r="B330" t="str">
        <x:v>A-PL-324</x:v>
      </x:c>
      <x:c r="C330" t="str">
        <x:v>gate</x:v>
      </x:c>
      <x:c r="D330" t="str">
        <x:v>PL-SEV-053</x:v>
      </x:c>
      <x:c r="E330" s="23" t="str">
        <x:v>PASS</x:v>
      </x:c>
      <x:c r="F330" s="23" t="str">
        <x:f>'Release Gates'!I330</x:f>
        <x:v>PASS</x:v>
      </x:c>
      <x:c r="G330" t="str">
        <x:f>IF(ABS(IFERROR(E330-F330,0))&lt;0.0001,IF(OR(ISTEXT(E330),ISTEXT(F330)),IF(E330=F330,"PASS","FAIL"),"PASS"),"FAIL")</x:f>
        <x:v>PASS</x:v>
      </x:c>
      <x:c r="H330" t="str">
        <x:f>G330</x:f>
        <x:v>PASS</x:v>
      </x:c>
    </x:row>
    <x:row r="331">
      <x:c r="B331" t="str">
        <x:v>A-PL-325</x:v>
      </x:c>
      <x:c r="C331" t="str">
        <x:v>gate</x:v>
      </x:c>
      <x:c r="D331" t="str">
        <x:v>PL-SEV-054</x:v>
      </x:c>
      <x:c r="E331" s="23" t="str">
        <x:v>PASS</x:v>
      </x:c>
      <x:c r="F331" s="23" t="str">
        <x:f>'Release Gates'!I331</x:f>
        <x:v>PASS</x:v>
      </x:c>
      <x:c r="G331" t="str">
        <x:f>IF(ABS(IFERROR(E331-F331,0))&lt;0.0001,IF(OR(ISTEXT(E331),ISTEXT(F331)),IF(E331=F331,"PASS","FAIL"),"PASS"),"FAIL")</x:f>
        <x:v>PASS</x:v>
      </x:c>
      <x:c r="H331" t="str">
        <x:f>G331</x:f>
        <x:v>PASS</x:v>
      </x:c>
    </x:row>
    <x:row r="332">
      <x:c r="B332" t="str">
        <x:v>A-PL-326</x:v>
      </x:c>
      <x:c r="C332" t="str">
        <x:v>gate</x:v>
      </x:c>
      <x:c r="D332" t="str">
        <x:v>PL-SEV-055</x:v>
      </x:c>
      <x:c r="E332" s="23" t="str">
        <x:v>PASS</x:v>
      </x:c>
      <x:c r="F332" s="23" t="str">
        <x:f>'Release Gates'!I332</x:f>
        <x:v>PASS</x:v>
      </x:c>
      <x:c r="G332" t="str">
        <x:f>IF(ABS(IFERROR(E332-F332,0))&lt;0.0001,IF(OR(ISTEXT(E332),ISTEXT(F332)),IF(E332=F332,"PASS","FAIL"),"PASS"),"FAIL")</x:f>
        <x:v>PASS</x:v>
      </x:c>
      <x:c r="H332" t="str">
        <x:f>G332</x:f>
        <x:v>PASS</x:v>
      </x:c>
    </x:row>
    <x:row r="333">
      <x:c r="B333" t="str">
        <x:v>A-PL-327</x:v>
      </x:c>
      <x:c r="C333" t="str">
        <x:v>gate</x:v>
      </x:c>
      <x:c r="D333" t="str">
        <x:v>PL-SEV-056</x:v>
      </x:c>
      <x:c r="E333" s="23" t="str">
        <x:v>PASS</x:v>
      </x:c>
      <x:c r="F333" s="23" t="str">
        <x:f>'Release Gates'!I333</x:f>
        <x:v>PASS</x:v>
      </x:c>
      <x:c r="G333" t="str">
        <x:f>IF(ABS(IFERROR(E333-F333,0))&lt;0.0001,IF(OR(ISTEXT(E333),ISTEXT(F333)),IF(E333=F333,"PASS","FAIL"),"PASS"),"FAIL")</x:f>
        <x:v>PASS</x:v>
      </x:c>
      <x:c r="H333" t="str">
        <x:f>G333</x:f>
        <x:v>PASS</x:v>
      </x:c>
    </x:row>
    <x:row r="334">
      <x:c r="B334" t="str">
        <x:v>A-PL-328</x:v>
      </x:c>
      <x:c r="C334" t="str">
        <x:v>gate</x:v>
      </x:c>
      <x:c r="D334" t="str">
        <x:v>PL-SEV-057</x:v>
      </x:c>
      <x:c r="E334" s="23" t="str">
        <x:v>PASS</x:v>
      </x:c>
      <x:c r="F334" s="23" t="str">
        <x:f>'Release Gates'!I334</x:f>
        <x:v>PASS</x:v>
      </x:c>
      <x:c r="G334" t="str">
        <x:f>IF(ABS(IFERROR(E334-F334,0))&lt;0.0001,IF(OR(ISTEXT(E334),ISTEXT(F334)),IF(E334=F334,"PASS","FAIL"),"PASS"),"FAIL")</x:f>
        <x:v>PASS</x:v>
      </x:c>
      <x:c r="H334" t="str">
        <x:f>G334</x:f>
        <x:v>PASS</x:v>
      </x:c>
    </x:row>
    <x:row r="335">
      <x:c r="B335" t="str">
        <x:v>A-PL-329</x:v>
      </x:c>
      <x:c r="C335" t="str">
        <x:v>gate</x:v>
      </x:c>
      <x:c r="D335" t="str">
        <x:v>PL-SEV-058</x:v>
      </x:c>
      <x:c r="E335" s="23" t="str">
        <x:v>PASS</x:v>
      </x:c>
      <x:c r="F335" s="23" t="str">
        <x:f>'Release Gates'!I335</x:f>
        <x:v>PASS</x:v>
      </x:c>
      <x:c r="G335" t="str">
        <x:f>IF(ABS(IFERROR(E335-F335,0))&lt;0.0001,IF(OR(ISTEXT(E335),ISTEXT(F335)),IF(E335=F335,"PASS","FAIL"),"PASS"),"FAIL")</x:f>
        <x:v>PASS</x:v>
      </x:c>
      <x:c r="H335" t="str">
        <x:f>G335</x:f>
        <x:v>PASS</x:v>
      </x:c>
    </x:row>
    <x:row r="336">
      <x:c r="B336" t="str">
        <x:v>A-PL-330</x:v>
      </x:c>
      <x:c r="C336" t="str">
        <x:v>gate</x:v>
      </x:c>
      <x:c r="D336" t="str">
        <x:v>PL-SEV-059</x:v>
      </x:c>
      <x:c r="E336" s="23" t="str">
        <x:v>PASS</x:v>
      </x:c>
      <x:c r="F336" s="23" t="str">
        <x:f>'Release Gates'!I336</x:f>
        <x:v>PASS</x:v>
      </x:c>
      <x:c r="G336" t="str">
        <x:f>IF(ABS(IFERROR(E336-F336,0))&lt;0.0001,IF(OR(ISTEXT(E336),ISTEXT(F336)),IF(E336=F336,"PASS","FAIL"),"PASS"),"FAIL")</x:f>
        <x:v>PASS</x:v>
      </x:c>
      <x:c r="H336" t="str">
        <x:f>G336</x:f>
        <x:v>PASS</x:v>
      </x:c>
    </x:row>
    <x:row r="337">
      <x:c r="B337" t="str">
        <x:v>A-PL-331</x:v>
      </x:c>
      <x:c r="C337" t="str">
        <x:v>gate</x:v>
      </x:c>
      <x:c r="D337" t="str">
        <x:v>PL-SEV-060</x:v>
      </x:c>
      <x:c r="E337" s="23" t="str">
        <x:v>PASS</x:v>
      </x:c>
      <x:c r="F337" s="23" t="str">
        <x:f>'Release Gates'!I337</x:f>
        <x:v>PASS</x:v>
      </x:c>
      <x:c r="G337" t="str">
        <x:f>IF(ABS(IFERROR(E337-F337,0))&lt;0.0001,IF(OR(ISTEXT(E337),ISTEXT(F337)),IF(E337=F337,"PASS","FAIL"),"PASS"),"FAIL")</x:f>
        <x:v>PASS</x:v>
      </x:c>
      <x:c r="H337" t="str">
        <x:f>G337</x:f>
        <x:v>PASS</x:v>
      </x:c>
    </x:row>
    <x:row r="338">
      <x:c r="B338" t="str">
        <x:v>A-PL-332</x:v>
      </x:c>
      <x:c r="C338" t="str">
        <x:v>gate</x:v>
      </x:c>
      <x:c r="D338" t="str">
        <x:v>PL-SEV-061</x:v>
      </x:c>
      <x:c r="E338" s="23" t="str">
        <x:v>PASS</x:v>
      </x:c>
      <x:c r="F338" s="23" t="str">
        <x:f>'Release Gates'!I338</x:f>
        <x:v>PASS</x:v>
      </x:c>
      <x:c r="G338" t="str">
        <x:f>IF(ABS(IFERROR(E338-F338,0))&lt;0.0001,IF(OR(ISTEXT(E338),ISTEXT(F338)),IF(E338=F338,"PASS","FAIL"),"PASS"),"FAIL")</x:f>
        <x:v>PASS</x:v>
      </x:c>
      <x:c r="H338" t="str">
        <x:f>G338</x:f>
        <x:v>PASS</x:v>
      </x:c>
    </x:row>
    <x:row r="339">
      <x:c r="B339" t="str">
        <x:v>A-PL-333</x:v>
      </x:c>
      <x:c r="C339" t="str">
        <x:v>gate</x:v>
      </x:c>
      <x:c r="D339" t="str">
        <x:v>PL-SEV-062</x:v>
      </x:c>
      <x:c r="E339" s="23" t="str">
        <x:v>PASS</x:v>
      </x:c>
      <x:c r="F339" s="23" t="str">
        <x:f>'Release Gates'!I339</x:f>
        <x:v>PASS</x:v>
      </x:c>
      <x:c r="G339" t="str">
        <x:f>IF(ABS(IFERROR(E339-F339,0))&lt;0.0001,IF(OR(ISTEXT(E339),ISTEXT(F339)),IF(E339=F339,"PASS","FAIL"),"PASS"),"FAIL")</x:f>
        <x:v>PASS</x:v>
      </x:c>
      <x:c r="H339" t="str">
        <x:f>G339</x:f>
        <x:v>PASS</x:v>
      </x:c>
    </x:row>
    <x:row r="340">
      <x:c r="B340" t="str">
        <x:v>A-PL-334</x:v>
      </x:c>
      <x:c r="C340" t="str">
        <x:v>gate</x:v>
      </x:c>
      <x:c r="D340" t="str">
        <x:v>PL-SEV-063</x:v>
      </x:c>
      <x:c r="E340" s="23" t="str">
        <x:v>PASS</x:v>
      </x:c>
      <x:c r="F340" s="23" t="str">
        <x:f>'Release Gates'!I340</x:f>
        <x:v>PASS</x:v>
      </x:c>
      <x:c r="G340" t="str">
        <x:f>IF(ABS(IFERROR(E340-F340,0))&lt;0.0001,IF(OR(ISTEXT(E340),ISTEXT(F340)),IF(E340=F340,"PASS","FAIL"),"PASS"),"FAIL")</x:f>
        <x:v>PASS</x:v>
      </x:c>
      <x:c r="H340" t="str">
        <x:f>G340</x:f>
        <x:v>PASS</x:v>
      </x:c>
    </x:row>
    <x:row r="341">
      <x:c r="B341" t="str">
        <x:v>A-PL-335</x:v>
      </x:c>
      <x:c r="C341" t="str">
        <x:v>gate</x:v>
      </x:c>
      <x:c r="D341" t="str">
        <x:v>PL-SEV-064</x:v>
      </x:c>
      <x:c r="E341" s="23" t="str">
        <x:v>PASS</x:v>
      </x:c>
      <x:c r="F341" s="23" t="str">
        <x:f>'Release Gates'!I341</x:f>
        <x:v>PASS</x:v>
      </x:c>
      <x:c r="G341" t="str">
        <x:f>IF(ABS(IFERROR(E341-F341,0))&lt;0.0001,IF(OR(ISTEXT(E341),ISTEXT(F341)),IF(E341=F341,"PASS","FAIL"),"PASS"),"FAIL")</x:f>
        <x:v>PASS</x:v>
      </x:c>
      <x:c r="H341" t="str">
        <x:f>G341</x:f>
        <x:v>PASS</x:v>
      </x:c>
    </x:row>
    <x:row r="342">
      <x:c r="B342" t="str">
        <x:v>A-PL-336</x:v>
      </x:c>
      <x:c r="C342" t="str">
        <x:v>gate</x:v>
      </x:c>
      <x:c r="D342" t="str">
        <x:v>PL-SEV-065</x:v>
      </x:c>
      <x:c r="E342" s="23" t="str">
        <x:v>PASS</x:v>
      </x:c>
      <x:c r="F342" s="23" t="str">
        <x:f>'Release Gates'!I342</x:f>
        <x:v>PASS</x:v>
      </x:c>
      <x:c r="G342" t="str">
        <x:f>IF(ABS(IFERROR(E342-F342,0))&lt;0.0001,IF(OR(ISTEXT(E342),ISTEXT(F342)),IF(E342=F342,"PASS","FAIL"),"PASS"),"FAIL")</x:f>
        <x:v>PASS</x:v>
      </x:c>
      <x:c r="H342" t="str">
        <x:f>G342</x:f>
        <x:v>PASS</x:v>
      </x:c>
    </x:row>
    <x:row r="343">
      <x:c r="B343" t="str">
        <x:v>A-PL-337</x:v>
      </x:c>
      <x:c r="C343" t="str">
        <x:v>gate</x:v>
      </x:c>
      <x:c r="D343" t="str">
        <x:v>PL-SEV-066</x:v>
      </x:c>
      <x:c r="E343" s="23" t="str">
        <x:v>PASS</x:v>
      </x:c>
      <x:c r="F343" s="23" t="str">
        <x:f>'Release Gates'!I343</x:f>
        <x:v>PASS</x:v>
      </x:c>
      <x:c r="G343" t="str">
        <x:f>IF(ABS(IFERROR(E343-F343,0))&lt;0.0001,IF(OR(ISTEXT(E343),ISTEXT(F343)),IF(E343=F343,"PASS","FAIL"),"PASS"),"FAIL")</x:f>
        <x:v>PASS</x:v>
      </x:c>
      <x:c r="H343" t="str">
        <x:f>G343</x:f>
        <x:v>PASS</x:v>
      </x:c>
    </x:row>
    <x:row r="344">
      <x:c r="B344" t="str">
        <x:v>A-PL-338</x:v>
      </x:c>
      <x:c r="C344" t="str">
        <x:v>gate</x:v>
      </x:c>
      <x:c r="D344" t="str">
        <x:v>PL-SEV-067</x:v>
      </x:c>
      <x:c r="E344" s="23" t="str">
        <x:v>PASS</x:v>
      </x:c>
      <x:c r="F344" s="23" t="str">
        <x:f>'Release Gates'!I344</x:f>
        <x:v>PASS</x:v>
      </x:c>
      <x:c r="G344" t="str">
        <x:f>IF(ABS(IFERROR(E344-F344,0))&lt;0.0001,IF(OR(ISTEXT(E344),ISTEXT(F344)),IF(E344=F344,"PASS","FAIL"),"PASS"),"FAIL")</x:f>
        <x:v>PASS</x:v>
      </x:c>
      <x:c r="H344" t="str">
        <x:f>G344</x:f>
        <x:v>PASS</x:v>
      </x:c>
    </x:row>
    <x:row r="345">
      <x:c r="B345" t="str">
        <x:v>A-PL-339</x:v>
      </x:c>
      <x:c r="C345" t="str">
        <x:v>gate</x:v>
      </x:c>
      <x:c r="D345" t="str">
        <x:v>PL-SEV-068</x:v>
      </x:c>
      <x:c r="E345" s="23" t="str">
        <x:v>PASS</x:v>
      </x:c>
      <x:c r="F345" s="23" t="str">
        <x:f>'Release Gates'!I345</x:f>
        <x:v>PASS</x:v>
      </x:c>
      <x:c r="G345" t="str">
        <x:f>IF(ABS(IFERROR(E345-F345,0))&lt;0.0001,IF(OR(ISTEXT(E345),ISTEXT(F345)),IF(E345=F345,"PASS","FAIL"),"PASS"),"FAIL")</x:f>
        <x:v>PASS</x:v>
      </x:c>
      <x:c r="H345" t="str">
        <x:f>G345</x:f>
        <x:v>PASS</x:v>
      </x:c>
    </x:row>
    <x:row r="346">
      <x:c r="B346" t="str">
        <x:v>A-PL-340</x:v>
      </x:c>
      <x:c r="C346" t="str">
        <x:v>gate</x:v>
      </x:c>
      <x:c r="D346" t="str">
        <x:v>PL-SEV-069</x:v>
      </x:c>
      <x:c r="E346" s="23" t="str">
        <x:v>PASS</x:v>
      </x:c>
      <x:c r="F346" s="23" t="str">
        <x:f>'Release Gates'!I346</x:f>
        <x:v>PASS</x:v>
      </x:c>
      <x:c r="G346" t="str">
        <x:f>IF(ABS(IFERROR(E346-F346,0))&lt;0.0001,IF(OR(ISTEXT(E346),ISTEXT(F346)),IF(E346=F346,"PASS","FAIL"),"PASS"),"FAIL")</x:f>
        <x:v>PASS</x:v>
      </x:c>
      <x:c r="H346" t="str">
        <x:f>G346</x:f>
        <x:v>PASS</x:v>
      </x:c>
    </x:row>
    <x:row r="347">
      <x:c r="B347" t="str">
        <x:v>A-PL-341</x:v>
      </x:c>
      <x:c r="C347" t="str">
        <x:v>gate</x:v>
      </x:c>
      <x:c r="D347" t="str">
        <x:v>PL-SEV-070</x:v>
      </x:c>
      <x:c r="E347" s="23" t="str">
        <x:v>PASS</x:v>
      </x:c>
      <x:c r="F347" s="23" t="str">
        <x:f>'Release Gates'!I347</x:f>
        <x:v>PASS</x:v>
      </x:c>
      <x:c r="G347" t="str">
        <x:f>IF(ABS(IFERROR(E347-F347,0))&lt;0.0001,IF(OR(ISTEXT(E347),ISTEXT(F347)),IF(E347=F347,"PASS","FAIL"),"PASS"),"FAIL")</x:f>
        <x:v>PASS</x:v>
      </x:c>
      <x:c r="H347" t="str">
        <x:f>G347</x:f>
        <x:v>PASS</x:v>
      </x:c>
    </x:row>
    <x:row r="348">
      <x:c r="B348" t="str">
        <x:v>A-PL-342</x:v>
      </x:c>
      <x:c r="C348" t="str">
        <x:v>gate</x:v>
      </x:c>
      <x:c r="D348" t="str">
        <x:v>PL-SEV-071</x:v>
      </x:c>
      <x:c r="E348" s="23" t="str">
        <x:v>PASS</x:v>
      </x:c>
      <x:c r="F348" s="23" t="str">
        <x:f>'Release Gates'!I348</x:f>
        <x:v>PASS</x:v>
      </x:c>
      <x:c r="G348" t="str">
        <x:f>IF(ABS(IFERROR(E348-F348,0))&lt;0.0001,IF(OR(ISTEXT(E348),ISTEXT(F348)),IF(E348=F348,"PASS","FAIL"),"PASS"),"FAIL")</x:f>
        <x:v>PASS</x:v>
      </x:c>
      <x:c r="H348" t="str">
        <x:f>G348</x:f>
        <x:v>PASS</x:v>
      </x:c>
    </x:row>
    <x:row r="349">
      <x:c r="B349" t="str">
        <x:v>A-PL-343</x:v>
      </x:c>
      <x:c r="C349" t="str">
        <x:v>gate</x:v>
      </x:c>
      <x:c r="D349" t="str">
        <x:v>PL-SEV-072</x:v>
      </x:c>
      <x:c r="E349" s="23" t="str">
        <x:v>PASS</x:v>
      </x:c>
      <x:c r="F349" s="23" t="str">
        <x:f>'Release Gates'!I349</x:f>
        <x:v>PASS</x:v>
      </x:c>
      <x:c r="G349" t="str">
        <x:f>IF(ABS(IFERROR(E349-F349,0))&lt;0.0001,IF(OR(ISTEXT(E349),ISTEXT(F349)),IF(E349=F349,"PASS","FAIL"),"PASS"),"FAIL")</x:f>
        <x:v>PASS</x:v>
      </x:c>
      <x:c r="H349" t="str">
        <x:f>G349</x:f>
        <x:v>PASS</x:v>
      </x:c>
    </x:row>
    <x:row r="350">
      <x:c r="B350" t="str">
        <x:v>A-PL-344</x:v>
      </x:c>
      <x:c r="C350" t="str">
        <x:v>gate</x:v>
      </x:c>
      <x:c r="D350" t="str">
        <x:v>PL-SEV-073</x:v>
      </x:c>
      <x:c r="E350" s="23" t="str">
        <x:v>PASS</x:v>
      </x:c>
      <x:c r="F350" s="23" t="str">
        <x:f>'Release Gates'!I350</x:f>
        <x:v>PASS</x:v>
      </x:c>
      <x:c r="G350" t="str">
        <x:f>IF(ABS(IFERROR(E350-F350,0))&lt;0.0001,IF(OR(ISTEXT(E350),ISTEXT(F350)),IF(E350=F350,"PASS","FAIL"),"PASS"),"FAIL")</x:f>
        <x:v>PASS</x:v>
      </x:c>
      <x:c r="H350" t="str">
        <x:f>G350</x:f>
        <x:v>PASS</x:v>
      </x:c>
    </x:row>
    <x:row r="351">
      <x:c r="B351" t="str">
        <x:v>A-PL-345</x:v>
      </x:c>
      <x:c r="C351" t="str">
        <x:v>gate</x:v>
      </x:c>
      <x:c r="D351" t="str">
        <x:v>PL-SEV-074</x:v>
      </x:c>
      <x:c r="E351" s="23" t="str">
        <x:v>PASS</x:v>
      </x:c>
      <x:c r="F351" s="23" t="str">
        <x:f>'Release Gates'!I351</x:f>
        <x:v>PASS</x:v>
      </x:c>
      <x:c r="G351" t="str">
        <x:f>IF(ABS(IFERROR(E351-F351,0))&lt;0.0001,IF(OR(ISTEXT(E351),ISTEXT(F351)),IF(E351=F351,"PASS","FAIL"),"PASS"),"FAIL")</x:f>
        <x:v>PASS</x:v>
      </x:c>
      <x:c r="H351" t="str">
        <x:f>G351</x:f>
        <x:v>PASS</x:v>
      </x:c>
    </x:row>
    <x:row r="352">
      <x:c r="B352" t="str">
        <x:v>A-PL-346</x:v>
      </x:c>
      <x:c r="C352" t="str">
        <x:v>gate</x:v>
      </x:c>
      <x:c r="D352" t="str">
        <x:v>PL-SEV-075</x:v>
      </x:c>
      <x:c r="E352" s="23" t="str">
        <x:v>PASS</x:v>
      </x:c>
      <x:c r="F352" s="23" t="str">
        <x:f>'Release Gates'!I352</x:f>
        <x:v>PASS</x:v>
      </x:c>
      <x:c r="G352" t="str">
        <x:f>IF(ABS(IFERROR(E352-F352,0))&lt;0.0001,IF(OR(ISTEXT(E352),ISTEXT(F352)),IF(E352=F352,"PASS","FAIL"),"PASS"),"FAIL")</x:f>
        <x:v>PASS</x:v>
      </x:c>
      <x:c r="H352" t="str">
        <x:f>G352</x:f>
        <x:v>PASS</x:v>
      </x:c>
    </x:row>
    <x:row r="353">
      <x:c r="B353" t="str">
        <x:v>A-PL-347</x:v>
      </x:c>
      <x:c r="C353" t="str">
        <x:v>gate</x:v>
      </x:c>
      <x:c r="D353" t="str">
        <x:v>PL-SEV-076</x:v>
      </x:c>
      <x:c r="E353" s="23" t="str">
        <x:v>PASS</x:v>
      </x:c>
      <x:c r="F353" s="23" t="str">
        <x:f>'Release Gates'!I353</x:f>
        <x:v>PASS</x:v>
      </x:c>
      <x:c r="G353" t="str">
        <x:f>IF(ABS(IFERROR(E353-F353,0))&lt;0.0001,IF(OR(ISTEXT(E353),ISTEXT(F353)),IF(E353=F353,"PASS","FAIL"),"PASS"),"FAIL")</x:f>
        <x:v>PASS</x:v>
      </x:c>
      <x:c r="H353" t="str">
        <x:f>G353</x:f>
        <x:v>PASS</x:v>
      </x:c>
    </x:row>
    <x:row r="354">
      <x:c r="B354" t="str">
        <x:v>A-PL-348</x:v>
      </x:c>
      <x:c r="C354" t="str">
        <x:v>gate</x:v>
      </x:c>
      <x:c r="D354" t="str">
        <x:v>PL-SEV-077</x:v>
      </x:c>
      <x:c r="E354" s="23" t="str">
        <x:v>PASS</x:v>
      </x:c>
      <x:c r="F354" s="23" t="str">
        <x:f>'Release Gates'!I354</x:f>
        <x:v>PASS</x:v>
      </x:c>
      <x:c r="G354" t="str">
        <x:f>IF(ABS(IFERROR(E354-F354,0))&lt;0.0001,IF(OR(ISTEXT(E354),ISTEXT(F354)),IF(E354=F354,"PASS","FAIL"),"PASS"),"FAIL")</x:f>
        <x:v>PASS</x:v>
      </x:c>
      <x:c r="H354" t="str">
        <x:f>G354</x:f>
        <x:v>PASS</x:v>
      </x:c>
    </x:row>
    <x:row r="355">
      <x:c r="B355" t="str">
        <x:v>A-PL-349</x:v>
      </x:c>
      <x:c r="C355" t="str">
        <x:v>gate</x:v>
      </x:c>
      <x:c r="D355" t="str">
        <x:v>PL-SEV-078</x:v>
      </x:c>
      <x:c r="E355" s="23" t="str">
        <x:v>PASS</x:v>
      </x:c>
      <x:c r="F355" s="23" t="str">
        <x:f>'Release Gates'!I355</x:f>
        <x:v>PASS</x:v>
      </x:c>
      <x:c r="G355" t="str">
        <x:f>IF(ABS(IFERROR(E355-F355,0))&lt;0.0001,IF(OR(ISTEXT(E355),ISTEXT(F355)),IF(E355=F355,"PASS","FAIL"),"PASS"),"FAIL")</x:f>
        <x:v>PASS</x:v>
      </x:c>
      <x:c r="H355" t="str">
        <x:f>G355</x:f>
        <x:v>PASS</x:v>
      </x:c>
    </x:row>
    <x:row r="356">
      <x:c r="B356" t="str">
        <x:v>A-PL-350</x:v>
      </x:c>
      <x:c r="C356" t="str">
        <x:v>gate</x:v>
      </x:c>
      <x:c r="D356" t="str">
        <x:v>PL-SEV-079</x:v>
      </x:c>
      <x:c r="E356" s="23" t="str">
        <x:v>PASS</x:v>
      </x:c>
      <x:c r="F356" s="23" t="str">
        <x:f>'Release Gates'!I356</x:f>
        <x:v>PASS</x:v>
      </x:c>
      <x:c r="G356" t="str">
        <x:f>IF(ABS(IFERROR(E356-F356,0))&lt;0.0001,IF(OR(ISTEXT(E356),ISTEXT(F356)),IF(E356=F356,"PASS","FAIL"),"PASS"),"FAIL")</x:f>
        <x:v>PASS</x:v>
      </x:c>
      <x:c r="H356" t="str">
        <x:f>G356</x:f>
        <x:v>PASS</x:v>
      </x:c>
    </x:row>
    <x:row r="357">
      <x:c r="B357" t="str">
        <x:v>A-PL-351</x:v>
      </x:c>
      <x:c r="C357" t="str">
        <x:v>gate</x:v>
      </x:c>
      <x:c r="D357" t="str">
        <x:v>PL-SEV-080</x:v>
      </x:c>
      <x:c r="E357" s="23" t="str">
        <x:v>PASS</x:v>
      </x:c>
      <x:c r="F357" s="23" t="str">
        <x:f>'Release Gates'!I357</x:f>
        <x:v>PASS</x:v>
      </x:c>
      <x:c r="G357" t="str">
        <x:f>IF(ABS(IFERROR(E357-F357,0))&lt;0.0001,IF(OR(ISTEXT(E357),ISTEXT(F357)),IF(E357=F357,"PASS","FAIL"),"PASS"),"FAIL")</x:f>
        <x:v>PASS</x:v>
      </x:c>
      <x:c r="H357" t="str">
        <x:f>G357</x:f>
        <x:v>PASS</x:v>
      </x:c>
    </x:row>
    <x:row r="358">
      <x:c r="B358" t="str">
        <x:v>A-PL-352</x:v>
      </x:c>
      <x:c r="C358" t="str">
        <x:v>gate</x:v>
      </x:c>
      <x:c r="D358" t="str">
        <x:v>PL-SEV-081</x:v>
      </x:c>
      <x:c r="E358" s="23" t="str">
        <x:v>PASS</x:v>
      </x:c>
      <x:c r="F358" s="23" t="str">
        <x:f>'Release Gates'!I358</x:f>
        <x:v>PASS</x:v>
      </x:c>
      <x:c r="G358" t="str">
        <x:f>IF(ABS(IFERROR(E358-F358,0))&lt;0.0001,IF(OR(ISTEXT(E358),ISTEXT(F358)),IF(E358=F358,"PASS","FAIL"),"PASS"),"FAIL")</x:f>
        <x:v>PASS</x:v>
      </x:c>
      <x:c r="H358" t="str">
        <x:f>G358</x:f>
        <x:v>PASS</x:v>
      </x:c>
    </x:row>
    <x:row r="359">
      <x:c r="B359" t="str">
        <x:v>A-PL-353</x:v>
      </x:c>
      <x:c r="C359" t="str">
        <x:v>gate</x:v>
      </x:c>
      <x:c r="D359" t="str">
        <x:v>PL-SEV-082</x:v>
      </x:c>
      <x:c r="E359" s="23" t="str">
        <x:v>PASS</x:v>
      </x:c>
      <x:c r="F359" s="23" t="str">
        <x:f>'Release Gates'!I359</x:f>
        <x:v>PASS</x:v>
      </x:c>
      <x:c r="G359" t="str">
        <x:f>IF(ABS(IFERROR(E359-F359,0))&lt;0.0001,IF(OR(ISTEXT(E359),ISTEXT(F359)),IF(E359=F359,"PASS","FAIL"),"PASS"),"FAIL")</x:f>
        <x:v>PASS</x:v>
      </x:c>
      <x:c r="H359" t="str">
        <x:f>G359</x:f>
        <x:v>PASS</x:v>
      </x:c>
    </x:row>
    <x:row r="360">
      <x:c r="B360" t="str">
        <x:v>A-PL-354</x:v>
      </x:c>
      <x:c r="C360" t="str">
        <x:v>gate</x:v>
      </x:c>
      <x:c r="D360" t="str">
        <x:v>PL-SEV-083</x:v>
      </x:c>
      <x:c r="E360" s="23" t="str">
        <x:v>PASS</x:v>
      </x:c>
      <x:c r="F360" s="23" t="str">
        <x:f>'Release Gates'!I360</x:f>
        <x:v>PASS</x:v>
      </x:c>
      <x:c r="G360" t="str">
        <x:f>IF(ABS(IFERROR(E360-F360,0))&lt;0.0001,IF(OR(ISTEXT(E360),ISTEXT(F360)),IF(E360=F360,"PASS","FAIL"),"PASS"),"FAIL")</x:f>
        <x:v>PASS</x:v>
      </x:c>
      <x:c r="H360" t="str">
        <x:f>G360</x:f>
        <x:v>PASS</x:v>
      </x:c>
    </x:row>
    <x:row r="361">
      <x:c r="B361" t="str">
        <x:v>A-PL-355</x:v>
      </x:c>
      <x:c r="C361" t="str">
        <x:v>gate</x:v>
      </x:c>
      <x:c r="D361" t="str">
        <x:v>PL-SEV-084</x:v>
      </x:c>
      <x:c r="E361" s="23" t="str">
        <x:v>PASS</x:v>
      </x:c>
      <x:c r="F361" s="23" t="str">
        <x:f>'Release Gates'!I361</x:f>
        <x:v>PASS</x:v>
      </x:c>
      <x:c r="G361" t="str">
        <x:f>IF(ABS(IFERROR(E361-F361,0))&lt;0.0001,IF(OR(ISTEXT(E361),ISTEXT(F361)),IF(E361=F361,"PASS","FAIL"),"PASS"),"FAIL")</x:f>
        <x:v>PASS</x:v>
      </x:c>
      <x:c r="H361" t="str">
        <x:f>G361</x:f>
        <x:v>PASS</x:v>
      </x:c>
    </x:row>
    <x:row r="362">
      <x:c r="B362" t="str">
        <x:v>A-PL-356</x:v>
      </x:c>
      <x:c r="C362" t="str">
        <x:v>gate</x:v>
      </x:c>
      <x:c r="D362" t="str">
        <x:v>PL-SEV-085</x:v>
      </x:c>
      <x:c r="E362" s="23" t="str">
        <x:v>PASS</x:v>
      </x:c>
      <x:c r="F362" s="23" t="str">
        <x:f>'Release Gates'!I362</x:f>
        <x:v>PASS</x:v>
      </x:c>
      <x:c r="G362" t="str">
        <x:f>IF(ABS(IFERROR(E362-F362,0))&lt;0.0001,IF(OR(ISTEXT(E362),ISTEXT(F362)),IF(E362=F362,"PASS","FAIL"),"PASS"),"FAIL")</x:f>
        <x:v>PASS</x:v>
      </x:c>
      <x:c r="H362" t="str">
        <x:f>G362</x:f>
        <x:v>PASS</x:v>
      </x:c>
    </x:row>
    <x:row r="363">
      <x:c r="B363" t="str">
        <x:v>A-PL-357</x:v>
      </x:c>
      <x:c r="C363" t="str">
        <x:v>gate</x:v>
      </x:c>
      <x:c r="D363" t="str">
        <x:v>PL-SEV-086</x:v>
      </x:c>
      <x:c r="E363" s="23" t="str">
        <x:v>PASS</x:v>
      </x:c>
      <x:c r="F363" s="23" t="str">
        <x:f>'Release Gates'!I363</x:f>
        <x:v>PASS</x:v>
      </x:c>
      <x:c r="G363" t="str">
        <x:f>IF(ABS(IFERROR(E363-F363,0))&lt;0.0001,IF(OR(ISTEXT(E363),ISTEXT(F363)),IF(E363=F363,"PASS","FAIL"),"PASS"),"FAIL")</x:f>
        <x:v>PASS</x:v>
      </x:c>
      <x:c r="H363" t="str">
        <x:f>G363</x:f>
        <x:v>PASS</x:v>
      </x:c>
    </x:row>
    <x:row r="364">
      <x:c r="B364" t="str">
        <x:v>A-PL-358</x:v>
      </x:c>
      <x:c r="C364" t="str">
        <x:v>gate</x:v>
      </x:c>
      <x:c r="D364" t="str">
        <x:v>PL-SEV-087</x:v>
      </x:c>
      <x:c r="E364" s="23" t="str">
        <x:v>PASS</x:v>
      </x:c>
      <x:c r="F364" s="23" t="str">
        <x:f>'Release Gates'!I364</x:f>
        <x:v>PASS</x:v>
      </x:c>
      <x:c r="G364" t="str">
        <x:f>IF(ABS(IFERROR(E364-F364,0))&lt;0.0001,IF(OR(ISTEXT(E364),ISTEXT(F364)),IF(E364=F364,"PASS","FAIL"),"PASS"),"FAIL")</x:f>
        <x:v>PASS</x:v>
      </x:c>
      <x:c r="H364" t="str">
        <x:f>G364</x:f>
        <x:v>PASS</x:v>
      </x:c>
    </x:row>
    <x:row r="365">
      <x:c r="B365" t="str">
        <x:v>A-PL-359</x:v>
      </x:c>
      <x:c r="C365" t="str">
        <x:v>gate</x:v>
      </x:c>
      <x:c r="D365" t="str">
        <x:v>PL-SEV-088</x:v>
      </x:c>
      <x:c r="E365" s="23" t="str">
        <x:v>PASS</x:v>
      </x:c>
      <x:c r="F365" s="23" t="str">
        <x:f>'Release Gates'!I365</x:f>
        <x:v>PASS</x:v>
      </x:c>
      <x:c r="G365" t="str">
        <x:f>IF(ABS(IFERROR(E365-F365,0))&lt;0.0001,IF(OR(ISTEXT(E365),ISTEXT(F365)),IF(E365=F365,"PASS","FAIL"),"PASS"),"FAIL")</x:f>
        <x:v>PASS</x:v>
      </x:c>
      <x:c r="H365" t="str">
        <x:f>G365</x:f>
        <x:v>PASS</x:v>
      </x:c>
    </x:row>
    <x:row r="366">
      <x:c r="B366" t="str">
        <x:v>A-PL-360</x:v>
      </x:c>
      <x:c r="C366" t="str">
        <x:v>gate</x:v>
      </x:c>
      <x:c r="D366" t="str">
        <x:v>PL-SEV-089</x:v>
      </x:c>
      <x:c r="E366" s="23" t="str">
        <x:v>PASS</x:v>
      </x:c>
      <x:c r="F366" s="23" t="str">
        <x:f>'Release Gates'!I366</x:f>
        <x:v>PASS</x:v>
      </x:c>
      <x:c r="G366" t="str">
        <x:f>IF(ABS(IFERROR(E366-F366,0))&lt;0.0001,IF(OR(ISTEXT(E366),ISTEXT(F366)),IF(E366=F366,"PASS","FAIL"),"PASS"),"FAIL")</x:f>
        <x:v>PASS</x:v>
      </x:c>
      <x:c r="H366" t="str">
        <x:f>G366</x:f>
        <x:v>PASS</x:v>
      </x:c>
    </x:row>
    <x:row r="367">
      <x:c r="B367" t="str">
        <x:v>A-PL-361</x:v>
      </x:c>
      <x:c r="C367" t="str">
        <x:v>gate</x:v>
      </x:c>
      <x:c r="D367" t="str">
        <x:v>PL-SEV-090</x:v>
      </x:c>
      <x:c r="E367" s="23" t="str">
        <x:v>PASS</x:v>
      </x:c>
      <x:c r="F367" s="23" t="str">
        <x:f>'Release Gates'!I367</x:f>
        <x:v>PASS</x:v>
      </x:c>
      <x:c r="G367" t="str">
        <x:f>IF(ABS(IFERROR(E367-F367,0))&lt;0.0001,IF(OR(ISTEXT(E367),ISTEXT(F367)),IF(E367=F367,"PASS","FAIL"),"PASS"),"FAIL")</x:f>
        <x:v>PASS</x:v>
      </x:c>
      <x:c r="H367" t="str">
        <x:f>G367</x:f>
        <x:v>PASS</x:v>
      </x:c>
    </x:row>
    <x:row r="368">
      <x:c r="B368" t="str">
        <x:v>A-PL-362</x:v>
      </x:c>
      <x:c r="C368" t="str">
        <x:v>gate</x:v>
      </x:c>
      <x:c r="D368" t="str">
        <x:v>PL-SEV-091</x:v>
      </x:c>
      <x:c r="E368" s="23" t="str">
        <x:v>PASS</x:v>
      </x:c>
      <x:c r="F368" s="23" t="str">
        <x:f>'Release Gates'!I368</x:f>
        <x:v>PASS</x:v>
      </x:c>
      <x:c r="G368" t="str">
        <x:f>IF(ABS(IFERROR(E368-F368,0))&lt;0.0001,IF(OR(ISTEXT(E368),ISTEXT(F368)),IF(E368=F368,"PASS","FAIL"),"PASS"),"FAIL")</x:f>
        <x:v>PASS</x:v>
      </x:c>
      <x:c r="H368" t="str">
        <x:f>G368</x:f>
        <x:v>PASS</x:v>
      </x:c>
    </x:row>
    <x:row r="369">
      <x:c r="B369" t="str">
        <x:v>A-PL-363</x:v>
      </x:c>
      <x:c r="C369" t="str">
        <x:v>gate</x:v>
      </x:c>
      <x:c r="D369" t="str">
        <x:v>PL-SEV-092</x:v>
      </x:c>
      <x:c r="E369" s="23" t="str">
        <x:v>PASS</x:v>
      </x:c>
      <x:c r="F369" s="23" t="str">
        <x:f>'Release Gates'!I369</x:f>
        <x:v>PASS</x:v>
      </x:c>
      <x:c r="G369" t="str">
        <x:f>IF(ABS(IFERROR(E369-F369,0))&lt;0.0001,IF(OR(ISTEXT(E369),ISTEXT(F369)),IF(E369=F369,"PASS","FAIL"),"PASS"),"FAIL")</x:f>
        <x:v>PASS</x:v>
      </x:c>
      <x:c r="H369" t="str">
        <x:f>G369</x:f>
        <x:v>PASS</x:v>
      </x:c>
    </x:row>
    <x:row r="370">
      <x:c r="B370" t="str">
        <x:v>A-PL-364</x:v>
      </x:c>
      <x:c r="C370" t="str">
        <x:v>gate</x:v>
      </x:c>
      <x:c r="D370" t="str">
        <x:v>PL-SEV-093</x:v>
      </x:c>
      <x:c r="E370" s="23" t="str">
        <x:v>PASS</x:v>
      </x:c>
      <x:c r="F370" s="23" t="str">
        <x:f>'Release Gates'!I370</x:f>
        <x:v>PASS</x:v>
      </x:c>
      <x:c r="G370" t="str">
        <x:f>IF(ABS(IFERROR(E370-F370,0))&lt;0.0001,IF(OR(ISTEXT(E370),ISTEXT(F370)),IF(E370=F370,"PASS","FAIL"),"PASS"),"FAIL")</x:f>
        <x:v>PASS</x:v>
      </x:c>
      <x:c r="H370" t="str">
        <x:f>G370</x:f>
        <x:v>PASS</x:v>
      </x:c>
    </x:row>
    <x:row r="371">
      <x:c r="B371" t="str">
        <x:v>A-PL-365</x:v>
      </x:c>
      <x:c r="C371" t="str">
        <x:v>gate</x:v>
      </x:c>
      <x:c r="D371" t="str">
        <x:v>PL-SEV-094</x:v>
      </x:c>
      <x:c r="E371" s="23" t="str">
        <x:v>PASS</x:v>
      </x:c>
      <x:c r="F371" s="23" t="str">
        <x:f>'Release Gates'!I371</x:f>
        <x:v>PASS</x:v>
      </x:c>
      <x:c r="G371" t="str">
        <x:f>IF(ABS(IFERROR(E371-F371,0))&lt;0.0001,IF(OR(ISTEXT(E371),ISTEXT(F371)),IF(E371=F371,"PASS","FAIL"),"PASS"),"FAIL")</x:f>
        <x:v>PASS</x:v>
      </x:c>
      <x:c r="H371" t="str">
        <x:f>G371</x:f>
        <x:v>PASS</x:v>
      </x:c>
    </x:row>
    <x:row r="372">
      <x:c r="B372" t="str">
        <x:v>A-PL-366</x:v>
      </x:c>
      <x:c r="C372" t="str">
        <x:v>gate</x:v>
      </x:c>
      <x:c r="D372" t="str">
        <x:v>PL-SEV-095</x:v>
      </x:c>
      <x:c r="E372" s="23" t="str">
        <x:v>PASS</x:v>
      </x:c>
      <x:c r="F372" s="23" t="str">
        <x:f>'Release Gates'!I372</x:f>
        <x:v>PASS</x:v>
      </x:c>
      <x:c r="G372" t="str">
        <x:f>IF(ABS(IFERROR(E372-F372,0))&lt;0.0001,IF(OR(ISTEXT(E372),ISTEXT(F372)),IF(E372=F372,"PASS","FAIL"),"PASS"),"FAIL")</x:f>
        <x:v>PASS</x:v>
      </x:c>
      <x:c r="H372" t="str">
        <x:f>G372</x:f>
        <x:v>PASS</x:v>
      </x:c>
    </x:row>
    <x:row r="373">
      <x:c r="B373" t="str">
        <x:v>A-PL-367</x:v>
      </x:c>
      <x:c r="C373" t="str">
        <x:v>gate</x:v>
      </x:c>
      <x:c r="D373" t="str">
        <x:v>PL-SEV-096</x:v>
      </x:c>
      <x:c r="E373" s="23" t="str">
        <x:v>PASS</x:v>
      </x:c>
      <x:c r="F373" s="23" t="str">
        <x:f>'Release Gates'!I373</x:f>
        <x:v>PASS</x:v>
      </x:c>
      <x:c r="G373" t="str">
        <x:f>IF(ABS(IFERROR(E373-F373,0))&lt;0.0001,IF(OR(ISTEXT(E373),ISTEXT(F373)),IF(E373=F373,"PASS","FAIL"),"PASS"),"FAIL")</x:f>
        <x:v>PASS</x:v>
      </x:c>
      <x:c r="H373" t="str">
        <x:f>G373</x:f>
        <x:v>PASS</x:v>
      </x:c>
    </x:row>
    <x:row r="374">
      <x:c r="B374" t="str">
        <x:v>A-PL-368</x:v>
      </x:c>
      <x:c r="C374" t="str">
        <x:v>gate</x:v>
      </x:c>
      <x:c r="D374" t="str">
        <x:v>PL-SEV-097</x:v>
      </x:c>
      <x:c r="E374" s="23" t="str">
        <x:v>PASS</x:v>
      </x:c>
      <x:c r="F374" s="23" t="str">
        <x:f>'Release Gates'!I374</x:f>
        <x:v>PASS</x:v>
      </x:c>
      <x:c r="G374" t="str">
        <x:f>IF(ABS(IFERROR(E374-F374,0))&lt;0.0001,IF(OR(ISTEXT(E374),ISTEXT(F374)),IF(E374=F374,"PASS","FAIL"),"PASS"),"FAIL")</x:f>
        <x:v>PASS</x:v>
      </x:c>
      <x:c r="H374" t="str">
        <x:f>G374</x:f>
        <x:v>PASS</x:v>
      </x:c>
    </x:row>
    <x:row r="375">
      <x:c r="B375" t="str">
        <x:v>A-PL-369</x:v>
      </x:c>
      <x:c r="C375" t="str">
        <x:v>gate</x:v>
      </x:c>
      <x:c r="D375" t="str">
        <x:v>PL-SEV-098</x:v>
      </x:c>
      <x:c r="E375" s="23" t="str">
        <x:v>PASS</x:v>
      </x:c>
      <x:c r="F375" s="23" t="str">
        <x:f>'Release Gates'!I375</x:f>
        <x:v>PASS</x:v>
      </x:c>
      <x:c r="G375" t="str">
        <x:f>IF(ABS(IFERROR(E375-F375,0))&lt;0.0001,IF(OR(ISTEXT(E375),ISTEXT(F375)),IF(E375=F375,"PASS","FAIL"),"PASS"),"FAIL")</x:f>
        <x:v>PASS</x:v>
      </x:c>
      <x:c r="H375" t="str">
        <x:f>G375</x:f>
        <x:v>PASS</x:v>
      </x:c>
    </x:row>
    <x:row r="376">
      <x:c r="B376" t="str">
        <x:v>A-PL-370</x:v>
      </x:c>
      <x:c r="C376" t="str">
        <x:v>gate</x:v>
      </x:c>
      <x:c r="D376" t="str">
        <x:v>PL-SEV-099</x:v>
      </x:c>
      <x:c r="E376" s="23" t="str">
        <x:v>PASS</x:v>
      </x:c>
      <x:c r="F376" s="23" t="str">
        <x:f>'Release Gates'!I376</x:f>
        <x:v>PASS</x:v>
      </x:c>
      <x:c r="G376" t="str">
        <x:f>IF(ABS(IFERROR(E376-F376,0))&lt;0.0001,IF(OR(ISTEXT(E376),ISTEXT(F376)),IF(E376=F376,"PASS","FAIL"),"PASS"),"FAIL")</x:f>
        <x:v>PASS</x:v>
      </x:c>
      <x:c r="H376" t="str">
        <x:f>G376</x:f>
        <x:v>PASS</x:v>
      </x:c>
    </x:row>
    <x:row r="377">
      <x:c r="B377" t="str">
        <x:v>A-PL-371</x:v>
      </x:c>
      <x:c r="C377" t="str">
        <x:v>gate</x:v>
      </x:c>
      <x:c r="D377" t="str">
        <x:v>PL-SEV-100</x:v>
      </x:c>
      <x:c r="E377" s="23" t="str">
        <x:v>PASS</x:v>
      </x:c>
      <x:c r="F377" s="23" t="str">
        <x:f>'Release Gates'!I377</x:f>
        <x:v>PASS</x:v>
      </x:c>
      <x:c r="G377" t="str">
        <x:f>IF(ABS(IFERROR(E377-F377,0))&lt;0.0001,IF(OR(ISTEXT(E377),ISTEXT(F377)),IF(E377=F377,"PASS","FAIL"),"PASS"),"FAIL")</x:f>
        <x:v>PASS</x:v>
      </x:c>
      <x:c r="H377" t="str">
        <x:f>G377</x:f>
        <x:v>PASS</x:v>
      </x:c>
    </x:row>
    <x:row r="378">
      <x:c r="B378" t="str">
        <x:v>A-PL-372</x:v>
      </x:c>
      <x:c r="C378" t="str">
        <x:v>gate</x:v>
      </x:c>
      <x:c r="D378" t="str">
        <x:v>PL-SEV-101</x:v>
      </x:c>
      <x:c r="E378" s="23" t="str">
        <x:v>PASS</x:v>
      </x:c>
      <x:c r="F378" s="23" t="str">
        <x:f>'Release Gates'!I378</x:f>
        <x:v>PASS</x:v>
      </x:c>
      <x:c r="G378" t="str">
        <x:f>IF(ABS(IFERROR(E378-F378,0))&lt;0.0001,IF(OR(ISTEXT(E378),ISTEXT(F378)),IF(E378=F378,"PASS","FAIL"),"PASS"),"FAIL")</x:f>
        <x:v>PASS</x:v>
      </x:c>
      <x:c r="H378" t="str">
        <x:f>G378</x:f>
        <x:v>PASS</x:v>
      </x:c>
    </x:row>
    <x:row r="379">
      <x:c r="B379" t="str">
        <x:v>A-PL-373</x:v>
      </x:c>
      <x:c r="C379" t="str">
        <x:v>gate</x:v>
      </x:c>
      <x:c r="D379" t="str">
        <x:v>PL-SEV-102</x:v>
      </x:c>
      <x:c r="E379" s="23" t="str">
        <x:v>PASS</x:v>
      </x:c>
      <x:c r="F379" s="23" t="str">
        <x:f>'Release Gates'!I379</x:f>
        <x:v>PASS</x:v>
      </x:c>
      <x:c r="G379" t="str">
        <x:f>IF(ABS(IFERROR(E379-F379,0))&lt;0.0001,IF(OR(ISTEXT(E379),ISTEXT(F379)),IF(E379=F379,"PASS","FAIL"),"PASS"),"FAIL")</x:f>
        <x:v>PASS</x:v>
      </x:c>
      <x:c r="H379" t="str">
        <x:f>G379</x:f>
        <x:v>PASS</x:v>
      </x:c>
    </x:row>
    <x:row r="380">
      <x:c r="B380" t="str">
        <x:v>A-PL-374</x:v>
      </x:c>
      <x:c r="C380" t="str">
        <x:v>gate</x:v>
      </x:c>
      <x:c r="D380" t="str">
        <x:v>PL-SEV-103</x:v>
      </x:c>
      <x:c r="E380" s="23" t="str">
        <x:v>PASS</x:v>
      </x:c>
      <x:c r="F380" s="23" t="str">
        <x:f>'Release Gates'!I380</x:f>
        <x:v>PASS</x:v>
      </x:c>
      <x:c r="G380" t="str">
        <x:f>IF(ABS(IFERROR(E380-F380,0))&lt;0.0001,IF(OR(ISTEXT(E380),ISTEXT(F380)),IF(E380=F380,"PASS","FAIL"),"PASS"),"FAIL")</x:f>
        <x:v>PASS</x:v>
      </x:c>
      <x:c r="H380" t="str">
        <x:f>G380</x:f>
        <x:v>PASS</x:v>
      </x:c>
    </x:row>
    <x:row r="381">
      <x:c r="B381" t="str">
        <x:v>A-PL-375</x:v>
      </x:c>
      <x:c r="C381" t="str">
        <x:v>gate</x:v>
      </x:c>
      <x:c r="D381" t="str">
        <x:v>PL-SEV-104</x:v>
      </x:c>
      <x:c r="E381" s="23" t="str">
        <x:v>PASS</x:v>
      </x:c>
      <x:c r="F381" s="23" t="str">
        <x:f>'Release Gates'!I381</x:f>
        <x:v>PASS</x:v>
      </x:c>
      <x:c r="G381" t="str">
        <x:f>IF(ABS(IFERROR(E381-F381,0))&lt;0.0001,IF(OR(ISTEXT(E381),ISTEXT(F381)),IF(E381=F381,"PASS","FAIL"),"PASS"),"FAIL")</x:f>
        <x:v>PASS</x:v>
      </x:c>
      <x:c r="H381" t="str">
        <x:f>G381</x:f>
        <x:v>PASS</x:v>
      </x:c>
    </x:row>
    <x:row r="382">
      <x:c r="B382" t="str">
        <x:v>A-PL-376</x:v>
      </x:c>
      <x:c r="C382" t="str">
        <x:v>gate</x:v>
      </x:c>
      <x:c r="D382" t="str">
        <x:v>PL-SEV-105</x:v>
      </x:c>
      <x:c r="E382" s="23" t="str">
        <x:v>PASS</x:v>
      </x:c>
      <x:c r="F382" s="23" t="str">
        <x:f>'Release Gates'!I382</x:f>
        <x:v>PASS</x:v>
      </x:c>
      <x:c r="G382" t="str">
        <x:f>IF(ABS(IFERROR(E382-F382,0))&lt;0.0001,IF(OR(ISTEXT(E382),ISTEXT(F382)),IF(E382=F382,"PASS","FAIL"),"PASS"),"FAIL")</x:f>
        <x:v>PASS</x:v>
      </x:c>
      <x:c r="H382" t="str">
        <x:f>G382</x:f>
        <x:v>PASS</x:v>
      </x:c>
    </x:row>
    <x:row r="383">
      <x:c r="B383" t="str">
        <x:v>A-PL-377</x:v>
      </x:c>
      <x:c r="C383" t="str">
        <x:v>gate</x:v>
      </x:c>
      <x:c r="D383" t="str">
        <x:v>PL-SEV-106</x:v>
      </x:c>
      <x:c r="E383" s="23" t="str">
        <x:v>PASS</x:v>
      </x:c>
      <x:c r="F383" s="23" t="str">
        <x:f>'Release Gates'!I383</x:f>
        <x:v>PASS</x:v>
      </x:c>
      <x:c r="G383" t="str">
        <x:f>IF(ABS(IFERROR(E383-F383,0))&lt;0.0001,IF(OR(ISTEXT(E383),ISTEXT(F383)),IF(E383=F383,"PASS","FAIL"),"PASS"),"FAIL")</x:f>
        <x:v>PASS</x:v>
      </x:c>
      <x:c r="H383" t="str">
        <x:f>G383</x:f>
        <x:v>PASS</x:v>
      </x:c>
    </x:row>
    <x:row r="384">
      <x:c r="B384" t="str">
        <x:v>A-PL-378</x:v>
      </x:c>
      <x:c r="C384" t="str">
        <x:v>gate</x:v>
      </x:c>
      <x:c r="D384" t="str">
        <x:v>PL-SEV-107</x:v>
      </x:c>
      <x:c r="E384" s="23" t="str">
        <x:v>PASS</x:v>
      </x:c>
      <x:c r="F384" s="23" t="str">
        <x:f>'Release Gates'!I384</x:f>
        <x:v>PASS</x:v>
      </x:c>
      <x:c r="G384" t="str">
        <x:f>IF(ABS(IFERROR(E384-F384,0))&lt;0.0001,IF(OR(ISTEXT(E384),ISTEXT(F384)),IF(E384=F384,"PASS","FAIL"),"PASS"),"FAIL")</x:f>
        <x:v>PASS</x:v>
      </x:c>
      <x:c r="H384" t="str">
        <x:f>G384</x:f>
        <x:v>PASS</x:v>
      </x:c>
    </x:row>
    <x:row r="385">
      <x:c r="B385" t="str">
        <x:v>A-PL-379</x:v>
      </x:c>
      <x:c r="C385" t="str">
        <x:v>gate</x:v>
      </x:c>
      <x:c r="D385" t="str">
        <x:v>PL-SEV-108</x:v>
      </x:c>
      <x:c r="E385" s="23" t="str">
        <x:v>PASS</x:v>
      </x:c>
      <x:c r="F385" s="23" t="str">
        <x:f>'Release Gates'!I385</x:f>
        <x:v>PASS</x:v>
      </x:c>
      <x:c r="G385" t="str">
        <x:f>IF(ABS(IFERROR(E385-F385,0))&lt;0.0001,IF(OR(ISTEXT(E385),ISTEXT(F385)),IF(E385=F385,"PASS","FAIL"),"PASS"),"FAIL")</x:f>
        <x:v>PASS</x:v>
      </x:c>
      <x:c r="H385" t="str">
        <x:f>G385</x:f>
        <x:v>PASS</x:v>
      </x:c>
    </x:row>
    <x:row r="386">
      <x:c r="B386" t="str">
        <x:v>A-PL-380</x:v>
      </x:c>
      <x:c r="C386" t="str">
        <x:v>gate</x:v>
      </x:c>
      <x:c r="D386" t="str">
        <x:v>PL-SEV-109</x:v>
      </x:c>
      <x:c r="E386" s="23" t="str">
        <x:v>PASS</x:v>
      </x:c>
      <x:c r="F386" s="23" t="str">
        <x:f>'Release Gates'!I386</x:f>
        <x:v>PASS</x:v>
      </x:c>
      <x:c r="G386" t="str">
        <x:f>IF(ABS(IFERROR(E386-F386,0))&lt;0.0001,IF(OR(ISTEXT(E386),ISTEXT(F386)),IF(E386=F386,"PASS","FAIL"),"PASS"),"FAIL")</x:f>
        <x:v>PASS</x:v>
      </x:c>
      <x:c r="H386" t="str">
        <x:f>G386</x:f>
        <x:v>PASS</x:v>
      </x:c>
    </x:row>
    <x:row r="387">
      <x:c r="B387" t="str">
        <x:v>A-PL-381</x:v>
      </x:c>
      <x:c r="C387" t="str">
        <x:v>gate</x:v>
      </x:c>
      <x:c r="D387" t="str">
        <x:v>PL-SEV-110</x:v>
      </x:c>
      <x:c r="E387" s="23" t="str">
        <x:v>PASS</x:v>
      </x:c>
      <x:c r="F387" s="23" t="str">
        <x:f>'Release Gates'!I387</x:f>
        <x:v>PASS</x:v>
      </x:c>
      <x:c r="G387" t="str">
        <x:f>IF(ABS(IFERROR(E387-F387,0))&lt;0.0001,IF(OR(ISTEXT(E387),ISTEXT(F387)),IF(E387=F387,"PASS","FAIL"),"PASS"),"FAIL")</x:f>
        <x:v>PASS</x:v>
      </x:c>
      <x:c r="H387" t="str">
        <x:f>G387</x:f>
        <x:v>PASS</x:v>
      </x:c>
    </x:row>
    <x:row r="388">
      <x:c r="B388" t="str">
        <x:v>A-PL-382</x:v>
      </x:c>
      <x:c r="C388" t="str">
        <x:v>gate</x:v>
      </x:c>
      <x:c r="D388" t="str">
        <x:v>PL-SEV-111</x:v>
      </x:c>
      <x:c r="E388" s="23" t="str">
        <x:v>PASS</x:v>
      </x:c>
      <x:c r="F388" s="23" t="str">
        <x:f>'Release Gates'!I388</x:f>
        <x:v>PASS</x:v>
      </x:c>
      <x:c r="G388" t="str">
        <x:f>IF(ABS(IFERROR(E388-F388,0))&lt;0.0001,IF(OR(ISTEXT(E388),ISTEXT(F388)),IF(E388=F388,"PASS","FAIL"),"PASS"),"FAIL")</x:f>
        <x:v>PASS</x:v>
      </x:c>
      <x:c r="H388" t="str">
        <x:f>G388</x:f>
        <x:v>PASS</x:v>
      </x:c>
    </x:row>
    <x:row r="389">
      <x:c r="B389" t="str">
        <x:v>A-PL-383</x:v>
      </x:c>
      <x:c r="C389" t="str">
        <x:v>gate</x:v>
      </x:c>
      <x:c r="D389" t="str">
        <x:v>PL-SEV-112</x:v>
      </x:c>
      <x:c r="E389" s="23" t="str">
        <x:v>PASS</x:v>
      </x:c>
      <x:c r="F389" s="23" t="str">
        <x:f>'Release Gates'!I389</x:f>
        <x:v>PASS</x:v>
      </x:c>
      <x:c r="G389" t="str">
        <x:f>IF(ABS(IFERROR(E389-F389,0))&lt;0.0001,IF(OR(ISTEXT(E389),ISTEXT(F389)),IF(E389=F389,"PASS","FAIL"),"PASS"),"FAIL")</x:f>
        <x:v>PASS</x:v>
      </x:c>
      <x:c r="H389" t="str">
        <x:f>G389</x:f>
        <x:v>PASS</x:v>
      </x:c>
    </x:row>
    <x:row r="390">
      <x:c r="B390" t="str">
        <x:v>A-PL-384</x:v>
      </x:c>
      <x:c r="C390" t="str">
        <x:v>gate</x:v>
      </x:c>
      <x:c r="D390" t="str">
        <x:v>PL-SEV-113</x:v>
      </x:c>
      <x:c r="E390" s="23" t="str">
        <x:v>PASS</x:v>
      </x:c>
      <x:c r="F390" s="23" t="str">
        <x:f>'Release Gates'!I390</x:f>
        <x:v>PASS</x:v>
      </x:c>
      <x:c r="G390" t="str">
        <x:f>IF(ABS(IFERROR(E390-F390,0))&lt;0.0001,IF(OR(ISTEXT(E390),ISTEXT(F390)),IF(E390=F390,"PASS","FAIL"),"PASS"),"FAIL")</x:f>
        <x:v>PASS</x:v>
      </x:c>
      <x:c r="H390" t="str">
        <x:f>G390</x:f>
        <x:v>PASS</x:v>
      </x:c>
    </x:row>
    <x:row r="391">
      <x:c r="B391" t="str">
        <x:v>A-PL-385</x:v>
      </x:c>
      <x:c r="C391" t="str">
        <x:v>gate</x:v>
      </x:c>
      <x:c r="D391" t="str">
        <x:v>PL-SEV-114</x:v>
      </x:c>
      <x:c r="E391" s="23" t="str">
        <x:v>PASS</x:v>
      </x:c>
      <x:c r="F391" s="23" t="str">
        <x:f>'Release Gates'!I391</x:f>
        <x:v>PASS</x:v>
      </x:c>
      <x:c r="G391" t="str">
        <x:f>IF(ABS(IFERROR(E391-F391,0))&lt;0.0001,IF(OR(ISTEXT(E391),ISTEXT(F391)),IF(E391=F391,"PASS","FAIL"),"PASS"),"FAIL")</x:f>
        <x:v>PASS</x:v>
      </x:c>
      <x:c r="H391" t="str">
        <x:f>G391</x:f>
        <x:v>PASS</x:v>
      </x:c>
    </x:row>
    <x:row r="392">
      <x:c r="B392" t="str">
        <x:v>A-PL-386</x:v>
      </x:c>
      <x:c r="C392" t="str">
        <x:v>gate</x:v>
      </x:c>
      <x:c r="D392" t="str">
        <x:v>PL-INS-01</x:v>
      </x:c>
      <x:c r="E392" s="23" t="str">
        <x:v>PASS</x:v>
      </x:c>
      <x:c r="F392" s="23" t="str">
        <x:f>'Release Gates'!I392</x:f>
        <x:v>PASS</x:v>
      </x:c>
      <x:c r="G392" t="str">
        <x:f>IF(ABS(IFERROR(E392-F392,0))&lt;0.0001,IF(OR(ISTEXT(E392),ISTEXT(F392)),IF(E392=F392,"PASS","FAIL"),"PASS"),"FAIL")</x:f>
        <x:v>PASS</x:v>
      </x:c>
      <x:c r="H392" t="str">
        <x:f>G392</x:f>
        <x:v>PASS</x:v>
      </x:c>
    </x:row>
    <x:row r="393">
      <x:c r="B393" t="str">
        <x:v>A-PL-387</x:v>
      </x:c>
      <x:c r="C393" t="str">
        <x:v>gate</x:v>
      </x:c>
      <x:c r="D393" t="str">
        <x:v>PL-INS-02</x:v>
      </x:c>
      <x:c r="E393" s="23" t="str">
        <x:v>PASS</x:v>
      </x:c>
      <x:c r="F393" s="23" t="str">
        <x:f>'Release Gates'!I393</x:f>
        <x:v>PASS</x:v>
      </x:c>
      <x:c r="G393" t="str">
        <x:f>IF(ABS(IFERROR(E393-F393,0))&lt;0.0001,IF(OR(ISTEXT(E393),ISTEXT(F393)),IF(E393=F393,"PASS","FAIL"),"PASS"),"FAIL")</x:f>
        <x:v>PASS</x:v>
      </x:c>
      <x:c r="H393" t="str">
        <x:f>G393</x:f>
        <x:v>PASS</x:v>
      </x:c>
    </x:row>
    <x:row r="394">
      <x:c r="B394" t="str">
        <x:v>A-PL-388</x:v>
      </x:c>
      <x:c r="C394" t="str">
        <x:v>gate</x:v>
      </x:c>
      <x:c r="D394" t="str">
        <x:v>PL-INS-03</x:v>
      </x:c>
      <x:c r="E394" s="23" t="str">
        <x:v>PASS</x:v>
      </x:c>
      <x:c r="F394" s="23" t="str">
        <x:f>'Release Gates'!I394</x:f>
        <x:v>PASS</x:v>
      </x:c>
      <x:c r="G394" t="str">
        <x:f>IF(ABS(IFERROR(E394-F394,0))&lt;0.0001,IF(OR(ISTEXT(E394),ISTEXT(F394)),IF(E394=F394,"PASS","FAIL"),"PASS"),"FAIL")</x:f>
        <x:v>PASS</x:v>
      </x:c>
      <x:c r="H394" t="str">
        <x:f>G394</x:f>
        <x:v>PASS</x:v>
      </x:c>
    </x:row>
    <x:row r="395">
      <x:c r="B395" t="str">
        <x:v>A-PL-389</x:v>
      </x:c>
      <x:c r="C395" t="str">
        <x:v>gate</x:v>
      </x:c>
      <x:c r="D395" t="str">
        <x:v>PL-INS-04</x:v>
      </x:c>
      <x:c r="E395" s="23" t="str">
        <x:v>PASS</x:v>
      </x:c>
      <x:c r="F395" s="23" t="str">
        <x:f>'Release Gates'!I395</x:f>
        <x:v>PASS</x:v>
      </x:c>
      <x:c r="G395" t="str">
        <x:f>IF(ABS(IFERROR(E395-F395,0))&lt;0.0001,IF(OR(ISTEXT(E395),ISTEXT(F395)),IF(E395=F395,"PASS","FAIL"),"PASS"),"FAIL")</x:f>
        <x:v>PASS</x:v>
      </x:c>
      <x:c r="H395" t="str">
        <x:f>G395</x:f>
        <x:v>PASS</x:v>
      </x:c>
    </x:row>
    <x:row r="396">
      <x:c r="B396" t="str">
        <x:v>A-PL-390</x:v>
      </x:c>
      <x:c r="C396" t="str">
        <x:v>gate</x:v>
      </x:c>
      <x:c r="D396" t="str">
        <x:v>PL-INS-05</x:v>
      </x:c>
      <x:c r="E396" s="23" t="str">
        <x:v>PASS</x:v>
      </x:c>
      <x:c r="F396" s="23" t="str">
        <x:f>'Release Gates'!I396</x:f>
        <x:v>PASS</x:v>
      </x:c>
      <x:c r="G396" t="str">
        <x:f>IF(ABS(IFERROR(E396-F396,0))&lt;0.0001,IF(OR(ISTEXT(E396),ISTEXT(F396)),IF(E396=F396,"PASS","FAIL"),"PASS"),"FAIL")</x:f>
        <x:v>PASS</x:v>
      </x:c>
      <x:c r="H396" t="str">
        <x:f>G396</x:f>
        <x:v>PASS</x:v>
      </x:c>
    </x:row>
    <x:row r="397">
      <x:c r="B397" t="str">
        <x:v>A-PL-391</x:v>
      </x:c>
      <x:c r="C397" t="str">
        <x:v>gate</x:v>
      </x:c>
      <x:c r="D397" t="str">
        <x:v>PL-INS-06</x:v>
      </x:c>
      <x:c r="E397" s="23" t="str">
        <x:v>PASS</x:v>
      </x:c>
      <x:c r="F397" s="23" t="str">
        <x:f>'Release Gates'!I397</x:f>
        <x:v>PASS</x:v>
      </x:c>
      <x:c r="G397" t="str">
        <x:f>IF(ABS(IFERROR(E397-F397,0))&lt;0.0001,IF(OR(ISTEXT(E397),ISTEXT(F397)),IF(E397=F397,"PASS","FAIL"),"PASS"),"FAIL")</x:f>
        <x:v>PASS</x:v>
      </x:c>
      <x:c r="H397" t="str">
        <x:f>G397</x:f>
        <x:v>PASS</x:v>
      </x:c>
    </x:row>
    <x:row r="398">
      <x:c r="B398" t="str">
        <x:v>A-PL-392</x:v>
      </x:c>
      <x:c r="C398" t="str">
        <x:v>gate</x:v>
      </x:c>
      <x:c r="D398" t="str">
        <x:v>PL-INS-07</x:v>
      </x:c>
      <x:c r="E398" s="23" t="str">
        <x:v>PASS</x:v>
      </x:c>
      <x:c r="F398" s="23" t="str">
        <x:f>'Release Gates'!I398</x:f>
        <x:v>PASS</x:v>
      </x:c>
      <x:c r="G398" t="str">
        <x:f>IF(ABS(IFERROR(E398-F398,0))&lt;0.0001,IF(OR(ISTEXT(E398),ISTEXT(F398)),IF(E398=F398,"PASS","FAIL"),"PASS"),"FAIL")</x:f>
        <x:v>PASS</x:v>
      </x:c>
      <x:c r="H398" t="str">
        <x:f>G398</x:f>
        <x:v>PASS</x:v>
      </x:c>
    </x:row>
    <x:row r="399">
      <x:c r="B399" t="str">
        <x:v>A-PL-393</x:v>
      </x:c>
      <x:c r="C399" t="str">
        <x:v>gate</x:v>
      </x:c>
      <x:c r="D399" t="str">
        <x:v>PL-INS-08</x:v>
      </x:c>
      <x:c r="E399" s="23" t="str">
        <x:v>PASS</x:v>
      </x:c>
      <x:c r="F399" s="23" t="str">
        <x:f>'Release Gates'!I399</x:f>
        <x:v>PASS</x:v>
      </x:c>
      <x:c r="G399" t="str">
        <x:f>IF(ABS(IFERROR(E399-F399,0))&lt;0.0001,IF(OR(ISTEXT(E399),ISTEXT(F399)),IF(E399=F399,"PASS","FAIL"),"PASS"),"FAIL")</x:f>
        <x:v>PASS</x:v>
      </x:c>
      <x:c r="H399" t="str">
        <x:f>G399</x:f>
        <x:v>PASS</x:v>
      </x:c>
    </x:row>
    <x:row r="400">
      <x:c r="B400" t="str">
        <x:v>A-PL-394</x:v>
      </x:c>
      <x:c r="C400" t="str">
        <x:v>gate</x:v>
      </x:c>
      <x:c r="D400" t="str">
        <x:v>PL-INS-09</x:v>
      </x:c>
      <x:c r="E400" s="23" t="str">
        <x:v>PASS</x:v>
      </x:c>
      <x:c r="F400" s="23" t="str">
        <x:f>'Release Gates'!I400</x:f>
        <x:v>PASS</x:v>
      </x:c>
      <x:c r="G400" t="str">
        <x:f>IF(ABS(IFERROR(E400-F400,0))&lt;0.0001,IF(OR(ISTEXT(E400),ISTEXT(F400)),IF(E400=F400,"PASS","FAIL"),"PASS"),"FAIL")</x:f>
        <x:v>PASS</x:v>
      </x:c>
      <x:c r="H400" t="str">
        <x:f>G400</x:f>
        <x:v>PASS</x:v>
      </x:c>
    </x:row>
    <x:row r="401">
      <x:c r="B401" t="str">
        <x:v>A-PL-395</x:v>
      </x:c>
      <x:c r="C401" t="str">
        <x:v>gate</x:v>
      </x:c>
      <x:c r="D401" t="str">
        <x:v>PL-INS-10</x:v>
      </x:c>
      <x:c r="E401" s="23" t="str">
        <x:v>PASS</x:v>
      </x:c>
      <x:c r="F401" s="23" t="str">
        <x:f>'Release Gates'!I401</x:f>
        <x:v>PASS</x:v>
      </x:c>
      <x:c r="G401" t="str">
        <x:f>IF(ABS(IFERROR(E401-F401,0))&lt;0.0001,IF(OR(ISTEXT(E401),ISTEXT(F401)),IF(E401=F401,"PASS","FAIL"),"PASS"),"FAIL")</x:f>
        <x:v>PASS</x:v>
      </x:c>
      <x:c r="H401" t="str">
        <x:f>G401</x:f>
        <x:v>PASS</x:v>
      </x:c>
    </x:row>
    <x:row r="402">
      <x:c r="B402" t="str">
        <x:v>A-PL-396</x:v>
      </x:c>
      <x:c r="C402" t="str">
        <x:v>gate</x:v>
      </x:c>
      <x:c r="D402" t="str">
        <x:v>PL-INS-11</x:v>
      </x:c>
      <x:c r="E402" s="23" t="str">
        <x:v>PASS</x:v>
      </x:c>
      <x:c r="F402" s="23" t="str">
        <x:f>'Release Gates'!I402</x:f>
        <x:v>PASS</x:v>
      </x:c>
      <x:c r="G402" t="str">
        <x:f>IF(ABS(IFERROR(E402-F402,0))&lt;0.0001,IF(OR(ISTEXT(E402),ISTEXT(F402)),IF(E402=F402,"PASS","FAIL"),"PASS"),"FAIL")</x:f>
        <x:v>PASS</x:v>
      </x:c>
      <x:c r="H402" t="str">
        <x:f>G402</x:f>
        <x:v>PASS</x:v>
      </x:c>
    </x:row>
    <x:row r="403">
      <x:c r="B403" t="str">
        <x:v>A-PL-397</x:v>
      </x:c>
      <x:c r="C403" t="str">
        <x:v>gate</x:v>
      </x:c>
      <x:c r="D403" t="str">
        <x:v>PL-INS-12</x:v>
      </x:c>
      <x:c r="E403" s="23" t="str">
        <x:v>PASS</x:v>
      </x:c>
      <x:c r="F403" s="23" t="str">
        <x:f>'Release Gates'!I403</x:f>
        <x:v>PASS</x:v>
      </x:c>
      <x:c r="G403" t="str">
        <x:f>IF(ABS(IFERROR(E403-F403,0))&lt;0.0001,IF(OR(ISTEXT(E403),ISTEXT(F403)),IF(E403=F403,"PASS","FAIL"),"PASS"),"FAIL")</x:f>
        <x:v>PASS</x:v>
      </x:c>
      <x:c r="H403" t="str">
        <x:f>G403</x:f>
        <x:v>PASS</x:v>
      </x:c>
    </x:row>
    <x:row r="404">
      <x:c r="B404" t="str">
        <x:v>A-PL-398</x:v>
      </x:c>
      <x:c r="C404" t="str">
        <x:v>gate</x:v>
      </x:c>
      <x:c r="D404" t="str">
        <x:v>PL-INS-13</x:v>
      </x:c>
      <x:c r="E404" s="23" t="str">
        <x:v>PASS</x:v>
      </x:c>
      <x:c r="F404" s="23" t="str">
        <x:f>'Release Gates'!I404</x:f>
        <x:v>PASS</x:v>
      </x:c>
      <x:c r="G404" t="str">
        <x:f>IF(ABS(IFERROR(E404-F404,0))&lt;0.0001,IF(OR(ISTEXT(E404),ISTEXT(F404)),IF(E404=F404,"PASS","FAIL"),"PASS"),"FAIL")</x:f>
        <x:v>PASS</x:v>
      </x:c>
      <x:c r="H404" t="str">
        <x:f>G404</x:f>
        <x:v>PASS</x:v>
      </x:c>
    </x:row>
    <x:row r="405">
      <x:c r="B405" t="str">
        <x:v>A-PL-399</x:v>
      </x:c>
      <x:c r="C405" t="str">
        <x:v>gate</x:v>
      </x:c>
      <x:c r="D405" t="str">
        <x:v>PL-INS-14</x:v>
      </x:c>
      <x:c r="E405" s="23" t="str">
        <x:v>PASS</x:v>
      </x:c>
      <x:c r="F405" s="23" t="str">
        <x:f>'Release Gates'!I405</x:f>
        <x:v>PASS</x:v>
      </x:c>
      <x:c r="G405" t="str">
        <x:f>IF(ABS(IFERROR(E405-F405,0))&lt;0.0001,IF(OR(ISTEXT(E405),ISTEXT(F405)),IF(E405=F405,"PASS","FAIL"),"PASS"),"FAIL")</x:f>
        <x:v>PASS</x:v>
      </x:c>
      <x:c r="H405" t="str">
        <x:f>G405</x:f>
        <x:v>PASS</x:v>
      </x:c>
    </x:row>
    <x:row r="406">
      <x:c r="B406" t="str">
        <x:v>A-PL-400</x:v>
      </x:c>
      <x:c r="C406" t="str">
        <x:v>gate</x:v>
      </x:c>
      <x:c r="D406" t="str">
        <x:v>PL-INS-15</x:v>
      </x:c>
      <x:c r="E406" s="23" t="str">
        <x:v>PASS</x:v>
      </x:c>
      <x:c r="F406" s="23" t="str">
        <x:f>'Release Gates'!I406</x:f>
        <x:v>PASS</x:v>
      </x:c>
      <x:c r="G406" t="str">
        <x:f>IF(ABS(IFERROR(E406-F406,0))&lt;0.0001,IF(OR(ISTEXT(E406),ISTEXT(F406)),IF(E406=F406,"PASS","FAIL"),"PASS"),"FAIL")</x:f>
        <x:v>PASS</x:v>
      </x:c>
      <x:c r="H406" t="str">
        <x:f>G406</x:f>
        <x:v>PASS</x:v>
      </x:c>
    </x:row>
    <x:row r="407">
      <x:c r="B407" t="str">
        <x:v>A-PL-401</x:v>
      </x:c>
      <x:c r="C407" t="str">
        <x:v>gate</x:v>
      </x:c>
      <x:c r="D407" t="str">
        <x:v>PL-INS-16</x:v>
      </x:c>
      <x:c r="E407" s="23" t="str">
        <x:v>PASS</x:v>
      </x:c>
      <x:c r="F407" s="23" t="str">
        <x:f>'Release Gates'!I407</x:f>
        <x:v>PASS</x:v>
      </x:c>
      <x:c r="G407" t="str">
        <x:f>IF(ABS(IFERROR(E407-F407,0))&lt;0.0001,IF(OR(ISTEXT(E407),ISTEXT(F407)),IF(E407=F407,"PASS","FAIL"),"PASS"),"FAIL")</x:f>
        <x:v>PASS</x:v>
      </x:c>
      <x:c r="H407" t="str">
        <x:f>G407</x:f>
        <x:v>PASS</x:v>
      </x:c>
    </x:row>
    <x:row r="408">
      <x:c r="B408" t="str">
        <x:v>A-PL-402</x:v>
      </x:c>
      <x:c r="C408" t="str">
        <x:v>gate</x:v>
      </x:c>
      <x:c r="D408" t="str">
        <x:v>PL-INS-17</x:v>
      </x:c>
      <x:c r="E408" s="23" t="str">
        <x:v>PASS</x:v>
      </x:c>
      <x:c r="F408" s="23" t="str">
        <x:f>'Release Gates'!I408</x:f>
        <x:v>PASS</x:v>
      </x:c>
      <x:c r="G408" t="str">
        <x:f>IF(ABS(IFERROR(E408-F408,0))&lt;0.0001,IF(OR(ISTEXT(E408),ISTEXT(F408)),IF(E408=F408,"PASS","FAIL"),"PASS"),"FAIL")</x:f>
        <x:v>PASS</x:v>
      </x:c>
      <x:c r="H408" t="str">
        <x:f>G408</x:f>
        <x:v>PASS</x:v>
      </x:c>
    </x:row>
    <x:row r="409">
      <x:c r="B409" t="str">
        <x:v>A-PL-403</x:v>
      </x:c>
      <x:c r="C409" t="str">
        <x:v>gate</x:v>
      </x:c>
      <x:c r="D409" t="str">
        <x:v>PL-INS-18</x:v>
      </x:c>
      <x:c r="E409" s="23" t="str">
        <x:v>PASS</x:v>
      </x:c>
      <x:c r="F409" s="23" t="str">
        <x:f>'Release Gates'!I409</x:f>
        <x:v>PASS</x:v>
      </x:c>
      <x:c r="G409" t="str">
        <x:f>IF(ABS(IFERROR(E409-F409,0))&lt;0.0001,IF(OR(ISTEXT(E409),ISTEXT(F409)),IF(E409=F409,"PASS","FAIL"),"PASS"),"FAIL")</x:f>
        <x:v>PASS</x:v>
      </x:c>
      <x:c r="H409" t="str">
        <x:f>G409</x:f>
        <x:v>PASS</x:v>
      </x:c>
    </x:row>
    <x:row r="410">
      <x:c r="B410" t="str">
        <x:v>A-PL-404</x:v>
      </x:c>
      <x:c r="C410" t="str">
        <x:v>gate</x:v>
      </x:c>
      <x:c r="D410" t="str">
        <x:v>PL-SITE-1</x:v>
      </x:c>
      <x:c r="E410" s="23" t="str">
        <x:v>PASS</x:v>
      </x:c>
      <x:c r="F410" s="23" t="str">
        <x:f>'Release Gates'!I410</x:f>
        <x:v>PASS</x:v>
      </x:c>
      <x:c r="G410" t="str">
        <x:f>IF(ABS(IFERROR(E410-F410,0))&lt;0.0001,IF(OR(ISTEXT(E410),ISTEXT(F410)),IF(E410=F410,"PASS","FAIL"),"PASS"),"FAIL")</x:f>
        <x:v>PASS</x:v>
      </x:c>
      <x:c r="H410" t="str">
        <x:f>G410</x:f>
        <x:v>PASS</x:v>
      </x:c>
    </x:row>
    <x:row r="411">
      <x:c r="B411" t="str">
        <x:v>A-PL-405</x:v>
      </x:c>
      <x:c r="C411" t="str">
        <x:v>gate</x:v>
      </x:c>
      <x:c r="D411" t="str">
        <x:v>PL-SITE-2</x:v>
      </x:c>
      <x:c r="E411" s="23" t="str">
        <x:v>PASS</x:v>
      </x:c>
      <x:c r="F411" s="23" t="str">
        <x:f>'Release Gates'!I411</x:f>
        <x:v>PASS</x:v>
      </x:c>
      <x:c r="G411" t="str">
        <x:f>IF(ABS(IFERROR(E411-F411,0))&lt;0.0001,IF(OR(ISTEXT(E411),ISTEXT(F411)),IF(E411=F411,"PASS","FAIL"),"PASS"),"FAIL")</x:f>
        <x:v>PASS</x:v>
      </x:c>
      <x:c r="H411" t="str">
        <x:f>G411</x:f>
        <x:v>PASS</x:v>
      </x:c>
    </x:row>
    <x:row r="412">
      <x:c r="B412" t="str">
        <x:v>A-PL-406</x:v>
      </x:c>
      <x:c r="C412" t="str">
        <x:v>gate</x:v>
      </x:c>
      <x:c r="D412" t="str">
        <x:v>PL-SITE-3</x:v>
      </x:c>
      <x:c r="E412" s="23" t="str">
        <x:v>PASS</x:v>
      </x:c>
      <x:c r="F412" s="23" t="str">
        <x:f>'Release Gates'!I412</x:f>
        <x:v>PASS</x:v>
      </x:c>
      <x:c r="G412" t="str">
        <x:f>IF(ABS(IFERROR(E412-F412,0))&lt;0.0001,IF(OR(ISTEXT(E412),ISTEXT(F412)),IF(E412=F412,"PASS","FAIL"),"PASS"),"FAIL")</x:f>
        <x:v>PASS</x:v>
      </x:c>
      <x:c r="H412" t="str">
        <x:f>G412</x:f>
        <x:v>PASS</x:v>
      </x:c>
    </x:row>
    <x:row r="413">
      <x:c r="B413" t="str">
        <x:v>A-PL-407</x:v>
      </x:c>
      <x:c r="C413" t="str">
        <x:v>gate</x:v>
      </x:c>
      <x:c r="D413" t="str">
        <x:v>PL-DR-01</x:v>
      </x:c>
      <x:c r="E413" s="23" t="str">
        <x:v>PASS</x:v>
      </x:c>
      <x:c r="F413" s="23" t="str">
        <x:f>'Release Gates'!I413</x:f>
        <x:v>PASS</x:v>
      </x:c>
      <x:c r="G413" t="str">
        <x:f>IF(ABS(IFERROR(E413-F413,0))&lt;0.0001,IF(OR(ISTEXT(E413),ISTEXT(F413)),IF(E413=F413,"PASS","FAIL"),"PASS"),"FAIL")</x:f>
        <x:v>PASS</x:v>
      </x:c>
      <x:c r="H413" t="str">
        <x:f>G413</x:f>
        <x:v>PASS</x:v>
      </x:c>
    </x:row>
    <x:row r="414">
      <x:c r="B414" t="str">
        <x:v>A-PL-408</x:v>
      </x:c>
      <x:c r="C414" t="str">
        <x:v>gate</x:v>
      </x:c>
      <x:c r="D414" t="str">
        <x:v>PL-DR-02</x:v>
      </x:c>
      <x:c r="E414" s="23" t="str">
        <x:v>PASS</x:v>
      </x:c>
      <x:c r="F414" s="23" t="str">
        <x:f>'Release Gates'!I414</x:f>
        <x:v>PASS</x:v>
      </x:c>
      <x:c r="G414" t="str">
        <x:f>IF(ABS(IFERROR(E414-F414,0))&lt;0.0001,IF(OR(ISTEXT(E414),ISTEXT(F414)),IF(E414=F414,"PASS","FAIL"),"PASS"),"FAIL")</x:f>
        <x:v>PASS</x:v>
      </x:c>
      <x:c r="H414" t="str">
        <x:f>G414</x:f>
        <x:v>PASS</x:v>
      </x:c>
    </x:row>
    <x:row r="415">
      <x:c r="B415" t="str">
        <x:v>A-PL-409</x:v>
      </x:c>
      <x:c r="C415" t="str">
        <x:v>gate</x:v>
      </x:c>
      <x:c r="D415" t="str">
        <x:v>PL-DR-03</x:v>
      </x:c>
      <x:c r="E415" s="23" t="str">
        <x:v>PASS</x:v>
      </x:c>
      <x:c r="F415" s="23" t="str">
        <x:f>'Release Gates'!I415</x:f>
        <x:v>PASS</x:v>
      </x:c>
      <x:c r="G415" t="str">
        <x:f>IF(ABS(IFERROR(E415-F415,0))&lt;0.0001,IF(OR(ISTEXT(E415),ISTEXT(F415)),IF(E415=F415,"PASS","FAIL"),"PASS"),"FAIL")</x:f>
        <x:v>PASS</x:v>
      </x:c>
      <x:c r="H415" t="str">
        <x:f>G415</x:f>
        <x:v>PASS</x:v>
      </x:c>
    </x:row>
    <x:row r="416">
      <x:c r="B416" t="str">
        <x:v>A-PL-410</x:v>
      </x:c>
      <x:c r="C416" t="str">
        <x:v>gate</x:v>
      </x:c>
      <x:c r="D416" t="str">
        <x:v>PL-DR-04</x:v>
      </x:c>
      <x:c r="E416" s="23" t="str">
        <x:v>PASS</x:v>
      </x:c>
      <x:c r="F416" s="23" t="str">
        <x:f>'Release Gates'!I416</x:f>
        <x:v>PASS</x:v>
      </x:c>
      <x:c r="G416" t="str">
        <x:f>IF(ABS(IFERROR(E416-F416,0))&lt;0.0001,IF(OR(ISTEXT(E416),ISTEXT(F416)),IF(E416=F416,"PASS","FAIL"),"PASS"),"FAIL")</x:f>
        <x:v>PASS</x:v>
      </x:c>
      <x:c r="H416" t="str">
        <x:f>G416</x:f>
        <x:v>PASS</x:v>
      </x:c>
    </x:row>
    <x:row r="417">
      <x:c r="B417" t="str">
        <x:v>A-PL-411</x:v>
      </x:c>
      <x:c r="C417" t="str">
        <x:v>gate</x:v>
      </x:c>
      <x:c r="D417" t="str">
        <x:v>PL-DR-05</x:v>
      </x:c>
      <x:c r="E417" s="23" t="str">
        <x:v>PASS</x:v>
      </x:c>
      <x:c r="F417" s="23" t="str">
        <x:f>'Release Gates'!I417</x:f>
        <x:v>PASS</x:v>
      </x:c>
      <x:c r="G417" t="str">
        <x:f>IF(ABS(IFERROR(E417-F417,0))&lt;0.0001,IF(OR(ISTEXT(E417),ISTEXT(F417)),IF(E417=F417,"PASS","FAIL"),"PASS"),"FAIL")</x:f>
        <x:v>PASS</x:v>
      </x:c>
      <x:c r="H417" t="str">
        <x:f>G417</x:f>
        <x:v>PASS</x:v>
      </x:c>
    </x:row>
    <x:row r="418">
      <x:c r="B418" t="str">
        <x:v>A-PL-412</x:v>
      </x:c>
      <x:c r="C418" t="str">
        <x:v>gate</x:v>
      </x:c>
      <x:c r="D418" t="str">
        <x:v>PL-DR-06</x:v>
      </x:c>
      <x:c r="E418" s="23" t="str">
        <x:v>PASS</x:v>
      </x:c>
      <x:c r="F418" s="23" t="str">
        <x:f>'Release Gates'!I418</x:f>
        <x:v>PASS</x:v>
      </x:c>
      <x:c r="G418" t="str">
        <x:f>IF(ABS(IFERROR(E418-F418,0))&lt;0.0001,IF(OR(ISTEXT(E418),ISTEXT(F418)),IF(E418=F418,"PASS","FAIL"),"PASS"),"FAIL")</x:f>
        <x:v>PASS</x:v>
      </x:c>
      <x:c r="H418" t="str">
        <x:f>G418</x:f>
        <x:v>PASS</x:v>
      </x:c>
    </x:row>
    <x:row r="419">
      <x:c r="B419" t="str">
        <x:v>A-PL-413</x:v>
      </x:c>
      <x:c r="C419" t="str">
        <x:v>gate</x:v>
      </x:c>
      <x:c r="D419" t="str">
        <x:v>PL-DR-07</x:v>
      </x:c>
      <x:c r="E419" s="23" t="str">
        <x:v>PASS</x:v>
      </x:c>
      <x:c r="F419" s="23" t="str">
        <x:f>'Release Gates'!I419</x:f>
        <x:v>PASS</x:v>
      </x:c>
      <x:c r="G419" t="str">
        <x:f>IF(ABS(IFERROR(E419-F419,0))&lt;0.0001,IF(OR(ISTEXT(E419),ISTEXT(F419)),IF(E419=F419,"PASS","FAIL"),"PASS"),"FAIL")</x:f>
        <x:v>PASS</x:v>
      </x:c>
      <x:c r="H419" t="str">
        <x:f>G419</x:f>
        <x:v>PASS</x:v>
      </x:c>
    </x:row>
    <x:row r="420">
      <x:c r="B420" t="str">
        <x:v>A-PL-414</x:v>
      </x:c>
      <x:c r="C420" t="str">
        <x:v>gate</x:v>
      </x:c>
      <x:c r="D420" t="str">
        <x:v>PL-DR-08</x:v>
      </x:c>
      <x:c r="E420" s="23" t="str">
        <x:v>PASS</x:v>
      </x:c>
      <x:c r="F420" s="23" t="str">
        <x:f>'Release Gates'!I420</x:f>
        <x:v>PASS</x:v>
      </x:c>
      <x:c r="G420" t="str">
        <x:f>IF(ABS(IFERROR(E420-F420,0))&lt;0.0001,IF(OR(ISTEXT(E420),ISTEXT(F420)),IF(E420=F420,"PASS","FAIL"),"PASS"),"FAIL")</x:f>
        <x:v>PASS</x:v>
      </x:c>
      <x:c r="H420" t="str">
        <x:f>G420</x:f>
        <x:v>PASS</x:v>
      </x:c>
    </x:row>
    <x:row r="421">
      <x:c r="B421" t="str">
        <x:v>A-PL-415</x:v>
      </x:c>
      <x:c r="C421" t="str">
        <x:v>gate</x:v>
      </x:c>
      <x:c r="D421" t="str">
        <x:v>PL-DR-09</x:v>
      </x:c>
      <x:c r="E421" s="23" t="str">
        <x:v>PASS</x:v>
      </x:c>
      <x:c r="F421" s="23" t="str">
        <x:f>'Release Gates'!I421</x:f>
        <x:v>PASS</x:v>
      </x:c>
      <x:c r="G421" t="str">
        <x:f>IF(ABS(IFERROR(E421-F421,0))&lt;0.0001,IF(OR(ISTEXT(E421),ISTEXT(F421)),IF(E421=F421,"PASS","FAIL"),"PASS"),"FAIL")</x:f>
        <x:v>PASS</x:v>
      </x:c>
      <x:c r="H421" t="str">
        <x:f>G421</x:f>
        <x:v>PASS</x:v>
      </x:c>
    </x:row>
    <x:row r="422">
      <x:c r="B422" t="str">
        <x:v>A-PL-416</x:v>
      </x:c>
      <x:c r="C422" t="str">
        <x:v>gate</x:v>
      </x:c>
      <x:c r="D422" t="str">
        <x:v>PL-DR-10</x:v>
      </x:c>
      <x:c r="E422" s="23" t="str">
        <x:v>PASS</x:v>
      </x:c>
      <x:c r="F422" s="23" t="str">
        <x:f>'Release Gates'!I422</x:f>
        <x:v>PASS</x:v>
      </x:c>
      <x:c r="G422" t="str">
        <x:f>IF(ABS(IFERROR(E422-F422,0))&lt;0.0001,IF(OR(ISTEXT(E422),ISTEXT(F422)),IF(E422=F422,"PASS","FAIL"),"PASS"),"FAIL")</x:f>
        <x:v>PASS</x:v>
      </x:c>
      <x:c r="H422" t="str">
        <x:f>G422</x:f>
        <x:v>PASS</x:v>
      </x:c>
    </x:row>
    <x:row r="423">
      <x:c r="B423" t="str">
        <x:v>A-PL-417</x:v>
      </x:c>
      <x:c r="C423" t="str">
        <x:v>gate</x:v>
      </x:c>
      <x:c r="D423" t="str">
        <x:v>PL-DR-11</x:v>
      </x:c>
      <x:c r="E423" s="23" t="str">
        <x:v>PASS</x:v>
      </x:c>
      <x:c r="F423" s="23" t="str">
        <x:f>'Release Gates'!I423</x:f>
        <x:v>PASS</x:v>
      </x:c>
      <x:c r="G423" t="str">
        <x:f>IF(ABS(IFERROR(E423-F423,0))&lt;0.0001,IF(OR(ISTEXT(E423),ISTEXT(F423)),IF(E423=F423,"PASS","FAIL"),"PASS"),"FAIL")</x:f>
        <x:v>PASS</x:v>
      </x:c>
      <x:c r="H423" t="str">
        <x:f>G423</x:f>
        <x:v>PASS</x:v>
      </x:c>
    </x:row>
    <x:row r="424">
      <x:c r="B424" t="str">
        <x:v>A-PL-418</x:v>
      </x:c>
      <x:c r="C424" t="str">
        <x:v>gate</x:v>
      </x:c>
      <x:c r="D424" t="str">
        <x:v>PL-DR-12</x:v>
      </x:c>
      <x:c r="E424" s="23" t="str">
        <x:v>PASS</x:v>
      </x:c>
      <x:c r="F424" s="23" t="str">
        <x:f>'Release Gates'!I424</x:f>
        <x:v>PASS</x:v>
      </x:c>
      <x:c r="G424" t="str">
        <x:f>IF(ABS(IFERROR(E424-F424,0))&lt;0.0001,IF(OR(ISTEXT(E424),ISTEXT(F424)),IF(E424=F424,"PASS","FAIL"),"PASS"),"FAIL")</x:f>
        <x:v>PASS</x:v>
      </x:c>
      <x:c r="H424" t="str">
        <x:f>G424</x:f>
        <x:v>PASS</x:v>
      </x:c>
    </x:row>
    <x:row r="425">
      <x:c r="B425" t="str">
        <x:v>A-PL-419</x:v>
      </x:c>
      <x:c r="C425" t="str">
        <x:v>gate</x:v>
      </x:c>
      <x:c r="D425" t="str">
        <x:v>PL-DR-13</x:v>
      </x:c>
      <x:c r="E425" s="23" t="str">
        <x:v>PASS</x:v>
      </x:c>
      <x:c r="F425" s="23" t="str">
        <x:f>'Release Gates'!I425</x:f>
        <x:v>PASS</x:v>
      </x:c>
      <x:c r="G425" t="str">
        <x:f>IF(ABS(IFERROR(E425-F425,0))&lt;0.0001,IF(OR(ISTEXT(E425),ISTEXT(F425)),IF(E425=F425,"PASS","FAIL"),"PASS"),"FAIL")</x:f>
        <x:v>PASS</x:v>
      </x:c>
      <x:c r="H425" t="str">
        <x:f>G425</x:f>
        <x:v>PASS</x:v>
      </x:c>
    </x:row>
    <x:row r="426">
      <x:c r="B426" t="str">
        <x:v>A-PL-420</x:v>
      </x:c>
      <x:c r="C426" t="str">
        <x:v>gate</x:v>
      </x:c>
      <x:c r="D426" t="str">
        <x:v>PL-DR-14</x:v>
      </x:c>
      <x:c r="E426" s="23" t="str">
        <x:v>PASS</x:v>
      </x:c>
      <x:c r="F426" s="23" t="str">
        <x:f>'Release Gates'!I426</x:f>
        <x:v>PASS</x:v>
      </x:c>
      <x:c r="G426" t="str">
        <x:f>IF(ABS(IFERROR(E426-F426,0))&lt;0.0001,IF(OR(ISTEXT(E426),ISTEXT(F426)),IF(E426=F426,"PASS","FAIL"),"PASS"),"FAIL")</x:f>
        <x:v>PASS</x:v>
      </x:c>
      <x:c r="H426" t="str">
        <x:f>G426</x:f>
        <x:v>PASS</x:v>
      </x:c>
    </x:row>
    <x:row r="427">
      <x:c r="B427" t="str">
        <x:v>A-PL-421</x:v>
      </x:c>
      <x:c r="C427" t="str">
        <x:v>gate</x:v>
      </x:c>
      <x:c r="D427" t="str">
        <x:v>PL-DR-15</x:v>
      </x:c>
      <x:c r="E427" s="23" t="str">
        <x:v>PASS</x:v>
      </x:c>
      <x:c r="F427" s="23" t="str">
        <x:f>'Release Gates'!I427</x:f>
        <x:v>PASS</x:v>
      </x:c>
      <x:c r="G427" t="str">
        <x:f>IF(ABS(IFERROR(E427-F427,0))&lt;0.0001,IF(OR(ISTEXT(E427),ISTEXT(F427)),IF(E427=F427,"PASS","FAIL"),"PASS"),"FAIL")</x:f>
        <x:v>PASS</x:v>
      </x:c>
      <x:c r="H427" t="str">
        <x:f>G427</x:f>
        <x:v>PASS</x:v>
      </x:c>
    </x:row>
    <x:row r="428">
      <x:c r="B428" t="str">
        <x:v>A-PL-422</x:v>
      </x:c>
      <x:c r="C428" t="str">
        <x:v>gate</x:v>
      </x:c>
      <x:c r="D428" t="str">
        <x:v>PL-DR-16</x:v>
      </x:c>
      <x:c r="E428" s="23" t="str">
        <x:v>PASS</x:v>
      </x:c>
      <x:c r="F428" s="23" t="str">
        <x:f>'Release Gates'!I428</x:f>
        <x:v>PASS</x:v>
      </x:c>
      <x:c r="G428" t="str">
        <x:f>IF(ABS(IFERROR(E428-F428,0))&lt;0.0001,IF(OR(ISTEXT(E428),ISTEXT(F428)),IF(E428=F428,"PASS","FAIL"),"PASS"),"FAIL")</x:f>
        <x:v>PASS</x:v>
      </x:c>
      <x:c r="H428" t="str">
        <x:f>G428</x:f>
        <x:v>PASS</x:v>
      </x:c>
    </x:row>
    <x:row r="429">
      <x:c r="B429" t="str">
        <x:v>A-PL-423</x:v>
      </x:c>
      <x:c r="C429" t="str">
        <x:v>gate</x:v>
      </x:c>
      <x:c r="D429" t="str">
        <x:v>PL-DR-17</x:v>
      </x:c>
      <x:c r="E429" s="23" t="str">
        <x:v>PASS</x:v>
      </x:c>
      <x:c r="F429" s="23" t="str">
        <x:f>'Release Gates'!I429</x:f>
        <x:v>PASS</x:v>
      </x:c>
      <x:c r="G429" t="str">
        <x:f>IF(ABS(IFERROR(E429-F429,0))&lt;0.0001,IF(OR(ISTEXT(E429),ISTEXT(F429)),IF(E429=F429,"PASS","FAIL"),"PASS"),"FAIL")</x:f>
        <x:v>PASS</x:v>
      </x:c>
      <x:c r="H429" t="str">
        <x:f>G429</x:f>
        <x:v>PASS</x:v>
      </x:c>
    </x:row>
    <x:row r="430">
      <x:c r="B430" t="str">
        <x:v>A-PL-424</x:v>
      </x:c>
      <x:c r="C430" t="str">
        <x:v>gate</x:v>
      </x:c>
      <x:c r="D430" t="str">
        <x:v>PL-DR-18</x:v>
      </x:c>
      <x:c r="E430" s="23" t="str">
        <x:v>PASS</x:v>
      </x:c>
      <x:c r="F430" s="23" t="str">
        <x:f>'Release Gates'!I430</x:f>
        <x:v>PASS</x:v>
      </x:c>
      <x:c r="G430" t="str">
        <x:f>IF(ABS(IFERROR(E430-F430,0))&lt;0.0001,IF(OR(ISTEXT(E430),ISTEXT(F430)),IF(E430=F430,"PASS","FAIL"),"PASS"),"FAIL")</x:f>
        <x:v>PASS</x:v>
      </x:c>
      <x:c r="H430" t="str">
        <x:f>G430</x:f>
        <x:v>PASS</x:v>
      </x:c>
    </x:row>
    <x:row r="431">
      <x:c r="B431" t="str">
        <x:v>A-PL-425</x:v>
      </x:c>
      <x:c r="C431" t="str">
        <x:v>gate</x:v>
      </x:c>
      <x:c r="D431" t="str">
        <x:v>PL-DR-19</x:v>
      </x:c>
      <x:c r="E431" s="23" t="str">
        <x:v>PASS</x:v>
      </x:c>
      <x:c r="F431" s="23" t="str">
        <x:f>'Release Gates'!I431</x:f>
        <x:v>PASS</x:v>
      </x:c>
      <x:c r="G431" t="str">
        <x:f>IF(ABS(IFERROR(E431-F431,0))&lt;0.0001,IF(OR(ISTEXT(E431),ISTEXT(F431)),IF(E431=F431,"PASS","FAIL"),"PASS"),"FAIL")</x:f>
        <x:v>PASS</x:v>
      </x:c>
      <x:c r="H431" t="str">
        <x:f>G431</x:f>
        <x:v>PASS</x:v>
      </x:c>
    </x:row>
    <x:row r="432">
      <x:c r="B432" t="str">
        <x:v>A-PL-426</x:v>
      </x:c>
      <x:c r="C432" t="str">
        <x:v>gate</x:v>
      </x:c>
      <x:c r="D432" t="str">
        <x:v>PL-DR-20</x:v>
      </x:c>
      <x:c r="E432" s="23" t="str">
        <x:v>PASS</x:v>
      </x:c>
      <x:c r="F432" s="23" t="str">
        <x:f>'Release Gates'!I432</x:f>
        <x:v>PASS</x:v>
      </x:c>
      <x:c r="G432" t="str">
        <x:f>IF(ABS(IFERROR(E432-F432,0))&lt;0.0001,IF(OR(ISTEXT(E432),ISTEXT(F432)),IF(E432=F432,"PASS","FAIL"),"PASS"),"FAIL")</x:f>
        <x:v>PASS</x:v>
      </x:c>
      <x:c r="H432" t="str">
        <x:f>G432</x:f>
        <x:v>PASS</x:v>
      </x:c>
    </x:row>
    <x:row r="433">
      <x:c r="B433" t="str">
        <x:v>A-PL-427</x:v>
      </x:c>
      <x:c r="C433" t="str">
        <x:v>gate</x:v>
      </x:c>
      <x:c r="D433" t="str">
        <x:v>PL-DR-21</x:v>
      </x:c>
      <x:c r="E433" s="23" t="str">
        <x:v>PASS</x:v>
      </x:c>
      <x:c r="F433" s="23" t="str">
        <x:f>'Release Gates'!I433</x:f>
        <x:v>PASS</x:v>
      </x:c>
      <x:c r="G433" t="str">
        <x:f>IF(ABS(IFERROR(E433-F433,0))&lt;0.0001,IF(OR(ISTEXT(E433),ISTEXT(F433)),IF(E433=F433,"PASS","FAIL"),"PASS"),"FAIL")</x:f>
        <x:v>PASS</x:v>
      </x:c>
      <x:c r="H433" t="str">
        <x:f>G433</x:f>
        <x:v>PASS</x:v>
      </x:c>
    </x:row>
    <x:row r="434">
      <x:c r="B434" t="str">
        <x:v>A-PL-428</x:v>
      </x:c>
      <x:c r="C434" t="str">
        <x:v>gate</x:v>
      </x:c>
      <x:c r="D434" t="str">
        <x:v>PL-DR-22</x:v>
      </x:c>
      <x:c r="E434" s="23" t="str">
        <x:v>PASS</x:v>
      </x:c>
      <x:c r="F434" s="23" t="str">
        <x:f>'Release Gates'!I434</x:f>
        <x:v>PASS</x:v>
      </x:c>
      <x:c r="G434" t="str">
        <x:f>IF(ABS(IFERROR(E434-F434,0))&lt;0.0001,IF(OR(ISTEXT(E434),ISTEXT(F434)),IF(E434=F434,"PASS","FAIL"),"PASS"),"FAIL")</x:f>
        <x:v>PASS</x:v>
      </x:c>
      <x:c r="H434" t="str">
        <x:f>G434</x:f>
        <x:v>PASS</x:v>
      </x:c>
    </x:row>
    <x:row r="435">
      <x:c r="B435" t="str">
        <x:v>A-PL-429</x:v>
      </x:c>
      <x:c r="C435" t="str">
        <x:v>gate</x:v>
      </x:c>
      <x:c r="D435" t="str">
        <x:v>PL-DR-23</x:v>
      </x:c>
      <x:c r="E435" s="23" t="str">
        <x:v>PASS</x:v>
      </x:c>
      <x:c r="F435" s="23" t="str">
        <x:f>'Release Gates'!I435</x:f>
        <x:v>PASS</x:v>
      </x:c>
      <x:c r="G435" t="str">
        <x:f>IF(ABS(IFERROR(E435-F435,0))&lt;0.0001,IF(OR(ISTEXT(E435),ISTEXT(F435)),IF(E435=F435,"PASS","FAIL"),"PASS"),"FAIL")</x:f>
        <x:v>PASS</x:v>
      </x:c>
      <x:c r="H435" t="str">
        <x:f>G435</x:f>
        <x:v>PASS</x:v>
      </x:c>
    </x:row>
    <x:row r="436">
      <x:c r="B436" t="str">
        <x:v>A-PL-430</x:v>
      </x:c>
      <x:c r="C436" t="str">
        <x:v>gate</x:v>
      </x:c>
      <x:c r="D436" t="str">
        <x:v>PL-DR-24</x:v>
      </x:c>
      <x:c r="E436" s="23" t="str">
        <x:v>PASS</x:v>
      </x:c>
      <x:c r="F436" s="23" t="str">
        <x:f>'Release Gates'!I436</x:f>
        <x:v>PASS</x:v>
      </x:c>
      <x:c r="G436" t="str">
        <x:f>IF(ABS(IFERROR(E436-F436,0))&lt;0.0001,IF(OR(ISTEXT(E436),ISTEXT(F436)),IF(E436=F436,"PASS","FAIL"),"PASS"),"FAIL")</x:f>
        <x:v>PASS</x:v>
      </x:c>
      <x:c r="H436" t="str">
        <x:f>G436</x:f>
        <x:v>PASS</x:v>
      </x:c>
    </x:row>
    <x:row r="437">
      <x:c r="B437" t="str">
        <x:v>A-PL-431</x:v>
      </x:c>
      <x:c r="C437" t="str">
        <x:v>gate</x:v>
      </x:c>
      <x:c r="D437" t="str">
        <x:v>PL-DR-25</x:v>
      </x:c>
      <x:c r="E437" s="23" t="str">
        <x:v>PASS</x:v>
      </x:c>
      <x:c r="F437" s="23" t="str">
        <x:f>'Release Gates'!I437</x:f>
        <x:v>PASS</x:v>
      </x:c>
      <x:c r="G437" t="str">
        <x:f>IF(ABS(IFERROR(E437-F437,0))&lt;0.0001,IF(OR(ISTEXT(E437),ISTEXT(F437)),IF(E437=F437,"PASS","FAIL"),"PASS"),"FAIL")</x:f>
        <x:v>PASS</x:v>
      </x:c>
      <x:c r="H437" t="str">
        <x:f>G437</x:f>
        <x:v>PASS</x:v>
      </x:c>
    </x:row>
    <x:row r="438">
      <x:c r="B438" t="str">
        <x:v>A-PL-432</x:v>
      </x:c>
      <x:c r="C438" t="str">
        <x:v>gate</x:v>
      </x:c>
      <x:c r="D438" t="str">
        <x:v>PL-DR-26</x:v>
      </x:c>
      <x:c r="E438" s="23" t="str">
        <x:v>PASS</x:v>
      </x:c>
      <x:c r="F438" s="23" t="str">
        <x:f>'Release Gates'!I438</x:f>
        <x:v>PASS</x:v>
      </x:c>
      <x:c r="G438" t="str">
        <x:f>IF(ABS(IFERROR(E438-F438,0))&lt;0.0001,IF(OR(ISTEXT(E438),ISTEXT(F438)),IF(E438=F438,"PASS","FAIL"),"PASS"),"FAIL")</x:f>
        <x:v>PASS</x:v>
      </x:c>
      <x:c r="H438" t="str">
        <x:f>G438</x:f>
        <x:v>PASS</x:v>
      </x:c>
    </x:row>
    <x:row r="439">
      <x:c r="B439" t="str">
        <x:v>A-PL-433</x:v>
      </x:c>
      <x:c r="C439" t="str">
        <x:v>gate</x:v>
      </x:c>
      <x:c r="D439" t="str">
        <x:v>PL-DR-27</x:v>
      </x:c>
      <x:c r="E439" s="23" t="str">
        <x:v>PASS</x:v>
      </x:c>
      <x:c r="F439" s="23" t="str">
        <x:f>'Release Gates'!I439</x:f>
        <x:v>PASS</x:v>
      </x:c>
      <x:c r="G439" t="str">
        <x:f>IF(ABS(IFERROR(E439-F439,0))&lt;0.0001,IF(OR(ISTEXT(E439),ISTEXT(F439)),IF(E439=F439,"PASS","FAIL"),"PASS"),"FAIL")</x:f>
        <x:v>PASS</x:v>
      </x:c>
      <x:c r="H439" t="str">
        <x:f>G439</x:f>
        <x:v>PASS</x:v>
      </x:c>
    </x:row>
    <x:row r="440">
      <x:c r="B440" t="str">
        <x:v>A-PL-434</x:v>
      </x:c>
      <x:c r="C440" t="str">
        <x:v>gate</x:v>
      </x:c>
      <x:c r="D440" t="str">
        <x:v>PL-DR-28</x:v>
      </x:c>
      <x:c r="E440" s="23" t="str">
        <x:v>PASS</x:v>
      </x:c>
      <x:c r="F440" s="23" t="str">
        <x:f>'Release Gates'!I440</x:f>
        <x:v>PASS</x:v>
      </x:c>
      <x:c r="G440" t="str">
        <x:f>IF(ABS(IFERROR(E440-F440,0))&lt;0.0001,IF(OR(ISTEXT(E440),ISTEXT(F440)),IF(E440=F440,"PASS","FAIL"),"PASS"),"FAIL")</x:f>
        <x:v>PASS</x:v>
      </x:c>
      <x:c r="H440" t="str">
        <x:f>G440</x:f>
        <x:v>PASS</x:v>
      </x:c>
    </x:row>
    <x:row r="441">
      <x:c r="B441" t="str">
        <x:v>A-PL-435</x:v>
      </x:c>
      <x:c r="C441" t="str">
        <x:v>gate</x:v>
      </x:c>
      <x:c r="D441" t="str">
        <x:v>PL-DR-29</x:v>
      </x:c>
      <x:c r="E441" s="23" t="str">
        <x:v>PASS</x:v>
      </x:c>
      <x:c r="F441" s="23" t="str">
        <x:f>'Release Gates'!I441</x:f>
        <x:v>PASS</x:v>
      </x:c>
      <x:c r="G441" t="str">
        <x:f>IF(ABS(IFERROR(E441-F441,0))&lt;0.0001,IF(OR(ISTEXT(E441),ISTEXT(F441)),IF(E441=F441,"PASS","FAIL"),"PASS"),"FAIL")</x:f>
        <x:v>PASS</x:v>
      </x:c>
      <x:c r="H441" t="str">
        <x:f>G441</x:f>
        <x:v>PASS</x:v>
      </x:c>
    </x:row>
    <x:row r="442">
      <x:c r="B442" t="str">
        <x:v>A-PL-436</x:v>
      </x:c>
      <x:c r="C442" t="str">
        <x:v>gate</x:v>
      </x:c>
      <x:c r="D442" t="str">
        <x:v>PL-DR-30</x:v>
      </x:c>
      <x:c r="E442" s="23" t="str">
        <x:v>PASS</x:v>
      </x:c>
      <x:c r="F442" s="23" t="str">
        <x:f>'Release Gates'!I442</x:f>
        <x:v>PASS</x:v>
      </x:c>
      <x:c r="G442" t="str">
        <x:f>IF(ABS(IFERROR(E442-F442,0))&lt;0.0001,IF(OR(ISTEXT(E442),ISTEXT(F442)),IF(E442=F442,"PASS","FAIL"),"PASS"),"FAIL")</x:f>
        <x:v>PASS</x:v>
      </x:c>
      <x:c r="H442" t="str">
        <x:f>G442</x:f>
        <x:v>PASS</x:v>
      </x:c>
    </x:row>
    <x:row r="443">
      <x:c r="B443" t="str">
        <x:v>A-PL-437</x:v>
      </x:c>
      <x:c r="C443" t="str">
        <x:v>gate</x:v>
      </x:c>
      <x:c r="D443" t="str">
        <x:v>PL-DR-31</x:v>
      </x:c>
      <x:c r="E443" s="23" t="str">
        <x:v>PASS</x:v>
      </x:c>
      <x:c r="F443" s="23" t="str">
        <x:f>'Release Gates'!I443</x:f>
        <x:v>PASS</x:v>
      </x:c>
      <x:c r="G443" t="str">
        <x:f>IF(ABS(IFERROR(E443-F443,0))&lt;0.0001,IF(OR(ISTEXT(E443),ISTEXT(F443)),IF(E443=F443,"PASS","FAIL"),"PASS"),"FAIL")</x:f>
        <x:v>PASS</x:v>
      </x:c>
      <x:c r="H443" t="str">
        <x:f>G443</x:f>
        <x:v>PASS</x:v>
      </x:c>
    </x:row>
    <x:row r="444">
      <x:c r="B444" t="str">
        <x:v>A-PL-438</x:v>
      </x:c>
      <x:c r="C444" t="str">
        <x:v>gate</x:v>
      </x:c>
      <x:c r="D444" t="str">
        <x:v>PL-DR-32</x:v>
      </x:c>
      <x:c r="E444" s="23" t="str">
        <x:v>PASS</x:v>
      </x:c>
      <x:c r="F444" s="23" t="str">
        <x:f>'Release Gates'!I444</x:f>
        <x:v>PASS</x:v>
      </x:c>
      <x:c r="G444" t="str">
        <x:f>IF(ABS(IFERROR(E444-F444,0))&lt;0.0001,IF(OR(ISTEXT(E444),ISTEXT(F444)),IF(E444=F444,"PASS","FAIL"),"PASS"),"FAIL")</x:f>
        <x:v>PASS</x:v>
      </x:c>
      <x:c r="H444" t="str">
        <x:f>G444</x:f>
        <x:v>PASS</x:v>
      </x:c>
    </x:row>
    <x:row r="445">
      <x:c r="B445" t="str">
        <x:v>A-PL-439</x:v>
      </x:c>
      <x:c r="C445" t="str">
        <x:v>gate</x:v>
      </x:c>
      <x:c r="D445" t="str">
        <x:v>PL-DR-33</x:v>
      </x:c>
      <x:c r="E445" s="23" t="str">
        <x:v>PASS</x:v>
      </x:c>
      <x:c r="F445" s="23" t="str">
        <x:f>'Release Gates'!I445</x:f>
        <x:v>PASS</x:v>
      </x:c>
      <x:c r="G445" t="str">
        <x:f>IF(ABS(IFERROR(E445-F445,0))&lt;0.0001,IF(OR(ISTEXT(E445),ISTEXT(F445)),IF(E445=F445,"PASS","FAIL"),"PASS"),"FAIL")</x:f>
        <x:v>PASS</x:v>
      </x:c>
      <x:c r="H445" t="str">
        <x:f>G445</x:f>
        <x:v>PASS</x:v>
      </x:c>
    </x:row>
    <x:row r="446">
      <x:c r="B446" t="str">
        <x:v>A-PL-440</x:v>
      </x:c>
      <x:c r="C446" t="str">
        <x:v>gate</x:v>
      </x:c>
      <x:c r="D446" t="str">
        <x:v>PL-DR-34</x:v>
      </x:c>
      <x:c r="E446" s="23" t="str">
        <x:v>PASS</x:v>
      </x:c>
      <x:c r="F446" s="23" t="str">
        <x:f>'Release Gates'!I446</x:f>
        <x:v>PASS</x:v>
      </x:c>
      <x:c r="G446" t="str">
        <x:f>IF(ABS(IFERROR(E446-F446,0))&lt;0.0001,IF(OR(ISTEXT(E446),ISTEXT(F446)),IF(E446=F446,"PASS","FAIL"),"PASS"),"FAIL")</x:f>
        <x:v>PASS</x:v>
      </x:c>
      <x:c r="H446" t="str">
        <x:f>G446</x:f>
        <x:v>PASS</x:v>
      </x:c>
    </x:row>
    <x:row r="447">
      <x:c r="B447" t="str">
        <x:v>A-PL-441</x:v>
      </x:c>
      <x:c r="C447" t="str">
        <x:v>gate</x:v>
      </x:c>
      <x:c r="D447" t="str">
        <x:v>PL-DR-35</x:v>
      </x:c>
      <x:c r="E447" s="23" t="str">
        <x:v>PASS</x:v>
      </x:c>
      <x:c r="F447" s="23" t="str">
        <x:f>'Release Gates'!I447</x:f>
        <x:v>PASS</x:v>
      </x:c>
      <x:c r="G447" t="str">
        <x:f>IF(ABS(IFERROR(E447-F447,0))&lt;0.0001,IF(OR(ISTEXT(E447),ISTEXT(F447)),IF(E447=F447,"PASS","FAIL"),"PASS"),"FAIL")</x:f>
        <x:v>PASS</x:v>
      </x:c>
      <x:c r="H447" t="str">
        <x:f>G447</x:f>
        <x:v>PASS</x:v>
      </x:c>
    </x:row>
    <x:row r="448">
      <x:c r="B448" t="str">
        <x:v>A-PL-442</x:v>
      </x:c>
      <x:c r="C448" t="str">
        <x:v>gate</x:v>
      </x:c>
      <x:c r="D448" t="str">
        <x:v>PL-DR-36</x:v>
      </x:c>
      <x:c r="E448" s="23" t="str">
        <x:v>PASS</x:v>
      </x:c>
      <x:c r="F448" s="23" t="str">
        <x:f>'Release Gates'!I448</x:f>
        <x:v>PASS</x:v>
      </x:c>
      <x:c r="G448" t="str">
        <x:f>IF(ABS(IFERROR(E448-F448,0))&lt;0.0001,IF(OR(ISTEXT(E448),ISTEXT(F448)),IF(E448=F448,"PASS","FAIL"),"PASS"),"FAIL")</x:f>
        <x:v>PASS</x:v>
      </x:c>
      <x:c r="H448" t="str">
        <x:f>G448</x:f>
        <x:v>PASS</x:v>
      </x:c>
    </x:row>
    <x:row r="449">
      <x:c r="B449" t="str">
        <x:v>A-PL-443</x:v>
      </x:c>
      <x:c r="C449" t="str">
        <x:v>gate</x:v>
      </x:c>
      <x:c r="D449" t="str">
        <x:v>PL-SCH-01</x:v>
      </x:c>
      <x:c r="E449" s="23" t="str">
        <x:v>PASS</x:v>
      </x:c>
      <x:c r="F449" s="23" t="str">
        <x:f>'Release Gates'!I449</x:f>
        <x:v>PASS</x:v>
      </x:c>
      <x:c r="G449" t="str">
        <x:f>IF(ABS(IFERROR(E449-F449,0))&lt;0.0001,IF(OR(ISTEXT(E449),ISTEXT(F449)),IF(E449=F449,"PASS","FAIL"),"PASS"),"FAIL")</x:f>
        <x:v>PASS</x:v>
      </x:c>
      <x:c r="H449" t="str">
        <x:f>G449</x:f>
        <x:v>PASS</x:v>
      </x:c>
    </x:row>
    <x:row r="450">
      <x:c r="B450" t="str">
        <x:v>A-PL-444</x:v>
      </x:c>
      <x:c r="C450" t="str">
        <x:v>gate</x:v>
      </x:c>
      <x:c r="D450" t="str">
        <x:v>PL-SCH-02</x:v>
      </x:c>
      <x:c r="E450" s="23" t="str">
        <x:v>PASS</x:v>
      </x:c>
      <x:c r="F450" s="23" t="str">
        <x:f>'Release Gates'!I450</x:f>
        <x:v>PASS</x:v>
      </x:c>
      <x:c r="G450" t="str">
        <x:f>IF(ABS(IFERROR(E450-F450,0))&lt;0.0001,IF(OR(ISTEXT(E450),ISTEXT(F450)),IF(E450=F450,"PASS","FAIL"),"PASS"),"FAIL")</x:f>
        <x:v>PASS</x:v>
      </x:c>
      <x:c r="H450" t="str">
        <x:f>G450</x:f>
        <x:v>PASS</x:v>
      </x:c>
    </x:row>
    <x:row r="451">
      <x:c r="B451" t="str">
        <x:v>A-PL-445</x:v>
      </x:c>
      <x:c r="C451" t="str">
        <x:v>gate</x:v>
      </x:c>
      <x:c r="D451" t="str">
        <x:v>PL-SCH-03</x:v>
      </x:c>
      <x:c r="E451" s="23" t="str">
        <x:v>PASS</x:v>
      </x:c>
      <x:c r="F451" s="23" t="str">
        <x:f>'Release Gates'!I451</x:f>
        <x:v>PASS</x:v>
      </x:c>
      <x:c r="G451" t="str">
        <x:f>IF(ABS(IFERROR(E451-F451,0))&lt;0.0001,IF(OR(ISTEXT(E451),ISTEXT(F451)),IF(E451=F451,"PASS","FAIL"),"PASS"),"FAIL")</x:f>
        <x:v>PASS</x:v>
      </x:c>
      <x:c r="H451" t="str">
        <x:f>G451</x:f>
        <x:v>PASS</x:v>
      </x:c>
    </x:row>
    <x:row r="452">
      <x:c r="B452" t="str">
        <x:v>A-PL-446</x:v>
      </x:c>
      <x:c r="C452" t="str">
        <x:v>gate</x:v>
      </x:c>
      <x:c r="D452" t="str">
        <x:v>PL-SCH-04</x:v>
      </x:c>
      <x:c r="E452" s="23" t="str">
        <x:v>PASS</x:v>
      </x:c>
      <x:c r="F452" s="23" t="str">
        <x:f>'Release Gates'!I452</x:f>
        <x:v>PASS</x:v>
      </x:c>
      <x:c r="G452" t="str">
        <x:f>IF(ABS(IFERROR(E452-F452,0))&lt;0.0001,IF(OR(ISTEXT(E452),ISTEXT(F452)),IF(E452=F452,"PASS","FAIL"),"PASS"),"FAIL")</x:f>
        <x:v>PASS</x:v>
      </x:c>
      <x:c r="H452" t="str">
        <x:f>G452</x:f>
        <x:v>PASS</x:v>
      </x:c>
    </x:row>
    <x:row r="453">
      <x:c r="B453" t="str">
        <x:v>A-PL-447</x:v>
      </x:c>
      <x:c r="C453" t="str">
        <x:v>gate</x:v>
      </x:c>
      <x:c r="D453" t="str">
        <x:v>PL-SCH-05</x:v>
      </x:c>
      <x:c r="E453" s="23" t="str">
        <x:v>PASS</x:v>
      </x:c>
      <x:c r="F453" s="23" t="str">
        <x:f>'Release Gates'!I453</x:f>
        <x:v>PASS</x:v>
      </x:c>
      <x:c r="G453" t="str">
        <x:f>IF(ABS(IFERROR(E453-F453,0))&lt;0.0001,IF(OR(ISTEXT(E453),ISTEXT(F453)),IF(E453=F453,"PASS","FAIL"),"PASS"),"FAIL")</x:f>
        <x:v>PASS</x:v>
      </x:c>
      <x:c r="H453" t="str">
        <x:f>G453</x:f>
        <x:v>PASS</x:v>
      </x:c>
    </x:row>
    <x:row r="454">
      <x:c r="B454" t="str">
        <x:v>A-PL-448</x:v>
      </x:c>
      <x:c r="C454" t="str">
        <x:v>gate</x:v>
      </x:c>
      <x:c r="D454" t="str">
        <x:v>PL-SCH-06</x:v>
      </x:c>
      <x:c r="E454" s="23" t="str">
        <x:v>PASS</x:v>
      </x:c>
      <x:c r="F454" s="23" t="str">
        <x:f>'Release Gates'!I454</x:f>
        <x:v>PASS</x:v>
      </x:c>
      <x:c r="G454" t="str">
        <x:f>IF(ABS(IFERROR(E454-F454,0))&lt;0.0001,IF(OR(ISTEXT(E454),ISTEXT(F454)),IF(E454=F454,"PASS","FAIL"),"PASS"),"FAIL")</x:f>
        <x:v>PASS</x:v>
      </x:c>
      <x:c r="H454" t="str">
        <x:f>G454</x:f>
        <x:v>PASS</x:v>
      </x:c>
    </x:row>
    <x:row r="455">
      <x:c r="B455" t="str">
        <x:v>A-PL-449</x:v>
      </x:c>
      <x:c r="C455" t="str">
        <x:v>gate</x:v>
      </x:c>
      <x:c r="D455" t="str">
        <x:v>PL-SCH-07</x:v>
      </x:c>
      <x:c r="E455" s="23" t="str">
        <x:v>PASS</x:v>
      </x:c>
      <x:c r="F455" s="23" t="str">
        <x:f>'Release Gates'!I455</x:f>
        <x:v>PASS</x:v>
      </x:c>
      <x:c r="G455" t="str">
        <x:f>IF(ABS(IFERROR(E455-F455,0))&lt;0.0001,IF(OR(ISTEXT(E455),ISTEXT(F455)),IF(E455=F455,"PASS","FAIL"),"PASS"),"FAIL")</x:f>
        <x:v>PASS</x:v>
      </x:c>
      <x:c r="H455" t="str">
        <x:f>G455</x:f>
        <x:v>PASS</x:v>
      </x:c>
    </x:row>
    <x:row r="456">
      <x:c r="B456" t="str">
        <x:v>A-PL-450</x:v>
      </x:c>
      <x:c r="C456" t="str">
        <x:v>gate</x:v>
      </x:c>
      <x:c r="D456" t="str">
        <x:v>PL-SCH-08</x:v>
      </x:c>
      <x:c r="E456" s="23" t="str">
        <x:v>PASS</x:v>
      </x:c>
      <x:c r="F456" s="23" t="str">
        <x:f>'Release Gates'!I456</x:f>
        <x:v>PASS</x:v>
      </x:c>
      <x:c r="G456" t="str">
        <x:f>IF(ABS(IFERROR(E456-F456,0))&lt;0.0001,IF(OR(ISTEXT(E456),ISTEXT(F456)),IF(E456=F456,"PASS","FAIL"),"PASS"),"FAIL")</x:f>
        <x:v>PASS</x:v>
      </x:c>
      <x:c r="H456" t="str">
        <x:f>G456</x:f>
        <x:v>PASS</x:v>
      </x:c>
    </x:row>
    <x:row r="457">
      <x:c r="B457" t="str">
        <x:v>A-PL-451</x:v>
      </x:c>
      <x:c r="C457" t="str">
        <x:v>gate</x:v>
      </x:c>
      <x:c r="D457" t="str">
        <x:v>PL-SCH-09</x:v>
      </x:c>
      <x:c r="E457" s="23" t="str">
        <x:v>PASS</x:v>
      </x:c>
      <x:c r="F457" s="23" t="str">
        <x:f>'Release Gates'!I457</x:f>
        <x:v>PASS</x:v>
      </x:c>
      <x:c r="G457" t="str">
        <x:f>IF(ABS(IFERROR(E457-F457,0))&lt;0.0001,IF(OR(ISTEXT(E457),ISTEXT(F457)),IF(E457=F457,"PASS","FAIL"),"PASS"),"FAIL")</x:f>
        <x:v>PASS</x:v>
      </x:c>
      <x:c r="H457" t="str">
        <x:f>G457</x:f>
        <x:v>PASS</x:v>
      </x:c>
    </x:row>
    <x:row r="458">
      <x:c r="B458" t="str">
        <x:v>A-PL-452</x:v>
      </x:c>
      <x:c r="C458" t="str">
        <x:v>gate</x:v>
      </x:c>
      <x:c r="D458" t="str">
        <x:v>PL-SCH-10</x:v>
      </x:c>
      <x:c r="E458" s="23" t="str">
        <x:v>PASS</x:v>
      </x:c>
      <x:c r="F458" s="23" t="str">
        <x:f>'Release Gates'!I458</x:f>
        <x:v>PASS</x:v>
      </x:c>
      <x:c r="G458" t="str">
        <x:f>IF(ABS(IFERROR(E458-F458,0))&lt;0.0001,IF(OR(ISTEXT(E458),ISTEXT(F458)),IF(E458=F458,"PASS","FAIL"),"PASS"),"FAIL")</x:f>
        <x:v>PASS</x:v>
      </x:c>
      <x:c r="H458" t="str">
        <x:f>G458</x:f>
        <x:v>PASS</x:v>
      </x:c>
    </x:row>
    <x:row r="459">
      <x:c r="B459" t="str">
        <x:v>A-PL-453</x:v>
      </x:c>
      <x:c r="C459" t="str">
        <x:v>gate</x:v>
      </x:c>
      <x:c r="D459" t="str">
        <x:v>PL-WF-01</x:v>
      </x:c>
      <x:c r="E459" s="23" t="str">
        <x:v>PASS</x:v>
      </x:c>
      <x:c r="F459" s="23" t="str">
        <x:f>'Release Gates'!I459</x:f>
        <x:v>PASS</x:v>
      </x:c>
      <x:c r="G459" t="str">
        <x:f>IF(ABS(IFERROR(E459-F459,0))&lt;0.0001,IF(OR(ISTEXT(E459),ISTEXT(F459)),IF(E459=F459,"PASS","FAIL"),"PASS"),"FAIL")</x:f>
        <x:v>PASS</x:v>
      </x:c>
      <x:c r="H459" t="str">
        <x:f>G459</x:f>
        <x:v>PASS</x:v>
      </x:c>
    </x:row>
    <x:row r="460">
      <x:c r="B460" t="str">
        <x:v>A-PL-454</x:v>
      </x:c>
      <x:c r="C460" t="str">
        <x:v>gate</x:v>
      </x:c>
      <x:c r="D460" t="str">
        <x:v>PL-WF-02</x:v>
      </x:c>
      <x:c r="E460" s="23" t="str">
        <x:v>PASS</x:v>
      </x:c>
      <x:c r="F460" s="23" t="str">
        <x:f>'Release Gates'!I460</x:f>
        <x:v>PASS</x:v>
      </x:c>
      <x:c r="G460" t="str">
        <x:f>IF(ABS(IFERROR(E460-F460,0))&lt;0.0001,IF(OR(ISTEXT(E460),ISTEXT(F460)),IF(E460=F460,"PASS","FAIL"),"PASS"),"FAIL")</x:f>
        <x:v>PASS</x:v>
      </x:c>
      <x:c r="H460" t="str">
        <x:f>G460</x:f>
        <x:v>PASS</x:v>
      </x:c>
    </x:row>
    <x:row r="461">
      <x:c r="B461" t="str">
        <x:v>A-PL-455</x:v>
      </x:c>
      <x:c r="C461" t="str">
        <x:v>gate</x:v>
      </x:c>
      <x:c r="D461" t="str">
        <x:v>PL-WF-03</x:v>
      </x:c>
      <x:c r="E461" s="23" t="str">
        <x:v>PASS</x:v>
      </x:c>
      <x:c r="F461" s="23" t="str">
        <x:f>'Release Gates'!I461</x:f>
        <x:v>PASS</x:v>
      </x:c>
      <x:c r="G461" t="str">
        <x:f>IF(ABS(IFERROR(E461-F461,0))&lt;0.0001,IF(OR(ISTEXT(E461),ISTEXT(F461)),IF(E461=F461,"PASS","FAIL"),"PASS"),"FAIL")</x:f>
        <x:v>PASS</x:v>
      </x:c>
      <x:c r="H461" t="str">
        <x:f>G461</x:f>
        <x:v>PASS</x:v>
      </x:c>
    </x:row>
    <x:row r="462">
      <x:c r="B462" t="str">
        <x:v>A-PL-456</x:v>
      </x:c>
      <x:c r="C462" t="str">
        <x:v>gate</x:v>
      </x:c>
      <x:c r="D462" t="str">
        <x:v>PL-WF-04</x:v>
      </x:c>
      <x:c r="E462" s="23" t="str">
        <x:v>PASS</x:v>
      </x:c>
      <x:c r="F462" s="23" t="str">
        <x:f>'Release Gates'!I462</x:f>
        <x:v>PASS</x:v>
      </x:c>
      <x:c r="G462" t="str">
        <x:f>IF(ABS(IFERROR(E462-F462,0))&lt;0.0001,IF(OR(ISTEXT(E462),ISTEXT(F462)),IF(E462=F462,"PASS","FAIL"),"PASS"),"FAIL")</x:f>
        <x:v>PASS</x:v>
      </x:c>
      <x:c r="H462" t="str">
        <x:f>G462</x:f>
        <x:v>PASS</x:v>
      </x:c>
    </x:row>
    <x:row r="463">
      <x:c r="B463" t="str">
        <x:v>A-PL-457</x:v>
      </x:c>
      <x:c r="C463" t="str">
        <x:v>gate</x:v>
      </x:c>
      <x:c r="D463" t="str">
        <x:v>PL-WF-05</x:v>
      </x:c>
      <x:c r="E463" s="23" t="str">
        <x:v>PASS</x:v>
      </x:c>
      <x:c r="F463" s="23" t="str">
        <x:f>'Release Gates'!I463</x:f>
        <x:v>PASS</x:v>
      </x:c>
      <x:c r="G463" t="str">
        <x:f>IF(ABS(IFERROR(E463-F463,0))&lt;0.0001,IF(OR(ISTEXT(E463),ISTEXT(F463)),IF(E463=F463,"PASS","FAIL"),"PASS"),"FAIL")</x:f>
        <x:v>PASS</x:v>
      </x:c>
      <x:c r="H463" t="str">
        <x:f>G463</x:f>
        <x:v>PASS</x:v>
      </x:c>
    </x:row>
    <x:row r="464">
      <x:c r="B464" t="str">
        <x:v>A-PL-458</x:v>
      </x:c>
      <x:c r="C464" t="str">
        <x:v>gate</x:v>
      </x:c>
      <x:c r="D464" t="str">
        <x:v>PL-WF-06</x:v>
      </x:c>
      <x:c r="E464" s="23" t="str">
        <x:v>PASS</x:v>
      </x:c>
      <x:c r="F464" s="23" t="str">
        <x:f>'Release Gates'!I464</x:f>
        <x:v>PASS</x:v>
      </x:c>
      <x:c r="G464" t="str">
        <x:f>IF(ABS(IFERROR(E464-F464,0))&lt;0.0001,IF(OR(ISTEXT(E464),ISTEXT(F464)),IF(E464=F464,"PASS","FAIL"),"PASS"),"FAIL")</x:f>
        <x:v>PASS</x:v>
      </x:c>
      <x:c r="H464" t="str">
        <x:f>G464</x:f>
        <x:v>PASS</x:v>
      </x:c>
    </x:row>
    <x:row r="465">
      <x:c r="B465" t="str">
        <x:v>A-PL-459</x:v>
      </x:c>
      <x:c r="C465" t="str">
        <x:v>gate</x:v>
      </x:c>
      <x:c r="D465" t="str">
        <x:v>PL-WF-07</x:v>
      </x:c>
      <x:c r="E465" s="23" t="str">
        <x:v>PASS</x:v>
      </x:c>
      <x:c r="F465" s="23" t="str">
        <x:f>'Release Gates'!I465</x:f>
        <x:v>PASS</x:v>
      </x:c>
      <x:c r="G465" t="str">
        <x:f>IF(ABS(IFERROR(E465-F465,0))&lt;0.0001,IF(OR(ISTEXT(E465),ISTEXT(F465)),IF(E465=F465,"PASS","FAIL"),"PASS"),"FAIL")</x:f>
        <x:v>PASS</x:v>
      </x:c>
      <x:c r="H465" t="str">
        <x:f>G465</x:f>
        <x:v>PASS</x:v>
      </x:c>
    </x:row>
    <x:row r="466">
      <x:c r="B466" t="str">
        <x:v>A-PL-460</x:v>
      </x:c>
      <x:c r="C466" t="str">
        <x:v>gate</x:v>
      </x:c>
      <x:c r="D466" t="str">
        <x:v>PL-WF-08</x:v>
      </x:c>
      <x:c r="E466" s="23" t="str">
        <x:v>PASS</x:v>
      </x:c>
      <x:c r="F466" s="23" t="str">
        <x:f>'Release Gates'!I466</x:f>
        <x:v>PASS</x:v>
      </x:c>
      <x:c r="G466" t="str">
        <x:f>IF(ABS(IFERROR(E466-F466,0))&lt;0.0001,IF(OR(ISTEXT(E466),ISTEXT(F466)),IF(E466=F466,"PASS","FAIL"),"PASS"),"FAIL")</x:f>
        <x:v>PASS</x:v>
      </x:c>
      <x:c r="H466" t="str">
        <x:f>G466</x:f>
        <x:v>PASS</x:v>
      </x:c>
    </x:row>
    <x:row r="467">
      <x:c r="B467" t="str">
        <x:v>A-PL-461</x:v>
      </x:c>
      <x:c r="C467" t="str">
        <x:v>gate</x:v>
      </x:c>
      <x:c r="D467" t="str">
        <x:v>PL-WF-09</x:v>
      </x:c>
      <x:c r="E467" s="23" t="str">
        <x:v>PASS</x:v>
      </x:c>
      <x:c r="F467" s="23" t="str">
        <x:f>'Release Gates'!I467</x:f>
        <x:v>PASS</x:v>
      </x:c>
      <x:c r="G467" t="str">
        <x:f>IF(ABS(IFERROR(E467-F467,0))&lt;0.0001,IF(OR(ISTEXT(E467),ISTEXT(F467)),IF(E467=F467,"PASS","FAIL"),"PASS"),"FAIL")</x:f>
        <x:v>PASS</x:v>
      </x:c>
      <x:c r="H467" t="str">
        <x:f>G467</x:f>
        <x:v>PASS</x:v>
      </x:c>
    </x:row>
    <x:row r="468">
      <x:c r="B468" t="str">
        <x:v>A-PL-462</x:v>
      </x:c>
      <x:c r="C468" t="str">
        <x:v>gate</x:v>
      </x:c>
      <x:c r="D468" t="str">
        <x:v>PL-CAP-01</x:v>
      </x:c>
      <x:c r="E468" s="23" t="str">
        <x:v>PASS</x:v>
      </x:c>
      <x:c r="F468" s="23" t="str">
        <x:f>'Release Gates'!I468</x:f>
        <x:v>PASS</x:v>
      </x:c>
      <x:c r="G468" t="str">
        <x:f>IF(ABS(IFERROR(E468-F468,0))&lt;0.0001,IF(OR(ISTEXT(E468),ISTEXT(F468)),IF(E468=F468,"PASS","FAIL"),"PASS"),"FAIL")</x:f>
        <x:v>PASS</x:v>
      </x:c>
      <x:c r="H468" t="str">
        <x:f>G468</x:f>
        <x:v>PASS</x:v>
      </x:c>
    </x:row>
    <x:row r="469">
      <x:c r="B469" t="str">
        <x:v>A-PL-463</x:v>
      </x:c>
      <x:c r="C469" t="str">
        <x:v>gate</x:v>
      </x:c>
      <x:c r="D469" t="str">
        <x:v>PL-CAP-02</x:v>
      </x:c>
      <x:c r="E469" s="23" t="str">
        <x:v>PASS</x:v>
      </x:c>
      <x:c r="F469" s="23" t="str">
        <x:f>'Release Gates'!I469</x:f>
        <x:v>PASS</x:v>
      </x:c>
      <x:c r="G469" t="str">
        <x:f>IF(ABS(IFERROR(E469-F469,0))&lt;0.0001,IF(OR(ISTEXT(E469),ISTEXT(F469)),IF(E469=F469,"PASS","FAIL"),"PASS"),"FAIL")</x:f>
        <x:v>PASS</x:v>
      </x:c>
      <x:c r="H469" t="str">
        <x:f>G469</x:f>
        <x:v>PASS</x:v>
      </x:c>
    </x:row>
    <x:row r="470">
      <x:c r="B470" t="str">
        <x:v>A-PL-464</x:v>
      </x:c>
      <x:c r="C470" t="str">
        <x:v>gate</x:v>
      </x:c>
      <x:c r="D470" t="str">
        <x:v>PL-CAP-03</x:v>
      </x:c>
      <x:c r="E470" s="23" t="str">
        <x:v>PASS</x:v>
      </x:c>
      <x:c r="F470" s="23" t="str">
        <x:f>'Release Gates'!I470</x:f>
        <x:v>PASS</x:v>
      </x:c>
      <x:c r="G470" t="str">
        <x:f>IF(ABS(IFERROR(E470-F470,0))&lt;0.0001,IF(OR(ISTEXT(E470),ISTEXT(F470)),IF(E470=F470,"PASS","FAIL"),"PASS"),"FAIL")</x:f>
        <x:v>PASS</x:v>
      </x:c>
      <x:c r="H470" t="str">
        <x:f>G470</x:f>
        <x:v>PASS</x:v>
      </x:c>
    </x:row>
    <x:row r="471">
      <x:c r="B471" t="str">
        <x:v>A-PL-465</x:v>
      </x:c>
      <x:c r="C471" t="str">
        <x:v>gate</x:v>
      </x:c>
      <x:c r="D471" t="str">
        <x:v>PL-CAP-04</x:v>
      </x:c>
      <x:c r="E471" s="23" t="str">
        <x:v>PASS</x:v>
      </x:c>
      <x:c r="F471" s="23" t="str">
        <x:f>'Release Gates'!I471</x:f>
        <x:v>PASS</x:v>
      </x:c>
      <x:c r="G471" t="str">
        <x:f>IF(ABS(IFERROR(E471-F471,0))&lt;0.0001,IF(OR(ISTEXT(E471),ISTEXT(F471)),IF(E471=F471,"PASS","FAIL"),"PASS"),"FAIL")</x:f>
        <x:v>PASS</x:v>
      </x:c>
      <x:c r="H471" t="str">
        <x:f>G471</x:f>
        <x:v>PASS</x:v>
      </x:c>
    </x:row>
    <x:row r="472">
      <x:c r="B472" t="str">
        <x:v>A-PL-466</x:v>
      </x:c>
      <x:c r="C472" t="str">
        <x:v>gate</x:v>
      </x:c>
      <x:c r="D472" t="str">
        <x:v>PL-CAP-05</x:v>
      </x:c>
      <x:c r="E472" s="23" t="str">
        <x:v>PASS</x:v>
      </x:c>
      <x:c r="F472" s="23" t="str">
        <x:f>'Release Gates'!I472</x:f>
        <x:v>PASS</x:v>
      </x:c>
      <x:c r="G472" t="str">
        <x:f>IF(ABS(IFERROR(E472-F472,0))&lt;0.0001,IF(OR(ISTEXT(E472),ISTEXT(F472)),IF(E472=F472,"PASS","FAIL"),"PASS"),"FAIL")</x:f>
        <x:v>PASS</x:v>
      </x:c>
      <x:c r="H472" t="str">
        <x:f>G472</x:f>
        <x:v>PASS</x:v>
      </x:c>
    </x:row>
    <x:row r="473">
      <x:c r="B473" t="str">
        <x:v>A-PL-467</x:v>
      </x:c>
      <x:c r="C473" t="str">
        <x:v>gate</x:v>
      </x:c>
      <x:c r="D473" t="str">
        <x:v>PL-CAP-06</x:v>
      </x:c>
      <x:c r="E473" s="23" t="str">
        <x:v>PASS</x:v>
      </x:c>
      <x:c r="F473" s="23" t="str">
        <x:f>'Release Gates'!I473</x:f>
        <x:v>PASS</x:v>
      </x:c>
      <x:c r="G473" t="str">
        <x:f>IF(ABS(IFERROR(E473-F473,0))&lt;0.0001,IF(OR(ISTEXT(E473),ISTEXT(F473)),IF(E473=F473,"PASS","FAIL"),"PASS"),"FAIL")</x:f>
        <x:v>PASS</x:v>
      </x:c>
      <x:c r="H473" t="str">
        <x:f>G473</x:f>
        <x:v>PASS</x:v>
      </x:c>
    </x:row>
    <x:row r="474">
      <x:c r="B474" t="str">
        <x:v>A-PL-468</x:v>
      </x:c>
      <x:c r="C474" t="str">
        <x:v>gate</x:v>
      </x:c>
      <x:c r="D474" t="str">
        <x:v>PL-CAP-07</x:v>
      </x:c>
      <x:c r="E474" s="23" t="str">
        <x:v>PASS</x:v>
      </x:c>
      <x:c r="F474" s="23" t="str">
        <x:f>'Release Gates'!I474</x:f>
        <x:v>PASS</x:v>
      </x:c>
      <x:c r="G474" t="str">
        <x:f>IF(ABS(IFERROR(E474-F474,0))&lt;0.0001,IF(OR(ISTEXT(E474),ISTEXT(F474)),IF(E474=F474,"PASS","FAIL"),"PASS"),"FAIL")</x:f>
        <x:v>PASS</x:v>
      </x:c>
      <x:c r="H474" t="str">
        <x:f>G474</x:f>
        <x:v>PASS</x:v>
      </x:c>
    </x:row>
    <x:row r="475">
      <x:c r="B475" t="str">
        <x:v>A-PL-469</x:v>
      </x:c>
      <x:c r="C475" t="str">
        <x:v>gate</x:v>
      </x:c>
      <x:c r="D475" t="str">
        <x:v>PL-CAP-08</x:v>
      </x:c>
      <x:c r="E475" s="23" t="str">
        <x:v>PASS</x:v>
      </x:c>
      <x:c r="F475" s="23" t="str">
        <x:f>'Release Gates'!I475</x:f>
        <x:v>PASS</x:v>
      </x:c>
      <x:c r="G475" t="str">
        <x:f>IF(ABS(IFERROR(E475-F475,0))&lt;0.0001,IF(OR(ISTEXT(E475),ISTEXT(F475)),IF(E475=F475,"PASS","FAIL"),"PASS"),"FAIL")</x:f>
        <x:v>PASS</x:v>
      </x:c>
      <x:c r="H475" t="str">
        <x:f>G475</x:f>
        <x:v>PASS</x:v>
      </x:c>
    </x:row>
    <x:row r="476">
      <x:c r="B476" t="str">
        <x:v>A-PL-470</x:v>
      </x:c>
      <x:c r="C476" t="str">
        <x:v>gate</x:v>
      </x:c>
      <x:c r="D476" t="str">
        <x:v>PL-CAP-09</x:v>
      </x:c>
      <x:c r="E476" s="23" t="str">
        <x:v>PASS</x:v>
      </x:c>
      <x:c r="F476" s="23" t="str">
        <x:f>'Release Gates'!I476</x:f>
        <x:v>PASS</x:v>
      </x:c>
      <x:c r="G476" t="str">
        <x:f>IF(ABS(IFERROR(E476-F476,0))&lt;0.0001,IF(OR(ISTEXT(E476),ISTEXT(F476)),IF(E476=F476,"PASS","FAIL"),"PASS"),"FAIL")</x:f>
        <x:v>PASS</x:v>
      </x:c>
      <x:c r="H476" t="str">
        <x:f>G476</x:f>
        <x:v>PASS</x:v>
      </x:c>
    </x:row>
    <x:row r="477">
      <x:c r="B477" t="str">
        <x:v>A-PL-471</x:v>
      </x:c>
      <x:c r="C477" t="str">
        <x:v>gate</x:v>
      </x:c>
      <x:c r="D477" t="str">
        <x:v>PL-CAP-10</x:v>
      </x:c>
      <x:c r="E477" s="23" t="str">
        <x:v>PASS</x:v>
      </x:c>
      <x:c r="F477" s="23" t="str">
        <x:f>'Release Gates'!I477</x:f>
        <x:v>PASS</x:v>
      </x:c>
      <x:c r="G477" t="str">
        <x:f>IF(ABS(IFERROR(E477-F477,0))&lt;0.0001,IF(OR(ISTEXT(E477),ISTEXT(F477)),IF(E477=F477,"PASS","FAIL"),"PASS"),"FAIL")</x:f>
        <x:v>PASS</x:v>
      </x:c>
      <x:c r="H477" t="str">
        <x:f>G477</x:f>
        <x:v>PASS</x:v>
      </x:c>
    </x:row>
    <x:row r="478">
      <x:c r="B478" t="str">
        <x:v>A-PL-472</x:v>
      </x:c>
      <x:c r="C478" t="str">
        <x:v>gate</x:v>
      </x:c>
      <x:c r="D478" t="str">
        <x:v>PL-CAP-11</x:v>
      </x:c>
      <x:c r="E478" s="23" t="str">
        <x:v>PASS</x:v>
      </x:c>
      <x:c r="F478" s="23" t="str">
        <x:f>'Release Gates'!I478</x:f>
        <x:v>PASS</x:v>
      </x:c>
      <x:c r="G478" t="str">
        <x:f>IF(ABS(IFERROR(E478-F478,0))&lt;0.0001,IF(OR(ISTEXT(E478),ISTEXT(F478)),IF(E478=F478,"PASS","FAIL"),"PASS"),"FAIL")</x:f>
        <x:v>PASS</x:v>
      </x:c>
      <x:c r="H478" t="str">
        <x:f>G478</x:f>
        <x:v>PASS</x:v>
      </x:c>
    </x:row>
    <x:row r="479">
      <x:c r="B479" t="str">
        <x:v>A-PL-473</x:v>
      </x:c>
      <x:c r="C479" t="str">
        <x:v>gate</x:v>
      </x:c>
      <x:c r="D479" t="str">
        <x:v>PL-ANN-01</x:v>
      </x:c>
      <x:c r="E479" s="23" t="str">
        <x:v>PASS</x:v>
      </x:c>
      <x:c r="F479" s="23" t="str">
        <x:f>'Release Gates'!I479</x:f>
        <x:v>PASS</x:v>
      </x:c>
      <x:c r="G479" t="str">
        <x:f>IF(ABS(IFERROR(E479-F479,0))&lt;0.0001,IF(OR(ISTEXT(E479),ISTEXT(F479)),IF(E479=F479,"PASS","FAIL"),"PASS"),"FAIL")</x:f>
        <x:v>PASS</x:v>
      </x:c>
      <x:c r="H479" t="str">
        <x:f>G479</x:f>
        <x:v>PASS</x:v>
      </x:c>
    </x:row>
    <x:row r="480">
      <x:c r="B480" t="str">
        <x:v>A-PL-474</x:v>
      </x:c>
      <x:c r="C480" t="str">
        <x:v>gate</x:v>
      </x:c>
      <x:c r="D480" t="str">
        <x:v>PL-ANN-02</x:v>
      </x:c>
      <x:c r="E480" s="23" t="str">
        <x:v>PASS</x:v>
      </x:c>
      <x:c r="F480" s="23" t="str">
        <x:f>'Release Gates'!I480</x:f>
        <x:v>PASS</x:v>
      </x:c>
      <x:c r="G480" t="str">
        <x:f>IF(ABS(IFERROR(E480-F480,0))&lt;0.0001,IF(OR(ISTEXT(E480),ISTEXT(F480)),IF(E480=F480,"PASS","FAIL"),"PASS"),"FAIL")</x:f>
        <x:v>PASS</x:v>
      </x:c>
      <x:c r="H480" t="str">
        <x:f>G480</x:f>
        <x:v>PASS</x:v>
      </x:c>
    </x:row>
    <x:row r="481">
      <x:c r="B481" t="str">
        <x:v>A-PL-475</x:v>
      </x:c>
      <x:c r="C481" t="str">
        <x:v>gate</x:v>
      </x:c>
      <x:c r="D481" t="str">
        <x:v>PL-ANN-03</x:v>
      </x:c>
      <x:c r="E481" s="23" t="str">
        <x:v>PASS</x:v>
      </x:c>
      <x:c r="F481" s="23" t="str">
        <x:f>'Release Gates'!I481</x:f>
        <x:v>PASS</x:v>
      </x:c>
      <x:c r="G481" t="str">
        <x:f>IF(ABS(IFERROR(E481-F481,0))&lt;0.0001,IF(OR(ISTEXT(E481),ISTEXT(F481)),IF(E481=F481,"PASS","FAIL"),"PASS"),"FAIL")</x:f>
        <x:v>PASS</x:v>
      </x:c>
      <x:c r="H481" t="str">
        <x:f>G481</x:f>
        <x:v>PASS</x:v>
      </x:c>
    </x:row>
    <x:row r="482">
      <x:c r="B482" t="str">
        <x:v>A-PL-476</x:v>
      </x:c>
      <x:c r="C482" t="str">
        <x:v>gate</x:v>
      </x:c>
      <x:c r="D482" t="str">
        <x:v>PL-ANN-04</x:v>
      </x:c>
      <x:c r="E482" s="23" t="str">
        <x:v>PASS</x:v>
      </x:c>
      <x:c r="F482" s="23" t="str">
        <x:f>'Release Gates'!I482</x:f>
        <x:v>PASS</x:v>
      </x:c>
      <x:c r="G482" t="str">
        <x:f>IF(ABS(IFERROR(E482-F482,0))&lt;0.0001,IF(OR(ISTEXT(E482),ISTEXT(F482)),IF(E482=F482,"PASS","FAIL"),"PASS"),"FAIL")</x:f>
        <x:v>PASS</x:v>
      </x:c>
      <x:c r="H482" t="str">
        <x:f>G482</x:f>
        <x:v>PASS</x:v>
      </x:c>
    </x:row>
    <x:row r="483">
      <x:c r="B483" t="str">
        <x:v>A-PL-477</x:v>
      </x:c>
      <x:c r="C483" t="str">
        <x:v>gate</x:v>
      </x:c>
      <x:c r="D483" t="str">
        <x:v>PL-ANN-05</x:v>
      </x:c>
      <x:c r="E483" s="23" t="str">
        <x:v>PASS</x:v>
      </x:c>
      <x:c r="F483" s="23" t="str">
        <x:f>'Release Gates'!I483</x:f>
        <x:v>PASS</x:v>
      </x:c>
      <x:c r="G483" t="str">
        <x:f>IF(ABS(IFERROR(E483-F483,0))&lt;0.0001,IF(OR(ISTEXT(E483),ISTEXT(F483)),IF(E483=F483,"PASS","FAIL"),"PASS"),"FAIL")</x:f>
        <x:v>PASS</x:v>
      </x:c>
      <x:c r="H483" t="str">
        <x:f>G483</x:f>
        <x:v>PASS</x:v>
      </x:c>
    </x:row>
    <x:row r="484">
      <x:c r="B484" t="str">
        <x:v>A-PL-478</x:v>
      </x:c>
      <x:c r="C484" t="str">
        <x:v>gate</x:v>
      </x:c>
      <x:c r="D484" t="str">
        <x:v>PL-ANN-06</x:v>
      </x:c>
      <x:c r="E484" s="23" t="str">
        <x:v>PASS</x:v>
      </x:c>
      <x:c r="F484" s="23" t="str">
        <x:f>'Release Gates'!I484</x:f>
        <x:v>PASS</x:v>
      </x:c>
      <x:c r="G484" t="str">
        <x:f>IF(ABS(IFERROR(E484-F484,0))&lt;0.0001,IF(OR(ISTEXT(E484),ISTEXT(F484)),IF(E484=F484,"PASS","FAIL"),"PASS"),"FAIL")</x:f>
        <x:v>PASS</x:v>
      </x:c>
      <x:c r="H484" t="str">
        <x:f>G484</x:f>
        <x:v>PASS</x:v>
      </x:c>
    </x:row>
    <x:row r="485">
      <x:c r="B485" t="str">
        <x:v>A-PL-479</x:v>
      </x:c>
      <x:c r="C485" t="str">
        <x:v>gate</x:v>
      </x:c>
      <x:c r="D485" t="str">
        <x:v>PL-AUTH-1</x:v>
      </x:c>
      <x:c r="E485" s="23" t="str">
        <x:v>PASS</x:v>
      </x:c>
      <x:c r="F485" s="23" t="str">
        <x:f>'Release Gates'!I485</x:f>
        <x:v>PASS</x:v>
      </x:c>
      <x:c r="G485" t="str">
        <x:f>IF(ABS(IFERROR(E485-F485,0))&lt;0.0001,IF(OR(ISTEXT(E485),ISTEXT(F485)),IF(E485=F485,"PASS","FAIL"),"PASS"),"FAIL")</x:f>
        <x:v>PASS</x:v>
      </x:c>
      <x:c r="H485" t="str">
        <x:f>G485</x:f>
        <x:v>PASS</x:v>
      </x:c>
    </x:row>
    <x:row r="486">
      <x:c r="B486" t="str">
        <x:v>A-PL-480</x:v>
      </x:c>
      <x:c r="C486" t="str">
        <x:v>gate</x:v>
      </x:c>
      <x:c r="D486" t="str">
        <x:v>PL-AUTH-2</x:v>
      </x:c>
      <x:c r="E486" s="23" t="str">
        <x:v>PASS</x:v>
      </x:c>
      <x:c r="F486" s="23" t="str">
        <x:f>'Release Gates'!I486</x:f>
        <x:v>PASS</x:v>
      </x:c>
      <x:c r="G486" t="str">
        <x:f>IF(ABS(IFERROR(E486-F486,0))&lt;0.0001,IF(OR(ISTEXT(E486),ISTEXT(F486)),IF(E486=F486,"PASS","FAIL"),"PASS"),"FAIL")</x:f>
        <x:v>PASS</x:v>
      </x:c>
      <x:c r="H486" t="str">
        <x:f>G486</x:f>
        <x:v>PASS</x:v>
      </x:c>
    </x:row>
    <x:row r="487">
      <x:c r="B487" t="str">
        <x:v>A-PL-481</x:v>
      </x:c>
      <x:c r="C487" t="str">
        <x:v>gate</x:v>
      </x:c>
      <x:c r="D487" t="str">
        <x:v>PL-AUTH-3</x:v>
      </x:c>
      <x:c r="E487" s="23" t="str">
        <x:v>PASS</x:v>
      </x:c>
      <x:c r="F487" s="23" t="str">
        <x:f>'Release Gates'!I487</x:f>
        <x:v>PASS</x:v>
      </x:c>
      <x:c r="G487" t="str">
        <x:f>IF(ABS(IFERROR(E487-F487,0))&lt;0.0001,IF(OR(ISTEXT(E487),ISTEXT(F487)),IF(E487=F487,"PASS","FAIL"),"PASS"),"FAIL")</x:f>
        <x:v>PASS</x:v>
      </x:c>
      <x:c r="H487" t="str">
        <x:f>G487</x:f>
        <x:v>PASS</x:v>
      </x:c>
    </x:row>
    <x:row r="488">
      <x:c r="B488" t="str">
        <x:v>A-PL-482</x:v>
      </x:c>
      <x:c r="C488" t="str">
        <x:v>gate</x:v>
      </x:c>
      <x:c r="D488" t="str">
        <x:v>PL-AUTH-4</x:v>
      </x:c>
      <x:c r="E488" s="23" t="str">
        <x:v>PASS</x:v>
      </x:c>
      <x:c r="F488" s="23" t="str">
        <x:f>'Release Gates'!I488</x:f>
        <x:v>PASS</x:v>
      </x:c>
      <x:c r="G488" t="str">
        <x:f>IF(ABS(IFERROR(E488-F488,0))&lt;0.0001,IF(OR(ISTEXT(E488),ISTEXT(F488)),IF(E488=F488,"PASS","FAIL"),"PASS"),"FAIL")</x:f>
        <x:v>PASS</x:v>
      </x:c>
      <x:c r="H488" t="str">
        <x:f>G488</x:f>
        <x:v>PASS</x:v>
      </x:c>
    </x:row>
    <x:row r="489">
      <x:c r="B489" t="str">
        <x:v>A-PL-483</x:v>
      </x:c>
      <x:c r="C489" t="str">
        <x:v>gate</x:v>
      </x:c>
      <x:c r="D489" t="str">
        <x:v>PL-AUTH-5</x:v>
      </x:c>
      <x:c r="E489" s="23" t="str">
        <x:v>PASS</x:v>
      </x:c>
      <x:c r="F489" s="23" t="str">
        <x:f>'Release Gates'!I489</x:f>
        <x:v>PASS</x:v>
      </x:c>
      <x:c r="G489" t="str">
        <x:f>IF(ABS(IFERROR(E489-F489,0))&lt;0.0001,IF(OR(ISTEXT(E489),ISTEXT(F489)),IF(E489=F489,"PASS","FAIL"),"PASS"),"FAIL")</x:f>
        <x:v>PASS</x:v>
      </x:c>
      <x:c r="H489" t="str">
        <x:f>G489</x:f>
        <x:v>PASS</x:v>
      </x:c>
    </x:row>
    <x:row r="490">
      <x:c r="B490" t="str">
        <x:v>A-PH-001</x:v>
      </x:c>
      <x:c r="C490" t="str">
        <x:v>gate</x:v>
      </x:c>
      <x:c r="D490" t="str">
        <x:v>PH-ART-01</x:v>
      </x:c>
      <x:c r="E490" s="23" t="str">
        <x:v>OPEN</x:v>
      </x:c>
      <x:c r="F490" s="23" t="str">
        <x:f>'Release Gates'!I490</x:f>
        <x:v>OPEN</x:v>
      </x:c>
      <x:c r="G490" t="str">
        <x:f>IF(ABS(IFERROR(E490-F490,0))&lt;0.0001,IF(OR(ISTEXT(E490),ISTEXT(F490)),IF(E490=F490,"PASS","FAIL"),"PASS"),"FAIL")</x:f>
        <x:v>PASS</x:v>
      </x:c>
      <x:c r="H490" t="str">
        <x:f>G490</x:f>
        <x:v>PASS</x:v>
      </x:c>
    </x:row>
    <x:row r="491">
      <x:c r="B491" t="str">
        <x:v>A-PH-002</x:v>
      </x:c>
      <x:c r="C491" t="str">
        <x:v>gate</x:v>
      </x:c>
      <x:c r="D491" t="str">
        <x:v>PH-ART-02</x:v>
      </x:c>
      <x:c r="E491" s="23" t="str">
        <x:v>OPEN</x:v>
      </x:c>
      <x:c r="F491" s="23" t="str">
        <x:f>'Release Gates'!I491</x:f>
        <x:v>OPEN</x:v>
      </x:c>
      <x:c r="G491" t="str">
        <x:f>IF(ABS(IFERROR(E491-F491,0))&lt;0.0001,IF(OR(ISTEXT(E491),ISTEXT(F491)),IF(E491=F491,"PASS","FAIL"),"PASS"),"FAIL")</x:f>
        <x:v>PASS</x:v>
      </x:c>
      <x:c r="H491" t="str">
        <x:f>G491</x:f>
        <x:v>PASS</x:v>
      </x:c>
    </x:row>
    <x:row r="492">
      <x:c r="B492" t="str">
        <x:v>A-PH-003</x:v>
      </x:c>
      <x:c r="C492" t="str">
        <x:v>gate</x:v>
      </x:c>
      <x:c r="D492" t="str">
        <x:v>PH-ART-03</x:v>
      </x:c>
      <x:c r="E492" s="23" t="str">
        <x:v>OPEN</x:v>
      </x:c>
      <x:c r="F492" s="23" t="str">
        <x:f>'Release Gates'!I492</x:f>
        <x:v>OPEN</x:v>
      </x:c>
      <x:c r="G492" t="str">
        <x:f>IF(ABS(IFERROR(E492-F492,0))&lt;0.0001,IF(OR(ISTEXT(E492),ISTEXT(F492)),IF(E492=F492,"PASS","FAIL"),"PASS"),"FAIL")</x:f>
        <x:v>PASS</x:v>
      </x:c>
      <x:c r="H492" t="str">
        <x:f>G492</x:f>
        <x:v>PASS</x:v>
      </x:c>
    </x:row>
    <x:row r="493">
      <x:c r="B493" t="str">
        <x:v>A-PH-004</x:v>
      </x:c>
      <x:c r="C493" t="str">
        <x:v>gate</x:v>
      </x:c>
      <x:c r="D493" t="str">
        <x:v>PH-ART-04</x:v>
      </x:c>
      <x:c r="E493" s="23" t="str">
        <x:v>OPEN</x:v>
      </x:c>
      <x:c r="F493" s="23" t="str">
        <x:f>'Release Gates'!I493</x:f>
        <x:v>OPEN</x:v>
      </x:c>
      <x:c r="G493" t="str">
        <x:f>IF(ABS(IFERROR(E493-F493,0))&lt;0.0001,IF(OR(ISTEXT(E493),ISTEXT(F493)),IF(E493=F493,"PASS","FAIL"),"PASS"),"FAIL")</x:f>
        <x:v>PASS</x:v>
      </x:c>
      <x:c r="H493" t="str">
        <x:f>G493</x:f>
        <x:v>PASS</x:v>
      </x:c>
    </x:row>
    <x:row r="494">
      <x:c r="B494" t="str">
        <x:v>A-PH-005</x:v>
      </x:c>
      <x:c r="C494" t="str">
        <x:v>gate</x:v>
      </x:c>
      <x:c r="D494" t="str">
        <x:v>PH-ART-05</x:v>
      </x:c>
      <x:c r="E494" s="23" t="str">
        <x:v>OPEN</x:v>
      </x:c>
      <x:c r="F494" s="23" t="str">
        <x:f>'Release Gates'!I494</x:f>
        <x:v>OPEN</x:v>
      </x:c>
      <x:c r="G494" t="str">
        <x:f>IF(ABS(IFERROR(E494-F494,0))&lt;0.0001,IF(OR(ISTEXT(E494),ISTEXT(F494)),IF(E494=F494,"PASS","FAIL"),"PASS"),"FAIL")</x:f>
        <x:v>PASS</x:v>
      </x:c>
      <x:c r="H494" t="str">
        <x:f>G494</x:f>
        <x:v>PASS</x:v>
      </x:c>
    </x:row>
    <x:row r="495">
      <x:c r="B495" t="str">
        <x:v>A-PH-006</x:v>
      </x:c>
      <x:c r="C495" t="str">
        <x:v>gate</x:v>
      </x:c>
      <x:c r="D495" t="str">
        <x:v>PH-ART-06</x:v>
      </x:c>
      <x:c r="E495" s="23" t="str">
        <x:v>OPEN</x:v>
      </x:c>
      <x:c r="F495" s="23" t="str">
        <x:f>'Release Gates'!I495</x:f>
        <x:v>OPEN</x:v>
      </x:c>
      <x:c r="G495" t="str">
        <x:f>IF(ABS(IFERROR(E495-F495,0))&lt;0.0001,IF(OR(ISTEXT(E495),ISTEXT(F495)),IF(E495=F495,"PASS","FAIL"),"PASS"),"FAIL")</x:f>
        <x:v>PASS</x:v>
      </x:c>
      <x:c r="H495" t="str">
        <x:f>G495</x:f>
        <x:v>PASS</x:v>
      </x:c>
    </x:row>
    <x:row r="496">
      <x:c r="B496" t="str">
        <x:v>A-PH-007</x:v>
      </x:c>
      <x:c r="C496" t="str">
        <x:v>gate</x:v>
      </x:c>
      <x:c r="D496" t="str">
        <x:v>PH-ART-07</x:v>
      </x:c>
      <x:c r="E496" s="23" t="str">
        <x:v>OPEN</x:v>
      </x:c>
      <x:c r="F496" s="23" t="str">
        <x:f>'Release Gates'!I496</x:f>
        <x:v>OPEN</x:v>
      </x:c>
      <x:c r="G496" t="str">
        <x:f>IF(ABS(IFERROR(E496-F496,0))&lt;0.0001,IF(OR(ISTEXT(E496),ISTEXT(F496)),IF(E496=F496,"PASS","FAIL"),"PASS"),"FAIL")</x:f>
        <x:v>PASS</x:v>
      </x:c>
      <x:c r="H496" t="str">
        <x:f>G496</x:f>
        <x:v>PASS</x:v>
      </x:c>
    </x:row>
    <x:row r="497">
      <x:c r="B497" t="str">
        <x:v>A-PH-008</x:v>
      </x:c>
      <x:c r="C497" t="str">
        <x:v>gate</x:v>
      </x:c>
      <x:c r="D497" t="str">
        <x:v>PH-ART-08</x:v>
      </x:c>
      <x:c r="E497" s="23" t="str">
        <x:v>OPEN</x:v>
      </x:c>
      <x:c r="F497" s="23" t="str">
        <x:f>'Release Gates'!I497</x:f>
        <x:v>OPEN</x:v>
      </x:c>
      <x:c r="G497" t="str">
        <x:f>IF(ABS(IFERROR(E497-F497,0))&lt;0.0001,IF(OR(ISTEXT(E497),ISTEXT(F497)),IF(E497=F497,"PASS","FAIL"),"PASS"),"FAIL")</x:f>
        <x:v>PASS</x:v>
      </x:c>
      <x:c r="H497" t="str">
        <x:f>G497</x:f>
        <x:v>PASS</x:v>
      </x:c>
    </x:row>
    <x:row r="498">
      <x:c r="B498" t="str">
        <x:v>A-PH-009</x:v>
      </x:c>
      <x:c r="C498" t="str">
        <x:v>gate</x:v>
      </x:c>
      <x:c r="D498" t="str">
        <x:v>PH-ART-09</x:v>
      </x:c>
      <x:c r="E498" s="23" t="str">
        <x:v>OPEN</x:v>
      </x:c>
      <x:c r="F498" s="23" t="str">
        <x:f>'Release Gates'!I498</x:f>
        <x:v>OPEN</x:v>
      </x:c>
      <x:c r="G498" t="str">
        <x:f>IF(ABS(IFERROR(E498-F498,0))&lt;0.0001,IF(OR(ISTEXT(E498),ISTEXT(F498)),IF(E498=F498,"PASS","FAIL"),"PASS"),"FAIL")</x:f>
        <x:v>PASS</x:v>
      </x:c>
      <x:c r="H498" t="str">
        <x:f>G498</x:f>
        <x:v>PASS</x:v>
      </x:c>
    </x:row>
    <x:row r="499">
      <x:c r="B499" t="str">
        <x:v>A-PH-010</x:v>
      </x:c>
      <x:c r="C499" t="str">
        <x:v>gate</x:v>
      </x:c>
      <x:c r="D499" t="str">
        <x:v>PH-ART-10</x:v>
      </x:c>
      <x:c r="E499" s="23" t="str">
        <x:v>OPEN</x:v>
      </x:c>
      <x:c r="F499" s="23" t="str">
        <x:f>'Release Gates'!I499</x:f>
        <x:v>OPEN</x:v>
      </x:c>
      <x:c r="G499" t="str">
        <x:f>IF(ABS(IFERROR(E499-F499,0))&lt;0.0001,IF(OR(ISTEXT(E499),ISTEXT(F499)),IF(E499=F499,"PASS","FAIL"),"PASS"),"FAIL")</x:f>
        <x:v>PASS</x:v>
      </x:c>
      <x:c r="H499" t="str">
        <x:f>G499</x:f>
        <x:v>PASS</x:v>
      </x:c>
    </x:row>
    <x:row r="500">
      <x:c r="B500" t="str">
        <x:v>A-PH-011</x:v>
      </x:c>
      <x:c r="C500" t="str">
        <x:v>gate</x:v>
      </x:c>
      <x:c r="D500" t="str">
        <x:v>PH-ART-11</x:v>
      </x:c>
      <x:c r="E500" s="23" t="str">
        <x:v>OPEN</x:v>
      </x:c>
      <x:c r="F500" s="23" t="str">
        <x:f>'Release Gates'!I500</x:f>
        <x:v>OPEN</x:v>
      </x:c>
      <x:c r="G500" t="str">
        <x:f>IF(ABS(IFERROR(E500-F500,0))&lt;0.0001,IF(OR(ISTEXT(E500),ISTEXT(F500)),IF(E500=F500,"PASS","FAIL"),"PASS"),"FAIL")</x:f>
        <x:v>PASS</x:v>
      </x:c>
      <x:c r="H500" t="str">
        <x:f>G500</x:f>
        <x:v>PASS</x:v>
      </x:c>
    </x:row>
    <x:row r="501">
      <x:c r="B501" t="str">
        <x:v>A-PH-012</x:v>
      </x:c>
      <x:c r="C501" t="str">
        <x:v>gate</x:v>
      </x:c>
      <x:c r="D501" t="str">
        <x:v>PH-ART-12</x:v>
      </x:c>
      <x:c r="E501" s="23" t="str">
        <x:v>OPEN</x:v>
      </x:c>
      <x:c r="F501" s="23" t="str">
        <x:f>'Release Gates'!I501</x:f>
        <x:v>OPEN</x:v>
      </x:c>
      <x:c r="G501" t="str">
        <x:f>IF(ABS(IFERROR(E501-F501,0))&lt;0.0001,IF(OR(ISTEXT(E501),ISTEXT(F501)),IF(E501=F501,"PASS","FAIL"),"PASS"),"FAIL")</x:f>
        <x:v>PASS</x:v>
      </x:c>
      <x:c r="H501" t="str">
        <x:f>G501</x:f>
        <x:v>PASS</x:v>
      </x:c>
    </x:row>
    <x:row r="502">
      <x:c r="B502" t="str">
        <x:v>A-PH-013</x:v>
      </x:c>
      <x:c r="C502" t="str">
        <x:v>gate</x:v>
      </x:c>
      <x:c r="D502" t="str">
        <x:v>PH-ART-13</x:v>
      </x:c>
      <x:c r="E502" s="23" t="str">
        <x:v>OPEN</x:v>
      </x:c>
      <x:c r="F502" s="23" t="str">
        <x:f>'Release Gates'!I502</x:f>
        <x:v>OPEN</x:v>
      </x:c>
      <x:c r="G502" t="str">
        <x:f>IF(ABS(IFERROR(E502-F502,0))&lt;0.0001,IF(OR(ISTEXT(E502),ISTEXT(F502)),IF(E502=F502,"PASS","FAIL"),"PASS"),"FAIL")</x:f>
        <x:v>PASS</x:v>
      </x:c>
      <x:c r="H502" t="str">
        <x:f>G502</x:f>
        <x:v>PASS</x:v>
      </x:c>
    </x:row>
    <x:row r="503">
      <x:c r="B503" t="str">
        <x:v>A-PH-014</x:v>
      </x:c>
      <x:c r="C503" t="str">
        <x:v>gate</x:v>
      </x:c>
      <x:c r="D503" t="str">
        <x:v>PH-ART-14</x:v>
      </x:c>
      <x:c r="E503" s="23" t="str">
        <x:v>OPEN</x:v>
      </x:c>
      <x:c r="F503" s="23" t="str">
        <x:f>'Release Gates'!I503</x:f>
        <x:v>OPEN</x:v>
      </x:c>
      <x:c r="G503" t="str">
        <x:f>IF(ABS(IFERROR(E503-F503,0))&lt;0.0001,IF(OR(ISTEXT(E503),ISTEXT(F503)),IF(E503=F503,"PASS","FAIL"),"PASS"),"FAIL")</x:f>
        <x:v>PASS</x:v>
      </x:c>
      <x:c r="H503" t="str">
        <x:f>G503</x:f>
        <x:v>PASS</x:v>
      </x:c>
    </x:row>
    <x:row r="504">
      <x:c r="B504" t="str">
        <x:v>A-PH-015</x:v>
      </x:c>
      <x:c r="C504" t="str">
        <x:v>gate</x:v>
      </x:c>
      <x:c r="D504" t="str">
        <x:v>PH-ART-15</x:v>
      </x:c>
      <x:c r="E504" s="23" t="str">
        <x:v>OPEN</x:v>
      </x:c>
      <x:c r="F504" s="23" t="str">
        <x:f>'Release Gates'!I504</x:f>
        <x:v>OPEN</x:v>
      </x:c>
      <x:c r="G504" t="str">
        <x:f>IF(ABS(IFERROR(E504-F504,0))&lt;0.0001,IF(OR(ISTEXT(E504),ISTEXT(F504)),IF(E504=F504,"PASS","FAIL"),"PASS"),"FAIL")</x:f>
        <x:v>PASS</x:v>
      </x:c>
      <x:c r="H504" t="str">
        <x:f>G504</x:f>
        <x:v>PASS</x:v>
      </x:c>
    </x:row>
    <x:row r="505">
      <x:c r="B505" t="str">
        <x:v>A-PH-016</x:v>
      </x:c>
      <x:c r="C505" t="str">
        <x:v>gate</x:v>
      </x:c>
      <x:c r="D505" t="str">
        <x:v>PH-ART-16</x:v>
      </x:c>
      <x:c r="E505" s="23" t="str">
        <x:v>OPEN</x:v>
      </x:c>
      <x:c r="F505" s="23" t="str">
        <x:f>'Release Gates'!I505</x:f>
        <x:v>OPEN</x:v>
      </x:c>
      <x:c r="G505" t="str">
        <x:f>IF(ABS(IFERROR(E505-F505,0))&lt;0.0001,IF(OR(ISTEXT(E505),ISTEXT(F505)),IF(E505=F505,"PASS","FAIL"),"PASS"),"FAIL")</x:f>
        <x:v>PASS</x:v>
      </x:c>
      <x:c r="H505" t="str">
        <x:f>G505</x:f>
        <x:v>PASS</x:v>
      </x:c>
    </x:row>
    <x:row r="506">
      <x:c r="B506" t="str">
        <x:v>A-PH-017</x:v>
      </x:c>
      <x:c r="C506" t="str">
        <x:v>gate</x:v>
      </x:c>
      <x:c r="D506" t="str">
        <x:v>PH-ART-17</x:v>
      </x:c>
      <x:c r="E506" s="23" t="str">
        <x:v>OPEN</x:v>
      </x:c>
      <x:c r="F506" s="23" t="str">
        <x:f>'Release Gates'!I506</x:f>
        <x:v>OPEN</x:v>
      </x:c>
      <x:c r="G506" t="str">
        <x:f>IF(ABS(IFERROR(E506-F506,0))&lt;0.0001,IF(OR(ISTEXT(E506),ISTEXT(F506)),IF(E506=F506,"PASS","FAIL"),"PASS"),"FAIL")</x:f>
        <x:v>PASS</x:v>
      </x:c>
      <x:c r="H506" t="str">
        <x:f>G506</x:f>
        <x:v>PASS</x:v>
      </x:c>
    </x:row>
    <x:row r="507">
      <x:c r="B507" t="str">
        <x:v>A-PH-018</x:v>
      </x:c>
      <x:c r="C507" t="str">
        <x:v>gate</x:v>
      </x:c>
      <x:c r="D507" t="str">
        <x:v>PH-ART-18</x:v>
      </x:c>
      <x:c r="E507" s="23" t="str">
        <x:v>OPEN</x:v>
      </x:c>
      <x:c r="F507" s="23" t="str">
        <x:f>'Release Gates'!I507</x:f>
        <x:v>OPEN</x:v>
      </x:c>
      <x:c r="G507" t="str">
        <x:f>IF(ABS(IFERROR(E507-F507,0))&lt;0.0001,IF(OR(ISTEXT(E507),ISTEXT(F507)),IF(E507=F507,"PASS","FAIL"),"PASS"),"FAIL")</x:f>
        <x:v>PASS</x:v>
      </x:c>
      <x:c r="H507" t="str">
        <x:f>G507</x:f>
        <x:v>PASS</x:v>
      </x:c>
    </x:row>
    <x:row r="508">
      <x:c r="B508" t="str">
        <x:v>A-PH-019</x:v>
      </x:c>
      <x:c r="C508" t="str">
        <x:v>gate</x:v>
      </x:c>
      <x:c r="D508" t="str">
        <x:v>PH-ART-19</x:v>
      </x:c>
      <x:c r="E508" s="23" t="str">
        <x:v>OPEN</x:v>
      </x:c>
      <x:c r="F508" s="23" t="str">
        <x:f>'Release Gates'!I508</x:f>
        <x:v>OPEN</x:v>
      </x:c>
      <x:c r="G508" t="str">
        <x:f>IF(ABS(IFERROR(E508-F508,0))&lt;0.0001,IF(OR(ISTEXT(E508),ISTEXT(F508)),IF(E508=F508,"PASS","FAIL"),"PASS"),"FAIL")</x:f>
        <x:v>PASS</x:v>
      </x:c>
      <x:c r="H508" t="str">
        <x:f>G508</x:f>
        <x:v>PASS</x:v>
      </x:c>
    </x:row>
    <x:row r="509">
      <x:c r="B509" t="str">
        <x:v>A-PH-020</x:v>
      </x:c>
      <x:c r="C509" t="str">
        <x:v>gate</x:v>
      </x:c>
      <x:c r="D509" t="str">
        <x:v>PH-ART-20</x:v>
      </x:c>
      <x:c r="E509" s="23" t="str">
        <x:v>OPEN</x:v>
      </x:c>
      <x:c r="F509" s="23" t="str">
        <x:f>'Release Gates'!I509</x:f>
        <x:v>OPEN</x:v>
      </x:c>
      <x:c r="G509" t="str">
        <x:f>IF(ABS(IFERROR(E509-F509,0))&lt;0.0001,IF(OR(ISTEXT(E509),ISTEXT(F509)),IF(E509=F509,"PASS","FAIL"),"PASS"),"FAIL")</x:f>
        <x:v>PASS</x:v>
      </x:c>
      <x:c r="H509" t="str">
        <x:f>G509</x:f>
        <x:v>PASS</x:v>
      </x:c>
    </x:row>
    <x:row r="510">
      <x:c r="B510" t="str">
        <x:v>A-PH-021</x:v>
      </x:c>
      <x:c r="C510" t="str">
        <x:v>gate</x:v>
      </x:c>
      <x:c r="D510" t="str">
        <x:v>PH-ART-21</x:v>
      </x:c>
      <x:c r="E510" s="23" t="str">
        <x:v>OPEN</x:v>
      </x:c>
      <x:c r="F510" s="23" t="str">
        <x:f>'Release Gates'!I510</x:f>
        <x:v>OPEN</x:v>
      </x:c>
      <x:c r="G510" t="str">
        <x:f>IF(ABS(IFERROR(E510-F510,0))&lt;0.0001,IF(OR(ISTEXT(E510),ISTEXT(F510)),IF(E510=F510,"PASS","FAIL"),"PASS"),"FAIL")</x:f>
        <x:v>PASS</x:v>
      </x:c>
      <x:c r="H510" t="str">
        <x:f>G510</x:f>
        <x:v>PASS</x:v>
      </x:c>
    </x:row>
    <x:row r="511">
      <x:c r="B511" t="str">
        <x:v>A-PH-022</x:v>
      </x:c>
      <x:c r="C511" t="str">
        <x:v>gate</x:v>
      </x:c>
      <x:c r="D511" t="str">
        <x:v>PH-ART-22</x:v>
      </x:c>
      <x:c r="E511" s="23" t="str">
        <x:v>OPEN</x:v>
      </x:c>
      <x:c r="F511" s="23" t="str">
        <x:f>'Release Gates'!I511</x:f>
        <x:v>OPEN</x:v>
      </x:c>
      <x:c r="G511" t="str">
        <x:f>IF(ABS(IFERROR(E511-F511,0))&lt;0.0001,IF(OR(ISTEXT(E511),ISTEXT(F511)),IF(E511=F511,"PASS","FAIL"),"PASS"),"FAIL")</x:f>
        <x:v>PASS</x:v>
      </x:c>
      <x:c r="H511" t="str">
        <x:f>G511</x:f>
        <x:v>PASS</x:v>
      </x:c>
    </x:row>
    <x:row r="512">
      <x:c r="B512" t="str">
        <x:v>A-PH-023</x:v>
      </x:c>
      <x:c r="C512" t="str">
        <x:v>gate</x:v>
      </x:c>
      <x:c r="D512" t="str">
        <x:v>PH-ART-23</x:v>
      </x:c>
      <x:c r="E512" s="23" t="str">
        <x:v>OPEN</x:v>
      </x:c>
      <x:c r="F512" s="23" t="str">
        <x:f>'Release Gates'!I512</x:f>
        <x:v>OPEN</x:v>
      </x:c>
      <x:c r="G512" t="str">
        <x:f>IF(ABS(IFERROR(E512-F512,0))&lt;0.0001,IF(OR(ISTEXT(E512),ISTEXT(F512)),IF(E512=F512,"PASS","FAIL"),"PASS"),"FAIL")</x:f>
        <x:v>PASS</x:v>
      </x:c>
      <x:c r="H512" t="str">
        <x:f>G512</x:f>
        <x:v>PASS</x:v>
      </x:c>
    </x:row>
    <x:row r="513">
      <x:c r="B513" t="str">
        <x:v>A-PH-024</x:v>
      </x:c>
      <x:c r="C513" t="str">
        <x:v>gate</x:v>
      </x:c>
      <x:c r="D513" t="str">
        <x:v>PH-ART-24</x:v>
      </x:c>
      <x:c r="E513" s="23" t="str">
        <x:v>OPEN</x:v>
      </x:c>
      <x:c r="F513" s="23" t="str">
        <x:f>'Release Gates'!I513</x:f>
        <x:v>OPEN</x:v>
      </x:c>
      <x:c r="G513" t="str">
        <x:f>IF(ABS(IFERROR(E513-F513,0))&lt;0.0001,IF(OR(ISTEXT(E513),ISTEXT(F513)),IF(E513=F513,"PASS","FAIL"),"PASS"),"FAIL")</x:f>
        <x:v>PASS</x:v>
      </x:c>
      <x:c r="H513" t="str">
        <x:f>G513</x:f>
        <x:v>PASS</x:v>
      </x:c>
    </x:row>
    <x:row r="514">
      <x:c r="B514" t="str">
        <x:v>A-PH-025</x:v>
      </x:c>
      <x:c r="C514" t="str">
        <x:v>gate</x:v>
      </x:c>
      <x:c r="D514" t="str">
        <x:v>PH-ART-25</x:v>
      </x:c>
      <x:c r="E514" s="23" t="str">
        <x:v>OPEN</x:v>
      </x:c>
      <x:c r="F514" s="23" t="str">
        <x:f>'Release Gates'!I514</x:f>
        <x:v>OPEN</x:v>
      </x:c>
      <x:c r="G514" t="str">
        <x:f>IF(ABS(IFERROR(E514-F514,0))&lt;0.0001,IF(OR(ISTEXT(E514),ISTEXT(F514)),IF(E514=F514,"PASS","FAIL"),"PASS"),"FAIL")</x:f>
        <x:v>PASS</x:v>
      </x:c>
      <x:c r="H514" t="str">
        <x:f>G514</x:f>
        <x:v>PASS</x:v>
      </x:c>
    </x:row>
    <x:row r="515">
      <x:c r="B515" t="str">
        <x:v>A-PH-026</x:v>
      </x:c>
      <x:c r="C515" t="str">
        <x:v>gate</x:v>
      </x:c>
      <x:c r="D515" t="str">
        <x:v>PH-ART-26</x:v>
      </x:c>
      <x:c r="E515" s="23" t="str">
        <x:v>OPEN</x:v>
      </x:c>
      <x:c r="F515" s="23" t="str">
        <x:f>'Release Gates'!I515</x:f>
        <x:v>OPEN</x:v>
      </x:c>
      <x:c r="G515" t="str">
        <x:f>IF(ABS(IFERROR(E515-F515,0))&lt;0.0001,IF(OR(ISTEXT(E515),ISTEXT(F515)),IF(E515=F515,"PASS","FAIL"),"PASS"),"FAIL")</x:f>
        <x:v>PASS</x:v>
      </x:c>
      <x:c r="H515" t="str">
        <x:f>G515</x:f>
        <x:v>PASS</x:v>
      </x:c>
    </x:row>
    <x:row r="516">
      <x:c r="B516" t="str">
        <x:v>A-PH-027</x:v>
      </x:c>
      <x:c r="C516" t="str">
        <x:v>gate</x:v>
      </x:c>
      <x:c r="D516" t="str">
        <x:v>PH-ART-27</x:v>
      </x:c>
      <x:c r="E516" s="23" t="str">
        <x:v>OPEN</x:v>
      </x:c>
      <x:c r="F516" s="23" t="str">
        <x:f>'Release Gates'!I516</x:f>
        <x:v>OPEN</x:v>
      </x:c>
      <x:c r="G516" t="str">
        <x:f>IF(ABS(IFERROR(E516-F516,0))&lt;0.0001,IF(OR(ISTEXT(E516),ISTEXT(F516)),IF(E516=F516,"PASS","FAIL"),"PASS"),"FAIL")</x:f>
        <x:v>PASS</x:v>
      </x:c>
      <x:c r="H516" t="str">
        <x:f>G516</x:f>
        <x:v>PASS</x:v>
      </x:c>
    </x:row>
    <x:row r="517">
      <x:c r="B517" t="str">
        <x:v>A-PH-028</x:v>
      </x:c>
      <x:c r="C517" t="str">
        <x:v>gate</x:v>
      </x:c>
      <x:c r="D517" t="str">
        <x:v>PH-ART-28</x:v>
      </x:c>
      <x:c r="E517" s="23" t="str">
        <x:v>OPEN</x:v>
      </x:c>
      <x:c r="F517" s="23" t="str">
        <x:f>'Release Gates'!I517</x:f>
        <x:v>OPEN</x:v>
      </x:c>
      <x:c r="G517" t="str">
        <x:f>IF(ABS(IFERROR(E517-F517,0))&lt;0.0001,IF(OR(ISTEXT(E517),ISTEXT(F517)),IF(E517=F517,"PASS","FAIL"),"PASS"),"FAIL")</x:f>
        <x:v>PASS</x:v>
      </x:c>
      <x:c r="H517" t="str">
        <x:f>G517</x:f>
        <x:v>PASS</x:v>
      </x:c>
    </x:row>
    <x:row r="518">
      <x:c r="B518" t="str">
        <x:v>A-PH-029</x:v>
      </x:c>
      <x:c r="C518" t="str">
        <x:v>gate</x:v>
      </x:c>
      <x:c r="D518" t="str">
        <x:v>PH-ART-29</x:v>
      </x:c>
      <x:c r="E518" s="23" t="str">
        <x:v>OPEN</x:v>
      </x:c>
      <x:c r="F518" s="23" t="str">
        <x:f>'Release Gates'!I518</x:f>
        <x:v>OPEN</x:v>
      </x:c>
      <x:c r="G518" t="str">
        <x:f>IF(ABS(IFERROR(E518-F518,0))&lt;0.0001,IF(OR(ISTEXT(E518),ISTEXT(F518)),IF(E518=F518,"PASS","FAIL"),"PASS"),"FAIL")</x:f>
        <x:v>PASS</x:v>
      </x:c>
      <x:c r="H518" t="str">
        <x:f>G518</x:f>
        <x:v>PASS</x:v>
      </x:c>
    </x:row>
    <x:row r="519">
      <x:c r="B519" t="str">
        <x:v>A-PH-030</x:v>
      </x:c>
      <x:c r="C519" t="str">
        <x:v>gate</x:v>
      </x:c>
      <x:c r="D519" t="str">
        <x:v>PH-ART-30</x:v>
      </x:c>
      <x:c r="E519" s="23" t="str">
        <x:v>OPEN</x:v>
      </x:c>
      <x:c r="F519" s="23" t="str">
        <x:f>'Release Gates'!I519</x:f>
        <x:v>OPEN</x:v>
      </x:c>
      <x:c r="G519" t="str">
        <x:f>IF(ABS(IFERROR(E519-F519,0))&lt;0.0001,IF(OR(ISTEXT(E519),ISTEXT(F519)),IF(E519=F519,"PASS","FAIL"),"PASS"),"FAIL")</x:f>
        <x:v>PASS</x:v>
      </x:c>
      <x:c r="H519" t="str">
        <x:f>G519</x:f>
        <x:v>PASS</x:v>
      </x:c>
    </x:row>
    <x:row r="520">
      <x:c r="B520" t="str">
        <x:v>A-PH-031</x:v>
      </x:c>
      <x:c r="C520" t="str">
        <x:v>gate</x:v>
      </x:c>
      <x:c r="D520" t="str">
        <x:v>PH-ART-31</x:v>
      </x:c>
      <x:c r="E520" s="23" t="str">
        <x:v>OPEN</x:v>
      </x:c>
      <x:c r="F520" s="23" t="str">
        <x:f>'Release Gates'!I520</x:f>
        <x:v>OPEN</x:v>
      </x:c>
      <x:c r="G520" t="str">
        <x:f>IF(ABS(IFERROR(E520-F520,0))&lt;0.0001,IF(OR(ISTEXT(E520),ISTEXT(F520)),IF(E520=F520,"PASS","FAIL"),"PASS"),"FAIL")</x:f>
        <x:v>PASS</x:v>
      </x:c>
      <x:c r="H520" t="str">
        <x:f>G520</x:f>
        <x:v>PASS</x:v>
      </x:c>
    </x:row>
    <x:row r="521">
      <x:c r="B521" t="str">
        <x:v>A-PH-032</x:v>
      </x:c>
      <x:c r="C521" t="str">
        <x:v>gate</x:v>
      </x:c>
      <x:c r="D521" t="str">
        <x:v>PH-ART-32</x:v>
      </x:c>
      <x:c r="E521" s="23" t="str">
        <x:v>OPEN</x:v>
      </x:c>
      <x:c r="F521" s="23" t="str">
        <x:f>'Release Gates'!I521</x:f>
        <x:v>OPEN</x:v>
      </x:c>
      <x:c r="G521" t="str">
        <x:f>IF(ABS(IFERROR(E521-F521,0))&lt;0.0001,IF(OR(ISTEXT(E521),ISTEXT(F521)),IF(E521=F521,"PASS","FAIL"),"PASS"),"FAIL")</x:f>
        <x:v>PASS</x:v>
      </x:c>
      <x:c r="H521" t="str">
        <x:f>G521</x:f>
        <x:v>PASS</x:v>
      </x:c>
    </x:row>
    <x:row r="522">
      <x:c r="B522" t="str">
        <x:v>A-PH-033</x:v>
      </x:c>
      <x:c r="C522" t="str">
        <x:v>gate</x:v>
      </x:c>
      <x:c r="D522" t="str">
        <x:v>PH-ART-33</x:v>
      </x:c>
      <x:c r="E522" s="23" t="str">
        <x:v>OPEN</x:v>
      </x:c>
      <x:c r="F522" s="23" t="str">
        <x:f>'Release Gates'!I522</x:f>
        <x:v>OPEN</x:v>
      </x:c>
      <x:c r="G522" t="str">
        <x:f>IF(ABS(IFERROR(E522-F522,0))&lt;0.0001,IF(OR(ISTEXT(E522),ISTEXT(F522)),IF(E522=F522,"PASS","FAIL"),"PASS"),"FAIL")</x:f>
        <x:v>PASS</x:v>
      </x:c>
      <x:c r="H522" t="str">
        <x:f>G522</x:f>
        <x:v>PASS</x:v>
      </x:c>
    </x:row>
    <x:row r="523">
      <x:c r="B523" t="str">
        <x:v>A-PH-034</x:v>
      </x:c>
      <x:c r="C523" t="str">
        <x:v>gate</x:v>
      </x:c>
      <x:c r="D523" t="str">
        <x:v>PH-ART-34</x:v>
      </x:c>
      <x:c r="E523" s="23" t="str">
        <x:v>OPEN</x:v>
      </x:c>
      <x:c r="F523" s="23" t="str">
        <x:f>'Release Gates'!I523</x:f>
        <x:v>OPEN</x:v>
      </x:c>
      <x:c r="G523" t="str">
        <x:f>IF(ABS(IFERROR(E523-F523,0))&lt;0.0001,IF(OR(ISTEXT(E523),ISTEXT(F523)),IF(E523=F523,"PASS","FAIL"),"PASS"),"FAIL")</x:f>
        <x:v>PASS</x:v>
      </x:c>
      <x:c r="H523" t="str">
        <x:f>G523</x:f>
        <x:v>PASS</x:v>
      </x:c>
    </x:row>
    <x:row r="524">
      <x:c r="B524" t="str">
        <x:v>A-PH-035</x:v>
      </x:c>
      <x:c r="C524" t="str">
        <x:v>gate</x:v>
      </x:c>
      <x:c r="D524" t="str">
        <x:v>PH-ART-35</x:v>
      </x:c>
      <x:c r="E524" s="23" t="str">
        <x:v>OPEN</x:v>
      </x:c>
      <x:c r="F524" s="23" t="str">
        <x:f>'Release Gates'!I524</x:f>
        <x:v>OPEN</x:v>
      </x:c>
      <x:c r="G524" t="str">
        <x:f>IF(ABS(IFERROR(E524-F524,0))&lt;0.0001,IF(OR(ISTEXT(E524),ISTEXT(F524)),IF(E524=F524,"PASS","FAIL"),"PASS"),"FAIL")</x:f>
        <x:v>PASS</x:v>
      </x:c>
      <x:c r="H524" t="str">
        <x:f>G524</x:f>
        <x:v>PASS</x:v>
      </x:c>
    </x:row>
    <x:row r="525">
      <x:c r="B525" t="str">
        <x:v>A-PH-036</x:v>
      </x:c>
      <x:c r="C525" t="str">
        <x:v>gate</x:v>
      </x:c>
      <x:c r="D525" t="str">
        <x:v>PH-ART-36</x:v>
      </x:c>
      <x:c r="E525" s="23" t="str">
        <x:v>OPEN</x:v>
      </x:c>
      <x:c r="F525" s="23" t="str">
        <x:f>'Release Gates'!I525</x:f>
        <x:v>OPEN</x:v>
      </x:c>
      <x:c r="G525" t="str">
        <x:f>IF(ABS(IFERROR(E525-F525,0))&lt;0.0001,IF(OR(ISTEXT(E525),ISTEXT(F525)),IF(E525=F525,"PASS","FAIL"),"PASS"),"FAIL")</x:f>
        <x:v>PASS</x:v>
      </x:c>
      <x:c r="H525" t="str">
        <x:f>G525</x:f>
        <x:v>PASS</x:v>
      </x:c>
    </x:row>
    <x:row r="526">
      <x:c r="B526" t="str">
        <x:v>A-PH-037</x:v>
      </x:c>
      <x:c r="C526" t="str">
        <x:v>gate</x:v>
      </x:c>
      <x:c r="D526" t="str">
        <x:v>PH-ART-37</x:v>
      </x:c>
      <x:c r="E526" s="23" t="str">
        <x:v>OPEN</x:v>
      </x:c>
      <x:c r="F526" s="23" t="str">
        <x:f>'Release Gates'!I526</x:f>
        <x:v>OPEN</x:v>
      </x:c>
      <x:c r="G526" t="str">
        <x:f>IF(ABS(IFERROR(E526-F526,0))&lt;0.0001,IF(OR(ISTEXT(E526),ISTEXT(F526)),IF(E526=F526,"PASS","FAIL"),"PASS"),"FAIL")</x:f>
        <x:v>PASS</x:v>
      </x:c>
      <x:c r="H526" t="str">
        <x:f>G526</x:f>
        <x:v>PASS</x:v>
      </x:c>
    </x:row>
    <x:row r="527">
      <x:c r="B527" t="str">
        <x:v>A-PH-038</x:v>
      </x:c>
      <x:c r="C527" t="str">
        <x:v>gate</x:v>
      </x:c>
      <x:c r="D527" t="str">
        <x:v>PH-ART-38</x:v>
      </x:c>
      <x:c r="E527" s="23" t="str">
        <x:v>OPEN</x:v>
      </x:c>
      <x:c r="F527" s="23" t="str">
        <x:f>'Release Gates'!I527</x:f>
        <x:v>OPEN</x:v>
      </x:c>
      <x:c r="G527" t="str">
        <x:f>IF(ABS(IFERROR(E527-F527,0))&lt;0.0001,IF(OR(ISTEXT(E527),ISTEXT(F527)),IF(E527=F527,"PASS","FAIL"),"PASS"),"FAIL")</x:f>
        <x:v>PASS</x:v>
      </x:c>
      <x:c r="H527" t="str">
        <x:f>G527</x:f>
        <x:v>PASS</x:v>
      </x:c>
    </x:row>
    <x:row r="528">
      <x:c r="B528" t="str">
        <x:v>A-PH-039</x:v>
      </x:c>
      <x:c r="C528" t="str">
        <x:v>gate</x:v>
      </x:c>
      <x:c r="D528" t="str">
        <x:v>PH-ART-39</x:v>
      </x:c>
      <x:c r="E528" s="23" t="str">
        <x:v>OPEN</x:v>
      </x:c>
      <x:c r="F528" s="23" t="str">
        <x:f>'Release Gates'!I528</x:f>
        <x:v>OPEN</x:v>
      </x:c>
      <x:c r="G528" t="str">
        <x:f>IF(ABS(IFERROR(E528-F528,0))&lt;0.0001,IF(OR(ISTEXT(E528),ISTEXT(F528)),IF(E528=F528,"PASS","FAIL"),"PASS"),"FAIL")</x:f>
        <x:v>PASS</x:v>
      </x:c>
      <x:c r="H528" t="str">
        <x:f>G528</x:f>
        <x:v>PASS</x:v>
      </x:c>
    </x:row>
    <x:row r="529">
      <x:c r="B529" t="str">
        <x:v>A-PH-040</x:v>
      </x:c>
      <x:c r="C529" t="str">
        <x:v>gate</x:v>
      </x:c>
      <x:c r="D529" t="str">
        <x:v>PH-ART-40</x:v>
      </x:c>
      <x:c r="E529" s="23" t="str">
        <x:v>OPEN</x:v>
      </x:c>
      <x:c r="F529" s="23" t="str">
        <x:f>'Release Gates'!I529</x:f>
        <x:v>OPEN</x:v>
      </x:c>
      <x:c r="G529" t="str">
        <x:f>IF(ABS(IFERROR(E529-F529,0))&lt;0.0001,IF(OR(ISTEXT(E529),ISTEXT(F529)),IF(E529=F529,"PASS","FAIL"),"PASS"),"FAIL")</x:f>
        <x:v>PASS</x:v>
      </x:c>
      <x:c r="H529" t="str">
        <x:f>G529</x:f>
        <x:v>PASS</x:v>
      </x:c>
    </x:row>
    <x:row r="530">
      <x:c r="B530" t="str">
        <x:v>A-PH-041</x:v>
      </x:c>
      <x:c r="C530" t="str">
        <x:v>gate</x:v>
      </x:c>
      <x:c r="D530" t="str">
        <x:v>PH-ART-41</x:v>
      </x:c>
      <x:c r="E530" s="23" t="str">
        <x:v>OPEN</x:v>
      </x:c>
      <x:c r="F530" s="23" t="str">
        <x:f>'Release Gates'!I530</x:f>
        <x:v>OPEN</x:v>
      </x:c>
      <x:c r="G530" t="str">
        <x:f>IF(ABS(IFERROR(E530-F530,0))&lt;0.0001,IF(OR(ISTEXT(E530),ISTEXT(F530)),IF(E530=F530,"PASS","FAIL"),"PASS"),"FAIL")</x:f>
        <x:v>PASS</x:v>
      </x:c>
      <x:c r="H530" t="str">
        <x:f>G530</x:f>
        <x:v>PASS</x:v>
      </x:c>
    </x:row>
    <x:row r="531">
      <x:c r="B531" t="str">
        <x:v>A-PH-042</x:v>
      </x:c>
      <x:c r="C531" t="str">
        <x:v>gate</x:v>
      </x:c>
      <x:c r="D531" t="str">
        <x:v>PH-ART-42</x:v>
      </x:c>
      <x:c r="E531" s="23" t="str">
        <x:v>OPEN</x:v>
      </x:c>
      <x:c r="F531" s="23" t="str">
        <x:f>'Release Gates'!I531</x:f>
        <x:v>OPEN</x:v>
      </x:c>
      <x:c r="G531" t="str">
        <x:f>IF(ABS(IFERROR(E531-F531,0))&lt;0.0001,IF(OR(ISTEXT(E531),ISTEXT(F531)),IF(E531=F531,"PASS","FAIL"),"PASS"),"FAIL")</x:f>
        <x:v>PASS</x:v>
      </x:c>
      <x:c r="H531" t="str">
        <x:f>G531</x:f>
        <x:v>PASS</x:v>
      </x:c>
    </x:row>
    <x:row r="532">
      <x:c r="B532" t="str">
        <x:v>A-PH-043</x:v>
      </x:c>
      <x:c r="C532" t="str">
        <x:v>gate</x:v>
      </x:c>
      <x:c r="D532" t="str">
        <x:v>PH-ART-43</x:v>
      </x:c>
      <x:c r="E532" s="23" t="str">
        <x:v>OPEN</x:v>
      </x:c>
      <x:c r="F532" s="23" t="str">
        <x:f>'Release Gates'!I532</x:f>
        <x:v>OPEN</x:v>
      </x:c>
      <x:c r="G532" t="str">
        <x:f>IF(ABS(IFERROR(E532-F532,0))&lt;0.0001,IF(OR(ISTEXT(E532),ISTEXT(F532)),IF(E532=F532,"PASS","FAIL"),"PASS"),"FAIL")</x:f>
        <x:v>PASS</x:v>
      </x:c>
      <x:c r="H532" t="str">
        <x:f>G532</x:f>
        <x:v>PASS</x:v>
      </x:c>
    </x:row>
    <x:row r="533">
      <x:c r="B533" t="str">
        <x:v>A-PH-044</x:v>
      </x:c>
      <x:c r="C533" t="str">
        <x:v>gate</x:v>
      </x:c>
      <x:c r="D533" t="str">
        <x:v>PH-ART-44</x:v>
      </x:c>
      <x:c r="E533" s="23" t="str">
        <x:v>OPEN</x:v>
      </x:c>
      <x:c r="F533" s="23" t="str">
        <x:f>'Release Gates'!I533</x:f>
        <x:v>OPEN</x:v>
      </x:c>
      <x:c r="G533" t="str">
        <x:f>IF(ABS(IFERROR(E533-F533,0))&lt;0.0001,IF(OR(ISTEXT(E533),ISTEXT(F533)),IF(E533=F533,"PASS","FAIL"),"PASS"),"FAIL")</x:f>
        <x:v>PASS</x:v>
      </x:c>
      <x:c r="H533" t="str">
        <x:f>G533</x:f>
        <x:v>PASS</x:v>
      </x:c>
    </x:row>
    <x:row r="534">
      <x:c r="B534" t="str">
        <x:v>A-PH-045</x:v>
      </x:c>
      <x:c r="C534" t="str">
        <x:v>gate</x:v>
      </x:c>
      <x:c r="D534" t="str">
        <x:v>PH-ART-45</x:v>
      </x:c>
      <x:c r="E534" s="23" t="str">
        <x:v>OPEN</x:v>
      </x:c>
      <x:c r="F534" s="23" t="str">
        <x:f>'Release Gates'!I534</x:f>
        <x:v>OPEN</x:v>
      </x:c>
      <x:c r="G534" t="str">
        <x:f>IF(ABS(IFERROR(E534-F534,0))&lt;0.0001,IF(OR(ISTEXT(E534),ISTEXT(F534)),IF(E534=F534,"PASS","FAIL"),"PASS"),"FAIL")</x:f>
        <x:v>PASS</x:v>
      </x:c>
      <x:c r="H534" t="str">
        <x:f>G534</x:f>
        <x:v>PASS</x:v>
      </x:c>
    </x:row>
    <x:row r="535">
      <x:c r="B535" t="str">
        <x:v>A-PH-046</x:v>
      </x:c>
      <x:c r="C535" t="str">
        <x:v>gate</x:v>
      </x:c>
      <x:c r="D535" t="str">
        <x:v>PH-ART-46</x:v>
      </x:c>
      <x:c r="E535" s="23" t="str">
        <x:v>OPEN</x:v>
      </x:c>
      <x:c r="F535" s="23" t="str">
        <x:f>'Release Gates'!I535</x:f>
        <x:v>OPEN</x:v>
      </x:c>
      <x:c r="G535" t="str">
        <x:f>IF(ABS(IFERROR(E535-F535,0))&lt;0.0001,IF(OR(ISTEXT(E535),ISTEXT(F535)),IF(E535=F535,"PASS","FAIL"),"PASS"),"FAIL")</x:f>
        <x:v>PASS</x:v>
      </x:c>
      <x:c r="H535" t="str">
        <x:f>G535</x:f>
        <x:v>PASS</x:v>
      </x:c>
    </x:row>
    <x:row r="536">
      <x:c r="B536" t="str">
        <x:v>A-PH-047</x:v>
      </x:c>
      <x:c r="C536" t="str">
        <x:v>gate</x:v>
      </x:c>
      <x:c r="D536" t="str">
        <x:v>PH-ART-47</x:v>
      </x:c>
      <x:c r="E536" s="23" t="str">
        <x:v>OPEN</x:v>
      </x:c>
      <x:c r="F536" s="23" t="str">
        <x:f>'Release Gates'!I536</x:f>
        <x:v>OPEN</x:v>
      </x:c>
      <x:c r="G536" t="str">
        <x:f>IF(ABS(IFERROR(E536-F536,0))&lt;0.0001,IF(OR(ISTEXT(E536),ISTEXT(F536)),IF(E536=F536,"PASS","FAIL"),"PASS"),"FAIL")</x:f>
        <x:v>PASS</x:v>
      </x:c>
      <x:c r="H536" t="str">
        <x:f>G536</x:f>
        <x:v>PASS</x:v>
      </x:c>
    </x:row>
    <x:row r="537">
      <x:c r="B537" t="str">
        <x:v>A-PH-048</x:v>
      </x:c>
      <x:c r="C537" t="str">
        <x:v>gate</x:v>
      </x:c>
      <x:c r="D537" t="str">
        <x:v>PH-ART-48</x:v>
      </x:c>
      <x:c r="E537" s="23" t="str">
        <x:v>OPEN</x:v>
      </x:c>
      <x:c r="F537" s="23" t="str">
        <x:f>'Release Gates'!I537</x:f>
        <x:v>OPEN</x:v>
      </x:c>
      <x:c r="G537" t="str">
        <x:f>IF(ABS(IFERROR(E537-F537,0))&lt;0.0001,IF(OR(ISTEXT(E537),ISTEXT(F537)),IF(E537=F537,"PASS","FAIL"),"PASS"),"FAIL")</x:f>
        <x:v>PASS</x:v>
      </x:c>
      <x:c r="H537" t="str">
        <x:f>G537</x:f>
        <x:v>PASS</x:v>
      </x:c>
    </x:row>
    <x:row r="538">
      <x:c r="B538" t="str">
        <x:v>A-PH-049</x:v>
      </x:c>
      <x:c r="C538" t="str">
        <x:v>gate</x:v>
      </x:c>
      <x:c r="D538" t="str">
        <x:v>PH-PEV-001</x:v>
      </x:c>
      <x:c r="E538" s="23" t="str">
        <x:v>OPEN</x:v>
      </x:c>
      <x:c r="F538" s="23" t="str">
        <x:f>'Release Gates'!I538</x:f>
        <x:v>OPEN</x:v>
      </x:c>
      <x:c r="G538" t="str">
        <x:f>IF(ABS(IFERROR(E538-F538,0))&lt;0.0001,IF(OR(ISTEXT(E538),ISTEXT(F538)),IF(E538=F538,"PASS","FAIL"),"PASS"),"FAIL")</x:f>
        <x:v>PASS</x:v>
      </x:c>
      <x:c r="H538" t="str">
        <x:f>G538</x:f>
        <x:v>PASS</x:v>
      </x:c>
    </x:row>
    <x:row r="539">
      <x:c r="B539" t="str">
        <x:v>A-PH-050</x:v>
      </x:c>
      <x:c r="C539" t="str">
        <x:v>gate</x:v>
      </x:c>
      <x:c r="D539" t="str">
        <x:v>PH-PEV-002</x:v>
      </x:c>
      <x:c r="E539" s="23" t="str">
        <x:v>OPEN</x:v>
      </x:c>
      <x:c r="F539" s="23" t="str">
        <x:f>'Release Gates'!I539</x:f>
        <x:v>OPEN</x:v>
      </x:c>
      <x:c r="G539" t="str">
        <x:f>IF(ABS(IFERROR(E539-F539,0))&lt;0.0001,IF(OR(ISTEXT(E539),ISTEXT(F539)),IF(E539=F539,"PASS","FAIL"),"PASS"),"FAIL")</x:f>
        <x:v>PASS</x:v>
      </x:c>
      <x:c r="H539" t="str">
        <x:f>G539</x:f>
        <x:v>PASS</x:v>
      </x:c>
    </x:row>
    <x:row r="540">
      <x:c r="B540" t="str">
        <x:v>A-PH-051</x:v>
      </x:c>
      <x:c r="C540" t="str">
        <x:v>gate</x:v>
      </x:c>
      <x:c r="D540" t="str">
        <x:v>PH-PEV-003</x:v>
      </x:c>
      <x:c r="E540" s="23" t="str">
        <x:v>OPEN</x:v>
      </x:c>
      <x:c r="F540" s="23" t="str">
        <x:f>'Release Gates'!I540</x:f>
        <x:v>OPEN</x:v>
      </x:c>
      <x:c r="G540" t="str">
        <x:f>IF(ABS(IFERROR(E540-F540,0))&lt;0.0001,IF(OR(ISTEXT(E540),ISTEXT(F540)),IF(E540=F540,"PASS","FAIL"),"PASS"),"FAIL")</x:f>
        <x:v>PASS</x:v>
      </x:c>
      <x:c r="H540" t="str">
        <x:f>G540</x:f>
        <x:v>PASS</x:v>
      </x:c>
    </x:row>
    <x:row r="541">
      <x:c r="B541" t="str">
        <x:v>A-PH-052</x:v>
      </x:c>
      <x:c r="C541" t="str">
        <x:v>gate</x:v>
      </x:c>
      <x:c r="D541" t="str">
        <x:v>PH-PEV-004</x:v>
      </x:c>
      <x:c r="E541" s="23" t="str">
        <x:v>OPEN</x:v>
      </x:c>
      <x:c r="F541" s="23" t="str">
        <x:f>'Release Gates'!I541</x:f>
        <x:v>OPEN</x:v>
      </x:c>
      <x:c r="G541" t="str">
        <x:f>IF(ABS(IFERROR(E541-F541,0))&lt;0.0001,IF(OR(ISTEXT(E541),ISTEXT(F541)),IF(E541=F541,"PASS","FAIL"),"PASS"),"FAIL")</x:f>
        <x:v>PASS</x:v>
      </x:c>
      <x:c r="H541" t="str">
        <x:f>G541</x:f>
        <x:v>PASS</x:v>
      </x:c>
    </x:row>
    <x:row r="542">
      <x:c r="B542" t="str">
        <x:v>A-PH-053</x:v>
      </x:c>
      <x:c r="C542" t="str">
        <x:v>gate</x:v>
      </x:c>
      <x:c r="D542" t="str">
        <x:v>PH-PEV-005</x:v>
      </x:c>
      <x:c r="E542" s="23" t="str">
        <x:v>OPEN</x:v>
      </x:c>
      <x:c r="F542" s="23" t="str">
        <x:f>'Release Gates'!I542</x:f>
        <x:v>OPEN</x:v>
      </x:c>
      <x:c r="G542" t="str">
        <x:f>IF(ABS(IFERROR(E542-F542,0))&lt;0.0001,IF(OR(ISTEXT(E542),ISTEXT(F542)),IF(E542=F542,"PASS","FAIL"),"PASS"),"FAIL")</x:f>
        <x:v>PASS</x:v>
      </x:c>
      <x:c r="H542" t="str">
        <x:f>G542</x:f>
        <x:v>PASS</x:v>
      </x:c>
    </x:row>
    <x:row r="543">
      <x:c r="B543" t="str">
        <x:v>A-PH-054</x:v>
      </x:c>
      <x:c r="C543" t="str">
        <x:v>gate</x:v>
      </x:c>
      <x:c r="D543" t="str">
        <x:v>PH-PEV-006</x:v>
      </x:c>
      <x:c r="E543" s="23" t="str">
        <x:v>OPEN</x:v>
      </x:c>
      <x:c r="F543" s="23" t="str">
        <x:f>'Release Gates'!I543</x:f>
        <x:v>OPEN</x:v>
      </x:c>
      <x:c r="G543" t="str">
        <x:f>IF(ABS(IFERROR(E543-F543,0))&lt;0.0001,IF(OR(ISTEXT(E543),ISTEXT(F543)),IF(E543=F543,"PASS","FAIL"),"PASS"),"FAIL")</x:f>
        <x:v>PASS</x:v>
      </x:c>
      <x:c r="H543" t="str">
        <x:f>G543</x:f>
        <x:v>PASS</x:v>
      </x:c>
    </x:row>
    <x:row r="544">
      <x:c r="B544" t="str">
        <x:v>A-PH-055</x:v>
      </x:c>
      <x:c r="C544" t="str">
        <x:v>gate</x:v>
      </x:c>
      <x:c r="D544" t="str">
        <x:v>PH-PEV-007</x:v>
      </x:c>
      <x:c r="E544" s="23" t="str">
        <x:v>OPEN</x:v>
      </x:c>
      <x:c r="F544" s="23" t="str">
        <x:f>'Release Gates'!I544</x:f>
        <x:v>OPEN</x:v>
      </x:c>
      <x:c r="G544" t="str">
        <x:f>IF(ABS(IFERROR(E544-F544,0))&lt;0.0001,IF(OR(ISTEXT(E544),ISTEXT(F544)),IF(E544=F544,"PASS","FAIL"),"PASS"),"FAIL")</x:f>
        <x:v>PASS</x:v>
      </x:c>
      <x:c r="H544" t="str">
        <x:f>G544</x:f>
        <x:v>PASS</x:v>
      </x:c>
    </x:row>
    <x:row r="545">
      <x:c r="B545" t="str">
        <x:v>A-PH-056</x:v>
      </x:c>
      <x:c r="C545" t="str">
        <x:v>gate</x:v>
      </x:c>
      <x:c r="D545" t="str">
        <x:v>PH-PEV-008</x:v>
      </x:c>
      <x:c r="E545" s="23" t="str">
        <x:v>OPEN</x:v>
      </x:c>
      <x:c r="F545" s="23" t="str">
        <x:f>'Release Gates'!I545</x:f>
        <x:v>OPEN</x:v>
      </x:c>
      <x:c r="G545" t="str">
        <x:f>IF(ABS(IFERROR(E545-F545,0))&lt;0.0001,IF(OR(ISTEXT(E545),ISTEXT(F545)),IF(E545=F545,"PASS","FAIL"),"PASS"),"FAIL")</x:f>
        <x:v>PASS</x:v>
      </x:c>
      <x:c r="H545" t="str">
        <x:f>G545</x:f>
        <x:v>PASS</x:v>
      </x:c>
    </x:row>
    <x:row r="546">
      <x:c r="B546" t="str">
        <x:v>A-PH-057</x:v>
      </x:c>
      <x:c r="C546" t="str">
        <x:v>gate</x:v>
      </x:c>
      <x:c r="D546" t="str">
        <x:v>PH-PEV-009</x:v>
      </x:c>
      <x:c r="E546" s="23" t="str">
        <x:v>OPEN</x:v>
      </x:c>
      <x:c r="F546" s="23" t="str">
        <x:f>'Release Gates'!I546</x:f>
        <x:v>OPEN</x:v>
      </x:c>
      <x:c r="G546" t="str">
        <x:f>IF(ABS(IFERROR(E546-F546,0))&lt;0.0001,IF(OR(ISTEXT(E546),ISTEXT(F546)),IF(E546=F546,"PASS","FAIL"),"PASS"),"FAIL")</x:f>
        <x:v>PASS</x:v>
      </x:c>
      <x:c r="H546" t="str">
        <x:f>G546</x:f>
        <x:v>PASS</x:v>
      </x:c>
    </x:row>
    <x:row r="547">
      <x:c r="B547" t="str">
        <x:v>A-PH-058</x:v>
      </x:c>
      <x:c r="C547" t="str">
        <x:v>gate</x:v>
      </x:c>
      <x:c r="D547" t="str">
        <x:v>PH-PEV-010</x:v>
      </x:c>
      <x:c r="E547" s="23" t="str">
        <x:v>OPEN</x:v>
      </x:c>
      <x:c r="F547" s="23" t="str">
        <x:f>'Release Gates'!I547</x:f>
        <x:v>OPEN</x:v>
      </x:c>
      <x:c r="G547" t="str">
        <x:f>IF(ABS(IFERROR(E547-F547,0))&lt;0.0001,IF(OR(ISTEXT(E547),ISTEXT(F547)),IF(E547=F547,"PASS","FAIL"),"PASS"),"FAIL")</x:f>
        <x:v>PASS</x:v>
      </x:c>
      <x:c r="H547" t="str">
        <x:f>G547</x:f>
        <x:v>PASS</x:v>
      </x:c>
    </x:row>
    <x:row r="548">
      <x:c r="B548" t="str">
        <x:v>A-PH-059</x:v>
      </x:c>
      <x:c r="C548" t="str">
        <x:v>gate</x:v>
      </x:c>
      <x:c r="D548" t="str">
        <x:v>PH-PEV-011</x:v>
      </x:c>
      <x:c r="E548" s="23" t="str">
        <x:v>OPEN</x:v>
      </x:c>
      <x:c r="F548" s="23" t="str">
        <x:f>'Release Gates'!I548</x:f>
        <x:v>OPEN</x:v>
      </x:c>
      <x:c r="G548" t="str">
        <x:f>IF(ABS(IFERROR(E548-F548,0))&lt;0.0001,IF(OR(ISTEXT(E548),ISTEXT(F548)),IF(E548=F548,"PASS","FAIL"),"PASS"),"FAIL")</x:f>
        <x:v>PASS</x:v>
      </x:c>
      <x:c r="H548" t="str">
        <x:f>G548</x:f>
        <x:v>PASS</x:v>
      </x:c>
    </x:row>
    <x:row r="549">
      <x:c r="B549" t="str">
        <x:v>A-PH-060</x:v>
      </x:c>
      <x:c r="C549" t="str">
        <x:v>gate</x:v>
      </x:c>
      <x:c r="D549" t="str">
        <x:v>PH-PEV-012</x:v>
      </x:c>
      <x:c r="E549" s="23" t="str">
        <x:v>OPEN</x:v>
      </x:c>
      <x:c r="F549" s="23" t="str">
        <x:f>'Release Gates'!I549</x:f>
        <x:v>OPEN</x:v>
      </x:c>
      <x:c r="G549" t="str">
        <x:f>IF(ABS(IFERROR(E549-F549,0))&lt;0.0001,IF(OR(ISTEXT(E549),ISTEXT(F549)),IF(E549=F549,"PASS","FAIL"),"PASS"),"FAIL")</x:f>
        <x:v>PASS</x:v>
      </x:c>
      <x:c r="H549" t="str">
        <x:f>G549</x:f>
        <x:v>PASS</x:v>
      </x:c>
    </x:row>
    <x:row r="550">
      <x:c r="B550" t="str">
        <x:v>A-PH-061</x:v>
      </x:c>
      <x:c r="C550" t="str">
        <x:v>gate</x:v>
      </x:c>
      <x:c r="D550" t="str">
        <x:v>PH-PEV-013</x:v>
      </x:c>
      <x:c r="E550" s="23" t="str">
        <x:v>OPEN</x:v>
      </x:c>
      <x:c r="F550" s="23" t="str">
        <x:f>'Release Gates'!I550</x:f>
        <x:v>OPEN</x:v>
      </x:c>
      <x:c r="G550" t="str">
        <x:f>IF(ABS(IFERROR(E550-F550,0))&lt;0.0001,IF(OR(ISTEXT(E550),ISTEXT(F550)),IF(E550=F550,"PASS","FAIL"),"PASS"),"FAIL")</x:f>
        <x:v>PASS</x:v>
      </x:c>
      <x:c r="H550" t="str">
        <x:f>G550</x:f>
        <x:v>PASS</x:v>
      </x:c>
    </x:row>
    <x:row r="551">
      <x:c r="B551" t="str">
        <x:v>A-PH-062</x:v>
      </x:c>
      <x:c r="C551" t="str">
        <x:v>gate</x:v>
      </x:c>
      <x:c r="D551" t="str">
        <x:v>PH-PEV-014</x:v>
      </x:c>
      <x:c r="E551" s="23" t="str">
        <x:v>OPEN</x:v>
      </x:c>
      <x:c r="F551" s="23" t="str">
        <x:f>'Release Gates'!I551</x:f>
        <x:v>OPEN</x:v>
      </x:c>
      <x:c r="G551" t="str">
        <x:f>IF(ABS(IFERROR(E551-F551,0))&lt;0.0001,IF(OR(ISTEXT(E551),ISTEXT(F551)),IF(E551=F551,"PASS","FAIL"),"PASS"),"FAIL")</x:f>
        <x:v>PASS</x:v>
      </x:c>
      <x:c r="H551" t="str">
        <x:f>G551</x:f>
        <x:v>PASS</x:v>
      </x:c>
    </x:row>
    <x:row r="552">
      <x:c r="B552" t="str">
        <x:v>A-PH-063</x:v>
      </x:c>
      <x:c r="C552" t="str">
        <x:v>gate</x:v>
      </x:c>
      <x:c r="D552" t="str">
        <x:v>PH-PEV-015</x:v>
      </x:c>
      <x:c r="E552" s="23" t="str">
        <x:v>OPEN</x:v>
      </x:c>
      <x:c r="F552" s="23" t="str">
        <x:f>'Release Gates'!I552</x:f>
        <x:v>OPEN</x:v>
      </x:c>
      <x:c r="G552" t="str">
        <x:f>IF(ABS(IFERROR(E552-F552,0))&lt;0.0001,IF(OR(ISTEXT(E552),ISTEXT(F552)),IF(E552=F552,"PASS","FAIL"),"PASS"),"FAIL")</x:f>
        <x:v>PASS</x:v>
      </x:c>
      <x:c r="H552" t="str">
        <x:f>G552</x:f>
        <x:v>PASS</x:v>
      </x:c>
    </x:row>
    <x:row r="553">
      <x:c r="B553" t="str">
        <x:v>A-PH-064</x:v>
      </x:c>
      <x:c r="C553" t="str">
        <x:v>gate</x:v>
      </x:c>
      <x:c r="D553" t="str">
        <x:v>PH-PEV-016</x:v>
      </x:c>
      <x:c r="E553" s="23" t="str">
        <x:v>OPEN</x:v>
      </x:c>
      <x:c r="F553" s="23" t="str">
        <x:f>'Release Gates'!I553</x:f>
        <x:v>OPEN</x:v>
      </x:c>
      <x:c r="G553" t="str">
        <x:f>IF(ABS(IFERROR(E553-F553,0))&lt;0.0001,IF(OR(ISTEXT(E553),ISTEXT(F553)),IF(E553=F553,"PASS","FAIL"),"PASS"),"FAIL")</x:f>
        <x:v>PASS</x:v>
      </x:c>
      <x:c r="H553" t="str">
        <x:f>G553</x:f>
        <x:v>PASS</x:v>
      </x:c>
    </x:row>
    <x:row r="554">
      <x:c r="B554" t="str">
        <x:v>A-PH-065</x:v>
      </x:c>
      <x:c r="C554" t="str">
        <x:v>gate</x:v>
      </x:c>
      <x:c r="D554" t="str">
        <x:v>PH-PEV-017</x:v>
      </x:c>
      <x:c r="E554" s="23" t="str">
        <x:v>OPEN</x:v>
      </x:c>
      <x:c r="F554" s="23" t="str">
        <x:f>'Release Gates'!I554</x:f>
        <x:v>OPEN</x:v>
      </x:c>
      <x:c r="G554" t="str">
        <x:f>IF(ABS(IFERROR(E554-F554,0))&lt;0.0001,IF(OR(ISTEXT(E554),ISTEXT(F554)),IF(E554=F554,"PASS","FAIL"),"PASS"),"FAIL")</x:f>
        <x:v>PASS</x:v>
      </x:c>
      <x:c r="H554" t="str">
        <x:f>G554</x:f>
        <x:v>PASS</x:v>
      </x:c>
    </x:row>
    <x:row r="555">
      <x:c r="B555" t="str">
        <x:v>A-PH-066</x:v>
      </x:c>
      <x:c r="C555" t="str">
        <x:v>gate</x:v>
      </x:c>
      <x:c r="D555" t="str">
        <x:v>PH-PEV-018</x:v>
      </x:c>
      <x:c r="E555" s="23" t="str">
        <x:v>OPEN</x:v>
      </x:c>
      <x:c r="F555" s="23" t="str">
        <x:f>'Release Gates'!I555</x:f>
        <x:v>OPEN</x:v>
      </x:c>
      <x:c r="G555" t="str">
        <x:f>IF(ABS(IFERROR(E555-F555,0))&lt;0.0001,IF(OR(ISTEXT(E555),ISTEXT(F555)),IF(E555=F555,"PASS","FAIL"),"PASS"),"FAIL")</x:f>
        <x:v>PASS</x:v>
      </x:c>
      <x:c r="H555" t="str">
        <x:f>G555</x:f>
        <x:v>PASS</x:v>
      </x:c>
    </x:row>
    <x:row r="556">
      <x:c r="B556" t="str">
        <x:v>A-PH-067</x:v>
      </x:c>
      <x:c r="C556" t="str">
        <x:v>gate</x:v>
      </x:c>
      <x:c r="D556" t="str">
        <x:v>PH-PEV-019</x:v>
      </x:c>
      <x:c r="E556" s="23" t="str">
        <x:v>OPEN</x:v>
      </x:c>
      <x:c r="F556" s="23" t="str">
        <x:f>'Release Gates'!I556</x:f>
        <x:v>OPEN</x:v>
      </x:c>
      <x:c r="G556" t="str">
        <x:f>IF(ABS(IFERROR(E556-F556,0))&lt;0.0001,IF(OR(ISTEXT(E556),ISTEXT(F556)),IF(E556=F556,"PASS","FAIL"),"PASS"),"FAIL")</x:f>
        <x:v>PASS</x:v>
      </x:c>
      <x:c r="H556" t="str">
        <x:f>G556</x:f>
        <x:v>PASS</x:v>
      </x:c>
    </x:row>
    <x:row r="557">
      <x:c r="B557" t="str">
        <x:v>A-PH-068</x:v>
      </x:c>
      <x:c r="C557" t="str">
        <x:v>gate</x:v>
      </x:c>
      <x:c r="D557" t="str">
        <x:v>PH-PEV-020</x:v>
      </x:c>
      <x:c r="E557" s="23" t="str">
        <x:v>OPEN</x:v>
      </x:c>
      <x:c r="F557" s="23" t="str">
        <x:f>'Release Gates'!I557</x:f>
        <x:v>OPEN</x:v>
      </x:c>
      <x:c r="G557" t="str">
        <x:f>IF(ABS(IFERROR(E557-F557,0))&lt;0.0001,IF(OR(ISTEXT(E557),ISTEXT(F557)),IF(E557=F557,"PASS","FAIL"),"PASS"),"FAIL")</x:f>
        <x:v>PASS</x:v>
      </x:c>
      <x:c r="H557" t="str">
        <x:f>G557</x:f>
        <x:v>PASS</x:v>
      </x:c>
    </x:row>
    <x:row r="558">
      <x:c r="B558" t="str">
        <x:v>A-PH-069</x:v>
      </x:c>
      <x:c r="C558" t="str">
        <x:v>gate</x:v>
      </x:c>
      <x:c r="D558" t="str">
        <x:v>PH-PEV-021</x:v>
      </x:c>
      <x:c r="E558" s="23" t="str">
        <x:v>OPEN</x:v>
      </x:c>
      <x:c r="F558" s="23" t="str">
        <x:f>'Release Gates'!I558</x:f>
        <x:v>OPEN</x:v>
      </x:c>
      <x:c r="G558" t="str">
        <x:f>IF(ABS(IFERROR(E558-F558,0))&lt;0.0001,IF(OR(ISTEXT(E558),ISTEXT(F558)),IF(E558=F558,"PASS","FAIL"),"PASS"),"FAIL")</x:f>
        <x:v>PASS</x:v>
      </x:c>
      <x:c r="H558" t="str">
        <x:f>G558</x:f>
        <x:v>PASS</x:v>
      </x:c>
    </x:row>
    <x:row r="559">
      <x:c r="B559" t="str">
        <x:v>A-PH-070</x:v>
      </x:c>
      <x:c r="C559" t="str">
        <x:v>gate</x:v>
      </x:c>
      <x:c r="D559" t="str">
        <x:v>PH-PEV-022</x:v>
      </x:c>
      <x:c r="E559" s="23" t="str">
        <x:v>OPEN</x:v>
      </x:c>
      <x:c r="F559" s="23" t="str">
        <x:f>'Release Gates'!I559</x:f>
        <x:v>OPEN</x:v>
      </x:c>
      <x:c r="G559" t="str">
        <x:f>IF(ABS(IFERROR(E559-F559,0))&lt;0.0001,IF(OR(ISTEXT(E559),ISTEXT(F559)),IF(E559=F559,"PASS","FAIL"),"PASS"),"FAIL")</x:f>
        <x:v>PASS</x:v>
      </x:c>
      <x:c r="H559" t="str">
        <x:f>G559</x:f>
        <x:v>PASS</x:v>
      </x:c>
    </x:row>
    <x:row r="560">
      <x:c r="B560" t="str">
        <x:v>A-PH-071</x:v>
      </x:c>
      <x:c r="C560" t="str">
        <x:v>gate</x:v>
      </x:c>
      <x:c r="D560" t="str">
        <x:v>PH-PEV-023</x:v>
      </x:c>
      <x:c r="E560" s="23" t="str">
        <x:v>OPEN</x:v>
      </x:c>
      <x:c r="F560" s="23" t="str">
        <x:f>'Release Gates'!I560</x:f>
        <x:v>OPEN</x:v>
      </x:c>
      <x:c r="G560" t="str">
        <x:f>IF(ABS(IFERROR(E560-F560,0))&lt;0.0001,IF(OR(ISTEXT(E560),ISTEXT(F560)),IF(E560=F560,"PASS","FAIL"),"PASS"),"FAIL")</x:f>
        <x:v>PASS</x:v>
      </x:c>
      <x:c r="H560" t="str">
        <x:f>G560</x:f>
        <x:v>PASS</x:v>
      </x:c>
    </x:row>
    <x:row r="561">
      <x:c r="B561" t="str">
        <x:v>A-PH-072</x:v>
      </x:c>
      <x:c r="C561" t="str">
        <x:v>gate</x:v>
      </x:c>
      <x:c r="D561" t="str">
        <x:v>PH-PEV-024</x:v>
      </x:c>
      <x:c r="E561" s="23" t="str">
        <x:v>OPEN</x:v>
      </x:c>
      <x:c r="F561" s="23" t="str">
        <x:f>'Release Gates'!I561</x:f>
        <x:v>OPEN</x:v>
      </x:c>
      <x:c r="G561" t="str">
        <x:f>IF(ABS(IFERROR(E561-F561,0))&lt;0.0001,IF(OR(ISTEXT(E561),ISTEXT(F561)),IF(E561=F561,"PASS","FAIL"),"PASS"),"FAIL")</x:f>
        <x:v>PASS</x:v>
      </x:c>
      <x:c r="H561" t="str">
        <x:f>G561</x:f>
        <x:v>PASS</x:v>
      </x:c>
    </x:row>
    <x:row r="562">
      <x:c r="B562" t="str">
        <x:v>A-PH-073</x:v>
      </x:c>
      <x:c r="C562" t="str">
        <x:v>gate</x:v>
      </x:c>
      <x:c r="D562" t="str">
        <x:v>PH-PEV-025</x:v>
      </x:c>
      <x:c r="E562" s="23" t="str">
        <x:v>OPEN</x:v>
      </x:c>
      <x:c r="F562" s="23" t="str">
        <x:f>'Release Gates'!I562</x:f>
        <x:v>OPEN</x:v>
      </x:c>
      <x:c r="G562" t="str">
        <x:f>IF(ABS(IFERROR(E562-F562,0))&lt;0.0001,IF(OR(ISTEXT(E562),ISTEXT(F562)),IF(E562=F562,"PASS","FAIL"),"PASS"),"FAIL")</x:f>
        <x:v>PASS</x:v>
      </x:c>
      <x:c r="H562" t="str">
        <x:f>G562</x:f>
        <x:v>PASS</x:v>
      </x:c>
    </x:row>
    <x:row r="563">
      <x:c r="B563" t="str">
        <x:v>A-PH-074</x:v>
      </x:c>
      <x:c r="C563" t="str">
        <x:v>gate</x:v>
      </x:c>
      <x:c r="D563" t="str">
        <x:v>PH-PEV-026</x:v>
      </x:c>
      <x:c r="E563" s="23" t="str">
        <x:v>OPEN</x:v>
      </x:c>
      <x:c r="F563" s="23" t="str">
        <x:f>'Release Gates'!I563</x:f>
        <x:v>OPEN</x:v>
      </x:c>
      <x:c r="G563" t="str">
        <x:f>IF(ABS(IFERROR(E563-F563,0))&lt;0.0001,IF(OR(ISTEXT(E563),ISTEXT(F563)),IF(E563=F563,"PASS","FAIL"),"PASS"),"FAIL")</x:f>
        <x:v>PASS</x:v>
      </x:c>
      <x:c r="H563" t="str">
        <x:f>G563</x:f>
        <x:v>PASS</x:v>
      </x:c>
    </x:row>
    <x:row r="564">
      <x:c r="B564" t="str">
        <x:v>A-PH-075</x:v>
      </x:c>
      <x:c r="C564" t="str">
        <x:v>gate</x:v>
      </x:c>
      <x:c r="D564" t="str">
        <x:v>PH-PEV-027</x:v>
      </x:c>
      <x:c r="E564" s="23" t="str">
        <x:v>OPEN</x:v>
      </x:c>
      <x:c r="F564" s="23" t="str">
        <x:f>'Release Gates'!I564</x:f>
        <x:v>OPEN</x:v>
      </x:c>
      <x:c r="G564" t="str">
        <x:f>IF(ABS(IFERROR(E564-F564,0))&lt;0.0001,IF(OR(ISTEXT(E564),ISTEXT(F564)),IF(E564=F564,"PASS","FAIL"),"PASS"),"FAIL")</x:f>
        <x:v>PASS</x:v>
      </x:c>
      <x:c r="H564" t="str">
        <x:f>G564</x:f>
        <x:v>PASS</x:v>
      </x:c>
    </x:row>
    <x:row r="565">
      <x:c r="B565" t="str">
        <x:v>A-PH-076</x:v>
      </x:c>
      <x:c r="C565" t="str">
        <x:v>gate</x:v>
      </x:c>
      <x:c r="D565" t="str">
        <x:v>PH-PEV-028</x:v>
      </x:c>
      <x:c r="E565" s="23" t="str">
        <x:v>OPEN</x:v>
      </x:c>
      <x:c r="F565" s="23" t="str">
        <x:f>'Release Gates'!I565</x:f>
        <x:v>OPEN</x:v>
      </x:c>
      <x:c r="G565" t="str">
        <x:f>IF(ABS(IFERROR(E565-F565,0))&lt;0.0001,IF(OR(ISTEXT(E565),ISTEXT(F565)),IF(E565=F565,"PASS","FAIL"),"PASS"),"FAIL")</x:f>
        <x:v>PASS</x:v>
      </x:c>
      <x:c r="H565" t="str">
        <x:f>G565</x:f>
        <x:v>PASS</x:v>
      </x:c>
    </x:row>
    <x:row r="566">
      <x:c r="B566" t="str">
        <x:v>A-PH-077</x:v>
      </x:c>
      <x:c r="C566" t="str">
        <x:v>gate</x:v>
      </x:c>
      <x:c r="D566" t="str">
        <x:v>PH-PEV-029</x:v>
      </x:c>
      <x:c r="E566" s="23" t="str">
        <x:v>OPEN</x:v>
      </x:c>
      <x:c r="F566" s="23" t="str">
        <x:f>'Release Gates'!I566</x:f>
        <x:v>OPEN</x:v>
      </x:c>
      <x:c r="G566" t="str">
        <x:f>IF(ABS(IFERROR(E566-F566,0))&lt;0.0001,IF(OR(ISTEXT(E566),ISTEXT(F566)),IF(E566=F566,"PASS","FAIL"),"PASS"),"FAIL")</x:f>
        <x:v>PASS</x:v>
      </x:c>
      <x:c r="H566" t="str">
        <x:f>G566</x:f>
        <x:v>PASS</x:v>
      </x:c>
    </x:row>
    <x:row r="567">
      <x:c r="B567" t="str">
        <x:v>A-PH-078</x:v>
      </x:c>
      <x:c r="C567" t="str">
        <x:v>gate</x:v>
      </x:c>
      <x:c r="D567" t="str">
        <x:v>PH-PEV-030</x:v>
      </x:c>
      <x:c r="E567" s="23" t="str">
        <x:v>OPEN</x:v>
      </x:c>
      <x:c r="F567" s="23" t="str">
        <x:f>'Release Gates'!I567</x:f>
        <x:v>OPEN</x:v>
      </x:c>
      <x:c r="G567" t="str">
        <x:f>IF(ABS(IFERROR(E567-F567,0))&lt;0.0001,IF(OR(ISTEXT(E567),ISTEXT(F567)),IF(E567=F567,"PASS","FAIL"),"PASS"),"FAIL")</x:f>
        <x:v>PASS</x:v>
      </x:c>
      <x:c r="H567" t="str">
        <x:f>G567</x:f>
        <x:v>PASS</x:v>
      </x:c>
    </x:row>
    <x:row r="568">
      <x:c r="B568" t="str">
        <x:v>A-PH-079</x:v>
      </x:c>
      <x:c r="C568" t="str">
        <x:v>gate</x:v>
      </x:c>
      <x:c r="D568" t="str">
        <x:v>PH-PEV-031</x:v>
      </x:c>
      <x:c r="E568" s="23" t="str">
        <x:v>OPEN</x:v>
      </x:c>
      <x:c r="F568" s="23" t="str">
        <x:f>'Release Gates'!I568</x:f>
        <x:v>OPEN</x:v>
      </x:c>
      <x:c r="G568" t="str">
        <x:f>IF(ABS(IFERROR(E568-F568,0))&lt;0.0001,IF(OR(ISTEXT(E568),ISTEXT(F568)),IF(E568=F568,"PASS","FAIL"),"PASS"),"FAIL")</x:f>
        <x:v>PASS</x:v>
      </x:c>
      <x:c r="H568" t="str">
        <x:f>G568</x:f>
        <x:v>PASS</x:v>
      </x:c>
    </x:row>
    <x:row r="569">
      <x:c r="B569" t="str">
        <x:v>A-PH-080</x:v>
      </x:c>
      <x:c r="C569" t="str">
        <x:v>gate</x:v>
      </x:c>
      <x:c r="D569" t="str">
        <x:v>PH-PEV-032</x:v>
      </x:c>
      <x:c r="E569" s="23" t="str">
        <x:v>OPEN</x:v>
      </x:c>
      <x:c r="F569" s="23" t="str">
        <x:f>'Release Gates'!I569</x:f>
        <x:v>OPEN</x:v>
      </x:c>
      <x:c r="G569" t="str">
        <x:f>IF(ABS(IFERROR(E569-F569,0))&lt;0.0001,IF(OR(ISTEXT(E569),ISTEXT(F569)),IF(E569=F569,"PASS","FAIL"),"PASS"),"FAIL")</x:f>
        <x:v>PASS</x:v>
      </x:c>
      <x:c r="H569" t="str">
        <x:f>G569</x:f>
        <x:v>PASS</x:v>
      </x:c>
    </x:row>
    <x:row r="570">
      <x:c r="B570" t="str">
        <x:v>A-PH-081</x:v>
      </x:c>
      <x:c r="C570" t="str">
        <x:v>gate</x:v>
      </x:c>
      <x:c r="D570" t="str">
        <x:v>PH-PEV-033</x:v>
      </x:c>
      <x:c r="E570" s="23" t="str">
        <x:v>OPEN</x:v>
      </x:c>
      <x:c r="F570" s="23" t="str">
        <x:f>'Release Gates'!I570</x:f>
        <x:v>OPEN</x:v>
      </x:c>
      <x:c r="G570" t="str">
        <x:f>IF(ABS(IFERROR(E570-F570,0))&lt;0.0001,IF(OR(ISTEXT(E570),ISTEXT(F570)),IF(E570=F570,"PASS","FAIL"),"PASS"),"FAIL")</x:f>
        <x:v>PASS</x:v>
      </x:c>
      <x:c r="H570" t="str">
        <x:f>G570</x:f>
        <x:v>PASS</x:v>
      </x:c>
    </x:row>
    <x:row r="571">
      <x:c r="B571" t="str">
        <x:v>A-PH-082</x:v>
      </x:c>
      <x:c r="C571" t="str">
        <x:v>gate</x:v>
      </x:c>
      <x:c r="D571" t="str">
        <x:v>PH-PEV-034</x:v>
      </x:c>
      <x:c r="E571" s="23" t="str">
        <x:v>OPEN</x:v>
      </x:c>
      <x:c r="F571" s="23" t="str">
        <x:f>'Release Gates'!I571</x:f>
        <x:v>OPEN</x:v>
      </x:c>
      <x:c r="G571" t="str">
        <x:f>IF(ABS(IFERROR(E571-F571,0))&lt;0.0001,IF(OR(ISTEXT(E571),ISTEXT(F571)),IF(E571=F571,"PASS","FAIL"),"PASS"),"FAIL")</x:f>
        <x:v>PASS</x:v>
      </x:c>
      <x:c r="H571" t="str">
        <x:f>G571</x:f>
        <x:v>PASS</x:v>
      </x:c>
    </x:row>
    <x:row r="572">
      <x:c r="B572" t="str">
        <x:v>A-PH-083</x:v>
      </x:c>
      <x:c r="C572" t="str">
        <x:v>gate</x:v>
      </x:c>
      <x:c r="D572" t="str">
        <x:v>PH-PEV-035</x:v>
      </x:c>
      <x:c r="E572" s="23" t="str">
        <x:v>OPEN</x:v>
      </x:c>
      <x:c r="F572" s="23" t="str">
        <x:f>'Release Gates'!I572</x:f>
        <x:v>OPEN</x:v>
      </x:c>
      <x:c r="G572" t="str">
        <x:f>IF(ABS(IFERROR(E572-F572,0))&lt;0.0001,IF(OR(ISTEXT(E572),ISTEXT(F572)),IF(E572=F572,"PASS","FAIL"),"PASS"),"FAIL")</x:f>
        <x:v>PASS</x:v>
      </x:c>
      <x:c r="H572" t="str">
        <x:f>G572</x:f>
        <x:v>PASS</x:v>
      </x:c>
    </x:row>
    <x:row r="573">
      <x:c r="B573" t="str">
        <x:v>A-PH-084</x:v>
      </x:c>
      <x:c r="C573" t="str">
        <x:v>gate</x:v>
      </x:c>
      <x:c r="D573" t="str">
        <x:v>PH-PEV-036</x:v>
      </x:c>
      <x:c r="E573" s="23" t="str">
        <x:v>OPEN</x:v>
      </x:c>
      <x:c r="F573" s="23" t="str">
        <x:f>'Release Gates'!I573</x:f>
        <x:v>OPEN</x:v>
      </x:c>
      <x:c r="G573" t="str">
        <x:f>IF(ABS(IFERROR(E573-F573,0))&lt;0.0001,IF(OR(ISTEXT(E573),ISTEXT(F573)),IF(E573=F573,"PASS","FAIL"),"PASS"),"FAIL")</x:f>
        <x:v>PASS</x:v>
      </x:c>
      <x:c r="H573" t="str">
        <x:f>G573</x:f>
        <x:v>PASS</x:v>
      </x:c>
    </x:row>
    <x:row r="574">
      <x:c r="B574" t="str">
        <x:v>A-PH-085</x:v>
      </x:c>
      <x:c r="C574" t="str">
        <x:v>gate</x:v>
      </x:c>
      <x:c r="D574" t="str">
        <x:v>PH-PEV-037</x:v>
      </x:c>
      <x:c r="E574" s="23" t="str">
        <x:v>OPEN</x:v>
      </x:c>
      <x:c r="F574" s="23" t="str">
        <x:f>'Release Gates'!I574</x:f>
        <x:v>OPEN</x:v>
      </x:c>
      <x:c r="G574" t="str">
        <x:f>IF(ABS(IFERROR(E574-F574,0))&lt;0.0001,IF(OR(ISTEXT(E574),ISTEXT(F574)),IF(E574=F574,"PASS","FAIL"),"PASS"),"FAIL")</x:f>
        <x:v>PASS</x:v>
      </x:c>
      <x:c r="H574" t="str">
        <x:f>G574</x:f>
        <x:v>PASS</x:v>
      </x:c>
    </x:row>
    <x:row r="575">
      <x:c r="B575" t="str">
        <x:v>A-PH-086</x:v>
      </x:c>
      <x:c r="C575" t="str">
        <x:v>gate</x:v>
      </x:c>
      <x:c r="D575" t="str">
        <x:v>PH-PEV-038</x:v>
      </x:c>
      <x:c r="E575" s="23" t="str">
        <x:v>OPEN</x:v>
      </x:c>
      <x:c r="F575" s="23" t="str">
        <x:f>'Release Gates'!I575</x:f>
        <x:v>OPEN</x:v>
      </x:c>
      <x:c r="G575" t="str">
        <x:f>IF(ABS(IFERROR(E575-F575,0))&lt;0.0001,IF(OR(ISTEXT(E575),ISTEXT(F575)),IF(E575=F575,"PASS","FAIL"),"PASS"),"FAIL")</x:f>
        <x:v>PASS</x:v>
      </x:c>
      <x:c r="H575" t="str">
        <x:f>G575</x:f>
        <x:v>PASS</x:v>
      </x:c>
    </x:row>
    <x:row r="576">
      <x:c r="B576" t="str">
        <x:v>A-PH-087</x:v>
      </x:c>
      <x:c r="C576" t="str">
        <x:v>gate</x:v>
      </x:c>
      <x:c r="D576" t="str">
        <x:v>PH-PEV-039</x:v>
      </x:c>
      <x:c r="E576" s="23" t="str">
        <x:v>OPEN</x:v>
      </x:c>
      <x:c r="F576" s="23" t="str">
        <x:f>'Release Gates'!I576</x:f>
        <x:v>OPEN</x:v>
      </x:c>
      <x:c r="G576" t="str">
        <x:f>IF(ABS(IFERROR(E576-F576,0))&lt;0.0001,IF(OR(ISTEXT(E576),ISTEXT(F576)),IF(E576=F576,"PASS","FAIL"),"PASS"),"FAIL")</x:f>
        <x:v>PASS</x:v>
      </x:c>
      <x:c r="H576" t="str">
        <x:f>G576</x:f>
        <x:v>PASS</x:v>
      </x:c>
    </x:row>
    <x:row r="577">
      <x:c r="B577" t="str">
        <x:v>A-PH-088</x:v>
      </x:c>
      <x:c r="C577" t="str">
        <x:v>gate</x:v>
      </x:c>
      <x:c r="D577" t="str">
        <x:v>PH-PEV-040</x:v>
      </x:c>
      <x:c r="E577" s="23" t="str">
        <x:v>OPEN</x:v>
      </x:c>
      <x:c r="F577" s="23" t="str">
        <x:f>'Release Gates'!I577</x:f>
        <x:v>OPEN</x:v>
      </x:c>
      <x:c r="G577" t="str">
        <x:f>IF(ABS(IFERROR(E577-F577,0))&lt;0.0001,IF(OR(ISTEXT(E577),ISTEXT(F577)),IF(E577=F577,"PASS","FAIL"),"PASS"),"FAIL")</x:f>
        <x:v>PASS</x:v>
      </x:c>
      <x:c r="H577" t="str">
        <x:f>G577</x:f>
        <x:v>PASS</x:v>
      </x:c>
    </x:row>
    <x:row r="578">
      <x:c r="B578" t="str">
        <x:v>A-PH-089</x:v>
      </x:c>
      <x:c r="C578" t="str">
        <x:v>gate</x:v>
      </x:c>
      <x:c r="D578" t="str">
        <x:v>PH-PEV-041</x:v>
      </x:c>
      <x:c r="E578" s="23" t="str">
        <x:v>OPEN</x:v>
      </x:c>
      <x:c r="F578" s="23" t="str">
        <x:f>'Release Gates'!I578</x:f>
        <x:v>OPEN</x:v>
      </x:c>
      <x:c r="G578" t="str">
        <x:f>IF(ABS(IFERROR(E578-F578,0))&lt;0.0001,IF(OR(ISTEXT(E578),ISTEXT(F578)),IF(E578=F578,"PASS","FAIL"),"PASS"),"FAIL")</x:f>
        <x:v>PASS</x:v>
      </x:c>
      <x:c r="H578" t="str">
        <x:f>G578</x:f>
        <x:v>PASS</x:v>
      </x:c>
    </x:row>
    <x:row r="579">
      <x:c r="B579" t="str">
        <x:v>A-PH-090</x:v>
      </x:c>
      <x:c r="C579" t="str">
        <x:v>gate</x:v>
      </x:c>
      <x:c r="D579" t="str">
        <x:v>PH-PEV-042</x:v>
      </x:c>
      <x:c r="E579" s="23" t="str">
        <x:v>OPEN</x:v>
      </x:c>
      <x:c r="F579" s="23" t="str">
        <x:f>'Release Gates'!I579</x:f>
        <x:v>OPEN</x:v>
      </x:c>
      <x:c r="G579" t="str">
        <x:f>IF(ABS(IFERROR(E579-F579,0))&lt;0.0001,IF(OR(ISTEXT(E579),ISTEXT(F579)),IF(E579=F579,"PASS","FAIL"),"PASS"),"FAIL")</x:f>
        <x:v>PASS</x:v>
      </x:c>
      <x:c r="H579" t="str">
        <x:f>G579</x:f>
        <x:v>PASS</x:v>
      </x:c>
    </x:row>
    <x:row r="580">
      <x:c r="B580" t="str">
        <x:v>A-PH-091</x:v>
      </x:c>
      <x:c r="C580" t="str">
        <x:v>gate</x:v>
      </x:c>
      <x:c r="D580" t="str">
        <x:v>PH-PEV-043</x:v>
      </x:c>
      <x:c r="E580" s="23" t="str">
        <x:v>OPEN</x:v>
      </x:c>
      <x:c r="F580" s="23" t="str">
        <x:f>'Release Gates'!I580</x:f>
        <x:v>OPEN</x:v>
      </x:c>
      <x:c r="G580" t="str">
        <x:f>IF(ABS(IFERROR(E580-F580,0))&lt;0.0001,IF(OR(ISTEXT(E580),ISTEXT(F580)),IF(E580=F580,"PASS","FAIL"),"PASS"),"FAIL")</x:f>
        <x:v>PASS</x:v>
      </x:c>
      <x:c r="H580" t="str">
        <x:f>G580</x:f>
        <x:v>PASS</x:v>
      </x:c>
    </x:row>
    <x:row r="581">
      <x:c r="B581" t="str">
        <x:v>A-PH-092</x:v>
      </x:c>
      <x:c r="C581" t="str">
        <x:v>gate</x:v>
      </x:c>
      <x:c r="D581" t="str">
        <x:v>PH-PEV-044</x:v>
      </x:c>
      <x:c r="E581" s="23" t="str">
        <x:v>OPEN</x:v>
      </x:c>
      <x:c r="F581" s="23" t="str">
        <x:f>'Release Gates'!I581</x:f>
        <x:v>OPEN</x:v>
      </x:c>
      <x:c r="G581" t="str">
        <x:f>IF(ABS(IFERROR(E581-F581,0))&lt;0.0001,IF(OR(ISTEXT(E581),ISTEXT(F581)),IF(E581=F581,"PASS","FAIL"),"PASS"),"FAIL")</x:f>
        <x:v>PASS</x:v>
      </x:c>
      <x:c r="H581" t="str">
        <x:f>G581</x:f>
        <x:v>PASS</x:v>
      </x:c>
    </x:row>
    <x:row r="582">
      <x:c r="B582" t="str">
        <x:v>A-PH-093</x:v>
      </x:c>
      <x:c r="C582" t="str">
        <x:v>gate</x:v>
      </x:c>
      <x:c r="D582" t="str">
        <x:v>PH-PEV-045</x:v>
      </x:c>
      <x:c r="E582" s="23" t="str">
        <x:v>OPEN</x:v>
      </x:c>
      <x:c r="F582" s="23" t="str">
        <x:f>'Release Gates'!I582</x:f>
        <x:v>OPEN</x:v>
      </x:c>
      <x:c r="G582" t="str">
        <x:f>IF(ABS(IFERROR(E582-F582,0))&lt;0.0001,IF(OR(ISTEXT(E582),ISTEXT(F582)),IF(E582=F582,"PASS","FAIL"),"PASS"),"FAIL")</x:f>
        <x:v>PASS</x:v>
      </x:c>
      <x:c r="H582" t="str">
        <x:f>G582</x:f>
        <x:v>PASS</x:v>
      </x:c>
    </x:row>
    <x:row r="583">
      <x:c r="B583" t="str">
        <x:v>A-PH-094</x:v>
      </x:c>
      <x:c r="C583" t="str">
        <x:v>gate</x:v>
      </x:c>
      <x:c r="D583" t="str">
        <x:v>PH-PEV-046</x:v>
      </x:c>
      <x:c r="E583" s="23" t="str">
        <x:v>OPEN</x:v>
      </x:c>
      <x:c r="F583" s="23" t="str">
        <x:f>'Release Gates'!I583</x:f>
        <x:v>OPEN</x:v>
      </x:c>
      <x:c r="G583" t="str">
        <x:f>IF(ABS(IFERROR(E583-F583,0))&lt;0.0001,IF(OR(ISTEXT(E583),ISTEXT(F583)),IF(E583=F583,"PASS","FAIL"),"PASS"),"FAIL")</x:f>
        <x:v>PASS</x:v>
      </x:c>
      <x:c r="H583" t="str">
        <x:f>G583</x:f>
        <x:v>PASS</x:v>
      </x:c>
    </x:row>
    <x:row r="584">
      <x:c r="B584" t="str">
        <x:v>A-PH-095</x:v>
      </x:c>
      <x:c r="C584" t="str">
        <x:v>gate</x:v>
      </x:c>
      <x:c r="D584" t="str">
        <x:v>PH-PEV-047</x:v>
      </x:c>
      <x:c r="E584" s="23" t="str">
        <x:v>OPEN</x:v>
      </x:c>
      <x:c r="F584" s="23" t="str">
        <x:f>'Release Gates'!I584</x:f>
        <x:v>OPEN</x:v>
      </x:c>
      <x:c r="G584" t="str">
        <x:f>IF(ABS(IFERROR(E584-F584,0))&lt;0.0001,IF(OR(ISTEXT(E584),ISTEXT(F584)),IF(E584=F584,"PASS","FAIL"),"PASS"),"FAIL")</x:f>
        <x:v>PASS</x:v>
      </x:c>
      <x:c r="H584" t="str">
        <x:f>G584</x:f>
        <x:v>PASS</x:v>
      </x:c>
    </x:row>
    <x:row r="585">
      <x:c r="B585" t="str">
        <x:v>A-PH-096</x:v>
      </x:c>
      <x:c r="C585" t="str">
        <x:v>gate</x:v>
      </x:c>
      <x:c r="D585" t="str">
        <x:v>PH-PEV-048</x:v>
      </x:c>
      <x:c r="E585" s="23" t="str">
        <x:v>OPEN</x:v>
      </x:c>
      <x:c r="F585" s="23" t="str">
        <x:f>'Release Gates'!I585</x:f>
        <x:v>OPEN</x:v>
      </x:c>
      <x:c r="G585" t="str">
        <x:f>IF(ABS(IFERROR(E585-F585,0))&lt;0.0001,IF(OR(ISTEXT(E585),ISTEXT(F585)),IF(E585=F585,"PASS","FAIL"),"PASS"),"FAIL")</x:f>
        <x:v>PASS</x:v>
      </x:c>
      <x:c r="H585" t="str">
        <x:f>G585</x:f>
        <x:v>PASS</x:v>
      </x:c>
    </x:row>
    <x:row r="586">
      <x:c r="B586" t="str">
        <x:v>A-PH-097</x:v>
      </x:c>
      <x:c r="C586" t="str">
        <x:v>gate</x:v>
      </x:c>
      <x:c r="D586" t="str">
        <x:v>PH-PEV-049</x:v>
      </x:c>
      <x:c r="E586" s="23" t="str">
        <x:v>OPEN</x:v>
      </x:c>
      <x:c r="F586" s="23" t="str">
        <x:f>'Release Gates'!I586</x:f>
        <x:v>OPEN</x:v>
      </x:c>
      <x:c r="G586" t="str">
        <x:f>IF(ABS(IFERROR(E586-F586,0))&lt;0.0001,IF(OR(ISTEXT(E586),ISTEXT(F586)),IF(E586=F586,"PASS","FAIL"),"PASS"),"FAIL")</x:f>
        <x:v>PASS</x:v>
      </x:c>
      <x:c r="H586" t="str">
        <x:f>G586</x:f>
        <x:v>PASS</x:v>
      </x:c>
    </x:row>
    <x:row r="587">
      <x:c r="B587" t="str">
        <x:v>A-PH-098</x:v>
      </x:c>
      <x:c r="C587" t="str">
        <x:v>gate</x:v>
      </x:c>
      <x:c r="D587" t="str">
        <x:v>PH-PEV-050</x:v>
      </x:c>
      <x:c r="E587" s="23" t="str">
        <x:v>OPEN</x:v>
      </x:c>
      <x:c r="F587" s="23" t="str">
        <x:f>'Release Gates'!I587</x:f>
        <x:v>OPEN</x:v>
      </x:c>
      <x:c r="G587" t="str">
        <x:f>IF(ABS(IFERROR(E587-F587,0))&lt;0.0001,IF(OR(ISTEXT(E587),ISTEXT(F587)),IF(E587=F587,"PASS","FAIL"),"PASS"),"FAIL")</x:f>
        <x:v>PASS</x:v>
      </x:c>
      <x:c r="H587" t="str">
        <x:f>G587</x:f>
        <x:v>PASS</x:v>
      </x:c>
    </x:row>
    <x:row r="588">
      <x:c r="B588" t="str">
        <x:v>A-PH-099</x:v>
      </x:c>
      <x:c r="C588" t="str">
        <x:v>gate</x:v>
      </x:c>
      <x:c r="D588" t="str">
        <x:v>PH-PEV-051</x:v>
      </x:c>
      <x:c r="E588" s="23" t="str">
        <x:v>OPEN</x:v>
      </x:c>
      <x:c r="F588" s="23" t="str">
        <x:f>'Release Gates'!I588</x:f>
        <x:v>OPEN</x:v>
      </x:c>
      <x:c r="G588" t="str">
        <x:f>IF(ABS(IFERROR(E588-F588,0))&lt;0.0001,IF(OR(ISTEXT(E588),ISTEXT(F588)),IF(E588=F588,"PASS","FAIL"),"PASS"),"FAIL")</x:f>
        <x:v>PASS</x:v>
      </x:c>
      <x:c r="H588" t="str">
        <x:f>G588</x:f>
        <x:v>PASS</x:v>
      </x:c>
    </x:row>
    <x:row r="589">
      <x:c r="B589" t="str">
        <x:v>A-PH-100</x:v>
      </x:c>
      <x:c r="C589" t="str">
        <x:v>gate</x:v>
      </x:c>
      <x:c r="D589" t="str">
        <x:v>PH-PEV-052</x:v>
      </x:c>
      <x:c r="E589" s="23" t="str">
        <x:v>OPEN</x:v>
      </x:c>
      <x:c r="F589" s="23" t="str">
        <x:f>'Release Gates'!I589</x:f>
        <x:v>OPEN</x:v>
      </x:c>
      <x:c r="G589" t="str">
        <x:f>IF(ABS(IFERROR(E589-F589,0))&lt;0.0001,IF(OR(ISTEXT(E589),ISTEXT(F589)),IF(E589=F589,"PASS","FAIL"),"PASS"),"FAIL")</x:f>
        <x:v>PASS</x:v>
      </x:c>
      <x:c r="H589" t="str">
        <x:f>G589</x:f>
        <x:v>PASS</x:v>
      </x:c>
    </x:row>
    <x:row r="590">
      <x:c r="B590" t="str">
        <x:v>A-PH-101</x:v>
      </x:c>
      <x:c r="C590" t="str">
        <x:v>gate</x:v>
      </x:c>
      <x:c r="D590" t="str">
        <x:v>PH-PEV-053</x:v>
      </x:c>
      <x:c r="E590" s="23" t="str">
        <x:v>OPEN</x:v>
      </x:c>
      <x:c r="F590" s="23" t="str">
        <x:f>'Release Gates'!I590</x:f>
        <x:v>OPEN</x:v>
      </x:c>
      <x:c r="G590" t="str">
        <x:f>IF(ABS(IFERROR(E590-F590,0))&lt;0.0001,IF(OR(ISTEXT(E590),ISTEXT(F590)),IF(E590=F590,"PASS","FAIL"),"PASS"),"FAIL")</x:f>
        <x:v>PASS</x:v>
      </x:c>
      <x:c r="H590" t="str">
        <x:f>G590</x:f>
        <x:v>PASS</x:v>
      </x:c>
    </x:row>
    <x:row r="591">
      <x:c r="B591" t="str">
        <x:v>A-PH-102</x:v>
      </x:c>
      <x:c r="C591" t="str">
        <x:v>gate</x:v>
      </x:c>
      <x:c r="D591" t="str">
        <x:v>PH-PEV-054</x:v>
      </x:c>
      <x:c r="E591" s="23" t="str">
        <x:v>OPEN</x:v>
      </x:c>
      <x:c r="F591" s="23" t="str">
        <x:f>'Release Gates'!I591</x:f>
        <x:v>OPEN</x:v>
      </x:c>
      <x:c r="G591" t="str">
        <x:f>IF(ABS(IFERROR(E591-F591,0))&lt;0.0001,IF(OR(ISTEXT(E591),ISTEXT(F591)),IF(E591=F591,"PASS","FAIL"),"PASS"),"FAIL")</x:f>
        <x:v>PASS</x:v>
      </x:c>
      <x:c r="H591" t="str">
        <x:f>G591</x:f>
        <x:v>PASS</x:v>
      </x:c>
    </x:row>
    <x:row r="592">
      <x:c r="B592" t="str">
        <x:v>A-PH-103</x:v>
      </x:c>
      <x:c r="C592" t="str">
        <x:v>gate</x:v>
      </x:c>
      <x:c r="D592" t="str">
        <x:v>PH-PEV-055</x:v>
      </x:c>
      <x:c r="E592" s="23" t="str">
        <x:v>OPEN</x:v>
      </x:c>
      <x:c r="F592" s="23" t="str">
        <x:f>'Release Gates'!I592</x:f>
        <x:v>OPEN</x:v>
      </x:c>
      <x:c r="G592" t="str">
        <x:f>IF(ABS(IFERROR(E592-F592,0))&lt;0.0001,IF(OR(ISTEXT(E592),ISTEXT(F592)),IF(E592=F592,"PASS","FAIL"),"PASS"),"FAIL")</x:f>
        <x:v>PASS</x:v>
      </x:c>
      <x:c r="H592" t="str">
        <x:f>G592</x:f>
        <x:v>PASS</x:v>
      </x:c>
    </x:row>
    <x:row r="593">
      <x:c r="B593" t="str">
        <x:v>A-PH-104</x:v>
      </x:c>
      <x:c r="C593" t="str">
        <x:v>gate</x:v>
      </x:c>
      <x:c r="D593" t="str">
        <x:v>PH-PEV-056</x:v>
      </x:c>
      <x:c r="E593" s="23" t="str">
        <x:v>OPEN</x:v>
      </x:c>
      <x:c r="F593" s="23" t="str">
        <x:f>'Release Gates'!I593</x:f>
        <x:v>OPEN</x:v>
      </x:c>
      <x:c r="G593" t="str">
        <x:f>IF(ABS(IFERROR(E593-F593,0))&lt;0.0001,IF(OR(ISTEXT(E593),ISTEXT(F593)),IF(E593=F593,"PASS","FAIL"),"PASS"),"FAIL")</x:f>
        <x:v>PASS</x:v>
      </x:c>
      <x:c r="H593" t="str">
        <x:f>G593</x:f>
        <x:v>PASS</x:v>
      </x:c>
    </x:row>
    <x:row r="594">
      <x:c r="B594" t="str">
        <x:v>A-PH-105</x:v>
      </x:c>
      <x:c r="C594" t="str">
        <x:v>gate</x:v>
      </x:c>
      <x:c r="D594" t="str">
        <x:v>PH-PEV-057</x:v>
      </x:c>
      <x:c r="E594" s="23" t="str">
        <x:v>OPEN</x:v>
      </x:c>
      <x:c r="F594" s="23" t="str">
        <x:f>'Release Gates'!I594</x:f>
        <x:v>OPEN</x:v>
      </x:c>
      <x:c r="G594" t="str">
        <x:f>IF(ABS(IFERROR(E594-F594,0))&lt;0.0001,IF(OR(ISTEXT(E594),ISTEXT(F594)),IF(E594=F594,"PASS","FAIL"),"PASS"),"FAIL")</x:f>
        <x:v>PASS</x:v>
      </x:c>
      <x:c r="H594" t="str">
        <x:f>G594</x:f>
        <x:v>PASS</x:v>
      </x:c>
    </x:row>
    <x:row r="595">
      <x:c r="B595" t="str">
        <x:v>A-PH-106</x:v>
      </x:c>
      <x:c r="C595" t="str">
        <x:v>gate</x:v>
      </x:c>
      <x:c r="D595" t="str">
        <x:v>PH-PEV-058</x:v>
      </x:c>
      <x:c r="E595" s="23" t="str">
        <x:v>OPEN</x:v>
      </x:c>
      <x:c r="F595" s="23" t="str">
        <x:f>'Release Gates'!I595</x:f>
        <x:v>OPEN</x:v>
      </x:c>
      <x:c r="G595" t="str">
        <x:f>IF(ABS(IFERROR(E595-F595,0))&lt;0.0001,IF(OR(ISTEXT(E595),ISTEXT(F595)),IF(E595=F595,"PASS","FAIL"),"PASS"),"FAIL")</x:f>
        <x:v>PASS</x:v>
      </x:c>
      <x:c r="H595" t="str">
        <x:f>G595</x:f>
        <x:v>PASS</x:v>
      </x:c>
    </x:row>
    <x:row r="596">
      <x:c r="B596" t="str">
        <x:v>A-PH-107</x:v>
      </x:c>
      <x:c r="C596" t="str">
        <x:v>gate</x:v>
      </x:c>
      <x:c r="D596" t="str">
        <x:v>PH-PEV-059</x:v>
      </x:c>
      <x:c r="E596" s="23" t="str">
        <x:v>OPEN</x:v>
      </x:c>
      <x:c r="F596" s="23" t="str">
        <x:f>'Release Gates'!I596</x:f>
        <x:v>OPEN</x:v>
      </x:c>
      <x:c r="G596" t="str">
        <x:f>IF(ABS(IFERROR(E596-F596,0))&lt;0.0001,IF(OR(ISTEXT(E596),ISTEXT(F596)),IF(E596=F596,"PASS","FAIL"),"PASS"),"FAIL")</x:f>
        <x:v>PASS</x:v>
      </x:c>
      <x:c r="H596" t="str">
        <x:f>G596</x:f>
        <x:v>PASS</x:v>
      </x:c>
    </x:row>
    <x:row r="597">
      <x:c r="B597" t="str">
        <x:v>A-PH-108</x:v>
      </x:c>
      <x:c r="C597" t="str">
        <x:v>gate</x:v>
      </x:c>
      <x:c r="D597" t="str">
        <x:v>PH-PEV-060</x:v>
      </x:c>
      <x:c r="E597" s="23" t="str">
        <x:v>OPEN</x:v>
      </x:c>
      <x:c r="F597" s="23" t="str">
        <x:f>'Release Gates'!I597</x:f>
        <x:v>OPEN</x:v>
      </x:c>
      <x:c r="G597" t="str">
        <x:f>IF(ABS(IFERROR(E597-F597,0))&lt;0.0001,IF(OR(ISTEXT(E597),ISTEXT(F597)),IF(E597=F597,"PASS","FAIL"),"PASS"),"FAIL")</x:f>
        <x:v>PASS</x:v>
      </x:c>
      <x:c r="H597" t="str">
        <x:f>G597</x:f>
        <x:v>PASS</x:v>
      </x:c>
    </x:row>
    <x:row r="598">
      <x:c r="B598" t="str">
        <x:v>A-PH-109</x:v>
      </x:c>
      <x:c r="C598" t="str">
        <x:v>gate</x:v>
      </x:c>
      <x:c r="D598" t="str">
        <x:v>PH-PEV-061</x:v>
      </x:c>
      <x:c r="E598" s="23" t="str">
        <x:v>OPEN</x:v>
      </x:c>
      <x:c r="F598" s="23" t="str">
        <x:f>'Release Gates'!I598</x:f>
        <x:v>OPEN</x:v>
      </x:c>
      <x:c r="G598" t="str">
        <x:f>IF(ABS(IFERROR(E598-F598,0))&lt;0.0001,IF(OR(ISTEXT(E598),ISTEXT(F598)),IF(E598=F598,"PASS","FAIL"),"PASS"),"FAIL")</x:f>
        <x:v>PASS</x:v>
      </x:c>
      <x:c r="H598" t="str">
        <x:f>G598</x:f>
        <x:v>PASS</x:v>
      </x:c>
    </x:row>
    <x:row r="599">
      <x:c r="B599" t="str">
        <x:v>A-PH-110</x:v>
      </x:c>
      <x:c r="C599" t="str">
        <x:v>gate</x:v>
      </x:c>
      <x:c r="D599" t="str">
        <x:v>PH-PEV-062</x:v>
      </x:c>
      <x:c r="E599" s="23" t="str">
        <x:v>OPEN</x:v>
      </x:c>
      <x:c r="F599" s="23" t="str">
        <x:f>'Release Gates'!I599</x:f>
        <x:v>OPEN</x:v>
      </x:c>
      <x:c r="G599" t="str">
        <x:f>IF(ABS(IFERROR(E599-F599,0))&lt;0.0001,IF(OR(ISTEXT(E599),ISTEXT(F599)),IF(E599=F599,"PASS","FAIL"),"PASS"),"FAIL")</x:f>
        <x:v>PASS</x:v>
      </x:c>
      <x:c r="H599" t="str">
        <x:f>G599</x:f>
        <x:v>PASS</x:v>
      </x:c>
    </x:row>
    <x:row r="600">
      <x:c r="B600" t="str">
        <x:v>A-PH-111</x:v>
      </x:c>
      <x:c r="C600" t="str">
        <x:v>gate</x:v>
      </x:c>
      <x:c r="D600" t="str">
        <x:v>PH-PEV-063</x:v>
      </x:c>
      <x:c r="E600" s="23" t="str">
        <x:v>OPEN</x:v>
      </x:c>
      <x:c r="F600" s="23" t="str">
        <x:f>'Release Gates'!I600</x:f>
        <x:v>OPEN</x:v>
      </x:c>
      <x:c r="G600" t="str">
        <x:f>IF(ABS(IFERROR(E600-F600,0))&lt;0.0001,IF(OR(ISTEXT(E600),ISTEXT(F600)),IF(E600=F600,"PASS","FAIL"),"PASS"),"FAIL")</x:f>
        <x:v>PASS</x:v>
      </x:c>
      <x:c r="H600" t="str">
        <x:f>G600</x:f>
        <x:v>PASS</x:v>
      </x:c>
    </x:row>
    <x:row r="601">
      <x:c r="B601" t="str">
        <x:v>A-PH-112</x:v>
      </x:c>
      <x:c r="C601" t="str">
        <x:v>gate</x:v>
      </x:c>
      <x:c r="D601" t="str">
        <x:v>PH-PEV-064</x:v>
      </x:c>
      <x:c r="E601" s="23" t="str">
        <x:v>OPEN</x:v>
      </x:c>
      <x:c r="F601" s="23" t="str">
        <x:f>'Release Gates'!I601</x:f>
        <x:v>OPEN</x:v>
      </x:c>
      <x:c r="G601" t="str">
        <x:f>IF(ABS(IFERROR(E601-F601,0))&lt;0.0001,IF(OR(ISTEXT(E601),ISTEXT(F601)),IF(E601=F601,"PASS","FAIL"),"PASS"),"FAIL")</x:f>
        <x:v>PASS</x:v>
      </x:c>
      <x:c r="H601" t="str">
        <x:f>G601</x:f>
        <x:v>PASS</x:v>
      </x:c>
    </x:row>
    <x:row r="602">
      <x:c r="B602" t="str">
        <x:v>A-PH-113</x:v>
      </x:c>
      <x:c r="C602" t="str">
        <x:v>gate</x:v>
      </x:c>
      <x:c r="D602" t="str">
        <x:v>PH-PEV-065</x:v>
      </x:c>
      <x:c r="E602" s="23" t="str">
        <x:v>OPEN</x:v>
      </x:c>
      <x:c r="F602" s="23" t="str">
        <x:f>'Release Gates'!I602</x:f>
        <x:v>OPEN</x:v>
      </x:c>
      <x:c r="G602" t="str">
        <x:f>IF(ABS(IFERROR(E602-F602,0))&lt;0.0001,IF(OR(ISTEXT(E602),ISTEXT(F602)),IF(E602=F602,"PASS","FAIL"),"PASS"),"FAIL")</x:f>
        <x:v>PASS</x:v>
      </x:c>
      <x:c r="H602" t="str">
        <x:f>G602</x:f>
        <x:v>PASS</x:v>
      </x:c>
    </x:row>
    <x:row r="603">
      <x:c r="B603" t="str">
        <x:v>A-PH-114</x:v>
      </x:c>
      <x:c r="C603" t="str">
        <x:v>gate</x:v>
      </x:c>
      <x:c r="D603" t="str">
        <x:v>PH-PEV-066</x:v>
      </x:c>
      <x:c r="E603" s="23" t="str">
        <x:v>OPEN</x:v>
      </x:c>
      <x:c r="F603" s="23" t="str">
        <x:f>'Release Gates'!I603</x:f>
        <x:v>OPEN</x:v>
      </x:c>
      <x:c r="G603" t="str">
        <x:f>IF(ABS(IFERROR(E603-F603,0))&lt;0.0001,IF(OR(ISTEXT(E603),ISTEXT(F603)),IF(E603=F603,"PASS","FAIL"),"PASS"),"FAIL")</x:f>
        <x:v>PASS</x:v>
      </x:c>
      <x:c r="H603" t="str">
        <x:f>G603</x:f>
        <x:v>PASS</x:v>
      </x:c>
    </x:row>
    <x:row r="604">
      <x:c r="B604" t="str">
        <x:v>A-PH-115</x:v>
      </x:c>
      <x:c r="C604" t="str">
        <x:v>gate</x:v>
      </x:c>
      <x:c r="D604" t="str">
        <x:v>PH-PEV-067</x:v>
      </x:c>
      <x:c r="E604" s="23" t="str">
        <x:v>OPEN</x:v>
      </x:c>
      <x:c r="F604" s="23" t="str">
        <x:f>'Release Gates'!I604</x:f>
        <x:v>OPEN</x:v>
      </x:c>
      <x:c r="G604" t="str">
        <x:f>IF(ABS(IFERROR(E604-F604,0))&lt;0.0001,IF(OR(ISTEXT(E604),ISTEXT(F604)),IF(E604=F604,"PASS","FAIL"),"PASS"),"FAIL")</x:f>
        <x:v>PASS</x:v>
      </x:c>
      <x:c r="H604" t="str">
        <x:f>G604</x:f>
        <x:v>PASS</x:v>
      </x:c>
    </x:row>
    <x:row r="605">
      <x:c r="B605" t="str">
        <x:v>A-PH-116</x:v>
      </x:c>
      <x:c r="C605" t="str">
        <x:v>gate</x:v>
      </x:c>
      <x:c r="D605" t="str">
        <x:v>PH-PEV-068</x:v>
      </x:c>
      <x:c r="E605" s="23" t="str">
        <x:v>OPEN</x:v>
      </x:c>
      <x:c r="F605" s="23" t="str">
        <x:f>'Release Gates'!I605</x:f>
        <x:v>OPEN</x:v>
      </x:c>
      <x:c r="G605" t="str">
        <x:f>IF(ABS(IFERROR(E605-F605,0))&lt;0.0001,IF(OR(ISTEXT(E605),ISTEXT(F605)),IF(E605=F605,"PASS","FAIL"),"PASS"),"FAIL")</x:f>
        <x:v>PASS</x:v>
      </x:c>
      <x:c r="H605" t="str">
        <x:f>G605</x:f>
        <x:v>PASS</x:v>
      </x:c>
    </x:row>
    <x:row r="606">
      <x:c r="B606" t="str">
        <x:v>A-PH-117</x:v>
      </x:c>
      <x:c r="C606" t="str">
        <x:v>gate</x:v>
      </x:c>
      <x:c r="D606" t="str">
        <x:v>PH-PEV-069</x:v>
      </x:c>
      <x:c r="E606" s="23" t="str">
        <x:v>OPEN</x:v>
      </x:c>
      <x:c r="F606" s="23" t="str">
        <x:f>'Release Gates'!I606</x:f>
        <x:v>OPEN</x:v>
      </x:c>
      <x:c r="G606" t="str">
        <x:f>IF(ABS(IFERROR(E606-F606,0))&lt;0.0001,IF(OR(ISTEXT(E606),ISTEXT(F606)),IF(E606=F606,"PASS","FAIL"),"PASS"),"FAIL")</x:f>
        <x:v>PASS</x:v>
      </x:c>
      <x:c r="H606" t="str">
        <x:f>G606</x:f>
        <x:v>PASS</x:v>
      </x:c>
    </x:row>
    <x:row r="607">
      <x:c r="B607" t="str">
        <x:v>A-PH-118</x:v>
      </x:c>
      <x:c r="C607" t="str">
        <x:v>gate</x:v>
      </x:c>
      <x:c r="D607" t="str">
        <x:v>PH-PEV-070</x:v>
      </x:c>
      <x:c r="E607" s="23" t="str">
        <x:v>OPEN</x:v>
      </x:c>
      <x:c r="F607" s="23" t="str">
        <x:f>'Release Gates'!I607</x:f>
        <x:v>OPEN</x:v>
      </x:c>
      <x:c r="G607" t="str">
        <x:f>IF(ABS(IFERROR(E607-F607,0))&lt;0.0001,IF(OR(ISTEXT(E607),ISTEXT(F607)),IF(E607=F607,"PASS","FAIL"),"PASS"),"FAIL")</x:f>
        <x:v>PASS</x:v>
      </x:c>
      <x:c r="H607" t="str">
        <x:f>G607</x:f>
        <x:v>PASS</x:v>
      </x:c>
    </x:row>
    <x:row r="608">
      <x:c r="B608" t="str">
        <x:v>A-PH-119</x:v>
      </x:c>
      <x:c r="C608" t="str">
        <x:v>gate</x:v>
      </x:c>
      <x:c r="D608" t="str">
        <x:v>PH-PEV-071</x:v>
      </x:c>
      <x:c r="E608" s="23" t="str">
        <x:v>OPEN</x:v>
      </x:c>
      <x:c r="F608" s="23" t="str">
        <x:f>'Release Gates'!I608</x:f>
        <x:v>OPEN</x:v>
      </x:c>
      <x:c r="G608" t="str">
        <x:f>IF(ABS(IFERROR(E608-F608,0))&lt;0.0001,IF(OR(ISTEXT(E608),ISTEXT(F608)),IF(E608=F608,"PASS","FAIL"),"PASS"),"FAIL")</x:f>
        <x:v>PASS</x:v>
      </x:c>
      <x:c r="H608" t="str">
        <x:f>G608</x:f>
        <x:v>PASS</x:v>
      </x:c>
    </x:row>
    <x:row r="609">
      <x:c r="B609" t="str">
        <x:v>A-PH-120</x:v>
      </x:c>
      <x:c r="C609" t="str">
        <x:v>gate</x:v>
      </x:c>
      <x:c r="D609" t="str">
        <x:v>PH-PEV-072</x:v>
      </x:c>
      <x:c r="E609" s="23" t="str">
        <x:v>OPEN</x:v>
      </x:c>
      <x:c r="F609" s="23" t="str">
        <x:f>'Release Gates'!I609</x:f>
        <x:v>OPEN</x:v>
      </x:c>
      <x:c r="G609" t="str">
        <x:f>IF(ABS(IFERROR(E609-F609,0))&lt;0.0001,IF(OR(ISTEXT(E609),ISTEXT(F609)),IF(E609=F609,"PASS","FAIL"),"PASS"),"FAIL")</x:f>
        <x:v>PASS</x:v>
      </x:c>
      <x:c r="H609" t="str">
        <x:f>G609</x:f>
        <x:v>PASS</x:v>
      </x:c>
    </x:row>
    <x:row r="610">
      <x:c r="B610" t="str">
        <x:v>A-PH-121</x:v>
      </x:c>
      <x:c r="C610" t="str">
        <x:v>gate</x:v>
      </x:c>
      <x:c r="D610" t="str">
        <x:v>PH-PEV-073</x:v>
      </x:c>
      <x:c r="E610" s="23" t="str">
        <x:v>OPEN</x:v>
      </x:c>
      <x:c r="F610" s="23" t="str">
        <x:f>'Release Gates'!I610</x:f>
        <x:v>OPEN</x:v>
      </x:c>
      <x:c r="G610" t="str">
        <x:f>IF(ABS(IFERROR(E610-F610,0))&lt;0.0001,IF(OR(ISTEXT(E610),ISTEXT(F610)),IF(E610=F610,"PASS","FAIL"),"PASS"),"FAIL")</x:f>
        <x:v>PASS</x:v>
      </x:c>
      <x:c r="H610" t="str">
        <x:f>G610</x:f>
        <x:v>PASS</x:v>
      </x:c>
    </x:row>
    <x:row r="611">
      <x:c r="B611" t="str">
        <x:v>A-PH-122</x:v>
      </x:c>
      <x:c r="C611" t="str">
        <x:v>gate</x:v>
      </x:c>
      <x:c r="D611" t="str">
        <x:v>PH-PEV-074</x:v>
      </x:c>
      <x:c r="E611" s="23" t="str">
        <x:v>OPEN</x:v>
      </x:c>
      <x:c r="F611" s="23" t="str">
        <x:f>'Release Gates'!I611</x:f>
        <x:v>OPEN</x:v>
      </x:c>
      <x:c r="G611" t="str">
        <x:f>IF(ABS(IFERROR(E611-F611,0))&lt;0.0001,IF(OR(ISTEXT(E611),ISTEXT(F611)),IF(E611=F611,"PASS","FAIL"),"PASS"),"FAIL")</x:f>
        <x:v>PASS</x:v>
      </x:c>
      <x:c r="H611" t="str">
        <x:f>G611</x:f>
        <x:v>PASS</x:v>
      </x:c>
    </x:row>
    <x:row r="612">
      <x:c r="B612" t="str">
        <x:v>A-PH-123</x:v>
      </x:c>
      <x:c r="C612" t="str">
        <x:v>gate</x:v>
      </x:c>
      <x:c r="D612" t="str">
        <x:v>PH-PEV-075</x:v>
      </x:c>
      <x:c r="E612" s="23" t="str">
        <x:v>OPEN</x:v>
      </x:c>
      <x:c r="F612" s="23" t="str">
        <x:f>'Release Gates'!I612</x:f>
        <x:v>OPEN</x:v>
      </x:c>
      <x:c r="G612" t="str">
        <x:f>IF(ABS(IFERROR(E612-F612,0))&lt;0.0001,IF(OR(ISTEXT(E612),ISTEXT(F612)),IF(E612=F612,"PASS","FAIL"),"PASS"),"FAIL")</x:f>
        <x:v>PASS</x:v>
      </x:c>
      <x:c r="H612" t="str">
        <x:f>G612</x:f>
        <x:v>PASS</x:v>
      </x:c>
    </x:row>
    <x:row r="613">
      <x:c r="B613" t="str">
        <x:v>A-PH-124</x:v>
      </x:c>
      <x:c r="C613" t="str">
        <x:v>gate</x:v>
      </x:c>
      <x:c r="D613" t="str">
        <x:v>PH-PEV-076</x:v>
      </x:c>
      <x:c r="E613" s="23" t="str">
        <x:v>OPEN</x:v>
      </x:c>
      <x:c r="F613" s="23" t="str">
        <x:f>'Release Gates'!I613</x:f>
        <x:v>OPEN</x:v>
      </x:c>
      <x:c r="G613" t="str">
        <x:f>IF(ABS(IFERROR(E613-F613,0))&lt;0.0001,IF(OR(ISTEXT(E613),ISTEXT(F613)),IF(E613=F613,"PASS","FAIL"),"PASS"),"FAIL")</x:f>
        <x:v>PASS</x:v>
      </x:c>
      <x:c r="H613" t="str">
        <x:f>G613</x:f>
        <x:v>PASS</x:v>
      </x:c>
    </x:row>
    <x:row r="614">
      <x:c r="B614" t="str">
        <x:v>A-PH-125</x:v>
      </x:c>
      <x:c r="C614" t="str">
        <x:v>gate</x:v>
      </x:c>
      <x:c r="D614" t="str">
        <x:v>PH-PEV-077</x:v>
      </x:c>
      <x:c r="E614" s="23" t="str">
        <x:v>OPEN</x:v>
      </x:c>
      <x:c r="F614" s="23" t="str">
        <x:f>'Release Gates'!I614</x:f>
        <x:v>OPEN</x:v>
      </x:c>
      <x:c r="G614" t="str">
        <x:f>IF(ABS(IFERROR(E614-F614,0))&lt;0.0001,IF(OR(ISTEXT(E614),ISTEXT(F614)),IF(E614=F614,"PASS","FAIL"),"PASS"),"FAIL")</x:f>
        <x:v>PASS</x:v>
      </x:c>
      <x:c r="H614" t="str">
        <x:f>G614</x:f>
        <x:v>PASS</x:v>
      </x:c>
    </x:row>
    <x:row r="615">
      <x:c r="B615" t="str">
        <x:v>A-PH-126</x:v>
      </x:c>
      <x:c r="C615" t="str">
        <x:v>gate</x:v>
      </x:c>
      <x:c r="D615" t="str">
        <x:v>PH-PEV-078</x:v>
      </x:c>
      <x:c r="E615" s="23" t="str">
        <x:v>OPEN</x:v>
      </x:c>
      <x:c r="F615" s="23" t="str">
        <x:f>'Release Gates'!I615</x:f>
        <x:v>OPEN</x:v>
      </x:c>
      <x:c r="G615" t="str">
        <x:f>IF(ABS(IFERROR(E615-F615,0))&lt;0.0001,IF(OR(ISTEXT(E615),ISTEXT(F615)),IF(E615=F615,"PASS","FAIL"),"PASS"),"FAIL")</x:f>
        <x:v>PASS</x:v>
      </x:c>
      <x:c r="H615" t="str">
        <x:f>G615</x:f>
        <x:v>PASS</x:v>
      </x:c>
    </x:row>
    <x:row r="616">
      <x:c r="B616" t="str">
        <x:v>A-PH-127</x:v>
      </x:c>
      <x:c r="C616" t="str">
        <x:v>gate</x:v>
      </x:c>
      <x:c r="D616" t="str">
        <x:v>PH-PEV-079</x:v>
      </x:c>
      <x:c r="E616" s="23" t="str">
        <x:v>OPEN</x:v>
      </x:c>
      <x:c r="F616" s="23" t="str">
        <x:f>'Release Gates'!I616</x:f>
        <x:v>OPEN</x:v>
      </x:c>
      <x:c r="G616" t="str">
        <x:f>IF(ABS(IFERROR(E616-F616,0))&lt;0.0001,IF(OR(ISTEXT(E616),ISTEXT(F616)),IF(E616=F616,"PASS","FAIL"),"PASS"),"FAIL")</x:f>
        <x:v>PASS</x:v>
      </x:c>
      <x:c r="H616" t="str">
        <x:f>G616</x:f>
        <x:v>PASS</x:v>
      </x:c>
    </x:row>
    <x:row r="617">
      <x:c r="B617" t="str">
        <x:v>A-PH-128</x:v>
      </x:c>
      <x:c r="C617" t="str">
        <x:v>gate</x:v>
      </x:c>
      <x:c r="D617" t="str">
        <x:v>PH-PEV-080</x:v>
      </x:c>
      <x:c r="E617" s="23" t="str">
        <x:v>OPEN</x:v>
      </x:c>
      <x:c r="F617" s="23" t="str">
        <x:f>'Release Gates'!I617</x:f>
        <x:v>OPEN</x:v>
      </x:c>
      <x:c r="G617" t="str">
        <x:f>IF(ABS(IFERROR(E617-F617,0))&lt;0.0001,IF(OR(ISTEXT(E617),ISTEXT(F617)),IF(E617=F617,"PASS","FAIL"),"PASS"),"FAIL")</x:f>
        <x:v>PASS</x:v>
      </x:c>
      <x:c r="H617" t="str">
        <x:f>G617</x:f>
        <x:v>PASS</x:v>
      </x:c>
    </x:row>
    <x:row r="618">
      <x:c r="B618" t="str">
        <x:v>A-PH-129</x:v>
      </x:c>
      <x:c r="C618" t="str">
        <x:v>gate</x:v>
      </x:c>
      <x:c r="D618" t="str">
        <x:v>PH-PEV-081</x:v>
      </x:c>
      <x:c r="E618" s="23" t="str">
        <x:v>OPEN</x:v>
      </x:c>
      <x:c r="F618" s="23" t="str">
        <x:f>'Release Gates'!I618</x:f>
        <x:v>OPEN</x:v>
      </x:c>
      <x:c r="G618" t="str">
        <x:f>IF(ABS(IFERROR(E618-F618,0))&lt;0.0001,IF(OR(ISTEXT(E618),ISTEXT(F618)),IF(E618=F618,"PASS","FAIL"),"PASS"),"FAIL")</x:f>
        <x:v>PASS</x:v>
      </x:c>
      <x:c r="H618" t="str">
        <x:f>G618</x:f>
        <x:v>PASS</x:v>
      </x:c>
    </x:row>
    <x:row r="619">
      <x:c r="B619" t="str">
        <x:v>A-PH-130</x:v>
      </x:c>
      <x:c r="C619" t="str">
        <x:v>gate</x:v>
      </x:c>
      <x:c r="D619" t="str">
        <x:v>PH-PEV-082</x:v>
      </x:c>
      <x:c r="E619" s="23" t="str">
        <x:v>OPEN</x:v>
      </x:c>
      <x:c r="F619" s="23" t="str">
        <x:f>'Release Gates'!I619</x:f>
        <x:v>OPEN</x:v>
      </x:c>
      <x:c r="G619" t="str">
        <x:f>IF(ABS(IFERROR(E619-F619,0))&lt;0.0001,IF(OR(ISTEXT(E619),ISTEXT(F619)),IF(E619=F619,"PASS","FAIL"),"PASS"),"FAIL")</x:f>
        <x:v>PASS</x:v>
      </x:c>
      <x:c r="H619" t="str">
        <x:f>G619</x:f>
        <x:v>PASS</x:v>
      </x:c>
    </x:row>
    <x:row r="620">
      <x:c r="B620" t="str">
        <x:v>A-PH-131</x:v>
      </x:c>
      <x:c r="C620" t="str">
        <x:v>gate</x:v>
      </x:c>
      <x:c r="D620" t="str">
        <x:v>PH-PEV-083</x:v>
      </x:c>
      <x:c r="E620" s="23" t="str">
        <x:v>OPEN</x:v>
      </x:c>
      <x:c r="F620" s="23" t="str">
        <x:f>'Release Gates'!I620</x:f>
        <x:v>OPEN</x:v>
      </x:c>
      <x:c r="G620" t="str">
        <x:f>IF(ABS(IFERROR(E620-F620,0))&lt;0.0001,IF(OR(ISTEXT(E620),ISTEXT(F620)),IF(E620=F620,"PASS","FAIL"),"PASS"),"FAIL")</x:f>
        <x:v>PASS</x:v>
      </x:c>
      <x:c r="H620" t="str">
        <x:f>G620</x:f>
        <x:v>PASS</x:v>
      </x:c>
    </x:row>
    <x:row r="621">
      <x:c r="B621" t="str">
        <x:v>A-PH-132</x:v>
      </x:c>
      <x:c r="C621" t="str">
        <x:v>gate</x:v>
      </x:c>
      <x:c r="D621" t="str">
        <x:v>PH-PEV-084</x:v>
      </x:c>
      <x:c r="E621" s="23" t="str">
        <x:v>OPEN</x:v>
      </x:c>
      <x:c r="F621" s="23" t="str">
        <x:f>'Release Gates'!I621</x:f>
        <x:v>OPEN</x:v>
      </x:c>
      <x:c r="G621" t="str">
        <x:f>IF(ABS(IFERROR(E621-F621,0))&lt;0.0001,IF(OR(ISTEXT(E621),ISTEXT(F621)),IF(E621=F621,"PASS","FAIL"),"PASS"),"FAIL")</x:f>
        <x:v>PASS</x:v>
      </x:c>
      <x:c r="H621" t="str">
        <x:f>G621</x:f>
        <x:v>PASS</x:v>
      </x:c>
    </x:row>
    <x:row r="622">
      <x:c r="B622" t="str">
        <x:v>A-PH-133</x:v>
      </x:c>
      <x:c r="C622" t="str">
        <x:v>gate</x:v>
      </x:c>
      <x:c r="D622" t="str">
        <x:v>PH-PEV-085</x:v>
      </x:c>
      <x:c r="E622" s="23" t="str">
        <x:v>OPEN</x:v>
      </x:c>
      <x:c r="F622" s="23" t="str">
        <x:f>'Release Gates'!I622</x:f>
        <x:v>OPEN</x:v>
      </x:c>
      <x:c r="G622" t="str">
        <x:f>IF(ABS(IFERROR(E622-F622,0))&lt;0.0001,IF(OR(ISTEXT(E622),ISTEXT(F622)),IF(E622=F622,"PASS","FAIL"),"PASS"),"FAIL")</x:f>
        <x:v>PASS</x:v>
      </x:c>
      <x:c r="H622" t="str">
        <x:f>G622</x:f>
        <x:v>PASS</x:v>
      </x:c>
    </x:row>
    <x:row r="623">
      <x:c r="B623" t="str">
        <x:v>A-PH-134</x:v>
      </x:c>
      <x:c r="C623" t="str">
        <x:v>gate</x:v>
      </x:c>
      <x:c r="D623" t="str">
        <x:v>PH-PEV-086</x:v>
      </x:c>
      <x:c r="E623" s="23" t="str">
        <x:v>OPEN</x:v>
      </x:c>
      <x:c r="F623" s="23" t="str">
        <x:f>'Release Gates'!I623</x:f>
        <x:v>OPEN</x:v>
      </x:c>
      <x:c r="G623" t="str">
        <x:f>IF(ABS(IFERROR(E623-F623,0))&lt;0.0001,IF(OR(ISTEXT(E623),ISTEXT(F623)),IF(E623=F623,"PASS","FAIL"),"PASS"),"FAIL")</x:f>
        <x:v>PASS</x:v>
      </x:c>
      <x:c r="H623" t="str">
        <x:f>G623</x:f>
        <x:v>PASS</x:v>
      </x:c>
    </x:row>
    <x:row r="624">
      <x:c r="B624" t="str">
        <x:v>A-PH-135</x:v>
      </x:c>
      <x:c r="C624" t="str">
        <x:v>gate</x:v>
      </x:c>
      <x:c r="D624" t="str">
        <x:v>PH-PEV-087</x:v>
      </x:c>
      <x:c r="E624" s="23" t="str">
        <x:v>OPEN</x:v>
      </x:c>
      <x:c r="F624" s="23" t="str">
        <x:f>'Release Gates'!I624</x:f>
        <x:v>OPEN</x:v>
      </x:c>
      <x:c r="G624" t="str">
        <x:f>IF(ABS(IFERROR(E624-F624,0))&lt;0.0001,IF(OR(ISTEXT(E624),ISTEXT(F624)),IF(E624=F624,"PASS","FAIL"),"PASS"),"FAIL")</x:f>
        <x:v>PASS</x:v>
      </x:c>
      <x:c r="H624" t="str">
        <x:f>G624</x:f>
        <x:v>PASS</x:v>
      </x:c>
    </x:row>
    <x:row r="625">
      <x:c r="B625" t="str">
        <x:v>A-PH-136</x:v>
      </x:c>
      <x:c r="C625" t="str">
        <x:v>gate</x:v>
      </x:c>
      <x:c r="D625" t="str">
        <x:v>PH-PEV-088</x:v>
      </x:c>
      <x:c r="E625" s="23" t="str">
        <x:v>OPEN</x:v>
      </x:c>
      <x:c r="F625" s="23" t="str">
        <x:f>'Release Gates'!I625</x:f>
        <x:v>OPEN</x:v>
      </x:c>
      <x:c r="G625" t="str">
        <x:f>IF(ABS(IFERROR(E625-F625,0))&lt;0.0001,IF(OR(ISTEXT(E625),ISTEXT(F625)),IF(E625=F625,"PASS","FAIL"),"PASS"),"FAIL")</x:f>
        <x:v>PASS</x:v>
      </x:c>
      <x:c r="H625" t="str">
        <x:f>G625</x:f>
        <x:v>PASS</x:v>
      </x:c>
    </x:row>
    <x:row r="626">
      <x:c r="B626" t="str">
        <x:v>A-PH-137</x:v>
      </x:c>
      <x:c r="C626" t="str">
        <x:v>gate</x:v>
      </x:c>
      <x:c r="D626" t="str">
        <x:v>PH-PEV-089</x:v>
      </x:c>
      <x:c r="E626" s="23" t="str">
        <x:v>OPEN</x:v>
      </x:c>
      <x:c r="F626" s="23" t="str">
        <x:f>'Release Gates'!I626</x:f>
        <x:v>OPEN</x:v>
      </x:c>
      <x:c r="G626" t="str">
        <x:f>IF(ABS(IFERROR(E626-F626,0))&lt;0.0001,IF(OR(ISTEXT(E626),ISTEXT(F626)),IF(E626=F626,"PASS","FAIL"),"PASS"),"FAIL")</x:f>
        <x:v>PASS</x:v>
      </x:c>
      <x:c r="H626" t="str">
        <x:f>G626</x:f>
        <x:v>PASS</x:v>
      </x:c>
    </x:row>
    <x:row r="627">
      <x:c r="B627" t="str">
        <x:v>A-PH-138</x:v>
      </x:c>
      <x:c r="C627" t="str">
        <x:v>gate</x:v>
      </x:c>
      <x:c r="D627" t="str">
        <x:v>PH-PEV-090</x:v>
      </x:c>
      <x:c r="E627" s="23" t="str">
        <x:v>OPEN</x:v>
      </x:c>
      <x:c r="F627" s="23" t="str">
        <x:f>'Release Gates'!I627</x:f>
        <x:v>OPEN</x:v>
      </x:c>
      <x:c r="G627" t="str">
        <x:f>IF(ABS(IFERROR(E627-F627,0))&lt;0.0001,IF(OR(ISTEXT(E627),ISTEXT(F627)),IF(E627=F627,"PASS","FAIL"),"PASS"),"FAIL")</x:f>
        <x:v>PASS</x:v>
      </x:c>
      <x:c r="H627" t="str">
        <x:f>G627</x:f>
        <x:v>PASS</x:v>
      </x:c>
    </x:row>
    <x:row r="628">
      <x:c r="B628" t="str">
        <x:v>A-PH-139</x:v>
      </x:c>
      <x:c r="C628" t="str">
        <x:v>gate</x:v>
      </x:c>
      <x:c r="D628" t="str">
        <x:v>PH-PEV-091</x:v>
      </x:c>
      <x:c r="E628" s="23" t="str">
        <x:v>OPEN</x:v>
      </x:c>
      <x:c r="F628" s="23" t="str">
        <x:f>'Release Gates'!I628</x:f>
        <x:v>OPEN</x:v>
      </x:c>
      <x:c r="G628" t="str">
        <x:f>IF(ABS(IFERROR(E628-F628,0))&lt;0.0001,IF(OR(ISTEXT(E628),ISTEXT(F628)),IF(E628=F628,"PASS","FAIL"),"PASS"),"FAIL")</x:f>
        <x:v>PASS</x:v>
      </x:c>
      <x:c r="H628" t="str">
        <x:f>G628</x:f>
        <x:v>PASS</x:v>
      </x:c>
    </x:row>
    <x:row r="629">
      <x:c r="B629" t="str">
        <x:v>A-PH-140</x:v>
      </x:c>
      <x:c r="C629" t="str">
        <x:v>gate</x:v>
      </x:c>
      <x:c r="D629" t="str">
        <x:v>PH-PEV-092</x:v>
      </x:c>
      <x:c r="E629" s="23" t="str">
        <x:v>OPEN</x:v>
      </x:c>
      <x:c r="F629" s="23" t="str">
        <x:f>'Release Gates'!I629</x:f>
        <x:v>OPEN</x:v>
      </x:c>
      <x:c r="G629" t="str">
        <x:f>IF(ABS(IFERROR(E629-F629,0))&lt;0.0001,IF(OR(ISTEXT(E629),ISTEXT(F629)),IF(E629=F629,"PASS","FAIL"),"PASS"),"FAIL")</x:f>
        <x:v>PASS</x:v>
      </x:c>
      <x:c r="H629" t="str">
        <x:f>G629</x:f>
        <x:v>PASS</x:v>
      </x:c>
    </x:row>
    <x:row r="630">
      <x:c r="B630" t="str">
        <x:v>A-PH-141</x:v>
      </x:c>
      <x:c r="C630" t="str">
        <x:v>gate</x:v>
      </x:c>
      <x:c r="D630" t="str">
        <x:v>PH-PEV-093</x:v>
      </x:c>
      <x:c r="E630" s="23" t="str">
        <x:v>OPEN</x:v>
      </x:c>
      <x:c r="F630" s="23" t="str">
        <x:f>'Release Gates'!I630</x:f>
        <x:v>OPEN</x:v>
      </x:c>
      <x:c r="G630" t="str">
        <x:f>IF(ABS(IFERROR(E630-F630,0))&lt;0.0001,IF(OR(ISTEXT(E630),ISTEXT(F630)),IF(E630=F630,"PASS","FAIL"),"PASS"),"FAIL")</x:f>
        <x:v>PASS</x:v>
      </x:c>
      <x:c r="H630" t="str">
        <x:f>G630</x:f>
        <x:v>PASS</x:v>
      </x:c>
    </x:row>
    <x:row r="631">
      <x:c r="B631" t="str">
        <x:v>A-PH-142</x:v>
      </x:c>
      <x:c r="C631" t="str">
        <x:v>gate</x:v>
      </x:c>
      <x:c r="D631" t="str">
        <x:v>PH-PEV-094</x:v>
      </x:c>
      <x:c r="E631" s="23" t="str">
        <x:v>OPEN</x:v>
      </x:c>
      <x:c r="F631" s="23" t="str">
        <x:f>'Release Gates'!I631</x:f>
        <x:v>OPEN</x:v>
      </x:c>
      <x:c r="G631" t="str">
        <x:f>IF(ABS(IFERROR(E631-F631,0))&lt;0.0001,IF(OR(ISTEXT(E631),ISTEXT(F631)),IF(E631=F631,"PASS","FAIL"),"PASS"),"FAIL")</x:f>
        <x:v>PASS</x:v>
      </x:c>
      <x:c r="H631" t="str">
        <x:f>G631</x:f>
        <x:v>PASS</x:v>
      </x:c>
    </x:row>
    <x:row r="632">
      <x:c r="B632" t="str">
        <x:v>A-PH-143</x:v>
      </x:c>
      <x:c r="C632" t="str">
        <x:v>gate</x:v>
      </x:c>
      <x:c r="D632" t="str">
        <x:v>PH-PEV-095</x:v>
      </x:c>
      <x:c r="E632" s="23" t="str">
        <x:v>OPEN</x:v>
      </x:c>
      <x:c r="F632" s="23" t="str">
        <x:f>'Release Gates'!I632</x:f>
        <x:v>OPEN</x:v>
      </x:c>
      <x:c r="G632" t="str">
        <x:f>IF(ABS(IFERROR(E632-F632,0))&lt;0.0001,IF(OR(ISTEXT(E632),ISTEXT(F632)),IF(E632=F632,"PASS","FAIL"),"PASS"),"FAIL")</x:f>
        <x:v>PASS</x:v>
      </x:c>
      <x:c r="H632" t="str">
        <x:f>G632</x:f>
        <x:v>PASS</x:v>
      </x:c>
    </x:row>
    <x:row r="633">
      <x:c r="B633" t="str">
        <x:v>A-PH-144</x:v>
      </x:c>
      <x:c r="C633" t="str">
        <x:v>gate</x:v>
      </x:c>
      <x:c r="D633" t="str">
        <x:v>PH-PEV-096</x:v>
      </x:c>
      <x:c r="E633" s="23" t="str">
        <x:v>OPEN</x:v>
      </x:c>
      <x:c r="F633" s="23" t="str">
        <x:f>'Release Gates'!I633</x:f>
        <x:v>OPEN</x:v>
      </x:c>
      <x:c r="G633" t="str">
        <x:f>IF(ABS(IFERROR(E633-F633,0))&lt;0.0001,IF(OR(ISTEXT(E633),ISTEXT(F633)),IF(E633=F633,"PASS","FAIL"),"PASS"),"FAIL")</x:f>
        <x:v>PASS</x:v>
      </x:c>
      <x:c r="H633" t="str">
        <x:f>G633</x:f>
        <x:v>PASS</x:v>
      </x:c>
    </x:row>
    <x:row r="634">
      <x:c r="B634" t="str">
        <x:v>A-PH-145</x:v>
      </x:c>
      <x:c r="C634" t="str">
        <x:v>gate</x:v>
      </x:c>
      <x:c r="D634" t="str">
        <x:v>PH-PEV-097</x:v>
      </x:c>
      <x:c r="E634" s="23" t="str">
        <x:v>OPEN</x:v>
      </x:c>
      <x:c r="F634" s="23" t="str">
        <x:f>'Release Gates'!I634</x:f>
        <x:v>OPEN</x:v>
      </x:c>
      <x:c r="G634" t="str">
        <x:f>IF(ABS(IFERROR(E634-F634,0))&lt;0.0001,IF(OR(ISTEXT(E634),ISTEXT(F634)),IF(E634=F634,"PASS","FAIL"),"PASS"),"FAIL")</x:f>
        <x:v>PASS</x:v>
      </x:c>
      <x:c r="H634" t="str">
        <x:f>G634</x:f>
        <x:v>PASS</x:v>
      </x:c>
    </x:row>
    <x:row r="635">
      <x:c r="B635" t="str">
        <x:v>A-PH-146</x:v>
      </x:c>
      <x:c r="C635" t="str">
        <x:v>gate</x:v>
      </x:c>
      <x:c r="D635" t="str">
        <x:v>PH-PEV-098</x:v>
      </x:c>
      <x:c r="E635" s="23" t="str">
        <x:v>OPEN</x:v>
      </x:c>
      <x:c r="F635" s="23" t="str">
        <x:f>'Release Gates'!I635</x:f>
        <x:v>OPEN</x:v>
      </x:c>
      <x:c r="G635" t="str">
        <x:f>IF(ABS(IFERROR(E635-F635,0))&lt;0.0001,IF(OR(ISTEXT(E635),ISTEXT(F635)),IF(E635=F635,"PASS","FAIL"),"PASS"),"FAIL")</x:f>
        <x:v>PASS</x:v>
      </x:c>
      <x:c r="H635" t="str">
        <x:f>G635</x:f>
        <x:v>PASS</x:v>
      </x:c>
    </x:row>
    <x:row r="636">
      <x:c r="B636" t="str">
        <x:v>A-PH-147</x:v>
      </x:c>
      <x:c r="C636" t="str">
        <x:v>gate</x:v>
      </x:c>
      <x:c r="D636" t="str">
        <x:v>PH-PEV-099</x:v>
      </x:c>
      <x:c r="E636" s="23" t="str">
        <x:v>OPEN</x:v>
      </x:c>
      <x:c r="F636" s="23" t="str">
        <x:f>'Release Gates'!I636</x:f>
        <x:v>OPEN</x:v>
      </x:c>
      <x:c r="G636" t="str">
        <x:f>IF(ABS(IFERROR(E636-F636,0))&lt;0.0001,IF(OR(ISTEXT(E636),ISTEXT(F636)),IF(E636=F636,"PASS","FAIL"),"PASS"),"FAIL")</x:f>
        <x:v>PASS</x:v>
      </x:c>
      <x:c r="H636" t="str">
        <x:f>G636</x:f>
        <x:v>PASS</x:v>
      </x:c>
    </x:row>
    <x:row r="637">
      <x:c r="B637" t="str">
        <x:v>A-PH-148</x:v>
      </x:c>
      <x:c r="C637" t="str">
        <x:v>gate</x:v>
      </x:c>
      <x:c r="D637" t="str">
        <x:v>PH-PEV-100</x:v>
      </x:c>
      <x:c r="E637" s="23" t="str">
        <x:v>OPEN</x:v>
      </x:c>
      <x:c r="F637" s="23" t="str">
        <x:f>'Release Gates'!I637</x:f>
        <x:v>OPEN</x:v>
      </x:c>
      <x:c r="G637" t="str">
        <x:f>IF(ABS(IFERROR(E637-F637,0))&lt;0.0001,IF(OR(ISTEXT(E637),ISTEXT(F637)),IF(E637=F637,"PASS","FAIL"),"PASS"),"FAIL")</x:f>
        <x:v>PASS</x:v>
      </x:c>
      <x:c r="H637" t="str">
        <x:f>G637</x:f>
        <x:v>PASS</x:v>
      </x:c>
    </x:row>
    <x:row r="638">
      <x:c r="B638" t="str">
        <x:v>A-PH-149</x:v>
      </x:c>
      <x:c r="C638" t="str">
        <x:v>gate</x:v>
      </x:c>
      <x:c r="D638" t="str">
        <x:v>PH-PEV-101</x:v>
      </x:c>
      <x:c r="E638" s="23" t="str">
        <x:v>OPEN</x:v>
      </x:c>
      <x:c r="F638" s="23" t="str">
        <x:f>'Release Gates'!I638</x:f>
        <x:v>OPEN</x:v>
      </x:c>
      <x:c r="G638" t="str">
        <x:f>IF(ABS(IFERROR(E638-F638,0))&lt;0.0001,IF(OR(ISTEXT(E638),ISTEXT(F638)),IF(E638=F638,"PASS","FAIL"),"PASS"),"FAIL")</x:f>
        <x:v>PASS</x:v>
      </x:c>
      <x:c r="H638" t="str">
        <x:f>G638</x:f>
        <x:v>PASS</x:v>
      </x:c>
    </x:row>
    <x:row r="639">
      <x:c r="B639" t="str">
        <x:v>A-PH-150</x:v>
      </x:c>
      <x:c r="C639" t="str">
        <x:v>gate</x:v>
      </x:c>
      <x:c r="D639" t="str">
        <x:v>PH-PEV-102</x:v>
      </x:c>
      <x:c r="E639" s="23" t="str">
        <x:v>OPEN</x:v>
      </x:c>
      <x:c r="F639" s="23" t="str">
        <x:f>'Release Gates'!I639</x:f>
        <x:v>OPEN</x:v>
      </x:c>
      <x:c r="G639" t="str">
        <x:f>IF(ABS(IFERROR(E639-F639,0))&lt;0.0001,IF(OR(ISTEXT(E639),ISTEXT(F639)),IF(E639=F639,"PASS","FAIL"),"PASS"),"FAIL")</x:f>
        <x:v>PASS</x:v>
      </x:c>
      <x:c r="H639" t="str">
        <x:f>G639</x:f>
        <x:v>PASS</x:v>
      </x:c>
    </x:row>
    <x:row r="640">
      <x:c r="B640" t="str">
        <x:v>A-PH-151</x:v>
      </x:c>
      <x:c r="C640" t="str">
        <x:v>gate</x:v>
      </x:c>
      <x:c r="D640" t="str">
        <x:v>PH-PEV-103</x:v>
      </x:c>
      <x:c r="E640" s="23" t="str">
        <x:v>OPEN</x:v>
      </x:c>
      <x:c r="F640" s="23" t="str">
        <x:f>'Release Gates'!I640</x:f>
        <x:v>OPEN</x:v>
      </x:c>
      <x:c r="G640" t="str">
        <x:f>IF(ABS(IFERROR(E640-F640,0))&lt;0.0001,IF(OR(ISTEXT(E640),ISTEXT(F640)),IF(E640=F640,"PASS","FAIL"),"PASS"),"FAIL")</x:f>
        <x:v>PASS</x:v>
      </x:c>
      <x:c r="H640" t="str">
        <x:f>G640</x:f>
        <x:v>PASS</x:v>
      </x:c>
    </x:row>
    <x:row r="641">
      <x:c r="B641" t="str">
        <x:v>A-PH-152</x:v>
      </x:c>
      <x:c r="C641" t="str">
        <x:v>gate</x:v>
      </x:c>
      <x:c r="D641" t="str">
        <x:v>PH-PEV-104</x:v>
      </x:c>
      <x:c r="E641" s="23" t="str">
        <x:v>OPEN</x:v>
      </x:c>
      <x:c r="F641" s="23" t="str">
        <x:f>'Release Gates'!I641</x:f>
        <x:v>OPEN</x:v>
      </x:c>
      <x:c r="G641" t="str">
        <x:f>IF(ABS(IFERROR(E641-F641,0))&lt;0.0001,IF(OR(ISTEXT(E641),ISTEXT(F641)),IF(E641=F641,"PASS","FAIL"),"PASS"),"FAIL")</x:f>
        <x:v>PASS</x:v>
      </x:c>
      <x:c r="H641" t="str">
        <x:f>G641</x:f>
        <x:v>PASS</x:v>
      </x:c>
    </x:row>
    <x:row r="642">
      <x:c r="B642" t="str">
        <x:v>A-PH-153</x:v>
      </x:c>
      <x:c r="C642" t="str">
        <x:v>gate</x:v>
      </x:c>
      <x:c r="D642" t="str">
        <x:v>PH-PEV-105</x:v>
      </x:c>
      <x:c r="E642" s="23" t="str">
        <x:v>OPEN</x:v>
      </x:c>
      <x:c r="F642" s="23" t="str">
        <x:f>'Release Gates'!I642</x:f>
        <x:v>OPEN</x:v>
      </x:c>
      <x:c r="G642" t="str">
        <x:f>IF(ABS(IFERROR(E642-F642,0))&lt;0.0001,IF(OR(ISTEXT(E642),ISTEXT(F642)),IF(E642=F642,"PASS","FAIL"),"PASS"),"FAIL")</x:f>
        <x:v>PASS</x:v>
      </x:c>
      <x:c r="H642" t="str">
        <x:f>G642</x:f>
        <x:v>PASS</x:v>
      </x:c>
    </x:row>
    <x:row r="643">
      <x:c r="B643" t="str">
        <x:v>A-PH-154</x:v>
      </x:c>
      <x:c r="C643" t="str">
        <x:v>gate</x:v>
      </x:c>
      <x:c r="D643" t="str">
        <x:v>PH-PEV-106</x:v>
      </x:c>
      <x:c r="E643" s="23" t="str">
        <x:v>OPEN</x:v>
      </x:c>
      <x:c r="F643" s="23" t="str">
        <x:f>'Release Gates'!I643</x:f>
        <x:v>OPEN</x:v>
      </x:c>
      <x:c r="G643" t="str">
        <x:f>IF(ABS(IFERROR(E643-F643,0))&lt;0.0001,IF(OR(ISTEXT(E643),ISTEXT(F643)),IF(E643=F643,"PASS","FAIL"),"PASS"),"FAIL")</x:f>
        <x:v>PASS</x:v>
      </x:c>
      <x:c r="H643" t="str">
        <x:f>G643</x:f>
        <x:v>PASS</x:v>
      </x:c>
    </x:row>
    <x:row r="644">
      <x:c r="B644" t="str">
        <x:v>A-PH-155</x:v>
      </x:c>
      <x:c r="C644" t="str">
        <x:v>gate</x:v>
      </x:c>
      <x:c r="D644" t="str">
        <x:v>PH-PEV-107</x:v>
      </x:c>
      <x:c r="E644" s="23" t="str">
        <x:v>OPEN</x:v>
      </x:c>
      <x:c r="F644" s="23" t="str">
        <x:f>'Release Gates'!I644</x:f>
        <x:v>OPEN</x:v>
      </x:c>
      <x:c r="G644" t="str">
        <x:f>IF(ABS(IFERROR(E644-F644,0))&lt;0.0001,IF(OR(ISTEXT(E644),ISTEXT(F644)),IF(E644=F644,"PASS","FAIL"),"PASS"),"FAIL")</x:f>
        <x:v>PASS</x:v>
      </x:c>
      <x:c r="H644" t="str">
        <x:f>G644</x:f>
        <x:v>PASS</x:v>
      </x:c>
    </x:row>
    <x:row r="645">
      <x:c r="B645" t="str">
        <x:v>A-PH-156</x:v>
      </x:c>
      <x:c r="C645" t="str">
        <x:v>gate</x:v>
      </x:c>
      <x:c r="D645" t="str">
        <x:v>PH-PEV-108</x:v>
      </x:c>
      <x:c r="E645" s="23" t="str">
        <x:v>OPEN</x:v>
      </x:c>
      <x:c r="F645" s="23" t="str">
        <x:f>'Release Gates'!I645</x:f>
        <x:v>OPEN</x:v>
      </x:c>
      <x:c r="G645" t="str">
        <x:f>IF(ABS(IFERROR(E645-F645,0))&lt;0.0001,IF(OR(ISTEXT(E645),ISTEXT(F645)),IF(E645=F645,"PASS","FAIL"),"PASS"),"FAIL")</x:f>
        <x:v>PASS</x:v>
      </x:c>
      <x:c r="H645" t="str">
        <x:f>G645</x:f>
        <x:v>PASS</x:v>
      </x:c>
    </x:row>
    <x:row r="646">
      <x:c r="B646" t="str">
        <x:v>A-PH-157</x:v>
      </x:c>
      <x:c r="C646" t="str">
        <x:v>gate</x:v>
      </x:c>
      <x:c r="D646" t="str">
        <x:v>PH-PEV-109</x:v>
      </x:c>
      <x:c r="E646" s="23" t="str">
        <x:v>OPEN</x:v>
      </x:c>
      <x:c r="F646" s="23" t="str">
        <x:f>'Release Gates'!I646</x:f>
        <x:v>OPEN</x:v>
      </x:c>
      <x:c r="G646" t="str">
        <x:f>IF(ABS(IFERROR(E646-F646,0))&lt;0.0001,IF(OR(ISTEXT(E646),ISTEXT(F646)),IF(E646=F646,"PASS","FAIL"),"PASS"),"FAIL")</x:f>
        <x:v>PASS</x:v>
      </x:c>
      <x:c r="H646" t="str">
        <x:f>G646</x:f>
        <x:v>PASS</x:v>
      </x:c>
    </x:row>
    <x:row r="647">
      <x:c r="B647" t="str">
        <x:v>A-PH-158</x:v>
      </x:c>
      <x:c r="C647" t="str">
        <x:v>gate</x:v>
      </x:c>
      <x:c r="D647" t="str">
        <x:v>PH-PEV-110</x:v>
      </x:c>
      <x:c r="E647" s="23" t="str">
        <x:v>OPEN</x:v>
      </x:c>
      <x:c r="F647" s="23" t="str">
        <x:f>'Release Gates'!I647</x:f>
        <x:v>OPEN</x:v>
      </x:c>
      <x:c r="G647" t="str">
        <x:f>IF(ABS(IFERROR(E647-F647,0))&lt;0.0001,IF(OR(ISTEXT(E647),ISTEXT(F647)),IF(E647=F647,"PASS","FAIL"),"PASS"),"FAIL")</x:f>
        <x:v>PASS</x:v>
      </x:c>
      <x:c r="H647" t="str">
        <x:f>G647</x:f>
        <x:v>PASS</x:v>
      </x:c>
    </x:row>
    <x:row r="648">
      <x:c r="B648" t="str">
        <x:v>A-PH-159</x:v>
      </x:c>
      <x:c r="C648" t="str">
        <x:v>gate</x:v>
      </x:c>
      <x:c r="D648" t="str">
        <x:v>PH-PEV-111</x:v>
      </x:c>
      <x:c r="E648" s="23" t="str">
        <x:v>OPEN</x:v>
      </x:c>
      <x:c r="F648" s="23" t="str">
        <x:f>'Release Gates'!I648</x:f>
        <x:v>OPEN</x:v>
      </x:c>
      <x:c r="G648" t="str">
        <x:f>IF(ABS(IFERROR(E648-F648,0))&lt;0.0001,IF(OR(ISTEXT(E648),ISTEXT(F648)),IF(E648=F648,"PASS","FAIL"),"PASS"),"FAIL")</x:f>
        <x:v>PASS</x:v>
      </x:c>
      <x:c r="H648" t="str">
        <x:f>G648</x:f>
        <x:v>PASS</x:v>
      </x:c>
    </x:row>
    <x:row r="649">
      <x:c r="B649" t="str">
        <x:v>A-PH-160</x:v>
      </x:c>
      <x:c r="C649" t="str">
        <x:v>gate</x:v>
      </x:c>
      <x:c r="D649" t="str">
        <x:v>PH-PEV-112</x:v>
      </x:c>
      <x:c r="E649" s="23" t="str">
        <x:v>OPEN</x:v>
      </x:c>
      <x:c r="F649" s="23" t="str">
        <x:f>'Release Gates'!I649</x:f>
        <x:v>OPEN</x:v>
      </x:c>
      <x:c r="G649" t="str">
        <x:f>IF(ABS(IFERROR(E649-F649,0))&lt;0.0001,IF(OR(ISTEXT(E649),ISTEXT(F649)),IF(E649=F649,"PASS","FAIL"),"PASS"),"FAIL")</x:f>
        <x:v>PASS</x:v>
      </x:c>
      <x:c r="H649" t="str">
        <x:f>G649</x:f>
        <x:v>PASS</x:v>
      </x:c>
    </x:row>
    <x:row r="650">
      <x:c r="B650" t="str">
        <x:v>A-PH-161</x:v>
      </x:c>
      <x:c r="C650" t="str">
        <x:v>gate</x:v>
      </x:c>
      <x:c r="D650" t="str">
        <x:v>PH-PEV-113</x:v>
      </x:c>
      <x:c r="E650" s="23" t="str">
        <x:v>OPEN</x:v>
      </x:c>
      <x:c r="F650" s="23" t="str">
        <x:f>'Release Gates'!I650</x:f>
        <x:v>OPEN</x:v>
      </x:c>
      <x:c r="G650" t="str">
        <x:f>IF(ABS(IFERROR(E650-F650,0))&lt;0.0001,IF(OR(ISTEXT(E650),ISTEXT(F650)),IF(E650=F650,"PASS","FAIL"),"PASS"),"FAIL")</x:f>
        <x:v>PASS</x:v>
      </x:c>
      <x:c r="H650" t="str">
        <x:f>G650</x:f>
        <x:v>PASS</x:v>
      </x:c>
    </x:row>
    <x:row r="651">
      <x:c r="B651" t="str">
        <x:v>A-PH-162</x:v>
      </x:c>
      <x:c r="C651" t="str">
        <x:v>gate</x:v>
      </x:c>
      <x:c r="D651" t="str">
        <x:v>PH-PEV-114</x:v>
      </x:c>
      <x:c r="E651" s="23" t="str">
        <x:v>OPEN</x:v>
      </x:c>
      <x:c r="F651" s="23" t="str">
        <x:f>'Release Gates'!I651</x:f>
        <x:v>OPEN</x:v>
      </x:c>
      <x:c r="G651" t="str">
        <x:f>IF(ABS(IFERROR(E651-F651,0))&lt;0.0001,IF(OR(ISTEXT(E651),ISTEXT(F651)),IF(E651=F651,"PASS","FAIL"),"PASS"),"FAIL")</x:f>
        <x:v>PASS</x:v>
      </x:c>
      <x:c r="H651" t="str">
        <x:f>G651</x:f>
        <x:v>PASS</x:v>
      </x:c>
    </x:row>
    <x:row r="652">
      <x:c r="B652" t="str">
        <x:v>A-PH-163</x:v>
      </x:c>
      <x:c r="C652" t="str">
        <x:v>gate</x:v>
      </x:c>
      <x:c r="D652" t="str">
        <x:v>PH-PEV-115</x:v>
      </x:c>
      <x:c r="E652" s="23" t="str">
        <x:v>OPEN</x:v>
      </x:c>
      <x:c r="F652" s="23" t="str">
        <x:f>'Release Gates'!I652</x:f>
        <x:v>OPEN</x:v>
      </x:c>
      <x:c r="G652" t="str">
        <x:f>IF(ABS(IFERROR(E652-F652,0))&lt;0.0001,IF(OR(ISTEXT(E652),ISTEXT(F652)),IF(E652=F652,"PASS","FAIL"),"PASS"),"FAIL")</x:f>
        <x:v>PASS</x:v>
      </x:c>
      <x:c r="H652" t="str">
        <x:f>G652</x:f>
        <x:v>PASS</x:v>
      </x:c>
    </x:row>
    <x:row r="653">
      <x:c r="B653" t="str">
        <x:v>A-PH-164</x:v>
      </x:c>
      <x:c r="C653" t="str">
        <x:v>gate</x:v>
      </x:c>
      <x:c r="D653" t="str">
        <x:v>PH-PEV-116</x:v>
      </x:c>
      <x:c r="E653" s="23" t="str">
        <x:v>OPEN</x:v>
      </x:c>
      <x:c r="F653" s="23" t="str">
        <x:f>'Release Gates'!I653</x:f>
        <x:v>OPEN</x:v>
      </x:c>
      <x:c r="G653" t="str">
        <x:f>IF(ABS(IFERROR(E653-F653,0))&lt;0.0001,IF(OR(ISTEXT(E653),ISTEXT(F653)),IF(E653=F653,"PASS","FAIL"),"PASS"),"FAIL")</x:f>
        <x:v>PASS</x:v>
      </x:c>
      <x:c r="H653" t="str">
        <x:f>G653</x:f>
        <x:v>PASS</x:v>
      </x:c>
    </x:row>
    <x:row r="654">
      <x:c r="B654" t="str">
        <x:v>A-PH-165</x:v>
      </x:c>
      <x:c r="C654" t="str">
        <x:v>gate</x:v>
      </x:c>
      <x:c r="D654" t="str">
        <x:v>PH-PEV-117</x:v>
      </x:c>
      <x:c r="E654" s="23" t="str">
        <x:v>OPEN</x:v>
      </x:c>
      <x:c r="F654" s="23" t="str">
        <x:f>'Release Gates'!I654</x:f>
        <x:v>OPEN</x:v>
      </x:c>
      <x:c r="G654" t="str">
        <x:f>IF(ABS(IFERROR(E654-F654,0))&lt;0.0001,IF(OR(ISTEXT(E654),ISTEXT(F654)),IF(E654=F654,"PASS","FAIL"),"PASS"),"FAIL")</x:f>
        <x:v>PASS</x:v>
      </x:c>
      <x:c r="H654" t="str">
        <x:f>G654</x:f>
        <x:v>PASS</x:v>
      </x:c>
    </x:row>
    <x:row r="655">
      <x:c r="B655" t="str">
        <x:v>A-PH-166</x:v>
      </x:c>
      <x:c r="C655" t="str">
        <x:v>gate</x:v>
      </x:c>
      <x:c r="D655" t="str">
        <x:v>PH-PEV-118</x:v>
      </x:c>
      <x:c r="E655" s="23" t="str">
        <x:v>OPEN</x:v>
      </x:c>
      <x:c r="F655" s="23" t="str">
        <x:f>'Release Gates'!I655</x:f>
        <x:v>OPEN</x:v>
      </x:c>
      <x:c r="G655" t="str">
        <x:f>IF(ABS(IFERROR(E655-F655,0))&lt;0.0001,IF(OR(ISTEXT(E655),ISTEXT(F655)),IF(E655=F655,"PASS","FAIL"),"PASS"),"FAIL")</x:f>
        <x:v>PASS</x:v>
      </x:c>
      <x:c r="H655" t="str">
        <x:f>G655</x:f>
        <x:v>PASS</x:v>
      </x:c>
    </x:row>
    <x:row r="656">
      <x:c r="B656" t="str">
        <x:v>A-PH-167</x:v>
      </x:c>
      <x:c r="C656" t="str">
        <x:v>gate</x:v>
      </x:c>
      <x:c r="D656" t="str">
        <x:v>PH-PEV-119</x:v>
      </x:c>
      <x:c r="E656" s="23" t="str">
        <x:v>OPEN</x:v>
      </x:c>
      <x:c r="F656" s="23" t="str">
        <x:f>'Release Gates'!I656</x:f>
        <x:v>OPEN</x:v>
      </x:c>
      <x:c r="G656" t="str">
        <x:f>IF(ABS(IFERROR(E656-F656,0))&lt;0.0001,IF(OR(ISTEXT(E656),ISTEXT(F656)),IF(E656=F656,"PASS","FAIL"),"PASS"),"FAIL")</x:f>
        <x:v>PASS</x:v>
      </x:c>
      <x:c r="H656" t="str">
        <x:f>G656</x:f>
        <x:v>PASS</x:v>
      </x:c>
    </x:row>
    <x:row r="657">
      <x:c r="B657" t="str">
        <x:v>A-PH-168</x:v>
      </x:c>
      <x:c r="C657" t="str">
        <x:v>gate</x:v>
      </x:c>
      <x:c r="D657" t="str">
        <x:v>PH-PEV-120</x:v>
      </x:c>
      <x:c r="E657" s="23" t="str">
        <x:v>OPEN</x:v>
      </x:c>
      <x:c r="F657" s="23" t="str">
        <x:f>'Release Gates'!I657</x:f>
        <x:v>OPEN</x:v>
      </x:c>
      <x:c r="G657" t="str">
        <x:f>IF(ABS(IFERROR(E657-F657,0))&lt;0.0001,IF(OR(ISTEXT(E657),ISTEXT(F657)),IF(E657=F657,"PASS","FAIL"),"PASS"),"FAIL")</x:f>
        <x:v>PASS</x:v>
      </x:c>
      <x:c r="H657" t="str">
        <x:f>G657</x:f>
        <x:v>PASS</x:v>
      </x:c>
    </x:row>
    <x:row r="658">
      <x:c r="B658" t="str">
        <x:v>A-PH-169</x:v>
      </x:c>
      <x:c r="C658" t="str">
        <x:v>gate</x:v>
      </x:c>
      <x:c r="D658" t="str">
        <x:v>PH-PEV-121</x:v>
      </x:c>
      <x:c r="E658" s="23" t="str">
        <x:v>OPEN</x:v>
      </x:c>
      <x:c r="F658" s="23" t="str">
        <x:f>'Release Gates'!I658</x:f>
        <x:v>OPEN</x:v>
      </x:c>
      <x:c r="G658" t="str">
        <x:f>IF(ABS(IFERROR(E658-F658,0))&lt;0.0001,IF(OR(ISTEXT(E658),ISTEXT(F658)),IF(E658=F658,"PASS","FAIL"),"PASS"),"FAIL")</x:f>
        <x:v>PASS</x:v>
      </x:c>
      <x:c r="H658" t="str">
        <x:f>G658</x:f>
        <x:v>PASS</x:v>
      </x:c>
    </x:row>
    <x:row r="659">
      <x:c r="B659" t="str">
        <x:v>A-PH-170</x:v>
      </x:c>
      <x:c r="C659" t="str">
        <x:v>gate</x:v>
      </x:c>
      <x:c r="D659" t="str">
        <x:v>PH-PEV-122</x:v>
      </x:c>
      <x:c r="E659" s="23" t="str">
        <x:v>OPEN</x:v>
      </x:c>
      <x:c r="F659" s="23" t="str">
        <x:f>'Release Gates'!I659</x:f>
        <x:v>OPEN</x:v>
      </x:c>
      <x:c r="G659" t="str">
        <x:f>IF(ABS(IFERROR(E659-F659,0))&lt;0.0001,IF(OR(ISTEXT(E659),ISTEXT(F659)),IF(E659=F659,"PASS","FAIL"),"PASS"),"FAIL")</x:f>
        <x:v>PASS</x:v>
      </x:c>
      <x:c r="H659" t="str">
        <x:f>G659</x:f>
        <x:v>PASS</x:v>
      </x:c>
    </x:row>
    <x:row r="660">
      <x:c r="B660" t="str">
        <x:v>A-PH-171</x:v>
      </x:c>
      <x:c r="C660" t="str">
        <x:v>gate</x:v>
      </x:c>
      <x:c r="D660" t="str">
        <x:v>PH-PEV-123</x:v>
      </x:c>
      <x:c r="E660" s="23" t="str">
        <x:v>OPEN</x:v>
      </x:c>
      <x:c r="F660" s="23" t="str">
        <x:f>'Release Gates'!I660</x:f>
        <x:v>OPEN</x:v>
      </x:c>
      <x:c r="G660" t="str">
        <x:f>IF(ABS(IFERROR(E660-F660,0))&lt;0.0001,IF(OR(ISTEXT(E660),ISTEXT(F660)),IF(E660=F660,"PASS","FAIL"),"PASS"),"FAIL")</x:f>
        <x:v>PASS</x:v>
      </x:c>
      <x:c r="H660" t="str">
        <x:f>G660</x:f>
        <x:v>PASS</x:v>
      </x:c>
    </x:row>
    <x:row r="661">
      <x:c r="B661" t="str">
        <x:v>A-PH-172</x:v>
      </x:c>
      <x:c r="C661" t="str">
        <x:v>gate</x:v>
      </x:c>
      <x:c r="D661" t="str">
        <x:v>PH-PEV-124</x:v>
      </x:c>
      <x:c r="E661" s="23" t="str">
        <x:v>OPEN</x:v>
      </x:c>
      <x:c r="F661" s="23" t="str">
        <x:f>'Release Gates'!I661</x:f>
        <x:v>OPEN</x:v>
      </x:c>
      <x:c r="G661" t="str">
        <x:f>IF(ABS(IFERROR(E661-F661,0))&lt;0.0001,IF(OR(ISTEXT(E661),ISTEXT(F661)),IF(E661=F661,"PASS","FAIL"),"PASS"),"FAIL")</x:f>
        <x:v>PASS</x:v>
      </x:c>
      <x:c r="H661" t="str">
        <x:f>G661</x:f>
        <x:v>PASS</x:v>
      </x:c>
    </x:row>
    <x:row r="662">
      <x:c r="B662" t="str">
        <x:v>A-PH-173</x:v>
      </x:c>
      <x:c r="C662" t="str">
        <x:v>gate</x:v>
      </x:c>
      <x:c r="D662" t="str">
        <x:v>PH-PEV-125</x:v>
      </x:c>
      <x:c r="E662" s="23" t="str">
        <x:v>OPEN</x:v>
      </x:c>
      <x:c r="F662" s="23" t="str">
        <x:f>'Release Gates'!I662</x:f>
        <x:v>OPEN</x:v>
      </x:c>
      <x:c r="G662" t="str">
        <x:f>IF(ABS(IFERROR(E662-F662,0))&lt;0.0001,IF(OR(ISTEXT(E662),ISTEXT(F662)),IF(E662=F662,"PASS","FAIL"),"PASS"),"FAIL")</x:f>
        <x:v>PASS</x:v>
      </x:c>
      <x:c r="H662" t="str">
        <x:f>G662</x:f>
        <x:v>PASS</x:v>
      </x:c>
    </x:row>
    <x:row r="663">
      <x:c r="B663" t="str">
        <x:v>A-PH-174</x:v>
      </x:c>
      <x:c r="C663" t="str">
        <x:v>gate</x:v>
      </x:c>
      <x:c r="D663" t="str">
        <x:v>PH-PEV-126</x:v>
      </x:c>
      <x:c r="E663" s="23" t="str">
        <x:v>OPEN</x:v>
      </x:c>
      <x:c r="F663" s="23" t="str">
        <x:f>'Release Gates'!I663</x:f>
        <x:v>OPEN</x:v>
      </x:c>
      <x:c r="G663" t="str">
        <x:f>IF(ABS(IFERROR(E663-F663,0))&lt;0.0001,IF(OR(ISTEXT(E663),ISTEXT(F663)),IF(E663=F663,"PASS","FAIL"),"PASS"),"FAIL")</x:f>
        <x:v>PASS</x:v>
      </x:c>
      <x:c r="H663" t="str">
        <x:f>G663</x:f>
        <x:v>PASS</x:v>
      </x:c>
    </x:row>
    <x:row r="664">
      <x:c r="B664" t="str">
        <x:v>A-PH-175</x:v>
      </x:c>
      <x:c r="C664" t="str">
        <x:v>gate</x:v>
      </x:c>
      <x:c r="D664" t="str">
        <x:v>PH-PEV-127</x:v>
      </x:c>
      <x:c r="E664" s="23" t="str">
        <x:v>OPEN</x:v>
      </x:c>
      <x:c r="F664" s="23" t="str">
        <x:f>'Release Gates'!I664</x:f>
        <x:v>OPEN</x:v>
      </x:c>
      <x:c r="G664" t="str">
        <x:f>IF(ABS(IFERROR(E664-F664,0))&lt;0.0001,IF(OR(ISTEXT(E664),ISTEXT(F664)),IF(E664=F664,"PASS","FAIL"),"PASS"),"FAIL")</x:f>
        <x:v>PASS</x:v>
      </x:c>
      <x:c r="H664" t="str">
        <x:f>G664</x:f>
        <x:v>PASS</x:v>
      </x:c>
    </x:row>
    <x:row r="665">
      <x:c r="B665" t="str">
        <x:v>A-PH-176</x:v>
      </x:c>
      <x:c r="C665" t="str">
        <x:v>gate</x:v>
      </x:c>
      <x:c r="D665" t="str">
        <x:v>PH-PEV-128</x:v>
      </x:c>
      <x:c r="E665" s="23" t="str">
        <x:v>OPEN</x:v>
      </x:c>
      <x:c r="F665" s="23" t="str">
        <x:f>'Release Gates'!I665</x:f>
        <x:v>OPEN</x:v>
      </x:c>
      <x:c r="G665" t="str">
        <x:f>IF(ABS(IFERROR(E665-F665,0))&lt;0.0001,IF(OR(ISTEXT(E665),ISTEXT(F665)),IF(E665=F665,"PASS","FAIL"),"PASS"),"FAIL")</x:f>
        <x:v>PASS</x:v>
      </x:c>
      <x:c r="H665" t="str">
        <x:f>G665</x:f>
        <x:v>PASS</x:v>
      </x:c>
    </x:row>
    <x:row r="666">
      <x:c r="B666" t="str">
        <x:v>A-PH-177</x:v>
      </x:c>
      <x:c r="C666" t="str">
        <x:v>gate</x:v>
      </x:c>
      <x:c r="D666" t="str">
        <x:v>PH-PEV-129</x:v>
      </x:c>
      <x:c r="E666" s="23" t="str">
        <x:v>OPEN</x:v>
      </x:c>
      <x:c r="F666" s="23" t="str">
        <x:f>'Release Gates'!I666</x:f>
        <x:v>OPEN</x:v>
      </x:c>
      <x:c r="G666" t="str">
        <x:f>IF(ABS(IFERROR(E666-F666,0))&lt;0.0001,IF(OR(ISTEXT(E666),ISTEXT(F666)),IF(E666=F666,"PASS","FAIL"),"PASS"),"FAIL")</x:f>
        <x:v>PASS</x:v>
      </x:c>
      <x:c r="H666" t="str">
        <x:f>G666</x:f>
        <x:v>PASS</x:v>
      </x:c>
    </x:row>
    <x:row r="667">
      <x:c r="B667" t="str">
        <x:v>A-PH-178</x:v>
      </x:c>
      <x:c r="C667" t="str">
        <x:v>gate</x:v>
      </x:c>
      <x:c r="D667" t="str">
        <x:v>PH-PEV-130</x:v>
      </x:c>
      <x:c r="E667" s="23" t="str">
        <x:v>OPEN</x:v>
      </x:c>
      <x:c r="F667" s="23" t="str">
        <x:f>'Release Gates'!I667</x:f>
        <x:v>OPEN</x:v>
      </x:c>
      <x:c r="G667" t="str">
        <x:f>IF(ABS(IFERROR(E667-F667,0))&lt;0.0001,IF(OR(ISTEXT(E667),ISTEXT(F667)),IF(E667=F667,"PASS","FAIL"),"PASS"),"FAIL")</x:f>
        <x:v>PASS</x:v>
      </x:c>
      <x:c r="H667" t="str">
        <x:f>G667</x:f>
        <x:v>PASS</x:v>
      </x:c>
    </x:row>
    <x:row r="668">
      <x:c r="B668" t="str">
        <x:v>A-PH-179</x:v>
      </x:c>
      <x:c r="C668" t="str">
        <x:v>gate</x:v>
      </x:c>
      <x:c r="D668" t="str">
        <x:v>PH-PEV-131</x:v>
      </x:c>
      <x:c r="E668" s="23" t="str">
        <x:v>OPEN</x:v>
      </x:c>
      <x:c r="F668" s="23" t="str">
        <x:f>'Release Gates'!I668</x:f>
        <x:v>OPEN</x:v>
      </x:c>
      <x:c r="G668" t="str">
        <x:f>IF(ABS(IFERROR(E668-F668,0))&lt;0.0001,IF(OR(ISTEXT(E668),ISTEXT(F668)),IF(E668=F668,"PASS","FAIL"),"PASS"),"FAIL")</x:f>
        <x:v>PASS</x:v>
      </x:c>
      <x:c r="H668" t="str">
        <x:f>G668</x:f>
        <x:v>PASS</x:v>
      </x:c>
    </x:row>
    <x:row r="669">
      <x:c r="B669" t="str">
        <x:v>A-PH-180</x:v>
      </x:c>
      <x:c r="C669" t="str">
        <x:v>gate</x:v>
      </x:c>
      <x:c r="D669" t="str">
        <x:v>PH-PEV-132</x:v>
      </x:c>
      <x:c r="E669" s="23" t="str">
        <x:v>OPEN</x:v>
      </x:c>
      <x:c r="F669" s="23" t="str">
        <x:f>'Release Gates'!I669</x:f>
        <x:v>OPEN</x:v>
      </x:c>
      <x:c r="G669" t="str">
        <x:f>IF(ABS(IFERROR(E669-F669,0))&lt;0.0001,IF(OR(ISTEXT(E669),ISTEXT(F669)),IF(E669=F669,"PASS","FAIL"),"PASS"),"FAIL")</x:f>
        <x:v>PASS</x:v>
      </x:c>
      <x:c r="H669" t="str">
        <x:f>G669</x:f>
        <x:v>PASS</x:v>
      </x:c>
    </x:row>
    <x:row r="670">
      <x:c r="B670" t="str">
        <x:v>A-PH-181</x:v>
      </x:c>
      <x:c r="C670" t="str">
        <x:v>gate</x:v>
      </x:c>
      <x:c r="D670" t="str">
        <x:v>PH-PEV-133</x:v>
      </x:c>
      <x:c r="E670" s="23" t="str">
        <x:v>OPEN</x:v>
      </x:c>
      <x:c r="F670" s="23" t="str">
        <x:f>'Release Gates'!I670</x:f>
        <x:v>OPEN</x:v>
      </x:c>
      <x:c r="G670" t="str">
        <x:f>IF(ABS(IFERROR(E670-F670,0))&lt;0.0001,IF(OR(ISTEXT(E670),ISTEXT(F670)),IF(E670=F670,"PASS","FAIL"),"PASS"),"FAIL")</x:f>
        <x:v>PASS</x:v>
      </x:c>
      <x:c r="H670" t="str">
        <x:f>G670</x:f>
        <x:v>PASS</x:v>
      </x:c>
    </x:row>
    <x:row r="671">
      <x:c r="B671" t="str">
        <x:v>A-PH-182</x:v>
      </x:c>
      <x:c r="C671" t="str">
        <x:v>gate</x:v>
      </x:c>
      <x:c r="D671" t="str">
        <x:v>PH-PEV-134</x:v>
      </x:c>
      <x:c r="E671" s="23" t="str">
        <x:v>OPEN</x:v>
      </x:c>
      <x:c r="F671" s="23" t="str">
        <x:f>'Release Gates'!I671</x:f>
        <x:v>OPEN</x:v>
      </x:c>
      <x:c r="G671" t="str">
        <x:f>IF(ABS(IFERROR(E671-F671,0))&lt;0.0001,IF(OR(ISTEXT(E671),ISTEXT(F671)),IF(E671=F671,"PASS","FAIL"),"PASS"),"FAIL")</x:f>
        <x:v>PASS</x:v>
      </x:c>
      <x:c r="H671" t="str">
        <x:f>G671</x:f>
        <x:v>PASS</x:v>
      </x:c>
    </x:row>
    <x:row r="672">
      <x:c r="B672" t="str">
        <x:v>A-PH-183</x:v>
      </x:c>
      <x:c r="C672" t="str">
        <x:v>gate</x:v>
      </x:c>
      <x:c r="D672" t="str">
        <x:v>PH-PEV-135</x:v>
      </x:c>
      <x:c r="E672" s="23" t="str">
        <x:v>OPEN</x:v>
      </x:c>
      <x:c r="F672" s="23" t="str">
        <x:f>'Release Gates'!I672</x:f>
        <x:v>OPEN</x:v>
      </x:c>
      <x:c r="G672" t="str">
        <x:f>IF(ABS(IFERROR(E672-F672,0))&lt;0.0001,IF(OR(ISTEXT(E672),ISTEXT(F672)),IF(E672=F672,"PASS","FAIL"),"PASS"),"FAIL")</x:f>
        <x:v>PASS</x:v>
      </x:c>
      <x:c r="H672" t="str">
        <x:f>G672</x:f>
        <x:v>PASS</x:v>
      </x:c>
    </x:row>
    <x:row r="673">
      <x:c r="B673" t="str">
        <x:v>A-PH-184</x:v>
      </x:c>
      <x:c r="C673" t="str">
        <x:v>gate</x:v>
      </x:c>
      <x:c r="D673" t="str">
        <x:v>PH-PEV-136</x:v>
      </x:c>
      <x:c r="E673" s="23" t="str">
        <x:v>OPEN</x:v>
      </x:c>
      <x:c r="F673" s="23" t="str">
        <x:f>'Release Gates'!I673</x:f>
        <x:v>OPEN</x:v>
      </x:c>
      <x:c r="G673" t="str">
        <x:f>IF(ABS(IFERROR(E673-F673,0))&lt;0.0001,IF(OR(ISTEXT(E673),ISTEXT(F673)),IF(E673=F673,"PASS","FAIL"),"PASS"),"FAIL")</x:f>
        <x:v>PASS</x:v>
      </x:c>
      <x:c r="H673" t="str">
        <x:f>G673</x:f>
        <x:v>PASS</x:v>
      </x:c>
    </x:row>
    <x:row r="674">
      <x:c r="B674" t="str">
        <x:v>A-PH-185</x:v>
      </x:c>
      <x:c r="C674" t="str">
        <x:v>gate</x:v>
      </x:c>
      <x:c r="D674" t="str">
        <x:v>PH-PEV-137</x:v>
      </x:c>
      <x:c r="E674" s="23" t="str">
        <x:v>OPEN</x:v>
      </x:c>
      <x:c r="F674" s="23" t="str">
        <x:f>'Release Gates'!I674</x:f>
        <x:v>OPEN</x:v>
      </x:c>
      <x:c r="G674" t="str">
        <x:f>IF(ABS(IFERROR(E674-F674,0))&lt;0.0001,IF(OR(ISTEXT(E674),ISTEXT(F674)),IF(E674=F674,"PASS","FAIL"),"PASS"),"FAIL")</x:f>
        <x:v>PASS</x:v>
      </x:c>
      <x:c r="H674" t="str">
        <x:f>G674</x:f>
        <x:v>PASS</x:v>
      </x:c>
    </x:row>
    <x:row r="675">
      <x:c r="B675" t="str">
        <x:v>A-PH-186</x:v>
      </x:c>
      <x:c r="C675" t="str">
        <x:v>gate</x:v>
      </x:c>
      <x:c r="D675" t="str">
        <x:v>PH-PEV-138</x:v>
      </x:c>
      <x:c r="E675" s="23" t="str">
        <x:v>OPEN</x:v>
      </x:c>
      <x:c r="F675" s="23" t="str">
        <x:f>'Release Gates'!I675</x:f>
        <x:v>OPEN</x:v>
      </x:c>
      <x:c r="G675" t="str">
        <x:f>IF(ABS(IFERROR(E675-F675,0))&lt;0.0001,IF(OR(ISTEXT(E675),ISTEXT(F675)),IF(E675=F675,"PASS","FAIL"),"PASS"),"FAIL")</x:f>
        <x:v>PASS</x:v>
      </x:c>
      <x:c r="H675" t="str">
        <x:f>G675</x:f>
        <x:v>PASS</x:v>
      </x:c>
    </x:row>
    <x:row r="676">
      <x:c r="B676" t="str">
        <x:v>A-PH-187</x:v>
      </x:c>
      <x:c r="C676" t="str">
        <x:v>gate</x:v>
      </x:c>
      <x:c r="D676" t="str">
        <x:v>PH-PEV-139</x:v>
      </x:c>
      <x:c r="E676" s="23" t="str">
        <x:v>OPEN</x:v>
      </x:c>
      <x:c r="F676" s="23" t="str">
        <x:f>'Release Gates'!I676</x:f>
        <x:v>OPEN</x:v>
      </x:c>
      <x:c r="G676" t="str">
        <x:f>IF(ABS(IFERROR(E676-F676,0))&lt;0.0001,IF(OR(ISTEXT(E676),ISTEXT(F676)),IF(E676=F676,"PASS","FAIL"),"PASS"),"FAIL")</x:f>
        <x:v>PASS</x:v>
      </x:c>
      <x:c r="H676" t="str">
        <x:f>G676</x:f>
        <x:v>PASS</x:v>
      </x:c>
    </x:row>
    <x:row r="677">
      <x:c r="B677" t="str">
        <x:v>A-PH-188</x:v>
      </x:c>
      <x:c r="C677" t="str">
        <x:v>gate</x:v>
      </x:c>
      <x:c r="D677" t="str">
        <x:v>PH-PEV-140</x:v>
      </x:c>
      <x:c r="E677" s="23" t="str">
        <x:v>OPEN</x:v>
      </x:c>
      <x:c r="F677" s="23" t="str">
        <x:f>'Release Gates'!I677</x:f>
        <x:v>OPEN</x:v>
      </x:c>
      <x:c r="G677" t="str">
        <x:f>IF(ABS(IFERROR(E677-F677,0))&lt;0.0001,IF(OR(ISTEXT(E677),ISTEXT(F677)),IF(E677=F677,"PASS","FAIL"),"PASS"),"FAIL")</x:f>
        <x:v>PASS</x:v>
      </x:c>
      <x:c r="H677" t="str">
        <x:f>G677</x:f>
        <x:v>PASS</x:v>
      </x:c>
    </x:row>
    <x:row r="678">
      <x:c r="B678" t="str">
        <x:v>A-PH-189</x:v>
      </x:c>
      <x:c r="C678" t="str">
        <x:v>gate</x:v>
      </x:c>
      <x:c r="D678" t="str">
        <x:v>PH-PEV-141</x:v>
      </x:c>
      <x:c r="E678" s="23" t="str">
        <x:v>OPEN</x:v>
      </x:c>
      <x:c r="F678" s="23" t="str">
        <x:f>'Release Gates'!I678</x:f>
        <x:v>OPEN</x:v>
      </x:c>
      <x:c r="G678" t="str">
        <x:f>IF(ABS(IFERROR(E678-F678,0))&lt;0.0001,IF(OR(ISTEXT(E678),ISTEXT(F678)),IF(E678=F678,"PASS","FAIL"),"PASS"),"FAIL")</x:f>
        <x:v>PASS</x:v>
      </x:c>
      <x:c r="H678" t="str">
        <x:f>G678</x:f>
        <x:v>PASS</x:v>
      </x:c>
    </x:row>
    <x:row r="679">
      <x:c r="B679" t="str">
        <x:v>A-PH-190</x:v>
      </x:c>
      <x:c r="C679" t="str">
        <x:v>gate</x:v>
      </x:c>
      <x:c r="D679" t="str">
        <x:v>PH-PEV-142</x:v>
      </x:c>
      <x:c r="E679" s="23" t="str">
        <x:v>OPEN</x:v>
      </x:c>
      <x:c r="F679" s="23" t="str">
        <x:f>'Release Gates'!I679</x:f>
        <x:v>OPEN</x:v>
      </x:c>
      <x:c r="G679" t="str">
        <x:f>IF(ABS(IFERROR(E679-F679,0))&lt;0.0001,IF(OR(ISTEXT(E679),ISTEXT(F679)),IF(E679=F679,"PASS","FAIL"),"PASS"),"FAIL")</x:f>
        <x:v>PASS</x:v>
      </x:c>
      <x:c r="H679" t="str">
        <x:f>G679</x:f>
        <x:v>PASS</x:v>
      </x:c>
    </x:row>
    <x:row r="680">
      <x:c r="B680" t="str">
        <x:v>A-PH-191</x:v>
      </x:c>
      <x:c r="C680" t="str">
        <x:v>gate</x:v>
      </x:c>
      <x:c r="D680" t="str">
        <x:v>PH-PEV-143</x:v>
      </x:c>
      <x:c r="E680" s="23" t="str">
        <x:v>OPEN</x:v>
      </x:c>
      <x:c r="F680" s="23" t="str">
        <x:f>'Release Gates'!I680</x:f>
        <x:v>OPEN</x:v>
      </x:c>
      <x:c r="G680" t="str">
        <x:f>IF(ABS(IFERROR(E680-F680,0))&lt;0.0001,IF(OR(ISTEXT(E680),ISTEXT(F680)),IF(E680=F680,"PASS","FAIL"),"PASS"),"FAIL")</x:f>
        <x:v>PASS</x:v>
      </x:c>
      <x:c r="H680" t="str">
        <x:f>G680</x:f>
        <x:v>PASS</x:v>
      </x:c>
    </x:row>
    <x:row r="681">
      <x:c r="B681" t="str">
        <x:v>A-PH-192</x:v>
      </x:c>
      <x:c r="C681" t="str">
        <x:v>gate</x:v>
      </x:c>
      <x:c r="D681" t="str">
        <x:v>PH-PEV-144</x:v>
      </x:c>
      <x:c r="E681" s="23" t="str">
        <x:v>OPEN</x:v>
      </x:c>
      <x:c r="F681" s="23" t="str">
        <x:f>'Release Gates'!I681</x:f>
        <x:v>OPEN</x:v>
      </x:c>
      <x:c r="G681" t="str">
        <x:f>IF(ABS(IFERROR(E681-F681,0))&lt;0.0001,IF(OR(ISTEXT(E681),ISTEXT(F681)),IF(E681=F681,"PASS","FAIL"),"PASS"),"FAIL")</x:f>
        <x:v>PASS</x:v>
      </x:c>
      <x:c r="H681" t="str">
        <x:f>G681</x:f>
        <x:v>PASS</x:v>
      </x:c>
    </x:row>
    <x:row r="682">
      <x:c r="B682" t="str">
        <x:v>A-PH-193</x:v>
      </x:c>
      <x:c r="C682" t="str">
        <x:v>gate</x:v>
      </x:c>
      <x:c r="D682" t="str">
        <x:v>PH-PEV-145</x:v>
      </x:c>
      <x:c r="E682" s="23" t="str">
        <x:v>OPEN</x:v>
      </x:c>
      <x:c r="F682" s="23" t="str">
        <x:f>'Release Gates'!I682</x:f>
        <x:v>OPEN</x:v>
      </x:c>
      <x:c r="G682" t="str">
        <x:f>IF(ABS(IFERROR(E682-F682,0))&lt;0.0001,IF(OR(ISTEXT(E682),ISTEXT(F682)),IF(E682=F682,"PASS","FAIL"),"PASS"),"FAIL")</x:f>
        <x:v>PASS</x:v>
      </x:c>
      <x:c r="H682" t="str">
        <x:f>G682</x:f>
        <x:v>PASS</x:v>
      </x:c>
    </x:row>
    <x:row r="683">
      <x:c r="B683" t="str">
        <x:v>A-PH-194</x:v>
      </x:c>
      <x:c r="C683" t="str">
        <x:v>gate</x:v>
      </x:c>
      <x:c r="D683" t="str">
        <x:v>PH-PEV-146</x:v>
      </x:c>
      <x:c r="E683" s="23" t="str">
        <x:v>OPEN</x:v>
      </x:c>
      <x:c r="F683" s="23" t="str">
        <x:f>'Release Gates'!I683</x:f>
        <x:v>OPEN</x:v>
      </x:c>
      <x:c r="G683" t="str">
        <x:f>IF(ABS(IFERROR(E683-F683,0))&lt;0.0001,IF(OR(ISTEXT(E683),ISTEXT(F683)),IF(E683=F683,"PASS","FAIL"),"PASS"),"FAIL")</x:f>
        <x:v>PASS</x:v>
      </x:c>
      <x:c r="H683" t="str">
        <x:f>G683</x:f>
        <x:v>PASS</x:v>
      </x:c>
    </x:row>
    <x:row r="684">
      <x:c r="B684" t="str">
        <x:v>A-PH-195</x:v>
      </x:c>
      <x:c r="C684" t="str">
        <x:v>gate</x:v>
      </x:c>
      <x:c r="D684" t="str">
        <x:v>PH-PEV-147</x:v>
      </x:c>
      <x:c r="E684" s="23" t="str">
        <x:v>OPEN</x:v>
      </x:c>
      <x:c r="F684" s="23" t="str">
        <x:f>'Release Gates'!I684</x:f>
        <x:v>OPEN</x:v>
      </x:c>
      <x:c r="G684" t="str">
        <x:f>IF(ABS(IFERROR(E684-F684,0))&lt;0.0001,IF(OR(ISTEXT(E684),ISTEXT(F684)),IF(E684=F684,"PASS","FAIL"),"PASS"),"FAIL")</x:f>
        <x:v>PASS</x:v>
      </x:c>
      <x:c r="H684" t="str">
        <x:f>G684</x:f>
        <x:v>PASS</x:v>
      </x:c>
    </x:row>
    <x:row r="685">
      <x:c r="B685" t="str">
        <x:v>A-PH-196</x:v>
      </x:c>
      <x:c r="C685" t="str">
        <x:v>gate</x:v>
      </x:c>
      <x:c r="D685" t="str">
        <x:v>PH-PEV-148</x:v>
      </x:c>
      <x:c r="E685" s="23" t="str">
        <x:v>OPEN</x:v>
      </x:c>
      <x:c r="F685" s="23" t="str">
        <x:f>'Release Gates'!I685</x:f>
        <x:v>OPEN</x:v>
      </x:c>
      <x:c r="G685" t="str">
        <x:f>IF(ABS(IFERROR(E685-F685,0))&lt;0.0001,IF(OR(ISTEXT(E685),ISTEXT(F685)),IF(E685=F685,"PASS","FAIL"),"PASS"),"FAIL")</x:f>
        <x:v>PASS</x:v>
      </x:c>
      <x:c r="H685" t="str">
        <x:f>G685</x:f>
        <x:v>PASS</x:v>
      </x:c>
    </x:row>
    <x:row r="686">
      <x:c r="B686" t="str">
        <x:v>A-PH-197</x:v>
      </x:c>
      <x:c r="C686" t="str">
        <x:v>gate</x:v>
      </x:c>
      <x:c r="D686" t="str">
        <x:v>PH-PEV-149</x:v>
      </x:c>
      <x:c r="E686" s="23" t="str">
        <x:v>OPEN</x:v>
      </x:c>
      <x:c r="F686" s="23" t="str">
        <x:f>'Release Gates'!I686</x:f>
        <x:v>OPEN</x:v>
      </x:c>
      <x:c r="G686" t="str">
        <x:f>IF(ABS(IFERROR(E686-F686,0))&lt;0.0001,IF(OR(ISTEXT(E686),ISTEXT(F686)),IF(E686=F686,"PASS","FAIL"),"PASS"),"FAIL")</x:f>
        <x:v>PASS</x:v>
      </x:c>
      <x:c r="H686" t="str">
        <x:f>G686</x:f>
        <x:v>PASS</x:v>
      </x:c>
    </x:row>
    <x:row r="687">
      <x:c r="B687" t="str">
        <x:v>A-PH-198</x:v>
      </x:c>
      <x:c r="C687" t="str">
        <x:v>gate</x:v>
      </x:c>
      <x:c r="D687" t="str">
        <x:v>PH-PEV-150</x:v>
      </x:c>
      <x:c r="E687" s="23" t="str">
        <x:v>OPEN</x:v>
      </x:c>
      <x:c r="F687" s="23" t="str">
        <x:f>'Release Gates'!I687</x:f>
        <x:v>OPEN</x:v>
      </x:c>
      <x:c r="G687" t="str">
        <x:f>IF(ABS(IFERROR(E687-F687,0))&lt;0.0001,IF(OR(ISTEXT(E687),ISTEXT(F687)),IF(E687=F687,"PASS","FAIL"),"PASS"),"FAIL")</x:f>
        <x:v>PASS</x:v>
      </x:c>
      <x:c r="H687" t="str">
        <x:f>G687</x:f>
        <x:v>PASS</x:v>
      </x:c>
    </x:row>
    <x:row r="688">
      <x:c r="B688" t="str">
        <x:v>A-PH-199</x:v>
      </x:c>
      <x:c r="C688" t="str">
        <x:v>gate</x:v>
      </x:c>
      <x:c r="D688" t="str">
        <x:v>PH-PEV-151</x:v>
      </x:c>
      <x:c r="E688" s="23" t="str">
        <x:v>OPEN</x:v>
      </x:c>
      <x:c r="F688" s="23" t="str">
        <x:f>'Release Gates'!I688</x:f>
        <x:v>OPEN</x:v>
      </x:c>
      <x:c r="G688" t="str">
        <x:f>IF(ABS(IFERROR(E688-F688,0))&lt;0.0001,IF(OR(ISTEXT(E688),ISTEXT(F688)),IF(E688=F688,"PASS","FAIL"),"PASS"),"FAIL")</x:f>
        <x:v>PASS</x:v>
      </x:c>
      <x:c r="H688" t="str">
        <x:f>G688</x:f>
        <x:v>PASS</x:v>
      </x:c>
    </x:row>
    <x:row r="689">
      <x:c r="B689" t="str">
        <x:v>A-PH-200</x:v>
      </x:c>
      <x:c r="C689" t="str">
        <x:v>gate</x:v>
      </x:c>
      <x:c r="D689" t="str">
        <x:v>PH-PEV-152</x:v>
      </x:c>
      <x:c r="E689" s="23" t="str">
        <x:v>OPEN</x:v>
      </x:c>
      <x:c r="F689" s="23" t="str">
        <x:f>'Release Gates'!I689</x:f>
        <x:v>OPEN</x:v>
      </x:c>
      <x:c r="G689" t="str">
        <x:f>IF(ABS(IFERROR(E689-F689,0))&lt;0.0001,IF(OR(ISTEXT(E689),ISTEXT(F689)),IF(E689=F689,"PASS","FAIL"),"PASS"),"FAIL")</x:f>
        <x:v>PASS</x:v>
      </x:c>
      <x:c r="H689" t="str">
        <x:f>G689</x:f>
        <x:v>PASS</x:v>
      </x:c>
    </x:row>
    <x:row r="690">
      <x:c r="B690" t="str">
        <x:v>A-PH-201</x:v>
      </x:c>
      <x:c r="C690" t="str">
        <x:v>gate</x:v>
      </x:c>
      <x:c r="D690" t="str">
        <x:v>PH-PEV-153</x:v>
      </x:c>
      <x:c r="E690" s="23" t="str">
        <x:v>OPEN</x:v>
      </x:c>
      <x:c r="F690" s="23" t="str">
        <x:f>'Release Gates'!I690</x:f>
        <x:v>OPEN</x:v>
      </x:c>
      <x:c r="G690" t="str">
        <x:f>IF(ABS(IFERROR(E690-F690,0))&lt;0.0001,IF(OR(ISTEXT(E690),ISTEXT(F690)),IF(E690=F690,"PASS","FAIL"),"PASS"),"FAIL")</x:f>
        <x:v>PASS</x:v>
      </x:c>
      <x:c r="H690" t="str">
        <x:f>G690</x:f>
        <x:v>PASS</x:v>
      </x:c>
    </x:row>
    <x:row r="691">
      <x:c r="B691" t="str">
        <x:v>A-PH-202</x:v>
      </x:c>
      <x:c r="C691" t="str">
        <x:v>gate</x:v>
      </x:c>
      <x:c r="D691" t="str">
        <x:v>PH-PEV-154</x:v>
      </x:c>
      <x:c r="E691" s="23" t="str">
        <x:v>OPEN</x:v>
      </x:c>
      <x:c r="F691" s="23" t="str">
        <x:f>'Release Gates'!I691</x:f>
        <x:v>OPEN</x:v>
      </x:c>
      <x:c r="G691" t="str">
        <x:f>IF(ABS(IFERROR(E691-F691,0))&lt;0.0001,IF(OR(ISTEXT(E691),ISTEXT(F691)),IF(E691=F691,"PASS","FAIL"),"PASS"),"FAIL")</x:f>
        <x:v>PASS</x:v>
      </x:c>
      <x:c r="H691" t="str">
        <x:f>G691</x:f>
        <x:v>PASS</x:v>
      </x:c>
    </x:row>
    <x:row r="692">
      <x:c r="B692" t="str">
        <x:v>A-PH-203</x:v>
      </x:c>
      <x:c r="C692" t="str">
        <x:v>gate</x:v>
      </x:c>
      <x:c r="D692" t="str">
        <x:v>PH-PEV-155</x:v>
      </x:c>
      <x:c r="E692" s="23" t="str">
        <x:v>OPEN</x:v>
      </x:c>
      <x:c r="F692" s="23" t="str">
        <x:f>'Release Gates'!I692</x:f>
        <x:v>OPEN</x:v>
      </x:c>
      <x:c r="G692" t="str">
        <x:f>IF(ABS(IFERROR(E692-F692,0))&lt;0.0001,IF(OR(ISTEXT(E692),ISTEXT(F692)),IF(E692=F692,"PASS","FAIL"),"PASS"),"FAIL")</x:f>
        <x:v>PASS</x:v>
      </x:c>
      <x:c r="H692" t="str">
        <x:f>G692</x:f>
        <x:v>PASS</x:v>
      </x:c>
    </x:row>
    <x:row r="693">
      <x:c r="B693" t="str">
        <x:v>A-PH-204</x:v>
      </x:c>
      <x:c r="C693" t="str">
        <x:v>gate</x:v>
      </x:c>
      <x:c r="D693" t="str">
        <x:v>PH-PEV-156</x:v>
      </x:c>
      <x:c r="E693" s="23" t="str">
        <x:v>OPEN</x:v>
      </x:c>
      <x:c r="F693" s="23" t="str">
        <x:f>'Release Gates'!I693</x:f>
        <x:v>OPEN</x:v>
      </x:c>
      <x:c r="G693" t="str">
        <x:f>IF(ABS(IFERROR(E693-F693,0))&lt;0.0001,IF(OR(ISTEXT(E693),ISTEXT(F693)),IF(E693=F693,"PASS","FAIL"),"PASS"),"FAIL")</x:f>
        <x:v>PASS</x:v>
      </x:c>
      <x:c r="H693" t="str">
        <x:f>G693</x:f>
        <x:v>PASS</x:v>
      </x:c>
    </x:row>
    <x:row r="694">
      <x:c r="B694" t="str">
        <x:v>A-PH-205</x:v>
      </x:c>
      <x:c r="C694" t="str">
        <x:v>gate</x:v>
      </x:c>
      <x:c r="D694" t="str">
        <x:v>PH-PEV-157</x:v>
      </x:c>
      <x:c r="E694" s="23" t="str">
        <x:v>OPEN</x:v>
      </x:c>
      <x:c r="F694" s="23" t="str">
        <x:f>'Release Gates'!I694</x:f>
        <x:v>OPEN</x:v>
      </x:c>
      <x:c r="G694" t="str">
        <x:f>IF(ABS(IFERROR(E694-F694,0))&lt;0.0001,IF(OR(ISTEXT(E694),ISTEXT(F694)),IF(E694=F694,"PASS","FAIL"),"PASS"),"FAIL")</x:f>
        <x:v>PASS</x:v>
      </x:c>
      <x:c r="H694" t="str">
        <x:f>G694</x:f>
        <x:v>PASS</x:v>
      </x:c>
    </x:row>
    <x:row r="695">
      <x:c r="B695" t="str">
        <x:v>A-PH-206</x:v>
      </x:c>
      <x:c r="C695" t="str">
        <x:v>gate</x:v>
      </x:c>
      <x:c r="D695" t="str">
        <x:v>PH-PEV-158</x:v>
      </x:c>
      <x:c r="E695" s="23" t="str">
        <x:v>OPEN</x:v>
      </x:c>
      <x:c r="F695" s="23" t="str">
        <x:f>'Release Gates'!I695</x:f>
        <x:v>OPEN</x:v>
      </x:c>
      <x:c r="G695" t="str">
        <x:f>IF(ABS(IFERROR(E695-F695,0))&lt;0.0001,IF(OR(ISTEXT(E695),ISTEXT(F695)),IF(E695=F695,"PASS","FAIL"),"PASS"),"FAIL")</x:f>
        <x:v>PASS</x:v>
      </x:c>
      <x:c r="H695" t="str">
        <x:f>G695</x:f>
        <x:v>PASS</x:v>
      </x:c>
    </x:row>
    <x:row r="696">
      <x:c r="B696" t="str">
        <x:v>A-PH-207</x:v>
      </x:c>
      <x:c r="C696" t="str">
        <x:v>gate</x:v>
      </x:c>
      <x:c r="D696" t="str">
        <x:v>PH-PEV-159</x:v>
      </x:c>
      <x:c r="E696" s="23" t="str">
        <x:v>OPEN</x:v>
      </x:c>
      <x:c r="F696" s="23" t="str">
        <x:f>'Release Gates'!I696</x:f>
        <x:v>OPEN</x:v>
      </x:c>
      <x:c r="G696" t="str">
        <x:f>IF(ABS(IFERROR(E696-F696,0))&lt;0.0001,IF(OR(ISTEXT(E696),ISTEXT(F696)),IF(E696=F696,"PASS","FAIL"),"PASS"),"FAIL")</x:f>
        <x:v>PASS</x:v>
      </x:c>
      <x:c r="H696" t="str">
        <x:f>G696</x:f>
        <x:v>PASS</x:v>
      </x:c>
    </x:row>
    <x:row r="697">
      <x:c r="B697" t="str">
        <x:v>A-PH-208</x:v>
      </x:c>
      <x:c r="C697" t="str">
        <x:v>gate</x:v>
      </x:c>
      <x:c r="D697" t="str">
        <x:v>PH-PEV-160</x:v>
      </x:c>
      <x:c r="E697" s="23" t="str">
        <x:v>OPEN</x:v>
      </x:c>
      <x:c r="F697" s="23" t="str">
        <x:f>'Release Gates'!I697</x:f>
        <x:v>OPEN</x:v>
      </x:c>
      <x:c r="G697" t="str">
        <x:f>IF(ABS(IFERROR(E697-F697,0))&lt;0.0001,IF(OR(ISTEXT(E697),ISTEXT(F697)),IF(E697=F697,"PASS","FAIL"),"PASS"),"FAIL")</x:f>
        <x:v>PASS</x:v>
      </x:c>
      <x:c r="H697" t="str">
        <x:f>G697</x:f>
        <x:v>PASS</x:v>
      </x:c>
    </x:row>
    <x:row r="698">
      <x:c r="B698" t="str">
        <x:v>A-PH-209</x:v>
      </x:c>
      <x:c r="C698" t="str">
        <x:v>gate</x:v>
      </x:c>
      <x:c r="D698" t="str">
        <x:v>PH-PEV-161</x:v>
      </x:c>
      <x:c r="E698" s="23" t="str">
        <x:v>OPEN</x:v>
      </x:c>
      <x:c r="F698" s="23" t="str">
        <x:f>'Release Gates'!I698</x:f>
        <x:v>OPEN</x:v>
      </x:c>
      <x:c r="G698" t="str">
        <x:f>IF(ABS(IFERROR(E698-F698,0))&lt;0.0001,IF(OR(ISTEXT(E698),ISTEXT(F698)),IF(E698=F698,"PASS","FAIL"),"PASS"),"FAIL")</x:f>
        <x:v>PASS</x:v>
      </x:c>
      <x:c r="H698" t="str">
        <x:f>G698</x:f>
        <x:v>PASS</x:v>
      </x:c>
    </x:row>
    <x:row r="699">
      <x:c r="B699" t="str">
        <x:v>A-PH-210</x:v>
      </x:c>
      <x:c r="C699" t="str">
        <x:v>gate</x:v>
      </x:c>
      <x:c r="D699" t="str">
        <x:v>PH-PEV-162</x:v>
      </x:c>
      <x:c r="E699" s="23" t="str">
        <x:v>OPEN</x:v>
      </x:c>
      <x:c r="F699" s="23" t="str">
        <x:f>'Release Gates'!I699</x:f>
        <x:v>OPEN</x:v>
      </x:c>
      <x:c r="G699" t="str">
        <x:f>IF(ABS(IFERROR(E699-F699,0))&lt;0.0001,IF(OR(ISTEXT(E699),ISTEXT(F699)),IF(E699=F699,"PASS","FAIL"),"PASS"),"FAIL")</x:f>
        <x:v>PASS</x:v>
      </x:c>
      <x:c r="H699" t="str">
        <x:f>G699</x:f>
        <x:v>PASS</x:v>
      </x:c>
    </x:row>
    <x:row r="700">
      <x:c r="B700" t="str">
        <x:v>A-PH-211</x:v>
      </x:c>
      <x:c r="C700" t="str">
        <x:v>gate</x:v>
      </x:c>
      <x:c r="D700" t="str">
        <x:v>PH-PEV-163</x:v>
      </x:c>
      <x:c r="E700" s="23" t="str">
        <x:v>OPEN</x:v>
      </x:c>
      <x:c r="F700" s="23" t="str">
        <x:f>'Release Gates'!I700</x:f>
        <x:v>OPEN</x:v>
      </x:c>
      <x:c r="G700" t="str">
        <x:f>IF(ABS(IFERROR(E700-F700,0))&lt;0.0001,IF(OR(ISTEXT(E700),ISTEXT(F700)),IF(E700=F700,"PASS","FAIL"),"PASS"),"FAIL")</x:f>
        <x:v>PASS</x:v>
      </x:c>
      <x:c r="H700" t="str">
        <x:f>G700</x:f>
        <x:v>PASS</x:v>
      </x:c>
    </x:row>
    <x:row r="701">
      <x:c r="B701" t="str">
        <x:v>A-PH-212</x:v>
      </x:c>
      <x:c r="C701" t="str">
        <x:v>gate</x:v>
      </x:c>
      <x:c r="D701" t="str">
        <x:v>PH-PEV-164</x:v>
      </x:c>
      <x:c r="E701" s="23" t="str">
        <x:v>OPEN</x:v>
      </x:c>
      <x:c r="F701" s="23" t="str">
        <x:f>'Release Gates'!I701</x:f>
        <x:v>OPEN</x:v>
      </x:c>
      <x:c r="G701" t="str">
        <x:f>IF(ABS(IFERROR(E701-F701,0))&lt;0.0001,IF(OR(ISTEXT(E701),ISTEXT(F701)),IF(E701=F701,"PASS","FAIL"),"PASS"),"FAIL")</x:f>
        <x:v>PASS</x:v>
      </x:c>
      <x:c r="H701" t="str">
        <x:f>G701</x:f>
        <x:v>PASS</x:v>
      </x:c>
    </x:row>
    <x:row r="702">
      <x:c r="B702" t="str">
        <x:v>A-PH-213</x:v>
      </x:c>
      <x:c r="C702" t="str">
        <x:v>gate</x:v>
      </x:c>
      <x:c r="D702" t="str">
        <x:v>PH-PEV-165</x:v>
      </x:c>
      <x:c r="E702" s="23" t="str">
        <x:v>OPEN</x:v>
      </x:c>
      <x:c r="F702" s="23" t="str">
        <x:f>'Release Gates'!I702</x:f>
        <x:v>OPEN</x:v>
      </x:c>
      <x:c r="G702" t="str">
        <x:f>IF(ABS(IFERROR(E702-F702,0))&lt;0.0001,IF(OR(ISTEXT(E702),ISTEXT(F702)),IF(E702=F702,"PASS","FAIL"),"PASS"),"FAIL")</x:f>
        <x:v>PASS</x:v>
      </x:c>
      <x:c r="H702" t="str">
        <x:f>G702</x:f>
        <x:v>PASS</x:v>
      </x:c>
    </x:row>
    <x:row r="703">
      <x:c r="B703" t="str">
        <x:v>A-PH-214</x:v>
      </x:c>
      <x:c r="C703" t="str">
        <x:v>gate</x:v>
      </x:c>
      <x:c r="D703" t="str">
        <x:v>PH-PEV-166</x:v>
      </x:c>
      <x:c r="E703" s="23" t="str">
        <x:v>OPEN</x:v>
      </x:c>
      <x:c r="F703" s="23" t="str">
        <x:f>'Release Gates'!I703</x:f>
        <x:v>OPEN</x:v>
      </x:c>
      <x:c r="G703" t="str">
        <x:f>IF(ABS(IFERROR(E703-F703,0))&lt;0.0001,IF(OR(ISTEXT(E703),ISTEXT(F703)),IF(E703=F703,"PASS","FAIL"),"PASS"),"FAIL")</x:f>
        <x:v>PASS</x:v>
      </x:c>
      <x:c r="H703" t="str">
        <x:f>G703</x:f>
        <x:v>PASS</x:v>
      </x:c>
    </x:row>
    <x:row r="704">
      <x:c r="B704" t="str">
        <x:v>A-PH-215</x:v>
      </x:c>
      <x:c r="C704" t="str">
        <x:v>gate</x:v>
      </x:c>
      <x:c r="D704" t="str">
        <x:v>PH-PEV-167</x:v>
      </x:c>
      <x:c r="E704" s="23" t="str">
        <x:v>OPEN</x:v>
      </x:c>
      <x:c r="F704" s="23" t="str">
        <x:f>'Release Gates'!I704</x:f>
        <x:v>OPEN</x:v>
      </x:c>
      <x:c r="G704" t="str">
        <x:f>IF(ABS(IFERROR(E704-F704,0))&lt;0.0001,IF(OR(ISTEXT(E704),ISTEXT(F704)),IF(E704=F704,"PASS","FAIL"),"PASS"),"FAIL")</x:f>
        <x:v>PASS</x:v>
      </x:c>
      <x:c r="H704" t="str">
        <x:f>G704</x:f>
        <x:v>PASS</x:v>
      </x:c>
    </x:row>
    <x:row r="705">
      <x:c r="B705" t="str">
        <x:v>A-PH-216</x:v>
      </x:c>
      <x:c r="C705" t="str">
        <x:v>gate</x:v>
      </x:c>
      <x:c r="D705" t="str">
        <x:v>PH-PEV-168</x:v>
      </x:c>
      <x:c r="E705" s="23" t="str">
        <x:v>OPEN</x:v>
      </x:c>
      <x:c r="F705" s="23" t="str">
        <x:f>'Release Gates'!I705</x:f>
        <x:v>OPEN</x:v>
      </x:c>
      <x:c r="G705" t="str">
        <x:f>IF(ABS(IFERROR(E705-F705,0))&lt;0.0001,IF(OR(ISTEXT(E705),ISTEXT(F705)),IF(E705=F705,"PASS","FAIL"),"PASS"),"FAIL")</x:f>
        <x:v>PASS</x:v>
      </x:c>
      <x:c r="H705" t="str">
        <x:f>G705</x:f>
        <x:v>PASS</x:v>
      </x:c>
    </x:row>
    <x:row r="706">
      <x:c r="B706" t="str">
        <x:v>A-PH-217</x:v>
      </x:c>
      <x:c r="C706" t="str">
        <x:v>gate</x:v>
      </x:c>
      <x:c r="D706" t="str">
        <x:v>PH-PEV-169</x:v>
      </x:c>
      <x:c r="E706" s="23" t="str">
        <x:v>OPEN</x:v>
      </x:c>
      <x:c r="F706" s="23" t="str">
        <x:f>'Release Gates'!I706</x:f>
        <x:v>OPEN</x:v>
      </x:c>
      <x:c r="G706" t="str">
        <x:f>IF(ABS(IFERROR(E706-F706,0))&lt;0.0001,IF(OR(ISTEXT(E706),ISTEXT(F706)),IF(E706=F706,"PASS","FAIL"),"PASS"),"FAIL")</x:f>
        <x:v>PASS</x:v>
      </x:c>
      <x:c r="H706" t="str">
        <x:f>G706</x:f>
        <x:v>PASS</x:v>
      </x:c>
    </x:row>
    <x:row r="707">
      <x:c r="B707" t="str">
        <x:v>A-PH-218</x:v>
      </x:c>
      <x:c r="C707" t="str">
        <x:v>gate</x:v>
      </x:c>
      <x:c r="D707" t="str">
        <x:v>PH-PEV-170</x:v>
      </x:c>
      <x:c r="E707" s="23" t="str">
        <x:v>OPEN</x:v>
      </x:c>
      <x:c r="F707" s="23" t="str">
        <x:f>'Release Gates'!I707</x:f>
        <x:v>OPEN</x:v>
      </x:c>
      <x:c r="G707" t="str">
        <x:f>IF(ABS(IFERROR(E707-F707,0))&lt;0.0001,IF(OR(ISTEXT(E707),ISTEXT(F707)),IF(E707=F707,"PASS","FAIL"),"PASS"),"FAIL")</x:f>
        <x:v>PASS</x:v>
      </x:c>
      <x:c r="H707" t="str">
        <x:f>G707</x:f>
        <x:v>PASS</x:v>
      </x:c>
    </x:row>
    <x:row r="708">
      <x:c r="B708" t="str">
        <x:v>A-PH-219</x:v>
      </x:c>
      <x:c r="C708" t="str">
        <x:v>gate</x:v>
      </x:c>
      <x:c r="D708" t="str">
        <x:v>PH-PEV-171</x:v>
      </x:c>
      <x:c r="E708" s="23" t="str">
        <x:v>OPEN</x:v>
      </x:c>
      <x:c r="F708" s="23" t="str">
        <x:f>'Release Gates'!I708</x:f>
        <x:v>OPEN</x:v>
      </x:c>
      <x:c r="G708" t="str">
        <x:f>IF(ABS(IFERROR(E708-F708,0))&lt;0.0001,IF(OR(ISTEXT(E708),ISTEXT(F708)),IF(E708=F708,"PASS","FAIL"),"PASS"),"FAIL")</x:f>
        <x:v>PASS</x:v>
      </x:c>
      <x:c r="H708" t="str">
        <x:f>G708</x:f>
        <x:v>PASS</x:v>
      </x:c>
    </x:row>
    <x:row r="709">
      <x:c r="B709" t="str">
        <x:v>A-PH-220</x:v>
      </x:c>
      <x:c r="C709" t="str">
        <x:v>gate</x:v>
      </x:c>
      <x:c r="D709" t="str">
        <x:v>PH-PEV-172</x:v>
      </x:c>
      <x:c r="E709" s="23" t="str">
        <x:v>OPEN</x:v>
      </x:c>
      <x:c r="F709" s="23" t="str">
        <x:f>'Release Gates'!I709</x:f>
        <x:v>OPEN</x:v>
      </x:c>
      <x:c r="G709" t="str">
        <x:f>IF(ABS(IFERROR(E709-F709,0))&lt;0.0001,IF(OR(ISTEXT(E709),ISTEXT(F709)),IF(E709=F709,"PASS","FAIL"),"PASS"),"FAIL")</x:f>
        <x:v>PASS</x:v>
      </x:c>
      <x:c r="H709" t="str">
        <x:f>G709</x:f>
        <x:v>PASS</x:v>
      </x:c>
    </x:row>
    <x:row r="710">
      <x:c r="B710" t="str">
        <x:v>A-PH-221</x:v>
      </x:c>
      <x:c r="C710" t="str">
        <x:v>gate</x:v>
      </x:c>
      <x:c r="D710" t="str">
        <x:v>PH-PEV-173</x:v>
      </x:c>
      <x:c r="E710" s="23" t="str">
        <x:v>OPEN</x:v>
      </x:c>
      <x:c r="F710" s="23" t="str">
        <x:f>'Release Gates'!I710</x:f>
        <x:v>OPEN</x:v>
      </x:c>
      <x:c r="G710" t="str">
        <x:f>IF(ABS(IFERROR(E710-F710,0))&lt;0.0001,IF(OR(ISTEXT(E710),ISTEXT(F710)),IF(E710=F710,"PASS","FAIL"),"PASS"),"FAIL")</x:f>
        <x:v>PASS</x:v>
      </x:c>
      <x:c r="H710" t="str">
        <x:f>G710</x:f>
        <x:v>PASS</x:v>
      </x:c>
    </x:row>
    <x:row r="711">
      <x:c r="B711" t="str">
        <x:v>A-PH-222</x:v>
      </x:c>
      <x:c r="C711" t="str">
        <x:v>gate</x:v>
      </x:c>
      <x:c r="D711" t="str">
        <x:v>PH-PEV-174</x:v>
      </x:c>
      <x:c r="E711" s="23" t="str">
        <x:v>OPEN</x:v>
      </x:c>
      <x:c r="F711" s="23" t="str">
        <x:f>'Release Gates'!I711</x:f>
        <x:v>OPEN</x:v>
      </x:c>
      <x:c r="G711" t="str">
        <x:f>IF(ABS(IFERROR(E711-F711,0))&lt;0.0001,IF(OR(ISTEXT(E711),ISTEXT(F711)),IF(E711=F711,"PASS","FAIL"),"PASS"),"FAIL")</x:f>
        <x:v>PASS</x:v>
      </x:c>
      <x:c r="H711" t="str">
        <x:f>G711</x:f>
        <x:v>PASS</x:v>
      </x:c>
    </x:row>
    <x:row r="712">
      <x:c r="B712" t="str">
        <x:v>A-PH-223</x:v>
      </x:c>
      <x:c r="C712" t="str">
        <x:v>gate</x:v>
      </x:c>
      <x:c r="D712" t="str">
        <x:v>PH-PEV-175</x:v>
      </x:c>
      <x:c r="E712" s="23" t="str">
        <x:v>OPEN</x:v>
      </x:c>
      <x:c r="F712" s="23" t="str">
        <x:f>'Release Gates'!I712</x:f>
        <x:v>OPEN</x:v>
      </x:c>
      <x:c r="G712" t="str">
        <x:f>IF(ABS(IFERROR(E712-F712,0))&lt;0.0001,IF(OR(ISTEXT(E712),ISTEXT(F712)),IF(E712=F712,"PASS","FAIL"),"PASS"),"FAIL")</x:f>
        <x:v>PASS</x:v>
      </x:c>
      <x:c r="H712" t="str">
        <x:f>G712</x:f>
        <x:v>PASS</x:v>
      </x:c>
    </x:row>
    <x:row r="713">
      <x:c r="B713" t="str">
        <x:v>A-PH-224</x:v>
      </x:c>
      <x:c r="C713" t="str">
        <x:v>gate</x:v>
      </x:c>
      <x:c r="D713" t="str">
        <x:v>PH-PEV-176</x:v>
      </x:c>
      <x:c r="E713" s="23" t="str">
        <x:v>OPEN</x:v>
      </x:c>
      <x:c r="F713" s="23" t="str">
        <x:f>'Release Gates'!I713</x:f>
        <x:v>OPEN</x:v>
      </x:c>
      <x:c r="G713" t="str">
        <x:f>IF(ABS(IFERROR(E713-F713,0))&lt;0.0001,IF(OR(ISTEXT(E713),ISTEXT(F713)),IF(E713=F713,"PASS","FAIL"),"PASS"),"FAIL")</x:f>
        <x:v>PASS</x:v>
      </x:c>
      <x:c r="H713" t="str">
        <x:f>G713</x:f>
        <x:v>PASS</x:v>
      </x:c>
    </x:row>
    <x:row r="714">
      <x:c r="B714" t="str">
        <x:v>A-PH-225</x:v>
      </x:c>
      <x:c r="C714" t="str">
        <x:v>gate</x:v>
      </x:c>
      <x:c r="D714" t="str">
        <x:v>PH-PEV-177</x:v>
      </x:c>
      <x:c r="E714" s="23" t="str">
        <x:v>OPEN</x:v>
      </x:c>
      <x:c r="F714" s="23" t="str">
        <x:f>'Release Gates'!I714</x:f>
        <x:v>OPEN</x:v>
      </x:c>
      <x:c r="G714" t="str">
        <x:f>IF(ABS(IFERROR(E714-F714,0))&lt;0.0001,IF(OR(ISTEXT(E714),ISTEXT(F714)),IF(E714=F714,"PASS","FAIL"),"PASS"),"FAIL")</x:f>
        <x:v>PASS</x:v>
      </x:c>
      <x:c r="H714" t="str">
        <x:f>G714</x:f>
        <x:v>PASS</x:v>
      </x:c>
    </x:row>
    <x:row r="715">
      <x:c r="B715" t="str">
        <x:v>A-PH-226</x:v>
      </x:c>
      <x:c r="C715" t="str">
        <x:v>gate</x:v>
      </x:c>
      <x:c r="D715" t="str">
        <x:v>PH-PEV-178</x:v>
      </x:c>
      <x:c r="E715" s="23" t="str">
        <x:v>OPEN</x:v>
      </x:c>
      <x:c r="F715" s="23" t="str">
        <x:f>'Release Gates'!I715</x:f>
        <x:v>OPEN</x:v>
      </x:c>
      <x:c r="G715" t="str">
        <x:f>IF(ABS(IFERROR(E715-F715,0))&lt;0.0001,IF(OR(ISTEXT(E715),ISTEXT(F715)),IF(E715=F715,"PASS","FAIL"),"PASS"),"FAIL")</x:f>
        <x:v>PASS</x:v>
      </x:c>
      <x:c r="H715" t="str">
        <x:f>G715</x:f>
        <x:v>PASS</x:v>
      </x:c>
    </x:row>
    <x:row r="716">
      <x:c r="B716" t="str">
        <x:v>A-PH-227</x:v>
      </x:c>
      <x:c r="C716" t="str">
        <x:v>gate</x:v>
      </x:c>
      <x:c r="D716" t="str">
        <x:v>PH-PEV-179</x:v>
      </x:c>
      <x:c r="E716" s="23" t="str">
        <x:v>OPEN</x:v>
      </x:c>
      <x:c r="F716" s="23" t="str">
        <x:f>'Release Gates'!I716</x:f>
        <x:v>OPEN</x:v>
      </x:c>
      <x:c r="G716" t="str">
        <x:f>IF(ABS(IFERROR(E716-F716,0))&lt;0.0001,IF(OR(ISTEXT(E716),ISTEXT(F716)),IF(E716=F716,"PASS","FAIL"),"PASS"),"FAIL")</x:f>
        <x:v>PASS</x:v>
      </x:c>
      <x:c r="H716" t="str">
        <x:f>G716</x:f>
        <x:v>PASS</x:v>
      </x:c>
    </x:row>
    <x:row r="717">
      <x:c r="B717" t="str">
        <x:v>A-PH-228</x:v>
      </x:c>
      <x:c r="C717" t="str">
        <x:v>gate</x:v>
      </x:c>
      <x:c r="D717" t="str">
        <x:v>PH-PEV-180</x:v>
      </x:c>
      <x:c r="E717" s="23" t="str">
        <x:v>OPEN</x:v>
      </x:c>
      <x:c r="F717" s="23" t="str">
        <x:f>'Release Gates'!I717</x:f>
        <x:v>OPEN</x:v>
      </x:c>
      <x:c r="G717" t="str">
        <x:f>IF(ABS(IFERROR(E717-F717,0))&lt;0.0001,IF(OR(ISTEXT(E717),ISTEXT(F717)),IF(E717=F717,"PASS","FAIL"),"PASS"),"FAIL")</x:f>
        <x:v>PASS</x:v>
      </x:c>
      <x:c r="H717" t="str">
        <x:f>G717</x:f>
        <x:v>PASS</x:v>
      </x:c>
    </x:row>
    <x:row r="718">
      <x:c r="B718" t="str">
        <x:v>A-PH-229</x:v>
      </x:c>
      <x:c r="C718" t="str">
        <x:v>gate</x:v>
      </x:c>
      <x:c r="D718" t="str">
        <x:v>PH-PEV-181</x:v>
      </x:c>
      <x:c r="E718" s="23" t="str">
        <x:v>OPEN</x:v>
      </x:c>
      <x:c r="F718" s="23" t="str">
        <x:f>'Release Gates'!I718</x:f>
        <x:v>OPEN</x:v>
      </x:c>
      <x:c r="G718" t="str">
        <x:f>IF(ABS(IFERROR(E718-F718,0))&lt;0.0001,IF(OR(ISTEXT(E718),ISTEXT(F718)),IF(E718=F718,"PASS","FAIL"),"PASS"),"FAIL")</x:f>
        <x:v>PASS</x:v>
      </x:c>
      <x:c r="H718" t="str">
        <x:f>G718</x:f>
        <x:v>PASS</x:v>
      </x:c>
    </x:row>
    <x:row r="719">
      <x:c r="B719" t="str">
        <x:v>A-PH-230</x:v>
      </x:c>
      <x:c r="C719" t="str">
        <x:v>gate</x:v>
      </x:c>
      <x:c r="D719" t="str">
        <x:v>PH-PEV-182</x:v>
      </x:c>
      <x:c r="E719" s="23" t="str">
        <x:v>OPEN</x:v>
      </x:c>
      <x:c r="F719" s="23" t="str">
        <x:f>'Release Gates'!I719</x:f>
        <x:v>OPEN</x:v>
      </x:c>
      <x:c r="G719" t="str">
        <x:f>IF(ABS(IFERROR(E719-F719,0))&lt;0.0001,IF(OR(ISTEXT(E719),ISTEXT(F719)),IF(E719=F719,"PASS","FAIL"),"PASS"),"FAIL")</x:f>
        <x:v>PASS</x:v>
      </x:c>
      <x:c r="H719" t="str">
        <x:f>G719</x:f>
        <x:v>PASS</x:v>
      </x:c>
    </x:row>
    <x:row r="720">
      <x:c r="B720" t="str">
        <x:v>A-PH-231</x:v>
      </x:c>
      <x:c r="C720" t="str">
        <x:v>gate</x:v>
      </x:c>
      <x:c r="D720" t="str">
        <x:v>PH-PEV-183</x:v>
      </x:c>
      <x:c r="E720" s="23" t="str">
        <x:v>OPEN</x:v>
      </x:c>
      <x:c r="F720" s="23" t="str">
        <x:f>'Release Gates'!I720</x:f>
        <x:v>OPEN</x:v>
      </x:c>
      <x:c r="G720" t="str">
        <x:f>IF(ABS(IFERROR(E720-F720,0))&lt;0.0001,IF(OR(ISTEXT(E720),ISTEXT(F720)),IF(E720=F720,"PASS","FAIL"),"PASS"),"FAIL")</x:f>
        <x:v>PASS</x:v>
      </x:c>
      <x:c r="H720" t="str">
        <x:f>G720</x:f>
        <x:v>PASS</x:v>
      </x:c>
    </x:row>
    <x:row r="721">
      <x:c r="B721" t="str">
        <x:v>A-PH-232</x:v>
      </x:c>
      <x:c r="C721" t="str">
        <x:v>gate</x:v>
      </x:c>
      <x:c r="D721" t="str">
        <x:v>PH-PEV-184</x:v>
      </x:c>
      <x:c r="E721" s="23" t="str">
        <x:v>OPEN</x:v>
      </x:c>
      <x:c r="F721" s="23" t="str">
        <x:f>'Release Gates'!I721</x:f>
        <x:v>OPEN</x:v>
      </x:c>
      <x:c r="G721" t="str">
        <x:f>IF(ABS(IFERROR(E721-F721,0))&lt;0.0001,IF(OR(ISTEXT(E721),ISTEXT(F721)),IF(E721=F721,"PASS","FAIL"),"PASS"),"FAIL")</x:f>
        <x:v>PASS</x:v>
      </x:c>
      <x:c r="H721" t="str">
        <x:f>G721</x:f>
        <x:v>PASS</x:v>
      </x:c>
    </x:row>
    <x:row r="722">
      <x:c r="B722" t="str">
        <x:v>A-PH-233</x:v>
      </x:c>
      <x:c r="C722" t="str">
        <x:v>gate</x:v>
      </x:c>
      <x:c r="D722" t="str">
        <x:v>PH-PEV-185</x:v>
      </x:c>
      <x:c r="E722" s="23" t="str">
        <x:v>OPEN</x:v>
      </x:c>
      <x:c r="F722" s="23" t="str">
        <x:f>'Release Gates'!I722</x:f>
        <x:v>OPEN</x:v>
      </x:c>
      <x:c r="G722" t="str">
        <x:f>IF(ABS(IFERROR(E722-F722,0))&lt;0.0001,IF(OR(ISTEXT(E722),ISTEXT(F722)),IF(E722=F722,"PASS","FAIL"),"PASS"),"FAIL")</x:f>
        <x:v>PASS</x:v>
      </x:c>
      <x:c r="H722" t="str">
        <x:f>G722</x:f>
        <x:v>PASS</x:v>
      </x:c>
    </x:row>
    <x:row r="723">
      <x:c r="B723" t="str">
        <x:v>A-PH-234</x:v>
      </x:c>
      <x:c r="C723" t="str">
        <x:v>gate</x:v>
      </x:c>
      <x:c r="D723" t="str">
        <x:v>PH-PEV-186</x:v>
      </x:c>
      <x:c r="E723" s="23" t="str">
        <x:v>OPEN</x:v>
      </x:c>
      <x:c r="F723" s="23" t="str">
        <x:f>'Release Gates'!I723</x:f>
        <x:v>OPEN</x:v>
      </x:c>
      <x:c r="G723" t="str">
        <x:f>IF(ABS(IFERROR(E723-F723,0))&lt;0.0001,IF(OR(ISTEXT(E723),ISTEXT(F723)),IF(E723=F723,"PASS","FAIL"),"PASS"),"FAIL")</x:f>
        <x:v>PASS</x:v>
      </x:c>
      <x:c r="H723" t="str">
        <x:f>G723</x:f>
        <x:v>PASS</x:v>
      </x:c>
    </x:row>
    <x:row r="724">
      <x:c r="B724" t="str">
        <x:v>A-PH-235</x:v>
      </x:c>
      <x:c r="C724" t="str">
        <x:v>gate</x:v>
      </x:c>
      <x:c r="D724" t="str">
        <x:v>PH-PEV-187</x:v>
      </x:c>
      <x:c r="E724" s="23" t="str">
        <x:v>OPEN</x:v>
      </x:c>
      <x:c r="F724" s="23" t="str">
        <x:f>'Release Gates'!I724</x:f>
        <x:v>OPEN</x:v>
      </x:c>
      <x:c r="G724" t="str">
        <x:f>IF(ABS(IFERROR(E724-F724,0))&lt;0.0001,IF(OR(ISTEXT(E724),ISTEXT(F724)),IF(E724=F724,"PASS","FAIL"),"PASS"),"FAIL")</x:f>
        <x:v>PASS</x:v>
      </x:c>
      <x:c r="H724" t="str">
        <x:f>G724</x:f>
        <x:v>PASS</x:v>
      </x:c>
    </x:row>
    <x:row r="725">
      <x:c r="B725" t="str">
        <x:v>A-PH-236</x:v>
      </x:c>
      <x:c r="C725" t="str">
        <x:v>gate</x:v>
      </x:c>
      <x:c r="D725" t="str">
        <x:v>PH-PEV-188</x:v>
      </x:c>
      <x:c r="E725" s="23" t="str">
        <x:v>OPEN</x:v>
      </x:c>
      <x:c r="F725" s="23" t="str">
        <x:f>'Release Gates'!I725</x:f>
        <x:v>OPEN</x:v>
      </x:c>
      <x:c r="G725" t="str">
        <x:f>IF(ABS(IFERROR(E725-F725,0))&lt;0.0001,IF(OR(ISTEXT(E725),ISTEXT(F725)),IF(E725=F725,"PASS","FAIL"),"PASS"),"FAIL")</x:f>
        <x:v>PASS</x:v>
      </x:c>
      <x:c r="H725" t="str">
        <x:f>G725</x:f>
        <x:v>PASS</x:v>
      </x:c>
    </x:row>
    <x:row r="726">
      <x:c r="B726" t="str">
        <x:v>A-PH-237</x:v>
      </x:c>
      <x:c r="C726" t="str">
        <x:v>gate</x:v>
      </x:c>
      <x:c r="D726" t="str">
        <x:v>PH-PEV-189</x:v>
      </x:c>
      <x:c r="E726" s="23" t="str">
        <x:v>OPEN</x:v>
      </x:c>
      <x:c r="F726" s="23" t="str">
        <x:f>'Release Gates'!I726</x:f>
        <x:v>OPEN</x:v>
      </x:c>
      <x:c r="G726" t="str">
        <x:f>IF(ABS(IFERROR(E726-F726,0))&lt;0.0001,IF(OR(ISTEXT(E726),ISTEXT(F726)),IF(E726=F726,"PASS","FAIL"),"PASS"),"FAIL")</x:f>
        <x:v>PASS</x:v>
      </x:c>
      <x:c r="H726" t="str">
        <x:f>G726</x:f>
        <x:v>PASS</x:v>
      </x:c>
    </x:row>
    <x:row r="727">
      <x:c r="B727" t="str">
        <x:v>A-PH-238</x:v>
      </x:c>
      <x:c r="C727" t="str">
        <x:v>gate</x:v>
      </x:c>
      <x:c r="D727" t="str">
        <x:v>PH-PEV-190</x:v>
      </x:c>
      <x:c r="E727" s="23" t="str">
        <x:v>OPEN</x:v>
      </x:c>
      <x:c r="F727" s="23" t="str">
        <x:f>'Release Gates'!I727</x:f>
        <x:v>OPEN</x:v>
      </x:c>
      <x:c r="G727" t="str">
        <x:f>IF(ABS(IFERROR(E727-F727,0))&lt;0.0001,IF(OR(ISTEXT(E727),ISTEXT(F727)),IF(E727=F727,"PASS","FAIL"),"PASS"),"FAIL")</x:f>
        <x:v>PASS</x:v>
      </x:c>
      <x:c r="H727" t="str">
        <x:f>G727</x:f>
        <x:v>PASS</x:v>
      </x:c>
    </x:row>
    <x:row r="728">
      <x:c r="B728" t="str">
        <x:v>A-PH-239</x:v>
      </x:c>
      <x:c r="C728" t="str">
        <x:v>gate</x:v>
      </x:c>
      <x:c r="D728" t="str">
        <x:v>PH-PEV-191</x:v>
      </x:c>
      <x:c r="E728" s="23" t="str">
        <x:v>OPEN</x:v>
      </x:c>
      <x:c r="F728" s="23" t="str">
        <x:f>'Release Gates'!I728</x:f>
        <x:v>OPEN</x:v>
      </x:c>
      <x:c r="G728" t="str">
        <x:f>IF(ABS(IFERROR(E728-F728,0))&lt;0.0001,IF(OR(ISTEXT(E728),ISTEXT(F728)),IF(E728=F728,"PASS","FAIL"),"PASS"),"FAIL")</x:f>
        <x:v>PASS</x:v>
      </x:c>
      <x:c r="H728" t="str">
        <x:f>G728</x:f>
        <x:v>PASS</x:v>
      </x:c>
    </x:row>
    <x:row r="729">
      <x:c r="B729" t="str">
        <x:v>A-PH-240</x:v>
      </x:c>
      <x:c r="C729" t="str">
        <x:v>gate</x:v>
      </x:c>
      <x:c r="D729" t="str">
        <x:v>PH-PEV-192</x:v>
      </x:c>
      <x:c r="E729" s="23" t="str">
        <x:v>OPEN</x:v>
      </x:c>
      <x:c r="F729" s="23" t="str">
        <x:f>'Release Gates'!I729</x:f>
        <x:v>OPEN</x:v>
      </x:c>
      <x:c r="G729" t="str">
        <x:f>IF(ABS(IFERROR(E729-F729,0))&lt;0.0001,IF(OR(ISTEXT(E729),ISTEXT(F729)),IF(E729=F729,"PASS","FAIL"),"PASS"),"FAIL")</x:f>
        <x:v>PASS</x:v>
      </x:c>
      <x:c r="H729" t="str">
        <x:f>G729</x:f>
        <x:v>PASS</x:v>
      </x:c>
    </x:row>
    <x:row r="730">
      <x:c r="B730" t="str">
        <x:v>A-PH-241</x:v>
      </x:c>
      <x:c r="C730" t="str">
        <x:v>gate</x:v>
      </x:c>
      <x:c r="D730" t="str">
        <x:v>PH-SEV-001</x:v>
      </x:c>
      <x:c r="E730" s="23" t="str">
        <x:v>OPEN</x:v>
      </x:c>
      <x:c r="F730" s="23" t="str">
        <x:f>'Release Gates'!I730</x:f>
        <x:v>OPEN</x:v>
      </x:c>
      <x:c r="G730" t="str">
        <x:f>IF(ABS(IFERROR(E730-F730,0))&lt;0.0001,IF(OR(ISTEXT(E730),ISTEXT(F730)),IF(E730=F730,"PASS","FAIL"),"PASS"),"FAIL")</x:f>
        <x:v>PASS</x:v>
      </x:c>
      <x:c r="H730" t="str">
        <x:f>G730</x:f>
        <x:v>PASS</x:v>
      </x:c>
    </x:row>
    <x:row r="731">
      <x:c r="B731" t="str">
        <x:v>A-PH-242</x:v>
      </x:c>
      <x:c r="C731" t="str">
        <x:v>gate</x:v>
      </x:c>
      <x:c r="D731" t="str">
        <x:v>PH-SEV-002</x:v>
      </x:c>
      <x:c r="E731" s="23" t="str">
        <x:v>OPEN</x:v>
      </x:c>
      <x:c r="F731" s="23" t="str">
        <x:f>'Release Gates'!I731</x:f>
        <x:v>OPEN</x:v>
      </x:c>
      <x:c r="G731" t="str">
        <x:f>IF(ABS(IFERROR(E731-F731,0))&lt;0.0001,IF(OR(ISTEXT(E731),ISTEXT(F731)),IF(E731=F731,"PASS","FAIL"),"PASS"),"FAIL")</x:f>
        <x:v>PASS</x:v>
      </x:c>
      <x:c r="H731" t="str">
        <x:f>G731</x:f>
        <x:v>PASS</x:v>
      </x:c>
    </x:row>
    <x:row r="732">
      <x:c r="B732" t="str">
        <x:v>A-PH-243</x:v>
      </x:c>
      <x:c r="C732" t="str">
        <x:v>gate</x:v>
      </x:c>
      <x:c r="D732" t="str">
        <x:v>PH-SEV-003</x:v>
      </x:c>
      <x:c r="E732" s="23" t="str">
        <x:v>OPEN</x:v>
      </x:c>
      <x:c r="F732" s="23" t="str">
        <x:f>'Release Gates'!I732</x:f>
        <x:v>OPEN</x:v>
      </x:c>
      <x:c r="G732" t="str">
        <x:f>IF(ABS(IFERROR(E732-F732,0))&lt;0.0001,IF(OR(ISTEXT(E732),ISTEXT(F732)),IF(E732=F732,"PASS","FAIL"),"PASS"),"FAIL")</x:f>
        <x:v>PASS</x:v>
      </x:c>
      <x:c r="H732" t="str">
        <x:f>G732</x:f>
        <x:v>PASS</x:v>
      </x:c>
    </x:row>
    <x:row r="733">
      <x:c r="B733" t="str">
        <x:v>A-PH-244</x:v>
      </x:c>
      <x:c r="C733" t="str">
        <x:v>gate</x:v>
      </x:c>
      <x:c r="D733" t="str">
        <x:v>PH-SEV-004</x:v>
      </x:c>
      <x:c r="E733" s="23" t="str">
        <x:v>OPEN</x:v>
      </x:c>
      <x:c r="F733" s="23" t="str">
        <x:f>'Release Gates'!I733</x:f>
        <x:v>OPEN</x:v>
      </x:c>
      <x:c r="G733" t="str">
        <x:f>IF(ABS(IFERROR(E733-F733,0))&lt;0.0001,IF(OR(ISTEXT(E733),ISTEXT(F733)),IF(E733=F733,"PASS","FAIL"),"PASS"),"FAIL")</x:f>
        <x:v>PASS</x:v>
      </x:c>
      <x:c r="H733" t="str">
        <x:f>G733</x:f>
        <x:v>PASS</x:v>
      </x:c>
    </x:row>
    <x:row r="734">
      <x:c r="B734" t="str">
        <x:v>A-PH-245</x:v>
      </x:c>
      <x:c r="C734" t="str">
        <x:v>gate</x:v>
      </x:c>
      <x:c r="D734" t="str">
        <x:v>PH-SEV-005</x:v>
      </x:c>
      <x:c r="E734" s="23" t="str">
        <x:v>OPEN</x:v>
      </x:c>
      <x:c r="F734" s="23" t="str">
        <x:f>'Release Gates'!I734</x:f>
        <x:v>OPEN</x:v>
      </x:c>
      <x:c r="G734" t="str">
        <x:f>IF(ABS(IFERROR(E734-F734,0))&lt;0.0001,IF(OR(ISTEXT(E734),ISTEXT(F734)),IF(E734=F734,"PASS","FAIL"),"PASS"),"FAIL")</x:f>
        <x:v>PASS</x:v>
      </x:c>
      <x:c r="H734" t="str">
        <x:f>G734</x:f>
        <x:v>PASS</x:v>
      </x:c>
    </x:row>
    <x:row r="735">
      <x:c r="B735" t="str">
        <x:v>A-PH-246</x:v>
      </x:c>
      <x:c r="C735" t="str">
        <x:v>gate</x:v>
      </x:c>
      <x:c r="D735" t="str">
        <x:v>PH-SEV-006</x:v>
      </x:c>
      <x:c r="E735" s="23" t="str">
        <x:v>OPEN</x:v>
      </x:c>
      <x:c r="F735" s="23" t="str">
        <x:f>'Release Gates'!I735</x:f>
        <x:v>OPEN</x:v>
      </x:c>
      <x:c r="G735" t="str">
        <x:f>IF(ABS(IFERROR(E735-F735,0))&lt;0.0001,IF(OR(ISTEXT(E735),ISTEXT(F735)),IF(E735=F735,"PASS","FAIL"),"PASS"),"FAIL")</x:f>
        <x:v>PASS</x:v>
      </x:c>
      <x:c r="H735" t="str">
        <x:f>G735</x:f>
        <x:v>PASS</x:v>
      </x:c>
    </x:row>
    <x:row r="736">
      <x:c r="B736" t="str">
        <x:v>A-PH-247</x:v>
      </x:c>
      <x:c r="C736" t="str">
        <x:v>gate</x:v>
      </x:c>
      <x:c r="D736" t="str">
        <x:v>PH-SEV-007</x:v>
      </x:c>
      <x:c r="E736" s="23" t="str">
        <x:v>OPEN</x:v>
      </x:c>
      <x:c r="F736" s="23" t="str">
        <x:f>'Release Gates'!I736</x:f>
        <x:v>OPEN</x:v>
      </x:c>
      <x:c r="G736" t="str">
        <x:f>IF(ABS(IFERROR(E736-F736,0))&lt;0.0001,IF(OR(ISTEXT(E736),ISTEXT(F736)),IF(E736=F736,"PASS","FAIL"),"PASS"),"FAIL")</x:f>
        <x:v>PASS</x:v>
      </x:c>
      <x:c r="H736" t="str">
        <x:f>G736</x:f>
        <x:v>PASS</x:v>
      </x:c>
    </x:row>
    <x:row r="737">
      <x:c r="B737" t="str">
        <x:v>A-PH-248</x:v>
      </x:c>
      <x:c r="C737" t="str">
        <x:v>gate</x:v>
      </x:c>
      <x:c r="D737" t="str">
        <x:v>PH-SEV-008</x:v>
      </x:c>
      <x:c r="E737" s="23" t="str">
        <x:v>OPEN</x:v>
      </x:c>
      <x:c r="F737" s="23" t="str">
        <x:f>'Release Gates'!I737</x:f>
        <x:v>OPEN</x:v>
      </x:c>
      <x:c r="G737" t="str">
        <x:f>IF(ABS(IFERROR(E737-F737,0))&lt;0.0001,IF(OR(ISTEXT(E737),ISTEXT(F737)),IF(E737=F737,"PASS","FAIL"),"PASS"),"FAIL")</x:f>
        <x:v>PASS</x:v>
      </x:c>
      <x:c r="H737" t="str">
        <x:f>G737</x:f>
        <x:v>PASS</x:v>
      </x:c>
    </x:row>
    <x:row r="738">
      <x:c r="B738" t="str">
        <x:v>A-PH-249</x:v>
      </x:c>
      <x:c r="C738" t="str">
        <x:v>gate</x:v>
      </x:c>
      <x:c r="D738" t="str">
        <x:v>PH-SEV-009</x:v>
      </x:c>
      <x:c r="E738" s="23" t="str">
        <x:v>OPEN</x:v>
      </x:c>
      <x:c r="F738" s="23" t="str">
        <x:f>'Release Gates'!I738</x:f>
        <x:v>OPEN</x:v>
      </x:c>
      <x:c r="G738" t="str">
        <x:f>IF(ABS(IFERROR(E738-F738,0))&lt;0.0001,IF(OR(ISTEXT(E738),ISTEXT(F738)),IF(E738=F738,"PASS","FAIL"),"PASS"),"FAIL")</x:f>
        <x:v>PASS</x:v>
      </x:c>
      <x:c r="H738" t="str">
        <x:f>G738</x:f>
        <x:v>PASS</x:v>
      </x:c>
    </x:row>
    <x:row r="739">
      <x:c r="B739" t="str">
        <x:v>A-PH-250</x:v>
      </x:c>
      <x:c r="C739" t="str">
        <x:v>gate</x:v>
      </x:c>
      <x:c r="D739" t="str">
        <x:v>PH-SEV-010</x:v>
      </x:c>
      <x:c r="E739" s="23" t="str">
        <x:v>OPEN</x:v>
      </x:c>
      <x:c r="F739" s="23" t="str">
        <x:f>'Release Gates'!I739</x:f>
        <x:v>OPEN</x:v>
      </x:c>
      <x:c r="G739" t="str">
        <x:f>IF(ABS(IFERROR(E739-F739,0))&lt;0.0001,IF(OR(ISTEXT(E739),ISTEXT(F739)),IF(E739=F739,"PASS","FAIL"),"PASS"),"FAIL")</x:f>
        <x:v>PASS</x:v>
      </x:c>
      <x:c r="H739" t="str">
        <x:f>G739</x:f>
        <x:v>PASS</x:v>
      </x:c>
    </x:row>
    <x:row r="740">
      <x:c r="B740" t="str">
        <x:v>A-PH-251</x:v>
      </x:c>
      <x:c r="C740" t="str">
        <x:v>gate</x:v>
      </x:c>
      <x:c r="D740" t="str">
        <x:v>PH-SEV-011</x:v>
      </x:c>
      <x:c r="E740" s="23" t="str">
        <x:v>OPEN</x:v>
      </x:c>
      <x:c r="F740" s="23" t="str">
        <x:f>'Release Gates'!I740</x:f>
        <x:v>OPEN</x:v>
      </x:c>
      <x:c r="G740" t="str">
        <x:f>IF(ABS(IFERROR(E740-F740,0))&lt;0.0001,IF(OR(ISTEXT(E740),ISTEXT(F740)),IF(E740=F740,"PASS","FAIL"),"PASS"),"FAIL")</x:f>
        <x:v>PASS</x:v>
      </x:c>
      <x:c r="H740" t="str">
        <x:f>G740</x:f>
        <x:v>PASS</x:v>
      </x:c>
    </x:row>
    <x:row r="741">
      <x:c r="B741" t="str">
        <x:v>A-PH-252</x:v>
      </x:c>
      <x:c r="C741" t="str">
        <x:v>gate</x:v>
      </x:c>
      <x:c r="D741" t="str">
        <x:v>PH-SEV-012</x:v>
      </x:c>
      <x:c r="E741" s="23" t="str">
        <x:v>OPEN</x:v>
      </x:c>
      <x:c r="F741" s="23" t="str">
        <x:f>'Release Gates'!I741</x:f>
        <x:v>OPEN</x:v>
      </x:c>
      <x:c r="G741" t="str">
        <x:f>IF(ABS(IFERROR(E741-F741,0))&lt;0.0001,IF(OR(ISTEXT(E741),ISTEXT(F741)),IF(E741=F741,"PASS","FAIL"),"PASS"),"FAIL")</x:f>
        <x:v>PASS</x:v>
      </x:c>
      <x:c r="H741" t="str">
        <x:f>G741</x:f>
        <x:v>PASS</x:v>
      </x:c>
    </x:row>
    <x:row r="742">
      <x:c r="B742" t="str">
        <x:v>A-PH-253</x:v>
      </x:c>
      <x:c r="C742" t="str">
        <x:v>gate</x:v>
      </x:c>
      <x:c r="D742" t="str">
        <x:v>PH-SEV-013</x:v>
      </x:c>
      <x:c r="E742" s="23" t="str">
        <x:v>OPEN</x:v>
      </x:c>
      <x:c r="F742" s="23" t="str">
        <x:f>'Release Gates'!I742</x:f>
        <x:v>OPEN</x:v>
      </x:c>
      <x:c r="G742" t="str">
        <x:f>IF(ABS(IFERROR(E742-F742,0))&lt;0.0001,IF(OR(ISTEXT(E742),ISTEXT(F742)),IF(E742=F742,"PASS","FAIL"),"PASS"),"FAIL")</x:f>
        <x:v>PASS</x:v>
      </x:c>
      <x:c r="H742" t="str">
        <x:f>G742</x:f>
        <x:v>PASS</x:v>
      </x:c>
    </x:row>
    <x:row r="743">
      <x:c r="B743" t="str">
        <x:v>A-PH-254</x:v>
      </x:c>
      <x:c r="C743" t="str">
        <x:v>gate</x:v>
      </x:c>
      <x:c r="D743" t="str">
        <x:v>PH-SEV-014</x:v>
      </x:c>
      <x:c r="E743" s="23" t="str">
        <x:v>OPEN</x:v>
      </x:c>
      <x:c r="F743" s="23" t="str">
        <x:f>'Release Gates'!I743</x:f>
        <x:v>OPEN</x:v>
      </x:c>
      <x:c r="G743" t="str">
        <x:f>IF(ABS(IFERROR(E743-F743,0))&lt;0.0001,IF(OR(ISTEXT(E743),ISTEXT(F743)),IF(E743=F743,"PASS","FAIL"),"PASS"),"FAIL")</x:f>
        <x:v>PASS</x:v>
      </x:c>
      <x:c r="H743" t="str">
        <x:f>G743</x:f>
        <x:v>PASS</x:v>
      </x:c>
    </x:row>
    <x:row r="744">
      <x:c r="B744" t="str">
        <x:v>A-PH-255</x:v>
      </x:c>
      <x:c r="C744" t="str">
        <x:v>gate</x:v>
      </x:c>
      <x:c r="D744" t="str">
        <x:v>PH-SEV-015</x:v>
      </x:c>
      <x:c r="E744" s="23" t="str">
        <x:v>OPEN</x:v>
      </x:c>
      <x:c r="F744" s="23" t="str">
        <x:f>'Release Gates'!I744</x:f>
        <x:v>OPEN</x:v>
      </x:c>
      <x:c r="G744" t="str">
        <x:f>IF(ABS(IFERROR(E744-F744,0))&lt;0.0001,IF(OR(ISTEXT(E744),ISTEXT(F744)),IF(E744=F744,"PASS","FAIL"),"PASS"),"FAIL")</x:f>
        <x:v>PASS</x:v>
      </x:c>
      <x:c r="H744" t="str">
        <x:f>G744</x:f>
        <x:v>PASS</x:v>
      </x:c>
    </x:row>
    <x:row r="745">
      <x:c r="B745" t="str">
        <x:v>A-PH-256</x:v>
      </x:c>
      <x:c r="C745" t="str">
        <x:v>gate</x:v>
      </x:c>
      <x:c r="D745" t="str">
        <x:v>PH-SEV-016</x:v>
      </x:c>
      <x:c r="E745" s="23" t="str">
        <x:v>OPEN</x:v>
      </x:c>
      <x:c r="F745" s="23" t="str">
        <x:f>'Release Gates'!I745</x:f>
        <x:v>OPEN</x:v>
      </x:c>
      <x:c r="G745" t="str">
        <x:f>IF(ABS(IFERROR(E745-F745,0))&lt;0.0001,IF(OR(ISTEXT(E745),ISTEXT(F745)),IF(E745=F745,"PASS","FAIL"),"PASS"),"FAIL")</x:f>
        <x:v>PASS</x:v>
      </x:c>
      <x:c r="H745" t="str">
        <x:f>G745</x:f>
        <x:v>PASS</x:v>
      </x:c>
    </x:row>
    <x:row r="746">
      <x:c r="B746" t="str">
        <x:v>A-PH-257</x:v>
      </x:c>
      <x:c r="C746" t="str">
        <x:v>gate</x:v>
      </x:c>
      <x:c r="D746" t="str">
        <x:v>PH-SEV-017</x:v>
      </x:c>
      <x:c r="E746" s="23" t="str">
        <x:v>OPEN</x:v>
      </x:c>
      <x:c r="F746" s="23" t="str">
        <x:f>'Release Gates'!I746</x:f>
        <x:v>OPEN</x:v>
      </x:c>
      <x:c r="G746" t="str">
        <x:f>IF(ABS(IFERROR(E746-F746,0))&lt;0.0001,IF(OR(ISTEXT(E746),ISTEXT(F746)),IF(E746=F746,"PASS","FAIL"),"PASS"),"FAIL")</x:f>
        <x:v>PASS</x:v>
      </x:c>
      <x:c r="H746" t="str">
        <x:f>G746</x:f>
        <x:v>PASS</x:v>
      </x:c>
    </x:row>
    <x:row r="747">
      <x:c r="B747" t="str">
        <x:v>A-PH-258</x:v>
      </x:c>
      <x:c r="C747" t="str">
        <x:v>gate</x:v>
      </x:c>
      <x:c r="D747" t="str">
        <x:v>PH-SEV-018</x:v>
      </x:c>
      <x:c r="E747" s="23" t="str">
        <x:v>OPEN</x:v>
      </x:c>
      <x:c r="F747" s="23" t="str">
        <x:f>'Release Gates'!I747</x:f>
        <x:v>OPEN</x:v>
      </x:c>
      <x:c r="G747" t="str">
        <x:f>IF(ABS(IFERROR(E747-F747,0))&lt;0.0001,IF(OR(ISTEXT(E747),ISTEXT(F747)),IF(E747=F747,"PASS","FAIL"),"PASS"),"FAIL")</x:f>
        <x:v>PASS</x:v>
      </x:c>
      <x:c r="H747" t="str">
        <x:f>G747</x:f>
        <x:v>PASS</x:v>
      </x:c>
    </x:row>
    <x:row r="748">
      <x:c r="B748" t="str">
        <x:v>A-PH-259</x:v>
      </x:c>
      <x:c r="C748" t="str">
        <x:v>gate</x:v>
      </x:c>
      <x:c r="D748" t="str">
        <x:v>PH-SEV-019</x:v>
      </x:c>
      <x:c r="E748" s="23" t="str">
        <x:v>OPEN</x:v>
      </x:c>
      <x:c r="F748" s="23" t="str">
        <x:f>'Release Gates'!I748</x:f>
        <x:v>OPEN</x:v>
      </x:c>
      <x:c r="G748" t="str">
        <x:f>IF(ABS(IFERROR(E748-F748,0))&lt;0.0001,IF(OR(ISTEXT(E748),ISTEXT(F748)),IF(E748=F748,"PASS","FAIL"),"PASS"),"FAIL")</x:f>
        <x:v>PASS</x:v>
      </x:c>
      <x:c r="H748" t="str">
        <x:f>G748</x:f>
        <x:v>PASS</x:v>
      </x:c>
    </x:row>
    <x:row r="749">
      <x:c r="B749" t="str">
        <x:v>A-PH-260</x:v>
      </x:c>
      <x:c r="C749" t="str">
        <x:v>gate</x:v>
      </x:c>
      <x:c r="D749" t="str">
        <x:v>PH-SEV-020</x:v>
      </x:c>
      <x:c r="E749" s="23" t="str">
        <x:v>OPEN</x:v>
      </x:c>
      <x:c r="F749" s="23" t="str">
        <x:f>'Release Gates'!I749</x:f>
        <x:v>OPEN</x:v>
      </x:c>
      <x:c r="G749" t="str">
        <x:f>IF(ABS(IFERROR(E749-F749,0))&lt;0.0001,IF(OR(ISTEXT(E749),ISTEXT(F749)),IF(E749=F749,"PASS","FAIL"),"PASS"),"FAIL")</x:f>
        <x:v>PASS</x:v>
      </x:c>
      <x:c r="H749" t="str">
        <x:f>G749</x:f>
        <x:v>PASS</x:v>
      </x:c>
    </x:row>
    <x:row r="750">
      <x:c r="B750" t="str">
        <x:v>A-PH-261</x:v>
      </x:c>
      <x:c r="C750" t="str">
        <x:v>gate</x:v>
      </x:c>
      <x:c r="D750" t="str">
        <x:v>PH-SEV-021</x:v>
      </x:c>
      <x:c r="E750" s="23" t="str">
        <x:v>OPEN</x:v>
      </x:c>
      <x:c r="F750" s="23" t="str">
        <x:f>'Release Gates'!I750</x:f>
        <x:v>OPEN</x:v>
      </x:c>
      <x:c r="G750" t="str">
        <x:f>IF(ABS(IFERROR(E750-F750,0))&lt;0.0001,IF(OR(ISTEXT(E750),ISTEXT(F750)),IF(E750=F750,"PASS","FAIL"),"PASS"),"FAIL")</x:f>
        <x:v>PASS</x:v>
      </x:c>
      <x:c r="H750" t="str">
        <x:f>G750</x:f>
        <x:v>PASS</x:v>
      </x:c>
    </x:row>
    <x:row r="751">
      <x:c r="B751" t="str">
        <x:v>A-PH-262</x:v>
      </x:c>
      <x:c r="C751" t="str">
        <x:v>gate</x:v>
      </x:c>
      <x:c r="D751" t="str">
        <x:v>PH-SEV-022</x:v>
      </x:c>
      <x:c r="E751" s="23" t="str">
        <x:v>OPEN</x:v>
      </x:c>
      <x:c r="F751" s="23" t="str">
        <x:f>'Release Gates'!I751</x:f>
        <x:v>OPEN</x:v>
      </x:c>
      <x:c r="G751" t="str">
        <x:f>IF(ABS(IFERROR(E751-F751,0))&lt;0.0001,IF(OR(ISTEXT(E751),ISTEXT(F751)),IF(E751=F751,"PASS","FAIL"),"PASS"),"FAIL")</x:f>
        <x:v>PASS</x:v>
      </x:c>
      <x:c r="H751" t="str">
        <x:f>G751</x:f>
        <x:v>PASS</x:v>
      </x:c>
    </x:row>
    <x:row r="752">
      <x:c r="B752" t="str">
        <x:v>A-PH-263</x:v>
      </x:c>
      <x:c r="C752" t="str">
        <x:v>gate</x:v>
      </x:c>
      <x:c r="D752" t="str">
        <x:v>PH-SEV-023</x:v>
      </x:c>
      <x:c r="E752" s="23" t="str">
        <x:v>OPEN</x:v>
      </x:c>
      <x:c r="F752" s="23" t="str">
        <x:f>'Release Gates'!I752</x:f>
        <x:v>OPEN</x:v>
      </x:c>
      <x:c r="G752" t="str">
        <x:f>IF(ABS(IFERROR(E752-F752,0))&lt;0.0001,IF(OR(ISTEXT(E752),ISTEXT(F752)),IF(E752=F752,"PASS","FAIL"),"PASS"),"FAIL")</x:f>
        <x:v>PASS</x:v>
      </x:c>
      <x:c r="H752" t="str">
        <x:f>G752</x:f>
        <x:v>PASS</x:v>
      </x:c>
    </x:row>
    <x:row r="753">
      <x:c r="B753" t="str">
        <x:v>A-PH-264</x:v>
      </x:c>
      <x:c r="C753" t="str">
        <x:v>gate</x:v>
      </x:c>
      <x:c r="D753" t="str">
        <x:v>PH-SEV-024</x:v>
      </x:c>
      <x:c r="E753" s="23" t="str">
        <x:v>OPEN</x:v>
      </x:c>
      <x:c r="F753" s="23" t="str">
        <x:f>'Release Gates'!I753</x:f>
        <x:v>OPEN</x:v>
      </x:c>
      <x:c r="G753" t="str">
        <x:f>IF(ABS(IFERROR(E753-F753,0))&lt;0.0001,IF(OR(ISTEXT(E753),ISTEXT(F753)),IF(E753=F753,"PASS","FAIL"),"PASS"),"FAIL")</x:f>
        <x:v>PASS</x:v>
      </x:c>
      <x:c r="H753" t="str">
        <x:f>G753</x:f>
        <x:v>PASS</x:v>
      </x:c>
    </x:row>
    <x:row r="754">
      <x:c r="B754" t="str">
        <x:v>A-PH-265</x:v>
      </x:c>
      <x:c r="C754" t="str">
        <x:v>gate</x:v>
      </x:c>
      <x:c r="D754" t="str">
        <x:v>PH-SEV-025</x:v>
      </x:c>
      <x:c r="E754" s="23" t="str">
        <x:v>OPEN</x:v>
      </x:c>
      <x:c r="F754" s="23" t="str">
        <x:f>'Release Gates'!I754</x:f>
        <x:v>OPEN</x:v>
      </x:c>
      <x:c r="G754" t="str">
        <x:f>IF(ABS(IFERROR(E754-F754,0))&lt;0.0001,IF(OR(ISTEXT(E754),ISTEXT(F754)),IF(E754=F754,"PASS","FAIL"),"PASS"),"FAIL")</x:f>
        <x:v>PASS</x:v>
      </x:c>
      <x:c r="H754" t="str">
        <x:f>G754</x:f>
        <x:v>PASS</x:v>
      </x:c>
    </x:row>
    <x:row r="755">
      <x:c r="B755" t="str">
        <x:v>A-PH-266</x:v>
      </x:c>
      <x:c r="C755" t="str">
        <x:v>gate</x:v>
      </x:c>
      <x:c r="D755" t="str">
        <x:v>PH-SEV-026</x:v>
      </x:c>
      <x:c r="E755" s="23" t="str">
        <x:v>OPEN</x:v>
      </x:c>
      <x:c r="F755" s="23" t="str">
        <x:f>'Release Gates'!I755</x:f>
        <x:v>OPEN</x:v>
      </x:c>
      <x:c r="G755" t="str">
        <x:f>IF(ABS(IFERROR(E755-F755,0))&lt;0.0001,IF(OR(ISTEXT(E755),ISTEXT(F755)),IF(E755=F755,"PASS","FAIL"),"PASS"),"FAIL")</x:f>
        <x:v>PASS</x:v>
      </x:c>
      <x:c r="H755" t="str">
        <x:f>G755</x:f>
        <x:v>PASS</x:v>
      </x:c>
    </x:row>
    <x:row r="756">
      <x:c r="B756" t="str">
        <x:v>A-PH-267</x:v>
      </x:c>
      <x:c r="C756" t="str">
        <x:v>gate</x:v>
      </x:c>
      <x:c r="D756" t="str">
        <x:v>PH-SEV-027</x:v>
      </x:c>
      <x:c r="E756" s="23" t="str">
        <x:v>OPEN</x:v>
      </x:c>
      <x:c r="F756" s="23" t="str">
        <x:f>'Release Gates'!I756</x:f>
        <x:v>OPEN</x:v>
      </x:c>
      <x:c r="G756" t="str">
        <x:f>IF(ABS(IFERROR(E756-F756,0))&lt;0.0001,IF(OR(ISTEXT(E756),ISTEXT(F756)),IF(E756=F756,"PASS","FAIL"),"PASS"),"FAIL")</x:f>
        <x:v>PASS</x:v>
      </x:c>
      <x:c r="H756" t="str">
        <x:f>G756</x:f>
        <x:v>PASS</x:v>
      </x:c>
    </x:row>
    <x:row r="757">
      <x:c r="B757" t="str">
        <x:v>A-PH-268</x:v>
      </x:c>
      <x:c r="C757" t="str">
        <x:v>gate</x:v>
      </x:c>
      <x:c r="D757" t="str">
        <x:v>PH-SEV-028</x:v>
      </x:c>
      <x:c r="E757" s="23" t="str">
        <x:v>OPEN</x:v>
      </x:c>
      <x:c r="F757" s="23" t="str">
        <x:f>'Release Gates'!I757</x:f>
        <x:v>OPEN</x:v>
      </x:c>
      <x:c r="G757" t="str">
        <x:f>IF(ABS(IFERROR(E757-F757,0))&lt;0.0001,IF(OR(ISTEXT(E757),ISTEXT(F757)),IF(E757=F757,"PASS","FAIL"),"PASS"),"FAIL")</x:f>
        <x:v>PASS</x:v>
      </x:c>
      <x:c r="H757" t="str">
        <x:f>G757</x:f>
        <x:v>PASS</x:v>
      </x:c>
    </x:row>
    <x:row r="758">
      <x:c r="B758" t="str">
        <x:v>A-PH-269</x:v>
      </x:c>
      <x:c r="C758" t="str">
        <x:v>gate</x:v>
      </x:c>
      <x:c r="D758" t="str">
        <x:v>PH-SEV-029</x:v>
      </x:c>
      <x:c r="E758" s="23" t="str">
        <x:v>OPEN</x:v>
      </x:c>
      <x:c r="F758" s="23" t="str">
        <x:f>'Release Gates'!I758</x:f>
        <x:v>OPEN</x:v>
      </x:c>
      <x:c r="G758" t="str">
        <x:f>IF(ABS(IFERROR(E758-F758,0))&lt;0.0001,IF(OR(ISTEXT(E758),ISTEXT(F758)),IF(E758=F758,"PASS","FAIL"),"PASS"),"FAIL")</x:f>
        <x:v>PASS</x:v>
      </x:c>
      <x:c r="H758" t="str">
        <x:f>G758</x:f>
        <x:v>PASS</x:v>
      </x:c>
    </x:row>
    <x:row r="759">
      <x:c r="B759" t="str">
        <x:v>A-PH-270</x:v>
      </x:c>
      <x:c r="C759" t="str">
        <x:v>gate</x:v>
      </x:c>
      <x:c r="D759" t="str">
        <x:v>PH-SEV-030</x:v>
      </x:c>
      <x:c r="E759" s="23" t="str">
        <x:v>OPEN</x:v>
      </x:c>
      <x:c r="F759" s="23" t="str">
        <x:f>'Release Gates'!I759</x:f>
        <x:v>OPEN</x:v>
      </x:c>
      <x:c r="G759" t="str">
        <x:f>IF(ABS(IFERROR(E759-F759,0))&lt;0.0001,IF(OR(ISTEXT(E759),ISTEXT(F759)),IF(E759=F759,"PASS","FAIL"),"PASS"),"FAIL")</x:f>
        <x:v>PASS</x:v>
      </x:c>
      <x:c r="H759" t="str">
        <x:f>G759</x:f>
        <x:v>PASS</x:v>
      </x:c>
    </x:row>
    <x:row r="760">
      <x:c r="B760" t="str">
        <x:v>A-PH-271</x:v>
      </x:c>
      <x:c r="C760" t="str">
        <x:v>gate</x:v>
      </x:c>
      <x:c r="D760" t="str">
        <x:v>PH-SEV-031</x:v>
      </x:c>
      <x:c r="E760" s="23" t="str">
        <x:v>OPEN</x:v>
      </x:c>
      <x:c r="F760" s="23" t="str">
        <x:f>'Release Gates'!I760</x:f>
        <x:v>OPEN</x:v>
      </x:c>
      <x:c r="G760" t="str">
        <x:f>IF(ABS(IFERROR(E760-F760,0))&lt;0.0001,IF(OR(ISTEXT(E760),ISTEXT(F760)),IF(E760=F760,"PASS","FAIL"),"PASS"),"FAIL")</x:f>
        <x:v>PASS</x:v>
      </x:c>
      <x:c r="H760" t="str">
        <x:f>G760</x:f>
        <x:v>PASS</x:v>
      </x:c>
    </x:row>
    <x:row r="761">
      <x:c r="B761" t="str">
        <x:v>A-PH-272</x:v>
      </x:c>
      <x:c r="C761" t="str">
        <x:v>gate</x:v>
      </x:c>
      <x:c r="D761" t="str">
        <x:v>PH-SEV-032</x:v>
      </x:c>
      <x:c r="E761" s="23" t="str">
        <x:v>OPEN</x:v>
      </x:c>
      <x:c r="F761" s="23" t="str">
        <x:f>'Release Gates'!I761</x:f>
        <x:v>OPEN</x:v>
      </x:c>
      <x:c r="G761" t="str">
        <x:f>IF(ABS(IFERROR(E761-F761,0))&lt;0.0001,IF(OR(ISTEXT(E761),ISTEXT(F761)),IF(E761=F761,"PASS","FAIL"),"PASS"),"FAIL")</x:f>
        <x:v>PASS</x:v>
      </x:c>
      <x:c r="H761" t="str">
        <x:f>G761</x:f>
        <x:v>PASS</x:v>
      </x:c>
    </x:row>
    <x:row r="762">
      <x:c r="B762" t="str">
        <x:v>A-PH-273</x:v>
      </x:c>
      <x:c r="C762" t="str">
        <x:v>gate</x:v>
      </x:c>
      <x:c r="D762" t="str">
        <x:v>PH-SEV-033</x:v>
      </x:c>
      <x:c r="E762" s="23" t="str">
        <x:v>OPEN</x:v>
      </x:c>
      <x:c r="F762" s="23" t="str">
        <x:f>'Release Gates'!I762</x:f>
        <x:v>OPEN</x:v>
      </x:c>
      <x:c r="G762" t="str">
        <x:f>IF(ABS(IFERROR(E762-F762,0))&lt;0.0001,IF(OR(ISTEXT(E762),ISTEXT(F762)),IF(E762=F762,"PASS","FAIL"),"PASS"),"FAIL")</x:f>
        <x:v>PASS</x:v>
      </x:c>
      <x:c r="H762" t="str">
        <x:f>G762</x:f>
        <x:v>PASS</x:v>
      </x:c>
    </x:row>
    <x:row r="763">
      <x:c r="B763" t="str">
        <x:v>A-PH-274</x:v>
      </x:c>
      <x:c r="C763" t="str">
        <x:v>gate</x:v>
      </x:c>
      <x:c r="D763" t="str">
        <x:v>PH-SEV-034</x:v>
      </x:c>
      <x:c r="E763" s="23" t="str">
        <x:v>OPEN</x:v>
      </x:c>
      <x:c r="F763" s="23" t="str">
        <x:f>'Release Gates'!I763</x:f>
        <x:v>OPEN</x:v>
      </x:c>
      <x:c r="G763" t="str">
        <x:f>IF(ABS(IFERROR(E763-F763,0))&lt;0.0001,IF(OR(ISTEXT(E763),ISTEXT(F763)),IF(E763=F763,"PASS","FAIL"),"PASS"),"FAIL")</x:f>
        <x:v>PASS</x:v>
      </x:c>
      <x:c r="H763" t="str">
        <x:f>G763</x:f>
        <x:v>PASS</x:v>
      </x:c>
    </x:row>
    <x:row r="764">
      <x:c r="B764" t="str">
        <x:v>A-PH-275</x:v>
      </x:c>
      <x:c r="C764" t="str">
        <x:v>gate</x:v>
      </x:c>
      <x:c r="D764" t="str">
        <x:v>PH-SEV-035</x:v>
      </x:c>
      <x:c r="E764" s="23" t="str">
        <x:v>OPEN</x:v>
      </x:c>
      <x:c r="F764" s="23" t="str">
        <x:f>'Release Gates'!I764</x:f>
        <x:v>OPEN</x:v>
      </x:c>
      <x:c r="G764" t="str">
        <x:f>IF(ABS(IFERROR(E764-F764,0))&lt;0.0001,IF(OR(ISTEXT(E764),ISTEXT(F764)),IF(E764=F764,"PASS","FAIL"),"PASS"),"FAIL")</x:f>
        <x:v>PASS</x:v>
      </x:c>
      <x:c r="H764" t="str">
        <x:f>G764</x:f>
        <x:v>PASS</x:v>
      </x:c>
    </x:row>
    <x:row r="765">
      <x:c r="B765" t="str">
        <x:v>A-PH-276</x:v>
      </x:c>
      <x:c r="C765" t="str">
        <x:v>gate</x:v>
      </x:c>
      <x:c r="D765" t="str">
        <x:v>PH-SEV-036</x:v>
      </x:c>
      <x:c r="E765" s="23" t="str">
        <x:v>OPEN</x:v>
      </x:c>
      <x:c r="F765" s="23" t="str">
        <x:f>'Release Gates'!I765</x:f>
        <x:v>OPEN</x:v>
      </x:c>
      <x:c r="G765" t="str">
        <x:f>IF(ABS(IFERROR(E765-F765,0))&lt;0.0001,IF(OR(ISTEXT(E765),ISTEXT(F765)),IF(E765=F765,"PASS","FAIL"),"PASS"),"FAIL")</x:f>
        <x:v>PASS</x:v>
      </x:c>
      <x:c r="H765" t="str">
        <x:f>G765</x:f>
        <x:v>PASS</x:v>
      </x:c>
    </x:row>
    <x:row r="766">
      <x:c r="B766" t="str">
        <x:v>A-PH-277</x:v>
      </x:c>
      <x:c r="C766" t="str">
        <x:v>gate</x:v>
      </x:c>
      <x:c r="D766" t="str">
        <x:v>PH-SEV-037</x:v>
      </x:c>
      <x:c r="E766" s="23" t="str">
        <x:v>OPEN</x:v>
      </x:c>
      <x:c r="F766" s="23" t="str">
        <x:f>'Release Gates'!I766</x:f>
        <x:v>OPEN</x:v>
      </x:c>
      <x:c r="G766" t="str">
        <x:f>IF(ABS(IFERROR(E766-F766,0))&lt;0.0001,IF(OR(ISTEXT(E766),ISTEXT(F766)),IF(E766=F766,"PASS","FAIL"),"PASS"),"FAIL")</x:f>
        <x:v>PASS</x:v>
      </x:c>
      <x:c r="H766" t="str">
        <x:f>G766</x:f>
        <x:v>PASS</x:v>
      </x:c>
    </x:row>
    <x:row r="767">
      <x:c r="B767" t="str">
        <x:v>A-PH-278</x:v>
      </x:c>
      <x:c r="C767" t="str">
        <x:v>gate</x:v>
      </x:c>
      <x:c r="D767" t="str">
        <x:v>PH-SEV-038</x:v>
      </x:c>
      <x:c r="E767" s="23" t="str">
        <x:v>OPEN</x:v>
      </x:c>
      <x:c r="F767" s="23" t="str">
        <x:f>'Release Gates'!I767</x:f>
        <x:v>OPEN</x:v>
      </x:c>
      <x:c r="G767" t="str">
        <x:f>IF(ABS(IFERROR(E767-F767,0))&lt;0.0001,IF(OR(ISTEXT(E767),ISTEXT(F767)),IF(E767=F767,"PASS","FAIL"),"PASS"),"FAIL")</x:f>
        <x:v>PASS</x:v>
      </x:c>
      <x:c r="H767" t="str">
        <x:f>G767</x:f>
        <x:v>PASS</x:v>
      </x:c>
    </x:row>
    <x:row r="768">
      <x:c r="B768" t="str">
        <x:v>A-PH-279</x:v>
      </x:c>
      <x:c r="C768" t="str">
        <x:v>gate</x:v>
      </x:c>
      <x:c r="D768" t="str">
        <x:v>PH-SEV-039</x:v>
      </x:c>
      <x:c r="E768" s="23" t="str">
        <x:v>OPEN</x:v>
      </x:c>
      <x:c r="F768" s="23" t="str">
        <x:f>'Release Gates'!I768</x:f>
        <x:v>OPEN</x:v>
      </x:c>
      <x:c r="G768" t="str">
        <x:f>IF(ABS(IFERROR(E768-F768,0))&lt;0.0001,IF(OR(ISTEXT(E768),ISTEXT(F768)),IF(E768=F768,"PASS","FAIL"),"PASS"),"FAIL")</x:f>
        <x:v>PASS</x:v>
      </x:c>
      <x:c r="H768" t="str">
        <x:f>G768</x:f>
        <x:v>PASS</x:v>
      </x:c>
    </x:row>
    <x:row r="769">
      <x:c r="B769" t="str">
        <x:v>A-PH-280</x:v>
      </x:c>
      <x:c r="C769" t="str">
        <x:v>gate</x:v>
      </x:c>
      <x:c r="D769" t="str">
        <x:v>PH-SEV-040</x:v>
      </x:c>
      <x:c r="E769" s="23" t="str">
        <x:v>OPEN</x:v>
      </x:c>
      <x:c r="F769" s="23" t="str">
        <x:f>'Release Gates'!I769</x:f>
        <x:v>OPEN</x:v>
      </x:c>
      <x:c r="G769" t="str">
        <x:f>IF(ABS(IFERROR(E769-F769,0))&lt;0.0001,IF(OR(ISTEXT(E769),ISTEXT(F769)),IF(E769=F769,"PASS","FAIL"),"PASS"),"FAIL")</x:f>
        <x:v>PASS</x:v>
      </x:c>
      <x:c r="H769" t="str">
        <x:f>G769</x:f>
        <x:v>PASS</x:v>
      </x:c>
    </x:row>
    <x:row r="770">
      <x:c r="B770" t="str">
        <x:v>A-PH-281</x:v>
      </x:c>
      <x:c r="C770" t="str">
        <x:v>gate</x:v>
      </x:c>
      <x:c r="D770" t="str">
        <x:v>PH-SEV-041</x:v>
      </x:c>
      <x:c r="E770" s="23" t="str">
        <x:v>OPEN</x:v>
      </x:c>
      <x:c r="F770" s="23" t="str">
        <x:f>'Release Gates'!I770</x:f>
        <x:v>OPEN</x:v>
      </x:c>
      <x:c r="G770" t="str">
        <x:f>IF(ABS(IFERROR(E770-F770,0))&lt;0.0001,IF(OR(ISTEXT(E770),ISTEXT(F770)),IF(E770=F770,"PASS","FAIL"),"PASS"),"FAIL")</x:f>
        <x:v>PASS</x:v>
      </x:c>
      <x:c r="H770" t="str">
        <x:f>G770</x:f>
        <x:v>PASS</x:v>
      </x:c>
    </x:row>
    <x:row r="771">
      <x:c r="B771" t="str">
        <x:v>A-PH-282</x:v>
      </x:c>
      <x:c r="C771" t="str">
        <x:v>gate</x:v>
      </x:c>
      <x:c r="D771" t="str">
        <x:v>PH-SEV-042</x:v>
      </x:c>
      <x:c r="E771" s="23" t="str">
        <x:v>OPEN</x:v>
      </x:c>
      <x:c r="F771" s="23" t="str">
        <x:f>'Release Gates'!I771</x:f>
        <x:v>OPEN</x:v>
      </x:c>
      <x:c r="G771" t="str">
        <x:f>IF(ABS(IFERROR(E771-F771,0))&lt;0.0001,IF(OR(ISTEXT(E771),ISTEXT(F771)),IF(E771=F771,"PASS","FAIL"),"PASS"),"FAIL")</x:f>
        <x:v>PASS</x:v>
      </x:c>
      <x:c r="H771" t="str">
        <x:f>G771</x:f>
        <x:v>PASS</x:v>
      </x:c>
    </x:row>
    <x:row r="772">
      <x:c r="B772" t="str">
        <x:v>A-PH-283</x:v>
      </x:c>
      <x:c r="C772" t="str">
        <x:v>gate</x:v>
      </x:c>
      <x:c r="D772" t="str">
        <x:v>PH-SEV-043</x:v>
      </x:c>
      <x:c r="E772" s="23" t="str">
        <x:v>OPEN</x:v>
      </x:c>
      <x:c r="F772" s="23" t="str">
        <x:f>'Release Gates'!I772</x:f>
        <x:v>OPEN</x:v>
      </x:c>
      <x:c r="G772" t="str">
        <x:f>IF(ABS(IFERROR(E772-F772,0))&lt;0.0001,IF(OR(ISTEXT(E772),ISTEXT(F772)),IF(E772=F772,"PASS","FAIL"),"PASS"),"FAIL")</x:f>
        <x:v>PASS</x:v>
      </x:c>
      <x:c r="H772" t="str">
        <x:f>G772</x:f>
        <x:v>PASS</x:v>
      </x:c>
    </x:row>
    <x:row r="773">
      <x:c r="B773" t="str">
        <x:v>A-PH-284</x:v>
      </x:c>
      <x:c r="C773" t="str">
        <x:v>gate</x:v>
      </x:c>
      <x:c r="D773" t="str">
        <x:v>PH-SEV-044</x:v>
      </x:c>
      <x:c r="E773" s="23" t="str">
        <x:v>OPEN</x:v>
      </x:c>
      <x:c r="F773" s="23" t="str">
        <x:f>'Release Gates'!I773</x:f>
        <x:v>OPEN</x:v>
      </x:c>
      <x:c r="G773" t="str">
        <x:f>IF(ABS(IFERROR(E773-F773,0))&lt;0.0001,IF(OR(ISTEXT(E773),ISTEXT(F773)),IF(E773=F773,"PASS","FAIL"),"PASS"),"FAIL")</x:f>
        <x:v>PASS</x:v>
      </x:c>
      <x:c r="H773" t="str">
        <x:f>G773</x:f>
        <x:v>PASS</x:v>
      </x:c>
    </x:row>
    <x:row r="774">
      <x:c r="B774" t="str">
        <x:v>A-PH-285</x:v>
      </x:c>
      <x:c r="C774" t="str">
        <x:v>gate</x:v>
      </x:c>
      <x:c r="D774" t="str">
        <x:v>PH-SEV-045</x:v>
      </x:c>
      <x:c r="E774" s="23" t="str">
        <x:v>OPEN</x:v>
      </x:c>
      <x:c r="F774" s="23" t="str">
        <x:f>'Release Gates'!I774</x:f>
        <x:v>OPEN</x:v>
      </x:c>
      <x:c r="G774" t="str">
        <x:f>IF(ABS(IFERROR(E774-F774,0))&lt;0.0001,IF(OR(ISTEXT(E774),ISTEXT(F774)),IF(E774=F774,"PASS","FAIL"),"PASS"),"FAIL")</x:f>
        <x:v>PASS</x:v>
      </x:c>
      <x:c r="H774" t="str">
        <x:f>G774</x:f>
        <x:v>PASS</x:v>
      </x:c>
    </x:row>
    <x:row r="775">
      <x:c r="B775" t="str">
        <x:v>A-PH-286</x:v>
      </x:c>
      <x:c r="C775" t="str">
        <x:v>gate</x:v>
      </x:c>
      <x:c r="D775" t="str">
        <x:v>PH-SEV-046</x:v>
      </x:c>
      <x:c r="E775" s="23" t="str">
        <x:v>OPEN</x:v>
      </x:c>
      <x:c r="F775" s="23" t="str">
        <x:f>'Release Gates'!I775</x:f>
        <x:v>OPEN</x:v>
      </x:c>
      <x:c r="G775" t="str">
        <x:f>IF(ABS(IFERROR(E775-F775,0))&lt;0.0001,IF(OR(ISTEXT(E775),ISTEXT(F775)),IF(E775=F775,"PASS","FAIL"),"PASS"),"FAIL")</x:f>
        <x:v>PASS</x:v>
      </x:c>
      <x:c r="H775" t="str">
        <x:f>G775</x:f>
        <x:v>PASS</x:v>
      </x:c>
    </x:row>
    <x:row r="776">
      <x:c r="B776" t="str">
        <x:v>A-PH-287</x:v>
      </x:c>
      <x:c r="C776" t="str">
        <x:v>gate</x:v>
      </x:c>
      <x:c r="D776" t="str">
        <x:v>PH-SEV-047</x:v>
      </x:c>
      <x:c r="E776" s="23" t="str">
        <x:v>OPEN</x:v>
      </x:c>
      <x:c r="F776" s="23" t="str">
        <x:f>'Release Gates'!I776</x:f>
        <x:v>OPEN</x:v>
      </x:c>
      <x:c r="G776" t="str">
        <x:f>IF(ABS(IFERROR(E776-F776,0))&lt;0.0001,IF(OR(ISTEXT(E776),ISTEXT(F776)),IF(E776=F776,"PASS","FAIL"),"PASS"),"FAIL")</x:f>
        <x:v>PASS</x:v>
      </x:c>
      <x:c r="H776" t="str">
        <x:f>G776</x:f>
        <x:v>PASS</x:v>
      </x:c>
    </x:row>
    <x:row r="777">
      <x:c r="B777" t="str">
        <x:v>A-PH-288</x:v>
      </x:c>
      <x:c r="C777" t="str">
        <x:v>gate</x:v>
      </x:c>
      <x:c r="D777" t="str">
        <x:v>PH-SEV-048</x:v>
      </x:c>
      <x:c r="E777" s="23" t="str">
        <x:v>OPEN</x:v>
      </x:c>
      <x:c r="F777" s="23" t="str">
        <x:f>'Release Gates'!I777</x:f>
        <x:v>OPEN</x:v>
      </x:c>
      <x:c r="G777" t="str">
        <x:f>IF(ABS(IFERROR(E777-F777,0))&lt;0.0001,IF(OR(ISTEXT(E777),ISTEXT(F777)),IF(E777=F777,"PASS","FAIL"),"PASS"),"FAIL")</x:f>
        <x:v>PASS</x:v>
      </x:c>
      <x:c r="H777" t="str">
        <x:f>G777</x:f>
        <x:v>PASS</x:v>
      </x:c>
    </x:row>
    <x:row r="778">
      <x:c r="B778" t="str">
        <x:v>A-PH-289</x:v>
      </x:c>
      <x:c r="C778" t="str">
        <x:v>gate</x:v>
      </x:c>
      <x:c r="D778" t="str">
        <x:v>PH-SEV-049</x:v>
      </x:c>
      <x:c r="E778" s="23" t="str">
        <x:v>OPEN</x:v>
      </x:c>
      <x:c r="F778" s="23" t="str">
        <x:f>'Release Gates'!I778</x:f>
        <x:v>OPEN</x:v>
      </x:c>
      <x:c r="G778" t="str">
        <x:f>IF(ABS(IFERROR(E778-F778,0))&lt;0.0001,IF(OR(ISTEXT(E778),ISTEXT(F778)),IF(E778=F778,"PASS","FAIL"),"PASS"),"FAIL")</x:f>
        <x:v>PASS</x:v>
      </x:c>
      <x:c r="H778" t="str">
        <x:f>G778</x:f>
        <x:v>PASS</x:v>
      </x:c>
    </x:row>
    <x:row r="779">
      <x:c r="B779" t="str">
        <x:v>A-PH-290</x:v>
      </x:c>
      <x:c r="C779" t="str">
        <x:v>gate</x:v>
      </x:c>
      <x:c r="D779" t="str">
        <x:v>PH-SEV-050</x:v>
      </x:c>
      <x:c r="E779" s="23" t="str">
        <x:v>OPEN</x:v>
      </x:c>
      <x:c r="F779" s="23" t="str">
        <x:f>'Release Gates'!I779</x:f>
        <x:v>OPEN</x:v>
      </x:c>
      <x:c r="G779" t="str">
        <x:f>IF(ABS(IFERROR(E779-F779,0))&lt;0.0001,IF(OR(ISTEXT(E779),ISTEXT(F779)),IF(E779=F779,"PASS","FAIL"),"PASS"),"FAIL")</x:f>
        <x:v>PASS</x:v>
      </x:c>
      <x:c r="H779" t="str">
        <x:f>G779</x:f>
        <x:v>PASS</x:v>
      </x:c>
    </x:row>
    <x:row r="780">
      <x:c r="B780" t="str">
        <x:v>A-PH-291</x:v>
      </x:c>
      <x:c r="C780" t="str">
        <x:v>gate</x:v>
      </x:c>
      <x:c r="D780" t="str">
        <x:v>PH-SEV-051</x:v>
      </x:c>
      <x:c r="E780" s="23" t="str">
        <x:v>OPEN</x:v>
      </x:c>
      <x:c r="F780" s="23" t="str">
        <x:f>'Release Gates'!I780</x:f>
        <x:v>OPEN</x:v>
      </x:c>
      <x:c r="G780" t="str">
        <x:f>IF(ABS(IFERROR(E780-F780,0))&lt;0.0001,IF(OR(ISTEXT(E780),ISTEXT(F780)),IF(E780=F780,"PASS","FAIL"),"PASS"),"FAIL")</x:f>
        <x:v>PASS</x:v>
      </x:c>
      <x:c r="H780" t="str">
        <x:f>G780</x:f>
        <x:v>PASS</x:v>
      </x:c>
    </x:row>
    <x:row r="781">
      <x:c r="B781" t="str">
        <x:v>A-PH-292</x:v>
      </x:c>
      <x:c r="C781" t="str">
        <x:v>gate</x:v>
      </x:c>
      <x:c r="D781" t="str">
        <x:v>PH-SEV-052</x:v>
      </x:c>
      <x:c r="E781" s="23" t="str">
        <x:v>OPEN</x:v>
      </x:c>
      <x:c r="F781" s="23" t="str">
        <x:f>'Release Gates'!I781</x:f>
        <x:v>OPEN</x:v>
      </x:c>
      <x:c r="G781" t="str">
        <x:f>IF(ABS(IFERROR(E781-F781,0))&lt;0.0001,IF(OR(ISTEXT(E781),ISTEXT(F781)),IF(E781=F781,"PASS","FAIL"),"PASS"),"FAIL")</x:f>
        <x:v>PASS</x:v>
      </x:c>
      <x:c r="H781" t="str">
        <x:f>G781</x:f>
        <x:v>PASS</x:v>
      </x:c>
    </x:row>
    <x:row r="782">
      <x:c r="B782" t="str">
        <x:v>A-PH-293</x:v>
      </x:c>
      <x:c r="C782" t="str">
        <x:v>gate</x:v>
      </x:c>
      <x:c r="D782" t="str">
        <x:v>PH-SEV-053</x:v>
      </x:c>
      <x:c r="E782" s="23" t="str">
        <x:v>OPEN</x:v>
      </x:c>
      <x:c r="F782" s="23" t="str">
        <x:f>'Release Gates'!I782</x:f>
        <x:v>OPEN</x:v>
      </x:c>
      <x:c r="G782" t="str">
        <x:f>IF(ABS(IFERROR(E782-F782,0))&lt;0.0001,IF(OR(ISTEXT(E782),ISTEXT(F782)),IF(E782=F782,"PASS","FAIL"),"PASS"),"FAIL")</x:f>
        <x:v>PASS</x:v>
      </x:c>
      <x:c r="H782" t="str">
        <x:f>G782</x:f>
        <x:v>PASS</x:v>
      </x:c>
    </x:row>
    <x:row r="783">
      <x:c r="B783" t="str">
        <x:v>A-PH-294</x:v>
      </x:c>
      <x:c r="C783" t="str">
        <x:v>gate</x:v>
      </x:c>
      <x:c r="D783" t="str">
        <x:v>PH-SEV-054</x:v>
      </x:c>
      <x:c r="E783" s="23" t="str">
        <x:v>OPEN</x:v>
      </x:c>
      <x:c r="F783" s="23" t="str">
        <x:f>'Release Gates'!I783</x:f>
        <x:v>OPEN</x:v>
      </x:c>
      <x:c r="G783" t="str">
        <x:f>IF(ABS(IFERROR(E783-F783,0))&lt;0.0001,IF(OR(ISTEXT(E783),ISTEXT(F783)),IF(E783=F783,"PASS","FAIL"),"PASS"),"FAIL")</x:f>
        <x:v>PASS</x:v>
      </x:c>
      <x:c r="H783" t="str">
        <x:f>G783</x:f>
        <x:v>PASS</x:v>
      </x:c>
    </x:row>
    <x:row r="784">
      <x:c r="B784" t="str">
        <x:v>A-PH-295</x:v>
      </x:c>
      <x:c r="C784" t="str">
        <x:v>gate</x:v>
      </x:c>
      <x:c r="D784" t="str">
        <x:v>PH-SEV-055</x:v>
      </x:c>
      <x:c r="E784" s="23" t="str">
        <x:v>OPEN</x:v>
      </x:c>
      <x:c r="F784" s="23" t="str">
        <x:f>'Release Gates'!I784</x:f>
        <x:v>OPEN</x:v>
      </x:c>
      <x:c r="G784" t="str">
        <x:f>IF(ABS(IFERROR(E784-F784,0))&lt;0.0001,IF(OR(ISTEXT(E784),ISTEXT(F784)),IF(E784=F784,"PASS","FAIL"),"PASS"),"FAIL")</x:f>
        <x:v>PASS</x:v>
      </x:c>
      <x:c r="H784" t="str">
        <x:f>G784</x:f>
        <x:v>PASS</x:v>
      </x:c>
    </x:row>
    <x:row r="785">
      <x:c r="B785" t="str">
        <x:v>A-PH-296</x:v>
      </x:c>
      <x:c r="C785" t="str">
        <x:v>gate</x:v>
      </x:c>
      <x:c r="D785" t="str">
        <x:v>PH-SEV-056</x:v>
      </x:c>
      <x:c r="E785" s="23" t="str">
        <x:v>OPEN</x:v>
      </x:c>
      <x:c r="F785" s="23" t="str">
        <x:f>'Release Gates'!I785</x:f>
        <x:v>OPEN</x:v>
      </x:c>
      <x:c r="G785" t="str">
        <x:f>IF(ABS(IFERROR(E785-F785,0))&lt;0.0001,IF(OR(ISTEXT(E785),ISTEXT(F785)),IF(E785=F785,"PASS","FAIL"),"PASS"),"FAIL")</x:f>
        <x:v>PASS</x:v>
      </x:c>
      <x:c r="H785" t="str">
        <x:f>G785</x:f>
        <x:v>PASS</x:v>
      </x:c>
    </x:row>
    <x:row r="786">
      <x:c r="B786" t="str">
        <x:v>A-PH-297</x:v>
      </x:c>
      <x:c r="C786" t="str">
        <x:v>gate</x:v>
      </x:c>
      <x:c r="D786" t="str">
        <x:v>PH-SEV-057</x:v>
      </x:c>
      <x:c r="E786" s="23" t="str">
        <x:v>OPEN</x:v>
      </x:c>
      <x:c r="F786" s="23" t="str">
        <x:f>'Release Gates'!I786</x:f>
        <x:v>OPEN</x:v>
      </x:c>
      <x:c r="G786" t="str">
        <x:f>IF(ABS(IFERROR(E786-F786,0))&lt;0.0001,IF(OR(ISTEXT(E786),ISTEXT(F786)),IF(E786=F786,"PASS","FAIL"),"PASS"),"FAIL")</x:f>
        <x:v>PASS</x:v>
      </x:c>
      <x:c r="H786" t="str">
        <x:f>G786</x:f>
        <x:v>PASS</x:v>
      </x:c>
    </x:row>
    <x:row r="787">
      <x:c r="B787" t="str">
        <x:v>A-PH-298</x:v>
      </x:c>
      <x:c r="C787" t="str">
        <x:v>gate</x:v>
      </x:c>
      <x:c r="D787" t="str">
        <x:v>PH-SEV-058</x:v>
      </x:c>
      <x:c r="E787" s="23" t="str">
        <x:v>OPEN</x:v>
      </x:c>
      <x:c r="F787" s="23" t="str">
        <x:f>'Release Gates'!I787</x:f>
        <x:v>OPEN</x:v>
      </x:c>
      <x:c r="G787" t="str">
        <x:f>IF(ABS(IFERROR(E787-F787,0))&lt;0.0001,IF(OR(ISTEXT(E787),ISTEXT(F787)),IF(E787=F787,"PASS","FAIL"),"PASS"),"FAIL")</x:f>
        <x:v>PASS</x:v>
      </x:c>
      <x:c r="H787" t="str">
        <x:f>G787</x:f>
        <x:v>PASS</x:v>
      </x:c>
    </x:row>
    <x:row r="788">
      <x:c r="B788" t="str">
        <x:v>A-PH-299</x:v>
      </x:c>
      <x:c r="C788" t="str">
        <x:v>gate</x:v>
      </x:c>
      <x:c r="D788" t="str">
        <x:v>PH-SEV-059</x:v>
      </x:c>
      <x:c r="E788" s="23" t="str">
        <x:v>OPEN</x:v>
      </x:c>
      <x:c r="F788" s="23" t="str">
        <x:f>'Release Gates'!I788</x:f>
        <x:v>OPEN</x:v>
      </x:c>
      <x:c r="G788" t="str">
        <x:f>IF(ABS(IFERROR(E788-F788,0))&lt;0.0001,IF(OR(ISTEXT(E788),ISTEXT(F788)),IF(E788=F788,"PASS","FAIL"),"PASS"),"FAIL")</x:f>
        <x:v>PASS</x:v>
      </x:c>
      <x:c r="H788" t="str">
        <x:f>G788</x:f>
        <x:v>PASS</x:v>
      </x:c>
    </x:row>
    <x:row r="789">
      <x:c r="B789" t="str">
        <x:v>A-PH-300</x:v>
      </x:c>
      <x:c r="C789" t="str">
        <x:v>gate</x:v>
      </x:c>
      <x:c r="D789" t="str">
        <x:v>PH-SEV-060</x:v>
      </x:c>
      <x:c r="E789" s="23" t="str">
        <x:v>OPEN</x:v>
      </x:c>
      <x:c r="F789" s="23" t="str">
        <x:f>'Release Gates'!I789</x:f>
        <x:v>OPEN</x:v>
      </x:c>
      <x:c r="G789" t="str">
        <x:f>IF(ABS(IFERROR(E789-F789,0))&lt;0.0001,IF(OR(ISTEXT(E789),ISTEXT(F789)),IF(E789=F789,"PASS","FAIL"),"PASS"),"FAIL")</x:f>
        <x:v>PASS</x:v>
      </x:c>
      <x:c r="H789" t="str">
        <x:f>G789</x:f>
        <x:v>PASS</x:v>
      </x:c>
    </x:row>
    <x:row r="790">
      <x:c r="B790" t="str">
        <x:v>A-PH-301</x:v>
      </x:c>
      <x:c r="C790" t="str">
        <x:v>gate</x:v>
      </x:c>
      <x:c r="D790" t="str">
        <x:v>PH-SEV-061</x:v>
      </x:c>
      <x:c r="E790" s="23" t="str">
        <x:v>OPEN</x:v>
      </x:c>
      <x:c r="F790" s="23" t="str">
        <x:f>'Release Gates'!I790</x:f>
        <x:v>OPEN</x:v>
      </x:c>
      <x:c r="G790" t="str">
        <x:f>IF(ABS(IFERROR(E790-F790,0))&lt;0.0001,IF(OR(ISTEXT(E790),ISTEXT(F790)),IF(E790=F790,"PASS","FAIL"),"PASS"),"FAIL")</x:f>
        <x:v>PASS</x:v>
      </x:c>
      <x:c r="H790" t="str">
        <x:f>G790</x:f>
        <x:v>PASS</x:v>
      </x:c>
    </x:row>
    <x:row r="791">
      <x:c r="B791" t="str">
        <x:v>A-PH-302</x:v>
      </x:c>
      <x:c r="C791" t="str">
        <x:v>gate</x:v>
      </x:c>
      <x:c r="D791" t="str">
        <x:v>PH-SEV-062</x:v>
      </x:c>
      <x:c r="E791" s="23" t="str">
        <x:v>OPEN</x:v>
      </x:c>
      <x:c r="F791" s="23" t="str">
        <x:f>'Release Gates'!I791</x:f>
        <x:v>OPEN</x:v>
      </x:c>
      <x:c r="G791" t="str">
        <x:f>IF(ABS(IFERROR(E791-F791,0))&lt;0.0001,IF(OR(ISTEXT(E791),ISTEXT(F791)),IF(E791=F791,"PASS","FAIL"),"PASS"),"FAIL")</x:f>
        <x:v>PASS</x:v>
      </x:c>
      <x:c r="H791" t="str">
        <x:f>G791</x:f>
        <x:v>PASS</x:v>
      </x:c>
    </x:row>
    <x:row r="792">
      <x:c r="B792" t="str">
        <x:v>A-PH-303</x:v>
      </x:c>
      <x:c r="C792" t="str">
        <x:v>gate</x:v>
      </x:c>
      <x:c r="D792" t="str">
        <x:v>PH-SEV-063</x:v>
      </x:c>
      <x:c r="E792" s="23" t="str">
        <x:v>OPEN</x:v>
      </x:c>
      <x:c r="F792" s="23" t="str">
        <x:f>'Release Gates'!I792</x:f>
        <x:v>OPEN</x:v>
      </x:c>
      <x:c r="G792" t="str">
        <x:f>IF(ABS(IFERROR(E792-F792,0))&lt;0.0001,IF(OR(ISTEXT(E792),ISTEXT(F792)),IF(E792=F792,"PASS","FAIL"),"PASS"),"FAIL")</x:f>
        <x:v>PASS</x:v>
      </x:c>
      <x:c r="H792" t="str">
        <x:f>G792</x:f>
        <x:v>PASS</x:v>
      </x:c>
    </x:row>
    <x:row r="793">
      <x:c r="B793" t="str">
        <x:v>A-PH-304</x:v>
      </x:c>
      <x:c r="C793" t="str">
        <x:v>gate</x:v>
      </x:c>
      <x:c r="D793" t="str">
        <x:v>PH-SEV-064</x:v>
      </x:c>
      <x:c r="E793" s="23" t="str">
        <x:v>OPEN</x:v>
      </x:c>
      <x:c r="F793" s="23" t="str">
        <x:f>'Release Gates'!I793</x:f>
        <x:v>OPEN</x:v>
      </x:c>
      <x:c r="G793" t="str">
        <x:f>IF(ABS(IFERROR(E793-F793,0))&lt;0.0001,IF(OR(ISTEXT(E793),ISTEXT(F793)),IF(E793=F793,"PASS","FAIL"),"PASS"),"FAIL")</x:f>
        <x:v>PASS</x:v>
      </x:c>
      <x:c r="H793" t="str">
        <x:f>G793</x:f>
        <x:v>PASS</x:v>
      </x:c>
    </x:row>
    <x:row r="794">
      <x:c r="B794" t="str">
        <x:v>A-PH-305</x:v>
      </x:c>
      <x:c r="C794" t="str">
        <x:v>gate</x:v>
      </x:c>
      <x:c r="D794" t="str">
        <x:v>PH-SEV-065</x:v>
      </x:c>
      <x:c r="E794" s="23" t="str">
        <x:v>OPEN</x:v>
      </x:c>
      <x:c r="F794" s="23" t="str">
        <x:f>'Release Gates'!I794</x:f>
        <x:v>OPEN</x:v>
      </x:c>
      <x:c r="G794" t="str">
        <x:f>IF(ABS(IFERROR(E794-F794,0))&lt;0.0001,IF(OR(ISTEXT(E794),ISTEXT(F794)),IF(E794=F794,"PASS","FAIL"),"PASS"),"FAIL")</x:f>
        <x:v>PASS</x:v>
      </x:c>
      <x:c r="H794" t="str">
        <x:f>G794</x:f>
        <x:v>PASS</x:v>
      </x:c>
    </x:row>
    <x:row r="795">
      <x:c r="B795" t="str">
        <x:v>A-PH-306</x:v>
      </x:c>
      <x:c r="C795" t="str">
        <x:v>gate</x:v>
      </x:c>
      <x:c r="D795" t="str">
        <x:v>PH-SEV-066</x:v>
      </x:c>
      <x:c r="E795" s="23" t="str">
        <x:v>OPEN</x:v>
      </x:c>
      <x:c r="F795" s="23" t="str">
        <x:f>'Release Gates'!I795</x:f>
        <x:v>OPEN</x:v>
      </x:c>
      <x:c r="G795" t="str">
        <x:f>IF(ABS(IFERROR(E795-F795,0))&lt;0.0001,IF(OR(ISTEXT(E795),ISTEXT(F795)),IF(E795=F795,"PASS","FAIL"),"PASS"),"FAIL")</x:f>
        <x:v>PASS</x:v>
      </x:c>
      <x:c r="H795" t="str">
        <x:f>G795</x:f>
        <x:v>PASS</x:v>
      </x:c>
    </x:row>
    <x:row r="796">
      <x:c r="B796" t="str">
        <x:v>A-PH-307</x:v>
      </x:c>
      <x:c r="C796" t="str">
        <x:v>gate</x:v>
      </x:c>
      <x:c r="D796" t="str">
        <x:v>PH-SEV-067</x:v>
      </x:c>
      <x:c r="E796" s="23" t="str">
        <x:v>OPEN</x:v>
      </x:c>
      <x:c r="F796" s="23" t="str">
        <x:f>'Release Gates'!I796</x:f>
        <x:v>OPEN</x:v>
      </x:c>
      <x:c r="G796" t="str">
        <x:f>IF(ABS(IFERROR(E796-F796,0))&lt;0.0001,IF(OR(ISTEXT(E796),ISTEXT(F796)),IF(E796=F796,"PASS","FAIL"),"PASS"),"FAIL")</x:f>
        <x:v>PASS</x:v>
      </x:c>
      <x:c r="H796" t="str">
        <x:f>G796</x:f>
        <x:v>PASS</x:v>
      </x:c>
    </x:row>
    <x:row r="797">
      <x:c r="B797" t="str">
        <x:v>A-PH-308</x:v>
      </x:c>
      <x:c r="C797" t="str">
        <x:v>gate</x:v>
      </x:c>
      <x:c r="D797" t="str">
        <x:v>PH-SEV-068</x:v>
      </x:c>
      <x:c r="E797" s="23" t="str">
        <x:v>OPEN</x:v>
      </x:c>
      <x:c r="F797" s="23" t="str">
        <x:f>'Release Gates'!I797</x:f>
        <x:v>OPEN</x:v>
      </x:c>
      <x:c r="G797" t="str">
        <x:f>IF(ABS(IFERROR(E797-F797,0))&lt;0.0001,IF(OR(ISTEXT(E797),ISTEXT(F797)),IF(E797=F797,"PASS","FAIL"),"PASS"),"FAIL")</x:f>
        <x:v>PASS</x:v>
      </x:c>
      <x:c r="H797" t="str">
        <x:f>G797</x:f>
        <x:v>PASS</x:v>
      </x:c>
    </x:row>
    <x:row r="798">
      <x:c r="B798" t="str">
        <x:v>A-PH-309</x:v>
      </x:c>
      <x:c r="C798" t="str">
        <x:v>gate</x:v>
      </x:c>
      <x:c r="D798" t="str">
        <x:v>PH-SEV-069</x:v>
      </x:c>
      <x:c r="E798" s="23" t="str">
        <x:v>OPEN</x:v>
      </x:c>
      <x:c r="F798" s="23" t="str">
        <x:f>'Release Gates'!I798</x:f>
        <x:v>OPEN</x:v>
      </x:c>
      <x:c r="G798" t="str">
        <x:f>IF(ABS(IFERROR(E798-F798,0))&lt;0.0001,IF(OR(ISTEXT(E798),ISTEXT(F798)),IF(E798=F798,"PASS","FAIL"),"PASS"),"FAIL")</x:f>
        <x:v>PASS</x:v>
      </x:c>
      <x:c r="H798" t="str">
        <x:f>G798</x:f>
        <x:v>PASS</x:v>
      </x:c>
    </x:row>
    <x:row r="799">
      <x:c r="B799" t="str">
        <x:v>A-PH-310</x:v>
      </x:c>
      <x:c r="C799" t="str">
        <x:v>gate</x:v>
      </x:c>
      <x:c r="D799" t="str">
        <x:v>PH-SEV-070</x:v>
      </x:c>
      <x:c r="E799" s="23" t="str">
        <x:v>OPEN</x:v>
      </x:c>
      <x:c r="F799" s="23" t="str">
        <x:f>'Release Gates'!I799</x:f>
        <x:v>OPEN</x:v>
      </x:c>
      <x:c r="G799" t="str">
        <x:f>IF(ABS(IFERROR(E799-F799,0))&lt;0.0001,IF(OR(ISTEXT(E799),ISTEXT(F799)),IF(E799=F799,"PASS","FAIL"),"PASS"),"FAIL")</x:f>
        <x:v>PASS</x:v>
      </x:c>
      <x:c r="H799" t="str">
        <x:f>G799</x:f>
        <x:v>PASS</x:v>
      </x:c>
    </x:row>
    <x:row r="800">
      <x:c r="B800" t="str">
        <x:v>A-PH-311</x:v>
      </x:c>
      <x:c r="C800" t="str">
        <x:v>gate</x:v>
      </x:c>
      <x:c r="D800" t="str">
        <x:v>PH-SEV-071</x:v>
      </x:c>
      <x:c r="E800" s="23" t="str">
        <x:v>OPEN</x:v>
      </x:c>
      <x:c r="F800" s="23" t="str">
        <x:f>'Release Gates'!I800</x:f>
        <x:v>OPEN</x:v>
      </x:c>
      <x:c r="G800" t="str">
        <x:f>IF(ABS(IFERROR(E800-F800,0))&lt;0.0001,IF(OR(ISTEXT(E800),ISTEXT(F800)),IF(E800=F800,"PASS","FAIL"),"PASS"),"FAIL")</x:f>
        <x:v>PASS</x:v>
      </x:c>
      <x:c r="H800" t="str">
        <x:f>G800</x:f>
        <x:v>PASS</x:v>
      </x:c>
    </x:row>
    <x:row r="801">
      <x:c r="B801" t="str">
        <x:v>A-PH-312</x:v>
      </x:c>
      <x:c r="C801" t="str">
        <x:v>gate</x:v>
      </x:c>
      <x:c r="D801" t="str">
        <x:v>PH-SEV-072</x:v>
      </x:c>
      <x:c r="E801" s="23" t="str">
        <x:v>OPEN</x:v>
      </x:c>
      <x:c r="F801" s="23" t="str">
        <x:f>'Release Gates'!I801</x:f>
        <x:v>OPEN</x:v>
      </x:c>
      <x:c r="G801" t="str">
        <x:f>IF(ABS(IFERROR(E801-F801,0))&lt;0.0001,IF(OR(ISTEXT(E801),ISTEXT(F801)),IF(E801=F801,"PASS","FAIL"),"PASS"),"FAIL")</x:f>
        <x:v>PASS</x:v>
      </x:c>
      <x:c r="H801" t="str">
        <x:f>G801</x:f>
        <x:v>PASS</x:v>
      </x:c>
    </x:row>
    <x:row r="802">
      <x:c r="B802" t="str">
        <x:v>A-PH-313</x:v>
      </x:c>
      <x:c r="C802" t="str">
        <x:v>gate</x:v>
      </x:c>
      <x:c r="D802" t="str">
        <x:v>PH-SEV-073</x:v>
      </x:c>
      <x:c r="E802" s="23" t="str">
        <x:v>OPEN</x:v>
      </x:c>
      <x:c r="F802" s="23" t="str">
        <x:f>'Release Gates'!I802</x:f>
        <x:v>OPEN</x:v>
      </x:c>
      <x:c r="G802" t="str">
        <x:f>IF(ABS(IFERROR(E802-F802,0))&lt;0.0001,IF(OR(ISTEXT(E802),ISTEXT(F802)),IF(E802=F802,"PASS","FAIL"),"PASS"),"FAIL")</x:f>
        <x:v>PASS</x:v>
      </x:c>
      <x:c r="H802" t="str">
        <x:f>G802</x:f>
        <x:v>PASS</x:v>
      </x:c>
    </x:row>
    <x:row r="803">
      <x:c r="B803" t="str">
        <x:v>A-PH-314</x:v>
      </x:c>
      <x:c r="C803" t="str">
        <x:v>gate</x:v>
      </x:c>
      <x:c r="D803" t="str">
        <x:v>PH-SEV-074</x:v>
      </x:c>
      <x:c r="E803" s="23" t="str">
        <x:v>OPEN</x:v>
      </x:c>
      <x:c r="F803" s="23" t="str">
        <x:f>'Release Gates'!I803</x:f>
        <x:v>OPEN</x:v>
      </x:c>
      <x:c r="G803" t="str">
        <x:f>IF(ABS(IFERROR(E803-F803,0))&lt;0.0001,IF(OR(ISTEXT(E803),ISTEXT(F803)),IF(E803=F803,"PASS","FAIL"),"PASS"),"FAIL")</x:f>
        <x:v>PASS</x:v>
      </x:c>
      <x:c r="H803" t="str">
        <x:f>G803</x:f>
        <x:v>PASS</x:v>
      </x:c>
    </x:row>
    <x:row r="804">
      <x:c r="B804" t="str">
        <x:v>A-PH-315</x:v>
      </x:c>
      <x:c r="C804" t="str">
        <x:v>gate</x:v>
      </x:c>
      <x:c r="D804" t="str">
        <x:v>PH-SEV-075</x:v>
      </x:c>
      <x:c r="E804" s="23" t="str">
        <x:v>OPEN</x:v>
      </x:c>
      <x:c r="F804" s="23" t="str">
        <x:f>'Release Gates'!I804</x:f>
        <x:v>OPEN</x:v>
      </x:c>
      <x:c r="G804" t="str">
        <x:f>IF(ABS(IFERROR(E804-F804,0))&lt;0.0001,IF(OR(ISTEXT(E804),ISTEXT(F804)),IF(E804=F804,"PASS","FAIL"),"PASS"),"FAIL")</x:f>
        <x:v>PASS</x:v>
      </x:c>
      <x:c r="H804" t="str">
        <x:f>G804</x:f>
        <x:v>PASS</x:v>
      </x:c>
    </x:row>
    <x:row r="805">
      <x:c r="B805" t="str">
        <x:v>A-PH-316</x:v>
      </x:c>
      <x:c r="C805" t="str">
        <x:v>gate</x:v>
      </x:c>
      <x:c r="D805" t="str">
        <x:v>PH-SEV-076</x:v>
      </x:c>
      <x:c r="E805" s="23" t="str">
        <x:v>OPEN</x:v>
      </x:c>
      <x:c r="F805" s="23" t="str">
        <x:f>'Release Gates'!I805</x:f>
        <x:v>OPEN</x:v>
      </x:c>
      <x:c r="G805" t="str">
        <x:f>IF(ABS(IFERROR(E805-F805,0))&lt;0.0001,IF(OR(ISTEXT(E805),ISTEXT(F805)),IF(E805=F805,"PASS","FAIL"),"PASS"),"FAIL")</x:f>
        <x:v>PASS</x:v>
      </x:c>
      <x:c r="H805" t="str">
        <x:f>G805</x:f>
        <x:v>PASS</x:v>
      </x:c>
    </x:row>
    <x:row r="806">
      <x:c r="B806" t="str">
        <x:v>A-PH-317</x:v>
      </x:c>
      <x:c r="C806" t="str">
        <x:v>gate</x:v>
      </x:c>
      <x:c r="D806" t="str">
        <x:v>PH-SEV-077</x:v>
      </x:c>
      <x:c r="E806" s="23" t="str">
        <x:v>OPEN</x:v>
      </x:c>
      <x:c r="F806" s="23" t="str">
        <x:f>'Release Gates'!I806</x:f>
        <x:v>OPEN</x:v>
      </x:c>
      <x:c r="G806" t="str">
        <x:f>IF(ABS(IFERROR(E806-F806,0))&lt;0.0001,IF(OR(ISTEXT(E806),ISTEXT(F806)),IF(E806=F806,"PASS","FAIL"),"PASS"),"FAIL")</x:f>
        <x:v>PASS</x:v>
      </x:c>
      <x:c r="H806" t="str">
        <x:f>G806</x:f>
        <x:v>PASS</x:v>
      </x:c>
    </x:row>
    <x:row r="807">
      <x:c r="B807" t="str">
        <x:v>A-PH-318</x:v>
      </x:c>
      <x:c r="C807" t="str">
        <x:v>gate</x:v>
      </x:c>
      <x:c r="D807" t="str">
        <x:v>PH-SEV-078</x:v>
      </x:c>
      <x:c r="E807" s="23" t="str">
        <x:v>OPEN</x:v>
      </x:c>
      <x:c r="F807" s="23" t="str">
        <x:f>'Release Gates'!I807</x:f>
        <x:v>OPEN</x:v>
      </x:c>
      <x:c r="G807" t="str">
        <x:f>IF(ABS(IFERROR(E807-F807,0))&lt;0.0001,IF(OR(ISTEXT(E807),ISTEXT(F807)),IF(E807=F807,"PASS","FAIL"),"PASS"),"FAIL")</x:f>
        <x:v>PASS</x:v>
      </x:c>
      <x:c r="H807" t="str">
        <x:f>G807</x:f>
        <x:v>PASS</x:v>
      </x:c>
    </x:row>
    <x:row r="808">
      <x:c r="B808" t="str">
        <x:v>A-PH-319</x:v>
      </x:c>
      <x:c r="C808" t="str">
        <x:v>gate</x:v>
      </x:c>
      <x:c r="D808" t="str">
        <x:v>PH-SEV-079</x:v>
      </x:c>
      <x:c r="E808" s="23" t="str">
        <x:v>OPEN</x:v>
      </x:c>
      <x:c r="F808" s="23" t="str">
        <x:f>'Release Gates'!I808</x:f>
        <x:v>OPEN</x:v>
      </x:c>
      <x:c r="G808" t="str">
        <x:f>IF(ABS(IFERROR(E808-F808,0))&lt;0.0001,IF(OR(ISTEXT(E808),ISTEXT(F808)),IF(E808=F808,"PASS","FAIL"),"PASS"),"FAIL")</x:f>
        <x:v>PASS</x:v>
      </x:c>
      <x:c r="H808" t="str">
        <x:f>G808</x:f>
        <x:v>PASS</x:v>
      </x:c>
    </x:row>
    <x:row r="809">
      <x:c r="B809" t="str">
        <x:v>A-PH-320</x:v>
      </x:c>
      <x:c r="C809" t="str">
        <x:v>gate</x:v>
      </x:c>
      <x:c r="D809" t="str">
        <x:v>PH-SEV-080</x:v>
      </x:c>
      <x:c r="E809" s="23" t="str">
        <x:v>OPEN</x:v>
      </x:c>
      <x:c r="F809" s="23" t="str">
        <x:f>'Release Gates'!I809</x:f>
        <x:v>OPEN</x:v>
      </x:c>
      <x:c r="G809" t="str">
        <x:f>IF(ABS(IFERROR(E809-F809,0))&lt;0.0001,IF(OR(ISTEXT(E809),ISTEXT(F809)),IF(E809=F809,"PASS","FAIL"),"PASS"),"FAIL")</x:f>
        <x:v>PASS</x:v>
      </x:c>
      <x:c r="H809" t="str">
        <x:f>G809</x:f>
        <x:v>PASS</x:v>
      </x:c>
    </x:row>
    <x:row r="810">
      <x:c r="B810" t="str">
        <x:v>A-PH-321</x:v>
      </x:c>
      <x:c r="C810" t="str">
        <x:v>gate</x:v>
      </x:c>
      <x:c r="D810" t="str">
        <x:v>PH-SEV-081</x:v>
      </x:c>
      <x:c r="E810" s="23" t="str">
        <x:v>OPEN</x:v>
      </x:c>
      <x:c r="F810" s="23" t="str">
        <x:f>'Release Gates'!I810</x:f>
        <x:v>OPEN</x:v>
      </x:c>
      <x:c r="G810" t="str">
        <x:f>IF(ABS(IFERROR(E810-F810,0))&lt;0.0001,IF(OR(ISTEXT(E810),ISTEXT(F810)),IF(E810=F810,"PASS","FAIL"),"PASS"),"FAIL")</x:f>
        <x:v>PASS</x:v>
      </x:c>
      <x:c r="H810" t="str">
        <x:f>G810</x:f>
        <x:v>PASS</x:v>
      </x:c>
    </x:row>
    <x:row r="811">
      <x:c r="B811" t="str">
        <x:v>A-PH-322</x:v>
      </x:c>
      <x:c r="C811" t="str">
        <x:v>gate</x:v>
      </x:c>
      <x:c r="D811" t="str">
        <x:v>PH-SEV-082</x:v>
      </x:c>
      <x:c r="E811" s="23" t="str">
        <x:v>OPEN</x:v>
      </x:c>
      <x:c r="F811" s="23" t="str">
        <x:f>'Release Gates'!I811</x:f>
        <x:v>OPEN</x:v>
      </x:c>
      <x:c r="G811" t="str">
        <x:f>IF(ABS(IFERROR(E811-F811,0))&lt;0.0001,IF(OR(ISTEXT(E811),ISTEXT(F811)),IF(E811=F811,"PASS","FAIL"),"PASS"),"FAIL")</x:f>
        <x:v>PASS</x:v>
      </x:c>
      <x:c r="H811" t="str">
        <x:f>G811</x:f>
        <x:v>PASS</x:v>
      </x:c>
    </x:row>
    <x:row r="812">
      <x:c r="B812" t="str">
        <x:v>A-PH-323</x:v>
      </x:c>
      <x:c r="C812" t="str">
        <x:v>gate</x:v>
      </x:c>
      <x:c r="D812" t="str">
        <x:v>PH-SEV-083</x:v>
      </x:c>
      <x:c r="E812" s="23" t="str">
        <x:v>OPEN</x:v>
      </x:c>
      <x:c r="F812" s="23" t="str">
        <x:f>'Release Gates'!I812</x:f>
        <x:v>OPEN</x:v>
      </x:c>
      <x:c r="G812" t="str">
        <x:f>IF(ABS(IFERROR(E812-F812,0))&lt;0.0001,IF(OR(ISTEXT(E812),ISTEXT(F812)),IF(E812=F812,"PASS","FAIL"),"PASS"),"FAIL")</x:f>
        <x:v>PASS</x:v>
      </x:c>
      <x:c r="H812" t="str">
        <x:f>G812</x:f>
        <x:v>PASS</x:v>
      </x:c>
    </x:row>
    <x:row r="813">
      <x:c r="B813" t="str">
        <x:v>A-PH-324</x:v>
      </x:c>
      <x:c r="C813" t="str">
        <x:v>gate</x:v>
      </x:c>
      <x:c r="D813" t="str">
        <x:v>PH-SEV-084</x:v>
      </x:c>
      <x:c r="E813" s="23" t="str">
        <x:v>OPEN</x:v>
      </x:c>
      <x:c r="F813" s="23" t="str">
        <x:f>'Release Gates'!I813</x:f>
        <x:v>OPEN</x:v>
      </x:c>
      <x:c r="G813" t="str">
        <x:f>IF(ABS(IFERROR(E813-F813,0))&lt;0.0001,IF(OR(ISTEXT(E813),ISTEXT(F813)),IF(E813=F813,"PASS","FAIL"),"PASS"),"FAIL")</x:f>
        <x:v>PASS</x:v>
      </x:c>
      <x:c r="H813" t="str">
        <x:f>G813</x:f>
        <x:v>PASS</x:v>
      </x:c>
    </x:row>
    <x:row r="814">
      <x:c r="B814" t="str">
        <x:v>A-PH-325</x:v>
      </x:c>
      <x:c r="C814" t="str">
        <x:v>gate</x:v>
      </x:c>
      <x:c r="D814" t="str">
        <x:v>PH-SEV-085</x:v>
      </x:c>
      <x:c r="E814" s="23" t="str">
        <x:v>OPEN</x:v>
      </x:c>
      <x:c r="F814" s="23" t="str">
        <x:f>'Release Gates'!I814</x:f>
        <x:v>OPEN</x:v>
      </x:c>
      <x:c r="G814" t="str">
        <x:f>IF(ABS(IFERROR(E814-F814,0))&lt;0.0001,IF(OR(ISTEXT(E814),ISTEXT(F814)),IF(E814=F814,"PASS","FAIL"),"PASS"),"FAIL")</x:f>
        <x:v>PASS</x:v>
      </x:c>
      <x:c r="H814" t="str">
        <x:f>G814</x:f>
        <x:v>PASS</x:v>
      </x:c>
    </x:row>
    <x:row r="815">
      <x:c r="B815" t="str">
        <x:v>A-PH-326</x:v>
      </x:c>
      <x:c r="C815" t="str">
        <x:v>gate</x:v>
      </x:c>
      <x:c r="D815" t="str">
        <x:v>PH-SEV-086</x:v>
      </x:c>
      <x:c r="E815" s="23" t="str">
        <x:v>OPEN</x:v>
      </x:c>
      <x:c r="F815" s="23" t="str">
        <x:f>'Release Gates'!I815</x:f>
        <x:v>OPEN</x:v>
      </x:c>
      <x:c r="G815" t="str">
        <x:f>IF(ABS(IFERROR(E815-F815,0))&lt;0.0001,IF(OR(ISTEXT(E815),ISTEXT(F815)),IF(E815=F815,"PASS","FAIL"),"PASS"),"FAIL")</x:f>
        <x:v>PASS</x:v>
      </x:c>
      <x:c r="H815" t="str">
        <x:f>G815</x:f>
        <x:v>PASS</x:v>
      </x:c>
    </x:row>
    <x:row r="816">
      <x:c r="B816" t="str">
        <x:v>A-PH-327</x:v>
      </x:c>
      <x:c r="C816" t="str">
        <x:v>gate</x:v>
      </x:c>
      <x:c r="D816" t="str">
        <x:v>PH-SEV-087</x:v>
      </x:c>
      <x:c r="E816" s="23" t="str">
        <x:v>OPEN</x:v>
      </x:c>
      <x:c r="F816" s="23" t="str">
        <x:f>'Release Gates'!I816</x:f>
        <x:v>OPEN</x:v>
      </x:c>
      <x:c r="G816" t="str">
        <x:f>IF(ABS(IFERROR(E816-F816,0))&lt;0.0001,IF(OR(ISTEXT(E816),ISTEXT(F816)),IF(E816=F816,"PASS","FAIL"),"PASS"),"FAIL")</x:f>
        <x:v>PASS</x:v>
      </x:c>
      <x:c r="H816" t="str">
        <x:f>G816</x:f>
        <x:v>PASS</x:v>
      </x:c>
    </x:row>
    <x:row r="817">
      <x:c r="B817" t="str">
        <x:v>A-PH-328</x:v>
      </x:c>
      <x:c r="C817" t="str">
        <x:v>gate</x:v>
      </x:c>
      <x:c r="D817" t="str">
        <x:v>PH-SEV-088</x:v>
      </x:c>
      <x:c r="E817" s="23" t="str">
        <x:v>OPEN</x:v>
      </x:c>
      <x:c r="F817" s="23" t="str">
        <x:f>'Release Gates'!I817</x:f>
        <x:v>OPEN</x:v>
      </x:c>
      <x:c r="G817" t="str">
        <x:f>IF(ABS(IFERROR(E817-F817,0))&lt;0.0001,IF(OR(ISTEXT(E817),ISTEXT(F817)),IF(E817=F817,"PASS","FAIL"),"PASS"),"FAIL")</x:f>
        <x:v>PASS</x:v>
      </x:c>
      <x:c r="H817" t="str">
        <x:f>G817</x:f>
        <x:v>PASS</x:v>
      </x:c>
    </x:row>
    <x:row r="818">
      <x:c r="B818" t="str">
        <x:v>A-PH-329</x:v>
      </x:c>
      <x:c r="C818" t="str">
        <x:v>gate</x:v>
      </x:c>
      <x:c r="D818" t="str">
        <x:v>PH-SEV-089</x:v>
      </x:c>
      <x:c r="E818" s="23" t="str">
        <x:v>OPEN</x:v>
      </x:c>
      <x:c r="F818" s="23" t="str">
        <x:f>'Release Gates'!I818</x:f>
        <x:v>OPEN</x:v>
      </x:c>
      <x:c r="G818" t="str">
        <x:f>IF(ABS(IFERROR(E818-F818,0))&lt;0.0001,IF(OR(ISTEXT(E818),ISTEXT(F818)),IF(E818=F818,"PASS","FAIL"),"PASS"),"FAIL")</x:f>
        <x:v>PASS</x:v>
      </x:c>
      <x:c r="H818" t="str">
        <x:f>G818</x:f>
        <x:v>PASS</x:v>
      </x:c>
    </x:row>
    <x:row r="819">
      <x:c r="B819" t="str">
        <x:v>A-PH-330</x:v>
      </x:c>
      <x:c r="C819" t="str">
        <x:v>gate</x:v>
      </x:c>
      <x:c r="D819" t="str">
        <x:v>PH-SEV-090</x:v>
      </x:c>
      <x:c r="E819" s="23" t="str">
        <x:v>OPEN</x:v>
      </x:c>
      <x:c r="F819" s="23" t="str">
        <x:f>'Release Gates'!I819</x:f>
        <x:v>OPEN</x:v>
      </x:c>
      <x:c r="G819" t="str">
        <x:f>IF(ABS(IFERROR(E819-F819,0))&lt;0.0001,IF(OR(ISTEXT(E819),ISTEXT(F819)),IF(E819=F819,"PASS","FAIL"),"PASS"),"FAIL")</x:f>
        <x:v>PASS</x:v>
      </x:c>
      <x:c r="H819" t="str">
        <x:f>G819</x:f>
        <x:v>PASS</x:v>
      </x:c>
    </x:row>
    <x:row r="820">
      <x:c r="B820" t="str">
        <x:v>A-PH-331</x:v>
      </x:c>
      <x:c r="C820" t="str">
        <x:v>gate</x:v>
      </x:c>
      <x:c r="D820" t="str">
        <x:v>PH-SEV-091</x:v>
      </x:c>
      <x:c r="E820" s="23" t="str">
        <x:v>OPEN</x:v>
      </x:c>
      <x:c r="F820" s="23" t="str">
        <x:f>'Release Gates'!I820</x:f>
        <x:v>OPEN</x:v>
      </x:c>
      <x:c r="G820" t="str">
        <x:f>IF(ABS(IFERROR(E820-F820,0))&lt;0.0001,IF(OR(ISTEXT(E820),ISTEXT(F820)),IF(E820=F820,"PASS","FAIL"),"PASS"),"FAIL")</x:f>
        <x:v>PASS</x:v>
      </x:c>
      <x:c r="H820" t="str">
        <x:f>G820</x:f>
        <x:v>PASS</x:v>
      </x:c>
    </x:row>
    <x:row r="821">
      <x:c r="B821" t="str">
        <x:v>A-PH-332</x:v>
      </x:c>
      <x:c r="C821" t="str">
        <x:v>gate</x:v>
      </x:c>
      <x:c r="D821" t="str">
        <x:v>PH-SEV-092</x:v>
      </x:c>
      <x:c r="E821" s="23" t="str">
        <x:v>OPEN</x:v>
      </x:c>
      <x:c r="F821" s="23" t="str">
        <x:f>'Release Gates'!I821</x:f>
        <x:v>OPEN</x:v>
      </x:c>
      <x:c r="G821" t="str">
        <x:f>IF(ABS(IFERROR(E821-F821,0))&lt;0.0001,IF(OR(ISTEXT(E821),ISTEXT(F821)),IF(E821=F821,"PASS","FAIL"),"PASS"),"FAIL")</x:f>
        <x:v>PASS</x:v>
      </x:c>
      <x:c r="H821" t="str">
        <x:f>G821</x:f>
        <x:v>PASS</x:v>
      </x:c>
    </x:row>
    <x:row r="822">
      <x:c r="B822" t="str">
        <x:v>A-PH-333</x:v>
      </x:c>
      <x:c r="C822" t="str">
        <x:v>gate</x:v>
      </x:c>
      <x:c r="D822" t="str">
        <x:v>PH-SEV-093</x:v>
      </x:c>
      <x:c r="E822" s="23" t="str">
        <x:v>OPEN</x:v>
      </x:c>
      <x:c r="F822" s="23" t="str">
        <x:f>'Release Gates'!I822</x:f>
        <x:v>OPEN</x:v>
      </x:c>
      <x:c r="G822" t="str">
        <x:f>IF(ABS(IFERROR(E822-F822,0))&lt;0.0001,IF(OR(ISTEXT(E822),ISTEXT(F822)),IF(E822=F822,"PASS","FAIL"),"PASS"),"FAIL")</x:f>
        <x:v>PASS</x:v>
      </x:c>
      <x:c r="H822" t="str">
        <x:f>G822</x:f>
        <x:v>PASS</x:v>
      </x:c>
    </x:row>
    <x:row r="823">
      <x:c r="B823" t="str">
        <x:v>A-PH-334</x:v>
      </x:c>
      <x:c r="C823" t="str">
        <x:v>gate</x:v>
      </x:c>
      <x:c r="D823" t="str">
        <x:v>PH-SEV-094</x:v>
      </x:c>
      <x:c r="E823" s="23" t="str">
        <x:v>OPEN</x:v>
      </x:c>
      <x:c r="F823" s="23" t="str">
        <x:f>'Release Gates'!I823</x:f>
        <x:v>OPEN</x:v>
      </x:c>
      <x:c r="G823" t="str">
        <x:f>IF(ABS(IFERROR(E823-F823,0))&lt;0.0001,IF(OR(ISTEXT(E823),ISTEXT(F823)),IF(E823=F823,"PASS","FAIL"),"PASS"),"FAIL")</x:f>
        <x:v>PASS</x:v>
      </x:c>
      <x:c r="H823" t="str">
        <x:f>G823</x:f>
        <x:v>PASS</x:v>
      </x:c>
    </x:row>
    <x:row r="824">
      <x:c r="B824" t="str">
        <x:v>A-PH-335</x:v>
      </x:c>
      <x:c r="C824" t="str">
        <x:v>gate</x:v>
      </x:c>
      <x:c r="D824" t="str">
        <x:v>PH-SEV-095</x:v>
      </x:c>
      <x:c r="E824" s="23" t="str">
        <x:v>OPEN</x:v>
      </x:c>
      <x:c r="F824" s="23" t="str">
        <x:f>'Release Gates'!I824</x:f>
        <x:v>OPEN</x:v>
      </x:c>
      <x:c r="G824" t="str">
        <x:f>IF(ABS(IFERROR(E824-F824,0))&lt;0.0001,IF(OR(ISTEXT(E824),ISTEXT(F824)),IF(E824=F824,"PASS","FAIL"),"PASS"),"FAIL")</x:f>
        <x:v>PASS</x:v>
      </x:c>
      <x:c r="H824" t="str">
        <x:f>G824</x:f>
        <x:v>PASS</x:v>
      </x:c>
    </x:row>
    <x:row r="825">
      <x:c r="B825" t="str">
        <x:v>A-PH-336</x:v>
      </x:c>
      <x:c r="C825" t="str">
        <x:v>gate</x:v>
      </x:c>
      <x:c r="D825" t="str">
        <x:v>PH-SEV-096</x:v>
      </x:c>
      <x:c r="E825" s="23" t="str">
        <x:v>OPEN</x:v>
      </x:c>
      <x:c r="F825" s="23" t="str">
        <x:f>'Release Gates'!I825</x:f>
        <x:v>OPEN</x:v>
      </x:c>
      <x:c r="G825" t="str">
        <x:f>IF(ABS(IFERROR(E825-F825,0))&lt;0.0001,IF(OR(ISTEXT(E825),ISTEXT(F825)),IF(E825=F825,"PASS","FAIL"),"PASS"),"FAIL")</x:f>
        <x:v>PASS</x:v>
      </x:c>
      <x:c r="H825" t="str">
        <x:f>G825</x:f>
        <x:v>PASS</x:v>
      </x:c>
    </x:row>
    <x:row r="826">
      <x:c r="B826" t="str">
        <x:v>A-PH-337</x:v>
      </x:c>
      <x:c r="C826" t="str">
        <x:v>gate</x:v>
      </x:c>
      <x:c r="D826" t="str">
        <x:v>PH-SEV-097</x:v>
      </x:c>
      <x:c r="E826" s="23" t="str">
        <x:v>OPEN</x:v>
      </x:c>
      <x:c r="F826" s="23" t="str">
        <x:f>'Release Gates'!I826</x:f>
        <x:v>OPEN</x:v>
      </x:c>
      <x:c r="G826" t="str">
        <x:f>IF(ABS(IFERROR(E826-F826,0))&lt;0.0001,IF(OR(ISTEXT(E826),ISTEXT(F826)),IF(E826=F826,"PASS","FAIL"),"PASS"),"FAIL")</x:f>
        <x:v>PASS</x:v>
      </x:c>
      <x:c r="H826" t="str">
        <x:f>G826</x:f>
        <x:v>PASS</x:v>
      </x:c>
    </x:row>
    <x:row r="827">
      <x:c r="B827" t="str">
        <x:v>A-PH-338</x:v>
      </x:c>
      <x:c r="C827" t="str">
        <x:v>gate</x:v>
      </x:c>
      <x:c r="D827" t="str">
        <x:v>PH-SEV-098</x:v>
      </x:c>
      <x:c r="E827" s="23" t="str">
        <x:v>OPEN</x:v>
      </x:c>
      <x:c r="F827" s="23" t="str">
        <x:f>'Release Gates'!I827</x:f>
        <x:v>OPEN</x:v>
      </x:c>
      <x:c r="G827" t="str">
        <x:f>IF(ABS(IFERROR(E827-F827,0))&lt;0.0001,IF(OR(ISTEXT(E827),ISTEXT(F827)),IF(E827=F827,"PASS","FAIL"),"PASS"),"FAIL")</x:f>
        <x:v>PASS</x:v>
      </x:c>
      <x:c r="H827" t="str">
        <x:f>G827</x:f>
        <x:v>PASS</x:v>
      </x:c>
    </x:row>
    <x:row r="828">
      <x:c r="B828" t="str">
        <x:v>A-PH-339</x:v>
      </x:c>
      <x:c r="C828" t="str">
        <x:v>gate</x:v>
      </x:c>
      <x:c r="D828" t="str">
        <x:v>PH-SEV-099</x:v>
      </x:c>
      <x:c r="E828" s="23" t="str">
        <x:v>OPEN</x:v>
      </x:c>
      <x:c r="F828" s="23" t="str">
        <x:f>'Release Gates'!I828</x:f>
        <x:v>OPEN</x:v>
      </x:c>
      <x:c r="G828" t="str">
        <x:f>IF(ABS(IFERROR(E828-F828,0))&lt;0.0001,IF(OR(ISTEXT(E828),ISTEXT(F828)),IF(E828=F828,"PASS","FAIL"),"PASS"),"FAIL")</x:f>
        <x:v>PASS</x:v>
      </x:c>
      <x:c r="H828" t="str">
        <x:f>G828</x:f>
        <x:v>PASS</x:v>
      </x:c>
    </x:row>
    <x:row r="829">
      <x:c r="B829" t="str">
        <x:v>A-PH-340</x:v>
      </x:c>
      <x:c r="C829" t="str">
        <x:v>gate</x:v>
      </x:c>
      <x:c r="D829" t="str">
        <x:v>PH-SEV-100</x:v>
      </x:c>
      <x:c r="E829" s="23" t="str">
        <x:v>OPEN</x:v>
      </x:c>
      <x:c r="F829" s="23" t="str">
        <x:f>'Release Gates'!I829</x:f>
        <x:v>OPEN</x:v>
      </x:c>
      <x:c r="G829" t="str">
        <x:f>IF(ABS(IFERROR(E829-F829,0))&lt;0.0001,IF(OR(ISTEXT(E829),ISTEXT(F829)),IF(E829=F829,"PASS","FAIL"),"PASS"),"FAIL")</x:f>
        <x:v>PASS</x:v>
      </x:c>
      <x:c r="H829" t="str">
        <x:f>G829</x:f>
        <x:v>PASS</x:v>
      </x:c>
    </x:row>
    <x:row r="830">
      <x:c r="B830" t="str">
        <x:v>A-PH-341</x:v>
      </x:c>
      <x:c r="C830" t="str">
        <x:v>gate</x:v>
      </x:c>
      <x:c r="D830" t="str">
        <x:v>PH-SEV-101</x:v>
      </x:c>
      <x:c r="E830" s="23" t="str">
        <x:v>OPEN</x:v>
      </x:c>
      <x:c r="F830" s="23" t="str">
        <x:f>'Release Gates'!I830</x:f>
        <x:v>OPEN</x:v>
      </x:c>
      <x:c r="G830" t="str">
        <x:f>IF(ABS(IFERROR(E830-F830,0))&lt;0.0001,IF(OR(ISTEXT(E830),ISTEXT(F830)),IF(E830=F830,"PASS","FAIL"),"PASS"),"FAIL")</x:f>
        <x:v>PASS</x:v>
      </x:c>
      <x:c r="H830" t="str">
        <x:f>G830</x:f>
        <x:v>PASS</x:v>
      </x:c>
    </x:row>
    <x:row r="831">
      <x:c r="B831" t="str">
        <x:v>A-PH-342</x:v>
      </x:c>
      <x:c r="C831" t="str">
        <x:v>gate</x:v>
      </x:c>
      <x:c r="D831" t="str">
        <x:v>PH-SEV-102</x:v>
      </x:c>
      <x:c r="E831" s="23" t="str">
        <x:v>OPEN</x:v>
      </x:c>
      <x:c r="F831" s="23" t="str">
        <x:f>'Release Gates'!I831</x:f>
        <x:v>OPEN</x:v>
      </x:c>
      <x:c r="G831" t="str">
        <x:f>IF(ABS(IFERROR(E831-F831,0))&lt;0.0001,IF(OR(ISTEXT(E831),ISTEXT(F831)),IF(E831=F831,"PASS","FAIL"),"PASS"),"FAIL")</x:f>
        <x:v>PASS</x:v>
      </x:c>
      <x:c r="H831" t="str">
        <x:f>G831</x:f>
        <x:v>PASS</x:v>
      </x:c>
    </x:row>
    <x:row r="832">
      <x:c r="B832" t="str">
        <x:v>A-PH-343</x:v>
      </x:c>
      <x:c r="C832" t="str">
        <x:v>gate</x:v>
      </x:c>
      <x:c r="D832" t="str">
        <x:v>PH-SEV-103</x:v>
      </x:c>
      <x:c r="E832" s="23" t="str">
        <x:v>OPEN</x:v>
      </x:c>
      <x:c r="F832" s="23" t="str">
        <x:f>'Release Gates'!I832</x:f>
        <x:v>OPEN</x:v>
      </x:c>
      <x:c r="G832" t="str">
        <x:f>IF(ABS(IFERROR(E832-F832,0))&lt;0.0001,IF(OR(ISTEXT(E832),ISTEXT(F832)),IF(E832=F832,"PASS","FAIL"),"PASS"),"FAIL")</x:f>
        <x:v>PASS</x:v>
      </x:c>
      <x:c r="H832" t="str">
        <x:f>G832</x:f>
        <x:v>PASS</x:v>
      </x:c>
    </x:row>
    <x:row r="833">
      <x:c r="B833" t="str">
        <x:v>A-PH-344</x:v>
      </x:c>
      <x:c r="C833" t="str">
        <x:v>gate</x:v>
      </x:c>
      <x:c r="D833" t="str">
        <x:v>PH-SEV-104</x:v>
      </x:c>
      <x:c r="E833" s="23" t="str">
        <x:v>OPEN</x:v>
      </x:c>
      <x:c r="F833" s="23" t="str">
        <x:f>'Release Gates'!I833</x:f>
        <x:v>OPEN</x:v>
      </x:c>
      <x:c r="G833" t="str">
        <x:f>IF(ABS(IFERROR(E833-F833,0))&lt;0.0001,IF(OR(ISTEXT(E833),ISTEXT(F833)),IF(E833=F833,"PASS","FAIL"),"PASS"),"FAIL")</x:f>
        <x:v>PASS</x:v>
      </x:c>
      <x:c r="H833" t="str">
        <x:f>G833</x:f>
        <x:v>PASS</x:v>
      </x:c>
    </x:row>
    <x:row r="834">
      <x:c r="B834" t="str">
        <x:v>A-PH-345</x:v>
      </x:c>
      <x:c r="C834" t="str">
        <x:v>gate</x:v>
      </x:c>
      <x:c r="D834" t="str">
        <x:v>PH-SEV-105</x:v>
      </x:c>
      <x:c r="E834" s="23" t="str">
        <x:v>OPEN</x:v>
      </x:c>
      <x:c r="F834" s="23" t="str">
        <x:f>'Release Gates'!I834</x:f>
        <x:v>OPEN</x:v>
      </x:c>
      <x:c r="G834" t="str">
        <x:f>IF(ABS(IFERROR(E834-F834,0))&lt;0.0001,IF(OR(ISTEXT(E834),ISTEXT(F834)),IF(E834=F834,"PASS","FAIL"),"PASS"),"FAIL")</x:f>
        <x:v>PASS</x:v>
      </x:c>
      <x:c r="H834" t="str">
        <x:f>G834</x:f>
        <x:v>PASS</x:v>
      </x:c>
    </x:row>
    <x:row r="835">
      <x:c r="B835" t="str">
        <x:v>A-PH-346</x:v>
      </x:c>
      <x:c r="C835" t="str">
        <x:v>gate</x:v>
      </x:c>
      <x:c r="D835" t="str">
        <x:v>PH-SEV-106</x:v>
      </x:c>
      <x:c r="E835" s="23" t="str">
        <x:v>OPEN</x:v>
      </x:c>
      <x:c r="F835" s="23" t="str">
        <x:f>'Release Gates'!I835</x:f>
        <x:v>OPEN</x:v>
      </x:c>
      <x:c r="G835" t="str">
        <x:f>IF(ABS(IFERROR(E835-F835,0))&lt;0.0001,IF(OR(ISTEXT(E835),ISTEXT(F835)),IF(E835=F835,"PASS","FAIL"),"PASS"),"FAIL")</x:f>
        <x:v>PASS</x:v>
      </x:c>
      <x:c r="H835" t="str">
        <x:f>G835</x:f>
        <x:v>PASS</x:v>
      </x:c>
    </x:row>
    <x:row r="836">
      <x:c r="B836" t="str">
        <x:v>A-PH-347</x:v>
      </x:c>
      <x:c r="C836" t="str">
        <x:v>gate</x:v>
      </x:c>
      <x:c r="D836" t="str">
        <x:v>PH-SEV-107</x:v>
      </x:c>
      <x:c r="E836" s="23" t="str">
        <x:v>OPEN</x:v>
      </x:c>
      <x:c r="F836" s="23" t="str">
        <x:f>'Release Gates'!I836</x:f>
        <x:v>OPEN</x:v>
      </x:c>
      <x:c r="G836" t="str">
        <x:f>IF(ABS(IFERROR(E836-F836,0))&lt;0.0001,IF(OR(ISTEXT(E836),ISTEXT(F836)),IF(E836=F836,"PASS","FAIL"),"PASS"),"FAIL")</x:f>
        <x:v>PASS</x:v>
      </x:c>
      <x:c r="H836" t="str">
        <x:f>G836</x:f>
        <x:v>PASS</x:v>
      </x:c>
    </x:row>
    <x:row r="837">
      <x:c r="B837" t="str">
        <x:v>A-PH-348</x:v>
      </x:c>
      <x:c r="C837" t="str">
        <x:v>gate</x:v>
      </x:c>
      <x:c r="D837" t="str">
        <x:v>PH-SEV-108</x:v>
      </x:c>
      <x:c r="E837" s="23" t="str">
        <x:v>OPEN</x:v>
      </x:c>
      <x:c r="F837" s="23" t="str">
        <x:f>'Release Gates'!I837</x:f>
        <x:v>OPEN</x:v>
      </x:c>
      <x:c r="G837" t="str">
        <x:f>IF(ABS(IFERROR(E837-F837,0))&lt;0.0001,IF(OR(ISTEXT(E837),ISTEXT(F837)),IF(E837=F837,"PASS","FAIL"),"PASS"),"FAIL")</x:f>
        <x:v>PASS</x:v>
      </x:c>
      <x:c r="H837" t="str">
        <x:f>G837</x:f>
        <x:v>PASS</x:v>
      </x:c>
    </x:row>
    <x:row r="838">
      <x:c r="B838" t="str">
        <x:v>A-PH-349</x:v>
      </x:c>
      <x:c r="C838" t="str">
        <x:v>gate</x:v>
      </x:c>
      <x:c r="D838" t="str">
        <x:v>PH-SEV-109</x:v>
      </x:c>
      <x:c r="E838" s="23" t="str">
        <x:v>OPEN</x:v>
      </x:c>
      <x:c r="F838" s="23" t="str">
        <x:f>'Release Gates'!I838</x:f>
        <x:v>OPEN</x:v>
      </x:c>
      <x:c r="G838" t="str">
        <x:f>IF(ABS(IFERROR(E838-F838,0))&lt;0.0001,IF(OR(ISTEXT(E838),ISTEXT(F838)),IF(E838=F838,"PASS","FAIL"),"PASS"),"FAIL")</x:f>
        <x:v>PASS</x:v>
      </x:c>
      <x:c r="H838" t="str">
        <x:f>G838</x:f>
        <x:v>PASS</x:v>
      </x:c>
    </x:row>
    <x:row r="839">
      <x:c r="B839" t="str">
        <x:v>A-PH-350</x:v>
      </x:c>
      <x:c r="C839" t="str">
        <x:v>gate</x:v>
      </x:c>
      <x:c r="D839" t="str">
        <x:v>PH-SEV-110</x:v>
      </x:c>
      <x:c r="E839" s="23" t="str">
        <x:v>OPEN</x:v>
      </x:c>
      <x:c r="F839" s="23" t="str">
        <x:f>'Release Gates'!I839</x:f>
        <x:v>OPEN</x:v>
      </x:c>
      <x:c r="G839" t="str">
        <x:f>IF(ABS(IFERROR(E839-F839,0))&lt;0.0001,IF(OR(ISTEXT(E839),ISTEXT(F839)),IF(E839=F839,"PASS","FAIL"),"PASS"),"FAIL")</x:f>
        <x:v>PASS</x:v>
      </x:c>
      <x:c r="H839" t="str">
        <x:f>G839</x:f>
        <x:v>PASS</x:v>
      </x:c>
    </x:row>
    <x:row r="840">
      <x:c r="B840" t="str">
        <x:v>A-PH-351</x:v>
      </x:c>
      <x:c r="C840" t="str">
        <x:v>gate</x:v>
      </x:c>
      <x:c r="D840" t="str">
        <x:v>PH-SEV-111</x:v>
      </x:c>
      <x:c r="E840" s="23" t="str">
        <x:v>OPEN</x:v>
      </x:c>
      <x:c r="F840" s="23" t="str">
        <x:f>'Release Gates'!I840</x:f>
        <x:v>OPEN</x:v>
      </x:c>
      <x:c r="G840" t="str">
        <x:f>IF(ABS(IFERROR(E840-F840,0))&lt;0.0001,IF(OR(ISTEXT(E840),ISTEXT(F840)),IF(E840=F840,"PASS","FAIL"),"PASS"),"FAIL")</x:f>
        <x:v>PASS</x:v>
      </x:c>
      <x:c r="H840" t="str">
        <x:f>G840</x:f>
        <x:v>PASS</x:v>
      </x:c>
    </x:row>
    <x:row r="841">
      <x:c r="B841" t="str">
        <x:v>A-PH-352</x:v>
      </x:c>
      <x:c r="C841" t="str">
        <x:v>gate</x:v>
      </x:c>
      <x:c r="D841" t="str">
        <x:v>PH-SEV-112</x:v>
      </x:c>
      <x:c r="E841" s="23" t="str">
        <x:v>OPEN</x:v>
      </x:c>
      <x:c r="F841" s="23" t="str">
        <x:f>'Release Gates'!I841</x:f>
        <x:v>OPEN</x:v>
      </x:c>
      <x:c r="G841" t="str">
        <x:f>IF(ABS(IFERROR(E841-F841,0))&lt;0.0001,IF(OR(ISTEXT(E841),ISTEXT(F841)),IF(E841=F841,"PASS","FAIL"),"PASS"),"FAIL")</x:f>
        <x:v>PASS</x:v>
      </x:c>
      <x:c r="H841" t="str">
        <x:f>G841</x:f>
        <x:v>PASS</x:v>
      </x:c>
    </x:row>
    <x:row r="842">
      <x:c r="B842" t="str">
        <x:v>A-PH-353</x:v>
      </x:c>
      <x:c r="C842" t="str">
        <x:v>gate</x:v>
      </x:c>
      <x:c r="D842" t="str">
        <x:v>PH-SEV-113</x:v>
      </x:c>
      <x:c r="E842" s="23" t="str">
        <x:v>OPEN</x:v>
      </x:c>
      <x:c r="F842" s="23" t="str">
        <x:f>'Release Gates'!I842</x:f>
        <x:v>OPEN</x:v>
      </x:c>
      <x:c r="G842" t="str">
        <x:f>IF(ABS(IFERROR(E842-F842,0))&lt;0.0001,IF(OR(ISTEXT(E842),ISTEXT(F842)),IF(E842=F842,"PASS","FAIL"),"PASS"),"FAIL")</x:f>
        <x:v>PASS</x:v>
      </x:c>
      <x:c r="H842" t="str">
        <x:f>G842</x:f>
        <x:v>PASS</x:v>
      </x:c>
    </x:row>
    <x:row r="843">
      <x:c r="B843" t="str">
        <x:v>A-PH-354</x:v>
      </x:c>
      <x:c r="C843" t="str">
        <x:v>gate</x:v>
      </x:c>
      <x:c r="D843" t="str">
        <x:v>PH-SEV-114</x:v>
      </x:c>
      <x:c r="E843" s="23" t="str">
        <x:v>OPEN</x:v>
      </x:c>
      <x:c r="F843" s="23" t="str">
        <x:f>'Release Gates'!I843</x:f>
        <x:v>OPEN</x:v>
      </x:c>
      <x:c r="G843" t="str">
        <x:f>IF(ABS(IFERROR(E843-F843,0))&lt;0.0001,IF(OR(ISTEXT(E843),ISTEXT(F843)),IF(E843=F843,"PASS","FAIL"),"PASS"),"FAIL")</x:f>
        <x:v>PASS</x:v>
      </x:c>
      <x:c r="H843" t="str">
        <x:f>G843</x:f>
        <x:v>PASS</x:v>
      </x:c>
    </x:row>
    <x:row r="844">
      <x:c r="B844" t="str">
        <x:v>A-PH-355</x:v>
      </x:c>
      <x:c r="C844" t="str">
        <x:v>gate</x:v>
      </x:c>
      <x:c r="D844" t="str">
        <x:v>PH-PRO-01</x:v>
      </x:c>
      <x:c r="E844" s="23" t="str">
        <x:v>OPEN</x:v>
      </x:c>
      <x:c r="F844" s="23" t="str">
        <x:f>'Release Gates'!I844</x:f>
        <x:v>OPEN</x:v>
      </x:c>
      <x:c r="G844" t="str">
        <x:f>IF(ABS(IFERROR(E844-F844,0))&lt;0.0001,IF(OR(ISTEXT(E844),ISTEXT(F844)),IF(E844=F844,"PASS","FAIL"),"PASS"),"FAIL")</x:f>
        <x:v>PASS</x:v>
      </x:c>
      <x:c r="H844" t="str">
        <x:f>G844</x:f>
        <x:v>PASS</x:v>
      </x:c>
    </x:row>
    <x:row r="845">
      <x:c r="B845" t="str">
        <x:v>A-PH-356</x:v>
      </x:c>
      <x:c r="C845" t="str">
        <x:v>gate</x:v>
      </x:c>
      <x:c r="D845" t="str">
        <x:v>PH-PRO-02</x:v>
      </x:c>
      <x:c r="E845" s="23" t="str">
        <x:v>OPEN</x:v>
      </x:c>
      <x:c r="F845" s="23" t="str">
        <x:f>'Release Gates'!I845</x:f>
        <x:v>OPEN</x:v>
      </x:c>
      <x:c r="G845" t="str">
        <x:f>IF(ABS(IFERROR(E845-F845,0))&lt;0.0001,IF(OR(ISTEXT(E845),ISTEXT(F845)),IF(E845=F845,"PASS","FAIL"),"PASS"),"FAIL")</x:f>
        <x:v>PASS</x:v>
      </x:c>
      <x:c r="H845" t="str">
        <x:f>G845</x:f>
        <x:v>PASS</x:v>
      </x:c>
    </x:row>
    <x:row r="846">
      <x:c r="B846" t="str">
        <x:v>A-PH-357</x:v>
      </x:c>
      <x:c r="C846" t="str">
        <x:v>gate</x:v>
      </x:c>
      <x:c r="D846" t="str">
        <x:v>PH-PRO-03</x:v>
      </x:c>
      <x:c r="E846" s="23" t="str">
        <x:v>OPEN</x:v>
      </x:c>
      <x:c r="F846" s="23" t="str">
        <x:f>'Release Gates'!I846</x:f>
        <x:v>OPEN</x:v>
      </x:c>
      <x:c r="G846" t="str">
        <x:f>IF(ABS(IFERROR(E846-F846,0))&lt;0.0001,IF(OR(ISTEXT(E846),ISTEXT(F846)),IF(E846=F846,"PASS","FAIL"),"PASS"),"FAIL")</x:f>
        <x:v>PASS</x:v>
      </x:c>
      <x:c r="H846" t="str">
        <x:f>G846</x:f>
        <x:v>PASS</x:v>
      </x:c>
    </x:row>
    <x:row r="847">
      <x:c r="B847" t="str">
        <x:v>A-PH-358</x:v>
      </x:c>
      <x:c r="C847" t="str">
        <x:v>gate</x:v>
      </x:c>
      <x:c r="D847" t="str">
        <x:v>PH-PRO-04</x:v>
      </x:c>
      <x:c r="E847" s="23" t="str">
        <x:v>OPEN</x:v>
      </x:c>
      <x:c r="F847" s="23" t="str">
        <x:f>'Release Gates'!I847</x:f>
        <x:v>OPEN</x:v>
      </x:c>
      <x:c r="G847" t="str">
        <x:f>IF(ABS(IFERROR(E847-F847,0))&lt;0.0001,IF(OR(ISTEXT(E847),ISTEXT(F847)),IF(E847=F847,"PASS","FAIL"),"PASS"),"FAIL")</x:f>
        <x:v>PASS</x:v>
      </x:c>
      <x:c r="H847" t="str">
        <x:f>G847</x:f>
        <x:v>PASS</x:v>
      </x:c>
    </x:row>
    <x:row r="848">
      <x:c r="B848" t="str">
        <x:v>A-PH-359</x:v>
      </x:c>
      <x:c r="C848" t="str">
        <x:v>gate</x:v>
      </x:c>
      <x:c r="D848" t="str">
        <x:v>PH-PRO-05</x:v>
      </x:c>
      <x:c r="E848" s="23" t="str">
        <x:v>OPEN</x:v>
      </x:c>
      <x:c r="F848" s="23" t="str">
        <x:f>'Release Gates'!I848</x:f>
        <x:v>OPEN</x:v>
      </x:c>
      <x:c r="G848" t="str">
        <x:f>IF(ABS(IFERROR(E848-F848,0))&lt;0.0001,IF(OR(ISTEXT(E848),ISTEXT(F848)),IF(E848=F848,"PASS","FAIL"),"PASS"),"FAIL")</x:f>
        <x:v>PASS</x:v>
      </x:c>
      <x:c r="H848" t="str">
        <x:f>G848</x:f>
        <x:v>PASS</x:v>
      </x:c>
    </x:row>
    <x:row r="849">
      <x:c r="B849" t="str">
        <x:v>A-PH-360</x:v>
      </x:c>
      <x:c r="C849" t="str">
        <x:v>gate</x:v>
      </x:c>
      <x:c r="D849" t="str">
        <x:v>PH-PRO-06</x:v>
      </x:c>
      <x:c r="E849" s="23" t="str">
        <x:v>OPEN</x:v>
      </x:c>
      <x:c r="F849" s="23" t="str">
        <x:f>'Release Gates'!I849</x:f>
        <x:v>OPEN</x:v>
      </x:c>
      <x:c r="G849" t="str">
        <x:f>IF(ABS(IFERROR(E849-F849,0))&lt;0.0001,IF(OR(ISTEXT(E849),ISTEXT(F849)),IF(E849=F849,"PASS","FAIL"),"PASS"),"FAIL")</x:f>
        <x:v>PASS</x:v>
      </x:c>
      <x:c r="H849" t="str">
        <x:f>G849</x:f>
        <x:v>PASS</x:v>
      </x:c>
    </x:row>
    <x:row r="850">
      <x:c r="B850" t="str">
        <x:v>A-PH-361</x:v>
      </x:c>
      <x:c r="C850" t="str">
        <x:v>gate</x:v>
      </x:c>
      <x:c r="D850" t="str">
        <x:v>PH-PRO-07</x:v>
      </x:c>
      <x:c r="E850" s="23" t="str">
        <x:v>OPEN</x:v>
      </x:c>
      <x:c r="F850" s="23" t="str">
        <x:f>'Release Gates'!I850</x:f>
        <x:v>OPEN</x:v>
      </x:c>
      <x:c r="G850" t="str">
        <x:f>IF(ABS(IFERROR(E850-F850,0))&lt;0.0001,IF(OR(ISTEXT(E850),ISTEXT(F850)),IF(E850=F850,"PASS","FAIL"),"PASS"),"FAIL")</x:f>
        <x:v>PASS</x:v>
      </x:c>
      <x:c r="H850" t="str">
        <x:f>G850</x:f>
        <x:v>PASS</x:v>
      </x:c>
    </x:row>
    <x:row r="851">
      <x:c r="B851" t="str">
        <x:v>A-PH-362</x:v>
      </x:c>
      <x:c r="C851" t="str">
        <x:v>gate</x:v>
      </x:c>
      <x:c r="D851" t="str">
        <x:v>PH-PRO-08</x:v>
      </x:c>
      <x:c r="E851" s="23" t="str">
        <x:v>OPEN</x:v>
      </x:c>
      <x:c r="F851" s="23" t="str">
        <x:f>'Release Gates'!I851</x:f>
        <x:v>OPEN</x:v>
      </x:c>
      <x:c r="G851" t="str">
        <x:f>IF(ABS(IFERROR(E851-F851,0))&lt;0.0001,IF(OR(ISTEXT(E851),ISTEXT(F851)),IF(E851=F851,"PASS","FAIL"),"PASS"),"FAIL")</x:f>
        <x:v>PASS</x:v>
      </x:c>
      <x:c r="H851" t="str">
        <x:f>G851</x:f>
        <x:v>PASS</x:v>
      </x:c>
    </x:row>
    <x:row r="852">
      <x:c r="B852" t="str">
        <x:v>A-PH-363</x:v>
      </x:c>
      <x:c r="C852" t="str">
        <x:v>gate</x:v>
      </x:c>
      <x:c r="D852" t="str">
        <x:v>PH-PRO-09</x:v>
      </x:c>
      <x:c r="E852" s="23" t="str">
        <x:v>OPEN</x:v>
      </x:c>
      <x:c r="F852" s="23" t="str">
        <x:f>'Release Gates'!I852</x:f>
        <x:v>OPEN</x:v>
      </x:c>
      <x:c r="G852" t="str">
        <x:f>IF(ABS(IFERROR(E852-F852,0))&lt;0.0001,IF(OR(ISTEXT(E852),ISTEXT(F852)),IF(E852=F852,"PASS","FAIL"),"PASS"),"FAIL")</x:f>
        <x:v>PASS</x:v>
      </x:c>
      <x:c r="H852" t="str">
        <x:f>G852</x:f>
        <x:v>PASS</x:v>
      </x:c>
    </x:row>
    <x:row r="853">
      <x:c r="B853" t="str">
        <x:v>A-PH-364</x:v>
      </x:c>
      <x:c r="C853" t="str">
        <x:v>gate</x:v>
      </x:c>
      <x:c r="D853" t="str">
        <x:v>PH-PRO-10</x:v>
      </x:c>
      <x:c r="E853" s="23" t="str">
        <x:v>OPEN</x:v>
      </x:c>
      <x:c r="F853" s="23" t="str">
        <x:f>'Release Gates'!I853</x:f>
        <x:v>OPEN</x:v>
      </x:c>
      <x:c r="G853" t="str">
        <x:f>IF(ABS(IFERROR(E853-F853,0))&lt;0.0001,IF(OR(ISTEXT(E853),ISTEXT(F853)),IF(E853=F853,"PASS","FAIL"),"PASS"),"FAIL")</x:f>
        <x:v>PASS</x:v>
      </x:c>
      <x:c r="H853" t="str">
        <x:f>G853</x:f>
        <x:v>PASS</x:v>
      </x:c>
    </x:row>
    <x:row r="854">
      <x:c r="B854" t="str">
        <x:v>A-PH-365</x:v>
      </x:c>
      <x:c r="C854" t="str">
        <x:v>gate</x:v>
      </x:c>
      <x:c r="D854" t="str">
        <x:v>PH-PRO-11</x:v>
      </x:c>
      <x:c r="E854" s="23" t="str">
        <x:v>OPEN</x:v>
      </x:c>
      <x:c r="F854" s="23" t="str">
        <x:f>'Release Gates'!I854</x:f>
        <x:v>OPEN</x:v>
      </x:c>
      <x:c r="G854" t="str">
        <x:f>IF(ABS(IFERROR(E854-F854,0))&lt;0.0001,IF(OR(ISTEXT(E854),ISTEXT(F854)),IF(E854=F854,"PASS","FAIL"),"PASS"),"FAIL")</x:f>
        <x:v>PASS</x:v>
      </x:c>
      <x:c r="H854" t="str">
        <x:f>G854</x:f>
        <x:v>PASS</x:v>
      </x:c>
    </x:row>
    <x:row r="855">
      <x:c r="B855" t="str">
        <x:v>A-PH-366</x:v>
      </x:c>
      <x:c r="C855" t="str">
        <x:v>gate</x:v>
      </x:c>
      <x:c r="D855" t="str">
        <x:v>PH-PRO-12</x:v>
      </x:c>
      <x:c r="E855" s="23" t="str">
        <x:v>OPEN</x:v>
      </x:c>
      <x:c r="F855" s="23" t="str">
        <x:f>'Release Gates'!I855</x:f>
        <x:v>OPEN</x:v>
      </x:c>
      <x:c r="G855" t="str">
        <x:f>IF(ABS(IFERROR(E855-F855,0))&lt;0.0001,IF(OR(ISTEXT(E855),ISTEXT(F855)),IF(E855=F855,"PASS","FAIL"),"PASS"),"FAIL")</x:f>
        <x:v>PASS</x:v>
      </x:c>
      <x:c r="H855" t="str">
        <x:f>G855</x:f>
        <x:v>PASS</x:v>
      </x:c>
    </x:row>
    <x:row r="856">
      <x:c r="B856" t="str">
        <x:v>A-PH-367</x:v>
      </x:c>
      <x:c r="C856" t="str">
        <x:v>gate</x:v>
      </x:c>
      <x:c r="D856" t="str">
        <x:v>PH-PRO-13</x:v>
      </x:c>
      <x:c r="E856" s="23" t="str">
        <x:v>OPEN</x:v>
      </x:c>
      <x:c r="F856" s="23" t="str">
        <x:f>'Release Gates'!I856</x:f>
        <x:v>OPEN</x:v>
      </x:c>
      <x:c r="G856" t="str">
        <x:f>IF(ABS(IFERROR(E856-F856,0))&lt;0.0001,IF(OR(ISTEXT(E856),ISTEXT(F856)),IF(E856=F856,"PASS","FAIL"),"PASS"),"FAIL")</x:f>
        <x:v>PASS</x:v>
      </x:c>
      <x:c r="H856" t="str">
        <x:f>G856</x:f>
        <x:v>PASS</x:v>
      </x:c>
    </x:row>
    <x:row r="857">
      <x:c r="B857" t="str">
        <x:v>A-PH-368</x:v>
      </x:c>
      <x:c r="C857" t="str">
        <x:v>gate</x:v>
      </x:c>
      <x:c r="D857" t="str">
        <x:v>PH-PRO-14</x:v>
      </x:c>
      <x:c r="E857" s="23" t="str">
        <x:v>OPEN</x:v>
      </x:c>
      <x:c r="F857" s="23" t="str">
        <x:f>'Release Gates'!I857</x:f>
        <x:v>OPEN</x:v>
      </x:c>
      <x:c r="G857" t="str">
        <x:f>IF(ABS(IFERROR(E857-F857,0))&lt;0.0001,IF(OR(ISTEXT(E857),ISTEXT(F857)),IF(E857=F857,"PASS","FAIL"),"PASS"),"FAIL")</x:f>
        <x:v>PASS</x:v>
      </x:c>
      <x:c r="H857" t="str">
        <x:f>G857</x:f>
        <x:v>PASS</x:v>
      </x:c>
    </x:row>
    <x:row r="858">
      <x:c r="B858" t="str">
        <x:v>A-PH-369</x:v>
      </x:c>
      <x:c r="C858" t="str">
        <x:v>gate</x:v>
      </x:c>
      <x:c r="D858" t="str">
        <x:v>PH-PRO-15</x:v>
      </x:c>
      <x:c r="E858" s="23" t="str">
        <x:v>OPEN</x:v>
      </x:c>
      <x:c r="F858" s="23" t="str">
        <x:f>'Release Gates'!I858</x:f>
        <x:v>OPEN</x:v>
      </x:c>
      <x:c r="G858" t="str">
        <x:f>IF(ABS(IFERROR(E858-F858,0))&lt;0.0001,IF(OR(ISTEXT(E858),ISTEXT(F858)),IF(E858=F858,"PASS","FAIL"),"PASS"),"FAIL")</x:f>
        <x:v>PASS</x:v>
      </x:c>
      <x:c r="H858" t="str">
        <x:f>G858</x:f>
        <x:v>PASS</x:v>
      </x:c>
    </x:row>
    <x:row r="859">
      <x:c r="B859" t="str">
        <x:v>A-PH-370</x:v>
      </x:c>
      <x:c r="C859" t="str">
        <x:v>gate</x:v>
      </x:c>
      <x:c r="D859" t="str">
        <x:v>PH-PRO-16</x:v>
      </x:c>
      <x:c r="E859" s="23" t="str">
        <x:v>OPEN</x:v>
      </x:c>
      <x:c r="F859" s="23" t="str">
        <x:f>'Release Gates'!I859</x:f>
        <x:v>OPEN</x:v>
      </x:c>
      <x:c r="G859" t="str">
        <x:f>IF(ABS(IFERROR(E859-F859,0))&lt;0.0001,IF(OR(ISTEXT(E859),ISTEXT(F859)),IF(E859=F859,"PASS","FAIL"),"PASS"),"FAIL")</x:f>
        <x:v>PASS</x:v>
      </x:c>
      <x:c r="H859" t="str">
        <x:f>G859</x:f>
        <x:v>PASS</x:v>
      </x:c>
    </x:row>
    <x:row r="860">
      <x:c r="B860" t="str">
        <x:v>A-PH-371</x:v>
      </x:c>
      <x:c r="C860" t="str">
        <x:v>gate</x:v>
      </x:c>
      <x:c r="D860" t="str">
        <x:v>PH-PRO-17</x:v>
      </x:c>
      <x:c r="E860" s="23" t="str">
        <x:v>OPEN</x:v>
      </x:c>
      <x:c r="F860" s="23" t="str">
        <x:f>'Release Gates'!I860</x:f>
        <x:v>OPEN</x:v>
      </x:c>
      <x:c r="G860" t="str">
        <x:f>IF(ABS(IFERROR(E860-F860,0))&lt;0.0001,IF(OR(ISTEXT(E860),ISTEXT(F860)),IF(E860=F860,"PASS","FAIL"),"PASS"),"FAIL")</x:f>
        <x:v>PASS</x:v>
      </x:c>
      <x:c r="H860" t="str">
        <x:f>G860</x:f>
        <x:v>PASS</x:v>
      </x:c>
    </x:row>
    <x:row r="861">
      <x:c r="B861" t="str">
        <x:v>A-PH-372</x:v>
      </x:c>
      <x:c r="C861" t="str">
        <x:v>gate</x:v>
      </x:c>
      <x:c r="D861" t="str">
        <x:v>PH-PRO-18</x:v>
      </x:c>
      <x:c r="E861" s="23" t="str">
        <x:v>OPEN</x:v>
      </x:c>
      <x:c r="F861" s="23" t="str">
        <x:f>'Release Gates'!I861</x:f>
        <x:v>OPEN</x:v>
      </x:c>
      <x:c r="G861" t="str">
        <x:f>IF(ABS(IFERROR(E861-F861,0))&lt;0.0001,IF(OR(ISTEXT(E861),ISTEXT(F861)),IF(E861=F861,"PASS","FAIL"),"PASS"),"FAIL")</x:f>
        <x:v>PASS</x:v>
      </x:c>
      <x:c r="H861" t="str">
        <x:f>G861</x:f>
        <x:v>PASS</x:v>
      </x:c>
    </x:row>
    <x:row r="862">
      <x:c r="B862" t="str">
        <x:v>A-PH-373</x:v>
      </x:c>
      <x:c r="C862" t="str">
        <x:v>gate</x:v>
      </x:c>
      <x:c r="D862" t="str">
        <x:v>PH-PRO-19</x:v>
      </x:c>
      <x:c r="E862" s="23" t="str">
        <x:v>OPEN</x:v>
      </x:c>
      <x:c r="F862" s="23" t="str">
        <x:f>'Release Gates'!I862</x:f>
        <x:v>OPEN</x:v>
      </x:c>
      <x:c r="G862" t="str">
        <x:f>IF(ABS(IFERROR(E862-F862,0))&lt;0.0001,IF(OR(ISTEXT(E862),ISTEXT(F862)),IF(E862=F862,"PASS","FAIL"),"PASS"),"FAIL")</x:f>
        <x:v>PASS</x:v>
      </x:c>
      <x:c r="H862" t="str">
        <x:f>G862</x:f>
        <x:v>PASS</x:v>
      </x:c>
    </x:row>
    <x:row r="863">
      <x:c r="B863" t="str">
        <x:v>A-PH-374</x:v>
      </x:c>
      <x:c r="C863" t="str">
        <x:v>gate</x:v>
      </x:c>
      <x:c r="D863" t="str">
        <x:v>PH-PRO-20</x:v>
      </x:c>
      <x:c r="E863" s="23" t="str">
        <x:v>OPEN</x:v>
      </x:c>
      <x:c r="F863" s="23" t="str">
        <x:f>'Release Gates'!I863</x:f>
        <x:v>OPEN</x:v>
      </x:c>
      <x:c r="G863" t="str">
        <x:f>IF(ABS(IFERROR(E863-F863,0))&lt;0.0001,IF(OR(ISTEXT(E863),ISTEXT(F863)),IF(E863=F863,"PASS","FAIL"),"PASS"),"FAIL")</x:f>
        <x:v>PASS</x:v>
      </x:c>
      <x:c r="H863" t="str">
        <x:f>G863</x:f>
        <x:v>PASS</x:v>
      </x:c>
    </x:row>
    <x:row r="864">
      <x:c r="B864" t="str">
        <x:v>A-PH-375</x:v>
      </x:c>
      <x:c r="C864" t="str">
        <x:v>gate</x:v>
      </x:c>
      <x:c r="D864" t="str">
        <x:v>PH-PRO-21</x:v>
      </x:c>
      <x:c r="E864" s="23" t="str">
        <x:v>OPEN</x:v>
      </x:c>
      <x:c r="F864" s="23" t="str">
        <x:f>'Release Gates'!I864</x:f>
        <x:v>OPEN</x:v>
      </x:c>
      <x:c r="G864" t="str">
        <x:f>IF(ABS(IFERROR(E864-F864,0))&lt;0.0001,IF(OR(ISTEXT(E864),ISTEXT(F864)),IF(E864=F864,"PASS","FAIL"),"PASS"),"FAIL")</x:f>
        <x:v>PASS</x:v>
      </x:c>
      <x:c r="H864" t="str">
        <x:f>G864</x:f>
        <x:v>PASS</x:v>
      </x:c>
    </x:row>
    <x:row r="865">
      <x:c r="B865" t="str">
        <x:v>A-PH-376</x:v>
      </x:c>
      <x:c r="C865" t="str">
        <x:v>gate</x:v>
      </x:c>
      <x:c r="D865" t="str">
        <x:v>PH-PRO-22</x:v>
      </x:c>
      <x:c r="E865" s="23" t="str">
        <x:v>OPEN</x:v>
      </x:c>
      <x:c r="F865" s="23" t="str">
        <x:f>'Release Gates'!I865</x:f>
        <x:v>OPEN</x:v>
      </x:c>
      <x:c r="G865" t="str">
        <x:f>IF(ABS(IFERROR(E865-F865,0))&lt;0.0001,IF(OR(ISTEXT(E865),ISTEXT(F865)),IF(E865=F865,"PASS","FAIL"),"PASS"),"FAIL")</x:f>
        <x:v>PASS</x:v>
      </x:c>
      <x:c r="H865" t="str">
        <x:f>G865</x:f>
        <x:v>PASS</x:v>
      </x:c>
    </x:row>
    <x:row r="866">
      <x:c r="B866" t="str">
        <x:v>A-PH-377</x:v>
      </x:c>
      <x:c r="C866" t="str">
        <x:v>gate</x:v>
      </x:c>
      <x:c r="D866" t="str">
        <x:v>PH-PRO-23</x:v>
      </x:c>
      <x:c r="E866" s="23" t="str">
        <x:v>OPEN</x:v>
      </x:c>
      <x:c r="F866" s="23" t="str">
        <x:f>'Release Gates'!I866</x:f>
        <x:v>OPEN</x:v>
      </x:c>
      <x:c r="G866" t="str">
        <x:f>IF(ABS(IFERROR(E866-F866,0))&lt;0.0001,IF(OR(ISTEXT(E866),ISTEXT(F866)),IF(E866=F866,"PASS","FAIL"),"PASS"),"FAIL")</x:f>
        <x:v>PASS</x:v>
      </x:c>
      <x:c r="H866" t="str">
        <x:f>G866</x:f>
        <x:v>PASS</x:v>
      </x:c>
    </x:row>
    <x:row r="867">
      <x:c r="B867" t="str">
        <x:v>A-PH-378</x:v>
      </x:c>
      <x:c r="C867" t="str">
        <x:v>gate</x:v>
      </x:c>
      <x:c r="D867" t="str">
        <x:v>PH-PRO-24</x:v>
      </x:c>
      <x:c r="E867" s="23" t="str">
        <x:v>OPEN</x:v>
      </x:c>
      <x:c r="F867" s="23" t="str">
        <x:f>'Release Gates'!I867</x:f>
        <x:v>OPEN</x:v>
      </x:c>
      <x:c r="G867" t="str">
        <x:f>IF(ABS(IFERROR(E867-F867,0))&lt;0.0001,IF(OR(ISTEXT(E867),ISTEXT(F867)),IF(E867=F867,"PASS","FAIL"),"PASS"),"FAIL")</x:f>
        <x:v>PASS</x:v>
      </x:c>
      <x:c r="H867" t="str">
        <x:f>G867</x:f>
        <x:v>PASS</x:v>
      </x:c>
    </x:row>
    <x:row r="868">
      <x:c r="B868" t="str">
        <x:v>A-PH-379</x:v>
      </x:c>
      <x:c r="C868" t="str">
        <x:v>gate</x:v>
      </x:c>
      <x:c r="D868" t="str">
        <x:v>PH-BLD-1</x:v>
      </x:c>
      <x:c r="E868" s="23" t="str">
        <x:v>OPEN</x:v>
      </x:c>
      <x:c r="F868" s="23" t="str">
        <x:f>'Release Gates'!I868</x:f>
        <x:v>OPEN</x:v>
      </x:c>
      <x:c r="G868" t="str">
        <x:f>IF(ABS(IFERROR(E868-F868,0))&lt;0.0001,IF(OR(ISTEXT(E868),ISTEXT(F868)),IF(E868=F868,"PASS","FAIL"),"PASS"),"FAIL")</x:f>
        <x:v>PASS</x:v>
      </x:c>
      <x:c r="H868" t="str">
        <x:f>G868</x:f>
        <x:v>PASS</x:v>
      </x:c>
    </x:row>
    <x:row r="869">
      <x:c r="B869" t="str">
        <x:v>A-PH-380</x:v>
      </x:c>
      <x:c r="C869" t="str">
        <x:v>gate</x:v>
      </x:c>
      <x:c r="D869" t="str">
        <x:v>PH-BLD-2</x:v>
      </x:c>
      <x:c r="E869" s="23" t="str">
        <x:v>OPEN</x:v>
      </x:c>
      <x:c r="F869" s="23" t="str">
        <x:f>'Release Gates'!I869</x:f>
        <x:v>OPEN</x:v>
      </x:c>
      <x:c r="G869" t="str">
        <x:f>IF(ABS(IFERROR(E869-F869,0))&lt;0.0001,IF(OR(ISTEXT(E869),ISTEXT(F869)),IF(E869=F869,"PASS","FAIL"),"PASS"),"FAIL")</x:f>
        <x:v>PASS</x:v>
      </x:c>
      <x:c r="H869" t="str">
        <x:f>G869</x:f>
        <x:v>PASS</x:v>
      </x:c>
    </x:row>
    <x:row r="870">
      <x:c r="B870" t="str">
        <x:v>A-PH-381</x:v>
      </x:c>
      <x:c r="C870" t="str">
        <x:v>gate</x:v>
      </x:c>
      <x:c r="D870" t="str">
        <x:v>PH-BLD-3</x:v>
      </x:c>
      <x:c r="E870" s="23" t="str">
        <x:v>OPEN</x:v>
      </x:c>
      <x:c r="F870" s="23" t="str">
        <x:f>'Release Gates'!I870</x:f>
        <x:v>OPEN</x:v>
      </x:c>
      <x:c r="G870" t="str">
        <x:f>IF(ABS(IFERROR(E870-F870,0))&lt;0.0001,IF(OR(ISTEXT(E870),ISTEXT(F870)),IF(E870=F870,"PASS","FAIL"),"PASS"),"FAIL")</x:f>
        <x:v>PASS</x:v>
      </x:c>
      <x:c r="H870" t="str">
        <x:f>G870</x:f>
        <x:v>PASS</x:v>
      </x:c>
    </x:row>
    <x:row r="871">
      <x:c r="B871" t="str">
        <x:v>A-PH-382</x:v>
      </x:c>
      <x:c r="C871" t="str">
        <x:v>gate</x:v>
      </x:c>
      <x:c r="D871" t="str">
        <x:v>PH-BLD-4</x:v>
      </x:c>
      <x:c r="E871" s="23" t="str">
        <x:v>OPEN</x:v>
      </x:c>
      <x:c r="F871" s="23" t="str">
        <x:f>'Release Gates'!I871</x:f>
        <x:v>OPEN</x:v>
      </x:c>
      <x:c r="G871" t="str">
        <x:f>IF(ABS(IFERROR(E871-F871,0))&lt;0.0001,IF(OR(ISTEXT(E871),ISTEXT(F871)),IF(E871=F871,"PASS","FAIL"),"PASS"),"FAIL")</x:f>
        <x:v>PASS</x:v>
      </x:c>
      <x:c r="H871" t="str">
        <x:f>G871</x:f>
        <x:v>PASS</x:v>
      </x:c>
    </x:row>
    <x:row r="872">
      <x:c r="B872" t="str">
        <x:v>A-PH-383</x:v>
      </x:c>
      <x:c r="C872" t="str">
        <x:v>gate</x:v>
      </x:c>
      <x:c r="D872" t="str">
        <x:v>PH-BLD-5</x:v>
      </x:c>
      <x:c r="E872" s="23" t="str">
        <x:v>OPEN</x:v>
      </x:c>
      <x:c r="F872" s="23" t="str">
        <x:f>'Release Gates'!I872</x:f>
        <x:v>OPEN</x:v>
      </x:c>
      <x:c r="G872" t="str">
        <x:f>IF(ABS(IFERROR(E872-F872,0))&lt;0.0001,IF(OR(ISTEXT(E872),ISTEXT(F872)),IF(E872=F872,"PASS","FAIL"),"PASS"),"FAIL")</x:f>
        <x:v>PASS</x:v>
      </x:c>
      <x:c r="H872" t="str">
        <x:f>G872</x:f>
        <x:v>PASS</x:v>
      </x:c>
    </x:row>
    <x:row r="873">
      <x:c r="B873" t="str">
        <x:v>A-PH-384</x:v>
      </x:c>
      <x:c r="C873" t="str">
        <x:v>gate</x:v>
      </x:c>
      <x:c r="D873" t="str">
        <x:v>PH-BLD-6</x:v>
      </x:c>
      <x:c r="E873" s="23" t="str">
        <x:v>OPEN</x:v>
      </x:c>
      <x:c r="F873" s="23" t="str">
        <x:f>'Release Gates'!I873</x:f>
        <x:v>OPEN</x:v>
      </x:c>
      <x:c r="G873" t="str">
        <x:f>IF(ABS(IFERROR(E873-F873,0))&lt;0.0001,IF(OR(ISTEXT(E873),ISTEXT(F873)),IF(E873=F873,"PASS","FAIL"),"PASS"),"FAIL")</x:f>
        <x:v>PASS</x:v>
      </x:c>
      <x:c r="H873" t="str">
        <x:f>G873</x:f>
        <x:v>PASS</x:v>
      </x:c>
    </x:row>
    <x:row r="874">
      <x:c r="B874" t="str">
        <x:v>A-PH-385</x:v>
      </x:c>
      <x:c r="C874" t="str">
        <x:v>gate</x:v>
      </x:c>
      <x:c r="D874" t="str">
        <x:v>PH-MEC-1</x:v>
      </x:c>
      <x:c r="E874" s="23" t="str">
        <x:v>OPEN</x:v>
      </x:c>
      <x:c r="F874" s="23" t="str">
        <x:f>'Release Gates'!I874</x:f>
        <x:v>OPEN</x:v>
      </x:c>
      <x:c r="G874" t="str">
        <x:f>IF(ABS(IFERROR(E874-F874,0))&lt;0.0001,IF(OR(ISTEXT(E874),ISTEXT(F874)),IF(E874=F874,"PASS","FAIL"),"PASS"),"FAIL")</x:f>
        <x:v>PASS</x:v>
      </x:c>
      <x:c r="H874" t="str">
        <x:f>G874</x:f>
        <x:v>PASS</x:v>
      </x:c>
    </x:row>
    <x:row r="875">
      <x:c r="B875" t="str">
        <x:v>A-PH-386</x:v>
      </x:c>
      <x:c r="C875" t="str">
        <x:v>gate</x:v>
      </x:c>
      <x:c r="D875" t="str">
        <x:v>PH-MEC-2</x:v>
      </x:c>
      <x:c r="E875" s="23" t="str">
        <x:v>OPEN</x:v>
      </x:c>
      <x:c r="F875" s="23" t="str">
        <x:f>'Release Gates'!I875</x:f>
        <x:v>OPEN</x:v>
      </x:c>
      <x:c r="G875" t="str">
        <x:f>IF(ABS(IFERROR(E875-F875,0))&lt;0.0001,IF(OR(ISTEXT(E875),ISTEXT(F875)),IF(E875=F875,"PASS","FAIL"),"PASS"),"FAIL")</x:f>
        <x:v>PASS</x:v>
      </x:c>
      <x:c r="H875" t="str">
        <x:f>G875</x:f>
        <x:v>PASS</x:v>
      </x:c>
    </x:row>
    <x:row r="876">
      <x:c r="B876" t="str">
        <x:v>A-PH-387</x:v>
      </x:c>
      <x:c r="C876" t="str">
        <x:v>gate</x:v>
      </x:c>
      <x:c r="D876" t="str">
        <x:v>PH-MEC-3</x:v>
      </x:c>
      <x:c r="E876" s="23" t="str">
        <x:v>OPEN</x:v>
      </x:c>
      <x:c r="F876" s="23" t="str">
        <x:f>'Release Gates'!I876</x:f>
        <x:v>OPEN</x:v>
      </x:c>
      <x:c r="G876" t="str">
        <x:f>IF(ABS(IFERROR(E876-F876,0))&lt;0.0001,IF(OR(ISTEXT(E876),ISTEXT(F876)),IF(E876=F876,"PASS","FAIL"),"PASS"),"FAIL")</x:f>
        <x:v>PASS</x:v>
      </x:c>
      <x:c r="H876" t="str">
        <x:f>G876</x:f>
        <x:v>PASS</x:v>
      </x:c>
    </x:row>
    <x:row r="877">
      <x:c r="B877" t="str">
        <x:v>A-PH-388</x:v>
      </x:c>
      <x:c r="C877" t="str">
        <x:v>gate</x:v>
      </x:c>
      <x:c r="D877" t="str">
        <x:v>PH-MEC-4</x:v>
      </x:c>
      <x:c r="E877" s="23" t="str">
        <x:v>OPEN</x:v>
      </x:c>
      <x:c r="F877" s="23" t="str">
        <x:f>'Release Gates'!I877</x:f>
        <x:v>OPEN</x:v>
      </x:c>
      <x:c r="G877" t="str">
        <x:f>IF(ABS(IFERROR(E877-F877,0))&lt;0.0001,IF(OR(ISTEXT(E877),ISTEXT(F877)),IF(E877=F877,"PASS","FAIL"),"PASS"),"FAIL")</x:f>
        <x:v>PASS</x:v>
      </x:c>
      <x:c r="H877" t="str">
        <x:f>G877</x:f>
        <x:v>PASS</x:v>
      </x:c>
    </x:row>
    <x:row r="878">
      <x:c r="B878" t="str">
        <x:v>A-PH-389</x:v>
      </x:c>
      <x:c r="C878" t="str">
        <x:v>gate</x:v>
      </x:c>
      <x:c r="D878" t="str">
        <x:v>PH-MEC-5</x:v>
      </x:c>
      <x:c r="E878" s="23" t="str">
        <x:v>OPEN</x:v>
      </x:c>
      <x:c r="F878" s="23" t="str">
        <x:f>'Release Gates'!I878</x:f>
        <x:v>OPEN</x:v>
      </x:c>
      <x:c r="G878" t="str">
        <x:f>IF(ABS(IFERROR(E878-F878,0))&lt;0.0001,IF(OR(ISTEXT(E878),ISTEXT(F878)),IF(E878=F878,"PASS","FAIL"),"PASS"),"FAIL")</x:f>
        <x:v>PASS</x:v>
      </x:c>
      <x:c r="H878" t="str">
        <x:f>G878</x:f>
        <x:v>PASS</x:v>
      </x:c>
    </x:row>
    <x:row r="879">
      <x:c r="B879" t="str">
        <x:v>A-PH-390</x:v>
      </x:c>
      <x:c r="C879" t="str">
        <x:v>gate</x:v>
      </x:c>
      <x:c r="D879" t="str">
        <x:v>PH-MEC-6</x:v>
      </x:c>
      <x:c r="E879" s="23" t="str">
        <x:v>OPEN</x:v>
      </x:c>
      <x:c r="F879" s="23" t="str">
        <x:f>'Release Gates'!I879</x:f>
        <x:v>OPEN</x:v>
      </x:c>
      <x:c r="G879" t="str">
        <x:f>IF(ABS(IFERROR(E879-F879,0))&lt;0.0001,IF(OR(ISTEXT(E879),ISTEXT(F879)),IF(E879=F879,"PASS","FAIL"),"PASS"),"FAIL")</x:f>
        <x:v>PASS</x:v>
      </x:c>
      <x:c r="H879" t="str">
        <x:f>G879</x:f>
        <x:v>PASS</x:v>
      </x:c>
    </x:row>
    <x:row r="880">
      <x:c r="B880" t="str">
        <x:v>A-PH-391</x:v>
      </x:c>
      <x:c r="C880" t="str">
        <x:v>gate</x:v>
      </x:c>
      <x:c r="D880" t="str">
        <x:v>PH-BOARD-1</x:v>
      </x:c>
      <x:c r="E880" s="23" t="str">
        <x:v>OPEN</x:v>
      </x:c>
      <x:c r="F880" s="23" t="str">
        <x:f>'Release Gates'!I880</x:f>
        <x:v>OPEN</x:v>
      </x:c>
      <x:c r="G880" t="str">
        <x:f>IF(ABS(IFERROR(E880-F880,0))&lt;0.0001,IF(OR(ISTEXT(E880),ISTEXT(F880)),IF(E880=F880,"PASS","FAIL"),"PASS"),"FAIL")</x:f>
        <x:v>PASS</x:v>
      </x:c>
      <x:c r="H880" t="str">
        <x:f>G880</x:f>
        <x:v>PASS</x:v>
      </x:c>
    </x:row>
    <x:row r="881">
      <x:c r="B881" t="str">
        <x:v>A-PH-392</x:v>
      </x:c>
      <x:c r="C881" t="str">
        <x:v>gate</x:v>
      </x:c>
      <x:c r="D881" t="str">
        <x:v>PH-BOARD-2</x:v>
      </x:c>
      <x:c r="E881" s="23" t="str">
        <x:v>OPEN</x:v>
      </x:c>
      <x:c r="F881" s="23" t="str">
        <x:f>'Release Gates'!I881</x:f>
        <x:v>OPEN</x:v>
      </x:c>
      <x:c r="G881" t="str">
        <x:f>IF(ABS(IFERROR(E881-F881,0))&lt;0.0001,IF(OR(ISTEXT(E881),ISTEXT(F881)),IF(E881=F881,"PASS","FAIL"),"PASS"),"FAIL")</x:f>
        <x:v>PASS</x:v>
      </x:c>
      <x:c r="H881" t="str">
        <x:f>G881</x:f>
        <x:v>PASS</x:v>
      </x:c>
    </x:row>
    <x:row r="882">
      <x:c r="B882" t="str">
        <x:v>A-PH-393</x:v>
      </x:c>
      <x:c r="C882" t="str">
        <x:v>gate</x:v>
      </x:c>
      <x:c r="D882" t="str">
        <x:v>PH-BOARD-3</x:v>
      </x:c>
      <x:c r="E882" s="23" t="str">
        <x:v>OPEN</x:v>
      </x:c>
      <x:c r="F882" s="23" t="str">
        <x:f>'Release Gates'!I882</x:f>
        <x:v>OPEN</x:v>
      </x:c>
      <x:c r="G882" t="str">
        <x:f>IF(ABS(IFERROR(E882-F882,0))&lt;0.0001,IF(OR(ISTEXT(E882),ISTEXT(F882)),IF(E882=F882,"PASS","FAIL"),"PASS"),"FAIL")</x:f>
        <x:v>PASS</x:v>
      </x:c>
      <x:c r="H882" t="str">
        <x:f>G882</x:f>
        <x:v>PASS</x:v>
      </x:c>
    </x:row>
    <x:row r="883">
      <x:c r="B883" t="str">
        <x:v>A-PH-394</x:v>
      </x:c>
      <x:c r="C883" t="str">
        <x:v>gate</x:v>
      </x:c>
      <x:c r="D883" t="str">
        <x:v>PH-RESCUE-1</x:v>
      </x:c>
      <x:c r="E883" s="23" t="str">
        <x:v>OPEN</x:v>
      </x:c>
      <x:c r="F883" s="23" t="str">
        <x:f>'Release Gates'!I883</x:f>
        <x:v>OPEN</x:v>
      </x:c>
      <x:c r="G883" t="str">
        <x:f>IF(ABS(IFERROR(E883-F883,0))&lt;0.0001,IF(OR(ISTEXT(E883),ISTEXT(F883)),IF(E883=F883,"PASS","FAIL"),"PASS"),"FAIL")</x:f>
        <x:v>PASS</x:v>
      </x:c>
      <x:c r="H883" t="str">
        <x:f>G883</x:f>
        <x:v>PASS</x:v>
      </x:c>
    </x:row>
    <x:row r="884">
      <x:c r="B884" t="str">
        <x:v>A-PH-395</x:v>
      </x:c>
      <x:c r="C884" t="str">
        <x:v>gate</x:v>
      </x:c>
      <x:c r="D884" t="str">
        <x:v>PH-RESCUE-2</x:v>
      </x:c>
      <x:c r="E884" s="23" t="str">
        <x:v>OPEN</x:v>
      </x:c>
      <x:c r="F884" s="23" t="str">
        <x:f>'Release Gates'!I884</x:f>
        <x:v>OPEN</x:v>
      </x:c>
      <x:c r="G884" t="str">
        <x:f>IF(ABS(IFERROR(E884-F884,0))&lt;0.0001,IF(OR(ISTEXT(E884),ISTEXT(F884)),IF(E884=F884,"PASS","FAIL"),"PASS"),"FAIL")</x:f>
        <x:v>PASS</x:v>
      </x:c>
      <x:c r="H884" t="str">
        <x:f>G884</x:f>
        <x:v>PASS</x:v>
      </x:c>
    </x:row>
    <x:row r="885">
      <x:c r="B885" t="str">
        <x:v>A-PH-396</x:v>
      </x:c>
      <x:c r="C885" t="str">
        <x:v>gate</x:v>
      </x:c>
      <x:c r="D885" t="str">
        <x:v>PH-RESCUE-3</x:v>
      </x:c>
      <x:c r="E885" s="23" t="str">
        <x:v>OPEN</x:v>
      </x:c>
      <x:c r="F885" s="23" t="str">
        <x:f>'Release Gates'!I885</x:f>
        <x:v>OPEN</x:v>
      </x:c>
      <x:c r="G885" t="str">
        <x:f>IF(ABS(IFERROR(E885-F885,0))&lt;0.0001,IF(OR(ISTEXT(E885),ISTEXT(F885)),IF(E885=F885,"PASS","FAIL"),"PASS"),"FAIL")</x:f>
        <x:v>PASS</x:v>
      </x:c>
      <x:c r="H885" t="str">
        <x:f>G885</x:f>
        <x:v>PASS</x:v>
      </x:c>
    </x:row>
    <x:row r="886">
      <x:c r="B886" t="str">
        <x:v>A-PH-397</x:v>
      </x:c>
      <x:c r="C886" t="str">
        <x:v>gate</x:v>
      </x:c>
      <x:c r="D886" t="str">
        <x:v>PH-EVID-1</x:v>
      </x:c>
      <x:c r="E886" s="23" t="str">
        <x:v>OPEN</x:v>
      </x:c>
      <x:c r="F886" s="23" t="str">
        <x:f>'Release Gates'!I886</x:f>
        <x:v>OPEN</x:v>
      </x:c>
      <x:c r="G886" t="str">
        <x:f>IF(ABS(IFERROR(E886-F886,0))&lt;0.0001,IF(OR(ISTEXT(E886),ISTEXT(F886)),IF(E886=F886,"PASS","FAIL"),"PASS"),"FAIL")</x:f>
        <x:v>PASS</x:v>
      </x:c>
      <x:c r="H886" t="str">
        <x:f>G886</x:f>
        <x:v>PASS</x:v>
      </x:c>
    </x:row>
    <x:row r="887">
      <x:c r="B887" t="str">
        <x:v>A-PH-398</x:v>
      </x:c>
      <x:c r="C887" t="str">
        <x:v>gate</x:v>
      </x:c>
      <x:c r="D887" t="str">
        <x:v>PH-EVID-2</x:v>
      </x:c>
      <x:c r="E887" s="23" t="str">
        <x:v>OPEN</x:v>
      </x:c>
      <x:c r="F887" s="23" t="str">
        <x:f>'Release Gates'!I887</x:f>
        <x:v>OPEN</x:v>
      </x:c>
      <x:c r="G887" t="str">
        <x:f>IF(ABS(IFERROR(E887-F887,0))&lt;0.0001,IF(OR(ISTEXT(E887),ISTEXT(F887)),IF(E887=F887,"PASS","FAIL"),"PASS"),"FAIL")</x:f>
        <x:v>PASS</x:v>
      </x:c>
      <x:c r="H887" t="str">
        <x:f>G887</x:f>
        <x:v>PASS</x:v>
      </x:c>
    </x:row>
    <x:row r="888">
      <x:c r="B888" t="str">
        <x:v>A-DS-001</x:v>
      </x:c>
      <x:c r="C888" t="str">
        <x:v>gate</x:v>
      </x:c>
      <x:c r="D888" t="str">
        <x:v>DS-1</x:v>
      </x:c>
      <x:c r="E888" s="23" t="str">
        <x:v>BLOCKED</x:v>
      </x:c>
      <x:c r="F888" s="23" t="str">
        <x:f>'Release Gates'!I888</x:f>
        <x:v>BLOCKED</x:v>
      </x:c>
      <x:c r="G888" t="str">
        <x:f>IF(ABS(IFERROR(E888-F888,0))&lt;0.0001,IF(OR(ISTEXT(E888),ISTEXT(F888)),IF(E888=F888,"PASS","FAIL"),"PASS"),"FAIL")</x:f>
        <x:v>PASS</x:v>
      </x:c>
      <x:c r="H888" t="str">
        <x:f>G888</x:f>
        <x:v>PASS</x:v>
      </x:c>
    </x:row>
    <x:row r="889">
      <x:c r="B889" t="str">
        <x:v>A-DS-002</x:v>
      </x:c>
      <x:c r="C889" t="str">
        <x:v>gate</x:v>
      </x:c>
      <x:c r="D889" t="str">
        <x:v>DS-2</x:v>
      </x:c>
      <x:c r="E889" s="23" t="str">
        <x:v>BLOCKED</x:v>
      </x:c>
      <x:c r="F889" s="23" t="str">
        <x:f>'Release Gates'!I889</x:f>
        <x:v>BLOCKED</x:v>
      </x:c>
      <x:c r="G889" t="str">
        <x:f>IF(ABS(IFERROR(E889-F889,0))&lt;0.0001,IF(OR(ISTEXT(E889),ISTEXT(F889)),IF(E889=F889,"PASS","FAIL"),"PASS"),"FAIL")</x:f>
        <x:v>PASS</x:v>
      </x:c>
      <x:c r="H889" t="str">
        <x:f>G889</x:f>
        <x:v>PASS</x:v>
      </x:c>
    </x:row>
    <x:row r="890">
      <x:c r="B890" t="str">
        <x:v>A-DS-003</x:v>
      </x:c>
      <x:c r="C890" t="str">
        <x:v>gate</x:v>
      </x:c>
      <x:c r="D890" t="str">
        <x:v>DS-3</x:v>
      </x:c>
      <x:c r="E890" s="23" t="str">
        <x:v>BLOCKED</x:v>
      </x:c>
      <x:c r="F890" s="23" t="str">
        <x:f>'Release Gates'!I890</x:f>
        <x:v>BLOCKED</x:v>
      </x:c>
      <x:c r="G890" t="str">
        <x:f>IF(ABS(IFERROR(E890-F890,0))&lt;0.0001,IF(OR(ISTEXT(E890),ISTEXT(F890)),IF(E890=F890,"PASS","FAIL"),"PASS"),"FAIL")</x:f>
        <x:v>PASS</x:v>
      </x:c>
      <x:c r="H890" t="str">
        <x:f>G890</x:f>
        <x:v>PASS</x:v>
      </x:c>
    </x:row>
    <x:row r="891">
      <x:c r="B891" t="str">
        <x:v>A-DS-004</x:v>
      </x:c>
      <x:c r="C891" t="str">
        <x:v>gate</x:v>
      </x:c>
      <x:c r="D891" t="str">
        <x:v>DS-4</x:v>
      </x:c>
      <x:c r="E891" s="23" t="str">
        <x:v>BLOCKED</x:v>
      </x:c>
      <x:c r="F891" s="23" t="str">
        <x:f>'Release Gates'!I891</x:f>
        <x:v>BLOCKED</x:v>
      </x:c>
      <x:c r="G891" t="str">
        <x:f>IF(ABS(IFERROR(E891-F891,0))&lt;0.0001,IF(OR(ISTEXT(E891),ISTEXT(F891)),IF(E891=F891,"PASS","FAIL"),"PASS"),"FAIL")</x:f>
        <x:v>PASS</x:v>
      </x:c>
      <x:c r="H891" t="str">
        <x:f>G891</x:f>
        <x:v>PASS</x:v>
      </x:c>
    </x:row>
    <x:row r="892">
      <x:c r="B892" t="str">
        <x:v>A-DS-005</x:v>
      </x:c>
      <x:c r="C892" t="str">
        <x:v>gate</x:v>
      </x:c>
      <x:c r="D892" t="str">
        <x:v>DS-5</x:v>
      </x:c>
      <x:c r="E892" s="23" t="str">
        <x:v>BLOCKED</x:v>
      </x:c>
      <x:c r="F892" s="23" t="str">
        <x:f>'Release Gates'!I892</x:f>
        <x:v>BLOCKED</x:v>
      </x:c>
      <x:c r="G892" t="str">
        <x:f>IF(ABS(IFERROR(E892-F892,0))&lt;0.0001,IF(OR(ISTEXT(E892),ISTEXT(F892)),IF(E892=F892,"PASS","FAIL"),"PASS"),"FAIL")</x:f>
        <x:v>PASS</x:v>
      </x:c>
      <x:c r="H892" t="str">
        <x:f>G892</x:f>
        <x:v>PASS</x:v>
      </x:c>
    </x:row>
    <x:row r="893">
      <x:c r="B893" t="str">
        <x:v>A-DS-006</x:v>
      </x:c>
      <x:c r="C893" t="str">
        <x:v>gate</x:v>
      </x:c>
      <x:c r="D893" t="str">
        <x:v>DS-6</x:v>
      </x:c>
      <x:c r="E893" s="23" t="str">
        <x:v>BLOCKED</x:v>
      </x:c>
      <x:c r="F893" s="23" t="str">
        <x:f>'Release Gates'!I893</x:f>
        <x:v>BLOCKED</x:v>
      </x:c>
      <x:c r="G893" t="str">
        <x:f>IF(ABS(IFERROR(E893-F893,0))&lt;0.0001,IF(OR(ISTEXT(E893),ISTEXT(F893)),IF(E893=F893,"PASS","FAIL"),"PASS"),"FAIL")</x:f>
        <x:v>PASS</x:v>
      </x:c>
      <x:c r="H893" t="str">
        <x:f>G893</x:f>
        <x:v>PASS</x:v>
      </x:c>
    </x:row>
    <x:row r="894">
      <x:c r="B894" t="str">
        <x:v>A-DS-007</x:v>
      </x:c>
      <x:c r="C894" t="str">
        <x:v>gate</x:v>
      </x:c>
      <x:c r="D894" t="str">
        <x:v>DS-7</x:v>
      </x:c>
      <x:c r="E894" s="23" t="str">
        <x:v>BLOCKED</x:v>
      </x:c>
      <x:c r="F894" s="23" t="str">
        <x:f>'Release Gates'!I894</x:f>
        <x:v>BLOCKED</x:v>
      </x:c>
      <x:c r="G894" t="str">
        <x:f>IF(ABS(IFERROR(E894-F894,0))&lt;0.0001,IF(OR(ISTEXT(E894),ISTEXT(F894)),IF(E894=F894,"PASS","FAIL"),"PASS"),"FAIL")</x:f>
        <x:v>PASS</x:v>
      </x:c>
      <x:c r="H894" t="str">
        <x:f>G894</x:f>
        <x:v>PASS</x:v>
      </x:c>
    </x:row>
    <x:row r="895">
      <x:c r="B895" t="str">
        <x:v>A-DS-008</x:v>
      </x:c>
      <x:c r="C895" t="str">
        <x:v>gate</x:v>
      </x:c>
      <x:c r="D895" t="str">
        <x:v>DS-8</x:v>
      </x:c>
      <x:c r="E895" s="23" t="str">
        <x:v>BLOCKED</x:v>
      </x:c>
      <x:c r="F895" s="23" t="str">
        <x:f>'Release Gates'!I895</x:f>
        <x:v>BLOCKED</x:v>
      </x:c>
      <x:c r="G895" t="str">
        <x:f>IF(ABS(IFERROR(E895-F895,0))&lt;0.0001,IF(OR(ISTEXT(E895),ISTEXT(F895)),IF(E895=F895,"PASS","FAIL"),"PASS"),"FAIL")</x:f>
        <x:v>PASS</x:v>
      </x:c>
      <x:c r="H895" t="str">
        <x:f>G895</x:f>
        <x:v>PASS</x:v>
      </x:c>
    </x:row>
    <x:row r="896">
      <x:c r="B896" t="str">
        <x:v>A-DS-009</x:v>
      </x:c>
      <x:c r="C896" t="str">
        <x:v>gate</x:v>
      </x:c>
      <x:c r="D896" t="str">
        <x:v>DS-9</x:v>
      </x:c>
      <x:c r="E896" s="23" t="str">
        <x:v>BLOCKED</x:v>
      </x:c>
      <x:c r="F896" s="23" t="str">
        <x:f>'Release Gates'!I896</x:f>
        <x:v>BLOCKED</x:v>
      </x:c>
      <x:c r="G896" t="str">
        <x:f>IF(ABS(IFERROR(E896-F896,0))&lt;0.0001,IF(OR(ISTEXT(E896),ISTEXT(F896)),IF(E896=F896,"PASS","FAIL"),"PASS"),"FAIL")</x:f>
        <x:v>PASS</x:v>
      </x:c>
      <x:c r="H896" t="str">
        <x:f>G896</x:f>
        <x:v>PASS</x:v>
      </x:c>
    </x:row>
    <x:row r="897">
      <x:c r="B897" t="str">
        <x:v>A-H01</x:v>
      </x:c>
      <x:c r="C897" t="str">
        <x:v>headline</x:v>
      </x:c>
      <x:c r="D897" t="str">
        <x:v>planning gate count</x:v>
      </x:c>
      <x:c r="E897" s="23" t="n">
        <x:v>483</x:v>
      </x:c>
      <x:c r="F897" s="23" t="n">
        <x:f>COUNTIF('Release Gates'!I7:I489,"PASS")</x:f>
        <x:v>483</x:v>
      </x:c>
      <x:c r="G897" t="str">
        <x:f>IF(ABS(IFERROR(E897-F897,0))&lt;0.0001,IF(OR(ISTEXT(E897),ISTEXT(F897)),IF(E897=F897,"PASS","FAIL"),"PASS"),"FAIL")</x:f>
        <x:v>PASS</x:v>
      </x:c>
      <x:c r="H897" t="str">
        <x:f>G897</x:f>
        <x:v>PASS</x:v>
      </x:c>
    </x:row>
    <x:row r="898">
      <x:c r="B898" t="str">
        <x:v>A-H02</x:v>
      </x:c>
      <x:c r="C898" t="str">
        <x:v>headline</x:v>
      </x:c>
      <x:c r="D898" t="str">
        <x:v>physical gate count</x:v>
      </x:c>
      <x:c r="E898" s="23" t="n">
        <x:v>398</x:v>
      </x:c>
      <x:c r="F898" s="23" t="n">
        <x:f>COUNTIF('Release Gates'!I490:I887,"OPEN")</x:f>
        <x:v>398</x:v>
      </x:c>
      <x:c r="G898" t="str">
        <x:f>IF(ABS(IFERROR(E898-F898,0))&lt;0.0001,IF(OR(ISTEXT(E898),ISTEXT(F898)),IF(E898=F898,"PASS","FAIL"),"PASS"),"FAIL")</x:f>
        <x:v>PASS</x:v>
      </x:c>
      <x:c r="H898" t="str">
        <x:f>G898</x:f>
        <x:v>PASS</x:v>
      </x:c>
    </x:row>
    <x:row r="899">
      <x:c r="B899" t="str">
        <x:v>A-H03</x:v>
      </x:c>
      <x:c r="C899" t="str">
        <x:v>headline</x:v>
      </x:c>
      <x:c r="D899" t="str">
        <x:v>downstream gate count</x:v>
      </x:c>
      <x:c r="E899" s="23" t="n">
        <x:v>9</x:v>
      </x:c>
      <x:c r="F899" s="23" t="n">
        <x:f>COUNTIF('Release Gates'!I888:I896,"BLOCKED")</x:f>
        <x:v>9</x:v>
      </x:c>
      <x:c r="G899" t="str">
        <x:f>IF(ABS(IFERROR(E899-F899,0))&lt;0.0001,IF(OR(ISTEXT(E899),ISTEXT(F899)),IF(E899=F899,"PASS","FAIL"),"PASS"),"FAIL")</x:f>
        <x:v>PASS</x:v>
      </x:c>
      <x:c r="H899" t="str">
        <x:f>G899</x:f>
        <x:v>PASS</x:v>
      </x:c>
    </x:row>
    <x:row r="900">
      <x:c r="B900" t="str">
        <x:v>A-H04</x:v>
      </x:c>
      <x:c r="C900" t="str">
        <x:v>headline</x:v>
      </x:c>
      <x:c r="D900" t="str">
        <x:v>technology articles</x:v>
      </x:c>
      <x:c r="E900" s="23" t="n">
        <x:v>48</x:v>
      </x:c>
      <x:c r="F900" s="23" t="n">
        <x:f>COUNTA('Article Bank'!B7:B54)</x:f>
        <x:v>48</x:v>
      </x:c>
      <x:c r="G900" t="str">
        <x:f>IF(ABS(IFERROR(E900-F900,0))&lt;0.0001,IF(OR(ISTEXT(E900),ISTEXT(F900)),IF(E900=F900,"PASS","FAIL"),"PASS"),"FAIL")</x:f>
        <x:v>PASS</x:v>
      </x:c>
      <x:c r="H900" t="str">
        <x:f>G900</x:f>
        <x:v>PASS</x:v>
      </x:c>
    </x:row>
    <x:row r="901">
      <x:c r="B901" t="str">
        <x:v>A-H05</x:v>
      </x:c>
      <x:c r="C901" t="str">
        <x:v>headline</x:v>
      </x:c>
      <x:c r="D901" t="str">
        <x:v>paired full-scale events</x:v>
      </x:c>
      <x:c r="E901" s="23" t="n">
        <x:v>192</x:v>
      </x:c>
      <x:c r="F901" s="23" t="n">
        <x:f>COUNTA('Event Register'!B7:B198)</x:f>
        <x:v>192</x:v>
      </x:c>
      <x:c r="G901" t="str">
        <x:f>IF(ABS(IFERROR(E901-F901,0))&lt;0.0001,IF(OR(ISTEXT(E901),ISTEXT(F901)),IF(E901=F901,"PASS","FAIL"),"PASS"),"FAIL")</x:f>
        <x:v>PASS</x:v>
      </x:c>
      <x:c r="H901" t="str">
        <x:f>G901</x:f>
        <x:v>PASS</x:v>
      </x:c>
    </x:row>
    <x:row r="902">
      <x:c r="B902" t="str">
        <x:v>A-H06</x:v>
      </x:c>
      <x:c r="C902" t="str">
        <x:v>headline</x:v>
      </x:c>
      <x:c r="D902" t="str">
        <x:v>support events</x:v>
      </x:c>
      <x:c r="E902" s="23" t="n">
        <x:v>114</x:v>
      </x:c>
      <x:c r="F902" s="23" t="n">
        <x:f>COUNTA('Support Events'!B7:B120)</x:f>
        <x:v>114</x:v>
      </x:c>
      <x:c r="G902" t="str">
        <x:f>IF(ABS(IFERROR(E902-F902,0))&lt;0.0001,IF(OR(ISTEXT(E902),ISTEXT(F902)),IF(E902=F902,"PASS","FAIL"),"PASS"),"FAIL")</x:f>
        <x:v>PASS</x:v>
      </x:c>
      <x:c r="H902" t="str">
        <x:f>G902</x:f>
        <x:v>PASS</x:v>
      </x:c>
    </x:row>
    <x:row r="903">
      <x:c r="B903" t="str">
        <x:v>A-H07</x:v>
      </x:c>
      <x:c r="C903" t="str">
        <x:v>headline</x:v>
      </x:c>
      <x:c r="D903" t="str">
        <x:v>registered events</x:v>
      </x:c>
      <x:c r="E903" s="23" t="n">
        <x:v>306</x:v>
      </x:c>
      <x:c r="F903" s="23" t="n">
        <x:f>'Evidence Build'!C31</x:f>
        <x:v>306</x:v>
      </x:c>
      <x:c r="G903" t="str">
        <x:f>IF(ABS(IFERROR(E903-F903,0))&lt;0.0001,IF(OR(ISTEXT(E903),ISTEXT(F903)),IF(E903=F903,"PASS","FAIL"),"PASS"),"FAIL")</x:f>
        <x:v>PASS</x:v>
      </x:c>
      <x:c r="H903" t="str">
        <x:f>G903</x:f>
        <x:v>PASS</x:v>
      </x:c>
    </x:row>
    <x:row r="904">
      <x:c r="B904" t="str">
        <x:v>A-H08</x:v>
      </x:c>
      <x:c r="C904" t="str">
        <x:v>headline</x:v>
      </x:c>
      <x:c r="D904" t="str">
        <x:v>paired protocols</x:v>
      </x:c>
      <x:c r="E904" s="23" t="n">
        <x:v>24</x:v>
      </x:c>
      <x:c r="F904" s="23" t="n">
        <x:f>COUNTA('Protocol Register'!B7:B30)</x:f>
        <x:v>24</x:v>
      </x:c>
      <x:c r="G904" t="str">
        <x:f>IF(ABS(IFERROR(E904-F904,0))&lt;0.0001,IF(OR(ISTEXT(E904),ISTEXT(F904)),IF(E904=F904,"PASS","FAIL"),"PASS"),"FAIL")</x:f>
        <x:v>PASS</x:v>
      </x:c>
      <x:c r="H904" t="str">
        <x:f>G904</x:f>
        <x:v>PASS</x:v>
      </x:c>
    </x:row>
    <x:row r="905">
      <x:c r="B905" t="str">
        <x:v>A-H09</x:v>
      </x:c>
      <x:c r="C905" t="str">
        <x:v>headline</x:v>
      </x:c>
      <x:c r="D905" t="str">
        <x:v>measurement functions</x:v>
      </x:c>
      <x:c r="E905" s="23" t="n">
        <x:v>18</x:v>
      </x:c>
      <x:c r="F905" s="23" t="n">
        <x:f>COUNTA('Evidence Build'!B7:B24)</x:f>
        <x:v>18</x:v>
      </x:c>
      <x:c r="G905" t="str">
        <x:f>IF(ABS(IFERROR(E905-F905,0))&lt;0.0001,IF(OR(ISTEXT(E905),ISTEXT(F905)),IF(E905=F905,"PASS","FAIL"),"PASS"),"FAIL")</x:f>
        <x:v>PASS</x:v>
      </x:c>
      <x:c r="H905" t="str">
        <x:f>G905</x:f>
        <x:v>PASS</x:v>
      </x:c>
    </x:row>
    <x:row r="906">
      <x:c r="B906" t="str">
        <x:v>A-H10</x:v>
      </x:c>
      <x:c r="C906" t="str">
        <x:v>headline</x:v>
      </x:c>
      <x:c r="D906" t="str">
        <x:v>measurement channels</x:v>
      </x:c>
      <x:c r="E906" s="23" t="n">
        <x:v>504</x:v>
      </x:c>
      <x:c r="F906" s="23" t="n">
        <x:f>'Evidence Build'!C28</x:f>
        <x:v>504</x:v>
      </x:c>
      <x:c r="G906" t="str">
        <x:f>IF(ABS(IFERROR(E906-F906,0))&lt;0.0001,IF(OR(ISTEXT(E906),ISTEXT(F906)),IF(E906=F906,"PASS","FAIL"),"PASS"),"FAIL")</x:f>
        <x:v>PASS</x:v>
      </x:c>
      <x:c r="H906" t="str">
        <x:f>G906</x:f>
        <x:v>PASS</x:v>
      </x:c>
    </x:row>
    <x:row r="907">
      <x:c r="B907" t="str">
        <x:v>A-H11</x:v>
      </x:c>
      <x:c r="C907" t="str">
        <x:v>headline</x:v>
      </x:c>
      <x:c r="D907" t="str">
        <x:v>per-event native volume</x:v>
      </x:c>
      <x:c r="E907" s="23" t="n">
        <x:v>402.2669952</x:v>
      </x:c>
      <x:c r="F907" s="23" t="n">
        <x:f>'Evidence Build'!C30</x:f>
        <x:v>402.2669952</x:v>
      </x:c>
      <x:c r="G907" t="str">
        <x:f>IF(ABS(IFERROR(E907-F907,0))&lt;0.0001,IF(OR(ISTEXT(E907),ISTEXT(F907)),IF(E907=F907,"PASS","FAIL"),"PASS"),"FAIL")</x:f>
        <x:v>PASS</x:v>
      </x:c>
      <x:c r="H907" t="str">
        <x:f>G907</x:f>
        <x:v>PASS</x:v>
      </x:c>
    </x:row>
    <x:row r="908">
      <x:c r="B908" t="str">
        <x:v>A-H12</x:v>
      </x:c>
      <x:c r="C908" t="str">
        <x:v>headline</x:v>
      </x:c>
      <x:c r="D908" t="str">
        <x:v>campaign volume with reserve</x:v>
      </x:c>
      <x:c r="E908" s="23" t="n">
        <x:v>160.021811091456</x:v>
      </x:c>
      <x:c r="F908" s="23" t="n">
        <x:f>'Evidence Build'!C33</x:f>
        <x:v>160.02181069056002</x:v>
      </x:c>
      <x:c r="G908" t="str">
        <x:f>IF(ABS(IFERROR(E908-F908,0))&lt;0.0001,IF(OR(ISTEXT(E908),ISTEXT(F908)),IF(E908=F908,"PASS","FAIL"),"PASS"),"FAIL")</x:f>
        <x:v>PASS</x:v>
      </x:c>
      <x:c r="H908" t="str">
        <x:f>G908</x:f>
        <x:v>PASS</x:v>
      </x:c>
    </x:row>
    <x:row r="909">
      <x:c r="B909" t="str">
        <x:v>A-H13</x:v>
      </x:c>
      <x:c r="C909" t="str">
        <x:v>headline</x:v>
      </x:c>
      <x:c r="D909" t="str">
        <x:v>mission workforce</x:v>
      </x:c>
      <x:c r="E909" s="23" t="n">
        <x:v>426</x:v>
      </x:c>
      <x:c r="F909" s="23" t="n">
        <x:f>Workforce!C17</x:f>
        <x:v>426</x:v>
      </x:c>
      <x:c r="G909" t="str">
        <x:f>IF(ABS(IFERROR(E909-F909,0))&lt;0.0001,IF(OR(ISTEXT(E909),ISTEXT(F909)),IF(E909=F909,"PASS","FAIL"),"PASS"),"FAIL")</x:f>
        <x:v>PASS</x:v>
      </x:c>
      <x:c r="H909" t="str">
        <x:f>G909</x:f>
        <x:v>PASS</x:v>
      </x:c>
    </x:row>
    <x:row r="910">
      <x:c r="B910" t="str">
        <x:v>A-H14</x:v>
      </x:c>
      <x:c r="C910" t="str">
        <x:v>headline</x:v>
      </x:c>
      <x:c r="D910" t="str">
        <x:v>gross capital</x:v>
      </x:c>
      <x:c r="E910" s="23" t="n">
        <x:v>875</x:v>
      </x:c>
      <x:c r="F910" s="23" t="n">
        <x:f>Capital!E19</x:f>
        <x:v>875</x:v>
      </x:c>
      <x:c r="G910" t="str">
        <x:f>IF(ABS(IFERROR(E910-F910,0))&lt;0.0001,IF(OR(ISTEXT(E910),ISTEXT(F910)),IF(E910=F910,"PASS","FAIL"),"PASS"),"FAIL")</x:f>
        <x:v>PASS</x:v>
      </x:c>
      <x:c r="H910" t="str">
        <x:f>G910</x:f>
        <x:v>PASS</x:v>
      </x:c>
    </x:row>
    <x:row r="911">
      <x:c r="B911" t="str">
        <x:v>A-H15</x:v>
      </x:c>
      <x:c r="C911" t="str">
        <x:v>headline</x:v>
      </x:c>
      <x:c r="D911" t="str">
        <x:v>gross annual support</x:v>
      </x:c>
      <x:c r="E911" s="23" t="n">
        <x:v>148</x:v>
      </x:c>
      <x:c r="F911" s="23" t="n">
        <x:f>'Annual Support'!E14</x:f>
        <x:v>148</x:v>
      </x:c>
      <x:c r="G911" t="str">
        <x:f>IF(ABS(IFERROR(E911-F911,0))&lt;0.0001,IF(OR(ISTEXT(E911),ISTEXT(F911)),IF(E911=F911,"PASS","FAIL"),"PASS"),"FAIL")</x:f>
        <x:v>PASS</x:v>
      </x:c>
      <x:c r="H911" t="str">
        <x:f>G911</x:f>
        <x:v>PASS</x:v>
      </x:c>
    </x:row>
    <x:row r="912">
      <x:c r="B912" t="str">
        <x:v>A-H16</x:v>
      </x:c>
      <x:c r="C912" t="str">
        <x:v>headline</x:v>
      </x:c>
      <x:c r="D912" t="str">
        <x:v>program-period exposure</x:v>
      </x:c>
      <x:c r="E912" s="23" t="n">
        <x:v>1393</x:v>
      </x:c>
      <x:c r="F912" s="23" t="n">
        <x:f>'Portfolio Boundary'!C19</x:f>
        <x:v>1393</x:v>
      </x:c>
      <x:c r="G912" t="str">
        <x:f>IF(ABS(IFERROR(E912-F912,0))&lt;0.0001,IF(OR(ISTEXT(E912),ISTEXT(F912)),IF(E912=F912,"PASS","FAIL"),"PASS"),"FAIL")</x:f>
        <x:v>PASS</x:v>
      </x:c>
      <x:c r="H912" t="str">
        <x:f>G912</x:f>
        <x:v>PASS</x:v>
      </x:c>
    </x:row>
    <x:row r="913">
      <x:c r="B913" t="str">
        <x:v>A-H17</x:v>
      </x:c>
      <x:c r="C913" t="str">
        <x:v>headline</x:v>
      </x:c>
      <x:c r="D913" t="str">
        <x:v>BRD-5R capital</x:v>
      </x:c>
      <x:c r="E913" s="23" t="n">
        <x:v>1298</x:v>
      </x:c>
      <x:c r="F913" s="23" t="n">
        <x:f>'Portfolio Boundary'!C13</x:f>
        <x:v>1298</x:v>
      </x:c>
      <x:c r="G913" t="str">
        <x:f>IF(ABS(IFERROR(E913-F913,0))&lt;0.0001,IF(OR(ISTEXT(E913),ISTEXT(F913)),IF(E913=F913,"PASS","FAIL"),"PASS"),"FAIL")</x:f>
        <x:v>PASS</x:v>
      </x:c>
      <x:c r="H913" t="str">
        <x:f>G913</x:f>
        <x:v>PASS</x:v>
      </x:c>
    </x:row>
    <x:row r="914">
      <x:c r="B914" t="str">
        <x:v>A-H18</x:v>
      </x:c>
      <x:c r="C914" t="str">
        <x:v>headline</x:v>
      </x:c>
      <x:c r="D914" t="str">
        <x:v>BRD-5R annual</x:v>
      </x:c>
      <x:c r="E914" s="23" t="n">
        <x:v>246</x:v>
      </x:c>
      <x:c r="F914" s="23" t="n">
        <x:f>'Portfolio Boundary'!D13</x:f>
        <x:v>246</x:v>
      </x:c>
      <x:c r="G914" t="str">
        <x:f>IF(ABS(IFERROR(E914-F914,0))&lt;0.0001,IF(OR(ISTEXT(E914),ISTEXT(F914)),IF(E914=F914,"PASS","FAIL"),"PASS"),"FAIL")</x:f>
        <x:v>PASS</x:v>
      </x:c>
      <x:c r="H914" t="str">
        <x:f>G914</x:f>
        <x:v>PASS</x:v>
      </x:c>
    </x:row>
    <x:row r="915">
      <x:c r="B915" t="str">
        <x:v>A-H19</x:v>
      </x:c>
      <x:c r="C915" t="str">
        <x:v>headline</x:v>
      </x:c>
      <x:c r="D915" t="str">
        <x:v>BRD-5U capital</x:v>
      </x:c>
      <x:c r="E915" s="23" t="n">
        <x:v>1771</x:v>
      </x:c>
      <x:c r="F915" s="23" t="n">
        <x:f>'Portfolio Boundary'!C17</x:f>
        <x:v>1771</x:v>
      </x:c>
      <x:c r="G915" t="str">
        <x:f>IF(ABS(IFERROR(E915-F915,0))&lt;0.0001,IF(OR(ISTEXT(E915),ISTEXT(F915)),IF(E915=F915,"PASS","FAIL"),"PASS"),"FAIL")</x:f>
        <x:v>PASS</x:v>
      </x:c>
      <x:c r="H915" t="str">
        <x:f>G915</x:f>
        <x:v>PASS</x:v>
      </x:c>
    </x:row>
    <x:row r="916">
      <x:c r="B916" t="str">
        <x:v>A-H20</x:v>
      </x:c>
      <x:c r="C916" t="str">
        <x:v>headline</x:v>
      </x:c>
      <x:c r="D916" t="str">
        <x:v>BRD-5U annual</x:v>
      </x:c>
      <x:c r="E916" s="23" t="n">
        <x:v>345</x:v>
      </x:c>
      <x:c r="F916" s="23" t="n">
        <x:f>'Portfolio Boundary'!D17</x:f>
        <x:v>345</x:v>
      </x:c>
      <x:c r="G916" t="str">
        <x:f>IF(ABS(IFERROR(E916-F916,0))&lt;0.0001,IF(OR(ISTEXT(E916),ISTEXT(F916)),IF(E916=F916,"PASS","FAIL"),"PASS"),"FAIL")</x:f>
        <x:v>PASS</x:v>
      </x:c>
      <x:c r="H916" t="str">
        <x:f>G916</x:f>
        <x:v>PASS</x:v>
      </x:c>
    </x:row>
  </x:sheetData>
  <x:conditionalFormatting sqref="G7:H916">
    <x:cfRule type="containsText" dxfId="64" priority="1" operator="containsText" text="FAIL"/>
    <x:cfRule type="containsText" dxfId="65" priority="2" operator="containsText" text="BLOCKED"/>
    <x:cfRule type="containsText" dxfId="66" priority="3" operator="containsText" text="OPEN"/>
    <x:cfRule type="containsText" dxfId="67" priority="4" operator="containsText" text="GAP"/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2" hidden="0" customWidth="1"/>
    <x:col min="3" max="3" width="34" hidden="0" customWidth="1"/>
    <x:col min="4" max="4" width="20" hidden="0" customWidth="1"/>
    <x:col min="5" max="5" width="17" hidden="0" customWidth="1"/>
    <x:col min="6" max="6" width="29" hidden="0" customWidth="1"/>
    <x:col min="7" max="7" width="17" hidden="0" customWidth="1"/>
    <x:col min="8" max="8" width="91" hidden="0" customWidth="1"/>
  </x:cols>
  <x:sheetData>
    <x:row r="2">
      <x:c r="B2" s="1" t="str">
        <x:v>RHT-1 authority separation</x:v>
      </x:c>
    </x:row>
    <x:row r="3">
      <x:c r="B3" s="2" t="str">
        <x:v>The technology program controls test truth. Independent authorities retain source, safety, evidence and downstream decisions.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 ht="24" customHeight="1">
      <x:c r="B6" s="8" t="str">
        <x:v>Authority object</x:v>
      </x:c>
      <x:c r="C6" s="9" t="str">
        <x:v>Owner</x:v>
      </x:c>
      <x:c r="D6" s="9" t="str">
        <x:v>Planning record</x:v>
      </x:c>
      <x:c r="E6" s="9" t="str">
        <x:v>Physical state</x:v>
      </x:c>
      <x:c r="F6" s="9" t="str">
        <x:v>Downstream reach</x:v>
      </x:c>
      <x:c r="G6" s="9" t="str">
        <x:v>Planning state</x:v>
      </x:c>
      <x:c r="H6" s="10" t="str">
        <x:v>Rule</x:v>
      </x:c>
    </x:row>
    <x:row r="7">
      <x:c r="B7" t="str">
        <x:v>source-state constitution</x:v>
      </x:c>
      <x:c r="C7" t="str">
        <x:v>public physics authority</x:v>
      </x:c>
      <x:c r="D7" t="n">
        <x:v>1</x:v>
      </x:c>
      <x:c r="E7" t="n">
        <x:v>0</x:v>
      </x:c>
      <x:c r="F7" t="str">
        <x:v>source admission</x:v>
      </x:c>
      <x:c r="G7" t="str">
        <x:f>IF(D7=1,"PASS","FAIL")</x:f>
        <x:v>PASS</x:v>
      </x:c>
      <x:c r="H7" t="str">
        <x:v>Declared source properties remain hypotheses until traceable physical characterization.</x:v>
      </x:c>
    </x:row>
    <x:row r="8">
      <x:c r="B8" t="str">
        <x:v>protocol and challenge freeze</x:v>
      </x:c>
      <x:c r="C8" t="str">
        <x:v>independent challenge authority</x:v>
      </x:c>
      <x:c r="D8" t="n">
        <x:v>1</x:v>
      </x:c>
      <x:c r="E8" t="n">
        <x:v>0</x:v>
      </x:c>
      <x:c r="F8" t="str">
        <x:v>event execution</x:v>
      </x:c>
      <x:c r="G8" t="str">
        <x:f>IF(D8=1,"PASS","FAIL")</x:f>
        <x:v>PASS</x:v>
      </x:c>
      <x:c r="H8" t="str">
        <x:v>Builders cannot edit challenge stimuli after protocol freeze.</x:v>
      </x:c>
    </x:row>
    <x:row r="9">
      <x:c r="B9" t="str">
        <x:v>site safety and rescue</x:v>
      </x:c>
      <x:c r="C9" t="str">
        <x:v>independent site authority</x:v>
      </x:c>
      <x:c r="D9" t="n">
        <x:v>1</x:v>
      </x:c>
      <x:c r="E9" t="n">
        <x:v>0</x:v>
      </x:c>
      <x:c r="F9" t="str">
        <x:v>source release</x:v>
      </x:c>
      <x:c r="G9" t="str">
        <x:f>IF(D9=1,"PASS","FAIL")</x:f>
        <x:v>PASS</x:v>
      </x:c>
      <x:c r="H9" t="str">
        <x:v>The stop function and rescue resources remain independent of builders and program schedule.</x:v>
      </x:c>
    </x:row>
    <x:row r="10">
      <x:c r="B10" t="str">
        <x:v>evidence identity and custody</x:v>
      </x:c>
      <x:c r="C10" t="str">
        <x:v>public evidence authority</x:v>
      </x:c>
      <x:c r="D10" t="n">
        <x:v>1</x:v>
      </x:c>
      <x:c r="E10" t="n">
        <x:v>0</x:v>
      </x:c>
      <x:c r="F10" t="str">
        <x:v>decision record</x:v>
      </x:c>
      <x:c r="G10" t="str">
        <x:f>IF(D10=1,"PASS","FAIL")</x:f>
        <x:v>PASS</x:v>
      </x:c>
      <x:c r="H10" t="str">
        <x:v>Two native originals, local retention and public replay are required.</x:v>
      </x:c>
    </x:row>
    <x:row r="11">
      <x:c r="B11" t="str">
        <x:v>architecture selection</x:v>
      </x:c>
      <x:c r="C11" t="str">
        <x:v>independent architecture board</x:v>
      </x:c>
      <x:c r="D11" t="n">
        <x:v>1</x:v>
      </x:c>
      <x:c r="E11" t="n">
        <x:v>0</x:v>
      </x:c>
      <x:c r="F11" t="str">
        <x:v>production and exterior form</x:v>
      </x:c>
      <x:c r="G11" t="str">
        <x:f>IF(D11=1,"PASS","FAIL")</x:f>
        <x:v>PASS</x:v>
      </x:c>
      <x:c r="H11" t="str">
        <x:v>The board may select, reject or continue; no weighted score cancels a failed conjunctive rule.</x:v>
      </x:c>
    </x:row>
    <x:row r="12">
      <x:c r="B12" t="str">
        <x:v>technology-data rights</x:v>
      </x:c>
      <x:c r="C12" t="str">
        <x:v>Department of Resilience</x:v>
      </x:c>
      <x:c r="D12" t="n">
        <x:v>1</x:v>
      </x:c>
      <x:c r="E12" t="n">
        <x:v>0</x:v>
      </x:c>
      <x:c r="F12" t="str">
        <x:v>second sources</x:v>
      </x:c>
      <x:c r="G12" t="str">
        <x:f>IF(D12=1,"PASS","FAIL")</x:f>
        <x:v>PASS</x:v>
      </x:c>
      <x:c r="H12" t="str">
        <x:v>Government purpose rights cover interfaces, failure data, calibration and regeneration procedures.</x:v>
      </x:c>
    </x:row>
    <x:row r="13">
      <x:c r="B13" t="str">
        <x:v>mass and energy closure</x:v>
      </x:c>
      <x:c r="C13" t="str">
        <x:v>public physics authority</x:v>
      </x:c>
      <x:c r="D13" t="n">
        <x:v>1</x:v>
      </x:c>
      <x:c r="E13" t="n">
        <x:v>0</x:v>
      </x:c>
      <x:c r="F13" t="str">
        <x:v>Root B freeze</x:v>
      </x:c>
      <x:c r="G13" t="str">
        <x:f>IF(D13=1,"PASS","FAIL")</x:f>
        <x:v>PASS</x:v>
      </x:c>
      <x:c r="H13" t="str">
        <x:v>Measured inventory and disposition close for every accepted event.</x:v>
      </x:c>
    </x:row>
    <x:row r="14">
      <x:c r="B14" t="str">
        <x:v>terminal disposition</x:v>
      </x:c>
      <x:c r="C14" t="str">
        <x:v>environment and safety authority</x:v>
      </x:c>
      <x:c r="D14" t="n">
        <x:v>1</x:v>
      </x:c>
      <x:c r="E14" t="n">
        <x:v>0</x:v>
      </x:c>
      <x:c r="F14" t="str">
        <x:v>fielded operation</x:v>
      </x:c>
      <x:c r="G14" t="str">
        <x:f>IF(D14=1,"PASS","FAIL")</x:f>
        <x:v>PASS</x:v>
      </x:c>
      <x:c r="H14" t="str">
        <x:v>Retained, recovered and destroyed fractions remain separately measured.</x:v>
      </x:c>
    </x:row>
    <x:row r="15">
      <x:c r="B15" t="str">
        <x:v>public site configuration</x:v>
      </x:c>
      <x:c r="C15" t="str">
        <x:v>site configuration authority</x:v>
      </x:c>
      <x:c r="D15" t="n">
        <x:v>1</x:v>
      </x:c>
      <x:c r="E15" t="n">
        <x:v>0</x:v>
      </x:c>
      <x:c r="F15" t="str">
        <x:v>cross-site replay</x:v>
      </x:c>
      <x:c r="G15" t="str">
        <x:f>IF(D15=1,"PASS","FAIL")</x:f>
        <x:v>PASS</x:v>
      </x:c>
      <x:c r="H15" t="str">
        <x:v>Each site preserves a controlled sibling configuration and known differences.</x:v>
      </x:c>
    </x:row>
    <x:row r="16">
      <x:c r="B16" t="str">
        <x:v>finance boundary</x:v>
      </x:c>
      <x:c r="C16" t="str">
        <x:v>portfolio authority</x:v>
      </x:c>
      <x:c r="D16" t="n">
        <x:v>1</x:v>
      </x:c>
      <x:c r="E16" t="n">
        <x:v>0</x:v>
      </x:c>
      <x:c r="F16" t="str">
        <x:v>appropriation</x:v>
      </x:c>
      <x:c r="G16" t="str">
        <x:f>IF(D16=1,"PASS","FAIL")</x:f>
        <x:v>PASS</x:v>
      </x:c>
      <x:c r="H16" t="str">
        <x:v>CISA funding ownership and gross physical use remain separate views.</x:v>
      </x:c>
    </x:row>
    <x:row r="17">
      <x:c r="B17" t="str">
        <x:v>rendering release</x:v>
      </x:c>
      <x:c r="C17" t="str">
        <x:v>research program authority</x:v>
      </x:c>
      <x:c r="D17" t="n">
        <x:v>1</x:v>
      </x:c>
      <x:c r="E17" t="n">
        <x:v>0</x:v>
      </x:c>
      <x:c r="F17" t="str">
        <x:v>exterior rendering</x:v>
      </x:c>
      <x:c r="G17" t="str">
        <x:f>IF(D17=1,"PASS","FAIL")</x:f>
        <x:v>PASS</x:v>
      </x:c>
      <x:c r="H17" t="str">
        <x:v>Exterior form remains blocked until first-principles technology decisions mature.</x:v>
      </x:c>
    </x:row>
    <x:row r="18">
      <x:c r="B18" t="str">
        <x:v>RC-1 Builder A package</x:v>
      </x:c>
      <x:c r="C18" t="str">
        <x:v>physical acceptance board</x:v>
      </x:c>
      <x:c r="D18" t="n">
        <x:v>1</x:v>
      </x:c>
      <x:c r="E18" t="n">
        <x:v>0</x:v>
      </x:c>
      <x:c r="F18" t="str">
        <x:v>candidate eligibility</x:v>
      </x:c>
      <x:c r="G18" t="str">
        <x:f>IF(D18=1,"PASS","FAIL")</x:f>
        <x:v>PASS</x:v>
      </x:c>
      <x:c r="H18" t="str">
        <x:v>Builder-level acceptance remains independent.</x:v>
      </x:c>
    </x:row>
    <x:row r="19">
      <x:c r="B19" t="str">
        <x:v>RC-1 Builder B package</x:v>
      </x:c>
      <x:c r="C19" t="str">
        <x:v>physical acceptance board</x:v>
      </x:c>
      <x:c r="D19" t="n">
        <x:v>1</x:v>
      </x:c>
      <x:c r="E19" t="n">
        <x:v>0</x:v>
      </x:c>
      <x:c r="F19" t="str">
        <x:v>candidate eligibility</x:v>
      </x:c>
      <x:c r="G19" t="str">
        <x:f>IF(D19=1,"PASS","FAIL")</x:f>
        <x:v>PASS</x:v>
      </x:c>
      <x:c r="H19" t="str">
        <x:v>Builder-level acceptance remains independent.</x:v>
      </x:c>
    </x:row>
    <x:row r="20">
      <x:c r="B20" t="str">
        <x:v>RC-2 Builder A package</x:v>
      </x:c>
      <x:c r="C20" t="str">
        <x:v>physical acceptance board</x:v>
      </x:c>
      <x:c r="D20" t="n">
        <x:v>1</x:v>
      </x:c>
      <x:c r="E20" t="n">
        <x:v>0</x:v>
      </x:c>
      <x:c r="F20" t="str">
        <x:v>candidate eligibility</x:v>
      </x:c>
      <x:c r="G20" t="str">
        <x:f>IF(D20=1,"PASS","FAIL")</x:f>
        <x:v>PASS</x:v>
      </x:c>
      <x:c r="H20" t="str">
        <x:v>Builder-level acceptance remains independent.</x:v>
      </x:c>
    </x:row>
    <x:row r="21">
      <x:c r="B21" t="str">
        <x:v>RC-2 Builder B package</x:v>
      </x:c>
      <x:c r="C21" t="str">
        <x:v>physical acceptance board</x:v>
      </x:c>
      <x:c r="D21" t="n">
        <x:v>1</x:v>
      </x:c>
      <x:c r="E21" t="n">
        <x:v>0</x:v>
      </x:c>
      <x:c r="F21" t="str">
        <x:v>candidate eligibility</x:v>
      </x:c>
      <x:c r="G21" t="str">
        <x:f>IF(D21=1,"PASS","FAIL")</x:f>
        <x:v>PASS</x:v>
      </x:c>
      <x:c r="H21" t="str">
        <x:v>Builder-level acceptance remains independent.</x:v>
      </x:c>
    </x:row>
    <x:row r="22">
      <x:c r="B22" t="str">
        <x:v>RC-3 Builder A package</x:v>
      </x:c>
      <x:c r="C22" t="str">
        <x:v>physical acceptance board</x:v>
      </x:c>
      <x:c r="D22" t="n">
        <x:v>1</x:v>
      </x:c>
      <x:c r="E22" t="n">
        <x:v>0</x:v>
      </x:c>
      <x:c r="F22" t="str">
        <x:v>candidate eligibility</x:v>
      </x:c>
      <x:c r="G22" t="str">
        <x:f>IF(D22=1,"PASS","FAIL")</x:f>
        <x:v>PASS</x:v>
      </x:c>
      <x:c r="H22" t="str">
        <x:v>Builder-level acceptance remains independent.</x:v>
      </x:c>
    </x:row>
    <x:row r="23">
      <x:c r="B23" t="str">
        <x:v>RC-3 Builder B package</x:v>
      </x:c>
      <x:c r="C23" t="str">
        <x:v>physical acceptance board</x:v>
      </x:c>
      <x:c r="D23" t="n">
        <x:v>1</x:v>
      </x:c>
      <x:c r="E23" t="n">
        <x:v>0</x:v>
      </x:c>
      <x:c r="F23" t="str">
        <x:v>candidate eligibility</x:v>
      </x:c>
      <x:c r="G23" t="str">
        <x:f>IF(D23=1,"PASS","FAIL")</x:f>
        <x:v>PASS</x:v>
      </x:c>
      <x:c r="H23" t="str">
        <x:v>Builder-level acceptance remains independent.</x:v>
      </x:c>
    </x:row>
    <x:row r="24">
      <x:c r="B24" t="str">
        <x:v>RC-1 Builder A mass-energy closure</x:v>
      </x:c>
      <x:c r="C24" t="str">
        <x:v>public physics authority</x:v>
      </x:c>
      <x:c r="D24" t="n">
        <x:v>1</x:v>
      </x:c>
      <x:c r="E24" t="n">
        <x:v>0</x:v>
      </x:c>
      <x:c r="F24" t="str">
        <x:v>candidate eligibility</x:v>
      </x:c>
      <x:c r="G24" t="str">
        <x:f>IF(D24=1,"PASS","FAIL")</x:f>
        <x:v>PASS</x:v>
      </x:c>
      <x:c r="H24" t="str">
        <x:v>Measured closure is accepted for one architecture-builder root only.</x:v>
      </x:c>
    </x:row>
    <x:row r="25">
      <x:c r="B25" t="str">
        <x:v>RC-1 Builder B mass-energy closure</x:v>
      </x:c>
      <x:c r="C25" t="str">
        <x:v>public physics authority</x:v>
      </x:c>
      <x:c r="D25" t="n">
        <x:v>1</x:v>
      </x:c>
      <x:c r="E25" t="n">
        <x:v>0</x:v>
      </x:c>
      <x:c r="F25" t="str">
        <x:v>candidate eligibility</x:v>
      </x:c>
      <x:c r="G25" t="str">
        <x:f>IF(D25=1,"PASS","FAIL")</x:f>
        <x:v>PASS</x:v>
      </x:c>
      <x:c r="H25" t="str">
        <x:v>Measured closure is accepted for one architecture-builder root only.</x:v>
      </x:c>
    </x:row>
    <x:row r="26">
      <x:c r="B26" t="str">
        <x:v>RC-2 Builder A mass-energy closure</x:v>
      </x:c>
      <x:c r="C26" t="str">
        <x:v>public physics authority</x:v>
      </x:c>
      <x:c r="D26" t="n">
        <x:v>1</x:v>
      </x:c>
      <x:c r="E26" t="n">
        <x:v>0</x:v>
      </x:c>
      <x:c r="F26" t="str">
        <x:v>candidate eligibility</x:v>
      </x:c>
      <x:c r="G26" t="str">
        <x:f>IF(D26=1,"PASS","FAIL")</x:f>
        <x:v>PASS</x:v>
      </x:c>
      <x:c r="H26" t="str">
        <x:v>Measured closure is accepted for one architecture-builder root only.</x:v>
      </x:c>
    </x:row>
    <x:row r="27">
      <x:c r="B27" t="str">
        <x:v>RC-2 Builder B mass-energy closure</x:v>
      </x:c>
      <x:c r="C27" t="str">
        <x:v>public physics authority</x:v>
      </x:c>
      <x:c r="D27" t="n">
        <x:v>1</x:v>
      </x:c>
      <x:c r="E27" t="n">
        <x:v>0</x:v>
      </x:c>
      <x:c r="F27" t="str">
        <x:v>candidate eligibility</x:v>
      </x:c>
      <x:c r="G27" t="str">
        <x:f>IF(D27=1,"PASS","FAIL")</x:f>
        <x:v>PASS</x:v>
      </x:c>
      <x:c r="H27" t="str">
        <x:v>Measured closure is accepted for one architecture-builder root only.</x:v>
      </x:c>
    </x:row>
    <x:row r="28">
      <x:c r="B28" t="str">
        <x:v>RC-3 Builder A mass-energy closure</x:v>
      </x:c>
      <x:c r="C28" t="str">
        <x:v>public physics authority</x:v>
      </x:c>
      <x:c r="D28" t="n">
        <x:v>1</x:v>
      </x:c>
      <x:c r="E28" t="n">
        <x:v>0</x:v>
      </x:c>
      <x:c r="F28" t="str">
        <x:v>candidate eligibility</x:v>
      </x:c>
      <x:c r="G28" t="str">
        <x:f>IF(D28=1,"PASS","FAIL")</x:f>
        <x:v>PASS</x:v>
      </x:c>
      <x:c r="H28" t="str">
        <x:v>Measured closure is accepted for one architecture-builder root only.</x:v>
      </x:c>
    </x:row>
    <x:row r="29">
      <x:c r="B29" t="str">
        <x:v>RC-3 Builder B mass-energy closure</x:v>
      </x:c>
      <x:c r="C29" t="str">
        <x:v>public physics authority</x:v>
      </x:c>
      <x:c r="D29" t="n">
        <x:v>1</x:v>
      </x:c>
      <x:c r="E29" t="n">
        <x:v>0</x:v>
      </x:c>
      <x:c r="F29" t="str">
        <x:v>candidate eligibility</x:v>
      </x:c>
      <x:c r="G29" t="str">
        <x:f>IF(D29=1,"PASS","FAIL")</x:f>
        <x:v>PASS</x:v>
      </x:c>
      <x:c r="H29" t="str">
        <x:v>Measured closure is accepted for one architecture-builder root only.</x:v>
      </x:c>
    </x:row>
    <x:row r="30">
      <x:c r="B30" t="str">
        <x:v>RC-1 board disposition</x:v>
      </x:c>
      <x:c r="C30" t="str">
        <x:v>independent architecture board</x:v>
      </x:c>
      <x:c r="D30" t="n">
        <x:v>1</x:v>
      </x:c>
      <x:c r="E30" t="n">
        <x:v>0</x:v>
      </x:c>
      <x:c r="F30" t="str">
        <x:v>architecture selection</x:v>
      </x:c>
      <x:c r="G30" t="str">
        <x:f>IF(D30=1,"PASS","FAIL")</x:f>
        <x:v>PASS</x:v>
      </x:c>
      <x:c r="H30" t="str">
        <x:v>Each candidate receives its own recorded disposition.</x:v>
      </x:c>
    </x:row>
    <x:row r="31">
      <x:c r="B31" t="str">
        <x:v>RC-2 board disposition</x:v>
      </x:c>
      <x:c r="C31" t="str">
        <x:v>independent architecture board</x:v>
      </x:c>
      <x:c r="D31" t="n">
        <x:v>1</x:v>
      </x:c>
      <x:c r="E31" t="n">
        <x:v>0</x:v>
      </x:c>
      <x:c r="F31" t="str">
        <x:v>architecture selection</x:v>
      </x:c>
      <x:c r="G31" t="str">
        <x:f>IF(D31=1,"PASS","FAIL")</x:f>
        <x:v>PASS</x:v>
      </x:c>
      <x:c r="H31" t="str">
        <x:v>Each candidate receives its own recorded disposition.</x:v>
      </x:c>
    </x:row>
    <x:row r="32">
      <x:c r="B32" t="str">
        <x:v>RC-3 board disposition</x:v>
      </x:c>
      <x:c r="C32" t="str">
        <x:v>independent architecture board</x:v>
      </x:c>
      <x:c r="D32" t="n">
        <x:v>1</x:v>
      </x:c>
      <x:c r="E32" t="n">
        <x:v>0</x:v>
      </x:c>
      <x:c r="F32" t="str">
        <x:v>architecture selection</x:v>
      </x:c>
      <x:c r="G32" t="str">
        <x:f>IF(D32=1,"PASS","FAIL")</x:f>
        <x:v>PASS</x:v>
      </x:c>
      <x:c r="H32" t="str">
        <x:v>Each candidate receives its own recorded disposition.</x:v>
      </x:c>
    </x:row>
    <x:row r="33">
      <x:c r="B33" t="str">
        <x:v>PTC-A rescue package</x:v>
      </x:c>
      <x:c r="C33" t="str">
        <x:v>independent site authority</x:v>
      </x:c>
      <x:c r="D33" t="n">
        <x:v>1</x:v>
      </x:c>
      <x:c r="E33" t="n">
        <x:v>0</x:v>
      </x:c>
      <x:c r="F33" t="str">
        <x:v>source release</x:v>
      </x:c>
      <x:c r="G33" t="str">
        <x:f>IF(D33=1,"PASS","FAIL")</x:f>
        <x:v>PASS</x:v>
      </x:c>
      <x:c r="H33" t="str">
        <x:v>Rescue acceptance is site-specific and cannot be borrowed.</x:v>
      </x:c>
    </x:row>
    <x:row r="34">
      <x:c r="B34" t="str">
        <x:v>PTC-B rescue package</x:v>
      </x:c>
      <x:c r="C34" t="str">
        <x:v>independent site authority</x:v>
      </x:c>
      <x:c r="D34" t="n">
        <x:v>1</x:v>
      </x:c>
      <x:c r="E34" t="n">
        <x:v>0</x:v>
      </x:c>
      <x:c r="F34" t="str">
        <x:v>source release</x:v>
      </x:c>
      <x:c r="G34" t="str">
        <x:f>IF(D34=1,"PASS","FAIL")</x:f>
        <x:v>PASS</x:v>
      </x:c>
      <x:c r="H34" t="str">
        <x:v>Rescue acceptance is site-specific and cannot be borrowed.</x:v>
      </x:c>
    </x:row>
    <x:row r="35">
      <x:c r="B35" t="str">
        <x:v>PTC-C rescue package</x:v>
      </x:c>
      <x:c r="C35" t="str">
        <x:v>independent site authority</x:v>
      </x:c>
      <x:c r="D35" t="n">
        <x:v>1</x:v>
      </x:c>
      <x:c r="E35" t="n">
        <x:v>0</x:v>
      </x:c>
      <x:c r="F35" t="str">
        <x:v>source release</x:v>
      </x:c>
      <x:c r="G35" t="str">
        <x:f>IF(D35=1,"PASS","FAIL")</x:f>
        <x:v>PASS</x:v>
      </x:c>
      <x:c r="H35" t="str">
        <x:v>Rescue acceptance is site-specific and cannot be borrowed.</x:v>
      </x:c>
    </x:row>
    <x:row r="36">
      <x:c r="B36" t="str">
        <x:v>native original A survival</x:v>
      </x:c>
      <x:c r="C36" t="str">
        <x:v>public evidence authority</x:v>
      </x:c>
      <x:c r="D36" t="n">
        <x:v>1</x:v>
      </x:c>
      <x:c r="E36" t="n">
        <x:v>0</x:v>
      </x:c>
      <x:c r="F36" t="str">
        <x:v>event acceptance</x:v>
      </x:c>
      <x:c r="G36" t="str">
        <x:f>IF(D36=1,"PASS","FAIL")</x:f>
        <x:v>PASS</x:v>
      </x:c>
      <x:c r="H36" t="str">
        <x:v>Each native original must survive as a separately accepted object.</x:v>
      </x:c>
    </x:row>
    <x:row r="37">
      <x:c r="B37" t="str">
        <x:v>native original B survival</x:v>
      </x:c>
      <x:c r="C37" t="str">
        <x:v>public evidence authority</x:v>
      </x:c>
      <x:c r="D37" t="n">
        <x:v>1</x:v>
      </x:c>
      <x:c r="E37" t="n">
        <x:v>0</x:v>
      </x:c>
      <x:c r="F37" t="str">
        <x:v>event acceptance</x:v>
      </x:c>
      <x:c r="G37" t="str">
        <x:f>IF(D37=1,"PASS","FAIL")</x:f>
        <x:v>PASS</x:v>
      </x:c>
      <x:c r="H37" t="str">
        <x:v>Each native original must survive as a separately accepted object.</x:v>
      </x:c>
    </x:row>
  </x:sheetData>
  <x:conditionalFormatting sqref="G7:G37">
    <x:cfRule type="containsText" dxfId="68" priority="1" operator="containsText" text="FAIL"/>
    <x:cfRule type="containsText" dxfId="69" priority="2" operator="containsText" text="BLOCKED"/>
    <x:cfRule type="containsText" dxfId="70" priority="3" operator="containsText" text="OPEN"/>
    <x:cfRule type="containsText" dxfId="71" priority="4" operator="containsText" text="GAP"/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5"/>
  <x:cols>
    <x:col min="2" max="2" width="25" hidden="0" customWidth="1"/>
    <x:col min="3" max="3" width="116" hidden="0" customWidth="1"/>
  </x:cols>
  <x:sheetData>
    <x:row r="2">
      <x:c r="B2" s="1" t="str">
        <x:v>Workbook use and authority</x:v>
      </x:c>
    </x:row>
    <x:row r="3">
      <x:c r="B3" s="2" t="str">
        <x:v>RHT-1 is a technology-program constitution. It does not qualify source release, select an architecture or authorize production.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 ht="24" customHeight="1">
      <x:c r="B6" s="8" t="str">
        <x:v>Topic</x:v>
      </x:c>
      <x:c r="C6" s="10" t="str">
        <x:v>Rule</x:v>
      </x:c>
    </x:row>
    <x:row r="7" ht="30" customHeight="1">
      <x:c r="B7" t="str">
        <x:v>Decision</x:v>
      </x:c>
      <x:c r="C7" s="20" t="str">
        <x:v>Constitute a three-way technology competition for Root B two-phase relief, retention, recovery and measured last-resort disposition.</x:v>
      </x:c>
    </x:row>
    <x:row r="8" ht="30" customHeight="1">
      <x:c r="B8" t="str">
        <x:v>Governing correction</x:v>
      </x:c>
      <x:c r="C8" s="20" t="str">
        <x:v>The inherited single 500 mm route misses the cold half-area 120-second target. Larger or multiple within-train paths are required before full-scale qualification.</x:v>
      </x:c>
    </x:row>
    <x:row r="9" ht="30" customHeight="1">
      <x:c r="B9" t="str">
        <x:v>RC-1</x:v>
      </x:c>
      <x:c r="C9" s="20" t="str">
        <x:v>Direct segmented low-pressure capture minimizes active machinery but carries the largest deployable volume and weather-sensitive containment question.</x:v>
      </x:c>
    </x:row>
    <x:row r="10" ht="30" customHeight="1">
      <x:c r="B10" t="str">
        <x:v>RC-2</x:v>
      </x:c>
      <x:c r="C10" s="20" t="str">
        <x:v>Staged pressure recovery and condensation reduces holder volume but creates refrigeration, backpressure and active-system dependencies.</x:v>
      </x:c>
    </x:row>
    <x:row r="11" ht="30" customHeight="1">
      <x:c r="B11" t="str">
        <x:v>RC-3</x:v>
      </x:c>
      <x:c r="C11" s="20" t="str">
        <x:v>Hybrid recovery combines pressure capture, condensation and measured last-resort destruction; it must prove ignition control, emissions accounting and limited source loss.</x:v>
      </x:c>
    </x:row>
    <x:row r="12" ht="30" customHeight="1">
      <x:c r="B12" t="str">
        <x:v>Physics limit</x:v>
      </x:c>
      <x:c r="C12" s="20" t="str">
        <x:v>Flash and choked-flow calculations are declared first-order screens. They do not qualify void fraction, flashing fronts, icing, pressure waves, receiver dynamics or structural loads.</x:v>
      </x:c>
    </x:row>
    <x:row r="13" ht="30" customHeight="1">
      <x:c r="B13" t="str">
        <x:v>Evidence</x:v>
      </x:c>
      <x:c r="C13" s="20" t="str">
        <x:v>Eighteen measurement functions create 504 native channels. A modeled event consumes about 402.267 GB; the campaign plus reserve consumes about 160.022 TB.</x:v>
      </x:c>
    </x:row>
    <x:row r="14" ht="30" customHeight="1">
      <x:c r="B14" t="str">
        <x:v>Campaign</x:v>
      </x:c>
      <x:c r="C14" s="20" t="str">
        <x:v>Forty-eight controlled articles support 192 paired full-scale events and 114 development, destructive, reset and site-loss events.</x:v>
      </x:c>
    </x:row>
    <x:row r="15" ht="30" customHeight="1">
      <x:c r="B15" t="str">
        <x:v>Selection</x:v>
      </x:c>
      <x:c r="C15" s="20" t="str">
        <x:v>Thirty-six conjunctive rules prohibit a weighted score from compensating for failed safety, mass-accounting, evidence or replication requirements.</x:v>
      </x:c>
    </x:row>
    <x:row r="16" ht="30" customHeight="1">
      <x:c r="B16" t="str">
        <x:v>Finance</x:v>
      </x:c>
      <x:c r="C16" s="20" t="str">
        <x:v>Amounts are design allocations, not bids, appropriations or execution authority. CISA ownership and gross physical use remain separately visible.</x:v>
      </x:c>
    </x:row>
    <x:row r="17" ht="30" customHeight="1">
      <x:c r="B17" t="str">
        <x:v>Gates</x:v>
      </x:c>
      <x:c r="C17" s="20" t="str">
        <x:v>Planning completeness, physical acceptance and downstream authority are separate. Audit formulas are terminal observers.</x:v>
      </x:c>
    </x:row>
    <x:row r="18" ht="30" customHeight="1">
      <x:c r="B18" t="str">
        <x:v>Rendering</x:v>
      </x:c>
      <x:c r="C18" s="20" t="str">
        <x:v>Exterior rendering remains blocked. Internal process, measurement, rig and consequence diagrams may follow after this first-principles pass.</x:v>
      </x:c>
    </x:row>
    <x:row r="19" ht="30" customHeight="1">
      <x:c r="B19" t="str">
        <x:v>Sources</x:v>
      </x:c>
      <x:c r="C19" s="20" t="str">
        <x:v>Internal authority only: CISA-1, BRD-1 through BRD-4, CRET-1, PTC-0, RSP-1, MCR-1 and SBD-1. No external-site material is used.</x:v>
      </x:c>
    </x:row>
  </x:sheetData>
  <x:pageMargins left="0.7" right="0.7" top="0.75" bottom="0.75" header="0.3" footer="0.3"/>
</x:worksheet>
</file>