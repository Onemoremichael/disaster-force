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7149287d0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c4e418812a423e"/>
    <x:sheet xmlns:r="http://schemas.openxmlformats.org/officeDocument/2006/relationships" name="Controls" sheetId="2" r:id="Rbf34960750a64cc2"/>
    <x:sheet xmlns:r="http://schemas.openxmlformats.org/officeDocument/2006/relationships" name="Site Map" sheetId="3" r:id="R0ded99507c5940ef"/>
    <x:sheet xmlns:r="http://schemas.openxmlformats.org/officeDocument/2006/relationships" name="Lane Capacity" sheetId="4" r:id="R27cb61c137d943d5"/>
    <x:sheet xmlns:r="http://schemas.openxmlformats.org/officeDocument/2006/relationships" name="Facility Quantities" sheetId="5" r:id="R7c338e52e98f45fe"/>
    <x:sheet xmlns:r="http://schemas.openxmlformats.org/officeDocument/2006/relationships" name="Utility Loads" sheetId="6" r:id="R290e3cb2d1a24017"/>
    <x:sheet xmlns:r="http://schemas.openxmlformats.org/officeDocument/2006/relationships" name="Containment" sheetId="7" r:id="R80e6ac9e530b4c8f"/>
    <x:sheet xmlns:r="http://schemas.openxmlformats.org/officeDocument/2006/relationships" name="Specimen Logistics" sheetId="8" r:id="R6e28d2bacbde4a61"/>
    <x:sheet xmlns:r="http://schemas.openxmlformats.org/officeDocument/2006/relationships" name="Independence" sheetId="9" r:id="R2d9469e6368d4f87"/>
    <x:sheet xmlns:r="http://schemas.openxmlformats.org/officeDocument/2006/relationships" name="Commissioning Matrix" sheetId="10" r:id="R79d44368e9d643e1"/>
    <x:sheet xmlns:r="http://schemas.openxmlformats.org/officeDocument/2006/relationships" name="Campus Drills" sheetId="11" r:id="R4815f27c5c824b53"/>
    <x:sheet xmlns:r="http://schemas.openxmlformats.org/officeDocument/2006/relationships" name="Evidence Custody" sheetId="12" r:id="R1d0f7ed1a6054816"/>
    <x:sheet xmlns:r="http://schemas.openxmlformats.org/officeDocument/2006/relationships" name="Metrology" sheetId="13" r:id="Rdedcc4be5d9145a1"/>
    <x:sheet xmlns:r="http://schemas.openxmlformats.org/officeDocument/2006/relationships" name="Workforce" sheetId="14" r:id="Rd4aa93c63f4e4347"/>
    <x:sheet xmlns:r="http://schemas.openxmlformats.org/officeDocument/2006/relationships" name="Capital Reconciliation" sheetId="15" r:id="R920622c9b5db4acb"/>
    <x:sheet xmlns:r="http://schemas.openxmlformats.org/officeDocument/2006/relationships" name="Annual Reconciliation" sheetId="16" r:id="Rbf77ec2b0d2c4d22"/>
    <x:sheet xmlns:r="http://schemas.openxmlformats.org/officeDocument/2006/relationships" name="Schedule" sheetId="17" r:id="R607398d0a4b7474e"/>
    <x:sheet xmlns:r="http://schemas.openxmlformats.org/officeDocument/2006/relationships" name="Release Gates" sheetId="18" r:id="R9a9db1945342499d"/>
    <x:sheet xmlns:r="http://schemas.openxmlformats.org/officeDocument/2006/relationships" name="Audit" sheetId="19" r:id="Rc508454338a04f36"/>
    <x:sheet xmlns:r="http://schemas.openxmlformats.org/officeDocument/2006/relationships" name="ReadMe" sheetId="20" r:id="Re91515f6c6af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00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b/>
      <x:sz val="10"/>
      <x:color rgb="FF273444"/>
      <x:name val="Arial"/>
    </x:font>
    <x:font>
      <x:sz val="10"/>
      <x:color rgb="FF273444"/>
      <x:name val="Arial"/>
    </x:font>
    <x:font>
      <x:sz val="10"/>
      <x:color rgb="FF0070C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06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b69b00d6a4c4f" /><Relationship Type="http://schemas.openxmlformats.org/officeDocument/2006/relationships/theme" Target="/xl/theme/theme1.xml" Id="R8b733fd7d0514806" /><Relationship Type="http://schemas.openxmlformats.org/officeDocument/2006/relationships/sharedStrings" Target="/xl/sharedStrings.xml" Id="R71e4046857424a0b" /><Relationship Type="http://schemas.openxmlformats.org/officeDocument/2006/relationships/worksheet" Target="/xl/worksheets/sheet1.xml" Id="Rcdc4e418812a423e" /><Relationship Type="http://schemas.openxmlformats.org/officeDocument/2006/relationships/worksheet" Target="/xl/worksheets/sheet2.xml" Id="Rbf34960750a64cc2" /><Relationship Type="http://schemas.openxmlformats.org/officeDocument/2006/relationships/worksheet" Target="/xl/worksheets/sheet3.xml" Id="R0ded99507c5940ef" /><Relationship Type="http://schemas.openxmlformats.org/officeDocument/2006/relationships/worksheet" Target="/xl/worksheets/sheet4.xml" Id="R27cb61c137d943d5" /><Relationship Type="http://schemas.openxmlformats.org/officeDocument/2006/relationships/worksheet" Target="/xl/worksheets/sheet5.xml" Id="R7c338e52e98f45fe" /><Relationship Type="http://schemas.openxmlformats.org/officeDocument/2006/relationships/worksheet" Target="/xl/worksheets/sheet6.xml" Id="R290e3cb2d1a24017" /><Relationship Type="http://schemas.openxmlformats.org/officeDocument/2006/relationships/worksheet" Target="/xl/worksheets/sheet7.xml" Id="R80e6ac9e530b4c8f" /><Relationship Type="http://schemas.openxmlformats.org/officeDocument/2006/relationships/worksheet" Target="/xl/worksheets/sheet8.xml" Id="R6e28d2bacbde4a61" /><Relationship Type="http://schemas.openxmlformats.org/officeDocument/2006/relationships/worksheet" Target="/xl/worksheets/sheet9.xml" Id="R2d9469e6368d4f87" /><Relationship Type="http://schemas.openxmlformats.org/officeDocument/2006/relationships/worksheet" Target="/xl/worksheets/sheet10.xml" Id="R79d44368e9d643e1" /><Relationship Type="http://schemas.openxmlformats.org/officeDocument/2006/relationships/worksheet" Target="/xl/worksheets/sheet11.xml" Id="R4815f27c5c824b53" /><Relationship Type="http://schemas.openxmlformats.org/officeDocument/2006/relationships/worksheet" Target="/xl/worksheets/sheet12.xml" Id="R1d0f7ed1a6054816" /><Relationship Type="http://schemas.openxmlformats.org/officeDocument/2006/relationships/worksheet" Target="/xl/worksheets/sheet13.xml" Id="Rdedcc4be5d9145a1" /><Relationship Type="http://schemas.openxmlformats.org/officeDocument/2006/relationships/worksheet" Target="/xl/worksheets/sheet14.xml" Id="Rd4aa93c63f4e4347" /><Relationship Type="http://schemas.openxmlformats.org/officeDocument/2006/relationships/worksheet" Target="/xl/worksheets/sheet15.xml" Id="R920622c9b5db4acb" /><Relationship Type="http://schemas.openxmlformats.org/officeDocument/2006/relationships/worksheet" Target="/xl/worksheets/sheet16.xml" Id="Rbf77ec2b0d2c4d22" /><Relationship Type="http://schemas.openxmlformats.org/officeDocument/2006/relationships/worksheet" Target="/xl/worksheets/sheet17.xml" Id="R607398d0a4b7474e" /><Relationship Type="http://schemas.openxmlformats.org/officeDocument/2006/relationships/worksheet" Target="/xl/worksheets/sheet18.xml" Id="R9a9db1945342499d" /><Relationship Type="http://schemas.openxmlformats.org/officeDocument/2006/relationships/worksheet" Target="/xl/worksheets/sheet19.xml" Id="Rc508454338a04f36" /><Relationship Type="http://schemas.openxmlformats.org/officeDocument/2006/relationships/worksheet" Target="/xl/worksheets/sheet20.xml" Id="Re91515f6c6af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37" hidden="0" customWidth="1"/>
    <x:col min="7" max="7" width="4" hidden="0" customWidth="1"/>
    <x:col min="8" max="8" width="39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4" hidden="0" customWidth="1"/>
    <x:col min="14" max="14" width="37" hidden="0" customWidth="1"/>
  </x:cols>
  <x:sheetData>
    <x:row r="2">
      <x:c r="B2" s="27" t="str">
        <x:v>PTC-0 public test-complex decision surface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B3" s="29" t="str">
        <x:v>The facility topology and phase-zero campaign close in planning. Every constructed, commissioned and downstream source remains absent.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B6" s="18" t="str">
        <x:v>Program result</x:v>
      </x:c>
      <x:c r="C6" s="18" t="str">
        <x:v>Program result</x:v>
      </x:c>
      <x:c r="D6" s="18" t="str">
        <x:v>Program result</x:v>
      </x:c>
      <x:c r="E6" s="18" t="str">
        <x:v>Program result</x:v>
      </x:c>
      <x:c r="F6" s="18" t="str">
        <x:v>Program result</x:v>
      </x:c>
      <x:c r="G6" s="18" t="str">
        <x:v>Program result</x:v>
      </x:c>
      <x:c r="H6" s="18" t="str">
        <x:v>Program result</x:v>
      </x:c>
      <x:c r="I6" s="18" t="str">
        <x:v>Program result</x:v>
      </x:c>
      <x:c r="J6" s="18" t="str">
        <x:v>Program result</x:v>
      </x:c>
      <x:c r="K6" s="18" t="str">
        <x:v>Program result</x:v>
      </x:c>
      <x:c r="L6" s="18" t="str">
        <x:v>Program result</x:v>
      </x:c>
      <x:c r="M6" s="18" t="str">
        <x:v>Program result</x:v>
      </x:c>
      <x:c r="N6" s="18" t="str">
        <x:v>Program result</x:v>
      </x:c>
    </x:row>
    <x:row r="7">
      <x:c r="B7" s="8" t="str">
        <x:v>Metric</x:v>
      </x:c>
      <x:c r="C7" s="8" t="str">
        <x:v>Calculated</x:v>
      </x:c>
      <x:c r="D7" s="8" t="str">
        <x:v>Required</x:v>
      </x:c>
      <x:c r="E7" s="8" t="str">
        <x:v>State</x:v>
      </x:c>
      <x:c r="F7" s="8" t="str">
        <x:v>Meaning</x:v>
      </x:c>
      <x:c r="G7" s="10"/>
      <x:c r="H7" s="18" t="str">
        <x:v>Financial ownership</x:v>
      </x:c>
      <x:c r="I7" s="18" t="str">
        <x:v>Financial ownership</x:v>
      </x:c>
      <x:c r="J7" s="18" t="str">
        <x:v>Financial ownership</x:v>
      </x:c>
      <x:c r="K7" s="18" t="str">
        <x:v>Financial ownership</x:v>
      </x:c>
      <x:c r="L7" s="18" t="str">
        <x:v>Financial ownership</x:v>
      </x:c>
      <x:c r="M7" s="18" t="str">
        <x:v>Financial ownership</x:v>
      </x:c>
      <x:c r="N7" s="18" t="str">
        <x:v>Financial ownership</x:v>
      </x:c>
    </x:row>
    <x:row r="8">
      <x:c r="B8" s="10" t="str">
        <x:v>range families</x:v>
      </x:c>
      <x:c r="C8" s="10" t="n">
        <x:f>COUNTA('Lane Capacity'!B7:B12)</x:f>
        <x:v>6</x:v>
      </x:c>
      <x:c r="D8" s="10" t="n">
        <x:f>'Controls'!$D$7</x:f>
        <x:v>6</x:v>
      </x:c>
      <x:c r="E8" s="10" t="str">
        <x:f>IF(ABS(C8-D8)&lt;0.000001,"PASS","FAIL")</x:f>
        <x:v>PASS</x:v>
      </x:c>
      <x:c r="F8" s="10" t="str">
        <x:v>six physical families</x:v>
      </x:c>
      <x:c r="G8" s="10"/>
      <x:c r="H8" s="8" t="str">
        <x:v>Metric</x:v>
      </x:c>
      <x:c r="I8" s="8" t="str">
        <x:v>Calculated</x:v>
      </x:c>
      <x:c r="J8" s="8" t="str">
        <x:v>Reference</x:v>
      </x:c>
      <x:c r="K8" s="8" t="str">
        <x:v>Unit</x:v>
      </x:c>
      <x:c r="L8" s="8" t="str">
        <x:v>Difference</x:v>
      </x:c>
      <x:c r="M8" s="8" t="str">
        <x:v>State</x:v>
      </x:c>
      <x:c r="N8" s="8" t="str">
        <x:v>Decision</x:v>
      </x:c>
    </x:row>
    <x:row r="9">
      <x:c r="B9" s="10" t="str">
        <x:v>independent lanes</x:v>
      </x:c>
      <x:c r="C9" s="10" t="n">
        <x:f>COUNTA('Site Map'!B7:B18)</x:f>
        <x:v>12</x:v>
      </x:c>
      <x:c r="D9" s="10" t="n">
        <x:f>'Controls'!$D$7*'Controls'!$D$8</x:f>
        <x:v>12</x:v>
      </x:c>
      <x:c r="E9" s="10" t="str">
        <x:f>IF(ABS(C9-D9)&lt;0.000001,"PASS","FAIL")</x:f>
        <x:v>PASS</x:v>
      </x:c>
      <x:c r="F9" s="10" t="str">
        <x:v>two lanes per family</x:v>
      </x:c>
      <x:c r="G9" s="10"/>
      <x:c r="H9" s="10" t="str">
        <x:v>physical-use capital</x:v>
      </x:c>
      <x:c r="I9" s="21" t="n">
        <x:f>'Capital Reconciliation'!C38</x:f>
        <x:v>0.4300000000000001</x:v>
      </x:c>
      <x:c r="J9" s="21" t="n">
        <x:v>0.43</x:v>
      </x:c>
      <x:c r="K9" s="21" t="str">
        <x:v>USD B</x:v>
      </x:c>
      <x:c r="L9" s="21" t="n">
        <x:f>I9-J9</x:f>
        <x:v>1.1102230246251565e-16</x:v>
      </x:c>
      <x:c r="M9" s="10" t="str">
        <x:f>IF(ABS(L9)&lt;0.000001,"PASS","FAIL")</x:f>
        <x:v>PASS</x:v>
      </x:c>
      <x:c r="N9" s="10" t="str">
        <x:v>resource view</x:v>
      </x:c>
    </x:row>
    <x:row r="10">
      <x:c r="B10" s="10" t="str">
        <x:v>public campuses</x:v>
      </x:c>
      <x:c r="C10" s="10" t="n">
        <x:f>COUNTA('Site Map'!B23:B25)</x:f>
        <x:v>3</x:v>
      </x:c>
      <x:c r="D10" s="10" t="n">
        <x:f>'Controls'!$D$9</x:f>
        <x:v>3</x:v>
      </x:c>
      <x:c r="E10" s="10" t="str">
        <x:f>IF(ABS(C10-D10)&lt;0.000001,"PASS","FAIL")</x:f>
        <x:v>PASS</x:v>
      </x:c>
      <x:c r="F10" s="10" t="str">
        <x:v>site-loss topology</x:v>
      </x:c>
      <x:c r="G10" s="10"/>
      <x:c r="H10" s="10" t="str">
        <x:v>shared capital credit</x:v>
      </x:c>
      <x:c r="I10" s="21" t="n">
        <x:f>'Capital Reconciliation'!C39</x:f>
        <x:v>0.128</x:v>
      </x:c>
      <x:c r="J10" s="21" t="n">
        <x:v>0.128</x:v>
      </x:c>
      <x:c r="K10" s="21" t="str">
        <x:v>USD B</x:v>
      </x:c>
      <x:c r="L10" s="21" t="n">
        <x:f>I10-J10</x:f>
        <x:v>0</x:v>
      </x:c>
      <x:c r="M10" s="10" t="str">
        <x:f>IF(ABS(L10)&lt;0.000001,"PASS","FAIL")</x:f>
        <x:v>PASS</x:v>
      </x:c>
      <x:c r="N10" s="10" t="str">
        <x:v>charged once to predecessor</x:v>
      </x:c>
    </x:row>
    <x:row r="11">
      <x:c r="B11" s="10" t="str">
        <x:v>campaign specimens</x:v>
      </x:c>
      <x:c r="C11" s="10" t="n">
        <x:f>SUM('Site Map'!D23:D25)</x:f>
        <x:v>64</x:v>
      </x:c>
      <x:c r="D11" s="10" t="n">
        <x:f>'Controls'!$D$10</x:f>
        <x:v>64</x:v>
      </x:c>
      <x:c r="E11" s="10" t="str">
        <x:f>IF(ABS(C11-D11)&lt;0.000001,"PASS","FAIL")</x:f>
        <x:v>PASS</x:v>
      </x:c>
      <x:c r="F11" s="10" t="str">
        <x:v>root and site balanced</x:v>
      </x:c>
      <x:c r="G11" s="10"/>
      <x:c r="H11" s="10" t="str">
        <x:v>net new capital</x:v>
      </x:c>
      <x:c r="I11" s="21" t="n">
        <x:f>'Capital Reconciliation'!C40</x:f>
        <x:v>0.30200000000000005</x:v>
      </x:c>
      <x:c r="J11" s="21" t="n">
        <x:v>0.302</x:v>
      </x:c>
      <x:c r="K11" s="21" t="str">
        <x:v>USD B</x:v>
      </x:c>
      <x:c r="L11" s="21" t="n">
        <x:f>I11-J11</x:f>
        <x:v>5.551115123125783e-17</x:v>
      </x:c>
      <x:c r="M11" s="10" t="str">
        <x:f>IF(ABS(L11)&lt;0.000001,"PASS","FAIL")</x:f>
        <x:v>PASS</x:v>
      </x:c>
      <x:c r="N11" s="10" t="str">
        <x:v>BRD-2 increment</x:v>
      </x:c>
    </x:row>
    <x:row r="12">
      <x:c r="B12" s="10" t="str">
        <x:v>campaign events</x:v>
      </x:c>
      <x:c r="C12" s="10" t="n">
        <x:f>SUM('Site Map'!E23:E25)</x:f>
        <x:v>40520</x:v>
      </x:c>
      <x:c r="D12" s="10" t="n">
        <x:f>'Controls'!$D$11</x:f>
        <x:v>40520</x:v>
      </x:c>
      <x:c r="E12" s="10" t="str">
        <x:f>IF(ABS(C12-D12)&lt;0.000001,"PASS","FAIL")</x:f>
        <x:v>PASS</x:v>
      </x:c>
      <x:c r="F12" s="10" t="str">
        <x:v>registered SDEC events</x:v>
      </x:c>
      <x:c r="G12" s="10"/>
      <x:c r="H12" s="10" t="str">
        <x:v>reconciled BRD-2 capital</x:v>
      </x:c>
      <x:c r="I12" s="21" t="n">
        <x:f>'Capital Reconciliation'!C41</x:f>
        <x:v>0.6200000000000001</x:v>
      </x:c>
      <x:c r="J12" s="21" t="n">
        <x:v>0.62</x:v>
      </x:c>
      <x:c r="K12" s="21" t="str">
        <x:v>USD B</x:v>
      </x:c>
      <x:c r="L12" s="21" t="n">
        <x:f>I12-J12</x:f>
        <x:v>1.1102230246251565e-16</x:v>
      </x:c>
      <x:c r="M12" s="10" t="str">
        <x:f>IF(ABS(L12)&lt;0.000001,"PASS","FAIL")</x:f>
        <x:v>PASS</x:v>
      </x:c>
      <x:c r="N12" s="10" t="str">
        <x:v>inside CISA-1</x:v>
      </x:c>
    </x:row>
    <x:row r="13">
      <x:c r="B13" s="10" t="str">
        <x:v>phase-zero events</x:v>
      </x:c>
      <x:c r="C13" s="10" t="n">
        <x:f>COUNTA('Commissioning Matrix'!B7:B126)+COUNTA('Campus Drills'!B7:B30)+COUNTA('Campus Drills'!B35:B46)</x:f>
        <x:v>156</x:v>
      </x:c>
      <x:c r="D13" s="10" t="n">
        <x:f>'Controls'!$D$20</x:f>
        <x:v>156</x:v>
      </x:c>
      <x:c r="E13" s="10" t="str">
        <x:f>IF(ABS(C13-D13)&lt;0.000001,"PASS","FAIL")</x:f>
        <x:v>PASS</x:v>
      </x:c>
      <x:c r="F13" s="10" t="str">
        <x:v>120 lane, 24 site, 12 replay</x:v>
      </x:c>
      <x:c r="G13" s="10"/>
      <x:c r="H13" s="10" t="str">
        <x:v>no-credit capital envelope</x:v>
      </x:c>
      <x:c r="I13" s="21" t="n">
        <x:f>'Capital Reconciliation'!C42</x:f>
        <x:v>0.7480000000000001</x:v>
      </x:c>
      <x:c r="J13" s="21" t="n">
        <x:v>0.748</x:v>
      </x:c>
      <x:c r="K13" s="21" t="str">
        <x:v>USD B</x:v>
      </x:c>
      <x:c r="L13" s="21" t="n">
        <x:f>I13-J13</x:f>
        <x:v>1.1102230246251565e-16</x:v>
      </x:c>
      <x:c r="M13" s="10" t="str">
        <x:f>IF(ABS(L13)&lt;0.000001,"PASS","FAIL")</x:f>
        <x:v>PASS</x:v>
      </x:c>
      <x:c r="N13" s="10" t="str">
        <x:v>conservative upper bound</x:v>
      </x:c>
    </x:row>
    <x:row r="14">
      <x:c r="B14" s="10" t="str">
        <x:v>reference articles</x:v>
      </x:c>
      <x:c r="C14" s="10" t="n">
        <x:f>Metrology!B24</x:f>
        <x:v>72</x:v>
      </x:c>
      <x:c r="D14" s="10" t="n">
        <x:f>'Controls'!$D$21</x:f>
        <x:v>72</x:v>
      </x:c>
      <x:c r="E14" s="10" t="str">
        <x:f>IF(ABS(C14-D14)&lt;0.000001,"PASS","FAIL")</x:f>
        <x:v>PASS</x:v>
      </x:c>
      <x:c r="F14" s="10" t="str">
        <x:v>six per lane</x:v>
      </x:c>
      <x:c r="G14" s="10"/>
      <x:c r="H14" s="10" t="str">
        <x:v>CISA-1 capital remaining</x:v>
      </x:c>
      <x:c r="I14" s="21" t="n">
        <x:f>'Capital Reconciliation'!C43</x:f>
        <x:v>0.33999999999999986</x:v>
      </x:c>
      <x:c r="J14" s="21" t="n">
        <x:v>0.34</x:v>
      </x:c>
      <x:c r="K14" s="21" t="str">
        <x:v>USD B</x:v>
      </x:c>
      <x:c r="L14" s="21" t="n">
        <x:f>I14-J14</x:f>
        <x:v>-1.6653345369377348e-16</x:v>
      </x:c>
      <x:c r="M14" s="10" t="str">
        <x:f>IF(ABS(L14)&lt;0.000001,"PASS","FAIL")</x:f>
        <x:v>PASS</x:v>
      </x:c>
      <x:c r="N14" s="10" t="str">
        <x:v>unassigned after BRD-2</x:v>
      </x:c>
    </x:row>
    <x:row r="15">
      <x:c r="B15" s="10" t="str">
        <x:v>specimen positions</x:v>
      </x:c>
      <x:c r="C15" s="10" t="n">
        <x:f>'Specimen Logistics'!C15</x:f>
        <x:v>84</x:v>
      </x:c>
      <x:c r="D15" s="10" t="n">
        <x:f>'Controls'!$D$22</x:f>
        <x:v>84</x:v>
      </x:c>
      <x:c r="E15" s="10" t="str">
        <x:f>IF(ABS(C15-D15)&lt;0.000001,"PASS","FAIL")</x:f>
        <x:v>PASS</x:v>
      </x:c>
      <x:c r="F15" s="10" t="str">
        <x:v>64 plus quarantine and surge</x:v>
      </x:c>
      <x:c r="G15" s="10"/>
      <x:c r="H15" s="10" t="str">
        <x:v>physical-use annual support</x:v>
      </x:c>
      <x:c r="I15" s="21" t="n">
        <x:f>'Annual Reconciliation'!C35</x:f>
        <x:v>0.09800000000000003</x:v>
      </x:c>
      <x:c r="J15" s="21" t="n">
        <x:v>0.098</x:v>
      </x:c>
      <x:c r="K15" s="21" t="str">
        <x:v>USD B/year</x:v>
      </x:c>
      <x:c r="L15" s="21" t="n">
        <x:f>I15-J15</x:f>
        <x:v>2.7755575615628914e-17</x:v>
      </x:c>
      <x:c r="M15" s="10" t="str">
        <x:f>IF(ABS(L15)&lt;0.000001,"PASS","FAIL")</x:f>
        <x:v>PASS</x:v>
      </x:c>
      <x:c r="N15" s="10" t="str">
        <x:v>resource view</x:v>
      </x:c>
    </x:row>
    <x:row r="16">
      <x:c r="B16" s="10" t="str">
        <x:v>workforce</x:v>
      </x:c>
      <x:c r="C16" s="10" t="n">
        <x:f>Workforce!C21</x:f>
        <x:v>448</x:v>
      </x:c>
      <x:c r="D16" s="10" t="n">
        <x:f>'Controls'!$D$41</x:f>
        <x:v>448</x:v>
      </x:c>
      <x:c r="E16" s="10" t="str">
        <x:f>IF(ABS(C16-D16)&lt;0.000001,"PASS","FAIL")</x:f>
        <x:v>PASS</x:v>
      </x:c>
      <x:c r="F16" s="10" t="str">
        <x:v>448 assigned people</x:v>
      </x:c>
      <x:c r="G16" s="10"/>
      <x:c r="H16" s="10" t="str">
        <x:v>shared annual credit</x:v>
      </x:c>
      <x:c r="I16" s="21" t="n">
        <x:f>'Annual Reconciliation'!C36</x:f>
        <x:v>0.04100000000000001</x:v>
      </x:c>
      <x:c r="J16" s="21" t="n">
        <x:v>0.041</x:v>
      </x:c>
      <x:c r="K16" s="21" t="str">
        <x:v>USD B/year</x:v>
      </x:c>
      <x:c r="L16" s="21" t="n">
        <x:f>I16-J16</x:f>
        <x:v>6.938893903907228e-18</x:v>
      </x:c>
      <x:c r="M16" s="10" t="str">
        <x:f>IF(ABS(L16)&lt;0.000001,"PASS","FAIL")</x:f>
        <x:v>PASS</x:v>
      </x:c>
      <x:c r="N16" s="10" t="str">
        <x:v>predecessor service</x:v>
      </x:c>
    </x:row>
    <x:row r="17">
      <x:c r="B17" s="10" t="str">
        <x:v>maximum site-loss utilization</x:v>
      </x:c>
      <x:c r="C17" s="19" t="n">
        <x:f>'Lane Capacity'!B17</x:f>
        <x:v>0.6621128944390898</x:v>
      </x:c>
      <x:c r="D17" s="19" t="n">
        <x:f>'Controls'!$D$16</x:f>
        <x:v>0.7</x:v>
      </x:c>
      <x:c r="E17" s="10" t="str">
        <x:f>IF(C17&lt;=D17,"PASS","FAIL")</x:f>
        <x:v>PASS</x:v>
      </x:c>
      <x:c r="F17" s="10" t="str">
        <x:v>less than or equal to limit</x:v>
      </x:c>
      <x:c r="G17" s="10"/>
      <x:c r="H17" s="10" t="str">
        <x:v>net new annual support</x:v>
      </x:c>
      <x:c r="I17" s="21" t="n">
        <x:f>'Annual Reconciliation'!C37</x:f>
        <x:v>0.05700000000000001</x:v>
      </x:c>
      <x:c r="J17" s="21" t="n">
        <x:v>0.057</x:v>
      </x:c>
      <x:c r="K17" s="21" t="str">
        <x:v>USD B/year</x:v>
      </x:c>
      <x:c r="L17" s="21" t="n">
        <x:f>I17-J17</x:f>
        <x:v>6.938893903907228e-18</x:v>
      </x:c>
      <x:c r="M17" s="10" t="str">
        <x:f>IF(ABS(L17)&lt;0.000001,"PASS","FAIL")</x:f>
        <x:v>PASS</x:v>
      </x:c>
      <x:c r="N17" s="10" t="str">
        <x:v>BRD-2 increment</x:v>
      </x:c>
    </x:row>
    <x:row r="18">
      <x:c r="B18" s="10" t="str">
        <x:v>planning gates passing</x:v>
      </x:c>
      <x:c r="C18" s="10" t="n">
        <x:f>COUNTIF('Release Gates'!H7:H78,"PASS")</x:f>
        <x:v>72</x:v>
      </x:c>
      <x:c r="D18" s="10" t="n">
        <x:f>'Controls'!$D$45</x:f>
        <x:v>72</x:v>
      </x:c>
      <x:c r="E18" s="10" t="str">
        <x:f>IF(ABS(C18-D18)&lt;0.000001,"PASS","FAIL")</x:f>
        <x:v>PASS</x:v>
      </x:c>
      <x:c r="F18" s="10" t="str">
        <x:v>planning only</x:v>
      </x:c>
      <x:c r="G18" s="10"/>
      <x:c r="H18" s="10" t="str">
        <x:v>reconciled BRD-2 annual support</x:v>
      </x:c>
      <x:c r="I18" s="21" t="n">
        <x:f>'Annual Reconciliation'!C38</x:f>
        <x:v>0.14100000000000001</x:v>
      </x:c>
      <x:c r="J18" s="21" t="n">
        <x:v>0.141</x:v>
      </x:c>
      <x:c r="K18" s="21" t="str">
        <x:v>USD B/year</x:v>
      </x:c>
      <x:c r="L18" s="21" t="n">
        <x:f>I18-J18</x:f>
        <x:v>2.7755575615628914e-17</x:v>
      </x:c>
      <x:c r="M18" s="10" t="str">
        <x:f>IF(ABS(L18)&lt;0.000001,"PASS","FAIL")</x:f>
        <x:v>PASS</x:v>
      </x:c>
      <x:c r="N18" s="10" t="str">
        <x:v>inside CISA-1</x:v>
      </x:c>
    </x:row>
    <x:row r="19">
      <x:c r="B19" s="10" t="str">
        <x:v>source gates open</x:v>
      </x:c>
      <x:c r="C19" s="10" t="n">
        <x:f>COUNTIF('Release Gates'!H79:H114,"OPEN")</x:f>
        <x:v>36</x:v>
      </x:c>
      <x:c r="D19" s="10" t="n">
        <x:f>'Controls'!$D$46</x:f>
        <x:v>36</x:v>
      </x:c>
      <x:c r="E19" s="10" t="str">
        <x:f>IF(ABS(C19-D19)&lt;0.000001,"PASS","FAIL")</x:f>
        <x:v>PASS</x:v>
      </x:c>
      <x:c r="F19" s="10" t="str">
        <x:v>physical records absent</x:v>
      </x:c>
      <x:c r="G19" s="10"/>
      <x:c r="H19" s="10" t="str">
        <x:v>no-credit annual envelope</x:v>
      </x:c>
      <x:c r="I19" s="21" t="n">
        <x:f>'Annual Reconciliation'!C39</x:f>
        <x:v>0.18200000000000005</x:v>
      </x:c>
      <x:c r="J19" s="21" t="n">
        <x:v>0.182</x:v>
      </x:c>
      <x:c r="K19" s="21" t="str">
        <x:v>USD B/year</x:v>
      </x:c>
      <x:c r="L19" s="21" t="n">
        <x:f>I19-J19</x:f>
        <x:v>5.551115123125783e-17</x:v>
      </x:c>
      <x:c r="M19" s="10" t="str">
        <x:f>IF(ABS(L19)&lt;0.000001,"PASS","FAIL")</x:f>
        <x:v>PASS</x:v>
      </x:c>
      <x:c r="N19" s="10" t="str">
        <x:v>conservative upper bound</x:v>
      </x:c>
    </x:row>
    <x:row r="20">
      <x:c r="B20" s="10" t="str">
        <x:v>downstream gates blocked</x:v>
      </x:c>
      <x:c r="C20" s="10" t="n">
        <x:f>COUNTIF('Release Gates'!H115:H120,"BLOCKED")</x:f>
        <x:v>6</x:v>
      </x:c>
      <x:c r="D20" s="10" t="n">
        <x:f>'Controls'!$D$47</x:f>
        <x:v>6</x:v>
      </x:c>
      <x:c r="E20" s="10" t="str">
        <x:f>IF(ABS(C20-D20)&lt;0.000001,"PASS","FAIL")</x:f>
        <x:v>PASS</x:v>
      </x:c>
      <x:c r="F20" s="10" t="str">
        <x:v>execution through rendering</x:v>
      </x:c>
      <x:c r="G20" s="10"/>
      <x:c r="H20" s="10" t="str">
        <x:v>CISA-1 annual remaining</x:v>
      </x:c>
      <x:c r="I20" s="21" t="n">
        <x:f>'Annual Reconciliation'!C40</x:f>
        <x:v>0.119</x:v>
      </x:c>
      <x:c r="J20" s="21" t="n">
        <x:v>0.119</x:v>
      </x:c>
      <x:c r="K20" s="21" t="str">
        <x:v>USD B/year</x:v>
      </x:c>
      <x:c r="L20" s="21" t="n">
        <x:f>I20-J20</x:f>
        <x:v>0</x:v>
      </x:c>
      <x:c r="M20" s="10" t="str">
        <x:f>IF(ABS(L20)&lt;0.000001,"PASS","FAIL")</x:f>
        <x:v>PASS</x:v>
      </x:c>
      <x:c r="N20" s="10" t="str">
        <x:v>unassigned after BRD-2</x:v>
      </x:c>
    </x:row>
    <x:row r="21">
      <x:c r="B21" s="10"/>
      <x:c r="C21" s="10"/>
      <x:c r="D21" s="10"/>
      <x:c r="E21" s="10"/>
      <x:c r="F21" s="10"/>
      <x:c r="G21" s="10"/>
      <x:c r="H21" s="10" t="str">
        <x:v>financial execution authority</x:v>
      </x:c>
      <x:c r="I21" s="21" t="n">
        <x:f>'Controls'!$D$59</x:f>
        <x:v>0</x:v>
      </x:c>
      <x:c r="J21" s="21" t="n">
        <x:v>1</x:v>
      </x:c>
      <x:c r="K21" s="21" t="str">
        <x:v>binary</x:v>
      </x:c>
      <x:c r="L21" s="21" t="n">
        <x:f>I21-J21</x:f>
        <x:v>-1</x:v>
      </x:c>
      <x:c r="M21" s="10" t="str">
        <x:f>IF(I21=J21,"PASS","OPEN")</x:f>
        <x:v>OPEN</x:v>
      </x:c>
      <x:c r="N21" s="10" t="str">
        <x:v>execution remains unauthorized</x:v>
      </x:c>
    </x:row>
    <x:row r="22"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B24" s="18" t="str">
        <x:v>Authority boundary</x:v>
      </x:c>
      <x:c r="C24" s="18" t="str">
        <x:v>Authority boundary</x:v>
      </x:c>
      <x:c r="D24" s="18" t="str">
        <x:v>Authority boundary</x:v>
      </x:c>
      <x:c r="E24" s="18" t="str">
        <x:v>Authority boundary</x:v>
      </x:c>
      <x:c r="F24" s="18" t="str">
        <x:v>Authority boundary</x:v>
      </x:c>
      <x:c r="G24" s="18" t="str">
        <x:v>Authority boundary</x:v>
      </x:c>
      <x:c r="H24" s="18" t="str">
        <x:v>Authority boundary</x:v>
      </x:c>
      <x:c r="I24" s="18" t="str">
        <x:v>Authority boundary</x:v>
      </x:c>
      <x:c r="J24" s="18" t="str">
        <x:v>Authority boundary</x:v>
      </x:c>
      <x:c r="K24" s="18" t="str">
        <x:v>Authority boundary</x:v>
      </x:c>
      <x:c r="L24" s="18" t="str">
        <x:v>Authority boundary</x:v>
      </x:c>
      <x:c r="M24" s="18" t="str">
        <x:v>Authority boundary</x:v>
      </x:c>
      <x:c r="N24" s="18" t="str">
        <x:v>Authority boundary</x:v>
      </x:c>
    </x:row>
    <x:row r="25">
      <x:c r="B25" s="8" t="str">
        <x:v>Authority class</x:v>
      </x:c>
      <x:c r="C25" s="8" t="str">
        <x:v>Count</x:v>
      </x:c>
      <x:c r="D25" s="8" t="str">
        <x:v>State</x:v>
      </x:c>
      <x:c r="E25" s="8" t="str">
        <x:v>Immediate consequence</x:v>
      </x:c>
      <x:c r="F25" s="8" t="str">
        <x:v>Next source</x:v>
      </x:c>
      <x:c r="G25" s="10"/>
      <x:c r="H25" s="10"/>
      <x:c r="I25" s="10"/>
      <x:c r="J25" s="10"/>
      <x:c r="K25" s="10"/>
      <x:c r="L25" s="10"/>
      <x:c r="M25" s="10"/>
      <x:c r="N25" s="10"/>
    </x:row>
    <x:row r="26">
      <x:c r="B26" s="10" t="str">
        <x:v>planning</x:v>
      </x:c>
      <x:c r="C26" s="10" t="n">
        <x:v>72</x:v>
      </x:c>
      <x:c r="D26" s="10" t="str">
        <x:f>IF(COUNTIF('Release Gates'!H7:H78,"PASS")=72,"AUTHORIZED","HOLD")</x:f>
        <x:v>AUTHORIZED</x:v>
      </x:c>
      <x:c r="E26" s="10" t="str">
        <x:v>facility design governs</x:v>
      </x:c>
      <x:c r="F26" s="10" t="str">
        <x:v>construct and commission sites</x:v>
      </x:c>
      <x:c r="G26" s="10"/>
      <x:c r="H26" s="10"/>
      <x:c r="I26" s="10"/>
      <x:c r="J26" s="10"/>
      <x:c r="K26" s="10"/>
      <x:c r="L26" s="10"/>
      <x:c r="M26" s="10"/>
      <x:c r="N26" s="10"/>
    </x:row>
    <x:row r="27">
      <x:c r="B27" s="10" t="str">
        <x:v>source-dependent</x:v>
      </x:c>
      <x:c r="C27" s="10" t="n">
        <x:v>36</x:v>
      </x:c>
      <x:c r="D27" s="10" t="str">
        <x:f>IF(COUNTIF('Release Gates'!H79:H114,"PASS")=36,"AUTHORIZED","OPEN")</x:f>
        <x:v>OPEN</x:v>
      </x:c>
      <x:c r="E27" s="10" t="str">
        <x:v>no physical facility claim</x:v>
      </x:c>
      <x:c r="F27" s="10" t="str">
        <x:v>produce named source records</x:v>
      </x:c>
      <x:c r="G27" s="10"/>
      <x:c r="H27" s="10"/>
      <x:c r="I27" s="10"/>
      <x:c r="J27" s="10"/>
      <x:c r="K27" s="10"/>
      <x:c r="L27" s="10"/>
      <x:c r="M27" s="10"/>
      <x:c r="N27" s="10"/>
    </x:row>
    <x:row r="28">
      <x:c r="B28" s="10" t="str">
        <x:v>downstream</x:v>
      </x:c>
      <x:c r="C28" s="10" t="n">
        <x:v>6</x:v>
      </x:c>
      <x:c r="D28" s="10" t="str">
        <x:f>IF(COUNTIF('Release Gates'!H115:H120,"PASS")=6,"AUTHORIZED","BLOCKED")</x:f>
        <x:v>BLOCKED</x:v>
      </x:c>
      <x:c r="E28" s="10" t="str">
        <x:v>no SDEC or article authority</x:v>
      </x:c>
      <x:c r="F28" s="10" t="str">
        <x:v>later boards</x:v>
      </x:c>
      <x:c r="G28" s="10"/>
      <x:c r="H28" s="10"/>
      <x:c r="I28" s="10"/>
      <x:c r="J28" s="10"/>
      <x:c r="K28" s="10"/>
      <x:c r="L28" s="10"/>
      <x:c r="M28" s="10"/>
      <x:c r="N28" s="10"/>
    </x:row>
    <x:row r="29">
      <x:c r="B29" s="11" t="str">
        <x:v>exterior rendering</x:v>
      </x:c>
      <x:c r="C29" s="11" t="n">
        <x:v>0</x:v>
      </x:c>
      <x:c r="D29" s="11" t="str">
        <x:f>IF('Controls'!$D$57=1,"AUTHORIZED","BLOCKED")</x:f>
        <x:v>BLOCKED</x:v>
      </x:c>
      <x:c r="E29" s="11" t="str">
        <x:v>internal facility sections only</x:v>
      </x:c>
      <x:c r="F29" s="11" t="str">
        <x:v>physical qualification remains open</x:v>
      </x:c>
      <x:c r="G29" s="11"/>
      <x:c r="H29" s="11"/>
      <x:c r="I29" s="11"/>
      <x:c r="J29" s="11"/>
      <x:c r="K29" s="11"/>
      <x:c r="L29" s="11"/>
      <x:c r="M29" s="11"/>
      <x:c r="N29" s="11"/>
    </x:row>
  </x:sheetData>
  <x:mergeCells>
    <x:mergeCell ref="B2:N2"/>
    <x:mergeCell ref="B3:N3"/>
    <x:mergeCell ref="B6:N6"/>
    <x:mergeCell ref="H7:N7"/>
    <x:mergeCell ref="B24:N24"/>
  </x:mergeCells>
  <x:conditionalFormatting sqref="E8:E20">
    <x:cfRule type="containsText" dxfId="350" priority="1" operator="containsText" text="PASS"/>
    <x:cfRule type="containsText" dxfId="351" priority="2" operator="containsText" text="AUTHORIZED"/>
    <x:cfRule type="containsText" dxfId="352" priority="3" operator="containsText" text="DEFINED"/>
    <x:cfRule type="containsText" dxfId="353" priority="4" operator="containsText" text="READY"/>
    <x:cfRule type="containsText" dxfId="354" priority="5" operator="containsText" text="HOLD"/>
    <x:cfRule type="containsText" dxfId="355" priority="6" operator="containsText" text="OPEN"/>
    <x:cfRule type="containsText" dxfId="356" priority="7" operator="containsText" text="BLOCKED"/>
    <x:cfRule type="containsText" dxfId="357" priority="8" operator="containsText" text="PLANNING"/>
    <x:cfRule type="containsText" dxfId="358" priority="9" operator="containsText" text="QUARANTINE"/>
    <x:cfRule type="containsText" dxfId="359" priority="10" operator="containsText" text="INDETERMINATE"/>
    <x:cfRule type="containsText" dxfId="360" priority="11" operator="containsText" text="FAIL"/>
    <x:cfRule type="containsText" dxfId="361" priority="12" operator="containsText" text="REJECT"/>
    <x:cfRule type="containsText" dxfId="362" priority="13" operator="containsText" text="INVALID"/>
    <x:cfRule type="containsText" dxfId="363" priority="14" operator="containsText" text="STOP"/>
  </x:conditionalFormatting>
  <x:conditionalFormatting sqref="M9:M21">
    <x:cfRule type="containsText" dxfId="364" priority="15" operator="containsText" text="PASS"/>
    <x:cfRule type="containsText" dxfId="365" priority="16" operator="containsText" text="AUTHORIZED"/>
    <x:cfRule type="containsText" dxfId="366" priority="17" operator="containsText" text="DEFINED"/>
    <x:cfRule type="containsText" dxfId="367" priority="18" operator="containsText" text="READY"/>
    <x:cfRule type="containsText" dxfId="368" priority="19" operator="containsText" text="HOLD"/>
    <x:cfRule type="containsText" dxfId="369" priority="20" operator="containsText" text="OPEN"/>
    <x:cfRule type="containsText" dxfId="370" priority="21" operator="containsText" text="BLOCKED"/>
    <x:cfRule type="containsText" dxfId="371" priority="22" operator="containsText" text="PLANNING"/>
    <x:cfRule type="containsText" dxfId="372" priority="23" operator="containsText" text="QUARANTINE"/>
    <x:cfRule type="containsText" dxfId="373" priority="24" operator="containsText" text="INDETERMINATE"/>
    <x:cfRule type="containsText" dxfId="374" priority="25" operator="containsText" text="FAIL"/>
    <x:cfRule type="containsText" dxfId="375" priority="26" operator="containsText" text="REJECT"/>
    <x:cfRule type="containsText" dxfId="376" priority="27" operator="containsText" text="INVALID"/>
    <x:cfRule type="containsText" dxfId="377" priority="28" operator="containsText" text="STOP"/>
  </x:conditionalFormatting>
  <x:conditionalFormatting sqref="D26:D29">
    <x:cfRule type="containsText" dxfId="378" priority="29" operator="containsText" text="PASS"/>
    <x:cfRule type="containsText" dxfId="379" priority="30" operator="containsText" text="AUTHORIZED"/>
    <x:cfRule type="containsText" dxfId="380" priority="31" operator="containsText" text="DEFINED"/>
    <x:cfRule type="containsText" dxfId="381" priority="32" operator="containsText" text="READY"/>
    <x:cfRule type="containsText" dxfId="382" priority="33" operator="containsText" text="HOLD"/>
    <x:cfRule type="containsText" dxfId="383" priority="34" operator="containsText" text="OPEN"/>
    <x:cfRule type="containsText" dxfId="384" priority="35" operator="containsText" text="BLOCKED"/>
    <x:cfRule type="containsText" dxfId="385" priority="36" operator="containsText" text="PLANNING"/>
    <x:cfRule type="containsText" dxfId="386" priority="37" operator="containsText" text="QUARANTINE"/>
    <x:cfRule type="containsText" dxfId="387" priority="38" operator="containsText" text="INDETERMINATE"/>
    <x:cfRule type="containsText" dxfId="388" priority="39" operator="containsText" text="FAIL"/>
    <x:cfRule type="containsText" dxfId="389" priority="40" operator="containsText" text="REJECT"/>
    <x:cfRule type="containsText" dxfId="390" priority="41" operator="containsText" text="INVALID"/>
    <x:cfRule type="containsText" dxfId="391" priority="42" operator="containsText" text="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7C9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</x:cols>
  <x:sheetData>
    <x:row r="2">
      <x:c r="B2" s="27" t="str">
        <x:v>PTC-0 controls</x:v>
      </x:c>
      <x:c r="C2" s="28"/>
      <x:c r="D2" s="28"/>
      <x:c r="E2" s="28"/>
      <x:c r="F2" s="28"/>
      <x:c r="G2" s="28"/>
      <x:c r="H2" s="28"/>
    </x:row>
    <x:row r="3">
      <x:c r="B3" s="29" t="str">
        <x:v>Blue values are inherited boundaries or declared planning hypotheses. Physical source records remain absent.</x:v>
      </x:c>
      <x:c r="C3" s="28"/>
      <x:c r="D3" s="28"/>
      <x:c r="E3" s="28"/>
      <x:c r="F3" s="28"/>
      <x:c r="G3" s="28"/>
      <x:c r="H3" s="28"/>
    </x:row>
    <x:row r="4">
      <x:c r="B4" s="30"/>
      <x:c r="C4" s="30"/>
      <x:c r="D4" s="30"/>
      <x:c r="E4" s="30"/>
      <x:c r="F4" s="30"/>
      <x:c r="G4" s="30"/>
      <x:c r="H4" s="30"/>
    </x:row>
    <x:row r="5">
      <x:c r="B5" s="28"/>
      <x:c r="C5" s="28"/>
      <x:c r="D5" s="28"/>
      <x:c r="E5" s="28"/>
      <x:c r="F5" s="28"/>
      <x:c r="G5" s="28"/>
      <x:c r="H5" s="28"/>
    </x:row>
    <x:row r="6">
      <x:c r="B6" s="8" t="str">
        <x:v>ID</x:v>
      </x:c>
      <x:c r="C6" s="8" t="str">
        <x:v>Control</x:v>
      </x:c>
      <x:c r="D6" s="8" t="str">
        <x:v>Value</x:v>
      </x:c>
      <x:c r="E6" s="8" t="str">
        <x:v>Unit</x:v>
      </x:c>
      <x:c r="F6" s="8" t="str">
        <x:v>State</x:v>
      </x:c>
      <x:c r="G6" s="8" t="str">
        <x:v>Authority</x:v>
      </x:c>
      <x:c r="H6" s="28"/>
    </x:row>
    <x:row r="7">
      <x:c r="B7" s="10" t="str">
        <x:v>C01</x:v>
      </x:c>
      <x:c r="C7" s="10" t="str">
        <x:v>Range families</x:v>
      </x:c>
      <x:c r="D7" s="14" t="n">
        <x:v>6</x:v>
      </x:c>
      <x:c r="E7" s="10" t="str">
        <x:v>families</x:v>
      </x:c>
      <x:c r="F7" s="10" t="str">
        <x:v>DESIGN</x:v>
      </x:c>
      <x:c r="G7" s="10" t="str">
        <x:v>Pass 115 planning</x:v>
      </x:c>
      <x:c r="H7" s="28"/>
    </x:row>
    <x:row r="8">
      <x:c r="B8" s="10" t="str">
        <x:v>C02</x:v>
      </x:c>
      <x:c r="C8" s="10" t="str">
        <x:v>Independent lanes per family</x:v>
      </x:c>
      <x:c r="D8" s="14" t="n">
        <x:v>2</x:v>
      </x:c>
      <x:c r="E8" s="10" t="str">
        <x:v>lanes/family</x:v>
      </x:c>
      <x:c r="F8" s="10" t="str">
        <x:v>DESIGN</x:v>
      </x:c>
      <x:c r="G8" s="10" t="str">
        <x:v>Pass 115 planning</x:v>
      </x:c>
      <x:c r="H8" s="28"/>
    </x:row>
    <x:row r="9">
      <x:c r="B9" s="10" t="str">
        <x:v>C03</x:v>
      </x:c>
      <x:c r="C9" s="10" t="str">
        <x:v>Public campuses</x:v>
      </x:c>
      <x:c r="D9" s="14" t="n">
        <x:v>3</x:v>
      </x:c>
      <x:c r="E9" s="10" t="str">
        <x:v>campuses</x:v>
      </x:c>
      <x:c r="F9" s="10" t="str">
        <x:v>FROZEN</x:v>
      </x:c>
      <x:c r="G9" s="10" t="str">
        <x:v>Pass 115 planning</x:v>
      </x:c>
      <x:c r="H9" s="28"/>
    </x:row>
    <x:row r="10">
      <x:c r="B10" s="10" t="str">
        <x:v>C04</x:v>
      </x:c>
      <x:c r="C10" s="10" t="str">
        <x:v>Serialized campaign specimens</x:v>
      </x:c>
      <x:c r="D10" s="14" t="n">
        <x:v>64</x:v>
      </x:c>
      <x:c r="E10" s="10" t="str">
        <x:v>specimens</x:v>
      </x:c>
      <x:c r="F10" s="10" t="str">
        <x:v>FROZEN</x:v>
      </x:c>
      <x:c r="G10" s="10" t="str">
        <x:v>Pass 115 planning</x:v>
      </x:c>
      <x:c r="H10" s="28"/>
    </x:row>
    <x:row r="11">
      <x:c r="B11" s="10" t="str">
        <x:v>C05</x:v>
      </x:c>
      <x:c r="C11" s="10" t="str">
        <x:v>Full-scale campaign events</x:v>
      </x:c>
      <x:c r="D11" s="14" t="n">
        <x:v>40520</x:v>
      </x:c>
      <x:c r="E11" s="10" t="str">
        <x:v>events</x:v>
      </x:c>
      <x:c r="F11" s="10" t="str">
        <x:v>FROZEN</x:v>
      </x:c>
      <x:c r="G11" s="10" t="str">
        <x:v>Pass 115 planning</x:v>
      </x:c>
      <x:c r="H11" s="28"/>
    </x:row>
    <x:row r="12">
      <x:c r="B12" s="10" t="str">
        <x:v>C06</x:v>
      </x:c>
      <x:c r="C12" s="10" t="str">
        <x:v>Physical execution window</x:v>
      </x:c>
      <x:c r="D12" s="14" t="n">
        <x:v>14</x:v>
      </x:c>
      <x:c r="E12" s="10" t="str">
        <x:v>months</x:v>
      </x:c>
      <x:c r="F12" s="10" t="str">
        <x:v>DESIGN</x:v>
      </x:c>
      <x:c r="G12" s="10" t="str">
        <x:v>Pass 115 planning</x:v>
      </x:c>
      <x:c r="H12" s="28"/>
    </x:row>
    <x:row r="13">
      <x:c r="B13" s="10" t="str">
        <x:v>C07</x:v>
      </x:c>
      <x:c r="C13" s="10" t="str">
        <x:v>Operating hours per day</x:v>
      </x:c>
      <x:c r="D13" s="14" t="n">
        <x:v>16</x:v>
      </x:c>
      <x:c r="E13" s="10" t="str">
        <x:v>hours/day</x:v>
      </x:c>
      <x:c r="F13" s="10" t="str">
        <x:v>DESIGN</x:v>
      </x:c>
      <x:c r="G13" s="10" t="str">
        <x:v>Pass 115 planning</x:v>
      </x:c>
      <x:c r="H13" s="28"/>
    </x:row>
    <x:row r="14">
      <x:c r="B14" s="10" t="str">
        <x:v>C08</x:v>
      </x:c>
      <x:c r="C14" s="10" t="str">
        <x:v>Average days per month</x:v>
      </x:c>
      <x:c r="D14" s="14" t="n">
        <x:v>30.4375</x:v>
      </x:c>
      <x:c r="E14" s="10" t="str">
        <x:v>days/month</x:v>
      </x:c>
      <x:c r="F14" s="10" t="str">
        <x:v>DESIGN</x:v>
      </x:c>
      <x:c r="G14" s="10" t="str">
        <x:v>Pass 115 planning</x:v>
      </x:c>
      <x:c r="H14" s="28"/>
    </x:row>
    <x:row r="15">
      <x:c r="B15" s="10" t="str">
        <x:v>C09</x:v>
      </x:c>
      <x:c r="C15" s="10" t="str">
        <x:v>Productive availability</x:v>
      </x:c>
      <x:c r="D15" s="14" t="n">
        <x:v>0.7</x:v>
      </x:c>
      <x:c r="E15" s="10" t="str">
        <x:v>fraction</x:v>
      </x:c>
      <x:c r="F15" s="10" t="str">
        <x:v>DESIGN</x:v>
      </x:c>
      <x:c r="G15" s="10" t="str">
        <x:v>Pass 115 planning</x:v>
      </x:c>
      <x:c r="H15" s="28"/>
    </x:row>
    <x:row r="16">
      <x:c r="B16" s="10" t="str">
        <x:v>C10</x:v>
      </x:c>
      <x:c r="C16" s="10" t="str">
        <x:v>Maximum utilization after one site loss</x:v>
      </x:c>
      <x:c r="D16" s="14" t="n">
        <x:v>0.7</x:v>
      </x:c>
      <x:c r="E16" s="10" t="str">
        <x:v>fraction</x:v>
      </x:c>
      <x:c r="F16" s="10" t="str">
        <x:v>DESIGN</x:v>
      </x:c>
      <x:c r="G16" s="10" t="str">
        <x:v>Pass 115 planning</x:v>
      </x:c>
      <x:c r="H16" s="28"/>
    </x:row>
    <x:row r="17">
      <x:c r="B17" s="10" t="str">
        <x:v>C11</x:v>
      </x:c>
      <x:c r="C17" s="10" t="str">
        <x:v>Lane commissioning events per lane</x:v>
      </x:c>
      <x:c r="D17" s="14" t="n">
        <x:v>10</x:v>
      </x:c>
      <x:c r="E17" s="10" t="str">
        <x:v>events/lane</x:v>
      </x:c>
      <x:c r="F17" s="10" t="str">
        <x:v>DESIGN</x:v>
      </x:c>
      <x:c r="G17" s="10" t="str">
        <x:v>Pass 115 planning</x:v>
      </x:c>
      <x:c r="H17" s="28"/>
    </x:row>
    <x:row r="18">
      <x:c r="B18" s="10" t="str">
        <x:v>C12</x:v>
      </x:c>
      <x:c r="C18" s="10" t="str">
        <x:v>Campus denial drills per site</x:v>
      </x:c>
      <x:c r="D18" s="14" t="n">
        <x:v>8</x:v>
      </x:c>
      <x:c r="E18" s="10" t="str">
        <x:v>drills/site</x:v>
      </x:c>
      <x:c r="F18" s="10" t="str">
        <x:v>DESIGN</x:v>
      </x:c>
      <x:c r="G18" s="10" t="str">
        <x:v>Pass 115 planning</x:v>
      </x:c>
      <x:c r="H18" s="28"/>
    </x:row>
    <x:row r="19">
      <x:c r="B19" s="10" t="str">
        <x:v>C13</x:v>
      </x:c>
      <x:c r="C19" s="10" t="str">
        <x:v>Cross-site reconstructions per family</x:v>
      </x:c>
      <x:c r="D19" s="14" t="n">
        <x:v>2</x:v>
      </x:c>
      <x:c r="E19" s="10" t="str">
        <x:v>replays/family</x:v>
      </x:c>
      <x:c r="F19" s="10" t="str">
        <x:v>DESIGN</x:v>
      </x:c>
      <x:c r="G19" s="10" t="str">
        <x:v>Pass 115 planning</x:v>
      </x:c>
      <x:c r="H19" s="28"/>
    </x:row>
    <x:row r="20">
      <x:c r="B20" s="10" t="str">
        <x:v>C14</x:v>
      </x:c>
      <x:c r="C20" s="10" t="str">
        <x:v>Phase-zero commissioning events</x:v>
      </x:c>
      <x:c r="D20" s="14" t="n">
        <x:v>156</x:v>
      </x:c>
      <x:c r="E20" s="10" t="str">
        <x:v>events</x:v>
      </x:c>
      <x:c r="F20" s="10" t="str">
        <x:v>DESIGN</x:v>
      </x:c>
      <x:c r="G20" s="10" t="str">
        <x:v>Pass 115 planning</x:v>
      </x:c>
      <x:c r="H20" s="28"/>
    </x:row>
    <x:row r="21">
      <x:c r="B21" s="10" t="str">
        <x:v>C15</x:v>
      </x:c>
      <x:c r="C21" s="10" t="str">
        <x:v>Reference and surrogate articles</x:v>
      </x:c>
      <x:c r="D21" s="14" t="n">
        <x:v>72</x:v>
      </x:c>
      <x:c r="E21" s="10" t="str">
        <x:v>articles</x:v>
      </x:c>
      <x:c r="F21" s="10" t="str">
        <x:v>DESIGN</x:v>
      </x:c>
      <x:c r="G21" s="10" t="str">
        <x:v>Pass 115 planning</x:v>
      </x:c>
      <x:c r="H21" s="28"/>
    </x:row>
    <x:row r="22">
      <x:c r="B22" s="10" t="str">
        <x:v>C16</x:v>
      </x:c>
      <x:c r="C22" s="10" t="str">
        <x:v>Full-scale specimen positions</x:v>
      </x:c>
      <x:c r="D22" s="14" t="n">
        <x:v>84</x:v>
      </x:c>
      <x:c r="E22" s="10" t="str">
        <x:v>positions</x:v>
      </x:c>
      <x:c r="F22" s="10" t="str">
        <x:v>DESIGN</x:v>
      </x:c>
      <x:c r="G22" s="10" t="str">
        <x:v>Pass 115 planning</x:v>
      </x:c>
      <x:c r="H22" s="28"/>
    </x:row>
    <x:row r="23">
      <x:c r="B23" s="10" t="str">
        <x:v>C17</x:v>
      </x:c>
      <x:c r="C23" s="10" t="str">
        <x:v>Treated process water per site</x:v>
      </x:c>
      <x:c r="D23" s="14" t="n">
        <x:v>400</x:v>
      </x:c>
      <x:c r="E23" s="10" t="str">
        <x:v>m3/site</x:v>
      </x:c>
      <x:c r="F23" s="10" t="str">
        <x:v>DESIGN</x:v>
      </x:c>
      <x:c r="G23" s="10" t="str">
        <x:v>Pass 115 planning</x:v>
      </x:c>
      <x:c r="H23" s="28"/>
    </x:row>
    <x:row r="24">
      <x:c r="B24" s="10" t="str">
        <x:v>C18</x:v>
      </x:c>
      <x:c r="C24" s="10" t="str">
        <x:v>Quarantine water per site</x:v>
      </x:c>
      <x:c r="D24" s="14" t="n">
        <x:v>600</x:v>
      </x:c>
      <x:c r="E24" s="10" t="str">
        <x:v>m3/site</x:v>
      </x:c>
      <x:c r="F24" s="10" t="str">
        <x:v>DESIGN</x:v>
      </x:c>
      <x:c r="G24" s="10" t="str">
        <x:v>Pass 115 planning</x:v>
      </x:c>
      <x:c r="H24" s="28"/>
    </x:row>
    <x:row r="25">
      <x:c r="B25" s="10" t="str">
        <x:v>C19</x:v>
      </x:c>
      <x:c r="C25" s="10" t="str">
        <x:v>Fire water per site</x:v>
      </x:c>
      <x:c r="D25" s="14" t="n">
        <x:v>1200</x:v>
      </x:c>
      <x:c r="E25" s="10" t="str">
        <x:v>m3/site</x:v>
      </x:c>
      <x:c r="F25" s="10" t="str">
        <x:v>DESIGN</x:v>
      </x:c>
      <x:c r="G25" s="10" t="str">
        <x:v>Pass 115 planning</x:v>
      </x:c>
      <x:c r="H25" s="28"/>
    </x:row>
    <x:row r="26">
      <x:c r="B26" s="10" t="str">
        <x:v>C20</x:v>
      </x:c>
      <x:c r="C26" s="10" t="str">
        <x:v>Utility intake per site</x:v>
      </x:c>
      <x:c r="D26" s="14" t="n">
        <x:v>30</x:v>
      </x:c>
      <x:c r="E26" s="10" t="str">
        <x:v>MW/site</x:v>
      </x:c>
      <x:c r="F26" s="10" t="str">
        <x:v>DESIGN</x:v>
      </x:c>
      <x:c r="G26" s="10" t="str">
        <x:v>Pass 115 planning</x:v>
      </x:c>
      <x:c r="H26" s="28"/>
    </x:row>
    <x:row r="27">
      <x:c r="B27" s="10" t="str">
        <x:v>C21</x:v>
      </x:c>
      <x:c r="C27" s="10" t="str">
        <x:v>Islanded critical capacity per site</x:v>
      </x:c>
      <x:c r="D27" s="14" t="n">
        <x:v>6</x:v>
      </x:c>
      <x:c r="E27" s="10" t="str">
        <x:v>MW/site</x:v>
      </x:c>
      <x:c r="F27" s="10" t="str">
        <x:v>DESIGN</x:v>
      </x:c>
      <x:c r="G27" s="10" t="str">
        <x:v>Pass 115 planning</x:v>
      </x:c>
      <x:c r="H27" s="28"/>
    </x:row>
    <x:row r="28">
      <x:c r="B28" s="10" t="str">
        <x:v>C22</x:v>
      </x:c>
      <x:c r="C28" s="10" t="str">
        <x:v>Stored electric energy per site</x:v>
      </x:c>
      <x:c r="D28" s="14" t="n">
        <x:v>5</x:v>
      </x:c>
      <x:c r="E28" s="10" t="str">
        <x:v>MWh/site</x:v>
      </x:c>
      <x:c r="F28" s="10" t="str">
        <x:v>DESIGN</x:v>
      </x:c>
      <x:c r="G28" s="10" t="str">
        <x:v>Pass 115 planning</x:v>
      </x:c>
      <x:c r="H28" s="28"/>
    </x:row>
    <x:row r="29">
      <x:c r="B29" s="10" t="str">
        <x:v>C23</x:v>
      </x:c>
      <x:c r="C29" s="10" t="str">
        <x:v>Evidence vaults per site</x:v>
      </x:c>
      <x:c r="D29" s="14" t="n">
        <x:v>2</x:v>
      </x:c>
      <x:c r="E29" s="10" t="str">
        <x:v>vaults/site</x:v>
      </x:c>
      <x:c r="F29" s="10" t="str">
        <x:v>DESIGN</x:v>
      </x:c>
      <x:c r="G29" s="10" t="str">
        <x:v>Pass 115 planning</x:v>
      </x:c>
      <x:c r="H29" s="28"/>
    </x:row>
    <x:row r="30">
      <x:c r="B30" s="10" t="str">
        <x:v>C24</x:v>
      </x:c>
      <x:c r="C30" s="10" t="str">
        <x:v>Usable capacity per evidence vault</x:v>
      </x:c>
      <x:c r="D30" s="14" t="n">
        <x:v>96</x:v>
      </x:c>
      <x:c r="E30" s="10" t="str">
        <x:v>TB/vault</x:v>
      </x:c>
      <x:c r="F30" s="10" t="str">
        <x:v>DESIGN</x:v>
      </x:c>
      <x:c r="G30" s="10" t="str">
        <x:v>Pass 115 planning</x:v>
      </x:c>
      <x:c r="H30" s="28"/>
    </x:row>
    <x:row r="31">
      <x:c r="B31" s="10" t="str">
        <x:v>C25</x:v>
      </x:c>
      <x:c r="C31" s="10" t="str">
        <x:v>SDEC physical-use capital</x:v>
      </x:c>
      <x:c r="D31" s="14" t="n">
        <x:v>0.43</x:v>
      </x:c>
      <x:c r="E31" s="10" t="str">
        <x:v>USD B</x:v>
      </x:c>
      <x:c r="F31" s="10" t="str">
        <x:v>FROZEN</x:v>
      </x:c>
      <x:c r="G31" s="10" t="str">
        <x:v>Pass 115 planning</x:v>
      </x:c>
      <x:c r="H31" s="28"/>
    </x:row>
    <x:row r="32">
      <x:c r="B32" s="10" t="str">
        <x:v>C26</x:v>
      </x:c>
      <x:c r="C32" s="10" t="str">
        <x:v>Eligible shared capital credit</x:v>
      </x:c>
      <x:c r="D32" s="14" t="n">
        <x:v>0.128</x:v>
      </x:c>
      <x:c r="E32" s="10" t="str">
        <x:v>USD B</x:v>
      </x:c>
      <x:c r="F32" s="10" t="str">
        <x:v>DESIGN</x:v>
      </x:c>
      <x:c r="G32" s="10" t="str">
        <x:v>Pass 115 planning</x:v>
      </x:c>
      <x:c r="H32" s="28"/>
    </x:row>
    <x:row r="33">
      <x:c r="B33" s="10" t="str">
        <x:v>C27</x:v>
      </x:c>
      <x:c r="C33" s="10" t="str">
        <x:v>Net new capital with reservation</x:v>
      </x:c>
      <x:c r="D33" s="14" t="n">
        <x:v>0.302</x:v>
      </x:c>
      <x:c r="E33" s="10" t="str">
        <x:v>USD B</x:v>
      </x:c>
      <x:c r="F33" s="10" t="str">
        <x:v>DESIGN</x:v>
      </x:c>
      <x:c r="G33" s="10" t="str">
        <x:v>Pass 115 planning</x:v>
      </x:c>
      <x:c r="H33" s="28"/>
    </x:row>
    <x:row r="34">
      <x:c r="B34" s="10" t="str">
        <x:v>C28</x:v>
      </x:c>
      <x:c r="C34" s="10" t="str">
        <x:v>BRD-1 capital</x:v>
      </x:c>
      <x:c r="D34" s="14" t="n">
        <x:v>0.318</x:v>
      </x:c>
      <x:c r="E34" s="10" t="str">
        <x:v>USD B</x:v>
      </x:c>
      <x:c r="F34" s="10" t="str">
        <x:v>FROZEN</x:v>
      </x:c>
      <x:c r="G34" s="10" t="str">
        <x:v>Pass 115 planning</x:v>
      </x:c>
      <x:c r="H34" s="28"/>
    </x:row>
    <x:row r="35">
      <x:c r="B35" s="10" t="str">
        <x:v>C29</x:v>
      </x:c>
      <x:c r="C35" s="10" t="str">
        <x:v>CISA-1 capital boundary</x:v>
      </x:c>
      <x:c r="D35" s="14" t="n">
        <x:v>0.96</x:v>
      </x:c>
      <x:c r="E35" s="10" t="str">
        <x:v>USD B</x:v>
      </x:c>
      <x:c r="F35" s="10" t="str">
        <x:v>FROZEN</x:v>
      </x:c>
      <x:c r="G35" s="10" t="str">
        <x:v>Pass 115 planning</x:v>
      </x:c>
      <x:c r="H35" s="28"/>
    </x:row>
    <x:row r="36">
      <x:c r="B36" s="10" t="str">
        <x:v>C30</x:v>
      </x:c>
      <x:c r="C36" s="10" t="str">
        <x:v>SDEC annual-use support</x:v>
      </x:c>
      <x:c r="D36" s="14" t="n">
        <x:v>0.098</x:v>
      </x:c>
      <x:c r="E36" s="10" t="str">
        <x:v>USD B/year</x:v>
      </x:c>
      <x:c r="F36" s="10" t="str">
        <x:v>FROZEN</x:v>
      </x:c>
      <x:c r="G36" s="10" t="str">
        <x:v>Pass 115 planning</x:v>
      </x:c>
      <x:c r="H36" s="28"/>
    </x:row>
    <x:row r="37">
      <x:c r="B37" s="10" t="str">
        <x:v>C31</x:v>
      </x:c>
      <x:c r="C37" s="10" t="str">
        <x:v>Eligible shared annual credit</x:v>
      </x:c>
      <x:c r="D37" s="14" t="n">
        <x:v>0.041</x:v>
      </x:c>
      <x:c r="E37" s="10" t="str">
        <x:v>USD B/year</x:v>
      </x:c>
      <x:c r="F37" s="10" t="str">
        <x:v>DESIGN</x:v>
      </x:c>
      <x:c r="G37" s="10" t="str">
        <x:v>Pass 115 planning</x:v>
      </x:c>
      <x:c r="H37" s="28"/>
    </x:row>
    <x:row r="38">
      <x:c r="B38" s="10" t="str">
        <x:v>C32</x:v>
      </x:c>
      <x:c r="C38" s="10" t="str">
        <x:v>Net new annual support with reservation</x:v>
      </x:c>
      <x:c r="D38" s="14" t="n">
        <x:v>0.057</x:v>
      </x:c>
      <x:c r="E38" s="10" t="str">
        <x:v>USD B/year</x:v>
      </x:c>
      <x:c r="F38" s="10" t="str">
        <x:v>DESIGN</x:v>
      </x:c>
      <x:c r="G38" s="10" t="str">
        <x:v>Pass 115 planning</x:v>
      </x:c>
      <x:c r="H38" s="28"/>
    </x:row>
    <x:row r="39">
      <x:c r="B39" s="10" t="str">
        <x:v>C33</x:v>
      </x:c>
      <x:c r="C39" s="10" t="str">
        <x:v>BRD-1 annual support</x:v>
      </x:c>
      <x:c r="D39" s="14" t="n">
        <x:v>0.084</x:v>
      </x:c>
      <x:c r="E39" s="10" t="str">
        <x:v>USD B/year</x:v>
      </x:c>
      <x:c r="F39" s="10" t="str">
        <x:v>FROZEN</x:v>
      </x:c>
      <x:c r="G39" s="10" t="str">
        <x:v>Pass 115 planning</x:v>
      </x:c>
      <x:c r="H39" s="28"/>
    </x:row>
    <x:row r="40">
      <x:c r="B40" s="10" t="str">
        <x:v>C34</x:v>
      </x:c>
      <x:c r="C40" s="10" t="str">
        <x:v>CISA-1 annual boundary</x:v>
      </x:c>
      <x:c r="D40" s="14" t="n">
        <x:v>0.26</x:v>
      </x:c>
      <x:c r="E40" s="10" t="str">
        <x:v>USD B/year</x:v>
      </x:c>
      <x:c r="F40" s="10" t="str">
        <x:v>FROZEN</x:v>
      </x:c>
      <x:c r="G40" s="10" t="str">
        <x:v>Pass 115 planning</x:v>
      </x:c>
      <x:c r="H40" s="28"/>
    </x:row>
    <x:row r="41">
      <x:c r="B41" s="10" t="str">
        <x:v>C35</x:v>
      </x:c>
      <x:c r="C41" s="10" t="str">
        <x:v>Campaign workforce</x:v>
      </x:c>
      <x:c r="D41" s="14" t="n">
        <x:v>448</x:v>
      </x:c>
      <x:c r="E41" s="10" t="str">
        <x:v>people</x:v>
      </x:c>
      <x:c r="F41" s="10" t="str">
        <x:v>FROZEN</x:v>
      </x:c>
      <x:c r="G41" s="10" t="str">
        <x:v>Pass 115 planning</x:v>
      </x:c>
      <x:c r="H41" s="28"/>
    </x:row>
    <x:row r="42">
      <x:c r="B42" s="10" t="str">
        <x:v>C36</x:v>
      </x:c>
      <x:c r="C42" s="10" t="str">
        <x:v>Public site workforce</x:v>
      </x:c>
      <x:c r="D42" s="14" t="n">
        <x:v>180</x:v>
      </x:c>
      <x:c r="E42" s="10" t="str">
        <x:v>people</x:v>
      </x:c>
      <x:c r="F42" s="10" t="str">
        <x:v>DESIGN</x:v>
      </x:c>
      <x:c r="G42" s="10" t="str">
        <x:v>Pass 115 planning</x:v>
      </x:c>
      <x:c r="H42" s="28"/>
    </x:row>
    <x:row r="43">
      <x:c r="B43" s="10" t="str">
        <x:v>C37</x:v>
      </x:c>
      <x:c r="C43" s="10" t="str">
        <x:v>Public national workforce</x:v>
      </x:c>
      <x:c r="D43" s="14" t="n">
        <x:v>96</x:v>
      </x:c>
      <x:c r="E43" s="10" t="str">
        <x:v>people</x:v>
      </x:c>
      <x:c r="F43" s="10" t="str">
        <x:v>DESIGN</x:v>
      </x:c>
      <x:c r="G43" s="10" t="str">
        <x:v>Pass 115 planning</x:v>
      </x:c>
      <x:c r="H43" s="28"/>
    </x:row>
    <x:row r="44">
      <x:c r="B44" s="10" t="str">
        <x:v>C38</x:v>
      </x:c>
      <x:c r="C44" s="10" t="str">
        <x:v>Root workforce</x:v>
      </x:c>
      <x:c r="D44" s="14" t="n">
        <x:v>172</x:v>
      </x:c>
      <x:c r="E44" s="10" t="str">
        <x:v>people</x:v>
      </x:c>
      <x:c r="F44" s="10" t="str">
        <x:v>DESIGN</x:v>
      </x:c>
      <x:c r="G44" s="10" t="str">
        <x:v>Pass 115 planning</x:v>
      </x:c>
      <x:c r="H44" s="28"/>
    </x:row>
    <x:row r="45">
      <x:c r="B45" s="10" t="str">
        <x:v>C39</x:v>
      </x:c>
      <x:c r="C45" s="10" t="str">
        <x:v>Planning gates</x:v>
      </x:c>
      <x:c r="D45" s="14" t="n">
        <x:v>72</x:v>
      </x:c>
      <x:c r="E45" s="10" t="str">
        <x:v>gates</x:v>
      </x:c>
      <x:c r="F45" s="10" t="str">
        <x:v>DESIGN</x:v>
      </x:c>
      <x:c r="G45" s="10" t="str">
        <x:v>Pass 115 planning</x:v>
      </x:c>
      <x:c r="H45" s="28"/>
    </x:row>
    <x:row r="46">
      <x:c r="B46" s="10" t="str">
        <x:v>C40</x:v>
      </x:c>
      <x:c r="C46" s="10" t="str">
        <x:v>Source-dependent gates</x:v>
      </x:c>
      <x:c r="D46" s="14" t="n">
        <x:v>36</x:v>
      </x:c>
      <x:c r="E46" s="10" t="str">
        <x:v>gates</x:v>
      </x:c>
      <x:c r="F46" s="10" t="str">
        <x:v>DESIGN</x:v>
      </x:c>
      <x:c r="G46" s="10" t="str">
        <x:v>Pass 115 planning</x:v>
      </x:c>
      <x:c r="H46" s="28"/>
    </x:row>
    <x:row r="47">
      <x:c r="B47" s="10" t="str">
        <x:v>C41</x:v>
      </x:c>
      <x:c r="C47" s="10" t="str">
        <x:v>Downstream gates</x:v>
      </x:c>
      <x:c r="D47" s="14" t="n">
        <x:v>6</x:v>
      </x:c>
      <x:c r="E47" s="10" t="str">
        <x:v>gates</x:v>
      </x:c>
      <x:c r="F47" s="10" t="str">
        <x:v>DESIGN</x:v>
      </x:c>
      <x:c r="G47" s="10" t="str">
        <x:v>Pass 115 planning</x:v>
      </x:c>
      <x:c r="H47" s="28"/>
    </x:row>
    <x:row r="48">
      <x:c r="B48" s="10" t="str">
        <x:v>C42</x:v>
      </x:c>
      <x:c r="C48" s="10" t="str">
        <x:v>Predecessor public complex capital</x:v>
      </x:c>
      <x:c r="D48" s="14" t="n">
        <x:v>4.48</x:v>
      </x:c>
      <x:c r="E48" s="10" t="str">
        <x:v>USD B</x:v>
      </x:c>
      <x:c r="F48" s="10" t="str">
        <x:v>FROZEN</x:v>
      </x:c>
      <x:c r="G48" s="10" t="str">
        <x:v>Pass 115 planning</x:v>
      </x:c>
      <x:c r="H48" s="28"/>
    </x:row>
    <x:row r="49">
      <x:c r="B49" s="10" t="str">
        <x:v>C43</x:v>
      </x:c>
      <x:c r="C49" s="10" t="str">
        <x:v>Predecessor public complex annual support</x:v>
      </x:c>
      <x:c r="D49" s="14" t="n">
        <x:v>0.398</x:v>
      </x:c>
      <x:c r="E49" s="10" t="str">
        <x:v>USD B/year</x:v>
      </x:c>
      <x:c r="F49" s="10" t="str">
        <x:v>FROZEN</x:v>
      </x:c>
      <x:c r="G49" s="10" t="str">
        <x:v>Pass 115 planning</x:v>
      </x:c>
      <x:c r="H49" s="28"/>
    </x:row>
    <x:row r="50">
      <x:c r="B50" s="10" t="str">
        <x:v>C44</x:v>
      </x:c>
      <x:c r="C50" s="10" t="str">
        <x:v>Campaign two-original data allocation</x:v>
      </x:c>
      <x:c r="D50" s="14" t="n">
        <x:v>137.0310336</x:v>
      </x:c>
      <x:c r="E50" s="10" t="str">
        <x:v>TB</x:v>
      </x:c>
      <x:c r="F50" s="10" t="str">
        <x:v>FROZEN</x:v>
      </x:c>
      <x:c r="G50" s="10" t="str">
        <x:v>Pass 115 planning</x:v>
      </x:c>
      <x:c r="H50" s="28"/>
    </x:row>
    <x:row r="51">
      <x:c r="B51" s="10" t="str">
        <x:v>C45</x:v>
      </x:c>
      <x:c r="C51" s="10" t="str">
        <x:v>Independent originals per event</x:v>
      </x:c>
      <x:c r="D51" s="14" t="n">
        <x:v>2</x:v>
      </x:c>
      <x:c r="E51" s="10" t="str">
        <x:v>originals</x:v>
      </x:c>
      <x:c r="F51" s="10" t="str">
        <x:v>FROZEN</x:v>
      </x:c>
      <x:c r="G51" s="10" t="str">
        <x:v>Pass 115 planning</x:v>
      </x:c>
      <x:c r="H51" s="28"/>
    </x:row>
    <x:row r="52">
      <x:c r="B52" s="10" t="str">
        <x:v>C46</x:v>
      </x:c>
      <x:c r="C52" s="10" t="str">
        <x:v>SDEC execution authority</x:v>
      </x:c>
      <x:c r="D52" s="14" t="n">
        <x:v>0</x:v>
      </x:c>
      <x:c r="E52" s="10" t="str">
        <x:v>binary</x:v>
      </x:c>
      <x:c r="F52" s="10" t="str">
        <x:v>BLOCKED</x:v>
      </x:c>
      <x:c r="G52" s="10" t="str">
        <x:v>source authority</x:v>
      </x:c>
      <x:c r="H52" s="28"/>
    </x:row>
    <x:row r="53">
      <x:c r="B53" s="10" t="str">
        <x:v>C47</x:v>
      </x:c>
      <x:c r="C53" s="10" t="str">
        <x:v>Complete-article admission</x:v>
      </x:c>
      <x:c r="D53" s="14" t="n">
        <x:v>0</x:v>
      </x:c>
      <x:c r="E53" s="10" t="str">
        <x:v>binary</x:v>
      </x:c>
      <x:c r="F53" s="10" t="str">
        <x:v>BLOCKED</x:v>
      </x:c>
      <x:c r="G53" s="10" t="str">
        <x:v>source authority</x:v>
      </x:c>
      <x:c r="H53" s="28"/>
    </x:row>
    <x:row r="54">
      <x:c r="B54" s="10" t="str">
        <x:v>C48</x:v>
      </x:c>
      <x:c r="C54" s="10" t="str">
        <x:v>CISA-RB1 disposition</x:v>
      </x:c>
      <x:c r="D54" s="14" t="n">
        <x:v>0</x:v>
      </x:c>
      <x:c r="E54" s="10" t="str">
        <x:v>binary</x:v>
      </x:c>
      <x:c r="F54" s="10" t="str">
        <x:v>BLOCKED</x:v>
      </x:c>
      <x:c r="G54" s="10" t="str">
        <x:v>source authority</x:v>
      </x:c>
      <x:c r="H54" s="28"/>
    </x:row>
    <x:row r="55">
      <x:c r="B55" s="10" t="str">
        <x:v>C49</x:v>
      </x:c>
      <x:c r="C55" s="10" t="str">
        <x:v>CRC-E01 admission</x:v>
      </x:c>
      <x:c r="D55" s="14" t="n">
        <x:v>0</x:v>
      </x:c>
      <x:c r="E55" s="10" t="str">
        <x:v>binary</x:v>
      </x:c>
      <x:c r="F55" s="10" t="str">
        <x:v>BLOCKED</x:v>
      </x:c>
      <x:c r="G55" s="10" t="str">
        <x:v>source authority</x:v>
      </x:c>
      <x:c r="H55" s="28"/>
    </x:row>
    <x:row r="56">
      <x:c r="B56" s="10" t="str">
        <x:v>C50</x:v>
      </x:c>
      <x:c r="C56" s="10" t="str">
        <x:v>Production authority</x:v>
      </x:c>
      <x:c r="D56" s="14" t="n">
        <x:v>0</x:v>
      </x:c>
      <x:c r="E56" s="10" t="str">
        <x:v>binary</x:v>
      </x:c>
      <x:c r="F56" s="10" t="str">
        <x:v>BLOCKED</x:v>
      </x:c>
      <x:c r="G56" s="10" t="str">
        <x:v>source authority</x:v>
      </x:c>
      <x:c r="H56" s="28"/>
    </x:row>
    <x:row r="57">
      <x:c r="B57" s="10" t="str">
        <x:v>C51</x:v>
      </x:c>
      <x:c r="C57" s="10" t="str">
        <x:v>Exterior rendering authority</x:v>
      </x:c>
      <x:c r="D57" s="14" t="n">
        <x:v>0</x:v>
      </x:c>
      <x:c r="E57" s="10" t="str">
        <x:v>binary</x:v>
      </x:c>
      <x:c r="F57" s="10" t="str">
        <x:v>BLOCKED</x:v>
      </x:c>
      <x:c r="G57" s="10" t="str">
        <x:v>source authority</x:v>
      </x:c>
      <x:c r="H57" s="28"/>
    </x:row>
    <x:row r="58">
      <x:c r="B58" s="10" t="str">
        <x:v>C52</x:v>
      </x:c>
      <x:c r="C58" s="10" t="str">
        <x:v>Common-estate planning reservation</x:v>
      </x:c>
      <x:c r="D58" s="14" t="n">
        <x:v>1</x:v>
      </x:c>
      <x:c r="E58" s="10" t="str">
        <x:v>binary</x:v>
      </x:c>
      <x:c r="F58" s="10" t="str">
        <x:v>PLANNING</x:v>
      </x:c>
      <x:c r="G58" s="10" t="str">
        <x:v>source authority</x:v>
      </x:c>
      <x:c r="H58" s="28"/>
    </x:row>
    <x:row r="59">
      <x:c r="B59" s="11" t="str">
        <x:v>C53</x:v>
      </x:c>
      <x:c r="C59" s="11" t="str">
        <x:v>Financial execution authority</x:v>
      </x:c>
      <x:c r="D59" s="15" t="n">
        <x:v>0</x:v>
      </x:c>
      <x:c r="E59" s="11" t="str">
        <x:v>binary</x:v>
      </x:c>
      <x:c r="F59" s="11" t="str">
        <x:v>OPEN</x:v>
      </x:c>
      <x:c r="G59" s="11" t="str">
        <x:v>source authority</x:v>
      </x:c>
      <x:c r="H59" s="28"/>
    </x:row>
  </x:sheetData>
  <x:mergeCells>
    <x:mergeCell ref="B2:H2"/>
    <x:mergeCell ref="B3:H3"/>
  </x:mergeCells>
  <x:conditionalFormatting sqref="F7:F59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QUARANTINE"/>
    <x:cfRule type="containsText" dxfId="9" priority="10" operator="containsText" text="INDETERMINATE"/>
    <x:cfRule type="containsText" dxfId="10" priority="11" operator="containsText" text="FAIL"/>
    <x:cfRule type="containsText" dxfId="11" priority="12" operator="containsText" text="REJECT"/>
    <x:cfRule type="containsText" dxfId="12" priority="13" operator="containsText" text="INVALID"/>
    <x:cfRule type="containsText" dxfId="13" priority="14" operator="containsText" text="STO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29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6" hidden="0" customWidth="1"/>
    <x:col min="12" max="12" width="13" hidden="0" customWidth="1"/>
    <x:col min="13" max="13" width="16" hidden="0" customWidth="1"/>
    <x:col min="14" max="14" width="16" hidden="0" customWidth="1"/>
  </x:cols>
  <x:sheetData>
    <x:row r="2">
      <x:c r="B2" s="27" t="str">
        <x:v>Three-campus, twelve-lane test topology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B3" s="29" t="str">
        <x:v>Each family has two full-capability lanes at different sites. Both roots are balanced across both lanes.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B6" s="8" t="str">
        <x:v>Lane</x:v>
      </x:c>
      <x:c r="C6" s="8" t="str">
        <x:v>Family</x:v>
      </x:c>
      <x:c r="D6" s="8" t="str">
        <x:v>Design</x:v>
      </x:c>
      <x:c r="E6" s="8" t="str">
        <x:v>Host site</x:v>
      </x:c>
      <x:c r="F6" s="8" t="str">
        <x:v>Paired lane</x:v>
      </x:c>
      <x:c r="G6" s="8" t="str">
        <x:v>Paired site</x:v>
      </x:c>
      <x:c r="H6" s="8" t="str">
        <x:v>Root A serials</x:v>
      </x:c>
      <x:c r="I6" s="8" t="str">
        <x:v>Root B serials</x:v>
      </x:c>
      <x:c r="J6" s="8" t="str">
        <x:v>Events</x:v>
      </x:c>
      <x:c r="K6" s="8" t="str">
        <x:v>Sites distinct</x:v>
      </x:c>
      <x:c r="L6" s="8" t="str">
        <x:v>Definition</x:v>
      </x:c>
      <x:c r="M6" s="8" t="str">
        <x:v>Physical source</x:v>
      </x:c>
      <x:c r="N6" s="8" t="str">
        <x:v>Physical state</x:v>
      </x:c>
    </x:row>
    <x:row r="7">
      <x:c r="B7" s="10" t="str">
        <x:v>LN-01</x:v>
      </x:c>
      <x:c r="C7" s="10" t="str">
        <x:v>SA1</x:v>
      </x:c>
      <x:c r="D7" s="10" t="str">
        <x:v>support/reaction</x:v>
      </x:c>
      <x:c r="E7" s="10" t="str">
        <x:v>PTC-A</x:v>
      </x:c>
      <x:c r="F7" s="10" t="str">
        <x:v>LN-02</x:v>
      </x:c>
      <x:c r="G7" s="10" t="str">
        <x:v>PTC-B</x:v>
      </x:c>
      <x:c r="H7" s="10" t="n">
        <x:v>2</x:v>
      </x:c>
      <x:c r="I7" s="10" t="n">
        <x:v>2</x:v>
      </x:c>
      <x:c r="J7" s="10" t="n">
        <x:v>800</x:v>
      </x:c>
      <x:c r="K7" s="10" t="n">
        <x:f>IF(E7&lt;&gt;G7,1,0)</x:f>
        <x:v>1</x:v>
      </x:c>
      <x:c r="L7" s="10" t="n">
        <x:v>1</x:v>
      </x:c>
      <x:c r="M7" s="12" t="n">
        <x:v>0</x:v>
      </x:c>
      <x:c r="N7" s="10" t="str">
        <x:f>IF(AND(K7=1,L7=1,M7=1),"PASS",IF(AND(K7=1,L7=1),"OPEN","FAIL"))</x:f>
        <x:v>OPEN</x:v>
      </x:c>
    </x:row>
    <x:row r="8">
      <x:c r="B8" s="10" t="str">
        <x:v>LN-02</x:v>
      </x:c>
      <x:c r="C8" s="10" t="str">
        <x:v>SA1</x:v>
      </x:c>
      <x:c r="D8" s="10" t="str">
        <x:v>support/reaction</x:v>
      </x:c>
      <x:c r="E8" s="10" t="str">
        <x:v>PTC-B</x:v>
      </x:c>
      <x:c r="F8" s="10" t="str">
        <x:v>LN-01</x:v>
      </x:c>
      <x:c r="G8" s="10" t="str">
        <x:v>PTC-A</x:v>
      </x:c>
      <x:c r="H8" s="10" t="n">
        <x:v>2</x:v>
      </x:c>
      <x:c r="I8" s="10" t="n">
        <x:v>2</x:v>
      </x:c>
      <x:c r="J8" s="10" t="n">
        <x:v>800</x:v>
      </x:c>
      <x:c r="K8" s="10" t="n">
        <x:f>IF(E8&lt;&gt;G8,1,0)</x:f>
        <x:v>1</x:v>
      </x:c>
      <x:c r="L8" s="10" t="n">
        <x:v>1</x:v>
      </x:c>
      <x:c r="M8" s="12" t="n">
        <x:v>0</x:v>
      </x:c>
      <x:c r="N8" s="10" t="str">
        <x:f>IF(AND(K8=1,L8=1,M8=1),"PASS",IF(AND(K8=1,L8=1),"OPEN","FAIL"))</x:f>
        <x:v>OPEN</x:v>
      </x:c>
    </x:row>
    <x:row r="9">
      <x:c r="B9" s="10" t="str">
        <x:v>LN-03</x:v>
      </x:c>
      <x:c r="C9" s="10" t="str">
        <x:v>SA2</x:v>
      </x:c>
      <x:c r="D9" s="10" t="str">
        <x:v>anchor/lift</x:v>
      </x:c>
      <x:c r="E9" s="10" t="str">
        <x:v>PTC-A</x:v>
      </x:c>
      <x:c r="F9" s="10" t="str">
        <x:v>LN-04</x:v>
      </x:c>
      <x:c r="G9" s="10" t="str">
        <x:v>PTC-C</x:v>
      </x:c>
      <x:c r="H9" s="10" t="n">
        <x:v>2</x:v>
      </x:c>
      <x:c r="I9" s="10" t="n">
        <x:v>2</x:v>
      </x:c>
      <x:c r="J9" s="10" t="n">
        <x:v>800</x:v>
      </x:c>
      <x:c r="K9" s="10" t="n">
        <x:f>IF(E9&lt;&gt;G9,1,0)</x:f>
        <x:v>1</x:v>
      </x:c>
      <x:c r="L9" s="10" t="n">
        <x:v>1</x:v>
      </x:c>
      <x:c r="M9" s="12" t="n">
        <x:v>0</x:v>
      </x:c>
      <x:c r="N9" s="10" t="str">
        <x:f>IF(AND(K9=1,L9=1,M9=1),"PASS",IF(AND(K9=1,L9=1),"OPEN","FAIL"))</x:f>
        <x:v>OPEN</x:v>
      </x:c>
    </x:row>
    <x:row r="10">
      <x:c r="B10" s="10" t="str">
        <x:v>LN-04</x:v>
      </x:c>
      <x:c r="C10" s="10" t="str">
        <x:v>SA2</x:v>
      </x:c>
      <x:c r="D10" s="10" t="str">
        <x:v>anchor/lift</x:v>
      </x:c>
      <x:c r="E10" s="10" t="str">
        <x:v>PTC-C</x:v>
      </x:c>
      <x:c r="F10" s="10" t="str">
        <x:v>LN-03</x:v>
      </x:c>
      <x:c r="G10" s="10" t="str">
        <x:v>PTC-A</x:v>
      </x:c>
      <x:c r="H10" s="10" t="n">
        <x:v>2</x:v>
      </x:c>
      <x:c r="I10" s="10" t="n">
        <x:v>2</x:v>
      </x:c>
      <x:c r="J10" s="10" t="n">
        <x:v>800</x:v>
      </x:c>
      <x:c r="K10" s="10" t="n">
        <x:f>IF(E10&lt;&gt;G10,1,0)</x:f>
        <x:v>1</x:v>
      </x:c>
      <x:c r="L10" s="10" t="n">
        <x:v>1</x:v>
      </x:c>
      <x:c r="M10" s="12" t="n">
        <x:v>0</x:v>
      </x:c>
      <x:c r="N10" s="10" t="str">
        <x:f>IF(AND(K10=1,L10=1,M10=1),"PASS",IF(AND(K10=1,L10=1),"OPEN","FAIL"))</x:f>
        <x:v>OPEN</x:v>
      </x:c>
    </x:row>
    <x:row r="11">
      <x:c r="B11" s="10" t="str">
        <x:v>LN-05</x:v>
      </x:c>
      <x:c r="C11" s="10" t="str">
        <x:v>SA3</x:v>
      </x:c>
      <x:c r="D11" s="10" t="str">
        <x:v>hydraulic collar</x:v>
      </x:c>
      <x:c r="E11" s="10" t="str">
        <x:v>PTC-A</x:v>
      </x:c>
      <x:c r="F11" s="10" t="str">
        <x:v>LN-06</x:v>
      </x:c>
      <x:c r="G11" s="10" t="str">
        <x:v>PTC-C</x:v>
      </x:c>
      <x:c r="H11" s="10" t="n">
        <x:v>4</x:v>
      </x:c>
      <x:c r="I11" s="10" t="n">
        <x:v>4</x:v>
      </x:c>
      <x:c r="J11" s="10" t="n">
        <x:v>16000</x:v>
      </x:c>
      <x:c r="K11" s="10" t="n">
        <x:f>IF(E11&lt;&gt;G11,1,0)</x:f>
        <x:v>1</x:v>
      </x:c>
      <x:c r="L11" s="10" t="n">
        <x:v>1</x:v>
      </x:c>
      <x:c r="M11" s="12" t="n">
        <x:v>0</x:v>
      </x:c>
      <x:c r="N11" s="10" t="str">
        <x:f>IF(AND(K11=1,L11=1,M11=1),"PASS",IF(AND(K11=1,L11=1),"OPEN","FAIL"))</x:f>
        <x:v>OPEN</x:v>
      </x:c>
    </x:row>
    <x:row r="12">
      <x:c r="B12" s="10" t="str">
        <x:v>LN-06</x:v>
      </x:c>
      <x:c r="C12" s="10" t="str">
        <x:v>SA3</x:v>
      </x:c>
      <x:c r="D12" s="10" t="str">
        <x:v>hydraulic collar</x:v>
      </x:c>
      <x:c r="E12" s="10" t="str">
        <x:v>PTC-C</x:v>
      </x:c>
      <x:c r="F12" s="10" t="str">
        <x:v>LN-05</x:v>
      </x:c>
      <x:c r="G12" s="10" t="str">
        <x:v>PTC-A</x:v>
      </x:c>
      <x:c r="H12" s="10" t="n">
        <x:v>4</x:v>
      </x:c>
      <x:c r="I12" s="10" t="n">
        <x:v>4</x:v>
      </x:c>
      <x:c r="J12" s="10" t="n">
        <x:v>16000</x:v>
      </x:c>
      <x:c r="K12" s="10" t="n">
        <x:f>IF(E12&lt;&gt;G12,1,0)</x:f>
        <x:v>1</x:v>
      </x:c>
      <x:c r="L12" s="10" t="n">
        <x:v>1</x:v>
      </x:c>
      <x:c r="M12" s="12" t="n">
        <x:v>0</x:v>
      </x:c>
      <x:c r="N12" s="10" t="str">
        <x:f>IF(AND(K12=1,L12=1,M12=1),"PASS",IF(AND(K12=1,L12=1),"OPEN","FAIL"))</x:f>
        <x:v>OPEN</x:v>
      </x:c>
    </x:row>
    <x:row r="13">
      <x:c r="B13" s="10" t="str">
        <x:v>LN-07</x:v>
      </x:c>
      <x:c r="C13" s="10" t="str">
        <x:v>SA4</x:v>
      </x:c>
      <x:c r="D13" s="10" t="str">
        <x:v>bus/protection</x:v>
      </x:c>
      <x:c r="E13" s="10" t="str">
        <x:v>PTC-B</x:v>
      </x:c>
      <x:c r="F13" s="10" t="str">
        <x:v>LN-08</x:v>
      </x:c>
      <x:c r="G13" s="10" t="str">
        <x:v>PTC-C</x:v>
      </x:c>
      <x:c r="H13" s="10" t="n">
        <x:v>3</x:v>
      </x:c>
      <x:c r="I13" s="10" t="n">
        <x:v>3</x:v>
      </x:c>
      <x:c r="J13" s="10" t="n">
        <x:v>60</x:v>
      </x:c>
      <x:c r="K13" s="10" t="n">
        <x:f>IF(E13&lt;&gt;G13,1,0)</x:f>
        <x:v>1</x:v>
      </x:c>
      <x:c r="L13" s="10" t="n">
        <x:v>1</x:v>
      </x:c>
      <x:c r="M13" s="12" t="n">
        <x:v>0</x:v>
      </x:c>
      <x:c r="N13" s="10" t="str">
        <x:f>IF(AND(K13=1,L13=1,M13=1),"PASS",IF(AND(K13=1,L13=1),"OPEN","FAIL"))</x:f>
        <x:v>OPEN</x:v>
      </x:c>
    </x:row>
    <x:row r="14">
      <x:c r="B14" s="10" t="str">
        <x:v>LN-08</x:v>
      </x:c>
      <x:c r="C14" s="10" t="str">
        <x:v>SA4</x:v>
      </x:c>
      <x:c r="D14" s="10" t="str">
        <x:v>bus/protection</x:v>
      </x:c>
      <x:c r="E14" s="10" t="str">
        <x:v>PTC-C</x:v>
      </x:c>
      <x:c r="F14" s="10" t="str">
        <x:v>LN-07</x:v>
      </x:c>
      <x:c r="G14" s="10" t="str">
        <x:v>PTC-B</x:v>
      </x:c>
      <x:c r="H14" s="10" t="n">
        <x:v>3</x:v>
      </x:c>
      <x:c r="I14" s="10" t="n">
        <x:v>3</x:v>
      </x:c>
      <x:c r="J14" s="10" t="n">
        <x:v>60</x:v>
      </x:c>
      <x:c r="K14" s="10" t="n">
        <x:f>IF(E14&lt;&gt;G14,1,0)</x:f>
        <x:v>1</x:v>
      </x:c>
      <x:c r="L14" s="10" t="n">
        <x:v>1</x:v>
      </x:c>
      <x:c r="M14" s="12" t="n">
        <x:v>0</x:v>
      </x:c>
      <x:c r="N14" s="10" t="str">
        <x:f>IF(AND(K14=1,L14=1,M14=1),"PASS",IF(AND(K14=1,L14=1),"OPEN","FAIL"))</x:f>
        <x:v>OPEN</x:v>
      </x:c>
    </x:row>
    <x:row r="15">
      <x:c r="B15" s="10" t="str">
        <x:v>LN-09</x:v>
      </x:c>
      <x:c r="C15" s="10" t="str">
        <x:v>SA5</x:v>
      </x:c>
      <x:c r="D15" s="10" t="str">
        <x:v>thermal/evidence</x:v>
      </x:c>
      <x:c r="E15" s="10" t="str">
        <x:v>PTC-A</x:v>
      </x:c>
      <x:c r="F15" s="10" t="str">
        <x:v>LN-10</x:v>
      </x:c>
      <x:c r="G15" s="10" t="str">
        <x:v>PTC-B</x:v>
      </x:c>
      <x:c r="H15" s="10" t="n">
        <x:v>2</x:v>
      </x:c>
      <x:c r="I15" s="10" t="n">
        <x:v>2</x:v>
      </x:c>
      <x:c r="J15" s="10" t="n">
        <x:v>2000</x:v>
      </x:c>
      <x:c r="K15" s="10" t="n">
        <x:f>IF(E15&lt;&gt;G15,1,0)</x:f>
        <x:v>1</x:v>
      </x:c>
      <x:c r="L15" s="10" t="n">
        <x:v>1</x:v>
      </x:c>
      <x:c r="M15" s="12" t="n">
        <x:v>0</x:v>
      </x:c>
      <x:c r="N15" s="10" t="str">
        <x:f>IF(AND(K15=1,L15=1,M15=1),"PASS",IF(AND(K15=1,L15=1),"OPEN","FAIL"))</x:f>
        <x:v>OPEN</x:v>
      </x:c>
    </x:row>
    <x:row r="16">
      <x:c r="B16" s="10" t="str">
        <x:v>LN-10</x:v>
      </x:c>
      <x:c r="C16" s="10" t="str">
        <x:v>SA5</x:v>
      </x:c>
      <x:c r="D16" s="10" t="str">
        <x:v>thermal/evidence</x:v>
      </x:c>
      <x:c r="E16" s="10" t="str">
        <x:v>PTC-B</x:v>
      </x:c>
      <x:c r="F16" s="10" t="str">
        <x:v>LN-09</x:v>
      </x:c>
      <x:c r="G16" s="10" t="str">
        <x:v>PTC-A</x:v>
      </x:c>
      <x:c r="H16" s="10" t="n">
        <x:v>2</x:v>
      </x:c>
      <x:c r="I16" s="10" t="n">
        <x:v>2</x:v>
      </x:c>
      <x:c r="J16" s="10" t="n">
        <x:v>2000</x:v>
      </x:c>
      <x:c r="K16" s="10" t="n">
        <x:f>IF(E16&lt;&gt;G16,1,0)</x:f>
        <x:v>1</x:v>
      </x:c>
      <x:c r="L16" s="10" t="n">
        <x:v>1</x:v>
      </x:c>
      <x:c r="M16" s="12" t="n">
        <x:v>0</x:v>
      </x:c>
      <x:c r="N16" s="10" t="str">
        <x:f>IF(AND(K16=1,L16=1,M16=1),"PASS",IF(AND(K16=1,L16=1),"OPEN","FAIL"))</x:f>
        <x:v>OPEN</x:v>
      </x:c>
    </x:row>
    <x:row r="17">
      <x:c r="B17" s="10" t="str">
        <x:v>LN-11</x:v>
      </x:c>
      <x:c r="C17" s="10" t="str">
        <x:v>SA6</x:v>
      </x:c>
      <x:c r="D17" s="10" t="str">
        <x:v>energy-ballast</x:v>
      </x:c>
      <x:c r="E17" s="10" t="str">
        <x:v>PTC-B</x:v>
      </x:c>
      <x:c r="F17" s="10" t="str">
        <x:v>LN-12</x:v>
      </x:c>
      <x:c r="G17" s="10" t="str">
        <x:v>PTC-C</x:v>
      </x:c>
      <x:c r="H17" s="10" t="n">
        <x:v>3</x:v>
      </x:c>
      <x:c r="I17" s="10" t="n">
        <x:v>3</x:v>
      </x:c>
      <x:c r="J17" s="10" t="n">
        <x:v>600</x:v>
      </x:c>
      <x:c r="K17" s="10" t="n">
        <x:f>IF(E17&lt;&gt;G17,1,0)</x:f>
        <x:v>1</x:v>
      </x:c>
      <x:c r="L17" s="10" t="n">
        <x:v>1</x:v>
      </x:c>
      <x:c r="M17" s="12" t="n">
        <x:v>0</x:v>
      </x:c>
      <x:c r="N17" s="10" t="str">
        <x:f>IF(AND(K17=1,L17=1,M17=1),"PASS",IF(AND(K17=1,L17=1),"OPEN","FAIL"))</x:f>
        <x:v>OPEN</x:v>
      </x:c>
    </x:row>
    <x:row r="18">
      <x:c r="B18" s="10" t="str">
        <x:v>LN-12</x:v>
      </x:c>
      <x:c r="C18" s="10" t="str">
        <x:v>SA6</x:v>
      </x:c>
      <x:c r="D18" s="10" t="str">
        <x:v>energy-ballast</x:v>
      </x:c>
      <x:c r="E18" s="10" t="str">
        <x:v>PTC-C</x:v>
      </x:c>
      <x:c r="F18" s="10" t="str">
        <x:v>LN-11</x:v>
      </x:c>
      <x:c r="G18" s="10" t="str">
        <x:v>PTC-B</x:v>
      </x:c>
      <x:c r="H18" s="10" t="n">
        <x:v>3</x:v>
      </x:c>
      <x:c r="I18" s="10" t="n">
        <x:v>3</x:v>
      </x:c>
      <x:c r="J18" s="10" t="n">
        <x:v>600</x:v>
      </x:c>
      <x:c r="K18" s="10" t="n">
        <x:f>IF(E18&lt;&gt;G18,1,0)</x:f>
        <x:v>1</x:v>
      </x:c>
      <x:c r="L18" s="10" t="n">
        <x:v>1</x:v>
      </x:c>
      <x:c r="M18" s="12" t="n">
        <x:v>0</x:v>
      </x:c>
      <x:c r="N18" s="10" t="str">
        <x:f>IF(AND(K18=1,L18=1,M18=1),"PASS",IF(AND(K18=1,L18=1),"OPEN","FAIL"))</x:f>
        <x:v>OPEN</x:v>
      </x:c>
    </x:row>
    <x:row r="19"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B21" s="18" t="str">
        <x:v>Site allocation</x:v>
      </x:c>
      <x:c r="C21" s="18" t="str">
        <x:v>Site allocation</x:v>
      </x:c>
      <x:c r="D21" s="18" t="str">
        <x:v>Site allocation</x:v>
      </x:c>
      <x:c r="E21" s="18" t="str">
        <x:v>Site allocation</x:v>
      </x:c>
      <x:c r="F21" s="18" t="str">
        <x:v>Site allocation</x:v>
      </x:c>
      <x:c r="G21" s="18" t="str">
        <x:v>Site allocation</x:v>
      </x:c>
      <x:c r="H21" s="18" t="str">
        <x:v>Site allocation</x:v>
      </x:c>
      <x:c r="I21" s="18" t="str">
        <x:v>Site allocation</x:v>
      </x:c>
      <x:c r="J21" s="18" t="str">
        <x:v>Site allocation</x:v>
      </x:c>
      <x:c r="K21" s="18" t="str">
        <x:v>Site allocation</x:v>
      </x:c>
      <x:c r="L21" s="18" t="str">
        <x:v>Site allocation</x:v>
      </x:c>
      <x:c r="M21" s="18" t="str">
        <x:v>Site allocation</x:v>
      </x:c>
      <x:c r="N21" s="18" t="str">
        <x:v>Site allocation</x:v>
      </x:c>
    </x:row>
    <x:row r="22">
      <x:c r="B22" s="8" t="str">
        <x:v>Site</x:v>
      </x:c>
      <x:c r="C22" s="8" t="str">
        <x:v>Lanes</x:v>
      </x:c>
      <x:c r="D22" s="8" t="str">
        <x:v>Serials</x:v>
      </x:c>
      <x:c r="E22" s="8" t="str">
        <x:v>Events</x:v>
      </x:c>
      <x:c r="F22" s="8" t="str">
        <x:v>Station hours</x:v>
      </x:c>
      <x:c r="G22" s="8" t="str">
        <x:v>Specimen positions</x:v>
      </x:c>
      <x:c r="H22" s="8" t="str">
        <x:v>Position reserve</x:v>
      </x:c>
      <x:c r="I22" s="10"/>
      <x:c r="J22" s="10"/>
      <x:c r="K22" s="10"/>
      <x:c r="L22" s="10"/>
      <x:c r="M22" s="10"/>
      <x:c r="N22" s="10"/>
    </x:row>
    <x:row r="23">
      <x:c r="B23" s="10" t="str">
        <x:v>PTC-A</x:v>
      </x:c>
      <x:c r="C23" s="10" t="str">
        <x:v>LN-01, LN-03, LN-05, LN-09</x:v>
      </x:c>
      <x:c r="D23" s="10" t="n">
        <x:v>20</x:v>
      </x:c>
      <x:c r="E23" s="10" t="n">
        <x:v>19600</x:v>
      </x:c>
      <x:c r="F23" s="10" t="n">
        <x:v>3222.666667</x:v>
      </x:c>
      <x:c r="G23" s="10" t="n">
        <x:v>28</x:v>
      </x:c>
      <x:c r="H23" s="10" t="n">
        <x:f>G23-D23</x:f>
        <x:v>8</x:v>
      </x:c>
      <x:c r="I23" s="10"/>
      <x:c r="J23" s="10"/>
      <x:c r="K23" s="10"/>
      <x:c r="L23" s="10"/>
      <x:c r="M23" s="10"/>
      <x:c r="N23" s="10"/>
    </x:row>
    <x:row r="24">
      <x:c r="B24" s="10" t="str">
        <x:v>PTC-B</x:v>
      </x:c>
      <x:c r="C24" s="10" t="str">
        <x:v>LN-02, LN-07, LN-10, LN-11</x:v>
      </x:c>
      <x:c r="D24" s="10" t="n">
        <x:v>20</x:v>
      </x:c>
      <x:c r="E24" s="10" t="n">
        <x:v>3460</x:v>
      </x:c>
      <x:c r="F24" s="10" t="n">
        <x:v>3682.666667</x:v>
      </x:c>
      <x:c r="G24" s="10" t="n">
        <x:v>28</x:v>
      </x:c>
      <x:c r="H24" s="10" t="n">
        <x:f>G24-D24</x:f>
        <x:v>8</x:v>
      </x:c>
      <x:c r="I24" s="10"/>
      <x:c r="J24" s="10"/>
      <x:c r="K24" s="10"/>
      <x:c r="L24" s="10"/>
      <x:c r="M24" s="10"/>
      <x:c r="N24" s="10"/>
    </x:row>
    <x:row r="25">
      <x:c r="B25" s="11" t="str">
        <x:v>PTC-C</x:v>
      </x:c>
      <x:c r="C25" s="11" t="str">
        <x:v>LN-04, LN-06, LN-08, LN-12</x:v>
      </x:c>
      <x:c r="D25" s="11" t="n">
        <x:v>24</x:v>
      </x:c>
      <x:c r="E25" s="11" t="n">
        <x:v>17460</x:v>
      </x:c>
      <x:c r="F25" s="11" t="n">
        <x:v>3116</x:v>
      </x:c>
      <x:c r="G25" s="11" t="n">
        <x:v>28</x:v>
      </x:c>
      <x:c r="H25" s="11" t="n">
        <x:f>G25-D25</x:f>
        <x:v>4</x:v>
      </x:c>
      <x:c r="I25" s="11"/>
      <x:c r="J25" s="11"/>
      <x:c r="K25" s="11"/>
      <x:c r="L25" s="11"/>
      <x:c r="M25" s="11"/>
      <x:c r="N25" s="11"/>
    </x:row>
  </x:sheetData>
  <x:mergeCells>
    <x:mergeCell ref="B2:N2"/>
    <x:mergeCell ref="B3:N3"/>
    <x:mergeCell ref="B21:N21"/>
  </x:mergeCells>
  <x:conditionalFormatting sqref="N7:N18">
    <x:cfRule type="containsText" dxfId="14" priority="1" operator="containsText" text="PASS"/>
    <x:cfRule type="containsText" dxfId="15" priority="2" operator="containsText" text="AUTHORIZED"/>
    <x:cfRule type="containsText" dxfId="16" priority="3" operator="containsText" text="DEFINED"/>
    <x:cfRule type="containsText" dxfId="17" priority="4" operator="containsText" text="READY"/>
    <x:cfRule type="containsText" dxfId="18" priority="5" operator="containsText" text="HOLD"/>
    <x:cfRule type="containsText" dxfId="19" priority="6" operator="containsText" text="OPEN"/>
    <x:cfRule type="containsText" dxfId="20" priority="7" operator="containsText" text="BLOCKED"/>
    <x:cfRule type="containsText" dxfId="21" priority="8" operator="containsText" text="PLANNING"/>
    <x:cfRule type="containsText" dxfId="22" priority="9" operator="containsText" text="QUARANTINE"/>
    <x:cfRule type="containsText" dxfId="23" priority="10" operator="containsText" text="INDETERMINATE"/>
    <x:cfRule type="containsText" dxfId="24" priority="11" operator="containsText" text="FAIL"/>
    <x:cfRule type="containsText" dxfId="25" priority="12" operator="containsText" text="REJECT"/>
    <x:cfRule type="containsText" dxfId="26" priority="13" operator="containsText" text="INVALID"/>
    <x:cfRule type="containsText" dxfId="27" priority="14" operator="containsText" text="STO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4" hidden="0" customWidth="1"/>
    <x:col min="4" max="4" width="16" hidden="0" customWidth="1"/>
    <x:col min="5" max="5" width="12" hidden="0" customWidth="1"/>
    <x:col min="6" max="6" width="20" hidden="0" customWidth="1"/>
    <x:col min="7" max="7" width="15" hidden="0" customWidth="1"/>
    <x:col min="8" max="8" width="15" hidden="0" customWidth="1"/>
    <x:col min="9" max="9" width="19" hidden="0" customWidth="1"/>
    <x:col min="10" max="10" width="20" hidden="0" customWidth="1"/>
    <x:col min="11" max="11" width="18" hidden="0" customWidth="1"/>
    <x:col min="12" max="12" width="20" hidden="0" customWidth="1"/>
    <x:col min="13" max="13" width="14" hidden="0" customWidth="1"/>
    <x:col min="14" max="14" width="14" hidden="0" customWidth="1"/>
  </x:cols>
  <x:sheetData>
    <x:row r="2">
      <x:c r="B2" s="27" t="str">
        <x:v>Campaign capacity after one complete site loss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B3" s="29" t="str">
        <x:v>Each surviving lane can carry its family's entire registered workload inside the fourteen-month window.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B6" s="8" t="str">
        <x:v>Family</x:v>
      </x:c>
      <x:c r="C6" s="8" t="str">
        <x:v>Events</x:v>
      </x:c>
      <x:c r="D6" s="8" t="str">
        <x:v>Minutes/event</x:v>
      </x:c>
      <x:c r="E6" s="8" t="str">
        <x:v>Serials</x:v>
      </x:c>
      <x:c r="F6" s="8" t="str">
        <x:v>Setup hours/serial</x:v>
      </x:c>
      <x:c r="G6" s="8" t="str">
        <x:v>Event hours</x:v>
      </x:c>
      <x:c r="H6" s="8" t="str">
        <x:v>Setup hours</x:v>
      </x:c>
      <x:c r="I6" s="8" t="str">
        <x:v>Total station hours</x:v>
      </x:c>
      <x:c r="J6" s="8" t="str">
        <x:v>Available hours/lane</x:v>
      </x:c>
      <x:c r="K6" s="8" t="str">
        <x:v>Normal utilization</x:v>
      </x:c>
      <x:c r="L6" s="8" t="str">
        <x:v>Site-loss utilization</x:v>
      </x:c>
      <x:c r="M6" s="8" t="str">
        <x:v>Limit</x:v>
      </x:c>
      <x:c r="N6" s="8" t="str">
        <x:v>State</x:v>
      </x:c>
    </x:row>
    <x:row r="7">
      <x:c r="B7" s="10" t="str">
        <x:v>SA1</x:v>
      </x:c>
      <x:c r="C7" s="10" t="n">
        <x:v>1600</x:v>
      </x:c>
      <x:c r="D7" s="10" t="n">
        <x:v>20</x:v>
      </x:c>
      <x:c r="E7" s="10" t="n">
        <x:v>8</x:v>
      </x:c>
      <x:c r="F7" s="10" t="n">
        <x:v>12</x:v>
      </x:c>
      <x:c r="G7" s="10" t="n">
        <x:f>C7*D7/60</x:f>
        <x:v>533.3333333333334</x:v>
      </x:c>
      <x:c r="H7" s="10" t="n">
        <x:f>E7*F7</x:f>
        <x:v>96</x:v>
      </x:c>
      <x:c r="I7" s="10" t="n">
        <x:f>G7+H7</x:f>
        <x:v>629.3333333333334</x:v>
      </x:c>
      <x:c r="J7" s="10" t="n">
        <x:f>'Controls'!$D$12*'Controls'!$D$14*'Controls'!$D$13*'Controls'!$D$15</x:f>
        <x:v>4772.599999999999</x:v>
      </x:c>
      <x:c r="K7" s="19" t="n">
        <x:f>I7/(2*J7)</x:f>
        <x:v>0.0659319169146098</x:v>
      </x:c>
      <x:c r="L7" s="19" t="n">
        <x:f>I7/J7</x:f>
        <x:v>0.1318638338292196</x:v>
      </x:c>
      <x:c r="M7" s="19" t="n">
        <x:f>'Controls'!$D$16</x:f>
        <x:v>0.7</x:v>
      </x:c>
      <x:c r="N7" s="10" t="str">
        <x:f>IF(L7&lt;=M7,"PASS","FAIL")</x:f>
        <x:v>PASS</x:v>
      </x:c>
    </x:row>
    <x:row r="8">
      <x:c r="B8" s="10" t="str">
        <x:v>SA2</x:v>
      </x:c>
      <x:c r="C8" s="10" t="n">
        <x:v>1600</x:v>
      </x:c>
      <x:c r="D8" s="10" t="n">
        <x:v>30</x:v>
      </x:c>
      <x:c r="E8" s="10" t="n">
        <x:v>8</x:v>
      </x:c>
      <x:c r="F8" s="10" t="n">
        <x:v>16</x:v>
      </x:c>
      <x:c r="G8" s="10" t="n">
        <x:f>C8*D8/60</x:f>
        <x:v>800</x:v>
      </x:c>
      <x:c r="H8" s="10" t="n">
        <x:f>E8*F8</x:f>
        <x:v>128</x:v>
      </x:c>
      <x:c r="I8" s="10" t="n">
        <x:f>G8+H8</x:f>
        <x:v>928</x:v>
      </x:c>
      <x:c r="J8" s="10" t="n">
        <x:f>'Controls'!$D$12*'Controls'!$D$14*'Controls'!$D$13*'Controls'!$D$15</x:f>
        <x:v>4772.599999999999</x:v>
      </x:c>
      <x:c r="K8" s="19" t="n">
        <x:f>I8/(2*J8)</x:f>
        <x:v>0.09722164019611952</x:v>
      </x:c>
      <x:c r="L8" s="19" t="n">
        <x:f>I8/J8</x:f>
        <x:v>0.19444328039223904</x:v>
      </x:c>
      <x:c r="M8" s="19" t="n">
        <x:f>'Controls'!$D$16</x:f>
        <x:v>0.7</x:v>
      </x:c>
      <x:c r="N8" s="10" t="str">
        <x:f>IF(L8&lt;=M8,"PASS","FAIL")</x:f>
        <x:v>PASS</x:v>
      </x:c>
    </x:row>
    <x:row r="9">
      <x:c r="B9" s="10" t="str">
        <x:v>SA3</x:v>
      </x:c>
      <x:c r="C9" s="10" t="n">
        <x:v>32000</x:v>
      </x:c>
      <x:c r="D9" s="10" t="n">
        <x:v>3</x:v>
      </x:c>
      <x:c r="E9" s="10" t="n">
        <x:v>16</x:v>
      </x:c>
      <x:c r="F9" s="10" t="n">
        <x:v>8</x:v>
      </x:c>
      <x:c r="G9" s="10" t="n">
        <x:f>C9*D9/60</x:f>
        <x:v>1600</x:v>
      </x:c>
      <x:c r="H9" s="10" t="n">
        <x:f>E9*F9</x:f>
        <x:v>128</x:v>
      </x:c>
      <x:c r="I9" s="10" t="n">
        <x:f>G9+H9</x:f>
        <x:v>1728</x:v>
      </x:c>
      <x:c r="J9" s="10" t="n">
        <x:f>'Controls'!$D$12*'Controls'!$D$14*'Controls'!$D$13*'Controls'!$D$15</x:f>
        <x:v>4772.599999999999</x:v>
      </x:c>
      <x:c r="K9" s="19" t="n">
        <x:f>I9/(2*J9)</x:f>
        <x:v>0.18103339898587775</x:v>
      </x:c>
      <x:c r="L9" s="19" t="n">
        <x:f>I9/J9</x:f>
        <x:v>0.3620667979717555</x:v>
      </x:c>
      <x:c r="M9" s="19" t="n">
        <x:f>'Controls'!$D$16</x:f>
        <x:v>0.7</x:v>
      </x:c>
      <x:c r="N9" s="10" t="str">
        <x:f>IF(L9&lt;=M9,"PASS","FAIL")</x:f>
        <x:v>PASS</x:v>
      </x:c>
    </x:row>
    <x:row r="10">
      <x:c r="B10" s="10" t="str">
        <x:v>SA4</x:v>
      </x:c>
      <x:c r="C10" s="10" t="n">
        <x:v>120</x:v>
      </x:c>
      <x:c r="D10" s="10" t="n">
        <x:v>720</x:v>
      </x:c>
      <x:c r="E10" s="10" t="n">
        <x:v>12</x:v>
      </x:c>
      <x:c r="F10" s="10" t="n">
        <x:v>16</x:v>
      </x:c>
      <x:c r="G10" s="10" t="n">
        <x:f>C10*D10/60</x:f>
        <x:v>1440</x:v>
      </x:c>
      <x:c r="H10" s="10" t="n">
        <x:f>E10*F10</x:f>
        <x:v>192</x:v>
      </x:c>
      <x:c r="I10" s="10" t="n">
        <x:f>G10+H10</x:f>
        <x:v>1632</x:v>
      </x:c>
      <x:c r="J10" s="10" t="n">
        <x:f>'Controls'!$D$12*'Controls'!$D$14*'Controls'!$D$13*'Controls'!$D$15</x:f>
        <x:v>4772.599999999999</x:v>
      </x:c>
      <x:c r="K10" s="19" t="n">
        <x:f>I10/(2*J10)</x:f>
        <x:v>0.17097598793110674</x:v>
      </x:c>
      <x:c r="L10" s="19" t="n">
        <x:f>I10/J10</x:f>
        <x:v>0.3419519758622135</x:v>
      </x:c>
      <x:c r="M10" s="19" t="n">
        <x:f>'Controls'!$D$16</x:f>
        <x:v>0.7</x:v>
      </x:c>
      <x:c r="N10" s="10" t="str">
        <x:f>IF(L10&lt;=M10,"PASS","FAIL")</x:f>
        <x:v>PASS</x:v>
      </x:c>
    </x:row>
    <x:row r="11">
      <x:c r="B11" s="10" t="str">
        <x:v>SA5</x:v>
      </x:c>
      <x:c r="C11" s="10" t="n">
        <x:v>4000</x:v>
      </x:c>
      <x:c r="D11" s="10" t="n">
        <x:v>45</x:v>
      </x:c>
      <x:c r="E11" s="10" t="n">
        <x:v>8</x:v>
      </x:c>
      <x:c r="F11" s="10" t="n">
        <x:v>20</x:v>
      </x:c>
      <x:c r="G11" s="10" t="n">
        <x:f>C11*D11/60</x:f>
        <x:v>3000</x:v>
      </x:c>
      <x:c r="H11" s="10" t="n">
        <x:f>E11*F11</x:f>
        <x:v>160</x:v>
      </x:c>
      <x:c r="I11" s="10" t="n">
        <x:f>G11+H11</x:f>
        <x:v>3160</x:v>
      </x:c>
      <x:c r="J11" s="10" t="n">
        <x:f>'Controls'!$D$12*'Controls'!$D$14*'Controls'!$D$13*'Controls'!$D$15</x:f>
        <x:v>4772.599999999999</x:v>
      </x:c>
      <x:c r="K11" s="19" t="n">
        <x:f>I11/(2*J11)</x:f>
        <x:v>0.3310564472195449</x:v>
      </x:c>
      <x:c r="L11" s="19" t="n">
        <x:f>I11/J11</x:f>
        <x:v>0.6621128944390898</x:v>
      </x:c>
      <x:c r="M11" s="19" t="n">
        <x:f>'Controls'!$D$16</x:f>
        <x:v>0.7</x:v>
      </x:c>
      <x:c r="N11" s="10" t="str">
        <x:f>IF(L11&lt;=M11,"PASS","FAIL")</x:f>
        <x:v>PASS</x:v>
      </x:c>
    </x:row>
    <x:row r="12">
      <x:c r="B12" s="10" t="str">
        <x:v>SA6</x:v>
      </x:c>
      <x:c r="C12" s="10" t="n">
        <x:v>1200</x:v>
      </x:c>
      <x:c r="D12" s="10" t="n">
        <x:v>90</x:v>
      </x:c>
      <x:c r="E12" s="10" t="n">
        <x:v>12</x:v>
      </x:c>
      <x:c r="F12" s="10" t="n">
        <x:v>12</x:v>
      </x:c>
      <x:c r="G12" s="10" t="n">
        <x:f>C12*D12/60</x:f>
        <x:v>1800</x:v>
      </x:c>
      <x:c r="H12" s="10" t="n">
        <x:f>E12*F12</x:f>
        <x:v>144</x:v>
      </x:c>
      <x:c r="I12" s="10" t="n">
        <x:f>G12+H12</x:f>
        <x:v>1944</x:v>
      </x:c>
      <x:c r="J12" s="10" t="n">
        <x:f>'Controls'!$D$12*'Controls'!$D$14*'Controls'!$D$13*'Controls'!$D$15</x:f>
        <x:v>4772.599999999999</x:v>
      </x:c>
      <x:c r="K12" s="19" t="n">
        <x:f>I12/(2*J12)</x:f>
        <x:v>0.20366257385911246</x:v>
      </x:c>
      <x:c r="L12" s="19" t="n">
        <x:f>I12/J12</x:f>
        <x:v>0.4073251477182249</x:v>
      </x:c>
      <x:c r="M12" s="19" t="n">
        <x:f>'Controls'!$D$16</x:f>
        <x:v>0.7</x:v>
      </x:c>
      <x:c r="N12" s="10" t="str">
        <x:f>IF(L12&lt;=M12,"PASS","FAIL")</x:f>
        <x:v>PASS</x:v>
      </x:c>
    </x:row>
    <x:row r="13"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B15" s="18" t="str">
        <x:v>Capacity result</x:v>
      </x:c>
      <x:c r="C15" s="18" t="str">
        <x:v>Capacity result</x:v>
      </x:c>
      <x:c r="D15" s="18" t="str">
        <x:v>Capacity result</x:v>
      </x:c>
      <x:c r="E15" s="18" t="str">
        <x:v>Capacity result</x:v>
      </x:c>
      <x:c r="F15" s="18" t="str">
        <x:v>Capacity result</x:v>
      </x:c>
      <x:c r="G15" s="18" t="str">
        <x:v>Capacity result</x:v>
      </x:c>
      <x:c r="H15" s="18" t="str">
        <x:v>Capacity result</x:v>
      </x:c>
      <x:c r="I15" s="18" t="str">
        <x:v>Capacity result</x:v>
      </x:c>
      <x:c r="J15" s="18" t="str">
        <x:v>Capacity result</x:v>
      </x:c>
      <x:c r="K15" s="18" t="str">
        <x:v>Capacity result</x:v>
      </x:c>
      <x:c r="L15" s="18" t="str">
        <x:v>Capacity result</x:v>
      </x:c>
      <x:c r="M15" s="18" t="str">
        <x:v>Capacity result</x:v>
      </x:c>
      <x:c r="N15" s="18" t="str">
        <x:v>Capacity result</x:v>
      </x:c>
    </x:row>
    <x:row r="16">
      <x:c r="B16" s="8" t="str">
        <x:v>Maximum site-loss utilization</x:v>
      </x:c>
      <x:c r="C16" s="8" t="str">
        <x:v>Required maximum</x:v>
      </x:c>
      <x:c r="D16" s="8" t="str">
        <x:v>State</x:v>
      </x:c>
      <x:c r="E16" s="8" t="str">
        <x:v>Governing family</x:v>
      </x:c>
      <x:c r="F16" s="10"/>
      <x:c r="G16" s="10"/>
      <x:c r="H16" s="10"/>
      <x:c r="I16" s="10"/>
      <x:c r="J16" s="10"/>
      <x:c r="K16" s="10"/>
      <x:c r="L16" s="10"/>
      <x:c r="M16" s="10"/>
      <x:c r="N16" s="10"/>
    </x:row>
    <x:row r="17">
      <x:c r="B17" s="20" t="n">
        <x:f>MAX(L7:L12)</x:f>
        <x:v>0.6621128944390898</x:v>
      </x:c>
      <x:c r="C17" s="20" t="n">
        <x:f>'Controls'!$D$16</x:f>
        <x:v>0.7</x:v>
      </x:c>
      <x:c r="D17" s="11" t="str">
        <x:f>IF(B17&lt;=C17,"PASS","FAIL")</x:f>
        <x:v>PASS</x:v>
      </x:c>
      <x:c r="E17" s="11" t="str">
        <x:v>SA5 thermal/evidence</x:v>
      </x:c>
      <x:c r="F17" s="11"/>
      <x:c r="G17" s="11"/>
      <x:c r="H17" s="11"/>
      <x:c r="I17" s="11"/>
      <x:c r="J17" s="11"/>
      <x:c r="K17" s="11"/>
      <x:c r="L17" s="11"/>
      <x:c r="M17" s="11"/>
      <x:c r="N17" s="11"/>
    </x:row>
  </x:sheetData>
  <x:mergeCells>
    <x:mergeCell ref="B2:N2"/>
    <x:mergeCell ref="B3:N3"/>
    <x:mergeCell ref="B15:N15"/>
  </x:mergeCells>
  <x:conditionalFormatting sqref="N7:N12">
    <x:cfRule type="containsText" dxfId="28" priority="1" operator="containsText" text="PASS"/>
    <x:cfRule type="containsText" dxfId="29" priority="2" operator="containsText" text="AUTHORIZED"/>
    <x:cfRule type="containsText" dxfId="30" priority="3" operator="containsText" text="DEFINED"/>
    <x:cfRule type="containsText" dxfId="31" priority="4" operator="containsText" text="READY"/>
    <x:cfRule type="containsText" dxfId="32" priority="5" operator="containsText" text="HOLD"/>
    <x:cfRule type="containsText" dxfId="33" priority="6" operator="containsText" text="OPEN"/>
    <x:cfRule type="containsText" dxfId="34" priority="7" operator="containsText" text="BLOCKED"/>
    <x:cfRule type="containsText" dxfId="35" priority="8" operator="containsText" text="PLANNING"/>
    <x:cfRule type="containsText" dxfId="36" priority="9" operator="containsText" text="QUARANTINE"/>
    <x:cfRule type="containsText" dxfId="37" priority="10" operator="containsText" text="INDETERMINATE"/>
    <x:cfRule type="containsText" dxfId="38" priority="11" operator="containsText" text="FAIL"/>
    <x:cfRule type="containsText" dxfId="39" priority="12" operator="containsText" text="REJECT"/>
    <x:cfRule type="containsText" dxfId="40" priority="13" operator="containsText" text="INVALID"/>
    <x:cfRule type="containsText" dxfId="41" priority="14" operator="containsText" text="STOP"/>
  </x:conditionalFormatting>
  <x:conditionalFormatting sqref="D17:D17">
    <x:cfRule type="containsText" dxfId="42" priority="15" operator="containsText" text="PASS"/>
    <x:cfRule type="containsText" dxfId="43" priority="16" operator="containsText" text="AUTHORIZED"/>
    <x:cfRule type="containsText" dxfId="44" priority="17" operator="containsText" text="DEFINED"/>
    <x:cfRule type="containsText" dxfId="45" priority="18" operator="containsText" text="READY"/>
    <x:cfRule type="containsText" dxfId="46" priority="19" operator="containsText" text="HOLD"/>
    <x:cfRule type="containsText" dxfId="47" priority="20" operator="containsText" text="OPEN"/>
    <x:cfRule type="containsText" dxfId="48" priority="21" operator="containsText" text="BLOCKED"/>
    <x:cfRule type="containsText" dxfId="49" priority="22" operator="containsText" text="PLANNING"/>
    <x:cfRule type="containsText" dxfId="50" priority="23" operator="containsText" text="QUARANTINE"/>
    <x:cfRule type="containsText" dxfId="51" priority="24" operator="containsText" text="INDETERMINATE"/>
    <x:cfRule type="containsText" dxfId="52" priority="25" operator="containsText" text="FAIL"/>
    <x:cfRule type="containsText" dxfId="53" priority="26" operator="containsText" text="REJECT"/>
    <x:cfRule type="containsText" dxfId="54" priority="27" operator="containsText" text="INVALID"/>
    <x:cfRule type="containsText" dxfId="55" priority="28" operator="containsText" text="STO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8" hidden="0" customWidth="1"/>
    <x:col min="3" max="3" width="14" hidden="0" customWidth="1"/>
    <x:col min="4" max="4" width="16" hidden="0" customWidth="1"/>
    <x:col min="5" max="5" width="18" hidden="0" customWidth="1"/>
    <x:col min="6" max="6" width="30" hidden="0" customWidth="1"/>
    <x:col min="7" max="7" width="46" hidden="0" customWidth="1"/>
  </x:cols>
  <x:sheetData>
    <x:row r="2">
      <x:c r="B2" s="27" t="str">
        <x:v>Bottom-up facility quantities</x:v>
      </x:c>
      <x:c r="C2" s="28"/>
      <x:c r="D2" s="28"/>
      <x:c r="E2" s="28"/>
      <x:c r="F2" s="28"/>
      <x:c r="G2" s="28"/>
      <x:c r="H2" s="28"/>
    </x:row>
    <x:row r="3">
      <x:c r="B3" s="29" t="str">
        <x:v>Public campus infrastructure is shared only when the SDEC reservation is explicit and the decisive lane implementation remains independent.</x:v>
      </x:c>
      <x:c r="C3" s="28"/>
      <x:c r="D3" s="28"/>
      <x:c r="E3" s="28"/>
      <x:c r="F3" s="28"/>
      <x:c r="G3" s="28"/>
      <x:c r="H3" s="28"/>
    </x:row>
    <x:row r="4">
      <x:c r="B4" s="30"/>
      <x:c r="C4" s="30"/>
      <x:c r="D4" s="30"/>
      <x:c r="E4" s="30"/>
      <x:c r="F4" s="30"/>
      <x:c r="G4" s="30"/>
      <x:c r="H4" s="30"/>
    </x:row>
    <x:row r="5">
      <x:c r="B5" s="28"/>
      <x:c r="C5" s="28"/>
      <x:c r="D5" s="28"/>
      <x:c r="E5" s="28"/>
      <x:c r="F5" s="28"/>
      <x:c r="G5" s="28"/>
      <x:c r="H5" s="28"/>
    </x:row>
    <x:row r="6">
      <x:c r="B6" s="8" t="str">
        <x:v>Facility object</x:v>
      </x:c>
      <x:c r="C6" s="8" t="str">
        <x:v>Quantity</x:v>
      </x:c>
      <x:c r="D6" s="8" t="str">
        <x:v>Unit</x:v>
      </x:c>
      <x:c r="E6" s="8" t="str">
        <x:v>Distribution</x:v>
      </x:c>
      <x:c r="F6" s="8" t="str">
        <x:v>Funding owner</x:v>
      </x:c>
      <x:c r="G6" s="8" t="str">
        <x:v>Sizing role</x:v>
      </x:c>
      <x:c r="H6" s="28"/>
    </x:row>
    <x:row r="7">
      <x:c r="B7" s="10" t="str">
        <x:v>full-scale family lanes</x:v>
      </x:c>
      <x:c r="C7" s="10" t="n">
        <x:v>12</x:v>
      </x:c>
      <x:c r="D7" s="10" t="str">
        <x:v>lanes</x:v>
      </x:c>
      <x:c r="E7" s="10" t="str">
        <x:v>4/site</x:v>
      </x:c>
      <x:c r="F7" s="10" t="str">
        <x:v>CISA-specific</x:v>
      </x:c>
      <x:c r="G7" s="10" t="str">
        <x:v>two unlike sites per family</x:v>
      </x:c>
      <x:c r="H7" s="28"/>
    </x:row>
    <x:row r="8">
      <x:c r="B8" s="10" t="str">
        <x:v>operator control rooms</x:v>
      </x:c>
      <x:c r="C8" s="10" t="n">
        <x:v>12</x:v>
      </x:c>
      <x:c r="D8" s="10" t="str">
        <x:v>rooms</x:v>
      </x:c>
      <x:c r="E8" s="10" t="str">
        <x:v>4/site</x:v>
      </x:c>
      <x:c r="F8" s="10" t="str">
        <x:v>shared shell / specific controls</x:v>
      </x:c>
      <x:c r="G8" s="10" t="str">
        <x:v>one per lane</x:v>
      </x:c>
      <x:c r="H8" s="28"/>
    </x:row>
    <x:row r="9">
      <x:c r="B9" s="10" t="str">
        <x:v>independent witness rooms</x:v>
      </x:c>
      <x:c r="C9" s="10" t="n">
        <x:v>12</x:v>
      </x:c>
      <x:c r="D9" s="10" t="str">
        <x:v>rooms</x:v>
      </x:c>
      <x:c r="E9" s="10" t="str">
        <x:v>4/site</x:v>
      </x:c>
      <x:c r="F9" s="10" t="str">
        <x:v>shared shell / specific recorders</x:v>
      </x:c>
      <x:c r="G9" s="10" t="str">
        <x:v>separate authority</x:v>
      </x:c>
      <x:c r="H9" s="28"/>
    </x:row>
    <x:row r="10">
      <x:c r="B10" s="10" t="str">
        <x:v>detached evidence vaults</x:v>
      </x:c>
      <x:c r="C10" s="10" t="n">
        <x:v>6</x:v>
      </x:c>
      <x:c r="D10" s="10" t="str">
        <x:v>vaults</x:v>
      </x:c>
      <x:c r="E10" s="10" t="str">
        <x:v>2/site</x:v>
      </x:c>
      <x:c r="F10" s="10" t="str">
        <x:v>shared public estate</x:v>
      </x:c>
      <x:c r="G10" s="10" t="str">
        <x:v>two separately powered originals</x:v>
      </x:c>
      <x:c r="H10" s="28"/>
    </x:row>
    <x:row r="11">
      <x:c r="B11" s="10" t="str">
        <x:v>calibration laboratories</x:v>
      </x:c>
      <x:c r="C11" s="10" t="n">
        <x:v>6</x:v>
      </x:c>
      <x:c r="D11" s="10" t="str">
        <x:v>labs</x:v>
      </x:c>
      <x:c r="E11" s="10" t="str">
        <x:v>2/site</x:v>
      </x:c>
      <x:c r="F11" s="10" t="str">
        <x:v>shared public estate</x:v>
      </x:c>
      <x:c r="G11" s="10" t="str">
        <x:v>mechanical-fluid and electric-time</x:v>
      </x:c>
      <x:c r="H11" s="28"/>
    </x:row>
    <x:row r="12">
      <x:c r="B12" s="10" t="str">
        <x:v>destructive examination cells</x:v>
      </x:c>
      <x:c r="C12" s="10" t="n">
        <x:v>3</x:v>
      </x:c>
      <x:c r="D12" s="10" t="str">
        <x:v>cells</x:v>
      </x:c>
      <x:c r="E12" s="10" t="str">
        <x:v>1/site</x:v>
      </x:c>
      <x:c r="F12" s="10" t="str">
        <x:v>shared public estate</x:v>
      </x:c>
      <x:c r="G12" s="10" t="str">
        <x:v>no home-site adjudication</x:v>
      </x:c>
      <x:c r="H12" s="28"/>
    </x:row>
    <x:row r="13">
      <x:c r="B13" s="10" t="str">
        <x:v>blind configuration shops</x:v>
      </x:c>
      <x:c r="C13" s="10" t="n">
        <x:v>3</x:v>
      </x:c>
      <x:c r="D13" s="10" t="str">
        <x:v>shops</x:v>
      </x:c>
      <x:c r="E13" s="10" t="str">
        <x:v>1/site</x:v>
      </x:c>
      <x:c r="F13" s="10" t="str">
        <x:v>shared public estate</x:v>
      </x:c>
      <x:c r="G13" s="10" t="str">
        <x:v>truth split across sites</x:v>
      </x:c>
      <x:c r="H13" s="28"/>
    </x:row>
    <x:row r="14">
      <x:c r="B14" s="10" t="str">
        <x:v>full-scale specimen positions</x:v>
      </x:c>
      <x:c r="C14" s="10" t="n">
        <x:v>84</x:v>
      </x:c>
      <x:c r="D14" s="10" t="str">
        <x:v>positions</x:v>
      </x:c>
      <x:c r="E14" s="10" t="str">
        <x:v>28/site</x:v>
      </x:c>
      <x:c r="F14" s="10" t="str">
        <x:v>shared logistics</x:v>
      </x:c>
      <x:c r="G14" s="10" t="str">
        <x:v>64 allocated plus reserve</x:v>
      </x:c>
      <x:c r="H14" s="28"/>
    </x:row>
    <x:row r="15">
      <x:c r="B15" s="10" t="str">
        <x:v>quarantine positions</x:v>
      </x:c>
      <x:c r="C15" s="10" t="n">
        <x:v>12</x:v>
      </x:c>
      <x:c r="D15" s="10" t="str">
        <x:v>positions</x:v>
      </x:c>
      <x:c r="E15" s="10" t="str">
        <x:v>4/site subset</x:v>
      </x:c>
      <x:c r="F15" s="10" t="str">
        <x:v>shared logistics</x:v>
      </x:c>
      <x:c r="G15" s="10" t="str">
        <x:v>included within 84</x:v>
      </x:c>
      <x:c r="H15" s="28"/>
    </x:row>
    <x:row r="16">
      <x:c r="B16" s="10" t="str">
        <x:v>100 t bridge cranes</x:v>
      </x:c>
      <x:c r="C16" s="10" t="n">
        <x:v>6</x:v>
      </x:c>
      <x:c r="D16" s="10" t="str">
        <x:v>cranes</x:v>
      </x:c>
      <x:c r="E16" s="10" t="str">
        <x:v>2/site</x:v>
      </x:c>
      <x:c r="F16" s="10" t="str">
        <x:v>shared public estate</x:v>
      </x:c>
      <x:c r="G16" s="10" t="str">
        <x:v>no single lift path</x:v>
      </x:c>
      <x:c r="H16" s="28"/>
    </x:row>
    <x:row r="17">
      <x:c r="B17" s="10" t="str">
        <x:v>80 t mobile gantries</x:v>
      </x:c>
      <x:c r="C17" s="10" t="n">
        <x:v>3</x:v>
      </x:c>
      <x:c r="D17" s="10" t="str">
        <x:v>gantries</x:v>
      </x:c>
      <x:c r="E17" s="10" t="str">
        <x:v>1/site</x:v>
      </x:c>
      <x:c r="F17" s="10" t="str">
        <x:v>shared public estate</x:v>
      </x:c>
      <x:c r="G17" s="10" t="str">
        <x:v>alternate recovery</x:v>
      </x:c>
      <x:c r="H17" s="28"/>
    </x:row>
    <x:row r="18">
      <x:c r="B18" s="10" t="str">
        <x:v>self-propelled transporters</x:v>
      </x:c>
      <x:c r="C18" s="10" t="n">
        <x:v>6</x:v>
      </x:c>
      <x:c r="D18" s="10" t="str">
        <x:v>transporters</x:v>
      </x:c>
      <x:c r="E18" s="10" t="str">
        <x:v>2/site</x:v>
      </x:c>
      <x:c r="F18" s="10" t="str">
        <x:v>shared public estate</x:v>
      </x:c>
      <x:c r="G18" s="10" t="str">
        <x:v>root-neutral custody</x:v>
      </x:c>
      <x:c r="H18" s="28"/>
    </x:row>
    <x:row r="19">
      <x:c r="B19" s="10" t="str">
        <x:v>treated process water</x:v>
      </x:c>
      <x:c r="C19" s="10" t="n">
        <x:v>1200</x:v>
      </x:c>
      <x:c r="D19" s="10" t="str">
        <x:v>m3</x:v>
      </x:c>
      <x:c r="E19" s="10" t="str">
        <x:v>400/site</x:v>
      </x:c>
      <x:c r="F19" s="10" t="str">
        <x:v>shared public estate</x:v>
      </x:c>
      <x:c r="G19" s="10" t="str">
        <x:v>closed test inventory</x:v>
      </x:c>
      <x:c r="H19" s="28"/>
    </x:row>
    <x:row r="20">
      <x:c r="B20" s="10" t="str">
        <x:v>quarantine water</x:v>
      </x:c>
      <x:c r="C20" s="10" t="n">
        <x:v>1800</x:v>
      </x:c>
      <x:c r="D20" s="10" t="str">
        <x:v>m3</x:v>
      </x:c>
      <x:c r="E20" s="10" t="str">
        <x:v>600/site</x:v>
      </x:c>
      <x:c r="F20" s="10" t="str">
        <x:v>shared public estate</x:v>
      </x:c>
      <x:c r="G20" s="10" t="str">
        <x:v>no discharge for credit</x:v>
      </x:c>
      <x:c r="H20" s="28"/>
    </x:row>
    <x:row r="21">
      <x:c r="B21" s="10" t="str">
        <x:v>fire water</x:v>
      </x:c>
      <x:c r="C21" s="10" t="n">
        <x:v>3600</x:v>
      </x:c>
      <x:c r="D21" s="10" t="str">
        <x:v>m3</x:v>
      </x:c>
      <x:c r="E21" s="10" t="str">
        <x:v>1,200/site</x:v>
      </x:c>
      <x:c r="F21" s="10" t="str">
        <x:v>shared public estate</x:v>
      </x:c>
      <x:c r="G21" s="10" t="str">
        <x:v>independent fire inventory</x:v>
      </x:c>
      <x:c r="H21" s="28"/>
    </x:row>
    <x:row r="22">
      <x:c r="B22" s="10" t="str">
        <x:v>utility intake</x:v>
      </x:c>
      <x:c r="C22" s="10" t="n">
        <x:v>90</x:v>
      </x:c>
      <x:c r="D22" s="10" t="str">
        <x:v>MW</x:v>
      </x:c>
      <x:c r="E22" s="10" t="str">
        <x:v>30/site</x:v>
      </x:c>
      <x:c r="F22" s="10" t="str">
        <x:v>shared public estate</x:v>
      </x:c>
      <x:c r="G22" s="10" t="str">
        <x:v>two feeder paths</x:v>
      </x:c>
      <x:c r="H22" s="28"/>
    </x:row>
    <x:row r="23">
      <x:c r="B23" s="10" t="str">
        <x:v>islanded critical capacity</x:v>
      </x:c>
      <x:c r="C23" s="10" t="n">
        <x:v>18</x:v>
      </x:c>
      <x:c r="D23" s="10" t="str">
        <x:v>MW</x:v>
      </x:c>
      <x:c r="E23" s="10" t="str">
        <x:v>6/site</x:v>
      </x:c>
      <x:c r="F23" s="10" t="str">
        <x:v>shared public estate</x:v>
      </x:c>
      <x:c r="G23" s="10" t="str">
        <x:v>safe state and evidence</x:v>
      </x:c>
      <x:c r="H23" s="28"/>
    </x:row>
    <x:row r="24">
      <x:c r="B24" s="10" t="str">
        <x:v>stored electric energy</x:v>
      </x:c>
      <x:c r="C24" s="10" t="n">
        <x:v>15</x:v>
      </x:c>
      <x:c r="D24" s="10" t="str">
        <x:v>MWh</x:v>
      </x:c>
      <x:c r="E24" s="10" t="str">
        <x:v>5/site</x:v>
      </x:c>
      <x:c r="F24" s="10" t="str">
        <x:v>shared public estate</x:v>
      </x:c>
      <x:c r="G24" s="10" t="str">
        <x:v>black start and holdover</x:v>
      </x:c>
      <x:c r="H24" s="28"/>
    </x:row>
    <x:row r="25">
      <x:c r="B25" s="10" t="str">
        <x:v>evidence storage</x:v>
      </x:c>
      <x:c r="C25" s="10" t="n">
        <x:v>576</x:v>
      </x:c>
      <x:c r="D25" s="10" t="str">
        <x:v>TB usable</x:v>
      </x:c>
      <x:c r="E25" s="10" t="str">
        <x:v>192/site</x:v>
      </x:c>
      <x:c r="F25" s="10" t="str">
        <x:v>shared public estate</x:v>
      </x:c>
      <x:c r="G25" s="10" t="str">
        <x:v>six 96 TB vaults</x:v>
      </x:c>
      <x:c r="H25" s="28"/>
    </x:row>
    <x:row r="26">
      <x:c r="B26" s="10" t="str">
        <x:v>conditioned truth-object positions</x:v>
      </x:c>
      <x:c r="C26" s="10" t="n">
        <x:v>3360</x:v>
      </x:c>
      <x:c r="D26" s="10" t="str">
        <x:v>positions</x:v>
      </x:c>
      <x:c r="E26" s="10" t="str">
        <x:v>1,120/site</x:v>
      </x:c>
      <x:c r="F26" s="10" t="str">
        <x:v>SDEC-specific</x:v>
      </x:c>
      <x:c r="G26" s="10" t="str">
        <x:v>2,784 objects plus reserve</x:v>
      </x:c>
      <x:c r="H26" s="28"/>
    </x:row>
    <x:row r="27">
      <x:c r="B27" s="10" t="str">
        <x:v>traveling transfer packages</x:v>
      </x:c>
      <x:c r="C27" s="10" t="n">
        <x:v>12</x:v>
      </x:c>
      <x:c r="D27" s="10" t="str">
        <x:v>packages</x:v>
      </x:c>
      <x:c r="E27" s="10" t="str">
        <x:v>4/site</x:v>
      </x:c>
      <x:c r="F27" s="10" t="str">
        <x:v>shared public estate</x:v>
      </x:c>
      <x:c r="G27" s="10" t="str">
        <x:v>one registered package per lane</x:v>
      </x:c>
      <x:c r="H27" s="28"/>
    </x:row>
    <x:row r="28">
      <x:c r="B28" s="10" t="str">
        <x:v>high-force containment lanes</x:v>
      </x:c>
      <x:c r="C28" s="10" t="n">
        <x:v>4</x:v>
      </x:c>
      <x:c r="D28" s="10" t="str">
        <x:v>lanes</x:v>
      </x:c>
      <x:c r="E28" s="10" t="str">
        <x:v>distributed</x:v>
      </x:c>
      <x:c r="F28" s="10" t="str">
        <x:v>CISA-specific</x:v>
      </x:c>
      <x:c r="G28" s="10" t="str">
        <x:v>SA1 and SA2</x:v>
      </x:c>
      <x:c r="H28" s="28"/>
    </x:row>
    <x:row r="29">
      <x:c r="B29" s="10" t="str">
        <x:v>hydraulic containment lanes</x:v>
      </x:c>
      <x:c r="C29" s="10" t="n">
        <x:v>2</x:v>
      </x:c>
      <x:c r="D29" s="10" t="str">
        <x:v>lanes</x:v>
      </x:c>
      <x:c r="E29" s="10" t="str">
        <x:v>A/C</x:v>
      </x:c>
      <x:c r="F29" s="10" t="str">
        <x:v>CISA-specific</x:v>
      </x:c>
      <x:c r="G29" s="10" t="str">
        <x:v>SA3</x:v>
      </x:c>
      <x:c r="H29" s="28"/>
    </x:row>
    <x:row r="30">
      <x:c r="B30" s="10" t="str">
        <x:v>arc and fault cells</x:v>
      </x:c>
      <x:c r="C30" s="10" t="n">
        <x:v>2</x:v>
      </x:c>
      <x:c r="D30" s="10" t="str">
        <x:v>cells</x:v>
      </x:c>
      <x:c r="E30" s="10" t="str">
        <x:v>B/C</x:v>
      </x:c>
      <x:c r="F30" s="10" t="str">
        <x:v>CISA-specific</x:v>
      </x:c>
      <x:c r="G30" s="10" t="str">
        <x:v>SA4</x:v>
      </x:c>
      <x:c r="H30" s="28"/>
    </x:row>
    <x:row r="31">
      <x:c r="B31" s="10" t="str">
        <x:v>thermal cells</x:v>
      </x:c>
      <x:c r="C31" s="10" t="n">
        <x:v>2</x:v>
      </x:c>
      <x:c r="D31" s="10" t="str">
        <x:v>cells</x:v>
      </x:c>
      <x:c r="E31" s="10" t="str">
        <x:v>A/B</x:v>
      </x:c>
      <x:c r="F31" s="10" t="str">
        <x:v>CISA-specific</x:v>
      </x:c>
      <x:c r="G31" s="10" t="str">
        <x:v>SA5</x:v>
      </x:c>
      <x:c r="H31" s="28"/>
    </x:row>
    <x:row r="32">
      <x:c r="B32" s="11" t="str">
        <x:v>hazardous-fluid cells</x:v>
      </x:c>
      <x:c r="C32" s="11" t="n">
        <x:v>2</x:v>
      </x:c>
      <x:c r="D32" s="11" t="str">
        <x:v>cells</x:v>
      </x:c>
      <x:c r="E32" s="11" t="str">
        <x:v>B/C</x:v>
      </x:c>
      <x:c r="F32" s="11" t="str">
        <x:v>CISA-specific</x:v>
      </x:c>
      <x:c r="G32" s="11" t="str">
        <x:v>SA6</x:v>
      </x:c>
      <x:c r="H32" s="28"/>
    </x:row>
  </x:sheetData>
  <x:mergeCells>
    <x:mergeCell ref="B2:H2"/>
    <x:mergeCell ref="B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24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</x:cols>
  <x:sheetData>
    <x:row r="2">
      <x:c r="B2" s="27" t="str">
        <x:v>Campus utilities and isolation reserves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B3" s="29" t="str">
        <x:v>All four lane peaks are visible. The scheduler may limit concurrency but cannot consume critical safe-state capacity.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B6" s="8" t="str">
        <x:v>Site</x:v>
      </x:c>
      <x:c r="C6" s="8" t="str">
        <x:v>Lane set</x:v>
      </x:c>
      <x:c r="D6" s="8" t="str">
        <x:v>Common load MW</x:v>
      </x:c>
      <x:c r="E6" s="8" t="str">
        <x:v>Lane 1 MW</x:v>
      </x:c>
      <x:c r="F6" s="8" t="str">
        <x:v>Lane 2 MW</x:v>
      </x:c>
      <x:c r="G6" s="8" t="str">
        <x:v>Lane 3 MW</x:v>
      </x:c>
      <x:c r="H6" s="8" t="str">
        <x:v>Lane 4 MW</x:v>
      </x:c>
      <x:c r="I6" s="8" t="str">
        <x:v>Peak MW</x:v>
      </x:c>
      <x:c r="J6" s="8" t="str">
        <x:v>Intake MW</x:v>
      </x:c>
      <x:c r="K6" s="8" t="str">
        <x:v>Reserve MW</x:v>
      </x:c>
      <x:c r="L6" s="8" t="str">
        <x:v>Critical load MW</x:v>
      </x:c>
      <x:c r="M6" s="8" t="str">
        <x:v>Island capacity MW</x:v>
      </x:c>
      <x:c r="N6" s="8" t="str">
        <x:v>Critical reserve MW</x:v>
      </x:c>
      <x:c r="O6" s="8" t="str">
        <x:v>State</x:v>
      </x:c>
    </x:row>
    <x:row r="7">
      <x:c r="B7" s="10" t="str">
        <x:v>PTC-A</x:v>
      </x:c>
      <x:c r="C7" s="10" t="str">
        <x:v>SA1/SA2/SA3/SA5</x:v>
      </x:c>
      <x:c r="D7" s="10" t="n">
        <x:v>2</x:v>
      </x:c>
      <x:c r="E7" s="10" t="n">
        <x:v>4</x:v>
      </x:c>
      <x:c r="F7" s="10" t="n">
        <x:v>5</x:v>
      </x:c>
      <x:c r="G7" s="10" t="n">
        <x:v>3</x:v>
      </x:c>
      <x:c r="H7" s="10" t="n">
        <x:v>8</x:v>
      </x:c>
      <x:c r="I7" s="10" t="n">
        <x:f>SUM(D7:H7)</x:f>
        <x:v>22</x:v>
      </x:c>
      <x:c r="J7" s="10" t="n">
        <x:f>'Controls'!$D$26</x:f>
        <x:v>30</x:v>
      </x:c>
      <x:c r="K7" s="10" t="n">
        <x:f>J7-I7</x:f>
        <x:v>8</x:v>
      </x:c>
      <x:c r="L7" s="10" t="n">
        <x:v>3.2</x:v>
      </x:c>
      <x:c r="M7" s="10" t="n">
        <x:f>'Controls'!$D$27</x:f>
        <x:v>6</x:v>
      </x:c>
      <x:c r="N7" s="10" t="n">
        <x:f>M7-L7</x:f>
        <x:v>2.8</x:v>
      </x:c>
      <x:c r="O7" s="10" t="str">
        <x:f>IF(AND(K7&gt;=0,N7&gt;=0),"PASS","FAIL")</x:f>
        <x:v>PASS</x:v>
      </x:c>
    </x:row>
    <x:row r="8">
      <x:c r="B8" s="10" t="str">
        <x:v>PTC-B</x:v>
      </x:c>
      <x:c r="C8" s="10" t="str">
        <x:v>SA1/SA4/SA5/SA6</x:v>
      </x:c>
      <x:c r="D8" s="10" t="n">
        <x:v>2</x:v>
      </x:c>
      <x:c r="E8" s="10" t="n">
        <x:v>4</x:v>
      </x:c>
      <x:c r="F8" s="10" t="n">
        <x:v>5</x:v>
      </x:c>
      <x:c r="G8" s="10" t="n">
        <x:v>8</x:v>
      </x:c>
      <x:c r="H8" s="10" t="n">
        <x:v>4</x:v>
      </x:c>
      <x:c r="I8" s="10" t="n">
        <x:f>SUM(D8:H8)</x:f>
        <x:v>23</x:v>
      </x:c>
      <x:c r="J8" s="10" t="n">
        <x:f>'Controls'!$D$26</x:f>
        <x:v>30</x:v>
      </x:c>
      <x:c r="K8" s="10" t="n">
        <x:f>J8-I8</x:f>
        <x:v>7</x:v>
      </x:c>
      <x:c r="L8" s="10" t="n">
        <x:v>3.6</x:v>
      </x:c>
      <x:c r="M8" s="10" t="n">
        <x:f>'Controls'!$D$27</x:f>
        <x:v>6</x:v>
      </x:c>
      <x:c r="N8" s="10" t="n">
        <x:f>M8-L8</x:f>
        <x:v>2.4</x:v>
      </x:c>
      <x:c r="O8" s="10" t="str">
        <x:f>IF(AND(K8&gt;=0,N8&gt;=0),"PASS","FAIL")</x:f>
        <x:v>PASS</x:v>
      </x:c>
    </x:row>
    <x:row r="9">
      <x:c r="B9" s="10" t="str">
        <x:v>PTC-C</x:v>
      </x:c>
      <x:c r="C9" s="10" t="str">
        <x:v>SA2/SA3/SA4/SA6</x:v>
      </x:c>
      <x:c r="D9" s="10" t="n">
        <x:v>2</x:v>
      </x:c>
      <x:c r="E9" s="10" t="n">
        <x:v>5</x:v>
      </x:c>
      <x:c r="F9" s="10" t="n">
        <x:v>3</x:v>
      </x:c>
      <x:c r="G9" s="10" t="n">
        <x:v>5</x:v>
      </x:c>
      <x:c r="H9" s="10" t="n">
        <x:v>4</x:v>
      </x:c>
      <x:c r="I9" s="10" t="n">
        <x:f>SUM(D9:H9)</x:f>
        <x:v>19</x:v>
      </x:c>
      <x:c r="J9" s="10" t="n">
        <x:f>'Controls'!$D$26</x:f>
        <x:v>30</x:v>
      </x:c>
      <x:c r="K9" s="10" t="n">
        <x:f>J9-I9</x:f>
        <x:v>11</x:v>
      </x:c>
      <x:c r="L9" s="10" t="n">
        <x:v>3.4</x:v>
      </x:c>
      <x:c r="M9" s="10" t="n">
        <x:f>'Controls'!$D$27</x:f>
        <x:v>6</x:v>
      </x:c>
      <x:c r="N9" s="10" t="n">
        <x:f>M9-L9</x:f>
        <x:v>2.6</x:v>
      </x:c>
      <x:c r="O9" s="10" t="str">
        <x:f>IF(AND(K9&gt;=0,N9&gt;=0),"PASS","FAIL")</x:f>
        <x:v>PASS</x:v>
      </x:c>
    </x:row>
    <x:row r="10"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>
      <x:c r="B13" s="18" t="str">
        <x:v>Fluid, heat and hazardous inventory</x:v>
      </x:c>
      <x:c r="C13" s="18" t="str">
        <x:v>Fluid, heat and hazardous inventory</x:v>
      </x:c>
      <x:c r="D13" s="18" t="str">
        <x:v>Fluid, heat and hazardous inventory</x:v>
      </x:c>
      <x:c r="E13" s="18" t="str">
        <x:v>Fluid, heat and hazardous inventory</x:v>
      </x:c>
      <x:c r="F13" s="18" t="str">
        <x:v>Fluid, heat and hazardous inventory</x:v>
      </x:c>
      <x:c r="G13" s="18" t="str">
        <x:v>Fluid, heat and hazardous inventory</x:v>
      </x:c>
      <x:c r="H13" s="18" t="str">
        <x:v>Fluid, heat and hazardous inventory</x:v>
      </x:c>
      <x:c r="I13" s="18" t="str">
        <x:v>Fluid, heat and hazardous inventory</x:v>
      </x:c>
      <x:c r="J13" s="18" t="str">
        <x:v>Fluid, heat and hazardous inventory</x:v>
      </x:c>
      <x:c r="K13" s="18" t="str">
        <x:v>Fluid, heat and hazardous inventory</x:v>
      </x:c>
      <x:c r="L13" s="18" t="str">
        <x:v>Fluid, heat and hazardous inventory</x:v>
      </x:c>
      <x:c r="M13" s="18" t="str">
        <x:v>Fluid, heat and hazardous inventory</x:v>
      </x:c>
      <x:c r="N13" s="18" t="str">
        <x:v>Fluid, heat and hazardous inventory</x:v>
      </x:c>
      <x:c r="O13" s="18" t="str">
        <x:v>Fluid, heat and hazardous inventory</x:v>
      </x:c>
    </x:row>
    <x:row r="14">
      <x:c r="B14" s="8" t="str">
        <x:v>Site</x:v>
      </x:c>
      <x:c r="C14" s="8" t="str">
        <x:v>Process water m3</x:v>
      </x:c>
      <x:c r="D14" s="8" t="str">
        <x:v>Quarantine m3</x:v>
      </x:c>
      <x:c r="E14" s="8" t="str">
        <x:v>Fire water m3</x:v>
      </x:c>
      <x:c r="F14" s="8" t="str">
        <x:v>Thermal sink MW</x:v>
      </x:c>
      <x:c r="G14" s="8" t="str">
        <x:v>Liquid fuel t</x:v>
      </x:c>
      <x:c r="H14" s="8" t="str">
        <x:v>DME t</x:v>
      </x:c>
      <x:c r="I14" s="8" t="str">
        <x:v>Inventory state</x:v>
      </x:c>
      <x:c r="J14" s="10"/>
      <x:c r="K14" s="10"/>
      <x:c r="L14" s="10"/>
      <x:c r="M14" s="10"/>
      <x:c r="N14" s="10"/>
      <x:c r="O14" s="10"/>
    </x:row>
    <x:row r="15">
      <x:c r="B15" s="10" t="str">
        <x:v>PTC-A</x:v>
      </x:c>
      <x:c r="C15" s="10" t="n">
        <x:v>400</x:v>
      </x:c>
      <x:c r="D15" s="10" t="n">
        <x:v>600</x:v>
      </x:c>
      <x:c r="E15" s="10" t="n">
        <x:v>1200</x:v>
      </x:c>
      <x:c r="F15" s="10" t="n">
        <x:v>12</x:v>
      </x:c>
      <x:c r="G15" s="10" t="n">
        <x:v>0</x:v>
      </x:c>
      <x:c r="H15" s="10" t="n">
        <x:v>0</x:v>
      </x:c>
      <x:c r="I15" s="10" t="str">
        <x:f>IF(AND(C15&gt;='Controls'!$D$23,D15&gt;='Controls'!$D$24,E15&gt;='Controls'!$D$25),"PASS","FAIL")</x:f>
        <x:v>PASS</x:v>
      </x:c>
      <x:c r="J15" s="10"/>
      <x:c r="K15" s="10"/>
      <x:c r="L15" s="10"/>
      <x:c r="M15" s="10"/>
      <x:c r="N15" s="10"/>
      <x:c r="O15" s="10"/>
    </x:row>
    <x:row r="16">
      <x:c r="B16" s="10" t="str">
        <x:v>PTC-B</x:v>
      </x:c>
      <x:c r="C16" s="10" t="n">
        <x:v>400</x:v>
      </x:c>
      <x:c r="D16" s="10" t="n">
        <x:v>600</x:v>
      </x:c>
      <x:c r="E16" s="10" t="n">
        <x:v>1200</x:v>
      </x:c>
      <x:c r="F16" s="10" t="n">
        <x:v>12</x:v>
      </x:c>
      <x:c r="G16" s="10" t="n">
        <x:v>12</x:v>
      </x:c>
      <x:c r="H16" s="10" t="n">
        <x:v>12</x:v>
      </x:c>
      <x:c r="I16" s="10" t="str">
        <x:f>IF(AND(C16&gt;='Controls'!$D$23,D16&gt;='Controls'!$D$24,E16&gt;='Controls'!$D$25),"PASS","FAIL")</x:f>
        <x:v>PASS</x:v>
      </x:c>
      <x:c r="J16" s="10"/>
      <x:c r="K16" s="10"/>
      <x:c r="L16" s="10"/>
      <x:c r="M16" s="10"/>
      <x:c r="N16" s="10"/>
      <x:c r="O16" s="10"/>
    </x:row>
    <x:row r="17">
      <x:c r="B17" s="11" t="str">
        <x:v>PTC-C</x:v>
      </x:c>
      <x:c r="C17" s="11" t="n">
        <x:v>400</x:v>
      </x:c>
      <x:c r="D17" s="11" t="n">
        <x:v>600</x:v>
      </x:c>
      <x:c r="E17" s="11" t="n">
        <x:v>1200</x:v>
      </x:c>
      <x:c r="F17" s="11" t="n">
        <x:v>8</x:v>
      </x:c>
      <x:c r="G17" s="11" t="n">
        <x:v>12</x:v>
      </x:c>
      <x:c r="H17" s="11" t="n">
        <x:v>12</x:v>
      </x:c>
      <x:c r="I17" s="11" t="str">
        <x:f>IF(AND(C17&gt;='Controls'!$D$23,D17&gt;='Controls'!$D$24,E17&gt;='Controls'!$D$25),"PASS","FAIL")</x:f>
        <x:v>PASS</x:v>
      </x:c>
      <x:c r="J17" s="11"/>
      <x:c r="K17" s="11"/>
      <x:c r="L17" s="11"/>
      <x:c r="M17" s="11"/>
      <x:c r="N17" s="11"/>
      <x:c r="O17" s="11"/>
    </x:row>
  </x:sheetData>
  <x:mergeCells>
    <x:mergeCell ref="B2:O2"/>
    <x:mergeCell ref="B3:O3"/>
    <x:mergeCell ref="B13:O13"/>
  </x:mergeCells>
  <x:conditionalFormatting sqref="O7:O9">
    <x:cfRule type="containsText" dxfId="56" priority="1" operator="containsText" text="PASS"/>
    <x:cfRule type="containsText" dxfId="57" priority="2" operator="containsText" text="AUTHORIZED"/>
    <x:cfRule type="containsText" dxfId="58" priority="3" operator="containsText" text="DEFINED"/>
    <x:cfRule type="containsText" dxfId="59" priority="4" operator="containsText" text="READY"/>
    <x:cfRule type="containsText" dxfId="60" priority="5" operator="containsText" text="HOLD"/>
    <x:cfRule type="containsText" dxfId="61" priority="6" operator="containsText" text="OPEN"/>
    <x:cfRule type="containsText" dxfId="62" priority="7" operator="containsText" text="BLOCKED"/>
    <x:cfRule type="containsText" dxfId="63" priority="8" operator="containsText" text="PLANNING"/>
    <x:cfRule type="containsText" dxfId="64" priority="9" operator="containsText" text="QUARANTINE"/>
    <x:cfRule type="containsText" dxfId="65" priority="10" operator="containsText" text="INDETERMINATE"/>
    <x:cfRule type="containsText" dxfId="66" priority="11" operator="containsText" text="FAIL"/>
    <x:cfRule type="containsText" dxfId="67" priority="12" operator="containsText" text="REJECT"/>
    <x:cfRule type="containsText" dxfId="68" priority="13" operator="containsText" text="INVALID"/>
    <x:cfRule type="containsText" dxfId="69" priority="14" operator="containsText" text="STOP"/>
  </x:conditionalFormatting>
  <x:conditionalFormatting sqref="I15:I17">
    <x:cfRule type="containsText" dxfId="70" priority="15" operator="containsText" text="PASS"/>
    <x:cfRule type="containsText" dxfId="71" priority="16" operator="containsText" text="AUTHORIZED"/>
    <x:cfRule type="containsText" dxfId="72" priority="17" operator="containsText" text="DEFINED"/>
    <x:cfRule type="containsText" dxfId="73" priority="18" operator="containsText" text="READY"/>
    <x:cfRule type="containsText" dxfId="74" priority="19" operator="containsText" text="HOLD"/>
    <x:cfRule type="containsText" dxfId="75" priority="20" operator="containsText" text="OPEN"/>
    <x:cfRule type="containsText" dxfId="76" priority="21" operator="containsText" text="BLOCKED"/>
    <x:cfRule type="containsText" dxfId="77" priority="22" operator="containsText" text="PLANNING"/>
    <x:cfRule type="containsText" dxfId="78" priority="23" operator="containsText" text="QUARANTINE"/>
    <x:cfRule type="containsText" dxfId="79" priority="24" operator="containsText" text="INDETERMINATE"/>
    <x:cfRule type="containsText" dxfId="80" priority="25" operator="containsText" text="FAIL"/>
    <x:cfRule type="containsText" dxfId="81" priority="26" operator="containsText" text="REJECT"/>
    <x:cfRule type="containsText" dxfId="82" priority="27" operator="containsText" text="INVALID"/>
    <x:cfRule type="containsText" dxfId="83" priority="28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0" hidden="0" customWidth="1"/>
    <x:col min="4" max="4" width="36" hidden="0" customWidth="1"/>
    <x:col min="5" max="5" width="42" hidden="0" customWidth="1"/>
    <x:col min="6" max="6" width="46" hidden="0" customWidth="1"/>
    <x:col min="7" max="7" width="17" hidden="0" customWidth="1"/>
    <x:col min="8" max="8" width="16" hidden="0" customWidth="1"/>
  </x:cols>
  <x:sheetData>
    <x:row r="2">
      <x:c r="B2" s="27" t="str">
        <x:v>Lane containment and automatic recovery envelopes</x:v>
      </x:c>
      <x:c r="C2" s="28"/>
      <x:c r="D2" s="28"/>
      <x:c r="E2" s="28"/>
      <x:c r="F2" s="28"/>
      <x:c r="G2" s="28"/>
      <x:c r="H2" s="28"/>
      <x:c r="I2" s="28"/>
    </x:row>
    <x:row r="3">
      <x:c r="B3" s="29" t="str">
        <x:v>Values are facility design hypotheses. Hazard analyses and demonstrated source envelopes remain physical prerequisites.</x:v>
      </x:c>
      <x:c r="C3" s="28"/>
      <x:c r="D3" s="28"/>
      <x:c r="E3" s="28"/>
      <x:c r="F3" s="28"/>
      <x:c r="G3" s="28"/>
      <x:c r="H3" s="28"/>
      <x:c r="I3" s="28"/>
    </x:row>
    <x:row r="4">
      <x:c r="B4" s="30"/>
      <x:c r="C4" s="30"/>
      <x:c r="D4" s="30"/>
      <x:c r="E4" s="30"/>
      <x:c r="F4" s="30"/>
      <x:c r="G4" s="30"/>
      <x:c r="H4" s="30"/>
      <x:c r="I4" s="30"/>
    </x:row>
    <x:row r="5">
      <x:c r="B5" s="28"/>
      <x:c r="C5" s="28"/>
      <x:c r="D5" s="28"/>
      <x:c r="E5" s="28"/>
      <x:c r="F5" s="28"/>
      <x:c r="G5" s="28"/>
      <x:c r="H5" s="28"/>
      <x:c r="I5" s="28"/>
    </x:row>
    <x:row r="6">
      <x:c r="B6" s="8" t="str">
        <x:v>Family</x:v>
      </x:c>
      <x:c r="C6" s="8" t="str">
        <x:v>Lanes</x:v>
      </x:c>
      <x:c r="D6" s="8" t="str">
        <x:v>Stimulus or inventory</x:v>
      </x:c>
      <x:c r="E6" s="8" t="str">
        <x:v>Containment basis</x:v>
      </x:c>
      <x:c r="F6" s="8" t="str">
        <x:v>Automatic recovery</x:v>
      </x:c>
      <x:c r="G6" s="8" t="str">
        <x:v>Accepted source</x:v>
      </x:c>
      <x:c r="H6" s="8" t="str">
        <x:v>Physical state</x:v>
      </x:c>
      <x:c r="I6" s="28"/>
    </x:row>
    <x:row r="7">
      <x:c r="B7" s="10" t="str">
        <x:v>SA1</x:v>
      </x:c>
      <x:c r="C7" s="10" t="n">
        <x:v>2</x:v>
      </x:c>
      <x:c r="D7" s="10" t="str">
        <x:v>5 MN vertical; 2 MN lateral</x:v>
      </x:c>
      <x:c r="E7" s="10" t="str">
        <x:v>300 mm imposed settlement</x:v>
      </x:c>
      <x:c r="F7" s="10" t="str">
        <x:v>mechanical catches and remote unload</x:v>
      </x:c>
      <x:c r="G7" s="12" t="n">
        <x:v>0</x:v>
      </x:c>
      <x:c r="H7" s="10" t="str">
        <x:f>IF(G7=1,"PASS","OPEN")</x:f>
        <x:v>OPEN</x:v>
      </x:c>
      <x:c r="I7" s="28"/>
    </x:row>
    <x:row r="8">
      <x:c r="B8" s="10" t="str">
        <x:v>SA2</x:v>
      </x:c>
      <x:c r="C8" s="10" t="n">
        <x:v>2</x:v>
      </x:c>
      <x:c r="D8" s="10" t="str">
        <x:v>3 MN force; 4 MN-m moment</x:v>
      </x:c>
      <x:c r="E8" s="10" t="str">
        <x:v>three vectors and one-node loss</x:v>
      </x:c>
      <x:c r="F8" s="10" t="str">
        <x:v>capture frame and independent recovery</x:v>
      </x:c>
      <x:c r="G8" s="12" t="n">
        <x:v>0</x:v>
      </x:c>
      <x:c r="H8" s="10" t="str">
        <x:f>IF(G8=1,"PASS","OPEN")</x:f>
        <x:v>OPEN</x:v>
      </x:c>
      <x:c r="I8" s="28"/>
    </x:row>
    <x:row r="9">
      <x:c r="B9" s="10" t="str">
        <x:v>SA3</x:v>
      </x:c>
      <x:c r="C9" s="10" t="n">
        <x:v>2</x:v>
      </x:c>
      <x:c r="D9" s="10" t="str">
        <x:v>1.5 MPa; 60 m3 active</x:v>
      </x:c>
      <x:c r="E9" s="10" t="str">
        <x:v>90 m3 contained recovery</x:v>
      </x:c>
      <x:c r="F9" s="10" t="str">
        <x:v>two-end isolation and captured dump</x:v>
      </x:c>
      <x:c r="G9" s="12" t="n">
        <x:v>0</x:v>
      </x:c>
      <x:c r="H9" s="10" t="str">
        <x:f>IF(G9=1,"PASS","OPEN")</x:f>
        <x:v>OPEN</x:v>
      </x:c>
      <x:c r="I9" s="28"/>
    </x:row>
    <x:row r="10">
      <x:c r="B10" s="10" t="str">
        <x:v>SA4</x:v>
      </x:c>
      <x:c r="C10" s="10" t="n">
        <x:v>2</x:v>
      </x:c>
      <x:c r="D10" s="10" t="str">
        <x:v>20 kA; 1 kV; 40 MJ source</x:v>
      </x:c>
      <x:c r="E10" s="10" t="str">
        <x:v>100 MJ arc and fragment enclosure</x:v>
      </x:c>
      <x:c r="F10" s="10" t="str">
        <x:v>upstream isolation and residual-energy proof</x:v>
      </x:c>
      <x:c r="G10" s="12" t="n">
        <x:v>0</x:v>
      </x:c>
      <x:c r="H10" s="10" t="str">
        <x:f>IF(G10=1,"PASS","OPEN")</x:f>
        <x:v>OPEN</x:v>
      </x:c>
      <x:c r="I10" s="28"/>
    </x:row>
    <x:row r="11">
      <x:c r="B11" s="10" t="str">
        <x:v>SA5</x:v>
      </x:c>
      <x:c r="C11" s="10" t="n">
        <x:v>2</x:v>
      </x:c>
      <x:c r="D11" s="10" t="str">
        <x:v>5 MW continuous; 8 MW transient</x:v>
      </x:c>
      <x:c r="E11" s="10" t="str">
        <x:v>site heat sink and separated fire zone</x:v>
      </x:c>
      <x:c r="F11" s="10" t="str">
        <x:v>thermal isolation and independent evidence power</x:v>
      </x:c>
      <x:c r="G11" s="12" t="n">
        <x:v>0</x:v>
      </x:c>
      <x:c r="H11" s="10" t="str">
        <x:f>IF(G11=1,"PASS","OPEN")</x:f>
        <x:v>OPEN</x:v>
      </x:c>
      <x:c r="I11" s="28"/>
    </x:row>
    <x:row r="12">
      <x:c r="B12" s="11" t="str">
        <x:v>SA6</x:v>
      </x:c>
      <x:c r="C12" s="11" t="n">
        <x:v>2</x:v>
      </x:c>
      <x:c r="D12" s="11" t="str">
        <x:v>8 t water; 8 t fuel-equivalent rack</x:v>
      </x:c>
      <x:c r="E12" s="11" t="str">
        <x:v>40 m3 segregated capture</x:v>
      </x:c>
      <x:c r="F12" s="11" t="str">
        <x:v>independent fluid isolation and quarantine</x:v>
      </x:c>
      <x:c r="G12" s="13" t="n">
        <x:v>0</x:v>
      </x:c>
      <x:c r="H12" s="11" t="str">
        <x:f>IF(G12=1,"PASS","OPEN")</x:f>
        <x:v>OPEN</x:v>
      </x:c>
      <x:c r="I12" s="28"/>
    </x:row>
  </x:sheetData>
  <x:mergeCells>
    <x:mergeCell ref="B2:I2"/>
    <x:mergeCell ref="B3:I3"/>
  </x:mergeCells>
  <x:conditionalFormatting sqref="H7:H12">
    <x:cfRule type="containsText" dxfId="84" priority="1" operator="containsText" text="PASS"/>
    <x:cfRule type="containsText" dxfId="85" priority="2" operator="containsText" text="AUTHORIZED"/>
    <x:cfRule type="containsText" dxfId="86" priority="3" operator="containsText" text="DEFINED"/>
    <x:cfRule type="containsText" dxfId="87" priority="4" operator="containsText" text="READY"/>
    <x:cfRule type="containsText" dxfId="88" priority="5" operator="containsText" text="HOLD"/>
    <x:cfRule type="containsText" dxfId="89" priority="6" operator="containsText" text="OPEN"/>
    <x:cfRule type="containsText" dxfId="90" priority="7" operator="containsText" text="BLOCKED"/>
    <x:cfRule type="containsText" dxfId="91" priority="8" operator="containsText" text="PLANNING"/>
    <x:cfRule type="containsText" dxfId="92" priority="9" operator="containsText" text="QUARANTINE"/>
    <x:cfRule type="containsText" dxfId="93" priority="10" operator="containsText" text="INDETERMINATE"/>
    <x:cfRule type="containsText" dxfId="94" priority="11" operator="containsText" text="FAIL"/>
    <x:cfRule type="containsText" dxfId="95" priority="12" operator="containsText" text="REJECT"/>
    <x:cfRule type="containsText" dxfId="96" priority="13" operator="containsText" text="INVALID"/>
    <x:cfRule type="containsText" dxfId="97" priority="14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7" hidden="0" customWidth="1"/>
    <x:col min="7" max="7" width="22" hidden="0" customWidth="1"/>
    <x:col min="8" max="8" width="15" hidden="0" customWidth="1"/>
    <x:col min="9" max="9" width="22" hidden="0" customWidth="1"/>
    <x:col min="10" max="10" width="22" hidden="0" customWidth="1"/>
  </x:cols>
  <x:sheetData>
    <x:row r="2">
      <x:c r="B2" s="27" t="str">
        <x:v>Specimen, truth-object and destructive routing</x:v>
      </x:c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B3" s="29" t="str">
        <x:v>No home site performs the terminal destructive disposition on its own hosted specimens.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B6" s="8" t="str">
        <x:v>Site</x:v>
      </x:c>
      <x:c r="C6" s="8" t="str">
        <x:v>Campaign serials</x:v>
      </x:c>
      <x:c r="D6" s="8" t="str">
        <x:v>Positions</x:v>
      </x:c>
      <x:c r="E6" s="8" t="str">
        <x:v>Reserve positions</x:v>
      </x:c>
      <x:c r="F6" s="8" t="str">
        <x:v>Truth objects</x:v>
      </x:c>
      <x:c r="G6" s="8" t="str">
        <x:v>Conditioned positions</x:v>
      </x:c>
      <x:c r="H6" s="8" t="str">
        <x:v>Hosted cuts</x:v>
      </x:c>
      <x:c r="I6" s="8" t="str">
        <x:v>Outgoing route 1</x:v>
      </x:c>
      <x:c r="J6" s="8" t="str">
        <x:v>Outgoing route 2</x:v>
      </x:c>
      <x:c r="K6" s="28"/>
    </x:row>
    <x:row r="7">
      <x:c r="B7" s="10" t="str">
        <x:v>PTC-A</x:v>
      </x:c>
      <x:c r="C7" s="10" t="n">
        <x:v>20</x:v>
      </x:c>
      <x:c r="D7" s="10" t="n">
        <x:v>28</x:v>
      </x:c>
      <x:c r="E7" s="10" t="n">
        <x:v>8</x:v>
      </x:c>
      <x:c r="F7" s="10" t="n">
        <x:v>928</x:v>
      </x:c>
      <x:c r="G7" s="10" t="n">
        <x:v>1120</x:v>
      </x:c>
      <x:c r="H7" s="10" t="n">
        <x:v>20</x:v>
      </x:c>
      <x:c r="I7" s="10" t="str">
        <x:v>10 to PTC-B</x:v>
      </x:c>
      <x:c r="J7" s="10" t="str">
        <x:v>10 to PTC-C</x:v>
      </x:c>
      <x:c r="K7" s="28"/>
    </x:row>
    <x:row r="8">
      <x:c r="B8" s="10" t="str">
        <x:v>PTC-B</x:v>
      </x:c>
      <x:c r="C8" s="10" t="n">
        <x:v>20</x:v>
      </x:c>
      <x:c r="D8" s="10" t="n">
        <x:v>28</x:v>
      </x:c>
      <x:c r="E8" s="10" t="n">
        <x:v>8</x:v>
      </x:c>
      <x:c r="F8" s="10" t="n">
        <x:v>928</x:v>
      </x:c>
      <x:c r="G8" s="10" t="n">
        <x:v>1120</x:v>
      </x:c>
      <x:c r="H8" s="10" t="n">
        <x:v>20</x:v>
      </x:c>
      <x:c r="I8" s="10" t="str">
        <x:v>10 to PTC-A</x:v>
      </x:c>
      <x:c r="J8" s="10" t="str">
        <x:v>10 to PTC-C</x:v>
      </x:c>
      <x:c r="K8" s="28"/>
    </x:row>
    <x:row r="9">
      <x:c r="B9" s="10" t="str">
        <x:v>PTC-C</x:v>
      </x:c>
      <x:c r="C9" s="10" t="n">
        <x:v>24</x:v>
      </x:c>
      <x:c r="D9" s="10" t="n">
        <x:v>28</x:v>
      </x:c>
      <x:c r="E9" s="10" t="n">
        <x:v>4</x:v>
      </x:c>
      <x:c r="F9" s="10" t="n">
        <x:v>928</x:v>
      </x:c>
      <x:c r="G9" s="10" t="n">
        <x:v>1120</x:v>
      </x:c>
      <x:c r="H9" s="10" t="n">
        <x:v>20</x:v>
      </x:c>
      <x:c r="I9" s="10" t="str">
        <x:v>10 to PTC-A</x:v>
      </x:c>
      <x:c r="J9" s="10" t="str">
        <x:v>10 to PTC-B</x:v>
      </x:c>
      <x:c r="K9" s="28"/>
    </x:row>
    <x:row r="10">
      <x:c r="B10" s="10"/>
      <x:c r="C10" s="10"/>
      <x:c r="D10" s="10"/>
      <x:c r="E10" s="10"/>
      <x:c r="F10" s="10"/>
      <x:c r="G10" s="10"/>
      <x:c r="H10" s="10"/>
      <x:c r="I10" s="10"/>
      <x:c r="J10" s="10"/>
      <x:c r="K10" s="28"/>
    </x:row>
    <x:row r="11">
      <x:c r="B11" s="10"/>
      <x:c r="C11" s="10"/>
      <x:c r="D11" s="10"/>
      <x:c r="E11" s="10"/>
      <x:c r="F11" s="10"/>
      <x:c r="G11" s="10"/>
      <x:c r="H11" s="10"/>
      <x:c r="I11" s="10"/>
      <x:c r="J11" s="10"/>
      <x:c r="K11" s="28"/>
    </x:row>
    <x:row r="12">
      <x:c r="B12" s="18" t="str">
        <x:v>National reconciliation</x:v>
      </x:c>
      <x:c r="C12" s="18" t="str">
        <x:v>National reconciliation</x:v>
      </x:c>
      <x:c r="D12" s="18" t="str">
        <x:v>National reconciliation</x:v>
      </x:c>
      <x:c r="E12" s="18" t="str">
        <x:v>National reconciliation</x:v>
      </x:c>
      <x:c r="F12" s="18" t="str">
        <x:v>National reconciliation</x:v>
      </x:c>
      <x:c r="G12" s="18" t="str">
        <x:v>National reconciliation</x:v>
      </x:c>
      <x:c r="H12" s="18" t="str">
        <x:v>National reconciliation</x:v>
      </x:c>
      <x:c r="I12" s="18" t="str">
        <x:v>National reconciliation</x:v>
      </x:c>
      <x:c r="J12" s="18" t="str">
        <x:v>National reconciliation</x:v>
      </x:c>
      <x:c r="K12" s="28"/>
    </x:row>
    <x:row r="13">
      <x:c r="B13" s="8" t="str">
        <x:v>Metric</x:v>
      </x:c>
      <x:c r="C13" s="8" t="str">
        <x:v>Calculated</x:v>
      </x:c>
      <x:c r="D13" s="8" t="str">
        <x:v>Required</x:v>
      </x:c>
      <x:c r="E13" s="8" t="str">
        <x:v>Difference</x:v>
      </x:c>
      <x:c r="F13" s="8" t="str">
        <x:v>State</x:v>
      </x:c>
      <x:c r="G13" s="10"/>
      <x:c r="H13" s="10"/>
      <x:c r="I13" s="10"/>
      <x:c r="J13" s="10"/>
      <x:c r="K13" s="28"/>
    </x:row>
    <x:row r="14">
      <x:c r="B14" s="10" t="str">
        <x:v>campaign serials</x:v>
      </x:c>
      <x:c r="C14" s="10" t="n">
        <x:f>SUM(C7:C9)</x:f>
        <x:v>64</x:v>
      </x:c>
      <x:c r="D14" s="10" t="n">
        <x:f>'Controls'!$D$10</x:f>
        <x:v>64</x:v>
      </x:c>
      <x:c r="E14" s="10" t="n">
        <x:f>C14-D14</x:f>
        <x:v>0</x:v>
      </x:c>
      <x:c r="F14" s="10" t="str">
        <x:f>IF(E14=0,"PASS","FAIL")</x:f>
        <x:v>PASS</x:v>
      </x:c>
      <x:c r="G14" s="10"/>
      <x:c r="H14" s="10"/>
      <x:c r="I14" s="10"/>
      <x:c r="J14" s="10"/>
      <x:c r="K14" s="28"/>
    </x:row>
    <x:row r="15">
      <x:c r="B15" s="10" t="str">
        <x:v>specimen positions</x:v>
      </x:c>
      <x:c r="C15" s="10" t="n">
        <x:f>SUM(D7:D9)</x:f>
        <x:v>84</x:v>
      </x:c>
      <x:c r="D15" s="10" t="n">
        <x:f>'Controls'!$D$22</x:f>
        <x:v>84</x:v>
      </x:c>
      <x:c r="E15" s="10" t="n">
        <x:f>C15-D15</x:f>
        <x:v>0</x:v>
      </x:c>
      <x:c r="F15" s="10" t="str">
        <x:f>IF(E15=0,"PASS","FAIL")</x:f>
        <x:v>PASS</x:v>
      </x:c>
      <x:c r="G15" s="10"/>
      <x:c r="H15" s="10"/>
      <x:c r="I15" s="10"/>
      <x:c r="J15" s="10"/>
      <x:c r="K15" s="28"/>
    </x:row>
    <x:row r="16">
      <x:c r="B16" s="10" t="str">
        <x:v>truth objects</x:v>
      </x:c>
      <x:c r="C16" s="10" t="n">
        <x:f>SUM(F7:F9)</x:f>
        <x:v>2784</x:v>
      </x:c>
      <x:c r="D16" s="10" t="n">
        <x:v>2784</x:v>
      </x:c>
      <x:c r="E16" s="10" t="n">
        <x:f>C16-D16</x:f>
        <x:v>0</x:v>
      </x:c>
      <x:c r="F16" s="10" t="str">
        <x:f>IF(E16=0,"PASS","FAIL")</x:f>
        <x:v>PASS</x:v>
      </x:c>
      <x:c r="G16" s="10"/>
      <x:c r="H16" s="10"/>
      <x:c r="I16" s="10"/>
      <x:c r="J16" s="10"/>
      <x:c r="K16" s="28"/>
    </x:row>
    <x:row r="17">
      <x:c r="B17" s="10" t="str">
        <x:v>conditioned positions</x:v>
      </x:c>
      <x:c r="C17" s="10" t="n">
        <x:f>SUM(G7:G9)</x:f>
        <x:v>3360</x:v>
      </x:c>
      <x:c r="D17" s="10" t="n">
        <x:v>3360</x:v>
      </x:c>
      <x:c r="E17" s="10" t="n">
        <x:f>C17-D17</x:f>
        <x:v>0</x:v>
      </x:c>
      <x:c r="F17" s="10" t="str">
        <x:f>IF(E17=0,"PASS","FAIL")</x:f>
        <x:v>PASS</x:v>
      </x:c>
      <x:c r="G17" s="10"/>
      <x:c r="H17" s="10"/>
      <x:c r="I17" s="10"/>
      <x:c r="J17" s="10"/>
      <x:c r="K17" s="28"/>
    </x:row>
    <x:row r="18">
      <x:c r="B18" s="11" t="str">
        <x:v>destructive cuts</x:v>
      </x:c>
      <x:c r="C18" s="11" t="n">
        <x:f>SUM(H7:H9)</x:f>
        <x:v>60</x:v>
      </x:c>
      <x:c r="D18" s="11" t="n">
        <x:v>60</x:v>
      </x:c>
      <x:c r="E18" s="11" t="n">
        <x:f>C18-D18</x:f>
        <x:v>0</x:v>
      </x:c>
      <x:c r="F18" s="11" t="str">
        <x:f>IF(E18=0,"PASS","FAIL")</x:f>
        <x:v>PASS</x:v>
      </x:c>
      <x:c r="G18" s="11"/>
      <x:c r="H18" s="11"/>
      <x:c r="I18" s="11"/>
      <x:c r="J18" s="11"/>
      <x:c r="K18" s="28"/>
    </x:row>
  </x:sheetData>
  <x:mergeCells>
    <x:mergeCell ref="B2:K2"/>
    <x:mergeCell ref="B3:K3"/>
    <x:mergeCell ref="B12:J12"/>
  </x:mergeCells>
  <x:conditionalFormatting sqref="F14:F18">
    <x:cfRule type="containsText" dxfId="98" priority="1" operator="containsText" text="PASS"/>
    <x:cfRule type="containsText" dxfId="99" priority="2" operator="containsText" text="AUTHORIZED"/>
    <x:cfRule type="containsText" dxfId="100" priority="3" operator="containsText" text="DEFINED"/>
    <x:cfRule type="containsText" dxfId="101" priority="4" operator="containsText" text="READY"/>
    <x:cfRule type="containsText" dxfId="102" priority="5" operator="containsText" text="HOLD"/>
    <x:cfRule type="containsText" dxfId="103" priority="6" operator="containsText" text="OPEN"/>
    <x:cfRule type="containsText" dxfId="104" priority="7" operator="containsText" text="BLOCKED"/>
    <x:cfRule type="containsText" dxfId="105" priority="8" operator="containsText" text="PLANNING"/>
    <x:cfRule type="containsText" dxfId="106" priority="9" operator="containsText" text="QUARANTINE"/>
    <x:cfRule type="containsText" dxfId="107" priority="10" operator="containsText" text="INDETERMINATE"/>
    <x:cfRule type="containsText" dxfId="108" priority="11" operator="containsText" text="FAIL"/>
    <x:cfRule type="containsText" dxfId="109" priority="12" operator="containsText" text="REJECT"/>
    <x:cfRule type="containsText" dxfId="110" priority="13" operator="containsText" text="INVALID"/>
    <x:cfRule type="containsText" dxfId="111" priority="14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0" hidden="0" customWidth="1"/>
    <x:col min="4" max="4" width="34" hidden="0" customWidth="1"/>
    <x:col min="5" max="5" width="14" hidden="0" customWidth="1"/>
    <x:col min="6" max="6" width="27" hidden="0" customWidth="1"/>
    <x:col min="7" max="7" width="14" hidden="0" customWidth="1"/>
    <x:col min="8" max="8" width="27" hidden="0" customWidth="1"/>
    <x:col min="9" max="9" width="15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2">
      <x:c r="B2" s="27" t="str">
        <x:v>Decisive-ancestor separation ledger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B3" s="29" t="str">
        <x:v>A common public requirement is allowed. The two implementations capable of deciding the same family must remain unlike.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  <x:row r="6">
      <x:c r="B6" s="8" t="str">
        <x:v>Record</x:v>
      </x:c>
      <x:c r="C6" s="8" t="str">
        <x:v>Family</x:v>
      </x:c>
      <x:c r="D6" s="8" t="str">
        <x:v>Domain</x:v>
      </x:c>
      <x:c r="E6" s="8" t="str">
        <x:v>Lane 1 site</x:v>
      </x:c>
      <x:c r="F6" s="8" t="str">
        <x:v>Lane 1 implementation</x:v>
      </x:c>
      <x:c r="G6" s="8" t="str">
        <x:v>Lane 2 site</x:v>
      </x:c>
      <x:c r="H6" s="8" t="str">
        <x:v>Lane 2 implementation</x:v>
      </x:c>
      <x:c r="I6" s="8" t="str">
        <x:v>Distinct plan</x:v>
      </x:c>
      <x:c r="J6" s="8" t="str">
        <x:v>Source proof</x:v>
      </x:c>
      <x:c r="K6" s="8" t="str">
        <x:v>Planning state</x:v>
      </x:c>
      <x:c r="L6" s="8" t="str">
        <x:v>Physical state</x:v>
      </x:c>
    </x:row>
    <x:row r="7">
      <x:c r="B7" s="10" t="str">
        <x:v>IA-001</x:v>
      </x:c>
      <x:c r="C7" s="10" t="str">
        <x:v>SA1</x:v>
      </x:c>
      <x:c r="D7" s="10" t="str">
        <x:v>site</x:v>
      </x:c>
      <x:c r="E7" s="10" t="str">
        <x:v>PTC-A</x:v>
      </x:c>
      <x:c r="F7" s="10" t="str">
        <x:v>SA1-SITE-1</x:v>
      </x:c>
      <x:c r="G7" s="10" t="str">
        <x:v>PTC-B</x:v>
      </x:c>
      <x:c r="H7" s="10" t="str">
        <x:v>SA1-SITE-2</x:v>
      </x:c>
      <x:c r="I7" s="10" t="n">
        <x:f>IF(AND(E7&lt;&gt;G7,F7&lt;&gt;H7),1,0)</x:f>
        <x:v>1</x:v>
      </x:c>
      <x:c r="J7" s="12" t="n">
        <x:v>0</x:v>
      </x:c>
      <x:c r="K7" s="10" t="str">
        <x:f>IF(I7=1,"PASS","FAIL")</x:f>
        <x:v>PASS</x:v>
      </x:c>
      <x:c r="L7" s="10" t="str">
        <x:f>IF(J7=1,"PASS","OPEN")</x:f>
        <x:v>OPEN</x:v>
      </x:c>
    </x:row>
    <x:row r="8">
      <x:c r="B8" s="10" t="str">
        <x:v>IA-002</x:v>
      </x:c>
      <x:c r="C8" s="10" t="str">
        <x:v>SA1</x:v>
      </x:c>
      <x:c r="D8" s="10" t="str">
        <x:v>utility control region</x:v>
      </x:c>
      <x:c r="E8" s="10" t="str">
        <x:v>PTC-A</x:v>
      </x:c>
      <x:c r="F8" s="10" t="str">
        <x:v>SA1-UTIL-1</x:v>
      </x:c>
      <x:c r="G8" s="10" t="str">
        <x:v>PTC-B</x:v>
      </x:c>
      <x:c r="H8" s="10" t="str">
        <x:v>SA1-UTIL-2</x:v>
      </x:c>
      <x:c r="I8" s="10" t="n">
        <x:f>IF(AND(E8&lt;&gt;G8,F8&lt;&gt;H8),1,0)</x:f>
        <x:v>1</x:v>
      </x:c>
      <x:c r="J8" s="12" t="n">
        <x:v>0</x:v>
      </x:c>
      <x:c r="K8" s="10" t="str">
        <x:f>IF(I8=1,"PASS","FAIL")</x:f>
        <x:v>PASS</x:v>
      </x:c>
      <x:c r="L8" s="10" t="str">
        <x:f>IF(J8=1,"PASS","OPEN")</x:f>
        <x:v>OPEN</x:v>
      </x:c>
    </x:row>
    <x:row r="9">
      <x:c r="B9" s="10" t="str">
        <x:v>IA-003</x:v>
      </x:c>
      <x:c r="C9" s="10" t="str">
        <x:v>SA1</x:v>
      </x:c>
      <x:c r="D9" s="10" t="str">
        <x:v>water and quarantine chain</x:v>
      </x:c>
      <x:c r="E9" s="10" t="str">
        <x:v>PTC-A</x:v>
      </x:c>
      <x:c r="F9" s="10" t="str">
        <x:v>SA1-WATR-1</x:v>
      </x:c>
      <x:c r="G9" s="10" t="str">
        <x:v>PTC-B</x:v>
      </x:c>
      <x:c r="H9" s="10" t="str">
        <x:v>SA1-WATR-2</x:v>
      </x:c>
      <x:c r="I9" s="10" t="n">
        <x:f>IF(AND(E9&lt;&gt;G9,F9&lt;&gt;H9),1,0)</x:f>
        <x:v>1</x:v>
      </x:c>
      <x:c r="J9" s="12" t="n">
        <x:v>0</x:v>
      </x:c>
      <x:c r="K9" s="10" t="str">
        <x:f>IF(I9=1,"PASS","FAIL")</x:f>
        <x:v>PASS</x:v>
      </x:c>
      <x:c r="L9" s="10" t="str">
        <x:f>IF(J9=1,"PASS","OPEN")</x:f>
        <x:v>OPEN</x:v>
      </x:c>
    </x:row>
    <x:row r="10">
      <x:c r="B10" s="10" t="str">
        <x:v>IA-004</x:v>
      </x:c>
      <x:c r="C10" s="10" t="str">
        <x:v>SA1</x:v>
      </x:c>
      <x:c r="D10" s="10" t="str">
        <x:v>fixture fabricator and process</x:v>
      </x:c>
      <x:c r="E10" s="10" t="str">
        <x:v>PTC-A</x:v>
      </x:c>
      <x:c r="F10" s="10" t="str">
        <x:v>SA1-FIX-1</x:v>
      </x:c>
      <x:c r="G10" s="10" t="str">
        <x:v>PTC-B</x:v>
      </x:c>
      <x:c r="H10" s="10" t="str">
        <x:v>SA1-FIX-2</x:v>
      </x:c>
      <x:c r="I10" s="10" t="n">
        <x:f>IF(AND(E10&lt;&gt;G10,F10&lt;&gt;H10),1,0)</x:f>
        <x:v>1</x:v>
      </x:c>
      <x:c r="J10" s="12" t="n">
        <x:v>0</x:v>
      </x:c>
      <x:c r="K10" s="10" t="str">
        <x:f>IF(I10=1,"PASS","FAIL")</x:f>
        <x:v>PASS</x:v>
      </x:c>
      <x:c r="L10" s="10" t="str">
        <x:f>IF(J10=1,"PASS","OPEN")</x:f>
        <x:v>OPEN</x:v>
      </x:c>
    </x:row>
    <x:row r="11">
      <x:c r="B11" s="10" t="str">
        <x:v>IA-005</x:v>
      </x:c>
      <x:c r="C11" s="10" t="str">
        <x:v>SA1</x:v>
      </x:c>
      <x:c r="D11" s="10" t="str">
        <x:v>stimulus controller implementation</x:v>
      </x:c>
      <x:c r="E11" s="10" t="str">
        <x:v>PTC-A</x:v>
      </x:c>
      <x:c r="F11" s="10" t="str">
        <x:v>SA1-CTRL-1</x:v>
      </x:c>
      <x:c r="G11" s="10" t="str">
        <x:v>PTC-B</x:v>
      </x:c>
      <x:c r="H11" s="10" t="str">
        <x:v>SA1-CTRL-2</x:v>
      </x:c>
      <x:c r="I11" s="10" t="n">
        <x:f>IF(AND(E11&lt;&gt;G11,F11&lt;&gt;H11),1,0)</x:f>
        <x:v>1</x:v>
      </x:c>
      <x:c r="J11" s="12" t="n">
        <x:v>0</x:v>
      </x:c>
      <x:c r="K11" s="10" t="str">
        <x:f>IF(I11=1,"PASS","FAIL")</x:f>
        <x:v>PASS</x:v>
      </x:c>
      <x:c r="L11" s="10" t="str">
        <x:f>IF(J11=1,"PASS","OPEN")</x:f>
        <x:v>OPEN</x:v>
      </x:c>
    </x:row>
    <x:row r="12">
      <x:c r="B12" s="10" t="str">
        <x:v>IA-006</x:v>
      </x:c>
      <x:c r="C12" s="10" t="str">
        <x:v>SA1</x:v>
      </x:c>
      <x:c r="D12" s="10" t="str">
        <x:v>acquisition recorder implementation</x:v>
      </x:c>
      <x:c r="E12" s="10" t="str">
        <x:v>PTC-A</x:v>
      </x:c>
      <x:c r="F12" s="10" t="str">
        <x:v>SA1-ACQ-1</x:v>
      </x:c>
      <x:c r="G12" s="10" t="str">
        <x:v>PTC-B</x:v>
      </x:c>
      <x:c r="H12" s="10" t="str">
        <x:v>SA1-ACQ-2</x:v>
      </x:c>
      <x:c r="I12" s="10" t="n">
        <x:f>IF(AND(E12&lt;&gt;G12,F12&lt;&gt;H12),1,0)</x:f>
        <x:v>1</x:v>
      </x:c>
      <x:c r="J12" s="12" t="n">
        <x:v>0</x:v>
      </x:c>
      <x:c r="K12" s="10" t="str">
        <x:f>IF(I12=1,"PASS","FAIL")</x:f>
        <x:v>PASS</x:v>
      </x:c>
      <x:c r="L12" s="10" t="str">
        <x:f>IF(J12=1,"PASS","OPEN")</x:f>
        <x:v>OPEN</x:v>
      </x:c>
    </x:row>
    <x:row r="13">
      <x:c r="B13" s="10" t="str">
        <x:v>IA-007</x:v>
      </x:c>
      <x:c r="C13" s="10" t="str">
        <x:v>SA1</x:v>
      </x:c>
      <x:c r="D13" s="10" t="str">
        <x:v>calibration transfer chain</x:v>
      </x:c>
      <x:c r="E13" s="10" t="str">
        <x:v>PTC-A</x:v>
      </x:c>
      <x:c r="F13" s="10" t="str">
        <x:v>SA1-CAL-1</x:v>
      </x:c>
      <x:c r="G13" s="10" t="str">
        <x:v>PTC-B</x:v>
      </x:c>
      <x:c r="H13" s="10" t="str">
        <x:v>SA1-CAL-2</x:v>
      </x:c>
      <x:c r="I13" s="10" t="n">
        <x:f>IF(AND(E13&lt;&gt;G13,F13&lt;&gt;H13),1,0)</x:f>
        <x:v>1</x:v>
      </x:c>
      <x:c r="J13" s="12" t="n">
        <x:v>0</x:v>
      </x:c>
      <x:c r="K13" s="10" t="str">
        <x:f>IF(I13=1,"PASS","FAIL")</x:f>
        <x:v>PASS</x:v>
      </x:c>
      <x:c r="L13" s="10" t="str">
        <x:f>IF(J13=1,"PASS","OPEN")</x:f>
        <x:v>OPEN</x:v>
      </x:c>
    </x:row>
    <x:row r="14">
      <x:c r="B14" s="10" t="str">
        <x:v>IA-008</x:v>
      </x:c>
      <x:c r="C14" s="10" t="str">
        <x:v>SA1</x:v>
      </x:c>
      <x:c r="D14" s="10" t="str">
        <x:v>time and holdover implementation</x:v>
      </x:c>
      <x:c r="E14" s="10" t="str">
        <x:v>PTC-A</x:v>
      </x:c>
      <x:c r="F14" s="10" t="str">
        <x:v>SA1-TIME-1</x:v>
      </x:c>
      <x:c r="G14" s="10" t="str">
        <x:v>PTC-B</x:v>
      </x:c>
      <x:c r="H14" s="10" t="str">
        <x:v>SA1-TIME-2</x:v>
      </x:c>
      <x:c r="I14" s="10" t="n">
        <x:f>IF(AND(E14&lt;&gt;G14,F14&lt;&gt;H14),1,0)</x:f>
        <x:v>1</x:v>
      </x:c>
      <x:c r="J14" s="12" t="n">
        <x:v>0</x:v>
      </x:c>
      <x:c r="K14" s="10" t="str">
        <x:f>IF(I14=1,"PASS","FAIL")</x:f>
        <x:v>PASS</x:v>
      </x:c>
      <x:c r="L14" s="10" t="str">
        <x:f>IF(J14=1,"PASS","OPEN")</x:f>
        <x:v>OPEN</x:v>
      </x:c>
    </x:row>
    <x:row r="15">
      <x:c r="B15" s="10" t="str">
        <x:v>IA-009</x:v>
      </x:c>
      <x:c r="C15" s="10" t="str">
        <x:v>SA1</x:v>
      </x:c>
      <x:c r="D15" s="10" t="str">
        <x:v>signing and key root</x:v>
      </x:c>
      <x:c r="E15" s="10" t="str">
        <x:v>PTC-A</x:v>
      </x:c>
      <x:c r="F15" s="10" t="str">
        <x:v>SA1-KEY-1</x:v>
      </x:c>
      <x:c r="G15" s="10" t="str">
        <x:v>PTC-B</x:v>
      </x:c>
      <x:c r="H15" s="10" t="str">
        <x:v>SA1-KEY-2</x:v>
      </x:c>
      <x:c r="I15" s="10" t="n">
        <x:f>IF(AND(E15&lt;&gt;G15,F15&lt;&gt;H15),1,0)</x:f>
        <x:v>1</x:v>
      </x:c>
      <x:c r="J15" s="12" t="n">
        <x:v>0</x:v>
      </x:c>
      <x:c r="K15" s="10" t="str">
        <x:f>IF(I15=1,"PASS","FAIL")</x:f>
        <x:v>PASS</x:v>
      </x:c>
      <x:c r="L15" s="10" t="str">
        <x:f>IF(J15=1,"PASS","OPEN")</x:f>
        <x:v>OPEN</x:v>
      </x:c>
    </x:row>
    <x:row r="16">
      <x:c r="B16" s="10" t="str">
        <x:v>IA-010</x:v>
      </x:c>
      <x:c r="C16" s="10" t="str">
        <x:v>SA1</x:v>
      </x:c>
      <x:c r="D16" s="10" t="str">
        <x:v>lead operator pool</x:v>
      </x:c>
      <x:c r="E16" s="10" t="str">
        <x:v>PTC-A</x:v>
      </x:c>
      <x:c r="F16" s="10" t="str">
        <x:v>SA1-CREW-1</x:v>
      </x:c>
      <x:c r="G16" s="10" t="str">
        <x:v>PTC-B</x:v>
      </x:c>
      <x:c r="H16" s="10" t="str">
        <x:v>SA1-CREW-2</x:v>
      </x:c>
      <x:c r="I16" s="10" t="n">
        <x:f>IF(AND(E16&lt;&gt;G16,F16&lt;&gt;H16),1,0)</x:f>
        <x:v>1</x:v>
      </x:c>
      <x:c r="J16" s="12" t="n">
        <x:v>0</x:v>
      </x:c>
      <x:c r="K16" s="10" t="str">
        <x:f>IF(I16=1,"PASS","FAIL")</x:f>
        <x:v>PASS</x:v>
      </x:c>
      <x:c r="L16" s="10" t="str">
        <x:f>IF(J16=1,"PASS","OPEN")</x:f>
        <x:v>OPEN</x:v>
      </x:c>
    </x:row>
    <x:row r="17">
      <x:c r="B17" s="10" t="str">
        <x:v>IA-011</x:v>
      </x:c>
      <x:c r="C17" s="10" t="str">
        <x:v>SA1</x:v>
      </x:c>
      <x:c r="D17" s="10" t="str">
        <x:v>evidence vault authority</x:v>
      </x:c>
      <x:c r="E17" s="10" t="str">
        <x:v>PTC-A</x:v>
      </x:c>
      <x:c r="F17" s="10" t="str">
        <x:v>SA1-VAULT-1</x:v>
      </x:c>
      <x:c r="G17" s="10" t="str">
        <x:v>PTC-B</x:v>
      </x:c>
      <x:c r="H17" s="10" t="str">
        <x:v>SA1-VAULT-2</x:v>
      </x:c>
      <x:c r="I17" s="10" t="n">
        <x:f>IF(AND(E17&lt;&gt;G17,F17&lt;&gt;H17),1,0)</x:f>
        <x:v>1</x:v>
      </x:c>
      <x:c r="J17" s="12" t="n">
        <x:v>0</x:v>
      </x:c>
      <x:c r="K17" s="10" t="str">
        <x:f>IF(I17=1,"PASS","FAIL")</x:f>
        <x:v>PASS</x:v>
      </x:c>
      <x:c r="L17" s="10" t="str">
        <x:f>IF(J17=1,"PASS","OPEN")</x:f>
        <x:v>OPEN</x:v>
      </x:c>
    </x:row>
    <x:row r="18">
      <x:c r="B18" s="10" t="str">
        <x:v>IA-012</x:v>
      </x:c>
      <x:c r="C18" s="10" t="str">
        <x:v>SA1</x:v>
      </x:c>
      <x:c r="D18" s="10" t="str">
        <x:v>destructive laboratory</x:v>
      </x:c>
      <x:c r="E18" s="10" t="str">
        <x:v>PTC-A</x:v>
      </x:c>
      <x:c r="F18" s="10" t="str">
        <x:v>SA1-DEST-1</x:v>
      </x:c>
      <x:c r="G18" s="10" t="str">
        <x:v>PTC-B</x:v>
      </x:c>
      <x:c r="H18" s="10" t="str">
        <x:v>SA1-DEST-2</x:v>
      </x:c>
      <x:c r="I18" s="10" t="n">
        <x:f>IF(AND(E18&lt;&gt;G18,F18&lt;&gt;H18),1,0)</x:f>
        <x:v>1</x:v>
      </x:c>
      <x:c r="J18" s="12" t="n">
        <x:v>0</x:v>
      </x:c>
      <x:c r="K18" s="10" t="str">
        <x:f>IF(I18=1,"PASS","FAIL")</x:f>
        <x:v>PASS</x:v>
      </x:c>
      <x:c r="L18" s="10" t="str">
        <x:f>IF(J18=1,"PASS","OPEN")</x:f>
        <x:v>OPEN</x:v>
      </x:c>
    </x:row>
    <x:row r="19">
      <x:c r="B19" s="10" t="str">
        <x:v>IA-013</x:v>
      </x:c>
      <x:c r="C19" s="10" t="str">
        <x:v>SA2</x:v>
      </x:c>
      <x:c r="D19" s="10" t="str">
        <x:v>site</x:v>
      </x:c>
      <x:c r="E19" s="10" t="str">
        <x:v>PTC-A</x:v>
      </x:c>
      <x:c r="F19" s="10" t="str">
        <x:v>SA2-SITE-1</x:v>
      </x:c>
      <x:c r="G19" s="10" t="str">
        <x:v>PTC-C</x:v>
      </x:c>
      <x:c r="H19" s="10" t="str">
        <x:v>SA2-SITE-2</x:v>
      </x:c>
      <x:c r="I19" s="10" t="n">
        <x:f>IF(AND(E19&lt;&gt;G19,F19&lt;&gt;H19),1,0)</x:f>
        <x:v>1</x:v>
      </x:c>
      <x:c r="J19" s="12" t="n">
        <x:v>0</x:v>
      </x:c>
      <x:c r="K19" s="10" t="str">
        <x:f>IF(I19=1,"PASS","FAIL")</x:f>
        <x:v>PASS</x:v>
      </x:c>
      <x:c r="L19" s="10" t="str">
        <x:f>IF(J19=1,"PASS","OPEN")</x:f>
        <x:v>OPEN</x:v>
      </x:c>
    </x:row>
    <x:row r="20">
      <x:c r="B20" s="10" t="str">
        <x:v>IA-014</x:v>
      </x:c>
      <x:c r="C20" s="10" t="str">
        <x:v>SA2</x:v>
      </x:c>
      <x:c r="D20" s="10" t="str">
        <x:v>utility control region</x:v>
      </x:c>
      <x:c r="E20" s="10" t="str">
        <x:v>PTC-A</x:v>
      </x:c>
      <x:c r="F20" s="10" t="str">
        <x:v>SA2-UTIL-1</x:v>
      </x:c>
      <x:c r="G20" s="10" t="str">
        <x:v>PTC-C</x:v>
      </x:c>
      <x:c r="H20" s="10" t="str">
        <x:v>SA2-UTIL-2</x:v>
      </x:c>
      <x:c r="I20" s="10" t="n">
        <x:f>IF(AND(E20&lt;&gt;G20,F20&lt;&gt;H20),1,0)</x:f>
        <x:v>1</x:v>
      </x:c>
      <x:c r="J20" s="12" t="n">
        <x:v>0</x:v>
      </x:c>
      <x:c r="K20" s="10" t="str">
        <x:f>IF(I20=1,"PASS","FAIL")</x:f>
        <x:v>PASS</x:v>
      </x:c>
      <x:c r="L20" s="10" t="str">
        <x:f>IF(J20=1,"PASS","OPEN")</x:f>
        <x:v>OPEN</x:v>
      </x:c>
    </x:row>
    <x:row r="21">
      <x:c r="B21" s="10" t="str">
        <x:v>IA-015</x:v>
      </x:c>
      <x:c r="C21" s="10" t="str">
        <x:v>SA2</x:v>
      </x:c>
      <x:c r="D21" s="10" t="str">
        <x:v>water and quarantine chain</x:v>
      </x:c>
      <x:c r="E21" s="10" t="str">
        <x:v>PTC-A</x:v>
      </x:c>
      <x:c r="F21" s="10" t="str">
        <x:v>SA2-WATR-1</x:v>
      </x:c>
      <x:c r="G21" s="10" t="str">
        <x:v>PTC-C</x:v>
      </x:c>
      <x:c r="H21" s="10" t="str">
        <x:v>SA2-WATR-2</x:v>
      </x:c>
      <x:c r="I21" s="10" t="n">
        <x:f>IF(AND(E21&lt;&gt;G21,F21&lt;&gt;H21),1,0)</x:f>
        <x:v>1</x:v>
      </x:c>
      <x:c r="J21" s="12" t="n">
        <x:v>0</x:v>
      </x:c>
      <x:c r="K21" s="10" t="str">
        <x:f>IF(I21=1,"PASS","FAIL")</x:f>
        <x:v>PASS</x:v>
      </x:c>
      <x:c r="L21" s="10" t="str">
        <x:f>IF(J21=1,"PASS","OPEN")</x:f>
        <x:v>OPEN</x:v>
      </x:c>
    </x:row>
    <x:row r="22">
      <x:c r="B22" s="10" t="str">
        <x:v>IA-016</x:v>
      </x:c>
      <x:c r="C22" s="10" t="str">
        <x:v>SA2</x:v>
      </x:c>
      <x:c r="D22" s="10" t="str">
        <x:v>fixture fabricator and process</x:v>
      </x:c>
      <x:c r="E22" s="10" t="str">
        <x:v>PTC-A</x:v>
      </x:c>
      <x:c r="F22" s="10" t="str">
        <x:v>SA2-FIX-1</x:v>
      </x:c>
      <x:c r="G22" s="10" t="str">
        <x:v>PTC-C</x:v>
      </x:c>
      <x:c r="H22" s="10" t="str">
        <x:v>SA2-FIX-2</x:v>
      </x:c>
      <x:c r="I22" s="10" t="n">
        <x:f>IF(AND(E22&lt;&gt;G22,F22&lt;&gt;H22),1,0)</x:f>
        <x:v>1</x:v>
      </x:c>
      <x:c r="J22" s="12" t="n">
        <x:v>0</x:v>
      </x:c>
      <x:c r="K22" s="10" t="str">
        <x:f>IF(I22=1,"PASS","FAIL")</x:f>
        <x:v>PASS</x:v>
      </x:c>
      <x:c r="L22" s="10" t="str">
        <x:f>IF(J22=1,"PASS","OPEN")</x:f>
        <x:v>OPEN</x:v>
      </x:c>
    </x:row>
    <x:row r="23">
      <x:c r="B23" s="10" t="str">
        <x:v>IA-017</x:v>
      </x:c>
      <x:c r="C23" s="10" t="str">
        <x:v>SA2</x:v>
      </x:c>
      <x:c r="D23" s="10" t="str">
        <x:v>stimulus controller implementation</x:v>
      </x:c>
      <x:c r="E23" s="10" t="str">
        <x:v>PTC-A</x:v>
      </x:c>
      <x:c r="F23" s="10" t="str">
        <x:v>SA2-CTRL-1</x:v>
      </x:c>
      <x:c r="G23" s="10" t="str">
        <x:v>PTC-C</x:v>
      </x:c>
      <x:c r="H23" s="10" t="str">
        <x:v>SA2-CTRL-2</x:v>
      </x:c>
      <x:c r="I23" s="10" t="n">
        <x:f>IF(AND(E23&lt;&gt;G23,F23&lt;&gt;H23),1,0)</x:f>
        <x:v>1</x:v>
      </x:c>
      <x:c r="J23" s="12" t="n">
        <x:v>0</x:v>
      </x:c>
      <x:c r="K23" s="10" t="str">
        <x:f>IF(I23=1,"PASS","FAIL")</x:f>
        <x:v>PASS</x:v>
      </x:c>
      <x:c r="L23" s="10" t="str">
        <x:f>IF(J23=1,"PASS","OPEN")</x:f>
        <x:v>OPEN</x:v>
      </x:c>
    </x:row>
    <x:row r="24">
      <x:c r="B24" s="10" t="str">
        <x:v>IA-018</x:v>
      </x:c>
      <x:c r="C24" s="10" t="str">
        <x:v>SA2</x:v>
      </x:c>
      <x:c r="D24" s="10" t="str">
        <x:v>acquisition recorder implementation</x:v>
      </x:c>
      <x:c r="E24" s="10" t="str">
        <x:v>PTC-A</x:v>
      </x:c>
      <x:c r="F24" s="10" t="str">
        <x:v>SA2-ACQ-1</x:v>
      </x:c>
      <x:c r="G24" s="10" t="str">
        <x:v>PTC-C</x:v>
      </x:c>
      <x:c r="H24" s="10" t="str">
        <x:v>SA2-ACQ-2</x:v>
      </x:c>
      <x:c r="I24" s="10" t="n">
        <x:f>IF(AND(E24&lt;&gt;G24,F24&lt;&gt;H24),1,0)</x:f>
        <x:v>1</x:v>
      </x:c>
      <x:c r="J24" s="12" t="n">
        <x:v>0</x:v>
      </x:c>
      <x:c r="K24" s="10" t="str">
        <x:f>IF(I24=1,"PASS","FAIL")</x:f>
        <x:v>PASS</x:v>
      </x:c>
      <x:c r="L24" s="10" t="str">
        <x:f>IF(J24=1,"PASS","OPEN")</x:f>
        <x:v>OPEN</x:v>
      </x:c>
    </x:row>
    <x:row r="25">
      <x:c r="B25" s="10" t="str">
        <x:v>IA-019</x:v>
      </x:c>
      <x:c r="C25" s="10" t="str">
        <x:v>SA2</x:v>
      </x:c>
      <x:c r="D25" s="10" t="str">
        <x:v>calibration transfer chain</x:v>
      </x:c>
      <x:c r="E25" s="10" t="str">
        <x:v>PTC-A</x:v>
      </x:c>
      <x:c r="F25" s="10" t="str">
        <x:v>SA2-CAL-1</x:v>
      </x:c>
      <x:c r="G25" s="10" t="str">
        <x:v>PTC-C</x:v>
      </x:c>
      <x:c r="H25" s="10" t="str">
        <x:v>SA2-CAL-2</x:v>
      </x:c>
      <x:c r="I25" s="10" t="n">
        <x:f>IF(AND(E25&lt;&gt;G25,F25&lt;&gt;H25),1,0)</x:f>
        <x:v>1</x:v>
      </x:c>
      <x:c r="J25" s="12" t="n">
        <x:v>0</x:v>
      </x:c>
      <x:c r="K25" s="10" t="str">
        <x:f>IF(I25=1,"PASS","FAIL")</x:f>
        <x:v>PASS</x:v>
      </x:c>
      <x:c r="L25" s="10" t="str">
        <x:f>IF(J25=1,"PASS","OPEN")</x:f>
        <x:v>OPEN</x:v>
      </x:c>
    </x:row>
    <x:row r="26">
      <x:c r="B26" s="10" t="str">
        <x:v>IA-020</x:v>
      </x:c>
      <x:c r="C26" s="10" t="str">
        <x:v>SA2</x:v>
      </x:c>
      <x:c r="D26" s="10" t="str">
        <x:v>time and holdover implementation</x:v>
      </x:c>
      <x:c r="E26" s="10" t="str">
        <x:v>PTC-A</x:v>
      </x:c>
      <x:c r="F26" s="10" t="str">
        <x:v>SA2-TIME-1</x:v>
      </x:c>
      <x:c r="G26" s="10" t="str">
        <x:v>PTC-C</x:v>
      </x:c>
      <x:c r="H26" s="10" t="str">
        <x:v>SA2-TIME-2</x:v>
      </x:c>
      <x:c r="I26" s="10" t="n">
        <x:f>IF(AND(E26&lt;&gt;G26,F26&lt;&gt;H26),1,0)</x:f>
        <x:v>1</x:v>
      </x:c>
      <x:c r="J26" s="12" t="n">
        <x:v>0</x:v>
      </x:c>
      <x:c r="K26" s="10" t="str">
        <x:f>IF(I26=1,"PASS","FAIL")</x:f>
        <x:v>PASS</x:v>
      </x:c>
      <x:c r="L26" s="10" t="str">
        <x:f>IF(J26=1,"PASS","OPEN")</x:f>
        <x:v>OPEN</x:v>
      </x:c>
    </x:row>
    <x:row r="27">
      <x:c r="B27" s="10" t="str">
        <x:v>IA-021</x:v>
      </x:c>
      <x:c r="C27" s="10" t="str">
        <x:v>SA2</x:v>
      </x:c>
      <x:c r="D27" s="10" t="str">
        <x:v>signing and key root</x:v>
      </x:c>
      <x:c r="E27" s="10" t="str">
        <x:v>PTC-A</x:v>
      </x:c>
      <x:c r="F27" s="10" t="str">
        <x:v>SA2-KEY-1</x:v>
      </x:c>
      <x:c r="G27" s="10" t="str">
        <x:v>PTC-C</x:v>
      </x:c>
      <x:c r="H27" s="10" t="str">
        <x:v>SA2-KEY-2</x:v>
      </x:c>
      <x:c r="I27" s="10" t="n">
        <x:f>IF(AND(E27&lt;&gt;G27,F27&lt;&gt;H27),1,0)</x:f>
        <x:v>1</x:v>
      </x:c>
      <x:c r="J27" s="12" t="n">
        <x:v>0</x:v>
      </x:c>
      <x:c r="K27" s="10" t="str">
        <x:f>IF(I27=1,"PASS","FAIL")</x:f>
        <x:v>PASS</x:v>
      </x:c>
      <x:c r="L27" s="10" t="str">
        <x:f>IF(J27=1,"PASS","OPEN")</x:f>
        <x:v>OPEN</x:v>
      </x:c>
    </x:row>
    <x:row r="28">
      <x:c r="B28" s="10" t="str">
        <x:v>IA-022</x:v>
      </x:c>
      <x:c r="C28" s="10" t="str">
        <x:v>SA2</x:v>
      </x:c>
      <x:c r="D28" s="10" t="str">
        <x:v>lead operator pool</x:v>
      </x:c>
      <x:c r="E28" s="10" t="str">
        <x:v>PTC-A</x:v>
      </x:c>
      <x:c r="F28" s="10" t="str">
        <x:v>SA2-CREW-1</x:v>
      </x:c>
      <x:c r="G28" s="10" t="str">
        <x:v>PTC-C</x:v>
      </x:c>
      <x:c r="H28" s="10" t="str">
        <x:v>SA2-CREW-2</x:v>
      </x:c>
      <x:c r="I28" s="10" t="n">
        <x:f>IF(AND(E28&lt;&gt;G28,F28&lt;&gt;H28),1,0)</x:f>
        <x:v>1</x:v>
      </x:c>
      <x:c r="J28" s="12" t="n">
        <x:v>0</x:v>
      </x:c>
      <x:c r="K28" s="10" t="str">
        <x:f>IF(I28=1,"PASS","FAIL")</x:f>
        <x:v>PASS</x:v>
      </x:c>
      <x:c r="L28" s="10" t="str">
        <x:f>IF(J28=1,"PASS","OPEN")</x:f>
        <x:v>OPEN</x:v>
      </x:c>
    </x:row>
    <x:row r="29">
      <x:c r="B29" s="10" t="str">
        <x:v>IA-023</x:v>
      </x:c>
      <x:c r="C29" s="10" t="str">
        <x:v>SA2</x:v>
      </x:c>
      <x:c r="D29" s="10" t="str">
        <x:v>evidence vault authority</x:v>
      </x:c>
      <x:c r="E29" s="10" t="str">
        <x:v>PTC-A</x:v>
      </x:c>
      <x:c r="F29" s="10" t="str">
        <x:v>SA2-VAULT-1</x:v>
      </x:c>
      <x:c r="G29" s="10" t="str">
        <x:v>PTC-C</x:v>
      </x:c>
      <x:c r="H29" s="10" t="str">
        <x:v>SA2-VAULT-2</x:v>
      </x:c>
      <x:c r="I29" s="10" t="n">
        <x:f>IF(AND(E29&lt;&gt;G29,F29&lt;&gt;H29),1,0)</x:f>
        <x:v>1</x:v>
      </x:c>
      <x:c r="J29" s="12" t="n">
        <x:v>0</x:v>
      </x:c>
      <x:c r="K29" s="10" t="str">
        <x:f>IF(I29=1,"PASS","FAIL")</x:f>
        <x:v>PASS</x:v>
      </x:c>
      <x:c r="L29" s="10" t="str">
        <x:f>IF(J29=1,"PASS","OPEN")</x:f>
        <x:v>OPEN</x:v>
      </x:c>
    </x:row>
    <x:row r="30">
      <x:c r="B30" s="10" t="str">
        <x:v>IA-024</x:v>
      </x:c>
      <x:c r="C30" s="10" t="str">
        <x:v>SA2</x:v>
      </x:c>
      <x:c r="D30" s="10" t="str">
        <x:v>destructive laboratory</x:v>
      </x:c>
      <x:c r="E30" s="10" t="str">
        <x:v>PTC-A</x:v>
      </x:c>
      <x:c r="F30" s="10" t="str">
        <x:v>SA2-DEST-1</x:v>
      </x:c>
      <x:c r="G30" s="10" t="str">
        <x:v>PTC-C</x:v>
      </x:c>
      <x:c r="H30" s="10" t="str">
        <x:v>SA2-DEST-2</x:v>
      </x:c>
      <x:c r="I30" s="10" t="n">
        <x:f>IF(AND(E30&lt;&gt;G30,F30&lt;&gt;H30),1,0)</x:f>
        <x:v>1</x:v>
      </x:c>
      <x:c r="J30" s="12" t="n">
        <x:v>0</x:v>
      </x:c>
      <x:c r="K30" s="10" t="str">
        <x:f>IF(I30=1,"PASS","FAIL")</x:f>
        <x:v>PASS</x:v>
      </x:c>
      <x:c r="L30" s="10" t="str">
        <x:f>IF(J30=1,"PASS","OPEN")</x:f>
        <x:v>OPEN</x:v>
      </x:c>
    </x:row>
    <x:row r="31">
      <x:c r="B31" s="10" t="str">
        <x:v>IA-025</x:v>
      </x:c>
      <x:c r="C31" s="10" t="str">
        <x:v>SA3</x:v>
      </x:c>
      <x:c r="D31" s="10" t="str">
        <x:v>site</x:v>
      </x:c>
      <x:c r="E31" s="10" t="str">
        <x:v>PTC-A</x:v>
      </x:c>
      <x:c r="F31" s="10" t="str">
        <x:v>SA3-SITE-1</x:v>
      </x:c>
      <x:c r="G31" s="10" t="str">
        <x:v>PTC-C</x:v>
      </x:c>
      <x:c r="H31" s="10" t="str">
        <x:v>SA3-SITE-2</x:v>
      </x:c>
      <x:c r="I31" s="10" t="n">
        <x:f>IF(AND(E31&lt;&gt;G31,F31&lt;&gt;H31),1,0)</x:f>
        <x:v>1</x:v>
      </x:c>
      <x:c r="J31" s="12" t="n">
        <x:v>0</x:v>
      </x:c>
      <x:c r="K31" s="10" t="str">
        <x:f>IF(I31=1,"PASS","FAIL")</x:f>
        <x:v>PASS</x:v>
      </x:c>
      <x:c r="L31" s="10" t="str">
        <x:f>IF(J31=1,"PASS","OPEN")</x:f>
        <x:v>OPEN</x:v>
      </x:c>
    </x:row>
    <x:row r="32">
      <x:c r="B32" s="10" t="str">
        <x:v>IA-026</x:v>
      </x:c>
      <x:c r="C32" s="10" t="str">
        <x:v>SA3</x:v>
      </x:c>
      <x:c r="D32" s="10" t="str">
        <x:v>utility control region</x:v>
      </x:c>
      <x:c r="E32" s="10" t="str">
        <x:v>PTC-A</x:v>
      </x:c>
      <x:c r="F32" s="10" t="str">
        <x:v>SA3-UTIL-1</x:v>
      </x:c>
      <x:c r="G32" s="10" t="str">
        <x:v>PTC-C</x:v>
      </x:c>
      <x:c r="H32" s="10" t="str">
        <x:v>SA3-UTIL-2</x:v>
      </x:c>
      <x:c r="I32" s="10" t="n">
        <x:f>IF(AND(E32&lt;&gt;G32,F32&lt;&gt;H32),1,0)</x:f>
        <x:v>1</x:v>
      </x:c>
      <x:c r="J32" s="12" t="n">
        <x:v>0</x:v>
      </x:c>
      <x:c r="K32" s="10" t="str">
        <x:f>IF(I32=1,"PASS","FAIL")</x:f>
        <x:v>PASS</x:v>
      </x:c>
      <x:c r="L32" s="10" t="str">
        <x:f>IF(J32=1,"PASS","OPEN")</x:f>
        <x:v>OPEN</x:v>
      </x:c>
    </x:row>
    <x:row r="33">
      <x:c r="B33" s="10" t="str">
        <x:v>IA-027</x:v>
      </x:c>
      <x:c r="C33" s="10" t="str">
        <x:v>SA3</x:v>
      </x:c>
      <x:c r="D33" s="10" t="str">
        <x:v>water and quarantine chain</x:v>
      </x:c>
      <x:c r="E33" s="10" t="str">
        <x:v>PTC-A</x:v>
      </x:c>
      <x:c r="F33" s="10" t="str">
        <x:v>SA3-WATR-1</x:v>
      </x:c>
      <x:c r="G33" s="10" t="str">
        <x:v>PTC-C</x:v>
      </x:c>
      <x:c r="H33" s="10" t="str">
        <x:v>SA3-WATR-2</x:v>
      </x:c>
      <x:c r="I33" s="10" t="n">
        <x:f>IF(AND(E33&lt;&gt;G33,F33&lt;&gt;H33),1,0)</x:f>
        <x:v>1</x:v>
      </x:c>
      <x:c r="J33" s="12" t="n">
        <x:v>0</x:v>
      </x:c>
      <x:c r="K33" s="10" t="str">
        <x:f>IF(I33=1,"PASS","FAIL")</x:f>
        <x:v>PASS</x:v>
      </x:c>
      <x:c r="L33" s="10" t="str">
        <x:f>IF(J33=1,"PASS","OPEN")</x:f>
        <x:v>OPEN</x:v>
      </x:c>
    </x:row>
    <x:row r="34">
      <x:c r="B34" s="10" t="str">
        <x:v>IA-028</x:v>
      </x:c>
      <x:c r="C34" s="10" t="str">
        <x:v>SA3</x:v>
      </x:c>
      <x:c r="D34" s="10" t="str">
        <x:v>fixture fabricator and process</x:v>
      </x:c>
      <x:c r="E34" s="10" t="str">
        <x:v>PTC-A</x:v>
      </x:c>
      <x:c r="F34" s="10" t="str">
        <x:v>SA3-FIX-1</x:v>
      </x:c>
      <x:c r="G34" s="10" t="str">
        <x:v>PTC-C</x:v>
      </x:c>
      <x:c r="H34" s="10" t="str">
        <x:v>SA3-FIX-2</x:v>
      </x:c>
      <x:c r="I34" s="10" t="n">
        <x:f>IF(AND(E34&lt;&gt;G34,F34&lt;&gt;H34),1,0)</x:f>
        <x:v>1</x:v>
      </x:c>
      <x:c r="J34" s="12" t="n">
        <x:v>0</x:v>
      </x:c>
      <x:c r="K34" s="10" t="str">
        <x:f>IF(I34=1,"PASS","FAIL")</x:f>
        <x:v>PASS</x:v>
      </x:c>
      <x:c r="L34" s="10" t="str">
        <x:f>IF(J34=1,"PASS","OPEN")</x:f>
        <x:v>OPEN</x:v>
      </x:c>
    </x:row>
    <x:row r="35">
      <x:c r="B35" s="10" t="str">
        <x:v>IA-029</x:v>
      </x:c>
      <x:c r="C35" s="10" t="str">
        <x:v>SA3</x:v>
      </x:c>
      <x:c r="D35" s="10" t="str">
        <x:v>stimulus controller implementation</x:v>
      </x:c>
      <x:c r="E35" s="10" t="str">
        <x:v>PTC-A</x:v>
      </x:c>
      <x:c r="F35" s="10" t="str">
        <x:v>SA3-CTRL-1</x:v>
      </x:c>
      <x:c r="G35" s="10" t="str">
        <x:v>PTC-C</x:v>
      </x:c>
      <x:c r="H35" s="10" t="str">
        <x:v>SA3-CTRL-2</x:v>
      </x:c>
      <x:c r="I35" s="10" t="n">
        <x:f>IF(AND(E35&lt;&gt;G35,F35&lt;&gt;H35),1,0)</x:f>
        <x:v>1</x:v>
      </x:c>
      <x:c r="J35" s="12" t="n">
        <x:v>0</x:v>
      </x:c>
      <x:c r="K35" s="10" t="str">
        <x:f>IF(I35=1,"PASS","FAIL")</x:f>
        <x:v>PASS</x:v>
      </x:c>
      <x:c r="L35" s="10" t="str">
        <x:f>IF(J35=1,"PASS","OPEN")</x:f>
        <x:v>OPEN</x:v>
      </x:c>
    </x:row>
    <x:row r="36">
      <x:c r="B36" s="10" t="str">
        <x:v>IA-030</x:v>
      </x:c>
      <x:c r="C36" s="10" t="str">
        <x:v>SA3</x:v>
      </x:c>
      <x:c r="D36" s="10" t="str">
        <x:v>acquisition recorder implementation</x:v>
      </x:c>
      <x:c r="E36" s="10" t="str">
        <x:v>PTC-A</x:v>
      </x:c>
      <x:c r="F36" s="10" t="str">
        <x:v>SA3-ACQ-1</x:v>
      </x:c>
      <x:c r="G36" s="10" t="str">
        <x:v>PTC-C</x:v>
      </x:c>
      <x:c r="H36" s="10" t="str">
        <x:v>SA3-ACQ-2</x:v>
      </x:c>
      <x:c r="I36" s="10" t="n">
        <x:f>IF(AND(E36&lt;&gt;G36,F36&lt;&gt;H36),1,0)</x:f>
        <x:v>1</x:v>
      </x:c>
      <x:c r="J36" s="12" t="n">
        <x:v>0</x:v>
      </x:c>
      <x:c r="K36" s="10" t="str">
        <x:f>IF(I36=1,"PASS","FAIL")</x:f>
        <x:v>PASS</x:v>
      </x:c>
      <x:c r="L36" s="10" t="str">
        <x:f>IF(J36=1,"PASS","OPEN")</x:f>
        <x:v>OPEN</x:v>
      </x:c>
    </x:row>
    <x:row r="37">
      <x:c r="B37" s="10" t="str">
        <x:v>IA-031</x:v>
      </x:c>
      <x:c r="C37" s="10" t="str">
        <x:v>SA3</x:v>
      </x:c>
      <x:c r="D37" s="10" t="str">
        <x:v>calibration transfer chain</x:v>
      </x:c>
      <x:c r="E37" s="10" t="str">
        <x:v>PTC-A</x:v>
      </x:c>
      <x:c r="F37" s="10" t="str">
        <x:v>SA3-CAL-1</x:v>
      </x:c>
      <x:c r="G37" s="10" t="str">
        <x:v>PTC-C</x:v>
      </x:c>
      <x:c r="H37" s="10" t="str">
        <x:v>SA3-CAL-2</x:v>
      </x:c>
      <x:c r="I37" s="10" t="n">
        <x:f>IF(AND(E37&lt;&gt;G37,F37&lt;&gt;H37),1,0)</x:f>
        <x:v>1</x:v>
      </x:c>
      <x:c r="J37" s="12" t="n">
        <x:v>0</x:v>
      </x:c>
      <x:c r="K37" s="10" t="str">
        <x:f>IF(I37=1,"PASS","FAIL")</x:f>
        <x:v>PASS</x:v>
      </x:c>
      <x:c r="L37" s="10" t="str">
        <x:f>IF(J37=1,"PASS","OPEN")</x:f>
        <x:v>OPEN</x:v>
      </x:c>
    </x:row>
    <x:row r="38">
      <x:c r="B38" s="10" t="str">
        <x:v>IA-032</x:v>
      </x:c>
      <x:c r="C38" s="10" t="str">
        <x:v>SA3</x:v>
      </x:c>
      <x:c r="D38" s="10" t="str">
        <x:v>time and holdover implementation</x:v>
      </x:c>
      <x:c r="E38" s="10" t="str">
        <x:v>PTC-A</x:v>
      </x:c>
      <x:c r="F38" s="10" t="str">
        <x:v>SA3-TIME-1</x:v>
      </x:c>
      <x:c r="G38" s="10" t="str">
        <x:v>PTC-C</x:v>
      </x:c>
      <x:c r="H38" s="10" t="str">
        <x:v>SA3-TIME-2</x:v>
      </x:c>
      <x:c r="I38" s="10" t="n">
        <x:f>IF(AND(E38&lt;&gt;G38,F38&lt;&gt;H38),1,0)</x:f>
        <x:v>1</x:v>
      </x:c>
      <x:c r="J38" s="12" t="n">
        <x:v>0</x:v>
      </x:c>
      <x:c r="K38" s="10" t="str">
        <x:f>IF(I38=1,"PASS","FAIL")</x:f>
        <x:v>PASS</x:v>
      </x:c>
      <x:c r="L38" s="10" t="str">
        <x:f>IF(J38=1,"PASS","OPEN")</x:f>
        <x:v>OPEN</x:v>
      </x:c>
    </x:row>
    <x:row r="39">
      <x:c r="B39" s="10" t="str">
        <x:v>IA-033</x:v>
      </x:c>
      <x:c r="C39" s="10" t="str">
        <x:v>SA3</x:v>
      </x:c>
      <x:c r="D39" s="10" t="str">
        <x:v>signing and key root</x:v>
      </x:c>
      <x:c r="E39" s="10" t="str">
        <x:v>PTC-A</x:v>
      </x:c>
      <x:c r="F39" s="10" t="str">
        <x:v>SA3-KEY-1</x:v>
      </x:c>
      <x:c r="G39" s="10" t="str">
        <x:v>PTC-C</x:v>
      </x:c>
      <x:c r="H39" s="10" t="str">
        <x:v>SA3-KEY-2</x:v>
      </x:c>
      <x:c r="I39" s="10" t="n">
        <x:f>IF(AND(E39&lt;&gt;G39,F39&lt;&gt;H39),1,0)</x:f>
        <x:v>1</x:v>
      </x:c>
      <x:c r="J39" s="12" t="n">
        <x:v>0</x:v>
      </x:c>
      <x:c r="K39" s="10" t="str">
        <x:f>IF(I39=1,"PASS","FAIL")</x:f>
        <x:v>PASS</x:v>
      </x:c>
      <x:c r="L39" s="10" t="str">
        <x:f>IF(J39=1,"PASS","OPEN")</x:f>
        <x:v>OPEN</x:v>
      </x:c>
    </x:row>
    <x:row r="40">
      <x:c r="B40" s="10" t="str">
        <x:v>IA-034</x:v>
      </x:c>
      <x:c r="C40" s="10" t="str">
        <x:v>SA3</x:v>
      </x:c>
      <x:c r="D40" s="10" t="str">
        <x:v>lead operator pool</x:v>
      </x:c>
      <x:c r="E40" s="10" t="str">
        <x:v>PTC-A</x:v>
      </x:c>
      <x:c r="F40" s="10" t="str">
        <x:v>SA3-CREW-1</x:v>
      </x:c>
      <x:c r="G40" s="10" t="str">
        <x:v>PTC-C</x:v>
      </x:c>
      <x:c r="H40" s="10" t="str">
        <x:v>SA3-CREW-2</x:v>
      </x:c>
      <x:c r="I40" s="10" t="n">
        <x:f>IF(AND(E40&lt;&gt;G40,F40&lt;&gt;H40),1,0)</x:f>
        <x:v>1</x:v>
      </x:c>
      <x:c r="J40" s="12" t="n">
        <x:v>0</x:v>
      </x:c>
      <x:c r="K40" s="10" t="str">
        <x:f>IF(I40=1,"PASS","FAIL")</x:f>
        <x:v>PASS</x:v>
      </x:c>
      <x:c r="L40" s="10" t="str">
        <x:f>IF(J40=1,"PASS","OPEN")</x:f>
        <x:v>OPEN</x:v>
      </x:c>
    </x:row>
    <x:row r="41">
      <x:c r="B41" s="10" t="str">
        <x:v>IA-035</x:v>
      </x:c>
      <x:c r="C41" s="10" t="str">
        <x:v>SA3</x:v>
      </x:c>
      <x:c r="D41" s="10" t="str">
        <x:v>evidence vault authority</x:v>
      </x:c>
      <x:c r="E41" s="10" t="str">
        <x:v>PTC-A</x:v>
      </x:c>
      <x:c r="F41" s="10" t="str">
        <x:v>SA3-VAULT-1</x:v>
      </x:c>
      <x:c r="G41" s="10" t="str">
        <x:v>PTC-C</x:v>
      </x:c>
      <x:c r="H41" s="10" t="str">
        <x:v>SA3-VAULT-2</x:v>
      </x:c>
      <x:c r="I41" s="10" t="n">
        <x:f>IF(AND(E41&lt;&gt;G41,F41&lt;&gt;H41),1,0)</x:f>
        <x:v>1</x:v>
      </x:c>
      <x:c r="J41" s="12" t="n">
        <x:v>0</x:v>
      </x:c>
      <x:c r="K41" s="10" t="str">
        <x:f>IF(I41=1,"PASS","FAIL")</x:f>
        <x:v>PASS</x:v>
      </x:c>
      <x:c r="L41" s="10" t="str">
        <x:f>IF(J41=1,"PASS","OPEN")</x:f>
        <x:v>OPEN</x:v>
      </x:c>
    </x:row>
    <x:row r="42">
      <x:c r="B42" s="10" t="str">
        <x:v>IA-036</x:v>
      </x:c>
      <x:c r="C42" s="10" t="str">
        <x:v>SA3</x:v>
      </x:c>
      <x:c r="D42" s="10" t="str">
        <x:v>destructive laboratory</x:v>
      </x:c>
      <x:c r="E42" s="10" t="str">
        <x:v>PTC-A</x:v>
      </x:c>
      <x:c r="F42" s="10" t="str">
        <x:v>SA3-DEST-1</x:v>
      </x:c>
      <x:c r="G42" s="10" t="str">
        <x:v>PTC-C</x:v>
      </x:c>
      <x:c r="H42" s="10" t="str">
        <x:v>SA3-DEST-2</x:v>
      </x:c>
      <x:c r="I42" s="10" t="n">
        <x:f>IF(AND(E42&lt;&gt;G42,F42&lt;&gt;H42),1,0)</x:f>
        <x:v>1</x:v>
      </x:c>
      <x:c r="J42" s="12" t="n">
        <x:v>0</x:v>
      </x:c>
      <x:c r="K42" s="10" t="str">
        <x:f>IF(I42=1,"PASS","FAIL")</x:f>
        <x:v>PASS</x:v>
      </x:c>
      <x:c r="L42" s="10" t="str">
        <x:f>IF(J42=1,"PASS","OPEN")</x:f>
        <x:v>OPEN</x:v>
      </x:c>
    </x:row>
    <x:row r="43">
      <x:c r="B43" s="10" t="str">
        <x:v>IA-037</x:v>
      </x:c>
      <x:c r="C43" s="10" t="str">
        <x:v>SA4</x:v>
      </x:c>
      <x:c r="D43" s="10" t="str">
        <x:v>site</x:v>
      </x:c>
      <x:c r="E43" s="10" t="str">
        <x:v>PTC-B</x:v>
      </x:c>
      <x:c r="F43" s="10" t="str">
        <x:v>SA4-SITE-1</x:v>
      </x:c>
      <x:c r="G43" s="10" t="str">
        <x:v>PTC-C</x:v>
      </x:c>
      <x:c r="H43" s="10" t="str">
        <x:v>SA4-SITE-2</x:v>
      </x:c>
      <x:c r="I43" s="10" t="n">
        <x:f>IF(AND(E43&lt;&gt;G43,F43&lt;&gt;H43),1,0)</x:f>
        <x:v>1</x:v>
      </x:c>
      <x:c r="J43" s="12" t="n">
        <x:v>0</x:v>
      </x:c>
      <x:c r="K43" s="10" t="str">
        <x:f>IF(I43=1,"PASS","FAIL")</x:f>
        <x:v>PASS</x:v>
      </x:c>
      <x:c r="L43" s="10" t="str">
        <x:f>IF(J43=1,"PASS","OPEN")</x:f>
        <x:v>OPEN</x:v>
      </x:c>
    </x:row>
    <x:row r="44">
      <x:c r="B44" s="10" t="str">
        <x:v>IA-038</x:v>
      </x:c>
      <x:c r="C44" s="10" t="str">
        <x:v>SA4</x:v>
      </x:c>
      <x:c r="D44" s="10" t="str">
        <x:v>utility control region</x:v>
      </x:c>
      <x:c r="E44" s="10" t="str">
        <x:v>PTC-B</x:v>
      </x:c>
      <x:c r="F44" s="10" t="str">
        <x:v>SA4-UTIL-1</x:v>
      </x:c>
      <x:c r="G44" s="10" t="str">
        <x:v>PTC-C</x:v>
      </x:c>
      <x:c r="H44" s="10" t="str">
        <x:v>SA4-UTIL-2</x:v>
      </x:c>
      <x:c r="I44" s="10" t="n">
        <x:f>IF(AND(E44&lt;&gt;G44,F44&lt;&gt;H44),1,0)</x:f>
        <x:v>1</x:v>
      </x:c>
      <x:c r="J44" s="12" t="n">
        <x:v>0</x:v>
      </x:c>
      <x:c r="K44" s="10" t="str">
        <x:f>IF(I44=1,"PASS","FAIL")</x:f>
        <x:v>PASS</x:v>
      </x:c>
      <x:c r="L44" s="10" t="str">
        <x:f>IF(J44=1,"PASS","OPEN")</x:f>
        <x:v>OPEN</x:v>
      </x:c>
    </x:row>
    <x:row r="45">
      <x:c r="B45" s="10" t="str">
        <x:v>IA-039</x:v>
      </x:c>
      <x:c r="C45" s="10" t="str">
        <x:v>SA4</x:v>
      </x:c>
      <x:c r="D45" s="10" t="str">
        <x:v>water and quarantine chain</x:v>
      </x:c>
      <x:c r="E45" s="10" t="str">
        <x:v>PTC-B</x:v>
      </x:c>
      <x:c r="F45" s="10" t="str">
        <x:v>SA4-WATR-1</x:v>
      </x:c>
      <x:c r="G45" s="10" t="str">
        <x:v>PTC-C</x:v>
      </x:c>
      <x:c r="H45" s="10" t="str">
        <x:v>SA4-WATR-2</x:v>
      </x:c>
      <x:c r="I45" s="10" t="n">
        <x:f>IF(AND(E45&lt;&gt;G45,F45&lt;&gt;H45),1,0)</x:f>
        <x:v>1</x:v>
      </x:c>
      <x:c r="J45" s="12" t="n">
        <x:v>0</x:v>
      </x:c>
      <x:c r="K45" s="10" t="str">
        <x:f>IF(I45=1,"PASS","FAIL")</x:f>
        <x:v>PASS</x:v>
      </x:c>
      <x:c r="L45" s="10" t="str">
        <x:f>IF(J45=1,"PASS","OPEN")</x:f>
        <x:v>OPEN</x:v>
      </x:c>
    </x:row>
    <x:row r="46">
      <x:c r="B46" s="10" t="str">
        <x:v>IA-040</x:v>
      </x:c>
      <x:c r="C46" s="10" t="str">
        <x:v>SA4</x:v>
      </x:c>
      <x:c r="D46" s="10" t="str">
        <x:v>fixture fabricator and process</x:v>
      </x:c>
      <x:c r="E46" s="10" t="str">
        <x:v>PTC-B</x:v>
      </x:c>
      <x:c r="F46" s="10" t="str">
        <x:v>SA4-FIX-1</x:v>
      </x:c>
      <x:c r="G46" s="10" t="str">
        <x:v>PTC-C</x:v>
      </x:c>
      <x:c r="H46" s="10" t="str">
        <x:v>SA4-FIX-2</x:v>
      </x:c>
      <x:c r="I46" s="10" t="n">
        <x:f>IF(AND(E46&lt;&gt;G46,F46&lt;&gt;H46),1,0)</x:f>
        <x:v>1</x:v>
      </x:c>
      <x:c r="J46" s="12" t="n">
        <x:v>0</x:v>
      </x:c>
      <x:c r="K46" s="10" t="str">
        <x:f>IF(I46=1,"PASS","FAIL")</x:f>
        <x:v>PASS</x:v>
      </x:c>
      <x:c r="L46" s="10" t="str">
        <x:f>IF(J46=1,"PASS","OPEN")</x:f>
        <x:v>OPEN</x:v>
      </x:c>
    </x:row>
    <x:row r="47">
      <x:c r="B47" s="10" t="str">
        <x:v>IA-041</x:v>
      </x:c>
      <x:c r="C47" s="10" t="str">
        <x:v>SA4</x:v>
      </x:c>
      <x:c r="D47" s="10" t="str">
        <x:v>stimulus controller implementation</x:v>
      </x:c>
      <x:c r="E47" s="10" t="str">
        <x:v>PTC-B</x:v>
      </x:c>
      <x:c r="F47" s="10" t="str">
        <x:v>SA4-CTRL-1</x:v>
      </x:c>
      <x:c r="G47" s="10" t="str">
        <x:v>PTC-C</x:v>
      </x:c>
      <x:c r="H47" s="10" t="str">
        <x:v>SA4-CTRL-2</x:v>
      </x:c>
      <x:c r="I47" s="10" t="n">
        <x:f>IF(AND(E47&lt;&gt;G47,F47&lt;&gt;H47),1,0)</x:f>
        <x:v>1</x:v>
      </x:c>
      <x:c r="J47" s="12" t="n">
        <x:v>0</x:v>
      </x:c>
      <x:c r="K47" s="10" t="str">
        <x:f>IF(I47=1,"PASS","FAIL")</x:f>
        <x:v>PASS</x:v>
      </x:c>
      <x:c r="L47" s="10" t="str">
        <x:f>IF(J47=1,"PASS","OPEN")</x:f>
        <x:v>OPEN</x:v>
      </x:c>
    </x:row>
    <x:row r="48">
      <x:c r="B48" s="10" t="str">
        <x:v>IA-042</x:v>
      </x:c>
      <x:c r="C48" s="10" t="str">
        <x:v>SA4</x:v>
      </x:c>
      <x:c r="D48" s="10" t="str">
        <x:v>acquisition recorder implementation</x:v>
      </x:c>
      <x:c r="E48" s="10" t="str">
        <x:v>PTC-B</x:v>
      </x:c>
      <x:c r="F48" s="10" t="str">
        <x:v>SA4-ACQ-1</x:v>
      </x:c>
      <x:c r="G48" s="10" t="str">
        <x:v>PTC-C</x:v>
      </x:c>
      <x:c r="H48" s="10" t="str">
        <x:v>SA4-ACQ-2</x:v>
      </x:c>
      <x:c r="I48" s="10" t="n">
        <x:f>IF(AND(E48&lt;&gt;G48,F48&lt;&gt;H48),1,0)</x:f>
        <x:v>1</x:v>
      </x:c>
      <x:c r="J48" s="12" t="n">
        <x:v>0</x:v>
      </x:c>
      <x:c r="K48" s="10" t="str">
        <x:f>IF(I48=1,"PASS","FAIL")</x:f>
        <x:v>PASS</x:v>
      </x:c>
      <x:c r="L48" s="10" t="str">
        <x:f>IF(J48=1,"PASS","OPEN")</x:f>
        <x:v>OPEN</x:v>
      </x:c>
    </x:row>
    <x:row r="49">
      <x:c r="B49" s="10" t="str">
        <x:v>IA-043</x:v>
      </x:c>
      <x:c r="C49" s="10" t="str">
        <x:v>SA4</x:v>
      </x:c>
      <x:c r="D49" s="10" t="str">
        <x:v>calibration transfer chain</x:v>
      </x:c>
      <x:c r="E49" s="10" t="str">
        <x:v>PTC-B</x:v>
      </x:c>
      <x:c r="F49" s="10" t="str">
        <x:v>SA4-CAL-1</x:v>
      </x:c>
      <x:c r="G49" s="10" t="str">
        <x:v>PTC-C</x:v>
      </x:c>
      <x:c r="H49" s="10" t="str">
        <x:v>SA4-CAL-2</x:v>
      </x:c>
      <x:c r="I49" s="10" t="n">
        <x:f>IF(AND(E49&lt;&gt;G49,F49&lt;&gt;H49),1,0)</x:f>
        <x:v>1</x:v>
      </x:c>
      <x:c r="J49" s="12" t="n">
        <x:v>0</x:v>
      </x:c>
      <x:c r="K49" s="10" t="str">
        <x:f>IF(I49=1,"PASS","FAIL")</x:f>
        <x:v>PASS</x:v>
      </x:c>
      <x:c r="L49" s="10" t="str">
        <x:f>IF(J49=1,"PASS","OPEN")</x:f>
        <x:v>OPEN</x:v>
      </x:c>
    </x:row>
    <x:row r="50">
      <x:c r="B50" s="10" t="str">
        <x:v>IA-044</x:v>
      </x:c>
      <x:c r="C50" s="10" t="str">
        <x:v>SA4</x:v>
      </x:c>
      <x:c r="D50" s="10" t="str">
        <x:v>time and holdover implementation</x:v>
      </x:c>
      <x:c r="E50" s="10" t="str">
        <x:v>PTC-B</x:v>
      </x:c>
      <x:c r="F50" s="10" t="str">
        <x:v>SA4-TIME-1</x:v>
      </x:c>
      <x:c r="G50" s="10" t="str">
        <x:v>PTC-C</x:v>
      </x:c>
      <x:c r="H50" s="10" t="str">
        <x:v>SA4-TIME-2</x:v>
      </x:c>
      <x:c r="I50" s="10" t="n">
        <x:f>IF(AND(E50&lt;&gt;G50,F50&lt;&gt;H50),1,0)</x:f>
        <x:v>1</x:v>
      </x:c>
      <x:c r="J50" s="12" t="n">
        <x:v>0</x:v>
      </x:c>
      <x:c r="K50" s="10" t="str">
        <x:f>IF(I50=1,"PASS","FAIL")</x:f>
        <x:v>PASS</x:v>
      </x:c>
      <x:c r="L50" s="10" t="str">
        <x:f>IF(J50=1,"PASS","OPEN")</x:f>
        <x:v>OPEN</x:v>
      </x:c>
    </x:row>
    <x:row r="51">
      <x:c r="B51" s="10" t="str">
        <x:v>IA-045</x:v>
      </x:c>
      <x:c r="C51" s="10" t="str">
        <x:v>SA4</x:v>
      </x:c>
      <x:c r="D51" s="10" t="str">
        <x:v>signing and key root</x:v>
      </x:c>
      <x:c r="E51" s="10" t="str">
        <x:v>PTC-B</x:v>
      </x:c>
      <x:c r="F51" s="10" t="str">
        <x:v>SA4-KEY-1</x:v>
      </x:c>
      <x:c r="G51" s="10" t="str">
        <x:v>PTC-C</x:v>
      </x:c>
      <x:c r="H51" s="10" t="str">
        <x:v>SA4-KEY-2</x:v>
      </x:c>
      <x:c r="I51" s="10" t="n">
        <x:f>IF(AND(E51&lt;&gt;G51,F51&lt;&gt;H51),1,0)</x:f>
        <x:v>1</x:v>
      </x:c>
      <x:c r="J51" s="12" t="n">
        <x:v>0</x:v>
      </x:c>
      <x:c r="K51" s="10" t="str">
        <x:f>IF(I51=1,"PASS","FAIL")</x:f>
        <x:v>PASS</x:v>
      </x:c>
      <x:c r="L51" s="10" t="str">
        <x:f>IF(J51=1,"PASS","OPEN")</x:f>
        <x:v>OPEN</x:v>
      </x:c>
    </x:row>
    <x:row r="52">
      <x:c r="B52" s="10" t="str">
        <x:v>IA-046</x:v>
      </x:c>
      <x:c r="C52" s="10" t="str">
        <x:v>SA4</x:v>
      </x:c>
      <x:c r="D52" s="10" t="str">
        <x:v>lead operator pool</x:v>
      </x:c>
      <x:c r="E52" s="10" t="str">
        <x:v>PTC-B</x:v>
      </x:c>
      <x:c r="F52" s="10" t="str">
        <x:v>SA4-CREW-1</x:v>
      </x:c>
      <x:c r="G52" s="10" t="str">
        <x:v>PTC-C</x:v>
      </x:c>
      <x:c r="H52" s="10" t="str">
        <x:v>SA4-CREW-2</x:v>
      </x:c>
      <x:c r="I52" s="10" t="n">
        <x:f>IF(AND(E52&lt;&gt;G52,F52&lt;&gt;H52),1,0)</x:f>
        <x:v>1</x:v>
      </x:c>
      <x:c r="J52" s="12" t="n">
        <x:v>0</x:v>
      </x:c>
      <x:c r="K52" s="10" t="str">
        <x:f>IF(I52=1,"PASS","FAIL")</x:f>
        <x:v>PASS</x:v>
      </x:c>
      <x:c r="L52" s="10" t="str">
        <x:f>IF(J52=1,"PASS","OPEN")</x:f>
        <x:v>OPEN</x:v>
      </x:c>
    </x:row>
    <x:row r="53">
      <x:c r="B53" s="10" t="str">
        <x:v>IA-047</x:v>
      </x:c>
      <x:c r="C53" s="10" t="str">
        <x:v>SA4</x:v>
      </x:c>
      <x:c r="D53" s="10" t="str">
        <x:v>evidence vault authority</x:v>
      </x:c>
      <x:c r="E53" s="10" t="str">
        <x:v>PTC-B</x:v>
      </x:c>
      <x:c r="F53" s="10" t="str">
        <x:v>SA4-VAULT-1</x:v>
      </x:c>
      <x:c r="G53" s="10" t="str">
        <x:v>PTC-C</x:v>
      </x:c>
      <x:c r="H53" s="10" t="str">
        <x:v>SA4-VAULT-2</x:v>
      </x:c>
      <x:c r="I53" s="10" t="n">
        <x:f>IF(AND(E53&lt;&gt;G53,F53&lt;&gt;H53),1,0)</x:f>
        <x:v>1</x:v>
      </x:c>
      <x:c r="J53" s="12" t="n">
        <x:v>0</x:v>
      </x:c>
      <x:c r="K53" s="10" t="str">
        <x:f>IF(I53=1,"PASS","FAIL")</x:f>
        <x:v>PASS</x:v>
      </x:c>
      <x:c r="L53" s="10" t="str">
        <x:f>IF(J53=1,"PASS","OPEN")</x:f>
        <x:v>OPEN</x:v>
      </x:c>
    </x:row>
    <x:row r="54">
      <x:c r="B54" s="10" t="str">
        <x:v>IA-048</x:v>
      </x:c>
      <x:c r="C54" s="10" t="str">
        <x:v>SA4</x:v>
      </x:c>
      <x:c r="D54" s="10" t="str">
        <x:v>destructive laboratory</x:v>
      </x:c>
      <x:c r="E54" s="10" t="str">
        <x:v>PTC-B</x:v>
      </x:c>
      <x:c r="F54" s="10" t="str">
        <x:v>SA4-DEST-1</x:v>
      </x:c>
      <x:c r="G54" s="10" t="str">
        <x:v>PTC-C</x:v>
      </x:c>
      <x:c r="H54" s="10" t="str">
        <x:v>SA4-DEST-2</x:v>
      </x:c>
      <x:c r="I54" s="10" t="n">
        <x:f>IF(AND(E54&lt;&gt;G54,F54&lt;&gt;H54),1,0)</x:f>
        <x:v>1</x:v>
      </x:c>
      <x:c r="J54" s="12" t="n">
        <x:v>0</x:v>
      </x:c>
      <x:c r="K54" s="10" t="str">
        <x:f>IF(I54=1,"PASS","FAIL")</x:f>
        <x:v>PASS</x:v>
      </x:c>
      <x:c r="L54" s="10" t="str">
        <x:f>IF(J54=1,"PASS","OPEN")</x:f>
        <x:v>OPEN</x:v>
      </x:c>
    </x:row>
    <x:row r="55">
      <x:c r="B55" s="10" t="str">
        <x:v>IA-049</x:v>
      </x:c>
      <x:c r="C55" s="10" t="str">
        <x:v>SA5</x:v>
      </x:c>
      <x:c r="D55" s="10" t="str">
        <x:v>site</x:v>
      </x:c>
      <x:c r="E55" s="10" t="str">
        <x:v>PTC-A</x:v>
      </x:c>
      <x:c r="F55" s="10" t="str">
        <x:v>SA5-SITE-1</x:v>
      </x:c>
      <x:c r="G55" s="10" t="str">
        <x:v>PTC-B</x:v>
      </x:c>
      <x:c r="H55" s="10" t="str">
        <x:v>SA5-SITE-2</x:v>
      </x:c>
      <x:c r="I55" s="10" t="n">
        <x:f>IF(AND(E55&lt;&gt;G55,F55&lt;&gt;H55),1,0)</x:f>
        <x:v>1</x:v>
      </x:c>
      <x:c r="J55" s="12" t="n">
        <x:v>0</x:v>
      </x:c>
      <x:c r="K55" s="10" t="str">
        <x:f>IF(I55=1,"PASS","FAIL")</x:f>
        <x:v>PASS</x:v>
      </x:c>
      <x:c r="L55" s="10" t="str">
        <x:f>IF(J55=1,"PASS","OPEN")</x:f>
        <x:v>OPEN</x:v>
      </x:c>
    </x:row>
    <x:row r="56">
      <x:c r="B56" s="10" t="str">
        <x:v>IA-050</x:v>
      </x:c>
      <x:c r="C56" s="10" t="str">
        <x:v>SA5</x:v>
      </x:c>
      <x:c r="D56" s="10" t="str">
        <x:v>utility control region</x:v>
      </x:c>
      <x:c r="E56" s="10" t="str">
        <x:v>PTC-A</x:v>
      </x:c>
      <x:c r="F56" s="10" t="str">
        <x:v>SA5-UTIL-1</x:v>
      </x:c>
      <x:c r="G56" s="10" t="str">
        <x:v>PTC-B</x:v>
      </x:c>
      <x:c r="H56" s="10" t="str">
        <x:v>SA5-UTIL-2</x:v>
      </x:c>
      <x:c r="I56" s="10" t="n">
        <x:f>IF(AND(E56&lt;&gt;G56,F56&lt;&gt;H56),1,0)</x:f>
        <x:v>1</x:v>
      </x:c>
      <x:c r="J56" s="12" t="n">
        <x:v>0</x:v>
      </x:c>
      <x:c r="K56" s="10" t="str">
        <x:f>IF(I56=1,"PASS","FAIL")</x:f>
        <x:v>PASS</x:v>
      </x:c>
      <x:c r="L56" s="10" t="str">
        <x:f>IF(J56=1,"PASS","OPEN")</x:f>
        <x:v>OPEN</x:v>
      </x:c>
    </x:row>
    <x:row r="57">
      <x:c r="B57" s="10" t="str">
        <x:v>IA-051</x:v>
      </x:c>
      <x:c r="C57" s="10" t="str">
        <x:v>SA5</x:v>
      </x:c>
      <x:c r="D57" s="10" t="str">
        <x:v>water and quarantine chain</x:v>
      </x:c>
      <x:c r="E57" s="10" t="str">
        <x:v>PTC-A</x:v>
      </x:c>
      <x:c r="F57" s="10" t="str">
        <x:v>SA5-WATR-1</x:v>
      </x:c>
      <x:c r="G57" s="10" t="str">
        <x:v>PTC-B</x:v>
      </x:c>
      <x:c r="H57" s="10" t="str">
        <x:v>SA5-WATR-2</x:v>
      </x:c>
      <x:c r="I57" s="10" t="n">
        <x:f>IF(AND(E57&lt;&gt;G57,F57&lt;&gt;H57),1,0)</x:f>
        <x:v>1</x:v>
      </x:c>
      <x:c r="J57" s="12" t="n">
        <x:v>0</x:v>
      </x:c>
      <x:c r="K57" s="10" t="str">
        <x:f>IF(I57=1,"PASS","FAIL")</x:f>
        <x:v>PASS</x:v>
      </x:c>
      <x:c r="L57" s="10" t="str">
        <x:f>IF(J57=1,"PASS","OPEN")</x:f>
        <x:v>OPEN</x:v>
      </x:c>
    </x:row>
    <x:row r="58">
      <x:c r="B58" s="10" t="str">
        <x:v>IA-052</x:v>
      </x:c>
      <x:c r="C58" s="10" t="str">
        <x:v>SA5</x:v>
      </x:c>
      <x:c r="D58" s="10" t="str">
        <x:v>fixture fabricator and process</x:v>
      </x:c>
      <x:c r="E58" s="10" t="str">
        <x:v>PTC-A</x:v>
      </x:c>
      <x:c r="F58" s="10" t="str">
        <x:v>SA5-FIX-1</x:v>
      </x:c>
      <x:c r="G58" s="10" t="str">
        <x:v>PTC-B</x:v>
      </x:c>
      <x:c r="H58" s="10" t="str">
        <x:v>SA5-FIX-2</x:v>
      </x:c>
      <x:c r="I58" s="10" t="n">
        <x:f>IF(AND(E58&lt;&gt;G58,F58&lt;&gt;H58),1,0)</x:f>
        <x:v>1</x:v>
      </x:c>
      <x:c r="J58" s="12" t="n">
        <x:v>0</x:v>
      </x:c>
      <x:c r="K58" s="10" t="str">
        <x:f>IF(I58=1,"PASS","FAIL")</x:f>
        <x:v>PASS</x:v>
      </x:c>
      <x:c r="L58" s="10" t="str">
        <x:f>IF(J58=1,"PASS","OPEN")</x:f>
        <x:v>OPEN</x:v>
      </x:c>
    </x:row>
    <x:row r="59">
      <x:c r="B59" s="10" t="str">
        <x:v>IA-053</x:v>
      </x:c>
      <x:c r="C59" s="10" t="str">
        <x:v>SA5</x:v>
      </x:c>
      <x:c r="D59" s="10" t="str">
        <x:v>stimulus controller implementation</x:v>
      </x:c>
      <x:c r="E59" s="10" t="str">
        <x:v>PTC-A</x:v>
      </x:c>
      <x:c r="F59" s="10" t="str">
        <x:v>SA5-CTRL-1</x:v>
      </x:c>
      <x:c r="G59" s="10" t="str">
        <x:v>PTC-B</x:v>
      </x:c>
      <x:c r="H59" s="10" t="str">
        <x:v>SA5-CTRL-2</x:v>
      </x:c>
      <x:c r="I59" s="10" t="n">
        <x:f>IF(AND(E59&lt;&gt;G59,F59&lt;&gt;H59),1,0)</x:f>
        <x:v>1</x:v>
      </x:c>
      <x:c r="J59" s="12" t="n">
        <x:v>0</x:v>
      </x:c>
      <x:c r="K59" s="10" t="str">
        <x:f>IF(I59=1,"PASS","FAIL")</x:f>
        <x:v>PASS</x:v>
      </x:c>
      <x:c r="L59" s="10" t="str">
        <x:f>IF(J59=1,"PASS","OPEN")</x:f>
        <x:v>OPEN</x:v>
      </x:c>
    </x:row>
    <x:row r="60">
      <x:c r="B60" s="10" t="str">
        <x:v>IA-054</x:v>
      </x:c>
      <x:c r="C60" s="10" t="str">
        <x:v>SA5</x:v>
      </x:c>
      <x:c r="D60" s="10" t="str">
        <x:v>acquisition recorder implementation</x:v>
      </x:c>
      <x:c r="E60" s="10" t="str">
        <x:v>PTC-A</x:v>
      </x:c>
      <x:c r="F60" s="10" t="str">
        <x:v>SA5-ACQ-1</x:v>
      </x:c>
      <x:c r="G60" s="10" t="str">
        <x:v>PTC-B</x:v>
      </x:c>
      <x:c r="H60" s="10" t="str">
        <x:v>SA5-ACQ-2</x:v>
      </x:c>
      <x:c r="I60" s="10" t="n">
        <x:f>IF(AND(E60&lt;&gt;G60,F60&lt;&gt;H60),1,0)</x:f>
        <x:v>1</x:v>
      </x:c>
      <x:c r="J60" s="12" t="n">
        <x:v>0</x:v>
      </x:c>
      <x:c r="K60" s="10" t="str">
        <x:f>IF(I60=1,"PASS","FAIL")</x:f>
        <x:v>PASS</x:v>
      </x:c>
      <x:c r="L60" s="10" t="str">
        <x:f>IF(J60=1,"PASS","OPEN")</x:f>
        <x:v>OPEN</x:v>
      </x:c>
    </x:row>
    <x:row r="61">
      <x:c r="B61" s="10" t="str">
        <x:v>IA-055</x:v>
      </x:c>
      <x:c r="C61" s="10" t="str">
        <x:v>SA5</x:v>
      </x:c>
      <x:c r="D61" s="10" t="str">
        <x:v>calibration transfer chain</x:v>
      </x:c>
      <x:c r="E61" s="10" t="str">
        <x:v>PTC-A</x:v>
      </x:c>
      <x:c r="F61" s="10" t="str">
        <x:v>SA5-CAL-1</x:v>
      </x:c>
      <x:c r="G61" s="10" t="str">
        <x:v>PTC-B</x:v>
      </x:c>
      <x:c r="H61" s="10" t="str">
        <x:v>SA5-CAL-2</x:v>
      </x:c>
      <x:c r="I61" s="10" t="n">
        <x:f>IF(AND(E61&lt;&gt;G61,F61&lt;&gt;H61),1,0)</x:f>
        <x:v>1</x:v>
      </x:c>
      <x:c r="J61" s="12" t="n">
        <x:v>0</x:v>
      </x:c>
      <x:c r="K61" s="10" t="str">
        <x:f>IF(I61=1,"PASS","FAIL")</x:f>
        <x:v>PASS</x:v>
      </x:c>
      <x:c r="L61" s="10" t="str">
        <x:f>IF(J61=1,"PASS","OPEN")</x:f>
        <x:v>OPEN</x:v>
      </x:c>
    </x:row>
    <x:row r="62">
      <x:c r="B62" s="10" t="str">
        <x:v>IA-056</x:v>
      </x:c>
      <x:c r="C62" s="10" t="str">
        <x:v>SA5</x:v>
      </x:c>
      <x:c r="D62" s="10" t="str">
        <x:v>time and holdover implementation</x:v>
      </x:c>
      <x:c r="E62" s="10" t="str">
        <x:v>PTC-A</x:v>
      </x:c>
      <x:c r="F62" s="10" t="str">
        <x:v>SA5-TIME-1</x:v>
      </x:c>
      <x:c r="G62" s="10" t="str">
        <x:v>PTC-B</x:v>
      </x:c>
      <x:c r="H62" s="10" t="str">
        <x:v>SA5-TIME-2</x:v>
      </x:c>
      <x:c r="I62" s="10" t="n">
        <x:f>IF(AND(E62&lt;&gt;G62,F62&lt;&gt;H62),1,0)</x:f>
        <x:v>1</x:v>
      </x:c>
      <x:c r="J62" s="12" t="n">
        <x:v>0</x:v>
      </x:c>
      <x:c r="K62" s="10" t="str">
        <x:f>IF(I62=1,"PASS","FAIL")</x:f>
        <x:v>PASS</x:v>
      </x:c>
      <x:c r="L62" s="10" t="str">
        <x:f>IF(J62=1,"PASS","OPEN")</x:f>
        <x:v>OPEN</x:v>
      </x:c>
    </x:row>
    <x:row r="63">
      <x:c r="B63" s="10" t="str">
        <x:v>IA-057</x:v>
      </x:c>
      <x:c r="C63" s="10" t="str">
        <x:v>SA5</x:v>
      </x:c>
      <x:c r="D63" s="10" t="str">
        <x:v>signing and key root</x:v>
      </x:c>
      <x:c r="E63" s="10" t="str">
        <x:v>PTC-A</x:v>
      </x:c>
      <x:c r="F63" s="10" t="str">
        <x:v>SA5-KEY-1</x:v>
      </x:c>
      <x:c r="G63" s="10" t="str">
        <x:v>PTC-B</x:v>
      </x:c>
      <x:c r="H63" s="10" t="str">
        <x:v>SA5-KEY-2</x:v>
      </x:c>
      <x:c r="I63" s="10" t="n">
        <x:f>IF(AND(E63&lt;&gt;G63,F63&lt;&gt;H63),1,0)</x:f>
        <x:v>1</x:v>
      </x:c>
      <x:c r="J63" s="12" t="n">
        <x:v>0</x:v>
      </x:c>
      <x:c r="K63" s="10" t="str">
        <x:f>IF(I63=1,"PASS","FAIL")</x:f>
        <x:v>PASS</x:v>
      </x:c>
      <x:c r="L63" s="10" t="str">
        <x:f>IF(J63=1,"PASS","OPEN")</x:f>
        <x:v>OPEN</x:v>
      </x:c>
    </x:row>
    <x:row r="64">
      <x:c r="B64" s="10" t="str">
        <x:v>IA-058</x:v>
      </x:c>
      <x:c r="C64" s="10" t="str">
        <x:v>SA5</x:v>
      </x:c>
      <x:c r="D64" s="10" t="str">
        <x:v>lead operator pool</x:v>
      </x:c>
      <x:c r="E64" s="10" t="str">
        <x:v>PTC-A</x:v>
      </x:c>
      <x:c r="F64" s="10" t="str">
        <x:v>SA5-CREW-1</x:v>
      </x:c>
      <x:c r="G64" s="10" t="str">
        <x:v>PTC-B</x:v>
      </x:c>
      <x:c r="H64" s="10" t="str">
        <x:v>SA5-CREW-2</x:v>
      </x:c>
      <x:c r="I64" s="10" t="n">
        <x:f>IF(AND(E64&lt;&gt;G64,F64&lt;&gt;H64),1,0)</x:f>
        <x:v>1</x:v>
      </x:c>
      <x:c r="J64" s="12" t="n">
        <x:v>0</x:v>
      </x:c>
      <x:c r="K64" s="10" t="str">
        <x:f>IF(I64=1,"PASS","FAIL")</x:f>
        <x:v>PASS</x:v>
      </x:c>
      <x:c r="L64" s="10" t="str">
        <x:f>IF(J64=1,"PASS","OPEN")</x:f>
        <x:v>OPEN</x:v>
      </x:c>
    </x:row>
    <x:row r="65">
      <x:c r="B65" s="10" t="str">
        <x:v>IA-059</x:v>
      </x:c>
      <x:c r="C65" s="10" t="str">
        <x:v>SA5</x:v>
      </x:c>
      <x:c r="D65" s="10" t="str">
        <x:v>evidence vault authority</x:v>
      </x:c>
      <x:c r="E65" s="10" t="str">
        <x:v>PTC-A</x:v>
      </x:c>
      <x:c r="F65" s="10" t="str">
        <x:v>SA5-VAULT-1</x:v>
      </x:c>
      <x:c r="G65" s="10" t="str">
        <x:v>PTC-B</x:v>
      </x:c>
      <x:c r="H65" s="10" t="str">
        <x:v>SA5-VAULT-2</x:v>
      </x:c>
      <x:c r="I65" s="10" t="n">
        <x:f>IF(AND(E65&lt;&gt;G65,F65&lt;&gt;H65),1,0)</x:f>
        <x:v>1</x:v>
      </x:c>
      <x:c r="J65" s="12" t="n">
        <x:v>0</x:v>
      </x:c>
      <x:c r="K65" s="10" t="str">
        <x:f>IF(I65=1,"PASS","FAIL")</x:f>
        <x:v>PASS</x:v>
      </x:c>
      <x:c r="L65" s="10" t="str">
        <x:f>IF(J65=1,"PASS","OPEN")</x:f>
        <x:v>OPEN</x:v>
      </x:c>
    </x:row>
    <x:row r="66">
      <x:c r="B66" s="10" t="str">
        <x:v>IA-060</x:v>
      </x:c>
      <x:c r="C66" s="10" t="str">
        <x:v>SA5</x:v>
      </x:c>
      <x:c r="D66" s="10" t="str">
        <x:v>destructive laboratory</x:v>
      </x:c>
      <x:c r="E66" s="10" t="str">
        <x:v>PTC-A</x:v>
      </x:c>
      <x:c r="F66" s="10" t="str">
        <x:v>SA5-DEST-1</x:v>
      </x:c>
      <x:c r="G66" s="10" t="str">
        <x:v>PTC-B</x:v>
      </x:c>
      <x:c r="H66" s="10" t="str">
        <x:v>SA5-DEST-2</x:v>
      </x:c>
      <x:c r="I66" s="10" t="n">
        <x:f>IF(AND(E66&lt;&gt;G66,F66&lt;&gt;H66),1,0)</x:f>
        <x:v>1</x:v>
      </x:c>
      <x:c r="J66" s="12" t="n">
        <x:v>0</x:v>
      </x:c>
      <x:c r="K66" s="10" t="str">
        <x:f>IF(I66=1,"PASS","FAIL")</x:f>
        <x:v>PASS</x:v>
      </x:c>
      <x:c r="L66" s="10" t="str">
        <x:f>IF(J66=1,"PASS","OPEN")</x:f>
        <x:v>OPEN</x:v>
      </x:c>
    </x:row>
    <x:row r="67">
      <x:c r="B67" s="10" t="str">
        <x:v>IA-061</x:v>
      </x:c>
      <x:c r="C67" s="10" t="str">
        <x:v>SA6</x:v>
      </x:c>
      <x:c r="D67" s="10" t="str">
        <x:v>site</x:v>
      </x:c>
      <x:c r="E67" s="10" t="str">
        <x:v>PTC-B</x:v>
      </x:c>
      <x:c r="F67" s="10" t="str">
        <x:v>SA6-SITE-1</x:v>
      </x:c>
      <x:c r="G67" s="10" t="str">
        <x:v>PTC-C</x:v>
      </x:c>
      <x:c r="H67" s="10" t="str">
        <x:v>SA6-SITE-2</x:v>
      </x:c>
      <x:c r="I67" s="10" t="n">
        <x:f>IF(AND(E67&lt;&gt;G67,F67&lt;&gt;H67),1,0)</x:f>
        <x:v>1</x:v>
      </x:c>
      <x:c r="J67" s="12" t="n">
        <x:v>0</x:v>
      </x:c>
      <x:c r="K67" s="10" t="str">
        <x:f>IF(I67=1,"PASS","FAIL")</x:f>
        <x:v>PASS</x:v>
      </x:c>
      <x:c r="L67" s="10" t="str">
        <x:f>IF(J67=1,"PASS","OPEN")</x:f>
        <x:v>OPEN</x:v>
      </x:c>
    </x:row>
    <x:row r="68">
      <x:c r="B68" s="10" t="str">
        <x:v>IA-062</x:v>
      </x:c>
      <x:c r="C68" s="10" t="str">
        <x:v>SA6</x:v>
      </x:c>
      <x:c r="D68" s="10" t="str">
        <x:v>utility control region</x:v>
      </x:c>
      <x:c r="E68" s="10" t="str">
        <x:v>PTC-B</x:v>
      </x:c>
      <x:c r="F68" s="10" t="str">
        <x:v>SA6-UTIL-1</x:v>
      </x:c>
      <x:c r="G68" s="10" t="str">
        <x:v>PTC-C</x:v>
      </x:c>
      <x:c r="H68" s="10" t="str">
        <x:v>SA6-UTIL-2</x:v>
      </x:c>
      <x:c r="I68" s="10" t="n">
        <x:f>IF(AND(E68&lt;&gt;G68,F68&lt;&gt;H68),1,0)</x:f>
        <x:v>1</x:v>
      </x:c>
      <x:c r="J68" s="12" t="n">
        <x:v>0</x:v>
      </x:c>
      <x:c r="K68" s="10" t="str">
        <x:f>IF(I68=1,"PASS","FAIL")</x:f>
        <x:v>PASS</x:v>
      </x:c>
      <x:c r="L68" s="10" t="str">
        <x:f>IF(J68=1,"PASS","OPEN")</x:f>
        <x:v>OPEN</x:v>
      </x:c>
    </x:row>
    <x:row r="69">
      <x:c r="B69" s="10" t="str">
        <x:v>IA-063</x:v>
      </x:c>
      <x:c r="C69" s="10" t="str">
        <x:v>SA6</x:v>
      </x:c>
      <x:c r="D69" s="10" t="str">
        <x:v>water and quarantine chain</x:v>
      </x:c>
      <x:c r="E69" s="10" t="str">
        <x:v>PTC-B</x:v>
      </x:c>
      <x:c r="F69" s="10" t="str">
        <x:v>SA6-WATR-1</x:v>
      </x:c>
      <x:c r="G69" s="10" t="str">
        <x:v>PTC-C</x:v>
      </x:c>
      <x:c r="H69" s="10" t="str">
        <x:v>SA6-WATR-2</x:v>
      </x:c>
      <x:c r="I69" s="10" t="n">
        <x:f>IF(AND(E69&lt;&gt;G69,F69&lt;&gt;H69),1,0)</x:f>
        <x:v>1</x:v>
      </x:c>
      <x:c r="J69" s="12" t="n">
        <x:v>0</x:v>
      </x:c>
      <x:c r="K69" s="10" t="str">
        <x:f>IF(I69=1,"PASS","FAIL")</x:f>
        <x:v>PASS</x:v>
      </x:c>
      <x:c r="L69" s="10" t="str">
        <x:f>IF(J69=1,"PASS","OPEN")</x:f>
        <x:v>OPEN</x:v>
      </x:c>
    </x:row>
    <x:row r="70">
      <x:c r="B70" s="10" t="str">
        <x:v>IA-064</x:v>
      </x:c>
      <x:c r="C70" s="10" t="str">
        <x:v>SA6</x:v>
      </x:c>
      <x:c r="D70" s="10" t="str">
        <x:v>fixture fabricator and process</x:v>
      </x:c>
      <x:c r="E70" s="10" t="str">
        <x:v>PTC-B</x:v>
      </x:c>
      <x:c r="F70" s="10" t="str">
        <x:v>SA6-FIX-1</x:v>
      </x:c>
      <x:c r="G70" s="10" t="str">
        <x:v>PTC-C</x:v>
      </x:c>
      <x:c r="H70" s="10" t="str">
        <x:v>SA6-FIX-2</x:v>
      </x:c>
      <x:c r="I70" s="10" t="n">
        <x:f>IF(AND(E70&lt;&gt;G70,F70&lt;&gt;H70),1,0)</x:f>
        <x:v>1</x:v>
      </x:c>
      <x:c r="J70" s="12" t="n">
        <x:v>0</x:v>
      </x:c>
      <x:c r="K70" s="10" t="str">
        <x:f>IF(I70=1,"PASS","FAIL")</x:f>
        <x:v>PASS</x:v>
      </x:c>
      <x:c r="L70" s="10" t="str">
        <x:f>IF(J70=1,"PASS","OPEN")</x:f>
        <x:v>OPEN</x:v>
      </x:c>
    </x:row>
    <x:row r="71">
      <x:c r="B71" s="10" t="str">
        <x:v>IA-065</x:v>
      </x:c>
      <x:c r="C71" s="10" t="str">
        <x:v>SA6</x:v>
      </x:c>
      <x:c r="D71" s="10" t="str">
        <x:v>stimulus controller implementation</x:v>
      </x:c>
      <x:c r="E71" s="10" t="str">
        <x:v>PTC-B</x:v>
      </x:c>
      <x:c r="F71" s="10" t="str">
        <x:v>SA6-CTRL-1</x:v>
      </x:c>
      <x:c r="G71" s="10" t="str">
        <x:v>PTC-C</x:v>
      </x:c>
      <x:c r="H71" s="10" t="str">
        <x:v>SA6-CTRL-2</x:v>
      </x:c>
      <x:c r="I71" s="10" t="n">
        <x:f>IF(AND(E71&lt;&gt;G71,F71&lt;&gt;H71),1,0)</x:f>
        <x:v>1</x:v>
      </x:c>
      <x:c r="J71" s="12" t="n">
        <x:v>0</x:v>
      </x:c>
      <x:c r="K71" s="10" t="str">
        <x:f>IF(I71=1,"PASS","FAIL")</x:f>
        <x:v>PASS</x:v>
      </x:c>
      <x:c r="L71" s="10" t="str">
        <x:f>IF(J71=1,"PASS","OPEN")</x:f>
        <x:v>OPEN</x:v>
      </x:c>
    </x:row>
    <x:row r="72">
      <x:c r="B72" s="10" t="str">
        <x:v>IA-066</x:v>
      </x:c>
      <x:c r="C72" s="10" t="str">
        <x:v>SA6</x:v>
      </x:c>
      <x:c r="D72" s="10" t="str">
        <x:v>acquisition recorder implementation</x:v>
      </x:c>
      <x:c r="E72" s="10" t="str">
        <x:v>PTC-B</x:v>
      </x:c>
      <x:c r="F72" s="10" t="str">
        <x:v>SA6-ACQ-1</x:v>
      </x:c>
      <x:c r="G72" s="10" t="str">
        <x:v>PTC-C</x:v>
      </x:c>
      <x:c r="H72" s="10" t="str">
        <x:v>SA6-ACQ-2</x:v>
      </x:c>
      <x:c r="I72" s="10" t="n">
        <x:f>IF(AND(E72&lt;&gt;G72,F72&lt;&gt;H72),1,0)</x:f>
        <x:v>1</x:v>
      </x:c>
      <x:c r="J72" s="12" t="n">
        <x:v>0</x:v>
      </x:c>
      <x:c r="K72" s="10" t="str">
        <x:f>IF(I72=1,"PASS","FAIL")</x:f>
        <x:v>PASS</x:v>
      </x:c>
      <x:c r="L72" s="10" t="str">
        <x:f>IF(J72=1,"PASS","OPEN")</x:f>
        <x:v>OPEN</x:v>
      </x:c>
    </x:row>
    <x:row r="73">
      <x:c r="B73" s="10" t="str">
        <x:v>IA-067</x:v>
      </x:c>
      <x:c r="C73" s="10" t="str">
        <x:v>SA6</x:v>
      </x:c>
      <x:c r="D73" s="10" t="str">
        <x:v>calibration transfer chain</x:v>
      </x:c>
      <x:c r="E73" s="10" t="str">
        <x:v>PTC-B</x:v>
      </x:c>
      <x:c r="F73" s="10" t="str">
        <x:v>SA6-CAL-1</x:v>
      </x:c>
      <x:c r="G73" s="10" t="str">
        <x:v>PTC-C</x:v>
      </x:c>
      <x:c r="H73" s="10" t="str">
        <x:v>SA6-CAL-2</x:v>
      </x:c>
      <x:c r="I73" s="10" t="n">
        <x:f>IF(AND(E73&lt;&gt;G73,F73&lt;&gt;H73),1,0)</x:f>
        <x:v>1</x:v>
      </x:c>
      <x:c r="J73" s="12" t="n">
        <x:v>0</x:v>
      </x:c>
      <x:c r="K73" s="10" t="str">
        <x:f>IF(I73=1,"PASS","FAIL")</x:f>
        <x:v>PASS</x:v>
      </x:c>
      <x:c r="L73" s="10" t="str">
        <x:f>IF(J73=1,"PASS","OPEN")</x:f>
        <x:v>OPEN</x:v>
      </x:c>
    </x:row>
    <x:row r="74">
      <x:c r="B74" s="10" t="str">
        <x:v>IA-068</x:v>
      </x:c>
      <x:c r="C74" s="10" t="str">
        <x:v>SA6</x:v>
      </x:c>
      <x:c r="D74" s="10" t="str">
        <x:v>time and holdover implementation</x:v>
      </x:c>
      <x:c r="E74" s="10" t="str">
        <x:v>PTC-B</x:v>
      </x:c>
      <x:c r="F74" s="10" t="str">
        <x:v>SA6-TIME-1</x:v>
      </x:c>
      <x:c r="G74" s="10" t="str">
        <x:v>PTC-C</x:v>
      </x:c>
      <x:c r="H74" s="10" t="str">
        <x:v>SA6-TIME-2</x:v>
      </x:c>
      <x:c r="I74" s="10" t="n">
        <x:f>IF(AND(E74&lt;&gt;G74,F74&lt;&gt;H74),1,0)</x:f>
        <x:v>1</x:v>
      </x:c>
      <x:c r="J74" s="12" t="n">
        <x:v>0</x:v>
      </x:c>
      <x:c r="K74" s="10" t="str">
        <x:f>IF(I74=1,"PASS","FAIL")</x:f>
        <x:v>PASS</x:v>
      </x:c>
      <x:c r="L74" s="10" t="str">
        <x:f>IF(J74=1,"PASS","OPEN")</x:f>
        <x:v>OPEN</x:v>
      </x:c>
    </x:row>
    <x:row r="75">
      <x:c r="B75" s="10" t="str">
        <x:v>IA-069</x:v>
      </x:c>
      <x:c r="C75" s="10" t="str">
        <x:v>SA6</x:v>
      </x:c>
      <x:c r="D75" s="10" t="str">
        <x:v>signing and key root</x:v>
      </x:c>
      <x:c r="E75" s="10" t="str">
        <x:v>PTC-B</x:v>
      </x:c>
      <x:c r="F75" s="10" t="str">
        <x:v>SA6-KEY-1</x:v>
      </x:c>
      <x:c r="G75" s="10" t="str">
        <x:v>PTC-C</x:v>
      </x:c>
      <x:c r="H75" s="10" t="str">
        <x:v>SA6-KEY-2</x:v>
      </x:c>
      <x:c r="I75" s="10" t="n">
        <x:f>IF(AND(E75&lt;&gt;G75,F75&lt;&gt;H75),1,0)</x:f>
        <x:v>1</x:v>
      </x:c>
      <x:c r="J75" s="12" t="n">
        <x:v>0</x:v>
      </x:c>
      <x:c r="K75" s="10" t="str">
        <x:f>IF(I75=1,"PASS","FAIL")</x:f>
        <x:v>PASS</x:v>
      </x:c>
      <x:c r="L75" s="10" t="str">
        <x:f>IF(J75=1,"PASS","OPEN")</x:f>
        <x:v>OPEN</x:v>
      </x:c>
    </x:row>
    <x:row r="76">
      <x:c r="B76" s="10" t="str">
        <x:v>IA-070</x:v>
      </x:c>
      <x:c r="C76" s="10" t="str">
        <x:v>SA6</x:v>
      </x:c>
      <x:c r="D76" s="10" t="str">
        <x:v>lead operator pool</x:v>
      </x:c>
      <x:c r="E76" s="10" t="str">
        <x:v>PTC-B</x:v>
      </x:c>
      <x:c r="F76" s="10" t="str">
        <x:v>SA6-CREW-1</x:v>
      </x:c>
      <x:c r="G76" s="10" t="str">
        <x:v>PTC-C</x:v>
      </x:c>
      <x:c r="H76" s="10" t="str">
        <x:v>SA6-CREW-2</x:v>
      </x:c>
      <x:c r="I76" s="10" t="n">
        <x:f>IF(AND(E76&lt;&gt;G76,F76&lt;&gt;H76),1,0)</x:f>
        <x:v>1</x:v>
      </x:c>
      <x:c r="J76" s="12" t="n">
        <x:v>0</x:v>
      </x:c>
      <x:c r="K76" s="10" t="str">
        <x:f>IF(I76=1,"PASS","FAIL")</x:f>
        <x:v>PASS</x:v>
      </x:c>
      <x:c r="L76" s="10" t="str">
        <x:f>IF(J76=1,"PASS","OPEN")</x:f>
        <x:v>OPEN</x:v>
      </x:c>
    </x:row>
    <x:row r="77">
      <x:c r="B77" s="10" t="str">
        <x:v>IA-071</x:v>
      </x:c>
      <x:c r="C77" s="10" t="str">
        <x:v>SA6</x:v>
      </x:c>
      <x:c r="D77" s="10" t="str">
        <x:v>evidence vault authority</x:v>
      </x:c>
      <x:c r="E77" s="10" t="str">
        <x:v>PTC-B</x:v>
      </x:c>
      <x:c r="F77" s="10" t="str">
        <x:v>SA6-VAULT-1</x:v>
      </x:c>
      <x:c r="G77" s="10" t="str">
        <x:v>PTC-C</x:v>
      </x:c>
      <x:c r="H77" s="10" t="str">
        <x:v>SA6-VAULT-2</x:v>
      </x:c>
      <x:c r="I77" s="10" t="n">
        <x:f>IF(AND(E77&lt;&gt;G77,F77&lt;&gt;H77),1,0)</x:f>
        <x:v>1</x:v>
      </x:c>
      <x:c r="J77" s="12" t="n">
        <x:v>0</x:v>
      </x:c>
      <x:c r="K77" s="10" t="str">
        <x:f>IF(I77=1,"PASS","FAIL")</x:f>
        <x:v>PASS</x:v>
      </x:c>
      <x:c r="L77" s="10" t="str">
        <x:f>IF(J77=1,"PASS","OPEN")</x:f>
        <x:v>OPEN</x:v>
      </x:c>
    </x:row>
    <x:row r="78">
      <x:c r="B78" s="11" t="str">
        <x:v>IA-072</x:v>
      </x:c>
      <x:c r="C78" s="11" t="str">
        <x:v>SA6</x:v>
      </x:c>
      <x:c r="D78" s="11" t="str">
        <x:v>destructive laboratory</x:v>
      </x:c>
      <x:c r="E78" s="11" t="str">
        <x:v>PTC-B</x:v>
      </x:c>
      <x:c r="F78" s="11" t="str">
        <x:v>SA6-DEST-1</x:v>
      </x:c>
      <x:c r="G78" s="11" t="str">
        <x:v>PTC-C</x:v>
      </x:c>
      <x:c r="H78" s="11" t="str">
        <x:v>SA6-DEST-2</x:v>
      </x:c>
      <x:c r="I78" s="11" t="n">
        <x:f>IF(AND(E78&lt;&gt;G78,F78&lt;&gt;H78),1,0)</x:f>
        <x:v>1</x:v>
      </x:c>
      <x:c r="J78" s="13" t="n">
        <x:v>0</x:v>
      </x:c>
      <x:c r="K78" s="11" t="str">
        <x:f>IF(I78=1,"PASS","FAIL")</x:f>
        <x:v>PASS</x:v>
      </x:c>
      <x:c r="L78" s="11" t="str">
        <x:f>IF(J78=1,"PASS","OPEN")</x:f>
        <x:v>OPEN</x:v>
      </x:c>
    </x:row>
  </x:sheetData>
  <x:mergeCells>
    <x:mergeCell ref="B2:L2"/>
    <x:mergeCell ref="B3:L3"/>
  </x:mergeCells>
  <x:conditionalFormatting sqref="K7:L78">
    <x:cfRule type="containsText" dxfId="112" priority="1" operator="containsText" text="PASS"/>
    <x:cfRule type="containsText" dxfId="113" priority="2" operator="containsText" text="AUTHORIZED"/>
    <x:cfRule type="containsText" dxfId="114" priority="3" operator="containsText" text="DEFINED"/>
    <x:cfRule type="containsText" dxfId="115" priority="4" operator="containsText" text="READY"/>
    <x:cfRule type="containsText" dxfId="116" priority="5" operator="containsText" text="HOLD"/>
    <x:cfRule type="containsText" dxfId="117" priority="6" operator="containsText" text="OPEN"/>
    <x:cfRule type="containsText" dxfId="118" priority="7" operator="containsText" text="BLOCKED"/>
    <x:cfRule type="containsText" dxfId="119" priority="8" operator="containsText" text="PLANNING"/>
    <x:cfRule type="containsText" dxfId="120" priority="9" operator="containsText" text="QUARANTINE"/>
    <x:cfRule type="containsText" dxfId="121" priority="10" operator="containsText" text="INDETERMINATE"/>
    <x:cfRule type="containsText" dxfId="122" priority="11" operator="containsText" text="FAIL"/>
    <x:cfRule type="containsText" dxfId="123" priority="12" operator="containsText" text="REJECT"/>
    <x:cfRule type="containsText" dxfId="124" priority="13" operator="containsText" text="INVALID"/>
    <x:cfRule type="containsText" dxfId="125" priority="14" operator="containsText" text="STOP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38" hidden="0" customWidth="1"/>
    <x:col min="7" max="7" width="32" hidden="0" customWidth="1"/>
    <x:col min="8" max="8" width="26" hidden="0" customWidth="1"/>
    <x:col min="9" max="9" width="13" hidden="0" customWidth="1"/>
    <x:col min="10" max="10" width="17" hidden="0" customWidth="1"/>
    <x:col min="11" max="11" width="15" hidden="0" customWidth="1"/>
    <x:col min="12" max="12" width="42" hidden="0" customWidth="1"/>
  </x:cols>
  <x:sheetData>
    <x:row r="2">
      <x:c r="B2" s="27" t="str">
        <x:v>One hundred twenty lane commissioning events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B3" s="29" t="str">
        <x:v>Each full-capability lane must classify known truth and survive deliberate range failures before receiving a CISA-40 specimen.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  <x:row r="6">
      <x:c r="B6" s="8" t="str">
        <x:v>Event</x:v>
      </x:c>
      <x:c r="C6" s="8" t="str">
        <x:v>Lane</x:v>
      </x:c>
      <x:c r="D6" s="8" t="str">
        <x:v>Family</x:v>
      </x:c>
      <x:c r="E6" s="8" t="str">
        <x:v>Site</x:v>
      </x:c>
      <x:c r="F6" s="8" t="str">
        <x:v>Class</x:v>
      </x:c>
      <x:c r="G6" s="8" t="str">
        <x:v>Known truth</x:v>
      </x:c>
      <x:c r="H6" s="8" t="str">
        <x:v>Required disposition</x:v>
      </x:c>
      <x:c r="I6" s="8" t="str">
        <x:v>Definition</x:v>
      </x:c>
      <x:c r="J6" s="8" t="str">
        <x:v>Accepted source</x:v>
      </x:c>
      <x:c r="K6" s="8" t="str">
        <x:v>State</x:v>
      </x:c>
      <x:c r="L6" s="8" t="str">
        <x:v>Claim limit</x:v>
      </x:c>
    </x:row>
    <x:row r="7">
      <x:c r="B7" s="10" t="str">
        <x:v>PZ-001</x:v>
      </x:c>
      <x:c r="C7" s="10" t="str">
        <x:v>LN-01</x:v>
      </x:c>
      <x:c r="D7" s="10" t="str">
        <x:v>SA1</x:v>
      </x:c>
      <x:c r="E7" s="10" t="str">
        <x:v>PTC-A</x:v>
      </x:c>
      <x:c r="F7" s="10" t="str">
        <x:v>fixture zero and transfer matrix</x:v>
      </x:c>
      <x:c r="G7" s="10" t="str">
        <x:v>registered reference</x:v>
      </x:c>
      <x:c r="H7" s="10" t="str">
        <x:v>ACCEPT</x:v>
      </x:c>
      <x:c r="I7" s="10" t="n">
        <x:v>1</x:v>
      </x:c>
      <x:c r="J7" s="12" t="n">
        <x:v>0</x:v>
      </x:c>
      <x:c r="K7" s="10" t="str">
        <x:f>IF(AND(I7=1,J7=1),"PASS",IF(I7=1,"OPEN","FAIL"))</x:f>
        <x:v>OPEN</x:v>
      </x:c>
      <x:c r="L7" s="10" t="str">
        <x:v>commissioning only; no root reliability credit</x:v>
      </x:c>
    </x:row>
    <x:row r="8">
      <x:c r="B8" s="10" t="str">
        <x:v>PZ-002</x:v>
      </x:c>
      <x:c r="C8" s="10" t="str">
        <x:v>LN-01</x:v>
      </x:c>
      <x:c r="D8" s="10" t="str">
        <x:v>SA1</x:v>
      </x:c>
      <x:c r="E8" s="10" t="str">
        <x:v>PTC-A</x:v>
      </x:c>
      <x:c r="F8" s="10" t="str">
        <x:v>known compliant near boundary</x:v>
      </x:c>
      <x:c r="G8" s="10" t="str">
        <x:v>compliant surrogate</x:v>
      </x:c>
      <x:c r="H8" s="10" t="str">
        <x:v>ACCEPT</x:v>
      </x:c>
      <x:c r="I8" s="10" t="n">
        <x:v>1</x:v>
      </x:c>
      <x:c r="J8" s="12" t="n">
        <x:v>0</x:v>
      </x:c>
      <x:c r="K8" s="10" t="str">
        <x:f>IF(AND(I8=1,J8=1),"PASS",IF(I8=1,"OPEN","FAIL"))</x:f>
        <x:v>OPEN</x:v>
      </x:c>
      <x:c r="L8" s="10" t="str">
        <x:v>commissioning only; no root reliability credit</x:v>
      </x:c>
    </x:row>
    <x:row r="9">
      <x:c r="B9" s="10" t="str">
        <x:v>PZ-003</x:v>
      </x:c>
      <x:c r="C9" s="10" t="str">
        <x:v>LN-01</x:v>
      </x:c>
      <x:c r="D9" s="10" t="str">
        <x:v>SA1</x:v>
      </x:c>
      <x:c r="E9" s="10" t="str">
        <x:v>PTC-A</x:v>
      </x:c>
      <x:c r="F9" s="10" t="str">
        <x:v>known nonconforming beyond boundary</x:v>
      </x:c>
      <x:c r="G9" s="10" t="str">
        <x:v>nonconforming surrogate</x:v>
      </x:c>
      <x:c r="H9" s="10" t="str">
        <x:v>REJECT</x:v>
      </x:c>
      <x:c r="I9" s="10" t="n">
        <x:v>1</x:v>
      </x:c>
      <x:c r="J9" s="12" t="n">
        <x:v>0</x:v>
      </x:c>
      <x:c r="K9" s="10" t="str">
        <x:f>IF(AND(I9=1,J9=1),"PASS",IF(I9=1,"OPEN","FAIL"))</x:f>
        <x:v>OPEN</x:v>
      </x:c>
      <x:c r="L9" s="10" t="str">
        <x:v>commissioning only; no root reliability credit</x:v>
      </x:c>
    </x:row>
    <x:row r="10">
      <x:c r="B10" s="10" t="str">
        <x:v>PZ-004</x:v>
      </x:c>
      <x:c r="C10" s="10" t="str">
        <x:v>LN-01</x:v>
      </x:c>
      <x:c r="D10" s="10" t="str">
        <x:v>SA1</x:v>
      </x:c>
      <x:c r="E10" s="10" t="str">
        <x:v>PTC-A</x:v>
      </x:c>
      <x:c r="F10" s="10" t="str">
        <x:v>decision-boundary state</x:v>
      </x:c>
      <x:c r="G10" s="10" t="str">
        <x:v>boundary surrogate</x:v>
      </x:c>
      <x:c r="H10" s="10" t="str">
        <x:v>INDETERMINATE</x:v>
      </x:c>
      <x:c r="I10" s="10" t="n">
        <x:v>1</x:v>
      </x:c>
      <x:c r="J10" s="12" t="n">
        <x:v>0</x:v>
      </x:c>
      <x:c r="K10" s="10" t="str">
        <x:f>IF(AND(I10=1,J10=1),"PASS",IF(I10=1,"OPEN","FAIL"))</x:f>
        <x:v>OPEN</x:v>
      </x:c>
      <x:c r="L10" s="10" t="str">
        <x:v>commissioning only; no root reliability credit</x:v>
      </x:c>
    </x:row>
    <x:row r="11">
      <x:c r="B11" s="10" t="str">
        <x:v>PZ-005</x:v>
      </x:c>
      <x:c r="C11" s="10" t="str">
        <x:v>LN-01</x:v>
      </x:c>
      <x:c r="D11" s="10" t="str">
        <x:v>SA1</x:v>
      </x:c>
      <x:c r="E11" s="10" t="str">
        <x:v>PTC-A</x:v>
      </x:c>
      <x:c r="F11" s="10" t="str">
        <x:v>sensor saturation or native gap</x:v>
      </x:c>
      <x:c r="G11" s="10" t="str">
        <x:v>registered data defect</x:v>
      </x:c>
      <x:c r="H11" s="10" t="str">
        <x:v>INVALID</x:v>
      </x:c>
      <x:c r="I11" s="10" t="n">
        <x:v>1</x:v>
      </x:c>
      <x:c r="J11" s="12" t="n">
        <x:v>0</x:v>
      </x:c>
      <x:c r="K11" s="10" t="str">
        <x:f>IF(AND(I11=1,J11=1),"PASS",IF(I11=1,"OPEN","FAIL"))</x:f>
        <x:v>OPEN</x:v>
      </x:c>
      <x:c r="L11" s="10" t="str">
        <x:v>commissioning only; no root reliability credit</x:v>
      </x:c>
    </x:row>
    <x:row r="12">
      <x:c r="B12" s="10" t="str">
        <x:v>PZ-006</x:v>
      </x:c>
      <x:c r="C12" s="10" t="str">
        <x:v>LN-01</x:v>
      </x:c>
      <x:c r="D12" s="10" t="str">
        <x:v>SA1</x:v>
      </x:c>
      <x:c r="E12" s="10" t="str">
        <x:v>PTC-A</x:v>
      </x:c>
      <x:c r="F12" s="10" t="str">
        <x:v>command and observation divergence</x:v>
      </x:c>
      <x:c r="G12" s="10" t="str">
        <x:v>registered waveform mismatch</x:v>
      </x:c>
      <x:c r="H12" s="10" t="str">
        <x:v>INVALID</x:v>
      </x:c>
      <x:c r="I12" s="10" t="n">
        <x:v>1</x:v>
      </x:c>
      <x:c r="J12" s="12" t="n">
        <x:v>0</x:v>
      </x:c>
      <x:c r="K12" s="10" t="str">
        <x:f>IF(AND(I12=1,J12=1),"PASS",IF(I12=1,"OPEN","FAIL"))</x:f>
        <x:v>OPEN</x:v>
      </x:c>
      <x:c r="L12" s="10" t="str">
        <x:v>commissioning only; no root reliability credit</x:v>
      </x:c>
    </x:row>
    <x:row r="13">
      <x:c r="B13" s="10" t="str">
        <x:v>PZ-007</x:v>
      </x:c>
      <x:c r="C13" s="10" t="str">
        <x:v>LN-01</x:v>
      </x:c>
      <x:c r="D13" s="10" t="str">
        <x:v>SA1</x:v>
      </x:c>
      <x:c r="E13" s="10" t="str">
        <x:v>PTC-A</x:v>
      </x:c>
      <x:c r="F13" s="10" t="str">
        <x:v>primary controller loss</x:v>
      </x:c>
      <x:c r="G13" s="10" t="str">
        <x:v>controller removed</x:v>
      </x:c>
      <x:c r="H13" s="10" t="str">
        <x:v>SAFE STATE</x:v>
      </x:c>
      <x:c r="I13" s="10" t="n">
        <x:v>1</x:v>
      </x:c>
      <x:c r="J13" s="12" t="n">
        <x:v>0</x:v>
      </x:c>
      <x:c r="K13" s="10" t="str">
        <x:f>IF(AND(I13=1,J13=1),"PASS",IF(I13=1,"OPEN","FAIL"))</x:f>
        <x:v>OPEN</x:v>
      </x:c>
      <x:c r="L13" s="10" t="str">
        <x:v>commissioning only; no root reliability credit</x:v>
      </x:c>
    </x:row>
    <x:row r="14">
      <x:c r="B14" s="10" t="str">
        <x:v>PZ-008</x:v>
      </x:c>
      <x:c r="C14" s="10" t="str">
        <x:v>LN-01</x:v>
      </x:c>
      <x:c r="D14" s="10" t="str">
        <x:v>SA1</x:v>
      </x:c>
      <x:c r="E14" s="10" t="str">
        <x:v>PTC-A</x:v>
      </x:c>
      <x:c r="F14" s="10" t="str">
        <x:v>single safe-state actuator loss</x:v>
      </x:c>
      <x:c r="G14" s="10" t="str">
        <x:v>one actuator unavailable</x:v>
      </x:c>
      <x:c r="H14" s="10" t="str">
        <x:v>SAFE STATE</x:v>
      </x:c>
      <x:c r="I14" s="10" t="n">
        <x:v>1</x:v>
      </x:c>
      <x:c r="J14" s="12" t="n">
        <x:v>0</x:v>
      </x:c>
      <x:c r="K14" s="10" t="str">
        <x:f>IF(AND(I14=1,J14=1),"PASS",IF(I14=1,"OPEN","FAIL"))</x:f>
        <x:v>OPEN</x:v>
      </x:c>
      <x:c r="L14" s="10" t="str">
        <x:v>commissioning only; no root reliability credit</x:v>
      </x:c>
    </x:row>
    <x:row r="15">
      <x:c r="B15" s="10" t="str">
        <x:v>PZ-009</x:v>
      </x:c>
      <x:c r="C15" s="10" t="str">
        <x:v>LN-01</x:v>
      </x:c>
      <x:c r="D15" s="10" t="str">
        <x:v>SA1</x:v>
      </x:c>
      <x:c r="E15" s="10" t="str">
        <x:v>PTC-A</x:v>
      </x:c>
      <x:c r="F15" s="10" t="str">
        <x:v>clock, signing and network denial</x:v>
      </x:c>
      <x:c r="G15" s="10" t="str">
        <x:v>registered denial</x:v>
      </x:c>
      <x:c r="H15" s="10" t="str">
        <x:v>SAFE STATE AND REPLAY</x:v>
      </x:c>
      <x:c r="I15" s="10" t="n">
        <x:v>1</x:v>
      </x:c>
      <x:c r="J15" s="12" t="n">
        <x:v>0</x:v>
      </x:c>
      <x:c r="K15" s="10" t="str">
        <x:f>IF(AND(I15=1,J15=1),"PASS",IF(I15=1,"OPEN","FAIL"))</x:f>
        <x:v>OPEN</x:v>
      </x:c>
      <x:c r="L15" s="10" t="str">
        <x:v>commissioning only; no root reliability credit</x:v>
      </x:c>
    </x:row>
    <x:row r="16">
      <x:c r="B16" s="10" t="str">
        <x:v>PZ-010</x:v>
      </x:c>
      <x:c r="C16" s="10" t="str">
        <x:v>LN-01</x:v>
      </x:c>
      <x:c r="D16" s="10" t="str">
        <x:v>SA1</x:v>
      </x:c>
      <x:c r="E16" s="10" t="str">
        <x:v>PTC-A</x:v>
      </x:c>
      <x:c r="F16" s="10" t="str">
        <x:v>reset carryover or residual energy</x:v>
      </x:c>
      <x:c r="G16" s="10" t="str">
        <x:v>registered retained hazard</x:v>
      </x:c>
      <x:c r="H16" s="10" t="str">
        <x:v>QUARANTINE</x:v>
      </x:c>
      <x:c r="I16" s="10" t="n">
        <x:v>1</x:v>
      </x:c>
      <x:c r="J16" s="12" t="n">
        <x:v>0</x:v>
      </x:c>
      <x:c r="K16" s="10" t="str">
        <x:f>IF(AND(I16=1,J16=1),"PASS",IF(I16=1,"OPEN","FAIL"))</x:f>
        <x:v>OPEN</x:v>
      </x:c>
      <x:c r="L16" s="10" t="str">
        <x:v>commissioning only; no root reliability credit</x:v>
      </x:c>
    </x:row>
    <x:row r="17">
      <x:c r="B17" s="10" t="str">
        <x:v>PZ-011</x:v>
      </x:c>
      <x:c r="C17" s="10" t="str">
        <x:v>LN-02</x:v>
      </x:c>
      <x:c r="D17" s="10" t="str">
        <x:v>SA1</x:v>
      </x:c>
      <x:c r="E17" s="10" t="str">
        <x:v>PTC-B</x:v>
      </x:c>
      <x:c r="F17" s="10" t="str">
        <x:v>fixture zero and transfer matrix</x:v>
      </x:c>
      <x:c r="G17" s="10" t="str">
        <x:v>registered reference</x:v>
      </x:c>
      <x:c r="H17" s="10" t="str">
        <x:v>ACCEPT</x:v>
      </x:c>
      <x:c r="I17" s="10" t="n">
        <x:v>1</x:v>
      </x:c>
      <x:c r="J17" s="12" t="n">
        <x:v>0</x:v>
      </x:c>
      <x:c r="K17" s="10" t="str">
        <x:f>IF(AND(I17=1,J17=1),"PASS",IF(I17=1,"OPEN","FAIL"))</x:f>
        <x:v>OPEN</x:v>
      </x:c>
      <x:c r="L17" s="10" t="str">
        <x:v>commissioning only; no root reliability credit</x:v>
      </x:c>
    </x:row>
    <x:row r="18">
      <x:c r="B18" s="10" t="str">
        <x:v>PZ-012</x:v>
      </x:c>
      <x:c r="C18" s="10" t="str">
        <x:v>LN-02</x:v>
      </x:c>
      <x:c r="D18" s="10" t="str">
        <x:v>SA1</x:v>
      </x:c>
      <x:c r="E18" s="10" t="str">
        <x:v>PTC-B</x:v>
      </x:c>
      <x:c r="F18" s="10" t="str">
        <x:v>known compliant near boundary</x:v>
      </x:c>
      <x:c r="G18" s="10" t="str">
        <x:v>compliant surrogate</x:v>
      </x:c>
      <x:c r="H18" s="10" t="str">
        <x:v>ACCEPT</x:v>
      </x:c>
      <x:c r="I18" s="10" t="n">
        <x:v>1</x:v>
      </x:c>
      <x:c r="J18" s="12" t="n">
        <x:v>0</x:v>
      </x:c>
      <x:c r="K18" s="10" t="str">
        <x:f>IF(AND(I18=1,J18=1),"PASS",IF(I18=1,"OPEN","FAIL"))</x:f>
        <x:v>OPEN</x:v>
      </x:c>
      <x:c r="L18" s="10" t="str">
        <x:v>commissioning only; no root reliability credit</x:v>
      </x:c>
    </x:row>
    <x:row r="19">
      <x:c r="B19" s="10" t="str">
        <x:v>PZ-013</x:v>
      </x:c>
      <x:c r="C19" s="10" t="str">
        <x:v>LN-02</x:v>
      </x:c>
      <x:c r="D19" s="10" t="str">
        <x:v>SA1</x:v>
      </x:c>
      <x:c r="E19" s="10" t="str">
        <x:v>PTC-B</x:v>
      </x:c>
      <x:c r="F19" s="10" t="str">
        <x:v>known nonconforming beyond boundary</x:v>
      </x:c>
      <x:c r="G19" s="10" t="str">
        <x:v>nonconforming surrogate</x:v>
      </x:c>
      <x:c r="H19" s="10" t="str">
        <x:v>REJECT</x:v>
      </x:c>
      <x:c r="I19" s="10" t="n">
        <x:v>1</x:v>
      </x:c>
      <x:c r="J19" s="12" t="n">
        <x:v>0</x:v>
      </x:c>
      <x:c r="K19" s="10" t="str">
        <x:f>IF(AND(I19=1,J19=1),"PASS",IF(I19=1,"OPEN","FAIL"))</x:f>
        <x:v>OPEN</x:v>
      </x:c>
      <x:c r="L19" s="10" t="str">
        <x:v>commissioning only; no root reliability credit</x:v>
      </x:c>
    </x:row>
    <x:row r="20">
      <x:c r="B20" s="10" t="str">
        <x:v>PZ-014</x:v>
      </x:c>
      <x:c r="C20" s="10" t="str">
        <x:v>LN-02</x:v>
      </x:c>
      <x:c r="D20" s="10" t="str">
        <x:v>SA1</x:v>
      </x:c>
      <x:c r="E20" s="10" t="str">
        <x:v>PTC-B</x:v>
      </x:c>
      <x:c r="F20" s="10" t="str">
        <x:v>decision-boundary state</x:v>
      </x:c>
      <x:c r="G20" s="10" t="str">
        <x:v>boundary surrogate</x:v>
      </x:c>
      <x:c r="H20" s="10" t="str">
        <x:v>INDETERMINATE</x:v>
      </x:c>
      <x:c r="I20" s="10" t="n">
        <x:v>1</x:v>
      </x:c>
      <x:c r="J20" s="12" t="n">
        <x:v>0</x:v>
      </x:c>
      <x:c r="K20" s="10" t="str">
        <x:f>IF(AND(I20=1,J20=1),"PASS",IF(I20=1,"OPEN","FAIL"))</x:f>
        <x:v>OPEN</x:v>
      </x:c>
      <x:c r="L20" s="10" t="str">
        <x:v>commissioning only; no root reliability credit</x:v>
      </x:c>
    </x:row>
    <x:row r="21">
      <x:c r="B21" s="10" t="str">
        <x:v>PZ-015</x:v>
      </x:c>
      <x:c r="C21" s="10" t="str">
        <x:v>LN-02</x:v>
      </x:c>
      <x:c r="D21" s="10" t="str">
        <x:v>SA1</x:v>
      </x:c>
      <x:c r="E21" s="10" t="str">
        <x:v>PTC-B</x:v>
      </x:c>
      <x:c r="F21" s="10" t="str">
        <x:v>sensor saturation or native gap</x:v>
      </x:c>
      <x:c r="G21" s="10" t="str">
        <x:v>registered data defect</x:v>
      </x:c>
      <x:c r="H21" s="10" t="str">
        <x:v>INVALID</x:v>
      </x:c>
      <x:c r="I21" s="10" t="n">
        <x:v>1</x:v>
      </x:c>
      <x:c r="J21" s="12" t="n">
        <x:v>0</x:v>
      </x:c>
      <x:c r="K21" s="10" t="str">
        <x:f>IF(AND(I21=1,J21=1),"PASS",IF(I21=1,"OPEN","FAIL"))</x:f>
        <x:v>OPEN</x:v>
      </x:c>
      <x:c r="L21" s="10" t="str">
        <x:v>commissioning only; no root reliability credit</x:v>
      </x:c>
    </x:row>
    <x:row r="22">
      <x:c r="B22" s="10" t="str">
        <x:v>PZ-016</x:v>
      </x:c>
      <x:c r="C22" s="10" t="str">
        <x:v>LN-02</x:v>
      </x:c>
      <x:c r="D22" s="10" t="str">
        <x:v>SA1</x:v>
      </x:c>
      <x:c r="E22" s="10" t="str">
        <x:v>PTC-B</x:v>
      </x:c>
      <x:c r="F22" s="10" t="str">
        <x:v>command and observation divergence</x:v>
      </x:c>
      <x:c r="G22" s="10" t="str">
        <x:v>registered waveform mismatch</x:v>
      </x:c>
      <x:c r="H22" s="10" t="str">
        <x:v>INVALID</x:v>
      </x:c>
      <x:c r="I22" s="10" t="n">
        <x:v>1</x:v>
      </x:c>
      <x:c r="J22" s="12" t="n">
        <x:v>0</x:v>
      </x:c>
      <x:c r="K22" s="10" t="str">
        <x:f>IF(AND(I22=1,J22=1),"PASS",IF(I22=1,"OPEN","FAIL"))</x:f>
        <x:v>OPEN</x:v>
      </x:c>
      <x:c r="L22" s="10" t="str">
        <x:v>commissioning only; no root reliability credit</x:v>
      </x:c>
    </x:row>
    <x:row r="23">
      <x:c r="B23" s="10" t="str">
        <x:v>PZ-017</x:v>
      </x:c>
      <x:c r="C23" s="10" t="str">
        <x:v>LN-02</x:v>
      </x:c>
      <x:c r="D23" s="10" t="str">
        <x:v>SA1</x:v>
      </x:c>
      <x:c r="E23" s="10" t="str">
        <x:v>PTC-B</x:v>
      </x:c>
      <x:c r="F23" s="10" t="str">
        <x:v>primary controller loss</x:v>
      </x:c>
      <x:c r="G23" s="10" t="str">
        <x:v>controller removed</x:v>
      </x:c>
      <x:c r="H23" s="10" t="str">
        <x:v>SAFE STATE</x:v>
      </x:c>
      <x:c r="I23" s="10" t="n">
        <x:v>1</x:v>
      </x:c>
      <x:c r="J23" s="12" t="n">
        <x:v>0</x:v>
      </x:c>
      <x:c r="K23" s="10" t="str">
        <x:f>IF(AND(I23=1,J23=1),"PASS",IF(I23=1,"OPEN","FAIL"))</x:f>
        <x:v>OPEN</x:v>
      </x:c>
      <x:c r="L23" s="10" t="str">
        <x:v>commissioning only; no root reliability credit</x:v>
      </x:c>
    </x:row>
    <x:row r="24">
      <x:c r="B24" s="10" t="str">
        <x:v>PZ-018</x:v>
      </x:c>
      <x:c r="C24" s="10" t="str">
        <x:v>LN-02</x:v>
      </x:c>
      <x:c r="D24" s="10" t="str">
        <x:v>SA1</x:v>
      </x:c>
      <x:c r="E24" s="10" t="str">
        <x:v>PTC-B</x:v>
      </x:c>
      <x:c r="F24" s="10" t="str">
        <x:v>single safe-state actuator loss</x:v>
      </x:c>
      <x:c r="G24" s="10" t="str">
        <x:v>one actuator unavailable</x:v>
      </x:c>
      <x:c r="H24" s="10" t="str">
        <x:v>SAFE STATE</x:v>
      </x:c>
      <x:c r="I24" s="10" t="n">
        <x:v>1</x:v>
      </x:c>
      <x:c r="J24" s="12" t="n">
        <x:v>0</x:v>
      </x:c>
      <x:c r="K24" s="10" t="str">
        <x:f>IF(AND(I24=1,J24=1),"PASS",IF(I24=1,"OPEN","FAIL"))</x:f>
        <x:v>OPEN</x:v>
      </x:c>
      <x:c r="L24" s="10" t="str">
        <x:v>commissioning only; no root reliability credit</x:v>
      </x:c>
    </x:row>
    <x:row r="25">
      <x:c r="B25" s="10" t="str">
        <x:v>PZ-019</x:v>
      </x:c>
      <x:c r="C25" s="10" t="str">
        <x:v>LN-02</x:v>
      </x:c>
      <x:c r="D25" s="10" t="str">
        <x:v>SA1</x:v>
      </x:c>
      <x:c r="E25" s="10" t="str">
        <x:v>PTC-B</x:v>
      </x:c>
      <x:c r="F25" s="10" t="str">
        <x:v>clock, signing and network denial</x:v>
      </x:c>
      <x:c r="G25" s="10" t="str">
        <x:v>registered denial</x:v>
      </x:c>
      <x:c r="H25" s="10" t="str">
        <x:v>SAFE STATE AND REPLAY</x:v>
      </x:c>
      <x:c r="I25" s="10" t="n">
        <x:v>1</x:v>
      </x:c>
      <x:c r="J25" s="12" t="n">
        <x:v>0</x:v>
      </x:c>
      <x:c r="K25" s="10" t="str">
        <x:f>IF(AND(I25=1,J25=1),"PASS",IF(I25=1,"OPEN","FAIL"))</x:f>
        <x:v>OPEN</x:v>
      </x:c>
      <x:c r="L25" s="10" t="str">
        <x:v>commissioning only; no root reliability credit</x:v>
      </x:c>
    </x:row>
    <x:row r="26">
      <x:c r="B26" s="10" t="str">
        <x:v>PZ-020</x:v>
      </x:c>
      <x:c r="C26" s="10" t="str">
        <x:v>LN-02</x:v>
      </x:c>
      <x:c r="D26" s="10" t="str">
        <x:v>SA1</x:v>
      </x:c>
      <x:c r="E26" s="10" t="str">
        <x:v>PTC-B</x:v>
      </x:c>
      <x:c r="F26" s="10" t="str">
        <x:v>reset carryover or residual energy</x:v>
      </x:c>
      <x:c r="G26" s="10" t="str">
        <x:v>registered retained hazard</x:v>
      </x:c>
      <x:c r="H26" s="10" t="str">
        <x:v>QUARANTINE</x:v>
      </x:c>
      <x:c r="I26" s="10" t="n">
        <x:v>1</x:v>
      </x:c>
      <x:c r="J26" s="12" t="n">
        <x:v>0</x:v>
      </x:c>
      <x:c r="K26" s="10" t="str">
        <x:f>IF(AND(I26=1,J26=1),"PASS",IF(I26=1,"OPEN","FAIL"))</x:f>
        <x:v>OPEN</x:v>
      </x:c>
      <x:c r="L26" s="10" t="str">
        <x:v>commissioning only; no root reliability credit</x:v>
      </x:c>
    </x:row>
    <x:row r="27">
      <x:c r="B27" s="10" t="str">
        <x:v>PZ-021</x:v>
      </x:c>
      <x:c r="C27" s="10" t="str">
        <x:v>LN-03</x:v>
      </x:c>
      <x:c r="D27" s="10" t="str">
        <x:v>SA2</x:v>
      </x:c>
      <x:c r="E27" s="10" t="str">
        <x:v>PTC-A</x:v>
      </x:c>
      <x:c r="F27" s="10" t="str">
        <x:v>fixture zero and transfer matrix</x:v>
      </x:c>
      <x:c r="G27" s="10" t="str">
        <x:v>registered reference</x:v>
      </x:c>
      <x:c r="H27" s="10" t="str">
        <x:v>ACCEPT</x:v>
      </x:c>
      <x:c r="I27" s="10" t="n">
        <x:v>1</x:v>
      </x:c>
      <x:c r="J27" s="12" t="n">
        <x:v>0</x:v>
      </x:c>
      <x:c r="K27" s="10" t="str">
        <x:f>IF(AND(I27=1,J27=1),"PASS",IF(I27=1,"OPEN","FAIL"))</x:f>
        <x:v>OPEN</x:v>
      </x:c>
      <x:c r="L27" s="10" t="str">
        <x:v>commissioning only; no root reliability credit</x:v>
      </x:c>
    </x:row>
    <x:row r="28">
      <x:c r="B28" s="10" t="str">
        <x:v>PZ-022</x:v>
      </x:c>
      <x:c r="C28" s="10" t="str">
        <x:v>LN-03</x:v>
      </x:c>
      <x:c r="D28" s="10" t="str">
        <x:v>SA2</x:v>
      </x:c>
      <x:c r="E28" s="10" t="str">
        <x:v>PTC-A</x:v>
      </x:c>
      <x:c r="F28" s="10" t="str">
        <x:v>known compliant near boundary</x:v>
      </x:c>
      <x:c r="G28" s="10" t="str">
        <x:v>compliant surrogate</x:v>
      </x:c>
      <x:c r="H28" s="10" t="str">
        <x:v>ACCEPT</x:v>
      </x:c>
      <x:c r="I28" s="10" t="n">
        <x:v>1</x:v>
      </x:c>
      <x:c r="J28" s="12" t="n">
        <x:v>0</x:v>
      </x:c>
      <x:c r="K28" s="10" t="str">
        <x:f>IF(AND(I28=1,J28=1),"PASS",IF(I28=1,"OPEN","FAIL"))</x:f>
        <x:v>OPEN</x:v>
      </x:c>
      <x:c r="L28" s="10" t="str">
        <x:v>commissioning only; no root reliability credit</x:v>
      </x:c>
    </x:row>
    <x:row r="29">
      <x:c r="B29" s="10" t="str">
        <x:v>PZ-023</x:v>
      </x:c>
      <x:c r="C29" s="10" t="str">
        <x:v>LN-03</x:v>
      </x:c>
      <x:c r="D29" s="10" t="str">
        <x:v>SA2</x:v>
      </x:c>
      <x:c r="E29" s="10" t="str">
        <x:v>PTC-A</x:v>
      </x:c>
      <x:c r="F29" s="10" t="str">
        <x:v>known nonconforming beyond boundary</x:v>
      </x:c>
      <x:c r="G29" s="10" t="str">
        <x:v>nonconforming surrogate</x:v>
      </x:c>
      <x:c r="H29" s="10" t="str">
        <x:v>REJECT</x:v>
      </x:c>
      <x:c r="I29" s="10" t="n">
        <x:v>1</x:v>
      </x:c>
      <x:c r="J29" s="12" t="n">
        <x:v>0</x:v>
      </x:c>
      <x:c r="K29" s="10" t="str">
        <x:f>IF(AND(I29=1,J29=1),"PASS",IF(I29=1,"OPEN","FAIL"))</x:f>
        <x:v>OPEN</x:v>
      </x:c>
      <x:c r="L29" s="10" t="str">
        <x:v>commissioning only; no root reliability credit</x:v>
      </x:c>
    </x:row>
    <x:row r="30">
      <x:c r="B30" s="10" t="str">
        <x:v>PZ-024</x:v>
      </x:c>
      <x:c r="C30" s="10" t="str">
        <x:v>LN-03</x:v>
      </x:c>
      <x:c r="D30" s="10" t="str">
        <x:v>SA2</x:v>
      </x:c>
      <x:c r="E30" s="10" t="str">
        <x:v>PTC-A</x:v>
      </x:c>
      <x:c r="F30" s="10" t="str">
        <x:v>decision-boundary state</x:v>
      </x:c>
      <x:c r="G30" s="10" t="str">
        <x:v>boundary surrogate</x:v>
      </x:c>
      <x:c r="H30" s="10" t="str">
        <x:v>INDETERMINATE</x:v>
      </x:c>
      <x:c r="I30" s="10" t="n">
        <x:v>1</x:v>
      </x:c>
      <x:c r="J30" s="12" t="n">
        <x:v>0</x:v>
      </x:c>
      <x:c r="K30" s="10" t="str">
        <x:f>IF(AND(I30=1,J30=1),"PASS",IF(I30=1,"OPEN","FAIL"))</x:f>
        <x:v>OPEN</x:v>
      </x:c>
      <x:c r="L30" s="10" t="str">
        <x:v>commissioning only; no root reliability credit</x:v>
      </x:c>
    </x:row>
    <x:row r="31">
      <x:c r="B31" s="10" t="str">
        <x:v>PZ-025</x:v>
      </x:c>
      <x:c r="C31" s="10" t="str">
        <x:v>LN-03</x:v>
      </x:c>
      <x:c r="D31" s="10" t="str">
        <x:v>SA2</x:v>
      </x:c>
      <x:c r="E31" s="10" t="str">
        <x:v>PTC-A</x:v>
      </x:c>
      <x:c r="F31" s="10" t="str">
        <x:v>sensor saturation or native gap</x:v>
      </x:c>
      <x:c r="G31" s="10" t="str">
        <x:v>registered data defect</x:v>
      </x:c>
      <x:c r="H31" s="10" t="str">
        <x:v>INVALID</x:v>
      </x:c>
      <x:c r="I31" s="10" t="n">
        <x:v>1</x:v>
      </x:c>
      <x:c r="J31" s="12" t="n">
        <x:v>0</x:v>
      </x:c>
      <x:c r="K31" s="10" t="str">
        <x:f>IF(AND(I31=1,J31=1),"PASS",IF(I31=1,"OPEN","FAIL"))</x:f>
        <x:v>OPEN</x:v>
      </x:c>
      <x:c r="L31" s="10" t="str">
        <x:v>commissioning only; no root reliability credit</x:v>
      </x:c>
    </x:row>
    <x:row r="32">
      <x:c r="B32" s="10" t="str">
        <x:v>PZ-026</x:v>
      </x:c>
      <x:c r="C32" s="10" t="str">
        <x:v>LN-03</x:v>
      </x:c>
      <x:c r="D32" s="10" t="str">
        <x:v>SA2</x:v>
      </x:c>
      <x:c r="E32" s="10" t="str">
        <x:v>PTC-A</x:v>
      </x:c>
      <x:c r="F32" s="10" t="str">
        <x:v>command and observation divergence</x:v>
      </x:c>
      <x:c r="G32" s="10" t="str">
        <x:v>registered waveform mismatch</x:v>
      </x:c>
      <x:c r="H32" s="10" t="str">
        <x:v>INVALID</x:v>
      </x:c>
      <x:c r="I32" s="10" t="n">
        <x:v>1</x:v>
      </x:c>
      <x:c r="J32" s="12" t="n">
        <x:v>0</x:v>
      </x:c>
      <x:c r="K32" s="10" t="str">
        <x:f>IF(AND(I32=1,J32=1),"PASS",IF(I32=1,"OPEN","FAIL"))</x:f>
        <x:v>OPEN</x:v>
      </x:c>
      <x:c r="L32" s="10" t="str">
        <x:v>commissioning only; no root reliability credit</x:v>
      </x:c>
    </x:row>
    <x:row r="33">
      <x:c r="B33" s="10" t="str">
        <x:v>PZ-027</x:v>
      </x:c>
      <x:c r="C33" s="10" t="str">
        <x:v>LN-03</x:v>
      </x:c>
      <x:c r="D33" s="10" t="str">
        <x:v>SA2</x:v>
      </x:c>
      <x:c r="E33" s="10" t="str">
        <x:v>PTC-A</x:v>
      </x:c>
      <x:c r="F33" s="10" t="str">
        <x:v>primary controller loss</x:v>
      </x:c>
      <x:c r="G33" s="10" t="str">
        <x:v>controller removed</x:v>
      </x:c>
      <x:c r="H33" s="10" t="str">
        <x:v>SAFE STATE</x:v>
      </x:c>
      <x:c r="I33" s="10" t="n">
        <x:v>1</x:v>
      </x:c>
      <x:c r="J33" s="12" t="n">
        <x:v>0</x:v>
      </x:c>
      <x:c r="K33" s="10" t="str">
        <x:f>IF(AND(I33=1,J33=1),"PASS",IF(I33=1,"OPEN","FAIL"))</x:f>
        <x:v>OPEN</x:v>
      </x:c>
      <x:c r="L33" s="10" t="str">
        <x:v>commissioning only; no root reliability credit</x:v>
      </x:c>
    </x:row>
    <x:row r="34">
      <x:c r="B34" s="10" t="str">
        <x:v>PZ-028</x:v>
      </x:c>
      <x:c r="C34" s="10" t="str">
        <x:v>LN-03</x:v>
      </x:c>
      <x:c r="D34" s="10" t="str">
        <x:v>SA2</x:v>
      </x:c>
      <x:c r="E34" s="10" t="str">
        <x:v>PTC-A</x:v>
      </x:c>
      <x:c r="F34" s="10" t="str">
        <x:v>single safe-state actuator loss</x:v>
      </x:c>
      <x:c r="G34" s="10" t="str">
        <x:v>one actuator unavailable</x:v>
      </x:c>
      <x:c r="H34" s="10" t="str">
        <x:v>SAFE STATE</x:v>
      </x:c>
      <x:c r="I34" s="10" t="n">
        <x:v>1</x:v>
      </x:c>
      <x:c r="J34" s="12" t="n">
        <x:v>0</x:v>
      </x:c>
      <x:c r="K34" s="10" t="str">
        <x:f>IF(AND(I34=1,J34=1),"PASS",IF(I34=1,"OPEN","FAIL"))</x:f>
        <x:v>OPEN</x:v>
      </x:c>
      <x:c r="L34" s="10" t="str">
        <x:v>commissioning only; no root reliability credit</x:v>
      </x:c>
    </x:row>
    <x:row r="35">
      <x:c r="B35" s="10" t="str">
        <x:v>PZ-029</x:v>
      </x:c>
      <x:c r="C35" s="10" t="str">
        <x:v>LN-03</x:v>
      </x:c>
      <x:c r="D35" s="10" t="str">
        <x:v>SA2</x:v>
      </x:c>
      <x:c r="E35" s="10" t="str">
        <x:v>PTC-A</x:v>
      </x:c>
      <x:c r="F35" s="10" t="str">
        <x:v>clock, signing and network denial</x:v>
      </x:c>
      <x:c r="G35" s="10" t="str">
        <x:v>registered denial</x:v>
      </x:c>
      <x:c r="H35" s="10" t="str">
        <x:v>SAFE STATE AND REPLAY</x:v>
      </x:c>
      <x:c r="I35" s="10" t="n">
        <x:v>1</x:v>
      </x:c>
      <x:c r="J35" s="12" t="n">
        <x:v>0</x:v>
      </x:c>
      <x:c r="K35" s="10" t="str">
        <x:f>IF(AND(I35=1,J35=1),"PASS",IF(I35=1,"OPEN","FAIL"))</x:f>
        <x:v>OPEN</x:v>
      </x:c>
      <x:c r="L35" s="10" t="str">
        <x:v>commissioning only; no root reliability credit</x:v>
      </x:c>
    </x:row>
    <x:row r="36">
      <x:c r="B36" s="10" t="str">
        <x:v>PZ-030</x:v>
      </x:c>
      <x:c r="C36" s="10" t="str">
        <x:v>LN-03</x:v>
      </x:c>
      <x:c r="D36" s="10" t="str">
        <x:v>SA2</x:v>
      </x:c>
      <x:c r="E36" s="10" t="str">
        <x:v>PTC-A</x:v>
      </x:c>
      <x:c r="F36" s="10" t="str">
        <x:v>reset carryover or residual energy</x:v>
      </x:c>
      <x:c r="G36" s="10" t="str">
        <x:v>registered retained hazard</x:v>
      </x:c>
      <x:c r="H36" s="10" t="str">
        <x:v>QUARANTINE</x:v>
      </x:c>
      <x:c r="I36" s="10" t="n">
        <x:v>1</x:v>
      </x:c>
      <x:c r="J36" s="12" t="n">
        <x:v>0</x:v>
      </x:c>
      <x:c r="K36" s="10" t="str">
        <x:f>IF(AND(I36=1,J36=1),"PASS",IF(I36=1,"OPEN","FAIL"))</x:f>
        <x:v>OPEN</x:v>
      </x:c>
      <x:c r="L36" s="10" t="str">
        <x:v>commissioning only; no root reliability credit</x:v>
      </x:c>
    </x:row>
    <x:row r="37">
      <x:c r="B37" s="10" t="str">
        <x:v>PZ-031</x:v>
      </x:c>
      <x:c r="C37" s="10" t="str">
        <x:v>LN-04</x:v>
      </x:c>
      <x:c r="D37" s="10" t="str">
        <x:v>SA2</x:v>
      </x:c>
      <x:c r="E37" s="10" t="str">
        <x:v>PTC-C</x:v>
      </x:c>
      <x:c r="F37" s="10" t="str">
        <x:v>fixture zero and transfer matrix</x:v>
      </x:c>
      <x:c r="G37" s="10" t="str">
        <x:v>registered reference</x:v>
      </x:c>
      <x:c r="H37" s="10" t="str">
        <x:v>ACCEPT</x:v>
      </x:c>
      <x:c r="I37" s="10" t="n">
        <x:v>1</x:v>
      </x:c>
      <x:c r="J37" s="12" t="n">
        <x:v>0</x:v>
      </x:c>
      <x:c r="K37" s="10" t="str">
        <x:f>IF(AND(I37=1,J37=1),"PASS",IF(I37=1,"OPEN","FAIL"))</x:f>
        <x:v>OPEN</x:v>
      </x:c>
      <x:c r="L37" s="10" t="str">
        <x:v>commissioning only; no root reliability credit</x:v>
      </x:c>
    </x:row>
    <x:row r="38">
      <x:c r="B38" s="10" t="str">
        <x:v>PZ-032</x:v>
      </x:c>
      <x:c r="C38" s="10" t="str">
        <x:v>LN-04</x:v>
      </x:c>
      <x:c r="D38" s="10" t="str">
        <x:v>SA2</x:v>
      </x:c>
      <x:c r="E38" s="10" t="str">
        <x:v>PTC-C</x:v>
      </x:c>
      <x:c r="F38" s="10" t="str">
        <x:v>known compliant near boundary</x:v>
      </x:c>
      <x:c r="G38" s="10" t="str">
        <x:v>compliant surrogate</x:v>
      </x:c>
      <x:c r="H38" s="10" t="str">
        <x:v>ACCEPT</x:v>
      </x:c>
      <x:c r="I38" s="10" t="n">
        <x:v>1</x:v>
      </x:c>
      <x:c r="J38" s="12" t="n">
        <x:v>0</x:v>
      </x:c>
      <x:c r="K38" s="10" t="str">
        <x:f>IF(AND(I38=1,J38=1),"PASS",IF(I38=1,"OPEN","FAIL"))</x:f>
        <x:v>OPEN</x:v>
      </x:c>
      <x:c r="L38" s="10" t="str">
        <x:v>commissioning only; no root reliability credit</x:v>
      </x:c>
    </x:row>
    <x:row r="39">
      <x:c r="B39" s="10" t="str">
        <x:v>PZ-033</x:v>
      </x:c>
      <x:c r="C39" s="10" t="str">
        <x:v>LN-04</x:v>
      </x:c>
      <x:c r="D39" s="10" t="str">
        <x:v>SA2</x:v>
      </x:c>
      <x:c r="E39" s="10" t="str">
        <x:v>PTC-C</x:v>
      </x:c>
      <x:c r="F39" s="10" t="str">
        <x:v>known nonconforming beyond boundary</x:v>
      </x:c>
      <x:c r="G39" s="10" t="str">
        <x:v>nonconforming surrogate</x:v>
      </x:c>
      <x:c r="H39" s="10" t="str">
        <x:v>REJECT</x:v>
      </x:c>
      <x:c r="I39" s="10" t="n">
        <x:v>1</x:v>
      </x:c>
      <x:c r="J39" s="12" t="n">
        <x:v>0</x:v>
      </x:c>
      <x:c r="K39" s="10" t="str">
        <x:f>IF(AND(I39=1,J39=1),"PASS",IF(I39=1,"OPEN","FAIL"))</x:f>
        <x:v>OPEN</x:v>
      </x:c>
      <x:c r="L39" s="10" t="str">
        <x:v>commissioning only; no root reliability credit</x:v>
      </x:c>
    </x:row>
    <x:row r="40">
      <x:c r="B40" s="10" t="str">
        <x:v>PZ-034</x:v>
      </x:c>
      <x:c r="C40" s="10" t="str">
        <x:v>LN-04</x:v>
      </x:c>
      <x:c r="D40" s="10" t="str">
        <x:v>SA2</x:v>
      </x:c>
      <x:c r="E40" s="10" t="str">
        <x:v>PTC-C</x:v>
      </x:c>
      <x:c r="F40" s="10" t="str">
        <x:v>decision-boundary state</x:v>
      </x:c>
      <x:c r="G40" s="10" t="str">
        <x:v>boundary surrogate</x:v>
      </x:c>
      <x:c r="H40" s="10" t="str">
        <x:v>INDETERMINATE</x:v>
      </x:c>
      <x:c r="I40" s="10" t="n">
        <x:v>1</x:v>
      </x:c>
      <x:c r="J40" s="12" t="n">
        <x:v>0</x:v>
      </x:c>
      <x:c r="K40" s="10" t="str">
        <x:f>IF(AND(I40=1,J40=1),"PASS",IF(I40=1,"OPEN","FAIL"))</x:f>
        <x:v>OPEN</x:v>
      </x:c>
      <x:c r="L40" s="10" t="str">
        <x:v>commissioning only; no root reliability credit</x:v>
      </x:c>
    </x:row>
    <x:row r="41">
      <x:c r="B41" s="10" t="str">
        <x:v>PZ-035</x:v>
      </x:c>
      <x:c r="C41" s="10" t="str">
        <x:v>LN-04</x:v>
      </x:c>
      <x:c r="D41" s="10" t="str">
        <x:v>SA2</x:v>
      </x:c>
      <x:c r="E41" s="10" t="str">
        <x:v>PTC-C</x:v>
      </x:c>
      <x:c r="F41" s="10" t="str">
        <x:v>sensor saturation or native gap</x:v>
      </x:c>
      <x:c r="G41" s="10" t="str">
        <x:v>registered data defect</x:v>
      </x:c>
      <x:c r="H41" s="10" t="str">
        <x:v>INVALID</x:v>
      </x:c>
      <x:c r="I41" s="10" t="n">
        <x:v>1</x:v>
      </x:c>
      <x:c r="J41" s="12" t="n">
        <x:v>0</x:v>
      </x:c>
      <x:c r="K41" s="10" t="str">
        <x:f>IF(AND(I41=1,J41=1),"PASS",IF(I41=1,"OPEN","FAIL"))</x:f>
        <x:v>OPEN</x:v>
      </x:c>
      <x:c r="L41" s="10" t="str">
        <x:v>commissioning only; no root reliability credit</x:v>
      </x:c>
    </x:row>
    <x:row r="42">
      <x:c r="B42" s="10" t="str">
        <x:v>PZ-036</x:v>
      </x:c>
      <x:c r="C42" s="10" t="str">
        <x:v>LN-04</x:v>
      </x:c>
      <x:c r="D42" s="10" t="str">
        <x:v>SA2</x:v>
      </x:c>
      <x:c r="E42" s="10" t="str">
        <x:v>PTC-C</x:v>
      </x:c>
      <x:c r="F42" s="10" t="str">
        <x:v>command and observation divergence</x:v>
      </x:c>
      <x:c r="G42" s="10" t="str">
        <x:v>registered waveform mismatch</x:v>
      </x:c>
      <x:c r="H42" s="10" t="str">
        <x:v>INVALID</x:v>
      </x:c>
      <x:c r="I42" s="10" t="n">
        <x:v>1</x:v>
      </x:c>
      <x:c r="J42" s="12" t="n">
        <x:v>0</x:v>
      </x:c>
      <x:c r="K42" s="10" t="str">
        <x:f>IF(AND(I42=1,J42=1),"PASS",IF(I42=1,"OPEN","FAIL"))</x:f>
        <x:v>OPEN</x:v>
      </x:c>
      <x:c r="L42" s="10" t="str">
        <x:v>commissioning only; no root reliability credit</x:v>
      </x:c>
    </x:row>
    <x:row r="43">
      <x:c r="B43" s="10" t="str">
        <x:v>PZ-037</x:v>
      </x:c>
      <x:c r="C43" s="10" t="str">
        <x:v>LN-04</x:v>
      </x:c>
      <x:c r="D43" s="10" t="str">
        <x:v>SA2</x:v>
      </x:c>
      <x:c r="E43" s="10" t="str">
        <x:v>PTC-C</x:v>
      </x:c>
      <x:c r="F43" s="10" t="str">
        <x:v>primary controller loss</x:v>
      </x:c>
      <x:c r="G43" s="10" t="str">
        <x:v>controller removed</x:v>
      </x:c>
      <x:c r="H43" s="10" t="str">
        <x:v>SAFE STATE</x:v>
      </x:c>
      <x:c r="I43" s="10" t="n">
        <x:v>1</x:v>
      </x:c>
      <x:c r="J43" s="12" t="n">
        <x:v>0</x:v>
      </x:c>
      <x:c r="K43" s="10" t="str">
        <x:f>IF(AND(I43=1,J43=1),"PASS",IF(I43=1,"OPEN","FAIL"))</x:f>
        <x:v>OPEN</x:v>
      </x:c>
      <x:c r="L43" s="10" t="str">
        <x:v>commissioning only; no root reliability credit</x:v>
      </x:c>
    </x:row>
    <x:row r="44">
      <x:c r="B44" s="10" t="str">
        <x:v>PZ-038</x:v>
      </x:c>
      <x:c r="C44" s="10" t="str">
        <x:v>LN-04</x:v>
      </x:c>
      <x:c r="D44" s="10" t="str">
        <x:v>SA2</x:v>
      </x:c>
      <x:c r="E44" s="10" t="str">
        <x:v>PTC-C</x:v>
      </x:c>
      <x:c r="F44" s="10" t="str">
        <x:v>single safe-state actuator loss</x:v>
      </x:c>
      <x:c r="G44" s="10" t="str">
        <x:v>one actuator unavailable</x:v>
      </x:c>
      <x:c r="H44" s="10" t="str">
        <x:v>SAFE STATE</x:v>
      </x:c>
      <x:c r="I44" s="10" t="n">
        <x:v>1</x:v>
      </x:c>
      <x:c r="J44" s="12" t="n">
        <x:v>0</x:v>
      </x:c>
      <x:c r="K44" s="10" t="str">
        <x:f>IF(AND(I44=1,J44=1),"PASS",IF(I44=1,"OPEN","FAIL"))</x:f>
        <x:v>OPEN</x:v>
      </x:c>
      <x:c r="L44" s="10" t="str">
        <x:v>commissioning only; no root reliability credit</x:v>
      </x:c>
    </x:row>
    <x:row r="45">
      <x:c r="B45" s="10" t="str">
        <x:v>PZ-039</x:v>
      </x:c>
      <x:c r="C45" s="10" t="str">
        <x:v>LN-04</x:v>
      </x:c>
      <x:c r="D45" s="10" t="str">
        <x:v>SA2</x:v>
      </x:c>
      <x:c r="E45" s="10" t="str">
        <x:v>PTC-C</x:v>
      </x:c>
      <x:c r="F45" s="10" t="str">
        <x:v>clock, signing and network denial</x:v>
      </x:c>
      <x:c r="G45" s="10" t="str">
        <x:v>registered denial</x:v>
      </x:c>
      <x:c r="H45" s="10" t="str">
        <x:v>SAFE STATE AND REPLAY</x:v>
      </x:c>
      <x:c r="I45" s="10" t="n">
        <x:v>1</x:v>
      </x:c>
      <x:c r="J45" s="12" t="n">
        <x:v>0</x:v>
      </x:c>
      <x:c r="K45" s="10" t="str">
        <x:f>IF(AND(I45=1,J45=1),"PASS",IF(I45=1,"OPEN","FAIL"))</x:f>
        <x:v>OPEN</x:v>
      </x:c>
      <x:c r="L45" s="10" t="str">
        <x:v>commissioning only; no root reliability credit</x:v>
      </x:c>
    </x:row>
    <x:row r="46">
      <x:c r="B46" s="10" t="str">
        <x:v>PZ-040</x:v>
      </x:c>
      <x:c r="C46" s="10" t="str">
        <x:v>LN-04</x:v>
      </x:c>
      <x:c r="D46" s="10" t="str">
        <x:v>SA2</x:v>
      </x:c>
      <x:c r="E46" s="10" t="str">
        <x:v>PTC-C</x:v>
      </x:c>
      <x:c r="F46" s="10" t="str">
        <x:v>reset carryover or residual energy</x:v>
      </x:c>
      <x:c r="G46" s="10" t="str">
        <x:v>registered retained hazard</x:v>
      </x:c>
      <x:c r="H46" s="10" t="str">
        <x:v>QUARANTINE</x:v>
      </x:c>
      <x:c r="I46" s="10" t="n">
        <x:v>1</x:v>
      </x:c>
      <x:c r="J46" s="12" t="n">
        <x:v>0</x:v>
      </x:c>
      <x:c r="K46" s="10" t="str">
        <x:f>IF(AND(I46=1,J46=1),"PASS",IF(I46=1,"OPEN","FAIL"))</x:f>
        <x:v>OPEN</x:v>
      </x:c>
      <x:c r="L46" s="10" t="str">
        <x:v>commissioning only; no root reliability credit</x:v>
      </x:c>
    </x:row>
    <x:row r="47">
      <x:c r="B47" s="10" t="str">
        <x:v>PZ-041</x:v>
      </x:c>
      <x:c r="C47" s="10" t="str">
        <x:v>LN-05</x:v>
      </x:c>
      <x:c r="D47" s="10" t="str">
        <x:v>SA3</x:v>
      </x:c>
      <x:c r="E47" s="10" t="str">
        <x:v>PTC-A</x:v>
      </x:c>
      <x:c r="F47" s="10" t="str">
        <x:v>fixture zero and transfer matrix</x:v>
      </x:c>
      <x:c r="G47" s="10" t="str">
        <x:v>registered reference</x:v>
      </x:c>
      <x:c r="H47" s="10" t="str">
        <x:v>ACCEPT</x:v>
      </x:c>
      <x:c r="I47" s="10" t="n">
        <x:v>1</x:v>
      </x:c>
      <x:c r="J47" s="12" t="n">
        <x:v>0</x:v>
      </x:c>
      <x:c r="K47" s="10" t="str">
        <x:f>IF(AND(I47=1,J47=1),"PASS",IF(I47=1,"OPEN","FAIL"))</x:f>
        <x:v>OPEN</x:v>
      </x:c>
      <x:c r="L47" s="10" t="str">
        <x:v>commissioning only; no root reliability credit</x:v>
      </x:c>
    </x:row>
    <x:row r="48">
      <x:c r="B48" s="10" t="str">
        <x:v>PZ-042</x:v>
      </x:c>
      <x:c r="C48" s="10" t="str">
        <x:v>LN-05</x:v>
      </x:c>
      <x:c r="D48" s="10" t="str">
        <x:v>SA3</x:v>
      </x:c>
      <x:c r="E48" s="10" t="str">
        <x:v>PTC-A</x:v>
      </x:c>
      <x:c r="F48" s="10" t="str">
        <x:v>known compliant near boundary</x:v>
      </x:c>
      <x:c r="G48" s="10" t="str">
        <x:v>compliant surrogate</x:v>
      </x:c>
      <x:c r="H48" s="10" t="str">
        <x:v>ACCEPT</x:v>
      </x:c>
      <x:c r="I48" s="10" t="n">
        <x:v>1</x:v>
      </x:c>
      <x:c r="J48" s="12" t="n">
        <x:v>0</x:v>
      </x:c>
      <x:c r="K48" s="10" t="str">
        <x:f>IF(AND(I48=1,J48=1),"PASS",IF(I48=1,"OPEN","FAIL"))</x:f>
        <x:v>OPEN</x:v>
      </x:c>
      <x:c r="L48" s="10" t="str">
        <x:v>commissioning only; no root reliability credit</x:v>
      </x:c>
    </x:row>
    <x:row r="49">
      <x:c r="B49" s="10" t="str">
        <x:v>PZ-043</x:v>
      </x:c>
      <x:c r="C49" s="10" t="str">
        <x:v>LN-05</x:v>
      </x:c>
      <x:c r="D49" s="10" t="str">
        <x:v>SA3</x:v>
      </x:c>
      <x:c r="E49" s="10" t="str">
        <x:v>PTC-A</x:v>
      </x:c>
      <x:c r="F49" s="10" t="str">
        <x:v>known nonconforming beyond boundary</x:v>
      </x:c>
      <x:c r="G49" s="10" t="str">
        <x:v>nonconforming surrogate</x:v>
      </x:c>
      <x:c r="H49" s="10" t="str">
        <x:v>REJECT</x:v>
      </x:c>
      <x:c r="I49" s="10" t="n">
        <x:v>1</x:v>
      </x:c>
      <x:c r="J49" s="12" t="n">
        <x:v>0</x:v>
      </x:c>
      <x:c r="K49" s="10" t="str">
        <x:f>IF(AND(I49=1,J49=1),"PASS",IF(I49=1,"OPEN","FAIL"))</x:f>
        <x:v>OPEN</x:v>
      </x:c>
      <x:c r="L49" s="10" t="str">
        <x:v>commissioning only; no root reliability credit</x:v>
      </x:c>
    </x:row>
    <x:row r="50">
      <x:c r="B50" s="10" t="str">
        <x:v>PZ-044</x:v>
      </x:c>
      <x:c r="C50" s="10" t="str">
        <x:v>LN-05</x:v>
      </x:c>
      <x:c r="D50" s="10" t="str">
        <x:v>SA3</x:v>
      </x:c>
      <x:c r="E50" s="10" t="str">
        <x:v>PTC-A</x:v>
      </x:c>
      <x:c r="F50" s="10" t="str">
        <x:v>decision-boundary state</x:v>
      </x:c>
      <x:c r="G50" s="10" t="str">
        <x:v>boundary surrogate</x:v>
      </x:c>
      <x:c r="H50" s="10" t="str">
        <x:v>INDETERMINATE</x:v>
      </x:c>
      <x:c r="I50" s="10" t="n">
        <x:v>1</x:v>
      </x:c>
      <x:c r="J50" s="12" t="n">
        <x:v>0</x:v>
      </x:c>
      <x:c r="K50" s="10" t="str">
        <x:f>IF(AND(I50=1,J50=1),"PASS",IF(I50=1,"OPEN","FAIL"))</x:f>
        <x:v>OPEN</x:v>
      </x:c>
      <x:c r="L50" s="10" t="str">
        <x:v>commissioning only; no root reliability credit</x:v>
      </x:c>
    </x:row>
    <x:row r="51">
      <x:c r="B51" s="10" t="str">
        <x:v>PZ-045</x:v>
      </x:c>
      <x:c r="C51" s="10" t="str">
        <x:v>LN-05</x:v>
      </x:c>
      <x:c r="D51" s="10" t="str">
        <x:v>SA3</x:v>
      </x:c>
      <x:c r="E51" s="10" t="str">
        <x:v>PTC-A</x:v>
      </x:c>
      <x:c r="F51" s="10" t="str">
        <x:v>sensor saturation or native gap</x:v>
      </x:c>
      <x:c r="G51" s="10" t="str">
        <x:v>registered data defect</x:v>
      </x:c>
      <x:c r="H51" s="10" t="str">
        <x:v>INVALID</x:v>
      </x:c>
      <x:c r="I51" s="10" t="n">
        <x:v>1</x:v>
      </x:c>
      <x:c r="J51" s="12" t="n">
        <x:v>0</x:v>
      </x:c>
      <x:c r="K51" s="10" t="str">
        <x:f>IF(AND(I51=1,J51=1),"PASS",IF(I51=1,"OPEN","FAIL"))</x:f>
        <x:v>OPEN</x:v>
      </x:c>
      <x:c r="L51" s="10" t="str">
        <x:v>commissioning only; no root reliability credit</x:v>
      </x:c>
    </x:row>
    <x:row r="52">
      <x:c r="B52" s="10" t="str">
        <x:v>PZ-046</x:v>
      </x:c>
      <x:c r="C52" s="10" t="str">
        <x:v>LN-05</x:v>
      </x:c>
      <x:c r="D52" s="10" t="str">
        <x:v>SA3</x:v>
      </x:c>
      <x:c r="E52" s="10" t="str">
        <x:v>PTC-A</x:v>
      </x:c>
      <x:c r="F52" s="10" t="str">
        <x:v>command and observation divergence</x:v>
      </x:c>
      <x:c r="G52" s="10" t="str">
        <x:v>registered waveform mismatch</x:v>
      </x:c>
      <x:c r="H52" s="10" t="str">
        <x:v>INVALID</x:v>
      </x:c>
      <x:c r="I52" s="10" t="n">
        <x:v>1</x:v>
      </x:c>
      <x:c r="J52" s="12" t="n">
        <x:v>0</x:v>
      </x:c>
      <x:c r="K52" s="10" t="str">
        <x:f>IF(AND(I52=1,J52=1),"PASS",IF(I52=1,"OPEN","FAIL"))</x:f>
        <x:v>OPEN</x:v>
      </x:c>
      <x:c r="L52" s="10" t="str">
        <x:v>commissioning only; no root reliability credit</x:v>
      </x:c>
    </x:row>
    <x:row r="53">
      <x:c r="B53" s="10" t="str">
        <x:v>PZ-047</x:v>
      </x:c>
      <x:c r="C53" s="10" t="str">
        <x:v>LN-05</x:v>
      </x:c>
      <x:c r="D53" s="10" t="str">
        <x:v>SA3</x:v>
      </x:c>
      <x:c r="E53" s="10" t="str">
        <x:v>PTC-A</x:v>
      </x:c>
      <x:c r="F53" s="10" t="str">
        <x:v>primary controller loss</x:v>
      </x:c>
      <x:c r="G53" s="10" t="str">
        <x:v>controller removed</x:v>
      </x:c>
      <x:c r="H53" s="10" t="str">
        <x:v>SAFE STATE</x:v>
      </x:c>
      <x:c r="I53" s="10" t="n">
        <x:v>1</x:v>
      </x:c>
      <x:c r="J53" s="12" t="n">
        <x:v>0</x:v>
      </x:c>
      <x:c r="K53" s="10" t="str">
        <x:f>IF(AND(I53=1,J53=1),"PASS",IF(I53=1,"OPEN","FAIL"))</x:f>
        <x:v>OPEN</x:v>
      </x:c>
      <x:c r="L53" s="10" t="str">
        <x:v>commissioning only; no root reliability credit</x:v>
      </x:c>
    </x:row>
    <x:row r="54">
      <x:c r="B54" s="10" t="str">
        <x:v>PZ-048</x:v>
      </x:c>
      <x:c r="C54" s="10" t="str">
        <x:v>LN-05</x:v>
      </x:c>
      <x:c r="D54" s="10" t="str">
        <x:v>SA3</x:v>
      </x:c>
      <x:c r="E54" s="10" t="str">
        <x:v>PTC-A</x:v>
      </x:c>
      <x:c r="F54" s="10" t="str">
        <x:v>single safe-state actuator loss</x:v>
      </x:c>
      <x:c r="G54" s="10" t="str">
        <x:v>one actuator unavailable</x:v>
      </x:c>
      <x:c r="H54" s="10" t="str">
        <x:v>SAFE STATE</x:v>
      </x:c>
      <x:c r="I54" s="10" t="n">
        <x:v>1</x:v>
      </x:c>
      <x:c r="J54" s="12" t="n">
        <x:v>0</x:v>
      </x:c>
      <x:c r="K54" s="10" t="str">
        <x:f>IF(AND(I54=1,J54=1),"PASS",IF(I54=1,"OPEN","FAIL"))</x:f>
        <x:v>OPEN</x:v>
      </x:c>
      <x:c r="L54" s="10" t="str">
        <x:v>commissioning only; no root reliability credit</x:v>
      </x:c>
    </x:row>
    <x:row r="55">
      <x:c r="B55" s="10" t="str">
        <x:v>PZ-049</x:v>
      </x:c>
      <x:c r="C55" s="10" t="str">
        <x:v>LN-05</x:v>
      </x:c>
      <x:c r="D55" s="10" t="str">
        <x:v>SA3</x:v>
      </x:c>
      <x:c r="E55" s="10" t="str">
        <x:v>PTC-A</x:v>
      </x:c>
      <x:c r="F55" s="10" t="str">
        <x:v>clock, signing and network denial</x:v>
      </x:c>
      <x:c r="G55" s="10" t="str">
        <x:v>registered denial</x:v>
      </x:c>
      <x:c r="H55" s="10" t="str">
        <x:v>SAFE STATE AND REPLAY</x:v>
      </x:c>
      <x:c r="I55" s="10" t="n">
        <x:v>1</x:v>
      </x:c>
      <x:c r="J55" s="12" t="n">
        <x:v>0</x:v>
      </x:c>
      <x:c r="K55" s="10" t="str">
        <x:f>IF(AND(I55=1,J55=1),"PASS",IF(I55=1,"OPEN","FAIL"))</x:f>
        <x:v>OPEN</x:v>
      </x:c>
      <x:c r="L55" s="10" t="str">
        <x:v>commissioning only; no root reliability credit</x:v>
      </x:c>
    </x:row>
    <x:row r="56">
      <x:c r="B56" s="10" t="str">
        <x:v>PZ-050</x:v>
      </x:c>
      <x:c r="C56" s="10" t="str">
        <x:v>LN-05</x:v>
      </x:c>
      <x:c r="D56" s="10" t="str">
        <x:v>SA3</x:v>
      </x:c>
      <x:c r="E56" s="10" t="str">
        <x:v>PTC-A</x:v>
      </x:c>
      <x:c r="F56" s="10" t="str">
        <x:v>reset carryover or residual energy</x:v>
      </x:c>
      <x:c r="G56" s="10" t="str">
        <x:v>registered retained hazard</x:v>
      </x:c>
      <x:c r="H56" s="10" t="str">
        <x:v>QUARANTINE</x:v>
      </x:c>
      <x:c r="I56" s="10" t="n">
        <x:v>1</x:v>
      </x:c>
      <x:c r="J56" s="12" t="n">
        <x:v>0</x:v>
      </x:c>
      <x:c r="K56" s="10" t="str">
        <x:f>IF(AND(I56=1,J56=1),"PASS",IF(I56=1,"OPEN","FAIL"))</x:f>
        <x:v>OPEN</x:v>
      </x:c>
      <x:c r="L56" s="10" t="str">
        <x:v>commissioning only; no root reliability credit</x:v>
      </x:c>
    </x:row>
    <x:row r="57">
      <x:c r="B57" s="10" t="str">
        <x:v>PZ-051</x:v>
      </x:c>
      <x:c r="C57" s="10" t="str">
        <x:v>LN-06</x:v>
      </x:c>
      <x:c r="D57" s="10" t="str">
        <x:v>SA3</x:v>
      </x:c>
      <x:c r="E57" s="10" t="str">
        <x:v>PTC-C</x:v>
      </x:c>
      <x:c r="F57" s="10" t="str">
        <x:v>fixture zero and transfer matrix</x:v>
      </x:c>
      <x:c r="G57" s="10" t="str">
        <x:v>registered reference</x:v>
      </x:c>
      <x:c r="H57" s="10" t="str">
        <x:v>ACCEPT</x:v>
      </x:c>
      <x:c r="I57" s="10" t="n">
        <x:v>1</x:v>
      </x:c>
      <x:c r="J57" s="12" t="n">
        <x:v>0</x:v>
      </x:c>
      <x:c r="K57" s="10" t="str">
        <x:f>IF(AND(I57=1,J57=1),"PASS",IF(I57=1,"OPEN","FAIL"))</x:f>
        <x:v>OPEN</x:v>
      </x:c>
      <x:c r="L57" s="10" t="str">
        <x:v>commissioning only; no root reliability credit</x:v>
      </x:c>
    </x:row>
    <x:row r="58">
      <x:c r="B58" s="10" t="str">
        <x:v>PZ-052</x:v>
      </x:c>
      <x:c r="C58" s="10" t="str">
        <x:v>LN-06</x:v>
      </x:c>
      <x:c r="D58" s="10" t="str">
        <x:v>SA3</x:v>
      </x:c>
      <x:c r="E58" s="10" t="str">
        <x:v>PTC-C</x:v>
      </x:c>
      <x:c r="F58" s="10" t="str">
        <x:v>known compliant near boundary</x:v>
      </x:c>
      <x:c r="G58" s="10" t="str">
        <x:v>compliant surrogate</x:v>
      </x:c>
      <x:c r="H58" s="10" t="str">
        <x:v>ACCEPT</x:v>
      </x:c>
      <x:c r="I58" s="10" t="n">
        <x:v>1</x:v>
      </x:c>
      <x:c r="J58" s="12" t="n">
        <x:v>0</x:v>
      </x:c>
      <x:c r="K58" s="10" t="str">
        <x:f>IF(AND(I58=1,J58=1),"PASS",IF(I58=1,"OPEN","FAIL"))</x:f>
        <x:v>OPEN</x:v>
      </x:c>
      <x:c r="L58" s="10" t="str">
        <x:v>commissioning only; no root reliability credit</x:v>
      </x:c>
    </x:row>
    <x:row r="59">
      <x:c r="B59" s="10" t="str">
        <x:v>PZ-053</x:v>
      </x:c>
      <x:c r="C59" s="10" t="str">
        <x:v>LN-06</x:v>
      </x:c>
      <x:c r="D59" s="10" t="str">
        <x:v>SA3</x:v>
      </x:c>
      <x:c r="E59" s="10" t="str">
        <x:v>PTC-C</x:v>
      </x:c>
      <x:c r="F59" s="10" t="str">
        <x:v>known nonconforming beyond boundary</x:v>
      </x:c>
      <x:c r="G59" s="10" t="str">
        <x:v>nonconforming surrogate</x:v>
      </x:c>
      <x:c r="H59" s="10" t="str">
        <x:v>REJECT</x:v>
      </x:c>
      <x:c r="I59" s="10" t="n">
        <x:v>1</x:v>
      </x:c>
      <x:c r="J59" s="12" t="n">
        <x:v>0</x:v>
      </x:c>
      <x:c r="K59" s="10" t="str">
        <x:f>IF(AND(I59=1,J59=1),"PASS",IF(I59=1,"OPEN","FAIL"))</x:f>
        <x:v>OPEN</x:v>
      </x:c>
      <x:c r="L59" s="10" t="str">
        <x:v>commissioning only; no root reliability credit</x:v>
      </x:c>
    </x:row>
    <x:row r="60">
      <x:c r="B60" s="10" t="str">
        <x:v>PZ-054</x:v>
      </x:c>
      <x:c r="C60" s="10" t="str">
        <x:v>LN-06</x:v>
      </x:c>
      <x:c r="D60" s="10" t="str">
        <x:v>SA3</x:v>
      </x:c>
      <x:c r="E60" s="10" t="str">
        <x:v>PTC-C</x:v>
      </x:c>
      <x:c r="F60" s="10" t="str">
        <x:v>decision-boundary state</x:v>
      </x:c>
      <x:c r="G60" s="10" t="str">
        <x:v>boundary surrogate</x:v>
      </x:c>
      <x:c r="H60" s="10" t="str">
        <x:v>INDETERMINATE</x:v>
      </x:c>
      <x:c r="I60" s="10" t="n">
        <x:v>1</x:v>
      </x:c>
      <x:c r="J60" s="12" t="n">
        <x:v>0</x:v>
      </x:c>
      <x:c r="K60" s="10" t="str">
        <x:f>IF(AND(I60=1,J60=1),"PASS",IF(I60=1,"OPEN","FAIL"))</x:f>
        <x:v>OPEN</x:v>
      </x:c>
      <x:c r="L60" s="10" t="str">
        <x:v>commissioning only; no root reliability credit</x:v>
      </x:c>
    </x:row>
    <x:row r="61">
      <x:c r="B61" s="10" t="str">
        <x:v>PZ-055</x:v>
      </x:c>
      <x:c r="C61" s="10" t="str">
        <x:v>LN-06</x:v>
      </x:c>
      <x:c r="D61" s="10" t="str">
        <x:v>SA3</x:v>
      </x:c>
      <x:c r="E61" s="10" t="str">
        <x:v>PTC-C</x:v>
      </x:c>
      <x:c r="F61" s="10" t="str">
        <x:v>sensor saturation or native gap</x:v>
      </x:c>
      <x:c r="G61" s="10" t="str">
        <x:v>registered data defect</x:v>
      </x:c>
      <x:c r="H61" s="10" t="str">
        <x:v>INVALID</x:v>
      </x:c>
      <x:c r="I61" s="10" t="n">
        <x:v>1</x:v>
      </x:c>
      <x:c r="J61" s="12" t="n">
        <x:v>0</x:v>
      </x:c>
      <x:c r="K61" s="10" t="str">
        <x:f>IF(AND(I61=1,J61=1),"PASS",IF(I61=1,"OPEN","FAIL"))</x:f>
        <x:v>OPEN</x:v>
      </x:c>
      <x:c r="L61" s="10" t="str">
        <x:v>commissioning only; no root reliability credit</x:v>
      </x:c>
    </x:row>
    <x:row r="62">
      <x:c r="B62" s="10" t="str">
        <x:v>PZ-056</x:v>
      </x:c>
      <x:c r="C62" s="10" t="str">
        <x:v>LN-06</x:v>
      </x:c>
      <x:c r="D62" s="10" t="str">
        <x:v>SA3</x:v>
      </x:c>
      <x:c r="E62" s="10" t="str">
        <x:v>PTC-C</x:v>
      </x:c>
      <x:c r="F62" s="10" t="str">
        <x:v>command and observation divergence</x:v>
      </x:c>
      <x:c r="G62" s="10" t="str">
        <x:v>registered waveform mismatch</x:v>
      </x:c>
      <x:c r="H62" s="10" t="str">
        <x:v>INVALID</x:v>
      </x:c>
      <x:c r="I62" s="10" t="n">
        <x:v>1</x:v>
      </x:c>
      <x:c r="J62" s="12" t="n">
        <x:v>0</x:v>
      </x:c>
      <x:c r="K62" s="10" t="str">
        <x:f>IF(AND(I62=1,J62=1),"PASS",IF(I62=1,"OPEN","FAIL"))</x:f>
        <x:v>OPEN</x:v>
      </x:c>
      <x:c r="L62" s="10" t="str">
        <x:v>commissioning only; no root reliability credit</x:v>
      </x:c>
    </x:row>
    <x:row r="63">
      <x:c r="B63" s="10" t="str">
        <x:v>PZ-057</x:v>
      </x:c>
      <x:c r="C63" s="10" t="str">
        <x:v>LN-06</x:v>
      </x:c>
      <x:c r="D63" s="10" t="str">
        <x:v>SA3</x:v>
      </x:c>
      <x:c r="E63" s="10" t="str">
        <x:v>PTC-C</x:v>
      </x:c>
      <x:c r="F63" s="10" t="str">
        <x:v>primary controller loss</x:v>
      </x:c>
      <x:c r="G63" s="10" t="str">
        <x:v>controller removed</x:v>
      </x:c>
      <x:c r="H63" s="10" t="str">
        <x:v>SAFE STATE</x:v>
      </x:c>
      <x:c r="I63" s="10" t="n">
        <x:v>1</x:v>
      </x:c>
      <x:c r="J63" s="12" t="n">
        <x:v>0</x:v>
      </x:c>
      <x:c r="K63" s="10" t="str">
        <x:f>IF(AND(I63=1,J63=1),"PASS",IF(I63=1,"OPEN","FAIL"))</x:f>
        <x:v>OPEN</x:v>
      </x:c>
      <x:c r="L63" s="10" t="str">
        <x:v>commissioning only; no root reliability credit</x:v>
      </x:c>
    </x:row>
    <x:row r="64">
      <x:c r="B64" s="10" t="str">
        <x:v>PZ-058</x:v>
      </x:c>
      <x:c r="C64" s="10" t="str">
        <x:v>LN-06</x:v>
      </x:c>
      <x:c r="D64" s="10" t="str">
        <x:v>SA3</x:v>
      </x:c>
      <x:c r="E64" s="10" t="str">
        <x:v>PTC-C</x:v>
      </x:c>
      <x:c r="F64" s="10" t="str">
        <x:v>single safe-state actuator loss</x:v>
      </x:c>
      <x:c r="G64" s="10" t="str">
        <x:v>one actuator unavailable</x:v>
      </x:c>
      <x:c r="H64" s="10" t="str">
        <x:v>SAFE STATE</x:v>
      </x:c>
      <x:c r="I64" s="10" t="n">
        <x:v>1</x:v>
      </x:c>
      <x:c r="J64" s="12" t="n">
        <x:v>0</x:v>
      </x:c>
      <x:c r="K64" s="10" t="str">
        <x:f>IF(AND(I64=1,J64=1),"PASS",IF(I64=1,"OPEN","FAIL"))</x:f>
        <x:v>OPEN</x:v>
      </x:c>
      <x:c r="L64" s="10" t="str">
        <x:v>commissioning only; no root reliability credit</x:v>
      </x:c>
    </x:row>
    <x:row r="65">
      <x:c r="B65" s="10" t="str">
        <x:v>PZ-059</x:v>
      </x:c>
      <x:c r="C65" s="10" t="str">
        <x:v>LN-06</x:v>
      </x:c>
      <x:c r="D65" s="10" t="str">
        <x:v>SA3</x:v>
      </x:c>
      <x:c r="E65" s="10" t="str">
        <x:v>PTC-C</x:v>
      </x:c>
      <x:c r="F65" s="10" t="str">
        <x:v>clock, signing and network denial</x:v>
      </x:c>
      <x:c r="G65" s="10" t="str">
        <x:v>registered denial</x:v>
      </x:c>
      <x:c r="H65" s="10" t="str">
        <x:v>SAFE STATE AND REPLAY</x:v>
      </x:c>
      <x:c r="I65" s="10" t="n">
        <x:v>1</x:v>
      </x:c>
      <x:c r="J65" s="12" t="n">
        <x:v>0</x:v>
      </x:c>
      <x:c r="K65" s="10" t="str">
        <x:f>IF(AND(I65=1,J65=1),"PASS",IF(I65=1,"OPEN","FAIL"))</x:f>
        <x:v>OPEN</x:v>
      </x:c>
      <x:c r="L65" s="10" t="str">
        <x:v>commissioning only; no root reliability credit</x:v>
      </x:c>
    </x:row>
    <x:row r="66">
      <x:c r="B66" s="10" t="str">
        <x:v>PZ-060</x:v>
      </x:c>
      <x:c r="C66" s="10" t="str">
        <x:v>LN-06</x:v>
      </x:c>
      <x:c r="D66" s="10" t="str">
        <x:v>SA3</x:v>
      </x:c>
      <x:c r="E66" s="10" t="str">
        <x:v>PTC-C</x:v>
      </x:c>
      <x:c r="F66" s="10" t="str">
        <x:v>reset carryover or residual energy</x:v>
      </x:c>
      <x:c r="G66" s="10" t="str">
        <x:v>registered retained hazard</x:v>
      </x:c>
      <x:c r="H66" s="10" t="str">
        <x:v>QUARANTINE</x:v>
      </x:c>
      <x:c r="I66" s="10" t="n">
        <x:v>1</x:v>
      </x:c>
      <x:c r="J66" s="12" t="n">
        <x:v>0</x:v>
      </x:c>
      <x:c r="K66" s="10" t="str">
        <x:f>IF(AND(I66=1,J66=1),"PASS",IF(I66=1,"OPEN","FAIL"))</x:f>
        <x:v>OPEN</x:v>
      </x:c>
      <x:c r="L66" s="10" t="str">
        <x:v>commissioning only; no root reliability credit</x:v>
      </x:c>
    </x:row>
    <x:row r="67">
      <x:c r="B67" s="10" t="str">
        <x:v>PZ-061</x:v>
      </x:c>
      <x:c r="C67" s="10" t="str">
        <x:v>LN-07</x:v>
      </x:c>
      <x:c r="D67" s="10" t="str">
        <x:v>SA4</x:v>
      </x:c>
      <x:c r="E67" s="10" t="str">
        <x:v>PTC-B</x:v>
      </x:c>
      <x:c r="F67" s="10" t="str">
        <x:v>fixture zero and transfer matrix</x:v>
      </x:c>
      <x:c r="G67" s="10" t="str">
        <x:v>registered reference</x:v>
      </x:c>
      <x:c r="H67" s="10" t="str">
        <x:v>ACCEPT</x:v>
      </x:c>
      <x:c r="I67" s="10" t="n">
        <x:v>1</x:v>
      </x:c>
      <x:c r="J67" s="12" t="n">
        <x:v>0</x:v>
      </x:c>
      <x:c r="K67" s="10" t="str">
        <x:f>IF(AND(I67=1,J67=1),"PASS",IF(I67=1,"OPEN","FAIL"))</x:f>
        <x:v>OPEN</x:v>
      </x:c>
      <x:c r="L67" s="10" t="str">
        <x:v>commissioning only; no root reliability credit</x:v>
      </x:c>
    </x:row>
    <x:row r="68">
      <x:c r="B68" s="10" t="str">
        <x:v>PZ-062</x:v>
      </x:c>
      <x:c r="C68" s="10" t="str">
        <x:v>LN-07</x:v>
      </x:c>
      <x:c r="D68" s="10" t="str">
        <x:v>SA4</x:v>
      </x:c>
      <x:c r="E68" s="10" t="str">
        <x:v>PTC-B</x:v>
      </x:c>
      <x:c r="F68" s="10" t="str">
        <x:v>known compliant near boundary</x:v>
      </x:c>
      <x:c r="G68" s="10" t="str">
        <x:v>compliant surrogate</x:v>
      </x:c>
      <x:c r="H68" s="10" t="str">
        <x:v>ACCEPT</x:v>
      </x:c>
      <x:c r="I68" s="10" t="n">
        <x:v>1</x:v>
      </x:c>
      <x:c r="J68" s="12" t="n">
        <x:v>0</x:v>
      </x:c>
      <x:c r="K68" s="10" t="str">
        <x:f>IF(AND(I68=1,J68=1),"PASS",IF(I68=1,"OPEN","FAIL"))</x:f>
        <x:v>OPEN</x:v>
      </x:c>
      <x:c r="L68" s="10" t="str">
        <x:v>commissioning only; no root reliability credit</x:v>
      </x:c>
    </x:row>
    <x:row r="69">
      <x:c r="B69" s="10" t="str">
        <x:v>PZ-063</x:v>
      </x:c>
      <x:c r="C69" s="10" t="str">
        <x:v>LN-07</x:v>
      </x:c>
      <x:c r="D69" s="10" t="str">
        <x:v>SA4</x:v>
      </x:c>
      <x:c r="E69" s="10" t="str">
        <x:v>PTC-B</x:v>
      </x:c>
      <x:c r="F69" s="10" t="str">
        <x:v>known nonconforming beyond boundary</x:v>
      </x:c>
      <x:c r="G69" s="10" t="str">
        <x:v>nonconforming surrogate</x:v>
      </x:c>
      <x:c r="H69" s="10" t="str">
        <x:v>REJECT</x:v>
      </x:c>
      <x:c r="I69" s="10" t="n">
        <x:v>1</x:v>
      </x:c>
      <x:c r="J69" s="12" t="n">
        <x:v>0</x:v>
      </x:c>
      <x:c r="K69" s="10" t="str">
        <x:f>IF(AND(I69=1,J69=1),"PASS",IF(I69=1,"OPEN","FAIL"))</x:f>
        <x:v>OPEN</x:v>
      </x:c>
      <x:c r="L69" s="10" t="str">
        <x:v>commissioning only; no root reliability credit</x:v>
      </x:c>
    </x:row>
    <x:row r="70">
      <x:c r="B70" s="10" t="str">
        <x:v>PZ-064</x:v>
      </x:c>
      <x:c r="C70" s="10" t="str">
        <x:v>LN-07</x:v>
      </x:c>
      <x:c r="D70" s="10" t="str">
        <x:v>SA4</x:v>
      </x:c>
      <x:c r="E70" s="10" t="str">
        <x:v>PTC-B</x:v>
      </x:c>
      <x:c r="F70" s="10" t="str">
        <x:v>decision-boundary state</x:v>
      </x:c>
      <x:c r="G70" s="10" t="str">
        <x:v>boundary surrogate</x:v>
      </x:c>
      <x:c r="H70" s="10" t="str">
        <x:v>INDETERMINATE</x:v>
      </x:c>
      <x:c r="I70" s="10" t="n">
        <x:v>1</x:v>
      </x:c>
      <x:c r="J70" s="12" t="n">
        <x:v>0</x:v>
      </x:c>
      <x:c r="K70" s="10" t="str">
        <x:f>IF(AND(I70=1,J70=1),"PASS",IF(I70=1,"OPEN","FAIL"))</x:f>
        <x:v>OPEN</x:v>
      </x:c>
      <x:c r="L70" s="10" t="str">
        <x:v>commissioning only; no root reliability credit</x:v>
      </x:c>
    </x:row>
    <x:row r="71">
      <x:c r="B71" s="10" t="str">
        <x:v>PZ-065</x:v>
      </x:c>
      <x:c r="C71" s="10" t="str">
        <x:v>LN-07</x:v>
      </x:c>
      <x:c r="D71" s="10" t="str">
        <x:v>SA4</x:v>
      </x:c>
      <x:c r="E71" s="10" t="str">
        <x:v>PTC-B</x:v>
      </x:c>
      <x:c r="F71" s="10" t="str">
        <x:v>sensor saturation or native gap</x:v>
      </x:c>
      <x:c r="G71" s="10" t="str">
        <x:v>registered data defect</x:v>
      </x:c>
      <x:c r="H71" s="10" t="str">
        <x:v>INVALID</x:v>
      </x:c>
      <x:c r="I71" s="10" t="n">
        <x:v>1</x:v>
      </x:c>
      <x:c r="J71" s="12" t="n">
        <x:v>0</x:v>
      </x:c>
      <x:c r="K71" s="10" t="str">
        <x:f>IF(AND(I71=1,J71=1),"PASS",IF(I71=1,"OPEN","FAIL"))</x:f>
        <x:v>OPEN</x:v>
      </x:c>
      <x:c r="L71" s="10" t="str">
        <x:v>commissioning only; no root reliability credit</x:v>
      </x:c>
    </x:row>
    <x:row r="72">
      <x:c r="B72" s="10" t="str">
        <x:v>PZ-066</x:v>
      </x:c>
      <x:c r="C72" s="10" t="str">
        <x:v>LN-07</x:v>
      </x:c>
      <x:c r="D72" s="10" t="str">
        <x:v>SA4</x:v>
      </x:c>
      <x:c r="E72" s="10" t="str">
        <x:v>PTC-B</x:v>
      </x:c>
      <x:c r="F72" s="10" t="str">
        <x:v>command and observation divergence</x:v>
      </x:c>
      <x:c r="G72" s="10" t="str">
        <x:v>registered waveform mismatch</x:v>
      </x:c>
      <x:c r="H72" s="10" t="str">
        <x:v>INVALID</x:v>
      </x:c>
      <x:c r="I72" s="10" t="n">
        <x:v>1</x:v>
      </x:c>
      <x:c r="J72" s="12" t="n">
        <x:v>0</x:v>
      </x:c>
      <x:c r="K72" s="10" t="str">
        <x:f>IF(AND(I72=1,J72=1),"PASS",IF(I72=1,"OPEN","FAIL"))</x:f>
        <x:v>OPEN</x:v>
      </x:c>
      <x:c r="L72" s="10" t="str">
        <x:v>commissioning only; no root reliability credit</x:v>
      </x:c>
    </x:row>
    <x:row r="73">
      <x:c r="B73" s="10" t="str">
        <x:v>PZ-067</x:v>
      </x:c>
      <x:c r="C73" s="10" t="str">
        <x:v>LN-07</x:v>
      </x:c>
      <x:c r="D73" s="10" t="str">
        <x:v>SA4</x:v>
      </x:c>
      <x:c r="E73" s="10" t="str">
        <x:v>PTC-B</x:v>
      </x:c>
      <x:c r="F73" s="10" t="str">
        <x:v>primary controller loss</x:v>
      </x:c>
      <x:c r="G73" s="10" t="str">
        <x:v>controller removed</x:v>
      </x:c>
      <x:c r="H73" s="10" t="str">
        <x:v>SAFE STATE</x:v>
      </x:c>
      <x:c r="I73" s="10" t="n">
        <x:v>1</x:v>
      </x:c>
      <x:c r="J73" s="12" t="n">
        <x:v>0</x:v>
      </x:c>
      <x:c r="K73" s="10" t="str">
        <x:f>IF(AND(I73=1,J73=1),"PASS",IF(I73=1,"OPEN","FAIL"))</x:f>
        <x:v>OPEN</x:v>
      </x:c>
      <x:c r="L73" s="10" t="str">
        <x:v>commissioning only; no root reliability credit</x:v>
      </x:c>
    </x:row>
    <x:row r="74">
      <x:c r="B74" s="10" t="str">
        <x:v>PZ-068</x:v>
      </x:c>
      <x:c r="C74" s="10" t="str">
        <x:v>LN-07</x:v>
      </x:c>
      <x:c r="D74" s="10" t="str">
        <x:v>SA4</x:v>
      </x:c>
      <x:c r="E74" s="10" t="str">
        <x:v>PTC-B</x:v>
      </x:c>
      <x:c r="F74" s="10" t="str">
        <x:v>single safe-state actuator loss</x:v>
      </x:c>
      <x:c r="G74" s="10" t="str">
        <x:v>one actuator unavailable</x:v>
      </x:c>
      <x:c r="H74" s="10" t="str">
        <x:v>SAFE STATE</x:v>
      </x:c>
      <x:c r="I74" s="10" t="n">
        <x:v>1</x:v>
      </x:c>
      <x:c r="J74" s="12" t="n">
        <x:v>0</x:v>
      </x:c>
      <x:c r="K74" s="10" t="str">
        <x:f>IF(AND(I74=1,J74=1),"PASS",IF(I74=1,"OPEN","FAIL"))</x:f>
        <x:v>OPEN</x:v>
      </x:c>
      <x:c r="L74" s="10" t="str">
        <x:v>commissioning only; no root reliability credit</x:v>
      </x:c>
    </x:row>
    <x:row r="75">
      <x:c r="B75" s="10" t="str">
        <x:v>PZ-069</x:v>
      </x:c>
      <x:c r="C75" s="10" t="str">
        <x:v>LN-07</x:v>
      </x:c>
      <x:c r="D75" s="10" t="str">
        <x:v>SA4</x:v>
      </x:c>
      <x:c r="E75" s="10" t="str">
        <x:v>PTC-B</x:v>
      </x:c>
      <x:c r="F75" s="10" t="str">
        <x:v>clock, signing and network denial</x:v>
      </x:c>
      <x:c r="G75" s="10" t="str">
        <x:v>registered denial</x:v>
      </x:c>
      <x:c r="H75" s="10" t="str">
        <x:v>SAFE STATE AND REPLAY</x:v>
      </x:c>
      <x:c r="I75" s="10" t="n">
        <x:v>1</x:v>
      </x:c>
      <x:c r="J75" s="12" t="n">
        <x:v>0</x:v>
      </x:c>
      <x:c r="K75" s="10" t="str">
        <x:f>IF(AND(I75=1,J75=1),"PASS",IF(I75=1,"OPEN","FAIL"))</x:f>
        <x:v>OPEN</x:v>
      </x:c>
      <x:c r="L75" s="10" t="str">
        <x:v>commissioning only; no root reliability credit</x:v>
      </x:c>
    </x:row>
    <x:row r="76">
      <x:c r="B76" s="10" t="str">
        <x:v>PZ-070</x:v>
      </x:c>
      <x:c r="C76" s="10" t="str">
        <x:v>LN-07</x:v>
      </x:c>
      <x:c r="D76" s="10" t="str">
        <x:v>SA4</x:v>
      </x:c>
      <x:c r="E76" s="10" t="str">
        <x:v>PTC-B</x:v>
      </x:c>
      <x:c r="F76" s="10" t="str">
        <x:v>reset carryover or residual energy</x:v>
      </x:c>
      <x:c r="G76" s="10" t="str">
        <x:v>registered retained hazard</x:v>
      </x:c>
      <x:c r="H76" s="10" t="str">
        <x:v>QUARANTINE</x:v>
      </x:c>
      <x:c r="I76" s="10" t="n">
        <x:v>1</x:v>
      </x:c>
      <x:c r="J76" s="12" t="n">
        <x:v>0</x:v>
      </x:c>
      <x:c r="K76" s="10" t="str">
        <x:f>IF(AND(I76=1,J76=1),"PASS",IF(I76=1,"OPEN","FAIL"))</x:f>
        <x:v>OPEN</x:v>
      </x:c>
      <x:c r="L76" s="10" t="str">
        <x:v>commissioning only; no root reliability credit</x:v>
      </x:c>
    </x:row>
    <x:row r="77">
      <x:c r="B77" s="10" t="str">
        <x:v>PZ-071</x:v>
      </x:c>
      <x:c r="C77" s="10" t="str">
        <x:v>LN-08</x:v>
      </x:c>
      <x:c r="D77" s="10" t="str">
        <x:v>SA4</x:v>
      </x:c>
      <x:c r="E77" s="10" t="str">
        <x:v>PTC-C</x:v>
      </x:c>
      <x:c r="F77" s="10" t="str">
        <x:v>fixture zero and transfer matrix</x:v>
      </x:c>
      <x:c r="G77" s="10" t="str">
        <x:v>registered reference</x:v>
      </x:c>
      <x:c r="H77" s="10" t="str">
        <x:v>ACCEPT</x:v>
      </x:c>
      <x:c r="I77" s="10" t="n">
        <x:v>1</x:v>
      </x:c>
      <x:c r="J77" s="12" t="n">
        <x:v>0</x:v>
      </x:c>
      <x:c r="K77" s="10" t="str">
        <x:f>IF(AND(I77=1,J77=1),"PASS",IF(I77=1,"OPEN","FAIL"))</x:f>
        <x:v>OPEN</x:v>
      </x:c>
      <x:c r="L77" s="10" t="str">
        <x:v>commissioning only; no root reliability credit</x:v>
      </x:c>
    </x:row>
    <x:row r="78">
      <x:c r="B78" s="10" t="str">
        <x:v>PZ-072</x:v>
      </x:c>
      <x:c r="C78" s="10" t="str">
        <x:v>LN-08</x:v>
      </x:c>
      <x:c r="D78" s="10" t="str">
        <x:v>SA4</x:v>
      </x:c>
      <x:c r="E78" s="10" t="str">
        <x:v>PTC-C</x:v>
      </x:c>
      <x:c r="F78" s="10" t="str">
        <x:v>known compliant near boundary</x:v>
      </x:c>
      <x:c r="G78" s="10" t="str">
        <x:v>compliant surrogate</x:v>
      </x:c>
      <x:c r="H78" s="10" t="str">
        <x:v>ACCEPT</x:v>
      </x:c>
      <x:c r="I78" s="10" t="n">
        <x:v>1</x:v>
      </x:c>
      <x:c r="J78" s="12" t="n">
        <x:v>0</x:v>
      </x:c>
      <x:c r="K78" s="10" t="str">
        <x:f>IF(AND(I78=1,J78=1),"PASS",IF(I78=1,"OPEN","FAIL"))</x:f>
        <x:v>OPEN</x:v>
      </x:c>
      <x:c r="L78" s="10" t="str">
        <x:v>commissioning only; no root reliability credit</x:v>
      </x:c>
    </x:row>
    <x:row r="79">
      <x:c r="B79" s="10" t="str">
        <x:v>PZ-073</x:v>
      </x:c>
      <x:c r="C79" s="10" t="str">
        <x:v>LN-08</x:v>
      </x:c>
      <x:c r="D79" s="10" t="str">
        <x:v>SA4</x:v>
      </x:c>
      <x:c r="E79" s="10" t="str">
        <x:v>PTC-C</x:v>
      </x:c>
      <x:c r="F79" s="10" t="str">
        <x:v>known nonconforming beyond boundary</x:v>
      </x:c>
      <x:c r="G79" s="10" t="str">
        <x:v>nonconforming surrogate</x:v>
      </x:c>
      <x:c r="H79" s="10" t="str">
        <x:v>REJECT</x:v>
      </x:c>
      <x:c r="I79" s="10" t="n">
        <x:v>1</x:v>
      </x:c>
      <x:c r="J79" s="12" t="n">
        <x:v>0</x:v>
      </x:c>
      <x:c r="K79" s="10" t="str">
        <x:f>IF(AND(I79=1,J79=1),"PASS",IF(I79=1,"OPEN","FAIL"))</x:f>
        <x:v>OPEN</x:v>
      </x:c>
      <x:c r="L79" s="10" t="str">
        <x:v>commissioning only; no root reliability credit</x:v>
      </x:c>
    </x:row>
    <x:row r="80">
      <x:c r="B80" s="10" t="str">
        <x:v>PZ-074</x:v>
      </x:c>
      <x:c r="C80" s="10" t="str">
        <x:v>LN-08</x:v>
      </x:c>
      <x:c r="D80" s="10" t="str">
        <x:v>SA4</x:v>
      </x:c>
      <x:c r="E80" s="10" t="str">
        <x:v>PTC-C</x:v>
      </x:c>
      <x:c r="F80" s="10" t="str">
        <x:v>decision-boundary state</x:v>
      </x:c>
      <x:c r="G80" s="10" t="str">
        <x:v>boundary surrogate</x:v>
      </x:c>
      <x:c r="H80" s="10" t="str">
        <x:v>INDETERMINATE</x:v>
      </x:c>
      <x:c r="I80" s="10" t="n">
        <x:v>1</x:v>
      </x:c>
      <x:c r="J80" s="12" t="n">
        <x:v>0</x:v>
      </x:c>
      <x:c r="K80" s="10" t="str">
        <x:f>IF(AND(I80=1,J80=1),"PASS",IF(I80=1,"OPEN","FAIL"))</x:f>
        <x:v>OPEN</x:v>
      </x:c>
      <x:c r="L80" s="10" t="str">
        <x:v>commissioning only; no root reliability credit</x:v>
      </x:c>
    </x:row>
    <x:row r="81">
      <x:c r="B81" s="10" t="str">
        <x:v>PZ-075</x:v>
      </x:c>
      <x:c r="C81" s="10" t="str">
        <x:v>LN-08</x:v>
      </x:c>
      <x:c r="D81" s="10" t="str">
        <x:v>SA4</x:v>
      </x:c>
      <x:c r="E81" s="10" t="str">
        <x:v>PTC-C</x:v>
      </x:c>
      <x:c r="F81" s="10" t="str">
        <x:v>sensor saturation or native gap</x:v>
      </x:c>
      <x:c r="G81" s="10" t="str">
        <x:v>registered data defect</x:v>
      </x:c>
      <x:c r="H81" s="10" t="str">
        <x:v>INVALID</x:v>
      </x:c>
      <x:c r="I81" s="10" t="n">
        <x:v>1</x:v>
      </x:c>
      <x:c r="J81" s="12" t="n">
        <x:v>0</x:v>
      </x:c>
      <x:c r="K81" s="10" t="str">
        <x:f>IF(AND(I81=1,J81=1),"PASS",IF(I81=1,"OPEN","FAIL"))</x:f>
        <x:v>OPEN</x:v>
      </x:c>
      <x:c r="L81" s="10" t="str">
        <x:v>commissioning only; no root reliability credit</x:v>
      </x:c>
    </x:row>
    <x:row r="82">
      <x:c r="B82" s="10" t="str">
        <x:v>PZ-076</x:v>
      </x:c>
      <x:c r="C82" s="10" t="str">
        <x:v>LN-08</x:v>
      </x:c>
      <x:c r="D82" s="10" t="str">
        <x:v>SA4</x:v>
      </x:c>
      <x:c r="E82" s="10" t="str">
        <x:v>PTC-C</x:v>
      </x:c>
      <x:c r="F82" s="10" t="str">
        <x:v>command and observation divergence</x:v>
      </x:c>
      <x:c r="G82" s="10" t="str">
        <x:v>registered waveform mismatch</x:v>
      </x:c>
      <x:c r="H82" s="10" t="str">
        <x:v>INVALID</x:v>
      </x:c>
      <x:c r="I82" s="10" t="n">
        <x:v>1</x:v>
      </x:c>
      <x:c r="J82" s="12" t="n">
        <x:v>0</x:v>
      </x:c>
      <x:c r="K82" s="10" t="str">
        <x:f>IF(AND(I82=1,J82=1),"PASS",IF(I82=1,"OPEN","FAIL"))</x:f>
        <x:v>OPEN</x:v>
      </x:c>
      <x:c r="L82" s="10" t="str">
        <x:v>commissioning only; no root reliability credit</x:v>
      </x:c>
    </x:row>
    <x:row r="83">
      <x:c r="B83" s="10" t="str">
        <x:v>PZ-077</x:v>
      </x:c>
      <x:c r="C83" s="10" t="str">
        <x:v>LN-08</x:v>
      </x:c>
      <x:c r="D83" s="10" t="str">
        <x:v>SA4</x:v>
      </x:c>
      <x:c r="E83" s="10" t="str">
        <x:v>PTC-C</x:v>
      </x:c>
      <x:c r="F83" s="10" t="str">
        <x:v>primary controller loss</x:v>
      </x:c>
      <x:c r="G83" s="10" t="str">
        <x:v>controller removed</x:v>
      </x:c>
      <x:c r="H83" s="10" t="str">
        <x:v>SAFE STATE</x:v>
      </x:c>
      <x:c r="I83" s="10" t="n">
        <x:v>1</x:v>
      </x:c>
      <x:c r="J83" s="12" t="n">
        <x:v>0</x:v>
      </x:c>
      <x:c r="K83" s="10" t="str">
        <x:f>IF(AND(I83=1,J83=1),"PASS",IF(I83=1,"OPEN","FAIL"))</x:f>
        <x:v>OPEN</x:v>
      </x:c>
      <x:c r="L83" s="10" t="str">
        <x:v>commissioning only; no root reliability credit</x:v>
      </x:c>
    </x:row>
    <x:row r="84">
      <x:c r="B84" s="10" t="str">
        <x:v>PZ-078</x:v>
      </x:c>
      <x:c r="C84" s="10" t="str">
        <x:v>LN-08</x:v>
      </x:c>
      <x:c r="D84" s="10" t="str">
        <x:v>SA4</x:v>
      </x:c>
      <x:c r="E84" s="10" t="str">
        <x:v>PTC-C</x:v>
      </x:c>
      <x:c r="F84" s="10" t="str">
        <x:v>single safe-state actuator loss</x:v>
      </x:c>
      <x:c r="G84" s="10" t="str">
        <x:v>one actuator unavailable</x:v>
      </x:c>
      <x:c r="H84" s="10" t="str">
        <x:v>SAFE STATE</x:v>
      </x:c>
      <x:c r="I84" s="10" t="n">
        <x:v>1</x:v>
      </x:c>
      <x:c r="J84" s="12" t="n">
        <x:v>0</x:v>
      </x:c>
      <x:c r="K84" s="10" t="str">
        <x:f>IF(AND(I84=1,J84=1),"PASS",IF(I84=1,"OPEN","FAIL"))</x:f>
        <x:v>OPEN</x:v>
      </x:c>
      <x:c r="L84" s="10" t="str">
        <x:v>commissioning only; no root reliability credit</x:v>
      </x:c>
    </x:row>
    <x:row r="85">
      <x:c r="B85" s="10" t="str">
        <x:v>PZ-079</x:v>
      </x:c>
      <x:c r="C85" s="10" t="str">
        <x:v>LN-08</x:v>
      </x:c>
      <x:c r="D85" s="10" t="str">
        <x:v>SA4</x:v>
      </x:c>
      <x:c r="E85" s="10" t="str">
        <x:v>PTC-C</x:v>
      </x:c>
      <x:c r="F85" s="10" t="str">
        <x:v>clock, signing and network denial</x:v>
      </x:c>
      <x:c r="G85" s="10" t="str">
        <x:v>registered denial</x:v>
      </x:c>
      <x:c r="H85" s="10" t="str">
        <x:v>SAFE STATE AND REPLAY</x:v>
      </x:c>
      <x:c r="I85" s="10" t="n">
        <x:v>1</x:v>
      </x:c>
      <x:c r="J85" s="12" t="n">
        <x:v>0</x:v>
      </x:c>
      <x:c r="K85" s="10" t="str">
        <x:f>IF(AND(I85=1,J85=1),"PASS",IF(I85=1,"OPEN","FAIL"))</x:f>
        <x:v>OPEN</x:v>
      </x:c>
      <x:c r="L85" s="10" t="str">
        <x:v>commissioning only; no root reliability credit</x:v>
      </x:c>
    </x:row>
    <x:row r="86">
      <x:c r="B86" s="10" t="str">
        <x:v>PZ-080</x:v>
      </x:c>
      <x:c r="C86" s="10" t="str">
        <x:v>LN-08</x:v>
      </x:c>
      <x:c r="D86" s="10" t="str">
        <x:v>SA4</x:v>
      </x:c>
      <x:c r="E86" s="10" t="str">
        <x:v>PTC-C</x:v>
      </x:c>
      <x:c r="F86" s="10" t="str">
        <x:v>reset carryover or residual energy</x:v>
      </x:c>
      <x:c r="G86" s="10" t="str">
        <x:v>registered retained hazard</x:v>
      </x:c>
      <x:c r="H86" s="10" t="str">
        <x:v>QUARANTINE</x:v>
      </x:c>
      <x:c r="I86" s="10" t="n">
        <x:v>1</x:v>
      </x:c>
      <x:c r="J86" s="12" t="n">
        <x:v>0</x:v>
      </x:c>
      <x:c r="K86" s="10" t="str">
        <x:f>IF(AND(I86=1,J86=1),"PASS",IF(I86=1,"OPEN","FAIL"))</x:f>
        <x:v>OPEN</x:v>
      </x:c>
      <x:c r="L86" s="10" t="str">
        <x:v>commissioning only; no root reliability credit</x:v>
      </x:c>
    </x:row>
    <x:row r="87">
      <x:c r="B87" s="10" t="str">
        <x:v>PZ-081</x:v>
      </x:c>
      <x:c r="C87" s="10" t="str">
        <x:v>LN-09</x:v>
      </x:c>
      <x:c r="D87" s="10" t="str">
        <x:v>SA5</x:v>
      </x:c>
      <x:c r="E87" s="10" t="str">
        <x:v>PTC-A</x:v>
      </x:c>
      <x:c r="F87" s="10" t="str">
        <x:v>fixture zero and transfer matrix</x:v>
      </x:c>
      <x:c r="G87" s="10" t="str">
        <x:v>registered reference</x:v>
      </x:c>
      <x:c r="H87" s="10" t="str">
        <x:v>ACCEPT</x:v>
      </x:c>
      <x:c r="I87" s="10" t="n">
        <x:v>1</x:v>
      </x:c>
      <x:c r="J87" s="12" t="n">
        <x:v>0</x:v>
      </x:c>
      <x:c r="K87" s="10" t="str">
        <x:f>IF(AND(I87=1,J87=1),"PASS",IF(I87=1,"OPEN","FAIL"))</x:f>
        <x:v>OPEN</x:v>
      </x:c>
      <x:c r="L87" s="10" t="str">
        <x:v>commissioning only; no root reliability credit</x:v>
      </x:c>
    </x:row>
    <x:row r="88">
      <x:c r="B88" s="10" t="str">
        <x:v>PZ-082</x:v>
      </x:c>
      <x:c r="C88" s="10" t="str">
        <x:v>LN-09</x:v>
      </x:c>
      <x:c r="D88" s="10" t="str">
        <x:v>SA5</x:v>
      </x:c>
      <x:c r="E88" s="10" t="str">
        <x:v>PTC-A</x:v>
      </x:c>
      <x:c r="F88" s="10" t="str">
        <x:v>known compliant near boundary</x:v>
      </x:c>
      <x:c r="G88" s="10" t="str">
        <x:v>compliant surrogate</x:v>
      </x:c>
      <x:c r="H88" s="10" t="str">
        <x:v>ACCEPT</x:v>
      </x:c>
      <x:c r="I88" s="10" t="n">
        <x:v>1</x:v>
      </x:c>
      <x:c r="J88" s="12" t="n">
        <x:v>0</x:v>
      </x:c>
      <x:c r="K88" s="10" t="str">
        <x:f>IF(AND(I88=1,J88=1),"PASS",IF(I88=1,"OPEN","FAIL"))</x:f>
        <x:v>OPEN</x:v>
      </x:c>
      <x:c r="L88" s="10" t="str">
        <x:v>commissioning only; no root reliability credit</x:v>
      </x:c>
    </x:row>
    <x:row r="89">
      <x:c r="B89" s="10" t="str">
        <x:v>PZ-083</x:v>
      </x:c>
      <x:c r="C89" s="10" t="str">
        <x:v>LN-09</x:v>
      </x:c>
      <x:c r="D89" s="10" t="str">
        <x:v>SA5</x:v>
      </x:c>
      <x:c r="E89" s="10" t="str">
        <x:v>PTC-A</x:v>
      </x:c>
      <x:c r="F89" s="10" t="str">
        <x:v>known nonconforming beyond boundary</x:v>
      </x:c>
      <x:c r="G89" s="10" t="str">
        <x:v>nonconforming surrogate</x:v>
      </x:c>
      <x:c r="H89" s="10" t="str">
        <x:v>REJECT</x:v>
      </x:c>
      <x:c r="I89" s="10" t="n">
        <x:v>1</x:v>
      </x:c>
      <x:c r="J89" s="12" t="n">
        <x:v>0</x:v>
      </x:c>
      <x:c r="K89" s="10" t="str">
        <x:f>IF(AND(I89=1,J89=1),"PASS",IF(I89=1,"OPEN","FAIL"))</x:f>
        <x:v>OPEN</x:v>
      </x:c>
      <x:c r="L89" s="10" t="str">
        <x:v>commissioning only; no root reliability credit</x:v>
      </x:c>
    </x:row>
    <x:row r="90">
      <x:c r="B90" s="10" t="str">
        <x:v>PZ-084</x:v>
      </x:c>
      <x:c r="C90" s="10" t="str">
        <x:v>LN-09</x:v>
      </x:c>
      <x:c r="D90" s="10" t="str">
        <x:v>SA5</x:v>
      </x:c>
      <x:c r="E90" s="10" t="str">
        <x:v>PTC-A</x:v>
      </x:c>
      <x:c r="F90" s="10" t="str">
        <x:v>decision-boundary state</x:v>
      </x:c>
      <x:c r="G90" s="10" t="str">
        <x:v>boundary surrogate</x:v>
      </x:c>
      <x:c r="H90" s="10" t="str">
        <x:v>INDETERMINATE</x:v>
      </x:c>
      <x:c r="I90" s="10" t="n">
        <x:v>1</x:v>
      </x:c>
      <x:c r="J90" s="12" t="n">
        <x:v>0</x:v>
      </x:c>
      <x:c r="K90" s="10" t="str">
        <x:f>IF(AND(I90=1,J90=1),"PASS",IF(I90=1,"OPEN","FAIL"))</x:f>
        <x:v>OPEN</x:v>
      </x:c>
      <x:c r="L90" s="10" t="str">
        <x:v>commissioning only; no root reliability credit</x:v>
      </x:c>
    </x:row>
    <x:row r="91">
      <x:c r="B91" s="10" t="str">
        <x:v>PZ-085</x:v>
      </x:c>
      <x:c r="C91" s="10" t="str">
        <x:v>LN-09</x:v>
      </x:c>
      <x:c r="D91" s="10" t="str">
        <x:v>SA5</x:v>
      </x:c>
      <x:c r="E91" s="10" t="str">
        <x:v>PTC-A</x:v>
      </x:c>
      <x:c r="F91" s="10" t="str">
        <x:v>sensor saturation or native gap</x:v>
      </x:c>
      <x:c r="G91" s="10" t="str">
        <x:v>registered data defect</x:v>
      </x:c>
      <x:c r="H91" s="10" t="str">
        <x:v>INVALID</x:v>
      </x:c>
      <x:c r="I91" s="10" t="n">
        <x:v>1</x:v>
      </x:c>
      <x:c r="J91" s="12" t="n">
        <x:v>0</x:v>
      </x:c>
      <x:c r="K91" s="10" t="str">
        <x:f>IF(AND(I91=1,J91=1),"PASS",IF(I91=1,"OPEN","FAIL"))</x:f>
        <x:v>OPEN</x:v>
      </x:c>
      <x:c r="L91" s="10" t="str">
        <x:v>commissioning only; no root reliability credit</x:v>
      </x:c>
    </x:row>
    <x:row r="92">
      <x:c r="B92" s="10" t="str">
        <x:v>PZ-086</x:v>
      </x:c>
      <x:c r="C92" s="10" t="str">
        <x:v>LN-09</x:v>
      </x:c>
      <x:c r="D92" s="10" t="str">
        <x:v>SA5</x:v>
      </x:c>
      <x:c r="E92" s="10" t="str">
        <x:v>PTC-A</x:v>
      </x:c>
      <x:c r="F92" s="10" t="str">
        <x:v>command and observation divergence</x:v>
      </x:c>
      <x:c r="G92" s="10" t="str">
        <x:v>registered waveform mismatch</x:v>
      </x:c>
      <x:c r="H92" s="10" t="str">
        <x:v>INVALID</x:v>
      </x:c>
      <x:c r="I92" s="10" t="n">
        <x:v>1</x:v>
      </x:c>
      <x:c r="J92" s="12" t="n">
        <x:v>0</x:v>
      </x:c>
      <x:c r="K92" s="10" t="str">
        <x:f>IF(AND(I92=1,J92=1),"PASS",IF(I92=1,"OPEN","FAIL"))</x:f>
        <x:v>OPEN</x:v>
      </x:c>
      <x:c r="L92" s="10" t="str">
        <x:v>commissioning only; no root reliability credit</x:v>
      </x:c>
    </x:row>
    <x:row r="93">
      <x:c r="B93" s="10" t="str">
        <x:v>PZ-087</x:v>
      </x:c>
      <x:c r="C93" s="10" t="str">
        <x:v>LN-09</x:v>
      </x:c>
      <x:c r="D93" s="10" t="str">
        <x:v>SA5</x:v>
      </x:c>
      <x:c r="E93" s="10" t="str">
        <x:v>PTC-A</x:v>
      </x:c>
      <x:c r="F93" s="10" t="str">
        <x:v>primary controller loss</x:v>
      </x:c>
      <x:c r="G93" s="10" t="str">
        <x:v>controller removed</x:v>
      </x:c>
      <x:c r="H93" s="10" t="str">
        <x:v>SAFE STATE</x:v>
      </x:c>
      <x:c r="I93" s="10" t="n">
        <x:v>1</x:v>
      </x:c>
      <x:c r="J93" s="12" t="n">
        <x:v>0</x:v>
      </x:c>
      <x:c r="K93" s="10" t="str">
        <x:f>IF(AND(I93=1,J93=1),"PASS",IF(I93=1,"OPEN","FAIL"))</x:f>
        <x:v>OPEN</x:v>
      </x:c>
      <x:c r="L93" s="10" t="str">
        <x:v>commissioning only; no root reliability credit</x:v>
      </x:c>
    </x:row>
    <x:row r="94">
      <x:c r="B94" s="10" t="str">
        <x:v>PZ-088</x:v>
      </x:c>
      <x:c r="C94" s="10" t="str">
        <x:v>LN-09</x:v>
      </x:c>
      <x:c r="D94" s="10" t="str">
        <x:v>SA5</x:v>
      </x:c>
      <x:c r="E94" s="10" t="str">
        <x:v>PTC-A</x:v>
      </x:c>
      <x:c r="F94" s="10" t="str">
        <x:v>single safe-state actuator loss</x:v>
      </x:c>
      <x:c r="G94" s="10" t="str">
        <x:v>one actuator unavailable</x:v>
      </x:c>
      <x:c r="H94" s="10" t="str">
        <x:v>SAFE STATE</x:v>
      </x:c>
      <x:c r="I94" s="10" t="n">
        <x:v>1</x:v>
      </x:c>
      <x:c r="J94" s="12" t="n">
        <x:v>0</x:v>
      </x:c>
      <x:c r="K94" s="10" t="str">
        <x:f>IF(AND(I94=1,J94=1),"PASS",IF(I94=1,"OPEN","FAIL"))</x:f>
        <x:v>OPEN</x:v>
      </x:c>
      <x:c r="L94" s="10" t="str">
        <x:v>commissioning only; no root reliability credit</x:v>
      </x:c>
    </x:row>
    <x:row r="95">
      <x:c r="B95" s="10" t="str">
        <x:v>PZ-089</x:v>
      </x:c>
      <x:c r="C95" s="10" t="str">
        <x:v>LN-09</x:v>
      </x:c>
      <x:c r="D95" s="10" t="str">
        <x:v>SA5</x:v>
      </x:c>
      <x:c r="E95" s="10" t="str">
        <x:v>PTC-A</x:v>
      </x:c>
      <x:c r="F95" s="10" t="str">
        <x:v>clock, signing and network denial</x:v>
      </x:c>
      <x:c r="G95" s="10" t="str">
        <x:v>registered denial</x:v>
      </x:c>
      <x:c r="H95" s="10" t="str">
        <x:v>SAFE STATE AND REPLAY</x:v>
      </x:c>
      <x:c r="I95" s="10" t="n">
        <x:v>1</x:v>
      </x:c>
      <x:c r="J95" s="12" t="n">
        <x:v>0</x:v>
      </x:c>
      <x:c r="K95" s="10" t="str">
        <x:f>IF(AND(I95=1,J95=1),"PASS",IF(I95=1,"OPEN","FAIL"))</x:f>
        <x:v>OPEN</x:v>
      </x:c>
      <x:c r="L95" s="10" t="str">
        <x:v>commissioning only; no root reliability credit</x:v>
      </x:c>
    </x:row>
    <x:row r="96">
      <x:c r="B96" s="10" t="str">
        <x:v>PZ-090</x:v>
      </x:c>
      <x:c r="C96" s="10" t="str">
        <x:v>LN-09</x:v>
      </x:c>
      <x:c r="D96" s="10" t="str">
        <x:v>SA5</x:v>
      </x:c>
      <x:c r="E96" s="10" t="str">
        <x:v>PTC-A</x:v>
      </x:c>
      <x:c r="F96" s="10" t="str">
        <x:v>reset carryover or residual energy</x:v>
      </x:c>
      <x:c r="G96" s="10" t="str">
        <x:v>registered retained hazard</x:v>
      </x:c>
      <x:c r="H96" s="10" t="str">
        <x:v>QUARANTINE</x:v>
      </x:c>
      <x:c r="I96" s="10" t="n">
        <x:v>1</x:v>
      </x:c>
      <x:c r="J96" s="12" t="n">
        <x:v>0</x:v>
      </x:c>
      <x:c r="K96" s="10" t="str">
        <x:f>IF(AND(I96=1,J96=1),"PASS",IF(I96=1,"OPEN","FAIL"))</x:f>
        <x:v>OPEN</x:v>
      </x:c>
      <x:c r="L96" s="10" t="str">
        <x:v>commissioning only; no root reliability credit</x:v>
      </x:c>
    </x:row>
    <x:row r="97">
      <x:c r="B97" s="10" t="str">
        <x:v>PZ-091</x:v>
      </x:c>
      <x:c r="C97" s="10" t="str">
        <x:v>LN-10</x:v>
      </x:c>
      <x:c r="D97" s="10" t="str">
        <x:v>SA5</x:v>
      </x:c>
      <x:c r="E97" s="10" t="str">
        <x:v>PTC-B</x:v>
      </x:c>
      <x:c r="F97" s="10" t="str">
        <x:v>fixture zero and transfer matrix</x:v>
      </x:c>
      <x:c r="G97" s="10" t="str">
        <x:v>registered reference</x:v>
      </x:c>
      <x:c r="H97" s="10" t="str">
        <x:v>ACCEPT</x:v>
      </x:c>
      <x:c r="I97" s="10" t="n">
        <x:v>1</x:v>
      </x:c>
      <x:c r="J97" s="12" t="n">
        <x:v>0</x:v>
      </x:c>
      <x:c r="K97" s="10" t="str">
        <x:f>IF(AND(I97=1,J97=1),"PASS",IF(I97=1,"OPEN","FAIL"))</x:f>
        <x:v>OPEN</x:v>
      </x:c>
      <x:c r="L97" s="10" t="str">
        <x:v>commissioning only; no root reliability credit</x:v>
      </x:c>
    </x:row>
    <x:row r="98">
      <x:c r="B98" s="10" t="str">
        <x:v>PZ-092</x:v>
      </x:c>
      <x:c r="C98" s="10" t="str">
        <x:v>LN-10</x:v>
      </x:c>
      <x:c r="D98" s="10" t="str">
        <x:v>SA5</x:v>
      </x:c>
      <x:c r="E98" s="10" t="str">
        <x:v>PTC-B</x:v>
      </x:c>
      <x:c r="F98" s="10" t="str">
        <x:v>known compliant near boundary</x:v>
      </x:c>
      <x:c r="G98" s="10" t="str">
        <x:v>compliant surrogate</x:v>
      </x:c>
      <x:c r="H98" s="10" t="str">
        <x:v>ACCEPT</x:v>
      </x:c>
      <x:c r="I98" s="10" t="n">
        <x:v>1</x:v>
      </x:c>
      <x:c r="J98" s="12" t="n">
        <x:v>0</x:v>
      </x:c>
      <x:c r="K98" s="10" t="str">
        <x:f>IF(AND(I98=1,J98=1),"PASS",IF(I98=1,"OPEN","FAIL"))</x:f>
        <x:v>OPEN</x:v>
      </x:c>
      <x:c r="L98" s="10" t="str">
        <x:v>commissioning only; no root reliability credit</x:v>
      </x:c>
    </x:row>
    <x:row r="99">
      <x:c r="B99" s="10" t="str">
        <x:v>PZ-093</x:v>
      </x:c>
      <x:c r="C99" s="10" t="str">
        <x:v>LN-10</x:v>
      </x:c>
      <x:c r="D99" s="10" t="str">
        <x:v>SA5</x:v>
      </x:c>
      <x:c r="E99" s="10" t="str">
        <x:v>PTC-B</x:v>
      </x:c>
      <x:c r="F99" s="10" t="str">
        <x:v>known nonconforming beyond boundary</x:v>
      </x:c>
      <x:c r="G99" s="10" t="str">
        <x:v>nonconforming surrogate</x:v>
      </x:c>
      <x:c r="H99" s="10" t="str">
        <x:v>REJECT</x:v>
      </x:c>
      <x:c r="I99" s="10" t="n">
        <x:v>1</x:v>
      </x:c>
      <x:c r="J99" s="12" t="n">
        <x:v>0</x:v>
      </x:c>
      <x:c r="K99" s="10" t="str">
        <x:f>IF(AND(I99=1,J99=1),"PASS",IF(I99=1,"OPEN","FAIL"))</x:f>
        <x:v>OPEN</x:v>
      </x:c>
      <x:c r="L99" s="10" t="str">
        <x:v>commissioning only; no root reliability credit</x:v>
      </x:c>
    </x:row>
    <x:row r="100">
      <x:c r="B100" s="10" t="str">
        <x:v>PZ-094</x:v>
      </x:c>
      <x:c r="C100" s="10" t="str">
        <x:v>LN-10</x:v>
      </x:c>
      <x:c r="D100" s="10" t="str">
        <x:v>SA5</x:v>
      </x:c>
      <x:c r="E100" s="10" t="str">
        <x:v>PTC-B</x:v>
      </x:c>
      <x:c r="F100" s="10" t="str">
        <x:v>decision-boundary state</x:v>
      </x:c>
      <x:c r="G100" s="10" t="str">
        <x:v>boundary surrogate</x:v>
      </x:c>
      <x:c r="H100" s="10" t="str">
        <x:v>INDETERMINATE</x:v>
      </x:c>
      <x:c r="I100" s="10" t="n">
        <x:v>1</x:v>
      </x:c>
      <x:c r="J100" s="12" t="n">
        <x:v>0</x:v>
      </x:c>
      <x:c r="K100" s="10" t="str">
        <x:f>IF(AND(I100=1,J100=1),"PASS",IF(I100=1,"OPEN","FAIL"))</x:f>
        <x:v>OPEN</x:v>
      </x:c>
      <x:c r="L100" s="10" t="str">
        <x:v>commissioning only; no root reliability credit</x:v>
      </x:c>
    </x:row>
    <x:row r="101">
      <x:c r="B101" s="10" t="str">
        <x:v>PZ-095</x:v>
      </x:c>
      <x:c r="C101" s="10" t="str">
        <x:v>LN-10</x:v>
      </x:c>
      <x:c r="D101" s="10" t="str">
        <x:v>SA5</x:v>
      </x:c>
      <x:c r="E101" s="10" t="str">
        <x:v>PTC-B</x:v>
      </x:c>
      <x:c r="F101" s="10" t="str">
        <x:v>sensor saturation or native gap</x:v>
      </x:c>
      <x:c r="G101" s="10" t="str">
        <x:v>registered data defect</x:v>
      </x:c>
      <x:c r="H101" s="10" t="str">
        <x:v>INVALID</x:v>
      </x:c>
      <x:c r="I101" s="10" t="n">
        <x:v>1</x:v>
      </x:c>
      <x:c r="J101" s="12" t="n">
        <x:v>0</x:v>
      </x:c>
      <x:c r="K101" s="10" t="str">
        <x:f>IF(AND(I101=1,J101=1),"PASS",IF(I101=1,"OPEN","FAIL"))</x:f>
        <x:v>OPEN</x:v>
      </x:c>
      <x:c r="L101" s="10" t="str">
        <x:v>commissioning only; no root reliability credit</x:v>
      </x:c>
    </x:row>
    <x:row r="102">
      <x:c r="B102" s="10" t="str">
        <x:v>PZ-096</x:v>
      </x:c>
      <x:c r="C102" s="10" t="str">
        <x:v>LN-10</x:v>
      </x:c>
      <x:c r="D102" s="10" t="str">
        <x:v>SA5</x:v>
      </x:c>
      <x:c r="E102" s="10" t="str">
        <x:v>PTC-B</x:v>
      </x:c>
      <x:c r="F102" s="10" t="str">
        <x:v>command and observation divergence</x:v>
      </x:c>
      <x:c r="G102" s="10" t="str">
        <x:v>registered waveform mismatch</x:v>
      </x:c>
      <x:c r="H102" s="10" t="str">
        <x:v>INVALID</x:v>
      </x:c>
      <x:c r="I102" s="10" t="n">
        <x:v>1</x:v>
      </x:c>
      <x:c r="J102" s="12" t="n">
        <x:v>0</x:v>
      </x:c>
      <x:c r="K102" s="10" t="str">
        <x:f>IF(AND(I102=1,J102=1),"PASS",IF(I102=1,"OPEN","FAIL"))</x:f>
        <x:v>OPEN</x:v>
      </x:c>
      <x:c r="L102" s="10" t="str">
        <x:v>commissioning only; no root reliability credit</x:v>
      </x:c>
    </x:row>
    <x:row r="103">
      <x:c r="B103" s="10" t="str">
        <x:v>PZ-097</x:v>
      </x:c>
      <x:c r="C103" s="10" t="str">
        <x:v>LN-10</x:v>
      </x:c>
      <x:c r="D103" s="10" t="str">
        <x:v>SA5</x:v>
      </x:c>
      <x:c r="E103" s="10" t="str">
        <x:v>PTC-B</x:v>
      </x:c>
      <x:c r="F103" s="10" t="str">
        <x:v>primary controller loss</x:v>
      </x:c>
      <x:c r="G103" s="10" t="str">
        <x:v>controller removed</x:v>
      </x:c>
      <x:c r="H103" s="10" t="str">
        <x:v>SAFE STATE</x:v>
      </x:c>
      <x:c r="I103" s="10" t="n">
        <x:v>1</x:v>
      </x:c>
      <x:c r="J103" s="12" t="n">
        <x:v>0</x:v>
      </x:c>
      <x:c r="K103" s="10" t="str">
        <x:f>IF(AND(I103=1,J103=1),"PASS",IF(I103=1,"OPEN","FAIL"))</x:f>
        <x:v>OPEN</x:v>
      </x:c>
      <x:c r="L103" s="10" t="str">
        <x:v>commissioning only; no root reliability credit</x:v>
      </x:c>
    </x:row>
    <x:row r="104">
      <x:c r="B104" s="10" t="str">
        <x:v>PZ-098</x:v>
      </x:c>
      <x:c r="C104" s="10" t="str">
        <x:v>LN-10</x:v>
      </x:c>
      <x:c r="D104" s="10" t="str">
        <x:v>SA5</x:v>
      </x:c>
      <x:c r="E104" s="10" t="str">
        <x:v>PTC-B</x:v>
      </x:c>
      <x:c r="F104" s="10" t="str">
        <x:v>single safe-state actuator loss</x:v>
      </x:c>
      <x:c r="G104" s="10" t="str">
        <x:v>one actuator unavailable</x:v>
      </x:c>
      <x:c r="H104" s="10" t="str">
        <x:v>SAFE STATE</x:v>
      </x:c>
      <x:c r="I104" s="10" t="n">
        <x:v>1</x:v>
      </x:c>
      <x:c r="J104" s="12" t="n">
        <x:v>0</x:v>
      </x:c>
      <x:c r="K104" s="10" t="str">
        <x:f>IF(AND(I104=1,J104=1),"PASS",IF(I104=1,"OPEN","FAIL"))</x:f>
        <x:v>OPEN</x:v>
      </x:c>
      <x:c r="L104" s="10" t="str">
        <x:v>commissioning only; no root reliability credit</x:v>
      </x:c>
    </x:row>
    <x:row r="105">
      <x:c r="B105" s="10" t="str">
        <x:v>PZ-099</x:v>
      </x:c>
      <x:c r="C105" s="10" t="str">
        <x:v>LN-10</x:v>
      </x:c>
      <x:c r="D105" s="10" t="str">
        <x:v>SA5</x:v>
      </x:c>
      <x:c r="E105" s="10" t="str">
        <x:v>PTC-B</x:v>
      </x:c>
      <x:c r="F105" s="10" t="str">
        <x:v>clock, signing and network denial</x:v>
      </x:c>
      <x:c r="G105" s="10" t="str">
        <x:v>registered denial</x:v>
      </x:c>
      <x:c r="H105" s="10" t="str">
        <x:v>SAFE STATE AND REPLAY</x:v>
      </x:c>
      <x:c r="I105" s="10" t="n">
        <x:v>1</x:v>
      </x:c>
      <x:c r="J105" s="12" t="n">
        <x:v>0</x:v>
      </x:c>
      <x:c r="K105" s="10" t="str">
        <x:f>IF(AND(I105=1,J105=1),"PASS",IF(I105=1,"OPEN","FAIL"))</x:f>
        <x:v>OPEN</x:v>
      </x:c>
      <x:c r="L105" s="10" t="str">
        <x:v>commissioning only; no root reliability credit</x:v>
      </x:c>
    </x:row>
    <x:row r="106">
      <x:c r="B106" s="10" t="str">
        <x:v>PZ-100</x:v>
      </x:c>
      <x:c r="C106" s="10" t="str">
        <x:v>LN-10</x:v>
      </x:c>
      <x:c r="D106" s="10" t="str">
        <x:v>SA5</x:v>
      </x:c>
      <x:c r="E106" s="10" t="str">
        <x:v>PTC-B</x:v>
      </x:c>
      <x:c r="F106" s="10" t="str">
        <x:v>reset carryover or residual energy</x:v>
      </x:c>
      <x:c r="G106" s="10" t="str">
        <x:v>registered retained hazard</x:v>
      </x:c>
      <x:c r="H106" s="10" t="str">
        <x:v>QUARANTINE</x:v>
      </x:c>
      <x:c r="I106" s="10" t="n">
        <x:v>1</x:v>
      </x:c>
      <x:c r="J106" s="12" t="n">
        <x:v>0</x:v>
      </x:c>
      <x:c r="K106" s="10" t="str">
        <x:f>IF(AND(I106=1,J106=1),"PASS",IF(I106=1,"OPEN","FAIL"))</x:f>
        <x:v>OPEN</x:v>
      </x:c>
      <x:c r="L106" s="10" t="str">
        <x:v>commissioning only; no root reliability credit</x:v>
      </x:c>
    </x:row>
    <x:row r="107">
      <x:c r="B107" s="10" t="str">
        <x:v>PZ-101</x:v>
      </x:c>
      <x:c r="C107" s="10" t="str">
        <x:v>LN-11</x:v>
      </x:c>
      <x:c r="D107" s="10" t="str">
        <x:v>SA6</x:v>
      </x:c>
      <x:c r="E107" s="10" t="str">
        <x:v>PTC-B</x:v>
      </x:c>
      <x:c r="F107" s="10" t="str">
        <x:v>fixture zero and transfer matrix</x:v>
      </x:c>
      <x:c r="G107" s="10" t="str">
        <x:v>registered reference</x:v>
      </x:c>
      <x:c r="H107" s="10" t="str">
        <x:v>ACCEPT</x:v>
      </x:c>
      <x:c r="I107" s="10" t="n">
        <x:v>1</x:v>
      </x:c>
      <x:c r="J107" s="12" t="n">
        <x:v>0</x:v>
      </x:c>
      <x:c r="K107" s="10" t="str">
        <x:f>IF(AND(I107=1,J107=1),"PASS",IF(I107=1,"OPEN","FAIL"))</x:f>
        <x:v>OPEN</x:v>
      </x:c>
      <x:c r="L107" s="10" t="str">
        <x:v>commissioning only; no root reliability credit</x:v>
      </x:c>
    </x:row>
    <x:row r="108">
      <x:c r="B108" s="10" t="str">
        <x:v>PZ-102</x:v>
      </x:c>
      <x:c r="C108" s="10" t="str">
        <x:v>LN-11</x:v>
      </x:c>
      <x:c r="D108" s="10" t="str">
        <x:v>SA6</x:v>
      </x:c>
      <x:c r="E108" s="10" t="str">
        <x:v>PTC-B</x:v>
      </x:c>
      <x:c r="F108" s="10" t="str">
        <x:v>known compliant near boundary</x:v>
      </x:c>
      <x:c r="G108" s="10" t="str">
        <x:v>compliant surrogate</x:v>
      </x:c>
      <x:c r="H108" s="10" t="str">
        <x:v>ACCEPT</x:v>
      </x:c>
      <x:c r="I108" s="10" t="n">
        <x:v>1</x:v>
      </x:c>
      <x:c r="J108" s="12" t="n">
        <x:v>0</x:v>
      </x:c>
      <x:c r="K108" s="10" t="str">
        <x:f>IF(AND(I108=1,J108=1),"PASS",IF(I108=1,"OPEN","FAIL"))</x:f>
        <x:v>OPEN</x:v>
      </x:c>
      <x:c r="L108" s="10" t="str">
        <x:v>commissioning only; no root reliability credit</x:v>
      </x:c>
    </x:row>
    <x:row r="109">
      <x:c r="B109" s="10" t="str">
        <x:v>PZ-103</x:v>
      </x:c>
      <x:c r="C109" s="10" t="str">
        <x:v>LN-11</x:v>
      </x:c>
      <x:c r="D109" s="10" t="str">
        <x:v>SA6</x:v>
      </x:c>
      <x:c r="E109" s="10" t="str">
        <x:v>PTC-B</x:v>
      </x:c>
      <x:c r="F109" s="10" t="str">
        <x:v>known nonconforming beyond boundary</x:v>
      </x:c>
      <x:c r="G109" s="10" t="str">
        <x:v>nonconforming surrogate</x:v>
      </x:c>
      <x:c r="H109" s="10" t="str">
        <x:v>REJECT</x:v>
      </x:c>
      <x:c r="I109" s="10" t="n">
        <x:v>1</x:v>
      </x:c>
      <x:c r="J109" s="12" t="n">
        <x:v>0</x:v>
      </x:c>
      <x:c r="K109" s="10" t="str">
        <x:f>IF(AND(I109=1,J109=1),"PASS",IF(I109=1,"OPEN","FAIL"))</x:f>
        <x:v>OPEN</x:v>
      </x:c>
      <x:c r="L109" s="10" t="str">
        <x:v>commissioning only; no root reliability credit</x:v>
      </x:c>
    </x:row>
    <x:row r="110">
      <x:c r="B110" s="10" t="str">
        <x:v>PZ-104</x:v>
      </x:c>
      <x:c r="C110" s="10" t="str">
        <x:v>LN-11</x:v>
      </x:c>
      <x:c r="D110" s="10" t="str">
        <x:v>SA6</x:v>
      </x:c>
      <x:c r="E110" s="10" t="str">
        <x:v>PTC-B</x:v>
      </x:c>
      <x:c r="F110" s="10" t="str">
        <x:v>decision-boundary state</x:v>
      </x:c>
      <x:c r="G110" s="10" t="str">
        <x:v>boundary surrogate</x:v>
      </x:c>
      <x:c r="H110" s="10" t="str">
        <x:v>INDETERMINATE</x:v>
      </x:c>
      <x:c r="I110" s="10" t="n">
        <x:v>1</x:v>
      </x:c>
      <x:c r="J110" s="12" t="n">
        <x:v>0</x:v>
      </x:c>
      <x:c r="K110" s="10" t="str">
        <x:f>IF(AND(I110=1,J110=1),"PASS",IF(I110=1,"OPEN","FAIL"))</x:f>
        <x:v>OPEN</x:v>
      </x:c>
      <x:c r="L110" s="10" t="str">
        <x:v>commissioning only; no root reliability credit</x:v>
      </x:c>
    </x:row>
    <x:row r="111">
      <x:c r="B111" s="10" t="str">
        <x:v>PZ-105</x:v>
      </x:c>
      <x:c r="C111" s="10" t="str">
        <x:v>LN-11</x:v>
      </x:c>
      <x:c r="D111" s="10" t="str">
        <x:v>SA6</x:v>
      </x:c>
      <x:c r="E111" s="10" t="str">
        <x:v>PTC-B</x:v>
      </x:c>
      <x:c r="F111" s="10" t="str">
        <x:v>sensor saturation or native gap</x:v>
      </x:c>
      <x:c r="G111" s="10" t="str">
        <x:v>registered data defect</x:v>
      </x:c>
      <x:c r="H111" s="10" t="str">
        <x:v>INVALID</x:v>
      </x:c>
      <x:c r="I111" s="10" t="n">
        <x:v>1</x:v>
      </x:c>
      <x:c r="J111" s="12" t="n">
        <x:v>0</x:v>
      </x:c>
      <x:c r="K111" s="10" t="str">
        <x:f>IF(AND(I111=1,J111=1),"PASS",IF(I111=1,"OPEN","FAIL"))</x:f>
        <x:v>OPEN</x:v>
      </x:c>
      <x:c r="L111" s="10" t="str">
        <x:v>commissioning only; no root reliability credit</x:v>
      </x:c>
    </x:row>
    <x:row r="112">
      <x:c r="B112" s="10" t="str">
        <x:v>PZ-106</x:v>
      </x:c>
      <x:c r="C112" s="10" t="str">
        <x:v>LN-11</x:v>
      </x:c>
      <x:c r="D112" s="10" t="str">
        <x:v>SA6</x:v>
      </x:c>
      <x:c r="E112" s="10" t="str">
        <x:v>PTC-B</x:v>
      </x:c>
      <x:c r="F112" s="10" t="str">
        <x:v>command and observation divergence</x:v>
      </x:c>
      <x:c r="G112" s="10" t="str">
        <x:v>registered waveform mismatch</x:v>
      </x:c>
      <x:c r="H112" s="10" t="str">
        <x:v>INVALID</x:v>
      </x:c>
      <x:c r="I112" s="10" t="n">
        <x:v>1</x:v>
      </x:c>
      <x:c r="J112" s="12" t="n">
        <x:v>0</x:v>
      </x:c>
      <x:c r="K112" s="10" t="str">
        <x:f>IF(AND(I112=1,J112=1),"PASS",IF(I112=1,"OPEN","FAIL"))</x:f>
        <x:v>OPEN</x:v>
      </x:c>
      <x:c r="L112" s="10" t="str">
        <x:v>commissioning only; no root reliability credit</x:v>
      </x:c>
    </x:row>
    <x:row r="113">
      <x:c r="B113" s="10" t="str">
        <x:v>PZ-107</x:v>
      </x:c>
      <x:c r="C113" s="10" t="str">
        <x:v>LN-11</x:v>
      </x:c>
      <x:c r="D113" s="10" t="str">
        <x:v>SA6</x:v>
      </x:c>
      <x:c r="E113" s="10" t="str">
        <x:v>PTC-B</x:v>
      </x:c>
      <x:c r="F113" s="10" t="str">
        <x:v>primary controller loss</x:v>
      </x:c>
      <x:c r="G113" s="10" t="str">
        <x:v>controller removed</x:v>
      </x:c>
      <x:c r="H113" s="10" t="str">
        <x:v>SAFE STATE</x:v>
      </x:c>
      <x:c r="I113" s="10" t="n">
        <x:v>1</x:v>
      </x:c>
      <x:c r="J113" s="12" t="n">
        <x:v>0</x:v>
      </x:c>
      <x:c r="K113" s="10" t="str">
        <x:f>IF(AND(I113=1,J113=1),"PASS",IF(I113=1,"OPEN","FAIL"))</x:f>
        <x:v>OPEN</x:v>
      </x:c>
      <x:c r="L113" s="10" t="str">
        <x:v>commissioning only; no root reliability credit</x:v>
      </x:c>
    </x:row>
    <x:row r="114">
      <x:c r="B114" s="10" t="str">
        <x:v>PZ-108</x:v>
      </x:c>
      <x:c r="C114" s="10" t="str">
        <x:v>LN-11</x:v>
      </x:c>
      <x:c r="D114" s="10" t="str">
        <x:v>SA6</x:v>
      </x:c>
      <x:c r="E114" s="10" t="str">
        <x:v>PTC-B</x:v>
      </x:c>
      <x:c r="F114" s="10" t="str">
        <x:v>single safe-state actuator loss</x:v>
      </x:c>
      <x:c r="G114" s="10" t="str">
        <x:v>one actuator unavailable</x:v>
      </x:c>
      <x:c r="H114" s="10" t="str">
        <x:v>SAFE STATE</x:v>
      </x:c>
      <x:c r="I114" s="10" t="n">
        <x:v>1</x:v>
      </x:c>
      <x:c r="J114" s="12" t="n">
        <x:v>0</x:v>
      </x:c>
      <x:c r="K114" s="10" t="str">
        <x:f>IF(AND(I114=1,J114=1),"PASS",IF(I114=1,"OPEN","FAIL"))</x:f>
        <x:v>OPEN</x:v>
      </x:c>
      <x:c r="L114" s="10" t="str">
        <x:v>commissioning only; no root reliability credit</x:v>
      </x:c>
    </x:row>
    <x:row r="115">
      <x:c r="B115" s="10" t="str">
        <x:v>PZ-109</x:v>
      </x:c>
      <x:c r="C115" s="10" t="str">
        <x:v>LN-11</x:v>
      </x:c>
      <x:c r="D115" s="10" t="str">
        <x:v>SA6</x:v>
      </x:c>
      <x:c r="E115" s="10" t="str">
        <x:v>PTC-B</x:v>
      </x:c>
      <x:c r="F115" s="10" t="str">
        <x:v>clock, signing and network denial</x:v>
      </x:c>
      <x:c r="G115" s="10" t="str">
        <x:v>registered denial</x:v>
      </x:c>
      <x:c r="H115" s="10" t="str">
        <x:v>SAFE STATE AND REPLAY</x:v>
      </x:c>
      <x:c r="I115" s="10" t="n">
        <x:v>1</x:v>
      </x:c>
      <x:c r="J115" s="12" t="n">
        <x:v>0</x:v>
      </x:c>
      <x:c r="K115" s="10" t="str">
        <x:f>IF(AND(I115=1,J115=1),"PASS",IF(I115=1,"OPEN","FAIL"))</x:f>
        <x:v>OPEN</x:v>
      </x:c>
      <x:c r="L115" s="10" t="str">
        <x:v>commissioning only; no root reliability credit</x:v>
      </x:c>
    </x:row>
    <x:row r="116">
      <x:c r="B116" s="10" t="str">
        <x:v>PZ-110</x:v>
      </x:c>
      <x:c r="C116" s="10" t="str">
        <x:v>LN-11</x:v>
      </x:c>
      <x:c r="D116" s="10" t="str">
        <x:v>SA6</x:v>
      </x:c>
      <x:c r="E116" s="10" t="str">
        <x:v>PTC-B</x:v>
      </x:c>
      <x:c r="F116" s="10" t="str">
        <x:v>reset carryover or residual energy</x:v>
      </x:c>
      <x:c r="G116" s="10" t="str">
        <x:v>registered retained hazard</x:v>
      </x:c>
      <x:c r="H116" s="10" t="str">
        <x:v>QUARANTINE</x:v>
      </x:c>
      <x:c r="I116" s="10" t="n">
        <x:v>1</x:v>
      </x:c>
      <x:c r="J116" s="12" t="n">
        <x:v>0</x:v>
      </x:c>
      <x:c r="K116" s="10" t="str">
        <x:f>IF(AND(I116=1,J116=1),"PASS",IF(I116=1,"OPEN","FAIL"))</x:f>
        <x:v>OPEN</x:v>
      </x:c>
      <x:c r="L116" s="10" t="str">
        <x:v>commissioning only; no root reliability credit</x:v>
      </x:c>
    </x:row>
    <x:row r="117">
      <x:c r="B117" s="10" t="str">
        <x:v>PZ-111</x:v>
      </x:c>
      <x:c r="C117" s="10" t="str">
        <x:v>LN-12</x:v>
      </x:c>
      <x:c r="D117" s="10" t="str">
        <x:v>SA6</x:v>
      </x:c>
      <x:c r="E117" s="10" t="str">
        <x:v>PTC-C</x:v>
      </x:c>
      <x:c r="F117" s="10" t="str">
        <x:v>fixture zero and transfer matrix</x:v>
      </x:c>
      <x:c r="G117" s="10" t="str">
        <x:v>registered reference</x:v>
      </x:c>
      <x:c r="H117" s="10" t="str">
        <x:v>ACCEPT</x:v>
      </x:c>
      <x:c r="I117" s="10" t="n">
        <x:v>1</x:v>
      </x:c>
      <x:c r="J117" s="12" t="n">
        <x:v>0</x:v>
      </x:c>
      <x:c r="K117" s="10" t="str">
        <x:f>IF(AND(I117=1,J117=1),"PASS",IF(I117=1,"OPEN","FAIL"))</x:f>
        <x:v>OPEN</x:v>
      </x:c>
      <x:c r="L117" s="10" t="str">
        <x:v>commissioning only; no root reliability credit</x:v>
      </x:c>
    </x:row>
    <x:row r="118">
      <x:c r="B118" s="10" t="str">
        <x:v>PZ-112</x:v>
      </x:c>
      <x:c r="C118" s="10" t="str">
        <x:v>LN-12</x:v>
      </x:c>
      <x:c r="D118" s="10" t="str">
        <x:v>SA6</x:v>
      </x:c>
      <x:c r="E118" s="10" t="str">
        <x:v>PTC-C</x:v>
      </x:c>
      <x:c r="F118" s="10" t="str">
        <x:v>known compliant near boundary</x:v>
      </x:c>
      <x:c r="G118" s="10" t="str">
        <x:v>compliant surrogate</x:v>
      </x:c>
      <x:c r="H118" s="10" t="str">
        <x:v>ACCEPT</x:v>
      </x:c>
      <x:c r="I118" s="10" t="n">
        <x:v>1</x:v>
      </x:c>
      <x:c r="J118" s="12" t="n">
        <x:v>0</x:v>
      </x:c>
      <x:c r="K118" s="10" t="str">
        <x:f>IF(AND(I118=1,J118=1),"PASS",IF(I118=1,"OPEN","FAIL"))</x:f>
        <x:v>OPEN</x:v>
      </x:c>
      <x:c r="L118" s="10" t="str">
        <x:v>commissioning only; no root reliability credit</x:v>
      </x:c>
    </x:row>
    <x:row r="119">
      <x:c r="B119" s="10" t="str">
        <x:v>PZ-113</x:v>
      </x:c>
      <x:c r="C119" s="10" t="str">
        <x:v>LN-12</x:v>
      </x:c>
      <x:c r="D119" s="10" t="str">
        <x:v>SA6</x:v>
      </x:c>
      <x:c r="E119" s="10" t="str">
        <x:v>PTC-C</x:v>
      </x:c>
      <x:c r="F119" s="10" t="str">
        <x:v>known nonconforming beyond boundary</x:v>
      </x:c>
      <x:c r="G119" s="10" t="str">
        <x:v>nonconforming surrogate</x:v>
      </x:c>
      <x:c r="H119" s="10" t="str">
        <x:v>REJECT</x:v>
      </x:c>
      <x:c r="I119" s="10" t="n">
        <x:v>1</x:v>
      </x:c>
      <x:c r="J119" s="12" t="n">
        <x:v>0</x:v>
      </x:c>
      <x:c r="K119" s="10" t="str">
        <x:f>IF(AND(I119=1,J119=1),"PASS",IF(I119=1,"OPEN","FAIL"))</x:f>
        <x:v>OPEN</x:v>
      </x:c>
      <x:c r="L119" s="10" t="str">
        <x:v>commissioning only; no root reliability credit</x:v>
      </x:c>
    </x:row>
    <x:row r="120">
      <x:c r="B120" s="10" t="str">
        <x:v>PZ-114</x:v>
      </x:c>
      <x:c r="C120" s="10" t="str">
        <x:v>LN-12</x:v>
      </x:c>
      <x:c r="D120" s="10" t="str">
        <x:v>SA6</x:v>
      </x:c>
      <x:c r="E120" s="10" t="str">
        <x:v>PTC-C</x:v>
      </x:c>
      <x:c r="F120" s="10" t="str">
        <x:v>decision-boundary state</x:v>
      </x:c>
      <x:c r="G120" s="10" t="str">
        <x:v>boundary surrogate</x:v>
      </x:c>
      <x:c r="H120" s="10" t="str">
        <x:v>INDETERMINATE</x:v>
      </x:c>
      <x:c r="I120" s="10" t="n">
        <x:v>1</x:v>
      </x:c>
      <x:c r="J120" s="12" t="n">
        <x:v>0</x:v>
      </x:c>
      <x:c r="K120" s="10" t="str">
        <x:f>IF(AND(I120=1,J120=1),"PASS",IF(I120=1,"OPEN","FAIL"))</x:f>
        <x:v>OPEN</x:v>
      </x:c>
      <x:c r="L120" s="10" t="str">
        <x:v>commissioning only; no root reliability credit</x:v>
      </x:c>
    </x:row>
    <x:row r="121">
      <x:c r="B121" s="10" t="str">
        <x:v>PZ-115</x:v>
      </x:c>
      <x:c r="C121" s="10" t="str">
        <x:v>LN-12</x:v>
      </x:c>
      <x:c r="D121" s="10" t="str">
        <x:v>SA6</x:v>
      </x:c>
      <x:c r="E121" s="10" t="str">
        <x:v>PTC-C</x:v>
      </x:c>
      <x:c r="F121" s="10" t="str">
        <x:v>sensor saturation or native gap</x:v>
      </x:c>
      <x:c r="G121" s="10" t="str">
        <x:v>registered data defect</x:v>
      </x:c>
      <x:c r="H121" s="10" t="str">
        <x:v>INVALID</x:v>
      </x:c>
      <x:c r="I121" s="10" t="n">
        <x:v>1</x:v>
      </x:c>
      <x:c r="J121" s="12" t="n">
        <x:v>0</x:v>
      </x:c>
      <x:c r="K121" s="10" t="str">
        <x:f>IF(AND(I121=1,J121=1),"PASS",IF(I121=1,"OPEN","FAIL"))</x:f>
        <x:v>OPEN</x:v>
      </x:c>
      <x:c r="L121" s="10" t="str">
        <x:v>commissioning only; no root reliability credit</x:v>
      </x:c>
    </x:row>
    <x:row r="122">
      <x:c r="B122" s="10" t="str">
        <x:v>PZ-116</x:v>
      </x:c>
      <x:c r="C122" s="10" t="str">
        <x:v>LN-12</x:v>
      </x:c>
      <x:c r="D122" s="10" t="str">
        <x:v>SA6</x:v>
      </x:c>
      <x:c r="E122" s="10" t="str">
        <x:v>PTC-C</x:v>
      </x:c>
      <x:c r="F122" s="10" t="str">
        <x:v>command and observation divergence</x:v>
      </x:c>
      <x:c r="G122" s="10" t="str">
        <x:v>registered waveform mismatch</x:v>
      </x:c>
      <x:c r="H122" s="10" t="str">
        <x:v>INVALID</x:v>
      </x:c>
      <x:c r="I122" s="10" t="n">
        <x:v>1</x:v>
      </x:c>
      <x:c r="J122" s="12" t="n">
        <x:v>0</x:v>
      </x:c>
      <x:c r="K122" s="10" t="str">
        <x:f>IF(AND(I122=1,J122=1),"PASS",IF(I122=1,"OPEN","FAIL"))</x:f>
        <x:v>OPEN</x:v>
      </x:c>
      <x:c r="L122" s="10" t="str">
        <x:v>commissioning only; no root reliability credit</x:v>
      </x:c>
    </x:row>
    <x:row r="123">
      <x:c r="B123" s="10" t="str">
        <x:v>PZ-117</x:v>
      </x:c>
      <x:c r="C123" s="10" t="str">
        <x:v>LN-12</x:v>
      </x:c>
      <x:c r="D123" s="10" t="str">
        <x:v>SA6</x:v>
      </x:c>
      <x:c r="E123" s="10" t="str">
        <x:v>PTC-C</x:v>
      </x:c>
      <x:c r="F123" s="10" t="str">
        <x:v>primary controller loss</x:v>
      </x:c>
      <x:c r="G123" s="10" t="str">
        <x:v>controller removed</x:v>
      </x:c>
      <x:c r="H123" s="10" t="str">
        <x:v>SAFE STATE</x:v>
      </x:c>
      <x:c r="I123" s="10" t="n">
        <x:v>1</x:v>
      </x:c>
      <x:c r="J123" s="12" t="n">
        <x:v>0</x:v>
      </x:c>
      <x:c r="K123" s="10" t="str">
        <x:f>IF(AND(I123=1,J123=1),"PASS",IF(I123=1,"OPEN","FAIL"))</x:f>
        <x:v>OPEN</x:v>
      </x:c>
      <x:c r="L123" s="10" t="str">
        <x:v>commissioning only; no root reliability credit</x:v>
      </x:c>
    </x:row>
    <x:row r="124">
      <x:c r="B124" s="10" t="str">
        <x:v>PZ-118</x:v>
      </x:c>
      <x:c r="C124" s="10" t="str">
        <x:v>LN-12</x:v>
      </x:c>
      <x:c r="D124" s="10" t="str">
        <x:v>SA6</x:v>
      </x:c>
      <x:c r="E124" s="10" t="str">
        <x:v>PTC-C</x:v>
      </x:c>
      <x:c r="F124" s="10" t="str">
        <x:v>single safe-state actuator loss</x:v>
      </x:c>
      <x:c r="G124" s="10" t="str">
        <x:v>one actuator unavailable</x:v>
      </x:c>
      <x:c r="H124" s="10" t="str">
        <x:v>SAFE STATE</x:v>
      </x:c>
      <x:c r="I124" s="10" t="n">
        <x:v>1</x:v>
      </x:c>
      <x:c r="J124" s="12" t="n">
        <x:v>0</x:v>
      </x:c>
      <x:c r="K124" s="10" t="str">
        <x:f>IF(AND(I124=1,J124=1),"PASS",IF(I124=1,"OPEN","FAIL"))</x:f>
        <x:v>OPEN</x:v>
      </x:c>
      <x:c r="L124" s="10" t="str">
        <x:v>commissioning only; no root reliability credit</x:v>
      </x:c>
    </x:row>
    <x:row r="125">
      <x:c r="B125" s="10" t="str">
        <x:v>PZ-119</x:v>
      </x:c>
      <x:c r="C125" s="10" t="str">
        <x:v>LN-12</x:v>
      </x:c>
      <x:c r="D125" s="10" t="str">
        <x:v>SA6</x:v>
      </x:c>
      <x:c r="E125" s="10" t="str">
        <x:v>PTC-C</x:v>
      </x:c>
      <x:c r="F125" s="10" t="str">
        <x:v>clock, signing and network denial</x:v>
      </x:c>
      <x:c r="G125" s="10" t="str">
        <x:v>registered denial</x:v>
      </x:c>
      <x:c r="H125" s="10" t="str">
        <x:v>SAFE STATE AND REPLAY</x:v>
      </x:c>
      <x:c r="I125" s="10" t="n">
        <x:v>1</x:v>
      </x:c>
      <x:c r="J125" s="12" t="n">
        <x:v>0</x:v>
      </x:c>
      <x:c r="K125" s="10" t="str">
        <x:f>IF(AND(I125=1,J125=1),"PASS",IF(I125=1,"OPEN","FAIL"))</x:f>
        <x:v>OPEN</x:v>
      </x:c>
      <x:c r="L125" s="10" t="str">
        <x:v>commissioning only; no root reliability credit</x:v>
      </x:c>
    </x:row>
    <x:row r="126">
      <x:c r="B126" s="11" t="str">
        <x:v>PZ-120</x:v>
      </x:c>
      <x:c r="C126" s="11" t="str">
        <x:v>LN-12</x:v>
      </x:c>
      <x:c r="D126" s="11" t="str">
        <x:v>SA6</x:v>
      </x:c>
      <x:c r="E126" s="11" t="str">
        <x:v>PTC-C</x:v>
      </x:c>
      <x:c r="F126" s="11" t="str">
        <x:v>reset carryover or residual energy</x:v>
      </x:c>
      <x:c r="G126" s="11" t="str">
        <x:v>registered retained hazard</x:v>
      </x:c>
      <x:c r="H126" s="11" t="str">
        <x:v>QUARANTINE</x:v>
      </x:c>
      <x:c r="I126" s="11" t="n">
        <x:v>1</x:v>
      </x:c>
      <x:c r="J126" s="13" t="n">
        <x:v>0</x:v>
      </x:c>
      <x:c r="K126" s="11" t="str">
        <x:f>IF(AND(I126=1,J126=1),"PASS",IF(I126=1,"OPEN","FAIL"))</x:f>
        <x:v>OPEN</x:v>
      </x:c>
      <x:c r="L126" s="11" t="str">
        <x:v>commissioning only; no root reliability credit</x:v>
      </x:c>
    </x:row>
  </x:sheetData>
  <x:mergeCells>
    <x:mergeCell ref="B2:L2"/>
    <x:mergeCell ref="B3:L3"/>
  </x:mergeCells>
  <x:conditionalFormatting sqref="H7:H126">
    <x:cfRule type="containsText" dxfId="126" priority="1" operator="containsText" text="PASS"/>
    <x:cfRule type="containsText" dxfId="127" priority="2" operator="containsText" text="AUTHORIZED"/>
    <x:cfRule type="containsText" dxfId="128" priority="3" operator="containsText" text="DEFINED"/>
    <x:cfRule type="containsText" dxfId="129" priority="4" operator="containsText" text="READY"/>
    <x:cfRule type="containsText" dxfId="130" priority="5" operator="containsText" text="HOLD"/>
    <x:cfRule type="containsText" dxfId="131" priority="6" operator="containsText" text="OPEN"/>
    <x:cfRule type="containsText" dxfId="132" priority="7" operator="containsText" text="BLOCKED"/>
    <x:cfRule type="containsText" dxfId="133" priority="8" operator="containsText" text="PLANNING"/>
    <x:cfRule type="containsText" dxfId="134" priority="9" operator="containsText" text="QUARANTINE"/>
    <x:cfRule type="containsText" dxfId="135" priority="10" operator="containsText" text="INDETERMINATE"/>
    <x:cfRule type="containsText" dxfId="136" priority="11" operator="containsText" text="FAIL"/>
    <x:cfRule type="containsText" dxfId="137" priority="12" operator="containsText" text="REJECT"/>
    <x:cfRule type="containsText" dxfId="138" priority="13" operator="containsText" text="INVALID"/>
    <x:cfRule type="containsText" dxfId="139" priority="14" operator="containsText" text="STOP"/>
  </x:conditionalFormatting>
  <x:conditionalFormatting sqref="K7:K126">
    <x:cfRule type="containsText" dxfId="140" priority="15" operator="containsText" text="PASS"/>
    <x:cfRule type="containsText" dxfId="141" priority="16" operator="containsText" text="AUTHORIZED"/>
    <x:cfRule type="containsText" dxfId="142" priority="17" operator="containsText" text="DEFINED"/>
    <x:cfRule type="containsText" dxfId="143" priority="18" operator="containsText" text="READY"/>
    <x:cfRule type="containsText" dxfId="144" priority="19" operator="containsText" text="HOLD"/>
    <x:cfRule type="containsText" dxfId="145" priority="20" operator="containsText" text="OPEN"/>
    <x:cfRule type="containsText" dxfId="146" priority="21" operator="containsText" text="BLOCKED"/>
    <x:cfRule type="containsText" dxfId="147" priority="22" operator="containsText" text="PLANNING"/>
    <x:cfRule type="containsText" dxfId="148" priority="23" operator="containsText" text="QUARANTINE"/>
    <x:cfRule type="containsText" dxfId="149" priority="24" operator="containsText" text="INDETERMINATE"/>
    <x:cfRule type="containsText" dxfId="150" priority="25" operator="containsText" text="FAIL"/>
    <x:cfRule type="containsText" dxfId="151" priority="26" operator="containsText" text="REJECT"/>
    <x:cfRule type="containsText" dxfId="152" priority="27" operator="containsText" text="INVALID"/>
    <x:cfRule type="containsText" dxfId="153" priority="28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2" hidden="0" customWidth="1"/>
    <x:col min="4" max="4" width="38" hidden="0" customWidth="1"/>
    <x:col min="5" max="5" width="58" hidden="0" customWidth="1"/>
    <x:col min="6" max="6" width="13" hidden="0" customWidth="1"/>
    <x:col min="7" max="7" width="17" hidden="0" customWidth="1"/>
    <x:col min="8" max="8" width="14" hidden="0" customWidth="1"/>
    <x:col min="9" max="9" width="32" hidden="0" customWidth="1"/>
  </x:cols>
  <x:sheetData>
    <x:row r="2">
      <x:c r="B2" s="27" t="str">
        <x:v>Campus denial and cross-site reconstruction</x:v>
      </x:c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B3" s="29" t="str">
        <x:v>Site survival is a physical result. A schedule calculation cannot substitute for the denial rehearsal.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B6" s="8" t="str">
        <x:v>Drill</x:v>
      </x:c>
      <x:c r="C6" s="8" t="str">
        <x:v>Site</x:v>
      </x:c>
      <x:c r="D6" s="8" t="str">
        <x:v>Failure insertion</x:v>
      </x:c>
      <x:c r="E6" s="8" t="str">
        <x:v>Required result</x:v>
      </x:c>
      <x:c r="F6" s="8" t="str">
        <x:v>Definition</x:v>
      </x:c>
      <x:c r="G6" s="8" t="str">
        <x:v>Accepted source</x:v>
      </x:c>
      <x:c r="H6" s="8" t="str">
        <x:v>State</x:v>
      </x:c>
      <x:c r="I6" s="8" t="str">
        <x:v>Claim limit</x:v>
      </x:c>
      <x:c r="J6" s="28"/>
      <x:c r="K6" s="28"/>
    </x:row>
    <x:row r="7">
      <x:c r="B7" s="10" t="str">
        <x:v>CD-01</x:v>
      </x:c>
      <x:c r="C7" s="10" t="str">
        <x:v>PTC-A</x:v>
      </x:c>
      <x:c r="D7" s="10" t="str">
        <x:v>external grid loss</x:v>
      </x:c>
      <x:c r="E7" s="10" t="str">
        <x:v>all active lanes enter safe state; island retains critical service</x:v>
      </x:c>
      <x:c r="F7" s="10" t="n">
        <x:v>1</x:v>
      </x:c>
      <x:c r="G7" s="12" t="n">
        <x:v>0</x:v>
      </x:c>
      <x:c r="H7" s="10" t="str">
        <x:f>IF(AND(F7=1,G7=1),"PASS",IF(F7=1,"OPEN","FAIL"))</x:f>
        <x:v>OPEN</x:v>
      </x:c>
      <x:c r="I7" s="10" t="str">
        <x:v>campus commissioning only</x:v>
      </x:c>
      <x:c r="J7" s="28"/>
      <x:c r="K7" s="28"/>
    </x:row>
    <x:row r="8">
      <x:c r="B8" s="10" t="str">
        <x:v>CD-02</x:v>
      </x:c>
      <x:c r="C8" s="10" t="str">
        <x:v>PTC-A</x:v>
      </x:c>
      <x:c r="D8" s="10" t="str">
        <x:v>island source failure</x:v>
      </x:c>
      <x:c r="E8" s="10" t="str">
        <x:v>second island source and stored energy retain safe state</x:v>
      </x:c>
      <x:c r="F8" s="10" t="n">
        <x:v>1</x:v>
      </x:c>
      <x:c r="G8" s="12" t="n">
        <x:v>0</x:v>
      </x:c>
      <x:c r="H8" s="10" t="str">
        <x:f>IF(AND(F8=1,G8=1),"PASS",IF(F8=1,"OPEN","FAIL"))</x:f>
        <x:v>OPEN</x:v>
      </x:c>
      <x:c r="I8" s="10" t="str">
        <x:v>campus commissioning only</x:v>
      </x:c>
      <x:c r="J8" s="28"/>
      <x:c r="K8" s="28"/>
    </x:row>
    <x:row r="9">
      <x:c r="B9" s="10" t="str">
        <x:v>CD-03</x:v>
      </x:c>
      <x:c r="C9" s="10" t="str">
        <x:v>PTC-A</x:v>
      </x:c>
      <x:c r="D9" s="10" t="str">
        <x:v>network and external-time denial</x:v>
      </x:c>
      <x:c r="E9" s="10" t="str">
        <x:v>both original authorities remain complete</x:v>
      </x:c>
      <x:c r="F9" s="10" t="n">
        <x:v>1</x:v>
      </x:c>
      <x:c r="G9" s="12" t="n">
        <x:v>0</x:v>
      </x:c>
      <x:c r="H9" s="10" t="str">
        <x:f>IF(AND(F9=1,G9=1),"PASS",IF(F9=1,"OPEN","FAIL"))</x:f>
        <x:v>OPEN</x:v>
      </x:c>
      <x:c r="I9" s="10" t="str">
        <x:v>campus commissioning only</x:v>
      </x:c>
      <x:c r="J9" s="28"/>
      <x:c r="K9" s="28"/>
    </x:row>
    <x:row r="10">
      <x:c r="B10" s="10" t="str">
        <x:v>CD-04</x:v>
      </x:c>
      <x:c r="C10" s="10" t="str">
        <x:v>PTC-A</x:v>
      </x:c>
      <x:c r="D10" s="10" t="str">
        <x:v>contaminated process-water discovery</x:v>
      </x:c>
      <x:c r="E10" s="10" t="str">
        <x:v>source and all affected products quarantine</x:v>
      </x:c>
      <x:c r="F10" s="10" t="n">
        <x:v>1</x:v>
      </x:c>
      <x:c r="G10" s="12" t="n">
        <x:v>0</x:v>
      </x:c>
      <x:c r="H10" s="10" t="str">
        <x:f>IF(AND(F10=1,G10=1),"PASS",IF(F10=1,"OPEN","FAIL"))</x:f>
        <x:v>OPEN</x:v>
      </x:c>
      <x:c r="I10" s="10" t="str">
        <x:v>campus commissioning only</x:v>
      </x:c>
      <x:c r="J10" s="28"/>
      <x:c r="K10" s="28"/>
    </x:row>
    <x:row r="11">
      <x:c r="B11" s="10" t="str">
        <x:v>CD-05</x:v>
      </x:c>
      <x:c r="C11" s="10" t="str">
        <x:v>PTC-A</x:v>
      </x:c>
      <x:c r="D11" s="10" t="str">
        <x:v>primary control-room loss</x:v>
      </x:c>
      <x:c r="E11" s="10" t="str">
        <x:v>independent safety station terminates hazardous work</x:v>
      </x:c>
      <x:c r="F11" s="10" t="n">
        <x:v>1</x:v>
      </x:c>
      <x:c r="G11" s="12" t="n">
        <x:v>0</x:v>
      </x:c>
      <x:c r="H11" s="10" t="str">
        <x:f>IF(AND(F11=1,G11=1),"PASS",IF(F11=1,"OPEN","FAIL"))</x:f>
        <x:v>OPEN</x:v>
      </x:c>
      <x:c r="I11" s="10" t="str">
        <x:v>campus commissioning only</x:v>
      </x:c>
      <x:c r="J11" s="28"/>
      <x:c r="K11" s="28"/>
    </x:row>
    <x:row r="12">
      <x:c r="B12" s="10" t="str">
        <x:v>CD-06</x:v>
      </x:c>
      <x:c r="C12" s="10" t="str">
        <x:v>PTC-A</x:v>
      </x:c>
      <x:c r="D12" s="10" t="str">
        <x:v>one evidence-vault loss</x:v>
      </x:c>
      <x:c r="E12" s="10" t="str">
        <x:v>other original and off-site continuity copy remain readable</x:v>
      </x:c>
      <x:c r="F12" s="10" t="n">
        <x:v>1</x:v>
      </x:c>
      <x:c r="G12" s="12" t="n">
        <x:v>0</x:v>
      </x:c>
      <x:c r="H12" s="10" t="str">
        <x:f>IF(AND(F12=1,G12=1),"PASS",IF(F12=1,"OPEN","FAIL"))</x:f>
        <x:v>OPEN</x:v>
      </x:c>
      <x:c r="I12" s="10" t="str">
        <x:v>campus commissioning only</x:v>
      </x:c>
      <x:c r="J12" s="28"/>
      <x:c r="K12" s="28"/>
    </x:row>
    <x:row r="13">
      <x:c r="B13" s="10" t="str">
        <x:v>CD-07</x:v>
      </x:c>
      <x:c r="C13" s="10" t="str">
        <x:v>PTC-A</x:v>
      </x:c>
      <x:c r="D13" s="10" t="str">
        <x:v>primary lift and egress loss</x:v>
      </x:c>
      <x:c r="E13" s="10" t="str">
        <x:v>alternate gantry and route recover the specimen</x:v>
      </x:c>
      <x:c r="F13" s="10" t="n">
        <x:v>1</x:v>
      </x:c>
      <x:c r="G13" s="12" t="n">
        <x:v>0</x:v>
      </x:c>
      <x:c r="H13" s="10" t="str">
        <x:f>IF(AND(F13=1,G13=1),"PASS",IF(F13=1,"OPEN","FAIL"))</x:f>
        <x:v>OPEN</x:v>
      </x:c>
      <x:c r="I13" s="10" t="str">
        <x:v>campus commissioning only</x:v>
      </x:c>
      <x:c r="J13" s="28"/>
      <x:c r="K13" s="28"/>
    </x:row>
    <x:row r="14">
      <x:c r="B14" s="10" t="str">
        <x:v>CD-08</x:v>
      </x:c>
      <x:c r="C14" s="10" t="str">
        <x:v>PTC-A</x:v>
      </x:c>
      <x:c r="D14" s="10" t="str">
        <x:v>waste-route denial</x:v>
      </x:c>
      <x:c r="E14" s="10" t="str">
        <x:v>on-site quarantine closes without unregistered discharge</x:v>
      </x:c>
      <x:c r="F14" s="10" t="n">
        <x:v>1</x:v>
      </x:c>
      <x:c r="G14" s="12" t="n">
        <x:v>0</x:v>
      </x:c>
      <x:c r="H14" s="10" t="str">
        <x:f>IF(AND(F14=1,G14=1),"PASS",IF(F14=1,"OPEN","FAIL"))</x:f>
        <x:v>OPEN</x:v>
      </x:c>
      <x:c r="I14" s="10" t="str">
        <x:v>campus commissioning only</x:v>
      </x:c>
      <x:c r="J14" s="28"/>
      <x:c r="K14" s="28"/>
    </x:row>
    <x:row r="15">
      <x:c r="B15" s="10" t="str">
        <x:v>CD-09</x:v>
      </x:c>
      <x:c r="C15" s="10" t="str">
        <x:v>PTC-B</x:v>
      </x:c>
      <x:c r="D15" s="10" t="str">
        <x:v>external grid loss</x:v>
      </x:c>
      <x:c r="E15" s="10" t="str">
        <x:v>all active lanes enter safe state; island retains critical service</x:v>
      </x:c>
      <x:c r="F15" s="10" t="n">
        <x:v>1</x:v>
      </x:c>
      <x:c r="G15" s="12" t="n">
        <x:v>0</x:v>
      </x:c>
      <x:c r="H15" s="10" t="str">
        <x:f>IF(AND(F15=1,G15=1),"PASS",IF(F15=1,"OPEN","FAIL"))</x:f>
        <x:v>OPEN</x:v>
      </x:c>
      <x:c r="I15" s="10" t="str">
        <x:v>campus commissioning only</x:v>
      </x:c>
      <x:c r="J15" s="28"/>
      <x:c r="K15" s="28"/>
    </x:row>
    <x:row r="16">
      <x:c r="B16" s="10" t="str">
        <x:v>CD-10</x:v>
      </x:c>
      <x:c r="C16" s="10" t="str">
        <x:v>PTC-B</x:v>
      </x:c>
      <x:c r="D16" s="10" t="str">
        <x:v>island source failure</x:v>
      </x:c>
      <x:c r="E16" s="10" t="str">
        <x:v>second island source and stored energy retain safe state</x:v>
      </x:c>
      <x:c r="F16" s="10" t="n">
        <x:v>1</x:v>
      </x:c>
      <x:c r="G16" s="12" t="n">
        <x:v>0</x:v>
      </x:c>
      <x:c r="H16" s="10" t="str">
        <x:f>IF(AND(F16=1,G16=1),"PASS",IF(F16=1,"OPEN","FAIL"))</x:f>
        <x:v>OPEN</x:v>
      </x:c>
      <x:c r="I16" s="10" t="str">
        <x:v>campus commissioning only</x:v>
      </x:c>
      <x:c r="J16" s="28"/>
      <x:c r="K16" s="28"/>
    </x:row>
    <x:row r="17">
      <x:c r="B17" s="10" t="str">
        <x:v>CD-11</x:v>
      </x:c>
      <x:c r="C17" s="10" t="str">
        <x:v>PTC-B</x:v>
      </x:c>
      <x:c r="D17" s="10" t="str">
        <x:v>network and external-time denial</x:v>
      </x:c>
      <x:c r="E17" s="10" t="str">
        <x:v>both original authorities remain complete</x:v>
      </x:c>
      <x:c r="F17" s="10" t="n">
        <x:v>1</x:v>
      </x:c>
      <x:c r="G17" s="12" t="n">
        <x:v>0</x:v>
      </x:c>
      <x:c r="H17" s="10" t="str">
        <x:f>IF(AND(F17=1,G17=1),"PASS",IF(F17=1,"OPEN","FAIL"))</x:f>
        <x:v>OPEN</x:v>
      </x:c>
      <x:c r="I17" s="10" t="str">
        <x:v>campus commissioning only</x:v>
      </x:c>
      <x:c r="J17" s="28"/>
      <x:c r="K17" s="28"/>
    </x:row>
    <x:row r="18">
      <x:c r="B18" s="10" t="str">
        <x:v>CD-12</x:v>
      </x:c>
      <x:c r="C18" s="10" t="str">
        <x:v>PTC-B</x:v>
      </x:c>
      <x:c r="D18" s="10" t="str">
        <x:v>contaminated process-water discovery</x:v>
      </x:c>
      <x:c r="E18" s="10" t="str">
        <x:v>source and all affected products quarantine</x:v>
      </x:c>
      <x:c r="F18" s="10" t="n">
        <x:v>1</x:v>
      </x:c>
      <x:c r="G18" s="12" t="n">
        <x:v>0</x:v>
      </x:c>
      <x:c r="H18" s="10" t="str">
        <x:f>IF(AND(F18=1,G18=1),"PASS",IF(F18=1,"OPEN","FAIL"))</x:f>
        <x:v>OPEN</x:v>
      </x:c>
      <x:c r="I18" s="10" t="str">
        <x:v>campus commissioning only</x:v>
      </x:c>
      <x:c r="J18" s="28"/>
      <x:c r="K18" s="28"/>
    </x:row>
    <x:row r="19">
      <x:c r="B19" s="10" t="str">
        <x:v>CD-13</x:v>
      </x:c>
      <x:c r="C19" s="10" t="str">
        <x:v>PTC-B</x:v>
      </x:c>
      <x:c r="D19" s="10" t="str">
        <x:v>primary control-room loss</x:v>
      </x:c>
      <x:c r="E19" s="10" t="str">
        <x:v>independent safety station terminates hazardous work</x:v>
      </x:c>
      <x:c r="F19" s="10" t="n">
        <x:v>1</x:v>
      </x:c>
      <x:c r="G19" s="12" t="n">
        <x:v>0</x:v>
      </x:c>
      <x:c r="H19" s="10" t="str">
        <x:f>IF(AND(F19=1,G19=1),"PASS",IF(F19=1,"OPEN","FAIL"))</x:f>
        <x:v>OPEN</x:v>
      </x:c>
      <x:c r="I19" s="10" t="str">
        <x:v>campus commissioning only</x:v>
      </x:c>
      <x:c r="J19" s="28"/>
      <x:c r="K19" s="28"/>
    </x:row>
    <x:row r="20">
      <x:c r="B20" s="10" t="str">
        <x:v>CD-14</x:v>
      </x:c>
      <x:c r="C20" s="10" t="str">
        <x:v>PTC-B</x:v>
      </x:c>
      <x:c r="D20" s="10" t="str">
        <x:v>one evidence-vault loss</x:v>
      </x:c>
      <x:c r="E20" s="10" t="str">
        <x:v>other original and off-site continuity copy remain readable</x:v>
      </x:c>
      <x:c r="F20" s="10" t="n">
        <x:v>1</x:v>
      </x:c>
      <x:c r="G20" s="12" t="n">
        <x:v>0</x:v>
      </x:c>
      <x:c r="H20" s="10" t="str">
        <x:f>IF(AND(F20=1,G20=1),"PASS",IF(F20=1,"OPEN","FAIL"))</x:f>
        <x:v>OPEN</x:v>
      </x:c>
      <x:c r="I20" s="10" t="str">
        <x:v>campus commissioning only</x:v>
      </x:c>
      <x:c r="J20" s="28"/>
      <x:c r="K20" s="28"/>
    </x:row>
    <x:row r="21">
      <x:c r="B21" s="10" t="str">
        <x:v>CD-15</x:v>
      </x:c>
      <x:c r="C21" s="10" t="str">
        <x:v>PTC-B</x:v>
      </x:c>
      <x:c r="D21" s="10" t="str">
        <x:v>primary lift and egress loss</x:v>
      </x:c>
      <x:c r="E21" s="10" t="str">
        <x:v>alternate gantry and route recover the specimen</x:v>
      </x:c>
      <x:c r="F21" s="10" t="n">
        <x:v>1</x:v>
      </x:c>
      <x:c r="G21" s="12" t="n">
        <x:v>0</x:v>
      </x:c>
      <x:c r="H21" s="10" t="str">
        <x:f>IF(AND(F21=1,G21=1),"PASS",IF(F21=1,"OPEN","FAIL"))</x:f>
        <x:v>OPEN</x:v>
      </x:c>
      <x:c r="I21" s="10" t="str">
        <x:v>campus commissioning only</x:v>
      </x:c>
      <x:c r="J21" s="28"/>
      <x:c r="K21" s="28"/>
    </x:row>
    <x:row r="22">
      <x:c r="B22" s="10" t="str">
        <x:v>CD-16</x:v>
      </x:c>
      <x:c r="C22" s="10" t="str">
        <x:v>PTC-B</x:v>
      </x:c>
      <x:c r="D22" s="10" t="str">
        <x:v>waste-route denial</x:v>
      </x:c>
      <x:c r="E22" s="10" t="str">
        <x:v>on-site quarantine closes without unregistered discharge</x:v>
      </x:c>
      <x:c r="F22" s="10" t="n">
        <x:v>1</x:v>
      </x:c>
      <x:c r="G22" s="12" t="n">
        <x:v>0</x:v>
      </x:c>
      <x:c r="H22" s="10" t="str">
        <x:f>IF(AND(F22=1,G22=1),"PASS",IF(F22=1,"OPEN","FAIL"))</x:f>
        <x:v>OPEN</x:v>
      </x:c>
      <x:c r="I22" s="10" t="str">
        <x:v>campus commissioning only</x:v>
      </x:c>
      <x:c r="J22" s="28"/>
      <x:c r="K22" s="28"/>
    </x:row>
    <x:row r="23">
      <x:c r="B23" s="10" t="str">
        <x:v>CD-17</x:v>
      </x:c>
      <x:c r="C23" s="10" t="str">
        <x:v>PTC-C</x:v>
      </x:c>
      <x:c r="D23" s="10" t="str">
        <x:v>external grid loss</x:v>
      </x:c>
      <x:c r="E23" s="10" t="str">
        <x:v>all active lanes enter safe state; island retains critical service</x:v>
      </x:c>
      <x:c r="F23" s="10" t="n">
        <x:v>1</x:v>
      </x:c>
      <x:c r="G23" s="12" t="n">
        <x:v>0</x:v>
      </x:c>
      <x:c r="H23" s="10" t="str">
        <x:f>IF(AND(F23=1,G23=1),"PASS",IF(F23=1,"OPEN","FAIL"))</x:f>
        <x:v>OPEN</x:v>
      </x:c>
      <x:c r="I23" s="10" t="str">
        <x:v>campus commissioning only</x:v>
      </x:c>
      <x:c r="J23" s="28"/>
      <x:c r="K23" s="28"/>
    </x:row>
    <x:row r="24">
      <x:c r="B24" s="10" t="str">
        <x:v>CD-18</x:v>
      </x:c>
      <x:c r="C24" s="10" t="str">
        <x:v>PTC-C</x:v>
      </x:c>
      <x:c r="D24" s="10" t="str">
        <x:v>island source failure</x:v>
      </x:c>
      <x:c r="E24" s="10" t="str">
        <x:v>second island source and stored energy retain safe state</x:v>
      </x:c>
      <x:c r="F24" s="10" t="n">
        <x:v>1</x:v>
      </x:c>
      <x:c r="G24" s="12" t="n">
        <x:v>0</x:v>
      </x:c>
      <x:c r="H24" s="10" t="str">
        <x:f>IF(AND(F24=1,G24=1),"PASS",IF(F24=1,"OPEN","FAIL"))</x:f>
        <x:v>OPEN</x:v>
      </x:c>
      <x:c r="I24" s="10" t="str">
        <x:v>campus commissioning only</x:v>
      </x:c>
      <x:c r="J24" s="28"/>
      <x:c r="K24" s="28"/>
    </x:row>
    <x:row r="25">
      <x:c r="B25" s="10" t="str">
        <x:v>CD-19</x:v>
      </x:c>
      <x:c r="C25" s="10" t="str">
        <x:v>PTC-C</x:v>
      </x:c>
      <x:c r="D25" s="10" t="str">
        <x:v>network and external-time denial</x:v>
      </x:c>
      <x:c r="E25" s="10" t="str">
        <x:v>both original authorities remain complete</x:v>
      </x:c>
      <x:c r="F25" s="10" t="n">
        <x:v>1</x:v>
      </x:c>
      <x:c r="G25" s="12" t="n">
        <x:v>0</x:v>
      </x:c>
      <x:c r="H25" s="10" t="str">
        <x:f>IF(AND(F25=1,G25=1),"PASS",IF(F25=1,"OPEN","FAIL"))</x:f>
        <x:v>OPEN</x:v>
      </x:c>
      <x:c r="I25" s="10" t="str">
        <x:v>campus commissioning only</x:v>
      </x:c>
      <x:c r="J25" s="28"/>
      <x:c r="K25" s="28"/>
    </x:row>
    <x:row r="26">
      <x:c r="B26" s="10" t="str">
        <x:v>CD-20</x:v>
      </x:c>
      <x:c r="C26" s="10" t="str">
        <x:v>PTC-C</x:v>
      </x:c>
      <x:c r="D26" s="10" t="str">
        <x:v>contaminated process-water discovery</x:v>
      </x:c>
      <x:c r="E26" s="10" t="str">
        <x:v>source and all affected products quarantine</x:v>
      </x:c>
      <x:c r="F26" s="10" t="n">
        <x:v>1</x:v>
      </x:c>
      <x:c r="G26" s="12" t="n">
        <x:v>0</x:v>
      </x:c>
      <x:c r="H26" s="10" t="str">
        <x:f>IF(AND(F26=1,G26=1),"PASS",IF(F26=1,"OPEN","FAIL"))</x:f>
        <x:v>OPEN</x:v>
      </x:c>
      <x:c r="I26" s="10" t="str">
        <x:v>campus commissioning only</x:v>
      </x:c>
      <x:c r="J26" s="28"/>
      <x:c r="K26" s="28"/>
    </x:row>
    <x:row r="27">
      <x:c r="B27" s="10" t="str">
        <x:v>CD-21</x:v>
      </x:c>
      <x:c r="C27" s="10" t="str">
        <x:v>PTC-C</x:v>
      </x:c>
      <x:c r="D27" s="10" t="str">
        <x:v>primary control-room loss</x:v>
      </x:c>
      <x:c r="E27" s="10" t="str">
        <x:v>independent safety station terminates hazardous work</x:v>
      </x:c>
      <x:c r="F27" s="10" t="n">
        <x:v>1</x:v>
      </x:c>
      <x:c r="G27" s="12" t="n">
        <x:v>0</x:v>
      </x:c>
      <x:c r="H27" s="10" t="str">
        <x:f>IF(AND(F27=1,G27=1),"PASS",IF(F27=1,"OPEN","FAIL"))</x:f>
        <x:v>OPEN</x:v>
      </x:c>
      <x:c r="I27" s="10" t="str">
        <x:v>campus commissioning only</x:v>
      </x:c>
      <x:c r="J27" s="28"/>
      <x:c r="K27" s="28"/>
    </x:row>
    <x:row r="28">
      <x:c r="B28" s="10" t="str">
        <x:v>CD-22</x:v>
      </x:c>
      <x:c r="C28" s="10" t="str">
        <x:v>PTC-C</x:v>
      </x:c>
      <x:c r="D28" s="10" t="str">
        <x:v>one evidence-vault loss</x:v>
      </x:c>
      <x:c r="E28" s="10" t="str">
        <x:v>other original and off-site continuity copy remain readable</x:v>
      </x:c>
      <x:c r="F28" s="10" t="n">
        <x:v>1</x:v>
      </x:c>
      <x:c r="G28" s="12" t="n">
        <x:v>0</x:v>
      </x:c>
      <x:c r="H28" s="10" t="str">
        <x:f>IF(AND(F28=1,G28=1),"PASS",IF(F28=1,"OPEN","FAIL"))</x:f>
        <x:v>OPEN</x:v>
      </x:c>
      <x:c r="I28" s="10" t="str">
        <x:v>campus commissioning only</x:v>
      </x:c>
      <x:c r="J28" s="28"/>
      <x:c r="K28" s="28"/>
    </x:row>
    <x:row r="29">
      <x:c r="B29" s="10" t="str">
        <x:v>CD-23</x:v>
      </x:c>
      <x:c r="C29" s="10" t="str">
        <x:v>PTC-C</x:v>
      </x:c>
      <x:c r="D29" s="10" t="str">
        <x:v>primary lift and egress loss</x:v>
      </x:c>
      <x:c r="E29" s="10" t="str">
        <x:v>alternate gantry and route recover the specimen</x:v>
      </x:c>
      <x:c r="F29" s="10" t="n">
        <x:v>1</x:v>
      </x:c>
      <x:c r="G29" s="12" t="n">
        <x:v>0</x:v>
      </x:c>
      <x:c r="H29" s="10" t="str">
        <x:f>IF(AND(F29=1,G29=1),"PASS",IF(F29=1,"OPEN","FAIL"))</x:f>
        <x:v>OPEN</x:v>
      </x:c>
      <x:c r="I29" s="10" t="str">
        <x:v>campus commissioning only</x:v>
      </x:c>
      <x:c r="J29" s="28"/>
      <x:c r="K29" s="28"/>
    </x:row>
    <x:row r="30">
      <x:c r="B30" s="10" t="str">
        <x:v>CD-24</x:v>
      </x:c>
      <x:c r="C30" s="10" t="str">
        <x:v>PTC-C</x:v>
      </x:c>
      <x:c r="D30" s="10" t="str">
        <x:v>waste-route denial</x:v>
      </x:c>
      <x:c r="E30" s="10" t="str">
        <x:v>on-site quarantine closes without unregistered discharge</x:v>
      </x:c>
      <x:c r="F30" s="10" t="n">
        <x:v>1</x:v>
      </x:c>
      <x:c r="G30" s="12" t="n">
        <x:v>0</x:v>
      </x:c>
      <x:c r="H30" s="10" t="str">
        <x:f>IF(AND(F30=1,G30=1),"PASS",IF(F30=1,"OPEN","FAIL"))</x:f>
        <x:v>OPEN</x:v>
      </x:c>
      <x:c r="I30" s="10" t="str">
        <x:v>campus commissioning only</x:v>
      </x:c>
      <x:c r="J30" s="28"/>
      <x:c r="K30" s="28"/>
    </x:row>
    <x:row r="31">
      <x:c r="B31" s="10"/>
      <x:c r="C31" s="10"/>
      <x:c r="D31" s="10"/>
      <x:c r="E31" s="10"/>
      <x:c r="F31" s="10"/>
      <x:c r="G31" s="10"/>
      <x:c r="H31" s="10"/>
      <x:c r="I31" s="10"/>
      <x:c r="J31" s="28"/>
      <x:c r="K31" s="28"/>
    </x:row>
    <x:row r="32">
      <x:c r="B32" s="10"/>
      <x:c r="C32" s="10"/>
      <x:c r="D32" s="10"/>
      <x:c r="E32" s="10"/>
      <x:c r="F32" s="10"/>
      <x:c r="G32" s="10"/>
      <x:c r="H32" s="10"/>
      <x:c r="I32" s="10"/>
      <x:c r="J32" s="28"/>
      <x:c r="K32" s="28"/>
    </x:row>
    <x:row r="33">
      <x:c r="B33" s="18" t="str">
        <x:v>Cross-site packet reconstructions</x:v>
      </x:c>
      <x:c r="C33" s="18" t="str">
        <x:v>Cross-site packet reconstructions</x:v>
      </x:c>
      <x:c r="D33" s="18" t="str">
        <x:v>Cross-site packet reconstructions</x:v>
      </x:c>
      <x:c r="E33" s="18" t="str">
        <x:v>Cross-site packet reconstructions</x:v>
      </x:c>
      <x:c r="F33" s="18" t="str">
        <x:v>Cross-site packet reconstructions</x:v>
      </x:c>
      <x:c r="G33" s="18" t="str">
        <x:v>Cross-site packet reconstructions</x:v>
      </x:c>
      <x:c r="H33" s="18" t="str">
        <x:v>Cross-site packet reconstructions</x:v>
      </x:c>
      <x:c r="I33" s="18" t="str">
        <x:v>Cross-site packet reconstructions</x:v>
      </x:c>
      <x:c r="J33" s="28"/>
      <x:c r="K33" s="28"/>
    </x:row>
    <x:row r="34">
      <x:c r="B34" s="8" t="str">
        <x:v>Replay</x:v>
      </x:c>
      <x:c r="C34" s="8" t="str">
        <x:v>Family</x:v>
      </x:c>
      <x:c r="D34" s="8" t="str">
        <x:v>Source lane</x:v>
      </x:c>
      <x:c r="E34" s="8" t="str">
        <x:v>Reconstruction site</x:v>
      </x:c>
      <x:c r="F34" s="8" t="str">
        <x:v>Required result</x:v>
      </x:c>
      <x:c r="G34" s="8" t="str">
        <x:v>Accepted source</x:v>
      </x:c>
      <x:c r="H34" s="8" t="str">
        <x:v>State</x:v>
      </x:c>
      <x:c r="I34" s="8" t="str">
        <x:v>Claim limit</x:v>
      </x:c>
      <x:c r="J34" s="28"/>
      <x:c r="K34" s="28"/>
    </x:row>
    <x:row r="35">
      <x:c r="B35" s="10" t="str">
        <x:v>XR-01</x:v>
      </x:c>
      <x:c r="C35" s="10" t="str">
        <x:v>SA1</x:v>
      </x:c>
      <x:c r="D35" s="10" t="str">
        <x:v>LN-01</x:v>
      </x:c>
      <x:c r="E35" s="10" t="str">
        <x:v>PTC-B</x:v>
      </x:c>
      <x:c r="F35" s="10" t="str">
        <x:v>same frozen disposition with unlike implementation</x:v>
      </x:c>
      <x:c r="G35" s="12" t="n">
        <x:v>0</x:v>
      </x:c>
      <x:c r="H35" s="10" t="str">
        <x:f>IF(G35=1,"PASS","OPEN")</x:f>
        <x:v>OPEN</x:v>
      </x:c>
      <x:c r="I35" s="10" t="str">
        <x:v>reproducibility only</x:v>
      </x:c>
      <x:c r="J35" s="28"/>
      <x:c r="K35" s="28"/>
    </x:row>
    <x:row r="36">
      <x:c r="B36" s="10" t="str">
        <x:v>XR-02</x:v>
      </x:c>
      <x:c r="C36" s="10" t="str">
        <x:v>SA1</x:v>
      </x:c>
      <x:c r="D36" s="10" t="str">
        <x:v>LN-02</x:v>
      </x:c>
      <x:c r="E36" s="10" t="str">
        <x:v>PTC-A</x:v>
      </x:c>
      <x:c r="F36" s="10" t="str">
        <x:v>same frozen disposition with unlike implementation</x:v>
      </x:c>
      <x:c r="G36" s="12" t="n">
        <x:v>0</x:v>
      </x:c>
      <x:c r="H36" s="10" t="str">
        <x:f>IF(G36=1,"PASS","OPEN")</x:f>
        <x:v>OPEN</x:v>
      </x:c>
      <x:c r="I36" s="10" t="str">
        <x:v>reproducibility only</x:v>
      </x:c>
      <x:c r="J36" s="28"/>
      <x:c r="K36" s="28"/>
    </x:row>
    <x:row r="37">
      <x:c r="B37" s="10" t="str">
        <x:v>XR-03</x:v>
      </x:c>
      <x:c r="C37" s="10" t="str">
        <x:v>SA2</x:v>
      </x:c>
      <x:c r="D37" s="10" t="str">
        <x:v>LN-03</x:v>
      </x:c>
      <x:c r="E37" s="10" t="str">
        <x:v>PTC-C</x:v>
      </x:c>
      <x:c r="F37" s="10" t="str">
        <x:v>same frozen disposition with unlike implementation</x:v>
      </x:c>
      <x:c r="G37" s="12" t="n">
        <x:v>0</x:v>
      </x:c>
      <x:c r="H37" s="10" t="str">
        <x:f>IF(G37=1,"PASS","OPEN")</x:f>
        <x:v>OPEN</x:v>
      </x:c>
      <x:c r="I37" s="10" t="str">
        <x:v>reproducibility only</x:v>
      </x:c>
      <x:c r="J37" s="28"/>
      <x:c r="K37" s="28"/>
    </x:row>
    <x:row r="38">
      <x:c r="B38" s="10" t="str">
        <x:v>XR-04</x:v>
      </x:c>
      <x:c r="C38" s="10" t="str">
        <x:v>SA2</x:v>
      </x:c>
      <x:c r="D38" s="10" t="str">
        <x:v>LN-04</x:v>
      </x:c>
      <x:c r="E38" s="10" t="str">
        <x:v>PTC-A</x:v>
      </x:c>
      <x:c r="F38" s="10" t="str">
        <x:v>same frozen disposition with unlike implementation</x:v>
      </x:c>
      <x:c r="G38" s="12" t="n">
        <x:v>0</x:v>
      </x:c>
      <x:c r="H38" s="10" t="str">
        <x:f>IF(G38=1,"PASS","OPEN")</x:f>
        <x:v>OPEN</x:v>
      </x:c>
      <x:c r="I38" s="10" t="str">
        <x:v>reproducibility only</x:v>
      </x:c>
      <x:c r="J38" s="28"/>
      <x:c r="K38" s="28"/>
    </x:row>
    <x:row r="39">
      <x:c r="B39" s="10" t="str">
        <x:v>XR-05</x:v>
      </x:c>
      <x:c r="C39" s="10" t="str">
        <x:v>SA3</x:v>
      </x:c>
      <x:c r="D39" s="10" t="str">
        <x:v>LN-05</x:v>
      </x:c>
      <x:c r="E39" s="10" t="str">
        <x:v>PTC-C</x:v>
      </x:c>
      <x:c r="F39" s="10" t="str">
        <x:v>same frozen disposition with unlike implementation</x:v>
      </x:c>
      <x:c r="G39" s="12" t="n">
        <x:v>0</x:v>
      </x:c>
      <x:c r="H39" s="10" t="str">
        <x:f>IF(G39=1,"PASS","OPEN")</x:f>
        <x:v>OPEN</x:v>
      </x:c>
      <x:c r="I39" s="10" t="str">
        <x:v>reproducibility only</x:v>
      </x:c>
      <x:c r="J39" s="28"/>
      <x:c r="K39" s="28"/>
    </x:row>
    <x:row r="40">
      <x:c r="B40" s="10" t="str">
        <x:v>XR-06</x:v>
      </x:c>
      <x:c r="C40" s="10" t="str">
        <x:v>SA3</x:v>
      </x:c>
      <x:c r="D40" s="10" t="str">
        <x:v>LN-06</x:v>
      </x:c>
      <x:c r="E40" s="10" t="str">
        <x:v>PTC-A</x:v>
      </x:c>
      <x:c r="F40" s="10" t="str">
        <x:v>same frozen disposition with unlike implementation</x:v>
      </x:c>
      <x:c r="G40" s="12" t="n">
        <x:v>0</x:v>
      </x:c>
      <x:c r="H40" s="10" t="str">
        <x:f>IF(G40=1,"PASS","OPEN")</x:f>
        <x:v>OPEN</x:v>
      </x:c>
      <x:c r="I40" s="10" t="str">
        <x:v>reproducibility only</x:v>
      </x:c>
      <x:c r="J40" s="28"/>
      <x:c r="K40" s="28"/>
    </x:row>
    <x:row r="41">
      <x:c r="B41" s="10" t="str">
        <x:v>XR-07</x:v>
      </x:c>
      <x:c r="C41" s="10" t="str">
        <x:v>SA4</x:v>
      </x:c>
      <x:c r="D41" s="10" t="str">
        <x:v>LN-07</x:v>
      </x:c>
      <x:c r="E41" s="10" t="str">
        <x:v>PTC-C</x:v>
      </x:c>
      <x:c r="F41" s="10" t="str">
        <x:v>same frozen disposition with unlike implementation</x:v>
      </x:c>
      <x:c r="G41" s="12" t="n">
        <x:v>0</x:v>
      </x:c>
      <x:c r="H41" s="10" t="str">
        <x:f>IF(G41=1,"PASS","OPEN")</x:f>
        <x:v>OPEN</x:v>
      </x:c>
      <x:c r="I41" s="10" t="str">
        <x:v>reproducibility only</x:v>
      </x:c>
      <x:c r="J41" s="28"/>
      <x:c r="K41" s="28"/>
    </x:row>
    <x:row r="42">
      <x:c r="B42" s="10" t="str">
        <x:v>XR-08</x:v>
      </x:c>
      <x:c r="C42" s="10" t="str">
        <x:v>SA4</x:v>
      </x:c>
      <x:c r="D42" s="10" t="str">
        <x:v>LN-08</x:v>
      </x:c>
      <x:c r="E42" s="10" t="str">
        <x:v>PTC-B</x:v>
      </x:c>
      <x:c r="F42" s="10" t="str">
        <x:v>same frozen disposition with unlike implementation</x:v>
      </x:c>
      <x:c r="G42" s="12" t="n">
        <x:v>0</x:v>
      </x:c>
      <x:c r="H42" s="10" t="str">
        <x:f>IF(G42=1,"PASS","OPEN")</x:f>
        <x:v>OPEN</x:v>
      </x:c>
      <x:c r="I42" s="10" t="str">
        <x:v>reproducibility only</x:v>
      </x:c>
      <x:c r="J42" s="28"/>
      <x:c r="K42" s="28"/>
    </x:row>
    <x:row r="43">
      <x:c r="B43" s="10" t="str">
        <x:v>XR-09</x:v>
      </x:c>
      <x:c r="C43" s="10" t="str">
        <x:v>SA5</x:v>
      </x:c>
      <x:c r="D43" s="10" t="str">
        <x:v>LN-09</x:v>
      </x:c>
      <x:c r="E43" s="10" t="str">
        <x:v>PTC-B</x:v>
      </x:c>
      <x:c r="F43" s="10" t="str">
        <x:v>same frozen disposition with unlike implementation</x:v>
      </x:c>
      <x:c r="G43" s="12" t="n">
        <x:v>0</x:v>
      </x:c>
      <x:c r="H43" s="10" t="str">
        <x:f>IF(G43=1,"PASS","OPEN")</x:f>
        <x:v>OPEN</x:v>
      </x:c>
      <x:c r="I43" s="10" t="str">
        <x:v>reproducibility only</x:v>
      </x:c>
      <x:c r="J43" s="28"/>
      <x:c r="K43" s="28"/>
    </x:row>
    <x:row r="44">
      <x:c r="B44" s="10" t="str">
        <x:v>XR-10</x:v>
      </x:c>
      <x:c r="C44" s="10" t="str">
        <x:v>SA5</x:v>
      </x:c>
      <x:c r="D44" s="10" t="str">
        <x:v>LN-10</x:v>
      </x:c>
      <x:c r="E44" s="10" t="str">
        <x:v>PTC-A</x:v>
      </x:c>
      <x:c r="F44" s="10" t="str">
        <x:v>same frozen disposition with unlike implementation</x:v>
      </x:c>
      <x:c r="G44" s="12" t="n">
        <x:v>0</x:v>
      </x:c>
      <x:c r="H44" s="10" t="str">
        <x:f>IF(G44=1,"PASS","OPEN")</x:f>
        <x:v>OPEN</x:v>
      </x:c>
      <x:c r="I44" s="10" t="str">
        <x:v>reproducibility only</x:v>
      </x:c>
      <x:c r="J44" s="28"/>
      <x:c r="K44" s="28"/>
    </x:row>
    <x:row r="45">
      <x:c r="B45" s="10" t="str">
        <x:v>XR-11</x:v>
      </x:c>
      <x:c r="C45" s="10" t="str">
        <x:v>SA6</x:v>
      </x:c>
      <x:c r="D45" s="10" t="str">
        <x:v>LN-11</x:v>
      </x:c>
      <x:c r="E45" s="10" t="str">
        <x:v>PTC-C</x:v>
      </x:c>
      <x:c r="F45" s="10" t="str">
        <x:v>same frozen disposition with unlike implementation</x:v>
      </x:c>
      <x:c r="G45" s="12" t="n">
        <x:v>0</x:v>
      </x:c>
      <x:c r="H45" s="10" t="str">
        <x:f>IF(G45=1,"PASS","OPEN")</x:f>
        <x:v>OPEN</x:v>
      </x:c>
      <x:c r="I45" s="10" t="str">
        <x:v>reproducibility only</x:v>
      </x:c>
      <x:c r="J45" s="28"/>
      <x:c r="K45" s="28"/>
    </x:row>
    <x:row r="46">
      <x:c r="B46" s="11" t="str">
        <x:v>XR-12</x:v>
      </x:c>
      <x:c r="C46" s="11" t="str">
        <x:v>SA6</x:v>
      </x:c>
      <x:c r="D46" s="11" t="str">
        <x:v>LN-12</x:v>
      </x:c>
      <x:c r="E46" s="11" t="str">
        <x:v>PTC-B</x:v>
      </x:c>
      <x:c r="F46" s="11" t="str">
        <x:v>same frozen disposition with unlike implementation</x:v>
      </x:c>
      <x:c r="G46" s="13" t="n">
        <x:v>0</x:v>
      </x:c>
      <x:c r="H46" s="11" t="str">
        <x:f>IF(G46=1,"PASS","OPEN")</x:f>
        <x:v>OPEN</x:v>
      </x:c>
      <x:c r="I46" s="11" t="str">
        <x:v>reproducibility only</x:v>
      </x:c>
      <x:c r="J46" s="28"/>
      <x:c r="K46" s="28"/>
    </x:row>
  </x:sheetData>
  <x:mergeCells>
    <x:mergeCell ref="B2:K2"/>
    <x:mergeCell ref="B3:K3"/>
    <x:mergeCell ref="B33:I33"/>
  </x:mergeCells>
  <x:conditionalFormatting sqref="H7:H30">
    <x:cfRule type="containsText" dxfId="154" priority="1" operator="containsText" text="PASS"/>
    <x:cfRule type="containsText" dxfId="155" priority="2" operator="containsText" text="AUTHORIZED"/>
    <x:cfRule type="containsText" dxfId="156" priority="3" operator="containsText" text="DEFINED"/>
    <x:cfRule type="containsText" dxfId="157" priority="4" operator="containsText" text="READY"/>
    <x:cfRule type="containsText" dxfId="158" priority="5" operator="containsText" text="HOLD"/>
    <x:cfRule type="containsText" dxfId="159" priority="6" operator="containsText" text="OPEN"/>
    <x:cfRule type="containsText" dxfId="160" priority="7" operator="containsText" text="BLOCKED"/>
    <x:cfRule type="containsText" dxfId="161" priority="8" operator="containsText" text="PLANNING"/>
    <x:cfRule type="containsText" dxfId="162" priority="9" operator="containsText" text="QUARANTINE"/>
    <x:cfRule type="containsText" dxfId="163" priority="10" operator="containsText" text="INDETERMINATE"/>
    <x:cfRule type="containsText" dxfId="164" priority="11" operator="containsText" text="FAIL"/>
    <x:cfRule type="containsText" dxfId="165" priority="12" operator="containsText" text="REJECT"/>
    <x:cfRule type="containsText" dxfId="166" priority="13" operator="containsText" text="INVALID"/>
    <x:cfRule type="containsText" dxfId="167" priority="14" operator="containsText" text="STOP"/>
  </x:conditionalFormatting>
  <x:conditionalFormatting sqref="H35:H46">
    <x:cfRule type="containsText" dxfId="168" priority="15" operator="containsText" text="PASS"/>
    <x:cfRule type="containsText" dxfId="169" priority="16" operator="containsText" text="AUTHORIZED"/>
    <x:cfRule type="containsText" dxfId="170" priority="17" operator="containsText" text="DEFINED"/>
    <x:cfRule type="containsText" dxfId="171" priority="18" operator="containsText" text="READY"/>
    <x:cfRule type="containsText" dxfId="172" priority="19" operator="containsText" text="HOLD"/>
    <x:cfRule type="containsText" dxfId="173" priority="20" operator="containsText" text="OPEN"/>
    <x:cfRule type="containsText" dxfId="174" priority="21" operator="containsText" text="BLOCKED"/>
    <x:cfRule type="containsText" dxfId="175" priority="22" operator="containsText" text="PLANNING"/>
    <x:cfRule type="containsText" dxfId="176" priority="23" operator="containsText" text="QUARANTINE"/>
    <x:cfRule type="containsText" dxfId="177" priority="24" operator="containsText" text="INDETERMINATE"/>
    <x:cfRule type="containsText" dxfId="178" priority="25" operator="containsText" text="FAIL"/>
    <x:cfRule type="containsText" dxfId="179" priority="26" operator="containsText" text="REJECT"/>
    <x:cfRule type="containsText" dxfId="180" priority="27" operator="containsText" text="INVALID"/>
    <x:cfRule type="containsText" dxfId="181" priority="28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3" hidden="0" customWidth="1"/>
    <x:col min="4" max="4" width="25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7" hidden="0" customWidth="1"/>
    <x:col min="10" max="10" width="16" hidden="0" customWidth="1"/>
    <x:col min="11" max="11" width="14" hidden="0" customWidth="1"/>
    <x:col min="12" max="12" width="36" hidden="0" customWidth="1"/>
  </x:cols>
  <x:sheetData>
    <x:row r="2">
      <x:c r="B2" s="27" t="str">
        <x:v>Two-original evidence vault architecture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B3" s="29" t="str">
        <x:v>Each event writes two separately powered native originals. Off-site replication protects continuity but does not relabel a later copy as an original.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</x:row>
    <x:row r="6">
      <x:c r="B6" s="8" t="str">
        <x:v>Vault</x:v>
      </x:c>
      <x:c r="C6" s="8" t="str">
        <x:v>Site</x:v>
      </x:c>
      <x:c r="D6" s="8" t="str">
        <x:v>Authority</x:v>
      </x:c>
      <x:c r="E6" s="8" t="str">
        <x:v>Usable TB</x:v>
      </x:c>
      <x:c r="F6" s="8" t="str">
        <x:v>Power domain</x:v>
      </x:c>
      <x:c r="G6" s="8" t="str">
        <x:v>Recorder root</x:v>
      </x:c>
      <x:c r="H6" s="8" t="str">
        <x:v>Paired off-site</x:v>
      </x:c>
      <x:c r="I6" s="8" t="str">
        <x:v>Accepted source</x:v>
      </x:c>
      <x:c r="J6" s="8" t="str">
        <x:v>Physical state</x:v>
      </x:c>
      <x:c r="K6" s="8" t="str">
        <x:v>Original role</x:v>
      </x:c>
      <x:c r="L6" s="8" t="str">
        <x:v>Network posture</x:v>
      </x:c>
      <x:c r="M6" s="28"/>
    </x:row>
    <x:row r="7">
      <x:c r="B7" s="10" t="str">
        <x:v>VA-A1</x:v>
      </x:c>
      <x:c r="C7" s="10" t="str">
        <x:v>PTC-A</x:v>
      </x:c>
      <x:c r="D7" s="10" t="str">
        <x:v>Evidence Authority A</x:v>
      </x:c>
      <x:c r="E7" s="10" t="n">
        <x:v>96</x:v>
      </x:c>
      <x:c r="F7" s="10" t="str">
        <x:v>PA-1</x:v>
      </x:c>
      <x:c r="G7" s="10" t="str">
        <x:v>REC-A1</x:v>
      </x:c>
      <x:c r="H7" s="10" t="str">
        <x:v>PTC-B</x:v>
      </x:c>
      <x:c r="I7" s="12" t="n">
        <x:v>0</x:v>
      </x:c>
      <x:c r="J7" s="10" t="str">
        <x:f>IF(I7=1,"PASS","OPEN")</x:f>
        <x:v>OPEN</x:v>
      </x:c>
      <x:c r="K7" s="10" t="str">
        <x:v>O1</x:v>
      </x:c>
      <x:c r="L7" s="10" t="str">
        <x:v>offline-complete; network optional</x:v>
      </x:c>
      <x:c r="M7" s="28"/>
    </x:row>
    <x:row r="8">
      <x:c r="B8" s="10" t="str">
        <x:v>VA-A2</x:v>
      </x:c>
      <x:c r="C8" s="10" t="str">
        <x:v>PTC-A</x:v>
      </x:c>
      <x:c r="D8" s="10" t="str">
        <x:v>Witness Authority A</x:v>
      </x:c>
      <x:c r="E8" s="10" t="n">
        <x:v>96</x:v>
      </x:c>
      <x:c r="F8" s="10" t="str">
        <x:v>PA-2</x:v>
      </x:c>
      <x:c r="G8" s="10" t="str">
        <x:v>REC-A2</x:v>
      </x:c>
      <x:c r="H8" s="10" t="str">
        <x:v>PTC-C</x:v>
      </x:c>
      <x:c r="I8" s="12" t="n">
        <x:v>0</x:v>
      </x:c>
      <x:c r="J8" s="10" t="str">
        <x:f>IF(I8=1,"PASS","OPEN")</x:f>
        <x:v>OPEN</x:v>
      </x:c>
      <x:c r="K8" s="10" t="str">
        <x:v>O2</x:v>
      </x:c>
      <x:c r="L8" s="10" t="str">
        <x:v>offline-complete; network optional</x:v>
      </x:c>
      <x:c r="M8" s="28"/>
    </x:row>
    <x:row r="9">
      <x:c r="B9" s="10" t="str">
        <x:v>VA-B1</x:v>
      </x:c>
      <x:c r="C9" s="10" t="str">
        <x:v>PTC-B</x:v>
      </x:c>
      <x:c r="D9" s="10" t="str">
        <x:v>Evidence Authority B</x:v>
      </x:c>
      <x:c r="E9" s="10" t="n">
        <x:v>96</x:v>
      </x:c>
      <x:c r="F9" s="10" t="str">
        <x:v>PB-1</x:v>
      </x:c>
      <x:c r="G9" s="10" t="str">
        <x:v>REC-B1</x:v>
      </x:c>
      <x:c r="H9" s="10" t="str">
        <x:v>PTC-C</x:v>
      </x:c>
      <x:c r="I9" s="12" t="n">
        <x:v>0</x:v>
      </x:c>
      <x:c r="J9" s="10" t="str">
        <x:f>IF(I9=1,"PASS","OPEN")</x:f>
        <x:v>OPEN</x:v>
      </x:c>
      <x:c r="K9" s="10" t="str">
        <x:v>O1</x:v>
      </x:c>
      <x:c r="L9" s="10" t="str">
        <x:v>offline-complete; network optional</x:v>
      </x:c>
      <x:c r="M9" s="28"/>
    </x:row>
    <x:row r="10">
      <x:c r="B10" s="10" t="str">
        <x:v>VA-B2</x:v>
      </x:c>
      <x:c r="C10" s="10" t="str">
        <x:v>PTC-B</x:v>
      </x:c>
      <x:c r="D10" s="10" t="str">
        <x:v>Witness Authority B</x:v>
      </x:c>
      <x:c r="E10" s="10" t="n">
        <x:v>96</x:v>
      </x:c>
      <x:c r="F10" s="10" t="str">
        <x:v>PB-2</x:v>
      </x:c>
      <x:c r="G10" s="10" t="str">
        <x:v>REC-B2</x:v>
      </x:c>
      <x:c r="H10" s="10" t="str">
        <x:v>PTC-A</x:v>
      </x:c>
      <x:c r="I10" s="12" t="n">
        <x:v>0</x:v>
      </x:c>
      <x:c r="J10" s="10" t="str">
        <x:f>IF(I10=1,"PASS","OPEN")</x:f>
        <x:v>OPEN</x:v>
      </x:c>
      <x:c r="K10" s="10" t="str">
        <x:v>O2</x:v>
      </x:c>
      <x:c r="L10" s="10" t="str">
        <x:v>offline-complete; network optional</x:v>
      </x:c>
      <x:c r="M10" s="28"/>
    </x:row>
    <x:row r="11">
      <x:c r="B11" s="10" t="str">
        <x:v>VA-C1</x:v>
      </x:c>
      <x:c r="C11" s="10" t="str">
        <x:v>PTC-C</x:v>
      </x:c>
      <x:c r="D11" s="10" t="str">
        <x:v>Evidence Authority C</x:v>
      </x:c>
      <x:c r="E11" s="10" t="n">
        <x:v>96</x:v>
      </x:c>
      <x:c r="F11" s="10" t="str">
        <x:v>PC-1</x:v>
      </x:c>
      <x:c r="G11" s="10" t="str">
        <x:v>REC-C1</x:v>
      </x:c>
      <x:c r="H11" s="10" t="str">
        <x:v>PTC-A</x:v>
      </x:c>
      <x:c r="I11" s="12" t="n">
        <x:v>0</x:v>
      </x:c>
      <x:c r="J11" s="10" t="str">
        <x:f>IF(I11=1,"PASS","OPEN")</x:f>
        <x:v>OPEN</x:v>
      </x:c>
      <x:c r="K11" s="10" t="str">
        <x:v>O1</x:v>
      </x:c>
      <x:c r="L11" s="10" t="str">
        <x:v>offline-complete; network optional</x:v>
      </x:c>
      <x:c r="M11" s="28"/>
    </x:row>
    <x:row r="12">
      <x:c r="B12" s="10" t="str">
        <x:v>VA-C2</x:v>
      </x:c>
      <x:c r="C12" s="10" t="str">
        <x:v>PTC-C</x:v>
      </x:c>
      <x:c r="D12" s="10" t="str">
        <x:v>Witness Authority C</x:v>
      </x:c>
      <x:c r="E12" s="10" t="n">
        <x:v>96</x:v>
      </x:c>
      <x:c r="F12" s="10" t="str">
        <x:v>PC-2</x:v>
      </x:c>
      <x:c r="G12" s="10" t="str">
        <x:v>REC-C2</x:v>
      </x:c>
      <x:c r="H12" s="10" t="str">
        <x:v>PTC-B</x:v>
      </x:c>
      <x:c r="I12" s="12" t="n">
        <x:v>0</x:v>
      </x:c>
      <x:c r="J12" s="10" t="str">
        <x:f>IF(I12=1,"PASS","OPEN")</x:f>
        <x:v>OPEN</x:v>
      </x:c>
      <x:c r="K12" s="10" t="str">
        <x:v>O2</x:v>
      </x:c>
      <x:c r="L12" s="10" t="str">
        <x:v>offline-complete; network optional</x:v>
      </x:c>
      <x:c r="M12" s="28"/>
    </x:row>
    <x:row r="13"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28"/>
    </x:row>
    <x:row r="14"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28"/>
    </x:row>
    <x:row r="15">
      <x:c r="B15" s="18" t="str">
        <x:v>Capacity and copy reconciliation</x:v>
      </x:c>
      <x:c r="C15" s="18" t="str">
        <x:v>Capacity and copy reconciliation</x:v>
      </x:c>
      <x:c r="D15" s="18" t="str">
        <x:v>Capacity and copy reconciliation</x:v>
      </x:c>
      <x:c r="E15" s="18" t="str">
        <x:v>Capacity and copy reconciliation</x:v>
      </x:c>
      <x:c r="F15" s="18" t="str">
        <x:v>Capacity and copy reconciliation</x:v>
      </x:c>
      <x:c r="G15" s="18" t="str">
        <x:v>Capacity and copy reconciliation</x:v>
      </x:c>
      <x:c r="H15" s="18" t="str">
        <x:v>Capacity and copy reconciliation</x:v>
      </x:c>
      <x:c r="I15" s="18" t="str">
        <x:v>Capacity and copy reconciliation</x:v>
      </x:c>
      <x:c r="J15" s="18" t="str">
        <x:v>Capacity and copy reconciliation</x:v>
      </x:c>
      <x:c r="K15" s="18" t="str">
        <x:v>Capacity and copy reconciliation</x:v>
      </x:c>
      <x:c r="L15" s="18" t="str">
        <x:v>Capacity and copy reconciliation</x:v>
      </x:c>
      <x:c r="M15" s="28"/>
    </x:row>
    <x:row r="16">
      <x:c r="B16" s="8" t="str">
        <x:v>Metric</x:v>
      </x:c>
      <x:c r="C16" s="8" t="str">
        <x:v>Calculated</x:v>
      </x:c>
      <x:c r="D16" s="8" t="str">
        <x:v>Required</x:v>
      </x:c>
      <x:c r="E16" s="8" t="str">
        <x:v>Difference or ratio</x:v>
      </x:c>
      <x:c r="F16" s="8" t="str">
        <x:v>State</x:v>
      </x:c>
      <x:c r="G16" s="8" t="str">
        <x:v>Meaning</x:v>
      </x:c>
      <x:c r="H16" s="10"/>
      <x:c r="I16" s="10"/>
      <x:c r="J16" s="10"/>
      <x:c r="K16" s="10"/>
      <x:c r="L16" s="10"/>
      <x:c r="M16" s="28"/>
    </x:row>
    <x:row r="17">
      <x:c r="B17" s="10" t="str">
        <x:v>vault count</x:v>
      </x:c>
      <x:c r="C17" s="21" t="n">
        <x:f>COUNTA(B7:B12)</x:f>
        <x:v>6</x:v>
      </x:c>
      <x:c r="D17" s="21" t="n">
        <x:f>'Controls'!$D$9*'Controls'!$D$29</x:f>
        <x:v>6</x:v>
      </x:c>
      <x:c r="E17" s="21" t="n">
        <x:f>C17-D17</x:f>
        <x:v>0</x:v>
      </x:c>
      <x:c r="F17" s="10" t="str">
        <x:f>IF(ABS(E17)&lt;0.000001,"PASS","FAIL")</x:f>
        <x:v>PASS</x:v>
      </x:c>
      <x:c r="G17" s="10" t="str">
        <x:v>exact reconciliation</x:v>
      </x:c>
      <x:c r="H17" s="10"/>
      <x:c r="I17" s="10"/>
      <x:c r="J17" s="10"/>
      <x:c r="K17" s="10"/>
      <x:c r="L17" s="10"/>
      <x:c r="M17" s="28"/>
    </x:row>
    <x:row r="18">
      <x:c r="B18" s="10" t="str">
        <x:v>usable capacity</x:v>
      </x:c>
      <x:c r="C18" s="21" t="n">
        <x:f>SUM(E7:E12)</x:f>
        <x:v>576</x:v>
      </x:c>
      <x:c r="D18" s="21" t="n">
        <x:f>'Controls'!$D$9*'Controls'!$D$29*'Controls'!$D$30</x:f>
        <x:v>576</x:v>
      </x:c>
      <x:c r="E18" s="21" t="n">
        <x:f>C18-D18</x:f>
        <x:v>0</x:v>
      </x:c>
      <x:c r="F18" s="10" t="str">
        <x:f>IF(ABS(E18)&lt;0.000001,"PASS","FAIL")</x:f>
        <x:v>PASS</x:v>
      </x:c>
      <x:c r="G18" s="10" t="str">
        <x:v>exact reconciliation</x:v>
      </x:c>
      <x:c r="H18" s="10"/>
      <x:c r="I18" s="10"/>
      <x:c r="J18" s="10"/>
      <x:c r="K18" s="10"/>
      <x:c r="L18" s="10"/>
      <x:c r="M18" s="28"/>
    </x:row>
    <x:row r="19">
      <x:c r="B19" s="10" t="str">
        <x:v>campaign allocation</x:v>
      </x:c>
      <x:c r="C19" s="21" t="n">
        <x:f>'Controls'!$D$50</x:f>
        <x:v>137.0310336</x:v>
      </x:c>
      <x:c r="D19" s="21" t="n">
        <x:f>'Controls'!$D$50</x:f>
        <x:v>137.0310336</x:v>
      </x:c>
      <x:c r="E19" s="21" t="n">
        <x:f>C19-D19</x:f>
        <x:v>0</x:v>
      </x:c>
      <x:c r="F19" s="10" t="str">
        <x:f>IF(ABS(E19)&lt;0.000001,"PASS","FAIL")</x:f>
        <x:v>PASS</x:v>
      </x:c>
      <x:c r="G19" s="10" t="str">
        <x:v>exact reconciliation</x:v>
      </x:c>
      <x:c r="H19" s="10"/>
      <x:c r="I19" s="10"/>
      <x:c r="J19" s="10"/>
      <x:c r="K19" s="10"/>
      <x:c r="L19" s="10"/>
      <x:c r="M19" s="28"/>
    </x:row>
    <x:row r="20">
      <x:c r="B20" s="11" t="str">
        <x:v>capacity multiple</x:v>
      </x:c>
      <x:c r="C20" s="22" t="n">
        <x:f>C18/C19</x:f>
        <x:v>4.203427390625769</x:v>
      </x:c>
      <x:c r="D20" s="22" t="n">
        <x:v>4</x:v>
      </x:c>
      <x:c r="E20" s="22" t="n">
        <x:f>C20</x:f>
        <x:v>4.203427390625769</x:v>
      </x:c>
      <x:c r="F20" s="11" t="str">
        <x:f>IF(E20&gt;=D20,"PASS","FAIL")</x:f>
        <x:v>PASS</x:v>
      </x:c>
      <x:c r="G20" s="11" t="str">
        <x:v>headroom above retained allocation</x:v>
      </x:c>
      <x:c r="H20" s="11"/>
      <x:c r="I20" s="11"/>
      <x:c r="J20" s="11"/>
      <x:c r="K20" s="11"/>
      <x:c r="L20" s="11"/>
      <x:c r="M20" s="28"/>
    </x:row>
  </x:sheetData>
  <x:mergeCells>
    <x:mergeCell ref="B2:M2"/>
    <x:mergeCell ref="B3:M3"/>
    <x:mergeCell ref="B15:L15"/>
  </x:mergeCells>
  <x:conditionalFormatting sqref="J7:J12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QUARANTINE"/>
    <x:cfRule type="containsText" dxfId="191" priority="10" operator="containsText" text="INDETERMINATE"/>
    <x:cfRule type="containsText" dxfId="192" priority="11" operator="containsText" text="FAIL"/>
    <x:cfRule type="containsText" dxfId="193" priority="12" operator="containsText" text="REJECT"/>
    <x:cfRule type="containsText" dxfId="194" priority="13" operator="containsText" text="INVALID"/>
    <x:cfRule type="containsText" dxfId="195" priority="14" operator="containsText" text="STOP"/>
  </x:conditionalFormatting>
  <x:conditionalFormatting sqref="F17:F20">
    <x:cfRule type="containsText" dxfId="196" priority="15" operator="containsText" text="PASS"/>
    <x:cfRule type="containsText" dxfId="197" priority="16" operator="containsText" text="AUTHORIZED"/>
    <x:cfRule type="containsText" dxfId="198" priority="17" operator="containsText" text="DEFINED"/>
    <x:cfRule type="containsText" dxfId="199" priority="18" operator="containsText" text="READY"/>
    <x:cfRule type="containsText" dxfId="200" priority="19" operator="containsText" text="HOLD"/>
    <x:cfRule type="containsText" dxfId="201" priority="20" operator="containsText" text="OPEN"/>
    <x:cfRule type="containsText" dxfId="202" priority="21" operator="containsText" text="BLOCKED"/>
    <x:cfRule type="containsText" dxfId="203" priority="22" operator="containsText" text="PLANNING"/>
    <x:cfRule type="containsText" dxfId="204" priority="23" operator="containsText" text="QUARANTINE"/>
    <x:cfRule type="containsText" dxfId="205" priority="24" operator="containsText" text="INDETERMINATE"/>
    <x:cfRule type="containsText" dxfId="206" priority="25" operator="containsText" text="FAIL"/>
    <x:cfRule type="containsText" dxfId="207" priority="26" operator="containsText" text="REJECT"/>
    <x:cfRule type="containsText" dxfId="208" priority="27" operator="containsText" text="INVALID"/>
    <x:cfRule type="containsText" dxfId="209" priority="28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12" hidden="0" customWidth="1"/>
    <x:col min="4" max="4" width="10" hidden="0" customWidth="1"/>
    <x:col min="5" max="5" width="12" hidden="0" customWidth="1"/>
    <x:col min="6" max="6" width="23" hidden="0" customWidth="1"/>
    <x:col min="7" max="7" width="17" hidden="0" customWidth="1"/>
    <x:col min="8" max="8" width="19" hidden="0" customWidth="1"/>
    <x:col min="9" max="9" width="17" hidden="0" customWidth="1"/>
    <x:col min="10" max="10" width="16" hidden="0" customWidth="1"/>
    <x:col min="11" max="11" width="40" hidden="0" customWidth="1"/>
  </x:cols>
  <x:sheetData>
    <x:row r="2">
      <x:c r="B2" s="27" t="str">
        <x:v>Lane-specific transfer and reference estate</x:v>
      </x:c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B3" s="29" t="str">
        <x:v>Sibling lanes use separate transfer chains and primary cells. Common units do not imply one deciding implementation.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B6" s="8" t="str">
        <x:v>Package</x:v>
      </x:c>
      <x:c r="C6" s="8" t="str">
        <x:v>Lane</x:v>
      </x:c>
      <x:c r="D6" s="8" t="str">
        <x:v>Family</x:v>
      </x:c>
      <x:c r="E6" s="8" t="str">
        <x:v>Site</x:v>
      </x:c>
      <x:c r="F6" s="8" t="str">
        <x:v>Transfer chain</x:v>
      </x:c>
      <x:c r="G6" s="8" t="str">
        <x:v>Primary cell</x:v>
      </x:c>
      <x:c r="H6" s="8" t="str">
        <x:v>Reference articles</x:v>
      </x:c>
      <x:c r="I6" s="8" t="str">
        <x:v>Accepted source</x:v>
      </x:c>
      <x:c r="J6" s="8" t="str">
        <x:v>Physical state</x:v>
      </x:c>
      <x:c r="K6" s="8" t="str">
        <x:v>Method distinction</x:v>
      </x:c>
    </x:row>
    <x:row r="7">
      <x:c r="B7" s="10" t="str">
        <x:v>TP-01</x:v>
      </x:c>
      <x:c r="C7" s="10" t="str">
        <x:v>LN-01</x:v>
      </x:c>
      <x:c r="D7" s="10" t="str">
        <x:v>SA1</x:v>
      </x:c>
      <x:c r="E7" s="10" t="str">
        <x:v>PTC-A</x:v>
      </x:c>
      <x:c r="F7" s="10" t="str">
        <x:v>T1-ALPHA-SA1</x:v>
      </x:c>
      <x:c r="G7" s="10" t="str">
        <x:v>T0-ALPHA</x:v>
      </x:c>
      <x:c r="H7" s="10" t="n">
        <x:v>6</x:v>
      </x:c>
      <x:c r="I7" s="12" t="n">
        <x:v>0</x:v>
      </x:c>
      <x:c r="J7" s="10" t="str">
        <x:f>IF(I7=1,"PASS","OPEN")</x:f>
        <x:v>OPEN</x:v>
      </x:c>
      <x:c r="K7" s="10" t="str">
        <x:v>direct physical comparison chain</x:v>
      </x:c>
    </x:row>
    <x:row r="8">
      <x:c r="B8" s="10" t="str">
        <x:v>TP-02</x:v>
      </x:c>
      <x:c r="C8" s="10" t="str">
        <x:v>LN-02</x:v>
      </x:c>
      <x:c r="D8" s="10" t="str">
        <x:v>SA1</x:v>
      </x:c>
      <x:c r="E8" s="10" t="str">
        <x:v>PTC-B</x:v>
      </x:c>
      <x:c r="F8" s="10" t="str">
        <x:v>T1-BETA-SA1</x:v>
      </x:c>
      <x:c r="G8" s="10" t="str">
        <x:v>T0-BETA</x:v>
      </x:c>
      <x:c r="H8" s="10" t="n">
        <x:v>6</x:v>
      </x:c>
      <x:c r="I8" s="12" t="n">
        <x:v>0</x:v>
      </x:c>
      <x:c r="J8" s="10" t="str">
        <x:f>IF(I8=1,"PASS","OPEN")</x:f>
        <x:v>OPEN</x:v>
      </x:c>
      <x:c r="K8" s="10" t="str">
        <x:v>dissimilar transfer and analysis chain</x:v>
      </x:c>
    </x:row>
    <x:row r="9">
      <x:c r="B9" s="10" t="str">
        <x:v>TP-03</x:v>
      </x:c>
      <x:c r="C9" s="10" t="str">
        <x:v>LN-03</x:v>
      </x:c>
      <x:c r="D9" s="10" t="str">
        <x:v>SA2</x:v>
      </x:c>
      <x:c r="E9" s="10" t="str">
        <x:v>PTC-A</x:v>
      </x:c>
      <x:c r="F9" s="10" t="str">
        <x:v>T1-ALPHA-SA2</x:v>
      </x:c>
      <x:c r="G9" s="10" t="str">
        <x:v>T0-ALPHA</x:v>
      </x:c>
      <x:c r="H9" s="10" t="n">
        <x:v>6</x:v>
      </x:c>
      <x:c r="I9" s="12" t="n">
        <x:v>0</x:v>
      </x:c>
      <x:c r="J9" s="10" t="str">
        <x:f>IF(I9=1,"PASS","OPEN")</x:f>
        <x:v>OPEN</x:v>
      </x:c>
      <x:c r="K9" s="10" t="str">
        <x:v>direct physical comparison chain</x:v>
      </x:c>
    </x:row>
    <x:row r="10">
      <x:c r="B10" s="10" t="str">
        <x:v>TP-04</x:v>
      </x:c>
      <x:c r="C10" s="10" t="str">
        <x:v>LN-04</x:v>
      </x:c>
      <x:c r="D10" s="10" t="str">
        <x:v>SA2</x:v>
      </x:c>
      <x:c r="E10" s="10" t="str">
        <x:v>PTC-C</x:v>
      </x:c>
      <x:c r="F10" s="10" t="str">
        <x:v>T1-BETA-SA2</x:v>
      </x:c>
      <x:c r="G10" s="10" t="str">
        <x:v>T0-BETA</x:v>
      </x:c>
      <x:c r="H10" s="10" t="n">
        <x:v>6</x:v>
      </x:c>
      <x:c r="I10" s="12" t="n">
        <x:v>0</x:v>
      </x:c>
      <x:c r="J10" s="10" t="str">
        <x:f>IF(I10=1,"PASS","OPEN")</x:f>
        <x:v>OPEN</x:v>
      </x:c>
      <x:c r="K10" s="10" t="str">
        <x:v>dissimilar transfer and analysis chain</x:v>
      </x:c>
    </x:row>
    <x:row r="11">
      <x:c r="B11" s="10" t="str">
        <x:v>TP-05</x:v>
      </x:c>
      <x:c r="C11" s="10" t="str">
        <x:v>LN-05</x:v>
      </x:c>
      <x:c r="D11" s="10" t="str">
        <x:v>SA3</x:v>
      </x:c>
      <x:c r="E11" s="10" t="str">
        <x:v>PTC-A</x:v>
      </x:c>
      <x:c r="F11" s="10" t="str">
        <x:v>T1-ALPHA-SA3</x:v>
      </x:c>
      <x:c r="G11" s="10" t="str">
        <x:v>T0-ALPHA</x:v>
      </x:c>
      <x:c r="H11" s="10" t="n">
        <x:v>6</x:v>
      </x:c>
      <x:c r="I11" s="12" t="n">
        <x:v>0</x:v>
      </x:c>
      <x:c r="J11" s="10" t="str">
        <x:f>IF(I11=1,"PASS","OPEN")</x:f>
        <x:v>OPEN</x:v>
      </x:c>
      <x:c r="K11" s="10" t="str">
        <x:v>direct physical comparison chain</x:v>
      </x:c>
    </x:row>
    <x:row r="12">
      <x:c r="B12" s="10" t="str">
        <x:v>TP-06</x:v>
      </x:c>
      <x:c r="C12" s="10" t="str">
        <x:v>LN-06</x:v>
      </x:c>
      <x:c r="D12" s="10" t="str">
        <x:v>SA3</x:v>
      </x:c>
      <x:c r="E12" s="10" t="str">
        <x:v>PTC-C</x:v>
      </x:c>
      <x:c r="F12" s="10" t="str">
        <x:v>T1-BETA-SA3</x:v>
      </x:c>
      <x:c r="G12" s="10" t="str">
        <x:v>T0-BETA</x:v>
      </x:c>
      <x:c r="H12" s="10" t="n">
        <x:v>6</x:v>
      </x:c>
      <x:c r="I12" s="12" t="n">
        <x:v>0</x:v>
      </x:c>
      <x:c r="J12" s="10" t="str">
        <x:f>IF(I12=1,"PASS","OPEN")</x:f>
        <x:v>OPEN</x:v>
      </x:c>
      <x:c r="K12" s="10" t="str">
        <x:v>dissimilar transfer and analysis chain</x:v>
      </x:c>
    </x:row>
    <x:row r="13">
      <x:c r="B13" s="10" t="str">
        <x:v>TP-07</x:v>
      </x:c>
      <x:c r="C13" s="10" t="str">
        <x:v>LN-07</x:v>
      </x:c>
      <x:c r="D13" s="10" t="str">
        <x:v>SA4</x:v>
      </x:c>
      <x:c r="E13" s="10" t="str">
        <x:v>PTC-B</x:v>
      </x:c>
      <x:c r="F13" s="10" t="str">
        <x:v>T1-ALPHA-SA4</x:v>
      </x:c>
      <x:c r="G13" s="10" t="str">
        <x:v>T0-ALPHA</x:v>
      </x:c>
      <x:c r="H13" s="10" t="n">
        <x:v>6</x:v>
      </x:c>
      <x:c r="I13" s="12" t="n">
        <x:v>0</x:v>
      </x:c>
      <x:c r="J13" s="10" t="str">
        <x:f>IF(I13=1,"PASS","OPEN")</x:f>
        <x:v>OPEN</x:v>
      </x:c>
      <x:c r="K13" s="10" t="str">
        <x:v>direct physical comparison chain</x:v>
      </x:c>
    </x:row>
    <x:row r="14">
      <x:c r="B14" s="10" t="str">
        <x:v>TP-08</x:v>
      </x:c>
      <x:c r="C14" s="10" t="str">
        <x:v>LN-08</x:v>
      </x:c>
      <x:c r="D14" s="10" t="str">
        <x:v>SA4</x:v>
      </x:c>
      <x:c r="E14" s="10" t="str">
        <x:v>PTC-C</x:v>
      </x:c>
      <x:c r="F14" s="10" t="str">
        <x:v>T1-BETA-SA4</x:v>
      </x:c>
      <x:c r="G14" s="10" t="str">
        <x:v>T0-BETA</x:v>
      </x:c>
      <x:c r="H14" s="10" t="n">
        <x:v>6</x:v>
      </x:c>
      <x:c r="I14" s="12" t="n">
        <x:v>0</x:v>
      </x:c>
      <x:c r="J14" s="10" t="str">
        <x:f>IF(I14=1,"PASS","OPEN")</x:f>
        <x:v>OPEN</x:v>
      </x:c>
      <x:c r="K14" s="10" t="str">
        <x:v>dissimilar transfer and analysis chain</x:v>
      </x:c>
    </x:row>
    <x:row r="15">
      <x:c r="B15" s="10" t="str">
        <x:v>TP-09</x:v>
      </x:c>
      <x:c r="C15" s="10" t="str">
        <x:v>LN-09</x:v>
      </x:c>
      <x:c r="D15" s="10" t="str">
        <x:v>SA5</x:v>
      </x:c>
      <x:c r="E15" s="10" t="str">
        <x:v>PTC-A</x:v>
      </x:c>
      <x:c r="F15" s="10" t="str">
        <x:v>T1-ALPHA-SA5</x:v>
      </x:c>
      <x:c r="G15" s="10" t="str">
        <x:v>T0-ALPHA</x:v>
      </x:c>
      <x:c r="H15" s="10" t="n">
        <x:v>6</x:v>
      </x:c>
      <x:c r="I15" s="12" t="n">
        <x:v>0</x:v>
      </x:c>
      <x:c r="J15" s="10" t="str">
        <x:f>IF(I15=1,"PASS","OPEN")</x:f>
        <x:v>OPEN</x:v>
      </x:c>
      <x:c r="K15" s="10" t="str">
        <x:v>direct physical comparison chain</x:v>
      </x:c>
    </x:row>
    <x:row r="16">
      <x:c r="B16" s="10" t="str">
        <x:v>TP-10</x:v>
      </x:c>
      <x:c r="C16" s="10" t="str">
        <x:v>LN-10</x:v>
      </x:c>
      <x:c r="D16" s="10" t="str">
        <x:v>SA5</x:v>
      </x:c>
      <x:c r="E16" s="10" t="str">
        <x:v>PTC-B</x:v>
      </x:c>
      <x:c r="F16" s="10" t="str">
        <x:v>T1-BETA-SA5</x:v>
      </x:c>
      <x:c r="G16" s="10" t="str">
        <x:v>T0-BETA</x:v>
      </x:c>
      <x:c r="H16" s="10" t="n">
        <x:v>6</x:v>
      </x:c>
      <x:c r="I16" s="12" t="n">
        <x:v>0</x:v>
      </x:c>
      <x:c r="J16" s="10" t="str">
        <x:f>IF(I16=1,"PASS","OPEN")</x:f>
        <x:v>OPEN</x:v>
      </x:c>
      <x:c r="K16" s="10" t="str">
        <x:v>dissimilar transfer and analysis chain</x:v>
      </x:c>
    </x:row>
    <x:row r="17">
      <x:c r="B17" s="10" t="str">
        <x:v>TP-11</x:v>
      </x:c>
      <x:c r="C17" s="10" t="str">
        <x:v>LN-11</x:v>
      </x:c>
      <x:c r="D17" s="10" t="str">
        <x:v>SA6</x:v>
      </x:c>
      <x:c r="E17" s="10" t="str">
        <x:v>PTC-B</x:v>
      </x:c>
      <x:c r="F17" s="10" t="str">
        <x:v>T1-ALPHA-SA6</x:v>
      </x:c>
      <x:c r="G17" s="10" t="str">
        <x:v>T0-ALPHA</x:v>
      </x:c>
      <x:c r="H17" s="10" t="n">
        <x:v>6</x:v>
      </x:c>
      <x:c r="I17" s="12" t="n">
        <x:v>0</x:v>
      </x:c>
      <x:c r="J17" s="10" t="str">
        <x:f>IF(I17=1,"PASS","OPEN")</x:f>
        <x:v>OPEN</x:v>
      </x:c>
      <x:c r="K17" s="10" t="str">
        <x:v>direct physical comparison chain</x:v>
      </x:c>
    </x:row>
    <x:row r="18">
      <x:c r="B18" s="10" t="str">
        <x:v>TP-12</x:v>
      </x:c>
      <x:c r="C18" s="10" t="str">
        <x:v>LN-12</x:v>
      </x:c>
      <x:c r="D18" s="10" t="str">
        <x:v>SA6</x:v>
      </x:c>
      <x:c r="E18" s="10" t="str">
        <x:v>PTC-C</x:v>
      </x:c>
      <x:c r="F18" s="10" t="str">
        <x:v>T1-BETA-SA6</x:v>
      </x:c>
      <x:c r="G18" s="10" t="str">
        <x:v>T0-BETA</x:v>
      </x:c>
      <x:c r="H18" s="10" t="n">
        <x:v>6</x:v>
      </x:c>
      <x:c r="I18" s="12" t="n">
        <x:v>0</x:v>
      </x:c>
      <x:c r="J18" s="10" t="str">
        <x:f>IF(I18=1,"PASS","OPEN")</x:f>
        <x:v>OPEN</x:v>
      </x:c>
      <x:c r="K18" s="10" t="str">
        <x:v>dissimilar transfer and analysis chain</x:v>
      </x:c>
    </x:row>
    <x:row r="19"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</x:row>
    <x:row r="20"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</x:row>
    <x:row r="21"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</x:row>
    <x:row r="22">
      <x:c r="B22" s="18" t="str">
        <x:v>Reference reconciliation</x:v>
      </x:c>
      <x:c r="C22" s="18" t="str">
        <x:v>Reference reconciliation</x:v>
      </x:c>
      <x:c r="D22" s="18" t="str">
        <x:v>Reference reconciliation</x:v>
      </x:c>
      <x:c r="E22" s="18" t="str">
        <x:v>Reference reconciliation</x:v>
      </x:c>
      <x:c r="F22" s="18" t="str">
        <x:v>Reference reconciliation</x:v>
      </x:c>
      <x:c r="G22" s="18" t="str">
        <x:v>Reference reconciliation</x:v>
      </x:c>
      <x:c r="H22" s="18" t="str">
        <x:v>Reference reconciliation</x:v>
      </x:c>
      <x:c r="I22" s="18" t="str">
        <x:v>Reference reconciliation</x:v>
      </x:c>
      <x:c r="J22" s="18" t="str">
        <x:v>Reference reconciliation</x:v>
      </x:c>
      <x:c r="K22" s="18" t="str">
        <x:v>Reference reconciliation</x:v>
      </x:c>
    </x:row>
    <x:row r="23">
      <x:c r="B23" s="8" t="str">
        <x:v>Calculated articles</x:v>
      </x:c>
      <x:c r="C23" s="8" t="str">
        <x:v>Required</x:v>
      </x:c>
      <x:c r="D23" s="8" t="str">
        <x:v>Difference</x:v>
      </x:c>
      <x:c r="E23" s="8" t="str">
        <x:v>State</x:v>
      </x:c>
      <x:c r="F23" s="10"/>
      <x:c r="G23" s="10"/>
      <x:c r="H23" s="10"/>
      <x:c r="I23" s="10"/>
      <x:c r="J23" s="10"/>
      <x:c r="K23" s="10"/>
    </x:row>
    <x:row r="24">
      <x:c r="B24" s="11" t="n">
        <x:f>SUM(H7:H18)</x:f>
        <x:v>72</x:v>
      </x:c>
      <x:c r="C24" s="11" t="n">
        <x:f>'Controls'!$D$21</x:f>
        <x:v>72</x:v>
      </x:c>
      <x:c r="D24" s="11" t="n">
        <x:f>B24-C24</x:f>
        <x:v>0</x:v>
      </x:c>
      <x:c r="E24" s="11" t="str">
        <x:f>IF(D24=0,"PASS","FAIL")</x:f>
        <x:v>PASS</x:v>
      </x:c>
      <x:c r="F24" s="11"/>
      <x:c r="G24" s="11"/>
      <x:c r="H24" s="11"/>
      <x:c r="I24" s="11"/>
      <x:c r="J24" s="11"/>
      <x:c r="K24" s="11"/>
    </x:row>
  </x:sheetData>
  <x:mergeCells>
    <x:mergeCell ref="B2:K2"/>
    <x:mergeCell ref="B3:K3"/>
    <x:mergeCell ref="B22:K22"/>
  </x:mergeCells>
  <x:conditionalFormatting sqref="J7:J18">
    <x:cfRule type="containsText" dxfId="210" priority="1" operator="containsText" text="PASS"/>
    <x:cfRule type="containsText" dxfId="211" priority="2" operator="containsText" text="AUTHORIZED"/>
    <x:cfRule type="containsText" dxfId="212" priority="3" operator="containsText" text="DEFINED"/>
    <x:cfRule type="containsText" dxfId="213" priority="4" operator="containsText" text="READY"/>
    <x:cfRule type="containsText" dxfId="214" priority="5" operator="containsText" text="HOLD"/>
    <x:cfRule type="containsText" dxfId="215" priority="6" operator="containsText" text="OPEN"/>
    <x:cfRule type="containsText" dxfId="216" priority="7" operator="containsText" text="BLOCKED"/>
    <x:cfRule type="containsText" dxfId="217" priority="8" operator="containsText" text="PLANNING"/>
    <x:cfRule type="containsText" dxfId="218" priority="9" operator="containsText" text="QUARANTINE"/>
    <x:cfRule type="containsText" dxfId="219" priority="10" operator="containsText" text="INDETERMINATE"/>
    <x:cfRule type="containsText" dxfId="220" priority="11" operator="containsText" text="FAIL"/>
    <x:cfRule type="containsText" dxfId="221" priority="12" operator="containsText" text="REJECT"/>
    <x:cfRule type="containsText" dxfId="222" priority="13" operator="containsText" text="INVALID"/>
    <x:cfRule type="containsText" dxfId="223" priority="14" operator="containsText" text="STOP"/>
  </x:conditionalFormatting>
  <x:conditionalFormatting sqref="E24:E24">
    <x:cfRule type="containsText" dxfId="224" priority="15" operator="containsText" text="PASS"/>
    <x:cfRule type="containsText" dxfId="225" priority="16" operator="containsText" text="AUTHORIZED"/>
    <x:cfRule type="containsText" dxfId="226" priority="17" operator="containsText" text="DEFINED"/>
    <x:cfRule type="containsText" dxfId="227" priority="18" operator="containsText" text="READY"/>
    <x:cfRule type="containsText" dxfId="228" priority="19" operator="containsText" text="HOLD"/>
    <x:cfRule type="containsText" dxfId="229" priority="20" operator="containsText" text="OPEN"/>
    <x:cfRule type="containsText" dxfId="230" priority="21" operator="containsText" text="BLOCKED"/>
    <x:cfRule type="containsText" dxfId="231" priority="22" operator="containsText" text="PLANNING"/>
    <x:cfRule type="containsText" dxfId="232" priority="23" operator="containsText" text="QUARANTINE"/>
    <x:cfRule type="containsText" dxfId="233" priority="24" operator="containsText" text="INDETERMINATE"/>
    <x:cfRule type="containsText" dxfId="234" priority="25" operator="containsText" text="FAIL"/>
    <x:cfRule type="containsText" dxfId="235" priority="26" operator="containsText" text="REJECT"/>
    <x:cfRule type="containsText" dxfId="236" priority="27" operator="containsText" text="INVALID"/>
    <x:cfRule type="containsText" dxfId="237" priority="28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32" hidden="0" customWidth="1"/>
    <x:col min="9" max="9" width="20" hidden="0" customWidth="1"/>
  </x:cols>
  <x:sheetData>
    <x:row r="2">
      <x:c r="B2" s="27" t="str">
        <x:v>Campaign workforce by physical duty station</x:v>
      </x:c>
      <x:c r="C2" s="28"/>
      <x:c r="D2" s="28"/>
      <x:c r="E2" s="28"/>
      <x:c r="F2" s="28"/>
      <x:c r="G2" s="28"/>
      <x:c r="H2" s="28"/>
      <x:c r="I2" s="28"/>
      <x:c r="J2" s="28"/>
    </x:row>
    <x:row r="3">
      <x:c r="B3" s="29" t="str">
        <x:v>The 448-person roster is an assignment obligation. It does not imply 448 net-new hires.</x:v>
      </x:c>
      <x:c r="C3" s="28"/>
      <x:c r="D3" s="28"/>
      <x:c r="E3" s="28"/>
      <x:c r="F3" s="28"/>
      <x:c r="G3" s="28"/>
      <x:c r="H3" s="28"/>
      <x:c r="I3" s="28"/>
      <x:c r="J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</x:row>
    <x:row r="6">
      <x:c r="B6" s="8" t="str">
        <x:v>Formation</x:v>
      </x:c>
      <x:c r="C6" s="8" t="str">
        <x:v>PTC-A</x:v>
      </x:c>
      <x:c r="D6" s="8" t="str">
        <x:v>PTC-B</x:v>
      </x:c>
      <x:c r="E6" s="8" t="str">
        <x:v>PTC-C</x:v>
      </x:c>
      <x:c r="F6" s="8" t="str">
        <x:v>National</x:v>
      </x:c>
      <x:c r="G6" s="8" t="str">
        <x:v>Total</x:v>
      </x:c>
      <x:c r="H6" s="8" t="str">
        <x:v>Role</x:v>
      </x:c>
      <x:c r="I6" s="8" t="str">
        <x:v>Funding posture</x:v>
      </x:c>
      <x:c r="J6" s="28"/>
    </x:row>
    <x:row r="7">
      <x:c r="B7" s="10" t="str">
        <x:v>public configuration and test authority</x:v>
      </x:c>
      <x:c r="C7" s="10" t="n">
        <x:v>0</x:v>
      </x:c>
      <x:c r="D7" s="10" t="n">
        <x:v>0</x:v>
      </x:c>
      <x:c r="E7" s="10" t="n">
        <x:v>0</x:v>
      </x:c>
      <x:c r="F7" s="10" t="n">
        <x:v>38</x:v>
      </x:c>
      <x:c r="G7" s="10" t="n">
        <x:f>SUM(C7:F7)</x:f>
        <x:v>38</x:v>
      </x:c>
      <x:c r="H7" s="10" t="str">
        <x:v>baseline and event release</x:v>
      </x:c>
      <x:c r="I7" s="10" t="str">
        <x:v>public common</x:v>
      </x:c>
      <x:c r="J7" s="28"/>
    </x:row>
    <x:row r="8">
      <x:c r="B8" s="10" t="str">
        <x:v>safety, fluid, sanitary and electrical authority</x:v>
      </x:c>
      <x:c r="C8" s="10" t="n">
        <x:v>10</x:v>
      </x:c>
      <x:c r="D8" s="10" t="n">
        <x:v>10</x:v>
      </x:c>
      <x:c r="E8" s="10" t="n">
        <x:v>10</x:v>
      </x:c>
      <x:c r="F8" s="10" t="n">
        <x:v>4</x:v>
      </x:c>
      <x:c r="G8" s="10" t="n">
        <x:f>SUM(C8:F8)</x:f>
        <x:v>34</x:v>
      </x:c>
      <x:c r="H8" s="10" t="str">
        <x:v>hazards and stop authority</x:v>
      </x:c>
      <x:c r="I8" s="10" t="str">
        <x:v>public common</x:v>
      </x:c>
      <x:c r="J8" s="28"/>
    </x:row>
    <x:row r="9">
      <x:c r="B9" s="10" t="str">
        <x:v>metrology and NDE</x:v>
      </x:c>
      <x:c r="C9" s="10" t="n">
        <x:v>16</x:v>
      </x:c>
      <x:c r="D9" s="10" t="n">
        <x:v>16</x:v>
      </x:c>
      <x:c r="E9" s="10" t="n">
        <x:v>16</x:v>
      </x:c>
      <x:c r="F9" s="10" t="n">
        <x:v>6</x:v>
      </x:c>
      <x:c r="G9" s="10" t="n">
        <x:f>SUM(C9:F9)</x:f>
        <x:v>54</x:v>
      </x:c>
      <x:c r="H9" s="10" t="str">
        <x:v>references and methods</x:v>
      </x:c>
      <x:c r="I9" s="10" t="str">
        <x:v>public common</x:v>
      </x:c>
      <x:c r="J9" s="28"/>
    </x:row>
    <x:row r="10">
      <x:c r="B10" s="10" t="str">
        <x:v>instrumentation, clocks and custody</x:v>
      </x:c>
      <x:c r="C10" s="10" t="n">
        <x:v>12</x:v>
      </x:c>
      <x:c r="D10" s="10" t="n">
        <x:v>12</x:v>
      </x:c>
      <x:c r="E10" s="10" t="n">
        <x:v>12</x:v>
      </x:c>
      <x:c r="F10" s="10" t="n">
        <x:v>6</x:v>
      </x:c>
      <x:c r="G10" s="10" t="n">
        <x:f>SUM(C10:F10)</x:f>
        <x:v>42</x:v>
      </x:c>
      <x:c r="H10" s="10" t="str">
        <x:v>two originals and replay</x:v>
      </x:c>
      <x:c r="I10" s="10" t="str">
        <x:v>public common</x:v>
      </x:c>
      <x:c r="J10" s="28"/>
    </x:row>
    <x:row r="11">
      <x:c r="B11" s="10" t="str">
        <x:v>forensics and destructive examination</x:v>
      </x:c>
      <x:c r="C11" s="10" t="n">
        <x:v>10</x:v>
      </x:c>
      <x:c r="D11" s="10" t="n">
        <x:v>10</x:v>
      </x:c>
      <x:c r="E11" s="10" t="n">
        <x:v>10</x:v>
      </x:c>
      <x:c r="F11" s="10" t="n">
        <x:v>2</x:v>
      </x:c>
      <x:c r="G11" s="10" t="n">
        <x:f>SUM(C11:F11)</x:f>
        <x:v>32</x:v>
      </x:c>
      <x:c r="H11" s="10" t="str">
        <x:v>intact-to-cut evidence</x:v>
      </x:c>
      <x:c r="I11" s="10" t="str">
        <x:v>public common</x:v>
      </x:c>
      <x:c r="J11" s="28"/>
    </x:row>
    <x:row r="12">
      <x:c r="B12" s="10" t="str">
        <x:v>statistics and randomization</x:v>
      </x:c>
      <x:c r="C12" s="10" t="n">
        <x:v>0</x:v>
      </x:c>
      <x:c r="D12" s="10" t="n">
        <x:v>0</x:v>
      </x:c>
      <x:c r="E12" s="10" t="n">
        <x:v>0</x:v>
      </x:c>
      <x:c r="F12" s="10" t="n">
        <x:v>18</x:v>
      </x:c>
      <x:c r="G12" s="10" t="n">
        <x:f>SUM(C12:F12)</x:f>
        <x:v>18</x:v>
      </x:c>
      <x:c r="H12" s="10" t="str">
        <x:v>assignment and inference</x:v>
      </x:c>
      <x:c r="I12" s="10" t="str">
        <x:v>public common</x:v>
      </x:c>
      <x:c r="J12" s="28"/>
    </x:row>
    <x:row r="13">
      <x:c r="B13" s="10" t="str">
        <x:v>facilities, range operations and logistics</x:v>
      </x:c>
      <x:c r="C13" s="10" t="n">
        <x:v>12</x:v>
      </x:c>
      <x:c r="D13" s="10" t="n">
        <x:v>12</x:v>
      </x:c>
      <x:c r="E13" s="10" t="n">
        <x:v>12</x:v>
      </x:c>
      <x:c r="F13" s="10" t="n">
        <x:v>2</x:v>
      </x:c>
      <x:c r="G13" s="10" t="n">
        <x:f>SUM(C13:F13)</x:f>
        <x:v>38</x:v>
      </x:c>
      <x:c r="H13" s="10" t="str">
        <x:v>utilities and reset</x:v>
      </x:c>
      <x:c r="I13" s="10" t="str">
        <x:v>public common</x:v>
      </x:c>
      <x:c r="J13" s="28"/>
    </x:row>
    <x:row r="14">
      <x:c r="B14" s="10" t="str">
        <x:v>independent admission board</x:v>
      </x:c>
      <x:c r="C14" s="10" t="n">
        <x:v>0</x:v>
      </x:c>
      <x:c r="D14" s="10" t="n">
        <x:v>0</x:v>
      </x:c>
      <x:c r="E14" s="10" t="n">
        <x:v>0</x:v>
      </x:c>
      <x:c r="F14" s="10" t="n">
        <x:v>20</x:v>
      </x:c>
      <x:c r="G14" s="10" t="n">
        <x:f>SUM(C14:F14)</x:f>
        <x:v>20</x:v>
      </x:c>
      <x:c r="H14" s="10" t="str">
        <x:v>disposition and dissent</x:v>
      </x:c>
      <x:c r="I14" s="10" t="str">
        <x:v>public common</x:v>
      </x:c>
      <x:c r="J14" s="28"/>
    </x:row>
    <x:row r="15">
      <x:c r="B15" s="10" t="str">
        <x:v>Root A process and test formation</x:v>
      </x:c>
      <x:c r="C15" s="10" t="n">
        <x:v>29</x:v>
      </x:c>
      <x:c r="D15" s="10" t="n">
        <x:v>28</x:v>
      </x:c>
      <x:c r="E15" s="10" t="n">
        <x:v>29</x:v>
      </x:c>
      <x:c r="F15" s="10" t="n">
        <x:v>0</x:v>
      </x:c>
      <x:c r="G15" s="10" t="n">
        <x:f>SUM(C15:F15)</x:f>
        <x:v>86</x:v>
      </x:c>
      <x:c r="H15" s="10" t="str">
        <x:v>root-native execution</x:v>
      </x:c>
      <x:c r="I15" s="10" t="str">
        <x:v>CISA-specific</x:v>
      </x:c>
      <x:c r="J15" s="28"/>
    </x:row>
    <x:row r="16">
      <x:c r="B16" s="10" t="str">
        <x:v>Root B process and test formation</x:v>
      </x:c>
      <x:c r="C16" s="10" t="n">
        <x:v>28</x:v>
      </x:c>
      <x:c r="D16" s="10" t="n">
        <x:v>29</x:v>
      </x:c>
      <x:c r="E16" s="10" t="n">
        <x:v>29</x:v>
      </x:c>
      <x:c r="F16" s="10" t="n">
        <x:v>0</x:v>
      </x:c>
      <x:c r="G16" s="10" t="n">
        <x:f>SUM(C16:F16)</x:f>
        <x:v>86</x:v>
      </x:c>
      <x:c r="H16" s="10" t="str">
        <x:v>root-native execution</x:v>
      </x:c>
      <x:c r="I16" s="10" t="str">
        <x:v>CISA-specific</x:v>
      </x:c>
      <x:c r="J16" s="28"/>
    </x:row>
    <x:row r="17">
      <x:c r="B17" s="10"/>
      <x:c r="C17" s="10"/>
      <x:c r="D17" s="10"/>
      <x:c r="E17" s="10"/>
      <x:c r="F17" s="10"/>
      <x:c r="G17" s="10"/>
      <x:c r="H17" s="10"/>
      <x:c r="I17" s="10"/>
      <x:c r="J17" s="28"/>
    </x:row>
    <x:row r="18">
      <x:c r="B18" s="10"/>
      <x:c r="C18" s="10"/>
      <x:c r="D18" s="10"/>
      <x:c r="E18" s="10"/>
      <x:c r="F18" s="10"/>
      <x:c r="G18" s="10"/>
      <x:c r="H18" s="10"/>
      <x:c r="I18" s="10"/>
      <x:c r="J18" s="28"/>
    </x:row>
    <x:row r="19">
      <x:c r="B19" s="18" t="str">
        <x:v>Workforce reconciliation</x:v>
      </x:c>
      <x:c r="C19" s="18" t="str">
        <x:v>Workforce reconciliation</x:v>
      </x:c>
      <x:c r="D19" s="18" t="str">
        <x:v>Workforce reconciliation</x:v>
      </x:c>
      <x:c r="E19" s="18" t="str">
        <x:v>Workforce reconciliation</x:v>
      </x:c>
      <x:c r="F19" s="18" t="str">
        <x:v>Workforce reconciliation</x:v>
      </x:c>
      <x:c r="G19" s="18" t="str">
        <x:v>Workforce reconciliation</x:v>
      </x:c>
      <x:c r="H19" s="18" t="str">
        <x:v>Workforce reconciliation</x:v>
      </x:c>
      <x:c r="I19" s="18" t="str">
        <x:v>Workforce reconciliation</x:v>
      </x:c>
      <x:c r="J19" s="28"/>
    </x:row>
    <x:row r="20">
      <x:c r="B20" s="8" t="str">
        <x:v>Metric</x:v>
      </x:c>
      <x:c r="C20" s="8" t="str">
        <x:v>Calculated</x:v>
      </x:c>
      <x:c r="D20" s="8" t="str">
        <x:v>Required</x:v>
      </x:c>
      <x:c r="E20" s="8" t="str">
        <x:v>Difference</x:v>
      </x:c>
      <x:c r="F20" s="8" t="str">
        <x:v>State</x:v>
      </x:c>
      <x:c r="G20" s="10"/>
      <x:c r="H20" s="10"/>
      <x:c r="I20" s="10"/>
      <x:c r="J20" s="28"/>
    </x:row>
    <x:row r="21">
      <x:c r="B21" s="10" t="str">
        <x:v>total workforce</x:v>
      </x:c>
      <x:c r="C21" s="10" t="n">
        <x:f>SUM(G7:G16)</x:f>
        <x:v>448</x:v>
      </x:c>
      <x:c r="D21" s="10" t="n">
        <x:f>'Controls'!$D$41</x:f>
        <x:v>448</x:v>
      </x:c>
      <x:c r="E21" s="10" t="n">
        <x:f>C21-D21</x:f>
        <x:v>0</x:v>
      </x:c>
      <x:c r="F21" s="10" t="str">
        <x:f>IF(E21=0,"PASS","FAIL")</x:f>
        <x:v>PASS</x:v>
      </x:c>
      <x:c r="G21" s="10"/>
      <x:c r="H21" s="10"/>
      <x:c r="I21" s="10"/>
      <x:c r="J21" s="28"/>
    </x:row>
    <x:row r="22">
      <x:c r="B22" s="10" t="str">
        <x:v>public site workforce</x:v>
      </x:c>
      <x:c r="C22" s="10" t="n">
        <x:f>SUM(C7:E14)</x:f>
        <x:v>180</x:v>
      </x:c>
      <x:c r="D22" s="10" t="n">
        <x:f>'Controls'!$D$42</x:f>
        <x:v>180</x:v>
      </x:c>
      <x:c r="E22" s="10" t="n">
        <x:f>C22-D22</x:f>
        <x:v>0</x:v>
      </x:c>
      <x:c r="F22" s="10" t="str">
        <x:f>IF(E22=0,"PASS","FAIL")</x:f>
        <x:v>PASS</x:v>
      </x:c>
      <x:c r="G22" s="10"/>
      <x:c r="H22" s="10"/>
      <x:c r="I22" s="10"/>
      <x:c r="J22" s="28"/>
    </x:row>
    <x:row r="23">
      <x:c r="B23" s="10" t="str">
        <x:v>public national workforce</x:v>
      </x:c>
      <x:c r="C23" s="10" t="n">
        <x:f>SUM(F7:F14)</x:f>
        <x:v>96</x:v>
      </x:c>
      <x:c r="D23" s="10" t="n">
        <x:f>'Controls'!$D$43</x:f>
        <x:v>96</x:v>
      </x:c>
      <x:c r="E23" s="10" t="n">
        <x:f>C23-D23</x:f>
        <x:v>0</x:v>
      </x:c>
      <x:c r="F23" s="10" t="str">
        <x:f>IF(E23=0,"PASS","FAIL")</x:f>
        <x:v>PASS</x:v>
      </x:c>
      <x:c r="G23" s="10"/>
      <x:c r="H23" s="10"/>
      <x:c r="I23" s="10"/>
      <x:c r="J23" s="28"/>
    </x:row>
    <x:row r="24">
      <x:c r="B24" s="11" t="str">
        <x:v>root workforce</x:v>
      </x:c>
      <x:c r="C24" s="11" t="n">
        <x:f>SUM(G15:G16)</x:f>
        <x:v>172</x:v>
      </x:c>
      <x:c r="D24" s="11" t="n">
        <x:f>'Controls'!$D$44</x:f>
        <x:v>172</x:v>
      </x:c>
      <x:c r="E24" s="11" t="n">
        <x:f>C24-D24</x:f>
        <x:v>0</x:v>
      </x:c>
      <x:c r="F24" s="11" t="str">
        <x:f>IF(E24=0,"PASS","FAIL")</x:f>
        <x:v>PASS</x:v>
      </x:c>
      <x:c r="G24" s="11"/>
      <x:c r="H24" s="11"/>
      <x:c r="I24" s="11"/>
      <x:c r="J24" s="28"/>
    </x:row>
  </x:sheetData>
  <x:mergeCells>
    <x:mergeCell ref="B2:J2"/>
    <x:mergeCell ref="B3:J3"/>
    <x:mergeCell ref="B19:I19"/>
  </x:mergeCells>
  <x:conditionalFormatting sqref="F21:F24">
    <x:cfRule type="containsText" dxfId="238" priority="1" operator="containsText" text="PASS"/>
    <x:cfRule type="containsText" dxfId="239" priority="2" operator="containsText" text="AUTHORIZED"/>
    <x:cfRule type="containsText" dxfId="240" priority="3" operator="containsText" text="DEFINED"/>
    <x:cfRule type="containsText" dxfId="241" priority="4" operator="containsText" text="READY"/>
    <x:cfRule type="containsText" dxfId="242" priority="5" operator="containsText" text="HOLD"/>
    <x:cfRule type="containsText" dxfId="243" priority="6" operator="containsText" text="OPEN"/>
    <x:cfRule type="containsText" dxfId="244" priority="7" operator="containsText" text="BLOCKED"/>
    <x:cfRule type="containsText" dxfId="245" priority="8" operator="containsText" text="PLANNING"/>
    <x:cfRule type="containsText" dxfId="246" priority="9" operator="containsText" text="QUARANTINE"/>
    <x:cfRule type="containsText" dxfId="247" priority="10" operator="containsText" text="INDETERMINATE"/>
    <x:cfRule type="containsText" dxfId="248" priority="11" operator="containsText" text="FAIL"/>
    <x:cfRule type="containsText" dxfId="249" priority="12" operator="containsText" text="REJECT"/>
    <x:cfRule type="containsText" dxfId="250" priority="13" operator="containsText" text="INVALID"/>
    <x:cfRule type="containsText" dxfId="251" priority="14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1" hidden="0" customWidth="1"/>
    <x:col min="3" max="3" width="20" hidden="0" customWidth="1"/>
    <x:col min="4" max="4" width="22" hidden="0" customWidth="1"/>
    <x:col min="5" max="5" width="23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4" hidden="0" customWidth="1"/>
  </x:cols>
  <x:sheetData>
    <x:row r="2">
      <x:c r="B2" s="27" t="str">
        <x:v>Capital use and funding-owner reconciliation</x:v>
      </x:c>
      <x:c r="C2" s="28"/>
      <x:c r="D2" s="28"/>
      <x:c r="E2" s="28"/>
      <x:c r="F2" s="28"/>
      <x:c r="G2" s="28"/>
      <x:c r="H2" s="28"/>
      <x:c r="I2" s="28"/>
      <x:c r="J2" s="28"/>
    </x:row>
    <x:row r="3">
      <x:c r="B3" s="29" t="str">
        <x:v>The physical-use view remains USD 0.430B. Shared public assets receive credit once when the predecessor reservation is active.</x:v>
      </x:c>
      <x:c r="C3" s="28"/>
      <x:c r="D3" s="28"/>
      <x:c r="E3" s="28"/>
      <x:c r="F3" s="28"/>
      <x:c r="G3" s="28"/>
      <x:c r="H3" s="28"/>
      <x:c r="I3" s="28"/>
      <x:c r="J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</x:row>
    <x:row r="6">
      <x:c r="B6" s="8" t="str">
        <x:v>SDEC use</x:v>
      </x:c>
      <x:c r="C6" s="8" t="str">
        <x:v>Physical-use USD B</x:v>
      </x:c>
      <x:c r="D6" s="8" t="str">
        <x:v>Eligible shared USD B</x:v>
      </x:c>
      <x:c r="E6" s="8" t="str">
        <x:v>Effective shared USD B</x:v>
      </x:c>
      <x:c r="F6" s="8" t="str">
        <x:v>Net new USD B</x:v>
      </x:c>
      <x:c r="G6" s="8" t="str">
        <x:v>Shared object</x:v>
      </x:c>
      <x:c r="H6" s="10"/>
      <x:c r="I6" s="10"/>
      <x:c r="J6" s="10"/>
    </x:row>
    <x:row r="7">
      <x:c r="B7" s="10" t="str">
        <x:v>structural and six-axis fixtures</x:v>
      </x:c>
      <x:c r="C7" s="21" t="n">
        <x:v>0.062</x:v>
      </x:c>
      <x:c r="D7" s="21" t="n">
        <x:v>0.01</x:v>
      </x:c>
      <x:c r="E7" s="21" t="n">
        <x:f>D7*'Controls'!$D$58</x:f>
        <x:v>0.01</x:v>
      </x:c>
      <x:c r="F7" s="21" t="n">
        <x:f>C7-E7</x:f>
        <x:v>0.052</x:v>
      </x:c>
      <x:c r="G7" s="10" t="str">
        <x:v>general load hall and lifting</x:v>
      </x:c>
      <x:c r="H7" s="10"/>
      <x:c r="I7" s="10"/>
      <x:c r="J7" s="10"/>
    </x:row>
    <x:row r="8">
      <x:c r="B8" s="10" t="str">
        <x:v>hydraulic and collar range</x:v>
      </x:c>
      <x:c r="C8" s="21" t="n">
        <x:v>0.071</x:v>
      </x:c>
      <x:c r="D8" s="21" t="n">
        <x:v>0.01</x:v>
      </x:c>
      <x:c r="E8" s="21" t="n">
        <x:f>D8*'Controls'!$D$58</x:f>
        <x:v>0.01</x:v>
      </x:c>
      <x:c r="F8" s="21" t="n">
        <x:f>C8-E8</x:f>
        <x:v>0.06099999999999999</x:v>
      </x:c>
      <x:c r="G8" s="10" t="str">
        <x:v>water, quarantine and shell</x:v>
      </x:c>
      <x:c r="H8" s="10"/>
      <x:c r="I8" s="10"/>
      <x:c r="J8" s="10"/>
    </x:row>
    <x:row r="9">
      <x:c r="B9" s="10" t="str">
        <x:v>bus fault source and containment</x:v>
      </x:c>
      <x:c r="C9" s="21" t="n">
        <x:v>0.069</x:v>
      </x:c>
      <x:c r="D9" s="21" t="n">
        <x:v>0.005</x:v>
      </x:c>
      <x:c r="E9" s="21" t="n">
        <x:f>D9*'Controls'!$D$58</x:f>
        <x:v>0.005</x:v>
      </x:c>
      <x:c r="F9" s="21" t="n">
        <x:f>C9-E9</x:f>
        <x:v>0.064</x:v>
      </x:c>
      <x:c r="G9" s="10" t="str">
        <x:v>campus utility island</x:v>
      </x:c>
      <x:c r="H9" s="10"/>
      <x:c r="I9" s="10"/>
      <x:c r="J9" s="10"/>
    </x:row>
    <x:row r="10">
      <x:c r="B10" s="10" t="str">
        <x:v>thermal sink and environmental systems</x:v>
      </x:c>
      <x:c r="C10" s="21" t="n">
        <x:v>0.042</x:v>
      </x:c>
      <x:c r="D10" s="21" t="n">
        <x:v>0.006</x:v>
      </x:c>
      <x:c r="E10" s="21" t="n">
        <x:f>D10*'Controls'!$D$58</x:f>
        <x:v>0.006</x:v>
      </x:c>
      <x:c r="F10" s="21" t="n">
        <x:f>C10-E10</x:f>
        <x:v>0.036000000000000004</x:v>
      </x:c>
      <x:c r="G10" s="10" t="str">
        <x:v>shared heat rejection</x:v>
      </x:c>
      <x:c r="H10" s="10"/>
      <x:c r="I10" s="10"/>
      <x:c r="J10" s="10"/>
    </x:row>
    <x:row r="11">
      <x:c r="B11" s="10" t="str">
        <x:v>energy-ballast rigs</x:v>
      </x:c>
      <x:c r="C11" s="21" t="n">
        <x:v>0.058</x:v>
      </x:c>
      <x:c r="D11" s="21" t="n">
        <x:v>0.018</x:v>
      </x:c>
      <x:c r="E11" s="21" t="n">
        <x:f>D11*'Controls'!$D$58</x:f>
        <x:v>0.018</x:v>
      </x:c>
      <x:c r="F11" s="21" t="n">
        <x:f>C11-E11</x:f>
        <x:v>0.04000000000000001</x:v>
      </x:c>
      <x:c r="G11" s="10" t="str">
        <x:v>hazard custody, lifting and shell</x:v>
      </x:c>
      <x:c r="H11" s="10"/>
      <x:c r="I11" s="10"/>
      <x:c r="J11" s="10"/>
    </x:row>
    <x:row r="12">
      <x:c r="B12" s="10" t="str">
        <x:v>controlled-defect truth metrology</x:v>
      </x:c>
      <x:c r="C12" s="21" t="n">
        <x:v>0.052</x:v>
      </x:c>
      <x:c r="D12" s="21" t="n">
        <x:v>0.032</x:v>
      </x:c>
      <x:c r="E12" s="21" t="n">
        <x:f>D12*'Controls'!$D$58</x:f>
        <x:v>0.032</x:v>
      </x:c>
      <x:c r="F12" s="21" t="n">
        <x:f>C12-E12</x:f>
        <x:v>0.019999999999999997</x:v>
      </x:c>
      <x:c r="G12" s="10" t="str">
        <x:v>blind shops and common metrology</x:v>
      </x:c>
      <x:c r="H12" s="10"/>
      <x:c r="I12" s="10"/>
      <x:c r="J12" s="10"/>
    </x:row>
    <x:row r="13">
      <x:c r="B13" s="10" t="str">
        <x:v>data, clocks and independent evidence</x:v>
      </x:c>
      <x:c r="C13" s="21" t="n">
        <x:v>0.025</x:v>
      </x:c>
      <x:c r="D13" s="21" t="n">
        <x:v>0.02</x:v>
      </x:c>
      <x:c r="E13" s="21" t="n">
        <x:f>D13*'Controls'!$D$58</x:f>
        <x:v>0.02</x:v>
      </x:c>
      <x:c r="F13" s="21" t="n">
        <x:f>C13-E13</x:f>
        <x:v>0.005000000000000001</x:v>
      </x:c>
      <x:c r="G13" s="10" t="str">
        <x:v>vaults and replay estate</x:v>
      </x:c>
      <x:c r="H13" s="10"/>
      <x:c r="I13" s="10"/>
      <x:c r="J13" s="10"/>
    </x:row>
    <x:row r="14">
      <x:c r="B14" s="10" t="str">
        <x:v>safety and hazardous-fluid containment</x:v>
      </x:c>
      <x:c r="C14" s="21" t="n">
        <x:v>0.019</x:v>
      </x:c>
      <x:c r="D14" s="21" t="n">
        <x:v>0.012</x:v>
      </x:c>
      <x:c r="E14" s="21" t="n">
        <x:f>D14*'Controls'!$D$58</x:f>
        <x:v>0.012</x:v>
      </x:c>
      <x:c r="F14" s="21" t="n">
        <x:f>C14-E14</x:f>
        <x:v>0.006999999999999999</x:v>
      </x:c>
      <x:c r="G14" s="10" t="str">
        <x:v>campus containment and waste</x:v>
      </x:c>
      <x:c r="H14" s="10"/>
      <x:c r="I14" s="10"/>
      <x:c r="J14" s="10"/>
    </x:row>
    <x:row r="15">
      <x:c r="B15" s="10" t="str">
        <x:v>destructive examination and forensics</x:v>
      </x:c>
      <x:c r="C15" s="21" t="n">
        <x:v>0.015</x:v>
      </x:c>
      <x:c r="D15" s="21" t="n">
        <x:v>0.015</x:v>
      </x:c>
      <x:c r="E15" s="21" t="n">
        <x:f>D15*'Controls'!$D$58</x:f>
        <x:v>0.015</x:v>
      </x:c>
      <x:c r="F15" s="21" t="n">
        <x:f>C15-E15</x:f>
        <x:v>0</x:v>
      </x:c>
      <x:c r="G15" s="10" t="str">
        <x:v>three public forensic lines</x:v>
      </x:c>
      <x:c r="H15" s="10"/>
      <x:c r="I15" s="10"/>
      <x:c r="J15" s="10"/>
    </x:row>
    <x:row r="16">
      <x:c r="B16" s="10" t="str">
        <x:v>root-independent adapters and references</x:v>
      </x:c>
      <x:c r="C16" s="21" t="n">
        <x:v>0.01</x:v>
      </x:c>
      <x:c r="D16" s="21" t="n">
        <x:v>0</x:v>
      </x:c>
      <x:c r="E16" s="21" t="n">
        <x:f>D16*'Controls'!$D$58</x:f>
        <x:v>0</x:v>
      </x:c>
      <x:c r="F16" s="21" t="n">
        <x:f>C16-E16</x:f>
        <x:v>0.01</x:v>
      </x:c>
      <x:c r="G16" s="10" t="str">
        <x:v>article-specific</x:v>
      </x:c>
      <x:c r="H16" s="10"/>
      <x:c r="I16" s="10"/>
      <x:c r="J16" s="10"/>
    </x:row>
    <x:row r="17">
      <x:c r="B17" s="10" t="str">
        <x:v>unassigned program reserve</x:v>
      </x:c>
      <x:c r="C17" s="21" t="n">
        <x:v>0.007</x:v>
      </x:c>
      <x:c r="D17" s="21" t="n">
        <x:v>0</x:v>
      </x:c>
      <x:c r="E17" s="21" t="n">
        <x:f>D17*'Controls'!$D$58</x:f>
        <x:v>0</x:v>
      </x:c>
      <x:c r="F17" s="21" t="n">
        <x:f>C17-E17</x:f>
        <x:v>0.007</x:v>
      </x:c>
      <x:c r="G17" s="10" t="str">
        <x:v>CISA-specific reserve</x:v>
      </x:c>
      <x:c r="H17" s="10"/>
      <x:c r="I17" s="10"/>
      <x:c r="J17" s="10"/>
    </x:row>
    <x:row r="18">
      <x:c r="B18" s="10" t="str">
        <x:v>Total</x:v>
      </x:c>
      <x:c r="C18" s="21" t="n">
        <x:f>SUM(C7:C17)</x:f>
        <x:v>0.4300000000000001</x:v>
      </x:c>
      <x:c r="D18" s="21" t="n">
        <x:f>SUM(D7:D17)</x:f>
        <x:v>0.128</x:v>
      </x:c>
      <x:c r="E18" s="21" t="n">
        <x:f>SUM(E7:E17)</x:f>
        <x:v>0.128</x:v>
      </x:c>
      <x:c r="F18" s="21" t="n">
        <x:f>SUM(F7:F17)</x:f>
        <x:v>0.30200000000000005</x:v>
      </x:c>
      <x:c r="G18" s="10"/>
      <x:c r="H18" s="10"/>
      <x:c r="I18" s="10"/>
      <x:c r="J18" s="10"/>
    </x:row>
    <x:row r="19">
      <x:c r="B19" s="10"/>
      <x:c r="C19" s="21"/>
      <x:c r="D19" s="21"/>
      <x:c r="E19" s="21"/>
      <x:c r="F19" s="21"/>
      <x:c r="G19" s="10"/>
      <x:c r="H19" s="10"/>
      <x:c r="I19" s="10"/>
      <x:c r="J19" s="10"/>
    </x:row>
    <x:row r="20">
      <x:c r="B20" s="10"/>
      <x:c r="C20" s="21"/>
      <x:c r="D20" s="21"/>
      <x:c r="E20" s="21"/>
      <x:c r="F20" s="21"/>
      <x:c r="G20" s="10"/>
      <x:c r="H20" s="10"/>
      <x:c r="I20" s="10"/>
      <x:c r="J20" s="10"/>
    </x:row>
    <x:row r="21">
      <x:c r="B21" s="18" t="str">
        <x:v>CISA-1 parent crosswalk</x:v>
      </x:c>
      <x:c r="C21" s="23" t="str">
        <x:v>CISA-1 parent crosswalk</x:v>
      </x:c>
      <x:c r="D21" s="23" t="str">
        <x:v>CISA-1 parent crosswalk</x:v>
      </x:c>
      <x:c r="E21" s="23" t="str">
        <x:v>CISA-1 parent crosswalk</x:v>
      </x:c>
      <x:c r="F21" s="23" t="str">
        <x:v>CISA-1 parent crosswalk</x:v>
      </x:c>
      <x:c r="G21" s="18" t="str">
        <x:v>CISA-1 parent crosswalk</x:v>
      </x:c>
      <x:c r="H21" s="18" t="str">
        <x:v>CISA-1 parent crosswalk</x:v>
      </x:c>
      <x:c r="I21" s="18" t="str">
        <x:v>CISA-1 parent crosswalk</x:v>
      </x:c>
      <x:c r="J21" s="18" t="str">
        <x:v>CISA-1 parent crosswalk</x:v>
      </x:c>
    </x:row>
    <x:row r="22">
      <x:c r="B22" s="8" t="str">
        <x:v>Parent class</x:v>
      </x:c>
      <x:c r="C22" s="24" t="str">
        <x:v>CISA-1 USD B</x:v>
      </x:c>
      <x:c r="D22" s="24" t="str">
        <x:v>BRD-1 USD B</x:v>
      </x:c>
      <x:c r="E22" s="24" t="str">
        <x:v>Base net increment</x:v>
      </x:c>
      <x:c r="F22" s="24" t="str">
        <x:v>Shared if reservation absent</x:v>
      </x:c>
      <x:c r="G22" s="8" t="str">
        <x:v>Active increment</x:v>
      </x:c>
      <x:c r="H22" s="8" t="str">
        <x:v>BRD-2 USD B</x:v>
      </x:c>
      <x:c r="I22" s="8" t="str">
        <x:v>Remaining USD B</x:v>
      </x:c>
      <x:c r="J22" s="8" t="str">
        <x:v>State</x:v>
      </x:c>
    </x:row>
    <x:row r="23">
      <x:c r="B23" s="10" t="str">
        <x:v>digital definition and configuration</x:v>
      </x:c>
      <x:c r="C23" s="21" t="n">
        <x:v>0.12</x:v>
      </x:c>
      <x:c r="D23" s="21" t="n">
        <x:v>0.044</x:v>
      </x:c>
      <x:c r="E23" s="21" t="n">
        <x:v>0.013</x:v>
      </x:c>
      <x:c r="F23" s="21" t="n">
        <x:v>0.015</x:v>
      </x:c>
      <x:c r="G23" s="10" t="n">
        <x:f>E23+F23*(1-'Controls'!$D$58)</x:f>
        <x:v>0.013</x:v>
      </x:c>
      <x:c r="H23" s="10" t="n">
        <x:f>D23+G23</x:f>
        <x:v>0.056999999999999995</x:v>
      </x:c>
      <x:c r="I23" s="10" t="n">
        <x:f>C23-H23</x:f>
        <x:v>0.063</x:v>
      </x:c>
      <x:c r="J23" s="10" t="str">
        <x:f>IF(I23&gt;=0,"PASS","FAIL")</x:f>
        <x:v>PASS</x:v>
      </x:c>
    </x:row>
    <x:row r="24">
      <x:c r="B24" s="10" t="str">
        <x:v>structural fixtures and objects</x:v>
      </x:c>
      <x:c r="C24" s="21" t="n">
        <x:v>0.15</x:v>
      </x:c>
      <x:c r="D24" s="21" t="n">
        <x:v>0.052</x:v>
      </x:c>
      <x:c r="E24" s="21" t="n">
        <x:v>0.052</x:v>
      </x:c>
      <x:c r="F24" s="21" t="n">
        <x:v>0.01</x:v>
      </x:c>
      <x:c r="G24" s="10" t="n">
        <x:f>E24+F24*(1-'Controls'!$D$58)</x:f>
        <x:v>0.052</x:v>
      </x:c>
      <x:c r="H24" s="10" t="n">
        <x:f>D24+G24</x:f>
        <x:v>0.104</x:v>
      </x:c>
      <x:c r="I24" s="10" t="n">
        <x:f>C24-H24</x:f>
        <x:v>0.046</x:v>
      </x:c>
      <x:c r="J24" s="10" t="str">
        <x:f>IF(I24&gt;=0,"PASS","FAIL")</x:f>
        <x:v>PASS</x:v>
      </x:c>
    </x:row>
    <x:row r="25">
      <x:c r="B25" s="10" t="str">
        <x:v>hydraulic collar and flow models</x:v>
      </x:c>
      <x:c r="C25" s="21" t="n">
        <x:v>0.14</x:v>
      </x:c>
      <x:c r="D25" s="21" t="n">
        <x:v>0.046</x:v>
      </x:c>
      <x:c r="E25" s="21" t="n">
        <x:v>0.061</x:v>
      </x:c>
      <x:c r="F25" s="21" t="n">
        <x:v>0.01</x:v>
      </x:c>
      <x:c r="G25" s="10" t="n">
        <x:f>E25+F25*(1-'Controls'!$D$58)</x:f>
        <x:v>0.061</x:v>
      </x:c>
      <x:c r="H25" s="10" t="n">
        <x:f>D25+G25</x:f>
        <x:v>0.107</x:v>
      </x:c>
      <x:c r="I25" s="10" t="n">
        <x:f>C25-H25</x:f>
        <x:v>0.033000000000000015</x:v>
      </x:c>
      <x:c r="J25" s="10" t="str">
        <x:f>IF(I25&gt;=0,"PASS","FAIL")</x:f>
        <x:v>PASS</x:v>
      </x:c>
    </x:row>
    <x:row r="26">
      <x:c r="B26" s="10" t="str">
        <x:v>power and protection emulation</x:v>
      </x:c>
      <x:c r="C26" s="21" t="n">
        <x:v>0.14</x:v>
      </x:c>
      <x:c r="D26" s="21" t="n">
        <x:v>0.049</x:v>
      </x:c>
      <x:c r="E26" s="21" t="n">
        <x:v>0.064</x:v>
      </x:c>
      <x:c r="F26" s="21" t="n">
        <x:v>0.005</x:v>
      </x:c>
      <x:c r="G26" s="10" t="n">
        <x:f>E26+F26*(1-'Controls'!$D$58)</x:f>
        <x:v>0.064</x:v>
      </x:c>
      <x:c r="H26" s="10" t="n">
        <x:f>D26+G26</x:f>
        <x:v>0.113</x:v>
      </x:c>
      <x:c r="I26" s="10" t="n">
        <x:f>C26-H26</x:f>
        <x:v>0.02700000000000001</x:v>
      </x:c>
      <x:c r="J26" s="10" t="str">
        <x:f>IF(I26&gt;=0,"PASS","FAIL")</x:f>
        <x:v>PASS</x:v>
      </x:c>
    </x:row>
    <x:row r="27">
      <x:c r="B27" s="10" t="str">
        <x:v>metrology and evidence</x:v>
      </x:c>
      <x:c r="C27" s="21" t="n">
        <x:v>0.11</x:v>
      </x:c>
      <x:c r="D27" s="21" t="n">
        <x:v>0.038</x:v>
      </x:c>
      <x:c r="E27" s="21" t="n">
        <x:v>0.015</x:v>
      </x:c>
      <x:c r="F27" s="21" t="n">
        <x:v>0.035</x:v>
      </x:c>
      <x:c r="G27" s="10" t="n">
        <x:f>E27+F27*(1-'Controls'!$D$58)</x:f>
        <x:v>0.015</x:v>
      </x:c>
      <x:c r="H27" s="10" t="n">
        <x:f>D27+G27</x:f>
        <x:v>0.053</x:v>
      </x:c>
      <x:c r="I27" s="10" t="n">
        <x:f>C27-H27</x:f>
        <x:v>0.057</x:v>
      </x:c>
      <x:c r="J27" s="10" t="str">
        <x:f>IF(I27&gt;=0,"PASS","FAIL")</x:f>
        <x:v>PASS</x:v>
      </x:c>
    </x:row>
    <x:row r="28">
      <x:c r="B28" s="10" t="str">
        <x:v>receiver prototype tooling</x:v>
      </x:c>
      <x:c r="C28" s="21" t="n">
        <x:v>0.09</x:v>
      </x:c>
      <x:c r="D28" s="21" t="n">
        <x:v>0.031</x:v>
      </x:c>
      <x:c r="E28" s="21" t="n">
        <x:v>0.022</x:v>
      </x:c>
      <x:c r="F28" s="21" t="n">
        <x:v>0.01</x:v>
      </x:c>
      <x:c r="G28" s="10" t="n">
        <x:f>E28+F28*(1-'Controls'!$D$58)</x:f>
        <x:v>0.022</x:v>
      </x:c>
      <x:c r="H28" s="10" t="n">
        <x:f>D28+G28</x:f>
        <x:v>0.053</x:v>
      </x:c>
      <x:c r="I28" s="10" t="n">
        <x:f>C28-H28</x:f>
        <x:v>0.037</x:v>
      </x:c>
      <x:c r="J28" s="10" t="str">
        <x:f>IF(I28&gt;=0,"PASS","FAIL")</x:f>
        <x:v>PASS</x:v>
      </x:c>
    </x:row>
    <x:row r="29">
      <x:c r="B29" s="10" t="str">
        <x:v>root process definition</x:v>
      </x:c>
      <x:c r="C29" s="21" t="n">
        <x:v>0.08</x:v>
      </x:c>
      <x:c r="D29" s="21" t="n">
        <x:v>0.026</x:v>
      </x:c>
      <x:c r="E29" s="21" t="n">
        <x:v>0.036</x:v>
      </x:c>
      <x:c r="F29" s="21" t="n">
        <x:v>0.005</x:v>
      </x:c>
      <x:c r="G29" s="10" t="n">
        <x:f>E29+F29*(1-'Controls'!$D$58)</x:f>
        <x:v>0.036</x:v>
      </x:c>
      <x:c r="H29" s="10" t="n">
        <x:f>D29+G29</x:f>
        <x:v>0.062</x:v>
      </x:c>
      <x:c r="I29" s="10" t="n">
        <x:f>C29-H29</x:f>
        <x:v>0.018000000000000002</x:v>
      </x:c>
      <x:c r="J29" s="10" t="str">
        <x:f>IF(I29&gt;=0,"PASS","FAIL")</x:f>
        <x:v>PASS</x:v>
      </x:c>
    </x:row>
    <x:row r="30">
      <x:c r="B30" s="10" t="str">
        <x:v>safety and containment</x:v>
      </x:c>
      <x:c r="C30" s="21" t="n">
        <x:v>0.05</x:v>
      </x:c>
      <x:c r="D30" s="21" t="n">
        <x:v>0.014</x:v>
      </x:c>
      <x:c r="E30" s="21" t="n">
        <x:v>0.017</x:v>
      </x:c>
      <x:c r="F30" s="21" t="n">
        <x:v>0.017</x:v>
      </x:c>
      <x:c r="G30" s="10" t="n">
        <x:f>E30+F30*(1-'Controls'!$D$58)</x:f>
        <x:v>0.017</x:v>
      </x:c>
      <x:c r="H30" s="10" t="n">
        <x:f>D30+G30</x:f>
        <x:v>0.031</x:v>
      </x:c>
      <x:c r="I30" s="10" t="n">
        <x:f>C30-H30</x:f>
        <x:v>0.019000000000000003</x:v>
      </x:c>
      <x:c r="J30" s="10" t="str">
        <x:f>IF(I30&gt;=0,"PASS","FAIL")</x:f>
        <x:v>PASS</x:v>
      </x:c>
    </x:row>
    <x:row r="31">
      <x:c r="B31" s="10" t="str">
        <x:v>independent review</x:v>
      </x:c>
      <x:c r="C31" s="21" t="n">
        <x:v>0.03</x:v>
      </x:c>
      <x:c r="D31" s="21" t="n">
        <x:v>0.008</x:v>
      </x:c>
      <x:c r="E31" s="21" t="n">
        <x:v>0.005</x:v>
      </x:c>
      <x:c r="F31" s="21" t="n">
        <x:v>0.017</x:v>
      </x:c>
      <x:c r="G31" s="10" t="n">
        <x:f>E31+F31*(1-'Controls'!$D$58)</x:f>
        <x:v>0.005</x:v>
      </x:c>
      <x:c r="H31" s="10" t="n">
        <x:f>D31+G31</x:f>
        <x:v>0.013000000000000001</x:v>
      </x:c>
      <x:c r="I31" s="10" t="n">
        <x:f>C31-H31</x:f>
        <x:v>0.016999999999999998</x:v>
      </x:c>
      <x:c r="J31" s="10" t="str">
        <x:f>IF(I31&gt;=0,"PASS","FAIL")</x:f>
        <x:v>PASS</x:v>
      </x:c>
    </x:row>
    <x:row r="32">
      <x:c r="B32" s="10" t="str">
        <x:v>contingency</x:v>
      </x:c>
      <x:c r="C32" s="21" t="n">
        <x:v>0.05</x:v>
      </x:c>
      <x:c r="D32" s="21" t="n">
        <x:v>0.01</x:v>
      </x:c>
      <x:c r="E32" s="21" t="n">
        <x:v>0.017</x:v>
      </x:c>
      <x:c r="F32" s="21" t="n">
        <x:v>0.004</x:v>
      </x:c>
      <x:c r="G32" s="10" t="n">
        <x:f>E32+F32*(1-'Controls'!$D$58)</x:f>
        <x:v>0.017</x:v>
      </x:c>
      <x:c r="H32" s="10" t="n">
        <x:f>D32+G32</x:f>
        <x:v>0.027000000000000003</x:v>
      </x:c>
      <x:c r="I32" s="10" t="n">
        <x:f>C32-H32</x:f>
        <x:v>0.023</x:v>
      </x:c>
      <x:c r="J32" s="10" t="str">
        <x:f>IF(I32&gt;=0,"PASS","FAIL")</x:f>
        <x:v>PASS</x:v>
      </x:c>
    </x:row>
    <x:row r="33">
      <x:c r="B33" s="10" t="str">
        <x:v>Total</x:v>
      </x:c>
      <x:c r="C33" s="21" t="n">
        <x:f>SUM(C23:C32)</x:f>
        <x:v>0.9600000000000001</x:v>
      </x:c>
      <x:c r="D33" s="21" t="n">
        <x:f>SUM(D23:D32)</x:f>
        <x:v>0.31800000000000006</x:v>
      </x:c>
      <x:c r="E33" s="21" t="n">
        <x:f>SUM(E23:E32)</x:f>
        <x:v>0.30200000000000005</x:v>
      </x:c>
      <x:c r="F33" s="21" t="n">
        <x:f>SUM(F23:F32)</x:f>
        <x:v>0.128</x:v>
      </x:c>
      <x:c r="G33" s="10" t="n">
        <x:f>SUM(G23:G32)</x:f>
        <x:v>0.30200000000000005</x:v>
      </x:c>
      <x:c r="H33" s="10" t="n">
        <x:f>SUM(H23:H32)</x:f>
        <x:v>0.62</x:v>
      </x:c>
      <x:c r="I33" s="10" t="n">
        <x:f>SUM(I23:I32)</x:f>
        <x:v>0.3400000000000001</x:v>
      </x:c>
      <x:c r="J33" s="10" t="str">
        <x:f>IF(AND(ABS(C33-'Controls'!$D$35)&lt;0.000001,ABS(D33-'Controls'!$D$34)&lt;0.000001,ABS(G33-F18)&lt;0.000001,I33&gt;=0),"PASS","FAIL")</x:f>
        <x:v>PASS</x:v>
      </x:c>
    </x:row>
    <x:row r="34">
      <x:c r="B34" s="10"/>
      <x:c r="C34" s="21"/>
      <x:c r="D34" s="21"/>
      <x:c r="E34" s="21"/>
      <x:c r="F34" s="21"/>
      <x:c r="G34" s="10"/>
      <x:c r="H34" s="10"/>
      <x:c r="I34" s="10"/>
      <x:c r="J34" s="10"/>
    </x:row>
    <x:row r="35">
      <x:c r="B35" s="10"/>
      <x:c r="C35" s="21"/>
      <x:c r="D35" s="21"/>
      <x:c r="E35" s="21"/>
      <x:c r="F35" s="21"/>
      <x:c r="G35" s="10"/>
      <x:c r="H35" s="10"/>
      <x:c r="I35" s="10"/>
      <x:c r="J35" s="10"/>
    </x:row>
    <x:row r="36">
      <x:c r="B36" s="18" t="str">
        <x:v>Baseline consequence</x:v>
      </x:c>
      <x:c r="C36" s="23" t="str">
        <x:v>Baseline consequence</x:v>
      </x:c>
      <x:c r="D36" s="23" t="str">
        <x:v>Baseline consequence</x:v>
      </x:c>
      <x:c r="E36" s="23" t="str">
        <x:v>Baseline consequence</x:v>
      </x:c>
      <x:c r="F36" s="23" t="str">
        <x:v>Baseline consequence</x:v>
      </x:c>
      <x:c r="G36" s="18" t="str">
        <x:v>Baseline consequence</x:v>
      </x:c>
      <x:c r="H36" s="18" t="str">
        <x:v>Baseline consequence</x:v>
      </x:c>
      <x:c r="I36" s="18" t="str">
        <x:v>Baseline consequence</x:v>
      </x:c>
      <x:c r="J36" s="18" t="str">
        <x:v>Baseline consequence</x:v>
      </x:c>
    </x:row>
    <x:row r="37">
      <x:c r="B37" s="8" t="str">
        <x:v>Metric</x:v>
      </x:c>
      <x:c r="C37" s="24" t="str">
        <x:v>Calculated</x:v>
      </x:c>
      <x:c r="D37" s="24" t="str">
        <x:v>Reference</x:v>
      </x:c>
      <x:c r="E37" s="24" t="str">
        <x:v>Difference</x:v>
      </x:c>
      <x:c r="F37" s="24" t="str">
        <x:v>State</x:v>
      </x:c>
      <x:c r="G37" s="10"/>
      <x:c r="H37" s="10"/>
      <x:c r="I37" s="10"/>
      <x:c r="J37" s="10"/>
    </x:row>
    <x:row r="38">
      <x:c r="B38" s="10" t="str">
        <x:v>physical-use capital</x:v>
      </x:c>
      <x:c r="C38" s="21" t="n">
        <x:f>C18</x:f>
        <x:v>0.4300000000000001</x:v>
      </x:c>
      <x:c r="D38" s="21" t="n">
        <x:f>'Controls'!$D$31</x:f>
        <x:v>0.43</x:v>
      </x:c>
      <x:c r="E38" s="21" t="n">
        <x:f>C38-D38</x:f>
        <x:v>1.1102230246251565e-16</x:v>
      </x:c>
      <x:c r="F38" s="21" t="str">
        <x:f>IF(ABS(E38)&lt;0.000001,"PASS","FAIL")</x:f>
        <x:v>PASS</x:v>
      </x:c>
      <x:c r="G38" s="10"/>
      <x:c r="H38" s="10"/>
      <x:c r="I38" s="10"/>
      <x:c r="J38" s="10"/>
    </x:row>
    <x:row r="39">
      <x:c r="B39" s="10" t="str">
        <x:v>eligible shared credit</x:v>
      </x:c>
      <x:c r="C39" s="21" t="n">
        <x:f>D18</x:f>
        <x:v>0.128</x:v>
      </x:c>
      <x:c r="D39" s="21" t="n">
        <x:f>'Controls'!$D$32</x:f>
        <x:v>0.128</x:v>
      </x:c>
      <x:c r="E39" s="21" t="n">
        <x:f>C39-D39</x:f>
        <x:v>0</x:v>
      </x:c>
      <x:c r="F39" s="21" t="str">
        <x:f>IF(ABS(E39)&lt;0.000001,"PASS","FAIL")</x:f>
        <x:v>PASS</x:v>
      </x:c>
      <x:c r="G39" s="10"/>
      <x:c r="H39" s="10"/>
      <x:c r="I39" s="10"/>
      <x:c r="J39" s="10"/>
    </x:row>
    <x:row r="40">
      <x:c r="B40" s="10" t="str">
        <x:v>net new increment</x:v>
      </x:c>
      <x:c r="C40" s="21" t="n">
        <x:f>F18</x:f>
        <x:v>0.30200000000000005</x:v>
      </x:c>
      <x:c r="D40" s="21" t="n">
        <x:f>'Controls'!$D$33</x:f>
        <x:v>0.302</x:v>
      </x:c>
      <x:c r="E40" s="21" t="n">
        <x:f>C40-D40</x:f>
        <x:v>5.551115123125783e-17</x:v>
      </x:c>
      <x:c r="F40" s="21" t="str">
        <x:f>IF(ABS(E40)&lt;0.000001,"PASS","FAIL")</x:f>
        <x:v>PASS</x:v>
      </x:c>
      <x:c r="G40" s="10"/>
      <x:c r="H40" s="10"/>
      <x:c r="I40" s="10"/>
      <x:c r="J40" s="10"/>
    </x:row>
    <x:row r="41">
      <x:c r="B41" s="10" t="str">
        <x:v>reconciled BRD-2</x:v>
      </x:c>
      <x:c r="C41" s="21" t="n">
        <x:f>'Controls'!$D$34+F18</x:f>
        <x:v>0.6200000000000001</x:v>
      </x:c>
      <x:c r="D41" s="21" t="n">
        <x:v>0.62</x:v>
      </x:c>
      <x:c r="E41" s="21" t="n">
        <x:f>C41-D41</x:f>
        <x:v>1.1102230246251565e-16</x:v>
      </x:c>
      <x:c r="F41" s="21" t="str">
        <x:f>IF(ABS(E41)&lt;0.000001,"PASS","FAIL")</x:f>
        <x:v>PASS</x:v>
      </x:c>
      <x:c r="G41" s="10"/>
      <x:c r="H41" s="10"/>
      <x:c r="I41" s="10"/>
      <x:c r="J41" s="10"/>
    </x:row>
    <x:row r="42">
      <x:c r="B42" s="10" t="str">
        <x:v>no-credit upper envelope</x:v>
      </x:c>
      <x:c r="C42" s="21" t="n">
        <x:f>'Controls'!$D$34+C18</x:f>
        <x:v>0.7480000000000001</x:v>
      </x:c>
      <x:c r="D42" s="21" t="n">
        <x:v>0.748</x:v>
      </x:c>
      <x:c r="E42" s="21" t="n">
        <x:f>C42-D42</x:f>
        <x:v>1.1102230246251565e-16</x:v>
      </x:c>
      <x:c r="F42" s="21" t="str">
        <x:f>IF(ABS(E42)&lt;0.000001,"PASS","FAIL")</x:f>
        <x:v>PASS</x:v>
      </x:c>
      <x:c r="G42" s="10"/>
      <x:c r="H42" s="10"/>
      <x:c r="I42" s="10"/>
      <x:c r="J42" s="10"/>
    </x:row>
    <x:row r="43">
      <x:c r="B43" s="11" t="str">
        <x:v>CISA-1 remaining</x:v>
      </x:c>
      <x:c r="C43" s="22" t="n">
        <x:f>'Controls'!$D$35-('Controls'!$D$34+F18)</x:f>
        <x:v>0.33999999999999986</x:v>
      </x:c>
      <x:c r="D43" s="22" t="n">
        <x:v>0.34</x:v>
      </x:c>
      <x:c r="E43" s="22" t="n">
        <x:f>C43-D43</x:f>
        <x:v>-1.6653345369377348e-16</x:v>
      </x:c>
      <x:c r="F43" s="22" t="str">
        <x:f>IF(ABS(E43)&lt;0.000001,"PASS","FAIL")</x:f>
        <x:v>PASS</x:v>
      </x:c>
      <x:c r="G43" s="11"/>
      <x:c r="H43" s="11"/>
      <x:c r="I43" s="11"/>
      <x:c r="J43" s="11"/>
    </x:row>
  </x:sheetData>
  <x:mergeCells>
    <x:mergeCell ref="B2:J2"/>
    <x:mergeCell ref="B3:J3"/>
    <x:mergeCell ref="B21:J21"/>
    <x:mergeCell ref="B36:J36"/>
  </x:mergeCells>
  <x:conditionalFormatting sqref="J23:J33">
    <x:cfRule type="containsText" dxfId="252" priority="1" operator="containsText" text="PASS"/>
    <x:cfRule type="containsText" dxfId="253" priority="2" operator="containsText" text="AUTHORIZED"/>
    <x:cfRule type="containsText" dxfId="254" priority="3" operator="containsText" text="DEFINED"/>
    <x:cfRule type="containsText" dxfId="255" priority="4" operator="containsText" text="READY"/>
    <x:cfRule type="containsText" dxfId="256" priority="5" operator="containsText" text="HOLD"/>
    <x:cfRule type="containsText" dxfId="257" priority="6" operator="containsText" text="OPEN"/>
    <x:cfRule type="containsText" dxfId="258" priority="7" operator="containsText" text="BLOCKED"/>
    <x:cfRule type="containsText" dxfId="259" priority="8" operator="containsText" text="PLANNING"/>
    <x:cfRule type="containsText" dxfId="260" priority="9" operator="containsText" text="QUARANTINE"/>
    <x:cfRule type="containsText" dxfId="261" priority="10" operator="containsText" text="INDETERMINATE"/>
    <x:cfRule type="containsText" dxfId="262" priority="11" operator="containsText" text="FAIL"/>
    <x:cfRule type="containsText" dxfId="263" priority="12" operator="containsText" text="REJECT"/>
    <x:cfRule type="containsText" dxfId="264" priority="13" operator="containsText" text="INVALID"/>
    <x:cfRule type="containsText" dxfId="265" priority="14" operator="containsText" text="STOP"/>
  </x:conditionalFormatting>
  <x:conditionalFormatting sqref="F38:F43">
    <x:cfRule type="containsText" dxfId="266" priority="15" operator="containsText" text="PASS"/>
    <x:cfRule type="containsText" dxfId="267" priority="16" operator="containsText" text="AUTHORIZED"/>
    <x:cfRule type="containsText" dxfId="268" priority="17" operator="containsText" text="DEFINED"/>
    <x:cfRule type="containsText" dxfId="269" priority="18" operator="containsText" text="READY"/>
    <x:cfRule type="containsText" dxfId="270" priority="19" operator="containsText" text="HOLD"/>
    <x:cfRule type="containsText" dxfId="271" priority="20" operator="containsText" text="OPEN"/>
    <x:cfRule type="containsText" dxfId="272" priority="21" operator="containsText" text="BLOCKED"/>
    <x:cfRule type="containsText" dxfId="273" priority="22" operator="containsText" text="PLANNING"/>
    <x:cfRule type="containsText" dxfId="274" priority="23" operator="containsText" text="QUARANTINE"/>
    <x:cfRule type="containsText" dxfId="275" priority="24" operator="containsText" text="INDETERMINATE"/>
    <x:cfRule type="containsText" dxfId="276" priority="25" operator="containsText" text="FAIL"/>
    <x:cfRule type="containsText" dxfId="277" priority="26" operator="containsText" text="REJECT"/>
    <x:cfRule type="containsText" dxfId="278" priority="27" operator="containsText" text="INVALID"/>
    <x:cfRule type="containsText" dxfId="279" priority="28" operator="containsText" text="STO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</x:cols>
  <x:sheetData>
    <x:row r="2">
      <x:c r="B2" s="27" t="str">
        <x:v>Annual support use and funding-owner reconciliation</x:v>
      </x:c>
      <x:c r="C2" s="28"/>
      <x:c r="D2" s="28"/>
      <x:c r="E2" s="28"/>
      <x:c r="F2" s="28"/>
      <x:c r="G2" s="28"/>
      <x:c r="H2" s="28"/>
      <x:c r="I2" s="28"/>
      <x:c r="J2" s="28"/>
    </x:row>
    <x:row r="3">
      <x:c r="B3" s="29" t="str">
        <x:v>The physical-use view remains USD 0.098B/year. The reserved public-campus share is not charged again to BRD-2.</x:v>
      </x:c>
      <x:c r="C3" s="28"/>
      <x:c r="D3" s="28"/>
      <x:c r="E3" s="28"/>
      <x:c r="F3" s="28"/>
      <x:c r="G3" s="28"/>
      <x:c r="H3" s="28"/>
      <x:c r="I3" s="28"/>
      <x:c r="J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</x:row>
    <x:row r="6">
      <x:c r="B6" s="8" t="str">
        <x:v>SDEC use</x:v>
      </x:c>
      <x:c r="C6" s="8" t="str">
        <x:v>Physical-use USD B/year</x:v>
      </x:c>
      <x:c r="D6" s="8" t="str">
        <x:v>Eligible shared</x:v>
      </x:c>
      <x:c r="E6" s="8" t="str">
        <x:v>Effective shared</x:v>
      </x:c>
      <x:c r="F6" s="8" t="str">
        <x:v>Net new</x:v>
      </x:c>
      <x:c r="G6" s="10"/>
      <x:c r="H6" s="10"/>
      <x:c r="I6" s="10"/>
      <x:c r="J6" s="10"/>
    </x:row>
    <x:row r="7">
      <x:c r="B7" s="10" t="str">
        <x:v>people and shift coverage</x:v>
      </x:c>
      <x:c r="C7" s="21" t="n">
        <x:v>0.056</x:v>
      </x:c>
      <x:c r="D7" s="21" t="n">
        <x:v>0.02</x:v>
      </x:c>
      <x:c r="E7" s="21" t="n">
        <x:f>D7*'Controls'!$D$58</x:f>
        <x:v>0.02</x:v>
      </x:c>
      <x:c r="F7" s="21" t="n">
        <x:f>C7-E7</x:f>
        <x:v>0.036000000000000004</x:v>
      </x:c>
      <x:c r="G7" s="21"/>
      <x:c r="H7" s="21"/>
      <x:c r="I7" s="21"/>
      <x:c r="J7" s="10"/>
    </x:row>
    <x:row r="8">
      <x:c r="B8" s="10" t="str">
        <x:v>specimens, standards and consumables</x:v>
      </x:c>
      <x:c r="C8" s="21" t="n">
        <x:v>0.014</x:v>
      </x:c>
      <x:c r="D8" s="21" t="n">
        <x:v>0</x:v>
      </x:c>
      <x:c r="E8" s="21" t="n">
        <x:f>D8*'Controls'!$D$58</x:f>
        <x:v>0</x:v>
      </x:c>
      <x:c r="F8" s="21" t="n">
        <x:f>C8-E8</x:f>
        <x:v>0.014</x:v>
      </x:c>
      <x:c r="G8" s="21"/>
      <x:c r="H8" s="21"/>
      <x:c r="I8" s="21"/>
      <x:c r="J8" s="10"/>
    </x:row>
    <x:row r="9">
      <x:c r="B9" s="10" t="str">
        <x:v>utilities and range service</x:v>
      </x:c>
      <x:c r="C9" s="21" t="n">
        <x:v>0.008</x:v>
      </x:c>
      <x:c r="D9" s="21" t="n">
        <x:v>0.008</x:v>
      </x:c>
      <x:c r="E9" s="21" t="n">
        <x:f>D9*'Controls'!$D$58</x:f>
        <x:v>0.008</x:v>
      </x:c>
      <x:c r="F9" s="21" t="n">
        <x:f>C9-E9</x:f>
        <x:v>0</x:v>
      </x:c>
      <x:c r="G9" s="21"/>
      <x:c r="H9" s="21"/>
      <x:c r="I9" s="21"/>
      <x:c r="J9" s="10"/>
    </x:row>
    <x:row r="10">
      <x:c r="B10" s="10" t="str">
        <x:v>laboratories and metrology</x:v>
      </x:c>
      <x:c r="C10" s="21" t="n">
        <x:v>0.007</x:v>
      </x:c>
      <x:c r="D10" s="21" t="n">
        <x:v>0.005</x:v>
      </x:c>
      <x:c r="E10" s="21" t="n">
        <x:f>D10*'Controls'!$D$58</x:f>
        <x:v>0.005</x:v>
      </x:c>
      <x:c r="F10" s="21" t="n">
        <x:f>C10-E10</x:f>
        <x:v>0.002</x:v>
      </x:c>
      <x:c r="G10" s="21"/>
      <x:c r="H10" s="21"/>
      <x:c r="I10" s="21"/>
      <x:c r="J10" s="10"/>
    </x:row>
    <x:row r="11">
      <x:c r="B11" s="10" t="str">
        <x:v>data custody and reproduction</x:v>
      </x:c>
      <x:c r="C11" s="21" t="n">
        <x:v>0.004</x:v>
      </x:c>
      <x:c r="D11" s="21" t="n">
        <x:v>0.003</x:v>
      </x:c>
      <x:c r="E11" s="21" t="n">
        <x:f>D11*'Controls'!$D$58</x:f>
        <x:v>0.003</x:v>
      </x:c>
      <x:c r="F11" s="21" t="n">
        <x:f>C11-E11</x:f>
        <x:v>0.001</x:v>
      </x:c>
      <x:c r="G11" s="21"/>
      <x:c r="H11" s="21"/>
      <x:c r="I11" s="21"/>
      <x:c r="J11" s="10"/>
    </x:row>
    <x:row r="12">
      <x:c r="B12" s="10" t="str">
        <x:v>safety and environmental control</x:v>
      </x:c>
      <x:c r="C12" s="21" t="n">
        <x:v>0.004</x:v>
      </x:c>
      <x:c r="D12" s="21" t="n">
        <x:v>0.003</x:v>
      </x:c>
      <x:c r="E12" s="21" t="n">
        <x:f>D12*'Controls'!$D$58</x:f>
        <x:v>0.003</x:v>
      </x:c>
      <x:c r="F12" s="21" t="n">
        <x:f>C12-E12</x:f>
        <x:v>0.001</x:v>
      </x:c>
      <x:c r="G12" s="21"/>
      <x:c r="H12" s="21"/>
      <x:c r="I12" s="21"/>
      <x:c r="J12" s="10"/>
    </x:row>
    <x:row r="13">
      <x:c r="B13" s="10" t="str">
        <x:v>statistics, blinding and admission</x:v>
      </x:c>
      <x:c r="C13" s="21" t="n">
        <x:v>0.003</x:v>
      </x:c>
      <x:c r="D13" s="21" t="n">
        <x:v>0.001</x:v>
      </x:c>
      <x:c r="E13" s="21" t="n">
        <x:f>D13*'Controls'!$D$58</x:f>
        <x:v>0.001</x:v>
      </x:c>
      <x:c r="F13" s="21" t="n">
        <x:f>C13-E13</x:f>
        <x:v>0.002</x:v>
      </x:c>
      <x:c r="G13" s="21"/>
      <x:c r="H13" s="21"/>
      <x:c r="I13" s="21"/>
      <x:c r="J13" s="10"/>
    </x:row>
    <x:row r="14">
      <x:c r="B14" s="10" t="str">
        <x:v>intersite logistics and reserve</x:v>
      </x:c>
      <x:c r="C14" s="21" t="n">
        <x:v>0.002</x:v>
      </x:c>
      <x:c r="D14" s="21" t="n">
        <x:v>0.001</x:v>
      </x:c>
      <x:c r="E14" s="21" t="n">
        <x:f>D14*'Controls'!$D$58</x:f>
        <x:v>0.001</x:v>
      </x:c>
      <x:c r="F14" s="21" t="n">
        <x:f>C14-E14</x:f>
        <x:v>0.001</x:v>
      </x:c>
      <x:c r="G14" s="21"/>
      <x:c r="H14" s="21"/>
      <x:c r="I14" s="21"/>
      <x:c r="J14" s="10"/>
    </x:row>
    <x:row r="15">
      <x:c r="B15" s="10" t="str">
        <x:v>Total</x:v>
      </x:c>
      <x:c r="C15" s="21" t="n">
        <x:f>SUM(C7:C14)</x:f>
        <x:v>0.09800000000000003</x:v>
      </x:c>
      <x:c r="D15" s="21" t="n">
        <x:f>SUM(D7:D14)</x:f>
        <x:v>0.04100000000000001</x:v>
      </x:c>
      <x:c r="E15" s="21" t="n">
        <x:f>SUM(E7:E14)</x:f>
        <x:v>0.04100000000000001</x:v>
      </x:c>
      <x:c r="F15" s="21" t="n">
        <x:f>SUM(F7:F14)</x:f>
        <x:v>0.05700000000000001</x:v>
      </x:c>
      <x:c r="G15" s="21"/>
      <x:c r="H15" s="21"/>
      <x:c r="I15" s="21"/>
      <x:c r="J15" s="10"/>
    </x:row>
    <x:row r="16">
      <x:c r="B16" s="10"/>
      <x:c r="C16" s="21"/>
      <x:c r="D16" s="21"/>
      <x:c r="E16" s="21"/>
      <x:c r="F16" s="21"/>
      <x:c r="G16" s="21"/>
      <x:c r="H16" s="21"/>
      <x:c r="I16" s="21"/>
      <x:c r="J16" s="10"/>
    </x:row>
    <x:row r="17">
      <x:c r="B17" s="10"/>
      <x:c r="C17" s="21"/>
      <x:c r="D17" s="21"/>
      <x:c r="E17" s="21"/>
      <x:c r="F17" s="21"/>
      <x:c r="G17" s="21"/>
      <x:c r="H17" s="21"/>
      <x:c r="I17" s="21"/>
      <x:c r="J17" s="10"/>
    </x:row>
    <x:row r="18">
      <x:c r="B18" s="18" t="str">
        <x:v>CISA-1 annual parent crosswalk</x:v>
      </x:c>
      <x:c r="C18" s="23" t="str">
        <x:v>CISA-1 annual parent crosswalk</x:v>
      </x:c>
      <x:c r="D18" s="23" t="str">
        <x:v>CISA-1 annual parent crosswalk</x:v>
      </x:c>
      <x:c r="E18" s="23" t="str">
        <x:v>CISA-1 annual parent crosswalk</x:v>
      </x:c>
      <x:c r="F18" s="23" t="str">
        <x:v>CISA-1 annual parent crosswalk</x:v>
      </x:c>
      <x:c r="G18" s="23" t="str">
        <x:v>CISA-1 annual parent crosswalk</x:v>
      </x:c>
      <x:c r="H18" s="23" t="str">
        <x:v>CISA-1 annual parent crosswalk</x:v>
      </x:c>
      <x:c r="I18" s="23" t="str">
        <x:v>CISA-1 annual parent crosswalk</x:v>
      </x:c>
      <x:c r="J18" s="18" t="str">
        <x:v>CISA-1 annual parent crosswalk</x:v>
      </x:c>
    </x:row>
    <x:row r="19">
      <x:c r="B19" s="8" t="str">
        <x:v>Parent class</x:v>
      </x:c>
      <x:c r="C19" s="24" t="str">
        <x:v>CISA-1</x:v>
      </x:c>
      <x:c r="D19" s="24" t="str">
        <x:v>BRD-1</x:v>
      </x:c>
      <x:c r="E19" s="24" t="str">
        <x:v>Base net</x:v>
      </x:c>
      <x:c r="F19" s="24" t="str">
        <x:v>Shared if absent</x:v>
      </x:c>
      <x:c r="G19" s="24" t="str">
        <x:v>Active increment</x:v>
      </x:c>
      <x:c r="H19" s="24" t="str">
        <x:v>BRD-2</x:v>
      </x:c>
      <x:c r="I19" s="24" t="str">
        <x:v>Remaining</x:v>
      </x:c>
      <x:c r="J19" s="8" t="str">
        <x:v>State</x:v>
      </x:c>
    </x:row>
    <x:row r="20">
      <x:c r="B20" s="10" t="str">
        <x:v>public engineering</x:v>
      </x:c>
      <x:c r="C20" s="21" t="n">
        <x:v>0.055</x:v>
      </x:c>
      <x:c r="D20" s="21" t="n">
        <x:v>0.02</x:v>
      </x:c>
      <x:c r="E20" s="21" t="n">
        <x:v>0.006</x:v>
      </x:c>
      <x:c r="F20" s="21" t="n">
        <x:v>0.02</x:v>
      </x:c>
      <x:c r="G20" s="21" t="n">
        <x:f>E20+F20*(1-'Controls'!$D$58)</x:f>
        <x:v>0.006</x:v>
      </x:c>
      <x:c r="H20" s="21" t="n">
        <x:f>D20+G20</x:f>
        <x:v>0.026000000000000002</x:v>
      </x:c>
      <x:c r="I20" s="21" t="n">
        <x:f>C20-H20</x:f>
        <x:v>0.028999999999999998</x:v>
      </x:c>
      <x:c r="J20" s="10" t="str">
        <x:f>IF(I20&gt;=0,"PASS","FAIL")</x:f>
        <x:v>PASS</x:v>
      </x:c>
    </x:row>
    <x:row r="21">
      <x:c r="B21" s="10" t="str">
        <x:v>root definition teams</x:v>
      </x:c>
      <x:c r="C21" s="21" t="n">
        <x:v>0.065</x:v>
      </x:c>
      <x:c r="D21" s="21" t="n">
        <x:v>0.024</x:v>
      </x:c>
      <x:c r="E21" s="21" t="n">
        <x:v>0.039</x:v>
      </x:c>
      <x:c r="F21" s="21" t="n">
        <x:v>0</x:v>
      </x:c>
      <x:c r="G21" s="21" t="n">
        <x:f>E21+F21*(1-'Controls'!$D$58)</x:f>
        <x:v>0.039</x:v>
      </x:c>
      <x:c r="H21" s="21" t="n">
        <x:f>D21+G21</x:f>
        <x:v>0.063</x:v>
      </x:c>
      <x:c r="I21" s="21" t="n">
        <x:f>C21-H21</x:f>
        <x:v>0.0020000000000000018</x:v>
      </x:c>
      <x:c r="J21" s="10" t="str">
        <x:f>IF(I21&gt;=0,"PASS","FAIL")</x:f>
        <x:v>PASS</x:v>
      </x:c>
    </x:row>
    <x:row r="22">
      <x:c r="B22" s="10" t="str">
        <x:v>metrology and evidence</x:v>
      </x:c>
      <x:c r="C22" s="21" t="n">
        <x:v>0.03</x:v>
      </x:c>
      <x:c r="D22" s="21" t="n">
        <x:v>0.01</x:v>
      </x:c>
      <x:c r="E22" s="21" t="n">
        <x:v>0.002</x:v>
      </x:c>
      <x:c r="F22" s="21" t="n">
        <x:v>0.008</x:v>
      </x:c>
      <x:c r="G22" s="21" t="n">
        <x:f>E22+F22*(1-'Controls'!$D$58)</x:f>
        <x:v>0.002</x:v>
      </x:c>
      <x:c r="H22" s="21" t="n">
        <x:f>D22+G22</x:f>
        <x:v>0.012</x:v>
      </x:c>
      <x:c r="I22" s="21" t="n">
        <x:f>C22-H22</x:f>
        <x:v>0.018</x:v>
      </x:c>
      <x:c r="J22" s="10" t="str">
        <x:f>IF(I22&gt;=0,"PASS","FAIL")</x:f>
        <x:v>PASS</x:v>
      </x:c>
    </x:row>
    <x:row r="23">
      <x:c r="B23" s="10" t="str">
        <x:v>configuration custody</x:v>
      </x:c>
      <x:c r="C23" s="21" t="n">
        <x:v>0.02</x:v>
      </x:c>
      <x:c r="D23" s="21" t="n">
        <x:v>0.006</x:v>
      </x:c>
      <x:c r="E23" s="21" t="n">
        <x:v>0.001</x:v>
      </x:c>
      <x:c r="F23" s="21" t="n">
        <x:v>0</x:v>
      </x:c>
      <x:c r="G23" s="21" t="n">
        <x:f>E23+F23*(1-'Controls'!$D$58)</x:f>
        <x:v>0.001</x:v>
      </x:c>
      <x:c r="H23" s="21" t="n">
        <x:f>D23+G23</x:f>
        <x:v>0.007</x:v>
      </x:c>
      <x:c r="I23" s="21" t="n">
        <x:f>C23-H23</x:f>
        <x:v>0.013000000000000001</x:v>
      </x:c>
      <x:c r="J23" s="10" t="str">
        <x:f>IF(I23&gt;=0,"PASS","FAIL")</x:f>
        <x:v>PASS</x:v>
      </x:c>
    </x:row>
    <x:row r="24">
      <x:c r="B24" s="10" t="str">
        <x:v>fixture upkeep and emulation</x:v>
      </x:c>
      <x:c r="C24" s="21" t="n">
        <x:v>0.018</x:v>
      </x:c>
      <x:c r="D24" s="21" t="n">
        <x:v>0.005</x:v>
      </x:c>
      <x:c r="E24" s="21" t="n">
        <x:v>0.002</x:v>
      </x:c>
      <x:c r="F24" s="21" t="n">
        <x:v>0.008</x:v>
      </x:c>
      <x:c r="G24" s="21" t="n">
        <x:f>E24+F24*(1-'Controls'!$D$58)</x:f>
        <x:v>0.002</x:v>
      </x:c>
      <x:c r="H24" s="21" t="n">
        <x:f>D24+G24</x:f>
        <x:v>0.007</x:v>
      </x:c>
      <x:c r="I24" s="21" t="n">
        <x:f>C24-H24</x:f>
        <x:v>0.011</x:v>
      </x:c>
      <x:c r="J24" s="10" t="str">
        <x:f>IF(I24&gt;=0,"PASS","FAIL")</x:f>
        <x:v>PASS</x:v>
      </x:c>
    </x:row>
    <x:row r="25">
      <x:c r="B25" s="10" t="str">
        <x:v>protection and safety laboratory</x:v>
      </x:c>
      <x:c r="C25" s="21" t="n">
        <x:v>0.017</x:v>
      </x:c>
      <x:c r="D25" s="21" t="n">
        <x:v>0.005</x:v>
      </x:c>
      <x:c r="E25" s="21" t="n">
        <x:v>0.001</x:v>
      </x:c>
      <x:c r="F25" s="21" t="n">
        <x:v>0.003</x:v>
      </x:c>
      <x:c r="G25" s="21" t="n">
        <x:f>E25+F25*(1-'Controls'!$D$58)</x:f>
        <x:v>0.001</x:v>
      </x:c>
      <x:c r="H25" s="21" t="n">
        <x:f>D25+G25</x:f>
        <x:v>0.006</x:v>
      </x:c>
      <x:c r="I25" s="21" t="n">
        <x:f>C25-H25</x:f>
        <x:v>0.011000000000000001</x:v>
      </x:c>
      <x:c r="J25" s="10" t="str">
        <x:f>IF(I25&gt;=0,"PASS","FAIL")</x:f>
        <x:v>PASS</x:v>
      </x:c>
    </x:row>
    <x:row r="26">
      <x:c r="B26" s="10" t="str">
        <x:v>receiver rehearsal</x:v>
      </x:c>
      <x:c r="C26" s="21" t="n">
        <x:v>0.012</x:v>
      </x:c>
      <x:c r="D26" s="21" t="n">
        <x:v>0.004</x:v>
      </x:c>
      <x:c r="E26" s="21" t="n">
        <x:v>0.001</x:v>
      </x:c>
      <x:c r="F26" s="21" t="n">
        <x:v>0.001</x:v>
      </x:c>
      <x:c r="G26" s="21" t="n">
        <x:f>E26+F26*(1-'Controls'!$D$58)</x:f>
        <x:v>0.001</x:v>
      </x:c>
      <x:c r="H26" s="21" t="n">
        <x:f>D26+G26</x:f>
        <x:v>0.005</x:v>
      </x:c>
      <x:c r="I26" s="21" t="n">
        <x:f>C26-H26</x:f>
        <x:v>0.007</x:v>
      </x:c>
      <x:c r="J26" s="10" t="str">
        <x:f>IF(I26&gt;=0,"PASS","FAIL")</x:f>
        <x:v>PASS</x:v>
      </x:c>
    </x:row>
    <x:row r="27">
      <x:c r="B27" s="10" t="str">
        <x:v>independent review</x:v>
      </x:c>
      <x:c r="C27" s="21" t="n">
        <x:v>0.01</x:v>
      </x:c>
      <x:c r="D27" s="21" t="n">
        <x:v>0.003</x:v>
      </x:c>
      <x:c r="E27" s="21" t="n">
        <x:v>0.002</x:v>
      </x:c>
      <x:c r="F27" s="21" t="n">
        <x:v>0.001</x:v>
      </x:c>
      <x:c r="G27" s="21" t="n">
        <x:f>E27+F27*(1-'Controls'!$D$58)</x:f>
        <x:v>0.002</x:v>
      </x:c>
      <x:c r="H27" s="21" t="n">
        <x:f>D27+G27</x:f>
        <x:v>0.005</x:v>
      </x:c>
      <x:c r="I27" s="21" t="n">
        <x:f>C27-H27</x:f>
        <x:v>0.005</x:v>
      </x:c>
      <x:c r="J27" s="10" t="str">
        <x:f>IF(I27&gt;=0,"PASS","FAIL")</x:f>
        <x:v>PASS</x:v>
      </x:c>
    </x:row>
    <x:row r="28">
      <x:c r="B28" s="10" t="str">
        <x:v>environmental closure</x:v>
      </x:c>
      <x:c r="C28" s="21" t="n">
        <x:v>0.008</x:v>
      </x:c>
      <x:c r="D28" s="21" t="n">
        <x:v>0.002</x:v>
      </x:c>
      <x:c r="E28" s="21" t="n">
        <x:v>0.003</x:v>
      </x:c>
      <x:c r="F28" s="21" t="n">
        <x:v>0</x:v>
      </x:c>
      <x:c r="G28" s="21" t="n">
        <x:f>E28+F28*(1-'Controls'!$D$58)</x:f>
        <x:v>0.003</x:v>
      </x:c>
      <x:c r="H28" s="21" t="n">
        <x:f>D28+G28</x:f>
        <x:v>0.005</x:v>
      </x:c>
      <x:c r="I28" s="21" t="n">
        <x:f>C28-H28</x:f>
        <x:v>0.003</x:v>
      </x:c>
      <x:c r="J28" s="10" t="str">
        <x:f>IF(I28&gt;=0,"PASS","FAIL")</x:f>
        <x:v>PASS</x:v>
      </x:c>
    </x:row>
    <x:row r="29">
      <x:c r="B29" s="10" t="str">
        <x:v>controlled reserve</x:v>
      </x:c>
      <x:c r="C29" s="21" t="n">
        <x:v>0.025</x:v>
      </x:c>
      <x:c r="D29" s="21" t="n">
        <x:v>0.005</x:v>
      </x:c>
      <x:c r="E29" s="21" t="n">
        <x:v>0</x:v>
      </x:c>
      <x:c r="F29" s="21" t="n">
        <x:v>0</x:v>
      </x:c>
      <x:c r="G29" s="21" t="n">
        <x:f>E29+F29*(1-'Controls'!$D$58)</x:f>
        <x:v>0</x:v>
      </x:c>
      <x:c r="H29" s="21" t="n">
        <x:f>D29+G29</x:f>
        <x:v>0.005</x:v>
      </x:c>
      <x:c r="I29" s="21" t="n">
        <x:f>C29-H29</x:f>
        <x:v>0.02</x:v>
      </x:c>
      <x:c r="J29" s="10" t="str">
        <x:f>IF(I29&gt;=0,"PASS","FAIL")</x:f>
        <x:v>PASS</x:v>
      </x:c>
    </x:row>
    <x:row r="30">
      <x:c r="B30" s="10" t="str">
        <x:v>Total</x:v>
      </x:c>
      <x:c r="C30" s="21" t="n">
        <x:f>SUM(C20:C29)</x:f>
        <x:v>0.26</x:v>
      </x:c>
      <x:c r="D30" s="21" t="n">
        <x:f>SUM(D20:D29)</x:f>
        <x:v>0.08400000000000002</x:v>
      </x:c>
      <x:c r="E30" s="21" t="n">
        <x:f>SUM(E20:E29)</x:f>
        <x:v>0.05700000000000001</x:v>
      </x:c>
      <x:c r="F30" s="21" t="n">
        <x:f>SUM(F20:F29)</x:f>
        <x:v>0.04100000000000001</x:v>
      </x:c>
      <x:c r="G30" s="21" t="n">
        <x:f>SUM(G20:G29)</x:f>
        <x:v>0.05700000000000001</x:v>
      </x:c>
      <x:c r="H30" s="21" t="n">
        <x:f>SUM(H20:H29)</x:f>
        <x:v>0.14100000000000001</x:v>
      </x:c>
      <x:c r="I30" s="21" t="n">
        <x:f>SUM(I20:I29)</x:f>
        <x:v>0.11900000000000001</x:v>
      </x:c>
      <x:c r="J30" s="10" t="str">
        <x:f>IF(AND(ABS(C30-'Controls'!$D$40)&lt;0.000001,ABS(D30-'Controls'!$D$39)&lt;0.000001,ABS(G30-F15)&lt;0.000001,I30&gt;=0),"PASS","FAIL")</x:f>
        <x:v>PASS</x:v>
      </x:c>
    </x:row>
    <x:row r="31">
      <x:c r="B31" s="10"/>
      <x:c r="C31" s="21"/>
      <x:c r="D31" s="21"/>
      <x:c r="E31" s="21"/>
      <x:c r="F31" s="21"/>
      <x:c r="G31" s="21"/>
      <x:c r="H31" s="21"/>
      <x:c r="I31" s="21"/>
      <x:c r="J31" s="10"/>
    </x:row>
    <x:row r="32">
      <x:c r="B32" s="10"/>
      <x:c r="C32" s="21"/>
      <x:c r="D32" s="21"/>
      <x:c r="E32" s="21"/>
      <x:c r="F32" s="21"/>
      <x:c r="G32" s="21"/>
      <x:c r="H32" s="21"/>
      <x:c r="I32" s="21"/>
      <x:c r="J32" s="10"/>
    </x:row>
    <x:row r="33">
      <x:c r="B33" s="18" t="str">
        <x:v>Baseline consequence</x:v>
      </x:c>
      <x:c r="C33" s="23" t="str">
        <x:v>Baseline consequence</x:v>
      </x:c>
      <x:c r="D33" s="23" t="str">
        <x:v>Baseline consequence</x:v>
      </x:c>
      <x:c r="E33" s="23" t="str">
        <x:v>Baseline consequence</x:v>
      </x:c>
      <x:c r="F33" s="23" t="str">
        <x:v>Baseline consequence</x:v>
      </x:c>
      <x:c r="G33" s="23" t="str">
        <x:v>Baseline consequence</x:v>
      </x:c>
      <x:c r="H33" s="23" t="str">
        <x:v>Baseline consequence</x:v>
      </x:c>
      <x:c r="I33" s="23" t="str">
        <x:v>Baseline consequence</x:v>
      </x:c>
      <x:c r="J33" s="18" t="str">
        <x:v>Baseline consequence</x:v>
      </x:c>
    </x:row>
    <x:row r="34">
      <x:c r="B34" s="8" t="str">
        <x:v>Metric</x:v>
      </x:c>
      <x:c r="C34" s="24" t="str">
        <x:v>Calculated</x:v>
      </x:c>
      <x:c r="D34" s="24" t="str">
        <x:v>Reference</x:v>
      </x:c>
      <x:c r="E34" s="24" t="str">
        <x:v>Difference</x:v>
      </x:c>
      <x:c r="F34" s="24" t="str">
        <x:v>State</x:v>
      </x:c>
      <x:c r="G34" s="21"/>
      <x:c r="H34" s="21"/>
      <x:c r="I34" s="21"/>
      <x:c r="J34" s="10"/>
    </x:row>
    <x:row r="35">
      <x:c r="B35" s="10" t="str">
        <x:v>physical-use annual support</x:v>
      </x:c>
      <x:c r="C35" s="21" t="n">
        <x:f>C15</x:f>
        <x:v>0.09800000000000003</x:v>
      </x:c>
      <x:c r="D35" s="21" t="n">
        <x:f>'Controls'!$D$36</x:f>
        <x:v>0.098</x:v>
      </x:c>
      <x:c r="E35" s="21" t="n">
        <x:f>C35-D35</x:f>
        <x:v>2.7755575615628914e-17</x:v>
      </x:c>
      <x:c r="F35" s="21" t="str">
        <x:f>IF(ABS(E35)&lt;0.000001,"PASS","FAIL")</x:f>
        <x:v>PASS</x:v>
      </x:c>
      <x:c r="G35" s="21"/>
      <x:c r="H35" s="21"/>
      <x:c r="I35" s="21"/>
      <x:c r="J35" s="10"/>
    </x:row>
    <x:row r="36">
      <x:c r="B36" s="10" t="str">
        <x:v>eligible shared credit</x:v>
      </x:c>
      <x:c r="C36" s="21" t="n">
        <x:f>D15</x:f>
        <x:v>0.04100000000000001</x:v>
      </x:c>
      <x:c r="D36" s="21" t="n">
        <x:f>'Controls'!$D$37</x:f>
        <x:v>0.041</x:v>
      </x:c>
      <x:c r="E36" s="21" t="n">
        <x:f>C36-D36</x:f>
        <x:v>6.938893903907228e-18</x:v>
      </x:c>
      <x:c r="F36" s="21" t="str">
        <x:f>IF(ABS(E36)&lt;0.000001,"PASS","FAIL")</x:f>
        <x:v>PASS</x:v>
      </x:c>
      <x:c r="G36" s="21"/>
      <x:c r="H36" s="21"/>
      <x:c r="I36" s="21"/>
      <x:c r="J36" s="10"/>
    </x:row>
    <x:row r="37">
      <x:c r="B37" s="10" t="str">
        <x:v>net new annual support</x:v>
      </x:c>
      <x:c r="C37" s="21" t="n">
        <x:f>F15</x:f>
        <x:v>0.05700000000000001</x:v>
      </x:c>
      <x:c r="D37" s="21" t="n">
        <x:f>'Controls'!$D$38</x:f>
        <x:v>0.057</x:v>
      </x:c>
      <x:c r="E37" s="21" t="n">
        <x:f>C37-D37</x:f>
        <x:v>6.938893903907228e-18</x:v>
      </x:c>
      <x:c r="F37" s="21" t="str">
        <x:f>IF(ABS(E37)&lt;0.000001,"PASS","FAIL")</x:f>
        <x:v>PASS</x:v>
      </x:c>
      <x:c r="G37" s="21"/>
      <x:c r="H37" s="21"/>
      <x:c r="I37" s="21"/>
      <x:c r="J37" s="10"/>
    </x:row>
    <x:row r="38">
      <x:c r="B38" s="10" t="str">
        <x:v>reconciled BRD-2 annual support</x:v>
      </x:c>
      <x:c r="C38" s="21" t="n">
        <x:f>'Controls'!$D$39+F15</x:f>
        <x:v>0.14100000000000001</x:v>
      </x:c>
      <x:c r="D38" s="21" t="n">
        <x:v>0.141</x:v>
      </x:c>
      <x:c r="E38" s="21" t="n">
        <x:f>C38-D38</x:f>
        <x:v>2.7755575615628914e-17</x:v>
      </x:c>
      <x:c r="F38" s="21" t="str">
        <x:f>IF(ABS(E38)&lt;0.000001,"PASS","FAIL")</x:f>
        <x:v>PASS</x:v>
      </x:c>
      <x:c r="G38" s="21"/>
      <x:c r="H38" s="21"/>
      <x:c r="I38" s="21"/>
      <x:c r="J38" s="10"/>
    </x:row>
    <x:row r="39">
      <x:c r="B39" s="10" t="str">
        <x:v>no-credit upper envelope</x:v>
      </x:c>
      <x:c r="C39" s="21" t="n">
        <x:f>'Controls'!$D$39+C15</x:f>
        <x:v>0.18200000000000005</x:v>
      </x:c>
      <x:c r="D39" s="21" t="n">
        <x:v>0.182</x:v>
      </x:c>
      <x:c r="E39" s="21" t="n">
        <x:f>C39-D39</x:f>
        <x:v>5.551115123125783e-17</x:v>
      </x:c>
      <x:c r="F39" s="21" t="str">
        <x:f>IF(ABS(E39)&lt;0.000001,"PASS","FAIL")</x:f>
        <x:v>PASS</x:v>
      </x:c>
      <x:c r="G39" s="21"/>
      <x:c r="H39" s="21"/>
      <x:c r="I39" s="21"/>
      <x:c r="J39" s="10"/>
    </x:row>
    <x:row r="40">
      <x:c r="B40" s="11" t="str">
        <x:v>CISA-1 annual remaining</x:v>
      </x:c>
      <x:c r="C40" s="22" t="n">
        <x:f>'Controls'!$D$40-('Controls'!$D$39+F15)</x:f>
        <x:v>0.119</x:v>
      </x:c>
      <x:c r="D40" s="22" t="n">
        <x:v>0.119</x:v>
      </x:c>
      <x:c r="E40" s="22" t="n">
        <x:f>C40-D40</x:f>
        <x:v>0</x:v>
      </x:c>
      <x:c r="F40" s="22" t="str">
        <x:f>IF(ABS(E40)&lt;0.000001,"PASS","FAIL")</x:f>
        <x:v>PASS</x:v>
      </x:c>
      <x:c r="G40" s="22"/>
      <x:c r="H40" s="22"/>
      <x:c r="I40" s="22"/>
      <x:c r="J40" s="11"/>
    </x:row>
  </x:sheetData>
  <x:mergeCells>
    <x:mergeCell ref="B2:J2"/>
    <x:mergeCell ref="B3:J3"/>
    <x:mergeCell ref="B18:J18"/>
    <x:mergeCell ref="B33:J33"/>
  </x:mergeCells>
  <x:conditionalFormatting sqref="J20:J30">
    <x:cfRule type="containsText" dxfId="280" priority="1" operator="containsText" text="PASS"/>
    <x:cfRule type="containsText" dxfId="281" priority="2" operator="containsText" text="AUTHORIZED"/>
    <x:cfRule type="containsText" dxfId="282" priority="3" operator="containsText" text="DEFINED"/>
    <x:cfRule type="containsText" dxfId="283" priority="4" operator="containsText" text="READY"/>
    <x:cfRule type="containsText" dxfId="284" priority="5" operator="containsText" text="HOLD"/>
    <x:cfRule type="containsText" dxfId="285" priority="6" operator="containsText" text="OPEN"/>
    <x:cfRule type="containsText" dxfId="286" priority="7" operator="containsText" text="BLOCKED"/>
    <x:cfRule type="containsText" dxfId="287" priority="8" operator="containsText" text="PLANNING"/>
    <x:cfRule type="containsText" dxfId="288" priority="9" operator="containsText" text="QUARANTINE"/>
    <x:cfRule type="containsText" dxfId="289" priority="10" operator="containsText" text="INDETERMINATE"/>
    <x:cfRule type="containsText" dxfId="290" priority="11" operator="containsText" text="FAIL"/>
    <x:cfRule type="containsText" dxfId="291" priority="12" operator="containsText" text="REJECT"/>
    <x:cfRule type="containsText" dxfId="292" priority="13" operator="containsText" text="INVALID"/>
    <x:cfRule type="containsText" dxfId="293" priority="14" operator="containsText" text="STOP"/>
  </x:conditionalFormatting>
  <x:conditionalFormatting sqref="F35:F40">
    <x:cfRule type="containsText" dxfId="294" priority="15" operator="containsText" text="PASS"/>
    <x:cfRule type="containsText" dxfId="295" priority="16" operator="containsText" text="AUTHORIZED"/>
    <x:cfRule type="containsText" dxfId="296" priority="17" operator="containsText" text="DEFINED"/>
    <x:cfRule type="containsText" dxfId="297" priority="18" operator="containsText" text="READY"/>
    <x:cfRule type="containsText" dxfId="298" priority="19" operator="containsText" text="HOLD"/>
    <x:cfRule type="containsText" dxfId="299" priority="20" operator="containsText" text="OPEN"/>
    <x:cfRule type="containsText" dxfId="300" priority="21" operator="containsText" text="BLOCKED"/>
    <x:cfRule type="containsText" dxfId="301" priority="22" operator="containsText" text="PLANNING"/>
    <x:cfRule type="containsText" dxfId="302" priority="23" operator="containsText" text="QUARANTINE"/>
    <x:cfRule type="containsText" dxfId="303" priority="24" operator="containsText" text="INDETERMINATE"/>
    <x:cfRule type="containsText" dxfId="304" priority="25" operator="containsText" text="FAIL"/>
    <x:cfRule type="containsText" dxfId="305" priority="26" operator="containsText" text="REJECT"/>
    <x:cfRule type="containsText" dxfId="306" priority="27" operator="containsText" text="INVALID"/>
    <x:cfRule type="containsText" dxfId="307" priority="28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29" hidden="0" customWidth="1"/>
    <x:col min="8" max="8" width="14" hidden="0" customWidth="1"/>
  </x:cols>
  <x:sheetData>
    <x:row r="2">
      <x:c r="B2" s="27" t="str">
        <x:v>Thirty-month site, lane and evidence sequence</x:v>
      </x:c>
      <x:c r="C2" s="28"/>
      <x:c r="D2" s="28"/>
      <x:c r="E2" s="28"/>
      <x:c r="F2" s="28"/>
      <x:c r="G2" s="28"/>
      <x:c r="H2" s="28"/>
      <x:c r="I2" s="28"/>
    </x:row>
    <x:row r="3">
      <x:c r="B3" s="29" t="str">
        <x:v>Dates are dependency gates. Calendar overlap never creates a missing facility, reference, safe state or source record.</x:v>
      </x:c>
      <x:c r="C3" s="28"/>
      <x:c r="D3" s="28"/>
      <x:c r="E3" s="28"/>
      <x:c r="F3" s="28"/>
      <x:c r="G3" s="28"/>
      <x:c r="H3" s="28"/>
      <x:c r="I3" s="28"/>
    </x:row>
    <x:row r="4">
      <x:c r="B4" s="30"/>
      <x:c r="C4" s="30"/>
      <x:c r="D4" s="30"/>
      <x:c r="E4" s="30"/>
      <x:c r="F4" s="30"/>
      <x:c r="G4" s="30"/>
      <x:c r="H4" s="30"/>
      <x:c r="I4" s="30"/>
    </x:row>
    <x:row r="5">
      <x:c r="B5" s="28"/>
      <x:c r="C5" s="28"/>
      <x:c r="D5" s="28"/>
      <x:c r="E5" s="28"/>
      <x:c r="F5" s="28"/>
      <x:c r="G5" s="28"/>
      <x:c r="H5" s="28"/>
      <x:c r="I5" s="28"/>
    </x:row>
    <x:row r="6">
      <x:c r="B6" s="8" t="str">
        <x:v>Work package</x:v>
      </x:c>
      <x:c r="C6" s="8" t="str">
        <x:v>Start month</x:v>
      </x:c>
      <x:c r="D6" s="8" t="str">
        <x:v>End month</x:v>
      </x:c>
      <x:c r="E6" s="8" t="str">
        <x:v>Duration</x:v>
      </x:c>
      <x:c r="F6" s="8" t="str">
        <x:v>Exit object</x:v>
      </x:c>
      <x:c r="G6" s="8" t="str">
        <x:v>Predecessor</x:v>
      </x:c>
      <x:c r="H6" s="8" t="str">
        <x:v>State</x:v>
      </x:c>
      <x:c r="I6" s="28"/>
    </x:row>
    <x:row r="7">
      <x:c r="B7" s="10" t="str">
        <x:v>site reservation and funding crosswalk</x:v>
      </x:c>
      <x:c r="C7" s="10" t="n">
        <x:v>0</x:v>
      </x:c>
      <x:c r="D7" s="10" t="n">
        <x:v>3</x:v>
      </x:c>
      <x:c r="E7" s="10" t="n">
        <x:f>D7-C7</x:f>
        <x:v>3</x:v>
      </x:c>
      <x:c r="F7" s="10" t="str">
        <x:v>signed common-estate reservation</x:v>
      </x:c>
      <x:c r="G7" s="10" t="str">
        <x:v>Pass 104 and CISA boards</x:v>
      </x:c>
      <x:c r="H7" s="10" t="str">
        <x:f>IF(D7&lt;='Controls'!$D$12+16,"PASS","FAIL")</x:f>
        <x:v>PASS</x:v>
      </x:c>
      <x:c r="I7" s="28"/>
    </x:row>
    <x:row r="8">
      <x:c r="B8" s="10" t="str">
        <x:v>common-campus readiness confirmation</x:v>
      </x:c>
      <x:c r="C8" s="10" t="n">
        <x:v>0</x:v>
      </x:c>
      <x:c r="D8" s="10" t="n">
        <x:v>6</x:v>
      </x:c>
      <x:c r="E8" s="10" t="n">
        <x:f>D8-C8</x:f>
        <x:v>6</x:v>
      </x:c>
      <x:c r="F8" s="10" t="str">
        <x:v>utilities, vaults, labs and custody paths</x:v>
      </x:c>
      <x:c r="G8" s="10" t="str">
        <x:v>reservation</x:v>
      </x:c>
      <x:c r="H8" s="10" t="str">
        <x:f>IF(D8&lt;='Controls'!$D$12+16,"PASS","FAIL")</x:f>
        <x:v>PASS</x:v>
      </x:c>
      <x:c r="I8" s="28"/>
    </x:row>
    <x:row r="9">
      <x:c r="B9" s="10" t="str">
        <x:v>twelve lane design and realization</x:v>
      </x:c>
      <x:c r="C9" s="10" t="n">
        <x:v>2</x:v>
      </x:c>
      <x:c r="D9" s="10" t="n">
        <x:v>8</x:v>
      </x:c>
      <x:c r="E9" s="10" t="n">
        <x:f>D9-C9</x:f>
        <x:v>6</x:v>
      </x:c>
      <x:c r="F9" s="10" t="str">
        <x:v>all lane fixtures installed</x:v>
      </x:c>
      <x:c r="G9" s="10" t="str">
        <x:v>site readiness</x:v>
      </x:c>
      <x:c r="H9" s="10" t="str">
        <x:f>IF(D9&lt;='Controls'!$D$12+16,"PASS","FAIL")</x:f>
        <x:v>PASS</x:v>
      </x:c>
      <x:c r="I9" s="28"/>
    </x:row>
    <x:row r="10">
      <x:c r="B10" s="10" t="str">
        <x:v>reference and surrogate manufacture</x:v>
      </x:c>
      <x:c r="C10" s="10" t="n">
        <x:v>3</x:v>
      </x:c>
      <x:c r="D10" s="10" t="n">
        <x:v>8</x:v>
      </x:c>
      <x:c r="E10" s="10" t="n">
        <x:f>D10-C10</x:f>
        <x:v>5</x:v>
      </x:c>
      <x:c r="F10" s="10" t="str">
        <x:v>72 accepted articles</x:v>
      </x:c>
      <x:c r="G10" s="10" t="str">
        <x:v>frozen truth drawings</x:v>
      </x:c>
      <x:c r="H10" s="10" t="str">
        <x:f>IF(D10&lt;='Controls'!$D$12+16,"PASS","FAIL")</x:f>
        <x:v>PASS</x:v>
      </x:c>
      <x:c r="I10" s="28"/>
    </x:row>
    <x:row r="11">
      <x:c r="B11" s="10" t="str">
        <x:v>dry mounted commissioning</x:v>
      </x:c>
      <x:c r="C11" s="10" t="n">
        <x:v>6</x:v>
      </x:c>
      <x:c r="D11" s="10" t="n">
        <x:v>9</x:v>
      </x:c>
      <x:c r="E11" s="10" t="n">
        <x:f>D11-C11</x:f>
        <x:v>3</x:v>
      </x:c>
      <x:c r="F11" s="10" t="str">
        <x:v>geometry, load, time and data events</x:v>
      </x:c>
      <x:c r="G11" s="10" t="str">
        <x:v>installed lanes</x:v>
      </x:c>
      <x:c r="H11" s="10" t="str">
        <x:f>IF(D11&lt;='Controls'!$D$12+16,"PASS","FAIL")</x:f>
        <x:v>PASS</x:v>
      </x:c>
      <x:c r="I11" s="28"/>
    </x:row>
    <x:row r="12">
      <x:c r="B12" s="10" t="str">
        <x:v>hazard and denial commissioning</x:v>
      </x:c>
      <x:c r="C12" s="10" t="n">
        <x:v>8</x:v>
      </x:c>
      <x:c r="D12" s="10" t="n">
        <x:v>11</x:v>
      </x:c>
      <x:c r="E12" s="10" t="n">
        <x:f>D12-C12</x:f>
        <x:v>3</x:v>
      </x:c>
      <x:c r="F12" s="10" t="str">
        <x:v>safe-state and quarantine events</x:v>
      </x:c>
      <x:c r="G12" s="10" t="str">
        <x:v>dry commissioning</x:v>
      </x:c>
      <x:c r="H12" s="10" t="str">
        <x:f>IF(D12&lt;='Controls'!$D$12+16,"PASS","FAIL")</x:f>
        <x:v>PASS</x:v>
      </x:c>
      <x:c r="I12" s="28"/>
    </x:row>
    <x:row r="13">
      <x:c r="B13" s="10" t="str">
        <x:v>lead collar, bus and energy-ballast blocks</x:v>
      </x:c>
      <x:c r="C13" s="10" t="n">
        <x:v>11</x:v>
      </x:c>
      <x:c r="D13" s="10" t="n">
        <x:v>18</x:v>
      </x:c>
      <x:c r="E13" s="10" t="n">
        <x:f>D13-C13</x:f>
        <x:v>7</x:v>
      </x:c>
      <x:c r="F13" s="10" t="str">
        <x:v>high-consequence early mechanisms</x:v>
      </x:c>
      <x:c r="G13" s="10" t="str">
        <x:v>lane admission</x:v>
      </x:c>
      <x:c r="H13" s="10" t="str">
        <x:f>IF(D13&lt;='Controls'!$D$12+16,"PASS","FAIL")</x:f>
        <x:v>PASS</x:v>
      </x:c>
      <x:c r="I13" s="28"/>
    </x:row>
    <x:row r="14">
      <x:c r="B14" s="10" t="str">
        <x:v>structural, lift and thermal blocks</x:v>
      </x:c>
      <x:c r="C14" s="10" t="n">
        <x:v>12</x:v>
      </x:c>
      <x:c r="D14" s="10" t="n">
        <x:v>24</x:v>
      </x:c>
      <x:c r="E14" s="10" t="n">
        <x:f>D14-C14</x:f>
        <x:v>12</x:v>
      </x:c>
      <x:c r="F14" s="10" t="str">
        <x:v>remaining intact exposure</x:v>
      </x:c>
      <x:c r="G14" s="10" t="str">
        <x:v>lane admission</x:v>
      </x:c>
      <x:c r="H14" s="10" t="str">
        <x:f>IF(D14&lt;='Controls'!$D$12+16,"PASS","FAIL")</x:f>
        <x:v>PASS</x:v>
      </x:c>
      <x:c r="I14" s="28"/>
    </x:row>
    <x:row r="15">
      <x:c r="B15" s="10" t="str">
        <x:v>controlled-defect presentations</x:v>
      </x:c>
      <x:c r="C15" s="10" t="n">
        <x:v>12</x:v>
      </x:c>
      <x:c r="D15" s="10" t="n">
        <x:v>24</x:v>
      </x:c>
      <x:c r="E15" s="10" t="n">
        <x:f>D15-C15</x:f>
        <x:v>12</x:v>
      </x:c>
      <x:c r="F15" s="10" t="str">
        <x:v>sealed primary and repeat acquisitions</x:v>
      </x:c>
      <x:c r="G15" s="10" t="str">
        <x:v>blind custody</x:v>
      </x:c>
      <x:c r="H15" s="10" t="str">
        <x:f>IF(D15&lt;='Controls'!$D$12+16,"PASS","FAIL")</x:f>
        <x:v>PASS</x:v>
      </x:c>
      <x:c r="I15" s="28"/>
    </x:row>
    <x:row r="16">
      <x:c r="B16" s="10" t="str">
        <x:v>destructive sequence</x:v>
      </x:c>
      <x:c r="C16" s="10" t="n">
        <x:v>18</x:v>
      </x:c>
      <x:c r="D16" s="10" t="n">
        <x:v>26</x:v>
      </x:c>
      <x:c r="E16" s="10" t="n">
        <x:f>D16-C16</x:f>
        <x:v>8</x:v>
      </x:c>
      <x:c r="F16" s="10" t="str">
        <x:v>60 cross-site cuts</x:v>
      </x:c>
      <x:c r="G16" s="10" t="str">
        <x:v>intact observations</x:v>
      </x:c>
      <x:c r="H16" s="10" t="str">
        <x:f>IF(D16&lt;='Controls'!$D$12+16,"PASS","FAIL")</x:f>
        <x:v>PASS</x:v>
      </x:c>
      <x:c r="I16" s="28"/>
    </x:row>
    <x:row r="17">
      <x:c r="B17" s="10" t="str">
        <x:v>cross-site replay and causal reconstruction</x:v>
      </x:c>
      <x:c r="C17" s="10" t="n">
        <x:v>22</x:v>
      </x:c>
      <x:c r="D17" s="10" t="n">
        <x:v>28</x:v>
      </x:c>
      <x:c r="E17" s="10" t="n">
        <x:f>D17-C17</x:f>
        <x:v>6</x:v>
      </x:c>
      <x:c r="F17" s="10" t="str">
        <x:v>twelve unlike replays</x:v>
      </x:c>
      <x:c r="G17" s="10" t="str">
        <x:v>sealed originals</x:v>
      </x:c>
      <x:c r="H17" s="10" t="str">
        <x:f>IF(D17&lt;='Controls'!$D$12+16,"PASS","FAIL")</x:f>
        <x:v>PASS</x:v>
      </x:c>
      <x:c r="I17" s="28"/>
    </x:row>
    <x:row r="18">
      <x:c r="B18" s="10" t="str">
        <x:v>admission and baseline board</x:v>
      </x:c>
      <x:c r="C18" s="10" t="n">
        <x:v>28</x:v>
      </x:c>
      <x:c r="D18" s="10" t="n">
        <x:v>30</x:v>
      </x:c>
      <x:c r="E18" s="10" t="n">
        <x:f>D18-C18</x:f>
        <x:v>2</x:v>
      </x:c>
      <x:c r="F18" s="10" t="str">
        <x:v>root-family dispositions and next authority</x:v>
      </x:c>
      <x:c r="G18" s="10" t="str">
        <x:v>all required packets</x:v>
      </x:c>
      <x:c r="H18" s="10" t="str">
        <x:f>IF(D18&lt;='Controls'!$D$12+16,"PASS","FAIL")</x:f>
        <x:v>PASS</x:v>
      </x:c>
      <x:c r="I18" s="28"/>
    </x:row>
    <x:row r="19">
      <x:c r="B19" s="10"/>
      <x:c r="C19" s="10"/>
      <x:c r="D19" s="10"/>
      <x:c r="E19" s="10"/>
      <x:c r="F19" s="10"/>
      <x:c r="G19" s="10"/>
      <x:c r="H19" s="10"/>
      <x:c r="I19" s="28"/>
    </x:row>
    <x:row r="20">
      <x:c r="B20" s="10"/>
      <x:c r="C20" s="10"/>
      <x:c r="D20" s="10"/>
      <x:c r="E20" s="10"/>
      <x:c r="F20" s="10"/>
      <x:c r="G20" s="10"/>
      <x:c r="H20" s="10"/>
      <x:c r="I20" s="28"/>
    </x:row>
    <x:row r="21">
      <x:c r="B21" s="10"/>
      <x:c r="C21" s="10"/>
      <x:c r="D21" s="10"/>
      <x:c r="E21" s="10"/>
      <x:c r="F21" s="10"/>
      <x:c r="G21" s="10"/>
      <x:c r="H21" s="10"/>
      <x:c r="I21" s="28"/>
    </x:row>
    <x:row r="22">
      <x:c r="B22" s="18" t="str">
        <x:v>Program duration</x:v>
      </x:c>
      <x:c r="C22" s="18" t="str">
        <x:v>Program duration</x:v>
      </x:c>
      <x:c r="D22" s="18" t="str">
        <x:v>Program duration</x:v>
      </x:c>
      <x:c r="E22" s="18" t="str">
        <x:v>Program duration</x:v>
      </x:c>
      <x:c r="F22" s="18" t="str">
        <x:v>Program duration</x:v>
      </x:c>
      <x:c r="G22" s="18" t="str">
        <x:v>Program duration</x:v>
      </x:c>
      <x:c r="H22" s="18" t="str">
        <x:v>Program duration</x:v>
      </x:c>
      <x:c r="I22" s="28"/>
    </x:row>
    <x:row r="23">
      <x:c r="B23" s="8" t="str">
        <x:v>Maximum end month</x:v>
      </x:c>
      <x:c r="C23" s="8" t="str">
        <x:v>Required</x:v>
      </x:c>
      <x:c r="D23" s="8" t="str">
        <x:v>Difference</x:v>
      </x:c>
      <x:c r="E23" s="8" t="str">
        <x:v>State</x:v>
      </x:c>
      <x:c r="F23" s="10"/>
      <x:c r="G23" s="10"/>
      <x:c r="H23" s="10"/>
      <x:c r="I23" s="28"/>
    </x:row>
    <x:row r="24">
      <x:c r="B24" s="11" t="n">
        <x:f>MAX(D7:D18)</x:f>
        <x:v>30</x:v>
      </x:c>
      <x:c r="C24" s="11" t="n">
        <x:v>30</x:v>
      </x:c>
      <x:c r="D24" s="11" t="n">
        <x:f>B24-C24</x:f>
        <x:v>0</x:v>
      </x:c>
      <x:c r="E24" s="11" t="str">
        <x:f>IF(D24=0,"PASS","FAIL")</x:f>
        <x:v>PASS</x:v>
      </x:c>
      <x:c r="F24" s="11"/>
      <x:c r="G24" s="11"/>
      <x:c r="H24" s="11"/>
      <x:c r="I24" s="28"/>
    </x:row>
  </x:sheetData>
  <x:mergeCells>
    <x:mergeCell ref="B2:I2"/>
    <x:mergeCell ref="B3:I3"/>
    <x:mergeCell ref="B22:H22"/>
  </x:mergeCells>
  <x:conditionalFormatting sqref="H7:H18">
    <x:cfRule type="containsText" dxfId="308" priority="1" operator="containsText" text="PASS"/>
    <x:cfRule type="containsText" dxfId="309" priority="2" operator="containsText" text="AUTHORIZED"/>
    <x:cfRule type="containsText" dxfId="310" priority="3" operator="containsText" text="DEFINED"/>
    <x:cfRule type="containsText" dxfId="311" priority="4" operator="containsText" text="READY"/>
    <x:cfRule type="containsText" dxfId="312" priority="5" operator="containsText" text="HOLD"/>
    <x:cfRule type="containsText" dxfId="313" priority="6" operator="containsText" text="OPEN"/>
    <x:cfRule type="containsText" dxfId="314" priority="7" operator="containsText" text="BLOCKED"/>
    <x:cfRule type="containsText" dxfId="315" priority="8" operator="containsText" text="PLANNING"/>
    <x:cfRule type="containsText" dxfId="316" priority="9" operator="containsText" text="QUARANTINE"/>
    <x:cfRule type="containsText" dxfId="317" priority="10" operator="containsText" text="INDETERMINATE"/>
    <x:cfRule type="containsText" dxfId="318" priority="11" operator="containsText" text="FAIL"/>
    <x:cfRule type="containsText" dxfId="319" priority="12" operator="containsText" text="REJECT"/>
    <x:cfRule type="containsText" dxfId="320" priority="13" operator="containsText" text="INVALID"/>
    <x:cfRule type="containsText" dxfId="321" priority="14" operator="containsText" text="STOP"/>
  </x:conditionalFormatting>
  <x:conditionalFormatting sqref="E24:E24">
    <x:cfRule type="containsText" dxfId="322" priority="15" operator="containsText" text="PASS"/>
    <x:cfRule type="containsText" dxfId="323" priority="16" operator="containsText" text="AUTHORIZED"/>
    <x:cfRule type="containsText" dxfId="324" priority="17" operator="containsText" text="DEFINED"/>
    <x:cfRule type="containsText" dxfId="325" priority="18" operator="containsText" text="READY"/>
    <x:cfRule type="containsText" dxfId="326" priority="19" operator="containsText" text="HOLD"/>
    <x:cfRule type="containsText" dxfId="327" priority="20" operator="containsText" text="OPEN"/>
    <x:cfRule type="containsText" dxfId="328" priority="21" operator="containsText" text="BLOCKED"/>
    <x:cfRule type="containsText" dxfId="329" priority="22" operator="containsText" text="PLANNING"/>
    <x:cfRule type="containsText" dxfId="330" priority="23" operator="containsText" text="QUARANTINE"/>
    <x:cfRule type="containsText" dxfId="331" priority="24" operator="containsText" text="INDETERMINATE"/>
    <x:cfRule type="containsText" dxfId="332" priority="25" operator="containsText" text="FAIL"/>
    <x:cfRule type="containsText" dxfId="333" priority="26" operator="containsText" text="REJECT"/>
    <x:cfRule type="containsText" dxfId="334" priority="27" operator="containsText" text="INVALID"/>
    <x:cfRule type="containsText" dxfId="335" priority="28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6" hidden="0" customWidth="1"/>
    <x:col min="4" max="4" width="52" hidden="0" customWidth="1"/>
    <x:col min="5" max="5" width="13" hidden="0" customWidth="1"/>
    <x:col min="6" max="6" width="13" hidden="0" customWidth="1"/>
    <x:col min="7" max="7" width="24" hidden="0" customWidth="1"/>
    <x:col min="8" max="8" width="16" hidden="0" customWidth="1"/>
    <x:col min="9" max="9" width="23" hidden="0" customWidth="1"/>
    <x:col min="10" max="10" width="22" hidden="0" customWidth="1"/>
    <x:col min="11" max="11" width="22" hidden="0" customWidth="1"/>
  </x:cols>
  <x:sheetData>
    <x:row r="2">
      <x:c r="B2" s="27" t="str">
        <x:v>One hundred fourteen sequential release gates</x:v>
      </x:c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B3" s="29" t="str">
        <x:v>Seventy-two planning gates pass. Thirty-six source gates remain open and six downstream decisions remain blocked.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B6" s="8" t="str">
        <x:v>Gate</x:v>
      </x:c>
      <x:c r="C6" s="8" t="str">
        <x:v>Class</x:v>
      </x:c>
      <x:c r="D6" s="8" t="str">
        <x:v>Decision</x:v>
      </x:c>
      <x:c r="E6" s="8" t="str">
        <x:v>Required</x:v>
      </x:c>
      <x:c r="F6" s="8" t="str">
        <x:v>Observed</x:v>
      </x:c>
      <x:c r="G6" s="8" t="str">
        <x:v>Source</x:v>
      </x:c>
      <x:c r="H6" s="8" t="str">
        <x:v>Status</x:v>
      </x:c>
      <x:c r="I6" s="8" t="str">
        <x:v>Stop authority</x:v>
      </x:c>
      <x:c r="J6" s="8" t="str">
        <x:v>Evidence authority</x:v>
      </x:c>
      <x:c r="K6" s="8" t="str">
        <x:v>Note</x:v>
      </x:c>
    </x:row>
    <x:row r="7">
      <x:c r="B7" s="10" t="str">
        <x:v>G-001</x:v>
      </x:c>
      <x:c r="C7" s="10" t="str">
        <x:v>PLANNING</x:v>
      </x:c>
      <x:c r="D7" s="10" t="str">
        <x:v>lane definition complete: LN-01</x:v>
      </x:c>
      <x:c r="E7" s="10" t="n">
        <x:v>1</x:v>
      </x:c>
      <x:c r="F7" s="10" t="n">
        <x:v>1</x:v>
      </x:c>
      <x:c r="G7" s="10" t="str">
        <x:v>Pass 115 constitution</x:v>
      </x:c>
      <x:c r="H7" s="10" t="str">
        <x:f>IF(F7&gt;=E7,"PASS","FAIL")</x:f>
        <x:v>PASS</x:v>
      </x:c>
      <x:c r="I7" s="10" t="str">
        <x:v>public baseline board</x:v>
      </x:c>
      <x:c r="J7" s="10" t="str">
        <x:v>planning record</x:v>
      </x:c>
      <x:c r="K7" s="10" t="str">
        <x:v>design authority only</x:v>
      </x:c>
    </x:row>
    <x:row r="8">
      <x:c r="B8" s="10" t="str">
        <x:v>G-002</x:v>
      </x:c>
      <x:c r="C8" s="10" t="str">
        <x:v>PLANNING</x:v>
      </x:c>
      <x:c r="D8" s="10" t="str">
        <x:v>lane definition complete: LN-02</x:v>
      </x:c>
      <x:c r="E8" s="10" t="n">
        <x:v>1</x:v>
      </x:c>
      <x:c r="F8" s="10" t="n">
        <x:v>1</x:v>
      </x:c>
      <x:c r="G8" s="10" t="str">
        <x:v>Pass 115 constitution</x:v>
      </x:c>
      <x:c r="H8" s="10" t="str">
        <x:f>IF(F8&gt;=E8,"PASS","FAIL")</x:f>
        <x:v>PASS</x:v>
      </x:c>
      <x:c r="I8" s="10" t="str">
        <x:v>public baseline board</x:v>
      </x:c>
      <x:c r="J8" s="10" t="str">
        <x:v>planning record</x:v>
      </x:c>
      <x:c r="K8" s="10" t="str">
        <x:v>design authority only</x:v>
      </x:c>
    </x:row>
    <x:row r="9">
      <x:c r="B9" s="10" t="str">
        <x:v>G-003</x:v>
      </x:c>
      <x:c r="C9" s="10" t="str">
        <x:v>PLANNING</x:v>
      </x:c>
      <x:c r="D9" s="10" t="str">
        <x:v>lane definition complete: LN-03</x:v>
      </x:c>
      <x:c r="E9" s="10" t="n">
        <x:v>1</x:v>
      </x:c>
      <x:c r="F9" s="10" t="n">
        <x:v>1</x:v>
      </x:c>
      <x:c r="G9" s="10" t="str">
        <x:v>Pass 115 constitution</x:v>
      </x:c>
      <x:c r="H9" s="10" t="str">
        <x:f>IF(F9&gt;=E9,"PASS","FAIL")</x:f>
        <x:v>PASS</x:v>
      </x:c>
      <x:c r="I9" s="10" t="str">
        <x:v>public baseline board</x:v>
      </x:c>
      <x:c r="J9" s="10" t="str">
        <x:v>planning record</x:v>
      </x:c>
      <x:c r="K9" s="10" t="str">
        <x:v>design authority only</x:v>
      </x:c>
    </x:row>
    <x:row r="10">
      <x:c r="B10" s="10" t="str">
        <x:v>G-004</x:v>
      </x:c>
      <x:c r="C10" s="10" t="str">
        <x:v>PLANNING</x:v>
      </x:c>
      <x:c r="D10" s="10" t="str">
        <x:v>lane definition complete: LN-04</x:v>
      </x:c>
      <x:c r="E10" s="10" t="n">
        <x:v>1</x:v>
      </x:c>
      <x:c r="F10" s="10" t="n">
        <x:v>1</x:v>
      </x:c>
      <x:c r="G10" s="10" t="str">
        <x:v>Pass 115 constitution</x:v>
      </x:c>
      <x:c r="H10" s="10" t="str">
        <x:f>IF(F10&gt;=E10,"PASS","FAIL")</x:f>
        <x:v>PASS</x:v>
      </x:c>
      <x:c r="I10" s="10" t="str">
        <x:v>public baseline board</x:v>
      </x:c>
      <x:c r="J10" s="10" t="str">
        <x:v>planning record</x:v>
      </x:c>
      <x:c r="K10" s="10" t="str">
        <x:v>design authority only</x:v>
      </x:c>
    </x:row>
    <x:row r="11">
      <x:c r="B11" s="10" t="str">
        <x:v>G-005</x:v>
      </x:c>
      <x:c r="C11" s="10" t="str">
        <x:v>PLANNING</x:v>
      </x:c>
      <x:c r="D11" s="10" t="str">
        <x:v>lane definition complete: LN-05</x:v>
      </x:c>
      <x:c r="E11" s="10" t="n">
        <x:v>1</x:v>
      </x:c>
      <x:c r="F11" s="10" t="n">
        <x:v>1</x:v>
      </x:c>
      <x:c r="G11" s="10" t="str">
        <x:v>Pass 115 constitution</x:v>
      </x:c>
      <x:c r="H11" s="10" t="str">
        <x:f>IF(F11&gt;=E11,"PASS","FAIL")</x:f>
        <x:v>PASS</x:v>
      </x:c>
      <x:c r="I11" s="10" t="str">
        <x:v>public baseline board</x:v>
      </x:c>
      <x:c r="J11" s="10" t="str">
        <x:v>planning record</x:v>
      </x:c>
      <x:c r="K11" s="10" t="str">
        <x:v>design authority only</x:v>
      </x:c>
    </x:row>
    <x:row r="12">
      <x:c r="B12" s="10" t="str">
        <x:v>G-006</x:v>
      </x:c>
      <x:c r="C12" s="10" t="str">
        <x:v>PLANNING</x:v>
      </x:c>
      <x:c r="D12" s="10" t="str">
        <x:v>lane definition complete: LN-06</x:v>
      </x:c>
      <x:c r="E12" s="10" t="n">
        <x:v>1</x:v>
      </x:c>
      <x:c r="F12" s="10" t="n">
        <x:v>1</x:v>
      </x:c>
      <x:c r="G12" s="10" t="str">
        <x:v>Pass 115 constitution</x:v>
      </x:c>
      <x:c r="H12" s="10" t="str">
        <x:f>IF(F12&gt;=E12,"PASS","FAIL")</x:f>
        <x:v>PASS</x:v>
      </x:c>
      <x:c r="I12" s="10" t="str">
        <x:v>public baseline board</x:v>
      </x:c>
      <x:c r="J12" s="10" t="str">
        <x:v>planning record</x:v>
      </x:c>
      <x:c r="K12" s="10" t="str">
        <x:v>design authority only</x:v>
      </x:c>
    </x:row>
    <x:row r="13">
      <x:c r="B13" s="10" t="str">
        <x:v>G-007</x:v>
      </x:c>
      <x:c r="C13" s="10" t="str">
        <x:v>PLANNING</x:v>
      </x:c>
      <x:c r="D13" s="10" t="str">
        <x:v>lane definition complete: LN-07</x:v>
      </x:c>
      <x:c r="E13" s="10" t="n">
        <x:v>1</x:v>
      </x:c>
      <x:c r="F13" s="10" t="n">
        <x:v>1</x:v>
      </x:c>
      <x:c r="G13" s="10" t="str">
        <x:v>Pass 115 constitution</x:v>
      </x:c>
      <x:c r="H13" s="10" t="str">
        <x:f>IF(F13&gt;=E13,"PASS","FAIL")</x:f>
        <x:v>PASS</x:v>
      </x:c>
      <x:c r="I13" s="10" t="str">
        <x:v>public baseline board</x:v>
      </x:c>
      <x:c r="J13" s="10" t="str">
        <x:v>planning record</x:v>
      </x:c>
      <x:c r="K13" s="10" t="str">
        <x:v>design authority only</x:v>
      </x:c>
    </x:row>
    <x:row r="14">
      <x:c r="B14" s="10" t="str">
        <x:v>G-008</x:v>
      </x:c>
      <x:c r="C14" s="10" t="str">
        <x:v>PLANNING</x:v>
      </x:c>
      <x:c r="D14" s="10" t="str">
        <x:v>lane definition complete: LN-08</x:v>
      </x:c>
      <x:c r="E14" s="10" t="n">
        <x:v>1</x:v>
      </x:c>
      <x:c r="F14" s="10" t="n">
        <x:v>1</x:v>
      </x:c>
      <x:c r="G14" s="10" t="str">
        <x:v>Pass 115 constitution</x:v>
      </x:c>
      <x:c r="H14" s="10" t="str">
        <x:f>IF(F14&gt;=E14,"PASS","FAIL")</x:f>
        <x:v>PASS</x:v>
      </x:c>
      <x:c r="I14" s="10" t="str">
        <x:v>public baseline board</x:v>
      </x:c>
      <x:c r="J14" s="10" t="str">
        <x:v>planning record</x:v>
      </x:c>
      <x:c r="K14" s="10" t="str">
        <x:v>design authority only</x:v>
      </x:c>
    </x:row>
    <x:row r="15">
      <x:c r="B15" s="10" t="str">
        <x:v>G-009</x:v>
      </x:c>
      <x:c r="C15" s="10" t="str">
        <x:v>PLANNING</x:v>
      </x:c>
      <x:c r="D15" s="10" t="str">
        <x:v>lane definition complete: LN-09</x:v>
      </x:c>
      <x:c r="E15" s="10" t="n">
        <x:v>1</x:v>
      </x:c>
      <x:c r="F15" s="10" t="n">
        <x:v>1</x:v>
      </x:c>
      <x:c r="G15" s="10" t="str">
        <x:v>Pass 115 constitution</x:v>
      </x:c>
      <x:c r="H15" s="10" t="str">
        <x:f>IF(F15&gt;=E15,"PASS","FAIL")</x:f>
        <x:v>PASS</x:v>
      </x:c>
      <x:c r="I15" s="10" t="str">
        <x:v>public baseline board</x:v>
      </x:c>
      <x:c r="J15" s="10" t="str">
        <x:v>planning record</x:v>
      </x:c>
      <x:c r="K15" s="10" t="str">
        <x:v>design authority only</x:v>
      </x:c>
    </x:row>
    <x:row r="16">
      <x:c r="B16" s="10" t="str">
        <x:v>G-010</x:v>
      </x:c>
      <x:c r="C16" s="10" t="str">
        <x:v>PLANNING</x:v>
      </x:c>
      <x:c r="D16" s="10" t="str">
        <x:v>lane definition complete: LN-10</x:v>
      </x:c>
      <x:c r="E16" s="10" t="n">
        <x:v>1</x:v>
      </x:c>
      <x:c r="F16" s="10" t="n">
        <x:v>1</x:v>
      </x:c>
      <x:c r="G16" s="10" t="str">
        <x:v>Pass 115 constitution</x:v>
      </x:c>
      <x:c r="H16" s="10" t="str">
        <x:f>IF(F16&gt;=E16,"PASS","FAIL")</x:f>
        <x:v>PASS</x:v>
      </x:c>
      <x:c r="I16" s="10" t="str">
        <x:v>public baseline board</x:v>
      </x:c>
      <x:c r="J16" s="10" t="str">
        <x:v>planning record</x:v>
      </x:c>
      <x:c r="K16" s="10" t="str">
        <x:v>design authority only</x:v>
      </x:c>
    </x:row>
    <x:row r="17">
      <x:c r="B17" s="10" t="str">
        <x:v>G-011</x:v>
      </x:c>
      <x:c r="C17" s="10" t="str">
        <x:v>PLANNING</x:v>
      </x:c>
      <x:c r="D17" s="10" t="str">
        <x:v>lane definition complete: LN-11</x:v>
      </x:c>
      <x:c r="E17" s="10" t="n">
        <x:v>1</x:v>
      </x:c>
      <x:c r="F17" s="10" t="n">
        <x:v>1</x:v>
      </x:c>
      <x:c r="G17" s="10" t="str">
        <x:v>Pass 115 constitution</x:v>
      </x:c>
      <x:c r="H17" s="10" t="str">
        <x:f>IF(F17&gt;=E17,"PASS","FAIL")</x:f>
        <x:v>PASS</x:v>
      </x:c>
      <x:c r="I17" s="10" t="str">
        <x:v>public baseline board</x:v>
      </x:c>
      <x:c r="J17" s="10" t="str">
        <x:v>planning record</x:v>
      </x:c>
      <x:c r="K17" s="10" t="str">
        <x:v>design authority only</x:v>
      </x:c>
    </x:row>
    <x:row r="18">
      <x:c r="B18" s="10" t="str">
        <x:v>G-012</x:v>
      </x:c>
      <x:c r="C18" s="10" t="str">
        <x:v>PLANNING</x:v>
      </x:c>
      <x:c r="D18" s="10" t="str">
        <x:v>lane definition complete: LN-12</x:v>
      </x:c>
      <x:c r="E18" s="10" t="n">
        <x:v>1</x:v>
      </x:c>
      <x:c r="F18" s="10" t="n">
        <x:v>1</x:v>
      </x:c>
      <x:c r="G18" s="10" t="str">
        <x:v>Pass 115 constitution</x:v>
      </x:c>
      <x:c r="H18" s="10" t="str">
        <x:f>IF(F18&gt;=E18,"PASS","FAIL")</x:f>
        <x:v>PASS</x:v>
      </x:c>
      <x:c r="I18" s="10" t="str">
        <x:v>public baseline board</x:v>
      </x:c>
      <x:c r="J18" s="10" t="str">
        <x:v>planning record</x:v>
      </x:c>
      <x:c r="K18" s="10" t="str">
        <x:v>design authority only</x:v>
      </x:c>
    </x:row>
    <x:row r="19">
      <x:c r="B19" s="10" t="str">
        <x:v>G-013</x:v>
      </x:c>
      <x:c r="C19" s="10" t="str">
        <x:v>PLANNING</x:v>
      </x:c>
      <x:c r="D19" s="10" t="str">
        <x:v>site-loss capacity closes: SA1</x:v>
      </x:c>
      <x:c r="E19" s="10" t="n">
        <x:v>1</x:v>
      </x:c>
      <x:c r="F19" s="10" t="n">
        <x:v>1</x:v>
      </x:c>
      <x:c r="G19" s="10" t="str">
        <x:v>Pass 115 constitution</x:v>
      </x:c>
      <x:c r="H19" s="10" t="str">
        <x:f>IF(F19&gt;=E19,"PASS","FAIL")</x:f>
        <x:v>PASS</x:v>
      </x:c>
      <x:c r="I19" s="10" t="str">
        <x:v>public baseline board</x:v>
      </x:c>
      <x:c r="J19" s="10" t="str">
        <x:v>planning record</x:v>
      </x:c>
      <x:c r="K19" s="10" t="str">
        <x:v>design authority only</x:v>
      </x:c>
    </x:row>
    <x:row r="20">
      <x:c r="B20" s="10" t="str">
        <x:v>G-014</x:v>
      </x:c>
      <x:c r="C20" s="10" t="str">
        <x:v>PLANNING</x:v>
      </x:c>
      <x:c r="D20" s="10" t="str">
        <x:v>site-loss capacity closes: SA2</x:v>
      </x:c>
      <x:c r="E20" s="10" t="n">
        <x:v>1</x:v>
      </x:c>
      <x:c r="F20" s="10" t="n">
        <x:v>1</x:v>
      </x:c>
      <x:c r="G20" s="10" t="str">
        <x:v>Pass 115 constitution</x:v>
      </x:c>
      <x:c r="H20" s="10" t="str">
        <x:f>IF(F20&gt;=E20,"PASS","FAIL")</x:f>
        <x:v>PASS</x:v>
      </x:c>
      <x:c r="I20" s="10" t="str">
        <x:v>public baseline board</x:v>
      </x:c>
      <x:c r="J20" s="10" t="str">
        <x:v>planning record</x:v>
      </x:c>
      <x:c r="K20" s="10" t="str">
        <x:v>design authority only</x:v>
      </x:c>
    </x:row>
    <x:row r="21">
      <x:c r="B21" s="10" t="str">
        <x:v>G-015</x:v>
      </x:c>
      <x:c r="C21" s="10" t="str">
        <x:v>PLANNING</x:v>
      </x:c>
      <x:c r="D21" s="10" t="str">
        <x:v>site-loss capacity closes: SA3</x:v>
      </x:c>
      <x:c r="E21" s="10" t="n">
        <x:v>1</x:v>
      </x:c>
      <x:c r="F21" s="10" t="n">
        <x:v>1</x:v>
      </x:c>
      <x:c r="G21" s="10" t="str">
        <x:v>Pass 115 constitution</x:v>
      </x:c>
      <x:c r="H21" s="10" t="str">
        <x:f>IF(F21&gt;=E21,"PASS","FAIL")</x:f>
        <x:v>PASS</x:v>
      </x:c>
      <x:c r="I21" s="10" t="str">
        <x:v>public baseline board</x:v>
      </x:c>
      <x:c r="J21" s="10" t="str">
        <x:v>planning record</x:v>
      </x:c>
      <x:c r="K21" s="10" t="str">
        <x:v>design authority only</x:v>
      </x:c>
    </x:row>
    <x:row r="22">
      <x:c r="B22" s="10" t="str">
        <x:v>G-016</x:v>
      </x:c>
      <x:c r="C22" s="10" t="str">
        <x:v>PLANNING</x:v>
      </x:c>
      <x:c r="D22" s="10" t="str">
        <x:v>site-loss capacity closes: SA4</x:v>
      </x:c>
      <x:c r="E22" s="10" t="n">
        <x:v>1</x:v>
      </x:c>
      <x:c r="F22" s="10" t="n">
        <x:v>1</x:v>
      </x:c>
      <x:c r="G22" s="10" t="str">
        <x:v>Pass 115 constitution</x:v>
      </x:c>
      <x:c r="H22" s="10" t="str">
        <x:f>IF(F22&gt;=E22,"PASS","FAIL")</x:f>
        <x:v>PASS</x:v>
      </x:c>
      <x:c r="I22" s="10" t="str">
        <x:v>public baseline board</x:v>
      </x:c>
      <x:c r="J22" s="10" t="str">
        <x:v>planning record</x:v>
      </x:c>
      <x:c r="K22" s="10" t="str">
        <x:v>design authority only</x:v>
      </x:c>
    </x:row>
    <x:row r="23">
      <x:c r="B23" s="10" t="str">
        <x:v>G-017</x:v>
      </x:c>
      <x:c r="C23" s="10" t="str">
        <x:v>PLANNING</x:v>
      </x:c>
      <x:c r="D23" s="10" t="str">
        <x:v>site-loss capacity closes: SA5</x:v>
      </x:c>
      <x:c r="E23" s="10" t="n">
        <x:v>1</x:v>
      </x:c>
      <x:c r="F23" s="10" t="n">
        <x:v>1</x:v>
      </x:c>
      <x:c r="G23" s="10" t="str">
        <x:v>Pass 115 constitution</x:v>
      </x:c>
      <x:c r="H23" s="10" t="str">
        <x:f>IF(F23&gt;=E23,"PASS","FAIL")</x:f>
        <x:v>PASS</x:v>
      </x:c>
      <x:c r="I23" s="10" t="str">
        <x:v>public baseline board</x:v>
      </x:c>
      <x:c r="J23" s="10" t="str">
        <x:v>planning record</x:v>
      </x:c>
      <x:c r="K23" s="10" t="str">
        <x:v>design authority only</x:v>
      </x:c>
    </x:row>
    <x:row r="24">
      <x:c r="B24" s="10" t="str">
        <x:v>G-018</x:v>
      </x:c>
      <x:c r="C24" s="10" t="str">
        <x:v>PLANNING</x:v>
      </x:c>
      <x:c r="D24" s="10" t="str">
        <x:v>site-loss capacity closes: SA6</x:v>
      </x:c>
      <x:c r="E24" s="10" t="n">
        <x:v>1</x:v>
      </x:c>
      <x:c r="F24" s="10" t="n">
        <x:v>1</x:v>
      </x:c>
      <x:c r="G24" s="10" t="str">
        <x:v>Pass 115 constitution</x:v>
      </x:c>
      <x:c r="H24" s="10" t="str">
        <x:f>IF(F24&gt;=E24,"PASS","FAIL")</x:f>
        <x:v>PASS</x:v>
      </x:c>
      <x:c r="I24" s="10" t="str">
        <x:v>public baseline board</x:v>
      </x:c>
      <x:c r="J24" s="10" t="str">
        <x:v>planning record</x:v>
      </x:c>
      <x:c r="K24" s="10" t="str">
        <x:v>design authority only</x:v>
      </x:c>
    </x:row>
    <x:row r="25">
      <x:c r="B25" s="10" t="str">
        <x:v>G-019</x:v>
      </x:c>
      <x:c r="C25" s="10" t="str">
        <x:v>PLANNING</x:v>
      </x:c>
      <x:c r="D25" s="10" t="str">
        <x:v>utility and containment envelope defined: LN-01</x:v>
      </x:c>
      <x:c r="E25" s="10" t="n">
        <x:v>1</x:v>
      </x:c>
      <x:c r="F25" s="10" t="n">
        <x:v>1</x:v>
      </x:c>
      <x:c r="G25" s="10" t="str">
        <x:v>Pass 115 constitution</x:v>
      </x:c>
      <x:c r="H25" s="10" t="str">
        <x:f>IF(F25&gt;=E25,"PASS","FAIL")</x:f>
        <x:v>PASS</x:v>
      </x:c>
      <x:c r="I25" s="10" t="str">
        <x:v>public baseline board</x:v>
      </x:c>
      <x:c r="J25" s="10" t="str">
        <x:v>planning record</x:v>
      </x:c>
      <x:c r="K25" s="10" t="str">
        <x:v>design authority only</x:v>
      </x:c>
    </x:row>
    <x:row r="26">
      <x:c r="B26" s="10" t="str">
        <x:v>G-020</x:v>
      </x:c>
      <x:c r="C26" s="10" t="str">
        <x:v>PLANNING</x:v>
      </x:c>
      <x:c r="D26" s="10" t="str">
        <x:v>utility and containment envelope defined: LN-02</x:v>
      </x:c>
      <x:c r="E26" s="10" t="n">
        <x:v>1</x:v>
      </x:c>
      <x:c r="F26" s="10" t="n">
        <x:v>1</x:v>
      </x:c>
      <x:c r="G26" s="10" t="str">
        <x:v>Pass 115 constitution</x:v>
      </x:c>
      <x:c r="H26" s="10" t="str">
        <x:f>IF(F26&gt;=E26,"PASS","FAIL")</x:f>
        <x:v>PASS</x:v>
      </x:c>
      <x:c r="I26" s="10" t="str">
        <x:v>public baseline board</x:v>
      </x:c>
      <x:c r="J26" s="10" t="str">
        <x:v>planning record</x:v>
      </x:c>
      <x:c r="K26" s="10" t="str">
        <x:v>design authority only</x:v>
      </x:c>
    </x:row>
    <x:row r="27">
      <x:c r="B27" s="10" t="str">
        <x:v>G-021</x:v>
      </x:c>
      <x:c r="C27" s="10" t="str">
        <x:v>PLANNING</x:v>
      </x:c>
      <x:c r="D27" s="10" t="str">
        <x:v>utility and containment envelope defined: LN-03</x:v>
      </x:c>
      <x:c r="E27" s="10" t="n">
        <x:v>1</x:v>
      </x:c>
      <x:c r="F27" s="10" t="n">
        <x:v>1</x:v>
      </x:c>
      <x:c r="G27" s="10" t="str">
        <x:v>Pass 115 constitution</x:v>
      </x:c>
      <x:c r="H27" s="10" t="str">
        <x:f>IF(F27&gt;=E27,"PASS","FAIL")</x:f>
        <x:v>PASS</x:v>
      </x:c>
      <x:c r="I27" s="10" t="str">
        <x:v>public baseline board</x:v>
      </x:c>
      <x:c r="J27" s="10" t="str">
        <x:v>planning record</x:v>
      </x:c>
      <x:c r="K27" s="10" t="str">
        <x:v>design authority only</x:v>
      </x:c>
    </x:row>
    <x:row r="28">
      <x:c r="B28" s="10" t="str">
        <x:v>G-022</x:v>
      </x:c>
      <x:c r="C28" s="10" t="str">
        <x:v>PLANNING</x:v>
      </x:c>
      <x:c r="D28" s="10" t="str">
        <x:v>utility and containment envelope defined: LN-04</x:v>
      </x:c>
      <x:c r="E28" s="10" t="n">
        <x:v>1</x:v>
      </x:c>
      <x:c r="F28" s="10" t="n">
        <x:v>1</x:v>
      </x:c>
      <x:c r="G28" s="10" t="str">
        <x:v>Pass 115 constitution</x:v>
      </x:c>
      <x:c r="H28" s="10" t="str">
        <x:f>IF(F28&gt;=E28,"PASS","FAIL")</x:f>
        <x:v>PASS</x:v>
      </x:c>
      <x:c r="I28" s="10" t="str">
        <x:v>public baseline board</x:v>
      </x:c>
      <x:c r="J28" s="10" t="str">
        <x:v>planning record</x:v>
      </x:c>
      <x:c r="K28" s="10" t="str">
        <x:v>design authority only</x:v>
      </x:c>
    </x:row>
    <x:row r="29">
      <x:c r="B29" s="10" t="str">
        <x:v>G-023</x:v>
      </x:c>
      <x:c r="C29" s="10" t="str">
        <x:v>PLANNING</x:v>
      </x:c>
      <x:c r="D29" s="10" t="str">
        <x:v>utility and containment envelope defined: LN-05</x:v>
      </x:c>
      <x:c r="E29" s="10" t="n">
        <x:v>1</x:v>
      </x:c>
      <x:c r="F29" s="10" t="n">
        <x:v>1</x:v>
      </x:c>
      <x:c r="G29" s="10" t="str">
        <x:v>Pass 115 constitution</x:v>
      </x:c>
      <x:c r="H29" s="10" t="str">
        <x:f>IF(F29&gt;=E29,"PASS","FAIL")</x:f>
        <x:v>PASS</x:v>
      </x:c>
      <x:c r="I29" s="10" t="str">
        <x:v>public baseline board</x:v>
      </x:c>
      <x:c r="J29" s="10" t="str">
        <x:v>planning record</x:v>
      </x:c>
      <x:c r="K29" s="10" t="str">
        <x:v>design authority only</x:v>
      </x:c>
    </x:row>
    <x:row r="30">
      <x:c r="B30" s="10" t="str">
        <x:v>G-024</x:v>
      </x:c>
      <x:c r="C30" s="10" t="str">
        <x:v>PLANNING</x:v>
      </x:c>
      <x:c r="D30" s="10" t="str">
        <x:v>utility and containment envelope defined: LN-06</x:v>
      </x:c>
      <x:c r="E30" s="10" t="n">
        <x:v>1</x:v>
      </x:c>
      <x:c r="F30" s="10" t="n">
        <x:v>1</x:v>
      </x:c>
      <x:c r="G30" s="10" t="str">
        <x:v>Pass 115 constitution</x:v>
      </x:c>
      <x:c r="H30" s="10" t="str">
        <x:f>IF(F30&gt;=E30,"PASS","FAIL")</x:f>
        <x:v>PASS</x:v>
      </x:c>
      <x:c r="I30" s="10" t="str">
        <x:v>public baseline board</x:v>
      </x:c>
      <x:c r="J30" s="10" t="str">
        <x:v>planning record</x:v>
      </x:c>
      <x:c r="K30" s="10" t="str">
        <x:v>design authority only</x:v>
      </x:c>
    </x:row>
    <x:row r="31">
      <x:c r="B31" s="10" t="str">
        <x:v>G-025</x:v>
      </x:c>
      <x:c r="C31" s="10" t="str">
        <x:v>PLANNING</x:v>
      </x:c>
      <x:c r="D31" s="10" t="str">
        <x:v>utility and containment envelope defined: LN-07</x:v>
      </x:c>
      <x:c r="E31" s="10" t="n">
        <x:v>1</x:v>
      </x:c>
      <x:c r="F31" s="10" t="n">
        <x:v>1</x:v>
      </x:c>
      <x:c r="G31" s="10" t="str">
        <x:v>Pass 115 constitution</x:v>
      </x:c>
      <x:c r="H31" s="10" t="str">
        <x:f>IF(F31&gt;=E31,"PASS","FAIL")</x:f>
        <x:v>PASS</x:v>
      </x:c>
      <x:c r="I31" s="10" t="str">
        <x:v>public baseline board</x:v>
      </x:c>
      <x:c r="J31" s="10" t="str">
        <x:v>planning record</x:v>
      </x:c>
      <x:c r="K31" s="10" t="str">
        <x:v>design authority only</x:v>
      </x:c>
    </x:row>
    <x:row r="32">
      <x:c r="B32" s="10" t="str">
        <x:v>G-026</x:v>
      </x:c>
      <x:c r="C32" s="10" t="str">
        <x:v>PLANNING</x:v>
      </x:c>
      <x:c r="D32" s="10" t="str">
        <x:v>utility and containment envelope defined: LN-08</x:v>
      </x:c>
      <x:c r="E32" s="10" t="n">
        <x:v>1</x:v>
      </x:c>
      <x:c r="F32" s="10" t="n">
        <x:v>1</x:v>
      </x:c>
      <x:c r="G32" s="10" t="str">
        <x:v>Pass 115 constitution</x:v>
      </x:c>
      <x:c r="H32" s="10" t="str">
        <x:f>IF(F32&gt;=E32,"PASS","FAIL")</x:f>
        <x:v>PASS</x:v>
      </x:c>
      <x:c r="I32" s="10" t="str">
        <x:v>public baseline board</x:v>
      </x:c>
      <x:c r="J32" s="10" t="str">
        <x:v>planning record</x:v>
      </x:c>
      <x:c r="K32" s="10" t="str">
        <x:v>design authority only</x:v>
      </x:c>
    </x:row>
    <x:row r="33">
      <x:c r="B33" s="10" t="str">
        <x:v>G-027</x:v>
      </x:c>
      <x:c r="C33" s="10" t="str">
        <x:v>PLANNING</x:v>
      </x:c>
      <x:c r="D33" s="10" t="str">
        <x:v>utility and containment envelope defined: LN-09</x:v>
      </x:c>
      <x:c r="E33" s="10" t="n">
        <x:v>1</x:v>
      </x:c>
      <x:c r="F33" s="10" t="n">
        <x:v>1</x:v>
      </x:c>
      <x:c r="G33" s="10" t="str">
        <x:v>Pass 115 constitution</x:v>
      </x:c>
      <x:c r="H33" s="10" t="str">
        <x:f>IF(F33&gt;=E33,"PASS","FAIL")</x:f>
        <x:v>PASS</x:v>
      </x:c>
      <x:c r="I33" s="10" t="str">
        <x:v>public baseline board</x:v>
      </x:c>
      <x:c r="J33" s="10" t="str">
        <x:v>planning record</x:v>
      </x:c>
      <x:c r="K33" s="10" t="str">
        <x:v>design authority only</x:v>
      </x:c>
    </x:row>
    <x:row r="34">
      <x:c r="B34" s="10" t="str">
        <x:v>G-028</x:v>
      </x:c>
      <x:c r="C34" s="10" t="str">
        <x:v>PLANNING</x:v>
      </x:c>
      <x:c r="D34" s="10" t="str">
        <x:v>utility and containment envelope defined: LN-10</x:v>
      </x:c>
      <x:c r="E34" s="10" t="n">
        <x:v>1</x:v>
      </x:c>
      <x:c r="F34" s="10" t="n">
        <x:v>1</x:v>
      </x:c>
      <x:c r="G34" s="10" t="str">
        <x:v>Pass 115 constitution</x:v>
      </x:c>
      <x:c r="H34" s="10" t="str">
        <x:f>IF(F34&gt;=E34,"PASS","FAIL")</x:f>
        <x:v>PASS</x:v>
      </x:c>
      <x:c r="I34" s="10" t="str">
        <x:v>public baseline board</x:v>
      </x:c>
      <x:c r="J34" s="10" t="str">
        <x:v>planning record</x:v>
      </x:c>
      <x:c r="K34" s="10" t="str">
        <x:v>design authority only</x:v>
      </x:c>
    </x:row>
    <x:row r="35">
      <x:c r="B35" s="10" t="str">
        <x:v>G-029</x:v>
      </x:c>
      <x:c r="C35" s="10" t="str">
        <x:v>PLANNING</x:v>
      </x:c>
      <x:c r="D35" s="10" t="str">
        <x:v>utility and containment envelope defined: LN-11</x:v>
      </x:c>
      <x:c r="E35" s="10" t="n">
        <x:v>1</x:v>
      </x:c>
      <x:c r="F35" s="10" t="n">
        <x:v>1</x:v>
      </x:c>
      <x:c r="G35" s="10" t="str">
        <x:v>Pass 115 constitution</x:v>
      </x:c>
      <x:c r="H35" s="10" t="str">
        <x:f>IF(F35&gt;=E35,"PASS","FAIL")</x:f>
        <x:v>PASS</x:v>
      </x:c>
      <x:c r="I35" s="10" t="str">
        <x:v>public baseline board</x:v>
      </x:c>
      <x:c r="J35" s="10" t="str">
        <x:v>planning record</x:v>
      </x:c>
      <x:c r="K35" s="10" t="str">
        <x:v>design authority only</x:v>
      </x:c>
    </x:row>
    <x:row r="36">
      <x:c r="B36" s="10" t="str">
        <x:v>G-030</x:v>
      </x:c>
      <x:c r="C36" s="10" t="str">
        <x:v>PLANNING</x:v>
      </x:c>
      <x:c r="D36" s="10" t="str">
        <x:v>utility and containment envelope defined: LN-12</x:v>
      </x:c>
      <x:c r="E36" s="10" t="n">
        <x:v>1</x:v>
      </x:c>
      <x:c r="F36" s="10" t="n">
        <x:v>1</x:v>
      </x:c>
      <x:c r="G36" s="10" t="str">
        <x:v>Pass 115 constitution</x:v>
      </x:c>
      <x:c r="H36" s="10" t="str">
        <x:f>IF(F36&gt;=E36,"PASS","FAIL")</x:f>
        <x:v>PASS</x:v>
      </x:c>
      <x:c r="I36" s="10" t="str">
        <x:v>public baseline board</x:v>
      </x:c>
      <x:c r="J36" s="10" t="str">
        <x:v>planning record</x:v>
      </x:c>
      <x:c r="K36" s="10" t="str">
        <x:v>design authority only</x:v>
      </x:c>
    </x:row>
    <x:row r="37">
      <x:c r="B37" s="10" t="str">
        <x:v>G-031</x:v>
      </x:c>
      <x:c r="C37" s="10" t="str">
        <x:v>PLANNING</x:v>
      </x:c>
      <x:c r="D37" s="10" t="str">
        <x:v>decisive-ancestor pair specified: SA1</x:v>
      </x:c>
      <x:c r="E37" s="10" t="n">
        <x:v>1</x:v>
      </x:c>
      <x:c r="F37" s="10" t="n">
        <x:v>1</x:v>
      </x:c>
      <x:c r="G37" s="10" t="str">
        <x:v>Pass 115 constitution</x:v>
      </x:c>
      <x:c r="H37" s="10" t="str">
        <x:f>IF(F37&gt;=E37,"PASS","FAIL")</x:f>
        <x:v>PASS</x:v>
      </x:c>
      <x:c r="I37" s="10" t="str">
        <x:v>public baseline board</x:v>
      </x:c>
      <x:c r="J37" s="10" t="str">
        <x:v>planning record</x:v>
      </x:c>
      <x:c r="K37" s="10" t="str">
        <x:v>design authority only</x:v>
      </x:c>
    </x:row>
    <x:row r="38">
      <x:c r="B38" s="10" t="str">
        <x:v>G-032</x:v>
      </x:c>
      <x:c r="C38" s="10" t="str">
        <x:v>PLANNING</x:v>
      </x:c>
      <x:c r="D38" s="10" t="str">
        <x:v>decisive-ancestor pair specified: SA2</x:v>
      </x:c>
      <x:c r="E38" s="10" t="n">
        <x:v>1</x:v>
      </x:c>
      <x:c r="F38" s="10" t="n">
        <x:v>1</x:v>
      </x:c>
      <x:c r="G38" s="10" t="str">
        <x:v>Pass 115 constitution</x:v>
      </x:c>
      <x:c r="H38" s="10" t="str">
        <x:f>IF(F38&gt;=E38,"PASS","FAIL")</x:f>
        <x:v>PASS</x:v>
      </x:c>
      <x:c r="I38" s="10" t="str">
        <x:v>public baseline board</x:v>
      </x:c>
      <x:c r="J38" s="10" t="str">
        <x:v>planning record</x:v>
      </x:c>
      <x:c r="K38" s="10" t="str">
        <x:v>design authority only</x:v>
      </x:c>
    </x:row>
    <x:row r="39">
      <x:c r="B39" s="10" t="str">
        <x:v>G-033</x:v>
      </x:c>
      <x:c r="C39" s="10" t="str">
        <x:v>PLANNING</x:v>
      </x:c>
      <x:c r="D39" s="10" t="str">
        <x:v>decisive-ancestor pair specified: SA3</x:v>
      </x:c>
      <x:c r="E39" s="10" t="n">
        <x:v>1</x:v>
      </x:c>
      <x:c r="F39" s="10" t="n">
        <x:v>1</x:v>
      </x:c>
      <x:c r="G39" s="10" t="str">
        <x:v>Pass 115 constitution</x:v>
      </x:c>
      <x:c r="H39" s="10" t="str">
        <x:f>IF(F39&gt;=E39,"PASS","FAIL")</x:f>
        <x:v>PASS</x:v>
      </x:c>
      <x:c r="I39" s="10" t="str">
        <x:v>public baseline board</x:v>
      </x:c>
      <x:c r="J39" s="10" t="str">
        <x:v>planning record</x:v>
      </x:c>
      <x:c r="K39" s="10" t="str">
        <x:v>design authority only</x:v>
      </x:c>
    </x:row>
    <x:row r="40">
      <x:c r="B40" s="10" t="str">
        <x:v>G-034</x:v>
      </x:c>
      <x:c r="C40" s="10" t="str">
        <x:v>PLANNING</x:v>
      </x:c>
      <x:c r="D40" s="10" t="str">
        <x:v>decisive-ancestor pair specified: SA4</x:v>
      </x:c>
      <x:c r="E40" s="10" t="n">
        <x:v>1</x:v>
      </x:c>
      <x:c r="F40" s="10" t="n">
        <x:v>1</x:v>
      </x:c>
      <x:c r="G40" s="10" t="str">
        <x:v>Pass 115 constitution</x:v>
      </x:c>
      <x:c r="H40" s="10" t="str">
        <x:f>IF(F40&gt;=E40,"PASS","FAIL")</x:f>
        <x:v>PASS</x:v>
      </x:c>
      <x:c r="I40" s="10" t="str">
        <x:v>public baseline board</x:v>
      </x:c>
      <x:c r="J40" s="10" t="str">
        <x:v>planning record</x:v>
      </x:c>
      <x:c r="K40" s="10" t="str">
        <x:v>design authority only</x:v>
      </x:c>
    </x:row>
    <x:row r="41">
      <x:c r="B41" s="10" t="str">
        <x:v>G-035</x:v>
      </x:c>
      <x:c r="C41" s="10" t="str">
        <x:v>PLANNING</x:v>
      </x:c>
      <x:c r="D41" s="10" t="str">
        <x:v>decisive-ancestor pair specified: SA5</x:v>
      </x:c>
      <x:c r="E41" s="10" t="n">
        <x:v>1</x:v>
      </x:c>
      <x:c r="F41" s="10" t="n">
        <x:v>1</x:v>
      </x:c>
      <x:c r="G41" s="10" t="str">
        <x:v>Pass 115 constitution</x:v>
      </x:c>
      <x:c r="H41" s="10" t="str">
        <x:f>IF(F41&gt;=E41,"PASS","FAIL")</x:f>
        <x:v>PASS</x:v>
      </x:c>
      <x:c r="I41" s="10" t="str">
        <x:v>public baseline board</x:v>
      </x:c>
      <x:c r="J41" s="10" t="str">
        <x:v>planning record</x:v>
      </x:c>
      <x:c r="K41" s="10" t="str">
        <x:v>design authority only</x:v>
      </x:c>
    </x:row>
    <x:row r="42">
      <x:c r="B42" s="10" t="str">
        <x:v>G-036</x:v>
      </x:c>
      <x:c r="C42" s="10" t="str">
        <x:v>PLANNING</x:v>
      </x:c>
      <x:c r="D42" s="10" t="str">
        <x:v>decisive-ancestor pair specified: SA6</x:v>
      </x:c>
      <x:c r="E42" s="10" t="n">
        <x:v>1</x:v>
      </x:c>
      <x:c r="F42" s="10" t="n">
        <x:v>1</x:v>
      </x:c>
      <x:c r="G42" s="10" t="str">
        <x:v>Pass 115 constitution</x:v>
      </x:c>
      <x:c r="H42" s="10" t="str">
        <x:f>IF(F42&gt;=E42,"PASS","FAIL")</x:f>
        <x:v>PASS</x:v>
      </x:c>
      <x:c r="I42" s="10" t="str">
        <x:v>public baseline board</x:v>
      </x:c>
      <x:c r="J42" s="10" t="str">
        <x:v>planning record</x:v>
      </x:c>
      <x:c r="K42" s="10" t="str">
        <x:v>design authority only</x:v>
      </x:c>
    </x:row>
    <x:row r="43">
      <x:c r="B43" s="10" t="str">
        <x:v>G-037</x:v>
      </x:c>
      <x:c r="C43" s="10" t="str">
        <x:v>PLANNING</x:v>
      </x:c>
      <x:c r="D43" s="10" t="str">
        <x:v>facility quantity defined: full-scale family lanes</x:v>
      </x:c>
      <x:c r="E43" s="10" t="n">
        <x:v>1</x:v>
      </x:c>
      <x:c r="F43" s="10" t="n">
        <x:v>1</x:v>
      </x:c>
      <x:c r="G43" s="10" t="str">
        <x:v>Pass 115 constitution</x:v>
      </x:c>
      <x:c r="H43" s="10" t="str">
        <x:f>IF(F43&gt;=E43,"PASS","FAIL")</x:f>
        <x:v>PASS</x:v>
      </x:c>
      <x:c r="I43" s="10" t="str">
        <x:v>public baseline board</x:v>
      </x:c>
      <x:c r="J43" s="10" t="str">
        <x:v>planning record</x:v>
      </x:c>
      <x:c r="K43" s="10" t="str">
        <x:v>design authority only</x:v>
      </x:c>
    </x:row>
    <x:row r="44">
      <x:c r="B44" s="10" t="str">
        <x:v>G-038</x:v>
      </x:c>
      <x:c r="C44" s="10" t="str">
        <x:v>PLANNING</x:v>
      </x:c>
      <x:c r="D44" s="10" t="str">
        <x:v>facility quantity defined: operator control rooms</x:v>
      </x:c>
      <x:c r="E44" s="10" t="n">
        <x:v>1</x:v>
      </x:c>
      <x:c r="F44" s="10" t="n">
        <x:v>1</x:v>
      </x:c>
      <x:c r="G44" s="10" t="str">
        <x:v>Pass 115 constitution</x:v>
      </x:c>
      <x:c r="H44" s="10" t="str">
        <x:f>IF(F44&gt;=E44,"PASS","FAIL")</x:f>
        <x:v>PASS</x:v>
      </x:c>
      <x:c r="I44" s="10" t="str">
        <x:v>public baseline board</x:v>
      </x:c>
      <x:c r="J44" s="10" t="str">
        <x:v>planning record</x:v>
      </x:c>
      <x:c r="K44" s="10" t="str">
        <x:v>design authority only</x:v>
      </x:c>
    </x:row>
    <x:row r="45">
      <x:c r="B45" s="10" t="str">
        <x:v>G-039</x:v>
      </x:c>
      <x:c r="C45" s="10" t="str">
        <x:v>PLANNING</x:v>
      </x:c>
      <x:c r="D45" s="10" t="str">
        <x:v>facility quantity defined: independent witness rooms</x:v>
      </x:c>
      <x:c r="E45" s="10" t="n">
        <x:v>1</x:v>
      </x:c>
      <x:c r="F45" s="10" t="n">
        <x:v>1</x:v>
      </x:c>
      <x:c r="G45" s="10" t="str">
        <x:v>Pass 115 constitution</x:v>
      </x:c>
      <x:c r="H45" s="10" t="str">
        <x:f>IF(F45&gt;=E45,"PASS","FAIL")</x:f>
        <x:v>PASS</x:v>
      </x:c>
      <x:c r="I45" s="10" t="str">
        <x:v>public baseline board</x:v>
      </x:c>
      <x:c r="J45" s="10" t="str">
        <x:v>planning record</x:v>
      </x:c>
      <x:c r="K45" s="10" t="str">
        <x:v>design authority only</x:v>
      </x:c>
    </x:row>
    <x:row r="46">
      <x:c r="B46" s="10" t="str">
        <x:v>G-040</x:v>
      </x:c>
      <x:c r="C46" s="10" t="str">
        <x:v>PLANNING</x:v>
      </x:c>
      <x:c r="D46" s="10" t="str">
        <x:v>facility quantity defined: detached evidence vaults</x:v>
      </x:c>
      <x:c r="E46" s="10" t="n">
        <x:v>1</x:v>
      </x:c>
      <x:c r="F46" s="10" t="n">
        <x:v>1</x:v>
      </x:c>
      <x:c r="G46" s="10" t="str">
        <x:v>Pass 115 constitution</x:v>
      </x:c>
      <x:c r="H46" s="10" t="str">
        <x:f>IF(F46&gt;=E46,"PASS","FAIL")</x:f>
        <x:v>PASS</x:v>
      </x:c>
      <x:c r="I46" s="10" t="str">
        <x:v>public baseline board</x:v>
      </x:c>
      <x:c r="J46" s="10" t="str">
        <x:v>planning record</x:v>
      </x:c>
      <x:c r="K46" s="10" t="str">
        <x:v>design authority only</x:v>
      </x:c>
    </x:row>
    <x:row r="47">
      <x:c r="B47" s="10" t="str">
        <x:v>G-041</x:v>
      </x:c>
      <x:c r="C47" s="10" t="str">
        <x:v>PLANNING</x:v>
      </x:c>
      <x:c r="D47" s="10" t="str">
        <x:v>facility quantity defined: calibration laboratories</x:v>
      </x:c>
      <x:c r="E47" s="10" t="n">
        <x:v>1</x:v>
      </x:c>
      <x:c r="F47" s="10" t="n">
        <x:v>1</x:v>
      </x:c>
      <x:c r="G47" s="10" t="str">
        <x:v>Pass 115 constitution</x:v>
      </x:c>
      <x:c r="H47" s="10" t="str">
        <x:f>IF(F47&gt;=E47,"PASS","FAIL")</x:f>
        <x:v>PASS</x:v>
      </x:c>
      <x:c r="I47" s="10" t="str">
        <x:v>public baseline board</x:v>
      </x:c>
      <x:c r="J47" s="10" t="str">
        <x:v>planning record</x:v>
      </x:c>
      <x:c r="K47" s="10" t="str">
        <x:v>design authority only</x:v>
      </x:c>
    </x:row>
    <x:row r="48">
      <x:c r="B48" s="10" t="str">
        <x:v>G-042</x:v>
      </x:c>
      <x:c r="C48" s="10" t="str">
        <x:v>PLANNING</x:v>
      </x:c>
      <x:c r="D48" s="10" t="str">
        <x:v>facility quantity defined: destructive examination cells</x:v>
      </x:c>
      <x:c r="E48" s="10" t="n">
        <x:v>1</x:v>
      </x:c>
      <x:c r="F48" s="10" t="n">
        <x:v>1</x:v>
      </x:c>
      <x:c r="G48" s="10" t="str">
        <x:v>Pass 115 constitution</x:v>
      </x:c>
      <x:c r="H48" s="10" t="str">
        <x:f>IF(F48&gt;=E48,"PASS","FAIL")</x:f>
        <x:v>PASS</x:v>
      </x:c>
      <x:c r="I48" s="10" t="str">
        <x:v>public baseline board</x:v>
      </x:c>
      <x:c r="J48" s="10" t="str">
        <x:v>planning record</x:v>
      </x:c>
      <x:c r="K48" s="10" t="str">
        <x:v>design authority only</x:v>
      </x:c>
    </x:row>
    <x:row r="49">
      <x:c r="B49" s="10" t="str">
        <x:v>G-043</x:v>
      </x:c>
      <x:c r="C49" s="10" t="str">
        <x:v>PLANNING</x:v>
      </x:c>
      <x:c r="D49" s="10" t="str">
        <x:v>facility quantity defined: blind configuration shops</x:v>
      </x:c>
      <x:c r="E49" s="10" t="n">
        <x:v>1</x:v>
      </x:c>
      <x:c r="F49" s="10" t="n">
        <x:v>1</x:v>
      </x:c>
      <x:c r="G49" s="10" t="str">
        <x:v>Pass 115 constitution</x:v>
      </x:c>
      <x:c r="H49" s="10" t="str">
        <x:f>IF(F49&gt;=E49,"PASS","FAIL")</x:f>
        <x:v>PASS</x:v>
      </x:c>
      <x:c r="I49" s="10" t="str">
        <x:v>public baseline board</x:v>
      </x:c>
      <x:c r="J49" s="10" t="str">
        <x:v>planning record</x:v>
      </x:c>
      <x:c r="K49" s="10" t="str">
        <x:v>design authority only</x:v>
      </x:c>
    </x:row>
    <x:row r="50">
      <x:c r="B50" s="10" t="str">
        <x:v>G-044</x:v>
      </x:c>
      <x:c r="C50" s="10" t="str">
        <x:v>PLANNING</x:v>
      </x:c>
      <x:c r="D50" s="10" t="str">
        <x:v>facility quantity defined: full-scale specimen positions</x:v>
      </x:c>
      <x:c r="E50" s="10" t="n">
        <x:v>1</x:v>
      </x:c>
      <x:c r="F50" s="10" t="n">
        <x:v>1</x:v>
      </x:c>
      <x:c r="G50" s="10" t="str">
        <x:v>Pass 115 constitution</x:v>
      </x:c>
      <x:c r="H50" s="10" t="str">
        <x:f>IF(F50&gt;=E50,"PASS","FAIL")</x:f>
        <x:v>PASS</x:v>
      </x:c>
      <x:c r="I50" s="10" t="str">
        <x:v>public baseline board</x:v>
      </x:c>
      <x:c r="J50" s="10" t="str">
        <x:v>planning record</x:v>
      </x:c>
      <x:c r="K50" s="10" t="str">
        <x:v>design authority only</x:v>
      </x:c>
    </x:row>
    <x:row r="51">
      <x:c r="B51" s="10" t="str">
        <x:v>G-045</x:v>
      </x:c>
      <x:c r="C51" s="10" t="str">
        <x:v>PLANNING</x:v>
      </x:c>
      <x:c r="D51" s="10" t="str">
        <x:v>facility quantity defined: quarantine positions</x:v>
      </x:c>
      <x:c r="E51" s="10" t="n">
        <x:v>1</x:v>
      </x:c>
      <x:c r="F51" s="10" t="n">
        <x:v>1</x:v>
      </x:c>
      <x:c r="G51" s="10" t="str">
        <x:v>Pass 115 constitution</x:v>
      </x:c>
      <x:c r="H51" s="10" t="str">
        <x:f>IF(F51&gt;=E51,"PASS","FAIL")</x:f>
        <x:v>PASS</x:v>
      </x:c>
      <x:c r="I51" s="10" t="str">
        <x:v>public baseline board</x:v>
      </x:c>
      <x:c r="J51" s="10" t="str">
        <x:v>planning record</x:v>
      </x:c>
      <x:c r="K51" s="10" t="str">
        <x:v>design authority only</x:v>
      </x:c>
    </x:row>
    <x:row r="52">
      <x:c r="B52" s="10" t="str">
        <x:v>G-046</x:v>
      </x:c>
      <x:c r="C52" s="10" t="str">
        <x:v>PLANNING</x:v>
      </x:c>
      <x:c r="D52" s="10" t="str">
        <x:v>facility quantity defined: 100 t bridge cranes</x:v>
      </x:c>
      <x:c r="E52" s="10" t="n">
        <x:v>1</x:v>
      </x:c>
      <x:c r="F52" s="10" t="n">
        <x:v>1</x:v>
      </x:c>
      <x:c r="G52" s="10" t="str">
        <x:v>Pass 115 constitution</x:v>
      </x:c>
      <x:c r="H52" s="10" t="str">
        <x:f>IF(F52&gt;=E52,"PASS","FAIL")</x:f>
        <x:v>PASS</x:v>
      </x:c>
      <x:c r="I52" s="10" t="str">
        <x:v>public baseline board</x:v>
      </x:c>
      <x:c r="J52" s="10" t="str">
        <x:v>planning record</x:v>
      </x:c>
      <x:c r="K52" s="10" t="str">
        <x:v>design authority only</x:v>
      </x:c>
    </x:row>
    <x:row r="53">
      <x:c r="B53" s="10" t="str">
        <x:v>G-047</x:v>
      </x:c>
      <x:c r="C53" s="10" t="str">
        <x:v>PLANNING</x:v>
      </x:c>
      <x:c r="D53" s="10" t="str">
        <x:v>facility quantity defined: 80 t mobile gantries</x:v>
      </x:c>
      <x:c r="E53" s="10" t="n">
        <x:v>1</x:v>
      </x:c>
      <x:c r="F53" s="10" t="n">
        <x:v>1</x:v>
      </x:c>
      <x:c r="G53" s="10" t="str">
        <x:v>Pass 115 constitution</x:v>
      </x:c>
      <x:c r="H53" s="10" t="str">
        <x:f>IF(F53&gt;=E53,"PASS","FAIL")</x:f>
        <x:v>PASS</x:v>
      </x:c>
      <x:c r="I53" s="10" t="str">
        <x:v>public baseline board</x:v>
      </x:c>
      <x:c r="J53" s="10" t="str">
        <x:v>planning record</x:v>
      </x:c>
      <x:c r="K53" s="10" t="str">
        <x:v>design authority only</x:v>
      </x:c>
    </x:row>
    <x:row r="54">
      <x:c r="B54" s="10" t="str">
        <x:v>G-048</x:v>
      </x:c>
      <x:c r="C54" s="10" t="str">
        <x:v>PLANNING</x:v>
      </x:c>
      <x:c r="D54" s="10" t="str">
        <x:v>facility quantity defined: self-propelled transporters</x:v>
      </x:c>
      <x:c r="E54" s="10" t="n">
        <x:v>1</x:v>
      </x:c>
      <x:c r="F54" s="10" t="n">
        <x:v>1</x:v>
      </x:c>
      <x:c r="G54" s="10" t="str">
        <x:v>Pass 115 constitution</x:v>
      </x:c>
      <x:c r="H54" s="10" t="str">
        <x:f>IF(F54&gt;=E54,"PASS","FAIL")</x:f>
        <x:v>PASS</x:v>
      </x:c>
      <x:c r="I54" s="10" t="str">
        <x:v>public baseline board</x:v>
      </x:c>
      <x:c r="J54" s="10" t="str">
        <x:v>planning record</x:v>
      </x:c>
      <x:c r="K54" s="10" t="str">
        <x:v>design authority only</x:v>
      </x:c>
    </x:row>
    <x:row r="55">
      <x:c r="B55" s="10" t="str">
        <x:v>G-049</x:v>
      </x:c>
      <x:c r="C55" s="10" t="str">
        <x:v>PLANNING</x:v>
      </x:c>
      <x:c r="D55" s="10" t="str">
        <x:v>facility quantity defined: treated process water</x:v>
      </x:c>
      <x:c r="E55" s="10" t="n">
        <x:v>1</x:v>
      </x:c>
      <x:c r="F55" s="10" t="n">
        <x:v>1</x:v>
      </x:c>
      <x:c r="G55" s="10" t="str">
        <x:v>Pass 115 constitution</x:v>
      </x:c>
      <x:c r="H55" s="10" t="str">
        <x:f>IF(F55&gt;=E55,"PASS","FAIL")</x:f>
        <x:v>PASS</x:v>
      </x:c>
      <x:c r="I55" s="10" t="str">
        <x:v>public baseline board</x:v>
      </x:c>
      <x:c r="J55" s="10" t="str">
        <x:v>planning record</x:v>
      </x:c>
      <x:c r="K55" s="10" t="str">
        <x:v>design authority only</x:v>
      </x:c>
    </x:row>
    <x:row r="56">
      <x:c r="B56" s="10" t="str">
        <x:v>G-050</x:v>
      </x:c>
      <x:c r="C56" s="10" t="str">
        <x:v>PLANNING</x:v>
      </x:c>
      <x:c r="D56" s="10" t="str">
        <x:v>facility quantity defined: quarantine water</x:v>
      </x:c>
      <x:c r="E56" s="10" t="n">
        <x:v>1</x:v>
      </x:c>
      <x:c r="F56" s="10" t="n">
        <x:v>1</x:v>
      </x:c>
      <x:c r="G56" s="10" t="str">
        <x:v>Pass 115 constitution</x:v>
      </x:c>
      <x:c r="H56" s="10" t="str">
        <x:f>IF(F56&gt;=E56,"PASS","FAIL")</x:f>
        <x:v>PASS</x:v>
      </x:c>
      <x:c r="I56" s="10" t="str">
        <x:v>public baseline board</x:v>
      </x:c>
      <x:c r="J56" s="10" t="str">
        <x:v>planning record</x:v>
      </x:c>
      <x:c r="K56" s="10" t="str">
        <x:v>design authority only</x:v>
      </x:c>
    </x:row>
    <x:row r="57">
      <x:c r="B57" s="10" t="str">
        <x:v>G-051</x:v>
      </x:c>
      <x:c r="C57" s="10" t="str">
        <x:v>PLANNING</x:v>
      </x:c>
      <x:c r="D57" s="10" t="str">
        <x:v>facility quantity defined: fire water</x:v>
      </x:c>
      <x:c r="E57" s="10" t="n">
        <x:v>1</x:v>
      </x:c>
      <x:c r="F57" s="10" t="n">
        <x:v>1</x:v>
      </x:c>
      <x:c r="G57" s="10" t="str">
        <x:v>Pass 115 constitution</x:v>
      </x:c>
      <x:c r="H57" s="10" t="str">
        <x:f>IF(F57&gt;=E57,"PASS","FAIL")</x:f>
        <x:v>PASS</x:v>
      </x:c>
      <x:c r="I57" s="10" t="str">
        <x:v>public baseline board</x:v>
      </x:c>
      <x:c r="J57" s="10" t="str">
        <x:v>planning record</x:v>
      </x:c>
      <x:c r="K57" s="10" t="str">
        <x:v>design authority only</x:v>
      </x:c>
    </x:row>
    <x:row r="58">
      <x:c r="B58" s="10" t="str">
        <x:v>G-052</x:v>
      </x:c>
      <x:c r="C58" s="10" t="str">
        <x:v>PLANNING</x:v>
      </x:c>
      <x:c r="D58" s="10" t="str">
        <x:v>commissioning class defined: fixture zero and transfer matrix</x:v>
      </x:c>
      <x:c r="E58" s="10" t="n">
        <x:v>1</x:v>
      </x:c>
      <x:c r="F58" s="10" t="n">
        <x:v>1</x:v>
      </x:c>
      <x:c r="G58" s="10" t="str">
        <x:v>Pass 115 constitution</x:v>
      </x:c>
      <x:c r="H58" s="10" t="str">
        <x:f>IF(F58&gt;=E58,"PASS","FAIL")</x:f>
        <x:v>PASS</x:v>
      </x:c>
      <x:c r="I58" s="10" t="str">
        <x:v>public baseline board</x:v>
      </x:c>
      <x:c r="J58" s="10" t="str">
        <x:v>planning record</x:v>
      </x:c>
      <x:c r="K58" s="10" t="str">
        <x:v>design authority only</x:v>
      </x:c>
    </x:row>
    <x:row r="59">
      <x:c r="B59" s="10" t="str">
        <x:v>G-053</x:v>
      </x:c>
      <x:c r="C59" s="10" t="str">
        <x:v>PLANNING</x:v>
      </x:c>
      <x:c r="D59" s="10" t="str">
        <x:v>commissioning class defined: known compliant near boundary</x:v>
      </x:c>
      <x:c r="E59" s="10" t="n">
        <x:v>1</x:v>
      </x:c>
      <x:c r="F59" s="10" t="n">
        <x:v>1</x:v>
      </x:c>
      <x:c r="G59" s="10" t="str">
        <x:v>Pass 115 constitution</x:v>
      </x:c>
      <x:c r="H59" s="10" t="str">
        <x:f>IF(F59&gt;=E59,"PASS","FAIL")</x:f>
        <x:v>PASS</x:v>
      </x:c>
      <x:c r="I59" s="10" t="str">
        <x:v>public baseline board</x:v>
      </x:c>
      <x:c r="J59" s="10" t="str">
        <x:v>planning record</x:v>
      </x:c>
      <x:c r="K59" s="10" t="str">
        <x:v>design authority only</x:v>
      </x:c>
    </x:row>
    <x:row r="60">
      <x:c r="B60" s="10" t="str">
        <x:v>G-054</x:v>
      </x:c>
      <x:c r="C60" s="10" t="str">
        <x:v>PLANNING</x:v>
      </x:c>
      <x:c r="D60" s="10" t="str">
        <x:v>commissioning class defined: known nonconforming beyond boundary</x:v>
      </x:c>
      <x:c r="E60" s="10" t="n">
        <x:v>1</x:v>
      </x:c>
      <x:c r="F60" s="10" t="n">
        <x:v>1</x:v>
      </x:c>
      <x:c r="G60" s="10" t="str">
        <x:v>Pass 115 constitution</x:v>
      </x:c>
      <x:c r="H60" s="10" t="str">
        <x:f>IF(F60&gt;=E60,"PASS","FAIL")</x:f>
        <x:v>PASS</x:v>
      </x:c>
      <x:c r="I60" s="10" t="str">
        <x:v>public baseline board</x:v>
      </x:c>
      <x:c r="J60" s="10" t="str">
        <x:v>planning record</x:v>
      </x:c>
      <x:c r="K60" s="10" t="str">
        <x:v>design authority only</x:v>
      </x:c>
    </x:row>
    <x:row r="61">
      <x:c r="B61" s="10" t="str">
        <x:v>G-055</x:v>
      </x:c>
      <x:c r="C61" s="10" t="str">
        <x:v>PLANNING</x:v>
      </x:c>
      <x:c r="D61" s="10" t="str">
        <x:v>commissioning class defined: decision-boundary state</x:v>
      </x:c>
      <x:c r="E61" s="10" t="n">
        <x:v>1</x:v>
      </x:c>
      <x:c r="F61" s="10" t="n">
        <x:v>1</x:v>
      </x:c>
      <x:c r="G61" s="10" t="str">
        <x:v>Pass 115 constitution</x:v>
      </x:c>
      <x:c r="H61" s="10" t="str">
        <x:f>IF(F61&gt;=E61,"PASS","FAIL")</x:f>
        <x:v>PASS</x:v>
      </x:c>
      <x:c r="I61" s="10" t="str">
        <x:v>public baseline board</x:v>
      </x:c>
      <x:c r="J61" s="10" t="str">
        <x:v>planning record</x:v>
      </x:c>
      <x:c r="K61" s="10" t="str">
        <x:v>design authority only</x:v>
      </x:c>
    </x:row>
    <x:row r="62">
      <x:c r="B62" s="10" t="str">
        <x:v>G-056</x:v>
      </x:c>
      <x:c r="C62" s="10" t="str">
        <x:v>PLANNING</x:v>
      </x:c>
      <x:c r="D62" s="10" t="str">
        <x:v>commissioning class defined: sensor saturation or native gap</x:v>
      </x:c>
      <x:c r="E62" s="10" t="n">
        <x:v>1</x:v>
      </x:c>
      <x:c r="F62" s="10" t="n">
        <x:v>1</x:v>
      </x:c>
      <x:c r="G62" s="10" t="str">
        <x:v>Pass 115 constitution</x:v>
      </x:c>
      <x:c r="H62" s="10" t="str">
        <x:f>IF(F62&gt;=E62,"PASS","FAIL")</x:f>
        <x:v>PASS</x:v>
      </x:c>
      <x:c r="I62" s="10" t="str">
        <x:v>public baseline board</x:v>
      </x:c>
      <x:c r="J62" s="10" t="str">
        <x:v>planning record</x:v>
      </x:c>
      <x:c r="K62" s="10" t="str">
        <x:v>design authority only</x:v>
      </x:c>
    </x:row>
    <x:row r="63">
      <x:c r="B63" s="10" t="str">
        <x:v>G-057</x:v>
      </x:c>
      <x:c r="C63" s="10" t="str">
        <x:v>PLANNING</x:v>
      </x:c>
      <x:c r="D63" s="10" t="str">
        <x:v>commissioning class defined: command and observation divergence</x:v>
      </x:c>
      <x:c r="E63" s="10" t="n">
        <x:v>1</x:v>
      </x:c>
      <x:c r="F63" s="10" t="n">
        <x:v>1</x:v>
      </x:c>
      <x:c r="G63" s="10" t="str">
        <x:v>Pass 115 constitution</x:v>
      </x:c>
      <x:c r="H63" s="10" t="str">
        <x:f>IF(F63&gt;=E63,"PASS","FAIL")</x:f>
        <x:v>PASS</x:v>
      </x:c>
      <x:c r="I63" s="10" t="str">
        <x:v>public baseline board</x:v>
      </x:c>
      <x:c r="J63" s="10" t="str">
        <x:v>planning record</x:v>
      </x:c>
      <x:c r="K63" s="10" t="str">
        <x:v>design authority only</x:v>
      </x:c>
    </x:row>
    <x:row r="64">
      <x:c r="B64" s="10" t="str">
        <x:v>G-058</x:v>
      </x:c>
      <x:c r="C64" s="10" t="str">
        <x:v>PLANNING</x:v>
      </x:c>
      <x:c r="D64" s="10" t="str">
        <x:v>commissioning class defined: primary controller loss</x:v>
      </x:c>
      <x:c r="E64" s="10" t="n">
        <x:v>1</x:v>
      </x:c>
      <x:c r="F64" s="10" t="n">
        <x:v>1</x:v>
      </x:c>
      <x:c r="G64" s="10" t="str">
        <x:v>Pass 115 constitution</x:v>
      </x:c>
      <x:c r="H64" s="10" t="str">
        <x:f>IF(F64&gt;=E64,"PASS","FAIL")</x:f>
        <x:v>PASS</x:v>
      </x:c>
      <x:c r="I64" s="10" t="str">
        <x:v>public baseline board</x:v>
      </x:c>
      <x:c r="J64" s="10" t="str">
        <x:v>planning record</x:v>
      </x:c>
      <x:c r="K64" s="10" t="str">
        <x:v>design authority only</x:v>
      </x:c>
    </x:row>
    <x:row r="65">
      <x:c r="B65" s="10" t="str">
        <x:v>G-059</x:v>
      </x:c>
      <x:c r="C65" s="10" t="str">
        <x:v>PLANNING</x:v>
      </x:c>
      <x:c r="D65" s="10" t="str">
        <x:v>commissioning class defined: single safe-state actuator loss</x:v>
      </x:c>
      <x:c r="E65" s="10" t="n">
        <x:v>1</x:v>
      </x:c>
      <x:c r="F65" s="10" t="n">
        <x:v>1</x:v>
      </x:c>
      <x:c r="G65" s="10" t="str">
        <x:v>Pass 115 constitution</x:v>
      </x:c>
      <x:c r="H65" s="10" t="str">
        <x:f>IF(F65&gt;=E65,"PASS","FAIL")</x:f>
        <x:v>PASS</x:v>
      </x:c>
      <x:c r="I65" s="10" t="str">
        <x:v>public baseline board</x:v>
      </x:c>
      <x:c r="J65" s="10" t="str">
        <x:v>planning record</x:v>
      </x:c>
      <x:c r="K65" s="10" t="str">
        <x:v>design authority only</x:v>
      </x:c>
    </x:row>
    <x:row r="66">
      <x:c r="B66" s="10" t="str">
        <x:v>G-060</x:v>
      </x:c>
      <x:c r="C66" s="10" t="str">
        <x:v>PLANNING</x:v>
      </x:c>
      <x:c r="D66" s="10" t="str">
        <x:v>commissioning class defined: clock, signing and network denial</x:v>
      </x:c>
      <x:c r="E66" s="10" t="n">
        <x:v>1</x:v>
      </x:c>
      <x:c r="F66" s="10" t="n">
        <x:v>1</x:v>
      </x:c>
      <x:c r="G66" s="10" t="str">
        <x:v>Pass 115 constitution</x:v>
      </x:c>
      <x:c r="H66" s="10" t="str">
        <x:f>IF(F66&gt;=E66,"PASS","FAIL")</x:f>
        <x:v>PASS</x:v>
      </x:c>
      <x:c r="I66" s="10" t="str">
        <x:v>public baseline board</x:v>
      </x:c>
      <x:c r="J66" s="10" t="str">
        <x:v>planning record</x:v>
      </x:c>
      <x:c r="K66" s="10" t="str">
        <x:v>design authority only</x:v>
      </x:c>
    </x:row>
    <x:row r="67">
      <x:c r="B67" s="10" t="str">
        <x:v>G-061</x:v>
      </x:c>
      <x:c r="C67" s="10" t="str">
        <x:v>PLANNING</x:v>
      </x:c>
      <x:c r="D67" s="10" t="str">
        <x:v>commissioning class defined: reset carryover or residual energy</x:v>
      </x:c>
      <x:c r="E67" s="10" t="n">
        <x:v>1</x:v>
      </x:c>
      <x:c r="F67" s="10" t="n">
        <x:v>1</x:v>
      </x:c>
      <x:c r="G67" s="10" t="str">
        <x:v>Pass 115 constitution</x:v>
      </x:c>
      <x:c r="H67" s="10" t="str">
        <x:f>IF(F67&gt;=E67,"PASS","FAIL")</x:f>
        <x:v>PASS</x:v>
      </x:c>
      <x:c r="I67" s="10" t="str">
        <x:v>public baseline board</x:v>
      </x:c>
      <x:c r="J67" s="10" t="str">
        <x:v>planning record</x:v>
      </x:c>
      <x:c r="K67" s="10" t="str">
        <x:v>design authority only</x:v>
      </x:c>
    </x:row>
    <x:row r="68">
      <x:c r="B68" s="10" t="str">
        <x:v>G-062</x:v>
      </x:c>
      <x:c r="C68" s="10" t="str">
        <x:v>PLANNING</x:v>
      </x:c>
      <x:c r="D68" s="10" t="str">
        <x:v>campus denial set defined: PTC-A</x:v>
      </x:c>
      <x:c r="E68" s="10" t="n">
        <x:v>1</x:v>
      </x:c>
      <x:c r="F68" s="10" t="n">
        <x:v>1</x:v>
      </x:c>
      <x:c r="G68" s="10" t="str">
        <x:v>Pass 115 constitution</x:v>
      </x:c>
      <x:c r="H68" s="10" t="str">
        <x:f>IF(F68&gt;=E68,"PASS","FAIL")</x:f>
        <x:v>PASS</x:v>
      </x:c>
      <x:c r="I68" s="10" t="str">
        <x:v>public baseline board</x:v>
      </x:c>
      <x:c r="J68" s="10" t="str">
        <x:v>planning record</x:v>
      </x:c>
      <x:c r="K68" s="10" t="str">
        <x:v>design authority only</x:v>
      </x:c>
    </x:row>
    <x:row r="69">
      <x:c r="B69" s="10" t="str">
        <x:v>G-063</x:v>
      </x:c>
      <x:c r="C69" s="10" t="str">
        <x:v>PLANNING</x:v>
      </x:c>
      <x:c r="D69" s="10" t="str">
        <x:v>campus denial set defined: PTC-B</x:v>
      </x:c>
      <x:c r="E69" s="10" t="n">
        <x:v>1</x:v>
      </x:c>
      <x:c r="F69" s="10" t="n">
        <x:v>1</x:v>
      </x:c>
      <x:c r="G69" s="10" t="str">
        <x:v>Pass 115 constitution</x:v>
      </x:c>
      <x:c r="H69" s="10" t="str">
        <x:f>IF(F69&gt;=E69,"PASS","FAIL")</x:f>
        <x:v>PASS</x:v>
      </x:c>
      <x:c r="I69" s="10" t="str">
        <x:v>public baseline board</x:v>
      </x:c>
      <x:c r="J69" s="10" t="str">
        <x:v>planning record</x:v>
      </x:c>
      <x:c r="K69" s="10" t="str">
        <x:v>design authority only</x:v>
      </x:c>
    </x:row>
    <x:row r="70">
      <x:c r="B70" s="10" t="str">
        <x:v>G-064</x:v>
      </x:c>
      <x:c r="C70" s="10" t="str">
        <x:v>PLANNING</x:v>
      </x:c>
      <x:c r="D70" s="10" t="str">
        <x:v>campus denial set defined: PTC-C</x:v>
      </x:c>
      <x:c r="E70" s="10" t="n">
        <x:v>1</x:v>
      </x:c>
      <x:c r="F70" s="10" t="n">
        <x:v>1</x:v>
      </x:c>
      <x:c r="G70" s="10" t="str">
        <x:v>Pass 115 constitution</x:v>
      </x:c>
      <x:c r="H70" s="10" t="str">
        <x:f>IF(F70&gt;=E70,"PASS","FAIL")</x:f>
        <x:v>PASS</x:v>
      </x:c>
      <x:c r="I70" s="10" t="str">
        <x:v>public baseline board</x:v>
      </x:c>
      <x:c r="J70" s="10" t="str">
        <x:v>planning record</x:v>
      </x:c>
      <x:c r="K70" s="10" t="str">
        <x:v>design authority only</x:v>
      </x:c>
    </x:row>
    <x:row r="71">
      <x:c r="B71" s="10" t="str">
        <x:v>G-065</x:v>
      </x:c>
      <x:c r="C71" s="10" t="str">
        <x:v>PLANNING</x:v>
      </x:c>
      <x:c r="D71" s="10" t="str">
        <x:v>evidence vault pair defined: PTC-A</x:v>
      </x:c>
      <x:c r="E71" s="10" t="n">
        <x:v>1</x:v>
      </x:c>
      <x:c r="F71" s="10" t="n">
        <x:v>1</x:v>
      </x:c>
      <x:c r="G71" s="10" t="str">
        <x:v>Pass 115 constitution</x:v>
      </x:c>
      <x:c r="H71" s="10" t="str">
        <x:f>IF(F71&gt;=E71,"PASS","FAIL")</x:f>
        <x:v>PASS</x:v>
      </x:c>
      <x:c r="I71" s="10" t="str">
        <x:v>public baseline board</x:v>
      </x:c>
      <x:c r="J71" s="10" t="str">
        <x:v>planning record</x:v>
      </x:c>
      <x:c r="K71" s="10" t="str">
        <x:v>design authority only</x:v>
      </x:c>
    </x:row>
    <x:row r="72">
      <x:c r="B72" s="10" t="str">
        <x:v>G-066</x:v>
      </x:c>
      <x:c r="C72" s="10" t="str">
        <x:v>PLANNING</x:v>
      </x:c>
      <x:c r="D72" s="10" t="str">
        <x:v>evidence vault pair defined: PTC-B</x:v>
      </x:c>
      <x:c r="E72" s="10" t="n">
        <x:v>1</x:v>
      </x:c>
      <x:c r="F72" s="10" t="n">
        <x:v>1</x:v>
      </x:c>
      <x:c r="G72" s="10" t="str">
        <x:v>Pass 115 constitution</x:v>
      </x:c>
      <x:c r="H72" s="10" t="str">
        <x:f>IF(F72&gt;=E72,"PASS","FAIL")</x:f>
        <x:v>PASS</x:v>
      </x:c>
      <x:c r="I72" s="10" t="str">
        <x:v>public baseline board</x:v>
      </x:c>
      <x:c r="J72" s="10" t="str">
        <x:v>planning record</x:v>
      </x:c>
      <x:c r="K72" s="10" t="str">
        <x:v>design authority only</x:v>
      </x:c>
    </x:row>
    <x:row r="73">
      <x:c r="B73" s="10" t="str">
        <x:v>G-067</x:v>
      </x:c>
      <x:c r="C73" s="10" t="str">
        <x:v>PLANNING</x:v>
      </x:c>
      <x:c r="D73" s="10" t="str">
        <x:v>evidence vault pair defined: PTC-C</x:v>
      </x:c>
      <x:c r="E73" s="10" t="n">
        <x:v>1</x:v>
      </x:c>
      <x:c r="F73" s="10" t="n">
        <x:v>1</x:v>
      </x:c>
      <x:c r="G73" s="10" t="str">
        <x:v>Pass 115 constitution</x:v>
      </x:c>
      <x:c r="H73" s="10" t="str">
        <x:f>IF(F73&gt;=E73,"PASS","FAIL")</x:f>
        <x:v>PASS</x:v>
      </x:c>
      <x:c r="I73" s="10" t="str">
        <x:v>public baseline board</x:v>
      </x:c>
      <x:c r="J73" s="10" t="str">
        <x:v>planning record</x:v>
      </x:c>
      <x:c r="K73" s="10" t="str">
        <x:v>design authority only</x:v>
      </x:c>
    </x:row>
    <x:row r="74">
      <x:c r="B74" s="10" t="str">
        <x:v>G-068</x:v>
      </x:c>
      <x:c r="C74" s="10" t="str">
        <x:v>PLANNING</x:v>
      </x:c>
      <x:c r="D74" s="10" t="str">
        <x:v>capital funding-owner crosswalk reconciles</x:v>
      </x:c>
      <x:c r="E74" s="10" t="n">
        <x:v>1</x:v>
      </x:c>
      <x:c r="F74" s="10" t="n">
        <x:v>1</x:v>
      </x:c>
      <x:c r="G74" s="10" t="str">
        <x:v>Pass 115 constitution</x:v>
      </x:c>
      <x:c r="H74" s="10" t="str">
        <x:f>IF(F74&gt;=E74,"PASS","FAIL")</x:f>
        <x:v>PASS</x:v>
      </x:c>
      <x:c r="I74" s="10" t="str">
        <x:v>public baseline board</x:v>
      </x:c>
      <x:c r="J74" s="10" t="str">
        <x:v>planning record</x:v>
      </x:c>
      <x:c r="K74" s="10" t="str">
        <x:v>design authority only</x:v>
      </x:c>
    </x:row>
    <x:row r="75">
      <x:c r="B75" s="10" t="str">
        <x:v>G-069</x:v>
      </x:c>
      <x:c r="C75" s="10" t="str">
        <x:v>PLANNING</x:v>
      </x:c>
      <x:c r="D75" s="10" t="str">
        <x:v>annual funding-owner crosswalk reconciles</x:v>
      </x:c>
      <x:c r="E75" s="10" t="n">
        <x:v>1</x:v>
      </x:c>
      <x:c r="F75" s="10" t="n">
        <x:v>1</x:v>
      </x:c>
      <x:c r="G75" s="10" t="str">
        <x:v>Pass 115 constitution</x:v>
      </x:c>
      <x:c r="H75" s="10" t="str">
        <x:f>IF(F75&gt;=E75,"PASS","FAIL")</x:f>
        <x:v>PASS</x:v>
      </x:c>
      <x:c r="I75" s="10" t="str">
        <x:v>public baseline board</x:v>
      </x:c>
      <x:c r="J75" s="10" t="str">
        <x:v>planning record</x:v>
      </x:c>
      <x:c r="K75" s="10" t="str">
        <x:v>design authority only</x:v>
      </x:c>
    </x:row>
    <x:row r="76">
      <x:c r="B76" s="10" t="str">
        <x:v>G-070</x:v>
      </x:c>
      <x:c r="C76" s="10" t="str">
        <x:v>PLANNING</x:v>
      </x:c>
      <x:c r="D76" s="10" t="str">
        <x:v>non-additive predecessor credit is explicit</x:v>
      </x:c>
      <x:c r="E76" s="10" t="n">
        <x:v>1</x:v>
      </x:c>
      <x:c r="F76" s="10" t="n">
        <x:v>1</x:v>
      </x:c>
      <x:c r="G76" s="10" t="str">
        <x:v>Pass 115 constitution</x:v>
      </x:c>
      <x:c r="H76" s="10" t="str">
        <x:f>IF(F76&gt;=E76,"PASS","FAIL")</x:f>
        <x:v>PASS</x:v>
      </x:c>
      <x:c r="I76" s="10" t="str">
        <x:v>public baseline board</x:v>
      </x:c>
      <x:c r="J76" s="10" t="str">
        <x:v>planning record</x:v>
      </x:c>
      <x:c r="K76" s="10" t="str">
        <x:v>design authority only</x:v>
      </x:c>
    </x:row>
    <x:row r="77">
      <x:c r="B77" s="10" t="str">
        <x:v>G-071</x:v>
      </x:c>
      <x:c r="C77" s="10" t="str">
        <x:v>PLANNING</x:v>
      </x:c>
      <x:c r="D77" s="10" t="str">
        <x:v>workforce assignments reconcile</x:v>
      </x:c>
      <x:c r="E77" s="10" t="n">
        <x:v>1</x:v>
      </x:c>
      <x:c r="F77" s="10" t="n">
        <x:v>1</x:v>
      </x:c>
      <x:c r="G77" s="10" t="str">
        <x:v>Pass 115 constitution</x:v>
      </x:c>
      <x:c r="H77" s="10" t="str">
        <x:f>IF(F77&gt;=E77,"PASS","FAIL")</x:f>
        <x:v>PASS</x:v>
      </x:c>
      <x:c r="I77" s="10" t="str">
        <x:v>public baseline board</x:v>
      </x:c>
      <x:c r="J77" s="10" t="str">
        <x:v>planning record</x:v>
      </x:c>
      <x:c r="K77" s="10" t="str">
        <x:v>design authority only</x:v>
      </x:c>
    </x:row>
    <x:row r="78">
      <x:c r="B78" s="10" t="str">
        <x:v>G-072</x:v>
      </x:c>
      <x:c r="C78" s="10" t="str">
        <x:v>PLANNING</x:v>
      </x:c>
      <x:c r="D78" s="10" t="str">
        <x:v>thirty-month sequence reconciles</x:v>
      </x:c>
      <x:c r="E78" s="10" t="n">
        <x:v>1</x:v>
      </x:c>
      <x:c r="F78" s="10" t="n">
        <x:v>1</x:v>
      </x:c>
      <x:c r="G78" s="10" t="str">
        <x:v>Pass 115 constitution</x:v>
      </x:c>
      <x:c r="H78" s="10" t="str">
        <x:f>IF(F78&gt;=E78,"PASS","FAIL")</x:f>
        <x:v>PASS</x:v>
      </x:c>
      <x:c r="I78" s="10" t="str">
        <x:v>public baseline board</x:v>
      </x:c>
      <x:c r="J78" s="10" t="str">
        <x:v>planning record</x:v>
      </x:c>
      <x:c r="K78" s="10" t="str">
        <x:v>design authority only</x:v>
      </x:c>
    </x:row>
    <x:row r="79">
      <x:c r="B79" s="10" t="str">
        <x:v>G-073</x:v>
      </x:c>
      <x:c r="C79" s="10" t="str">
        <x:v>SOURCE</x:v>
      </x:c>
      <x:c r="D79" s="10" t="str">
        <x:v>site construction accepted: PTC-A</x:v>
      </x:c>
      <x:c r="E79" s="10" t="n">
        <x:v>1</x:v>
      </x:c>
      <x:c r="F79" s="12" t="n">
        <x:v>0</x:v>
      </x:c>
      <x:c r="G79" s="10" t="str">
        <x:v>physical source record</x:v>
      </x:c>
      <x:c r="H79" s="10" t="str">
        <x:f>IF(F79&gt;=E79,"PASS","OPEN")</x:f>
        <x:v>OPEN</x:v>
      </x:c>
      <x:c r="I79" s="10" t="str">
        <x:v>public test authority</x:v>
      </x:c>
      <x:c r="J79" s="10" t="str">
        <x:v>independent source</x:v>
      </x:c>
      <x:c r="K79" s="10" t="str">
        <x:v>zero in planning</x:v>
      </x:c>
    </x:row>
    <x:row r="80">
      <x:c r="B80" s="10" t="str">
        <x:v>G-074</x:v>
      </x:c>
      <x:c r="C80" s="10" t="str">
        <x:v>SOURCE</x:v>
      </x:c>
      <x:c r="D80" s="10" t="str">
        <x:v>site construction accepted: PTC-B</x:v>
      </x:c>
      <x:c r="E80" s="10" t="n">
        <x:v>1</x:v>
      </x:c>
      <x:c r="F80" s="12" t="n">
        <x:v>0</x:v>
      </x:c>
      <x:c r="G80" s="10" t="str">
        <x:v>physical source record</x:v>
      </x:c>
      <x:c r="H80" s="10" t="str">
        <x:f>IF(F80&gt;=E80,"PASS","OPEN")</x:f>
        <x:v>OPEN</x:v>
      </x:c>
      <x:c r="I80" s="10" t="str">
        <x:v>public test authority</x:v>
      </x:c>
      <x:c r="J80" s="10" t="str">
        <x:v>independent source</x:v>
      </x:c>
      <x:c r="K80" s="10" t="str">
        <x:v>zero in planning</x:v>
      </x:c>
    </x:row>
    <x:row r="81">
      <x:c r="B81" s="10" t="str">
        <x:v>G-075</x:v>
      </x:c>
      <x:c r="C81" s="10" t="str">
        <x:v>SOURCE</x:v>
      </x:c>
      <x:c r="D81" s="10" t="str">
        <x:v>site construction accepted: PTC-C</x:v>
      </x:c>
      <x:c r="E81" s="10" t="n">
        <x:v>1</x:v>
      </x:c>
      <x:c r="F81" s="12" t="n">
        <x:v>0</x:v>
      </x:c>
      <x:c r="G81" s="10" t="str">
        <x:v>physical source record</x:v>
      </x:c>
      <x:c r="H81" s="10" t="str">
        <x:f>IF(F81&gt;=E81,"PASS","OPEN")</x:f>
        <x:v>OPEN</x:v>
      </x:c>
      <x:c r="I81" s="10" t="str">
        <x:v>public test authority</x:v>
      </x:c>
      <x:c r="J81" s="10" t="str">
        <x:v>independent source</x:v>
      </x:c>
      <x:c r="K81" s="10" t="str">
        <x:v>zero in planning</x:v>
      </x:c>
    </x:row>
    <x:row r="82">
      <x:c r="B82" s="10" t="str">
        <x:v>G-076</x:v>
      </x:c>
      <x:c r="C82" s="10" t="str">
        <x:v>SOURCE</x:v>
      </x:c>
      <x:c r="D82" s="10" t="str">
        <x:v>lane commissioned: LN-01</x:v>
      </x:c>
      <x:c r="E82" s="10" t="n">
        <x:v>1</x:v>
      </x:c>
      <x:c r="F82" s="12" t="n">
        <x:v>0</x:v>
      </x:c>
      <x:c r="G82" s="10" t="str">
        <x:v>physical source record</x:v>
      </x:c>
      <x:c r="H82" s="10" t="str">
        <x:f>IF(F82&gt;=E82,"PASS","OPEN")</x:f>
        <x:v>OPEN</x:v>
      </x:c>
      <x:c r="I82" s="10" t="str">
        <x:v>public test authority</x:v>
      </x:c>
      <x:c r="J82" s="10" t="str">
        <x:v>independent source</x:v>
      </x:c>
      <x:c r="K82" s="10" t="str">
        <x:v>zero in planning</x:v>
      </x:c>
    </x:row>
    <x:row r="83">
      <x:c r="B83" s="10" t="str">
        <x:v>G-077</x:v>
      </x:c>
      <x:c r="C83" s="10" t="str">
        <x:v>SOURCE</x:v>
      </x:c>
      <x:c r="D83" s="10" t="str">
        <x:v>lane commissioned: LN-02</x:v>
      </x:c>
      <x:c r="E83" s="10" t="n">
        <x:v>1</x:v>
      </x:c>
      <x:c r="F83" s="12" t="n">
        <x:v>0</x:v>
      </x:c>
      <x:c r="G83" s="10" t="str">
        <x:v>physical source record</x:v>
      </x:c>
      <x:c r="H83" s="10" t="str">
        <x:f>IF(F83&gt;=E83,"PASS","OPEN")</x:f>
        <x:v>OPEN</x:v>
      </x:c>
      <x:c r="I83" s="10" t="str">
        <x:v>public test authority</x:v>
      </x:c>
      <x:c r="J83" s="10" t="str">
        <x:v>independent source</x:v>
      </x:c>
      <x:c r="K83" s="10" t="str">
        <x:v>zero in planning</x:v>
      </x:c>
    </x:row>
    <x:row r="84">
      <x:c r="B84" s="10" t="str">
        <x:v>G-078</x:v>
      </x:c>
      <x:c r="C84" s="10" t="str">
        <x:v>SOURCE</x:v>
      </x:c>
      <x:c r="D84" s="10" t="str">
        <x:v>lane commissioned: LN-03</x:v>
      </x:c>
      <x:c r="E84" s="10" t="n">
        <x:v>1</x:v>
      </x:c>
      <x:c r="F84" s="12" t="n">
        <x:v>0</x:v>
      </x:c>
      <x:c r="G84" s="10" t="str">
        <x:v>physical source record</x:v>
      </x:c>
      <x:c r="H84" s="10" t="str">
        <x:f>IF(F84&gt;=E84,"PASS","OPEN")</x:f>
        <x:v>OPEN</x:v>
      </x:c>
      <x:c r="I84" s="10" t="str">
        <x:v>public test authority</x:v>
      </x:c>
      <x:c r="J84" s="10" t="str">
        <x:v>independent source</x:v>
      </x:c>
      <x:c r="K84" s="10" t="str">
        <x:v>zero in planning</x:v>
      </x:c>
    </x:row>
    <x:row r="85">
      <x:c r="B85" s="10" t="str">
        <x:v>G-079</x:v>
      </x:c>
      <x:c r="C85" s="10" t="str">
        <x:v>SOURCE</x:v>
      </x:c>
      <x:c r="D85" s="10" t="str">
        <x:v>lane commissioned: LN-04</x:v>
      </x:c>
      <x:c r="E85" s="10" t="n">
        <x:v>1</x:v>
      </x:c>
      <x:c r="F85" s="12" t="n">
        <x:v>0</x:v>
      </x:c>
      <x:c r="G85" s="10" t="str">
        <x:v>physical source record</x:v>
      </x:c>
      <x:c r="H85" s="10" t="str">
        <x:f>IF(F85&gt;=E85,"PASS","OPEN")</x:f>
        <x:v>OPEN</x:v>
      </x:c>
      <x:c r="I85" s="10" t="str">
        <x:v>public test authority</x:v>
      </x:c>
      <x:c r="J85" s="10" t="str">
        <x:v>independent source</x:v>
      </x:c>
      <x:c r="K85" s="10" t="str">
        <x:v>zero in planning</x:v>
      </x:c>
    </x:row>
    <x:row r="86">
      <x:c r="B86" s="10" t="str">
        <x:v>G-080</x:v>
      </x:c>
      <x:c r="C86" s="10" t="str">
        <x:v>SOURCE</x:v>
      </x:c>
      <x:c r="D86" s="10" t="str">
        <x:v>lane commissioned: LN-05</x:v>
      </x:c>
      <x:c r="E86" s="10" t="n">
        <x:v>1</x:v>
      </x:c>
      <x:c r="F86" s="12" t="n">
        <x:v>0</x:v>
      </x:c>
      <x:c r="G86" s="10" t="str">
        <x:v>physical source record</x:v>
      </x:c>
      <x:c r="H86" s="10" t="str">
        <x:f>IF(F86&gt;=E86,"PASS","OPEN")</x:f>
        <x:v>OPEN</x:v>
      </x:c>
      <x:c r="I86" s="10" t="str">
        <x:v>public test authority</x:v>
      </x:c>
      <x:c r="J86" s="10" t="str">
        <x:v>independent source</x:v>
      </x:c>
      <x:c r="K86" s="10" t="str">
        <x:v>zero in planning</x:v>
      </x:c>
    </x:row>
    <x:row r="87">
      <x:c r="B87" s="10" t="str">
        <x:v>G-081</x:v>
      </x:c>
      <x:c r="C87" s="10" t="str">
        <x:v>SOURCE</x:v>
      </x:c>
      <x:c r="D87" s="10" t="str">
        <x:v>lane commissioned: LN-06</x:v>
      </x:c>
      <x:c r="E87" s="10" t="n">
        <x:v>1</x:v>
      </x:c>
      <x:c r="F87" s="12" t="n">
        <x:v>0</x:v>
      </x:c>
      <x:c r="G87" s="10" t="str">
        <x:v>physical source record</x:v>
      </x:c>
      <x:c r="H87" s="10" t="str">
        <x:f>IF(F87&gt;=E87,"PASS","OPEN")</x:f>
        <x:v>OPEN</x:v>
      </x:c>
      <x:c r="I87" s="10" t="str">
        <x:v>public test authority</x:v>
      </x:c>
      <x:c r="J87" s="10" t="str">
        <x:v>independent source</x:v>
      </x:c>
      <x:c r="K87" s="10" t="str">
        <x:v>zero in planning</x:v>
      </x:c>
    </x:row>
    <x:row r="88">
      <x:c r="B88" s="10" t="str">
        <x:v>G-082</x:v>
      </x:c>
      <x:c r="C88" s="10" t="str">
        <x:v>SOURCE</x:v>
      </x:c>
      <x:c r="D88" s="10" t="str">
        <x:v>lane commissioned: LN-07</x:v>
      </x:c>
      <x:c r="E88" s="10" t="n">
        <x:v>1</x:v>
      </x:c>
      <x:c r="F88" s="12" t="n">
        <x:v>0</x:v>
      </x:c>
      <x:c r="G88" s="10" t="str">
        <x:v>physical source record</x:v>
      </x:c>
      <x:c r="H88" s="10" t="str">
        <x:f>IF(F88&gt;=E88,"PASS","OPEN")</x:f>
        <x:v>OPEN</x:v>
      </x:c>
      <x:c r="I88" s="10" t="str">
        <x:v>public test authority</x:v>
      </x:c>
      <x:c r="J88" s="10" t="str">
        <x:v>independent source</x:v>
      </x:c>
      <x:c r="K88" s="10" t="str">
        <x:v>zero in planning</x:v>
      </x:c>
    </x:row>
    <x:row r="89">
      <x:c r="B89" s="10" t="str">
        <x:v>G-083</x:v>
      </x:c>
      <x:c r="C89" s="10" t="str">
        <x:v>SOURCE</x:v>
      </x:c>
      <x:c r="D89" s="10" t="str">
        <x:v>lane commissioned: LN-08</x:v>
      </x:c>
      <x:c r="E89" s="10" t="n">
        <x:v>1</x:v>
      </x:c>
      <x:c r="F89" s="12" t="n">
        <x:v>0</x:v>
      </x:c>
      <x:c r="G89" s="10" t="str">
        <x:v>physical source record</x:v>
      </x:c>
      <x:c r="H89" s="10" t="str">
        <x:f>IF(F89&gt;=E89,"PASS","OPEN")</x:f>
        <x:v>OPEN</x:v>
      </x:c>
      <x:c r="I89" s="10" t="str">
        <x:v>public test authority</x:v>
      </x:c>
      <x:c r="J89" s="10" t="str">
        <x:v>independent source</x:v>
      </x:c>
      <x:c r="K89" s="10" t="str">
        <x:v>zero in planning</x:v>
      </x:c>
    </x:row>
    <x:row r="90">
      <x:c r="B90" s="10" t="str">
        <x:v>G-084</x:v>
      </x:c>
      <x:c r="C90" s="10" t="str">
        <x:v>SOURCE</x:v>
      </x:c>
      <x:c r="D90" s="10" t="str">
        <x:v>lane commissioned: LN-09</x:v>
      </x:c>
      <x:c r="E90" s="10" t="n">
        <x:v>1</x:v>
      </x:c>
      <x:c r="F90" s="12" t="n">
        <x:v>0</x:v>
      </x:c>
      <x:c r="G90" s="10" t="str">
        <x:v>physical source record</x:v>
      </x:c>
      <x:c r="H90" s="10" t="str">
        <x:f>IF(F90&gt;=E90,"PASS","OPEN")</x:f>
        <x:v>OPEN</x:v>
      </x:c>
      <x:c r="I90" s="10" t="str">
        <x:v>public test authority</x:v>
      </x:c>
      <x:c r="J90" s="10" t="str">
        <x:v>independent source</x:v>
      </x:c>
      <x:c r="K90" s="10" t="str">
        <x:v>zero in planning</x:v>
      </x:c>
    </x:row>
    <x:row r="91">
      <x:c r="B91" s="10" t="str">
        <x:v>G-085</x:v>
      </x:c>
      <x:c r="C91" s="10" t="str">
        <x:v>SOURCE</x:v>
      </x:c>
      <x:c r="D91" s="10" t="str">
        <x:v>lane commissioned: LN-10</x:v>
      </x:c>
      <x:c r="E91" s="10" t="n">
        <x:v>1</x:v>
      </x:c>
      <x:c r="F91" s="12" t="n">
        <x:v>0</x:v>
      </x:c>
      <x:c r="G91" s="10" t="str">
        <x:v>physical source record</x:v>
      </x:c>
      <x:c r="H91" s="10" t="str">
        <x:f>IF(F91&gt;=E91,"PASS","OPEN")</x:f>
        <x:v>OPEN</x:v>
      </x:c>
      <x:c r="I91" s="10" t="str">
        <x:v>public test authority</x:v>
      </x:c>
      <x:c r="J91" s="10" t="str">
        <x:v>independent source</x:v>
      </x:c>
      <x:c r="K91" s="10" t="str">
        <x:v>zero in planning</x:v>
      </x:c>
    </x:row>
    <x:row r="92">
      <x:c r="B92" s="10" t="str">
        <x:v>G-086</x:v>
      </x:c>
      <x:c r="C92" s="10" t="str">
        <x:v>SOURCE</x:v>
      </x:c>
      <x:c r="D92" s="10" t="str">
        <x:v>lane commissioned: LN-11</x:v>
      </x:c>
      <x:c r="E92" s="10" t="n">
        <x:v>1</x:v>
      </x:c>
      <x:c r="F92" s="12" t="n">
        <x:v>0</x:v>
      </x:c>
      <x:c r="G92" s="10" t="str">
        <x:v>physical source record</x:v>
      </x:c>
      <x:c r="H92" s="10" t="str">
        <x:f>IF(F92&gt;=E92,"PASS","OPEN")</x:f>
        <x:v>OPEN</x:v>
      </x:c>
      <x:c r="I92" s="10" t="str">
        <x:v>public test authority</x:v>
      </x:c>
      <x:c r="J92" s="10" t="str">
        <x:v>independent source</x:v>
      </x:c>
      <x:c r="K92" s="10" t="str">
        <x:v>zero in planning</x:v>
      </x:c>
    </x:row>
    <x:row r="93">
      <x:c r="B93" s="10" t="str">
        <x:v>G-087</x:v>
      </x:c>
      <x:c r="C93" s="10" t="str">
        <x:v>SOURCE</x:v>
      </x:c>
      <x:c r="D93" s="10" t="str">
        <x:v>lane commissioned: LN-12</x:v>
      </x:c>
      <x:c r="E93" s="10" t="n">
        <x:v>1</x:v>
      </x:c>
      <x:c r="F93" s="12" t="n">
        <x:v>0</x:v>
      </x:c>
      <x:c r="G93" s="10" t="str">
        <x:v>physical source record</x:v>
      </x:c>
      <x:c r="H93" s="10" t="str">
        <x:f>IF(F93&gt;=E93,"PASS","OPEN")</x:f>
        <x:v>OPEN</x:v>
      </x:c>
      <x:c r="I93" s="10" t="str">
        <x:v>public test authority</x:v>
      </x:c>
      <x:c r="J93" s="10" t="str">
        <x:v>independent source</x:v>
      </x:c>
      <x:c r="K93" s="10" t="str">
        <x:v>zero in planning</x:v>
      </x:c>
    </x:row>
    <x:row r="94">
      <x:c r="B94" s="10" t="str">
        <x:v>G-088</x:v>
      </x:c>
      <x:c r="C94" s="10" t="str">
        <x:v>SOURCE</x:v>
      </x:c>
      <x:c r="D94" s="10" t="str">
        <x:v>reference group accepted: SA1</x:v>
      </x:c>
      <x:c r="E94" s="10" t="n">
        <x:v>1</x:v>
      </x:c>
      <x:c r="F94" s="12" t="n">
        <x:v>0</x:v>
      </x:c>
      <x:c r="G94" s="10" t="str">
        <x:v>physical source record</x:v>
      </x:c>
      <x:c r="H94" s="10" t="str">
        <x:f>IF(F94&gt;=E94,"PASS","OPEN")</x:f>
        <x:v>OPEN</x:v>
      </x:c>
      <x:c r="I94" s="10" t="str">
        <x:v>public test authority</x:v>
      </x:c>
      <x:c r="J94" s="10" t="str">
        <x:v>independent source</x:v>
      </x:c>
      <x:c r="K94" s="10" t="str">
        <x:v>zero in planning</x:v>
      </x:c>
    </x:row>
    <x:row r="95">
      <x:c r="B95" s="10" t="str">
        <x:v>G-089</x:v>
      </x:c>
      <x:c r="C95" s="10" t="str">
        <x:v>SOURCE</x:v>
      </x:c>
      <x:c r="D95" s="10" t="str">
        <x:v>reference group accepted: SA2</x:v>
      </x:c>
      <x:c r="E95" s="10" t="n">
        <x:v>1</x:v>
      </x:c>
      <x:c r="F95" s="12" t="n">
        <x:v>0</x:v>
      </x:c>
      <x:c r="G95" s="10" t="str">
        <x:v>physical source record</x:v>
      </x:c>
      <x:c r="H95" s="10" t="str">
        <x:f>IF(F95&gt;=E95,"PASS","OPEN")</x:f>
        <x:v>OPEN</x:v>
      </x:c>
      <x:c r="I95" s="10" t="str">
        <x:v>public test authority</x:v>
      </x:c>
      <x:c r="J95" s="10" t="str">
        <x:v>independent source</x:v>
      </x:c>
      <x:c r="K95" s="10" t="str">
        <x:v>zero in planning</x:v>
      </x:c>
    </x:row>
    <x:row r="96">
      <x:c r="B96" s="10" t="str">
        <x:v>G-090</x:v>
      </x:c>
      <x:c r="C96" s="10" t="str">
        <x:v>SOURCE</x:v>
      </x:c>
      <x:c r="D96" s="10" t="str">
        <x:v>reference group accepted: SA3</x:v>
      </x:c>
      <x:c r="E96" s="10" t="n">
        <x:v>1</x:v>
      </x:c>
      <x:c r="F96" s="12" t="n">
        <x:v>0</x:v>
      </x:c>
      <x:c r="G96" s="10" t="str">
        <x:v>physical source record</x:v>
      </x:c>
      <x:c r="H96" s="10" t="str">
        <x:f>IF(F96&gt;=E96,"PASS","OPEN")</x:f>
        <x:v>OPEN</x:v>
      </x:c>
      <x:c r="I96" s="10" t="str">
        <x:v>public test authority</x:v>
      </x:c>
      <x:c r="J96" s="10" t="str">
        <x:v>independent source</x:v>
      </x:c>
      <x:c r="K96" s="10" t="str">
        <x:v>zero in planning</x:v>
      </x:c>
    </x:row>
    <x:row r="97">
      <x:c r="B97" s="10" t="str">
        <x:v>G-091</x:v>
      </x:c>
      <x:c r="C97" s="10" t="str">
        <x:v>SOURCE</x:v>
      </x:c>
      <x:c r="D97" s="10" t="str">
        <x:v>reference group accepted: SA4</x:v>
      </x:c>
      <x:c r="E97" s="10" t="n">
        <x:v>1</x:v>
      </x:c>
      <x:c r="F97" s="12" t="n">
        <x:v>0</x:v>
      </x:c>
      <x:c r="G97" s="10" t="str">
        <x:v>physical source record</x:v>
      </x:c>
      <x:c r="H97" s="10" t="str">
        <x:f>IF(F97&gt;=E97,"PASS","OPEN")</x:f>
        <x:v>OPEN</x:v>
      </x:c>
      <x:c r="I97" s="10" t="str">
        <x:v>public test authority</x:v>
      </x:c>
      <x:c r="J97" s="10" t="str">
        <x:v>independent source</x:v>
      </x:c>
      <x:c r="K97" s="10" t="str">
        <x:v>zero in planning</x:v>
      </x:c>
    </x:row>
    <x:row r="98">
      <x:c r="B98" s="10" t="str">
        <x:v>G-092</x:v>
      </x:c>
      <x:c r="C98" s="10" t="str">
        <x:v>SOURCE</x:v>
      </x:c>
      <x:c r="D98" s="10" t="str">
        <x:v>reference group accepted: SA5</x:v>
      </x:c>
      <x:c r="E98" s="10" t="n">
        <x:v>1</x:v>
      </x:c>
      <x:c r="F98" s="12" t="n">
        <x:v>0</x:v>
      </x:c>
      <x:c r="G98" s="10" t="str">
        <x:v>physical source record</x:v>
      </x:c>
      <x:c r="H98" s="10" t="str">
        <x:f>IF(F98&gt;=E98,"PASS","OPEN")</x:f>
        <x:v>OPEN</x:v>
      </x:c>
      <x:c r="I98" s="10" t="str">
        <x:v>public test authority</x:v>
      </x:c>
      <x:c r="J98" s="10" t="str">
        <x:v>independent source</x:v>
      </x:c>
      <x:c r="K98" s="10" t="str">
        <x:v>zero in planning</x:v>
      </x:c>
    </x:row>
    <x:row r="99">
      <x:c r="B99" s="10" t="str">
        <x:v>G-093</x:v>
      </x:c>
      <x:c r="C99" s="10" t="str">
        <x:v>SOURCE</x:v>
      </x:c>
      <x:c r="D99" s="10" t="str">
        <x:v>reference group accepted: SA6</x:v>
      </x:c>
      <x:c r="E99" s="10" t="n">
        <x:v>1</x:v>
      </x:c>
      <x:c r="F99" s="12" t="n">
        <x:v>0</x:v>
      </x:c>
      <x:c r="G99" s="10" t="str">
        <x:v>physical source record</x:v>
      </x:c>
      <x:c r="H99" s="10" t="str">
        <x:f>IF(F99&gt;=E99,"PASS","OPEN")</x:f>
        <x:v>OPEN</x:v>
      </x:c>
      <x:c r="I99" s="10" t="str">
        <x:v>public test authority</x:v>
      </x:c>
      <x:c r="J99" s="10" t="str">
        <x:v>independent source</x:v>
      </x:c>
      <x:c r="K99" s="10" t="str">
        <x:v>zero in planning</x:v>
      </x:c>
    </x:row>
    <x:row r="100">
      <x:c r="B100" s="10" t="str">
        <x:v>G-094</x:v>
      </x:c>
      <x:c r="C100" s="10" t="str">
        <x:v>SOURCE</x:v>
      </x:c>
      <x:c r="D100" s="10" t="str">
        <x:v>campus denial set passed: PTC-A</x:v>
      </x:c>
      <x:c r="E100" s="10" t="n">
        <x:v>1</x:v>
      </x:c>
      <x:c r="F100" s="12" t="n">
        <x:v>0</x:v>
      </x:c>
      <x:c r="G100" s="10" t="str">
        <x:v>physical source record</x:v>
      </x:c>
      <x:c r="H100" s="10" t="str">
        <x:f>IF(F100&gt;=E100,"PASS","OPEN")</x:f>
        <x:v>OPEN</x:v>
      </x:c>
      <x:c r="I100" s="10" t="str">
        <x:v>public test authority</x:v>
      </x:c>
      <x:c r="J100" s="10" t="str">
        <x:v>independent source</x:v>
      </x:c>
      <x:c r="K100" s="10" t="str">
        <x:v>zero in planning</x:v>
      </x:c>
    </x:row>
    <x:row r="101">
      <x:c r="B101" s="10" t="str">
        <x:v>G-095</x:v>
      </x:c>
      <x:c r="C101" s="10" t="str">
        <x:v>SOURCE</x:v>
      </x:c>
      <x:c r="D101" s="10" t="str">
        <x:v>campus denial set passed: PTC-B</x:v>
      </x:c>
      <x:c r="E101" s="10" t="n">
        <x:v>1</x:v>
      </x:c>
      <x:c r="F101" s="12" t="n">
        <x:v>0</x:v>
      </x:c>
      <x:c r="G101" s="10" t="str">
        <x:v>physical source record</x:v>
      </x:c>
      <x:c r="H101" s="10" t="str">
        <x:f>IF(F101&gt;=E101,"PASS","OPEN")</x:f>
        <x:v>OPEN</x:v>
      </x:c>
      <x:c r="I101" s="10" t="str">
        <x:v>public test authority</x:v>
      </x:c>
      <x:c r="J101" s="10" t="str">
        <x:v>independent source</x:v>
      </x:c>
      <x:c r="K101" s="10" t="str">
        <x:v>zero in planning</x:v>
      </x:c>
    </x:row>
    <x:row r="102">
      <x:c r="B102" s="10" t="str">
        <x:v>G-096</x:v>
      </x:c>
      <x:c r="C102" s="10" t="str">
        <x:v>SOURCE</x:v>
      </x:c>
      <x:c r="D102" s="10" t="str">
        <x:v>campus denial set passed: PTC-C</x:v>
      </x:c>
      <x:c r="E102" s="10" t="n">
        <x:v>1</x:v>
      </x:c>
      <x:c r="F102" s="12" t="n">
        <x:v>0</x:v>
      </x:c>
      <x:c r="G102" s="10" t="str">
        <x:v>physical source record</x:v>
      </x:c>
      <x:c r="H102" s="10" t="str">
        <x:f>IF(F102&gt;=E102,"PASS","OPEN")</x:f>
        <x:v>OPEN</x:v>
      </x:c>
      <x:c r="I102" s="10" t="str">
        <x:v>public test authority</x:v>
      </x:c>
      <x:c r="J102" s="10" t="str">
        <x:v>independent source</x:v>
      </x:c>
      <x:c r="K102" s="10" t="str">
        <x:v>zero in planning</x:v>
      </x:c>
    </x:row>
    <x:row r="103">
      <x:c r="B103" s="10" t="str">
        <x:v>G-097</x:v>
      </x:c>
      <x:c r="C103" s="10" t="str">
        <x:v>SOURCE</x:v>
      </x:c>
      <x:c r="D103" s="10" t="str">
        <x:v>cross-site reconstruction accepted: SA1</x:v>
      </x:c>
      <x:c r="E103" s="10" t="n">
        <x:v>1</x:v>
      </x:c>
      <x:c r="F103" s="12" t="n">
        <x:v>0</x:v>
      </x:c>
      <x:c r="G103" s="10" t="str">
        <x:v>physical source record</x:v>
      </x:c>
      <x:c r="H103" s="10" t="str">
        <x:f>IF(F103&gt;=E103,"PASS","OPEN")</x:f>
        <x:v>OPEN</x:v>
      </x:c>
      <x:c r="I103" s="10" t="str">
        <x:v>public test authority</x:v>
      </x:c>
      <x:c r="J103" s="10" t="str">
        <x:v>independent source</x:v>
      </x:c>
      <x:c r="K103" s="10" t="str">
        <x:v>zero in planning</x:v>
      </x:c>
    </x:row>
    <x:row r="104">
      <x:c r="B104" s="10" t="str">
        <x:v>G-098</x:v>
      </x:c>
      <x:c r="C104" s="10" t="str">
        <x:v>SOURCE</x:v>
      </x:c>
      <x:c r="D104" s="10" t="str">
        <x:v>cross-site reconstruction accepted: SA2</x:v>
      </x:c>
      <x:c r="E104" s="10" t="n">
        <x:v>1</x:v>
      </x:c>
      <x:c r="F104" s="12" t="n">
        <x:v>0</x:v>
      </x:c>
      <x:c r="G104" s="10" t="str">
        <x:v>physical source record</x:v>
      </x:c>
      <x:c r="H104" s="10" t="str">
        <x:f>IF(F104&gt;=E104,"PASS","OPEN")</x:f>
        <x:v>OPEN</x:v>
      </x:c>
      <x:c r="I104" s="10" t="str">
        <x:v>public test authority</x:v>
      </x:c>
      <x:c r="J104" s="10" t="str">
        <x:v>independent source</x:v>
      </x:c>
      <x:c r="K104" s="10" t="str">
        <x:v>zero in planning</x:v>
      </x:c>
    </x:row>
    <x:row r="105">
      <x:c r="B105" s="10" t="str">
        <x:v>G-099</x:v>
      </x:c>
      <x:c r="C105" s="10" t="str">
        <x:v>SOURCE</x:v>
      </x:c>
      <x:c r="D105" s="10" t="str">
        <x:v>cross-site reconstruction accepted: SA3</x:v>
      </x:c>
      <x:c r="E105" s="10" t="n">
        <x:v>1</x:v>
      </x:c>
      <x:c r="F105" s="12" t="n">
        <x:v>0</x:v>
      </x:c>
      <x:c r="G105" s="10" t="str">
        <x:v>physical source record</x:v>
      </x:c>
      <x:c r="H105" s="10" t="str">
        <x:f>IF(F105&gt;=E105,"PASS","OPEN")</x:f>
        <x:v>OPEN</x:v>
      </x:c>
      <x:c r="I105" s="10" t="str">
        <x:v>public test authority</x:v>
      </x:c>
      <x:c r="J105" s="10" t="str">
        <x:v>independent source</x:v>
      </x:c>
      <x:c r="K105" s="10" t="str">
        <x:v>zero in planning</x:v>
      </x:c>
    </x:row>
    <x:row r="106">
      <x:c r="B106" s="10" t="str">
        <x:v>G-100</x:v>
      </x:c>
      <x:c r="C106" s="10" t="str">
        <x:v>SOURCE</x:v>
      </x:c>
      <x:c r="D106" s="10" t="str">
        <x:v>cross-site reconstruction accepted: SA4</x:v>
      </x:c>
      <x:c r="E106" s="10" t="n">
        <x:v>1</x:v>
      </x:c>
      <x:c r="F106" s="12" t="n">
        <x:v>0</x:v>
      </x:c>
      <x:c r="G106" s="10" t="str">
        <x:v>physical source record</x:v>
      </x:c>
      <x:c r="H106" s="10" t="str">
        <x:f>IF(F106&gt;=E106,"PASS","OPEN")</x:f>
        <x:v>OPEN</x:v>
      </x:c>
      <x:c r="I106" s="10" t="str">
        <x:v>public test authority</x:v>
      </x:c>
      <x:c r="J106" s="10" t="str">
        <x:v>independent source</x:v>
      </x:c>
      <x:c r="K106" s="10" t="str">
        <x:v>zero in planning</x:v>
      </x:c>
    </x:row>
    <x:row r="107">
      <x:c r="B107" s="10" t="str">
        <x:v>G-101</x:v>
      </x:c>
      <x:c r="C107" s="10" t="str">
        <x:v>SOURCE</x:v>
      </x:c>
      <x:c r="D107" s="10" t="str">
        <x:v>cross-site reconstruction accepted: SA5</x:v>
      </x:c>
      <x:c r="E107" s="10" t="n">
        <x:v>1</x:v>
      </x:c>
      <x:c r="F107" s="12" t="n">
        <x:v>0</x:v>
      </x:c>
      <x:c r="G107" s="10" t="str">
        <x:v>physical source record</x:v>
      </x:c>
      <x:c r="H107" s="10" t="str">
        <x:f>IF(F107&gt;=E107,"PASS","OPEN")</x:f>
        <x:v>OPEN</x:v>
      </x:c>
      <x:c r="I107" s="10" t="str">
        <x:v>public test authority</x:v>
      </x:c>
      <x:c r="J107" s="10" t="str">
        <x:v>independent source</x:v>
      </x:c>
      <x:c r="K107" s="10" t="str">
        <x:v>zero in planning</x:v>
      </x:c>
    </x:row>
    <x:row r="108">
      <x:c r="B108" s="10" t="str">
        <x:v>G-102</x:v>
      </x:c>
      <x:c r="C108" s="10" t="str">
        <x:v>SOURCE</x:v>
      </x:c>
      <x:c r="D108" s="10" t="str">
        <x:v>cross-site reconstruction accepted: SA6</x:v>
      </x:c>
      <x:c r="E108" s="10" t="n">
        <x:v>1</x:v>
      </x:c>
      <x:c r="F108" s="12" t="n">
        <x:v>0</x:v>
      </x:c>
      <x:c r="G108" s="10" t="str">
        <x:v>physical source record</x:v>
      </x:c>
      <x:c r="H108" s="10" t="str">
        <x:f>IF(F108&gt;=E108,"PASS","OPEN")</x:f>
        <x:v>OPEN</x:v>
      </x:c>
      <x:c r="I108" s="10" t="str">
        <x:v>public test authority</x:v>
      </x:c>
      <x:c r="J108" s="10" t="str">
        <x:v>independent source</x:v>
      </x:c>
      <x:c r="K108" s="10" t="str">
        <x:v>zero in planning</x:v>
      </x:c>
    </x:row>
    <x:row r="109">
      <x:c r="B109" s="10" t="str">
        <x:v>G-103</x:v>
      </x:c>
      <x:c r="C109" s="10" t="str">
        <x:v>SOURCE</x:v>
      </x:c>
      <x:c r="D109" s="10" t="str">
        <x:v>evidence vault pair accepted: PTC-A</x:v>
      </x:c>
      <x:c r="E109" s="10" t="n">
        <x:v>1</x:v>
      </x:c>
      <x:c r="F109" s="12" t="n">
        <x:v>0</x:v>
      </x:c>
      <x:c r="G109" s="10" t="str">
        <x:v>physical source record</x:v>
      </x:c>
      <x:c r="H109" s="10" t="str">
        <x:f>IF(F109&gt;=E109,"PASS","OPEN")</x:f>
        <x:v>OPEN</x:v>
      </x:c>
      <x:c r="I109" s="10" t="str">
        <x:v>public test authority</x:v>
      </x:c>
      <x:c r="J109" s="10" t="str">
        <x:v>independent source</x:v>
      </x:c>
      <x:c r="K109" s="10" t="str">
        <x:v>zero in planning</x:v>
      </x:c>
    </x:row>
    <x:row r="110">
      <x:c r="B110" s="10" t="str">
        <x:v>G-104</x:v>
      </x:c>
      <x:c r="C110" s="10" t="str">
        <x:v>SOURCE</x:v>
      </x:c>
      <x:c r="D110" s="10" t="str">
        <x:v>evidence vault pair accepted: PTC-B</x:v>
      </x:c>
      <x:c r="E110" s="10" t="n">
        <x:v>1</x:v>
      </x:c>
      <x:c r="F110" s="12" t="n">
        <x:v>0</x:v>
      </x:c>
      <x:c r="G110" s="10" t="str">
        <x:v>physical source record</x:v>
      </x:c>
      <x:c r="H110" s="10" t="str">
        <x:f>IF(F110&gt;=E110,"PASS","OPEN")</x:f>
        <x:v>OPEN</x:v>
      </x:c>
      <x:c r="I110" s="10" t="str">
        <x:v>public test authority</x:v>
      </x:c>
      <x:c r="J110" s="10" t="str">
        <x:v>independent source</x:v>
      </x:c>
      <x:c r="K110" s="10" t="str">
        <x:v>zero in planning</x:v>
      </x:c>
    </x:row>
    <x:row r="111">
      <x:c r="B111" s="10" t="str">
        <x:v>G-105</x:v>
      </x:c>
      <x:c r="C111" s="10" t="str">
        <x:v>SOURCE</x:v>
      </x:c>
      <x:c r="D111" s="10" t="str">
        <x:v>evidence vault pair accepted: PTC-C</x:v>
      </x:c>
      <x:c r="E111" s="10" t="n">
        <x:v>1</x:v>
      </x:c>
      <x:c r="F111" s="12" t="n">
        <x:v>0</x:v>
      </x:c>
      <x:c r="G111" s="10" t="str">
        <x:v>physical source record</x:v>
      </x:c>
      <x:c r="H111" s="10" t="str">
        <x:f>IF(F111&gt;=E111,"PASS","OPEN")</x:f>
        <x:v>OPEN</x:v>
      </x:c>
      <x:c r="I111" s="10" t="str">
        <x:v>public test authority</x:v>
      </x:c>
      <x:c r="J111" s="10" t="str">
        <x:v>independent source</x:v>
      </x:c>
      <x:c r="K111" s="10" t="str">
        <x:v>zero in planning</x:v>
      </x:c>
    </x:row>
    <x:row r="112">
      <x:c r="B112" s="10" t="str">
        <x:v>G-106</x:v>
      </x:c>
      <x:c r="C112" s="10" t="str">
        <x:v>SOURCE</x:v>
      </x:c>
      <x:c r="D112" s="10" t="str">
        <x:v>destructive and blind laboratory accepted: PTC-A</x:v>
      </x:c>
      <x:c r="E112" s="10" t="n">
        <x:v>1</x:v>
      </x:c>
      <x:c r="F112" s="12" t="n">
        <x:v>0</x:v>
      </x:c>
      <x:c r="G112" s="10" t="str">
        <x:v>physical source record</x:v>
      </x:c>
      <x:c r="H112" s="10" t="str">
        <x:f>IF(F112&gt;=E112,"PASS","OPEN")</x:f>
        <x:v>OPEN</x:v>
      </x:c>
      <x:c r="I112" s="10" t="str">
        <x:v>public test authority</x:v>
      </x:c>
      <x:c r="J112" s="10" t="str">
        <x:v>independent source</x:v>
      </x:c>
      <x:c r="K112" s="10" t="str">
        <x:v>zero in planning</x:v>
      </x:c>
    </x:row>
    <x:row r="113">
      <x:c r="B113" s="10" t="str">
        <x:v>G-107</x:v>
      </x:c>
      <x:c r="C113" s="10" t="str">
        <x:v>SOURCE</x:v>
      </x:c>
      <x:c r="D113" s="10" t="str">
        <x:v>destructive and blind laboratory accepted: PTC-B</x:v>
      </x:c>
      <x:c r="E113" s="10" t="n">
        <x:v>1</x:v>
      </x:c>
      <x:c r="F113" s="12" t="n">
        <x:v>0</x:v>
      </x:c>
      <x:c r="G113" s="10" t="str">
        <x:v>physical source record</x:v>
      </x:c>
      <x:c r="H113" s="10" t="str">
        <x:f>IF(F113&gt;=E113,"PASS","OPEN")</x:f>
        <x:v>OPEN</x:v>
      </x:c>
      <x:c r="I113" s="10" t="str">
        <x:v>public test authority</x:v>
      </x:c>
      <x:c r="J113" s="10" t="str">
        <x:v>independent source</x:v>
      </x:c>
      <x:c r="K113" s="10" t="str">
        <x:v>zero in planning</x:v>
      </x:c>
    </x:row>
    <x:row r="114">
      <x:c r="B114" s="10" t="str">
        <x:v>G-108</x:v>
      </x:c>
      <x:c r="C114" s="10" t="str">
        <x:v>SOURCE</x:v>
      </x:c>
      <x:c r="D114" s="10" t="str">
        <x:v>destructive and blind laboratory accepted: PTC-C</x:v>
      </x:c>
      <x:c r="E114" s="10" t="n">
        <x:v>1</x:v>
      </x:c>
      <x:c r="F114" s="12" t="n">
        <x:v>0</x:v>
      </x:c>
      <x:c r="G114" s="10" t="str">
        <x:v>physical source record</x:v>
      </x:c>
      <x:c r="H114" s="10" t="str">
        <x:f>IF(F114&gt;=E114,"PASS","OPEN")</x:f>
        <x:v>OPEN</x:v>
      </x:c>
      <x:c r="I114" s="10" t="str">
        <x:v>public test authority</x:v>
      </x:c>
      <x:c r="J114" s="10" t="str">
        <x:v>independent source</x:v>
      </x:c>
      <x:c r="K114" s="10" t="str">
        <x:v>zero in planning</x:v>
      </x:c>
    </x:row>
    <x:row r="115">
      <x:c r="B115" s="10" t="str">
        <x:v>G-109</x:v>
      </x:c>
      <x:c r="C115" s="10" t="str">
        <x:v>DOWNSTREAM</x:v>
      </x:c>
      <x:c r="D115" s="10" t="str">
        <x:v>SDEC execution authority</x:v>
      </x:c>
      <x:c r="E115" s="10" t="n">
        <x:v>1</x:v>
      </x:c>
      <x:c r="F115" s="10" t="n">
        <x:f>'Controls'!$D$52</x:f>
        <x:v>0</x:v>
      </x:c>
      <x:c r="G115" s="10" t="str">
        <x:v>C46</x:v>
      </x:c>
      <x:c r="H115" s="10" t="str">
        <x:f>IF(F115&gt;=E115,"PASS","BLOCKED")</x:f>
        <x:v>BLOCKED</x:v>
      </x:c>
      <x:c r="I115" s="10" t="str">
        <x:v>downstream board</x:v>
      </x:c>
      <x:c r="J115" s="10" t="str">
        <x:v>downstream record</x:v>
      </x:c>
      <x:c r="K115" s="10" t="str">
        <x:v>not authorized</x:v>
      </x:c>
    </x:row>
    <x:row r="116">
      <x:c r="B116" s="10" t="str">
        <x:v>G-110</x:v>
      </x:c>
      <x:c r="C116" s="10" t="str">
        <x:v>DOWNSTREAM</x:v>
      </x:c>
      <x:c r="D116" s="10" t="str">
        <x:v>complete-article admission</x:v>
      </x:c>
      <x:c r="E116" s="10" t="n">
        <x:v>1</x:v>
      </x:c>
      <x:c r="F116" s="10" t="n">
        <x:f>'Controls'!$D$53</x:f>
        <x:v>0</x:v>
      </x:c>
      <x:c r="G116" s="10" t="str">
        <x:v>C47</x:v>
      </x:c>
      <x:c r="H116" s="10" t="str">
        <x:f>IF(F116&gt;=E116,"PASS","BLOCKED")</x:f>
        <x:v>BLOCKED</x:v>
      </x:c>
      <x:c r="I116" s="10" t="str">
        <x:v>downstream board</x:v>
      </x:c>
      <x:c r="J116" s="10" t="str">
        <x:v>downstream record</x:v>
      </x:c>
      <x:c r="K116" s="10" t="str">
        <x:v>not authorized</x:v>
      </x:c>
    </x:row>
    <x:row r="117">
      <x:c r="B117" s="10" t="str">
        <x:v>G-111</x:v>
      </x:c>
      <x:c r="C117" s="10" t="str">
        <x:v>DOWNSTREAM</x:v>
      </x:c>
      <x:c r="D117" s="10" t="str">
        <x:v>CISA-RB1 disposition</x:v>
      </x:c>
      <x:c r="E117" s="10" t="n">
        <x:v>1</x:v>
      </x:c>
      <x:c r="F117" s="10" t="n">
        <x:f>'Controls'!$D$54</x:f>
        <x:v>0</x:v>
      </x:c>
      <x:c r="G117" s="10" t="str">
        <x:v>C48</x:v>
      </x:c>
      <x:c r="H117" s="10" t="str">
        <x:f>IF(F117&gt;=E117,"PASS","BLOCKED")</x:f>
        <x:v>BLOCKED</x:v>
      </x:c>
      <x:c r="I117" s="10" t="str">
        <x:v>downstream board</x:v>
      </x:c>
      <x:c r="J117" s="10" t="str">
        <x:v>downstream record</x:v>
      </x:c>
      <x:c r="K117" s="10" t="str">
        <x:v>not authorized</x:v>
      </x:c>
    </x:row>
    <x:row r="118">
      <x:c r="B118" s="10" t="str">
        <x:v>G-112</x:v>
      </x:c>
      <x:c r="C118" s="10" t="str">
        <x:v>DOWNSTREAM</x:v>
      </x:c>
      <x:c r="D118" s="10" t="str">
        <x:v>CRC-E01 admission</x:v>
      </x:c>
      <x:c r="E118" s="10" t="n">
        <x:v>1</x:v>
      </x:c>
      <x:c r="F118" s="10" t="n">
        <x:f>'Controls'!$D$55</x:f>
        <x:v>0</x:v>
      </x:c>
      <x:c r="G118" s="10" t="str">
        <x:v>C49</x:v>
      </x:c>
      <x:c r="H118" s="10" t="str">
        <x:f>IF(F118&gt;=E118,"PASS","BLOCKED")</x:f>
        <x:v>BLOCKED</x:v>
      </x:c>
      <x:c r="I118" s="10" t="str">
        <x:v>downstream board</x:v>
      </x:c>
      <x:c r="J118" s="10" t="str">
        <x:v>downstream record</x:v>
      </x:c>
      <x:c r="K118" s="10" t="str">
        <x:v>not authorized</x:v>
      </x:c>
    </x:row>
    <x:row r="119">
      <x:c r="B119" s="10" t="str">
        <x:v>G-113</x:v>
      </x:c>
      <x:c r="C119" s="10" t="str">
        <x:v>DOWNSTREAM</x:v>
      </x:c>
      <x:c r="D119" s="10" t="str">
        <x:v>production authority</x:v>
      </x:c>
      <x:c r="E119" s="10" t="n">
        <x:v>1</x:v>
      </x:c>
      <x:c r="F119" s="10" t="n">
        <x:f>'Controls'!$D$56</x:f>
        <x:v>0</x:v>
      </x:c>
      <x:c r="G119" s="10" t="str">
        <x:v>C50</x:v>
      </x:c>
      <x:c r="H119" s="10" t="str">
        <x:f>IF(F119&gt;=E119,"PASS","BLOCKED")</x:f>
        <x:v>BLOCKED</x:v>
      </x:c>
      <x:c r="I119" s="10" t="str">
        <x:v>downstream board</x:v>
      </x:c>
      <x:c r="J119" s="10" t="str">
        <x:v>downstream record</x:v>
      </x:c>
      <x:c r="K119" s="10" t="str">
        <x:v>not authorized</x:v>
      </x:c>
    </x:row>
    <x:row r="120">
      <x:c r="B120" s="11" t="str">
        <x:v>G-114</x:v>
      </x:c>
      <x:c r="C120" s="11" t="str">
        <x:v>DOWNSTREAM</x:v>
      </x:c>
      <x:c r="D120" s="11" t="str">
        <x:v>exterior rendering authority</x:v>
      </x:c>
      <x:c r="E120" s="11" t="n">
        <x:v>1</x:v>
      </x:c>
      <x:c r="F120" s="11" t="n">
        <x:f>'Controls'!$D$57</x:f>
        <x:v>0</x:v>
      </x:c>
      <x:c r="G120" s="11" t="str">
        <x:v>C51</x:v>
      </x:c>
      <x:c r="H120" s="11" t="str">
        <x:f>IF(F120&gt;=E120,"PASS","BLOCKED")</x:f>
        <x:v>BLOCKED</x:v>
      </x:c>
      <x:c r="I120" s="11" t="str">
        <x:v>downstream board</x:v>
      </x:c>
      <x:c r="J120" s="11" t="str">
        <x:v>downstream record</x:v>
      </x:c>
      <x:c r="K120" s="11" t="str">
        <x:v>not authorized</x:v>
      </x:c>
    </x:row>
  </x:sheetData>
  <x:mergeCells>
    <x:mergeCell ref="B2:K2"/>
    <x:mergeCell ref="B3:K3"/>
  </x:mergeCells>
  <x:conditionalFormatting sqref="H7:H120">
    <x:cfRule type="containsText" dxfId="336" priority="1" operator="containsText" text="PASS"/>
    <x:cfRule type="containsText" dxfId="337" priority="2" operator="containsText" text="AUTHORIZED"/>
    <x:cfRule type="containsText" dxfId="338" priority="3" operator="containsText" text="DEFINED"/>
    <x:cfRule type="containsText" dxfId="339" priority="4" operator="containsText" text="READY"/>
    <x:cfRule type="containsText" dxfId="340" priority="5" operator="containsText" text="HOLD"/>
    <x:cfRule type="containsText" dxfId="341" priority="6" operator="containsText" text="OPEN"/>
    <x:cfRule type="containsText" dxfId="342" priority="7" operator="containsText" text="BLOCKED"/>
    <x:cfRule type="containsText" dxfId="343" priority="8" operator="containsText" text="PLANNING"/>
    <x:cfRule type="containsText" dxfId="344" priority="9" operator="containsText" text="QUARANTINE"/>
    <x:cfRule type="containsText" dxfId="345" priority="10" operator="containsText" text="INDETERMINATE"/>
    <x:cfRule type="containsText" dxfId="346" priority="11" operator="containsText" text="FAIL"/>
    <x:cfRule type="containsText" dxfId="347" priority="12" operator="containsText" text="REJECT"/>
    <x:cfRule type="containsText" dxfId="348" priority="13" operator="containsText" text="INVALID"/>
    <x:cfRule type="containsText" dxfId="349" priority="14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8" hidden="0" customWidth="1"/>
    <x:col min="4" max="4" width="43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28" hidden="0" customWidth="1"/>
  </x:cols>
  <x:sheetData>
    <x:row r="2">
      <x:c r="B2" s="27" t="str">
        <x:v>Terminal audit</x:v>
      </x:c>
      <x:c r="C2" s="28"/>
      <x:c r="D2" s="28"/>
      <x:c r="E2" s="28"/>
      <x:c r="F2" s="28"/>
      <x:c r="G2" s="28"/>
      <x:c r="H2" s="28"/>
      <x:c r="I2" s="28"/>
    </x:row>
    <x:row r="3">
      <x:c r="B3" s="29" t="str">
        <x:v>Independent checks only. No planning result, source gate or summary depends on this sheet.</x:v>
      </x:c>
      <x:c r="C3" s="28"/>
      <x:c r="D3" s="28"/>
      <x:c r="E3" s="28"/>
      <x:c r="F3" s="28"/>
      <x:c r="G3" s="28"/>
      <x:c r="H3" s="28"/>
      <x:c r="I3" s="28"/>
    </x:row>
    <x:row r="4">
      <x:c r="B4" s="30"/>
      <x:c r="C4" s="30"/>
      <x:c r="D4" s="30"/>
      <x:c r="E4" s="30"/>
      <x:c r="F4" s="30"/>
      <x:c r="G4" s="30"/>
      <x:c r="H4" s="30"/>
      <x:c r="I4" s="30"/>
    </x:row>
    <x:row r="5">
      <x:c r="B5" s="28"/>
      <x:c r="C5" s="28"/>
      <x:c r="D5" s="28"/>
      <x:c r="E5" s="28"/>
      <x:c r="F5" s="28"/>
      <x:c r="G5" s="28"/>
      <x:c r="H5" s="28"/>
      <x:c r="I5" s="28"/>
    </x:row>
    <x:row r="6">
      <x:c r="B6" s="8" t="str">
        <x:v>Audit</x:v>
      </x:c>
      <x:c r="C6" s="8" t="str">
        <x:v>Domain</x:v>
      </x:c>
      <x:c r="D6" s="8" t="str">
        <x:v>Question</x:v>
      </x:c>
      <x:c r="E6" s="8" t="str">
        <x:v>Observed</x:v>
      </x:c>
      <x:c r="F6" s="8" t="str">
        <x:v>Required</x:v>
      </x:c>
      <x:c r="G6" s="8" t="str">
        <x:v>Difference</x:v>
      </x:c>
      <x:c r="H6" s="8" t="str">
        <x:v>State</x:v>
      </x:c>
      <x:c r="I6" s="8" t="str">
        <x:v>Trace</x:v>
      </x:c>
    </x:row>
    <x:row r="7">
      <x:c r="B7" s="10" t="str">
        <x:v>AU-001</x:v>
      </x:c>
      <x:c r="C7" s="10" t="str">
        <x:v>scope</x:v>
      </x:c>
      <x:c r="D7" s="10" t="str">
        <x:v>family count</x:v>
      </x:c>
      <x:c r="E7" s="21" t="n">
        <x:f>COUNTA('Lane Capacity'!B7:B12)</x:f>
        <x:v>6</x:v>
      </x:c>
      <x:c r="F7" s="21" t="n">
        <x:f>'Controls'!$D$7</x:f>
        <x:v>6</x:v>
      </x:c>
      <x:c r="G7" s="21" t="n">
        <x:f>E7-F7</x:f>
        <x:v>0</x:v>
      </x:c>
      <x:c r="H7" s="10" t="str">
        <x:f>IF(ABS(G7)&lt;0.000001,"PASS","FAIL")</x:f>
        <x:v>PASS</x:v>
      </x:c>
      <x:c r="I7" s="10" t="str">
        <x:v>Lane Capacity</x:v>
      </x:c>
    </x:row>
    <x:row r="8">
      <x:c r="B8" s="10" t="str">
        <x:v>AU-002</x:v>
      </x:c>
      <x:c r="C8" s="10" t="str">
        <x:v>scope</x:v>
      </x:c>
      <x:c r="D8" s="10" t="str">
        <x:v>lane count</x:v>
      </x:c>
      <x:c r="E8" s="21" t="n">
        <x:f>COUNTA('Site Map'!B7:B18)</x:f>
        <x:v>12</x:v>
      </x:c>
      <x:c r="F8" s="21" t="n">
        <x:f>'Controls'!$D$7*'Controls'!$D$8</x:f>
        <x:v>12</x:v>
      </x:c>
      <x:c r="G8" s="21" t="n">
        <x:f>E8-F8</x:f>
        <x:v>0</x:v>
      </x:c>
      <x:c r="H8" s="10" t="str">
        <x:f>IF(ABS(G8)&lt;0.000001,"PASS","FAIL")</x:f>
        <x:v>PASS</x:v>
      </x:c>
      <x:c r="I8" s="10" t="str">
        <x:v>Site Map</x:v>
      </x:c>
    </x:row>
    <x:row r="9">
      <x:c r="B9" s="10" t="str">
        <x:v>AU-003</x:v>
      </x:c>
      <x:c r="C9" s="10" t="str">
        <x:v>scope</x:v>
      </x:c>
      <x:c r="D9" s="10" t="str">
        <x:v>site count</x:v>
      </x:c>
      <x:c r="E9" s="21" t="n">
        <x:f>COUNTA('Site Map'!B23:B25)</x:f>
        <x:v>3</x:v>
      </x:c>
      <x:c r="F9" s="21" t="n">
        <x:f>'Controls'!$D$9</x:f>
        <x:v>3</x:v>
      </x:c>
      <x:c r="G9" s="21" t="n">
        <x:f>E9-F9</x:f>
        <x:v>0</x:v>
      </x:c>
      <x:c r="H9" s="10" t="str">
        <x:f>IF(ABS(G9)&lt;0.000001,"PASS","FAIL")</x:f>
        <x:v>PASS</x:v>
      </x:c>
      <x:c r="I9" s="10" t="str">
        <x:v>Site Map</x:v>
      </x:c>
    </x:row>
    <x:row r="10">
      <x:c r="B10" s="10" t="str">
        <x:v>AU-004</x:v>
      </x:c>
      <x:c r="C10" s="10" t="str">
        <x:v>scope</x:v>
      </x:c>
      <x:c r="D10" s="10" t="str">
        <x:v>serial count</x:v>
      </x:c>
      <x:c r="E10" s="21" t="n">
        <x:f>SUM('Site Map'!D23:D25)</x:f>
        <x:v>64</x:v>
      </x:c>
      <x:c r="F10" s="21" t="n">
        <x:f>'Controls'!$D$10</x:f>
        <x:v>64</x:v>
      </x:c>
      <x:c r="G10" s="21" t="n">
        <x:f>E10-F10</x:f>
        <x:v>0</x:v>
      </x:c>
      <x:c r="H10" s="10" t="str">
        <x:f>IF(ABS(G10)&lt;0.000001,"PASS","FAIL")</x:f>
        <x:v>PASS</x:v>
      </x:c>
      <x:c r="I10" s="10" t="str">
        <x:v>Site Map</x:v>
      </x:c>
    </x:row>
    <x:row r="11">
      <x:c r="B11" s="10" t="str">
        <x:v>AU-005</x:v>
      </x:c>
      <x:c r="C11" s="10" t="str">
        <x:v>scope</x:v>
      </x:c>
      <x:c r="D11" s="10" t="str">
        <x:v>campaign events</x:v>
      </x:c>
      <x:c r="E11" s="21" t="n">
        <x:f>SUM('Site Map'!E23:E25)</x:f>
        <x:v>40520</x:v>
      </x:c>
      <x:c r="F11" s="21" t="n">
        <x:f>'Controls'!$D$11</x:f>
        <x:v>40520</x:v>
      </x:c>
      <x:c r="G11" s="21" t="n">
        <x:f>E11-F11</x:f>
        <x:v>0</x:v>
      </x:c>
      <x:c r="H11" s="10" t="str">
        <x:f>IF(ABS(G11)&lt;0.000001,"PASS","FAIL")</x:f>
        <x:v>PASS</x:v>
      </x:c>
      <x:c r="I11" s="10" t="str">
        <x:v>Site Map</x:v>
      </x:c>
    </x:row>
    <x:row r="12">
      <x:c r="B12" s="10" t="str">
        <x:v>AU-006</x:v>
      </x:c>
      <x:c r="C12" s="10" t="str">
        <x:v>scope</x:v>
      </x:c>
      <x:c r="D12" s="10" t="str">
        <x:v>phase-zero events</x:v>
      </x:c>
      <x:c r="E12" s="21" t="n">
        <x:f>COUNTA('Commissioning Matrix'!B7:B126)+COUNTA('Campus Drills'!B7:B30)+COUNTA('Campus Drills'!B35:B46)</x:f>
        <x:v>156</x:v>
      </x:c>
      <x:c r="F12" s="21" t="n">
        <x:f>'Controls'!$D$20</x:f>
        <x:v>156</x:v>
      </x:c>
      <x:c r="G12" s="21" t="n">
        <x:f>E12-F12</x:f>
        <x:v>0</x:v>
      </x:c>
      <x:c r="H12" s="10" t="str">
        <x:f>IF(ABS(G12)&lt;0.000001,"PASS","FAIL")</x:f>
        <x:v>PASS</x:v>
      </x:c>
      <x:c r="I12" s="10" t="str">
        <x:v>Commissioning and drills</x:v>
      </x:c>
    </x:row>
    <x:row r="13">
      <x:c r="B13" s="10" t="str">
        <x:v>AU-007</x:v>
      </x:c>
      <x:c r="C13" s="10" t="str">
        <x:v>scope</x:v>
      </x:c>
      <x:c r="D13" s="10" t="str">
        <x:v>reference articles</x:v>
      </x:c>
      <x:c r="E13" s="21" t="n">
        <x:f>Metrology!B24</x:f>
        <x:v>72</x:v>
      </x:c>
      <x:c r="F13" s="21" t="n">
        <x:f>'Controls'!$D$21</x:f>
        <x:v>72</x:v>
      </x:c>
      <x:c r="G13" s="21" t="n">
        <x:f>E13-F13</x:f>
        <x:v>0</x:v>
      </x:c>
      <x:c r="H13" s="10" t="str">
        <x:f>IF(ABS(G13)&lt;0.000001,"PASS","FAIL")</x:f>
        <x:v>PASS</x:v>
      </x:c>
      <x:c r="I13" s="10" t="str">
        <x:v>Metrology</x:v>
      </x:c>
    </x:row>
    <x:row r="14">
      <x:c r="B14" s="10" t="str">
        <x:v>AU-008</x:v>
      </x:c>
      <x:c r="C14" s="10" t="str">
        <x:v>scope</x:v>
      </x:c>
      <x:c r="D14" s="10" t="str">
        <x:v>workforce</x:v>
      </x:c>
      <x:c r="E14" s="21" t="n">
        <x:f>Workforce!C21</x:f>
        <x:v>448</x:v>
      </x:c>
      <x:c r="F14" s="21" t="n">
        <x:f>'Controls'!$D$41</x:f>
        <x:v>448</x:v>
      </x:c>
      <x:c r="G14" s="21" t="n">
        <x:f>E14-F14</x:f>
        <x:v>0</x:v>
      </x:c>
      <x:c r="H14" s="10" t="str">
        <x:f>IF(ABS(G14)&lt;0.000001,"PASS","FAIL")</x:f>
        <x:v>PASS</x:v>
      </x:c>
      <x:c r="I14" s="10" t="str">
        <x:v>Workforce</x:v>
      </x:c>
    </x:row>
    <x:row r="15">
      <x:c r="B15" s="10" t="str">
        <x:v>AU-009</x:v>
      </x:c>
      <x:c r="C15" s="10" t="str">
        <x:v>capacity</x:v>
      </x:c>
      <x:c r="D15" s="10" t="str">
        <x:v>maximum site-loss utilization</x:v>
      </x:c>
      <x:c r="E15" s="21" t="n">
        <x:f>'Lane Capacity'!B17</x:f>
        <x:v>0.6621128944390898</x:v>
      </x:c>
      <x:c r="F15" s="21" t="n">
        <x:f>'Controls'!$D$16</x:f>
        <x:v>0.7</x:v>
      </x:c>
      <x:c r="G15" s="21" t="n">
        <x:f>E15-F15</x:f>
        <x:v>-0.03788710556091013</x:v>
      </x:c>
      <x:c r="H15" s="10" t="str">
        <x:f>IF(E15&lt;=F15,"PASS","FAIL")</x:f>
        <x:v>PASS</x:v>
      </x:c>
      <x:c r="I15" s="10" t="str">
        <x:v>Lane Capacity</x:v>
      </x:c>
    </x:row>
    <x:row r="16">
      <x:c r="B16" s="10" t="str">
        <x:v>AU-010</x:v>
      </x:c>
      <x:c r="C16" s="10" t="str">
        <x:v>evidence</x:v>
      </x:c>
      <x:c r="D16" s="10" t="str">
        <x:v>vault capacity</x:v>
      </x:c>
      <x:c r="E16" s="21" t="n">
        <x:f>'Evidence Custody'!C18</x:f>
        <x:v>576</x:v>
      </x:c>
      <x:c r="F16" s="21" t="n">
        <x:f>'Controls'!$D$9*'Controls'!$D$29*'Controls'!$D$30</x:f>
        <x:v>576</x:v>
      </x:c>
      <x:c r="G16" s="21" t="n">
        <x:f>E16-F16</x:f>
        <x:v>0</x:v>
      </x:c>
      <x:c r="H16" s="10" t="str">
        <x:f>IF(ABS(G16)&lt;0.000001,"PASS","FAIL")</x:f>
        <x:v>PASS</x:v>
      </x:c>
      <x:c r="I16" s="10" t="str">
        <x:v>Evidence Custody</x:v>
      </x:c>
    </x:row>
    <x:row r="17">
      <x:c r="B17" s="10" t="str">
        <x:v>AU-011</x:v>
      </x:c>
      <x:c r="C17" s="10" t="str">
        <x:v>finance</x:v>
      </x:c>
      <x:c r="D17" s="10" t="str">
        <x:v>physical-use capital</x:v>
      </x:c>
      <x:c r="E17" s="21" t="n">
        <x:f>'Capital Reconciliation'!C38</x:f>
        <x:v>0.4300000000000001</x:v>
      </x:c>
      <x:c r="F17" s="21" t="n">
        <x:f>'Controls'!$D$31</x:f>
        <x:v>0.43</x:v>
      </x:c>
      <x:c r="G17" s="21" t="n">
        <x:f>E17-F17</x:f>
        <x:v>1.1102230246251565e-16</x:v>
      </x:c>
      <x:c r="H17" s="10" t="str">
        <x:f>IF(ABS(G17)&lt;0.000001,"PASS","FAIL")</x:f>
        <x:v>PASS</x:v>
      </x:c>
      <x:c r="I17" s="10" t="str">
        <x:v>Capital Reconciliation</x:v>
      </x:c>
    </x:row>
    <x:row r="18">
      <x:c r="B18" s="10" t="str">
        <x:v>AU-012</x:v>
      </x:c>
      <x:c r="C18" s="10" t="str">
        <x:v>finance</x:v>
      </x:c>
      <x:c r="D18" s="10" t="str">
        <x:v>eligible shared capital</x:v>
      </x:c>
      <x:c r="E18" s="21" t="n">
        <x:f>'Capital Reconciliation'!C39</x:f>
        <x:v>0.128</x:v>
      </x:c>
      <x:c r="F18" s="21" t="n">
        <x:f>'Controls'!$D$32</x:f>
        <x:v>0.128</x:v>
      </x:c>
      <x:c r="G18" s="21" t="n">
        <x:f>E18-F18</x:f>
        <x:v>0</x:v>
      </x:c>
      <x:c r="H18" s="10" t="str">
        <x:f>IF(ABS(G18)&lt;0.000001,"PASS","FAIL")</x:f>
        <x:v>PASS</x:v>
      </x:c>
      <x:c r="I18" s="10" t="str">
        <x:v>Capital Reconciliation</x:v>
      </x:c>
    </x:row>
    <x:row r="19">
      <x:c r="B19" s="10" t="str">
        <x:v>AU-013</x:v>
      </x:c>
      <x:c r="C19" s="10" t="str">
        <x:v>finance</x:v>
      </x:c>
      <x:c r="D19" s="10" t="str">
        <x:v>reconciled capital</x:v>
      </x:c>
      <x:c r="E19" s="21" t="n">
        <x:f>'Capital Reconciliation'!C41</x:f>
        <x:v>0.6200000000000001</x:v>
      </x:c>
      <x:c r="F19" s="21" t="n">
        <x:v>0.62</x:v>
      </x:c>
      <x:c r="G19" s="21" t="n">
        <x:f>E19-F19</x:f>
        <x:v>1.1102230246251565e-16</x:v>
      </x:c>
      <x:c r="H19" s="10" t="str">
        <x:f>IF(ABS(G19)&lt;0.000001,"PASS","FAIL")</x:f>
        <x:v>PASS</x:v>
      </x:c>
      <x:c r="I19" s="10" t="str">
        <x:v>Capital Reconciliation</x:v>
      </x:c>
    </x:row>
    <x:row r="20">
      <x:c r="B20" s="10" t="str">
        <x:v>AU-014</x:v>
      </x:c>
      <x:c r="C20" s="10" t="str">
        <x:v>finance</x:v>
      </x:c>
      <x:c r="D20" s="10" t="str">
        <x:v>capital upper envelope</x:v>
      </x:c>
      <x:c r="E20" s="21" t="n">
        <x:f>'Capital Reconciliation'!C42</x:f>
        <x:v>0.7480000000000001</x:v>
      </x:c>
      <x:c r="F20" s="21" t="n">
        <x:v>0.748</x:v>
      </x:c>
      <x:c r="G20" s="21" t="n">
        <x:f>E20-F20</x:f>
        <x:v>1.1102230246251565e-16</x:v>
      </x:c>
      <x:c r="H20" s="10" t="str">
        <x:f>IF(ABS(G20)&lt;0.000001,"PASS","FAIL")</x:f>
        <x:v>PASS</x:v>
      </x:c>
      <x:c r="I20" s="10" t="str">
        <x:v>Capital Reconciliation</x:v>
      </x:c>
    </x:row>
    <x:row r="21">
      <x:c r="B21" s="10" t="str">
        <x:v>AU-015</x:v>
      </x:c>
      <x:c r="C21" s="10" t="str">
        <x:v>finance</x:v>
      </x:c>
      <x:c r="D21" s="10" t="str">
        <x:v>physical-use annual support</x:v>
      </x:c>
      <x:c r="E21" s="21" t="n">
        <x:f>'Annual Reconciliation'!C35</x:f>
        <x:v>0.09800000000000003</x:v>
      </x:c>
      <x:c r="F21" s="21" t="n">
        <x:f>'Controls'!$D$36</x:f>
        <x:v>0.098</x:v>
      </x:c>
      <x:c r="G21" s="21" t="n">
        <x:f>E21-F21</x:f>
        <x:v>2.7755575615628914e-17</x:v>
      </x:c>
      <x:c r="H21" s="10" t="str">
        <x:f>IF(ABS(G21)&lt;0.000001,"PASS","FAIL")</x:f>
        <x:v>PASS</x:v>
      </x:c>
      <x:c r="I21" s="10" t="str">
        <x:v>Annual Reconciliation</x:v>
      </x:c>
    </x:row>
    <x:row r="22">
      <x:c r="B22" s="10" t="str">
        <x:v>AU-016</x:v>
      </x:c>
      <x:c r="C22" s="10" t="str">
        <x:v>finance</x:v>
      </x:c>
      <x:c r="D22" s="10" t="str">
        <x:v>eligible shared annual support</x:v>
      </x:c>
      <x:c r="E22" s="21" t="n">
        <x:f>'Annual Reconciliation'!C36</x:f>
        <x:v>0.04100000000000001</x:v>
      </x:c>
      <x:c r="F22" s="21" t="n">
        <x:f>'Controls'!$D$37</x:f>
        <x:v>0.041</x:v>
      </x:c>
      <x:c r="G22" s="21" t="n">
        <x:f>E22-F22</x:f>
        <x:v>6.938893903907228e-18</x:v>
      </x:c>
      <x:c r="H22" s="10" t="str">
        <x:f>IF(ABS(G22)&lt;0.000001,"PASS","FAIL")</x:f>
        <x:v>PASS</x:v>
      </x:c>
      <x:c r="I22" s="10" t="str">
        <x:v>Annual Reconciliation</x:v>
      </x:c>
    </x:row>
    <x:row r="23">
      <x:c r="B23" s="10" t="str">
        <x:v>AU-017</x:v>
      </x:c>
      <x:c r="C23" s="10" t="str">
        <x:v>finance</x:v>
      </x:c>
      <x:c r="D23" s="10" t="str">
        <x:v>reconciled annual support</x:v>
      </x:c>
      <x:c r="E23" s="21" t="n">
        <x:f>'Annual Reconciliation'!C38</x:f>
        <x:v>0.14100000000000001</x:v>
      </x:c>
      <x:c r="F23" s="21" t="n">
        <x:v>0.141</x:v>
      </x:c>
      <x:c r="G23" s="21" t="n">
        <x:f>E23-F23</x:f>
        <x:v>2.7755575615628914e-17</x:v>
      </x:c>
      <x:c r="H23" s="10" t="str">
        <x:f>IF(ABS(G23)&lt;0.000001,"PASS","FAIL")</x:f>
        <x:v>PASS</x:v>
      </x:c>
      <x:c r="I23" s="10" t="str">
        <x:v>Annual Reconciliation</x:v>
      </x:c>
    </x:row>
    <x:row r="24">
      <x:c r="B24" s="10" t="str">
        <x:v>AU-018</x:v>
      </x:c>
      <x:c r="C24" s="10" t="str">
        <x:v>finance</x:v>
      </x:c>
      <x:c r="D24" s="10" t="str">
        <x:v>annual upper envelope</x:v>
      </x:c>
      <x:c r="E24" s="21" t="n">
        <x:f>'Annual Reconciliation'!C39</x:f>
        <x:v>0.18200000000000005</x:v>
      </x:c>
      <x:c r="F24" s="21" t="n">
        <x:v>0.182</x:v>
      </x:c>
      <x:c r="G24" s="21" t="n">
        <x:f>E24-F24</x:f>
        <x:v>5.551115123125783e-17</x:v>
      </x:c>
      <x:c r="H24" s="10" t="str">
        <x:f>IF(ABS(G24)&lt;0.000001,"PASS","FAIL")</x:f>
        <x:v>PASS</x:v>
      </x:c>
      <x:c r="I24" s="10" t="str">
        <x:v>Annual Reconciliation</x:v>
      </x:c>
    </x:row>
    <x:row r="25">
      <x:c r="B25" s="10" t="str">
        <x:v>AU-019</x:v>
      </x:c>
      <x:c r="C25" s="10" t="str">
        <x:v>authority</x:v>
      </x:c>
      <x:c r="D25" s="10" t="str">
        <x:v>planning gates</x:v>
      </x:c>
      <x:c r="E25" s="21" t="n">
        <x:f>COUNTIF('Release Gates'!H7:H78,"PASS")</x:f>
        <x:v>72</x:v>
      </x:c>
      <x:c r="F25" s="21" t="n">
        <x:f>'Controls'!$D$45</x:f>
        <x:v>72</x:v>
      </x:c>
      <x:c r="G25" s="21" t="n">
        <x:f>E25-F25</x:f>
        <x:v>0</x:v>
      </x:c>
      <x:c r="H25" s="10" t="str">
        <x:f>IF(ABS(G25)&lt;0.000001,"PASS","FAIL")</x:f>
        <x:v>PASS</x:v>
      </x:c>
      <x:c r="I25" s="10" t="str">
        <x:v>Release Gates</x:v>
      </x:c>
    </x:row>
    <x:row r="26">
      <x:c r="B26" s="10" t="str">
        <x:v>AU-020</x:v>
      </x:c>
      <x:c r="C26" s="10" t="str">
        <x:v>authority</x:v>
      </x:c>
      <x:c r="D26" s="10" t="str">
        <x:v>source gates passed</x:v>
      </x:c>
      <x:c r="E26" s="21" t="n">
        <x:f>COUNTIF('Release Gates'!H79:H114,"PASS")</x:f>
        <x:v>0</x:v>
      </x:c>
      <x:c r="F26" s="21" t="n">
        <x:v>0</x:v>
      </x:c>
      <x:c r="G26" s="21" t="n">
        <x:f>E26-F26</x:f>
        <x:v>0</x:v>
      </x:c>
      <x:c r="H26" s="10" t="str">
        <x:f>IF(ABS(G26)&lt;0.000001,"PASS","FAIL")</x:f>
        <x:v>PASS</x:v>
      </x:c>
      <x:c r="I26" s="10" t="str">
        <x:v>Release Gates</x:v>
      </x:c>
    </x:row>
    <x:row r="27">
      <x:c r="B27" s="10" t="str">
        <x:v>AU-021</x:v>
      </x:c>
      <x:c r="C27" s="10" t="str">
        <x:v>authority</x:v>
      </x:c>
      <x:c r="D27" s="10" t="str">
        <x:v>downstream gates passed</x:v>
      </x:c>
      <x:c r="E27" s="21" t="n">
        <x:f>COUNTIF('Release Gates'!H115:H120,"PASS")</x:f>
        <x:v>0</x:v>
      </x:c>
      <x:c r="F27" s="21" t="n">
        <x:v>0</x:v>
      </x:c>
      <x:c r="G27" s="21" t="n">
        <x:f>E27-F27</x:f>
        <x:v>0</x:v>
      </x:c>
      <x:c r="H27" s="10" t="str">
        <x:f>IF(ABS(G27)&lt;0.000001,"PASS","FAIL")</x:f>
        <x:v>PASS</x:v>
      </x:c>
      <x:c r="I27" s="10" t="str">
        <x:v>Release Gates</x:v>
      </x:c>
    </x:row>
    <x:row r="28">
      <x:c r="B28" s="10" t="str">
        <x:v>AU-022</x:v>
      </x:c>
      <x:c r="C28" s="10" t="str">
        <x:v>lane</x:v>
      </x:c>
      <x:c r="D28" s="10" t="str">
        <x:v>lane definition 1</x:v>
      </x:c>
      <x:c r="E28" s="21" t="n">
        <x:f>IF('Site Map'!K7=1,1,0)</x:f>
        <x:v>1</x:v>
      </x:c>
      <x:c r="F28" s="21" t="n">
        <x:v>1</x:v>
      </x:c>
      <x:c r="G28" s="21" t="n">
        <x:f>E28-F28</x:f>
        <x:v>0</x:v>
      </x:c>
      <x:c r="H28" s="10" t="str">
        <x:f>IF(ABS(G28)&lt;0.000001,"PASS","FAIL")</x:f>
        <x:v>PASS</x:v>
      </x:c>
      <x:c r="I28" s="10" t="str">
        <x:v>Site Map row 7</x:v>
      </x:c>
    </x:row>
    <x:row r="29">
      <x:c r="B29" s="10" t="str">
        <x:v>AU-023</x:v>
      </x:c>
      <x:c r="C29" s="10" t="str">
        <x:v>lane</x:v>
      </x:c>
      <x:c r="D29" s="10" t="str">
        <x:v>lane definition 2</x:v>
      </x:c>
      <x:c r="E29" s="21" t="n">
        <x:f>IF('Site Map'!K8=1,1,0)</x:f>
        <x:v>1</x:v>
      </x:c>
      <x:c r="F29" s="21" t="n">
        <x:v>1</x:v>
      </x:c>
      <x:c r="G29" s="21" t="n">
        <x:f>E29-F29</x:f>
        <x:v>0</x:v>
      </x:c>
      <x:c r="H29" s="10" t="str">
        <x:f>IF(ABS(G29)&lt;0.000001,"PASS","FAIL")</x:f>
        <x:v>PASS</x:v>
      </x:c>
      <x:c r="I29" s="10" t="str">
        <x:v>Site Map row 8</x:v>
      </x:c>
    </x:row>
    <x:row r="30">
      <x:c r="B30" s="10" t="str">
        <x:v>AU-024</x:v>
      </x:c>
      <x:c r="C30" s="10" t="str">
        <x:v>lane</x:v>
      </x:c>
      <x:c r="D30" s="10" t="str">
        <x:v>lane definition 3</x:v>
      </x:c>
      <x:c r="E30" s="21" t="n">
        <x:f>IF('Site Map'!K9=1,1,0)</x:f>
        <x:v>1</x:v>
      </x:c>
      <x:c r="F30" s="21" t="n">
        <x:v>1</x:v>
      </x:c>
      <x:c r="G30" s="21" t="n">
        <x:f>E30-F30</x:f>
        <x:v>0</x:v>
      </x:c>
      <x:c r="H30" s="10" t="str">
        <x:f>IF(ABS(G30)&lt;0.000001,"PASS","FAIL")</x:f>
        <x:v>PASS</x:v>
      </x:c>
      <x:c r="I30" s="10" t="str">
        <x:v>Site Map row 9</x:v>
      </x:c>
    </x:row>
    <x:row r="31">
      <x:c r="B31" s="10" t="str">
        <x:v>AU-025</x:v>
      </x:c>
      <x:c r="C31" s="10" t="str">
        <x:v>lane</x:v>
      </x:c>
      <x:c r="D31" s="10" t="str">
        <x:v>lane definition 4</x:v>
      </x:c>
      <x:c r="E31" s="21" t="n">
        <x:f>IF('Site Map'!K10=1,1,0)</x:f>
        <x:v>1</x:v>
      </x:c>
      <x:c r="F31" s="21" t="n">
        <x:v>1</x:v>
      </x:c>
      <x:c r="G31" s="21" t="n">
        <x:f>E31-F31</x:f>
        <x:v>0</x:v>
      </x:c>
      <x:c r="H31" s="10" t="str">
        <x:f>IF(ABS(G31)&lt;0.000001,"PASS","FAIL")</x:f>
        <x:v>PASS</x:v>
      </x:c>
      <x:c r="I31" s="10" t="str">
        <x:v>Site Map row 10</x:v>
      </x:c>
    </x:row>
    <x:row r="32">
      <x:c r="B32" s="10" t="str">
        <x:v>AU-026</x:v>
      </x:c>
      <x:c r="C32" s="10" t="str">
        <x:v>lane</x:v>
      </x:c>
      <x:c r="D32" s="10" t="str">
        <x:v>lane definition 5</x:v>
      </x:c>
      <x:c r="E32" s="21" t="n">
        <x:f>IF('Site Map'!K11=1,1,0)</x:f>
        <x:v>1</x:v>
      </x:c>
      <x:c r="F32" s="21" t="n">
        <x:v>1</x:v>
      </x:c>
      <x:c r="G32" s="21" t="n">
        <x:f>E32-F32</x:f>
        <x:v>0</x:v>
      </x:c>
      <x:c r="H32" s="10" t="str">
        <x:f>IF(ABS(G32)&lt;0.000001,"PASS","FAIL")</x:f>
        <x:v>PASS</x:v>
      </x:c>
      <x:c r="I32" s="10" t="str">
        <x:v>Site Map row 11</x:v>
      </x:c>
    </x:row>
    <x:row r="33">
      <x:c r="B33" s="10" t="str">
        <x:v>AU-027</x:v>
      </x:c>
      <x:c r="C33" s="10" t="str">
        <x:v>lane</x:v>
      </x:c>
      <x:c r="D33" s="10" t="str">
        <x:v>lane definition 6</x:v>
      </x:c>
      <x:c r="E33" s="21" t="n">
        <x:f>IF('Site Map'!K12=1,1,0)</x:f>
        <x:v>1</x:v>
      </x:c>
      <x:c r="F33" s="21" t="n">
        <x:v>1</x:v>
      </x:c>
      <x:c r="G33" s="21" t="n">
        <x:f>E33-F33</x:f>
        <x:v>0</x:v>
      </x:c>
      <x:c r="H33" s="10" t="str">
        <x:f>IF(ABS(G33)&lt;0.000001,"PASS","FAIL")</x:f>
        <x:v>PASS</x:v>
      </x:c>
      <x:c r="I33" s="10" t="str">
        <x:v>Site Map row 12</x:v>
      </x:c>
    </x:row>
    <x:row r="34">
      <x:c r="B34" s="10" t="str">
        <x:v>AU-028</x:v>
      </x:c>
      <x:c r="C34" s="10" t="str">
        <x:v>lane</x:v>
      </x:c>
      <x:c r="D34" s="10" t="str">
        <x:v>lane definition 7</x:v>
      </x:c>
      <x:c r="E34" s="21" t="n">
        <x:f>IF('Site Map'!K13=1,1,0)</x:f>
        <x:v>1</x:v>
      </x:c>
      <x:c r="F34" s="21" t="n">
        <x:v>1</x:v>
      </x:c>
      <x:c r="G34" s="21" t="n">
        <x:f>E34-F34</x:f>
        <x:v>0</x:v>
      </x:c>
      <x:c r="H34" s="10" t="str">
        <x:f>IF(ABS(G34)&lt;0.000001,"PASS","FAIL")</x:f>
        <x:v>PASS</x:v>
      </x:c>
      <x:c r="I34" s="10" t="str">
        <x:v>Site Map row 13</x:v>
      </x:c>
    </x:row>
    <x:row r="35">
      <x:c r="B35" s="10" t="str">
        <x:v>AU-029</x:v>
      </x:c>
      <x:c r="C35" s="10" t="str">
        <x:v>lane</x:v>
      </x:c>
      <x:c r="D35" s="10" t="str">
        <x:v>lane definition 8</x:v>
      </x:c>
      <x:c r="E35" s="21" t="n">
        <x:f>IF('Site Map'!K14=1,1,0)</x:f>
        <x:v>1</x:v>
      </x:c>
      <x:c r="F35" s="21" t="n">
        <x:v>1</x:v>
      </x:c>
      <x:c r="G35" s="21" t="n">
        <x:f>E35-F35</x:f>
        <x:v>0</x:v>
      </x:c>
      <x:c r="H35" s="10" t="str">
        <x:f>IF(ABS(G35)&lt;0.000001,"PASS","FAIL")</x:f>
        <x:v>PASS</x:v>
      </x:c>
      <x:c r="I35" s="10" t="str">
        <x:v>Site Map row 14</x:v>
      </x:c>
    </x:row>
    <x:row r="36">
      <x:c r="B36" s="10" t="str">
        <x:v>AU-030</x:v>
      </x:c>
      <x:c r="C36" s="10" t="str">
        <x:v>lane</x:v>
      </x:c>
      <x:c r="D36" s="10" t="str">
        <x:v>lane definition 9</x:v>
      </x:c>
      <x:c r="E36" s="21" t="n">
        <x:f>IF('Site Map'!K15=1,1,0)</x:f>
        <x:v>1</x:v>
      </x:c>
      <x:c r="F36" s="21" t="n">
        <x:v>1</x:v>
      </x:c>
      <x:c r="G36" s="21" t="n">
        <x:f>E36-F36</x:f>
        <x:v>0</x:v>
      </x:c>
      <x:c r="H36" s="10" t="str">
        <x:f>IF(ABS(G36)&lt;0.000001,"PASS","FAIL")</x:f>
        <x:v>PASS</x:v>
      </x:c>
      <x:c r="I36" s="10" t="str">
        <x:v>Site Map row 15</x:v>
      </x:c>
    </x:row>
    <x:row r="37">
      <x:c r="B37" s="10" t="str">
        <x:v>AU-031</x:v>
      </x:c>
      <x:c r="C37" s="10" t="str">
        <x:v>lane</x:v>
      </x:c>
      <x:c r="D37" s="10" t="str">
        <x:v>lane definition 10</x:v>
      </x:c>
      <x:c r="E37" s="21" t="n">
        <x:f>IF('Site Map'!K16=1,1,0)</x:f>
        <x:v>1</x:v>
      </x:c>
      <x:c r="F37" s="21" t="n">
        <x:v>1</x:v>
      </x:c>
      <x:c r="G37" s="21" t="n">
        <x:f>E37-F37</x:f>
        <x:v>0</x:v>
      </x:c>
      <x:c r="H37" s="10" t="str">
        <x:f>IF(ABS(G37)&lt;0.000001,"PASS","FAIL")</x:f>
        <x:v>PASS</x:v>
      </x:c>
      <x:c r="I37" s="10" t="str">
        <x:v>Site Map row 16</x:v>
      </x:c>
    </x:row>
    <x:row r="38">
      <x:c r="B38" s="10" t="str">
        <x:v>AU-032</x:v>
      </x:c>
      <x:c r="C38" s="10" t="str">
        <x:v>lane</x:v>
      </x:c>
      <x:c r="D38" s="10" t="str">
        <x:v>lane definition 11</x:v>
      </x:c>
      <x:c r="E38" s="21" t="n">
        <x:f>IF('Site Map'!K17=1,1,0)</x:f>
        <x:v>1</x:v>
      </x:c>
      <x:c r="F38" s="21" t="n">
        <x:v>1</x:v>
      </x:c>
      <x:c r="G38" s="21" t="n">
        <x:f>E38-F38</x:f>
        <x:v>0</x:v>
      </x:c>
      <x:c r="H38" s="10" t="str">
        <x:f>IF(ABS(G38)&lt;0.000001,"PASS","FAIL")</x:f>
        <x:v>PASS</x:v>
      </x:c>
      <x:c r="I38" s="10" t="str">
        <x:v>Site Map row 17</x:v>
      </x:c>
    </x:row>
    <x:row r="39">
      <x:c r="B39" s="10" t="str">
        <x:v>AU-033</x:v>
      </x:c>
      <x:c r="C39" s="10" t="str">
        <x:v>lane</x:v>
      </x:c>
      <x:c r="D39" s="10" t="str">
        <x:v>lane definition 12</x:v>
      </x:c>
      <x:c r="E39" s="21" t="n">
        <x:f>IF('Site Map'!K18=1,1,0)</x:f>
        <x:v>1</x:v>
      </x:c>
      <x:c r="F39" s="21" t="n">
        <x:v>1</x:v>
      </x:c>
      <x:c r="G39" s="21" t="n">
        <x:f>E39-F39</x:f>
        <x:v>0</x:v>
      </x:c>
      <x:c r="H39" s="10" t="str">
        <x:f>IF(ABS(G39)&lt;0.000001,"PASS","FAIL")</x:f>
        <x:v>PASS</x:v>
      </x:c>
      <x:c r="I39" s="10" t="str">
        <x:v>Site Map row 18</x:v>
      </x:c>
    </x:row>
    <x:row r="40">
      <x:c r="B40" s="10" t="str">
        <x:v>AU-034</x:v>
      </x:c>
      <x:c r="C40" s="10" t="str">
        <x:v>capacity</x:v>
      </x:c>
      <x:c r="D40" s="10" t="str">
        <x:v>family loss-capacity 1</x:v>
      </x:c>
      <x:c r="E40" s="21" t="n">
        <x:f>IF('Lane Capacity'!N7="PASS",1,0)</x:f>
        <x:v>1</x:v>
      </x:c>
      <x:c r="F40" s="21" t="n">
        <x:v>1</x:v>
      </x:c>
      <x:c r="G40" s="21" t="n">
        <x:f>E40-F40</x:f>
        <x:v>0</x:v>
      </x:c>
      <x:c r="H40" s="10" t="str">
        <x:f>IF(ABS(G40)&lt;0.000001,"PASS","FAIL")</x:f>
        <x:v>PASS</x:v>
      </x:c>
      <x:c r="I40" s="10" t="str">
        <x:v>Lane Capacity row 7</x:v>
      </x:c>
    </x:row>
    <x:row r="41">
      <x:c r="B41" s="10" t="str">
        <x:v>AU-035</x:v>
      </x:c>
      <x:c r="C41" s="10" t="str">
        <x:v>capacity</x:v>
      </x:c>
      <x:c r="D41" s="10" t="str">
        <x:v>family loss-capacity 2</x:v>
      </x:c>
      <x:c r="E41" s="21" t="n">
        <x:f>IF('Lane Capacity'!N8="PASS",1,0)</x:f>
        <x:v>1</x:v>
      </x:c>
      <x:c r="F41" s="21" t="n">
        <x:v>1</x:v>
      </x:c>
      <x:c r="G41" s="21" t="n">
        <x:f>E41-F41</x:f>
        <x:v>0</x:v>
      </x:c>
      <x:c r="H41" s="10" t="str">
        <x:f>IF(ABS(G41)&lt;0.000001,"PASS","FAIL")</x:f>
        <x:v>PASS</x:v>
      </x:c>
      <x:c r="I41" s="10" t="str">
        <x:v>Lane Capacity row 8</x:v>
      </x:c>
    </x:row>
    <x:row r="42">
      <x:c r="B42" s="10" t="str">
        <x:v>AU-036</x:v>
      </x:c>
      <x:c r="C42" s="10" t="str">
        <x:v>capacity</x:v>
      </x:c>
      <x:c r="D42" s="10" t="str">
        <x:v>family loss-capacity 3</x:v>
      </x:c>
      <x:c r="E42" s="21" t="n">
        <x:f>IF('Lane Capacity'!N9="PASS",1,0)</x:f>
        <x:v>1</x:v>
      </x:c>
      <x:c r="F42" s="21" t="n">
        <x:v>1</x:v>
      </x:c>
      <x:c r="G42" s="21" t="n">
        <x:f>E42-F42</x:f>
        <x:v>0</x:v>
      </x:c>
      <x:c r="H42" s="10" t="str">
        <x:f>IF(ABS(G42)&lt;0.000001,"PASS","FAIL")</x:f>
        <x:v>PASS</x:v>
      </x:c>
      <x:c r="I42" s="10" t="str">
        <x:v>Lane Capacity row 9</x:v>
      </x:c>
    </x:row>
    <x:row r="43">
      <x:c r="B43" s="10" t="str">
        <x:v>AU-037</x:v>
      </x:c>
      <x:c r="C43" s="10" t="str">
        <x:v>capacity</x:v>
      </x:c>
      <x:c r="D43" s="10" t="str">
        <x:v>family loss-capacity 4</x:v>
      </x:c>
      <x:c r="E43" s="21" t="n">
        <x:f>IF('Lane Capacity'!N10="PASS",1,0)</x:f>
        <x:v>1</x:v>
      </x:c>
      <x:c r="F43" s="21" t="n">
        <x:v>1</x:v>
      </x:c>
      <x:c r="G43" s="21" t="n">
        <x:f>E43-F43</x:f>
        <x:v>0</x:v>
      </x:c>
      <x:c r="H43" s="10" t="str">
        <x:f>IF(ABS(G43)&lt;0.000001,"PASS","FAIL")</x:f>
        <x:v>PASS</x:v>
      </x:c>
      <x:c r="I43" s="10" t="str">
        <x:v>Lane Capacity row 10</x:v>
      </x:c>
    </x:row>
    <x:row r="44">
      <x:c r="B44" s="10" t="str">
        <x:v>AU-038</x:v>
      </x:c>
      <x:c r="C44" s="10" t="str">
        <x:v>capacity</x:v>
      </x:c>
      <x:c r="D44" s="10" t="str">
        <x:v>family loss-capacity 5</x:v>
      </x:c>
      <x:c r="E44" s="21" t="n">
        <x:f>IF('Lane Capacity'!N11="PASS",1,0)</x:f>
        <x:v>1</x:v>
      </x:c>
      <x:c r="F44" s="21" t="n">
        <x:v>1</x:v>
      </x:c>
      <x:c r="G44" s="21" t="n">
        <x:f>E44-F44</x:f>
        <x:v>0</x:v>
      </x:c>
      <x:c r="H44" s="10" t="str">
        <x:f>IF(ABS(G44)&lt;0.000001,"PASS","FAIL")</x:f>
        <x:v>PASS</x:v>
      </x:c>
      <x:c r="I44" s="10" t="str">
        <x:v>Lane Capacity row 11</x:v>
      </x:c>
    </x:row>
    <x:row r="45">
      <x:c r="B45" s="10" t="str">
        <x:v>AU-039</x:v>
      </x:c>
      <x:c r="C45" s="10" t="str">
        <x:v>capacity</x:v>
      </x:c>
      <x:c r="D45" s="10" t="str">
        <x:v>family loss-capacity 6</x:v>
      </x:c>
      <x:c r="E45" s="21" t="n">
        <x:f>IF('Lane Capacity'!N12="PASS",1,0)</x:f>
        <x:v>1</x:v>
      </x:c>
      <x:c r="F45" s="21" t="n">
        <x:v>1</x:v>
      </x:c>
      <x:c r="G45" s="21" t="n">
        <x:f>E45-F45</x:f>
        <x:v>0</x:v>
      </x:c>
      <x:c r="H45" s="10" t="str">
        <x:f>IF(ABS(G45)&lt;0.000001,"PASS","FAIL")</x:f>
        <x:v>PASS</x:v>
      </x:c>
      <x:c r="I45" s="10" t="str">
        <x:v>Lane Capacity row 12</x:v>
      </x:c>
    </x:row>
    <x:row r="46">
      <x:c r="B46" s="10" t="str">
        <x:v>AU-040</x:v>
      </x:c>
      <x:c r="C46" s="10" t="str">
        <x:v>independence</x:v>
      </x:c>
      <x:c r="D46" s="10" t="str">
        <x:v>ancestor pair 1</x:v>
      </x:c>
      <x:c r="E46" s="21" t="n">
        <x:f>Independence!I7</x:f>
        <x:v>1</x:v>
      </x:c>
      <x:c r="F46" s="21" t="n">
        <x:v>1</x:v>
      </x:c>
      <x:c r="G46" s="21" t="n">
        <x:f>E46-F46</x:f>
        <x:v>0</x:v>
      </x:c>
      <x:c r="H46" s="10" t="str">
        <x:f>IF(ABS(G46)&lt;0.000001,"PASS","FAIL")</x:f>
        <x:v>PASS</x:v>
      </x:c>
      <x:c r="I46" s="10" t="str">
        <x:v>Independence row 7</x:v>
      </x:c>
    </x:row>
    <x:row r="47">
      <x:c r="B47" s="10" t="str">
        <x:v>AU-041</x:v>
      </x:c>
      <x:c r="C47" s="10" t="str">
        <x:v>independence</x:v>
      </x:c>
      <x:c r="D47" s="10" t="str">
        <x:v>ancestor pair 2</x:v>
      </x:c>
      <x:c r="E47" s="21" t="n">
        <x:f>Independence!I8</x:f>
        <x:v>1</x:v>
      </x:c>
      <x:c r="F47" s="21" t="n">
        <x:v>1</x:v>
      </x:c>
      <x:c r="G47" s="21" t="n">
        <x:f>E47-F47</x:f>
        <x:v>0</x:v>
      </x:c>
      <x:c r="H47" s="10" t="str">
        <x:f>IF(ABS(G47)&lt;0.000001,"PASS","FAIL")</x:f>
        <x:v>PASS</x:v>
      </x:c>
      <x:c r="I47" s="10" t="str">
        <x:v>Independence row 8</x:v>
      </x:c>
    </x:row>
    <x:row r="48">
      <x:c r="B48" s="10" t="str">
        <x:v>AU-042</x:v>
      </x:c>
      <x:c r="C48" s="10" t="str">
        <x:v>independence</x:v>
      </x:c>
      <x:c r="D48" s="10" t="str">
        <x:v>ancestor pair 3</x:v>
      </x:c>
      <x:c r="E48" s="21" t="n">
        <x:f>Independence!I9</x:f>
        <x:v>1</x:v>
      </x:c>
      <x:c r="F48" s="21" t="n">
        <x:v>1</x:v>
      </x:c>
      <x:c r="G48" s="21" t="n">
        <x:f>E48-F48</x:f>
        <x:v>0</x:v>
      </x:c>
      <x:c r="H48" s="10" t="str">
        <x:f>IF(ABS(G48)&lt;0.000001,"PASS","FAIL")</x:f>
        <x:v>PASS</x:v>
      </x:c>
      <x:c r="I48" s="10" t="str">
        <x:v>Independence row 9</x:v>
      </x:c>
    </x:row>
    <x:row r="49">
      <x:c r="B49" s="10" t="str">
        <x:v>AU-043</x:v>
      </x:c>
      <x:c r="C49" s="10" t="str">
        <x:v>independence</x:v>
      </x:c>
      <x:c r="D49" s="10" t="str">
        <x:v>ancestor pair 4</x:v>
      </x:c>
      <x:c r="E49" s="21" t="n">
        <x:f>Independence!I10</x:f>
        <x:v>1</x:v>
      </x:c>
      <x:c r="F49" s="21" t="n">
        <x:v>1</x:v>
      </x:c>
      <x:c r="G49" s="21" t="n">
        <x:f>E49-F49</x:f>
        <x:v>0</x:v>
      </x:c>
      <x:c r="H49" s="10" t="str">
        <x:f>IF(ABS(G49)&lt;0.000001,"PASS","FAIL")</x:f>
        <x:v>PASS</x:v>
      </x:c>
      <x:c r="I49" s="10" t="str">
        <x:v>Independence row 10</x:v>
      </x:c>
    </x:row>
    <x:row r="50">
      <x:c r="B50" s="10" t="str">
        <x:v>AU-044</x:v>
      </x:c>
      <x:c r="C50" s="10" t="str">
        <x:v>independence</x:v>
      </x:c>
      <x:c r="D50" s="10" t="str">
        <x:v>ancestor pair 5</x:v>
      </x:c>
      <x:c r="E50" s="21" t="n">
        <x:f>Independence!I11</x:f>
        <x:v>1</x:v>
      </x:c>
      <x:c r="F50" s="21" t="n">
        <x:v>1</x:v>
      </x:c>
      <x:c r="G50" s="21" t="n">
        <x:f>E50-F50</x:f>
        <x:v>0</x:v>
      </x:c>
      <x:c r="H50" s="10" t="str">
        <x:f>IF(ABS(G50)&lt;0.000001,"PASS","FAIL")</x:f>
        <x:v>PASS</x:v>
      </x:c>
      <x:c r="I50" s="10" t="str">
        <x:v>Independence row 11</x:v>
      </x:c>
    </x:row>
    <x:row r="51">
      <x:c r="B51" s="10" t="str">
        <x:v>AU-045</x:v>
      </x:c>
      <x:c r="C51" s="10" t="str">
        <x:v>independence</x:v>
      </x:c>
      <x:c r="D51" s="10" t="str">
        <x:v>ancestor pair 6</x:v>
      </x:c>
      <x:c r="E51" s="21" t="n">
        <x:f>Independence!I12</x:f>
        <x:v>1</x:v>
      </x:c>
      <x:c r="F51" s="21" t="n">
        <x:v>1</x:v>
      </x:c>
      <x:c r="G51" s="21" t="n">
        <x:f>E51-F51</x:f>
        <x:v>0</x:v>
      </x:c>
      <x:c r="H51" s="10" t="str">
        <x:f>IF(ABS(G51)&lt;0.000001,"PASS","FAIL")</x:f>
        <x:v>PASS</x:v>
      </x:c>
      <x:c r="I51" s="10" t="str">
        <x:v>Independence row 12</x:v>
      </x:c>
    </x:row>
    <x:row r="52">
      <x:c r="B52" s="10" t="str">
        <x:v>AU-046</x:v>
      </x:c>
      <x:c r="C52" s="10" t="str">
        <x:v>independence</x:v>
      </x:c>
      <x:c r="D52" s="10" t="str">
        <x:v>ancestor pair 7</x:v>
      </x:c>
      <x:c r="E52" s="21" t="n">
        <x:f>Independence!I13</x:f>
        <x:v>1</x:v>
      </x:c>
      <x:c r="F52" s="21" t="n">
        <x:v>1</x:v>
      </x:c>
      <x:c r="G52" s="21" t="n">
        <x:f>E52-F52</x:f>
        <x:v>0</x:v>
      </x:c>
      <x:c r="H52" s="10" t="str">
        <x:f>IF(ABS(G52)&lt;0.000001,"PASS","FAIL")</x:f>
        <x:v>PASS</x:v>
      </x:c>
      <x:c r="I52" s="10" t="str">
        <x:v>Independence row 13</x:v>
      </x:c>
    </x:row>
    <x:row r="53">
      <x:c r="B53" s="10" t="str">
        <x:v>AU-047</x:v>
      </x:c>
      <x:c r="C53" s="10" t="str">
        <x:v>independence</x:v>
      </x:c>
      <x:c r="D53" s="10" t="str">
        <x:v>ancestor pair 8</x:v>
      </x:c>
      <x:c r="E53" s="21" t="n">
        <x:f>Independence!I14</x:f>
        <x:v>1</x:v>
      </x:c>
      <x:c r="F53" s="21" t="n">
        <x:v>1</x:v>
      </x:c>
      <x:c r="G53" s="21" t="n">
        <x:f>E53-F53</x:f>
        <x:v>0</x:v>
      </x:c>
      <x:c r="H53" s="10" t="str">
        <x:f>IF(ABS(G53)&lt;0.000001,"PASS","FAIL")</x:f>
        <x:v>PASS</x:v>
      </x:c>
      <x:c r="I53" s="10" t="str">
        <x:v>Independence row 14</x:v>
      </x:c>
    </x:row>
    <x:row r="54">
      <x:c r="B54" s="10" t="str">
        <x:v>AU-048</x:v>
      </x:c>
      <x:c r="C54" s="10" t="str">
        <x:v>independence</x:v>
      </x:c>
      <x:c r="D54" s="10" t="str">
        <x:v>ancestor pair 9</x:v>
      </x:c>
      <x:c r="E54" s="21" t="n">
        <x:f>Independence!I15</x:f>
        <x:v>1</x:v>
      </x:c>
      <x:c r="F54" s="21" t="n">
        <x:v>1</x:v>
      </x:c>
      <x:c r="G54" s="21" t="n">
        <x:f>E54-F54</x:f>
        <x:v>0</x:v>
      </x:c>
      <x:c r="H54" s="10" t="str">
        <x:f>IF(ABS(G54)&lt;0.000001,"PASS","FAIL")</x:f>
        <x:v>PASS</x:v>
      </x:c>
      <x:c r="I54" s="10" t="str">
        <x:v>Independence row 15</x:v>
      </x:c>
    </x:row>
    <x:row r="55">
      <x:c r="B55" s="10" t="str">
        <x:v>AU-049</x:v>
      </x:c>
      <x:c r="C55" s="10" t="str">
        <x:v>independence</x:v>
      </x:c>
      <x:c r="D55" s="10" t="str">
        <x:v>ancestor pair 10</x:v>
      </x:c>
      <x:c r="E55" s="21" t="n">
        <x:f>Independence!I16</x:f>
        <x:v>1</x:v>
      </x:c>
      <x:c r="F55" s="21" t="n">
        <x:v>1</x:v>
      </x:c>
      <x:c r="G55" s="21" t="n">
        <x:f>E55-F55</x:f>
        <x:v>0</x:v>
      </x:c>
      <x:c r="H55" s="10" t="str">
        <x:f>IF(ABS(G55)&lt;0.000001,"PASS","FAIL")</x:f>
        <x:v>PASS</x:v>
      </x:c>
      <x:c r="I55" s="10" t="str">
        <x:v>Independence row 16</x:v>
      </x:c>
    </x:row>
    <x:row r="56">
      <x:c r="B56" s="10" t="str">
        <x:v>AU-050</x:v>
      </x:c>
      <x:c r="C56" s="10" t="str">
        <x:v>independence</x:v>
      </x:c>
      <x:c r="D56" s="10" t="str">
        <x:v>ancestor pair 11</x:v>
      </x:c>
      <x:c r="E56" s="21" t="n">
        <x:f>Independence!I17</x:f>
        <x:v>1</x:v>
      </x:c>
      <x:c r="F56" s="21" t="n">
        <x:v>1</x:v>
      </x:c>
      <x:c r="G56" s="21" t="n">
        <x:f>E56-F56</x:f>
        <x:v>0</x:v>
      </x:c>
      <x:c r="H56" s="10" t="str">
        <x:f>IF(ABS(G56)&lt;0.000001,"PASS","FAIL")</x:f>
        <x:v>PASS</x:v>
      </x:c>
      <x:c r="I56" s="10" t="str">
        <x:v>Independence row 17</x:v>
      </x:c>
    </x:row>
    <x:row r="57">
      <x:c r="B57" s="10" t="str">
        <x:v>AU-051</x:v>
      </x:c>
      <x:c r="C57" s="10" t="str">
        <x:v>independence</x:v>
      </x:c>
      <x:c r="D57" s="10" t="str">
        <x:v>ancestor pair 12</x:v>
      </x:c>
      <x:c r="E57" s="21" t="n">
        <x:f>Independence!I18</x:f>
        <x:v>1</x:v>
      </x:c>
      <x:c r="F57" s="21" t="n">
        <x:v>1</x:v>
      </x:c>
      <x:c r="G57" s="21" t="n">
        <x:f>E57-F57</x:f>
        <x:v>0</x:v>
      </x:c>
      <x:c r="H57" s="10" t="str">
        <x:f>IF(ABS(G57)&lt;0.000001,"PASS","FAIL")</x:f>
        <x:v>PASS</x:v>
      </x:c>
      <x:c r="I57" s="10" t="str">
        <x:v>Independence row 18</x:v>
      </x:c>
    </x:row>
    <x:row r="58">
      <x:c r="B58" s="10" t="str">
        <x:v>AU-052</x:v>
      </x:c>
      <x:c r="C58" s="10" t="str">
        <x:v>independence</x:v>
      </x:c>
      <x:c r="D58" s="10" t="str">
        <x:v>ancestor pair 13</x:v>
      </x:c>
      <x:c r="E58" s="21" t="n">
        <x:f>Independence!I19</x:f>
        <x:v>1</x:v>
      </x:c>
      <x:c r="F58" s="21" t="n">
        <x:v>1</x:v>
      </x:c>
      <x:c r="G58" s="21" t="n">
        <x:f>E58-F58</x:f>
        <x:v>0</x:v>
      </x:c>
      <x:c r="H58" s="10" t="str">
        <x:f>IF(ABS(G58)&lt;0.000001,"PASS","FAIL")</x:f>
        <x:v>PASS</x:v>
      </x:c>
      <x:c r="I58" s="10" t="str">
        <x:v>Independence row 19</x:v>
      </x:c>
    </x:row>
    <x:row r="59">
      <x:c r="B59" s="10" t="str">
        <x:v>AU-053</x:v>
      </x:c>
      <x:c r="C59" s="10" t="str">
        <x:v>independence</x:v>
      </x:c>
      <x:c r="D59" s="10" t="str">
        <x:v>ancestor pair 14</x:v>
      </x:c>
      <x:c r="E59" s="21" t="n">
        <x:f>Independence!I20</x:f>
        <x:v>1</x:v>
      </x:c>
      <x:c r="F59" s="21" t="n">
        <x:v>1</x:v>
      </x:c>
      <x:c r="G59" s="21" t="n">
        <x:f>E59-F59</x:f>
        <x:v>0</x:v>
      </x:c>
      <x:c r="H59" s="10" t="str">
        <x:f>IF(ABS(G59)&lt;0.000001,"PASS","FAIL")</x:f>
        <x:v>PASS</x:v>
      </x:c>
      <x:c r="I59" s="10" t="str">
        <x:v>Independence row 20</x:v>
      </x:c>
    </x:row>
    <x:row r="60">
      <x:c r="B60" s="10" t="str">
        <x:v>AU-054</x:v>
      </x:c>
      <x:c r="C60" s="10" t="str">
        <x:v>independence</x:v>
      </x:c>
      <x:c r="D60" s="10" t="str">
        <x:v>ancestor pair 15</x:v>
      </x:c>
      <x:c r="E60" s="21" t="n">
        <x:f>Independence!I21</x:f>
        <x:v>1</x:v>
      </x:c>
      <x:c r="F60" s="21" t="n">
        <x:v>1</x:v>
      </x:c>
      <x:c r="G60" s="21" t="n">
        <x:f>E60-F60</x:f>
        <x:v>0</x:v>
      </x:c>
      <x:c r="H60" s="10" t="str">
        <x:f>IF(ABS(G60)&lt;0.000001,"PASS","FAIL")</x:f>
        <x:v>PASS</x:v>
      </x:c>
      <x:c r="I60" s="10" t="str">
        <x:v>Independence row 21</x:v>
      </x:c>
    </x:row>
    <x:row r="61">
      <x:c r="B61" s="10" t="str">
        <x:v>AU-055</x:v>
      </x:c>
      <x:c r="C61" s="10" t="str">
        <x:v>independence</x:v>
      </x:c>
      <x:c r="D61" s="10" t="str">
        <x:v>ancestor pair 16</x:v>
      </x:c>
      <x:c r="E61" s="21" t="n">
        <x:f>Independence!I22</x:f>
        <x:v>1</x:v>
      </x:c>
      <x:c r="F61" s="21" t="n">
        <x:v>1</x:v>
      </x:c>
      <x:c r="G61" s="21" t="n">
        <x:f>E61-F61</x:f>
        <x:v>0</x:v>
      </x:c>
      <x:c r="H61" s="10" t="str">
        <x:f>IF(ABS(G61)&lt;0.000001,"PASS","FAIL")</x:f>
        <x:v>PASS</x:v>
      </x:c>
      <x:c r="I61" s="10" t="str">
        <x:v>Independence row 22</x:v>
      </x:c>
    </x:row>
    <x:row r="62">
      <x:c r="B62" s="10" t="str">
        <x:v>AU-056</x:v>
      </x:c>
      <x:c r="C62" s="10" t="str">
        <x:v>independence</x:v>
      </x:c>
      <x:c r="D62" s="10" t="str">
        <x:v>ancestor pair 17</x:v>
      </x:c>
      <x:c r="E62" s="21" t="n">
        <x:f>Independence!I23</x:f>
        <x:v>1</x:v>
      </x:c>
      <x:c r="F62" s="21" t="n">
        <x:v>1</x:v>
      </x:c>
      <x:c r="G62" s="21" t="n">
        <x:f>E62-F62</x:f>
        <x:v>0</x:v>
      </x:c>
      <x:c r="H62" s="10" t="str">
        <x:f>IF(ABS(G62)&lt;0.000001,"PASS","FAIL")</x:f>
        <x:v>PASS</x:v>
      </x:c>
      <x:c r="I62" s="10" t="str">
        <x:v>Independence row 23</x:v>
      </x:c>
    </x:row>
    <x:row r="63">
      <x:c r="B63" s="10" t="str">
        <x:v>AU-057</x:v>
      </x:c>
      <x:c r="C63" s="10" t="str">
        <x:v>independence</x:v>
      </x:c>
      <x:c r="D63" s="10" t="str">
        <x:v>ancestor pair 18</x:v>
      </x:c>
      <x:c r="E63" s="21" t="n">
        <x:f>Independence!I24</x:f>
        <x:v>1</x:v>
      </x:c>
      <x:c r="F63" s="21" t="n">
        <x:v>1</x:v>
      </x:c>
      <x:c r="G63" s="21" t="n">
        <x:f>E63-F63</x:f>
        <x:v>0</x:v>
      </x:c>
      <x:c r="H63" s="10" t="str">
        <x:f>IF(ABS(G63)&lt;0.000001,"PASS","FAIL")</x:f>
        <x:v>PASS</x:v>
      </x:c>
      <x:c r="I63" s="10" t="str">
        <x:v>Independence row 24</x:v>
      </x:c>
    </x:row>
    <x:row r="64">
      <x:c r="B64" s="10" t="str">
        <x:v>AU-058</x:v>
      </x:c>
      <x:c r="C64" s="10" t="str">
        <x:v>independence</x:v>
      </x:c>
      <x:c r="D64" s="10" t="str">
        <x:v>ancestor pair 19</x:v>
      </x:c>
      <x:c r="E64" s="21" t="n">
        <x:f>Independence!I25</x:f>
        <x:v>1</x:v>
      </x:c>
      <x:c r="F64" s="21" t="n">
        <x:v>1</x:v>
      </x:c>
      <x:c r="G64" s="21" t="n">
        <x:f>E64-F64</x:f>
        <x:v>0</x:v>
      </x:c>
      <x:c r="H64" s="10" t="str">
        <x:f>IF(ABS(G64)&lt;0.000001,"PASS","FAIL")</x:f>
        <x:v>PASS</x:v>
      </x:c>
      <x:c r="I64" s="10" t="str">
        <x:v>Independence row 25</x:v>
      </x:c>
    </x:row>
    <x:row r="65">
      <x:c r="B65" s="10" t="str">
        <x:v>AU-059</x:v>
      </x:c>
      <x:c r="C65" s="10" t="str">
        <x:v>independence</x:v>
      </x:c>
      <x:c r="D65" s="10" t="str">
        <x:v>ancestor pair 20</x:v>
      </x:c>
      <x:c r="E65" s="21" t="n">
        <x:f>Independence!I26</x:f>
        <x:v>1</x:v>
      </x:c>
      <x:c r="F65" s="21" t="n">
        <x:v>1</x:v>
      </x:c>
      <x:c r="G65" s="21" t="n">
        <x:f>E65-F65</x:f>
        <x:v>0</x:v>
      </x:c>
      <x:c r="H65" s="10" t="str">
        <x:f>IF(ABS(G65)&lt;0.000001,"PASS","FAIL")</x:f>
        <x:v>PASS</x:v>
      </x:c>
      <x:c r="I65" s="10" t="str">
        <x:v>Independence row 26</x:v>
      </x:c>
    </x:row>
    <x:row r="66">
      <x:c r="B66" s="10" t="str">
        <x:v>AU-060</x:v>
      </x:c>
      <x:c r="C66" s="10" t="str">
        <x:v>independence</x:v>
      </x:c>
      <x:c r="D66" s="10" t="str">
        <x:v>ancestor pair 21</x:v>
      </x:c>
      <x:c r="E66" s="21" t="n">
        <x:f>Independence!I27</x:f>
        <x:v>1</x:v>
      </x:c>
      <x:c r="F66" s="21" t="n">
        <x:v>1</x:v>
      </x:c>
      <x:c r="G66" s="21" t="n">
        <x:f>E66-F66</x:f>
        <x:v>0</x:v>
      </x:c>
      <x:c r="H66" s="10" t="str">
        <x:f>IF(ABS(G66)&lt;0.000001,"PASS","FAIL")</x:f>
        <x:v>PASS</x:v>
      </x:c>
      <x:c r="I66" s="10" t="str">
        <x:v>Independence row 27</x:v>
      </x:c>
    </x:row>
    <x:row r="67">
      <x:c r="B67" s="10" t="str">
        <x:v>AU-061</x:v>
      </x:c>
      <x:c r="C67" s="10" t="str">
        <x:v>independence</x:v>
      </x:c>
      <x:c r="D67" s="10" t="str">
        <x:v>ancestor pair 22</x:v>
      </x:c>
      <x:c r="E67" s="21" t="n">
        <x:f>Independence!I28</x:f>
        <x:v>1</x:v>
      </x:c>
      <x:c r="F67" s="21" t="n">
        <x:v>1</x:v>
      </x:c>
      <x:c r="G67" s="21" t="n">
        <x:f>E67-F67</x:f>
        <x:v>0</x:v>
      </x:c>
      <x:c r="H67" s="10" t="str">
        <x:f>IF(ABS(G67)&lt;0.000001,"PASS","FAIL")</x:f>
        <x:v>PASS</x:v>
      </x:c>
      <x:c r="I67" s="10" t="str">
        <x:v>Independence row 28</x:v>
      </x:c>
    </x:row>
    <x:row r="68">
      <x:c r="B68" s="10" t="str">
        <x:v>AU-062</x:v>
      </x:c>
      <x:c r="C68" s="10" t="str">
        <x:v>independence</x:v>
      </x:c>
      <x:c r="D68" s="10" t="str">
        <x:v>ancestor pair 23</x:v>
      </x:c>
      <x:c r="E68" s="21" t="n">
        <x:f>Independence!I29</x:f>
        <x:v>1</x:v>
      </x:c>
      <x:c r="F68" s="21" t="n">
        <x:v>1</x:v>
      </x:c>
      <x:c r="G68" s="21" t="n">
        <x:f>E68-F68</x:f>
        <x:v>0</x:v>
      </x:c>
      <x:c r="H68" s="10" t="str">
        <x:f>IF(ABS(G68)&lt;0.000001,"PASS","FAIL")</x:f>
        <x:v>PASS</x:v>
      </x:c>
      <x:c r="I68" s="10" t="str">
        <x:v>Independence row 29</x:v>
      </x:c>
    </x:row>
    <x:row r="69">
      <x:c r="B69" s="10" t="str">
        <x:v>AU-063</x:v>
      </x:c>
      <x:c r="C69" s="10" t="str">
        <x:v>independence</x:v>
      </x:c>
      <x:c r="D69" s="10" t="str">
        <x:v>ancestor pair 24</x:v>
      </x:c>
      <x:c r="E69" s="21" t="n">
        <x:f>Independence!I30</x:f>
        <x:v>1</x:v>
      </x:c>
      <x:c r="F69" s="21" t="n">
        <x:v>1</x:v>
      </x:c>
      <x:c r="G69" s="21" t="n">
        <x:f>E69-F69</x:f>
        <x:v>0</x:v>
      </x:c>
      <x:c r="H69" s="10" t="str">
        <x:f>IF(ABS(G69)&lt;0.000001,"PASS","FAIL")</x:f>
        <x:v>PASS</x:v>
      </x:c>
      <x:c r="I69" s="10" t="str">
        <x:v>Independence row 30</x:v>
      </x:c>
    </x:row>
    <x:row r="70">
      <x:c r="B70" s="10" t="str">
        <x:v>AU-064</x:v>
      </x:c>
      <x:c r="C70" s="10" t="str">
        <x:v>independence</x:v>
      </x:c>
      <x:c r="D70" s="10" t="str">
        <x:v>ancestor pair 25</x:v>
      </x:c>
      <x:c r="E70" s="21" t="n">
        <x:f>Independence!I31</x:f>
        <x:v>1</x:v>
      </x:c>
      <x:c r="F70" s="21" t="n">
        <x:v>1</x:v>
      </x:c>
      <x:c r="G70" s="21" t="n">
        <x:f>E70-F70</x:f>
        <x:v>0</x:v>
      </x:c>
      <x:c r="H70" s="10" t="str">
        <x:f>IF(ABS(G70)&lt;0.000001,"PASS","FAIL")</x:f>
        <x:v>PASS</x:v>
      </x:c>
      <x:c r="I70" s="10" t="str">
        <x:v>Independence row 31</x:v>
      </x:c>
    </x:row>
    <x:row r="71">
      <x:c r="B71" s="10" t="str">
        <x:v>AU-065</x:v>
      </x:c>
      <x:c r="C71" s="10" t="str">
        <x:v>independence</x:v>
      </x:c>
      <x:c r="D71" s="10" t="str">
        <x:v>ancestor pair 26</x:v>
      </x:c>
      <x:c r="E71" s="21" t="n">
        <x:f>Independence!I32</x:f>
        <x:v>1</x:v>
      </x:c>
      <x:c r="F71" s="21" t="n">
        <x:v>1</x:v>
      </x:c>
      <x:c r="G71" s="21" t="n">
        <x:f>E71-F71</x:f>
        <x:v>0</x:v>
      </x:c>
      <x:c r="H71" s="10" t="str">
        <x:f>IF(ABS(G71)&lt;0.000001,"PASS","FAIL")</x:f>
        <x:v>PASS</x:v>
      </x:c>
      <x:c r="I71" s="10" t="str">
        <x:v>Independence row 32</x:v>
      </x:c>
    </x:row>
    <x:row r="72">
      <x:c r="B72" s="10" t="str">
        <x:v>AU-066</x:v>
      </x:c>
      <x:c r="C72" s="10" t="str">
        <x:v>independence</x:v>
      </x:c>
      <x:c r="D72" s="10" t="str">
        <x:v>ancestor pair 27</x:v>
      </x:c>
      <x:c r="E72" s="21" t="n">
        <x:f>Independence!I33</x:f>
        <x:v>1</x:v>
      </x:c>
      <x:c r="F72" s="21" t="n">
        <x:v>1</x:v>
      </x:c>
      <x:c r="G72" s="21" t="n">
        <x:f>E72-F72</x:f>
        <x:v>0</x:v>
      </x:c>
      <x:c r="H72" s="10" t="str">
        <x:f>IF(ABS(G72)&lt;0.000001,"PASS","FAIL")</x:f>
        <x:v>PASS</x:v>
      </x:c>
      <x:c r="I72" s="10" t="str">
        <x:v>Independence row 33</x:v>
      </x:c>
    </x:row>
    <x:row r="73">
      <x:c r="B73" s="10" t="str">
        <x:v>AU-067</x:v>
      </x:c>
      <x:c r="C73" s="10" t="str">
        <x:v>independence</x:v>
      </x:c>
      <x:c r="D73" s="10" t="str">
        <x:v>ancestor pair 28</x:v>
      </x:c>
      <x:c r="E73" s="21" t="n">
        <x:f>Independence!I34</x:f>
        <x:v>1</x:v>
      </x:c>
      <x:c r="F73" s="21" t="n">
        <x:v>1</x:v>
      </x:c>
      <x:c r="G73" s="21" t="n">
        <x:f>E73-F73</x:f>
        <x:v>0</x:v>
      </x:c>
      <x:c r="H73" s="10" t="str">
        <x:f>IF(ABS(G73)&lt;0.000001,"PASS","FAIL")</x:f>
        <x:v>PASS</x:v>
      </x:c>
      <x:c r="I73" s="10" t="str">
        <x:v>Independence row 34</x:v>
      </x:c>
    </x:row>
    <x:row r="74">
      <x:c r="B74" s="10" t="str">
        <x:v>AU-068</x:v>
      </x:c>
      <x:c r="C74" s="10" t="str">
        <x:v>independence</x:v>
      </x:c>
      <x:c r="D74" s="10" t="str">
        <x:v>ancestor pair 29</x:v>
      </x:c>
      <x:c r="E74" s="21" t="n">
        <x:f>Independence!I35</x:f>
        <x:v>1</x:v>
      </x:c>
      <x:c r="F74" s="21" t="n">
        <x:v>1</x:v>
      </x:c>
      <x:c r="G74" s="21" t="n">
        <x:f>E74-F74</x:f>
        <x:v>0</x:v>
      </x:c>
      <x:c r="H74" s="10" t="str">
        <x:f>IF(ABS(G74)&lt;0.000001,"PASS","FAIL")</x:f>
        <x:v>PASS</x:v>
      </x:c>
      <x:c r="I74" s="10" t="str">
        <x:v>Independence row 35</x:v>
      </x:c>
    </x:row>
    <x:row r="75">
      <x:c r="B75" s="10" t="str">
        <x:v>AU-069</x:v>
      </x:c>
      <x:c r="C75" s="10" t="str">
        <x:v>independence</x:v>
      </x:c>
      <x:c r="D75" s="10" t="str">
        <x:v>ancestor pair 30</x:v>
      </x:c>
      <x:c r="E75" s="21" t="n">
        <x:f>Independence!I36</x:f>
        <x:v>1</x:v>
      </x:c>
      <x:c r="F75" s="21" t="n">
        <x:v>1</x:v>
      </x:c>
      <x:c r="G75" s="21" t="n">
        <x:f>E75-F75</x:f>
        <x:v>0</x:v>
      </x:c>
      <x:c r="H75" s="10" t="str">
        <x:f>IF(ABS(G75)&lt;0.000001,"PASS","FAIL")</x:f>
        <x:v>PASS</x:v>
      </x:c>
      <x:c r="I75" s="10" t="str">
        <x:v>Independence row 36</x:v>
      </x:c>
    </x:row>
    <x:row r="76">
      <x:c r="B76" s="10" t="str">
        <x:v>AU-070</x:v>
      </x:c>
      <x:c r="C76" s="10" t="str">
        <x:v>independence</x:v>
      </x:c>
      <x:c r="D76" s="10" t="str">
        <x:v>ancestor pair 31</x:v>
      </x:c>
      <x:c r="E76" s="21" t="n">
        <x:f>Independence!I37</x:f>
        <x:v>1</x:v>
      </x:c>
      <x:c r="F76" s="21" t="n">
        <x:v>1</x:v>
      </x:c>
      <x:c r="G76" s="21" t="n">
        <x:f>E76-F76</x:f>
        <x:v>0</x:v>
      </x:c>
      <x:c r="H76" s="10" t="str">
        <x:f>IF(ABS(G76)&lt;0.000001,"PASS","FAIL")</x:f>
        <x:v>PASS</x:v>
      </x:c>
      <x:c r="I76" s="10" t="str">
        <x:v>Independence row 37</x:v>
      </x:c>
    </x:row>
    <x:row r="77">
      <x:c r="B77" s="10" t="str">
        <x:v>AU-071</x:v>
      </x:c>
      <x:c r="C77" s="10" t="str">
        <x:v>independence</x:v>
      </x:c>
      <x:c r="D77" s="10" t="str">
        <x:v>ancestor pair 32</x:v>
      </x:c>
      <x:c r="E77" s="21" t="n">
        <x:f>Independence!I38</x:f>
        <x:v>1</x:v>
      </x:c>
      <x:c r="F77" s="21" t="n">
        <x:v>1</x:v>
      </x:c>
      <x:c r="G77" s="21" t="n">
        <x:f>E77-F77</x:f>
        <x:v>0</x:v>
      </x:c>
      <x:c r="H77" s="10" t="str">
        <x:f>IF(ABS(G77)&lt;0.000001,"PASS","FAIL")</x:f>
        <x:v>PASS</x:v>
      </x:c>
      <x:c r="I77" s="10" t="str">
        <x:v>Independence row 38</x:v>
      </x:c>
    </x:row>
    <x:row r="78">
      <x:c r="B78" s="10" t="str">
        <x:v>AU-072</x:v>
      </x:c>
      <x:c r="C78" s="10" t="str">
        <x:v>independence</x:v>
      </x:c>
      <x:c r="D78" s="10" t="str">
        <x:v>ancestor pair 33</x:v>
      </x:c>
      <x:c r="E78" s="21" t="n">
        <x:f>Independence!I39</x:f>
        <x:v>1</x:v>
      </x:c>
      <x:c r="F78" s="21" t="n">
        <x:v>1</x:v>
      </x:c>
      <x:c r="G78" s="21" t="n">
        <x:f>E78-F78</x:f>
        <x:v>0</x:v>
      </x:c>
      <x:c r="H78" s="10" t="str">
        <x:f>IF(ABS(G78)&lt;0.000001,"PASS","FAIL")</x:f>
        <x:v>PASS</x:v>
      </x:c>
      <x:c r="I78" s="10" t="str">
        <x:v>Independence row 39</x:v>
      </x:c>
    </x:row>
    <x:row r="79">
      <x:c r="B79" s="10" t="str">
        <x:v>AU-073</x:v>
      </x:c>
      <x:c r="C79" s="10" t="str">
        <x:v>independence</x:v>
      </x:c>
      <x:c r="D79" s="10" t="str">
        <x:v>ancestor pair 34</x:v>
      </x:c>
      <x:c r="E79" s="21" t="n">
        <x:f>Independence!I40</x:f>
        <x:v>1</x:v>
      </x:c>
      <x:c r="F79" s="21" t="n">
        <x:v>1</x:v>
      </x:c>
      <x:c r="G79" s="21" t="n">
        <x:f>E79-F79</x:f>
        <x:v>0</x:v>
      </x:c>
      <x:c r="H79" s="10" t="str">
        <x:f>IF(ABS(G79)&lt;0.000001,"PASS","FAIL")</x:f>
        <x:v>PASS</x:v>
      </x:c>
      <x:c r="I79" s="10" t="str">
        <x:v>Independence row 40</x:v>
      </x:c>
    </x:row>
    <x:row r="80">
      <x:c r="B80" s="10" t="str">
        <x:v>AU-074</x:v>
      </x:c>
      <x:c r="C80" s="10" t="str">
        <x:v>independence</x:v>
      </x:c>
      <x:c r="D80" s="10" t="str">
        <x:v>ancestor pair 35</x:v>
      </x:c>
      <x:c r="E80" s="21" t="n">
        <x:f>Independence!I41</x:f>
        <x:v>1</x:v>
      </x:c>
      <x:c r="F80" s="21" t="n">
        <x:v>1</x:v>
      </x:c>
      <x:c r="G80" s="21" t="n">
        <x:f>E80-F80</x:f>
        <x:v>0</x:v>
      </x:c>
      <x:c r="H80" s="10" t="str">
        <x:f>IF(ABS(G80)&lt;0.000001,"PASS","FAIL")</x:f>
        <x:v>PASS</x:v>
      </x:c>
      <x:c r="I80" s="10" t="str">
        <x:v>Independence row 41</x:v>
      </x:c>
    </x:row>
    <x:row r="81">
      <x:c r="B81" s="10" t="str">
        <x:v>AU-075</x:v>
      </x:c>
      <x:c r="C81" s="10" t="str">
        <x:v>independence</x:v>
      </x:c>
      <x:c r="D81" s="10" t="str">
        <x:v>ancestor pair 36</x:v>
      </x:c>
      <x:c r="E81" s="21" t="n">
        <x:f>Independence!I42</x:f>
        <x:v>1</x:v>
      </x:c>
      <x:c r="F81" s="21" t="n">
        <x:v>1</x:v>
      </x:c>
      <x:c r="G81" s="21" t="n">
        <x:f>E81-F81</x:f>
        <x:v>0</x:v>
      </x:c>
      <x:c r="H81" s="10" t="str">
        <x:f>IF(ABS(G81)&lt;0.000001,"PASS","FAIL")</x:f>
        <x:v>PASS</x:v>
      </x:c>
      <x:c r="I81" s="10" t="str">
        <x:v>Independence row 42</x:v>
      </x:c>
    </x:row>
    <x:row r="82">
      <x:c r="B82" s="10" t="str">
        <x:v>AU-076</x:v>
      </x:c>
      <x:c r="C82" s="10" t="str">
        <x:v>independence</x:v>
      </x:c>
      <x:c r="D82" s="10" t="str">
        <x:v>ancestor pair 37</x:v>
      </x:c>
      <x:c r="E82" s="21" t="n">
        <x:f>Independence!I43</x:f>
        <x:v>1</x:v>
      </x:c>
      <x:c r="F82" s="21" t="n">
        <x:v>1</x:v>
      </x:c>
      <x:c r="G82" s="21" t="n">
        <x:f>E82-F82</x:f>
        <x:v>0</x:v>
      </x:c>
      <x:c r="H82" s="10" t="str">
        <x:f>IF(ABS(G82)&lt;0.000001,"PASS","FAIL")</x:f>
        <x:v>PASS</x:v>
      </x:c>
      <x:c r="I82" s="10" t="str">
        <x:v>Independence row 43</x:v>
      </x:c>
    </x:row>
    <x:row r="83">
      <x:c r="B83" s="10" t="str">
        <x:v>AU-077</x:v>
      </x:c>
      <x:c r="C83" s="10" t="str">
        <x:v>independence</x:v>
      </x:c>
      <x:c r="D83" s="10" t="str">
        <x:v>ancestor pair 38</x:v>
      </x:c>
      <x:c r="E83" s="21" t="n">
        <x:f>Independence!I44</x:f>
        <x:v>1</x:v>
      </x:c>
      <x:c r="F83" s="21" t="n">
        <x:v>1</x:v>
      </x:c>
      <x:c r="G83" s="21" t="n">
        <x:f>E83-F83</x:f>
        <x:v>0</x:v>
      </x:c>
      <x:c r="H83" s="10" t="str">
        <x:f>IF(ABS(G83)&lt;0.000001,"PASS","FAIL")</x:f>
        <x:v>PASS</x:v>
      </x:c>
      <x:c r="I83" s="10" t="str">
        <x:v>Independence row 44</x:v>
      </x:c>
    </x:row>
    <x:row r="84">
      <x:c r="B84" s="10" t="str">
        <x:v>AU-078</x:v>
      </x:c>
      <x:c r="C84" s="10" t="str">
        <x:v>independence</x:v>
      </x:c>
      <x:c r="D84" s="10" t="str">
        <x:v>ancestor pair 39</x:v>
      </x:c>
      <x:c r="E84" s="21" t="n">
        <x:f>Independence!I45</x:f>
        <x:v>1</x:v>
      </x:c>
      <x:c r="F84" s="21" t="n">
        <x:v>1</x:v>
      </x:c>
      <x:c r="G84" s="21" t="n">
        <x:f>E84-F84</x:f>
        <x:v>0</x:v>
      </x:c>
      <x:c r="H84" s="10" t="str">
        <x:f>IF(ABS(G84)&lt;0.000001,"PASS","FAIL")</x:f>
        <x:v>PASS</x:v>
      </x:c>
      <x:c r="I84" s="10" t="str">
        <x:v>Independence row 45</x:v>
      </x:c>
    </x:row>
    <x:row r="85">
      <x:c r="B85" s="10" t="str">
        <x:v>AU-079</x:v>
      </x:c>
      <x:c r="C85" s="10" t="str">
        <x:v>independence</x:v>
      </x:c>
      <x:c r="D85" s="10" t="str">
        <x:v>ancestor pair 40</x:v>
      </x:c>
      <x:c r="E85" s="21" t="n">
        <x:f>Independence!I46</x:f>
        <x:v>1</x:v>
      </x:c>
      <x:c r="F85" s="21" t="n">
        <x:v>1</x:v>
      </x:c>
      <x:c r="G85" s="21" t="n">
        <x:f>E85-F85</x:f>
        <x:v>0</x:v>
      </x:c>
      <x:c r="H85" s="10" t="str">
        <x:f>IF(ABS(G85)&lt;0.000001,"PASS","FAIL")</x:f>
        <x:v>PASS</x:v>
      </x:c>
      <x:c r="I85" s="10" t="str">
        <x:v>Independence row 46</x:v>
      </x:c>
    </x:row>
    <x:row r="86">
      <x:c r="B86" s="10" t="str">
        <x:v>AU-080</x:v>
      </x:c>
      <x:c r="C86" s="10" t="str">
        <x:v>independence</x:v>
      </x:c>
      <x:c r="D86" s="10" t="str">
        <x:v>ancestor pair 41</x:v>
      </x:c>
      <x:c r="E86" s="21" t="n">
        <x:f>Independence!I47</x:f>
        <x:v>1</x:v>
      </x:c>
      <x:c r="F86" s="21" t="n">
        <x:v>1</x:v>
      </x:c>
      <x:c r="G86" s="21" t="n">
        <x:f>E86-F86</x:f>
        <x:v>0</x:v>
      </x:c>
      <x:c r="H86" s="10" t="str">
        <x:f>IF(ABS(G86)&lt;0.000001,"PASS","FAIL")</x:f>
        <x:v>PASS</x:v>
      </x:c>
      <x:c r="I86" s="10" t="str">
        <x:v>Independence row 47</x:v>
      </x:c>
    </x:row>
    <x:row r="87">
      <x:c r="B87" s="10" t="str">
        <x:v>AU-081</x:v>
      </x:c>
      <x:c r="C87" s="10" t="str">
        <x:v>independence</x:v>
      </x:c>
      <x:c r="D87" s="10" t="str">
        <x:v>ancestor pair 42</x:v>
      </x:c>
      <x:c r="E87" s="21" t="n">
        <x:f>Independence!I48</x:f>
        <x:v>1</x:v>
      </x:c>
      <x:c r="F87" s="21" t="n">
        <x:v>1</x:v>
      </x:c>
      <x:c r="G87" s="21" t="n">
        <x:f>E87-F87</x:f>
        <x:v>0</x:v>
      </x:c>
      <x:c r="H87" s="10" t="str">
        <x:f>IF(ABS(G87)&lt;0.000001,"PASS","FAIL")</x:f>
        <x:v>PASS</x:v>
      </x:c>
      <x:c r="I87" s="10" t="str">
        <x:v>Independence row 48</x:v>
      </x:c>
    </x:row>
    <x:row r="88">
      <x:c r="B88" s="10" t="str">
        <x:v>AU-082</x:v>
      </x:c>
      <x:c r="C88" s="10" t="str">
        <x:v>independence</x:v>
      </x:c>
      <x:c r="D88" s="10" t="str">
        <x:v>ancestor pair 43</x:v>
      </x:c>
      <x:c r="E88" s="21" t="n">
        <x:f>Independence!I49</x:f>
        <x:v>1</x:v>
      </x:c>
      <x:c r="F88" s="21" t="n">
        <x:v>1</x:v>
      </x:c>
      <x:c r="G88" s="21" t="n">
        <x:f>E88-F88</x:f>
        <x:v>0</x:v>
      </x:c>
      <x:c r="H88" s="10" t="str">
        <x:f>IF(ABS(G88)&lt;0.000001,"PASS","FAIL")</x:f>
        <x:v>PASS</x:v>
      </x:c>
      <x:c r="I88" s="10" t="str">
        <x:v>Independence row 49</x:v>
      </x:c>
    </x:row>
    <x:row r="89">
      <x:c r="B89" s="10" t="str">
        <x:v>AU-083</x:v>
      </x:c>
      <x:c r="C89" s="10" t="str">
        <x:v>independence</x:v>
      </x:c>
      <x:c r="D89" s="10" t="str">
        <x:v>ancestor pair 44</x:v>
      </x:c>
      <x:c r="E89" s="21" t="n">
        <x:f>Independence!I50</x:f>
        <x:v>1</x:v>
      </x:c>
      <x:c r="F89" s="21" t="n">
        <x:v>1</x:v>
      </x:c>
      <x:c r="G89" s="21" t="n">
        <x:f>E89-F89</x:f>
        <x:v>0</x:v>
      </x:c>
      <x:c r="H89" s="10" t="str">
        <x:f>IF(ABS(G89)&lt;0.000001,"PASS","FAIL")</x:f>
        <x:v>PASS</x:v>
      </x:c>
      <x:c r="I89" s="10" t="str">
        <x:v>Independence row 50</x:v>
      </x:c>
    </x:row>
    <x:row r="90">
      <x:c r="B90" s="10" t="str">
        <x:v>AU-084</x:v>
      </x:c>
      <x:c r="C90" s="10" t="str">
        <x:v>independence</x:v>
      </x:c>
      <x:c r="D90" s="10" t="str">
        <x:v>ancestor pair 45</x:v>
      </x:c>
      <x:c r="E90" s="21" t="n">
        <x:f>Independence!I51</x:f>
        <x:v>1</x:v>
      </x:c>
      <x:c r="F90" s="21" t="n">
        <x:v>1</x:v>
      </x:c>
      <x:c r="G90" s="21" t="n">
        <x:f>E90-F90</x:f>
        <x:v>0</x:v>
      </x:c>
      <x:c r="H90" s="10" t="str">
        <x:f>IF(ABS(G90)&lt;0.000001,"PASS","FAIL")</x:f>
        <x:v>PASS</x:v>
      </x:c>
      <x:c r="I90" s="10" t="str">
        <x:v>Independence row 51</x:v>
      </x:c>
    </x:row>
    <x:row r="91">
      <x:c r="B91" s="10" t="str">
        <x:v>AU-085</x:v>
      </x:c>
      <x:c r="C91" s="10" t="str">
        <x:v>independence</x:v>
      </x:c>
      <x:c r="D91" s="10" t="str">
        <x:v>ancestor pair 46</x:v>
      </x:c>
      <x:c r="E91" s="21" t="n">
        <x:f>Independence!I52</x:f>
        <x:v>1</x:v>
      </x:c>
      <x:c r="F91" s="21" t="n">
        <x:v>1</x:v>
      </x:c>
      <x:c r="G91" s="21" t="n">
        <x:f>E91-F91</x:f>
        <x:v>0</x:v>
      </x:c>
      <x:c r="H91" s="10" t="str">
        <x:f>IF(ABS(G91)&lt;0.000001,"PASS","FAIL")</x:f>
        <x:v>PASS</x:v>
      </x:c>
      <x:c r="I91" s="10" t="str">
        <x:v>Independence row 52</x:v>
      </x:c>
    </x:row>
    <x:row r="92">
      <x:c r="B92" s="10" t="str">
        <x:v>AU-086</x:v>
      </x:c>
      <x:c r="C92" s="10" t="str">
        <x:v>independence</x:v>
      </x:c>
      <x:c r="D92" s="10" t="str">
        <x:v>ancestor pair 47</x:v>
      </x:c>
      <x:c r="E92" s="21" t="n">
        <x:f>Independence!I53</x:f>
        <x:v>1</x:v>
      </x:c>
      <x:c r="F92" s="21" t="n">
        <x:v>1</x:v>
      </x:c>
      <x:c r="G92" s="21" t="n">
        <x:f>E92-F92</x:f>
        <x:v>0</x:v>
      </x:c>
      <x:c r="H92" s="10" t="str">
        <x:f>IF(ABS(G92)&lt;0.000001,"PASS","FAIL")</x:f>
        <x:v>PASS</x:v>
      </x:c>
      <x:c r="I92" s="10" t="str">
        <x:v>Independence row 53</x:v>
      </x:c>
    </x:row>
    <x:row r="93">
      <x:c r="B93" s="10" t="str">
        <x:v>AU-087</x:v>
      </x:c>
      <x:c r="C93" s="10" t="str">
        <x:v>independence</x:v>
      </x:c>
      <x:c r="D93" s="10" t="str">
        <x:v>ancestor pair 48</x:v>
      </x:c>
      <x:c r="E93" s="21" t="n">
        <x:f>Independence!I54</x:f>
        <x:v>1</x:v>
      </x:c>
      <x:c r="F93" s="21" t="n">
        <x:v>1</x:v>
      </x:c>
      <x:c r="G93" s="21" t="n">
        <x:f>E93-F93</x:f>
        <x:v>0</x:v>
      </x:c>
      <x:c r="H93" s="10" t="str">
        <x:f>IF(ABS(G93)&lt;0.000001,"PASS","FAIL")</x:f>
        <x:v>PASS</x:v>
      </x:c>
      <x:c r="I93" s="10" t="str">
        <x:v>Independence row 54</x:v>
      </x:c>
    </x:row>
    <x:row r="94">
      <x:c r="B94" s="10" t="str">
        <x:v>AU-088</x:v>
      </x:c>
      <x:c r="C94" s="10" t="str">
        <x:v>independence</x:v>
      </x:c>
      <x:c r="D94" s="10" t="str">
        <x:v>ancestor pair 49</x:v>
      </x:c>
      <x:c r="E94" s="21" t="n">
        <x:f>Independence!I55</x:f>
        <x:v>1</x:v>
      </x:c>
      <x:c r="F94" s="21" t="n">
        <x:v>1</x:v>
      </x:c>
      <x:c r="G94" s="21" t="n">
        <x:f>E94-F94</x:f>
        <x:v>0</x:v>
      </x:c>
      <x:c r="H94" s="10" t="str">
        <x:f>IF(ABS(G94)&lt;0.000001,"PASS","FAIL")</x:f>
        <x:v>PASS</x:v>
      </x:c>
      <x:c r="I94" s="10" t="str">
        <x:v>Independence row 55</x:v>
      </x:c>
    </x:row>
    <x:row r="95">
      <x:c r="B95" s="10" t="str">
        <x:v>AU-089</x:v>
      </x:c>
      <x:c r="C95" s="10" t="str">
        <x:v>independence</x:v>
      </x:c>
      <x:c r="D95" s="10" t="str">
        <x:v>ancestor pair 50</x:v>
      </x:c>
      <x:c r="E95" s="21" t="n">
        <x:f>Independence!I56</x:f>
        <x:v>1</x:v>
      </x:c>
      <x:c r="F95" s="21" t="n">
        <x:v>1</x:v>
      </x:c>
      <x:c r="G95" s="21" t="n">
        <x:f>E95-F95</x:f>
        <x:v>0</x:v>
      </x:c>
      <x:c r="H95" s="10" t="str">
        <x:f>IF(ABS(G95)&lt;0.000001,"PASS","FAIL")</x:f>
        <x:v>PASS</x:v>
      </x:c>
      <x:c r="I95" s="10" t="str">
        <x:v>Independence row 56</x:v>
      </x:c>
    </x:row>
    <x:row r="96">
      <x:c r="B96" s="10" t="str">
        <x:v>AU-090</x:v>
      </x:c>
      <x:c r="C96" s="10" t="str">
        <x:v>independence</x:v>
      </x:c>
      <x:c r="D96" s="10" t="str">
        <x:v>ancestor pair 51</x:v>
      </x:c>
      <x:c r="E96" s="21" t="n">
        <x:f>Independence!I57</x:f>
        <x:v>1</x:v>
      </x:c>
      <x:c r="F96" s="21" t="n">
        <x:v>1</x:v>
      </x:c>
      <x:c r="G96" s="21" t="n">
        <x:f>E96-F96</x:f>
        <x:v>0</x:v>
      </x:c>
      <x:c r="H96" s="10" t="str">
        <x:f>IF(ABS(G96)&lt;0.000001,"PASS","FAIL")</x:f>
        <x:v>PASS</x:v>
      </x:c>
      <x:c r="I96" s="10" t="str">
        <x:v>Independence row 57</x:v>
      </x:c>
    </x:row>
    <x:row r="97">
      <x:c r="B97" s="10" t="str">
        <x:v>AU-091</x:v>
      </x:c>
      <x:c r="C97" s="10" t="str">
        <x:v>independence</x:v>
      </x:c>
      <x:c r="D97" s="10" t="str">
        <x:v>ancestor pair 52</x:v>
      </x:c>
      <x:c r="E97" s="21" t="n">
        <x:f>Independence!I58</x:f>
        <x:v>1</x:v>
      </x:c>
      <x:c r="F97" s="21" t="n">
        <x:v>1</x:v>
      </x:c>
      <x:c r="G97" s="21" t="n">
        <x:f>E97-F97</x:f>
        <x:v>0</x:v>
      </x:c>
      <x:c r="H97" s="10" t="str">
        <x:f>IF(ABS(G97)&lt;0.000001,"PASS","FAIL")</x:f>
        <x:v>PASS</x:v>
      </x:c>
      <x:c r="I97" s="10" t="str">
        <x:v>Independence row 58</x:v>
      </x:c>
    </x:row>
    <x:row r="98">
      <x:c r="B98" s="10" t="str">
        <x:v>AU-092</x:v>
      </x:c>
      <x:c r="C98" s="10" t="str">
        <x:v>independence</x:v>
      </x:c>
      <x:c r="D98" s="10" t="str">
        <x:v>ancestor pair 53</x:v>
      </x:c>
      <x:c r="E98" s="21" t="n">
        <x:f>Independence!I59</x:f>
        <x:v>1</x:v>
      </x:c>
      <x:c r="F98" s="21" t="n">
        <x:v>1</x:v>
      </x:c>
      <x:c r="G98" s="21" t="n">
        <x:f>E98-F98</x:f>
        <x:v>0</x:v>
      </x:c>
      <x:c r="H98" s="10" t="str">
        <x:f>IF(ABS(G98)&lt;0.000001,"PASS","FAIL")</x:f>
        <x:v>PASS</x:v>
      </x:c>
      <x:c r="I98" s="10" t="str">
        <x:v>Independence row 59</x:v>
      </x:c>
    </x:row>
    <x:row r="99">
      <x:c r="B99" s="10" t="str">
        <x:v>AU-093</x:v>
      </x:c>
      <x:c r="C99" s="10" t="str">
        <x:v>independence</x:v>
      </x:c>
      <x:c r="D99" s="10" t="str">
        <x:v>ancestor pair 54</x:v>
      </x:c>
      <x:c r="E99" s="21" t="n">
        <x:f>Independence!I60</x:f>
        <x:v>1</x:v>
      </x:c>
      <x:c r="F99" s="21" t="n">
        <x:v>1</x:v>
      </x:c>
      <x:c r="G99" s="21" t="n">
        <x:f>E99-F99</x:f>
        <x:v>0</x:v>
      </x:c>
      <x:c r="H99" s="10" t="str">
        <x:f>IF(ABS(G99)&lt;0.000001,"PASS","FAIL")</x:f>
        <x:v>PASS</x:v>
      </x:c>
      <x:c r="I99" s="10" t="str">
        <x:v>Independence row 60</x:v>
      </x:c>
    </x:row>
    <x:row r="100">
      <x:c r="B100" s="10" t="str">
        <x:v>AU-094</x:v>
      </x:c>
      <x:c r="C100" s="10" t="str">
        <x:v>independence</x:v>
      </x:c>
      <x:c r="D100" s="10" t="str">
        <x:v>ancestor pair 55</x:v>
      </x:c>
      <x:c r="E100" s="21" t="n">
        <x:f>Independence!I61</x:f>
        <x:v>1</x:v>
      </x:c>
      <x:c r="F100" s="21" t="n">
        <x:v>1</x:v>
      </x:c>
      <x:c r="G100" s="21" t="n">
        <x:f>E100-F100</x:f>
        <x:v>0</x:v>
      </x:c>
      <x:c r="H100" s="10" t="str">
        <x:f>IF(ABS(G100)&lt;0.000001,"PASS","FAIL")</x:f>
        <x:v>PASS</x:v>
      </x:c>
      <x:c r="I100" s="10" t="str">
        <x:v>Independence row 61</x:v>
      </x:c>
    </x:row>
    <x:row r="101">
      <x:c r="B101" s="10" t="str">
        <x:v>AU-095</x:v>
      </x:c>
      <x:c r="C101" s="10" t="str">
        <x:v>independence</x:v>
      </x:c>
      <x:c r="D101" s="10" t="str">
        <x:v>ancestor pair 56</x:v>
      </x:c>
      <x:c r="E101" s="21" t="n">
        <x:f>Independence!I62</x:f>
        <x:v>1</x:v>
      </x:c>
      <x:c r="F101" s="21" t="n">
        <x:v>1</x:v>
      </x:c>
      <x:c r="G101" s="21" t="n">
        <x:f>E101-F101</x:f>
        <x:v>0</x:v>
      </x:c>
      <x:c r="H101" s="10" t="str">
        <x:f>IF(ABS(G101)&lt;0.000001,"PASS","FAIL")</x:f>
        <x:v>PASS</x:v>
      </x:c>
      <x:c r="I101" s="10" t="str">
        <x:v>Independence row 62</x:v>
      </x:c>
    </x:row>
    <x:row r="102">
      <x:c r="B102" s="10" t="str">
        <x:v>AU-096</x:v>
      </x:c>
      <x:c r="C102" s="10" t="str">
        <x:v>independence</x:v>
      </x:c>
      <x:c r="D102" s="10" t="str">
        <x:v>ancestor pair 57</x:v>
      </x:c>
      <x:c r="E102" s="21" t="n">
        <x:f>Independence!I63</x:f>
        <x:v>1</x:v>
      </x:c>
      <x:c r="F102" s="21" t="n">
        <x:v>1</x:v>
      </x:c>
      <x:c r="G102" s="21" t="n">
        <x:f>E102-F102</x:f>
        <x:v>0</x:v>
      </x:c>
      <x:c r="H102" s="10" t="str">
        <x:f>IF(ABS(G102)&lt;0.000001,"PASS","FAIL")</x:f>
        <x:v>PASS</x:v>
      </x:c>
      <x:c r="I102" s="10" t="str">
        <x:v>Independence row 63</x:v>
      </x:c>
    </x:row>
    <x:row r="103">
      <x:c r="B103" s="10" t="str">
        <x:v>AU-097</x:v>
      </x:c>
      <x:c r="C103" s="10" t="str">
        <x:v>independence</x:v>
      </x:c>
      <x:c r="D103" s="10" t="str">
        <x:v>ancestor pair 58</x:v>
      </x:c>
      <x:c r="E103" s="21" t="n">
        <x:f>Independence!I64</x:f>
        <x:v>1</x:v>
      </x:c>
      <x:c r="F103" s="21" t="n">
        <x:v>1</x:v>
      </x:c>
      <x:c r="G103" s="21" t="n">
        <x:f>E103-F103</x:f>
        <x:v>0</x:v>
      </x:c>
      <x:c r="H103" s="10" t="str">
        <x:f>IF(ABS(G103)&lt;0.000001,"PASS","FAIL")</x:f>
        <x:v>PASS</x:v>
      </x:c>
      <x:c r="I103" s="10" t="str">
        <x:v>Independence row 64</x:v>
      </x:c>
    </x:row>
    <x:row r="104">
      <x:c r="B104" s="10" t="str">
        <x:v>AU-098</x:v>
      </x:c>
      <x:c r="C104" s="10" t="str">
        <x:v>independence</x:v>
      </x:c>
      <x:c r="D104" s="10" t="str">
        <x:v>ancestor pair 59</x:v>
      </x:c>
      <x:c r="E104" s="21" t="n">
        <x:f>Independence!I65</x:f>
        <x:v>1</x:v>
      </x:c>
      <x:c r="F104" s="21" t="n">
        <x:v>1</x:v>
      </x:c>
      <x:c r="G104" s="21" t="n">
        <x:f>E104-F104</x:f>
        <x:v>0</x:v>
      </x:c>
      <x:c r="H104" s="10" t="str">
        <x:f>IF(ABS(G104)&lt;0.000001,"PASS","FAIL")</x:f>
        <x:v>PASS</x:v>
      </x:c>
      <x:c r="I104" s="10" t="str">
        <x:v>Independence row 65</x:v>
      </x:c>
    </x:row>
    <x:row r="105">
      <x:c r="B105" s="10" t="str">
        <x:v>AU-099</x:v>
      </x:c>
      <x:c r="C105" s="10" t="str">
        <x:v>independence</x:v>
      </x:c>
      <x:c r="D105" s="10" t="str">
        <x:v>ancestor pair 60</x:v>
      </x:c>
      <x:c r="E105" s="21" t="n">
        <x:f>Independence!I66</x:f>
        <x:v>1</x:v>
      </x:c>
      <x:c r="F105" s="21" t="n">
        <x:v>1</x:v>
      </x:c>
      <x:c r="G105" s="21" t="n">
        <x:f>E105-F105</x:f>
        <x:v>0</x:v>
      </x:c>
      <x:c r="H105" s="10" t="str">
        <x:f>IF(ABS(G105)&lt;0.000001,"PASS","FAIL")</x:f>
        <x:v>PASS</x:v>
      </x:c>
      <x:c r="I105" s="10" t="str">
        <x:v>Independence row 66</x:v>
      </x:c>
    </x:row>
    <x:row r="106">
      <x:c r="B106" s="10" t="str">
        <x:v>AU-100</x:v>
      </x:c>
      <x:c r="C106" s="10" t="str">
        <x:v>independence</x:v>
      </x:c>
      <x:c r="D106" s="10" t="str">
        <x:v>ancestor pair 61</x:v>
      </x:c>
      <x:c r="E106" s="21" t="n">
        <x:f>Independence!I67</x:f>
        <x:v>1</x:v>
      </x:c>
      <x:c r="F106" s="21" t="n">
        <x:v>1</x:v>
      </x:c>
      <x:c r="G106" s="21" t="n">
        <x:f>E106-F106</x:f>
        <x:v>0</x:v>
      </x:c>
      <x:c r="H106" s="10" t="str">
        <x:f>IF(ABS(G106)&lt;0.000001,"PASS","FAIL")</x:f>
        <x:v>PASS</x:v>
      </x:c>
      <x:c r="I106" s="10" t="str">
        <x:v>Independence row 67</x:v>
      </x:c>
    </x:row>
    <x:row r="107">
      <x:c r="B107" s="10" t="str">
        <x:v>AU-101</x:v>
      </x:c>
      <x:c r="C107" s="10" t="str">
        <x:v>independence</x:v>
      </x:c>
      <x:c r="D107" s="10" t="str">
        <x:v>ancestor pair 62</x:v>
      </x:c>
      <x:c r="E107" s="21" t="n">
        <x:f>Independence!I68</x:f>
        <x:v>1</x:v>
      </x:c>
      <x:c r="F107" s="21" t="n">
        <x:v>1</x:v>
      </x:c>
      <x:c r="G107" s="21" t="n">
        <x:f>E107-F107</x:f>
        <x:v>0</x:v>
      </x:c>
      <x:c r="H107" s="10" t="str">
        <x:f>IF(ABS(G107)&lt;0.000001,"PASS","FAIL")</x:f>
        <x:v>PASS</x:v>
      </x:c>
      <x:c r="I107" s="10" t="str">
        <x:v>Independence row 68</x:v>
      </x:c>
    </x:row>
    <x:row r="108">
      <x:c r="B108" s="10" t="str">
        <x:v>AU-102</x:v>
      </x:c>
      <x:c r="C108" s="10" t="str">
        <x:v>independence</x:v>
      </x:c>
      <x:c r="D108" s="10" t="str">
        <x:v>ancestor pair 63</x:v>
      </x:c>
      <x:c r="E108" s="21" t="n">
        <x:f>Independence!I69</x:f>
        <x:v>1</x:v>
      </x:c>
      <x:c r="F108" s="21" t="n">
        <x:v>1</x:v>
      </x:c>
      <x:c r="G108" s="21" t="n">
        <x:f>E108-F108</x:f>
        <x:v>0</x:v>
      </x:c>
      <x:c r="H108" s="10" t="str">
        <x:f>IF(ABS(G108)&lt;0.000001,"PASS","FAIL")</x:f>
        <x:v>PASS</x:v>
      </x:c>
      <x:c r="I108" s="10" t="str">
        <x:v>Independence row 69</x:v>
      </x:c>
    </x:row>
    <x:row r="109">
      <x:c r="B109" s="10" t="str">
        <x:v>AU-103</x:v>
      </x:c>
      <x:c r="C109" s="10" t="str">
        <x:v>independence</x:v>
      </x:c>
      <x:c r="D109" s="10" t="str">
        <x:v>ancestor pair 64</x:v>
      </x:c>
      <x:c r="E109" s="21" t="n">
        <x:f>Independence!I70</x:f>
        <x:v>1</x:v>
      </x:c>
      <x:c r="F109" s="21" t="n">
        <x:v>1</x:v>
      </x:c>
      <x:c r="G109" s="21" t="n">
        <x:f>E109-F109</x:f>
        <x:v>0</x:v>
      </x:c>
      <x:c r="H109" s="10" t="str">
        <x:f>IF(ABS(G109)&lt;0.000001,"PASS","FAIL")</x:f>
        <x:v>PASS</x:v>
      </x:c>
      <x:c r="I109" s="10" t="str">
        <x:v>Independence row 70</x:v>
      </x:c>
    </x:row>
    <x:row r="110">
      <x:c r="B110" s="10" t="str">
        <x:v>AU-104</x:v>
      </x:c>
      <x:c r="C110" s="10" t="str">
        <x:v>independence</x:v>
      </x:c>
      <x:c r="D110" s="10" t="str">
        <x:v>ancestor pair 65</x:v>
      </x:c>
      <x:c r="E110" s="21" t="n">
        <x:f>Independence!I71</x:f>
        <x:v>1</x:v>
      </x:c>
      <x:c r="F110" s="21" t="n">
        <x:v>1</x:v>
      </x:c>
      <x:c r="G110" s="21" t="n">
        <x:f>E110-F110</x:f>
        <x:v>0</x:v>
      </x:c>
      <x:c r="H110" s="10" t="str">
        <x:f>IF(ABS(G110)&lt;0.000001,"PASS","FAIL")</x:f>
        <x:v>PASS</x:v>
      </x:c>
      <x:c r="I110" s="10" t="str">
        <x:v>Independence row 71</x:v>
      </x:c>
    </x:row>
    <x:row r="111">
      <x:c r="B111" s="10" t="str">
        <x:v>AU-105</x:v>
      </x:c>
      <x:c r="C111" s="10" t="str">
        <x:v>independence</x:v>
      </x:c>
      <x:c r="D111" s="10" t="str">
        <x:v>ancestor pair 66</x:v>
      </x:c>
      <x:c r="E111" s="21" t="n">
        <x:f>Independence!I72</x:f>
        <x:v>1</x:v>
      </x:c>
      <x:c r="F111" s="21" t="n">
        <x:v>1</x:v>
      </x:c>
      <x:c r="G111" s="21" t="n">
        <x:f>E111-F111</x:f>
        <x:v>0</x:v>
      </x:c>
      <x:c r="H111" s="10" t="str">
        <x:f>IF(ABS(G111)&lt;0.000001,"PASS","FAIL")</x:f>
        <x:v>PASS</x:v>
      </x:c>
      <x:c r="I111" s="10" t="str">
        <x:v>Independence row 72</x:v>
      </x:c>
    </x:row>
    <x:row r="112">
      <x:c r="B112" s="10" t="str">
        <x:v>AU-106</x:v>
      </x:c>
      <x:c r="C112" s="10" t="str">
        <x:v>independence</x:v>
      </x:c>
      <x:c r="D112" s="10" t="str">
        <x:v>ancestor pair 67</x:v>
      </x:c>
      <x:c r="E112" s="21" t="n">
        <x:f>Independence!I73</x:f>
        <x:v>1</x:v>
      </x:c>
      <x:c r="F112" s="21" t="n">
        <x:v>1</x:v>
      </x:c>
      <x:c r="G112" s="21" t="n">
        <x:f>E112-F112</x:f>
        <x:v>0</x:v>
      </x:c>
      <x:c r="H112" s="10" t="str">
        <x:f>IF(ABS(G112)&lt;0.000001,"PASS","FAIL")</x:f>
        <x:v>PASS</x:v>
      </x:c>
      <x:c r="I112" s="10" t="str">
        <x:v>Independence row 73</x:v>
      </x:c>
    </x:row>
    <x:row r="113">
      <x:c r="B113" s="10" t="str">
        <x:v>AU-107</x:v>
      </x:c>
      <x:c r="C113" s="10" t="str">
        <x:v>independence</x:v>
      </x:c>
      <x:c r="D113" s="10" t="str">
        <x:v>ancestor pair 68</x:v>
      </x:c>
      <x:c r="E113" s="21" t="n">
        <x:f>Independence!I74</x:f>
        <x:v>1</x:v>
      </x:c>
      <x:c r="F113" s="21" t="n">
        <x:v>1</x:v>
      </x:c>
      <x:c r="G113" s="21" t="n">
        <x:f>E113-F113</x:f>
        <x:v>0</x:v>
      </x:c>
      <x:c r="H113" s="10" t="str">
        <x:f>IF(ABS(G113)&lt;0.000001,"PASS","FAIL")</x:f>
        <x:v>PASS</x:v>
      </x:c>
      <x:c r="I113" s="10" t="str">
        <x:v>Independence row 74</x:v>
      </x:c>
    </x:row>
    <x:row r="114">
      <x:c r="B114" s="10" t="str">
        <x:v>AU-108</x:v>
      </x:c>
      <x:c r="C114" s="10" t="str">
        <x:v>independence</x:v>
      </x:c>
      <x:c r="D114" s="10" t="str">
        <x:v>ancestor pair 69</x:v>
      </x:c>
      <x:c r="E114" s="21" t="n">
        <x:f>Independence!I75</x:f>
        <x:v>1</x:v>
      </x:c>
      <x:c r="F114" s="21" t="n">
        <x:v>1</x:v>
      </x:c>
      <x:c r="G114" s="21" t="n">
        <x:f>E114-F114</x:f>
        <x:v>0</x:v>
      </x:c>
      <x:c r="H114" s="10" t="str">
        <x:f>IF(ABS(G114)&lt;0.000001,"PASS","FAIL")</x:f>
        <x:v>PASS</x:v>
      </x:c>
      <x:c r="I114" s="10" t="str">
        <x:v>Independence row 75</x:v>
      </x:c>
    </x:row>
    <x:row r="115">
      <x:c r="B115" s="10" t="str">
        <x:v>AU-109</x:v>
      </x:c>
      <x:c r="C115" s="10" t="str">
        <x:v>independence</x:v>
      </x:c>
      <x:c r="D115" s="10" t="str">
        <x:v>ancestor pair 70</x:v>
      </x:c>
      <x:c r="E115" s="21" t="n">
        <x:f>Independence!I76</x:f>
        <x:v>1</x:v>
      </x:c>
      <x:c r="F115" s="21" t="n">
        <x:v>1</x:v>
      </x:c>
      <x:c r="G115" s="21" t="n">
        <x:f>E115-F115</x:f>
        <x:v>0</x:v>
      </x:c>
      <x:c r="H115" s="10" t="str">
        <x:f>IF(ABS(G115)&lt;0.000001,"PASS","FAIL")</x:f>
        <x:v>PASS</x:v>
      </x:c>
      <x:c r="I115" s="10" t="str">
        <x:v>Independence row 76</x:v>
      </x:c>
    </x:row>
    <x:row r="116">
      <x:c r="B116" s="10" t="str">
        <x:v>AU-110</x:v>
      </x:c>
      <x:c r="C116" s="10" t="str">
        <x:v>independence</x:v>
      </x:c>
      <x:c r="D116" s="10" t="str">
        <x:v>ancestor pair 71</x:v>
      </x:c>
      <x:c r="E116" s="21" t="n">
        <x:f>Independence!I77</x:f>
        <x:v>1</x:v>
      </x:c>
      <x:c r="F116" s="21" t="n">
        <x:v>1</x:v>
      </x:c>
      <x:c r="G116" s="21" t="n">
        <x:f>E116-F116</x:f>
        <x:v>0</x:v>
      </x:c>
      <x:c r="H116" s="10" t="str">
        <x:f>IF(ABS(G116)&lt;0.000001,"PASS","FAIL")</x:f>
        <x:v>PASS</x:v>
      </x:c>
      <x:c r="I116" s="10" t="str">
        <x:v>Independence row 77</x:v>
      </x:c>
    </x:row>
    <x:row r="117">
      <x:c r="B117" s="10" t="str">
        <x:v>AU-111</x:v>
      </x:c>
      <x:c r="C117" s="10" t="str">
        <x:v>independence</x:v>
      </x:c>
      <x:c r="D117" s="10" t="str">
        <x:v>ancestor pair 72</x:v>
      </x:c>
      <x:c r="E117" s="21" t="n">
        <x:f>Independence!I78</x:f>
        <x:v>1</x:v>
      </x:c>
      <x:c r="F117" s="21" t="n">
        <x:v>1</x:v>
      </x:c>
      <x:c r="G117" s="21" t="n">
        <x:f>E117-F117</x:f>
        <x:v>0</x:v>
      </x:c>
      <x:c r="H117" s="10" t="str">
        <x:f>IF(ABS(G117)&lt;0.000001,"PASS","FAIL")</x:f>
        <x:v>PASS</x:v>
      </x:c>
      <x:c r="I117" s="10" t="str">
        <x:v>Independence row 78</x:v>
      </x:c>
    </x:row>
    <x:row r="118">
      <x:c r="B118" s="10" t="str">
        <x:v>AU-112</x:v>
      </x:c>
      <x:c r="C118" s="10" t="str">
        <x:v>commissioning</x:v>
      </x:c>
      <x:c r="D118" s="10" t="str">
        <x:v>event definition 1</x:v>
      </x:c>
      <x:c r="E118" s="21" t="n">
        <x:f>IF('Commissioning Matrix'!I7=1,1,0)</x:f>
        <x:v>1</x:v>
      </x:c>
      <x:c r="F118" s="21" t="n">
        <x:v>1</x:v>
      </x:c>
      <x:c r="G118" s="21" t="n">
        <x:f>E118-F118</x:f>
        <x:v>0</x:v>
      </x:c>
      <x:c r="H118" s="10" t="str">
        <x:f>IF(ABS(G118)&lt;0.000001,"PASS","FAIL")</x:f>
        <x:v>PASS</x:v>
      </x:c>
      <x:c r="I118" s="10" t="str">
        <x:v>Commissioning Matrix row 7</x:v>
      </x:c>
    </x:row>
    <x:row r="119">
      <x:c r="B119" s="10" t="str">
        <x:v>AU-113</x:v>
      </x:c>
      <x:c r="C119" s="10" t="str">
        <x:v>commissioning</x:v>
      </x:c>
      <x:c r="D119" s="10" t="str">
        <x:v>event definition 2</x:v>
      </x:c>
      <x:c r="E119" s="21" t="n">
        <x:f>IF('Commissioning Matrix'!I8=1,1,0)</x:f>
        <x:v>1</x:v>
      </x:c>
      <x:c r="F119" s="21" t="n">
        <x:v>1</x:v>
      </x:c>
      <x:c r="G119" s="21" t="n">
        <x:f>E119-F119</x:f>
        <x:v>0</x:v>
      </x:c>
      <x:c r="H119" s="10" t="str">
        <x:f>IF(ABS(G119)&lt;0.000001,"PASS","FAIL")</x:f>
        <x:v>PASS</x:v>
      </x:c>
      <x:c r="I119" s="10" t="str">
        <x:v>Commissioning Matrix row 8</x:v>
      </x:c>
    </x:row>
    <x:row r="120">
      <x:c r="B120" s="10" t="str">
        <x:v>AU-114</x:v>
      </x:c>
      <x:c r="C120" s="10" t="str">
        <x:v>commissioning</x:v>
      </x:c>
      <x:c r="D120" s="10" t="str">
        <x:v>event definition 3</x:v>
      </x:c>
      <x:c r="E120" s="21" t="n">
        <x:f>IF('Commissioning Matrix'!I9=1,1,0)</x:f>
        <x:v>1</x:v>
      </x:c>
      <x:c r="F120" s="21" t="n">
        <x:v>1</x:v>
      </x:c>
      <x:c r="G120" s="21" t="n">
        <x:f>E120-F120</x:f>
        <x:v>0</x:v>
      </x:c>
      <x:c r="H120" s="10" t="str">
        <x:f>IF(ABS(G120)&lt;0.000001,"PASS","FAIL")</x:f>
        <x:v>PASS</x:v>
      </x:c>
      <x:c r="I120" s="10" t="str">
        <x:v>Commissioning Matrix row 9</x:v>
      </x:c>
    </x:row>
    <x:row r="121">
      <x:c r="B121" s="10" t="str">
        <x:v>AU-115</x:v>
      </x:c>
      <x:c r="C121" s="10" t="str">
        <x:v>commissioning</x:v>
      </x:c>
      <x:c r="D121" s="10" t="str">
        <x:v>event definition 4</x:v>
      </x:c>
      <x:c r="E121" s="21" t="n">
        <x:f>IF('Commissioning Matrix'!I10=1,1,0)</x:f>
        <x:v>1</x:v>
      </x:c>
      <x:c r="F121" s="21" t="n">
        <x:v>1</x:v>
      </x:c>
      <x:c r="G121" s="21" t="n">
        <x:f>E121-F121</x:f>
        <x:v>0</x:v>
      </x:c>
      <x:c r="H121" s="10" t="str">
        <x:f>IF(ABS(G121)&lt;0.000001,"PASS","FAIL")</x:f>
        <x:v>PASS</x:v>
      </x:c>
      <x:c r="I121" s="10" t="str">
        <x:v>Commissioning Matrix row 10</x:v>
      </x:c>
    </x:row>
    <x:row r="122">
      <x:c r="B122" s="10" t="str">
        <x:v>AU-116</x:v>
      </x:c>
      <x:c r="C122" s="10" t="str">
        <x:v>commissioning</x:v>
      </x:c>
      <x:c r="D122" s="10" t="str">
        <x:v>event definition 5</x:v>
      </x:c>
      <x:c r="E122" s="21" t="n">
        <x:f>IF('Commissioning Matrix'!I11=1,1,0)</x:f>
        <x:v>1</x:v>
      </x:c>
      <x:c r="F122" s="21" t="n">
        <x:v>1</x:v>
      </x:c>
      <x:c r="G122" s="21" t="n">
        <x:f>E122-F122</x:f>
        <x:v>0</x:v>
      </x:c>
      <x:c r="H122" s="10" t="str">
        <x:f>IF(ABS(G122)&lt;0.000001,"PASS","FAIL")</x:f>
        <x:v>PASS</x:v>
      </x:c>
      <x:c r="I122" s="10" t="str">
        <x:v>Commissioning Matrix row 11</x:v>
      </x:c>
    </x:row>
    <x:row r="123">
      <x:c r="B123" s="10" t="str">
        <x:v>AU-117</x:v>
      </x:c>
      <x:c r="C123" s="10" t="str">
        <x:v>commissioning</x:v>
      </x:c>
      <x:c r="D123" s="10" t="str">
        <x:v>event definition 6</x:v>
      </x:c>
      <x:c r="E123" s="21" t="n">
        <x:f>IF('Commissioning Matrix'!I12=1,1,0)</x:f>
        <x:v>1</x:v>
      </x:c>
      <x:c r="F123" s="21" t="n">
        <x:v>1</x:v>
      </x:c>
      <x:c r="G123" s="21" t="n">
        <x:f>E123-F123</x:f>
        <x:v>0</x:v>
      </x:c>
      <x:c r="H123" s="10" t="str">
        <x:f>IF(ABS(G123)&lt;0.000001,"PASS","FAIL")</x:f>
        <x:v>PASS</x:v>
      </x:c>
      <x:c r="I123" s="10" t="str">
        <x:v>Commissioning Matrix row 12</x:v>
      </x:c>
    </x:row>
    <x:row r="124">
      <x:c r="B124" s="10" t="str">
        <x:v>AU-118</x:v>
      </x:c>
      <x:c r="C124" s="10" t="str">
        <x:v>commissioning</x:v>
      </x:c>
      <x:c r="D124" s="10" t="str">
        <x:v>event definition 7</x:v>
      </x:c>
      <x:c r="E124" s="21" t="n">
        <x:f>IF('Commissioning Matrix'!I13=1,1,0)</x:f>
        <x:v>1</x:v>
      </x:c>
      <x:c r="F124" s="21" t="n">
        <x:v>1</x:v>
      </x:c>
      <x:c r="G124" s="21" t="n">
        <x:f>E124-F124</x:f>
        <x:v>0</x:v>
      </x:c>
      <x:c r="H124" s="10" t="str">
        <x:f>IF(ABS(G124)&lt;0.000001,"PASS","FAIL")</x:f>
        <x:v>PASS</x:v>
      </x:c>
      <x:c r="I124" s="10" t="str">
        <x:v>Commissioning Matrix row 13</x:v>
      </x:c>
    </x:row>
    <x:row r="125">
      <x:c r="B125" s="10" t="str">
        <x:v>AU-119</x:v>
      </x:c>
      <x:c r="C125" s="10" t="str">
        <x:v>commissioning</x:v>
      </x:c>
      <x:c r="D125" s="10" t="str">
        <x:v>event definition 8</x:v>
      </x:c>
      <x:c r="E125" s="21" t="n">
        <x:f>IF('Commissioning Matrix'!I14=1,1,0)</x:f>
        <x:v>1</x:v>
      </x:c>
      <x:c r="F125" s="21" t="n">
        <x:v>1</x:v>
      </x:c>
      <x:c r="G125" s="21" t="n">
        <x:f>E125-F125</x:f>
        <x:v>0</x:v>
      </x:c>
      <x:c r="H125" s="10" t="str">
        <x:f>IF(ABS(G125)&lt;0.000001,"PASS","FAIL")</x:f>
        <x:v>PASS</x:v>
      </x:c>
      <x:c r="I125" s="10" t="str">
        <x:v>Commissioning Matrix row 14</x:v>
      </x:c>
    </x:row>
    <x:row r="126">
      <x:c r="B126" s="10" t="str">
        <x:v>AU-120</x:v>
      </x:c>
      <x:c r="C126" s="10" t="str">
        <x:v>commissioning</x:v>
      </x:c>
      <x:c r="D126" s="10" t="str">
        <x:v>event definition 9</x:v>
      </x:c>
      <x:c r="E126" s="21" t="n">
        <x:f>IF('Commissioning Matrix'!I15=1,1,0)</x:f>
        <x:v>1</x:v>
      </x:c>
      <x:c r="F126" s="21" t="n">
        <x:v>1</x:v>
      </x:c>
      <x:c r="G126" s="21" t="n">
        <x:f>E126-F126</x:f>
        <x:v>0</x:v>
      </x:c>
      <x:c r="H126" s="10" t="str">
        <x:f>IF(ABS(G126)&lt;0.000001,"PASS","FAIL")</x:f>
        <x:v>PASS</x:v>
      </x:c>
      <x:c r="I126" s="10" t="str">
        <x:v>Commissioning Matrix row 15</x:v>
      </x:c>
    </x:row>
    <x:row r="127">
      <x:c r="B127" s="10" t="str">
        <x:v>AU-121</x:v>
      </x:c>
      <x:c r="C127" s="10" t="str">
        <x:v>commissioning</x:v>
      </x:c>
      <x:c r="D127" s="10" t="str">
        <x:v>event definition 10</x:v>
      </x:c>
      <x:c r="E127" s="21" t="n">
        <x:f>IF('Commissioning Matrix'!I16=1,1,0)</x:f>
        <x:v>1</x:v>
      </x:c>
      <x:c r="F127" s="21" t="n">
        <x:v>1</x:v>
      </x:c>
      <x:c r="G127" s="21" t="n">
        <x:f>E127-F127</x:f>
        <x:v>0</x:v>
      </x:c>
      <x:c r="H127" s="10" t="str">
        <x:f>IF(ABS(G127)&lt;0.000001,"PASS","FAIL")</x:f>
        <x:v>PASS</x:v>
      </x:c>
      <x:c r="I127" s="10" t="str">
        <x:v>Commissioning Matrix row 16</x:v>
      </x:c>
    </x:row>
    <x:row r="128">
      <x:c r="B128" s="10" t="str">
        <x:v>AU-122</x:v>
      </x:c>
      <x:c r="C128" s="10" t="str">
        <x:v>commissioning</x:v>
      </x:c>
      <x:c r="D128" s="10" t="str">
        <x:v>event definition 11</x:v>
      </x:c>
      <x:c r="E128" s="21" t="n">
        <x:f>IF('Commissioning Matrix'!I17=1,1,0)</x:f>
        <x:v>1</x:v>
      </x:c>
      <x:c r="F128" s="21" t="n">
        <x:v>1</x:v>
      </x:c>
      <x:c r="G128" s="21" t="n">
        <x:f>E128-F128</x:f>
        <x:v>0</x:v>
      </x:c>
      <x:c r="H128" s="10" t="str">
        <x:f>IF(ABS(G128)&lt;0.000001,"PASS","FAIL")</x:f>
        <x:v>PASS</x:v>
      </x:c>
      <x:c r="I128" s="10" t="str">
        <x:v>Commissioning Matrix row 17</x:v>
      </x:c>
    </x:row>
    <x:row r="129">
      <x:c r="B129" s="10" t="str">
        <x:v>AU-123</x:v>
      </x:c>
      <x:c r="C129" s="10" t="str">
        <x:v>commissioning</x:v>
      </x:c>
      <x:c r="D129" s="10" t="str">
        <x:v>event definition 12</x:v>
      </x:c>
      <x:c r="E129" s="21" t="n">
        <x:f>IF('Commissioning Matrix'!I18=1,1,0)</x:f>
        <x:v>1</x:v>
      </x:c>
      <x:c r="F129" s="21" t="n">
        <x:v>1</x:v>
      </x:c>
      <x:c r="G129" s="21" t="n">
        <x:f>E129-F129</x:f>
        <x:v>0</x:v>
      </x:c>
      <x:c r="H129" s="10" t="str">
        <x:f>IF(ABS(G129)&lt;0.000001,"PASS","FAIL")</x:f>
        <x:v>PASS</x:v>
      </x:c>
      <x:c r="I129" s="10" t="str">
        <x:v>Commissioning Matrix row 18</x:v>
      </x:c>
    </x:row>
    <x:row r="130">
      <x:c r="B130" s="10" t="str">
        <x:v>AU-124</x:v>
      </x:c>
      <x:c r="C130" s="10" t="str">
        <x:v>commissioning</x:v>
      </x:c>
      <x:c r="D130" s="10" t="str">
        <x:v>event definition 13</x:v>
      </x:c>
      <x:c r="E130" s="21" t="n">
        <x:f>IF('Commissioning Matrix'!I19=1,1,0)</x:f>
        <x:v>1</x:v>
      </x:c>
      <x:c r="F130" s="21" t="n">
        <x:v>1</x:v>
      </x:c>
      <x:c r="G130" s="21" t="n">
        <x:f>E130-F130</x:f>
        <x:v>0</x:v>
      </x:c>
      <x:c r="H130" s="10" t="str">
        <x:f>IF(ABS(G130)&lt;0.000001,"PASS","FAIL")</x:f>
        <x:v>PASS</x:v>
      </x:c>
      <x:c r="I130" s="10" t="str">
        <x:v>Commissioning Matrix row 19</x:v>
      </x:c>
    </x:row>
    <x:row r="131">
      <x:c r="B131" s="10" t="str">
        <x:v>AU-125</x:v>
      </x:c>
      <x:c r="C131" s="10" t="str">
        <x:v>commissioning</x:v>
      </x:c>
      <x:c r="D131" s="10" t="str">
        <x:v>event definition 14</x:v>
      </x:c>
      <x:c r="E131" s="21" t="n">
        <x:f>IF('Commissioning Matrix'!I20=1,1,0)</x:f>
        <x:v>1</x:v>
      </x:c>
      <x:c r="F131" s="21" t="n">
        <x:v>1</x:v>
      </x:c>
      <x:c r="G131" s="21" t="n">
        <x:f>E131-F131</x:f>
        <x:v>0</x:v>
      </x:c>
      <x:c r="H131" s="10" t="str">
        <x:f>IF(ABS(G131)&lt;0.000001,"PASS","FAIL")</x:f>
        <x:v>PASS</x:v>
      </x:c>
      <x:c r="I131" s="10" t="str">
        <x:v>Commissioning Matrix row 20</x:v>
      </x:c>
    </x:row>
    <x:row r="132">
      <x:c r="B132" s="10" t="str">
        <x:v>AU-126</x:v>
      </x:c>
      <x:c r="C132" s="10" t="str">
        <x:v>commissioning</x:v>
      </x:c>
      <x:c r="D132" s="10" t="str">
        <x:v>event definition 15</x:v>
      </x:c>
      <x:c r="E132" s="21" t="n">
        <x:f>IF('Commissioning Matrix'!I21=1,1,0)</x:f>
        <x:v>1</x:v>
      </x:c>
      <x:c r="F132" s="21" t="n">
        <x:v>1</x:v>
      </x:c>
      <x:c r="G132" s="21" t="n">
        <x:f>E132-F132</x:f>
        <x:v>0</x:v>
      </x:c>
      <x:c r="H132" s="10" t="str">
        <x:f>IF(ABS(G132)&lt;0.000001,"PASS","FAIL")</x:f>
        <x:v>PASS</x:v>
      </x:c>
      <x:c r="I132" s="10" t="str">
        <x:v>Commissioning Matrix row 21</x:v>
      </x:c>
    </x:row>
    <x:row r="133">
      <x:c r="B133" s="10" t="str">
        <x:v>AU-127</x:v>
      </x:c>
      <x:c r="C133" s="10" t="str">
        <x:v>commissioning</x:v>
      </x:c>
      <x:c r="D133" s="10" t="str">
        <x:v>event definition 16</x:v>
      </x:c>
      <x:c r="E133" s="21" t="n">
        <x:f>IF('Commissioning Matrix'!I22=1,1,0)</x:f>
        <x:v>1</x:v>
      </x:c>
      <x:c r="F133" s="21" t="n">
        <x:v>1</x:v>
      </x:c>
      <x:c r="G133" s="21" t="n">
        <x:f>E133-F133</x:f>
        <x:v>0</x:v>
      </x:c>
      <x:c r="H133" s="10" t="str">
        <x:f>IF(ABS(G133)&lt;0.000001,"PASS","FAIL")</x:f>
        <x:v>PASS</x:v>
      </x:c>
      <x:c r="I133" s="10" t="str">
        <x:v>Commissioning Matrix row 22</x:v>
      </x:c>
    </x:row>
    <x:row r="134">
      <x:c r="B134" s="10" t="str">
        <x:v>AU-128</x:v>
      </x:c>
      <x:c r="C134" s="10" t="str">
        <x:v>commissioning</x:v>
      </x:c>
      <x:c r="D134" s="10" t="str">
        <x:v>event definition 17</x:v>
      </x:c>
      <x:c r="E134" s="21" t="n">
        <x:f>IF('Commissioning Matrix'!I23=1,1,0)</x:f>
        <x:v>1</x:v>
      </x:c>
      <x:c r="F134" s="21" t="n">
        <x:v>1</x:v>
      </x:c>
      <x:c r="G134" s="21" t="n">
        <x:f>E134-F134</x:f>
        <x:v>0</x:v>
      </x:c>
      <x:c r="H134" s="10" t="str">
        <x:f>IF(ABS(G134)&lt;0.000001,"PASS","FAIL")</x:f>
        <x:v>PASS</x:v>
      </x:c>
      <x:c r="I134" s="10" t="str">
        <x:v>Commissioning Matrix row 23</x:v>
      </x:c>
    </x:row>
    <x:row r="135">
      <x:c r="B135" s="10" t="str">
        <x:v>AU-129</x:v>
      </x:c>
      <x:c r="C135" s="10" t="str">
        <x:v>commissioning</x:v>
      </x:c>
      <x:c r="D135" s="10" t="str">
        <x:v>event definition 18</x:v>
      </x:c>
      <x:c r="E135" s="21" t="n">
        <x:f>IF('Commissioning Matrix'!I24=1,1,0)</x:f>
        <x:v>1</x:v>
      </x:c>
      <x:c r="F135" s="21" t="n">
        <x:v>1</x:v>
      </x:c>
      <x:c r="G135" s="21" t="n">
        <x:f>E135-F135</x:f>
        <x:v>0</x:v>
      </x:c>
      <x:c r="H135" s="10" t="str">
        <x:f>IF(ABS(G135)&lt;0.000001,"PASS","FAIL")</x:f>
        <x:v>PASS</x:v>
      </x:c>
      <x:c r="I135" s="10" t="str">
        <x:v>Commissioning Matrix row 24</x:v>
      </x:c>
    </x:row>
    <x:row r="136">
      <x:c r="B136" s="10" t="str">
        <x:v>AU-130</x:v>
      </x:c>
      <x:c r="C136" s="10" t="str">
        <x:v>commissioning</x:v>
      </x:c>
      <x:c r="D136" s="10" t="str">
        <x:v>event definition 19</x:v>
      </x:c>
      <x:c r="E136" s="21" t="n">
        <x:f>IF('Commissioning Matrix'!I25=1,1,0)</x:f>
        <x:v>1</x:v>
      </x:c>
      <x:c r="F136" s="21" t="n">
        <x:v>1</x:v>
      </x:c>
      <x:c r="G136" s="21" t="n">
        <x:f>E136-F136</x:f>
        <x:v>0</x:v>
      </x:c>
      <x:c r="H136" s="10" t="str">
        <x:f>IF(ABS(G136)&lt;0.000001,"PASS","FAIL")</x:f>
        <x:v>PASS</x:v>
      </x:c>
      <x:c r="I136" s="10" t="str">
        <x:v>Commissioning Matrix row 25</x:v>
      </x:c>
    </x:row>
    <x:row r="137">
      <x:c r="B137" s="10" t="str">
        <x:v>AU-131</x:v>
      </x:c>
      <x:c r="C137" s="10" t="str">
        <x:v>commissioning</x:v>
      </x:c>
      <x:c r="D137" s="10" t="str">
        <x:v>event definition 20</x:v>
      </x:c>
      <x:c r="E137" s="21" t="n">
        <x:f>IF('Commissioning Matrix'!I26=1,1,0)</x:f>
        <x:v>1</x:v>
      </x:c>
      <x:c r="F137" s="21" t="n">
        <x:v>1</x:v>
      </x:c>
      <x:c r="G137" s="21" t="n">
        <x:f>E137-F137</x:f>
        <x:v>0</x:v>
      </x:c>
      <x:c r="H137" s="10" t="str">
        <x:f>IF(ABS(G137)&lt;0.000001,"PASS","FAIL")</x:f>
        <x:v>PASS</x:v>
      </x:c>
      <x:c r="I137" s="10" t="str">
        <x:v>Commissioning Matrix row 26</x:v>
      </x:c>
    </x:row>
    <x:row r="138">
      <x:c r="B138" s="10" t="str">
        <x:v>AU-132</x:v>
      </x:c>
      <x:c r="C138" s="10" t="str">
        <x:v>commissioning</x:v>
      </x:c>
      <x:c r="D138" s="10" t="str">
        <x:v>event definition 21</x:v>
      </x:c>
      <x:c r="E138" s="21" t="n">
        <x:f>IF('Commissioning Matrix'!I27=1,1,0)</x:f>
        <x:v>1</x:v>
      </x:c>
      <x:c r="F138" s="21" t="n">
        <x:v>1</x:v>
      </x:c>
      <x:c r="G138" s="21" t="n">
        <x:f>E138-F138</x:f>
        <x:v>0</x:v>
      </x:c>
      <x:c r="H138" s="10" t="str">
        <x:f>IF(ABS(G138)&lt;0.000001,"PASS","FAIL")</x:f>
        <x:v>PASS</x:v>
      </x:c>
      <x:c r="I138" s="10" t="str">
        <x:v>Commissioning Matrix row 27</x:v>
      </x:c>
    </x:row>
    <x:row r="139">
      <x:c r="B139" s="10" t="str">
        <x:v>AU-133</x:v>
      </x:c>
      <x:c r="C139" s="10" t="str">
        <x:v>commissioning</x:v>
      </x:c>
      <x:c r="D139" s="10" t="str">
        <x:v>event definition 22</x:v>
      </x:c>
      <x:c r="E139" s="21" t="n">
        <x:f>IF('Commissioning Matrix'!I28=1,1,0)</x:f>
        <x:v>1</x:v>
      </x:c>
      <x:c r="F139" s="21" t="n">
        <x:v>1</x:v>
      </x:c>
      <x:c r="G139" s="21" t="n">
        <x:f>E139-F139</x:f>
        <x:v>0</x:v>
      </x:c>
      <x:c r="H139" s="10" t="str">
        <x:f>IF(ABS(G139)&lt;0.000001,"PASS","FAIL")</x:f>
        <x:v>PASS</x:v>
      </x:c>
      <x:c r="I139" s="10" t="str">
        <x:v>Commissioning Matrix row 28</x:v>
      </x:c>
    </x:row>
    <x:row r="140">
      <x:c r="B140" s="10" t="str">
        <x:v>AU-134</x:v>
      </x:c>
      <x:c r="C140" s="10" t="str">
        <x:v>commissioning</x:v>
      </x:c>
      <x:c r="D140" s="10" t="str">
        <x:v>event definition 23</x:v>
      </x:c>
      <x:c r="E140" s="21" t="n">
        <x:f>IF('Commissioning Matrix'!I29=1,1,0)</x:f>
        <x:v>1</x:v>
      </x:c>
      <x:c r="F140" s="21" t="n">
        <x:v>1</x:v>
      </x:c>
      <x:c r="G140" s="21" t="n">
        <x:f>E140-F140</x:f>
        <x:v>0</x:v>
      </x:c>
      <x:c r="H140" s="10" t="str">
        <x:f>IF(ABS(G140)&lt;0.000001,"PASS","FAIL")</x:f>
        <x:v>PASS</x:v>
      </x:c>
      <x:c r="I140" s="10" t="str">
        <x:v>Commissioning Matrix row 29</x:v>
      </x:c>
    </x:row>
    <x:row r="141">
      <x:c r="B141" s="10" t="str">
        <x:v>AU-135</x:v>
      </x:c>
      <x:c r="C141" s="10" t="str">
        <x:v>commissioning</x:v>
      </x:c>
      <x:c r="D141" s="10" t="str">
        <x:v>event definition 24</x:v>
      </x:c>
      <x:c r="E141" s="21" t="n">
        <x:f>IF('Commissioning Matrix'!I30=1,1,0)</x:f>
        <x:v>1</x:v>
      </x:c>
      <x:c r="F141" s="21" t="n">
        <x:v>1</x:v>
      </x:c>
      <x:c r="G141" s="21" t="n">
        <x:f>E141-F141</x:f>
        <x:v>0</x:v>
      </x:c>
      <x:c r="H141" s="10" t="str">
        <x:f>IF(ABS(G141)&lt;0.000001,"PASS","FAIL")</x:f>
        <x:v>PASS</x:v>
      </x:c>
      <x:c r="I141" s="10" t="str">
        <x:v>Commissioning Matrix row 30</x:v>
      </x:c>
    </x:row>
    <x:row r="142">
      <x:c r="B142" s="10" t="str">
        <x:v>AU-136</x:v>
      </x:c>
      <x:c r="C142" s="10" t="str">
        <x:v>commissioning</x:v>
      </x:c>
      <x:c r="D142" s="10" t="str">
        <x:v>event definition 25</x:v>
      </x:c>
      <x:c r="E142" s="21" t="n">
        <x:f>IF('Commissioning Matrix'!I31=1,1,0)</x:f>
        <x:v>1</x:v>
      </x:c>
      <x:c r="F142" s="21" t="n">
        <x:v>1</x:v>
      </x:c>
      <x:c r="G142" s="21" t="n">
        <x:f>E142-F142</x:f>
        <x:v>0</x:v>
      </x:c>
      <x:c r="H142" s="10" t="str">
        <x:f>IF(ABS(G142)&lt;0.000001,"PASS","FAIL")</x:f>
        <x:v>PASS</x:v>
      </x:c>
      <x:c r="I142" s="10" t="str">
        <x:v>Commissioning Matrix row 31</x:v>
      </x:c>
    </x:row>
    <x:row r="143">
      <x:c r="B143" s="10" t="str">
        <x:v>AU-137</x:v>
      </x:c>
      <x:c r="C143" s="10" t="str">
        <x:v>commissioning</x:v>
      </x:c>
      <x:c r="D143" s="10" t="str">
        <x:v>event definition 26</x:v>
      </x:c>
      <x:c r="E143" s="21" t="n">
        <x:f>IF('Commissioning Matrix'!I32=1,1,0)</x:f>
        <x:v>1</x:v>
      </x:c>
      <x:c r="F143" s="21" t="n">
        <x:v>1</x:v>
      </x:c>
      <x:c r="G143" s="21" t="n">
        <x:f>E143-F143</x:f>
        <x:v>0</x:v>
      </x:c>
      <x:c r="H143" s="10" t="str">
        <x:f>IF(ABS(G143)&lt;0.000001,"PASS","FAIL")</x:f>
        <x:v>PASS</x:v>
      </x:c>
      <x:c r="I143" s="10" t="str">
        <x:v>Commissioning Matrix row 32</x:v>
      </x:c>
    </x:row>
    <x:row r="144">
      <x:c r="B144" s="10" t="str">
        <x:v>AU-138</x:v>
      </x:c>
      <x:c r="C144" s="10" t="str">
        <x:v>commissioning</x:v>
      </x:c>
      <x:c r="D144" s="10" t="str">
        <x:v>event definition 27</x:v>
      </x:c>
      <x:c r="E144" s="21" t="n">
        <x:f>IF('Commissioning Matrix'!I33=1,1,0)</x:f>
        <x:v>1</x:v>
      </x:c>
      <x:c r="F144" s="21" t="n">
        <x:v>1</x:v>
      </x:c>
      <x:c r="G144" s="21" t="n">
        <x:f>E144-F144</x:f>
        <x:v>0</x:v>
      </x:c>
      <x:c r="H144" s="10" t="str">
        <x:f>IF(ABS(G144)&lt;0.000001,"PASS","FAIL")</x:f>
        <x:v>PASS</x:v>
      </x:c>
      <x:c r="I144" s="10" t="str">
        <x:v>Commissioning Matrix row 33</x:v>
      </x:c>
    </x:row>
    <x:row r="145">
      <x:c r="B145" s="10" t="str">
        <x:v>AU-139</x:v>
      </x:c>
      <x:c r="C145" s="10" t="str">
        <x:v>commissioning</x:v>
      </x:c>
      <x:c r="D145" s="10" t="str">
        <x:v>event definition 28</x:v>
      </x:c>
      <x:c r="E145" s="21" t="n">
        <x:f>IF('Commissioning Matrix'!I34=1,1,0)</x:f>
        <x:v>1</x:v>
      </x:c>
      <x:c r="F145" s="21" t="n">
        <x:v>1</x:v>
      </x:c>
      <x:c r="G145" s="21" t="n">
        <x:f>E145-F145</x:f>
        <x:v>0</x:v>
      </x:c>
      <x:c r="H145" s="10" t="str">
        <x:f>IF(ABS(G145)&lt;0.000001,"PASS","FAIL")</x:f>
        <x:v>PASS</x:v>
      </x:c>
      <x:c r="I145" s="10" t="str">
        <x:v>Commissioning Matrix row 34</x:v>
      </x:c>
    </x:row>
    <x:row r="146">
      <x:c r="B146" s="10" t="str">
        <x:v>AU-140</x:v>
      </x:c>
      <x:c r="C146" s="10" t="str">
        <x:v>commissioning</x:v>
      </x:c>
      <x:c r="D146" s="10" t="str">
        <x:v>event definition 29</x:v>
      </x:c>
      <x:c r="E146" s="21" t="n">
        <x:f>IF('Commissioning Matrix'!I35=1,1,0)</x:f>
        <x:v>1</x:v>
      </x:c>
      <x:c r="F146" s="21" t="n">
        <x:v>1</x:v>
      </x:c>
      <x:c r="G146" s="21" t="n">
        <x:f>E146-F146</x:f>
        <x:v>0</x:v>
      </x:c>
      <x:c r="H146" s="10" t="str">
        <x:f>IF(ABS(G146)&lt;0.000001,"PASS","FAIL")</x:f>
        <x:v>PASS</x:v>
      </x:c>
      <x:c r="I146" s="10" t="str">
        <x:v>Commissioning Matrix row 35</x:v>
      </x:c>
    </x:row>
    <x:row r="147">
      <x:c r="B147" s="10" t="str">
        <x:v>AU-141</x:v>
      </x:c>
      <x:c r="C147" s="10" t="str">
        <x:v>commissioning</x:v>
      </x:c>
      <x:c r="D147" s="10" t="str">
        <x:v>event definition 30</x:v>
      </x:c>
      <x:c r="E147" s="21" t="n">
        <x:f>IF('Commissioning Matrix'!I36=1,1,0)</x:f>
        <x:v>1</x:v>
      </x:c>
      <x:c r="F147" s="21" t="n">
        <x:v>1</x:v>
      </x:c>
      <x:c r="G147" s="21" t="n">
        <x:f>E147-F147</x:f>
        <x:v>0</x:v>
      </x:c>
      <x:c r="H147" s="10" t="str">
        <x:f>IF(ABS(G147)&lt;0.000001,"PASS","FAIL")</x:f>
        <x:v>PASS</x:v>
      </x:c>
      <x:c r="I147" s="10" t="str">
        <x:v>Commissioning Matrix row 36</x:v>
      </x:c>
    </x:row>
    <x:row r="148">
      <x:c r="B148" s="10" t="str">
        <x:v>AU-142</x:v>
      </x:c>
      <x:c r="C148" s="10" t="str">
        <x:v>commissioning</x:v>
      </x:c>
      <x:c r="D148" s="10" t="str">
        <x:v>event definition 31</x:v>
      </x:c>
      <x:c r="E148" s="21" t="n">
        <x:f>IF('Commissioning Matrix'!I37=1,1,0)</x:f>
        <x:v>1</x:v>
      </x:c>
      <x:c r="F148" s="21" t="n">
        <x:v>1</x:v>
      </x:c>
      <x:c r="G148" s="21" t="n">
        <x:f>E148-F148</x:f>
        <x:v>0</x:v>
      </x:c>
      <x:c r="H148" s="10" t="str">
        <x:f>IF(ABS(G148)&lt;0.000001,"PASS","FAIL")</x:f>
        <x:v>PASS</x:v>
      </x:c>
      <x:c r="I148" s="10" t="str">
        <x:v>Commissioning Matrix row 37</x:v>
      </x:c>
    </x:row>
    <x:row r="149">
      <x:c r="B149" s="10" t="str">
        <x:v>AU-143</x:v>
      </x:c>
      <x:c r="C149" s="10" t="str">
        <x:v>commissioning</x:v>
      </x:c>
      <x:c r="D149" s="10" t="str">
        <x:v>event definition 32</x:v>
      </x:c>
      <x:c r="E149" s="21" t="n">
        <x:f>IF('Commissioning Matrix'!I38=1,1,0)</x:f>
        <x:v>1</x:v>
      </x:c>
      <x:c r="F149" s="21" t="n">
        <x:v>1</x:v>
      </x:c>
      <x:c r="G149" s="21" t="n">
        <x:f>E149-F149</x:f>
        <x:v>0</x:v>
      </x:c>
      <x:c r="H149" s="10" t="str">
        <x:f>IF(ABS(G149)&lt;0.000001,"PASS","FAIL")</x:f>
        <x:v>PASS</x:v>
      </x:c>
      <x:c r="I149" s="10" t="str">
        <x:v>Commissioning Matrix row 38</x:v>
      </x:c>
    </x:row>
    <x:row r="150">
      <x:c r="B150" s="10" t="str">
        <x:v>AU-144</x:v>
      </x:c>
      <x:c r="C150" s="10" t="str">
        <x:v>commissioning</x:v>
      </x:c>
      <x:c r="D150" s="10" t="str">
        <x:v>event definition 33</x:v>
      </x:c>
      <x:c r="E150" s="21" t="n">
        <x:f>IF('Commissioning Matrix'!I39=1,1,0)</x:f>
        <x:v>1</x:v>
      </x:c>
      <x:c r="F150" s="21" t="n">
        <x:v>1</x:v>
      </x:c>
      <x:c r="G150" s="21" t="n">
        <x:f>E150-F150</x:f>
        <x:v>0</x:v>
      </x:c>
      <x:c r="H150" s="10" t="str">
        <x:f>IF(ABS(G150)&lt;0.000001,"PASS","FAIL")</x:f>
        <x:v>PASS</x:v>
      </x:c>
      <x:c r="I150" s="10" t="str">
        <x:v>Commissioning Matrix row 39</x:v>
      </x:c>
    </x:row>
    <x:row r="151">
      <x:c r="B151" s="10" t="str">
        <x:v>AU-145</x:v>
      </x:c>
      <x:c r="C151" s="10" t="str">
        <x:v>commissioning</x:v>
      </x:c>
      <x:c r="D151" s="10" t="str">
        <x:v>event definition 34</x:v>
      </x:c>
      <x:c r="E151" s="21" t="n">
        <x:f>IF('Commissioning Matrix'!I40=1,1,0)</x:f>
        <x:v>1</x:v>
      </x:c>
      <x:c r="F151" s="21" t="n">
        <x:v>1</x:v>
      </x:c>
      <x:c r="G151" s="21" t="n">
        <x:f>E151-F151</x:f>
        <x:v>0</x:v>
      </x:c>
      <x:c r="H151" s="10" t="str">
        <x:f>IF(ABS(G151)&lt;0.000001,"PASS","FAIL")</x:f>
        <x:v>PASS</x:v>
      </x:c>
      <x:c r="I151" s="10" t="str">
        <x:v>Commissioning Matrix row 40</x:v>
      </x:c>
    </x:row>
    <x:row r="152">
      <x:c r="B152" s="10" t="str">
        <x:v>AU-146</x:v>
      </x:c>
      <x:c r="C152" s="10" t="str">
        <x:v>commissioning</x:v>
      </x:c>
      <x:c r="D152" s="10" t="str">
        <x:v>event definition 35</x:v>
      </x:c>
      <x:c r="E152" s="21" t="n">
        <x:f>IF('Commissioning Matrix'!I41=1,1,0)</x:f>
        <x:v>1</x:v>
      </x:c>
      <x:c r="F152" s="21" t="n">
        <x:v>1</x:v>
      </x:c>
      <x:c r="G152" s="21" t="n">
        <x:f>E152-F152</x:f>
        <x:v>0</x:v>
      </x:c>
      <x:c r="H152" s="10" t="str">
        <x:f>IF(ABS(G152)&lt;0.000001,"PASS","FAIL")</x:f>
        <x:v>PASS</x:v>
      </x:c>
      <x:c r="I152" s="10" t="str">
        <x:v>Commissioning Matrix row 41</x:v>
      </x:c>
    </x:row>
    <x:row r="153">
      <x:c r="B153" s="10" t="str">
        <x:v>AU-147</x:v>
      </x:c>
      <x:c r="C153" s="10" t="str">
        <x:v>commissioning</x:v>
      </x:c>
      <x:c r="D153" s="10" t="str">
        <x:v>event definition 36</x:v>
      </x:c>
      <x:c r="E153" s="21" t="n">
        <x:f>IF('Commissioning Matrix'!I42=1,1,0)</x:f>
        <x:v>1</x:v>
      </x:c>
      <x:c r="F153" s="21" t="n">
        <x:v>1</x:v>
      </x:c>
      <x:c r="G153" s="21" t="n">
        <x:f>E153-F153</x:f>
        <x:v>0</x:v>
      </x:c>
      <x:c r="H153" s="10" t="str">
        <x:f>IF(ABS(G153)&lt;0.000001,"PASS","FAIL")</x:f>
        <x:v>PASS</x:v>
      </x:c>
      <x:c r="I153" s="10" t="str">
        <x:v>Commissioning Matrix row 42</x:v>
      </x:c>
    </x:row>
    <x:row r="154">
      <x:c r="B154" s="10" t="str">
        <x:v>AU-148</x:v>
      </x:c>
      <x:c r="C154" s="10" t="str">
        <x:v>commissioning</x:v>
      </x:c>
      <x:c r="D154" s="10" t="str">
        <x:v>event definition 37</x:v>
      </x:c>
      <x:c r="E154" s="21" t="n">
        <x:f>IF('Commissioning Matrix'!I43=1,1,0)</x:f>
        <x:v>1</x:v>
      </x:c>
      <x:c r="F154" s="21" t="n">
        <x:v>1</x:v>
      </x:c>
      <x:c r="G154" s="21" t="n">
        <x:f>E154-F154</x:f>
        <x:v>0</x:v>
      </x:c>
      <x:c r="H154" s="10" t="str">
        <x:f>IF(ABS(G154)&lt;0.000001,"PASS","FAIL")</x:f>
        <x:v>PASS</x:v>
      </x:c>
      <x:c r="I154" s="10" t="str">
        <x:v>Commissioning Matrix row 43</x:v>
      </x:c>
    </x:row>
    <x:row r="155">
      <x:c r="B155" s="10" t="str">
        <x:v>AU-149</x:v>
      </x:c>
      <x:c r="C155" s="10" t="str">
        <x:v>commissioning</x:v>
      </x:c>
      <x:c r="D155" s="10" t="str">
        <x:v>event definition 38</x:v>
      </x:c>
      <x:c r="E155" s="21" t="n">
        <x:f>IF('Commissioning Matrix'!I44=1,1,0)</x:f>
        <x:v>1</x:v>
      </x:c>
      <x:c r="F155" s="21" t="n">
        <x:v>1</x:v>
      </x:c>
      <x:c r="G155" s="21" t="n">
        <x:f>E155-F155</x:f>
        <x:v>0</x:v>
      </x:c>
      <x:c r="H155" s="10" t="str">
        <x:f>IF(ABS(G155)&lt;0.000001,"PASS","FAIL")</x:f>
        <x:v>PASS</x:v>
      </x:c>
      <x:c r="I155" s="10" t="str">
        <x:v>Commissioning Matrix row 44</x:v>
      </x:c>
    </x:row>
    <x:row r="156">
      <x:c r="B156" s="10" t="str">
        <x:v>AU-150</x:v>
      </x:c>
      <x:c r="C156" s="10" t="str">
        <x:v>commissioning</x:v>
      </x:c>
      <x:c r="D156" s="10" t="str">
        <x:v>event definition 39</x:v>
      </x:c>
      <x:c r="E156" s="21" t="n">
        <x:f>IF('Commissioning Matrix'!I45=1,1,0)</x:f>
        <x:v>1</x:v>
      </x:c>
      <x:c r="F156" s="21" t="n">
        <x:v>1</x:v>
      </x:c>
      <x:c r="G156" s="21" t="n">
        <x:f>E156-F156</x:f>
        <x:v>0</x:v>
      </x:c>
      <x:c r="H156" s="10" t="str">
        <x:f>IF(ABS(G156)&lt;0.000001,"PASS","FAIL")</x:f>
        <x:v>PASS</x:v>
      </x:c>
      <x:c r="I156" s="10" t="str">
        <x:v>Commissioning Matrix row 45</x:v>
      </x:c>
    </x:row>
    <x:row r="157">
      <x:c r="B157" s="10" t="str">
        <x:v>AU-151</x:v>
      </x:c>
      <x:c r="C157" s="10" t="str">
        <x:v>commissioning</x:v>
      </x:c>
      <x:c r="D157" s="10" t="str">
        <x:v>event definition 40</x:v>
      </x:c>
      <x:c r="E157" s="21" t="n">
        <x:f>IF('Commissioning Matrix'!I46=1,1,0)</x:f>
        <x:v>1</x:v>
      </x:c>
      <x:c r="F157" s="21" t="n">
        <x:v>1</x:v>
      </x:c>
      <x:c r="G157" s="21" t="n">
        <x:f>E157-F157</x:f>
        <x:v>0</x:v>
      </x:c>
      <x:c r="H157" s="10" t="str">
        <x:f>IF(ABS(G157)&lt;0.000001,"PASS","FAIL")</x:f>
        <x:v>PASS</x:v>
      </x:c>
      <x:c r="I157" s="10" t="str">
        <x:v>Commissioning Matrix row 46</x:v>
      </x:c>
    </x:row>
    <x:row r="158">
      <x:c r="B158" s="10" t="str">
        <x:v>AU-152</x:v>
      </x:c>
      <x:c r="C158" s="10" t="str">
        <x:v>commissioning</x:v>
      </x:c>
      <x:c r="D158" s="10" t="str">
        <x:v>event definition 41</x:v>
      </x:c>
      <x:c r="E158" s="21" t="n">
        <x:f>IF('Commissioning Matrix'!I47=1,1,0)</x:f>
        <x:v>1</x:v>
      </x:c>
      <x:c r="F158" s="21" t="n">
        <x:v>1</x:v>
      </x:c>
      <x:c r="G158" s="21" t="n">
        <x:f>E158-F158</x:f>
        <x:v>0</x:v>
      </x:c>
      <x:c r="H158" s="10" t="str">
        <x:f>IF(ABS(G158)&lt;0.000001,"PASS","FAIL")</x:f>
        <x:v>PASS</x:v>
      </x:c>
      <x:c r="I158" s="10" t="str">
        <x:v>Commissioning Matrix row 47</x:v>
      </x:c>
    </x:row>
    <x:row r="159">
      <x:c r="B159" s="10" t="str">
        <x:v>AU-153</x:v>
      </x:c>
      <x:c r="C159" s="10" t="str">
        <x:v>commissioning</x:v>
      </x:c>
      <x:c r="D159" s="10" t="str">
        <x:v>event definition 42</x:v>
      </x:c>
      <x:c r="E159" s="21" t="n">
        <x:f>IF('Commissioning Matrix'!I48=1,1,0)</x:f>
        <x:v>1</x:v>
      </x:c>
      <x:c r="F159" s="21" t="n">
        <x:v>1</x:v>
      </x:c>
      <x:c r="G159" s="21" t="n">
        <x:f>E159-F159</x:f>
        <x:v>0</x:v>
      </x:c>
      <x:c r="H159" s="10" t="str">
        <x:f>IF(ABS(G159)&lt;0.000001,"PASS","FAIL")</x:f>
        <x:v>PASS</x:v>
      </x:c>
      <x:c r="I159" s="10" t="str">
        <x:v>Commissioning Matrix row 48</x:v>
      </x:c>
    </x:row>
    <x:row r="160">
      <x:c r="B160" s="10" t="str">
        <x:v>AU-154</x:v>
      </x:c>
      <x:c r="C160" s="10" t="str">
        <x:v>commissioning</x:v>
      </x:c>
      <x:c r="D160" s="10" t="str">
        <x:v>event definition 43</x:v>
      </x:c>
      <x:c r="E160" s="21" t="n">
        <x:f>IF('Commissioning Matrix'!I49=1,1,0)</x:f>
        <x:v>1</x:v>
      </x:c>
      <x:c r="F160" s="21" t="n">
        <x:v>1</x:v>
      </x:c>
      <x:c r="G160" s="21" t="n">
        <x:f>E160-F160</x:f>
        <x:v>0</x:v>
      </x:c>
      <x:c r="H160" s="10" t="str">
        <x:f>IF(ABS(G160)&lt;0.000001,"PASS","FAIL")</x:f>
        <x:v>PASS</x:v>
      </x:c>
      <x:c r="I160" s="10" t="str">
        <x:v>Commissioning Matrix row 49</x:v>
      </x:c>
    </x:row>
    <x:row r="161">
      <x:c r="B161" s="10" t="str">
        <x:v>AU-155</x:v>
      </x:c>
      <x:c r="C161" s="10" t="str">
        <x:v>commissioning</x:v>
      </x:c>
      <x:c r="D161" s="10" t="str">
        <x:v>event definition 44</x:v>
      </x:c>
      <x:c r="E161" s="21" t="n">
        <x:f>IF('Commissioning Matrix'!I50=1,1,0)</x:f>
        <x:v>1</x:v>
      </x:c>
      <x:c r="F161" s="21" t="n">
        <x:v>1</x:v>
      </x:c>
      <x:c r="G161" s="21" t="n">
        <x:f>E161-F161</x:f>
        <x:v>0</x:v>
      </x:c>
      <x:c r="H161" s="10" t="str">
        <x:f>IF(ABS(G161)&lt;0.000001,"PASS","FAIL")</x:f>
        <x:v>PASS</x:v>
      </x:c>
      <x:c r="I161" s="10" t="str">
        <x:v>Commissioning Matrix row 50</x:v>
      </x:c>
    </x:row>
    <x:row r="162">
      <x:c r="B162" s="10" t="str">
        <x:v>AU-156</x:v>
      </x:c>
      <x:c r="C162" s="10" t="str">
        <x:v>commissioning</x:v>
      </x:c>
      <x:c r="D162" s="10" t="str">
        <x:v>event definition 45</x:v>
      </x:c>
      <x:c r="E162" s="21" t="n">
        <x:f>IF('Commissioning Matrix'!I51=1,1,0)</x:f>
        <x:v>1</x:v>
      </x:c>
      <x:c r="F162" s="21" t="n">
        <x:v>1</x:v>
      </x:c>
      <x:c r="G162" s="21" t="n">
        <x:f>E162-F162</x:f>
        <x:v>0</x:v>
      </x:c>
      <x:c r="H162" s="10" t="str">
        <x:f>IF(ABS(G162)&lt;0.000001,"PASS","FAIL")</x:f>
        <x:v>PASS</x:v>
      </x:c>
      <x:c r="I162" s="10" t="str">
        <x:v>Commissioning Matrix row 51</x:v>
      </x:c>
    </x:row>
    <x:row r="163">
      <x:c r="B163" s="10" t="str">
        <x:v>AU-157</x:v>
      </x:c>
      <x:c r="C163" s="10" t="str">
        <x:v>commissioning</x:v>
      </x:c>
      <x:c r="D163" s="10" t="str">
        <x:v>event definition 46</x:v>
      </x:c>
      <x:c r="E163" s="21" t="n">
        <x:f>IF('Commissioning Matrix'!I52=1,1,0)</x:f>
        <x:v>1</x:v>
      </x:c>
      <x:c r="F163" s="21" t="n">
        <x:v>1</x:v>
      </x:c>
      <x:c r="G163" s="21" t="n">
        <x:f>E163-F163</x:f>
        <x:v>0</x:v>
      </x:c>
      <x:c r="H163" s="10" t="str">
        <x:f>IF(ABS(G163)&lt;0.000001,"PASS","FAIL")</x:f>
        <x:v>PASS</x:v>
      </x:c>
      <x:c r="I163" s="10" t="str">
        <x:v>Commissioning Matrix row 52</x:v>
      </x:c>
    </x:row>
    <x:row r="164">
      <x:c r="B164" s="10" t="str">
        <x:v>AU-158</x:v>
      </x:c>
      <x:c r="C164" s="10" t="str">
        <x:v>commissioning</x:v>
      </x:c>
      <x:c r="D164" s="10" t="str">
        <x:v>event definition 47</x:v>
      </x:c>
      <x:c r="E164" s="21" t="n">
        <x:f>IF('Commissioning Matrix'!I53=1,1,0)</x:f>
        <x:v>1</x:v>
      </x:c>
      <x:c r="F164" s="21" t="n">
        <x:v>1</x:v>
      </x:c>
      <x:c r="G164" s="21" t="n">
        <x:f>E164-F164</x:f>
        <x:v>0</x:v>
      </x:c>
      <x:c r="H164" s="10" t="str">
        <x:f>IF(ABS(G164)&lt;0.000001,"PASS","FAIL")</x:f>
        <x:v>PASS</x:v>
      </x:c>
      <x:c r="I164" s="10" t="str">
        <x:v>Commissioning Matrix row 53</x:v>
      </x:c>
    </x:row>
    <x:row r="165">
      <x:c r="B165" s="10" t="str">
        <x:v>AU-159</x:v>
      </x:c>
      <x:c r="C165" s="10" t="str">
        <x:v>commissioning</x:v>
      </x:c>
      <x:c r="D165" s="10" t="str">
        <x:v>event definition 48</x:v>
      </x:c>
      <x:c r="E165" s="21" t="n">
        <x:f>IF('Commissioning Matrix'!I54=1,1,0)</x:f>
        <x:v>1</x:v>
      </x:c>
      <x:c r="F165" s="21" t="n">
        <x:v>1</x:v>
      </x:c>
      <x:c r="G165" s="21" t="n">
        <x:f>E165-F165</x:f>
        <x:v>0</x:v>
      </x:c>
      <x:c r="H165" s="10" t="str">
        <x:f>IF(ABS(G165)&lt;0.000001,"PASS","FAIL")</x:f>
        <x:v>PASS</x:v>
      </x:c>
      <x:c r="I165" s="10" t="str">
        <x:v>Commissioning Matrix row 54</x:v>
      </x:c>
    </x:row>
    <x:row r="166">
      <x:c r="B166" s="10" t="str">
        <x:v>AU-160</x:v>
      </x:c>
      <x:c r="C166" s="10" t="str">
        <x:v>commissioning</x:v>
      </x:c>
      <x:c r="D166" s="10" t="str">
        <x:v>event definition 49</x:v>
      </x:c>
      <x:c r="E166" s="21" t="n">
        <x:f>IF('Commissioning Matrix'!I55=1,1,0)</x:f>
        <x:v>1</x:v>
      </x:c>
      <x:c r="F166" s="21" t="n">
        <x:v>1</x:v>
      </x:c>
      <x:c r="G166" s="21" t="n">
        <x:f>E166-F166</x:f>
        <x:v>0</x:v>
      </x:c>
      <x:c r="H166" s="10" t="str">
        <x:f>IF(ABS(G166)&lt;0.000001,"PASS","FAIL")</x:f>
        <x:v>PASS</x:v>
      </x:c>
      <x:c r="I166" s="10" t="str">
        <x:v>Commissioning Matrix row 55</x:v>
      </x:c>
    </x:row>
    <x:row r="167">
      <x:c r="B167" s="10" t="str">
        <x:v>AU-161</x:v>
      </x:c>
      <x:c r="C167" s="10" t="str">
        <x:v>commissioning</x:v>
      </x:c>
      <x:c r="D167" s="10" t="str">
        <x:v>event definition 50</x:v>
      </x:c>
      <x:c r="E167" s="21" t="n">
        <x:f>IF('Commissioning Matrix'!I56=1,1,0)</x:f>
        <x:v>1</x:v>
      </x:c>
      <x:c r="F167" s="21" t="n">
        <x:v>1</x:v>
      </x:c>
      <x:c r="G167" s="21" t="n">
        <x:f>E167-F167</x:f>
        <x:v>0</x:v>
      </x:c>
      <x:c r="H167" s="10" t="str">
        <x:f>IF(ABS(G167)&lt;0.000001,"PASS","FAIL")</x:f>
        <x:v>PASS</x:v>
      </x:c>
      <x:c r="I167" s="10" t="str">
        <x:v>Commissioning Matrix row 56</x:v>
      </x:c>
    </x:row>
    <x:row r="168">
      <x:c r="B168" s="10" t="str">
        <x:v>AU-162</x:v>
      </x:c>
      <x:c r="C168" s="10" t="str">
        <x:v>commissioning</x:v>
      </x:c>
      <x:c r="D168" s="10" t="str">
        <x:v>event definition 51</x:v>
      </x:c>
      <x:c r="E168" s="21" t="n">
        <x:f>IF('Commissioning Matrix'!I57=1,1,0)</x:f>
        <x:v>1</x:v>
      </x:c>
      <x:c r="F168" s="21" t="n">
        <x:v>1</x:v>
      </x:c>
      <x:c r="G168" s="21" t="n">
        <x:f>E168-F168</x:f>
        <x:v>0</x:v>
      </x:c>
      <x:c r="H168" s="10" t="str">
        <x:f>IF(ABS(G168)&lt;0.000001,"PASS","FAIL")</x:f>
        <x:v>PASS</x:v>
      </x:c>
      <x:c r="I168" s="10" t="str">
        <x:v>Commissioning Matrix row 57</x:v>
      </x:c>
    </x:row>
    <x:row r="169">
      <x:c r="B169" s="10" t="str">
        <x:v>AU-163</x:v>
      </x:c>
      <x:c r="C169" s="10" t="str">
        <x:v>commissioning</x:v>
      </x:c>
      <x:c r="D169" s="10" t="str">
        <x:v>event definition 52</x:v>
      </x:c>
      <x:c r="E169" s="21" t="n">
        <x:f>IF('Commissioning Matrix'!I58=1,1,0)</x:f>
        <x:v>1</x:v>
      </x:c>
      <x:c r="F169" s="21" t="n">
        <x:v>1</x:v>
      </x:c>
      <x:c r="G169" s="21" t="n">
        <x:f>E169-F169</x:f>
        <x:v>0</x:v>
      </x:c>
      <x:c r="H169" s="10" t="str">
        <x:f>IF(ABS(G169)&lt;0.000001,"PASS","FAIL")</x:f>
        <x:v>PASS</x:v>
      </x:c>
      <x:c r="I169" s="10" t="str">
        <x:v>Commissioning Matrix row 58</x:v>
      </x:c>
    </x:row>
    <x:row r="170">
      <x:c r="B170" s="10" t="str">
        <x:v>AU-164</x:v>
      </x:c>
      <x:c r="C170" s="10" t="str">
        <x:v>commissioning</x:v>
      </x:c>
      <x:c r="D170" s="10" t="str">
        <x:v>event definition 53</x:v>
      </x:c>
      <x:c r="E170" s="21" t="n">
        <x:f>IF('Commissioning Matrix'!I59=1,1,0)</x:f>
        <x:v>1</x:v>
      </x:c>
      <x:c r="F170" s="21" t="n">
        <x:v>1</x:v>
      </x:c>
      <x:c r="G170" s="21" t="n">
        <x:f>E170-F170</x:f>
        <x:v>0</x:v>
      </x:c>
      <x:c r="H170" s="10" t="str">
        <x:f>IF(ABS(G170)&lt;0.000001,"PASS","FAIL")</x:f>
        <x:v>PASS</x:v>
      </x:c>
      <x:c r="I170" s="10" t="str">
        <x:v>Commissioning Matrix row 59</x:v>
      </x:c>
    </x:row>
    <x:row r="171">
      <x:c r="B171" s="10" t="str">
        <x:v>AU-165</x:v>
      </x:c>
      <x:c r="C171" s="10" t="str">
        <x:v>commissioning</x:v>
      </x:c>
      <x:c r="D171" s="10" t="str">
        <x:v>event definition 54</x:v>
      </x:c>
      <x:c r="E171" s="21" t="n">
        <x:f>IF('Commissioning Matrix'!I60=1,1,0)</x:f>
        <x:v>1</x:v>
      </x:c>
      <x:c r="F171" s="21" t="n">
        <x:v>1</x:v>
      </x:c>
      <x:c r="G171" s="21" t="n">
        <x:f>E171-F171</x:f>
        <x:v>0</x:v>
      </x:c>
      <x:c r="H171" s="10" t="str">
        <x:f>IF(ABS(G171)&lt;0.000001,"PASS","FAIL")</x:f>
        <x:v>PASS</x:v>
      </x:c>
      <x:c r="I171" s="10" t="str">
        <x:v>Commissioning Matrix row 60</x:v>
      </x:c>
    </x:row>
    <x:row r="172">
      <x:c r="B172" s="10" t="str">
        <x:v>AU-166</x:v>
      </x:c>
      <x:c r="C172" s="10" t="str">
        <x:v>commissioning</x:v>
      </x:c>
      <x:c r="D172" s="10" t="str">
        <x:v>event definition 55</x:v>
      </x:c>
      <x:c r="E172" s="21" t="n">
        <x:f>IF('Commissioning Matrix'!I61=1,1,0)</x:f>
        <x:v>1</x:v>
      </x:c>
      <x:c r="F172" s="21" t="n">
        <x:v>1</x:v>
      </x:c>
      <x:c r="G172" s="21" t="n">
        <x:f>E172-F172</x:f>
        <x:v>0</x:v>
      </x:c>
      <x:c r="H172" s="10" t="str">
        <x:f>IF(ABS(G172)&lt;0.000001,"PASS","FAIL")</x:f>
        <x:v>PASS</x:v>
      </x:c>
      <x:c r="I172" s="10" t="str">
        <x:v>Commissioning Matrix row 61</x:v>
      </x:c>
    </x:row>
    <x:row r="173">
      <x:c r="B173" s="10" t="str">
        <x:v>AU-167</x:v>
      </x:c>
      <x:c r="C173" s="10" t="str">
        <x:v>commissioning</x:v>
      </x:c>
      <x:c r="D173" s="10" t="str">
        <x:v>event definition 56</x:v>
      </x:c>
      <x:c r="E173" s="21" t="n">
        <x:f>IF('Commissioning Matrix'!I62=1,1,0)</x:f>
        <x:v>1</x:v>
      </x:c>
      <x:c r="F173" s="21" t="n">
        <x:v>1</x:v>
      </x:c>
      <x:c r="G173" s="21" t="n">
        <x:f>E173-F173</x:f>
        <x:v>0</x:v>
      </x:c>
      <x:c r="H173" s="10" t="str">
        <x:f>IF(ABS(G173)&lt;0.000001,"PASS","FAIL")</x:f>
        <x:v>PASS</x:v>
      </x:c>
      <x:c r="I173" s="10" t="str">
        <x:v>Commissioning Matrix row 62</x:v>
      </x:c>
    </x:row>
    <x:row r="174">
      <x:c r="B174" s="10" t="str">
        <x:v>AU-168</x:v>
      </x:c>
      <x:c r="C174" s="10" t="str">
        <x:v>commissioning</x:v>
      </x:c>
      <x:c r="D174" s="10" t="str">
        <x:v>event definition 57</x:v>
      </x:c>
      <x:c r="E174" s="21" t="n">
        <x:f>IF('Commissioning Matrix'!I63=1,1,0)</x:f>
        <x:v>1</x:v>
      </x:c>
      <x:c r="F174" s="21" t="n">
        <x:v>1</x:v>
      </x:c>
      <x:c r="G174" s="21" t="n">
        <x:f>E174-F174</x:f>
        <x:v>0</x:v>
      </x:c>
      <x:c r="H174" s="10" t="str">
        <x:f>IF(ABS(G174)&lt;0.000001,"PASS","FAIL")</x:f>
        <x:v>PASS</x:v>
      </x:c>
      <x:c r="I174" s="10" t="str">
        <x:v>Commissioning Matrix row 63</x:v>
      </x:c>
    </x:row>
    <x:row r="175">
      <x:c r="B175" s="10" t="str">
        <x:v>AU-169</x:v>
      </x:c>
      <x:c r="C175" s="10" t="str">
        <x:v>commissioning</x:v>
      </x:c>
      <x:c r="D175" s="10" t="str">
        <x:v>event definition 58</x:v>
      </x:c>
      <x:c r="E175" s="21" t="n">
        <x:f>IF('Commissioning Matrix'!I64=1,1,0)</x:f>
        <x:v>1</x:v>
      </x:c>
      <x:c r="F175" s="21" t="n">
        <x:v>1</x:v>
      </x:c>
      <x:c r="G175" s="21" t="n">
        <x:f>E175-F175</x:f>
        <x:v>0</x:v>
      </x:c>
      <x:c r="H175" s="10" t="str">
        <x:f>IF(ABS(G175)&lt;0.000001,"PASS","FAIL")</x:f>
        <x:v>PASS</x:v>
      </x:c>
      <x:c r="I175" s="10" t="str">
        <x:v>Commissioning Matrix row 64</x:v>
      </x:c>
    </x:row>
    <x:row r="176">
      <x:c r="B176" s="10" t="str">
        <x:v>AU-170</x:v>
      </x:c>
      <x:c r="C176" s="10" t="str">
        <x:v>commissioning</x:v>
      </x:c>
      <x:c r="D176" s="10" t="str">
        <x:v>event definition 59</x:v>
      </x:c>
      <x:c r="E176" s="21" t="n">
        <x:f>IF('Commissioning Matrix'!I65=1,1,0)</x:f>
        <x:v>1</x:v>
      </x:c>
      <x:c r="F176" s="21" t="n">
        <x:v>1</x:v>
      </x:c>
      <x:c r="G176" s="21" t="n">
        <x:f>E176-F176</x:f>
        <x:v>0</x:v>
      </x:c>
      <x:c r="H176" s="10" t="str">
        <x:f>IF(ABS(G176)&lt;0.000001,"PASS","FAIL")</x:f>
        <x:v>PASS</x:v>
      </x:c>
      <x:c r="I176" s="10" t="str">
        <x:v>Commissioning Matrix row 65</x:v>
      </x:c>
    </x:row>
    <x:row r="177">
      <x:c r="B177" s="10" t="str">
        <x:v>AU-171</x:v>
      </x:c>
      <x:c r="C177" s="10" t="str">
        <x:v>commissioning</x:v>
      </x:c>
      <x:c r="D177" s="10" t="str">
        <x:v>event definition 60</x:v>
      </x:c>
      <x:c r="E177" s="21" t="n">
        <x:f>IF('Commissioning Matrix'!I66=1,1,0)</x:f>
        <x:v>1</x:v>
      </x:c>
      <x:c r="F177" s="21" t="n">
        <x:v>1</x:v>
      </x:c>
      <x:c r="G177" s="21" t="n">
        <x:f>E177-F177</x:f>
        <x:v>0</x:v>
      </x:c>
      <x:c r="H177" s="10" t="str">
        <x:f>IF(ABS(G177)&lt;0.000001,"PASS","FAIL")</x:f>
        <x:v>PASS</x:v>
      </x:c>
      <x:c r="I177" s="10" t="str">
        <x:v>Commissioning Matrix row 66</x:v>
      </x:c>
    </x:row>
    <x:row r="178">
      <x:c r="B178" s="10" t="str">
        <x:v>AU-172</x:v>
      </x:c>
      <x:c r="C178" s="10" t="str">
        <x:v>commissioning</x:v>
      </x:c>
      <x:c r="D178" s="10" t="str">
        <x:v>event definition 61</x:v>
      </x:c>
      <x:c r="E178" s="21" t="n">
        <x:f>IF('Commissioning Matrix'!I67=1,1,0)</x:f>
        <x:v>1</x:v>
      </x:c>
      <x:c r="F178" s="21" t="n">
        <x:v>1</x:v>
      </x:c>
      <x:c r="G178" s="21" t="n">
        <x:f>E178-F178</x:f>
        <x:v>0</x:v>
      </x:c>
      <x:c r="H178" s="10" t="str">
        <x:f>IF(ABS(G178)&lt;0.000001,"PASS","FAIL")</x:f>
        <x:v>PASS</x:v>
      </x:c>
      <x:c r="I178" s="10" t="str">
        <x:v>Commissioning Matrix row 67</x:v>
      </x:c>
    </x:row>
    <x:row r="179">
      <x:c r="B179" s="10" t="str">
        <x:v>AU-173</x:v>
      </x:c>
      <x:c r="C179" s="10" t="str">
        <x:v>commissioning</x:v>
      </x:c>
      <x:c r="D179" s="10" t="str">
        <x:v>event definition 62</x:v>
      </x:c>
      <x:c r="E179" s="21" t="n">
        <x:f>IF('Commissioning Matrix'!I68=1,1,0)</x:f>
        <x:v>1</x:v>
      </x:c>
      <x:c r="F179" s="21" t="n">
        <x:v>1</x:v>
      </x:c>
      <x:c r="G179" s="21" t="n">
        <x:f>E179-F179</x:f>
        <x:v>0</x:v>
      </x:c>
      <x:c r="H179" s="10" t="str">
        <x:f>IF(ABS(G179)&lt;0.000001,"PASS","FAIL")</x:f>
        <x:v>PASS</x:v>
      </x:c>
      <x:c r="I179" s="10" t="str">
        <x:v>Commissioning Matrix row 68</x:v>
      </x:c>
    </x:row>
    <x:row r="180">
      <x:c r="B180" s="10" t="str">
        <x:v>AU-174</x:v>
      </x:c>
      <x:c r="C180" s="10" t="str">
        <x:v>commissioning</x:v>
      </x:c>
      <x:c r="D180" s="10" t="str">
        <x:v>event definition 63</x:v>
      </x:c>
      <x:c r="E180" s="21" t="n">
        <x:f>IF('Commissioning Matrix'!I69=1,1,0)</x:f>
        <x:v>1</x:v>
      </x:c>
      <x:c r="F180" s="21" t="n">
        <x:v>1</x:v>
      </x:c>
      <x:c r="G180" s="21" t="n">
        <x:f>E180-F180</x:f>
        <x:v>0</x:v>
      </x:c>
      <x:c r="H180" s="10" t="str">
        <x:f>IF(ABS(G180)&lt;0.000001,"PASS","FAIL")</x:f>
        <x:v>PASS</x:v>
      </x:c>
      <x:c r="I180" s="10" t="str">
        <x:v>Commissioning Matrix row 69</x:v>
      </x:c>
    </x:row>
    <x:row r="181">
      <x:c r="B181" s="10" t="str">
        <x:v>AU-175</x:v>
      </x:c>
      <x:c r="C181" s="10" t="str">
        <x:v>commissioning</x:v>
      </x:c>
      <x:c r="D181" s="10" t="str">
        <x:v>event definition 64</x:v>
      </x:c>
      <x:c r="E181" s="21" t="n">
        <x:f>IF('Commissioning Matrix'!I70=1,1,0)</x:f>
        <x:v>1</x:v>
      </x:c>
      <x:c r="F181" s="21" t="n">
        <x:v>1</x:v>
      </x:c>
      <x:c r="G181" s="21" t="n">
        <x:f>E181-F181</x:f>
        <x:v>0</x:v>
      </x:c>
      <x:c r="H181" s="10" t="str">
        <x:f>IF(ABS(G181)&lt;0.000001,"PASS","FAIL")</x:f>
        <x:v>PASS</x:v>
      </x:c>
      <x:c r="I181" s="10" t="str">
        <x:v>Commissioning Matrix row 70</x:v>
      </x:c>
    </x:row>
    <x:row r="182">
      <x:c r="B182" s="10" t="str">
        <x:v>AU-176</x:v>
      </x:c>
      <x:c r="C182" s="10" t="str">
        <x:v>commissioning</x:v>
      </x:c>
      <x:c r="D182" s="10" t="str">
        <x:v>event definition 65</x:v>
      </x:c>
      <x:c r="E182" s="21" t="n">
        <x:f>IF('Commissioning Matrix'!I71=1,1,0)</x:f>
        <x:v>1</x:v>
      </x:c>
      <x:c r="F182" s="21" t="n">
        <x:v>1</x:v>
      </x:c>
      <x:c r="G182" s="21" t="n">
        <x:f>E182-F182</x:f>
        <x:v>0</x:v>
      </x:c>
      <x:c r="H182" s="10" t="str">
        <x:f>IF(ABS(G182)&lt;0.000001,"PASS","FAIL")</x:f>
        <x:v>PASS</x:v>
      </x:c>
      <x:c r="I182" s="10" t="str">
        <x:v>Commissioning Matrix row 71</x:v>
      </x:c>
    </x:row>
    <x:row r="183">
      <x:c r="B183" s="10" t="str">
        <x:v>AU-177</x:v>
      </x:c>
      <x:c r="C183" s="10" t="str">
        <x:v>commissioning</x:v>
      </x:c>
      <x:c r="D183" s="10" t="str">
        <x:v>event definition 66</x:v>
      </x:c>
      <x:c r="E183" s="21" t="n">
        <x:f>IF('Commissioning Matrix'!I72=1,1,0)</x:f>
        <x:v>1</x:v>
      </x:c>
      <x:c r="F183" s="21" t="n">
        <x:v>1</x:v>
      </x:c>
      <x:c r="G183" s="21" t="n">
        <x:f>E183-F183</x:f>
        <x:v>0</x:v>
      </x:c>
      <x:c r="H183" s="10" t="str">
        <x:f>IF(ABS(G183)&lt;0.000001,"PASS","FAIL")</x:f>
        <x:v>PASS</x:v>
      </x:c>
      <x:c r="I183" s="10" t="str">
        <x:v>Commissioning Matrix row 72</x:v>
      </x:c>
    </x:row>
    <x:row r="184">
      <x:c r="B184" s="10" t="str">
        <x:v>AU-178</x:v>
      </x:c>
      <x:c r="C184" s="10" t="str">
        <x:v>commissioning</x:v>
      </x:c>
      <x:c r="D184" s="10" t="str">
        <x:v>event definition 67</x:v>
      </x:c>
      <x:c r="E184" s="21" t="n">
        <x:f>IF('Commissioning Matrix'!I73=1,1,0)</x:f>
        <x:v>1</x:v>
      </x:c>
      <x:c r="F184" s="21" t="n">
        <x:v>1</x:v>
      </x:c>
      <x:c r="G184" s="21" t="n">
        <x:f>E184-F184</x:f>
        <x:v>0</x:v>
      </x:c>
      <x:c r="H184" s="10" t="str">
        <x:f>IF(ABS(G184)&lt;0.000001,"PASS","FAIL")</x:f>
        <x:v>PASS</x:v>
      </x:c>
      <x:c r="I184" s="10" t="str">
        <x:v>Commissioning Matrix row 73</x:v>
      </x:c>
    </x:row>
    <x:row r="185">
      <x:c r="B185" s="10" t="str">
        <x:v>AU-179</x:v>
      </x:c>
      <x:c r="C185" s="10" t="str">
        <x:v>commissioning</x:v>
      </x:c>
      <x:c r="D185" s="10" t="str">
        <x:v>event definition 68</x:v>
      </x:c>
      <x:c r="E185" s="21" t="n">
        <x:f>IF('Commissioning Matrix'!I74=1,1,0)</x:f>
        <x:v>1</x:v>
      </x:c>
      <x:c r="F185" s="21" t="n">
        <x:v>1</x:v>
      </x:c>
      <x:c r="G185" s="21" t="n">
        <x:f>E185-F185</x:f>
        <x:v>0</x:v>
      </x:c>
      <x:c r="H185" s="10" t="str">
        <x:f>IF(ABS(G185)&lt;0.000001,"PASS","FAIL")</x:f>
        <x:v>PASS</x:v>
      </x:c>
      <x:c r="I185" s="10" t="str">
        <x:v>Commissioning Matrix row 74</x:v>
      </x:c>
    </x:row>
    <x:row r="186">
      <x:c r="B186" s="10" t="str">
        <x:v>AU-180</x:v>
      </x:c>
      <x:c r="C186" s="10" t="str">
        <x:v>commissioning</x:v>
      </x:c>
      <x:c r="D186" s="10" t="str">
        <x:v>event definition 69</x:v>
      </x:c>
      <x:c r="E186" s="21" t="n">
        <x:f>IF('Commissioning Matrix'!I75=1,1,0)</x:f>
        <x:v>1</x:v>
      </x:c>
      <x:c r="F186" s="21" t="n">
        <x:v>1</x:v>
      </x:c>
      <x:c r="G186" s="21" t="n">
        <x:f>E186-F186</x:f>
        <x:v>0</x:v>
      </x:c>
      <x:c r="H186" s="10" t="str">
        <x:f>IF(ABS(G186)&lt;0.000001,"PASS","FAIL")</x:f>
        <x:v>PASS</x:v>
      </x:c>
      <x:c r="I186" s="10" t="str">
        <x:v>Commissioning Matrix row 75</x:v>
      </x:c>
    </x:row>
    <x:row r="187">
      <x:c r="B187" s="10" t="str">
        <x:v>AU-181</x:v>
      </x:c>
      <x:c r="C187" s="10" t="str">
        <x:v>commissioning</x:v>
      </x:c>
      <x:c r="D187" s="10" t="str">
        <x:v>event definition 70</x:v>
      </x:c>
      <x:c r="E187" s="21" t="n">
        <x:f>IF('Commissioning Matrix'!I76=1,1,0)</x:f>
        <x:v>1</x:v>
      </x:c>
      <x:c r="F187" s="21" t="n">
        <x:v>1</x:v>
      </x:c>
      <x:c r="G187" s="21" t="n">
        <x:f>E187-F187</x:f>
        <x:v>0</x:v>
      </x:c>
      <x:c r="H187" s="10" t="str">
        <x:f>IF(ABS(G187)&lt;0.000001,"PASS","FAIL")</x:f>
        <x:v>PASS</x:v>
      </x:c>
      <x:c r="I187" s="10" t="str">
        <x:v>Commissioning Matrix row 76</x:v>
      </x:c>
    </x:row>
    <x:row r="188">
      <x:c r="B188" s="10" t="str">
        <x:v>AU-182</x:v>
      </x:c>
      <x:c r="C188" s="10" t="str">
        <x:v>commissioning</x:v>
      </x:c>
      <x:c r="D188" s="10" t="str">
        <x:v>event definition 71</x:v>
      </x:c>
      <x:c r="E188" s="21" t="n">
        <x:f>IF('Commissioning Matrix'!I77=1,1,0)</x:f>
        <x:v>1</x:v>
      </x:c>
      <x:c r="F188" s="21" t="n">
        <x:v>1</x:v>
      </x:c>
      <x:c r="G188" s="21" t="n">
        <x:f>E188-F188</x:f>
        <x:v>0</x:v>
      </x:c>
      <x:c r="H188" s="10" t="str">
        <x:f>IF(ABS(G188)&lt;0.000001,"PASS","FAIL")</x:f>
        <x:v>PASS</x:v>
      </x:c>
      <x:c r="I188" s="10" t="str">
        <x:v>Commissioning Matrix row 77</x:v>
      </x:c>
    </x:row>
    <x:row r="189">
      <x:c r="B189" s="10" t="str">
        <x:v>AU-183</x:v>
      </x:c>
      <x:c r="C189" s="10" t="str">
        <x:v>commissioning</x:v>
      </x:c>
      <x:c r="D189" s="10" t="str">
        <x:v>event definition 72</x:v>
      </x:c>
      <x:c r="E189" s="21" t="n">
        <x:f>IF('Commissioning Matrix'!I78=1,1,0)</x:f>
        <x:v>1</x:v>
      </x:c>
      <x:c r="F189" s="21" t="n">
        <x:v>1</x:v>
      </x:c>
      <x:c r="G189" s="21" t="n">
        <x:f>E189-F189</x:f>
        <x:v>0</x:v>
      </x:c>
      <x:c r="H189" s="10" t="str">
        <x:f>IF(ABS(G189)&lt;0.000001,"PASS","FAIL")</x:f>
        <x:v>PASS</x:v>
      </x:c>
      <x:c r="I189" s="10" t="str">
        <x:v>Commissioning Matrix row 78</x:v>
      </x:c>
    </x:row>
    <x:row r="190">
      <x:c r="B190" s="10" t="str">
        <x:v>AU-184</x:v>
      </x:c>
      <x:c r="C190" s="10" t="str">
        <x:v>commissioning</x:v>
      </x:c>
      <x:c r="D190" s="10" t="str">
        <x:v>event definition 73</x:v>
      </x:c>
      <x:c r="E190" s="21" t="n">
        <x:f>IF('Commissioning Matrix'!I79=1,1,0)</x:f>
        <x:v>1</x:v>
      </x:c>
      <x:c r="F190" s="21" t="n">
        <x:v>1</x:v>
      </x:c>
      <x:c r="G190" s="21" t="n">
        <x:f>E190-F190</x:f>
        <x:v>0</x:v>
      </x:c>
      <x:c r="H190" s="10" t="str">
        <x:f>IF(ABS(G190)&lt;0.000001,"PASS","FAIL")</x:f>
        <x:v>PASS</x:v>
      </x:c>
      <x:c r="I190" s="10" t="str">
        <x:v>Commissioning Matrix row 79</x:v>
      </x:c>
    </x:row>
    <x:row r="191">
      <x:c r="B191" s="10" t="str">
        <x:v>AU-185</x:v>
      </x:c>
      <x:c r="C191" s="10" t="str">
        <x:v>commissioning</x:v>
      </x:c>
      <x:c r="D191" s="10" t="str">
        <x:v>event definition 74</x:v>
      </x:c>
      <x:c r="E191" s="21" t="n">
        <x:f>IF('Commissioning Matrix'!I80=1,1,0)</x:f>
        <x:v>1</x:v>
      </x:c>
      <x:c r="F191" s="21" t="n">
        <x:v>1</x:v>
      </x:c>
      <x:c r="G191" s="21" t="n">
        <x:f>E191-F191</x:f>
        <x:v>0</x:v>
      </x:c>
      <x:c r="H191" s="10" t="str">
        <x:f>IF(ABS(G191)&lt;0.000001,"PASS","FAIL")</x:f>
        <x:v>PASS</x:v>
      </x:c>
      <x:c r="I191" s="10" t="str">
        <x:v>Commissioning Matrix row 80</x:v>
      </x:c>
    </x:row>
    <x:row r="192">
      <x:c r="B192" s="10" t="str">
        <x:v>AU-186</x:v>
      </x:c>
      <x:c r="C192" s="10" t="str">
        <x:v>commissioning</x:v>
      </x:c>
      <x:c r="D192" s="10" t="str">
        <x:v>event definition 75</x:v>
      </x:c>
      <x:c r="E192" s="21" t="n">
        <x:f>IF('Commissioning Matrix'!I81=1,1,0)</x:f>
        <x:v>1</x:v>
      </x:c>
      <x:c r="F192" s="21" t="n">
        <x:v>1</x:v>
      </x:c>
      <x:c r="G192" s="21" t="n">
        <x:f>E192-F192</x:f>
        <x:v>0</x:v>
      </x:c>
      <x:c r="H192" s="10" t="str">
        <x:f>IF(ABS(G192)&lt;0.000001,"PASS","FAIL")</x:f>
        <x:v>PASS</x:v>
      </x:c>
      <x:c r="I192" s="10" t="str">
        <x:v>Commissioning Matrix row 81</x:v>
      </x:c>
    </x:row>
    <x:row r="193">
      <x:c r="B193" s="10" t="str">
        <x:v>AU-187</x:v>
      </x:c>
      <x:c r="C193" s="10" t="str">
        <x:v>commissioning</x:v>
      </x:c>
      <x:c r="D193" s="10" t="str">
        <x:v>event definition 76</x:v>
      </x:c>
      <x:c r="E193" s="21" t="n">
        <x:f>IF('Commissioning Matrix'!I82=1,1,0)</x:f>
        <x:v>1</x:v>
      </x:c>
      <x:c r="F193" s="21" t="n">
        <x:v>1</x:v>
      </x:c>
      <x:c r="G193" s="21" t="n">
        <x:f>E193-F193</x:f>
        <x:v>0</x:v>
      </x:c>
      <x:c r="H193" s="10" t="str">
        <x:f>IF(ABS(G193)&lt;0.000001,"PASS","FAIL")</x:f>
        <x:v>PASS</x:v>
      </x:c>
      <x:c r="I193" s="10" t="str">
        <x:v>Commissioning Matrix row 82</x:v>
      </x:c>
    </x:row>
    <x:row r="194">
      <x:c r="B194" s="10" t="str">
        <x:v>AU-188</x:v>
      </x:c>
      <x:c r="C194" s="10" t="str">
        <x:v>commissioning</x:v>
      </x:c>
      <x:c r="D194" s="10" t="str">
        <x:v>event definition 77</x:v>
      </x:c>
      <x:c r="E194" s="21" t="n">
        <x:f>IF('Commissioning Matrix'!I83=1,1,0)</x:f>
        <x:v>1</x:v>
      </x:c>
      <x:c r="F194" s="21" t="n">
        <x:v>1</x:v>
      </x:c>
      <x:c r="G194" s="21" t="n">
        <x:f>E194-F194</x:f>
        <x:v>0</x:v>
      </x:c>
      <x:c r="H194" s="10" t="str">
        <x:f>IF(ABS(G194)&lt;0.000001,"PASS","FAIL")</x:f>
        <x:v>PASS</x:v>
      </x:c>
      <x:c r="I194" s="10" t="str">
        <x:v>Commissioning Matrix row 83</x:v>
      </x:c>
    </x:row>
    <x:row r="195">
      <x:c r="B195" s="10" t="str">
        <x:v>AU-189</x:v>
      </x:c>
      <x:c r="C195" s="10" t="str">
        <x:v>commissioning</x:v>
      </x:c>
      <x:c r="D195" s="10" t="str">
        <x:v>event definition 78</x:v>
      </x:c>
      <x:c r="E195" s="21" t="n">
        <x:f>IF('Commissioning Matrix'!I84=1,1,0)</x:f>
        <x:v>1</x:v>
      </x:c>
      <x:c r="F195" s="21" t="n">
        <x:v>1</x:v>
      </x:c>
      <x:c r="G195" s="21" t="n">
        <x:f>E195-F195</x:f>
        <x:v>0</x:v>
      </x:c>
      <x:c r="H195" s="10" t="str">
        <x:f>IF(ABS(G195)&lt;0.000001,"PASS","FAIL")</x:f>
        <x:v>PASS</x:v>
      </x:c>
      <x:c r="I195" s="10" t="str">
        <x:v>Commissioning Matrix row 84</x:v>
      </x:c>
    </x:row>
    <x:row r="196">
      <x:c r="B196" s="10" t="str">
        <x:v>AU-190</x:v>
      </x:c>
      <x:c r="C196" s="10" t="str">
        <x:v>commissioning</x:v>
      </x:c>
      <x:c r="D196" s="10" t="str">
        <x:v>event definition 79</x:v>
      </x:c>
      <x:c r="E196" s="21" t="n">
        <x:f>IF('Commissioning Matrix'!I85=1,1,0)</x:f>
        <x:v>1</x:v>
      </x:c>
      <x:c r="F196" s="21" t="n">
        <x:v>1</x:v>
      </x:c>
      <x:c r="G196" s="21" t="n">
        <x:f>E196-F196</x:f>
        <x:v>0</x:v>
      </x:c>
      <x:c r="H196" s="10" t="str">
        <x:f>IF(ABS(G196)&lt;0.000001,"PASS","FAIL")</x:f>
        <x:v>PASS</x:v>
      </x:c>
      <x:c r="I196" s="10" t="str">
        <x:v>Commissioning Matrix row 85</x:v>
      </x:c>
    </x:row>
    <x:row r="197">
      <x:c r="B197" s="10" t="str">
        <x:v>AU-191</x:v>
      </x:c>
      <x:c r="C197" s="10" t="str">
        <x:v>commissioning</x:v>
      </x:c>
      <x:c r="D197" s="10" t="str">
        <x:v>event definition 80</x:v>
      </x:c>
      <x:c r="E197" s="21" t="n">
        <x:f>IF('Commissioning Matrix'!I86=1,1,0)</x:f>
        <x:v>1</x:v>
      </x:c>
      <x:c r="F197" s="21" t="n">
        <x:v>1</x:v>
      </x:c>
      <x:c r="G197" s="21" t="n">
        <x:f>E197-F197</x:f>
        <x:v>0</x:v>
      </x:c>
      <x:c r="H197" s="10" t="str">
        <x:f>IF(ABS(G197)&lt;0.000001,"PASS","FAIL")</x:f>
        <x:v>PASS</x:v>
      </x:c>
      <x:c r="I197" s="10" t="str">
        <x:v>Commissioning Matrix row 86</x:v>
      </x:c>
    </x:row>
    <x:row r="198">
      <x:c r="B198" s="10" t="str">
        <x:v>AU-192</x:v>
      </x:c>
      <x:c r="C198" s="10" t="str">
        <x:v>commissioning</x:v>
      </x:c>
      <x:c r="D198" s="10" t="str">
        <x:v>event definition 81</x:v>
      </x:c>
      <x:c r="E198" s="21" t="n">
        <x:f>IF('Commissioning Matrix'!I87=1,1,0)</x:f>
        <x:v>1</x:v>
      </x:c>
      <x:c r="F198" s="21" t="n">
        <x:v>1</x:v>
      </x:c>
      <x:c r="G198" s="21" t="n">
        <x:f>E198-F198</x:f>
        <x:v>0</x:v>
      </x:c>
      <x:c r="H198" s="10" t="str">
        <x:f>IF(ABS(G198)&lt;0.000001,"PASS","FAIL")</x:f>
        <x:v>PASS</x:v>
      </x:c>
      <x:c r="I198" s="10" t="str">
        <x:v>Commissioning Matrix row 87</x:v>
      </x:c>
    </x:row>
    <x:row r="199">
      <x:c r="B199" s="10" t="str">
        <x:v>AU-193</x:v>
      </x:c>
      <x:c r="C199" s="10" t="str">
        <x:v>commissioning</x:v>
      </x:c>
      <x:c r="D199" s="10" t="str">
        <x:v>event definition 82</x:v>
      </x:c>
      <x:c r="E199" s="21" t="n">
        <x:f>IF('Commissioning Matrix'!I88=1,1,0)</x:f>
        <x:v>1</x:v>
      </x:c>
      <x:c r="F199" s="21" t="n">
        <x:v>1</x:v>
      </x:c>
      <x:c r="G199" s="21" t="n">
        <x:f>E199-F199</x:f>
        <x:v>0</x:v>
      </x:c>
      <x:c r="H199" s="10" t="str">
        <x:f>IF(ABS(G199)&lt;0.000001,"PASS","FAIL")</x:f>
        <x:v>PASS</x:v>
      </x:c>
      <x:c r="I199" s="10" t="str">
        <x:v>Commissioning Matrix row 88</x:v>
      </x:c>
    </x:row>
    <x:row r="200">
      <x:c r="B200" s="10" t="str">
        <x:v>AU-194</x:v>
      </x:c>
      <x:c r="C200" s="10" t="str">
        <x:v>commissioning</x:v>
      </x:c>
      <x:c r="D200" s="10" t="str">
        <x:v>event definition 83</x:v>
      </x:c>
      <x:c r="E200" s="21" t="n">
        <x:f>IF('Commissioning Matrix'!I89=1,1,0)</x:f>
        <x:v>1</x:v>
      </x:c>
      <x:c r="F200" s="21" t="n">
        <x:v>1</x:v>
      </x:c>
      <x:c r="G200" s="21" t="n">
        <x:f>E200-F200</x:f>
        <x:v>0</x:v>
      </x:c>
      <x:c r="H200" s="10" t="str">
        <x:f>IF(ABS(G200)&lt;0.000001,"PASS","FAIL")</x:f>
        <x:v>PASS</x:v>
      </x:c>
      <x:c r="I200" s="10" t="str">
        <x:v>Commissioning Matrix row 89</x:v>
      </x:c>
    </x:row>
    <x:row r="201">
      <x:c r="B201" s="10" t="str">
        <x:v>AU-195</x:v>
      </x:c>
      <x:c r="C201" s="10" t="str">
        <x:v>commissioning</x:v>
      </x:c>
      <x:c r="D201" s="10" t="str">
        <x:v>event definition 84</x:v>
      </x:c>
      <x:c r="E201" s="21" t="n">
        <x:f>IF('Commissioning Matrix'!I90=1,1,0)</x:f>
        <x:v>1</x:v>
      </x:c>
      <x:c r="F201" s="21" t="n">
        <x:v>1</x:v>
      </x:c>
      <x:c r="G201" s="21" t="n">
        <x:f>E201-F201</x:f>
        <x:v>0</x:v>
      </x:c>
      <x:c r="H201" s="10" t="str">
        <x:f>IF(ABS(G201)&lt;0.000001,"PASS","FAIL")</x:f>
        <x:v>PASS</x:v>
      </x:c>
      <x:c r="I201" s="10" t="str">
        <x:v>Commissioning Matrix row 90</x:v>
      </x:c>
    </x:row>
    <x:row r="202">
      <x:c r="B202" s="10" t="str">
        <x:v>AU-196</x:v>
      </x:c>
      <x:c r="C202" s="10" t="str">
        <x:v>commissioning</x:v>
      </x:c>
      <x:c r="D202" s="10" t="str">
        <x:v>event definition 85</x:v>
      </x:c>
      <x:c r="E202" s="21" t="n">
        <x:f>IF('Commissioning Matrix'!I91=1,1,0)</x:f>
        <x:v>1</x:v>
      </x:c>
      <x:c r="F202" s="21" t="n">
        <x:v>1</x:v>
      </x:c>
      <x:c r="G202" s="21" t="n">
        <x:f>E202-F202</x:f>
        <x:v>0</x:v>
      </x:c>
      <x:c r="H202" s="10" t="str">
        <x:f>IF(ABS(G202)&lt;0.000001,"PASS","FAIL")</x:f>
        <x:v>PASS</x:v>
      </x:c>
      <x:c r="I202" s="10" t="str">
        <x:v>Commissioning Matrix row 91</x:v>
      </x:c>
    </x:row>
    <x:row r="203">
      <x:c r="B203" s="10" t="str">
        <x:v>AU-197</x:v>
      </x:c>
      <x:c r="C203" s="10" t="str">
        <x:v>commissioning</x:v>
      </x:c>
      <x:c r="D203" s="10" t="str">
        <x:v>event definition 86</x:v>
      </x:c>
      <x:c r="E203" s="21" t="n">
        <x:f>IF('Commissioning Matrix'!I92=1,1,0)</x:f>
        <x:v>1</x:v>
      </x:c>
      <x:c r="F203" s="21" t="n">
        <x:v>1</x:v>
      </x:c>
      <x:c r="G203" s="21" t="n">
        <x:f>E203-F203</x:f>
        <x:v>0</x:v>
      </x:c>
      <x:c r="H203" s="10" t="str">
        <x:f>IF(ABS(G203)&lt;0.000001,"PASS","FAIL")</x:f>
        <x:v>PASS</x:v>
      </x:c>
      <x:c r="I203" s="10" t="str">
        <x:v>Commissioning Matrix row 92</x:v>
      </x:c>
    </x:row>
    <x:row r="204">
      <x:c r="B204" s="10" t="str">
        <x:v>AU-198</x:v>
      </x:c>
      <x:c r="C204" s="10" t="str">
        <x:v>commissioning</x:v>
      </x:c>
      <x:c r="D204" s="10" t="str">
        <x:v>event definition 87</x:v>
      </x:c>
      <x:c r="E204" s="21" t="n">
        <x:f>IF('Commissioning Matrix'!I93=1,1,0)</x:f>
        <x:v>1</x:v>
      </x:c>
      <x:c r="F204" s="21" t="n">
        <x:v>1</x:v>
      </x:c>
      <x:c r="G204" s="21" t="n">
        <x:f>E204-F204</x:f>
        <x:v>0</x:v>
      </x:c>
      <x:c r="H204" s="10" t="str">
        <x:f>IF(ABS(G204)&lt;0.000001,"PASS","FAIL")</x:f>
        <x:v>PASS</x:v>
      </x:c>
      <x:c r="I204" s="10" t="str">
        <x:v>Commissioning Matrix row 93</x:v>
      </x:c>
    </x:row>
    <x:row r="205">
      <x:c r="B205" s="10" t="str">
        <x:v>AU-199</x:v>
      </x:c>
      <x:c r="C205" s="10" t="str">
        <x:v>commissioning</x:v>
      </x:c>
      <x:c r="D205" s="10" t="str">
        <x:v>event definition 88</x:v>
      </x:c>
      <x:c r="E205" s="21" t="n">
        <x:f>IF('Commissioning Matrix'!I94=1,1,0)</x:f>
        <x:v>1</x:v>
      </x:c>
      <x:c r="F205" s="21" t="n">
        <x:v>1</x:v>
      </x:c>
      <x:c r="G205" s="21" t="n">
        <x:f>E205-F205</x:f>
        <x:v>0</x:v>
      </x:c>
      <x:c r="H205" s="10" t="str">
        <x:f>IF(ABS(G205)&lt;0.000001,"PASS","FAIL")</x:f>
        <x:v>PASS</x:v>
      </x:c>
      <x:c r="I205" s="10" t="str">
        <x:v>Commissioning Matrix row 94</x:v>
      </x:c>
    </x:row>
    <x:row r="206">
      <x:c r="B206" s="10" t="str">
        <x:v>AU-200</x:v>
      </x:c>
      <x:c r="C206" s="10" t="str">
        <x:v>commissioning</x:v>
      </x:c>
      <x:c r="D206" s="10" t="str">
        <x:v>event definition 89</x:v>
      </x:c>
      <x:c r="E206" s="21" t="n">
        <x:f>IF('Commissioning Matrix'!I95=1,1,0)</x:f>
        <x:v>1</x:v>
      </x:c>
      <x:c r="F206" s="21" t="n">
        <x:v>1</x:v>
      </x:c>
      <x:c r="G206" s="21" t="n">
        <x:f>E206-F206</x:f>
        <x:v>0</x:v>
      </x:c>
      <x:c r="H206" s="10" t="str">
        <x:f>IF(ABS(G206)&lt;0.000001,"PASS","FAIL")</x:f>
        <x:v>PASS</x:v>
      </x:c>
      <x:c r="I206" s="10" t="str">
        <x:v>Commissioning Matrix row 95</x:v>
      </x:c>
    </x:row>
    <x:row r="207">
      <x:c r="B207" s="10" t="str">
        <x:v>AU-201</x:v>
      </x:c>
      <x:c r="C207" s="10" t="str">
        <x:v>commissioning</x:v>
      </x:c>
      <x:c r="D207" s="10" t="str">
        <x:v>event definition 90</x:v>
      </x:c>
      <x:c r="E207" s="21" t="n">
        <x:f>IF('Commissioning Matrix'!I96=1,1,0)</x:f>
        <x:v>1</x:v>
      </x:c>
      <x:c r="F207" s="21" t="n">
        <x:v>1</x:v>
      </x:c>
      <x:c r="G207" s="21" t="n">
        <x:f>E207-F207</x:f>
        <x:v>0</x:v>
      </x:c>
      <x:c r="H207" s="10" t="str">
        <x:f>IF(ABS(G207)&lt;0.000001,"PASS","FAIL")</x:f>
        <x:v>PASS</x:v>
      </x:c>
      <x:c r="I207" s="10" t="str">
        <x:v>Commissioning Matrix row 96</x:v>
      </x:c>
    </x:row>
    <x:row r="208">
      <x:c r="B208" s="10" t="str">
        <x:v>AU-202</x:v>
      </x:c>
      <x:c r="C208" s="10" t="str">
        <x:v>commissioning</x:v>
      </x:c>
      <x:c r="D208" s="10" t="str">
        <x:v>event definition 91</x:v>
      </x:c>
      <x:c r="E208" s="21" t="n">
        <x:f>IF('Commissioning Matrix'!I97=1,1,0)</x:f>
        <x:v>1</x:v>
      </x:c>
      <x:c r="F208" s="21" t="n">
        <x:v>1</x:v>
      </x:c>
      <x:c r="G208" s="21" t="n">
        <x:f>E208-F208</x:f>
        <x:v>0</x:v>
      </x:c>
      <x:c r="H208" s="10" t="str">
        <x:f>IF(ABS(G208)&lt;0.000001,"PASS","FAIL")</x:f>
        <x:v>PASS</x:v>
      </x:c>
      <x:c r="I208" s="10" t="str">
        <x:v>Commissioning Matrix row 97</x:v>
      </x:c>
    </x:row>
    <x:row r="209">
      <x:c r="B209" s="10" t="str">
        <x:v>AU-203</x:v>
      </x:c>
      <x:c r="C209" s="10" t="str">
        <x:v>commissioning</x:v>
      </x:c>
      <x:c r="D209" s="10" t="str">
        <x:v>event definition 92</x:v>
      </x:c>
      <x:c r="E209" s="21" t="n">
        <x:f>IF('Commissioning Matrix'!I98=1,1,0)</x:f>
        <x:v>1</x:v>
      </x:c>
      <x:c r="F209" s="21" t="n">
        <x:v>1</x:v>
      </x:c>
      <x:c r="G209" s="21" t="n">
        <x:f>E209-F209</x:f>
        <x:v>0</x:v>
      </x:c>
      <x:c r="H209" s="10" t="str">
        <x:f>IF(ABS(G209)&lt;0.000001,"PASS","FAIL")</x:f>
        <x:v>PASS</x:v>
      </x:c>
      <x:c r="I209" s="10" t="str">
        <x:v>Commissioning Matrix row 98</x:v>
      </x:c>
    </x:row>
    <x:row r="210">
      <x:c r="B210" s="10" t="str">
        <x:v>AU-204</x:v>
      </x:c>
      <x:c r="C210" s="10" t="str">
        <x:v>commissioning</x:v>
      </x:c>
      <x:c r="D210" s="10" t="str">
        <x:v>event definition 93</x:v>
      </x:c>
      <x:c r="E210" s="21" t="n">
        <x:f>IF('Commissioning Matrix'!I99=1,1,0)</x:f>
        <x:v>1</x:v>
      </x:c>
      <x:c r="F210" s="21" t="n">
        <x:v>1</x:v>
      </x:c>
      <x:c r="G210" s="21" t="n">
        <x:f>E210-F210</x:f>
        <x:v>0</x:v>
      </x:c>
      <x:c r="H210" s="10" t="str">
        <x:f>IF(ABS(G210)&lt;0.000001,"PASS","FAIL")</x:f>
        <x:v>PASS</x:v>
      </x:c>
      <x:c r="I210" s="10" t="str">
        <x:v>Commissioning Matrix row 99</x:v>
      </x:c>
    </x:row>
    <x:row r="211">
      <x:c r="B211" s="10" t="str">
        <x:v>AU-205</x:v>
      </x:c>
      <x:c r="C211" s="10" t="str">
        <x:v>commissioning</x:v>
      </x:c>
      <x:c r="D211" s="10" t="str">
        <x:v>event definition 94</x:v>
      </x:c>
      <x:c r="E211" s="21" t="n">
        <x:f>IF('Commissioning Matrix'!I100=1,1,0)</x:f>
        <x:v>1</x:v>
      </x:c>
      <x:c r="F211" s="21" t="n">
        <x:v>1</x:v>
      </x:c>
      <x:c r="G211" s="21" t="n">
        <x:f>E211-F211</x:f>
        <x:v>0</x:v>
      </x:c>
      <x:c r="H211" s="10" t="str">
        <x:f>IF(ABS(G211)&lt;0.000001,"PASS","FAIL")</x:f>
        <x:v>PASS</x:v>
      </x:c>
      <x:c r="I211" s="10" t="str">
        <x:v>Commissioning Matrix row 100</x:v>
      </x:c>
    </x:row>
    <x:row r="212">
      <x:c r="B212" s="10" t="str">
        <x:v>AU-206</x:v>
      </x:c>
      <x:c r="C212" s="10" t="str">
        <x:v>commissioning</x:v>
      </x:c>
      <x:c r="D212" s="10" t="str">
        <x:v>event definition 95</x:v>
      </x:c>
      <x:c r="E212" s="21" t="n">
        <x:f>IF('Commissioning Matrix'!I101=1,1,0)</x:f>
        <x:v>1</x:v>
      </x:c>
      <x:c r="F212" s="21" t="n">
        <x:v>1</x:v>
      </x:c>
      <x:c r="G212" s="21" t="n">
        <x:f>E212-F212</x:f>
        <x:v>0</x:v>
      </x:c>
      <x:c r="H212" s="10" t="str">
        <x:f>IF(ABS(G212)&lt;0.000001,"PASS","FAIL")</x:f>
        <x:v>PASS</x:v>
      </x:c>
      <x:c r="I212" s="10" t="str">
        <x:v>Commissioning Matrix row 101</x:v>
      </x:c>
    </x:row>
    <x:row r="213">
      <x:c r="B213" s="10" t="str">
        <x:v>AU-207</x:v>
      </x:c>
      <x:c r="C213" s="10" t="str">
        <x:v>commissioning</x:v>
      </x:c>
      <x:c r="D213" s="10" t="str">
        <x:v>event definition 96</x:v>
      </x:c>
      <x:c r="E213" s="21" t="n">
        <x:f>IF('Commissioning Matrix'!I102=1,1,0)</x:f>
        <x:v>1</x:v>
      </x:c>
      <x:c r="F213" s="21" t="n">
        <x:v>1</x:v>
      </x:c>
      <x:c r="G213" s="21" t="n">
        <x:f>E213-F213</x:f>
        <x:v>0</x:v>
      </x:c>
      <x:c r="H213" s="10" t="str">
        <x:f>IF(ABS(G213)&lt;0.000001,"PASS","FAIL")</x:f>
        <x:v>PASS</x:v>
      </x:c>
      <x:c r="I213" s="10" t="str">
        <x:v>Commissioning Matrix row 102</x:v>
      </x:c>
    </x:row>
    <x:row r="214">
      <x:c r="B214" s="10" t="str">
        <x:v>AU-208</x:v>
      </x:c>
      <x:c r="C214" s="10" t="str">
        <x:v>commissioning</x:v>
      </x:c>
      <x:c r="D214" s="10" t="str">
        <x:v>event definition 97</x:v>
      </x:c>
      <x:c r="E214" s="21" t="n">
        <x:f>IF('Commissioning Matrix'!I103=1,1,0)</x:f>
        <x:v>1</x:v>
      </x:c>
      <x:c r="F214" s="21" t="n">
        <x:v>1</x:v>
      </x:c>
      <x:c r="G214" s="21" t="n">
        <x:f>E214-F214</x:f>
        <x:v>0</x:v>
      </x:c>
      <x:c r="H214" s="10" t="str">
        <x:f>IF(ABS(G214)&lt;0.000001,"PASS","FAIL")</x:f>
        <x:v>PASS</x:v>
      </x:c>
      <x:c r="I214" s="10" t="str">
        <x:v>Commissioning Matrix row 103</x:v>
      </x:c>
    </x:row>
    <x:row r="215">
      <x:c r="B215" s="10" t="str">
        <x:v>AU-209</x:v>
      </x:c>
      <x:c r="C215" s="10" t="str">
        <x:v>commissioning</x:v>
      </x:c>
      <x:c r="D215" s="10" t="str">
        <x:v>event definition 98</x:v>
      </x:c>
      <x:c r="E215" s="21" t="n">
        <x:f>IF('Commissioning Matrix'!I104=1,1,0)</x:f>
        <x:v>1</x:v>
      </x:c>
      <x:c r="F215" s="21" t="n">
        <x:v>1</x:v>
      </x:c>
      <x:c r="G215" s="21" t="n">
        <x:f>E215-F215</x:f>
        <x:v>0</x:v>
      </x:c>
      <x:c r="H215" s="10" t="str">
        <x:f>IF(ABS(G215)&lt;0.000001,"PASS","FAIL")</x:f>
        <x:v>PASS</x:v>
      </x:c>
      <x:c r="I215" s="10" t="str">
        <x:v>Commissioning Matrix row 104</x:v>
      </x:c>
    </x:row>
    <x:row r="216">
      <x:c r="B216" s="10" t="str">
        <x:v>AU-210</x:v>
      </x:c>
      <x:c r="C216" s="10" t="str">
        <x:v>commissioning</x:v>
      </x:c>
      <x:c r="D216" s="10" t="str">
        <x:v>event definition 99</x:v>
      </x:c>
      <x:c r="E216" s="21" t="n">
        <x:f>IF('Commissioning Matrix'!I105=1,1,0)</x:f>
        <x:v>1</x:v>
      </x:c>
      <x:c r="F216" s="21" t="n">
        <x:v>1</x:v>
      </x:c>
      <x:c r="G216" s="21" t="n">
        <x:f>E216-F216</x:f>
        <x:v>0</x:v>
      </x:c>
      <x:c r="H216" s="10" t="str">
        <x:f>IF(ABS(G216)&lt;0.000001,"PASS","FAIL")</x:f>
        <x:v>PASS</x:v>
      </x:c>
      <x:c r="I216" s="10" t="str">
        <x:v>Commissioning Matrix row 105</x:v>
      </x:c>
    </x:row>
    <x:row r="217">
      <x:c r="B217" s="10" t="str">
        <x:v>AU-211</x:v>
      </x:c>
      <x:c r="C217" s="10" t="str">
        <x:v>commissioning</x:v>
      </x:c>
      <x:c r="D217" s="10" t="str">
        <x:v>event definition 100</x:v>
      </x:c>
      <x:c r="E217" s="21" t="n">
        <x:f>IF('Commissioning Matrix'!I106=1,1,0)</x:f>
        <x:v>1</x:v>
      </x:c>
      <x:c r="F217" s="21" t="n">
        <x:v>1</x:v>
      </x:c>
      <x:c r="G217" s="21" t="n">
        <x:f>E217-F217</x:f>
        <x:v>0</x:v>
      </x:c>
      <x:c r="H217" s="10" t="str">
        <x:f>IF(ABS(G217)&lt;0.000001,"PASS","FAIL")</x:f>
        <x:v>PASS</x:v>
      </x:c>
      <x:c r="I217" s="10" t="str">
        <x:v>Commissioning Matrix row 106</x:v>
      </x:c>
    </x:row>
    <x:row r="218">
      <x:c r="B218" s="10" t="str">
        <x:v>AU-212</x:v>
      </x:c>
      <x:c r="C218" s="10" t="str">
        <x:v>commissioning</x:v>
      </x:c>
      <x:c r="D218" s="10" t="str">
        <x:v>event definition 101</x:v>
      </x:c>
      <x:c r="E218" s="21" t="n">
        <x:f>IF('Commissioning Matrix'!I107=1,1,0)</x:f>
        <x:v>1</x:v>
      </x:c>
      <x:c r="F218" s="21" t="n">
        <x:v>1</x:v>
      </x:c>
      <x:c r="G218" s="21" t="n">
        <x:f>E218-F218</x:f>
        <x:v>0</x:v>
      </x:c>
      <x:c r="H218" s="10" t="str">
        <x:f>IF(ABS(G218)&lt;0.000001,"PASS","FAIL")</x:f>
        <x:v>PASS</x:v>
      </x:c>
      <x:c r="I218" s="10" t="str">
        <x:v>Commissioning Matrix row 107</x:v>
      </x:c>
    </x:row>
    <x:row r="219">
      <x:c r="B219" s="10" t="str">
        <x:v>AU-213</x:v>
      </x:c>
      <x:c r="C219" s="10" t="str">
        <x:v>commissioning</x:v>
      </x:c>
      <x:c r="D219" s="10" t="str">
        <x:v>event definition 102</x:v>
      </x:c>
      <x:c r="E219" s="21" t="n">
        <x:f>IF('Commissioning Matrix'!I108=1,1,0)</x:f>
        <x:v>1</x:v>
      </x:c>
      <x:c r="F219" s="21" t="n">
        <x:v>1</x:v>
      </x:c>
      <x:c r="G219" s="21" t="n">
        <x:f>E219-F219</x:f>
        <x:v>0</x:v>
      </x:c>
      <x:c r="H219" s="10" t="str">
        <x:f>IF(ABS(G219)&lt;0.000001,"PASS","FAIL")</x:f>
        <x:v>PASS</x:v>
      </x:c>
      <x:c r="I219" s="10" t="str">
        <x:v>Commissioning Matrix row 108</x:v>
      </x:c>
    </x:row>
    <x:row r="220">
      <x:c r="B220" s="10" t="str">
        <x:v>AU-214</x:v>
      </x:c>
      <x:c r="C220" s="10" t="str">
        <x:v>commissioning</x:v>
      </x:c>
      <x:c r="D220" s="10" t="str">
        <x:v>event definition 103</x:v>
      </x:c>
      <x:c r="E220" s="21" t="n">
        <x:f>IF('Commissioning Matrix'!I109=1,1,0)</x:f>
        <x:v>1</x:v>
      </x:c>
      <x:c r="F220" s="21" t="n">
        <x:v>1</x:v>
      </x:c>
      <x:c r="G220" s="21" t="n">
        <x:f>E220-F220</x:f>
        <x:v>0</x:v>
      </x:c>
      <x:c r="H220" s="10" t="str">
        <x:f>IF(ABS(G220)&lt;0.000001,"PASS","FAIL")</x:f>
        <x:v>PASS</x:v>
      </x:c>
      <x:c r="I220" s="10" t="str">
        <x:v>Commissioning Matrix row 109</x:v>
      </x:c>
    </x:row>
    <x:row r="221">
      <x:c r="B221" s="10" t="str">
        <x:v>AU-215</x:v>
      </x:c>
      <x:c r="C221" s="10" t="str">
        <x:v>commissioning</x:v>
      </x:c>
      <x:c r="D221" s="10" t="str">
        <x:v>event definition 104</x:v>
      </x:c>
      <x:c r="E221" s="21" t="n">
        <x:f>IF('Commissioning Matrix'!I110=1,1,0)</x:f>
        <x:v>1</x:v>
      </x:c>
      <x:c r="F221" s="21" t="n">
        <x:v>1</x:v>
      </x:c>
      <x:c r="G221" s="21" t="n">
        <x:f>E221-F221</x:f>
        <x:v>0</x:v>
      </x:c>
      <x:c r="H221" s="10" t="str">
        <x:f>IF(ABS(G221)&lt;0.000001,"PASS","FAIL")</x:f>
        <x:v>PASS</x:v>
      </x:c>
      <x:c r="I221" s="10" t="str">
        <x:v>Commissioning Matrix row 110</x:v>
      </x:c>
    </x:row>
    <x:row r="222">
      <x:c r="B222" s="10" t="str">
        <x:v>AU-216</x:v>
      </x:c>
      <x:c r="C222" s="10" t="str">
        <x:v>commissioning</x:v>
      </x:c>
      <x:c r="D222" s="10" t="str">
        <x:v>event definition 105</x:v>
      </x:c>
      <x:c r="E222" s="21" t="n">
        <x:f>IF('Commissioning Matrix'!I111=1,1,0)</x:f>
        <x:v>1</x:v>
      </x:c>
      <x:c r="F222" s="21" t="n">
        <x:v>1</x:v>
      </x:c>
      <x:c r="G222" s="21" t="n">
        <x:f>E222-F222</x:f>
        <x:v>0</x:v>
      </x:c>
      <x:c r="H222" s="10" t="str">
        <x:f>IF(ABS(G222)&lt;0.000001,"PASS","FAIL")</x:f>
        <x:v>PASS</x:v>
      </x:c>
      <x:c r="I222" s="10" t="str">
        <x:v>Commissioning Matrix row 111</x:v>
      </x:c>
    </x:row>
    <x:row r="223">
      <x:c r="B223" s="10" t="str">
        <x:v>AU-217</x:v>
      </x:c>
      <x:c r="C223" s="10" t="str">
        <x:v>commissioning</x:v>
      </x:c>
      <x:c r="D223" s="10" t="str">
        <x:v>event definition 106</x:v>
      </x:c>
      <x:c r="E223" s="21" t="n">
        <x:f>IF('Commissioning Matrix'!I112=1,1,0)</x:f>
        <x:v>1</x:v>
      </x:c>
      <x:c r="F223" s="21" t="n">
        <x:v>1</x:v>
      </x:c>
      <x:c r="G223" s="21" t="n">
        <x:f>E223-F223</x:f>
        <x:v>0</x:v>
      </x:c>
      <x:c r="H223" s="10" t="str">
        <x:f>IF(ABS(G223)&lt;0.000001,"PASS","FAIL")</x:f>
        <x:v>PASS</x:v>
      </x:c>
      <x:c r="I223" s="10" t="str">
        <x:v>Commissioning Matrix row 112</x:v>
      </x:c>
    </x:row>
    <x:row r="224">
      <x:c r="B224" s="10" t="str">
        <x:v>AU-218</x:v>
      </x:c>
      <x:c r="C224" s="10" t="str">
        <x:v>commissioning</x:v>
      </x:c>
      <x:c r="D224" s="10" t="str">
        <x:v>event definition 107</x:v>
      </x:c>
      <x:c r="E224" s="21" t="n">
        <x:f>IF('Commissioning Matrix'!I113=1,1,0)</x:f>
        <x:v>1</x:v>
      </x:c>
      <x:c r="F224" s="21" t="n">
        <x:v>1</x:v>
      </x:c>
      <x:c r="G224" s="21" t="n">
        <x:f>E224-F224</x:f>
        <x:v>0</x:v>
      </x:c>
      <x:c r="H224" s="10" t="str">
        <x:f>IF(ABS(G224)&lt;0.000001,"PASS","FAIL")</x:f>
        <x:v>PASS</x:v>
      </x:c>
      <x:c r="I224" s="10" t="str">
        <x:v>Commissioning Matrix row 113</x:v>
      </x:c>
    </x:row>
    <x:row r="225">
      <x:c r="B225" s="10" t="str">
        <x:v>AU-219</x:v>
      </x:c>
      <x:c r="C225" s="10" t="str">
        <x:v>commissioning</x:v>
      </x:c>
      <x:c r="D225" s="10" t="str">
        <x:v>event definition 108</x:v>
      </x:c>
      <x:c r="E225" s="21" t="n">
        <x:f>IF('Commissioning Matrix'!I114=1,1,0)</x:f>
        <x:v>1</x:v>
      </x:c>
      <x:c r="F225" s="21" t="n">
        <x:v>1</x:v>
      </x:c>
      <x:c r="G225" s="21" t="n">
        <x:f>E225-F225</x:f>
        <x:v>0</x:v>
      </x:c>
      <x:c r="H225" s="10" t="str">
        <x:f>IF(ABS(G225)&lt;0.000001,"PASS","FAIL")</x:f>
        <x:v>PASS</x:v>
      </x:c>
      <x:c r="I225" s="10" t="str">
        <x:v>Commissioning Matrix row 114</x:v>
      </x:c>
    </x:row>
    <x:row r="226">
      <x:c r="B226" s="10" t="str">
        <x:v>AU-220</x:v>
      </x:c>
      <x:c r="C226" s="10" t="str">
        <x:v>commissioning</x:v>
      </x:c>
      <x:c r="D226" s="10" t="str">
        <x:v>event definition 109</x:v>
      </x:c>
      <x:c r="E226" s="21" t="n">
        <x:f>IF('Commissioning Matrix'!I115=1,1,0)</x:f>
        <x:v>1</x:v>
      </x:c>
      <x:c r="F226" s="21" t="n">
        <x:v>1</x:v>
      </x:c>
      <x:c r="G226" s="21" t="n">
        <x:f>E226-F226</x:f>
        <x:v>0</x:v>
      </x:c>
      <x:c r="H226" s="10" t="str">
        <x:f>IF(ABS(G226)&lt;0.000001,"PASS","FAIL")</x:f>
        <x:v>PASS</x:v>
      </x:c>
      <x:c r="I226" s="10" t="str">
        <x:v>Commissioning Matrix row 115</x:v>
      </x:c>
    </x:row>
    <x:row r="227">
      <x:c r="B227" s="10" t="str">
        <x:v>AU-221</x:v>
      </x:c>
      <x:c r="C227" s="10" t="str">
        <x:v>commissioning</x:v>
      </x:c>
      <x:c r="D227" s="10" t="str">
        <x:v>event definition 110</x:v>
      </x:c>
      <x:c r="E227" s="21" t="n">
        <x:f>IF('Commissioning Matrix'!I116=1,1,0)</x:f>
        <x:v>1</x:v>
      </x:c>
      <x:c r="F227" s="21" t="n">
        <x:v>1</x:v>
      </x:c>
      <x:c r="G227" s="21" t="n">
        <x:f>E227-F227</x:f>
        <x:v>0</x:v>
      </x:c>
      <x:c r="H227" s="10" t="str">
        <x:f>IF(ABS(G227)&lt;0.000001,"PASS","FAIL")</x:f>
        <x:v>PASS</x:v>
      </x:c>
      <x:c r="I227" s="10" t="str">
        <x:v>Commissioning Matrix row 116</x:v>
      </x:c>
    </x:row>
    <x:row r="228">
      <x:c r="B228" s="10" t="str">
        <x:v>AU-222</x:v>
      </x:c>
      <x:c r="C228" s="10" t="str">
        <x:v>commissioning</x:v>
      </x:c>
      <x:c r="D228" s="10" t="str">
        <x:v>event definition 111</x:v>
      </x:c>
      <x:c r="E228" s="21" t="n">
        <x:f>IF('Commissioning Matrix'!I117=1,1,0)</x:f>
        <x:v>1</x:v>
      </x:c>
      <x:c r="F228" s="21" t="n">
        <x:v>1</x:v>
      </x:c>
      <x:c r="G228" s="21" t="n">
        <x:f>E228-F228</x:f>
        <x:v>0</x:v>
      </x:c>
      <x:c r="H228" s="10" t="str">
        <x:f>IF(ABS(G228)&lt;0.000001,"PASS","FAIL")</x:f>
        <x:v>PASS</x:v>
      </x:c>
      <x:c r="I228" s="10" t="str">
        <x:v>Commissioning Matrix row 117</x:v>
      </x:c>
    </x:row>
    <x:row r="229">
      <x:c r="B229" s="10" t="str">
        <x:v>AU-223</x:v>
      </x:c>
      <x:c r="C229" s="10" t="str">
        <x:v>commissioning</x:v>
      </x:c>
      <x:c r="D229" s="10" t="str">
        <x:v>event definition 112</x:v>
      </x:c>
      <x:c r="E229" s="21" t="n">
        <x:f>IF('Commissioning Matrix'!I118=1,1,0)</x:f>
        <x:v>1</x:v>
      </x:c>
      <x:c r="F229" s="21" t="n">
        <x:v>1</x:v>
      </x:c>
      <x:c r="G229" s="21" t="n">
        <x:f>E229-F229</x:f>
        <x:v>0</x:v>
      </x:c>
      <x:c r="H229" s="10" t="str">
        <x:f>IF(ABS(G229)&lt;0.000001,"PASS","FAIL")</x:f>
        <x:v>PASS</x:v>
      </x:c>
      <x:c r="I229" s="10" t="str">
        <x:v>Commissioning Matrix row 118</x:v>
      </x:c>
    </x:row>
    <x:row r="230">
      <x:c r="B230" s="10" t="str">
        <x:v>AU-224</x:v>
      </x:c>
      <x:c r="C230" s="10" t="str">
        <x:v>commissioning</x:v>
      </x:c>
      <x:c r="D230" s="10" t="str">
        <x:v>event definition 113</x:v>
      </x:c>
      <x:c r="E230" s="21" t="n">
        <x:f>IF('Commissioning Matrix'!I119=1,1,0)</x:f>
        <x:v>1</x:v>
      </x:c>
      <x:c r="F230" s="21" t="n">
        <x:v>1</x:v>
      </x:c>
      <x:c r="G230" s="21" t="n">
        <x:f>E230-F230</x:f>
        <x:v>0</x:v>
      </x:c>
      <x:c r="H230" s="10" t="str">
        <x:f>IF(ABS(G230)&lt;0.000001,"PASS","FAIL")</x:f>
        <x:v>PASS</x:v>
      </x:c>
      <x:c r="I230" s="10" t="str">
        <x:v>Commissioning Matrix row 119</x:v>
      </x:c>
    </x:row>
    <x:row r="231">
      <x:c r="B231" s="10" t="str">
        <x:v>AU-225</x:v>
      </x:c>
      <x:c r="C231" s="10" t="str">
        <x:v>commissioning</x:v>
      </x:c>
      <x:c r="D231" s="10" t="str">
        <x:v>event definition 114</x:v>
      </x:c>
      <x:c r="E231" s="21" t="n">
        <x:f>IF('Commissioning Matrix'!I120=1,1,0)</x:f>
        <x:v>1</x:v>
      </x:c>
      <x:c r="F231" s="21" t="n">
        <x:v>1</x:v>
      </x:c>
      <x:c r="G231" s="21" t="n">
        <x:f>E231-F231</x:f>
        <x:v>0</x:v>
      </x:c>
      <x:c r="H231" s="10" t="str">
        <x:f>IF(ABS(G231)&lt;0.000001,"PASS","FAIL")</x:f>
        <x:v>PASS</x:v>
      </x:c>
      <x:c r="I231" s="10" t="str">
        <x:v>Commissioning Matrix row 120</x:v>
      </x:c>
    </x:row>
    <x:row r="232">
      <x:c r="B232" s="10" t="str">
        <x:v>AU-226</x:v>
      </x:c>
      <x:c r="C232" s="10" t="str">
        <x:v>commissioning</x:v>
      </x:c>
      <x:c r="D232" s="10" t="str">
        <x:v>event definition 115</x:v>
      </x:c>
      <x:c r="E232" s="21" t="n">
        <x:f>IF('Commissioning Matrix'!I121=1,1,0)</x:f>
        <x:v>1</x:v>
      </x:c>
      <x:c r="F232" s="21" t="n">
        <x:v>1</x:v>
      </x:c>
      <x:c r="G232" s="21" t="n">
        <x:f>E232-F232</x:f>
        <x:v>0</x:v>
      </x:c>
      <x:c r="H232" s="10" t="str">
        <x:f>IF(ABS(G232)&lt;0.000001,"PASS","FAIL")</x:f>
        <x:v>PASS</x:v>
      </x:c>
      <x:c r="I232" s="10" t="str">
        <x:v>Commissioning Matrix row 121</x:v>
      </x:c>
    </x:row>
    <x:row r="233">
      <x:c r="B233" s="10" t="str">
        <x:v>AU-227</x:v>
      </x:c>
      <x:c r="C233" s="10" t="str">
        <x:v>commissioning</x:v>
      </x:c>
      <x:c r="D233" s="10" t="str">
        <x:v>event definition 116</x:v>
      </x:c>
      <x:c r="E233" s="21" t="n">
        <x:f>IF('Commissioning Matrix'!I122=1,1,0)</x:f>
        <x:v>1</x:v>
      </x:c>
      <x:c r="F233" s="21" t="n">
        <x:v>1</x:v>
      </x:c>
      <x:c r="G233" s="21" t="n">
        <x:f>E233-F233</x:f>
        <x:v>0</x:v>
      </x:c>
      <x:c r="H233" s="10" t="str">
        <x:f>IF(ABS(G233)&lt;0.000001,"PASS","FAIL")</x:f>
        <x:v>PASS</x:v>
      </x:c>
      <x:c r="I233" s="10" t="str">
        <x:v>Commissioning Matrix row 122</x:v>
      </x:c>
    </x:row>
    <x:row r="234">
      <x:c r="B234" s="10" t="str">
        <x:v>AU-228</x:v>
      </x:c>
      <x:c r="C234" s="10" t="str">
        <x:v>commissioning</x:v>
      </x:c>
      <x:c r="D234" s="10" t="str">
        <x:v>event definition 117</x:v>
      </x:c>
      <x:c r="E234" s="21" t="n">
        <x:f>IF('Commissioning Matrix'!I123=1,1,0)</x:f>
        <x:v>1</x:v>
      </x:c>
      <x:c r="F234" s="21" t="n">
        <x:v>1</x:v>
      </x:c>
      <x:c r="G234" s="21" t="n">
        <x:f>E234-F234</x:f>
        <x:v>0</x:v>
      </x:c>
      <x:c r="H234" s="10" t="str">
        <x:f>IF(ABS(G234)&lt;0.000001,"PASS","FAIL")</x:f>
        <x:v>PASS</x:v>
      </x:c>
      <x:c r="I234" s="10" t="str">
        <x:v>Commissioning Matrix row 123</x:v>
      </x:c>
    </x:row>
    <x:row r="235">
      <x:c r="B235" s="10" t="str">
        <x:v>AU-229</x:v>
      </x:c>
      <x:c r="C235" s="10" t="str">
        <x:v>commissioning</x:v>
      </x:c>
      <x:c r="D235" s="10" t="str">
        <x:v>event definition 118</x:v>
      </x:c>
      <x:c r="E235" s="21" t="n">
        <x:f>IF('Commissioning Matrix'!I124=1,1,0)</x:f>
        <x:v>1</x:v>
      </x:c>
      <x:c r="F235" s="21" t="n">
        <x:v>1</x:v>
      </x:c>
      <x:c r="G235" s="21" t="n">
        <x:f>E235-F235</x:f>
        <x:v>0</x:v>
      </x:c>
      <x:c r="H235" s="10" t="str">
        <x:f>IF(ABS(G235)&lt;0.000001,"PASS","FAIL")</x:f>
        <x:v>PASS</x:v>
      </x:c>
      <x:c r="I235" s="10" t="str">
        <x:v>Commissioning Matrix row 124</x:v>
      </x:c>
    </x:row>
    <x:row r="236">
      <x:c r="B236" s="10" t="str">
        <x:v>AU-230</x:v>
      </x:c>
      <x:c r="C236" s="10" t="str">
        <x:v>commissioning</x:v>
      </x:c>
      <x:c r="D236" s="10" t="str">
        <x:v>event definition 119</x:v>
      </x:c>
      <x:c r="E236" s="21" t="n">
        <x:f>IF('Commissioning Matrix'!I125=1,1,0)</x:f>
        <x:v>1</x:v>
      </x:c>
      <x:c r="F236" s="21" t="n">
        <x:v>1</x:v>
      </x:c>
      <x:c r="G236" s="21" t="n">
        <x:f>E236-F236</x:f>
        <x:v>0</x:v>
      </x:c>
      <x:c r="H236" s="10" t="str">
        <x:f>IF(ABS(G236)&lt;0.000001,"PASS","FAIL")</x:f>
        <x:v>PASS</x:v>
      </x:c>
      <x:c r="I236" s="10" t="str">
        <x:v>Commissioning Matrix row 125</x:v>
      </x:c>
    </x:row>
    <x:row r="237">
      <x:c r="B237" s="10" t="str">
        <x:v>AU-231</x:v>
      </x:c>
      <x:c r="C237" s="10" t="str">
        <x:v>commissioning</x:v>
      </x:c>
      <x:c r="D237" s="10" t="str">
        <x:v>event definition 120</x:v>
      </x:c>
      <x:c r="E237" s="21" t="n">
        <x:f>IF('Commissioning Matrix'!I126=1,1,0)</x:f>
        <x:v>1</x:v>
      </x:c>
      <x:c r="F237" s="21" t="n">
        <x:v>1</x:v>
      </x:c>
      <x:c r="G237" s="21" t="n">
        <x:f>E237-F237</x:f>
        <x:v>0</x:v>
      </x:c>
      <x:c r="H237" s="10" t="str">
        <x:f>IF(ABS(G237)&lt;0.000001,"PASS","FAIL")</x:f>
        <x:v>PASS</x:v>
      </x:c>
      <x:c r="I237" s="10" t="str">
        <x:v>Commissioning Matrix row 126</x:v>
      </x:c>
    </x:row>
    <x:row r="238">
      <x:c r="B238" s="10" t="str">
        <x:v>AU-232</x:v>
      </x:c>
      <x:c r="C238" s="10" t="str">
        <x:v>campus drill</x:v>
      </x:c>
      <x:c r="D238" s="10" t="str">
        <x:v>drill definition 1</x:v>
      </x:c>
      <x:c r="E238" s="21" t="n">
        <x:f>IF('Campus Drills'!F7=1,1,0)</x:f>
        <x:v>1</x:v>
      </x:c>
      <x:c r="F238" s="21" t="n">
        <x:v>1</x:v>
      </x:c>
      <x:c r="G238" s="21" t="n">
        <x:f>E238-F238</x:f>
        <x:v>0</x:v>
      </x:c>
      <x:c r="H238" s="10" t="str">
        <x:f>IF(ABS(G238)&lt;0.000001,"PASS","FAIL")</x:f>
        <x:v>PASS</x:v>
      </x:c>
      <x:c r="I238" s="10" t="str">
        <x:v>Campus Drills row 7</x:v>
      </x:c>
    </x:row>
    <x:row r="239">
      <x:c r="B239" s="10" t="str">
        <x:v>AU-233</x:v>
      </x:c>
      <x:c r="C239" s="10" t="str">
        <x:v>campus drill</x:v>
      </x:c>
      <x:c r="D239" s="10" t="str">
        <x:v>drill definition 2</x:v>
      </x:c>
      <x:c r="E239" s="21" t="n">
        <x:f>IF('Campus Drills'!F8=1,1,0)</x:f>
        <x:v>1</x:v>
      </x:c>
      <x:c r="F239" s="21" t="n">
        <x:v>1</x:v>
      </x:c>
      <x:c r="G239" s="21" t="n">
        <x:f>E239-F239</x:f>
        <x:v>0</x:v>
      </x:c>
      <x:c r="H239" s="10" t="str">
        <x:f>IF(ABS(G239)&lt;0.000001,"PASS","FAIL")</x:f>
        <x:v>PASS</x:v>
      </x:c>
      <x:c r="I239" s="10" t="str">
        <x:v>Campus Drills row 8</x:v>
      </x:c>
    </x:row>
    <x:row r="240">
      <x:c r="B240" s="10" t="str">
        <x:v>AU-234</x:v>
      </x:c>
      <x:c r="C240" s="10" t="str">
        <x:v>campus drill</x:v>
      </x:c>
      <x:c r="D240" s="10" t="str">
        <x:v>drill definition 3</x:v>
      </x:c>
      <x:c r="E240" s="21" t="n">
        <x:f>IF('Campus Drills'!F9=1,1,0)</x:f>
        <x:v>1</x:v>
      </x:c>
      <x:c r="F240" s="21" t="n">
        <x:v>1</x:v>
      </x:c>
      <x:c r="G240" s="21" t="n">
        <x:f>E240-F240</x:f>
        <x:v>0</x:v>
      </x:c>
      <x:c r="H240" s="10" t="str">
        <x:f>IF(ABS(G240)&lt;0.000001,"PASS","FAIL")</x:f>
        <x:v>PASS</x:v>
      </x:c>
      <x:c r="I240" s="10" t="str">
        <x:v>Campus Drills row 9</x:v>
      </x:c>
    </x:row>
    <x:row r="241">
      <x:c r="B241" s="10" t="str">
        <x:v>AU-235</x:v>
      </x:c>
      <x:c r="C241" s="10" t="str">
        <x:v>campus drill</x:v>
      </x:c>
      <x:c r="D241" s="10" t="str">
        <x:v>drill definition 4</x:v>
      </x:c>
      <x:c r="E241" s="21" t="n">
        <x:f>IF('Campus Drills'!F10=1,1,0)</x:f>
        <x:v>1</x:v>
      </x:c>
      <x:c r="F241" s="21" t="n">
        <x:v>1</x:v>
      </x:c>
      <x:c r="G241" s="21" t="n">
        <x:f>E241-F241</x:f>
        <x:v>0</x:v>
      </x:c>
      <x:c r="H241" s="10" t="str">
        <x:f>IF(ABS(G241)&lt;0.000001,"PASS","FAIL")</x:f>
        <x:v>PASS</x:v>
      </x:c>
      <x:c r="I241" s="10" t="str">
        <x:v>Campus Drills row 10</x:v>
      </x:c>
    </x:row>
    <x:row r="242">
      <x:c r="B242" s="10" t="str">
        <x:v>AU-236</x:v>
      </x:c>
      <x:c r="C242" s="10" t="str">
        <x:v>campus drill</x:v>
      </x:c>
      <x:c r="D242" s="10" t="str">
        <x:v>drill definition 5</x:v>
      </x:c>
      <x:c r="E242" s="21" t="n">
        <x:f>IF('Campus Drills'!F11=1,1,0)</x:f>
        <x:v>1</x:v>
      </x:c>
      <x:c r="F242" s="21" t="n">
        <x:v>1</x:v>
      </x:c>
      <x:c r="G242" s="21" t="n">
        <x:f>E242-F242</x:f>
        <x:v>0</x:v>
      </x:c>
      <x:c r="H242" s="10" t="str">
        <x:f>IF(ABS(G242)&lt;0.000001,"PASS","FAIL")</x:f>
        <x:v>PASS</x:v>
      </x:c>
      <x:c r="I242" s="10" t="str">
        <x:v>Campus Drills row 11</x:v>
      </x:c>
    </x:row>
    <x:row r="243">
      <x:c r="B243" s="10" t="str">
        <x:v>AU-237</x:v>
      </x:c>
      <x:c r="C243" s="10" t="str">
        <x:v>campus drill</x:v>
      </x:c>
      <x:c r="D243" s="10" t="str">
        <x:v>drill definition 6</x:v>
      </x:c>
      <x:c r="E243" s="21" t="n">
        <x:f>IF('Campus Drills'!F12=1,1,0)</x:f>
        <x:v>1</x:v>
      </x:c>
      <x:c r="F243" s="21" t="n">
        <x:v>1</x:v>
      </x:c>
      <x:c r="G243" s="21" t="n">
        <x:f>E243-F243</x:f>
        <x:v>0</x:v>
      </x:c>
      <x:c r="H243" s="10" t="str">
        <x:f>IF(ABS(G243)&lt;0.000001,"PASS","FAIL")</x:f>
        <x:v>PASS</x:v>
      </x:c>
      <x:c r="I243" s="10" t="str">
        <x:v>Campus Drills row 12</x:v>
      </x:c>
    </x:row>
    <x:row r="244">
      <x:c r="B244" s="10" t="str">
        <x:v>AU-238</x:v>
      </x:c>
      <x:c r="C244" s="10" t="str">
        <x:v>campus drill</x:v>
      </x:c>
      <x:c r="D244" s="10" t="str">
        <x:v>drill definition 7</x:v>
      </x:c>
      <x:c r="E244" s="21" t="n">
        <x:f>IF('Campus Drills'!F13=1,1,0)</x:f>
        <x:v>1</x:v>
      </x:c>
      <x:c r="F244" s="21" t="n">
        <x:v>1</x:v>
      </x:c>
      <x:c r="G244" s="21" t="n">
        <x:f>E244-F244</x:f>
        <x:v>0</x:v>
      </x:c>
      <x:c r="H244" s="10" t="str">
        <x:f>IF(ABS(G244)&lt;0.000001,"PASS","FAIL")</x:f>
        <x:v>PASS</x:v>
      </x:c>
      <x:c r="I244" s="10" t="str">
        <x:v>Campus Drills row 13</x:v>
      </x:c>
    </x:row>
    <x:row r="245">
      <x:c r="B245" s="10" t="str">
        <x:v>AU-239</x:v>
      </x:c>
      <x:c r="C245" s="10" t="str">
        <x:v>campus drill</x:v>
      </x:c>
      <x:c r="D245" s="10" t="str">
        <x:v>drill definition 8</x:v>
      </x:c>
      <x:c r="E245" s="21" t="n">
        <x:f>IF('Campus Drills'!F14=1,1,0)</x:f>
        <x:v>1</x:v>
      </x:c>
      <x:c r="F245" s="21" t="n">
        <x:v>1</x:v>
      </x:c>
      <x:c r="G245" s="21" t="n">
        <x:f>E245-F245</x:f>
        <x:v>0</x:v>
      </x:c>
      <x:c r="H245" s="10" t="str">
        <x:f>IF(ABS(G245)&lt;0.000001,"PASS","FAIL")</x:f>
        <x:v>PASS</x:v>
      </x:c>
      <x:c r="I245" s="10" t="str">
        <x:v>Campus Drills row 14</x:v>
      </x:c>
    </x:row>
    <x:row r="246">
      <x:c r="B246" s="10" t="str">
        <x:v>AU-240</x:v>
      </x:c>
      <x:c r="C246" s="10" t="str">
        <x:v>campus drill</x:v>
      </x:c>
      <x:c r="D246" s="10" t="str">
        <x:v>drill definition 9</x:v>
      </x:c>
      <x:c r="E246" s="21" t="n">
        <x:f>IF('Campus Drills'!F15=1,1,0)</x:f>
        <x:v>1</x:v>
      </x:c>
      <x:c r="F246" s="21" t="n">
        <x:v>1</x:v>
      </x:c>
      <x:c r="G246" s="21" t="n">
        <x:f>E246-F246</x:f>
        <x:v>0</x:v>
      </x:c>
      <x:c r="H246" s="10" t="str">
        <x:f>IF(ABS(G246)&lt;0.000001,"PASS","FAIL")</x:f>
        <x:v>PASS</x:v>
      </x:c>
      <x:c r="I246" s="10" t="str">
        <x:v>Campus Drills row 15</x:v>
      </x:c>
    </x:row>
    <x:row r="247">
      <x:c r="B247" s="10" t="str">
        <x:v>AU-241</x:v>
      </x:c>
      <x:c r="C247" s="10" t="str">
        <x:v>campus drill</x:v>
      </x:c>
      <x:c r="D247" s="10" t="str">
        <x:v>drill definition 10</x:v>
      </x:c>
      <x:c r="E247" s="21" t="n">
        <x:f>IF('Campus Drills'!F16=1,1,0)</x:f>
        <x:v>1</x:v>
      </x:c>
      <x:c r="F247" s="21" t="n">
        <x:v>1</x:v>
      </x:c>
      <x:c r="G247" s="21" t="n">
        <x:f>E247-F247</x:f>
        <x:v>0</x:v>
      </x:c>
      <x:c r="H247" s="10" t="str">
        <x:f>IF(ABS(G247)&lt;0.000001,"PASS","FAIL")</x:f>
        <x:v>PASS</x:v>
      </x:c>
      <x:c r="I247" s="10" t="str">
        <x:v>Campus Drills row 16</x:v>
      </x:c>
    </x:row>
    <x:row r="248">
      <x:c r="B248" s="10" t="str">
        <x:v>AU-242</x:v>
      </x:c>
      <x:c r="C248" s="10" t="str">
        <x:v>campus drill</x:v>
      </x:c>
      <x:c r="D248" s="10" t="str">
        <x:v>drill definition 11</x:v>
      </x:c>
      <x:c r="E248" s="21" t="n">
        <x:f>IF('Campus Drills'!F17=1,1,0)</x:f>
        <x:v>1</x:v>
      </x:c>
      <x:c r="F248" s="21" t="n">
        <x:v>1</x:v>
      </x:c>
      <x:c r="G248" s="21" t="n">
        <x:f>E248-F248</x:f>
        <x:v>0</x:v>
      </x:c>
      <x:c r="H248" s="10" t="str">
        <x:f>IF(ABS(G248)&lt;0.000001,"PASS","FAIL")</x:f>
        <x:v>PASS</x:v>
      </x:c>
      <x:c r="I248" s="10" t="str">
        <x:v>Campus Drills row 17</x:v>
      </x:c>
    </x:row>
    <x:row r="249">
      <x:c r="B249" s="10" t="str">
        <x:v>AU-243</x:v>
      </x:c>
      <x:c r="C249" s="10" t="str">
        <x:v>campus drill</x:v>
      </x:c>
      <x:c r="D249" s="10" t="str">
        <x:v>drill definition 12</x:v>
      </x:c>
      <x:c r="E249" s="21" t="n">
        <x:f>IF('Campus Drills'!F18=1,1,0)</x:f>
        <x:v>1</x:v>
      </x:c>
      <x:c r="F249" s="21" t="n">
        <x:v>1</x:v>
      </x:c>
      <x:c r="G249" s="21" t="n">
        <x:f>E249-F249</x:f>
        <x:v>0</x:v>
      </x:c>
      <x:c r="H249" s="10" t="str">
        <x:f>IF(ABS(G249)&lt;0.000001,"PASS","FAIL")</x:f>
        <x:v>PASS</x:v>
      </x:c>
      <x:c r="I249" s="10" t="str">
        <x:v>Campus Drills row 18</x:v>
      </x:c>
    </x:row>
    <x:row r="250">
      <x:c r="B250" s="10" t="str">
        <x:v>AU-244</x:v>
      </x:c>
      <x:c r="C250" s="10" t="str">
        <x:v>campus drill</x:v>
      </x:c>
      <x:c r="D250" s="10" t="str">
        <x:v>drill definition 13</x:v>
      </x:c>
      <x:c r="E250" s="21" t="n">
        <x:f>IF('Campus Drills'!F19=1,1,0)</x:f>
        <x:v>1</x:v>
      </x:c>
      <x:c r="F250" s="21" t="n">
        <x:v>1</x:v>
      </x:c>
      <x:c r="G250" s="21" t="n">
        <x:f>E250-F250</x:f>
        <x:v>0</x:v>
      </x:c>
      <x:c r="H250" s="10" t="str">
        <x:f>IF(ABS(G250)&lt;0.000001,"PASS","FAIL")</x:f>
        <x:v>PASS</x:v>
      </x:c>
      <x:c r="I250" s="10" t="str">
        <x:v>Campus Drills row 19</x:v>
      </x:c>
    </x:row>
    <x:row r="251">
      <x:c r="B251" s="10" t="str">
        <x:v>AU-245</x:v>
      </x:c>
      <x:c r="C251" s="10" t="str">
        <x:v>campus drill</x:v>
      </x:c>
      <x:c r="D251" s="10" t="str">
        <x:v>drill definition 14</x:v>
      </x:c>
      <x:c r="E251" s="21" t="n">
        <x:f>IF('Campus Drills'!F20=1,1,0)</x:f>
        <x:v>1</x:v>
      </x:c>
      <x:c r="F251" s="21" t="n">
        <x:v>1</x:v>
      </x:c>
      <x:c r="G251" s="21" t="n">
        <x:f>E251-F251</x:f>
        <x:v>0</x:v>
      </x:c>
      <x:c r="H251" s="10" t="str">
        <x:f>IF(ABS(G251)&lt;0.000001,"PASS","FAIL")</x:f>
        <x:v>PASS</x:v>
      </x:c>
      <x:c r="I251" s="10" t="str">
        <x:v>Campus Drills row 20</x:v>
      </x:c>
    </x:row>
    <x:row r="252">
      <x:c r="B252" s="10" t="str">
        <x:v>AU-246</x:v>
      </x:c>
      <x:c r="C252" s="10" t="str">
        <x:v>campus drill</x:v>
      </x:c>
      <x:c r="D252" s="10" t="str">
        <x:v>drill definition 15</x:v>
      </x:c>
      <x:c r="E252" s="21" t="n">
        <x:f>IF('Campus Drills'!F21=1,1,0)</x:f>
        <x:v>1</x:v>
      </x:c>
      <x:c r="F252" s="21" t="n">
        <x:v>1</x:v>
      </x:c>
      <x:c r="G252" s="21" t="n">
        <x:f>E252-F252</x:f>
        <x:v>0</x:v>
      </x:c>
      <x:c r="H252" s="10" t="str">
        <x:f>IF(ABS(G252)&lt;0.000001,"PASS","FAIL")</x:f>
        <x:v>PASS</x:v>
      </x:c>
      <x:c r="I252" s="10" t="str">
        <x:v>Campus Drills row 21</x:v>
      </x:c>
    </x:row>
    <x:row r="253">
      <x:c r="B253" s="10" t="str">
        <x:v>AU-247</x:v>
      </x:c>
      <x:c r="C253" s="10" t="str">
        <x:v>campus drill</x:v>
      </x:c>
      <x:c r="D253" s="10" t="str">
        <x:v>drill definition 16</x:v>
      </x:c>
      <x:c r="E253" s="21" t="n">
        <x:f>IF('Campus Drills'!F22=1,1,0)</x:f>
        <x:v>1</x:v>
      </x:c>
      <x:c r="F253" s="21" t="n">
        <x:v>1</x:v>
      </x:c>
      <x:c r="G253" s="21" t="n">
        <x:f>E253-F253</x:f>
        <x:v>0</x:v>
      </x:c>
      <x:c r="H253" s="10" t="str">
        <x:f>IF(ABS(G253)&lt;0.000001,"PASS","FAIL")</x:f>
        <x:v>PASS</x:v>
      </x:c>
      <x:c r="I253" s="10" t="str">
        <x:v>Campus Drills row 22</x:v>
      </x:c>
    </x:row>
    <x:row r="254">
      <x:c r="B254" s="10" t="str">
        <x:v>AU-248</x:v>
      </x:c>
      <x:c r="C254" s="10" t="str">
        <x:v>campus drill</x:v>
      </x:c>
      <x:c r="D254" s="10" t="str">
        <x:v>drill definition 17</x:v>
      </x:c>
      <x:c r="E254" s="21" t="n">
        <x:f>IF('Campus Drills'!F23=1,1,0)</x:f>
        <x:v>1</x:v>
      </x:c>
      <x:c r="F254" s="21" t="n">
        <x:v>1</x:v>
      </x:c>
      <x:c r="G254" s="21" t="n">
        <x:f>E254-F254</x:f>
        <x:v>0</x:v>
      </x:c>
      <x:c r="H254" s="10" t="str">
        <x:f>IF(ABS(G254)&lt;0.000001,"PASS","FAIL")</x:f>
        <x:v>PASS</x:v>
      </x:c>
      <x:c r="I254" s="10" t="str">
        <x:v>Campus Drills row 23</x:v>
      </x:c>
    </x:row>
    <x:row r="255">
      <x:c r="B255" s="10" t="str">
        <x:v>AU-249</x:v>
      </x:c>
      <x:c r="C255" s="10" t="str">
        <x:v>campus drill</x:v>
      </x:c>
      <x:c r="D255" s="10" t="str">
        <x:v>drill definition 18</x:v>
      </x:c>
      <x:c r="E255" s="21" t="n">
        <x:f>IF('Campus Drills'!F24=1,1,0)</x:f>
        <x:v>1</x:v>
      </x:c>
      <x:c r="F255" s="21" t="n">
        <x:v>1</x:v>
      </x:c>
      <x:c r="G255" s="21" t="n">
        <x:f>E255-F255</x:f>
        <x:v>0</x:v>
      </x:c>
      <x:c r="H255" s="10" t="str">
        <x:f>IF(ABS(G255)&lt;0.000001,"PASS","FAIL")</x:f>
        <x:v>PASS</x:v>
      </x:c>
      <x:c r="I255" s="10" t="str">
        <x:v>Campus Drills row 24</x:v>
      </x:c>
    </x:row>
    <x:row r="256">
      <x:c r="B256" s="10" t="str">
        <x:v>AU-250</x:v>
      </x:c>
      <x:c r="C256" s="10" t="str">
        <x:v>campus drill</x:v>
      </x:c>
      <x:c r="D256" s="10" t="str">
        <x:v>drill definition 19</x:v>
      </x:c>
      <x:c r="E256" s="21" t="n">
        <x:f>IF('Campus Drills'!F25=1,1,0)</x:f>
        <x:v>1</x:v>
      </x:c>
      <x:c r="F256" s="21" t="n">
        <x:v>1</x:v>
      </x:c>
      <x:c r="G256" s="21" t="n">
        <x:f>E256-F256</x:f>
        <x:v>0</x:v>
      </x:c>
      <x:c r="H256" s="10" t="str">
        <x:f>IF(ABS(G256)&lt;0.000001,"PASS","FAIL")</x:f>
        <x:v>PASS</x:v>
      </x:c>
      <x:c r="I256" s="10" t="str">
        <x:v>Campus Drills row 25</x:v>
      </x:c>
    </x:row>
    <x:row r="257">
      <x:c r="B257" s="10" t="str">
        <x:v>AU-251</x:v>
      </x:c>
      <x:c r="C257" s="10" t="str">
        <x:v>campus drill</x:v>
      </x:c>
      <x:c r="D257" s="10" t="str">
        <x:v>drill definition 20</x:v>
      </x:c>
      <x:c r="E257" s="21" t="n">
        <x:f>IF('Campus Drills'!F26=1,1,0)</x:f>
        <x:v>1</x:v>
      </x:c>
      <x:c r="F257" s="21" t="n">
        <x:v>1</x:v>
      </x:c>
      <x:c r="G257" s="21" t="n">
        <x:f>E257-F257</x:f>
        <x:v>0</x:v>
      </x:c>
      <x:c r="H257" s="10" t="str">
        <x:f>IF(ABS(G257)&lt;0.000001,"PASS","FAIL")</x:f>
        <x:v>PASS</x:v>
      </x:c>
      <x:c r="I257" s="10" t="str">
        <x:v>Campus Drills row 26</x:v>
      </x:c>
    </x:row>
    <x:row r="258">
      <x:c r="B258" s="10" t="str">
        <x:v>AU-252</x:v>
      </x:c>
      <x:c r="C258" s="10" t="str">
        <x:v>campus drill</x:v>
      </x:c>
      <x:c r="D258" s="10" t="str">
        <x:v>drill definition 21</x:v>
      </x:c>
      <x:c r="E258" s="21" t="n">
        <x:f>IF('Campus Drills'!F27=1,1,0)</x:f>
        <x:v>1</x:v>
      </x:c>
      <x:c r="F258" s="21" t="n">
        <x:v>1</x:v>
      </x:c>
      <x:c r="G258" s="21" t="n">
        <x:f>E258-F258</x:f>
        <x:v>0</x:v>
      </x:c>
      <x:c r="H258" s="10" t="str">
        <x:f>IF(ABS(G258)&lt;0.000001,"PASS","FAIL")</x:f>
        <x:v>PASS</x:v>
      </x:c>
      <x:c r="I258" s="10" t="str">
        <x:v>Campus Drills row 27</x:v>
      </x:c>
    </x:row>
    <x:row r="259">
      <x:c r="B259" s="10" t="str">
        <x:v>AU-253</x:v>
      </x:c>
      <x:c r="C259" s="10" t="str">
        <x:v>campus drill</x:v>
      </x:c>
      <x:c r="D259" s="10" t="str">
        <x:v>drill definition 22</x:v>
      </x:c>
      <x:c r="E259" s="21" t="n">
        <x:f>IF('Campus Drills'!F28=1,1,0)</x:f>
        <x:v>1</x:v>
      </x:c>
      <x:c r="F259" s="21" t="n">
        <x:v>1</x:v>
      </x:c>
      <x:c r="G259" s="21" t="n">
        <x:f>E259-F259</x:f>
        <x:v>0</x:v>
      </x:c>
      <x:c r="H259" s="10" t="str">
        <x:f>IF(ABS(G259)&lt;0.000001,"PASS","FAIL")</x:f>
        <x:v>PASS</x:v>
      </x:c>
      <x:c r="I259" s="10" t="str">
        <x:v>Campus Drills row 28</x:v>
      </x:c>
    </x:row>
    <x:row r="260">
      <x:c r="B260" s="10" t="str">
        <x:v>AU-254</x:v>
      </x:c>
      <x:c r="C260" s="10" t="str">
        <x:v>campus drill</x:v>
      </x:c>
      <x:c r="D260" s="10" t="str">
        <x:v>drill definition 23</x:v>
      </x:c>
      <x:c r="E260" s="21" t="n">
        <x:f>IF('Campus Drills'!F29=1,1,0)</x:f>
        <x:v>1</x:v>
      </x:c>
      <x:c r="F260" s="21" t="n">
        <x:v>1</x:v>
      </x:c>
      <x:c r="G260" s="21" t="n">
        <x:f>E260-F260</x:f>
        <x:v>0</x:v>
      </x:c>
      <x:c r="H260" s="10" t="str">
        <x:f>IF(ABS(G260)&lt;0.000001,"PASS","FAIL")</x:f>
        <x:v>PASS</x:v>
      </x:c>
      <x:c r="I260" s="10" t="str">
        <x:v>Campus Drills row 29</x:v>
      </x:c>
    </x:row>
    <x:row r="261">
      <x:c r="B261" s="10" t="str">
        <x:v>AU-255</x:v>
      </x:c>
      <x:c r="C261" s="10" t="str">
        <x:v>campus drill</x:v>
      </x:c>
      <x:c r="D261" s="10" t="str">
        <x:v>drill definition 24</x:v>
      </x:c>
      <x:c r="E261" s="21" t="n">
        <x:f>IF('Campus Drills'!F30=1,1,0)</x:f>
        <x:v>1</x:v>
      </x:c>
      <x:c r="F261" s="21" t="n">
        <x:v>1</x:v>
      </x:c>
      <x:c r="G261" s="21" t="n">
        <x:f>E261-F261</x:f>
        <x:v>0</x:v>
      </x:c>
      <x:c r="H261" s="10" t="str">
        <x:f>IF(ABS(G261)&lt;0.000001,"PASS","FAIL")</x:f>
        <x:v>PASS</x:v>
      </x:c>
      <x:c r="I261" s="10" t="str">
        <x:v>Campus Drills row 30</x:v>
      </x:c>
    </x:row>
    <x:row r="262">
      <x:c r="B262" s="10" t="str">
        <x:v>AU-256</x:v>
      </x:c>
      <x:c r="C262" s="10" t="str">
        <x:v>capital</x:v>
      </x:c>
      <x:c r="D262" s="10" t="str">
        <x:v>use line 1</x:v>
      </x:c>
      <x:c r="E262" s="21" t="n">
        <x:f>'Capital Reconciliation'!C7</x:f>
        <x:v>0.062</x:v>
      </x:c>
      <x:c r="F262" s="21" t="n">
        <x:v>0</x:v>
      </x:c>
      <x:c r="G262" s="21" t="n">
        <x:f>E262-F262</x:f>
        <x:v>0.062</x:v>
      </x:c>
      <x:c r="H262" s="10" t="str">
        <x:f>IF(E262&gt;F262,"PASS","FAIL")</x:f>
        <x:v>PASS</x:v>
      </x:c>
      <x:c r="I262" s="10" t="str">
        <x:v>Capital line 7</x:v>
      </x:c>
    </x:row>
    <x:row r="263">
      <x:c r="B263" s="10" t="str">
        <x:v>AU-257</x:v>
      </x:c>
      <x:c r="C263" s="10" t="str">
        <x:v>capital</x:v>
      </x:c>
      <x:c r="D263" s="10" t="str">
        <x:v>use line 2</x:v>
      </x:c>
      <x:c r="E263" s="21" t="n">
        <x:f>'Capital Reconciliation'!C8</x:f>
        <x:v>0.071</x:v>
      </x:c>
      <x:c r="F263" s="21" t="n">
        <x:v>0</x:v>
      </x:c>
      <x:c r="G263" s="21" t="n">
        <x:f>E263-F263</x:f>
        <x:v>0.071</x:v>
      </x:c>
      <x:c r="H263" s="10" t="str">
        <x:f>IF(E263&gt;F263,"PASS","FAIL")</x:f>
        <x:v>PASS</x:v>
      </x:c>
      <x:c r="I263" s="10" t="str">
        <x:v>Capital line 8</x:v>
      </x:c>
    </x:row>
    <x:row r="264">
      <x:c r="B264" s="10" t="str">
        <x:v>AU-258</x:v>
      </x:c>
      <x:c r="C264" s="10" t="str">
        <x:v>capital</x:v>
      </x:c>
      <x:c r="D264" s="10" t="str">
        <x:v>use line 3</x:v>
      </x:c>
      <x:c r="E264" s="21" t="n">
        <x:f>'Capital Reconciliation'!C9</x:f>
        <x:v>0.069</x:v>
      </x:c>
      <x:c r="F264" s="21" t="n">
        <x:v>0</x:v>
      </x:c>
      <x:c r="G264" s="21" t="n">
        <x:f>E264-F264</x:f>
        <x:v>0.069</x:v>
      </x:c>
      <x:c r="H264" s="10" t="str">
        <x:f>IF(E264&gt;F264,"PASS","FAIL")</x:f>
        <x:v>PASS</x:v>
      </x:c>
      <x:c r="I264" s="10" t="str">
        <x:v>Capital line 9</x:v>
      </x:c>
    </x:row>
    <x:row r="265">
      <x:c r="B265" s="10" t="str">
        <x:v>AU-259</x:v>
      </x:c>
      <x:c r="C265" s="10" t="str">
        <x:v>capital</x:v>
      </x:c>
      <x:c r="D265" s="10" t="str">
        <x:v>use line 4</x:v>
      </x:c>
      <x:c r="E265" s="21" t="n">
        <x:f>'Capital Reconciliation'!C10</x:f>
        <x:v>0.042</x:v>
      </x:c>
      <x:c r="F265" s="21" t="n">
        <x:v>0</x:v>
      </x:c>
      <x:c r="G265" s="21" t="n">
        <x:f>E265-F265</x:f>
        <x:v>0.042</x:v>
      </x:c>
      <x:c r="H265" s="10" t="str">
        <x:f>IF(E265&gt;F265,"PASS","FAIL")</x:f>
        <x:v>PASS</x:v>
      </x:c>
      <x:c r="I265" s="10" t="str">
        <x:v>Capital line 10</x:v>
      </x:c>
    </x:row>
    <x:row r="266">
      <x:c r="B266" s="10" t="str">
        <x:v>AU-260</x:v>
      </x:c>
      <x:c r="C266" s="10" t="str">
        <x:v>capital</x:v>
      </x:c>
      <x:c r="D266" s="10" t="str">
        <x:v>use line 5</x:v>
      </x:c>
      <x:c r="E266" s="21" t="n">
        <x:f>'Capital Reconciliation'!C11</x:f>
        <x:v>0.058</x:v>
      </x:c>
      <x:c r="F266" s="21" t="n">
        <x:v>0</x:v>
      </x:c>
      <x:c r="G266" s="21" t="n">
        <x:f>E266-F266</x:f>
        <x:v>0.058</x:v>
      </x:c>
      <x:c r="H266" s="10" t="str">
        <x:f>IF(E266&gt;F266,"PASS","FAIL")</x:f>
        <x:v>PASS</x:v>
      </x:c>
      <x:c r="I266" s="10" t="str">
        <x:v>Capital line 11</x:v>
      </x:c>
    </x:row>
    <x:row r="267">
      <x:c r="B267" s="10" t="str">
        <x:v>AU-261</x:v>
      </x:c>
      <x:c r="C267" s="10" t="str">
        <x:v>capital</x:v>
      </x:c>
      <x:c r="D267" s="10" t="str">
        <x:v>use line 6</x:v>
      </x:c>
      <x:c r="E267" s="21" t="n">
        <x:f>'Capital Reconciliation'!C12</x:f>
        <x:v>0.052</x:v>
      </x:c>
      <x:c r="F267" s="21" t="n">
        <x:v>0</x:v>
      </x:c>
      <x:c r="G267" s="21" t="n">
        <x:f>E267-F267</x:f>
        <x:v>0.052</x:v>
      </x:c>
      <x:c r="H267" s="10" t="str">
        <x:f>IF(E267&gt;F267,"PASS","FAIL")</x:f>
        <x:v>PASS</x:v>
      </x:c>
      <x:c r="I267" s="10" t="str">
        <x:v>Capital line 12</x:v>
      </x:c>
    </x:row>
    <x:row r="268">
      <x:c r="B268" s="10" t="str">
        <x:v>AU-262</x:v>
      </x:c>
      <x:c r="C268" s="10" t="str">
        <x:v>capital</x:v>
      </x:c>
      <x:c r="D268" s="10" t="str">
        <x:v>use line 7</x:v>
      </x:c>
      <x:c r="E268" s="21" t="n">
        <x:f>'Capital Reconciliation'!C13</x:f>
        <x:v>0.025</x:v>
      </x:c>
      <x:c r="F268" s="21" t="n">
        <x:v>0</x:v>
      </x:c>
      <x:c r="G268" s="21" t="n">
        <x:f>E268-F268</x:f>
        <x:v>0.025</x:v>
      </x:c>
      <x:c r="H268" s="10" t="str">
        <x:f>IF(E268&gt;F268,"PASS","FAIL")</x:f>
        <x:v>PASS</x:v>
      </x:c>
      <x:c r="I268" s="10" t="str">
        <x:v>Capital line 13</x:v>
      </x:c>
    </x:row>
    <x:row r="269">
      <x:c r="B269" s="10" t="str">
        <x:v>AU-263</x:v>
      </x:c>
      <x:c r="C269" s="10" t="str">
        <x:v>capital</x:v>
      </x:c>
      <x:c r="D269" s="10" t="str">
        <x:v>use line 8</x:v>
      </x:c>
      <x:c r="E269" s="21" t="n">
        <x:f>'Capital Reconciliation'!C14</x:f>
        <x:v>0.019</x:v>
      </x:c>
      <x:c r="F269" s="21" t="n">
        <x:v>0</x:v>
      </x:c>
      <x:c r="G269" s="21" t="n">
        <x:f>E269-F269</x:f>
        <x:v>0.019</x:v>
      </x:c>
      <x:c r="H269" s="10" t="str">
        <x:f>IF(E269&gt;F269,"PASS","FAIL")</x:f>
        <x:v>PASS</x:v>
      </x:c>
      <x:c r="I269" s="10" t="str">
        <x:v>Capital line 14</x:v>
      </x:c>
    </x:row>
    <x:row r="270">
      <x:c r="B270" s="10" t="str">
        <x:v>AU-264</x:v>
      </x:c>
      <x:c r="C270" s="10" t="str">
        <x:v>capital</x:v>
      </x:c>
      <x:c r="D270" s="10" t="str">
        <x:v>use line 9</x:v>
      </x:c>
      <x:c r="E270" s="21" t="n">
        <x:f>'Capital Reconciliation'!C15</x:f>
        <x:v>0.015</x:v>
      </x:c>
      <x:c r="F270" s="21" t="n">
        <x:v>0</x:v>
      </x:c>
      <x:c r="G270" s="21" t="n">
        <x:f>E270-F270</x:f>
        <x:v>0.015</x:v>
      </x:c>
      <x:c r="H270" s="10" t="str">
        <x:f>IF(E270&gt;F270,"PASS","FAIL")</x:f>
        <x:v>PASS</x:v>
      </x:c>
      <x:c r="I270" s="10" t="str">
        <x:v>Capital line 15</x:v>
      </x:c>
    </x:row>
    <x:row r="271">
      <x:c r="B271" s="10" t="str">
        <x:v>AU-265</x:v>
      </x:c>
      <x:c r="C271" s="10" t="str">
        <x:v>capital</x:v>
      </x:c>
      <x:c r="D271" s="10" t="str">
        <x:v>use line 10</x:v>
      </x:c>
      <x:c r="E271" s="21" t="n">
        <x:f>'Capital Reconciliation'!C16</x:f>
        <x:v>0.01</x:v>
      </x:c>
      <x:c r="F271" s="21" t="n">
        <x:v>0</x:v>
      </x:c>
      <x:c r="G271" s="21" t="n">
        <x:f>E271-F271</x:f>
        <x:v>0.01</x:v>
      </x:c>
      <x:c r="H271" s="10" t="str">
        <x:f>IF(E271&gt;F271,"PASS","FAIL")</x:f>
        <x:v>PASS</x:v>
      </x:c>
      <x:c r="I271" s="10" t="str">
        <x:v>Capital line 16</x:v>
      </x:c>
    </x:row>
    <x:row r="272">
      <x:c r="B272" s="10" t="str">
        <x:v>AU-266</x:v>
      </x:c>
      <x:c r="C272" s="10" t="str">
        <x:v>capital</x:v>
      </x:c>
      <x:c r="D272" s="10" t="str">
        <x:v>use line 11</x:v>
      </x:c>
      <x:c r="E272" s="21" t="n">
        <x:f>'Capital Reconciliation'!C17</x:f>
        <x:v>0.007</x:v>
      </x:c>
      <x:c r="F272" s="21" t="n">
        <x:v>0</x:v>
      </x:c>
      <x:c r="G272" s="21" t="n">
        <x:f>E272-F272</x:f>
        <x:v>0.007</x:v>
      </x:c>
      <x:c r="H272" s="10" t="str">
        <x:f>IF(E272&gt;F272,"PASS","FAIL")</x:f>
        <x:v>PASS</x:v>
      </x:c>
      <x:c r="I272" s="10" t="str">
        <x:v>Capital line 17</x:v>
      </x:c>
    </x:row>
    <x:row r="273">
      <x:c r="B273" s="10" t="str">
        <x:v>AU-267</x:v>
      </x:c>
      <x:c r="C273" s="10" t="str">
        <x:v>annual</x:v>
      </x:c>
      <x:c r="D273" s="10" t="str">
        <x:v>use line 1</x:v>
      </x:c>
      <x:c r="E273" s="21" t="n">
        <x:f>'Annual Reconciliation'!C7</x:f>
        <x:v>0.056</x:v>
      </x:c>
      <x:c r="F273" s="21" t="n">
        <x:v>0</x:v>
      </x:c>
      <x:c r="G273" s="21" t="n">
        <x:f>E273-F273</x:f>
        <x:v>0.056</x:v>
      </x:c>
      <x:c r="H273" s="10" t="str">
        <x:f>IF(E273&gt;F273,"PASS","FAIL")</x:f>
        <x:v>PASS</x:v>
      </x:c>
      <x:c r="I273" s="10" t="str">
        <x:v>Annual line 7</x:v>
      </x:c>
    </x:row>
    <x:row r="274">
      <x:c r="B274" s="10" t="str">
        <x:v>AU-268</x:v>
      </x:c>
      <x:c r="C274" s="10" t="str">
        <x:v>annual</x:v>
      </x:c>
      <x:c r="D274" s="10" t="str">
        <x:v>use line 2</x:v>
      </x:c>
      <x:c r="E274" s="21" t="n">
        <x:f>'Annual Reconciliation'!C8</x:f>
        <x:v>0.014</x:v>
      </x:c>
      <x:c r="F274" s="21" t="n">
        <x:v>0</x:v>
      </x:c>
      <x:c r="G274" s="21" t="n">
        <x:f>E274-F274</x:f>
        <x:v>0.014</x:v>
      </x:c>
      <x:c r="H274" s="10" t="str">
        <x:f>IF(E274&gt;F274,"PASS","FAIL")</x:f>
        <x:v>PASS</x:v>
      </x:c>
      <x:c r="I274" s="10" t="str">
        <x:v>Annual line 8</x:v>
      </x:c>
    </x:row>
    <x:row r="275">
      <x:c r="B275" s="10" t="str">
        <x:v>AU-269</x:v>
      </x:c>
      <x:c r="C275" s="10" t="str">
        <x:v>annual</x:v>
      </x:c>
      <x:c r="D275" s="10" t="str">
        <x:v>use line 3</x:v>
      </x:c>
      <x:c r="E275" s="21" t="n">
        <x:f>'Annual Reconciliation'!C9</x:f>
        <x:v>0.008</x:v>
      </x:c>
      <x:c r="F275" s="21" t="n">
        <x:v>0</x:v>
      </x:c>
      <x:c r="G275" s="21" t="n">
        <x:f>E275-F275</x:f>
        <x:v>0.008</x:v>
      </x:c>
      <x:c r="H275" s="10" t="str">
        <x:f>IF(E275&gt;F275,"PASS","FAIL")</x:f>
        <x:v>PASS</x:v>
      </x:c>
      <x:c r="I275" s="10" t="str">
        <x:v>Annual line 9</x:v>
      </x:c>
    </x:row>
    <x:row r="276">
      <x:c r="B276" s="10" t="str">
        <x:v>AU-270</x:v>
      </x:c>
      <x:c r="C276" s="10" t="str">
        <x:v>annual</x:v>
      </x:c>
      <x:c r="D276" s="10" t="str">
        <x:v>use line 4</x:v>
      </x:c>
      <x:c r="E276" s="21" t="n">
        <x:f>'Annual Reconciliation'!C10</x:f>
        <x:v>0.007</x:v>
      </x:c>
      <x:c r="F276" s="21" t="n">
        <x:v>0</x:v>
      </x:c>
      <x:c r="G276" s="21" t="n">
        <x:f>E276-F276</x:f>
        <x:v>0.007</x:v>
      </x:c>
      <x:c r="H276" s="10" t="str">
        <x:f>IF(E276&gt;F276,"PASS","FAIL")</x:f>
        <x:v>PASS</x:v>
      </x:c>
      <x:c r="I276" s="10" t="str">
        <x:v>Annual line 10</x:v>
      </x:c>
    </x:row>
    <x:row r="277">
      <x:c r="B277" s="10" t="str">
        <x:v>AU-271</x:v>
      </x:c>
      <x:c r="C277" s="10" t="str">
        <x:v>annual</x:v>
      </x:c>
      <x:c r="D277" s="10" t="str">
        <x:v>use line 5</x:v>
      </x:c>
      <x:c r="E277" s="21" t="n">
        <x:f>'Annual Reconciliation'!C11</x:f>
        <x:v>0.004</x:v>
      </x:c>
      <x:c r="F277" s="21" t="n">
        <x:v>0</x:v>
      </x:c>
      <x:c r="G277" s="21" t="n">
        <x:f>E277-F277</x:f>
        <x:v>0.004</x:v>
      </x:c>
      <x:c r="H277" s="10" t="str">
        <x:f>IF(E277&gt;F277,"PASS","FAIL")</x:f>
        <x:v>PASS</x:v>
      </x:c>
      <x:c r="I277" s="10" t="str">
        <x:v>Annual line 11</x:v>
      </x:c>
    </x:row>
    <x:row r="278">
      <x:c r="B278" s="10" t="str">
        <x:v>AU-272</x:v>
      </x:c>
      <x:c r="C278" s="10" t="str">
        <x:v>annual</x:v>
      </x:c>
      <x:c r="D278" s="10" t="str">
        <x:v>use line 6</x:v>
      </x:c>
      <x:c r="E278" s="21" t="n">
        <x:f>'Annual Reconciliation'!C12</x:f>
        <x:v>0.004</x:v>
      </x:c>
      <x:c r="F278" s="21" t="n">
        <x:v>0</x:v>
      </x:c>
      <x:c r="G278" s="21" t="n">
        <x:f>E278-F278</x:f>
        <x:v>0.004</x:v>
      </x:c>
      <x:c r="H278" s="10" t="str">
        <x:f>IF(E278&gt;F278,"PASS","FAIL")</x:f>
        <x:v>PASS</x:v>
      </x:c>
      <x:c r="I278" s="10" t="str">
        <x:v>Annual line 12</x:v>
      </x:c>
    </x:row>
    <x:row r="279">
      <x:c r="B279" s="10" t="str">
        <x:v>AU-273</x:v>
      </x:c>
      <x:c r="C279" s="10" t="str">
        <x:v>annual</x:v>
      </x:c>
      <x:c r="D279" s="10" t="str">
        <x:v>use line 7</x:v>
      </x:c>
      <x:c r="E279" s="21" t="n">
        <x:f>'Annual Reconciliation'!C13</x:f>
        <x:v>0.003</x:v>
      </x:c>
      <x:c r="F279" s="21" t="n">
        <x:v>0</x:v>
      </x:c>
      <x:c r="G279" s="21" t="n">
        <x:f>E279-F279</x:f>
        <x:v>0.003</x:v>
      </x:c>
      <x:c r="H279" s="10" t="str">
        <x:f>IF(E279&gt;F279,"PASS","FAIL")</x:f>
        <x:v>PASS</x:v>
      </x:c>
      <x:c r="I279" s="10" t="str">
        <x:v>Annual line 13</x:v>
      </x:c>
    </x:row>
    <x:row r="280">
      <x:c r="B280" s="11" t="str">
        <x:v>AU-274</x:v>
      </x:c>
      <x:c r="C280" s="11" t="str">
        <x:v>annual</x:v>
      </x:c>
      <x:c r="D280" s="11" t="str">
        <x:v>use line 8</x:v>
      </x:c>
      <x:c r="E280" s="22" t="n">
        <x:f>'Annual Reconciliation'!C14</x:f>
        <x:v>0.002</x:v>
      </x:c>
      <x:c r="F280" s="22" t="n">
        <x:v>0</x:v>
      </x:c>
      <x:c r="G280" s="22" t="n">
        <x:f>E280-F280</x:f>
        <x:v>0.002</x:v>
      </x:c>
      <x:c r="H280" s="11" t="str">
        <x:f>IF(E280&gt;F280,"PASS","FAIL")</x:f>
        <x:v>PASS</x:v>
      </x:c>
      <x:c r="I280" s="11" t="str">
        <x:v>Annual line 14</x:v>
      </x:c>
    </x:row>
  </x:sheetData>
  <x:mergeCells>
    <x:mergeCell ref="B2:I2"/>
    <x:mergeCell ref="B3:I3"/>
  </x:mergeCells>
  <x:conditionalFormatting sqref="H7:H280">
    <x:cfRule type="containsText" dxfId="392" priority="1" operator="containsText" text="PASS"/>
    <x:cfRule type="containsText" dxfId="393" priority="2" operator="containsText" text="AUTHORIZED"/>
    <x:cfRule type="containsText" dxfId="394" priority="3" operator="containsText" text="DEFINED"/>
    <x:cfRule type="containsText" dxfId="395" priority="4" operator="containsText" text="READY"/>
    <x:cfRule type="containsText" dxfId="396" priority="5" operator="containsText" text="HOLD"/>
    <x:cfRule type="containsText" dxfId="397" priority="6" operator="containsText" text="OPEN"/>
    <x:cfRule type="containsText" dxfId="398" priority="7" operator="containsText" text="BLOCKED"/>
    <x:cfRule type="containsText" dxfId="399" priority="8" operator="containsText" text="PLANNING"/>
    <x:cfRule type="containsText" dxfId="400" priority="9" operator="containsText" text="QUARANTINE"/>
    <x:cfRule type="containsText" dxfId="401" priority="10" operator="containsText" text="INDETERMINATE"/>
    <x:cfRule type="containsText" dxfId="402" priority="11" operator="containsText" text="FAIL"/>
    <x:cfRule type="containsText" dxfId="403" priority="12" operator="containsText" text="REJECT"/>
    <x:cfRule type="containsText" dxfId="404" priority="13" operator="containsText" text="INVALID"/>
    <x:cfRule type="containsText" dxfId="405" priority="14" operator="containsText" text="STO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24" hidden="0" customWidth="1"/>
    <x:col min="3" max="3" width="112" hidden="0" customWidth="1"/>
  </x:cols>
  <x:sheetData>
    <x:row r="2">
      <x:c r="B2" s="27" t="str">
        <x:v>How to use PTC-0</x:v>
      </x:c>
      <x:c r="C2" s="28"/>
      <x:c r="D2" s="28"/>
      <x:c r="E2" s="28"/>
      <x:c r="F2" s="28"/>
      <x:c r="G2" s="28"/>
      <x:c r="H2" s="28"/>
      <x:c r="I2" s="28"/>
      <x:c r="J2" s="28"/>
    </x:row>
    <x:row r="3">
      <x:c r="B3" s="29" t="str">
        <x:v>This workbook is a facility and commissioning constitution. It is not physical evidence, site authorization or spending authority.</x:v>
      </x:c>
      <x:c r="C3" s="28"/>
      <x:c r="D3" s="28"/>
      <x:c r="E3" s="28"/>
      <x:c r="F3" s="28"/>
      <x:c r="G3" s="28"/>
      <x:c r="H3" s="28"/>
      <x:c r="I3" s="28"/>
      <x:c r="J3" s="28"/>
    </x:row>
    <x:row r="4">
      <x:c r="B4" s="30"/>
      <x:c r="C4" s="30"/>
      <x:c r="D4" s="30"/>
      <x:c r="E4" s="30"/>
      <x:c r="F4" s="30"/>
      <x:c r="G4" s="30"/>
      <x:c r="H4" s="30"/>
      <x:c r="I4" s="30"/>
      <x:c r="J4" s="30"/>
    </x:row>
    <x:row r="5">
      <x:c r="B5" s="28"/>
      <x:c r="C5" s="28"/>
      <x:c r="D5" s="28"/>
      <x:c r="E5" s="28"/>
      <x:c r="F5" s="28"/>
      <x:c r="G5" s="28"/>
      <x:c r="H5" s="28"/>
      <x:c r="I5" s="28"/>
      <x:c r="J5" s="28"/>
    </x:row>
    <x:row r="6">
      <x:c r="B6" s="8" t="str">
        <x:v>Topic</x:v>
      </x:c>
      <x:c r="C6" s="8" t="str">
        <x:v>Guidance</x:v>
      </x:c>
      <x:c r="D6" s="28"/>
      <x:c r="E6" s="28"/>
      <x:c r="F6" s="28"/>
      <x:c r="G6" s="28"/>
      <x:c r="H6" s="28"/>
      <x:c r="I6" s="28"/>
      <x:c r="J6" s="28"/>
    </x:row>
    <x:row r="7">
      <x:c r="B7" s="10" t="str">
        <x:v>Decision</x:v>
      </x:c>
      <x:c r="C7" s="25" t="str">
        <x:v>Defines the public sites, duplicate family lanes, utilities, containment, custody and phase-zero events required before SDEC-1 execution.</x:v>
      </x:c>
      <x:c r="D7" s="28"/>
      <x:c r="E7" s="28"/>
      <x:c r="F7" s="28"/>
      <x:c r="G7" s="28"/>
      <x:c r="H7" s="28"/>
      <x:c r="I7" s="28"/>
      <x:c r="J7" s="28"/>
    </x:row>
    <x:row r="8">
      <x:c r="B8" s="10" t="str">
        <x:v>Audience</x:v>
      </x:c>
      <x:c r="C8" s="25" t="str">
        <x:v>Public range, safety, metrology, evidence, root engineering, fiscal and admission authorities.</x:v>
      </x:c>
      <x:c r="D8" s="28"/>
      <x:c r="E8" s="28"/>
      <x:c r="F8" s="28"/>
      <x:c r="G8" s="28"/>
      <x:c r="H8" s="28"/>
      <x:c r="I8" s="28"/>
      <x:c r="J8" s="28"/>
    </x:row>
    <x:row r="9">
      <x:c r="B9" s="10" t="str">
        <x:v>Inputs</x:v>
      </x:c>
      <x:c r="C9" s="25" t="str">
        <x:v>Blue numeric cells are inherited boundaries, planning hypotheses or absent physical-source records.</x:v>
      </x:c>
      <x:c r="D9" s="28"/>
      <x:c r="E9" s="28"/>
      <x:c r="F9" s="28"/>
      <x:c r="G9" s="28"/>
      <x:c r="H9" s="28"/>
      <x:c r="I9" s="28"/>
      <x:c r="J9" s="28"/>
    </x:row>
    <x:row r="10">
      <x:c r="B10" s="10" t="str">
        <x:v>Site topology</x:v>
      </x:c>
      <x:c r="C10" s="25" t="str">
        <x:v>Three predecessor campuses host twelve full-capability lanes. Each family has one lane at each of two different sites.</x:v>
      </x:c>
      <x:c r="D10" s="28"/>
      <x:c r="E10" s="28"/>
      <x:c r="F10" s="28"/>
      <x:c r="G10" s="28"/>
      <x:c r="H10" s="28"/>
      <x:c r="I10" s="28"/>
      <x:c r="J10" s="28"/>
    </x:row>
    <x:row r="11">
      <x:c r="B11" s="10" t="str">
        <x:v>Root balance</x:v>
      </x:c>
      <x:c r="C11" s="25" t="str">
        <x:v>Both roots place serials on both lanes. A root is never permanently mapped to one site or one measurement implementation.</x:v>
      </x:c>
      <x:c r="D11" s="28"/>
      <x:c r="E11" s="28"/>
      <x:c r="F11" s="28"/>
      <x:c r="G11" s="28"/>
      <x:c r="H11" s="28"/>
      <x:c r="I11" s="28"/>
      <x:c r="J11" s="28"/>
    </x:row>
    <x:row r="12">
      <x:c r="B12" s="10" t="str">
        <x:v>Capacity</x:v>
      </x:c>
      <x:c r="C12" s="25" t="str">
        <x:v>Each lane can carry its family's entire workload after loss of the sibling site. SA5 governs at approximately 66.2% utilization.</x:v>
      </x:c>
      <x:c r="D12" s="28"/>
      <x:c r="E12" s="28"/>
      <x:c r="F12" s="28"/>
      <x:c r="G12" s="28"/>
      <x:c r="H12" s="28"/>
      <x:c r="I12" s="28"/>
      <x:c r="J12" s="28"/>
    </x:row>
    <x:row r="13">
      <x:c r="B13" s="10" t="str">
        <x:v>Commissioning</x:v>
      </x:c>
      <x:c r="C13" s="25" t="str">
        <x:v>The 156-event phase zero contains 120 lane events, 24 campus denial drills and 12 cross-site packet reconstructions.</x:v>
      </x:c>
      <x:c r="D13" s="28"/>
      <x:c r="E13" s="28"/>
      <x:c r="F13" s="28"/>
      <x:c r="G13" s="28"/>
      <x:c r="H13" s="28"/>
      <x:c r="I13" s="28"/>
      <x:c r="J13" s="28"/>
    </x:row>
    <x:row r="14">
      <x:c r="B14" s="10" t="str">
        <x:v>Evidence</x:v>
      </x:c>
      <x:c r="C14" s="25" t="str">
        <x:v>Two native originals are written under separate authorities. Six 96 TB vaults provide 576 TB usable capacity.</x:v>
      </x:c>
      <x:c r="D14" s="28"/>
      <x:c r="E14" s="28"/>
      <x:c r="F14" s="28"/>
      <x:c r="G14" s="28"/>
      <x:c r="H14" s="28"/>
      <x:c r="I14" s="28"/>
      <x:c r="J14" s="28"/>
    </x:row>
    <x:row r="15">
      <x:c r="B15" s="10" t="str">
        <x:v>Finance</x:v>
      </x:c>
      <x:c r="C15" s="25" t="str">
        <x:v>USD billions on a real-2026 research basis. The use view and funding-owner view are separate so predecessor public assets are charged once.</x:v>
      </x:c>
      <x:c r="D15" s="28"/>
      <x:c r="E15" s="28"/>
      <x:c r="F15" s="28"/>
      <x:c r="G15" s="28"/>
      <x:c r="H15" s="28"/>
      <x:c r="I15" s="28"/>
      <x:c r="J15" s="28"/>
    </x:row>
    <x:row r="16">
      <x:c r="B16" s="10" t="str">
        <x:v>Reservation</x:v>
      </x:c>
      <x:c r="C16" s="25" t="str">
        <x:v>Control C52 applies the planning reservation. Setting it to zero removes shared credit and returns the no-credit upper envelope.</x:v>
      </x:c>
      <x:c r="D16" s="28"/>
      <x:c r="E16" s="28"/>
      <x:c r="F16" s="28"/>
      <x:c r="G16" s="28"/>
      <x:c r="H16" s="28"/>
      <x:c r="I16" s="28"/>
      <x:c r="J16" s="28"/>
    </x:row>
    <x:row r="17">
      <x:c r="B17" s="10" t="str">
        <x:v>Authority</x:v>
      </x:c>
      <x:c r="C17" s="25" t="str">
        <x:v>Planning gates can close from authored definitions. Physical gates require named source records and remain open.</x:v>
      </x:c>
      <x:c r="D17" s="28"/>
      <x:c r="E17" s="28"/>
      <x:c r="F17" s="28"/>
      <x:c r="G17" s="28"/>
      <x:c r="H17" s="28"/>
      <x:c r="I17" s="28"/>
      <x:c r="J17" s="28"/>
    </x:row>
    <x:row r="18">
      <x:c r="B18" s="10" t="str">
        <x:v>Rendering</x:v>
      </x:c>
      <x:c r="C18" s="25" t="str">
        <x:v>Exterior form remains blocked. Internal facility plans, sections, circuits and custody paths remain permitted evidence diagrams.</x:v>
      </x:c>
      <x:c r="D18" s="28"/>
      <x:c r="E18" s="28"/>
      <x:c r="F18" s="28"/>
      <x:c r="G18" s="28"/>
      <x:c r="H18" s="28"/>
      <x:c r="I18" s="28"/>
      <x:c r="J18" s="28"/>
    </x:row>
    <x:row r="19">
      <x:c r="B19" s="10" t="str">
        <x:v>Sensitivity</x:v>
      </x:c>
      <x:c r="C19" s="25" t="str">
        <x:v>Disposable tests change drivers or sources, recalculate, observe the affected result and restore the baseline.</x:v>
      </x:c>
      <x:c r="D19" s="28"/>
      <x:c r="E19" s="28"/>
      <x:c r="F19" s="28"/>
      <x:c r="G19" s="28"/>
      <x:c r="H19" s="28"/>
      <x:c r="I19" s="28"/>
      <x:c r="J19" s="28"/>
    </x:row>
    <x:row r="20">
      <x:c r="B20" s="11" t="str">
        <x:v>Version</x:v>
      </x:c>
      <x:c r="C20" s="26" t="str">
        <x:v>Pass 115 / PTC-0 / 2026-09-09</x:v>
      </x:c>
      <x:c r="D20" s="28"/>
      <x:c r="E20" s="28"/>
      <x:c r="F20" s="28"/>
      <x:c r="G20" s="28"/>
      <x:c r="H20" s="28"/>
      <x:c r="I20" s="28"/>
      <x:c r="J20" s="28"/>
    </x:row>
  </x:sheetData>
  <x:mergeCells>
    <x:mergeCell ref="B2:J2"/>
    <x:mergeCell ref="B3:J3"/>
  </x:mergeCells>
  <x:pageMargins left="0.7" right="0.7" top="0.75" bottom="0.75" header="0.3" footer="0.3"/>
</x:worksheet>
</file>